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771" firstSheet="0" activeTab="10" autoFilterDateGrouping="1"/>
  </bookViews>
  <sheets>
    <sheet xmlns:r="http://schemas.openxmlformats.org/officeDocument/2006/relationships" name="지반조사" sheetId="1" state="visible" r:id="rId1"/>
    <sheet xmlns:r="http://schemas.openxmlformats.org/officeDocument/2006/relationships" name="사전토공사" sheetId="2" state="visible" r:id="rId2"/>
    <sheet xmlns:r="http://schemas.openxmlformats.org/officeDocument/2006/relationships" name="지장물이설" sheetId="3" state="visible" r:id="rId3"/>
    <sheet xmlns:r="http://schemas.openxmlformats.org/officeDocument/2006/relationships" name="상부강화노반" sheetId="4" state="visible" r:id="rId4"/>
    <sheet xmlns:r="http://schemas.openxmlformats.org/officeDocument/2006/relationships" name="콘크리트도상" sheetId="5" state="visible" r:id="rId5"/>
    <sheet xmlns:r="http://schemas.openxmlformats.org/officeDocument/2006/relationships" name="건축" sheetId="6" state="visible" r:id="rId6"/>
    <sheet xmlns:r="http://schemas.openxmlformats.org/officeDocument/2006/relationships" name="신호" sheetId="7" state="visible" r:id="rId7"/>
    <sheet xmlns:r="http://schemas.openxmlformats.org/officeDocument/2006/relationships" name="전기" sheetId="8" state="visible" r:id="rId8"/>
    <sheet xmlns:r="http://schemas.openxmlformats.org/officeDocument/2006/relationships" name="통신" sheetId="9" state="visible" r:id="rId9"/>
    <sheet xmlns:r="http://schemas.openxmlformats.org/officeDocument/2006/relationships" name="기계" sheetId="10" state="visible" r:id="rId10"/>
    <sheet xmlns:r="http://schemas.openxmlformats.org/officeDocument/2006/relationships" name="철도종합시운전" sheetId="11" state="visible" r:id="rId11"/>
  </sheets>
  <definedNames>
    <definedName name="_xlnm.Print_Area" localSheetId="0">'지반조사'!$A$1:$T$37</definedName>
    <definedName name="_xlnm.Print_Titles" localSheetId="1">'사전토공사'!$1:$1</definedName>
    <definedName name="_xlnm.Print_Area" localSheetId="1">'사전토공사'!$A$1:$S$32</definedName>
    <definedName name="_xlnm.Print_Titles" localSheetId="2">'지장물이설'!$1:$1</definedName>
    <definedName name="_xlnm.Print_Area" localSheetId="2">'지장물이설'!$A$1:$S$39</definedName>
    <definedName name="_xlnm.Print_Area" localSheetId="3">'상부강화노반'!$A$1:$S$37</definedName>
    <definedName name="_xlnm.Print_Titles" localSheetId="4">'콘크리트도상'!$1:$1</definedName>
    <definedName name="_xlnm.Print_Area" localSheetId="4">'콘크리트도상'!$A$1:$S$24</definedName>
    <definedName name="_xlnm.Print_Area" localSheetId="5">'건축'!$A$1:$S$51</definedName>
    <definedName name="_xlnm.Print_Titles" localSheetId="6">'신호'!$1:$1</definedName>
    <definedName name="_xlnm.Print_Area" localSheetId="6">'신호'!$A$1:$S$23</definedName>
    <definedName name="_xlnm.Print_Area" localSheetId="7">'전기'!$A$1:$S$33</definedName>
    <definedName name="_xlnm.Print_Area" localSheetId="8">'통신'!$A$1:$S$33</definedName>
    <definedName name="_xlnm.Print_Titles" localSheetId="9">'기계'!$1:$1</definedName>
    <definedName name="_xlnm.Print_Area" localSheetId="9">'기계'!$A$1:$S$37</definedName>
    <definedName name="_xlnm.Print_Area" localSheetId="10">'철도종합시운전'!$A$1:$S$33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21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FFFFFF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2"/>
      <scheme val="minor"/>
    </font>
    <font>
      <name val="맑은 고딕"/>
      <family val="2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0563C1"/>
      <sz val="9"/>
      <u val="single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b val="1"/>
      <color rgb="000F172A"/>
      <sz val="9"/>
    </font>
    <font>
      <name val="맑은 고딕"/>
      <color rgb="000F172A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3A8A"/>
        <bgColor rgb="FF1E3A8A"/>
      </patternFill>
    </fill>
    <fill>
      <patternFill patternType="solid">
        <fgColor rgb="FF0F172A"/>
        <bgColor rgb="FF0F172A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vertical="center" wrapText="1"/>
    </xf>
    <xf numFmtId="0" fontId="6" fillId="4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3" fillId="0" borderId="1" applyAlignment="1" pivotButton="0" quotePrefix="1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4" fillId="0" borderId="1" applyAlignment="1" pivotButton="0" quotePrefix="1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13" fillId="0" borderId="1" applyAlignment="1" pivotButton="0" quotePrefix="1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top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readingOrder="1"/>
    </xf>
    <xf numFmtId="0" fontId="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vertical="center" readingOrder="1"/>
    </xf>
    <xf numFmtId="0" fontId="8" fillId="0" borderId="1" applyAlignment="1" pivotButton="0" quotePrefix="0" xfId="0">
      <alignment horizontal="left" vertical="center" indent="1" readingOrder="1"/>
    </xf>
    <xf numFmtId="0" fontId="7" fillId="0" borderId="1" applyAlignment="1" pivotButton="0" quotePrefix="0" xfId="0">
      <alignment horizontal="left" vertical="center" indent="1" readingOrder="1"/>
    </xf>
    <xf numFmtId="1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17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 wrapText="1"/>
    </xf>
    <xf numFmtId="14" fontId="20" fillId="0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T37"/>
  <sheetViews>
    <sheetView view="pageBreakPreview" topLeftCell="G1" zoomScale="40" zoomScaleNormal="40" zoomScaleSheetLayoutView="40" workbookViewId="0">
      <selection activeCell="V2" sqref="V2"/>
    </sheetView>
  </sheetViews>
  <sheetFormatPr baseColWidth="8" defaultRowHeight="17.4"/>
  <cols>
    <col width="10.3984375" customWidth="1" min="1" max="1"/>
    <col width="10.09765625" customWidth="1" min="2" max="2"/>
    <col width="15" customWidth="1" min="3" max="3"/>
    <col width="16" customWidth="1" min="4" max="8"/>
    <col width="21.19921875" customWidth="1" min="9" max="9"/>
    <col width="20.69921875" customWidth="1" min="10" max="10"/>
    <col width="24.59765625" customWidth="1" min="11" max="11"/>
    <col width="41.8984375" customWidth="1" min="12" max="12"/>
    <col width="25.796875" customWidth="1" min="13" max="13"/>
    <col width="26.796875" customWidth="1" min="14" max="14"/>
    <col width="11.5" customWidth="1" style="1" min="15" max="15"/>
    <col width="53.69921875" customWidth="1" min="16" max="16"/>
    <col width="11.5" customWidth="1" style="1" min="17" max="17"/>
    <col width="50.5" customWidth="1" min="18" max="18"/>
    <col width="11.5" customWidth="1" style="1" min="19" max="19"/>
    <col width="23.69921875" customWidth="1" min="20" max="20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협업부서</t>
        </is>
      </c>
      <c r="K1" s="6" t="inlineStr">
        <is>
          <t>목적</t>
        </is>
      </c>
      <c r="L1" s="6" t="inlineStr">
        <is>
          <t>방법</t>
        </is>
      </c>
      <c r="M1" s="6" t="inlineStr">
        <is>
          <t>산출물(결과)</t>
        </is>
      </c>
      <c r="N1" s="6" t="inlineStr">
        <is>
          <t>표준서 (Standard) 요약</t>
        </is>
      </c>
      <c r="O1" s="7" t="inlineStr">
        <is>
          <t>표준서 파일 (HTML)</t>
        </is>
      </c>
      <c r="P1" s="6" t="inlineStr">
        <is>
          <t>수행지침 (Guideline) 요약</t>
        </is>
      </c>
      <c r="Q1" s="7" t="inlineStr">
        <is>
          <t>수행지침 파일 (HTML)</t>
        </is>
      </c>
      <c r="R1" s="6" t="inlineStr">
        <is>
          <t>체크리스트 (Checklist) 요약</t>
        </is>
      </c>
      <c r="S1" s="7" t="inlineStr">
        <is>
          <t>체크리스트 파일 (HTML)</t>
        </is>
      </c>
      <c r="T1" s="6" t="inlineStr">
        <is>
          <t>비고</t>
        </is>
      </c>
    </row>
    <row r="2" ht="90" customHeight="1">
      <c r="A2" s="77" t="inlineStr">
        <is>
          <t>9000</t>
        </is>
      </c>
      <c r="B2" s="77" t="inlineStr">
        <is>
          <t>9000-1</t>
        </is>
      </c>
      <c r="C2" s="77" t="inlineStr">
        <is>
          <t>지반조사</t>
        </is>
      </c>
      <c r="D2" s="78" t="inlineStr">
        <is>
          <t>9000-1-1</t>
        </is>
      </c>
      <c r="E2" s="79" t="inlineStr">
        <is>
          <t>-</t>
        </is>
      </c>
      <c r="F2" s="80" t="inlineStr">
        <is>
          <t>9000-1-2</t>
        </is>
      </c>
      <c r="G2" s="45" t="inlineStr">
        <is>
          <t>D-90 (D-120~D-90)</t>
        </is>
      </c>
      <c r="H2" s="81" t="inlineStr">
        <is>
          <t>발주처 계획 입수(비공식)</t>
        </is>
      </c>
      <c r="I2" s="45" t="inlineStr">
        <is>
          <t>토목사업팀</t>
        </is>
      </c>
      <c r="J2" s="34" t="inlineStr">
        <is>
          <t>지반조사업체, 외부지질전문가 3인이상</t>
        </is>
      </c>
      <c r="K2" s="45" t="inlineStr">
        <is>
          <t>발주처 기본계획 사전 검토</t>
        </is>
      </c>
      <c r="L2" s="47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M2" s="47" t="inlineStr">
        <is>
          <t>발주처 기본계획 보고서</t>
        </is>
      </c>
      <c r="N2" s="47" t="inlineStr">
        <is>
          <t>발주처 기본계획 사전 검토 | 발주처 기본계획 보고서</t>
        </is>
      </c>
      <c r="O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" s="47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Q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" s="47" t="inlineStr">
        <is>
          <t>1) 발주처 계획 입수(비공식) 적정성을 확인하였는가? 2) 발주처 기본계획 보고서 산출물을 확보하였는가?</t>
        </is>
      </c>
      <c r="S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" s="47" t="n"/>
    </row>
    <row r="3" ht="134.4" customHeight="1">
      <c r="A3" s="77" t="inlineStr">
        <is>
          <t>9000</t>
        </is>
      </c>
      <c r="B3" s="77" t="inlineStr">
        <is>
          <t>9000-1</t>
        </is>
      </c>
      <c r="C3" s="77" t="inlineStr">
        <is>
          <t>지반조사</t>
        </is>
      </c>
      <c r="D3" s="78" t="inlineStr">
        <is>
          <t>9000-1-2</t>
        </is>
      </c>
      <c r="E3" s="80" t="inlineStr">
        <is>
          <t>9000-1-1</t>
        </is>
      </c>
      <c r="F3" s="80" t="inlineStr">
        <is>
          <t>9000-1-3</t>
        </is>
      </c>
      <c r="G3" s="45" t="inlineStr">
        <is>
          <t>D-60 (D-80~D-60)</t>
        </is>
      </c>
      <c r="H3" s="81" t="inlineStr">
        <is>
          <t>관심프로젝트 선정</t>
        </is>
      </c>
      <c r="I3" s="45" t="inlineStr">
        <is>
          <t>토목사업팀</t>
        </is>
      </c>
      <c r="J3" s="34" t="inlineStr">
        <is>
          <t>포스코
스마트엔지니어링팀</t>
        </is>
      </c>
      <c r="K3" s="45" t="inlineStr">
        <is>
          <t>입수된 발주정보 평가를 통한 관심 Project 선정</t>
        </is>
      </c>
      <c r="L3" s="47" t="inlineStr">
        <is>
          <t>• 해당 프로젝트별 발주처/경쟁동향 / 사업성평가 수행
• 기술형입찰 입찰참여 Guide Line으로 해당 프로젝트 평가</t>
        </is>
      </c>
      <c r="M3" s="47" t="inlineStr">
        <is>
          <t>관심사업 List</t>
        </is>
      </c>
      <c r="N3" s="47" t="inlineStr">
        <is>
          <t>입수된 발주정보 평가를 통한 관심 Project 선정 | 관심사업 List</t>
        </is>
      </c>
      <c r="O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" s="47" t="inlineStr">
        <is>
          <t>• 해당 프로젝트별 발주처/경쟁동향 / 사업성평가 수행 • 기술형입찰 입찰참여 Guide Line으로 해당 프로젝트 평가</t>
        </is>
      </c>
      <c r="Q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" s="47" t="inlineStr">
        <is>
          <t>1) 관심프로젝트 선정 적정성을 확인하였는가? 2) 관심사업 List 산출물을 확보하였는가?</t>
        </is>
      </c>
      <c r="S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" s="47" t="n"/>
    </row>
    <row r="4" ht="110.4" customHeight="1">
      <c r="A4" s="77" t="inlineStr">
        <is>
          <t>9000</t>
        </is>
      </c>
      <c r="B4" s="77" t="inlineStr">
        <is>
          <t>9000-1</t>
        </is>
      </c>
      <c r="C4" s="77" t="inlineStr">
        <is>
          <t>지반조사</t>
        </is>
      </c>
      <c r="D4" s="78" t="inlineStr">
        <is>
          <t>9000-1-3</t>
        </is>
      </c>
      <c r="E4" s="79" t="inlineStr">
        <is>
          <t>9000-1-2</t>
        </is>
      </c>
      <c r="F4" s="80" t="inlineStr">
        <is>
          <t>9000-1-4</t>
        </is>
      </c>
      <c r="G4" s="45" t="inlineStr">
        <is>
          <t>D-60 (D-70~D-60)</t>
        </is>
      </c>
      <c r="H4" s="81" t="inlineStr">
        <is>
          <t>발주처 지반조사 모니터링</t>
        </is>
      </c>
      <c r="I4" s="45" t="inlineStr">
        <is>
          <t>포스코스마트엔지니어링팀</t>
        </is>
      </c>
      <c r="J4" s="34" t="inlineStr">
        <is>
          <t>토목사업팀</t>
        </is>
      </c>
      <c r="K4" s="45" t="inlineStr">
        <is>
          <t>발주처 지반조사 수립업체 파악</t>
        </is>
      </c>
      <c r="L4" s="47" t="inlineStr">
        <is>
          <t>• 발주처 지반조사업체 확인 후 당사 Pool List와 비교
• 발주처 지반조사 업체 확인팀 Contact Point 확보</t>
        </is>
      </c>
      <c r="M4" s="47" t="inlineStr">
        <is>
          <t>발주처 기본계획 수행 List + Contact Point List</t>
        </is>
      </c>
      <c r="N4" s="47" t="inlineStr">
        <is>
          <t>발주처 지반조사 수립업체 파악 | 발주처 기본계획 수행 List + Contact Point List</t>
        </is>
      </c>
      <c r="O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4" s="47" t="inlineStr">
        <is>
          <t>• 발주처 지반조사업체 확인 후 당사 Pool List와 비교 • 발주처 지반조사 업체 확인팀 Contact Point 확보</t>
        </is>
      </c>
      <c r="Q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4" s="47" t="inlineStr">
        <is>
          <t>1) 발주처 지반조사 모니터링 적정성을 확인하였는가? 2) 발주처 기본계획 수행 List + Contact Point List 산출물을 확보하였는가?</t>
        </is>
      </c>
      <c r="S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4" s="47" t="n"/>
    </row>
    <row r="5" ht="96" customHeight="1">
      <c r="A5" s="77" t="inlineStr">
        <is>
          <t>9000</t>
        </is>
      </c>
      <c r="B5" s="77" t="inlineStr">
        <is>
          <t>9000-1</t>
        </is>
      </c>
      <c r="C5" s="77" t="inlineStr">
        <is>
          <t>지반조사</t>
        </is>
      </c>
      <c r="D5" s="78" t="inlineStr">
        <is>
          <t>9000-1-4</t>
        </is>
      </c>
      <c r="E5" s="82" t="inlineStr">
        <is>
          <t>9000-1-3</t>
        </is>
      </c>
      <c r="F5" s="80" t="inlineStr">
        <is>
          <t>9000-1-5</t>
        </is>
      </c>
      <c r="G5" s="45" t="inlineStr">
        <is>
          <t>D-50 (D-60~D-50)</t>
        </is>
      </c>
      <c r="H5" s="81" t="inlineStr">
        <is>
          <t>외부 지질전문가 Pool 관리</t>
        </is>
      </c>
      <c r="I5" s="45" t="inlineStr">
        <is>
          <t>포스코스마트엔지니어링팀</t>
        </is>
      </c>
      <c r="J5" s="34" t="inlineStr">
        <is>
          <t>-</t>
        </is>
      </c>
      <c r="K5" s="45" t="inlineStr">
        <is>
          <t>지반조사 품질향상을 위한 제3자 검증 수행 지반조사 전문가 Pool 관리</t>
        </is>
      </c>
      <c r="L5" s="47" t="inlineStr">
        <is>
          <t>• Academic 전문가와 현장 전문가를 포함한 Pool 구성
• 전문가 Pool의 학력/기술사 등 경력사항(조사 15년) 확인</t>
        </is>
      </c>
      <c r="M5" s="47" t="inlineStr">
        <is>
          <t>외부지질전문가 Pool List</t>
        </is>
      </c>
      <c r="N5" s="47" t="inlineStr">
        <is>
          <t>지반조사 품질향상을 위한 제3자 검증 수행 지반조사 전문가 Pool 관리 | 외부지질전문가 Pool List</t>
        </is>
      </c>
      <c r="O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5" s="47" t="inlineStr">
        <is>
          <t>• Academic 전문가와 현장 전문가를 포함한 Pool 구성 • 전문가 Pool의 학력/기술사 등 경력사항(조사 15년) 확인</t>
        </is>
      </c>
      <c r="Q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5" s="47" t="inlineStr">
        <is>
          <t>1) 외부 지질전문가 Pool 관리 적정성을 확인하였는가? 2) 외부지질전문가 Pool List 산출물을 확보하였는가?</t>
        </is>
      </c>
      <c r="S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5" s="47" t="n"/>
    </row>
    <row r="6" ht="125.4" customHeight="1">
      <c r="A6" s="77" t="inlineStr">
        <is>
          <t>9000</t>
        </is>
      </c>
      <c r="B6" s="77" t="inlineStr">
        <is>
          <t>9000-1</t>
        </is>
      </c>
      <c r="C6" s="77" t="inlineStr">
        <is>
          <t>지반조사</t>
        </is>
      </c>
      <c r="D6" s="78" t="inlineStr">
        <is>
          <t>9000-1-5</t>
        </is>
      </c>
      <c r="E6" s="79" t="inlineStr">
        <is>
          <t>9000-1-4</t>
        </is>
      </c>
      <c r="F6" s="80" t="inlineStr">
        <is>
          <t>9000-1-6</t>
        </is>
      </c>
      <c r="G6" s="45" t="inlineStr">
        <is>
          <t>D-80 (D-120~D-80)</t>
        </is>
      </c>
      <c r="H6" s="81" t="inlineStr">
        <is>
          <t>지반조사 Pool 관리</t>
        </is>
      </c>
      <c r="I6" s="45" t="inlineStr">
        <is>
          <t>외주구매팀</t>
        </is>
      </c>
      <c r="J6" s="34" t="inlineStr">
        <is>
          <t>포스코스마트엔지니어링팀</t>
        </is>
      </c>
      <c r="K6" s="45" t="inlineStr">
        <is>
          <t>발주처 계획 대응 및 개략 지반조사 결과 사전 예측을 위한 업체 관리</t>
        </is>
      </c>
      <c r="L6" s="47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M6" s="47" t="inlineStr">
        <is>
          <t>조사업체 POOL/필요시 Update</t>
        </is>
      </c>
      <c r="N6" s="47" t="inlineStr">
        <is>
          <t>발주처 계획 대응 및 개략 지반조사 결과 사전 예측을 위한 업체 관리 | 조사업체 POOL/필요시 Update</t>
        </is>
      </c>
      <c r="O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6" s="47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Q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6" s="47" t="inlineStr">
        <is>
          <t>1) 지반조사 Pool 관리 적정성을 확인하였는가? 2) 조사업체 POOL/필요시 Update 산출물을 확보하였는가?</t>
        </is>
      </c>
      <c r="S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6" s="47" t="n"/>
    </row>
    <row r="7" ht="172.8" customHeight="1">
      <c r="A7" s="77" t="inlineStr">
        <is>
          <t>9000</t>
        </is>
      </c>
      <c r="B7" s="77" t="inlineStr">
        <is>
          <t>9000-1</t>
        </is>
      </c>
      <c r="C7" s="77" t="inlineStr">
        <is>
          <t>지반조사</t>
        </is>
      </c>
      <c r="D7" s="78" t="inlineStr">
        <is>
          <t>9000-1-6</t>
        </is>
      </c>
      <c r="E7" s="79" t="inlineStr">
        <is>
          <t>9000-1-5</t>
        </is>
      </c>
      <c r="F7" s="80" t="inlineStr">
        <is>
          <t>9000-1-7</t>
        </is>
      </c>
      <c r="G7" s="45" t="inlineStr">
        <is>
          <t>D-40</t>
        </is>
      </c>
      <c r="H7" s="81" t="inlineStr">
        <is>
          <t>기본계획 지반조사 자료 및 R/O 정보 입수</t>
        </is>
      </c>
      <c r="I7" s="45" t="inlineStr">
        <is>
          <t>지반조사 협력업체</t>
        </is>
      </c>
      <c r="J7" s="34" t="inlineStr">
        <is>
          <t>설계 협력업체</t>
        </is>
      </c>
      <c r="K7" s="45" t="inlineStr">
        <is>
          <t>발주처 기본계획 및 지반조사 결과 사전 획득</t>
        </is>
      </c>
      <c r="L7" s="47" t="inlineStr">
        <is>
          <t>• 기본계획 지반조사결과 및 실시설계 Contact을 통한 자료입수</t>
        </is>
      </c>
      <c r="M7" s="47" t="inlineStr">
        <is>
          <t>발주처 기본계획 보고서 및 지반조사 보고서(비공식)</t>
        </is>
      </c>
      <c r="N7" s="47" t="inlineStr">
        <is>
          <t>발주처 기본계획 및 지반조사 결과 사전 획득 | 발주처 기본계획 보고서 및 지반조사 보고서(비공식)</t>
        </is>
      </c>
      <c r="O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7" s="47" t="inlineStr">
        <is>
          <t>• 기본계획 지반조사결과 및 실시설계 Contact을 통한 자료입수</t>
        </is>
      </c>
      <c r="Q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7" s="47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S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7" s="47" t="n"/>
    </row>
    <row r="8" ht="96" customHeight="1">
      <c r="A8" s="77" t="inlineStr">
        <is>
          <t>9000</t>
        </is>
      </c>
      <c r="B8" s="77" t="inlineStr">
        <is>
          <t>9000-1</t>
        </is>
      </c>
      <c r="C8" s="77" t="inlineStr">
        <is>
          <t>지반조사</t>
        </is>
      </c>
      <c r="D8" s="78" t="inlineStr">
        <is>
          <t>9000-1-7</t>
        </is>
      </c>
      <c r="E8" s="79" t="inlineStr">
        <is>
          <t>9000-1-6</t>
        </is>
      </c>
      <c r="F8" s="80" t="inlineStr">
        <is>
          <t>9000-1-8</t>
        </is>
      </c>
      <c r="G8" s="45" t="inlineStr">
        <is>
          <t>D-65 (D-65~D-55)</t>
        </is>
      </c>
      <c r="H8" s="81" t="inlineStr">
        <is>
          <t>기본계획 지반조사 R/O 검토 (설계, 공정, 기획)</t>
        </is>
      </c>
      <c r="I8" s="45" t="inlineStr">
        <is>
          <t>포스코스마트엔지니어링팀(설계), 토목수행팀(공정), 토목사업지원팀(기획)</t>
        </is>
      </c>
      <c r="J8" s="34" t="inlineStr">
        <is>
          <t>토목견적팀</t>
        </is>
      </c>
      <c r="K8" s="45" t="inlineStr">
        <is>
          <t>발주처 기본계획 지반조사 문제점 검토</t>
        </is>
      </c>
      <c r="L8" s="47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M8" s="47" t="inlineStr">
        <is>
          <t>기본계획 지반조사 검토서(설계, 공정, 기획)</t>
        </is>
      </c>
      <c r="N8" s="47" t="inlineStr">
        <is>
          <t>발주처 기본계획 지반조사 문제점 검토 | 기본계획 지반조사 검토서(설계, 공정, 기획)</t>
        </is>
      </c>
      <c r="O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8" s="47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Q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8" s="47" t="inlineStr">
        <is>
          <t>1) 기본계획 지반조사 R/O 검토 (설계, 공정, 기획) 적정성을 확인하였는가? 2) 기본계획 지반조사 검토서(설계, 공정, 기획) 산출물을 확보하였는가?</t>
        </is>
      </c>
      <c r="S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8" s="47" t="n"/>
    </row>
    <row r="9" ht="115.2" customHeight="1">
      <c r="A9" s="77" t="inlineStr">
        <is>
          <t>9000</t>
        </is>
      </c>
      <c r="B9" s="77" t="inlineStr">
        <is>
          <t>9000-1</t>
        </is>
      </c>
      <c r="C9" s="77" t="inlineStr">
        <is>
          <t>지반조사</t>
        </is>
      </c>
      <c r="D9" s="78" t="inlineStr">
        <is>
          <t>9000-1-8</t>
        </is>
      </c>
      <c r="E9" s="79" t="inlineStr">
        <is>
          <t>9000-1-7</t>
        </is>
      </c>
      <c r="F9" s="80" t="inlineStr">
        <is>
          <t>9000-1-9</t>
        </is>
      </c>
      <c r="G9" s="45" t="inlineStr">
        <is>
          <t>D-40 (D-60~D-40)</t>
        </is>
      </c>
      <c r="H9" s="81" t="inlineStr">
        <is>
          <t>기본계획 지반조사 R/O 종합검토 (원가)</t>
        </is>
      </c>
      <c r="I9" s="45" t="inlineStr">
        <is>
          <t>토목견적팀</t>
        </is>
      </c>
      <c r="J9" s="34" t="inlineStr">
        <is>
          <t>포스코스마트엔지니어링팀(설계), 토목수행팀(공정), 토목사업지원팀(기획)</t>
        </is>
      </c>
      <c r="K9" s="45" t="inlineStr">
        <is>
          <t>발주처 지반조사 문제점 R/O 분석</t>
        </is>
      </c>
      <c r="L9" s="47" t="inlineStr">
        <is>
          <t>• 발주처 기본계획 지반조사 R/O별 Cost effect 분석</t>
        </is>
      </c>
      <c r="M9" s="47" t="inlineStr">
        <is>
          <t>기본계획 지반조사 개략 검토서</t>
        </is>
      </c>
      <c r="N9" s="47" t="inlineStr">
        <is>
          <t>발주처 지반조사 문제점 R/O 분석 | 기본계획 지반조사 개략 검토서</t>
        </is>
      </c>
      <c r="O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9" s="47" t="inlineStr">
        <is>
          <t>• 발주처 기본계획 지반조사 R/O별 Cost effect 분석</t>
        </is>
      </c>
      <c r="Q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9" s="47" t="inlineStr">
        <is>
          <t>1) 기본계획 지반조사 R/O 종합검토 (원가) 적정성을 확인하였는가? 2) 기본계획 지반조사 개략 검토서 산출물을 확보하였는가?</t>
        </is>
      </c>
      <c r="S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9" s="47" t="n"/>
    </row>
    <row r="10" ht="115.2" customHeight="1">
      <c r="A10" s="77" t="inlineStr">
        <is>
          <t>9000</t>
        </is>
      </c>
      <c r="B10" s="77" t="inlineStr">
        <is>
          <t>9000-1</t>
        </is>
      </c>
      <c r="C10" s="77" t="inlineStr">
        <is>
          <t>지반조사</t>
        </is>
      </c>
      <c r="D10" s="78" t="inlineStr">
        <is>
          <t>9000-1-9</t>
        </is>
      </c>
      <c r="E10" s="79" t="inlineStr">
        <is>
          <t>9000-1-8</t>
        </is>
      </c>
      <c r="F10" s="80" t="inlineStr">
        <is>
          <t>9000-1-10</t>
        </is>
      </c>
      <c r="G10" s="45" t="inlineStr">
        <is>
          <t>D-30</t>
        </is>
      </c>
      <c r="H10" s="81" t="inlineStr">
        <is>
          <t>지반조사 업체 선정</t>
        </is>
      </c>
      <c r="I10" s="45" t="inlineStr">
        <is>
          <t>일반구매팀</t>
        </is>
      </c>
      <c r="J10" s="34" t="inlineStr">
        <is>
          <t>포스코스마트엔지니어링팀</t>
        </is>
      </c>
      <c r="K10" s="45" t="inlineStr">
        <is>
          <t>지반조사업체 Pool 내 최적의 업체 선정</t>
        </is>
      </c>
      <c r="L10" s="47" t="inlineStr">
        <is>
          <t>• 지반조사업체 Pool/실적 검토 및 공종별 적합성 정합 및 견적 본부 연계 검토</t>
        </is>
      </c>
      <c r="M10" s="47" t="inlineStr">
        <is>
          <t>지반조사 입찰 참여 Pool</t>
        </is>
      </c>
      <c r="N10" s="47" t="inlineStr">
        <is>
          <t>지반조사업체 Pool 내 최적의 업체 선정 | 지반조사 입찰 참여 Pool</t>
        </is>
      </c>
      <c r="O1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0" s="47" t="inlineStr">
        <is>
          <t>• 지반조사업체 Pool/실적 검토 및 공종별 적합성 정합 및 견적 본부 연계 검토</t>
        </is>
      </c>
      <c r="Q1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0" s="47" t="inlineStr">
        <is>
          <t>1) 지반조사 업체 선정 적정성을 확인하였는가? 2) 지반조사 입찰 참여 Pool 산출물을 확보하였는가?</t>
        </is>
      </c>
      <c r="S1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0" s="47" t="n"/>
    </row>
    <row r="11" ht="96" customHeight="1">
      <c r="A11" s="77" t="inlineStr">
        <is>
          <t>9000</t>
        </is>
      </c>
      <c r="B11" s="77" t="inlineStr">
        <is>
          <t>9000-1</t>
        </is>
      </c>
      <c r="C11" s="77" t="inlineStr">
        <is>
          <t>지반조사</t>
        </is>
      </c>
      <c r="D11" s="78" t="inlineStr">
        <is>
          <t>9000-1-10</t>
        </is>
      </c>
      <c r="E11" s="79" t="inlineStr">
        <is>
          <t>9000-1-9</t>
        </is>
      </c>
      <c r="F11" s="80" t="inlineStr">
        <is>
          <t>9000-1-11</t>
        </is>
      </c>
      <c r="G11" s="45" t="inlineStr">
        <is>
          <t>D-30</t>
        </is>
      </c>
      <c r="H11" s="81" t="inlineStr">
        <is>
          <t>지반조사 업체 계약</t>
        </is>
      </c>
      <c r="I11" s="45" t="inlineStr">
        <is>
          <t>일반구매팀</t>
        </is>
      </c>
      <c r="J11" s="34" t="inlineStr">
        <is>
          <t>포스코스마트엔지니어링팀</t>
        </is>
      </c>
      <c r="K11" s="45" t="inlineStr">
        <is>
          <t>지반조사업체 용역 계약</t>
        </is>
      </c>
      <c r="L11" s="47" t="inlineStr">
        <is>
          <t>• 일반구매시스템을 이용한 용역계약</t>
        </is>
      </c>
      <c r="M11" s="47" t="inlineStr">
        <is>
          <t>지반조사 용역 계약서</t>
        </is>
      </c>
      <c r="N11" s="47" t="inlineStr">
        <is>
          <t>지반조사업체 용역 계약 | 지반조사 용역 계약서</t>
        </is>
      </c>
      <c r="O1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1" s="47" t="inlineStr">
        <is>
          <t>• 일반구매시스템을 이용한 용역계약</t>
        </is>
      </c>
      <c r="Q1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1" s="47" t="inlineStr">
        <is>
          <t>1) 지반조사 업체 계약 적정성을 확인하였는가? 2) 지반조사 용역 계약서 산출물을 확보하였는가?</t>
        </is>
      </c>
      <c r="S1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1" s="47" t="n"/>
    </row>
    <row r="12" ht="115.2" customHeight="1">
      <c r="A12" s="77" t="inlineStr">
        <is>
          <t>9000</t>
        </is>
      </c>
      <c r="B12" s="77" t="inlineStr">
        <is>
          <t>9000-1</t>
        </is>
      </c>
      <c r="C12" s="77" t="inlineStr">
        <is>
          <t>지반조사</t>
        </is>
      </c>
      <c r="D12" s="78" t="inlineStr">
        <is>
          <t>9000-1-11</t>
        </is>
      </c>
      <c r="E12" s="79" t="inlineStr">
        <is>
          <t>9000-1-10</t>
        </is>
      </c>
      <c r="F12" s="80" t="inlineStr">
        <is>
          <t>9000-1-12</t>
        </is>
      </c>
      <c r="G12" s="45" t="inlineStr">
        <is>
          <t>D-30</t>
        </is>
      </c>
      <c r="H12" s="81" t="inlineStr">
        <is>
          <t>지반조사 항목, 수량 및 위치검토</t>
        </is>
      </c>
      <c r="I12" s="45" t="inlineStr">
        <is>
          <t>포스코스마트엔지니어링팀</t>
        </is>
      </c>
      <c r="J12" s="34" t="inlineStr">
        <is>
          <t>지반조사업체</t>
        </is>
      </c>
      <c r="K12" s="45" t="inlineStr">
        <is>
          <t>프로젝트 정합에 부합하는 지반조사 항목 사전조사 수행, 위치 선정</t>
        </is>
      </c>
      <c r="L12" s="47" t="inlineStr">
        <is>
          <t>• 현장답사 수행
• 공종별 실시설계에 준하여 수량 및 위치 검토</t>
        </is>
      </c>
      <c r="M12" s="47" t="inlineStr">
        <is>
          <t>지반조사 계획서</t>
        </is>
      </c>
      <c r="N12" s="47" t="inlineStr">
        <is>
          <t>프로젝트 정합에 부합하는 지반조사 항목 사전조사 수행, 위치 선정 | 지반조사 계획서</t>
        </is>
      </c>
      <c r="O1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2" s="47" t="inlineStr">
        <is>
          <t>• 현장답사 수행 • 공종별 실시설계에 준하여 수량 및 위치 검토</t>
        </is>
      </c>
      <c r="Q1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2" s="47" t="inlineStr">
        <is>
          <t>1) 지반조사 항목, 수량 및 위치검토 적정성을 확인하였는가? 2) 지반조사 계획서 산출물을 확보하였는가?</t>
        </is>
      </c>
      <c r="S1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2" s="47" t="n"/>
    </row>
    <row r="13" ht="96" customHeight="1">
      <c r="A13" s="77" t="inlineStr">
        <is>
          <t>9000</t>
        </is>
      </c>
      <c r="B13" s="77" t="inlineStr">
        <is>
          <t>9000-1</t>
        </is>
      </c>
      <c r="C13" s="77" t="inlineStr">
        <is>
          <t>지반조사</t>
        </is>
      </c>
      <c r="D13" s="78" t="inlineStr">
        <is>
          <t>9000-1-12</t>
        </is>
      </c>
      <c r="E13" s="79" t="inlineStr">
        <is>
          <t>9000-1-11</t>
        </is>
      </c>
      <c r="F13" s="80" t="inlineStr">
        <is>
          <t>9000-1-13</t>
        </is>
      </c>
      <c r="G13" s="45" t="inlineStr">
        <is>
          <t>D-30</t>
        </is>
      </c>
      <c r="H13" s="81" t="inlineStr">
        <is>
          <t>지반조사계획 적정성 심사의뢰</t>
        </is>
      </c>
      <c r="I13" s="45" t="inlineStr">
        <is>
          <t>외부지질전문가 3인 이상</t>
        </is>
      </c>
      <c r="J13" s="34" t="inlineStr">
        <is>
          <t>포스코스마트엔지니어링팀</t>
        </is>
      </c>
      <c r="K13" s="45" t="inlineStr">
        <is>
          <t>지반조사 항목, 수량 및 위치 적정성 검토</t>
        </is>
      </c>
      <c r="L13" s="47" t="inlineStr">
        <is>
          <t>• 지반조사 계획서 검토 및 검토</t>
        </is>
      </c>
      <c r="M13" s="47" t="inlineStr">
        <is>
          <t>지반조사계획 의견서</t>
        </is>
      </c>
      <c r="N13" s="47" t="inlineStr">
        <is>
          <t>지반조사 항목, 수량 및 위치 적정성 검토 | 지반조사계획 의견서</t>
        </is>
      </c>
      <c r="O1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3" s="47" t="inlineStr">
        <is>
          <t>• 지반조사 계획서 검토 및 검토</t>
        </is>
      </c>
      <c r="Q1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3" s="47" t="inlineStr">
        <is>
          <t>1) 지반조사계획 적정성 심사의뢰 적정성을 확인하였는가? 2) 지반조사계획 의견서 산출물을 확보하였는가?</t>
        </is>
      </c>
      <c r="S1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3" s="47" t="n"/>
    </row>
    <row r="14" ht="96" customHeight="1">
      <c r="A14" s="77" t="inlineStr">
        <is>
          <t>9000</t>
        </is>
      </c>
      <c r="B14" s="77" t="inlineStr">
        <is>
          <t>9000-1</t>
        </is>
      </c>
      <c r="C14" s="77" t="inlineStr">
        <is>
          <t>지반조사</t>
        </is>
      </c>
      <c r="D14" s="78" t="inlineStr">
        <is>
          <t>9000-1-13</t>
        </is>
      </c>
      <c r="E14" s="79" t="inlineStr">
        <is>
          <t>9000-1-12</t>
        </is>
      </c>
      <c r="F14" s="80" t="inlineStr">
        <is>
          <t>9000-1-14</t>
        </is>
      </c>
      <c r="G14" s="45" t="inlineStr">
        <is>
          <t>D-30</t>
        </is>
      </c>
      <c r="H14" s="81" t="inlineStr">
        <is>
          <t>지반조사 인허가</t>
        </is>
      </c>
      <c r="I14" s="45" t="inlineStr">
        <is>
          <t>지반조사업체</t>
        </is>
      </c>
      <c r="J14" s="34" t="inlineStr">
        <is>
          <t>포스코스마트엔지니어링팀</t>
        </is>
      </c>
      <c r="K14" s="45" t="inlineStr">
        <is>
          <t>지반조사 수행을 위한 인허가 승인</t>
        </is>
      </c>
      <c r="L14" s="47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M14" s="47" t="inlineStr">
        <is>
          <t>인허가 서류</t>
        </is>
      </c>
      <c r="N14" s="47" t="inlineStr">
        <is>
          <t>지반조사 수행을 위한 인허가 승인 | 인허가 서류</t>
        </is>
      </c>
      <c r="O1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4" s="47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Q1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4" s="47" t="inlineStr">
        <is>
          <t>1) 지반조사 인허가 적정성을 확인하였는가? 2) 인허가 서류 산출물을 확보하였는가?</t>
        </is>
      </c>
      <c r="S1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4" s="47" t="n"/>
    </row>
    <row r="15" ht="96" customHeight="1">
      <c r="A15" s="77" t="inlineStr">
        <is>
          <t>9000</t>
        </is>
      </c>
      <c r="B15" s="77" t="inlineStr">
        <is>
          <t>9000-1</t>
        </is>
      </c>
      <c r="C15" s="77" t="inlineStr">
        <is>
          <t>지반조사</t>
        </is>
      </c>
      <c r="D15" s="78" t="inlineStr">
        <is>
          <t>9000-1-14</t>
        </is>
      </c>
      <c r="E15" s="79" t="inlineStr">
        <is>
          <t>9000-1-13</t>
        </is>
      </c>
      <c r="F15" s="80" t="inlineStr">
        <is>
          <t>9000-1-15</t>
        </is>
      </c>
      <c r="G15" s="45" t="inlineStr">
        <is>
          <t>D-30</t>
        </is>
      </c>
      <c r="H15" s="81" t="inlineStr">
        <is>
          <t>지반조사 항목, 수량 및 위치 보완</t>
        </is>
      </c>
      <c r="I15" s="45" t="inlineStr">
        <is>
          <t>포스코스마트엔지니어링팀</t>
        </is>
      </c>
      <c r="J15" s="34" t="inlineStr">
        <is>
          <t>외부지질전문가 3인 이상, 지반조사업체</t>
        </is>
      </c>
      <c r="K15" s="45" t="inlineStr">
        <is>
          <t>외부지질전문가 의견을 반영한 지반조사 계획 확정</t>
        </is>
      </c>
      <c r="L15" s="47" t="inlineStr">
        <is>
          <t>• 외부지질전문가 지반조사 의견 검토
• 입찰설계 지반조사 계획 보완</t>
        </is>
      </c>
      <c r="M15" s="47" t="inlineStr">
        <is>
          <t>지반조사 용역 계약서</t>
        </is>
      </c>
      <c r="N15" s="47" t="inlineStr">
        <is>
          <t>외부지질전문가 의견을 반영한 지반조사 계획 확정 | 지반조사 용역 계약서</t>
        </is>
      </c>
      <c r="O1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5" s="47" t="inlineStr">
        <is>
          <t>• 외부지질전문가 지반조사 의견 검토 • 입찰설계 지반조사 계획 보완</t>
        </is>
      </c>
      <c r="Q1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5" s="47" t="inlineStr">
        <is>
          <t>1) 지반조사 항목, 수량 및 위치 보완 적정성을 확인하였는가? 2) 지반조사 용역 계약서 산출물을 확보하였는가?</t>
        </is>
      </c>
      <c r="S1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5" s="47" t="n"/>
    </row>
    <row r="16" ht="96" customHeight="1">
      <c r="A16" s="77" t="inlineStr">
        <is>
          <t>9000</t>
        </is>
      </c>
      <c r="B16" s="77" t="inlineStr">
        <is>
          <t>9000-1</t>
        </is>
      </c>
      <c r="C16" s="77" t="inlineStr">
        <is>
          <t>지반조사</t>
        </is>
      </c>
      <c r="D16" s="78" t="inlineStr">
        <is>
          <t>9000-1-15</t>
        </is>
      </c>
      <c r="E16" s="79" t="inlineStr">
        <is>
          <t>9000-1-14</t>
        </is>
      </c>
      <c r="F16" s="80" t="inlineStr">
        <is>
          <t>9000-1-16</t>
        </is>
      </c>
      <c r="G16" s="45" t="inlineStr">
        <is>
          <t>D-30</t>
        </is>
      </c>
      <c r="H16" s="81" t="inlineStr">
        <is>
          <t>지반조사 수행</t>
        </is>
      </c>
      <c r="I16" s="45" t="inlineStr">
        <is>
          <t>지반조사업체</t>
        </is>
      </c>
      <c r="J16" s="34" t="inlineStr">
        <is>
          <t>포스코스마트엔지니어링팀</t>
        </is>
      </c>
      <c r="K16" s="45" t="inlineStr">
        <is>
          <t>과업구간 지반여건 상세 파악</t>
        </is>
      </c>
      <c r="L16" s="47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M16" s="47" t="inlineStr">
        <is>
          <t>지반조사 보고서, 시추 Core 및 샘플</t>
        </is>
      </c>
      <c r="N16" s="47" t="inlineStr">
        <is>
          <t>과업구간 지반여건 상세 파악 | 지반조사 보고서, 시추 Core 및 샘플</t>
        </is>
      </c>
      <c r="O1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6" s="47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Q1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6" s="47" t="inlineStr">
        <is>
          <t>1) 지반조사 수행 적정성을 확인하였는가? 2) 지반조사 보고서, 시추 Core 및 샘플 산출물을 확보하였는가?</t>
        </is>
      </c>
      <c r="S1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6" s="47" t="n"/>
    </row>
    <row r="17" ht="96" customHeight="1">
      <c r="A17" s="77" t="inlineStr">
        <is>
          <t>9000</t>
        </is>
      </c>
      <c r="B17" s="77" t="inlineStr">
        <is>
          <t>9000-1</t>
        </is>
      </c>
      <c r="C17" s="77" t="inlineStr">
        <is>
          <t>지반조사</t>
        </is>
      </c>
      <c r="D17" s="78" t="inlineStr">
        <is>
          <t>9000-1-16</t>
        </is>
      </c>
      <c r="E17" s="79" t="inlineStr">
        <is>
          <t>9000-1-15</t>
        </is>
      </c>
      <c r="F17" s="80" t="inlineStr">
        <is>
          <t>9000-1-17</t>
        </is>
      </c>
      <c r="G17" s="45" t="inlineStr">
        <is>
          <t>D-30</t>
        </is>
      </c>
      <c r="H17" s="81" t="inlineStr">
        <is>
          <t>지반조사 수렴 결과 분석</t>
        </is>
      </c>
      <c r="I17" s="45" t="inlineStr">
        <is>
          <t>외부지질전문가 3인 이상</t>
        </is>
      </c>
      <c r="J17" s="34" t="inlineStr">
        <is>
          <t>포스코스마트엔지니어링팀, 지반조사업체</t>
        </is>
      </c>
      <c r="K17" s="45" t="inlineStr">
        <is>
          <t>지반조사 결과 오류 및 지반정수의 적합성 검토</t>
        </is>
      </c>
      <c r="L17" s="47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M17" s="47" t="inlineStr">
        <is>
          <t>지반조사 결과 분석 의견서</t>
        </is>
      </c>
      <c r="N17" s="47" t="inlineStr">
        <is>
          <t>지반조사 결과 오류 및 지반정수의 적합성 검토 | 지반조사 결과 분석 의견서</t>
        </is>
      </c>
      <c r="O1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7" s="47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Q1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7" s="47" t="inlineStr">
        <is>
          <t>1) 지반조사 수렴 결과 분석 적정성을 확인하였는가? 2) 지반조사 결과 분석 의견서 산출물을 확보하였는가?</t>
        </is>
      </c>
      <c r="S1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7" s="47" t="n"/>
    </row>
    <row r="18" ht="96" customHeight="1">
      <c r="A18" s="77" t="inlineStr">
        <is>
          <t>9000</t>
        </is>
      </c>
      <c r="B18" s="77" t="inlineStr">
        <is>
          <t>9000-1</t>
        </is>
      </c>
      <c r="C18" s="77" t="inlineStr">
        <is>
          <t>지반조사</t>
        </is>
      </c>
      <c r="D18" s="78" t="inlineStr">
        <is>
          <t>9000-1-17</t>
        </is>
      </c>
      <c r="E18" s="79" t="inlineStr">
        <is>
          <t>9000-1-16</t>
        </is>
      </c>
      <c r="F18" s="80" t="inlineStr">
        <is>
          <t>9000-1-18</t>
        </is>
      </c>
      <c r="G18" s="45" t="inlineStr">
        <is>
          <t>D-30</t>
        </is>
      </c>
      <c r="H18" s="81" t="inlineStr">
        <is>
          <t>입찰설계 지반조사 R/O 검토 (설계, 원가, 공정, 기타)</t>
        </is>
      </c>
      <c r="I18" s="45" t="inlineStr">
        <is>
          <t>토목견적팀(원가), 토목수행팀(공정), 토목사업지원팀(기획)</t>
        </is>
      </c>
      <c r="J18" s="34" t="inlineStr">
        <is>
          <t>포스코스마트엔지니어링팀</t>
        </is>
      </c>
      <c r="K18" s="45" t="inlineStr">
        <is>
          <t>입찰설계 지반조사 결과에 따른 직분야 R/O 및 Cost impact 반영 사항 검토</t>
        </is>
      </c>
      <c r="L18" s="47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M18" s="47" t="inlineStr">
        <is>
          <t>입찰설계 지반조사 검토서(설계, 원가, 공정, 기타)</t>
        </is>
      </c>
      <c r="N18" s="47" t="inlineStr">
        <is>
          <t>입찰설계 지반조사 결과에 따른 직분야 R/O 및 Cost impact 반영 사항 검토 | 입찰설계 지반조사 검토서(설계, 원가, 공정, 기타)</t>
        </is>
      </c>
      <c r="O1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8" s="47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Q1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8" s="47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S1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8" s="47" t="n"/>
    </row>
    <row r="19" ht="96" customHeight="1">
      <c r="A19" s="77" t="inlineStr">
        <is>
          <t>9000</t>
        </is>
      </c>
      <c r="B19" s="77" t="inlineStr">
        <is>
          <t>9000-1</t>
        </is>
      </c>
      <c r="C19" s="77" t="inlineStr">
        <is>
          <t>지반조사</t>
        </is>
      </c>
      <c r="D19" s="78" t="inlineStr">
        <is>
          <t>9000-1-18</t>
        </is>
      </c>
      <c r="E19" s="79" t="inlineStr">
        <is>
          <t>9000-1-17</t>
        </is>
      </c>
      <c r="F19" s="80" t="inlineStr">
        <is>
          <t>9000-1-19</t>
        </is>
      </c>
      <c r="G19" s="45" t="inlineStr">
        <is>
          <t>D-30</t>
        </is>
      </c>
      <c r="H19" s="81" t="inlineStr">
        <is>
          <t>지반조사 결과 R/O 종합검토</t>
        </is>
      </c>
      <c r="I19" s="45" t="inlineStr">
        <is>
          <t>포스코스마트엔지니어링팀</t>
        </is>
      </c>
      <c r="J19" s="34" t="inlineStr">
        <is>
          <t>토목견적팀(원가), 토목수행팀(공정), 토목사업지원팀(기획)</t>
        </is>
      </c>
      <c r="K19" s="45" t="inlineStr">
        <is>
          <t>원가 및 공정 검토 결과에 따른 입찰설계 R/O 최종 확정</t>
        </is>
      </c>
      <c r="L19" s="47" t="inlineStr">
        <is>
          <t>• 입찰설계 지반조사 R/O별 Cost effect 분석
• 유사사업 L/L 분석, R/P 검토를 통한 실시설계시 고려사항 검토</t>
        </is>
      </c>
      <c r="M19" s="47" t="inlineStr">
        <is>
          <t>입찰설계 R/O 검토서</t>
        </is>
      </c>
      <c r="N19" s="47" t="inlineStr">
        <is>
          <t>원가 및 공정 검토 결과에 따른 입찰설계 R/O 최종 확정 | 입찰설계 R/O 검토서</t>
        </is>
      </c>
      <c r="O1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9" s="47" t="inlineStr">
        <is>
          <t>• 입찰설계 지반조사 R/O별 Cost effect 분석 • 유사사업 L/L 분석, R/P 검토를 통한 실시설계시 고려사항 검토</t>
        </is>
      </c>
      <c r="Q1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9" s="47" t="inlineStr">
        <is>
          <t>1) 지반조사 결과 R/O 종합검토 적정성을 확인하였는가? 2) 입찰설계 R/O 검토서 산출물을 확보하였는가?</t>
        </is>
      </c>
      <c r="S1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9" s="47" t="n"/>
    </row>
    <row r="20" ht="96" customHeight="1">
      <c r="A20" s="77" t="inlineStr">
        <is>
          <t>9000</t>
        </is>
      </c>
      <c r="B20" s="77" t="inlineStr">
        <is>
          <t>9000-1</t>
        </is>
      </c>
      <c r="C20" s="77" t="inlineStr">
        <is>
          <t>지반조사</t>
        </is>
      </c>
      <c r="D20" s="78" t="inlineStr">
        <is>
          <t>9000-1-19</t>
        </is>
      </c>
      <c r="E20" s="79" t="inlineStr">
        <is>
          <t>9000-1-18</t>
        </is>
      </c>
      <c r="F20" s="80" t="inlineStr">
        <is>
          <t>9000-1-20</t>
        </is>
      </c>
      <c r="G20" s="45" t="inlineStr">
        <is>
          <t>D-30</t>
        </is>
      </c>
      <c r="H20" s="81" t="inlineStr">
        <is>
          <t>REM 수립</t>
        </is>
      </c>
      <c r="I20" s="45" t="inlineStr">
        <is>
          <t>포스코스마트엔지니어링팀</t>
        </is>
      </c>
      <c r="J20" s="34" t="inlineStr">
        <is>
          <t>토목견적팀, 토목사업지원팀</t>
        </is>
      </c>
      <c r="K20" s="45" t="inlineStr">
        <is>
          <t>REM 차트 작성(회사의 Core Risk, T/C 공정검토 결과, 경쟁사 동향, 발주 경향) 및 보고</t>
        </is>
      </c>
      <c r="L20" s="47" t="inlineStr">
        <is>
          <t>• Risk Profiling/Merge 방안 검토
• 공정 착공성 검토 및 T/C 검토
• 설계차별화 및 Idea Frame 검토</t>
        </is>
      </c>
      <c r="M20" s="47" t="inlineStr">
        <is>
          <t>REM 회의록</t>
        </is>
      </c>
      <c r="N20" s="47" t="inlineStr">
        <is>
          <t>REM 차트 작성(회사의 Core Risk, T/C 공정검토 결과, 경쟁사 동향, 발주 경향) 및 보고 | REM 회의록</t>
        </is>
      </c>
      <c r="O2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0" s="47" t="inlineStr">
        <is>
          <t>• Risk Profiling/Merge 방안 검토 • 공정 착공성 검토 및 T/C 검토 • 설계차별화 및 Idea Frame 검토</t>
        </is>
      </c>
      <c r="Q2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0" s="47" t="inlineStr">
        <is>
          <t>1) REM 수립 적정성을 확인하였는가? 2) REM 회의록 산출물을 확보하였는가?</t>
        </is>
      </c>
      <c r="S2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0" s="47" t="n"/>
    </row>
    <row r="21" ht="96" customHeight="1">
      <c r="A21" s="77" t="inlineStr">
        <is>
          <t>9000</t>
        </is>
      </c>
      <c r="B21" s="77" t="inlineStr">
        <is>
          <t>9000-1</t>
        </is>
      </c>
      <c r="C21" s="77" t="inlineStr">
        <is>
          <t>지반조사</t>
        </is>
      </c>
      <c r="D21" s="78" t="inlineStr">
        <is>
          <t>9000-1-20</t>
        </is>
      </c>
      <c r="E21" s="79" t="inlineStr">
        <is>
          <t>9000-1-19</t>
        </is>
      </c>
      <c r="F21" s="80" t="inlineStr">
        <is>
          <t>9000-1-21</t>
        </is>
      </c>
      <c r="G21" s="45" t="inlineStr">
        <is>
          <t>D-20</t>
        </is>
      </c>
      <c r="H21" s="81" t="inlineStr">
        <is>
          <t>추가지반조사 계획 수립</t>
        </is>
      </c>
      <c r="I21" s="45" t="inlineStr">
        <is>
          <t>포스코스마트엔지니어링팀</t>
        </is>
      </c>
      <c r="J21" s="34" t="inlineStr">
        <is>
          <t>토목견적팀(원가), 토목수행팀(공정), 토목사업지원팀(기획)</t>
        </is>
      </c>
      <c r="K21" s="45" t="inlineStr">
        <is>
          <t>R/O 분석 결과에 기반한 추가지반조사 항목 도출</t>
        </is>
      </c>
      <c r="L21" s="47" t="inlineStr">
        <is>
          <t>• 지반조사 수렴 결과 분석보고서 검토
• 지반조사 결과 R/O 종합검토 결과 검토</t>
        </is>
      </c>
      <c r="M21" s="47" t="inlineStr">
        <is>
          <t>추가지반조사 List</t>
        </is>
      </c>
      <c r="N21" s="47" t="inlineStr">
        <is>
          <t>R/O 분석 결과에 기반한 추가지반조사 항목 도출 | 추가지반조사 List</t>
        </is>
      </c>
      <c r="O2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1" s="47" t="inlineStr">
        <is>
          <t>• 지반조사 수렴 결과 분석보고서 검토 • 지반조사 결과 R/O 종합검토 결과 검토</t>
        </is>
      </c>
      <c r="Q2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1" s="47" t="inlineStr">
        <is>
          <t>1) 추가지반조사 계획 수립 적정성을 확인하였는가? 2) 추가지반조사 List 산출물을 확보하였는가?</t>
        </is>
      </c>
      <c r="S2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1" s="47" t="n"/>
    </row>
    <row r="22" ht="96" customHeight="1">
      <c r="A22" s="77" t="inlineStr">
        <is>
          <t>9000</t>
        </is>
      </c>
      <c r="B22" s="77" t="inlineStr">
        <is>
          <t>9000-1</t>
        </is>
      </c>
      <c r="C22" s="77" t="inlineStr">
        <is>
          <t>지반조사</t>
        </is>
      </c>
      <c r="D22" s="78" t="inlineStr">
        <is>
          <t>9000-1-21</t>
        </is>
      </c>
      <c r="E22" s="79" t="inlineStr">
        <is>
          <t>9000-1-20</t>
        </is>
      </c>
      <c r="F22" s="80" t="inlineStr">
        <is>
          <t>9000-1-22</t>
        </is>
      </c>
      <c r="G22" s="45" t="inlineStr">
        <is>
          <t>D-10</t>
        </is>
      </c>
      <c r="H22" s="81" t="inlineStr">
        <is>
          <t>3D GPR탐사 장비 사양(차량형) 검토</t>
        </is>
      </c>
      <c r="I22" s="45" t="inlineStr">
        <is>
          <t>현장 공무팀</t>
        </is>
      </c>
      <c r="J22" s="34" t="inlineStr">
        <is>
          <t>현장 공사팀</t>
        </is>
      </c>
      <c r="K22" s="45" t="inlineStr">
        <is>
          <t>적정 추가지반조사 규명을 위한 장비 사양 검토</t>
        </is>
      </c>
      <c r="L22" s="47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M22" s="47" t="inlineStr">
        <is>
          <t>-</t>
        </is>
      </c>
      <c r="N22" s="47" t="inlineStr">
        <is>
          <t>적정 추가지반조사 규명을 위한 장비 사양 검토 | -</t>
        </is>
      </c>
      <c r="O2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2" s="47" t="inlineStr">
        <is>
          <t>• 3D GPR탐사 장비 사양(차량형) - 3D Radar(노르웨이)_200~3000Hz, 2.0m~3.0m : 하상도 높음 - MIRA(스웨덴)_400~1300Hz, 1.0m~2.0m : 정밀한 입체 형상 - St...</t>
        </is>
      </c>
      <c r="Q2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2" s="47" t="inlineStr">
        <is>
          <t>1) 3D GPR탐사 장비 사양(차량형) 검토 적정성을 확인하였는가? 2) - 산출물을 확보하였는가?</t>
        </is>
      </c>
      <c r="S2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2" s="47" t="n"/>
    </row>
    <row r="23" ht="96" customHeight="1">
      <c r="A23" s="77" t="inlineStr">
        <is>
          <t>9000</t>
        </is>
      </c>
      <c r="B23" s="77" t="inlineStr">
        <is>
          <t>9000-1</t>
        </is>
      </c>
      <c r="C23" s="77" t="inlineStr">
        <is>
          <t>지반조사</t>
        </is>
      </c>
      <c r="D23" s="78" t="inlineStr">
        <is>
          <t>9000-1-22</t>
        </is>
      </c>
      <c r="E23" s="79" t="inlineStr">
        <is>
          <t>9000-1-21</t>
        </is>
      </c>
      <c r="F23" s="80" t="inlineStr">
        <is>
          <t>9000-1-23</t>
        </is>
      </c>
      <c r="G23" s="45" t="inlineStr">
        <is>
          <t>D+10~30</t>
        </is>
      </c>
      <c r="H23" s="81" t="inlineStr">
        <is>
          <t>ECRM 수립</t>
        </is>
      </c>
      <c r="I23" s="45" t="inlineStr">
        <is>
          <t>토목견적팀(원가)</t>
        </is>
      </c>
      <c r="J23" s="34" t="inlineStr">
        <is>
          <t>포스코스마트엔지니어링팀, 토목수행팀, 토목사업지원팀</t>
        </is>
      </c>
      <c r="K23" s="45" t="inlineStr">
        <is>
          <t>입찰설계 지반조사 결과에 따른 직분야 R/O 및 Cost impact 반영 사항 검토</t>
        </is>
      </c>
      <c r="L23" s="47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M23" s="47" t="inlineStr">
        <is>
          <t>입찰설계 지반조사 검토서(설계, 원가, 공정, 기타)</t>
        </is>
      </c>
      <c r="N23" s="47" t="inlineStr">
        <is>
          <t>입찰설계 지반조사 결과에 따른 직분야 R/O 및 Cost impact 반영 사항 검토 | 입찰설계 지반조사 검토서(설계, 원가, 공정, 기타)</t>
        </is>
      </c>
      <c r="O2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3" s="47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Q2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3" s="47" t="inlineStr">
        <is>
          <t>1) ECRM 수립 적정성을 확인하였는가? 2) 입찰설계 지반조사 검토서(설계, 원가, 공정, 기타) 산출물을 확보하였는가?</t>
        </is>
      </c>
      <c r="S2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3" s="47" t="n"/>
    </row>
    <row r="24" ht="96" customHeight="1">
      <c r="A24" s="77" t="inlineStr">
        <is>
          <t>9000</t>
        </is>
      </c>
      <c r="B24" s="77" t="inlineStr">
        <is>
          <t>9000-1</t>
        </is>
      </c>
      <c r="C24" s="77" t="inlineStr">
        <is>
          <t>지반조사</t>
        </is>
      </c>
      <c r="D24" s="78" t="inlineStr">
        <is>
          <t>9000-1-23</t>
        </is>
      </c>
      <c r="E24" s="79" t="inlineStr">
        <is>
          <t>9000-1-22</t>
        </is>
      </c>
      <c r="F24" s="80" t="inlineStr">
        <is>
          <t>9000-1-24</t>
        </is>
      </c>
      <c r="G24" s="45" t="inlineStr">
        <is>
          <t>D+10~25</t>
        </is>
      </c>
      <c r="H24" s="81" t="inlineStr">
        <is>
          <t>최종 Cost 검토 / 입찰</t>
        </is>
      </c>
      <c r="I24" s="45" t="inlineStr">
        <is>
          <t>토목견적팀</t>
        </is>
      </c>
      <c r="J24" s="34" t="inlineStr">
        <is>
          <t>-</t>
        </is>
      </c>
      <c r="K24" s="45" t="inlineStr">
        <is>
          <t>입찰</t>
        </is>
      </c>
      <c r="L24" s="47" t="inlineStr">
        <is>
          <t>• 최종 R/O를 반영한 투찰내역서 작성</t>
        </is>
      </c>
      <c r="M24" s="47" t="inlineStr">
        <is>
          <t>투찰내역서</t>
        </is>
      </c>
      <c r="N24" s="47" t="inlineStr">
        <is>
          <t>입찰 | 투찰내역서</t>
        </is>
      </c>
      <c r="O2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4" s="47" t="inlineStr">
        <is>
          <t>• 최종 R/O를 반영한 투찰내역서 작성</t>
        </is>
      </c>
      <c r="Q2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4" s="47" t="inlineStr">
        <is>
          <t>1) 최종 Cost 검토 / 입찰 적정성을 확인하였는가? 2) 투찰내역서 산출물을 확보하였는가?</t>
        </is>
      </c>
      <c r="S2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4" s="47" t="n"/>
    </row>
    <row r="25" ht="96" customHeight="1">
      <c r="A25" s="77" t="inlineStr">
        <is>
          <t>9000</t>
        </is>
      </c>
      <c r="B25" s="77" t="inlineStr">
        <is>
          <t>9000-1</t>
        </is>
      </c>
      <c r="C25" s="77" t="inlineStr">
        <is>
          <t>지반조사</t>
        </is>
      </c>
      <c r="D25" s="78" t="inlineStr">
        <is>
          <t>9000-1-24</t>
        </is>
      </c>
      <c r="E25" s="79" t="inlineStr">
        <is>
          <t>9000-1-23</t>
        </is>
      </c>
      <c r="F25" s="80" t="inlineStr">
        <is>
          <t>9000-1-25</t>
        </is>
      </c>
      <c r="G25" s="45" t="inlineStr">
        <is>
          <t>D+10~30</t>
        </is>
      </c>
      <c r="H25" s="81" t="inlineStr">
        <is>
          <t>입찰설계 현장 인수인계</t>
        </is>
      </c>
      <c r="I25" s="45" t="inlineStr">
        <is>
          <t>현장소장</t>
        </is>
      </c>
      <c r="J25" s="34" t="inlineStr">
        <is>
          <t>토목수행팀</t>
        </is>
      </c>
      <c r="K25" s="45" t="inlineStr">
        <is>
          <t>지반조사 포함 전체 R/O 승계자료 인수인계 및 추가지반조사 계획 공유</t>
        </is>
      </c>
      <c r="L25" s="47" t="inlineStr">
        <is>
          <t>• 최종 R/O 결과 및 입찰도서 인출</t>
        </is>
      </c>
      <c r="M25" s="47" t="inlineStr">
        <is>
          <t>인수인계서</t>
        </is>
      </c>
      <c r="N25" s="47" t="inlineStr">
        <is>
          <t>지반조사 포함 전체 R/O 승계자료 인수인계 및 추가지반조사 계획 공유 | 인수인계서</t>
        </is>
      </c>
      <c r="O2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5" s="47" t="inlineStr">
        <is>
          <t>• 최종 R/O 결과 및 입찰도서 인출</t>
        </is>
      </c>
      <c r="Q2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5" s="47" t="inlineStr">
        <is>
          <t>1) 입찰설계 현장 인수인계 적정성을 확인하였는가? 2) 인수인계서 산출물을 확보하였는가?</t>
        </is>
      </c>
      <c r="S2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5" s="47" t="n"/>
    </row>
    <row r="26" ht="96" customHeight="1">
      <c r="A26" s="77" t="inlineStr">
        <is>
          <t>9000</t>
        </is>
      </c>
      <c r="B26" s="77" t="inlineStr">
        <is>
          <t>9000-1</t>
        </is>
      </c>
      <c r="C26" s="77" t="inlineStr">
        <is>
          <t>지반조사</t>
        </is>
      </c>
      <c r="D26" s="78" t="inlineStr">
        <is>
          <t>9000-1-25</t>
        </is>
      </c>
      <c r="E26" s="79" t="inlineStr">
        <is>
          <t>9000-1-24</t>
        </is>
      </c>
      <c r="F26" s="80" t="inlineStr">
        <is>
          <t>9000-1-26</t>
        </is>
      </c>
      <c r="G26" s="45" t="inlineStr">
        <is>
          <t>D+10~30</t>
        </is>
      </c>
      <c r="H26" s="81" t="inlineStr">
        <is>
          <t>추가지반조사 수행</t>
        </is>
      </c>
      <c r="I26" s="45" t="inlineStr">
        <is>
          <t>지반조사업체</t>
        </is>
      </c>
      <c r="J26" s="34" t="inlineStr">
        <is>
          <t>현장 공사팀/공무팀, 포스코스마트엔지니어링팀, 토목수행팀</t>
        </is>
      </c>
      <c r="K26" s="45" t="inlineStr">
        <is>
          <t>미시추구간 지반조사 수행을 통한 지반 Risk Hedge</t>
        </is>
      </c>
      <c r="L26" s="47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M26" s="47" t="inlineStr">
        <is>
          <t>추가 지반조사 보고서</t>
        </is>
      </c>
      <c r="N26" s="47" t="inlineStr">
        <is>
          <t>미시추구간 지반조사 수행을 통한 지반 Risk Hedge | 추가 지반조사 보고서</t>
        </is>
      </c>
      <c r="O2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6" s="47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Q2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6" s="47" t="inlineStr">
        <is>
          <t>1) 추가지반조사 수행 적정성을 확인하였는가? 2) 추가 지반조사 보고서 산출물을 확보하였는가?</t>
        </is>
      </c>
      <c r="S2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6" s="47" t="n"/>
    </row>
    <row r="27" ht="96" customHeight="1">
      <c r="A27" s="77" t="inlineStr">
        <is>
          <t>9000</t>
        </is>
      </c>
      <c r="B27" s="77" t="inlineStr">
        <is>
          <t>9000-1</t>
        </is>
      </c>
      <c r="C27" s="77" t="inlineStr">
        <is>
          <t>지반조사</t>
        </is>
      </c>
      <c r="D27" s="78" t="inlineStr">
        <is>
          <t>9000-1-26</t>
        </is>
      </c>
      <c r="E27" s="79" t="inlineStr">
        <is>
          <t>9000-1-25</t>
        </is>
      </c>
      <c r="F27" s="80" t="inlineStr">
        <is>
          <t>9000-1-27</t>
        </is>
      </c>
      <c r="G27" s="45" t="inlineStr">
        <is>
          <t>D+10~30</t>
        </is>
      </c>
      <c r="H27" s="81" t="inlineStr">
        <is>
          <t>추가지반조사 결과 분석</t>
        </is>
      </c>
      <c r="I27" s="45" t="inlineStr">
        <is>
          <t>외부지질전문가 3인 이상</t>
        </is>
      </c>
      <c r="J27" s="34" t="inlineStr">
        <is>
          <t>현장 공사팀/공무팀, 포스코스마트엔지니어링팀, 토목수행팀</t>
        </is>
      </c>
      <c r="K27" s="45" t="inlineStr">
        <is>
          <t>추가지반조사 결과에 기반한 최종 R/O 확정</t>
        </is>
      </c>
      <c r="L27" s="47" t="inlineStr">
        <is>
          <t>• 외부전문가 검토 통한 지반특성 최종 Cross-check 확인
• 입찰설계 지반조사 대비 지반특성 변경구간 제원도 확인</t>
        </is>
      </c>
      <c r="M27" s="47" t="inlineStr">
        <is>
          <t>추가 지반조사결과 종합보고서</t>
        </is>
      </c>
      <c r="N27" s="47" t="inlineStr">
        <is>
          <t>추가지반조사 결과에 기반한 최종 R/O 확정 | 추가 지반조사결과 종합보고서</t>
        </is>
      </c>
      <c r="O2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7" s="47" t="inlineStr">
        <is>
          <t>• 외부전문가 검토 통한 지반특성 최종 Cross-check 확인 • 입찰설계 지반조사 대비 지반특성 변경구간 제원도 확인</t>
        </is>
      </c>
      <c r="Q2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7" s="47" t="inlineStr">
        <is>
          <t>1) 추가지반조사 결과 분석 적정성을 확인하였는가? 2) 추가 지반조사결과 종합보고서 산출물을 확보하였는가?</t>
        </is>
      </c>
      <c r="S2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7" s="47" t="n"/>
    </row>
    <row r="28" ht="96" customHeight="1">
      <c r="A28" s="77" t="inlineStr">
        <is>
          <t>9000</t>
        </is>
      </c>
      <c r="B28" s="77" t="inlineStr">
        <is>
          <t>9000-1</t>
        </is>
      </c>
      <c r="C28" s="77" t="inlineStr">
        <is>
          <t>지반조사</t>
        </is>
      </c>
      <c r="D28" s="78" t="inlineStr">
        <is>
          <t>9000-1-27</t>
        </is>
      </c>
      <c r="E28" s="79" t="inlineStr">
        <is>
          <t>9000-1-26</t>
        </is>
      </c>
      <c r="F28" s="80" t="inlineStr">
        <is>
          <t>9000-1-28</t>
        </is>
      </c>
      <c r="G28" s="45" t="inlineStr">
        <is>
          <t>D+10~30</t>
        </is>
      </c>
      <c r="H28" s="81" t="inlineStr">
        <is>
          <t>실시설계 지반조사 R/O 검토 (설계, 원가, 공정, 기타)</t>
        </is>
      </c>
      <c r="I28" s="45" t="inlineStr">
        <is>
          <t>포스코스마트엔지니어링팀</t>
        </is>
      </c>
      <c r="J28" s="34" t="inlineStr">
        <is>
          <t>현장 공사팀/품질팀/공무팀, 토목견적팀(원가), 토목수행팀(공정), 토목사업지원팀(기획)</t>
        </is>
      </c>
      <c r="K28" s="45" t="inlineStr">
        <is>
          <t>실시설계 지반조사 결과에 따른 직분야 R/O 및 Cost impact 반영 사항 검토</t>
        </is>
      </c>
      <c r="L28" s="47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M28" s="47" t="inlineStr">
        <is>
          <t>실시설계 지반조사 검토서(설계, 원가, 공정, 기타)</t>
        </is>
      </c>
      <c r="N28" s="47" t="inlineStr">
        <is>
          <t>실시설계 지반조사 결과에 따른 직분야 R/O 및 Cost impact 반영 사항 검토 | 실시설계 지반조사 검토서(설계, 원가, 공정, 기타)</t>
        </is>
      </c>
      <c r="O2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8" s="47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Q2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8" s="47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S28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8" s="47" t="n"/>
    </row>
    <row r="29" ht="96" customHeight="1">
      <c r="A29" s="77" t="inlineStr">
        <is>
          <t>9000</t>
        </is>
      </c>
      <c r="B29" s="77" t="inlineStr">
        <is>
          <t>9000-1</t>
        </is>
      </c>
      <c r="C29" s="77" t="inlineStr">
        <is>
          <t>지반조사</t>
        </is>
      </c>
      <c r="D29" s="78" t="inlineStr">
        <is>
          <t>9000-1-28</t>
        </is>
      </c>
      <c r="E29" s="79" t="inlineStr">
        <is>
          <t>9000-1-27</t>
        </is>
      </c>
      <c r="F29" s="80" t="inlineStr">
        <is>
          <t>9000-1-29</t>
        </is>
      </c>
      <c r="G29" s="45" t="inlineStr">
        <is>
          <t>D+10~30</t>
        </is>
      </c>
      <c r="H29" s="81" t="inlineStr">
        <is>
          <t>실시설계 추가지반조사 결과 검토</t>
        </is>
      </c>
      <c r="I29" s="45" t="inlineStr">
        <is>
          <t>포스코스마트엔지니어링팀</t>
        </is>
      </c>
      <c r="J29" s="34" t="inlineStr">
        <is>
          <t>현장 공사팀/품질팀/공무팀, 토목견적팀(원가), 토목수행팀(공정), 토목사업지원팀(기획)</t>
        </is>
      </c>
      <c r="K29" s="45" t="inlineStr">
        <is>
          <t>추가지반조사 결과에 기반한 최종 R/O 확정</t>
        </is>
      </c>
      <c r="L29" s="47" t="inlineStr">
        <is>
          <t>• 추가지반조사 결과 검토</t>
        </is>
      </c>
      <c r="M29" s="47" t="inlineStr">
        <is>
          <t>실시설계 최종 R/O</t>
        </is>
      </c>
      <c r="N29" s="47" t="inlineStr">
        <is>
          <t>추가지반조사 결과에 기반한 최종 R/O 확정 | 실시설계 최종 R/O</t>
        </is>
      </c>
      <c r="O2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9" s="47" t="inlineStr">
        <is>
          <t>• 추가지반조사 결과 검토</t>
        </is>
      </c>
      <c r="Q2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9" s="47" t="inlineStr">
        <is>
          <t>1) 실시설계 추가지반조사 결과 검토 적정성을 확인하였는가? 2) 실시설계 최종 R/O 산출물을 확보하였는가?</t>
        </is>
      </c>
      <c r="S29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9" s="47" t="n"/>
    </row>
    <row r="30" ht="96" customHeight="1">
      <c r="A30" s="77" t="inlineStr">
        <is>
          <t>9000</t>
        </is>
      </c>
      <c r="B30" s="77" t="inlineStr">
        <is>
          <t>9000-1</t>
        </is>
      </c>
      <c r="C30" s="77" t="inlineStr">
        <is>
          <t>지반조사</t>
        </is>
      </c>
      <c r="D30" s="78" t="inlineStr">
        <is>
          <t>9000-1-29</t>
        </is>
      </c>
      <c r="E30" s="79" t="inlineStr">
        <is>
          <t>9000-1-28</t>
        </is>
      </c>
      <c r="F30" s="80" t="inlineStr">
        <is>
          <t>9000-1-30</t>
        </is>
      </c>
      <c r="G30" s="45" t="inlineStr">
        <is>
          <t>D+75일 이후</t>
        </is>
      </c>
      <c r="H30" s="81" t="inlineStr">
        <is>
          <t>최종 R/O 이행방안 수립</t>
        </is>
      </c>
      <c r="I30" s="45" t="inlineStr">
        <is>
          <t>현장소장</t>
        </is>
      </c>
      <c r="J30" s="34" t="inlineStr">
        <is>
          <t>토목수행팀</t>
        </is>
      </c>
      <c r="K30" s="45" t="inlineStr">
        <is>
          <t>최종 지반조사 결과에 따른 R/O 이행방안 수립</t>
        </is>
      </c>
      <c r="L30" s="47" t="inlineStr">
        <is>
          <t>• Core Risk 및 Hedge 방안 수립
• Opportunity에 따른 본공 상가 추가 개선 방안 수립</t>
        </is>
      </c>
      <c r="M30" s="47" t="inlineStr">
        <is>
          <t>최종 R/O 이행계획서</t>
        </is>
      </c>
      <c r="N30" s="47" t="inlineStr">
        <is>
          <t>최종 지반조사 결과에 따른 R/O 이행방안 수립 | 최종 R/O 이행계획서</t>
        </is>
      </c>
      <c r="O3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0" s="47" t="inlineStr">
        <is>
          <t>• Core Risk 및 Hedge 방안 수립 • Opportunity에 따른 본공 상가 추가 개선 방안 수립</t>
        </is>
      </c>
      <c r="Q3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0" s="47" t="inlineStr">
        <is>
          <t>1) 최종 R/O 이행방안 수립 적정성을 확인하였는가? 2) 최종 R/O 이행계획서 산출물을 확보하였는가?</t>
        </is>
      </c>
      <c r="S30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0" s="47" t="n"/>
    </row>
    <row r="31" ht="96" customHeight="1">
      <c r="A31" s="77" t="inlineStr">
        <is>
          <t>9000</t>
        </is>
      </c>
      <c r="B31" s="77" t="inlineStr">
        <is>
          <t>9000-1</t>
        </is>
      </c>
      <c r="C31" s="77" t="inlineStr">
        <is>
          <t>지반조사</t>
        </is>
      </c>
      <c r="D31" s="78" t="inlineStr">
        <is>
          <t>9000-1-30</t>
        </is>
      </c>
      <c r="E31" s="79" t="inlineStr">
        <is>
          <t>9000-1-29</t>
        </is>
      </c>
      <c r="F31" s="80" t="inlineStr">
        <is>
          <t>9000-1-31</t>
        </is>
      </c>
      <c r="G31" s="45" t="inlineStr">
        <is>
          <t>D+75일 이후</t>
        </is>
      </c>
      <c r="H31" s="81" t="inlineStr">
        <is>
          <t>외부지질전문가 업무평가</t>
        </is>
      </c>
      <c r="I31" s="45" t="inlineStr">
        <is>
          <t>포스코스마트엔지니어링팀</t>
        </is>
      </c>
      <c r="J31" s="34" t="inlineStr">
        <is>
          <t>현장 공사팀/공무팀</t>
        </is>
      </c>
      <c r="K31" s="45" t="inlineStr">
        <is>
          <t>참여인력 전문성 평가 및 특이사항 기록</t>
        </is>
      </c>
      <c r="L31" s="47" t="inlineStr">
        <is>
          <t>• 외부지질 전문가 업무평가서 작성</t>
        </is>
      </c>
      <c r="M31" s="47" t="inlineStr">
        <is>
          <t>외부지질 전문가 업무평가서</t>
        </is>
      </c>
      <c r="N31" s="47" t="inlineStr">
        <is>
          <t>참여인력 전문성 평가 및 특이사항 기록 | 외부지질 전문가 업무평가서</t>
        </is>
      </c>
      <c r="O3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1" s="47" t="inlineStr">
        <is>
          <t>• 외부지질 전문가 업무평가서 작성</t>
        </is>
      </c>
      <c r="Q3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1" s="47" t="inlineStr">
        <is>
          <t>1) 외부지질전문가 업무평가 적정성을 확인하였는가? 2) 외부지질 전문가 업무평가서 산출물을 확보하였는가?</t>
        </is>
      </c>
      <c r="S31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1" s="47" t="n"/>
    </row>
    <row r="32" ht="96" customHeight="1">
      <c r="A32" s="77" t="inlineStr">
        <is>
          <t>9000</t>
        </is>
      </c>
      <c r="B32" s="77" t="inlineStr">
        <is>
          <t>9000-1</t>
        </is>
      </c>
      <c r="C32" s="77" t="inlineStr">
        <is>
          <t>지반조사</t>
        </is>
      </c>
      <c r="D32" s="78" t="inlineStr">
        <is>
          <t>9000-1-31</t>
        </is>
      </c>
      <c r="E32" s="79" t="inlineStr">
        <is>
          <t>9000-1-30</t>
        </is>
      </c>
      <c r="F32" s="80" t="inlineStr">
        <is>
          <t>9000-1-32</t>
        </is>
      </c>
      <c r="G32" s="45" t="inlineStr">
        <is>
          <t>D+75일 이후</t>
        </is>
      </c>
      <c r="H32" s="81" t="inlineStr">
        <is>
          <t>조사업체 PM 업무평가</t>
        </is>
      </c>
      <c r="I32" s="45" t="inlineStr">
        <is>
          <t>포스코스마트엔지니어링팀</t>
        </is>
      </c>
      <c r="J32" s="34" t="inlineStr">
        <is>
          <t>현장 공사팀/공무팀</t>
        </is>
      </c>
      <c r="K32" s="45" t="inlineStr">
        <is>
          <t>조사업체 PM 전문성 평가 및 특이사항 기록</t>
        </is>
      </c>
      <c r="L32" s="47" t="inlineStr">
        <is>
          <t>• 지반조사 PM 업무평가서 작성</t>
        </is>
      </c>
      <c r="M32" s="47" t="inlineStr">
        <is>
          <t>PM업무평가서</t>
        </is>
      </c>
      <c r="N32" s="47" t="inlineStr">
        <is>
          <t>조사업체 PM 전문성 평가 및 특이사항 기록 | PM업무평가서</t>
        </is>
      </c>
      <c r="O3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2" s="47" t="inlineStr">
        <is>
          <t>• 지반조사 PM 업무평가서 작성</t>
        </is>
      </c>
      <c r="Q3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2" s="47" t="inlineStr">
        <is>
          <t>1) 조사업체 PM 업무평가 적정성을 확인하였는가? 2) PM업무평가서 산출물을 확보하였는가?</t>
        </is>
      </c>
      <c r="S32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2" s="47" t="n"/>
    </row>
    <row r="33" ht="96" customHeight="1">
      <c r="A33" s="77" t="inlineStr">
        <is>
          <t>9000</t>
        </is>
      </c>
      <c r="B33" s="77" t="inlineStr">
        <is>
          <t>9000-1</t>
        </is>
      </c>
      <c r="C33" s="77" t="inlineStr">
        <is>
          <t>지반조사</t>
        </is>
      </c>
      <c r="D33" s="78" t="inlineStr">
        <is>
          <t>9000-1-32</t>
        </is>
      </c>
      <c r="E33" s="79" t="inlineStr">
        <is>
          <t>9000-1-31</t>
        </is>
      </c>
      <c r="F33" s="80" t="inlineStr">
        <is>
          <t>9000-1-33</t>
        </is>
      </c>
      <c r="G33" s="45" t="n"/>
      <c r="H33" s="81" t="inlineStr">
        <is>
          <t>지반조사업체 업무평가</t>
        </is>
      </c>
      <c r="I33" s="45" t="inlineStr">
        <is>
          <t>현장소장</t>
        </is>
      </c>
      <c r="J33" s="34" t="inlineStr">
        <is>
          <t>현장 공사팀/공무팀</t>
        </is>
      </c>
      <c r="K33" s="45" t="inlineStr">
        <is>
          <t>조사업체 업무평가 및 특이사항 기록</t>
        </is>
      </c>
      <c r="L33" s="47" t="inlineStr">
        <is>
          <t>• 협력업체 업무평가서</t>
        </is>
      </c>
      <c r="M33" s="47" t="inlineStr">
        <is>
          <t>협력업체 업무평가서</t>
        </is>
      </c>
      <c r="N33" s="47" t="inlineStr">
        <is>
          <t>조사업체 업무평가 및 특이사항 기록 | 협력업체 업무평가서</t>
        </is>
      </c>
      <c r="O3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3" s="47" t="inlineStr">
        <is>
          <t>• 협력업체 업무평가서</t>
        </is>
      </c>
      <c r="Q3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3" s="47" t="inlineStr">
        <is>
          <t>1) 지반조사업체 업무평가 적정성을 확인하였는가? 2) 협력업체 업무평가서 산출물을 확보하였는가?</t>
        </is>
      </c>
      <c r="S33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3" s="47" t="n"/>
    </row>
    <row r="34" ht="96" customHeight="1">
      <c r="A34" s="77" t="inlineStr">
        <is>
          <t>9000</t>
        </is>
      </c>
      <c r="B34" s="77" t="inlineStr">
        <is>
          <t>9000-1</t>
        </is>
      </c>
      <c r="C34" s="77" t="inlineStr">
        <is>
          <t>지반조사</t>
        </is>
      </c>
      <c r="D34" s="78" t="inlineStr">
        <is>
          <t>9000-1-33</t>
        </is>
      </c>
      <c r="E34" s="79" t="inlineStr">
        <is>
          <t>9000-1-32</t>
        </is>
      </c>
      <c r="F34" s="80" t="inlineStr">
        <is>
          <t>9000-1-34</t>
        </is>
      </c>
      <c r="G34" s="45" t="n"/>
      <c r="H34" s="81" t="inlineStr">
        <is>
          <t>설계변경 LL 리포트 작성</t>
        </is>
      </c>
      <c r="I34" s="45" t="inlineStr">
        <is>
          <t>현장소장</t>
        </is>
      </c>
      <c r="J34" s="34" t="inlineStr">
        <is>
          <t>현장 공무팀</t>
        </is>
      </c>
      <c r="K34" s="45" t="inlineStr">
        <is>
          <t>설계변경 사항 기록</t>
        </is>
      </c>
      <c r="L34" s="47" t="inlineStr">
        <is>
          <t>• 설계변경 사유 기록관리
• 예상 R/O대비 설계변경 사항 비교 검토</t>
        </is>
      </c>
      <c r="M34" s="47" t="inlineStr">
        <is>
          <t>LL리포트</t>
        </is>
      </c>
      <c r="N34" s="47" t="inlineStr">
        <is>
          <t>설계변경 사항 기록 | LL리포트</t>
        </is>
      </c>
      <c r="O3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4" s="47" t="inlineStr">
        <is>
          <t>• 설계변경 사유 기록관리 • 예상 R/O대비 설계변경 사항 비교 검토</t>
        </is>
      </c>
      <c r="Q3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4" s="47" t="inlineStr">
        <is>
          <t>1) 설계변경 LL 리포트 작성 적정성을 확인하였는가? 2) LL리포트 산출물을 확보하였는가?</t>
        </is>
      </c>
      <c r="S34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4" s="47" t="n"/>
    </row>
    <row r="35" ht="96" customHeight="1">
      <c r="A35" s="77" t="inlineStr">
        <is>
          <t>9000</t>
        </is>
      </c>
      <c r="B35" s="77" t="inlineStr">
        <is>
          <t>9000-1</t>
        </is>
      </c>
      <c r="C35" s="77" t="inlineStr">
        <is>
          <t>지반조사</t>
        </is>
      </c>
      <c r="D35" s="78" t="inlineStr">
        <is>
          <t>9000-1-34</t>
        </is>
      </c>
      <c r="E35" s="79" t="inlineStr">
        <is>
          <t>9000-1-33</t>
        </is>
      </c>
      <c r="F35" s="80" t="inlineStr">
        <is>
          <t>9000-1-35</t>
        </is>
      </c>
      <c r="G35" s="45" t="n"/>
      <c r="H35" s="81" t="inlineStr">
        <is>
          <t>설계변경 LL 리포트 관리</t>
        </is>
      </c>
      <c r="I35" s="45" t="inlineStr">
        <is>
          <t>토목수행팀</t>
        </is>
      </c>
      <c r="J35" s="34" t="inlineStr">
        <is>
          <t>현장소장</t>
        </is>
      </c>
      <c r="K35" s="45" t="inlineStr">
        <is>
          <t>전체 현장 설계변경 사항 기록</t>
        </is>
      </c>
      <c r="L35" s="47" t="inlineStr">
        <is>
          <t>• 현장별 설계변경 LL 리포트 취합 관리</t>
        </is>
      </c>
      <c r="M35" s="47" t="inlineStr">
        <is>
          <t>LL리포트 List</t>
        </is>
      </c>
      <c r="N35" s="47" t="inlineStr">
        <is>
          <t>전체 현장 설계변경 사항 기록 | LL리포트 List</t>
        </is>
      </c>
      <c r="O3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5" s="47" t="inlineStr">
        <is>
          <t>• 현장별 설계변경 LL 리포트 취합 관리</t>
        </is>
      </c>
      <c r="Q3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5" s="47" t="inlineStr">
        <is>
          <t>1) 설계변경 LL 리포트 관리 적정성을 확인하였는가? 2) LL리포트 List 산출물을 확보하였는가?</t>
        </is>
      </c>
      <c r="S35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5" s="47" t="n"/>
    </row>
    <row r="36" ht="96" customHeight="1">
      <c r="A36" s="77" t="inlineStr">
        <is>
          <t>9000</t>
        </is>
      </c>
      <c r="B36" s="77" t="inlineStr">
        <is>
          <t>9000-1</t>
        </is>
      </c>
      <c r="C36" s="77" t="inlineStr">
        <is>
          <t>지반조사</t>
        </is>
      </c>
      <c r="D36" s="78" t="inlineStr">
        <is>
          <t>9000-1-35</t>
        </is>
      </c>
      <c r="E36" s="79" t="inlineStr">
        <is>
          <t>9000-1-34</t>
        </is>
      </c>
      <c r="F36" s="80" t="inlineStr">
        <is>
          <t>9000-1-36</t>
        </is>
      </c>
      <c r="G36" s="45" t="n"/>
      <c r="H36" s="81" t="inlineStr">
        <is>
          <t>지반조사업체 정산계약</t>
        </is>
      </c>
      <c r="I36" s="45" t="inlineStr">
        <is>
          <t>일반구매팀</t>
        </is>
      </c>
      <c r="J36" s="34" t="inlineStr">
        <is>
          <t>현장 공무팀</t>
        </is>
      </c>
      <c r="K36" s="45" t="inlineStr">
        <is>
          <t>지반조사업체 정산</t>
        </is>
      </c>
      <c r="L36" s="47" t="inlineStr">
        <is>
          <t>• 조사도 수량 Check 후 구매시스템 변경계약 수행
• 변경계약 후 정산금 집행</t>
        </is>
      </c>
      <c r="M36" s="47" t="inlineStr">
        <is>
          <t>정산계약서</t>
        </is>
      </c>
      <c r="N36" s="47" t="inlineStr">
        <is>
          <t>지반조사업체 정산 | 정산계약서</t>
        </is>
      </c>
      <c r="O3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6" s="47" t="inlineStr">
        <is>
          <t>• 조사도 수량 Check 후 구매시스템 변경계약 수행 • 변경계약 후 정산금 집행</t>
        </is>
      </c>
      <c r="Q3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6" s="47" t="inlineStr">
        <is>
          <t>1) 지반조사업체 정산계약 적정성을 확인하였는가? 2) 정산계약서 산출물을 확보하였는가?</t>
        </is>
      </c>
      <c r="S36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6" s="47" t="n"/>
    </row>
    <row r="37" ht="96" customHeight="1">
      <c r="A37" s="77" t="inlineStr">
        <is>
          <t>9000</t>
        </is>
      </c>
      <c r="B37" s="77" t="inlineStr">
        <is>
          <t>9000-1</t>
        </is>
      </c>
      <c r="C37" s="77" t="inlineStr">
        <is>
          <t>지반조사</t>
        </is>
      </c>
      <c r="D37" s="78" t="inlineStr">
        <is>
          <t>9000-1-36</t>
        </is>
      </c>
      <c r="E37" s="79" t="inlineStr">
        <is>
          <t>9000-1-35</t>
        </is>
      </c>
      <c r="F37" s="80" t="inlineStr">
        <is>
          <t>-</t>
        </is>
      </c>
      <c r="G37" s="45" t="n"/>
      <c r="H37" s="81" t="inlineStr">
        <is>
          <t>매뉴얼 Update</t>
        </is>
      </c>
      <c r="I37" s="45" t="inlineStr">
        <is>
          <t>혁신실장</t>
        </is>
      </c>
      <c r="J37" s="34" t="inlineStr">
        <is>
          <t>현장 공무팀</t>
        </is>
      </c>
      <c r="K37" s="45" t="inlineStr">
        <is>
          <t>지반조사 매뉴얼 Update</t>
        </is>
      </c>
      <c r="L37" s="47" t="inlineStr">
        <is>
          <t>• 매뉴얼 Update 및 개정사항 사내공지</t>
        </is>
      </c>
      <c r="M37" s="47" t="inlineStr">
        <is>
          <t>지반조사 매뉴얼</t>
        </is>
      </c>
      <c r="N37" s="47" t="inlineStr">
        <is>
          <t>지반조사 매뉴얼 Update | 지반조사 매뉴얼</t>
        </is>
      </c>
      <c r="O3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7" s="47" t="inlineStr">
        <is>
          <t>• 매뉴얼 Update 및 개정사항 사내공지</t>
        </is>
      </c>
      <c r="Q3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7" s="47" t="inlineStr">
        <is>
          <t>1) 매뉴얼 Update 적정성을 확인하였는가? 2) 지반조사 매뉴얼 산출물을 확보하였는가?</t>
        </is>
      </c>
      <c r="S37" s="70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7" s="47" t="n"/>
    </row>
  </sheetData>
  <pageMargins left="0.7" right="0.7" top="0.75" bottom="0.75" header="0.3" footer="0.3"/>
  <pageSetup orientation="landscape" paperSize="8" scale="28" verticalDpi="0"/>
</worksheet>
</file>

<file path=xl/worksheets/sheet2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S40"/>
  <sheetViews>
    <sheetView view="pageBreakPreview" zoomScale="55" zoomScaleNormal="55" zoomScaleSheetLayoutView="5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O3" sqref="O3"/>
    </sheetView>
  </sheetViews>
  <sheetFormatPr baseColWidth="8" defaultRowHeight="19.2"/>
  <cols>
    <col width="8.796875" customWidth="1" style="40" min="1" max="2"/>
    <col width="15" customWidth="1" style="22" min="3" max="3"/>
    <col width="16" customWidth="1" style="22" min="4" max="6"/>
    <col width="26" customWidth="1" style="22" min="7" max="7"/>
    <col width="28.59765625" customWidth="1" style="43" min="8" max="8"/>
    <col width="24.59765625" customWidth="1" style="40" min="9" max="9"/>
    <col width="49.8984375" customWidth="1" style="40" min="10" max="10"/>
    <col width="44.296875" customWidth="1" style="40" min="11" max="11"/>
    <col width="44.5" customWidth="1" style="40" min="12" max="12"/>
    <col width="53.69921875" customWidth="1" style="40" min="13" max="13"/>
    <col width="11.5" customWidth="1" style="40" min="14" max="14"/>
    <col width="50.5" customWidth="1" style="22" min="15" max="15"/>
    <col width="8.19921875" customWidth="1" style="40" min="16" max="16"/>
    <col width="45" customWidth="1" style="50" min="17" max="17"/>
    <col width="9.19921875" customWidth="1" style="16" min="18" max="18"/>
    <col width="17.296875" customWidth="1" style="40" min="19" max="19"/>
    <col width="45" customWidth="1" min="20" max="20"/>
    <col width="22" customWidth="1" min="21" max="37"/>
    <col width="8.796875" customWidth="1" min="38" max="75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6" t="inlineStr">
        <is>
          <t>표준서 (Standard) 요약</t>
        </is>
      </c>
      <c r="N1" s="7" t="inlineStr">
        <is>
          <t>표준서 파일 (HTML)</t>
        </is>
      </c>
      <c r="O1" s="6" t="inlineStr">
        <is>
          <t>수행지침 (Guideline) 요약</t>
        </is>
      </c>
      <c r="P1" s="7" t="inlineStr">
        <is>
          <t>수행지침 파일 (HTML)</t>
        </is>
      </c>
      <c r="Q1" s="6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</row>
    <row r="2" ht="90" customHeight="1">
      <c r="A2" s="77" t="inlineStr">
        <is>
          <t>9000</t>
        </is>
      </c>
      <c r="B2" s="77" t="inlineStr">
        <is>
          <t>9000-2</t>
        </is>
      </c>
      <c r="C2" s="77" t="inlineStr">
        <is>
          <t>사전토공사</t>
        </is>
      </c>
      <c r="D2" s="78" t="inlineStr">
        <is>
          <t>9000-2-1</t>
        </is>
      </c>
      <c r="E2" s="79" t="inlineStr">
        <is>
          <t>-</t>
        </is>
      </c>
      <c r="F2" s="80" t="inlineStr">
        <is>
          <t>9000-2-2</t>
        </is>
      </c>
      <c r="G2" s="45" t="inlineStr">
        <is>
          <t>D-90 (D-120~D-90)</t>
        </is>
      </c>
      <c r="H2" s="34" t="inlineStr">
        <is>
          <t>Site Survey</t>
        </is>
      </c>
      <c r="I2" s="45" t="inlineStr">
        <is>
          <t>현장 공사팀</t>
        </is>
      </c>
      <c r="J2" s="47" t="inlineStr">
        <is>
          <t>KDS 47 10 00 철도지반 설계기준 | 현장 가설 둔차선, 용지 경계 및 원지반 고저차 3D 레벨 현측 | 토공사 사전 현장 조사 보고서</t>
        </is>
      </c>
      <c r="K2" s="47" t="inlineStr">
        <is>
          <t>1) 현장 가설 도로 및 용지 경계 현측 ➔ 2) 광학 레벨 원지반 고저차 측정 ➔ 3) 진입 도로 장애 요소 매핑 ➔ 4) 현장 조사 보고서 감리 제출</t>
        </is>
      </c>
      <c r="L2" s="47" t="inlineStr">
        <is>
          <t>가설 도로 폭/구배 현측, 원지반 고저차 레벨 측량 및 3D BIM 도면 오차 점검 (현장 조사 보고서)</t>
        </is>
      </c>
      <c r="M2" s="47" t="inlineStr">
        <is>
          <t>KDS 47 10 00 철도지반 설계기준 | 현장 가설 둔차선, 용지 경계 및 원지반 고저차 3D 레벨 현측 | 토공사 사전 현장 조사 보고서</t>
        </is>
      </c>
      <c r="N2" s="63">
        <f>HYPERLINK(LEFT(CELL("filename",A1),FIND("[",CELL("filename",A1))-1)&amp;"2.사전토공사\1_Site Survey\표준서\Site Survey_표준서.html", "👉 [클릭] 표준서 열기 📄")</f>
        <v/>
      </c>
      <c r="O2" s="47" t="inlineStr">
        <is>
          <t>1) 현장 가설 도로 및 용지 경계 현측 ➔ 2) 광학 레벨 원지반 고저차 측정 ➔ 3) 진입 도로 장애 요소 매핑 ➔ 4) 현장 조사 보고서 감리 제출</t>
        </is>
      </c>
      <c r="P2" s="64">
        <f>HYPERLINK(LEFT(CELL("filename",A1),FIND("[",CELL("filename",A1))-1)&amp;"2.사전토공사\1_Site Survey\수행지침\Site Survey_수행지침.html", "👉 [클릭] 수행지침 열기 📄")</f>
        <v/>
      </c>
      <c r="Q2" s="47" t="inlineStr">
        <is>
          <t>가설 도로 폭/구배 현측, 원지반 고저차 레벨 측량 및 3D BIM 도면 오차 점검 (현장 조사 보고서)</t>
        </is>
      </c>
      <c r="R2" s="71">
        <f>HYPERLINK(LEFT(CELL("filename",A1),FIND("[",CELL("filename",A1))-1)&amp;"2.사전토공사\1_Site Survey\체크리스트\Site Survey_체크리스트.html", "👉 [클릭] 체크리스트 열기 📄")</f>
        <v/>
      </c>
      <c r="S2" s="45" t="n"/>
    </row>
    <row r="3" ht="134.4" customHeight="1">
      <c r="A3" s="77" t="inlineStr">
        <is>
          <t>9000</t>
        </is>
      </c>
      <c r="B3" s="77" t="inlineStr">
        <is>
          <t>9000-2</t>
        </is>
      </c>
      <c r="C3" s="77" t="inlineStr">
        <is>
          <t>사전토공사</t>
        </is>
      </c>
      <c r="D3" s="78" t="inlineStr">
        <is>
          <t>9000-2-2</t>
        </is>
      </c>
      <c r="E3" s="80" t="inlineStr">
        <is>
          <t>9000-2-1</t>
        </is>
      </c>
      <c r="F3" s="80" t="inlineStr">
        <is>
          <t>9000-2-3</t>
        </is>
      </c>
      <c r="G3" s="45" t="inlineStr">
        <is>
          <t>D-60 (D-80~D-60)</t>
        </is>
      </c>
      <c r="H3" s="34" t="inlineStr">
        <is>
          <t>공사중 교통처리계획</t>
        </is>
      </c>
      <c r="I3" s="45" t="inlineStr">
        <is>
          <t>현장 공사팀</t>
        </is>
      </c>
      <c r="J3" s="47" t="inlineStr">
        <is>
          <t>도로교통법 제69조 | 동탄경찰서 교통안전 심의 및 우회 차선 설계 | 전담 신호수(2인 2조) &amp; LED 경광등 배치</t>
        </is>
      </c>
      <c r="K3" s="47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47" t="inlineStr">
        <is>
          <t>동탄경찰서 도로점용 허가, 가설 우회 차선 설계 및 전담 안전 신호수(2인 2조)/LED 경광등 배치</t>
        </is>
      </c>
      <c r="M3" s="47" t="inlineStr">
        <is>
          <t>도로교통법 제69조 | 동탄경찰서 교통안전 심의 및 우회 차선 설계 | 전담 신호수(2인 2조) &amp; LED 경광등 배치</t>
        </is>
      </c>
      <c r="N3" s="63">
        <f>HYPERLINK(LEFT(CELL("filename",A1),FIND("[",CELL("filename",A1))-1)&amp;"2.사전토공사\2_발주전략 KOM\표준서\2_발주전략 KOM_표준서.html", "👉 [클릭] 표준서 열기 📄")</f>
        <v/>
      </c>
      <c r="O3" s="47" t="inlineStr">
        <is>
          <t>1) 교통 우회 차선 &amp; 둔차선 도면 설계 ➔ 2) 동탄경찰서 도로점용 허가 ➔ 3) 전담 신호수(2인 2조) 배치 ➔ 4) 교통소통 대책서 감리 서면 승인</t>
        </is>
      </c>
      <c r="P3" s="64">
        <f>HYPERLINK(LEFT(CELL("filename",A1),FIND("[",CELL("filename",A1))-1)&amp;"2.사전토공사\2_발주전략 KOM\수행지침\2_발주전략 KOM_수행지침.html", "👉 [클릭] 수행지침 열기 📄")</f>
        <v/>
      </c>
      <c r="Q3" s="47" t="inlineStr">
        <is>
          <t>동탄경찰서 도로점용 허가, 가설 우회 차선 설계 및 전담 안전 신호수(2인 2조)/LED 경광등 배치</t>
        </is>
      </c>
      <c r="R3" s="71">
        <f>HYPERLINK(LEFT(CELL("filename",A1),FIND("[",CELL("filename",A1))-1)&amp;"2.사전토공사\2_발주전략 KOM\체크리스트\2_발주전략 KOM_체크리스트.html", "👉 [클릭] 체크리스트 열기 📄")</f>
        <v/>
      </c>
      <c r="S3" s="45" t="n"/>
    </row>
    <row r="4" ht="110.4" customHeight="1">
      <c r="A4" s="77" t="inlineStr">
        <is>
          <t>9000</t>
        </is>
      </c>
      <c r="B4" s="77" t="inlineStr">
        <is>
          <t>9000-2</t>
        </is>
      </c>
      <c r="C4" s="77" t="inlineStr">
        <is>
          <t>사전토공사</t>
        </is>
      </c>
      <c r="D4" s="78" t="inlineStr">
        <is>
          <t>9000-2-3</t>
        </is>
      </c>
      <c r="E4" s="79" t="inlineStr">
        <is>
          <t>9000-2-2</t>
        </is>
      </c>
      <c r="F4" s="80" t="inlineStr">
        <is>
          <t>9000-2-4</t>
        </is>
      </c>
      <c r="G4" s="45" t="inlineStr">
        <is>
          <t>D-60 (D-70~D-60)</t>
        </is>
      </c>
      <c r="H4" s="34" t="inlineStr">
        <is>
          <t>Site Survey Risk 검토</t>
        </is>
      </c>
      <c r="I4" s="45" t="inlineStr">
        <is>
          <t>토목국내견적팀</t>
        </is>
      </c>
      <c r="J4" s="47" t="inlineStr">
        <is>
          <t>지하안전법 제23조 | 현장 지장물, 연약 지반 층후 및 사면 붕괴 위험 요소 추출 | 사전 토공 리스크 대책 승인</t>
        </is>
      </c>
      <c r="K4" s="47" t="inlineStr">
        <is>
          <t>1) 지하 매설 지장물 &amp; 연약지반 현출 ➔ 2) 사면 붕괴 위험 구간 추출 ➔ 3) 흙막이 가설재 보강 수립 ➔ 4) 토공 리스크 대책서 감리 승인</t>
        </is>
      </c>
      <c r="L4" s="47" t="inlineStr">
        <is>
          <t>지중 매설물 탐사, 연약 지반 층후 분석 및 사면 붕괴 위험 구간 흙막이 가설재 보강 수립</t>
        </is>
      </c>
      <c r="M4" s="47" t="inlineStr">
        <is>
          <t>지하안전법 제23조 | 현장 지장물, 연약 지반 층후 및 사면 붕괴 위험 요소 추출 | 사전 토공 리스크 대책 승인</t>
        </is>
      </c>
      <c r="N4" s="63">
        <f>HYPERLINK(LEFT(CELL("filename",A1),FIND("[",CELL("filename",A1))-1)&amp;"2.사전토공사\3_Site Survey Risk 검토\표준서\Site Survey Risk 검토_표준서.html", "👉 [클릭] 표준서 열기 📄")</f>
        <v/>
      </c>
      <c r="O4" s="47" t="inlineStr">
        <is>
          <t>1) 지하 매설 지장물 &amp; 연약지반 현출 ➔ 2) 사면 붕괴 위험 구간 추출 ➔ 3) 흙막이 가설재 보강 수립 ➔ 4) 토공 리스크 대책서 감리 승인</t>
        </is>
      </c>
      <c r="P4" s="64">
        <f>HYPERLINK(LEFT(CELL("filename",A1),FIND("[",CELL("filename",A1))-1)&amp;"2.사전토공사\3_Site Survey Risk 검토\수행지침\Site Survey Risk 검토_수행지침.html", "👉 [클릭] 수행지침 열기 📄")</f>
        <v/>
      </c>
      <c r="Q4" s="47" t="inlineStr">
        <is>
          <t>지중 매설물 탐사, 연약 지반 층후 분석 및 사면 붕괴 위험 구간 흙막이 가설재 보강 수립</t>
        </is>
      </c>
      <c r="R4" s="71">
        <f>HYPERLINK(LEFT(CELL("filename",A1),FIND("[",CELL("filename",A1))-1)&amp;"2.사전토공사\3_Site Survey Risk 검토\체크리스트\Site Survey Risk 검토_체크리스트.html", "👉 [클릭] 체크리스트 열기 📄")</f>
        <v/>
      </c>
      <c r="S4" s="45" t="n"/>
    </row>
    <row r="5" ht="96" customHeight="1">
      <c r="A5" s="77" t="inlineStr">
        <is>
          <t>9000</t>
        </is>
      </c>
      <c r="B5" s="77" t="inlineStr">
        <is>
          <t>9000-2</t>
        </is>
      </c>
      <c r="C5" s="77" t="inlineStr">
        <is>
          <t>사전토공사</t>
        </is>
      </c>
      <c r="D5" s="78" t="inlineStr">
        <is>
          <t>9000-2-4</t>
        </is>
      </c>
      <c r="E5" s="82" t="inlineStr">
        <is>
          <t>9000-2-3</t>
        </is>
      </c>
      <c r="F5" s="80" t="inlineStr">
        <is>
          <t>9000-2-5</t>
        </is>
      </c>
      <c r="G5" s="45" t="inlineStr">
        <is>
          <t>D-50 (D-60~D-50)</t>
        </is>
      </c>
      <c r="H5" s="34" t="inlineStr">
        <is>
          <t>최고의 팀 만들기 지원</t>
        </is>
      </c>
      <c r="I5" s="45" t="inlineStr">
        <is>
          <t>외주관리팀</t>
        </is>
      </c>
      <c r="J5" s="47" t="inlineStr">
        <is>
          <t>건산법 상생협력 수칙 | 토공 전문 기술자 1:1 전담 배치 &amp; 3자 주간 소통 회의 | 일일 Safety TBM 100% 이행</t>
        </is>
      </c>
      <c r="K5" s="47" t="inlineStr">
        <is>
          <t>1) 토공 전담 기술자 1:1 배치 ➔ 2) 3자 주간 소통 회의 개최 ➔ 3) 근로자 복지 지원 &amp; Safety TBM ➔ 4) One-Team 조직표 감리 서면 승인</t>
        </is>
      </c>
      <c r="L5" s="47" t="inlineStr">
        <is>
          <t>토공 전담 기술자 1:1 현장 배치, 발주·감리·시공 3자 주간 소통 회의 및 일일 Safety TBM/음주 측정</t>
        </is>
      </c>
      <c r="M5" s="47" t="inlineStr">
        <is>
          <t>건산법 상생협력 수칙 | 토공 전문 기술자 1:1 전담 배치 &amp; 3자 주간 소통 회의 | 일일 Safety TBM 100% 이행</t>
        </is>
      </c>
      <c r="N5" s="63">
        <f>HYPERLINK(LEFT(CELL("filename",A1),FIND("[",CELL("filename",A1))-1)&amp;"2.사전토공사\4_최고의 팀 만들기 지원\표준서\최고의 팀 만들기 지원_표준서.html", "👉 [클릭] 표준서 열기 📄")</f>
        <v/>
      </c>
      <c r="O5" s="47" t="inlineStr">
        <is>
          <t>1) 토공 전담 기술자 1:1 배치 ➔ 2) 3자 주간 소통 회의 개최 ➔ 3) 근로자 복지 지원 &amp; Safety TBM ➔ 4) One-Team 조직표 감리 서면 승인</t>
        </is>
      </c>
      <c r="P5" s="64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Q5" s="47" t="inlineStr">
        <is>
          <t>토공 전담 기술자 1:1 현장 배치, 발주·감리·시공 3자 주간 소통 회의 및 일일 Safety TBM/음주 측정</t>
        </is>
      </c>
      <c r="R5" s="71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S5" s="45" t="n"/>
    </row>
    <row r="6" ht="125.4" customHeight="1">
      <c r="A6" s="77" t="inlineStr">
        <is>
          <t>9000</t>
        </is>
      </c>
      <c r="B6" s="77" t="inlineStr">
        <is>
          <t>9000-2</t>
        </is>
      </c>
      <c r="C6" s="77" t="inlineStr">
        <is>
          <t>사전토공사</t>
        </is>
      </c>
      <c r="D6" s="78" t="inlineStr">
        <is>
          <t>9000-2-5</t>
        </is>
      </c>
      <c r="E6" s="79" t="inlineStr">
        <is>
          <t>9000-2-4</t>
        </is>
      </c>
      <c r="F6" s="80" t="inlineStr">
        <is>
          <t>9000-2-6</t>
        </is>
      </c>
      <c r="G6" s="45" t="inlineStr">
        <is>
          <t>D-80 (D-120~D-80)</t>
        </is>
      </c>
      <c r="H6" s="34" t="inlineStr">
        <is>
          <t>발주전략 KOM</t>
        </is>
      </c>
      <c r="I6" s="45" t="inlineStr">
        <is>
          <t>현장소장</t>
        </is>
      </c>
      <c r="J6" s="47" t="inlineStr">
        <is>
          <t>KCS 47 10 25 시방 검토 | 사전 토공 토사/암석 깎기 및 성토 시방 규정 | 발주처·감리·시공 3자 킥오프 결재</t>
        </is>
      </c>
      <c r="K6" s="47" t="inlineStr">
        <is>
          <t>1) 사전 토공 시방 요구조건 분석 ➔ 2) 3D BIM 도면 깎기/성토 수량 검증 ➔ 3) 토공 리스크 예비비 수립 ➔ 4) 발주·감리·시공 3자 킥오프 결재</t>
        </is>
      </c>
      <c r="L6" s="47" t="inlineStr">
        <is>
          <t>KCS 47 10 25 사전 토공 시방 검토, 토사/암석 깎기 수량 산출 및 3D BIM 간섭 zero (3자 킥오프 결재)</t>
        </is>
      </c>
      <c r="M6" s="47" t="inlineStr">
        <is>
          <t>KCS 47 10 25 시방 검토 | 사전 토공 토사/암석 깎기 및 성토 시방 규정 | 발주처·감리·시공 3자 킥오프 결재</t>
        </is>
      </c>
      <c r="N6" s="63">
        <f>HYPERLINK(LEFT(CELL("filename",A1),FIND("[",CELL("filename",A1))-1)&amp;"2.사전토공사\5_공사중 교통처리계획\표준서\공사중 교통처리계획_표준서.html", "👉 [클릭] 표준서 열기 📄")</f>
        <v/>
      </c>
      <c r="O6" s="47" t="inlineStr">
        <is>
          <t>1) 사전 토공 시방 요구조건 분석 ➔ 2) 3D BIM 도면 깎기/성토 수량 검증 ➔ 3) 토공 리스크 예비비 수립 ➔ 4) 발주·감리·시공 3자 킥오프 결재</t>
        </is>
      </c>
      <c r="P6" s="64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Q6" s="47" t="inlineStr">
        <is>
          <t>KCS 47 10 25 사전 토공 시방 검토, 토사/암석 깎기 수량 산출 및 3D BIM 간섭 zero (3자 킥오프 결재)</t>
        </is>
      </c>
      <c r="R6" s="71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S6" s="45" t="n"/>
    </row>
    <row r="7" ht="172.8" customHeight="1">
      <c r="A7" s="77" t="inlineStr">
        <is>
          <t>9000</t>
        </is>
      </c>
      <c r="B7" s="77" t="inlineStr">
        <is>
          <t>9000-2</t>
        </is>
      </c>
      <c r="C7" s="77" t="inlineStr">
        <is>
          <t>사전토공사</t>
        </is>
      </c>
      <c r="D7" s="78" t="inlineStr">
        <is>
          <t>9000-2-6</t>
        </is>
      </c>
      <c r="E7" s="79" t="inlineStr">
        <is>
          <t>9000-2-5</t>
        </is>
      </c>
      <c r="F7" s="80" t="inlineStr">
        <is>
          <t>9000-2-7</t>
        </is>
      </c>
      <c r="G7" s="45" t="inlineStr">
        <is>
          <t>D-40</t>
        </is>
      </c>
      <c r="H7" s="34" t="inlineStr">
        <is>
          <t>착수전 Big Room 회의</t>
        </is>
      </c>
      <c r="I7" s="45" t="inlineStr">
        <is>
          <t>현장소장</t>
        </is>
      </c>
      <c r="J7" s="47" t="inlineStr">
        <is>
          <t>현장 통합 관리 지침 | 발주처·감리·지자체·시공사 4자 빅룸 회의 | 사전 토공 마일스톤 서명 결재</t>
        </is>
      </c>
      <c r="K7" s="47" t="inlineStr">
        <is>
          <t>1) 4자(발주·감리·지자체·시공) 빅룸 결성 ➔ 2) 사전 토공 마일스톤 연동 ➔ 3) 간섭 리스크 즉시 해소 ➔ 4) 빅룸 회의록 4자 서명 완수</t>
        </is>
      </c>
      <c r="L7" s="47" t="inlineStr">
        <is>
          <t>4자(발주·감리·지자체·시공) 빅룸 회의 결성, 사전 토공 마일스톤 연동 및 간섭 리스크 서명</t>
        </is>
      </c>
      <c r="M7" s="47" t="inlineStr">
        <is>
          <t>현장 통합 관리 지침 | 발주처·감리·지자체·시공사 4자 빅룸 회의 | 사전 토공 마일스톤 서명 결재</t>
        </is>
      </c>
      <c r="N7" s="63">
        <f>HYPERLINK(LEFT(CELL("filename",A1),FIND("[",CELL("filename",A1))-1)&amp;"2.사전토공사\6_자재발주 요청\표준서\자재발주 요청_표준서.html", "👉 [클릭] 표준서 열기 📄")</f>
        <v/>
      </c>
      <c r="O7" s="47" t="inlineStr">
        <is>
          <t>1) 4자(발주·감리·지자체·시공) 빅룸 결성 ➔ 2) 사전 토공 마일스톤 연동 ➔ 3) 간섭 리스크 즉시 해소 ➔ 4) 빅룸 회의록 4자 서명 완수</t>
        </is>
      </c>
      <c r="P7" s="64">
        <f>HYPERLINK(LEFT(CELL("filename",A1),FIND("[",CELL("filename",A1))-1)&amp;"2.사전토공사\6_자재발주 요청\수행지침\착수전 Big Room 회의_수행지침.html", "👉 [클릭] 수행지침 열기 📄")</f>
        <v/>
      </c>
      <c r="Q7" s="47" t="inlineStr">
        <is>
          <t>4자(발주·감리·지자체·시공) 빅룸 회의 결성, 사전 토공 마일스톤 연동 및 간섭 리스크 서명</t>
        </is>
      </c>
      <c r="R7" s="71">
        <f>HYPERLINK(LEFT(CELL("filename",A1),FIND("[",CELL("filename",A1))-1)&amp;"2.사전토공사\6_자재발주 요청\체크리스트\착수전 Big Room 회의_체크리스트.html", "👉 [클릭] 체크리스트 열기 📄")</f>
        <v/>
      </c>
      <c r="S7" s="45" t="n"/>
    </row>
    <row r="8" ht="96" customHeight="1">
      <c r="A8" s="77" t="inlineStr">
        <is>
          <t>9000</t>
        </is>
      </c>
      <c r="B8" s="77" t="inlineStr">
        <is>
          <t>9000-2</t>
        </is>
      </c>
      <c r="C8" s="77" t="inlineStr">
        <is>
          <t>사전토공사</t>
        </is>
      </c>
      <c r="D8" s="78" t="inlineStr">
        <is>
          <t>9000-2-7</t>
        </is>
      </c>
      <c r="E8" s="79" t="inlineStr">
        <is>
          <t>9000-2-6</t>
        </is>
      </c>
      <c r="F8" s="80" t="inlineStr">
        <is>
          <t>9000-2-8</t>
        </is>
      </c>
      <c r="G8" s="45" t="inlineStr">
        <is>
          <t>D-65 (D-65~D-55)</t>
        </is>
      </c>
      <c r="H8" s="34" t="inlineStr">
        <is>
          <t>자재발주 요청</t>
        </is>
      </c>
      <c r="I8" s="45" t="inlineStr">
        <is>
          <t>현장 공무팀</t>
        </is>
      </c>
      <c r="J8" s="47" t="inlineStr">
        <is>
          <t>KCS 47 10 25 자재 시방 | 굴착 장비, 가설 펜스 및 배수관 자재 발주 승인 | 공인시험기관 성적표 수속</t>
        </is>
      </c>
      <c r="K8" s="47" t="inlineStr">
        <is>
          <t>1) 굴착 장비 및 가설 펜스 자재 선정 ➔ 2) 공인시험기관 시험성적서 검수 ➔ 3) 자재 발주 신청서 제출 ➔ 4) 자재 반입 검수 통보서 결재</t>
        </is>
      </c>
      <c r="L8" s="47" t="inlineStr">
        <is>
          <t>KCS 47 10 25 굴착 장비/가설재 자재 승인, 공인시험기관 시험성적서 검수 및 자재 반입 통보</t>
        </is>
      </c>
      <c r="M8" s="47" t="inlineStr">
        <is>
          <t>KCS 47 10 25 자재 시방 | 굴착 장비, 가설 펜스 및 배수관 자재 발주 승인 | 공인시험기관 성적표 수속</t>
        </is>
      </c>
      <c r="N8" s="63">
        <f>HYPERLINK(LEFT(CELL("filename",A1),FIND("[",CELL("filename",A1))-1)&amp;"2.사전토공사\7_용지 사용 Risk 검토\표준서\용지 사용 Risk 검토_표준서.html", "👉 [클릭] 표준서 열기 📄")</f>
        <v/>
      </c>
      <c r="O8" s="47" t="inlineStr">
        <is>
          <t>1) 굴착 장비 및 가설 펜스 자재 선정 ➔ 2) 공인시험기관 시험성적서 검수 ➔ 3) 자재 발주 신청서 제출 ➔ 4) 자재 반입 검수 통보서 결재</t>
        </is>
      </c>
      <c r="P8" s="64">
        <f>HYPERLINK(LEFT(CELL("filename",A1),FIND("[",CELL("filename",A1))-1)&amp;"2.사전토공사\7_용지 사용 Risk 검토\수행지침\용지 사용 Risk 검토_수행지침.html", "👉 [클릭] 수행지침 열기 📄")</f>
        <v/>
      </c>
      <c r="Q8" s="47" t="inlineStr">
        <is>
          <t>KCS 47 10 25 굴착 장비/가설재 자재 승인, 공인시험기관 시험성적서 검수 및 자재 반입 통보</t>
        </is>
      </c>
      <c r="R8" s="71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S8" s="45" t="n"/>
    </row>
    <row r="9" ht="115.2" customHeight="1">
      <c r="A9" s="77" t="inlineStr">
        <is>
          <t>9000</t>
        </is>
      </c>
      <c r="B9" s="77" t="inlineStr">
        <is>
          <t>9000-2</t>
        </is>
      </c>
      <c r="C9" s="77" t="inlineStr">
        <is>
          <t>사전토공사</t>
        </is>
      </c>
      <c r="D9" s="78" t="inlineStr">
        <is>
          <t>9000-2-8</t>
        </is>
      </c>
      <c r="E9" s="79" t="inlineStr">
        <is>
          <t>9000-2-7</t>
        </is>
      </c>
      <c r="F9" s="80" t="inlineStr">
        <is>
          <t>9000-2-9</t>
        </is>
      </c>
      <c r="G9" s="45" t="inlineStr">
        <is>
          <t>D-40 (D-60~D-40)</t>
        </is>
      </c>
      <c r="H9" s="34" t="inlineStr">
        <is>
          <t>용지 사용 Risk 검토</t>
        </is>
      </c>
      <c r="I9" s="45" t="inlineStr">
        <is>
          <t>토목계약관리팀</t>
        </is>
      </c>
      <c r="J9" s="47" t="inlineStr">
        <is>
          <t>토지보상법 준수 | 미보상 사유지 경계 현출 및 가설 펜스(H=1.8m) 차단 | 3D 우회 토공 동선 마일스톤 연동</t>
        </is>
      </c>
      <c r="K9" s="47" t="inlineStr">
        <is>
          <t>1) 미보상 사유지 경계 현출 ➔ 2) 가설 펜스(H=1.8m) 차단 ➔ 3) 3D 우회 토공 동선 수립 ➔ 4) 용지 보상 리스크 대책 감리 승인</t>
        </is>
      </c>
      <c r="L9" s="47" t="inlineStr">
        <is>
          <t>미보상 사유지 경계 현출, 가설 펜스(H=1.8m) 차단 및 3D 우회 토공 동선 마일스톤 연동</t>
        </is>
      </c>
      <c r="M9" s="47" t="inlineStr">
        <is>
          <t>토지보상법 준수 | 미보상 사유지 경계 현출 및 가설 펜스(H=1.8m) 차단 | 3D 우회 토공 동선 마일스톤 연동</t>
        </is>
      </c>
      <c r="N9" s="63">
        <f>HYPERLINK(LEFT(CELL("filename",A1),FIND("[",CELL("filename",A1))-1)&amp;"2.사전토공사\8_착수전 Big Room 회의\표준서\착수전 Big Room 회의_표준서.html", "👉 [클릭] 표준서 열기 📄")</f>
        <v/>
      </c>
      <c r="O9" s="47" t="inlineStr">
        <is>
          <t>1) 미보상 사유지 경계 현출 ➔ 2) 가설 펜스(H=1.8m) 차단 ➔ 3) 3D 우회 토공 동선 수립 ➔ 4) 용지 보상 리스크 대책 감리 승인</t>
        </is>
      </c>
      <c r="P9" s="64">
        <f>HYPERLINK(LEFT(CELL("filename",A1),FIND("[",CELL("filename",A1))-1)&amp;"2.사전토공사\8_착수전 Big Room 회의\수행지침\착수전 Big Room 회의_수행지침.html", "👉 [클릭] 수행지침 열기 📄")</f>
        <v/>
      </c>
      <c r="Q9" s="47" t="inlineStr">
        <is>
          <t>미보상 사유지 경계 현출, 가설 펜스(H=1.8m) 차단 및 3D 우회 토공 동선 마일스톤 연동</t>
        </is>
      </c>
      <c r="R9" s="71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S9" s="45" t="n"/>
    </row>
    <row r="10" ht="115.2" customHeight="1">
      <c r="A10" s="77" t="inlineStr">
        <is>
          <t>9000</t>
        </is>
      </c>
      <c r="B10" s="77" t="inlineStr">
        <is>
          <t>9000-2</t>
        </is>
      </c>
      <c r="C10" s="77" t="inlineStr">
        <is>
          <t>사전토공사</t>
        </is>
      </c>
      <c r="D10" s="78" t="inlineStr">
        <is>
          <t>9000-2-9</t>
        </is>
      </c>
      <c r="E10" s="79" t="inlineStr">
        <is>
          <t>9000-2-8</t>
        </is>
      </c>
      <c r="F10" s="80" t="inlineStr">
        <is>
          <t>9000-2-10</t>
        </is>
      </c>
      <c r="G10" s="45" t="inlineStr">
        <is>
          <t>D-30</t>
        </is>
      </c>
      <c r="H10" s="34" t="inlineStr">
        <is>
          <t>인허가 절차 진행</t>
        </is>
      </c>
      <c r="I10" s="45" t="inlineStr">
        <is>
          <t>현장 공무팀</t>
        </is>
      </c>
      <c r="J10" s="47" t="inlineStr">
        <is>
          <t>도로법 및 환경영향평가법 | 지자체 도로점용 허가 및 비산먼지 발생신고 수속 | 법정 인허가 필증 수속</t>
        </is>
      </c>
      <c r="K10" s="47" t="inlineStr">
        <is>
          <t>1) 지자체 도로/하천점용 허가서 작성 ➔ 2) 관련 부서 서류 제출 &amp; 심의 ➔ 3) 보증보험 증권 부착 ➔ 4) 법정 인허가 필증 감리 수속</t>
        </is>
      </c>
      <c r="L10" s="47" t="inlineStr">
        <is>
          <t>지자체 도로/하천점용 허가서 접수, 비산먼지 발생사업 신고 필증 수속 및 보증보험 제출</t>
        </is>
      </c>
      <c r="M10" s="47" t="inlineStr">
        <is>
          <t>도로법 및 환경영향평가법 | 지자체 도로점용 허가 및 비산먼지 발생신고 수속 | 법정 인허가 필증 수속</t>
        </is>
      </c>
      <c r="N10" s="63">
        <f>HYPERLINK(LEFT(CELL("filename",A1),FIND("[",CELL("filename",A1))-1)&amp;"2.사전토공사\9_인허가 절차 진행\표준서\인허가 절차 진행_표준서.html", "👉 [클릭] 표준서 열기 📄")</f>
        <v/>
      </c>
      <c r="O10" s="47" t="inlineStr">
        <is>
          <t>1) 지자체 도로/하천점용 허가서 작성 ➔ 2) 관련 부서 서류 제출 &amp; 심의 ➔ 3) 보증보험 증권 부착 ➔ 4) 법정 인허가 필증 감리 수속</t>
        </is>
      </c>
      <c r="P10" s="64">
        <f>HYPERLINK(LEFT(CELL("filename",A1),FIND("[",CELL("filename",A1))-1)&amp;"2.사전토공사\9_인허가 절차 진행\수행지침\인허가 절차 진행_수행지침.html", "👉 [클릭] 수행지침 열기 📄")</f>
        <v/>
      </c>
      <c r="Q10" s="47" t="inlineStr">
        <is>
          <t>지자체 도로/하천점용 허가서 접수, 비산먼지 발생사업 신고 필증 수속 및 보증보험 제출</t>
        </is>
      </c>
      <c r="R10" s="71">
        <f>HYPERLINK(LEFT(CELL("filename",A1),FIND("[",CELL("filename",A1))-1)&amp;"2.사전토공사\9_인허가 절차 진행\체크리스트\인허가 절차 진행_체크리스트.html", "👉 [클릭] 체크리스트 열기 📄")</f>
        <v/>
      </c>
      <c r="S10" s="45" t="n"/>
    </row>
    <row r="11" ht="96" customHeight="1">
      <c r="A11" s="77" t="inlineStr">
        <is>
          <t>9000</t>
        </is>
      </c>
      <c r="B11" s="77" t="inlineStr">
        <is>
          <t>9000-2</t>
        </is>
      </c>
      <c r="C11" s="77" t="inlineStr">
        <is>
          <t>사전토공사</t>
        </is>
      </c>
      <c r="D11" s="78" t="inlineStr">
        <is>
          <t>9000-2-10</t>
        </is>
      </c>
      <c r="E11" s="79" t="inlineStr">
        <is>
          <t>9000-2-9</t>
        </is>
      </c>
      <c r="F11" s="80" t="inlineStr">
        <is>
          <t>9000-2-11</t>
        </is>
      </c>
      <c r="G11" s="45" t="inlineStr">
        <is>
          <t>D-30</t>
        </is>
      </c>
      <c r="H11" s="34" t="inlineStr">
        <is>
          <t>교통처리대책 협의 및 승인</t>
        </is>
      </c>
      <c r="I11" s="45" t="inlineStr">
        <is>
          <t>현장 공무팀</t>
        </is>
      </c>
      <c r="J11" s="47" t="inlineStr">
        <is>
          <t>도로교통법 안전 수칙 | 경찰서 차선 점용 허가 및 가설 둔차선 도로 복구 이행 보증보험 | 교통대책 감리 승인</t>
        </is>
      </c>
      <c r="K11" s="47" t="inlineStr">
        <is>
          <t>1) 경찰서 차선 점용 허가증 수령 ➔ 2) 도로 복구 보증보험 증권 제출 ➔ 3) 전담 신호수 &amp; LED 경광등 배치 ➔ 4) 교통대책서 감리 서면 승인</t>
        </is>
      </c>
      <c r="L11" s="47" t="inlineStr">
        <is>
          <t>동탄경찰서 차선 점용 허가, 도로 복구 이행 보증보험 제출 및 전담 신호수(2인 2조) 100% 배치</t>
        </is>
      </c>
      <c r="M11" s="47" t="inlineStr">
        <is>
          <t>도로교통법 안전 수칙 | 경찰서 차선 점용 허가 및 가설 둔차선 도로 복구 이행 보증보험 | 교통대책 감리 승인</t>
        </is>
      </c>
      <c r="N11" s="63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O11" s="47" t="inlineStr">
        <is>
          <t>1) 경찰서 차선 점용 허가증 수령 ➔ 2) 도로 복구 보증보험 증권 제출 ➔ 3) 전담 신호수 &amp; LED 경광등 배치 ➔ 4) 교통대책서 감리 서면 승인</t>
        </is>
      </c>
      <c r="P11" s="64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Q11" s="47" t="inlineStr">
        <is>
          <t>동탄경찰서 차선 점용 허가, 도로 복구 이행 보증보험 제출 및 전담 신호수(2인 2조) 100% 배치</t>
        </is>
      </c>
      <c r="R11" s="71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S11" s="45" t="n"/>
    </row>
    <row r="12" ht="115.2" customHeight="1">
      <c r="A12" s="77" t="inlineStr">
        <is>
          <t>9000</t>
        </is>
      </c>
      <c r="B12" s="77" t="inlineStr">
        <is>
          <t>9000-2</t>
        </is>
      </c>
      <c r="C12" s="77" t="inlineStr">
        <is>
          <t>사전토공사</t>
        </is>
      </c>
      <c r="D12" s="78" t="inlineStr">
        <is>
          <t>9000-2-11</t>
        </is>
      </c>
      <c r="E12" s="79" t="inlineStr">
        <is>
          <t>9000-2-10</t>
        </is>
      </c>
      <c r="F12" s="80" t="inlineStr">
        <is>
          <t>9000-2-12</t>
        </is>
      </c>
      <c r="G12" s="45" t="inlineStr">
        <is>
          <t>D-30</t>
        </is>
      </c>
      <c r="H12" s="34" t="inlineStr">
        <is>
          <t>지장물 검토 및 협의</t>
        </is>
      </c>
      <c r="I12" s="45" t="inlineStr">
        <is>
          <t>현장 공무팀/공사팀</t>
        </is>
      </c>
      <c r="J12" s="47" t="inlineStr">
        <is>
          <t>지하안전관리에 관한 특별법 | GPR 3D 관로 탐사 &amp; 인력 시탐 줄파기(깊이 1.5m) | 점용기관 현장 입회 이설 방호</t>
        </is>
      </c>
      <c r="K12" s="47" t="inlineStr">
        <is>
          <t>1) GPR 3D 지중 관로 탐사 ➔ 2) 인력 시탐 줄파기(깊이 1.5m) ➔ 3) 관할 점용기관 1:1 현장 입회 ➔ 4) 매달기 방호 &amp; 지장물 서면 승인</t>
        </is>
      </c>
      <c r="L12" s="47" t="inlineStr">
        <is>
          <t>GPR 3D 관로 탐사, 인력 시탐 줄파기(폭 0.5m, 깊이 1.5m) 및 점용기관 1:1 현장 입회 매달기 방호</t>
        </is>
      </c>
      <c r="M12" s="47" t="inlineStr">
        <is>
          <t>지하안전관리에 관한 특별법 | GPR 3D 관로 탐사 &amp; 인력 시탐 줄파기(깊이 1.5m) | 점용기관 현장 입회 이설 방호</t>
        </is>
      </c>
      <c r="N12" s="63">
        <f>HYPERLINK(LEFT(CELL("filename",A1),FIND("[",CELL("filename",A1))-1)&amp;"2.사전토공사\11_지장물 검토 및 협의\표준서\지장물 검토 및 협의_표준서.html", "👉 [클릭] 표준서 열기 📄")</f>
        <v/>
      </c>
      <c r="O12" s="47" t="inlineStr">
        <is>
          <t>1) GPR 3D 지중 관로 탐사 ➔ 2) 인력 시탐 줄파기(깊이 1.5m) ➔ 3) 관할 점용기관 1:1 현장 입회 ➔ 4) 매달기 방호 &amp; 지장물 서면 승인</t>
        </is>
      </c>
      <c r="P12" s="64">
        <f>HYPERLINK(LEFT(CELL("filename",A1),FIND("[",CELL("filename",A1))-1)&amp;"2.사전토공사\11_지장물 검토 및 협의\수행지침\지장물 검토 및 협의_수행지침.html", "👉 [클릭] 수행지침 열기 📄")</f>
        <v/>
      </c>
      <c r="Q12" s="47" t="inlineStr">
        <is>
          <t>GPR 3D 관로 탐사, 인력 시탐 줄파기(폭 0.5m, 깊이 1.5m) 및 점용기관 1:1 현장 입회 매달기 방호</t>
        </is>
      </c>
      <c r="R12" s="71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S12" s="45" t="n"/>
    </row>
    <row r="13" ht="96" customHeight="1">
      <c r="A13" s="77" t="inlineStr">
        <is>
          <t>9000</t>
        </is>
      </c>
      <c r="B13" s="77" t="inlineStr">
        <is>
          <t>9000-2</t>
        </is>
      </c>
      <c r="C13" s="77" t="inlineStr">
        <is>
          <t>사전토공사</t>
        </is>
      </c>
      <c r="D13" s="78" t="inlineStr">
        <is>
          <t>9000-2-12</t>
        </is>
      </c>
      <c r="E13" s="79" t="inlineStr">
        <is>
          <t>9000-2-11</t>
        </is>
      </c>
      <c r="F13" s="80" t="inlineStr">
        <is>
          <t>9000-2-13</t>
        </is>
      </c>
      <c r="G13" s="45" t="inlineStr">
        <is>
          <t>D-30</t>
        </is>
      </c>
      <c r="H13" s="34" t="inlineStr">
        <is>
          <t>기공승낙 적정성 검토</t>
        </is>
      </c>
      <c r="I13" s="45" t="inlineStr">
        <is>
          <t>현장 공무팀</t>
        </is>
      </c>
      <c r="J13" s="47" t="inlineStr">
        <is>
          <t>국유재산법 및 공유재산법 | 토지 기공승낙서 인허가 확인 및 진입로 점용 범위 실측 | 토지 사용 승인서 결재</t>
        </is>
      </c>
      <c r="K13" s="47" t="inlineStr">
        <is>
          <t>1) 국유지/공유지 기공승낙서 수속 ➔ 2) 진입 도로 점용 범위 실측 ➔ 3) 토지 소유주 사용 협의 ➔ 4) 기공승낙서 감리 서면 승인</t>
        </is>
      </c>
      <c r="L13" s="47" t="inlineStr">
        <is>
          <t>국유지/공유지 기공승낙서 인허가 검증, 진입 도로 점용 범위 실측 및 토지 사용 승인서 결재</t>
        </is>
      </c>
      <c r="M13" s="47" t="inlineStr">
        <is>
          <t>국유재산법 및 공유재산법 | 토지 기공승낙서 인허가 확인 및 진입로 점용 범위 실측 | 토지 사용 승인서 결재</t>
        </is>
      </c>
      <c r="N13" s="63">
        <f>HYPERLINK(LEFT(CELL("filename",A1),FIND("[",CELL("filename",A1))-1)&amp;"2.사전토공사\12_기공승낙 적정성 검토\표준서\기공승낙 적정성 검토_표준서.html", "👉 [클릭] 표준서 열기 📄")</f>
        <v/>
      </c>
      <c r="O13" s="47" t="inlineStr">
        <is>
          <t>1) 국유지/공유지 기공승낙서 수속 ➔ 2) 진입 도로 점용 범위 실측 ➔ 3) 토지 소유주 사용 협의 ➔ 4) 기공승낙서 감리 서면 승인</t>
        </is>
      </c>
      <c r="P13" s="64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Q13" s="47" t="inlineStr">
        <is>
          <t>국유지/공유지 기공승낙서 인허가 검증, 진입 도로 점용 범위 실측 및 토지 사용 승인서 결재</t>
        </is>
      </c>
      <c r="R13" s="71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S13" s="45" t="n"/>
    </row>
    <row r="14" ht="96" customHeight="1">
      <c r="A14" s="77" t="inlineStr">
        <is>
          <t>9000</t>
        </is>
      </c>
      <c r="B14" s="77" t="inlineStr">
        <is>
          <t>9000-2</t>
        </is>
      </c>
      <c r="C14" s="77" t="inlineStr">
        <is>
          <t>사전토공사</t>
        </is>
      </c>
      <c r="D14" s="78" t="inlineStr">
        <is>
          <t>9000-2-13</t>
        </is>
      </c>
      <c r="E14" s="79" t="inlineStr">
        <is>
          <t>9000-2-12</t>
        </is>
      </c>
      <c r="F14" s="80" t="inlineStr">
        <is>
          <t>9000-2-14</t>
        </is>
      </c>
      <c r="G14" s="45" t="inlineStr">
        <is>
          <t>D-30</t>
        </is>
      </c>
      <c r="H14" s="34" t="inlineStr">
        <is>
          <t>민원 저감 대책 수립</t>
        </is>
      </c>
      <c r="I14" s="45" t="inlineStr">
        <is>
          <t>현장 안전팀/공무팀</t>
        </is>
      </c>
      <c r="J14" s="47" t="inlineStr">
        <is>
          <t>소음진동관리법 준수 | 야간 공사 소음 방음벽(H=3m) 및 세륜기(깊이 1.2m) 가동 | 단수/단전 주민 사전 안내</t>
        </is>
      </c>
      <c r="K14" s="47" t="inlineStr">
        <is>
          <t>1) 야간 공사 소음 방음벽(H=3m) 설치 ➔ 2) 세륜기 가동 &amp; 분무 살수 ➔ 3) 단수/단전 사전 주민 공지 ➔ 4) 민원 대응반 서면 승인</t>
        </is>
      </c>
      <c r="L14" s="47" t="inlineStr">
        <is>
          <t>야간 공사 소음 방음벽(H=3m) 가동, 세륜기(깊이 1.2m) 가동 및 단수/단전 주민 사전 고지</t>
        </is>
      </c>
      <c r="M14" s="47" t="inlineStr">
        <is>
          <t>소음진동관리법 준수 | 야간 공사 소음 방음벽(H=3m) 및 세륜기(깊이 1.2m) 가동 | 단수/단전 주민 사전 안내</t>
        </is>
      </c>
      <c r="N14" s="63">
        <f>HYPERLINK(LEFT(CELL("filename",A1),FIND("[",CELL("filename",A1))-1)&amp;"2.사전토공사\13_민원 저감 대책 수립\표준서\민원 저감 대책 수립_표준서.html", "👉 [클릭] 표준서 열기 📄")</f>
        <v/>
      </c>
      <c r="O14" s="47" t="inlineStr">
        <is>
          <t>1) 야간 공사 소음 방음벽(H=3m) 설치 ➔ 2) 세륜기 가동 &amp; 분무 살수 ➔ 3) 단수/단전 사전 주민 공지 ➔ 4) 민원 대응반 서면 승인</t>
        </is>
      </c>
      <c r="P14" s="64">
        <f>HYPERLINK(LEFT(CELL("filename",A1),FIND("[",CELL("filename",A1))-1)&amp;"2.사전토공사\13_민원 저감 대책 수립\수행지침\민원 저감 대책 수립_수행지침.html", "👉 [클릭] 수행지침 열기 📄")</f>
        <v/>
      </c>
      <c r="Q14" s="47" t="inlineStr">
        <is>
          <t>야간 공사 소음 방음벽(H=3m) 가동, 세륜기(깊이 1.2m) 가동 및 단수/단전 주민 사전 고지</t>
        </is>
      </c>
      <c r="R14" s="71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S14" s="45" t="n"/>
    </row>
    <row r="15" ht="96" customHeight="1">
      <c r="A15" s="77" t="inlineStr">
        <is>
          <t>9000</t>
        </is>
      </c>
      <c r="B15" s="77" t="inlineStr">
        <is>
          <t>9000-2</t>
        </is>
      </c>
      <c r="C15" s="77" t="inlineStr">
        <is>
          <t>사전토공사</t>
        </is>
      </c>
      <c r="D15" s="78" t="inlineStr">
        <is>
          <t>9000-2-14</t>
        </is>
      </c>
      <c r="E15" s="79" t="inlineStr">
        <is>
          <t>9000-2-13</t>
        </is>
      </c>
      <c r="F15" s="80" t="inlineStr">
        <is>
          <t>9000-2-15</t>
        </is>
      </c>
      <c r="G15" s="45" t="inlineStr">
        <is>
          <t>D-30</t>
        </is>
      </c>
      <c r="H15" s="34" t="inlineStr">
        <is>
          <t>용지보상 Risk 파악</t>
        </is>
      </c>
      <c r="I15" s="45" t="inlineStr">
        <is>
          <t>현장 공무팀</t>
        </is>
      </c>
      <c r="J15" s="47" t="inlineStr">
        <is>
          <t>토지보상법 준수 | 지장물 이설 부지 용지보상 현황 및 점용 경계 실측 | 미보상 사유지 가설 펜스 차단</t>
        </is>
      </c>
      <c r="K15" s="47" t="inlineStr">
        <is>
          <t>1) 미보상 필지 현출 &amp; 지적 대조 ➔ 2) 가설 펜스(H=1.8m) 차단 ➔ 3) 우회 토공 동선 수립 ➔ 4) 용지 보상 대책서 감리 승인</t>
        </is>
      </c>
      <c r="L15" s="47" t="inlineStr">
        <is>
          <t>미보상 필지 지적 대조, 경계 가설 펜스(H=1.8m) 차단 및 우회 토공 동선 서면 승인</t>
        </is>
      </c>
      <c r="M15" s="47" t="inlineStr">
        <is>
          <t>토지보상법 준수 | 지장물 이설 부지 용지보상 현황 및 점용 경계 실측 | 미보상 사유지 가설 펜스 차단</t>
        </is>
      </c>
      <c r="N15" s="63">
        <f>HYPERLINK(LEFT(CELL("filename",A1),FIND("[",CELL("filename",A1))-1)&amp;"2.사전토공사\14_용지보상 Risk 파악\표준서\용지보상 Risk 파악_표준서.html", "👉 [클릭] 표준서 열기 📄")</f>
        <v/>
      </c>
      <c r="O15" s="47" t="inlineStr">
        <is>
          <t>1) 미보상 필지 현출 &amp; 지적 대조 ➔ 2) 가설 펜스(H=1.8m) 차단 ➔ 3) 우회 토공 동선 수립 ➔ 4) 용지 보상 대책서 감리 승인</t>
        </is>
      </c>
      <c r="P15" s="64">
        <f>HYPERLINK(LEFT(CELL("filename",A1),FIND("[",CELL("filename",A1))-1)&amp;"2.사전토공사\14_용지보상 Risk 파악\수행지침\용지보상 Risk 파악_수행지침.html", "👉 [클릭] 수행지침 열기 📄")</f>
        <v/>
      </c>
      <c r="Q15" s="47" t="inlineStr">
        <is>
          <t>미보상 필지 지적 대조, 경계 가설 펜스(H=1.8m) 차단 및 우회 토공 동선 서면 승인</t>
        </is>
      </c>
      <c r="R15" s="71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S15" s="45" t="n"/>
    </row>
    <row r="16" ht="96" customHeight="1">
      <c r="A16" s="77" t="inlineStr">
        <is>
          <t>9000</t>
        </is>
      </c>
      <c r="B16" s="77" t="inlineStr">
        <is>
          <t>9000-2</t>
        </is>
      </c>
      <c r="C16" s="77" t="inlineStr">
        <is>
          <t>사전토공사</t>
        </is>
      </c>
      <c r="D16" s="78" t="inlineStr">
        <is>
          <t>9000-2-15</t>
        </is>
      </c>
      <c r="E16" s="79" t="inlineStr">
        <is>
          <t>9000-2-14</t>
        </is>
      </c>
      <c r="F16" s="80" t="inlineStr">
        <is>
          <t>9000-2-16</t>
        </is>
      </c>
      <c r="G16" s="45" t="inlineStr">
        <is>
          <t>D-30</t>
        </is>
      </c>
      <c r="H16" s="34" t="inlineStr">
        <is>
          <t>시공계획서 검토 지원</t>
        </is>
      </c>
      <c r="I16" s="45" t="inlineStr">
        <is>
          <t>토목품질팀</t>
        </is>
      </c>
      <c r="J16" s="47" t="inlineStr">
        <is>
          <t>건진법 시행령 제89조 | 사전 토공 시공계획서 표준 8대 목차 검토 | 착공 14일 전 감리 서면 승인</t>
        </is>
      </c>
      <c r="K16" s="47" t="inlineStr">
        <is>
          <t>1) 사전 토공 시공계획서 작성 ➔ 2) 8대 목차 &amp; KCS 수치 명시 ➔ 3) 착공 14일 전 감리단 제출 ➔ 4) 시공계획서 감리 서면 승인</t>
        </is>
      </c>
      <c r="L16" s="47" t="inlineStr">
        <is>
          <t>사전 토공 시공계획서 표준 8대 목차, KCS 수치 수록 및 착공 14일 전 감리 서면 승인</t>
        </is>
      </c>
      <c r="M16" s="47" t="inlineStr">
        <is>
          <t>건진법 시행령 제89조 | 사전 토공 시공계획서 표준 8대 목차 검토 | 착공 14일 전 감리 서면 승인</t>
        </is>
      </c>
      <c r="N16" s="63">
        <f>HYPERLINK(LEFT(CELL("filename",A1),FIND("[",CELL("filename",A1))-1)&amp;"2.사전토공사\15_시공계획서 검토 지원\표준서\시공계획서 검토 지원_표준서.html", "👉 [클릭] 표준서 열기 📄")</f>
        <v/>
      </c>
      <c r="O16" s="47" t="inlineStr">
        <is>
          <t>1) 사전 토공 시공계획서 작성 ➔ 2) 8대 목차 &amp; KCS 수치 명시 ➔ 3) 착공 14일 전 감리단 제출 ➔ 4) 시공계획서 감리 서면 승인</t>
        </is>
      </c>
      <c r="P16" s="64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Q16" s="47" t="inlineStr">
        <is>
          <t>사전 토공 시공계획서 표준 8대 목차, KCS 수치 수록 및 착공 14일 전 감리 서면 승인</t>
        </is>
      </c>
      <c r="R16" s="71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S16" s="45" t="n"/>
    </row>
    <row r="17" ht="96" customHeight="1">
      <c r="A17" s="77" t="inlineStr">
        <is>
          <t>9000</t>
        </is>
      </c>
      <c r="B17" s="77" t="inlineStr">
        <is>
          <t>9000-2</t>
        </is>
      </c>
      <c r="C17" s="77" t="inlineStr">
        <is>
          <t>사전토공사</t>
        </is>
      </c>
      <c r="D17" s="78" t="inlineStr">
        <is>
          <t>9000-2-16</t>
        </is>
      </c>
      <c r="E17" s="79" t="inlineStr">
        <is>
          <t>9000-2-15</t>
        </is>
      </c>
      <c r="F17" s="80" t="inlineStr">
        <is>
          <t>9000-2-17</t>
        </is>
      </c>
      <c r="G17" s="45" t="inlineStr">
        <is>
          <t>D-30</t>
        </is>
      </c>
      <c r="H17" s="34" t="inlineStr">
        <is>
          <t>설계변경 (착수전)</t>
        </is>
      </c>
      <c r="I17" s="45" t="inlineStr">
        <is>
          <t>현장 공무팀/공사팀</t>
        </is>
      </c>
      <c r="J17" s="47" t="inlineStr">
        <is>
          <t>지방계약법 정산 수칙 | 착수 전 토종 변경 및 수량 증감 실정보고 작성 | 총사업비 변경 승인 수속</t>
        </is>
      </c>
      <c r="K17" s="47" t="inlineStr">
        <is>
          <t>1) 토질 변경 &amp; 수량 증감 실정보고 작성 ➔ 2) 단가 비교표 작성 ➔ 3) 설계변경 도서 제출 ➔ 4) 총사업비 변경 승인 결재</t>
        </is>
      </c>
      <c r="L17" s="47" t="inlineStr">
        <is>
          <t>토질 변경 &amp; 수량 증감 실정보고서 작성, 단가 비교표 작성 및 총사업비 변경 승인 결재</t>
        </is>
      </c>
      <c r="M17" s="47" t="inlineStr">
        <is>
          <t>지방계약법 정산 수칙 | 착수 전 토종 변경 및 수량 증감 실정보고 작성 | 총사업비 변경 승인 수속</t>
        </is>
      </c>
      <c r="N17" s="63">
        <f>HYPERLINK(LEFT(CELL("filename",A1),FIND("[",CELL("filename",A1))-1)&amp;"2.사전토공사\16_시공계획 수립\표준서\설계변경 (착수전)_표준서.html", "👉 [클릭] 표준서 열기 📄")</f>
        <v/>
      </c>
      <c r="O17" s="47" t="inlineStr">
        <is>
          <t>1) 토질 변경 &amp; 수량 증감 실정보고 작성 ➔ 2) 단가 비교표 작성 ➔ 3) 설계변경 도서 제출 ➔ 4) 총사업비 변경 승인 결재</t>
        </is>
      </c>
      <c r="P17" s="64">
        <f>HYPERLINK(LEFT(CELL("filename",A1),FIND("[",CELL("filename",A1))-1)&amp;"2.사전토공사\16_시공계획 수립\수행지침\설계변경 (착수전)_수행지침.html", "👉 [클릭] 수행지침 열기 📄")</f>
        <v/>
      </c>
      <c r="Q17" s="47" t="inlineStr">
        <is>
          <t>토질 변경 &amp; 수량 증감 실정보고서 작성, 단가 비교표 작성 및 총사업비 변경 승인 결재</t>
        </is>
      </c>
      <c r="R17" s="71">
        <f>HYPERLINK(LEFT(CELL("filename",A1),FIND("[",CELL("filename",A1))-1)&amp;"2.사전토공사\16_시공계획 수립\체크리스트\설계변경 (착수전)_체크리스트.html", "👉 [클릭] 체크리스트 열기 📄")</f>
        <v/>
      </c>
      <c r="S17" s="45" t="n"/>
    </row>
    <row r="18" ht="96" customHeight="1">
      <c r="A18" s="77" t="inlineStr">
        <is>
          <t>9000</t>
        </is>
      </c>
      <c r="B18" s="77" t="inlineStr">
        <is>
          <t>9000-2</t>
        </is>
      </c>
      <c r="C18" s="77" t="inlineStr">
        <is>
          <t>사전토공사</t>
        </is>
      </c>
      <c r="D18" s="78" t="inlineStr">
        <is>
          <t>9000-2-17</t>
        </is>
      </c>
      <c r="E18" s="79" t="inlineStr">
        <is>
          <t>9000-2-16</t>
        </is>
      </c>
      <c r="F18" s="80" t="inlineStr">
        <is>
          <t>9000-2-18</t>
        </is>
      </c>
      <c r="G18" s="45" t="inlineStr">
        <is>
          <t>D-30</t>
        </is>
      </c>
      <c r="H18" s="34" t="inlineStr">
        <is>
          <t>시공계획 수립</t>
        </is>
      </c>
      <c r="I18" s="45" t="inlineStr">
        <is>
          <t>현장 공사팀</t>
        </is>
      </c>
      <c r="J18" s="47" t="inlineStr">
        <is>
          <t>KCS 47 10 25 토공 시방 | 깎기/성토 토공 유동표 작성 및 3D BIM 도면 대조 | 책임감리원 최종 승인</t>
        </is>
      </c>
      <c r="K18" s="47" t="inlineStr">
        <is>
          <t>1) 토공 깎기/성토 유동표 작성 ➔ 2) 3D BIM 모델 표고 대조 ➔ 3) 사면 안성성 계산서 부착 ➔ 4) 토공 시공계획서 감리 최종 결재</t>
        </is>
      </c>
      <c r="L18" s="47" t="inlineStr">
        <is>
          <t>토공 깎기/성토 유동표 작성, 3D BIM 모델 표고 대조 및 사면 안전성 계산서 감리 결재</t>
        </is>
      </c>
      <c r="M18" s="47" t="inlineStr">
        <is>
          <t>KCS 47 10 25 토공 시방 | 깎기/성토 토공 유동표 작성 및 3D BIM 도면 대조 | 책임감리원 최종 승인</t>
        </is>
      </c>
      <c r="N18" s="63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O18" s="47" t="inlineStr">
        <is>
          <t>1) 토공 깎기/성토 유동표 작성 ➔ 2) 3D BIM 모델 표고 대조 ➔ 3) 사면 안성성 계산서 부착 ➔ 4) 토공 시공계획서 감리 최종 결재</t>
        </is>
      </c>
      <c r="P18" s="64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Q18" s="47" t="inlineStr">
        <is>
          <t>토공 깎기/성토 유동표 작성, 3D BIM 모델 표고 대조 및 사면 안전성 계산서 감리 결재</t>
        </is>
      </c>
      <c r="R18" s="71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S18" s="45" t="n"/>
    </row>
    <row r="19" ht="96" customHeight="1">
      <c r="A19" s="77" t="inlineStr">
        <is>
          <t>9000</t>
        </is>
      </c>
      <c r="B19" s="77" t="inlineStr">
        <is>
          <t>9000-2</t>
        </is>
      </c>
      <c r="C19" s="77" t="inlineStr">
        <is>
          <t>사전토공사</t>
        </is>
      </c>
      <c r="D19" s="78" t="inlineStr">
        <is>
          <t>9000-2-18</t>
        </is>
      </c>
      <c r="E19" s="79" t="inlineStr">
        <is>
          <t>9000-2-17</t>
        </is>
      </c>
      <c r="F19" s="80" t="inlineStr">
        <is>
          <t>9000-2-19</t>
        </is>
      </c>
      <c r="G19" s="45" t="inlineStr">
        <is>
          <t>D-30</t>
        </is>
      </c>
      <c r="H19" s="34" t="inlineStr">
        <is>
          <t>후행공종 요구조건 반영 설계변경 검토</t>
        </is>
      </c>
      <c r="I19" s="45" t="inlineStr">
        <is>
          <t>현장 공무팀/공사팀</t>
        </is>
      </c>
      <c r="J19" s="47" t="inlineStr">
        <is>
          <t>건진법 설계변경 수칙 | 궤도/구조물 후행 공종 요구 표고 오차(±10mm) 반영 | 설계변경 실정보고서 작성</t>
        </is>
      </c>
      <c r="K19" s="47" t="inlineStr">
        <is>
          <t>1) 궤도/구조물 후행 요구 조건 수집 ➔ 2) 마무리면 표고 오차(±10mm) 반영 ➔ 3) 설계변경 실정보고서 작성 ➔ 4) 책임감리원 기술 승인</t>
        </is>
      </c>
      <c r="L19" s="47" t="inlineStr">
        <is>
          <t>궤도/구조물 후행 요구 조건 반영, 마무리면 표고 오차(±10mm) 반영 및 설계변경 실정보고</t>
        </is>
      </c>
      <c r="M19" s="47" t="inlineStr">
        <is>
          <t>건진법 설계변경 수칙 | 궤도/구조물 후행 공종 요구 표고 오차(±10mm) 반영 | 설계변경 실정보고서 작성</t>
        </is>
      </c>
      <c r="N19" s="63">
        <f>HYPERLINK(LEFT(CELL("filename",A1),FIND("[",CELL("filename",A1))-1)&amp;"2.사전토공사\18_설계변경 (착수전)\표준서\설계변경 (착수전)_표준서.html", "👉 [클릭] 표준서 열기 📄")</f>
        <v/>
      </c>
      <c r="O19" s="47" t="inlineStr">
        <is>
          <t>1) 궤도/구조물 후행 요구 조건 수집 ➔ 2) 마무리면 표고 오차(±10mm) 반영 ➔ 3) 설계변경 실정보고서 작성 ➔ 4) 책임감리원 기술 승인</t>
        </is>
      </c>
      <c r="P19" s="64">
        <f>HYPERLINK(LEFT(CELL("filename",A1),FIND("[",CELL("filename",A1))-1)&amp;"2.사전토공사\18_설계변경 (착수전)\수행지침\설계변경 (착수전)_수행지침.html", "👉 [클릭] 수행지침 열기 📄")</f>
        <v/>
      </c>
      <c r="Q19" s="47" t="inlineStr">
        <is>
          <t>궤도/구조물 후행 요구 조건 반영, 마무리면 표고 오차(±10mm) 반영 및 설계변경 실정보고</t>
        </is>
      </c>
      <c r="R19" s="71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S19" s="45" t="n"/>
    </row>
    <row r="20" ht="96" customHeight="1">
      <c r="A20" s="77" t="inlineStr">
        <is>
          <t>9000</t>
        </is>
      </c>
      <c r="B20" s="77" t="inlineStr">
        <is>
          <t>9000-2</t>
        </is>
      </c>
      <c r="C20" s="77" t="inlineStr">
        <is>
          <t>사전토공사</t>
        </is>
      </c>
      <c r="D20" s="78" t="inlineStr">
        <is>
          <t>9000-2-19</t>
        </is>
      </c>
      <c r="E20" s="79" t="inlineStr">
        <is>
          <t>9000-2-18</t>
        </is>
      </c>
      <c r="F20" s="80" t="inlineStr">
        <is>
          <t>9000-2-20</t>
        </is>
      </c>
      <c r="G20" s="45" t="inlineStr">
        <is>
          <t>D-30</t>
        </is>
      </c>
      <c r="H20" s="34" t="inlineStr">
        <is>
          <t>설계변경 지원</t>
        </is>
      </c>
      <c r="I20" s="45" t="inlineStr">
        <is>
          <t>토목수행팀</t>
        </is>
      </c>
      <c r="J20" s="47" t="inlineStr">
        <is>
          <t>건진법 설계변경 규정 | 수량 산출서 및 단가 비교표 작성 | 책임감리원 기술 검토 의견서 첨부</t>
        </is>
      </c>
      <c r="K20" s="47" t="inlineStr">
        <is>
          <t>1) 변경 수량 산출서 정밀 집계 ➔ 2) 신규 단가 산정 서류 부착 ➔ 3) 감리단 기술 검토 수속 ➔ 4) 설계변경 제출 서면 결재</t>
        </is>
      </c>
      <c r="L20" s="47" t="inlineStr">
        <is>
          <t>변경 수량 산출서 정밀 집계, 신규 단가 산정 서류 첨부 및 책임감리원 기술 검토 수속</t>
        </is>
      </c>
      <c r="M20" s="47" t="inlineStr">
        <is>
          <t>건진법 설계변경 규정 | 수량 산출서 및 단가 비교표 작성 | 책임감리원 기술 검토 의견서 첨부</t>
        </is>
      </c>
      <c r="N20" s="63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O20" s="47" t="inlineStr">
        <is>
          <t>1) 변경 수량 산출서 정밀 집계 ➔ 2) 신규 단가 산정 서류 부착 ➔ 3) 감리단 기술 검토 수속 ➔ 4) 설계변경 제출 서면 결재</t>
        </is>
      </c>
      <c r="P20" s="64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Q20" s="47" t="inlineStr">
        <is>
          <t>변경 수량 산출서 정밀 집계, 신규 단가 산정 서류 첨부 및 책임감리원 기술 검토 수속</t>
        </is>
      </c>
      <c r="R20" s="71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S20" s="45" t="n"/>
    </row>
    <row r="21" ht="96" customHeight="1">
      <c r="A21" s="77" t="inlineStr">
        <is>
          <t>9000</t>
        </is>
      </c>
      <c r="B21" s="77" t="inlineStr">
        <is>
          <t>9000-2</t>
        </is>
      </c>
      <c r="C21" s="77" t="inlineStr">
        <is>
          <t>사전토공사</t>
        </is>
      </c>
      <c r="D21" s="78" t="inlineStr">
        <is>
          <t>9000-2-20</t>
        </is>
      </c>
      <c r="E21" s="79" t="inlineStr">
        <is>
          <t>9000-2-19</t>
        </is>
      </c>
      <c r="F21" s="80" t="inlineStr">
        <is>
          <t>9000-2-21</t>
        </is>
      </c>
      <c r="G21" s="45" t="inlineStr">
        <is>
          <t>D-20</t>
        </is>
      </c>
      <c r="H21" s="34" t="inlineStr">
        <is>
          <t>교통관리 및 교통안전시설 설치</t>
        </is>
      </c>
      <c r="I21" s="45" t="inlineStr">
        <is>
          <t>현장 공사팀</t>
        </is>
      </c>
      <c r="J21" s="47" t="inlineStr">
        <is>
          <t>도로교통법 안전 수칙 | 게이트 바리케이트, 야간 LED 경광등 부설 | 전담 안전 신호수(2인 2조) 100% 배치</t>
        </is>
      </c>
      <c r="K21" s="47" t="inlineStr">
        <is>
          <t>1) 게이트 바리케이트 &amp; 경광등 부설 ➔ 2) 우회 차선 표지판 설치 ➔ 3) 전담 신호수(2인 2조) 배치 ➔ 4) 교통 안전 점검 대장 결재</t>
        </is>
      </c>
      <c r="L21" s="47" t="inlineStr">
        <is>
          <t>게이트 바리케이트/LED 경광등 설치, 우회 차선 표지판 검측 및 전담 신호수(2인 2조) 배치</t>
        </is>
      </c>
      <c r="M21" s="47" t="inlineStr">
        <is>
          <t>도로교통법 안전 수칙 | 게이트 바리케이트, 야간 LED 경광등 부설 | 전담 안전 신호수(2인 2조) 100% 배치</t>
        </is>
      </c>
      <c r="N21" s="63">
        <f>HYPERLINK(LEFT(CELL("filename",A1),FIND("[",CELL("filename",A1))-1)&amp;"2.사전토공사\19_설계변경 지원\표준서\설계변경 지원_표준서.html", "👉 [클릭] 표준서 열기 📄")</f>
        <v/>
      </c>
      <c r="O21" s="47" t="inlineStr">
        <is>
          <t>1) 게이트 바리케이트 &amp; 경광등 부설 ➔ 2) 우회 차선 표지판 설치 ➔ 3) 전담 신호수(2인 2조) 배치 ➔ 4) 교통 안전 점검 대장 결재</t>
        </is>
      </c>
      <c r="P21" s="64">
        <f>HYPERLINK(LEFT(CELL("filename",A1),FIND("[",CELL("filename",A1))-1)&amp;"2.사전토공사\19_설계변경 지원\수행지침\설계변경 지원_수행지침.html", "👉 [클릭] 수행지침 열기 📄")</f>
        <v/>
      </c>
      <c r="Q21" s="47" t="inlineStr">
        <is>
          <t>게이트 바리케이트/LED 경광등 설치, 우회 차선 표지판 검측 및 전담 신호수(2인 2조) 배치</t>
        </is>
      </c>
      <c r="R21" s="71">
        <f>HYPERLINK(LEFT(CELL("filename",A1),FIND("[",CELL("filename",A1))-1)&amp;"2.사전토공사\19_설계변경 지원\체크리스트\설계변경 지원_체크리스트.html", "👉 [클릭] 체크리스트 열기 📄")</f>
        <v/>
      </c>
      <c r="S21" s="45" t="n"/>
    </row>
    <row r="22" ht="96" customHeight="1">
      <c r="A22" s="77" t="inlineStr">
        <is>
          <t>9000</t>
        </is>
      </c>
      <c r="B22" s="77" t="inlineStr">
        <is>
          <t>9000-2</t>
        </is>
      </c>
      <c r="C22" s="77" t="inlineStr">
        <is>
          <t>사전토공사</t>
        </is>
      </c>
      <c r="D22" s="78" t="inlineStr">
        <is>
          <t>9000-2-21</t>
        </is>
      </c>
      <c r="E22" s="79" t="inlineStr">
        <is>
          <t>9000-2-20</t>
        </is>
      </c>
      <c r="F22" s="80" t="inlineStr">
        <is>
          <t>9000-2-22</t>
        </is>
      </c>
      <c r="G22" s="45" t="inlineStr">
        <is>
          <t>D-10</t>
        </is>
      </c>
      <c r="H22" s="34" t="inlineStr">
        <is>
          <t>장비 검수 지원</t>
        </is>
      </c>
      <c r="I22" s="45" t="inlineStr">
        <is>
          <t>기술안전팀</t>
        </is>
      </c>
      <c r="J22" s="47" t="inlineStr">
        <is>
          <t>건설기계관리법 제13조 | 자중 10t+ 굴착기, 덤프 정기검사증 검수 | 후방 센서 점검 및 반입 허가</t>
        </is>
      </c>
      <c r="K22" s="47" t="inlineStr">
        <is>
          <t>1) 10t+ 굴착기/덤프 사양 검수 ➔ 2) 건설기계 정기검사증 점검 ➔ 3) 후방 카메라/경보음 시동 점검 ➔ 4) 장비 반입 승인서 감리 결재</t>
        </is>
      </c>
      <c r="L22" s="47" t="inlineStr">
        <is>
          <t>자중 10t+ 굴착기/덤프 정기검사증, 후방 카메라/경보음 시동 점검 및 반입 허가 결재</t>
        </is>
      </c>
      <c r="M22" s="47" t="inlineStr">
        <is>
          <t>건설기계관리법 제13조 | 자중 10t+ 굴착기, 덤프 정기검사증 검수 | 후방 센서 점검 및 반입 허가</t>
        </is>
      </c>
      <c r="N22" s="63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O22" s="47" t="inlineStr">
        <is>
          <t>1) 10t+ 굴착기/덤프 사양 검수 ➔ 2) 건설기계 정기검사증 점검 ➔ 3) 후방 카메라/경보음 시동 점검 ➔ 4) 장비 반입 승인서 감리 결재</t>
        </is>
      </c>
      <c r="P22" s="64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Q22" s="47" t="inlineStr">
        <is>
          <t>자중 10t+ 굴착기/덤프 정기검사증, 후방 카메라/경보음 시동 점검 및 반입 허가 결재</t>
        </is>
      </c>
      <c r="R22" s="71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S22" s="45" t="n"/>
    </row>
    <row r="23" ht="96" customHeight="1">
      <c r="A23" s="77" t="inlineStr">
        <is>
          <t>9000</t>
        </is>
      </c>
      <c r="B23" s="77" t="inlineStr">
        <is>
          <t>9000-2</t>
        </is>
      </c>
      <c r="C23" s="77" t="inlineStr">
        <is>
          <t>사전토공사</t>
        </is>
      </c>
      <c r="D23" s="78" t="inlineStr">
        <is>
          <t>9000-2-22</t>
        </is>
      </c>
      <c r="E23" s="79" t="inlineStr">
        <is>
          <t>9000-2-21</t>
        </is>
      </c>
      <c r="F23" s="80" t="inlineStr">
        <is>
          <t>9000-2-23</t>
        </is>
      </c>
      <c r="G23" s="45" t="inlineStr">
        <is>
          <t>D+10~30</t>
        </is>
      </c>
      <c r="H23" s="34" t="inlineStr">
        <is>
          <t>벌목/벌근제거</t>
        </is>
      </c>
      <c r="I23" s="45" t="inlineStr">
        <is>
          <t>현장 공사팀</t>
        </is>
      </c>
      <c r="J23" s="47" t="inlineStr">
        <is>
          <t>KCS 47 10 25 산림 벌목 시방 | 수목 벌목 및 뿌리 제거(벌근) 깊이 30cm 이상 | 임목 폐기물 수속 처리</t>
        </is>
      </c>
      <c r="K23" s="47" t="inlineStr">
        <is>
          <t>1) 현장 지반 수목 벌목 시행 ➔ 2) 뿌리 제거(벌근) 깊이 30cm 굴착 ➔ 3) 임목 폐기물 수속 처리 ➔ 4) 벌목 벌근 성과표 감리 승인</t>
        </is>
      </c>
      <c r="L23" s="47" t="inlineStr">
        <is>
          <t>현장 수목 벌목 시행, 뿌리 제거(벌근) 깊이 30cm 이상 굴착 및 임목 폐기물 수속 처리</t>
        </is>
      </c>
      <c r="M23" s="47" t="inlineStr">
        <is>
          <t>KCS 47 10 25 산림 벌목 시방 | 수목 벌목 및 뿌리 제거(벌근) 깊이 30cm 이상 | 임목 폐기물 수속 처리</t>
        </is>
      </c>
      <c r="N23" s="63">
        <f>HYPERLINK(LEFT(CELL("filename",A1),FIND("[",CELL("filename",A1))-1)&amp;"2.사전토공사\21_장비 검수 지원\표준서\장비 검수 지원_표준서.html", "👉 [클릭] 표준서 열기 📄")</f>
        <v/>
      </c>
      <c r="O23" s="47" t="inlineStr">
        <is>
          <t>1) 현장 지반 수목 벌목 시행 ➔ 2) 뿌리 제거(벌근) 깊이 30cm 굴착 ➔ 3) 임목 폐기물 수속 처리 ➔ 4) 벌목 벌근 성과표 감리 승인</t>
        </is>
      </c>
      <c r="P23" s="64">
        <f>HYPERLINK(LEFT(CELL("filename",A1),FIND("[",CELL("filename",A1))-1)&amp;"2.사전토공사\21_장비 검수 지원\수행지침\장비 검수 지원_수행지침.html", "👉 [클릭] 수행지침 열기 📄")</f>
        <v/>
      </c>
      <c r="Q23" s="47" t="inlineStr">
        <is>
          <t>현장 수목 벌목 시행, 뿌리 제거(벌근) 깊이 30cm 이상 굴착 및 임목 폐기물 수속 처리</t>
        </is>
      </c>
      <c r="R23" s="71">
        <f>HYPERLINK(LEFT(CELL("filename",A1),FIND("[",CELL("filename",A1))-1)&amp;"2.사전토공사\21_장비 검수 지원\체크리스트\장비 검수 지원_체크리스트.html", "👉 [클릭] 체크리스트 열기 📄")</f>
        <v/>
      </c>
      <c r="S23" s="45" t="n"/>
    </row>
    <row r="24" ht="96" customHeight="1">
      <c r="A24" s="77" t="inlineStr">
        <is>
          <t>9000</t>
        </is>
      </c>
      <c r="B24" s="77" t="inlineStr">
        <is>
          <t>9000-2</t>
        </is>
      </c>
      <c r="C24" s="77" t="inlineStr">
        <is>
          <t>사전토공사</t>
        </is>
      </c>
      <c r="D24" s="78" t="inlineStr">
        <is>
          <t>9000-2-23</t>
        </is>
      </c>
      <c r="E24" s="79" t="inlineStr">
        <is>
          <t>9000-2-22</t>
        </is>
      </c>
      <c r="F24" s="80" t="inlineStr">
        <is>
          <t>9000-2-24</t>
        </is>
      </c>
      <c r="G24" s="45" t="inlineStr">
        <is>
          <t>D+10~25</t>
        </is>
      </c>
      <c r="H24" s="34" t="inlineStr">
        <is>
          <t>기존구조물 / 지장물 처리</t>
        </is>
      </c>
      <c r="I24" s="45" t="inlineStr">
        <is>
          <t>현장 공사팀 / 공무팀</t>
        </is>
      </c>
      <c r="J24" s="47" t="inlineStr">
        <is>
          <t>폐기물관리법 준수 | 기존 아스콘/콘크리트 구조물 안전 삭평 철거 | 건설 폐기물 성적표 수속</t>
        </is>
      </c>
      <c r="K24" s="47" t="inlineStr">
        <is>
          <t>1) 기존 아스콘/콘크리트 삭평 철거 ➔ 2) 폐기물 분리 수거 &amp; 적재 ➔ 3) 건설 폐기물 위탁 처리 ➔ 4) 지장물 처리 성과표 감리 승인</t>
        </is>
      </c>
      <c r="L24" s="47" t="inlineStr">
        <is>
          <t>기존 아스콘/콘크리트 삭평 철거, 건설 폐기물 분리 수거 적재 및 폐기물 성적서 수속</t>
        </is>
      </c>
      <c r="M24" s="47" t="inlineStr">
        <is>
          <t>폐기물관리법 준수 | 기존 아스콘/콘크리트 구조물 안전 삭평 철거 | 건설 폐기물 성적표 수속</t>
        </is>
      </c>
      <c r="N24" s="63">
        <f>HYPERLINK(LEFT(CELL("filename",A1),FIND("[",CELL("filename",A1))-1)&amp;"2.사전토공사\22_벌목_벌근제거\표준서\벌목_벌근제거_표준서.html", "👉 [클릭] 표준서 열기 📄")</f>
        <v/>
      </c>
      <c r="O24" s="47" t="inlineStr">
        <is>
          <t>1) 기존 아스콘/콘크리트 삭평 철거 ➔ 2) 폐기물 분리 수거 &amp; 적재 ➔ 3) 건설 폐기물 위탁 처리 ➔ 4) 지장물 처리 성과표 감리 승인</t>
        </is>
      </c>
      <c r="P24" s="64">
        <f>HYPERLINK(LEFT(CELL("filename",A1),FIND("[",CELL("filename",A1))-1)&amp;"2.사전토공사\22_벌목_벌근제거\수행지침\벌목_벌근제거_수행지침.html", "👉 [클릭] 수행지침 열기 📄")</f>
        <v/>
      </c>
      <c r="Q24" s="47" t="inlineStr">
        <is>
          <t>기존 아스콘/콘크리트 삭평 철거, 건설 폐기물 분리 수거 적재 및 폐기물 성적서 수속</t>
        </is>
      </c>
      <c r="R24" s="71">
        <f>HYPERLINK(LEFT(CELL("filename",A1),FIND("[",CELL("filename",A1))-1)&amp;"2.사전토공사\22_벌목_벌근제거\체크리스트\벌목_벌근제거_체크리스트.html", "👉 [클릭] 체크리스트 열기 📄")</f>
        <v/>
      </c>
      <c r="S24" s="45" t="n"/>
    </row>
    <row r="25" ht="96" customHeight="1">
      <c r="A25" s="77" t="inlineStr">
        <is>
          <t>9000</t>
        </is>
      </c>
      <c r="B25" s="77" t="inlineStr">
        <is>
          <t>9000-2</t>
        </is>
      </c>
      <c r="C25" s="77" t="inlineStr">
        <is>
          <t>사전토공사</t>
        </is>
      </c>
      <c r="D25" s="78" t="inlineStr">
        <is>
          <t>9000-2-24</t>
        </is>
      </c>
      <c r="E25" s="79" t="inlineStr">
        <is>
          <t>9000-2-23</t>
        </is>
      </c>
      <c r="F25" s="80" t="inlineStr">
        <is>
          <t>9000-2-25</t>
        </is>
      </c>
      <c r="G25" s="45" t="inlineStr">
        <is>
          <t>D+10~30</t>
        </is>
      </c>
      <c r="H25" s="34" t="inlineStr">
        <is>
          <t>진입로 조성</t>
        </is>
      </c>
      <c r="I25" s="45" t="inlineStr">
        <is>
          <t>현장 공사팀</t>
        </is>
      </c>
      <c r="J25" s="47" t="inlineStr">
        <is>
          <t>KCS 47 10 25 가설 도로 | 덤프트럭 진입 가설 도로 폭 6m 포설 | 쇄석 골재(두께 20cm) 부설 &amp; 살수</t>
        </is>
      </c>
      <c r="K25" s="47" t="inlineStr">
        <is>
          <t>1) 가설 도로 폭 6m 성토 굴착 ➔ 2) 쇄석 골재(두께 20cm) 부설 ➔ 3) 10t 롤러 다짐 &amp; 살수 ➔ 4) 진입로 조성 성과표 감리 승인</t>
        </is>
      </c>
      <c r="L25" s="47" t="inlineStr">
        <is>
          <t>가설 도로 폭 6m 성토 굴착, 쇄석 골재(두께 20cm) 부설, 10t 롤러 다짐 및 살수 점검</t>
        </is>
      </c>
      <c r="M25" s="47" t="inlineStr">
        <is>
          <t>KCS 47 10 25 가설 도로 | 덤프트럭 진입 가설 도로 폭 6m 포설 | 쇄석 골재(두께 20cm) 부설 &amp; 살수</t>
        </is>
      </c>
      <c r="N25" s="63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O25" s="47" t="inlineStr">
        <is>
          <t>1) 가설 도로 폭 6m 성토 굴착 ➔ 2) 쇄석 골재(두께 20cm) 부설 ➔ 3) 10t 롤러 다짐 &amp; 살수 ➔ 4) 진입로 조성 성과표 감리 승인</t>
        </is>
      </c>
      <c r="P25" s="64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Q25" s="47" t="inlineStr">
        <is>
          <t>가설 도로 폭 6m 성토 굴착, 쇄석 골재(두께 20cm) 부설, 10t 롤러 다짐 및 살수 점검</t>
        </is>
      </c>
      <c r="R25" s="71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S25" s="45" t="n"/>
    </row>
    <row r="26" ht="96" customHeight="1">
      <c r="A26" s="77" t="inlineStr">
        <is>
          <t>9000</t>
        </is>
      </c>
      <c r="B26" s="77" t="inlineStr">
        <is>
          <t>9000-2</t>
        </is>
      </c>
      <c r="C26" s="77" t="inlineStr">
        <is>
          <t>사전토공사</t>
        </is>
      </c>
      <c r="D26" s="78" t="inlineStr">
        <is>
          <t>9000-2-25</t>
        </is>
      </c>
      <c r="E26" s="79" t="inlineStr">
        <is>
          <t>9000-2-24</t>
        </is>
      </c>
      <c r="F26" s="80" t="inlineStr">
        <is>
          <t>9000-2-26</t>
        </is>
      </c>
      <c r="G26" s="45" t="inlineStr">
        <is>
          <t>D+10~30</t>
        </is>
      </c>
      <c r="H26" s="34" t="inlineStr">
        <is>
          <t>배수/환경시설 설치</t>
        </is>
      </c>
      <c r="I26" s="45" t="inlineStr">
        <is>
          <t>현장 공사팀</t>
        </is>
      </c>
      <c r="J26" s="47" t="inlineStr">
        <is>
          <t>KCS 47 10 25 배수 시방 | 가배수로(0.6×0.6m) &amp; 가침사지 설치 | 세륜기(깊이 1.2m) 가동 및 배수 검측</t>
        </is>
      </c>
      <c r="K26" s="47" t="inlineStr">
        <is>
          <t>1) 가배수로(0.6×0.6m) &amp; 가침사지 터파기 ➔ 2) 세륜기(깊이 1.2m) 부설 ➔ 3) 양수 펌프 비치 ➔ 4) 배수 환경 시설 감리 서면 승인</t>
        </is>
      </c>
      <c r="L26" s="47" t="inlineStr">
        <is>
          <t>가배수로(0.6×0.6m) &amp; 가침사지 설치, 세륜기(깊이 1.2m) 가동 및 수중 양수 펌프 비치</t>
        </is>
      </c>
      <c r="M26" s="47" t="inlineStr">
        <is>
          <t>KCS 47 10 25 배수 시방 | 가배수로(0.6×0.6m) &amp; 가침사지 설치 | 세륜기(깊이 1.2m) 가동 및 배수 검측</t>
        </is>
      </c>
      <c r="N26" s="63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O26" s="47" t="inlineStr">
        <is>
          <t>1) 가배수로(0.6×0.6m) &amp; 가침사지 터파기 ➔ 2) 세륜기(깊이 1.2m) 부설 ➔ 3) 양수 펌프 비치 ➔ 4) 배수 환경 시설 감리 서면 승인</t>
        </is>
      </c>
      <c r="P26" s="64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Q26" s="47" t="inlineStr">
        <is>
          <t>가배수로(0.6×0.6m) &amp; 가침사지 설치, 세륜기(깊이 1.2m) 가동 및 수중 양수 펌프 비치</t>
        </is>
      </c>
      <c r="R26" s="71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S26" s="45" t="n"/>
    </row>
    <row r="27" ht="96" customHeight="1">
      <c r="A27" s="77" t="inlineStr">
        <is>
          <t>9000</t>
        </is>
      </c>
      <c r="B27" s="77" t="inlineStr">
        <is>
          <t>9000-2</t>
        </is>
      </c>
      <c r="C27" s="77" t="inlineStr">
        <is>
          <t>사전토공사</t>
        </is>
      </c>
      <c r="D27" s="78" t="inlineStr">
        <is>
          <t>9000-2-26</t>
        </is>
      </c>
      <c r="E27" s="79" t="inlineStr">
        <is>
          <t>9000-2-25</t>
        </is>
      </c>
      <c r="F27" s="80" t="inlineStr">
        <is>
          <t>9000-2-27</t>
        </is>
      </c>
      <c r="G27" s="45" t="inlineStr">
        <is>
          <t>D+10~30</t>
        </is>
      </c>
      <c r="H27" s="34" t="inlineStr">
        <is>
          <t>토공 굴착</t>
        </is>
      </c>
      <c r="I27" s="45" t="inlineStr">
        <is>
          <t>현장 공사팀</t>
        </is>
      </c>
      <c r="J27" s="47" t="inlineStr">
        <is>
          <t>KCS 47 10 25 굴착 규정 | 3D GPS 굴착기 표고 오차 ±20mm 통제 | 사면 비탈면 경사(1:1.5) 준수</t>
        </is>
      </c>
      <c r="K27" s="47" t="inlineStr">
        <is>
          <t>1) 3D GPS 굴착기 정밀 세팅 ➔ 2) 토사 깎기 &amp; 사면 비탈면(1:1.5) 굴착 ➔ 3) 표고 오차(±20mm) 검측 ➔ 4) 토공 굴착 성과표 감리 승인</t>
        </is>
      </c>
      <c r="L27" s="47" t="inlineStr">
        <is>
          <t>3D GPS 굴착기 표고 오차 ±20mm 통제, 사면 비탈면 경사(1:1.5 이하) 준수 및 굴착 검측</t>
        </is>
      </c>
      <c r="M27" s="47" t="inlineStr">
        <is>
          <t>KCS 47 10 25 굴착 규정 | 3D GPS 굴착기 표고 오차 ±20mm 통제 | 사면 비탈면 경사(1:1.5) 준수</t>
        </is>
      </c>
      <c r="N27" s="63">
        <f>HYPERLINK(LEFT(CELL("filename",A1),FIND("[",CELL("filename",A1))-1)&amp;"2.사전토공사\24_진입로 조성\표준서\진입로 조성_표준서.html", "👉 [클릭] 표준서 열기 📄")</f>
        <v/>
      </c>
      <c r="O27" s="47" t="inlineStr">
        <is>
          <t>1) 3D GPS 굴착기 정밀 세팅 ➔ 2) 토사 깎기 &amp; 사면 비탈면(1:1.5) 굴착 ➔ 3) 표고 오차(±20mm) 검측 ➔ 4) 토공 굴착 성과표 감리 승인</t>
        </is>
      </c>
      <c r="P27" s="64">
        <f>HYPERLINK(LEFT(CELL("filename",A1),FIND("[",CELL("filename",A1))-1)&amp;"2.사전토공사\24_진입로 조성\수행지침\진입로 조성_수행지침.html", "👉 [클릭] 수행지침 열기 📄")</f>
        <v/>
      </c>
      <c r="Q27" s="47" t="inlineStr">
        <is>
          <t>3D GPS 굴착기 표고 오차 ±20mm 통제, 사면 비탈면 경사(1:1.5 이하) 준수 및 굴착 검측</t>
        </is>
      </c>
      <c r="R27" s="71">
        <f>HYPERLINK(LEFT(CELL("filename",A1),FIND("[",CELL("filename",A1))-1)&amp;"2.사전토공사\24_진입로 조성\체크리스트\진입로 조성_체크리스트.html", "👉 [클릭] 체크리스트 열기 📄")</f>
        <v/>
      </c>
      <c r="S27" s="45" t="n"/>
    </row>
    <row r="28" ht="96" customHeight="1">
      <c r="A28" s="77" t="inlineStr">
        <is>
          <t>9000</t>
        </is>
      </c>
      <c r="B28" s="77" t="inlineStr">
        <is>
          <t>9000-2</t>
        </is>
      </c>
      <c r="C28" s="77" t="inlineStr">
        <is>
          <t>사전토공사</t>
        </is>
      </c>
      <c r="D28" s="78" t="inlineStr">
        <is>
          <t>9000-2-27</t>
        </is>
      </c>
      <c r="E28" s="79" t="inlineStr">
        <is>
          <t>9000-2-26</t>
        </is>
      </c>
      <c r="F28" s="80" t="inlineStr">
        <is>
          <t>9000-2-28</t>
        </is>
      </c>
      <c r="G28" s="45" t="inlineStr">
        <is>
          <t>D+10~30</t>
        </is>
      </c>
      <c r="H28" s="34" t="inlineStr">
        <is>
          <t>노상토 지지력 확인</t>
        </is>
      </c>
      <c r="I28" s="45" t="inlineStr">
        <is>
          <t>현장 품질팀</t>
        </is>
      </c>
      <c r="J28" s="47" t="inlineStr">
        <is>
          <t>KS F 2310 규정 준수 | 굴착 바닥 원지반 평판재하시험 K30 ≥ 70 MN/m³ | 덤프트럭 펌핑 연약 지반 점검</t>
        </is>
      </c>
      <c r="K28" s="47" t="inlineStr">
        <is>
          <t>1) 굴착 바닥 원지반 수평 정리 ➔ 2) K30 평판재하시험(≥70 MN/m³) ➔ 3) 덤프트럭 펌핑 연약 지반 점검 ➔ 4) 노상토 지지력 성과표 승인</t>
        </is>
      </c>
      <c r="L28" s="47" t="inlineStr">
        <is>
          <t>굴착 바닥 평판재하시험 K30 ≥ 70 MN/m³, 덤프트럭 펌핑 연약 지반 점검 및 노상토 승인</t>
        </is>
      </c>
      <c r="M28" s="47" t="inlineStr">
        <is>
          <t>KS F 2310 규정 준수 | 굴착 바닥 원지반 평판재하시험 K30 ≥ 70 MN/m³ | 덤프트럭 펌핑 연약 지반 점검</t>
        </is>
      </c>
      <c r="N28" s="63">
        <f>HYPERLINK(LEFT(CELL("filename",A1),FIND("[",CELL("filename",A1))-1)&amp;"2.사전토공사\25_배수_환경시설 설치\표준서\배수_환경시설 설치_표준서.html", "👉 [클릭] 표준서 열기 📄")</f>
        <v/>
      </c>
      <c r="O28" s="47" t="inlineStr">
        <is>
          <t>1) 굴착 바닥 원지반 수평 정리 ➔ 2) K30 평판재하시험(≥70 MN/m³) ➔ 3) 덤프트럭 펌핑 연약 지반 점검 ➔ 4) 노상토 지지력 성과표 승인</t>
        </is>
      </c>
      <c r="P28" s="64">
        <f>HYPERLINK(LEFT(CELL("filename",A1),FIND("[",CELL("filename",A1))-1)&amp;"2.사전토공사\25_배수_환경시설 설치\수행지침\배수_환경시설 설치_수행지침.html", "👉 [클릭] 수행지침 열기 📄")</f>
        <v/>
      </c>
      <c r="Q28" s="47" t="inlineStr">
        <is>
          <t>굴착 바닥 평판재하시험 K30 ≥ 70 MN/m³, 덤프트럭 펌핑 연약 지반 점검 및 노상토 승인</t>
        </is>
      </c>
      <c r="R28" s="71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S28" s="45" t="n"/>
    </row>
    <row r="29" ht="96" customHeight="1">
      <c r="A29" s="77" t="inlineStr">
        <is>
          <t>9000</t>
        </is>
      </c>
      <c r="B29" s="77" t="inlineStr">
        <is>
          <t>9000-2</t>
        </is>
      </c>
      <c r="C29" s="77" t="inlineStr">
        <is>
          <t>사전토공사</t>
        </is>
      </c>
      <c r="D29" s="78" t="inlineStr">
        <is>
          <t>9000-2-28</t>
        </is>
      </c>
      <c r="E29" s="79" t="inlineStr">
        <is>
          <t>9000-2-27</t>
        </is>
      </c>
      <c r="F29" s="80" t="inlineStr">
        <is>
          <t>9000-2-29</t>
        </is>
      </c>
      <c r="G29" s="45" t="inlineStr">
        <is>
          <t>D+10~30</t>
        </is>
      </c>
      <c r="H29" s="34" t="inlineStr">
        <is>
          <t>쌓기 및 다짐(필요시)</t>
        </is>
      </c>
      <c r="I29" s="45" t="inlineStr">
        <is>
          <t>현장 공사팀</t>
        </is>
      </c>
      <c r="J29" s="47" t="inlineStr">
        <is>
          <t>KCS 47 10 25 성토 시방 | 층두께 ≤ 30cm 토사 포설 | 10t 강동 롤러 다짐(들밀도 다짐도 ≥ 90%)</t>
        </is>
      </c>
      <c r="K29" s="47" t="inlineStr">
        <is>
          <t>1) 성토 토사 30cm 층포설 ➔ 2) 살수차 최적함수비 살수 ➔ 3) 10t 강동 롤러 다짐(다짐도≥90%) ➔ 4) 성토 다짐 성과표 감리 승인</t>
        </is>
      </c>
      <c r="L29" s="47" t="inlineStr">
        <is>
          <t>성토 토사 30cm 층포설, 살수차 최적함수비 OMC 살수 및 10t 롤러 다짐(다짐도 ≥ 90%)</t>
        </is>
      </c>
      <c r="M29" s="47" t="inlineStr">
        <is>
          <t>KCS 47 10 25 성토 시방 | 층두께 ≤ 30cm 토사 포설 | 10t 강동 롤러 다짐(들밀도 다짐도 ≥ 90%)</t>
        </is>
      </c>
      <c r="N29" s="63">
        <f>HYPERLINK(LEFT(CELL("filename",A1),FIND("[",CELL("filename",A1))-1)&amp;"2.사전토공사\26_토공 굴착\표준서\토공 굴착_표준서.html", "👉 [클릭] 표준서 열기 📄")</f>
        <v/>
      </c>
      <c r="O29" s="47" t="inlineStr">
        <is>
          <t>1) 성토 토사 30cm 층포설 ➔ 2) 살수차 최적함수비 살수 ➔ 3) 10t 강동 롤러 다짐(다짐도≥90%) ➔ 4) 성토 다짐 성과표 감리 승인</t>
        </is>
      </c>
      <c r="P29" s="64">
        <f>HYPERLINK(LEFT(CELL("filename",A1),FIND("[",CELL("filename",A1))-1)&amp;"2.사전토공사\26_토공 굴착\수행지침\토공 굴착_수행지침.html", "👉 [클릭] 수행지침 열기 📄")</f>
        <v/>
      </c>
      <c r="Q29" s="47" t="inlineStr">
        <is>
          <t>성토 토사 30cm 층포설, 살수차 최적함수비 OMC 살수 및 10t 롤러 다짐(다짐도 ≥ 90%)</t>
        </is>
      </c>
      <c r="R29" s="71">
        <f>HYPERLINK(LEFT(CELL("filename",A1),FIND("[",CELL("filename",A1))-1)&amp;"2.사전토공사\26_토공 굴착\체크리스트\토공 굴착_체크리스트.html", "👉 [클릭] 체크리스트 열기 📄")</f>
        <v/>
      </c>
      <c r="S29" s="45" t="n"/>
    </row>
    <row r="30" ht="96" customHeight="1">
      <c r="A30" s="77" t="inlineStr">
        <is>
          <t>9000</t>
        </is>
      </c>
      <c r="B30" s="77" t="inlineStr">
        <is>
          <t>9000-2</t>
        </is>
      </c>
      <c r="C30" s="77" t="inlineStr">
        <is>
          <t>사전토공사</t>
        </is>
      </c>
      <c r="D30" s="78" t="inlineStr">
        <is>
          <t>9000-2-29</t>
        </is>
      </c>
      <c r="E30" s="79" t="inlineStr">
        <is>
          <t>9000-2-28</t>
        </is>
      </c>
      <c r="F30" s="80" t="inlineStr">
        <is>
          <t>9000-2-30</t>
        </is>
      </c>
      <c r="G30" s="45" t="inlineStr">
        <is>
          <t>D+75일 이후</t>
        </is>
      </c>
      <c r="H30" s="34" t="inlineStr">
        <is>
          <t>현장지원</t>
        </is>
      </c>
      <c r="I30" s="45" t="inlineStr">
        <is>
          <t>토목수행팀, 토목품질팀, 토목안전팀</t>
        </is>
      </c>
      <c r="J30" s="47" t="inlineStr">
        <is>
          <t>현장 통합 소통 수칙 | 일일 TBM 및 품질/안전 지원 대장 수록 | 감리 입회 검측 서면 승인</t>
        </is>
      </c>
      <c r="K30" s="47" t="inlineStr">
        <is>
          <t>1) 일일 현장 품질/안전 지원 ➔ 2) TBM 및 근로자 교육 ➔ 3) 공정 장애 요소 해소 ➔ 4) 현장 지원 대장 서면 승인</t>
        </is>
      </c>
      <c r="L30" s="47" t="inlineStr">
        <is>
          <t>일일 현장 품질/안전 지원 대장, TBM 및 근로자 교육 시행 서면 승인</t>
        </is>
      </c>
      <c r="M30" s="47" t="inlineStr">
        <is>
          <t>현장 통합 소통 수칙 | 일일 TBM 및 품질/안전 지원 대장 수록 | 감리 입회 검측 서면 승인</t>
        </is>
      </c>
      <c r="N30" s="63">
        <f>HYPERLINK(LEFT(CELL("filename",A1),FIND("[",CELL("filename",A1))-1)&amp;"2.사전토공사\27_노상토 지지력 확인\표준서\노상토 지지력 확인_표준서.html", "👉 [클릭] 표준서 열기 📄")</f>
        <v/>
      </c>
      <c r="O30" s="47" t="inlineStr">
        <is>
          <t>1) 일일 현장 품질/안전 지원 ➔ 2) TBM 및 근로자 교육 ➔ 3) 공정 장애 요소 해소 ➔ 4) 현장 지원 대장 서면 승인</t>
        </is>
      </c>
      <c r="P30" s="64">
        <f>HYPERLINK(LEFT(CELL("filename",A1),FIND("[",CELL("filename",A1))-1)&amp;"2.사전토공사\27_노상토 지지력 확인\수행지침\노상토 지지력 확인_수행지침.html", "👉 [클릭] 수행지침 열기 📄")</f>
        <v/>
      </c>
      <c r="Q30" s="47" t="inlineStr">
        <is>
          <t>일일 현장 품질/안전 지원 대장, TBM 및 근로자 교육 시행 서면 승인</t>
        </is>
      </c>
      <c r="R30" s="71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S30" s="45" t="n"/>
    </row>
    <row r="31" ht="96" customHeight="1">
      <c r="A31" s="77" t="inlineStr">
        <is>
          <t>9000</t>
        </is>
      </c>
      <c r="B31" s="77" t="inlineStr">
        <is>
          <t>9000-2</t>
        </is>
      </c>
      <c r="C31" s="77" t="inlineStr">
        <is>
          <t>사전토공사</t>
        </is>
      </c>
      <c r="D31" s="78" t="inlineStr">
        <is>
          <t>9000-2-30</t>
        </is>
      </c>
      <c r="E31" s="79" t="inlineStr">
        <is>
          <t>9000-2-29</t>
        </is>
      </c>
      <c r="F31" s="80" t="inlineStr">
        <is>
          <t>9000-2-31</t>
        </is>
      </c>
      <c r="G31" s="45" t="inlineStr">
        <is>
          <t>D+75일 이후</t>
        </is>
      </c>
      <c r="H31" s="34" t="inlineStr">
        <is>
          <t>강화노반 인계</t>
        </is>
      </c>
      <c r="I31" s="45" t="inlineStr">
        <is>
          <t>현장 공사팀 / 품질팀</t>
        </is>
      </c>
      <c r="J31" s="47" t="inlineStr">
        <is>
          <t>KCS 47 10 25 인계인수 수칙 | 토공-강화노반 시공팀 3자 합동 레벨 측량 | 마무리면 인계인수서 서명</t>
        </is>
      </c>
      <c r="K31" s="47" t="inlineStr">
        <is>
          <t>1) 토공-강화노반 시공팀 3자 합동 현측 ➔ 2) 마무리면 레벨 오차(±10mm) 확인 ➔ 3) 인계인수 합의서 서명 ➔ 4) 토공 마무리면 인계 완료</t>
        </is>
      </c>
      <c r="L31" s="47" t="inlineStr">
        <is>
          <t>토공-강화노반 시공팀 3자 합동 레벨 측량, 마무리면 레벨 오차(±10mm) 인계인수서 서명</t>
        </is>
      </c>
      <c r="M31" s="47" t="inlineStr">
        <is>
          <t>KCS 47 10 25 인계인수 수칙 | 토공-강화노반 시공팀 3자 합동 레벨 측량 | 마무리면 인계인수서 서명</t>
        </is>
      </c>
      <c r="N31" s="63">
        <f>HYPERLINK(LEFT(CELL("filename",A1),FIND("[",CELL("filename",A1))-1)&amp;"2.사전토공사\28_쌓기 및 다짐_필요시\표준서\쌓기 및 다짐(필요시)_표준서.html", "👉 [클릭] 표준서 열기 📄")</f>
        <v/>
      </c>
      <c r="O31" s="47" t="inlineStr">
        <is>
          <t>1) 토공-강화노반 시공팀 3자 합동 현측 ➔ 2) 마무리면 레벨 오차(±10mm) 확인 ➔ 3) 인계인수 합의서 서명 ➔ 4) 토공 마무리면 인계 완료</t>
        </is>
      </c>
      <c r="P31" s="64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Q31" s="47" t="inlineStr">
        <is>
          <t>토공-강화노반 시공팀 3자 합동 레벨 측량, 마무리면 레벨 오차(±10mm) 인계인수서 서명</t>
        </is>
      </c>
      <c r="R31" s="71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S31" s="45" t="n"/>
    </row>
    <row r="32" ht="96" customHeight="1">
      <c r="A32" s="77" t="inlineStr">
        <is>
          <t>9000</t>
        </is>
      </c>
      <c r="B32" s="77" t="inlineStr">
        <is>
          <t>9000-2</t>
        </is>
      </c>
      <c r="C32" s="77" t="inlineStr">
        <is>
          <t>사전토공사</t>
        </is>
      </c>
      <c r="D32" s="78" t="inlineStr">
        <is>
          <t>9000-2-31</t>
        </is>
      </c>
      <c r="E32" s="82" t="inlineStr">
        <is>
          <t>9000-2-30</t>
        </is>
      </c>
      <c r="F32" s="80" t="inlineStr">
        <is>
          <t>-</t>
        </is>
      </c>
      <c r="G32" s="45" t="inlineStr">
        <is>
          <t>D+75일 이후</t>
        </is>
      </c>
      <c r="H32" s="34" t="inlineStr">
        <is>
          <t>장비 검수 지원</t>
        </is>
      </c>
      <c r="I32" s="45" t="inlineStr">
        <is>
          <t>기술안전팀</t>
        </is>
      </c>
      <c r="J32" s="47" t="inlineStr">
        <is>
          <t>성토 및 사토 운반용 토공장비 검토</t>
        </is>
      </c>
      <c r="K32" s="47" t="inlineStr">
        <is>
          <t>현장 여건 및 후행공종 요구조건에 적합한 시공계획 작성여부 확인</t>
        </is>
      </c>
      <c r="L32" s="47" t="inlineStr">
        <is>
          <t>시공계획서 작성지원</t>
        </is>
      </c>
      <c r="M32" s="47" t="inlineStr">
        <is>
          <t>KCS 47 10 25 인계인수 수칙 | 토공-강화노반 시공팀 3자 합동 레벨 측량 | 마무리면 인계인수서 서명</t>
        </is>
      </c>
      <c r="N32" s="63">
        <f>HYPERLINK(LEFT(CELL("filename",A1),FIND("[",CELL("filename",A1))-1)&amp;"2.사전토공사\29_현장지원\표준서\현장지원_표준서.html", "👉 [클릭] 표준서 열기 📄")</f>
        <v/>
      </c>
      <c r="O32" s="47" t="inlineStr">
        <is>
          <t>1) 토공-강화노반 시공팀 3자 합동 현측 ➔ 2) 마무리면 레벨 오차(±10mm) 확인 ➔ 3) 인계인수 합의서 서명 ➔ 4) 토공 마무리면 인계 완료</t>
        </is>
      </c>
      <c r="P32" s="64">
        <f>HYPERLINK(LEFT(CELL("filename",A1),FIND("[",CELL("filename",A1))-1)&amp;"2.사전토공사\29_현장지원\수행지침\현장지원_수행지침.html", "👉 [클릭] 수행지침 열기 📄")</f>
        <v/>
      </c>
      <c r="Q32" s="47" t="inlineStr">
        <is>
          <t>토공-강화노반 시공팀 3자 합동 레벨 측량, 마무리면 레벨 오차(±10mm) 인계인수서 서명</t>
        </is>
      </c>
      <c r="R32" s="71">
        <f>HYPERLINK(LEFT(CELL("filename",A1),FIND("[",CELL("filename",A1))-1)&amp;"2.사전토공사\29_현장지원\체크리스트\현장지원_체크리스트.html", "👉 [클릭] 체크리스트 열기 📄")</f>
        <v/>
      </c>
      <c r="S32" s="45" t="n"/>
    </row>
    <row r="33" ht="46.8" customHeight="1">
      <c r="E33" s="45" t="n"/>
      <c r="F33" s="45" t="n"/>
      <c r="N33" s="66">
        <f>HYPERLINK(LEFT(CELL("filename",A1),FIND("[",CELL("filename",A1))-1)&amp;"2.사전토공사\30_강화노반 인계\표준서\강화노반 인계_표준서.html", "👉 [클릭] 표준서 열기 📄")</f>
        <v/>
      </c>
      <c r="P33" s="67">
        <f>HYPERLINK(LEFT(CELL("filename",A1),FIND("[",CELL("filename",A1))-1)&amp;"2.사전토공사\30_강화노반 인계\수행지침\강화노반 인계_수행지침.html", "👉 [클릭] 수행지침 열기 📄")</f>
        <v/>
      </c>
      <c r="R33" s="72">
        <f>HYPERLINK(LEFT(CELL("filename",A1),FIND("[",CELL("filename",A1))-1)&amp;"2.사전토공사\30_강화노반 인계\체크리스트\강화노반 인계_체크리스트.html", "👉 [클릭] 체크리스트 열기 📄")</f>
        <v/>
      </c>
    </row>
    <row r="34" ht="46.8" customHeight="1">
      <c r="E34" s="45" t="n"/>
      <c r="F34" s="45" t="n"/>
      <c r="N34" s="66">
        <f>HYPERLINK(LEFT(CELL("filename",A1),FIND("[",CELL("filename",A1))-1)&amp;"2.사전토공사\32_Task_32\표준서\Task_32_표준서.html", "👉 [클릭] 표준서 열기 📄")</f>
        <v/>
      </c>
      <c r="P34" s="67">
        <f>HYPERLINK(LEFT(CELL("filename",A1),FIND("[",CELL("filename",A1))-1)&amp;"2.사전토공사\32_Task_32\수행지침\Task_32_수행지침.html", "👉 [클릭] 수행지침 열기 📄")</f>
        <v/>
      </c>
      <c r="R34" s="72">
        <f>HYPERLINK(LEFT(CELL("filename",A1),FIND("[",CELL("filename",A1))-1)&amp;"2.사전토공사\32_Task_32\체크리스트\Task_32_체크리스트.html", "👉 [클릭] 체크리스트 열기 📄")</f>
        <v/>
      </c>
    </row>
    <row r="35">
      <c r="E35" s="45" t="n"/>
      <c r="F35" s="45" t="n"/>
    </row>
    <row r="36">
      <c r="E36" s="45" t="n"/>
      <c r="F36" s="45" t="n"/>
    </row>
    <row r="37">
      <c r="E37" s="45" t="n"/>
      <c r="F37" s="45" t="n"/>
    </row>
    <row r="38">
      <c r="E38" s="45" t="n"/>
      <c r="F38" s="45" t="n"/>
    </row>
    <row r="39">
      <c r="E39" s="45" t="n"/>
      <c r="F39" s="45" t="n"/>
    </row>
    <row r="40">
      <c r="E40" s="45" t="n"/>
      <c r="F40" s="45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3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S62"/>
  <sheetViews>
    <sheetView view="pageBreakPreview" topLeftCell="J1" zoomScale="55" zoomScaleNormal="55" zoomScaleSheetLayoutView="55" workbookViewId="0">
      <selection activeCell="M3" sqref="M3"/>
    </sheetView>
  </sheetViews>
  <sheetFormatPr baseColWidth="8" defaultRowHeight="19.2"/>
  <cols>
    <col width="8.796875" customWidth="1" style="40" min="1" max="2"/>
    <col width="18.59765625" customWidth="1" style="40" min="3" max="3"/>
    <col width="16" customWidth="1" style="22" min="4" max="6"/>
    <col width="12.296875" bestFit="1" customWidth="1" style="22" min="7" max="7"/>
    <col width="34.09765625" customWidth="1" style="43" min="8" max="8"/>
    <col width="32.59765625" customWidth="1" style="40" min="9" max="9"/>
    <col width="36.3984375" customWidth="1" style="40" min="10" max="10"/>
    <col width="37.59765625" customWidth="1" style="40" min="11" max="11"/>
    <col width="31.796875" customWidth="1" style="40" min="12" max="12"/>
    <col width="43.69921875" customWidth="1" style="25" min="13" max="13"/>
    <col width="11.5" customWidth="1" style="40" min="14" max="14"/>
    <col width="56.296875" customWidth="1" style="25" min="15" max="15"/>
    <col width="9.5" customWidth="1" style="40" min="16" max="16"/>
    <col width="46.69921875" customWidth="1" style="55" min="17" max="17"/>
    <col width="9.19921875" customWidth="1" style="74" min="18" max="18"/>
    <col width="16.5" customWidth="1" style="40" min="19" max="19"/>
    <col width="45" customWidth="1" min="20" max="20"/>
    <col width="22" customWidth="1" min="21" max="37"/>
    <col width="8.796875" customWidth="1" min="38" max="68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15" t="inlineStr">
        <is>
          <t>표준서 (Standard) 요약</t>
        </is>
      </c>
      <c r="N1" s="7" t="inlineStr">
        <is>
          <t>표준서 파일 (HTML)</t>
        </is>
      </c>
      <c r="O1" s="15" t="inlineStr">
        <is>
          <t>수행지침 (Guideline) 요약</t>
        </is>
      </c>
      <c r="P1" s="7" t="inlineStr">
        <is>
          <t>수행지침 파일 (HTML)</t>
        </is>
      </c>
      <c r="Q1" s="15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</row>
    <row r="2" ht="90" customHeight="1">
      <c r="A2" s="77" t="inlineStr">
        <is>
          <t>9000</t>
        </is>
      </c>
      <c r="B2" s="77" t="inlineStr">
        <is>
          <t>9000-3</t>
        </is>
      </c>
      <c r="C2" s="77" t="inlineStr">
        <is>
          <t>지장물이설</t>
        </is>
      </c>
      <c r="D2" s="77" t="inlineStr">
        <is>
          <t>9000-3-1</t>
        </is>
      </c>
      <c r="E2" s="79" t="inlineStr">
        <is>
          <t>-</t>
        </is>
      </c>
      <c r="F2" s="79" t="inlineStr">
        <is>
          <t>9000-3-2</t>
        </is>
      </c>
      <c r="G2" s="45" t="inlineStr">
        <is>
          <t>P-30</t>
        </is>
      </c>
      <c r="H2" s="49" t="inlineStr">
        <is>
          <t>Site Survey Risk 검토</t>
        </is>
      </c>
      <c r="I2" s="45" t="inlineStr">
        <is>
          <t>토목국내견적팀</t>
        </is>
      </c>
      <c r="J2" s="47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47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47" t="inlineStr">
        <is>
          <t>지반 시추 주상도, GPR 3D 지중 관로 탐사 데이터 대조 및 신설 궤도 구조물 간섭 관로 사전 현출 점검</t>
        </is>
      </c>
      <c r="M2" s="51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63">
        <f>HYPERLINK(LEFT(CELL("filename",A1),FIND("[",CELL("filename",A1))-1)&amp;"3.지장물이설\1_Site Survey Risk 검토\표준서\1_Site Survey Risk 검토_표준서.html", "👉 [클릭] 표준서 열기 📄")</f>
        <v/>
      </c>
      <c r="O2" s="51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64">
        <f>HYPERLINK(LEFT(CELL("filename",A1),FIND("[",CELL("filename",A1))-1)&amp;"3.지장물이설\1_Site Survey Risk 검토\수행지침\1_Site Survey Risk 검토_수행지침.html", "👉 [클릭] 수행지침 열기 📄")</f>
        <v/>
      </c>
      <c r="Q2" s="52" t="inlineStr">
        <is>
          <t>지반 시추 주상도, GPR 3D 지중 관로 탐사 데이터 대조 및 신설 궤도 구조물 간섭 관로 사전 현출 점검</t>
        </is>
      </c>
      <c r="R2" s="71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45" t="n"/>
    </row>
    <row r="3" ht="125.4" customHeight="1">
      <c r="A3" s="77" t="inlineStr">
        <is>
          <t>9000</t>
        </is>
      </c>
      <c r="B3" s="77" t="inlineStr">
        <is>
          <t>9000-3</t>
        </is>
      </c>
      <c r="C3" s="77" t="inlineStr">
        <is>
          <t>지장물이설</t>
        </is>
      </c>
      <c r="D3" s="77" t="inlineStr">
        <is>
          <t>9000-3-2</t>
        </is>
      </c>
      <c r="E3" s="79" t="inlineStr">
        <is>
          <t>9000-3-1</t>
        </is>
      </c>
      <c r="F3" s="79" t="inlineStr">
        <is>
          <t>9000-3-3</t>
        </is>
      </c>
      <c r="G3" s="45" t="inlineStr">
        <is>
          <t>P+0</t>
        </is>
      </c>
      <c r="H3" s="49" t="inlineStr">
        <is>
          <t>발주전략 KOM (도급지분)</t>
        </is>
      </c>
      <c r="I3" s="45" t="inlineStr">
        <is>
          <t>현장소장</t>
        </is>
      </c>
      <c r="J3" s="47" t="inlineStr">
        <is>
          <t>KCS 47 10 25 시방 준수 | 도급분 지장물 이설 발주 시방서 검토 &amp; 3D BIM 도면 대조 | 발주처·감리·시공 3자 킥오프 미팅 결재</t>
        </is>
      </c>
      <c r="K3" s="47" t="inlineStr">
        <is>
          <t>1) 도급분 이설 시방서 요구조건 검토 ➔ 2) 3D BIM 도면 관로 좌표 대조 ➔ 3) 공기 지연 예비비 수립 ➔ 4) 발주·감리·시공 3자 킥오프 결재</t>
        </is>
      </c>
      <c r="L3" s="47" t="inlineStr">
        <is>
          <t>KCS 47 10 25 시방 요구조건, 도급분 지장물 이설 수량 및 3D BIM 도면 간섭 zero 검증</t>
        </is>
      </c>
      <c r="M3" s="47" t="inlineStr">
        <is>
          <t>KCS 47 10 25 시방 준수 | 도급분 지장물 이설 발주 시방서 검토 &amp; 3D BIM 도면 대조 | 발주처·감리·시공 3자 킥오프 미팅 결재</t>
        </is>
      </c>
      <c r="N3" s="63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47" t="inlineStr">
        <is>
          <t>1) 도급분 이설 시방서 요구조건 검토 ➔ 2) 3D BIM 도면 관로 좌표 대조 ➔ 3) 공기 지연 예비비 수립 ➔ 4) 발주·감리·시공 3자 킥오프 결재</t>
        </is>
      </c>
      <c r="P3" s="64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46" t="inlineStr">
        <is>
          <t>KCS 47 10 25 시방 요구조건, 도급분 지장물 이설 수량 및 3D BIM 도면 간섭 zero 검증</t>
        </is>
      </c>
      <c r="R3" s="71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45" t="n"/>
    </row>
    <row r="4" ht="110.4" customHeight="1">
      <c r="A4" s="77" t="inlineStr">
        <is>
          <t>9000</t>
        </is>
      </c>
      <c r="B4" s="77" t="inlineStr">
        <is>
          <t>9000-3</t>
        </is>
      </c>
      <c r="C4" s="77" t="inlineStr">
        <is>
          <t>지장물이설</t>
        </is>
      </c>
      <c r="D4" s="77" t="inlineStr">
        <is>
          <t>9000-3-3</t>
        </is>
      </c>
      <c r="E4" s="79" t="inlineStr">
        <is>
          <t>9000-3-2</t>
        </is>
      </c>
      <c r="F4" s="79" t="inlineStr">
        <is>
          <t>9000-3-4</t>
        </is>
      </c>
      <c r="G4" s="45" t="inlineStr">
        <is>
          <t>P+0</t>
        </is>
      </c>
      <c r="H4" s="49" t="inlineStr">
        <is>
          <t>지장물 이설 요청 (위수탁고)</t>
        </is>
      </c>
      <c r="I4" s="45" t="inlineStr">
        <is>
          <t>공사팀 / 발주기관</t>
        </is>
      </c>
      <c r="J4" s="47" t="inlineStr">
        <is>
          <t>지방계약법 및 관할 점용기관 규정 | 위수탁 지장물 이설 협약서 작성 &amp; 공문 발송 | 기관별 이설 소요 기간 및 예산 확보</t>
        </is>
      </c>
      <c r="K4" s="47" t="inlineStr">
        <is>
          <t>1) 관할 점용기관 이설 요청 공문 작성 ➔ 2) 이설 협약서 정산 조건 수속 ➔ 3) 기관별 이설 소요 기간 협의 ➔ 4) 위수탁 이설 확약 공문 수령</t>
        </is>
      </c>
      <c r="L4" s="47" t="inlineStr">
        <is>
          <t>위수탁 이설 요청 공문 부착, 점용기관 협약 조건 수속 및 이설 예비비 계상 서약</t>
        </is>
      </c>
      <c r="M4" s="47" t="inlineStr">
        <is>
          <t>지방계약법 및 관할 점용기관 규정 | 위수탁 지장물 이설 협약서 작성 &amp; 공문 발송 | 기관별 이설 소요 기간 및 예산 확보</t>
        </is>
      </c>
      <c r="N4" s="63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47" t="inlineStr">
        <is>
          <t>1) 관할 점용기관 이설 요청 공문 작성 ➔ 2) 이설 협약서 정산 조건 수속 ➔ 3) 기관별 이설 소요 기간 협의 ➔ 4) 위수탁 이설 확약 공문 수령</t>
        </is>
      </c>
      <c r="P4" s="64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46" t="inlineStr">
        <is>
          <t>위수탁 이설 요청 공문 부착, 점용기관 협약 조건 수속 및 이설 예비비 계상 서약</t>
        </is>
      </c>
      <c r="R4" s="71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45" t="n"/>
    </row>
    <row r="5" ht="96" customHeight="1">
      <c r="A5" s="77" t="inlineStr">
        <is>
          <t>9000</t>
        </is>
      </c>
      <c r="B5" s="77" t="inlineStr">
        <is>
          <t>9000-3</t>
        </is>
      </c>
      <c r="C5" s="77" t="inlineStr">
        <is>
          <t>지장물이설</t>
        </is>
      </c>
      <c r="D5" s="77" t="inlineStr">
        <is>
          <t>9000-3-4</t>
        </is>
      </c>
      <c r="E5" s="79" t="inlineStr">
        <is>
          <t>9000-3-3</t>
        </is>
      </c>
      <c r="F5" s="79" t="inlineStr">
        <is>
          <t>9000-3-5</t>
        </is>
      </c>
      <c r="G5" s="45" t="inlineStr">
        <is>
          <t>P+5</t>
        </is>
      </c>
      <c r="H5" s="49" t="inlineStr">
        <is>
          <t>도급자분 이설업체 선정(상/하수)</t>
        </is>
      </c>
      <c r="I5" s="45" t="inlineStr">
        <is>
          <t>현장소장</t>
        </is>
      </c>
      <c r="J5" s="47" t="inlineStr">
        <is>
          <t>건설산업기본법 제29조 | 상하수도 설비 전문건설업 면허 및 적정성(≥ 82%) 평가 | 노무비 전용계좌 지정 및 계약 승인</t>
        </is>
      </c>
      <c r="K5" s="47" t="inlineStr">
        <is>
          <t>1) 상하수도 전문건설업 면허 심사 ➔ 2) 하도급 적정성(≥ 82%) 평가 ➔ 3) 노무비 전용계좌 개설 ➔ 4) 하도급 계약 승인 통보서 결재</t>
        </is>
      </c>
      <c r="L5" s="47" t="inlineStr">
        <is>
          <t>상하수도 전문건설업 면허/실적 심사, 하도급 적정성 평가(≥ 82%) 및 노무비 전용계좌 지정</t>
        </is>
      </c>
      <c r="M5" s="47" t="inlineStr">
        <is>
          <t>건설산업기본법 제29조 | 상하수도 설비 전문건설업 면허 및 적정성(≥ 82%) 평가 | 노무비 전용계좌 지정 및 계약 승인</t>
        </is>
      </c>
      <c r="N5" s="63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47" t="inlineStr">
        <is>
          <t>1) 상하수도 전문건설업 면허 심사 ➔ 2) 하도급 적정성(≥ 82%) 평가 ➔ 3) 노무비 전용계좌 개설 ➔ 4) 하도급 계약 승인 통보서 결재</t>
        </is>
      </c>
      <c r="P5" s="64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46" t="inlineStr">
        <is>
          <t>상하수도 전문건설업 면허/실적 심사, 하도급 적정성 평가(≥ 82%) 및 노무비 전용계좌 지정</t>
        </is>
      </c>
      <c r="R5" s="71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45" t="n"/>
    </row>
    <row r="6" ht="134.4" customHeight="1">
      <c r="A6" s="77" t="inlineStr">
        <is>
          <t>9000</t>
        </is>
      </c>
      <c r="B6" s="77" t="inlineStr">
        <is>
          <t>9000-3</t>
        </is>
      </c>
      <c r="C6" s="77" t="inlineStr">
        <is>
          <t>지장물이설</t>
        </is>
      </c>
      <c r="D6" s="77" t="inlineStr">
        <is>
          <t>9000-3-5</t>
        </is>
      </c>
      <c r="E6" s="79" t="inlineStr">
        <is>
          <t>9000-3-4</t>
        </is>
      </c>
      <c r="F6" s="79" t="inlineStr">
        <is>
          <t>9000-3-6</t>
        </is>
      </c>
      <c r="G6" s="45" t="inlineStr">
        <is>
          <t>P+10</t>
        </is>
      </c>
      <c r="H6" s="49" t="inlineStr">
        <is>
          <t>지장물 조사 (위탁기관 합동)</t>
        </is>
      </c>
      <c r="I6" s="45" t="inlineStr">
        <is>
          <t>현장 공사팀</t>
        </is>
      </c>
      <c r="J6" s="47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47" t="inlineStr">
        <is>
          <t>1) 한전/가스/수자원공사 1:1 현장 입회 ➔ 2) 관로 위치, 관경(mm), 깊이 현측 ➔ 3) 3D BIM 매설 관로 매핑 ➔ 4) 지장물 조사서 감리 서면 승인</t>
        </is>
      </c>
      <c r="L6" s="47" t="inlineStr">
        <is>
          <t>한국전력, 도시가스, 수자원공사 1:1 현장 입회 및 지하 매설물 관경(mm), 심도 깊이 3D BIM 매핑</t>
        </is>
      </c>
      <c r="M6" s="47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63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47" t="inlineStr">
        <is>
          <t>1) 한전/가스/수자원공사 1:1 현장 입회 ➔ 2) 관로 위치, 관경(mm), 깊이 현측 ➔ 3) 3D BIM 매설 관로 매핑 ➔ 4) 지장물 조사서 감리 서면 승인</t>
        </is>
      </c>
      <c r="P6" s="64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46" t="inlineStr">
        <is>
          <t>한국전력, 도시가스, 수자원공사 1:1 현장 입회 및 지하 매설물 관경(mm), 심도 깊이 3D BIM 매핑</t>
        </is>
      </c>
      <c r="R6" s="71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45" t="n"/>
    </row>
    <row r="7" ht="96" customHeight="1">
      <c r="A7" s="77" t="inlineStr">
        <is>
          <t>9000</t>
        </is>
      </c>
      <c r="B7" s="77" t="inlineStr">
        <is>
          <t>9000-3</t>
        </is>
      </c>
      <c r="C7" s="77" t="inlineStr">
        <is>
          <t>지장물이설</t>
        </is>
      </c>
      <c r="D7" s="77" t="inlineStr">
        <is>
          <t>9000-3-6</t>
        </is>
      </c>
      <c r="E7" s="79" t="inlineStr">
        <is>
          <t>9000-3-5</t>
        </is>
      </c>
      <c r="F7" s="79" t="inlineStr">
        <is>
          <t>9000-3-7</t>
        </is>
      </c>
      <c r="G7" s="45" t="inlineStr">
        <is>
          <t>P+15</t>
        </is>
      </c>
      <c r="H7" s="49" t="inlineStr">
        <is>
          <t>지장물 이설 계획 수립</t>
        </is>
      </c>
      <c r="I7" s="45" t="inlineStr">
        <is>
          <t>현장 공사팀</t>
        </is>
      </c>
      <c r="J7" s="47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47" t="inlineStr">
        <is>
          <t>1) 지장물 이설 공정표 수립 ➔ 2) 가설 매달기 방호 &amp; 우회 차선 설계 ➔ 3) 착공 14일 전 감리단 제출 ➔ 4) 이설 계획서 책임감리원 승인</t>
        </is>
      </c>
      <c r="L7" s="47" t="inlineStr">
        <is>
          <t>지장물 이설 공정표 수립, 가설 매달기 방호/우회 차선 설계 및 착공 14일 전 감리 서면 승인</t>
        </is>
      </c>
      <c r="M7" s="47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63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47" t="inlineStr">
        <is>
          <t>1) 지장물 이설 공정표 수립 ➔ 2) 가설 매달기 방호 &amp; 우회 차선 설계 ➔ 3) 착공 14일 전 감리단 제출 ➔ 4) 이설 계획서 책임감리원 승인</t>
        </is>
      </c>
      <c r="P7" s="64">
        <f>HYPERLINK(LEFT(CELL("filename",A1),FIND("[",CELL("filename",A1))-1)&amp;"3.지장물이설\4_최고의 팀 만들기 지원\수행지침\수행지침.html", "👉 [클릭] 수행지침 열기 📄")</f>
        <v/>
      </c>
      <c r="Q7" s="46" t="inlineStr">
        <is>
          <t>지장물 이설 공정표 수립, 가설 매달기 방호/우회 차선 설계 및 착공 14일 전 감리 서면 승인</t>
        </is>
      </c>
      <c r="R7" s="71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45" t="n"/>
    </row>
    <row r="8" ht="115.2" customHeight="1">
      <c r="A8" s="77" t="inlineStr">
        <is>
          <t>9000</t>
        </is>
      </c>
      <c r="B8" s="77" t="inlineStr">
        <is>
          <t>9000-3</t>
        </is>
      </c>
      <c r="C8" s="77" t="inlineStr">
        <is>
          <t>지장물이설</t>
        </is>
      </c>
      <c r="D8" s="77" t="inlineStr">
        <is>
          <t>9000-3-7</t>
        </is>
      </c>
      <c r="E8" s="79" t="inlineStr">
        <is>
          <t>9000-3-6</t>
        </is>
      </c>
      <c r="F8" s="79" t="inlineStr">
        <is>
          <t>9000-3-8</t>
        </is>
      </c>
      <c r="G8" s="45" t="inlineStr">
        <is>
          <t>P+20</t>
        </is>
      </c>
      <c r="H8" s="49" t="inlineStr">
        <is>
          <t>최고의 팀 만들기 지원</t>
        </is>
      </c>
      <c r="I8" s="45" t="inlineStr">
        <is>
          <t>외주관리팀</t>
        </is>
      </c>
      <c r="J8" s="47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47" t="inlineStr">
        <is>
          <t>1) 지장물 전담 기술자 1:1 배치 ➔ 2) 3자 주간 소통 회의 개최 ➔ 3) 근로자 환경 개선 &amp; TBM ➔ 4) One-Team 조직표 감리 서면 승인</t>
        </is>
      </c>
      <c r="L8" s="47" t="inlineStr">
        <is>
          <t>지장물 전담 기술자 1:1 현장 배치, 발주·감리·시공 3자 주간 소통 회의 및 일일 TBM/음주 측정(0.00%)</t>
        </is>
      </c>
      <c r="M8" s="47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63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47" t="inlineStr">
        <is>
          <t>1) 지장물 전담 기술자 1:1 배치 ➔ 2) 3자 주간 소통 회의 개최 ➔ 3) 근로자 환경 개선 &amp; TBM ➔ 4) One-Team 조직표 감리 서면 승인</t>
        </is>
      </c>
      <c r="P8" s="64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46" t="inlineStr">
        <is>
          <t>지장물 전담 기술자 1:1 현장 배치, 발주·감리·시공 3자 주간 소통 회의 및 일일 TBM/음주 측정(0.00%)</t>
        </is>
      </c>
      <c r="R8" s="71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45" t="n"/>
    </row>
    <row r="9" ht="172.8" customHeight="1">
      <c r="A9" s="77" t="inlineStr">
        <is>
          <t>9000</t>
        </is>
      </c>
      <c r="B9" s="77" t="inlineStr">
        <is>
          <t>9000-3</t>
        </is>
      </c>
      <c r="C9" s="77" t="inlineStr">
        <is>
          <t>지장물이설</t>
        </is>
      </c>
      <c r="D9" s="77" t="inlineStr">
        <is>
          <t>9000-3-8</t>
        </is>
      </c>
      <c r="E9" s="79" t="inlineStr">
        <is>
          <t>9000-3-7</t>
        </is>
      </c>
      <c r="F9" s="79" t="inlineStr">
        <is>
          <t>9000-3-9</t>
        </is>
      </c>
      <c r="G9" s="45" t="inlineStr">
        <is>
          <t>D-60</t>
        </is>
      </c>
      <c r="H9" s="49" t="inlineStr">
        <is>
          <t>착수전 Big Room 회의</t>
        </is>
      </c>
      <c r="I9" s="45" t="inlineStr">
        <is>
          <t>현장소장</t>
        </is>
      </c>
      <c r="J9" s="47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47" t="inlineStr">
        <is>
          <t>1) 4자(발주·감리·지자체·시공) 빅룸 결성 ➔ 2) 지장물 이설 마일스톤 연동 ➔ 3) 간섭 리스크 즉시 해소 ➔ 4) 빅룸 회의록 4자 서명 완수</t>
        </is>
      </c>
      <c r="L9" s="47" t="inlineStr">
        <is>
          <t>4자(발주·감리·지자체·시공) 빅룸 회의 결성, 지장물 간섭 Zero 및 마일스톤 연동 회의록 서명</t>
        </is>
      </c>
      <c r="M9" s="47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63">
        <f>HYPERLINK(LEFT(CELL("filename",A1),FIND("[",CELL("filename",A1))-1)&amp;"3.지장물이설\5_착수전 Big Room 회의\표준서\착수전 Big Room 회의_표준서.html", "👉 [클릭] 표준서 열기 📄")</f>
        <v/>
      </c>
      <c r="O9" s="47" t="inlineStr">
        <is>
          <t>1) 4자(발주·감리·지자체·시공) 빅룸 결성 ➔ 2) 지장물 이설 마일스톤 연동 ➔ 3) 간섭 리스크 즉시 해소 ➔ 4) 빅룸 회의록 4자 서명 완수</t>
        </is>
      </c>
      <c r="P9" s="64">
        <f>HYPERLINK(LEFT(CELL("filename",A1),FIND("[",CELL("filename",A1))-1)&amp;"3.지장물이설\5_착수전 Big Room 회의\수행지침\수행지침.html", "👉 [클릭] 수행지침 열기 📄")</f>
        <v/>
      </c>
      <c r="Q9" s="46" t="inlineStr">
        <is>
          <t>4자(발주·감리·지자체·시공) 빅룸 회의 결성, 지장물 간섭 Zero 및 마일스톤 연동 회의록 서명</t>
        </is>
      </c>
      <c r="R9" s="71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45" t="n"/>
    </row>
    <row r="10" ht="115.2" customHeight="1">
      <c r="A10" s="77" t="inlineStr">
        <is>
          <t>9000</t>
        </is>
      </c>
      <c r="B10" s="77" t="inlineStr">
        <is>
          <t>9000-3</t>
        </is>
      </c>
      <c r="C10" s="77" t="inlineStr">
        <is>
          <t>지장물이설</t>
        </is>
      </c>
      <c r="D10" s="77" t="inlineStr">
        <is>
          <t>9000-3-9</t>
        </is>
      </c>
      <c r="E10" s="79" t="inlineStr">
        <is>
          <t>9000-3-8</t>
        </is>
      </c>
      <c r="F10" s="79" t="inlineStr">
        <is>
          <t>9000-3-10</t>
        </is>
      </c>
      <c r="G10" s="45" t="inlineStr">
        <is>
          <t>D-50</t>
        </is>
      </c>
      <c r="H10" s="49" t="inlineStr">
        <is>
          <t>인허가 절차 진행</t>
        </is>
      </c>
      <c r="I10" s="45" t="inlineStr">
        <is>
          <t>현장 공무팀</t>
        </is>
      </c>
      <c r="J10" s="47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47" t="inlineStr">
        <is>
          <t>1) 지자체 도로/하천점용 허가서 작성 ➔ 2) 관련 부서 서류 제출 &amp; 심의 ➔ 3) 보증보험 증권 부착 ➔ 4) 법정 인허가 필증 감리 수속</t>
        </is>
      </c>
      <c r="L10" s="47" t="inlineStr">
        <is>
          <t>지자체 도로점용 허가 &amp; 하천점용 허가서 수속, 보증보험 증권 제출 및 법정 인허가 필증 검수</t>
        </is>
      </c>
      <c r="M10" s="47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63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47" t="inlineStr">
        <is>
          <t>1) 지자체 도로/하천점용 허가서 작성 ➔ 2) 관련 부서 서류 제출 &amp; 심의 ➔ 3) 보증보험 증권 부착 ➔ 4) 법정 인허가 필증 감리 수속</t>
        </is>
      </c>
      <c r="P10" s="64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46" t="inlineStr">
        <is>
          <t>지자체 도로점용 허가 &amp; 하천점용 허가서 수속, 보증보험 증권 제출 및 법정 인허가 필증 검수</t>
        </is>
      </c>
      <c r="R10" s="71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45" t="n"/>
    </row>
    <row r="11" ht="96" customHeight="1">
      <c r="A11" s="77" t="inlineStr">
        <is>
          <t>9000</t>
        </is>
      </c>
      <c r="B11" s="77" t="inlineStr">
        <is>
          <t>9000-3</t>
        </is>
      </c>
      <c r="C11" s="77" t="inlineStr">
        <is>
          <t>지장물이설</t>
        </is>
      </c>
      <c r="D11" s="77" t="inlineStr">
        <is>
          <t>9000-3-10</t>
        </is>
      </c>
      <c r="E11" s="79" t="inlineStr">
        <is>
          <t>9000-3-9</t>
        </is>
      </c>
      <c r="F11" s="79" t="inlineStr">
        <is>
          <t>9000-3-11</t>
        </is>
      </c>
      <c r="G11" s="45" t="inlineStr">
        <is>
          <t>D-45</t>
        </is>
      </c>
      <c r="H11" s="49" t="inlineStr">
        <is>
          <t>교통처리대책 협의 및 승인</t>
        </is>
      </c>
      <c r="I11" s="45" t="inlineStr">
        <is>
          <t>현장 공무팀/안전팀</t>
        </is>
      </c>
      <c r="J11" s="47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47" t="inlineStr">
        <is>
          <t>1) 교통 우회 도면 &amp; 차선 설계 ➔ 2) 동탄경찰서 도로점용 허가 ➔ 3) 전담 신호수(2인 2조) 배치 ➔ 4) 교통소통 대책서 감리 서면 승인</t>
        </is>
      </c>
      <c r="L11" s="47" t="inlineStr">
        <is>
          <t>동탄경찰서 도로점용 허가, 우회 차선 설계 및 전담 안전 신호수(2인 2조)/LED 경광등 배치</t>
        </is>
      </c>
      <c r="M11" s="47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63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47" t="inlineStr">
        <is>
          <t>1) 교통 우회 도면 &amp; 차선 설계 ➔ 2) 동탄경찰서 도로점용 허가 ➔ 3) 전담 신호수(2인 2조) 배치 ➔ 4) 교통소통 대책서 감리 서면 승인</t>
        </is>
      </c>
      <c r="P11" s="64">
        <f>HYPERLINK(LEFT(CELL("filename",A1),FIND("[",CELL("filename",A1))-1)&amp;"3.지장물이설\6_지장물 이설 계획 수립\수행지침\수행지침.html", "👉 [클릭] 수행지침 열기 📄")</f>
        <v/>
      </c>
      <c r="Q11" s="46" t="inlineStr">
        <is>
          <t>동탄경찰서 도로점용 허가, 우회 차선 설계 및 전담 안전 신호수(2인 2조)/LED 경광등 배치</t>
        </is>
      </c>
      <c r="R11" s="71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45" t="n"/>
    </row>
    <row r="12" ht="115.2" customHeight="1">
      <c r="A12" s="77" t="inlineStr">
        <is>
          <t>9000</t>
        </is>
      </c>
      <c r="B12" s="77" t="inlineStr">
        <is>
          <t>9000-3</t>
        </is>
      </c>
      <c r="C12" s="77" t="inlineStr">
        <is>
          <t>지장물이설</t>
        </is>
      </c>
      <c r="D12" s="77" t="inlineStr">
        <is>
          <t>9000-3-11</t>
        </is>
      </c>
      <c r="E12" s="79" t="inlineStr">
        <is>
          <t>9000-3-10</t>
        </is>
      </c>
      <c r="F12" s="79" t="inlineStr">
        <is>
          <t>9000-3-12</t>
        </is>
      </c>
      <c r="G12" s="45" t="inlineStr">
        <is>
          <t>D-40</t>
        </is>
      </c>
      <c r="H12" s="49" t="inlineStr">
        <is>
          <t>민원 저감 대책 수립</t>
        </is>
      </c>
      <c r="I12" s="45" t="inlineStr">
        <is>
          <t>현장 공무팀/민원팀</t>
        </is>
      </c>
      <c r="J12" s="47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47" t="inlineStr">
        <is>
          <t>1) 야간 공사 소음 방음벽(H=3m) 설치 ➔ 2) 세륜기 가동 &amp; 분무 살수 ➔ 3) 단수/단전 사전 주민 공지 ➔ 4) 민원 대응반 서면 승인</t>
        </is>
      </c>
      <c r="L12" s="47" t="inlineStr">
        <is>
          <t>야간 공사 소음 방음벽(H=3m) 가동, 이동식 세륜기(깊이 1.2m) 가동 및 단수 사전 주민 알림</t>
        </is>
      </c>
      <c r="M12" s="47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63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47" t="inlineStr">
        <is>
          <t>1) 야간 공사 소음 방음벽(H=3m) 설치 ➔ 2) 세륜기 가동 &amp; 분무 살수 ➔ 3) 단수/단전 사전 주민 공지 ➔ 4) 민원 대응반 서면 승인</t>
        </is>
      </c>
      <c r="P12" s="64">
        <f>HYPERLINK(LEFT(CELL("filename",A1),FIND("[",CELL("filename",A1))-1)&amp;"3.지장물이설\7_위수탁 지장물 이설 설계\수행지침\수행지침.html", "👉 [클릭] 수행지침 열기 📄")</f>
        <v/>
      </c>
      <c r="Q12" s="46" t="inlineStr">
        <is>
          <t>야간 공사 소음 방음벽(H=3m) 가동, 이동식 세륜기(깊이 1.2m) 가동 및 단수 사전 주민 알림</t>
        </is>
      </c>
      <c r="R12" s="71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45" t="n"/>
    </row>
    <row r="13" ht="96" customHeight="1">
      <c r="A13" s="77" t="inlineStr">
        <is>
          <t>9000</t>
        </is>
      </c>
      <c r="B13" s="77" t="inlineStr">
        <is>
          <t>9000-3</t>
        </is>
      </c>
      <c r="C13" s="77" t="inlineStr">
        <is>
          <t>지장물이설</t>
        </is>
      </c>
      <c r="D13" s="77" t="inlineStr">
        <is>
          <t>9000-3-12</t>
        </is>
      </c>
      <c r="E13" s="79" t="inlineStr">
        <is>
          <t>9000-3-11</t>
        </is>
      </c>
      <c r="F13" s="79" t="inlineStr">
        <is>
          <t>9000-3-13</t>
        </is>
      </c>
      <c r="G13" s="45" t="inlineStr">
        <is>
          <t>D-35</t>
        </is>
      </c>
      <c r="H13" s="49" t="inlineStr">
        <is>
          <t>용지보상 Risk 파악</t>
        </is>
      </c>
      <c r="I13" s="45" t="inlineStr">
        <is>
          <t>현장 공무팀 / 토목계약관리팀</t>
        </is>
      </c>
      <c r="J13" s="47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47" t="inlineStr">
        <is>
          <t>1) 미보상 사유지 경계 현출 ➔ 2) 가설 펜스(H=1.8m) 차단 ➔ 3) 3D 우회 토공 동선 수립 ➔ 4) 용지 보상 리스크 대책 승인</t>
        </is>
      </c>
      <c r="L13" s="47" t="inlineStr">
        <is>
          <t>미보상 사유지 경계 현출, 가설 펜스(H=1.8m) 차단 및 3D 우회 토공 동선 마일스톤 연동</t>
        </is>
      </c>
      <c r="M13" s="47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63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47" t="inlineStr">
        <is>
          <t>1) 미보상 사유지 경계 현출 ➔ 2) 가설 펜스(H=1.8m) 차단 ➔ 3) 3D 우회 토공 동선 수립 ➔ 4) 용지 보상 리스크 대책 승인</t>
        </is>
      </c>
      <c r="P13" s="64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46" t="inlineStr">
        <is>
          <t>미보상 사유지 경계 현출, 가설 펜스(H=1.8m) 차단 및 3D 우회 토공 동선 마일스톤 연동</t>
        </is>
      </c>
      <c r="R13" s="71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45" t="n"/>
    </row>
    <row r="14" ht="96" customHeight="1">
      <c r="A14" s="77" t="inlineStr">
        <is>
          <t>9000</t>
        </is>
      </c>
      <c r="B14" s="77" t="inlineStr">
        <is>
          <t>9000-3</t>
        </is>
      </c>
      <c r="C14" s="77" t="inlineStr">
        <is>
          <t>지장물이설</t>
        </is>
      </c>
      <c r="D14" s="77" t="inlineStr">
        <is>
          <t>9000-3-13</t>
        </is>
      </c>
      <c r="E14" s="79" t="inlineStr">
        <is>
          <t>9000-3-12</t>
        </is>
      </c>
      <c r="F14" s="79" t="inlineStr">
        <is>
          <t>9000-3-14</t>
        </is>
      </c>
      <c r="G14" s="45" t="inlineStr">
        <is>
          <t>D-40</t>
        </is>
      </c>
      <c r="H14" s="49" t="inlineStr">
        <is>
          <t>관리기관(맑은물사업소) 협의</t>
        </is>
      </c>
      <c r="I14" s="45" t="inlineStr">
        <is>
          <t>현장 공무팀</t>
        </is>
      </c>
      <c r="J14" s="47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47" t="inlineStr">
        <is>
          <t>1) 맑은물사업소 이설 위치 현측 ➔ 2) 단수 일정(최대 6시간) 협의 ➔ 3) 신구관 접속 도면 검토 ➔ 4) 이설 승인 공문 수령</t>
        </is>
      </c>
      <c r="L14" s="47" t="inlineStr">
        <is>
          <t>맑은물사업소 합동 이설 위치 검토, 수돗물 단수 일정(최대 6h) 수협 및 신구관 접속 도면 결재</t>
        </is>
      </c>
      <c r="M14" s="47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63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47" t="inlineStr">
        <is>
          <t>1) 맑은물사업소 이설 위치 현측 ➔ 2) 단수 일정(최대 6시간) 협의 ➔ 3) 신구관 접속 도면 검토 ➔ 4) 이설 승인 공문 수령</t>
        </is>
      </c>
      <c r="P14" s="64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46" t="inlineStr">
        <is>
          <t>맑은물사업소 합동 이설 위치 검토, 수돗물 단수 일정(최대 6h) 수협 및 신구관 접속 도면 결재</t>
        </is>
      </c>
      <c r="R14" s="71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45" t="n"/>
    </row>
    <row r="15" ht="96" customHeight="1">
      <c r="A15" s="77" t="inlineStr">
        <is>
          <t>9000</t>
        </is>
      </c>
      <c r="B15" s="77" t="inlineStr">
        <is>
          <t>9000-3</t>
        </is>
      </c>
      <c r="C15" s="77" t="inlineStr">
        <is>
          <t>지장물이설</t>
        </is>
      </c>
      <c r="D15" s="77" t="inlineStr">
        <is>
          <t>9000-3-14</t>
        </is>
      </c>
      <c r="E15" s="79" t="inlineStr">
        <is>
          <t>9000-3-13</t>
        </is>
      </c>
      <c r="F15" s="79" t="inlineStr">
        <is>
          <t>9000-3-15</t>
        </is>
      </c>
      <c r="G15" s="45" t="inlineStr">
        <is>
          <t>D-40</t>
        </is>
      </c>
      <c r="H15" s="49" t="inlineStr">
        <is>
          <t>위수탁 지장물 이설 설계</t>
        </is>
      </c>
      <c r="I15" s="45" t="inlineStr">
        <is>
          <t>엔지니어링팀/위수탁기관</t>
        </is>
      </c>
      <c r="J15" s="47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47" t="inlineStr">
        <is>
          <t>1) 위수탁 기관 설계도서 수속 ➔ 2) 3D BIM 간섭 리스크 점검 ➔ 3) 총사업비 변경 수량 검증 ➔ 4) 위수탁 설계도서 감리 승인</t>
        </is>
      </c>
      <c r="L15" s="47" t="inlineStr">
        <is>
          <t>위수탁 기관 설계도서 기술 검토, 3D BIM 간섭 리스크 점검 및 총사업비 변경 수량 승인</t>
        </is>
      </c>
      <c r="M15" s="47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63">
        <f>HYPERLINK(LEFT(CELL("filename",A1),FIND("[",CELL("filename",A1))-1)&amp;"3.지장물이설\8_착수전 Big Room 회의\표준서\8_착수전 Big Room 회의_표준서.html", "👉 [클릭] 표준서 열기 📄")</f>
        <v/>
      </c>
      <c r="O15" s="47" t="inlineStr">
        <is>
          <t>1) 위수탁 기관 설계도서 수속 ➔ 2) 3D BIM 간섭 리스크 점검 ➔ 3) 총사업비 변경 수량 검증 ➔ 4) 위수탁 설계도서 감리 승인</t>
        </is>
      </c>
      <c r="P15" s="64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46" t="inlineStr">
        <is>
          <t>위수탁 기관 설계도서 기술 검토, 3D BIM 간섭 리스크 점검 및 총사업비 변경 수량 승인</t>
        </is>
      </c>
      <c r="R15" s="71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45" t="n"/>
    </row>
    <row r="16" ht="96" customHeight="1">
      <c r="A16" s="77" t="inlineStr">
        <is>
          <t>9000</t>
        </is>
      </c>
      <c r="B16" s="77" t="inlineStr">
        <is>
          <t>9000-3</t>
        </is>
      </c>
      <c r="C16" s="77" t="inlineStr">
        <is>
          <t>지장물이설</t>
        </is>
      </c>
      <c r="D16" s="77" t="inlineStr">
        <is>
          <t>9000-3-15</t>
        </is>
      </c>
      <c r="E16" s="79" t="inlineStr">
        <is>
          <t>9000-3-14</t>
        </is>
      </c>
      <c r="F16" s="79" t="inlineStr">
        <is>
          <t>9000-3-16</t>
        </is>
      </c>
      <c r="G16" s="45" t="inlineStr">
        <is>
          <t>D-30</t>
        </is>
      </c>
      <c r="H16" s="49" t="inlineStr">
        <is>
          <t>상하수도 이설계획 실정보고</t>
        </is>
      </c>
      <c r="I16" s="45" t="inlineStr">
        <is>
          <t>현장 공무팀</t>
        </is>
      </c>
      <c r="J16" s="47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47" t="inlineStr">
        <is>
          <t>1) 현장 지장물 현출 실정보고 작성 ➔ 2) 공법 변경 &amp; 수량 증감 산출 ➔ 3) 기술 검토 의견서 첨부 ➔ 4) 실정보고서 감리 서면 승인</t>
        </is>
      </c>
      <c r="L16" s="47" t="inlineStr">
        <is>
          <t>현장 지장물 현출 실정보고서 작성, 공법 변경 및 수량 증감 산출 책임감리원 승인</t>
        </is>
      </c>
      <c r="M16" s="47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63">
        <f>HYPERLINK(LEFT(CELL("filename",A1),FIND("[",CELL("filename",A1))-1)&amp;"3.지장물이설\9_위수탁 계약 체결\표준서\위수탁 계약 체결_표준서.html", "👉 [클릭] 표준서 열기 📄")</f>
        <v/>
      </c>
      <c r="O16" s="47" t="inlineStr">
        <is>
          <t>1) 현장 지장물 현출 실정보고 작성 ➔ 2) 공법 변경 &amp; 수량 증감 산출 ➔ 3) 기술 검토 의견서 첨부 ➔ 4) 실정보고서 감리 서면 승인</t>
        </is>
      </c>
      <c r="P16" s="64">
        <f>HYPERLINK(LEFT(CELL("filename",A1),FIND("[",CELL("filename",A1))-1)&amp;"3.지장물이설\9_위수탁 계약 체결\수행지침\수행지침.html", "👉 [클릭] 수행지침 열기 📄")</f>
        <v/>
      </c>
      <c r="Q16" s="46" t="inlineStr">
        <is>
          <t>현장 지장물 현출 실정보고서 작성, 공법 변경 및 수량 증감 산출 책임감리원 승인</t>
        </is>
      </c>
      <c r="R16" s="71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45" t="n"/>
    </row>
    <row r="17" ht="96" customHeight="1">
      <c r="A17" s="77" t="inlineStr">
        <is>
          <t>9000</t>
        </is>
      </c>
      <c r="B17" s="77" t="inlineStr">
        <is>
          <t>9000-3</t>
        </is>
      </c>
      <c r="C17" s="77" t="inlineStr">
        <is>
          <t>지장물이설</t>
        </is>
      </c>
      <c r="D17" s="77" t="inlineStr">
        <is>
          <t>9000-3-16</t>
        </is>
      </c>
      <c r="E17" s="79" t="inlineStr">
        <is>
          <t>9000-3-15</t>
        </is>
      </c>
      <c r="F17" s="79" t="inlineStr">
        <is>
          <t>9000-3-17</t>
        </is>
      </c>
      <c r="G17" s="45" t="inlineStr">
        <is>
          <t>D-25</t>
        </is>
      </c>
      <c r="H17" s="49" t="inlineStr">
        <is>
          <t>위수탁 계약 체결</t>
        </is>
      </c>
      <c r="I17" s="45" t="inlineStr">
        <is>
          <t>현장 공무팀 / 발주처</t>
        </is>
      </c>
      <c r="J17" s="47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47" t="inlineStr">
        <is>
          <t>1) 관할 점용기관 협약 조건 수속 ➔ 2) 정산 분담금 &amp; 예비비 협의 ➔ 3) 위수탁 계약서 작성 ➔ 4) 위수탁 이설 계약 체결 승인</t>
        </is>
      </c>
      <c r="L17" s="47" t="inlineStr">
        <is>
          <t>관할 점용기관 위수탁 이설 협약서 체결, 공사비 분담금 및 예비비 계상 합의 서약</t>
        </is>
      </c>
      <c r="M17" s="47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63">
        <f>HYPERLINK(LEFT(CELL("filename",A1),FIND("[",CELL("filename",A1))-1)&amp;"3.지장물이설\9_인허가 절차 진행\표준서\9_인허가 절차 진행_표준서.html", "👉 [클릭] 표준서 열기 📄")</f>
        <v/>
      </c>
      <c r="O17" s="47" t="inlineStr">
        <is>
          <t>1) 관할 점용기관 협약 조건 수속 ➔ 2) 정산 분담금 &amp; 예비비 협의 ➔ 3) 위수탁 계약서 작성 ➔ 4) 위수탁 이설 계약 체결 승인</t>
        </is>
      </c>
      <c r="P17" s="64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46" t="inlineStr">
        <is>
          <t>관할 점용기관 위수탁 이설 협약서 체결, 공사비 분담금 및 예비비 계상 합의 서약</t>
        </is>
      </c>
      <c r="R17" s="71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45" t="n"/>
    </row>
    <row r="18" ht="96" customHeight="1">
      <c r="A18" s="77" t="inlineStr">
        <is>
          <t>9000</t>
        </is>
      </c>
      <c r="B18" s="77" t="inlineStr">
        <is>
          <t>9000-3</t>
        </is>
      </c>
      <c r="C18" s="77" t="inlineStr">
        <is>
          <t>지장물이설</t>
        </is>
      </c>
      <c r="D18" s="77" t="inlineStr">
        <is>
          <t>9000-3-17</t>
        </is>
      </c>
      <c r="E18" s="79" t="inlineStr">
        <is>
          <t>9000-3-16</t>
        </is>
      </c>
      <c r="F18" s="79" t="inlineStr">
        <is>
          <t>9000-3-18</t>
        </is>
      </c>
      <c r="G18" s="45" t="inlineStr">
        <is>
          <t>D+0</t>
        </is>
      </c>
      <c r="H18" s="49" t="inlineStr">
        <is>
          <t>도로점용/굴착행위 인허가</t>
        </is>
      </c>
      <c r="I18" s="45" t="inlineStr">
        <is>
          <t>현장 공무팀/공사팀</t>
        </is>
      </c>
      <c r="J18" s="47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47" t="inlineStr">
        <is>
          <t>1) 도로 굴착 허가 신청서 작성 ➔ 2) 지자체 도로굴착 심의 필 ➔ 3) 복구 보증보험 증권 제출 ➔ 4) 도로 굴착 허가증 감리 결재</t>
        </is>
      </c>
      <c r="L18" s="47" t="inlineStr">
        <is>
          <t>지자체 도로 굴착 허가 신청서 접수, 심의 필증 수령 및 도로 복구 보증보험 증권 제출</t>
        </is>
      </c>
      <c r="M18" s="47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63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47" t="inlineStr">
        <is>
          <t>1) 도로 굴착 허가 신청서 작성 ➔ 2) 지자체 도로굴착 심의 필 ➔ 3) 복구 보증보험 증권 제출 ➔ 4) 도로 굴착 허가증 감리 결재</t>
        </is>
      </c>
      <c r="P18" s="64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46" t="inlineStr">
        <is>
          <t>지자체 도로 굴착 허가 신청서 접수, 심의 필증 수령 및 도로 복구 보증보험 증권 제출</t>
        </is>
      </c>
      <c r="R18" s="71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45" t="n"/>
    </row>
    <row r="19" ht="96" customHeight="1">
      <c r="A19" s="77" t="inlineStr">
        <is>
          <t>9000</t>
        </is>
      </c>
      <c r="B19" s="77" t="inlineStr">
        <is>
          <t>9000-3</t>
        </is>
      </c>
      <c r="C19" s="77" t="inlineStr">
        <is>
          <t>지장물이설</t>
        </is>
      </c>
      <c r="D19" s="77" t="inlineStr">
        <is>
          <t>9000-3-18</t>
        </is>
      </c>
      <c r="E19" s="79" t="inlineStr">
        <is>
          <t>9000-3-17</t>
        </is>
      </c>
      <c r="F19" s="79" t="inlineStr">
        <is>
          <t>9000-3-19</t>
        </is>
      </c>
      <c r="G19" s="45" t="inlineStr">
        <is>
          <t>D+0</t>
        </is>
      </c>
      <c r="H19" s="49" t="inlineStr">
        <is>
          <t>교통통제 및 교통안전시설 설치</t>
        </is>
      </c>
      <c r="I19" s="45" t="inlineStr">
        <is>
          <t>현장 안전팀/공사팀</t>
        </is>
      </c>
      <c r="J19" s="47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47" t="inlineStr">
        <is>
          <t>1) 굴착 구간 안전 바리케이트 부설 ➔ 2) 야간 LED 경광등 &amp; 표지판 설치 ➔ 3) 전담 신호수(2인 2조) 배치 ➔ 4) 교통 안전 점검 대장 결재</t>
        </is>
      </c>
      <c r="L19" s="47" t="inlineStr">
        <is>
          <t>굴착 구간 안전 바리케이트 부설, 야간 LED 경광등 설치 및 전담 신호수(2인 2조) 배치</t>
        </is>
      </c>
      <c r="M19" s="47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63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47" t="inlineStr">
        <is>
          <t>1) 굴착 구간 안전 바리케이트 부설 ➔ 2) 야간 LED 경광등 &amp; 표지판 설치 ➔ 3) 전담 신호수(2인 2조) 배치 ➔ 4) 교통 안전 점검 대장 결재</t>
        </is>
      </c>
      <c r="P19" s="64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46" t="inlineStr">
        <is>
          <t>굴착 구간 안전 바리케이트 부설, 야간 LED 경광등 설치 및 전담 신호수(2인 2조) 배치</t>
        </is>
      </c>
      <c r="R19" s="71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45" t="n"/>
    </row>
    <row r="20" ht="96" customHeight="1">
      <c r="A20" s="77" t="inlineStr">
        <is>
          <t>9000</t>
        </is>
      </c>
      <c r="B20" s="77" t="inlineStr">
        <is>
          <t>9000-3</t>
        </is>
      </c>
      <c r="C20" s="77" t="inlineStr">
        <is>
          <t>지장물이설</t>
        </is>
      </c>
      <c r="D20" s="77" t="inlineStr">
        <is>
          <t>9000-3-19</t>
        </is>
      </c>
      <c r="E20" s="79" t="inlineStr">
        <is>
          <t>9000-3-18</t>
        </is>
      </c>
      <c r="F20" s="79" t="inlineStr">
        <is>
          <t>9000-3-20</t>
        </is>
      </c>
      <c r="G20" s="45" t="inlineStr">
        <is>
          <t>D+1</t>
        </is>
      </c>
      <c r="H20" s="49" t="inlineStr">
        <is>
          <t>줄따기(GPR)를 통한 기존 지장물 매설 확인</t>
        </is>
      </c>
      <c r="I20" s="45" t="inlineStr">
        <is>
          <t>현장 공무팀/공사팀</t>
        </is>
      </c>
      <c r="J20" s="47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47" t="inlineStr">
        <is>
          <t>1) GPR 3D 지중 관로 탐사 ➔ 2) 인력 시탐 줄파기(깊이 1.5m) ➔ 3) 실체 관로 노출 &amp; 위치 매핑 ➔ 4) 지장물 현측표 감리 서면 승인</t>
        </is>
      </c>
      <c r="L20" s="47" t="inlineStr">
        <is>
          <t>GPR 3D 지중 관로 탐사, 인력 시탐 줄파기(폭 0.5m, 깊이 1.5m) 및 실체 관로 노출 매핑</t>
        </is>
      </c>
      <c r="M20" s="47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63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47" t="inlineStr">
        <is>
          <t>1) GPR 3D 지중 관로 탐사 ➔ 2) 인력 시탐 줄파기(깊이 1.5m) ➔ 3) 실체 관로 노출 &amp; 위치 매핑 ➔ 4) 지장물 현측표 감리 서면 승인</t>
        </is>
      </c>
      <c r="P20" s="64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46" t="inlineStr">
        <is>
          <t>GPR 3D 지중 관로 탐사, 인력 시탐 줄파기(폭 0.5m, 깊이 1.5m) 및 실체 관로 노출 매핑</t>
        </is>
      </c>
      <c r="R20" s="71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45" t="n"/>
    </row>
    <row r="21" ht="96" customHeight="1">
      <c r="A21" s="77" t="inlineStr">
        <is>
          <t>9000</t>
        </is>
      </c>
      <c r="B21" s="77" t="inlineStr">
        <is>
          <t>9000-3</t>
        </is>
      </c>
      <c r="C21" s="77" t="inlineStr">
        <is>
          <t>지장물이설</t>
        </is>
      </c>
      <c r="D21" s="77" t="inlineStr">
        <is>
          <t>9000-3-20</t>
        </is>
      </c>
      <c r="E21" s="79" t="inlineStr">
        <is>
          <t>9000-3-19</t>
        </is>
      </c>
      <c r="F21" s="79" t="inlineStr">
        <is>
          <t>9000-3-21</t>
        </is>
      </c>
      <c r="G21" s="45" t="inlineStr">
        <is>
          <t>D+3</t>
        </is>
      </c>
      <c r="H21" s="49" t="inlineStr">
        <is>
          <t>이설 위치 토공 굴착</t>
        </is>
      </c>
      <c r="I21" s="45" t="inlineStr">
        <is>
          <t>현장 공사팀</t>
        </is>
      </c>
      <c r="J21" s="47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47" t="inlineStr">
        <is>
          <t>1) 굴착 비탈면 경사(1:1.5) 측량 ➔ 2) 굴착 &amp; 흙막이 가설재 부설 ➔ 3) 바닥 원지반 K30(≥70) 검측 ➔ 4) 굴착 완료 성과표 감리 승인</t>
        </is>
      </c>
      <c r="L21" s="47" t="inlineStr">
        <is>
          <t>굴착 비탈면 경사(1:1.5 이하) 측량, 흙막이 가설재 부설 및 바닥 원지반 K30 ≥ 70 지비력 검측</t>
        </is>
      </c>
      <c r="M21" s="47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63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47" t="inlineStr">
        <is>
          <t>1) 굴착 비탈면 경사(1:1.5) 측량 ➔ 2) 굴착 &amp; 흙막이 가설재 부설 ➔ 3) 바닥 원지반 K30(≥70) 검측 ➔ 4) 굴착 완료 성과표 감리 승인</t>
        </is>
      </c>
      <c r="P21" s="64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46" t="inlineStr">
        <is>
          <t>굴착 비탈면 경사(1:1.5 이하) 측량, 흙막이 가설재 부설 및 바닥 원지반 K30 ≥ 70 지비력 검측</t>
        </is>
      </c>
      <c r="R21" s="71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45" t="n"/>
    </row>
    <row r="22" ht="96" customHeight="1">
      <c r="A22" s="77" t="inlineStr">
        <is>
          <t>9000</t>
        </is>
      </c>
      <c r="B22" s="77" t="inlineStr">
        <is>
          <t>9000-3</t>
        </is>
      </c>
      <c r="C22" s="77" t="inlineStr">
        <is>
          <t>지장물이설</t>
        </is>
      </c>
      <c r="D22" s="77" t="inlineStr">
        <is>
          <t>9000-3-21</t>
        </is>
      </c>
      <c r="E22" s="79" t="inlineStr">
        <is>
          <t>9000-3-20</t>
        </is>
      </c>
      <c r="F22" s="79" t="inlineStr">
        <is>
          <t>9000-3-22</t>
        </is>
      </c>
      <c r="G22" s="45" t="inlineStr">
        <is>
          <t>D+5</t>
        </is>
      </c>
      <c r="H22" s="49" t="inlineStr">
        <is>
          <t>신규관로 매설 및 설치</t>
        </is>
      </c>
      <c r="I22" s="45" t="inlineStr">
        <is>
          <t>현장 공사팀 / 전문협력사</t>
        </is>
      </c>
      <c r="J22" s="47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47" t="inlineStr">
        <is>
          <t>1) 관로 모래 기초(10cm) 부설 ➔ 2) 신규 상하수도관/가스관 부설 ➔ 3) 관로 종단 구배(≥0.5%) 검측 ➔ 4) 신규 관로 부설 감리 서면 승인</t>
        </is>
      </c>
      <c r="L22" s="47" t="inlineStr">
        <is>
          <t>관로 모래 기초(두께 10cm) 부설, 신규 상하수도관/가스관 부설 및 종단 구배(≥ 0.5%) 검측</t>
        </is>
      </c>
      <c r="M22" s="47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63">
        <f>HYPERLINK(LEFT(CELL("filename",A1),FIND("[",CELL("filename",A1))-1)&amp;"3.지장물이설\12_용지보상 Risk 파악\표준서\12_용지보상 Risk 파악_표준서.html", "👉 [클릭] 표준서 열기 📄")</f>
        <v/>
      </c>
      <c r="O22" s="47" t="inlineStr">
        <is>
          <t>1) 관로 모래 기초(10cm) 부설 ➔ 2) 신규 상하수도관/가스관 부설 ➔ 3) 관로 종단 구배(≥0.5%) 검측 ➔ 4) 신규 관로 부설 감리 서면 승인</t>
        </is>
      </c>
      <c r="P22" s="64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46" t="inlineStr">
        <is>
          <t>관로 모래 기초(두께 10cm) 부설, 신규 상하수도관/가스관 부설 및 종단 구배(≥ 0.5%) 검측</t>
        </is>
      </c>
      <c r="R22" s="71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45" t="n"/>
    </row>
    <row r="23" ht="96" customHeight="1">
      <c r="A23" s="77" t="inlineStr">
        <is>
          <t>9000</t>
        </is>
      </c>
      <c r="B23" s="77" t="inlineStr">
        <is>
          <t>9000-3</t>
        </is>
      </c>
      <c r="C23" s="77" t="inlineStr">
        <is>
          <t>지장물이설</t>
        </is>
      </c>
      <c r="D23" s="77" t="inlineStr">
        <is>
          <t>9000-3-22</t>
        </is>
      </c>
      <c r="E23" s="79" t="inlineStr">
        <is>
          <t>9000-3-21</t>
        </is>
      </c>
      <c r="F23" s="79" t="inlineStr">
        <is>
          <t>9000-3-23</t>
        </is>
      </c>
      <c r="G23" s="45" t="inlineStr">
        <is>
          <t>D+8</t>
        </is>
      </c>
      <c r="H23" s="49" t="inlineStr">
        <is>
          <t>무단수 연결을 위한 시설 설치</t>
        </is>
      </c>
      <c r="I23" s="45" t="inlineStr">
        <is>
          <t>현장 공사팀 / 전문업체</t>
        </is>
      </c>
      <c r="J23" s="47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47" t="inlineStr">
        <is>
          <t>1) 무단수 천공기 정밀 세팅 ➔ 2) 차단 밸브 &amp; 챔버 설치 ➔ 3) 수압 시험 및 가동 시운전 ➔ 4) 무단수 시설 검측 감리 승인</t>
        </is>
      </c>
      <c r="L23" s="47" t="inlineStr">
        <is>
          <t>무단수 천공기 정밀 세팅, 차단 밸브 &amp; 챔버 설치 및 수압 시험/가동 시운전 검측</t>
        </is>
      </c>
      <c r="M23" s="47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63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47" t="inlineStr">
        <is>
          <t>1) 무단수 천공기 정밀 세팅 ➔ 2) 차단 밸브 &amp; 챔버 설치 ➔ 3) 수압 시험 및 가동 시운전 ➔ 4) 무단수 시설 검측 감리 승인</t>
        </is>
      </c>
      <c r="P23" s="64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46" t="inlineStr">
        <is>
          <t>무단수 천공기 정밀 세팅, 차단 밸브 &amp; 챔버 설치 및 수압 시험/가동 시운전 검측</t>
        </is>
      </c>
      <c r="R23" s="71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45" t="n"/>
    </row>
    <row r="24" ht="96" customHeight="1">
      <c r="A24" s="77" t="inlineStr">
        <is>
          <t>9000</t>
        </is>
      </c>
      <c r="B24" s="77" t="inlineStr">
        <is>
          <t>9000-3</t>
        </is>
      </c>
      <c r="C24" s="77" t="inlineStr">
        <is>
          <t>지장물이설</t>
        </is>
      </c>
      <c r="D24" s="77" t="inlineStr">
        <is>
          <t>9000-3-23</t>
        </is>
      </c>
      <c r="E24" s="79" t="inlineStr">
        <is>
          <t>9000-3-22</t>
        </is>
      </c>
      <c r="F24" s="79" t="inlineStr">
        <is>
          <t>9000-3-24</t>
        </is>
      </c>
      <c r="G24" s="45" t="inlineStr">
        <is>
          <t>D+10</t>
        </is>
      </c>
      <c r="H24" s="49" t="inlineStr">
        <is>
          <t>신규관로 및 연결관로 접속</t>
        </is>
      </c>
      <c r="I24" s="45" t="inlineStr">
        <is>
          <t>현장 공사팀</t>
        </is>
      </c>
      <c r="J24" s="47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47" t="inlineStr">
        <is>
          <t>1) 신구 관로 접속 부위 부설 ➔ 2) 수압 시험(10kgf/cm², 1h 유지) ➔ 3) 부식 방지 피복 랩핑 시행 ➔ 4) 관로 접속 검측 성과표 승인</t>
        </is>
      </c>
      <c r="L24" s="47" t="inlineStr">
        <is>
          <t>신구 관로 접속 부위 부설, 수압 시험(10kgf/cm², 1h 유지) 및 부식 방지 피복 랩핑 검측</t>
        </is>
      </c>
      <c r="M24" s="47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63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47" t="inlineStr">
        <is>
          <t>1) 신구 관로 접속 부위 부설 ➔ 2) 수압 시험(10kgf/cm², 1h 유지) ➔ 3) 부식 방지 피복 랩핑 시행 ➔ 4) 관로 접속 검측 성과표 승인</t>
        </is>
      </c>
      <c r="P24" s="64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46" t="inlineStr">
        <is>
          <t>신구 관로 접속 부위 부설, 수압 시험(10kgf/cm², 1h 유지) 및 부식 방지 피복 랩핑 검측</t>
        </is>
      </c>
      <c r="R24" s="71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45" t="n"/>
    </row>
    <row r="25" ht="96" customHeight="1">
      <c r="A25" s="77" t="inlineStr">
        <is>
          <t>9000</t>
        </is>
      </c>
      <c r="B25" s="77" t="inlineStr">
        <is>
          <t>9000-3</t>
        </is>
      </c>
      <c r="C25" s="77" t="inlineStr">
        <is>
          <t>지장물이설</t>
        </is>
      </c>
      <c r="D25" s="77" t="inlineStr">
        <is>
          <t>9000-3-24</t>
        </is>
      </c>
      <c r="E25" s="79" t="inlineStr">
        <is>
          <t>9000-3-23</t>
        </is>
      </c>
      <c r="F25" s="79" t="inlineStr">
        <is>
          <t>9000-3-25</t>
        </is>
      </c>
      <c r="G25" s="45" t="inlineStr">
        <is>
          <t>D+15</t>
        </is>
      </c>
      <c r="H25" s="49" t="inlineStr">
        <is>
          <t>기존관로 철거 및 원상복구</t>
        </is>
      </c>
      <c r="I25" s="45" t="inlineStr">
        <is>
          <t>현장 공사팀</t>
        </is>
      </c>
      <c r="J25" s="47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47" t="inlineStr">
        <is>
          <t>1) 기존 폐관로 안전 철거/수거 ➔ 2) 토사 30cm 층다짐(다짐도≥95%) ➔ 3) 아스콘 가포설 &amp; 평탄성 검측 ➔ 4) 원상복구 성과표 감리 승인</t>
        </is>
      </c>
      <c r="L25" s="47" t="inlineStr">
        <is>
          <t>기존 폐관로 안전 철거/수거, 토사 30cm 층다짐(다짐도 ≥ 95%) 원상복구 및 아스콘 가포설</t>
        </is>
      </c>
      <c r="M25" s="47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63">
        <f>HYPERLINK(LEFT(CELL("filename",A1),FIND("[",CELL("filename",A1))-1)&amp;"3.지장물이설\13_이설 위치 토공 굴착\표준서\이설 위치 토공 굴착_표준서.html", "👉 [클릭] 표준서 열기 📄")</f>
        <v/>
      </c>
      <c r="O25" s="47" t="inlineStr">
        <is>
          <t>1) 기존 폐관로 안전 철거/수거 ➔ 2) 토사 30cm 층다짐(다짐도≥95%) ➔ 3) 아스콘 가포설 &amp; 평탄성 검측 ➔ 4) 원상복구 성과표 감리 승인</t>
        </is>
      </c>
      <c r="P25" s="64">
        <f>HYPERLINK(LEFT(CELL("filename",A1),FIND("[",CELL("filename",A1))-1)&amp;"3.지장물이설\13_이설 위치 토공 굴착\수행지침\수행지침.html", "👉 [클릭] 수행지침 열기 📄")</f>
        <v/>
      </c>
      <c r="Q25" s="46" t="inlineStr">
        <is>
          <t>기존 폐관로 안전 철거/수거, 토사 30cm 층다짐(다짐도 ≥ 95%) 원상복구 및 아스콘 가포설</t>
        </is>
      </c>
      <c r="R25" s="71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45" t="n"/>
    </row>
    <row r="26" ht="96" customHeight="1">
      <c r="A26" s="77" t="inlineStr">
        <is>
          <t>9000</t>
        </is>
      </c>
      <c r="B26" s="77" t="inlineStr">
        <is>
          <t>9000-3</t>
        </is>
      </c>
      <c r="C26" s="77" t="inlineStr">
        <is>
          <t>지장물이설</t>
        </is>
      </c>
      <c r="D26" s="77" t="inlineStr">
        <is>
          <t>9000-3-25</t>
        </is>
      </c>
      <c r="E26" s="79" t="inlineStr">
        <is>
          <t>9000-3-24</t>
        </is>
      </c>
      <c r="F26" s="79" t="inlineStr">
        <is>
          <t>9000-3-26</t>
        </is>
      </c>
      <c r="G26" s="45" t="inlineStr">
        <is>
          <t>D+20</t>
        </is>
      </c>
      <c r="H26" s="49" t="inlineStr">
        <is>
          <t>광역상수관 이설 공사</t>
        </is>
      </c>
      <c r="I26" s="45" t="inlineStr">
        <is>
          <t>공사팀 (협의: 한국수자원공사)</t>
        </is>
      </c>
      <c r="J26" s="47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47" t="inlineStr">
        <is>
          <t>1) 광역상수관(Ø500mm+) 부설 ➔ 2) 수압 시험 &amp; 수질 검사 시행 ➔ 3) 한국수자원공사 현장 입회 ➔ 4) 광역상수관 이설 완료 승인</t>
        </is>
      </c>
      <c r="L26" s="47" t="inlineStr">
        <is>
          <t>광역상수관(Ø500mm+) 부설, 수압 시험 및 수질 검사 합격 (한국수자원공사 1:1 입회 검측)</t>
        </is>
      </c>
      <c r="M26" s="47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63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47" t="inlineStr">
        <is>
          <t>1) 광역상수관(Ø500mm+) 부설 ➔ 2) 수압 시험 &amp; 수질 검사 시행 ➔ 3) 한국수자원공사 현장 입회 ➔ 4) 광역상수관 이설 완료 승인</t>
        </is>
      </c>
      <c r="P26" s="64">
        <f>HYPERLINK(LEFT(CELL("filename",A1),FIND("[",CELL("filename",A1))-1)&amp;"3.지장물이설\14_신규관로 매설 및 설치\수행지침\수행지침.html", "👉 [클릭] 수행지침 열기 📄")</f>
        <v/>
      </c>
      <c r="Q26" s="46" t="inlineStr">
        <is>
          <t>광역상수관(Ø500mm+) 부설, 수압 시험 및 수질 검사 합격 (한국수자원공사 1:1 입회 검측)</t>
        </is>
      </c>
      <c r="R26" s="71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45" t="n"/>
    </row>
    <row r="27" ht="96" customHeight="1">
      <c r="A27" s="77" t="inlineStr">
        <is>
          <t>9000</t>
        </is>
      </c>
      <c r="B27" s="77" t="inlineStr">
        <is>
          <t>9000-3</t>
        </is>
      </c>
      <c r="C27" s="77" t="inlineStr">
        <is>
          <t>지장물이설</t>
        </is>
      </c>
      <c r="D27" s="77" t="inlineStr">
        <is>
          <t>9000-3-26</t>
        </is>
      </c>
      <c r="E27" s="79" t="inlineStr">
        <is>
          <t>9000-3-25</t>
        </is>
      </c>
      <c r="F27" s="79" t="inlineStr">
        <is>
          <t>9000-3-27</t>
        </is>
      </c>
      <c r="G27" s="45" t="inlineStr">
        <is>
          <t>D+22</t>
        </is>
      </c>
      <c r="H27" s="49" t="inlineStr">
        <is>
          <t>상수도 관로 이설 공사</t>
        </is>
      </c>
      <c r="I27" s="45" t="inlineStr">
        <is>
          <t>공사팀 (협의: 맑은물사업소)</t>
        </is>
      </c>
      <c r="J27" s="47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47" t="inlineStr">
        <is>
          <t>1) 배수관(Ø200~300mm) 이설 부설 ➔ 2) 탁수 퇴수 &amp; 잔류염소 시험 ➔ 3) 맑은물사업소 합동 현측 ➔ 4) 상수도 관로 이설 감리 승인</t>
        </is>
      </c>
      <c r="L27" s="47" t="inlineStr">
        <is>
          <t>배수관(Ø200~300mm) 이설, 탁수 퇴수 작업 및 잔류염소 시험 합격 (맑은물사업소 현측)</t>
        </is>
      </c>
      <c r="M27" s="47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63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47" t="inlineStr">
        <is>
          <t>1) 배수관(Ø200~300mm) 이설 부설 ➔ 2) 탁수 퇴수 &amp; 잔류염소 시험 ➔ 3) 맑은물사업소 합동 현측 ➔ 4) 상수도 관로 이설 감리 승인</t>
        </is>
      </c>
      <c r="P27" s="64">
        <f>HYPERLINK(LEFT(CELL("filename",A1),FIND("[",CELL("filename",A1))-1)&amp;"3.지장물이설\14_위수탁 지장물 이설 설계\수행지침\수행지침.html", "👉 [클릭] 수행지침 열기 📄")</f>
        <v/>
      </c>
      <c r="Q27" s="46" t="inlineStr">
        <is>
          <t>배수관(Ø200~300mm) 이설, 탁수 퇴수 작업 및 잔류염소 시험 합격 (맑은물사업소 현측)</t>
        </is>
      </c>
      <c r="R27" s="71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45" t="n"/>
    </row>
    <row r="28" ht="96" customHeight="1">
      <c r="A28" s="77" t="inlineStr">
        <is>
          <t>9000</t>
        </is>
      </c>
      <c r="B28" s="77" t="inlineStr">
        <is>
          <t>9000-3</t>
        </is>
      </c>
      <c r="C28" s="77" t="inlineStr">
        <is>
          <t>지장물이설</t>
        </is>
      </c>
      <c r="D28" s="77" t="inlineStr">
        <is>
          <t>9000-3-27</t>
        </is>
      </c>
      <c r="E28" s="79" t="inlineStr">
        <is>
          <t>9000-3-26</t>
        </is>
      </c>
      <c r="F28" s="79" t="inlineStr">
        <is>
          <t>9000-3-28</t>
        </is>
      </c>
      <c r="G28" s="45" t="inlineStr">
        <is>
          <t>D+25</t>
        </is>
      </c>
      <c r="H28" s="49" t="inlineStr">
        <is>
          <t>하수도 관로 이설 공사</t>
        </is>
      </c>
      <c r="I28" s="45" t="inlineStr">
        <is>
          <t>공사팀 (협의: 맑은물사업소)</t>
        </is>
      </c>
      <c r="J28" s="47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47" t="inlineStr">
        <is>
          <t>1) 하수관(Ø400mm+) 연결 부설 ➔ 2) CCTV 관로 내부 검사 시행 ➔ 3) 통수 담수 시험 완료 ➔ 4) 하수도 관로 이설 감리 승인</t>
        </is>
      </c>
      <c r="L28" s="47" t="inlineStr">
        <is>
          <t>하수관(Ø400mm+) 연결 부설, CCTV 관로 내부 검사 &amp; 통수 담수 시험 합격 (하수도사업소 인수)</t>
        </is>
      </c>
      <c r="M28" s="47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63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47" t="inlineStr">
        <is>
          <t>1) 하수관(Ø400mm+) 연결 부설 ➔ 2) CCTV 관로 내부 검사 시행 ➔ 3) 통수 담수 시험 완료 ➔ 4) 하수도 관로 이설 감리 승인</t>
        </is>
      </c>
      <c r="P28" s="64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46" t="inlineStr">
        <is>
          <t>하수관(Ø400mm+) 연결 부설, CCTV 관로 내부 검사 &amp; 통수 담수 시험 합격 (하수도사업소 인수)</t>
        </is>
      </c>
      <c r="R28" s="71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45" t="n"/>
    </row>
    <row r="29" ht="96" customHeight="1">
      <c r="A29" s="77" t="inlineStr">
        <is>
          <t>9000</t>
        </is>
      </c>
      <c r="B29" s="77" t="inlineStr">
        <is>
          <t>9000-3</t>
        </is>
      </c>
      <c r="C29" s="77" t="inlineStr">
        <is>
          <t>지장물이설</t>
        </is>
      </c>
      <c r="D29" s="77" t="inlineStr">
        <is>
          <t>9000-3-28</t>
        </is>
      </c>
      <c r="E29" s="79" t="inlineStr">
        <is>
          <t>9000-3-27</t>
        </is>
      </c>
      <c r="F29" s="79" t="inlineStr">
        <is>
          <t>9000-3-29</t>
        </is>
      </c>
      <c r="G29" s="45" t="inlineStr">
        <is>
          <t>D+28</t>
        </is>
      </c>
      <c r="H29" s="49" t="inlineStr">
        <is>
          <t>도시가스관 이설 공사</t>
        </is>
      </c>
      <c r="I29" s="45" t="inlineStr">
        <is>
          <t>공사팀 (협의: 한국가스공사, 삼천리)</t>
        </is>
      </c>
      <c r="J29" s="47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47" t="inlineStr">
        <is>
          <t>1) 도시가스관 매설 &amp; 용접 ➔ 2) 비파괴검사(RT 100%) &amp; 기밀 시험 ➔ 3) 도시가스사 1:1 입회 검측 ➔ 4) 가스관 이설 완료 승인</t>
        </is>
      </c>
      <c r="L29" s="47" t="inlineStr">
        <is>
          <t>도시가스관 매설 &amp; 용접, 비파괴검사(RT 100%) 및 기밀 시험 합격 (도시가스사 1:1 입회)</t>
        </is>
      </c>
      <c r="M29" s="47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63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47" t="inlineStr">
        <is>
          <t>1) 도시가스관 매설 &amp; 용접 ➔ 2) 비파괴검사(RT 100%) &amp; 기밀 시험 ➔ 3) 도시가스사 1:1 입회 검측 ➔ 4) 가스관 이설 완료 승인</t>
        </is>
      </c>
      <c r="P29" s="64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46" t="inlineStr">
        <is>
          <t>도시가스관 매설 &amp; 용접, 비파괴검사(RT 100%) 및 기밀 시험 합격 (도시가스사 1:1 입회)</t>
        </is>
      </c>
      <c r="R29" s="71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45" t="n"/>
    </row>
    <row r="30" ht="96" customHeight="1">
      <c r="A30" s="77" t="inlineStr">
        <is>
          <t>9000</t>
        </is>
      </c>
      <c r="B30" s="77" t="inlineStr">
        <is>
          <t>9000-3</t>
        </is>
      </c>
      <c r="C30" s="77" t="inlineStr">
        <is>
          <t>지장물이설</t>
        </is>
      </c>
      <c r="D30" s="77" t="inlineStr">
        <is>
          <t>9000-3-29</t>
        </is>
      </c>
      <c r="E30" s="79" t="inlineStr">
        <is>
          <t>9000-3-28</t>
        </is>
      </c>
      <c r="F30" s="79" t="inlineStr">
        <is>
          <t>9000-3-30</t>
        </is>
      </c>
      <c r="G30" s="45" t="inlineStr">
        <is>
          <t>D+30</t>
        </is>
      </c>
      <c r="H30" s="49" t="inlineStr">
        <is>
          <t>지역난방관 이설 공사</t>
        </is>
      </c>
      <c r="I30" s="45" t="inlineStr">
        <is>
          <t>공사팀 (협의: 한국지역난방공사)</t>
        </is>
      </c>
      <c r="J30" s="47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47" t="inlineStr">
        <is>
          <t>1) 난방 수송관 매설 &amp; 용접 ➔ 2) 100% 비파괴검사 &amp; 피복 랩핑 ➔ 3) 지역난방공사 시운전 인수 ➔ 4) 지역난방관 이설 감리 승인</t>
        </is>
      </c>
      <c r="L30" s="47" t="inlineStr">
        <is>
          <t>난방 수송관 매설 &amp; 용접, 100% 비파괴검사 및 피복 랩핑 검수 (지역난방공사 인수)</t>
        </is>
      </c>
      <c r="M30" s="47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63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47" t="inlineStr">
        <is>
          <t>1) 난방 수송관 매설 &amp; 용접 ➔ 2) 100% 비파괴검사 &amp; 피복 랩핑 ➔ 3) 지역난방공사 시운전 인수 ➔ 4) 지역난방관 이설 감리 승인</t>
        </is>
      </c>
      <c r="P30" s="64">
        <f>HYPERLINK(LEFT(CELL("filename",A1),FIND("[",CELL("filename",A1))-1)&amp;"3.지장물이설\16_신규관로 및 연결관로 접속\수행지침\수행지침.html", "👉 [클릭] 수행지침 열기 📄")</f>
        <v/>
      </c>
      <c r="Q30" s="46" t="inlineStr">
        <is>
          <t>난방 수송관 매설 &amp; 용접, 100% 비파괴검사 및 피복 랩핑 검수 (지역난방공사 인수)</t>
        </is>
      </c>
      <c r="R30" s="71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45" t="n"/>
    </row>
    <row r="31" ht="96" customHeight="1">
      <c r="A31" s="77" t="inlineStr">
        <is>
          <t>9000</t>
        </is>
      </c>
      <c r="B31" s="77" t="inlineStr">
        <is>
          <t>9000-3</t>
        </is>
      </c>
      <c r="C31" s="77" t="inlineStr">
        <is>
          <t>지장물이설</t>
        </is>
      </c>
      <c r="D31" s="77" t="inlineStr">
        <is>
          <t>9000-3-30</t>
        </is>
      </c>
      <c r="E31" s="79" t="inlineStr">
        <is>
          <t>9000-3-29</t>
        </is>
      </c>
      <c r="F31" s="79" t="inlineStr">
        <is>
          <t>9000-3-31</t>
        </is>
      </c>
      <c r="G31" s="45" t="inlineStr">
        <is>
          <t>D+35</t>
        </is>
      </c>
      <c r="H31" s="49" t="inlineStr">
        <is>
          <t>통신관로 및 케이블 이설 공사</t>
        </is>
      </c>
      <c r="I31" s="45" t="inlineStr">
        <is>
          <t>공사팀 (협의: KT, LGU+, SKT)</t>
        </is>
      </c>
      <c r="J31" s="47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47" t="inlineStr">
        <is>
          <t>1) 통신 광케이블 관로 부설 ➔ 2) 광케이블 포설 &amp; 접속 ➔ 3) 절연저항 &amp; 광손실 시험 ➔ 4) KT/SKT 통신사 광신호 승인</t>
        </is>
      </c>
      <c r="L31" s="47" t="inlineStr">
        <is>
          <t>통신 광케이블 관로 부설, 절연 저항 &amp; 광손실 실측 합격 (KT/SKT 광신호 승인)</t>
        </is>
      </c>
      <c r="M31" s="47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63">
        <f>HYPERLINK(LEFT(CELL("filename",A1),FIND("[",CELL("filename",A1))-1)&amp;"3.지장물이설\16_위수탁 계약 체결\표준서\16_위수탁 계약 체결_표준서.html", "👉 [클릭] 표준서 열기 📄")</f>
        <v/>
      </c>
      <c r="O31" s="47" t="inlineStr">
        <is>
          <t>1) 통신 광케이블 관로 부설 ➔ 2) 광케이블 포설 &amp; 접속 ➔ 3) 절연저항 &amp; 광손실 시험 ➔ 4) KT/SKT 통신사 광신호 승인</t>
        </is>
      </c>
      <c r="P31" s="64">
        <f>HYPERLINK(LEFT(CELL("filename",A1),FIND("[",CELL("filename",A1))-1)&amp;"3.지장물이설\16_위수탁 계약 체결\수행지침\수행지침.html", "👉 [클릭] 수행지침 열기 📄")</f>
        <v/>
      </c>
      <c r="Q31" s="46" t="inlineStr">
        <is>
          <t>통신 광케이블 관로 부설, 절연 저항 &amp; 광손실 실측 합격 (KT/SKT 광신호 승인)</t>
        </is>
      </c>
      <c r="R31" s="71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45" t="n"/>
    </row>
    <row r="32" ht="76.8" customHeight="1">
      <c r="A32" s="77" t="inlineStr">
        <is>
          <t>9000</t>
        </is>
      </c>
      <c r="B32" s="77" t="inlineStr">
        <is>
          <t>9000-3</t>
        </is>
      </c>
      <c r="C32" s="77" t="inlineStr">
        <is>
          <t>지장물이설</t>
        </is>
      </c>
      <c r="D32" s="77" t="inlineStr">
        <is>
          <t>9000-3-31</t>
        </is>
      </c>
      <c r="E32" s="79" t="inlineStr">
        <is>
          <t>9000-3-30</t>
        </is>
      </c>
      <c r="F32" s="79" t="inlineStr">
        <is>
          <t>9000-3-32</t>
        </is>
      </c>
      <c r="G32" s="22" t="inlineStr">
        <is>
          <t>D+40</t>
        </is>
      </c>
      <c r="H32" s="43" t="inlineStr">
        <is>
          <t>특고압 전력관로 이설 공사</t>
        </is>
      </c>
      <c r="I32" s="40" t="inlineStr">
        <is>
          <t>공사팀 (협의: 한국전력공사)</t>
        </is>
      </c>
      <c r="J32" s="40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53" t="inlineStr">
        <is>
          <t>1) 22.9kV 특고압 관로/맨홀 부설 ➔ 2) 전력 케이블 인입 &amp; 내력 시험 ➔ 3) 한전 입회 휴전 Cut-over ➔ 4) 전력관로 이설 완료 승인</t>
        </is>
      </c>
      <c r="L32" s="40" t="inlineStr">
        <is>
          <t>22.9kV 특고압 관로/맨홀 부설, 절연내력 시험 합격 (한전 KEPCO 입회 휴전 Cut-over)</t>
        </is>
      </c>
      <c r="M32" s="25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63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5" t="inlineStr">
        <is>
          <t>1) 22.9kV 특고압 관로/맨홀 부설 ➔ 2) 전력 케이블 인입 &amp; 내력 시험 ➔ 3) 한전 입회 휴전 Cut-over ➔ 4) 전력관로 이설 완료 승인</t>
        </is>
      </c>
      <c r="P32" s="64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7" t="inlineStr">
        <is>
          <t>22.9kV 특고압 관로/맨홀 부설, 절연내력 시험 합격 (한전 KEPCO 입회 휴전 Cut-over)</t>
        </is>
      </c>
      <c r="R32" s="71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</row>
    <row r="33" ht="82.8" customHeight="1">
      <c r="A33" s="77" t="inlineStr">
        <is>
          <t>9000</t>
        </is>
      </c>
      <c r="B33" s="77" t="inlineStr">
        <is>
          <t>9000-3</t>
        </is>
      </c>
      <c r="C33" s="77" t="inlineStr">
        <is>
          <t>지장물이설</t>
        </is>
      </c>
      <c r="D33" s="77" t="inlineStr">
        <is>
          <t>9000-3-32</t>
        </is>
      </c>
      <c r="E33" s="79" t="inlineStr">
        <is>
          <t>9000-3-31</t>
        </is>
      </c>
      <c r="F33" s="79" t="inlineStr">
        <is>
          <t>9000-3-33</t>
        </is>
      </c>
      <c r="G33" s="22" t="inlineStr">
        <is>
          <t>D+60</t>
        </is>
      </c>
      <c r="H33" s="43" t="inlineStr">
        <is>
          <t>상하수도 이설 시공 최종 점검</t>
        </is>
      </c>
      <c r="I33" s="40" t="inlineStr">
        <is>
          <t>현장 감리원 / 맑은물사업소</t>
        </is>
      </c>
      <c r="J33" s="40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53" t="inlineStr">
        <is>
          <t>1) 송유관 용접 부설 ➔ 2) NDT 비파괴검사 &amp; 초음파 탐상 ➔ 3) 송유관공사 안전 점검 ➔ 4) 송유관 이설 완료 서면 승인</t>
        </is>
      </c>
      <c r="L33" s="40" t="inlineStr">
        <is>
          <t>송유관 용접 부설, NDT 비파괴검사 및 초음파 탐상 시험 100% 합격 (대한송유관공사 인수)</t>
        </is>
      </c>
      <c r="M33" s="25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63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25" t="inlineStr">
        <is>
          <t>1) 송유관 용접 부설 ➔ 2) NDT 비파괴검사 &amp; 초음파 탐상 ➔ 3) 송유관공사 안전 점검 ➔ 4) 송유관 이설 완료 서면 승인</t>
        </is>
      </c>
      <c r="P33" s="64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27" t="inlineStr">
        <is>
          <t>송유관 용접 부설, NDT 비파괴검사 및 초음파 탐상 시험 100% 합격 (대한송유관공사 인수)</t>
        </is>
      </c>
      <c r="R33" s="71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</row>
    <row r="34" ht="57.6" customHeight="1">
      <c r="A34" s="77" t="inlineStr">
        <is>
          <t>9000</t>
        </is>
      </c>
      <c r="B34" s="77" t="inlineStr">
        <is>
          <t>9000-3</t>
        </is>
      </c>
      <c r="C34" s="77" t="inlineStr">
        <is>
          <t>지장물이설</t>
        </is>
      </c>
      <c r="D34" s="77" t="inlineStr">
        <is>
          <t>9000-3-33</t>
        </is>
      </c>
      <c r="E34" s="79" t="inlineStr">
        <is>
          <t>9000-3-32</t>
        </is>
      </c>
      <c r="F34" s="79" t="inlineStr">
        <is>
          <t>9000-3-34</t>
        </is>
      </c>
      <c r="G34" s="22" t="inlineStr">
        <is>
          <t>D+65</t>
        </is>
      </c>
      <c r="H34" s="43" t="inlineStr">
        <is>
          <t>위수탁 지하지장물 이설 최종 점검</t>
        </is>
      </c>
      <c r="I34" s="40" t="inlineStr">
        <is>
          <t>현장 감리원 / 위수탁기관</t>
        </is>
      </c>
      <c r="J34" s="40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53" t="inlineStr">
        <is>
          <t>1) 신설 관로 종합 현측 ➔ 2) 수압/수질/CCTV 검사 종합 ➔ 3) 지자체 3자 합동 점검 ➔ 4) 상하수도 최종 점검 대장 승인</t>
        </is>
      </c>
      <c r="L34" s="40" t="inlineStr">
        <is>
          <t>신설 관로 종합 현측, 수압/수질/CCTV 검사 종합 대장 작성 및 지자체 3자 합동 점검</t>
        </is>
      </c>
      <c r="M34" s="25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63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5" t="inlineStr">
        <is>
          <t>1) 신설 관로 종합 현측 ➔ 2) 수압/수질/CCTV 검사 종합 ➔ 3) 지자체 3자 합동 점검 ➔ 4) 상하수도 최종 점검 대장 승인</t>
        </is>
      </c>
      <c r="P34" s="64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7" t="inlineStr">
        <is>
          <t>신설 관로 종합 현측, 수압/수질/CCTV 검사 종합 대장 작성 및 지자체 3자 합동 점검</t>
        </is>
      </c>
      <c r="R34" s="71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</row>
    <row r="35" ht="69.59999999999999" customHeight="1">
      <c r="A35" s="77" t="inlineStr">
        <is>
          <t>9000</t>
        </is>
      </c>
      <c r="B35" s="77" t="inlineStr">
        <is>
          <t>9000-3</t>
        </is>
      </c>
      <c r="C35" s="77" t="inlineStr">
        <is>
          <t>지장물이설</t>
        </is>
      </c>
      <c r="D35" s="77" t="inlineStr">
        <is>
          <t>9000-3-34</t>
        </is>
      </c>
      <c r="E35" s="79" t="inlineStr">
        <is>
          <t>9000-3-33</t>
        </is>
      </c>
      <c r="F35" s="79" t="inlineStr">
        <is>
          <t>9000-3-35</t>
        </is>
      </c>
      <c r="G35" s="22" t="inlineStr">
        <is>
          <t>D+70</t>
        </is>
      </c>
      <c r="H35" s="43" t="inlineStr">
        <is>
          <t>상하수도 이설 정산 금액 검토</t>
        </is>
      </c>
      <c r="I35" s="40" t="inlineStr">
        <is>
          <t>현장 공무팀</t>
        </is>
      </c>
      <c r="J35" s="40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53" t="inlineStr">
        <is>
          <t>1) 위탁기관 1:1 인수 검측 ➔ 2) 3D BIM 준공 도면 대조 ➔ 3) 이설 완료 현장 서명 ➔ 4) 준공 보고서 감리 서면 승인</t>
        </is>
      </c>
      <c r="L35" s="40" t="inlineStr">
        <is>
          <t>위탁기관 1:1 인수 검측, 3D BIM 준공 도면 대조 및 이설 준공 보고서 감리 서면 승인</t>
        </is>
      </c>
      <c r="M35" s="25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63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25" t="inlineStr">
        <is>
          <t>1) 위탁기관 1:1 인수 검측 ➔ 2) 3D BIM 준공 도면 대조 ➔ 3) 이설 완료 현장 서명 ➔ 4) 준공 보고서 감리 서면 승인</t>
        </is>
      </c>
      <c r="P35" s="64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27" t="inlineStr">
        <is>
          <t>위탁기관 1:1 인수 검측, 3D BIM 준공 도면 대조 및 이설 준공 보고서 감리 서면 승인</t>
        </is>
      </c>
      <c r="R35" s="71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</row>
    <row r="36" ht="57.6" customHeight="1">
      <c r="A36" s="77" t="inlineStr">
        <is>
          <t>9000</t>
        </is>
      </c>
      <c r="B36" s="77" t="inlineStr">
        <is>
          <t>9000-3</t>
        </is>
      </c>
      <c r="C36" s="77" t="inlineStr">
        <is>
          <t>지장물이설</t>
        </is>
      </c>
      <c r="D36" s="77" t="inlineStr">
        <is>
          <t>9000-3-35</t>
        </is>
      </c>
      <c r="E36" s="79" t="inlineStr">
        <is>
          <t>9000-3-34</t>
        </is>
      </c>
      <c r="F36" s="79" t="inlineStr">
        <is>
          <t>9000-3-36</t>
        </is>
      </c>
      <c r="G36" s="22" t="inlineStr">
        <is>
          <t>D+80</t>
        </is>
      </c>
      <c r="H36" s="43" t="inlineStr">
        <is>
          <t>위수탁 처리 정산금액 지급</t>
        </is>
      </c>
      <c r="I36" s="40" t="inlineStr">
        <is>
          <t>현장 공무팀 / 발주처</t>
        </is>
      </c>
      <c r="J36" s="40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53" t="inlineStr">
        <is>
          <t>1) 실정보고 투입 물량 집계 ➔ 2) 정산 단가 산정 서류 작성 ➔ 3) 정산서 감리 기술 검토 ➔ 4) 정산 금액 최종 서면 승인</t>
        </is>
      </c>
      <c r="L36" s="40" t="inlineStr">
        <is>
          <t>실정보고 투입 물량 집계, 정산 단가 산정 서류 작성 및 책임감리원 정산 금액 서면 승인</t>
        </is>
      </c>
      <c r="M36" s="25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63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5" t="inlineStr">
        <is>
          <t>1) 실정보고 투입 물량 집계 ➔ 2) 정산 단가 산정 서류 작성 ➔ 3) 정산서 감리 기술 검토 ➔ 4) 정산 금액 최종 서면 승인</t>
        </is>
      </c>
      <c r="P36" s="64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7" t="inlineStr">
        <is>
          <t>실정보고 투입 물량 집계, 정산 단가 산정 서류 작성 및 책임감리원 정산 금액 서면 승인</t>
        </is>
      </c>
      <c r="R36" s="71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</row>
    <row r="37" ht="69.59999999999999" customHeight="1">
      <c r="A37" s="77" t="inlineStr">
        <is>
          <t>9000</t>
        </is>
      </c>
      <c r="B37" s="77" t="inlineStr">
        <is>
          <t>9000-3</t>
        </is>
      </c>
      <c r="C37" s="77" t="inlineStr">
        <is>
          <t>지장물이설</t>
        </is>
      </c>
      <c r="D37" s="77" t="inlineStr">
        <is>
          <t>9000-3-36</t>
        </is>
      </c>
      <c r="E37" s="79" t="inlineStr">
        <is>
          <t>9000-3-35</t>
        </is>
      </c>
      <c r="F37" s="79" t="inlineStr">
        <is>
          <t>9000-3-37</t>
        </is>
      </c>
      <c r="G37" s="22" t="inlineStr">
        <is>
          <t>D+90</t>
        </is>
      </c>
      <c r="H37" s="43" t="inlineStr">
        <is>
          <t>도급자분/위수탁분 설계변경 정산</t>
        </is>
      </c>
      <c r="I37" s="40" t="inlineStr">
        <is>
          <t>현장 공무팀 / 화성시</t>
        </is>
      </c>
      <c r="J37" s="40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53" t="inlineStr">
        <is>
          <t>1) 위탁기관 정산 청구서 작성 ➔ 2) 증빙 영수증 &amp; 성과표 첨부 ➔ 3) 정산금 지급 수속 ➔ 4) 이설 정산금 집행 완료</t>
        </is>
      </c>
      <c r="L37" s="40" t="inlineStr">
        <is>
          <t>위탁기관 정산 청구서 작성, 증빙 영수증 &amp; 성과표 부착 및 이설 정산금 집행 완료</t>
        </is>
      </c>
      <c r="M37" s="25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63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25" t="inlineStr">
        <is>
          <t>1) 위탁기관 정산 청구서 작성 ➔ 2) 증빙 영수증 &amp; 성과표 첨부 ➔ 3) 정산금 지급 수속 ➔ 4) 이설 정산금 집행 완료</t>
        </is>
      </c>
      <c r="P37" s="64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27" t="inlineStr">
        <is>
          <t>위탁기관 정산 청구서 작성, 증빙 영수증 &amp; 성과표 부착 및 이설 정산금 집행 완료</t>
        </is>
      </c>
      <c r="R37" s="71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</row>
    <row r="38" ht="84" customHeight="1">
      <c r="A38" s="77" t="inlineStr">
        <is>
          <t>9000</t>
        </is>
      </c>
      <c r="B38" s="77" t="inlineStr">
        <is>
          <t>9000-3</t>
        </is>
      </c>
      <c r="C38" s="77" t="inlineStr">
        <is>
          <t>지장물이설</t>
        </is>
      </c>
      <c r="D38" s="77" t="inlineStr">
        <is>
          <t>9000-3-37</t>
        </is>
      </c>
      <c r="E38" s="79" t="inlineStr">
        <is>
          <t>9000-3-36</t>
        </is>
      </c>
      <c r="F38" s="79" t="inlineStr">
        <is>
          <t>9000-3-38</t>
        </is>
      </c>
      <c r="G38" s="22" t="inlineStr">
        <is>
          <t>D-90</t>
        </is>
      </c>
      <c r="H38" s="43" t="inlineStr">
        <is>
          <t>공사전 선행공종에서 인수받을 사항</t>
        </is>
      </c>
      <c r="I38" s="40" t="inlineStr">
        <is>
          <t>현장 사업단 / 공무팀</t>
        </is>
      </c>
      <c r="J38" s="40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53" t="inlineStr">
        <is>
          <t>1) 설계변경 총사업비 산정 ➔ 2) 도급/위수탁 변경 변경 수속 ➔ 3) 발주처 변경 공문 수령 ➔ 4) 설계변경 정산 최종 승인</t>
        </is>
      </c>
      <c r="L38" s="40" t="inlineStr">
        <is>
          <t>설계변경 총사업비 산정, 도급/위수탁 변경 변경 수속 및 발주처 변경 공문 수령</t>
        </is>
      </c>
      <c r="M38" s="25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63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5" t="inlineStr">
        <is>
          <t>1) 설계변경 총사업비 산정 ➔ 2) 도급/위수탁 변경 변경 수속 ➔ 3) 발주처 변경 공문 수령 ➔ 4) 설계변경 정산 최종 승인</t>
        </is>
      </c>
      <c r="P38" s="64">
        <f>HYPERLINK(LEFT(CELL("filename",A1),FIND("[",CELL("filename",A1))-1)&amp;"3.지장물이설\20_이설 위치 토공 굴착\수행지침\수행지침.html", "👉 [클릭] 수행지침 열기 📄")</f>
        <v/>
      </c>
      <c r="Q38" s="27" t="inlineStr">
        <is>
          <t>설계변경 총사업비 산정, 도급/위수탁 변경 변경 수속 및 발주처 변경 공문 수령</t>
        </is>
      </c>
      <c r="R38" s="71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</row>
    <row r="39" ht="76.8" customHeight="1">
      <c r="A39" s="77" t="inlineStr">
        <is>
          <t>9000</t>
        </is>
      </c>
      <c r="B39" s="77" t="inlineStr">
        <is>
          <t>9000-3</t>
        </is>
      </c>
      <c r="C39" s="77" t="inlineStr">
        <is>
          <t>지장물이설</t>
        </is>
      </c>
      <c r="D39" s="77" t="inlineStr">
        <is>
          <t>9000-3-38</t>
        </is>
      </c>
      <c r="E39" s="79" t="inlineStr">
        <is>
          <t>9000-3-37</t>
        </is>
      </c>
      <c r="F39" s="79" t="inlineStr">
        <is>
          <t>-</t>
        </is>
      </c>
      <c r="G39" s="22" t="inlineStr">
        <is>
          <t>D+100</t>
        </is>
      </c>
      <c r="H39" s="43" t="inlineStr">
        <is>
          <t>공사중 챙겨야할 후행공종의 요구사항</t>
        </is>
      </c>
      <c r="I39" s="40" t="inlineStr">
        <is>
          <t>현장 공사팀 / 강화노반팀</t>
        </is>
      </c>
      <c r="J39" s="40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53" t="inlineStr">
        <is>
          <t>1) 선행 토공 &amp; 측량 성과 인수 ➔ 2) 현장 지장물 인계인수 ➔ 3) 3자 합동 현측 실시 ➔ 4) 인계인수서 3자 서명 완료</t>
        </is>
      </c>
      <c r="L39" s="40" t="inlineStr">
        <is>
          <t>선행 토공 및 측량 성과 인수 대장 작성, 3자 합동 현측 및 인계인수서 서명 완료</t>
        </is>
      </c>
      <c r="M39" s="25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63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25" t="inlineStr">
        <is>
          <t>1) 선행 토공 &amp; 측량 성과 인수 ➔ 2) 현장 지장물 인계인수 ➔ 3) 3자 합동 현측 실시 ➔ 4) 인계인수서 3자 서명 완료</t>
        </is>
      </c>
      <c r="P39" s="64">
        <f>HYPERLINK(LEFT(CELL("filename",A1),FIND("[",CELL("filename",A1))-1)&amp;"3.지장물이설\20_하수도 관로 이설 공사\수행지침\수행지침.html", "👉 [클릭] 수행지침 열기 📄")</f>
        <v/>
      </c>
      <c r="Q39" s="27" t="inlineStr">
        <is>
          <t>선행 토공 및 측량 성과 인수 대장 작성, 3자 합동 현측 및 인계인수서 서명 완료</t>
        </is>
      </c>
      <c r="R39" s="71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</row>
    <row r="40" ht="46.8" customHeight="1">
      <c r="N40" s="66">
        <f>HYPERLINK(LEFT(CELL("filename",A1),FIND("[",CELL("filename",A1))-1)&amp;"3.지장물이설\21_도시가스관 이설 공사\표준서\도시가스관 이설 공사_표준서.html", "👉 [클릭] 표준서 열기 📄")</f>
        <v/>
      </c>
      <c r="P40" s="67">
        <f>HYPERLINK(LEFT(CELL("filename",A1),FIND("[",CELL("filename",A1))-1)&amp;"3.지장물이설\21_도시가스관 이설 공사\수행지침\도시가스관 이설 공사_수행지침.html", "👉 [클릭] 수행지침 열기 📄")</f>
        <v/>
      </c>
      <c r="R40" s="72">
        <f>HYPERLINK(LEFT(CELL("filename",A1),FIND("[",CELL("filename",A1))-1)&amp;"3.지장물이설\21_도시가스관 이설 공사\체크리스트\도시가스관 이설 공사_체크리스트.html", "👉 [클릭] 체크리스트 열기 📄")</f>
        <v/>
      </c>
    </row>
    <row r="41" ht="46.8" customHeight="1">
      <c r="N41" s="66">
        <f>HYPERLINK(LEFT(CELL("filename",A1),FIND("[",CELL("filename",A1))-1)&amp;"3.지장물이설\21_신규관로 매설 및 설치\표준서\21_신규관로 매설 및 설치_표준서.html", "👉 [클릭] 표준서 열기 📄")</f>
        <v/>
      </c>
      <c r="P41" s="67">
        <f>HYPERLINK(LEFT(CELL("filename",A1),FIND("[",CELL("filename",A1))-1)&amp;"3.지장물이설\21_신규관로 매설 및 설치\수행지침\수행지침.html", "👉 [클릭] 수행지침 열기 📄")</f>
        <v/>
      </c>
      <c r="R41" s="72">
        <f>HYPERLINK(LEFT(CELL("filename",A1),FIND("[",CELL("filename",A1))-1)&amp;"3.지장물이설\21_신규관로 매설 및 설치\체크리스트\신규관로 매설 및 설치_체크리스트.html", "👉 [클릭] 체크리스트 열기 📄")</f>
        <v/>
      </c>
    </row>
    <row r="42" ht="46.8" customHeight="1">
      <c r="N42" s="66">
        <f>HYPERLINK(LEFT(CELL("filename",A1),FIND("[",CELL("filename",A1))-1)&amp;"3.지장물이설\22_무단수 연결을 위한 시설 설치\표준서\22_무단수 연결을 위한 시설 설치_표준서.html", "👉 [클릭] 표준서 열기 📄")</f>
        <v/>
      </c>
      <c r="P42" s="67">
        <f>HYPERLINK(LEFT(CELL("filename",A1),FIND("[",CELL("filename",A1))-1)&amp;"3.지장물이설\22_무단수 연결을 위한 시설 설치\수행지침\무단수 연결을 위한 시설 설치_수행지침.html", "👉 [클릭] 수행지침 열기 📄")</f>
        <v/>
      </c>
      <c r="R42" s="72">
        <f>HYPERLINK(LEFT(CELL("filename",A1),FIND("[",CELL("filename",A1))-1)&amp;"3.지장물이설\22_무단수 연결을 위한 시설 설치\체크리스트\무단수 연결을 위한 시설 설치_체크리스트.html", "👉 [클릭] 체크리스트 열기 📄")</f>
        <v/>
      </c>
    </row>
    <row r="43" ht="46.8" customHeight="1">
      <c r="I43" s="54" t="n"/>
      <c r="N43" s="66">
        <f>HYPERLINK(LEFT(CELL("filename",A1),FIND("[",CELL("filename",A1))-1)&amp;"3.지장물이설\22_지역난방관 이설 공사\표준서\지역난방관 이설 공사_표준서.html", "👉 [클릭] 표준서 열기 📄")</f>
        <v/>
      </c>
      <c r="P43" s="67">
        <f>HYPERLINK(LEFT(CELL("filename",A1),FIND("[",CELL("filename",A1))-1)&amp;"3.지장물이설\22_지역난방관 이설 공사\수행지침\수행지침.html", "👉 [클릭] 수행지침 열기 📄")</f>
        <v/>
      </c>
      <c r="R43" s="72">
        <f>HYPERLINK(LEFT(CELL("filename",A1),FIND("[",CELL("filename",A1))-1)&amp;"3.지장물이설\22_지역난방관 이설 공사\체크리스트\지역난방관 이설 공사_체크리스트.html", "👉 [클릭] 체크리스트 열기 📄")</f>
        <v/>
      </c>
    </row>
    <row r="44" ht="46.8" customHeight="1">
      <c r="I44" s="54" t="n"/>
      <c r="N44" s="66">
        <f>HYPERLINK(LEFT(CELL("filename",A1),FIND("[",CELL("filename",A1))-1)&amp;"3.지장물이설\23_신규관로 및 연결관로 접속\표준서\23_신규관로 및 연결관로 접속_표준서.html", "👉 [클릭] 표준서 열기 📄")</f>
        <v/>
      </c>
      <c r="P44" s="67">
        <f>HYPERLINK(LEFT(CELL("filename",A1),FIND("[",CELL("filename",A1))-1)&amp;"3.지장물이설\23_신규관로 및 연결관로 접속\수행지침\수행지침.html", "👉 [클릭] 수행지침 열기 📄")</f>
        <v/>
      </c>
      <c r="R44" s="72">
        <f>HYPERLINK(LEFT(CELL("filename",A1),FIND("[",CELL("filename",A1))-1)&amp;"3.지장물이설\23_신규관로 및 연결관로 접속\체크리스트\신규관로 및 연결관로 접속_체크리스트.html", "👉 [클릭] 체크리스트 열기 📄")</f>
        <v/>
      </c>
    </row>
    <row r="45" ht="22.8" customHeight="1">
      <c r="I45" s="56" t="n"/>
      <c r="N45" s="66">
        <f>HYPERLINK(LEFT(CELL("filename",A1),FIND("[",CELL("filename",A1))-1)&amp;"3.지장물이설\23_통신관로 및 케이블 이설 공사\표준서\통신관로 및 케이블 이설 공사_표준서.html", "👉 [클릭] 표준서 열기 📄")</f>
        <v/>
      </c>
      <c r="P45" s="67">
        <f>HYPERLINK(LEFT(CELL("filename",A1),FIND("[",CELL("filename",A1))-1)&amp;"3.지장물이설\23_통신관로 및 케이블 이설 공사\수행지침\수행지침.html", "👉 [클릭] 수행지침 열기 📄")</f>
        <v/>
      </c>
      <c r="R45" s="72">
        <f>HYPERLINK(LEFT(CELL("filename",A1),FIND("[",CELL("filename",A1))-1)&amp;"3.지장물이설\23_통신관로 및 케이블 이설 공사\체크리스트\통신관로 및 케이블 이설 공사_체크리스트.html", "👉 [클릭] 체크리스트 열기 📄")</f>
        <v/>
      </c>
    </row>
    <row r="46" ht="46.8" customHeight="1">
      <c r="I46" s="54" t="n"/>
      <c r="N46" s="66">
        <f>HYPERLINK(LEFT(CELL("filename",A1),FIND("[",CELL("filename",A1))-1)&amp;"3.지장물이설\24_기존관로 철거 및 원상복구\표준서\24_기존관로 철거 및 원상복구_표준서.html", "👉 [클릭] 표준서 열기 📄")</f>
        <v/>
      </c>
      <c r="P46" s="67">
        <f>HYPERLINK(LEFT(CELL("filename",A1),FIND("[",CELL("filename",A1))-1)&amp;"3.지장물이설\24_기존관로 철거 및 원상복구\수행지침\기존관로 철거 및 원상복구_수행지침.html", "👉 [클릭] 수행지침 열기 📄")</f>
        <v/>
      </c>
      <c r="R46" s="72">
        <f>HYPERLINK(LEFT(CELL("filename",A1),FIND("[",CELL("filename",A1))-1)&amp;"3.지장물이설\24_기존관로 철거 및 원상복구\체크리스트\기존관로 철거 및 원상복구_체크리스트.html", "👉 [클릭] 체크리스트 열기 📄")</f>
        <v/>
      </c>
    </row>
    <row r="47" ht="46.8" customHeight="1">
      <c r="I47" s="57" t="n"/>
      <c r="N47" s="66">
        <f>HYPERLINK(LEFT(CELL("filename",A1),FIND("[",CELL("filename",A1))-1)&amp;"3.지장물이설\24_특고압 전력관로 이설 공사\표준서\특고압 전력관로 이설 공사_표준서.html", "👉 [클릭] 표준서 열기 📄")</f>
        <v/>
      </c>
      <c r="P47" s="67">
        <f>HYPERLINK(LEFT(CELL("filename",A1),FIND("[",CELL("filename",A1))-1)&amp;"3.지장물이설\24_특고압 전력관로 이설 공사\수행지침\수행지침.html", "👉 [클릭] 수행지침 열기 📄")</f>
        <v/>
      </c>
      <c r="R47" s="72">
        <f>HYPERLINK(LEFT(CELL("filename",A1),FIND("[",CELL("filename",A1))-1)&amp;"3.지장물이설\24_특고압 전력관로 이설 공사\체크리스트\특고압 전력관로 이설 공사_체크리스트.html", "👉 [클릭] 체크리스트 열기 📄")</f>
        <v/>
      </c>
    </row>
    <row r="48" ht="46.8" customHeight="1">
      <c r="I48" s="57" t="n"/>
      <c r="N48" s="66">
        <f>HYPERLINK(LEFT(CELL("filename",A1),FIND("[",CELL("filename",A1))-1)&amp;"3.지장물이설\25_광역상수관 이설 공사\표준서\25_광역상수관 이설 공사_표준서.html", "👉 [클릭] 표준서 열기 📄")</f>
        <v/>
      </c>
      <c r="P48" s="67">
        <f>HYPERLINK(LEFT(CELL("filename",A1),FIND("[",CELL("filename",A1))-1)&amp;"3.지장물이설\25_광역상수관 이설 공사\수행지침\광역상수관 이설 공사_수행지침.html", "👉 [클릭] 수행지침 열기 📄")</f>
        <v/>
      </c>
      <c r="R48" s="72">
        <f>HYPERLINK(LEFT(CELL("filename",A1),FIND("[",CELL("filename",A1))-1)&amp;"3.지장물이설\25_광역상수관 이설 공사\체크리스트\광역상수관 이설 공사_체크리스트.html", "👉 [클릭] 체크리스트 열기 📄")</f>
        <v/>
      </c>
    </row>
    <row r="49" ht="22.8" customHeight="1">
      <c r="I49" s="56" t="n"/>
      <c r="N49" s="66">
        <f>HYPERLINK(LEFT(CELL("filename",A1),FIND("[",CELL("filename",A1))-1)&amp;"3.지장물이설\25_송유관 이설 공사\표준서\송유관 이설 공사_표준서.html", "👉 [클릭] 표준서 열기 📄")</f>
        <v/>
      </c>
      <c r="P49" s="67">
        <f>HYPERLINK(LEFT(CELL("filename",A1),FIND("[",CELL("filename",A1))-1)&amp;"3.지장물이설\25_송유관 이설 공사\수행지침\송유관 이설 공사_수행지침.html", "👉 [클릭] 수행지침 열기 📄")</f>
        <v/>
      </c>
      <c r="R49" s="72">
        <f>HYPERLINK(LEFT(CELL("filename",A1),FIND("[",CELL("filename",A1))-1)&amp;"3.지장물이설\25_송유관 이설 공사\체크리스트\송유관 이설 공사_체크리스트.html", "👉 [클릭] 체크리스트 열기 📄")</f>
        <v/>
      </c>
    </row>
    <row r="50" ht="46.8" customHeight="1">
      <c r="I50" s="54" t="n"/>
      <c r="N50" s="66">
        <f>HYPERLINK(LEFT(CELL("filename",A1),FIND("[",CELL("filename",A1))-1)&amp;"3.지장물이설\26_상수도 관로 이설 공사\표준서\26_상수도 관로 이설 공사_표준서.html", "👉 [클릭] 표준서 열기 📄")</f>
        <v/>
      </c>
      <c r="P50" s="67">
        <f>HYPERLINK(LEFT(CELL("filename",A1),FIND("[",CELL("filename",A1))-1)&amp;"3.지장물이설\26_상수도 관로 이설 공사\수행지침\상수도 관로 이설 공사_수행지침.html", "👉 [클릭] 수행지침 열기 📄")</f>
        <v/>
      </c>
      <c r="R50" s="72">
        <f>HYPERLINK(LEFT(CELL("filename",A1),FIND("[",CELL("filename",A1))-1)&amp;"3.지장물이설\26_상수도 관로 이설 공사\체크리스트\상수도 관로 이설 공사_체크리스트.html", "👉 [클릭] 체크리스트 열기 📄")</f>
        <v/>
      </c>
    </row>
    <row r="51" ht="46.8" customHeight="1">
      <c r="I51" s="57" t="n"/>
      <c r="N51" s="66">
        <f>HYPERLINK(LEFT(CELL("filename",A1),FIND("[",CELL("filename",A1))-1)&amp;"3.지장물이설\26_상하수도 이설 시공 최종 점검\표준서\상하수도 이설 시공 최종 점검_표준서.html", "👉 [클릭] 표준서 열기 📄")</f>
        <v/>
      </c>
      <c r="P51" s="67">
        <f>HYPERLINK(LEFT(CELL("filename",A1),FIND("[",CELL("filename",A1))-1)&amp;"3.지장물이설\26_상하수도 이설 시공 최종 점검\수행지침\상하수도 이설 시공 최종 점검_수행지침.html", "👉 [클릭] 수행지침 열기 📄")</f>
        <v/>
      </c>
      <c r="R51" s="72">
        <f>HYPERLINK(LEFT(CELL("filename",A1),FIND("[",CELL("filename",A1))-1)&amp;"3.지장물이설\26_상하수도 이설 시공 최종 점검\체크리스트\상하수도 이설 시공 최종 점검_체크리스트.html", "👉 [클릭] 체크리스트 열기 📄")</f>
        <v/>
      </c>
    </row>
    <row r="52" ht="46.8" customHeight="1">
      <c r="I52" s="57" t="n"/>
      <c r="N52" s="66">
        <f>HYPERLINK(LEFT(CELL("filename",A1),FIND("[",CELL("filename",A1))-1)&amp;"3.지장물이설\27_위수탁 지하지장물 이설 최종 점검\표준서\위수탁 지하지장물 이설 최종 점검_표준서.html", "👉 [클릭] 표준서 열기 📄")</f>
        <v/>
      </c>
      <c r="P52" s="67">
        <f>HYPERLINK(LEFT(CELL("filename",A1),FIND("[",CELL("filename",A1))-1)&amp;"3.지장물이설\27_위수탁 지하지장물 이설 최종 점검\수행지침\수행지침.html", "👉 [클릭] 수행지침 열기 📄")</f>
        <v/>
      </c>
      <c r="R52" s="72">
        <f>HYPERLINK(LEFT(CELL("filename",A1),FIND("[",CELL("filename",A1))-1)&amp;"3.지장물이설\27_위수탁 지하지장물 이설 최종 점검\체크리스트\위수탁 지하지장물 이설 최종 점검_체크리스트.html", "👉 [클릭] 체크리스트 열기 📄")</f>
        <v/>
      </c>
    </row>
    <row r="53" ht="22.8" customHeight="1">
      <c r="I53" s="56" t="n"/>
      <c r="N53" s="66">
        <f>HYPERLINK(LEFT(CELL("filename",A1),FIND("[",CELL("filename",A1))-1)&amp;"3.지장물이설\27_하수도 관로 이설 공사\표준서\27_하수도 관로 이설 공사_표준서.html", "👉 [클릭] 표준서 열기 📄")</f>
        <v/>
      </c>
      <c r="P53" s="67">
        <f>HYPERLINK(LEFT(CELL("filename",A1),FIND("[",CELL("filename",A1))-1)&amp;"3.지장물이설\27_하수도 관로 이설 공사\수행지침\수행지침.html", "👉 [클릭] 수행지침 열기 📄")</f>
        <v/>
      </c>
      <c r="R53" s="72">
        <f>HYPERLINK(LEFT(CELL("filename",A1),FIND("[",CELL("filename",A1))-1)&amp;"3.지장물이설\27_하수도 관로 이설 공사\체크리스트\하수도 관로 이설 공사_체크리스트.html", "👉 [클릭] 체크리스트 열기 📄")</f>
        <v/>
      </c>
    </row>
    <row r="54" ht="46.8" customHeight="1">
      <c r="I54" s="54" t="n"/>
      <c r="N54" s="66">
        <f>HYPERLINK(LEFT(CELL("filename",A1),FIND("[",CELL("filename",A1))-1)&amp;"3.지장물이설\28_도시가스관 이설 공사\표준서\28_도시가스관 이설 공사_표준서.html", "👉 [클릭] 표준서 열기 📄")</f>
        <v/>
      </c>
      <c r="P54" s="67">
        <f>HYPERLINK(LEFT(CELL("filename",A1),FIND("[",CELL("filename",A1))-1)&amp;"3.지장물이설\28_도시가스관 이설 공사\수행지침\도시가스관 이설 공사_수행지침.html", "👉 [클릭] 수행지침 열기 📄")</f>
        <v/>
      </c>
      <c r="R54" s="72">
        <f>HYPERLINK(LEFT(CELL("filename",A1),FIND("[",CELL("filename",A1))-1)&amp;"3.지장물이설\28_도시가스관 이설 공사\체크리스트\도시가스관 이설 공사_체크리스트.html", "👉 [클릭] 체크리스트 열기 📄")</f>
        <v/>
      </c>
    </row>
    <row r="55" ht="46.8" customHeight="1">
      <c r="I55" s="57" t="n"/>
      <c r="N55" s="66">
        <f>HYPERLINK(LEFT(CELL("filename",A1),FIND("[",CELL("filename",A1))-1)&amp;"3.지장물이설\28_상하수도 이설 정산 금액 검토\표준서\상하수도 이설 정산 금액 검토_표준서.html", "👉 [클릭] 표준서 열기 📄")</f>
        <v/>
      </c>
      <c r="P55" s="67">
        <f>HYPERLINK(LEFT(CELL("filename",A1),FIND("[",CELL("filename",A1))-1)&amp;"3.지장물이설\28_상하수도 이설 정산 금액 검토\수행지침\상하수도 이설 정산 금액 검토_수행지침.html", "👉 [클릭] 수행지침 열기 📄")</f>
        <v/>
      </c>
      <c r="R55" s="72">
        <f>HYPERLINK(LEFT(CELL("filename",A1),FIND("[",CELL("filename",A1))-1)&amp;"3.지장물이설\28_상하수도 이설 정산 금액 검토\체크리스트\상하수도 이설 정산 금액 검토_체크리스트.html", "👉 [클릭] 체크리스트 열기 📄")</f>
        <v/>
      </c>
    </row>
    <row r="56" ht="46.8" customHeight="1">
      <c r="I56" s="57" t="n"/>
      <c r="N56" s="66">
        <f>HYPERLINK(LEFT(CELL("filename",A1),FIND("[",CELL("filename",A1))-1)&amp;"3.지장물이설\29_위수탁 처리 정산금액 지급\표준서\위수탁 처리 정산금액 지급_표준서.html", "👉 [클릭] 표준서 열기 📄")</f>
        <v/>
      </c>
      <c r="P56" s="67">
        <f>HYPERLINK(LEFT(CELL("filename",A1),FIND("[",CELL("filename",A1))-1)&amp;"3.지장물이설\29_위수탁 처리 정산금액 지급\수행지침\수행지침.html", "👉 [클릭] 수행지침 열기 📄")</f>
        <v/>
      </c>
      <c r="R56" s="72">
        <f>HYPERLINK(LEFT(CELL("filename",A1),FIND("[",CELL("filename",A1))-1)&amp;"3.지장물이설\29_위수탁 처리 정산금액 지급\체크리스트\위수탁 처리 정산금액 지급_체크리스트.html", "👉 [클릭] 체크리스트 열기 📄")</f>
        <v/>
      </c>
    </row>
    <row r="57" ht="22.8" customHeight="1">
      <c r="I57" s="56" t="n"/>
      <c r="N57" s="66">
        <f>HYPERLINK(LEFT(CELL("filename",A1),FIND("[",CELL("filename",A1))-1)&amp;"3.지장물이설\29_지역난방관 이설 공사\표준서\29_지역난방관 이설 공사_표준서.html", "👉 [클릭] 표준서 열기 📄")</f>
        <v/>
      </c>
      <c r="P57" s="67">
        <f>HYPERLINK(LEFT(CELL("filename",A1),FIND("[",CELL("filename",A1))-1)&amp;"3.지장물이설\29_지역난방관 이설 공사\수행지침\수행지침.html", "👉 [클릭] 수행지침 열기 📄")</f>
        <v/>
      </c>
      <c r="R57" s="72">
        <f>HYPERLINK(LEFT(CELL("filename",A1),FIND("[",CELL("filename",A1))-1)&amp;"3.지장물이설\29_지역난방관 이설 공사\체크리스트\지역난방관 이설 공사_체크리스트.html", "👉 [클릭] 체크리스트 열기 📄")</f>
        <v/>
      </c>
    </row>
    <row r="58" ht="46.8" customHeight="1">
      <c r="I58" s="54" t="n"/>
      <c r="N58" s="66">
        <f>HYPERLINK(LEFT(CELL("filename",A1),FIND("[",CELL("filename",A1))-1)&amp;"3.지장물이설\30_도급자분_위수탁분 설계변경 정산\표준서\도급자분_위수탁분 설계변경 정산_표준서.html", "👉 [클릭] 표준서 열기 📄")</f>
        <v/>
      </c>
      <c r="P58" s="67">
        <f>HYPERLINK(LEFT(CELL("filename",A1),FIND("[",CELL("filename",A1))-1)&amp;"3.지장물이설\30_도급자분_위수탁분 설계변경 정산\수행지침\도급자분 이설업체 선정(상_하수)_수행지침.html", "👉 [클릭] 수행지침 열기 📄")</f>
        <v/>
      </c>
      <c r="R58" s="72">
        <f>HYPERLINK(LEFT(CELL("filename",A1),FIND("[",CELL("filename",A1))-1)&amp;"3.지장물이설\30_도급자분_위수탁분 설계변경 정산\체크리스트\도급자분_위수탁분 설계변경 정산_체크리스트.html", "👉 [클릭] 체크리스트 열기 📄")</f>
        <v/>
      </c>
    </row>
    <row r="59" ht="46.8" customHeight="1">
      <c r="I59" s="57" t="n"/>
      <c r="N59" s="66">
        <f>HYPERLINK(LEFT(CELL("filename",A1),FIND("[",CELL("filename",A1))-1)&amp;"3.지장물이설\30_통신관로 및 케이블 이설 공사\표준서\30_통신관로 및 케이블 이설 공사_표준서.html", "👉 [클릭] 표준서 열기 📄")</f>
        <v/>
      </c>
      <c r="P59" s="67">
        <f>HYPERLINK(LEFT(CELL("filename",A1),FIND("[",CELL("filename",A1))-1)&amp;"3.지장물이설\30_통신관로 및 케이블 이설 공사\수행지침\수행지침.html", "👉 [클릭] 수행지침 열기 📄")</f>
        <v/>
      </c>
      <c r="R59" s="72">
        <f>HYPERLINK(LEFT(CELL("filename",A1),FIND("[",CELL("filename",A1))-1)&amp;"3.지장물이설\30_통신관로 및 케이블 이설 공사\체크리스트\통신관로 및 케이블 이설 공사_체크리스트.html", "👉 [클릭] 체크리스트 열기 📄")</f>
        <v/>
      </c>
    </row>
    <row r="60" ht="46.8" customHeight="1">
      <c r="I60" s="57" t="n"/>
      <c r="N60" s="66">
        <f>HYPERLINK(LEFT(CELL("filename",A1),FIND("[",CELL("filename",A1))-1)&amp;"3.지장물이설\31_특고압 전력관로 이설 공사\표준서\31_특고압 전력관로 이설 공사_표준서.html", "👉 [클릭] 표준서 열기 📄")</f>
        <v/>
      </c>
      <c r="P60" s="67">
        <f>HYPERLINK(LEFT(CELL("filename",A1),FIND("[",CELL("filename",A1))-1)&amp;"3.지장물이설\31_특고압 전력관로 이설 공사\수행지침\수행지침.html", "👉 [클릭] 수행지침 열기 📄")</f>
        <v/>
      </c>
      <c r="R60" s="72">
        <f>HYPERLINK(LEFT(CELL("filename",A1),FIND("[",CELL("filename",A1))-1)&amp;"3.지장물이설\31_특고압 전력관로 이설 공사\체크리스트\특고압 전력관로 이설 공사_체크리스트.html", "👉 [클릭] 체크리스트 열기 📄")</f>
        <v/>
      </c>
    </row>
    <row r="61" ht="46.8" customHeight="1">
      <c r="I61" s="57" t="n"/>
      <c r="N61" s="66">
        <f>HYPERLINK(LEFT(CELL("filename",A1),FIND("[",CELL("filename",A1))-1)&amp;"3.지장물이설\32_송유관 이설 공사\표준서\32_송유관 이설 공사_표준서.html", "👉 [클릭] 표준서 열기 📄")</f>
        <v/>
      </c>
      <c r="P61" s="67">
        <f>HYPERLINK(LEFT(CELL("filename",A1),FIND("[",CELL("filename",A1))-1)&amp;"3.지장물이설\32_송유관 이설 공사\수행지침\상하수도 이설 시공 최종 점검_수행지침.html", "👉 [클릭] 수행지침 열기 📄")</f>
        <v/>
      </c>
      <c r="R61" s="72">
        <f>HYPERLINK(LEFT(CELL("filename",A1),FIND("[",CELL("filename",A1))-1)&amp;"3.지장물이설\32_송유관 이설 공사\체크리스트\상하수도 이설 시공 최종 점검_체크리스트.html", "👉 [클릭] 체크리스트 열기 📄")</f>
        <v/>
      </c>
    </row>
    <row r="62" ht="46.8" customHeight="1">
      <c r="I62" s="58" t="n"/>
      <c r="N62" s="66">
        <f>HYPERLINK(LEFT(CELL("filename",A1),FIND("[",CELL("filename",A1))-1)&amp;"3.지장물이설\33_상하수도 이설 시공 최종 점검\표준서\33_상하수도 이설 시공 최종 점검_표준서.html", "👉 [클릭] 표준서 열기 📄")</f>
        <v/>
      </c>
      <c r="P62" s="67">
        <f>HYPERLINK(LEFT(CELL("filename",A1),FIND("[",CELL("filename",A1))-1)&amp;"3.지장물이설\33_상하수도 이설 시공 최종 점검\수행지침\상하수도 이설 시공 최종 점검_수행지침.html", "👉 [클릭] 수행지침 열기 📄")</f>
        <v/>
      </c>
      <c r="R62" s="72">
        <f>HYPERLINK(LEFT(CELL("filename",A1),FIND("[",CELL("filename",A1))-1)&amp;"3.지장물이설\33_상하수도 이설 시공 최종 점검\체크리스트\위수탁 지하지장물 이설 최종 점검_체크리스트.html", "👉 [클릭] 체크리스트 열기 📄")</f>
        <v/>
      </c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4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S39"/>
  <sheetViews>
    <sheetView view="pageBreakPreview" zoomScale="25" zoomScaleNormal="55" zoomScaleSheetLayoutView="25"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S28" sqref="S28"/>
    </sheetView>
  </sheetViews>
  <sheetFormatPr baseColWidth="8" defaultRowHeight="19.2"/>
  <cols>
    <col width="8.796875" customWidth="1" style="40" min="1" max="2"/>
    <col width="17.09765625" customWidth="1" style="22" min="3" max="3"/>
    <col width="16" customWidth="1" style="22" min="4" max="6"/>
    <col width="23.296875" customWidth="1" style="43" min="7" max="7"/>
    <col width="26.09765625" customWidth="1" style="22" min="8" max="8"/>
    <col width="21.09765625" customWidth="1" style="22" min="9" max="9"/>
    <col width="51.59765625" customWidth="1" style="40" min="10" max="11"/>
    <col width="24" customWidth="1" style="40" min="12" max="12"/>
    <col width="45" customWidth="1" style="40" min="13" max="13"/>
    <col width="14.3984375" customWidth="1" style="40" min="14" max="14"/>
    <col width="45" customWidth="1" style="40" min="15" max="15"/>
    <col width="14.3984375" customWidth="1" style="40" min="16" max="16"/>
    <col width="45" customWidth="1" style="40" min="17" max="17"/>
    <col width="11.8984375" customWidth="1" style="40" min="18" max="18"/>
    <col width="18.09765625" customWidth="1" style="40" min="19" max="19"/>
    <col width="45" customWidth="1" style="40" min="20" max="34"/>
    <col width="8.796875" customWidth="1" style="40" min="35" max="72"/>
    <col width="8.796875" customWidth="1" style="40" min="73" max="16384"/>
  </cols>
  <sheetData>
    <row r="1" ht="76.8" customFormat="1" customHeight="1" s="22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일정 (D-Day)</t>
        </is>
      </c>
      <c r="H1" s="12" t="inlineStr">
        <is>
          <t>작업단위 (Level 4 Task/Activity)</t>
        </is>
      </c>
      <c r="I1" s="12" t="inlineStr">
        <is>
          <t>주관</t>
        </is>
      </c>
      <c r="J1" s="12" t="inlineStr">
        <is>
          <t>목적</t>
        </is>
      </c>
      <c r="K1" s="12" t="inlineStr">
        <is>
          <t>방법</t>
        </is>
      </c>
      <c r="L1" s="12" t="inlineStr">
        <is>
          <t>산출물(결과)</t>
        </is>
      </c>
      <c r="M1" s="12" t="inlineStr">
        <is>
          <t>표준서 (Standard) 요약</t>
        </is>
      </c>
      <c r="N1" s="14" t="inlineStr">
        <is>
          <t>표준서 파일 (HTML)</t>
        </is>
      </c>
      <c r="O1" s="12" t="inlineStr">
        <is>
          <t>수행지침 (Guideline) 요약</t>
        </is>
      </c>
      <c r="P1" s="14" t="inlineStr">
        <is>
          <t>수행지침 파일 (HTML)</t>
        </is>
      </c>
      <c r="Q1" s="12" t="inlineStr">
        <is>
          <t>체크리스트 (Checklist) 요약</t>
        </is>
      </c>
      <c r="R1" s="14" t="inlineStr">
        <is>
          <t>체크리스트 파일 (HTML)</t>
        </is>
      </c>
      <c r="S1" s="12" t="inlineStr">
        <is>
          <t xml:space="preserve"> 비고</t>
        </is>
      </c>
    </row>
    <row r="2" ht="118.8" customHeight="1">
      <c r="A2" s="77" t="inlineStr">
        <is>
          <t>9000</t>
        </is>
      </c>
      <c r="B2" s="77" t="inlineStr">
        <is>
          <t>9000-4</t>
        </is>
      </c>
      <c r="C2" s="77" t="inlineStr">
        <is>
          <t>상부강화노반</t>
        </is>
      </c>
      <c r="D2" s="77" t="inlineStr">
        <is>
          <t>9000-4-1</t>
        </is>
      </c>
      <c r="E2" s="79" t="inlineStr">
        <is>
          <t>-</t>
        </is>
      </c>
      <c r="F2" s="79" t="inlineStr">
        <is>
          <t>9000-4-2</t>
        </is>
      </c>
      <c r="G2" s="45" t="inlineStr">
        <is>
          <t>D-100</t>
        </is>
      </c>
      <c r="H2" s="45" t="inlineStr">
        <is>
          <t>지반조사 상세검토</t>
        </is>
      </c>
      <c r="I2" s="45" t="inlineStr">
        <is>
          <t>현장 공사팀</t>
        </is>
      </c>
      <c r="J2" s="47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47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47" t="inlineStr">
        <is>
          <t>시추 주상도 대조, GPR 지중 탐사 3D 매핑 및 N치 &lt; 4 연약지반 층후 경출 (PVD/DCM 개량 승인)</t>
        </is>
      </c>
      <c r="M2" s="47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63">
        <f>HYPERLINK(LEFT(CELL("filename",A1),FIND("[",CELL("filename",A1))-1)&amp;"4.상부강화노반\1_지반조사 상세검토\표준서\지반조사 상세검토_표준서.html", "👉 [클릭] 표준서 열기 📄")</f>
        <v/>
      </c>
      <c r="O2" s="47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64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47" t="inlineStr">
        <is>
          <t>시추 주상도 대조, GPR 지중 탐사 3D 매핑 및 N치 &lt; 4 연약지반 층후 경출 (PVD/DCM 개량 승인)</t>
        </is>
      </c>
      <c r="R2" s="71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45" t="n"/>
    </row>
    <row r="3" ht="166.2" customHeight="1">
      <c r="A3" s="77" t="inlineStr">
        <is>
          <t>9000</t>
        </is>
      </c>
      <c r="B3" s="77" t="inlineStr">
        <is>
          <t>9000-4</t>
        </is>
      </c>
      <c r="C3" s="77" t="inlineStr">
        <is>
          <t>상부강화노반</t>
        </is>
      </c>
      <c r="D3" s="77" t="inlineStr">
        <is>
          <t>9000-4-2</t>
        </is>
      </c>
      <c r="E3" s="79" t="inlineStr">
        <is>
          <t>9000-4-1</t>
        </is>
      </c>
      <c r="F3" s="79" t="inlineStr">
        <is>
          <t>9000-4-3</t>
        </is>
      </c>
      <c r="G3" s="45" t="inlineStr">
        <is>
          <t>D-70</t>
        </is>
      </c>
      <c r="H3" s="45" t="inlineStr">
        <is>
          <t>발주전략 KOM</t>
        </is>
      </c>
      <c r="I3" s="45" t="inlineStr">
        <is>
          <t>현장소장</t>
        </is>
      </c>
      <c r="J3" s="47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47" t="inlineStr">
        <is>
          <t>1) 발주처 시방서 요구조건 분석 ➔ 2) 3D BIM 도면 표고/구배 검증 ➔ 3) 지장물/용지 리스크 예비비 수립 ➔ 4) 발주·감리·시공 3자 킥오프 결재</t>
        </is>
      </c>
      <c r="L3" s="47" t="inlineStr">
        <is>
          <t>KCS 47 10 25 시방 검토, 쇄석 입도 50mm/다짐도 95% 명시 및 3D BIM 도면 대조 (발주전략 킥오프 결재)</t>
        </is>
      </c>
      <c r="M3" s="47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63">
        <f>HYPERLINK(LEFT(CELL("filename",A1),FIND("[",CELL("filename",A1))-1)&amp;"4.상부강화노반\2_발주전략 KOM\표준서\발주전략 KOM_표준서.html", "👉 [클릭] 표준서 열기 📄")</f>
        <v/>
      </c>
      <c r="O3" s="47" t="inlineStr">
        <is>
          <t>1) 발주처 시방서 요구조건 분석 ➔ 2) 3D BIM 도면 표고/구배 검증 ➔ 3) 지장물/용지 리스크 예비비 수립 ➔ 4) 발주·감리·시공 3자 킥오프 결재</t>
        </is>
      </c>
      <c r="P3" s="64">
        <f>HYPERLINK(LEFT(CELL("filename",A1),FIND("[",CELL("filename",A1))-1)&amp;"4.상부강화노반\2_발주전략 KOM\수행지침\발주전략 KOM_수행지침.html", "👉 [클릭] 수행지침 열기 📄")</f>
        <v/>
      </c>
      <c r="Q3" s="47" t="inlineStr">
        <is>
          <t>KCS 47 10 25 시방 검토, 쇄석 입도 50mm/다짐도 95% 명시 및 3D BIM 도면 대조 (발주전략 킥오프 결재)</t>
        </is>
      </c>
      <c r="R3" s="71">
        <f>HYPERLINK(LEFT(CELL("filename",A1),FIND("[",CELL("filename",A1))-1)&amp;"4.상부강화노반\2_발주전략 KOM\체크리스트\발주전략 KOM_체크리스트.html", "👉 [클릭] 체크리스트 열기 📄")</f>
        <v/>
      </c>
      <c r="S3" s="45" t="n"/>
    </row>
    <row r="4" ht="96" customHeight="1">
      <c r="A4" s="77" t="inlineStr">
        <is>
          <t>9000</t>
        </is>
      </c>
      <c r="B4" s="77" t="inlineStr">
        <is>
          <t>9000-4</t>
        </is>
      </c>
      <c r="C4" s="77" t="inlineStr">
        <is>
          <t>상부강화노반</t>
        </is>
      </c>
      <c r="D4" s="77" t="inlineStr">
        <is>
          <t>9000-4-3</t>
        </is>
      </c>
      <c r="E4" s="79" t="inlineStr">
        <is>
          <t>9000-4-2</t>
        </is>
      </c>
      <c r="F4" s="79" t="inlineStr">
        <is>
          <t>9000-4-4</t>
        </is>
      </c>
      <c r="G4" s="45" t="inlineStr">
        <is>
          <t>D-60 (D-70~D-60)</t>
        </is>
      </c>
      <c r="H4" s="45" t="inlineStr">
        <is>
          <t>철도보호지구에서의 행위신고(필요시)</t>
        </is>
      </c>
      <c r="I4" s="45" t="inlineStr">
        <is>
          <t>현장 공사팀</t>
        </is>
      </c>
      <c r="J4" s="47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47" t="inlineStr">
        <is>
          <t>1) 궤도 중심 30m 법정 경계 측량 ➔ 2) 행위신고서/안전계획서 접수 ➔ 3) 관할 철도운영기관 기술 심의 ➔ 4) 운행선안전관리자 현장 1:1 배치</t>
        </is>
      </c>
      <c r="L4" s="47" t="inlineStr">
        <is>
          <t>궤도 중심 30m 법정 경계 측량(오차 ≤ 5mm), 행위신고서 접수 및 운행선안전관리자 1:1 현장 배치</t>
        </is>
      </c>
      <c r="M4" s="47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63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47" t="inlineStr">
        <is>
          <t>1) 궤도 중심 30m 법정 경계 측량 ➔ 2) 행위신고서/안전계획서 접수 ➔ 3) 관할 철도운영기관 기술 심의 ➔ 4) 운행선안전관리자 현장 1:1 배치</t>
        </is>
      </c>
      <c r="P4" s="64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47" t="inlineStr">
        <is>
          <t>궤도 중심 30m 법정 경계 측량(오차 ≤ 5mm), 행위신고서 접수 및 운행선안전관리자 1:1 현장 배치</t>
        </is>
      </c>
      <c r="R4" s="71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45" t="n"/>
    </row>
    <row r="5" ht="96" customHeight="1">
      <c r="A5" s="77" t="inlineStr">
        <is>
          <t>9000</t>
        </is>
      </c>
      <c r="B5" s="77" t="inlineStr">
        <is>
          <t>9000-4</t>
        </is>
      </c>
      <c r="C5" s="77" t="inlineStr">
        <is>
          <t>상부강화노반</t>
        </is>
      </c>
      <c r="D5" s="77" t="inlineStr">
        <is>
          <t>9000-4-4</t>
        </is>
      </c>
      <c r="E5" s="79" t="inlineStr">
        <is>
          <t>9000-4-3</t>
        </is>
      </c>
      <c r="F5" s="79" t="inlineStr">
        <is>
          <t>9000-4-5</t>
        </is>
      </c>
      <c r="G5" s="45" t="inlineStr">
        <is>
          <t>D-35 (D-60~D-35)</t>
        </is>
      </c>
      <c r="H5" s="45" t="inlineStr">
        <is>
          <t>착수전 측량 Data 확인</t>
        </is>
      </c>
      <c r="I5" s="45" t="inlineStr">
        <is>
          <t>현장 공사팀</t>
        </is>
      </c>
      <c r="J5" s="47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47" t="inlineStr">
        <is>
          <t>1) 국가 CP/TBM 기준점 인수 ➔ 2) GRS80 수준측량(폐합오차 ≤ 5mm√K) ➔ 3) 현장 인조점 3개소 매설 ➔ 4) 측량 성과표 작성 &amp; 3D BIM 승인</t>
        </is>
      </c>
      <c r="L5" s="47" t="inlineStr">
        <is>
          <t>국가 CP/TBM 기준점 인수, GRS80 수준측량(폐합오차 ≤ 5mm√K) 및 현장 인조점 3개소 매설 성과</t>
        </is>
      </c>
      <c r="M5" s="47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63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47" t="inlineStr">
        <is>
          <t>1) 국가 CP/TBM 기준점 인수 ➔ 2) GRS80 수준측량(폐합오차 ≤ 5mm√K) ➔ 3) 현장 인조점 3개소 매설 ➔ 4) 측량 성과표 작성 &amp; 3D BIM 승인</t>
        </is>
      </c>
      <c r="P5" s="64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47" t="inlineStr">
        <is>
          <t>국가 CP/TBM 기준점 인수, GRS80 수준측량(폐합오차 ≤ 5mm√K) 및 현장 인조점 3개소 매설 성과</t>
        </is>
      </c>
      <c r="R5" s="71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45" t="n"/>
    </row>
    <row r="6" ht="96" customHeight="1">
      <c r="A6" s="77" t="inlineStr">
        <is>
          <t>9000</t>
        </is>
      </c>
      <c r="B6" s="77" t="inlineStr">
        <is>
          <t>9000-4</t>
        </is>
      </c>
      <c r="C6" s="77" t="inlineStr">
        <is>
          <t>상부강화노반</t>
        </is>
      </c>
      <c r="D6" s="77" t="inlineStr">
        <is>
          <t>9000-4-5</t>
        </is>
      </c>
      <c r="E6" s="79" t="inlineStr">
        <is>
          <t>9000-4-4</t>
        </is>
      </c>
      <c r="F6" s="79" t="inlineStr">
        <is>
          <t>9000-4-6</t>
        </is>
      </c>
      <c r="G6" s="45" t="inlineStr">
        <is>
          <t>D-40 (D-60~D-40)</t>
        </is>
      </c>
      <c r="H6" s="45" t="inlineStr">
        <is>
          <t>지장물이설 협의</t>
        </is>
      </c>
      <c r="I6" s="45" t="inlineStr">
        <is>
          <t>현장 공사팀</t>
        </is>
      </c>
      <c r="J6" s="47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47" t="inlineStr">
        <is>
          <t>1) GPR 3D 지중 관로 탐사 ➔ 2) 인력 시탐 줄파기(깊이 1.5m) ➔ 3) 관할 점용기관 1:1 현장 입회 ➔ 4) 매달기 방호 &amp; 지장물 이설 완료 승인</t>
        </is>
      </c>
      <c r="L6" s="47" t="inlineStr">
        <is>
          <t>GPR 3D 관로 탐사, 인력 시탐 줄파기(깊이 1.5m) 및 점용기관 1:1 현장 입회 매달기 방호</t>
        </is>
      </c>
      <c r="M6" s="47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63">
        <f>HYPERLINK(LEFT(CELL("filename",A1),FIND("[",CELL("filename",A1))-1)&amp;"4.상부강화노반\5_지장물이설 협의\표준서\지장물이설 협의_표준서.html", "👉 [클릭] 표준서 열기 📄")</f>
        <v/>
      </c>
      <c r="O6" s="47" t="inlineStr">
        <is>
          <t>1) GPR 3D 지중 관로 탐사 ➔ 2) 인력 시탐 줄파기(깊이 1.5m) ➔ 3) 관할 점용기관 1:1 현장 입회 ➔ 4) 매달기 방호 &amp; 지장물 이설 완료 승인</t>
        </is>
      </c>
      <c r="P6" s="64">
        <f>HYPERLINK(LEFT(CELL("filename",A1),FIND("[",CELL("filename",A1))-1)&amp;"4.상부강화노반\5_지장물이설 협의\수행지침\지장물이설 협의_수행지침.html", "👉 [클릭] 수행지침 열기 📄")</f>
        <v/>
      </c>
      <c r="Q6" s="47" t="inlineStr">
        <is>
          <t>GPR 3D 관로 탐사, 인력 시탐 줄파기(깊이 1.5m) 및 점용기관 1:1 현장 입회 매달기 방호</t>
        </is>
      </c>
      <c r="R6" s="71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45" t="n"/>
    </row>
    <row r="7" ht="96" customHeight="1">
      <c r="A7" s="77" t="inlineStr">
        <is>
          <t>9000</t>
        </is>
      </c>
      <c r="B7" s="77" t="inlineStr">
        <is>
          <t>9000-4</t>
        </is>
      </c>
      <c r="C7" s="77" t="inlineStr">
        <is>
          <t>상부강화노반</t>
        </is>
      </c>
      <c r="D7" s="77" t="inlineStr">
        <is>
          <t>9000-4-6</t>
        </is>
      </c>
      <c r="E7" s="79" t="inlineStr">
        <is>
          <t>9000-4-5</t>
        </is>
      </c>
      <c r="F7" s="79" t="inlineStr">
        <is>
          <t>9000-4-7</t>
        </is>
      </c>
      <c r="G7" s="45" t="inlineStr">
        <is>
          <t>D-40 (D-60~D-40)</t>
        </is>
      </c>
      <c r="H7" s="45" t="inlineStr">
        <is>
          <t>용지보상RISK 검토</t>
        </is>
      </c>
      <c r="I7" s="45" t="inlineStr">
        <is>
          <t>현장 공사팀</t>
        </is>
      </c>
      <c r="J7" s="47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47" t="inlineStr">
        <is>
          <t>1) 미보상 사유지 필지 추출 ➔ 2) 경계 가설 펜스(H=1.8m) 차단 ➔ 3) 3D 우회 토공 동선 수립 ➔ 4) 용지 보상 리스크 대책 감리 승인</t>
        </is>
      </c>
      <c r="L7" s="47" t="inlineStr">
        <is>
          <t>미보상 사유지 경계 현출, 가설 펜스(H=1.8m) 차단 및 3D 우회 토공 동선 마일스톤 연동</t>
        </is>
      </c>
      <c r="M7" s="47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63">
        <f>HYPERLINK(LEFT(CELL("filename",A1),FIND("[",CELL("filename",A1))-1)&amp;"4.상부강화노반\6_용지보상RISK 검토\표준서\용지보상RISK 검토_표준서.html", "👉 [클릭] 표준서 열기 📄")</f>
        <v/>
      </c>
      <c r="O7" s="47" t="inlineStr">
        <is>
          <t>1) 미보상 사유지 필지 추출 ➔ 2) 경계 가설 펜스(H=1.8m) 차단 ➔ 3) 3D 우회 토공 동선 수립 ➔ 4) 용지 보상 리스크 대책 감리 승인</t>
        </is>
      </c>
      <c r="P7" s="64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47" t="inlineStr">
        <is>
          <t>미보상 사유지 경계 현출, 가설 펜스(H=1.8m) 차단 및 3D 우회 토공 동선 마일스톤 연동</t>
        </is>
      </c>
      <c r="R7" s="71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45" t="n"/>
    </row>
    <row r="8" ht="96" customHeight="1">
      <c r="A8" s="77" t="inlineStr">
        <is>
          <t>9000</t>
        </is>
      </c>
      <c r="B8" s="77" t="inlineStr">
        <is>
          <t>9000-4</t>
        </is>
      </c>
      <c r="C8" s="77" t="inlineStr">
        <is>
          <t>상부강화노반</t>
        </is>
      </c>
      <c r="D8" s="77" t="inlineStr">
        <is>
          <t>9000-4-7</t>
        </is>
      </c>
      <c r="E8" s="79" t="inlineStr">
        <is>
          <t>9000-4-6</t>
        </is>
      </c>
      <c r="F8" s="79" t="inlineStr">
        <is>
          <t>9000-4-8</t>
        </is>
      </c>
      <c r="G8" s="45" t="inlineStr">
        <is>
          <t>D-50 (D-60~D-50)</t>
        </is>
      </c>
      <c r="H8" s="45" t="inlineStr">
        <is>
          <t>최고의 팀 만들기 지원</t>
        </is>
      </c>
      <c r="I8" s="45" t="inlineStr">
        <is>
          <t>현장 공사팀</t>
        </is>
      </c>
      <c r="J8" s="47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47" t="inlineStr">
        <is>
          <t>1) 전담 기술자 1:1 배치 ➔ 2) 3자 주간 소통 회의 개최 ➔ 3) 근로자 환경 개선 &amp; TBM ➔ 4) One-Team 전담 조직표 서면 승인</t>
        </is>
      </c>
      <c r="L8" s="47" t="inlineStr">
        <is>
          <t>토공 전담 기술자 1:1 배치, 발주·감리·시공 3자 주간 소통 회의 및 일일 TBM/복지 지원</t>
        </is>
      </c>
      <c r="M8" s="47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63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47" t="inlineStr">
        <is>
          <t>1) 전담 기술자 1:1 배치 ➔ 2) 3자 주간 소통 회의 개최 ➔ 3) 근로자 환경 개선 &amp; TBM ➔ 4) One-Team 전담 조직표 서면 승인</t>
        </is>
      </c>
      <c r="P8" s="64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47" t="inlineStr">
        <is>
          <t>토공 전담 기술자 1:1 배치, 발주·감리·시공 3자 주간 소통 회의 및 일일 TBM/복지 지원</t>
        </is>
      </c>
      <c r="R8" s="71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45" t="n"/>
    </row>
    <row r="9" ht="96" customHeight="1">
      <c r="A9" s="77" t="inlineStr">
        <is>
          <t>9000</t>
        </is>
      </c>
      <c r="B9" s="77" t="inlineStr">
        <is>
          <t>9000-4</t>
        </is>
      </c>
      <c r="C9" s="77" t="inlineStr">
        <is>
          <t>상부강화노반</t>
        </is>
      </c>
      <c r="D9" s="77" t="inlineStr">
        <is>
          <t>9000-4-8</t>
        </is>
      </c>
      <c r="E9" s="79" t="inlineStr">
        <is>
          <t>9000-4-7</t>
        </is>
      </c>
      <c r="F9" s="79" t="inlineStr">
        <is>
          <t>9000-4-9</t>
        </is>
      </c>
      <c r="G9" s="45" t="inlineStr">
        <is>
          <t>D-35 (D-60~D-40)</t>
        </is>
      </c>
      <c r="H9" s="45" t="inlineStr">
        <is>
          <t>연약지반 처리공법 검토(필요시)</t>
        </is>
      </c>
      <c r="I9" s="45" t="inlineStr">
        <is>
          <t>현장 공사팀</t>
        </is>
      </c>
      <c r="J9" s="47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47" t="inlineStr">
        <is>
          <t>1) 시공계획서 표준 8대 목차 작성 ➔ 2) KCS 47 10 25 수치 명시 ➔ 3) 착공 14일 전 감리단 제출 ➔ 4) 책임감리원 최종 서면 승인</t>
        </is>
      </c>
      <c r="L9" s="47" t="inlineStr">
        <is>
          <t>시공계획서 표준 8대 목차, KCS 47 10 25 다짐 수칙 수록 및 착공 14일 전 감리 서면 승인</t>
        </is>
      </c>
      <c r="M9" s="47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63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47" t="inlineStr">
        <is>
          <t>1) 시공계획서 표준 8대 목차 작성 ➔ 2) KCS 47 10 25 수치 명시 ➔ 3) 착공 14일 전 감리단 제출 ➔ 4) 책임감리원 최종 서면 승인</t>
        </is>
      </c>
      <c r="P9" s="64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47" t="inlineStr">
        <is>
          <t>시공계획서 표준 8대 목차, KCS 47 10 25 다짐 수칙 수록 및 착공 14일 전 감리 서면 승인</t>
        </is>
      </c>
      <c r="R9" s="71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45" t="n"/>
    </row>
    <row r="10" ht="96" customHeight="1">
      <c r="A10" s="77" t="inlineStr">
        <is>
          <t>9000</t>
        </is>
      </c>
      <c r="B10" s="77" t="inlineStr">
        <is>
          <t>9000-4</t>
        </is>
      </c>
      <c r="C10" s="77" t="inlineStr">
        <is>
          <t>상부강화노반</t>
        </is>
      </c>
      <c r="D10" s="77" t="inlineStr">
        <is>
          <t>9000-4-9</t>
        </is>
      </c>
      <c r="E10" s="79" t="inlineStr">
        <is>
          <t>9000-4-8</t>
        </is>
      </c>
      <c r="F10" s="79" t="inlineStr">
        <is>
          <t>9000-4-10</t>
        </is>
      </c>
      <c r="G10" s="45" t="inlineStr">
        <is>
          <t>D-35 (D-45~D-35)</t>
        </is>
      </c>
      <c r="H10" s="45" t="inlineStr">
        <is>
          <t>토공 유동표 확인</t>
        </is>
      </c>
      <c r="I10" s="45" t="inlineStr">
        <is>
          <t>현장 공사팀</t>
        </is>
      </c>
      <c r="J10" s="47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47" t="inlineStr">
        <is>
          <t>1) 토공 롤러/그레이더 조종원 자격 검증 ➔ 2) 건설기계 면허증 1:1 대조 ➔ 3) 일일 음주 측정 &amp; Safety TBM ➔ 4) 작업조 편성표 감리 승인</t>
        </is>
      </c>
      <c r="L10" s="47" t="inlineStr">
        <is>
          <t>조종원/기술자 자격 수첩 1:1 대조, 건설기계 면허증 검증 및 일일 음주 측정(0.00%)/TBM</t>
        </is>
      </c>
      <c r="M10" s="47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63">
        <f>HYPERLINK(LEFT(CELL("filename",A1),FIND("[",CELL("filename",A1))-1)&amp;"4.상부강화노반\9_토공 유동표 확인\표준서\토공 유동표 확인_표준서.html", "👉 [클릭] 표준서 열기 📄")</f>
        <v/>
      </c>
      <c r="O10" s="47" t="inlineStr">
        <is>
          <t>1) 토공 롤러/그레이더 조종원 자격 검증 ➔ 2) 건설기계 면허증 1:1 대조 ➔ 3) 일일 음주 측정 &amp; Safety TBM ➔ 4) 작업조 편성표 감리 승인</t>
        </is>
      </c>
      <c r="P10" s="64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47" t="inlineStr">
        <is>
          <t>조종원/기술자 자격 수첩 1:1 대조, 건설기계 면허증 검증 및 일일 음주 측정(0.00%)/TBM</t>
        </is>
      </c>
      <c r="R10" s="71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45" t="n"/>
    </row>
    <row r="11" ht="96" customHeight="1">
      <c r="A11" s="77" t="inlineStr">
        <is>
          <t>9000</t>
        </is>
      </c>
      <c r="B11" s="77" t="inlineStr">
        <is>
          <t>9000-4</t>
        </is>
      </c>
      <c r="C11" s="77" t="inlineStr">
        <is>
          <t>상부강화노반</t>
        </is>
      </c>
      <c r="D11" s="77" t="inlineStr">
        <is>
          <t>9000-4-10</t>
        </is>
      </c>
      <c r="E11" s="79" t="inlineStr">
        <is>
          <t>9000-4-9</t>
        </is>
      </c>
      <c r="F11" s="79" t="inlineStr">
        <is>
          <t>9000-4-11</t>
        </is>
      </c>
      <c r="G11" s="45" t="inlineStr">
        <is>
          <t>D-30 (D-50~D-30)</t>
        </is>
      </c>
      <c r="H11" s="45" t="inlineStr">
        <is>
          <t>기공승낙 적정성 검토</t>
        </is>
      </c>
      <c r="I11" s="45" t="inlineStr">
        <is>
          <t>현장 공사팀</t>
        </is>
      </c>
      <c r="J11" s="47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47" t="inlineStr">
        <is>
          <t>1) 10t+ 강동/타이어 롤러 사양 확정 ➔ 2) 정기검사증 &amp; 등록증 검수 ➔ 3) 3D GPS 수신기/후방 카메라 점검 ➔ 4) 장비 반입 승인서 감리 결재</t>
        </is>
      </c>
      <c r="L11" s="47" t="inlineStr">
        <is>
          <t>자중 10t+ 강동/타이어 롤러 정기검사증, 3D GPS 수신기/후방 카메라 센서 테스트 및 반입 승인</t>
        </is>
      </c>
      <c r="M11" s="47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63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47" t="inlineStr">
        <is>
          <t>1) 10t+ 강동/타이어 롤러 사양 확정 ➔ 2) 정기검사증 &amp; 등록증 검수 ➔ 3) 3D GPS 수신기/후방 카메라 점검 ➔ 4) 장비 반입 승인서 감리 결재</t>
        </is>
      </c>
      <c r="P11" s="64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47" t="inlineStr">
        <is>
          <t>자중 10t+ 강동/타이어 롤러 정기검사증, 3D GPS 수신기/후방 카메라 센서 테스트 및 반입 승인</t>
        </is>
      </c>
      <c r="R11" s="71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45" t="n"/>
    </row>
    <row r="12" ht="96" customHeight="1">
      <c r="A12" s="77" t="inlineStr">
        <is>
          <t>9000</t>
        </is>
      </c>
      <c r="B12" s="77" t="inlineStr">
        <is>
          <t>9000-4</t>
        </is>
      </c>
      <c r="C12" s="77" t="inlineStr">
        <is>
          <t>상부강화노반</t>
        </is>
      </c>
      <c r="D12" s="77" t="inlineStr">
        <is>
          <t>9000-4-11</t>
        </is>
      </c>
      <c r="E12" s="79" t="inlineStr">
        <is>
          <t>9000-4-10</t>
        </is>
      </c>
      <c r="F12" s="79" t="inlineStr">
        <is>
          <t>9000-4-12</t>
        </is>
      </c>
      <c r="G12" s="45" t="inlineStr">
        <is>
          <t>D-30 (D-40~D-30)</t>
        </is>
      </c>
      <c r="H12" s="45" t="inlineStr">
        <is>
          <t>폐기물처리계획 수립</t>
        </is>
      </c>
      <c r="I12" s="45" t="inlineStr">
        <is>
          <t>현장 공사팀</t>
        </is>
      </c>
      <c r="J12" s="47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47" t="inlineStr">
        <is>
          <t>1) 석산 공급원 사전 승인 수속 ➔ 2) 쇄석 입도(Dmax 50mm) 체가름 시험 ➔ 3) 수정다짐 CBR(≥30%) 성적 산출 ➔ 4) 노반 재료 입도 DB 감리 승인</t>
        </is>
      </c>
      <c r="L12" s="47" t="inlineStr">
        <is>
          <t>쇄석 최대입경(Dmax ≤ 50mm), #200체 통과량(≤ 5%) 및 수정다짐 CBR(≥ 30%) 성적서 DB</t>
        </is>
      </c>
      <c r="M12" s="47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63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47" t="inlineStr">
        <is>
          <t>1) 석산 공급원 사전 승인 수속 ➔ 2) 쇄석 입도(Dmax 50mm) 체가름 시험 ➔ 3) 수정다짐 CBR(≥30%) 성적 산출 ➔ 4) 노반 재료 입도 DB 감리 승인</t>
        </is>
      </c>
      <c r="P12" s="64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47" t="inlineStr">
        <is>
          <t>쇄석 최대입경(Dmax ≤ 50mm), #200체 통과량(≤ 5%) 및 수정다짐 CBR(≥ 30%) 성적서 DB</t>
        </is>
      </c>
      <c r="R12" s="71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45" t="n"/>
    </row>
    <row r="13" ht="96" customHeight="1">
      <c r="A13" s="77" t="inlineStr">
        <is>
          <t>9000</t>
        </is>
      </c>
      <c r="B13" s="77" t="inlineStr">
        <is>
          <t>9000-4</t>
        </is>
      </c>
      <c r="C13" s="77" t="inlineStr">
        <is>
          <t>상부강화노반</t>
        </is>
      </c>
      <c r="D13" s="77" t="inlineStr">
        <is>
          <t>9000-4-12</t>
        </is>
      </c>
      <c r="E13" s="79" t="inlineStr">
        <is>
          <t>9000-4-11</t>
        </is>
      </c>
      <c r="F13" s="79" t="inlineStr">
        <is>
          <t>9000-4-13</t>
        </is>
      </c>
      <c r="G13" s="45" t="inlineStr">
        <is>
          <t>D-30 (D-40~D-30)</t>
        </is>
      </c>
      <c r="H13" s="45" t="inlineStr">
        <is>
          <t>철도운행협의(필요시)</t>
        </is>
      </c>
      <c r="I13" s="45" t="inlineStr">
        <is>
          <t>현장 공사팀</t>
        </is>
      </c>
      <c r="J13" s="47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47" t="inlineStr">
        <is>
          <t>1) 화성시 정식 사토장 허가 검증 ➔ 2) γd max ≥ 1.90g/cm³ &amp; 오염 시험 ➔ 3) 덤프 운행 송장 일일 집계 ➔ 4) 사토 계획서 감리 서면 승인</t>
        </is>
      </c>
      <c r="L13" s="47" t="inlineStr">
        <is>
          <t>화성시 정식 사토장 인허가, 최대건조밀도 γd max ≥ 1.90g/cm³ 및 토양오염 8개 항목 검사 합격</t>
        </is>
      </c>
      <c r="M13" s="47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63">
        <f>HYPERLINK(LEFT(CELL("filename",A1),FIND("[",CELL("filename",A1))-1)&amp;"4.상부강화노반\12_철도운행협의(필요시)\표준서\철도운행협의_표준서.html", "👉 [클릭] 표준서 열기 📄")</f>
        <v/>
      </c>
      <c r="O13" s="47" t="inlineStr">
        <is>
          <t>1) 화성시 정식 사토장 허가 검증 ➔ 2) γd max ≥ 1.90g/cm³ &amp; 오염 시험 ➔ 3) 덤프 운행 송장 일일 집계 ➔ 4) 사토 계획서 감리 서면 승인</t>
        </is>
      </c>
      <c r="P13" s="64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47" t="inlineStr">
        <is>
          <t>화성시 정식 사토장 인허가, 최대건조밀도 γd max ≥ 1.90g/cm³ 및 토양오염 8개 항목 검사 합격</t>
        </is>
      </c>
      <c r="R13" s="71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45" t="n"/>
    </row>
    <row r="14" ht="134.4" customHeight="1">
      <c r="A14" s="77" t="inlineStr">
        <is>
          <t>9000</t>
        </is>
      </c>
      <c r="B14" s="77" t="inlineStr">
        <is>
          <t>9000-4</t>
        </is>
      </c>
      <c r="C14" s="77" t="inlineStr">
        <is>
          <t>상부강화노반</t>
        </is>
      </c>
      <c r="D14" s="77" t="inlineStr">
        <is>
          <t>9000-4-13</t>
        </is>
      </c>
      <c r="E14" s="79" t="inlineStr">
        <is>
          <t>9000-4-12</t>
        </is>
      </c>
      <c r="F14" s="79" t="inlineStr">
        <is>
          <t>9000-4-14</t>
        </is>
      </c>
      <c r="G14" s="45" t="inlineStr">
        <is>
          <t>D-40</t>
        </is>
      </c>
      <c r="H14" s="45" t="inlineStr">
        <is>
          <t>작수전 Big Room 회의</t>
        </is>
      </c>
      <c r="I14" s="45" t="inlineStr">
        <is>
          <t>현장 공사팀</t>
        </is>
      </c>
      <c r="J14" s="47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47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47" t="inlineStr">
        <is>
          <t>성토 사면 가배수로(0.6×0.6m), 가침사지 2개소 및 HDPE 유공관(Ø200mm, 구배 ≥ 0.5%) 설치</t>
        </is>
      </c>
      <c r="M14" s="47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63">
        <f>HYPERLINK(LEFT(CELL("filename",A1),FIND("[",CELL("filename",A1))-1)&amp;"4.상부강화노반\13_작수전 Big Room 회의\표준서\작수전 Big Room 회의_표준서.html", "👉 [클릭] 표준서 열기 📄")</f>
        <v/>
      </c>
      <c r="O14" s="47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64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47" t="inlineStr">
        <is>
          <t>성토 사면 가배수로(0.6×0.6m), 가침사지 2개소 및 HDPE 유공관(Ø200mm, 구배 ≥ 0.5%) 설치</t>
        </is>
      </c>
      <c r="R14" s="71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45" t="n"/>
    </row>
    <row r="15" ht="96" customHeight="1">
      <c r="A15" s="77" t="inlineStr">
        <is>
          <t>9000</t>
        </is>
      </c>
      <c r="B15" s="77" t="inlineStr">
        <is>
          <t>9000-4</t>
        </is>
      </c>
      <c r="C15" s="77" t="inlineStr">
        <is>
          <t>상부강화노반</t>
        </is>
      </c>
      <c r="D15" s="77" t="inlineStr">
        <is>
          <t>9000-4-14</t>
        </is>
      </c>
      <c r="E15" s="79" t="inlineStr">
        <is>
          <t>9000-4-13</t>
        </is>
      </c>
      <c r="F15" s="79" t="inlineStr">
        <is>
          <t>9000-4-15</t>
        </is>
      </c>
      <c r="G15" s="45" t="inlineStr">
        <is>
          <t>D-30</t>
        </is>
      </c>
      <c r="H15" s="45" t="inlineStr">
        <is>
          <t>시공 계획 수립</t>
        </is>
      </c>
      <c r="I15" s="45" t="inlineStr">
        <is>
          <t>현장 공사팀</t>
        </is>
      </c>
      <c r="J15" s="47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47" t="inlineStr">
        <is>
          <t>1) 건진법 제62조 안전관리계획 작성 ➔ 2) 국토안전관리원 전산 적정 심사 ➔ 3) CSI 안전관리 종합망 등록 ➔ 4) 책임감리원 서면 승인</t>
        </is>
      </c>
      <c r="L15" s="47" t="inlineStr">
        <is>
          <t>건진법 제62조 안전관리계획서 작성, 국토안전관리원 적정 심사 및 CSI 전산망 등록 결재</t>
        </is>
      </c>
      <c r="M15" s="47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63">
        <f>HYPERLINK(LEFT(CELL("filename",A1),FIND("[",CELL("filename",A1))-1)&amp;"4.상부강화노반\14_시공 계획 수립\표준서\시공 계획 수립_표준서.html", "👉 [클릭] 표준서 열기 📄")</f>
        <v/>
      </c>
      <c r="O15" s="47" t="inlineStr">
        <is>
          <t>1) 건진법 제62조 안전관리계획 작성 ➔ 2) 국토안전관리원 전산 적정 심사 ➔ 3) CSI 안전관리 종합망 등록 ➔ 4) 책임감리원 서면 승인</t>
        </is>
      </c>
      <c r="P15" s="64">
        <f>HYPERLINK(LEFT(CELL("filename",A1),FIND("[",CELL("filename",A1))-1)&amp;"4.상부강화노반\14_시공 계획 수립\수행지침\시공 계획 수립_수행지침.html", "👉 [클릭] 수행지침 열기 📄")</f>
        <v/>
      </c>
      <c r="Q15" s="47" t="inlineStr">
        <is>
          <t>건진법 제62조 안전관리계획서 작성, 국토안전관리원 적정 심사 및 CSI 전산망 등록 결재</t>
        </is>
      </c>
      <c r="R15" s="71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45" t="n"/>
    </row>
    <row r="16" ht="96" customHeight="1">
      <c r="A16" s="77" t="inlineStr">
        <is>
          <t>9000</t>
        </is>
      </c>
      <c r="B16" s="77" t="inlineStr">
        <is>
          <t>9000-4</t>
        </is>
      </c>
      <c r="C16" s="77" t="inlineStr">
        <is>
          <t>상부강화노반</t>
        </is>
      </c>
      <c r="D16" s="77" t="inlineStr">
        <is>
          <t>9000-4-15</t>
        </is>
      </c>
      <c r="E16" s="79" t="inlineStr">
        <is>
          <t>9000-4-14</t>
        </is>
      </c>
      <c r="F16" s="79" t="inlineStr">
        <is>
          <t>9000-4-16</t>
        </is>
      </c>
      <c r="G16" s="45" t="inlineStr">
        <is>
          <t>D-30 (D-50~D-30)</t>
        </is>
      </c>
      <c r="H16" s="45" t="inlineStr">
        <is>
          <t>사토장/토취장 선정 검토(필요시)</t>
        </is>
      </c>
      <c r="I16" s="45" t="inlineStr">
        <is>
          <t>현장 공사팀</t>
        </is>
      </c>
      <c r="J16" s="47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47" t="inlineStr">
        <is>
          <t>1) 다짐도/K30/Ev2 시험 빈도 수립 ➔ 2) 현장 시험실 장비 교정 검수 ➔ 3) 착공 14일 전 감리단 제출 ➔ 4) 품질관리계획서 감리 서면 승인</t>
        </is>
      </c>
      <c r="L16" s="47" t="inlineStr">
        <is>
          <t>노반 다짐도(500m³당 1회), K30(2,000m²당 1회), Ev2(1,000m²당 1회) 시험 빈도 &amp; 장비 교정</t>
        </is>
      </c>
      <c r="M16" s="47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63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47" t="inlineStr">
        <is>
          <t>1) 다짐도/K30/Ev2 시험 빈도 수립 ➔ 2) 현장 시험실 장비 교정 검수 ➔ 3) 착공 14일 전 감리단 제출 ➔ 4) 품질관리계획서 감리 서면 승인</t>
        </is>
      </c>
      <c r="P16" s="64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47" t="inlineStr">
        <is>
          <t>노반 다짐도(500m³당 1회), K30(2,000m²당 1회), Ev2(1,000m²당 1회) 시험 빈도 &amp; 장비 교정</t>
        </is>
      </c>
      <c r="R16" s="71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45" t="n"/>
    </row>
    <row r="17" ht="96" customHeight="1">
      <c r="A17" s="77" t="inlineStr">
        <is>
          <t>9000</t>
        </is>
      </c>
      <c r="B17" s="77" t="inlineStr">
        <is>
          <t>9000-4</t>
        </is>
      </c>
      <c r="C17" s="77" t="inlineStr">
        <is>
          <t>상부강화노반</t>
        </is>
      </c>
      <c r="D17" s="77" t="inlineStr">
        <is>
          <t>9000-4-16</t>
        </is>
      </c>
      <c r="E17" s="79" t="inlineStr">
        <is>
          <t>9000-4-15</t>
        </is>
      </c>
      <c r="F17" s="79" t="inlineStr">
        <is>
          <t>9000-4-17</t>
        </is>
      </c>
      <c r="G17" s="45" t="inlineStr">
        <is>
          <t>D-20</t>
        </is>
      </c>
      <c r="H17" s="45" t="inlineStr">
        <is>
          <t>공사사전준비</t>
        </is>
      </c>
      <c r="I17" s="45" t="inlineStr">
        <is>
          <t>현장 공사팀</t>
        </is>
      </c>
      <c r="J17" s="47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47" t="inlineStr">
        <is>
          <t>1) 세륜기(깊이 1.2m) &amp; 방음벽(3m) 설계 ➔ 2) 지자체 비산먼지 발생신고 ➔ 3) 살수차 1일 3회 살수 ➔ 4) 환경관리계획서 감리 서면 승인</t>
        </is>
      </c>
      <c r="L17" s="47" t="inlineStr">
        <is>
          <t>지자체 비산먼지 발생신고 필증, 이동식 세륜기(깊이 1.2m) &amp; 가설 방음벽(H=3m) 가동 점검</t>
        </is>
      </c>
      <c r="M17" s="47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63">
        <f>HYPERLINK(LEFT(CELL("filename",A1),FIND("[",CELL("filename",A1))-1)&amp;"4.상부강화노반\16_공사사전준비\표준서\공사사전준비_표준서.html", "👉 [클릭] 표준서 열기 📄")</f>
        <v/>
      </c>
      <c r="O17" s="47" t="inlineStr">
        <is>
          <t>1) 세륜기(깊이 1.2m) &amp; 방음벽(3m) 설계 ➔ 2) 지자체 비산먼지 발생신고 ➔ 3) 살수차 1일 3회 살수 ➔ 4) 환경관리계획서 감리 서면 승인</t>
        </is>
      </c>
      <c r="P17" s="64">
        <f>HYPERLINK(LEFT(CELL("filename",A1),FIND("[",CELL("filename",A1))-1)&amp;"4.상부강화노반\16_공사사전준비\수행지침\공사사전준비_수행지침.html", "👉 [클릭] 수행지침 열기 📄")</f>
        <v/>
      </c>
      <c r="Q17" s="47" t="inlineStr">
        <is>
          <t>지자체 비산먼지 발생신고 필증, 이동식 세륜기(깊이 1.2m) &amp; 가설 방음벽(H=3m) 가동 점검</t>
        </is>
      </c>
      <c r="R17" s="71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45" t="n"/>
    </row>
    <row r="18" ht="96" customHeight="1">
      <c r="A18" s="77" t="inlineStr">
        <is>
          <t>9000</t>
        </is>
      </c>
      <c r="B18" s="77" t="inlineStr">
        <is>
          <t>9000-4</t>
        </is>
      </c>
      <c r="C18" s="77" t="inlineStr">
        <is>
          <t>상부강화노반</t>
        </is>
      </c>
      <c r="D18" s="77" t="inlineStr">
        <is>
          <t>9000-4-17</t>
        </is>
      </c>
      <c r="E18" s="79" t="inlineStr">
        <is>
          <t>9000-4-16</t>
        </is>
      </c>
      <c r="F18" s="79" t="inlineStr">
        <is>
          <t>9000-4-18</t>
        </is>
      </c>
      <c r="G18" s="45" t="inlineStr">
        <is>
          <t>D-25 (D-30~D-25)</t>
        </is>
      </c>
      <c r="H18" s="45" t="inlineStr">
        <is>
          <t>임시배수시설</t>
        </is>
      </c>
      <c r="I18" s="45" t="inlineStr">
        <is>
          <t>현장 공사팀</t>
        </is>
      </c>
      <c r="J18" s="47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47" t="inlineStr">
        <is>
          <t>1) 교통 우회 도면 &amp; 차선 설계 ➔ 2) 동탄경찰서 도로점용 허가 ➔ 3) 전담 신호수(2인 2조) 배치 ➔ 4) 교통소통 대책서 감리 서면 승인</t>
        </is>
      </c>
      <c r="L18" s="47" t="inlineStr">
        <is>
          <t>동탄경찰서 도로점용 허가, 우회 차선 설계 및 전담 안전 신호수(2인 2조)/LED 경광등 배치</t>
        </is>
      </c>
      <c r="M18" s="47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63">
        <f>HYPERLINK(LEFT(CELL("filename",A1),FIND("[",CELL("filename",A1))-1)&amp;"4.상부강화노반\17_임시배수시설\표준서\임시배수시설_표준서.html", "👉 [클릭] 표준서 열기 📄")</f>
        <v/>
      </c>
      <c r="O18" s="47" t="inlineStr">
        <is>
          <t>1) 교통 우회 도면 &amp; 차선 설계 ➔ 2) 동탄경찰서 도로점용 허가 ➔ 3) 전담 신호수(2인 2조) 배치 ➔ 4) 교통소통 대책서 감리 서면 승인</t>
        </is>
      </c>
      <c r="P18" s="64">
        <f>HYPERLINK(LEFT(CELL("filename",A1),FIND("[",CELL("filename",A1))-1)&amp;"4.상부강화노반\17_임시배수시설\수행지침\임시배수시설_수행지침.html", "👉 [클릭] 수행지침 열기 📄")</f>
        <v/>
      </c>
      <c r="Q18" s="47" t="inlineStr">
        <is>
          <t>동탄경찰서 도로점용 허가, 우회 차선 설계 및 전담 안전 신호수(2인 2조)/LED 경광등 배치</t>
        </is>
      </c>
      <c r="R18" s="71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45" t="n"/>
    </row>
    <row r="19" ht="96" customHeight="1">
      <c r="A19" s="77" t="inlineStr">
        <is>
          <t>9000</t>
        </is>
      </c>
      <c r="B19" s="77" t="inlineStr">
        <is>
          <t>9000-4</t>
        </is>
      </c>
      <c r="C19" s="77" t="inlineStr">
        <is>
          <t>상부강화노반</t>
        </is>
      </c>
      <c r="D19" s="77" t="inlineStr">
        <is>
          <t>9000-4-18</t>
        </is>
      </c>
      <c r="E19" s="79" t="inlineStr">
        <is>
          <t>9000-4-17</t>
        </is>
      </c>
      <c r="F19" s="79" t="inlineStr">
        <is>
          <t>9000-4-19</t>
        </is>
      </c>
      <c r="G19" s="45" t="inlineStr">
        <is>
          <t>D-10 (D-30~D-10)</t>
        </is>
      </c>
      <c r="H19" s="45" t="inlineStr">
        <is>
          <t>쌓기재료 검사</t>
        </is>
      </c>
      <c r="I19" s="45" t="inlineStr">
        <is>
          <t>현장 공사팀</t>
        </is>
      </c>
      <c r="J19" s="47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47" t="inlineStr">
        <is>
          <t>1) 토공 전문 면허 &amp; 실적 심사 ➔ 2) 하도급 적정성 평가(≥82%) ➔ 3) 노무비 지급 전용계좌 지정 ➔ 4) 하도급 계약 승인 통보서 결재</t>
        </is>
      </c>
      <c r="L19" s="47" t="inlineStr">
        <is>
          <t>토공 전문건설업 면허/실적 심사, 하도급 비율(≥ 82%) 평가 및 노무비 지급 전용계좌 지정</t>
        </is>
      </c>
      <c r="M19" s="47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63">
        <f>HYPERLINK(LEFT(CELL("filename",A1),FIND("[",CELL("filename",A1))-1)&amp;"4.상부강화노반\18_쌓기재료 검사\표준서\쌓기재료 검사_표준서.html", "👉 [클릭] 표준서 열기 📄")</f>
        <v/>
      </c>
      <c r="O19" s="47" t="inlineStr">
        <is>
          <t>1) 토공 전문 면허 &amp; 실적 심사 ➔ 2) 하도급 적정성 평가(≥82%) ➔ 3) 노무비 지급 전용계좌 지정 ➔ 4) 하도급 계약 승인 통보서 결재</t>
        </is>
      </c>
      <c r="P19" s="64">
        <f>HYPERLINK(LEFT(CELL("filename",A1),FIND("[",CELL("filename",A1))-1)&amp;"4.상부강화노반\18_쌓기재료 검사\수행지침\쌓기재료 검사_수행지침.html", "👉 [클릭] 수행지침 열기 📄")</f>
        <v/>
      </c>
      <c r="Q19" s="47" t="inlineStr">
        <is>
          <t>토공 전문건설업 면허/실적 심사, 하도급 비율(≥ 82%) 평가 및 노무비 지급 전용계좌 지정</t>
        </is>
      </c>
      <c r="R19" s="71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45" t="n"/>
    </row>
    <row r="20" ht="96" customHeight="1">
      <c r="A20" s="77" t="inlineStr">
        <is>
          <t>9000</t>
        </is>
      </c>
      <c r="B20" s="77" t="inlineStr">
        <is>
          <t>9000-4</t>
        </is>
      </c>
      <c r="C20" s="77" t="inlineStr">
        <is>
          <t>상부강화노반</t>
        </is>
      </c>
      <c r="D20" s="77" t="inlineStr">
        <is>
          <t>9000-4-19</t>
        </is>
      </c>
      <c r="E20" s="79" t="inlineStr">
        <is>
          <t>9000-4-18</t>
        </is>
      </c>
      <c r="F20" s="79" t="inlineStr">
        <is>
          <t>9000-4-20</t>
        </is>
      </c>
      <c r="G20" s="45" t="inlineStr">
        <is>
          <t>D-10</t>
        </is>
      </c>
      <c r="H20" s="45" t="inlineStr">
        <is>
          <t>장비 검수 지원</t>
        </is>
      </c>
      <c r="I20" s="45" t="inlineStr">
        <is>
          <t>현장 공사팀</t>
        </is>
      </c>
      <c r="J20" s="47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47" t="inlineStr">
        <is>
          <t>1) KS F 2527 쇄석/유공관 서류 검토 ➔ 2) 공인시험기관 시험성적서 부착 ➔ 3) 자재 승인 신청서 제출 ➔ 4) 자재 반입 검수 및 승인 결재</t>
        </is>
      </c>
      <c r="L20" s="47" t="inlineStr">
        <is>
          <t>KS F 2527 쇄석골재, HDPE 유공관, 투수성 부직포(200g/m²) 공인성적서 및 현장 반입 검수</t>
        </is>
      </c>
      <c r="M20" s="47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63">
        <f>HYPERLINK(LEFT(CELL("filename",A1),FIND("[",CELL("filename",A1))-1)&amp;"4.상부강화노반\19_장비 검수 지원\표준서\장비 검수 지원_표준서.html", "👉 [클릭] 표준서 열기 📄")</f>
        <v/>
      </c>
      <c r="O20" s="47" t="inlineStr">
        <is>
          <t>1) KS F 2527 쇄석/유공관 서류 검토 ➔ 2) 공인시험기관 시험성적서 부착 ➔ 3) 자재 승인 신청서 제출 ➔ 4) 자재 반입 검수 및 승인 결재</t>
        </is>
      </c>
      <c r="P20" s="64">
        <f>HYPERLINK(LEFT(CELL("filename",A1),FIND("[",CELL("filename",A1))-1)&amp;"4.상부강화노반\19_장비 검수 지원\수행지침\장비 검수 지원_수행지침.html", "👉 [클릭] 수행지침 열기 📄")</f>
        <v/>
      </c>
      <c r="Q20" s="47" t="inlineStr">
        <is>
          <t>KS F 2527 쇄석골재, HDPE 유공관, 투수성 부직포(200g/m²) 공인성적서 및 현장 반입 검수</t>
        </is>
      </c>
      <c r="R20" s="71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45" t="n"/>
    </row>
    <row r="21" ht="96" customHeight="1">
      <c r="A21" s="77" t="inlineStr">
        <is>
          <t>9000</t>
        </is>
      </c>
      <c r="B21" s="77" t="inlineStr">
        <is>
          <t>9000-4</t>
        </is>
      </c>
      <c r="C21" s="77" t="inlineStr">
        <is>
          <t>상부강화노반</t>
        </is>
      </c>
      <c r="D21" s="77" t="inlineStr">
        <is>
          <t>9000-4-20</t>
        </is>
      </c>
      <c r="E21" s="79" t="inlineStr">
        <is>
          <t>9000-4-19</t>
        </is>
      </c>
      <c r="F21" s="79" t="inlineStr">
        <is>
          <t>9000-4-21</t>
        </is>
      </c>
      <c r="G21" s="45" t="inlineStr">
        <is>
          <t>D+0~10</t>
        </is>
      </c>
      <c r="H21" s="45" t="inlineStr">
        <is>
          <t>선로 종/횡단 및 용지경계측량</t>
        </is>
      </c>
      <c r="I21" s="45" t="inlineStr">
        <is>
          <t>현장 공사팀</t>
        </is>
      </c>
      <c r="J21" s="47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47" t="inlineStr">
        <is>
          <t>1) 50m 시험 다짐 구간 지정 ➔ 2) 쇄석 30cm 두께 포설 ➔ 3) 패스별 침하량(Δh≤1mm) 측정 ➔ 4) 다짐 횟수(강동 4회) 보고서 승인</t>
        </is>
      </c>
      <c r="L21" s="47" t="inlineStr">
        <is>
          <t>50m 시험 구간 쇄석 30cm 포설, 패스별 침하량(Δh ≤ 1mm) 실측 및 강동 4회 다짐 횟수 확정</t>
        </is>
      </c>
      <c r="M21" s="47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63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47" t="inlineStr">
        <is>
          <t>1) 50m 시험 다짐 구간 지정 ➔ 2) 쇄석 30cm 두께 포설 ➔ 3) 패스별 침하량(Δh≤1mm) 측정 ➔ 4) 다짐 횟수(강동 4회) 보고서 승인</t>
        </is>
      </c>
      <c r="P21" s="64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47" t="inlineStr">
        <is>
          <t>50m 시험 구간 쇄석 30cm 포설, 패스별 침하량(Δh ≤ 1mm) 실측 및 강동 4회 다짐 횟수 확정</t>
        </is>
      </c>
      <c r="R21" s="71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45" t="n"/>
    </row>
    <row r="22" ht="115.2" customHeight="1">
      <c r="A22" s="77" t="inlineStr">
        <is>
          <t>9000</t>
        </is>
      </c>
      <c r="B22" s="77" t="inlineStr">
        <is>
          <t>9000-4</t>
        </is>
      </c>
      <c r="C22" s="77" t="inlineStr">
        <is>
          <t>상부강화노반</t>
        </is>
      </c>
      <c r="D22" s="77" t="inlineStr">
        <is>
          <t>9000-4-21</t>
        </is>
      </c>
      <c r="E22" s="79" t="inlineStr">
        <is>
          <t>9000-4-20</t>
        </is>
      </c>
      <c r="F22" s="79" t="inlineStr">
        <is>
          <t>9000-4-22</t>
        </is>
      </c>
      <c r="G22" s="45" t="inlineStr">
        <is>
          <t>D+0~10</t>
        </is>
      </c>
      <c r="H22" s="45" t="inlineStr">
        <is>
          <t>규준틀 설치</t>
        </is>
      </c>
      <c r="I22" s="45" t="inlineStr">
        <is>
          <t>현장 공사팀</t>
        </is>
      </c>
      <c r="J22" s="47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47" t="inlineStr">
        <is>
          <t>1) 표토(15~30cm) 제거 &amp; 정전압 다짐 ➔ 2) 원지반 표고 레벨 측량 ➔ 3) K30(≥70 MN/m³) &amp; 펌핑 검측 ➔ 4) 원지반 검측 성과표 감리 승인</t>
        </is>
      </c>
      <c r="L22" s="47" t="inlineStr">
        <is>
          <t>유기질 표토(15~30cm) 제거전압 다짐, 원지반 K30 ≥ 70 MN/m³ 평판재하 및 덤프 펌핑 점검</t>
        </is>
      </c>
      <c r="M22" s="47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63">
        <f>HYPERLINK(LEFT(CELL("filename",A1),FIND("[",CELL("filename",A1))-1)&amp;"4.상부강화노반\21_규준틀 설치\표준서\규준틀 설치_표준서.html", "👉 [클릭] 표준서 열기 📄")</f>
        <v/>
      </c>
      <c r="O22" s="47" t="inlineStr">
        <is>
          <t>1) 표토(15~30cm) 제거 &amp; 정전압 다짐 ➔ 2) 원지반 표고 레벨 측량 ➔ 3) K30(≥70 MN/m³) &amp; 펌핑 검측 ➔ 4) 원지반 검측 성과표 감리 승인</t>
        </is>
      </c>
      <c r="P22" s="64">
        <f>HYPERLINK(LEFT(CELL("filename",A1),FIND("[",CELL("filename",A1))-1)&amp;"4.상부강화노반\21_규준틀 설치\수행지침\규준틀 설치_수행지침.html", "👉 [클릭] 수행지침 열기 📄")</f>
        <v/>
      </c>
      <c r="Q22" s="47" t="inlineStr">
        <is>
          <t>유기질 표토(15~30cm) 제거전압 다짐, 원지반 K30 ≥ 70 MN/m³ 평판재하 및 덤프 펌핑 점검</t>
        </is>
      </c>
      <c r="R22" s="71">
        <f>HYPERLINK(LEFT(CELL("filename",A1),FIND("[",CELL("filename",A1))-1)&amp;"4.상부강화노반\21_규준틀 설치\체크리스트\규준틀 설치_체크리스트.html", "👉 [클릭] 체크리스트 열기 📄")</f>
        <v/>
      </c>
      <c r="S22" s="45" t="n"/>
    </row>
    <row r="23" ht="115.2" customHeight="1">
      <c r="A23" s="77" t="inlineStr">
        <is>
          <t>9000</t>
        </is>
      </c>
      <c r="B23" s="77" t="inlineStr">
        <is>
          <t>9000-4</t>
        </is>
      </c>
      <c r="C23" s="77" t="inlineStr">
        <is>
          <t>상부강화노반</t>
        </is>
      </c>
      <c r="D23" s="77" t="inlineStr">
        <is>
          <t>9000-4-22</t>
        </is>
      </c>
      <c r="E23" s="79" t="inlineStr">
        <is>
          <t>9000-4-21</t>
        </is>
      </c>
      <c r="F23" s="79" t="inlineStr">
        <is>
          <t>9000-4-23</t>
        </is>
      </c>
      <c r="G23" s="45" t="inlineStr">
        <is>
          <t>D+10~200</t>
        </is>
      </c>
      <c r="H23" s="45" t="inlineStr">
        <is>
          <t>준비배수</t>
        </is>
      </c>
      <c r="I23" s="45" t="inlineStr">
        <is>
          <t>현장 공사팀</t>
        </is>
      </c>
      <c r="J23" s="47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47" t="inlineStr">
        <is>
          <t>1) 하부노반 30cm 층포설 &amp; 다짐 ➔ 2) 들밀도(≥90%) &amp; K30(≥90) 시험 ➔ 3) 마무리면 레벨 오차(±20mm) 검측 ➔ 4) 하부노반 검측서 감리 승인</t>
        </is>
      </c>
      <c r="L23" s="47" t="inlineStr">
        <is>
          <t>토사 층두께 ≤ 30cm 포설 다짐, 들밀도 다짐도 ≥ 90% (KS F 2311) 및 K30 ≥ 90 MN/m³ 검측</t>
        </is>
      </c>
      <c r="M23" s="47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63">
        <f>HYPERLINK(LEFT(CELL("filename",A1),FIND("[",CELL("filename",A1))-1)&amp;"4.상부강화노반\22_준비배수\표준서\준비배수_표준서.html", "👉 [클릭] 표준서 열기 📄")</f>
        <v/>
      </c>
      <c r="O23" s="47" t="inlineStr">
        <is>
          <t>1) 하부노반 30cm 층포설 &amp; 다짐 ➔ 2) 들밀도(≥90%) &amp; K30(≥90) 시험 ➔ 3) 마무리면 레벨 오차(±20mm) 검측 ➔ 4) 하부노반 검측서 감리 승인</t>
        </is>
      </c>
      <c r="P23" s="64">
        <f>HYPERLINK(LEFT(CELL("filename",A1),FIND("[",CELL("filename",A1))-1)&amp;"4.상부강화노반\22_준비배수\수행지침\준비배수_수행지침.html", "👉 [클릭] 수행지침 열기 📄")</f>
        <v/>
      </c>
      <c r="Q23" s="47" t="inlineStr">
        <is>
          <t>토사 층두께 ≤ 30cm 포설 다짐, 들밀도 다짐도 ≥ 90% (KS F 2311) 및 K30 ≥ 90 MN/m³ 검측</t>
        </is>
      </c>
      <c r="R23" s="71">
        <f>HYPERLINK(LEFT(CELL("filename",A1),FIND("[",CELL("filename",A1))-1)&amp;"4.상부강화노반\22_준비배수\체크리스트\준비배수_체크리스트.html", "👉 [클릭] 체크리스트 열기 📄")</f>
        <v/>
      </c>
      <c r="S23" s="45" t="n"/>
    </row>
    <row r="24" ht="115.2" customHeight="1">
      <c r="A24" s="77" t="inlineStr">
        <is>
          <t>9000</t>
        </is>
      </c>
      <c r="B24" s="77" t="inlineStr">
        <is>
          <t>9000-4</t>
        </is>
      </c>
      <c r="C24" s="77" t="inlineStr">
        <is>
          <t>상부강화노반</t>
        </is>
      </c>
      <c r="D24" s="77" t="inlineStr">
        <is>
          <t>9000-4-23</t>
        </is>
      </c>
      <c r="E24" s="79" t="inlineStr">
        <is>
          <t>9000-4-22</t>
        </is>
      </c>
      <c r="F24" s="79" t="inlineStr">
        <is>
          <t>9000-4-24</t>
        </is>
      </c>
      <c r="G24" s="45" t="inlineStr">
        <is>
          <t>D+10~25</t>
        </is>
      </c>
      <c r="H24" s="45" t="inlineStr">
        <is>
          <t>벌개제근/표토제거</t>
        </is>
      </c>
      <c r="I24" s="45" t="inlineStr">
        <is>
          <t>현장 공사팀</t>
        </is>
      </c>
      <c r="J24" s="47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47" t="inlineStr">
        <is>
          <t>1) 상부노반 토사 30cm 포설 ➔ 2) 맹암거 부직포(200g/m²) 부설 ➔ 3) HDPE 유공관(Ø200mm) 종단 연결 ➔ 4) 상부노반 시공 감리 서면 승인</t>
        </is>
      </c>
      <c r="L24" s="47" t="inlineStr">
        <is>
          <t>상부노반 토사 30cm 포설, 맹암거 투수성 부직포(200g/m²) 및 HDPE 유공관(Ø200mm) 매몰 검측</t>
        </is>
      </c>
      <c r="M24" s="47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63">
        <f>HYPERLINK(LEFT(CELL("filename",A1),FIND("[",CELL("filename",A1))-1)&amp;"4.상부강화노반\23_벌개제근_표토제거\표준서\벌개제근_표토제거_표준서.html", "👉 [클릭] 표준서 열기 📄")</f>
        <v/>
      </c>
      <c r="O24" s="47" t="inlineStr">
        <is>
          <t>1) 상부노반 토사 30cm 포설 ➔ 2) 맹암거 부직포(200g/m²) 부설 ➔ 3) HDPE 유공관(Ø200mm) 종단 연결 ➔ 4) 상부노반 시공 감리 서면 승인</t>
        </is>
      </c>
      <c r="P24" s="64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47" t="inlineStr">
        <is>
          <t>상부노반 토사 30cm 포설, 맹암거 투수성 부직포(200g/m²) 및 HDPE 유공관(Ø200mm) 매몰 검측</t>
        </is>
      </c>
      <c r="R24" s="71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45" t="n"/>
    </row>
    <row r="25" ht="115.2" customHeight="1">
      <c r="A25" s="77" t="inlineStr">
        <is>
          <t>9000</t>
        </is>
      </c>
      <c r="B25" s="77" t="inlineStr">
        <is>
          <t>9000-4</t>
        </is>
      </c>
      <c r="C25" s="77" t="inlineStr">
        <is>
          <t>상부강화노반</t>
        </is>
      </c>
      <c r="D25" s="77" t="inlineStr">
        <is>
          <t>9000-4-24</t>
        </is>
      </c>
      <c r="E25" s="79" t="inlineStr">
        <is>
          <t>9000-4-23</t>
        </is>
      </c>
      <c r="F25" s="79" t="inlineStr">
        <is>
          <t>9000-4-25</t>
        </is>
      </c>
      <c r="G25" s="45" t="inlineStr">
        <is>
          <t>D+10~30</t>
        </is>
      </c>
      <c r="H25" s="45" t="inlineStr">
        <is>
          <t>구조물 및 지장물 제거</t>
        </is>
      </c>
      <c r="I25" s="45" t="inlineStr">
        <is>
          <t>현장 공사팀</t>
        </is>
      </c>
      <c r="J25" s="47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47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47" t="inlineStr">
        <is>
          <t>3D GPS 쇄석(50mm) 30cm 포설, OMC 분무 살수 및 강동 4회/타이어 2회 다짐 (표고 오차 ±10mm)</t>
        </is>
      </c>
      <c r="M25" s="47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63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47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64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47" t="inlineStr">
        <is>
          <t>3D GPS 쇄석(50mm) 30cm 포설, OMC 분무 살수 및 강동 4회/타이어 2회 다짐 (표고 오차 ±10mm)</t>
        </is>
      </c>
      <c r="R25" s="71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45" t="n"/>
    </row>
    <row r="26" ht="115.2" customHeight="1">
      <c r="A26" s="77" t="inlineStr">
        <is>
          <t>9000</t>
        </is>
      </c>
      <c r="B26" s="77" t="inlineStr">
        <is>
          <t>9000-4</t>
        </is>
      </c>
      <c r="C26" s="77" t="inlineStr">
        <is>
          <t>상부강화노반</t>
        </is>
      </c>
      <c r="D26" s="77" t="inlineStr">
        <is>
          <t>9000-4-25</t>
        </is>
      </c>
      <c r="E26" s="79" t="inlineStr">
        <is>
          <t>9000-4-24</t>
        </is>
      </c>
      <c r="F26" s="79" t="inlineStr">
        <is>
          <t>9000-4-26</t>
        </is>
      </c>
      <c r="G26" s="45" t="inlineStr">
        <is>
          <t>D+10~30</t>
        </is>
      </c>
      <c r="H26" s="45" t="inlineStr">
        <is>
          <t>진입로 조성</t>
        </is>
      </c>
      <c r="I26" s="45" t="inlineStr">
        <is>
          <t>현장 공사팀</t>
        </is>
      </c>
      <c r="J26" s="47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47" t="inlineStr">
        <is>
          <t>1) 들밀도 시험(다짐도 ≥ 95%) ➔ 2) K30 평판재하시험(≥ 110 MN/m³) ➔ 3) 동적변형계수 Ev2(≥ 60 MPa) 시험 ➔ 4) 다짐 검측 종합 보고서 승인</t>
        </is>
      </c>
      <c r="L26" s="47" t="inlineStr">
        <is>
          <t>노반 들밀도 다짐도 ≥ 95%, 평판재하 K30 ≥ 110 MN/m³ 및 동적변형계수 Ev2 ≥ 60 MPa (Ev2/Ev1 ≤ 2.2)</t>
        </is>
      </c>
      <c r="M26" s="47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63">
        <f>HYPERLINK(LEFT(CELL("filename",A1),FIND("[",CELL("filename",A1))-1)&amp;"4.상부강화노반\25_진입로 조성\표준서\진입로 조성_표준서.html", "👉 [클릭] 표준서 열기 📄")</f>
        <v/>
      </c>
      <c r="O26" s="47" t="inlineStr">
        <is>
          <t>1) 들밀도 시험(다짐도 ≥ 95%) ➔ 2) K30 평판재하시험(≥ 110 MN/m³) ➔ 3) 동적변형계수 Ev2(≥ 60 MPa) 시험 ➔ 4) 다짐 검측 종합 보고서 승인</t>
        </is>
      </c>
      <c r="P26" s="64">
        <f>HYPERLINK(LEFT(CELL("filename",A1),FIND("[",CELL("filename",A1))-1)&amp;"4.상부강화노반\25_진입로 조성\수행지침\진입로 조성_수행지침.html", "👉 [클릭] 수행지침 열기 📄")</f>
        <v/>
      </c>
      <c r="Q26" s="47" t="inlineStr">
        <is>
          <t>노반 들밀도 다짐도 ≥ 95%, 평판재하 K30 ≥ 110 MN/m³ 및 동적변형계수 Ev2 ≥ 60 MPa (Ev2/Ev1 ≤ 2.2)</t>
        </is>
      </c>
      <c r="R26" s="71">
        <f>HYPERLINK(LEFT(CELL("filename",A1),FIND("[",CELL("filename",A1))-1)&amp;"4.상부강화노반\25_진입로 조성\체크리스트\진입로 조성_체크리스트.html", "👉 [클릭] 체크리스트 열기 📄")</f>
        <v/>
      </c>
      <c r="S26" s="45" t="n"/>
    </row>
    <row r="27" ht="115.2" customHeight="1">
      <c r="A27" s="77" t="inlineStr">
        <is>
          <t>9000</t>
        </is>
      </c>
      <c r="B27" s="77" t="inlineStr">
        <is>
          <t>9000-4</t>
        </is>
      </c>
      <c r="C27" s="77" t="inlineStr">
        <is>
          <t>상부강화노반</t>
        </is>
      </c>
      <c r="D27" s="77" t="inlineStr">
        <is>
          <t>9000-4-26</t>
        </is>
      </c>
      <c r="E27" s="79" t="inlineStr">
        <is>
          <t>9000-4-25</t>
        </is>
      </c>
      <c r="F27" s="79" t="inlineStr">
        <is>
          <t>9000-4-27</t>
        </is>
      </c>
      <c r="G27" s="45" t="inlineStr">
        <is>
          <t>D+10~180</t>
        </is>
      </c>
      <c r="H27" s="45" t="inlineStr">
        <is>
          <t>노반쌓기</t>
        </is>
      </c>
      <c r="I27" s="45" t="inlineStr">
        <is>
          <t>현장 공사팀</t>
        </is>
      </c>
      <c r="J27" s="47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47" t="inlineStr">
        <is>
          <t>1) Ø300mm 재하판 산모래 밀착 ➔ 2) 15t 유압 잭 &amp; 다이얼 게이지 교정 ➔ 3) 1.25mm 침하 P-S 곡선 산출 ➔ 4) K30 ≥ 110 MN/m³ 성적서 승인</t>
        </is>
      </c>
      <c r="L27" s="47" t="inlineStr">
        <is>
          <t>Ø300mm 재하판 산모래 밀착, 15t 유압 잭 재하 및 1.25mm 침하 P-S 곡선 K30 ≥ 110 MN/m³ 성적서</t>
        </is>
      </c>
      <c r="M27" s="47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63">
        <f>HYPERLINK(LEFT(CELL("filename",A1),FIND("[",CELL("filename",A1))-1)&amp;"4.상부강화노반\26_노반쌓기\표준서\노반쌓기_표준서.html", "👉 [클릭] 표준서 열기 📄")</f>
        <v/>
      </c>
      <c r="O27" s="47" t="inlineStr">
        <is>
          <t>1) Ø300mm 재하판 산모래 밀착 ➔ 2) 15t 유압 잭 &amp; 다이얼 게이지 교정 ➔ 3) 1.25mm 침하 P-S 곡선 산출 ➔ 4) K30 ≥ 110 MN/m³ 성적서 승인</t>
        </is>
      </c>
      <c r="P27" s="64">
        <f>HYPERLINK(LEFT(CELL("filename",A1),FIND("[",CELL("filename",A1))-1)&amp;"4.상부강화노반\26_노반쌓기\수행지침\노반쌓기_수행지침.html", "👉 [클릭] 수행지침 열기 📄")</f>
        <v/>
      </c>
      <c r="Q27" s="47" t="inlineStr">
        <is>
          <t>Ø300mm 재하판 산모래 밀착, 15t 유압 잭 재하 및 1.25mm 침하 P-S 곡선 K30 ≥ 110 MN/m³ 성적서</t>
        </is>
      </c>
      <c r="R27" s="71">
        <f>HYPERLINK(LEFT(CELL("filename",A1),FIND("[",CELL("filename",A1))-1)&amp;"4.상부강화노반\26_노반쌓기\체크리스트\노반쌓기_체크리스트.html", "👉 [클릭] 체크리스트 열기 📄")</f>
        <v/>
      </c>
      <c r="S27" s="45" t="n"/>
    </row>
    <row r="28" ht="115.2" customHeight="1">
      <c r="A28" s="77" t="inlineStr">
        <is>
          <t>9000</t>
        </is>
      </c>
      <c r="B28" s="77" t="inlineStr">
        <is>
          <t>9000-4</t>
        </is>
      </c>
      <c r="C28" s="77" t="inlineStr">
        <is>
          <t>상부강화노반</t>
        </is>
      </c>
      <c r="D28" s="77" t="inlineStr">
        <is>
          <t>9000-4-27</t>
        </is>
      </c>
      <c r="E28" s="79" t="inlineStr">
        <is>
          <t>9000-4-26</t>
        </is>
      </c>
      <c r="F28" s="79" t="inlineStr">
        <is>
          <t>9000-4-28</t>
        </is>
      </c>
      <c r="G28" s="45" t="inlineStr">
        <is>
          <t>D+10~180</t>
        </is>
      </c>
      <c r="H28" s="45" t="inlineStr">
        <is>
          <t>하부노반 시공</t>
        </is>
      </c>
      <c r="I28" s="45" t="inlineStr">
        <is>
          <t>현장 공사팀</t>
        </is>
      </c>
      <c r="J28" s="47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47" t="inlineStr">
        <is>
          <t>1) LWD 동적 평판재하시험기 교정 ➔ 2) 1,000m²당 1회 무작위 시험 ➔ 3) 1차/2차 하중 재하 Ev2/Ev1 산출 ➔ 4) Ev2 ≥ 60 MPa 성적서 감리 승인</t>
        </is>
      </c>
      <c r="L28" s="47" t="inlineStr">
        <is>
          <t>LWD 동적 평판재하시험 1,000m²당 1회, 2차 변형계수 Ev2 ≥ 60 MPa 및 비율 Ev2/Ev1 ≤ 2.2 검측</t>
        </is>
      </c>
      <c r="M28" s="47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63">
        <f>HYPERLINK(LEFT(CELL("filename",A1),FIND("[",CELL("filename",A1))-1)&amp;"4.상부강화노반\27_하부노반 시공\표준서\하부노반 시공_표준서.html", "👉 [클릭] 표준서 열기 📄")</f>
        <v/>
      </c>
      <c r="O28" s="47" t="inlineStr">
        <is>
          <t>1) LWD 동적 평판재하시험기 교정 ➔ 2) 1,000m²당 1회 무작위 시험 ➔ 3) 1차/2차 하중 재하 Ev2/Ev1 산출 ➔ 4) Ev2 ≥ 60 MPa 성적서 감리 승인</t>
        </is>
      </c>
      <c r="P28" s="64">
        <f>HYPERLINK(LEFT(CELL("filename",A1),FIND("[",CELL("filename",A1))-1)&amp;"4.상부강화노반\27_하부노반 시공\수행지침\하부노반 시공_수행지침.html", "👉 [클릭] 수행지침 열기 📄")</f>
        <v/>
      </c>
      <c r="Q28" s="47" t="inlineStr">
        <is>
          <t>LWD 동적 평판재하시험 1,000m²당 1회, 2차 변형계수 Ev2 ≥ 60 MPa 및 비율 Ev2/Ev1 ≤ 2.2 검측</t>
        </is>
      </c>
      <c r="R28" s="71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45" t="n"/>
    </row>
    <row r="29" ht="115.2" customHeight="1">
      <c r="A29" s="77" t="inlineStr">
        <is>
          <t>9000</t>
        </is>
      </c>
      <c r="B29" s="77" t="inlineStr">
        <is>
          <t>9000-4</t>
        </is>
      </c>
      <c r="C29" s="77" t="inlineStr">
        <is>
          <t>상부강화노반</t>
        </is>
      </c>
      <c r="D29" s="77" t="inlineStr">
        <is>
          <t>9000-4-28</t>
        </is>
      </c>
      <c r="E29" s="79" t="inlineStr">
        <is>
          <t>9000-4-27</t>
        </is>
      </c>
      <c r="F29" s="79" t="inlineStr">
        <is>
          <t>9000-4-29</t>
        </is>
      </c>
      <c r="G29" s="45" t="inlineStr">
        <is>
          <t>D+10~180</t>
        </is>
      </c>
      <c r="H29" s="45" t="inlineStr">
        <is>
          <t>상부노반 시공</t>
        </is>
      </c>
      <c r="I29" s="45" t="inlineStr">
        <is>
          <t>현장 공사팀</t>
        </is>
      </c>
      <c r="J29" s="47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47" t="inlineStr">
        <is>
          <t>1) 3m 알루미늄 직선자 교정 ➔ 2) 20m 간격 종횡단 연속 검측 ➔ 3) 갭 오차(±10mm) 요철 삭평/재다짐 ➔ 4) 평탄성 검측 성과표 감리 승인</t>
        </is>
      </c>
      <c r="L29" s="47" t="inlineStr">
        <is>
          <t>3m 알루미늄 직선자 20m 간격 연속 측정, 최대 갭 오차 ±10mm 이내 통제 및 요철 삭평/재다짐</t>
        </is>
      </c>
      <c r="M29" s="47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63">
        <f>HYPERLINK(LEFT(CELL("filename",A1),FIND("[",CELL("filename",A1))-1)&amp;"4.상부강화노반\28_상부노반 시공\표준서\상부노반 시공_표준서.html", "👉 [클릭] 표준서 열기 📄")</f>
        <v/>
      </c>
      <c r="O29" s="47" t="inlineStr">
        <is>
          <t>1) 3m 알루미늄 직선자 교정 ➔ 2) 20m 간격 종횡단 연속 검측 ➔ 3) 갭 오차(±10mm) 요철 삭평/재다짐 ➔ 4) 평탄성 검측 성과표 감리 승인</t>
        </is>
      </c>
      <c r="P29" s="64">
        <f>HYPERLINK(LEFT(CELL("filename",A1),FIND("[",CELL("filename",A1))-1)&amp;"4.상부강화노반\28_상부노반 시공\수행지침\상부노반 시공_수행지침.html", "👉 [클릭] 수행지침 열기 📄")</f>
        <v/>
      </c>
      <c r="Q29" s="47" t="inlineStr">
        <is>
          <t>3m 알루미늄 직선자 20m 간격 연속 측정, 최대 갭 오차 ±10mm 이내 통제 및 요철 삭평/재다짐</t>
        </is>
      </c>
      <c r="R29" s="71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45" t="n"/>
    </row>
    <row r="30" ht="115.2" customHeight="1">
      <c r="A30" s="77" t="inlineStr">
        <is>
          <t>9000</t>
        </is>
      </c>
      <c r="B30" s="77" t="inlineStr">
        <is>
          <t>9000-4</t>
        </is>
      </c>
      <c r="C30" s="77" t="inlineStr">
        <is>
          <t>상부강화노반</t>
        </is>
      </c>
      <c r="D30" s="77" t="inlineStr">
        <is>
          <t>9000-4-29</t>
        </is>
      </c>
      <c r="E30" s="79" t="inlineStr">
        <is>
          <t>9000-4-28</t>
        </is>
      </c>
      <c r="F30" s="79" t="inlineStr">
        <is>
          <t>9000-4-30</t>
        </is>
      </c>
      <c r="G30" s="45" t="inlineStr">
        <is>
          <t>D+10~180</t>
        </is>
      </c>
      <c r="H30" s="45" t="inlineStr">
        <is>
          <t>강화노반 시공</t>
        </is>
      </c>
      <c r="I30" s="45" t="inlineStr">
        <is>
          <t>현장 공사팀</t>
        </is>
      </c>
      <c r="J30" s="47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47" t="inlineStr">
        <is>
          <t>1) GRS80 토탈스테이션 정밀 세팅 ➔ 2) 10m 간격 중심선 &amp; 표고 실측 ➔ 3) 3D BIM CAD 좌표(오차 ±10mm) 대조 ➔ 4) 종횡단 성과표 감리 승인</t>
        </is>
      </c>
      <c r="L30" s="47" t="inlineStr">
        <is>
          <t>GRS80 광학 토탈스테이션 10m 간격 측정, 궤도 중심선(X,Y) 및 표고(Z) 오차 ±10mm 3D BIM 검측</t>
        </is>
      </c>
      <c r="M30" s="47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63">
        <f>HYPERLINK(LEFT(CELL("filename",A1),FIND("[",CELL("filename",A1))-1)&amp;"4.상부강화노반\29_강화노반 시공\표준서\강화노반 시공_표준서.html", "👉 [클릭] 표준서 열기 📄")</f>
        <v/>
      </c>
      <c r="O30" s="47" t="inlineStr">
        <is>
          <t>1) GRS80 토탈스테이션 정밀 세팅 ➔ 2) 10m 간격 중심선 &amp; 표고 실측 ➔ 3) 3D BIM CAD 좌표(오차 ±10mm) 대조 ➔ 4) 종횡단 성과표 감리 승인</t>
        </is>
      </c>
      <c r="P30" s="64">
        <f>HYPERLINK(LEFT(CELL("filename",A1),FIND("[",CELL("filename",A1))-1)&amp;"4.상부강화노반\29_강화노반 시공\수행지침\강화노반 시공_수행지침.html", "👉 [클릭] 수행지침 열기 📄")</f>
        <v/>
      </c>
      <c r="Q30" s="47" t="inlineStr">
        <is>
          <t>GRS80 광학 토탈스테이션 10m 간격 측정, 궤도 중심선(X,Y) 및 표고(Z) 오차 ±10mm 3D BIM 검측</t>
        </is>
      </c>
      <c r="R30" s="71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45" t="n"/>
    </row>
    <row r="31" ht="115.2" customHeight="1">
      <c r="A31" s="77" t="inlineStr">
        <is>
          <t>9000</t>
        </is>
      </c>
      <c r="B31" s="77" t="inlineStr">
        <is>
          <t>9000-4</t>
        </is>
      </c>
      <c r="C31" s="77" t="inlineStr">
        <is>
          <t>상부강화노반</t>
        </is>
      </c>
      <c r="D31" s="77" t="inlineStr">
        <is>
          <t>9000-4-30</t>
        </is>
      </c>
      <c r="E31" s="79" t="inlineStr">
        <is>
          <t>9000-4-29</t>
        </is>
      </c>
      <c r="F31" s="79" t="inlineStr">
        <is>
          <t>9000-4-31</t>
        </is>
      </c>
      <c r="G31" s="45" t="inlineStr">
        <is>
          <t>D+45~180</t>
        </is>
      </c>
      <c r="H31" s="45" t="inlineStr">
        <is>
          <t>토공 유동운반/사토</t>
        </is>
      </c>
      <c r="I31" s="45" t="inlineStr">
        <is>
          <t>현장 공사팀</t>
        </is>
      </c>
      <c r="J31" s="47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47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47" t="inlineStr">
        <is>
          <t>감리단 부적합(NCR) 수령 후 해당 구역 표면 15cm 파쇄, OMC 살수 재다짐 및 1:1 재검측 서면 종결</t>
        </is>
      </c>
      <c r="M31" s="47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63">
        <f>HYPERLINK(LEFT(CELL("filename",A1),FIND("[",CELL("filename",A1))-1)&amp;"4.상부강화노반\30_토공 유동운반_사토\표준서\토공 유동운반_사토_표준서.html", "👉 [클릭] 표준서 열기 📄")</f>
        <v/>
      </c>
      <c r="O31" s="47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64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47" t="inlineStr">
        <is>
          <t>감리단 부적합(NCR) 수령 후 해당 구역 표면 15cm 파쇄, OMC 살수 재다짐 및 1:1 재검측 서면 종결</t>
        </is>
      </c>
      <c r="R31" s="71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45" t="n"/>
    </row>
    <row r="32" ht="115.2" customHeight="1">
      <c r="A32" s="77" t="inlineStr">
        <is>
          <t>9000</t>
        </is>
      </c>
      <c r="B32" s="77" t="inlineStr">
        <is>
          <t>9000-4</t>
        </is>
      </c>
      <c r="C32" s="77" t="inlineStr">
        <is>
          <t>상부강화노반</t>
        </is>
      </c>
      <c r="D32" s="77" t="inlineStr">
        <is>
          <t>9000-4-31</t>
        </is>
      </c>
      <c r="E32" s="79" t="inlineStr">
        <is>
          <t>9000-4-30</t>
        </is>
      </c>
      <c r="F32" s="79" t="inlineStr">
        <is>
          <t>9000-4-32</t>
        </is>
      </c>
      <c r="G32" s="45" t="inlineStr">
        <is>
          <t>D+45~240</t>
        </is>
      </c>
      <c r="H32" s="45" t="inlineStr">
        <is>
          <t>연약지반처리(필요시)</t>
        </is>
      </c>
      <c r="I32" s="45" t="inlineStr">
        <is>
          <t>현장 공사팀</t>
        </is>
      </c>
      <c r="J32" s="47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47" t="inlineStr">
        <is>
          <t>1) 성토 사면 경사(1:1.5 이하) 측량 ➔ 2) 사면 다짐도(≥ 90%) 검측 ➔ 3) 식생 거적(Jute Mat) 30cm 겹침 부설 ➔ 4) 사면 다짐 성과표 감리 승인</t>
        </is>
      </c>
      <c r="L32" s="47" t="inlineStr">
        <is>
          <t>성토 사면 비탈면 경사(1:1.5 이하) 측량, 사면 다짐도 ≥ 90% 검측 및 식생 거적(Jute Mat) 부설</t>
        </is>
      </c>
      <c r="M32" s="47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63">
        <f>HYPERLINK(LEFT(CELL("filename",A1),FIND("[",CELL("filename",A1))-1)&amp;"4.상부강화노반\31_연약지반처리(필요시)\표준서\연약지반처리_표준서.html", "👉 [클릭] 표준서 열기 📄")</f>
        <v/>
      </c>
      <c r="O32" s="47" t="inlineStr">
        <is>
          <t>1) 성토 사면 경사(1:1.5 이하) 측량 ➔ 2) 사면 다짐도(≥ 90%) 검측 ➔ 3) 식생 거적(Jute Mat) 30cm 겹침 부설 ➔ 4) 사면 다짐 성과표 감리 승인</t>
        </is>
      </c>
      <c r="P32" s="64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47" t="inlineStr">
        <is>
          <t>성토 사면 비탈면 경사(1:1.5 이하) 측량, 사면 다짐도 ≥ 90% 검측 및 식생 거적(Jute Mat) 부설</t>
        </is>
      </c>
      <c r="R32" s="71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45" t="n"/>
    </row>
    <row r="33" ht="115.2" customHeight="1">
      <c r="A33" s="77" t="inlineStr">
        <is>
          <t>9000</t>
        </is>
      </c>
      <c r="B33" s="77" t="inlineStr">
        <is>
          <t>9000-4</t>
        </is>
      </c>
      <c r="C33" s="77" t="inlineStr">
        <is>
          <t>상부강화노반</t>
        </is>
      </c>
      <c r="D33" s="77" t="inlineStr">
        <is>
          <t>9000-4-32</t>
        </is>
      </c>
      <c r="E33" s="79" t="inlineStr">
        <is>
          <t>9000-4-31</t>
        </is>
      </c>
      <c r="F33" s="79" t="inlineStr">
        <is>
          <t>9000-4-33</t>
        </is>
      </c>
      <c r="G33" s="45" t="inlineStr">
        <is>
          <t>D+45~180</t>
        </is>
      </c>
      <c r="H33" s="45" t="inlineStr">
        <is>
          <t>절성토경계부 배수구조물(맹암거) 시공</t>
        </is>
      </c>
      <c r="I33" s="45" t="inlineStr">
        <is>
          <t>현장 공사팀</t>
        </is>
      </c>
      <c r="J33" s="47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47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47" t="inlineStr">
        <is>
          <t>U형 측구(0.4×0.4m, 버림 10cm) 부설, 집수정 인버트 모타르 사춤 및 주철 그레이팅 체결/담수 시험</t>
        </is>
      </c>
      <c r="M33" s="47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63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47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64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47" t="inlineStr">
        <is>
          <t>U형 측구(0.4×0.4m, 버림 10cm) 부설, 집수정 인버트 모타르 사춤 및 주철 그레이팅 체결/담수 시험</t>
        </is>
      </c>
      <c r="R33" s="71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45" t="n"/>
    </row>
    <row r="34" ht="115.2" customHeight="1">
      <c r="A34" s="77" t="inlineStr">
        <is>
          <t>9000</t>
        </is>
      </c>
      <c r="B34" s="77" t="inlineStr">
        <is>
          <t>9000-4</t>
        </is>
      </c>
      <c r="C34" s="77" t="inlineStr">
        <is>
          <t>상부강화노반</t>
        </is>
      </c>
      <c r="D34" s="77" t="inlineStr">
        <is>
          <t>9000-4-33</t>
        </is>
      </c>
      <c r="E34" s="79" t="inlineStr">
        <is>
          <t>9000-4-32</t>
        </is>
      </c>
      <c r="F34" s="79" t="inlineStr">
        <is>
          <t>9000-4-34</t>
        </is>
      </c>
      <c r="G34" s="45" t="inlineStr">
        <is>
          <t>D+45~180</t>
        </is>
      </c>
      <c r="H34" s="45" t="inlineStr">
        <is>
          <t>암석쌓기</t>
        </is>
      </c>
      <c r="I34" s="45" t="inlineStr">
        <is>
          <t>현장 공사팀</t>
        </is>
      </c>
      <c r="J34" s="47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47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47" t="inlineStr">
        <is>
          <t>통제 바리케이트(중장비 진입 100% 차단), 미세 분무 살수(골재이탈 예방) 및 완성면 보호 대장 작성</t>
        </is>
      </c>
      <c r="M34" s="47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63">
        <f>HYPERLINK(LEFT(CELL("filename",A1),FIND("[",CELL("filename",A1))-1)&amp;"4.상부강화노반\33_암석쌓기\표준서\암석쌓기_표준서.html", "👉 [클릭] 표준서 열기 📄")</f>
        <v/>
      </c>
      <c r="O34" s="47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64">
        <f>HYPERLINK(LEFT(CELL("filename",A1),FIND("[",CELL("filename",A1))-1)&amp;"4.상부강화노반\33_암석쌓기\수행지침\암석쌓기_수행지침.html", "👉 [클릭] 수행지침 열기 📄")</f>
        <v/>
      </c>
      <c r="Q34" s="47" t="inlineStr">
        <is>
          <t>통제 바리케이트(중장비 진입 100% 차단), 미세 분무 살수(골재이탈 예방) 및 완성면 보호 대장 작성</t>
        </is>
      </c>
      <c r="R34" s="71">
        <f>HYPERLINK(LEFT(CELL("filename",A1),FIND("[",CELL("filename",A1))-1)&amp;"4.상부강화노반\33_암석쌓기\체크리스트\암석쌓기_체크리스트.html", "👉 [클릭] 체크리스트 열기 📄")</f>
        <v/>
      </c>
      <c r="S34" s="45" t="n"/>
    </row>
    <row r="35" ht="115.2" customHeight="1">
      <c r="A35" s="77" t="inlineStr">
        <is>
          <t>9000</t>
        </is>
      </c>
      <c r="B35" s="77" t="inlineStr">
        <is>
          <t>9000-4</t>
        </is>
      </c>
      <c r="C35" s="77" t="inlineStr">
        <is>
          <t>상부강화노반</t>
        </is>
      </c>
      <c r="D35" s="77" t="inlineStr">
        <is>
          <t>9000-4-34</t>
        </is>
      </c>
      <c r="E35" s="79" t="inlineStr">
        <is>
          <t>9000-4-33</t>
        </is>
      </c>
      <c r="F35" s="79" t="inlineStr">
        <is>
          <t>9000-4-35</t>
        </is>
      </c>
      <c r="G35" s="45" t="inlineStr">
        <is>
          <t>D+45~180</t>
        </is>
      </c>
      <c r="H35" s="45" t="inlineStr">
        <is>
          <t>방치기간 확보</t>
        </is>
      </c>
      <c r="I35" s="45" t="inlineStr">
        <is>
          <t>현장 공사팀</t>
        </is>
      </c>
      <c r="J35" s="47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47" t="inlineStr">
        <is>
          <t>1) 일일 인원/장비/물량 집계 ➔ 2) 품질 시험 성적 &amp; TBM 수록 ➔ 3) CSI 전산 시스템 등록 ➔ 4) 책임감리원 일일 서면 직인 결재</t>
        </is>
      </c>
      <c r="L35" s="47" t="inlineStr">
        <is>
          <t>일일 투입 인원/장비/성토 물량(m³) 집계, CSI 전산 관리 시스템 등록 및 감리 일일 서면 직인</t>
        </is>
      </c>
      <c r="M35" s="47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63">
        <f>HYPERLINK(LEFT(CELL("filename",A1),FIND("[",CELL("filename",A1))-1)&amp;"4.상부강화노반\34_방치기간 확보\표준서\방치기간 확보_표준서.html", "👉 [클릭] 표준서 열기 📄")</f>
        <v/>
      </c>
      <c r="O35" s="47" t="inlineStr">
        <is>
          <t>1) 일일 인원/장비/물량 집계 ➔ 2) 품질 시험 성적 &amp; TBM 수록 ➔ 3) CSI 전산 시스템 등록 ➔ 4) 책임감리원 일일 서면 직인 결재</t>
        </is>
      </c>
      <c r="P35" s="64">
        <f>HYPERLINK(LEFT(CELL("filename",A1),FIND("[",CELL("filename",A1))-1)&amp;"4.상부강화노반\34_방치기간 확보\수행지침\방치기간 확보_수행지침.html", "👉 [클릭] 수행지침 열기 📄")</f>
        <v/>
      </c>
      <c r="Q35" s="47" t="inlineStr">
        <is>
          <t>일일 투입 인원/장비/성토 물량(m³) 집계, CSI 전산 관리 시스템 등록 및 감리 일일 서면 직인</t>
        </is>
      </c>
      <c r="R35" s="71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45" t="n"/>
    </row>
    <row r="36" ht="115.2" customHeight="1">
      <c r="A36" s="77" t="inlineStr">
        <is>
          <t>9000</t>
        </is>
      </c>
      <c r="B36" s="77" t="inlineStr">
        <is>
          <t>9000-4</t>
        </is>
      </c>
      <c r="C36" s="77" t="inlineStr">
        <is>
          <t>상부강화노반</t>
        </is>
      </c>
      <c r="D36" s="77" t="inlineStr">
        <is>
          <t>9000-4-35</t>
        </is>
      </c>
      <c r="E36" s="79" t="inlineStr">
        <is>
          <t>9000-4-34</t>
        </is>
      </c>
      <c r="F36" s="79" t="inlineStr">
        <is>
          <t>9000-4-36</t>
        </is>
      </c>
      <c r="G36" s="45" t="inlineStr">
        <is>
          <t>D+55~240</t>
        </is>
      </c>
      <c r="H36" s="45" t="inlineStr">
        <is>
          <t>토공마무리</t>
        </is>
      </c>
      <c r="I36" s="45" t="inlineStr">
        <is>
          <t>현장 공사팀</t>
        </is>
      </c>
      <c r="J36" s="47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47" t="inlineStr">
        <is>
          <t>1) 공종별 검측요청서 24시간 전 제출 ➔ 2) 책임감리원 1:1 현장 입회 ➔ 3) 16개 체크리스트 서명 ➔ 4) 검측 총괄 승인 대장 감리 결재</t>
        </is>
      </c>
      <c r="L36" s="47" t="inlineStr">
        <is>
          <t>공사 착수 24시간 전 검측 요청서 제출, 책임감리원 1:1 현장 입회 및 16개 체크리스트 서명 대장</t>
        </is>
      </c>
      <c r="M36" s="47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63">
        <f>HYPERLINK(LEFT(CELL("filename",A1),FIND("[",CELL("filename",A1))-1)&amp;"4.상부강화노반\35_토공마무리\표준서\토공마무리_표준서.html", "👉 [클릭] 표준서 열기 📄")</f>
        <v/>
      </c>
      <c r="O36" s="47" t="inlineStr">
        <is>
          <t>1) 공종별 검측요청서 24시간 전 제출 ➔ 2) 책임감리원 1:1 현장 입회 ➔ 3) 16개 체크리스트 서명 ➔ 4) 검측 총괄 승인 대장 감리 결재</t>
        </is>
      </c>
      <c r="P36" s="64">
        <f>HYPERLINK(LEFT(CELL("filename",A1),FIND("[",CELL("filename",A1))-1)&amp;"4.상부강화노반\35_토공마무리\수행지침\토공마무리_수행지침.html", "👉 [클릭] 수행지침 열기 📄")</f>
        <v/>
      </c>
      <c r="Q36" s="47" t="inlineStr">
        <is>
          <t>공사 착수 24시간 전 검측 요청서 제출, 책임감리원 1:1 현장 입회 및 16개 체크리스트 서명 대장</t>
        </is>
      </c>
      <c r="R36" s="71">
        <f>HYPERLINK(LEFT(CELL("filename",A1),FIND("[",CELL("filename",A1))-1)&amp;"4.상부강화노반\35_토공마무리\체크리스트\토공마무리_체크리스트.html", "👉 [클릭] 체크리스트 열기 📄")</f>
        <v/>
      </c>
      <c r="S36" s="45" t="n"/>
    </row>
    <row r="37" ht="96" customHeight="1">
      <c r="A37" s="77" t="inlineStr">
        <is>
          <t>9000</t>
        </is>
      </c>
      <c r="B37" s="77" t="inlineStr">
        <is>
          <t>9000-4</t>
        </is>
      </c>
      <c r="C37" s="77" t="inlineStr">
        <is>
          <t>상부강화노반</t>
        </is>
      </c>
      <c r="D37" s="77" t="inlineStr">
        <is>
          <t>9000-4-36</t>
        </is>
      </c>
      <c r="E37" s="79" t="inlineStr">
        <is>
          <t>9000-4-35</t>
        </is>
      </c>
      <c r="F37" s="79" t="inlineStr">
        <is>
          <t>-</t>
        </is>
      </c>
      <c r="G37" s="45" t="inlineStr">
        <is>
          <t>D+55~240</t>
        </is>
      </c>
      <c r="H37" s="45" t="inlineStr">
        <is>
          <t>토공 마무리면 인계</t>
        </is>
      </c>
      <c r="I37" s="45" t="inlineStr">
        <is>
          <t>현장 공사팀</t>
        </is>
      </c>
      <c r="J37" s="47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47" t="inlineStr">
        <is>
          <t>1) 3자(토공-궤도-감리) 합동 현측 ➔ 2) 표고(±10mm) &amp; K30(≥110) 재검측 ➔ 3) 인계인수 합의서 3자 서명 ➔ 4) 상부강화노반 최종 완공 통보</t>
        </is>
      </c>
      <c r="L37" s="47" t="inlineStr">
        <is>
          <t>토공-궤도-감리 3자 합동 현측(표고 ±10mm, K30 ≥ 110), 인계인수 합의서 서명 및 완공 통보</t>
        </is>
      </c>
      <c r="M37" s="47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63">
        <f>HYPERLINK(LEFT(CELL("filename",A1),FIND("[",CELL("filename",A1))-1)&amp;"4.상부강화노반\36_토공 마무리면 인계\표준서\토공 마무리면 인계_표준서.html", "👉 [클릭] 표준서 열기 📄")</f>
        <v/>
      </c>
      <c r="O37" s="47" t="inlineStr">
        <is>
          <t>1) 3자(토공-궤도-감리) 합동 현측 ➔ 2) 표고(±10mm) &amp; K30(≥110) 재검측 ➔ 3) 인계인수 합의서 3자 서명 ➔ 4) 상부강화노반 최종 완공 통보</t>
        </is>
      </c>
      <c r="P37" s="64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47" t="inlineStr">
        <is>
          <t>토공-궤도-감리 3자 합동 현측(표고 ±10mm, K30 ≥ 110), 인계인수 합의서 서명 및 완공 통보</t>
        </is>
      </c>
      <c r="R37" s="71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45" t="n"/>
    </row>
    <row r="38">
      <c r="E38" s="45" t="n"/>
      <c r="F38" s="45" t="n"/>
    </row>
    <row r="39">
      <c r="E39" s="45" t="n"/>
      <c r="F39" s="45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5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S39"/>
  <sheetViews>
    <sheetView view="pageBreakPreview" topLeftCell="B1" zoomScale="55" zoomScaleNormal="55" zoomScaleSheetLayoutView="55" workbookViewId="0">
      <pane xSplit="1" ySplit="1" topLeftCell="L10" activePane="bottomRight" state="frozen"/>
      <selection activeCell="B1" sqref="B1"/>
      <selection pane="topRight" activeCell="C1" sqref="C1"/>
      <selection pane="bottomLeft" activeCell="B2" sqref="B2"/>
      <selection pane="bottomRight" activeCell="W13" sqref="W13"/>
    </sheetView>
  </sheetViews>
  <sheetFormatPr baseColWidth="8" defaultColWidth="11.8984375" defaultRowHeight="19.2"/>
  <cols>
    <col width="11.8984375" customWidth="1" style="40" min="1" max="3"/>
    <col width="15" customWidth="1" style="22" min="4" max="4"/>
    <col width="16" customWidth="1" style="22" min="5" max="6"/>
    <col width="14.3984375" customWidth="1" style="43" min="7" max="7"/>
    <col width="17.19921875" customWidth="1" style="22" min="8" max="8"/>
    <col width="14.3984375" customWidth="1" style="22" min="9" max="9"/>
    <col width="24.19921875" customWidth="1" style="40" min="10" max="10"/>
    <col width="79.09765625" customWidth="1" style="22" min="11" max="11"/>
    <col width="19.8984375" customWidth="1" style="22" min="12" max="12"/>
    <col width="39.59765625" customWidth="1" style="40" min="13" max="13"/>
    <col width="11.8984375" customWidth="1" style="40" min="14" max="14"/>
    <col width="40.8984375" customWidth="1" style="40" min="15" max="15"/>
    <col width="11.59765625" customWidth="1" style="40" min="16" max="16"/>
    <col width="32.796875" bestFit="1" customWidth="1" style="40" min="17" max="17"/>
    <col width="12.296875" customWidth="1" style="74" min="18" max="18"/>
    <col width="18.796875" customWidth="1" style="40" min="19" max="19"/>
    <col width="11.8984375" customWidth="1" min="20" max="57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6" t="inlineStr">
        <is>
          <t>표준서 (Standard) 요약</t>
        </is>
      </c>
      <c r="N1" s="7" t="inlineStr">
        <is>
          <t>표준서 파일 (HTML)</t>
        </is>
      </c>
      <c r="O1" s="6" t="inlineStr">
        <is>
          <t>수행지침 (Guideline) 요약</t>
        </is>
      </c>
      <c r="P1" s="7" t="inlineStr">
        <is>
          <t>수행지침 파일 (HTML)</t>
        </is>
      </c>
      <c r="Q1" s="6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</row>
    <row r="2" ht="96" customHeight="1">
      <c r="A2" s="77" t="inlineStr">
        <is>
          <t>9000</t>
        </is>
      </c>
      <c r="B2" s="77" t="inlineStr">
        <is>
          <t>9000-5</t>
        </is>
      </c>
      <c r="C2" s="77" t="inlineStr">
        <is>
          <t>콘크리트도상</t>
        </is>
      </c>
      <c r="D2" s="77" t="inlineStr">
        <is>
          <t>9000-5-1</t>
        </is>
      </c>
      <c r="E2" s="79" t="inlineStr">
        <is>
          <t>-</t>
        </is>
      </c>
      <c r="F2" s="79" t="inlineStr">
        <is>
          <t>9000-5-2</t>
        </is>
      </c>
      <c r="G2" s="45" t="inlineStr">
        <is>
          <t>D-120 (D-150~D-120)</t>
        </is>
      </c>
      <c r="H2" s="45" t="inlineStr">
        <is>
          <t>설계적정성 검토</t>
        </is>
      </c>
      <c r="I2" s="45" t="inlineStr">
        <is>
          <t>현장소장</t>
        </is>
      </c>
      <c r="J2" s="47" t="inlineStr">
        <is>
          <t>노반부/궤도부 선형 및 종단 일치 등 설계오류 및 누락 확인</t>
        </is>
      </c>
      <c r="K2" s="47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47" t="inlineStr">
        <is>
          <t>설계도면 검토서, 선형대조표</t>
        </is>
      </c>
      <c r="M2" s="47" t="inlineStr">
        <is>
          <t>KDS 47 30 00 궤도 설계기준 및 국토교통부 트램 건설 규칙을 엄격히 준수한다. 노반부-궤도부 선형 및 종단 계획고 일치 오차 0mm 검토.</t>
        </is>
      </c>
      <c r="N2" s="63">
        <f>HYPERLINK(LEFT(CELL("filename",A1),FIND("[",CELL("filename",A1))-1)&amp;"5.콘크리트도상\1_설계적정성 검토\표준서\설계적정성 검토_표준서.html", "👉 [클릭] 표준서 열기 📄")</f>
        <v/>
      </c>
      <c r="O2" s="47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64">
        <f>HYPERLINK(LEFT(CELL("filename",A1),FIND("[",CELL("filename",A1))-1)&amp;"5.콘크리트도상\1_설계적정성 검토\수행지침\설계적정성 검토_수행지침.html", "👉 [클릭] 수행지침 열기 📄")</f>
        <v/>
      </c>
      <c r="Q2" s="47" t="inlineStr">
        <is>
          <t>설계 도면 간섭 검속, 궤도 중심선 계획 표고 대조, 종단 구배 한계치 준수 확인</t>
        </is>
      </c>
      <c r="R2" s="71">
        <f>HYPERLINK(LEFT(CELL("filename",A1),FIND("[",CELL("filename",A1))-1)&amp;"5.콘크리트도상\1_설계적정성 검토\체크리스트\설계적정성 검토_체크리스트.html", "👉 [클릭] 체크리스트 열기 📄")</f>
        <v/>
      </c>
      <c r="S2" s="45" t="n"/>
    </row>
    <row r="3" ht="96" customHeight="1">
      <c r="A3" s="77" t="inlineStr">
        <is>
          <t>9000</t>
        </is>
      </c>
      <c r="B3" s="77" t="inlineStr">
        <is>
          <t>9000-5</t>
        </is>
      </c>
      <c r="C3" s="77" t="inlineStr">
        <is>
          <t>콘크리트도상</t>
        </is>
      </c>
      <c r="D3" s="77" t="inlineStr">
        <is>
          <t>9000-5-2</t>
        </is>
      </c>
      <c r="E3" s="79" t="inlineStr">
        <is>
          <t>9000-5-1</t>
        </is>
      </c>
      <c r="F3" s="79" t="inlineStr">
        <is>
          <t>9000-5-3</t>
        </is>
      </c>
      <c r="G3" s="45" t="inlineStr">
        <is>
          <t>D-100 (D-120~D-100)</t>
        </is>
      </c>
      <c r="H3" s="45" t="inlineStr">
        <is>
          <t>자재 야적장 선정</t>
        </is>
      </c>
      <c r="I3" s="45" t="inlineStr">
        <is>
          <t>현장 공무팀</t>
        </is>
      </c>
      <c r="J3" s="47" t="inlineStr">
        <is>
          <t>콘크리트도상 시공에 필요한 침목, 체결구 등 자재야적 부지 선정</t>
        </is>
      </c>
      <c r="K3" s="47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47" t="inlineStr">
        <is>
          <t>부지사용계약서, 가설야적장 평면도</t>
        </is>
      </c>
      <c r="M3" s="47" t="inlineStr">
        <is>
          <t>침목, 체결구, 홈레일 등 궤도 주요 자재의 현장 보관 기준 수립. 배수 경사 2% 및 지반 다짐도 95% 이상 야적장 확보.</t>
        </is>
      </c>
      <c r="N3" s="63">
        <f>HYPERLINK(LEFT(CELL("filename",A1),FIND("[",CELL("filename",A1))-1)&amp;"5.콘크리트도상\2_자재 야적장 선정\표준서\자재 야적장 선정_표준서.html", "👉 [클릭] 표준서 열기 📄")</f>
        <v/>
      </c>
      <c r="O3" s="47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64">
        <f>HYPERLINK(LEFT(CELL("filename",A1),FIND("[",CELL("filename",A1))-1)&amp;"5.콘크리트도상\2_자재 야적장 선정\수행지침\자재 야적장 선정_수행지침.html", "👉 [클릭] 수행지침 열기 📄")</f>
        <v/>
      </c>
      <c r="Q3" s="47" t="inlineStr">
        <is>
          <t>야적장 지반 다짐도 95% 이상, 배수 경사 2% 이상 확보, 자재 천막 덮개 구비</t>
        </is>
      </c>
      <c r="R3" s="71">
        <f>HYPERLINK(LEFT(CELL("filename",A1),FIND("[",CELL("filename",A1))-1)&amp;"5.콘크리트도상\2_자재 야적장 선정\체크리스트\자재 야적장 선정_체크리스트.html", "👉 [클릭] 체크리스트 열기 📄")</f>
        <v/>
      </c>
      <c r="S3" s="45" t="n"/>
    </row>
    <row r="4" ht="96" customHeight="1">
      <c r="A4" s="77" t="inlineStr">
        <is>
          <t>9000</t>
        </is>
      </c>
      <c r="B4" s="77" t="inlineStr">
        <is>
          <t>9000-5</t>
        </is>
      </c>
      <c r="C4" s="77" t="inlineStr">
        <is>
          <t>콘크리트도상</t>
        </is>
      </c>
      <c r="D4" s="77" t="inlineStr">
        <is>
          <t>9000-5-3</t>
        </is>
      </c>
      <c r="E4" s="79" t="inlineStr">
        <is>
          <t>9000-5-2</t>
        </is>
      </c>
      <c r="F4" s="79" t="inlineStr">
        <is>
          <t>9000-5-4</t>
        </is>
      </c>
      <c r="G4" s="45" t="inlineStr">
        <is>
          <t>D-100 (D-120~D-100)</t>
        </is>
      </c>
      <c r="H4" s="45" t="inlineStr">
        <is>
          <t>레일 용접장 선정</t>
        </is>
      </c>
      <c r="I4" s="45" t="inlineStr">
        <is>
          <t>현장 공무팀</t>
        </is>
      </c>
      <c r="J4" s="47" t="inlineStr">
        <is>
          <t>정척레일 15본을 용접하여 200m 이상의 장대레일 제작하는 작업장을 선정 (타분야 인터페이스 고려)</t>
        </is>
      </c>
      <c r="K4" s="47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47" t="inlineStr">
        <is>
          <t>용접장 임시지정서, NDT 검사실 계획서</t>
        </is>
      </c>
      <c r="M4" s="47" t="inlineStr">
        <is>
          <t>EN 14730 테르밋 및 EN 14587 가스압접 용접을 위한 작업 공간 확보. 정척레일(25m)을 200m 장대로 용접하는 평탄 작업대 수평 오차 ±1mm 이내 확보.</t>
        </is>
      </c>
      <c r="N4" s="63">
        <f>HYPERLINK(LEFT(CELL("filename",A1),FIND("[",CELL("filename",A1))-1)&amp;"5.콘크리트도상\3_레일 용접장 선정\표준서\레일 용접장 선정_표준서.html", "👉 [클릭] 표준서 열기 📄")</f>
        <v/>
      </c>
      <c r="O4" s="47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64">
        <f>HYPERLINK(LEFT(CELL("filename",A1),FIND("[",CELL("filename",A1))-1)&amp;"5.콘크리트도상\3_레일 용접장 선정\수행지침\레일 용접장 선정_수행지침.html", "👉 [클릭] 수행지침 열기 📄")</f>
        <v/>
      </c>
      <c r="Q4" s="47" t="inlineStr">
        <is>
          <t>용접장 평탄성 오차 ±1mm 이내, 전력 공급 및 방풍 시설 완비, NDT(비파괴) 대기 공간 확보</t>
        </is>
      </c>
      <c r="R4" s="71">
        <f>HYPERLINK(LEFT(CELL("filename",A1),FIND("[",CELL("filename",A1))-1)&amp;"5.콘크리트도상\3_레일 용접장 선정\체크리스트\레일 용접장 선정_체크리스트.html", "👉 [클릭] 체크리스트 열기 📄")</f>
        <v/>
      </c>
      <c r="S4" s="45" t="n"/>
    </row>
    <row r="5" ht="134.4" customHeight="1">
      <c r="A5" s="77" t="inlineStr">
        <is>
          <t>9000</t>
        </is>
      </c>
      <c r="B5" s="77" t="inlineStr">
        <is>
          <t>9000-5</t>
        </is>
      </c>
      <c r="C5" s="77" t="inlineStr">
        <is>
          <t>콘크리트도상</t>
        </is>
      </c>
      <c r="D5" s="77" t="inlineStr">
        <is>
          <t>9000-5-4</t>
        </is>
      </c>
      <c r="E5" s="79" t="inlineStr">
        <is>
          <t>9000-5-3</t>
        </is>
      </c>
      <c r="F5" s="79" t="inlineStr">
        <is>
          <t>9000-5-5</t>
        </is>
      </c>
      <c r="G5" s="45" t="inlineStr">
        <is>
          <t>D-90 (D-120~D-90)</t>
        </is>
      </c>
      <c r="H5" s="45" t="inlineStr">
        <is>
          <t>발주전략 KOM</t>
        </is>
      </c>
      <c r="I5" s="45" t="inlineStr">
        <is>
          <t>현장 공무팀</t>
        </is>
      </c>
      <c r="J5" s="47" t="inlineStr">
        <is>
          <t>궤도공사 발주전략 수립 / 발주조건 CP적합 여부 검토</t>
        </is>
      </c>
      <c r="K5" s="47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47" t="inlineStr">
        <is>
          <t>KOM 의사록, 품질 보증 합의서</t>
        </is>
      </c>
      <c r="M5" s="47" t="inlineStr">
        <is>
          <t>KCS 47 30 00 시방 기준 준수. 궤도 자재 품질 확인서 및 외산 홈레일 조달 리스크 대응 전략 수립.</t>
        </is>
      </c>
      <c r="N5" s="63">
        <f>HYPERLINK(LEFT(CELL("filename",A1),FIND("[",CELL("filename",A1))-1)&amp;"5.콘크리트도상\4_발주전략 KOM\표준서\발주전략 KOM_표준서.html", "👉 [클릭] 표준서 열기 📄")</f>
        <v/>
      </c>
      <c r="O5" s="47" t="inlineStr">
        <is>
          <t>1) 제조사 공장검사(FAT) 항목 및 궤도 정밀 검측 공차 기준 전파
2) KDS 47 30 00 및 KS 규격 만족 자재 목록 및 세부 발주 물량 확정</t>
        </is>
      </c>
      <c r="P5" s="64">
        <f>HYPERLINK(LEFT(CELL("filename",A1),FIND("[",CELL("filename",A1))-1)&amp;"5.콘크리트도상\4_발주전략 KOM\수행지침\발주전략 KOM_수행지침.html", "👉 [클릭] 수행지침 열기 📄")</f>
        <v/>
      </c>
      <c r="Q5" s="47" t="inlineStr">
        <is>
          <t>품질 요구조건 특기시방서 의결, 외산 홈레일 선적일정 검토, 자재 인도 시점 확약</t>
        </is>
      </c>
      <c r="R5" s="71">
        <f>HYPERLINK(LEFT(CELL("filename",A1),FIND("[",CELL("filename",A1))-1)&amp;"5.콘크리트도상\4_발주전략 KOM\체크리스트\발주전략 KOM_체크리스트.html", "👉 [클릭] 체크리스트 열기 📄")</f>
        <v/>
      </c>
      <c r="S5" s="45" t="n"/>
    </row>
    <row r="6" ht="96" customHeight="1">
      <c r="A6" s="77" t="inlineStr">
        <is>
          <t>9000</t>
        </is>
      </c>
      <c r="B6" s="77" t="inlineStr">
        <is>
          <t>9000-5</t>
        </is>
      </c>
      <c r="C6" s="77" t="inlineStr">
        <is>
          <t>콘크리트도상</t>
        </is>
      </c>
      <c r="D6" s="77" t="inlineStr">
        <is>
          <t>9000-5-5</t>
        </is>
      </c>
      <c r="E6" s="79" t="inlineStr">
        <is>
          <t>9000-5-4</t>
        </is>
      </c>
      <c r="F6" s="79" t="inlineStr">
        <is>
          <t>9000-5-6</t>
        </is>
      </c>
      <c r="G6" s="45" t="inlineStr">
        <is>
          <t>D-60 (D-90~D-60)</t>
        </is>
      </c>
      <c r="H6" s="45" t="inlineStr">
        <is>
          <t>최고의 팀 만들기 지원</t>
        </is>
      </c>
      <c r="I6" s="45" t="inlineStr">
        <is>
          <t>외주관리팀</t>
        </is>
      </c>
      <c r="J6" s="47" t="inlineStr">
        <is>
          <t>우수 협력사 및 작업반 선정</t>
        </is>
      </c>
      <c r="K6" s="47" t="inlineStr">
        <is>
          <t>- 동일 환경조건 시공경험 보유 여부 검토
- 투입인원 경력, 현장이해도, 관리역량, 파트너 업체 검증</t>
        </is>
      </c>
      <c r="L6" s="47" t="inlineStr">
        <is>
          <t>협력사 적격성 심사표, 노무안전서약철</t>
        </is>
      </c>
      <c r="M6" s="47" t="inlineStr">
        <is>
          <t>EN ISO 9606-1 용접 자격자 및 궤도 정밀 검측원(Track Master 운용원) 확보 심사 기준.</t>
        </is>
      </c>
      <c r="N6" s="63">
        <f>HYPERLINK(LEFT(CELL("filename",A1),FIND("[",CELL("filename",A1))-1)&amp;"5.콘크리트도상\5_최고의 팀 만들기 지원\표준서\최고의 팀 만들기 지원_표준서.html", "👉 [클릭] 표준서 열기 📄")</f>
        <v/>
      </c>
      <c r="O6" s="47" t="inlineStr">
        <is>
          <t>1) EN ISO 14730 용접원 자격증 및 광학 측량 기술자 자격 검증
2) 스핀들 게이지 조정, 캔트 달성구배, 테르밋 산화반응 제어 사전 모의 훈련</t>
        </is>
      </c>
      <c r="P6" s="64">
        <f>HYPERLINK(LEFT(CELL("filename",A1),FIND("[",CELL("filename",A1))-1)&amp;"5.콘크리트도상\5_최고의 팀 만들기 지원\수행지침\최고의 팀 만들기 지원_수행지침.html", "👉 [클릭] 수행지침 열기 📄")</f>
        <v/>
      </c>
      <c r="Q6" s="47" t="inlineStr">
        <is>
          <t>용접공 자격증 원본 대조, 정밀 검측 장비 검교정 확인, 궤도 전문 기술사 면허 검토</t>
        </is>
      </c>
      <c r="R6" s="71">
        <f>HYPERLINK(LEFT(CELL("filename",A1),FIND("[",CELL("filename",A1))-1)&amp;"5.콘크리트도상\5_최고의 팀 만들기 지원\체크리스트\최고의 팀 만들기 지원_체크리스트.html", "👉 [클릭] 체크리스트 열기 📄")</f>
        <v/>
      </c>
      <c r="S6" s="45" t="n"/>
    </row>
    <row r="7" ht="76.8" customHeight="1">
      <c r="A7" s="77" t="inlineStr">
        <is>
          <t>9000</t>
        </is>
      </c>
      <c r="B7" s="77" t="inlineStr">
        <is>
          <t>9000-5</t>
        </is>
      </c>
      <c r="C7" s="77" t="inlineStr">
        <is>
          <t>콘크리트도상</t>
        </is>
      </c>
      <c r="D7" s="77" t="inlineStr">
        <is>
          <t>9000-5-6</t>
        </is>
      </c>
      <c r="E7" s="79" t="inlineStr">
        <is>
          <t>9000-5-5</t>
        </is>
      </c>
      <c r="F7" s="79" t="inlineStr">
        <is>
          <t>9000-5-7</t>
        </is>
      </c>
      <c r="G7" s="45" t="inlineStr">
        <is>
          <t>D-70 (D-70~D-60)</t>
        </is>
      </c>
      <c r="H7" s="45" t="inlineStr">
        <is>
          <t>콘크리트 타설방법/계획 검토</t>
        </is>
      </c>
      <c r="I7" s="45" t="inlineStr">
        <is>
          <t>현장 공사팀</t>
        </is>
      </c>
      <c r="J7" s="47" t="inlineStr">
        <is>
          <t>현장여건에 따른 구간/위치별 적정 타설방법 및 계획 검토</t>
        </is>
      </c>
      <c r="K7" s="47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47" t="inlineStr">
        <is>
          <t>콘크리트 타설공정 계획서, 펌프카 배치도</t>
        </is>
      </c>
      <c r="M7" s="47" t="inlineStr">
        <is>
          <t>KCS 47 30 00 콘크리트 궤도 시방 준수. 펌프카 타설압력에 의한 궤광 변위 방지 지지 계획 수립.</t>
        </is>
      </c>
      <c r="N7" s="63">
        <f>HYPERLINK(LEFT(CELL("filename",A1),FIND("[",CELL("filename",A1))-1)&amp;"5.콘크리트도상\6_콘크리트 타설방법_계획 검토\표준서\콘크리트 타설방법_계획 검토_표준서.html", "👉 [클릭] 표준서 열기 📄")</f>
        <v/>
      </c>
      <c r="O7" s="47" t="inlineStr">
        <is>
          <t>1) TCL 콘크리트(f_ck ≥ 30 MPa) 및 PST 충전재(f_ck ≥ 45 MPa) 배합 성적서 확인
2) 레미콘 운반시간(60분 이내) 및 펌프카 배치 공간 사전 확보</t>
        </is>
      </c>
      <c r="P7" s="64">
        <f>HYPERLINK(LEFT(CELL("filename",A1),FIND("[",CELL("filename",A1))-1)&amp;"5.콘크리트도상\6_콘크리트 타설방법_계획 검토\수행지침\콘크리트 타설방법_계획 검토_수행지침.html", "👉 [클릭] 수행지침 열기 📄")</f>
        <v/>
      </c>
      <c r="Q7" s="47" t="inlineStr">
        <is>
          <t>구간별 펌프카 배치도 작성, 타설 시 궤광 고정 잭 지지 계획 승인, 콘크리트 슬럼프 품질 확인</t>
        </is>
      </c>
      <c r="R7" s="71">
        <f>HYPERLINK(LEFT(CELL("filename",A1),FIND("[",CELL("filename",A1))-1)&amp;"5.콘크리트도상\6_콘크리트 타설방법_계획 검토\체크리스트\콘크리트 타설방법_계획 검토_체크리스트.html", "👉 [클릭] 체크리스트 열기 📄")</f>
        <v/>
      </c>
      <c r="S7" s="45" t="n"/>
    </row>
    <row r="8" ht="219.6" customHeight="1">
      <c r="A8" s="77" t="inlineStr">
        <is>
          <t>9000</t>
        </is>
      </c>
      <c r="B8" s="77" t="inlineStr">
        <is>
          <t>9000-5</t>
        </is>
      </c>
      <c r="C8" s="77" t="inlineStr">
        <is>
          <t>콘크리트도상</t>
        </is>
      </c>
      <c r="D8" s="77" t="inlineStr">
        <is>
          <t>9000-5-7</t>
        </is>
      </c>
      <c r="E8" s="79" t="inlineStr">
        <is>
          <t>9000-5-6</t>
        </is>
      </c>
      <c r="F8" s="79" t="inlineStr">
        <is>
          <t>9000-5-8</t>
        </is>
      </c>
      <c r="G8" s="45" t="inlineStr">
        <is>
          <t>D-60</t>
        </is>
      </c>
      <c r="H8" s="45" t="inlineStr">
        <is>
          <t>작수전 Big Room 회의</t>
        </is>
      </c>
      <c r="I8" s="45" t="inlineStr">
        <is>
          <t>현장소장</t>
        </is>
      </c>
      <c r="J8" s="47" t="inlineStr">
        <is>
          <t>궤도공사 수행 시 공정계획 수립 / 수행 시 예상가능한 Risk 검토</t>
        </is>
      </c>
      <c r="K8" s="47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47" t="inlineStr">
        <is>
          <t>빅룸 회의록, 인터페이스 대장</t>
        </is>
      </c>
      <c r="M8" s="47" t="inlineStr">
        <is>
          <t>노반-궤도 간 인터페이스, 신호 루프 센서 및 누설 전류(Stray Current) 부식 방지 디오드 접지선 매설 계획 의결.</t>
        </is>
      </c>
      <c r="N8" s="63">
        <f>HYPERLINK(LEFT(CELL("filename",A1),FIND("[",CELL("filename",A1))-1)&amp;"5.콘크리트도상\7_작수전 Big Room 회의\표준서\작수전 Big Room 회의_표준서.html", "👉 [클릭] 표준서 열기 📄")</f>
        <v/>
      </c>
      <c r="O8" s="47" t="inlineStr">
        <is>
          <t>1) 노반-궤도 인수인계 높이 공차 및 신호 루프센서 위치 취합
2) 도로 매설 궤도 표면과 도로 포장 표면 마감 높이 일치성 확정</t>
        </is>
      </c>
      <c r="P8" s="64">
        <f>HYPERLINK(LEFT(CELL("filename",A1),FIND("[",CELL("filename",A1))-1)&amp;"5.콘크리트도상\7_작수전 Big Room 회의\수행지침\작수전 Big Room 회의_수행지침.html", "👉 [클릭] 수행지침 열기 📄")</f>
        <v/>
      </c>
      <c r="Q8" s="47" t="inlineStr">
        <is>
          <t>신호 센서 매설 위치 철근 간섭 해결, 접지선 용접부 연속성 확인, 부서 합동 서명 날인</t>
        </is>
      </c>
      <c r="R8" s="71">
        <f>HYPERLINK(LEFT(CELL("filename",A1),FIND("[",CELL("filename",A1))-1)&amp;"5.콘크리트도상\7_작수전 Big Room 회의\체크리스트\작수전 Big Room 회의_체크리스트.html", "👉 [클릭] 체크리스트 열기 📄")</f>
        <v/>
      </c>
      <c r="S8" s="45" t="n"/>
    </row>
    <row r="9" ht="76.8" customHeight="1">
      <c r="A9" s="77" t="inlineStr">
        <is>
          <t>9000</t>
        </is>
      </c>
      <c r="B9" s="77" t="inlineStr">
        <is>
          <t>9000-5</t>
        </is>
      </c>
      <c r="C9" s="77" t="inlineStr">
        <is>
          <t>콘크리트도상</t>
        </is>
      </c>
      <c r="D9" s="77" t="inlineStr">
        <is>
          <t>9000-5-8</t>
        </is>
      </c>
      <c r="E9" s="79" t="inlineStr">
        <is>
          <t>9000-5-7</t>
        </is>
      </c>
      <c r="F9" s="79" t="inlineStr">
        <is>
          <t>9000-5-9</t>
        </is>
      </c>
      <c r="G9" s="45" t="inlineStr">
        <is>
          <t>D-60</t>
        </is>
      </c>
      <c r="H9" s="45" t="inlineStr">
        <is>
          <t>장비,자재 반입로/반입구 간섭 검토</t>
        </is>
      </c>
      <c r="I9" s="45" t="inlineStr">
        <is>
          <t>현장공사팀</t>
        </is>
      </c>
      <c r="J9" s="47" t="inlineStr">
        <is>
          <t>장비, 자재의 반입로/반입구의 타공종 간섭 검토</t>
        </is>
      </c>
      <c r="K9" s="47" t="inlineStr">
        <is>
          <t>- 자재반입 시 노반 시공 간섭 검토
- 자재반입로/반입구 사용가능 시기 검토</t>
        </is>
      </c>
      <c r="L9" s="47" t="inlineStr">
        <is>
          <t>반입로 시뮬레이션 보고서, 도로점용 허가서</t>
        </is>
      </c>
      <c r="M9" s="47" t="inlineStr">
        <is>
          <t>장대레일 운반 트레일러(길이 25m 이상) 도로 회전 반경 R=15m 확보 및 타공종 가설재 간섭 배제.</t>
        </is>
      </c>
      <c r="N9" s="63">
        <f>HYPERLINK(LEFT(CELL("filename",A1),FIND("[",CELL("filename",A1))-1)&amp;"5.콘크리트도상\8_장비,자재 반입로_반입구 간섭 검토\표준서\장비,자재 반입로_반입구 간섭 검토_표준서.html", "👉 [클릭] 표준서 열기 📄")</f>
        <v/>
      </c>
      <c r="O9" s="47" t="inlineStr">
        <is>
          <t>1) 상부 신호등/가공전선 이격거리(5m 이상) 및 도로점용 허가 구역 조사
2) 전담 신호수 배치 및 대형 레일 운반 차량 유도</t>
        </is>
      </c>
      <c r="P9" s="64">
        <f>HYPERLINK(LEFT(CELL("filename",A1),FIND("[",CELL("filename",A1))-1)&amp;"5.콘크리트도상\8_장비,자재 반입로_반입구 간섭 검토\수행지침\장비,자재 반입로_반입구 간섭 검토_수행지침.html", "👉 [클릭] 수행지침 열기 📄")</f>
        <v/>
      </c>
      <c r="Q9" s="47" t="inlineStr">
        <is>
          <t>트레일러 회전 시뮬레이션 승인, 가설 비계 간섭 범위 해제, 도로 점용 허가 필증 확인</t>
        </is>
      </c>
      <c r="R9" s="71">
        <f>HYPERLINK(LEFT(CELL("filename",A1),FIND("[",CELL("filename",A1))-1)&amp;"5.콘크리트도상\8_장비,자재 반입로_반입구 간섭 검토\체크리스트\장비,자재 반입로_반입구 간섭 검토_체크리스트.html", "👉 [클릭] 체크리스트 열기 📄")</f>
        <v/>
      </c>
      <c r="S9" s="45" t="n"/>
    </row>
    <row r="10" ht="76.8" customHeight="1">
      <c r="A10" s="77" t="inlineStr">
        <is>
          <t>9000</t>
        </is>
      </c>
      <c r="B10" s="77" t="inlineStr">
        <is>
          <t>9000-5</t>
        </is>
      </c>
      <c r="C10" s="77" t="inlineStr">
        <is>
          <t>콘크리트도상</t>
        </is>
      </c>
      <c r="D10" s="77" t="inlineStr">
        <is>
          <t>9000-5-9</t>
        </is>
      </c>
      <c r="E10" s="79" t="inlineStr">
        <is>
          <t>9000-5-8</t>
        </is>
      </c>
      <c r="F10" s="79" t="inlineStr">
        <is>
          <t>9000-5-10</t>
        </is>
      </c>
      <c r="G10" s="45" t="inlineStr">
        <is>
          <t>D-60</t>
        </is>
      </c>
      <c r="H10" s="45" t="inlineStr">
        <is>
          <t>자재조달계획 검토</t>
        </is>
      </c>
      <c r="I10" s="45" t="inlineStr">
        <is>
          <t>현장관리팀, 현장공사팀</t>
        </is>
      </c>
      <c r="J10" s="47" t="inlineStr">
        <is>
          <t>외산자재 검수 및 반입일정 검토 / 노반 공정에 따른 반입 시기 검토</t>
        </is>
      </c>
      <c r="K10" s="47" t="inlineStr">
        <is>
          <t>- 외산자재 수량 및 위치, 야적장 규모 등을 고려하여 주문 시기 검토
- 노반 인도 구역 및 규모에 따른 자재 조달계획 수립</t>
        </is>
      </c>
      <c r="L10" s="47" t="inlineStr">
        <is>
          <t>자재수급스케줄표, 조달 승인서</t>
        </is>
      </c>
      <c r="M10" s="47" t="inlineStr">
        <is>
          <t>홈레일, 체결구, 탄성 충전재 등 주요 자재의 해상 운송 및 국내 보관 일정 검토. OMC 품질 시방 확보.</t>
        </is>
      </c>
      <c r="N10" s="63">
        <f>HYPERLINK(LEFT(CELL("filename",A1),FIND("[",CELL("filename",A1))-1)&amp;"5.콘크리트도상\9_자재조달계획 검토\표준서\자재조달계획 검토_표준서.html", "👉 [클릭] 표준서 열기 📄")</f>
        <v/>
      </c>
      <c r="O10" s="47" t="inlineStr">
        <is>
          <t>1) 특수 홈레일 및 PST 패널 조달 마스터 일정표 검토
2) PST 슬래브 공장 생산 강도 및 홈레일 단면 검수</t>
        </is>
      </c>
      <c r="P10" s="64">
        <f>HYPERLINK(LEFT(CELL("filename",A1),FIND("[",CELL("filename",A1))-1)&amp;"5.콘크리트도상\9_자재조달계획 검토\수행지침\자재조달계획 검토_수행지침.html", "👉 [클릭] 수행지침 열기 📄")</f>
        <v/>
      </c>
      <c r="Q10" s="47" t="inlineStr">
        <is>
          <t>선적 서류 및 통관 승인서 구비, 국내 야적장 2차 보관 상태 점검, 자재 공급 승인서 확인</t>
        </is>
      </c>
      <c r="R10" s="71">
        <f>HYPERLINK(LEFT(CELL("filename",A1),FIND("[",CELL("filename",A1))-1)&amp;"5.콘크리트도상\9_자재조달계획 검토\체크리스트\자재조달계획 검토_체크리스트.html", "👉 [클릭] 체크리스트 열기 📄")</f>
        <v/>
      </c>
      <c r="S10" s="45" t="n"/>
    </row>
    <row r="11" ht="57.6" customHeight="1">
      <c r="A11" s="77" t="inlineStr">
        <is>
          <t>9000</t>
        </is>
      </c>
      <c r="B11" s="77" t="inlineStr">
        <is>
          <t>9000-5</t>
        </is>
      </c>
      <c r="C11" s="77" t="inlineStr">
        <is>
          <t>콘크리트도상</t>
        </is>
      </c>
      <c r="D11" s="77" t="inlineStr">
        <is>
          <t>9000-5-10</t>
        </is>
      </c>
      <c r="E11" s="79" t="inlineStr">
        <is>
          <t>9000-5-9</t>
        </is>
      </c>
      <c r="F11" s="79" t="inlineStr">
        <is>
          <t>9000-5-11</t>
        </is>
      </c>
      <c r="G11" s="45" t="inlineStr">
        <is>
          <t>D-50 (D-60~50)</t>
        </is>
      </c>
      <c r="H11" s="45" t="inlineStr">
        <is>
          <t>자재 발주 요청</t>
        </is>
      </c>
      <c r="I11" s="45" t="inlineStr">
        <is>
          <t>현장 공무팀</t>
        </is>
      </c>
      <c r="J11" s="47" t="inlineStr">
        <is>
          <t>시공에 필요한 자재 발주</t>
        </is>
      </c>
      <c r="K11" s="47" t="inlineStr">
        <is>
          <t>- 자재 규격 및 반입 일정 계획 수립
- 시공에 필요한 당사 지급자재에 대한 발주 요청
- 지원: GP/SRM팀</t>
        </is>
      </c>
      <c r="L11" s="47" t="inlineStr">
        <is>
          <t>자재청구서, 공급원 승인요청철</t>
        </is>
      </c>
      <c r="M11" s="47" t="inlineStr">
        <is>
          <t>KDS 47 30 00 및 EN 규격 기준 자재 발주서 승인. 공급원 검토 승인 요청서 작성 요령 준수.</t>
        </is>
      </c>
      <c r="N11" s="63">
        <f>HYPERLINK(LEFT(CELL("filename",A1),FIND("[",CELL("filename",A1))-1)&amp;"5.콘크리트도상\10_자재 발주 요청\표준서\자재 발주 요청_표준서.html", "👉 [클릭] 표준서 열기 📄")</f>
        <v/>
      </c>
      <c r="O11" s="47" t="inlineStr">
        <is>
          <t>1) kg/m 레일, 51R1 홈레일, PST 패널 산출 물량 검증
2) 공장 검사(FAT) 조건 및 성적서 첨부 명시</t>
        </is>
      </c>
      <c r="P11" s="64">
        <f>HYPERLINK(LEFT(CELL("filename",A1),FIND("[",CELL("filename",A1))-1)&amp;"5.콘크리트도상\10_자재 발주 요청\수행지침\자재 발주 요청_수행지침.html", "👉 [클릭] 수행지침 열기 📄")</f>
        <v/>
      </c>
      <c r="Q11" s="47" t="inlineStr">
        <is>
          <t>자재 발주 수량 설계 대조, 공급원 승인 필증 원본 확인, 발주 공문 승인 요청</t>
        </is>
      </c>
      <c r="R11" s="71">
        <f>HYPERLINK(LEFT(CELL("filename",A1),FIND("[",CELL("filename",A1))-1)&amp;"5.콘크리트도상\10_자재 발주 요청\체크리스트\자재 발주 요청_체크리스트.html", "👉 [클릭] 체크리스트 열기 📄")</f>
        <v/>
      </c>
      <c r="S11" s="45" t="n"/>
    </row>
    <row r="12" ht="88.8" customHeight="1">
      <c r="A12" s="77" t="inlineStr">
        <is>
          <t>9000</t>
        </is>
      </c>
      <c r="B12" s="77" t="inlineStr">
        <is>
          <t>9000-5</t>
        </is>
      </c>
      <c r="C12" s="77" t="inlineStr">
        <is>
          <t>콘크리트도상</t>
        </is>
      </c>
      <c r="D12" s="77" t="inlineStr">
        <is>
          <t>9000-5-11</t>
        </is>
      </c>
      <c r="E12" s="79" t="inlineStr">
        <is>
          <t>9000-5-10</t>
        </is>
      </c>
      <c r="F12" s="79" t="inlineStr">
        <is>
          <t>9000-5-12</t>
        </is>
      </c>
      <c r="G12" s="45" t="inlineStr">
        <is>
          <t>D-30 (D-60~D-30)</t>
        </is>
      </c>
      <c r="H12" s="45" t="inlineStr">
        <is>
          <t>시공계획 수립</t>
        </is>
      </c>
      <c r="I12" s="45" t="inlineStr">
        <is>
          <t>현장 공사팀/공무팀/안전팀/품질팀</t>
        </is>
      </c>
      <c r="J12" s="47" t="inlineStr">
        <is>
          <t>궤도공 전반에 대한 수행 계획 공유</t>
        </is>
      </c>
      <c r="K12" s="47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47" t="inlineStr">
        <is>
          <t>궤도공사 시공계획서, 안전보건계획서</t>
        </is>
      </c>
      <c r="M12" s="47" t="inlineStr">
        <is>
          <t>콘크리트도상 시공 절차 및 공정 스케줄 작성. 궤간(+3,-1mm), 캔트(±2mm) 관리계획 수립.</t>
        </is>
      </c>
      <c r="N12" s="63">
        <f>HYPERLINK(LEFT(CELL("filename",A1),FIND("[",CELL("filename",A1))-1)&amp;"5.콘크리트도상\11_시공계획 수립\표준서\시공계획 수립_표준서.html", "👉 [클릭] 표준서 열기 📄")</f>
        <v/>
      </c>
      <c r="O12" s="47" t="inlineStr">
        <is>
          <t>1) HBS 노반 지지력 검증 및 궤도 정밀 CP 측량 시공계획 수립
2) 스핀들 게이지 조정, 테르밋 용접(EN 14730) 및 TCL 콘크리트 타설 수칙 수립</t>
        </is>
      </c>
      <c r="P12" s="64">
        <f>HYPERLINK(LEFT(CELL("filename",A1),FIND("[",CELL("filename",A1))-1)&amp;"5.콘크리트도상\11_시공계획 수립\수행지침\11_시공계획 수립_수행지침.html", "👉 [클릭] 수행지침 열기 📄")</f>
        <v/>
      </c>
      <c r="Q12" s="47" t="inlineStr">
        <is>
          <t>시공계획서 감리단 최종 승인, 선형 관리 한계선 설정 확인, 품질보증계획서 제출</t>
        </is>
      </c>
      <c r="R12" s="71">
        <f>HYPERLINK(LEFT(CELL("filename",A1),FIND("[",CELL("filename",A1))-1)&amp;"5.콘크리트도상\11_시공계획 수립\체크리스트\시공계획 수립_체크리스트.html", "👉 [클릭] 체크리스트 열기 📄")</f>
        <v/>
      </c>
      <c r="S12" s="45" t="n"/>
    </row>
    <row r="13" ht="110.4" customHeight="1">
      <c r="A13" s="77" t="inlineStr">
        <is>
          <t>9000</t>
        </is>
      </c>
      <c r="B13" s="77" t="inlineStr">
        <is>
          <t>9000-5</t>
        </is>
      </c>
      <c r="C13" s="77" t="inlineStr">
        <is>
          <t>콘크리트도상</t>
        </is>
      </c>
      <c r="D13" s="77" t="inlineStr">
        <is>
          <t>9000-5-12</t>
        </is>
      </c>
      <c r="E13" s="79" t="inlineStr">
        <is>
          <t>9000-5-11</t>
        </is>
      </c>
      <c r="F13" s="79" t="inlineStr">
        <is>
          <t>9000-5-13</t>
        </is>
      </c>
      <c r="G13" s="45" t="inlineStr">
        <is>
          <t>D-0 (D-30~D-0)</t>
        </is>
      </c>
      <c r="H13" s="45" t="inlineStr">
        <is>
          <t>자재 반입</t>
        </is>
      </c>
      <c r="I13" s="45" t="inlineStr">
        <is>
          <t>현장 공사팀/자재팀</t>
        </is>
      </c>
      <c r="J13" s="47" t="inlineStr">
        <is>
          <t>매립형 궤도/반-PC슬래브용 주요 자재 반입</t>
        </is>
      </c>
      <c r="K13" s="47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47" t="inlineStr">
        <is>
          <t>자재인수검사 대장, 불량재 처리부</t>
        </is>
      </c>
      <c r="M13" s="47" t="inlineStr">
        <is>
          <t>반입 자재의 공장 성적서 대조 및 감리 입회 자재 인수 검사 수행. 변형/균열 자재 전량 반출.</t>
        </is>
      </c>
      <c r="N13" s="63">
        <f>HYPERLINK(LEFT(CELL("filename",A1),FIND("[",CELL("filename",A1))-1)&amp;"5.콘크리트도상\12_자재 반입\표준서\자재 반입_표준서.html", "👉 [클릭] 표준서 열기 📄")</f>
        <v/>
      </c>
      <c r="O13" s="47" t="inlineStr">
        <is>
          <t>1) 송장, 공장 시험성적서 및 KCS 시방 사양 대조
2) 레일 표면 흠집 및 PST 패널 치수 오차(±2mm) 측정</t>
        </is>
      </c>
      <c r="P13" s="64">
        <f>HYPERLINK(LEFT(CELL("filename",A1),FIND("[",CELL("filename",A1))-1)&amp;"5.콘크리트도상\12_자재 반입\수행지침\자재 반입_수행지침.html", "👉 [클릭] 수행지침 열기 📄")</f>
        <v/>
      </c>
      <c r="Q13" s="47" t="inlineStr">
        <is>
          <t>인수 검서 보고서 감리 서명, 자재 고유 마킹 대조, 손상 자재 반출 대장 기록</t>
        </is>
      </c>
      <c r="R13" s="71">
        <f>HYPERLINK(LEFT(CELL("filename",A1),FIND("[",CELL("filename",A1))-1)&amp;"5.콘크리트도상\12_자재 반입\체크리스트\자재 반입_체크리스트.html", "👉 [클릭] 체크리스트 열기 📄")</f>
        <v/>
      </c>
      <c r="S13" s="45" t="n"/>
    </row>
    <row r="14" ht="86.40000000000001" customHeight="1">
      <c r="A14" s="77" t="inlineStr">
        <is>
          <t>9000</t>
        </is>
      </c>
      <c r="B14" s="77" t="inlineStr">
        <is>
          <t>9000-5</t>
        </is>
      </c>
      <c r="C14" s="77" t="inlineStr">
        <is>
          <t>콘크리트도상</t>
        </is>
      </c>
      <c r="D14" s="77" t="inlineStr">
        <is>
          <t>9000-5-13</t>
        </is>
      </c>
      <c r="E14" s="79" t="inlineStr">
        <is>
          <t>9000-5-12</t>
        </is>
      </c>
      <c r="F14" s="79" t="inlineStr">
        <is>
          <t>9000-5-14</t>
        </is>
      </c>
      <c r="G14" s="45" t="inlineStr">
        <is>
          <t>D+1 (D-0~D+1)</t>
        </is>
      </c>
      <c r="H14" s="45" t="inlineStr">
        <is>
          <t>[HBS] 강화노반 확인</t>
        </is>
      </c>
      <c r="I14" s="45" t="inlineStr">
        <is>
          <t>현장 공사팀</t>
        </is>
      </c>
      <c r="J14" s="47" t="inlineStr">
        <is>
          <t>기존 도로구간 노상토의 지지력 검증</t>
        </is>
      </c>
      <c r="K14" s="47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47" t="inlineStr">
        <is>
          <t>강화노반 인수교차측량 대장, PBT 성적철</t>
        </is>
      </c>
      <c r="M14" s="47" t="inlineStr">
        <is>
          <t>기초 노반 표면의 지지력 검증. 평판재하시험 K30 ≥ 110 MN/m³ 또는 Ev2 ≥ 120 MPa 확인.</t>
        </is>
      </c>
      <c r="N14" s="61" t="inlineStr">
        <is>
          <t>-</t>
        </is>
      </c>
      <c r="O14" s="47" t="inlineStr">
        <is>
          <t>1) 노반 공종으로부터 지지력 K70 ≥ 150 MPa/m 성적서 수령
2) 노반 높이 오차(±10mm 이내) 광학 레벨 측량 검증</t>
        </is>
      </c>
      <c r="P14" s="61" t="inlineStr">
        <is>
          <t>-</t>
        </is>
      </c>
      <c r="Q14" s="47" t="inlineStr">
        <is>
          <t>K30 성적서 원본 대조, 노반 마무리면 요철 제거 상태, 횡단 구배 2.0% 만족 확인</t>
        </is>
      </c>
      <c r="R14" s="61" t="inlineStr">
        <is>
          <t>-</t>
        </is>
      </c>
      <c r="S14" s="45" t="n"/>
    </row>
    <row r="15" ht="76.8" customHeight="1">
      <c r="A15" s="77" t="inlineStr">
        <is>
          <t>9000</t>
        </is>
      </c>
      <c r="B15" s="77" t="inlineStr">
        <is>
          <t>9000-5</t>
        </is>
      </c>
      <c r="C15" s="77" t="inlineStr">
        <is>
          <t>콘크리트도상</t>
        </is>
      </c>
      <c r="D15" s="77" t="inlineStr">
        <is>
          <t>9000-5-14</t>
        </is>
      </c>
      <c r="E15" s="79" t="inlineStr">
        <is>
          <t>9000-5-13</t>
        </is>
      </c>
      <c r="F15" s="79" t="inlineStr">
        <is>
          <t>9000-5-15</t>
        </is>
      </c>
      <c r="G15" s="45" t="inlineStr">
        <is>
          <t>D+15 (D+2~D+15)</t>
        </is>
      </c>
      <c r="H15" s="45" t="inlineStr">
        <is>
          <t>[HBS] 콘크리트 타설 및 양생</t>
        </is>
      </c>
      <c r="I15" s="45" t="inlineStr">
        <is>
          <t>현장 공사팀</t>
        </is>
      </c>
      <c r="J15" s="47" t="inlineStr">
        <is>
          <t>강화노반 상부 기초콘크리트로 TCL, 반-PC 슬래브 안정성 확보</t>
        </is>
      </c>
      <c r="K15" s="47" t="inlineStr">
        <is>
          <t>슬럼프 값 10cm 이하, 압축강도 18Mpa 이상 콘크리트 타설
- 품질확보를 위해 공장과 현장 이격거리 4.8km 이내</t>
        </is>
      </c>
      <c r="L15" s="47" t="inlineStr">
        <is>
          <t>HBR 콘크리트 품질시험표, 양생온도일지</t>
        </is>
      </c>
      <c r="M15" s="47" t="inlineStr">
        <is>
          <t>강화노반 상부 기초콘크리트(HBR) 28일 압축강도 ≥ 21 MPa 확보. 고주파 다짐 및 습윤 양생 7일.</t>
        </is>
      </c>
      <c r="N15" s="61" t="inlineStr">
        <is>
          <t>-</t>
        </is>
      </c>
      <c r="O15" s="47" t="inlineStr">
        <is>
          <t>1) 콘크리트 시멘트풀 유출 방지 거푸집 패킹 설치
2) 콜드조인트 방지 연속 타설 및 바이브레이터 밀실 다짐</t>
        </is>
      </c>
      <c r="P15" s="61" t="inlineStr">
        <is>
          <t>-</t>
        </is>
      </c>
      <c r="Q15" s="47" t="inlineStr">
        <is>
          <t>HBR 강도 시험 성적서, 습윤 부직포 포설 상태, 타설 두께 오차 ±10mm 이내 검속</t>
        </is>
      </c>
      <c r="R15" s="61" t="inlineStr">
        <is>
          <t>-</t>
        </is>
      </c>
      <c r="S15" s="45" t="n"/>
    </row>
    <row r="16" ht="76.8" customHeight="1">
      <c r="A16" s="77" t="inlineStr">
        <is>
          <t>9000</t>
        </is>
      </c>
      <c r="B16" s="77" t="inlineStr">
        <is>
          <t>9000-5</t>
        </is>
      </c>
      <c r="C16" s="77" t="inlineStr">
        <is>
          <t>콘크리트도상</t>
        </is>
      </c>
      <c r="D16" s="77" t="inlineStr">
        <is>
          <t>9000-5-15</t>
        </is>
      </c>
      <c r="E16" s="79" t="inlineStr">
        <is>
          <t>9000-5-14</t>
        </is>
      </c>
      <c r="F16" s="79" t="inlineStr">
        <is>
          <t>9000-5-16</t>
        </is>
      </c>
      <c r="G16" s="45" t="inlineStr">
        <is>
          <t>D+15 (D+10~D+15)</t>
        </is>
      </c>
      <c r="H16" s="45" t="inlineStr">
        <is>
          <t>[반-PC 슬래브] 패널반입 및 설치</t>
        </is>
      </c>
      <c r="I16" s="45" t="inlineStr">
        <is>
          <t>현장 공사팀</t>
        </is>
      </c>
      <c r="J16" s="47" t="inlineStr">
        <is>
          <t>궤광지지체 구간의 PC 슬래브로 교차로/교량구간 급속시공 필요</t>
        </is>
      </c>
      <c r="K16" s="47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47" t="inlineStr">
        <is>
          <t>PC슬래브 거치 수준 실측표, 평탄성 대장</t>
        </is>
      </c>
      <c r="M16" s="47" t="inlineStr">
        <is>
          <t>PC 슬래브 패널 평탄성 오차 ±3mm 이내 거치. 광학 토탈스테이션 연동 정밀 3D 얼라인먼트.</t>
        </is>
      </c>
      <c r="N16" s="61" t="inlineStr">
        <is>
          <t>-</t>
        </is>
      </c>
      <c r="O16" s="47" t="inlineStr">
        <is>
          <t>1) 노반 표면 이물질 청소 및 광학 측량기 셋팅
2) 점 인양 빔으로 패널 거치 후 스핀들 게이지 정밀 수평 조정</t>
        </is>
      </c>
      <c r="P16" s="61" t="inlineStr">
        <is>
          <t>-</t>
        </is>
      </c>
      <c r="Q16" s="47" t="inlineStr">
        <is>
          <t>Screw Jack 레벨 정위치 고정, 3D 광학 실측 좌표 일치, 코너 크랙 육안 검사</t>
        </is>
      </c>
      <c r="R16" s="61" t="inlineStr">
        <is>
          <t>-</t>
        </is>
      </c>
      <c r="S16" s="45" t="n"/>
    </row>
    <row r="17" ht="76.8" customHeight="1">
      <c r="A17" s="77" t="inlineStr">
        <is>
          <t>9000</t>
        </is>
      </c>
      <c r="B17" s="77" t="inlineStr">
        <is>
          <t>9000-5</t>
        </is>
      </c>
      <c r="C17" s="77" t="inlineStr">
        <is>
          <t>콘크리트도상</t>
        </is>
      </c>
      <c r="D17" s="77" t="inlineStr">
        <is>
          <t>9000-5-16</t>
        </is>
      </c>
      <c r="E17" s="79" t="inlineStr">
        <is>
          <t>9000-5-15</t>
        </is>
      </c>
      <c r="F17" s="79" t="inlineStr">
        <is>
          <t>9000-5-17</t>
        </is>
      </c>
      <c r="G17" s="45" t="inlineStr">
        <is>
          <t>D+16 (D+16~D+16)</t>
        </is>
      </c>
      <c r="H17" s="45" t="inlineStr">
        <is>
          <t>[PST] 전단앵커설치 및 충전재 주입</t>
        </is>
      </c>
      <c r="I17" s="45" t="inlineStr">
        <is>
          <t>현장 공사팀</t>
        </is>
      </c>
      <c r="J17" s="47" t="inlineStr">
        <is>
          <t>HBS, TCL층과 일체화를 위하여 전단앵커를 설치하고 몰탈 충전재 주입</t>
        </is>
      </c>
      <c r="K17" s="47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47" t="inlineStr">
        <is>
          <t>앵커 시공인장 시험기록, 그라우트 공시체 강도대장</t>
        </is>
      </c>
      <c r="M17" s="47" t="inlineStr">
        <is>
          <t>전단앵커 구멍 천공 깊이 및 수직도 확보. 무수축 모르타르 그라우트 압축강도 ≥ 30 MPa 충전.</t>
        </is>
      </c>
      <c r="N17" s="61" t="inlineStr">
        <is>
          <t>-</t>
        </is>
      </c>
      <c r="O17" s="47" t="inlineStr">
        <is>
          <t>1) 앵커 홀 이물질 제거 및 무수축 그라우트 배합비 확인
2) 음향 탐사로 공기 공동 파악 및 45 MPa 몰드 시험 확인</t>
        </is>
      </c>
      <c r="P17" s="61" t="inlineStr">
        <is>
          <t>-</t>
        </is>
      </c>
      <c r="Q17" s="47" t="inlineStr">
        <is>
          <t>천공 깊이 측정 게이지 점검, 앵커 인장 강도 확인, 원웨이 주입 배출구 몰탈 오버플로우 확인</t>
        </is>
      </c>
      <c r="R17" s="61" t="inlineStr">
        <is>
          <t>-</t>
        </is>
      </c>
      <c r="S17" s="45" t="n"/>
    </row>
    <row r="18" ht="76.8" customHeight="1">
      <c r="A18" s="77" t="inlineStr">
        <is>
          <t>9000</t>
        </is>
      </c>
      <c r="B18" s="77" t="inlineStr">
        <is>
          <t>9000-5</t>
        </is>
      </c>
      <c r="C18" s="77" t="inlineStr">
        <is>
          <t>콘크리트도상</t>
        </is>
      </c>
      <c r="D18" s="77" t="inlineStr">
        <is>
          <t>9000-5-17</t>
        </is>
      </c>
      <c r="E18" s="79" t="inlineStr">
        <is>
          <t>9000-5-16</t>
        </is>
      </c>
      <c r="F18" s="79" t="inlineStr">
        <is>
          <t>9000-5-18</t>
        </is>
      </c>
      <c r="G18" s="45" t="inlineStr">
        <is>
          <t>D+30 (D+17~D+30)</t>
        </is>
      </c>
      <c r="H18" s="45" t="inlineStr">
        <is>
          <t>[TCL] 궤광 및 철근조립</t>
        </is>
      </c>
      <c r="I18" s="45" t="inlineStr">
        <is>
          <t>현장 공사팀</t>
        </is>
      </c>
      <c r="J18" s="47" t="inlineStr">
        <is>
          <t>TCL 철근조립 및 부설시 매립형 궤도를 포함한 궤광의 변위 발생 방지</t>
        </is>
      </c>
      <c r="K18" s="47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47" t="inlineStr">
        <is>
          <t>철근배근 검측서, 신호 이격 거리표</t>
        </is>
      </c>
      <c r="M18" s="47" t="inlineStr">
        <is>
          <t>1,435mm 표준궤 정밀 유지 타이바 설치. 철근 피복 두께 40mm 확보 및 신호 감선 이격 150mm.</t>
        </is>
      </c>
      <c r="N18" s="61" t="inlineStr">
        <is>
          <t>-</t>
        </is>
      </c>
      <c r="O18" s="47" t="inlineStr">
        <is>
          <t>1) CP 광학 레벨기로 궤도 중심선 및 기준 높이 확인
2) 궤간 1,435mm(+3,-1mm) 고정 및 캔트/수평 오차 ±2mm 이내 정밀 정열</t>
        </is>
      </c>
      <c r="P18" s="61" t="inlineStr">
        <is>
          <t>-</t>
        </is>
      </c>
      <c r="Q18" s="47" t="inlineStr">
        <is>
          <t>철근 결속선 긴장 상태, 타이바 조임 토크 확인, 신호 루프 케이블 배근 이격 확인</t>
        </is>
      </c>
      <c r="R18" s="61" t="inlineStr">
        <is>
          <t>-</t>
        </is>
      </c>
      <c r="S18" s="45" t="n"/>
    </row>
    <row r="19" ht="76.8" customHeight="1">
      <c r="A19" s="77" t="inlineStr">
        <is>
          <t>9000</t>
        </is>
      </c>
      <c r="B19" s="77" t="inlineStr">
        <is>
          <t>9000-5</t>
        </is>
      </c>
      <c r="C19" s="77" t="inlineStr">
        <is>
          <t>콘크리트도상</t>
        </is>
      </c>
      <c r="D19" s="77" t="inlineStr">
        <is>
          <t>9000-5-18</t>
        </is>
      </c>
      <c r="E19" s="79" t="inlineStr">
        <is>
          <t>9000-5-17</t>
        </is>
      </c>
      <c r="F19" s="79" t="inlineStr">
        <is>
          <t>9000-5-19</t>
        </is>
      </c>
      <c r="G19" s="45" t="inlineStr">
        <is>
          <t>D+35 (D+31~D+35)</t>
        </is>
      </c>
      <c r="H19" s="45" t="inlineStr">
        <is>
          <t>[TCL] 거푸집 설치</t>
        </is>
      </c>
      <c r="I19" s="45" t="inlineStr">
        <is>
          <t>현장 공사팀</t>
        </is>
      </c>
      <c r="J19" s="47" t="inlineStr">
        <is>
          <t>거푸집 지지대는 철근이 타설압력에 의해 변위가 발생하지 않도록 앵커나 서포트로 고정</t>
        </is>
      </c>
      <c r="K19" s="47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47" t="inlineStr">
        <is>
          <t>거푸집설치 대조표, 박리제 검사철</t>
        </is>
      </c>
      <c r="M19" s="47" t="inlineStr">
        <is>
          <t>타설 측압 대비 서포트 앵커 W=1.0m 간격 고정. 거푸집 수평/수직 처짐 변위 ±2mm 이내 통제.</t>
        </is>
      </c>
      <c r="N19" s="61" t="inlineStr">
        <is>
          <t>-</t>
        </is>
      </c>
      <c r="O19" s="47" t="inlineStr">
        <is>
          <t>1) 거푸집 선형 검측표 작성 후 감리원 검측 승인
2) 거푸집 면 이물질 청소 및 환경 친화 박리제 균일 도포</t>
        </is>
      </c>
      <c r="P19" s="61" t="inlineStr">
        <is>
          <t>-</t>
        </is>
      </c>
      <c r="Q19" s="47" t="inlineStr">
        <is>
          <t>거푸집 지지대 앵커 조임, 박리제 도포 상태, 이음매 틈새 누수 패킹 확인</t>
        </is>
      </c>
      <c r="R19" s="61" t="inlineStr">
        <is>
          <t>-</t>
        </is>
      </c>
      <c r="S19" s="45" t="n"/>
    </row>
    <row r="20" ht="96" customHeight="1">
      <c r="A20" s="77" t="inlineStr">
        <is>
          <t>9000</t>
        </is>
      </c>
      <c r="B20" s="77" t="inlineStr">
        <is>
          <t>9000-5</t>
        </is>
      </c>
      <c r="C20" s="77" t="inlineStr">
        <is>
          <t>콘크리트도상</t>
        </is>
      </c>
      <c r="D20" s="77" t="inlineStr">
        <is>
          <t>9000-5-19</t>
        </is>
      </c>
      <c r="E20" s="79" t="inlineStr">
        <is>
          <t>9000-5-18</t>
        </is>
      </c>
      <c r="F20" s="79" t="inlineStr">
        <is>
          <t>9000-5-20</t>
        </is>
      </c>
      <c r="G20" s="45" t="inlineStr">
        <is>
          <t>D+50 (D+36~D+50)</t>
        </is>
      </c>
      <c r="H20" s="45" t="inlineStr">
        <is>
          <t>[TCL] 콘크리트 타설 및 양생</t>
        </is>
      </c>
      <c r="I20" s="45" t="inlineStr">
        <is>
          <t>현장 공사팀</t>
        </is>
      </c>
      <c r="J20" s="47" t="inlineStr">
        <is>
          <t>TCL은 궤도 부속자재(레일, 고정액상수지 등)가 연결되어 있어, 선형조정 및 연마감 작업이 중요</t>
        </is>
      </c>
      <c r="K20" s="47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47" t="inlineStr">
        <is>
          <t>TCL 콘크리트 품질대장, 게이지 실시간 보정일지</t>
        </is>
      </c>
      <c r="M20" s="47" t="inlineStr">
        <is>
          <t>TCL 도상 콘크리트 강도 ≥ 35 MPa. 타설 중 실시간 궤간척(Gauge Bar) 캔트 오차 ±2mm 보정.</t>
        </is>
      </c>
      <c r="N20" s="61" t="inlineStr">
        <is>
          <t>-</t>
        </is>
      </c>
      <c r="O20" s="47" t="inlineStr">
        <is>
          <t>1) 타설 직전 스핀들 궤간/캔트 최종 정열 상태 측량
2) 고주파 다짐 실시 및 타설 중 실시간 궤간/캔트 오차 미세 조율</t>
        </is>
      </c>
      <c r="P20" s="61" t="inlineStr">
        <is>
          <t>-</t>
        </is>
      </c>
      <c r="Q20" s="47" t="inlineStr">
        <is>
          <t>타설 중 궤간척 실시간 모니터링, 슬럼프 및 공기량 시험, 습윤 양생 부직포 포설 확인</t>
        </is>
      </c>
      <c r="R20" s="61" t="inlineStr">
        <is>
          <t>-</t>
        </is>
      </c>
      <c r="S20" s="45" t="n"/>
    </row>
    <row r="21" ht="96" customHeight="1">
      <c r="A21" s="77" t="inlineStr">
        <is>
          <t>9000</t>
        </is>
      </c>
      <c r="B21" s="77" t="inlineStr">
        <is>
          <t>9000-5</t>
        </is>
      </c>
      <c r="C21" s="77" t="inlineStr">
        <is>
          <t>콘크리트도상</t>
        </is>
      </c>
      <c r="D21" s="77" t="inlineStr">
        <is>
          <t>9000-5-20</t>
        </is>
      </c>
      <c r="E21" s="79" t="inlineStr">
        <is>
          <t>9000-5-19</t>
        </is>
      </c>
      <c r="F21" s="79" t="inlineStr">
        <is>
          <t>9000-5-21</t>
        </is>
      </c>
      <c r="G21" s="45" t="inlineStr">
        <is>
          <t>D+63 (D-60~D+63)</t>
        </is>
      </c>
      <c r="H21" s="45" t="inlineStr">
        <is>
          <t>[레일용접] 가스 압접</t>
        </is>
      </c>
      <c r="I21" s="45" t="inlineStr">
        <is>
          <t>현장 공사팀</t>
        </is>
      </c>
      <c r="J21" s="47" t="inlineStr">
        <is>
          <t>장대레일 제작을 위해 용접기에서 가스로 레일 단부를 가열한 후, 강한 압력을 가하여 레일을 접합</t>
        </is>
      </c>
      <c r="K21" s="47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47" t="inlineStr">
        <is>
          <t>가스압접 시공성적표, UT 비파괴보고서</t>
        </is>
      </c>
      <c r="M21" s="47" t="inlineStr">
        <is>
          <t>EN 14587 규격 준수. 레일 단부 가열(1200℃) 후 압송. 용접부 직선도 1m당 ±0.2mm 이내 정밀 연마.</t>
        </is>
      </c>
      <c r="N21" s="61" t="inlineStr">
        <is>
          <t>-</t>
        </is>
      </c>
      <c r="O21" s="47" t="inlineStr">
        <is>
          <t>1) 레일 단면 50mm 녹/기름 제거 및 가스 압접기 압력 교정
2) EN 14587 프로그램에 따라 자동 가열 및 버(Burr) 핫 쉐어링 전단</t>
        </is>
      </c>
      <c r="P21" s="61" t="inlineStr">
        <is>
          <t>-</t>
        </is>
      </c>
      <c r="Q21" s="47" t="inlineStr">
        <is>
          <t>가스 압접 압력 게이지 확인, 용접부 급랭 방지 덮개 설치, 비파괴 시험(UT) 성적서 결재</t>
        </is>
      </c>
      <c r="R21" s="61" t="inlineStr">
        <is>
          <t>-</t>
        </is>
      </c>
      <c r="S21" s="45" t="n"/>
    </row>
    <row r="22" ht="96" customHeight="1">
      <c r="A22" s="77" t="inlineStr">
        <is>
          <t>9000</t>
        </is>
      </c>
      <c r="B22" s="77" t="inlineStr">
        <is>
          <t>9000-5</t>
        </is>
      </c>
      <c r="C22" s="77" t="inlineStr">
        <is>
          <t>콘크리트도상</t>
        </is>
      </c>
      <c r="D22" s="77" t="inlineStr">
        <is>
          <t>9000-5-21</t>
        </is>
      </c>
      <c r="E22" s="79" t="inlineStr">
        <is>
          <t>9000-5-20</t>
        </is>
      </c>
      <c r="F22" s="79" t="inlineStr">
        <is>
          <t>9000-5-22</t>
        </is>
      </c>
      <c r="G22" s="45" t="inlineStr">
        <is>
          <t>D+64 (D+64~D+64)</t>
        </is>
      </c>
      <c r="H22" s="45" t="inlineStr">
        <is>
          <t>[레일용접] 테르밋 용접</t>
        </is>
      </c>
      <c r="I22" s="45" t="inlineStr">
        <is>
          <t>현장 공사팀</t>
        </is>
      </c>
      <c r="J22" s="47" t="inlineStr">
        <is>
          <t>테르밋 용제를 예열된 장대레일 공간에 넣고 용융하여 모든 장대레일을 일체화</t>
        </is>
      </c>
      <c r="K22" s="47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47" t="inlineStr">
        <is>
          <t>테르밋 용접일지, MT 자분탐상 보고서</t>
        </is>
      </c>
      <c r="M22" s="47" t="inlineStr">
        <is>
          <t>EN 14730 규격 준수. 도가니 반응 후 슬래그 분리. 직선도 오차 ±0.2mm 이내 및 NDT 100% 합격.</t>
        </is>
      </c>
      <c r="N22" s="61" t="inlineStr">
        <is>
          <t>-</t>
        </is>
      </c>
      <c r="O22" s="47" t="inlineStr">
        <is>
          <t>1) 레일 끝단 23~26mm 유격 조정 및 레일 정열 클램프 고정
2) 몰드 밀봉 후 테르밋 소모품點火 반응 주입 및 약 5분 후 유압 전단</t>
        </is>
      </c>
      <c r="P22" s="61" t="inlineStr">
        <is>
          <t>-</t>
        </is>
      </c>
      <c r="Q22" s="47" t="inlineStr">
        <is>
          <t>테르밋 용제 예열 온도 확인, 도가니 수평 고정, 비파괴 검사(UT/MT) 전수 실시</t>
        </is>
      </c>
      <c r="R22" s="61" t="inlineStr">
        <is>
          <t>-</t>
        </is>
      </c>
      <c r="S22" s="45" t="n"/>
    </row>
    <row r="23" ht="96" customHeight="1">
      <c r="A23" s="77" t="inlineStr">
        <is>
          <t>9000</t>
        </is>
      </c>
      <c r="B23" s="77" t="inlineStr">
        <is>
          <t>9000-5</t>
        </is>
      </c>
      <c r="C23" s="77" t="inlineStr">
        <is>
          <t>콘크리트도상</t>
        </is>
      </c>
      <c r="D23" s="77" t="inlineStr">
        <is>
          <t>9000-5-22</t>
        </is>
      </c>
      <c r="E23" s="79" t="inlineStr">
        <is>
          <t>9000-5-21</t>
        </is>
      </c>
      <c r="F23" s="79" t="inlineStr">
        <is>
          <t>9000-5-23</t>
        </is>
      </c>
      <c r="G23" s="45" t="inlineStr">
        <is>
          <t>D+75 (D+71~D+75)</t>
        </is>
      </c>
      <c r="H23" s="45" t="inlineStr">
        <is>
          <t>[레일연마] 레일연마 or 밀링</t>
        </is>
      </c>
      <c r="I23" s="45" t="inlineStr">
        <is>
          <t>현장 공사팀</t>
        </is>
      </c>
      <c r="J23" s="47" t="inlineStr">
        <is>
          <t>레일 연마 or 밀링작업을 통해 선로의 평탄화증을 제거하여 레일 수명 향상 및 운행 안정성 개선</t>
        </is>
      </c>
      <c r="K23" s="47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47" t="inlineStr">
        <is>
          <t>선로 평탄성검사 성적표, 조도 실측야장</t>
        </is>
      </c>
      <c r="M23" s="47" t="inlineStr">
        <is>
          <t>레일 마무리면 평탄성 1m 기준 오차 ±0.2mm 이내 밀링. 레일 과열에 의한 열응력 크랙 방지.</t>
        </is>
      </c>
      <c r="N23" s="61" t="inlineStr">
        <is>
          <t>-</t>
        </is>
      </c>
      <c r="O23" s="47" t="inlineStr">
        <is>
          <t>1) 조도계로 Ra ≤ 10㎛ 판정 및 레일 연마 검측 승인
2) 장대레일 구간 연마/밀링 장비 점검 및 표면 단차 사전 조사</t>
        </is>
      </c>
      <c r="P23" s="61" t="inlineStr">
        <is>
          <t>-</t>
        </is>
      </c>
      <c r="Q23" s="47" t="inlineStr">
        <is>
          <t>레일 조도/평탄성 측정 성적서, 절삭유 적정 분사 상태, 마이크로미터 선로 실측</t>
        </is>
      </c>
      <c r="R23" s="61" t="inlineStr">
        <is>
          <t>-</t>
        </is>
      </c>
      <c r="S23" s="45" t="n"/>
    </row>
    <row r="24" ht="96" customHeight="1">
      <c r="A24" s="83" t="inlineStr">
        <is>
          <t>9000</t>
        </is>
      </c>
      <c r="B24" s="83" t="inlineStr">
        <is>
          <t>9000-5</t>
        </is>
      </c>
      <c r="C24" s="83" t="inlineStr">
        <is>
          <t>콘크리트도상</t>
        </is>
      </c>
      <c r="D24" s="83" t="inlineStr">
        <is>
          <t>9000-5-23</t>
        </is>
      </c>
      <c r="E24" s="79" t="inlineStr">
        <is>
          <t>9000-5-22</t>
        </is>
      </c>
      <c r="F24" s="79" t="inlineStr">
        <is>
          <t>-</t>
        </is>
      </c>
      <c r="G24" s="34" t="inlineStr">
        <is>
          <t>D+75일 이후</t>
        </is>
      </c>
      <c r="H24" s="34" t="inlineStr">
        <is>
          <t>후속공사 인수인계</t>
        </is>
      </c>
      <c r="I24" s="34" t="inlineStr">
        <is>
          <t>현장 공사팀/품질팀</t>
        </is>
      </c>
      <c r="J24" s="49" t="inlineStr">
        <is>
          <t>완료구간 후속공사 인수인계</t>
        </is>
      </c>
      <c r="K24" s="49" t="inlineStr">
        <is>
          <t>완료된 궤도 구간에 대해 후속 분야(전기, 신호 등)가 공사를 진행할 수 있도록 인계</t>
        </is>
      </c>
      <c r="L24" s="49" t="inlineStr">
        <is>
          <t>궤도 완공 인수서명부, 절연저항 성적철</t>
        </is>
      </c>
      <c r="M24" s="49" t="inlineStr">
        <is>
          <t>전기/신호/노반 담당자 입회 하에 궤도 회로 절연 저항 ≥ 100MΩ 검속. 준공 도면 일치 서명.</t>
        </is>
      </c>
      <c r="N24" s="62" t="inlineStr">
        <is>
          <t>-</t>
        </is>
      </c>
      <c r="O24" s="49" t="inlineStr">
        <is>
          <t>1) 궤도 회로 절연 및 궤간 오차 현장 합동 확인
2) 구간별 NDT 용접 성과표, 강도 성적서 및 궤도 정열표 대조</t>
        </is>
      </c>
      <c r="P24" s="62" t="inlineStr">
        <is>
          <t>-</t>
        </is>
      </c>
      <c r="Q24" s="49" t="inlineStr">
        <is>
          <t>3자 공동 인수 서명 날인, 절연 저항 테스트 결과표 첨부, CAD 준공 대장 제출</t>
        </is>
      </c>
      <c r="R24" s="62" t="inlineStr">
        <is>
          <t>-</t>
        </is>
      </c>
      <c r="S24" s="34" t="n"/>
    </row>
    <row r="25">
      <c r="E25" s="45" t="n"/>
      <c r="F25" s="45" t="n"/>
      <c r="N25" t="inlineStr">
        <is>
          <t>-</t>
        </is>
      </c>
      <c r="P25" t="inlineStr">
        <is>
          <t>-</t>
        </is>
      </c>
      <c r="R25" s="73" t="inlineStr">
        <is>
          <t>-</t>
        </is>
      </c>
    </row>
    <row r="26">
      <c r="E26" s="45" t="n"/>
      <c r="F26" s="45" t="n"/>
      <c r="N26" t="inlineStr">
        <is>
          <t>-</t>
        </is>
      </c>
      <c r="P26" t="inlineStr">
        <is>
          <t>-</t>
        </is>
      </c>
      <c r="R26" s="73" t="inlineStr">
        <is>
          <t>-</t>
        </is>
      </c>
    </row>
    <row r="27">
      <c r="E27" s="45" t="n"/>
      <c r="F27" s="45" t="n"/>
      <c r="N27" t="inlineStr">
        <is>
          <t>-</t>
        </is>
      </c>
      <c r="P27" t="inlineStr">
        <is>
          <t>-</t>
        </is>
      </c>
      <c r="R27" s="73" t="inlineStr">
        <is>
          <t>-</t>
        </is>
      </c>
    </row>
    <row r="28">
      <c r="E28" s="45" t="n"/>
      <c r="F28" s="45" t="n"/>
      <c r="N28" t="inlineStr">
        <is>
          <t>-</t>
        </is>
      </c>
      <c r="P28" t="inlineStr">
        <is>
          <t>-</t>
        </is>
      </c>
      <c r="R28" s="73" t="inlineStr">
        <is>
          <t>-</t>
        </is>
      </c>
    </row>
    <row r="29" ht="46.8" customHeight="1">
      <c r="E29" s="45" t="n"/>
      <c r="F29" s="45" t="n"/>
      <c r="N29" s="66">
        <f>HYPERLINK(LEFT(CELL("filename",A1),FIND("[",CELL("filename",A1))-1)&amp;"5.콘크리트도상\23_후속공사 인수인계\표준서\후속공사 인수인계_표준서.html", "👉 [클릭] 표준서 열기 📄")</f>
        <v/>
      </c>
      <c r="P29" s="67">
        <f>HYPERLINK(LEFT(CELL("filename",A1),FIND("[",CELL("filename",A1))-1)&amp;"5.콘크리트도상\23_후속공사 인수인계\수행지침\후속공사 인수인계_수행지침.html", "👉 [클릭] 수행지침 열기 📄")</f>
        <v/>
      </c>
      <c r="R29" s="72">
        <f>HYPERLINK(LEFT(CELL("filename",A1),FIND("[",CELL("filename",A1))-1)&amp;"5.콘크리트도상\23_후속공사 인수인계\체크리스트\후속공사 인수인계_체크리스트.html", "👉 [클릭] 체크리스트 열기 📄")</f>
        <v/>
      </c>
    </row>
    <row r="30" ht="46.8" customHeight="1">
      <c r="E30" s="45" t="n"/>
      <c r="F30" s="45" t="n"/>
      <c r="N30" s="66">
        <f>HYPERLINK(LEFT(CELL("filename",A1),FIND("[",CELL("filename",A1))-1)&amp;"5.콘크리트도상\24_Task_24\표준서\Task_24_표준서.html", "👉 [클릭] 표준서 열기 📄")</f>
        <v/>
      </c>
      <c r="P30" s="67">
        <f>HYPERLINK(LEFT(CELL("filename",A1),FIND("[",CELL("filename",A1))-1)&amp;"5.콘크리트도상\24_Task_24\수행지침\Task_24_수행지침.html", "👉 [클릭] 수행지침 열기 📄")</f>
        <v/>
      </c>
      <c r="R30" s="72">
        <f>HYPERLINK(LEFT(CELL("filename",A1),FIND("[",CELL("filename",A1))-1)&amp;"5.콘크리트도상\24_Task_24\체크리스트\Task_24_체크리스트.html", "👉 [클릭] 체크리스트 열기 📄")</f>
        <v/>
      </c>
    </row>
    <row r="31">
      <c r="E31" s="45" t="n"/>
      <c r="F31" s="45" t="n"/>
    </row>
    <row r="32">
      <c r="E32" s="45" t="n"/>
      <c r="F32" s="45" t="n"/>
    </row>
    <row r="33">
      <c r="E33" s="45" t="n"/>
      <c r="F33" s="45" t="n"/>
    </row>
    <row r="34">
      <c r="E34" s="45" t="n"/>
      <c r="F34" s="45" t="n"/>
    </row>
    <row r="35">
      <c r="E35" s="45" t="n"/>
      <c r="F35" s="45" t="n"/>
    </row>
    <row r="36">
      <c r="E36" s="45" t="n"/>
      <c r="F36" s="45" t="n"/>
    </row>
    <row r="37">
      <c r="E37" s="45" t="n"/>
      <c r="F37" s="45" t="n"/>
    </row>
    <row r="38">
      <c r="E38" s="45" t="n"/>
      <c r="F38" s="45" t="n"/>
    </row>
    <row r="39">
      <c r="E39" s="45" t="n"/>
      <c r="F39" s="45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47" verticalDpi="0"/>
</worksheet>
</file>

<file path=xl/worksheets/sheet6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S51"/>
  <sheetViews>
    <sheetView view="pageBreakPreview" zoomScale="25" zoomScaleNormal="40" zoomScaleSheetLayoutView="2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T3" sqref="T3"/>
    </sheetView>
  </sheetViews>
  <sheetFormatPr baseColWidth="8" defaultRowHeight="19.2"/>
  <cols>
    <col width="8.796875" customWidth="1" style="40" min="1" max="1"/>
    <col width="11.296875" customWidth="1" style="40" min="2" max="2"/>
    <col width="14.59765625" customWidth="1" style="40" min="3" max="3"/>
    <col width="16" customWidth="1" style="22" min="4" max="6"/>
    <col width="18" customWidth="1" style="43" min="7" max="7"/>
    <col width="34.69921875" customWidth="1" style="22" min="8" max="8"/>
    <col width="21.69921875" customWidth="1" style="22" min="9" max="9"/>
    <col width="32.59765625" customWidth="1" style="22" min="10" max="10"/>
    <col width="72.296875" customWidth="1" style="40" min="11" max="11"/>
    <col width="41.69921875" customWidth="1" style="40" min="12" max="12"/>
    <col width="50" customWidth="1" style="40" min="13" max="13"/>
    <col width="16.19921875" customWidth="1" style="44" min="14" max="14"/>
    <col width="49.796875" customWidth="1" style="44" min="15" max="15"/>
    <col width="12.19921875" customWidth="1" style="40" min="16" max="16"/>
    <col width="45" customWidth="1" style="40" min="17" max="17"/>
    <col width="13.69921875" customWidth="1" style="44" min="18" max="18"/>
    <col width="23.3984375" customWidth="1" style="40" min="19" max="19"/>
    <col width="45" customWidth="1" min="20" max="35"/>
    <col width="8.796875" customWidth="1" min="36" max="73"/>
  </cols>
  <sheetData>
    <row r="1" ht="38.4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12" t="inlineStr">
        <is>
          <t>선행</t>
        </is>
      </c>
      <c r="F1" s="12" t="inlineStr">
        <is>
          <t>후행</t>
        </is>
      </c>
      <c r="G1" s="12" t="inlineStr">
        <is>
          <t>일정 (D-Day)</t>
        </is>
      </c>
      <c r="H1" s="12" t="inlineStr">
        <is>
          <t>작업단위 (Level 4 Task/Activity)</t>
        </is>
      </c>
      <c r="I1" s="12" t="inlineStr">
        <is>
          <t>주관</t>
        </is>
      </c>
      <c r="J1" s="12" t="inlineStr">
        <is>
          <t>목적</t>
        </is>
      </c>
      <c r="K1" s="12" t="inlineStr">
        <is>
          <t>방법</t>
        </is>
      </c>
      <c r="L1" s="12" t="inlineStr">
        <is>
          <t>산출물(결과)</t>
        </is>
      </c>
      <c r="M1" s="12" t="inlineStr">
        <is>
          <t>표준서 (Standard) 요약</t>
        </is>
      </c>
      <c r="N1" s="14" t="inlineStr">
        <is>
          <t>표준서 파일 (HTML)</t>
        </is>
      </c>
      <c r="O1" s="12" t="inlineStr">
        <is>
          <t>수행지침 (Guideline) 요약</t>
        </is>
      </c>
      <c r="P1" s="14" t="inlineStr">
        <is>
          <t>수행지침 파일 (HTML)</t>
        </is>
      </c>
      <c r="Q1" s="12" t="inlineStr">
        <is>
          <t>체크리스트 (Checklist) 요약</t>
        </is>
      </c>
      <c r="R1" s="14" t="inlineStr">
        <is>
          <t>체크리스트 파일 (HTML)</t>
        </is>
      </c>
      <c r="S1" s="12" t="inlineStr">
        <is>
          <t>비고</t>
        </is>
      </c>
    </row>
    <row r="2" ht="115.2" customHeight="1">
      <c r="A2" s="77" t="inlineStr">
        <is>
          <t>9000</t>
        </is>
      </c>
      <c r="B2" s="77" t="inlineStr">
        <is>
          <t>9000-6</t>
        </is>
      </c>
      <c r="C2" s="77" t="inlineStr">
        <is>
          <t>건축</t>
        </is>
      </c>
      <c r="D2" s="77" t="inlineStr">
        <is>
          <t>9000-6-1</t>
        </is>
      </c>
      <c r="E2" s="79" t="inlineStr">
        <is>
          <t>-</t>
        </is>
      </c>
      <c r="F2" s="79" t="inlineStr">
        <is>
          <t>9000-6-2</t>
        </is>
      </c>
      <c r="G2" s="34" t="inlineStr">
        <is>
          <t>D-120 (D-150~D-120)</t>
        </is>
      </c>
      <c r="H2" s="25" t="inlineStr">
        <is>
          <t>설계 적정성 검토</t>
        </is>
      </c>
      <c r="I2" s="22" t="inlineStr">
        <is>
          <t>현장 공무팀</t>
        </is>
      </c>
      <c r="J2" s="41" t="inlineStr">
        <is>
          <t>건축 설계 오류 및 누락사항 검토</t>
        </is>
      </c>
      <c r="K2" s="42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41" t="inlineStr">
        <is>
          <t>설계변경 예상 List, 회의록</t>
        </is>
      </c>
      <c r="M2" s="41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63">
        <f>HYPERLINK(LEFT(CELL("filename",A1),FIND("[",CELL("filename",A1))-1)&amp;"6.건축\1_설계 적정성 검토\표준서\설계 적정성 검토_표준서.html", "👉 [클릭] 표준서 열기 📄")</f>
        <v/>
      </c>
      <c r="O2" s="41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64">
        <f>HYPERLINK(LEFT(CELL("filename",A1),FIND("[",CELL("filename",A1))-1)&amp;"6.건축\1_설계 적정성 검토\수행지침\설계 적정성 검토_수행지침.html", "👉 [클릭] 수행지침 열기 📄")</f>
        <v/>
      </c>
      <c r="Q2" s="41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65">
        <f>HYPERLINK(LEFT(CELL("filename",A1),FIND("[",CELL("filename",A1))-1)&amp;"6.건축\1_설계 적정성 검토\체크리스트\설계 적정성 검토_체크리스트.html", "👉 [클릭] 체크리스트 열기 📄")</f>
        <v/>
      </c>
      <c r="S2" s="22" t="n"/>
    </row>
    <row r="3" ht="115.2" customHeight="1">
      <c r="A3" s="77" t="inlineStr">
        <is>
          <t>9000</t>
        </is>
      </c>
      <c r="B3" s="77" t="inlineStr">
        <is>
          <t>9000-6</t>
        </is>
      </c>
      <c r="C3" s="77" t="inlineStr">
        <is>
          <t>건축</t>
        </is>
      </c>
      <c r="D3" s="77" t="inlineStr">
        <is>
          <t>9000-6-2</t>
        </is>
      </c>
      <c r="E3" s="79" t="inlineStr">
        <is>
          <t>9000-6-1</t>
        </is>
      </c>
      <c r="F3" s="79" t="inlineStr">
        <is>
          <t>9000-6-3</t>
        </is>
      </c>
      <c r="G3" s="34" t="inlineStr">
        <is>
          <t>D-100 (D-120~D-100)</t>
        </is>
      </c>
      <c r="H3" s="25" t="inlineStr">
        <is>
          <t>발주전략 KOM</t>
        </is>
      </c>
      <c r="I3" s="22" t="inlineStr">
        <is>
          <t>현장소장</t>
        </is>
      </c>
      <c r="J3" s="41" t="inlineStr">
        <is>
          <t>건축 구조물 및 내부, 마감공사 발주 전략 수립</t>
        </is>
      </c>
      <c r="K3" s="42" t="inlineStr">
        <is>
          <t>- 가시공 B/P 적정성 검토
- 현설조건 검토
- 공법 및 공기 검토
- 예산 적정성 검토
- 현장 여건 및 지반상태(기초, 말뚝등) 검토</t>
        </is>
      </c>
      <c r="L3" s="41" t="inlineStr">
        <is>
          <t>KOM 검토결과서, 현설서</t>
        </is>
      </c>
      <c r="M3" s="41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63">
        <f>HYPERLINK(LEFT(CELL("filename",A1),FIND("[",CELL("filename",A1))-1)&amp;"6.건축\2_발주전략 KOM\표준서\발주전략 KOM_표준서.html", "👉 [클릭] 표준서 열기 📄")</f>
        <v/>
      </c>
      <c r="O3" s="41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64">
        <f>HYPERLINK(LEFT(CELL("filename",A1),FIND("[",CELL("filename",A1))-1)&amp;"6.건축\2_발주전략 KOM\수행지침\발주전략 KOM_수행지침.html", "👉 [클릭] 수행지침 열기 📄")</f>
        <v/>
      </c>
      <c r="Q3" s="41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65">
        <f>HYPERLINK(LEFT(CELL("filename",A1),FIND("[",CELL("filename",A1))-1)&amp;"6.건축\2_발주전략 KOM\체크리스트\발주전략 KOM_체크리스트.html", "👉 [클릭] 체크리스트 열기 📄")</f>
        <v/>
      </c>
      <c r="S3" s="22" t="n"/>
    </row>
    <row r="4" ht="115.2" customHeight="1">
      <c r="A4" s="77" t="inlineStr">
        <is>
          <t>9000</t>
        </is>
      </c>
      <c r="B4" s="77" t="inlineStr">
        <is>
          <t>9000-6</t>
        </is>
      </c>
      <c r="C4" s="77" t="inlineStr">
        <is>
          <t>건축</t>
        </is>
      </c>
      <c r="D4" s="77" t="inlineStr">
        <is>
          <t>9000-6-3</t>
        </is>
      </c>
      <c r="E4" s="79" t="inlineStr">
        <is>
          <t>9000-6-2</t>
        </is>
      </c>
      <c r="F4" s="79" t="inlineStr">
        <is>
          <t>9000-6-4</t>
        </is>
      </c>
      <c r="G4" s="34" t="inlineStr">
        <is>
          <t>D-100 (D-120~D-100)</t>
        </is>
      </c>
      <c r="H4" s="25" t="inlineStr">
        <is>
          <t>착공전 건축 인허가</t>
        </is>
      </c>
      <c r="I4" s="22" t="inlineStr">
        <is>
          <t>현장소장</t>
        </is>
      </c>
      <c r="J4" s="41" t="inlineStr">
        <is>
          <t>관련법에 따라 착수전 건축인허가 추진</t>
        </is>
      </c>
      <c r="K4" s="42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41" t="inlineStr">
        <is>
          <t>인허가 신고/승인 문서</t>
        </is>
      </c>
      <c r="M4" s="41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63">
        <f>HYPERLINK(LEFT(CELL("filename",A1),FIND("[",CELL("filename",A1))-1)&amp;"6.건축\3_착공전 건축 인허가\표준서\착공전 건축 인허가_표준서.html", "👉 [클릭] 표준서 열기 📄")</f>
        <v/>
      </c>
      <c r="O4" s="41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64">
        <f>HYPERLINK(LEFT(CELL("filename",A1),FIND("[",CELL("filename",A1))-1)&amp;"6.건축\3_착공전 건축 인허가\수행지침\착공전 건축 인허가_수행지침.html", "👉 [클릭] 수행지침 열기 📄")</f>
        <v/>
      </c>
      <c r="Q4" s="41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65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2" t="n"/>
    </row>
    <row r="5" ht="112.2" customHeight="1">
      <c r="A5" s="77" t="inlineStr">
        <is>
          <t>9000</t>
        </is>
      </c>
      <c r="B5" s="77" t="inlineStr">
        <is>
          <t>9000-6</t>
        </is>
      </c>
      <c r="C5" s="77" t="inlineStr">
        <is>
          <t>건축</t>
        </is>
      </c>
      <c r="D5" s="77" t="inlineStr">
        <is>
          <t>9000-6-4</t>
        </is>
      </c>
      <c r="E5" s="79" t="inlineStr">
        <is>
          <t>9000-6-3</t>
        </is>
      </c>
      <c r="F5" s="79" t="inlineStr">
        <is>
          <t>9000-6-5</t>
        </is>
      </c>
      <c r="G5" s="34" t="inlineStr">
        <is>
          <t>D-90 (D-120~D-90)</t>
        </is>
      </c>
      <c r="H5" s="25" t="inlineStr">
        <is>
          <t>건축허가 요청</t>
        </is>
      </c>
      <c r="I5" s="22" t="inlineStr">
        <is>
          <t>건축설계사, 현장준비팀</t>
        </is>
      </c>
      <c r="J5" s="41" t="inlineStr">
        <is>
          <t>건축허가요청</t>
        </is>
      </c>
      <c r="K5" s="42" t="inlineStr">
        <is>
          <t>건축설계사, 현장준비팀 -&gt; 관할지자체
- 건축법 제11조(건축허가)
- 서식: 별지 제1호의4서식
- 관할지자체(시,군,구) 2일~15일</t>
        </is>
      </c>
      <c r="L5" s="41" t="inlineStr">
        <is>
          <t>건축허가 통보 문서</t>
        </is>
      </c>
      <c r="M5" s="41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63">
        <f>HYPERLINK(LEFT(CELL("filename",A1),FIND("[",CELL("filename",A1))-1)&amp;"6.건축\4_건축허가 요청\표준서\건축허가 요청_표준서.html", "👉 [클릭] 표준서 열기 📄")</f>
        <v/>
      </c>
      <c r="O5" s="41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64">
        <f>HYPERLINK(LEFT(CELL("filename",A1),FIND("[",CELL("filename",A1))-1)&amp;"6.건축\4_건축허가 요청\수행지침\건축허가 요청_수행지침.html", "👉 [클릭] 수행지침 열기 📄")</f>
        <v/>
      </c>
      <c r="Q5" s="41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65">
        <f>HYPERLINK(LEFT(CELL("filename",A1),FIND("[",CELL("filename",A1))-1)&amp;"6.건축\4_건축허가 요청\체크리스트\건축허가 요청_체크리스트.html", "👉 [클릭] 체크리스트 열기 📄")</f>
        <v/>
      </c>
      <c r="S5" s="22" t="n"/>
    </row>
    <row r="6" ht="115.2" customHeight="1">
      <c r="A6" s="77" t="inlineStr">
        <is>
          <t>9000</t>
        </is>
      </c>
      <c r="B6" s="77" t="inlineStr">
        <is>
          <t>9000-6</t>
        </is>
      </c>
      <c r="C6" s="77" t="inlineStr">
        <is>
          <t>건축</t>
        </is>
      </c>
      <c r="D6" s="77" t="inlineStr">
        <is>
          <t>9000-6-5</t>
        </is>
      </c>
      <c r="E6" s="79" t="inlineStr">
        <is>
          <t>9000-6-4</t>
        </is>
      </c>
      <c r="F6" s="79" t="inlineStr">
        <is>
          <t>9000-6-6</t>
        </is>
      </c>
      <c r="G6" s="34" t="inlineStr">
        <is>
          <t>D-60 (D-90~D-60)</t>
        </is>
      </c>
      <c r="H6" s="25" t="inlineStr">
        <is>
          <t>착공신고서 제출</t>
        </is>
      </c>
      <c r="I6" s="22" t="inlineStr">
        <is>
          <t>현장소장, 건축 설계사</t>
        </is>
      </c>
      <c r="J6" s="41" t="inlineStr">
        <is>
          <t>착공신고서 제출</t>
        </is>
      </c>
      <c r="K6" s="42" t="inlineStr">
        <is>
          <t>현장 -&gt; 관할지자체
- 건축법 제21조(착공신고등)
- 서식: 별지 제13호 서식
- 제출후 지자체 처리기간 3일 이내</t>
        </is>
      </c>
      <c r="L6" s="41" t="inlineStr">
        <is>
          <t>착공신고서 승인 통보 문서</t>
        </is>
      </c>
      <c r="M6" s="41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63">
        <f>HYPERLINK(LEFT(CELL("filename",A1),FIND("[",CELL("filename",A1))-1)&amp;"6.건축\5_착공신고서 제출\표준서\착공신고서 제출_표준서.html", "👉 [클릭] 표준서 열기 📄")</f>
        <v/>
      </c>
      <c r="O6" s="41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64">
        <f>HYPERLINK(LEFT(CELL("filename",A1),FIND("[",CELL("filename",A1))-1)&amp;"6.건축\5_착공신고서 제출\수행지침\착공신고서 제출_수행지침.html", "👉 [클릭] 수행지침 열기 📄")</f>
        <v/>
      </c>
      <c r="Q6" s="41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65">
        <f>HYPERLINK(LEFT(CELL("filename",A1),FIND("[",CELL("filename",A1))-1)&amp;"6.건축\5_착공신고서 제출\체크리스트\착공신고서 제출_체크리스트.html", "👉 [클릭] 체크리스트 열기 📄")</f>
        <v/>
      </c>
      <c r="S6" s="22" t="n"/>
    </row>
    <row r="7" ht="115.2" customHeight="1">
      <c r="A7" s="77" t="inlineStr">
        <is>
          <t>9000</t>
        </is>
      </c>
      <c r="B7" s="77" t="inlineStr">
        <is>
          <t>9000-6</t>
        </is>
      </c>
      <c r="C7" s="77" t="inlineStr">
        <is>
          <t>건축</t>
        </is>
      </c>
      <c r="D7" s="77" t="inlineStr">
        <is>
          <t>9000-6-6</t>
        </is>
      </c>
      <c r="E7" s="79" t="inlineStr">
        <is>
          <t>9000-6-5</t>
        </is>
      </c>
      <c r="F7" s="79" t="inlineStr">
        <is>
          <t>9000-6-7</t>
        </is>
      </c>
      <c r="G7" s="34" t="inlineStr">
        <is>
          <t>D-70 (D-70~D-60)</t>
        </is>
      </c>
      <c r="H7" s="25" t="inlineStr">
        <is>
          <t>소방시설공사 착공 신고서 제출</t>
        </is>
      </c>
      <c r="I7" s="22" t="inlineStr">
        <is>
          <t>현장소장</t>
        </is>
      </c>
      <c r="J7" s="41" t="inlineStr">
        <is>
          <t>소방시설공사 착공신고서 제출</t>
        </is>
      </c>
      <c r="K7" s="42" t="inlineStr">
        <is>
          <t>현장 -&gt; 관할소방서, 소방시설공사업법 제13조(착공신고)
- 서식: 별지 제14호 서식
- 제출후 처리기간 2일 이내</t>
        </is>
      </c>
      <c r="L7" s="41" t="inlineStr">
        <is>
          <t>소방시설공사 착공신고필증</t>
        </is>
      </c>
      <c r="M7" s="41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63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41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64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41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65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22" t="n"/>
    </row>
    <row r="8" ht="115.2" customHeight="1">
      <c r="A8" s="77" t="inlineStr">
        <is>
          <t>9000</t>
        </is>
      </c>
      <c r="B8" s="77" t="inlineStr">
        <is>
          <t>9000-6</t>
        </is>
      </c>
      <c r="C8" s="77" t="inlineStr">
        <is>
          <t>건축</t>
        </is>
      </c>
      <c r="D8" s="77" t="inlineStr">
        <is>
          <t>9000-6-7</t>
        </is>
      </c>
      <c r="E8" s="79" t="inlineStr">
        <is>
          <t>9000-6-6</t>
        </is>
      </c>
      <c r="F8" s="79" t="inlineStr">
        <is>
          <t>9000-6-8</t>
        </is>
      </c>
      <c r="G8" s="34" t="inlineStr">
        <is>
          <t>D-60</t>
        </is>
      </c>
      <c r="H8" s="25" t="inlineStr">
        <is>
          <t>정보통신공사 착공전 설계도 확인 (신청서 제출 및 결과 접수)</t>
        </is>
      </c>
      <c r="I8" s="22" t="inlineStr">
        <is>
          <t>현장소장</t>
        </is>
      </c>
      <c r="J8" s="41" t="inlineStr">
        <is>
          <t>정보통신공사 착공전 설계도 확인 신청 및 제출</t>
        </is>
      </c>
      <c r="K8" s="42" t="inlineStr">
        <is>
          <t>현장 -&gt; 관할지자체, 정보통신공사업법 시행령 제35조의 2
- 서식: 별지 제7호 서식
- 제출후 처리기간 14일 이내</t>
        </is>
      </c>
      <c r="L8" s="41" t="inlineStr">
        <is>
          <t>정보통신공사 착공전 설계도 확인결과 통보서</t>
        </is>
      </c>
      <c r="M8" s="41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63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41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64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41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65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2" t="n"/>
    </row>
    <row r="9" ht="96" customHeight="1">
      <c r="A9" s="77" t="inlineStr">
        <is>
          <t>9000</t>
        </is>
      </c>
      <c r="B9" s="77" t="inlineStr">
        <is>
          <t>9000-6</t>
        </is>
      </c>
      <c r="C9" s="77" t="inlineStr">
        <is>
          <t>건축</t>
        </is>
      </c>
      <c r="D9" s="77" t="inlineStr">
        <is>
          <t>9000-6-8</t>
        </is>
      </c>
      <c r="E9" s="79" t="inlineStr">
        <is>
          <t>9000-6-7</t>
        </is>
      </c>
      <c r="F9" s="79" t="inlineStr">
        <is>
          <t>9000-6-9</t>
        </is>
      </c>
      <c r="G9" s="34" t="inlineStr">
        <is>
          <t>D-60</t>
        </is>
      </c>
      <c r="H9" s="25" t="inlineStr">
        <is>
          <t>선행공종 인수사항 확인</t>
        </is>
      </c>
      <c r="I9" s="22" t="inlineStr">
        <is>
          <t>현장공사팀</t>
        </is>
      </c>
      <c r="J9" s="41" t="inlineStr">
        <is>
          <t>선행공종 인수인계</t>
        </is>
      </c>
      <c r="K9" s="42" t="inlineStr">
        <is>
          <t>- 부지경계 측량 확인
- 업체간 현장확인+좌표화 Data 인수
- 지장물, 지반상태, 진입로, 작업장 현황</t>
        </is>
      </c>
      <c r="L9" s="41" t="inlineStr">
        <is>
          <t>회의록, 인수사항 List</t>
        </is>
      </c>
      <c r="M9" s="41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63">
        <f>HYPERLINK(LEFT(CELL("filename",A1),FIND("[",CELL("filename",A1))-1)&amp;"6.건축\8_선행공종 인수사항 확인\표준서\선행공종 인수사항 확인_표준서.html", "👉 [클릭] 표준서 열기 📄")</f>
        <v/>
      </c>
      <c r="O9" s="41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64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41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65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22" t="n"/>
    </row>
    <row r="10" ht="96" customHeight="1">
      <c r="A10" s="77" t="inlineStr">
        <is>
          <t>9000</t>
        </is>
      </c>
      <c r="B10" s="77" t="inlineStr">
        <is>
          <t>9000-6</t>
        </is>
      </c>
      <c r="C10" s="77" t="inlineStr">
        <is>
          <t>건축</t>
        </is>
      </c>
      <c r="D10" s="77" t="inlineStr">
        <is>
          <t>9000-6-9</t>
        </is>
      </c>
      <c r="E10" s="79" t="inlineStr">
        <is>
          <t>9000-6-8</t>
        </is>
      </c>
      <c r="F10" s="79" t="inlineStr">
        <is>
          <t>9000-6-10</t>
        </is>
      </c>
      <c r="G10" s="34" t="inlineStr">
        <is>
          <t>D-60</t>
        </is>
      </c>
      <c r="H10" s="25" t="inlineStr">
        <is>
          <t>인터페이스 사항 검토 및 지원</t>
        </is>
      </c>
      <c r="I10" s="22" t="inlineStr">
        <is>
          <t>토목수행팀 / 현장 공사, 공무 Part</t>
        </is>
      </c>
      <c r="J10" s="41" t="inlineStr">
        <is>
          <t>후행공정 설계오류 및 변경검토</t>
        </is>
      </c>
      <c r="K10" s="42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41" t="inlineStr">
        <is>
          <t>회의록, 시공상세도</t>
        </is>
      </c>
      <c r="M10" s="41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63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41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64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41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65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2" t="n"/>
    </row>
    <row r="11" ht="115.2" customHeight="1">
      <c r="A11" s="77" t="inlineStr">
        <is>
          <t>9000</t>
        </is>
      </c>
      <c r="B11" s="77" t="inlineStr">
        <is>
          <t>9000-6</t>
        </is>
      </c>
      <c r="C11" s="77" t="inlineStr">
        <is>
          <t>건축</t>
        </is>
      </c>
      <c r="D11" s="77" t="inlineStr">
        <is>
          <t>9000-6-10</t>
        </is>
      </c>
      <c r="E11" s="79" t="inlineStr">
        <is>
          <t>9000-6-9</t>
        </is>
      </c>
      <c r="F11" s="79" t="inlineStr">
        <is>
          <t>9000-6-11</t>
        </is>
      </c>
      <c r="G11" s="34" t="inlineStr">
        <is>
          <t>D-50 (D-60~50)</t>
        </is>
      </c>
      <c r="H11" s="25" t="inlineStr">
        <is>
          <t>품질/안전 LL 공유</t>
        </is>
      </c>
      <c r="I11" s="22" t="inlineStr">
        <is>
          <t>현장 품질팀, 현장 안전팀</t>
        </is>
      </c>
      <c r="J11" s="41" t="inlineStr">
        <is>
          <t>품질/안전 하자 최소화</t>
        </is>
      </c>
      <c r="K11" s="42" t="inlineStr">
        <is>
          <t>시공시 발생가능 품질, 안전 하자 최소화</t>
        </is>
      </c>
      <c r="L11" s="41" t="inlineStr">
        <is>
          <t>시공계획수립시 반영</t>
        </is>
      </c>
      <c r="M11" s="41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63">
        <f>HYPERLINK(LEFT(CELL("filename",A1),FIND("[",CELL("filename",A1))-1)&amp;"6.건축\10_품질_안전 LL 공유\표준서\품질_안전 LL 공유_표준서.html", "👉 [클릭] 표준서 열기 📄")</f>
        <v/>
      </c>
      <c r="O11" s="41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64">
        <f>HYPERLINK(LEFT(CELL("filename",A1),FIND("[",CELL("filename",A1))-1)&amp;"6.건축\10_품질_안전 LL 공유\수행지침\품질_안전 LL 공유_수행지침.html", "👉 [클릭] 수행지침 열기 📄")</f>
        <v/>
      </c>
      <c r="Q11" s="41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65">
        <f>HYPERLINK(LEFT(CELL("filename",A1),FIND("[",CELL("filename",A1))-1)&amp;"6.건축\10_품질_안전 LL 공유\체크리스트\품질_안전 LL 공유_체크리스트.html", "👉 [클릭] 체크리스트 열기 📄")</f>
        <v/>
      </c>
      <c r="S11" s="22" t="n"/>
    </row>
    <row r="12" ht="175.2" customHeight="1">
      <c r="A12" s="77" t="inlineStr">
        <is>
          <t>9000</t>
        </is>
      </c>
      <c r="B12" s="77" t="inlineStr">
        <is>
          <t>9000-6</t>
        </is>
      </c>
      <c r="C12" s="77" t="inlineStr">
        <is>
          <t>건축</t>
        </is>
      </c>
      <c r="D12" s="77" t="inlineStr">
        <is>
          <t>9000-6-11</t>
        </is>
      </c>
      <c r="E12" s="79" t="inlineStr">
        <is>
          <t>9000-6-10</t>
        </is>
      </c>
      <c r="F12" s="79" t="inlineStr">
        <is>
          <t>9000-6-12</t>
        </is>
      </c>
      <c r="G12" s="34" t="inlineStr">
        <is>
          <t>D-30 (D-60~D-30)</t>
        </is>
      </c>
      <c r="H12" s="25" t="inlineStr">
        <is>
          <t>자재공급원승인 및 자재발주</t>
        </is>
      </c>
      <c r="I12" s="22" t="inlineStr">
        <is>
          <t>현장 공무팀</t>
        </is>
      </c>
      <c r="J12" s="41" t="inlineStr">
        <is>
          <t>공사에 필요한 자재 발주</t>
        </is>
      </c>
      <c r="K12" s="42" t="inlineStr">
        <is>
          <t>- 자재 규격 및 반입 일정 계획 수립
- 시공에 필요한 당사 지급자재에 대한 발주 요청
- 자재공급원 승인 제출 및 확인</t>
        </is>
      </c>
      <c r="L12" s="41" t="inlineStr">
        <is>
          <t>구매 의뢰 승인, 자재공급원 승인서류</t>
        </is>
      </c>
      <c r="M12" s="41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63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41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64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41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65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2" t="n"/>
    </row>
    <row r="13" ht="211.2" customHeight="1">
      <c r="A13" s="77" t="inlineStr">
        <is>
          <t>9000</t>
        </is>
      </c>
      <c r="B13" s="77" t="inlineStr">
        <is>
          <t>9000-6</t>
        </is>
      </c>
      <c r="C13" s="77" t="inlineStr">
        <is>
          <t>건축</t>
        </is>
      </c>
      <c r="D13" s="77" t="inlineStr">
        <is>
          <t>9000-6-12</t>
        </is>
      </c>
      <c r="E13" s="79" t="inlineStr">
        <is>
          <t>9000-6-11</t>
        </is>
      </c>
      <c r="F13" s="79" t="inlineStr">
        <is>
          <t>9000-6-13</t>
        </is>
      </c>
      <c r="G13" s="34" t="inlineStr">
        <is>
          <t>D-0 (D-30~D-0)</t>
        </is>
      </c>
      <c r="H13" s="25" t="inlineStr">
        <is>
          <t>착수전 Big Room 회의</t>
        </is>
      </c>
      <c r="I13" s="22" t="inlineStr">
        <is>
          <t>현장소장</t>
        </is>
      </c>
      <c r="J13" s="41" t="inlineStr">
        <is>
          <t>선후행공정 지원사항 도출, 수행시 예상가능 Risk 검토 및 대책 수립</t>
        </is>
      </c>
      <c r="K13" s="42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41" t="inlineStr">
        <is>
          <t>Big Room 회의록(참석자 전원 서명)</t>
        </is>
      </c>
      <c r="M13" s="41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63">
        <f>HYPERLINK(LEFT(CELL("filename",A1),FIND("[",CELL("filename",A1))-1)&amp;"6.건축\12_착수전 Big Room 회의\표준서\착수전 Big Room 회의_표준서.html", "👉 [클릭] 표준서 열기 📄")</f>
        <v/>
      </c>
      <c r="O13" s="41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64">
        <f>HYPERLINK(LEFT(CELL("filename",A1),FIND("[",CELL("filename",A1))-1)&amp;"6.건축\12_착수전 Big Room 회의\수행지침\착수전 Big Room 회의_수행지침.html", "👉 [클릭] 수행지침 열기 📄")</f>
        <v/>
      </c>
      <c r="Q13" s="41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65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22" t="n"/>
    </row>
    <row r="14" ht="115.2" customHeight="1">
      <c r="A14" s="77" t="inlineStr">
        <is>
          <t>9000</t>
        </is>
      </c>
      <c r="B14" s="77" t="inlineStr">
        <is>
          <t>9000-6</t>
        </is>
      </c>
      <c r="C14" s="77" t="inlineStr">
        <is>
          <t>건축</t>
        </is>
      </c>
      <c r="D14" s="77" t="inlineStr">
        <is>
          <t>9000-6-13</t>
        </is>
      </c>
      <c r="E14" s="79" t="inlineStr">
        <is>
          <t>9000-6-12</t>
        </is>
      </c>
      <c r="F14" s="79" t="inlineStr">
        <is>
          <t>9000-6-14</t>
        </is>
      </c>
      <c r="G14" s="34" t="inlineStr">
        <is>
          <t>D+1 (D-0~D+1)</t>
        </is>
      </c>
      <c r="H14" s="25" t="inlineStr">
        <is>
          <t>시공계획 수립/승인</t>
        </is>
      </c>
      <c r="I14" s="22" t="inlineStr">
        <is>
          <t>현장소장</t>
        </is>
      </c>
      <c r="J14" s="41" t="inlineStr">
        <is>
          <t>인력, 품질이 확보된 시공계획 수립</t>
        </is>
      </c>
      <c r="K14" s="42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41" t="inlineStr">
        <is>
          <t>(승인)관리시공계획서&amp;시공상세도</t>
        </is>
      </c>
      <c r="M14" s="41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63">
        <f>HYPERLINK(LEFT(CELL("filename",A1),FIND("[",CELL("filename",A1))-1)&amp;"6.건축\13_시공계획 수립_승인\표준서\시공계획 수립_승인_표준서.html", "👉 [클릭] 표준서 열기 📄")</f>
        <v/>
      </c>
      <c r="O14" s="41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64">
        <f>HYPERLINK(LEFT(CELL("filename",A1),FIND("[",CELL("filename",A1))-1)&amp;"6.건축\13_시공계획 수립_승인\수행지침\시공계획 수립_승인_수행지침.html", "👉 [클릭] 수행지침 열기 📄")</f>
        <v/>
      </c>
      <c r="Q14" s="41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65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2" t="n"/>
    </row>
    <row r="15" ht="115.2" customHeight="1">
      <c r="A15" s="77" t="inlineStr">
        <is>
          <t>9000</t>
        </is>
      </c>
      <c r="B15" s="77" t="inlineStr">
        <is>
          <t>9000-6</t>
        </is>
      </c>
      <c r="C15" s="77" t="inlineStr">
        <is>
          <t>건축</t>
        </is>
      </c>
      <c r="D15" s="77" t="inlineStr">
        <is>
          <t>9000-6-14</t>
        </is>
      </c>
      <c r="E15" s="79" t="inlineStr">
        <is>
          <t>9000-6-13</t>
        </is>
      </c>
      <c r="F15" s="79" t="inlineStr">
        <is>
          <t>9000-6-15</t>
        </is>
      </c>
      <c r="G15" s="34" t="inlineStr">
        <is>
          <t>D+15 (D+2~D+15)</t>
        </is>
      </c>
      <c r="H15" s="25" t="inlineStr">
        <is>
          <t>측량, 자재/장비 반입, 안전교육</t>
        </is>
      </c>
      <c r="I15" s="22" t="inlineStr">
        <is>
          <t>현장소장</t>
        </is>
      </c>
      <c r="J15" s="41" t="inlineStr">
        <is>
          <t>D-day 전에 공사 준비완료</t>
        </is>
      </c>
      <c r="K15" s="42" t="inlineStr">
        <is>
          <t>- 측량: 측량기준점 설치, 공사위치 마킹
- 자재는 지정된 야적장에 보관
- 장비 Spec확인, 장비안전검사
- 작업원 안전교육 실시</t>
        </is>
      </c>
      <c r="L15" s="41" t="inlineStr">
        <is>
          <t>측량기록지, 안전교육 결과서</t>
        </is>
      </c>
      <c r="M15" s="41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63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41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64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41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65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22" t="n"/>
    </row>
    <row r="16" ht="115.2" customHeight="1">
      <c r="A16" s="77" t="inlineStr">
        <is>
          <t>9000</t>
        </is>
      </c>
      <c r="B16" s="77" t="inlineStr">
        <is>
          <t>9000-6</t>
        </is>
      </c>
      <c r="C16" s="77" t="inlineStr">
        <is>
          <t>건축</t>
        </is>
      </c>
      <c r="D16" s="77" t="inlineStr">
        <is>
          <t>9000-6-15</t>
        </is>
      </c>
      <c r="E16" s="79" t="inlineStr">
        <is>
          <t>9000-6-14</t>
        </is>
      </c>
      <c r="F16" s="79" t="inlineStr">
        <is>
          <t>9000-6-16</t>
        </is>
      </c>
      <c r="G16" s="34" t="inlineStr">
        <is>
          <t>D+15 (D+10~D+15)</t>
        </is>
      </c>
      <c r="H16" s="25" t="inlineStr">
        <is>
          <t>자재 검수</t>
        </is>
      </c>
      <c r="I16" s="22" t="inlineStr">
        <is>
          <t>현장 자재팀 / 품질팀</t>
        </is>
      </c>
      <c r="J16" s="41" t="inlineStr">
        <is>
          <t>설계/시방기준에 적합한 자재 반입</t>
        </is>
      </c>
      <c r="K16" s="42" t="inlineStr">
        <is>
          <t>- 송장과 실물 확인(규격, 성능, 수량)
- 시방기준에 따른 품질시험 실시
- 훼손, 오반입시 반출조치</t>
        </is>
      </c>
      <c r="L16" s="41" t="inlineStr">
        <is>
          <t>자재검수서, 품질시험 보고서</t>
        </is>
      </c>
      <c r="M16" s="41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63">
        <f>HYPERLINK(LEFT(CELL("filename",A1),FIND("[",CELL("filename",A1))-1)&amp;"6.건축\15_자재 검수\표준서\자재 검수_표준서.html", "👉 [클릭] 표준서 열기 📄")</f>
        <v/>
      </c>
      <c r="O16" s="41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64">
        <f>HYPERLINK(LEFT(CELL("filename",A1),FIND("[",CELL("filename",A1))-1)&amp;"6.건축\15_자재 검수\수행지침\자재 검수_수행지침.html", "👉 [클릭] 수행지침 열기 📄")</f>
        <v/>
      </c>
      <c r="Q16" s="41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65">
        <f>HYPERLINK(LEFT(CELL("filename",A1),FIND("[",CELL("filename",A1))-1)&amp;"6.건축\15_자재 검수\체크리스트\자재 검수_체크리스트.html", "👉 [클릭] 체크리스트 열기 📄")</f>
        <v/>
      </c>
      <c r="S16" s="22" t="n"/>
    </row>
    <row r="17" ht="96" customHeight="1">
      <c r="A17" s="77" t="inlineStr">
        <is>
          <t>9000</t>
        </is>
      </c>
      <c r="B17" s="77" t="inlineStr">
        <is>
          <t>9000-6</t>
        </is>
      </c>
      <c r="C17" s="77" t="inlineStr">
        <is>
          <t>건축</t>
        </is>
      </c>
      <c r="D17" s="77" t="inlineStr">
        <is>
          <t>9000-6-16</t>
        </is>
      </c>
      <c r="E17" s="79" t="inlineStr">
        <is>
          <t>9000-6-15</t>
        </is>
      </c>
      <c r="F17" s="79" t="inlineStr">
        <is>
          <t>9000-6-17</t>
        </is>
      </c>
      <c r="G17" s="34" t="inlineStr">
        <is>
          <t>D+16 (D+16~D+16)</t>
        </is>
      </c>
      <c r="H17" s="25" t="inlineStr">
        <is>
          <t>터파기/지반 정리</t>
        </is>
      </c>
      <c r="I17" s="22" t="inlineStr">
        <is>
          <t>현장소장</t>
        </is>
      </c>
      <c r="J17" s="41" t="inlineStr">
        <is>
          <t>구조물 시공을 위한 바닥 확보</t>
        </is>
      </c>
      <c r="K17" s="42" t="inlineStr">
        <is>
          <t>측량을 통한 계획Level, 위치 확인, 바닥 지지력 시험</t>
        </is>
      </c>
      <c r="L17" s="41" t="inlineStr">
        <is>
          <t>측량 성과, 지지력시험성과 보고서</t>
        </is>
      </c>
      <c r="M17" s="41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63">
        <f>HYPERLINK(LEFT(CELL("filename",A1),FIND("[",CELL("filename",A1))-1)&amp;"6.건축\16_터파기_지반 정리\표준서\터파기_지반 정리_표준서.html", "👉 [클릭] 표준서 열기 📄")</f>
        <v/>
      </c>
      <c r="O17" s="41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64">
        <f>HYPERLINK(LEFT(CELL("filename",A1),FIND("[",CELL("filename",A1))-1)&amp;"6.건축\16_터파기_지반 정리\수행지침\터파기_지반 정리_수행지침.html", "👉 [클릭] 수행지침 열기 📄")</f>
        <v/>
      </c>
      <c r="Q17" s="41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65">
        <f>HYPERLINK(LEFT(CELL("filename",A1),FIND("[",CELL("filename",A1))-1)&amp;"6.건축\16_터파기_지반 정리\체크리스트\터파기_지반 정리_체크리스트.html", "👉 [클릭] 체크리스트 열기 📄")</f>
        <v/>
      </c>
      <c r="S17" s="22" t="n"/>
    </row>
    <row r="18" ht="115.2" customHeight="1">
      <c r="A18" s="77" t="inlineStr">
        <is>
          <t>9000</t>
        </is>
      </c>
      <c r="B18" s="77" t="inlineStr">
        <is>
          <t>9000-6</t>
        </is>
      </c>
      <c r="C18" s="77" t="inlineStr">
        <is>
          <t>건축</t>
        </is>
      </c>
      <c r="D18" s="77" t="inlineStr">
        <is>
          <t>9000-6-17</t>
        </is>
      </c>
      <c r="E18" s="79" t="inlineStr">
        <is>
          <t>9000-6-16</t>
        </is>
      </c>
      <c r="F18" s="79" t="inlineStr">
        <is>
          <t>9000-6-18</t>
        </is>
      </c>
      <c r="G18" s="34" t="inlineStr">
        <is>
          <t>D+30 (D+17~D+30)</t>
        </is>
      </c>
      <c r="H18" s="25" t="inlineStr">
        <is>
          <t>바닥(버림) 콘크리트 타설</t>
        </is>
      </c>
      <c r="I18" s="22" t="inlineStr">
        <is>
          <t>현장소장</t>
        </is>
      </c>
      <c r="J18" s="41" t="inlineStr">
        <is>
          <t>철근을 깔 수 있는 평탄한 바닥확보</t>
        </is>
      </c>
      <c r="K18" s="42" t="inlineStr">
        <is>
          <t>도면에 따라 거푸집 조립, 버림con't타설, 양생, 거푸집 해체/정리</t>
        </is>
      </c>
      <c r="L18" s="41" t="inlineStr">
        <is>
          <t>검측서</t>
        </is>
      </c>
      <c r="M18" s="41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63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41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64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41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65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2" t="n"/>
    </row>
    <row r="19" ht="115.2" customHeight="1">
      <c r="A19" s="77" t="inlineStr">
        <is>
          <t>9000</t>
        </is>
      </c>
      <c r="B19" s="77" t="inlineStr">
        <is>
          <t>9000-6</t>
        </is>
      </c>
      <c r="C19" s="77" t="inlineStr">
        <is>
          <t>건축</t>
        </is>
      </c>
      <c r="D19" s="77" t="inlineStr">
        <is>
          <t>9000-6-18</t>
        </is>
      </c>
      <c r="E19" s="79" t="inlineStr">
        <is>
          <t>9000-6-17</t>
        </is>
      </c>
      <c r="F19" s="79" t="inlineStr">
        <is>
          <t>9000-6-19</t>
        </is>
      </c>
      <c r="G19" s="34" t="inlineStr">
        <is>
          <t>D+35 (D+31~D+35)</t>
        </is>
      </c>
      <c r="H19" s="25" t="inlineStr">
        <is>
          <t>인터페이스 회의(매주)</t>
        </is>
      </c>
      <c r="I19" s="22" t="inlineStr">
        <is>
          <t>현장소장</t>
        </is>
      </c>
      <c r="J19" s="41" t="inlineStr">
        <is>
          <t>건축 구조물공사 中, 건축 마감공사 中 인터페이스 협의를 통한 재시공 최소화</t>
        </is>
      </c>
      <c r="K19" s="42" t="inlineStr">
        <is>
          <t>시공중 지속적인 인터페이스(기계, 전기, 통신 등) 회의를 통하여 시공전 계획했던 대로 원활한 선후행공정 시공진행</t>
        </is>
      </c>
      <c r="L19" s="41" t="inlineStr">
        <is>
          <t>인터페이스 회의록</t>
        </is>
      </c>
      <c r="M19" s="41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63">
        <f>HYPERLINK(LEFT(CELL("filename",A1),FIND("[",CELL("filename",A1))-1)&amp;"6.건축\18_인터페이스 회의(매주)\표준서\인터페이스 회의(매주)_표준서.html", "👉 [클릭] 표준서 열기 📄")</f>
        <v/>
      </c>
      <c r="O19" s="41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64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41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65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22" t="n"/>
    </row>
    <row r="20" ht="115.2" customHeight="1">
      <c r="A20" s="77" t="inlineStr">
        <is>
          <t>9000</t>
        </is>
      </c>
      <c r="B20" s="77" t="inlineStr">
        <is>
          <t>9000-6</t>
        </is>
      </c>
      <c r="C20" s="77" t="inlineStr">
        <is>
          <t>건축</t>
        </is>
      </c>
      <c r="D20" s="77" t="inlineStr">
        <is>
          <t>9000-6-19</t>
        </is>
      </c>
      <c r="E20" s="79" t="inlineStr">
        <is>
          <t>9000-6-18</t>
        </is>
      </c>
      <c r="F20" s="79" t="inlineStr">
        <is>
          <t>9000-6-20</t>
        </is>
      </c>
      <c r="G20" s="34" t="inlineStr">
        <is>
          <t>D+50 (D+36~D+50)</t>
        </is>
      </c>
      <c r="H20" s="25" t="inlineStr">
        <is>
          <t>인터페이스 각 공종별 Issue (기계, 전기, 통신분야)</t>
        </is>
      </c>
      <c r="I20" s="22" t="inlineStr">
        <is>
          <t>현장소장</t>
        </is>
      </c>
      <c r="J20" s="41" t="inlineStr">
        <is>
          <t>구조물 내,외부 인입공사 사전 인터페이스 회의를 통한 공사간섭 및 Rework방지</t>
        </is>
      </c>
      <c r="K20" s="42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41" t="inlineStr">
        <is>
          <t>인터페이스 회의록</t>
        </is>
      </c>
      <c r="M20" s="41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63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41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64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41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65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2" t="n"/>
    </row>
    <row r="21" ht="115.2" customHeight="1">
      <c r="A21" s="77" t="inlineStr">
        <is>
          <t>9000</t>
        </is>
      </c>
      <c r="B21" s="77" t="inlineStr">
        <is>
          <t>9000-6</t>
        </is>
      </c>
      <c r="C21" s="77" t="inlineStr">
        <is>
          <t>건축</t>
        </is>
      </c>
      <c r="D21" s="77" t="inlineStr">
        <is>
          <t>9000-6-20</t>
        </is>
      </c>
      <c r="E21" s="79" t="inlineStr">
        <is>
          <t>9000-6-19</t>
        </is>
      </c>
      <c r="F21" s="79" t="inlineStr">
        <is>
          <t>9000-6-21</t>
        </is>
      </c>
      <c r="G21" s="34" t="inlineStr">
        <is>
          <t>D+63 (D-60~D+63)</t>
        </is>
      </c>
      <c r="H21" s="25" t="inlineStr">
        <is>
          <t>인터페이스 각 공종별 Issue (토목분야)</t>
        </is>
      </c>
      <c r="I21" s="22" t="inlineStr">
        <is>
          <t>현장소장</t>
        </is>
      </c>
      <c r="J21" s="41" t="inlineStr">
        <is>
          <t>건축공사와 토목공사 간섭 예방, 업무 Scope확인을 통한 설계/시공Gray zone제거</t>
        </is>
      </c>
      <c r="K21" s="42" t="inlineStr">
        <is>
          <t>구조물별 외부 배수 설계와 같은 현장 여건을 구성이 되었는지 확인</t>
        </is>
      </c>
      <c r="L21" s="41" t="inlineStr">
        <is>
          <t>회의록</t>
        </is>
      </c>
      <c r="M21" s="41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63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41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64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41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65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22" t="n"/>
    </row>
    <row r="22" ht="96" customHeight="1">
      <c r="A22" s="77" t="inlineStr">
        <is>
          <t>9000</t>
        </is>
      </c>
      <c r="B22" s="77" t="inlineStr">
        <is>
          <t>9000-6</t>
        </is>
      </c>
      <c r="C22" s="77" t="inlineStr">
        <is>
          <t>건축</t>
        </is>
      </c>
      <c r="D22" s="77" t="inlineStr">
        <is>
          <t>9000-6-21</t>
        </is>
      </c>
      <c r="E22" s="79" t="inlineStr">
        <is>
          <t>9000-6-20</t>
        </is>
      </c>
      <c r="F22" s="79" t="inlineStr">
        <is>
          <t>9000-6-22</t>
        </is>
      </c>
      <c r="G22" s="34" t="inlineStr">
        <is>
          <t>D+64 (D+64~D+64)</t>
        </is>
      </c>
      <c r="H22" s="25" t="inlineStr">
        <is>
          <t>기초~상부슬라브 구조물 시공</t>
        </is>
      </c>
      <c r="I22" s="22" t="inlineStr">
        <is>
          <t>현장소장</t>
        </is>
      </c>
      <c r="J22" s="41" t="inlineStr">
        <is>
          <t>기초, 기둥 및 슬라브 구조물 시공</t>
        </is>
      </c>
      <c r="K22" s="42" t="inlineStr">
        <is>
          <t>발주 이후 마감공정 연계, 거푸집 해체 이후 균열조사 및 보수조치 시행</t>
        </is>
      </c>
      <c r="L22" s="41" t="inlineStr">
        <is>
          <t>해당공종 검측서, 각종 품질시험결과 보고서, 마감공종 인수인계서</t>
        </is>
      </c>
      <c r="M22" s="41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63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41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64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41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65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2" t="n"/>
    </row>
    <row r="23" ht="96" customHeight="1">
      <c r="A23" s="77" t="inlineStr">
        <is>
          <t>9000</t>
        </is>
      </c>
      <c r="B23" s="77" t="inlineStr">
        <is>
          <t>9000-6</t>
        </is>
      </c>
      <c r="C23" s="77" t="inlineStr">
        <is>
          <t>건축</t>
        </is>
      </c>
      <c r="D23" s="77" t="inlineStr">
        <is>
          <t>9000-6-22</t>
        </is>
      </c>
      <c r="E23" s="79" t="inlineStr">
        <is>
          <t>9000-6-21</t>
        </is>
      </c>
      <c r="F23" s="79" t="inlineStr">
        <is>
          <t>9000-6-23</t>
        </is>
      </c>
      <c r="G23" s="34" t="inlineStr">
        <is>
          <t>D+75 (D+71~D+75)</t>
        </is>
      </c>
      <c r="H23" s="25" t="inlineStr">
        <is>
          <t>철근 가공</t>
        </is>
      </c>
      <c r="I23" s="22" t="inlineStr">
        <is>
          <t>현장소장</t>
        </is>
      </c>
      <c r="J23" s="41" t="inlineStr">
        <is>
          <t>철근을 절곡 및 절단하는 작업</t>
        </is>
      </c>
      <c r="K23" s="42" t="inlineStr">
        <is>
          <t>설계도면과 가공상세가 일치하는지 확인 및 보강부분 시공상세도 확인</t>
        </is>
      </c>
      <c r="L23" s="41" t="inlineStr">
        <is>
          <t>철근 시공상세도</t>
        </is>
      </c>
      <c r="M23" s="41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63">
        <f>HYPERLINK(LEFT(CELL("filename",A1),FIND("[",CELL("filename",A1))-1)&amp;"6.건축\22_철근 가공\표준서\철근 가공_표준서.html", "👉 [클릭] 표준서 열기 📄")</f>
        <v/>
      </c>
      <c r="O23" s="41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64">
        <f>HYPERLINK(LEFT(CELL("filename",A1),FIND("[",CELL("filename",A1))-1)&amp;"6.건축\22_철근 가공\수행지침\철근 가공_수행지침.html", "👉 [클릭] 수행지침 열기 📄")</f>
        <v/>
      </c>
      <c r="Q23" s="41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65">
        <f>HYPERLINK(LEFT(CELL("filename",A1),FIND("[",CELL("filename",A1))-1)&amp;"6.건축\22_철근 가공\체크리스트\철근 가공_체크리스트.html", "👉 [클릭] 체크리스트 열기 📄")</f>
        <v/>
      </c>
      <c r="S23" s="22" t="n"/>
    </row>
    <row r="24" ht="96" customHeight="1">
      <c r="A24" s="77" t="inlineStr">
        <is>
          <t>9000</t>
        </is>
      </c>
      <c r="B24" s="77" t="inlineStr">
        <is>
          <t>9000-6</t>
        </is>
      </c>
      <c r="C24" s="77" t="inlineStr">
        <is>
          <t>건축</t>
        </is>
      </c>
      <c r="D24" s="77" t="inlineStr">
        <is>
          <t>9000-6-23</t>
        </is>
      </c>
      <c r="E24" s="79" t="inlineStr">
        <is>
          <t>9000-6-22</t>
        </is>
      </c>
      <c r="F24" s="79" t="inlineStr">
        <is>
          <t>9000-6-24</t>
        </is>
      </c>
      <c r="G24" s="34" t="inlineStr">
        <is>
          <t>D+75일 이후</t>
        </is>
      </c>
      <c r="H24" s="25" t="inlineStr">
        <is>
          <t>작업발판, 비계 및 동바리 설치</t>
        </is>
      </c>
      <c r="I24" s="22" t="inlineStr">
        <is>
          <t>현장소장</t>
        </is>
      </c>
      <c r="J24" s="41" t="inlineStr">
        <is>
          <t>구조물 시공을 위한 작업발판 및 후속 작업을 위해 비계 및 동바리 설치</t>
        </is>
      </c>
      <c r="K24" s="42" t="inlineStr">
        <is>
          <t>안전난간 및 발판 설치 이후 철근 조립 및 거푸집 설치를 위한 비계 및 동바리 설치</t>
        </is>
      </c>
      <c r="L24" s="41" t="inlineStr">
        <is>
          <t>비계 및 동바리 검측서</t>
        </is>
      </c>
      <c r="M24" s="41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63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41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64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41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65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2" t="n"/>
    </row>
    <row r="25" ht="96" customHeight="1">
      <c r="A25" s="77" t="inlineStr">
        <is>
          <t>9000</t>
        </is>
      </c>
      <c r="B25" s="77" t="inlineStr">
        <is>
          <t>9000-6</t>
        </is>
      </c>
      <c r="C25" s="77" t="inlineStr">
        <is>
          <t>건축</t>
        </is>
      </c>
      <c r="D25" s="77" t="inlineStr">
        <is>
          <t>9000-6-24</t>
        </is>
      </c>
      <c r="E25" s="79" t="inlineStr">
        <is>
          <t>9000-6-23</t>
        </is>
      </c>
      <c r="F25" s="79" t="inlineStr">
        <is>
          <t>9000-6-25</t>
        </is>
      </c>
      <c r="G25" s="43" t="n"/>
      <c r="H25" s="25" t="inlineStr">
        <is>
          <t>철근 조립</t>
        </is>
      </c>
      <c r="I25" s="22" t="inlineStr">
        <is>
          <t>현장소장</t>
        </is>
      </c>
      <c r="J25" s="41" t="inlineStr">
        <is>
          <t>구조물의 뼈대를 형성하도록 철근을 조립</t>
        </is>
      </c>
      <c r="K25" s="42" t="inlineStr">
        <is>
          <t>철근 배근, 철근 조립 및 결속, 철근 이물질 등 검사</t>
        </is>
      </c>
      <c r="L25" s="41" t="inlineStr">
        <is>
          <t>철근 검측서</t>
        </is>
      </c>
      <c r="M25" s="41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63">
        <f>HYPERLINK(LEFT(CELL("filename",A1),FIND("[",CELL("filename",A1))-1)&amp;"6.건축\24_철근 조립\표준서\철근 조립_표준서.html", "👉 [클릭] 표준서 열기 📄")</f>
        <v/>
      </c>
      <c r="O25" s="41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64">
        <f>HYPERLINK(LEFT(CELL("filename",A1),FIND("[",CELL("filename",A1))-1)&amp;"6.건축\24_철근 조립\수행지침\철근 조립_수행지침.html", "👉 [클릭] 수행지침 열기 📄")</f>
        <v/>
      </c>
      <c r="Q25" s="41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65">
        <f>HYPERLINK(LEFT(CELL("filename",A1),FIND("[",CELL("filename",A1))-1)&amp;"6.건축\24_철근 조립\체크리스트\철근 조립_체크리스트.html", "👉 [클릭] 체크리스트 열기 📄")</f>
        <v/>
      </c>
      <c r="S25" s="22" t="n"/>
    </row>
    <row r="26" ht="96" customHeight="1">
      <c r="A26" s="77" t="inlineStr">
        <is>
          <t>9000</t>
        </is>
      </c>
      <c r="B26" s="77" t="inlineStr">
        <is>
          <t>9000-6</t>
        </is>
      </c>
      <c r="C26" s="77" t="inlineStr">
        <is>
          <t>건축</t>
        </is>
      </c>
      <c r="D26" s="77" t="inlineStr">
        <is>
          <t>9000-6-25</t>
        </is>
      </c>
      <c r="E26" s="79" t="inlineStr">
        <is>
          <t>9000-6-24</t>
        </is>
      </c>
      <c r="F26" s="79" t="inlineStr">
        <is>
          <t>9000-6-26</t>
        </is>
      </c>
      <c r="G26" s="43" t="n"/>
      <c r="H26" s="25" t="inlineStr">
        <is>
          <t>거푸집 조립</t>
        </is>
      </c>
      <c r="I26" s="22" t="inlineStr">
        <is>
          <t>현장소장</t>
        </is>
      </c>
      <c r="J26" s="41" t="inlineStr">
        <is>
          <t>콘크리트 타설 후 양생까지 유지하는 가설구조물 설치 작업</t>
        </is>
      </c>
      <c r="K26" s="42" t="inlineStr">
        <is>
          <t>합판, 강재등의 자재를 활용하여 설계도면 형상에 맞게 시공</t>
        </is>
      </c>
      <c r="L26" s="41" t="inlineStr">
        <is>
          <t>거푸집 검측서</t>
        </is>
      </c>
      <c r="M26" s="41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63">
        <f>HYPERLINK(LEFT(CELL("filename",A1),FIND("[",CELL("filename",A1))-1)&amp;"6.건축\25_거푸집 조립\표준서\거푸집 조립_표준서.html", "👉 [클릭] 표준서 열기 📄")</f>
        <v/>
      </c>
      <c r="O26" s="41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64">
        <f>HYPERLINK(LEFT(CELL("filename",A1),FIND("[",CELL("filename",A1))-1)&amp;"6.건축\25_거푸집 조립\수행지침\거푸집 조립_수행지침.html", "👉 [클릭] 수행지침 열기 📄")</f>
        <v/>
      </c>
      <c r="Q26" s="41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65">
        <f>HYPERLINK(LEFT(CELL("filename",A1),FIND("[",CELL("filename",A1))-1)&amp;"6.건축\25_거푸집 조립\체크리스트\거푸집 조립_체크리스트.html", "👉 [클릭] 체크리스트 열기 📄")</f>
        <v/>
      </c>
      <c r="S26" s="22" t="n"/>
    </row>
    <row r="27" ht="96" customHeight="1">
      <c r="A27" s="77" t="inlineStr">
        <is>
          <t>9000</t>
        </is>
      </c>
      <c r="B27" s="77" t="inlineStr">
        <is>
          <t>9000-6</t>
        </is>
      </c>
      <c r="C27" s="77" t="inlineStr">
        <is>
          <t>건축</t>
        </is>
      </c>
      <c r="D27" s="77" t="inlineStr">
        <is>
          <t>9000-6-26</t>
        </is>
      </c>
      <c r="E27" s="79" t="inlineStr">
        <is>
          <t>9000-6-25</t>
        </is>
      </c>
      <c r="F27" s="79" t="inlineStr">
        <is>
          <t>9000-6-27</t>
        </is>
      </c>
      <c r="G27" s="43" t="n"/>
      <c r="H27" s="25" t="inlineStr">
        <is>
          <t>콘크리트 타설 및 다짐</t>
        </is>
      </c>
      <c r="I27" s="22" t="inlineStr">
        <is>
          <t>현장소장</t>
        </is>
      </c>
      <c r="J27" s="41" t="inlineStr">
        <is>
          <t>거푸집에 콘크리트를 붓고 강도발현 까지 밀도와 습도조절 유지</t>
        </is>
      </c>
      <c r="K27" s="42" t="inlineStr">
        <is>
          <t>- 타설과 동시에 적당한 공법으로 다짐, 양생관리
- 마감품질 관련하여, 재료, 균열관리방안
- 상부슬라브 타설시 동바리 변형 확인</t>
        </is>
      </c>
      <c r="L27" s="41" t="inlineStr">
        <is>
          <t>콘크리트 구조물 확보, 타설보고서</t>
        </is>
      </c>
      <c r="M27" s="41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63">
        <f>HYPERLINK(LEFT(CELL("filename",A1),FIND("[",CELL("filename",A1))-1)&amp;"6.건축\26_콘크리트 타설 및 다짐\표준서\콘크리트 타설 및 다짐_표준서.html", "👉 [클릭] 표준서 열기 📄")</f>
        <v/>
      </c>
      <c r="O27" s="41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64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41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65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22" t="n"/>
    </row>
    <row r="28" ht="115.2" customHeight="1">
      <c r="A28" s="77" t="inlineStr">
        <is>
          <t>9000</t>
        </is>
      </c>
      <c r="B28" s="77" t="inlineStr">
        <is>
          <t>9000-6</t>
        </is>
      </c>
      <c r="C28" s="77" t="inlineStr">
        <is>
          <t>건축</t>
        </is>
      </c>
      <c r="D28" s="77" t="inlineStr">
        <is>
          <t>9000-6-27</t>
        </is>
      </c>
      <c r="E28" s="79" t="inlineStr">
        <is>
          <t>9000-6-26</t>
        </is>
      </c>
      <c r="F28" s="79" t="inlineStr">
        <is>
          <t>9000-6-28</t>
        </is>
      </c>
      <c r="G28" s="43" t="n"/>
      <c r="H28" s="25" t="inlineStr">
        <is>
          <t>거푸집 해체</t>
        </is>
      </c>
      <c r="I28" s="22" t="inlineStr">
        <is>
          <t>현장소장</t>
        </is>
      </c>
      <c r="J28" s="41" t="inlineStr">
        <is>
          <t>구조물과 거푸집을 분리하는 작업</t>
        </is>
      </c>
      <c r="K28" s="42" t="inlineStr">
        <is>
          <t>구조물에 훼손이 없도록 주의하여 안전하게 해체, 부속자재(핀, 타이, 결속선 등) 제거, 상태 Double Check</t>
        </is>
      </c>
      <c r="L28" s="41" t="inlineStr">
        <is>
          <t>해체 완료</t>
        </is>
      </c>
      <c r="M28" s="41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63">
        <f>HYPERLINK(LEFT(CELL("filename",A1),FIND("[",CELL("filename",A1))-1)&amp;"6.건축\27_거푸집 해체\표준서\거푸집 해체_표준서.html", "👉 [클릭] 표준서 열기 📄")</f>
        <v/>
      </c>
      <c r="O28" s="41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64">
        <f>HYPERLINK(LEFT(CELL("filename",A1),FIND("[",CELL("filename",A1))-1)&amp;"6.건축\27_거푸집 해체\수행지침\거푸집 해체_수행지침.html", "👉 [클릭] 수행지침 열기 📄")</f>
        <v/>
      </c>
      <c r="Q28" s="41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65">
        <f>HYPERLINK(LEFT(CELL("filename",A1),FIND("[",CELL("filename",A1))-1)&amp;"6.건축\27_거푸집 해체\체크리스트\거푸집 해체_체크리스트.html", "👉 [클릭] 체크리스트 열기 📄")</f>
        <v/>
      </c>
      <c r="S28" s="22" t="n"/>
    </row>
    <row r="29" ht="115.2" customHeight="1">
      <c r="A29" s="77" t="inlineStr">
        <is>
          <t>9000</t>
        </is>
      </c>
      <c r="B29" s="77" t="inlineStr">
        <is>
          <t>9000-6</t>
        </is>
      </c>
      <c r="C29" s="77" t="inlineStr">
        <is>
          <t>건축</t>
        </is>
      </c>
      <c r="D29" s="77" t="inlineStr">
        <is>
          <t>9000-6-28</t>
        </is>
      </c>
      <c r="E29" s="79" t="inlineStr">
        <is>
          <t>9000-6-27</t>
        </is>
      </c>
      <c r="F29" s="79" t="inlineStr">
        <is>
          <t>9000-6-29</t>
        </is>
      </c>
      <c r="G29" s="43" t="n"/>
      <c r="H29" s="25" t="inlineStr">
        <is>
          <t>건축 내부 및 마감공사</t>
        </is>
      </c>
      <c r="I29" s="22" t="inlineStr">
        <is>
          <t>현장소장</t>
        </is>
      </c>
      <c r="J29" s="41" t="inlineStr">
        <is>
          <t>건축구조물 완수단계후 방수 및 내부마감공사</t>
        </is>
      </c>
      <c r="K29" s="42" t="inlineStr">
        <is>
          <t>구조물 시공 이후 외벽 방수 진행, 내부 마감공사 연계, 선행공종 균열관리대책 확인</t>
        </is>
      </c>
      <c r="L29" s="41" t="inlineStr">
        <is>
          <t>해당공종 검측서, 품질시험결과 보고서, 마감공종 인수인계서</t>
        </is>
      </c>
      <c r="M29" s="41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63">
        <f>HYPERLINK(LEFT(CELL("filename",A1),FIND("[",CELL("filename",A1))-1)&amp;"6.건축\28_건축 내부 및 마감공사\표준서\건축 내부 및 마감공사_표준서.html", "👉 [클릭] 표준서 열기 📄")</f>
        <v/>
      </c>
      <c r="O29" s="41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64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41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65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22" t="n"/>
    </row>
    <row r="30" ht="115.2" customHeight="1">
      <c r="A30" s="77" t="inlineStr">
        <is>
          <t>9000</t>
        </is>
      </c>
      <c r="B30" s="77" t="inlineStr">
        <is>
          <t>9000-6</t>
        </is>
      </c>
      <c r="C30" s="77" t="inlineStr">
        <is>
          <t>건축</t>
        </is>
      </c>
      <c r="D30" s="77" t="inlineStr">
        <is>
          <t>9000-6-29</t>
        </is>
      </c>
      <c r="E30" s="79" t="inlineStr">
        <is>
          <t>9000-6-28</t>
        </is>
      </c>
      <c r="F30" s="79" t="inlineStr">
        <is>
          <t>9000-6-30</t>
        </is>
      </c>
      <c r="G30" s="43" t="n"/>
      <c r="H30" s="25" t="inlineStr">
        <is>
          <t>창호,유리 및 금속지붕공사</t>
        </is>
      </c>
      <c r="I30" s="22" t="inlineStr">
        <is>
          <t>현장소장</t>
        </is>
      </c>
      <c r="J30" s="41" t="inlineStr">
        <is>
          <t>외부, 내부 마감공사 수행 / 건축물 내부로 우수 침투 방지작업</t>
        </is>
      </c>
      <c r="K30" s="42" t="inlineStr">
        <is>
          <t>외벽 마감 공사(금속지붕 공사 / 내부 창호 및 유리 시공)</t>
        </is>
      </c>
      <c r="L30" s="41" t="inlineStr">
        <is>
          <t>시공상세도 및 검측서</t>
        </is>
      </c>
      <c r="M30" s="41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63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41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64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41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65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2" t="n"/>
    </row>
    <row r="31" ht="96" customHeight="1">
      <c r="A31" s="77" t="inlineStr">
        <is>
          <t>9000</t>
        </is>
      </c>
      <c r="B31" s="77" t="inlineStr">
        <is>
          <t>9000-6</t>
        </is>
      </c>
      <c r="C31" s="77" t="inlineStr">
        <is>
          <t>건축</t>
        </is>
      </c>
      <c r="D31" s="77" t="inlineStr">
        <is>
          <t>9000-6-30</t>
        </is>
      </c>
      <c r="E31" s="79" t="inlineStr">
        <is>
          <t>9000-6-29</t>
        </is>
      </c>
      <c r="F31" s="79" t="inlineStr">
        <is>
          <t>9000-6-31</t>
        </is>
      </c>
      <c r="G31" s="43" t="n"/>
      <c r="H31" s="25" t="inlineStr">
        <is>
          <t>조적공사</t>
        </is>
      </c>
      <c r="I31" s="22" t="inlineStr">
        <is>
          <t>현장소장</t>
        </is>
      </c>
      <c r="J31" s="41" t="inlineStr">
        <is>
          <t>건축물 내부 칸막이 벽체 형성</t>
        </is>
      </c>
      <c r="K31" s="42" t="inlineStr">
        <is>
          <t>시멘트 벽돌 및 블록으로 세대 칸막이 형성 일일 최대 쌓는높이 1.2m(내력벽)</t>
        </is>
      </c>
      <c r="L31" s="41" t="inlineStr">
        <is>
          <t>시멘트 벽돌 및 블록 검측서</t>
        </is>
      </c>
      <c r="M31" s="41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63">
        <f>HYPERLINK(LEFT(CELL("filename",A1),FIND("[",CELL("filename",A1))-1)&amp;"6.건축\30_조적공사\표준서\조적공사_표준서.html", "👉 [클릭] 표준서 열기 📄")</f>
        <v/>
      </c>
      <c r="O31" s="41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64">
        <f>HYPERLINK(LEFT(CELL("filename",A1),FIND("[",CELL("filename",A1))-1)&amp;"6.건축\30_조적공사\수행지침\조적공사_수행지침.html", "👉 [클릭] 수행지침 열기 📄")</f>
        <v/>
      </c>
      <c r="Q31" s="41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65">
        <f>HYPERLINK(LEFT(CELL("filename",A1),FIND("[",CELL("filename",A1))-1)&amp;"6.건축\30_조적공사\체크리스트\조적공사_체크리스트.html", "👉 [클릭] 체크리스트 열기 📄")</f>
        <v/>
      </c>
      <c r="S31" s="22" t="n"/>
    </row>
    <row r="32" ht="115.2" customHeight="1">
      <c r="A32" s="77" t="inlineStr">
        <is>
          <t>9000</t>
        </is>
      </c>
      <c r="B32" s="77" t="inlineStr">
        <is>
          <t>9000-6</t>
        </is>
      </c>
      <c r="C32" s="77" t="inlineStr">
        <is>
          <t>건축</t>
        </is>
      </c>
      <c r="D32" s="77" t="inlineStr">
        <is>
          <t>9000-6-31</t>
        </is>
      </c>
      <c r="E32" s="79" t="inlineStr">
        <is>
          <t>9000-6-30</t>
        </is>
      </c>
      <c r="F32" s="79" t="inlineStr">
        <is>
          <t>9000-6-32</t>
        </is>
      </c>
      <c r="G32" s="43" t="n"/>
      <c r="H32" s="25" t="inlineStr">
        <is>
          <t>내부 방수공사</t>
        </is>
      </c>
      <c r="I32" s="22" t="inlineStr">
        <is>
          <t>현장소장</t>
        </is>
      </c>
      <c r="J32" s="41" t="inlineStr">
        <is>
          <t>건축물 내부에서 물을 사용하는 실(화장실)등에 누수 방지</t>
        </is>
      </c>
      <c r="K32" s="42" t="inlineStr">
        <is>
          <t>구조물 청소 및 바탕정리후 방수공사 시행(코너부 및 드레인 주위 보강방수 실시)</t>
        </is>
      </c>
      <c r="L32" s="41" t="inlineStr">
        <is>
          <t>방수공사 검측서</t>
        </is>
      </c>
      <c r="M32" s="41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63">
        <f>HYPERLINK(LEFT(CELL("filename",A1),FIND("[",CELL("filename",A1))-1)&amp;"6.건축\31_내부 방수공사\표준서\내부 방수공사_표준서.html", "👉 [클릭] 표준서 열기 📄")</f>
        <v/>
      </c>
      <c r="O32" s="41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64">
        <f>HYPERLINK(LEFT(CELL("filename",A1),FIND("[",CELL("filename",A1))-1)&amp;"6.건축\31_내부 방수공사\수행지침\내부 방수공사_수행지침.html", "👉 [클릭] 수행지침 열기 📄")</f>
        <v/>
      </c>
      <c r="Q32" s="41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65">
        <f>HYPERLINK(LEFT(CELL("filename",A1),FIND("[",CELL("filename",A1))-1)&amp;"6.건축\31_내부 방수공사\체크리스트\내부 방수공사_체크리스트.html", "👉 [클릭] 체크리스트 열기 📄")</f>
        <v/>
      </c>
      <c r="S32" s="22" t="n"/>
    </row>
    <row r="33" ht="96" customHeight="1">
      <c r="A33" s="77" t="inlineStr">
        <is>
          <t>9000</t>
        </is>
      </c>
      <c r="B33" s="77" t="inlineStr">
        <is>
          <t>9000-6</t>
        </is>
      </c>
      <c r="C33" s="77" t="inlineStr">
        <is>
          <t>건축</t>
        </is>
      </c>
      <c r="D33" s="77" t="inlineStr">
        <is>
          <t>9000-6-32</t>
        </is>
      </c>
      <c r="E33" s="79" t="inlineStr">
        <is>
          <t>9000-6-31</t>
        </is>
      </c>
      <c r="F33" s="79" t="inlineStr">
        <is>
          <t>9000-6-33</t>
        </is>
      </c>
      <c r="G33" s="43" t="n"/>
      <c r="H33" s="25" t="inlineStr">
        <is>
          <t>미장 및 타일공사</t>
        </is>
      </c>
      <c r="I33" s="22" t="inlineStr">
        <is>
          <t>현장소장</t>
        </is>
      </c>
      <c r="J33" s="41" t="inlineStr">
        <is>
          <t>바탕면이 콘크리트나 조적공사 위에 마감공사 수행(초벌, 재벌, 정벌)</t>
        </is>
      </c>
      <c r="K33" s="42" t="inlineStr">
        <is>
          <t>미장공사는 시멘트와 모래(1:3배합)하여 바탕면에 바르는 작업, 타일공사는 벽면 미장후 타일시공</t>
        </is>
      </c>
      <c r="L33" s="41" t="inlineStr">
        <is>
          <t>미장,타일 검측서</t>
        </is>
      </c>
      <c r="M33" s="41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63">
        <f>HYPERLINK(LEFT(CELL("filename",A1),FIND("[",CELL("filename",A1))-1)&amp;"6.건축\32_미장 및 타일공사\표준서\미장 및 타일공사_표준서.html", "👉 [클릭] 표준서 열기 📄")</f>
        <v/>
      </c>
      <c r="O33" s="41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64">
        <f>HYPERLINK(LEFT(CELL("filename",A1),FIND("[",CELL("filename",A1))-1)&amp;"6.건축\32_미장 및 타일공사\수행지침\미장 및 타일공사_수행지침.html", "👉 [클릭] 수행지침 열기 📄")</f>
        <v/>
      </c>
      <c r="Q33" s="41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65">
        <f>HYPERLINK(LEFT(CELL("filename",A1),FIND("[",CELL("filename",A1))-1)&amp;"6.건축\32_미장 및 타일공사\체크리스트\미장 및 타일공사_체크리스트.html", "👉 [클릭] 체크리스트 열기 📄")</f>
        <v/>
      </c>
      <c r="S33" s="22" t="n"/>
    </row>
    <row r="34" ht="96" customHeight="1">
      <c r="A34" s="77" t="inlineStr">
        <is>
          <t>9000</t>
        </is>
      </c>
      <c r="B34" s="77" t="inlineStr">
        <is>
          <t>9000-6</t>
        </is>
      </c>
      <c r="C34" s="77" t="inlineStr">
        <is>
          <t>건축</t>
        </is>
      </c>
      <c r="D34" s="77" t="inlineStr">
        <is>
          <t>9000-6-33</t>
        </is>
      </c>
      <c r="E34" s="79" t="inlineStr">
        <is>
          <t>9000-6-32</t>
        </is>
      </c>
      <c r="F34" s="79" t="inlineStr">
        <is>
          <t>9000-6-34</t>
        </is>
      </c>
      <c r="G34" s="43" t="n"/>
      <c r="H34" s="25" t="inlineStr">
        <is>
          <t>수장 및 잡철물공사</t>
        </is>
      </c>
      <c r="I34" s="22" t="inlineStr">
        <is>
          <t>현장소장</t>
        </is>
      </c>
      <c r="J34" s="41" t="inlineStr">
        <is>
          <t>수장공사 : 천정공사, 바닥마감공사, 잡철물 공사 : 도어, 창호 등 설치 공사</t>
        </is>
      </c>
      <c r="K34" s="42" t="inlineStr">
        <is>
          <t>각실의 천정공사(텍스류), 바닥마감공사(비닐계타일),도배공사등을 수행, 잡철물 공사는 각실의 도어, 난간,창호등을 설치하는 공사</t>
        </is>
      </c>
      <c r="L34" s="41" t="inlineStr">
        <is>
          <t>수장 및 잡철물검측서</t>
        </is>
      </c>
      <c r="M34" s="41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63">
        <f>HYPERLINK(LEFT(CELL("filename",A1),FIND("[",CELL("filename",A1))-1)&amp;"6.건축\33_수장 및 잡철물공사\표준서\수장 및 잡철물공사_표준서.html", "👉 [클릭] 표준서 열기 📄")</f>
        <v/>
      </c>
      <c r="O34" s="41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64">
        <f>HYPERLINK(LEFT(CELL("filename",A1),FIND("[",CELL("filename",A1))-1)&amp;"6.건축\33_수장 및 잡철물공사\수행지침\수장 및 잡철물공사_수행지침.html", "👉 [클릭] 수행지침 열기 📄")</f>
        <v/>
      </c>
      <c r="Q34" s="41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65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2" t="n"/>
    </row>
    <row r="35" ht="115.2" customHeight="1">
      <c r="A35" s="77" t="inlineStr">
        <is>
          <t>9000</t>
        </is>
      </c>
      <c r="B35" s="77" t="inlineStr">
        <is>
          <t>9000-6</t>
        </is>
      </c>
      <c r="C35" s="77" t="inlineStr">
        <is>
          <t>건축</t>
        </is>
      </c>
      <c r="D35" s="77" t="inlineStr">
        <is>
          <t>9000-6-34</t>
        </is>
      </c>
      <c r="E35" s="79" t="inlineStr">
        <is>
          <t>9000-6-33</t>
        </is>
      </c>
      <c r="F35" s="79" t="inlineStr">
        <is>
          <t>9000-6-35</t>
        </is>
      </c>
      <c r="G35" s="43" t="n"/>
      <c r="H35" s="25" t="inlineStr">
        <is>
          <t>도장공사</t>
        </is>
      </c>
      <c r="I35" s="22" t="inlineStr">
        <is>
          <t>현장소장</t>
        </is>
      </c>
      <c r="J35" s="41" t="inlineStr">
        <is>
          <t>미장면, 석고보드위에 도장공사 수행</t>
        </is>
      </c>
      <c r="K35" s="42" t="inlineStr">
        <is>
          <t>도장재 (붓, 롤러등)로 벽면에 시공</t>
        </is>
      </c>
      <c r="L35" s="41" t="inlineStr">
        <is>
          <t>도장공사 검측서</t>
        </is>
      </c>
      <c r="M35" s="41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63">
        <f>HYPERLINK(LEFT(CELL("filename",A1),FIND("[",CELL("filename",A1))-1)&amp;"6.건축\34_도장공사\표준서\도장공사_표준서.html", "👉 [클릭] 표준서 열기 📄")</f>
        <v/>
      </c>
      <c r="O35" s="41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64">
        <f>HYPERLINK(LEFT(CELL("filename",A1),FIND("[",CELL("filename",A1))-1)&amp;"6.건축\34_도장공사\수행지침\도장공사_수행지침.html", "👉 [클릭] 수행지침 열기 📄")</f>
        <v/>
      </c>
      <c r="Q35" s="41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65">
        <f>HYPERLINK(LEFT(CELL("filename",A1),FIND("[",CELL("filename",A1))-1)&amp;"6.건축\34_도장공사\체크리스트\도장공사_체크리스트.html", "👉 [클릭] 체크리스트 열기 📄")</f>
        <v/>
      </c>
      <c r="S35" s="22" t="n"/>
    </row>
    <row r="36" ht="115.2" customHeight="1">
      <c r="A36" s="77" t="inlineStr">
        <is>
          <t>9000</t>
        </is>
      </c>
      <c r="B36" s="77" t="inlineStr">
        <is>
          <t>9000-6</t>
        </is>
      </c>
      <c r="C36" s="77" t="inlineStr">
        <is>
          <t>건축</t>
        </is>
      </c>
      <c r="D36" s="77" t="inlineStr">
        <is>
          <t>9000-6-35</t>
        </is>
      </c>
      <c r="E36" s="79" t="inlineStr">
        <is>
          <t>9000-6-34</t>
        </is>
      </c>
      <c r="F36" s="79" t="inlineStr">
        <is>
          <t>9000-6-36</t>
        </is>
      </c>
      <c r="G36" s="43" t="n"/>
      <c r="H36" s="25" t="inlineStr">
        <is>
          <t>인테리어 및 무대공사</t>
        </is>
      </c>
      <c r="I36" s="22" t="inlineStr">
        <is>
          <t>현장소장</t>
        </is>
      </c>
      <c r="J36" s="41" t="inlineStr">
        <is>
          <t>내부 선반, 주방가구, 설치작업 등 내부 인테리어 및 무대공사</t>
        </is>
      </c>
      <c r="K36" s="42" t="inlineStr">
        <is>
          <t>추가로 발생되는 건축공사에 적합한 자재 반입, 검수 및 시공</t>
        </is>
      </c>
      <c r="L36" s="41" t="inlineStr">
        <is>
          <t>각 공종 검측서</t>
        </is>
      </c>
      <c r="M36" s="41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63">
        <f>HYPERLINK(LEFT(CELL("filename",A1),FIND("[",CELL("filename",A1))-1)&amp;"6.건축\35_인테리어 및 무대공사\표준서\인테리어 및 무대공사_표준서.html", "👉 [클릭] 표준서 열기 📄")</f>
        <v/>
      </c>
      <c r="O36" s="41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64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41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65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2" t="n"/>
    </row>
    <row r="37" ht="115.2" customHeight="1">
      <c r="A37" s="77" t="inlineStr">
        <is>
          <t>9000</t>
        </is>
      </c>
      <c r="B37" s="77" t="inlineStr">
        <is>
          <t>9000-6</t>
        </is>
      </c>
      <c r="C37" s="77" t="inlineStr">
        <is>
          <t>건축</t>
        </is>
      </c>
      <c r="D37" s="77" t="inlineStr">
        <is>
          <t>9000-6-36</t>
        </is>
      </c>
      <c r="E37" s="79" t="inlineStr">
        <is>
          <t>9000-6-35</t>
        </is>
      </c>
      <c r="F37" s="79" t="inlineStr">
        <is>
          <t>9000-6-37</t>
        </is>
      </c>
      <c r="G37" s="43" t="n"/>
      <c r="H37" s="25" t="inlineStr">
        <is>
          <t>준공전 건축 인허가</t>
        </is>
      </c>
      <c r="I37" s="22" t="inlineStr">
        <is>
          <t>현장소장</t>
        </is>
      </c>
      <c r="J37" s="41" t="inlineStr">
        <is>
          <t>관련법에 따라 준공전 건축인허가 완료</t>
        </is>
      </c>
      <c r="K37" s="42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41" t="inlineStr">
        <is>
          <t>인허가 신고 / 승인 문서</t>
        </is>
      </c>
      <c r="M37" s="41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63">
        <f>HYPERLINK(LEFT(CELL("filename",A1),FIND("[",CELL("filename",A1))-1)&amp;"6.건축\36_준공전 건축 인허가\표준서\준공전 건축 인허가_표준서.html", "👉 [클릭] 표준서 열기 📄")</f>
        <v/>
      </c>
      <c r="O37" s="41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64">
        <f>HYPERLINK(LEFT(CELL("filename",A1),FIND("[",CELL("filename",A1))-1)&amp;"6.건축\36_준공전 건축 인허가\수행지침\준공전 건축 인허가_수행지침.html", "👉 [클릭] 수행지침 열기 📄")</f>
        <v/>
      </c>
      <c r="Q37" s="41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65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22" t="n"/>
    </row>
    <row r="38" ht="134.4" customHeight="1">
      <c r="A38" s="77" t="inlineStr">
        <is>
          <t>9000</t>
        </is>
      </c>
      <c r="B38" s="77" t="inlineStr">
        <is>
          <t>9000-6</t>
        </is>
      </c>
      <c r="C38" s="77" t="inlineStr">
        <is>
          <t>건축</t>
        </is>
      </c>
      <c r="D38" s="77" t="inlineStr">
        <is>
          <t>9000-6-37</t>
        </is>
      </c>
      <c r="E38" s="79" t="inlineStr">
        <is>
          <t>9000-6-36</t>
        </is>
      </c>
      <c r="F38" s="79" t="inlineStr">
        <is>
          <t>9000-6-38</t>
        </is>
      </c>
      <c r="G38" s="43" t="n"/>
      <c r="H38" s="25" t="inlineStr">
        <is>
          <t>소방시설공사 완공검사</t>
        </is>
      </c>
      <c r="I38" s="22" t="inlineStr">
        <is>
          <t>현장소장</t>
        </is>
      </c>
      <c r="J38" s="41" t="inlineStr">
        <is>
          <t>소방시설 완공검사 신청</t>
        </is>
      </c>
      <c r="K38" s="42" t="inlineStr">
        <is>
          <t>현장 -&gt; 관할소방서 및 지자체 소방시설공사법 제14조
- 서식: 별지 제17호 서식
- 제출후 처리기간 3일 이내</t>
        </is>
      </c>
      <c r="L38" s="41" t="inlineStr">
        <is>
          <t>소방시설 완공검사 증명서</t>
        </is>
      </c>
      <c r="M38" s="41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63">
        <f>HYPERLINK(LEFT(CELL("filename",A1),FIND("[",CELL("filename",A1))-1)&amp;"6.건축\37_소방시설공사 완공검사\표준서\소방시설공사 완공검사_표준서.html", "👉 [클릭] 표준서 열기 📄")</f>
        <v/>
      </c>
      <c r="O38" s="41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64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41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65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2" t="n"/>
    </row>
    <row r="39" ht="115.2" customHeight="1">
      <c r="A39" s="77" t="inlineStr">
        <is>
          <t>9000</t>
        </is>
      </c>
      <c r="B39" s="77" t="inlineStr">
        <is>
          <t>9000-6</t>
        </is>
      </c>
      <c r="C39" s="77" t="inlineStr">
        <is>
          <t>건축</t>
        </is>
      </c>
      <c r="D39" s="77" t="inlineStr">
        <is>
          <t>9000-6-38</t>
        </is>
      </c>
      <c r="E39" s="79" t="inlineStr">
        <is>
          <t>9000-6-37</t>
        </is>
      </c>
      <c r="F39" s="79" t="inlineStr">
        <is>
          <t>9000-6-39</t>
        </is>
      </c>
      <c r="G39" s="43" t="n"/>
      <c r="H39" s="25" t="inlineStr">
        <is>
          <t>승강기 설치 신고서 제출</t>
        </is>
      </c>
      <c r="I39" s="22" t="inlineStr">
        <is>
          <t>현장소장</t>
        </is>
      </c>
      <c r="J39" s="41" t="inlineStr">
        <is>
          <t>승강기 설치 신고</t>
        </is>
      </c>
      <c r="K39" s="42" t="inlineStr">
        <is>
          <t>현장 -&gt; 승강기 안전공단, 승강기 안전관리법 제27조
- 서식: 별지 제22호 서식
- 제출후 처리기간 7일 이내</t>
        </is>
      </c>
      <c r="L39" s="41" t="inlineStr">
        <is>
          <t>승강기 설치 신고필증</t>
        </is>
      </c>
      <c r="M39" s="41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63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41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64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41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65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22" t="n"/>
    </row>
    <row r="40" ht="115.2" customHeight="1">
      <c r="A40" s="77" t="inlineStr">
        <is>
          <t>9000</t>
        </is>
      </c>
      <c r="B40" s="77" t="inlineStr">
        <is>
          <t>9000-6</t>
        </is>
      </c>
      <c r="C40" s="77" t="inlineStr">
        <is>
          <t>건축</t>
        </is>
      </c>
      <c r="D40" s="77" t="inlineStr">
        <is>
          <t>9000-6-39</t>
        </is>
      </c>
      <c r="E40" s="79" t="inlineStr">
        <is>
          <t>9000-6-38</t>
        </is>
      </c>
      <c r="F40" s="79" t="inlineStr">
        <is>
          <t>9000-6-40</t>
        </is>
      </c>
      <c r="G40" s="43" t="n"/>
      <c r="H40" s="25" t="inlineStr">
        <is>
          <t>저수조 설치현황 신고서 제출</t>
        </is>
      </c>
      <c r="I40" s="22" t="inlineStr">
        <is>
          <t>현장소장</t>
        </is>
      </c>
      <c r="J40" s="41" t="inlineStr">
        <is>
          <t>저수조 청소 신고</t>
        </is>
      </c>
      <c r="K40" s="42" t="inlineStr">
        <is>
          <t>현장 -&gt; 저수조업체 -&gt; 관할지자체, 수도법 제33조(위생상의 조치)
- 서식: 별지 제12호 서식</t>
        </is>
      </c>
      <c r="L40" s="41" t="inlineStr">
        <is>
          <t>저수조 설치 신고필증</t>
        </is>
      </c>
      <c r="M40" s="41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63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41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64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41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65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2" t="n"/>
    </row>
    <row r="41" ht="115.2" customHeight="1">
      <c r="A41" s="77" t="inlineStr">
        <is>
          <t>9000</t>
        </is>
      </c>
      <c r="B41" s="77" t="inlineStr">
        <is>
          <t>9000-6</t>
        </is>
      </c>
      <c r="C41" s="77" t="inlineStr">
        <is>
          <t>건축</t>
        </is>
      </c>
      <c r="D41" s="77" t="inlineStr">
        <is>
          <t>9000-6-40</t>
        </is>
      </c>
      <c r="E41" s="79" t="inlineStr">
        <is>
          <t>9000-6-39</t>
        </is>
      </c>
      <c r="F41" s="79" t="inlineStr">
        <is>
          <t>9000-6-41</t>
        </is>
      </c>
      <c r="G41" s="43" t="n"/>
      <c r="H41" s="25" t="inlineStr">
        <is>
          <t>오수처리시설 / 정화조 설치 신고서 제출</t>
        </is>
      </c>
      <c r="I41" s="22" t="inlineStr">
        <is>
          <t>현장소장</t>
        </is>
      </c>
      <c r="J41" s="41" t="inlineStr">
        <is>
          <t>정화조 및 오수 처리시설 신고</t>
        </is>
      </c>
      <c r="K41" s="42" t="inlineStr">
        <is>
          <t>현장 -&gt; 관할지자체, 하수도법 제34조
- 서식: 별지 제13호 서식
- 제출후 처리기간 5일 이내</t>
        </is>
      </c>
      <c r="L41" s="41" t="inlineStr">
        <is>
          <t>오수처리시설/정화조 설치 신고필증</t>
        </is>
      </c>
      <c r="M41" s="41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63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41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64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41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65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22" t="n"/>
    </row>
    <row r="42" ht="115.2" customHeight="1">
      <c r="A42" s="77" t="inlineStr">
        <is>
          <t>9000</t>
        </is>
      </c>
      <c r="B42" s="77" t="inlineStr">
        <is>
          <t>9000-6</t>
        </is>
      </c>
      <c r="C42" s="77" t="inlineStr">
        <is>
          <t>건축</t>
        </is>
      </c>
      <c r="D42" s="77" t="inlineStr">
        <is>
          <t>9000-6-41</t>
        </is>
      </c>
      <c r="E42" s="79" t="inlineStr">
        <is>
          <t>9000-6-40</t>
        </is>
      </c>
      <c r="F42" s="79" t="inlineStr">
        <is>
          <t>9000-6-42</t>
        </is>
      </c>
      <c r="G42" s="43" t="n"/>
      <c r="H42" s="25" t="inlineStr">
        <is>
          <t>전기사용전 검사</t>
        </is>
      </c>
      <c r="I42" s="22" t="inlineStr">
        <is>
          <t>현장소장</t>
        </is>
      </c>
      <c r="J42" s="41" t="inlineStr">
        <is>
          <t>전기사용전 검사 신청</t>
        </is>
      </c>
      <c r="K42" s="42" t="inlineStr">
        <is>
          <t>현장 -&gt; 한국전기안전공사, 전기안전관리법 제9조(사용전검사)
- 서식: 별지 제4호 서식</t>
        </is>
      </c>
      <c r="L42" s="41" t="inlineStr">
        <is>
          <t>전기사용전 검사 필증</t>
        </is>
      </c>
      <c r="M42" s="41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63">
        <f>HYPERLINK(LEFT(CELL("filename",A1),FIND("[",CELL("filename",A1))-1)&amp;"6.건축\41_전기사용전 검사\표준서\전기사용전 검사_표준서.html", "👉 [클릭] 표준서 열기 📄")</f>
        <v/>
      </c>
      <c r="O42" s="41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64">
        <f>HYPERLINK(LEFT(CELL("filename",A1),FIND("[",CELL("filename",A1))-1)&amp;"6.건축\41_전기사용전 검사\수행지침\전기사용전 검사_수행지침.html", "👉 [클릭] 수행지침 열기 📄")</f>
        <v/>
      </c>
      <c r="Q42" s="41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65">
        <f>HYPERLINK(LEFT(CELL("filename",A1),FIND("[",CELL("filename",A1))-1)&amp;"6.건축\41_전기사용전 검사\체크리스트\전기사용전 검사_체크리스트.html", "👉 [클릭] 체크리스트 열기 📄")</f>
        <v/>
      </c>
      <c r="S42" s="22" t="n"/>
    </row>
    <row r="43" ht="115.2" customHeight="1">
      <c r="A43" s="77" t="inlineStr">
        <is>
          <t>9000</t>
        </is>
      </c>
      <c r="B43" s="77" t="inlineStr">
        <is>
          <t>9000-6</t>
        </is>
      </c>
      <c r="C43" s="77" t="inlineStr">
        <is>
          <t>건축</t>
        </is>
      </c>
      <c r="D43" s="77" t="inlineStr">
        <is>
          <t>9000-6-42</t>
        </is>
      </c>
      <c r="E43" s="79" t="inlineStr">
        <is>
          <t>9000-6-41</t>
        </is>
      </c>
      <c r="F43" s="79" t="inlineStr">
        <is>
          <t>9000-6-43</t>
        </is>
      </c>
      <c r="G43" s="43" t="n"/>
      <c r="H43" s="25" t="inlineStr">
        <is>
          <t>승강기 설치검사</t>
        </is>
      </c>
      <c r="I43" s="22" t="inlineStr">
        <is>
          <t>현장소장</t>
        </is>
      </c>
      <c r="J43" s="41" t="inlineStr">
        <is>
          <t>승강기 설치검사 신청</t>
        </is>
      </c>
      <c r="K43" s="42" t="inlineStr">
        <is>
          <t>현장 -&gt; 한국승강기안전공단, 승강기 안전관리법 제28조(승강기 설치)
- 서식: 별지 제23호 서식
- 제출후 처리기간 15일 이내</t>
        </is>
      </c>
      <c r="L43" s="41" t="inlineStr">
        <is>
          <t>승강기 사용필증, 합격증보고서</t>
        </is>
      </c>
      <c r="M43" s="41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63">
        <f>HYPERLINK(LEFT(CELL("filename",A1),FIND("[",CELL("filename",A1))-1)&amp;"6.건축\42_승강기 설치검사\표준서\승강기 설치검사_표준서.html", "👉 [클릭] 표준서 열기 📄")</f>
        <v/>
      </c>
      <c r="O43" s="41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64">
        <f>HYPERLINK(LEFT(CELL("filename",A1),FIND("[",CELL("filename",A1))-1)&amp;"6.건축\42_승강기 설치검사\수행지침\승강기 설치검사_수행지침.html", "👉 [클릭] 수행지침 열기 📄")</f>
        <v/>
      </c>
      <c r="Q43" s="41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65">
        <f>HYPERLINK(LEFT(CELL("filename",A1),FIND("[",CELL("filename",A1))-1)&amp;"6.건축\42_승강기 설치검사\체크리스트\승강기 설치검사_체크리스트.html", "👉 [클릭] 체크리스트 열기 📄")</f>
        <v/>
      </c>
      <c r="S43" s="22" t="n"/>
    </row>
    <row r="44" ht="115.2" customHeight="1">
      <c r="A44" s="77" t="inlineStr">
        <is>
          <t>9000</t>
        </is>
      </c>
      <c r="B44" s="77" t="inlineStr">
        <is>
          <t>9000-6</t>
        </is>
      </c>
      <c r="C44" s="77" t="inlineStr">
        <is>
          <t>건축</t>
        </is>
      </c>
      <c r="D44" s="77" t="inlineStr">
        <is>
          <t>9000-6-43</t>
        </is>
      </c>
      <c r="E44" s="79" t="inlineStr">
        <is>
          <t>9000-6-42</t>
        </is>
      </c>
      <c r="F44" s="79" t="inlineStr">
        <is>
          <t>9000-6-44</t>
        </is>
      </c>
      <c r="G44" s="43" t="n"/>
      <c r="H44" s="25" t="inlineStr">
        <is>
          <t>배수설비 설치 신고서 제출</t>
        </is>
      </c>
      <c r="I44" s="22" t="inlineStr">
        <is>
          <t>현장소장</t>
        </is>
      </c>
      <c r="J44" s="41" t="inlineStr">
        <is>
          <t>배수설비 사용 신청</t>
        </is>
      </c>
      <c r="K44" s="42" t="inlineStr">
        <is>
          <t>현장 -&gt; 관할지자체/하수도법 제27조/별지 제7호 서식/제출후 처리기간 7일 이내</t>
        </is>
      </c>
      <c r="L44" s="41" t="inlineStr">
        <is>
          <t>배수설비 사용필증</t>
        </is>
      </c>
      <c r="M44" s="41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63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41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64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41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65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2" t="n"/>
    </row>
    <row r="45" ht="96" customHeight="1">
      <c r="A45" s="77" t="inlineStr">
        <is>
          <t>9000</t>
        </is>
      </c>
      <c r="B45" s="77" t="inlineStr">
        <is>
          <t>9000-6</t>
        </is>
      </c>
      <c r="C45" s="77" t="inlineStr">
        <is>
          <t>건축</t>
        </is>
      </c>
      <c r="D45" s="77" t="inlineStr">
        <is>
          <t>9000-6-44</t>
        </is>
      </c>
      <c r="E45" s="79" t="inlineStr">
        <is>
          <t>9000-6-43</t>
        </is>
      </c>
      <c r="F45" s="79" t="inlineStr">
        <is>
          <t>9000-6-45</t>
        </is>
      </c>
      <c r="G45" s="43" t="n"/>
      <c r="H45" s="25" t="inlineStr">
        <is>
          <t>정보통신공사 사용전검사</t>
        </is>
      </c>
      <c r="I45" s="22" t="inlineStr">
        <is>
          <t>현장소장</t>
        </is>
      </c>
      <c r="J45" s="41" t="inlineStr">
        <is>
          <t>정보통신 설치 사용전 검사신청</t>
        </is>
      </c>
      <c r="K45" s="42" t="inlineStr">
        <is>
          <t>현장 -&gt; 관할지자체, 정보통신공사업 시행령 제36조
- 서식: 해당 법 별지 제9호 서식
- 제출후 처리기간 14일 이내</t>
        </is>
      </c>
      <c r="L45" s="41" t="inlineStr">
        <is>
          <t>정보통신사용전 검사필증</t>
        </is>
      </c>
      <c r="M45" s="41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63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41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64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41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65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22" t="n"/>
    </row>
    <row r="46" ht="115.2" customHeight="1">
      <c r="A46" s="77" t="inlineStr">
        <is>
          <t>9000</t>
        </is>
      </c>
      <c r="B46" s="77" t="inlineStr">
        <is>
          <t>9000-6</t>
        </is>
      </c>
      <c r="C46" s="77" t="inlineStr">
        <is>
          <t>건축</t>
        </is>
      </c>
      <c r="D46" s="77" t="inlineStr">
        <is>
          <t>9000-6-45</t>
        </is>
      </c>
      <c r="E46" s="79" t="inlineStr">
        <is>
          <t>9000-6-44</t>
        </is>
      </c>
      <c r="F46" s="79" t="inlineStr">
        <is>
          <t>9000-6-46</t>
        </is>
      </c>
      <c r="G46" s="43" t="n"/>
      <c r="H46" s="25" t="inlineStr">
        <is>
          <t>오수처리시설 / 정화조 준공검사</t>
        </is>
      </c>
      <c r="I46" s="22" t="inlineStr">
        <is>
          <t>현장소장</t>
        </is>
      </c>
      <c r="J46" s="41" t="inlineStr">
        <is>
          <t>정화조 사용 신청</t>
        </is>
      </c>
      <c r="K46" s="42" t="inlineStr">
        <is>
          <t>현장 -&gt; 관할지자체, 하수도법 제37조
- 서식: 해당 법 별지 제15호 서식
- 제출후 처리기간 5일 이내</t>
        </is>
      </c>
      <c r="L46" s="41" t="inlineStr">
        <is>
          <t>오수처리시설 / 정화조 준공필증</t>
        </is>
      </c>
      <c r="M46" s="41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63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41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64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41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65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2" t="n"/>
    </row>
    <row r="47" ht="115.2" customHeight="1">
      <c r="A47" s="77" t="inlineStr">
        <is>
          <t>9000</t>
        </is>
      </c>
      <c r="B47" s="77" t="inlineStr">
        <is>
          <t>9000-6</t>
        </is>
      </c>
      <c r="C47" s="77" t="inlineStr">
        <is>
          <t>건축</t>
        </is>
      </c>
      <c r="D47" s="77" t="inlineStr">
        <is>
          <t>9000-6-46</t>
        </is>
      </c>
      <c r="E47" s="79" t="inlineStr">
        <is>
          <t>9000-6-45</t>
        </is>
      </c>
      <c r="F47" s="79" t="inlineStr">
        <is>
          <t>9000-6-47</t>
        </is>
      </c>
      <c r="G47" s="43" t="n"/>
      <c r="H47" s="25" t="inlineStr">
        <is>
          <t>급수공사 신청서 제출</t>
        </is>
      </c>
      <c r="I47" s="22" t="inlineStr">
        <is>
          <t>현장소장</t>
        </is>
      </c>
      <c r="J47" s="41" t="inlineStr">
        <is>
          <t>급수 사용 신청</t>
        </is>
      </c>
      <c r="K47" s="42" t="inlineStr">
        <is>
          <t>현장 -&gt; 관할지자체, 수도 조례 시행규칙
- 서식: 해당 법 별지 제1호 서식</t>
        </is>
      </c>
      <c r="L47" s="41" t="inlineStr">
        <is>
          <t>급수 사용허가 문서</t>
        </is>
      </c>
      <c r="M47" s="41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63">
        <f>HYPERLINK(LEFT(CELL("filename",A1),FIND("[",CELL("filename",A1))-1)&amp;"6.건축\46_급수공사 신청서 제출\표준서\급수공사 신청서 제출_표준서.html", "👉 [클릭] 표준서 열기 📄")</f>
        <v/>
      </c>
      <c r="O47" s="41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64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41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65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22" t="n"/>
    </row>
    <row r="48" ht="115.2" customHeight="1">
      <c r="A48" s="77" t="inlineStr">
        <is>
          <t>9000</t>
        </is>
      </c>
      <c r="B48" s="77" t="inlineStr">
        <is>
          <t>9000-6</t>
        </is>
      </c>
      <c r="C48" s="77" t="inlineStr">
        <is>
          <t>건축</t>
        </is>
      </c>
      <c r="D48" s="77" t="inlineStr">
        <is>
          <t>9000-6-47</t>
        </is>
      </c>
      <c r="E48" s="79" t="inlineStr">
        <is>
          <t>9000-6-46</t>
        </is>
      </c>
      <c r="F48" s="79" t="inlineStr">
        <is>
          <t>9000-6-48</t>
        </is>
      </c>
      <c r="G48" s="43" t="n"/>
      <c r="H48" s="25" t="inlineStr">
        <is>
          <t>업무대행 건축사 사용승인 검사</t>
        </is>
      </c>
      <c r="I48" s="22" t="inlineStr">
        <is>
          <t>건축사</t>
        </is>
      </c>
      <c r="J48" s="41" t="inlineStr">
        <is>
          <t>업무대행 건축사 확인후 사용승인</t>
        </is>
      </c>
      <c r="K48" s="42" t="inlineStr">
        <is>
          <t>현장 -&gt; 관할지자체, 건축법시행령 제20조(현장조사검사 및 확인 업무대행)
- 서식: 해당 법 별지 제17호 서식</t>
        </is>
      </c>
      <c r="L48" s="41" t="inlineStr">
        <is>
          <t>건축물 사용승인 알림 [공문]</t>
        </is>
      </c>
      <c r="M48" s="41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63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41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64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41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65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2" t="n"/>
    </row>
    <row r="49" ht="115.2" customHeight="1">
      <c r="A49" s="77" t="inlineStr">
        <is>
          <t>9000</t>
        </is>
      </c>
      <c r="B49" s="77" t="inlineStr">
        <is>
          <t>9000-6</t>
        </is>
      </c>
      <c r="C49" s="77" t="inlineStr">
        <is>
          <t>건축</t>
        </is>
      </c>
      <c r="D49" s="77" t="inlineStr">
        <is>
          <t>9000-6-48</t>
        </is>
      </c>
      <c r="E49" s="79" t="inlineStr">
        <is>
          <t>9000-6-47</t>
        </is>
      </c>
      <c r="F49" s="79" t="inlineStr">
        <is>
          <t>9000-6-49</t>
        </is>
      </c>
      <c r="G49" s="43" t="n"/>
      <c r="H49" s="25" t="inlineStr">
        <is>
          <t>건축물 사용승인 신청</t>
        </is>
      </c>
      <c r="I49" s="22" t="inlineStr">
        <is>
          <t>현장소장</t>
        </is>
      </c>
      <c r="J49" s="41" t="inlineStr">
        <is>
          <t>건축물 사용승인 신청</t>
        </is>
      </c>
      <c r="K49" s="42" t="inlineStr">
        <is>
          <t>현장 -&gt; 관할지자체, 건축법 제22조(건축물의 사용승인)
- 서식: 해당 법 별지 제17호 서식
- 제출후 처리기간 7일 이내</t>
        </is>
      </c>
      <c r="L49" s="41" t="inlineStr">
        <is>
          <t>건축물 사용승인 알림 [공문]</t>
        </is>
      </c>
      <c r="M49" s="41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63">
        <f>HYPERLINK(LEFT(CELL("filename",A1),FIND("[",CELL("filename",A1))-1)&amp;"6.건축\48_건축물 사용승인 신청\표준서\건축물 사용승인 신청_표준서.html", "👉 [클릭] 표준서 열기 📄")</f>
        <v/>
      </c>
      <c r="O49" s="41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64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41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65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22" t="n"/>
    </row>
    <row r="50" ht="115.2" customHeight="1">
      <c r="A50" s="77" t="inlineStr">
        <is>
          <t>9000</t>
        </is>
      </c>
      <c r="B50" s="77" t="inlineStr">
        <is>
          <t>9000-6</t>
        </is>
      </c>
      <c r="C50" s="77" t="inlineStr">
        <is>
          <t>건축</t>
        </is>
      </c>
      <c r="D50" s="77" t="inlineStr">
        <is>
          <t>9000-6-49</t>
        </is>
      </c>
      <c r="E50" s="79" t="inlineStr">
        <is>
          <t>9000-6-48</t>
        </is>
      </c>
      <c r="F50" s="79" t="inlineStr">
        <is>
          <t>9000-6-50</t>
        </is>
      </c>
      <c r="G50" s="43" t="n"/>
      <c r="H50" s="25" t="inlineStr">
        <is>
          <t>건축물대장 등재</t>
        </is>
      </c>
      <c r="I50" s="22" t="inlineStr">
        <is>
          <t>현장 및 지자체</t>
        </is>
      </c>
      <c r="J50" s="41" t="inlineStr">
        <is>
          <t>건축물대장 등재</t>
        </is>
      </c>
      <c r="K50" s="42" t="inlineStr">
        <is>
          <t>현장 -&gt; 관할지자체 -&gt; 관할지자체, 건축물대장의 기재 12조, 처리기간 7일 이내</t>
        </is>
      </c>
      <c r="L50" s="41" t="inlineStr">
        <is>
          <t>건축물 대장 등재 확인</t>
        </is>
      </c>
      <c r="M50" s="41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63">
        <f>HYPERLINK(LEFT(CELL("filename",A1),FIND("[",CELL("filename",A1))-1)&amp;"6.건축\49_건축물대장 등재\표준서\건축물대장 등재_표준서.html", "👉 [클릭] 표준서 열기 📄")</f>
        <v/>
      </c>
      <c r="O50" s="41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64">
        <f>HYPERLINK(LEFT(CELL("filename",A1),FIND("[",CELL("filename",A1))-1)&amp;"6.건축\49_건축물대장 등재\수행지침\건축물대장 등재_수행지침.html", "👉 [클릭] 수행지침 열기 📄")</f>
        <v/>
      </c>
      <c r="Q50" s="41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65">
        <f>HYPERLINK(LEFT(CELL("filename",A1),FIND("[",CELL("filename",A1))-1)&amp;"6.건축\49_건축물대장 등재\체크리스트\건축물대장 등재_체크리스트.html", "👉 [클릭] 체크리스트 열기 📄")</f>
        <v/>
      </c>
      <c r="S50" s="22" t="n"/>
    </row>
    <row r="51" ht="134.4" customHeight="1">
      <c r="A51" s="77" t="inlineStr">
        <is>
          <t>9000</t>
        </is>
      </c>
      <c r="B51" s="77" t="inlineStr">
        <is>
          <t>9000-6</t>
        </is>
      </c>
      <c r="C51" s="77" t="inlineStr">
        <is>
          <t>건축</t>
        </is>
      </c>
      <c r="D51" s="77" t="inlineStr">
        <is>
          <t>9000-6-50</t>
        </is>
      </c>
      <c r="E51" s="79" t="inlineStr">
        <is>
          <t>9000-6-49</t>
        </is>
      </c>
      <c r="F51" s="79" t="inlineStr">
        <is>
          <t>-</t>
        </is>
      </c>
      <c r="G51" s="43" t="n"/>
      <c r="H51" s="25" t="inlineStr">
        <is>
          <t>후속 구조물 인계</t>
        </is>
      </c>
      <c r="I51" s="22" t="inlineStr">
        <is>
          <t>현장소장</t>
        </is>
      </c>
      <c r="J51" s="41" t="inlineStr">
        <is>
          <t>유지관리기관에 인계</t>
        </is>
      </c>
      <c r="K51" s="42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41" t="inlineStr">
        <is>
          <t>유지관리기관 인수인계서, 건축 인허가 서류, 준공도서</t>
        </is>
      </c>
      <c r="M51" s="41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63">
        <f>HYPERLINK(LEFT(CELL("filename",A1),FIND("[",CELL("filename",A1))-1)&amp;"6.건축\50_후속 구조물 인계\표준서\후속 구조물 인계_표준서.html", "👉 [클릭] 표준서 열기 📄")</f>
        <v/>
      </c>
      <c r="O51" s="41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64">
        <f>HYPERLINK(LEFT(CELL("filename",A1),FIND("[",CELL("filename",A1))-1)&amp;"6.건축\50_후속 구조물 인계\수행지침\후속 구조물 인계_수행지침.html", "👉 [클릭] 수행지침 열기 📄")</f>
        <v/>
      </c>
      <c r="Q51" s="41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65">
        <f>HYPERLINK(LEFT(CELL("filename",A1),FIND("[",CELL("filename",A1))-1)&amp;"6.건축\50_후속 구조물 인계\체크리스트\후속 구조물 인계_체크리스트.html", "👉 [클릭] 체크리스트 열기 📄")</f>
        <v/>
      </c>
      <c r="S51" s="22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7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S39"/>
  <sheetViews>
    <sheetView view="pageBreakPreview" zoomScale="25" zoomScaleNormal="70" zoomScaleSheetLayoutView="25" workbookViewId="0">
      <pane xSplit="2" ySplit="1" topLeftCell="K5" activePane="bottomRight" state="frozen"/>
      <selection pane="topRight" activeCell="C1" sqref="C1"/>
      <selection pane="bottomLeft" activeCell="A2" sqref="A2"/>
      <selection pane="bottomRight" activeCell="U8" sqref="U8"/>
    </sheetView>
  </sheetViews>
  <sheetFormatPr baseColWidth="8" defaultRowHeight="17.4"/>
  <cols>
    <col width="8.796875" customWidth="1" style="1" min="1" max="3"/>
    <col width="16" customWidth="1" style="2" min="4" max="4"/>
    <col width="8.796875" customWidth="1" style="1" min="5" max="5"/>
    <col width="16" customWidth="1" style="2" min="6" max="7"/>
    <col width="23" customWidth="1" style="2" min="8" max="8"/>
    <col width="20.19921875" customWidth="1" style="2" min="9" max="9"/>
    <col width="38.3984375" customWidth="1" style="2" min="10" max="10"/>
    <col width="69" customWidth="1" style="30" min="11" max="11"/>
    <col width="21.3984375" customWidth="1" style="2" min="12" max="12"/>
    <col width="48.8984375" customWidth="1" style="30" min="13" max="13"/>
    <col width="14.19921875" customWidth="1" style="1" min="14" max="14"/>
    <col width="55.69921875" customWidth="1" style="30" min="15" max="15"/>
    <col width="12.19921875" customWidth="1" style="1" min="16" max="16"/>
    <col width="53.796875" customWidth="1" style="30" min="17" max="17"/>
    <col width="15.09765625" customWidth="1" style="28" min="18" max="18"/>
    <col width="18" customWidth="1" style="1" min="19" max="19"/>
    <col width="45" customWidth="1" style="1" min="20" max="35"/>
    <col width="8.796875" customWidth="1" style="1" min="36" max="73"/>
    <col width="8.796875" customWidth="1" style="1" min="74" max="16384"/>
  </cols>
  <sheetData>
    <row r="1" ht="31.2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29" t="inlineStr">
        <is>
          <t>방법</t>
        </is>
      </c>
      <c r="L1" s="6" t="inlineStr">
        <is>
          <t>산출물(결과)</t>
        </is>
      </c>
      <c r="M1" s="29" t="inlineStr">
        <is>
          <t>표준서 (Standard) 요약</t>
        </is>
      </c>
      <c r="N1" s="7" t="inlineStr">
        <is>
          <t>표준서 파일 (HTML)</t>
        </is>
      </c>
      <c r="O1" s="29" t="inlineStr">
        <is>
          <t>수행지침 (Guideline) 요약</t>
        </is>
      </c>
      <c r="P1" s="7" t="inlineStr">
        <is>
          <t>수행지침 파일 (HTML)</t>
        </is>
      </c>
      <c r="Q1" s="29" t="inlineStr">
        <is>
          <t>체크리스트 (Checklist) 요약</t>
        </is>
      </c>
      <c r="R1" s="10" t="inlineStr">
        <is>
          <t>체크리스트 파일 (HTML)</t>
        </is>
      </c>
      <c r="S1" s="8" t="inlineStr">
        <is>
          <t>비고</t>
        </is>
      </c>
    </row>
    <row r="2" ht="180" customHeight="1">
      <c r="A2" s="77" t="inlineStr">
        <is>
          <t>9000</t>
        </is>
      </c>
      <c r="B2" s="77" t="inlineStr">
        <is>
          <t>9000-7</t>
        </is>
      </c>
      <c r="C2" s="77" t="inlineStr">
        <is>
          <t>신호분야</t>
        </is>
      </c>
      <c r="D2" s="77" t="inlineStr">
        <is>
          <t>9000-7-1</t>
        </is>
      </c>
      <c r="E2" s="79" t="inlineStr">
        <is>
          <t>-</t>
        </is>
      </c>
      <c r="F2" s="79" t="inlineStr">
        <is>
          <t>9000-7-2</t>
        </is>
      </c>
      <c r="G2" s="17" t="inlineStr">
        <is>
          <t>D-300~240</t>
        </is>
      </c>
      <c r="H2" s="27" t="inlineStr">
        <is>
          <t>설계적정성 검토</t>
        </is>
      </c>
      <c r="I2" s="17" t="inlineStr">
        <is>
          <t>현장 공무팀</t>
        </is>
      </c>
      <c r="J2" s="27" t="inlineStr">
        <is>
          <t>설계적정성 및 시공성 검토
설계오류 확인 및 수량, 내역의 오류확인</t>
        </is>
      </c>
      <c r="K2" s="35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17" t="inlineStr">
        <is>
          <t>회의록, 설계검토보고서</t>
        </is>
      </c>
      <c r="M2" s="36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63">
        <f>HYPERLINK(LEFT(CELL("filename",A1),FIND("[",CELL("filename",A1))-1)&amp;"7.신호분야\1_설계적정성 검토\표준서\설계적정성 검토_표준서.html", "👉 [클릭] 표준서 열기 📄")</f>
        <v/>
      </c>
      <c r="O2" s="36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64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36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69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9" t="n"/>
    </row>
    <row r="3" ht="297.6" customHeight="1">
      <c r="A3" s="77" t="inlineStr">
        <is>
          <t>9000</t>
        </is>
      </c>
      <c r="B3" s="77" t="inlineStr">
        <is>
          <t>9000-7</t>
        </is>
      </c>
      <c r="C3" s="77" t="inlineStr">
        <is>
          <t>신호분야</t>
        </is>
      </c>
      <c r="D3" s="77" t="inlineStr">
        <is>
          <t>9000-7-2</t>
        </is>
      </c>
      <c r="E3" s="79" t="inlineStr">
        <is>
          <t>9000-7-1</t>
        </is>
      </c>
      <c r="F3" s="79" t="inlineStr">
        <is>
          <t>9000-7-3</t>
        </is>
      </c>
      <c r="G3" s="17" t="inlineStr">
        <is>
          <t>D-240~D-210</t>
        </is>
      </c>
      <c r="H3" s="27" t="inlineStr">
        <is>
          <t>착수준비 KOM</t>
        </is>
      </c>
      <c r="I3" s="17" t="inlineStr">
        <is>
          <t>현장소장</t>
        </is>
      </c>
      <c r="J3" s="27" t="inlineStr">
        <is>
          <t>신호(트램신호, 도로신호)공사 발주 전 착수수립
신호공사 발주전략 수립
발주조건 CP 사항 검토</t>
        </is>
      </c>
      <c r="K3" s="37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17" t="inlineStr">
        <is>
          <t>본사 외주/수행/협의 부서, 착수 KOM 결과보고서, 현장설명서</t>
        </is>
      </c>
      <c r="M3" s="36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63">
        <f>HYPERLINK(LEFT(CELL("filename",A1),FIND("[",CELL("filename",A1))-1)&amp;"7.신호분야\2_착수준비 KOM\표준서\착수준비 KOM_표준서.html", "👉 [클릭] 표준서 열기 📄")</f>
        <v/>
      </c>
      <c r="O3" s="36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64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6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69">
        <f>HYPERLINK(LEFT(CELL("filename",A1),FIND("[",CELL("filename",A1))-1)&amp;"7.신호분야\2_착수준비 KOM\체크리스트\착수준비 KOM_체크리스트.html", "👉 [클릭] 체크리스트 열기 📄")</f>
        <v/>
      </c>
      <c r="S3" s="9" t="n"/>
    </row>
    <row r="4" ht="358.2" customHeight="1">
      <c r="A4" s="77" t="inlineStr">
        <is>
          <t>9000</t>
        </is>
      </c>
      <c r="B4" s="77" t="inlineStr">
        <is>
          <t>9000-7</t>
        </is>
      </c>
      <c r="C4" s="77" t="inlineStr">
        <is>
          <t>신호분야</t>
        </is>
      </c>
      <c r="D4" s="77" t="inlineStr">
        <is>
          <t>9000-7-3</t>
        </is>
      </c>
      <c r="E4" s="79" t="inlineStr">
        <is>
          <t>9000-7-2</t>
        </is>
      </c>
      <c r="F4" s="79" t="inlineStr">
        <is>
          <t>9000-7-4</t>
        </is>
      </c>
      <c r="G4" s="17" t="inlineStr">
        <is>
          <t>D-90</t>
        </is>
      </c>
      <c r="H4" s="27" t="inlineStr">
        <is>
          <t>착수전 Big Room 회의</t>
        </is>
      </c>
      <c r="I4" s="17" t="inlineStr">
        <is>
          <t>현장소장</t>
        </is>
      </c>
      <c r="J4" s="27" t="inlineStr">
        <is>
          <t>신규공사 수행 시, 선행공정 간섭 및 공종 Risk에 대해 대책 수립</t>
        </is>
      </c>
      <c r="K4" s="38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17" t="inlineStr">
        <is>
          <t>Big Room 회의록(지침 전파 서명)</t>
        </is>
      </c>
      <c r="M4" s="36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63">
        <f>HYPERLINK(LEFT(CELL("filename",A1),FIND("[",CELL("filename",A1))-1)&amp;"7.신호분야\3_착수전 Big Room 회의\표준서\착수전 Big Room 회의_표준서.html", "👉 [클릭] 표준서 열기 📄")</f>
        <v/>
      </c>
      <c r="O4" s="36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64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36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69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9" t="n"/>
    </row>
    <row r="5" ht="218.4" customHeight="1">
      <c r="A5" s="77" t="inlineStr">
        <is>
          <t>9000</t>
        </is>
      </c>
      <c r="B5" s="77" t="inlineStr">
        <is>
          <t>9000-7</t>
        </is>
      </c>
      <c r="C5" s="77" t="inlineStr">
        <is>
          <t>신호분야</t>
        </is>
      </c>
      <c r="D5" s="77" t="inlineStr">
        <is>
          <t>9000-7-4</t>
        </is>
      </c>
      <c r="E5" s="79" t="inlineStr">
        <is>
          <t>9000-7-3</t>
        </is>
      </c>
      <c r="F5" s="79" t="inlineStr">
        <is>
          <t>9000-7-5</t>
        </is>
      </c>
      <c r="G5" s="17" t="inlineStr">
        <is>
          <t>D-90
(D180~90)</t>
        </is>
      </c>
      <c r="H5" s="27" t="inlineStr">
        <is>
          <t>전기 / 통신 / 건축 / 도로 / 궤도 / 차량 등 인터페이스 협의</t>
        </is>
      </c>
      <c r="I5" s="17" t="inlineStr">
        <is>
          <t>현장 시스템팀</t>
        </is>
      </c>
      <c r="J5" s="27" t="inlineStr">
        <is>
          <t>완벽한 시스템 조율 및 인터페이스 협의</t>
        </is>
      </c>
      <c r="K5" s="38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17" t="inlineStr">
        <is>
          <t>인터페이스 회의록 및 관리대장</t>
        </is>
      </c>
      <c r="M5" s="36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63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6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64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6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69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9" t="n"/>
    </row>
    <row r="6" ht="119.4" customHeight="1">
      <c r="A6" s="77" t="inlineStr">
        <is>
          <t>9000</t>
        </is>
      </c>
      <c r="B6" s="77" t="inlineStr">
        <is>
          <t>9000-7</t>
        </is>
      </c>
      <c r="C6" s="77" t="inlineStr">
        <is>
          <t>신호분야</t>
        </is>
      </c>
      <c r="D6" s="77" t="inlineStr">
        <is>
          <t>9000-7-5</t>
        </is>
      </c>
      <c r="E6" s="79" t="inlineStr">
        <is>
          <t>9000-7-4</t>
        </is>
      </c>
      <c r="F6" s="79" t="inlineStr">
        <is>
          <t>9000-7-6</t>
        </is>
      </c>
      <c r="G6" s="17" t="inlineStr">
        <is>
          <t>토목공사
수행시</t>
        </is>
      </c>
      <c r="H6" s="27" t="inlineStr">
        <is>
          <t>도로 / 궤도 인터페이스 협의</t>
        </is>
      </c>
      <c r="I6" s="17" t="inlineStr">
        <is>
          <t>현장 시스템팀</t>
        </is>
      </c>
      <c r="J6" s="27" t="inlineStr">
        <is>
          <t>선로선형 설계를 위한 사전조정 및 트램 운행 최적화</t>
        </is>
      </c>
      <c r="K6" s="37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17" t="inlineStr">
        <is>
          <t>궤도/신호 요구사항 및 회의록</t>
        </is>
      </c>
      <c r="M6" s="36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63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36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64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36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69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9" t="n"/>
    </row>
    <row r="7" ht="204.6" customHeight="1">
      <c r="A7" s="77" t="inlineStr">
        <is>
          <t>9000</t>
        </is>
      </c>
      <c r="B7" s="77" t="inlineStr">
        <is>
          <t>9000-7</t>
        </is>
      </c>
      <c r="C7" s="77" t="inlineStr">
        <is>
          <t>신호분야</t>
        </is>
      </c>
      <c r="D7" s="77" t="inlineStr">
        <is>
          <t>9000-7-6</t>
        </is>
      </c>
      <c r="E7" s="79" t="inlineStr">
        <is>
          <t>9000-7-5</t>
        </is>
      </c>
      <c r="F7" s="79" t="inlineStr">
        <is>
          <t>9000-7-7</t>
        </is>
      </c>
      <c r="G7" s="17" t="inlineStr">
        <is>
          <t>D-90
(D180~90)</t>
        </is>
      </c>
      <c r="H7" s="27" t="inlineStr">
        <is>
          <t>시공전 인터페이스 협의</t>
        </is>
      </c>
      <c r="I7" s="17" t="inlineStr">
        <is>
          <t>현장 시스템팀</t>
        </is>
      </c>
      <c r="J7" s="27" t="inlineStr">
        <is>
          <t>시스템의 설계 보완 검토를 진행하고 완벽한 연계를 위한 설계</t>
        </is>
      </c>
      <c r="K7" s="37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17" t="inlineStr">
        <is>
          <t>인터페이스 보고서 및 인터페이스 회의록</t>
        </is>
      </c>
      <c r="M7" s="36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63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6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64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6" t="inlineStr">
        <is>
          <t>1) 시스템 설계 보완 검토를 통해 연계 설치 방안을 확정하였는가?
2) 케이블 인입 배관 및 궤도 블록아웃 간섭을 사전 제거하였는가?</t>
        </is>
      </c>
      <c r="R7" s="69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9" t="n"/>
    </row>
    <row r="8" ht="127.8" customHeight="1">
      <c r="A8" s="77" t="inlineStr">
        <is>
          <t>9000</t>
        </is>
      </c>
      <c r="B8" s="77" t="inlineStr">
        <is>
          <t>9000-7</t>
        </is>
      </c>
      <c r="C8" s="77" t="inlineStr">
        <is>
          <t>신호분야</t>
        </is>
      </c>
      <c r="D8" s="77" t="inlineStr">
        <is>
          <t>9000-7-7</t>
        </is>
      </c>
      <c r="E8" s="79" t="inlineStr">
        <is>
          <t>9000-7-6</t>
        </is>
      </c>
      <c r="F8" s="79" t="inlineStr">
        <is>
          <t>9000-7-8</t>
        </is>
      </c>
      <c r="G8" s="17" t="inlineStr">
        <is>
          <t>D-90
(D180~90)</t>
        </is>
      </c>
      <c r="H8" s="27" t="inlineStr">
        <is>
          <t>시스템 장비검토 사전 협의사항 도출 및 검토</t>
        </is>
      </c>
      <c r="I8" s="17" t="inlineStr">
        <is>
          <t>현장 시스템팀</t>
        </is>
      </c>
      <c r="J8" s="27" t="inlineStr">
        <is>
          <t>완벽한 시스템 연계 및 동작성 확보를 위한 가이드라인 제공</t>
        </is>
      </c>
      <c r="K8" s="39" t="inlineStr">
        <is>
          <t>- 성능보증 기능성 신호자재 단품 Spec 검토
- 제조사 자체 시험 및 인증 확인
- 설치 시공대장 및 제작도서 승인 서명</t>
        </is>
      </c>
      <c r="L8" s="17" t="inlineStr">
        <is>
          <t>자체 검증서 및 제작도서 승인 서류</t>
        </is>
      </c>
      <c r="M8" s="36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63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36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64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36" t="inlineStr">
        <is>
          <t>1) 성능보증 기능성 신호자재 단품 Spec 검토를 완료하였는가?
2) 제조사 공장검수 성적서 및 제작도서 승인 서명을 확인하였는가?</t>
        </is>
      </c>
      <c r="R8" s="69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9" t="n"/>
    </row>
    <row r="9" ht="104.4" customHeight="1">
      <c r="A9" s="77" t="inlineStr">
        <is>
          <t>9000</t>
        </is>
      </c>
      <c r="B9" s="77" t="inlineStr">
        <is>
          <t>9000-7</t>
        </is>
      </c>
      <c r="C9" s="77" t="inlineStr">
        <is>
          <t>신호분야</t>
        </is>
      </c>
      <c r="D9" s="77" t="inlineStr">
        <is>
          <t>9000-7-8</t>
        </is>
      </c>
      <c r="E9" s="79" t="inlineStr">
        <is>
          <t>9000-7-7</t>
        </is>
      </c>
      <c r="F9" s="79" t="inlineStr">
        <is>
          <t>9000-7-9</t>
        </is>
      </c>
      <c r="G9" s="17" t="inlineStr">
        <is>
          <t>D-90
(D180~90)</t>
        </is>
      </c>
      <c r="H9" s="27" t="inlineStr">
        <is>
          <t>관제 및 운영사 인터페이스 협의</t>
        </is>
      </c>
      <c r="I9" s="17" t="inlineStr">
        <is>
          <t>현장 시스템팀</t>
        </is>
      </c>
      <c r="J9" s="27" t="inlineStr">
        <is>
          <t>관제 및 운영사 요구사항 사전 반영 및 시공신뢰 확보</t>
        </is>
      </c>
      <c r="K9" s="37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17" t="inlineStr">
        <is>
          <t>인터페이스 회의록 및 관리대장</t>
        </is>
      </c>
      <c r="M9" s="36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63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6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64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6" t="inlineStr">
        <is>
          <t>1) 시운전 시 조율사항 및 예비사항 도출을 완료하였는가?
2) 철도관제를 위한 관제사 조작반 MMI 표시 정보를 사전 검토하였는가?</t>
        </is>
      </c>
      <c r="R9" s="69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9" t="n"/>
    </row>
    <row r="10" ht="104.4" customHeight="1">
      <c r="A10" s="77" t="inlineStr">
        <is>
          <t>9000</t>
        </is>
      </c>
      <c r="B10" s="77" t="inlineStr">
        <is>
          <t>9000-7</t>
        </is>
      </c>
      <c r="C10" s="77" t="inlineStr">
        <is>
          <t>신호분야</t>
        </is>
      </c>
      <c r="D10" s="77" t="inlineStr">
        <is>
          <t>9000-7-9</t>
        </is>
      </c>
      <c r="E10" s="79" t="inlineStr">
        <is>
          <t>9000-7-8</t>
        </is>
      </c>
      <c r="F10" s="79" t="inlineStr">
        <is>
          <t>9000-7-10</t>
        </is>
      </c>
      <c r="G10" s="17" t="inlineStr">
        <is>
          <t>D-90
(D180~90)</t>
        </is>
      </c>
      <c r="H10" s="27" t="inlineStr">
        <is>
          <t>자재 / 인원 / 장비 및 투입 사전 검토</t>
        </is>
      </c>
      <c r="I10" s="17" t="inlineStr">
        <is>
          <t>현장 시스템팀 / 협력사 / 관리감독자</t>
        </is>
      </c>
      <c r="J10" s="27" t="inlineStr">
        <is>
          <t>자재/인원/장비 투입 계획 수립</t>
        </is>
      </c>
      <c r="K10" s="39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17" t="inlineStr">
        <is>
          <t>세부 공정계획 수립 및 보고</t>
        </is>
      </c>
      <c r="M10" s="36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63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36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64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36" t="inlineStr">
        <is>
          <t>1) 현장 수량 기준 투입 인원 및 장비 계획 규명서를 작성하였는가?
2) 궤도 시공계획 연계 투입 스케줄 감리단 승인을 획득하였는가?</t>
        </is>
      </c>
      <c r="R10" s="69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9" t="n"/>
    </row>
    <row r="11" ht="104.4" customHeight="1">
      <c r="A11" s="77" t="inlineStr">
        <is>
          <t>9000</t>
        </is>
      </c>
      <c r="B11" s="77" t="inlineStr">
        <is>
          <t>9000-7</t>
        </is>
      </c>
      <c r="C11" s="77" t="inlineStr">
        <is>
          <t>신호분야</t>
        </is>
      </c>
      <c r="D11" s="77" t="inlineStr">
        <is>
          <t>9000-7-10</t>
        </is>
      </c>
      <c r="E11" s="79" t="inlineStr">
        <is>
          <t>9000-7-9</t>
        </is>
      </c>
      <c r="F11" s="79" t="inlineStr">
        <is>
          <t>9000-7-11</t>
        </is>
      </c>
      <c r="G11" s="17" t="inlineStr">
        <is>
          <t>D-90
(D180~90)</t>
        </is>
      </c>
      <c r="H11" s="27" t="inlineStr">
        <is>
          <t>장비반입 및 안전교육</t>
        </is>
      </c>
      <c r="I11" s="17" t="inlineStr">
        <is>
          <t>현장 시스템팀 / 안전팀</t>
        </is>
      </c>
      <c r="J11" s="27" t="inlineStr">
        <is>
          <t>장비 반입 준비 및 안전교육 완료</t>
        </is>
      </c>
      <c r="K11" s="37" t="inlineStr">
        <is>
          <t>- 도로 굴착장비, 고속작업 시 사용할 장비, 인양장비등 관련 장비 계획 검토
- 장비 spec 확인, 장비 성능 점검
- 작업원 안전교육 실시</t>
        </is>
      </c>
      <c r="L11" s="17" t="inlineStr">
        <is>
          <t>측정기록서, 안전교육 결과서</t>
        </is>
      </c>
      <c r="M11" s="36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63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6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64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6" t="inlineStr">
        <is>
          <t>1) 도로 굴착 및 인양 장비 Spec 점검 및 성능 검사를 완료하였는가?
2) 신호 공사 작업원 특별 안전교육 실시 기록을 확인하였는가?</t>
        </is>
      </c>
      <c r="R11" s="69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9" t="n"/>
    </row>
    <row r="12" ht="104.4" customHeight="1">
      <c r="A12" s="77" t="inlineStr">
        <is>
          <t>9000</t>
        </is>
      </c>
      <c r="B12" s="77" t="inlineStr">
        <is>
          <t>9000-7</t>
        </is>
      </c>
      <c r="C12" s="77" t="inlineStr">
        <is>
          <t>신호분야</t>
        </is>
      </c>
      <c r="D12" s="77" t="inlineStr">
        <is>
          <t>9000-7-11</t>
        </is>
      </c>
      <c r="E12" s="79" t="inlineStr">
        <is>
          <t>9000-7-10</t>
        </is>
      </c>
      <c r="F12" s="79" t="inlineStr">
        <is>
          <t>9000-7-12</t>
        </is>
      </c>
      <c r="G12" s="17" t="inlineStr">
        <is>
          <t>D-5
(D-10~5)</t>
        </is>
      </c>
      <c r="H12" s="27" t="inlineStr">
        <is>
          <t>자재 반입 및 검수</t>
        </is>
      </c>
      <c r="I12" s="17" t="inlineStr">
        <is>
          <t>현장소장 및 발주청/공동감리단</t>
        </is>
      </c>
      <c r="J12" s="27" t="inlineStr">
        <is>
          <t>공장제품 품질 확보를 위한 자재 검수 및 검사</t>
        </is>
      </c>
      <c r="K12" s="37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17" t="inlineStr">
        <is>
          <t>자재검수요청서 / 자재수입검사서</t>
        </is>
      </c>
      <c r="M12" s="36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63">
        <f>HYPERLINK(LEFT(CELL("filename",A1),FIND("[",CELL("filename",A1))-1)&amp;"7.신호분야\11_자재 반입 및 검수\표준서\자재 반입 및 검수_표준서.html", "👉 [클릭] 표준서 열기 📄")</f>
        <v/>
      </c>
      <c r="O12" s="36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64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36" t="inlineStr">
        <is>
          <t>1) 자재공급승인원(MAR) 제출 및 공장검수 승인을 획득하였는가?
2) 반입 자재 사양 확인(KS, KRS 표준규격) 및 수량 검수를 시행하였는가?</t>
        </is>
      </c>
      <c r="R12" s="69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9" t="n"/>
    </row>
    <row r="13" ht="104.4" customHeight="1">
      <c r="A13" s="77" t="inlineStr">
        <is>
          <t>9000</t>
        </is>
      </c>
      <c r="B13" s="77" t="inlineStr">
        <is>
          <t>9000-7</t>
        </is>
      </c>
      <c r="C13" s="77" t="inlineStr">
        <is>
          <t>신호분야</t>
        </is>
      </c>
      <c r="D13" s="77" t="inlineStr">
        <is>
          <t>9000-7-12</t>
        </is>
      </c>
      <c r="E13" s="79" t="inlineStr">
        <is>
          <t>9000-7-11</t>
        </is>
      </c>
      <c r="F13" s="79" t="inlineStr">
        <is>
          <t>9000-7-13</t>
        </is>
      </c>
      <c r="G13" s="17" t="inlineStr">
        <is>
          <t>D+31
~D+120</t>
        </is>
      </c>
      <c r="H13" s="27" t="inlineStr">
        <is>
          <t>시스템설비 설치 (현장/기능실)</t>
        </is>
      </c>
      <c r="I13" s="17" t="inlineStr">
        <is>
          <t>현장소장 및 분야별 전담팀</t>
        </is>
      </c>
      <c r="J13" s="27" t="inlineStr">
        <is>
          <t>현장설비 및 기기실의 자체 최적의 설치작업</t>
        </is>
      </c>
      <c r="K13" s="39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17" t="inlineStr">
        <is>
          <t>검사 결과서</t>
        </is>
      </c>
      <c r="M13" s="36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63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6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64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6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69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9" t="n"/>
    </row>
    <row r="14" ht="104.4" customHeight="1">
      <c r="A14" s="77" t="inlineStr">
        <is>
          <t>9000</t>
        </is>
      </c>
      <c r="B14" s="77" t="inlineStr">
        <is>
          <t>9000-7</t>
        </is>
      </c>
      <c r="C14" s="77" t="inlineStr">
        <is>
          <t>신호분야</t>
        </is>
      </c>
      <c r="D14" s="77" t="inlineStr">
        <is>
          <t>9000-7-13</t>
        </is>
      </c>
      <c r="E14" s="79" t="inlineStr">
        <is>
          <t>9000-7-12</t>
        </is>
      </c>
      <c r="F14" s="79" t="inlineStr">
        <is>
          <t>9000-7-14</t>
        </is>
      </c>
      <c r="G14" s="17" t="inlineStr">
        <is>
          <t xml:space="preserve">D+151
~D+195
</t>
        </is>
      </c>
      <c r="H14" s="27" t="inlineStr">
        <is>
          <t>시스템 단위시험</t>
        </is>
      </c>
      <c r="I14" s="17" t="inlineStr">
        <is>
          <t>현장 시스템팀</t>
        </is>
      </c>
      <c r="J14" s="27" t="inlineStr">
        <is>
          <t>철도안전법상 신호시스템 규정에 대한 설치 후 현황시험 및 기능 확보</t>
        </is>
      </c>
      <c r="K14" s="37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17" t="inlineStr">
        <is>
          <t>자체단독시험 및 시험결과서 (단독단위)</t>
        </is>
      </c>
      <c r="M14" s="36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63">
        <f>HYPERLINK(LEFT(CELL("filename",A1),FIND("[",CELL("filename",A1))-1)&amp;"7.신호분야\13_시스템 단위시험\표준서\시스템 단위시험_표준서.html", "👉 [클릭] 표준서 열기 📄")</f>
        <v/>
      </c>
      <c r="O14" s="36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64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36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69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9" t="n"/>
    </row>
    <row r="15" ht="104.4" customHeight="1">
      <c r="A15" s="77" t="inlineStr">
        <is>
          <t>9000</t>
        </is>
      </c>
      <c r="B15" s="77" t="inlineStr">
        <is>
          <t>9000-7</t>
        </is>
      </c>
      <c r="C15" s="77" t="inlineStr">
        <is>
          <t>신호분야</t>
        </is>
      </c>
      <c r="D15" s="77" t="inlineStr">
        <is>
          <t>9000-7-14</t>
        </is>
      </c>
      <c r="E15" s="79" t="inlineStr">
        <is>
          <t>9000-7-13</t>
        </is>
      </c>
      <c r="F15" s="79" t="inlineStr">
        <is>
          <t>9000-7-15</t>
        </is>
      </c>
      <c r="G15" s="17" t="inlineStr">
        <is>
          <t>D+196
~D+255</t>
        </is>
      </c>
      <c r="H15" s="27" t="inlineStr">
        <is>
          <t>신호시스템 통합시험</t>
        </is>
      </c>
      <c r="I15" s="17" t="inlineStr">
        <is>
          <t>현장 시스템팀</t>
        </is>
      </c>
      <c r="J15" s="27" t="inlineStr">
        <is>
          <t>신호시스템 단독시험 완료 후 타 분야 연계 및 시설 유효성 확인</t>
        </is>
      </c>
      <c r="K15" s="37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17" t="inlineStr">
        <is>
          <t>자체단독시험 및 시험결과서 (단독단위)</t>
        </is>
      </c>
      <c r="M15" s="36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63">
        <f>HYPERLINK(LEFT(CELL("filename",A1),FIND("[",CELL("filename",A1))-1)&amp;"7.신호분야\14_신호시스템 통합시험\표준서\신호시스템 통합시험_표준서.html", "👉 [클릭] 표준서 열기 📄")</f>
        <v/>
      </c>
      <c r="O15" s="36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64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6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69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9" t="n"/>
    </row>
    <row r="16" ht="104.4" customHeight="1">
      <c r="A16" s="77" t="inlineStr">
        <is>
          <t>9000</t>
        </is>
      </c>
      <c r="B16" s="77" t="inlineStr">
        <is>
          <t>9000-7</t>
        </is>
      </c>
      <c r="C16" s="77" t="inlineStr">
        <is>
          <t>신호분야</t>
        </is>
      </c>
      <c r="D16" s="77" t="inlineStr">
        <is>
          <t>9000-7-15</t>
        </is>
      </c>
      <c r="E16" s="79" t="inlineStr">
        <is>
          <t>9000-7-14</t>
        </is>
      </c>
      <c r="F16" s="79" t="inlineStr">
        <is>
          <t>9000-7-16</t>
        </is>
      </c>
      <c r="G16" s="17" t="inlineStr">
        <is>
          <t>D+256
~D+285</t>
        </is>
      </c>
      <c r="H16" s="27" t="inlineStr">
        <is>
          <t>공종별 시험</t>
        </is>
      </c>
      <c r="I16" s="17" t="inlineStr">
        <is>
          <t>현장 시스템팀</t>
        </is>
      </c>
      <c r="J16" s="27" t="inlineStr">
        <is>
          <t>철도안전기준에 따른 법정 / 설계기준 / 신기술 / 시운전 등의 요구사항의 적합성 검증</t>
        </is>
      </c>
      <c r="K16" s="37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17" t="inlineStr">
        <is>
          <t>공종별 시험 결과보고서</t>
        </is>
      </c>
      <c r="M16" s="36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63">
        <f>HYPERLINK(LEFT(CELL("filename",A1),FIND("[",CELL("filename",A1))-1)&amp;"7.신호분야\15_공종별 시험\표준서\공종별 시험_표준서.html", "👉 [클릭] 표준서 열기 📄")</f>
        <v/>
      </c>
      <c r="O16" s="36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64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36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69">
        <f>HYPERLINK(LEFT(CELL("filename",A1),FIND("[",CELL("filename",A1))-1)&amp;"7.신호분야\15_공종별 시험\체크리스트\공종별 시험_체크리스트.html", "👉 [클릭] 체크리스트 열기 📄")</f>
        <v/>
      </c>
      <c r="S16" s="9" t="n"/>
    </row>
    <row r="17" ht="104.4" customHeight="1">
      <c r="A17" s="77" t="inlineStr">
        <is>
          <t>9000</t>
        </is>
      </c>
      <c r="B17" s="77" t="inlineStr">
        <is>
          <t>9000-7</t>
        </is>
      </c>
      <c r="C17" s="77" t="inlineStr">
        <is>
          <t>신호분야</t>
        </is>
      </c>
      <c r="D17" s="77" t="inlineStr">
        <is>
          <t>9000-7-16</t>
        </is>
      </c>
      <c r="E17" s="79" t="inlineStr">
        <is>
          <t>9000-7-15</t>
        </is>
      </c>
      <c r="F17" s="79" t="inlineStr">
        <is>
          <t>9000-7-17</t>
        </is>
      </c>
      <c r="G17" s="17" t="inlineStr">
        <is>
          <t>D+286
~D+300</t>
        </is>
      </c>
      <c r="H17" s="27" t="inlineStr">
        <is>
          <t>차량 투입 전 점검</t>
        </is>
      </c>
      <c r="I17" s="17" t="inlineStr">
        <is>
          <t>현장소장 및 시공전담팀</t>
        </is>
      </c>
      <c r="J17" s="27" t="inlineStr">
        <is>
          <t>차량 시험운행 전 철저한 안전대책 수립 및 품질성 확보 여부 확인</t>
        </is>
      </c>
      <c r="K17" s="37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17" t="inlineStr">
        <is>
          <t>차량 투입 전 점검 결과 보고서</t>
        </is>
      </c>
      <c r="M17" s="36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63">
        <f>HYPERLINK(LEFT(CELL("filename",A1),FIND("[",CELL("filename",A1))-1)&amp;"7.신호분야\16_차량 투입 전 점검\표준서\차량 투입 전 점검_표준서.html", "👉 [클릭] 표준서 열기 📄")</f>
        <v/>
      </c>
      <c r="O17" s="36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64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6" t="inlineStr">
        <is>
          <t>1) 연동검사 및 기계실 시스템/UPS 시험을 완료하였는가?
2) 신호기와 건축물 간 건축한계 정밀 측정 및 방재설비를 확인하였는가?</t>
        </is>
      </c>
      <c r="R17" s="69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9" t="n"/>
    </row>
    <row r="18" ht="104.4" customHeight="1">
      <c r="A18" s="77" t="inlineStr">
        <is>
          <t>9000</t>
        </is>
      </c>
      <c r="B18" s="77" t="inlineStr">
        <is>
          <t>9000-7</t>
        </is>
      </c>
      <c r="C18" s="77" t="inlineStr">
        <is>
          <t>신호분야</t>
        </is>
      </c>
      <c r="D18" s="77" t="inlineStr">
        <is>
          <t>9000-7-17</t>
        </is>
      </c>
      <c r="E18" s="79" t="inlineStr">
        <is>
          <t>9000-7-16</t>
        </is>
      </c>
      <c r="F18" s="79" t="inlineStr">
        <is>
          <t>9000-7-18</t>
        </is>
      </c>
      <c r="G18" s="17" t="inlineStr">
        <is>
          <t>D+301
~D+360</t>
        </is>
      </c>
      <c r="H18" s="27" t="inlineStr">
        <is>
          <t>차량 시운전</t>
        </is>
      </c>
      <c r="I18" s="17" t="inlineStr">
        <is>
          <t>현장 시스템팀</t>
        </is>
      </c>
      <c r="J18" s="27" t="inlineStr">
        <is>
          <t>철도안전법상 철도기술기준에 적합하게 시운전 수행 여부(철도노선 규정)</t>
        </is>
      </c>
      <c r="K18" s="37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17" t="inlineStr">
        <is>
          <t>철도차량 안전성 결과 보고서</t>
        </is>
      </c>
      <c r="M18" s="36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63">
        <f>HYPERLINK(LEFT(CELL("filename",A1),FIND("[",CELL("filename",A1))-1)&amp;"7.신호분야\17_차량 시운전\표준서\차량 시운전_표준서.html", "👉 [클릭] 표준서 열기 📄")</f>
        <v/>
      </c>
      <c r="O18" s="36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64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36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69">
        <f>HYPERLINK(LEFT(CELL("filename",A1),FIND("[",CELL("filename",A1))-1)&amp;"7.신호분야\17_차량 시운전\체크리스트\차량 시운전_체크리스트.html", "👉 [클릭] 체크리스트 열기 📄")</f>
        <v/>
      </c>
      <c r="S18" s="9" t="n"/>
    </row>
    <row r="19" ht="159" customHeight="1">
      <c r="A19" s="77" t="inlineStr">
        <is>
          <t>9000</t>
        </is>
      </c>
      <c r="B19" s="77" t="inlineStr">
        <is>
          <t>9000-7</t>
        </is>
      </c>
      <c r="C19" s="77" t="inlineStr">
        <is>
          <t>신호분야</t>
        </is>
      </c>
      <c r="D19" s="77" t="inlineStr">
        <is>
          <t>9000-7-18</t>
        </is>
      </c>
      <c r="E19" s="79" t="inlineStr">
        <is>
          <t>9000-7-17</t>
        </is>
      </c>
      <c r="F19" s="79" t="inlineStr">
        <is>
          <t>9000-7-19</t>
        </is>
      </c>
      <c r="G19" s="17" t="inlineStr">
        <is>
          <t>D+361
~D+374</t>
        </is>
      </c>
      <c r="H19" s="27" t="inlineStr">
        <is>
          <t>운영자 교육시행</t>
        </is>
      </c>
      <c r="I19" s="17" t="inlineStr">
        <is>
          <t>현장 시스템팀</t>
        </is>
      </c>
      <c r="J19" s="27" t="inlineStr">
        <is>
          <t>운영요원(기관사 및 안전관리)을 위한 주행/유지 교육시행</t>
        </is>
      </c>
      <c r="K19" s="37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17" t="inlineStr">
        <is>
          <t>운영자훈련 및 기술단계에서 운영지침서</t>
        </is>
      </c>
      <c r="M19" s="36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63">
        <f>HYPERLINK(LEFT(CELL("filename",A1),FIND("[",CELL("filename",A1))-1)&amp;"7.신호분야\18_운영자 교육시행\표준서\운영자 교육시행_표준서.html", "👉 [클릭] 표준서 열기 📄")</f>
        <v/>
      </c>
      <c r="O19" s="36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64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6" t="inlineStr">
        <is>
          <t>1) 기관사 및 유지보수요원 대상 시스템 안전 교육을 시행하였는가?
2) 장비 제작사에 의한 CTC/CBI/현장설비 조작교육을 완료하였는가?</t>
        </is>
      </c>
      <c r="R19" s="69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9" t="n"/>
    </row>
    <row r="20" ht="104.4" customHeight="1">
      <c r="A20" s="77" t="inlineStr">
        <is>
          <t>9000</t>
        </is>
      </c>
      <c r="B20" s="77" t="inlineStr">
        <is>
          <t>9000-7</t>
        </is>
      </c>
      <c r="C20" s="77" t="inlineStr">
        <is>
          <t>신호분야</t>
        </is>
      </c>
      <c r="D20" s="77" t="inlineStr">
        <is>
          <t>9000-7-19</t>
        </is>
      </c>
      <c r="E20" s="79" t="inlineStr">
        <is>
          <t>9000-7-18</t>
        </is>
      </c>
      <c r="F20" s="79" t="inlineStr">
        <is>
          <t>9000-7-20</t>
        </is>
      </c>
      <c r="G20" s="17" t="inlineStr">
        <is>
          <t>D+375
~D+414</t>
        </is>
      </c>
      <c r="H20" s="27" t="inlineStr">
        <is>
          <t>사전점검 및 철도기술기준 검토</t>
        </is>
      </c>
      <c r="I20" s="17" t="inlineStr">
        <is>
          <t>현장소장 및 발주처 / 공동감리단</t>
        </is>
      </c>
      <c r="J20" s="27" t="inlineStr">
        <is>
          <t>철도종합시험운행에 따른 기능 및 성능 사전검증과 철도종합시험운행의 목적 달성의 적합여부 판정</t>
        </is>
      </c>
      <c r="K20" s="37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17" t="inlineStr">
        <is>
          <t>사전점검 결과표 / 철도안전성검토서</t>
        </is>
      </c>
      <c r="M20" s="36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63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36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64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36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69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9" t="n"/>
    </row>
    <row r="21" ht="104.4" customHeight="1">
      <c r="A21" s="77" t="inlineStr">
        <is>
          <t>9000</t>
        </is>
      </c>
      <c r="B21" s="77" t="inlineStr">
        <is>
          <t>9000-7</t>
        </is>
      </c>
      <c r="C21" s="77" t="inlineStr">
        <is>
          <t>신호분야</t>
        </is>
      </c>
      <c r="D21" s="77" t="inlineStr">
        <is>
          <t>9000-7-20</t>
        </is>
      </c>
      <c r="E21" s="79" t="inlineStr">
        <is>
          <t>9000-7-19</t>
        </is>
      </c>
      <c r="F21" s="79" t="inlineStr">
        <is>
          <t>9000-7-21</t>
        </is>
      </c>
      <c r="G21" s="17" t="inlineStr">
        <is>
          <t>D+415
~D+499</t>
        </is>
      </c>
      <c r="H21" s="27" t="inlineStr">
        <is>
          <t>시설물 검증시험</t>
        </is>
      </c>
      <c r="I21" s="17" t="inlineStr">
        <is>
          <t>현장소장 및 발주처 / 공동감리단</t>
        </is>
      </c>
      <c r="J21" s="27" t="inlineStr">
        <is>
          <t>시설물검증 노선에 환경에 철도종합시험운행 시행지침에 의거 철도노선 및 관계시설을 검증하여 안전성 확보 여부 판단</t>
        </is>
      </c>
      <c r="K21" s="37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17" t="inlineStr">
        <is>
          <t>시설물 검증시험 시험결과 및 승인원, 완료결과보고서</t>
        </is>
      </c>
      <c r="M21" s="36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63">
        <f>HYPERLINK(LEFT(CELL("filename",A1),FIND("[",CELL("filename",A1))-1)&amp;"7.신호분야\20_시설물 검증시험\표준서\시설물 검증시험_표준서.html", "👉 [클릭] 표준서 열기 📄")</f>
        <v/>
      </c>
      <c r="O21" s="36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64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6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69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9" t="n"/>
    </row>
    <row r="22" ht="104.4" customHeight="1">
      <c r="A22" s="77" t="inlineStr">
        <is>
          <t>9000</t>
        </is>
      </c>
      <c r="B22" s="77" t="inlineStr">
        <is>
          <t>9000-7</t>
        </is>
      </c>
      <c r="C22" s="77" t="inlineStr">
        <is>
          <t>신호분야</t>
        </is>
      </c>
      <c r="D22" s="77" t="inlineStr">
        <is>
          <t>9000-7-21</t>
        </is>
      </c>
      <c r="E22" s="79" t="inlineStr">
        <is>
          <t>9000-7-20</t>
        </is>
      </c>
      <c r="F22" s="79" t="inlineStr">
        <is>
          <t>9000-7-22</t>
        </is>
      </c>
      <c r="G22" s="17" t="inlineStr">
        <is>
          <t>D+500
~D+581</t>
        </is>
      </c>
      <c r="H22" s="27" t="inlineStr">
        <is>
          <t>영업 시운전</t>
        </is>
      </c>
      <c r="I22" s="17" t="inlineStr">
        <is>
          <t>현장소장 및 발주처 / 공동감리단</t>
        </is>
      </c>
      <c r="J22" s="27" t="inlineStr">
        <is>
          <t>영업 시운전에 의한 수송능력을 파악하고 최종 운영기관과 인터페이스 협의를 통해 시공의 안정성 확보 여부 및 검증</t>
        </is>
      </c>
      <c r="K22" s="37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17" t="inlineStr">
        <is>
          <t>영업 시운전 및 가동단계에서 운영지침서 및 최종 제출서(가동시험보고서)</t>
        </is>
      </c>
      <c r="M22" s="36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63">
        <f>HYPERLINK(LEFT(CELL("filename",A1),FIND("[",CELL("filename",A1))-1)&amp;"7.신호분야\21_영업 시운전\표준서\영업 시운전_표준서.html", "👉 [클릭] 표준서 열기 📄")</f>
        <v/>
      </c>
      <c r="O22" s="36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64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36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69">
        <f>HYPERLINK(LEFT(CELL("filename",A1),FIND("[",CELL("filename",A1))-1)&amp;"7.신호분야\21_영업 시운전\체크리스트\영업 시운전_체크리스트.html", "👉 [클릭] 체크리스트 열기 📄")</f>
        <v/>
      </c>
      <c r="S22" s="9" t="n"/>
    </row>
    <row r="23" ht="104.4" customHeight="1">
      <c r="A23" s="77" t="inlineStr">
        <is>
          <t>9000</t>
        </is>
      </c>
      <c r="B23" s="77" t="inlineStr">
        <is>
          <t>9000-7</t>
        </is>
      </c>
      <c r="C23" s="77" t="inlineStr">
        <is>
          <t>신호분야</t>
        </is>
      </c>
      <c r="D23" s="77" t="inlineStr">
        <is>
          <t>9000-7-22</t>
        </is>
      </c>
      <c r="E23" s="79" t="inlineStr">
        <is>
          <t>9000-7-21</t>
        </is>
      </c>
      <c r="F23" s="79" t="inlineStr">
        <is>
          <t>9000-7-23</t>
        </is>
      </c>
      <c r="G23" s="17" t="inlineStr">
        <is>
          <t>D+581</t>
        </is>
      </c>
      <c r="H23" s="27" t="inlineStr">
        <is>
          <t>유지관리 설치</t>
        </is>
      </c>
      <c r="I23" s="17" t="inlineStr">
        <is>
          <t>현장소장</t>
        </is>
      </c>
      <c r="J23" s="27" t="inlineStr">
        <is>
          <t>관제 관제실의 장비체계 배치 및 설치</t>
        </is>
      </c>
      <c r="K23" s="39" t="inlineStr">
        <is>
          <t>- 유지 및 보수용 상세 공사 설계배치 확인
- 현장조성 및 유지관리 지침서 이행 여부</t>
        </is>
      </c>
      <c r="L23" s="17" t="inlineStr">
        <is>
          <t>유지관리 지침 및 관리 이행 보고서</t>
        </is>
      </c>
      <c r="M23" s="36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63">
        <f>HYPERLINK(LEFT(CELL("filename",A1),FIND("[",CELL("filename",A1))-1)&amp;"7.신호분야\22_유지관리 설치\표준서\유지관리 설치_표준서.html", "👉 [클릭] 표준서 열기 📄")</f>
        <v/>
      </c>
      <c r="O23" s="36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64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6" t="inlineStr">
        <is>
          <t>1) 관제실 유지보수용 상세 공사 설계 배치를 확인하였는가?
2) 현장조성 및 유지관리 지침서 이행 여부를 점검 확인하였는가?</t>
        </is>
      </c>
      <c r="R23" s="69">
        <f>HYPERLINK(LEFT(CELL("filename",A1),FIND("[",CELL("filename",A1))-1)&amp;"7.신호분야\22_유지관리 설치\체크리스트\유지관리 설치_체크리스트.html", "👉 [클릭] 체크리스트 열기 📄")</f>
        <v/>
      </c>
      <c r="S23" s="9" t="n"/>
    </row>
    <row r="24" ht="34.8" customHeight="1">
      <c r="A24" s="84" t="inlineStr">
        <is>
          <t>9000</t>
        </is>
      </c>
      <c r="B24" s="84" t="inlineStr">
        <is>
          <t>9000-7</t>
        </is>
      </c>
      <c r="C24" s="84" t="inlineStr">
        <is>
          <t>신호분야</t>
        </is>
      </c>
      <c r="D24" s="84" t="inlineStr">
        <is>
          <t>9000-7-23</t>
        </is>
      </c>
      <c r="E24" s="85" t="inlineStr">
        <is>
          <t>9000-7-22</t>
        </is>
      </c>
      <c r="F24" s="85" t="inlineStr">
        <is>
          <t>-</t>
        </is>
      </c>
      <c r="G24" s="2" t="inlineStr">
        <is>
          <t>D+75일 이후</t>
        </is>
      </c>
      <c r="N24" s="66">
        <f>HYPERLINK(LEFT(CELL("filename",A1),FIND("[",CELL("filename",A1))-1)&amp;"7.신호분야\23_Task_23\표준서\Task_23_표준서.html", "👉 [클릭] 표준서 열기 📄")</f>
        <v/>
      </c>
      <c r="P24" s="67">
        <f>HYPERLINK(LEFT(CELL("filename",A1),FIND("[",CELL("filename",A1))-1)&amp;"7.신호분야\23_Task_23\수행지침\Task_23_수행지침.html", "👉 [클릭] 수행지침 열기 📄")</f>
        <v/>
      </c>
      <c r="R24" s="68">
        <f>HYPERLINK(LEFT(CELL("filename",A1),FIND("[",CELL("filename",A1))-1)&amp;"7.신호분야\23_Task_23\체크리스트\Task_23_체크리스트.html", "👉 [클릭] 체크리스트 열기 📄")</f>
        <v/>
      </c>
    </row>
    <row r="25">
      <c r="E25" s="1" t="n"/>
      <c r="F25" s="2" t="n"/>
    </row>
    <row r="26">
      <c r="E26" s="1" t="n"/>
      <c r="F26" s="2" t="n"/>
    </row>
    <row r="27">
      <c r="E27" s="1" t="n"/>
      <c r="F27" s="2" t="n"/>
    </row>
    <row r="28">
      <c r="E28" s="1" t="n"/>
      <c r="F28" s="2" t="n"/>
    </row>
    <row r="29">
      <c r="E29" s="1" t="n"/>
      <c r="F29" s="2" t="n"/>
    </row>
    <row r="30">
      <c r="E30" s="1" t="n"/>
      <c r="F30" s="2" t="n"/>
    </row>
    <row r="31">
      <c r="E31" s="1" t="n"/>
      <c r="F31" s="2" t="n"/>
    </row>
    <row r="32">
      <c r="E32" s="1" t="n"/>
      <c r="F32" s="2" t="n"/>
    </row>
    <row r="33">
      <c r="E33" s="1" t="n"/>
      <c r="F33" s="2" t="n"/>
    </row>
    <row r="34">
      <c r="E34" s="1" t="n"/>
      <c r="F34" s="2" t="n"/>
    </row>
    <row r="35">
      <c r="E35" s="1" t="n"/>
      <c r="F35" s="2" t="n"/>
    </row>
    <row r="36">
      <c r="E36" s="1" t="n"/>
      <c r="F36" s="2" t="n"/>
    </row>
    <row r="37">
      <c r="E37" s="1" t="n"/>
      <c r="F37" s="2" t="n"/>
    </row>
    <row r="38">
      <c r="E38" s="1" t="n"/>
      <c r="F38" s="2" t="n"/>
    </row>
    <row r="39">
      <c r="E39" s="1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8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S39"/>
  <sheetViews>
    <sheetView view="pageBreakPreview" zoomScale="25" zoomScaleNormal="55" zoomScaleSheetLayoutView="25" workbookViewId="0">
      <pane xSplit="2" ySplit="1" topLeftCell="H27" activePane="bottomRight" state="frozen"/>
      <selection pane="topRight" activeCell="C1" sqref="C1"/>
      <selection pane="bottomLeft" activeCell="A2" sqref="A2"/>
      <selection pane="bottomRight" activeCell="T31" sqref="T31"/>
    </sheetView>
  </sheetViews>
  <sheetFormatPr baseColWidth="8" defaultRowHeight="17.4"/>
  <cols>
    <col width="8.796875" customWidth="1" style="1" min="1" max="1"/>
    <col width="10.296875" customWidth="1" style="1" min="2" max="2"/>
    <col width="13.5" customWidth="1" style="1" min="3" max="3"/>
    <col width="16" customWidth="1" style="2" min="4" max="6"/>
    <col width="27.69921875" customWidth="1" style="2" min="7" max="7"/>
    <col width="21.296875" customWidth="1" style="2" min="8" max="8"/>
    <col width="16.09765625" customWidth="1" style="2" min="9" max="9"/>
    <col width="26" customWidth="1" style="1" min="10" max="10"/>
    <col width="62.8984375" customWidth="1" style="1" min="11" max="11"/>
    <col width="28.69921875" customWidth="1" style="1" min="12" max="12"/>
    <col width="64.59765625" customWidth="1" style="1" min="13" max="13"/>
    <col width="12" customWidth="1" style="28" min="14" max="14"/>
    <col width="50" customWidth="1" style="28" min="15" max="15"/>
    <col width="10.19921875" customWidth="1" style="1" min="16" max="16"/>
    <col width="50.796875" customWidth="1" style="1" min="17" max="17"/>
    <col width="21.59765625" customWidth="1" style="1" min="18" max="18"/>
    <col width="18" customWidth="1" style="1" min="19" max="19"/>
    <col width="45" customWidth="1" style="1" min="20" max="35"/>
    <col width="8.796875" customWidth="1" style="1" min="36" max="73"/>
    <col width="8.796875" customWidth="1" style="1" min="74" max="16384"/>
  </cols>
  <sheetData>
    <row r="1" ht="31.2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작업단위 (Level 4 Task/Activity)</t>
        </is>
      </c>
      <c r="H1" s="6" t="inlineStr">
        <is>
          <t>일정 (D-Day)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24" t="inlineStr">
        <is>
          <t>산출물(결과)</t>
        </is>
      </c>
      <c r="M1" s="24" t="inlineStr">
        <is>
          <t>표준서 (Standard) 요약</t>
        </is>
      </c>
      <c r="N1" s="5" t="inlineStr">
        <is>
          <t>표준서 파일 (HTML)</t>
        </is>
      </c>
      <c r="O1" s="24" t="inlineStr">
        <is>
          <t>수행지침 (Guideline) 요약</t>
        </is>
      </c>
      <c r="P1" s="5" t="inlineStr">
        <is>
          <t>수행지침 파일 (HTML)</t>
        </is>
      </c>
      <c r="Q1" s="24" t="inlineStr">
        <is>
          <t>체크리스트 (Checklist) 요약</t>
        </is>
      </c>
      <c r="R1" s="24" t="inlineStr">
        <is>
          <t>체크리스트 파일 (HTML)</t>
        </is>
      </c>
      <c r="S1" s="24" t="inlineStr">
        <is>
          <t>비고</t>
        </is>
      </c>
    </row>
    <row r="2" ht="184.8" customHeight="1">
      <c r="A2" s="77" t="inlineStr">
        <is>
          <t>9000</t>
        </is>
      </c>
      <c r="B2" s="77" t="inlineStr">
        <is>
          <t>9000-8</t>
        </is>
      </c>
      <c r="C2" s="77" t="inlineStr">
        <is>
          <t>전기분야</t>
        </is>
      </c>
      <c r="D2" s="77" t="inlineStr">
        <is>
          <t>9000-8-1</t>
        </is>
      </c>
      <c r="E2" s="79" t="inlineStr">
        <is>
          <t>-</t>
        </is>
      </c>
      <c r="F2" s="79" t="inlineStr">
        <is>
          <t>9000-8-2</t>
        </is>
      </c>
      <c r="G2" s="17" t="inlineStr">
        <is>
          <t>설계적정성 검토</t>
        </is>
      </c>
      <c r="H2" s="17" t="inlineStr">
        <is>
          <t>D-300~240</t>
        </is>
      </c>
      <c r="I2" s="17" t="inlineStr">
        <is>
          <t>현장 공무팀</t>
        </is>
      </c>
      <c r="J2" s="16" t="inlineStr">
        <is>
          <t>설계적정성 및 시공성 검토</t>
        </is>
      </c>
      <c r="K2" s="31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16" t="inlineStr">
        <is>
          <t>회의록, 설계검토 보고서</t>
        </is>
      </c>
      <c r="M2" s="27" t="inlineStr">
        <is>
          <t>"전기공사업법, 전기사업법, 한국전기설비규정(KEC), 도로법(점용허가) 및 산업안전보건법 준수 여부를 1:1 검토한다."</t>
        </is>
      </c>
      <c r="N2" s="63">
        <f>HYPERLINK(LEFT(CELL("filename",A1),FIND("[",CELL("filename",A1))-1)&amp;"8.전기분야\1_설계적정성 검토\표준서\설계적정성 검토_표준서.html", "👉 [클릭] 표준서 열기 📄")</f>
        <v/>
      </c>
      <c r="O2" s="27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64">
        <f>HYPERLINK(LEFT(CELL("filename",A1),FIND("[",CELL("filename",A1))-1)&amp;"8.전기분야\1_설계적정성 검토\수행지침\설계적정성 검토_수행지침.html", "👉 [클릭] 수행지침 열기 📄")</f>
        <v/>
      </c>
      <c r="Q2" s="27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27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27" t="n"/>
    </row>
    <row r="3" ht="245.4" customHeight="1">
      <c r="A3" s="77" t="inlineStr">
        <is>
          <t>9000</t>
        </is>
      </c>
      <c r="B3" s="77" t="inlineStr">
        <is>
          <t>9000-8</t>
        </is>
      </c>
      <c r="C3" s="77" t="inlineStr">
        <is>
          <t>전기분야</t>
        </is>
      </c>
      <c r="D3" s="77" t="inlineStr">
        <is>
          <t>9000-8-2</t>
        </is>
      </c>
      <c r="E3" s="79" t="inlineStr">
        <is>
          <t>9000-8-1</t>
        </is>
      </c>
      <c r="F3" s="79" t="inlineStr">
        <is>
          <t>9000-8-3</t>
        </is>
      </c>
      <c r="G3" s="17" t="inlineStr">
        <is>
          <t>발주전략 KOM</t>
        </is>
      </c>
      <c r="H3" s="17" t="inlineStr">
        <is>
          <t>D-240~210</t>
        </is>
      </c>
      <c r="I3" s="17" t="inlineStr">
        <is>
          <t>현장공사팀</t>
        </is>
      </c>
      <c r="J3" s="16" t="inlineStr">
        <is>
          <t>노면전차설비 공사 발주 전략수립</t>
        </is>
      </c>
      <c r="K3" s="31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16" t="inlineStr">
        <is>
          <t>KOM 검토결과서, 현장설명서</t>
        </is>
      </c>
      <c r="M3" s="27" t="inlineStr">
        <is>
          <t>공정표 대비 노면전차 특수자재(전차선 강성가선, 변압기 등)의 공장 제작/조달 Lead Time을 사전 반영함.</t>
        </is>
      </c>
      <c r="N3" s="63">
        <f>HYPERLINK(LEFT(CELL("filename",A1),FIND("[",CELL("filename",A1))-1)&amp;"8.전기분야\2_발주전략 KOM\표준서\발주전략 KOM_표준서.html", "👉 [클릭] 표준서 열기 📄")</f>
        <v/>
      </c>
      <c r="O3" s="27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64">
        <f>HYPERLINK(LEFT(CELL("filename",A1),FIND("[",CELL("filename",A1))-1)&amp;"8.전기분야\2_발주전략 KOM\수행지침\발주전략 KOM_수행지침.html", "👉 [클릭] 수행지침 열기 📄")</f>
        <v/>
      </c>
      <c r="Q3" s="27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27">
        <f>HYPERLINK(LEFT(CELL("filename",A1),FIND("[",CELL("filename",A1))-1)&amp;"8.전기분야\2_발주전략 KOM\체크리스트\발주전략 KOM_체크리스트.html", "👉 [클릭] 체크리스트 열기 📄")</f>
        <v/>
      </c>
      <c r="S3" s="27" t="n"/>
    </row>
    <row r="4" ht="163.8" customHeight="1">
      <c r="A4" s="77" t="inlineStr">
        <is>
          <t>9000</t>
        </is>
      </c>
      <c r="B4" s="77" t="inlineStr">
        <is>
          <t>9000-8</t>
        </is>
      </c>
      <c r="C4" s="77" t="inlineStr">
        <is>
          <t>전기분야</t>
        </is>
      </c>
      <c r="D4" s="77" t="inlineStr">
        <is>
          <t>9000-8-3</t>
        </is>
      </c>
      <c r="E4" s="79" t="inlineStr">
        <is>
          <t>9000-8-2</t>
        </is>
      </c>
      <c r="F4" s="79" t="inlineStr">
        <is>
          <t>9000-8-4</t>
        </is>
      </c>
      <c r="G4" s="17" t="inlineStr">
        <is>
          <t>토목 / 건축 인터페이스 협의</t>
        </is>
      </c>
      <c r="H4" s="17" t="inlineStr">
        <is>
          <t>토목공사 수행시</t>
        </is>
      </c>
      <c r="I4" s="17" t="inlineStr">
        <is>
          <t>현장공사팀</t>
        </is>
      </c>
      <c r="J4" s="16" t="inlineStr">
        <is>
          <t>전력설비 설치를 위한 요구사항 검토</t>
        </is>
      </c>
      <c r="K4" s="31" t="inlineStr">
        <is>
          <t>- 자재 반출입 동선/공동구/횡단관로/케이블 인입구 등 확인, 기능실마감 및 출입문 
   확인, 토목분야 선시공 자재관련 적정성 여부 확인</t>
        </is>
      </c>
      <c r="L4" s="16" t="inlineStr">
        <is>
          <t>인터페이스 회의록 및 관리대장</t>
        </is>
      </c>
      <c r="M4" s="27" t="inlineStr">
        <is>
          <t>"정류기, 변압기, ESS 대형 기자재 반입 동선, 출입문 유효 폭/높이(H x W) 및 양중 훅 위치 실측 검증"</t>
        </is>
      </c>
      <c r="N4" s="63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7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64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7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27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27" t="n"/>
    </row>
    <row r="5" ht="139.2" customHeight="1">
      <c r="A5" s="77" t="inlineStr">
        <is>
          <t>9000</t>
        </is>
      </c>
      <c r="B5" s="77" t="inlineStr">
        <is>
          <t>9000-8</t>
        </is>
      </c>
      <c r="C5" s="77" t="inlineStr">
        <is>
          <t>전기분야</t>
        </is>
      </c>
      <c r="D5" s="77" t="inlineStr">
        <is>
          <t>9000-8-4</t>
        </is>
      </c>
      <c r="E5" s="79" t="inlineStr">
        <is>
          <t>9000-8-3</t>
        </is>
      </c>
      <c r="F5" s="79" t="inlineStr">
        <is>
          <t>9000-8-5</t>
        </is>
      </c>
      <c r="G5" s="17" t="inlineStr">
        <is>
          <t>신호 / 통신 / 기계 / PSD / 차량 인터페이스 협의</t>
        </is>
      </c>
      <c r="H5" s="17" t="inlineStr">
        <is>
          <t>D-180
(D-200~180)</t>
        </is>
      </c>
      <c r="I5" s="17" t="inlineStr">
        <is>
          <t>현장공사팀</t>
        </is>
      </c>
      <c r="J5" s="16" t="inlineStr">
        <is>
          <t>연계분야간 사전조율 및 인터페이스 사항 도출로 재작업 예방</t>
        </is>
      </c>
      <c r="K5" s="31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16" t="inlineStr">
        <is>
          <t>인터페이스 회의록 및 관리대장</t>
        </is>
      </c>
      <c r="M5" s="27" t="inlineStr">
        <is>
          <t>"신호, 통신, 기계, PSD 및 트램 차량 전력 공급 관로, 배선 용량 및 트레이 타공 누락 사항 정밀 추출"</t>
        </is>
      </c>
      <c r="N5" s="63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27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64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27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27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27" t="n"/>
    </row>
    <row r="6" ht="139.2" customHeight="1">
      <c r="A6" s="77" t="inlineStr">
        <is>
          <t>9000</t>
        </is>
      </c>
      <c r="B6" s="77" t="inlineStr">
        <is>
          <t>9000-8</t>
        </is>
      </c>
      <c r="C6" s="77" t="inlineStr">
        <is>
          <t>전기분야</t>
        </is>
      </c>
      <c r="D6" s="77" t="inlineStr">
        <is>
          <t>9000-8-5</t>
        </is>
      </c>
      <c r="E6" s="79" t="inlineStr">
        <is>
          <t>9000-8-4</t>
        </is>
      </c>
      <c r="F6" s="79" t="inlineStr">
        <is>
          <t>9000-8-6</t>
        </is>
      </c>
      <c r="G6" s="17" t="inlineStr">
        <is>
          <t>전기설비 제작사 인터페이스 협의</t>
        </is>
      </c>
      <c r="H6" s="17" t="inlineStr">
        <is>
          <t>D-180
(D-200~180)</t>
        </is>
      </c>
      <c r="I6" s="17" t="inlineStr">
        <is>
          <t>현장공사팀</t>
        </is>
      </c>
      <c r="J6" s="16" t="inlineStr">
        <is>
          <t>전기설비간 연동방안 검토</t>
        </is>
      </c>
      <c r="K6" s="32" t="inlineStr">
        <is>
          <t>- 내부 인터페이스 및 인허가사항 확인</t>
        </is>
      </c>
      <c r="L6" s="16" t="inlineStr">
        <is>
          <t>인터페이스 회의록 및 관리대장 , 보안성검토 요청서</t>
        </is>
      </c>
      <c r="M6" s="27" t="inlineStr">
        <is>
          <t>"SCADA RTU, 변전소 GIS, 정류기, ESS 릴레이 간 IEC 61850 및 Modbus 통신 핀 맵/신호 주소 1:1 검증"</t>
        </is>
      </c>
      <c r="N6" s="63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7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64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7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27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27" t="n"/>
    </row>
    <row r="7" ht="139.2" customHeight="1">
      <c r="A7" s="77" t="inlineStr">
        <is>
          <t>9000</t>
        </is>
      </c>
      <c r="B7" s="77" t="inlineStr">
        <is>
          <t>9000-8</t>
        </is>
      </c>
      <c r="C7" s="77" t="inlineStr">
        <is>
          <t>전기분야</t>
        </is>
      </c>
      <c r="D7" s="77" t="inlineStr">
        <is>
          <t>9000-8-6</t>
        </is>
      </c>
      <c r="E7" s="79" t="inlineStr">
        <is>
          <t>9000-8-5</t>
        </is>
      </c>
      <c r="F7" s="79" t="inlineStr">
        <is>
          <t>9000-8-7</t>
        </is>
      </c>
      <c r="G7" s="17" t="inlineStr">
        <is>
          <t>관제 및 운영사 인터페이스 협의</t>
        </is>
      </c>
      <c r="H7" s="17" t="inlineStr">
        <is>
          <t>D-180
(D-200~180)</t>
        </is>
      </c>
      <c r="I7" s="17" t="inlineStr">
        <is>
          <t>현장공사팀</t>
        </is>
      </c>
      <c r="J7" s="16" t="inlineStr">
        <is>
          <t>관제 및 운영사 요구사항 사전 반영 및 과업범위 최적화</t>
        </is>
      </c>
      <c r="K7" s="31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16" t="inlineStr">
        <is>
          <t>인터페이스 회의록 및 관리대장</t>
        </is>
      </c>
      <c r="M7" s="27" t="inlineStr">
        <is>
          <t>"지자체(수원시, 화성시) 도로교통관제 센터와 트램 우선신호 제어기 간 통신 인터페이스 및 연동 협의"</t>
        </is>
      </c>
      <c r="N7" s="63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27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64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27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27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27" t="n"/>
    </row>
    <row r="8" ht="139.2" customHeight="1">
      <c r="A8" s="77" t="inlineStr">
        <is>
          <t>9000</t>
        </is>
      </c>
      <c r="B8" s="77" t="inlineStr">
        <is>
          <t>9000-8</t>
        </is>
      </c>
      <c r="C8" s="77" t="inlineStr">
        <is>
          <t>전기분야</t>
        </is>
      </c>
      <c r="D8" s="77" t="inlineStr">
        <is>
          <t>9000-8-7</t>
        </is>
      </c>
      <c r="E8" s="79" t="inlineStr">
        <is>
          <t>9000-8-6</t>
        </is>
      </c>
      <c r="F8" s="79" t="inlineStr">
        <is>
          <t>9000-8-8</t>
        </is>
      </c>
      <c r="G8" s="17" t="inlineStr">
        <is>
          <t>발주처 품질 요구사항 검토</t>
        </is>
      </c>
      <c r="H8" s="17" t="inlineStr">
        <is>
          <t>D-180
(D-200~180)</t>
        </is>
      </c>
      <c r="I8" s="17" t="inlineStr">
        <is>
          <t>현장공무팀</t>
        </is>
      </c>
      <c r="J8" s="16" t="inlineStr">
        <is>
          <t>발주처 품질관리 기준/검사방안 확인</t>
        </is>
      </c>
      <c r="K8" s="32" t="inlineStr">
        <is>
          <t>- 감리/감독과 품질검사(ITP/ITC) 항목 검토</t>
        </is>
      </c>
      <c r="L8" s="16" t="inlineStr">
        <is>
          <t>ITP/ITC</t>
        </is>
      </c>
      <c r="M8" s="27" t="inlineStr">
        <is>
          <t>"감리/감독원 입회 품질검측계획서(ITP: Inspection &amp; Test Plan) 작성 및 Hold Point(필수정지점) / Witness Point(입회점) 구분 명시"</t>
        </is>
      </c>
      <c r="N8" s="63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7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64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7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27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27" t="n"/>
    </row>
    <row r="9" ht="139.2" customHeight="1">
      <c r="A9" s="77" t="inlineStr">
        <is>
          <t>9000</t>
        </is>
      </c>
      <c r="B9" s="77" t="inlineStr">
        <is>
          <t>9000-8</t>
        </is>
      </c>
      <c r="C9" s="77" t="inlineStr">
        <is>
          <t>전기분야</t>
        </is>
      </c>
      <c r="D9" s="77" t="inlineStr">
        <is>
          <t>9000-8-8</t>
        </is>
      </c>
      <c r="E9" s="79" t="inlineStr">
        <is>
          <t>9000-8-7</t>
        </is>
      </c>
      <c r="F9" s="79" t="inlineStr">
        <is>
          <t>9000-8-9</t>
        </is>
      </c>
      <c r="G9" s="17" t="inlineStr">
        <is>
          <t>자재 / 인원 / 장비 등 투입 사전 검토</t>
        </is>
      </c>
      <c r="H9" s="17" t="inlineStr">
        <is>
          <t>D-180
(D-200~180)</t>
        </is>
      </c>
      <c r="I9" s="17" t="inlineStr">
        <is>
          <t>현장공사팀</t>
        </is>
      </c>
      <c r="J9" s="16" t="inlineStr">
        <is>
          <t>자재 / 인원 / 장비 투입 계획 수립</t>
        </is>
      </c>
      <c r="K9" s="31" t="inlineStr">
        <is>
          <t>- 현장 여건 및 수량을 기준으로 투입(인력, 장비, 자재)을 검토</t>
        </is>
      </c>
      <c r="L9" s="16" t="inlineStr">
        <is>
          <t>세부 공정계획 수립 및 조율</t>
        </is>
      </c>
      <c r="M9" s="27" t="inlineStr">
        <is>
          <t>"변압기, GIS, 정류기, ESS, 전차선 등 주요 전기자재 공장 제작 및 수급 소요 기간(Lead Time 30~60일)을 공정표와 사전 연동 통제"</t>
        </is>
      </c>
      <c r="N9" s="63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27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64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27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27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27" t="n"/>
    </row>
    <row r="10" ht="139.2" customHeight="1">
      <c r="A10" s="77" t="inlineStr">
        <is>
          <t>9000</t>
        </is>
      </c>
      <c r="B10" s="77" t="inlineStr">
        <is>
          <t>9000-8</t>
        </is>
      </c>
      <c r="C10" s="77" t="inlineStr">
        <is>
          <t>전기분야</t>
        </is>
      </c>
      <c r="D10" s="77" t="inlineStr">
        <is>
          <t>9000-8-9</t>
        </is>
      </c>
      <c r="E10" s="79" t="inlineStr">
        <is>
          <t>9000-8-8</t>
        </is>
      </c>
      <c r="F10" s="79" t="inlineStr">
        <is>
          <t>9000-8-10</t>
        </is>
      </c>
      <c r="G10" s="17" t="inlineStr">
        <is>
          <t>인허가 준비</t>
        </is>
      </c>
      <c r="H10" s="17" t="inlineStr">
        <is>
          <t>D-180
(D-200~180)</t>
        </is>
      </c>
      <c r="I10" s="17" t="inlineStr">
        <is>
          <t>현장공무팀</t>
        </is>
      </c>
      <c r="J10" s="16" t="inlineStr">
        <is>
          <t>관련법에 따른 인허가 수행</t>
        </is>
      </c>
      <c r="K10" s="31" t="inlineStr">
        <is>
          <t>- 인허가(전기사용신청, 공사계획신고, 도로점용허가, 도로공사 신고, 전기 사용전검사 등) 추진 계획을 To do list 작성하여 관리</t>
        </is>
      </c>
      <c r="L10" s="16" t="inlineStr">
        <is>
          <t>인허가 To do list</t>
        </is>
      </c>
      <c r="M10" s="27" t="inlineStr">
        <is>
          <t>"관할 한전에 수전 용량 계산서, 건축허가서, 22.9kV 수전 단선도 첨부 전기사용신청서 제출(처리기간 1개월) 및 인수점 지중 맨홀 협의"</t>
        </is>
      </c>
      <c r="N10" s="63">
        <f>HYPERLINK(LEFT(CELL("filename",A1),FIND("[",CELL("filename",A1))-1)&amp;"8.전기분야\9_인허가 준비\표준서\인허가 준비_표준서.html", "👉 [클릭] 표준서 열기 📄")</f>
        <v/>
      </c>
      <c r="O10" s="27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64">
        <f>HYPERLINK(LEFT(CELL("filename",A1),FIND("[",CELL("filename",A1))-1)&amp;"8.전기분야\9_인허가 준비\수행지침\인허가 준비_수행지침.html", "👉 [클릭] 수행지침 열기 📄")</f>
        <v/>
      </c>
      <c r="Q10" s="27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27">
        <f>HYPERLINK(LEFT(CELL("filename",A1),FIND("[",CELL("filename",A1))-1)&amp;"8.전기분야\9_인허가 준비\체크리스트\인허가 준비_체크리스트.html", "👉 [클릭] 체크리스트 열기 📄")</f>
        <v/>
      </c>
      <c r="S10" s="27" t="n"/>
    </row>
    <row r="11" ht="226.2" customHeight="1">
      <c r="A11" s="77" t="inlineStr">
        <is>
          <t>9000</t>
        </is>
      </c>
      <c r="B11" s="77" t="inlineStr">
        <is>
          <t>9000-8</t>
        </is>
      </c>
      <c r="C11" s="77" t="inlineStr">
        <is>
          <t>전기분야</t>
        </is>
      </c>
      <c r="D11" s="77" t="inlineStr">
        <is>
          <t>9000-8-10</t>
        </is>
      </c>
      <c r="E11" s="79" t="inlineStr">
        <is>
          <t>9000-8-9</t>
        </is>
      </c>
      <c r="F11" s="79" t="inlineStr">
        <is>
          <t>9000-8-11</t>
        </is>
      </c>
      <c r="G11" s="17" t="inlineStr">
        <is>
          <t>착수 전 Big Room 회의</t>
        </is>
      </c>
      <c r="H11" s="17" t="inlineStr">
        <is>
          <t>D-170</t>
        </is>
      </c>
      <c r="I11" s="17" t="inlineStr">
        <is>
          <t>현장공무팀</t>
        </is>
      </c>
      <c r="J11" s="16" t="inlineStr">
        <is>
          <t>전철전력공사 수행 시, 선행공정 간섭사항 및 각종 Risk에 대한 대책 수립</t>
        </is>
      </c>
      <c r="K11" s="32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16" t="inlineStr">
        <is>
          <t>Big Room 회의록(참석자 전원 서명)</t>
        </is>
      </c>
      <c r="M11" s="27" t="inlineStr">
        <is>
          <t>"노반(궤도), 신호, 통신, 기계, PSD, 차량 인터페이스 및 3D BIM 공간 간섭을 전면 사전 검토한다."</t>
        </is>
      </c>
      <c r="N11" s="63">
        <f>HYPERLINK(LEFT(CELL("filename",A1),FIND("[",CELL("filename",A1))-1)&amp;"8.전기분야\10_착수 전 Big Room 회의\표준서\착수 전 Big Room 회의_표준서.html", "👉 [클릭] 표준서 열기 📄")</f>
        <v/>
      </c>
      <c r="O11" s="27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64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27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27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27" t="n"/>
    </row>
    <row r="12" ht="121.8" customHeight="1">
      <c r="A12" s="77" t="inlineStr">
        <is>
          <t>9000</t>
        </is>
      </c>
      <c r="B12" s="77" t="inlineStr">
        <is>
          <t>9000-8</t>
        </is>
      </c>
      <c r="C12" s="77" t="inlineStr">
        <is>
          <t>전기분야</t>
        </is>
      </c>
      <c r="D12" s="77" t="inlineStr">
        <is>
          <t>9000-8-11</t>
        </is>
      </c>
      <c r="E12" s="79" t="inlineStr">
        <is>
          <t>9000-8-10</t>
        </is>
      </c>
      <c r="F12" s="79" t="inlineStr">
        <is>
          <t>9000-8-12</t>
        </is>
      </c>
      <c r="G12" s="17" t="inlineStr">
        <is>
          <t>전기설비 제작 사양서 작성 / 승인</t>
        </is>
      </c>
      <c r="H12" s="17" t="inlineStr">
        <is>
          <t>D-90
(D-180~90)</t>
        </is>
      </c>
      <c r="I12" s="17" t="inlineStr">
        <is>
          <t>현장공사팀</t>
        </is>
      </c>
      <c r="J12" s="16" t="inlineStr">
        <is>
          <t>전기설비의 제작 사양서 작성/승인</t>
        </is>
      </c>
      <c r="K12" s="32" t="inlineStr">
        <is>
          <t>- 현장여건 및 실시설계도서(보고서,도면,자재사양서)의 요구사항 충족 여부를 확인
- 제작사양서, 제작도면 작성 후 감리단 승인</t>
        </is>
      </c>
      <c r="L12" s="16" t="inlineStr">
        <is>
          <t>제작사양서, 제작도면</t>
        </is>
      </c>
      <c r="M12" s="27" t="inlineStr">
        <is>
          <t>"변압기 용량, 정류기 정격, ESS 배터리 세부 기술사양서 검토 및 시방 규격 1:1 대조 파악"</t>
        </is>
      </c>
      <c r="N12" s="63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7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64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7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27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27" t="n"/>
    </row>
    <row r="13" ht="104.4" customHeight="1">
      <c r="A13" s="77" t="inlineStr">
        <is>
          <t>9000</t>
        </is>
      </c>
      <c r="B13" s="77" t="inlineStr">
        <is>
          <t>9000-8</t>
        </is>
      </c>
      <c r="C13" s="77" t="inlineStr">
        <is>
          <t>전기분야</t>
        </is>
      </c>
      <c r="D13" s="77" t="inlineStr">
        <is>
          <t>9000-8-12</t>
        </is>
      </c>
      <c r="E13" s="79" t="inlineStr">
        <is>
          <t>9000-8-11</t>
        </is>
      </c>
      <c r="F13" s="79" t="inlineStr">
        <is>
          <t>9000-8-13</t>
        </is>
      </c>
      <c r="G13" s="17" t="inlineStr">
        <is>
          <t>시공 계획 수립 / 승인</t>
        </is>
      </c>
      <c r="H13" s="17" t="inlineStr">
        <is>
          <t>D-60
(D-90~60)</t>
        </is>
      </c>
      <c r="I13" s="17" t="inlineStr">
        <is>
          <t>현장공사팀</t>
        </is>
      </c>
      <c r="J13" s="16" t="inlineStr">
        <is>
          <t>안전/품질이 확보된 시공계획 수립</t>
        </is>
      </c>
      <c r="K13" s="31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19" t="inlineStr">
        <is>
          <t>시공계획서&amp;시공상세도</t>
        </is>
      </c>
      <c r="M13" s="27" t="inlineStr">
        <is>
          <t>"변전기기 반입, Cable Tray 설치, 전차선 지주 입립 시공 순서 및 3D BIM 공정 수립"</t>
        </is>
      </c>
      <c r="N13" s="63">
        <f>HYPERLINK(LEFT(CELL("filename",A1),FIND("[",CELL("filename",A1))-1)&amp;"8.전기분야\12_시공 계획 수립 _ 승인\표준서\시공 계획 수립 _ 승인_표준서.html", "👉 [클릭] 표준서 열기 📄")</f>
        <v/>
      </c>
      <c r="O13" s="27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64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27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27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27" t="n"/>
    </row>
    <row r="14" ht="69.59999999999999" customHeight="1">
      <c r="A14" s="77" t="inlineStr">
        <is>
          <t>9000</t>
        </is>
      </c>
      <c r="B14" s="77" t="inlineStr">
        <is>
          <t>9000-8</t>
        </is>
      </c>
      <c r="C14" s="77" t="inlineStr">
        <is>
          <t>전기분야</t>
        </is>
      </c>
      <c r="D14" s="77" t="inlineStr">
        <is>
          <t>9000-8-13</t>
        </is>
      </c>
      <c r="E14" s="79" t="inlineStr">
        <is>
          <t>9000-8-12</t>
        </is>
      </c>
      <c r="F14" s="79" t="inlineStr">
        <is>
          <t>9000-8-14</t>
        </is>
      </c>
      <c r="G14" s="17" t="inlineStr">
        <is>
          <t>자재공급원/기자재 제작도서 승인</t>
        </is>
      </c>
      <c r="H14" s="17" t="inlineStr">
        <is>
          <t>D-30
(D-60~30)</t>
        </is>
      </c>
      <c r="I14" s="17" t="inlineStr">
        <is>
          <t>현장공무팀</t>
        </is>
      </c>
      <c r="J14" s="16" t="inlineStr">
        <is>
          <t>전기설비의 시공성과 품질, 기능 확보를 위한 자재 공급원 검토 및 승인</t>
        </is>
      </c>
      <c r="K14" s="32" t="inlineStr">
        <is>
          <t>- 전기자재 제작능력, 납품실적 등 확인
- 성능보증이 가능한 복수의 공급원 검토
- 자재공급원 서류 제출후 감리단 승인</t>
        </is>
      </c>
      <c r="L14" s="16" t="inlineStr">
        <is>
          <t>자재공급원 승인 서류</t>
        </is>
      </c>
      <c r="M14" s="27" t="inlineStr">
        <is>
          <t>"제조사 공장등록증, 사업자등록증, ISO 품질인증서 및 유사 철도/트램 납품 실적 검증"</t>
        </is>
      </c>
      <c r="N14" s="63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7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64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7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27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27" t="n"/>
    </row>
    <row r="15" ht="191.4" customHeight="1">
      <c r="A15" s="77" t="inlineStr">
        <is>
          <t>9000</t>
        </is>
      </c>
      <c r="B15" s="77" t="inlineStr">
        <is>
          <t>9000-8</t>
        </is>
      </c>
      <c r="C15" s="77" t="inlineStr">
        <is>
          <t>전기분야</t>
        </is>
      </c>
      <c r="D15" s="77" t="inlineStr">
        <is>
          <t>9000-8-14</t>
        </is>
      </c>
      <c r="E15" s="79" t="inlineStr">
        <is>
          <t>9000-8-13</t>
        </is>
      </c>
      <c r="F15" s="79" t="inlineStr">
        <is>
          <t>9000-8-15</t>
        </is>
      </c>
      <c r="G15" s="17" t="inlineStr">
        <is>
          <t>전기설비 공정제작 / 제작사 공장검사</t>
        </is>
      </c>
      <c r="H15" s="17" t="inlineStr">
        <is>
          <t>D-30
(D-30~D+150)</t>
        </is>
      </c>
      <c r="I15" s="17" t="inlineStr">
        <is>
          <t>현장공사팀</t>
        </is>
      </c>
      <c r="J15" s="16" t="inlineStr">
        <is>
          <t>제작사양서/제작도면의 일치여부검토 및 현장반입 전 제품 성능검사 확인</t>
        </is>
      </c>
      <c r="K15" s="32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16" t="inlineStr">
        <is>
          <t>공장검사 결과보고서(감리/감독 입회)</t>
        </is>
      </c>
      <c r="M15" s="27" t="inlineStr">
        <is>
          <t>"제작사 부품 조달 현황, 외함 판금/도장 및 내부 배선 조립 공정 공정표 100% 관리"</t>
        </is>
      </c>
      <c r="N15" s="63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27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64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27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27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27" t="n"/>
    </row>
    <row r="16" ht="69.59999999999999" customHeight="1">
      <c r="A16" s="77" t="inlineStr">
        <is>
          <t>9000</t>
        </is>
      </c>
      <c r="B16" s="77" t="inlineStr">
        <is>
          <t>9000-8</t>
        </is>
      </c>
      <c r="C16" s="77" t="inlineStr">
        <is>
          <t>전기분야</t>
        </is>
      </c>
      <c r="D16" s="77" t="inlineStr">
        <is>
          <t>9000-8-15</t>
        </is>
      </c>
      <c r="E16" s="79" t="inlineStr">
        <is>
          <t>9000-8-14</t>
        </is>
      </c>
      <c r="F16" s="79" t="inlineStr">
        <is>
          <t>9000-8-16</t>
        </is>
      </c>
      <c r="G16" s="17" t="inlineStr">
        <is>
          <t>본공사 전 선행공정 인수인계 점검</t>
        </is>
      </c>
      <c r="H16" s="17" t="inlineStr">
        <is>
          <t>D-10
(D-20~10)</t>
        </is>
      </c>
      <c r="I16" s="17" t="inlineStr">
        <is>
          <t>현장공사팀</t>
        </is>
      </c>
      <c r="J16" s="16" t="inlineStr">
        <is>
          <t>전기설비 설치전 준비상태 확인</t>
        </is>
      </c>
      <c r="K16" s="32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16" t="inlineStr">
        <is>
          <t>기록지, 현장점검결과보고서(감리입회)</t>
        </is>
      </c>
      <c r="M16" s="27" t="inlineStr">
        <is>
          <t>"건축 변전실 구조물 완성도, 노반 궤도 시공 상태 및 전기 설치 간섭 여부 정밀 실측"</t>
        </is>
      </c>
      <c r="N16" s="63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7" t="inlineStr">
        <is>
          <t>토목, 노반(궤도), 건축 선행 공정 완성도 실측, 변전실/개구부/공동구 간섭 점검, 자재 반입구 및 반입 동선 인수인계 합동 점검 수행</t>
        </is>
      </c>
      <c r="P16" s="64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7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27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27" t="n"/>
    </row>
    <row r="17" ht="69.59999999999999" customHeight="1">
      <c r="A17" s="77" t="inlineStr">
        <is>
          <t>9000</t>
        </is>
      </c>
      <c r="B17" s="77" t="inlineStr">
        <is>
          <t>9000-8</t>
        </is>
      </c>
      <c r="C17" s="77" t="inlineStr">
        <is>
          <t>전기분야</t>
        </is>
      </c>
      <c r="D17" s="77" t="inlineStr">
        <is>
          <t>9000-8-16</t>
        </is>
      </c>
      <c r="E17" s="79" t="inlineStr">
        <is>
          <t>9000-8-15</t>
        </is>
      </c>
      <c r="F17" s="79" t="inlineStr">
        <is>
          <t>9000-8-17</t>
        </is>
      </c>
      <c r="G17" s="17" t="inlineStr">
        <is>
          <t>장비반입 및 안전교육</t>
        </is>
      </c>
      <c r="H17" s="17" t="inlineStr">
        <is>
          <t>D-5
(D-10~5)</t>
        </is>
      </c>
      <c r="I17" s="17" t="inlineStr">
        <is>
          <t>안전팀</t>
        </is>
      </c>
      <c r="J17" s="16" t="inlineStr">
        <is>
          <t>장비 반입 준비 및 안전교육 완료</t>
        </is>
      </c>
      <c r="K17" s="32" t="inlineStr">
        <is>
          <t>- 자재반입 경로, 적치장소에 대한 사전확인 및 타분야 일정, 간섭사항 협의/확인
- 장비 Spec확인, 장비상태 점검
- 작업원 안전교육 실시</t>
        </is>
      </c>
      <c r="L17" s="16" t="inlineStr">
        <is>
          <t>안전교육 결과서, 측량기록지</t>
        </is>
      </c>
      <c r="M17" s="27" t="inlineStr">
        <is>
          <t>"장비 진입 경로 및 적치장 사전확인, 타분야 작업 일정 및 지상/지하 구조물 간섭 협의"</t>
        </is>
      </c>
      <c r="N17" s="63">
        <f>HYPERLINK(LEFT(CELL("filename",A1),FIND("[",CELL("filename",A1))-1)&amp;"8.전기분야\16_장비반입 및 안전교육\표준서\장비반입 및 안전교육_표준서.html", "👉 [클릭] 표준서 열기 📄")</f>
        <v/>
      </c>
      <c r="O17" s="27" t="inlineStr">
        <is>
          <t>고소작업차, 케이블 포설차, 활선 작업 장비 현장 반입 동선/적치장 확인, 장비 Spec 및 안전검사필증 점검, 작업원 특별안전교육 실시</t>
        </is>
      </c>
      <c r="P17" s="64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27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27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27" t="n"/>
    </row>
    <row r="18" ht="69.59999999999999" customHeight="1">
      <c r="A18" s="77" t="inlineStr">
        <is>
          <t>9000</t>
        </is>
      </c>
      <c r="B18" s="77" t="inlineStr">
        <is>
          <t>9000-8</t>
        </is>
      </c>
      <c r="C18" s="77" t="inlineStr">
        <is>
          <t>전기분야</t>
        </is>
      </c>
      <c r="D18" s="77" t="inlineStr">
        <is>
          <t>9000-8-17</t>
        </is>
      </c>
      <c r="E18" s="79" t="inlineStr">
        <is>
          <t>9000-8-16</t>
        </is>
      </c>
      <c r="F18" s="79" t="inlineStr">
        <is>
          <t>9000-8-18</t>
        </is>
      </c>
      <c r="G18" s="17" t="inlineStr">
        <is>
          <t>자재 반입 및 검수</t>
        </is>
      </c>
      <c r="H18" s="17" t="inlineStr">
        <is>
          <t>D+0~D+30</t>
        </is>
      </c>
      <c r="I18" s="17" t="inlineStr">
        <is>
          <t>품질팀</t>
        </is>
      </c>
      <c r="J18" s="16" t="inlineStr">
        <is>
          <t>공장검사 시행 완료된 자재반입과 현장 입고 검사</t>
        </is>
      </c>
      <c r="K18" s="31" t="inlineStr">
        <is>
          <t xml:space="preserve">- 자재 하차 위치 및 반입동선 확인
- 승인된 자재 일치여부 확인(Serial number 등)
- 제품의 규격, 수량 도면과 일치하는지 검수 </t>
        </is>
      </c>
      <c r="L18" s="16" t="inlineStr">
        <is>
          <t>자재검수서</t>
        </is>
      </c>
      <c r="M18" s="27" t="inlineStr">
        <is>
          <t>"자재 하차 통제 구획 설정, 크레인 양중 신호수 배치 및 자재 반입 동선 안전 확보"</t>
        </is>
      </c>
      <c r="N18" s="63">
        <f>HYPERLINK(LEFT(CELL("filename",A1),FIND("[",CELL("filename",A1))-1)&amp;"8.전기분야\17_자재 반입 및 검수\표준서\자재 반입 및 검수_표준서.html", "👉 [클릭] 표준서 열기 📄")</f>
        <v/>
      </c>
      <c r="O18" s="27" t="inlineStr">
        <is>
          <t>전기자재 현장 반입 하차 위치/동선 통제, 승인된 자재공급원 일치 여부(Serial No., Serial Tag) 검수, 도면 규격 및 수량 1:1 대조 확인</t>
        </is>
      </c>
      <c r="P18" s="64">
        <f>HYPERLINK(LEFT(CELL("filename",A1),FIND("[",CELL("filename",A1))-1)&amp;"8.전기분야\17_자재 반입 및 검수\수행지침\자재 반입 및 검수_수행지침.html", "👉 [클릭] 수행지침 열기 📄")</f>
        <v/>
      </c>
      <c r="Q18" s="27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27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27" t="n"/>
    </row>
    <row r="19" ht="69.59999999999999" customHeight="1">
      <c r="A19" s="77" t="inlineStr">
        <is>
          <t>9000</t>
        </is>
      </c>
      <c r="B19" s="77" t="inlineStr">
        <is>
          <t>9000-8</t>
        </is>
      </c>
      <c r="C19" s="77" t="inlineStr">
        <is>
          <t>전기분야</t>
        </is>
      </c>
      <c r="D19" s="77" t="inlineStr">
        <is>
          <t>9000-8-18</t>
        </is>
      </c>
      <c r="E19" s="79" t="inlineStr">
        <is>
          <t>9000-8-17</t>
        </is>
      </c>
      <c r="F19" s="79" t="inlineStr">
        <is>
          <t>9000-8-19</t>
        </is>
      </c>
      <c r="G19" s="17" t="inlineStr">
        <is>
          <t>전철전력설비 반입 및 설치</t>
        </is>
      </c>
      <c r="H19" s="17" t="inlineStr">
        <is>
          <t>D+31~D+360</t>
        </is>
      </c>
      <c r="I19" s="17" t="inlineStr">
        <is>
          <t>현장공사팀</t>
        </is>
      </c>
      <c r="J19" s="16" t="inlineStr">
        <is>
          <t>설계에 부합되도록 전철전력설비 설치</t>
        </is>
      </c>
      <c r="K19" s="31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16" t="inlineStr">
        <is>
          <t>검측서</t>
        </is>
      </c>
      <c r="M19" s="27" t="inlineStr">
        <is>
          <t>"감리/감독 협의를 통한 시공 샘플 대상 선정, 시험시공 수행 및 시공 기준서 확정"</t>
        </is>
      </c>
      <c r="N19" s="63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27" t="inlineStr">
        <is>
          <t>변전소 수배전반, 정류기, ESS, 특고압반 및 정거장 전기실 기기 반입/설치, 시공 샘플 감리 협의 후 시험시공 및 도면 일치성 최종 검측</t>
        </is>
      </c>
      <c r="P19" s="64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27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27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27" t="n"/>
    </row>
    <row r="20" ht="69.59999999999999" customHeight="1">
      <c r="A20" s="77" t="inlineStr">
        <is>
          <t>9000</t>
        </is>
      </c>
      <c r="B20" s="77" t="inlineStr">
        <is>
          <t>9000-8</t>
        </is>
      </c>
      <c r="C20" s="77" t="inlineStr">
        <is>
          <t>전기분야</t>
        </is>
      </c>
      <c r="D20" s="77" t="inlineStr">
        <is>
          <t>9000-8-19</t>
        </is>
      </c>
      <c r="E20" s="79" t="inlineStr">
        <is>
          <t>9000-8-18</t>
        </is>
      </c>
      <c r="F20" s="79" t="inlineStr">
        <is>
          <t>9000-8-20</t>
        </is>
      </c>
      <c r="G20" s="17" t="inlineStr">
        <is>
          <t>수전용 케이블 트레이 및 케이블 포설</t>
        </is>
      </c>
      <c r="H20" s="17" t="inlineStr">
        <is>
          <t>D+150~D+210</t>
        </is>
      </c>
      <c r="I20" s="17" t="inlineStr">
        <is>
          <t>현장공사팀</t>
        </is>
      </c>
      <c r="J20" s="16" t="inlineStr">
        <is>
          <t>전기실에 전기를 공급하기 위해 한전 책임분계점 전주에서 수전전기실까지 배관/배선을 설치</t>
        </is>
      </c>
      <c r="K20" s="32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16" t="inlineStr">
        <is>
          <t>검측서</t>
        </is>
      </c>
      <c r="M20" s="27" t="inlineStr">
        <is>
          <t>"한전 인수점 지중 맨홀부터 수전 전기실까지 Cable Tray 수평도 및 고정 행거 설치"</t>
        </is>
      </c>
      <c r="N20" s="63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7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64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7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27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27" t="n"/>
    </row>
    <row r="21" ht="69.59999999999999" customHeight="1">
      <c r="A21" s="77" t="inlineStr">
        <is>
          <t>9000</t>
        </is>
      </c>
      <c r="B21" s="77" t="inlineStr">
        <is>
          <t>9000-8</t>
        </is>
      </c>
      <c r="C21" s="77" t="inlineStr">
        <is>
          <t>전기분야</t>
        </is>
      </c>
      <c r="D21" s="77" t="inlineStr">
        <is>
          <t>9000-8-20</t>
        </is>
      </c>
      <c r="E21" s="79" t="inlineStr">
        <is>
          <t>9000-8-19</t>
        </is>
      </c>
      <c r="F21" s="79" t="inlineStr">
        <is>
          <t>9000-8-21</t>
        </is>
      </c>
      <c r="G21" s="17" t="inlineStr">
        <is>
          <t>수전 및 전기공급(급전)</t>
        </is>
      </c>
      <c r="H21" s="17" t="inlineStr">
        <is>
          <t>D+211~D+255</t>
        </is>
      </c>
      <c r="I21" s="17" t="inlineStr">
        <is>
          <t>현장공사팀</t>
        </is>
      </c>
      <c r="J21" s="16" t="inlineStr">
        <is>
          <t>한전으로부터 전기를 인입 후 전기가 필요한 시설들에 순차적으로 전기를 공급</t>
        </is>
      </c>
      <c r="K21" s="31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16" t="inlineStr">
        <is>
          <t>전기사용승인, 수전 결과서</t>
        </is>
      </c>
      <c r="M21" s="27" t="inlineStr">
        <is>
          <t>"한국전기안전공사 KESC 사용전검사 합격 필증 수령 및 수전 사전 조건 완수"</t>
        </is>
      </c>
      <c r="N21" s="63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27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64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27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27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27" t="n"/>
    </row>
    <row r="22" ht="69.59999999999999" customHeight="1">
      <c r="A22" s="77" t="inlineStr">
        <is>
          <t>9000</t>
        </is>
      </c>
      <c r="B22" s="77" t="inlineStr">
        <is>
          <t>9000-8</t>
        </is>
      </c>
      <c r="C22" s="77" t="inlineStr">
        <is>
          <t>전기분야</t>
        </is>
      </c>
      <c r="D22" s="77" t="inlineStr">
        <is>
          <t>9000-8-21</t>
        </is>
      </c>
      <c r="E22" s="79" t="inlineStr">
        <is>
          <t>9000-8-20</t>
        </is>
      </c>
      <c r="F22" s="79" t="inlineStr">
        <is>
          <t>9000-8-22</t>
        </is>
      </c>
      <c r="G22" s="17" t="inlineStr">
        <is>
          <t>종합연동시험(SCADA) 실시</t>
        </is>
      </c>
      <c r="H22" s="17" t="inlineStr">
        <is>
          <t>D+226~D+285</t>
        </is>
      </c>
      <c r="I22" s="17" t="inlineStr">
        <is>
          <t>현장공사팀</t>
        </is>
      </c>
      <c r="J22" s="19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33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19" t="inlineStr">
        <is>
          <t>종합연동시험 결과보고서</t>
        </is>
      </c>
      <c r="M22" s="27" t="inlineStr">
        <is>
          <t>"감리단 제출용 SCADA 종합연동시험 계획서, 포인트 맵 및 점검 절차서 작성"</t>
        </is>
      </c>
      <c r="N22" s="63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7" t="inlineStr">
        <is>
          <t>책임감리단 입회하에 트램관제실(OCC)과 현장 변전소/정류기/ESS 기기 간 SCADA 원격 감시/제어/계측(DI/DO/AI/AO) 종합연동시험 수행 및 검측 승인</t>
        </is>
      </c>
      <c r="P22" s="64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7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27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27" t="n"/>
    </row>
    <row r="23" ht="69.59999999999999" customHeight="1">
      <c r="A23" s="77" t="inlineStr">
        <is>
          <t>9000</t>
        </is>
      </c>
      <c r="B23" s="77" t="inlineStr">
        <is>
          <t>9000-8</t>
        </is>
      </c>
      <c r="C23" s="77" t="inlineStr">
        <is>
          <t>전기분야</t>
        </is>
      </c>
      <c r="D23" s="77" t="inlineStr">
        <is>
          <t>9000-8-22</t>
        </is>
      </c>
      <c r="E23" s="79" t="inlineStr">
        <is>
          <t>9000-8-21</t>
        </is>
      </c>
      <c r="F23" s="79" t="inlineStr">
        <is>
          <t>9000-8-23</t>
        </is>
      </c>
      <c r="G23" s="17" t="inlineStr">
        <is>
          <t>공종별 시험</t>
        </is>
      </c>
      <c r="H23" s="17" t="inlineStr">
        <is>
          <t>D+256~D+285</t>
        </is>
      </c>
      <c r="I23" s="17" t="inlineStr">
        <is>
          <t>현장공사팀</t>
        </is>
      </c>
      <c r="J23" s="19" t="inlineStr">
        <is>
          <t>관련 법령, 설계기준, 기술기준, 시방서 등의 요구사항에 적합하도록 설치되었는지를 확인</t>
        </is>
      </c>
      <c r="K23" s="32" t="inlineStr">
        <is>
          <t>- 철도종합시험운행 시행지침 제6조(공종별시험)에 따라 시행</t>
        </is>
      </c>
      <c r="L23" s="16" t="inlineStr">
        <is>
          <t>공종별 시험 결과보고서</t>
        </is>
      </c>
      <c r="M23" s="27" t="inlineStr">
        <is>
          <t>"철도종합시험운행 시행지침 제6조에 따른 전기 공종별 시험 항목 및 절차서 확정"</t>
        </is>
      </c>
      <c r="N23" s="63">
        <f>HYPERLINK(LEFT(CELL("filename",A1),FIND("[",CELL("filename",A1))-1)&amp;"8.전기분야\22_공종별 시험\표준서\공종별 시험_표준서.html", "👉 [클릭] 표준서 열기 📄")</f>
        <v/>
      </c>
      <c r="O23" s="27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64">
        <f>HYPERLINK(LEFT(CELL("filename",A1),FIND("[",CELL("filename",A1))-1)&amp;"8.전기분야\22_공종별 시험\수행지침\공종별 시험_수행지침.html", "👉 [클릭] 수행지침 열기 📄")</f>
        <v/>
      </c>
      <c r="Q23" s="27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27">
        <f>HYPERLINK(LEFT(CELL("filename",A1),FIND("[",CELL("filename",A1))-1)&amp;"8.전기분야\22_공종별 시험\체크리스트\공종별 시험_체크리스트.html", "👉 [클릭] 체크리스트 열기 📄")</f>
        <v/>
      </c>
      <c r="S23" s="27" t="n"/>
    </row>
    <row r="24" ht="69.59999999999999" customHeight="1">
      <c r="A24" s="77" t="inlineStr">
        <is>
          <t>9000</t>
        </is>
      </c>
      <c r="B24" s="77" t="inlineStr">
        <is>
          <t>9000-8</t>
        </is>
      </c>
      <c r="C24" s="77" t="inlineStr">
        <is>
          <t>전기분야</t>
        </is>
      </c>
      <c r="D24" s="77" t="inlineStr">
        <is>
          <t>9000-8-23</t>
        </is>
      </c>
      <c r="E24" s="79" t="inlineStr">
        <is>
          <t>9000-8-22</t>
        </is>
      </c>
      <c r="F24" s="79" t="inlineStr">
        <is>
          <t>9000-8-24</t>
        </is>
      </c>
      <c r="G24" s="17" t="inlineStr">
        <is>
          <t>차량 투입 전 점검</t>
        </is>
      </c>
      <c r="H24" s="17" t="inlineStr">
        <is>
          <t>D+286~D+300</t>
        </is>
      </c>
      <c r="I24" s="17" t="inlineStr">
        <is>
          <t>현장공사팀</t>
        </is>
      </c>
      <c r="J24" s="19" t="inlineStr">
        <is>
          <t>발주처 주관의 차량시운전이 되도록 노반, 건축, 궤도, 전철전력, 통신, 신호분야를 종합하여 최종 점검</t>
        </is>
      </c>
      <c r="K24" s="31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19" t="inlineStr">
        <is>
          <t>합동점검 결과보고서</t>
        </is>
      </c>
      <c r="M24" s="27" t="inlineStr">
        <is>
          <t>"궤도 시공 정밀도 확인 및 트램 차량 건축한계(폭 3,600mm) 간섭 여부 레이저 실측"</t>
        </is>
      </c>
      <c r="N24" s="63">
        <f>HYPERLINK(LEFT(CELL("filename",A1),FIND("[",CELL("filename",A1))-1)&amp;"8.전기분야\23_차량 투입 전 점검\표준서\차량 투입 전 점검_표준서.html", "👉 [클릭] 표준서 열기 📄")</f>
        <v/>
      </c>
      <c r="O24" s="27" t="inlineStr">
        <is>
          <t>노반/궤도 시공상태 점검, 트램 건축한계(폭 3,600mm) 검사, 전차선 750V DC 가압, 차량충전설비, 신호/통신 작동상태 합동 사전 점검 완수</t>
        </is>
      </c>
      <c r="P24" s="64">
        <f>HYPERLINK(LEFT(CELL("filename",A1),FIND("[",CELL("filename",A1))-1)&amp;"8.전기분야\23_차량 투입 전 점검\수행지침\차량 투입 전 점검_수행지침.html", "👉 [클릭] 수행지침 열기 📄")</f>
        <v/>
      </c>
      <c r="Q24" s="27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27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27" t="n"/>
    </row>
    <row r="25" ht="69.59999999999999" customHeight="1">
      <c r="A25" s="77" t="inlineStr">
        <is>
          <t>9000</t>
        </is>
      </c>
      <c r="B25" s="77" t="inlineStr">
        <is>
          <t>9000-8</t>
        </is>
      </c>
      <c r="C25" s="77" t="inlineStr">
        <is>
          <t>전기분야</t>
        </is>
      </c>
      <c r="D25" s="77" t="inlineStr">
        <is>
          <t>9000-8-24</t>
        </is>
      </c>
      <c r="E25" s="79" t="inlineStr">
        <is>
          <t>9000-8-23</t>
        </is>
      </c>
      <c r="F25" s="79" t="inlineStr">
        <is>
          <t>9000-8-25</t>
        </is>
      </c>
      <c r="G25" s="17" t="inlineStr">
        <is>
          <t>차량 시운전</t>
        </is>
      </c>
      <c r="H25" s="17" t="inlineStr">
        <is>
          <t>D+301~D+360</t>
        </is>
      </c>
      <c r="I25" s="17" t="inlineStr">
        <is>
          <t>현장공사팀</t>
        </is>
      </c>
      <c r="J25" s="16" t="inlineStr">
        <is>
          <t>철도안전법에 따른 철도차량 형식승인</t>
        </is>
      </c>
      <c r="K25" s="32" t="inlineStr">
        <is>
          <t>- 철도안전법 제26조(철도차량 형식승인)에 따라 이행 (주로 본선구간 수행)
- 차량, 신호, 통신 시스템간 인터페이스 시험</t>
        </is>
      </c>
      <c r="L25" s="16" t="inlineStr">
        <is>
          <t>철도차량 형식승인 결과 보고서</t>
        </is>
      </c>
      <c r="M25" s="27" t="inlineStr">
        <is>
          <t>"철도안전법 철도차량 형식승인 절차에 따른 본선 구간 전기-차량 시운전 계획 수립"</t>
        </is>
      </c>
      <c r="N25" s="63">
        <f>HYPERLINK(LEFT(CELL("filename",A1),FIND("[",CELL("filename",A1))-1)&amp;"8.전기분야\24_차량 시운전\표준서\차량 시운전_표준서.html", "👉 [클릭] 표준서 열기 📄")</f>
        <v/>
      </c>
      <c r="O25" s="27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64">
        <f>HYPERLINK(LEFT(CELL("filename",A1),FIND("[",CELL("filename",A1))-1)&amp;"8.전기분야\24_차량 시운전\수행지침\차량 시운전_수행지침.html", "👉 [클릭] 수행지침 열기 📄")</f>
        <v/>
      </c>
      <c r="Q25" s="27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27">
        <f>HYPERLINK(LEFT(CELL("filename",A1),FIND("[",CELL("filename",A1))-1)&amp;"8.전기분야\24_차량 시운전\체크리스트\차량 시운전_체크리스트.html", "👉 [클릭] 체크리스트 열기 📄")</f>
        <v/>
      </c>
      <c r="S25" s="27" t="n"/>
    </row>
    <row r="26" ht="69.59999999999999" customHeight="1">
      <c r="A26" s="77" t="inlineStr">
        <is>
          <t>9000</t>
        </is>
      </c>
      <c r="B26" s="77" t="inlineStr">
        <is>
          <t>9000-8</t>
        </is>
      </c>
      <c r="C26" s="77" t="inlineStr">
        <is>
          <t>전기분야</t>
        </is>
      </c>
      <c r="D26" s="77" t="inlineStr">
        <is>
          <t>9000-8-25</t>
        </is>
      </c>
      <c r="E26" s="79" t="inlineStr">
        <is>
          <t>9000-8-24</t>
        </is>
      </c>
      <c r="F26" s="79" t="inlineStr">
        <is>
          <t>9000-8-26</t>
        </is>
      </c>
      <c r="G26" s="17" t="inlineStr">
        <is>
          <t>운영자 교육시행</t>
        </is>
      </c>
      <c r="H26" s="17" t="inlineStr">
        <is>
          <t>D+361~D+374</t>
        </is>
      </c>
      <c r="I26" s="17" t="inlineStr">
        <is>
          <t>현장공사팀</t>
        </is>
      </c>
      <c r="J26" s="16" t="inlineStr">
        <is>
          <t>영업시운전 전에 시설을 운영자를 대상으로 운영 및 유지관리방법에 대해 교육</t>
        </is>
      </c>
      <c r="K26" s="32" t="inlineStr">
        <is>
          <t>- 전기 제작사가 만든 매뉴얼로 운영자를 교육
: 변전/전력설비 운영/관리방법</t>
        </is>
      </c>
      <c r="L26" s="16" t="inlineStr">
        <is>
          <t>운영자 교육 결과서</t>
        </is>
      </c>
      <c r="M26" s="27" t="inlineStr">
        <is>
          <t>"전기자재 제작사 작성 운영/유지보수 매뉴얼, 비상 조치 절차서 및 교육 교재 검토"</t>
        </is>
      </c>
      <c r="N26" s="63">
        <f>HYPERLINK(LEFT(CELL("filename",A1),FIND("[",CELL("filename",A1))-1)&amp;"8.전기분야\25_운영자 교육시행\표준서\운영자 교육시행_표준서.html", "👉 [클릭] 표준서 열기 📄")</f>
        <v/>
      </c>
      <c r="O26" s="27" t="inlineStr">
        <is>
          <t>전기설비(변전, 전차선, SCADA, ESS) 제작사 취급 설명 매뉴얼 기반 운영사 및 관제 유지보수자 대상 이론/실습 교육 시행 및 교육 이수증 교부</t>
        </is>
      </c>
      <c r="P26" s="64">
        <f>HYPERLINK(LEFT(CELL("filename",A1),FIND("[",CELL("filename",A1))-1)&amp;"8.전기분야\25_운영자 교육시행\수행지침\운영자 교육시행_수행지침.html", "👉 [클릭] 수행지침 열기 📄")</f>
        <v/>
      </c>
      <c r="Q26" s="27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27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27" t="n"/>
    </row>
    <row r="27" ht="87" customHeight="1">
      <c r="A27" s="77" t="inlineStr">
        <is>
          <t>9000</t>
        </is>
      </c>
      <c r="B27" s="77" t="inlineStr">
        <is>
          <t>9000-8</t>
        </is>
      </c>
      <c r="C27" s="77" t="inlineStr">
        <is>
          <t>전기분야</t>
        </is>
      </c>
      <c r="D27" s="77" t="inlineStr">
        <is>
          <t>9000-8-26</t>
        </is>
      </c>
      <c r="E27" s="79" t="inlineStr">
        <is>
          <t>9000-8-25</t>
        </is>
      </c>
      <c r="F27" s="79" t="inlineStr">
        <is>
          <t>9000-8-27</t>
        </is>
      </c>
      <c r="G27" s="17" t="inlineStr">
        <is>
          <t>사전점검</t>
        </is>
      </c>
      <c r="H27" s="17" t="inlineStr">
        <is>
          <t>D+375~D+414</t>
        </is>
      </c>
      <c r="I27" s="17" t="inlineStr">
        <is>
          <t>현장공사팀</t>
        </is>
      </c>
      <c r="J27" s="16" t="inlineStr">
        <is>
          <t>시설물검증시험의 가능여부를 확인하기 위하여 발주처와 운영자가 합동으로 점검</t>
        </is>
      </c>
      <c r="K27" s="32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16" t="inlineStr">
        <is>
          <t>사전점검 결과보고서/승인문서(한국교통안전공단)</t>
        </is>
      </c>
      <c r="M27" s="27" t="inlineStr">
        <is>
          <t>"철도종합시험운행 시행지침 제8조에 의거, 발주처-운영자 합동 사전점검 계획서 수립"</t>
        </is>
      </c>
      <c r="N27" s="63">
        <f>HYPERLINK(LEFT(CELL("filename",A1),FIND("[",CELL("filename",A1))-1)&amp;"8.전기분야\26_사전점검\표준서\사전점검_표준서.html", "👉 [클릭] 표준서 열기 📄")</f>
        <v/>
      </c>
      <c r="O27" s="27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64">
        <f>HYPERLINK(LEFT(CELL("filename",A1),FIND("[",CELL("filename",A1))-1)&amp;"8.전기분야\26_사전점검\수행지침\사전점검_수행지침.html", "👉 [클릭] 수행지침 열기 📄")</f>
        <v/>
      </c>
      <c r="Q27" s="27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27">
        <f>HYPERLINK(LEFT(CELL("filename",A1),FIND("[",CELL("filename",A1))-1)&amp;"8.전기분야\26_사전점검\체크리스트\사전점검_체크리스트.html", "👉 [클릭] 체크리스트 열기 📄")</f>
        <v/>
      </c>
      <c r="S27" s="27" t="n"/>
    </row>
    <row r="28" ht="139.2" customHeight="1">
      <c r="A28" s="77" t="inlineStr">
        <is>
          <t>9000</t>
        </is>
      </c>
      <c r="B28" s="77" t="inlineStr">
        <is>
          <t>9000-8</t>
        </is>
      </c>
      <c r="C28" s="77" t="inlineStr">
        <is>
          <t>전기분야</t>
        </is>
      </c>
      <c r="D28" s="77" t="inlineStr">
        <is>
          <t>9000-8-27</t>
        </is>
      </c>
      <c r="E28" s="79" t="inlineStr">
        <is>
          <t>9000-8-26</t>
        </is>
      </c>
      <c r="F28" s="79" t="inlineStr">
        <is>
          <t>9000-8-28</t>
        </is>
      </c>
      <c r="G28" s="17" t="inlineStr">
        <is>
          <t>시설물 검증시험</t>
        </is>
      </c>
      <c r="H28" s="17" t="inlineStr">
        <is>
          <t>D+415~D+499</t>
        </is>
      </c>
      <c r="I28" s="17" t="inlineStr">
        <is>
          <t>현장공사팀</t>
        </is>
      </c>
      <c r="J28" s="16" t="inlineStr">
        <is>
          <t>발주처는 시설물의 정상작동 상태 등을 확인하기 위해 시설물 검증시험을 수행</t>
        </is>
      </c>
      <c r="K28" s="32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16" t="inlineStr">
        <is>
          <t>시설물 검증시험 결과보고서/승인문서(한국교통안전공단)</t>
        </is>
      </c>
      <c r="M28" s="27" t="inlineStr">
        <is>
          <t>"시설물검증시험계획을 운영자와 협의 수립하고 한국교통안전공단 전문기관 승인 수검"</t>
        </is>
      </c>
      <c r="N28" s="63">
        <f>HYPERLINK(LEFT(CELL("filename",A1),FIND("[",CELL("filename",A1))-1)&amp;"8.전기분야\27_시설물 검증시험\표준서\시설물 검증시험_표준서.html", "👉 [클릭] 표준서 열기 📄")</f>
        <v/>
      </c>
      <c r="O28" s="27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64">
        <f>HYPERLINK(LEFT(CELL("filename",A1),FIND("[",CELL("filename",A1))-1)&amp;"8.전기분야\27_시설물 검증시험\수행지침\시설물 검증시험_수행지침.html", "👉 [클릭] 수행지침 열기 📄")</f>
        <v/>
      </c>
      <c r="Q28" s="27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27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27" t="n"/>
    </row>
    <row r="29" ht="159.6" customHeight="1">
      <c r="A29" s="77" t="inlineStr">
        <is>
          <t>9000</t>
        </is>
      </c>
      <c r="B29" s="77" t="inlineStr">
        <is>
          <t>9000-8</t>
        </is>
      </c>
      <c r="C29" s="77" t="inlineStr">
        <is>
          <t>전기분야</t>
        </is>
      </c>
      <c r="D29" s="77" t="inlineStr">
        <is>
          <t>9000-8-28</t>
        </is>
      </c>
      <c r="E29" s="79" t="inlineStr">
        <is>
          <t>9000-8-27</t>
        </is>
      </c>
      <c r="F29" s="79" t="inlineStr">
        <is>
          <t>9000-8-29</t>
        </is>
      </c>
      <c r="G29" s="17" t="inlineStr">
        <is>
          <t>영업시운전</t>
        </is>
      </c>
      <c r="H29" s="17" t="inlineStr">
        <is>
          <t>D+500~D+581</t>
        </is>
      </c>
      <c r="I29" s="17" t="inlineStr">
        <is>
          <t>현장공사팀</t>
        </is>
      </c>
      <c r="J29" s="16" t="inlineStr">
        <is>
          <t>발주처는 영업시운전계획에 따라 열차운행체계를 확인하기 위해 영업시운전을 수행</t>
        </is>
      </c>
      <c r="K29" s="32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16" t="inlineStr">
        <is>
          <t>영업시운전 결과보고서/승인문서(한국교통안전공단), 국토부 승인문서</t>
        </is>
      </c>
      <c r="M29" s="27" t="inlineStr">
        <is>
          <t>"운영자-발주처 협의 영업시운전계획 수립, 국토부 전문기관(교통안전공단) 승인 완수"</t>
        </is>
      </c>
      <c r="N29" s="63">
        <f>HYPERLINK(LEFT(CELL("filename",A1),FIND("[",CELL("filename",A1))-1)&amp;"8.전기분야\28_영업시운전\표준서\영업시운전_표준서.html", "👉 [클릭] 표준서 열기 📄")</f>
        <v/>
      </c>
      <c r="O29" s="27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64">
        <f>HYPERLINK(LEFT(CELL("filename",A1),FIND("[",CELL("filename",A1))-1)&amp;"8.전기분야\28_영업시운전\수행지침\영업시운전_수행지침.html", "👉 [클릭] 수행지침 열기 📄")</f>
        <v/>
      </c>
      <c r="Q29" s="27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27">
        <f>HYPERLINK(LEFT(CELL("filename",A1),FIND("[",CELL("filename",A1))-1)&amp;"8.전기분야\28_영업시운전\체크리스트\영업시운전_체크리스트.html", "👉 [클릭] 체크리스트 열기 📄")</f>
        <v/>
      </c>
      <c r="S29" s="27" t="n"/>
    </row>
    <row r="30" ht="69.59999999999999" customHeight="1">
      <c r="A30" s="77" t="inlineStr">
        <is>
          <t>9000</t>
        </is>
      </c>
      <c r="B30" s="77" t="inlineStr">
        <is>
          <t>9000-8</t>
        </is>
      </c>
      <c r="C30" s="77" t="inlineStr">
        <is>
          <t>전기분야</t>
        </is>
      </c>
      <c r="D30" s="77" t="inlineStr">
        <is>
          <t>9000-8-29</t>
        </is>
      </c>
      <c r="E30" s="79" t="inlineStr">
        <is>
          <t>9000-8-28</t>
        </is>
      </c>
      <c r="F30" s="79" t="inlineStr">
        <is>
          <t>9000-8-30</t>
        </is>
      </c>
      <c r="G30" s="17" t="inlineStr">
        <is>
          <t>전기 사용신청</t>
        </is>
      </c>
      <c r="H30" s="17" t="inlineStr">
        <is>
          <t>D+211~D+255</t>
        </is>
      </c>
      <c r="I30" s="17" t="inlineStr">
        <is>
          <t>현장공사팀</t>
        </is>
      </c>
      <c r="J30" s="16" t="inlineStr">
        <is>
          <t>합법적인 전기 공급 계약 체결</t>
        </is>
      </c>
      <c r="K30" s="32" t="inlineStr">
        <is>
          <t>- 관할 한국전력공사에 신청서, 건축허가신청서, 위임장 및 관련서류 제출 (약 1개월 소요)</t>
        </is>
      </c>
      <c r="L30" s="27" t="inlineStr">
        <is>
          <t>전기사용신청 접수증명서, 시설부담금 고지서</t>
        </is>
      </c>
      <c r="M30" s="27" t="inlineStr">
        <is>
          <t>"관할 한국전력공사 제출용 전기사용신청서, 변전소 용량 계산서 및 위임장 작성"</t>
        </is>
      </c>
      <c r="N30" s="63">
        <f>HYPERLINK(LEFT(CELL("filename",A1),FIND("[",CELL("filename",A1))-1)&amp;"8.전기분야\29_전기 사용신청\표준서\전기 사용신청_표준서.html", "👉 [클릭] 표준서 열기 📄")</f>
        <v/>
      </c>
      <c r="O30" s="27" t="inlineStr">
        <is>
          <t>관할 한국전력공사에 전기사용신청서, 건축허가서, 수전 도면 및 위임장 제출 수속(소요 기간 약 1개월 관리) 및 수전 합의 완수</t>
        </is>
      </c>
      <c r="P30" s="64">
        <f>HYPERLINK(LEFT(CELL("filename",A1),FIND("[",CELL("filename",A1))-1)&amp;"8.전기분야\29_전기 사용신청\수행지침\전기 사용신청_수행지침.html", "👉 [클릭] 수행지침 열기 📄")</f>
        <v/>
      </c>
      <c r="Q30" s="27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27">
        <f>HYPERLINK(LEFT(CELL("filename",A1),FIND("[",CELL("filename",A1))-1)&amp;"8.전기분야\29_전기 사용신청\체크리스트\전기 사용신청_체크리스트.html", "👉 [클릭] 체크리스트 열기 📄")</f>
        <v/>
      </c>
      <c r="S30" s="27" t="n"/>
    </row>
    <row r="31" ht="69.59999999999999" customHeight="1">
      <c r="A31" s="77" t="inlineStr">
        <is>
          <t>9000</t>
        </is>
      </c>
      <c r="B31" s="77" t="inlineStr">
        <is>
          <t>9000-8</t>
        </is>
      </c>
      <c r="C31" s="77" t="inlineStr">
        <is>
          <t>전기분야</t>
        </is>
      </c>
      <c r="D31" s="77" t="inlineStr">
        <is>
          <t>9000-8-30</t>
        </is>
      </c>
      <c r="E31" s="79" t="inlineStr">
        <is>
          <t>9000-8-29</t>
        </is>
      </c>
      <c r="F31" s="79" t="inlineStr">
        <is>
          <t>9000-8-31</t>
        </is>
      </c>
      <c r="G31" s="17" t="inlineStr">
        <is>
          <t>공사계획신고</t>
        </is>
      </c>
      <c r="H31" s="17" t="inlineStr">
        <is>
          <t>D-180
(D-200~180)</t>
        </is>
      </c>
      <c r="I31" s="17" t="inlineStr">
        <is>
          <t>현장공사팀</t>
        </is>
      </c>
      <c r="J31" s="16" t="inlineStr">
        <is>
          <t>공사 착수 전 법적 신고 이행</t>
        </is>
      </c>
      <c r="K31" s="32" t="inlineStr">
        <is>
          <t>- 관할 한국전기안전공사에 공사 착수 전에 공사계획서 및 신고서 제출</t>
        </is>
      </c>
      <c r="L31" s="27" t="inlineStr">
        <is>
          <t>공사계획신고 수리서</t>
        </is>
      </c>
      <c r="M31" s="27" t="inlineStr">
        <is>
          <t>"전기사업법 시행규칙에 맞춘 공사계획서 및 전기설비 공사계획신고서 정밀 작성"</t>
        </is>
      </c>
      <c r="N31" s="63">
        <f>HYPERLINK(LEFT(CELL("filename",A1),FIND("[",CELL("filename",A1))-1)&amp;"8.전기분야\30_공사계획신고\표준서\공사계획신고_표준서.html", "👉 [클릭] 표준서 열기 📄")</f>
        <v/>
      </c>
      <c r="O31" s="27" t="inlineStr">
        <is>
          <t>관할 한국전기안전공사에 전기 공사 착수 전 공사계획서, 기술자 자격증, 감리원 배치서 및 도면 제출 수속 완료</t>
        </is>
      </c>
      <c r="P31" s="64">
        <f>HYPERLINK(LEFT(CELL("filename",A1),FIND("[",CELL("filename",A1))-1)&amp;"8.전기분야\30_공사계획신고\수행지침\공사계획신고_수행지침.html", "👉 [클릭] 수행지침 열기 📄")</f>
        <v/>
      </c>
      <c r="Q31" s="27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27">
        <f>HYPERLINK(LEFT(CELL("filename",A1),FIND("[",CELL("filename",A1))-1)&amp;"8.전기분야\30_공사계획신고\체크리스트\공사계획신고_체크리스트.html", "👉 [클릭] 체크리스트 열기 📄")</f>
        <v/>
      </c>
      <c r="S31" s="27" t="n"/>
    </row>
    <row r="32" ht="69.59999999999999" customHeight="1">
      <c r="A32" s="77" t="inlineStr">
        <is>
          <t>9000</t>
        </is>
      </c>
      <c r="B32" s="77" t="inlineStr">
        <is>
          <t>9000-8</t>
        </is>
      </c>
      <c r="C32" s="77" t="inlineStr">
        <is>
          <t>전기분야</t>
        </is>
      </c>
      <c r="D32" s="77" t="inlineStr">
        <is>
          <t>9000-8-31</t>
        </is>
      </c>
      <c r="E32" s="79" t="inlineStr">
        <is>
          <t>9000-8-30</t>
        </is>
      </c>
      <c r="F32" s="79" t="inlineStr">
        <is>
          <t>9000-8-32</t>
        </is>
      </c>
      <c r="G32" s="18" t="inlineStr">
        <is>
          <t>노면전차선로 적합성 검증</t>
        </is>
      </c>
      <c r="H32" s="18" t="inlineStr">
        <is>
          <t>D+375~D+414</t>
        </is>
      </c>
      <c r="I32" s="17" t="inlineStr">
        <is>
          <t>현장공사팀</t>
        </is>
      </c>
      <c r="J32" s="23" t="inlineStr">
        <is>
          <t>노면전차선로 품질 및 기술 적합성 검증</t>
        </is>
      </c>
      <c r="K32" s="32" t="inlineStr">
        <is>
          <t>- 한국전기철도기술협회에 차량시운전 전까지 수량조서 및 시공도면 제출 (처리기간 15일)</t>
        </is>
      </c>
      <c r="L32" s="27" t="inlineStr">
        <is>
          <t>전차선로 시공품질 검사증</t>
        </is>
      </c>
      <c r="M32" s="27" t="inlineStr">
        <is>
          <t>"노면전차선로 지주, 강성 가선, 브래킷 수량조서 및 시공 승인도면(Shop Drawing) 작성"</t>
        </is>
      </c>
      <c r="N32" s="63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7" t="inlineStr">
        <is>
          <t>한국전기철도기술협회에 차량 시운전 전까지 수량조서, 시공도면 및 시험성적서 제출(처리기간 15일)하여 적합성 검증 승인 완수</t>
        </is>
      </c>
      <c r="P32" s="64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7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27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27" t="n"/>
    </row>
    <row r="33" ht="268.2" customHeight="1">
      <c r="A33" s="77" t="inlineStr">
        <is>
          <t>9000</t>
        </is>
      </c>
      <c r="B33" s="77" t="inlineStr">
        <is>
          <t>9000-8</t>
        </is>
      </c>
      <c r="C33" s="77" t="inlineStr">
        <is>
          <t>전기분야</t>
        </is>
      </c>
      <c r="D33" s="77" t="inlineStr">
        <is>
          <t>9000-8-32</t>
        </is>
      </c>
      <c r="E33" s="79" t="inlineStr">
        <is>
          <t>9000-8-31</t>
        </is>
      </c>
      <c r="F33" s="79" t="inlineStr">
        <is>
          <t>-</t>
        </is>
      </c>
      <c r="G33" s="17" t="inlineStr">
        <is>
          <t>전기 사용전검사 (전력/전차선/송변전)</t>
        </is>
      </c>
      <c r="H33" s="17" t="inlineStr">
        <is>
          <t>D+375~D+414</t>
        </is>
      </c>
      <c r="I33" s="17" t="inlineStr">
        <is>
          <t>현장공사팀</t>
        </is>
      </c>
      <c r="J33" s="16" t="inlineStr">
        <is>
          <t>준공 전 설비의 안전성 및 안전기준 부합 여부 판정</t>
        </is>
      </c>
      <c r="K33" s="32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27" t="inlineStr">
        <is>
          <t>사용전검사 확인증(필증)
※ 송변전의 경우 한국전기안전공사 검사에 시공사 입회</t>
        </is>
      </c>
      <c r="M33" s="27" t="inlineStr">
        <is>
          <t>"전기설비 설치 완료 후 7일 전 사용전검사신청서, 감리배치서, 단선도, 자재성적서 제출"</t>
        </is>
      </c>
      <c r="N33" s="63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27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64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27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27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27" t="n"/>
    </row>
    <row r="34">
      <c r="E34" s="2" t="n"/>
      <c r="F34" s="2" t="n"/>
      <c r="N34" s="66">
        <f>HYPERLINK(LEFT(CELL("filename",A1),FIND("[",CELL("filename",A1))-1)&amp;"8.전기분야\33_Task_33\표준서\Task_33_표준서.html", "👉 [클릭] 표준서 열기 📄")</f>
        <v/>
      </c>
      <c r="P34" s="67">
        <f>HYPERLINK(LEFT(CELL("filename",A1),FIND("[",CELL("filename",A1))-1)&amp;"8.전기분야\33_Task_33\수행지침\Task_33_수행지침.html", "👉 [클릭] 수행지침 열기 📄")</f>
        <v/>
      </c>
      <c r="R34" s="1">
        <f>HYPERLINK(LEFT(CELL("filename",A1),FIND("[",CELL("filename",A1))-1)&amp;"8.전기분야\33_Task_33\체크리스트\Task_33_체크리스트.html", "👉 [클릭] 체크리스트 열기 📄")</f>
        <v/>
      </c>
    </row>
    <row r="35">
      <c r="E35" s="2" t="n"/>
      <c r="F35" s="2" t="n"/>
    </row>
    <row r="36">
      <c r="E36" s="2" t="n"/>
      <c r="F36" s="2" t="n"/>
    </row>
    <row r="37">
      <c r="E37" s="2" t="n"/>
      <c r="F37" s="2" t="n"/>
    </row>
    <row r="38">
      <c r="E38" s="2" t="n"/>
      <c r="F38" s="2" t="n"/>
    </row>
    <row r="39">
      <c r="E39" s="2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  <rowBreaks count="1" manualBreakCount="1">
    <brk id="28" min="0" max="15" man="1"/>
  </rowBreaks>
</worksheet>
</file>

<file path=xl/worksheets/sheet9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S39"/>
  <sheetViews>
    <sheetView view="pageBreakPreview" zoomScale="55" zoomScaleNormal="40" zoomScaleSheetLayoutView="55" workbookViewId="0">
      <pane xSplit="4" ySplit="1" topLeftCell="M3" activePane="bottomRight" state="frozen"/>
      <selection pane="topRight" activeCell="E1" sqref="E1"/>
      <selection pane="bottomLeft" activeCell="A2" sqref="A2"/>
      <selection pane="bottomRight" activeCell="T5" sqref="T5"/>
    </sheetView>
  </sheetViews>
  <sheetFormatPr baseColWidth="8" defaultRowHeight="19.2"/>
  <cols>
    <col width="9" bestFit="1" customWidth="1" style="4" min="1" max="2"/>
    <col width="13.19921875" bestFit="1" customWidth="1" style="4" min="3" max="3"/>
    <col width="11.19921875" bestFit="1" customWidth="1" style="4" min="4" max="4"/>
    <col width="16" customWidth="1" style="2" min="5" max="6"/>
    <col width="30.3984375" customWidth="1" style="4" min="7" max="7"/>
    <col width="23.296875" customWidth="1" style="4" min="8" max="8"/>
    <col width="21.69921875" customWidth="1" style="4" min="9" max="9"/>
    <col width="32.59765625" customWidth="1" style="3" min="10" max="10"/>
    <col width="73.09765625" customWidth="1" style="3" min="11" max="11"/>
    <col width="19.3984375" customWidth="1" style="4" min="12" max="12"/>
    <col width="53" customWidth="1" style="3" min="13" max="13"/>
    <col width="14.69921875" customWidth="1" style="3" min="14" max="14"/>
    <col width="45" customWidth="1" style="3" min="15" max="15"/>
    <col width="15.796875" customWidth="1" style="3" min="16" max="16"/>
    <col width="45" customWidth="1" style="3" min="17" max="17"/>
    <col width="15.796875" customWidth="1" style="3" min="18" max="19"/>
    <col width="45" customWidth="1" style="3" min="20" max="35"/>
    <col width="8.796875" customWidth="1" style="3" min="36" max="73"/>
    <col width="8.796875" customWidth="1" style="3" min="74" max="16384"/>
  </cols>
  <sheetData>
    <row r="1" ht="57.6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작업단위 (Level 4 Task/Activity)</t>
        </is>
      </c>
      <c r="H1" s="12" t="inlineStr">
        <is>
          <t>일정 (D-Day)</t>
        </is>
      </c>
      <c r="I1" s="12" t="inlineStr">
        <is>
          <t>주관</t>
        </is>
      </c>
      <c r="J1" s="12" t="inlineStr">
        <is>
          <t>목적</t>
        </is>
      </c>
      <c r="K1" s="20" t="inlineStr">
        <is>
          <t>방법</t>
        </is>
      </c>
      <c r="L1" s="20" t="inlineStr">
        <is>
          <t>산출물(결과)</t>
        </is>
      </c>
      <c r="M1" s="20" t="inlineStr">
        <is>
          <t>표준서 (Standard) 요약</t>
        </is>
      </c>
      <c r="N1" s="13" t="inlineStr">
        <is>
          <t>표준서 파일 (HTML)</t>
        </is>
      </c>
      <c r="O1" s="20" t="inlineStr">
        <is>
          <t>수행지침 (Guideline) 요약</t>
        </is>
      </c>
      <c r="P1" s="13" t="inlineStr">
        <is>
          <t>수행지침 파일 (HTML)</t>
        </is>
      </c>
      <c r="Q1" s="20" t="inlineStr">
        <is>
          <t>체크리스트 (Checklist) 요약</t>
        </is>
      </c>
      <c r="R1" s="13" t="inlineStr">
        <is>
          <t>체크리스트 파일 (HTML)</t>
        </is>
      </c>
      <c r="S1" s="11" t="inlineStr">
        <is>
          <t>비고</t>
        </is>
      </c>
    </row>
    <row r="2" ht="199.2" customHeight="1">
      <c r="A2" s="77" t="inlineStr">
        <is>
          <t>9000</t>
        </is>
      </c>
      <c r="B2" s="77" t="inlineStr">
        <is>
          <t>9000-9</t>
        </is>
      </c>
      <c r="C2" s="77" t="inlineStr">
        <is>
          <t>통신분야</t>
        </is>
      </c>
      <c r="D2" s="77" t="inlineStr">
        <is>
          <t>9000-9-1</t>
        </is>
      </c>
      <c r="E2" s="79" t="inlineStr">
        <is>
          <t>-</t>
        </is>
      </c>
      <c r="F2" s="79" t="inlineStr">
        <is>
          <t>9000-9-2</t>
        </is>
      </c>
      <c r="G2" s="17" t="inlineStr">
        <is>
          <t>설계적정성 검토</t>
        </is>
      </c>
      <c r="H2" s="17" t="inlineStr">
        <is>
          <t>D-300
~240</t>
        </is>
      </c>
      <c r="I2" s="17" t="inlineStr">
        <is>
          <t>현장 공무팀</t>
        </is>
      </c>
      <c r="J2" s="16" t="inlineStr">
        <is>
          <t>설계적정성 및 시공성 검토</t>
        </is>
      </c>
      <c r="K2" s="31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17" t="inlineStr">
        <is>
          <t>회의록, 설계검토 보고서</t>
        </is>
      </c>
      <c r="M2" s="25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63">
        <f>HYPERLINK(LEFT(CELL("filename",A1),FIND("[",CELL("filename",A1))-1)&amp;"9.통신분야\1_설계적정성 검토\표준서\설계적정성 검토_표준서.html", "👉 [클릭] 표준서 열기 📄")</f>
        <v/>
      </c>
      <c r="O2" s="25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64">
        <f>HYPERLINK(LEFT(CELL("filename",A1),FIND("[",CELL("filename",A1))-1)&amp;"9.통신분야\1_설계적정성 검토\수행지침\설계적정성 검토_수행지침.html", "👉 [클릭] 수행지침 열기 📄")</f>
        <v/>
      </c>
      <c r="Q2" s="25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75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2" t="n"/>
    </row>
    <row r="3" ht="219.6" customHeight="1">
      <c r="A3" s="77" t="inlineStr">
        <is>
          <t>9000</t>
        </is>
      </c>
      <c r="B3" s="77" t="inlineStr">
        <is>
          <t>9000-9</t>
        </is>
      </c>
      <c r="C3" s="77" t="inlineStr">
        <is>
          <t>통신분야</t>
        </is>
      </c>
      <c r="D3" s="77" t="inlineStr">
        <is>
          <t>9000-9-2</t>
        </is>
      </c>
      <c r="E3" s="79" t="inlineStr">
        <is>
          <t>9000-9-1</t>
        </is>
      </c>
      <c r="F3" s="79" t="inlineStr">
        <is>
          <t>9000-9-3</t>
        </is>
      </c>
      <c r="G3" s="18" t="inlineStr">
        <is>
          <t>착수전략 KOM</t>
        </is>
      </c>
      <c r="H3" s="18" t="inlineStr">
        <is>
          <t>D-240
~210</t>
        </is>
      </c>
      <c r="I3" s="17" t="inlineStr">
        <is>
          <t>현장소장</t>
        </is>
      </c>
      <c r="J3" s="16" t="inlineStr">
        <is>
          <t>통신설비 공사 발주 전략수립</t>
        </is>
      </c>
      <c r="K3" s="31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17" t="inlineStr">
        <is>
          <t>KOM 검토결과서, 현장설명서</t>
        </is>
      </c>
      <c r="M3" s="25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63">
        <f>HYPERLINK(LEFT(CELL("filename",A1),FIND("[",CELL("filename",A1))-1)&amp;"9.통신분야\2_착수전략 KOM\표준서\발주전략 KOM_표준서.html", "👉 [클릭] 표준서 열기 📄")</f>
        <v/>
      </c>
      <c r="O3" s="25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64">
        <f>HYPERLINK(LEFT(CELL("filename",A1),FIND("[",CELL("filename",A1))-1)&amp;"9.통신분야\2_착수전략 KOM\수행지침\발주전략 KOM_수행지침.html", "👉 [클릭] 수행지침 열기 📄")</f>
        <v/>
      </c>
      <c r="Q3" s="25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75">
        <f>HYPERLINK(LEFT(CELL("filename",A1),FIND("[",CELL("filename",A1))-1)&amp;"9.통신분야\2_착수전략 KOM\체크리스트\발주전략 KOM_체크리스트.html", "👉 [클릭] 체크리스트 열기 📄")</f>
        <v/>
      </c>
      <c r="S3" s="22" t="n"/>
    </row>
    <row r="4" ht="133.8" customHeight="1">
      <c r="A4" s="77" t="inlineStr">
        <is>
          <t>9000</t>
        </is>
      </c>
      <c r="B4" s="77" t="inlineStr">
        <is>
          <t>9000-9</t>
        </is>
      </c>
      <c r="C4" s="77" t="inlineStr">
        <is>
          <t>통신분야</t>
        </is>
      </c>
      <c r="D4" s="77" t="inlineStr">
        <is>
          <t>9000-9-3</t>
        </is>
      </c>
      <c r="E4" s="79" t="inlineStr">
        <is>
          <t>9000-9-2</t>
        </is>
      </c>
      <c r="F4" s="79" t="inlineStr">
        <is>
          <t>9000-9-4</t>
        </is>
      </c>
      <c r="G4" s="17" t="inlineStr">
        <is>
          <t>토목 / 건축 인터페이스 협의</t>
        </is>
      </c>
      <c r="H4" s="18" t="inlineStr">
        <is>
          <t>D-210
~180</t>
        </is>
      </c>
      <c r="I4" s="17" t="inlineStr">
        <is>
          <t>현장 시스템팀</t>
        </is>
      </c>
      <c r="J4" s="16" t="inlineStr">
        <is>
          <t>통신설비 설치를 위한 요구사항 검토</t>
        </is>
      </c>
      <c r="K4" s="31" t="inlineStr">
        <is>
          <t>- 자재 반입전/공동구/케이블 인입구 등 확인, 기능실마감 및 출입문 상태</t>
        </is>
      </c>
      <c r="L4" s="17" t="inlineStr">
        <is>
          <t>인터페이스 회의록 및 관리대장</t>
        </is>
      </c>
      <c r="M4" s="25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63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5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64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5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75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2" t="n"/>
    </row>
    <row r="5" ht="133.8" customHeight="1">
      <c r="A5" s="77" t="inlineStr">
        <is>
          <t>9000</t>
        </is>
      </c>
      <c r="B5" s="77" t="inlineStr">
        <is>
          <t>9000-9</t>
        </is>
      </c>
      <c r="C5" s="77" t="inlineStr">
        <is>
          <t>통신분야</t>
        </is>
      </c>
      <c r="D5" s="77" t="inlineStr">
        <is>
          <t>9000-9-4</t>
        </is>
      </c>
      <c r="E5" s="79" t="inlineStr">
        <is>
          <t>9000-9-3</t>
        </is>
      </c>
      <c r="F5" s="79" t="inlineStr">
        <is>
          <t>9000-9-5</t>
        </is>
      </c>
      <c r="G5" s="17" t="inlineStr">
        <is>
          <t>전기 / 신호 / 기계 / PSD / 차량 인터페이스 협의</t>
        </is>
      </c>
      <c r="H5" s="17" t="inlineStr">
        <is>
          <t>D-180
(D-200~180)</t>
        </is>
      </c>
      <c r="I5" s="17" t="inlineStr">
        <is>
          <t>현장 시스템팀 / 통신 협력업체</t>
        </is>
      </c>
      <c r="J5" s="16" t="inlineStr">
        <is>
          <t>연계분야간 사전조율 및 인터페이스 사항 조율로 재작업 예방</t>
        </is>
      </c>
      <c r="K5" s="31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17" t="inlineStr">
        <is>
          <t>인터페이스 회의록 및 관리대장</t>
        </is>
      </c>
      <c r="M5" s="25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63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25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64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25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75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22" t="n"/>
    </row>
    <row r="6" ht="133.8" customHeight="1">
      <c r="A6" s="77" t="inlineStr">
        <is>
          <t>9000</t>
        </is>
      </c>
      <c r="B6" s="77" t="inlineStr">
        <is>
          <t>9000-9</t>
        </is>
      </c>
      <c r="C6" s="77" t="inlineStr">
        <is>
          <t>통신분야</t>
        </is>
      </c>
      <c r="D6" s="77" t="inlineStr">
        <is>
          <t>9000-9-5</t>
        </is>
      </c>
      <c r="E6" s="79" t="inlineStr">
        <is>
          <t>9000-9-4</t>
        </is>
      </c>
      <c r="F6" s="79" t="inlineStr">
        <is>
          <t>9000-9-6</t>
        </is>
      </c>
      <c r="G6" s="17" t="inlineStr">
        <is>
          <t>통신설비 제작사 인터페이스 협의</t>
        </is>
      </c>
      <c r="H6" s="17" t="inlineStr">
        <is>
          <t>D-180
(D-200~180)</t>
        </is>
      </c>
      <c r="I6" s="17" t="inlineStr">
        <is>
          <t>현장 시스템팀</t>
        </is>
      </c>
      <c r="J6" s="16" t="inlineStr">
        <is>
          <t>통신설비간 연동방안 검토</t>
        </is>
      </c>
      <c r="K6" s="31" t="inlineStr">
        <is>
          <t>- 내부 인터페이스 및 인허가사항 확인, 보안성검토 요청서</t>
        </is>
      </c>
      <c r="L6" s="17" t="inlineStr">
        <is>
          <t>인터페이스 회의록 및 관리대장</t>
        </is>
      </c>
      <c r="M6" s="25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63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5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64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5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75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2" t="n"/>
    </row>
    <row r="7" ht="145.2" customHeight="1">
      <c r="A7" s="77" t="inlineStr">
        <is>
          <t>9000</t>
        </is>
      </c>
      <c r="B7" s="77" t="inlineStr">
        <is>
          <t>9000-9</t>
        </is>
      </c>
      <c r="C7" s="77" t="inlineStr">
        <is>
          <t>통신분야</t>
        </is>
      </c>
      <c r="D7" s="77" t="inlineStr">
        <is>
          <t>9000-9-6</t>
        </is>
      </c>
      <c r="E7" s="79" t="inlineStr">
        <is>
          <t>9000-9-5</t>
        </is>
      </c>
      <c r="F7" s="79" t="inlineStr">
        <is>
          <t>9000-9-7</t>
        </is>
      </c>
      <c r="G7" s="17" t="inlineStr">
        <is>
          <t>관제 및 운영사 인터페이스 협의</t>
        </is>
      </c>
      <c r="H7" s="17" t="inlineStr">
        <is>
          <t>D-180
(D-200~180)</t>
        </is>
      </c>
      <c r="I7" s="17" t="inlineStr">
        <is>
          <t>현장 시스템팀 / 통신 협력업체</t>
        </is>
      </c>
      <c r="J7" s="16" t="inlineStr">
        <is>
          <t>관제 및 운영사 요구사항 사전 반영 및 시공범위 최적화</t>
        </is>
      </c>
      <c r="K7" s="31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17" t="inlineStr">
        <is>
          <t>인터페이스 회의록 및 관리대장</t>
        </is>
      </c>
      <c r="M7" s="25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63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25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64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25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75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22" t="n"/>
    </row>
    <row r="8" ht="115.2" customHeight="1">
      <c r="A8" s="77" t="inlineStr">
        <is>
          <t>9000</t>
        </is>
      </c>
      <c r="B8" s="77" t="inlineStr">
        <is>
          <t>9000-9</t>
        </is>
      </c>
      <c r="C8" s="77" t="inlineStr">
        <is>
          <t>통신분야</t>
        </is>
      </c>
      <c r="D8" s="77" t="inlineStr">
        <is>
          <t>9000-9-7</t>
        </is>
      </c>
      <c r="E8" s="79" t="inlineStr">
        <is>
          <t>9000-9-6</t>
        </is>
      </c>
      <c r="F8" s="79" t="inlineStr">
        <is>
          <t>9000-9-8</t>
        </is>
      </c>
      <c r="G8" s="17" t="inlineStr">
        <is>
          <t>발주처 품질 요구사항 검토</t>
        </is>
      </c>
      <c r="H8" s="17" t="inlineStr">
        <is>
          <t>D-180
(D-200~180)</t>
        </is>
      </c>
      <c r="I8" s="17" t="inlineStr">
        <is>
          <t>현장 시스템팀</t>
        </is>
      </c>
      <c r="J8" s="16" t="inlineStr">
        <is>
          <t>발주처 품질관리 기준/검사방안 확인</t>
        </is>
      </c>
      <c r="K8" s="32" t="inlineStr">
        <is>
          <t>- 감리/감독과 품질검사(ITP/ITC) 항목 검토</t>
        </is>
      </c>
      <c r="L8" s="17" t="inlineStr">
        <is>
          <t>ITP/ITC</t>
        </is>
      </c>
      <c r="M8" s="25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63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5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64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5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75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2" t="n"/>
    </row>
    <row r="9" ht="115.2" customHeight="1">
      <c r="A9" s="77" t="inlineStr">
        <is>
          <t>9000</t>
        </is>
      </c>
      <c r="B9" s="77" t="inlineStr">
        <is>
          <t>9000-9</t>
        </is>
      </c>
      <c r="C9" s="77" t="inlineStr">
        <is>
          <t>통신분야</t>
        </is>
      </c>
      <c r="D9" s="77" t="inlineStr">
        <is>
          <t>9000-9-8</t>
        </is>
      </c>
      <c r="E9" s="79" t="inlineStr">
        <is>
          <t>9000-9-7</t>
        </is>
      </c>
      <c r="F9" s="79" t="inlineStr">
        <is>
          <t>9000-9-9</t>
        </is>
      </c>
      <c r="G9" s="17" t="inlineStr">
        <is>
          <t>자재 / 인원 / 장비 등 투입 사전 검토</t>
        </is>
      </c>
      <c r="H9" s="17" t="inlineStr">
        <is>
          <t>D-180
(D-200~180)</t>
        </is>
      </c>
      <c r="I9" s="17" t="inlineStr">
        <is>
          <t>현장 시스템팀 / 협력업체 / 관리</t>
        </is>
      </c>
      <c r="J9" s="16" t="inlineStr">
        <is>
          <t>자재 / 인원 / 장비 투입 계획 수립</t>
        </is>
      </c>
      <c r="K9" s="31" t="inlineStr">
        <is>
          <t>- 현장 여건 및 수량을 기준으로 투입(인원, 장비, 자재) 검토</t>
        </is>
      </c>
      <c r="L9" s="17" t="inlineStr">
        <is>
          <t>세부 공정계획 수립 및 조율</t>
        </is>
      </c>
      <c r="M9" s="25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63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25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64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25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75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22" t="n"/>
    </row>
    <row r="10" ht="210.6" customHeight="1">
      <c r="A10" s="77" t="inlineStr">
        <is>
          <t>9000</t>
        </is>
      </c>
      <c r="B10" s="77" t="inlineStr">
        <is>
          <t>9000-9</t>
        </is>
      </c>
      <c r="C10" s="77" t="inlineStr">
        <is>
          <t>통신분야</t>
        </is>
      </c>
      <c r="D10" s="77" t="inlineStr">
        <is>
          <t>9000-9-9</t>
        </is>
      </c>
      <c r="E10" s="79" t="inlineStr">
        <is>
          <t>9000-9-8</t>
        </is>
      </c>
      <c r="F10" s="79" t="inlineStr">
        <is>
          <t>9000-9-10</t>
        </is>
      </c>
      <c r="G10" s="17" t="inlineStr">
        <is>
          <t>착수 전 Big Room 회의</t>
        </is>
      </c>
      <c r="H10" s="17" t="inlineStr">
        <is>
          <t>D-170</t>
        </is>
      </c>
      <c r="I10" s="17" t="inlineStr">
        <is>
          <t>현장소장</t>
        </is>
      </c>
      <c r="J10" s="16" t="inlineStr">
        <is>
          <t>통신공사 수행 시, 선행공정 간섭사항 및 각종 Risk에 대한 대책 수립</t>
        </is>
      </c>
      <c r="K10" s="31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17" t="inlineStr">
        <is>
          <t>Big Room 회의록(참석자 전원 서명)</t>
        </is>
      </c>
      <c r="M10" s="25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63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5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64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5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75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2" t="n"/>
    </row>
    <row r="11" ht="115.2" customHeight="1">
      <c r="A11" s="77" t="inlineStr">
        <is>
          <t>9000</t>
        </is>
      </c>
      <c r="B11" s="77" t="inlineStr">
        <is>
          <t>9000-9</t>
        </is>
      </c>
      <c r="C11" s="77" t="inlineStr">
        <is>
          <t>통신분야</t>
        </is>
      </c>
      <c r="D11" s="77" t="inlineStr">
        <is>
          <t>9000-9-10</t>
        </is>
      </c>
      <c r="E11" s="79" t="inlineStr">
        <is>
          <t>9000-9-9</t>
        </is>
      </c>
      <c r="F11" s="79" t="inlineStr">
        <is>
          <t>9000-9-11</t>
        </is>
      </c>
      <c r="G11" s="17" t="inlineStr">
        <is>
          <t>통신설비 제작 사양서 작성 / 승인</t>
        </is>
      </c>
      <c r="H11" s="17" t="inlineStr">
        <is>
          <t>D-90
(180~90)</t>
        </is>
      </c>
      <c r="I11" s="17" t="inlineStr">
        <is>
          <t>현장 시스템팀</t>
        </is>
      </c>
      <c r="J11" s="16" t="inlineStr">
        <is>
          <t>실제 설치되는 통신설비의 사양서를 확정하고 제작 사양서를 작성/승인</t>
        </is>
      </c>
      <c r="K11" s="31" t="inlineStr">
        <is>
          <t>- 현장여건 및 실시설계계획보고서/포함자재사양서의 요구사항 충족 여부를 확인
- 제작사양서, 제작도면 작성 후 감리단 승인</t>
        </is>
      </c>
      <c r="L11" s="17" t="inlineStr">
        <is>
          <t>제작사양서, 제작도면</t>
        </is>
      </c>
      <c r="M11" s="25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63">
        <f>HYPERLINK(LEFT(CELL("filename",A1),FIND("[",CELL("filename",A1))-1)&amp;"9.통신분야\9_착수 전 Big Room 회의\표준서\착수 전 Big Room 회의_표준서.html", "👉 [클릭] 표준서 열기 📄")</f>
        <v/>
      </c>
      <c r="O11" s="25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64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25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75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22" t="n"/>
    </row>
    <row r="12" ht="115.2" customHeight="1">
      <c r="A12" s="77" t="inlineStr">
        <is>
          <t>9000</t>
        </is>
      </c>
      <c r="B12" s="77" t="inlineStr">
        <is>
          <t>9000-9</t>
        </is>
      </c>
      <c r="C12" s="77" t="inlineStr">
        <is>
          <t>통신분야</t>
        </is>
      </c>
      <c r="D12" s="77" t="inlineStr">
        <is>
          <t>9000-9-11</t>
        </is>
      </c>
      <c r="E12" s="79" t="inlineStr">
        <is>
          <t>9000-9-10</t>
        </is>
      </c>
      <c r="F12" s="79" t="inlineStr">
        <is>
          <t>9000-9-12</t>
        </is>
      </c>
      <c r="G12" s="17" t="inlineStr">
        <is>
          <t>시공 계획 수립 / 승인</t>
        </is>
      </c>
      <c r="H12" s="17" t="inlineStr">
        <is>
          <t>D-60
(D-90~60)</t>
        </is>
      </c>
      <c r="I12" s="17" t="inlineStr">
        <is>
          <t>현장 시스템팀</t>
        </is>
      </c>
      <c r="J12" s="16" t="inlineStr">
        <is>
          <t>안전/품질이 확보된 시공계획 수립</t>
        </is>
      </c>
      <c r="K12" s="32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17" t="inlineStr">
        <is>
          <t>시공계획서&amp;시공상세도, 자가전기통신설비 신고서/계획서</t>
        </is>
      </c>
      <c r="M12" s="25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63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5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64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5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75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2" t="n"/>
    </row>
    <row r="13" ht="115.2" customHeight="1">
      <c r="A13" s="77" t="inlineStr">
        <is>
          <t>9000</t>
        </is>
      </c>
      <c r="B13" s="77" t="inlineStr">
        <is>
          <t>9000-9</t>
        </is>
      </c>
      <c r="C13" s="77" t="inlineStr">
        <is>
          <t>통신분야</t>
        </is>
      </c>
      <c r="D13" s="77" t="inlineStr">
        <is>
          <t>9000-9-12</t>
        </is>
      </c>
      <c r="E13" s="79" t="inlineStr">
        <is>
          <t>9000-9-11</t>
        </is>
      </c>
      <c r="F13" s="79" t="inlineStr">
        <is>
          <t>9000-9-13</t>
        </is>
      </c>
      <c r="G13" s="17" t="inlineStr">
        <is>
          <t>자재공급원 검토 및 승인</t>
        </is>
      </c>
      <c r="H13" s="17" t="inlineStr">
        <is>
          <t>D-30
(D-60~30)</t>
        </is>
      </c>
      <c r="I13" s="17" t="inlineStr">
        <is>
          <t>현장 시스템팀</t>
        </is>
      </c>
      <c r="J13" s="16" t="inlineStr">
        <is>
          <t>통신설비의 시공성과 품질, 기능 확보를 위한 자재 공급원 검토 및 승인</t>
        </is>
      </c>
      <c r="K13" s="32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17" t="inlineStr">
        <is>
          <t>자재공급원/제작도서 승인 서류, 보안성검토 결과서</t>
        </is>
      </c>
      <c r="M13" s="25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63">
        <f>HYPERLINK(LEFT(CELL("filename",A1),FIND("[",CELL("filename",A1))-1)&amp;"9.통신분야\11_시공 계획 수립 _ 승인\표준서\시공 계획 수립 _ 승인_표준서.html", "👉 [클릭] 표준서 열기 📄")</f>
        <v/>
      </c>
      <c r="O13" s="25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64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25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75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22" t="n"/>
    </row>
    <row r="14" ht="192" customHeight="1">
      <c r="A14" s="77" t="inlineStr">
        <is>
          <t>9000</t>
        </is>
      </c>
      <c r="B14" s="77" t="inlineStr">
        <is>
          <t>9000-9</t>
        </is>
      </c>
      <c r="C14" s="77" t="inlineStr">
        <is>
          <t>통신분야</t>
        </is>
      </c>
      <c r="D14" s="77" t="inlineStr">
        <is>
          <t>9000-9-13</t>
        </is>
      </c>
      <c r="E14" s="79" t="inlineStr">
        <is>
          <t>9000-9-12</t>
        </is>
      </c>
      <c r="F14" s="79" t="inlineStr">
        <is>
          <t>9000-9-14</t>
        </is>
      </c>
      <c r="G14" s="17" t="inlineStr">
        <is>
          <t>통신설비 공정제작 / 제작사 공장검사</t>
        </is>
      </c>
      <c r="H14" s="17" t="inlineStr">
        <is>
          <t>D-30
(D-30~D+15)</t>
        </is>
      </c>
      <c r="I14" s="17" t="inlineStr">
        <is>
          <t>현장 시스템팀</t>
        </is>
      </c>
      <c r="J14" s="16" t="inlineStr">
        <is>
          <t>제작사양서/제작도면의 일치여부검토 및 현장반입 전 공장 성능검사 확인</t>
        </is>
      </c>
      <c r="K14" s="32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17" t="inlineStr">
        <is>
          <t>공장검사 결과보고서 (감리 및 관계기관 입회)</t>
        </is>
      </c>
      <c r="M14" s="25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63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5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64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5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75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2" t="n"/>
    </row>
    <row r="15" ht="115.2" customHeight="1">
      <c r="A15" s="77" t="inlineStr">
        <is>
          <t>9000</t>
        </is>
      </c>
      <c r="B15" s="77" t="inlineStr">
        <is>
          <t>9000-9</t>
        </is>
      </c>
      <c r="C15" s="77" t="inlineStr">
        <is>
          <t>통신분야</t>
        </is>
      </c>
      <c r="D15" s="77" t="inlineStr">
        <is>
          <t>9000-9-14</t>
        </is>
      </c>
      <c r="E15" s="79" t="inlineStr">
        <is>
          <t>9000-9-13</t>
        </is>
      </c>
      <c r="F15" s="79" t="inlineStr">
        <is>
          <t>9000-9-15</t>
        </is>
      </c>
      <c r="G15" s="17" t="inlineStr">
        <is>
          <t>본공사 전 선행공정 인수인계 점검</t>
        </is>
      </c>
      <c r="H15" s="17" t="inlineStr">
        <is>
          <t>D-10
(D-20~10)</t>
        </is>
      </c>
      <c r="I15" s="17" t="inlineStr">
        <is>
          <t>현장 시스템팀</t>
        </is>
      </c>
      <c r="J15" s="16" t="inlineStr">
        <is>
          <t>통신설비 설치를 위한 현장점검/정리 상태 확인(기능실: 건축,전기/현장: 노반)</t>
        </is>
      </c>
      <c r="K15" s="32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17" t="inlineStr">
        <is>
          <t>기록지, 현장점검결과보고서(감리입회)</t>
        </is>
      </c>
      <c r="M15" s="25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63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25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64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25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75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22" t="n"/>
    </row>
    <row r="16" ht="115.2" customHeight="1">
      <c r="A16" s="77" t="inlineStr">
        <is>
          <t>9000</t>
        </is>
      </c>
      <c r="B16" s="77" t="inlineStr">
        <is>
          <t>9000-9</t>
        </is>
      </c>
      <c r="C16" s="77" t="inlineStr">
        <is>
          <t>통신분야</t>
        </is>
      </c>
      <c r="D16" s="77" t="inlineStr">
        <is>
          <t>9000-9-15</t>
        </is>
      </c>
      <c r="E16" s="79" t="inlineStr">
        <is>
          <t>9000-9-14</t>
        </is>
      </c>
      <c r="F16" s="79" t="inlineStr">
        <is>
          <t>9000-9-16</t>
        </is>
      </c>
      <c r="G16" s="17" t="inlineStr">
        <is>
          <t>장비반입 및 안전교육</t>
        </is>
      </c>
      <c r="H16" s="17" t="inlineStr">
        <is>
          <t>D-5
(D-10~5)</t>
        </is>
      </c>
      <c r="I16" s="17" t="inlineStr">
        <is>
          <t>현장 시스템팀 / 안전팀</t>
        </is>
      </c>
      <c r="J16" s="16" t="inlineStr">
        <is>
          <t>장비 반입 준비 및 안전교육 완료</t>
        </is>
      </c>
      <c r="K16" s="32" t="inlineStr">
        <is>
          <t>- 자재반입 경로, 적치장소에 대한 사전확인 및 타분야 일정, 간섭사항 협의/확인
- 장비 Spec확인, 장비상태 점검
- 작업원 안전교육 실시</t>
        </is>
      </c>
      <c r="L16" s="17" t="inlineStr">
        <is>
          <t>안전교육 결과서, 측량기록지</t>
        </is>
      </c>
      <c r="M16" s="25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63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5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64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5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75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2" t="n"/>
    </row>
    <row r="17" ht="115.2" customHeight="1">
      <c r="A17" s="77" t="inlineStr">
        <is>
          <t>9000</t>
        </is>
      </c>
      <c r="B17" s="77" t="inlineStr">
        <is>
          <t>9000-9</t>
        </is>
      </c>
      <c r="C17" s="77" t="inlineStr">
        <is>
          <t>통신분야</t>
        </is>
      </c>
      <c r="D17" s="77" t="inlineStr">
        <is>
          <t>9000-9-16</t>
        </is>
      </c>
      <c r="E17" s="79" t="inlineStr">
        <is>
          <t>9000-9-15</t>
        </is>
      </c>
      <c r="F17" s="79" t="inlineStr">
        <is>
          <t>9000-9-17</t>
        </is>
      </c>
      <c r="G17" s="17" t="inlineStr">
        <is>
          <t>자재 반입 및 검수</t>
        </is>
      </c>
      <c r="H17" s="17" t="inlineStr">
        <is>
          <t>D+0
~D+30</t>
        </is>
      </c>
      <c r="I17" s="17" t="inlineStr">
        <is>
          <t>현장소장 및 발주청/공동감리단</t>
        </is>
      </c>
      <c r="J17" s="16" t="inlineStr">
        <is>
          <t>공장검사 시행 완료된 자재반입과 현장 입고 검사</t>
        </is>
      </c>
      <c r="K17" s="32" t="inlineStr">
        <is>
          <t>- 자재 하차 위치 및 반입동선 확인
- 승인된 자재 일치여부 확인(Serial number 등)
- 제품의 규격, 수량 도면과 일치하는지 검토</t>
        </is>
      </c>
      <c r="L17" s="17" t="inlineStr">
        <is>
          <t>자재검수서</t>
        </is>
      </c>
      <c r="M17" s="25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63">
        <f>HYPERLINK(LEFT(CELL("filename",A1),FIND("[",CELL("filename",A1))-1)&amp;"9.통신분야\15_장비반입 및 안전교육\표준서\장비반입 및 안전교육_표준서.html", "👉 [클릭] 표준서 열기 📄")</f>
        <v/>
      </c>
      <c r="O17" s="25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64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25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75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22" t="n"/>
    </row>
    <row r="18" ht="115.2" customHeight="1">
      <c r="A18" s="77" t="inlineStr">
        <is>
          <t>9000</t>
        </is>
      </c>
      <c r="B18" s="77" t="inlineStr">
        <is>
          <t>9000-9</t>
        </is>
      </c>
      <c r="C18" s="77" t="inlineStr">
        <is>
          <t>통신분야</t>
        </is>
      </c>
      <c r="D18" s="77" t="inlineStr">
        <is>
          <t>9000-9-17</t>
        </is>
      </c>
      <c r="E18" s="79" t="inlineStr">
        <is>
          <t>9000-9-16</t>
        </is>
      </c>
      <c r="F18" s="79" t="inlineStr">
        <is>
          <t>9000-9-18</t>
        </is>
      </c>
      <c r="G18" s="17" t="inlineStr">
        <is>
          <t>통신설비 반입 및 설치</t>
        </is>
      </c>
      <c r="H18" s="17" t="inlineStr">
        <is>
          <t>D+31
~D+360</t>
        </is>
      </c>
      <c r="I18" s="17" t="inlineStr">
        <is>
          <t>현장소장 및 분야별 전담팀</t>
        </is>
      </c>
      <c r="J18" s="16" t="inlineStr">
        <is>
          <t>설계에 부합되도록 통신설비 설치</t>
        </is>
      </c>
      <c r="K18" s="31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17" t="inlineStr">
        <is>
          <t>검측서</t>
        </is>
      </c>
      <c r="M18" s="25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63">
        <f>HYPERLINK(LEFT(CELL("filename",A1),FIND("[",CELL("filename",A1))-1)&amp;"9.통신분야\16_자재 반입 및 검수\표준서\자재 반입 및 검수_표준서.html", "👉 [클릭] 표준서 열기 📄")</f>
        <v/>
      </c>
      <c r="O18" s="25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64">
        <f>HYPERLINK(LEFT(CELL("filename",A1),FIND("[",CELL("filename",A1))-1)&amp;"9.통신분야\16_자재 반입 및 검수\수행지침\자재 반입 및 검수_수행지침.html", "👉 [클릭] 수행지침 열기 📄")</f>
        <v/>
      </c>
      <c r="Q18" s="25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75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2" t="n"/>
    </row>
    <row r="19" ht="115.2" customHeight="1">
      <c r="A19" s="77" t="inlineStr">
        <is>
          <t>9000</t>
        </is>
      </c>
      <c r="B19" s="77" t="inlineStr">
        <is>
          <t>9000-9</t>
        </is>
      </c>
      <c r="C19" s="77" t="inlineStr">
        <is>
          <t>통신분야</t>
        </is>
      </c>
      <c r="D19" s="77" t="inlineStr">
        <is>
          <t>9000-9-18</t>
        </is>
      </c>
      <c r="E19" s="79" t="inlineStr">
        <is>
          <t>9000-9-17</t>
        </is>
      </c>
      <c r="F19" s="79" t="inlineStr">
        <is>
          <t>9000-9-19</t>
        </is>
      </c>
      <c r="G19" s="17" t="inlineStr">
        <is>
          <t>관제설비 설치</t>
        </is>
      </c>
      <c r="H19" s="17" t="inlineStr">
        <is>
          <t>D+121
~D+150</t>
        </is>
      </c>
      <c r="I19" s="17" t="inlineStr">
        <is>
          <t>현장소장</t>
        </is>
      </c>
      <c r="J19" s="16" t="inlineStr">
        <is>
          <t>관제설비의 정위치 배치 및 설치</t>
        </is>
      </c>
      <c r="K19" s="31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17" t="inlineStr">
        <is>
          <t>검측서</t>
        </is>
      </c>
      <c r="M19" s="25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63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25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64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25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75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22" t="n"/>
    </row>
    <row r="20" ht="115.2" customHeight="1">
      <c r="A20" s="77" t="inlineStr">
        <is>
          <t>9000</t>
        </is>
      </c>
      <c r="B20" s="77" t="inlineStr">
        <is>
          <t>9000-9</t>
        </is>
      </c>
      <c r="C20" s="77" t="inlineStr">
        <is>
          <t>통신분야</t>
        </is>
      </c>
      <c r="D20" s="77" t="inlineStr">
        <is>
          <t>9000-9-19</t>
        </is>
      </c>
      <c r="E20" s="79" t="inlineStr">
        <is>
          <t>9000-9-18</t>
        </is>
      </c>
      <c r="F20" s="79" t="inlineStr">
        <is>
          <t>9000-9-20</t>
        </is>
      </c>
      <c r="G20" s="17" t="inlineStr">
        <is>
          <t>통신시스템 단위시험</t>
        </is>
      </c>
      <c r="H20" s="17" t="inlineStr">
        <is>
          <t>D+151
~D+195</t>
        </is>
      </c>
      <c r="I20" s="17" t="inlineStr">
        <is>
          <t>현장 시스템팀</t>
        </is>
      </c>
      <c r="J20" s="16" t="inlineStr">
        <is>
          <t>통신설비(열차에 설치하는 차상통신 장치 포함)설치 후 전원투입 및 기능검증</t>
        </is>
      </c>
      <c r="K20" s="31" t="inlineStr">
        <is>
          <t>- ITP/ITC에 따라 시험/검사를 감리 확인</t>
        </is>
      </c>
      <c r="L20" s="17" t="inlineStr">
        <is>
          <t>감리단 입회검사 및 시험점검표(ITP/ITC)</t>
        </is>
      </c>
      <c r="M20" s="25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63">
        <f>HYPERLINK(LEFT(CELL("filename",A1),FIND("[",CELL("filename",A1))-1)&amp;"9.통신분야\18_관제설비 설치\표준서\관제설비 설치_표준서.html", "👉 [클릭] 표준서 열기 📄")</f>
        <v/>
      </c>
      <c r="O20" s="25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64">
        <f>HYPERLINK(LEFT(CELL("filename",A1),FIND("[",CELL("filename",A1))-1)&amp;"9.통신분야\18_관제설비 설치\수행지침\관제설비 설치_수행지침.html", "👉 [클릭] 수행지침 열기 📄")</f>
        <v/>
      </c>
      <c r="Q20" s="25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75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2" t="n"/>
    </row>
    <row r="21" ht="115.2" customHeight="1">
      <c r="A21" s="77" t="inlineStr">
        <is>
          <t>9000</t>
        </is>
      </c>
      <c r="B21" s="77" t="inlineStr">
        <is>
          <t>9000-9</t>
        </is>
      </c>
      <c r="C21" s="77" t="inlineStr">
        <is>
          <t>통신분야</t>
        </is>
      </c>
      <c r="D21" s="77" t="inlineStr">
        <is>
          <t>9000-9-20</t>
        </is>
      </c>
      <c r="E21" s="79" t="inlineStr">
        <is>
          <t>9000-9-19</t>
        </is>
      </c>
      <c r="F21" s="79" t="inlineStr">
        <is>
          <t>9000-9-21</t>
        </is>
      </c>
      <c r="G21" s="17" t="inlineStr">
        <is>
          <t>통신시스템 통합시험</t>
        </is>
      </c>
      <c r="H21" s="17" t="inlineStr">
        <is>
          <t>D+196
~D+255</t>
        </is>
      </c>
      <c r="I21" s="17" t="inlineStr">
        <is>
          <t>현장 시스템팀</t>
        </is>
      </c>
      <c r="J21" s="16" t="inlineStr">
        <is>
          <t>관제설비를 포함한 통신망 통합 검증</t>
        </is>
      </c>
      <c r="K21" s="32" t="inlineStr">
        <is>
          <t>- 감리단 입회하에 검사/시험절차대로 수행
1) 관제실/현장설비간 인터페이스 시험
2) 지상 및 차상 인터페이스 시험</t>
        </is>
      </c>
      <c r="L21" s="17" t="inlineStr">
        <is>
          <t>감리단 입회검사 및 시험점검표(ITP/ITC)</t>
        </is>
      </c>
      <c r="M21" s="25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63">
        <f>HYPERLINK(LEFT(CELL("filename",A1),FIND("[",CELL("filename",A1))-1)&amp;"9.통신분야\19_통신시스템 단위시험\표준서\통신시스템 단위시험_표준서.html", "👉 [클릭] 표준서 열기 📄")</f>
        <v/>
      </c>
      <c r="O21" s="25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64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25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75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22" t="n"/>
    </row>
    <row r="22" ht="115.2" customHeight="1">
      <c r="A22" s="77" t="inlineStr">
        <is>
          <t>9000</t>
        </is>
      </c>
      <c r="B22" s="77" t="inlineStr">
        <is>
          <t>9000-9</t>
        </is>
      </c>
      <c r="C22" s="77" t="inlineStr">
        <is>
          <t>통신분야</t>
        </is>
      </c>
      <c r="D22" s="77" t="inlineStr">
        <is>
          <t>9000-9-21</t>
        </is>
      </c>
      <c r="E22" s="79" t="inlineStr">
        <is>
          <t>9000-9-20</t>
        </is>
      </c>
      <c r="F22" s="79" t="inlineStr">
        <is>
          <t>9000-9-22</t>
        </is>
      </c>
      <c r="G22" s="17" t="inlineStr">
        <is>
          <t>공종별 시험</t>
        </is>
      </c>
      <c r="H22" s="17" t="inlineStr">
        <is>
          <t>D+256
~D+285</t>
        </is>
      </c>
      <c r="I22" s="17" t="inlineStr">
        <is>
          <t>현장 시스템팀</t>
        </is>
      </c>
      <c r="J22" s="16" t="inlineStr">
        <is>
          <t>발주처가 관련 법령, 설계기준, 기술기준, 시방서 등의 요구사항에 적합하도록 설치되었는지를 확인</t>
        </is>
      </c>
      <c r="K22" s="32" t="inlineStr">
        <is>
          <t>- 철도종합시험운행 시행지침 제6조(공종별시험)에 따라 시행</t>
        </is>
      </c>
      <c r="L22" s="17" t="inlineStr">
        <is>
          <t>공종별 시험 결과보고서</t>
        </is>
      </c>
      <c r="M22" s="25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63">
        <f>HYPERLINK(LEFT(CELL("filename",A1),FIND("[",CELL("filename",A1))-1)&amp;"9.통신분야\20_통신시스템 통합시험\표준서\통신시스템 통합시험_표준서.html", "👉 [클릭] 표준서 열기 📄")</f>
        <v/>
      </c>
      <c r="O22" s="25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64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5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75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2" t="n"/>
    </row>
    <row r="23" ht="115.2" customHeight="1">
      <c r="A23" s="77" t="inlineStr">
        <is>
          <t>9000</t>
        </is>
      </c>
      <c r="B23" s="77" t="inlineStr">
        <is>
          <t>9000-9</t>
        </is>
      </c>
      <c r="C23" s="77" t="inlineStr">
        <is>
          <t>통신분야</t>
        </is>
      </c>
      <c r="D23" s="77" t="inlineStr">
        <is>
          <t>9000-9-22</t>
        </is>
      </c>
      <c r="E23" s="79" t="inlineStr">
        <is>
          <t>9000-9-21</t>
        </is>
      </c>
      <c r="F23" s="79" t="inlineStr">
        <is>
          <t>9000-9-23</t>
        </is>
      </c>
      <c r="G23" s="17" t="inlineStr">
        <is>
          <t>차량 투입 전 점검</t>
        </is>
      </c>
      <c r="H23" s="17" t="inlineStr">
        <is>
          <t>D+286
~D+300</t>
        </is>
      </c>
      <c r="I23" s="17" t="inlineStr">
        <is>
          <t>현장소장 및 시공전담팀</t>
        </is>
      </c>
      <c r="J23" s="16" t="inlineStr">
        <is>
          <t>발주처가 원활한 차량시운전이 되도록 노반, 건축, 궤도, 전철전력, 통신, 신호 분야를 종합하여 최종 점검</t>
        </is>
      </c>
      <c r="K23" s="31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17" t="inlineStr">
        <is>
          <t>점검 결과보고서</t>
        </is>
      </c>
      <c r="M23" s="25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63">
        <f>HYPERLINK(LEFT(CELL("filename",A1),FIND("[",CELL("filename",A1))-1)&amp;"9.통신분야\21_공종별 시험\표준서\9000-2-21_공종별 시험_표준서.html", "👉 [클릭] 표준서 열기 📄")</f>
        <v/>
      </c>
      <c r="O23" s="25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64">
        <f>HYPERLINK(LEFT(CELL("filename",A1),FIND("[",CELL("filename",A1))-1)&amp;"9.통신분야\21_공종별 시험\수행지침\공종별 시험_수행지침.html", "👉 [클릭] 수행지침 열기 📄")</f>
        <v/>
      </c>
      <c r="Q23" s="25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75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22" t="n"/>
    </row>
    <row r="24" ht="115.2" customHeight="1">
      <c r="A24" s="77" t="inlineStr">
        <is>
          <t>9000</t>
        </is>
      </c>
      <c r="B24" s="77" t="inlineStr">
        <is>
          <t>9000-9</t>
        </is>
      </c>
      <c r="C24" s="77" t="inlineStr">
        <is>
          <t>통신분야</t>
        </is>
      </c>
      <c r="D24" s="77" t="inlineStr">
        <is>
          <t>9000-9-23</t>
        </is>
      </c>
      <c r="E24" s="79" t="inlineStr">
        <is>
          <t>9000-9-22</t>
        </is>
      </c>
      <c r="F24" s="79" t="inlineStr">
        <is>
          <t>9000-9-24</t>
        </is>
      </c>
      <c r="G24" s="17" t="inlineStr">
        <is>
          <t>차량 시운전</t>
        </is>
      </c>
      <c r="H24" s="17" t="inlineStr">
        <is>
          <t>D+301~D+360</t>
        </is>
      </c>
      <c r="I24" s="17" t="inlineStr">
        <is>
          <t>현장 시스템팀</t>
        </is>
      </c>
      <c r="J24" s="16" t="inlineStr">
        <is>
          <t>철도안전법에 따른 철도차량 형식시험</t>
        </is>
      </c>
      <c r="K24" s="32" t="inlineStr">
        <is>
          <t>- 철도안전법 제26조(철도차량 형식승인)에 따라 이행(주로 본선구간 수행)
- 차량, 신호, 통신 시스템간 인터페이스 시험</t>
        </is>
      </c>
      <c r="L24" s="17" t="inlineStr">
        <is>
          <t>철도차량 형식승인 결과 보고서</t>
        </is>
      </c>
      <c r="M24" s="25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63">
        <f>HYPERLINK(LEFT(CELL("filename",A1),FIND("[",CELL("filename",A1))-1)&amp;"9.통신분야\22_차량 투입 전 점검\표준서\차량 투입 전 점검_표준서.html", "👉 [클릭] 표준서 열기 📄")</f>
        <v/>
      </c>
      <c r="O24" s="25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64">
        <f>HYPERLINK(LEFT(CELL("filename",A1),FIND("[",CELL("filename",A1))-1)&amp;"9.통신분야\22_차량 투입 전 점검\수행지침\차량 투입 전 점검_수행지침.html", "👉 [클릭] 수행지침 열기 📄")</f>
        <v/>
      </c>
      <c r="Q24" s="25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75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2" t="n"/>
    </row>
    <row r="25" ht="115.2" customHeight="1">
      <c r="A25" s="77" t="inlineStr">
        <is>
          <t>9000</t>
        </is>
      </c>
      <c r="B25" s="77" t="inlineStr">
        <is>
          <t>9000-9</t>
        </is>
      </c>
      <c r="C25" s="77" t="inlineStr">
        <is>
          <t>통신분야</t>
        </is>
      </c>
      <c r="D25" s="77" t="inlineStr">
        <is>
          <t>9000-9-24</t>
        </is>
      </c>
      <c r="E25" s="79" t="inlineStr">
        <is>
          <t>9000-9-23</t>
        </is>
      </c>
      <c r="F25" s="79" t="inlineStr">
        <is>
          <t>9000-9-25</t>
        </is>
      </c>
      <c r="G25" s="17" t="inlineStr">
        <is>
          <t>운영자 교육시행</t>
        </is>
      </c>
      <c r="H25" s="17" t="inlineStr">
        <is>
          <t>D+361
~D+374</t>
        </is>
      </c>
      <c r="I25" s="17" t="inlineStr">
        <is>
          <t>현장 시스템팀</t>
        </is>
      </c>
      <c r="J25" s="16" t="inlineStr">
        <is>
          <t>영업시운전 전에 시설을 운영자를 대상으로 운영 및 유지관리방법에 대해 교육</t>
        </is>
      </c>
      <c r="K25" s="32" t="inlineStr">
        <is>
          <t>- 통신 시스템 제작사가 만든 매뉴얼로 운영자를 교육
: 관제설비등통신설비 운영/관리방법</t>
        </is>
      </c>
      <c r="L25" s="17" t="inlineStr">
        <is>
          <t>운영자 교육 결과서</t>
        </is>
      </c>
      <c r="M25" s="25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63">
        <f>HYPERLINK(LEFT(CELL("filename",A1),FIND("[",CELL("filename",A1))-1)&amp;"9.통신분야\23_차량 시운전\표준서\9000-2-23_차량 시운전_표준서.html", "👉 [클릭] 표준서 열기 📄")</f>
        <v/>
      </c>
      <c r="O25" s="25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64">
        <f>HYPERLINK(LEFT(CELL("filename",A1),FIND("[",CELL("filename",A1))-1)&amp;"9.통신분야\23_차량 시운전\수행지침\차량 시운전_수행지침.html", "👉 [클릭] 수행지침 열기 📄")</f>
        <v/>
      </c>
      <c r="Q25" s="25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75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22" t="n"/>
    </row>
    <row r="26" ht="115.2" customHeight="1">
      <c r="A26" s="77" t="inlineStr">
        <is>
          <t>9000</t>
        </is>
      </c>
      <c r="B26" s="77" t="inlineStr">
        <is>
          <t>9000-9</t>
        </is>
      </c>
      <c r="C26" s="77" t="inlineStr">
        <is>
          <t>통신분야</t>
        </is>
      </c>
      <c r="D26" s="77" t="inlineStr">
        <is>
          <t>9000-9-25</t>
        </is>
      </c>
      <c r="E26" s="79" t="inlineStr">
        <is>
          <t>9000-9-24</t>
        </is>
      </c>
      <c r="F26" s="79" t="inlineStr">
        <is>
          <t>9000-9-26</t>
        </is>
      </c>
      <c r="G26" s="17" t="inlineStr">
        <is>
          <t>사전점검</t>
        </is>
      </c>
      <c r="H26" s="17" t="inlineStr">
        <is>
          <t>D+375
~D+414</t>
        </is>
      </c>
      <c r="I26" s="17" t="inlineStr">
        <is>
          <t>현장소장 및 발주처 / 공동감리단</t>
        </is>
      </c>
      <c r="J26" s="16" t="inlineStr">
        <is>
          <t>시설물검증시험의 가능여부를 확인하기 위하여 발주처와 운영자가 합동으로 점검</t>
        </is>
      </c>
      <c r="K26" s="32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17" t="inlineStr">
        <is>
          <t>사전점검 결과보고서/승인문서(한국교통안전공단)</t>
        </is>
      </c>
      <c r="M26" s="25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63">
        <f>HYPERLINK(LEFT(CELL("filename",A1),FIND("[",CELL("filename",A1))-1)&amp;"9.통신분야\24_운영자 교육시행\표준서\운영자 교육시행_표준서.html", "👉 [클릭] 표준서 열기 📄")</f>
        <v/>
      </c>
      <c r="O26" s="25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64">
        <f>HYPERLINK(LEFT(CELL("filename",A1),FIND("[",CELL("filename",A1))-1)&amp;"9.통신분야\24_운영자 교육시행\수행지침\운영자 교육시행_수행지침.html", "👉 [클릭] 수행지침 열기 📄")</f>
        <v/>
      </c>
      <c r="Q26" s="25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75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2" t="n"/>
    </row>
    <row r="27" ht="153.6" customHeight="1">
      <c r="A27" s="77" t="inlineStr">
        <is>
          <t>9000</t>
        </is>
      </c>
      <c r="B27" s="77" t="inlineStr">
        <is>
          <t>9000-9</t>
        </is>
      </c>
      <c r="C27" s="77" t="inlineStr">
        <is>
          <t>통신분야</t>
        </is>
      </c>
      <c r="D27" s="77" t="inlineStr">
        <is>
          <t>9000-9-26</t>
        </is>
      </c>
      <c r="E27" s="79" t="inlineStr">
        <is>
          <t>9000-9-25</t>
        </is>
      </c>
      <c r="F27" s="79" t="inlineStr">
        <is>
          <t>9000-9-27</t>
        </is>
      </c>
      <c r="G27" s="17" t="inlineStr">
        <is>
          <t>시설물 검증시험</t>
        </is>
      </c>
      <c r="H27" s="17" t="inlineStr">
        <is>
          <t>D+415
~D+499</t>
        </is>
      </c>
      <c r="I27" s="17" t="inlineStr">
        <is>
          <t>현장소장 및 발주처 / 공동감리단</t>
        </is>
      </c>
      <c r="J27" s="16" t="inlineStr">
        <is>
          <t>발주처는 시설물의 정상작동 상태 등을 확인하기 위해 시설물 검증시험을 수행</t>
        </is>
      </c>
      <c r="K27" s="32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17" t="inlineStr">
        <is>
          <t>시설물 검증시험 결과보고서/승인문서(한국교통안전공단)</t>
        </is>
      </c>
      <c r="M27" s="25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63">
        <f>HYPERLINK(LEFT(CELL("filename",A1),FIND("[",CELL("filename",A1))-1)&amp;"9.통신분야\25_사전점검\표준서\9000-2-25_사전점검_표준서.html", "👉 [클릭] 표준서 열기 📄")</f>
        <v/>
      </c>
      <c r="O27" s="25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64">
        <f>HYPERLINK(LEFT(CELL("filename",A1),FIND("[",CELL("filename",A1))-1)&amp;"9.통신분야\25_사전점검\수행지침\9000-2-25_사전점검_수행지침.html", "👉 [클릭] 수행지침 열기 📄")</f>
        <v/>
      </c>
      <c r="Q27" s="25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75">
        <f>HYPERLINK(LEFT(CELL("filename",A1),FIND("[",CELL("filename",A1))-1)&amp;"9.통신분야\25_사전점검\체크리스트\9000-2-25_사전점검_체크리스트.html", "👉 [클릭] 체크리스트 열기 📄")</f>
        <v/>
      </c>
      <c r="S27" s="22" t="n"/>
    </row>
    <row r="28" ht="211.2" customHeight="1">
      <c r="A28" s="77" t="inlineStr">
        <is>
          <t>9000</t>
        </is>
      </c>
      <c r="B28" s="77" t="inlineStr">
        <is>
          <t>9000-9</t>
        </is>
      </c>
      <c r="C28" s="77" t="inlineStr">
        <is>
          <t>통신분야</t>
        </is>
      </c>
      <c r="D28" s="77" t="inlineStr">
        <is>
          <t>9000-9-27</t>
        </is>
      </c>
      <c r="E28" s="79" t="inlineStr">
        <is>
          <t>9000-9-26</t>
        </is>
      </c>
      <c r="F28" s="79" t="inlineStr">
        <is>
          <t>9000-9-28</t>
        </is>
      </c>
      <c r="G28" s="17" t="inlineStr">
        <is>
          <t>영업시운전</t>
        </is>
      </c>
      <c r="H28" s="17" t="inlineStr">
        <is>
          <t>D+500
~D+581</t>
        </is>
      </c>
      <c r="I28" s="17" t="inlineStr">
        <is>
          <t>현장소장 및 발주처 / 공동감리단</t>
        </is>
      </c>
      <c r="J28" s="16" t="inlineStr">
        <is>
          <t>발주처는 영업시운전계획에 따라 열차운행체계를 확인하기 위해 영업시운전을 수행</t>
        </is>
      </c>
      <c r="K28" s="31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17" t="inlineStr">
        <is>
          <t>영업시운전 결과보고서/승인문서(한국교통안전공단), 국토부 승인문서</t>
        </is>
      </c>
      <c r="M28" s="25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63">
        <f>HYPERLINK(LEFT(CELL("filename",A1),FIND("[",CELL("filename",A1))-1)&amp;"9.통신분야\26_시설물 검증시험\표준서\시설물 검증시험_표준서.html", "👉 [클릭] 표준서 열기 📄")</f>
        <v/>
      </c>
      <c r="O28" s="25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64">
        <f>HYPERLINK(LEFT(CELL("filename",A1),FIND("[",CELL("filename",A1))-1)&amp;"9.통신분야\26_시설물 검증시험\수행지침\시설물 검증시험_수행지침.html", "👉 [클릭] 수행지침 열기 📄")</f>
        <v/>
      </c>
      <c r="Q28" s="25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75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2" t="n"/>
    </row>
    <row r="29" ht="115.2" customHeight="1">
      <c r="A29" s="77" t="inlineStr">
        <is>
          <t>9000</t>
        </is>
      </c>
      <c r="B29" s="77" t="inlineStr">
        <is>
          <t>9000-9</t>
        </is>
      </c>
      <c r="C29" s="77" t="inlineStr">
        <is>
          <t>통신분야</t>
        </is>
      </c>
      <c r="D29" s="77" t="inlineStr">
        <is>
          <t>9000-9-28</t>
        </is>
      </c>
      <c r="E29" s="79" t="inlineStr">
        <is>
          <t>9000-9-27</t>
        </is>
      </c>
      <c r="F29" s="79" t="inlineStr">
        <is>
          <t>9000-9-29</t>
        </is>
      </c>
      <c r="G29" s="17" t="inlineStr">
        <is>
          <t>자가용전기통신설비 설치신고</t>
        </is>
      </c>
      <c r="H29" s="17" t="inlineStr">
        <is>
          <t>D+375
~D+414</t>
        </is>
      </c>
      <c r="I29" s="17" t="inlineStr">
        <is>
          <t>시공사</t>
        </is>
      </c>
      <c r="J29" s="16" t="inlineStr">
        <is>
          <t>자가용전기통신설비의 합법적 설치</t>
        </is>
      </c>
      <c r="K29" s="32" t="inlineStr">
        <is>
          <t>- 관할 시청/구청에 설치공사 시작 21일 전까지 신고서와 설계도서 제출 (처리기간 15일)</t>
        </is>
      </c>
      <c r="L29" s="17" t="inlineStr">
        <is>
          <t>자가전기통신설비 설치신고 필증</t>
        </is>
      </c>
      <c r="M29" s="25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63">
        <f>HYPERLINK(LEFT(CELL("filename",A1),FIND("[",CELL("filename",A1))-1)&amp;"9.통신분야\27_영업시운전\표준서\9000-2-27_영업시운전_표준서.html", "👉 [클릭] 표준서 열기 📄")</f>
        <v/>
      </c>
      <c r="O29" s="25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64">
        <f>HYPERLINK(LEFT(CELL("filename",A1),FIND("[",CELL("filename",A1))-1)&amp;"9.통신분야\27_영업시운전\수행지침\9000-2-27_영업시운전_수행지침.html", "👉 [클릭] 수행지침 열기 📄")</f>
        <v/>
      </c>
      <c r="Q29" s="25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75">
        <f>HYPERLINK(LEFT(CELL("filename",A1),FIND("[",CELL("filename",A1))-1)&amp;"9.통신분야\27_영업시운전\체크리스트\9000-2-27_영업시운전_체크리스트.html", "👉 [클릭] 체크리스트 열기 📄")</f>
        <v/>
      </c>
      <c r="S29" s="22" t="n"/>
    </row>
    <row r="30" ht="115.2" customHeight="1">
      <c r="A30" s="77" t="inlineStr">
        <is>
          <t>9000</t>
        </is>
      </c>
      <c r="B30" s="77" t="inlineStr">
        <is>
          <t>9000-9</t>
        </is>
      </c>
      <c r="C30" s="77" t="inlineStr">
        <is>
          <t>통신분야</t>
        </is>
      </c>
      <c r="D30" s="77" t="inlineStr">
        <is>
          <t>9000-9-29</t>
        </is>
      </c>
      <c r="E30" s="79" t="inlineStr">
        <is>
          <t>9000-9-28</t>
        </is>
      </c>
      <c r="F30" s="79" t="inlineStr">
        <is>
          <t>9000-9-30</t>
        </is>
      </c>
      <c r="G30" s="17" t="inlineStr">
        <is>
          <t>LTE-R 무선국허가</t>
        </is>
      </c>
      <c r="H30" s="17" t="inlineStr">
        <is>
          <t>D+375
~D+414</t>
        </is>
      </c>
      <c r="I30" s="17" t="inlineStr">
        <is>
          <t>발주처</t>
        </is>
      </c>
      <c r="J30" s="16" t="inlineStr">
        <is>
          <t>무선국 설치 후 사용을 위한 법적 허가 취득</t>
        </is>
      </c>
      <c r="K30" s="33" t="inlineStr">
        <is>
          <t>- 무선국(LTE-R) 설치 후 중앙전파관리소에 신청서, 시설개요서, 공사설계서 제출 (처리기간 14일)</t>
        </is>
      </c>
      <c r="L30" s="17" t="inlineStr">
        <is>
          <t>무선국허가증</t>
        </is>
      </c>
      <c r="M30" s="25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63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5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64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5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75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2" t="n"/>
    </row>
    <row r="31" ht="115.2" customHeight="1">
      <c r="A31" s="77" t="inlineStr">
        <is>
          <t>9000</t>
        </is>
      </c>
      <c r="B31" s="77" t="inlineStr">
        <is>
          <t>9000-9</t>
        </is>
      </c>
      <c r="C31" s="77" t="inlineStr">
        <is>
          <t>통신분야</t>
        </is>
      </c>
      <c r="D31" s="77" t="inlineStr">
        <is>
          <t>9000-9-30</t>
        </is>
      </c>
      <c r="E31" s="79" t="inlineStr">
        <is>
          <t>9000-9-29</t>
        </is>
      </c>
      <c r="F31" s="79" t="inlineStr">
        <is>
          <t>9000-9-31</t>
        </is>
      </c>
      <c r="G31" s="17" t="inlineStr">
        <is>
          <t>LTE-R 상호운용성 및 보안적합성 검증</t>
        </is>
      </c>
      <c r="H31" s="17" t="inlineStr">
        <is>
          <t>D+375
~D+414</t>
        </is>
      </c>
      <c r="I31" s="17" t="inlineStr">
        <is>
          <t>시공사</t>
        </is>
      </c>
      <c r="J31" s="16" t="inlineStr">
        <is>
          <t>무선 장비의 보안성 및 타 기관 상호운용성 검증</t>
        </is>
      </c>
      <c r="K31" s="33" t="inlineStr">
        <is>
          <t>- 한국정보통신기술협회에 시험결과서 제출하여 검증 진행 (처리기간 1개월)</t>
        </is>
      </c>
      <c r="L31" s="17" t="inlineStr">
        <is>
          <t>상호운용성,보안적합성 시험 인증서</t>
        </is>
      </c>
      <c r="M31" s="25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63">
        <f>HYPERLINK(LEFT(CELL("filename",A1),FIND("[",CELL("filename",A1))-1)&amp;"9.통신분야\29_LTE-R 무선국 허가\표준서\LTE-R 무선국 허가_표준서.html", "👉 [클릭] 표준서 열기 📄")</f>
        <v/>
      </c>
      <c r="O31" s="25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64">
        <f>HYPERLINK(LEFT(CELL("filename",A1),FIND("[",CELL("filename",A1))-1)&amp;"9.통신분야\29_LTE-R 무선국 허가\수행지침\LTE-R 무선국 허가_수행지침.html", "👉 [클릭] 수행지침 열기 📄")</f>
        <v/>
      </c>
      <c r="Q31" s="25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75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22" t="n"/>
    </row>
    <row r="32" ht="115.2" customHeight="1">
      <c r="A32" s="77" t="inlineStr">
        <is>
          <t>9000</t>
        </is>
      </c>
      <c r="B32" s="77" t="inlineStr">
        <is>
          <t>9000-9</t>
        </is>
      </c>
      <c r="C32" s="77" t="inlineStr">
        <is>
          <t>통신분야</t>
        </is>
      </c>
      <c r="D32" s="77" t="inlineStr">
        <is>
          <t>9000-9-31</t>
        </is>
      </c>
      <c r="E32" s="79" t="inlineStr">
        <is>
          <t>9000-9-30</t>
        </is>
      </c>
      <c r="F32" s="79" t="inlineStr">
        <is>
          <t>9000-9-32</t>
        </is>
      </c>
      <c r="G32" s="17" t="inlineStr">
        <is>
          <t>정보통신사용전검사</t>
        </is>
      </c>
      <c r="H32" s="17" t="inlineStr">
        <is>
          <t>D+415
~D+499</t>
        </is>
      </c>
      <c r="I32" s="17" t="inlineStr">
        <is>
          <t>시공사</t>
        </is>
      </c>
      <c r="J32" s="16" t="inlineStr">
        <is>
          <t>시공 완료된 정보통신설비의 준공 전 사용 적합성 검증</t>
        </is>
      </c>
      <c r="K32" s="33" t="inlineStr">
        <is>
          <t>- 관할 시청/구청에 사용전검사 신청서와 준공설계도서 제출 (처리기간 14일)</t>
        </is>
      </c>
      <c r="L32" s="17" t="inlineStr">
        <is>
          <t>정보통신사용전검사 필증</t>
        </is>
      </c>
      <c r="M32" s="25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63">
        <f>HYPERLINK(LEFT(CELL("filename",A1),FIND("[",CELL("filename",A1))-1)&amp;"9.통신분야\29_LTE-R 무선국허가\표준서\LTE-R 무선국허가_표준서.html", "👉 [클릭] 표준서 열기 📄")</f>
        <v/>
      </c>
      <c r="O32" s="25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64">
        <f>HYPERLINK(LEFT(CELL("filename",A1),FIND("[",CELL("filename",A1))-1)&amp;"9.통신분야\29_LTE-R 무선국허가\수행지침\LTE-R 무선국허가_수행지침.html", "👉 [클릭] 수행지침 열기 📄")</f>
        <v/>
      </c>
      <c r="Q32" s="25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75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2" t="n"/>
    </row>
    <row r="33" ht="115.2" customHeight="1">
      <c r="A33" s="77" t="inlineStr">
        <is>
          <t>9000</t>
        </is>
      </c>
      <c r="B33" s="77" t="inlineStr">
        <is>
          <t>9000-9</t>
        </is>
      </c>
      <c r="C33" s="77" t="inlineStr">
        <is>
          <t>통신분야</t>
        </is>
      </c>
      <c r="D33" s="77" t="inlineStr">
        <is>
          <t>9000-9-32</t>
        </is>
      </c>
      <c r="E33" s="79" t="inlineStr">
        <is>
          <t>9000-9-31</t>
        </is>
      </c>
      <c r="F33" s="79" t="inlineStr">
        <is>
          <t>-</t>
        </is>
      </c>
      <c r="G33" s="17" t="inlineStr">
        <is>
          <t>LTE-R 무선국 준공검사</t>
        </is>
      </c>
      <c r="H33" s="17" t="inlineStr">
        <is>
          <t>D+375
~D+414</t>
        </is>
      </c>
      <c r="I33" s="17" t="inlineStr">
        <is>
          <t>발주처</t>
        </is>
      </c>
      <c r="J33" s="16" t="inlineStr">
        <is>
          <t>무선국 전파 특성 검증 및 준공 처리</t>
        </is>
      </c>
      <c r="K33" s="33" t="inlineStr">
        <is>
          <t>- 한국방송통신전파진흥원에 준공신고서, 안테나전력/주파수편차/불요발사강도 측정표, 안테나 Pattern 도표 제출 (처리기간 14일)</t>
        </is>
      </c>
      <c r="L33" s="17" t="inlineStr">
        <is>
          <t>LTE-R 무선국 준공검사 확인서</t>
        </is>
      </c>
      <c r="M33" s="25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63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25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64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25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75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22" t="n"/>
    </row>
    <row r="34" ht="31.2" customHeight="1">
      <c r="E34" s="2" t="n"/>
      <c r="F34" s="2" t="n"/>
      <c r="N34" s="66">
        <f>HYPERLINK(LEFT(CELL("filename",A1),FIND("[",CELL("filename",A1))-1)&amp;"9.통신분야\30_LTE-R 상호운용성 및 상호연동성 검증\표준서\LTE-R 상호운용성 및 상호연동성 검증_표준서.html", "👉 [클릭] 표준서 열기 📄")</f>
        <v/>
      </c>
      <c r="P34" s="67">
        <f>HYPERLINK(LEFT(CELL("filename",A1),FIND("[",CELL("filename",A1))-1)&amp;"9.통신분야\30_LTE-R 상호운용성 및 상호연동성 검증\수행지침\LTE-R 상호운용성 및 상호연동성 검증_수행지침.html", "👉 [클릭] 수행지침 열기 📄")</f>
        <v/>
      </c>
      <c r="R34" s="76">
        <f>HYPERLINK(LEFT(CELL("filename",A1),FIND("[",CELL("filename",A1))-1)&amp;"9.통신분야\30_LTE-R 상호운용성 및 상호연동성 검증\체크리스트\LTE-R 상호운용성 및 상호연동성 검증_체크리스트.html", "👉 [클릭] 체크리스트 열기 📄")</f>
        <v/>
      </c>
    </row>
    <row r="35" ht="31.2" customHeight="1">
      <c r="E35" s="2" t="n"/>
      <c r="F35" s="2" t="n"/>
      <c r="N35" s="66">
        <f>HYPERLINK(LEFT(CELL("filename",A1),FIND("[",CELL("filename",A1))-1)&amp;"9.통신분야\31_정보통신사용전검사\표준서\정보통신사용전검사_표준서.html", "👉 [클릭] 표준서 열기 📄")</f>
        <v/>
      </c>
      <c r="P35" s="67">
        <f>HYPERLINK(LEFT(CELL("filename",A1),FIND("[",CELL("filename",A1))-1)&amp;"9.통신분야\31_정보통신사용전검사\수행지침\정보통신사용전검사_수행지침.html", "👉 [클릭] 수행지침 열기 📄")</f>
        <v/>
      </c>
      <c r="R35" s="76">
        <f>HYPERLINK(LEFT(CELL("filename",A1),FIND("[",CELL("filename",A1))-1)&amp;"9.통신분야\31_정보통신사용전검사\체크리스트\9000-2-31_정보통신사용전검사_체크리스트.html", "👉 [클릭] 체크리스트 열기 📄")</f>
        <v/>
      </c>
    </row>
    <row r="36" ht="31.2" customHeight="1">
      <c r="E36" s="2" t="n"/>
      <c r="F36" s="2" t="n"/>
      <c r="N36" s="66">
        <f>HYPERLINK(LEFT(CELL("filename",A1),FIND("[",CELL("filename",A1))-1)&amp;"9.통신분야\32_LTE-R 무선국 준공검사\표준서\LTE-R 무선국 준공검사_표준서.html", "👉 [클릭] 표준서 열기 📄")</f>
        <v/>
      </c>
      <c r="P36" s="67">
        <f>HYPERLINK(LEFT(CELL("filename",A1),FIND("[",CELL("filename",A1))-1)&amp;"9.통신분야\32_LTE-R 무선국 준공검사\수행지침\LTE-R 무선국 준공검사_수행지침.html", "👉 [클릭] 수행지침 열기 📄")</f>
        <v/>
      </c>
      <c r="R36" s="76">
        <f>HYPERLINK(LEFT(CELL("filename",A1),FIND("[",CELL("filename",A1))-1)&amp;"9.통신분야\32_LTE-R 무선국 준공검사\체크리스트\9000-2-32_LTE-R 무선국 준공검사_체크리스트.html", "👉 [클릭] 체크리스트 열기 📄")</f>
        <v/>
      </c>
    </row>
    <row r="37" ht="31.2" customHeight="1">
      <c r="E37" s="2" t="n"/>
      <c r="F37" s="2" t="n"/>
      <c r="N37" s="66">
        <f>HYPERLINK(LEFT(CELL("filename",A1),FIND("[",CELL("filename",A1))-1)&amp;"9.통신분야\33_Task_33\표준서\Task_33_표준서.html", "👉 [클릭] 표준서 열기 📄")</f>
        <v/>
      </c>
      <c r="P37" s="67">
        <f>HYPERLINK(LEFT(CELL("filename",A1),FIND("[",CELL("filename",A1))-1)&amp;"9.통신분야\33_Task_33\수행지침\Task_33_수행지침.html", "👉 [클릭] 수행지침 열기 📄")</f>
        <v/>
      </c>
      <c r="R37" s="76">
        <f>HYPERLINK(LEFT(CELL("filename",A1),FIND("[",CELL("filename",A1))-1)&amp;"9.통신분야\33_Task_33\체크리스트\Task_33_체크리스트.html", "👉 [클릭] 체크리스트 열기 📄")</f>
        <v/>
      </c>
    </row>
    <row r="38">
      <c r="E38" s="2" t="n"/>
      <c r="F38" s="2" t="n"/>
    </row>
    <row r="39">
      <c r="E39" s="2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0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S37"/>
  <sheetViews>
    <sheetView view="pageBreakPreview" topLeftCell="L1" zoomScale="55" zoomScaleNormal="40" zoomScaleSheetLayoutView="55" workbookViewId="0">
      <selection activeCell="U2" sqref="U2"/>
    </sheetView>
  </sheetViews>
  <sheetFormatPr baseColWidth="8" defaultRowHeight="19.2"/>
  <cols>
    <col width="9" bestFit="1" customWidth="1" style="4" min="1" max="2"/>
    <col width="13.19921875" bestFit="1" customWidth="1" style="4" min="3" max="3"/>
    <col width="11.19921875" bestFit="1" customWidth="1" style="4" min="4" max="4"/>
    <col width="16" customWidth="1" style="2" min="5" max="6"/>
    <col width="30.3984375" customWidth="1" style="4" min="7" max="7"/>
    <col width="23.296875" customWidth="1" style="4" min="8" max="8"/>
    <col width="21.69921875" customWidth="1" style="4" min="9" max="9"/>
    <col width="32.59765625" customWidth="1" style="3" min="10" max="10"/>
    <col width="73.09765625" customWidth="1" style="3" min="11" max="11"/>
    <col width="19.3984375" customWidth="1" style="4" min="12" max="12"/>
    <col width="53" customWidth="1" style="3" min="13" max="13"/>
    <col width="14.69921875" customWidth="1" style="3" min="14" max="14"/>
    <col width="45" customWidth="1" style="3" min="15" max="15"/>
    <col width="15.796875" customWidth="1" style="3" min="16" max="16"/>
    <col width="45" customWidth="1" style="3" min="17" max="17"/>
    <col width="16.09765625" customWidth="1" style="26" min="18" max="18"/>
    <col width="15.796875" customWidth="1" style="3" min="19" max="19"/>
    <col width="45" customWidth="1" style="3" min="20" max="35"/>
    <col width="8.796875" customWidth="1" style="3" min="36" max="36"/>
    <col width="8.796875" customWidth="1" style="3" min="37" max="16384"/>
  </cols>
  <sheetData>
    <row r="1" ht="57.6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작업단위 (Level 4 Task/Activity)</t>
        </is>
      </c>
      <c r="H1" s="12" t="inlineStr">
        <is>
          <t>일정 (D-Day)</t>
        </is>
      </c>
      <c r="I1" s="12" t="inlineStr">
        <is>
          <t>주관</t>
        </is>
      </c>
      <c r="J1" s="12" t="inlineStr">
        <is>
          <t>목적</t>
        </is>
      </c>
      <c r="K1" s="20" t="inlineStr">
        <is>
          <t>방법</t>
        </is>
      </c>
      <c r="L1" s="20" t="inlineStr">
        <is>
          <t>산출물(결과)</t>
        </is>
      </c>
      <c r="M1" s="20" t="inlineStr">
        <is>
          <t>표준서 (Standard) 요약</t>
        </is>
      </c>
      <c r="N1" s="13" t="inlineStr">
        <is>
          <t>표준서 파일 (HTML)</t>
        </is>
      </c>
      <c r="O1" s="20" t="inlineStr">
        <is>
          <t>수행지침 (Guideline) 요약</t>
        </is>
      </c>
      <c r="P1" s="13" t="inlineStr">
        <is>
          <t>수행지침 파일 (HTML)</t>
        </is>
      </c>
      <c r="Q1" s="20" t="inlineStr">
        <is>
          <t>체크리스트 (Checklist) 요약</t>
        </is>
      </c>
      <c r="R1" s="21" t="inlineStr">
        <is>
          <t>체크리스트 파일 (HTML)</t>
        </is>
      </c>
      <c r="S1" s="11" t="inlineStr">
        <is>
          <t>비고</t>
        </is>
      </c>
    </row>
    <row r="2" ht="199.2" customHeight="1">
      <c r="A2" s="77" t="inlineStr">
        <is>
          <t>9000</t>
        </is>
      </c>
      <c r="B2" s="77" t="inlineStr">
        <is>
          <t>9000-10</t>
        </is>
      </c>
      <c r="C2" s="77" t="inlineStr">
        <is>
          <t>기계설비·소방설비</t>
        </is>
      </c>
      <c r="D2" s="77" t="inlineStr">
        <is>
          <t>9000-10-1</t>
        </is>
      </c>
      <c r="E2" s="79" t="inlineStr">
        <is>
          <t>-</t>
        </is>
      </c>
      <c r="F2" s="79" t="inlineStr">
        <is>
          <t>9000-10-2</t>
        </is>
      </c>
      <c r="G2" s="17" t="inlineStr">
        <is>
          <t>설계 적정성 검토</t>
        </is>
      </c>
      <c r="H2" s="17" t="inlineStr">
        <is>
          <t>D-117</t>
        </is>
      </c>
      <c r="I2" s="17" t="inlineStr">
        <is>
          <t>기계/소방팀</t>
        </is>
      </c>
      <c r="J2" s="16" t="inlineStr">
        <is>
          <t>기계·소방설비 설계도서(도면/시방/계산서)의 KDS 47 및 NFTC 기준 적합성과 시공성·경제성 사전 검증</t>
        </is>
      </c>
      <c r="K2" s="31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17" t="inlineStr">
        <is>
          <t>설계 적정성 검토 시공계획서, 검측요청서 및 공인 시험성적서</t>
        </is>
      </c>
      <c r="M2" s="25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63">
        <f>HYPERLINK(LEFT(CELL("filename",A1),FIND("[",CELL("filename",A1))-1)&amp;"10.기계분야\1_설계 적정성 검토\표준서\1_설계 적정성 검토_표준서.html", "👉 [클릭] 표준서 열기 📄")</f>
        <v/>
      </c>
      <c r="O2" s="25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64">
        <f>HYPERLINK(LEFT(CELL("filename",A1),FIND("[",CELL("filename",A1))-1)&amp;"10.기계분야\1_설계 적정성 검토\수행지침\1_설계 적정성 검토_수행지침.html", "👉 [클릭] 수행지침 열기 📄")</f>
        <v/>
      </c>
      <c r="Q2" s="25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65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22" t="inlineStr">
        <is>
          <t>기계·소방 복합 시방 준수</t>
        </is>
      </c>
    </row>
    <row r="3" ht="219.6" customHeight="1">
      <c r="A3" s="77" t="inlineStr">
        <is>
          <t>9000</t>
        </is>
      </c>
      <c r="B3" s="77" t="inlineStr">
        <is>
          <t>9000-10</t>
        </is>
      </c>
      <c r="C3" s="77" t="inlineStr">
        <is>
          <t>기계설비·소방설비</t>
        </is>
      </c>
      <c r="D3" s="77" t="inlineStr">
        <is>
          <t>9000-10-2</t>
        </is>
      </c>
      <c r="E3" s="79" t="inlineStr">
        <is>
          <t>9000-10-1</t>
        </is>
      </c>
      <c r="F3" s="79" t="inlineStr">
        <is>
          <t>9000-10-3</t>
        </is>
      </c>
      <c r="G3" s="18" t="inlineStr">
        <is>
          <t>발주전략 KOM</t>
        </is>
      </c>
      <c r="H3" s="18" t="inlineStr">
        <is>
          <t>D-114</t>
        </is>
      </c>
      <c r="I3" s="17" t="inlineStr">
        <is>
          <t>기계/소방팀</t>
        </is>
      </c>
      <c r="J3" s="16" t="inlineStr">
        <is>
          <t>기계·소방 공종 3자(발주처-감리-시공) 킥오프를 통한 주요 자재 조달 라인 및 4대 공정 마일스톤 확정</t>
        </is>
      </c>
      <c r="K3" s="31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17" t="inlineStr">
        <is>
          <t>발주전략 KOM 시공계획서, 검측요청서 및 공인 시험성적서</t>
        </is>
      </c>
      <c r="M3" s="25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63">
        <f>HYPERLINK(LEFT(CELL("filename",A1),FIND("[",CELL("filename",A1))-1)&amp;"10.기계분야\2_발주전략 KOM\표준서\2_발주전략 KOM_표준서.html", "👉 [클릭] 표준서 열기 📄")</f>
        <v/>
      </c>
      <c r="O3" s="25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64">
        <f>HYPERLINK(LEFT(CELL("filename",A1),FIND("[",CELL("filename",A1))-1)&amp;"10.기계분야\2_발주전략 KOM\수행지침\2_발주전략 KOM_수행지침.html", "👉 [클릭] 수행지침 열기 📄")</f>
        <v/>
      </c>
      <c r="Q3" s="25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65">
        <f>HYPERLINK(LEFT(CELL("filename",A1),FIND("[",CELL("filename",A1))-1)&amp;"10.기계분야\2_발주전략 KOM\체크리스트\2_발주전략 KOM_체크리스트.html", "👉 [클릭] 체크리스트 열기 📄")</f>
        <v/>
      </c>
      <c r="S3" s="22" t="inlineStr">
        <is>
          <t>기계·소방 복합 시방 준수</t>
        </is>
      </c>
    </row>
    <row r="4" ht="133.8" customHeight="1">
      <c r="A4" s="77" t="inlineStr">
        <is>
          <t>9000</t>
        </is>
      </c>
      <c r="B4" s="77" t="inlineStr">
        <is>
          <t>9000-10</t>
        </is>
      </c>
      <c r="C4" s="77" t="inlineStr">
        <is>
          <t>기계설비·소방설비</t>
        </is>
      </c>
      <c r="D4" s="77" t="inlineStr">
        <is>
          <t>9000-10-3</t>
        </is>
      </c>
      <c r="E4" s="79" t="inlineStr">
        <is>
          <t>9000-10-2</t>
        </is>
      </c>
      <c r="F4" s="79" t="inlineStr">
        <is>
          <t>9000-10-4</t>
        </is>
      </c>
      <c r="G4" s="17" t="inlineStr">
        <is>
          <t>3D BIM 기계_소방 간섭 검토</t>
        </is>
      </c>
      <c r="H4" s="18" t="inlineStr">
        <is>
          <t>D-111</t>
        </is>
      </c>
      <c r="I4" s="17" t="inlineStr">
        <is>
          <t>기계/소방팀</t>
        </is>
      </c>
      <c r="J4" s="16" t="inlineStr">
        <is>
          <t>LOD 350 기반 3D BIM을 활용하여 기계덕트·소화배관·전기트레이 간 Hard Clash 0건 달성 및 CSD 승인</t>
        </is>
      </c>
      <c r="K4" s="31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17" t="inlineStr">
        <is>
          <t>3D BIM 기계_소방 간섭 검토 시공계획서, 검측요청서 및 공인 시험성적서</t>
        </is>
      </c>
      <c r="M4" s="25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63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25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64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25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65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22" t="inlineStr">
        <is>
          <t>기계·소방 복합 시방 준수</t>
        </is>
      </c>
    </row>
    <row r="5" ht="133.8" customHeight="1">
      <c r="A5" s="77" t="inlineStr">
        <is>
          <t>9000</t>
        </is>
      </c>
      <c r="B5" s="77" t="inlineStr">
        <is>
          <t>9000-10</t>
        </is>
      </c>
      <c r="C5" s="77" t="inlineStr">
        <is>
          <t>기계설비·소방설비</t>
        </is>
      </c>
      <c r="D5" s="77" t="inlineStr">
        <is>
          <t>9000-10-4</t>
        </is>
      </c>
      <c r="E5" s="79" t="inlineStr">
        <is>
          <t>9000-10-3</t>
        </is>
      </c>
      <c r="F5" s="79" t="inlineStr">
        <is>
          <t>9000-10-5</t>
        </is>
      </c>
      <c r="G5" s="17" t="inlineStr">
        <is>
          <t>소방 및 환경 인허가</t>
        </is>
      </c>
      <c r="H5" s="17" t="inlineStr">
        <is>
          <t>D-108</t>
        </is>
      </c>
      <c r="I5" s="17" t="inlineStr">
        <is>
          <t>기계/소방팀</t>
        </is>
      </c>
      <c r="J5" s="16" t="inlineStr">
        <is>
          <t>소방시설공사업법 제13조에 따른 착공신고 및 위험물·오폐수 환경 인허가 적기 득</t>
        </is>
      </c>
      <c r="K5" s="31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17" t="inlineStr">
        <is>
          <t>소방 및 환경 인허가 시공계획서, 검측요청서 및 공인 시험성적서</t>
        </is>
      </c>
      <c r="M5" s="25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63">
        <f>HYPERLINK(LEFT(CELL("filename",A1),FIND("[",CELL("filename",A1))-1)&amp;"10.기계분야\4_소방 및 환경 인허가\표준서\4_소방 및 환경 인허가_표준서.html", "👉 [클릭] 표준서 열기 📄")</f>
        <v/>
      </c>
      <c r="O5" s="25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64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25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65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22" t="inlineStr">
        <is>
          <t>기계·소방 복합 시방 준수</t>
        </is>
      </c>
    </row>
    <row r="6" ht="133.8" customHeight="1">
      <c r="A6" s="77" t="inlineStr">
        <is>
          <t>9000</t>
        </is>
      </c>
      <c r="B6" s="77" t="inlineStr">
        <is>
          <t>9000-10</t>
        </is>
      </c>
      <c r="C6" s="77" t="inlineStr">
        <is>
          <t>기계설비·소방설비</t>
        </is>
      </c>
      <c r="D6" s="77" t="inlineStr">
        <is>
          <t>9000-10-5</t>
        </is>
      </c>
      <c r="E6" s="79" t="inlineStr">
        <is>
          <t>9000-10-4</t>
        </is>
      </c>
      <c r="F6" s="79" t="inlineStr">
        <is>
          <t>9000-10-6</t>
        </is>
      </c>
      <c r="G6" s="17" t="inlineStr">
        <is>
          <t>장비 반입동선 및 야적장 계획</t>
        </is>
      </c>
      <c r="H6" s="17" t="inlineStr">
        <is>
          <t>D-105</t>
        </is>
      </c>
      <c r="I6" s="17" t="inlineStr">
        <is>
          <t>기계/소방팀</t>
        </is>
      </c>
      <c r="J6" s="16" t="inlineStr">
        <is>
          <t>지하 기계실 대형 장비(AHU, 펌프 등)의 DA 개구부 양중 및 안전 반입 동선 확보</t>
        </is>
      </c>
      <c r="K6" s="31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17" t="inlineStr">
        <is>
          <t>장비 반입동선 및 야적장 계획 시공계획서, 검측요청서 및 공인 시험성적서</t>
        </is>
      </c>
      <c r="M6" s="25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63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25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64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25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65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22" t="inlineStr">
        <is>
          <t>기계·소방 복합 시방 준수</t>
        </is>
      </c>
    </row>
    <row r="7" ht="145.2" customHeight="1">
      <c r="A7" s="77" t="inlineStr">
        <is>
          <t>9000</t>
        </is>
      </c>
      <c r="B7" s="77" t="inlineStr">
        <is>
          <t>9000-10</t>
        </is>
      </c>
      <c r="C7" s="77" t="inlineStr">
        <is>
          <t>기계설비·소방설비</t>
        </is>
      </c>
      <c r="D7" s="77" t="inlineStr">
        <is>
          <t>9000-10-6</t>
        </is>
      </c>
      <c r="E7" s="79" t="inlineStr">
        <is>
          <t>9000-10-5</t>
        </is>
      </c>
      <c r="F7" s="79" t="inlineStr">
        <is>
          <t>9000-10-7</t>
        </is>
      </c>
      <c r="G7" s="17" t="inlineStr">
        <is>
          <t>Big Room 인터페이스 회의</t>
        </is>
      </c>
      <c r="H7" s="17" t="inlineStr">
        <is>
          <t>D-102</t>
        </is>
      </c>
      <c r="I7" s="17" t="inlineStr">
        <is>
          <t>기계/소방팀</t>
        </is>
      </c>
      <c r="J7" s="16" t="inlineStr">
        <is>
          <t>건축, 전기, 통신, 신호, 궤도 등 타 공종과의 시공 간섭 배제 및 시공 우선순위 룰 확립</t>
        </is>
      </c>
      <c r="K7" s="31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17" t="inlineStr">
        <is>
          <t>Big Room 인터페이스 회의 시공계획서, 검측요청서 및 공인 시험성적서</t>
        </is>
      </c>
      <c r="M7" s="25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63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25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64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25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65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22" t="inlineStr">
        <is>
          <t>기계·소방 복합 시방 준수</t>
        </is>
      </c>
    </row>
    <row r="8" ht="115.2" customHeight="1">
      <c r="A8" s="77" t="inlineStr">
        <is>
          <t>9000</t>
        </is>
      </c>
      <c r="B8" s="77" t="inlineStr">
        <is>
          <t>9000-10</t>
        </is>
      </c>
      <c r="C8" s="77" t="inlineStr">
        <is>
          <t>기계설비·소방설비</t>
        </is>
      </c>
      <c r="D8" s="77" t="inlineStr">
        <is>
          <t>9000-10-7</t>
        </is>
      </c>
      <c r="E8" s="79" t="inlineStr">
        <is>
          <t>9000-10-6</t>
        </is>
      </c>
      <c r="F8" s="79" t="inlineStr">
        <is>
          <t>9000-10-8</t>
        </is>
      </c>
      <c r="G8" s="17" t="inlineStr">
        <is>
          <t>지하매설 기계배관 협의</t>
        </is>
      </c>
      <c r="H8" s="17" t="inlineStr">
        <is>
          <t>D-99</t>
        </is>
      </c>
      <c r="I8" s="17" t="inlineStr">
        <is>
          <t>기계/소방팀</t>
        </is>
      </c>
      <c r="J8" s="16" t="inlineStr">
        <is>
          <t>트램 본선 도로 하부 지중매설 배관(상수도, 지열, 우오수)과 지하 지장물 간 안전 이격거리 확보</t>
        </is>
      </c>
      <c r="K8" s="32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17" t="inlineStr">
        <is>
          <t>지하매설 기계배관 협의 시공계획서, 검측요청서 및 공인 시험성적서</t>
        </is>
      </c>
      <c r="M8" s="25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63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25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64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25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65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22" t="inlineStr">
        <is>
          <t>기계·소방 복합 시방 준수</t>
        </is>
      </c>
    </row>
    <row r="9" ht="115.2" customHeight="1">
      <c r="A9" s="77" t="inlineStr">
        <is>
          <t>9000</t>
        </is>
      </c>
      <c r="B9" s="77" t="inlineStr">
        <is>
          <t>9000-10</t>
        </is>
      </c>
      <c r="C9" s="77" t="inlineStr">
        <is>
          <t>기계설비·소방설비</t>
        </is>
      </c>
      <c r="D9" s="77" t="inlineStr">
        <is>
          <t>9000-10-8</t>
        </is>
      </c>
      <c r="E9" s="79" t="inlineStr">
        <is>
          <t>9000-10-7</t>
        </is>
      </c>
      <c r="F9" s="79" t="inlineStr">
        <is>
          <t>9000-10-9</t>
        </is>
      </c>
      <c r="G9" s="17" t="inlineStr">
        <is>
          <t>기계설비 시공계획서 수립</t>
        </is>
      </c>
      <c r="H9" s="17" t="inlineStr">
        <is>
          <t>D-96</t>
        </is>
      </c>
      <c r="I9" s="17" t="inlineStr">
        <is>
          <t>기계/소방팀</t>
        </is>
      </c>
      <c r="J9" s="16" t="inlineStr">
        <is>
          <t>KCS 41 시방 기준 준수, 유자격 용접사 WPS 승인 및 밀폐공간 안전보건 체계 확립</t>
        </is>
      </c>
      <c r="K9" s="31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17" t="inlineStr">
        <is>
          <t>기계설비 시공계획서 수립 시공계획서, 검측요청서 및 공인 시험성적서</t>
        </is>
      </c>
      <c r="M9" s="25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63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25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64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25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65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22" t="inlineStr">
        <is>
          <t>기계·소방 복합 시방 준수</t>
        </is>
      </c>
    </row>
    <row r="10" ht="210.6" customHeight="1">
      <c r="A10" s="77" t="inlineStr">
        <is>
          <t>9000</t>
        </is>
      </c>
      <c r="B10" s="77" t="inlineStr">
        <is>
          <t>9000-10</t>
        </is>
      </c>
      <c r="C10" s="77" t="inlineStr">
        <is>
          <t>기계설비·소방설비</t>
        </is>
      </c>
      <c r="D10" s="77" t="inlineStr">
        <is>
          <t>9000-10-9</t>
        </is>
      </c>
      <c r="E10" s="79" t="inlineStr">
        <is>
          <t>9000-10-8</t>
        </is>
      </c>
      <c r="F10" s="79" t="inlineStr">
        <is>
          <t>9000-10-10</t>
        </is>
      </c>
      <c r="G10" s="17" t="inlineStr">
        <is>
          <t>주요 기계_소방 기자재 검수</t>
        </is>
      </c>
      <c r="H10" s="17" t="inlineStr">
        <is>
          <t>D-93</t>
        </is>
      </c>
      <c r="I10" s="17" t="inlineStr">
        <is>
          <t>기계/소방팀</t>
        </is>
      </c>
      <c r="J10" s="16" t="inlineStr">
        <is>
          <t>배관, 밸브, 펌프 등 주요 기계·소방 기자재의 KS/KFI 규격 검증 및 공장 시험(FAT) 수행</t>
        </is>
      </c>
      <c r="K10" s="31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17" t="inlineStr">
        <is>
          <t>주요 기계_소방 기자재 검수 시공계획서, 검측요청서 및 공인 시험성적서</t>
        </is>
      </c>
      <c r="M10" s="25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63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25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64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25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65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22" t="inlineStr">
        <is>
          <t>기계·소방 복합 시방 준수</t>
        </is>
      </c>
    </row>
    <row r="11" ht="115.2" customHeight="1">
      <c r="A11" s="77" t="inlineStr">
        <is>
          <t>9000</t>
        </is>
      </c>
      <c r="B11" s="77" t="inlineStr">
        <is>
          <t>9000-10</t>
        </is>
      </c>
      <c r="C11" s="77" t="inlineStr">
        <is>
          <t>기계설비·소방설비</t>
        </is>
      </c>
      <c r="D11" s="77" t="inlineStr">
        <is>
          <t>9000-10-10</t>
        </is>
      </c>
      <c r="E11" s="79" t="inlineStr">
        <is>
          <t>9000-10-9</t>
        </is>
      </c>
      <c r="F11" s="79" t="inlineStr">
        <is>
          <t>9000-10-11</t>
        </is>
      </c>
      <c r="G11" s="17" t="inlineStr">
        <is>
          <t>방화구획 내화채움구조 시공</t>
        </is>
      </c>
      <c r="H11" s="17" t="inlineStr">
        <is>
          <t>D-90</t>
        </is>
      </c>
      <c r="I11" s="17" t="inlineStr">
        <is>
          <t>기계/소방팀</t>
        </is>
      </c>
      <c r="J11" s="16" t="inlineStr">
        <is>
          <t>콘크리트 골조 타설 전 관통 슬리브 선매립 및 2시간 차열·차염 내화채움구조 시공</t>
        </is>
      </c>
      <c r="K11" s="31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17" t="inlineStr">
        <is>
          <t>방화구획 내화채움구조 시공 시공계획서, 검측요청서 및 공인 시험성적서</t>
        </is>
      </c>
      <c r="M11" s="25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63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25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64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25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65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22" t="inlineStr">
        <is>
          <t>기계·소방 복합 시방 준수</t>
        </is>
      </c>
    </row>
    <row r="12" ht="115.2" customHeight="1">
      <c r="A12" s="77" t="inlineStr">
        <is>
          <t>9000</t>
        </is>
      </c>
      <c r="B12" s="77" t="inlineStr">
        <is>
          <t>9000-10</t>
        </is>
      </c>
      <c r="C12" s="77" t="inlineStr">
        <is>
          <t>기계설비·소방설비</t>
        </is>
      </c>
      <c r="D12" s="77" t="inlineStr">
        <is>
          <t>9000-10-11</t>
        </is>
      </c>
      <c r="E12" s="79" t="inlineStr">
        <is>
          <t>9000-10-10</t>
        </is>
      </c>
      <c r="F12" s="79" t="inlineStr">
        <is>
          <t>9000-10-12</t>
        </is>
      </c>
      <c r="G12" s="17" t="inlineStr">
        <is>
          <t>선로전환기 배수공동구 연계</t>
        </is>
      </c>
      <c r="H12" s="17" t="inlineStr">
        <is>
          <t>D-87</t>
        </is>
      </c>
      <c r="I12" s="17" t="inlineStr">
        <is>
          <t>기계/소방팀</t>
        </is>
      </c>
      <c r="J12" s="16" t="inlineStr">
        <is>
          <t>본선 및 차량기지 143개소 선로전환기 하부 배수관로 선시공으로 동절기 결빙 및 침수 방지</t>
        </is>
      </c>
      <c r="K12" s="32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17" t="inlineStr">
        <is>
          <t>선로전환기 배수공동구 연계 시공계획서, 검측요청서 및 공인 시험성적서</t>
        </is>
      </c>
      <c r="M12" s="25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63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25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64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25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65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22" t="inlineStr">
        <is>
          <t>기계·소방 복합 시방 준수</t>
        </is>
      </c>
    </row>
    <row r="13" ht="115.2" customHeight="1">
      <c r="A13" s="77" t="inlineStr">
        <is>
          <t>9000</t>
        </is>
      </c>
      <c r="B13" s="77" t="inlineStr">
        <is>
          <t>9000-10</t>
        </is>
      </c>
      <c r="C13" s="77" t="inlineStr">
        <is>
          <t>기계설비·소방설비</t>
        </is>
      </c>
      <c r="D13" s="77" t="inlineStr">
        <is>
          <t>9000-10-12</t>
        </is>
      </c>
      <c r="E13" s="79" t="inlineStr">
        <is>
          <t>9000-10-11</t>
        </is>
      </c>
      <c r="F13" s="79" t="inlineStr">
        <is>
          <t>9000-10-13</t>
        </is>
      </c>
      <c r="G13" s="17" t="inlineStr">
        <is>
          <t>소방 기계 전원 간선 연계</t>
        </is>
      </c>
      <c r="H13" s="17" t="inlineStr">
        <is>
          <t>D-84</t>
        </is>
      </c>
      <c r="I13" s="17" t="inlineStr">
        <is>
          <t>기계/소방팀</t>
        </is>
      </c>
      <c r="J13" s="16" t="inlineStr">
        <is>
          <t>소방펌프, 제연팬 등 소방설비의 10초 이내 비상전원 절환 및 NFR-8 내화배선 무중단 공급</t>
        </is>
      </c>
      <c r="K13" s="32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17" t="inlineStr">
        <is>
          <t>소방 기계 전원 간선 연계 시공계획서, 검측요청서 및 공인 시험성적서</t>
        </is>
      </c>
      <c r="M13" s="25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63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25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64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25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65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22" t="inlineStr">
        <is>
          <t>기계·소방 복합 시방 준수</t>
        </is>
      </c>
    </row>
    <row r="14" ht="192" customHeight="1">
      <c r="A14" s="77" t="inlineStr">
        <is>
          <t>9000</t>
        </is>
      </c>
      <c r="B14" s="77" t="inlineStr">
        <is>
          <t>9000-10</t>
        </is>
      </c>
      <c r="C14" s="77" t="inlineStr">
        <is>
          <t>기계설비·소방설비</t>
        </is>
      </c>
      <c r="D14" s="77" t="inlineStr">
        <is>
          <t>9000-10-13</t>
        </is>
      </c>
      <c r="E14" s="79" t="inlineStr">
        <is>
          <t>9000-10-12</t>
        </is>
      </c>
      <c r="F14" s="79" t="inlineStr">
        <is>
          <t>9000-10-14</t>
        </is>
      </c>
      <c r="G14" s="17" t="inlineStr">
        <is>
          <t>저수조 사수방지 흡입배관</t>
        </is>
      </c>
      <c r="H14" s="17" t="inlineStr">
        <is>
          <t>D-81</t>
        </is>
      </c>
      <c r="I14" s="17" t="inlineStr">
        <is>
          <t>기계/소방팀</t>
        </is>
      </c>
      <c r="J14" s="16" t="inlineStr">
        <is>
          <t>위생적인 STS304 패널형 저수조 설치, 생활용수 사수 방지 배관 및 소화수 유효용량 상시 확보</t>
        </is>
      </c>
      <c r="K14" s="32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17" t="inlineStr">
        <is>
          <t>저수조 사수방지 흡입배관 시공계획서, 검측요청서 및 공인 시험성적서</t>
        </is>
      </c>
      <c r="M14" s="25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63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25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64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25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65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22" t="inlineStr">
        <is>
          <t>기계·소방 복합 시방 준수</t>
        </is>
      </c>
    </row>
    <row r="15" ht="115.2" customHeight="1">
      <c r="A15" s="77" t="inlineStr">
        <is>
          <t>9000</t>
        </is>
      </c>
      <c r="B15" s="77" t="inlineStr">
        <is>
          <t>9000-10</t>
        </is>
      </c>
      <c r="C15" s="77" t="inlineStr">
        <is>
          <t>기계설비·소방설비</t>
        </is>
      </c>
      <c r="D15" s="77" t="inlineStr">
        <is>
          <t>9000-10-14</t>
        </is>
      </c>
      <c r="E15" s="79" t="inlineStr">
        <is>
          <t>9000-10-13</t>
        </is>
      </c>
      <c r="F15" s="79" t="inlineStr">
        <is>
          <t>9000-10-15</t>
        </is>
      </c>
      <c r="G15" s="17" t="inlineStr">
        <is>
          <t>지열 신재생에너지 배관 매설</t>
        </is>
      </c>
      <c r="H15" s="17" t="inlineStr">
        <is>
          <t>D-78</t>
        </is>
      </c>
      <c r="I15" s="17" t="inlineStr">
        <is>
          <t>기계/소방팀</t>
        </is>
      </c>
      <c r="J15" s="16" t="inlineStr">
        <is>
          <t>수직 밀폐형 지열 U-Tube(심도 150m) 시공 및 친환경 지열 히트펌프 연계 열교환 극대화</t>
        </is>
      </c>
      <c r="K15" s="32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17" t="inlineStr">
        <is>
          <t>지열 신재생에너지 배관 매설 시공계획서, 검측요청서 및 공인 시험성적서</t>
        </is>
      </c>
      <c r="M15" s="25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63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25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64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25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65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22" t="inlineStr">
        <is>
          <t>기계·소방 복합 시방 준수</t>
        </is>
      </c>
    </row>
    <row r="16" ht="115.2" customHeight="1">
      <c r="A16" s="77" t="inlineStr">
        <is>
          <t>9000</t>
        </is>
      </c>
      <c r="B16" s="77" t="inlineStr">
        <is>
          <t>9000-10</t>
        </is>
      </c>
      <c r="C16" s="77" t="inlineStr">
        <is>
          <t>기계설비·소방설비</t>
        </is>
      </c>
      <c r="D16" s="77" t="inlineStr">
        <is>
          <t>9000-10-15</t>
        </is>
      </c>
      <c r="E16" s="79" t="inlineStr">
        <is>
          <t>9000-10-14</t>
        </is>
      </c>
      <c r="F16" s="79" t="inlineStr">
        <is>
          <t>9000-10-16</t>
        </is>
      </c>
      <c r="G16" s="17" t="inlineStr">
        <is>
          <t>정거장_변전소 환기덕트 시공</t>
        </is>
      </c>
      <c r="H16" s="17" t="inlineStr">
        <is>
          <t>D-75</t>
        </is>
      </c>
      <c r="I16" s="17" t="inlineStr">
        <is>
          <t>기계/소방팀</t>
        </is>
      </c>
      <c r="J16" s="16" t="inlineStr">
        <is>
          <t>변전실 1종 급기가압(10회/h, 실온 ≤40℃) 및 화장실 3종 음압 환기, 역류방지(B.D.D) 구축</t>
        </is>
      </c>
      <c r="K16" s="32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17" t="inlineStr">
        <is>
          <t>정거장_변전소 환기덕트 시공 시공계획서, 검측요청서 및 공인 시험성적서</t>
        </is>
      </c>
      <c r="M16" s="25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63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25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64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25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65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22" t="inlineStr">
        <is>
          <t>기계·소방 복합 시방 준수</t>
        </is>
      </c>
    </row>
    <row r="17" ht="115.2" customHeight="1">
      <c r="A17" s="77" t="inlineStr">
        <is>
          <t>9000</t>
        </is>
      </c>
      <c r="B17" s="77" t="inlineStr">
        <is>
          <t>9000-10</t>
        </is>
      </c>
      <c r="C17" s="77" t="inlineStr">
        <is>
          <t>기계설비·소방설비</t>
        </is>
      </c>
      <c r="D17" s="77" t="inlineStr">
        <is>
          <t>9000-10-16</t>
        </is>
      </c>
      <c r="E17" s="79" t="inlineStr">
        <is>
          <t>9000-10-15</t>
        </is>
      </c>
      <c r="F17" s="79" t="inlineStr">
        <is>
          <t>9000-10-17</t>
        </is>
      </c>
      <c r="G17" s="17" t="inlineStr">
        <is>
          <t>고내열(250℃) 제연팬_풍도</t>
        </is>
      </c>
      <c r="H17" s="17" t="inlineStr">
        <is>
          <t>D-72</t>
        </is>
      </c>
      <c r="I17" s="17" t="inlineStr">
        <is>
          <t>기계/소방팀</t>
        </is>
      </c>
      <c r="J17" s="16" t="inlineStr">
        <is>
          <t>KFI 공인 250℃ 1시간 연속운전 고내열 제연팬 및 1.5mm 내화풍도 시공으로 화재 유독가스 배출</t>
        </is>
      </c>
      <c r="K17" s="32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17" t="inlineStr">
        <is>
          <t>고내열(250℃) 제연팬_풍도 시공계획서, 검측요청서 및 공인 시험성적서</t>
        </is>
      </c>
      <c r="M17" s="25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63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25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64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25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65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22" t="inlineStr">
        <is>
          <t>기계·소방 복합 시방 준수</t>
        </is>
      </c>
    </row>
    <row r="18" ht="115.2" customHeight="1">
      <c r="A18" s="77" t="inlineStr">
        <is>
          <t>9000</t>
        </is>
      </c>
      <c r="B18" s="77" t="inlineStr">
        <is>
          <t>9000-10</t>
        </is>
      </c>
      <c r="C18" s="77" t="inlineStr">
        <is>
          <t>기계설비·소방설비</t>
        </is>
      </c>
      <c r="D18" s="77" t="inlineStr">
        <is>
          <t>9000-10-17</t>
        </is>
      </c>
      <c r="E18" s="79" t="inlineStr">
        <is>
          <t>9000-10-16</t>
        </is>
      </c>
      <c r="F18" s="79" t="inlineStr">
        <is>
          <t>9000-10-18</t>
        </is>
      </c>
      <c r="G18" s="17" t="inlineStr">
        <is>
          <t>검수고 국부 냉난방 가설</t>
        </is>
      </c>
      <c r="H18" s="17" t="inlineStr">
        <is>
          <t>D-69</t>
        </is>
      </c>
      <c r="I18" s="17" t="inlineStr">
        <is>
          <t>기계/소방팀</t>
        </is>
      </c>
      <c r="J18" s="16" t="inlineStr">
        <is>
          <t>대공간 검수고 작업자 중심 국부 냉난방(이동식 에어컨/원적외선) 및 변전소 전용 PAC 3대 배치</t>
        </is>
      </c>
      <c r="K18" s="31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17" t="inlineStr">
        <is>
          <t>검수고 국부 냉난방 가설 시공계획서, 검측요청서 및 공인 시험성적서</t>
        </is>
      </c>
      <c r="M18" s="25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63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25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64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25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65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22" t="inlineStr">
        <is>
          <t>기계·소방 복합 시방 준수</t>
        </is>
      </c>
    </row>
    <row r="19" ht="115.2" customHeight="1">
      <c r="A19" s="77" t="inlineStr">
        <is>
          <t>9000</t>
        </is>
      </c>
      <c r="B19" s="77" t="inlineStr">
        <is>
          <t>9000-10</t>
        </is>
      </c>
      <c r="C19" s="77" t="inlineStr">
        <is>
          <t>기계설비·소방설비</t>
        </is>
      </c>
      <c r="D19" s="77" t="inlineStr">
        <is>
          <t>9000-10-18</t>
        </is>
      </c>
      <c r="E19" s="79" t="inlineStr">
        <is>
          <t>9000-10-17</t>
        </is>
      </c>
      <c r="F19" s="79" t="inlineStr">
        <is>
          <t>9000-10-19</t>
        </is>
      </c>
      <c r="G19" s="17" t="inlineStr">
        <is>
          <t>냉온수_냉각수 배관 용접</t>
        </is>
      </c>
      <c r="H19" s="17" t="inlineStr">
        <is>
          <t>D-66</t>
        </is>
      </c>
      <c r="I19" s="17" t="inlineStr">
        <is>
          <t>기계/소방팀</t>
        </is>
      </c>
      <c r="J19" s="16" t="inlineStr">
        <is>
          <t>KSD 3562 탄소강관 맞대기 용접, 비파괴검사(RT ≥ 10%) 및 1.5MPa 수압시험을 통한 누수 Zero</t>
        </is>
      </c>
      <c r="K19" s="31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17" t="inlineStr">
        <is>
          <t>냉온수_냉각수 배관 용접 시공계획서, 검측요청서 및 공인 시험성적서</t>
        </is>
      </c>
      <c r="M19" s="25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63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25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64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25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65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22" t="inlineStr">
        <is>
          <t>기계·소방 복합 시방 준수</t>
        </is>
      </c>
    </row>
    <row r="20" ht="115.2" customHeight="1">
      <c r="A20" s="77" t="inlineStr">
        <is>
          <t>9000</t>
        </is>
      </c>
      <c r="B20" s="77" t="inlineStr">
        <is>
          <t>9000-10</t>
        </is>
      </c>
      <c r="C20" s="77" t="inlineStr">
        <is>
          <t>기계설비·소방설비</t>
        </is>
      </c>
      <c r="D20" s="77" t="inlineStr">
        <is>
          <t>9000-10-19</t>
        </is>
      </c>
      <c r="E20" s="79" t="inlineStr">
        <is>
          <t>9000-10-18</t>
        </is>
      </c>
      <c r="F20" s="79" t="inlineStr">
        <is>
          <t>9000-10-20</t>
        </is>
      </c>
      <c r="G20" s="17" t="inlineStr">
        <is>
          <t>능동지하차도 전용터널 제연</t>
        </is>
      </c>
      <c r="H20" s="17" t="inlineStr">
        <is>
          <t>D-63</t>
        </is>
      </c>
      <c r="I20" s="17" t="inlineStr">
        <is>
          <t>기계/소방팀</t>
        </is>
      </c>
      <c r="J20" s="16" t="inlineStr">
        <is>
          <t>지하차도 트램 전용터널 제연(Jet Fan 임계풍속 ≥ 2.5m/s) 및 50m 간격 건식 연결송수관 구축</t>
        </is>
      </c>
      <c r="K20" s="31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17" t="inlineStr">
        <is>
          <t>능동지하차도 전용터널 제연 시공계획서, 검측요청서 및 공인 시험성적서</t>
        </is>
      </c>
      <c r="M20" s="25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63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25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64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25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65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22" t="inlineStr">
        <is>
          <t>기계·소방 복합 시방 준수</t>
        </is>
      </c>
    </row>
    <row r="21" ht="115.2" customHeight="1">
      <c r="A21" s="77" t="inlineStr">
        <is>
          <t>9000</t>
        </is>
      </c>
      <c r="B21" s="77" t="inlineStr">
        <is>
          <t>9000-10</t>
        </is>
      </c>
      <c r="C21" s="77" t="inlineStr">
        <is>
          <t>기계설비·소방설비</t>
        </is>
      </c>
      <c r="D21" s="77" t="inlineStr">
        <is>
          <t>9000-10-20</t>
        </is>
      </c>
      <c r="E21" s="79" t="inlineStr">
        <is>
          <t>9000-10-19</t>
        </is>
      </c>
      <c r="F21" s="79" t="inlineStr">
        <is>
          <t>9000-10-21</t>
        </is>
      </c>
      <c r="G21" s="17" t="inlineStr">
        <is>
          <t>공기조화기(AHU_PAC) 거치</t>
        </is>
      </c>
      <c r="H21" s="17" t="inlineStr">
        <is>
          <t>D-60</t>
        </is>
      </c>
      <c r="I21" s="17" t="inlineStr">
        <is>
          <t>기계/소방팀</t>
        </is>
      </c>
      <c r="J21" s="16" t="inlineStr">
        <is>
          <t>공조기 케이싱 수평 거치, 방진마운트(정적변위 ≥ 25mm) 진동 차단 및 딥 U-Trap 배수</t>
        </is>
      </c>
      <c r="K21" s="32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17" t="inlineStr">
        <is>
          <t>공기조화기(AHU_PAC) 거치 시공계획서, 검측요청서 및 공인 시험성적서</t>
        </is>
      </c>
      <c r="M21" s="25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63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25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64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25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65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22" t="inlineStr">
        <is>
          <t>기계·소방 복합 시방 준수</t>
        </is>
      </c>
    </row>
    <row r="22" ht="115.2" customHeight="1">
      <c r="A22" s="77" t="inlineStr">
        <is>
          <t>9000</t>
        </is>
      </c>
      <c r="B22" s="77" t="inlineStr">
        <is>
          <t>9000-10</t>
        </is>
      </c>
      <c r="C22" s="77" t="inlineStr">
        <is>
          <t>기계설비·소방설비</t>
        </is>
      </c>
      <c r="D22" s="77" t="inlineStr">
        <is>
          <t>9000-10-21</t>
        </is>
      </c>
      <c r="E22" s="79" t="inlineStr">
        <is>
          <t>9000-10-20</t>
        </is>
      </c>
      <c r="F22" s="79" t="inlineStr">
        <is>
          <t>9000-10-22</t>
        </is>
      </c>
      <c r="G22" s="17" t="inlineStr">
        <is>
          <t>급수_급탕 STS 배관 시공</t>
        </is>
      </c>
      <c r="H22" s="17" t="inlineStr">
        <is>
          <t>D+5</t>
        </is>
      </c>
      <c r="I22" s="17" t="inlineStr">
        <is>
          <t>기계/소방팀</t>
        </is>
      </c>
      <c r="J22" s="16" t="inlineStr">
        <is>
          <t>STS304 강관 무용접 프레스 피팅 전동 압착, 1.0MPa 수압시험 및 위생 염소소독 완료</t>
        </is>
      </c>
      <c r="K22" s="32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17" t="inlineStr">
        <is>
          <t>급수_급탕 STS 배관 시공 시공계획서, 검측요청서 및 공인 시험성적서</t>
        </is>
      </c>
      <c r="M22" s="25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63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25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64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25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65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22" t="inlineStr">
        <is>
          <t>기계·소방 복합 시방 준수</t>
        </is>
      </c>
    </row>
    <row r="23" ht="115.2" customHeight="1">
      <c r="A23" s="77" t="inlineStr">
        <is>
          <t>9000</t>
        </is>
      </c>
      <c r="B23" s="77" t="inlineStr">
        <is>
          <t>9000-10</t>
        </is>
      </c>
      <c r="C23" s="77" t="inlineStr">
        <is>
          <t>기계설비·소방설비</t>
        </is>
      </c>
      <c r="D23" s="77" t="inlineStr">
        <is>
          <t>9000-10-22</t>
        </is>
      </c>
      <c r="E23" s="79" t="inlineStr">
        <is>
          <t>9000-10-21</t>
        </is>
      </c>
      <c r="F23" s="79" t="inlineStr">
        <is>
          <t>9000-10-23</t>
        </is>
      </c>
      <c r="G23" s="17" t="inlineStr">
        <is>
          <t>오배수관 및 집수조 배수펌프</t>
        </is>
      </c>
      <c r="H23" s="17" t="inlineStr">
        <is>
          <t>D+10</t>
        </is>
      </c>
      <c r="I23" s="17" t="inlineStr">
        <is>
          <t>기계/소방팀</t>
        </is>
      </c>
      <c r="J23" s="16" t="inlineStr">
        <is>
          <t>오배수관 자연유하 구배(i ≥ 1/100) 유지 및 집수조 수중배수펌프 자동교번 4단 수위제어</t>
        </is>
      </c>
      <c r="K23" s="31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17" t="inlineStr">
        <is>
          <t>오배수관 및 집수조 배수펌프 시공계획서, 검측요청서 및 공인 시험성적서</t>
        </is>
      </c>
      <c r="M23" s="25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63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25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64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25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65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22" t="inlineStr">
        <is>
          <t>기계·소방 복합 시방 준수</t>
        </is>
      </c>
    </row>
    <row r="24" ht="115.2" customHeight="1">
      <c r="A24" s="77" t="inlineStr">
        <is>
          <t>9000</t>
        </is>
      </c>
      <c r="B24" s="77" t="inlineStr">
        <is>
          <t>9000-10</t>
        </is>
      </c>
      <c r="C24" s="77" t="inlineStr">
        <is>
          <t>기계설비·소방설비</t>
        </is>
      </c>
      <c r="D24" s="77" t="inlineStr">
        <is>
          <t>9000-10-23</t>
        </is>
      </c>
      <c r="E24" s="79" t="inlineStr">
        <is>
          <t>9000-10-22</t>
        </is>
      </c>
      <c r="F24" s="79" t="inlineStr">
        <is>
          <t>9000-10-24</t>
        </is>
      </c>
      <c r="G24" s="17" t="inlineStr">
        <is>
          <t>차량기지 오폐수처리장(90㎡)</t>
        </is>
      </c>
      <c r="H24" s="17" t="inlineStr">
        <is>
          <t>D+15</t>
        </is>
      </c>
      <c r="I24" s="17" t="inlineStr">
        <is>
          <t>기계/소방팀</t>
        </is>
      </c>
      <c r="J24" s="16" t="inlineStr">
        <is>
          <t>중정비·경정비 발생 오폐수(35㎥/일)의 유수분리, 화학응집, 활성탄 흡착 및 수질 TMS 원격 방류</t>
        </is>
      </c>
      <c r="K24" s="32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17" t="inlineStr">
        <is>
          <t>차량기지 오폐수처리장(90㎡) 시공계획서, 검측요청서 및 공인 시험성적서</t>
        </is>
      </c>
      <c r="M24" s="25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63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25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64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25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65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22" t="inlineStr">
        <is>
          <t>기계·소방 복합 시방 준수</t>
        </is>
      </c>
    </row>
    <row r="25" ht="115.2" customHeight="1">
      <c r="A25" s="77" t="inlineStr">
        <is>
          <t>9000</t>
        </is>
      </c>
      <c r="B25" s="77" t="inlineStr">
        <is>
          <t>9000-10</t>
        </is>
      </c>
      <c r="C25" s="77" t="inlineStr">
        <is>
          <t>기계설비·소방설비</t>
        </is>
      </c>
      <c r="D25" s="77" t="inlineStr">
        <is>
          <t>9000-10-24</t>
        </is>
      </c>
      <c r="E25" s="79" t="inlineStr">
        <is>
          <t>9000-10-23</t>
        </is>
      </c>
      <c r="F25" s="79" t="inlineStr">
        <is>
          <t>9000-10-25</t>
        </is>
      </c>
      <c r="G25" s="17" t="inlineStr">
        <is>
          <t>차체 자동세척설비(세차기)</t>
        </is>
      </c>
      <c r="H25" s="17" t="inlineStr">
        <is>
          <t>D+20</t>
        </is>
      </c>
      <c r="I25" s="17" t="inlineStr">
        <is>
          <t>기계/소방팀</t>
        </is>
      </c>
      <c r="J25" s="16" t="inlineStr">
        <is>
          <t>트램 전동차 청소선 세차 갠트리, EVA 무스크래치 브러시 및 세척수 85% 회수 재활용</t>
        </is>
      </c>
      <c r="K25" s="32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17" t="inlineStr">
        <is>
          <t>차체 자동세척설비(세차기) 시공계획서, 검측요청서 및 공인 시험성적서</t>
        </is>
      </c>
      <c r="M25" s="25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63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25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64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25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65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22" t="inlineStr">
        <is>
          <t>기계·소방 복합 시방 준수</t>
        </is>
      </c>
    </row>
    <row r="26" ht="115.2" customHeight="1">
      <c r="A26" s="77" t="inlineStr">
        <is>
          <t>9000</t>
        </is>
      </c>
      <c r="B26" s="77" t="inlineStr">
        <is>
          <t>9000-10</t>
        </is>
      </c>
      <c r="C26" s="77" t="inlineStr">
        <is>
          <t>기계설비·소방설비</t>
        </is>
      </c>
      <c r="D26" s="77" t="inlineStr">
        <is>
          <t>9000-10-25</t>
        </is>
      </c>
      <c r="E26" s="79" t="inlineStr">
        <is>
          <t>9000-10-24</t>
        </is>
      </c>
      <c r="F26" s="79" t="inlineStr">
        <is>
          <t>9000-10-26</t>
        </is>
      </c>
      <c r="G26" s="17" t="inlineStr">
        <is>
          <t>정화조 음압 탈취설비 시공</t>
        </is>
      </c>
      <c r="H26" s="17" t="inlineStr">
        <is>
          <t>D+25</t>
        </is>
      </c>
      <c r="I26" s="17" t="inlineStr">
        <is>
          <t>기계/소방팀</t>
        </is>
      </c>
      <c r="J26" s="16" t="inlineStr">
        <is>
          <t>정화조실 3종 음압(-20Pa) 유지 및 2단 약액세정탑(산/알칼리)+첨착활성탄 복합 탈취</t>
        </is>
      </c>
      <c r="K26" s="32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17" t="inlineStr">
        <is>
          <t>정화조 음압 탈취설비 시공 시공계획서, 검측요청서 및 공인 시험성적서</t>
        </is>
      </c>
      <c r="M26" s="25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63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25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64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25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65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22" t="inlineStr">
        <is>
          <t>기계·소방 복합 시방 준수</t>
        </is>
      </c>
    </row>
    <row r="27" ht="153.6" customHeight="1">
      <c r="A27" s="77" t="inlineStr">
        <is>
          <t>9000</t>
        </is>
      </c>
      <c r="B27" s="77" t="inlineStr">
        <is>
          <t>9000-10</t>
        </is>
      </c>
      <c r="C27" s="77" t="inlineStr">
        <is>
          <t>기계설비·소방설비</t>
        </is>
      </c>
      <c r="D27" s="77" t="inlineStr">
        <is>
          <t>9000-10-26</t>
        </is>
      </c>
      <c r="E27" s="79" t="inlineStr">
        <is>
          <t>9000-10-25</t>
        </is>
      </c>
      <c r="F27" s="79" t="inlineStr">
        <is>
          <t>9000-10-27</t>
        </is>
      </c>
      <c r="G27" s="17" t="inlineStr">
        <is>
          <t>호스릴 옥내소화전설비 시공</t>
        </is>
      </c>
      <c r="H27" s="17" t="inlineStr">
        <is>
          <t>D+30</t>
        </is>
      </c>
      <c r="I27" s="17" t="inlineStr">
        <is>
          <t>기계/소방팀</t>
        </is>
      </c>
      <c r="J27" s="16" t="inlineStr">
        <is>
          <t>STS304 호스릴 옥내소화전(보행거리 25m 이내, 방수압 0.17~0.7MPa) 1인 조작 화재 진압</t>
        </is>
      </c>
      <c r="K27" s="32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17" t="inlineStr">
        <is>
          <t>호스릴 옥내소화전설비 시공 시공계획서, 검측요청서 및 공인 시험성적서</t>
        </is>
      </c>
      <c r="M27" s="25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63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25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64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25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65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22" t="inlineStr">
        <is>
          <t>기계·소방 복합 시방 준수</t>
        </is>
      </c>
    </row>
    <row r="28" ht="211.2" customHeight="1">
      <c r="A28" s="77" t="inlineStr">
        <is>
          <t>9000</t>
        </is>
      </c>
      <c r="B28" s="77" t="inlineStr">
        <is>
          <t>9000-10</t>
        </is>
      </c>
      <c r="C28" s="77" t="inlineStr">
        <is>
          <t>기계설비·소방설비</t>
        </is>
      </c>
      <c r="D28" s="77" t="inlineStr">
        <is>
          <t>9000-10-27</t>
        </is>
      </c>
      <c r="E28" s="79" t="inlineStr">
        <is>
          <t>9000-10-26</t>
        </is>
      </c>
      <c r="F28" s="79" t="inlineStr">
        <is>
          <t>9000-10-28</t>
        </is>
      </c>
      <c r="G28" s="17" t="inlineStr">
        <is>
          <t>연결송수관-스프링클러 주배관 분리</t>
        </is>
      </c>
      <c r="H28" s="17" t="inlineStr">
        <is>
          <t>D+35</t>
        </is>
      </c>
      <c r="I28" s="17" t="inlineStr">
        <is>
          <t>기계/소방팀</t>
        </is>
      </c>
      <c r="J28" s="16" t="inlineStr">
        <is>
          <t>개정 화재안전기준에 따른 연결송수관과 스프링클러설비의 주배관 및 옥외 송수구 완전 물리적 분리</t>
        </is>
      </c>
      <c r="K28" s="31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17" t="inlineStr">
        <is>
          <t>연결송수관-스프링클러 주배관 분리 시공계획서, 검측요청서 및 공인 시험성적서</t>
        </is>
      </c>
      <c r="M28" s="25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63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25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64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25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65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22" t="inlineStr">
        <is>
          <t>기계·소방 복합 시방 준수</t>
        </is>
      </c>
    </row>
    <row r="29" ht="115.2" customHeight="1">
      <c r="A29" s="77" t="inlineStr">
        <is>
          <t>9000</t>
        </is>
      </c>
      <c r="B29" s="77" t="inlineStr">
        <is>
          <t>9000-10</t>
        </is>
      </c>
      <c r="C29" s="77" t="inlineStr">
        <is>
          <t>기계설비·소방설비</t>
        </is>
      </c>
      <c r="D29" s="77" t="inlineStr">
        <is>
          <t>9000-10-28</t>
        </is>
      </c>
      <c r="E29" s="79" t="inlineStr">
        <is>
          <t>9000-10-27</t>
        </is>
      </c>
      <c r="F29" s="79" t="inlineStr">
        <is>
          <t>9000-10-29</t>
        </is>
      </c>
      <c r="G29" s="17" t="inlineStr">
        <is>
          <t>큐비클 가스계_에어로졸 소화</t>
        </is>
      </c>
      <c r="H29" s="17" t="inlineStr">
        <is>
          <t>D+40</t>
        </is>
      </c>
      <c r="I29" s="17" t="inlineStr">
        <is>
          <t>기계/소방팀</t>
        </is>
      </c>
      <c r="J29" s="16" t="inlineStr">
        <is>
          <t>특고압/저압 수배전반 판넬 내부 KFI 인증 소공간 고체에어로졸 설치 및 3초 내 초기 진압</t>
        </is>
      </c>
      <c r="K29" s="32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17" t="inlineStr">
        <is>
          <t>큐비클 가스계_에어로졸 소화 시공계획서, 검측요청서 및 공인 시험성적서</t>
        </is>
      </c>
      <c r="M29" s="25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63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25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64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25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65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22" t="inlineStr">
        <is>
          <t>기계·소방 복합 시방 준수</t>
        </is>
      </c>
    </row>
    <row r="30" ht="115.2" customHeight="1">
      <c r="A30" s="77" t="inlineStr">
        <is>
          <t>9000</t>
        </is>
      </c>
      <c r="B30" s="77" t="inlineStr">
        <is>
          <t>9000-10</t>
        </is>
      </c>
      <c r="C30" s="77" t="inlineStr">
        <is>
          <t>기계설비·소방설비</t>
        </is>
      </c>
      <c r="D30" s="77" t="inlineStr">
        <is>
          <t>9000-10-29</t>
        </is>
      </c>
      <c r="E30" s="79" t="inlineStr">
        <is>
          <t>9000-10-28</t>
        </is>
      </c>
      <c r="F30" s="79" t="inlineStr">
        <is>
          <t>9000-10-30</t>
        </is>
      </c>
      <c r="G30" s="17" t="inlineStr">
        <is>
          <t>가스소화구역 과압배출구(P.R.D)</t>
        </is>
      </c>
      <c r="H30" s="17" t="inlineStr">
        <is>
          <t>D+45</t>
        </is>
      </c>
      <c r="I30" s="17" t="inlineStr">
        <is>
          <t>기계/소방팀</t>
        </is>
      </c>
      <c r="J30" s="16" t="inlineStr">
        <is>
          <t>가스소화약제 방출 시 실내 과압(200Pa) 자동 해소 및 자중 폐쇄를 통한 10분 설계농도 유지</t>
        </is>
      </c>
      <c r="K30" s="33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17" t="inlineStr">
        <is>
          <t>가스소화구역 과압배출구(P.R.D) 시공계획서, 검측요청서 및 공인 시험성적서</t>
        </is>
      </c>
      <c r="M30" s="25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63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25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64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25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65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22" t="inlineStr">
        <is>
          <t>기계·소방 복합 시방 준수</t>
        </is>
      </c>
    </row>
    <row r="31" ht="115.2" customHeight="1">
      <c r="A31" s="77" t="inlineStr">
        <is>
          <t>9000</t>
        </is>
      </c>
      <c r="B31" s="77" t="inlineStr">
        <is>
          <t>9000-10</t>
        </is>
      </c>
      <c r="C31" s="77" t="inlineStr">
        <is>
          <t>기계설비·소방설비</t>
        </is>
      </c>
      <c r="D31" s="77" t="inlineStr">
        <is>
          <t>9000-10-30</t>
        </is>
      </c>
      <c r="E31" s="79" t="inlineStr">
        <is>
          <t>9000-10-29</t>
        </is>
      </c>
      <c r="F31" s="79" t="inlineStr">
        <is>
          <t>9000-10-31</t>
        </is>
      </c>
      <c r="G31" s="17" t="inlineStr">
        <is>
          <t>소방펌프실 가설 및 성능시험</t>
        </is>
      </c>
      <c r="H31" s="17" t="inlineStr">
        <is>
          <t>D+50</t>
        </is>
      </c>
      <c r="I31" s="17" t="inlineStr">
        <is>
          <t>기계/소방팀</t>
        </is>
      </c>
      <c r="J31" s="16" t="inlineStr">
        <is>
          <t>소방펌프실 주/충압펌프 거치 및 체절압력(≤140%), 정격(100%), 150% 부하(≥65%) 법정 성능시험</t>
        </is>
      </c>
      <c r="K31" s="33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17" t="inlineStr">
        <is>
          <t>소방펌프실 가설 및 성능시험 시공계획서, 검측요청서 및 공인 시험성적서</t>
        </is>
      </c>
      <c r="M31" s="25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63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25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64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25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65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22" t="inlineStr">
        <is>
          <t>기계·소방 복합 시방 준수</t>
        </is>
      </c>
    </row>
    <row r="32" ht="115.2" customHeight="1">
      <c r="A32" s="77" t="inlineStr">
        <is>
          <t>9000</t>
        </is>
      </c>
      <c r="B32" s="77" t="inlineStr">
        <is>
          <t>9000-10</t>
        </is>
      </c>
      <c r="C32" s="77" t="inlineStr">
        <is>
          <t>기계설비·소방설비</t>
        </is>
      </c>
      <c r="D32" s="77" t="inlineStr">
        <is>
          <t>9000-10-31</t>
        </is>
      </c>
      <c r="E32" s="79" t="inlineStr">
        <is>
          <t>9000-10-30</t>
        </is>
      </c>
      <c r="F32" s="79" t="inlineStr">
        <is>
          <t>9000-10-32</t>
        </is>
      </c>
      <c r="G32" s="17" t="inlineStr">
        <is>
          <t>정거장 인승용 승강기(17_24인승)</t>
        </is>
      </c>
      <c r="H32" s="17" t="inlineStr">
        <is>
          <t>D+55</t>
        </is>
      </c>
      <c r="I32" s="17" t="inlineStr">
        <is>
          <t>기계/소방팀</t>
        </is>
      </c>
      <c r="J32" s="16" t="inlineStr">
        <is>
          <t>정거장 MRL(기계실 없는) 인승용 승강기 설치 및 KoELSA 완성검사 필증 획득</t>
        </is>
      </c>
      <c r="K32" s="33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17" t="inlineStr">
        <is>
          <t>정거장 인승용 승강기(17_24인승) 시공계획서, 검측요청서 및 공인 시험성적서</t>
        </is>
      </c>
      <c r="M32" s="25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63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25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64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25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65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22" t="inlineStr">
        <is>
          <t>기계·소방 복합 시방 준수</t>
        </is>
      </c>
    </row>
    <row r="33" ht="115.2" customHeight="1">
      <c r="A33" s="77" t="inlineStr">
        <is>
          <t>9000</t>
        </is>
      </c>
      <c r="B33" s="77" t="inlineStr">
        <is>
          <t>9000-10</t>
        </is>
      </c>
      <c r="C33" s="77" t="inlineStr">
        <is>
          <t>기계설비·소방설비</t>
        </is>
      </c>
      <c r="D33" s="77" t="inlineStr">
        <is>
          <t>9000-10-32</t>
        </is>
      </c>
      <c r="E33" s="79" t="inlineStr">
        <is>
          <t>9000-10-31</t>
        </is>
      </c>
      <c r="F33" s="79" t="inlineStr">
        <is>
          <t>9000-10-33</t>
        </is>
      </c>
      <c r="G33" s="17" t="inlineStr">
        <is>
          <t>검수고 관통형 화물용 EV</t>
        </is>
      </c>
      <c r="H33" s="17" t="inlineStr">
        <is>
          <t>D+60</t>
        </is>
      </c>
      <c r="I33" s="17" t="inlineStr">
        <is>
          <t>기계/소방팀</t>
        </is>
      </c>
      <c r="J33" s="16" t="inlineStr">
        <is>
          <t>차량기지 종합검수고 관통형(양방향 도어) 3~5ton 화물용 승강기 가설 및 지게차 진입 바닥 보강</t>
        </is>
      </c>
      <c r="K33" s="33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17" t="inlineStr">
        <is>
          <t>검수고 관통형 화물용 EV 시공계획서, 검측요청서 및 공인 시험성적서</t>
        </is>
      </c>
      <c r="M33" s="25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63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25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64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25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65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22" t="inlineStr">
        <is>
          <t>기계·소방 복합 시방 준수</t>
        </is>
      </c>
    </row>
    <row r="34" ht="115.2" customHeight="1">
      <c r="A34" s="84" t="inlineStr">
        <is>
          <t>9000</t>
        </is>
      </c>
      <c r="B34" s="84" t="inlineStr">
        <is>
          <t>9000-10</t>
        </is>
      </c>
      <c r="C34" s="84" t="inlineStr">
        <is>
          <t>기계설비·소방설비</t>
        </is>
      </c>
      <c r="D34" s="84" t="inlineStr">
        <is>
          <t>9000-10-33</t>
        </is>
      </c>
      <c r="E34" s="85" t="inlineStr">
        <is>
          <t>9000-10-32</t>
        </is>
      </c>
      <c r="F34" s="85" t="inlineStr">
        <is>
          <t>9000-10-34</t>
        </is>
      </c>
      <c r="G34" s="4" t="inlineStr">
        <is>
          <t>DDC_IP DDC 자동제어 백업 이중화</t>
        </is>
      </c>
      <c r="H34" s="4" t="inlineStr">
        <is>
          <t>D+65</t>
        </is>
      </c>
      <c r="I34" s="4" t="inlineStr">
        <is>
          <t>기계/소방팀</t>
        </is>
      </c>
      <c r="J34" s="3" t="inlineStr">
        <is>
          <t>기계설비 직접디지털제어(IP DDC) 판넬 설치, BACnet 국제표준 통신 및 관제서버 무중단 이중화</t>
        </is>
      </c>
      <c r="K34" s="3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4" t="inlineStr">
        <is>
          <t>DDC_IP DDC 자동제어 백업 이중화 시공계획서, 검측요청서 및 공인 시험성적서</t>
        </is>
      </c>
      <c r="M34" s="3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66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3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67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3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68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3" t="inlineStr">
        <is>
          <t>기계·소방 복합 시방 준수</t>
        </is>
      </c>
    </row>
    <row r="35" ht="115.2" customHeight="1">
      <c r="A35" s="84" t="inlineStr">
        <is>
          <t>9000</t>
        </is>
      </c>
      <c r="B35" s="84" t="inlineStr">
        <is>
          <t>9000-10</t>
        </is>
      </c>
      <c r="C35" s="84" t="inlineStr">
        <is>
          <t>기계설비·소방설비</t>
        </is>
      </c>
      <c r="D35" s="84" t="inlineStr">
        <is>
          <t>9000-10-34</t>
        </is>
      </c>
      <c r="E35" s="85" t="inlineStr">
        <is>
          <t>9000-10-33</t>
        </is>
      </c>
      <c r="F35" s="85" t="inlineStr">
        <is>
          <t>9000-10-35</t>
        </is>
      </c>
      <c r="G35" s="4" t="inlineStr">
        <is>
          <t>화재연동 인터록 실부하 시험</t>
        </is>
      </c>
      <c r="H35" s="4" t="inlineStr">
        <is>
          <t>D+70</t>
        </is>
      </c>
      <c r="I35" s="4" t="inlineStr">
        <is>
          <t>기계/소방팀</t>
        </is>
      </c>
      <c r="J35" s="3" t="inlineStr">
        <is>
          <t>화재 수신반 신호 수신 즉시 공조기 100% 강제 정지 및 제연팬 배연 모드 자동 인터록</t>
        </is>
      </c>
      <c r="K35" s="3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4" t="inlineStr">
        <is>
          <t>화재연동 인터록 실부하 시험 시공계획서, 검측요청서 및 공인 시험성적서</t>
        </is>
      </c>
      <c r="M35" s="3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66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3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67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3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68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3" t="inlineStr">
        <is>
          <t>기계·소방 복합 시방 준수</t>
        </is>
      </c>
    </row>
    <row r="36" ht="115.2" customHeight="1">
      <c r="A36" s="84" t="inlineStr">
        <is>
          <t>9000</t>
        </is>
      </c>
      <c r="B36" s="84" t="inlineStr">
        <is>
          <t>9000-10</t>
        </is>
      </c>
      <c r="C36" s="84" t="inlineStr">
        <is>
          <t>기계설비·소방설비</t>
        </is>
      </c>
      <c r="D36" s="84" t="inlineStr">
        <is>
          <t>9000-10-35</t>
        </is>
      </c>
      <c r="E36" s="85" t="inlineStr">
        <is>
          <t>9000-10-34</t>
        </is>
      </c>
      <c r="F36" s="85" t="inlineStr">
        <is>
          <t>9000-10-36</t>
        </is>
      </c>
      <c r="G36" s="4" t="inlineStr">
        <is>
          <t>TAB(풍량_수량 밸런싱) 측정</t>
        </is>
      </c>
      <c r="H36" s="4" t="inlineStr">
        <is>
          <t>D+75</t>
        </is>
      </c>
      <c r="I36" s="4" t="inlineStr">
        <is>
          <t>기계/소방팀</t>
        </is>
      </c>
      <c r="J36" s="3" t="inlineStr">
        <is>
          <t>공조 덕트 풍량(오차 ±10% 이내) 및 수배관 유량 정밀 측정·조정(TAB)으로 쾌적성 확보</t>
        </is>
      </c>
      <c r="K36" s="3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4" t="inlineStr">
        <is>
          <t>TAB(풍량_수량 밸런싱) 측정 시공계획서, 검측요청서 및 공인 시험성적서</t>
        </is>
      </c>
      <c r="M36" s="3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66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3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67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3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68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3" t="inlineStr">
        <is>
          <t>기계·소방 복합 시방 준수</t>
        </is>
      </c>
    </row>
    <row r="37" ht="115.2" customHeight="1">
      <c r="A37" s="84" t="inlineStr">
        <is>
          <t>9000</t>
        </is>
      </c>
      <c r="B37" s="84" t="inlineStr">
        <is>
          <t>9000-10</t>
        </is>
      </c>
      <c r="C37" s="84" t="inlineStr">
        <is>
          <t>기계설비·소방설비</t>
        </is>
      </c>
      <c r="D37" s="84" t="inlineStr">
        <is>
          <t>9000-10-36</t>
        </is>
      </c>
      <c r="E37" s="85" t="inlineStr">
        <is>
          <t>9000-10-35</t>
        </is>
      </c>
      <c r="F37" s="85" t="inlineStr">
        <is>
          <t>-</t>
        </is>
      </c>
      <c r="G37" s="4" t="inlineStr">
        <is>
          <t>소방 완공검사 및 종합인계</t>
        </is>
      </c>
      <c r="H37" s="4" t="inlineStr">
        <is>
          <t>D+80</t>
        </is>
      </c>
      <c r="I37" s="4" t="inlineStr">
        <is>
          <t>기계/소방팀</t>
        </is>
      </c>
      <c r="J37" s="3" t="inlineStr">
        <is>
          <t>관할 소방서 완공검사필증 획득, As-Built 준공도서 편찬 및 운영사(화성도시공사) 무결점 인수인계</t>
        </is>
      </c>
      <c r="K37" s="3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4" t="inlineStr">
        <is>
          <t>소방 완공검사 및 종합인계 시공계획서, 검측요청서 및 공인 시험성적서</t>
        </is>
      </c>
      <c r="M37" s="3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66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3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67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3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68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3" t="inlineStr">
        <is>
          <t>기계·소방 복합 시방 준수</t>
        </is>
      </c>
    </row>
  </sheetData>
  <pageMargins left="0.7086614173228347" right="0.7086614173228347" top="0.7480314960629921" bottom="0.7480314960629921" header="0.3149606299212598" footer="0.3149606299212598"/>
  <pageSetup orientation="landscape" paperSize="8" scale="35" verticalDpi="0"/>
</worksheet>
</file>

<file path=xl/worksheets/sheet11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S37"/>
  <sheetViews>
    <sheetView tabSelected="1" view="pageBreakPreview" zoomScale="40" zoomScaleNormal="55" zoomScaleSheetLayoutView="40" workbookViewId="0">
      <selection activeCell="E3" sqref="E3"/>
    </sheetView>
  </sheetViews>
  <sheetFormatPr baseColWidth="8" defaultRowHeight="17.4"/>
  <cols>
    <col width="9" bestFit="1" customWidth="1" style="4" min="1" max="2"/>
    <col width="13.19921875" bestFit="1" customWidth="1" style="4" min="3" max="3"/>
    <col width="11.19921875" bestFit="1" customWidth="1" style="4" min="4" max="4"/>
    <col width="16" customWidth="1" style="2" min="5" max="6"/>
    <col width="30.3984375" customWidth="1" style="4" min="7" max="7"/>
    <col width="23.296875" customWidth="1" style="4" min="8" max="8"/>
    <col width="21.69921875" customWidth="1" style="4" min="9" max="9"/>
    <col width="32.59765625" customWidth="1" style="3" min="10" max="10"/>
    <col width="73.09765625" customWidth="1" style="3" min="11" max="11"/>
    <col width="19.3984375" customWidth="1" style="4" min="12" max="12"/>
    <col width="53" customWidth="1" style="3" min="13" max="13"/>
    <col width="14.69921875" customWidth="1" style="3" min="14" max="14"/>
    <col width="45" customWidth="1" style="3" min="15" max="15"/>
    <col width="15.796875" customWidth="1" style="3" min="16" max="16"/>
    <col width="45" customWidth="1" style="3" min="17" max="17"/>
    <col width="16.09765625" customWidth="1" style="26" min="18" max="18"/>
    <col width="15.796875" customWidth="1" style="3" min="19" max="19"/>
    <col width="45" customWidth="1" style="3" min="20" max="35"/>
    <col width="8.796875" customWidth="1" style="3" min="36" max="16384"/>
  </cols>
  <sheetData>
    <row r="1" ht="57.6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작업단위 (Level 4 Task/Activity)</t>
        </is>
      </c>
      <c r="H1" s="12" t="inlineStr">
        <is>
          <t>일정 (D-Day)</t>
        </is>
      </c>
      <c r="I1" s="12" t="inlineStr">
        <is>
          <t>주관</t>
        </is>
      </c>
      <c r="J1" s="12" t="inlineStr">
        <is>
          <t>목적</t>
        </is>
      </c>
      <c r="K1" s="20" t="inlineStr">
        <is>
          <t>방법</t>
        </is>
      </c>
      <c r="L1" s="20" t="inlineStr">
        <is>
          <t>산출물(결과)</t>
        </is>
      </c>
      <c r="M1" s="20" t="inlineStr">
        <is>
          <t>표준서 (Standard) 요약</t>
        </is>
      </c>
      <c r="N1" s="13" t="inlineStr">
        <is>
          <t>표준서 파일 (HTML)</t>
        </is>
      </c>
      <c r="O1" s="20" t="inlineStr">
        <is>
          <t>수행지침 (Guideline) 요약</t>
        </is>
      </c>
      <c r="P1" s="13" t="inlineStr">
        <is>
          <t>수행지침 파일 (HTML)</t>
        </is>
      </c>
      <c r="Q1" s="20" t="inlineStr">
        <is>
          <t>체크리스트 (Checklist) 요약</t>
        </is>
      </c>
      <c r="R1" s="21" t="inlineStr">
        <is>
          <t>체크리스트 파일 (HTML)</t>
        </is>
      </c>
      <c r="S1" s="11" t="inlineStr">
        <is>
          <t>비고</t>
        </is>
      </c>
    </row>
    <row r="2" ht="199.2" customHeight="1">
      <c r="A2" s="77" t="inlineStr">
        <is>
          <t>9000</t>
        </is>
      </c>
      <c r="B2" s="77" t="inlineStr">
        <is>
          <t>9000-11</t>
        </is>
      </c>
      <c r="C2" s="77" t="inlineStr">
        <is>
          <t>철도종합시험운행</t>
        </is>
      </c>
      <c r="D2" s="77" t="inlineStr">
        <is>
          <t>9000-11-1</t>
        </is>
      </c>
      <c r="E2" s="79" t="inlineStr">
        <is>
          <t>-</t>
        </is>
      </c>
      <c r="F2" s="79" t="inlineStr">
        <is>
          <t>9000-11-2</t>
        </is>
      </c>
      <c r="G2" s="17" t="inlineStr">
        <is>
          <t>철도종합시험운행 사전검토</t>
        </is>
      </c>
      <c r="H2" s="17" t="inlineStr">
        <is>
          <t>D-60</t>
        </is>
      </c>
      <c r="I2" s="17" t="inlineStr">
        <is>
          <t>개통운영팀</t>
        </is>
      </c>
      <c r="J2" s="16" t="inlineStr">
        <is>
          <t>철도종합시험운행 시행지침 분석 및 3단계 종합시험운행 추진체계 사전 검토</t>
        </is>
      </c>
      <c r="K2" s="31" t="inlineStr">
        <is>
          <t>1) STEP 1: 철도종합시험운행 법정 기준 및 절차 분석 (철도안전법 제38조(종합시험운행) 및 국토교통부 고시 철도종합시험운행 시행지침의 단계별 필수 검증 항목을 분석합니다.)
2) STEP 2: 시험운행 단계별(사전점검·시설물검증·영업시운전) 마일스톤 도출 (사전점검(60일), 시설물검증시험(30일), 영업시운전(30일)에 필요한 최소 시험기간 및 법정 선행조건을 수립합니다.)
3) STEP 3: 철도종합시험운행 사전검토서 편찬 및 승인 (사업단 개통운영팀 주관으로 전 공종(토목, 궤도, 건축, 기계, 전기, 신호, 통신, 차량) 검토의견을 취합하여 사전검토서를 확정합니다.)</t>
        </is>
      </c>
      <c r="L2" s="17" t="inlineStr">
        <is>
          <t>철도종합시험운행 사전검토 결과보고서, 회의록 및 TS 공인 필증</t>
        </is>
      </c>
      <c r="M2" s="25" t="inlineStr">
        <is>
          <t>1) 철도종합시험운행 사전검토 (9000-9-1) 업무 달성을 위해 철도안전법 제38조 및 국토부 시행지침을 100% 충족한다.
2) 철도종합시험운행 시행지침 분석 및 3단계 종합시험운행 추진체계 사전 검토을 엄격히 완수하여 국토교통부/TS 승인을 획득한다.</t>
        </is>
      </c>
      <c r="N2" s="63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25" t="inlineStr">
        <is>
          <t>1) STEP 1: 철도종합시험운행 법정 기준 및 절차 분석
2) STEP 2: 시험운행 단계별(사전점검·시설물검증·영업시운전) 마일스톤 도출</t>
        </is>
      </c>
      <c r="P2" s="64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25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65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22" t="inlineStr">
        <is>
          <t>철도종합시험운행 시행지침 준수</t>
        </is>
      </c>
    </row>
    <row r="3" ht="219.6" customHeight="1">
      <c r="A3" s="77" t="inlineStr">
        <is>
          <t>9000</t>
        </is>
      </c>
      <c r="B3" s="77" t="inlineStr">
        <is>
          <t>9000-11</t>
        </is>
      </c>
      <c r="C3" s="77" t="inlineStr">
        <is>
          <t>철도종합시험운행</t>
        </is>
      </c>
      <c r="D3" s="77" t="inlineStr">
        <is>
          <t>9000-11-2</t>
        </is>
      </c>
      <c r="E3" s="79" t="inlineStr">
        <is>
          <t>9000-11-1</t>
        </is>
      </c>
      <c r="F3" s="79" t="inlineStr">
        <is>
          <t>9000-11-3</t>
        </is>
      </c>
      <c r="G3" s="18" t="inlineStr">
        <is>
          <t>철도종합시험운행 사전검토 회의</t>
        </is>
      </c>
      <c r="H3" s="18" t="inlineStr">
        <is>
          <t>D-50</t>
        </is>
      </c>
      <c r="I3" s="17" t="inlineStr">
        <is>
          <t>개통운영팀</t>
        </is>
      </c>
      <c r="J3" s="16" t="inlineStr">
        <is>
          <t>사업단·감리단·협력사 합동 사전검토 회의 및 SOP 일정계획 상호 검토</t>
        </is>
      </c>
      <c r="K3" s="31" t="inlineStr">
        <is>
          <t>1) STEP 1: 전 공종 책임자 합동 사전검토 회의 소집 (사업단 개통운영팀 주관으로 토목, 궤도, 시스템, 차량 등 전 공종 감리원 및 현장소장 합동회의를 개최합니다.)
2) STEP 2: 분야별 잔여 공종 및 시운전 간섭 요소 검토 (전기 가압, 통신망 개통, 신호 연동시험 등 시운전 선행 필수 공종의 완료 시점을 1:1 대조합니다.)
3) STEP 3: 사전검토 회의록 작성 및 이행 확약 (도출된 120개 필수 점검항목과 일정 조정안을 회의록에 명시하고 참석자 전원 서명 날인하여 배포합니다.)</t>
        </is>
      </c>
      <c r="L3" s="17" t="inlineStr">
        <is>
          <t>철도종합시험운행 사전검토 회의 결과보고서, 회의록 및 TS 공인 필증</t>
        </is>
      </c>
      <c r="M3" s="25" t="inlineStr">
        <is>
          <t>1) 철도종합시험운행 사전검토 회의 (9000-9-2) 업무 달성을 위해 철도안전법 제38조 및 국토부 시행지침을 100% 충족한다.
2) 사업단·감리단·협력사 합동 사전검토 회의 및 SOP 일정계획 상호 검토을 엄격히 완수하여 국토교통부/TS 승인을 획득한다.</t>
        </is>
      </c>
      <c r="N3" s="63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25" t="inlineStr">
        <is>
          <t>1) STEP 1: 전 공종 책임자 합동 사전검토 회의 소집
2) STEP 2: 분야별 잔여 공종 및 시운전 간섭 요소 검토</t>
        </is>
      </c>
      <c r="P3" s="64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25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65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22" t="inlineStr">
        <is>
          <t>철도종합시험운행 시행지침 준수</t>
        </is>
      </c>
    </row>
    <row r="4" ht="133.8" customHeight="1">
      <c r="A4" s="77" t="inlineStr">
        <is>
          <t>9000</t>
        </is>
      </c>
      <c r="B4" s="77" t="inlineStr">
        <is>
          <t>9000-11</t>
        </is>
      </c>
      <c r="C4" s="77" t="inlineStr">
        <is>
          <t>철도종합시험운행</t>
        </is>
      </c>
      <c r="D4" s="77" t="inlineStr">
        <is>
          <t>9000-11-3</t>
        </is>
      </c>
      <c r="E4" s="79" t="inlineStr">
        <is>
          <t>9000-11-2</t>
        </is>
      </c>
      <c r="F4" s="79" t="inlineStr">
        <is>
          <t>9000-11-4</t>
        </is>
      </c>
      <c r="G4" s="17" t="inlineStr">
        <is>
          <t>토목·궤도 인터페이스 협의</t>
        </is>
      </c>
      <c r="H4" s="18" t="inlineStr">
        <is>
          <t>D-40</t>
        </is>
      </c>
      <c r="I4" s="17" t="inlineStr">
        <is>
          <t>시스템팀</t>
        </is>
      </c>
      <c r="J4" s="16" t="inlineStr">
        <is>
          <t>노반·궤도·분기기 시공 상태 검증 및 신호설비 설치 사전 인터페이스 협의</t>
        </is>
      </c>
      <c r="K4" s="31" t="inlineStr">
        <is>
          <t>1) STEP 1: 매립형 궤도 기하구조 정밀 실측 데이터 검토 (트램 본선 34.4km 전 구간의 궤간(1,435mm), 수평, 고저, 평면성 및 유간 측정 데이터를 정밀 검증합니다.)
2) STEP 2: 선로전환기(143개소) 및 신호 검지선 인터페이스 확인 (궤도 도상 타설부와 신호 선로전환기 모터/로드 결합부의 기계적 인터페이스를 검토합니다.)
3) STEP 3: 토목·궤도 인터페이스 관리대장 확정 (승강장 연단과 트램 차량 발판 간격(50mm 이내) 및 건축한계 침범 여부를 최종 확인 후 관리대장을 작성합니다.)</t>
        </is>
      </c>
      <c r="L4" s="17" t="inlineStr">
        <is>
          <t>토목·궤도 인터페이스 협의 결과보고서, 회의록 및 TS 공인 필증</t>
        </is>
      </c>
      <c r="M4" s="25" t="inlineStr">
        <is>
          <t>1) 토목·궤도 인터페이스 협의 (9000-9-3) 업무 달성을 위해 철도안전법 제38조 및 국토부 시행지침을 100% 충족한다.
2) 노반·궤도·분기기 시공 상태 검증 및 신호설비 설치 사전 인터페이스 협의을 엄격히 완수하여 국토교통부/TS 승인을 획득한다.</t>
        </is>
      </c>
      <c r="N4" s="63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25" t="inlineStr">
        <is>
          <t>1) STEP 1: 매립형 궤도 기하구조 정밀 실측 데이터 검토
2) STEP 2: 선로전환기(143개소) 및 신호 검지선 인터페이스 확인</t>
        </is>
      </c>
      <c r="P4" s="64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25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65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22" t="inlineStr">
        <is>
          <t>철도종합시험운행 시행지침 준수</t>
        </is>
      </c>
    </row>
    <row r="5" ht="133.8" customHeight="1">
      <c r="A5" s="77" t="inlineStr">
        <is>
          <t>9000</t>
        </is>
      </c>
      <c r="B5" s="77" t="inlineStr">
        <is>
          <t>9000-11</t>
        </is>
      </c>
      <c r="C5" s="77" t="inlineStr">
        <is>
          <t>철도종합시험운행</t>
        </is>
      </c>
      <c r="D5" s="77" t="inlineStr">
        <is>
          <t>9000-11-4</t>
        </is>
      </c>
      <c r="E5" s="79" t="inlineStr">
        <is>
          <t>9000-11-3</t>
        </is>
      </c>
      <c r="F5" s="79" t="inlineStr">
        <is>
          <t>9000-11-5</t>
        </is>
      </c>
      <c r="G5" s="17" t="inlineStr">
        <is>
          <t>전기·통신·신호·차량 인터페이스 협의</t>
        </is>
      </c>
      <c r="H5" s="17" t="inlineStr">
        <is>
          <t>D-35</t>
        </is>
      </c>
      <c r="I5" s="17" t="inlineStr">
        <is>
          <t>시스템팀</t>
        </is>
      </c>
      <c r="J5" s="16" t="inlineStr">
        <is>
          <t>급전·LTE-R·T-ATP/ATO·차량 간 E&amp;M 복합 시스템 연동 인터페이스 조율</t>
        </is>
      </c>
      <c r="K5" s="31" t="inlineStr">
        <is>
          <t>1) STEP 1: 전기 급전 및 배터리 급속충전 인터페이스 검토 (정거장 상부 강체 급속충전 아암(Arm)과 트램 차량 집전장치(Pantograph) 간의 접촉 압력 및 위치 정합성을 확인합니다.)
2) STEP 2: LTE-R 통신망 및 신호 T-ATP/ATO 데이터 인터페이스 검증 (차상 단말장치(OBCU)와 지상 무선 기지국(DU/RU) 간의 무선 패킷 손실률(≤ 1%) 및 지연시간을 검증합니다.)
3) STEP 3: PSD(스크린도어) ↔ 차량 도어 연동 시스템 확정 (트램 정위치 정차(오차 ±300mm 이내) 시 차량 도어와 승강장 PSD가 100% 동기화되어 개폐되는 인터페이스를 승인합니다.)</t>
        </is>
      </c>
      <c r="L5" s="17" t="inlineStr">
        <is>
          <t>전기·통신·신호·차량 인터페이스 협의 결과보고서, 회의록 및 TS 공인 필증</t>
        </is>
      </c>
      <c r="M5" s="25" t="inlineStr">
        <is>
          <t>1) 전기·통신·신호·차량 인터페이스 협의 (9000-9-4) 업무 달성을 위해 철도안전법 제38조 및 국토부 시행지침을 100% 충족한다.
2) 급전·LTE-R·T-ATP/ATO·차량 간 E&amp;M 복합 시스템 연동 인터페이스 조율을 엄격히 완수하여 국토교통부/TS 승인을 획득한다.</t>
        </is>
      </c>
      <c r="N5" s="63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25" t="inlineStr">
        <is>
          <t>1) STEP 1: 전기 급전 및 배터리 급속충전 인터페이스 검토
2) STEP 2: LTE-R 통신망 및 신호 T-ATP/ATO 데이터 인터페이스 검증</t>
        </is>
      </c>
      <c r="P5" s="64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25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65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22" t="inlineStr">
        <is>
          <t>철도종합시험운행 시행지침 준수</t>
        </is>
      </c>
    </row>
    <row r="6" ht="133.8" customHeight="1">
      <c r="A6" s="77" t="inlineStr">
        <is>
          <t>9000</t>
        </is>
      </c>
      <c r="B6" s="77" t="inlineStr">
        <is>
          <t>9000-11</t>
        </is>
      </c>
      <c r="C6" s="77" t="inlineStr">
        <is>
          <t>철도종합시험운행</t>
        </is>
      </c>
      <c r="D6" s="77" t="inlineStr">
        <is>
          <t>9000-11-5</t>
        </is>
      </c>
      <c r="E6" s="79" t="inlineStr">
        <is>
          <t>9000-11-4</t>
        </is>
      </c>
      <c r="F6" s="79" t="inlineStr">
        <is>
          <t>9000-11-6</t>
        </is>
      </c>
      <c r="G6" s="17" t="inlineStr">
        <is>
          <t>관제 및 운영사 인터페이스 협의</t>
        </is>
      </c>
      <c r="H6" s="17" t="inlineStr">
        <is>
          <t>D-30</t>
        </is>
      </c>
      <c r="I6" s="17" t="inlineStr">
        <is>
          <t>시스템팀</t>
        </is>
      </c>
      <c r="J6" s="16" t="inlineStr">
        <is>
          <t>종합관제센터(OCC)·화성도시공사 운영사 요구사항 사전 반영 및 과업범위 최적화</t>
        </is>
      </c>
      <c r="K6" s="31" t="inlineStr">
        <is>
          <t>1) STEP 1: 종합관제센터 관제 설비 및 원격 감시 체계 검토 (종합관제센터 중앙 컴퓨터에 표출되는 트램 열차 위치, 변전소 전력 상태, 정거장 환기/승강기 상태 모니터링 화면을 검증합니다.)
2) STEP 2: 화성도시공사 운영사 요구사항 수렴 및 기능 최적화 (운영 및 유지보수자 편의 향상을 위한 관제 화면 기능 추가/삭제 사항을 협의하고 불필요한 과업을 조정합니다.)
3) STEP 3: 관제 및 운영 인터페이스 관리대장 승인 (사업단, 관제 소프트웨어 공급사, 화성도시공사 3자 서명 날인을 완료하고 시운전 연동 프로토콜을 확정합니다.)</t>
        </is>
      </c>
      <c r="L6" s="17" t="inlineStr">
        <is>
          <t>관제 및 운영사 인터페이스 협의 결과보고서, 회의록 및 TS 공인 필증</t>
        </is>
      </c>
      <c r="M6" s="25" t="inlineStr">
        <is>
          <t>1) 관제 및 운영사 인터페이스 협의 (9000-9-5) 업무 달성을 위해 철도안전법 제38조 및 국토부 시행지침을 100% 충족한다.
2) 종합관제센터(OCC)·화성도시공사 운영사 요구사항 사전 반영 및 과업범위 최적화을 엄격히 완수하여 국토교통부/TS 승인을 획득한다.</t>
        </is>
      </c>
      <c r="N6" s="63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25" t="inlineStr">
        <is>
          <t>1) STEP 1: 종합관제센터 관제 설비 및 원격 감시 체계 검토
2) STEP 2: 화성도시공사 운영사 요구사항 수렴 및 기능 최적화</t>
        </is>
      </c>
      <c r="P6" s="64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25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65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22" t="inlineStr">
        <is>
          <t>철도종합시험운행 시행지침 준수</t>
        </is>
      </c>
    </row>
    <row r="7" ht="145.2" customHeight="1">
      <c r="A7" s="77" t="inlineStr">
        <is>
          <t>9000</t>
        </is>
      </c>
      <c r="B7" s="77" t="inlineStr">
        <is>
          <t>9000-11</t>
        </is>
      </c>
      <c r="C7" s="77" t="inlineStr">
        <is>
          <t>철도종합시험운행</t>
        </is>
      </c>
      <c r="D7" s="77" t="inlineStr">
        <is>
          <t>9000-11-6</t>
        </is>
      </c>
      <c r="E7" s="79" t="inlineStr">
        <is>
          <t>9000-11-5</t>
        </is>
      </c>
      <c r="F7" s="79" t="inlineStr">
        <is>
          <t>9000-11-7</t>
        </is>
      </c>
      <c r="G7" s="17" t="inlineStr">
        <is>
          <t>인력·시험장비 투입계획 수립</t>
        </is>
      </c>
      <c r="H7" s="17" t="inlineStr">
        <is>
          <t>D-30</t>
        </is>
      </c>
      <c r="I7" s="17" t="inlineStr">
        <is>
          <t>개통운영팀</t>
        </is>
      </c>
      <c r="J7" s="16" t="inlineStr">
        <is>
          <t>시험운전반, 유관기관 합동 점검단 인력 배치 및 공인 시험 계측기 확보</t>
        </is>
      </c>
      <c r="K7" s="31" t="inlineStr">
        <is>
          <t>1) STEP 1: 5대 전문 시험운전반 조직 체계 수립 (총괄관리반, 시설검증반(토목/궤도/건축), 시스템검증반(전기/신호/통신), 차량검증반, 안전비상대응반을 편성합니다.)
2) STEP 2: 공인 교정 시험 계측기 및 검측 장비 확보 (트램 궤도 기하구조 검측기, 레이저 트랙게이지, 전력 분석계, LTE-R 무선 전계강도 측정기의 공인 교정 유효기간을 확인합니다.)
3) STEP 3: 인력·시험장비 종합 투입계획서 감리 승인 (시운전 기간 동안의 일일 투입 공수, 장비 가동 계획 및 비상주기 장소를 명시한 계획서를 최종 확정합니다.)</t>
        </is>
      </c>
      <c r="L7" s="17" t="inlineStr">
        <is>
          <t>인력·시험장비 투입계획 수립 결과보고서, 회의록 및 TS 공인 필증</t>
        </is>
      </c>
      <c r="M7" s="25" t="inlineStr">
        <is>
          <t>1) 인력·시험장비 투입계획 수립 (9000-9-6) 업무 달성을 위해 철도안전법 제38조 및 국토부 시행지침을 100% 충족한다.
2) 시험운전반, 유관기관 합동 점검단 인력 배치 및 공인 시험 계측기 확보을 엄격히 완수하여 국토교통부/TS 승인을 획득한다.</t>
        </is>
      </c>
      <c r="N7" s="63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25" t="inlineStr">
        <is>
          <t>1) STEP 1: 5대 전문 시험운전반 조직 체계 수립
2) STEP 2: 공인 교정 시험 계측기 및 검측 장비 확보</t>
        </is>
      </c>
      <c r="P7" s="64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25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65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22" t="inlineStr">
        <is>
          <t>철도종합시험운행 시행지침 준수</t>
        </is>
      </c>
    </row>
    <row r="8" ht="115.2" customHeight="1">
      <c r="A8" s="77" t="inlineStr">
        <is>
          <t>9000</t>
        </is>
      </c>
      <c r="B8" s="77" t="inlineStr">
        <is>
          <t>9000-11</t>
        </is>
      </c>
      <c r="C8" s="77" t="inlineStr">
        <is>
          <t>철도종합시험운행</t>
        </is>
      </c>
      <c r="D8" s="77" t="inlineStr">
        <is>
          <t>9000-11-7</t>
        </is>
      </c>
      <c r="E8" s="79" t="inlineStr">
        <is>
          <t>9000-11-6</t>
        </is>
      </c>
      <c r="F8" s="79" t="inlineStr">
        <is>
          <t>9000-11-8</t>
        </is>
      </c>
      <c r="G8" s="17" t="inlineStr">
        <is>
          <t>철도종합시험운행 사전 협의사항(TS) 도출</t>
        </is>
      </c>
      <c r="H8" s="17" t="inlineStr">
        <is>
          <t>D-25</t>
        </is>
      </c>
      <c r="I8" s="17" t="inlineStr">
        <is>
          <t>개통운영팀</t>
        </is>
      </c>
      <c r="J8" s="16" t="inlineStr">
        <is>
          <t>한국교통안전공단(TS) 사전 점검 항목 및 기술기준 적합성 쟁점 선제적 도출</t>
        </is>
      </c>
      <c r="K8" s="32" t="inlineStr">
        <is>
          <t>1) STEP 1: 도시철도건설규칙 및 철도시설 기술기준 전 조항 대조 (도시철도건설규칙 제67조(방재), 제32조(궤도), 제40조(전차선로) 등 동탄트램 해당 조항의 기술적 만족 여부를 전수 점검합니다.)
2) STEP 2: 한국교통안전공단(TS) 주요 심사 지적사항 사전 스크리닝 (트램 승강장 연단 간격, 배터리 충전구 안전 인터록, 교차로 우선신호 연동 오류 등 예상 지적 45개 항목을 추출합니다.)
3) STEP 3: TS 사전협의 대상 목록 보고서 완성 (사전컨설팅 회의에서 질의할 항목 및 기술 승인 요청 리스트를 정리하여 개통운영팀장 승인을 득합니다.)</t>
        </is>
      </c>
      <c r="L8" s="17" t="inlineStr">
        <is>
          <t>철도종합시험운행 사전 협의사항(TS) 도출 결과보고서, 회의록 및 TS 공인 필증</t>
        </is>
      </c>
      <c r="M8" s="25" t="inlineStr">
        <is>
          <t>1) 철도종합시험운행 사전 협의사항(TS) 도출 (9000-9-7) 업무 달성을 위해 철도안전법 제38조 및 국토부 시행지침을 100% 충족한다.
2) 한국교통안전공단(TS) 사전 점검 항목 및 기술기준 적합성 쟁점 선제적 도출을 엄격히 완수하여 국토교통부/TS 승인을 획득한다.</t>
        </is>
      </c>
      <c r="N8" s="63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25" t="inlineStr">
        <is>
          <t>1) STEP 1: 도시철도건설규칙 및 철도시설 기술기준 전 조항 대조
2) STEP 2: 한국교통안전공단(TS) 주요 심사 지적사항 사전 스크리닝</t>
        </is>
      </c>
      <c r="P8" s="64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25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65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22" t="inlineStr">
        <is>
          <t>철도종합시험운행 시행지침 준수</t>
        </is>
      </c>
    </row>
    <row r="9" ht="115.2" customHeight="1">
      <c r="A9" s="77" t="inlineStr">
        <is>
          <t>9000</t>
        </is>
      </c>
      <c r="B9" s="77" t="inlineStr">
        <is>
          <t>9000-11</t>
        </is>
      </c>
      <c r="C9" s="77" t="inlineStr">
        <is>
          <t>철도종합시험운행</t>
        </is>
      </c>
      <c r="D9" s="77" t="inlineStr">
        <is>
          <t>9000-11-8</t>
        </is>
      </c>
      <c r="E9" s="79" t="inlineStr">
        <is>
          <t>9000-11-7</t>
        </is>
      </c>
      <c r="F9" s="79" t="inlineStr">
        <is>
          <t>9000-11-9</t>
        </is>
      </c>
      <c r="G9" s="17" t="inlineStr">
        <is>
          <t>착수 전 전공종 합동회의</t>
        </is>
      </c>
      <c r="H9" s="17" t="inlineStr">
        <is>
          <t>D-20</t>
        </is>
      </c>
      <c r="I9" s="17" t="inlineStr">
        <is>
          <t>시공사업단</t>
        </is>
      </c>
      <c r="J9" s="16" t="inlineStr">
        <is>
          <t>8대 전 공종 단독·연동시험 결과보고서 검증 및 시운전 전제조건 100% 충족 확인</t>
        </is>
      </c>
      <c r="K9" s="31" t="inlineStr">
        <is>
          <t>1) STEP 1: 8대 공종별 단독·공종시험 결과보고서 전수 취합 (토목(평판재하), 궤도(기하구조), 기계(환기/소화수압), 전기(절연저항/가압), 신호(연동표검사), 통신(LTE-R 통화품질) 성적서를 심사합니다.)
2) STEP 2: 법정 검사 필증 및 사전 승인 서류 확인 (전기안전공사 사용전검사 필증, 소방완공검사 필증, 승강기 완성검사 필증의 정식 수령 상태를 대조합니다.)
3) STEP 3: 착수 전 합동회의 개최 및 시운전 개시 선언 (발주처, 사업단, 감리단, 운영사 전원 합의 하에 '철도종합시험운행 착수 전제조건 100% 충족'을 선언하고 회의록을 체결합니다.)</t>
        </is>
      </c>
      <c r="L9" s="17" t="inlineStr">
        <is>
          <t>착수 전 전공종 합동회의 결과보고서, 회의록 및 TS 공인 필증</t>
        </is>
      </c>
      <c r="M9" s="25" t="inlineStr">
        <is>
          <t>1) 착수 전 전공종 합동회의 (9000-9-8) 업무 달성을 위해 철도안전법 제38조 및 국토부 시행지침을 100% 충족한다.
2) 8대 전 공종 단독·연동시험 결과보고서 검증 및 시운전 전제조건 100% 충족 확인을 엄격히 완수하여 국토교통부/TS 승인을 획득한다.</t>
        </is>
      </c>
      <c r="N9" s="63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25" t="inlineStr">
        <is>
          <t>1) STEP 1: 8대 공종별 단독·공종시험 결과보고서 전수 취합
2) STEP 2: 법정 검사 필증 및 사전 승인 서류 확인</t>
        </is>
      </c>
      <c r="P9" s="64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25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65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22" t="inlineStr">
        <is>
          <t>철도종합시험운행 시행지침 준수</t>
        </is>
      </c>
    </row>
    <row r="10" ht="210.6" customHeight="1">
      <c r="A10" s="77" t="inlineStr">
        <is>
          <t>9000</t>
        </is>
      </c>
      <c r="B10" s="77" t="inlineStr">
        <is>
          <t>9000-11</t>
        </is>
      </c>
      <c r="C10" s="77" t="inlineStr">
        <is>
          <t>철도종합시험운행</t>
        </is>
      </c>
      <c r="D10" s="77" t="inlineStr">
        <is>
          <t>9000-11-9</t>
        </is>
      </c>
      <c r="E10" s="79" t="inlineStr">
        <is>
          <t>9000-11-8</t>
        </is>
      </c>
      <c r="F10" s="79" t="inlineStr">
        <is>
          <t>9000-11-10</t>
        </is>
      </c>
      <c r="G10" s="17" t="inlineStr">
        <is>
          <t>철도종합시험운행 종합계획서 수립</t>
        </is>
      </c>
      <c r="H10" s="17" t="inlineStr">
        <is>
          <t>D+0</t>
        </is>
      </c>
      <c r="I10" s="17" t="inlineStr">
        <is>
          <t>개통운영팀</t>
        </is>
      </c>
      <c r="J10" s="16" t="inlineStr">
        <is>
          <t>철도종합시험운행 표준운영절차(SOP) 및 사전점검·시설물검증·영업시운전 종합계획서 편찬</t>
        </is>
      </c>
      <c r="K10" s="31" t="inlineStr">
        <is>
          <t>1) STEP 1: 철도종합시험운행 종합계획서(SOP) 기본 골격 수립 (동탄트램 사업 개요, 시험운행 목적, 추진 기간, 분야별 시험 조직도 및 R&amp;R을 명확히 규정합니다.)
2) STEP 2: 단계별 세부 시험계획서(사전점검/시설물검증/영업시운전) 작성 (사전점검 12개 분야 체크리스트 및 현장 확인 항목을 편찬합니다.)
3) STEP 3: 책임감리원 검토의견서 첨부 및 종합계획서 승인 (각 분야 책임감리원의 기술 검토 서명을 완료하고 총괄사업단장의 최종 승인을 득합니다.)</t>
        </is>
      </c>
      <c r="L10" s="17" t="inlineStr">
        <is>
          <t>철도종합시험운행 종합계획서 수립 결과보고서, 회의록 및 TS 공인 필증</t>
        </is>
      </c>
      <c r="M10" s="25" t="inlineStr">
        <is>
          <t>1) 철도종합시험운행 종합계획서 수립 (9000-9-9) 업무 달성을 위해 철도안전법 제38조 및 국토부 시행지침을 100% 충족한다.
2) 철도종합시험운행 표준운영절차(SOP) 및 사전점검·시설물검증·영업시운전 종합계획서 편찬을 엄격히 완수하여 국토교통부/TS 승인을 획득한다.</t>
        </is>
      </c>
      <c r="N10" s="63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25" t="inlineStr">
        <is>
          <t>1) STEP 1: 철도종합시험운행 종합계획서(SOP) 기본 골격 수립
2) STEP 2: 단계별 세부 시험계획서(사전점검/시설물검증/영업시운전) 작성</t>
        </is>
      </c>
      <c r="P10" s="64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25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65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22" t="inlineStr">
        <is>
          <t>철도종합시험운행 시행지침 준수</t>
        </is>
      </c>
    </row>
    <row r="11" ht="115.2" customHeight="1">
      <c r="A11" s="77" t="inlineStr">
        <is>
          <t>9000</t>
        </is>
      </c>
      <c r="B11" s="77" t="inlineStr">
        <is>
          <t>9000-11</t>
        </is>
      </c>
      <c r="C11" s="77" t="inlineStr">
        <is>
          <t>철도종합시험운행</t>
        </is>
      </c>
      <c r="D11" s="77" t="inlineStr">
        <is>
          <t>9000-11-10</t>
        </is>
      </c>
      <c r="E11" s="79" t="inlineStr">
        <is>
          <t>9000-11-9</t>
        </is>
      </c>
      <c r="F11" s="79" t="inlineStr">
        <is>
          <t>9000-11-11</t>
        </is>
      </c>
      <c r="G11" s="17" t="inlineStr">
        <is>
          <t>TS 사전컨설팅 회의</t>
        </is>
      </c>
      <c r="H11" s="17" t="inlineStr">
        <is>
          <t>D+30</t>
        </is>
      </c>
      <c r="I11" s="17" t="inlineStr">
        <is>
          <t>개통운영팀</t>
        </is>
      </c>
      <c r="J11" s="16" t="inlineStr">
        <is>
          <t>한국교통안전공단(TS) 합동 사전컨설팅 회의를 통한 계획서 보완 및 적합성 검증</t>
        </is>
      </c>
      <c r="K11" s="31" t="inlineStr">
        <is>
          <t>1) STEP 1: 한국교통안전공단(TS) 사전컨설팅 안건 상정 (종합시험운행 계획서 초안, 현장 공정 실적, 안전관리계획서 및 공종별 시험결과 요약본을 TS에 제출합니다.)
2) STEP 2: TS 전문위원단 합동 대면 심의 회의 진행 (동탄트램 무가선 배터리 충전 안전성, 교차로 신호 우선권, 역사 승하차 안전 발판 등 특수 검증 항목을 집중 협의합니다.)
3) STEP 3: 컨설팅 지적사항 보완 조치 및 최종본 확정 (TS 검토의견서에 명시된 권고 및 보완 사항을 계획서에 100% 반영하여 정식 제출용 최종안을 완성합니다.)</t>
        </is>
      </c>
      <c r="L11" s="17" t="inlineStr">
        <is>
          <t>TS 사전컨설팅 회의 결과보고서, 회의록 및 TS 공인 필증</t>
        </is>
      </c>
      <c r="M11" s="25" t="inlineStr">
        <is>
          <t>1) TS 사전컨설팅 회의 (9000-9-10) 업무 달성을 위해 철도안전법 제38조 및 국토부 시행지침을 100% 충족한다.
2) 한국교통안전공단(TS) 합동 사전컨설팅 회의를 통한 계획서 보완 및 적합성 검증을 엄격히 완수하여 국토교통부/TS 승인을 획득한다.</t>
        </is>
      </c>
      <c r="N11" s="63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25" t="inlineStr">
        <is>
          <t>1) STEP 1: 한국교통안전공단(TS) 사전컨설팅 안건 상정
2) STEP 2: TS 전문위원단 합동 대면 심의 회의 진행</t>
        </is>
      </c>
      <c r="P11" s="64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25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65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22" t="inlineStr">
        <is>
          <t>철도종합시험운행 시행지침 준수</t>
        </is>
      </c>
    </row>
    <row r="12" ht="115.2" customHeight="1">
      <c r="A12" s="77" t="inlineStr">
        <is>
          <t>9000</t>
        </is>
      </c>
      <c r="B12" s="77" t="inlineStr">
        <is>
          <t>9000-11</t>
        </is>
      </c>
      <c r="C12" s="77" t="inlineStr">
        <is>
          <t>철도종합시험운행</t>
        </is>
      </c>
      <c r="D12" s="77" t="inlineStr">
        <is>
          <t>9000-11-11</t>
        </is>
      </c>
      <c r="E12" s="79" t="inlineStr">
        <is>
          <t>9000-11-10</t>
        </is>
      </c>
      <c r="F12" s="79" t="inlineStr">
        <is>
          <t>9000-11-12</t>
        </is>
      </c>
      <c r="G12" s="17" t="inlineStr">
        <is>
          <t>철도종합시험운행 연간계획 수립/제출</t>
        </is>
      </c>
      <c r="H12" s="17" t="inlineStr">
        <is>
          <t>D+60</t>
        </is>
      </c>
      <c r="I12" s="17" t="inlineStr">
        <is>
          <t>시공사업단</t>
        </is>
      </c>
      <c r="J12" s="16" t="inlineStr">
        <is>
          <t>국토교통부 및 한국교통안전공단(TS)에 철도종합시험운행 계획서 정식 접수 및 승인 득</t>
        </is>
      </c>
      <c r="K12" s="32" t="inlineStr">
        <is>
          <t>1) STEP 1: 법정 제출 서류 편철 및 사업단장 결재 (철도종합시험운행 계획서 본안 3부, 사전점검 점검표, 안전관리계획서, 공종별 시험결과보고서를 편철합니다.)
2) STEP 2: 국토교통부 및 TS 정식 공문 접수 (전자문서유통시스템을 통해 국토교통부(철도운행안전과) 및 한국교통안전공단(철도안전처)에 정식 접수합니다.)
3) STEP 3: 심사 대응 및 국토부 승인 공문 접수 (TS 서류 심사관의 질의에 대한 기술적 근거를 제출하고, 국토교통부 장관의 '철도종합시험운행 계획 승인' 공문을 접수합니다.)</t>
        </is>
      </c>
      <c r="L12" s="17" t="inlineStr">
        <is>
          <t>철도종합시험운행 연간계획 수립/제출 결과보고서, 회의록 및 TS 공인 필증</t>
        </is>
      </c>
      <c r="M12" s="25" t="inlineStr">
        <is>
          <t>1) 철도종합시험운행 연간계획 수립/제출 (9000-9-11) 업무 달성을 위해 철도안전법 제38조 및 국토부 시행지침을 100% 충족한다.
2) 국토교통부 및 한국교통안전공단(TS)에 철도종합시험운행 계획서 정식 접수 및 승인 득을 엄격히 완수하여 국토교통부/TS 승인을 획득한다.</t>
        </is>
      </c>
      <c r="N12" s="63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25" t="inlineStr">
        <is>
          <t>1) STEP 1: 법정 제출 서류 편철 및 사업단장 결재
2) STEP 2: 국토교통부 및 TS 정식 공문 접수</t>
        </is>
      </c>
      <c r="P12" s="64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25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65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22" t="inlineStr">
        <is>
          <t>철도종합시험운행 시행지침 준수</t>
        </is>
      </c>
    </row>
    <row r="13" ht="115.2" customHeight="1">
      <c r="A13" s="77" t="inlineStr">
        <is>
          <t>9000</t>
        </is>
      </c>
      <c r="B13" s="77" t="inlineStr">
        <is>
          <t>9000-11</t>
        </is>
      </c>
      <c r="C13" s="77" t="inlineStr">
        <is>
          <t>철도종합시험운행</t>
        </is>
      </c>
      <c r="D13" s="77" t="inlineStr">
        <is>
          <t>9000-11-12</t>
        </is>
      </c>
      <c r="E13" s="79" t="inlineStr">
        <is>
          <t>9000-11-11</t>
        </is>
      </c>
      <c r="F13" s="79" t="inlineStr">
        <is>
          <t>9000-11-13</t>
        </is>
      </c>
      <c r="G13" s="17" t="inlineStr">
        <is>
          <t>안전관리계획서 수립 및 비상대응체계</t>
        </is>
      </c>
      <c r="H13" s="17" t="inlineStr">
        <is>
          <t>D+80</t>
        </is>
      </c>
      <c r="I13" s="17" t="inlineStr">
        <is>
          <t>안전품질팀</t>
        </is>
      </c>
      <c r="J13" s="16" t="inlineStr">
        <is>
          <t>시운전 전 구간 선로 출입통제, 시험열차 안전통제관 탑승 및 관할 소방·경찰 비상연락망</t>
        </is>
      </c>
      <c r="K13" s="32" t="inlineStr">
        <is>
          <t>1) STEP 1: 철도종합시험운행 안전관리계획서 수립 및 위험성평가 (시운전 구간 내 작업자 안전, 감전 방지, 열차 접촉 방지, 도로 교차로 보행자 통제 대책을 수립합니다.)
2) STEP 2: 선로 출입 통제 시스템 및 안전통제관 지정 (선로 출입문 시건장치 및 출입대장을 운영하고, 시험열차 운행 시 안전통제관(2인 1조) 필수 탑승을 의무화합니다.)
3) STEP 3: 비상연락망 구축 및 소방·경찰 합동 모의도상훈련 (화성소방서, 동탄경찰서, 응급의료센터와 24시간 비상 핫라인을 개통하고 가상 사고 대응 도상훈련을 실시합니다.)</t>
        </is>
      </c>
      <c r="L13" s="17" t="inlineStr">
        <is>
          <t>안전관리계획서 수립 및 비상대응체계 결과보고서, 회의록 및 TS 공인 필증</t>
        </is>
      </c>
      <c r="M13" s="25" t="inlineStr">
        <is>
          <t>1) 안전관리계획서 수립 및 비상대응체계 (9000-9-12) 업무 달성을 위해 철도안전법 제38조 및 국토부 시행지침을 100% 충족한다.
2) 시운전 전 구간 선로 출입통제, 시험열차 안전통제관 탑승 및 관할 소방·경찰 비상연락망을 엄격히 완수하여 국토교통부/TS 승인을 획득한다.</t>
        </is>
      </c>
      <c r="N13" s="63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25" t="inlineStr">
        <is>
          <t>1) STEP 1: 철도종합시험운행 안전관리계획서 수립 및 위험성평가
2) STEP 2: 선로 출입 통제 시스템 및 안전통제관 지정</t>
        </is>
      </c>
      <c r="P13" s="64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25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65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22" t="inlineStr">
        <is>
          <t>철도종합시험운행 시행지침 준수</t>
        </is>
      </c>
    </row>
    <row r="14" ht="192" customHeight="1">
      <c r="A14" s="77" t="inlineStr">
        <is>
          <t>9000</t>
        </is>
      </c>
      <c r="B14" s="77" t="inlineStr">
        <is>
          <t>9000-11</t>
        </is>
      </c>
      <c r="C14" s="77" t="inlineStr">
        <is>
          <t>철도종합시험운행</t>
        </is>
      </c>
      <c r="D14" s="77" t="inlineStr">
        <is>
          <t>9000-11-13</t>
        </is>
      </c>
      <c r="E14" s="79" t="inlineStr">
        <is>
          <t>9000-11-12</t>
        </is>
      </c>
      <c r="F14" s="79" t="inlineStr">
        <is>
          <t>9000-11-14</t>
        </is>
      </c>
      <c r="G14" s="17" t="inlineStr">
        <is>
          <t>사전점검 착수보고</t>
        </is>
      </c>
      <c r="H14" s="17" t="inlineStr">
        <is>
          <t>D+120</t>
        </is>
      </c>
      <c r="I14" s="17" t="inlineStr">
        <is>
          <t>시공사업단</t>
        </is>
      </c>
      <c r="J14" s="16" t="inlineStr">
        <is>
          <t>사전점검 착수보고회(TS) 개최, 12개 분야별 정부 합동점검단 현장 정밀점검 개시</t>
        </is>
      </c>
      <c r="K14" s="32" t="inlineStr">
        <is>
          <t>1) STEP 1: 사전점검 착수보고회(TS) 개최 및 현장 브리핑 (사업단 개통운영팀장이 TS 합동점검단에 동탄트램 시설 현황, 공종별 시험 결과 및 점검 지원 계획을 브리핑합니다.)
2) STEP 2: 12개 분야별 합동점검단 현장 정밀 실사 수행 (토목/궤도(선로 침하, 유간), 건축(피난계단, 마감), 전기(가압, 접지), 신호(연동장치), 통신(LTE-R)을 도면과 1:1 대조합니다.)
3) STEP 3: 일일 점검회의 및 지적사항 실시간 공유 (매일 점검 종료 후 현장 합동회의를 열어 도출된 지적사항을 즉시 공유하고 긴급 보완 지시서를 발행합니다.)</t>
        </is>
      </c>
      <c r="L14" s="17" t="inlineStr">
        <is>
          <t>사전점검 착수보고 결과보고서, 회의록 및 TS 공인 필증</t>
        </is>
      </c>
      <c r="M14" s="25" t="inlineStr">
        <is>
          <t>1) 사전점검 착수보고 (9000-9-13) 업무 달성을 위해 철도안전법 제38조 및 국토부 시행지침을 100% 충족한다.
2) 사전점검 착수보고회(TS) 개최, 12개 분야별 정부 합동점검단 현장 정밀점검 개시을 엄격히 완수하여 국토교통부/TS 승인을 획득한다.</t>
        </is>
      </c>
      <c r="N14" s="63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25" t="inlineStr">
        <is>
          <t>1) STEP 1: 사전점검 착수보고회(TS) 개최 및 현장 브리핑
2) STEP 2: 12개 분야별 합동점검단 현장 정밀 실사 수행</t>
        </is>
      </c>
      <c r="P14" s="64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25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65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22" t="inlineStr">
        <is>
          <t>철도종합시험운행 시행지침 준수</t>
        </is>
      </c>
    </row>
    <row r="15" ht="115.2" customHeight="1">
      <c r="A15" s="77" t="inlineStr">
        <is>
          <t>9000</t>
        </is>
      </c>
      <c r="B15" s="77" t="inlineStr">
        <is>
          <t>9000-11</t>
        </is>
      </c>
      <c r="C15" s="77" t="inlineStr">
        <is>
          <t>철도종합시험운행</t>
        </is>
      </c>
      <c r="D15" s="77" t="inlineStr">
        <is>
          <t>9000-11-14</t>
        </is>
      </c>
      <c r="E15" s="79" t="inlineStr">
        <is>
          <t>9000-11-13</t>
        </is>
      </c>
      <c r="F15" s="79" t="inlineStr">
        <is>
          <t>9000-11-15</t>
        </is>
      </c>
      <c r="G15" s="17" t="inlineStr">
        <is>
          <t>철도시설 기술기준 검토 및 조치계획</t>
        </is>
      </c>
      <c r="H15" s="17" t="inlineStr">
        <is>
          <t>D+130</t>
        </is>
      </c>
      <c r="I15" s="17" t="inlineStr">
        <is>
          <t>시공사업단</t>
        </is>
      </c>
      <c r="J15" s="16" t="inlineStr">
        <is>
          <t>도시철도건설규칙 전 조항 대조, 사전점검 지적사항 1:1 조치계획서 수립</t>
        </is>
      </c>
      <c r="K15" s="32" t="inlineStr">
        <is>
          <t>1) STEP 1: 사전점검 지적사항 전수 등록 및 위험도 분류 (TS로부터 통보받은 지적사항을 '중대 결함', '일반 보완', '권고'로 분류하고 관리번호를 부여합니다.)
2) STEP 2: 공학적 원인 분석 및 재시공/보강 기술 대책 수립 (해당 공종 협력사 및 설계사와 합동으로 문제 원인을 정밀 분석하고, 기술기준을 충족하는 상세 도면 및 시방을 작성합니다.)
3) STEP 3: 사전점검 지적사항 조치계획서 편찬 및 감리 승인 (조치 기한(D+175 이전 완료)을 명시한 조치계획서를 작성하여 책임감리단 서명을 득하고 TS에 제출합니다.)</t>
        </is>
      </c>
      <c r="L15" s="17" t="inlineStr">
        <is>
          <t>철도시설 기술기준 검토 및 조치계획 결과보고서, 회의록 및 TS 공인 필증</t>
        </is>
      </c>
      <c r="M15" s="25" t="inlineStr">
        <is>
          <t>1) 철도시설 기술기준 검토 및 조치계획 (9000-9-14) 업무 달성을 위해 철도안전법 제38조 및 국토부 시행지침을 100% 충족한다.
2) 도시철도건설규칙 전 조항 대조, 사전점검 지적사항 1:1 조치계획서 수립을 엄격히 완수하여 국토교통부/TS 승인을 획득한다.</t>
        </is>
      </c>
      <c r="N15" s="63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25" t="inlineStr">
        <is>
          <t>1) STEP 1: 사전점검 지적사항 전수 등록 및 위험도 분류
2) STEP 2: 공학적 원인 분석 및 재시공/보강 기술 대책 수립</t>
        </is>
      </c>
      <c r="P15" s="64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25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65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22" t="inlineStr">
        <is>
          <t>철도종합시험운행 시행지침 준수</t>
        </is>
      </c>
    </row>
    <row r="16" ht="115.2" customHeight="1">
      <c r="A16" s="77" t="inlineStr">
        <is>
          <t>9000</t>
        </is>
      </c>
      <c r="B16" s="77" t="inlineStr">
        <is>
          <t>9000-11</t>
        </is>
      </c>
      <c r="C16" s="77" t="inlineStr">
        <is>
          <t>철도종합시험운행</t>
        </is>
      </c>
      <c r="D16" s="77" t="inlineStr">
        <is>
          <t>9000-11-15</t>
        </is>
      </c>
      <c r="E16" s="79" t="inlineStr">
        <is>
          <t>9000-11-14</t>
        </is>
      </c>
      <c r="F16" s="79" t="inlineStr">
        <is>
          <t>9000-11-16</t>
        </is>
      </c>
      <c r="G16" s="17" t="inlineStr">
        <is>
          <t>사전점검 보완조치 및 국토부 승인</t>
        </is>
      </c>
      <c r="H16" s="17" t="inlineStr">
        <is>
          <t>D+175</t>
        </is>
      </c>
      <c r="I16" s="17" t="inlineStr">
        <is>
          <t>시공사업단</t>
        </is>
      </c>
      <c r="J16" s="16" t="inlineStr">
        <is>
          <t>지적사항 100% 현장 보강 조치 완료, 조치결과보고서 제출 및 국토교통부 적합 승인</t>
        </is>
      </c>
      <c r="K16" s="32" t="inlineStr">
        <is>
          <t>1) STEP 1: 분야별 사전점검 지적사항 현장 보강 공사 완료 (궤도 선형 교정, 정거장 마감 보완, 전기 절연 보강, 신호 연동 시퀀스 튜닝을 전수 완료합니다.)
2) STEP 2: 책임감리원 전수 입회 검측 및 결과보고서 편찬 (지적 전·중·후 사진, 공인 시험성적서, 감리원 확인서를 편철한 조치결과보고서를 편찬합니다.)
3) STEP 3: 국토교통부 및 TS 최종 심사 대응 및 승인 공문 접수 (국토부 철도운행안전과로부터 '철도시설의 기술기준 적합 및 시설물검증시험 착수 승인' 공문을 수령합니다.)</t>
        </is>
      </c>
      <c r="L16" s="17" t="inlineStr">
        <is>
          <t>사전점검 보완조치 및 국토부 승인 결과보고서, 회의록 및 TS 공인 필증</t>
        </is>
      </c>
      <c r="M16" s="25" t="inlineStr">
        <is>
          <t>1) 사전점검 보완조치 및 국토부 승인 (9000-9-15) 업무 달성을 위해 철도안전법 제38조 및 국토부 시행지침을 100% 충족한다.
2) 지적사항 100% 현장 보강 조치 완료, 조치결과보고서 제출 및 국토교통부 적합 승인을 엄격히 완수하여 국토교통부/TS 승인을 획득한다.</t>
        </is>
      </c>
      <c r="N16" s="63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25" t="inlineStr">
        <is>
          <t>1) STEP 1: 분야별 사전점검 지적사항 현장 보강 공사 완료
2) STEP 2: 책임감리원 전수 입회 검측 및 결과보고서 편찬</t>
        </is>
      </c>
      <c r="P16" s="64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25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65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22" t="inlineStr">
        <is>
          <t>철도종합시험운행 시행지침 준수</t>
        </is>
      </c>
    </row>
    <row r="17" ht="115.2" customHeight="1">
      <c r="A17" s="77" t="inlineStr">
        <is>
          <t>9000</t>
        </is>
      </c>
      <c r="B17" s="77" t="inlineStr">
        <is>
          <t>9000-11</t>
        </is>
      </c>
      <c r="C17" s="77" t="inlineStr">
        <is>
          <t>철도종합시험운행</t>
        </is>
      </c>
      <c r="D17" s="77" t="inlineStr">
        <is>
          <t>9000-11-16</t>
        </is>
      </c>
      <c r="E17" s="79" t="inlineStr">
        <is>
          <t>9000-11-15</t>
        </is>
      </c>
      <c r="F17" s="79" t="inlineStr">
        <is>
          <t>9000-11-17</t>
        </is>
      </c>
      <c r="G17" s="17" t="inlineStr">
        <is>
          <t>사전점검 종결회의 및 결과보고서 승인</t>
        </is>
      </c>
      <c r="H17" s="17" t="inlineStr">
        <is>
          <t>D+180</t>
        </is>
      </c>
      <c r="I17" s="17" t="inlineStr">
        <is>
          <t>시공사업단</t>
        </is>
      </c>
      <c r="J17" s="16" t="inlineStr">
        <is>
          <t>사전점검 종결보고회(TS) 개최 및 1단계 사전점검 공식 종결 선언</t>
        </is>
      </c>
      <c r="K17" s="32" t="inlineStr">
        <is>
          <t>1) STEP 1: 사전점검 종결회의 안건 브리핑 및 조치 실적 보고 (지적사항 조치 결과 및 국토부 적합 승인 공문 내용을 TS 합동점검단에 종합 보고합니다.)
2) STEP 2: 점검단 최종 의견 수렴 및 사전점검 합격 판정 (점검단 전원 일치로 '동탄트램 사전점검 합격 및 시설물검증시험 진입 적합'을 최종 판정합니다.)
3) STEP 3: 사전점검 종결 서명 날인 및 다음 단계 선언 (사전점검 종합결과보고서에 서명하고, 2단계 시설물검증시험 공식 개시를 선포합니다.)</t>
        </is>
      </c>
      <c r="L17" s="17" t="inlineStr">
        <is>
          <t>사전점검 종결회의 및 결과보고서 승인 결과보고서, 회의록 및 TS 공인 필증</t>
        </is>
      </c>
      <c r="M17" s="25" t="inlineStr">
        <is>
          <t>1) 사전점검 종결회의 및 결과보고서 승인 (9000-9-16) 업무 달성을 위해 철도안전법 제38조 및 국토부 시행지침을 100% 충족한다.
2) 사전점검 종결보고회(TS) 개최 및 1단계 사전점검 공식 종결 선언을 엄격히 완수하여 국토교통부/TS 승인을 획득한다.</t>
        </is>
      </c>
      <c r="N17" s="63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25" t="inlineStr">
        <is>
          <t>1) STEP 1: 사전점검 종결회의 안건 브리핑 및 조치 실적 보고
2) STEP 2: 점검단 최종 의견 수렴 및 사전점검 합격 판정</t>
        </is>
      </c>
      <c r="P17" s="64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25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65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22" t="inlineStr">
        <is>
          <t>철도종합시험운행 시행지침 준수</t>
        </is>
      </c>
    </row>
    <row r="18" ht="115.2" customHeight="1">
      <c r="A18" s="77" t="inlineStr">
        <is>
          <t>9000</t>
        </is>
      </c>
      <c r="B18" s="77" t="inlineStr">
        <is>
          <t>9000-11</t>
        </is>
      </c>
      <c r="C18" s="77" t="inlineStr">
        <is>
          <t>철도종합시험운행</t>
        </is>
      </c>
      <c r="D18" s="77" t="inlineStr">
        <is>
          <t>9000-11-17</t>
        </is>
      </c>
      <c r="E18" s="79" t="inlineStr">
        <is>
          <t>9000-11-16</t>
        </is>
      </c>
      <c r="F18" s="79" t="inlineStr">
        <is>
          <t>9000-11-18</t>
        </is>
      </c>
      <c r="G18" s="17" t="inlineStr">
        <is>
          <t>시설물검증시험 착수보고 및 안전교육</t>
        </is>
      </c>
      <c r="H18" s="17" t="inlineStr">
        <is>
          <t>D+185</t>
        </is>
      </c>
      <c r="I18" s="17" t="inlineStr">
        <is>
          <t>개통운영팀</t>
        </is>
      </c>
      <c r="J18" s="16" t="inlineStr">
        <is>
          <t>2단계 시설물검증시험 착수보고회(TS) 및 시험참여자 전원 특별안전교육</t>
        </is>
      </c>
      <c r="K18" s="31" t="inlineStr">
        <is>
          <t>1) STEP 1: 시설물검증시험 착수보고회(TS) 개최 (시설물검증시험 28개 검증 항목(궤도/전기/신호/통신/승강장) 및 30일간의 시험 스케줄을 브리핑합니다.)
2) STEP 2: 시험 참여 기관사 및 기술요원 특별 안전교육 (선로 내 작업자 통제, 제한속도 엄수, 무선통신 규격, 비상 제동 체결 절차를 집중 교육합니다.)
3) STEP 3: 시설물검증시험 종합상황실 운영 개시 (차량기지 종합관제실 내에 시운전 종합상황실을 설치하고 실시간 모니터링을 개시합니다.)</t>
        </is>
      </c>
      <c r="L18" s="17" t="inlineStr">
        <is>
          <t>시설물검증시험 착수보고 및 안전교육 결과보고서, 회의록 및 TS 공인 필증</t>
        </is>
      </c>
      <c r="M18" s="25" t="inlineStr">
        <is>
          <t>1) 시설물검증시험 착수보고 및 안전교육 (9000-9-17) 업무 달성을 위해 철도안전법 제38조 및 국토부 시행지침을 100% 충족한다.
2) 2단계 시설물검증시험 착수보고회(TS) 및 시험참여자 전원 특별안전교육을 엄격히 완수하여 국토교통부/TS 승인을 획득한다.</t>
        </is>
      </c>
      <c r="N18" s="63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25" t="inlineStr">
        <is>
          <t>1) STEP 1: 시설물검증시험 착수보고회(TS) 개최
2) STEP 2: 시험 참여 기관사 및 기술요원 특별 안전교육</t>
        </is>
      </c>
      <c r="P18" s="64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25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65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22" t="inlineStr">
        <is>
          <t>철도종합시험운행 시행지침 준수</t>
        </is>
      </c>
    </row>
    <row r="19" ht="115.2" customHeight="1">
      <c r="A19" s="77" t="inlineStr">
        <is>
          <t>9000</t>
        </is>
      </c>
      <c r="B19" s="77" t="inlineStr">
        <is>
          <t>9000-11</t>
        </is>
      </c>
      <c r="C19" s="77" t="inlineStr">
        <is>
          <t>철도종합시험운행</t>
        </is>
      </c>
      <c r="D19" s="77" t="inlineStr">
        <is>
          <t>9000-11-18</t>
        </is>
      </c>
      <c r="E19" s="79" t="inlineStr">
        <is>
          <t>9000-11-17</t>
        </is>
      </c>
      <c r="F19" s="79" t="inlineStr">
        <is>
          <t>9000-11-19</t>
        </is>
      </c>
      <c r="G19" s="17" t="inlineStr">
        <is>
          <t>시험열차 투입 및 속도별 연동시험</t>
        </is>
      </c>
      <c r="H19" s="17" t="inlineStr">
        <is>
          <t>D+190</t>
        </is>
      </c>
      <c r="I19" s="17" t="inlineStr">
        <is>
          <t>개통운영팀</t>
        </is>
      </c>
      <c r="J19" s="16" t="inlineStr">
        <is>
          <t>본선 34.4km 시험열차 투입, 속도별(10~70km/h) 28개 항목 시설물 연동 성능 검증</t>
        </is>
      </c>
      <c r="K19" s="31" t="inlineStr">
        <is>
          <t>1) STEP 1: 속도 단계별 주행시험 계획 및 열차 편성 (10km/h 저속 주행부터 시작하여 30km/h, 50km/h, 설계 최고속도 70km/h까지 단계적으로 증속 주행합니다.)
2) STEP 2: 28개 핵심 검증 항목 실시간 계측 데이터 취득 (궤도검측(동적 윤중/횡압), 전기(급속충전 아크/전압강하), 신호(ATP 차상 차단), 승차감(가속도계측) 데이터를 수집합니다.)
3) STEP 3: 비상제동 거리 및 정위치 정차 정밀도 검증 (최고속도 주행 중 비상제동 체결 시 법정 안전거리(160m 이내) 및 정거장 정위치 정차(±300mm)를 100% 입증합니다.)</t>
        </is>
      </c>
      <c r="L19" s="17" t="inlineStr">
        <is>
          <t>시험열차 투입 및 속도별 연동시험 결과보고서, 회의록 및 TS 공인 필증</t>
        </is>
      </c>
      <c r="M19" s="25" t="inlineStr">
        <is>
          <t>1) 시험열차 투입 및 속도별 연동시험 (9000-9-18) 업무 달성을 위해 철도안전법 제38조 및 국토부 시행지침을 100% 충족한다.
2) 본선 34.4km 시험열차 투입, 속도별(10~70km/h) 28개 항목 시설물 연동 성능 검증을 엄격히 완수하여 국토교통부/TS 승인을 획득한다.</t>
        </is>
      </c>
      <c r="N19" s="63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25" t="inlineStr">
        <is>
          <t>1) STEP 1: 속도 단계별 주행시험 계획 및 열차 편성
2) STEP 2: 28개 핵심 검증 항목 실시간 계측 데이터 취득</t>
        </is>
      </c>
      <c r="P19" s="64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25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65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22" t="inlineStr">
        <is>
          <t>철도종합시험운행 시행지침 준수</t>
        </is>
      </c>
    </row>
    <row r="20" ht="115.2" customHeight="1">
      <c r="A20" s="77" t="inlineStr">
        <is>
          <t>9000</t>
        </is>
      </c>
      <c r="B20" s="77" t="inlineStr">
        <is>
          <t>9000-11</t>
        </is>
      </c>
      <c r="C20" s="77" t="inlineStr">
        <is>
          <t>철도종합시험운행</t>
        </is>
      </c>
      <c r="D20" s="77" t="inlineStr">
        <is>
          <t>9000-11-19</t>
        </is>
      </c>
      <c r="E20" s="79" t="inlineStr">
        <is>
          <t>9000-11-18</t>
        </is>
      </c>
      <c r="F20" s="79" t="inlineStr">
        <is>
          <t>9000-11-20</t>
        </is>
      </c>
      <c r="G20" s="17" t="inlineStr">
        <is>
          <t>시설물검증시험 중간점검 및 장애조치</t>
        </is>
      </c>
      <c r="H20" s="17" t="inlineStr">
        <is>
          <t>D+195</t>
        </is>
      </c>
      <c r="I20" s="17" t="inlineStr">
        <is>
          <t>개통운영팀</t>
        </is>
      </c>
      <c r="J20" s="16" t="inlineStr">
        <is>
          <t>시설물검증시험 50% 시점 중간점검, 주행 중 발생 결함 및 데이터 오차 완벽 조치</t>
        </is>
      </c>
      <c r="K20" s="31" t="inlineStr">
        <is>
          <t>1) STEP 1: 시설물검증시험 전반부 계측 데이터 종합 평가 (10~50km/h 주행 중 획득된 수십만 건의 계측 센서 데이터를 분석하여 허용 기준치 초과 여부를 검토합니다.)
2) STEP 2: 도출된 미비점 및 장애 원인 공학적 분석 (곡선부 미세 레일 연마, LTE-R 기지국 지향각 조정, 차상 컴퓨터 소프트웨어 파라미터 튜닝을 실행합니다.)
3) STEP 3: 보완 항목 재시험 실시 및 중간보고서 승인 (튜닝된 시스템에 대해 70km/h 재주행 시험을 실시하여 완전 무결함을 재확인하고 중간보고서를 작성합니다.)</t>
        </is>
      </c>
      <c r="L20" s="17" t="inlineStr">
        <is>
          <t>시설물검증시험 중간점검 및 장애조치 결과보고서, 회의록 및 TS 공인 필증</t>
        </is>
      </c>
      <c r="M20" s="25" t="inlineStr">
        <is>
          <t>1) 시설물검증시험 중간점검 및 장애조치 (9000-9-19) 업무 달성을 위해 철도안전법 제38조 및 국토부 시행지침을 100% 충족한다.
2) 시설물검증시험 50% 시점 중간점검, 주행 중 발생 결함 및 데이터 오차 완벽 조치을 엄격히 완수하여 국토교통부/TS 승인을 획득한다.</t>
        </is>
      </c>
      <c r="N20" s="63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25" t="inlineStr">
        <is>
          <t>1) STEP 1: 시설물검증시험 전반부 계측 데이터 종합 평가
2) STEP 2: 도출된 미비점 및 장애 원인 공학적 분석</t>
        </is>
      </c>
      <c r="P20" s="64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25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65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22" t="inlineStr">
        <is>
          <t>철도종합시험운행 시행지침 준수</t>
        </is>
      </c>
    </row>
    <row r="21" ht="115.2" customHeight="1">
      <c r="A21" s="77" t="inlineStr">
        <is>
          <t>9000</t>
        </is>
      </c>
      <c r="B21" s="77" t="inlineStr">
        <is>
          <t>9000-11</t>
        </is>
      </c>
      <c r="C21" s="77" t="inlineStr">
        <is>
          <t>철도종합시험운행</t>
        </is>
      </c>
      <c r="D21" s="77" t="inlineStr">
        <is>
          <t>9000-11-20</t>
        </is>
      </c>
      <c r="E21" s="79" t="inlineStr">
        <is>
          <t>9000-11-19</t>
        </is>
      </c>
      <c r="F21" s="79" t="inlineStr">
        <is>
          <t>9000-11-21</t>
        </is>
      </c>
      <c r="G21" s="17" t="inlineStr">
        <is>
          <t>시설물검증시험 종결회의 및 결과 승인</t>
        </is>
      </c>
      <c r="H21" s="17" t="inlineStr">
        <is>
          <t>D+205</t>
        </is>
      </c>
      <c r="I21" s="17" t="inlineStr">
        <is>
          <t>시공사업단</t>
        </is>
      </c>
      <c r="J21" s="16" t="inlineStr">
        <is>
          <t>시설물검증시험 종결보고회(TS), 28개 항목 전수 합격 판정 및 결과보고서 승인 획득</t>
        </is>
      </c>
      <c r="K21" s="32" t="inlineStr">
        <is>
          <t>1) STEP 1: 시설물검증시험 28개 항목 최종 성적서 집대성 (궤도, 전력, 신호, 통신, 차량, 승강장 인터페이스 전 항목의 공인 시험성적서를 종합 편철합니다.)
2) STEP 2: TS 주관 시설물검증시험 종결 심의 회의 대응 (TS 심사위원단에 종합 결과를 발표하고 질의응답을 거쳐 '전 항목 적합 판정'을 도출합니다.)
3) STEP 3: 시설물검증시험 결과보고서 정식 획득 및 다음 단계 진입 (TS 및 국토부로부터 공인 결과보고서 및 영업시운전 착수 승인 공문을 수령합니다.)</t>
        </is>
      </c>
      <c r="L21" s="17" t="inlineStr">
        <is>
          <t>시설물검증시험 종결회의 및 결과 승인 결과보고서, 회의록 및 TS 공인 필증</t>
        </is>
      </c>
      <c r="M21" s="25" t="inlineStr">
        <is>
          <t>1) 시설물검증시험 종결회의 및 결과 승인 (9000-9-20) 업무 달성을 위해 철도안전법 제38조 및 국토부 시행지침을 100% 충족한다.
2) 시설물검증시험 종결보고회(TS), 28개 항목 전수 합격 판정 및 결과보고서 승인 획득을 엄격히 완수하여 국토교통부/TS 승인을 획득한다.</t>
        </is>
      </c>
      <c r="N21" s="63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25" t="inlineStr">
        <is>
          <t>1) STEP 1: 시설물검증시험 28개 항목 최종 성적서 집대성
2) STEP 2: TS 주관 시설물검증시험 종결 심의 회의 대응</t>
        </is>
      </c>
      <c r="P21" s="64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25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65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22" t="inlineStr">
        <is>
          <t>철도종합시험운행 시행지침 준수</t>
        </is>
      </c>
    </row>
    <row r="22" ht="115.2" customHeight="1">
      <c r="A22" s="77" t="inlineStr">
        <is>
          <t>9000</t>
        </is>
      </c>
      <c r="B22" s="77" t="inlineStr">
        <is>
          <t>9000-11</t>
        </is>
      </c>
      <c r="C22" s="77" t="inlineStr">
        <is>
          <t>철도종합시험운행</t>
        </is>
      </c>
      <c r="D22" s="77" t="inlineStr">
        <is>
          <t>9000-11-21</t>
        </is>
      </c>
      <c r="E22" s="79" t="inlineStr">
        <is>
          <t>9000-11-20</t>
        </is>
      </c>
      <c r="F22" s="79" t="inlineStr">
        <is>
          <t>9000-11-22</t>
        </is>
      </c>
      <c r="G22" s="17" t="inlineStr">
        <is>
          <t>영업시운전 계획 수립 및 착수보고</t>
        </is>
      </c>
      <c r="H22" s="17" t="inlineStr">
        <is>
          <t>D+210</t>
        </is>
      </c>
      <c r="I22" s="17" t="inlineStr">
        <is>
          <t>개통운영팀</t>
        </is>
      </c>
      <c r="J22" s="16" t="inlineStr">
        <is>
          <t>3단계 영업시운전 계획서 수립, TS 착수보고회 개최 및 실제 영업 다이아 운행 체계 개시</t>
        </is>
      </c>
      <c r="K22" s="32" t="inlineStr">
        <is>
          <t>1) STEP 1: 실제 영업 다이아(시각표) 및 배차간격 편성 (출퇴근 첨두시간(RH 4분) 및 평시(NH 8분) 배차간격에 맞춘 일일 120회 이상 영업 운행 다이아를 수립합니다.)
2) STEP 2: 운영사(화성도시공사) 종사자 실전 투입 및 숙달 계획 (트램 기관사, 관제사, 역무원, 유지보수 요원이 실제 개통과 동일한 근무 교대조로 전면 투입됩니다.)
3) STEP 3: 영업시운전 착수보고회(TS) 개최 및 시험 개시 (TS 및 관할 지자체 관계자가 참석한 착수보고회를 열고 30일간의 영업시운전을 본격 개시합니다.)</t>
        </is>
      </c>
      <c r="L22" s="17" t="inlineStr">
        <is>
          <t>영업시운전 계획 수립 및 착수보고 결과보고서, 회의록 및 TS 공인 필증</t>
        </is>
      </c>
      <c r="M22" s="25" t="inlineStr">
        <is>
          <t>1) 영업시운전 계획 수립 및 착수보고 (9000-9-21) 업무 달성을 위해 철도안전법 제38조 및 국토부 시행지침을 100% 충족한다.
2) 3단계 영업시운전 계획서 수립, TS 착수보고회 개최 및 실제 영업 다이아 운행 체계 개시을 엄격히 완수하여 국토교통부/TS 승인을 획득한다.</t>
        </is>
      </c>
      <c r="N22" s="63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25" t="inlineStr">
        <is>
          <t>1) STEP 1: 실제 영업 다이아(시각표) 및 배차간격 편성
2) STEP 2: 운영사(화성도시공사) 종사자 실전 투입 및 숙달 계획</t>
        </is>
      </c>
      <c r="P22" s="64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25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65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22" t="inlineStr">
        <is>
          <t>철도종합시험운행 시행지침 준수</t>
        </is>
      </c>
    </row>
    <row r="23" ht="115.2" customHeight="1">
      <c r="A23" s="77" t="inlineStr">
        <is>
          <t>9000</t>
        </is>
      </c>
      <c r="B23" s="77" t="inlineStr">
        <is>
          <t>9000-11</t>
        </is>
      </c>
      <c r="C23" s="77" t="inlineStr">
        <is>
          <t>철도종합시험운행</t>
        </is>
      </c>
      <c r="D23" s="77" t="inlineStr">
        <is>
          <t>9000-11-22</t>
        </is>
      </c>
      <c r="E23" s="79" t="inlineStr">
        <is>
          <t>9000-11-21</t>
        </is>
      </c>
      <c r="F23" s="79" t="inlineStr">
        <is>
          <t>9000-11-23</t>
        </is>
      </c>
      <c r="G23" s="17" t="inlineStr">
        <is>
          <t>영업 다이아 운행 및 비상대응훈련</t>
        </is>
      </c>
      <c r="H23" s="17" t="inlineStr">
        <is>
          <t>D+215</t>
        </is>
      </c>
      <c r="I23" s="17" t="inlineStr">
        <is>
          <t>화성도시공사</t>
        </is>
      </c>
      <c r="J23" s="16" t="inlineStr">
        <is>
          <t>30일간 무사고 영업 다이아 주행(정시율 ≥ 99%), 화재·탈선·단전 8대 비상대응훈련</t>
        </is>
      </c>
      <c r="K23" s="31" t="inlineStr">
        <is>
          <t>1) STEP 1: 30일간 실전 영업 다이아 연속 무사고 운행 (매일 아침 05:30 첫차부터 익일 00:30 막차까지 실제 운행 시각표에 따라 정속 주행 및 승강장 정차를 수행합니다.)
2) STEP 2: 열차 운행 정시율(≥ 99%) 및 고장률(Zero) 관리 (출발, 통과, 도착 시각을 1초 단위로 기록하여 정시율 99.0% 이상을 유지하고 장애 발생 시 즉시 원인을 제거합니다.)
3) STEP 3: 소방·경찰·지자체 합동 8대 비상대응 실전 훈련 (트램 화재 발생 시 승객 비상탈출, 터널 제연팬 가동, 도로 교통사고 연쇄 충돌 등 실전 모의훈련을 완수합니다.)</t>
        </is>
      </c>
      <c r="L23" s="17" t="inlineStr">
        <is>
          <t>영업 다이아 운행 및 비상대응훈련 결과보고서, 회의록 및 TS 공인 필증</t>
        </is>
      </c>
      <c r="M23" s="25" t="inlineStr">
        <is>
          <t>1) 영업 다이아 운행 및 비상대응훈련 (9000-9-22) 업무 달성을 위해 철도안전법 제38조 및 국토부 시행지침을 100% 충족한다.
2) 30일간 무사고 영업 다이아 주행(정시율 ≥ 99%), 화재·탈선·단전 8대 비상대응훈련을 엄격히 완수하여 국토교통부/TS 승인을 획득한다.</t>
        </is>
      </c>
      <c r="N23" s="63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25" t="inlineStr">
        <is>
          <t>1) STEP 1: 30일간 실전 영업 다이아 연속 무사고 운행
2) STEP 2: 열차 운행 정시율(≥ 99%) 및 고장률(Zero) 관리</t>
        </is>
      </c>
      <c r="P23" s="64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25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65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22" t="inlineStr">
        <is>
          <t>철도종합시험운행 시행지침 준수</t>
        </is>
      </c>
    </row>
    <row r="24" ht="115.2" customHeight="1">
      <c r="A24" s="77" t="inlineStr">
        <is>
          <t>9000</t>
        </is>
      </c>
      <c r="B24" s="77" t="inlineStr">
        <is>
          <t>9000-11</t>
        </is>
      </c>
      <c r="C24" s="77" t="inlineStr">
        <is>
          <t>철도종합시험운행</t>
        </is>
      </c>
      <c r="D24" s="77" t="inlineStr">
        <is>
          <t>9000-11-23</t>
        </is>
      </c>
      <c r="E24" s="79" t="inlineStr">
        <is>
          <t>9000-11-22</t>
        </is>
      </c>
      <c r="F24" s="79" t="inlineStr">
        <is>
          <t>9000-11-24</t>
        </is>
      </c>
      <c r="G24" s="17" t="inlineStr">
        <is>
          <t>영업시운전 중간점검 및 조치</t>
        </is>
      </c>
      <c r="H24" s="17" t="inlineStr">
        <is>
          <t>D+220</t>
        </is>
      </c>
      <c r="I24" s="17" t="inlineStr">
        <is>
          <t>개통운영팀</t>
        </is>
      </c>
      <c r="J24" s="16" t="inlineStr">
        <is>
          <t>영업시운전 15일 차 중간점검 회의, 운행 중 발생 이례상황 및 설비 오작동 100% 조치</t>
        </is>
      </c>
      <c r="K24" s="32" t="inlineStr">
        <is>
          <t>1) STEP 1: 15일간 누적 영업시운전 데이터 종합 분석 (총 1,800회 주행 데이터, 전력 소비 패턴, 정차 시간 준수율, 차내 소음도를 전수 분석합니다.)
2) STEP 2: 운전 취급 및 승강장 설비 미세 이상 징후 조치 (승하차 도어 센서 민감도 조정, 안내방송 음압 레벨 보정, 교차로 신호 연동 지연시간을 0.1초 단위로 최적화합니다.)
3) STEP 3: 영업시운전 중간점검 보고서 편찬 및 승인 (조치 결과를 포함한 중간보고서를 TS에 제출하여 후반부 영업시운전의 연속성을 확보합니다.)</t>
        </is>
      </c>
      <c r="L24" s="17" t="inlineStr">
        <is>
          <t>영업시운전 중간점검 및 조치 결과보고서, 회의록 및 TS 공인 필증</t>
        </is>
      </c>
      <c r="M24" s="25" t="inlineStr">
        <is>
          <t>1) 영업시운전 중간점검 및 조치 (9000-9-23) 업무 달성을 위해 철도안전법 제38조 및 국토부 시행지침을 100% 충족한다.
2) 영업시운전 15일 차 중간점검 회의, 운행 중 발생 이례상황 및 설비 오작동 100% 조치을 엄격히 완수하여 국토교통부/TS 승인을 획득한다.</t>
        </is>
      </c>
      <c r="N24" s="63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25" t="inlineStr">
        <is>
          <t>1) STEP 1: 15일간 누적 영업시운전 데이터 종합 분석
2) STEP 2: 운전 취급 및 승강장 설비 미세 이상 징후 조치</t>
        </is>
      </c>
      <c r="P24" s="64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25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65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22" t="inlineStr">
        <is>
          <t>철도종합시험운행 시행지침 준수</t>
        </is>
      </c>
    </row>
    <row r="25" ht="115.2" customHeight="1">
      <c r="A25" s="77" t="inlineStr">
        <is>
          <t>9000</t>
        </is>
      </c>
      <c r="B25" s="77" t="inlineStr">
        <is>
          <t>9000-11</t>
        </is>
      </c>
      <c r="C25" s="77" t="inlineStr">
        <is>
          <t>철도종합시험운행</t>
        </is>
      </c>
      <c r="D25" s="77" t="inlineStr">
        <is>
          <t>9000-11-24</t>
        </is>
      </c>
      <c r="E25" s="79" t="inlineStr">
        <is>
          <t>9000-11-23</t>
        </is>
      </c>
      <c r="F25" s="79" t="inlineStr">
        <is>
          <t>9000-11-25</t>
        </is>
      </c>
      <c r="G25" s="17" t="inlineStr">
        <is>
          <t>영업시운전 종결회의 및 결과보고서 승인</t>
        </is>
      </c>
      <c r="H25" s="17" t="inlineStr">
        <is>
          <t>D+225</t>
        </is>
      </c>
      <c r="I25" s="17" t="inlineStr">
        <is>
          <t>시공사업단</t>
        </is>
      </c>
      <c r="J25" s="16" t="inlineStr">
        <is>
          <t>영업시운전 최종 종결보고회(TS), 3단계 종합시험운행 전 과정 완벽 합격 판정</t>
        </is>
      </c>
      <c r="K25" s="32" t="inlineStr">
        <is>
          <t>1) STEP 1: 영업시운전 30일간 전 운행 실적 종합 집계 (총 주행거리, 정시 운행률, 비상훈련 성과, 종사자 직무 평가표를 집대성한 결과보고서를 편찬합니다.)
2) STEP 2: TS 합동 영업시운전 종결 심의 회의 대응 (TS 및 전문가 심사위원단의 최종 심의를 거쳐 '동탄트램 영업시운전 무결점 합격'을 공식 의결합니다.)
3) STEP 3: 영업시운전 결과보고서 승인 및 종결 선언 (국토부 및 TS로부터 공인 영업시운전 결과보고서를 수령하고 3단계 종합시험운행의 공식 종결을 선포합니다.)</t>
        </is>
      </c>
      <c r="L25" s="17" t="inlineStr">
        <is>
          <t>영업시운전 종결회의 및 결과보고서 승인 결과보고서, 회의록 및 TS 공인 필증</t>
        </is>
      </c>
      <c r="M25" s="25" t="inlineStr">
        <is>
          <t>1) 영업시운전 종결회의 및 결과보고서 승인 (9000-9-24) 업무 달성을 위해 철도안전법 제38조 및 국토부 시행지침을 100% 충족한다.
2) 영업시운전 최종 종결보고회(TS), 3단계 종합시험운행 전 과정 완벽 합격 판정을 엄격히 완수하여 국토교통부/TS 승인을 획득한다.</t>
        </is>
      </c>
      <c r="N25" s="63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25" t="inlineStr">
        <is>
          <t>1) STEP 1: 영업시운전 30일간 전 운행 실적 종합 집계
2) STEP 2: TS 합동 영업시운전 종결 심의 회의 대응</t>
        </is>
      </c>
      <c r="P25" s="64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25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65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22" t="inlineStr">
        <is>
          <t>철도종합시험운행 시행지침 준수</t>
        </is>
      </c>
    </row>
    <row r="26" ht="115.2" customHeight="1">
      <c r="A26" s="77" t="inlineStr">
        <is>
          <t>9000</t>
        </is>
      </c>
      <c r="B26" s="77" t="inlineStr">
        <is>
          <t>9000-11</t>
        </is>
      </c>
      <c r="C26" s="77" t="inlineStr">
        <is>
          <t>철도종합시험운행</t>
        </is>
      </c>
      <c r="D26" s="77" t="inlineStr">
        <is>
          <t>9000-11-25</t>
        </is>
      </c>
      <c r="E26" s="79" t="inlineStr">
        <is>
          <t>9000-11-24</t>
        </is>
      </c>
      <c r="F26" s="79" t="inlineStr">
        <is>
          <t>9000-11-26</t>
        </is>
      </c>
      <c r="G26" s="17" t="inlineStr">
        <is>
          <t>철도종합시험운행 종합결과보고서 제출</t>
        </is>
      </c>
      <c r="H26" s="17" t="inlineStr">
        <is>
          <t>D+230</t>
        </is>
      </c>
      <c r="I26" s="17" t="inlineStr">
        <is>
          <t>시공사업단</t>
        </is>
      </c>
      <c r="J26" s="16" t="inlineStr">
        <is>
          <t>사전점검·시설물검증·영업시운전 3단계 총괄 종합결과보고서 국토교통부 제출</t>
        </is>
      </c>
      <c r="K26" s="32" t="inlineStr">
        <is>
          <t>1) STEP 1: 사전점검·시설물검증·영업시운전 성과 종합 편철 (3단계 전 시험 과정의 측정 데이터, 사진대지, 필증, TS 합격증명서를 마스터 종합보고서로 바인딩합니다.)
2) STEP 2: 총괄사업단장 및 책임감리원 최종 서명 날인 (발주처, 감리단, 시공사 3자 대표자가 서명 날인하여 기술적 무결성을 최종 보증합니다.)
3) STEP 3: 국토교통부 정식 제출 및 정부 적합 승인 통보 수령 (국토교통부에 정식 공문으로 접수하고 최종 '철도종합시험운행 적합 승인' 공문을 수령합니다.)</t>
        </is>
      </c>
      <c r="L26" s="17" t="inlineStr">
        <is>
          <t>철도종합시험운행 종합결과보고서 제출 결과보고서, 회의록 및 TS 공인 필증</t>
        </is>
      </c>
      <c r="M26" s="25" t="inlineStr">
        <is>
          <t>1) 철도종합시험운행 종합결과보고서 제출 (9000-9-25) 업무 달성을 위해 철도안전법 제38조 및 국토부 시행지침을 100% 충족한다.
2) 사전점검·시설물검증·영업시운전 3단계 총괄 종합결과보고서 국토교통부 제출을 엄격히 완수하여 국토교통부/TS 승인을 획득한다.</t>
        </is>
      </c>
      <c r="N26" s="63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25" t="inlineStr">
        <is>
          <t>1) STEP 1: 사전점검·시설물검증·영업시운전 성과 종합 편철
2) STEP 2: 총괄사업단장 및 책임감리원 최종 서명 날인</t>
        </is>
      </c>
      <c r="P26" s="64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25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65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22" t="inlineStr">
        <is>
          <t>철도종합시험운행 시행지침 준수</t>
        </is>
      </c>
    </row>
    <row r="27" ht="153.6" customHeight="1">
      <c r="A27" s="77" t="inlineStr">
        <is>
          <t>9000</t>
        </is>
      </c>
      <c r="B27" s="77" t="inlineStr">
        <is>
          <t>9000-11</t>
        </is>
      </c>
      <c r="C27" s="77" t="inlineStr">
        <is>
          <t>철도종합시험운행</t>
        </is>
      </c>
      <c r="D27" s="77" t="inlineStr">
        <is>
          <t>9000-11-26</t>
        </is>
      </c>
      <c r="E27" s="79" t="inlineStr">
        <is>
          <t>9000-11-25</t>
        </is>
      </c>
      <c r="F27" s="79" t="inlineStr">
        <is>
          <t>9000-11-27</t>
        </is>
      </c>
      <c r="G27" s="17" t="inlineStr">
        <is>
          <t>철도운영자 안전관리체계 변경승인</t>
        </is>
      </c>
      <c r="H27" s="17" t="inlineStr">
        <is>
          <t>D+235</t>
        </is>
      </c>
      <c r="I27" s="17" t="inlineStr">
        <is>
          <t>화성도시공사</t>
        </is>
      </c>
      <c r="J27" s="16" t="inlineStr">
        <is>
          <t>화성도시공사(철도운영자) 철도안전관리체계 변경승인 신청 및 TS 현장 검사 합격</t>
        </is>
      </c>
      <c r="K27" s="32" t="inlineStr">
        <is>
          <t>1) STEP 1: 철도안전관리체계 변경승인 신청 서류 작성 (안전경영 목표, 철도비상대응계획, 철도종사자 자격관리, 시설 및 차량 유지관리 규정 42종을 편찬합니다.)
2) STEP 2: 한국교통안전공단(TS) 현장 실사 수검 (TS 심사위원단의 현장 실사 시 화성도시공사의 관제, 운전, 유지보수 조직의 실질적 이행 능력을 입증합니다.)
3) STEP 3: 국토교통부 철도안전관리체계 변경승인증명서 획득 (국토교통부 장관 명의의 정식 승인증명서를 획득하여 영업 개통을 위한 법적 자격을 100% 완비합니다.)</t>
        </is>
      </c>
      <c r="L27" s="17" t="inlineStr">
        <is>
          <t>철도운영자 안전관리체계 변경승인 결과보고서, 회의록 및 TS 공인 필증</t>
        </is>
      </c>
      <c r="M27" s="25" t="inlineStr">
        <is>
          <t>1) 철도운영자 안전관리체계 변경승인 (9000-9-26) 업무 달성을 위해 철도안전법 제38조 및 국토부 시행지침을 100% 충족한다.
2) 화성도시공사(철도운영자) 철도안전관리체계 변경승인 신청 및 TS 현장 검사 합격을 엄격히 완수하여 국토교통부/TS 승인을 획득한다.</t>
        </is>
      </c>
      <c r="N27" s="63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25" t="inlineStr">
        <is>
          <t>1) STEP 1: 철도안전관리체계 변경승인 신청 서류 작성
2) STEP 2: 한국교통안전공단(TS) 현장 실사 수검</t>
        </is>
      </c>
      <c r="P27" s="64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25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65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22" t="inlineStr">
        <is>
          <t>철도종합시험운행 시행지침 준수</t>
        </is>
      </c>
    </row>
    <row r="28" ht="211.2" customHeight="1">
      <c r="A28" s="77" t="inlineStr">
        <is>
          <t>9000</t>
        </is>
      </c>
      <c r="B28" s="77" t="inlineStr">
        <is>
          <t>9000-11</t>
        </is>
      </c>
      <c r="C28" s="77" t="inlineStr">
        <is>
          <t>철도종합시험운행</t>
        </is>
      </c>
      <c r="D28" s="77" t="inlineStr">
        <is>
          <t>9000-11-27</t>
        </is>
      </c>
      <c r="E28" s="79" t="inlineStr">
        <is>
          <t>9000-11-26</t>
        </is>
      </c>
      <c r="F28" s="79" t="inlineStr">
        <is>
          <t>9000-11-28</t>
        </is>
      </c>
      <c r="G28" s="17" t="inlineStr">
        <is>
          <t>공사목적물 및 시설물 최종 인수인계</t>
        </is>
      </c>
      <c r="H28" s="17" t="inlineStr">
        <is>
          <t>D+238</t>
        </is>
      </c>
      <c r="I28" s="17" t="inlineStr">
        <is>
          <t>시공사업단</t>
        </is>
      </c>
      <c r="J28" s="16" t="inlineStr">
        <is>
          <t>36개 정거장, 본선, 차량기지 시설물 및 2D/3D 준공도서·예비품 화성도시공사 합동 인수인계</t>
        </is>
      </c>
      <c r="K28" s="31" t="inlineStr">
        <is>
          <t>1) STEP 1: 전 역사 및 시설물 합동 정밀 인수인계 실사 (건축 마감, 기계 배관, 전기 수전반, 신호 기계실, 궤도 레일의 상태를 합동 점검하고 인수인계 목록을 작성합니다.)
2) STEP 2: 준공도서, 운용 매뉴얼 및 유지보수 예비품 인계 (3D BIM 기반 As-Built 최종 준공도면, 장비별 정비 지침서 및 2년분 유지보수 예비품을 운영사에 공식 전달합니다.)
3) STEP 3: 공사목적물 인수인계서 최종 체결 (화성시, 화성도시공사, 시공사업단 3자 대표자가 서명 날인하여 시설물 관리권을 공식 이관합니다.)</t>
        </is>
      </c>
      <c r="L28" s="17" t="inlineStr">
        <is>
          <t>공사목적물 및 시설물 최종 인수인계 결과보고서, 회의록 및 TS 공인 필증</t>
        </is>
      </c>
      <c r="M28" s="25" t="inlineStr">
        <is>
          <t>1) 공사목적물 및 시설물 최종 인수인계 (9000-9-27) 업무 달성을 위해 철도안전법 제38조 및 국토부 시행지침을 100% 충족한다.
2) 36개 정거장, 본선, 차량기지 시설물 및 2D/3D 준공도서·예비품 화성도시공사 합동 인수인계을 엄격히 완수하여 국토교통부/TS 승인을 획득한다.</t>
        </is>
      </c>
      <c r="N28" s="63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25" t="inlineStr">
        <is>
          <t>1) STEP 1: 전 역사 및 시설물 합동 정밀 인수인계 실사
2) STEP 2: 준공도서, 운용 매뉴얼 및 유지보수 예비품 인계</t>
        </is>
      </c>
      <c r="P28" s="64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25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65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22" t="inlineStr">
        <is>
          <t>철도종합시험운행 시행지침 준수</t>
        </is>
      </c>
    </row>
    <row r="29" ht="115.2" customHeight="1">
      <c r="A29" s="77" t="inlineStr">
        <is>
          <t>9000</t>
        </is>
      </c>
      <c r="B29" s="77" t="inlineStr">
        <is>
          <t>9000-11</t>
        </is>
      </c>
      <c r="C29" s="77" t="inlineStr">
        <is>
          <t>철도종합시험운행</t>
        </is>
      </c>
      <c r="D29" s="77" t="inlineStr">
        <is>
          <t>9000-11-28</t>
        </is>
      </c>
      <c r="E29" s="79" t="inlineStr">
        <is>
          <t>9000-11-27</t>
        </is>
      </c>
      <c r="F29" s="79" t="inlineStr">
        <is>
          <t>-</t>
        </is>
      </c>
      <c r="G29" s="17" t="inlineStr">
        <is>
          <t>종합시험운행 종결 및 영업 개통</t>
        </is>
      </c>
      <c r="H29" s="17" t="inlineStr">
        <is>
          <t>D+240</t>
        </is>
      </c>
      <c r="I29" s="17" t="inlineStr">
        <is>
          <t>시공사업단</t>
        </is>
      </c>
      <c r="J29" s="16" t="inlineStr">
        <is>
          <t>국토교통부 영업개통 승인 획득, 동탄트램 공식 개통식 거행 및 대시민 상업운전 개시</t>
        </is>
      </c>
      <c r="K29" s="32" t="inlineStr">
        <is>
          <t>1) STEP 1: 국토교통부 영업개통 최종 승인 공문 접수 (철도종합시험운행 및 안전관리체계 승인 성과를 바탕으로 국토교통부 장관의 정식 '영업개통 승인'을 수령합니다.)
2) STEP 2: 동탄도시철도 개통 기념식 및 테이프 커팅 (화성시장, 국회의원, 시민대표, 사업단 관계자가 참석한 가운데 개통식을 개최하고 1호 열차 시승을 진행합니다.)
3) STEP 3: 동탄트램 1·2호선 전 구간 대시민 상업운전 개시 (34.4km 36개 정거장 전 노선에서 시민 탑승 상업운전을 시작하여 동탄 트램 프로젝트를 성공적으로 완수합니다.)</t>
        </is>
      </c>
      <c r="L29" s="17" t="inlineStr">
        <is>
          <t>종합시험운행 종결 및 영업 개통 결과보고서, 회의록 및 TS 공인 필증</t>
        </is>
      </c>
      <c r="M29" s="25" t="inlineStr">
        <is>
          <t>1) 종합시험운행 종결 및 영업 개통 (9000-9-28) 업무 달성을 위해 철도안전법 제38조 및 국토부 시행지침을 100% 충족한다.
2) 국토교통부 영업개통 승인 획득, 동탄트램 공식 개통식 거행 및 대시민 상업운전 개시을 엄격히 완수하여 국토교통부/TS 승인을 획득한다.</t>
        </is>
      </c>
      <c r="N29" s="63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25" t="inlineStr">
        <is>
          <t>1) STEP 1: 국토교통부 영업개통 최종 승인 공문 접수
2) STEP 2: 동탄도시철도 개통 기념식 및 테이프 커팅</t>
        </is>
      </c>
      <c r="P29" s="64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25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65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22" t="inlineStr">
        <is>
          <t>철도종합시험운행 시행지침 준수</t>
        </is>
      </c>
    </row>
    <row r="30" ht="115.2" customHeight="1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6" t="n"/>
      <c r="K30" s="33" t="n"/>
      <c r="L30" s="17" t="n"/>
      <c r="M30" s="25" t="n"/>
      <c r="N30" s="63" t="n"/>
      <c r="O30" s="25" t="n"/>
      <c r="P30" s="64" t="n"/>
      <c r="Q30" s="25" t="n"/>
      <c r="R30" s="65" t="n"/>
      <c r="S30" s="22" t="n"/>
    </row>
    <row r="31" ht="115.2" customHeight="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6" t="n"/>
      <c r="K31" s="33" t="n"/>
      <c r="L31" s="17" t="n"/>
      <c r="M31" s="25" t="n"/>
      <c r="N31" s="63" t="n"/>
      <c r="O31" s="25" t="n"/>
      <c r="P31" s="64" t="n"/>
      <c r="Q31" s="25" t="n"/>
      <c r="R31" s="65" t="n"/>
      <c r="S31" s="22" t="n"/>
    </row>
    <row r="32" ht="115.2" customHeight="1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6" t="n"/>
      <c r="K32" s="33" t="n"/>
      <c r="L32" s="17" t="n"/>
      <c r="M32" s="25" t="n"/>
      <c r="N32" s="63" t="n"/>
      <c r="O32" s="25" t="n"/>
      <c r="P32" s="64" t="n"/>
      <c r="Q32" s="25" t="n"/>
      <c r="R32" s="65" t="n"/>
      <c r="S32" s="22" t="n"/>
    </row>
    <row r="33" ht="115.2" customHeight="1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6" t="n"/>
      <c r="K33" s="33" t="n"/>
      <c r="L33" s="17" t="n"/>
      <c r="M33" s="25" t="n"/>
      <c r="N33" s="63" t="n"/>
      <c r="O33" s="25" t="n"/>
      <c r="P33" s="64" t="n"/>
      <c r="Q33" s="25" t="n"/>
      <c r="R33" s="65" t="n"/>
      <c r="S33" s="22" t="n"/>
    </row>
    <row r="34" ht="19.2" customHeight="1">
      <c r="N34" s="66" t="n"/>
      <c r="P34" s="67" t="n"/>
      <c r="R34" s="68" t="n"/>
    </row>
    <row r="35" ht="19.2" customHeight="1">
      <c r="N35" s="66" t="n"/>
      <c r="P35" s="67" t="n"/>
      <c r="R35" s="68" t="n"/>
    </row>
    <row r="36" ht="19.2" customHeight="1">
      <c r="N36" s="66" t="n"/>
      <c r="P36" s="67" t="n"/>
      <c r="R36" s="68" t="n"/>
    </row>
    <row r="37" ht="19.2" customHeight="1">
      <c r="N37" s="66" t="n"/>
      <c r="P37" s="67" t="n"/>
      <c r="R37" s="68" t="n"/>
    </row>
  </sheetData>
  <pageMargins left="0.7" right="0.7" top="0.75" bottom="0.75" header="0.3" footer="0.3"/>
  <pageSetup orientation="landscape" paperSize="8" scale="37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2026-08-14T14:39:54Z</dcterms:modified>
  <cp:lastModifiedBy>재형 김</cp:lastModifiedBy>
  <cp:lastPrinted>2026-08-14T14:04:48Z</cp:lastPrinted>
</cp:coreProperties>
</file>