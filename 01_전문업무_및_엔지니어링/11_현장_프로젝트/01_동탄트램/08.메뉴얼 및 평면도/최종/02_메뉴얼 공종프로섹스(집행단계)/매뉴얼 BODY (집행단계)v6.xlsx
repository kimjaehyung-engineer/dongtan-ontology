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현재_통합_문서"/>
  <bookViews>
    <workbookView visibility="visible" minimized="0" showHorizontalScroll="1" showVerticalScroll="1" showSheetTabs="1" xWindow="-28920" yWindow="-120" windowWidth="29040" windowHeight="15720" tabRatio="771" firstSheet="0" activeTab="1" autoFilterDateGrouping="1"/>
  </bookViews>
  <sheets>
    <sheet xmlns:r="http://schemas.openxmlformats.org/officeDocument/2006/relationships" name="대시보드" sheetId="1" state="visible" r:id="rId1"/>
    <sheet xmlns:r="http://schemas.openxmlformats.org/officeDocument/2006/relationships" name="공정매뉴얼" sheetId="2" state="visible" r:id="rId2"/>
    <sheet xmlns:r="http://schemas.openxmlformats.org/officeDocument/2006/relationships" name="지반조사" sheetId="3" state="visible" r:id="rId3"/>
    <sheet xmlns:r="http://schemas.openxmlformats.org/officeDocument/2006/relationships" name="지반조사(원본서식)" sheetId="4" state="visible" r:id="rId4"/>
    <sheet xmlns:r="http://schemas.openxmlformats.org/officeDocument/2006/relationships" name="사전토공사" sheetId="5" state="visible" r:id="rId5"/>
    <sheet xmlns:r="http://schemas.openxmlformats.org/officeDocument/2006/relationships" name="지장물이설" sheetId="6" state="visible" r:id="rId6"/>
    <sheet xmlns:r="http://schemas.openxmlformats.org/officeDocument/2006/relationships" name="상부강화노반" sheetId="7" state="visible" r:id="rId7"/>
    <sheet xmlns:r="http://schemas.openxmlformats.org/officeDocument/2006/relationships" name="콘크리트도상" sheetId="8" state="visible" r:id="rId8"/>
    <sheet xmlns:r="http://schemas.openxmlformats.org/officeDocument/2006/relationships" name="건축" sheetId="9" state="visible" r:id="rId9"/>
    <sheet xmlns:r="http://schemas.openxmlformats.org/officeDocument/2006/relationships" name="신호" sheetId="10" state="visible" r:id="rId10"/>
    <sheet xmlns:r="http://schemas.openxmlformats.org/officeDocument/2006/relationships" name="통신" sheetId="11" state="visible" r:id="rId11"/>
    <sheet xmlns:r="http://schemas.openxmlformats.org/officeDocument/2006/relationships" name="전기" sheetId="12" state="visible" r:id="rId12"/>
    <sheet xmlns:r="http://schemas.openxmlformats.org/officeDocument/2006/relationships" name="GUIDE" sheetId="13" state="visible" r:id="rId13"/>
  </sheets>
  <definedNames>
    <definedName name="_xlnm._FilterDatabase" localSheetId="1" hidden="1">'공정매뉴얼'!$A$3:$P$88</definedName>
    <definedName name="_xlnm.Print_Titles" localSheetId="1">'공정매뉴얼'!$3:$3</definedName>
    <definedName name="_xlnm.Print_Area" localSheetId="1">'공정매뉴얼'!$A$1:$I$80</definedName>
    <definedName name="_xlnm.Print_Titles" localSheetId="4">'사전토공사'!$1:$1</definedName>
    <definedName name="_xlnm.Print_Area" localSheetId="4">'사전토공사'!$A$1:$Q$31</definedName>
    <definedName name="_xlnm.Print_Titles" localSheetId="5">'지장물이설'!$1:$1</definedName>
    <definedName name="_xlnm.Print_Area" localSheetId="5">'지장물이설'!$A$1:$Q$39</definedName>
    <definedName name="_xlnm.Print_Area" localSheetId="6">'상부강화노반'!$A$1:$Q$37</definedName>
    <definedName name="_xlnm.Print_Titles" localSheetId="7">'콘크리트도상'!$1:$1</definedName>
    <definedName name="_xlnm.Print_Area" localSheetId="7">'콘크리트도상'!$A$1:$P$24</definedName>
    <definedName name="_xlnm.Print_Area" localSheetId="8">'건축'!$A$1:$P$51</definedName>
    <definedName name="_xlnm.Print_Titles" localSheetId="9">'신호'!$1:$1</definedName>
    <definedName name="_xlnm.Print_Area" localSheetId="9">'신호'!$A$1:$P$23</definedName>
    <definedName name="_xlnm.Print_Area" localSheetId="10">'통신'!$A$1:$P$33</definedName>
    <definedName name="_xlnm.Print_Area" localSheetId="11">'전기'!$A$1:$P$33</definedName>
  </definedNames>
  <calcPr calcId="0" fullCalcOnLoad="1"/>
</workbook>
</file>

<file path=xl/styles.xml><?xml version="1.0" encoding="utf-8"?>
<styleSheet xmlns="http://schemas.openxmlformats.org/spreadsheetml/2006/main">
  <numFmts count="1">
    <numFmt numFmtId="164" formatCode="0.0%"/>
  </numFmts>
  <fonts count="33">
    <font>
      <name val="맑은 고딕"/>
      <family val="2"/>
      <color theme="1"/>
      <sz val="11"/>
      <scheme val="minor"/>
    </font>
    <font>
      <name val="맑은 고딕"/>
      <charset val="129"/>
      <family val="3"/>
      <sz val="9"/>
    </font>
    <font>
      <name val="맑은 고딕"/>
      <charset val="129"/>
      <family val="3"/>
      <b val="1"/>
      <color rgb="FF7F6000"/>
      <sz val="10"/>
    </font>
    <font>
      <name val="맑은 고딕"/>
      <charset val="129"/>
      <family val="3"/>
      <sz val="8"/>
      <scheme val="minor"/>
    </font>
    <font>
      <name val="맑은 고딕"/>
      <charset val="129"/>
      <family val="3"/>
      <b val="1"/>
      <color rgb="FFFFFFFF"/>
      <sz val="13"/>
    </font>
    <font>
      <name val="맑은 고딕"/>
      <charset val="129"/>
      <family val="3"/>
      <b val="1"/>
      <color rgb="FFFFFFFF"/>
      <sz val="12"/>
    </font>
    <font>
      <name val="맑은 고딕"/>
      <charset val="129"/>
      <family val="3"/>
      <color theme="1"/>
      <sz val="12"/>
      <scheme val="minor"/>
    </font>
    <font>
      <name val="맑은 고딕"/>
      <charset val="129"/>
      <family val="3"/>
      <sz val="12"/>
    </font>
    <font>
      <name val="맑은 고딕"/>
      <charset val="129"/>
      <family val="3"/>
      <color rgb="FF000000"/>
      <sz val="10"/>
    </font>
    <font>
      <name val="맑은 고딕"/>
      <charset val="129"/>
      <family val="3"/>
      <b val="1"/>
      <color rgb="FFFFFFFF"/>
      <sz val="10"/>
    </font>
    <font>
      <name val="맑은 고딕"/>
      <charset val="129"/>
      <family val="3"/>
      <b val="1"/>
      <color rgb="FF0000FF"/>
      <sz val="9"/>
      <u val="single"/>
    </font>
    <font>
      <name val="맑은 고딕"/>
      <charset val="129"/>
      <family val="3"/>
      <b val="1"/>
      <color rgb="FF0000FF"/>
      <sz val="12"/>
      <u val="single"/>
    </font>
    <font>
      <name val="맑은 고딕"/>
      <charset val="129"/>
      <family val="2"/>
      <b val="1"/>
      <color rgb="FF0000FF"/>
      <sz val="9"/>
      <u val="single"/>
    </font>
    <font>
      <name val="Arial"/>
      <family val="2"/>
      <color rgb="FF1F1F1F"/>
      <sz val="11"/>
    </font>
    <font>
      <name val="Arial"/>
      <family val="2"/>
      <b val="1"/>
      <color rgb="FF1F1F1F"/>
      <sz val="11"/>
    </font>
    <font>
      <name val="Arial"/>
      <family val="2"/>
      <b val="1"/>
      <color rgb="FF1F1F1F"/>
      <sz val="18"/>
    </font>
    <font>
      <name val="맑은 고딕"/>
      <charset val="129"/>
      <family val="3"/>
      <color rgb="FFFF0000"/>
      <sz val="11"/>
      <scheme val="minor"/>
    </font>
    <font>
      <name val="맑은 고딕"/>
      <charset val="129"/>
      <family val="3"/>
      <color theme="1"/>
      <sz val="11"/>
      <scheme val="minor"/>
    </font>
    <font>
      <name val="맑은 고딕"/>
      <family val="2"/>
      <color rgb="FFFF0000"/>
      <sz val="11"/>
      <scheme val="minor"/>
    </font>
    <font>
      <name val="맑은 고딕"/>
      <charset val="129"/>
      <family val="2"/>
      <b val="1"/>
      <color rgb="FF0000FF"/>
      <sz val="12"/>
      <u val="single"/>
    </font>
    <font>
      <name val="맑은 고딕"/>
      <b val="1"/>
      <color rgb="00FFFFFF"/>
      <sz val="15"/>
    </font>
    <font>
      <name val="맑은 고딕"/>
      <b val="1"/>
      <color rgb="000F2043"/>
      <sz val="11"/>
    </font>
    <font>
      <name val="맑은 고딕"/>
      <b val="1"/>
      <color rgb="00FFFFFF"/>
      <sz val="9"/>
    </font>
    <font>
      <name val="맑은 고딕"/>
      <b val="1"/>
      <color rgb="000F2043"/>
      <sz val="13"/>
    </font>
    <font>
      <name val="맑은 고딕"/>
      <b val="1"/>
      <color rgb="000F2043"/>
      <sz val="12"/>
    </font>
    <font>
      <name val="맑은 고딕"/>
      <b val="1"/>
      <color rgb="00FFFFFF"/>
      <sz val="10"/>
    </font>
    <font>
      <name val="맑은 고딕"/>
      <color rgb="001E293B"/>
      <sz val="9.5"/>
    </font>
    <font>
      <name val="맑은 고딕"/>
      <b val="1"/>
      <color rgb="001E293B"/>
      <sz val="9.5"/>
    </font>
    <font>
      <name val="맑은 고딕"/>
      <b val="1"/>
      <color rgb="00FFFFFF"/>
      <sz val="9.5"/>
    </font>
    <font>
      <name val="맑은 고딕"/>
      <b val="1"/>
      <color rgb="00000000"/>
      <sz val="9"/>
    </font>
    <font>
      <name val="맑은 고딕"/>
      <color rgb="00000000"/>
      <sz val="9"/>
    </font>
    <font>
      <name val="맑은 고딕"/>
      <b val="1"/>
      <color rgb="000284C7"/>
      <sz val="9"/>
      <u val="single"/>
    </font>
    <font>
      <name val="맑은 고딕"/>
      <b val="1"/>
      <color rgb="00000000"/>
      <sz val="13"/>
    </font>
  </fonts>
  <fills count="18">
    <fill>
      <patternFill/>
    </fill>
    <fill>
      <patternFill patternType="gray125"/>
    </fill>
    <fill>
      <patternFill patternType="solid">
        <fgColor rgb="FFFFFFFF"/>
      </patternFill>
    </fill>
    <fill>
      <patternFill patternType="solid">
        <fgColor rgb="FFF9F9FB"/>
      </patternFill>
    </fill>
    <fill>
      <patternFill patternType="solid">
        <fgColor rgb="FF4F81BD"/>
        <bgColor rgb="FF4F81BD"/>
      </patternFill>
    </fill>
    <fill>
      <patternFill patternType="solid">
        <fgColor rgb="FFFFF2CC"/>
        <bgColor rgb="FFFFF2CC"/>
      </patternFill>
    </fill>
    <fill>
      <patternFill patternType="solid">
        <fgColor rgb="FFFFFF00"/>
        <bgColor indexed="64"/>
      </patternFill>
    </fill>
    <fill>
      <patternFill patternType="solid">
        <fgColor rgb="FF1E3A8A"/>
        <bgColor rgb="FF1E3A8A"/>
      </patternFill>
    </fill>
    <fill>
      <patternFill patternType="solid">
        <fgColor rgb="FF0F172A"/>
        <bgColor rgb="FF0F172A"/>
      </patternFill>
    </fill>
    <fill>
      <patternFill patternType="solid">
        <fgColor rgb="FF7F6000"/>
      </patternFill>
    </fill>
    <fill>
      <patternFill patternType="solid">
        <fgColor rgb="000F2043"/>
        <bgColor rgb="000F2043"/>
      </patternFill>
    </fill>
    <fill>
      <patternFill patternType="solid">
        <fgColor rgb="001E293B"/>
        <bgColor rgb="001E293B"/>
      </patternFill>
    </fill>
    <fill>
      <patternFill patternType="solid">
        <fgColor rgb="00F8FAFC"/>
        <bgColor rgb="00F8FAFC"/>
      </patternFill>
    </fill>
    <fill>
      <patternFill patternType="solid">
        <fgColor rgb="00F1F5F9"/>
        <bgColor rgb="00F1F5F9"/>
      </patternFill>
    </fill>
    <fill>
      <patternFill patternType="solid">
        <fgColor rgb="00D97706"/>
        <bgColor rgb="00D97706"/>
      </patternFill>
    </fill>
    <fill>
      <patternFill patternType="solid">
        <fgColor rgb="000F172A"/>
        <bgColor rgb="000F172A"/>
      </patternFill>
    </fill>
    <fill>
      <patternFill patternType="solid">
        <fgColor rgb="00EFF6FF"/>
        <bgColor rgb="00EFF6FF"/>
      </patternFill>
    </fill>
    <fill>
      <patternFill patternType="solid">
        <fgColor rgb="001E3A8A"/>
        <bgColor rgb="001E3A8A"/>
      </patternFill>
    </fill>
  </fills>
  <borders count="22">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style="thin">
        <color rgb="FFBFBFBF"/>
      </right>
      <top style="thin">
        <color rgb="FFBFBFBF"/>
      </top>
      <bottom style="thin">
        <color rgb="FFBFBFBF"/>
      </bottom>
      <diagonal/>
    </border>
    <border>
      <left/>
      <right style="thin">
        <color auto="1"/>
      </right>
      <top style="thin">
        <color auto="1"/>
      </top>
      <bottom style="thin">
        <color auto="1"/>
      </bottom>
      <diagonal/>
    </border>
    <border>
      <left style="thin">
        <color rgb="FFCBD5E1"/>
      </left>
      <right style="thin">
        <color rgb="FFCBD5E1"/>
      </right>
      <top style="thin">
        <color rgb="FFCBD5E1"/>
      </top>
      <bottom style="thin">
        <color rgb="FFCBD5E1"/>
      </bottom>
      <diagonal/>
    </border>
    <border>
      <left style="thin">
        <color theme="1"/>
      </left>
      <right style="thin">
        <color theme="1"/>
      </right>
      <top style="thin">
        <color theme="1"/>
      </top>
      <bottom style="thin">
        <color theme="1"/>
      </bottom>
      <diagonal/>
    </border>
    <border>
      <left/>
      <right style="thin">
        <color rgb="FFCBD5E1"/>
      </right>
      <top style="thin">
        <color rgb="FFCBD5E1"/>
      </top>
      <bottom style="thin">
        <color rgb="FFCBD5E1"/>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auto="1"/>
      </left>
      <right style="thin">
        <color auto="1"/>
      </right>
      <top style="thin">
        <color auto="1"/>
      </top>
      <bottom/>
      <diagonal/>
    </border>
    <border>
      <left/>
      <right/>
      <top style="thin">
        <color rgb="FFBFBFBF"/>
      </top>
      <bottom/>
      <diagonal/>
    </border>
    <border>
      <left/>
      <right style="thin">
        <color rgb="FFBFBFBF"/>
      </right>
      <top style="thin">
        <color rgb="FFBFBFBF"/>
      </top>
      <bottom/>
      <diagonal/>
    </border>
    <border>
      <left/>
      <right/>
      <top style="medium">
        <color auto="1"/>
      </top>
      <bottom/>
      <diagonal/>
    </border>
    <border>
      <left/>
      <right style="medium">
        <color auto="1"/>
      </right>
      <top style="medium">
        <color auto="1"/>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style="thin">
        <color rgb="00CBD5E1"/>
      </right>
      <top style="thin">
        <color rgb="00CBD5E1"/>
      </top>
      <bottom style="thin">
        <color rgb="00CBD5E1"/>
      </bottom>
      <diagonal/>
    </border>
    <border>
      <left/>
      <right/>
      <top style="thin">
        <color rgb="00CBD5E1"/>
      </top>
      <bottom style="thin">
        <color rgb="00CBD5E1"/>
      </bottom>
      <diagonal/>
    </border>
  </borders>
  <cellStyleXfs count="1">
    <xf numFmtId="0" fontId="0" fillId="0" borderId="0"/>
  </cellStyleXfs>
  <cellXfs count="154">
    <xf numFmtId="0" fontId="0" fillId="0"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wrapText="1"/>
    </xf>
    <xf numFmtId="0" fontId="6" fillId="0" borderId="0" applyAlignment="1" pivotButton="0" quotePrefix="0" xfId="0">
      <alignment vertical="center" wrapText="1"/>
    </xf>
    <xf numFmtId="0" fontId="6" fillId="0" borderId="0" applyAlignment="1" pivotButton="0" quotePrefix="0" xfId="0">
      <alignment horizontal="center" vertical="center" wrapText="1"/>
    </xf>
    <xf numFmtId="0" fontId="6" fillId="6" borderId="0" applyAlignment="1" pivotButton="0" quotePrefix="0" xfId="0">
      <alignment horizontal="center" vertical="center" wrapText="1"/>
    </xf>
    <xf numFmtId="0" fontId="9" fillId="7" borderId="0" applyAlignment="1" pivotButton="0" quotePrefix="0" xfId="0">
      <alignment horizontal="center" vertical="center" wrapText="1"/>
    </xf>
    <xf numFmtId="0" fontId="9" fillId="8" borderId="2" applyAlignment="1" pivotButton="0" quotePrefix="0" xfId="0">
      <alignment horizontal="center" vertical="center" wrapText="1"/>
    </xf>
    <xf numFmtId="0" fontId="9" fillId="7" borderId="2" applyAlignment="1" pivotButton="0" quotePrefix="0" xfId="0">
      <alignment horizontal="center" vertical="center" wrapText="1"/>
    </xf>
    <xf numFmtId="0" fontId="9" fillId="8" borderId="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7" applyAlignment="1" pivotButton="0" quotePrefix="0" xfId="0">
      <alignment horizontal="left" vertical="top" wrapText="1"/>
    </xf>
    <xf numFmtId="0" fontId="9" fillId="7" borderId="6" applyAlignment="1" pivotButton="0" quotePrefix="0" xfId="0">
      <alignment horizontal="center" vertical="center" wrapText="1"/>
    </xf>
    <xf numFmtId="0" fontId="7" fillId="0" borderId="7" applyAlignment="1" pivotButton="0" quotePrefix="0" xfId="0">
      <alignment horizontal="center" vertical="center" wrapText="1"/>
    </xf>
    <xf numFmtId="0" fontId="7" fillId="0" borderId="7" applyAlignment="1" pivotButton="0" quotePrefix="0" xfId="0">
      <alignment horizontal="left" vertical="top" wrapText="1"/>
    </xf>
    <xf numFmtId="0" fontId="7" fillId="6" borderId="7" applyAlignment="1" pivotButton="0" quotePrefix="0" xfId="0">
      <alignment horizontal="left" vertical="top" wrapText="1"/>
    </xf>
    <xf numFmtId="0" fontId="8" fillId="0" borderId="7" applyAlignment="1" pivotButton="0" quotePrefix="0" xfId="0">
      <alignment horizontal="left" vertical="top" wrapText="1"/>
    </xf>
    <xf numFmtId="0" fontId="10" fillId="0" borderId="7" applyAlignment="1" pivotButton="0" quotePrefix="0" xfId="0">
      <alignment horizontal="center" vertical="center" wrapText="1"/>
    </xf>
    <xf numFmtId="0" fontId="10" fillId="0" borderId="7" applyAlignment="1" pivotButton="0" quotePrefix="0" xfId="0">
      <alignment horizontal="left" vertical="top" wrapText="1"/>
    </xf>
    <xf numFmtId="0" fontId="5" fillId="8" borderId="8" applyAlignment="1" pivotButton="0" quotePrefix="0" xfId="0">
      <alignment horizontal="center" vertical="center" wrapText="1"/>
    </xf>
    <xf numFmtId="0" fontId="5" fillId="7" borderId="8" applyAlignment="1" pivotButton="0" quotePrefix="0" xfId="0">
      <alignment horizontal="center" vertical="center" wrapText="1"/>
    </xf>
    <xf numFmtId="0" fontId="5" fillId="8" borderId="0" applyAlignment="1" pivotButton="0" quotePrefix="0" xfId="0">
      <alignment horizontal="center" vertical="center" wrapText="1"/>
    </xf>
    <xf numFmtId="0" fontId="7" fillId="0" borderId="8" applyAlignment="1" pivotButton="0" quotePrefix="0" xfId="0">
      <alignment horizontal="center" vertical="center" wrapText="1"/>
    </xf>
    <xf numFmtId="0" fontId="7" fillId="0" borderId="8" applyAlignment="1" pivotButton="0" quotePrefix="0" xfId="0">
      <alignment horizontal="left" vertical="top" wrapText="1"/>
    </xf>
    <xf numFmtId="0" fontId="11" fillId="0" borderId="8" applyAlignment="1" pivotButton="0" quotePrefix="0" xfId="0">
      <alignment horizontal="center" vertical="center" wrapText="1"/>
    </xf>
    <xf numFmtId="0" fontId="7" fillId="0" borderId="9" applyAlignment="1" pivotButton="0" quotePrefix="0" xfId="0">
      <alignment horizontal="left" vertical="top" wrapText="1"/>
    </xf>
    <xf numFmtId="0" fontId="11" fillId="0" borderId="7" applyAlignment="1" pivotButton="0" quotePrefix="0" xfId="0">
      <alignment horizontal="left" vertical="top" wrapText="1"/>
    </xf>
    <xf numFmtId="0" fontId="6" fillId="0" borderId="0" pivotButton="0" quotePrefix="0" xfId="0"/>
    <xf numFmtId="0" fontId="12" fillId="0" borderId="7" applyAlignment="1" pivotButton="0" quotePrefix="0" xfId="0">
      <alignment horizontal="left" vertical="top" wrapText="1"/>
    </xf>
    <xf numFmtId="0" fontId="5" fillId="8" borderId="2" applyAlignment="1" pivotButton="0" quotePrefix="0" xfId="0">
      <alignment horizontal="center" vertical="center" wrapText="1"/>
    </xf>
    <xf numFmtId="0" fontId="5" fillId="7" borderId="0" applyAlignment="1" pivotButton="0" quotePrefix="0" xfId="0">
      <alignment horizontal="center" vertical="center" wrapText="1"/>
    </xf>
    <xf numFmtId="0" fontId="5" fillId="7" borderId="2" applyAlignment="1" pivotButton="0" quotePrefix="0" xfId="0">
      <alignment horizontal="center" vertical="center" wrapText="1"/>
    </xf>
    <xf numFmtId="0" fontId="6" fillId="0" borderId="7" applyAlignment="1" pivotButton="0" quotePrefix="0" xfId="0">
      <alignment horizontal="center" vertical="center" wrapText="1"/>
    </xf>
    <xf numFmtId="0" fontId="6" fillId="0" borderId="7" applyAlignment="1" pivotButton="0" quotePrefix="0" xfId="0">
      <alignment horizontal="left" vertical="top" wrapText="1"/>
    </xf>
    <xf numFmtId="0" fontId="11" fillId="0" borderId="7" applyAlignment="1" pivotButton="0" quotePrefix="0" xfId="0">
      <alignment horizontal="center" vertical="center" wrapText="1"/>
    </xf>
    <xf numFmtId="0" fontId="9" fillId="9" borderId="2" applyAlignment="1" pivotButton="0" quotePrefix="0" xfId="0">
      <alignment horizontal="center" vertical="center" wrapText="1"/>
    </xf>
    <xf numFmtId="0" fontId="9" fillId="4" borderId="5" applyAlignment="1" pivotButton="0" quotePrefix="0" xfId="0">
      <alignment horizontal="center" vertical="center" wrapText="1"/>
    </xf>
    <xf numFmtId="0" fontId="1" fillId="2" borderId="2" applyAlignment="1" pivotButton="0" quotePrefix="0" xfId="0">
      <alignment horizontal="center" vertical="top" wrapText="1"/>
    </xf>
    <xf numFmtId="0" fontId="1" fillId="2" borderId="2" applyAlignment="1" pivotButton="0" quotePrefix="0" xfId="0">
      <alignment horizontal="left" vertical="top" wrapText="1"/>
    </xf>
    <xf numFmtId="0" fontId="1" fillId="2" borderId="5" applyAlignment="1" pivotButton="0" quotePrefix="0" xfId="0">
      <alignment horizontal="left" vertical="top" wrapText="1"/>
    </xf>
    <xf numFmtId="0" fontId="1" fillId="3" borderId="2" applyAlignment="1" pivotButton="0" quotePrefix="0" xfId="0">
      <alignment horizontal="center" vertical="top" wrapText="1"/>
    </xf>
    <xf numFmtId="0" fontId="1" fillId="3" borderId="2" applyAlignment="1" pivotButton="0" quotePrefix="0" xfId="0">
      <alignment horizontal="left" vertical="top" wrapText="1"/>
    </xf>
    <xf numFmtId="0" fontId="1" fillId="3" borderId="5" applyAlignment="1" pivotButton="0" quotePrefix="0" xfId="0">
      <alignment horizontal="left" vertical="top" wrapText="1"/>
    </xf>
    <xf numFmtId="0" fontId="8" fillId="0" borderId="7" applyAlignment="1" pivotButton="0" quotePrefix="0" xfId="0">
      <alignment horizontal="left" vertical="center" wrapText="1"/>
    </xf>
    <xf numFmtId="0" fontId="7" fillId="0" borderId="7" applyAlignment="1" pivotButton="0" quotePrefix="0" xfId="0">
      <alignment horizontal="left" vertical="center" wrapText="1"/>
    </xf>
    <xf numFmtId="0" fontId="13" fillId="0" borderId="0" applyAlignment="1" pivotButton="0" quotePrefix="0" xfId="0">
      <alignment vertical="center" readingOrder="1"/>
    </xf>
    <xf numFmtId="0" fontId="15" fillId="0" borderId="0" applyAlignment="1" pivotButton="0" quotePrefix="0" xfId="0">
      <alignment vertical="center" readingOrder="1"/>
    </xf>
    <xf numFmtId="0" fontId="14" fillId="0" borderId="0" applyAlignment="1" pivotButton="0" quotePrefix="0" xfId="0">
      <alignment horizontal="left" vertical="center" indent="1" readingOrder="1"/>
    </xf>
    <xf numFmtId="0" fontId="13" fillId="0" borderId="0" applyAlignment="1" pivotButton="0" quotePrefix="0" xfId="0">
      <alignment horizontal="left" vertical="center" indent="1" readingOrder="1"/>
    </xf>
    <xf numFmtId="0" fontId="9" fillId="8" borderId="2" applyAlignment="1" pivotButton="0" quotePrefix="0" xfId="0">
      <alignment horizontal="left" vertical="center" wrapText="1"/>
    </xf>
    <xf numFmtId="0" fontId="6" fillId="0" borderId="0" applyAlignment="1" pivotButton="0" quotePrefix="0" xfId="0">
      <alignment horizontal="left" vertical="center" wrapText="1"/>
    </xf>
    <xf numFmtId="0" fontId="0" fillId="0" borderId="0" applyAlignment="1" pivotButton="0" quotePrefix="0" xfId="0">
      <alignment horizontal="left" vertical="center" wrapText="1"/>
    </xf>
    <xf numFmtId="0" fontId="0" fillId="0" borderId="0" applyAlignment="1" pivotButton="0" quotePrefix="0" xfId="0">
      <alignment horizontal="left" vertical="center"/>
    </xf>
    <xf numFmtId="0" fontId="12" fillId="0" borderId="7" applyAlignment="1" pivotButton="0" quotePrefix="0" xfId="0">
      <alignment horizontal="center" vertical="center" wrapText="1"/>
    </xf>
    <xf numFmtId="0" fontId="7" fillId="6" borderId="7" applyAlignment="1" pivotButton="0" quotePrefix="0" xfId="0">
      <alignment horizontal="center" vertical="center" wrapText="1"/>
    </xf>
    <xf numFmtId="0" fontId="10" fillId="6" borderId="7" applyAlignment="1" pivotButton="0" quotePrefix="0" xfId="0">
      <alignment horizontal="center" vertical="center" wrapText="1"/>
    </xf>
    <xf numFmtId="0" fontId="10" fillId="6" borderId="7" applyAlignment="1" pivotButton="0" quotePrefix="0" xfId="0">
      <alignment horizontal="left" vertical="top" wrapText="1"/>
    </xf>
    <xf numFmtId="0" fontId="6" fillId="6" borderId="0" applyAlignment="1" pivotButton="0" quotePrefix="0" xfId="0">
      <alignment vertical="center" wrapText="1"/>
    </xf>
    <xf numFmtId="0" fontId="12" fillId="6" borderId="7" applyAlignment="1" pivotButton="0" quotePrefix="0" xfId="0">
      <alignment horizontal="center" vertical="center" wrapText="1"/>
    </xf>
    <xf numFmtId="0" fontId="7" fillId="6" borderId="7" applyAlignment="1" pivotButton="0" quotePrefix="0" xfId="0">
      <alignment horizontal="left" vertical="center" wrapText="1"/>
    </xf>
    <xf numFmtId="0" fontId="0" fillId="0" borderId="2" applyAlignment="1" pivotButton="0" quotePrefix="0" xfId="0">
      <alignment vertical="center" wrapText="1"/>
    </xf>
    <xf numFmtId="0" fontId="0" fillId="0" borderId="2" applyAlignment="1" pivotButton="0" quotePrefix="0" xfId="0">
      <alignment horizontal="center" vertical="center" wrapText="1"/>
    </xf>
    <xf numFmtId="0" fontId="0" fillId="0" borderId="2" applyAlignment="1" pivotButton="0" quotePrefix="1" xfId="0">
      <alignment vertical="center" wrapText="1"/>
    </xf>
    <xf numFmtId="0" fontId="17" fillId="0" borderId="2" applyAlignment="1" pivotButton="0" quotePrefix="0" xfId="0">
      <alignment horizontal="center" vertical="center" wrapText="1"/>
    </xf>
    <xf numFmtId="0" fontId="16" fillId="0" borderId="2" applyAlignment="1" pivotButton="0" quotePrefix="0" xfId="0">
      <alignment vertical="center" wrapText="1"/>
    </xf>
    <xf numFmtId="0" fontId="5" fillId="8" borderId="12" applyAlignment="1" pivotButton="0" quotePrefix="0" xfId="0">
      <alignment horizontal="center" vertical="center" wrapText="1"/>
    </xf>
    <xf numFmtId="0" fontId="5" fillId="7" borderId="12" applyAlignment="1" pivotButton="0" quotePrefix="0" xfId="0">
      <alignment horizontal="center" vertical="center" wrapText="1"/>
    </xf>
    <xf numFmtId="0" fontId="11" fillId="0" borderId="2" applyAlignment="1" pivotButton="0" quotePrefix="0" xfId="0">
      <alignment horizontal="center" vertical="center" wrapText="1"/>
    </xf>
    <xf numFmtId="0" fontId="6" fillId="0" borderId="2" applyAlignment="1" pivotButton="0" quotePrefix="0" xfId="0">
      <alignment horizontal="center" vertical="center" wrapText="1"/>
    </xf>
    <xf numFmtId="0" fontId="17" fillId="0" borderId="2" applyAlignment="1" pivotButton="0" quotePrefix="0" xfId="0">
      <alignment vertical="center" wrapText="1"/>
    </xf>
    <xf numFmtId="0" fontId="10" fillId="0" borderId="9" applyAlignment="1" pivotButton="0" quotePrefix="0" xfId="0">
      <alignment horizontal="center" vertical="center" wrapText="1"/>
    </xf>
    <xf numFmtId="0" fontId="9" fillId="8" borderId="12" applyAlignment="1" pivotButton="0" quotePrefix="0" xfId="0">
      <alignment horizontal="center" vertical="center" wrapText="1"/>
    </xf>
    <xf numFmtId="0" fontId="10" fillId="0" borderId="2" applyAlignment="1" pivotButton="0" quotePrefix="0" xfId="0">
      <alignment horizontal="center" vertical="center" wrapText="1"/>
    </xf>
    <xf numFmtId="0" fontId="6" fillId="0" borderId="7" applyAlignment="1" pivotButton="0" quotePrefix="0" xfId="0">
      <alignment horizontal="left" vertical="center" wrapText="1"/>
    </xf>
    <xf numFmtId="0" fontId="6" fillId="0" borderId="2" applyAlignment="1" pivotButton="0" quotePrefix="0" xfId="0">
      <alignment horizontal="left" vertical="center" wrapText="1"/>
    </xf>
    <xf numFmtId="0" fontId="6" fillId="0" borderId="9" applyAlignment="1" pivotButton="0" quotePrefix="0" xfId="0">
      <alignment horizontal="left" vertical="center" wrapText="1"/>
    </xf>
    <xf numFmtId="0" fontId="11" fillId="0" borderId="7" applyAlignment="1" pivotButton="0" quotePrefix="0" xfId="0">
      <alignment horizontal="left" vertical="center" wrapText="1"/>
    </xf>
    <xf numFmtId="0" fontId="6" fillId="0" borderId="0" applyAlignment="1" pivotButton="0" quotePrefix="0" xfId="0">
      <alignment vertical="center"/>
    </xf>
    <xf numFmtId="0" fontId="19" fillId="0" borderId="2" applyAlignment="1" pivotButton="0" quotePrefix="0" xfId="0">
      <alignment horizontal="center" vertical="center" wrapText="1"/>
    </xf>
    <xf numFmtId="0" fontId="19" fillId="0" borderId="8" applyAlignment="1" pivotButton="0" quotePrefix="0" xfId="0">
      <alignment horizontal="center" vertical="center" wrapText="1"/>
    </xf>
    <xf numFmtId="0" fontId="18" fillId="0" borderId="2" applyAlignment="1" pivotButton="0" quotePrefix="0" xfId="0">
      <alignment vertical="center" wrapText="1"/>
    </xf>
    <xf numFmtId="0" fontId="12" fillId="0" borderId="2"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7" applyAlignment="1" pivotButton="0" quotePrefix="0" xfId="0">
      <alignment horizontal="left" vertical="center" wrapText="1"/>
    </xf>
    <xf numFmtId="0" fontId="0" fillId="0" borderId="0" applyAlignment="1" pivotButton="0" quotePrefix="0" xfId="0">
      <alignment vertical="center"/>
    </xf>
    <xf numFmtId="0" fontId="10" fillId="0" borderId="7" applyAlignment="1" pivotButton="0" quotePrefix="0" xfId="0">
      <alignment horizontal="left" vertical="center" wrapText="1"/>
    </xf>
    <xf numFmtId="0" fontId="9" fillId="8" borderId="2" applyAlignment="1" pivotButton="0" quotePrefix="0" xfId="0">
      <alignment horizontal="center" vertical="top" wrapText="1"/>
    </xf>
    <xf numFmtId="0" fontId="0" fillId="0" borderId="0" applyAlignment="1" pivotButton="0" quotePrefix="0" xfId="0">
      <alignment vertical="top" wrapText="1"/>
    </xf>
    <xf numFmtId="0" fontId="19" fillId="0" borderId="7" applyAlignment="1" pivotButton="0" quotePrefix="0" xfId="0">
      <alignment horizontal="center" vertical="center" wrapText="1"/>
    </xf>
    <xf numFmtId="0" fontId="0" fillId="6" borderId="7" applyAlignment="1" pivotButton="0" quotePrefix="0" xfId="0">
      <alignment horizontal="left" vertical="center" wrapText="1"/>
    </xf>
    <xf numFmtId="0" fontId="0" fillId="0" borderId="7" applyAlignment="1" pivotButton="0" quotePrefix="1" xfId="0">
      <alignment horizontal="left" vertical="center" wrapText="1"/>
    </xf>
    <xf numFmtId="0" fontId="18" fillId="0" borderId="7" applyAlignment="1" pivotButton="0" quotePrefix="1" xfId="0">
      <alignment horizontal="left" vertical="center" wrapText="1"/>
    </xf>
    <xf numFmtId="0" fontId="16" fillId="0" borderId="7" applyAlignment="1" pivotButton="0" quotePrefix="0" xfId="0">
      <alignment horizontal="left" vertical="center" wrapText="1"/>
    </xf>
    <xf numFmtId="0" fontId="16" fillId="0" borderId="7" applyAlignment="1" pivotButton="0" quotePrefix="1" xfId="0">
      <alignment horizontal="left" vertical="center" wrapText="1"/>
    </xf>
    <xf numFmtId="0" fontId="2" fillId="5" borderId="5" applyAlignment="1" pivotButton="0" quotePrefix="0" xfId="0">
      <alignment horizontal="left" vertical="center" indent="1"/>
    </xf>
    <xf numFmtId="0" fontId="0" fillId="0" borderId="10" pivotButton="0" quotePrefix="0" xfId="0"/>
    <xf numFmtId="0" fontId="0" fillId="0" borderId="11" pivotButton="0" quotePrefix="0" xfId="0"/>
    <xf numFmtId="0" fontId="4" fillId="4" borderId="1" applyAlignment="1" pivotButton="0" quotePrefix="0" xfId="0">
      <alignment horizontal="center" vertical="center"/>
    </xf>
    <xf numFmtId="0" fontId="0" fillId="0" borderId="3" pivotButton="0" quotePrefix="0" xfId="0"/>
    <xf numFmtId="0" fontId="0" fillId="0" borderId="4" pivotButton="0" quotePrefix="0" xfId="0"/>
    <xf numFmtId="0" fontId="20" fillId="10" borderId="17" applyAlignment="1" pivotButton="0" quotePrefix="0" xfId="0">
      <alignment horizontal="center" vertical="center" wrapText="1"/>
    </xf>
    <xf numFmtId="0" fontId="0" fillId="10" borderId="17" pivotButton="0" quotePrefix="0" xfId="0"/>
    <xf numFmtId="0" fontId="21" fillId="0" borderId="0" pivotButton="0" quotePrefix="0" xfId="0"/>
    <xf numFmtId="0" fontId="22" fillId="11" borderId="17" applyAlignment="1" pivotButton="0" quotePrefix="0" xfId="0">
      <alignment horizontal="center" vertical="center" wrapText="1"/>
    </xf>
    <xf numFmtId="0" fontId="0" fillId="0" borderId="17" pivotButton="0" quotePrefix="0" xfId="0"/>
    <xf numFmtId="0" fontId="23" fillId="12" borderId="17" applyAlignment="1" pivotButton="0" quotePrefix="0" xfId="0">
      <alignment horizontal="center" vertical="center" wrapText="1"/>
    </xf>
    <xf numFmtId="0" fontId="24" fillId="0" borderId="0" pivotButton="0" quotePrefix="0" xfId="0"/>
    <xf numFmtId="0" fontId="25" fillId="10" borderId="17" applyAlignment="1" pivotButton="0" quotePrefix="0" xfId="0">
      <alignment horizontal="center" vertical="center" wrapText="1"/>
    </xf>
    <xf numFmtId="0" fontId="26" fillId="0" borderId="17" applyAlignment="1" pivotButton="0" quotePrefix="0" xfId="0">
      <alignment horizontal="center" vertical="center" wrapText="1"/>
    </xf>
    <xf numFmtId="0" fontId="26" fillId="0" borderId="17" applyAlignment="1" pivotButton="0" quotePrefix="0" xfId="0">
      <alignment horizontal="left" vertical="center" wrapText="1"/>
    </xf>
    <xf numFmtId="164" fontId="26" fillId="0" borderId="17" applyAlignment="1" pivotButton="0" quotePrefix="0" xfId="0">
      <alignment horizontal="center" vertical="center" wrapText="1"/>
    </xf>
    <xf numFmtId="0" fontId="26" fillId="13" borderId="17" applyAlignment="1" pivotButton="0" quotePrefix="0" xfId="0">
      <alignment horizontal="center" vertical="center" wrapText="1"/>
    </xf>
    <xf numFmtId="0" fontId="26" fillId="13" borderId="17" applyAlignment="1" pivotButton="0" quotePrefix="0" xfId="0">
      <alignment horizontal="left" vertical="center" wrapText="1"/>
    </xf>
    <xf numFmtId="164" fontId="26" fillId="13" borderId="17" applyAlignment="1" pivotButton="0" quotePrefix="0" xfId="0">
      <alignment horizontal="center" vertical="center" wrapText="1"/>
    </xf>
    <xf numFmtId="0" fontId="25" fillId="11" borderId="17" applyAlignment="1" pivotButton="0" quotePrefix="0" xfId="0">
      <alignment horizontal="center" vertical="center" wrapText="1"/>
    </xf>
    <xf numFmtId="164" fontId="25" fillId="11" borderId="17" applyAlignment="1" pivotButton="0" quotePrefix="0" xfId="0">
      <alignment horizontal="center" vertical="center" wrapText="1"/>
    </xf>
    <xf numFmtId="0" fontId="27" fillId="13" borderId="17" applyAlignment="1" pivotButton="0" quotePrefix="0" xfId="0">
      <alignment horizontal="left" vertical="center" wrapText="1"/>
    </xf>
    <xf numFmtId="0" fontId="0" fillId="13" borderId="17" pivotButton="0" quotePrefix="0" xfId="0"/>
    <xf numFmtId="0" fontId="27" fillId="13" borderId="17" applyAlignment="1" pivotButton="0" quotePrefix="0" xfId="0">
      <alignment horizontal="center" vertical="center" wrapText="1"/>
    </xf>
    <xf numFmtId="0" fontId="27" fillId="0" borderId="17" applyAlignment="1" pivotButton="0" quotePrefix="0" xfId="0">
      <alignment horizontal="left" vertical="center" wrapText="1"/>
    </xf>
    <xf numFmtId="0" fontId="27" fillId="0" borderId="17" applyAlignment="1" pivotButton="0" quotePrefix="0" xfId="0">
      <alignment horizontal="center" vertical="center" wrapText="1"/>
    </xf>
    <xf numFmtId="0" fontId="25" fillId="14" borderId="17" applyAlignment="1" pivotButton="0" quotePrefix="0" xfId="0">
      <alignment horizontal="center" vertical="center" wrapText="1"/>
    </xf>
    <xf numFmtId="0" fontId="28" fillId="11" borderId="17" applyAlignment="1" pivotButton="0" quotePrefix="0" xfId="0">
      <alignment horizontal="center" vertical="center" wrapText="1"/>
    </xf>
    <xf numFmtId="0" fontId="0" fillId="0" borderId="21" pivotButton="0" quotePrefix="0" xfId="0"/>
    <xf numFmtId="0" fontId="0" fillId="0" borderId="20" pivotButton="0" quotePrefix="0" xfId="0"/>
    <xf numFmtId="0" fontId="25" fillId="15" borderId="17" applyAlignment="1" pivotButton="0" quotePrefix="0" xfId="0">
      <alignment horizontal="center" vertical="center" wrapText="1"/>
    </xf>
    <xf numFmtId="0" fontId="29" fillId="0" borderId="17" applyAlignment="1" pivotButton="0" quotePrefix="0" xfId="0">
      <alignment horizontal="center" vertical="center"/>
    </xf>
    <xf numFmtId="0" fontId="30" fillId="0" borderId="17" applyAlignment="1" pivotButton="0" quotePrefix="0" xfId="0">
      <alignment horizontal="center" vertical="center"/>
    </xf>
    <xf numFmtId="0" fontId="29" fillId="0" borderId="17" applyAlignment="1" pivotButton="0" quotePrefix="0" xfId="0">
      <alignment horizontal="center" vertical="center" wrapText="1"/>
    </xf>
    <xf numFmtId="0" fontId="30" fillId="0" borderId="17" applyAlignment="1" pivotButton="0" quotePrefix="0" xfId="0">
      <alignment horizontal="center" vertical="center" wrapText="1"/>
    </xf>
    <xf numFmtId="0" fontId="30" fillId="0" borderId="17" applyAlignment="1" pivotButton="0" quotePrefix="0" xfId="0">
      <alignment horizontal="left" vertical="center" wrapText="1"/>
    </xf>
    <xf numFmtId="0" fontId="31" fillId="0" borderId="17" applyAlignment="1" pivotButton="0" quotePrefix="0" xfId="0">
      <alignment horizontal="center" vertical="center"/>
    </xf>
    <xf numFmtId="0" fontId="29" fillId="12" borderId="17" applyAlignment="1" pivotButton="0" quotePrefix="0" xfId="0">
      <alignment horizontal="center" vertical="center"/>
    </xf>
    <xf numFmtId="0" fontId="30" fillId="12" borderId="17" applyAlignment="1" pivotButton="0" quotePrefix="0" xfId="0">
      <alignment horizontal="center" vertical="center"/>
    </xf>
    <xf numFmtId="0" fontId="29" fillId="12" borderId="17" applyAlignment="1" pivotButton="0" quotePrefix="0" xfId="0">
      <alignment horizontal="center" vertical="center" wrapText="1"/>
    </xf>
    <xf numFmtId="0" fontId="30" fillId="12" borderId="17" applyAlignment="1" pivotButton="0" quotePrefix="0" xfId="0">
      <alignment horizontal="center" vertical="center" wrapText="1"/>
    </xf>
    <xf numFmtId="0" fontId="30" fillId="12" borderId="17" applyAlignment="1" pivotButton="0" quotePrefix="0" xfId="0">
      <alignment horizontal="left" vertical="center" wrapText="1"/>
    </xf>
    <xf numFmtId="0" fontId="31" fillId="12" borderId="17" applyAlignment="1" pivotButton="0" quotePrefix="0" xfId="0">
      <alignment horizontal="center" vertical="center"/>
    </xf>
    <xf numFmtId="0" fontId="29" fillId="16" borderId="17" applyAlignment="1" pivotButton="0" quotePrefix="0" xfId="0">
      <alignment horizontal="center" vertical="center"/>
    </xf>
    <xf numFmtId="0" fontId="30" fillId="16" borderId="17" applyAlignment="1" pivotButton="0" quotePrefix="0" xfId="0">
      <alignment horizontal="center" vertical="center"/>
    </xf>
    <xf numFmtId="0" fontId="29" fillId="16" borderId="17" applyAlignment="1" pivotButton="0" quotePrefix="0" xfId="0">
      <alignment horizontal="center" vertical="center" wrapText="1"/>
    </xf>
    <xf numFmtId="0" fontId="30" fillId="16" borderId="17" applyAlignment="1" pivotButton="0" quotePrefix="0" xfId="0">
      <alignment horizontal="center" vertical="center" wrapText="1"/>
    </xf>
    <xf numFmtId="0" fontId="30" fillId="16" borderId="17" applyAlignment="1" pivotButton="0" quotePrefix="0" xfId="0">
      <alignment horizontal="left" vertical="center" wrapText="1"/>
    </xf>
    <xf numFmtId="0" fontId="31" fillId="16" borderId="17" applyAlignment="1" pivotButton="0" quotePrefix="0" xfId="0">
      <alignment horizontal="center" vertical="center"/>
    </xf>
    <xf numFmtId="0" fontId="32" fillId="0" borderId="0" pivotButton="0" quotePrefix="0" xfId="0"/>
    <xf numFmtId="0" fontId="0" fillId="17" borderId="17" pivotButton="0" quotePrefix="0" xfId="0"/>
    <xf numFmtId="0" fontId="25" fillId="17" borderId="0" applyAlignment="1" pivotButton="0" quotePrefix="0" xfId="0">
      <alignment horizontal="center" vertical="center" wrapText="1"/>
    </xf>
    <xf numFmtId="0" fontId="25" fillId="17" borderId="17" applyAlignment="1" pivotButton="0" quotePrefix="0" xfId="0">
      <alignment horizontal="center" vertical="center" wrapText="1"/>
    </xf>
    <xf numFmtId="0" fontId="25" fillId="17" borderId="17" applyAlignment="1" pivotButton="0" quotePrefix="0" xfId="0">
      <alignment horizontal="center" vertical="center"/>
    </xf>
    <xf numFmtId="0" fontId="25" fillId="15" borderId="17" applyAlignment="1" pivotButton="0" quotePrefix="0" xfId="0">
      <alignment horizontal="left" vertical="center" indent="1"/>
    </xf>
    <xf numFmtId="0" fontId="0" fillId="15" borderId="17" pivotButton="0" quotePrefix="0" xfId="0"/>
    <xf numFmtId="0" fontId="29" fillId="17" borderId="17" applyAlignment="1" pivotButton="0" quotePrefix="0" xfId="0">
      <alignment horizontal="center" vertical="center" wrapText="1"/>
    </xf>
    <xf numFmtId="0" fontId="30" fillId="17" borderId="17" applyAlignment="1" pivotButton="0" quotePrefix="0" xfId="0">
      <alignment horizontal="center" vertical="center"/>
    </xf>
    <xf numFmtId="0" fontId="29" fillId="0" borderId="17" applyAlignment="1" pivotButton="0" quotePrefix="0" xfId="0">
      <alignment horizontal="left" vertical="center" wrapText="1"/>
    </xf>
  </cellXfs>
  <cellStyles count="1">
    <cellStyle name="표준"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47588;&#45684;&#50620;BODY(&#51665;&#54665;&#45800;&#44228;-&#52392;&#48512;&#54260;&#45908;)v6\&#49324;&#51204;&#53664;&#44277;&#49324;\1_Site%20Survey\&#54364;&#51456;&#49436;\Site%20Survey_&#54364;&#51456;&#49436;.html" TargetMode="External" Id="rId1"/><Relationship Type="http://schemas.openxmlformats.org/officeDocument/2006/relationships/hyperlink" Target="&#47588;&#45684;&#50620;BODY(&#51665;&#54665;&#45800;&#44228;-&#52392;&#48512;&#54260;&#45908;)v6\&#49324;&#51204;&#53664;&#44277;&#49324;\1_Site%20Survey\&#49688;&#54665;&#51648;&#52840;\Site%20Survey_&#49688;&#54665;&#51648;&#52840;.html" TargetMode="External" Id="rId2"/><Relationship Type="http://schemas.openxmlformats.org/officeDocument/2006/relationships/hyperlink" Target="&#47588;&#45684;&#50620;BODY(&#51665;&#54665;&#45800;&#44228;-&#52392;&#48512;&#54260;&#45908;)v6\&#49324;&#51204;&#53664;&#44277;&#49324;\1_Site%20Survey\&#52404;&#53356;&#47532;&#49828;&#53944;\Site%20Survey_&#52404;&#53356;&#47532;&#49828;&#53944;.html" TargetMode="External" Id="rId3"/><Relationship Type="http://schemas.openxmlformats.org/officeDocument/2006/relationships/hyperlink" Target="&#47588;&#45684;&#50620;BODY(&#51665;&#54665;&#45800;&#44228;-&#52392;&#48512;&#54260;&#45908;)v6\&#49324;&#51204;&#53664;&#44277;&#49324;\2_&#48156;&#51452;&#51204;&#47029;%20KOM\&#54364;&#51456;&#49436;\&#48156;&#51452;&#51204;&#47029;%20KOM_&#54364;&#51456;&#49436;.html" TargetMode="External" Id="rId4"/><Relationship Type="http://schemas.openxmlformats.org/officeDocument/2006/relationships/hyperlink" Target="&#47588;&#45684;&#50620;BODY(&#51665;&#54665;&#45800;&#44228;-&#52392;&#48512;&#54260;&#45908;)v6\&#49324;&#51204;&#53664;&#44277;&#49324;\2_&#48156;&#51452;&#51204;&#47029;%20KOM\&#49688;&#54665;&#51648;&#52840;\&#48156;&#51452;&#51204;&#47029;%20KOM_&#49688;&#54665;&#51648;&#52840;.html" TargetMode="External" Id="rId5"/><Relationship Type="http://schemas.openxmlformats.org/officeDocument/2006/relationships/hyperlink" Target="&#47588;&#45684;&#50620;BODY(&#51665;&#54665;&#45800;&#44228;-&#52392;&#48512;&#54260;&#45908;)v6\&#49324;&#51204;&#53664;&#44277;&#49324;\2_&#48156;&#51452;&#51204;&#47029;%20KOM\&#52404;&#53356;&#47532;&#49828;&#53944;\&#48156;&#51452;&#51204;&#47029;%20KOM_&#52404;&#53356;&#47532;&#49828;&#53944;.html" TargetMode="External" Id="rId6"/><Relationship Type="http://schemas.openxmlformats.org/officeDocument/2006/relationships/hyperlink" Target="&#47588;&#45684;&#50620;BODY(&#51665;&#54665;&#45800;&#44228;-&#52392;&#48512;&#54260;&#45908;)v6\&#49324;&#51204;&#53664;&#44277;&#49324;\3_Site%20Survey%20Risk%20&#44160;&#53664;\&#54364;&#51456;&#49436;\Site%20Survey%20Risk%20&#44160;&#53664;_&#54364;&#51456;&#49436;.html" TargetMode="External" Id="rId7"/><Relationship Type="http://schemas.openxmlformats.org/officeDocument/2006/relationships/hyperlink" Target="&#47588;&#45684;&#50620;BODY(&#51665;&#54665;&#45800;&#44228;-&#52392;&#48512;&#54260;&#45908;)v6\&#49324;&#51204;&#53664;&#44277;&#49324;\3_Site%20Survey%20Risk%20&#44160;&#53664;\&#49688;&#54665;&#51648;&#52840;\Site%20Survey%20Risk%20&#44160;&#53664;_&#49688;&#54665;&#51648;&#52840;.html" TargetMode="External" Id="rId8"/><Relationship Type="http://schemas.openxmlformats.org/officeDocument/2006/relationships/hyperlink" Target="&#47588;&#45684;&#50620;BODY(&#51665;&#54665;&#45800;&#44228;-&#52392;&#48512;&#54260;&#45908;)v6\&#49324;&#51204;&#53664;&#44277;&#49324;\3_Site%20Survey%20Risk%20&#44160;&#53664;\&#52404;&#53356;&#47532;&#49828;&#53944;\Site%20Survey%20Risk%20&#44160;&#53664;_&#52404;&#53356;&#47532;&#49828;&#53944;.html" TargetMode="External" Id="rId9"/><Relationship Type="http://schemas.openxmlformats.org/officeDocument/2006/relationships/hyperlink" Target="&#47588;&#45684;&#50620;BODY(&#51665;&#54665;&#45800;&#44228;-&#52392;&#48512;&#54260;&#45908;)v6\&#49324;&#51204;&#53664;&#44277;&#49324;\4_&#52572;&#44256;&#51032;%20&#54016;%20&#47564;&#46308;&#44592;%20&#51648;&#50896;\&#54364;&#51456;&#49436;\&#52572;&#44256;&#51032;%20&#54016;%20&#47564;&#46308;&#44592;%20&#51648;&#50896;_&#54364;&#51456;&#49436;.html" TargetMode="External" Id="rId10"/><Relationship Type="http://schemas.openxmlformats.org/officeDocument/2006/relationships/hyperlink" Target="&#47588;&#45684;&#50620;BODY(&#51665;&#54665;&#45800;&#44228;-&#52392;&#48512;&#54260;&#45908;)v6\&#49324;&#51204;&#53664;&#44277;&#49324;\4_&#52572;&#44256;&#51032;%20&#54016;%20&#47564;&#46308;&#44592;%20&#51648;&#50896;\&#49688;&#54665;&#51648;&#52840;\&#52572;&#44256;&#51032;%20&#54016;%20&#47564;&#46308;&#44592;%20&#51648;&#50896;_&#49688;&#54665;&#51648;&#52840;.html" TargetMode="External" Id="rId11"/><Relationship Type="http://schemas.openxmlformats.org/officeDocument/2006/relationships/hyperlink" Target="&#47588;&#45684;&#50620;BODY(&#51665;&#54665;&#45800;&#44228;-&#52392;&#48512;&#54260;&#45908;)v6\&#49324;&#51204;&#53664;&#44277;&#49324;\4_&#52572;&#44256;&#51032;%20&#54016;%20&#47564;&#46308;&#44592;%20&#51648;&#50896;\&#52404;&#53356;&#47532;&#49828;&#53944;\&#52572;&#44256;&#51032;%20&#54016;%20&#47564;&#46308;&#44592;%20&#51648;&#50896;_&#52404;&#53356;&#47532;&#49828;&#53944;.html" TargetMode="External" Id="rId12"/><Relationship Type="http://schemas.openxmlformats.org/officeDocument/2006/relationships/hyperlink" Target="&#47588;&#45684;&#50620;BODY(&#51665;&#54665;&#45800;&#44228;-&#52392;&#48512;&#54260;&#45908;)v6\&#49324;&#51204;&#53664;&#44277;&#49324;\5_&#44277;&#49324;&#51473;%20&#44368;&#53685;&#52376;&#47532;&#44228;&#54925;\&#54364;&#51456;&#49436;\&#44277;&#49324;&#51473;%20&#44368;&#53685;&#52376;&#47532;&#44228;&#54925;_&#54364;&#51456;&#49436;.html" TargetMode="External" Id="rId13"/><Relationship Type="http://schemas.openxmlformats.org/officeDocument/2006/relationships/hyperlink" Target="&#47588;&#45684;&#50620;BODY(&#51665;&#54665;&#45800;&#44228;-&#52392;&#48512;&#54260;&#45908;)v6\&#49324;&#51204;&#53664;&#44277;&#49324;\5_&#44277;&#49324;&#51473;%20&#44368;&#53685;&#52376;&#47532;&#44228;&#54925;\&#49688;&#54665;&#51648;&#52840;\&#44277;&#49324;&#51473;%20&#44368;&#53685;&#52376;&#47532;&#44228;&#54925;_&#49688;&#54665;&#51648;&#52840;.html" TargetMode="External" Id="rId14"/><Relationship Type="http://schemas.openxmlformats.org/officeDocument/2006/relationships/hyperlink" Target="&#47588;&#45684;&#50620;BODY(&#51665;&#54665;&#45800;&#44228;-&#52392;&#48512;&#54260;&#45908;)v6\&#49324;&#51204;&#53664;&#44277;&#49324;\5_&#44277;&#49324;&#51473;%20&#44368;&#53685;&#52376;&#47532;&#44228;&#54925;\&#52404;&#53356;&#47532;&#49828;&#53944;\&#44277;&#49324;&#51473;%20&#44368;&#53685;&#52376;&#47532;&#44228;&#54925;_&#52404;&#53356;&#47532;&#49828;&#53944;.html" TargetMode="External" Id="rId15"/><Relationship Type="http://schemas.openxmlformats.org/officeDocument/2006/relationships/hyperlink" Target="&#47588;&#45684;&#50620;BODY(&#51665;&#54665;&#45800;&#44228;-&#52392;&#48512;&#54260;&#45908;)v6\&#49324;&#51204;&#53664;&#44277;&#49324;\6_&#51088;&#51116;&#48156;&#51452;%20&#50836;&#52397;\&#54364;&#51456;&#49436;\&#51088;&#51116;&#48156;&#51452;%20&#50836;&#52397;_&#54364;&#51456;&#49436;.html" TargetMode="External" Id="rId16"/><Relationship Type="http://schemas.openxmlformats.org/officeDocument/2006/relationships/hyperlink" Target="&#47588;&#45684;&#50620;BODY(&#51665;&#54665;&#45800;&#44228;-&#52392;&#48512;&#54260;&#45908;)v6\&#49324;&#51204;&#53664;&#44277;&#49324;\6_&#51088;&#51116;&#48156;&#51452;%20&#50836;&#52397;\&#49688;&#54665;&#51648;&#52840;\&#51088;&#51116;&#48156;&#51452;%20&#50836;&#52397;_&#49688;&#54665;&#51648;&#52840;.html" TargetMode="External" Id="rId17"/><Relationship Type="http://schemas.openxmlformats.org/officeDocument/2006/relationships/hyperlink" Target="&#47588;&#45684;&#50620;BODY(&#51665;&#54665;&#45800;&#44228;-&#52392;&#48512;&#54260;&#45908;)v6\&#49324;&#51204;&#53664;&#44277;&#49324;\6_&#51088;&#51116;&#48156;&#51452;%20&#50836;&#52397;\&#52404;&#53356;&#47532;&#49828;&#53944;\&#51088;&#51116;&#48156;&#51452;%20&#50836;&#52397;_&#52404;&#53356;&#47532;&#49828;&#53944;.html" TargetMode="External" Id="rId18"/><Relationship Type="http://schemas.openxmlformats.org/officeDocument/2006/relationships/hyperlink" Target="&#47588;&#45684;&#50620;BODY(&#51665;&#54665;&#45800;&#44228;-&#52392;&#48512;&#54260;&#45908;)v6\&#49324;&#51204;&#53664;&#44277;&#49324;\7_&#50857;&#51648;%20&#49324;&#50857;%20Risk%20&#44160;&#53664;\&#54364;&#51456;&#49436;\&#50857;&#51648;%20&#49324;&#50857;%20Risk%20&#44160;&#53664;_&#54364;&#51456;&#49436;.html" TargetMode="External" Id="rId19"/><Relationship Type="http://schemas.openxmlformats.org/officeDocument/2006/relationships/hyperlink" Target="&#47588;&#45684;&#50620;BODY(&#51665;&#54665;&#45800;&#44228;-&#52392;&#48512;&#54260;&#45908;)v6\&#49324;&#51204;&#53664;&#44277;&#49324;\7_&#50857;&#51648;%20&#49324;&#50857;%20Risk%20&#44160;&#53664;\&#49688;&#54665;&#51648;&#52840;\&#49688;&#54665;&#51648;&#52840;.html" TargetMode="External" Id="rId20"/><Relationship Type="http://schemas.openxmlformats.org/officeDocument/2006/relationships/hyperlink" Target="&#47588;&#45684;&#50620;BODY(&#51665;&#54665;&#45800;&#44228;-&#52392;&#48512;&#54260;&#45908;)v6\&#49324;&#51204;&#53664;&#44277;&#49324;\7_&#50857;&#51648;%20&#49324;&#50857;%20Risk%20&#44160;&#53664;\&#52404;&#53356;&#47532;&#49828;&#53944;\&#50857;&#51648;%20&#49324;&#50857;%20Risk%20&#44160;&#53664;_&#52404;&#53356;&#47532;&#49828;&#53944;.html" TargetMode="External" Id="rId21"/><Relationship Type="http://schemas.openxmlformats.org/officeDocument/2006/relationships/hyperlink" Target="&#47588;&#45684;&#50620;BODY(&#51665;&#54665;&#45800;&#44228;-&#52392;&#48512;&#54260;&#45908;)v6\&#49324;&#51204;&#53664;&#44277;&#49324;\8_&#52265;&#49688;&#51204;%20Big%20Room%20&#54924;&#51032;\&#54364;&#51456;&#49436;\&#52265;&#49688;&#51204;%20Big%20Room%20&#54924;&#51032;_&#54364;&#51456;&#49436;.html" TargetMode="External" Id="rId22"/><Relationship Type="http://schemas.openxmlformats.org/officeDocument/2006/relationships/hyperlink" Target="&#47588;&#45684;&#50620;BODY(&#51665;&#54665;&#45800;&#44228;-&#52392;&#48512;&#54260;&#45908;)v6\&#49324;&#51204;&#53664;&#44277;&#49324;\8_&#52265;&#49688;&#51204;%20Big%20Room%20&#54924;&#51032;\&#49688;&#54665;&#51648;&#52840;\&#52265;&#49688;&#51204;%20Big%20Room%20&#54924;&#51032;_&#49688;&#54665;&#51648;&#52840;.html" TargetMode="External" Id="rId23"/><Relationship Type="http://schemas.openxmlformats.org/officeDocument/2006/relationships/hyperlink" Target="&#47588;&#45684;&#50620;BODY(&#51665;&#54665;&#45800;&#44228;-&#52392;&#48512;&#54260;&#45908;)v6\&#49324;&#51204;&#53664;&#44277;&#49324;\8_&#52265;&#49688;&#51204;%20Big%20Room%20&#54924;&#51032;\&#52404;&#53356;&#47532;&#49828;&#53944;\&#52265;&#49688;&#51204;%20Big%20Room%20&#54924;&#51032;_&#52404;&#53356;&#47532;&#49828;&#53944;.html" TargetMode="External" Id="rId24"/><Relationship Type="http://schemas.openxmlformats.org/officeDocument/2006/relationships/hyperlink" Target="&#47588;&#45684;&#50620;BODY(&#51665;&#54665;&#45800;&#44228;-&#52392;&#48512;&#54260;&#45908;)v6\&#49324;&#51204;&#53664;&#44277;&#49324;\9_&#51064;&#54728;&#44032;%20&#51208;&#52264;%20&#51652;&#54665;\&#54364;&#51456;&#49436;\&#51064;&#54728;&#44032;%20&#51208;&#52264;%20&#51652;&#54665;_&#54364;&#51456;&#49436;.html" TargetMode="External" Id="rId25"/><Relationship Type="http://schemas.openxmlformats.org/officeDocument/2006/relationships/hyperlink" Target="&#47588;&#45684;&#50620;BODY(&#51665;&#54665;&#45800;&#44228;-&#52392;&#48512;&#54260;&#45908;)v6\&#49324;&#51204;&#53664;&#44277;&#49324;\9_&#51064;&#54728;&#44032;%20&#51208;&#52264;%20&#51652;&#54665;\&#49688;&#54665;&#51648;&#52840;\&#49688;&#54665;&#51648;&#52840;.html" TargetMode="External" Id="rId26"/><Relationship Type="http://schemas.openxmlformats.org/officeDocument/2006/relationships/hyperlink" Target="&#47588;&#45684;&#50620;BODY(&#51665;&#54665;&#45800;&#44228;-&#52392;&#48512;&#54260;&#45908;)v6\&#49324;&#51204;&#53664;&#44277;&#49324;\9_&#51064;&#54728;&#44032;%20&#51208;&#52264;%20&#51652;&#54665;\&#52404;&#53356;&#47532;&#49828;&#53944;\&#51064;&#54728;&#44032;%20&#51208;&#52264;%20&#51652;&#54665;_&#52404;&#53356;&#47532;&#49828;&#53944;.html" TargetMode="External" Id="rId27"/><Relationship Type="http://schemas.openxmlformats.org/officeDocument/2006/relationships/hyperlink" Target="&#47588;&#45684;&#50620;BODY(&#51665;&#54665;&#45800;&#44228;-&#52392;&#48512;&#54260;&#45908;)v6\&#49324;&#51204;&#53664;&#44277;&#49324;\10_&#44368;&#53685;&#52376;&#47532;&#45824;&#52293;%20&#54801;&#51032;%20&#48143;%20&#49849;&#51064;\&#54364;&#51456;&#49436;\&#44368;&#53685;&#52376;&#47532;&#45824;&#52293;%20&#54801;&#51032;%20&#48143;%20&#49849;&#51064;_&#54364;&#51456;&#49436;.html" TargetMode="External" Id="rId28"/><Relationship Type="http://schemas.openxmlformats.org/officeDocument/2006/relationships/hyperlink" Target="&#47588;&#45684;&#50620;BODY(&#51665;&#54665;&#45800;&#44228;-&#52392;&#48512;&#54260;&#45908;)v6\&#49324;&#51204;&#53664;&#44277;&#49324;\10_&#44368;&#53685;&#52376;&#47532;&#45824;&#52293;%20&#54801;&#51032;%20&#48143;%20&#49849;&#51064;\&#49688;&#54665;&#51648;&#52840;\&#44368;&#53685;&#52376;&#47532;&#45824;&#52293;%20&#54801;&#51032;%20&#48143;%20&#49849;&#51064;_&#49688;&#54665;&#51648;&#52840;.html" TargetMode="External" Id="rId29"/><Relationship Type="http://schemas.openxmlformats.org/officeDocument/2006/relationships/hyperlink" Target="&#47588;&#45684;&#50620;BODY(&#51665;&#54665;&#45800;&#44228;-&#52392;&#48512;&#54260;&#45908;)v6\&#49324;&#51204;&#53664;&#44277;&#49324;\10_&#44368;&#53685;&#52376;&#47532;&#45824;&#52293;%20&#54801;&#51032;%20&#48143;%20&#49849;&#51064;\&#52404;&#53356;&#47532;&#49828;&#53944;\&#44368;&#53685;&#52376;&#47532;&#45824;&#52293;%20&#54801;&#51032;%20&#48143;%20&#49849;&#51064;_&#52404;&#53356;&#47532;&#49828;&#53944;.html" TargetMode="External" Id="rId30"/><Relationship Type="http://schemas.openxmlformats.org/officeDocument/2006/relationships/hyperlink" Target="&#47588;&#45684;&#50620;BODY(&#51665;&#54665;&#45800;&#44228;-&#52392;&#48512;&#54260;&#45908;)v6\&#49324;&#51204;&#53664;&#44277;&#49324;\11_&#51648;&#51109;&#47932;%20&#44160;&#53664;%20&#48143;%20&#54801;&#51032;\&#54364;&#51456;&#49436;\&#51648;&#51109;&#47932;%20&#44160;&#53664;%20&#48143;%20&#54801;&#51032;_&#54364;&#51456;&#49436;.html" TargetMode="External" Id="rId31"/><Relationship Type="http://schemas.openxmlformats.org/officeDocument/2006/relationships/hyperlink" Target="&#47588;&#45684;&#50620;BODY(&#51665;&#54665;&#45800;&#44228;-&#52392;&#48512;&#54260;&#45908;)v6\&#49324;&#51204;&#53664;&#44277;&#49324;\11_&#51648;&#51109;&#47932;%20&#44160;&#53664;%20&#48143;%20&#54801;&#51032;\&#49688;&#54665;&#51648;&#52840;\&#49688;&#54665;&#51648;&#52840;.html" TargetMode="External" Id="rId32"/><Relationship Type="http://schemas.openxmlformats.org/officeDocument/2006/relationships/hyperlink" Target="&#47588;&#45684;&#50620;BODY(&#51665;&#54665;&#45800;&#44228;-&#52392;&#48512;&#54260;&#45908;)v6\&#49324;&#51204;&#53664;&#44277;&#49324;\11_&#51648;&#51109;&#47932;%20&#44160;&#53664;%20&#48143;%20&#54801;&#51032;\&#52404;&#53356;&#47532;&#49828;&#53944;\&#51648;&#51109;&#47932;%20&#44160;&#53664;%20&#48143;%20&#54801;&#51032;_&#52404;&#53356;&#47532;&#49828;&#53944;.html" TargetMode="External" Id="rId33"/><Relationship Type="http://schemas.openxmlformats.org/officeDocument/2006/relationships/hyperlink" Target="&#47588;&#45684;&#50620;BODY(&#51665;&#54665;&#45800;&#44228;-&#52392;&#48512;&#54260;&#45908;)v6\&#49324;&#51204;&#53664;&#44277;&#49324;\12_&#44592;&#44277;&#49849;&#45209;%20&#51201;&#51221;&#49457;%20&#44160;&#53664;\&#54364;&#51456;&#49436;\&#44592;&#44277;&#49849;&#45209;%20&#51201;&#51221;&#49457;%20&#44160;&#53664;_&#54364;&#51456;&#49436;.html" TargetMode="External" Id="rId34"/><Relationship Type="http://schemas.openxmlformats.org/officeDocument/2006/relationships/hyperlink" Target="&#47588;&#45684;&#50620;BODY(&#51665;&#54665;&#45800;&#44228;-&#52392;&#48512;&#54260;&#45908;)v6\&#49324;&#51204;&#53664;&#44277;&#49324;\12_&#44592;&#44277;&#49849;&#45209;%20&#51201;&#51221;&#49457;%20&#44160;&#53664;\&#49688;&#54665;&#51648;&#52840;\&#44592;&#44277;&#49849;&#45209;%20&#51201;&#51221;&#49457;%20&#44160;&#53664;_&#49688;&#54665;&#51648;&#52840;.html" TargetMode="External" Id="rId35"/><Relationship Type="http://schemas.openxmlformats.org/officeDocument/2006/relationships/hyperlink" Target="&#47588;&#45684;&#50620;BODY(&#51665;&#54665;&#45800;&#44228;-&#52392;&#48512;&#54260;&#45908;)v6\&#49324;&#51204;&#53664;&#44277;&#49324;\12_&#44592;&#44277;&#49849;&#45209;%20&#51201;&#51221;&#49457;%20&#44160;&#53664;\&#52404;&#53356;&#47532;&#49828;&#53944;\&#44592;&#44277;&#49849;&#45209;%20&#51201;&#51221;&#49457;%20&#44160;&#53664;_&#52404;&#53356;&#47532;&#49828;&#53944;.html" TargetMode="External" Id="rId36"/><Relationship Type="http://schemas.openxmlformats.org/officeDocument/2006/relationships/hyperlink" Target="&#47588;&#45684;&#50620;BODY(&#51665;&#54665;&#45800;&#44228;-&#52392;&#48512;&#54260;&#45908;)v6\&#49324;&#51204;&#53664;&#44277;&#49324;\13_&#48124;&#50896;%20&#51200;&#44048;%20&#45824;&#52293;%20&#49688;&#47549;\&#54364;&#51456;&#49436;\&#48124;&#50896;%20&#51200;&#44048;%20&#45824;&#52293;%20&#49688;&#47549;_&#54364;&#51456;&#49436;.html" TargetMode="External" Id="rId37"/><Relationship Type="http://schemas.openxmlformats.org/officeDocument/2006/relationships/hyperlink" Target="&#47588;&#45684;&#50620;BODY(&#51665;&#54665;&#45800;&#44228;-&#52392;&#48512;&#54260;&#45908;)v6\&#49324;&#51204;&#53664;&#44277;&#49324;\13_&#48124;&#50896;%20&#51200;&#44048;%20&#45824;&#52293;%20&#49688;&#47549;\&#49688;&#54665;&#51648;&#52840;\&#48124;&#50896;%20&#51200;&#44048;%20&#45824;&#52293;%20&#49688;&#47549;_&#49688;&#54665;&#51648;&#52840;.html" TargetMode="External" Id="rId38"/><Relationship Type="http://schemas.openxmlformats.org/officeDocument/2006/relationships/hyperlink" Target="&#47588;&#45684;&#50620;BODY(&#51665;&#54665;&#45800;&#44228;-&#52392;&#48512;&#54260;&#45908;)v6\&#49324;&#51204;&#53664;&#44277;&#49324;\13_&#48124;&#50896;%20&#51200;&#44048;%20&#45824;&#52293;%20&#49688;&#47549;\&#52404;&#53356;&#47532;&#49828;&#53944;\&#48124;&#50896;%20&#51200;&#44048;%20&#45824;&#52293;%20&#49688;&#47549;_&#52404;&#53356;&#47532;&#49828;&#53944;.html" TargetMode="External" Id="rId39"/><Relationship Type="http://schemas.openxmlformats.org/officeDocument/2006/relationships/hyperlink" Target="&#47588;&#45684;&#50620;BODY(&#51665;&#54665;&#45800;&#44228;-&#52392;&#48512;&#54260;&#45908;)v6\&#49324;&#51204;&#53664;&#44277;&#49324;\14_&#50857;&#51648;&#48372;&#49345;%20Risk%20&#54028;&#50501;\&#54364;&#51456;&#49436;\&#50857;&#51648;&#48372;&#49345;%20Risk%20&#54028;&#50501;_&#54364;&#51456;&#49436;.html" TargetMode="External" Id="rId40"/><Relationship Type="http://schemas.openxmlformats.org/officeDocument/2006/relationships/hyperlink" Target="&#47588;&#45684;&#50620;BODY(&#51665;&#54665;&#45800;&#44228;-&#52392;&#48512;&#54260;&#45908;)v6\&#49324;&#51204;&#53664;&#44277;&#49324;\14_&#50857;&#51648;&#48372;&#49345;%20Risk%20&#54028;&#50501;\&#49688;&#54665;&#51648;&#52840;\&#50857;&#51648;&#48372;&#49345;%20Risk%20&#54028;&#50501;_&#49688;&#54665;&#51648;&#52840;.html" TargetMode="External" Id="rId41"/><Relationship Type="http://schemas.openxmlformats.org/officeDocument/2006/relationships/hyperlink" Target="&#47588;&#45684;&#50620;BODY(&#51665;&#54665;&#45800;&#44228;-&#52392;&#48512;&#54260;&#45908;)v6\&#49324;&#51204;&#53664;&#44277;&#49324;\14_&#50857;&#51648;&#48372;&#49345;%20Risk%20&#54028;&#50501;\&#52404;&#53356;&#47532;&#49828;&#53944;\&#50857;&#51648;&#48372;&#49345;%20Risk%20&#54028;&#50501;_&#52404;&#53356;&#47532;&#49828;&#53944;.html" TargetMode="External" Id="rId42"/><Relationship Type="http://schemas.openxmlformats.org/officeDocument/2006/relationships/hyperlink" Target="&#47588;&#45684;&#50620;BODY(&#51665;&#54665;&#45800;&#44228;-&#52392;&#48512;&#54260;&#45908;)v6\&#49324;&#51204;&#53664;&#44277;&#49324;\15_&#49884;&#44277;&#44228;&#54925;&#49436;%20&#44160;&#53664;%20&#51648;&#50896;\&#54364;&#51456;&#49436;\&#49884;&#44277;&#44228;&#54925;&#49436;%20&#44160;&#53664;%20&#51648;&#50896;_&#54364;&#51456;&#49436;.html" TargetMode="External" Id="rId43"/><Relationship Type="http://schemas.openxmlformats.org/officeDocument/2006/relationships/hyperlink" Target="&#47588;&#45684;&#50620;BODY(&#51665;&#54665;&#45800;&#44228;-&#52392;&#48512;&#54260;&#45908;)v6\&#49324;&#51204;&#53664;&#44277;&#49324;\15_&#49884;&#44277;&#44228;&#54925;&#49436;%20&#44160;&#53664;%20&#51648;&#50896;\&#49688;&#54665;&#51648;&#52840;\&#49884;&#44277;&#44228;&#54925;&#49436;%20&#44160;&#53664;%20&#51648;&#50896;_&#49688;&#54665;&#51648;&#52840;.html" TargetMode="External" Id="rId44"/><Relationship Type="http://schemas.openxmlformats.org/officeDocument/2006/relationships/hyperlink" Target="&#47588;&#45684;&#50620;BODY(&#51665;&#54665;&#45800;&#44228;-&#52392;&#48512;&#54260;&#45908;)v6\&#49324;&#51204;&#53664;&#44277;&#49324;\15_&#49884;&#44277;&#44228;&#54925;&#49436;%20&#44160;&#53664;%20&#51648;&#50896;\&#52404;&#53356;&#47532;&#49828;&#53944;\&#49884;&#44277;&#44228;&#54925;&#49436;%20&#44160;&#53664;%20&#51648;&#50896;_&#52404;&#53356;&#47532;&#49828;&#53944;.html" TargetMode="External" Id="rId45"/><Relationship Type="http://schemas.openxmlformats.org/officeDocument/2006/relationships/hyperlink" Target="&#47588;&#45684;&#50620;BODY(&#51665;&#54665;&#45800;&#44228;-&#52392;&#48512;&#54260;&#45908;)v6\&#49324;&#51204;&#53664;&#44277;&#49324;\16_&#49884;&#44277;&#44228;&#54925;%20&#49688;&#47549;\&#54364;&#51456;&#49436;\&#49884;&#44277;&#44228;&#54925;%20&#49688;&#47549;_&#54364;&#51456;&#49436;.html" TargetMode="External" Id="rId46"/><Relationship Type="http://schemas.openxmlformats.org/officeDocument/2006/relationships/hyperlink" Target="&#47588;&#45684;&#50620;BODY(&#51665;&#54665;&#45800;&#44228;-&#52392;&#48512;&#54260;&#45908;)v6\&#49324;&#51204;&#53664;&#44277;&#49324;\16_&#49884;&#44277;&#44228;&#54925;%20&#49688;&#47549;\&#49688;&#54665;&#51648;&#52840;\&#49884;&#44277;&#44228;&#54925;%20&#49688;&#47549;_&#49688;&#54665;&#51648;&#52840;.html" TargetMode="External" Id="rId47"/><Relationship Type="http://schemas.openxmlformats.org/officeDocument/2006/relationships/hyperlink" Target="&#47588;&#45684;&#50620;BODY(&#51665;&#54665;&#45800;&#44228;-&#52392;&#48512;&#54260;&#45908;)v6\&#49324;&#51204;&#53664;&#44277;&#49324;\16_&#49884;&#44277;&#44228;&#54925;%20&#49688;&#47549;\&#52404;&#53356;&#47532;&#49828;&#53944;\&#49884;&#44277;&#44228;&#54925;%20&#49688;&#47549;_&#52404;&#53356;&#47532;&#49828;&#53944;.html" TargetMode="External" Id="rId48"/><Relationship Type="http://schemas.openxmlformats.org/officeDocument/2006/relationships/hyperlink" Target="&#47588;&#45684;&#50620;BODY(&#51665;&#54665;&#45800;&#44228;-&#52392;&#48512;&#54260;&#45908;)v6\&#49324;&#51204;&#53664;&#44277;&#49324;\17_&#54980;&#54665;&#44277;&#51333;%20&#50836;&#44396;&#51312;&#44148;%20&#48152;&#50689;%20&#49444;&#44228;&#48320;&#44221;%20&#44160;&#53664;\&#54364;&#51456;&#49436;\&#54980;&#54665;&#44277;&#51333;%20&#50836;&#44396;&#51312;&#44148;%20&#48152;&#50689;%20&#49444;&#44228;&#48320;&#44221;%20&#44160;&#53664;_&#54364;&#51456;&#49436;.html" TargetMode="External" Id="rId49"/><Relationship Type="http://schemas.openxmlformats.org/officeDocument/2006/relationships/hyperlink" Target="&#47588;&#45684;&#50620;BODY(&#51665;&#54665;&#45800;&#44228;-&#52392;&#48512;&#54260;&#45908;)v6\&#49324;&#51204;&#53664;&#44277;&#49324;\17_&#54980;&#54665;&#44277;&#51333;%20&#50836;&#44396;&#51312;&#44148;%20&#48152;&#50689;%20&#49444;&#44228;&#48320;&#44221;%20&#44160;&#53664;\&#49688;&#54665;&#51648;&#52840;\&#54980;&#54665;&#44277;&#51333;%20&#50836;&#44396;&#51312;&#44148;%20&#48152;&#50689;%20&#49444;&#44228;&#48320;&#44221;%20&#44160;&#53664;_&#49688;&#54665;&#51648;&#52840;.html" TargetMode="External" Id="rId50"/><Relationship Type="http://schemas.openxmlformats.org/officeDocument/2006/relationships/hyperlink" Target="&#47588;&#45684;&#50620;BODY(&#51665;&#54665;&#45800;&#44228;-&#52392;&#48512;&#54260;&#45908;)v6\&#49324;&#51204;&#53664;&#44277;&#49324;\17_&#54980;&#54665;&#44277;&#51333;%20&#50836;&#44396;&#51312;&#44148;%20&#48152;&#50689;%20&#49444;&#44228;&#48320;&#44221;%20&#44160;&#53664;\&#52404;&#53356;&#47532;&#49828;&#53944;\&#54980;&#54665;&#44277;&#51333;%20&#50836;&#44396;&#51312;&#44148;%20&#48152;&#50689;%20&#49444;&#44228;&#48320;&#44221;%20&#44160;&#53664;_&#52404;&#53356;&#47532;&#49828;&#53944;.html" TargetMode="External" Id="rId51"/><Relationship Type="http://schemas.openxmlformats.org/officeDocument/2006/relationships/hyperlink" Target="&#47588;&#45684;&#50620;BODY(&#51665;&#54665;&#45800;&#44228;-&#52392;&#48512;&#54260;&#45908;)v6\&#49324;&#51204;&#53664;&#44277;&#49324;\18_&#49444;&#44228;&#48320;&#44221;%20(&#52265;&#49688;&#51204;)\&#54364;&#51456;&#49436;\&#49444;&#44228;&#48320;&#44221;%20(&#52265;&#49688;&#51204;)_&#54364;&#51456;&#49436;.html" TargetMode="External" Id="rId52"/><Relationship Type="http://schemas.openxmlformats.org/officeDocument/2006/relationships/hyperlink" Target="&#47588;&#45684;&#50620;BODY(&#51665;&#54665;&#45800;&#44228;-&#52392;&#48512;&#54260;&#45908;)v6\&#49324;&#51204;&#53664;&#44277;&#49324;\18_&#49444;&#44228;&#48320;&#44221;%20(&#52265;&#49688;&#51204;)\&#49688;&#54665;&#51648;&#52840;\&#49444;&#44228;&#48320;&#44221;%20(&#52265;&#49688;&#51204;)_&#49688;&#54665;&#51648;&#52840;.html" TargetMode="External" Id="rId53"/><Relationship Type="http://schemas.openxmlformats.org/officeDocument/2006/relationships/hyperlink" Target="&#47588;&#45684;&#50620;BODY(&#51665;&#54665;&#45800;&#44228;-&#52392;&#48512;&#54260;&#45908;)v6\&#49324;&#51204;&#53664;&#44277;&#49324;\18_&#49444;&#44228;&#48320;&#44221;%20(&#52265;&#49688;&#51204;)\&#52404;&#53356;&#47532;&#49828;&#53944;\&#49444;&#44228;&#48320;&#44221;%20(&#52265;&#49688;&#51204;)_&#52404;&#53356;&#47532;&#49828;&#53944;.html" TargetMode="External" Id="rId54"/><Relationship Type="http://schemas.openxmlformats.org/officeDocument/2006/relationships/hyperlink" Target="&#47588;&#45684;&#50620;BODY(&#51665;&#54665;&#45800;&#44228;-&#52392;&#48512;&#54260;&#45908;)v6\&#49324;&#51204;&#53664;&#44277;&#49324;\19_&#49444;&#44228;&#48320;&#44221;%20&#51648;&#50896;\&#54364;&#51456;&#49436;\&#49444;&#44228;&#48320;&#44221;%20&#51648;&#50896;_&#54364;&#51456;&#49436;.html" TargetMode="External" Id="rId55"/><Relationship Type="http://schemas.openxmlformats.org/officeDocument/2006/relationships/hyperlink" Target="&#47588;&#45684;&#50620;BODY(&#51665;&#54665;&#45800;&#44228;-&#52392;&#48512;&#54260;&#45908;)v6\&#49324;&#51204;&#53664;&#44277;&#49324;\19_&#49444;&#44228;&#48320;&#44221;%20&#51648;&#50896;\&#49688;&#54665;&#51648;&#52840;\&#49444;&#44228;&#48320;&#44221;%20&#51648;&#50896;_&#49688;&#54665;&#51648;&#52840;.html" TargetMode="External" Id="rId56"/><Relationship Type="http://schemas.openxmlformats.org/officeDocument/2006/relationships/hyperlink" Target="&#47588;&#45684;&#50620;BODY(&#51665;&#54665;&#45800;&#44228;-&#52392;&#48512;&#54260;&#45908;)v6\&#49324;&#51204;&#53664;&#44277;&#49324;\19_&#49444;&#44228;&#48320;&#44221;%20&#51648;&#50896;\&#52404;&#53356;&#47532;&#49828;&#53944;\&#49444;&#44228;&#48320;&#44221;%20&#51648;&#50896;_&#52404;&#53356;&#47532;&#49828;&#53944;.html" TargetMode="External" Id="rId57"/><Relationship Type="http://schemas.openxmlformats.org/officeDocument/2006/relationships/hyperlink" Target="&#47588;&#45684;&#50620;BODY(&#51665;&#54665;&#45800;&#44228;-&#52392;&#48512;&#54260;&#45908;)v6\&#49324;&#51204;&#53664;&#44277;&#49324;\20_&#44368;&#53685;&#44288;&#47532;%20&#48143;%20&#44368;&#53685;&#50504;&#51204;&#49884;&#49444;%20&#49444;&#52824;\&#54364;&#51456;&#49436;\&#44368;&#53685;&#44288;&#47532;%20&#48143;%20&#44368;&#53685;&#50504;&#51204;&#49884;&#49444;%20&#49444;&#52824;_&#54364;&#51456;&#49436;.html" TargetMode="External" Id="rId58"/><Relationship Type="http://schemas.openxmlformats.org/officeDocument/2006/relationships/hyperlink" Target="&#47588;&#45684;&#50620;BODY(&#51665;&#54665;&#45800;&#44228;-&#52392;&#48512;&#54260;&#45908;)v6\&#49324;&#51204;&#53664;&#44277;&#49324;\20_&#44368;&#53685;&#44288;&#47532;%20&#48143;%20&#44368;&#53685;&#50504;&#51204;&#49884;&#49444;%20&#49444;&#52824;\&#49688;&#54665;&#51648;&#52840;\&#44368;&#53685;&#44288;&#47532;%20&#48143;%20&#44368;&#53685;&#50504;&#51204;&#49884;&#49444;%20&#49444;&#52824;_&#49688;&#54665;&#51648;&#52840;.html" TargetMode="External" Id="rId59"/><Relationship Type="http://schemas.openxmlformats.org/officeDocument/2006/relationships/hyperlink" Target="&#47588;&#45684;&#50620;BODY(&#51665;&#54665;&#45800;&#44228;-&#52392;&#48512;&#54260;&#45908;)v6\&#49324;&#51204;&#53664;&#44277;&#49324;\20_&#44368;&#53685;&#44288;&#47532;%20&#48143;%20&#44368;&#53685;&#50504;&#51204;&#49884;&#49444;%20&#49444;&#52824;\&#52404;&#53356;&#47532;&#49828;&#53944;\&#44368;&#53685;&#44288;&#47532;%20&#48143;%20&#44368;&#53685;&#50504;&#51204;&#49884;&#49444;%20&#49444;&#52824;_&#52404;&#53356;&#47532;&#49828;&#53944;.html" TargetMode="External" Id="rId60"/><Relationship Type="http://schemas.openxmlformats.org/officeDocument/2006/relationships/hyperlink" Target="&#47588;&#45684;&#50620;BODY(&#51665;&#54665;&#45800;&#44228;-&#52392;&#48512;&#54260;&#45908;)v6\&#49324;&#51204;&#53664;&#44277;&#49324;\21_&#51109;&#48708;%20&#44160;&#49688;%20&#51648;&#50896;\&#54364;&#51456;&#49436;\&#51109;&#48708;%20&#44160;&#49688;%20&#51648;&#50896;_&#54364;&#51456;&#49436;.html" TargetMode="External" Id="rId61"/><Relationship Type="http://schemas.openxmlformats.org/officeDocument/2006/relationships/hyperlink" Target="&#47588;&#45684;&#50620;BODY(&#51665;&#54665;&#45800;&#44228;-&#52392;&#48512;&#54260;&#45908;)v6\&#49324;&#51204;&#53664;&#44277;&#49324;\21_&#51109;&#48708;%20&#44160;&#49688;%20&#51648;&#50896;\&#49688;&#54665;&#51648;&#52840;\&#49688;&#54665;&#51648;&#52840;.html" TargetMode="External" Id="rId62"/><Relationship Type="http://schemas.openxmlformats.org/officeDocument/2006/relationships/hyperlink" Target="&#47588;&#45684;&#50620;BODY(&#51665;&#54665;&#45800;&#44228;-&#52392;&#48512;&#54260;&#45908;)v6\&#49324;&#51204;&#53664;&#44277;&#49324;\21_&#51109;&#48708;%20&#44160;&#49688;%20&#51648;&#50896;\&#52404;&#53356;&#47532;&#49828;&#53944;\&#51109;&#48708;%20&#44160;&#49688;%20&#51648;&#50896;_&#52404;&#53356;&#47532;&#49828;&#53944;.html" TargetMode="External" Id="rId63"/><Relationship Type="http://schemas.openxmlformats.org/officeDocument/2006/relationships/hyperlink" Target="&#47588;&#45684;&#50620;BODY(&#51665;&#54665;&#45800;&#44228;-&#52392;&#48512;&#54260;&#45908;)v6\&#49324;&#51204;&#53664;&#44277;&#49324;\22_&#48268;&#47785;_&#48268;&#44540;&#51228;&#44144;\&#54364;&#51456;&#49436;\&#48268;&#47785;_&#48268;&#44540;&#51228;&#44144;_&#54364;&#51456;&#49436;.html" TargetMode="External" Id="rId64"/><Relationship Type="http://schemas.openxmlformats.org/officeDocument/2006/relationships/hyperlink" Target="&#47588;&#45684;&#50620;BODY(&#51665;&#54665;&#45800;&#44228;-&#52392;&#48512;&#54260;&#45908;)v6\&#49324;&#51204;&#53664;&#44277;&#49324;\22_&#48268;&#47785;_&#48268;&#44540;&#51228;&#44144;\&#49688;&#54665;&#51648;&#52840;\&#48268;&#47785;_&#48268;&#44540;&#51228;&#44144;_&#49688;&#54665;&#51648;&#52840;.html" TargetMode="External" Id="rId65"/><Relationship Type="http://schemas.openxmlformats.org/officeDocument/2006/relationships/hyperlink" Target="&#47588;&#45684;&#50620;BODY(&#51665;&#54665;&#45800;&#44228;-&#52392;&#48512;&#54260;&#45908;)v6\&#49324;&#51204;&#53664;&#44277;&#49324;\22_&#48268;&#47785;_&#48268;&#44540;&#51228;&#44144;\&#52404;&#53356;&#47532;&#49828;&#53944;\&#48268;&#47785;_&#48268;&#44540;&#51228;&#44144;_&#52404;&#53356;&#47532;&#49828;&#53944;.html" TargetMode="External" Id="rId66"/><Relationship Type="http://schemas.openxmlformats.org/officeDocument/2006/relationships/hyperlink" Target="&#47588;&#45684;&#50620;BODY(&#51665;&#54665;&#45800;&#44228;-&#52392;&#48512;&#54260;&#45908;)v6\&#49324;&#51204;&#53664;&#44277;&#49324;\23_&#44592;&#51316;&#44396;&#51312;&#47932;%20_%20&#51648;&#51109;&#47932;%20&#52376;&#47532;\&#54364;&#51456;&#49436;\&#44592;&#51316;&#44396;&#51312;&#47932;%20_%20&#51648;&#51109;&#47932;%20&#52376;&#47532;_&#54364;&#51456;&#49436;.html" TargetMode="External" Id="rId67"/><Relationship Type="http://schemas.openxmlformats.org/officeDocument/2006/relationships/hyperlink" Target="&#47588;&#45684;&#50620;BODY(&#51665;&#54665;&#45800;&#44228;-&#52392;&#48512;&#54260;&#45908;)v6\&#49324;&#51204;&#53664;&#44277;&#49324;\23_&#44592;&#51316;&#44396;&#51312;&#47932;%20_%20&#51648;&#51109;&#47932;%20&#52376;&#47532;\&#49688;&#54665;&#51648;&#52840;\&#44592;&#51316;&#44396;&#51312;&#47932;%20_%20&#51648;&#51109;&#47932;%20&#52376;&#47532;_&#49688;&#54665;&#51648;&#52840;.html" TargetMode="External" Id="rId68"/><Relationship Type="http://schemas.openxmlformats.org/officeDocument/2006/relationships/hyperlink" Target="&#47588;&#45684;&#50620;BODY(&#51665;&#54665;&#45800;&#44228;-&#52392;&#48512;&#54260;&#45908;)v6\&#49324;&#51204;&#53664;&#44277;&#49324;\23_&#44592;&#51316;&#44396;&#51312;&#47932;%20_%20&#51648;&#51109;&#47932;%20&#52376;&#47532;\&#52404;&#53356;&#47532;&#49828;&#53944;\&#44592;&#51316;&#44396;&#51312;&#47932;%20_%20&#51648;&#51109;&#47932;%20&#52376;&#47532;_&#52404;&#53356;&#47532;&#49828;&#53944;.html" TargetMode="External" Id="rId69"/><Relationship Type="http://schemas.openxmlformats.org/officeDocument/2006/relationships/hyperlink" Target="&#47588;&#45684;&#50620;BODY(&#51665;&#54665;&#45800;&#44228;-&#52392;&#48512;&#54260;&#45908;)v6\&#49324;&#51204;&#53664;&#44277;&#49324;\24_&#51652;&#51077;&#47196;%20&#51312;&#49457;\&#54364;&#51456;&#49436;\&#51652;&#51077;&#47196;%20&#51312;&#49457;_&#54364;&#51456;&#49436;.html" TargetMode="External" Id="rId70"/><Relationship Type="http://schemas.openxmlformats.org/officeDocument/2006/relationships/hyperlink" Target="&#47588;&#45684;&#50620;BODY(&#51665;&#54665;&#45800;&#44228;-&#52392;&#48512;&#54260;&#45908;)v6\&#49324;&#51204;&#53664;&#44277;&#49324;\24_&#51652;&#51077;&#47196;%20&#51312;&#49457;\&#49688;&#54665;&#51648;&#52840;\&#51652;&#51077;&#47196;%20&#51312;&#49457;_&#49688;&#54665;&#51648;&#52840;.html" TargetMode="External" Id="rId71"/><Relationship Type="http://schemas.openxmlformats.org/officeDocument/2006/relationships/hyperlink" Target="&#47588;&#45684;&#50620;BODY(&#51665;&#54665;&#45800;&#44228;-&#52392;&#48512;&#54260;&#45908;)v6\&#49324;&#51204;&#53664;&#44277;&#49324;\24_&#51652;&#51077;&#47196;%20&#51312;&#49457;\&#52404;&#53356;&#47532;&#49828;&#53944;\&#51652;&#51077;&#47196;%20&#51312;&#49457;_&#52404;&#53356;&#47532;&#49828;&#53944;.html" TargetMode="External" Id="rId72"/><Relationship Type="http://schemas.openxmlformats.org/officeDocument/2006/relationships/hyperlink" Target="&#47588;&#45684;&#50620;BODY(&#51665;&#54665;&#45800;&#44228;-&#52392;&#48512;&#54260;&#45908;)v6\&#49324;&#51204;&#53664;&#44277;&#49324;\25_&#48176;&#49688;_&#54872;&#44221;&#49884;&#49444;%20&#49444;&#52824;\&#54364;&#51456;&#49436;\&#48176;&#49688;_&#54872;&#44221;&#49884;&#49444;%20&#49444;&#52824;_&#54364;&#51456;&#49436;.html" TargetMode="External" Id="rId73"/><Relationship Type="http://schemas.openxmlformats.org/officeDocument/2006/relationships/hyperlink" Target="&#47588;&#45684;&#50620;BODY(&#51665;&#54665;&#45800;&#44228;-&#52392;&#48512;&#54260;&#45908;)v6\&#49324;&#51204;&#53664;&#44277;&#49324;\25_&#48176;&#49688;_&#54872;&#44221;&#49884;&#49444;%20&#49444;&#52824;\&#49688;&#54665;&#51648;&#52840;\&#48176;&#49688;_&#54872;&#44221;&#49884;&#49444;%20&#49444;&#52824;_&#49688;&#54665;&#51648;&#52840;.html" TargetMode="External" Id="rId74"/><Relationship Type="http://schemas.openxmlformats.org/officeDocument/2006/relationships/hyperlink" Target="&#47588;&#45684;&#50620;BODY(&#51665;&#54665;&#45800;&#44228;-&#52392;&#48512;&#54260;&#45908;)v6\&#49324;&#51204;&#53664;&#44277;&#49324;\25_&#48176;&#49688;_&#54872;&#44221;&#49884;&#49444;%20&#49444;&#52824;\&#52404;&#53356;&#47532;&#49828;&#53944;\&#48176;&#49688;_&#54872;&#44221;&#49884;&#49444;%20&#49444;&#52824;_&#52404;&#53356;&#47532;&#49828;&#53944;.html" TargetMode="External" Id="rId75"/><Relationship Type="http://schemas.openxmlformats.org/officeDocument/2006/relationships/hyperlink" Target="&#47588;&#45684;&#50620;BODY(&#51665;&#54665;&#45800;&#44228;-&#52392;&#48512;&#54260;&#45908;)v6\&#49324;&#51204;&#53664;&#44277;&#49324;\26_&#53664;&#44277;%20&#44404;&#52265;\&#54364;&#51456;&#49436;\&#53664;&#44277;%20&#44404;&#52265;_&#54364;&#51456;&#49436;.html" TargetMode="External" Id="rId76"/><Relationship Type="http://schemas.openxmlformats.org/officeDocument/2006/relationships/hyperlink" Target="&#47588;&#45684;&#50620;BODY(&#51665;&#54665;&#45800;&#44228;-&#52392;&#48512;&#54260;&#45908;)v6\&#49324;&#51204;&#53664;&#44277;&#49324;\26_&#53664;&#44277;%20&#44404;&#52265;\&#49688;&#54665;&#51648;&#52840;\&#53664;&#44277;%20&#44404;&#52265;_&#49688;&#54665;&#51648;&#52840;.html" TargetMode="External" Id="rId77"/><Relationship Type="http://schemas.openxmlformats.org/officeDocument/2006/relationships/hyperlink" Target="&#47588;&#45684;&#50620;BODY(&#51665;&#54665;&#45800;&#44228;-&#52392;&#48512;&#54260;&#45908;)v6\&#49324;&#51204;&#53664;&#44277;&#49324;\26_&#53664;&#44277;%20&#44404;&#52265;\&#52404;&#53356;&#47532;&#49828;&#53944;\&#53664;&#44277;%20&#44404;&#52265;_&#52404;&#53356;&#47532;&#49828;&#53944;.html" TargetMode="External" Id="rId78"/><Relationship Type="http://schemas.openxmlformats.org/officeDocument/2006/relationships/hyperlink" Target="&#47588;&#45684;&#50620;BODY(&#51665;&#54665;&#45800;&#44228;-&#52392;&#48512;&#54260;&#45908;)v6\&#49324;&#51204;&#53664;&#44277;&#49324;\27_&#45432;&#49345;&#53664;%20&#51648;&#51648;&#47141;%20&#54869;&#51064;\&#54364;&#51456;&#49436;\&#45432;&#49345;&#53664;%20&#51648;&#51648;&#47141;%20&#54869;&#51064;_&#54364;&#51456;&#49436;.html" TargetMode="External" Id="rId79"/><Relationship Type="http://schemas.openxmlformats.org/officeDocument/2006/relationships/hyperlink" Target="&#47588;&#45684;&#50620;BODY(&#51665;&#54665;&#45800;&#44228;-&#52392;&#48512;&#54260;&#45908;)v6\&#49324;&#51204;&#53664;&#44277;&#49324;\27_&#45432;&#49345;&#53664;%20&#51648;&#51648;&#47141;%20&#54869;&#51064;\&#49688;&#54665;&#51648;&#52840;\&#45432;&#49345;&#53664;%20&#51648;&#51648;&#47141;%20&#54869;&#51064;_&#49688;&#54665;&#51648;&#52840;.html" TargetMode="External" Id="rId80"/><Relationship Type="http://schemas.openxmlformats.org/officeDocument/2006/relationships/hyperlink" Target="&#47588;&#45684;&#50620;BODY(&#51665;&#54665;&#45800;&#44228;-&#52392;&#48512;&#54260;&#45908;)v6\&#49324;&#51204;&#53664;&#44277;&#49324;\27_&#45432;&#49345;&#53664;%20&#51648;&#51648;&#47141;%20&#54869;&#51064;\&#52404;&#53356;&#47532;&#49828;&#53944;\&#45432;&#49345;&#53664;%20&#51648;&#51648;&#47141;%20&#54869;&#51064;_&#52404;&#53356;&#47532;&#49828;&#53944;.html" TargetMode="External" Id="rId81"/><Relationship Type="http://schemas.openxmlformats.org/officeDocument/2006/relationships/hyperlink" Target="&#47588;&#45684;&#50620;BODY(&#51665;&#54665;&#45800;&#44228;-&#52392;&#48512;&#54260;&#45908;)v6\&#49324;&#51204;&#53664;&#44277;&#49324;\28_&#49939;&#44592;%20&#48143;%20&#45796;&#51664;(&#54596;&#50836;&#49884;)\&#54364;&#51456;&#49436;\&#49939;&#44592;%20&#48143;%20&#45796;&#51664;(&#54596;&#50836;&#49884;)_&#54364;&#51456;&#49436;.html" TargetMode="External" Id="rId82"/><Relationship Type="http://schemas.openxmlformats.org/officeDocument/2006/relationships/hyperlink" Target="&#47588;&#45684;&#50620;BODY(&#51665;&#54665;&#45800;&#44228;-&#52392;&#48512;&#54260;&#45908;)v6\&#49324;&#51204;&#53664;&#44277;&#49324;\28_&#49939;&#44592;%20&#48143;%20&#45796;&#51664;(&#54596;&#50836;&#49884;)\&#49688;&#54665;&#51648;&#52840;\&#49939;&#44592;%20&#48143;%20&#45796;&#51664;(&#54596;&#50836;&#49884;)_&#49688;&#54665;&#51648;&#52840;.html" TargetMode="External" Id="rId83"/><Relationship Type="http://schemas.openxmlformats.org/officeDocument/2006/relationships/hyperlink" Target="&#47588;&#45684;&#50620;BODY(&#51665;&#54665;&#45800;&#44228;-&#52392;&#48512;&#54260;&#45908;)v6\&#49324;&#51204;&#53664;&#44277;&#49324;\28_&#49939;&#44592;%20&#48143;%20&#45796;&#51664;(&#54596;&#50836;&#49884;)\&#52404;&#53356;&#47532;&#49828;&#53944;\&#49939;&#44592;%20&#48143;%20&#45796;&#51664;(&#54596;&#50836;&#49884;)_&#52404;&#53356;&#47532;&#49828;&#53944;.html" TargetMode="External" Id="rId84"/><Relationship Type="http://schemas.openxmlformats.org/officeDocument/2006/relationships/hyperlink" Target="&#47588;&#45684;&#50620;BODY(&#51665;&#54665;&#45800;&#44228;-&#52392;&#48512;&#54260;&#45908;)v6\&#49324;&#51204;&#53664;&#44277;&#49324;\29_&#54788;&#51109;&#51648;&#50896;\&#54364;&#51456;&#49436;\&#54788;&#51109;&#51648;&#50896;_&#54364;&#51456;&#49436;.html" TargetMode="External" Id="rId85"/><Relationship Type="http://schemas.openxmlformats.org/officeDocument/2006/relationships/hyperlink" Target="&#47588;&#45684;&#50620;BODY(&#51665;&#54665;&#45800;&#44228;-&#52392;&#48512;&#54260;&#45908;)v6\&#49324;&#51204;&#53664;&#44277;&#49324;\29_&#54788;&#51109;&#51648;&#50896;\&#49688;&#54665;&#51648;&#52840;\&#54788;&#51109;&#51648;&#50896;_&#49688;&#54665;&#51648;&#52840;.html" TargetMode="External" Id="rId86"/><Relationship Type="http://schemas.openxmlformats.org/officeDocument/2006/relationships/hyperlink" Target="&#47588;&#45684;&#50620;BODY(&#51665;&#54665;&#45800;&#44228;-&#52392;&#48512;&#54260;&#45908;)v6\&#49324;&#51204;&#53664;&#44277;&#49324;\29_&#54788;&#51109;&#51648;&#50896;\&#52404;&#53356;&#47532;&#49828;&#53944;\&#54788;&#51109;&#51648;&#50896;_&#52404;&#53356;&#47532;&#49828;&#53944;.html" TargetMode="External" Id="rId87"/><Relationship Type="http://schemas.openxmlformats.org/officeDocument/2006/relationships/hyperlink" Target="&#47588;&#45684;&#50620;BODY(&#51665;&#54665;&#45800;&#44228;-&#52392;&#48512;&#54260;&#45908;)v6\&#49324;&#51204;&#53664;&#44277;&#49324;\30_&#44053;&#54868;&#45432;&#48152;%20&#51064;&#44228;\&#54364;&#51456;&#49436;\&#44053;&#54868;&#45432;&#48152;%20&#51064;&#44228;_&#54364;&#51456;&#49436;.html" TargetMode="External" Id="rId88"/><Relationship Type="http://schemas.openxmlformats.org/officeDocument/2006/relationships/hyperlink" Target="&#47588;&#45684;&#50620;BODY(&#51665;&#54665;&#45800;&#44228;-&#52392;&#48512;&#54260;&#45908;)v6\&#49324;&#51204;&#53664;&#44277;&#49324;\30_&#44053;&#54868;&#45432;&#48152;%20&#51064;&#44228;\&#49688;&#54665;&#51648;&#52840;\&#44053;&#54868;&#45432;&#48152;%20&#51064;&#44228;_&#49688;&#54665;&#51648;&#52840;.html" TargetMode="External" Id="rId89"/><Relationship Type="http://schemas.openxmlformats.org/officeDocument/2006/relationships/hyperlink" Target="&#47588;&#45684;&#50620;BODY(&#51665;&#54665;&#45800;&#44228;-&#52392;&#48512;&#54260;&#45908;)v6\&#49324;&#51204;&#53664;&#44277;&#49324;\30_&#44053;&#54868;&#45432;&#48152;%20&#51064;&#44228;\&#52404;&#53356;&#47532;&#49828;&#53944;\&#44053;&#54868;&#45432;&#48152;%20&#51064;&#44228;_&#52404;&#53356;&#47532;&#49828;&#53944;.html" TargetMode="External" Id="rId90"/></Relationships>
</file>

<file path=xl/worksheets/_rels/sheet6.xml.rels><Relationships xmlns="http://schemas.openxmlformats.org/package/2006/relationships"><Relationship Type="http://schemas.openxmlformats.org/officeDocument/2006/relationships/hyperlink" Target="&#47588;&#45684;&#50620;BODY(&#51665;&#54665;&#45800;&#44228;-&#52392;&#48512;&#54260;&#45908;)v6/&#51648;&#51109;&#47932;&#51060;&#49444;/1_Site%20Survey%20Risk%20&#44160;&#53664;/&#54364;&#51456;&#49436;/1_Site%20Survey%20Risk%20&#44160;&#53664;_&#54364;&#51456;&#49436;.html" TargetMode="External" Id="rId1"/><Relationship Type="http://schemas.openxmlformats.org/officeDocument/2006/relationships/hyperlink" Target="&#47588;&#45684;&#50620;BODY(&#51665;&#54665;&#45800;&#44228;-&#52392;&#48512;&#54260;&#45908;)v6/&#51648;&#51109;&#47932;&#51060;&#49444;/1_Site%20Survey%20Risk%20&#44160;&#53664;/&#49688;&#54665;&#51648;&#52840;/1_Site%20Survey%20Risk%20&#44160;&#53664;_&#49688;&#54665;&#51648;&#52840;.html" TargetMode="External" Id="rId2"/><Relationship Type="http://schemas.openxmlformats.org/officeDocument/2006/relationships/hyperlink" Target="&#47588;&#45684;&#50620;BODY(&#51665;&#54665;&#45800;&#44228;-&#52392;&#48512;&#54260;&#45908;)v6/&#51648;&#51109;&#47932;&#51060;&#49444;/1_Site%20Survey%20Risk%20&#44160;&#53664;/&#52404;&#53356;&#47532;&#49828;&#53944;/1_Site%20Survey%20Risk%20&#44160;&#53664;_&#52404;&#53356;&#47532;&#49828;&#53944;.html" TargetMode="External" Id="rId3"/><Relationship Type="http://schemas.openxmlformats.org/officeDocument/2006/relationships/hyperlink" Target="&#47588;&#45684;&#50620;BODY(&#51665;&#54665;&#45800;&#44228;-&#52392;&#48512;&#54260;&#45908;)v6/&#51648;&#51109;&#47932;&#51060;&#49444;/2_&#48156;&#51452;&#51204;&#47029;%20KOM%20(&#46020;&#44553;&#51648;&#48516;)/&#54364;&#51456;&#49436;/2_&#48156;&#51452;&#51204;&#47029;%20KOM%20(&#46020;&#44553;&#51648;&#48516;)_&#54364;&#51456;&#49436;.html" TargetMode="External" Id="rId4"/><Relationship Type="http://schemas.openxmlformats.org/officeDocument/2006/relationships/hyperlink" Target="&#47588;&#45684;&#50620;BODY(&#51665;&#54665;&#45800;&#44228;-&#52392;&#48512;&#54260;&#45908;)v6/&#51648;&#51109;&#47932;&#51060;&#49444;/2_&#48156;&#51452;&#51204;&#47029;%20KOM%20(&#46020;&#44553;&#51648;&#48516;)/&#49688;&#54665;&#51648;&#52840;/2_&#48156;&#51452;&#51204;&#47029;%20KOM%20(&#46020;&#44553;&#51648;&#48516;)_&#49688;&#54665;&#51648;&#52840;.html" TargetMode="External" Id="rId5"/><Relationship Type="http://schemas.openxmlformats.org/officeDocument/2006/relationships/hyperlink" Target="&#47588;&#45684;&#50620;BODY(&#51665;&#54665;&#45800;&#44228;-&#52392;&#48512;&#54260;&#45908;)v6/&#51648;&#51109;&#47932;&#51060;&#49444;/2_&#48156;&#51452;&#51204;&#47029;%20KOM%20(&#46020;&#44553;&#51648;&#48516;)/&#52404;&#53356;&#47532;&#49828;&#53944;/2_&#48156;&#51452;&#51204;&#47029;%20KOM%20(&#46020;&#44553;&#51648;&#48516;)_&#52404;&#53356;&#47532;&#49828;&#53944;.html" TargetMode="External" Id="rId6"/><Relationship Type="http://schemas.openxmlformats.org/officeDocument/2006/relationships/hyperlink" Target="&#47588;&#45684;&#50620;BODY(&#51665;&#54665;&#45800;&#44228;-&#52392;&#48512;&#54260;&#45908;)v6/&#51648;&#51109;&#47932;&#51060;&#49444;/3_&#51648;&#51109;&#47932;%20&#51060;&#49444;%20&#50836;&#52397;%20(&#50948;&#49688;&#53441;&#44256;)/&#54364;&#51456;&#49436;/3_&#51648;&#51109;&#47932;%20&#51060;&#49444;%20&#50836;&#52397;%20(&#50948;&#49688;&#53441;&#44256;)_&#54364;&#51456;&#49436;.html" TargetMode="External" Id="rId7"/><Relationship Type="http://schemas.openxmlformats.org/officeDocument/2006/relationships/hyperlink" Target="&#47588;&#45684;&#50620;BODY(&#51665;&#54665;&#45800;&#44228;-&#52392;&#48512;&#54260;&#45908;)v6/&#51648;&#51109;&#47932;&#51060;&#49444;/3_&#51648;&#51109;&#47932;%20&#51060;&#49444;%20&#50836;&#52397;%20(&#50948;&#49688;&#53441;&#44256;)/&#49688;&#54665;&#51648;&#52840;/3_&#51648;&#51109;&#47932;%20&#51060;&#49444;%20&#50836;&#52397;%20(&#50948;&#49688;&#53441;&#44256;)_&#49688;&#54665;&#51648;&#52840;.html" TargetMode="External" Id="rId8"/><Relationship Type="http://schemas.openxmlformats.org/officeDocument/2006/relationships/hyperlink" Target="&#47588;&#45684;&#50620;BODY(&#51665;&#54665;&#45800;&#44228;-&#52392;&#48512;&#54260;&#45908;)v6/&#51648;&#51109;&#47932;&#51060;&#49444;/3_&#51648;&#51109;&#47932;%20&#51060;&#49444;%20&#50836;&#52397;%20(&#50948;&#49688;&#53441;&#44256;)/&#52404;&#53356;&#47532;&#49828;&#53944;/3_&#51648;&#51109;&#47932;%20&#51060;&#49444;%20&#50836;&#52397;%20(&#50948;&#49688;&#53441;&#44256;)_&#52404;&#53356;&#47532;&#49828;&#53944;.html" TargetMode="External" Id="rId9"/><Relationship Type="http://schemas.openxmlformats.org/officeDocument/2006/relationships/hyperlink" Target="&#47588;&#45684;&#50620;BODY(&#51665;&#54665;&#45800;&#44228;-&#52392;&#48512;&#54260;&#45908;)v6/&#51648;&#51109;&#47932;&#51060;&#49444;/4_&#46020;&#44553;&#51088;&#48516;%20&#51060;&#49444;&#50629;&#52404;%20&#49440;&#51221;(&#49345;_&#54616;&#49688;)/&#54364;&#51456;&#49436;/4_&#46020;&#44553;&#51088;&#48516;%20&#51060;&#49444;&#50629;&#52404;%20&#49440;&#51221;(&#49345;_&#54616;&#49688;)_&#54364;&#51456;&#49436;.html" TargetMode="External" Id="rId10"/><Relationship Type="http://schemas.openxmlformats.org/officeDocument/2006/relationships/hyperlink" Target="&#47588;&#45684;&#50620;BODY(&#51665;&#54665;&#45800;&#44228;-&#52392;&#48512;&#54260;&#45908;)v6/&#51648;&#51109;&#47932;&#51060;&#49444;/4_&#46020;&#44553;&#51088;&#48516;%20&#51060;&#49444;&#50629;&#52404;%20&#49440;&#51221;(&#49345;_&#54616;&#49688;)/&#49688;&#54665;&#51648;&#52840;/4_&#46020;&#44553;&#51088;&#48516;%20&#51060;&#49444;&#50629;&#52404;%20&#49440;&#51221;(&#49345;_&#54616;&#49688;)_&#49688;&#54665;&#51648;&#52840;.html" TargetMode="External" Id="rId11"/><Relationship Type="http://schemas.openxmlformats.org/officeDocument/2006/relationships/hyperlink" Target="&#47588;&#45684;&#50620;BODY(&#51665;&#54665;&#45800;&#44228;-&#52392;&#48512;&#54260;&#45908;)v6/&#51648;&#51109;&#47932;&#51060;&#49444;/4_&#46020;&#44553;&#51088;&#48516;%20&#51060;&#49444;&#50629;&#52404;%20&#49440;&#51221;(&#49345;_&#54616;&#49688;)/&#52404;&#53356;&#47532;&#49828;&#53944;/4_&#46020;&#44553;&#51088;&#48516;%20&#51060;&#49444;&#50629;&#52404;%20&#49440;&#51221;(&#49345;_&#54616;&#49688;)_&#52404;&#53356;&#47532;&#49828;&#53944;.html" TargetMode="External" Id="rId12"/><Relationship Type="http://schemas.openxmlformats.org/officeDocument/2006/relationships/hyperlink" Target="&#47588;&#45684;&#50620;BODY(&#51665;&#54665;&#45800;&#44228;-&#52392;&#48512;&#54260;&#45908;)v6/&#51648;&#51109;&#47932;&#51060;&#49444;/5_&#51648;&#51109;&#47932;%20&#51312;&#49324;%20(&#50948;&#53441;&#44592;&#44288;%20&#54633;&#46041;)/&#54364;&#51456;&#49436;/5_&#51648;&#51109;&#47932;%20&#51312;&#49324;%20(&#50948;&#53441;&#44592;&#44288;%20&#54633;&#46041;)_&#54364;&#51456;&#49436;.html" TargetMode="External" Id="rId13"/><Relationship Type="http://schemas.openxmlformats.org/officeDocument/2006/relationships/hyperlink" Target="&#47588;&#45684;&#50620;BODY(&#51665;&#54665;&#45800;&#44228;-&#52392;&#48512;&#54260;&#45908;)v6/&#51648;&#51109;&#47932;&#51060;&#49444;/5_&#51648;&#51109;&#47932;%20&#51312;&#49324;%20(&#50948;&#53441;&#44592;&#44288;%20&#54633;&#46041;)/&#49688;&#54665;&#51648;&#52840;/5_&#51648;&#51109;&#47932;%20&#51312;&#49324;%20(&#50948;&#53441;&#44592;&#44288;%20&#54633;&#46041;)_&#49688;&#54665;&#51648;&#52840;.html" TargetMode="External" Id="rId14"/><Relationship Type="http://schemas.openxmlformats.org/officeDocument/2006/relationships/hyperlink" Target="&#47588;&#45684;&#50620;BODY(&#51665;&#54665;&#45800;&#44228;-&#52392;&#48512;&#54260;&#45908;)v6/&#51648;&#51109;&#47932;&#51060;&#49444;/5_&#51648;&#51109;&#47932;%20&#51312;&#49324;%20(&#50948;&#53441;&#44592;&#44288;%20&#54633;&#46041;)/&#52404;&#53356;&#47532;&#49828;&#53944;/5_&#51648;&#51109;&#47932;%20&#51312;&#49324;%20(&#50948;&#53441;&#44592;&#44288;%20&#54633;&#46041;)_&#52404;&#53356;&#47532;&#49828;&#53944;.html" TargetMode="External" Id="rId15"/><Relationship Type="http://schemas.openxmlformats.org/officeDocument/2006/relationships/hyperlink" Target="&#47588;&#45684;&#50620;BODY(&#51665;&#54665;&#45800;&#44228;-&#52392;&#48512;&#54260;&#45908;)v6/&#51648;&#51109;&#47932;&#51060;&#49444;/6_&#51648;&#51109;&#47932;%20&#51060;&#49444;%20&#44228;&#54925;%20&#49688;&#47549;/&#54364;&#51456;&#49436;/6_&#51648;&#51109;&#47932;%20&#51060;&#49444;%20&#44228;&#54925;%20&#49688;&#47549;_&#54364;&#51456;&#49436;.html" TargetMode="External" Id="rId16"/><Relationship Type="http://schemas.openxmlformats.org/officeDocument/2006/relationships/hyperlink" Target="&#47588;&#45684;&#50620;BODY(&#51665;&#54665;&#45800;&#44228;-&#52392;&#48512;&#54260;&#45908;)v6/&#51648;&#51109;&#47932;&#51060;&#49444;/6_&#51648;&#51109;&#47932;%20&#51060;&#49444;%20&#44228;&#54925;%20&#49688;&#47549;/&#49688;&#54665;&#51648;&#52840;/6_&#51648;&#51109;&#47932;%20&#51060;&#49444;%20&#44228;&#54925;%20&#49688;&#47549;_&#49688;&#54665;&#51648;&#52840;.html" TargetMode="External" Id="rId17"/><Relationship Type="http://schemas.openxmlformats.org/officeDocument/2006/relationships/hyperlink" Target="&#47588;&#45684;&#50620;BODY(&#51665;&#54665;&#45800;&#44228;-&#52392;&#48512;&#54260;&#45908;)v6/&#51648;&#51109;&#47932;&#51060;&#49444;/6_&#51648;&#51109;&#47932;%20&#51060;&#49444;%20&#44228;&#54925;%20&#49688;&#47549;/&#52404;&#53356;&#47532;&#49828;&#53944;/6_&#51648;&#51109;&#47932;%20&#51060;&#49444;%20&#44228;&#54925;%20&#49688;&#47549;_&#52404;&#53356;&#47532;&#49828;&#53944;.html" TargetMode="External" Id="rId18"/><Relationship Type="http://schemas.openxmlformats.org/officeDocument/2006/relationships/hyperlink" Target="&#47588;&#45684;&#50620;BODY(&#51665;&#54665;&#45800;&#44228;-&#52392;&#48512;&#54260;&#45908;)v6/&#51648;&#51109;&#47932;&#51060;&#49444;/7_&#52572;&#44256;&#51032;%20&#54016;%20&#47564;&#46308;&#44592;%20&#51648;&#50896;/&#54364;&#51456;&#49436;/7_&#52572;&#44256;&#51032;%20&#54016;%20&#47564;&#46308;&#44592;%20&#51648;&#50896;_&#54364;&#51456;&#49436;.html" TargetMode="External" Id="rId19"/><Relationship Type="http://schemas.openxmlformats.org/officeDocument/2006/relationships/hyperlink" Target="&#47588;&#45684;&#50620;BODY(&#51665;&#54665;&#45800;&#44228;-&#52392;&#48512;&#54260;&#45908;)v6/&#51648;&#51109;&#47932;&#51060;&#49444;/7_&#52572;&#44256;&#51032;%20&#54016;%20&#47564;&#46308;&#44592;%20&#51648;&#50896;/&#49688;&#54665;&#51648;&#52840;/7_&#52572;&#44256;&#51032;%20&#54016;%20&#47564;&#46308;&#44592;%20&#51648;&#50896;_&#49688;&#54665;&#51648;&#52840;.html" TargetMode="External" Id="rId20"/><Relationship Type="http://schemas.openxmlformats.org/officeDocument/2006/relationships/hyperlink" Target="&#47588;&#45684;&#50620;BODY(&#51665;&#54665;&#45800;&#44228;-&#52392;&#48512;&#54260;&#45908;)v6/&#51648;&#51109;&#47932;&#51060;&#49444;/7_&#52572;&#44256;&#51032;%20&#54016;%20&#47564;&#46308;&#44592;%20&#51648;&#50896;/&#52404;&#53356;&#47532;&#49828;&#53944;/7_&#52572;&#44256;&#51032;%20&#54016;%20&#47564;&#46308;&#44592;%20&#51648;&#50896;_&#52404;&#53356;&#47532;&#49828;&#53944;.html" TargetMode="External" Id="rId21"/><Relationship Type="http://schemas.openxmlformats.org/officeDocument/2006/relationships/hyperlink" Target="&#47588;&#45684;&#50620;BODY(&#51665;&#54665;&#45800;&#44228;-&#52392;&#48512;&#54260;&#45908;)v6/&#51648;&#51109;&#47932;&#51060;&#49444;/8_&#52265;&#49688;&#51204;%20Big%20Room%20&#54924;&#51032;/&#54364;&#51456;&#49436;/8_&#52265;&#49688;&#51204;%20Big%20Room%20&#54924;&#51032;_&#54364;&#51456;&#49436;.html" TargetMode="External" Id="rId22"/><Relationship Type="http://schemas.openxmlformats.org/officeDocument/2006/relationships/hyperlink" Target="&#47588;&#45684;&#50620;BODY(&#51665;&#54665;&#45800;&#44228;-&#52392;&#48512;&#54260;&#45908;)v6/&#51648;&#51109;&#47932;&#51060;&#49444;/8_&#52265;&#49688;&#51204;%20Big%20Room%20&#54924;&#51032;/&#49688;&#54665;&#51648;&#52840;/8_&#52265;&#49688;&#51204;%20Big%20Room%20&#54924;&#51032;_&#49688;&#54665;&#51648;&#52840;.html" TargetMode="External" Id="rId23"/><Relationship Type="http://schemas.openxmlformats.org/officeDocument/2006/relationships/hyperlink" Target="&#47588;&#45684;&#50620;BODY(&#51665;&#54665;&#45800;&#44228;-&#52392;&#48512;&#54260;&#45908;)v6/&#51648;&#51109;&#47932;&#51060;&#49444;/8_&#52265;&#49688;&#51204;%20Big%20Room%20&#54924;&#51032;/&#52404;&#53356;&#47532;&#49828;&#53944;/8_&#52265;&#49688;&#51204;%20Big%20Room%20&#54924;&#51032;_&#52404;&#53356;&#47532;&#49828;&#53944;.html" TargetMode="External" Id="rId24"/><Relationship Type="http://schemas.openxmlformats.org/officeDocument/2006/relationships/hyperlink" Target="&#47588;&#45684;&#50620;BODY(&#51665;&#54665;&#45800;&#44228;-&#52392;&#48512;&#54260;&#45908;)v6/&#51648;&#51109;&#47932;&#51060;&#49444;/9_&#51064;&#54728;&#44032;%20&#51208;&#52264;%20&#51652;&#54665;/&#54364;&#51456;&#49436;/9_&#51064;&#54728;&#44032;%20&#51208;&#52264;%20&#51652;&#54665;_&#54364;&#51456;&#49436;.html" TargetMode="External" Id="rId25"/><Relationship Type="http://schemas.openxmlformats.org/officeDocument/2006/relationships/hyperlink" Target="&#47588;&#45684;&#50620;BODY(&#51665;&#54665;&#45800;&#44228;-&#52392;&#48512;&#54260;&#45908;)v6/&#51648;&#51109;&#47932;&#51060;&#49444;/9_&#51064;&#54728;&#44032;%20&#51208;&#52264;%20&#51652;&#54665;/&#49688;&#54665;&#51648;&#52840;/9_&#51064;&#54728;&#44032;%20&#51208;&#52264;%20&#51652;&#54665;_&#49688;&#54665;&#51648;&#52840;.html" TargetMode="External" Id="rId26"/><Relationship Type="http://schemas.openxmlformats.org/officeDocument/2006/relationships/hyperlink" Target="&#47588;&#45684;&#50620;BODY(&#51665;&#54665;&#45800;&#44228;-&#52392;&#48512;&#54260;&#45908;)v6/&#51648;&#51109;&#47932;&#51060;&#49444;/9_&#51064;&#54728;&#44032;%20&#51208;&#52264;%20&#51652;&#54665;/&#52404;&#53356;&#47532;&#49828;&#53944;/9_&#51064;&#54728;&#44032;%20&#51208;&#52264;%20&#51652;&#54665;_&#52404;&#53356;&#47532;&#49828;&#53944;.html" TargetMode="External" Id="rId27"/><Relationship Type="http://schemas.openxmlformats.org/officeDocument/2006/relationships/hyperlink" Target="&#47588;&#45684;&#50620;BODY(&#51665;&#54665;&#45800;&#44228;-&#52392;&#48512;&#54260;&#45908;)v6/&#51648;&#51109;&#47932;&#51060;&#49444;/10_&#44368;&#53685;&#52376;&#47532;&#45824;&#52293;%20&#54801;&#51032;%20&#48143;%20&#49849;&#51064;/&#54364;&#51456;&#49436;/10_&#44368;&#53685;&#52376;&#47532;&#45824;&#52293;%20&#54801;&#51032;%20&#48143;%20&#49849;&#51064;_&#54364;&#51456;&#49436;.html" TargetMode="External" Id="rId28"/><Relationship Type="http://schemas.openxmlformats.org/officeDocument/2006/relationships/hyperlink" Target="&#47588;&#45684;&#50620;BODY(&#51665;&#54665;&#45800;&#44228;-&#52392;&#48512;&#54260;&#45908;)v6/&#51648;&#51109;&#47932;&#51060;&#49444;/10_&#44368;&#53685;&#52376;&#47532;&#45824;&#52293;%20&#54801;&#51032;%20&#48143;%20&#49849;&#51064;/&#49688;&#54665;&#51648;&#52840;/10_&#44368;&#53685;&#52376;&#47532;&#45824;&#52293;%20&#54801;&#51032;%20&#48143;%20&#49849;&#51064;_&#49688;&#54665;&#51648;&#52840;.html" TargetMode="External" Id="rId29"/><Relationship Type="http://schemas.openxmlformats.org/officeDocument/2006/relationships/hyperlink" Target="&#47588;&#45684;&#50620;BODY(&#51665;&#54665;&#45800;&#44228;-&#52392;&#48512;&#54260;&#45908;)v6/&#51648;&#51109;&#47932;&#51060;&#49444;/10_&#44368;&#53685;&#52376;&#47532;&#45824;&#52293;%20&#54801;&#51032;%20&#48143;%20&#49849;&#51064;/&#52404;&#53356;&#47532;&#49828;&#53944;/10_&#44368;&#53685;&#52376;&#47532;&#45824;&#52293;%20&#54801;&#51032;%20&#48143;%20&#49849;&#51064;_&#52404;&#53356;&#47532;&#49828;&#53944;.html" TargetMode="External" Id="rId30"/><Relationship Type="http://schemas.openxmlformats.org/officeDocument/2006/relationships/hyperlink" Target="&#47588;&#45684;&#50620;BODY(&#51665;&#54665;&#45800;&#44228;-&#52392;&#48512;&#54260;&#45908;)v6/&#51648;&#51109;&#47932;&#51060;&#49444;/11_&#48124;&#50896;%20&#51200;&#44048;%20&#45824;&#52293;%20&#49688;&#47549;/&#54364;&#51456;&#49436;/11_&#48124;&#50896;%20&#51200;&#44048;%20&#45824;&#52293;%20&#49688;&#47549;_&#54364;&#51456;&#49436;.html" TargetMode="External" Id="rId31"/><Relationship Type="http://schemas.openxmlformats.org/officeDocument/2006/relationships/hyperlink" Target="&#47588;&#45684;&#50620;BODY(&#51665;&#54665;&#45800;&#44228;-&#52392;&#48512;&#54260;&#45908;)v6/&#51648;&#51109;&#47932;&#51060;&#49444;/11_&#48124;&#50896;%20&#51200;&#44048;%20&#45824;&#52293;%20&#49688;&#47549;/&#49688;&#54665;&#51648;&#52840;/11_&#48124;&#50896;%20&#51200;&#44048;%20&#45824;&#52293;%20&#49688;&#47549;_&#49688;&#54665;&#51648;&#52840;.html" TargetMode="External" Id="rId32"/><Relationship Type="http://schemas.openxmlformats.org/officeDocument/2006/relationships/hyperlink" Target="&#47588;&#45684;&#50620;BODY(&#51665;&#54665;&#45800;&#44228;-&#52392;&#48512;&#54260;&#45908;)v6/&#51648;&#51109;&#47932;&#51060;&#49444;/11_&#48124;&#50896;%20&#51200;&#44048;%20&#45824;&#52293;%20&#49688;&#47549;/&#52404;&#53356;&#47532;&#49828;&#53944;/11_&#48124;&#50896;%20&#51200;&#44048;%20&#45824;&#52293;%20&#49688;&#47549;_&#52404;&#53356;&#47532;&#49828;&#53944;.html" TargetMode="External" Id="rId33"/><Relationship Type="http://schemas.openxmlformats.org/officeDocument/2006/relationships/hyperlink" Target="&#47588;&#45684;&#50620;BODY(&#51665;&#54665;&#45800;&#44228;-&#52392;&#48512;&#54260;&#45908;)v6/&#51648;&#51109;&#47932;&#51060;&#49444;/12_&#50857;&#51648;&#48372;&#49345;%20Risk%20&#54028;&#50501;/&#54364;&#51456;&#49436;/12_&#50857;&#51648;&#48372;&#49345;%20Risk%20&#54028;&#50501;_&#54364;&#51456;&#49436;.html" TargetMode="External" Id="rId34"/><Relationship Type="http://schemas.openxmlformats.org/officeDocument/2006/relationships/hyperlink" Target="&#47588;&#45684;&#50620;BODY(&#51665;&#54665;&#45800;&#44228;-&#52392;&#48512;&#54260;&#45908;)v6/&#51648;&#51109;&#47932;&#51060;&#49444;/12_&#50857;&#51648;&#48372;&#49345;%20Risk%20&#54028;&#50501;/&#49688;&#54665;&#51648;&#52840;/12_&#50857;&#51648;&#48372;&#49345;%20Risk%20&#54028;&#50501;_&#49688;&#54665;&#51648;&#52840;.html" TargetMode="External" Id="rId35"/><Relationship Type="http://schemas.openxmlformats.org/officeDocument/2006/relationships/hyperlink" Target="&#47588;&#45684;&#50620;BODY(&#51665;&#54665;&#45800;&#44228;-&#52392;&#48512;&#54260;&#45908;)v6/&#51648;&#51109;&#47932;&#51060;&#49444;/12_&#50857;&#51648;&#48372;&#49345;%20Risk%20&#54028;&#50501;/&#52404;&#53356;&#47532;&#49828;&#53944;/12_&#50857;&#51648;&#48372;&#49345;%20Risk%20&#54028;&#50501;_&#52404;&#53356;&#47532;&#49828;&#53944;.html" TargetMode="External" Id="rId36"/><Relationship Type="http://schemas.openxmlformats.org/officeDocument/2006/relationships/hyperlink" Target="&#47588;&#45684;&#50620;BODY(&#51665;&#54665;&#45800;&#44228;-&#52392;&#48512;&#54260;&#45908;)v6/&#51648;&#51109;&#47932;&#51060;&#49444;/13_&#44288;&#47532;&#44592;&#44288;(&#47569;&#51008;&#47932;&#49324;&#50629;&#49548;)%20&#54801;&#51032;/&#54364;&#51456;&#49436;/13_&#44288;&#47532;&#44592;&#44288;(&#47569;&#51008;&#47932;&#49324;&#50629;&#49548;)%20&#54801;&#51032;_&#54364;&#51456;&#49436;.html" TargetMode="External" Id="rId37"/><Relationship Type="http://schemas.openxmlformats.org/officeDocument/2006/relationships/hyperlink" Target="&#47588;&#45684;&#50620;BODY(&#51665;&#54665;&#45800;&#44228;-&#52392;&#48512;&#54260;&#45908;)v6/&#51648;&#51109;&#47932;&#51060;&#49444;/13_&#44288;&#47532;&#44592;&#44288;(&#47569;&#51008;&#47932;&#49324;&#50629;&#49548;)%20&#54801;&#51032;/&#49688;&#54665;&#51648;&#52840;/13_&#44288;&#47532;&#44592;&#44288;(&#47569;&#51008;&#47932;&#49324;&#50629;&#49548;)%20&#54801;&#51032;_&#49688;&#54665;&#51648;&#52840;.html" TargetMode="External" Id="rId38"/><Relationship Type="http://schemas.openxmlformats.org/officeDocument/2006/relationships/hyperlink" Target="&#47588;&#45684;&#50620;BODY(&#51665;&#54665;&#45800;&#44228;-&#52392;&#48512;&#54260;&#45908;)v6/&#51648;&#51109;&#47932;&#51060;&#49444;/13_&#44288;&#47532;&#44592;&#44288;(&#47569;&#51008;&#47932;&#49324;&#50629;&#49548;)%20&#54801;&#51032;/&#52404;&#53356;&#47532;&#49828;&#53944;/13_&#44288;&#47532;&#44592;&#44288;(&#47569;&#51008;&#47932;&#49324;&#50629;&#49548;)%20&#54801;&#51032;_&#52404;&#53356;&#47532;&#49828;&#53944;.html" TargetMode="External" Id="rId39"/><Relationship Type="http://schemas.openxmlformats.org/officeDocument/2006/relationships/hyperlink" Target="&#47588;&#45684;&#50620;BODY(&#51665;&#54665;&#45800;&#44228;-&#52392;&#48512;&#54260;&#45908;)v6/&#51648;&#51109;&#47932;&#51060;&#49444;/14_&#50948;&#49688;&#53441;%20&#51648;&#51109;&#47932;%20&#51060;&#49444;%20&#49444;&#44228;/&#54364;&#51456;&#49436;/14_&#50948;&#49688;&#53441;%20&#51648;&#51109;&#47932;%20&#51060;&#49444;%20&#49444;&#44228;_&#54364;&#51456;&#49436;.html" TargetMode="External" Id="rId40"/><Relationship Type="http://schemas.openxmlformats.org/officeDocument/2006/relationships/hyperlink" Target="&#47588;&#45684;&#50620;BODY(&#51665;&#54665;&#45800;&#44228;-&#52392;&#48512;&#54260;&#45908;)v6/&#51648;&#51109;&#47932;&#51060;&#49444;/14_&#50948;&#49688;&#53441;%20&#51648;&#51109;&#47932;%20&#51060;&#49444;%20&#49444;&#44228;/&#49688;&#54665;&#51648;&#52840;/14_&#50948;&#49688;&#53441;%20&#51648;&#51109;&#47932;%20&#51060;&#49444;%20&#49444;&#44228;_&#49688;&#54665;&#51648;&#52840;.html" TargetMode="External" Id="rId41"/><Relationship Type="http://schemas.openxmlformats.org/officeDocument/2006/relationships/hyperlink" Target="&#47588;&#45684;&#50620;BODY(&#51665;&#54665;&#45800;&#44228;-&#52392;&#48512;&#54260;&#45908;)v6/&#51648;&#51109;&#47932;&#51060;&#49444;/14_&#50948;&#49688;&#53441;%20&#51648;&#51109;&#47932;%20&#51060;&#49444;%20&#49444;&#44228;/&#52404;&#53356;&#47532;&#49828;&#53944;/14_&#50948;&#49688;&#53441;%20&#51648;&#51109;&#47932;%20&#51060;&#49444;%20&#49444;&#44228;_&#52404;&#53356;&#47532;&#49828;&#53944;.html" TargetMode="External" Id="rId42"/><Relationship Type="http://schemas.openxmlformats.org/officeDocument/2006/relationships/hyperlink" Target="&#47588;&#45684;&#50620;BODY(&#51665;&#54665;&#45800;&#44228;-&#52392;&#48512;&#54260;&#45908;)v6/&#51648;&#51109;&#47932;&#51060;&#49444;/15_&#49345;&#54616;&#49688;&#46020;%20&#51060;&#49444;&#44228;&#54925;%20&#49892;&#51221;&#48372;&#44256;/&#54364;&#51456;&#49436;/15_&#49345;&#54616;&#49688;&#46020;%20&#51060;&#49444;&#44228;&#54925;%20&#49892;&#51221;&#48372;&#44256;_&#54364;&#51456;&#49436;.html" TargetMode="External" Id="rId43"/><Relationship Type="http://schemas.openxmlformats.org/officeDocument/2006/relationships/hyperlink" Target="&#47588;&#45684;&#50620;BODY(&#51665;&#54665;&#45800;&#44228;-&#52392;&#48512;&#54260;&#45908;)v6/&#51648;&#51109;&#47932;&#51060;&#49444;/15_&#49345;&#54616;&#49688;&#46020;%20&#51060;&#49444;&#44228;&#54925;%20&#49892;&#51221;&#48372;&#44256;/&#49688;&#54665;&#51648;&#52840;/15_&#49345;&#54616;&#49688;&#46020;%20&#51060;&#49444;&#44228;&#54925;%20&#49892;&#51221;&#48372;&#44256;_&#49688;&#54665;&#51648;&#52840;.html" TargetMode="External" Id="rId44"/><Relationship Type="http://schemas.openxmlformats.org/officeDocument/2006/relationships/hyperlink" Target="&#47588;&#45684;&#50620;BODY(&#51665;&#54665;&#45800;&#44228;-&#52392;&#48512;&#54260;&#45908;)v6/&#51648;&#51109;&#47932;&#51060;&#49444;/15_&#49345;&#54616;&#49688;&#46020;%20&#51060;&#49444;&#44228;&#54925;%20&#49892;&#51221;&#48372;&#44256;/&#52404;&#53356;&#47532;&#49828;&#53944;/15_&#49345;&#54616;&#49688;&#46020;%20&#51060;&#49444;&#44228;&#54925;%20&#49892;&#51221;&#48372;&#44256;_&#52404;&#53356;&#47532;&#49828;&#53944;.html" TargetMode="External" Id="rId45"/><Relationship Type="http://schemas.openxmlformats.org/officeDocument/2006/relationships/hyperlink" Target="&#47588;&#45684;&#50620;BODY(&#51665;&#54665;&#45800;&#44228;-&#52392;&#48512;&#54260;&#45908;)v6/&#51648;&#51109;&#47932;&#51060;&#49444;/16_&#50948;&#49688;&#53441;%20&#44228;&#50557;%20&#52404;&#44208;/&#54364;&#51456;&#49436;/16_&#50948;&#49688;&#53441;%20&#44228;&#50557;%20&#52404;&#44208;_&#54364;&#51456;&#49436;.html" TargetMode="External" Id="rId46"/><Relationship Type="http://schemas.openxmlformats.org/officeDocument/2006/relationships/hyperlink" Target="&#47588;&#45684;&#50620;BODY(&#51665;&#54665;&#45800;&#44228;-&#52392;&#48512;&#54260;&#45908;)v6/&#51648;&#51109;&#47932;&#51060;&#49444;/16_&#50948;&#49688;&#53441;%20&#44228;&#50557;%20&#52404;&#44208;/&#49688;&#54665;&#51648;&#52840;/16_&#50948;&#49688;&#53441;%20&#44228;&#50557;%20&#52404;&#44208;_&#49688;&#54665;&#51648;&#52840;.html" TargetMode="External" Id="rId47"/><Relationship Type="http://schemas.openxmlformats.org/officeDocument/2006/relationships/hyperlink" Target="&#47588;&#45684;&#50620;BODY(&#51665;&#54665;&#45800;&#44228;-&#52392;&#48512;&#54260;&#45908;)v6/&#51648;&#51109;&#47932;&#51060;&#49444;/16_&#50948;&#49688;&#53441;%20&#44228;&#50557;%20&#52404;&#44208;/&#52404;&#53356;&#47532;&#49828;&#53944;/16_&#50948;&#49688;&#53441;%20&#44228;&#50557;%20&#52404;&#44208;_&#52404;&#53356;&#47532;&#49828;&#53944;.html" TargetMode="External" Id="rId48"/><Relationship Type="http://schemas.openxmlformats.org/officeDocument/2006/relationships/hyperlink" Target="&#47588;&#45684;&#50620;BODY(&#51665;&#54665;&#45800;&#44228;-&#52392;&#48512;&#54260;&#45908;)v6/&#51648;&#51109;&#47932;&#51060;&#49444;/17_&#46020;&#47196;&#51216;&#50857;_&#44404;&#52265;&#54665;&#50948;%20&#51064;&#54728;&#44032;/&#54364;&#51456;&#49436;/17_&#46020;&#47196;&#51216;&#50857;_&#44404;&#52265;&#54665;&#50948;%20&#51064;&#54728;&#44032;_&#54364;&#51456;&#49436;.html" TargetMode="External" Id="rId49"/><Relationship Type="http://schemas.openxmlformats.org/officeDocument/2006/relationships/hyperlink" Target="&#47588;&#45684;&#50620;BODY(&#51665;&#54665;&#45800;&#44228;-&#52392;&#48512;&#54260;&#45908;)v6/&#51648;&#51109;&#47932;&#51060;&#49444;/17_&#46020;&#47196;&#51216;&#50857;_&#44404;&#52265;&#54665;&#50948;%20&#51064;&#54728;&#44032;/&#49688;&#54665;&#51648;&#52840;/17_&#46020;&#47196;&#51216;&#50857;_&#44404;&#52265;&#54665;&#50948;%20&#51064;&#54728;&#44032;_&#49688;&#54665;&#51648;&#52840;.html" TargetMode="External" Id="rId50"/><Relationship Type="http://schemas.openxmlformats.org/officeDocument/2006/relationships/hyperlink" Target="&#47588;&#45684;&#50620;BODY(&#51665;&#54665;&#45800;&#44228;-&#52392;&#48512;&#54260;&#45908;)v6/&#51648;&#51109;&#47932;&#51060;&#49444;/17_&#46020;&#47196;&#51216;&#50857;_&#44404;&#52265;&#54665;&#50948;%20&#51064;&#54728;&#44032;/&#52404;&#53356;&#47532;&#49828;&#53944;/17_&#46020;&#47196;&#51216;&#50857;_&#44404;&#52265;&#54665;&#50948;%20&#51064;&#54728;&#44032;_&#52404;&#53356;&#47532;&#49828;&#53944;.html" TargetMode="External" Id="rId51"/><Relationship Type="http://schemas.openxmlformats.org/officeDocument/2006/relationships/hyperlink" Target="&#47588;&#45684;&#50620;BODY(&#51665;&#54665;&#45800;&#44228;-&#52392;&#48512;&#54260;&#45908;)v6/&#51648;&#51109;&#47932;&#51060;&#49444;/18_&#44368;&#53685;&#53685;&#51228;%20&#48143;%20&#44368;&#53685;&#50504;&#51204;&#49884;&#49444;%20&#49444;&#52824;/&#54364;&#51456;&#49436;/18_&#44368;&#53685;&#53685;&#51228;%20&#48143;%20&#44368;&#53685;&#50504;&#51204;&#49884;&#49444;%20&#49444;&#52824;_&#54364;&#51456;&#49436;.html" TargetMode="External" Id="rId52"/><Relationship Type="http://schemas.openxmlformats.org/officeDocument/2006/relationships/hyperlink" Target="&#47588;&#45684;&#50620;BODY(&#51665;&#54665;&#45800;&#44228;-&#52392;&#48512;&#54260;&#45908;)v6/&#51648;&#51109;&#47932;&#51060;&#49444;/18_&#44368;&#53685;&#53685;&#51228;%20&#48143;%20&#44368;&#53685;&#50504;&#51204;&#49884;&#49444;%20&#49444;&#52824;/&#49688;&#54665;&#51648;&#52840;/18_&#44368;&#53685;&#53685;&#51228;%20&#48143;%20&#44368;&#53685;&#50504;&#51204;&#49884;&#49444;%20&#49444;&#52824;_&#49688;&#54665;&#51648;&#52840;.html" TargetMode="External" Id="rId53"/><Relationship Type="http://schemas.openxmlformats.org/officeDocument/2006/relationships/hyperlink" Target="&#47588;&#45684;&#50620;BODY(&#51665;&#54665;&#45800;&#44228;-&#52392;&#48512;&#54260;&#45908;)v6/&#51648;&#51109;&#47932;&#51060;&#49444;/18_&#44368;&#53685;&#53685;&#51228;%20&#48143;%20&#44368;&#53685;&#50504;&#51204;&#49884;&#49444;%20&#49444;&#52824;/&#52404;&#53356;&#47532;&#49828;&#53944;/18_&#44368;&#53685;&#53685;&#51228;%20&#48143;%20&#44368;&#53685;&#50504;&#51204;&#49884;&#49444;%20&#49444;&#52824;_&#52404;&#53356;&#47532;&#49828;&#53944;.html" TargetMode="External" Id="rId54"/><Relationship Type="http://schemas.openxmlformats.org/officeDocument/2006/relationships/hyperlink" Target="&#47588;&#45684;&#50620;BODY(&#51665;&#54665;&#45800;&#44228;-&#52392;&#48512;&#54260;&#45908;)v6/&#51648;&#51109;&#47932;&#51060;&#49444;/19_&#51460;&#46384;&#44592;(GPR)&#47484;%20&#53685;&#54620;%20&#44592;&#51316;%20&#51648;&#51109;&#47932;%20&#47588;&#49444;%20&#54869;&#51064;/&#54364;&#51456;&#49436;/19_&#51460;&#46384;&#44592;(GPR)&#47484;%20&#53685;&#54620;%20&#44592;&#51316;%20&#51648;&#51109;&#47932;%20&#47588;&#49444;%20&#54869;&#51064;_&#54364;&#51456;&#49436;.html" TargetMode="External" Id="rId55"/><Relationship Type="http://schemas.openxmlformats.org/officeDocument/2006/relationships/hyperlink" Target="&#47588;&#45684;&#50620;BODY(&#51665;&#54665;&#45800;&#44228;-&#52392;&#48512;&#54260;&#45908;)v6/&#51648;&#51109;&#47932;&#51060;&#49444;/19_&#51460;&#46384;&#44592;(GPR)&#47484;%20&#53685;&#54620;%20&#44592;&#51316;%20&#51648;&#51109;&#47932;%20&#47588;&#49444;%20&#54869;&#51064;/&#49688;&#54665;&#51648;&#52840;/19_&#51460;&#46384;&#44592;(GPR)&#47484;%20&#53685;&#54620;%20&#44592;&#51316;%20&#51648;&#51109;&#47932;%20&#47588;&#49444;%20&#54869;&#51064;_&#49688;&#54665;&#51648;&#52840;.html" TargetMode="External" Id="rId56"/><Relationship Type="http://schemas.openxmlformats.org/officeDocument/2006/relationships/hyperlink" Target="&#47588;&#45684;&#50620;BODY(&#51665;&#54665;&#45800;&#44228;-&#52392;&#48512;&#54260;&#45908;)v6/&#51648;&#51109;&#47932;&#51060;&#49444;/19_&#51460;&#46384;&#44592;(GPR)&#47484;%20&#53685;&#54620;%20&#44592;&#51316;%20&#51648;&#51109;&#47932;%20&#47588;&#49444;%20&#54869;&#51064;/&#52404;&#53356;&#47532;&#49828;&#53944;/19_&#51460;&#46384;&#44592;(GPR)&#47484;%20&#53685;&#54620;%20&#44592;&#51316;%20&#51648;&#51109;&#47932;%20&#47588;&#49444;%20&#54869;&#51064;_&#52404;&#53356;&#47532;&#49828;&#53944;.html" TargetMode="External" Id="rId57"/><Relationship Type="http://schemas.openxmlformats.org/officeDocument/2006/relationships/hyperlink" Target="&#47588;&#45684;&#50620;BODY(&#51665;&#54665;&#45800;&#44228;-&#52392;&#48512;&#54260;&#45908;)v6/&#51648;&#51109;&#47932;&#51060;&#49444;/20_&#51060;&#49444;%20&#50948;&#52824;%20&#53664;&#44277;%20&#44404;&#52265;/&#54364;&#51456;&#49436;/20_&#51060;&#49444;%20&#50948;&#52824;%20&#53664;&#44277;%20&#44404;&#52265;_&#54364;&#51456;&#49436;.html" TargetMode="External" Id="rId58"/><Relationship Type="http://schemas.openxmlformats.org/officeDocument/2006/relationships/hyperlink" Target="&#47588;&#45684;&#50620;BODY(&#51665;&#54665;&#45800;&#44228;-&#52392;&#48512;&#54260;&#45908;)v6/&#51648;&#51109;&#47932;&#51060;&#49444;/20_&#51060;&#49444;%20&#50948;&#52824;%20&#53664;&#44277;%20&#44404;&#52265;/&#49688;&#54665;&#51648;&#52840;/20_&#51060;&#49444;%20&#50948;&#52824;%20&#53664;&#44277;%20&#44404;&#52265;_&#49688;&#54665;&#51648;&#52840;.html" TargetMode="External" Id="rId59"/><Relationship Type="http://schemas.openxmlformats.org/officeDocument/2006/relationships/hyperlink" Target="&#47588;&#45684;&#50620;BODY(&#51665;&#54665;&#45800;&#44228;-&#52392;&#48512;&#54260;&#45908;)v6/&#51648;&#51109;&#47932;&#51060;&#49444;/20_&#51060;&#49444;%20&#50948;&#52824;%20&#53664;&#44277;%20&#44404;&#52265;/&#52404;&#53356;&#47532;&#49828;&#53944;/20_&#51060;&#49444;%20&#50948;&#52824;%20&#53664;&#44277;%20&#44404;&#52265;_&#52404;&#53356;&#47532;&#49828;&#53944;.html" TargetMode="External" Id="rId60"/><Relationship Type="http://schemas.openxmlformats.org/officeDocument/2006/relationships/hyperlink" Target="&#47588;&#45684;&#50620;BODY(&#51665;&#54665;&#45800;&#44228;-&#52392;&#48512;&#54260;&#45908;)v6/&#51648;&#51109;&#47932;&#51060;&#49444;/21_&#49888;&#44508;&#44288;&#47196;%20&#47588;&#49444;%20&#48143;%20&#49444;&#52824;/&#54364;&#51456;&#49436;/21_&#49888;&#44508;&#44288;&#47196;%20&#47588;&#49444;%20&#48143;%20&#49444;&#52824;_&#54364;&#51456;&#49436;.html" TargetMode="External" Id="rId61"/><Relationship Type="http://schemas.openxmlformats.org/officeDocument/2006/relationships/hyperlink" Target="&#47588;&#45684;&#50620;BODY(&#51665;&#54665;&#45800;&#44228;-&#52392;&#48512;&#54260;&#45908;)v6/&#51648;&#51109;&#47932;&#51060;&#49444;/21_&#49888;&#44508;&#44288;&#47196;%20&#47588;&#49444;%20&#48143;%20&#49444;&#52824;/&#49688;&#54665;&#51648;&#52840;/21_&#49888;&#44508;&#44288;&#47196;%20&#47588;&#49444;%20&#48143;%20&#49444;&#52824;_&#49688;&#54665;&#51648;&#52840;.html" TargetMode="External" Id="rId62"/><Relationship Type="http://schemas.openxmlformats.org/officeDocument/2006/relationships/hyperlink" Target="&#47588;&#45684;&#50620;BODY(&#51665;&#54665;&#45800;&#44228;-&#52392;&#48512;&#54260;&#45908;)v6/&#51648;&#51109;&#47932;&#51060;&#49444;/21_&#49888;&#44508;&#44288;&#47196;%20&#47588;&#49444;%20&#48143;%20&#49444;&#52824;/&#52404;&#53356;&#47532;&#49828;&#53944;/21_&#49888;&#44508;&#44288;&#47196;%20&#47588;&#49444;%20&#48143;%20&#49444;&#52824;_&#52404;&#53356;&#47532;&#49828;&#53944;.html" TargetMode="External" Id="rId63"/><Relationship Type="http://schemas.openxmlformats.org/officeDocument/2006/relationships/hyperlink" Target="&#47588;&#45684;&#50620;BODY(&#51665;&#54665;&#45800;&#44228;-&#52392;&#48512;&#54260;&#45908;)v6/&#51648;&#51109;&#47932;&#51060;&#49444;/22_&#47924;&#45800;&#49688;%20&#50672;&#44208;&#51012;%20&#50948;&#54620;%20&#49884;&#49444;%20&#49444;&#52824;/&#54364;&#51456;&#49436;/22_&#47924;&#45800;&#49688;%20&#50672;&#44208;&#51012;%20&#50948;&#54620;%20&#49884;&#49444;%20&#49444;&#52824;_&#54364;&#51456;&#49436;.html" TargetMode="External" Id="rId64"/><Relationship Type="http://schemas.openxmlformats.org/officeDocument/2006/relationships/hyperlink" Target="&#47588;&#45684;&#50620;BODY(&#51665;&#54665;&#45800;&#44228;-&#52392;&#48512;&#54260;&#45908;)v6/&#51648;&#51109;&#47932;&#51060;&#49444;/22_&#47924;&#45800;&#49688;%20&#50672;&#44208;&#51012;%20&#50948;&#54620;%20&#49884;&#49444;%20&#49444;&#52824;/&#49688;&#54665;&#51648;&#52840;/22_&#47924;&#45800;&#49688;%20&#50672;&#44208;&#51012;%20&#50948;&#54620;%20&#49884;&#49444;%20&#49444;&#52824;_&#49688;&#54665;&#51648;&#52840;.html" TargetMode="External" Id="rId65"/><Relationship Type="http://schemas.openxmlformats.org/officeDocument/2006/relationships/hyperlink" Target="&#47588;&#45684;&#50620;BODY(&#51665;&#54665;&#45800;&#44228;-&#52392;&#48512;&#54260;&#45908;)v6/&#51648;&#51109;&#47932;&#51060;&#49444;/22_&#47924;&#45800;&#49688;%20&#50672;&#44208;&#51012;%20&#50948;&#54620;%20&#49884;&#49444;%20&#49444;&#52824;/&#52404;&#53356;&#47532;&#49828;&#53944;/22_&#47924;&#45800;&#49688;%20&#50672;&#44208;&#51012;%20&#50948;&#54620;%20&#49884;&#49444;%20&#49444;&#52824;_&#52404;&#53356;&#47532;&#49828;&#53944;.html" TargetMode="External" Id="rId66"/><Relationship Type="http://schemas.openxmlformats.org/officeDocument/2006/relationships/hyperlink" Target="&#47588;&#45684;&#50620;BODY(&#51665;&#54665;&#45800;&#44228;-&#52392;&#48512;&#54260;&#45908;)v6/&#51648;&#51109;&#47932;&#51060;&#49444;/23_&#49888;&#44508;&#44288;&#47196;%20&#48143;%20&#50672;&#44208;&#44288;&#47196;%20&#51217;&#49549;/&#54364;&#51456;&#49436;/23_&#49888;&#44508;&#44288;&#47196;%20&#48143;%20&#50672;&#44208;&#44288;&#47196;%20&#51217;&#49549;_&#54364;&#51456;&#49436;.html" TargetMode="External" Id="rId67"/><Relationship Type="http://schemas.openxmlformats.org/officeDocument/2006/relationships/hyperlink" Target="&#47588;&#45684;&#50620;BODY(&#51665;&#54665;&#45800;&#44228;-&#52392;&#48512;&#54260;&#45908;)v6/&#51648;&#51109;&#47932;&#51060;&#49444;/23_&#49888;&#44508;&#44288;&#47196;%20&#48143;%20&#50672;&#44208;&#44288;&#47196;%20&#51217;&#49549;/&#49688;&#54665;&#51648;&#52840;/23_&#49888;&#44508;&#44288;&#47196;%20&#48143;%20&#50672;&#44208;&#44288;&#47196;%20&#51217;&#49549;_&#49688;&#54665;&#51648;&#52840;.html" TargetMode="External" Id="rId68"/><Relationship Type="http://schemas.openxmlformats.org/officeDocument/2006/relationships/hyperlink" Target="&#47588;&#45684;&#50620;BODY(&#51665;&#54665;&#45800;&#44228;-&#52392;&#48512;&#54260;&#45908;)v6/&#51648;&#51109;&#47932;&#51060;&#49444;/23_&#49888;&#44508;&#44288;&#47196;%20&#48143;%20&#50672;&#44208;&#44288;&#47196;%20&#51217;&#49549;/&#52404;&#53356;&#47532;&#49828;&#53944;/23_&#49888;&#44508;&#44288;&#47196;%20&#48143;%20&#50672;&#44208;&#44288;&#47196;%20&#51217;&#49549;_&#52404;&#53356;&#47532;&#49828;&#53944;.html" TargetMode="External" Id="rId69"/><Relationship Type="http://schemas.openxmlformats.org/officeDocument/2006/relationships/hyperlink" Target="&#47588;&#45684;&#50620;BODY(&#51665;&#54665;&#45800;&#44228;-&#52392;&#48512;&#54260;&#45908;)v6/&#51648;&#51109;&#47932;&#51060;&#49444;/24_&#44592;&#51316;&#44288;&#47196;%20&#52384;&#44144;%20&#48143;%20&#50896;&#49345;&#48373;&#44396;/&#54364;&#51456;&#49436;/24_&#44592;&#51316;&#44288;&#47196;%20&#52384;&#44144;%20&#48143;%20&#50896;&#49345;&#48373;&#44396;_&#54364;&#51456;&#49436;.html" TargetMode="External" Id="rId70"/><Relationship Type="http://schemas.openxmlformats.org/officeDocument/2006/relationships/hyperlink" Target="&#47588;&#45684;&#50620;BODY(&#51665;&#54665;&#45800;&#44228;-&#52392;&#48512;&#54260;&#45908;)v6/&#51648;&#51109;&#47932;&#51060;&#49444;/24_&#44592;&#51316;&#44288;&#47196;%20&#52384;&#44144;%20&#48143;%20&#50896;&#49345;&#48373;&#44396;/&#49688;&#54665;&#51648;&#52840;/24_&#44592;&#51316;&#44288;&#47196;%20&#52384;&#44144;%20&#48143;%20&#50896;&#49345;&#48373;&#44396;_&#49688;&#54665;&#51648;&#52840;.html" TargetMode="External" Id="rId71"/><Relationship Type="http://schemas.openxmlformats.org/officeDocument/2006/relationships/hyperlink" Target="&#47588;&#45684;&#50620;BODY(&#51665;&#54665;&#45800;&#44228;-&#52392;&#48512;&#54260;&#45908;)v6/&#51648;&#51109;&#47932;&#51060;&#49444;/24_&#44592;&#51316;&#44288;&#47196;%20&#52384;&#44144;%20&#48143;%20&#50896;&#49345;&#48373;&#44396;/&#52404;&#53356;&#47532;&#49828;&#53944;/24_&#44592;&#51316;&#44288;&#47196;%20&#52384;&#44144;%20&#48143;%20&#50896;&#49345;&#48373;&#44396;_&#52404;&#53356;&#47532;&#49828;&#53944;.html" TargetMode="External" Id="rId72"/><Relationship Type="http://schemas.openxmlformats.org/officeDocument/2006/relationships/hyperlink" Target="&#47588;&#45684;&#50620;BODY(&#51665;&#54665;&#45800;&#44228;-&#52392;&#48512;&#54260;&#45908;)v6/&#51648;&#51109;&#47932;&#51060;&#49444;/25_&#44305;&#50669;&#49345;&#49688;&#44288;%20&#51060;&#49444;%20&#44277;&#49324;/&#54364;&#51456;&#49436;/25_&#44305;&#50669;&#49345;&#49688;&#44288;%20&#51060;&#49444;%20&#44277;&#49324;_&#54364;&#51456;&#49436;.html" TargetMode="External" Id="rId73"/><Relationship Type="http://schemas.openxmlformats.org/officeDocument/2006/relationships/hyperlink" Target="&#47588;&#45684;&#50620;BODY(&#51665;&#54665;&#45800;&#44228;-&#52392;&#48512;&#54260;&#45908;)v6/&#51648;&#51109;&#47932;&#51060;&#49444;/25_&#44305;&#50669;&#49345;&#49688;&#44288;%20&#51060;&#49444;%20&#44277;&#49324;/&#49688;&#54665;&#51648;&#52840;/25_&#44305;&#50669;&#49345;&#49688;&#44288;%20&#51060;&#49444;%20&#44277;&#49324;_&#49688;&#54665;&#51648;&#52840;.html" TargetMode="External" Id="rId74"/><Relationship Type="http://schemas.openxmlformats.org/officeDocument/2006/relationships/hyperlink" Target="&#47588;&#45684;&#50620;BODY(&#51665;&#54665;&#45800;&#44228;-&#52392;&#48512;&#54260;&#45908;)v6/&#51648;&#51109;&#47932;&#51060;&#49444;/25_&#44305;&#50669;&#49345;&#49688;&#44288;%20&#51060;&#49444;%20&#44277;&#49324;/&#52404;&#53356;&#47532;&#49828;&#53944;/25_&#44305;&#50669;&#49345;&#49688;&#44288;%20&#51060;&#49444;%20&#44277;&#49324;_&#52404;&#53356;&#47532;&#49828;&#53944;.html" TargetMode="External" Id="rId75"/><Relationship Type="http://schemas.openxmlformats.org/officeDocument/2006/relationships/hyperlink" Target="&#47588;&#45684;&#50620;BODY(&#51665;&#54665;&#45800;&#44228;-&#52392;&#48512;&#54260;&#45908;)v6/&#51648;&#51109;&#47932;&#51060;&#49444;/26_&#49345;&#49688;&#46020;%20&#44288;&#47196;%20&#51060;&#49444;%20&#44277;&#49324;/&#54364;&#51456;&#49436;/26_&#49345;&#49688;&#46020;%20&#44288;&#47196;%20&#51060;&#49444;%20&#44277;&#49324;_&#54364;&#51456;&#49436;.html" TargetMode="External" Id="rId76"/><Relationship Type="http://schemas.openxmlformats.org/officeDocument/2006/relationships/hyperlink" Target="&#47588;&#45684;&#50620;BODY(&#51665;&#54665;&#45800;&#44228;-&#52392;&#48512;&#54260;&#45908;)v6/&#51648;&#51109;&#47932;&#51060;&#49444;/26_&#49345;&#49688;&#46020;%20&#44288;&#47196;%20&#51060;&#49444;%20&#44277;&#49324;/&#49688;&#54665;&#51648;&#52840;/26_&#49345;&#49688;&#46020;%20&#44288;&#47196;%20&#51060;&#49444;%20&#44277;&#49324;_&#49688;&#54665;&#51648;&#52840;.html" TargetMode="External" Id="rId77"/><Relationship Type="http://schemas.openxmlformats.org/officeDocument/2006/relationships/hyperlink" Target="&#47588;&#45684;&#50620;BODY(&#51665;&#54665;&#45800;&#44228;-&#52392;&#48512;&#54260;&#45908;)v6/&#51648;&#51109;&#47932;&#51060;&#49444;/26_&#49345;&#49688;&#46020;%20&#44288;&#47196;%20&#51060;&#49444;%20&#44277;&#49324;/&#52404;&#53356;&#47532;&#49828;&#53944;/26_&#49345;&#49688;&#46020;%20&#44288;&#47196;%20&#51060;&#49444;%20&#44277;&#49324;_&#52404;&#53356;&#47532;&#49828;&#53944;.html" TargetMode="External" Id="rId78"/><Relationship Type="http://schemas.openxmlformats.org/officeDocument/2006/relationships/hyperlink" Target="&#47588;&#45684;&#50620;BODY(&#51665;&#54665;&#45800;&#44228;-&#52392;&#48512;&#54260;&#45908;)v6/&#51648;&#51109;&#47932;&#51060;&#49444;/27_&#54616;&#49688;&#46020;%20&#44288;&#47196;%20&#51060;&#49444;%20&#44277;&#49324;/&#54364;&#51456;&#49436;/27_&#54616;&#49688;&#46020;%20&#44288;&#47196;%20&#51060;&#49444;%20&#44277;&#49324;_&#54364;&#51456;&#49436;.html" TargetMode="External" Id="rId79"/><Relationship Type="http://schemas.openxmlformats.org/officeDocument/2006/relationships/hyperlink" Target="&#47588;&#45684;&#50620;BODY(&#51665;&#54665;&#45800;&#44228;-&#52392;&#48512;&#54260;&#45908;)v6/&#51648;&#51109;&#47932;&#51060;&#49444;/27_&#54616;&#49688;&#46020;%20&#44288;&#47196;%20&#51060;&#49444;%20&#44277;&#49324;/&#49688;&#54665;&#51648;&#52840;/27_&#54616;&#49688;&#46020;%20&#44288;&#47196;%20&#51060;&#49444;%20&#44277;&#49324;_&#49688;&#54665;&#51648;&#52840;.html" TargetMode="External" Id="rId80"/><Relationship Type="http://schemas.openxmlformats.org/officeDocument/2006/relationships/hyperlink" Target="&#47588;&#45684;&#50620;BODY(&#51665;&#54665;&#45800;&#44228;-&#52392;&#48512;&#54260;&#45908;)v6/&#51648;&#51109;&#47932;&#51060;&#49444;/27_&#54616;&#49688;&#46020;%20&#44288;&#47196;%20&#51060;&#49444;%20&#44277;&#49324;/&#52404;&#53356;&#47532;&#49828;&#53944;/27_&#54616;&#49688;&#46020;%20&#44288;&#47196;%20&#51060;&#49444;%20&#44277;&#49324;_&#52404;&#53356;&#47532;&#49828;&#53944;.html" TargetMode="External" Id="rId81"/><Relationship Type="http://schemas.openxmlformats.org/officeDocument/2006/relationships/hyperlink" Target="&#47588;&#45684;&#50620;BODY(&#51665;&#54665;&#45800;&#44228;-&#52392;&#48512;&#54260;&#45908;)v6/&#51648;&#51109;&#47932;&#51060;&#49444;/28_&#46020;&#49884;&#44032;&#49828;&#44288;%20&#51060;&#49444;%20&#44277;&#49324;/&#54364;&#51456;&#49436;/28_&#46020;&#49884;&#44032;&#49828;&#44288;%20&#51060;&#49444;%20&#44277;&#49324;_&#54364;&#51456;&#49436;.html" TargetMode="External" Id="rId82"/><Relationship Type="http://schemas.openxmlformats.org/officeDocument/2006/relationships/hyperlink" Target="&#47588;&#45684;&#50620;BODY(&#51665;&#54665;&#45800;&#44228;-&#52392;&#48512;&#54260;&#45908;)v6/&#51648;&#51109;&#47932;&#51060;&#49444;/28_&#46020;&#49884;&#44032;&#49828;&#44288;%20&#51060;&#49444;%20&#44277;&#49324;/&#49688;&#54665;&#51648;&#52840;/28_&#46020;&#49884;&#44032;&#49828;&#44288;%20&#51060;&#49444;%20&#44277;&#49324;_&#49688;&#54665;&#51648;&#52840;.html" TargetMode="External" Id="rId83"/><Relationship Type="http://schemas.openxmlformats.org/officeDocument/2006/relationships/hyperlink" Target="&#47588;&#45684;&#50620;BODY(&#51665;&#54665;&#45800;&#44228;-&#52392;&#48512;&#54260;&#45908;)v6/&#51648;&#51109;&#47932;&#51060;&#49444;/28_&#46020;&#49884;&#44032;&#49828;&#44288;%20&#51060;&#49444;%20&#44277;&#49324;/&#52404;&#53356;&#47532;&#49828;&#53944;/28_&#46020;&#49884;&#44032;&#49828;&#44288;%20&#51060;&#49444;%20&#44277;&#49324;_&#52404;&#53356;&#47532;&#49828;&#53944;.html" TargetMode="External" Id="rId84"/><Relationship Type="http://schemas.openxmlformats.org/officeDocument/2006/relationships/hyperlink" Target="&#47588;&#45684;&#50620;BODY(&#51665;&#54665;&#45800;&#44228;-&#52392;&#48512;&#54260;&#45908;)v6/&#51648;&#51109;&#47932;&#51060;&#49444;/29_&#51648;&#50669;&#45212;&#48169;&#44288;%20&#51060;&#49444;%20&#44277;&#49324;/&#54364;&#51456;&#49436;/29_&#51648;&#50669;&#45212;&#48169;&#44288;%20&#51060;&#49444;%20&#44277;&#49324;_&#54364;&#51456;&#49436;.html" TargetMode="External" Id="rId85"/><Relationship Type="http://schemas.openxmlformats.org/officeDocument/2006/relationships/hyperlink" Target="&#47588;&#45684;&#50620;BODY(&#51665;&#54665;&#45800;&#44228;-&#52392;&#48512;&#54260;&#45908;)v6/&#51648;&#51109;&#47932;&#51060;&#49444;/29_&#51648;&#50669;&#45212;&#48169;&#44288;%20&#51060;&#49444;%20&#44277;&#49324;/&#49688;&#54665;&#51648;&#52840;/29_&#51648;&#50669;&#45212;&#48169;&#44288;%20&#51060;&#49444;%20&#44277;&#49324;_&#49688;&#54665;&#51648;&#52840;.html" TargetMode="External" Id="rId86"/><Relationship Type="http://schemas.openxmlformats.org/officeDocument/2006/relationships/hyperlink" Target="&#47588;&#45684;&#50620;BODY(&#51665;&#54665;&#45800;&#44228;-&#52392;&#48512;&#54260;&#45908;)v6/&#51648;&#51109;&#47932;&#51060;&#49444;/29_&#51648;&#50669;&#45212;&#48169;&#44288;%20&#51060;&#49444;%20&#44277;&#49324;/&#52404;&#53356;&#47532;&#49828;&#53944;/29_&#51648;&#50669;&#45212;&#48169;&#44288;%20&#51060;&#49444;%20&#44277;&#49324;_&#52404;&#53356;&#47532;&#49828;&#53944;.html" TargetMode="External" Id="rId87"/><Relationship Type="http://schemas.openxmlformats.org/officeDocument/2006/relationships/hyperlink" Target="&#47588;&#45684;&#50620;BODY(&#51665;&#54665;&#45800;&#44228;-&#52392;&#48512;&#54260;&#45908;)v6/&#51648;&#51109;&#47932;&#51060;&#49444;/30_&#53685;&#49888;&#44288;&#47196;%20&#48143;%20&#52992;&#51060;&#48660;%20&#51060;&#49444;%20&#44277;&#49324;/&#54364;&#51456;&#49436;/30_&#53685;&#49888;&#44288;&#47196;%20&#48143;%20&#52992;&#51060;&#48660;%20&#51060;&#49444;%20&#44277;&#49324;_&#54364;&#51456;&#49436;.html" TargetMode="External" Id="rId88"/><Relationship Type="http://schemas.openxmlformats.org/officeDocument/2006/relationships/hyperlink" Target="&#47588;&#45684;&#50620;BODY(&#51665;&#54665;&#45800;&#44228;-&#52392;&#48512;&#54260;&#45908;)v6/&#51648;&#51109;&#47932;&#51060;&#49444;/30_&#53685;&#49888;&#44288;&#47196;%20&#48143;%20&#52992;&#51060;&#48660;%20&#51060;&#49444;%20&#44277;&#49324;/&#49688;&#54665;&#51648;&#52840;/30_&#53685;&#49888;&#44288;&#47196;%20&#48143;%20&#52992;&#51060;&#48660;%20&#51060;&#49444;%20&#44277;&#49324;_&#49688;&#54665;&#51648;&#52840;.html" TargetMode="External" Id="rId89"/><Relationship Type="http://schemas.openxmlformats.org/officeDocument/2006/relationships/hyperlink" Target="&#47588;&#45684;&#50620;BODY(&#51665;&#54665;&#45800;&#44228;-&#52392;&#48512;&#54260;&#45908;)v6/&#51648;&#51109;&#47932;&#51060;&#49444;/30_&#53685;&#49888;&#44288;&#47196;%20&#48143;%20&#52992;&#51060;&#48660;%20&#51060;&#49444;%20&#44277;&#49324;/&#52404;&#53356;&#47532;&#49828;&#53944;/30_&#53685;&#49888;&#44288;&#47196;%20&#48143;%20&#52992;&#51060;&#48660;%20&#51060;&#49444;%20&#44277;&#49324;_&#52404;&#53356;&#47532;&#49828;&#53944;.html" TargetMode="External" Id="rId90"/><Relationship Type="http://schemas.openxmlformats.org/officeDocument/2006/relationships/hyperlink" Target="&#47588;&#45684;&#50620;BODY(&#51665;&#54665;&#45800;&#44228;-&#52392;&#48512;&#54260;&#45908;)v6/&#51648;&#51109;&#47932;&#51060;&#49444;/31_&#53945;&#44256;&#50517;%20&#51204;&#47141;&#44288;&#47196;%20&#51060;&#49444;%20&#44277;&#49324;/&#54364;&#51456;&#49436;/31_&#53945;&#44256;&#50517;%20&#51204;&#47141;&#44288;&#47196;%20&#51060;&#49444;%20&#44277;&#49324;_&#54364;&#51456;&#49436;.html" TargetMode="External" Id="rId91"/><Relationship Type="http://schemas.openxmlformats.org/officeDocument/2006/relationships/hyperlink" Target="&#47588;&#45684;&#50620;BODY(&#51665;&#54665;&#45800;&#44228;-&#52392;&#48512;&#54260;&#45908;)v6/&#51648;&#51109;&#47932;&#51060;&#49444;/31_&#53945;&#44256;&#50517;%20&#51204;&#47141;&#44288;&#47196;%20&#51060;&#49444;%20&#44277;&#49324;/&#49688;&#54665;&#51648;&#52840;/31_&#53945;&#44256;&#50517;%20&#51204;&#47141;&#44288;&#47196;%20&#51060;&#49444;%20&#44277;&#49324;_&#49688;&#54665;&#51648;&#52840;.html" TargetMode="External" Id="rId92"/><Relationship Type="http://schemas.openxmlformats.org/officeDocument/2006/relationships/hyperlink" Target="&#47588;&#45684;&#50620;BODY(&#51665;&#54665;&#45800;&#44228;-&#52392;&#48512;&#54260;&#45908;)v6/&#51648;&#51109;&#47932;&#51060;&#49444;/31_&#53945;&#44256;&#50517;%20&#51204;&#47141;&#44288;&#47196;%20&#51060;&#49444;%20&#44277;&#49324;/&#52404;&#53356;&#47532;&#49828;&#53944;/31_&#53945;&#44256;&#50517;%20&#51204;&#47141;&#44288;&#47196;%20&#51060;&#49444;%20&#44277;&#49324;_&#52404;&#53356;&#47532;&#49828;&#53944;.html" TargetMode="External" Id="rId93"/><Relationship Type="http://schemas.openxmlformats.org/officeDocument/2006/relationships/hyperlink" Target="&#47588;&#45684;&#50620;BODY(&#51665;&#54665;&#45800;&#44228;-&#52392;&#48512;&#54260;&#45908;)v6/&#51648;&#51109;&#47932;&#51060;&#49444;/33_&#49345;&#54616;&#49688;&#46020;%20&#51060;&#49444;%20&#49884;&#44277;%20&#52572;&#51333;%20&#51216;&#44160;/&#54364;&#51456;&#49436;/33_&#49345;&#54616;&#49688;&#46020;%20&#51060;&#49444;%20&#49884;&#44277;%20&#52572;&#51333;%20&#51216;&#44160;_&#54364;&#51456;&#49436;.html" TargetMode="External" Id="rId94"/><Relationship Type="http://schemas.openxmlformats.org/officeDocument/2006/relationships/hyperlink" Target="&#47588;&#45684;&#50620;BODY(&#51665;&#54665;&#45800;&#44228;-&#52392;&#48512;&#54260;&#45908;)v6/&#51648;&#51109;&#47932;&#51060;&#49444;/33_&#49345;&#54616;&#49688;&#46020;%20&#51060;&#49444;%20&#49884;&#44277;%20&#52572;&#51333;%20&#51216;&#44160;/&#49688;&#54665;&#51648;&#52840;/33_&#49345;&#54616;&#49688;&#46020;%20&#51060;&#49444;%20&#49884;&#44277;%20&#52572;&#51333;%20&#51216;&#44160;_&#49688;&#54665;&#51648;&#52840;.html" TargetMode="External" Id="rId95"/><Relationship Type="http://schemas.openxmlformats.org/officeDocument/2006/relationships/hyperlink" Target="&#47588;&#45684;&#50620;BODY(&#51665;&#54665;&#45800;&#44228;-&#52392;&#48512;&#54260;&#45908;)v6/&#51648;&#51109;&#47932;&#51060;&#49444;/33_&#49345;&#54616;&#49688;&#46020;%20&#51060;&#49444;%20&#49884;&#44277;%20&#52572;&#51333;%20&#51216;&#44160;/&#52404;&#53356;&#47532;&#49828;&#53944;/33_&#49345;&#54616;&#49688;&#46020;%20&#51060;&#49444;%20&#49884;&#44277;%20&#52572;&#51333;%20&#51216;&#44160;_&#52404;&#53356;&#47532;&#49828;&#53944;.html" TargetMode="External" Id="rId96"/><Relationship Type="http://schemas.openxmlformats.org/officeDocument/2006/relationships/hyperlink" Target="&#47588;&#45684;&#50620;BODY(&#51665;&#54665;&#45800;&#44228;-&#52392;&#48512;&#54260;&#45908;)v6/&#51648;&#51109;&#47932;&#51060;&#49444;/34_&#50948;&#49688;&#53441;%20&#51648;&#54616;&#51648;&#51109;&#47932;%20&#51060;&#49444;%20&#52572;&#51333;%20&#51216;&#44160;/&#54364;&#51456;&#49436;/34_&#50948;&#49688;&#53441;%20&#51648;&#54616;&#51648;&#51109;&#47932;%20&#51060;&#49444;%20&#52572;&#51333;%20&#51216;&#44160;_&#54364;&#51456;&#49436;.html" TargetMode="External" Id="rId97"/><Relationship Type="http://schemas.openxmlformats.org/officeDocument/2006/relationships/hyperlink" Target="&#47588;&#45684;&#50620;BODY(&#51665;&#54665;&#45800;&#44228;-&#52392;&#48512;&#54260;&#45908;)v6/&#51648;&#51109;&#47932;&#51060;&#49444;/34_&#50948;&#49688;&#53441;%20&#51648;&#54616;&#51648;&#51109;&#47932;%20&#51060;&#49444;%20&#52572;&#51333;%20&#51216;&#44160;/&#49688;&#54665;&#51648;&#52840;/34_&#50948;&#49688;&#53441;%20&#51648;&#54616;&#51648;&#51109;&#47932;%20&#51060;&#49444;%20&#52572;&#51333;%20&#51216;&#44160;_&#49688;&#54665;&#51648;&#52840;.html" TargetMode="External" Id="rId98"/><Relationship Type="http://schemas.openxmlformats.org/officeDocument/2006/relationships/hyperlink" Target="&#47588;&#45684;&#50620;BODY(&#51665;&#54665;&#45800;&#44228;-&#52392;&#48512;&#54260;&#45908;)v6/&#51648;&#51109;&#47932;&#51060;&#49444;/34_&#50948;&#49688;&#53441;%20&#51648;&#54616;&#51648;&#51109;&#47932;%20&#51060;&#49444;%20&#52572;&#51333;%20&#51216;&#44160;/&#52404;&#53356;&#47532;&#49828;&#53944;/34_&#50948;&#49688;&#53441;%20&#51648;&#54616;&#51648;&#51109;&#47932;%20&#51060;&#49444;%20&#52572;&#51333;%20&#51216;&#44160;_&#52404;&#53356;&#47532;&#49828;&#53944;.html" TargetMode="External" Id="rId99"/><Relationship Type="http://schemas.openxmlformats.org/officeDocument/2006/relationships/hyperlink" Target="&#47588;&#45684;&#50620;BODY(&#51665;&#54665;&#45800;&#44228;-&#52392;&#48512;&#54260;&#45908;)v6/&#51648;&#51109;&#47932;&#51060;&#49444;/35_&#49345;&#54616;&#49688;&#46020;%20&#51060;&#49444;%20&#51221;&#49328;%20&#44552;&#50529;%20&#44160;&#53664;/&#54364;&#51456;&#49436;/35_&#49345;&#54616;&#49688;&#46020;%20&#51060;&#49444;%20&#51221;&#49328;%20&#44552;&#50529;%20&#44160;&#53664;_&#54364;&#51456;&#49436;.html" TargetMode="External" Id="rId100"/><Relationship Type="http://schemas.openxmlformats.org/officeDocument/2006/relationships/hyperlink" Target="&#47588;&#45684;&#50620;BODY(&#51665;&#54665;&#45800;&#44228;-&#52392;&#48512;&#54260;&#45908;)v6/&#51648;&#51109;&#47932;&#51060;&#49444;/35_&#49345;&#54616;&#49688;&#46020;%20&#51060;&#49444;%20&#51221;&#49328;%20&#44552;&#50529;%20&#44160;&#53664;/&#49688;&#54665;&#51648;&#52840;/35_&#49345;&#54616;&#49688;&#46020;%20&#51060;&#49444;%20&#51221;&#49328;%20&#44552;&#50529;%20&#44160;&#53664;_&#49688;&#54665;&#51648;&#52840;.html" TargetMode="External" Id="rId101"/><Relationship Type="http://schemas.openxmlformats.org/officeDocument/2006/relationships/hyperlink" Target="&#47588;&#45684;&#50620;BODY(&#51665;&#54665;&#45800;&#44228;-&#52392;&#48512;&#54260;&#45908;)v6/&#51648;&#51109;&#47932;&#51060;&#49444;/35_&#49345;&#54616;&#49688;&#46020;%20&#51060;&#49444;%20&#51221;&#49328;%20&#44552;&#50529;%20&#44160;&#53664;/&#52404;&#53356;&#47532;&#49828;&#53944;/35_&#49345;&#54616;&#49688;&#46020;%20&#51060;&#49444;%20&#51221;&#49328;%20&#44552;&#50529;%20&#44160;&#53664;_&#52404;&#53356;&#47532;&#49828;&#53944;.html" TargetMode="External" Id="rId102"/><Relationship Type="http://schemas.openxmlformats.org/officeDocument/2006/relationships/hyperlink" Target="&#47588;&#45684;&#50620;BODY(&#51665;&#54665;&#45800;&#44228;-&#52392;&#48512;&#54260;&#45908;)v6/&#51648;&#51109;&#47932;&#51060;&#49444;/36_&#50948;&#49688;&#53441;%20&#52376;&#47532;%20&#51221;&#49328;&#44552;&#50529;%20&#51648;&#44553;/&#54364;&#51456;&#49436;/36_&#50948;&#49688;&#53441;%20&#52376;&#47532;%20&#51221;&#49328;&#44552;&#50529;%20&#51648;&#44553;_&#54364;&#51456;&#49436;.html" TargetMode="External" Id="rId103"/><Relationship Type="http://schemas.openxmlformats.org/officeDocument/2006/relationships/hyperlink" Target="&#47588;&#45684;&#50620;BODY(&#51665;&#54665;&#45800;&#44228;-&#52392;&#48512;&#54260;&#45908;)v6/&#51648;&#51109;&#47932;&#51060;&#49444;/36_&#50948;&#49688;&#53441;%20&#52376;&#47532;%20&#51221;&#49328;&#44552;&#50529;%20&#51648;&#44553;/&#49688;&#54665;&#51648;&#52840;/36_&#50948;&#49688;&#53441;%20&#52376;&#47532;%20&#51221;&#49328;&#44552;&#50529;%20&#51648;&#44553;_&#49688;&#54665;&#51648;&#52840;.html" TargetMode="External" Id="rId104"/><Relationship Type="http://schemas.openxmlformats.org/officeDocument/2006/relationships/hyperlink" Target="&#47588;&#45684;&#50620;BODY(&#51665;&#54665;&#45800;&#44228;-&#52392;&#48512;&#54260;&#45908;)v6/&#51648;&#51109;&#47932;&#51060;&#49444;/36_&#50948;&#49688;&#53441;%20&#52376;&#47532;%20&#51221;&#49328;&#44552;&#50529;%20&#51648;&#44553;/&#52404;&#53356;&#47532;&#49828;&#53944;/36_&#50948;&#49688;&#53441;%20&#52376;&#47532;%20&#51221;&#49328;&#44552;&#50529;%20&#51648;&#44553;_&#52404;&#53356;&#47532;&#49828;&#53944;.html" TargetMode="External" Id="rId105"/><Relationship Type="http://schemas.openxmlformats.org/officeDocument/2006/relationships/hyperlink" Target="&#47588;&#45684;&#50620;BODY(&#51665;&#54665;&#45800;&#44228;-&#52392;&#48512;&#54260;&#45908;)v6/&#51648;&#51109;&#47932;&#51060;&#49444;/37_&#46020;&#44553;&#51088;&#48516;_&#50948;&#49688;&#53441;&#48516;%20&#49444;&#44228;&#48320;&#44221;%20&#51221;&#49328;/&#54364;&#51456;&#49436;/37_&#46020;&#44553;&#51088;&#48516;_&#50948;&#49688;&#53441;&#48516;%20&#49444;&#44228;&#48320;&#44221;%20&#51221;&#49328;_&#54364;&#51456;&#49436;.html" TargetMode="External" Id="rId106"/><Relationship Type="http://schemas.openxmlformats.org/officeDocument/2006/relationships/hyperlink" Target="&#47588;&#45684;&#50620;BODY(&#51665;&#54665;&#45800;&#44228;-&#52392;&#48512;&#54260;&#45908;)v6/&#51648;&#51109;&#47932;&#51060;&#49444;/37_&#46020;&#44553;&#51088;&#48516;_&#50948;&#49688;&#53441;&#48516;%20&#49444;&#44228;&#48320;&#44221;%20&#51221;&#49328;/&#49688;&#54665;&#51648;&#52840;/37_&#46020;&#44553;&#51088;&#48516;_&#50948;&#49688;&#53441;&#48516;%20&#49444;&#44228;&#48320;&#44221;%20&#51221;&#49328;_&#49688;&#54665;&#51648;&#52840;.html" TargetMode="External" Id="rId107"/><Relationship Type="http://schemas.openxmlformats.org/officeDocument/2006/relationships/hyperlink" Target="&#47588;&#45684;&#50620;BODY(&#51665;&#54665;&#45800;&#44228;-&#52392;&#48512;&#54260;&#45908;)v6/&#51648;&#51109;&#47932;&#51060;&#49444;/37_&#46020;&#44553;&#51088;&#48516;_&#50948;&#49688;&#53441;&#48516;%20&#49444;&#44228;&#48320;&#44221;%20&#51221;&#49328;/&#52404;&#53356;&#47532;&#49828;&#53944;/37_&#46020;&#44553;&#51088;&#48516;_&#50948;&#49688;&#53441;&#48516;%20&#49444;&#44228;&#48320;&#44221;%20&#51221;&#49328;_&#52404;&#53356;&#47532;&#49828;&#53944;.html" TargetMode="External" Id="rId108"/><Relationship Type="http://schemas.openxmlformats.org/officeDocument/2006/relationships/hyperlink" Target="&#47588;&#45684;&#50620;BODY(&#51665;&#54665;&#45800;&#44228;-&#52392;&#48512;&#54260;&#45908;)v6/&#51648;&#51109;&#47932;&#51060;&#49444;/38_&#44277;&#49324;&#51204;%20&#49440;&#54665;&#44277;&#51333;&#50640;&#49436;%20&#51064;&#49688;&#48155;&#51012;%20&#49324;&#54637;/&#54364;&#51456;&#49436;/38_&#44277;&#49324;&#51204;%20&#49440;&#54665;&#44277;&#51333;&#50640;&#49436;%20&#51064;&#49688;&#48155;&#51012;%20&#49324;&#54637;_&#54364;&#51456;&#49436;.html" TargetMode="External" Id="rId109"/><Relationship Type="http://schemas.openxmlformats.org/officeDocument/2006/relationships/hyperlink" Target="&#47588;&#45684;&#50620;BODY(&#51665;&#54665;&#45800;&#44228;-&#52392;&#48512;&#54260;&#45908;)v6/&#51648;&#51109;&#47932;&#51060;&#49444;/38_&#44277;&#49324;&#51204;%20&#49440;&#54665;&#44277;&#51333;&#50640;&#49436;%20&#51064;&#49688;&#48155;&#51012;%20&#49324;&#54637;/&#49688;&#54665;&#51648;&#52840;/38_&#44277;&#49324;&#51204;%20&#49440;&#54665;&#44277;&#51333;&#50640;&#49436;%20&#51064;&#49688;&#48155;&#51012;%20&#49324;&#54637;_&#49688;&#54665;&#51648;&#52840;.html" TargetMode="External" Id="rId110"/><Relationship Type="http://schemas.openxmlformats.org/officeDocument/2006/relationships/hyperlink" Target="&#47588;&#45684;&#50620;BODY(&#51665;&#54665;&#45800;&#44228;-&#52392;&#48512;&#54260;&#45908;)v6/&#51648;&#51109;&#47932;&#51060;&#49444;/38_&#44277;&#49324;&#51204;%20&#49440;&#54665;&#44277;&#51333;&#50640;&#49436;%20&#51064;&#49688;&#48155;&#51012;%20&#49324;&#54637;/&#52404;&#53356;&#47532;&#49828;&#53944;/38_&#44277;&#49324;&#51204;%20&#49440;&#54665;&#44277;&#51333;&#50640;&#49436;%20&#51064;&#49688;&#48155;&#51012;%20&#49324;&#54637;_&#52404;&#53356;&#47532;&#49828;&#53944;.html" TargetMode="External" Id="rId111"/><Relationship Type="http://schemas.openxmlformats.org/officeDocument/2006/relationships/hyperlink" Target="&#47588;&#45684;&#50620;BODY(&#51665;&#54665;&#45800;&#44228;-&#52392;&#48512;&#54260;&#45908;)v6/&#51648;&#51109;&#47932;&#51060;&#49444;/39_&#44277;&#49324;&#51473;%20&#52313;&#44200;&#50556;&#54624;%20&#54980;&#54665;&#44277;&#51333;&#51032;%20&#50836;&#44396;&#49324;&#54637;/&#54364;&#51456;&#49436;/39_&#44277;&#49324;&#51473;%20&#52313;&#44200;&#50556;&#54624;%20&#54980;&#54665;&#44277;&#51333;&#51032;%20&#50836;&#44396;&#49324;&#54637;_&#54364;&#51456;&#49436;.html" TargetMode="External" Id="rId112"/><Relationship Type="http://schemas.openxmlformats.org/officeDocument/2006/relationships/hyperlink" Target="&#47588;&#45684;&#50620;BODY(&#51665;&#54665;&#45800;&#44228;-&#52392;&#48512;&#54260;&#45908;)v6/&#51648;&#51109;&#47932;&#51060;&#49444;/39_&#44277;&#49324;&#51473;%20&#52313;&#44200;&#50556;&#54624;%20&#54980;&#54665;&#44277;&#51333;&#51032;%20&#50836;&#44396;&#49324;&#54637;/&#49688;&#54665;&#51648;&#52840;/39_&#44277;&#49324;&#51473;%20&#52313;&#44200;&#50556;&#54624;%20&#54980;&#54665;&#44277;&#51333;&#51032;%20&#50836;&#44396;&#49324;&#54637;_&#49688;&#54665;&#51648;&#52840;.html" TargetMode="External" Id="rId113"/><Relationship Type="http://schemas.openxmlformats.org/officeDocument/2006/relationships/hyperlink" Target="&#47588;&#45684;&#50620;BODY(&#51665;&#54665;&#45800;&#44228;-&#52392;&#48512;&#54260;&#45908;)v6/&#51648;&#51109;&#47932;&#51060;&#49444;/39_&#44277;&#49324;&#51473;%20&#52313;&#44200;&#50556;&#54624;%20&#54980;&#54665;&#44277;&#51333;&#51032;%20&#50836;&#44396;&#49324;&#54637;/&#52404;&#53356;&#47532;&#49828;&#53944;/39_&#44277;&#49324;&#51473;%20&#52313;&#44200;&#50556;&#54624;%20&#54980;&#54665;&#44277;&#51333;&#51032;%20&#50836;&#44396;&#49324;&#54637;_&#52404;&#53356;&#47532;&#49828;&#53944;.html" TargetMode="External" Id="rId114"/></Relationships>
</file>

<file path=xl/worksheets/_rels/sheet7.xml.rels><Relationships xmlns="http://schemas.openxmlformats.org/package/2006/relationships"><Relationship Type="http://schemas.openxmlformats.org/officeDocument/2006/relationships/hyperlink" Target="&#47588;&#45684;&#50620;BODY(&#51665;&#54665;&#45800;&#44228;-&#52392;&#48512;&#54260;&#45908;)v6/&#49345;&#48512;&#44053;&#54868;&#45432;&#48152;/1_&#51648;&#48152;&#51312;&#49324;%20&#49345;&#49464;&#44160;&#53664;/&#54364;&#51456;&#49436;/1_&#51648;&#48152;&#51312;&#49324;%20&#49345;&#49464;&#44160;&#53664;_&#54364;&#51456;&#49436;.html" TargetMode="External" Id="rId1"/><Relationship Type="http://schemas.openxmlformats.org/officeDocument/2006/relationships/hyperlink" Target="&#47588;&#45684;&#50620;BODY(&#51665;&#54665;&#45800;&#44228;-&#52392;&#48512;&#54260;&#45908;)v6/&#49345;&#48512;&#44053;&#54868;&#45432;&#48152;/1_&#51648;&#48152;&#51312;&#49324;%20&#49345;&#49464;&#44160;&#53664;/&#49688;&#54665;&#51648;&#52840;/1_&#51648;&#48152;&#51312;&#49324;%20&#49345;&#49464;&#44160;&#53664;_&#49688;&#54665;&#51648;&#52840;.html" TargetMode="External" Id="rId2"/><Relationship Type="http://schemas.openxmlformats.org/officeDocument/2006/relationships/hyperlink" Target="&#47588;&#45684;&#50620;BODY(&#51665;&#54665;&#45800;&#44228;-&#52392;&#48512;&#54260;&#45908;)v6/&#49345;&#48512;&#44053;&#54868;&#45432;&#48152;/1_&#51648;&#48152;&#51312;&#49324;%20&#49345;&#49464;&#44160;&#53664;/&#52404;&#53356;&#47532;&#49828;&#53944;/1_&#51648;&#48152;&#51312;&#49324;%20&#49345;&#49464;&#44160;&#53664;_&#52404;&#53356;&#47532;&#49828;&#53944;.html" TargetMode="External" Id="rId3"/><Relationship Type="http://schemas.openxmlformats.org/officeDocument/2006/relationships/hyperlink" Target="&#47588;&#45684;&#50620;BODY(&#51665;&#54665;&#45800;&#44228;-&#52392;&#48512;&#54260;&#45908;)v6/&#49345;&#48512;&#44053;&#54868;&#45432;&#48152;/2_&#48156;&#51452;&#51204;&#47029;%20KOM/&#54364;&#51456;&#49436;/&#48156;&#51452;&#51204;&#47029;%20KOM_&#54364;&#51456;&#49436;.html" TargetMode="External" Id="rId4"/><Relationship Type="http://schemas.openxmlformats.org/officeDocument/2006/relationships/hyperlink" Target="&#47588;&#45684;&#50620;BODY(&#51665;&#54665;&#45800;&#44228;-&#52392;&#48512;&#54260;&#45908;)v6/&#49345;&#48512;&#44053;&#54868;&#45432;&#48152;/2_&#48156;&#51452;&#51204;&#47029;%20KOM/&#49688;&#54665;&#51648;&#52840;/&#48156;&#51452;&#51204;&#47029;%20KOM_&#49688;&#54665;&#51648;&#52840;.html" TargetMode="External" Id="rId5"/><Relationship Type="http://schemas.openxmlformats.org/officeDocument/2006/relationships/hyperlink" Target="&#47588;&#45684;&#50620;BODY(&#51665;&#54665;&#45800;&#44228;-&#52392;&#48512;&#54260;&#45908;)v6/&#49345;&#48512;&#44053;&#54868;&#45432;&#48152;/2_&#48156;&#51452;&#51204;&#47029;%20KOM/&#52404;&#53356;&#47532;&#49828;&#53944;/&#48156;&#51452;&#51204;&#47029;%20KOM_&#52404;&#53356;&#47532;&#49828;&#53944;.html" TargetMode="External" Id="rId6"/><Relationship Type="http://schemas.openxmlformats.org/officeDocument/2006/relationships/hyperlink" Target="&#47588;&#45684;&#50620;BODY(&#51665;&#54665;&#45800;&#44228;-&#52392;&#48512;&#54260;&#45908;)v6/&#49345;&#48512;&#44053;&#54868;&#45432;&#48152;/3_&#52384;&#46020;&#48372;&#54840;&#51648;&#44396;&#50640;&#49436;&#51032;%20&#54665;&#50948;&#49888;&#44256;(&#54596;&#50836;&#49884;)/&#54364;&#51456;&#49436;/&#52384;&#46020;&#48372;&#54840;&#51648;&#44396;&#50640;&#49436;&#51032;%20&#54665;&#50948;&#49888;&#44256;(&#54596;&#50836;&#49884;)_&#54364;&#51456;&#49436;.html" TargetMode="External" Id="rId7"/><Relationship Type="http://schemas.openxmlformats.org/officeDocument/2006/relationships/hyperlink" Target="&#47588;&#45684;&#50620;BODY(&#51665;&#54665;&#45800;&#44228;-&#52392;&#48512;&#54260;&#45908;)v6/&#49345;&#48512;&#44053;&#54868;&#45432;&#48152;/3_&#52384;&#46020;&#48372;&#54840;&#51648;&#44396;&#50640;&#49436;&#51032;%20&#54665;&#50948;&#49888;&#44256;(&#54596;&#50836;&#49884;)/&#49688;&#54665;&#51648;&#52840;/&#52384;&#46020;&#48372;&#54840;&#51648;&#44396;&#50640;&#49436;&#51032;%20&#54665;&#50948;&#49888;&#44256;(&#54596;&#50836;&#49884;)_&#49688;&#54665;&#51648;&#52840;.html" TargetMode="External" Id="rId8"/><Relationship Type="http://schemas.openxmlformats.org/officeDocument/2006/relationships/hyperlink" Target="&#47588;&#45684;&#50620;BODY(&#51665;&#54665;&#45800;&#44228;-&#52392;&#48512;&#54260;&#45908;)v6/&#49345;&#48512;&#44053;&#54868;&#45432;&#48152;/3_&#52384;&#46020;&#48372;&#54840;&#51648;&#44396;&#50640;&#49436;&#51032;%20&#54665;&#50948;&#49888;&#44256;(&#54596;&#50836;&#49884;)/&#52404;&#53356;&#47532;&#49828;&#53944;/&#52384;&#46020;&#48372;&#54840;&#51648;&#44396;&#50640;&#49436;&#51032;%20&#54665;&#50948;&#49888;&#44256;(&#54596;&#50836;&#49884;)_&#52404;&#53356;&#47532;&#49828;&#53944;.html" TargetMode="External" Id="rId9"/><Relationship Type="http://schemas.openxmlformats.org/officeDocument/2006/relationships/hyperlink" Target="&#47588;&#45684;&#50620;BODY(&#51665;&#54665;&#45800;&#44228;-&#52392;&#48512;&#54260;&#45908;)v6/&#49345;&#48512;&#44053;&#54868;&#45432;&#48152;/4_&#52265;&#49688;&#51204;%20&#52769;&#47049;%20Data%20&#54869;&#51064;/&#54364;&#51456;&#49436;/&#52265;&#49688;&#51204;%20&#52769;&#47049;%20Data%20&#54869;&#51064;_&#54364;&#51456;&#49436;.html" TargetMode="External" Id="rId10"/><Relationship Type="http://schemas.openxmlformats.org/officeDocument/2006/relationships/hyperlink" Target="&#47588;&#45684;&#50620;BODY(&#51665;&#54665;&#45800;&#44228;-&#52392;&#48512;&#54260;&#45908;)v6/&#49345;&#48512;&#44053;&#54868;&#45432;&#48152;/4_&#52265;&#49688;&#51204;%20&#52769;&#47049;%20Data%20&#54869;&#51064;/&#49688;&#54665;&#51648;&#52840;/&#52265;&#49688;&#51204;%20&#52769;&#47049;%20Data%20&#54869;&#51064;_&#49688;&#54665;&#51648;&#52840;.html" TargetMode="External" Id="rId11"/><Relationship Type="http://schemas.openxmlformats.org/officeDocument/2006/relationships/hyperlink" Target="&#47588;&#45684;&#50620;BODY(&#51665;&#54665;&#45800;&#44228;-&#52392;&#48512;&#54260;&#45908;)v6/&#49345;&#48512;&#44053;&#54868;&#45432;&#48152;/4_&#52265;&#49688;&#51204;%20&#52769;&#47049;%20Data%20&#54869;&#51064;/&#52404;&#53356;&#47532;&#49828;&#53944;/&#52265;&#49688;&#51204;%20&#52769;&#47049;%20Data%20&#54869;&#51064;_&#52404;&#53356;&#47532;&#49828;&#53944;.html" TargetMode="External" Id="rId12"/><Relationship Type="http://schemas.openxmlformats.org/officeDocument/2006/relationships/hyperlink" Target="&#47588;&#45684;&#50620;BODY(&#51665;&#54665;&#45800;&#44228;-&#52392;&#48512;&#54260;&#45908;)v6/&#49345;&#48512;&#44053;&#54868;&#45432;&#48152;/5_&#51648;&#51109;&#47932;&#51060;&#49444;%20&#54801;&#51032;/&#54364;&#51456;&#49436;/&#51648;&#51109;&#47932;&#51060;&#49444;%20&#54801;&#51032;_&#54364;&#51456;&#49436;.html" TargetMode="External" Id="rId13"/><Relationship Type="http://schemas.openxmlformats.org/officeDocument/2006/relationships/hyperlink" Target="&#47588;&#45684;&#50620;BODY(&#51665;&#54665;&#45800;&#44228;-&#52392;&#48512;&#54260;&#45908;)v6/&#49345;&#48512;&#44053;&#54868;&#45432;&#48152;/5_&#51648;&#51109;&#47932;&#51060;&#49444;%20&#54801;&#51032;/&#49688;&#54665;&#51648;&#52840;/&#51648;&#51109;&#47932;&#51060;&#49444;%20&#54801;&#51032;_&#49688;&#54665;&#51648;&#52840;.html" TargetMode="External" Id="rId14"/><Relationship Type="http://schemas.openxmlformats.org/officeDocument/2006/relationships/hyperlink" Target="&#47588;&#45684;&#50620;BODY(&#51665;&#54665;&#45800;&#44228;-&#52392;&#48512;&#54260;&#45908;)v6/&#49345;&#48512;&#44053;&#54868;&#45432;&#48152;/5_&#51648;&#51109;&#47932;&#51060;&#49444;%20&#54801;&#51032;/&#52404;&#53356;&#47532;&#49828;&#53944;/&#51648;&#51109;&#47932;&#51060;&#49444;%20&#54801;&#51032;_&#52404;&#53356;&#47532;&#49828;&#53944;.html" TargetMode="External" Id="rId15"/><Relationship Type="http://schemas.openxmlformats.org/officeDocument/2006/relationships/hyperlink" Target="&#47588;&#45684;&#50620;BODY(&#51665;&#54665;&#45800;&#44228;-&#52392;&#48512;&#54260;&#45908;)v6/&#49345;&#48512;&#44053;&#54868;&#45432;&#48152;/6_&#50857;&#51648;&#48372;&#49345;RISK%20&#44160;&#53664;/&#54364;&#51456;&#49436;/&#50857;&#51648;&#48372;&#49345;RISK%20&#44160;&#53664;_&#54364;&#51456;&#49436;.html" TargetMode="External" Id="rId16"/><Relationship Type="http://schemas.openxmlformats.org/officeDocument/2006/relationships/hyperlink" Target="&#47588;&#45684;&#50620;BODY(&#51665;&#54665;&#45800;&#44228;-&#52392;&#48512;&#54260;&#45908;)v6/&#49345;&#48512;&#44053;&#54868;&#45432;&#48152;/6_&#50857;&#51648;&#48372;&#49345;RISK%20&#44160;&#53664;/&#49688;&#54665;&#51648;&#52840;/&#50857;&#51648;&#48372;&#49345;RISK%20&#44160;&#53664;_&#49688;&#54665;&#51648;&#52840;.html" TargetMode="External" Id="rId17"/><Relationship Type="http://schemas.openxmlformats.org/officeDocument/2006/relationships/hyperlink" Target="&#47588;&#45684;&#50620;BODY(&#51665;&#54665;&#45800;&#44228;-&#52392;&#48512;&#54260;&#45908;)v6/&#49345;&#48512;&#44053;&#54868;&#45432;&#48152;/6_&#50857;&#51648;&#48372;&#49345;RISK%20&#44160;&#53664;/&#52404;&#53356;&#47532;&#49828;&#53944;/&#50857;&#51648;&#48372;&#49345;RISK%20&#44160;&#53664;_&#52404;&#53356;&#47532;&#49828;&#53944;.html" TargetMode="External" Id="rId18"/><Relationship Type="http://schemas.openxmlformats.org/officeDocument/2006/relationships/hyperlink" Target="&#47588;&#45684;&#50620;BODY(&#51665;&#54665;&#45800;&#44228;-&#52392;&#48512;&#54260;&#45908;)v6/&#49345;&#48512;&#44053;&#54868;&#45432;&#48152;/7_&#52572;&#44256;&#51032;%20&#54016;%20&#47564;&#46308;&#44592;%20&#51648;&#50896;/&#54364;&#51456;&#49436;/&#52572;&#44256;&#51032;%20&#54016;%20&#47564;&#46308;&#44592;%20&#51648;&#50896;_&#54364;&#51456;&#49436;.html" TargetMode="External" Id="rId19"/><Relationship Type="http://schemas.openxmlformats.org/officeDocument/2006/relationships/hyperlink" Target="&#47588;&#45684;&#50620;BODY(&#51665;&#54665;&#45800;&#44228;-&#52392;&#48512;&#54260;&#45908;)v6/&#49345;&#48512;&#44053;&#54868;&#45432;&#48152;/7_&#52572;&#44256;&#51032;%20&#54016;%20&#47564;&#46308;&#44592;%20&#51648;&#50896;/&#49688;&#54665;&#51648;&#52840;/&#52572;&#44256;&#51032;%20&#54016;%20&#47564;&#46308;&#44592;%20&#51648;&#50896;_&#49688;&#54665;&#51648;&#52840;.html" TargetMode="External" Id="rId20"/><Relationship Type="http://schemas.openxmlformats.org/officeDocument/2006/relationships/hyperlink" Target="&#47588;&#45684;&#50620;BODY(&#51665;&#54665;&#45800;&#44228;-&#52392;&#48512;&#54260;&#45908;)v6/&#49345;&#48512;&#44053;&#54868;&#45432;&#48152;/7_&#52572;&#44256;&#51032;%20&#54016;%20&#47564;&#46308;&#44592;%20&#51648;&#50896;/&#52404;&#53356;&#47532;&#49828;&#53944;/&#52572;&#44256;&#51032;%20&#54016;%20&#47564;&#46308;&#44592;%20&#51648;&#50896;_&#52404;&#53356;&#47532;&#49828;&#53944;.html" TargetMode="External" Id="rId21"/><Relationship Type="http://schemas.openxmlformats.org/officeDocument/2006/relationships/hyperlink" Target="&#47588;&#45684;&#50620;BODY(&#51665;&#54665;&#45800;&#44228;-&#52392;&#48512;&#54260;&#45908;)v6/&#49345;&#48512;&#44053;&#54868;&#45432;&#48152;/8_&#49884;&#44277;&#44228;&#54925;&#49436;%20&#49688;&#47549;%20&#49849;&#51064;/&#54364;&#51456;&#49436;/&#49884;&#44277;&#44228;&#54925;&#49436;%20&#49688;&#47549;%20&#49849;&#51064;_&#54364;&#51456;&#49436;.html" TargetMode="External" Id="rId22"/><Relationship Type="http://schemas.openxmlformats.org/officeDocument/2006/relationships/hyperlink" Target="&#47588;&#45684;&#50620;BODY(&#51665;&#54665;&#45800;&#44228;-&#52392;&#48512;&#54260;&#45908;)v6/&#49345;&#48512;&#44053;&#54868;&#45432;&#48152;/8_&#49884;&#44277;&#44228;&#54925;&#49436;%20&#49688;&#47549;%20&#49849;&#51064;/&#49688;&#54665;&#51648;&#52840;/&#49884;&#44277;&#44228;&#54925;&#49436;%20&#49688;&#47549;%20&#49849;&#51064;_&#49688;&#54665;&#51648;&#52840;.html" TargetMode="External" Id="rId23"/><Relationship Type="http://schemas.openxmlformats.org/officeDocument/2006/relationships/hyperlink" Target="&#47588;&#45684;&#50620;BODY(&#51665;&#54665;&#45800;&#44228;-&#52392;&#48512;&#54260;&#45908;)v6/&#49345;&#48512;&#44053;&#54868;&#45432;&#48152;/8_&#49884;&#44277;&#44228;&#54925;&#49436;%20&#49688;&#47549;%20&#49849;&#51064;/&#52404;&#53356;&#47532;&#49828;&#53944;/&#49884;&#44277;&#44228;&#54925;&#49436;%20&#49688;&#47549;%20&#49849;&#51064;_&#52404;&#53356;&#47532;&#49828;&#53944;.html" TargetMode="External" Id="rId24"/><Relationship Type="http://schemas.openxmlformats.org/officeDocument/2006/relationships/hyperlink" Target="&#47588;&#45684;&#50620;BODY(&#51665;&#54665;&#45800;&#44228;-&#52392;&#48512;&#54260;&#45908;)v6/&#49345;&#48512;&#44053;&#54868;&#45432;&#48152;/8_&#51089;&#50629;&#51312;%20&#54200;&#49457;/&#54364;&#51456;&#49436;/&#51089;&#50629;&#51312;%20&#54200;&#49457;_&#54364;&#51456;&#49436;.html" TargetMode="External" Id="rId25"/><Relationship Type="http://schemas.openxmlformats.org/officeDocument/2006/relationships/hyperlink" Target="&#47588;&#45684;&#50620;BODY(&#51665;&#54665;&#45800;&#44228;-&#52392;&#48512;&#54260;&#45908;)v6/&#49345;&#48512;&#44053;&#54868;&#45432;&#48152;/8_&#51089;&#50629;&#51312;%20&#54200;&#49457;/&#49688;&#54665;&#51648;&#52840;/&#51089;&#50629;&#51312;%20&#54200;&#49457;_&#49688;&#54665;&#51648;&#52840;.html" TargetMode="External" Id="rId26"/><Relationship Type="http://schemas.openxmlformats.org/officeDocument/2006/relationships/hyperlink" Target="&#47588;&#45684;&#50620;BODY(&#51665;&#54665;&#45800;&#44228;-&#52392;&#48512;&#54260;&#45908;)v6/&#49345;&#48512;&#44053;&#54868;&#45432;&#48152;/8_&#51089;&#50629;&#51312;%20&#54200;&#49457;/&#52404;&#53356;&#47532;&#49828;&#53944;/&#51089;&#50629;&#51312;%20&#54200;&#49457;_&#52404;&#53356;&#47532;&#49828;&#53944;.html" TargetMode="External" Id="rId27"/><Relationship Type="http://schemas.openxmlformats.org/officeDocument/2006/relationships/hyperlink" Target="&#47588;&#45684;&#50620;BODY(&#51665;&#54665;&#45800;&#44228;-&#52392;&#48512;&#54260;&#45908;)v6/&#49345;&#48512;&#44053;&#54868;&#45432;&#48152;/9_&#51109;&#48708;%20&#49688;&#44553;%20&#44228;&#54925;/&#54364;&#51456;&#49436;/&#51109;&#48708;%20&#49688;&#44553;%20&#44228;&#54925;_&#54364;&#51456;&#49436;.html" TargetMode="External" Id="rId28"/><Relationship Type="http://schemas.openxmlformats.org/officeDocument/2006/relationships/hyperlink" Target="&#47588;&#45684;&#50620;BODY(&#51665;&#54665;&#45800;&#44228;-&#52392;&#48512;&#54260;&#45908;)v6/&#49345;&#48512;&#44053;&#54868;&#45432;&#48152;/9_&#51109;&#48708;%20&#49688;&#44553;%20&#44228;&#54925;/&#49688;&#54665;&#51648;&#52840;/&#51109;&#48708;%20&#49688;&#44553;%20&#44228;&#54925;_&#49688;&#54665;&#51648;&#52840;.html" TargetMode="External" Id="rId29"/><Relationship Type="http://schemas.openxmlformats.org/officeDocument/2006/relationships/hyperlink" Target="&#47588;&#45684;&#50620;BODY(&#51665;&#54665;&#45800;&#44228;-&#52392;&#48512;&#54260;&#45908;)v6/&#49345;&#48512;&#44053;&#54868;&#45432;&#48152;/9_&#51109;&#48708;%20&#49688;&#44553;%20&#44228;&#54925;/&#52404;&#53356;&#47532;&#49828;&#53944;/&#51109;&#48708;%20&#49688;&#44553;%20&#44228;&#54925;_&#52404;&#53356;&#47532;&#49828;&#53944;.html" TargetMode="External" Id="rId30"/><Relationship Type="http://schemas.openxmlformats.org/officeDocument/2006/relationships/hyperlink" Target="&#47588;&#45684;&#50620;BODY(&#51665;&#54665;&#45800;&#44228;-&#52392;&#48512;&#54260;&#45908;)v6/&#49345;&#48512;&#44053;&#54868;&#45432;&#48152;/10_&#45432;&#48152;%20&#51116;&#47308;%20&#51077;&#46020;%20DB%20&#54869;&#48372;/&#54364;&#51456;&#49436;/&#45432;&#48152;%20&#51116;&#47308;%20&#51077;&#46020;%20DB%20&#54869;&#48372;_&#54364;&#51456;&#49436;.html" TargetMode="External" Id="rId31"/><Relationship Type="http://schemas.openxmlformats.org/officeDocument/2006/relationships/hyperlink" Target="&#47588;&#45684;&#50620;BODY(&#51665;&#54665;&#45800;&#44228;-&#52392;&#48512;&#54260;&#45908;)v6/&#49345;&#48512;&#44053;&#54868;&#45432;&#48152;/10_&#45432;&#48152;%20&#51116;&#47308;%20&#51077;&#46020;%20DB%20&#54869;&#48372;/&#49688;&#54665;&#51648;&#52840;/&#45432;&#48152;%20&#51116;&#47308;%20&#51077;&#46020;%20DB%20&#54869;&#48372;_&#49688;&#54665;&#51648;&#52840;.html" TargetMode="External" Id="rId32"/><Relationship Type="http://schemas.openxmlformats.org/officeDocument/2006/relationships/hyperlink" Target="&#47588;&#45684;&#50620;BODY(&#51665;&#54665;&#45800;&#44228;-&#52392;&#48512;&#54260;&#45908;)v6/&#49345;&#48512;&#44053;&#54868;&#45432;&#48152;/10_&#45432;&#48152;%20&#51116;&#47308;%20&#51077;&#46020;%20DB%20&#54869;&#48372;/&#52404;&#53356;&#47532;&#49828;&#53944;/&#45432;&#48152;%20&#51116;&#47308;%20&#51077;&#46020;%20DB%20&#54869;&#48372;_&#52404;&#53356;&#47532;&#49828;&#53944;.html" TargetMode="External" Id="rId33"/><Relationship Type="http://schemas.openxmlformats.org/officeDocument/2006/relationships/hyperlink" Target="&#47588;&#45684;&#50620;BODY(&#51665;&#54665;&#45800;&#44228;-&#52392;&#48512;&#54260;&#45908;)v6/&#49345;&#48512;&#44053;&#54868;&#45432;&#48152;/11_&#49324;&#53664;&#51109;%20_%20&#53664;&#49324;%20&#49688;&#44553;%20&#44228;&#54925;%20&#54869;&#51064;/&#54364;&#51456;&#49436;/&#49324;&#53664;&#51109;%20_%20&#53664;&#49324;%20&#49688;&#44553;%20&#44228;&#54925;%20&#54869;&#51064;_&#54364;&#51456;&#49436;.html" TargetMode="External" Id="rId34"/><Relationship Type="http://schemas.openxmlformats.org/officeDocument/2006/relationships/hyperlink" Target="&#47588;&#45684;&#50620;BODY(&#51665;&#54665;&#45800;&#44228;-&#52392;&#48512;&#54260;&#45908;)v6/&#49345;&#48512;&#44053;&#54868;&#45432;&#48152;/11_&#49324;&#53664;&#51109;%20_%20&#53664;&#49324;%20&#49688;&#44553;%20&#44228;&#54925;%20&#54869;&#51064;/&#49688;&#54665;&#51648;&#52840;/&#49324;&#53664;&#51109;%20_%20&#53664;&#49324;%20&#49688;&#44553;%20&#44228;&#54925;%20&#54869;&#51064;_&#49688;&#54665;&#51648;&#52840;.html" TargetMode="External" Id="rId35"/><Relationship Type="http://schemas.openxmlformats.org/officeDocument/2006/relationships/hyperlink" Target="&#47588;&#45684;&#50620;BODY(&#51665;&#54665;&#45800;&#44228;-&#52392;&#48512;&#54260;&#45908;)v6/&#49345;&#48512;&#44053;&#54868;&#45432;&#48152;/11_&#49324;&#53664;&#51109;%20_%20&#53664;&#49324;%20&#49688;&#44553;%20&#44228;&#54925;%20&#54869;&#51064;/&#52404;&#53356;&#47532;&#49828;&#53944;/&#49324;&#53664;&#51109;%20_%20&#53664;&#49324;%20&#49688;&#44553;%20&#44228;&#54925;%20&#54869;&#51064;_&#52404;&#53356;&#47532;&#49828;&#53944;.html" TargetMode="External" Id="rId36"/><Relationship Type="http://schemas.openxmlformats.org/officeDocument/2006/relationships/hyperlink" Target="&#47588;&#45684;&#50620;BODY(&#51665;&#54665;&#45800;&#44228;-&#52392;&#48512;&#54260;&#45908;)v6/&#49345;&#48512;&#44053;&#54868;&#45432;&#48152;/12_&#48176;&#49688;%20&#52376;&#47532;%20&#44228;&#54925;%20&#49688;&#47549;/&#54364;&#51456;&#49436;/&#48176;&#49688;%20&#52376;&#47532;%20&#44228;&#54925;%20&#49688;&#47549;_&#54364;&#51456;&#49436;.html" TargetMode="External" Id="rId37"/><Relationship Type="http://schemas.openxmlformats.org/officeDocument/2006/relationships/hyperlink" Target="&#47588;&#45684;&#50620;BODY(&#51665;&#54665;&#45800;&#44228;-&#52392;&#48512;&#54260;&#45908;)v6/&#49345;&#48512;&#44053;&#54868;&#45432;&#48152;/12_&#48176;&#49688;%20&#52376;&#47532;%20&#44228;&#54925;%20&#49688;&#47549;/&#49688;&#54665;&#51648;&#52840;/&#48176;&#49688;%20&#52376;&#47532;%20&#44228;&#54925;%20&#49688;&#47549;_&#49688;&#54665;&#51648;&#52840;.html" TargetMode="External" Id="rId38"/><Relationship Type="http://schemas.openxmlformats.org/officeDocument/2006/relationships/hyperlink" Target="&#47588;&#45684;&#50620;BODY(&#51665;&#54665;&#45800;&#44228;-&#52392;&#48512;&#54260;&#45908;)v6/&#49345;&#48512;&#44053;&#54868;&#45432;&#48152;/12_&#48176;&#49688;%20&#52376;&#47532;%20&#44228;&#54925;%20&#49688;&#47549;/&#52404;&#53356;&#47532;&#49828;&#53944;/&#48176;&#49688;%20&#52376;&#47532;%20&#44228;&#54925;%20&#49688;&#47549;_&#52404;&#53356;&#47532;&#49828;&#53944;.html" TargetMode="External" Id="rId39"/><Relationship Type="http://schemas.openxmlformats.org/officeDocument/2006/relationships/hyperlink" Target="&#47588;&#45684;&#50620;BODY(&#51665;&#54665;&#45800;&#44228;-&#52392;&#48512;&#54260;&#45908;)v6/&#49345;&#48512;&#44053;&#54868;&#45432;&#48152;/13_&#50504;&#51204;&#44288;&#47532;&#44228;&#54925;%20&#49688;&#47549;%20&#49849;&#51064;/&#54364;&#51456;&#49436;/&#50504;&#51204;&#44288;&#47532;&#44228;&#54925;%20&#49688;&#47549;%20&#49849;&#51064;_&#54364;&#51456;&#49436;.html" TargetMode="External" Id="rId40"/><Relationship Type="http://schemas.openxmlformats.org/officeDocument/2006/relationships/hyperlink" Target="&#47588;&#45684;&#50620;BODY(&#51665;&#54665;&#45800;&#44228;-&#52392;&#48512;&#54260;&#45908;)v6/&#49345;&#48512;&#44053;&#54868;&#45432;&#48152;/13_&#50504;&#51204;&#44288;&#47532;&#44228;&#54925;%20&#49688;&#47549;%20&#49849;&#51064;/&#49688;&#54665;&#51648;&#52840;/&#50504;&#51204;&#44288;&#47532;&#44228;&#54925;%20&#49688;&#47549;%20&#49849;&#51064;_&#49688;&#54665;&#51648;&#52840;.html" TargetMode="External" Id="rId41"/><Relationship Type="http://schemas.openxmlformats.org/officeDocument/2006/relationships/hyperlink" Target="&#47588;&#45684;&#50620;BODY(&#51665;&#54665;&#45800;&#44228;-&#52392;&#48512;&#54260;&#45908;)v6/&#49345;&#48512;&#44053;&#54868;&#45432;&#48152;/13_&#50504;&#51204;&#44288;&#47532;&#44228;&#54925;%20&#49688;&#47549;%20&#49849;&#51064;/&#52404;&#53356;&#47532;&#49828;&#53944;/&#50504;&#51204;&#44288;&#47532;&#44228;&#54925;%20&#49688;&#47549;%20&#49849;&#51064;_&#52404;&#53356;&#47532;&#49828;&#53944;.html" TargetMode="External" Id="rId42"/><Relationship Type="http://schemas.openxmlformats.org/officeDocument/2006/relationships/hyperlink" Target="&#47588;&#45684;&#50620;BODY(&#51665;&#54665;&#45800;&#44228;-&#52392;&#48512;&#54260;&#45908;)v6/&#49345;&#48512;&#44053;&#54868;&#45432;&#48152;/14_&#54408;&#51656;&#44288;&#47532;&#44228;&#54925;%20&#49688;&#47549;%20&#49849;&#51064;/&#54364;&#51456;&#49436;/&#54408;&#51656;&#44288;&#47532;&#44228;&#54925;%20&#49688;&#47549;%20&#49849;&#51064;_&#54364;&#51456;&#49436;.html" TargetMode="External" Id="rId43"/><Relationship Type="http://schemas.openxmlformats.org/officeDocument/2006/relationships/hyperlink" Target="&#47588;&#45684;&#50620;BODY(&#51665;&#54665;&#45800;&#44228;-&#52392;&#48512;&#54260;&#45908;)v6/&#49345;&#48512;&#44053;&#54868;&#45432;&#48152;/14_&#54408;&#51656;&#44288;&#47532;&#44228;&#54925;%20&#49688;&#47549;%20&#49849;&#51064;/&#49688;&#54665;&#51648;&#52840;/&#54408;&#51656;&#44288;&#47532;&#44228;&#54925;%20&#49688;&#47549;%20&#49849;&#51064;_&#49688;&#54665;&#51648;&#52840;.html" TargetMode="External" Id="rId44"/><Relationship Type="http://schemas.openxmlformats.org/officeDocument/2006/relationships/hyperlink" Target="&#47588;&#45684;&#50620;BODY(&#51665;&#54665;&#45800;&#44228;-&#52392;&#48512;&#54260;&#45908;)v6/&#49345;&#48512;&#44053;&#54868;&#45432;&#48152;/14_&#54408;&#51656;&#44288;&#47532;&#44228;&#54925;%20&#49688;&#47549;%20&#49849;&#51064;/&#52404;&#53356;&#47532;&#49828;&#53944;/&#54408;&#51656;&#44288;&#47532;&#44228;&#54925;%20&#49688;&#47549;%20&#49849;&#51064;_&#52404;&#53356;&#47532;&#49828;&#53944;.html" TargetMode="External" Id="rId45"/><Relationship Type="http://schemas.openxmlformats.org/officeDocument/2006/relationships/hyperlink" Target="&#47588;&#45684;&#50620;BODY(&#51665;&#54665;&#45800;&#44228;-&#52392;&#48512;&#54260;&#45908;)v6/&#49345;&#48512;&#44053;&#54868;&#45432;&#48152;/15_&#54872;&#44221;&#44288;&#47532;&#44228;&#54925;%20&#49688;&#47549;%20&#49849;&#51064;/&#54364;&#51456;&#49436;/&#54872;&#44221;&#44288;&#47532;&#44228;&#54925;%20&#49688;&#47549;%20&#49849;&#51064;_&#54364;&#51456;&#49436;.html" TargetMode="External" Id="rId46"/><Relationship Type="http://schemas.openxmlformats.org/officeDocument/2006/relationships/hyperlink" Target="&#47588;&#45684;&#50620;BODY(&#51665;&#54665;&#45800;&#44228;-&#52392;&#48512;&#54260;&#45908;)v6/&#49345;&#48512;&#44053;&#54868;&#45432;&#48152;/15_&#54872;&#44221;&#44288;&#47532;&#44228;&#54925;%20&#49688;&#47549;%20&#49849;&#51064;/&#49688;&#54665;&#51648;&#52840;/&#54872;&#44221;&#44288;&#47532;&#44228;&#54925;%20&#49688;&#47549;%20&#49849;&#51064;_&#49688;&#54665;&#51648;&#52840;.html" TargetMode="External" Id="rId47"/><Relationship Type="http://schemas.openxmlformats.org/officeDocument/2006/relationships/hyperlink" Target="&#47588;&#45684;&#50620;BODY(&#51665;&#54665;&#45800;&#44228;-&#52392;&#48512;&#54260;&#45908;)v6/&#49345;&#48512;&#44053;&#54868;&#45432;&#48152;/15_&#54872;&#44221;&#44288;&#47532;&#44228;&#54925;%20&#49688;&#47549;%20&#49849;&#51064;/&#52404;&#53356;&#47532;&#49828;&#53944;/&#54872;&#44221;&#44288;&#47532;&#44228;&#54925;%20&#49688;&#47549;%20&#49849;&#51064;_&#52404;&#53356;&#47532;&#49828;&#53944;.html" TargetMode="External" Id="rId48"/><Relationship Type="http://schemas.openxmlformats.org/officeDocument/2006/relationships/hyperlink" Target="&#47588;&#45684;&#50620;BODY(&#51665;&#54665;&#45800;&#44228;-&#52392;&#48512;&#54260;&#45908;)v6/&#49345;&#48512;&#44053;&#54868;&#45432;&#48152;/16_&#44368;&#53685;&#49548;&#53685;%20&#45824;&#52293;%20&#49688;&#47549;%20&#49849;&#51064;(&#54596;&#50836;&#49884;)/&#54364;&#51456;&#49436;/&#44368;&#53685;&#49548;&#53685;%20&#45824;&#52293;%20&#49688;&#47549;%20&#49849;&#51064;(&#54596;&#50836;&#49884;)_&#54364;&#51456;&#49436;.html" TargetMode="External" Id="rId49"/><Relationship Type="http://schemas.openxmlformats.org/officeDocument/2006/relationships/hyperlink" Target="&#47588;&#45684;&#50620;BODY(&#51665;&#54665;&#45800;&#44228;-&#52392;&#48512;&#54260;&#45908;)v6/&#49345;&#48512;&#44053;&#54868;&#45432;&#48152;/16_&#44368;&#53685;&#49548;&#53685;%20&#45824;&#52293;%20&#49688;&#47549;%20&#49849;&#51064;(&#54596;&#50836;&#49884;)/&#49688;&#54665;&#51648;&#52840;/&#44368;&#53685;&#49548;&#53685;%20&#45824;&#52293;%20&#49688;&#47549;%20&#49849;&#51064;(&#54596;&#50836;&#49884;)_&#49688;&#54665;&#51648;&#52840;.html" TargetMode="External" Id="rId50"/><Relationship Type="http://schemas.openxmlformats.org/officeDocument/2006/relationships/hyperlink" Target="&#47588;&#45684;&#50620;BODY(&#51665;&#54665;&#45800;&#44228;-&#52392;&#48512;&#54260;&#45908;)v6/&#49345;&#48512;&#44053;&#54868;&#45432;&#48152;/16_&#44368;&#53685;&#49548;&#53685;%20&#45824;&#52293;%20&#49688;&#47549;%20&#49849;&#51064;(&#54596;&#50836;&#49884;)/&#52404;&#53356;&#47532;&#49828;&#53944;/&#44368;&#53685;&#49548;&#53685;%20&#45824;&#52293;%20&#49688;&#47549;%20&#49849;&#51064;(&#54596;&#50836;&#49884;)_&#52404;&#53356;&#47532;&#49828;&#53944;.html" TargetMode="External" Id="rId51"/><Relationship Type="http://schemas.openxmlformats.org/officeDocument/2006/relationships/hyperlink" Target="&#47588;&#45684;&#50620;BODY(&#51665;&#54665;&#45800;&#44228;-&#52392;&#48512;&#54260;&#45908;)v6/&#49345;&#48512;&#44053;&#54868;&#45432;&#48152;/17_&#54616;&#46020;&#44553;%20&#44160;&#53664;%20&#49849;&#51064;/&#54364;&#51456;&#49436;/&#54616;&#46020;&#44553;%20&#44160;&#53664;%20&#49849;&#51064;_&#54364;&#51456;&#49436;.html" TargetMode="External" Id="rId52"/><Relationship Type="http://schemas.openxmlformats.org/officeDocument/2006/relationships/hyperlink" Target="&#47588;&#45684;&#50620;BODY(&#51665;&#54665;&#45800;&#44228;-&#52392;&#48512;&#54260;&#45908;)v6/&#49345;&#48512;&#44053;&#54868;&#45432;&#48152;/17_&#54616;&#46020;&#44553;%20&#44160;&#53664;%20&#49849;&#51064;/&#49688;&#54665;&#51648;&#52840;/&#54616;&#46020;&#44553;%20&#44160;&#53664;%20&#49849;&#51064;_&#49688;&#54665;&#51648;&#52840;.html" TargetMode="External" Id="rId53"/><Relationship Type="http://schemas.openxmlformats.org/officeDocument/2006/relationships/hyperlink" Target="&#47588;&#45684;&#50620;BODY(&#51665;&#54665;&#45800;&#44228;-&#52392;&#48512;&#54260;&#45908;)v6/&#49345;&#48512;&#44053;&#54868;&#45432;&#48152;/17_&#54616;&#46020;&#44553;%20&#44160;&#53664;%20&#49849;&#51064;/&#52404;&#53356;&#47532;&#49828;&#53944;/&#54616;&#46020;&#44553;%20&#44160;&#53664;%20&#49849;&#51064;_&#52404;&#53356;&#47532;&#49828;&#53944;.html" TargetMode="External" Id="rId54"/><Relationship Type="http://schemas.openxmlformats.org/officeDocument/2006/relationships/hyperlink" Target="&#47588;&#45684;&#50620;BODY(&#51665;&#54665;&#45800;&#44228;-&#52392;&#48512;&#54260;&#45908;)v6/&#49345;&#48512;&#44053;&#54868;&#45432;&#48152;/18_&#51088;&#51116;&#49849;&#51064;/&#54364;&#51456;&#49436;/&#51088;&#51116;&#49849;&#51064;_&#54364;&#51456;&#49436;.html" TargetMode="External" Id="rId55"/><Relationship Type="http://schemas.openxmlformats.org/officeDocument/2006/relationships/hyperlink" Target="&#47588;&#45684;&#50620;BODY(&#51665;&#54665;&#45800;&#44228;-&#52392;&#48512;&#54260;&#45908;)v6/&#49345;&#48512;&#44053;&#54868;&#45432;&#48152;/18_&#51088;&#51116;&#49849;&#51064;/&#49688;&#54665;&#51648;&#52840;/&#51088;&#51116;&#49849;&#51064;_&#49688;&#54665;&#51648;&#52840;.html" TargetMode="External" Id="rId56"/><Relationship Type="http://schemas.openxmlformats.org/officeDocument/2006/relationships/hyperlink" Target="&#47588;&#45684;&#50620;BODY(&#51665;&#54665;&#45800;&#44228;-&#52392;&#48512;&#54260;&#45908;)v6/&#49345;&#48512;&#44053;&#54868;&#45432;&#48152;/18_&#51088;&#51116;&#49849;&#51064;/&#52404;&#53356;&#47532;&#49828;&#53944;/&#51088;&#51116;&#49849;&#51064;_&#52404;&#53356;&#47532;&#49828;&#53944;.html" TargetMode="External" Id="rId57"/><Relationship Type="http://schemas.openxmlformats.org/officeDocument/2006/relationships/hyperlink" Target="&#47588;&#45684;&#50620;BODY(&#51665;&#54665;&#45800;&#44228;-&#52392;&#48512;&#54260;&#45908;)v6/&#49345;&#48512;&#44053;&#54868;&#45432;&#48152;/19_&#49884;&#54744;&#45796;&#51664;/&#54364;&#51456;&#49436;/&#49884;&#54744;&#45796;&#51664;_&#54364;&#51456;&#49436;.html" TargetMode="External" Id="rId58"/><Relationship Type="http://schemas.openxmlformats.org/officeDocument/2006/relationships/hyperlink" Target="&#47588;&#45684;&#50620;BODY(&#51665;&#54665;&#45800;&#44228;-&#52392;&#48512;&#54260;&#45908;)v6/&#49345;&#48512;&#44053;&#54868;&#45432;&#48152;/19_&#49884;&#54744;&#45796;&#51664;/&#49688;&#54665;&#51648;&#52840;/&#49884;&#54744;&#45796;&#51664;_&#49688;&#54665;&#51648;&#52840;.html" TargetMode="External" Id="rId59"/><Relationship Type="http://schemas.openxmlformats.org/officeDocument/2006/relationships/hyperlink" Target="&#47588;&#45684;&#50620;BODY(&#51665;&#54665;&#45800;&#44228;-&#52392;&#48512;&#54260;&#45908;)v6/&#49345;&#48512;&#44053;&#54868;&#45432;&#48152;/19_&#49884;&#54744;&#45796;&#51664;/&#52404;&#53356;&#47532;&#49828;&#53944;/&#49884;&#54744;&#45796;&#51664;_&#52404;&#53356;&#47532;&#49828;&#53944;.html" TargetMode="External" Id="rId60"/><Relationship Type="http://schemas.openxmlformats.org/officeDocument/2006/relationships/hyperlink" Target="&#47588;&#45684;&#50620;BODY(&#51665;&#54665;&#45800;&#44228;-&#52392;&#48512;&#54260;&#45908;)v6/&#49345;&#48512;&#44053;&#54868;&#45432;&#48152;/20_&#50896;&#51648;&#48152;%20&#44160;&#52769;/&#54364;&#51456;&#49436;/&#50896;&#51648;&#48152;%20&#44160;&#52769;_&#54364;&#51456;&#49436;.html" TargetMode="External" Id="rId61"/><Relationship Type="http://schemas.openxmlformats.org/officeDocument/2006/relationships/hyperlink" Target="&#47588;&#45684;&#50620;BODY(&#51665;&#54665;&#45800;&#44228;-&#52392;&#48512;&#54260;&#45908;)v6/&#49345;&#48512;&#44053;&#54868;&#45432;&#48152;/20_&#50896;&#51648;&#48152;%20&#44160;&#52769;/&#49688;&#54665;&#51648;&#52840;/&#50896;&#51648;&#48152;%20&#44160;&#52769;_&#49688;&#54665;&#51648;&#52840;.html" TargetMode="External" Id="rId62"/><Relationship Type="http://schemas.openxmlformats.org/officeDocument/2006/relationships/hyperlink" Target="&#47588;&#45684;&#50620;BODY(&#51665;&#54665;&#45800;&#44228;-&#52392;&#48512;&#54260;&#45908;)v6/&#49345;&#48512;&#44053;&#54868;&#45432;&#48152;/20_&#50896;&#51648;&#48152;%20&#44160;&#52769;/&#52404;&#53356;&#47532;&#49828;&#53944;/&#50896;&#51648;&#48152;%20&#44160;&#52769;_&#52404;&#53356;&#47532;&#49828;&#53944;.html" TargetMode="External" Id="rId63"/><Relationship Type="http://schemas.openxmlformats.org/officeDocument/2006/relationships/hyperlink" Target="&#47588;&#45684;&#50620;BODY(&#51665;&#54665;&#45800;&#44228;-&#52392;&#48512;&#54260;&#45908;)v6/&#49345;&#48512;&#44053;&#54868;&#45432;&#48152;/21_&#54616;&#48512;&#45432;&#48152;%20&#44160;&#52769;/&#54364;&#51456;&#49436;/&#54616;&#48512;&#45432;&#48152;%20&#44160;&#52769;_&#54364;&#51456;&#49436;.html" TargetMode="External" Id="rId64"/><Relationship Type="http://schemas.openxmlformats.org/officeDocument/2006/relationships/hyperlink" Target="&#47588;&#45684;&#50620;BODY(&#51665;&#54665;&#45800;&#44228;-&#52392;&#48512;&#54260;&#45908;)v6/&#49345;&#48512;&#44053;&#54868;&#45432;&#48152;/21_&#54616;&#48512;&#45432;&#48152;%20&#44160;&#52769;/&#49688;&#54665;&#51648;&#52840;/&#54616;&#48512;&#45432;&#48152;%20&#44160;&#52769;_&#49688;&#54665;&#51648;&#52840;.html" TargetMode="External" Id="rId65"/><Relationship Type="http://schemas.openxmlformats.org/officeDocument/2006/relationships/hyperlink" Target="&#47588;&#45684;&#50620;BODY(&#51665;&#54665;&#45800;&#44228;-&#52392;&#48512;&#54260;&#45908;)v6/&#49345;&#48512;&#44053;&#54868;&#45432;&#48152;/21_&#54616;&#48512;&#45432;&#48152;%20&#44160;&#52769;/&#52404;&#53356;&#47532;&#49828;&#53944;/&#54616;&#48512;&#45432;&#48152;%20&#44160;&#52769;_&#52404;&#53356;&#47532;&#49828;&#53944;.html" TargetMode="External" Id="rId66"/><Relationship Type="http://schemas.openxmlformats.org/officeDocument/2006/relationships/hyperlink" Target="&#47588;&#45684;&#50620;BODY(&#51665;&#54665;&#45800;&#44228;-&#52392;&#48512;&#54260;&#45908;)v6/&#49345;&#48512;&#44053;&#54868;&#45432;&#48152;/22_&#49345;&#48512;&#45432;&#48152;%20&#49884;&#44277;(&#48176;&#49688;%20&#50976;&#44277;&#44288;%20&#54252;&#54632;)/&#54364;&#51456;&#49436;/&#49345;&#48512;&#45432;&#48152;%20&#49884;&#44277;(&#48176;&#49688;%20&#50976;&#44277;&#44288;%20&#54252;&#54632;)_&#54364;&#51456;&#49436;.html" TargetMode="External" Id="rId67"/><Relationship Type="http://schemas.openxmlformats.org/officeDocument/2006/relationships/hyperlink" Target="&#47588;&#45684;&#50620;BODY(&#51665;&#54665;&#45800;&#44228;-&#52392;&#48512;&#54260;&#45908;)v6/&#49345;&#48512;&#44053;&#54868;&#45432;&#48152;/22_&#49345;&#48512;&#45432;&#48152;%20&#49884;&#44277;(&#48176;&#49688;%20&#50976;&#44277;&#44288;%20&#54252;&#54632;)/&#49688;&#54665;&#51648;&#52840;/&#49345;&#48512;&#45432;&#48152;%20&#49884;&#44277;(&#48176;&#49688;%20&#50976;&#44277;&#44288;%20&#54252;&#54632;)_&#49688;&#54665;&#51648;&#52840;.html" TargetMode="External" Id="rId68"/><Relationship Type="http://schemas.openxmlformats.org/officeDocument/2006/relationships/hyperlink" Target="&#47588;&#45684;&#50620;BODY(&#51665;&#54665;&#45800;&#44228;-&#52392;&#48512;&#54260;&#45908;)v6/&#49345;&#48512;&#44053;&#54868;&#45432;&#48152;/22_&#49345;&#48512;&#45432;&#48152;%20&#49884;&#44277;(&#48176;&#49688;%20&#50976;&#44277;&#44288;%20&#54252;&#54632;)/&#52404;&#53356;&#47532;&#49828;&#53944;/&#49345;&#48512;&#45432;&#48152;%20&#49884;&#44277;(&#48176;&#49688;%20&#50976;&#44277;&#44288;%20&#54252;&#54632;)_&#52404;&#53356;&#47532;&#49828;&#53944;.html" TargetMode="External" Id="rId69"/><Relationship Type="http://schemas.openxmlformats.org/officeDocument/2006/relationships/hyperlink" Target="&#47588;&#45684;&#50620;BODY(&#51665;&#54665;&#45800;&#44228;-&#52392;&#48512;&#54260;&#45908;)v6/&#49345;&#48512;&#44053;&#54868;&#45432;&#48152;/23_&#49345;&#48512;&#44053;&#54868;&#45432;&#48152;%20&#49884;&#44277;/&#54364;&#51456;&#49436;/&#49345;&#48512;&#44053;&#54868;&#45432;&#48152;%20&#49884;&#44277;_&#54364;&#51456;&#49436;.html" TargetMode="External" Id="rId70"/><Relationship Type="http://schemas.openxmlformats.org/officeDocument/2006/relationships/hyperlink" Target="&#47588;&#45684;&#50620;BODY(&#51665;&#54665;&#45800;&#44228;-&#52392;&#48512;&#54260;&#45908;)v6/&#49345;&#48512;&#44053;&#54868;&#45432;&#48152;/23_&#49345;&#48512;&#44053;&#54868;&#45432;&#48152;%20&#49884;&#44277;/&#49688;&#54665;&#51648;&#52840;/&#49345;&#48512;&#44053;&#54868;&#45432;&#48152;%20&#49884;&#44277;_&#49688;&#54665;&#51648;&#52840;.html" TargetMode="External" Id="rId71"/><Relationship Type="http://schemas.openxmlformats.org/officeDocument/2006/relationships/hyperlink" Target="&#47588;&#45684;&#50620;BODY(&#51665;&#54665;&#45800;&#44228;-&#52392;&#48512;&#54260;&#45908;)v6/&#49345;&#48512;&#44053;&#54868;&#45432;&#48152;/23_&#49345;&#48512;&#44053;&#54868;&#45432;&#48152;%20&#49884;&#44277;/&#52404;&#53356;&#47532;&#49828;&#53944;/&#49345;&#48512;&#44053;&#54868;&#45432;&#48152;%20&#49884;&#44277;_&#52404;&#53356;&#47532;&#49828;&#53944;.html" TargetMode="External" Id="rId72"/><Relationship Type="http://schemas.openxmlformats.org/officeDocument/2006/relationships/hyperlink" Target="&#47588;&#45684;&#50620;BODY(&#51665;&#54665;&#45800;&#44228;-&#52392;&#48512;&#54260;&#45908;)v6/&#49345;&#48512;&#44053;&#54868;&#45432;&#48152;/24_&#45796;&#51664;%20&#44160;&#52769;/&#54364;&#51456;&#49436;/&#45796;&#51664;%20&#44160;&#52769;_&#54364;&#51456;&#49436;.html" TargetMode="External" Id="rId73"/><Relationship Type="http://schemas.openxmlformats.org/officeDocument/2006/relationships/hyperlink" Target="&#47588;&#45684;&#50620;BODY(&#51665;&#54665;&#45800;&#44228;-&#52392;&#48512;&#54260;&#45908;)v6/&#49345;&#48512;&#44053;&#54868;&#45432;&#48152;/24_&#45796;&#51664;%20&#44160;&#52769;/&#49688;&#54665;&#51648;&#52840;/&#45796;&#51664;%20&#44160;&#52769;_&#49688;&#54665;&#51648;&#52840;.html" TargetMode="External" Id="rId74"/><Relationship Type="http://schemas.openxmlformats.org/officeDocument/2006/relationships/hyperlink" Target="&#47588;&#45684;&#50620;BODY(&#51665;&#54665;&#45800;&#44228;-&#52392;&#48512;&#54260;&#45908;)v6/&#49345;&#48512;&#44053;&#54868;&#45432;&#48152;/24_&#45796;&#51664;%20&#44160;&#52769;/&#52404;&#53356;&#47532;&#49828;&#53944;/&#45796;&#51664;%20&#44160;&#52769;_&#52404;&#53356;&#47532;&#49828;&#53944;.html" TargetMode="External" Id="rId75"/><Relationship Type="http://schemas.openxmlformats.org/officeDocument/2006/relationships/hyperlink" Target="&#47588;&#45684;&#50620;BODY(&#51665;&#54665;&#45800;&#44228;-&#52392;&#48512;&#54260;&#45908;)v6/&#49345;&#48512;&#44053;&#54868;&#45432;&#48152;/25_&#54217;&#54032;&#51116;&#54616;&#49884;&#54744;/&#54364;&#51456;&#49436;/&#54217;&#54032;&#51116;&#54616;&#49884;&#54744;_&#54364;&#51456;&#49436;.html" TargetMode="External" Id="rId76"/><Relationship Type="http://schemas.openxmlformats.org/officeDocument/2006/relationships/hyperlink" Target="&#47588;&#45684;&#50620;BODY(&#51665;&#54665;&#45800;&#44228;-&#52392;&#48512;&#54260;&#45908;)v6/&#49345;&#48512;&#44053;&#54868;&#45432;&#48152;/25_&#54217;&#54032;&#51116;&#54616;&#49884;&#54744;/&#49688;&#54665;&#51648;&#52840;/&#54217;&#54032;&#51116;&#54616;&#49884;&#54744;_&#49688;&#54665;&#51648;&#52840;.html" TargetMode="External" Id="rId77"/><Relationship Type="http://schemas.openxmlformats.org/officeDocument/2006/relationships/hyperlink" Target="&#47588;&#45684;&#50620;BODY(&#51665;&#54665;&#45800;&#44228;-&#52392;&#48512;&#54260;&#45908;)v6/&#49345;&#48512;&#44053;&#54868;&#45432;&#48152;/25_&#54217;&#54032;&#51116;&#54616;&#49884;&#54744;/&#52404;&#53356;&#47532;&#49828;&#53944;/&#54217;&#54032;&#51116;&#54616;&#49884;&#54744;_&#52404;&#53356;&#47532;&#49828;&#53944;.html" TargetMode="External" Id="rId78"/><Relationship Type="http://schemas.openxmlformats.org/officeDocument/2006/relationships/hyperlink" Target="&#47588;&#45684;&#50620;BODY(&#51665;&#54665;&#45800;&#44228;-&#52392;&#48512;&#54260;&#45908;)v6/&#49345;&#48512;&#44053;&#54868;&#45432;&#48152;/26_&#44053;&#49457;%20&#44160;&#52769;(K30,%20EV2)/&#54364;&#51456;&#49436;/&#44053;&#49457;%20&#44160;&#52769;(K30,%20EV2)_&#54364;&#51456;&#49436;.html" TargetMode="External" Id="rId79"/><Relationship Type="http://schemas.openxmlformats.org/officeDocument/2006/relationships/hyperlink" Target="&#47588;&#45684;&#50620;BODY(&#51665;&#54665;&#45800;&#44228;-&#52392;&#48512;&#54260;&#45908;)v6/&#49345;&#48512;&#44053;&#54868;&#45432;&#48152;/26_&#44053;&#49457;%20&#44160;&#52769;(K30,%20EV2)/&#49688;&#54665;&#51648;&#52840;/&#44053;&#49457;%20&#44160;&#52769;(K30,%20EV2)_&#49688;&#54665;&#51648;&#52840;.html" TargetMode="External" Id="rId80"/><Relationship Type="http://schemas.openxmlformats.org/officeDocument/2006/relationships/hyperlink" Target="&#47588;&#45684;&#50620;BODY(&#51665;&#54665;&#45800;&#44228;-&#52392;&#48512;&#54260;&#45908;)v6/&#49345;&#48512;&#44053;&#54868;&#45432;&#48152;/26_&#44053;&#49457;%20&#44160;&#52769;(K30,%20EV2)/&#52404;&#53356;&#47532;&#49828;&#53944;/&#44053;&#49457;%20&#44160;&#52769;(K30,%20EV2)_&#52404;&#53356;&#47532;&#49828;&#53944;.html" TargetMode="External" Id="rId81"/><Relationship Type="http://schemas.openxmlformats.org/officeDocument/2006/relationships/hyperlink" Target="&#47588;&#45684;&#50620;BODY(&#51665;&#54665;&#45800;&#44228;-&#52392;&#48512;&#54260;&#45908;)v6/&#49345;&#48512;&#44053;&#54868;&#45432;&#48152;/27_&#54217;&#53444;&#49457;%20&#44160;&#52769;/&#54364;&#51456;&#49436;/&#54217;&#53444;&#49457;%20&#44160;&#52769;_&#54364;&#51456;&#49436;.html" TargetMode="External" Id="rId82"/><Relationship Type="http://schemas.openxmlformats.org/officeDocument/2006/relationships/hyperlink" Target="&#47588;&#45684;&#50620;BODY(&#51665;&#54665;&#45800;&#44228;-&#52392;&#48512;&#54260;&#45908;)v6/&#49345;&#48512;&#44053;&#54868;&#45432;&#48152;/27_&#54217;&#53444;&#49457;%20&#44160;&#52769;/&#49688;&#54665;&#51648;&#52840;/&#54217;&#53444;&#49457;%20&#44160;&#52769;_&#49688;&#54665;&#51648;&#52840;.html" TargetMode="External" Id="rId83"/><Relationship Type="http://schemas.openxmlformats.org/officeDocument/2006/relationships/hyperlink" Target="&#47588;&#45684;&#50620;BODY(&#51665;&#54665;&#45800;&#44228;-&#52392;&#48512;&#54260;&#45908;)v6/&#49345;&#48512;&#44053;&#54868;&#45432;&#48152;/27_&#54217;&#53444;&#49457;%20&#44160;&#52769;/&#52404;&#53356;&#47532;&#49828;&#53944;/&#54217;&#53444;&#49457;%20&#44160;&#52769;_&#52404;&#53356;&#47532;&#49828;&#53944;.html" TargetMode="External" Id="rId84"/><Relationship Type="http://schemas.openxmlformats.org/officeDocument/2006/relationships/hyperlink" Target="&#47588;&#45684;&#50620;BODY(&#51665;&#54665;&#45800;&#44228;-&#52392;&#48512;&#54260;&#45908;)v6/&#49345;&#48512;&#44053;&#54868;&#45432;&#48152;/28_&#45432;&#48152;%20&#51333;%20&#54945;&#45800;%20&#44160;&#52769;/&#54364;&#51456;&#49436;/&#45432;&#48152;%20&#51333;%20&#54945;&#45800;%20&#44160;&#52769;_&#54364;&#51456;&#49436;.html" TargetMode="External" Id="rId85"/><Relationship Type="http://schemas.openxmlformats.org/officeDocument/2006/relationships/hyperlink" Target="&#47588;&#45684;&#50620;BODY(&#51665;&#54665;&#45800;&#44228;-&#52392;&#48512;&#54260;&#45908;)v6/&#49345;&#48512;&#44053;&#54868;&#45432;&#48152;/28_&#45432;&#48152;%20&#51333;%20&#54945;&#45800;%20&#44160;&#52769;/&#49688;&#54665;&#51648;&#52840;/&#45432;&#48152;%20&#51333;%20&#54945;&#45800;%20&#44160;&#52769;_&#49688;&#54665;&#51648;&#52840;.html" TargetMode="External" Id="rId86"/><Relationship Type="http://schemas.openxmlformats.org/officeDocument/2006/relationships/hyperlink" Target="&#47588;&#45684;&#50620;BODY(&#51665;&#54665;&#45800;&#44228;-&#52392;&#48512;&#54260;&#45908;)v6/&#49345;&#48512;&#44053;&#54868;&#45432;&#48152;/28_&#45432;&#48152;%20&#51333;%20&#54945;&#45800;%20&#44160;&#52769;/&#52404;&#53356;&#47532;&#49828;&#53944;/&#45432;&#48152;%20&#51333;%20&#54945;&#45800;%20&#44160;&#52769;_&#52404;&#53356;&#47532;&#49828;&#53944;.html" TargetMode="External" Id="rId87"/><Relationship Type="http://schemas.openxmlformats.org/officeDocument/2006/relationships/hyperlink" Target="&#47588;&#45684;&#50620;BODY(&#51665;&#54665;&#45800;&#44228;-&#52392;&#48512;&#54260;&#45908;)v6/&#49345;&#48512;&#44053;&#54868;&#45432;&#48152;/29_&#48512;&#51201;&#54633;%20&#49324;&#54637;%20&#51312;&#52824;/&#54364;&#51456;&#49436;/&#48512;&#51201;&#54633;%20&#49324;&#54637;%20&#51312;&#52824;_&#54364;&#51456;&#49436;.html" TargetMode="External" Id="rId88"/><Relationship Type="http://schemas.openxmlformats.org/officeDocument/2006/relationships/hyperlink" Target="&#47588;&#45684;&#50620;BODY(&#51665;&#54665;&#45800;&#44228;-&#52392;&#48512;&#54260;&#45908;)v6/&#49345;&#48512;&#44053;&#54868;&#45432;&#48152;/29_&#48512;&#51201;&#54633;%20&#49324;&#54637;%20&#51312;&#52824;/&#49688;&#54665;&#51648;&#52840;/&#48512;&#51201;&#54633;%20&#49324;&#54637;%20&#51312;&#52824;_&#49688;&#54665;&#51648;&#52840;.html" TargetMode="External" Id="rId89"/><Relationship Type="http://schemas.openxmlformats.org/officeDocument/2006/relationships/hyperlink" Target="&#47588;&#45684;&#50620;BODY(&#51665;&#54665;&#45800;&#44228;-&#52392;&#48512;&#54260;&#45908;)v6/&#49345;&#48512;&#44053;&#54868;&#45432;&#48152;/29_&#48512;&#51201;&#54633;%20&#49324;&#54637;%20&#51312;&#52824;/&#52404;&#53356;&#47532;&#49828;&#53944;/&#48512;&#51201;&#54633;%20&#49324;&#54637;%20&#51312;&#52824;_&#52404;&#53356;&#47532;&#49828;&#53944;.html" TargetMode="External" Id="rId90"/><Relationship Type="http://schemas.openxmlformats.org/officeDocument/2006/relationships/hyperlink" Target="&#47588;&#45684;&#50620;BODY(&#51665;&#54665;&#45800;&#44228;-&#52392;&#48512;&#54260;&#45908;)v6/&#49345;&#48512;&#44053;&#54868;&#45432;&#48152;/30_&#49324;&#47732;%20&#45796;&#51664;%20&#44160;&#52769;/&#54364;&#51456;&#49436;/&#49324;&#47732;%20&#45796;&#51664;%20&#44160;&#52769;_&#54364;&#51456;&#49436;.html" TargetMode="External" Id="rId91"/><Relationship Type="http://schemas.openxmlformats.org/officeDocument/2006/relationships/hyperlink" Target="&#47588;&#45684;&#50620;BODY(&#51665;&#54665;&#45800;&#44228;-&#52392;&#48512;&#54260;&#45908;)v6/&#49345;&#48512;&#44053;&#54868;&#45432;&#48152;/30_&#49324;&#47732;%20&#45796;&#51664;%20&#44160;&#52769;/&#49688;&#54665;&#51648;&#52840;/&#49324;&#47732;%20&#45796;&#51664;%20&#44160;&#52769;_&#49688;&#54665;&#51648;&#52840;.html" TargetMode="External" Id="rId92"/><Relationship Type="http://schemas.openxmlformats.org/officeDocument/2006/relationships/hyperlink" Target="&#47588;&#45684;&#50620;BODY(&#51665;&#54665;&#45800;&#44228;-&#52392;&#48512;&#54260;&#45908;)v6/&#49345;&#48512;&#44053;&#54868;&#45432;&#48152;/30_&#49324;&#47732;%20&#45796;&#51664;%20&#44160;&#52769;/&#52404;&#53356;&#47532;&#49828;&#53944;/&#49324;&#47732;%20&#45796;&#51664;%20&#44160;&#52769;_&#52404;&#53356;&#47532;&#49828;&#53944;.html" TargetMode="External" Id="rId93"/><Relationship Type="http://schemas.openxmlformats.org/officeDocument/2006/relationships/hyperlink" Target="&#47588;&#45684;&#50620;BODY(&#51665;&#54665;&#45800;&#44228;-&#52392;&#48512;&#54260;&#45908;)v6/&#49345;&#48512;&#44053;&#54868;&#45432;&#48152;/31_&#48176;&#49688;&#49884;&#49444;%20&#49884;&#44277;%20&#44160;&#52769;/&#54364;&#51456;&#49436;/&#48176;&#49688;&#49884;&#49444;%20&#49884;&#44277;%20&#44160;&#52769;_&#54364;&#51456;&#49436;.html" TargetMode="External" Id="rId94"/><Relationship Type="http://schemas.openxmlformats.org/officeDocument/2006/relationships/hyperlink" Target="&#47588;&#45684;&#50620;BODY(&#51665;&#54665;&#45800;&#44228;-&#52392;&#48512;&#54260;&#45908;)v6/&#49345;&#48512;&#44053;&#54868;&#45432;&#48152;/31_&#48176;&#49688;&#49884;&#49444;%20&#49884;&#44277;%20&#44160;&#52769;/&#49688;&#54665;&#51648;&#52840;/&#48176;&#49688;&#49884;&#49444;%20&#49884;&#44277;%20&#44160;&#52769;_&#49688;&#54665;&#51648;&#52840;.html" TargetMode="External" Id="rId95"/><Relationship Type="http://schemas.openxmlformats.org/officeDocument/2006/relationships/hyperlink" Target="&#47588;&#45684;&#50620;BODY(&#51665;&#54665;&#45800;&#44228;-&#52392;&#48512;&#54260;&#45908;)v6/&#49345;&#48512;&#44053;&#54868;&#45432;&#48152;/31_&#48176;&#49688;&#49884;&#49444;%20&#49884;&#44277;%20&#44160;&#52769;/&#52404;&#53356;&#47532;&#49828;&#53944;/&#48176;&#49688;&#49884;&#49444;%20&#49884;&#44277;%20&#44160;&#52769;_&#52404;&#53356;&#47532;&#49828;&#53944;.html" TargetMode="External" Id="rId96"/><Relationship Type="http://schemas.openxmlformats.org/officeDocument/2006/relationships/hyperlink" Target="&#47588;&#45684;&#50620;BODY(&#51665;&#54665;&#45800;&#44228;-&#52392;&#48512;&#54260;&#45908;)v6/&#49345;&#48512;&#44053;&#54868;&#45432;&#48152;/32_&#50756;&#49457;&#47732;%20&#48372;&#54840;/&#54364;&#51456;&#49436;/&#50756;&#49457;&#47732;%20&#48372;&#54840;_&#54364;&#51456;&#49436;.html" TargetMode="External" Id="rId97"/><Relationship Type="http://schemas.openxmlformats.org/officeDocument/2006/relationships/hyperlink" Target="&#47588;&#45684;&#50620;BODY(&#51665;&#54665;&#45800;&#44228;-&#52392;&#48512;&#54260;&#45908;)v6/&#49345;&#48512;&#44053;&#54868;&#45432;&#48152;/32_&#50756;&#49457;&#47732;%20&#48372;&#54840;/&#49688;&#54665;&#51648;&#52840;/&#50756;&#49457;&#47732;%20&#48372;&#54840;_&#49688;&#54665;&#51648;&#52840;.html" TargetMode="External" Id="rId98"/><Relationship Type="http://schemas.openxmlformats.org/officeDocument/2006/relationships/hyperlink" Target="&#47588;&#45684;&#50620;BODY(&#51665;&#54665;&#45800;&#44228;-&#52392;&#48512;&#54260;&#45908;)v6/&#49345;&#48512;&#44053;&#54868;&#45432;&#48152;/32_&#50756;&#49457;&#47732;%20&#48372;&#54840;/&#52404;&#53356;&#47532;&#49828;&#53944;/&#50756;&#49457;&#47732;%20&#48372;&#54840;_&#52404;&#53356;&#47532;&#49828;&#53944;.html" TargetMode="External" Id="rId99"/><Relationship Type="http://schemas.openxmlformats.org/officeDocument/2006/relationships/hyperlink" Target="&#47588;&#45684;&#50620;BODY(&#51665;&#54665;&#45800;&#44228;-&#52392;&#48512;&#54260;&#45908;)v6/&#49345;&#48512;&#44053;&#54868;&#45432;&#48152;/33_&#44277;&#49324;&#51068;&#51648;%20&#51089;&#49457;/&#54364;&#51456;&#49436;/&#44277;&#49324;&#51068;&#51648;%20&#51089;&#49457;_&#54364;&#51456;&#49436;.html" TargetMode="External" Id="rId100"/><Relationship Type="http://schemas.openxmlformats.org/officeDocument/2006/relationships/hyperlink" Target="&#47588;&#45684;&#50620;BODY(&#51665;&#54665;&#45800;&#44228;-&#52392;&#48512;&#54260;&#45908;)v6/&#49345;&#48512;&#44053;&#54868;&#45432;&#48152;/33_&#44277;&#49324;&#51068;&#51648;%20&#51089;&#49457;/&#49688;&#54665;&#51648;&#52840;/&#44277;&#49324;&#51068;&#51648;%20&#51089;&#49457;_&#49688;&#54665;&#51648;&#52840;.html" TargetMode="External" Id="rId101"/><Relationship Type="http://schemas.openxmlformats.org/officeDocument/2006/relationships/hyperlink" Target="&#47588;&#45684;&#50620;BODY(&#51665;&#54665;&#45800;&#44228;-&#52392;&#48512;&#54260;&#45908;)v6/&#49345;&#48512;&#44053;&#54868;&#45432;&#48152;/33_&#44277;&#49324;&#51068;&#51648;%20&#51089;&#49457;/&#52404;&#53356;&#47532;&#49828;&#53944;/&#44277;&#49324;&#51068;&#51648;%20&#51089;&#49457;_&#52404;&#53356;&#47532;&#49828;&#53944;.html" TargetMode="External" Id="rId102"/><Relationship Type="http://schemas.openxmlformats.org/officeDocument/2006/relationships/hyperlink" Target="&#47588;&#45684;&#50620;BODY(&#51665;&#54665;&#45800;&#44228;-&#52392;&#48512;&#54260;&#45908;)v6/&#49345;&#48512;&#44053;&#54868;&#45432;&#48152;/35_&#44160;&#52769;%20&#48143;%20&#49849;&#51064;%20&#44288;&#47532;/&#54364;&#51456;&#49436;/&#44160;&#52769;%20&#48143;%20&#49849;&#51064;%20&#44288;&#47532;_&#54364;&#51456;&#49436;.html" TargetMode="External" Id="rId103"/><Relationship Type="http://schemas.openxmlformats.org/officeDocument/2006/relationships/hyperlink" Target="&#47588;&#45684;&#50620;BODY(&#51665;&#54665;&#45800;&#44228;-&#52392;&#48512;&#54260;&#45908;)v6/&#49345;&#48512;&#44053;&#54868;&#45432;&#48152;/35_&#44160;&#52769;%20&#48143;%20&#49849;&#51064;%20&#44288;&#47532;/&#49688;&#54665;&#51648;&#52840;/&#44160;&#52769;%20&#48143;%20&#49849;&#51064;%20&#44288;&#47532;_&#49688;&#54665;&#51648;&#52840;.html" TargetMode="External" Id="rId104"/><Relationship Type="http://schemas.openxmlformats.org/officeDocument/2006/relationships/hyperlink" Target="&#47588;&#45684;&#50620;BODY(&#51665;&#54665;&#45800;&#44228;-&#52392;&#48512;&#54260;&#45908;)v6/&#49345;&#48512;&#44053;&#54868;&#45432;&#48152;/35_&#44160;&#52769;%20&#48143;%20&#49849;&#51064;%20&#44288;&#47532;/&#52404;&#53356;&#47532;&#49828;&#53944;/&#44160;&#52769;%20&#48143;%20&#49849;&#51064;%20&#44288;&#47532;_&#52404;&#53356;&#47532;&#49828;&#53944;.html" TargetMode="External" Id="rId105"/><Relationship Type="http://schemas.openxmlformats.org/officeDocument/2006/relationships/hyperlink" Target="&#47588;&#45684;&#50620;BODY(&#51665;&#54665;&#45800;&#44228;-&#52392;&#48512;&#54260;&#45908;)v6/&#49345;&#48512;&#44053;&#54868;&#45432;&#48152;/36_&#53664;&#44277;%20&#47560;&#47924;&#47532;&#47732;%20&#51064;&#44228;/&#54364;&#51456;&#49436;/&#53664;&#44277;%20&#47560;&#47924;&#47532;&#47732;%20&#51064;&#44228;_&#54364;&#51456;&#49436;.html" TargetMode="External" Id="rId106"/><Relationship Type="http://schemas.openxmlformats.org/officeDocument/2006/relationships/hyperlink" Target="&#47588;&#45684;&#50620;BODY(&#51665;&#54665;&#45800;&#44228;-&#52392;&#48512;&#54260;&#45908;)v6/&#49345;&#48512;&#44053;&#54868;&#45432;&#48152;/36_&#53664;&#44277;%20&#47560;&#47924;&#47532;&#47732;%20&#51064;&#44228;/&#49688;&#54665;&#51648;&#52840;/&#53664;&#44277;%20&#47560;&#47924;&#47532;&#47732;%20&#51064;&#44228;_&#49688;&#54665;&#51648;&#52840;.html" TargetMode="External" Id="rId107"/><Relationship Type="http://schemas.openxmlformats.org/officeDocument/2006/relationships/hyperlink" Target="&#47588;&#45684;&#50620;BODY(&#51665;&#54665;&#45800;&#44228;-&#52392;&#48512;&#54260;&#45908;)v6/&#49345;&#48512;&#44053;&#54868;&#45432;&#48152;/36_&#53664;&#44277;%20&#47560;&#47924;&#47532;&#47732;%20&#51064;&#44228;/&#52404;&#53356;&#47532;&#49828;&#53944;/&#53664;&#44277;%20&#47560;&#47924;&#47532;&#47732;%20&#51064;&#44228;_&#52404;&#53356;&#47532;&#49828;&#53944;.html" TargetMode="External" Id="rId108"/></Relationships>
</file>

<file path=xl/worksheets/_rels/sheet8.xml.rels><Relationships xmlns="http://schemas.openxmlformats.org/package/2006/relationships"><Relationship Type="http://schemas.openxmlformats.org/officeDocument/2006/relationships/hyperlink" Target="&#47588;&#45684;&#50620;BODY(&#51665;&#54665;&#45800;&#44228;-&#52392;&#48512;&#54260;&#45908;)v6\&#53080;&#53356;&#47532;&#53944;&#46020;&#49345;\1_&#49444;&#44228;&#51201;&#51221;&#49457;%20&#44160;&#53664;\&#54364;&#51456;&#49436;\&#49444;&#44228;&#51201;&#51221;&#49457;%20&#44160;&#53664;_&#54364;&#51456;&#49436;.html" TargetMode="External" Id="rId1"/><Relationship Type="http://schemas.openxmlformats.org/officeDocument/2006/relationships/hyperlink" Target="&#47588;&#45684;&#50620;BODY(&#51665;&#54665;&#45800;&#44228;-&#52392;&#48512;&#54260;&#45908;)v6\&#53080;&#53356;&#47532;&#53944;&#46020;&#49345;\1_&#49444;&#44228;&#51201;&#51221;&#49457;%20&#44160;&#53664;\&#49688;&#54665;&#51648;&#52840;\&#49444;&#44228;&#51201;&#51221;&#49457;%20&#44160;&#53664;_&#49688;&#54665;&#51648;&#52840;.html" TargetMode="External" Id="rId2"/><Relationship Type="http://schemas.openxmlformats.org/officeDocument/2006/relationships/hyperlink" Target="&#47588;&#45684;&#50620;BODY(&#51665;&#54665;&#45800;&#44228;-&#52392;&#48512;&#54260;&#45908;)v6\&#53080;&#53356;&#47532;&#53944;&#46020;&#49345;\1_&#49444;&#44228;&#51201;&#51221;&#49457;%20&#44160;&#53664;\&#52404;&#53356;&#47532;&#49828;&#53944;\&#49444;&#44228;&#51201;&#51221;&#49457;%20&#44160;&#53664;_&#52404;&#53356;&#47532;&#49828;&#53944;.html" TargetMode="External" Id="rId3"/><Relationship Type="http://schemas.openxmlformats.org/officeDocument/2006/relationships/hyperlink" Target="&#47588;&#45684;&#50620;BODY(&#51665;&#54665;&#45800;&#44228;-&#52392;&#48512;&#54260;&#45908;)v6\&#53080;&#53356;&#47532;&#53944;&#46020;&#49345;\2_&#51088;&#51116;%20&#50556;&#51201;&#51109;%20&#49440;&#51221;\&#54364;&#51456;&#49436;\&#51088;&#51116;%20&#50556;&#51201;&#51109;%20&#49440;&#51221;_&#54364;&#51456;&#49436;.html" TargetMode="External" Id="rId4"/><Relationship Type="http://schemas.openxmlformats.org/officeDocument/2006/relationships/hyperlink" Target="&#47588;&#45684;&#50620;BODY(&#51665;&#54665;&#45800;&#44228;-&#52392;&#48512;&#54260;&#45908;)v6\&#53080;&#53356;&#47532;&#53944;&#46020;&#49345;\2_&#51088;&#51116;%20&#50556;&#51201;&#51109;%20&#49440;&#51221;\&#49688;&#54665;&#51648;&#52840;\&#51088;&#51116;%20&#50556;&#51201;&#51109;%20&#49440;&#51221;_&#49688;&#54665;&#51648;&#52840;.html" TargetMode="External" Id="rId5"/><Relationship Type="http://schemas.openxmlformats.org/officeDocument/2006/relationships/hyperlink" Target="&#47588;&#45684;&#50620;BODY(&#51665;&#54665;&#45800;&#44228;-&#52392;&#48512;&#54260;&#45908;)v6\&#53080;&#53356;&#47532;&#53944;&#46020;&#49345;\2_&#51088;&#51116;%20&#50556;&#51201;&#51109;%20&#49440;&#51221;\&#52404;&#53356;&#47532;&#49828;&#53944;\&#51088;&#51116;%20&#50556;&#51201;&#51109;%20&#49440;&#51221;_&#52404;&#53356;&#47532;&#49828;&#53944;.html" TargetMode="External" Id="rId6"/><Relationship Type="http://schemas.openxmlformats.org/officeDocument/2006/relationships/hyperlink" Target="&#47588;&#45684;&#50620;BODY(&#51665;&#54665;&#45800;&#44228;-&#52392;&#48512;&#54260;&#45908;)v6\&#53080;&#53356;&#47532;&#53944;&#46020;&#49345;\3_&#47112;&#51068;%20&#50857;&#51217;&#51109;%20&#49440;&#51221;\&#54364;&#51456;&#49436;\&#47112;&#51068;%20&#50857;&#51217;&#51109;%20&#49440;&#51221;_&#54364;&#51456;&#49436;.html" TargetMode="External" Id="rId7"/><Relationship Type="http://schemas.openxmlformats.org/officeDocument/2006/relationships/hyperlink" Target="&#47588;&#45684;&#50620;BODY(&#51665;&#54665;&#45800;&#44228;-&#52392;&#48512;&#54260;&#45908;)v6\&#53080;&#53356;&#47532;&#53944;&#46020;&#49345;\3_&#47112;&#51068;%20&#50857;&#51217;&#51109;%20&#49440;&#51221;\&#49688;&#54665;&#51648;&#52840;\&#47112;&#51068;%20&#50857;&#51217;&#51109;%20&#49440;&#51221;_&#49688;&#54665;&#51648;&#52840;.html" TargetMode="External" Id="rId8"/><Relationship Type="http://schemas.openxmlformats.org/officeDocument/2006/relationships/hyperlink" Target="&#47588;&#45684;&#50620;BODY(&#51665;&#54665;&#45800;&#44228;-&#52392;&#48512;&#54260;&#45908;)v6\&#53080;&#53356;&#47532;&#53944;&#46020;&#49345;\3_&#47112;&#51068;%20&#50857;&#51217;&#51109;%20&#49440;&#51221;\&#52404;&#53356;&#47532;&#49828;&#53944;\&#47112;&#51068;%20&#50857;&#51217;&#51109;%20&#49440;&#51221;_&#52404;&#53356;&#47532;&#49828;&#53944;.html" TargetMode="External" Id="rId9"/><Relationship Type="http://schemas.openxmlformats.org/officeDocument/2006/relationships/hyperlink" Target="&#47588;&#45684;&#50620;BODY(&#51665;&#54665;&#45800;&#44228;-&#52392;&#48512;&#54260;&#45908;)v6\&#53080;&#53356;&#47532;&#53944;&#46020;&#49345;\4_&#48156;&#51452;&#51204;&#47029;%20KOM\&#54364;&#51456;&#49436;\&#48156;&#51452;&#51204;&#47029;%20KOM_&#54364;&#51456;&#49436;.html" TargetMode="External" Id="rId10"/><Relationship Type="http://schemas.openxmlformats.org/officeDocument/2006/relationships/hyperlink" Target="&#47588;&#45684;&#50620;BODY(&#51665;&#54665;&#45800;&#44228;-&#52392;&#48512;&#54260;&#45908;)v6\&#53080;&#53356;&#47532;&#53944;&#46020;&#49345;\4_&#48156;&#51452;&#51204;&#47029;%20KOM\&#49688;&#54665;&#51648;&#52840;\&#48156;&#51452;&#51204;&#47029;%20KOM_&#49688;&#54665;&#51648;&#52840;.html" TargetMode="External" Id="rId11"/><Relationship Type="http://schemas.openxmlformats.org/officeDocument/2006/relationships/hyperlink" Target="&#47588;&#45684;&#50620;BODY(&#51665;&#54665;&#45800;&#44228;-&#52392;&#48512;&#54260;&#45908;)v6\&#53080;&#53356;&#47532;&#53944;&#46020;&#49345;\4_&#48156;&#51452;&#51204;&#47029;%20KOM\&#52404;&#53356;&#47532;&#49828;&#53944;\&#48156;&#51452;&#51204;&#47029;%20KOM_&#52404;&#53356;&#47532;&#49828;&#53944;.html" TargetMode="External" Id="rId12"/><Relationship Type="http://schemas.openxmlformats.org/officeDocument/2006/relationships/hyperlink" Target="&#47588;&#45684;&#50620;BODY(&#51665;&#54665;&#45800;&#44228;-&#52392;&#48512;&#54260;&#45908;)v6\&#53080;&#53356;&#47532;&#53944;&#46020;&#49345;\5_&#52572;&#44256;&#51032;%20&#54016;%20&#47564;&#46308;&#44592;%20&#51648;&#50896;\&#54364;&#51456;&#49436;\&#52572;&#44256;&#51032;%20&#54016;%20&#47564;&#46308;&#44592;%20&#51648;&#50896;_&#54364;&#51456;&#49436;.html" TargetMode="External" Id="rId13"/><Relationship Type="http://schemas.openxmlformats.org/officeDocument/2006/relationships/hyperlink" Target="&#47588;&#45684;&#50620;BODY(&#51665;&#54665;&#45800;&#44228;-&#52392;&#48512;&#54260;&#45908;)v6\&#53080;&#53356;&#47532;&#53944;&#46020;&#49345;\5_&#52572;&#44256;&#51032;%20&#54016;%20&#47564;&#46308;&#44592;%20&#51648;&#50896;\&#49688;&#54665;&#51648;&#52840;\&#52572;&#44256;&#51032;%20&#54016;%20&#47564;&#46308;&#44592;%20&#51648;&#50896;_&#49688;&#54665;&#51648;&#52840;.html" TargetMode="External" Id="rId14"/><Relationship Type="http://schemas.openxmlformats.org/officeDocument/2006/relationships/hyperlink" Target="&#47588;&#45684;&#50620;BODY(&#51665;&#54665;&#45800;&#44228;-&#52392;&#48512;&#54260;&#45908;)v6\&#53080;&#53356;&#47532;&#53944;&#46020;&#49345;\5_&#52572;&#44256;&#51032;%20&#54016;%20&#47564;&#46308;&#44592;%20&#51648;&#50896;\&#52404;&#53356;&#47532;&#49828;&#53944;\&#52572;&#44256;&#51032;%20&#54016;%20&#47564;&#46308;&#44592;%20&#51648;&#50896;_&#52404;&#53356;&#47532;&#49828;&#53944;.html" TargetMode="External" Id="rId15"/><Relationship Type="http://schemas.openxmlformats.org/officeDocument/2006/relationships/hyperlink" Target="&#47588;&#45684;&#50620;BODY(&#51665;&#54665;&#45800;&#44228;-&#52392;&#48512;&#54260;&#45908;)v6\&#53080;&#53356;&#47532;&#53944;&#46020;&#49345;\6_&#53080;&#53356;&#47532;&#53944;%20&#53440;&#49444;&#48169;&#48277;_&#44228;&#54925;%20&#44160;&#53664;\&#54364;&#51456;&#49436;\&#53080;&#53356;&#47532;&#53944;%20&#53440;&#49444;&#48169;&#48277;_&#44228;&#54925;%20&#44160;&#53664;_&#54364;&#51456;&#49436;.html" TargetMode="External" Id="rId16"/><Relationship Type="http://schemas.openxmlformats.org/officeDocument/2006/relationships/hyperlink" Target="&#47588;&#45684;&#50620;BODY(&#51665;&#54665;&#45800;&#44228;-&#52392;&#48512;&#54260;&#45908;)v6\&#53080;&#53356;&#47532;&#53944;&#46020;&#49345;\6_&#53080;&#53356;&#47532;&#53944;%20&#53440;&#49444;&#48169;&#48277;_&#44228;&#54925;%20&#44160;&#53664;\&#49688;&#54665;&#51648;&#52840;\&#53080;&#53356;&#47532;&#53944;%20&#53440;&#49444;&#48169;&#48277;_&#44228;&#54925;%20&#44160;&#53664;_&#49688;&#54665;&#51648;&#52840;.html" TargetMode="External" Id="rId17"/><Relationship Type="http://schemas.openxmlformats.org/officeDocument/2006/relationships/hyperlink" Target="&#47588;&#45684;&#50620;BODY(&#51665;&#54665;&#45800;&#44228;-&#52392;&#48512;&#54260;&#45908;)v6\&#53080;&#53356;&#47532;&#53944;&#46020;&#49345;\6_&#53080;&#53356;&#47532;&#53944;%20&#53440;&#49444;&#48169;&#48277;_&#44228;&#54925;%20&#44160;&#53664;\&#52404;&#53356;&#47532;&#49828;&#53944;\&#53080;&#53356;&#47532;&#53944;%20&#53440;&#49444;&#48169;&#48277;_&#44228;&#54925;%20&#44160;&#53664;_&#52404;&#53356;&#47532;&#49828;&#53944;.html" TargetMode="External" Id="rId18"/><Relationship Type="http://schemas.openxmlformats.org/officeDocument/2006/relationships/hyperlink" Target="&#47588;&#45684;&#50620;BODY(&#51665;&#54665;&#45800;&#44228;-&#52392;&#48512;&#54260;&#45908;)v6\&#53080;&#53356;&#47532;&#53944;&#46020;&#49345;\7_&#51089;&#49688;&#51204;%20Big%20Room%20&#54924;&#51032;\&#54364;&#51456;&#49436;\&#51089;&#49688;&#51204;%20Big%20Room%20&#54924;&#51032;_&#54364;&#51456;&#49436;.html" TargetMode="External" Id="rId19"/><Relationship Type="http://schemas.openxmlformats.org/officeDocument/2006/relationships/hyperlink" Target="&#47588;&#45684;&#50620;BODY(&#51665;&#54665;&#45800;&#44228;-&#52392;&#48512;&#54260;&#45908;)v6\&#53080;&#53356;&#47532;&#53944;&#46020;&#49345;\7_&#51089;&#49688;&#51204;%20Big%20Room%20&#54924;&#51032;\&#49688;&#54665;&#51648;&#52840;\&#51089;&#49688;&#51204;%20Big%20Room%20&#54924;&#51032;_&#49688;&#54665;&#51648;&#52840;.html" TargetMode="External" Id="rId20"/><Relationship Type="http://schemas.openxmlformats.org/officeDocument/2006/relationships/hyperlink" Target="&#47588;&#45684;&#50620;BODY(&#51665;&#54665;&#45800;&#44228;-&#52392;&#48512;&#54260;&#45908;)v6\&#53080;&#53356;&#47532;&#53944;&#46020;&#49345;\7_&#51089;&#49688;&#51204;%20Big%20Room%20&#54924;&#51032;\&#52404;&#53356;&#47532;&#49828;&#53944;\&#51089;&#49688;&#51204;%20Big%20Room%20&#54924;&#51032;_&#52404;&#53356;&#47532;&#49828;&#53944;.html" TargetMode="External" Id="rId21"/><Relationship Type="http://schemas.openxmlformats.org/officeDocument/2006/relationships/hyperlink" Target="&#47588;&#45684;&#50620;BODY(&#51665;&#54665;&#45800;&#44228;-&#52392;&#48512;&#54260;&#45908;)v6\&#53080;&#53356;&#47532;&#53944;&#46020;&#49345;\8_&#51109;&#48708;,&#51088;&#51116;%20&#48152;&#51077;&#47196;_&#48152;&#51077;&#44396;%20&#44036;&#49453;%20&#44160;&#53664;\&#54364;&#51456;&#49436;\&#51109;&#48708;,&#51088;&#51116;%20&#48152;&#51077;&#47196;_&#48152;&#51077;&#44396;%20&#44036;&#49453;%20&#44160;&#53664;_&#54364;&#51456;&#49436;.html" TargetMode="External" Id="rId22"/><Relationship Type="http://schemas.openxmlformats.org/officeDocument/2006/relationships/hyperlink" Target="&#47588;&#45684;&#50620;BODY(&#51665;&#54665;&#45800;&#44228;-&#52392;&#48512;&#54260;&#45908;)v6\&#53080;&#53356;&#47532;&#53944;&#46020;&#49345;\8_&#51109;&#48708;,&#51088;&#51116;%20&#48152;&#51077;&#47196;_&#48152;&#51077;&#44396;%20&#44036;&#49453;%20&#44160;&#53664;\&#49688;&#54665;&#51648;&#52840;\&#51109;&#48708;,&#51088;&#51116;%20&#48152;&#51077;&#47196;_&#48152;&#51077;&#44396;%20&#44036;&#49453;%20&#44160;&#53664;_&#49688;&#54665;&#51648;&#52840;.html" TargetMode="External" Id="rId23"/><Relationship Type="http://schemas.openxmlformats.org/officeDocument/2006/relationships/hyperlink" Target="&#47588;&#45684;&#50620;BODY(&#51665;&#54665;&#45800;&#44228;-&#52392;&#48512;&#54260;&#45908;)v6\&#53080;&#53356;&#47532;&#53944;&#46020;&#49345;\8_&#51109;&#48708;,&#51088;&#51116;%20&#48152;&#51077;&#47196;_&#48152;&#51077;&#44396;%20&#44036;&#49453;%20&#44160;&#53664;\&#52404;&#53356;&#47532;&#49828;&#53944;\&#51109;&#48708;,&#51088;&#51116;%20&#48152;&#51077;&#47196;_&#48152;&#51077;&#44396;%20&#44036;&#49453;%20&#44160;&#53664;_&#52404;&#53356;&#47532;&#49828;&#53944;.html" TargetMode="External" Id="rId24"/><Relationship Type="http://schemas.openxmlformats.org/officeDocument/2006/relationships/hyperlink" Target="&#47588;&#45684;&#50620;BODY(&#51665;&#54665;&#45800;&#44228;-&#52392;&#48512;&#54260;&#45908;)v6\&#53080;&#53356;&#47532;&#53944;&#46020;&#49345;\9_&#51088;&#51116;&#51312;&#45804;&#44228;&#54925;%20&#44160;&#53664;\&#54364;&#51456;&#49436;\&#51088;&#51116;&#51312;&#45804;&#44228;&#54925;%20&#44160;&#53664;_&#54364;&#51456;&#49436;.html" TargetMode="External" Id="rId25"/><Relationship Type="http://schemas.openxmlformats.org/officeDocument/2006/relationships/hyperlink" Target="&#47588;&#45684;&#50620;BODY(&#51665;&#54665;&#45800;&#44228;-&#52392;&#48512;&#54260;&#45908;)v6\&#53080;&#53356;&#47532;&#53944;&#46020;&#49345;\9_&#51088;&#51116;&#51312;&#45804;&#44228;&#54925;%20&#44160;&#53664;\&#49688;&#54665;&#51648;&#52840;\&#51088;&#51116;&#51312;&#45804;&#44228;&#54925;%20&#44160;&#53664;_&#49688;&#54665;&#51648;&#52840;.html" TargetMode="External" Id="rId26"/><Relationship Type="http://schemas.openxmlformats.org/officeDocument/2006/relationships/hyperlink" Target="&#47588;&#45684;&#50620;BODY(&#51665;&#54665;&#45800;&#44228;-&#52392;&#48512;&#54260;&#45908;)v6\&#53080;&#53356;&#47532;&#53944;&#46020;&#49345;\9_&#51088;&#51116;&#51312;&#45804;&#44228;&#54925;%20&#44160;&#53664;\&#52404;&#53356;&#47532;&#49828;&#53944;\&#51088;&#51116;&#51312;&#45804;&#44228;&#54925;%20&#44160;&#53664;_&#52404;&#53356;&#47532;&#49828;&#53944;.html" TargetMode="External" Id="rId27"/><Relationship Type="http://schemas.openxmlformats.org/officeDocument/2006/relationships/hyperlink" Target="&#47588;&#45684;&#50620;BODY(&#51665;&#54665;&#45800;&#44228;-&#52392;&#48512;&#54260;&#45908;)v6\&#53080;&#53356;&#47532;&#53944;&#46020;&#49345;\10_&#51088;&#51116;%20&#48156;&#51452;%20&#50836;&#52397;\&#54364;&#51456;&#49436;\&#51088;&#51116;%20&#48156;&#51452;%20&#50836;&#52397;_&#54364;&#51456;&#49436;.html" TargetMode="External" Id="rId28"/><Relationship Type="http://schemas.openxmlformats.org/officeDocument/2006/relationships/hyperlink" Target="&#47588;&#45684;&#50620;BODY(&#51665;&#54665;&#45800;&#44228;-&#52392;&#48512;&#54260;&#45908;)v6\&#53080;&#53356;&#47532;&#53944;&#46020;&#49345;\10_&#51088;&#51116;%20&#48156;&#51452;%20&#50836;&#52397;\&#49688;&#54665;&#51648;&#52840;\&#51088;&#51116;%20&#48156;&#51452;%20&#50836;&#52397;_&#49688;&#54665;&#51648;&#52840;.html" TargetMode="External" Id="rId29"/><Relationship Type="http://schemas.openxmlformats.org/officeDocument/2006/relationships/hyperlink" Target="&#47588;&#45684;&#50620;BODY(&#51665;&#54665;&#45800;&#44228;-&#52392;&#48512;&#54260;&#45908;)v6\&#53080;&#53356;&#47532;&#53944;&#46020;&#49345;\10_&#51088;&#51116;%20&#48156;&#51452;%20&#50836;&#52397;\&#52404;&#53356;&#47532;&#49828;&#53944;\&#51088;&#51116;%20&#48156;&#51452;%20&#50836;&#52397;_&#52404;&#53356;&#47532;&#49828;&#53944;.html" TargetMode="External" Id="rId30"/><Relationship Type="http://schemas.openxmlformats.org/officeDocument/2006/relationships/hyperlink" Target="&#47588;&#45684;&#50620;BODY(&#51665;&#54665;&#45800;&#44228;-&#52392;&#48512;&#54260;&#45908;)v6\&#53080;&#53356;&#47532;&#53944;&#46020;&#49345;\11_&#49884;&#44277;&#44228;&#54925;%20&#49688;&#47549;\&#54364;&#51456;&#49436;\&#49884;&#44277;&#44228;&#54925;%20&#49688;&#47549;_&#54364;&#51456;&#49436;.html" TargetMode="External" Id="rId31"/><Relationship Type="http://schemas.openxmlformats.org/officeDocument/2006/relationships/hyperlink" Target="&#47588;&#45684;&#50620;BODY(&#51665;&#54665;&#45800;&#44228;-&#52392;&#48512;&#54260;&#45908;)v6\&#53080;&#53356;&#47532;&#53944;&#46020;&#49345;\11_&#49884;&#44277;&#44228;&#54925;%20&#49688;&#47549;\&#49688;&#54665;&#51648;&#52840;\&#49884;&#44277;&#44228;&#54925;%20&#49688;&#47549;_&#49688;&#54665;&#51648;&#52840;.html" TargetMode="External" Id="rId32"/><Relationship Type="http://schemas.openxmlformats.org/officeDocument/2006/relationships/hyperlink" Target="&#47588;&#45684;&#50620;BODY(&#51665;&#54665;&#45800;&#44228;-&#52392;&#48512;&#54260;&#45908;)v6\&#53080;&#53356;&#47532;&#53944;&#46020;&#49345;\11_&#49884;&#44277;&#44228;&#54925;%20&#49688;&#47549;\&#52404;&#53356;&#47532;&#49828;&#53944;\&#49884;&#44277;&#44228;&#54925;%20&#49688;&#47549;_&#52404;&#53356;&#47532;&#49828;&#53944;.html" TargetMode="External" Id="rId33"/><Relationship Type="http://schemas.openxmlformats.org/officeDocument/2006/relationships/hyperlink" Target="&#47588;&#45684;&#50620;BODY(&#51665;&#54665;&#45800;&#44228;-&#52392;&#48512;&#54260;&#45908;)v6\&#53080;&#53356;&#47532;&#53944;&#46020;&#49345;\12_&#51088;&#51116;%20&#48152;&#51077;\&#54364;&#51456;&#49436;\&#51088;&#51116;%20&#48152;&#51077;_&#54364;&#51456;&#49436;.html" TargetMode="External" Id="rId34"/><Relationship Type="http://schemas.openxmlformats.org/officeDocument/2006/relationships/hyperlink" Target="&#47588;&#45684;&#50620;BODY(&#51665;&#54665;&#45800;&#44228;-&#52392;&#48512;&#54260;&#45908;)v6\&#53080;&#53356;&#47532;&#53944;&#46020;&#49345;\12_&#51088;&#51116;%20&#48152;&#51077;\&#49688;&#54665;&#51648;&#52840;\&#51088;&#51116;%20&#48152;&#51077;_&#49688;&#54665;&#51648;&#52840;.html" TargetMode="External" Id="rId35"/><Relationship Type="http://schemas.openxmlformats.org/officeDocument/2006/relationships/hyperlink" Target="&#47588;&#45684;&#50620;BODY(&#51665;&#54665;&#45800;&#44228;-&#52392;&#48512;&#54260;&#45908;)v6\&#53080;&#53356;&#47532;&#53944;&#46020;&#49345;\12_&#51088;&#51116;%20&#48152;&#51077;\&#52404;&#53356;&#47532;&#49828;&#53944;\&#51088;&#51116;%20&#48152;&#51077;_&#52404;&#53356;&#47532;&#49828;&#53944;.html" TargetMode="External" Id="rId36"/><Relationship Type="http://schemas.openxmlformats.org/officeDocument/2006/relationships/hyperlink" Target="&#47588;&#45684;&#50620;BODY(&#51665;&#54665;&#45800;&#44228;-&#52392;&#48512;&#54260;&#45908;)v6\&#53080;&#53356;&#47532;&#53944;&#46020;&#49345;\13_%5bHBS%5d%20&#44053;&#54868;&#45432;&#48152;%20&#54869;&#51064;\&#54364;&#51456;&#49436;\%5bHBS%5d%20&#44053;&#54868;&#45432;&#48152;%20&#54869;&#51064;_&#54364;&#51456;&#49436;.html" TargetMode="External" Id="rId37"/><Relationship Type="http://schemas.openxmlformats.org/officeDocument/2006/relationships/hyperlink" Target="&#47588;&#45684;&#50620;BODY(&#51665;&#54665;&#45800;&#44228;-&#52392;&#48512;&#54260;&#45908;)v6\&#53080;&#53356;&#47532;&#53944;&#46020;&#49345;\13_%5bHBS%5d%20&#44053;&#54868;&#45432;&#48152;%20&#54869;&#51064;\&#49688;&#54665;&#51648;&#52840;\%5bHBS%5d%20&#44053;&#54868;&#45432;&#48152;%20&#54869;&#51064;_&#49688;&#54665;&#51648;&#52840;.html" TargetMode="External" Id="rId38"/><Relationship Type="http://schemas.openxmlformats.org/officeDocument/2006/relationships/hyperlink" Target="&#47588;&#45684;&#50620;BODY(&#51665;&#54665;&#45800;&#44228;-&#52392;&#48512;&#54260;&#45908;)v6\&#53080;&#53356;&#47532;&#53944;&#46020;&#49345;\13_%5bHBS%5d%20&#44053;&#54868;&#45432;&#48152;%20&#54869;&#51064;\&#52404;&#53356;&#47532;&#49828;&#53944;\%5bHBS%5d%20&#44053;&#54868;&#45432;&#48152;%20&#54869;&#51064;_&#52404;&#53356;&#47532;&#49828;&#53944;.html" TargetMode="External" Id="rId39"/><Relationship Type="http://schemas.openxmlformats.org/officeDocument/2006/relationships/hyperlink" Target="&#47588;&#45684;&#50620;BODY(&#51665;&#54665;&#45800;&#44228;-&#52392;&#48512;&#54260;&#45908;)v6\&#53080;&#53356;&#47532;&#53944;&#46020;&#49345;\14_%5bHBS%5d%20&#53080;&#53356;&#47532;&#53944;%20&#53440;&#49444;%20&#48143;%20&#50577;&#49373;\&#54364;&#51456;&#49436;\%5bHBS%5d%20&#53080;&#53356;&#47532;&#53944;%20&#53440;&#49444;%20&#48143;%20&#50577;&#49373;_&#54364;&#51456;&#49436;.html" TargetMode="External" Id="rId40"/><Relationship Type="http://schemas.openxmlformats.org/officeDocument/2006/relationships/hyperlink" Target="&#47588;&#45684;&#50620;BODY(&#51665;&#54665;&#45800;&#44228;-&#52392;&#48512;&#54260;&#45908;)v6\&#53080;&#53356;&#47532;&#53944;&#46020;&#49345;\14_%5bHBS%5d%20&#53080;&#53356;&#47532;&#53944;%20&#53440;&#49444;%20&#48143;%20&#50577;&#49373;\&#49688;&#54665;&#51648;&#52840;\%5bHBS%5d%20&#53080;&#53356;&#47532;&#53944;%20&#53440;&#49444;%20&#48143;%20&#50577;&#49373;_&#49688;&#54665;&#51648;&#52840;.html" TargetMode="External" Id="rId41"/><Relationship Type="http://schemas.openxmlformats.org/officeDocument/2006/relationships/hyperlink" Target="&#47588;&#45684;&#50620;BODY(&#51665;&#54665;&#45800;&#44228;-&#52392;&#48512;&#54260;&#45908;)v6\&#53080;&#53356;&#47532;&#53944;&#46020;&#49345;\14_%5bHBS%5d%20&#53080;&#53356;&#47532;&#53944;%20&#53440;&#49444;%20&#48143;%20&#50577;&#49373;\&#52404;&#53356;&#47532;&#49828;&#53944;\%5bHBS%5d%20&#53080;&#53356;&#47532;&#53944;%20&#53440;&#49444;%20&#48143;%20&#50577;&#49373;_&#52404;&#53356;&#47532;&#49828;&#53944;.html" TargetMode="External" Id="rId42"/><Relationship Type="http://schemas.openxmlformats.org/officeDocument/2006/relationships/hyperlink" Target="&#47588;&#45684;&#50620;BODY(&#51665;&#54665;&#45800;&#44228;-&#52392;&#48512;&#54260;&#45908;)v6\&#53080;&#53356;&#47532;&#53944;&#46020;&#49345;\15_%5b&#48152;-PC%20&#49836;&#47000;&#48652;%5d%20&#54056;&#45328;&#48152;&#51077;%20&#48143;%20&#49444;&#52824;\&#54364;&#51456;&#49436;\%5b&#48152;-PC%20&#49836;&#47000;&#48652;%5d%20&#54056;&#45328;&#48152;&#51077;%20&#48143;%20&#49444;&#52824;_&#54364;&#51456;&#49436;.html" TargetMode="External" Id="rId43"/><Relationship Type="http://schemas.openxmlformats.org/officeDocument/2006/relationships/hyperlink" Target="&#47588;&#45684;&#50620;BODY(&#51665;&#54665;&#45800;&#44228;-&#52392;&#48512;&#54260;&#45908;)v6\&#53080;&#53356;&#47532;&#53944;&#46020;&#49345;\15_%5b&#48152;-PC%20&#49836;&#47000;&#48652;%5d%20&#54056;&#45328;&#48152;&#51077;%20&#48143;%20&#49444;&#52824;\&#49688;&#54665;&#51648;&#52840;\%5b&#48152;-PC%20&#49836;&#47000;&#48652;%5d%20&#54056;&#45328;&#48152;&#51077;%20&#48143;%20&#49444;&#52824;_&#49688;&#54665;&#51648;&#52840;.html" TargetMode="External" Id="rId44"/><Relationship Type="http://schemas.openxmlformats.org/officeDocument/2006/relationships/hyperlink" Target="&#47588;&#45684;&#50620;BODY(&#51665;&#54665;&#45800;&#44228;-&#52392;&#48512;&#54260;&#45908;)v6\&#53080;&#53356;&#47532;&#53944;&#46020;&#49345;\15_%5b&#48152;-PC%20&#49836;&#47000;&#48652;%5d%20&#54056;&#45328;&#48152;&#51077;%20&#48143;%20&#49444;&#52824;\&#52404;&#53356;&#47532;&#49828;&#53944;\%5b&#48152;-PC%20&#49836;&#47000;&#48652;%5d%20&#54056;&#45328;&#48152;&#51077;%20&#48143;%20&#49444;&#52824;_&#52404;&#53356;&#47532;&#49828;&#53944;.html" TargetMode="External" Id="rId45"/><Relationship Type="http://schemas.openxmlformats.org/officeDocument/2006/relationships/hyperlink" Target="&#47588;&#45684;&#50620;BODY(&#51665;&#54665;&#45800;&#44228;-&#52392;&#48512;&#54260;&#45908;)v6\&#53080;&#53356;&#47532;&#53944;&#46020;&#49345;\16_%5bPST%5d%20&#51204;&#45800;&#50549;&#52964;&#49444;&#52824;%20&#48143;%20&#52649;&#51204;&#51116;%20&#51452;&#51077;\&#54364;&#51456;&#49436;\%5bPST%5d%20&#51204;&#45800;&#50549;&#52964;&#49444;&#52824;%20&#48143;%20&#52649;&#51204;&#51116;%20&#51452;&#51077;_&#54364;&#51456;&#49436;.html" TargetMode="External" Id="rId46"/><Relationship Type="http://schemas.openxmlformats.org/officeDocument/2006/relationships/hyperlink" Target="&#47588;&#45684;&#50620;BODY(&#51665;&#54665;&#45800;&#44228;-&#52392;&#48512;&#54260;&#45908;)v6\&#53080;&#53356;&#47532;&#53944;&#46020;&#49345;\16_%5bPST%5d%20&#51204;&#45800;&#50549;&#52964;&#49444;&#52824;%20&#48143;%20&#52649;&#51204;&#51116;%20&#51452;&#51077;\&#49688;&#54665;&#51648;&#52840;\%5bPST%5d%20&#51204;&#45800;&#50549;&#52964;&#49444;&#52824;%20&#48143;%20&#52649;&#51204;&#51116;%20&#51452;&#51077;_&#49688;&#54665;&#51648;&#52840;.html" TargetMode="External" Id="rId47"/><Relationship Type="http://schemas.openxmlformats.org/officeDocument/2006/relationships/hyperlink" Target="&#47588;&#45684;&#50620;BODY(&#51665;&#54665;&#45800;&#44228;-&#52392;&#48512;&#54260;&#45908;)v6\&#53080;&#53356;&#47532;&#53944;&#46020;&#49345;\16_%5bPST%5d%20&#51204;&#45800;&#50549;&#52964;&#49444;&#52824;%20&#48143;%20&#52649;&#51204;&#51116;%20&#51452;&#51077;\&#52404;&#53356;&#47532;&#49828;&#53944;\%5bPST%5d%20&#51204;&#45800;&#50549;&#52964;&#49444;&#52824;%20&#48143;%20&#52649;&#51204;&#51116;%20&#51452;&#51077;_&#52404;&#53356;&#47532;&#49828;&#53944;.html" TargetMode="External" Id="rId48"/><Relationship Type="http://schemas.openxmlformats.org/officeDocument/2006/relationships/hyperlink" Target="&#47588;&#45684;&#50620;BODY(&#51665;&#54665;&#45800;&#44228;-&#52392;&#48512;&#54260;&#45908;)v6\&#53080;&#53356;&#47532;&#53944;&#46020;&#49345;\17_%5bTCL%5d%20&#44452;&#44305;%20&#48143;%20&#52384;&#44540;&#51312;&#47549;\&#54364;&#51456;&#49436;\%5bTCL%5d%20&#44452;&#44305;%20&#48143;%20&#52384;&#44540;&#51312;&#47549;_&#54364;&#51456;&#49436;.html" TargetMode="External" Id="rId49"/><Relationship Type="http://schemas.openxmlformats.org/officeDocument/2006/relationships/hyperlink" Target="&#47588;&#45684;&#50620;BODY(&#51665;&#54665;&#45800;&#44228;-&#52392;&#48512;&#54260;&#45908;)v6\&#53080;&#53356;&#47532;&#53944;&#46020;&#49345;\17_%5bTCL%5d%20&#44452;&#44305;%20&#48143;%20&#52384;&#44540;&#51312;&#47549;\&#49688;&#54665;&#51648;&#52840;\%5bTCL%5d%20&#44452;&#44305;%20&#48143;%20&#52384;&#44540;&#51312;&#47549;_&#49688;&#54665;&#51648;&#52840;.html" TargetMode="External" Id="rId50"/><Relationship Type="http://schemas.openxmlformats.org/officeDocument/2006/relationships/hyperlink" Target="&#47588;&#45684;&#50620;BODY(&#51665;&#54665;&#45800;&#44228;-&#52392;&#48512;&#54260;&#45908;)v6\&#53080;&#53356;&#47532;&#53944;&#46020;&#49345;\17_%5bTCL%5d%20&#44452;&#44305;%20&#48143;%20&#52384;&#44540;&#51312;&#47549;\&#52404;&#53356;&#47532;&#49828;&#53944;\%5bTCL%5d%20&#44452;&#44305;%20&#48143;%20&#52384;&#44540;&#51312;&#47549;_&#52404;&#53356;&#47532;&#49828;&#53944;.html" TargetMode="External" Id="rId51"/><Relationship Type="http://schemas.openxmlformats.org/officeDocument/2006/relationships/hyperlink" Target="&#47588;&#45684;&#50620;BODY(&#51665;&#54665;&#45800;&#44228;-&#52392;&#48512;&#54260;&#45908;)v6\&#53080;&#53356;&#47532;&#53944;&#46020;&#49345;\18_%5bTCL%5d%20&#44144;&#54392;&#51665;%20&#49444;&#52824;\&#54364;&#51456;&#49436;\%5bTCL%5d%20&#44144;&#54392;&#51665;%20&#49444;&#52824;_&#54364;&#51456;&#49436;.html" TargetMode="External" Id="rId52"/><Relationship Type="http://schemas.openxmlformats.org/officeDocument/2006/relationships/hyperlink" Target="&#47588;&#45684;&#50620;BODY(&#51665;&#54665;&#45800;&#44228;-&#52392;&#48512;&#54260;&#45908;)v6\&#53080;&#53356;&#47532;&#53944;&#46020;&#49345;\18_%5bTCL%5d%20&#44144;&#54392;&#51665;%20&#49444;&#52824;\&#49688;&#54665;&#51648;&#52840;\%5bTCL%5d%20&#44144;&#54392;&#51665;%20&#49444;&#52824;_&#49688;&#54665;&#51648;&#52840;.html" TargetMode="External" Id="rId53"/><Relationship Type="http://schemas.openxmlformats.org/officeDocument/2006/relationships/hyperlink" Target="&#47588;&#45684;&#50620;BODY(&#51665;&#54665;&#45800;&#44228;-&#52392;&#48512;&#54260;&#45908;)v6\&#53080;&#53356;&#47532;&#53944;&#46020;&#49345;\18_%5bTCL%5d%20&#44144;&#54392;&#51665;%20&#49444;&#52824;\&#52404;&#53356;&#47532;&#49828;&#53944;\%5bTCL%5d%20&#44144;&#54392;&#51665;%20&#49444;&#52824;_&#52404;&#53356;&#47532;&#49828;&#53944;.html" TargetMode="External" Id="rId54"/><Relationship Type="http://schemas.openxmlformats.org/officeDocument/2006/relationships/hyperlink" Target="&#47588;&#45684;&#50620;BODY(&#51665;&#54665;&#45800;&#44228;-&#52392;&#48512;&#54260;&#45908;)v6\&#53080;&#53356;&#47532;&#53944;&#46020;&#49345;\19_%5bTCL%5d%20&#53080;&#53356;&#47532;&#53944;%20&#53440;&#49444;%20&#48143;%20&#50577;&#49373;\&#54364;&#51456;&#49436;\%5bTCL%5d%20&#53080;&#53356;&#47532;&#53944;%20&#53440;&#49444;%20&#48143;%20&#50577;&#49373;_&#54364;&#51456;&#49436;.html" TargetMode="External" Id="rId55"/><Relationship Type="http://schemas.openxmlformats.org/officeDocument/2006/relationships/hyperlink" Target="&#47588;&#45684;&#50620;BODY(&#51665;&#54665;&#45800;&#44228;-&#52392;&#48512;&#54260;&#45908;)v6\&#53080;&#53356;&#47532;&#53944;&#46020;&#49345;\19_%5bTCL%5d%20&#53080;&#53356;&#47532;&#53944;%20&#53440;&#49444;%20&#48143;%20&#50577;&#49373;\&#49688;&#54665;&#51648;&#52840;\%5bTCL%5d%20&#53080;&#53356;&#47532;&#53944;%20&#53440;&#49444;%20&#48143;%20&#50577;&#49373;_&#49688;&#54665;&#51648;&#52840;.html" TargetMode="External" Id="rId56"/><Relationship Type="http://schemas.openxmlformats.org/officeDocument/2006/relationships/hyperlink" Target="&#47588;&#45684;&#50620;BODY(&#51665;&#54665;&#45800;&#44228;-&#52392;&#48512;&#54260;&#45908;)v6\&#53080;&#53356;&#47532;&#53944;&#46020;&#49345;\19_%5bTCL%5d%20&#53080;&#53356;&#47532;&#53944;%20&#53440;&#49444;%20&#48143;%20&#50577;&#49373;\&#52404;&#53356;&#47532;&#49828;&#53944;\%5bTCL%5d%20&#53080;&#53356;&#47532;&#53944;%20&#53440;&#49444;%20&#48143;%20&#50577;&#49373;_&#52404;&#53356;&#47532;&#49828;&#53944;.html" TargetMode="External" Id="rId57"/><Relationship Type="http://schemas.openxmlformats.org/officeDocument/2006/relationships/hyperlink" Target="&#47588;&#45684;&#50620;BODY(&#51665;&#54665;&#45800;&#44228;-&#52392;&#48512;&#54260;&#45908;)v6\&#53080;&#53356;&#47532;&#53944;&#46020;&#49345;\20_%5b&#47112;&#51068;&#50857;&#51217;%5d%20&#44032;&#49828;%20&#50517;&#51217;\&#54364;&#51456;&#49436;\%5b&#47112;&#51068;&#50857;&#51217;%5d%20&#44032;&#49828;%20&#50517;&#51217;_&#54364;&#51456;&#49436;.html" TargetMode="External" Id="rId58"/><Relationship Type="http://schemas.openxmlformats.org/officeDocument/2006/relationships/hyperlink" Target="&#47588;&#45684;&#50620;BODY(&#51665;&#54665;&#45800;&#44228;-&#52392;&#48512;&#54260;&#45908;)v6\&#53080;&#53356;&#47532;&#53944;&#46020;&#49345;\20_%5b&#47112;&#51068;&#50857;&#51217;%5d%20&#44032;&#49828;%20&#50517;&#51217;\&#49688;&#54665;&#51648;&#52840;\%5b&#47112;&#51068;&#50857;&#51217;%5d%20&#44032;&#49828;%20&#50517;&#51217;_&#49688;&#54665;&#51648;&#52840;.html" TargetMode="External" Id="rId59"/><Relationship Type="http://schemas.openxmlformats.org/officeDocument/2006/relationships/hyperlink" Target="&#47588;&#45684;&#50620;BODY(&#51665;&#54665;&#45800;&#44228;-&#52392;&#48512;&#54260;&#45908;)v6\&#53080;&#53356;&#47532;&#53944;&#46020;&#49345;\20_%5b&#47112;&#51068;&#50857;&#51217;%5d%20&#44032;&#49828;%20&#50517;&#51217;\&#52404;&#53356;&#47532;&#49828;&#53944;\%5b&#47112;&#51068;&#50857;&#51217;%5d%20&#44032;&#49828;%20&#50517;&#51217;_&#52404;&#53356;&#47532;&#49828;&#53944;.html" TargetMode="External" Id="rId60"/><Relationship Type="http://schemas.openxmlformats.org/officeDocument/2006/relationships/hyperlink" Target="&#47588;&#45684;&#50620;BODY(&#51665;&#54665;&#45800;&#44228;-&#52392;&#48512;&#54260;&#45908;)v6\&#53080;&#53356;&#47532;&#53944;&#46020;&#49345;\21_%5b&#47112;&#51068;&#50857;&#51217;%5d%20&#53580;&#47476;&#48139;%20&#50857;&#51217;\&#54364;&#51456;&#49436;\%5b&#47112;&#51068;&#50857;&#51217;%5d%20&#53580;&#47476;&#48139;%20&#50857;&#51217;_&#54364;&#51456;&#49436;.html" TargetMode="External" Id="rId61"/><Relationship Type="http://schemas.openxmlformats.org/officeDocument/2006/relationships/hyperlink" Target="&#47588;&#45684;&#50620;BODY(&#51665;&#54665;&#45800;&#44228;-&#52392;&#48512;&#54260;&#45908;)v6\&#53080;&#53356;&#47532;&#53944;&#46020;&#49345;\21_%5b&#47112;&#51068;&#50857;&#51217;%5d%20&#53580;&#47476;&#48139;%20&#50857;&#51217;\&#49688;&#54665;&#51648;&#52840;\%5b&#47112;&#51068;&#50857;&#51217;%5d%20&#53580;&#47476;&#48139;%20&#50857;&#51217;_&#49688;&#54665;&#51648;&#52840;.html" TargetMode="External" Id="rId62"/><Relationship Type="http://schemas.openxmlformats.org/officeDocument/2006/relationships/hyperlink" Target="&#47588;&#45684;&#50620;BODY(&#51665;&#54665;&#45800;&#44228;-&#52392;&#48512;&#54260;&#45908;)v6\&#53080;&#53356;&#47532;&#53944;&#46020;&#49345;\21_%5b&#47112;&#51068;&#50857;&#51217;%5d%20&#53580;&#47476;&#48139;%20&#50857;&#51217;\&#52404;&#53356;&#47532;&#49828;&#53944;\%5b&#47112;&#51068;&#50857;&#51217;%5d%20&#53580;&#47476;&#48139;%20&#50857;&#51217;_&#52404;&#53356;&#47532;&#49828;&#53944;.html" TargetMode="External" Id="rId63"/><Relationship Type="http://schemas.openxmlformats.org/officeDocument/2006/relationships/hyperlink" Target="&#47588;&#45684;&#50620;BODY(&#51665;&#54665;&#45800;&#44228;-&#52392;&#48512;&#54260;&#45908;)v6\&#53080;&#53356;&#47532;&#53944;&#46020;&#49345;\22_%5b&#47112;&#51068;&#50672;&#47560;%5d%20&#47112;&#51068;&#50672;&#47560;%20or%20&#48128;&#47553;\&#54364;&#51456;&#49436;\%5b&#47112;&#51068;&#50672;&#47560;%5d%20&#47112;&#51068;&#50672;&#47560;%20or%20&#48128;&#47553;_&#54364;&#51456;&#49436;.html" TargetMode="External" Id="rId64"/><Relationship Type="http://schemas.openxmlformats.org/officeDocument/2006/relationships/hyperlink" Target="&#47588;&#45684;&#50620;BODY(&#51665;&#54665;&#45800;&#44228;-&#52392;&#48512;&#54260;&#45908;)v6\&#53080;&#53356;&#47532;&#53944;&#46020;&#49345;\22_%5b&#47112;&#51068;&#50672;&#47560;%5d%20&#47112;&#51068;&#50672;&#47560;%20or%20&#48128;&#47553;\&#49688;&#54665;&#51648;&#52840;\%5b&#47112;&#51068;&#50672;&#47560;%5d%20&#47112;&#51068;&#50672;&#47560;%20or%20&#48128;&#47553;_&#49688;&#54665;&#51648;&#52840;.html" TargetMode="External" Id="rId65"/><Relationship Type="http://schemas.openxmlformats.org/officeDocument/2006/relationships/hyperlink" Target="&#47588;&#45684;&#50620;BODY(&#51665;&#54665;&#45800;&#44228;-&#52392;&#48512;&#54260;&#45908;)v6\&#53080;&#53356;&#47532;&#53944;&#46020;&#49345;\22_%5b&#47112;&#51068;&#50672;&#47560;%5d%20&#47112;&#51068;&#50672;&#47560;%20or%20&#48128;&#47553;\&#52404;&#53356;&#47532;&#49828;&#53944;\%5b&#47112;&#51068;&#50672;&#47560;%5d%20&#47112;&#51068;&#50672;&#47560;%20or%20&#48128;&#47553;_&#52404;&#53356;&#47532;&#49828;&#53944;.html" TargetMode="External" Id="rId66"/><Relationship Type="http://schemas.openxmlformats.org/officeDocument/2006/relationships/hyperlink" Target="&#47588;&#45684;&#50620;BODY(&#51665;&#54665;&#45800;&#44228;-&#52392;&#48512;&#54260;&#45908;)v6\&#53080;&#53356;&#47532;&#53944;&#46020;&#49345;\23_&#54980;&#49549;&#44277;&#49324;%20&#51064;&#49688;&#51064;&#44228;\&#54364;&#51456;&#49436;\&#54980;&#49549;&#44277;&#49324;%20&#51064;&#49688;&#51064;&#44228;_&#54364;&#51456;&#49436;.html" TargetMode="External" Id="rId67"/><Relationship Type="http://schemas.openxmlformats.org/officeDocument/2006/relationships/hyperlink" Target="&#47588;&#45684;&#50620;BODY(&#51665;&#54665;&#45800;&#44228;-&#52392;&#48512;&#54260;&#45908;)v6\&#53080;&#53356;&#47532;&#53944;&#46020;&#49345;\23_&#54980;&#49549;&#44277;&#49324;%20&#51064;&#49688;&#51064;&#44228;\&#49688;&#54665;&#51648;&#52840;\&#54980;&#49549;&#44277;&#49324;%20&#51064;&#49688;&#51064;&#44228;_&#49688;&#54665;&#51648;&#52840;.html" TargetMode="External" Id="rId68"/><Relationship Type="http://schemas.openxmlformats.org/officeDocument/2006/relationships/hyperlink" Target="&#47588;&#45684;&#50620;BODY(&#51665;&#54665;&#45800;&#44228;-&#52392;&#48512;&#54260;&#45908;)v6\&#53080;&#53356;&#47532;&#53944;&#46020;&#49345;\23_&#54980;&#49549;&#44277;&#49324;%20&#51064;&#49688;&#51064;&#44228;\&#52404;&#53356;&#47532;&#49828;&#53944;\&#54980;&#49549;&#44277;&#49324;%20&#51064;&#49688;&#51064;&#44228;_&#52404;&#53356;&#47532;&#49828;&#53944;.html" TargetMode="External" Id="rId69"/></Relationships>
</file>

<file path=xl/worksheets/_rels/sheet9.xml.rels><Relationships xmlns="http://schemas.openxmlformats.org/package/2006/relationships"><Relationship Type="http://schemas.openxmlformats.org/officeDocument/2006/relationships/hyperlink" Target="&#47588;&#45684;&#50620;BODY(&#51665;&#54665;&#45800;&#44228;-&#52392;&#48512;&#54260;&#45908;)v6\&#44148;&#52629;\1_&#49444;&#44228;%20&#51201;&#51221;&#49457;%20&#44160;&#53664;\&#54364;&#51456;&#49436;\&#49444;&#44228;%20&#51201;&#51221;&#49457;%20&#44160;&#53664;_&#54364;&#51456;&#49436;.html" TargetMode="External" Id="rId1"/><Relationship Type="http://schemas.openxmlformats.org/officeDocument/2006/relationships/hyperlink" Target="&#47588;&#45684;&#50620;BODY(&#51665;&#54665;&#45800;&#44228;-&#52392;&#48512;&#54260;&#45908;)v6\&#44148;&#52629;\1_&#49444;&#44228;%20&#51201;&#51221;&#49457;%20&#44160;&#53664;\&#49688;&#54665;&#51648;&#52840;\&#49444;&#44228;%20&#51201;&#51221;&#49457;%20&#44160;&#53664;_&#49688;&#54665;&#51648;&#52840;.html" TargetMode="External" Id="rId2"/><Relationship Type="http://schemas.openxmlformats.org/officeDocument/2006/relationships/hyperlink" Target="&#47588;&#45684;&#50620;BODY(&#51665;&#54665;&#45800;&#44228;-&#52392;&#48512;&#54260;&#45908;)v6\&#44148;&#52629;\1_&#49444;&#44228;%20&#51201;&#51221;&#49457;%20&#44160;&#53664;\&#52404;&#53356;&#47532;&#49828;&#53944;\&#49444;&#44228;%20&#51201;&#51221;&#49457;%20&#44160;&#53664;_&#52404;&#53356;&#47532;&#49828;&#53944;.html" TargetMode="External" Id="rId3"/><Relationship Type="http://schemas.openxmlformats.org/officeDocument/2006/relationships/hyperlink" Target="&#47588;&#45684;&#50620;BODY(&#51665;&#54665;&#45800;&#44228;-&#52392;&#48512;&#54260;&#45908;)v6\&#44148;&#52629;\2_&#48156;&#51452;&#51204;&#47029;%20KOM\&#54364;&#51456;&#49436;\&#48156;&#51452;&#51204;&#47029;%20KOM_&#54364;&#51456;&#49436;.html" TargetMode="External" Id="rId4"/><Relationship Type="http://schemas.openxmlformats.org/officeDocument/2006/relationships/hyperlink" Target="&#47588;&#45684;&#50620;BODY(&#51665;&#54665;&#45800;&#44228;-&#52392;&#48512;&#54260;&#45908;)v6\&#44148;&#52629;\2_&#48156;&#51452;&#51204;&#47029;%20KOM\&#49688;&#54665;&#51648;&#52840;\&#48156;&#51452;&#51204;&#47029;%20KOM_&#49688;&#54665;&#51648;&#52840;.html" TargetMode="External" Id="rId5"/><Relationship Type="http://schemas.openxmlformats.org/officeDocument/2006/relationships/hyperlink" Target="&#47588;&#45684;&#50620;BODY(&#51665;&#54665;&#45800;&#44228;-&#52392;&#48512;&#54260;&#45908;)v6\&#44148;&#52629;\2_&#48156;&#51452;&#51204;&#47029;%20KOM\&#52404;&#53356;&#47532;&#49828;&#53944;\&#48156;&#51452;&#51204;&#47029;%20KOM_&#52404;&#53356;&#47532;&#49828;&#53944;.html" TargetMode="External" Id="rId6"/><Relationship Type="http://schemas.openxmlformats.org/officeDocument/2006/relationships/hyperlink" Target="&#47588;&#45684;&#50620;BODY(&#51665;&#54665;&#45800;&#44228;-&#52392;&#48512;&#54260;&#45908;)v6\&#44148;&#52629;\3_&#52265;&#44277;&#51204;%20&#44148;&#52629;%20&#51064;&#54728;&#44032;\&#54364;&#51456;&#49436;\&#52265;&#44277;&#51204;%20&#44148;&#52629;%20&#51064;&#54728;&#44032;_&#54364;&#51456;&#49436;.html" TargetMode="External" Id="rId7"/><Relationship Type="http://schemas.openxmlformats.org/officeDocument/2006/relationships/hyperlink" Target="&#47588;&#45684;&#50620;BODY(&#51665;&#54665;&#45800;&#44228;-&#52392;&#48512;&#54260;&#45908;)v6\&#44148;&#52629;\3_&#52265;&#44277;&#51204;%20&#44148;&#52629;%20&#51064;&#54728;&#44032;\&#49688;&#54665;&#51648;&#52840;\&#52265;&#44277;&#51204;%20&#44148;&#52629;%20&#51064;&#54728;&#44032;_&#49688;&#54665;&#51648;&#52840;.html" TargetMode="External" Id="rId8"/><Relationship Type="http://schemas.openxmlformats.org/officeDocument/2006/relationships/hyperlink" Target="&#47588;&#45684;&#50620;BODY(&#51665;&#54665;&#45800;&#44228;-&#52392;&#48512;&#54260;&#45908;)v6\&#44148;&#52629;\3_&#52265;&#44277;&#51204;%20&#44148;&#52629;%20&#51064;&#54728;&#44032;\&#52404;&#53356;&#47532;&#49828;&#53944;\&#52265;&#44277;&#51204;%20&#44148;&#52629;%20&#51064;&#54728;&#44032;_&#52404;&#53356;&#47532;&#49828;&#53944;.html" TargetMode="External" Id="rId9"/><Relationship Type="http://schemas.openxmlformats.org/officeDocument/2006/relationships/hyperlink" Target="&#47588;&#45684;&#50620;BODY(&#51665;&#54665;&#45800;&#44228;-&#52392;&#48512;&#54260;&#45908;)v6\&#44148;&#52629;\4_&#44148;&#52629;&#54728;&#44032;%20&#50836;&#52397;\&#54364;&#51456;&#49436;\&#44148;&#52629;&#54728;&#44032;%20&#50836;&#52397;_&#54364;&#51456;&#49436;.html" TargetMode="External" Id="rId10"/><Relationship Type="http://schemas.openxmlformats.org/officeDocument/2006/relationships/hyperlink" Target="&#47588;&#45684;&#50620;BODY(&#51665;&#54665;&#45800;&#44228;-&#52392;&#48512;&#54260;&#45908;)v6\&#44148;&#52629;\4_&#44148;&#52629;&#54728;&#44032;%20&#50836;&#52397;\&#49688;&#54665;&#51648;&#52840;\&#44148;&#52629;&#54728;&#44032;%20&#50836;&#52397;_&#49688;&#54665;&#51648;&#52840;.html" TargetMode="External" Id="rId11"/><Relationship Type="http://schemas.openxmlformats.org/officeDocument/2006/relationships/hyperlink" Target="&#47588;&#45684;&#50620;BODY(&#51665;&#54665;&#45800;&#44228;-&#52392;&#48512;&#54260;&#45908;)v6\&#44148;&#52629;\4_&#44148;&#52629;&#54728;&#44032;%20&#50836;&#52397;\&#52404;&#53356;&#47532;&#49828;&#53944;\&#44148;&#52629;&#54728;&#44032;%20&#50836;&#52397;_&#52404;&#53356;&#47532;&#49828;&#53944;.html" TargetMode="External" Id="rId12"/><Relationship Type="http://schemas.openxmlformats.org/officeDocument/2006/relationships/hyperlink" Target="&#47588;&#45684;&#50620;BODY(&#51665;&#54665;&#45800;&#44228;-&#52392;&#48512;&#54260;&#45908;)v6\&#44148;&#52629;\5_&#52265;&#44277;&#49888;&#44256;&#49436;%20&#51228;&#52636;\&#54364;&#51456;&#49436;\&#52265;&#44277;&#49888;&#44256;&#49436;%20&#51228;&#52636;_&#54364;&#51456;&#49436;.html" TargetMode="External" Id="rId13"/><Relationship Type="http://schemas.openxmlformats.org/officeDocument/2006/relationships/hyperlink" Target="&#47588;&#45684;&#50620;BODY(&#51665;&#54665;&#45800;&#44228;-&#52392;&#48512;&#54260;&#45908;)v6\&#44148;&#52629;\5_&#52265;&#44277;&#49888;&#44256;&#49436;%20&#51228;&#52636;\&#49688;&#54665;&#51648;&#52840;\&#52265;&#44277;&#49888;&#44256;&#49436;%20&#51228;&#52636;_&#49688;&#54665;&#51648;&#52840;.html" TargetMode="External" Id="rId14"/><Relationship Type="http://schemas.openxmlformats.org/officeDocument/2006/relationships/hyperlink" Target="&#47588;&#45684;&#50620;BODY(&#51665;&#54665;&#45800;&#44228;-&#52392;&#48512;&#54260;&#45908;)v6\&#44148;&#52629;\5_&#52265;&#44277;&#49888;&#44256;&#49436;%20&#51228;&#52636;\&#52404;&#53356;&#47532;&#49828;&#53944;\&#52265;&#44277;&#49888;&#44256;&#49436;%20&#51228;&#52636;_&#52404;&#53356;&#47532;&#49828;&#53944;.html" TargetMode="External" Id="rId15"/><Relationship Type="http://schemas.openxmlformats.org/officeDocument/2006/relationships/hyperlink" Target="&#47588;&#45684;&#50620;BODY(&#51665;&#54665;&#45800;&#44228;-&#52392;&#48512;&#54260;&#45908;)v6\&#44148;&#52629;\6_&#49548;&#48169;&#49884;&#49444;&#44277;&#49324;%20&#52265;&#44277;%20&#49888;&#44256;&#49436;%20&#51228;&#52636;\&#54364;&#51456;&#49436;\&#49548;&#48169;&#49884;&#49444;&#44277;&#49324;%20&#52265;&#44277;%20&#49888;&#44256;&#49436;%20&#51228;&#52636;_&#54364;&#51456;&#49436;.html" TargetMode="External" Id="rId16"/><Relationship Type="http://schemas.openxmlformats.org/officeDocument/2006/relationships/hyperlink" Target="&#47588;&#45684;&#50620;BODY(&#51665;&#54665;&#45800;&#44228;-&#52392;&#48512;&#54260;&#45908;)v6\&#44148;&#52629;\6_&#49548;&#48169;&#49884;&#49444;&#44277;&#49324;%20&#52265;&#44277;%20&#49888;&#44256;&#49436;%20&#51228;&#52636;\&#49688;&#54665;&#51648;&#52840;\&#49548;&#48169;&#49884;&#49444;&#44277;&#49324;%20&#52265;&#44277;%20&#49888;&#44256;&#49436;%20&#51228;&#52636;_&#49688;&#54665;&#51648;&#52840;.html" TargetMode="External" Id="rId17"/><Relationship Type="http://schemas.openxmlformats.org/officeDocument/2006/relationships/hyperlink" Target="&#47588;&#45684;&#50620;BODY(&#51665;&#54665;&#45800;&#44228;-&#52392;&#48512;&#54260;&#45908;)v6\&#44148;&#52629;\6_&#49548;&#48169;&#49884;&#49444;&#44277;&#49324;%20&#52265;&#44277;%20&#49888;&#44256;&#49436;%20&#51228;&#52636;\&#52404;&#53356;&#47532;&#49828;&#53944;\&#49548;&#48169;&#49884;&#49444;&#44277;&#49324;%20&#52265;&#44277;%20&#49888;&#44256;&#49436;%20&#51228;&#52636;_&#52404;&#53356;&#47532;&#49828;&#53944;.html" TargetMode="External" Id="rId18"/><Relationship Type="http://schemas.openxmlformats.org/officeDocument/2006/relationships/hyperlink" Target="&#47588;&#45684;&#50620;BODY(&#51665;&#54665;&#45800;&#44228;-&#52392;&#48512;&#54260;&#45908;)v6\&#44148;&#52629;\7_&#51221;&#48372;&#53685;&#49888;&#44277;&#49324;%20&#52265;&#44277;&#51204;%20&#49444;&#44228;&#46020;%20&#54869;&#51064;%20(&#49888;&#52397;&#49436;%20&#51228;&#52636;%20&#48143;%20&#44208;&#44284;%20&#51217;&#49688;)\&#54364;&#51456;&#49436;\&#51221;&#48372;&#53685;&#49888;&#44277;&#49324;%20&#52265;&#44277;&#51204;%20&#49444;&#44228;&#46020;%20&#54869;&#51064;%20(&#49888;&#52397;&#49436;%20&#51228;&#52636;%20&#48143;%20&#44208;&#44284;%20&#51217;&#49688;)_&#54364;&#51456;&#49436;.html" TargetMode="External" Id="rId19"/><Relationship Type="http://schemas.openxmlformats.org/officeDocument/2006/relationships/hyperlink" Target="&#47588;&#45684;&#50620;BODY(&#51665;&#54665;&#45800;&#44228;-&#52392;&#48512;&#54260;&#45908;)v6\&#44148;&#52629;\7_&#51221;&#48372;&#53685;&#49888;&#44277;&#49324;%20&#52265;&#44277;&#51204;%20&#49444;&#44228;&#46020;%20&#54869;&#51064;%20(&#49888;&#52397;&#49436;%20&#51228;&#52636;%20&#48143;%20&#44208;&#44284;%20&#51217;&#49688;)\&#49688;&#54665;&#51648;&#52840;\&#51221;&#48372;&#53685;&#49888;&#44277;&#49324;%20&#52265;&#44277;&#51204;%20&#49444;&#44228;&#46020;%20&#54869;&#51064;%20(&#49888;&#52397;&#49436;%20&#51228;&#52636;%20&#48143;%20&#44208;&#44284;%20&#51217;&#49688;)_&#49688;&#54665;&#51648;&#52840;.html" TargetMode="External" Id="rId20"/><Relationship Type="http://schemas.openxmlformats.org/officeDocument/2006/relationships/hyperlink" Target="&#47588;&#45684;&#50620;BODY(&#51665;&#54665;&#45800;&#44228;-&#52392;&#48512;&#54260;&#45908;)v6\&#44148;&#52629;\7_&#51221;&#48372;&#53685;&#49888;&#44277;&#49324;%20&#52265;&#44277;&#51204;%20&#49444;&#44228;&#46020;%20&#54869;&#51064;%20(&#49888;&#52397;&#49436;%20&#51228;&#52636;%20&#48143;%20&#44208;&#44284;%20&#51217;&#49688;)\&#52404;&#53356;&#47532;&#49828;&#53944;\&#51221;&#48372;&#53685;&#49888;&#44277;&#49324;%20&#52265;&#44277;&#51204;%20&#49444;&#44228;&#46020;%20&#54869;&#51064;%20(&#49888;&#52397;&#49436;%20&#51228;&#52636;%20&#48143;%20&#44208;&#44284;%20&#51217;&#49688;)_&#52404;&#53356;&#47532;&#49828;&#53944;.html" TargetMode="External" Id="rId21"/><Relationship Type="http://schemas.openxmlformats.org/officeDocument/2006/relationships/hyperlink" Target="&#47588;&#45684;&#50620;BODY(&#51665;&#54665;&#45800;&#44228;-&#52392;&#48512;&#54260;&#45908;)v6\&#44148;&#52629;\8_&#49440;&#54665;&#44277;&#51333;%20&#51064;&#49688;&#49324;&#54637;%20&#54869;&#51064;\&#54364;&#51456;&#49436;\&#49440;&#54665;&#44277;&#51333;%20&#51064;&#49688;&#49324;&#54637;%20&#54869;&#51064;_&#54364;&#51456;&#49436;.html" TargetMode="External" Id="rId22"/><Relationship Type="http://schemas.openxmlformats.org/officeDocument/2006/relationships/hyperlink" Target="&#47588;&#45684;&#50620;BODY(&#51665;&#54665;&#45800;&#44228;-&#52392;&#48512;&#54260;&#45908;)v6\&#44148;&#52629;\8_&#49440;&#54665;&#44277;&#51333;%20&#51064;&#49688;&#49324;&#54637;%20&#54869;&#51064;\&#49688;&#54665;&#51648;&#52840;\&#49440;&#54665;&#44277;&#51333;%20&#51064;&#49688;&#49324;&#54637;%20&#54869;&#51064;_&#49688;&#54665;&#51648;&#52840;.html" TargetMode="External" Id="rId23"/><Relationship Type="http://schemas.openxmlformats.org/officeDocument/2006/relationships/hyperlink" Target="&#47588;&#45684;&#50620;BODY(&#51665;&#54665;&#45800;&#44228;-&#52392;&#48512;&#54260;&#45908;)v6\&#44148;&#52629;\8_&#49440;&#54665;&#44277;&#51333;%20&#51064;&#49688;&#49324;&#54637;%20&#54869;&#51064;\&#52404;&#53356;&#47532;&#49828;&#53944;\&#49440;&#54665;&#44277;&#51333;%20&#51064;&#49688;&#49324;&#54637;%20&#54869;&#51064;_&#52404;&#53356;&#47532;&#49828;&#53944;.html" TargetMode="External" Id="rId24"/><Relationship Type="http://schemas.openxmlformats.org/officeDocument/2006/relationships/hyperlink" Target="&#47588;&#45684;&#50620;BODY(&#51665;&#54665;&#45800;&#44228;-&#52392;&#48512;&#54260;&#45908;)v6\&#44148;&#52629;\9_&#51064;&#53552;&#54168;&#51060;&#49828;%20&#49324;&#54637;%20&#44160;&#53664;%20&#48143;%20&#51648;&#50896;\&#54364;&#51456;&#49436;\&#51064;&#53552;&#54168;&#51060;&#49828;%20&#49324;&#54637;%20&#44160;&#53664;%20&#48143;%20&#51648;&#50896;_&#54364;&#51456;&#49436;.html" TargetMode="External" Id="rId25"/><Relationship Type="http://schemas.openxmlformats.org/officeDocument/2006/relationships/hyperlink" Target="&#47588;&#45684;&#50620;BODY(&#51665;&#54665;&#45800;&#44228;-&#52392;&#48512;&#54260;&#45908;)v6\&#44148;&#52629;\9_&#51064;&#53552;&#54168;&#51060;&#49828;%20&#49324;&#54637;%20&#44160;&#53664;%20&#48143;%20&#51648;&#50896;\&#49688;&#54665;&#51648;&#52840;\&#51064;&#53552;&#54168;&#51060;&#49828;%20&#49324;&#54637;%20&#44160;&#53664;%20&#48143;%20&#51648;&#50896;_&#49688;&#54665;&#51648;&#52840;.html" TargetMode="External" Id="rId26"/><Relationship Type="http://schemas.openxmlformats.org/officeDocument/2006/relationships/hyperlink" Target="&#47588;&#45684;&#50620;BODY(&#51665;&#54665;&#45800;&#44228;-&#52392;&#48512;&#54260;&#45908;)v6\&#44148;&#52629;\9_&#51064;&#53552;&#54168;&#51060;&#49828;%20&#49324;&#54637;%20&#44160;&#53664;%20&#48143;%20&#51648;&#50896;\&#52404;&#53356;&#47532;&#49828;&#53944;\&#51064;&#53552;&#54168;&#51060;&#49828;%20&#49324;&#54637;%20&#44160;&#53664;%20&#48143;%20&#51648;&#50896;_&#52404;&#53356;&#47532;&#49828;&#53944;.html" TargetMode="External" Id="rId27"/><Relationship Type="http://schemas.openxmlformats.org/officeDocument/2006/relationships/hyperlink" Target="&#47588;&#45684;&#50620;BODY(&#51665;&#54665;&#45800;&#44228;-&#52392;&#48512;&#54260;&#45908;)v6\&#44148;&#52629;\10_&#54408;&#51656;_&#50504;&#51204;%20LL%20&#44277;&#50976;\&#54364;&#51456;&#49436;\&#54408;&#51656;_&#50504;&#51204;%20LL%20&#44277;&#50976;_&#54364;&#51456;&#49436;.html" TargetMode="External" Id="rId28"/><Relationship Type="http://schemas.openxmlformats.org/officeDocument/2006/relationships/hyperlink" Target="&#47588;&#45684;&#50620;BODY(&#51665;&#54665;&#45800;&#44228;-&#52392;&#48512;&#54260;&#45908;)v6\&#44148;&#52629;\10_&#54408;&#51656;_&#50504;&#51204;%20LL%20&#44277;&#50976;\&#49688;&#54665;&#51648;&#52840;\&#54408;&#51656;_&#50504;&#51204;%20LL%20&#44277;&#50976;_&#49688;&#54665;&#51648;&#52840;.html" TargetMode="External" Id="rId29"/><Relationship Type="http://schemas.openxmlformats.org/officeDocument/2006/relationships/hyperlink" Target="&#47588;&#45684;&#50620;BODY(&#51665;&#54665;&#45800;&#44228;-&#52392;&#48512;&#54260;&#45908;)v6\&#44148;&#52629;\10_&#54408;&#51656;_&#50504;&#51204;%20LL%20&#44277;&#50976;\&#52404;&#53356;&#47532;&#49828;&#53944;\&#54408;&#51656;_&#50504;&#51204;%20LL%20&#44277;&#50976;_&#52404;&#53356;&#47532;&#49828;&#53944;.html" TargetMode="External" Id="rId30"/><Relationship Type="http://schemas.openxmlformats.org/officeDocument/2006/relationships/hyperlink" Target="&#47588;&#45684;&#50620;BODY(&#51665;&#54665;&#45800;&#44228;-&#52392;&#48512;&#54260;&#45908;)v6\&#44148;&#52629;\11_&#51088;&#51116;&#44277;&#44553;&#50896;&#49849;&#51064;%20&#48143;%20&#51088;&#51116;&#48156;&#51452;\&#54364;&#51456;&#49436;\&#51088;&#51116;&#44277;&#44553;&#50896;&#49849;&#51064;%20&#48143;%20&#51088;&#51116;&#48156;&#51452;_&#54364;&#51456;&#49436;.html" TargetMode="External" Id="rId31"/><Relationship Type="http://schemas.openxmlformats.org/officeDocument/2006/relationships/hyperlink" Target="&#47588;&#45684;&#50620;BODY(&#51665;&#54665;&#45800;&#44228;-&#52392;&#48512;&#54260;&#45908;)v6\&#44148;&#52629;\11_&#51088;&#51116;&#44277;&#44553;&#50896;&#49849;&#51064;%20&#48143;%20&#51088;&#51116;&#48156;&#51452;\&#49688;&#54665;&#51648;&#52840;\&#51088;&#51116;&#44277;&#44553;&#50896;&#49849;&#51064;%20&#48143;%20&#51088;&#51116;&#48156;&#51452;_&#49688;&#54665;&#51648;&#52840;.html" TargetMode="External" Id="rId32"/><Relationship Type="http://schemas.openxmlformats.org/officeDocument/2006/relationships/hyperlink" Target="&#47588;&#45684;&#50620;BODY(&#51665;&#54665;&#45800;&#44228;-&#52392;&#48512;&#54260;&#45908;)v6\&#44148;&#52629;\11_&#51088;&#51116;&#44277;&#44553;&#50896;&#49849;&#51064;%20&#48143;%20&#51088;&#51116;&#48156;&#51452;\&#52404;&#53356;&#47532;&#49828;&#53944;\&#51088;&#51116;&#44277;&#44553;&#50896;&#49849;&#51064;%20&#48143;%20&#51088;&#51116;&#48156;&#51452;_&#52404;&#53356;&#47532;&#49828;&#53944;.html" TargetMode="External" Id="rId33"/><Relationship Type="http://schemas.openxmlformats.org/officeDocument/2006/relationships/hyperlink" Target="&#47588;&#45684;&#50620;BODY(&#51665;&#54665;&#45800;&#44228;-&#52392;&#48512;&#54260;&#45908;)v6\&#44148;&#52629;\12_&#52265;&#49688;&#51204;%20Big%20Room%20&#54924;&#51032;\&#54364;&#51456;&#49436;\&#52265;&#49688;&#51204;%20Big%20Room%20&#54924;&#51032;_&#54364;&#51456;&#49436;.html" TargetMode="External" Id="rId34"/><Relationship Type="http://schemas.openxmlformats.org/officeDocument/2006/relationships/hyperlink" Target="&#47588;&#45684;&#50620;BODY(&#51665;&#54665;&#45800;&#44228;-&#52392;&#48512;&#54260;&#45908;)v6\&#44148;&#52629;\12_&#52265;&#49688;&#51204;%20Big%20Room%20&#54924;&#51032;\&#49688;&#54665;&#51648;&#52840;\&#52265;&#49688;&#51204;%20Big%20Room%20&#54924;&#51032;_&#49688;&#54665;&#51648;&#52840;.html" TargetMode="External" Id="rId35"/><Relationship Type="http://schemas.openxmlformats.org/officeDocument/2006/relationships/hyperlink" Target="&#47588;&#45684;&#50620;BODY(&#51665;&#54665;&#45800;&#44228;-&#52392;&#48512;&#54260;&#45908;)v6\&#44148;&#52629;\12_&#52265;&#49688;&#51204;%20Big%20Room%20&#54924;&#51032;\&#52404;&#53356;&#47532;&#49828;&#53944;\&#52265;&#49688;&#51204;%20Big%20Room%20&#54924;&#51032;_&#52404;&#53356;&#47532;&#49828;&#53944;.html" TargetMode="External" Id="rId36"/><Relationship Type="http://schemas.openxmlformats.org/officeDocument/2006/relationships/hyperlink" Target="&#47588;&#45684;&#50620;BODY(&#51665;&#54665;&#45800;&#44228;-&#52392;&#48512;&#54260;&#45908;)v6\&#44148;&#52629;\13_&#49884;&#44277;&#44228;&#54925;%20&#49688;&#47549;_&#49849;&#51064;\&#54364;&#51456;&#49436;\&#49884;&#44277;&#44228;&#54925;%20&#49688;&#47549;_&#49849;&#51064;_&#54364;&#51456;&#49436;.html" TargetMode="External" Id="rId37"/><Relationship Type="http://schemas.openxmlformats.org/officeDocument/2006/relationships/hyperlink" Target="&#47588;&#45684;&#50620;BODY(&#51665;&#54665;&#45800;&#44228;-&#52392;&#48512;&#54260;&#45908;)v6\&#44148;&#52629;\13_&#49884;&#44277;&#44228;&#54925;%20&#49688;&#47549;_&#49849;&#51064;\&#49688;&#54665;&#51648;&#52840;\&#49884;&#44277;&#44228;&#54925;%20&#49688;&#47549;_&#49849;&#51064;_&#49688;&#54665;&#51648;&#52840;.html" TargetMode="External" Id="rId38"/><Relationship Type="http://schemas.openxmlformats.org/officeDocument/2006/relationships/hyperlink" Target="&#47588;&#45684;&#50620;BODY(&#51665;&#54665;&#45800;&#44228;-&#52392;&#48512;&#54260;&#45908;)v6\&#44148;&#52629;\13_&#49884;&#44277;&#44228;&#54925;%20&#49688;&#47549;_&#49849;&#51064;\&#52404;&#53356;&#47532;&#49828;&#53944;\&#49884;&#44277;&#44228;&#54925;%20&#49688;&#47549;_&#49849;&#51064;_&#52404;&#53356;&#47532;&#49828;&#53944;.html" TargetMode="External" Id="rId39"/><Relationship Type="http://schemas.openxmlformats.org/officeDocument/2006/relationships/hyperlink" Target="&#47588;&#45684;&#50620;BODY(&#51665;&#54665;&#45800;&#44228;-&#52392;&#48512;&#54260;&#45908;)v6\&#44148;&#52629;\14_&#52769;&#47049;,%20&#51088;&#51116;_&#51109;&#48708;%20&#48152;&#51077;,%20&#50504;&#51204;&#44368;&#50977;\&#54364;&#51456;&#49436;\&#52769;&#47049;,%20&#51088;&#51116;_&#51109;&#48708;%20&#48152;&#51077;,%20&#50504;&#51204;&#44368;&#50977;_&#54364;&#51456;&#49436;.html" TargetMode="External" Id="rId40"/><Relationship Type="http://schemas.openxmlformats.org/officeDocument/2006/relationships/hyperlink" Target="&#47588;&#45684;&#50620;BODY(&#51665;&#54665;&#45800;&#44228;-&#52392;&#48512;&#54260;&#45908;)v6\&#44148;&#52629;\14_&#52769;&#47049;,%20&#51088;&#51116;_&#51109;&#48708;%20&#48152;&#51077;,%20&#50504;&#51204;&#44368;&#50977;\&#49688;&#54665;&#51648;&#52840;\&#52769;&#47049;,%20&#51088;&#51116;_&#51109;&#48708;%20&#48152;&#51077;,%20&#50504;&#51204;&#44368;&#50977;_&#49688;&#54665;&#51648;&#52840;.html" TargetMode="External" Id="rId41"/><Relationship Type="http://schemas.openxmlformats.org/officeDocument/2006/relationships/hyperlink" Target="&#47588;&#45684;&#50620;BODY(&#51665;&#54665;&#45800;&#44228;-&#52392;&#48512;&#54260;&#45908;)v6\&#44148;&#52629;\14_&#52769;&#47049;,%20&#51088;&#51116;_&#51109;&#48708;%20&#48152;&#51077;,%20&#50504;&#51204;&#44368;&#50977;\&#52404;&#53356;&#47532;&#49828;&#53944;\&#52769;&#47049;,%20&#51088;&#51116;_&#51109;&#48708;%20&#48152;&#51077;,%20&#50504;&#51204;&#44368;&#50977;_&#52404;&#53356;&#47532;&#49828;&#53944;.html" TargetMode="External" Id="rId42"/><Relationship Type="http://schemas.openxmlformats.org/officeDocument/2006/relationships/hyperlink" Target="&#47588;&#45684;&#50620;BODY(&#51665;&#54665;&#45800;&#44228;-&#52392;&#48512;&#54260;&#45908;)v6\&#44148;&#52629;\15_&#51088;&#51116;%20&#44160;&#49688;\&#54364;&#51456;&#49436;\&#51088;&#51116;%20&#44160;&#49688;_&#54364;&#51456;&#49436;.html" TargetMode="External" Id="rId43"/><Relationship Type="http://schemas.openxmlformats.org/officeDocument/2006/relationships/hyperlink" Target="&#47588;&#45684;&#50620;BODY(&#51665;&#54665;&#45800;&#44228;-&#52392;&#48512;&#54260;&#45908;)v6\&#44148;&#52629;\15_&#51088;&#51116;%20&#44160;&#49688;\&#49688;&#54665;&#51648;&#52840;\&#51088;&#51116;%20&#44160;&#49688;_&#49688;&#54665;&#51648;&#52840;.html" TargetMode="External" Id="rId44"/><Relationship Type="http://schemas.openxmlformats.org/officeDocument/2006/relationships/hyperlink" Target="&#47588;&#45684;&#50620;BODY(&#51665;&#54665;&#45800;&#44228;-&#52392;&#48512;&#54260;&#45908;)v6\&#44148;&#52629;\15_&#51088;&#51116;%20&#44160;&#49688;\&#52404;&#53356;&#47532;&#49828;&#53944;\&#51088;&#51116;%20&#44160;&#49688;_&#52404;&#53356;&#47532;&#49828;&#53944;.html" TargetMode="External" Id="rId45"/><Relationship Type="http://schemas.openxmlformats.org/officeDocument/2006/relationships/hyperlink" Target="&#47588;&#45684;&#50620;BODY(&#51665;&#54665;&#45800;&#44228;-&#52392;&#48512;&#54260;&#45908;)v6\&#44148;&#52629;\16_&#53552;&#54028;&#44592;_&#51648;&#48152;%20&#51221;&#47532;\&#54364;&#51456;&#49436;\&#53552;&#54028;&#44592;_&#51648;&#48152;%20&#51221;&#47532;_&#54364;&#51456;&#49436;.html" TargetMode="External" Id="rId46"/><Relationship Type="http://schemas.openxmlformats.org/officeDocument/2006/relationships/hyperlink" Target="&#47588;&#45684;&#50620;BODY(&#51665;&#54665;&#45800;&#44228;-&#52392;&#48512;&#54260;&#45908;)v6\&#44148;&#52629;\16_&#53552;&#54028;&#44592;_&#51648;&#48152;%20&#51221;&#47532;\&#49688;&#54665;&#51648;&#52840;\&#53552;&#54028;&#44592;_&#51648;&#48152;%20&#51221;&#47532;_&#49688;&#54665;&#51648;&#52840;.html" TargetMode="External" Id="rId47"/><Relationship Type="http://schemas.openxmlformats.org/officeDocument/2006/relationships/hyperlink" Target="&#47588;&#45684;&#50620;BODY(&#51665;&#54665;&#45800;&#44228;-&#52392;&#48512;&#54260;&#45908;)v6\&#44148;&#52629;\16_&#53552;&#54028;&#44592;_&#51648;&#48152;%20&#51221;&#47532;\&#52404;&#53356;&#47532;&#49828;&#53944;\&#53552;&#54028;&#44592;_&#51648;&#48152;%20&#51221;&#47532;_&#52404;&#53356;&#47532;&#49828;&#53944;.html" TargetMode="External" Id="rId48"/><Relationship Type="http://schemas.openxmlformats.org/officeDocument/2006/relationships/hyperlink" Target="&#47588;&#45684;&#50620;BODY(&#51665;&#54665;&#45800;&#44228;-&#52392;&#48512;&#54260;&#45908;)v6\&#44148;&#52629;\17_&#48148;&#45797;(&#48260;&#47548;)%20&#53080;&#53356;&#47532;&#53944;%20&#53440;&#49444;\&#54364;&#51456;&#49436;\&#48148;&#45797;(&#48260;&#47548;)%20&#53080;&#53356;&#47532;&#53944;%20&#53440;&#49444;_&#54364;&#51456;&#49436;.html" TargetMode="External" Id="rId49"/><Relationship Type="http://schemas.openxmlformats.org/officeDocument/2006/relationships/hyperlink" Target="&#47588;&#45684;&#50620;BODY(&#51665;&#54665;&#45800;&#44228;-&#52392;&#48512;&#54260;&#45908;)v6\&#44148;&#52629;\17_&#48148;&#45797;(&#48260;&#47548;)%20&#53080;&#53356;&#47532;&#53944;%20&#53440;&#49444;\&#49688;&#54665;&#51648;&#52840;\&#48148;&#45797;(&#48260;&#47548;)%20&#53080;&#53356;&#47532;&#53944;%20&#53440;&#49444;_&#49688;&#54665;&#51648;&#52840;.html" TargetMode="External" Id="rId50"/><Relationship Type="http://schemas.openxmlformats.org/officeDocument/2006/relationships/hyperlink" Target="&#47588;&#45684;&#50620;BODY(&#51665;&#54665;&#45800;&#44228;-&#52392;&#48512;&#54260;&#45908;)v6\&#44148;&#52629;\17_&#48148;&#45797;(&#48260;&#47548;)%20&#53080;&#53356;&#47532;&#53944;%20&#53440;&#49444;\&#52404;&#53356;&#47532;&#49828;&#53944;\&#48148;&#45797;(&#48260;&#47548;)%20&#53080;&#53356;&#47532;&#53944;%20&#53440;&#49444;_&#52404;&#53356;&#47532;&#49828;&#53944;.html" TargetMode="External" Id="rId51"/><Relationship Type="http://schemas.openxmlformats.org/officeDocument/2006/relationships/hyperlink" Target="&#47588;&#45684;&#50620;BODY(&#51665;&#54665;&#45800;&#44228;-&#52392;&#48512;&#54260;&#45908;)v6\&#44148;&#52629;\18_&#51064;&#53552;&#54168;&#51060;&#49828;%20&#54924;&#51032;(&#47588;&#51452;)\&#54364;&#51456;&#49436;\&#51064;&#53552;&#54168;&#51060;&#49828;%20&#54924;&#51032;(&#47588;&#51452;)_&#54364;&#51456;&#49436;.html" TargetMode="External" Id="rId52"/><Relationship Type="http://schemas.openxmlformats.org/officeDocument/2006/relationships/hyperlink" Target="&#47588;&#45684;&#50620;BODY(&#51665;&#54665;&#45800;&#44228;-&#52392;&#48512;&#54260;&#45908;)v6\&#44148;&#52629;\18_&#51064;&#53552;&#54168;&#51060;&#49828;%20&#54924;&#51032;(&#47588;&#51452;)\&#49688;&#54665;&#51648;&#52840;\&#51064;&#53552;&#54168;&#51060;&#49828;%20&#54924;&#51032;(&#47588;&#51452;)_&#49688;&#54665;&#51648;&#52840;.html" TargetMode="External" Id="rId53"/><Relationship Type="http://schemas.openxmlformats.org/officeDocument/2006/relationships/hyperlink" Target="&#47588;&#45684;&#50620;BODY(&#51665;&#54665;&#45800;&#44228;-&#52392;&#48512;&#54260;&#45908;)v6\&#44148;&#52629;\18_&#51064;&#53552;&#54168;&#51060;&#49828;%20&#54924;&#51032;(&#47588;&#51452;)\&#52404;&#53356;&#47532;&#49828;&#53944;\&#51064;&#53552;&#54168;&#51060;&#49828;%20&#54924;&#51032;(&#47588;&#51452;)_&#52404;&#53356;&#47532;&#49828;&#53944;.html" TargetMode="External" Id="rId54"/><Relationship Type="http://schemas.openxmlformats.org/officeDocument/2006/relationships/hyperlink" Target="&#47588;&#45684;&#50620;BODY(&#51665;&#54665;&#45800;&#44228;-&#52392;&#48512;&#54260;&#45908;)v6\&#44148;&#52629;\19_&#51064;&#53552;&#54168;&#51060;&#49828;%20&#44033;%20&#44277;&#51333;&#48324;%20Issue%20(&#44592;&#44228;,%20&#51204;&#44592;,%20&#53685;&#49888;&#48516;&#50556;)\&#54364;&#51456;&#49436;\&#51064;&#53552;&#54168;&#51060;&#49828;%20&#44033;%20&#44277;&#51333;&#48324;%20Issue%20(&#44592;&#44228;,%20&#51204;&#44592;,%20&#53685;&#49888;&#48516;&#50556;)_&#54364;&#51456;&#49436;.html" TargetMode="External" Id="rId55"/><Relationship Type="http://schemas.openxmlformats.org/officeDocument/2006/relationships/hyperlink" Target="&#47588;&#45684;&#50620;BODY(&#51665;&#54665;&#45800;&#44228;-&#52392;&#48512;&#54260;&#45908;)v6\&#44148;&#52629;\19_&#51064;&#53552;&#54168;&#51060;&#49828;%20&#44033;%20&#44277;&#51333;&#48324;%20Issue%20(&#44592;&#44228;,%20&#51204;&#44592;,%20&#53685;&#49888;&#48516;&#50556;)\&#49688;&#54665;&#51648;&#52840;\&#51064;&#53552;&#54168;&#51060;&#49828;%20&#44033;%20&#44277;&#51333;&#48324;%20Issue%20(&#44592;&#44228;,%20&#51204;&#44592;,%20&#53685;&#49888;&#48516;&#50556;)_&#49688;&#54665;&#51648;&#52840;.html" TargetMode="External" Id="rId56"/><Relationship Type="http://schemas.openxmlformats.org/officeDocument/2006/relationships/hyperlink" Target="&#47588;&#45684;&#50620;BODY(&#51665;&#54665;&#45800;&#44228;-&#52392;&#48512;&#54260;&#45908;)v6\&#44148;&#52629;\19_&#51064;&#53552;&#54168;&#51060;&#49828;%20&#44033;%20&#44277;&#51333;&#48324;%20Issue%20(&#44592;&#44228;,%20&#51204;&#44592;,%20&#53685;&#49888;&#48516;&#50556;)\&#52404;&#53356;&#47532;&#49828;&#53944;\&#51064;&#53552;&#54168;&#51060;&#49828;%20&#44033;%20&#44277;&#51333;&#48324;%20Issue%20(&#44592;&#44228;,%20&#51204;&#44592;,%20&#53685;&#49888;&#48516;&#50556;)_&#52404;&#53356;&#47532;&#49828;&#53944;.html" TargetMode="External" Id="rId57"/><Relationship Type="http://schemas.openxmlformats.org/officeDocument/2006/relationships/hyperlink" Target="&#47588;&#45684;&#50620;BODY(&#51665;&#54665;&#45800;&#44228;-&#52392;&#48512;&#54260;&#45908;)v6\&#44148;&#52629;\20_&#51064;&#53552;&#54168;&#51060;&#49828;%20&#44033;%20&#44277;&#51333;&#48324;%20Issue%20(&#53664;&#47785;&#48516;&#50556;)\&#54364;&#51456;&#49436;\&#51064;&#53552;&#54168;&#51060;&#49828;%20&#44033;%20&#44277;&#51333;&#48324;%20Issue%20(&#53664;&#47785;&#48516;&#50556;)_&#54364;&#51456;&#49436;.html" TargetMode="External" Id="rId58"/><Relationship Type="http://schemas.openxmlformats.org/officeDocument/2006/relationships/hyperlink" Target="&#47588;&#45684;&#50620;BODY(&#51665;&#54665;&#45800;&#44228;-&#52392;&#48512;&#54260;&#45908;)v6\&#44148;&#52629;\20_&#51064;&#53552;&#54168;&#51060;&#49828;%20&#44033;%20&#44277;&#51333;&#48324;%20Issue%20(&#53664;&#47785;&#48516;&#50556;)\&#49688;&#54665;&#51648;&#52840;\&#51064;&#53552;&#54168;&#51060;&#49828;%20&#44033;%20&#44277;&#51333;&#48324;%20Issue%20(&#53664;&#47785;&#48516;&#50556;)_&#49688;&#54665;&#51648;&#52840;.html" TargetMode="External" Id="rId59"/><Relationship Type="http://schemas.openxmlformats.org/officeDocument/2006/relationships/hyperlink" Target="&#47588;&#45684;&#50620;BODY(&#51665;&#54665;&#45800;&#44228;-&#52392;&#48512;&#54260;&#45908;)v6\&#44148;&#52629;\20_&#51064;&#53552;&#54168;&#51060;&#49828;%20&#44033;%20&#44277;&#51333;&#48324;%20Issue%20(&#53664;&#47785;&#48516;&#50556;)\&#52404;&#53356;&#47532;&#49828;&#53944;\&#51064;&#53552;&#54168;&#51060;&#49828;%20&#44033;%20&#44277;&#51333;&#48324;%20Issue%20(&#53664;&#47785;&#48516;&#50556;)_&#52404;&#53356;&#47532;&#49828;&#53944;.html" TargetMode="External" Id="rId60"/><Relationship Type="http://schemas.openxmlformats.org/officeDocument/2006/relationships/hyperlink" Target="&#47588;&#45684;&#50620;BODY(&#51665;&#54665;&#45800;&#44228;-&#52392;&#48512;&#54260;&#45908;)v6\&#44148;&#52629;\21_&#44592;&#52488;~&#49345;&#48512;&#49836;&#46972;&#48652;%20&#44396;&#51312;&#47932;%20&#49884;&#44277;\&#54364;&#51456;&#49436;\&#44592;&#52488;~&#49345;&#48512;&#49836;&#46972;&#48652;%20&#44396;&#51312;&#47932;%20&#49884;&#44277;_&#54364;&#51456;&#49436;.html" TargetMode="External" Id="rId61"/><Relationship Type="http://schemas.openxmlformats.org/officeDocument/2006/relationships/hyperlink" Target="&#47588;&#45684;&#50620;BODY(&#51665;&#54665;&#45800;&#44228;-&#52392;&#48512;&#54260;&#45908;)v6\&#44148;&#52629;\21_&#44592;&#52488;~&#49345;&#48512;&#49836;&#46972;&#48652;%20&#44396;&#51312;&#47932;%20&#49884;&#44277;\&#49688;&#54665;&#51648;&#52840;\&#44592;&#52488;~&#49345;&#48512;&#49836;&#46972;&#48652;%20&#44396;&#51312;&#47932;%20&#49884;&#44277;_&#49688;&#54665;&#51648;&#52840;.html" TargetMode="External" Id="rId62"/><Relationship Type="http://schemas.openxmlformats.org/officeDocument/2006/relationships/hyperlink" Target="&#47588;&#45684;&#50620;BODY(&#51665;&#54665;&#45800;&#44228;-&#52392;&#48512;&#54260;&#45908;)v6\&#44148;&#52629;\21_&#44592;&#52488;~&#49345;&#48512;&#49836;&#46972;&#48652;%20&#44396;&#51312;&#47932;%20&#49884;&#44277;\&#52404;&#53356;&#47532;&#49828;&#53944;\&#44592;&#52488;~&#49345;&#48512;&#49836;&#46972;&#48652;%20&#44396;&#51312;&#47932;%20&#49884;&#44277;_&#52404;&#53356;&#47532;&#49828;&#53944;.html" TargetMode="External" Id="rId63"/><Relationship Type="http://schemas.openxmlformats.org/officeDocument/2006/relationships/hyperlink" Target="&#47588;&#45684;&#50620;BODY(&#51665;&#54665;&#45800;&#44228;-&#52392;&#48512;&#54260;&#45908;)v6\&#44148;&#52629;\22_&#52384;&#44540;%20&#44032;&#44277;\&#54364;&#51456;&#49436;\&#52384;&#44540;%20&#44032;&#44277;_&#54364;&#51456;&#49436;.html" TargetMode="External" Id="rId64"/><Relationship Type="http://schemas.openxmlformats.org/officeDocument/2006/relationships/hyperlink" Target="&#47588;&#45684;&#50620;BODY(&#51665;&#54665;&#45800;&#44228;-&#52392;&#48512;&#54260;&#45908;)v6\&#44148;&#52629;\22_&#52384;&#44540;%20&#44032;&#44277;\&#49688;&#54665;&#51648;&#52840;\&#52384;&#44540;%20&#44032;&#44277;_&#49688;&#54665;&#51648;&#52840;.html" TargetMode="External" Id="rId65"/><Relationship Type="http://schemas.openxmlformats.org/officeDocument/2006/relationships/hyperlink" Target="&#47588;&#45684;&#50620;BODY(&#51665;&#54665;&#45800;&#44228;-&#52392;&#48512;&#54260;&#45908;)v6\&#44148;&#52629;\22_&#52384;&#44540;%20&#44032;&#44277;\&#52404;&#53356;&#47532;&#49828;&#53944;\&#52384;&#44540;%20&#44032;&#44277;_&#52404;&#53356;&#47532;&#49828;&#53944;.html" TargetMode="External" Id="rId66"/><Relationship Type="http://schemas.openxmlformats.org/officeDocument/2006/relationships/hyperlink" Target="&#47588;&#45684;&#50620;BODY(&#51665;&#54665;&#45800;&#44228;-&#52392;&#48512;&#54260;&#45908;)v6\&#44148;&#52629;\23_&#51089;&#50629;&#48156;&#54032;,%20&#48708;&#44228;%20&#48143;%20&#46041;&#48148;&#47532;%20&#49444;&#52824;\&#54364;&#51456;&#49436;\&#51089;&#50629;&#48156;&#54032;,%20&#48708;&#44228;%20&#48143;%20&#46041;&#48148;&#47532;%20&#49444;&#52824;_&#54364;&#51456;&#49436;.html" TargetMode="External" Id="rId67"/><Relationship Type="http://schemas.openxmlformats.org/officeDocument/2006/relationships/hyperlink" Target="&#47588;&#45684;&#50620;BODY(&#51665;&#54665;&#45800;&#44228;-&#52392;&#48512;&#54260;&#45908;)v6\&#44148;&#52629;\23_&#51089;&#50629;&#48156;&#54032;,%20&#48708;&#44228;%20&#48143;%20&#46041;&#48148;&#47532;%20&#49444;&#52824;\&#49688;&#54665;&#51648;&#52840;\&#51089;&#50629;&#48156;&#54032;,%20&#48708;&#44228;%20&#48143;%20&#46041;&#48148;&#47532;%20&#49444;&#52824;_&#49688;&#54665;&#51648;&#52840;.html" TargetMode="External" Id="rId68"/><Relationship Type="http://schemas.openxmlformats.org/officeDocument/2006/relationships/hyperlink" Target="&#47588;&#45684;&#50620;BODY(&#51665;&#54665;&#45800;&#44228;-&#52392;&#48512;&#54260;&#45908;)v6\&#44148;&#52629;\23_&#51089;&#50629;&#48156;&#54032;,%20&#48708;&#44228;%20&#48143;%20&#46041;&#48148;&#47532;%20&#49444;&#52824;\&#52404;&#53356;&#47532;&#49828;&#53944;\&#51089;&#50629;&#48156;&#54032;,%20&#48708;&#44228;%20&#48143;%20&#46041;&#48148;&#47532;%20&#49444;&#52824;_&#52404;&#53356;&#47532;&#49828;&#53944;.html" TargetMode="External" Id="rId69"/><Relationship Type="http://schemas.openxmlformats.org/officeDocument/2006/relationships/hyperlink" Target="&#47588;&#45684;&#50620;BODY(&#51665;&#54665;&#45800;&#44228;-&#52392;&#48512;&#54260;&#45908;)v6\&#44148;&#52629;\24_&#52384;&#44540;%20&#51312;&#47549;\&#54364;&#51456;&#49436;\&#52384;&#44540;%20&#51312;&#47549;_&#54364;&#51456;&#49436;.html" TargetMode="External" Id="rId70"/><Relationship Type="http://schemas.openxmlformats.org/officeDocument/2006/relationships/hyperlink" Target="&#47588;&#45684;&#50620;BODY(&#51665;&#54665;&#45800;&#44228;-&#52392;&#48512;&#54260;&#45908;)v6\&#44148;&#52629;\24_&#52384;&#44540;%20&#51312;&#47549;\&#49688;&#54665;&#51648;&#52840;\&#52384;&#44540;%20&#51312;&#47549;_&#49688;&#54665;&#51648;&#52840;.html" TargetMode="External" Id="rId71"/><Relationship Type="http://schemas.openxmlformats.org/officeDocument/2006/relationships/hyperlink" Target="&#47588;&#45684;&#50620;BODY(&#51665;&#54665;&#45800;&#44228;-&#52392;&#48512;&#54260;&#45908;)v6\&#44148;&#52629;\24_&#52384;&#44540;%20&#51312;&#47549;\&#52404;&#53356;&#47532;&#49828;&#53944;\&#52384;&#44540;%20&#51312;&#47549;_&#52404;&#53356;&#47532;&#49828;&#53944;.html" TargetMode="External" Id="rId72"/><Relationship Type="http://schemas.openxmlformats.org/officeDocument/2006/relationships/hyperlink" Target="&#47588;&#45684;&#50620;BODY(&#51665;&#54665;&#45800;&#44228;-&#52392;&#48512;&#54260;&#45908;)v6\&#44148;&#52629;\25_&#44144;&#54392;&#51665;%20&#51312;&#47549;\&#54364;&#51456;&#49436;\&#44144;&#54392;&#51665;%20&#51312;&#47549;_&#54364;&#51456;&#49436;.html" TargetMode="External" Id="rId73"/><Relationship Type="http://schemas.openxmlformats.org/officeDocument/2006/relationships/hyperlink" Target="&#47588;&#45684;&#50620;BODY(&#51665;&#54665;&#45800;&#44228;-&#52392;&#48512;&#54260;&#45908;)v6\&#44148;&#52629;\25_&#44144;&#54392;&#51665;%20&#51312;&#47549;\&#49688;&#54665;&#51648;&#52840;\&#44144;&#54392;&#51665;%20&#51312;&#47549;_&#49688;&#54665;&#51648;&#52840;.html" TargetMode="External" Id="rId74"/><Relationship Type="http://schemas.openxmlformats.org/officeDocument/2006/relationships/hyperlink" Target="&#47588;&#45684;&#50620;BODY(&#51665;&#54665;&#45800;&#44228;-&#52392;&#48512;&#54260;&#45908;)v6\&#44148;&#52629;\25_&#44144;&#54392;&#51665;%20&#51312;&#47549;\&#52404;&#53356;&#47532;&#49828;&#53944;\&#44144;&#54392;&#51665;%20&#51312;&#47549;_&#52404;&#53356;&#47532;&#49828;&#53944;.html" TargetMode="External" Id="rId75"/><Relationship Type="http://schemas.openxmlformats.org/officeDocument/2006/relationships/hyperlink" Target="&#47588;&#45684;&#50620;BODY(&#51665;&#54665;&#45800;&#44228;-&#52392;&#48512;&#54260;&#45908;)v6\&#44148;&#52629;\26_&#53080;&#53356;&#47532;&#53944;%20&#53440;&#49444;%20&#48143;%20&#45796;&#51664;\&#54364;&#51456;&#49436;\&#53080;&#53356;&#47532;&#53944;%20&#53440;&#49444;%20&#48143;%20&#45796;&#51664;_&#54364;&#51456;&#49436;.html" TargetMode="External" Id="rId76"/><Relationship Type="http://schemas.openxmlformats.org/officeDocument/2006/relationships/hyperlink" Target="&#47588;&#45684;&#50620;BODY(&#51665;&#54665;&#45800;&#44228;-&#52392;&#48512;&#54260;&#45908;)v6\&#44148;&#52629;\26_&#53080;&#53356;&#47532;&#53944;%20&#53440;&#49444;%20&#48143;%20&#45796;&#51664;\&#49688;&#54665;&#51648;&#52840;\&#53080;&#53356;&#47532;&#53944;%20&#53440;&#49444;%20&#48143;%20&#45796;&#51664;_&#49688;&#54665;&#51648;&#52840;.html" TargetMode="External" Id="rId77"/><Relationship Type="http://schemas.openxmlformats.org/officeDocument/2006/relationships/hyperlink" Target="&#47588;&#45684;&#50620;BODY(&#51665;&#54665;&#45800;&#44228;-&#52392;&#48512;&#54260;&#45908;)v6\&#44148;&#52629;\26_&#53080;&#53356;&#47532;&#53944;%20&#53440;&#49444;%20&#48143;%20&#45796;&#51664;\&#52404;&#53356;&#47532;&#49828;&#53944;\&#53080;&#53356;&#47532;&#53944;%20&#53440;&#49444;%20&#48143;%20&#45796;&#51664;_&#52404;&#53356;&#47532;&#49828;&#53944;.html" TargetMode="External" Id="rId78"/><Relationship Type="http://schemas.openxmlformats.org/officeDocument/2006/relationships/hyperlink" Target="&#47588;&#45684;&#50620;BODY(&#51665;&#54665;&#45800;&#44228;-&#52392;&#48512;&#54260;&#45908;)v6\&#44148;&#52629;\27_&#44144;&#54392;&#51665;%20&#54644;&#52404;\&#54364;&#51456;&#49436;\&#44144;&#54392;&#51665;%20&#54644;&#52404;_&#54364;&#51456;&#49436;.html" TargetMode="External" Id="rId79"/><Relationship Type="http://schemas.openxmlformats.org/officeDocument/2006/relationships/hyperlink" Target="&#47588;&#45684;&#50620;BODY(&#51665;&#54665;&#45800;&#44228;-&#52392;&#48512;&#54260;&#45908;)v6\&#44148;&#52629;\27_&#44144;&#54392;&#51665;%20&#54644;&#52404;\&#49688;&#54665;&#51648;&#52840;\&#44144;&#54392;&#51665;%20&#54644;&#52404;_&#49688;&#54665;&#51648;&#52840;.html" TargetMode="External" Id="rId80"/><Relationship Type="http://schemas.openxmlformats.org/officeDocument/2006/relationships/hyperlink" Target="&#47588;&#45684;&#50620;BODY(&#51665;&#54665;&#45800;&#44228;-&#52392;&#48512;&#54260;&#45908;)v6\&#44148;&#52629;\27_&#44144;&#54392;&#51665;%20&#54644;&#52404;\&#52404;&#53356;&#47532;&#49828;&#53944;\&#44144;&#54392;&#51665;%20&#54644;&#52404;_&#52404;&#53356;&#47532;&#49828;&#53944;.html" TargetMode="External" Id="rId81"/><Relationship Type="http://schemas.openxmlformats.org/officeDocument/2006/relationships/hyperlink" Target="&#47588;&#45684;&#50620;BODY(&#51665;&#54665;&#45800;&#44228;-&#52392;&#48512;&#54260;&#45908;)v6\&#44148;&#52629;\28_&#44148;&#52629;%20&#45236;&#48512;%20&#48143;%20&#47560;&#44048;&#44277;&#49324;\&#54364;&#51456;&#49436;\&#44148;&#52629;%20&#45236;&#48512;%20&#48143;%20&#47560;&#44048;&#44277;&#49324;_&#54364;&#51456;&#49436;.html" TargetMode="External" Id="rId82"/><Relationship Type="http://schemas.openxmlformats.org/officeDocument/2006/relationships/hyperlink" Target="&#47588;&#45684;&#50620;BODY(&#51665;&#54665;&#45800;&#44228;-&#52392;&#48512;&#54260;&#45908;)v6\&#44148;&#52629;\28_&#44148;&#52629;%20&#45236;&#48512;%20&#48143;%20&#47560;&#44048;&#44277;&#49324;\&#49688;&#54665;&#51648;&#52840;\&#44148;&#52629;%20&#45236;&#48512;%20&#48143;%20&#47560;&#44048;&#44277;&#49324;_&#49688;&#54665;&#51648;&#52840;.html" TargetMode="External" Id="rId83"/><Relationship Type="http://schemas.openxmlformats.org/officeDocument/2006/relationships/hyperlink" Target="&#47588;&#45684;&#50620;BODY(&#51665;&#54665;&#45800;&#44228;-&#52392;&#48512;&#54260;&#45908;)v6\&#44148;&#52629;\28_&#44148;&#52629;%20&#45236;&#48512;%20&#48143;%20&#47560;&#44048;&#44277;&#49324;\&#52404;&#53356;&#47532;&#49828;&#53944;\&#44148;&#52629;%20&#45236;&#48512;%20&#48143;%20&#47560;&#44048;&#44277;&#49324;_&#52404;&#53356;&#47532;&#49828;&#53944;.html" TargetMode="External" Id="rId84"/><Relationship Type="http://schemas.openxmlformats.org/officeDocument/2006/relationships/hyperlink" Target="&#47588;&#45684;&#50620;BODY(&#51665;&#54665;&#45800;&#44228;-&#52392;&#48512;&#54260;&#45908;)v6\&#44148;&#52629;\29_&#52285;&#54840;,&#50976;&#47532;%20&#48143;%20&#44552;&#49549;&#51648;&#48533;&#44277;&#49324;\&#54364;&#51456;&#49436;\&#52285;&#54840;,&#50976;&#47532;%20&#48143;%20&#44552;&#49549;&#51648;&#48533;&#44277;&#49324;_&#54364;&#51456;&#49436;.html" TargetMode="External" Id="rId85"/><Relationship Type="http://schemas.openxmlformats.org/officeDocument/2006/relationships/hyperlink" Target="&#47588;&#45684;&#50620;BODY(&#51665;&#54665;&#45800;&#44228;-&#52392;&#48512;&#54260;&#45908;)v6\&#44148;&#52629;\29_&#52285;&#54840;,&#50976;&#47532;%20&#48143;%20&#44552;&#49549;&#51648;&#48533;&#44277;&#49324;\&#49688;&#54665;&#51648;&#52840;\&#52285;&#54840;,&#50976;&#47532;%20&#48143;%20&#44552;&#49549;&#51648;&#48533;&#44277;&#49324;_&#49688;&#54665;&#51648;&#52840;.html" TargetMode="External" Id="rId86"/><Relationship Type="http://schemas.openxmlformats.org/officeDocument/2006/relationships/hyperlink" Target="&#47588;&#45684;&#50620;BODY(&#51665;&#54665;&#45800;&#44228;-&#52392;&#48512;&#54260;&#45908;)v6\&#44148;&#52629;\29_&#52285;&#54840;,&#50976;&#47532;%20&#48143;%20&#44552;&#49549;&#51648;&#48533;&#44277;&#49324;\&#52404;&#53356;&#47532;&#49828;&#53944;\&#52285;&#54840;,&#50976;&#47532;%20&#48143;%20&#44552;&#49549;&#51648;&#48533;&#44277;&#49324;_&#52404;&#53356;&#47532;&#49828;&#53944;.html" TargetMode="External" Id="rId87"/><Relationship Type="http://schemas.openxmlformats.org/officeDocument/2006/relationships/hyperlink" Target="&#47588;&#45684;&#50620;BODY(&#51665;&#54665;&#45800;&#44228;-&#52392;&#48512;&#54260;&#45908;)v6\&#44148;&#52629;\30_&#51312;&#51201;&#44277;&#49324;\&#54364;&#51456;&#49436;\&#51312;&#51201;&#44277;&#49324;_&#54364;&#51456;&#49436;.html" TargetMode="External" Id="rId88"/><Relationship Type="http://schemas.openxmlformats.org/officeDocument/2006/relationships/hyperlink" Target="&#47588;&#45684;&#50620;BODY(&#51665;&#54665;&#45800;&#44228;-&#52392;&#48512;&#54260;&#45908;)v6\&#44148;&#52629;\30_&#51312;&#51201;&#44277;&#49324;\&#49688;&#54665;&#51648;&#52840;\&#51312;&#51201;&#44277;&#49324;_&#49688;&#54665;&#51648;&#52840;.html" TargetMode="External" Id="rId89"/><Relationship Type="http://schemas.openxmlformats.org/officeDocument/2006/relationships/hyperlink" Target="&#47588;&#45684;&#50620;BODY(&#51665;&#54665;&#45800;&#44228;-&#52392;&#48512;&#54260;&#45908;)v6\&#44148;&#52629;\30_&#51312;&#51201;&#44277;&#49324;\&#52404;&#53356;&#47532;&#49828;&#53944;\&#51312;&#51201;&#44277;&#49324;_&#52404;&#53356;&#47532;&#49828;&#53944;.html" TargetMode="External" Id="rId90"/><Relationship Type="http://schemas.openxmlformats.org/officeDocument/2006/relationships/hyperlink" Target="&#47588;&#45684;&#50620;BODY(&#51665;&#54665;&#45800;&#44228;-&#52392;&#48512;&#54260;&#45908;)v6\&#44148;&#52629;\31_&#45236;&#48512;%20&#48169;&#49688;&#44277;&#49324;\&#54364;&#51456;&#49436;\&#45236;&#48512;%20&#48169;&#49688;&#44277;&#49324;_&#54364;&#51456;&#49436;.html" TargetMode="External" Id="rId91"/><Relationship Type="http://schemas.openxmlformats.org/officeDocument/2006/relationships/hyperlink" Target="&#47588;&#45684;&#50620;BODY(&#51665;&#54665;&#45800;&#44228;-&#52392;&#48512;&#54260;&#45908;)v6\&#44148;&#52629;\31_&#45236;&#48512;%20&#48169;&#49688;&#44277;&#49324;\&#49688;&#54665;&#51648;&#52840;\&#45236;&#48512;%20&#48169;&#49688;&#44277;&#49324;_&#49688;&#54665;&#51648;&#52840;.html" TargetMode="External" Id="rId92"/><Relationship Type="http://schemas.openxmlformats.org/officeDocument/2006/relationships/hyperlink" Target="&#47588;&#45684;&#50620;BODY(&#51665;&#54665;&#45800;&#44228;-&#52392;&#48512;&#54260;&#45908;)v6\&#44148;&#52629;\31_&#45236;&#48512;%20&#48169;&#49688;&#44277;&#49324;\&#52404;&#53356;&#47532;&#49828;&#53944;\&#45236;&#48512;%20&#48169;&#49688;&#44277;&#49324;_&#52404;&#53356;&#47532;&#49828;&#53944;.html" TargetMode="External" Id="rId93"/><Relationship Type="http://schemas.openxmlformats.org/officeDocument/2006/relationships/hyperlink" Target="&#47588;&#45684;&#50620;BODY(&#51665;&#54665;&#45800;&#44228;-&#52392;&#48512;&#54260;&#45908;)v6\&#44148;&#52629;\32_&#48120;&#51109;%20&#48143;%20&#53440;&#51068;&#44277;&#49324;\&#54364;&#51456;&#49436;\&#48120;&#51109;%20&#48143;%20&#53440;&#51068;&#44277;&#49324;_&#54364;&#51456;&#49436;.html" TargetMode="External" Id="rId94"/><Relationship Type="http://schemas.openxmlformats.org/officeDocument/2006/relationships/hyperlink" Target="&#47588;&#45684;&#50620;BODY(&#51665;&#54665;&#45800;&#44228;-&#52392;&#48512;&#54260;&#45908;)v6\&#44148;&#52629;\32_&#48120;&#51109;%20&#48143;%20&#53440;&#51068;&#44277;&#49324;\&#49688;&#54665;&#51648;&#52840;\&#48120;&#51109;%20&#48143;%20&#53440;&#51068;&#44277;&#49324;_&#49688;&#54665;&#51648;&#52840;.html" TargetMode="External" Id="rId95"/><Relationship Type="http://schemas.openxmlformats.org/officeDocument/2006/relationships/hyperlink" Target="&#47588;&#45684;&#50620;BODY(&#51665;&#54665;&#45800;&#44228;-&#52392;&#48512;&#54260;&#45908;)v6\&#44148;&#52629;\32_&#48120;&#51109;%20&#48143;%20&#53440;&#51068;&#44277;&#49324;\&#52404;&#53356;&#47532;&#49828;&#53944;\&#48120;&#51109;%20&#48143;%20&#53440;&#51068;&#44277;&#49324;_&#52404;&#53356;&#47532;&#49828;&#53944;.html" TargetMode="External" Id="rId96"/><Relationship Type="http://schemas.openxmlformats.org/officeDocument/2006/relationships/hyperlink" Target="&#47588;&#45684;&#50620;BODY(&#51665;&#54665;&#45800;&#44228;-&#52392;&#48512;&#54260;&#45908;)v6\&#44148;&#52629;\33_&#49688;&#51109;%20&#48143;%20&#51105;&#52384;&#47932;&#44277;&#49324;\&#54364;&#51456;&#49436;\&#49688;&#51109;%20&#48143;%20&#51105;&#52384;&#47932;&#44277;&#49324;_&#54364;&#51456;&#49436;.html" TargetMode="External" Id="rId97"/><Relationship Type="http://schemas.openxmlformats.org/officeDocument/2006/relationships/hyperlink" Target="&#47588;&#45684;&#50620;BODY(&#51665;&#54665;&#45800;&#44228;-&#52392;&#48512;&#54260;&#45908;)v6\&#44148;&#52629;\33_&#49688;&#51109;%20&#48143;%20&#51105;&#52384;&#47932;&#44277;&#49324;\&#49688;&#54665;&#51648;&#52840;\&#49688;&#51109;%20&#48143;%20&#51105;&#52384;&#47932;&#44277;&#49324;_&#49688;&#54665;&#51648;&#52840;.html" TargetMode="External" Id="rId98"/><Relationship Type="http://schemas.openxmlformats.org/officeDocument/2006/relationships/hyperlink" Target="&#47588;&#45684;&#50620;BODY(&#51665;&#54665;&#45800;&#44228;-&#52392;&#48512;&#54260;&#45908;)v6\&#44148;&#52629;\33_&#49688;&#51109;%20&#48143;%20&#51105;&#52384;&#47932;&#44277;&#49324;\&#52404;&#53356;&#47532;&#49828;&#53944;\&#49688;&#51109;%20&#48143;%20&#51105;&#52384;&#47932;&#44277;&#49324;_&#52404;&#53356;&#47532;&#49828;&#53944;.html" TargetMode="External" Id="rId99"/><Relationship Type="http://schemas.openxmlformats.org/officeDocument/2006/relationships/hyperlink" Target="&#47588;&#45684;&#50620;BODY(&#51665;&#54665;&#45800;&#44228;-&#52392;&#48512;&#54260;&#45908;)v6\&#44148;&#52629;\34_&#46020;&#51109;&#44277;&#49324;\&#54364;&#51456;&#49436;\&#46020;&#51109;&#44277;&#49324;_&#54364;&#51456;&#49436;.html" TargetMode="External" Id="rId100"/><Relationship Type="http://schemas.openxmlformats.org/officeDocument/2006/relationships/hyperlink" Target="&#47588;&#45684;&#50620;BODY(&#51665;&#54665;&#45800;&#44228;-&#52392;&#48512;&#54260;&#45908;)v6\&#44148;&#52629;\34_&#46020;&#51109;&#44277;&#49324;\&#49688;&#54665;&#51648;&#52840;\&#46020;&#51109;&#44277;&#49324;_&#49688;&#54665;&#51648;&#52840;.html" TargetMode="External" Id="rId101"/><Relationship Type="http://schemas.openxmlformats.org/officeDocument/2006/relationships/hyperlink" Target="&#47588;&#45684;&#50620;BODY(&#51665;&#54665;&#45800;&#44228;-&#52392;&#48512;&#54260;&#45908;)v6\&#44148;&#52629;\34_&#46020;&#51109;&#44277;&#49324;\&#52404;&#53356;&#47532;&#49828;&#53944;\&#46020;&#51109;&#44277;&#49324;_&#52404;&#53356;&#47532;&#49828;&#53944;.html" TargetMode="External" Id="rId102"/><Relationship Type="http://schemas.openxmlformats.org/officeDocument/2006/relationships/hyperlink" Target="&#47588;&#45684;&#50620;BODY(&#51665;&#54665;&#45800;&#44228;-&#52392;&#48512;&#54260;&#45908;)v6\&#44148;&#52629;\35_&#51064;&#53580;&#47532;&#50612;%20&#48143;%20&#47924;&#45824;&#44277;&#49324;\&#54364;&#51456;&#49436;\&#51064;&#53580;&#47532;&#50612;%20&#48143;%20&#47924;&#45824;&#44277;&#49324;_&#54364;&#51456;&#49436;.html" TargetMode="External" Id="rId103"/><Relationship Type="http://schemas.openxmlformats.org/officeDocument/2006/relationships/hyperlink" Target="&#47588;&#45684;&#50620;BODY(&#51665;&#54665;&#45800;&#44228;-&#52392;&#48512;&#54260;&#45908;)v6\&#44148;&#52629;\35_&#51064;&#53580;&#47532;&#50612;%20&#48143;%20&#47924;&#45824;&#44277;&#49324;\&#49688;&#54665;&#51648;&#52840;\&#51064;&#53580;&#47532;&#50612;%20&#48143;%20&#47924;&#45824;&#44277;&#49324;_&#49688;&#54665;&#51648;&#52840;.html" TargetMode="External" Id="rId104"/><Relationship Type="http://schemas.openxmlformats.org/officeDocument/2006/relationships/hyperlink" Target="&#47588;&#45684;&#50620;BODY(&#51665;&#54665;&#45800;&#44228;-&#52392;&#48512;&#54260;&#45908;)v6\&#44148;&#52629;\35_&#51064;&#53580;&#47532;&#50612;%20&#48143;%20&#47924;&#45824;&#44277;&#49324;\&#52404;&#53356;&#47532;&#49828;&#53944;\&#51064;&#53580;&#47532;&#50612;%20&#48143;%20&#47924;&#45824;&#44277;&#49324;_&#52404;&#53356;&#47532;&#49828;&#53944;.html" TargetMode="External" Id="rId105"/><Relationship Type="http://schemas.openxmlformats.org/officeDocument/2006/relationships/hyperlink" Target="&#47588;&#45684;&#50620;BODY(&#51665;&#54665;&#45800;&#44228;-&#52392;&#48512;&#54260;&#45908;)v6\&#44148;&#52629;\36_&#51456;&#44277;&#51204;%20&#44148;&#52629;%20&#51064;&#54728;&#44032;\&#54364;&#51456;&#49436;\&#51456;&#44277;&#51204;%20&#44148;&#52629;%20&#51064;&#54728;&#44032;_&#54364;&#51456;&#49436;.html" TargetMode="External" Id="rId106"/><Relationship Type="http://schemas.openxmlformats.org/officeDocument/2006/relationships/hyperlink" Target="&#47588;&#45684;&#50620;BODY(&#51665;&#54665;&#45800;&#44228;-&#52392;&#48512;&#54260;&#45908;)v6\&#44148;&#52629;\36_&#51456;&#44277;&#51204;%20&#44148;&#52629;%20&#51064;&#54728;&#44032;\&#49688;&#54665;&#51648;&#52840;\&#51456;&#44277;&#51204;%20&#44148;&#52629;%20&#51064;&#54728;&#44032;_&#49688;&#54665;&#51648;&#52840;.html" TargetMode="External" Id="rId107"/><Relationship Type="http://schemas.openxmlformats.org/officeDocument/2006/relationships/hyperlink" Target="&#47588;&#45684;&#50620;BODY(&#51665;&#54665;&#45800;&#44228;-&#52392;&#48512;&#54260;&#45908;)v6\&#44148;&#52629;\36_&#51456;&#44277;&#51204;%20&#44148;&#52629;%20&#51064;&#54728;&#44032;\&#52404;&#53356;&#47532;&#49828;&#53944;\&#51456;&#44277;&#51204;%20&#44148;&#52629;%20&#51064;&#54728;&#44032;_&#52404;&#53356;&#47532;&#49828;&#53944;.html" TargetMode="External" Id="rId108"/><Relationship Type="http://schemas.openxmlformats.org/officeDocument/2006/relationships/hyperlink" Target="&#47588;&#45684;&#50620;BODY(&#51665;&#54665;&#45800;&#44228;-&#52392;&#48512;&#54260;&#45908;)v6\&#44148;&#52629;\37_&#49548;&#48169;&#49884;&#49444;&#44277;&#49324;%20&#50756;&#44277;&#44160;&#49324;\&#54364;&#51456;&#49436;\&#49548;&#48169;&#49884;&#49444;&#44277;&#49324;%20&#50756;&#44277;&#44160;&#49324;_&#54364;&#51456;&#49436;.html" TargetMode="External" Id="rId109"/><Relationship Type="http://schemas.openxmlformats.org/officeDocument/2006/relationships/hyperlink" Target="&#47588;&#45684;&#50620;BODY(&#51665;&#54665;&#45800;&#44228;-&#52392;&#48512;&#54260;&#45908;)v6\&#44148;&#52629;\37_&#49548;&#48169;&#49884;&#49444;&#44277;&#49324;%20&#50756;&#44277;&#44160;&#49324;\&#49688;&#54665;&#51648;&#52840;\&#49548;&#48169;&#49884;&#49444;&#44277;&#49324;%20&#50756;&#44277;&#44160;&#49324;_&#49688;&#54665;&#51648;&#52840;.html" TargetMode="External" Id="rId110"/><Relationship Type="http://schemas.openxmlformats.org/officeDocument/2006/relationships/hyperlink" Target="&#47588;&#45684;&#50620;BODY(&#51665;&#54665;&#45800;&#44228;-&#52392;&#48512;&#54260;&#45908;)v6\&#44148;&#52629;\37_&#49548;&#48169;&#49884;&#49444;&#44277;&#49324;%20&#50756;&#44277;&#44160;&#49324;\&#52404;&#53356;&#47532;&#49828;&#53944;\&#49548;&#48169;&#49884;&#49444;&#44277;&#49324;%20&#50756;&#44277;&#44160;&#49324;_&#52404;&#53356;&#47532;&#49828;&#53944;.html" TargetMode="External" Id="rId111"/><Relationship Type="http://schemas.openxmlformats.org/officeDocument/2006/relationships/hyperlink" Target="&#47588;&#45684;&#50620;BODY(&#51665;&#54665;&#45800;&#44228;-&#52392;&#48512;&#54260;&#45908;)v6\&#44148;&#52629;\38_&#49849;&#44053;&#44592;%20&#49444;&#52824;%20&#49888;&#44256;&#49436;%20&#51228;&#52636;\&#54364;&#51456;&#49436;\&#49849;&#44053;&#44592;%20&#49444;&#52824;%20&#49888;&#44256;&#49436;%20&#51228;&#52636;_&#54364;&#51456;&#49436;.html" TargetMode="External" Id="rId112"/><Relationship Type="http://schemas.openxmlformats.org/officeDocument/2006/relationships/hyperlink" Target="&#47588;&#45684;&#50620;BODY(&#51665;&#54665;&#45800;&#44228;-&#52392;&#48512;&#54260;&#45908;)v6\&#44148;&#52629;\38_&#49849;&#44053;&#44592;%20&#49444;&#52824;%20&#49888;&#44256;&#49436;%20&#51228;&#52636;\&#49688;&#54665;&#51648;&#52840;\&#49849;&#44053;&#44592;%20&#49444;&#52824;%20&#49888;&#44256;&#49436;%20&#51228;&#52636;_&#49688;&#54665;&#51648;&#52840;.html" TargetMode="External" Id="rId113"/><Relationship Type="http://schemas.openxmlformats.org/officeDocument/2006/relationships/hyperlink" Target="&#47588;&#45684;&#50620;BODY(&#51665;&#54665;&#45800;&#44228;-&#52392;&#48512;&#54260;&#45908;)v6\&#44148;&#52629;\38_&#49849;&#44053;&#44592;%20&#49444;&#52824;%20&#49888;&#44256;&#49436;%20&#51228;&#52636;\&#52404;&#53356;&#47532;&#49828;&#53944;\&#49849;&#44053;&#44592;%20&#49444;&#52824;%20&#49888;&#44256;&#49436;%20&#51228;&#52636;_&#52404;&#53356;&#47532;&#49828;&#53944;.html" TargetMode="External" Id="rId114"/><Relationship Type="http://schemas.openxmlformats.org/officeDocument/2006/relationships/hyperlink" Target="&#47588;&#45684;&#50620;BODY(&#51665;&#54665;&#45800;&#44228;-&#52392;&#48512;&#54260;&#45908;)v6\&#44148;&#52629;\39_&#51200;&#49688;&#51312;%20&#49444;&#52824;&#54788;&#54889;%20&#49888;&#44256;&#49436;%20&#51228;&#52636;\&#54364;&#51456;&#49436;\&#51200;&#49688;&#51312;%20&#49444;&#52824;&#54788;&#54889;%20&#49888;&#44256;&#49436;%20&#51228;&#52636;_&#54364;&#51456;&#49436;.html" TargetMode="External" Id="rId115"/><Relationship Type="http://schemas.openxmlformats.org/officeDocument/2006/relationships/hyperlink" Target="&#47588;&#45684;&#50620;BODY(&#51665;&#54665;&#45800;&#44228;-&#52392;&#48512;&#54260;&#45908;)v6\&#44148;&#52629;\39_&#51200;&#49688;&#51312;%20&#49444;&#52824;&#54788;&#54889;%20&#49888;&#44256;&#49436;%20&#51228;&#52636;\&#49688;&#54665;&#51648;&#52840;\&#51200;&#49688;&#51312;%20&#49444;&#52824;&#54788;&#54889;%20&#49888;&#44256;&#49436;%20&#51228;&#52636;_&#49688;&#54665;&#51648;&#52840;.html" TargetMode="External" Id="rId116"/><Relationship Type="http://schemas.openxmlformats.org/officeDocument/2006/relationships/hyperlink" Target="&#47588;&#45684;&#50620;BODY(&#51665;&#54665;&#45800;&#44228;-&#52392;&#48512;&#54260;&#45908;)v6\&#44148;&#52629;\39_&#51200;&#49688;&#51312;%20&#49444;&#52824;&#54788;&#54889;%20&#49888;&#44256;&#49436;%20&#51228;&#52636;\&#52404;&#53356;&#47532;&#49828;&#53944;\&#51200;&#49688;&#51312;%20&#49444;&#52824;&#54788;&#54889;%20&#49888;&#44256;&#49436;%20&#51228;&#52636;_&#52404;&#53356;&#47532;&#49828;&#53944;.html" TargetMode="External" Id="rId117"/><Relationship Type="http://schemas.openxmlformats.org/officeDocument/2006/relationships/hyperlink" Target="&#47588;&#45684;&#50620;BODY(&#51665;&#54665;&#45800;&#44228;-&#52392;&#48512;&#54260;&#45908;)v6\&#44148;&#52629;\40_&#50724;&#49688;&#52376;&#47532;&#49884;&#49444;%20_%20&#51221;&#54868;&#51312;%20&#49444;&#52824;%20&#49888;&#44256;&#49436;%20&#51228;&#52636;\&#54364;&#51456;&#49436;\&#50724;&#49688;&#52376;&#47532;&#49884;&#49444;%20_%20&#51221;&#54868;&#51312;%20&#49444;&#52824;%20&#49888;&#44256;&#49436;%20&#51228;&#52636;_&#54364;&#51456;&#49436;.html" TargetMode="External" Id="rId118"/><Relationship Type="http://schemas.openxmlformats.org/officeDocument/2006/relationships/hyperlink" Target="&#47588;&#45684;&#50620;BODY(&#51665;&#54665;&#45800;&#44228;-&#52392;&#48512;&#54260;&#45908;)v6\&#44148;&#52629;\40_&#50724;&#49688;&#52376;&#47532;&#49884;&#49444;%20_%20&#51221;&#54868;&#51312;%20&#49444;&#52824;%20&#49888;&#44256;&#49436;%20&#51228;&#52636;\&#49688;&#54665;&#51648;&#52840;\&#50724;&#49688;&#52376;&#47532;&#49884;&#49444;%20_%20&#51221;&#54868;&#51312;%20&#49444;&#52824;%20&#49888;&#44256;&#49436;%20&#51228;&#52636;_&#49688;&#54665;&#51648;&#52840;.html" TargetMode="External" Id="rId119"/><Relationship Type="http://schemas.openxmlformats.org/officeDocument/2006/relationships/hyperlink" Target="&#47588;&#45684;&#50620;BODY(&#51665;&#54665;&#45800;&#44228;-&#52392;&#48512;&#54260;&#45908;)v6\&#44148;&#52629;\40_&#50724;&#49688;&#52376;&#47532;&#49884;&#49444;%20_%20&#51221;&#54868;&#51312;%20&#49444;&#52824;%20&#49888;&#44256;&#49436;%20&#51228;&#52636;\&#52404;&#53356;&#47532;&#49828;&#53944;\&#50724;&#49688;&#52376;&#47532;&#49884;&#49444;%20_%20&#51221;&#54868;&#51312;%20&#49444;&#52824;%20&#49888;&#44256;&#49436;%20&#51228;&#52636;_&#52404;&#53356;&#47532;&#49828;&#53944;.html" TargetMode="External" Id="rId120"/><Relationship Type="http://schemas.openxmlformats.org/officeDocument/2006/relationships/hyperlink" Target="&#47588;&#45684;&#50620;BODY(&#51665;&#54665;&#45800;&#44228;-&#52392;&#48512;&#54260;&#45908;)v6\&#44148;&#52629;\41_&#51204;&#44592;&#49324;&#50857;&#51204;%20&#44160;&#49324;\&#54364;&#51456;&#49436;\&#51204;&#44592;&#49324;&#50857;&#51204;%20&#44160;&#49324;_&#54364;&#51456;&#49436;.html" TargetMode="External" Id="rId121"/><Relationship Type="http://schemas.openxmlformats.org/officeDocument/2006/relationships/hyperlink" Target="&#47588;&#45684;&#50620;BODY(&#51665;&#54665;&#45800;&#44228;-&#52392;&#48512;&#54260;&#45908;)v6\&#44148;&#52629;\41_&#51204;&#44592;&#49324;&#50857;&#51204;%20&#44160;&#49324;\&#49688;&#54665;&#51648;&#52840;\&#51204;&#44592;&#49324;&#50857;&#51204;%20&#44160;&#49324;_&#49688;&#54665;&#51648;&#52840;.html" TargetMode="External" Id="rId122"/><Relationship Type="http://schemas.openxmlformats.org/officeDocument/2006/relationships/hyperlink" Target="&#47588;&#45684;&#50620;BODY(&#51665;&#54665;&#45800;&#44228;-&#52392;&#48512;&#54260;&#45908;)v6\&#44148;&#52629;\41_&#51204;&#44592;&#49324;&#50857;&#51204;%20&#44160;&#49324;\&#52404;&#53356;&#47532;&#49828;&#53944;\&#51204;&#44592;&#49324;&#50857;&#51204;%20&#44160;&#49324;_&#52404;&#53356;&#47532;&#49828;&#53944;.html" TargetMode="External" Id="rId123"/><Relationship Type="http://schemas.openxmlformats.org/officeDocument/2006/relationships/hyperlink" Target="&#47588;&#45684;&#50620;BODY(&#51665;&#54665;&#45800;&#44228;-&#52392;&#48512;&#54260;&#45908;)v6\&#44148;&#52629;\42_&#49849;&#44053;&#44592;%20&#49444;&#52824;&#44160;&#49324;\&#54364;&#51456;&#49436;\&#49849;&#44053;&#44592;%20&#49444;&#52824;&#44160;&#49324;_&#54364;&#51456;&#49436;.html" TargetMode="External" Id="rId124"/><Relationship Type="http://schemas.openxmlformats.org/officeDocument/2006/relationships/hyperlink" Target="&#47588;&#45684;&#50620;BODY(&#51665;&#54665;&#45800;&#44228;-&#52392;&#48512;&#54260;&#45908;)v6\&#44148;&#52629;\42_&#49849;&#44053;&#44592;%20&#49444;&#52824;&#44160;&#49324;\&#49688;&#54665;&#51648;&#52840;\&#49849;&#44053;&#44592;%20&#49444;&#52824;&#44160;&#49324;_&#49688;&#54665;&#51648;&#52840;.html" TargetMode="External" Id="rId125"/><Relationship Type="http://schemas.openxmlformats.org/officeDocument/2006/relationships/hyperlink" Target="&#47588;&#45684;&#50620;BODY(&#51665;&#54665;&#45800;&#44228;-&#52392;&#48512;&#54260;&#45908;)v6\&#44148;&#52629;\42_&#49849;&#44053;&#44592;%20&#49444;&#52824;&#44160;&#49324;\&#52404;&#53356;&#47532;&#49828;&#53944;\&#49849;&#44053;&#44592;%20&#49444;&#52824;&#44160;&#49324;_&#52404;&#53356;&#47532;&#49828;&#53944;.html" TargetMode="External" Id="rId126"/><Relationship Type="http://schemas.openxmlformats.org/officeDocument/2006/relationships/hyperlink" Target="&#47588;&#45684;&#50620;BODY(&#51665;&#54665;&#45800;&#44228;-&#52392;&#48512;&#54260;&#45908;)v6\&#44148;&#52629;\43_&#48176;&#49688;&#49444;&#48708;%20&#49444;&#52824;%20&#49888;&#44256;&#49436;%20&#51228;&#52636;\&#54364;&#51456;&#49436;\&#48176;&#49688;&#49444;&#48708;%20&#49444;&#52824;%20&#49888;&#44256;&#49436;%20&#51228;&#52636;_&#54364;&#51456;&#49436;.html" TargetMode="External" Id="rId127"/><Relationship Type="http://schemas.openxmlformats.org/officeDocument/2006/relationships/hyperlink" Target="&#47588;&#45684;&#50620;BODY(&#51665;&#54665;&#45800;&#44228;-&#52392;&#48512;&#54260;&#45908;)v6\&#44148;&#52629;\43_&#48176;&#49688;&#49444;&#48708;%20&#49444;&#52824;%20&#49888;&#44256;&#49436;%20&#51228;&#52636;\&#49688;&#54665;&#51648;&#52840;\&#48176;&#49688;&#49444;&#48708;%20&#49444;&#52824;%20&#49888;&#44256;&#49436;%20&#51228;&#52636;_&#49688;&#54665;&#51648;&#52840;.html" TargetMode="External" Id="rId128"/><Relationship Type="http://schemas.openxmlformats.org/officeDocument/2006/relationships/hyperlink" Target="&#47588;&#45684;&#50620;BODY(&#51665;&#54665;&#45800;&#44228;-&#52392;&#48512;&#54260;&#45908;)v6\&#44148;&#52629;\43_&#48176;&#49688;&#49444;&#48708;%20&#49444;&#52824;%20&#49888;&#44256;&#49436;%20&#51228;&#52636;\&#52404;&#53356;&#47532;&#49828;&#53944;\&#48176;&#49688;&#49444;&#48708;%20&#49444;&#52824;%20&#49888;&#44256;&#49436;%20&#51228;&#52636;_&#52404;&#53356;&#47532;&#49828;&#53944;.html" TargetMode="External" Id="rId129"/><Relationship Type="http://schemas.openxmlformats.org/officeDocument/2006/relationships/hyperlink" Target="&#47588;&#45684;&#50620;BODY(&#51665;&#54665;&#45800;&#44228;-&#52392;&#48512;&#54260;&#45908;)v6\&#44148;&#52629;\44_&#51221;&#48372;&#53685;&#49888;&#44277;&#49324;%20&#49324;&#50857;&#51204;&#44160;&#49324;\&#54364;&#51456;&#49436;\&#51221;&#48372;&#53685;&#49888;&#44277;&#49324;%20&#49324;&#50857;&#51204;&#44160;&#49324;_&#54364;&#51456;&#49436;.html" TargetMode="External" Id="rId130"/><Relationship Type="http://schemas.openxmlformats.org/officeDocument/2006/relationships/hyperlink" Target="&#47588;&#45684;&#50620;BODY(&#51665;&#54665;&#45800;&#44228;-&#52392;&#48512;&#54260;&#45908;)v6\&#44148;&#52629;\44_&#51221;&#48372;&#53685;&#49888;&#44277;&#49324;%20&#49324;&#50857;&#51204;&#44160;&#49324;\&#49688;&#54665;&#51648;&#52840;\&#51221;&#48372;&#53685;&#49888;&#44277;&#49324;%20&#49324;&#50857;&#51204;&#44160;&#49324;_&#49688;&#54665;&#51648;&#52840;.html" TargetMode="External" Id="rId131"/><Relationship Type="http://schemas.openxmlformats.org/officeDocument/2006/relationships/hyperlink" Target="&#47588;&#45684;&#50620;BODY(&#51665;&#54665;&#45800;&#44228;-&#52392;&#48512;&#54260;&#45908;)v6\&#44148;&#52629;\44_&#51221;&#48372;&#53685;&#49888;&#44277;&#49324;%20&#49324;&#50857;&#51204;&#44160;&#49324;\&#52404;&#53356;&#47532;&#49828;&#53944;\&#51221;&#48372;&#53685;&#49888;&#44277;&#49324;%20&#49324;&#50857;&#51204;&#44160;&#49324;_&#52404;&#53356;&#47532;&#49828;&#53944;.html" TargetMode="External" Id="rId132"/><Relationship Type="http://schemas.openxmlformats.org/officeDocument/2006/relationships/hyperlink" Target="&#47588;&#45684;&#50620;BODY(&#51665;&#54665;&#45800;&#44228;-&#52392;&#48512;&#54260;&#45908;)v6\&#44148;&#52629;\45_&#50724;&#49688;&#52376;&#47532;&#49884;&#49444;%20_%20&#51221;&#54868;&#51312;%20&#51456;&#44277;&#44160;&#49324;\&#54364;&#51456;&#49436;\&#50724;&#49688;&#52376;&#47532;&#49884;&#49444;%20_%20&#51221;&#54868;&#51312;%20&#51456;&#44277;&#44160;&#49324;_&#54364;&#51456;&#49436;.html" TargetMode="External" Id="rId133"/><Relationship Type="http://schemas.openxmlformats.org/officeDocument/2006/relationships/hyperlink" Target="&#47588;&#45684;&#50620;BODY(&#51665;&#54665;&#45800;&#44228;-&#52392;&#48512;&#54260;&#45908;)v6\&#44148;&#52629;\45_&#50724;&#49688;&#52376;&#47532;&#49884;&#49444;%20_%20&#51221;&#54868;&#51312;%20&#51456;&#44277;&#44160;&#49324;\&#49688;&#54665;&#51648;&#52840;\&#50724;&#49688;&#52376;&#47532;&#49884;&#49444;%20_%20&#51221;&#54868;&#51312;%20&#51456;&#44277;&#44160;&#49324;_&#49688;&#54665;&#51648;&#52840;.html" TargetMode="External" Id="rId134"/><Relationship Type="http://schemas.openxmlformats.org/officeDocument/2006/relationships/hyperlink" Target="&#47588;&#45684;&#50620;BODY(&#51665;&#54665;&#45800;&#44228;-&#52392;&#48512;&#54260;&#45908;)v6\&#44148;&#52629;\45_&#50724;&#49688;&#52376;&#47532;&#49884;&#49444;%20_%20&#51221;&#54868;&#51312;%20&#51456;&#44277;&#44160;&#49324;\&#52404;&#53356;&#47532;&#49828;&#53944;\&#50724;&#49688;&#52376;&#47532;&#49884;&#49444;%20_%20&#51221;&#54868;&#51312;%20&#51456;&#44277;&#44160;&#49324;_&#52404;&#53356;&#47532;&#49828;&#53944;.html" TargetMode="External" Id="rId135"/><Relationship Type="http://schemas.openxmlformats.org/officeDocument/2006/relationships/hyperlink" Target="&#47588;&#45684;&#50620;BODY(&#51665;&#54665;&#45800;&#44228;-&#52392;&#48512;&#54260;&#45908;)v6\&#44148;&#52629;\46_&#44553;&#49688;&#44277;&#49324;%20&#49888;&#52397;&#49436;%20&#51228;&#52636;\&#54364;&#51456;&#49436;\&#44553;&#49688;&#44277;&#49324;%20&#49888;&#52397;&#49436;%20&#51228;&#52636;_&#54364;&#51456;&#49436;.html" TargetMode="External" Id="rId136"/><Relationship Type="http://schemas.openxmlformats.org/officeDocument/2006/relationships/hyperlink" Target="&#47588;&#45684;&#50620;BODY(&#51665;&#54665;&#45800;&#44228;-&#52392;&#48512;&#54260;&#45908;)v6\&#44148;&#52629;\46_&#44553;&#49688;&#44277;&#49324;%20&#49888;&#52397;&#49436;%20&#51228;&#52636;\&#49688;&#54665;&#51648;&#52840;\&#44553;&#49688;&#44277;&#49324;%20&#49888;&#52397;&#49436;%20&#51228;&#52636;_&#49688;&#54665;&#51648;&#52840;.html" TargetMode="External" Id="rId137"/><Relationship Type="http://schemas.openxmlformats.org/officeDocument/2006/relationships/hyperlink" Target="&#47588;&#45684;&#50620;BODY(&#51665;&#54665;&#45800;&#44228;-&#52392;&#48512;&#54260;&#45908;)v6\&#44148;&#52629;\46_&#44553;&#49688;&#44277;&#49324;%20&#49888;&#52397;&#49436;%20&#51228;&#52636;\&#52404;&#53356;&#47532;&#49828;&#53944;\&#44553;&#49688;&#44277;&#49324;%20&#49888;&#52397;&#49436;%20&#51228;&#52636;_&#52404;&#53356;&#47532;&#49828;&#53944;.html" TargetMode="External" Id="rId138"/><Relationship Type="http://schemas.openxmlformats.org/officeDocument/2006/relationships/hyperlink" Target="&#47588;&#45684;&#50620;BODY(&#51665;&#54665;&#45800;&#44228;-&#52392;&#48512;&#54260;&#45908;)v6\&#44148;&#52629;\47_&#50629;&#47924;&#45824;&#54665;%20&#44148;&#52629;&#49324;%20&#49324;&#50857;&#49849;&#51064;%20&#44160;&#49324;\&#54364;&#51456;&#49436;\&#50629;&#47924;&#45824;&#54665;%20&#44148;&#52629;&#49324;%20&#49324;&#50857;&#49849;&#51064;%20&#44160;&#49324;_&#54364;&#51456;&#49436;.html" TargetMode="External" Id="rId139"/><Relationship Type="http://schemas.openxmlformats.org/officeDocument/2006/relationships/hyperlink" Target="&#47588;&#45684;&#50620;BODY(&#51665;&#54665;&#45800;&#44228;-&#52392;&#48512;&#54260;&#45908;)v6\&#44148;&#52629;\47_&#50629;&#47924;&#45824;&#54665;%20&#44148;&#52629;&#49324;%20&#49324;&#50857;&#49849;&#51064;%20&#44160;&#49324;\&#49688;&#54665;&#51648;&#52840;\&#50629;&#47924;&#45824;&#54665;%20&#44148;&#52629;&#49324;%20&#49324;&#50857;&#49849;&#51064;%20&#44160;&#49324;_&#49688;&#54665;&#51648;&#52840;.html" TargetMode="External" Id="rId140"/><Relationship Type="http://schemas.openxmlformats.org/officeDocument/2006/relationships/hyperlink" Target="&#47588;&#45684;&#50620;BODY(&#51665;&#54665;&#45800;&#44228;-&#52392;&#48512;&#54260;&#45908;)v6\&#44148;&#52629;\47_&#50629;&#47924;&#45824;&#54665;%20&#44148;&#52629;&#49324;%20&#49324;&#50857;&#49849;&#51064;%20&#44160;&#49324;\&#52404;&#53356;&#47532;&#49828;&#53944;\&#50629;&#47924;&#45824;&#54665;%20&#44148;&#52629;&#49324;%20&#49324;&#50857;&#49849;&#51064;%20&#44160;&#49324;_&#52404;&#53356;&#47532;&#49828;&#53944;.html" TargetMode="External" Id="rId141"/><Relationship Type="http://schemas.openxmlformats.org/officeDocument/2006/relationships/hyperlink" Target="&#47588;&#45684;&#50620;BODY(&#51665;&#54665;&#45800;&#44228;-&#52392;&#48512;&#54260;&#45908;)v6\&#44148;&#52629;\48_&#44148;&#52629;&#47932;%20&#49324;&#50857;&#49849;&#51064;%20&#49888;&#52397;\&#54364;&#51456;&#49436;\&#44148;&#52629;&#47932;%20&#49324;&#50857;&#49849;&#51064;%20&#49888;&#52397;_&#54364;&#51456;&#49436;.html" TargetMode="External" Id="rId142"/><Relationship Type="http://schemas.openxmlformats.org/officeDocument/2006/relationships/hyperlink" Target="&#47588;&#45684;&#50620;BODY(&#51665;&#54665;&#45800;&#44228;-&#52392;&#48512;&#54260;&#45908;)v6\&#44148;&#52629;\48_&#44148;&#52629;&#47932;%20&#49324;&#50857;&#49849;&#51064;%20&#49888;&#52397;\&#49688;&#54665;&#51648;&#52840;\&#44148;&#52629;&#47932;%20&#49324;&#50857;&#49849;&#51064;%20&#49888;&#52397;_&#49688;&#54665;&#51648;&#52840;.html" TargetMode="External" Id="rId143"/><Relationship Type="http://schemas.openxmlformats.org/officeDocument/2006/relationships/hyperlink" Target="&#47588;&#45684;&#50620;BODY(&#51665;&#54665;&#45800;&#44228;-&#52392;&#48512;&#54260;&#45908;)v6\&#44148;&#52629;\48_&#44148;&#52629;&#47932;%20&#49324;&#50857;&#49849;&#51064;%20&#49888;&#52397;\&#52404;&#53356;&#47532;&#49828;&#53944;\&#44148;&#52629;&#47932;%20&#49324;&#50857;&#49849;&#51064;%20&#49888;&#52397;_&#52404;&#53356;&#47532;&#49828;&#53944;.html" TargetMode="External" Id="rId144"/><Relationship Type="http://schemas.openxmlformats.org/officeDocument/2006/relationships/hyperlink" Target="&#47588;&#45684;&#50620;BODY(&#51665;&#54665;&#45800;&#44228;-&#52392;&#48512;&#54260;&#45908;)v6\&#44148;&#52629;\49_&#44148;&#52629;&#47932;&#45824;&#51109;%20&#46321;&#51116;\&#54364;&#51456;&#49436;\&#44148;&#52629;&#47932;&#45824;&#51109;%20&#46321;&#51116;_&#54364;&#51456;&#49436;.html" TargetMode="External" Id="rId145"/><Relationship Type="http://schemas.openxmlformats.org/officeDocument/2006/relationships/hyperlink" Target="&#47588;&#45684;&#50620;BODY(&#51665;&#54665;&#45800;&#44228;-&#52392;&#48512;&#54260;&#45908;)v6\&#44148;&#52629;\49_&#44148;&#52629;&#47932;&#45824;&#51109;%20&#46321;&#51116;\&#49688;&#54665;&#51648;&#52840;\&#44148;&#52629;&#47932;&#45824;&#51109;%20&#46321;&#51116;_&#49688;&#54665;&#51648;&#52840;.html" TargetMode="External" Id="rId146"/><Relationship Type="http://schemas.openxmlformats.org/officeDocument/2006/relationships/hyperlink" Target="&#47588;&#45684;&#50620;BODY(&#51665;&#54665;&#45800;&#44228;-&#52392;&#48512;&#54260;&#45908;)v6\&#44148;&#52629;\49_&#44148;&#52629;&#47932;&#45824;&#51109;%20&#46321;&#51116;\&#52404;&#53356;&#47532;&#49828;&#53944;\&#44148;&#52629;&#47932;&#45824;&#51109;%20&#46321;&#51116;_&#52404;&#53356;&#47532;&#49828;&#53944;.html" TargetMode="External" Id="rId147"/><Relationship Type="http://schemas.openxmlformats.org/officeDocument/2006/relationships/hyperlink" Target="&#47588;&#45684;&#50620;BODY(&#51665;&#54665;&#45800;&#44228;-&#52392;&#48512;&#54260;&#45908;)v6\&#44148;&#52629;\50_&#54980;&#49549;%20&#44396;&#51312;&#47932;%20&#51064;&#44228;\&#54364;&#51456;&#49436;\&#54980;&#49549;%20&#44396;&#51312;&#47932;%20&#51064;&#44228;_&#54364;&#51456;&#49436;.html" TargetMode="External" Id="rId148"/><Relationship Type="http://schemas.openxmlformats.org/officeDocument/2006/relationships/hyperlink" Target="&#47588;&#45684;&#50620;BODY(&#51665;&#54665;&#45800;&#44228;-&#52392;&#48512;&#54260;&#45908;)v6\&#44148;&#52629;\50_&#54980;&#49549;%20&#44396;&#51312;&#47932;%20&#51064;&#44228;\&#49688;&#54665;&#51648;&#52840;\&#54980;&#49549;%20&#44396;&#51312;&#47932;%20&#51064;&#44228;_&#49688;&#54665;&#51648;&#52840;.html" TargetMode="External" Id="rId149"/><Relationship Type="http://schemas.openxmlformats.org/officeDocument/2006/relationships/hyperlink" Target="&#47588;&#45684;&#50620;BODY(&#51665;&#54665;&#45800;&#44228;-&#52392;&#48512;&#54260;&#45908;)v6\&#44148;&#52629;\50_&#54980;&#49549;%20&#44396;&#51312;&#47932;%20&#51064;&#44228;\&#52404;&#53356;&#47532;&#49828;&#53944;\&#54980;&#49549;%20&#44396;&#51312;&#47932;%20&#51064;&#44228;_&#52404;&#53356;&#47532;&#49828;&#53944;.html" TargetMode="External" Id="rId150"/></Relationships>
</file>

<file path=xl/worksheets/_rels/sheet10.xml.rels><Relationships xmlns="http://schemas.openxmlformats.org/package/2006/relationships"><Relationship Type="http://schemas.openxmlformats.org/officeDocument/2006/relationships/hyperlink" Target="&#47588;&#45684;&#50620;BODY(&#51665;&#54665;&#45800;&#44228;-&#52392;&#48512;&#54260;&#45908;)v6\&#49888;&#54840;&#48516;&#50556;\1_&#49444;&#44228;&#51201;&#51221;&#49457;%20&#44160;&#53664;\&#54364;&#51456;&#49436;\&#49444;&#44228;&#51201;&#51221;&#49457;%20&#44160;&#53664;_&#54364;&#51456;&#49436;.html" TargetMode="External" Id="rId1"/><Relationship Type="http://schemas.openxmlformats.org/officeDocument/2006/relationships/hyperlink" Target="&#47588;&#45684;&#50620;BODY(&#51665;&#54665;&#45800;&#44228;-&#52392;&#48512;&#54260;&#45908;)v6\&#49888;&#54840;&#48516;&#50556;\1_&#49444;&#44228;&#51201;&#51221;&#49457;%20&#44160;&#53664;\&#49688;&#54665;&#51648;&#52840;\&#49444;&#44228;&#51201;&#51221;&#49457;%20&#44160;&#53664;_&#49688;&#54665;&#51648;&#52840;.html" TargetMode="External" Id="rId2"/><Relationship Type="http://schemas.openxmlformats.org/officeDocument/2006/relationships/hyperlink" Target="&#47588;&#45684;&#50620;BODY(&#51665;&#54665;&#45800;&#44228;-&#52392;&#48512;&#54260;&#45908;)v6\&#49888;&#54840;&#48516;&#50556;\1_&#49444;&#44228;&#51201;&#51221;&#49457;%20&#44160;&#53664;\&#52404;&#53356;&#47532;&#49828;&#53944;\&#49444;&#44228;&#51201;&#51221;&#49457;%20&#44160;&#53664;_&#52404;&#53356;&#47532;&#49828;&#53944;.html" TargetMode="External" Id="rId3"/><Relationship Type="http://schemas.openxmlformats.org/officeDocument/2006/relationships/hyperlink" Target="&#47588;&#45684;&#50620;BODY(&#51665;&#54665;&#45800;&#44228;-&#52392;&#48512;&#54260;&#45908;)v6\&#49888;&#54840;&#48516;&#50556;\2_&#52265;&#49688;&#51456;&#48708;%20KOM\&#54364;&#51456;&#49436;\&#52265;&#49688;&#51456;&#48708;%20KOM_&#54364;&#51456;&#49436;.html" TargetMode="External" Id="rId4"/><Relationship Type="http://schemas.openxmlformats.org/officeDocument/2006/relationships/hyperlink" Target="&#47588;&#45684;&#50620;BODY(&#51665;&#54665;&#45800;&#44228;-&#52392;&#48512;&#54260;&#45908;)v6\&#49888;&#54840;&#48516;&#50556;\2_&#52265;&#49688;&#51456;&#48708;%20KOM\&#49688;&#54665;&#51648;&#52840;\&#52265;&#49688;&#51456;&#48708;%20KOM_&#49688;&#54665;&#51648;&#52840;.html" TargetMode="External" Id="rId5"/><Relationship Type="http://schemas.openxmlformats.org/officeDocument/2006/relationships/hyperlink" Target="&#47588;&#45684;&#50620;BODY(&#51665;&#54665;&#45800;&#44228;-&#52392;&#48512;&#54260;&#45908;)v6\&#49888;&#54840;&#48516;&#50556;\2_&#52265;&#49688;&#51456;&#48708;%20KOM\&#52404;&#53356;&#47532;&#49828;&#53944;\&#52265;&#49688;&#51456;&#48708;%20KOM_&#52404;&#53356;&#47532;&#49828;&#53944;.html" TargetMode="External" Id="rId6"/><Relationship Type="http://schemas.openxmlformats.org/officeDocument/2006/relationships/hyperlink" Target="&#47588;&#45684;&#50620;BODY(&#51665;&#54665;&#45800;&#44228;-&#52392;&#48512;&#54260;&#45908;)v6\&#49888;&#54840;&#48516;&#50556;\3_&#52265;&#49688;&#51204;%20Big%20Room%20&#54924;&#51032;\&#54364;&#51456;&#49436;\&#52265;&#49688;&#51204;%20Big%20Room%20&#54924;&#51032;_&#54364;&#51456;&#49436;.html" TargetMode="External" Id="rId7"/><Relationship Type="http://schemas.openxmlformats.org/officeDocument/2006/relationships/hyperlink" Target="&#47588;&#45684;&#50620;BODY(&#51665;&#54665;&#45800;&#44228;-&#52392;&#48512;&#54260;&#45908;)v6\&#49888;&#54840;&#48516;&#50556;\3_&#52265;&#49688;&#51204;%20Big%20Room%20&#54924;&#51032;\&#49688;&#54665;&#51648;&#52840;\&#52265;&#49688;&#51204;%20Big%20Room%20&#54924;&#51032;_&#49688;&#54665;&#51648;&#52840;.html" TargetMode="External" Id="rId8"/><Relationship Type="http://schemas.openxmlformats.org/officeDocument/2006/relationships/hyperlink" Target="&#47588;&#45684;&#50620;BODY(&#51665;&#54665;&#45800;&#44228;-&#52392;&#48512;&#54260;&#45908;)v6\&#49888;&#54840;&#48516;&#50556;\3_&#52265;&#49688;&#51204;%20Big%20Room%20&#54924;&#51032;\&#52404;&#53356;&#47532;&#49828;&#53944;\&#52265;&#49688;&#51204;%20Big%20Room%20&#54924;&#51032;_&#52404;&#53356;&#47532;&#49828;&#53944;.html" TargetMode="External" Id="rId9"/><Relationship Type="http://schemas.openxmlformats.org/officeDocument/2006/relationships/hyperlink" Target="&#47588;&#45684;&#50620;BODY(&#51665;&#54665;&#45800;&#44228;-&#52392;&#48512;&#54260;&#45908;)v6\&#49888;&#54840;&#48516;&#50556;\4_&#51204;&#44592;%20_%20&#53685;&#49888;%20_%20PSD%20_%20&#52264;&#47049;%20&#51064;&#53552;&#54168;&#51060;&#49828;%20&#54801;&#51032;\&#54364;&#51456;&#49436;\&#51204;&#44592;%20_%20&#53685;&#49888;%20_%20PSD%20_%20&#52264;&#47049;%20&#51064;&#53552;&#54168;&#51060;&#49828;%20&#54801;&#51032;_&#54364;&#51456;&#49436;.html" TargetMode="External" Id="rId10"/><Relationship Type="http://schemas.openxmlformats.org/officeDocument/2006/relationships/hyperlink" Target="&#47588;&#45684;&#50620;BODY(&#51665;&#54665;&#45800;&#44228;-&#52392;&#48512;&#54260;&#45908;)v6\&#49888;&#54840;&#48516;&#50556;\4_&#51204;&#44592;%20_%20&#53685;&#49888;%20_%20PSD%20_%20&#52264;&#47049;%20&#51064;&#53552;&#54168;&#51060;&#49828;%20&#54801;&#51032;\&#49688;&#54665;&#51648;&#52840;\&#51204;&#44592;%20_%20&#53685;&#49888;%20_%20PSD%20_%20&#52264;&#47049;%20&#51064;&#53552;&#54168;&#51060;&#49828;%20&#54801;&#51032;_&#49688;&#54665;&#51648;&#52840;.html" TargetMode="External" Id="rId11"/><Relationship Type="http://schemas.openxmlformats.org/officeDocument/2006/relationships/hyperlink" Target="&#47588;&#45684;&#50620;BODY(&#51665;&#54665;&#45800;&#44228;-&#52392;&#48512;&#54260;&#45908;)v6\&#49888;&#54840;&#48516;&#50556;\4_&#51204;&#44592;%20_%20&#53685;&#49888;%20_%20PSD%20_%20&#52264;&#47049;%20&#51064;&#53552;&#54168;&#51060;&#49828;%20&#54801;&#51032;\&#52404;&#53356;&#47532;&#49828;&#53944;\&#51204;&#44592;%20_%20&#53685;&#49888;%20_%20PSD%20_%20&#52264;&#47049;%20&#51064;&#53552;&#54168;&#51060;&#49828;%20&#54801;&#51032;_&#52404;&#53356;&#47532;&#49828;&#53944;.html" TargetMode="External" Id="rId12"/><Relationship Type="http://schemas.openxmlformats.org/officeDocument/2006/relationships/hyperlink" Target="&#47588;&#45684;&#50620;BODY(&#51665;&#54665;&#45800;&#44228;-&#52392;&#48512;&#54260;&#45908;)v6\&#49888;&#54840;&#48516;&#50556;\5_&#46020;&#47196;%20_%20&#44452;&#46020;%20&#51064;&#53552;&#54168;&#51060;&#49828;%20&#54801;&#51032;\&#54364;&#51456;&#49436;\&#46020;&#47196;%20_%20&#44452;&#46020;%20&#51064;&#53552;&#54168;&#51060;&#49828;%20&#54801;&#51032;_&#54364;&#51456;&#49436;.html" TargetMode="External" Id="rId13"/><Relationship Type="http://schemas.openxmlformats.org/officeDocument/2006/relationships/hyperlink" Target="&#47588;&#45684;&#50620;BODY(&#51665;&#54665;&#45800;&#44228;-&#52392;&#48512;&#54260;&#45908;)v6\&#49888;&#54840;&#48516;&#50556;\5_&#46020;&#47196;%20_%20&#44452;&#46020;%20&#51064;&#53552;&#54168;&#51060;&#49828;%20&#54801;&#51032;\&#49688;&#54665;&#51648;&#52840;\&#46020;&#47196;%20_%20&#44452;&#46020;%20&#51064;&#53552;&#54168;&#51060;&#49828;%20&#54801;&#51032;_&#49688;&#54665;&#51648;&#52840;.html" TargetMode="External" Id="rId14"/><Relationship Type="http://schemas.openxmlformats.org/officeDocument/2006/relationships/hyperlink" Target="&#47588;&#45684;&#50620;BODY(&#51665;&#54665;&#45800;&#44228;-&#52392;&#48512;&#54260;&#45908;)v6\&#49888;&#54840;&#48516;&#50556;\5_&#46020;&#47196;%20_%20&#44452;&#46020;%20&#51064;&#53552;&#54168;&#51060;&#49828;%20&#54801;&#51032;\&#52404;&#53356;&#47532;&#49828;&#53944;\&#46020;&#47196;%20_%20&#44452;&#46020;%20&#51064;&#53552;&#54168;&#51060;&#49828;%20&#54801;&#51032;_&#52404;&#53356;&#47532;&#49828;&#53944;.html" TargetMode="External" Id="rId15"/><Relationship Type="http://schemas.openxmlformats.org/officeDocument/2006/relationships/hyperlink" Target="&#47588;&#45684;&#50620;BODY(&#51665;&#54665;&#45800;&#44228;-&#52392;&#48512;&#54260;&#45908;)v6\&#49888;&#54840;&#48516;&#50556;\6_&#49884;&#44277;&#51204;%20&#51064;&#53552;&#54168;&#51060;&#49828;%20&#54801;&#51032;\&#54364;&#51456;&#49436;\&#49884;&#44277;&#51204;%20&#51064;&#53552;&#54168;&#51060;&#49828;%20&#54801;&#51032;_&#54364;&#51456;&#49436;.html" TargetMode="External" Id="rId16"/><Relationship Type="http://schemas.openxmlformats.org/officeDocument/2006/relationships/hyperlink" Target="&#47588;&#45684;&#50620;BODY(&#51665;&#54665;&#45800;&#44228;-&#52392;&#48512;&#54260;&#45908;)v6\&#49888;&#54840;&#48516;&#50556;\6_&#49884;&#44277;&#51204;%20&#51064;&#53552;&#54168;&#51060;&#49828;%20&#54801;&#51032;\&#49688;&#54665;&#51648;&#52840;\&#49884;&#44277;&#51204;%20&#51064;&#53552;&#54168;&#51060;&#49828;%20&#54801;&#51032;_&#49688;&#54665;&#51648;&#52840;.html" TargetMode="External" Id="rId17"/><Relationship Type="http://schemas.openxmlformats.org/officeDocument/2006/relationships/hyperlink" Target="&#47588;&#45684;&#50620;BODY(&#51665;&#54665;&#45800;&#44228;-&#52392;&#48512;&#54260;&#45908;)v6\&#49888;&#54840;&#48516;&#50556;\6_&#49884;&#44277;&#51204;%20&#51064;&#53552;&#54168;&#51060;&#49828;%20&#54801;&#51032;\&#52404;&#53356;&#47532;&#49828;&#53944;\&#49884;&#44277;&#51204;%20&#51064;&#53552;&#54168;&#51060;&#49828;%20&#54801;&#51032;_&#52404;&#53356;&#47532;&#49828;&#53944;.html" TargetMode="External" Id="rId18"/><Relationship Type="http://schemas.openxmlformats.org/officeDocument/2006/relationships/hyperlink" Target="&#47588;&#45684;&#50620;BODY(&#51665;&#54665;&#45800;&#44228;-&#52392;&#48512;&#54260;&#45908;)v6\&#49888;&#54840;&#48516;&#50556;\7_&#49884;&#49828;&#53596;%20&#51109;&#48708;&#44160;&#53664;%20&#49324;&#51204;%20&#54801;&#51032;&#49324;&#54637;%20&#46020;&#52636;%20&#48143;%20&#44160;&#53664;\&#54364;&#51456;&#49436;\&#49884;&#49828;&#53596;%20&#51109;&#48708;&#44160;&#53664;%20&#49324;&#51204;%20&#54801;&#51032;&#49324;&#54637;%20&#46020;&#52636;%20&#48143;%20&#44160;&#53664;_&#54364;&#51456;&#49436;.html" TargetMode="External" Id="rId19"/><Relationship Type="http://schemas.openxmlformats.org/officeDocument/2006/relationships/hyperlink" Target="&#47588;&#45684;&#50620;BODY(&#51665;&#54665;&#45800;&#44228;-&#52392;&#48512;&#54260;&#45908;)v6\&#49888;&#54840;&#48516;&#50556;\7_&#49884;&#49828;&#53596;%20&#51109;&#48708;&#44160;&#53664;%20&#49324;&#51204;%20&#54801;&#51032;&#49324;&#54637;%20&#46020;&#52636;%20&#48143;%20&#44160;&#53664;\&#49688;&#54665;&#51648;&#52840;\&#49884;&#49828;&#53596;%20&#51109;&#48708;&#44160;&#53664;%20&#49324;&#51204;%20&#54801;&#51032;&#49324;&#54637;%20&#46020;&#52636;%20&#48143;%20&#44160;&#53664;_&#49688;&#54665;&#51648;&#52840;.html" TargetMode="External" Id="rId20"/><Relationship Type="http://schemas.openxmlformats.org/officeDocument/2006/relationships/hyperlink" Target="&#47588;&#45684;&#50620;BODY(&#51665;&#54665;&#45800;&#44228;-&#52392;&#48512;&#54260;&#45908;)v6\&#49888;&#54840;&#48516;&#50556;\7_&#49884;&#49828;&#53596;%20&#51109;&#48708;&#44160;&#53664;%20&#49324;&#51204;%20&#54801;&#51032;&#49324;&#54637;%20&#46020;&#52636;%20&#48143;%20&#44160;&#53664;\&#52404;&#53356;&#47532;&#49828;&#53944;\&#49884;&#49828;&#53596;%20&#51109;&#48708;&#44160;&#53664;%20&#49324;&#51204;%20&#54801;&#51032;&#49324;&#54637;%20&#46020;&#52636;%20&#48143;%20&#44160;&#53664;_&#52404;&#53356;&#47532;&#49828;&#53944;.html" TargetMode="External" Id="rId21"/><Relationship Type="http://schemas.openxmlformats.org/officeDocument/2006/relationships/hyperlink" Target="&#47588;&#45684;&#50620;BODY(&#51665;&#54665;&#45800;&#44228;-&#52392;&#48512;&#54260;&#45908;)v6\&#49888;&#54840;&#48516;&#50556;\8_&#44288;&#51228;%20&#48143;%20&#50868;&#50689;&#49324;%20&#51064;&#53552;&#54168;&#51060;&#49828;%20&#54801;&#51032;\&#54364;&#51456;&#49436;\&#44288;&#51228;%20&#48143;%20&#50868;&#50689;&#49324;%20&#51064;&#53552;&#54168;&#51060;&#49828;%20&#54801;&#51032;_&#54364;&#51456;&#49436;.html" TargetMode="External" Id="rId22"/><Relationship Type="http://schemas.openxmlformats.org/officeDocument/2006/relationships/hyperlink" Target="&#47588;&#45684;&#50620;BODY(&#51665;&#54665;&#45800;&#44228;-&#52392;&#48512;&#54260;&#45908;)v6\&#49888;&#54840;&#48516;&#50556;\8_&#44288;&#51228;%20&#48143;%20&#50868;&#50689;&#49324;%20&#51064;&#53552;&#54168;&#51060;&#49828;%20&#54801;&#51032;\&#49688;&#54665;&#51648;&#52840;\&#44288;&#51228;%20&#48143;%20&#50868;&#50689;&#49324;%20&#51064;&#53552;&#54168;&#51060;&#49828;%20&#54801;&#51032;_&#49688;&#54665;&#51648;&#52840;.html" TargetMode="External" Id="rId23"/><Relationship Type="http://schemas.openxmlformats.org/officeDocument/2006/relationships/hyperlink" Target="&#47588;&#45684;&#50620;BODY(&#51665;&#54665;&#45800;&#44228;-&#52392;&#48512;&#54260;&#45908;)v6\&#49888;&#54840;&#48516;&#50556;\8_&#44288;&#51228;%20&#48143;%20&#50868;&#50689;&#49324;%20&#51064;&#53552;&#54168;&#51060;&#49828;%20&#54801;&#51032;\&#52404;&#53356;&#47532;&#49828;&#53944;\&#44288;&#51228;%20&#48143;%20&#50868;&#50689;&#49324;%20&#51064;&#53552;&#54168;&#51060;&#49828;%20&#54801;&#51032;_&#52404;&#53356;&#47532;&#49828;&#53944;.html" TargetMode="External" Id="rId24"/><Relationship Type="http://schemas.openxmlformats.org/officeDocument/2006/relationships/hyperlink" Target="&#47588;&#45684;&#50620;BODY(&#51665;&#54665;&#45800;&#44228;-&#52392;&#48512;&#54260;&#45908;)v6\&#49888;&#54840;&#48516;&#50556;\9_&#51088;&#51116;%20_%20&#51064;&#50896;%20_%20&#51109;&#48708;%20&#48143;%20&#53804;&#51077;%20&#49324;&#51204;%20&#44160;&#53664;\&#54364;&#51456;&#49436;\&#51088;&#51116;%20_%20&#51064;&#50896;%20_%20&#51109;&#48708;%20&#48143;%20&#53804;&#51077;%20&#49324;&#51204;%20&#44160;&#53664;_&#54364;&#51456;&#49436;.html" TargetMode="External" Id="rId25"/><Relationship Type="http://schemas.openxmlformats.org/officeDocument/2006/relationships/hyperlink" Target="&#47588;&#45684;&#50620;BODY(&#51665;&#54665;&#45800;&#44228;-&#52392;&#48512;&#54260;&#45908;)v6\&#49888;&#54840;&#48516;&#50556;\9_&#51088;&#51116;%20_%20&#51064;&#50896;%20_%20&#51109;&#48708;%20&#48143;%20&#53804;&#51077;%20&#49324;&#51204;%20&#44160;&#53664;\&#49688;&#54665;&#51648;&#52840;\&#51088;&#51116;%20_%20&#51064;&#50896;%20_%20&#51109;&#48708;%20&#48143;%20&#53804;&#51077;%20&#49324;&#51204;%20&#44160;&#53664;_&#49688;&#54665;&#51648;&#52840;.html" TargetMode="External" Id="rId26"/><Relationship Type="http://schemas.openxmlformats.org/officeDocument/2006/relationships/hyperlink" Target="&#47588;&#45684;&#50620;BODY(&#51665;&#54665;&#45800;&#44228;-&#52392;&#48512;&#54260;&#45908;)v6\&#49888;&#54840;&#48516;&#50556;\9_&#51088;&#51116;%20_%20&#51064;&#50896;%20_%20&#51109;&#48708;%20&#48143;%20&#53804;&#51077;%20&#49324;&#51204;%20&#44160;&#53664;\&#52404;&#53356;&#47532;&#49828;&#53944;\&#51088;&#51116;%20_%20&#51064;&#50896;%20_%20&#51109;&#48708;%20&#48143;%20&#53804;&#51077;%20&#49324;&#51204;%20&#44160;&#53664;_&#52404;&#53356;&#47532;&#49828;&#53944;.html" TargetMode="External" Id="rId27"/><Relationship Type="http://schemas.openxmlformats.org/officeDocument/2006/relationships/hyperlink" Target="&#47588;&#45684;&#50620;BODY(&#51665;&#54665;&#45800;&#44228;-&#52392;&#48512;&#54260;&#45908;)v6\&#49888;&#54840;&#48516;&#50556;\10_&#51109;&#48708;&#48152;&#51077;%20&#48143;%20&#50504;&#51204;&#44368;&#50977;\&#54364;&#51456;&#49436;\&#51109;&#48708;&#48152;&#51077;%20&#48143;%20&#50504;&#51204;&#44368;&#50977;_&#54364;&#51456;&#49436;.html" TargetMode="External" Id="rId28"/><Relationship Type="http://schemas.openxmlformats.org/officeDocument/2006/relationships/hyperlink" Target="&#47588;&#45684;&#50620;BODY(&#51665;&#54665;&#45800;&#44228;-&#52392;&#48512;&#54260;&#45908;)v6\&#49888;&#54840;&#48516;&#50556;\10_&#51109;&#48708;&#48152;&#51077;%20&#48143;%20&#50504;&#51204;&#44368;&#50977;\&#49688;&#54665;&#51648;&#52840;\&#51109;&#48708;&#48152;&#51077;%20&#48143;%20&#50504;&#51204;&#44368;&#50977;_&#49688;&#54665;&#51648;&#52840;.html" TargetMode="External" Id="rId29"/><Relationship Type="http://schemas.openxmlformats.org/officeDocument/2006/relationships/hyperlink" Target="&#47588;&#45684;&#50620;BODY(&#51665;&#54665;&#45800;&#44228;-&#52392;&#48512;&#54260;&#45908;)v6\&#49888;&#54840;&#48516;&#50556;\10_&#51109;&#48708;&#48152;&#51077;%20&#48143;%20&#50504;&#51204;&#44368;&#50977;\&#52404;&#53356;&#47532;&#49828;&#53944;\&#51109;&#48708;&#48152;&#51077;%20&#48143;%20&#50504;&#51204;&#44368;&#50977;_&#52404;&#53356;&#47532;&#49828;&#53944;.html" TargetMode="External" Id="rId30"/><Relationship Type="http://schemas.openxmlformats.org/officeDocument/2006/relationships/hyperlink" Target="&#47588;&#45684;&#50620;BODY(&#51665;&#54665;&#45800;&#44228;-&#52392;&#48512;&#54260;&#45908;)v6\&#49888;&#54840;&#48516;&#50556;\11_&#51088;&#51116;%20&#48152;&#51077;%20&#48143;%20&#44160;&#49688;\&#54364;&#51456;&#49436;\&#51088;&#51116;%20&#48152;&#51077;%20&#48143;%20&#44160;&#49688;_&#54364;&#51456;&#49436;.html" TargetMode="External" Id="rId31"/><Relationship Type="http://schemas.openxmlformats.org/officeDocument/2006/relationships/hyperlink" Target="&#47588;&#45684;&#50620;BODY(&#51665;&#54665;&#45800;&#44228;-&#52392;&#48512;&#54260;&#45908;)v6\&#49888;&#54840;&#48516;&#50556;\11_&#51088;&#51116;%20&#48152;&#51077;%20&#48143;%20&#44160;&#49688;\&#49688;&#54665;&#51648;&#52840;\&#51088;&#51116;%20&#48152;&#51077;%20&#48143;%20&#44160;&#49688;_&#49688;&#54665;&#51648;&#52840;.html" TargetMode="External" Id="rId32"/><Relationship Type="http://schemas.openxmlformats.org/officeDocument/2006/relationships/hyperlink" Target="&#47588;&#45684;&#50620;BODY(&#51665;&#54665;&#45800;&#44228;-&#52392;&#48512;&#54260;&#45908;)v6\&#49888;&#54840;&#48516;&#50556;\11_&#51088;&#51116;%20&#48152;&#51077;%20&#48143;%20&#44160;&#49688;\&#52404;&#53356;&#47532;&#49828;&#53944;\&#51088;&#51116;%20&#48152;&#51077;%20&#48143;%20&#44160;&#49688;_&#52404;&#53356;&#47532;&#49828;&#53944;.html" TargetMode="External" Id="rId33"/><Relationship Type="http://schemas.openxmlformats.org/officeDocument/2006/relationships/hyperlink" Target="&#47588;&#45684;&#50620;BODY(&#51665;&#54665;&#45800;&#44228;-&#52392;&#48512;&#54260;&#45908;)v6\&#49888;&#54840;&#48516;&#50556;\12_&#49884;&#49828;&#53596;&#49444;&#48708;%20&#49444;&#52824;%20(&#54788;&#51109;_&#44592;&#45733;&#49892;)\&#54364;&#51456;&#49436;\&#49884;&#49828;&#53596;&#49444;&#48708;%20&#49444;&#52824;%20(&#54788;&#51109;_&#44592;&#45733;&#49892;)_&#54364;&#51456;&#49436;.html" TargetMode="External" Id="rId34"/><Relationship Type="http://schemas.openxmlformats.org/officeDocument/2006/relationships/hyperlink" Target="&#47588;&#45684;&#50620;BODY(&#51665;&#54665;&#45800;&#44228;-&#52392;&#48512;&#54260;&#45908;)v6\&#49888;&#54840;&#48516;&#50556;\12_&#49884;&#49828;&#53596;&#49444;&#48708;%20&#49444;&#52824;%20(&#54788;&#51109;_&#44592;&#45733;&#49892;)\&#49688;&#54665;&#51648;&#52840;\&#49884;&#49828;&#53596;&#49444;&#48708;%20&#49444;&#52824;%20(&#54788;&#51109;_&#44592;&#45733;&#49892;)_&#49688;&#54665;&#51648;&#52840;.html" TargetMode="External" Id="rId35"/><Relationship Type="http://schemas.openxmlformats.org/officeDocument/2006/relationships/hyperlink" Target="&#47588;&#45684;&#50620;BODY(&#51665;&#54665;&#45800;&#44228;-&#52392;&#48512;&#54260;&#45908;)v6\&#49888;&#54840;&#48516;&#50556;\12_&#49884;&#49828;&#53596;&#49444;&#48708;%20&#49444;&#52824;%20(&#54788;&#51109;_&#44592;&#45733;&#49892;)\&#52404;&#53356;&#47532;&#49828;&#53944;\&#49884;&#49828;&#53596;&#49444;&#48708;%20&#49444;&#52824;%20(&#54788;&#51109;_&#44592;&#45733;&#49892;)_&#52404;&#53356;&#47532;&#49828;&#53944;.html" TargetMode="External" Id="rId36"/><Relationship Type="http://schemas.openxmlformats.org/officeDocument/2006/relationships/hyperlink" Target="&#47588;&#45684;&#50620;BODY(&#51665;&#54665;&#45800;&#44228;-&#52392;&#48512;&#54260;&#45908;)v6\&#49888;&#54840;&#48516;&#50556;\13_&#49884;&#49828;&#53596;%20&#45800;&#50948;&#49884;&#54744;\&#54364;&#51456;&#49436;\&#49884;&#49828;&#53596;%20&#45800;&#50948;&#49884;&#54744;_&#54364;&#51456;&#49436;.html" TargetMode="External" Id="rId37"/><Relationship Type="http://schemas.openxmlformats.org/officeDocument/2006/relationships/hyperlink" Target="&#47588;&#45684;&#50620;BODY(&#51665;&#54665;&#45800;&#44228;-&#52392;&#48512;&#54260;&#45908;)v6\&#49888;&#54840;&#48516;&#50556;\13_&#49884;&#49828;&#53596;%20&#45800;&#50948;&#49884;&#54744;\&#49688;&#54665;&#51648;&#52840;\&#49884;&#49828;&#53596;%20&#45800;&#50948;&#49884;&#54744;_&#49688;&#54665;&#51648;&#52840;.html" TargetMode="External" Id="rId38"/><Relationship Type="http://schemas.openxmlformats.org/officeDocument/2006/relationships/hyperlink" Target="&#47588;&#45684;&#50620;BODY(&#51665;&#54665;&#45800;&#44228;-&#52392;&#48512;&#54260;&#45908;)v6\&#49888;&#54840;&#48516;&#50556;\13_&#49884;&#49828;&#53596;%20&#45800;&#50948;&#49884;&#54744;\&#52404;&#53356;&#47532;&#49828;&#53944;\&#49884;&#49828;&#53596;%20&#45800;&#50948;&#49884;&#54744;_&#52404;&#53356;&#47532;&#49828;&#53944;.html" TargetMode="External" Id="rId39"/><Relationship Type="http://schemas.openxmlformats.org/officeDocument/2006/relationships/hyperlink" Target="&#47588;&#45684;&#50620;BODY(&#51665;&#54665;&#45800;&#44228;-&#52392;&#48512;&#54260;&#45908;)v6\&#49888;&#54840;&#48516;&#50556;\14_&#49888;&#54840;&#49884;&#49828;&#53596;%20&#53685;&#54633;&#49884;&#54744;\&#54364;&#51456;&#49436;\&#49888;&#54840;&#49884;&#49828;&#53596;%20&#53685;&#54633;&#49884;&#54744;_&#54364;&#51456;&#49436;.html" TargetMode="External" Id="rId40"/><Relationship Type="http://schemas.openxmlformats.org/officeDocument/2006/relationships/hyperlink" Target="&#47588;&#45684;&#50620;BODY(&#51665;&#54665;&#45800;&#44228;-&#52392;&#48512;&#54260;&#45908;)v6\&#49888;&#54840;&#48516;&#50556;\14_&#49888;&#54840;&#49884;&#49828;&#53596;%20&#53685;&#54633;&#49884;&#54744;\&#49688;&#54665;&#51648;&#52840;\&#49888;&#54840;&#49884;&#49828;&#53596;%20&#53685;&#54633;&#49884;&#54744;_&#49688;&#54665;&#51648;&#52840;.html" TargetMode="External" Id="rId41"/><Relationship Type="http://schemas.openxmlformats.org/officeDocument/2006/relationships/hyperlink" Target="&#47588;&#45684;&#50620;BODY(&#51665;&#54665;&#45800;&#44228;-&#52392;&#48512;&#54260;&#45908;)v6\&#49888;&#54840;&#48516;&#50556;\14_&#49888;&#54840;&#49884;&#49828;&#53596;%20&#53685;&#54633;&#49884;&#54744;\&#52404;&#53356;&#47532;&#49828;&#53944;\&#49888;&#54840;&#49884;&#49828;&#53596;%20&#53685;&#54633;&#49884;&#54744;_&#52404;&#53356;&#47532;&#49828;&#53944;.html" TargetMode="External" Id="rId42"/><Relationship Type="http://schemas.openxmlformats.org/officeDocument/2006/relationships/hyperlink" Target="&#47588;&#45684;&#50620;BODY(&#51665;&#54665;&#45800;&#44228;-&#52392;&#48512;&#54260;&#45908;)v6\&#49888;&#54840;&#48516;&#50556;\15_&#44277;&#51333;&#48324;%20&#49884;&#54744;\&#54364;&#51456;&#49436;\&#44277;&#51333;&#48324;%20&#49884;&#54744;_&#54364;&#51456;&#49436;.html" TargetMode="External" Id="rId43"/><Relationship Type="http://schemas.openxmlformats.org/officeDocument/2006/relationships/hyperlink" Target="&#47588;&#45684;&#50620;BODY(&#51665;&#54665;&#45800;&#44228;-&#52392;&#48512;&#54260;&#45908;)v6\&#49888;&#54840;&#48516;&#50556;\15_&#44277;&#51333;&#48324;%20&#49884;&#54744;\&#49688;&#54665;&#51648;&#52840;\&#44277;&#51333;&#48324;%20&#49884;&#54744;_&#49688;&#54665;&#51648;&#52840;.html" TargetMode="External" Id="rId44"/><Relationship Type="http://schemas.openxmlformats.org/officeDocument/2006/relationships/hyperlink" Target="&#47588;&#45684;&#50620;BODY(&#51665;&#54665;&#45800;&#44228;-&#52392;&#48512;&#54260;&#45908;)v6\&#49888;&#54840;&#48516;&#50556;\15_&#44277;&#51333;&#48324;%20&#49884;&#54744;\&#52404;&#53356;&#47532;&#49828;&#53944;\&#44277;&#51333;&#48324;%20&#49884;&#54744;_&#52404;&#53356;&#47532;&#49828;&#53944;.html" TargetMode="External" Id="rId45"/><Relationship Type="http://schemas.openxmlformats.org/officeDocument/2006/relationships/hyperlink" Target="&#47588;&#45684;&#50620;BODY(&#51665;&#54665;&#45800;&#44228;-&#52392;&#48512;&#54260;&#45908;)v6\&#49888;&#54840;&#48516;&#50556;\16_&#52264;&#47049;%20&#53804;&#51077;%20&#51204;%20&#51216;&#44160;\&#54364;&#51456;&#49436;\&#52264;&#47049;%20&#53804;&#51077;%20&#51204;%20&#51216;&#44160;_&#54364;&#51456;&#49436;.html" TargetMode="External" Id="rId46"/><Relationship Type="http://schemas.openxmlformats.org/officeDocument/2006/relationships/hyperlink" Target="&#47588;&#45684;&#50620;BODY(&#51665;&#54665;&#45800;&#44228;-&#52392;&#48512;&#54260;&#45908;)v6\&#49888;&#54840;&#48516;&#50556;\16_&#52264;&#47049;%20&#53804;&#51077;%20&#51204;%20&#51216;&#44160;\&#49688;&#54665;&#51648;&#52840;\&#52264;&#47049;%20&#53804;&#51077;%20&#51204;%20&#51216;&#44160;_&#49688;&#54665;&#51648;&#52840;.html" TargetMode="External" Id="rId47"/><Relationship Type="http://schemas.openxmlformats.org/officeDocument/2006/relationships/hyperlink" Target="&#47588;&#45684;&#50620;BODY(&#51665;&#54665;&#45800;&#44228;-&#52392;&#48512;&#54260;&#45908;)v6\&#49888;&#54840;&#48516;&#50556;\16_&#52264;&#47049;%20&#53804;&#51077;%20&#51204;%20&#51216;&#44160;\&#52404;&#53356;&#47532;&#49828;&#53944;\&#52264;&#47049;%20&#53804;&#51077;%20&#51204;%20&#51216;&#44160;_&#52404;&#53356;&#47532;&#49828;&#53944;.html" TargetMode="External" Id="rId48"/><Relationship Type="http://schemas.openxmlformats.org/officeDocument/2006/relationships/hyperlink" Target="&#47588;&#45684;&#50620;BODY(&#51665;&#54665;&#45800;&#44228;-&#52392;&#48512;&#54260;&#45908;)v6\&#49888;&#54840;&#48516;&#50556;\17_&#52264;&#47049;%20&#49884;&#50868;&#51204;\&#54364;&#51456;&#49436;\&#52264;&#47049;%20&#49884;&#50868;&#51204;_&#54364;&#51456;&#49436;.html" TargetMode="External" Id="rId49"/><Relationship Type="http://schemas.openxmlformats.org/officeDocument/2006/relationships/hyperlink" Target="&#47588;&#45684;&#50620;BODY(&#51665;&#54665;&#45800;&#44228;-&#52392;&#48512;&#54260;&#45908;)v6\&#49888;&#54840;&#48516;&#50556;\17_&#52264;&#47049;%20&#49884;&#50868;&#51204;\&#49688;&#54665;&#51648;&#52840;\&#52264;&#47049;%20&#49884;&#50868;&#51204;_&#49688;&#54665;&#51648;&#52840;.html" TargetMode="External" Id="rId50"/><Relationship Type="http://schemas.openxmlformats.org/officeDocument/2006/relationships/hyperlink" Target="&#47588;&#45684;&#50620;BODY(&#51665;&#54665;&#45800;&#44228;-&#52392;&#48512;&#54260;&#45908;)v6\&#49888;&#54840;&#48516;&#50556;\17_&#52264;&#47049;%20&#49884;&#50868;&#51204;\&#52404;&#53356;&#47532;&#49828;&#53944;\&#52264;&#47049;%20&#49884;&#50868;&#51204;_&#52404;&#53356;&#47532;&#49828;&#53944;.html" TargetMode="External" Id="rId51"/><Relationship Type="http://schemas.openxmlformats.org/officeDocument/2006/relationships/hyperlink" Target="&#47588;&#45684;&#50620;BODY(&#51665;&#54665;&#45800;&#44228;-&#52392;&#48512;&#54260;&#45908;)v6\&#49888;&#54840;&#48516;&#50556;\18_&#50868;&#50689;&#51088;%20&#44368;&#50977;&#49884;&#54665;\&#54364;&#51456;&#49436;\&#50868;&#50689;&#51088;%20&#44368;&#50977;&#49884;&#54665;_&#54364;&#51456;&#49436;.html" TargetMode="External" Id="rId52"/><Relationship Type="http://schemas.openxmlformats.org/officeDocument/2006/relationships/hyperlink" Target="&#47588;&#45684;&#50620;BODY(&#51665;&#54665;&#45800;&#44228;-&#52392;&#48512;&#54260;&#45908;)v6\&#49888;&#54840;&#48516;&#50556;\18_&#50868;&#50689;&#51088;%20&#44368;&#50977;&#49884;&#54665;\&#49688;&#54665;&#51648;&#52840;\&#50868;&#50689;&#51088;%20&#44368;&#50977;&#49884;&#54665;_&#49688;&#54665;&#51648;&#52840;.html" TargetMode="External" Id="rId53"/><Relationship Type="http://schemas.openxmlformats.org/officeDocument/2006/relationships/hyperlink" Target="&#47588;&#45684;&#50620;BODY(&#51665;&#54665;&#45800;&#44228;-&#52392;&#48512;&#54260;&#45908;)v6\&#49888;&#54840;&#48516;&#50556;\18_&#50868;&#50689;&#51088;%20&#44368;&#50977;&#49884;&#54665;\&#52404;&#53356;&#47532;&#49828;&#53944;\&#50868;&#50689;&#51088;%20&#44368;&#50977;&#49884;&#54665;_&#52404;&#53356;&#47532;&#49828;&#53944;.html" TargetMode="External" Id="rId54"/><Relationship Type="http://schemas.openxmlformats.org/officeDocument/2006/relationships/hyperlink" Target="&#47588;&#45684;&#50620;BODY(&#51665;&#54665;&#45800;&#44228;-&#52392;&#48512;&#54260;&#45908;)v6\&#49888;&#54840;&#48516;&#50556;\19_&#49324;&#51204;&#51216;&#44160;%20&#48143;%20&#52384;&#46020;&#44592;&#49696;&#44592;&#51456;%20&#44160;&#53664;\&#54364;&#51456;&#49436;\&#49324;&#51204;&#51216;&#44160;%20&#48143;%20&#52384;&#46020;&#44592;&#49696;&#44592;&#51456;%20&#44160;&#53664;_&#54364;&#51456;&#49436;.html" TargetMode="External" Id="rId55"/><Relationship Type="http://schemas.openxmlformats.org/officeDocument/2006/relationships/hyperlink" Target="&#47588;&#45684;&#50620;BODY(&#51665;&#54665;&#45800;&#44228;-&#52392;&#48512;&#54260;&#45908;)v6\&#49888;&#54840;&#48516;&#50556;\19_&#49324;&#51204;&#51216;&#44160;%20&#48143;%20&#52384;&#46020;&#44592;&#49696;&#44592;&#51456;%20&#44160;&#53664;\&#49688;&#54665;&#51648;&#52840;\&#49324;&#51204;&#51216;&#44160;%20&#48143;%20&#52384;&#46020;&#44592;&#49696;&#44592;&#51456;%20&#44160;&#53664;_&#49688;&#54665;&#51648;&#52840;.html" TargetMode="External" Id="rId56"/><Relationship Type="http://schemas.openxmlformats.org/officeDocument/2006/relationships/hyperlink" Target="&#47588;&#45684;&#50620;BODY(&#51665;&#54665;&#45800;&#44228;-&#52392;&#48512;&#54260;&#45908;)v6\&#49888;&#54840;&#48516;&#50556;\19_&#49324;&#51204;&#51216;&#44160;%20&#48143;%20&#52384;&#46020;&#44592;&#49696;&#44592;&#51456;%20&#44160;&#53664;\&#52404;&#53356;&#47532;&#49828;&#53944;\&#49324;&#51204;&#51216;&#44160;%20&#48143;%20&#52384;&#46020;&#44592;&#49696;&#44592;&#51456;%20&#44160;&#53664;_&#52404;&#53356;&#47532;&#49828;&#53944;.html" TargetMode="External" Id="rId57"/><Relationship Type="http://schemas.openxmlformats.org/officeDocument/2006/relationships/hyperlink" Target="&#47588;&#45684;&#50620;BODY(&#51665;&#54665;&#45800;&#44228;-&#52392;&#48512;&#54260;&#45908;)v6\&#49888;&#54840;&#48516;&#50556;\20_&#49884;&#49444;&#47932;%20&#44160;&#51613;&#49884;&#54744;\&#54364;&#51456;&#49436;\&#49884;&#49444;&#47932;%20&#44160;&#51613;&#49884;&#54744;_&#54364;&#51456;&#49436;.html" TargetMode="External" Id="rId58"/><Relationship Type="http://schemas.openxmlformats.org/officeDocument/2006/relationships/hyperlink" Target="&#47588;&#45684;&#50620;BODY(&#51665;&#54665;&#45800;&#44228;-&#52392;&#48512;&#54260;&#45908;)v6\&#49888;&#54840;&#48516;&#50556;\20_&#49884;&#49444;&#47932;%20&#44160;&#51613;&#49884;&#54744;\&#49688;&#54665;&#51648;&#52840;\&#49884;&#49444;&#47932;%20&#44160;&#51613;&#49884;&#54744;_&#49688;&#54665;&#51648;&#52840;.html" TargetMode="External" Id="rId59"/><Relationship Type="http://schemas.openxmlformats.org/officeDocument/2006/relationships/hyperlink" Target="&#47588;&#45684;&#50620;BODY(&#51665;&#54665;&#45800;&#44228;-&#52392;&#48512;&#54260;&#45908;)v6\&#49888;&#54840;&#48516;&#50556;\20_&#49884;&#49444;&#47932;%20&#44160;&#51613;&#49884;&#54744;\&#52404;&#53356;&#47532;&#49828;&#53944;\&#49884;&#49444;&#47932;%20&#44160;&#51613;&#49884;&#54744;_&#52404;&#53356;&#47532;&#49828;&#53944;.html" TargetMode="External" Id="rId60"/><Relationship Type="http://schemas.openxmlformats.org/officeDocument/2006/relationships/hyperlink" Target="&#47588;&#45684;&#50620;BODY(&#51665;&#54665;&#45800;&#44228;-&#52392;&#48512;&#54260;&#45908;)v6\&#49888;&#54840;&#48516;&#50556;\21_&#50689;&#50629;%20&#49884;&#50868;&#51204;\&#54364;&#51456;&#49436;\&#50689;&#50629;%20&#49884;&#50868;&#51204;_&#54364;&#51456;&#49436;.html" TargetMode="External" Id="rId61"/><Relationship Type="http://schemas.openxmlformats.org/officeDocument/2006/relationships/hyperlink" Target="&#47588;&#45684;&#50620;BODY(&#51665;&#54665;&#45800;&#44228;-&#52392;&#48512;&#54260;&#45908;)v6\&#49888;&#54840;&#48516;&#50556;\21_&#50689;&#50629;%20&#49884;&#50868;&#51204;\&#49688;&#54665;&#51648;&#52840;\&#50689;&#50629;%20&#49884;&#50868;&#51204;_&#49688;&#54665;&#51648;&#52840;.html" TargetMode="External" Id="rId62"/><Relationship Type="http://schemas.openxmlformats.org/officeDocument/2006/relationships/hyperlink" Target="&#47588;&#45684;&#50620;BODY(&#51665;&#54665;&#45800;&#44228;-&#52392;&#48512;&#54260;&#45908;)v6\&#49888;&#54840;&#48516;&#50556;\21_&#50689;&#50629;%20&#49884;&#50868;&#51204;\&#52404;&#53356;&#47532;&#49828;&#53944;\&#50689;&#50629;%20&#49884;&#50868;&#51204;_&#52404;&#53356;&#47532;&#49828;&#53944;.html" TargetMode="External" Id="rId63"/><Relationship Type="http://schemas.openxmlformats.org/officeDocument/2006/relationships/hyperlink" Target="&#47588;&#45684;&#50620;BODY(&#51665;&#54665;&#45800;&#44228;-&#52392;&#48512;&#54260;&#45908;)v6\&#49888;&#54840;&#48516;&#50556;\22_&#50976;&#51648;&#44288;&#47532;%20&#49444;&#52824;\&#54364;&#51456;&#49436;\&#50976;&#51648;&#44288;&#47532;%20&#49444;&#52824;_&#54364;&#51456;&#49436;.html" TargetMode="External" Id="rId64"/><Relationship Type="http://schemas.openxmlformats.org/officeDocument/2006/relationships/hyperlink" Target="&#47588;&#45684;&#50620;BODY(&#51665;&#54665;&#45800;&#44228;-&#52392;&#48512;&#54260;&#45908;)v6\&#49888;&#54840;&#48516;&#50556;\22_&#50976;&#51648;&#44288;&#47532;%20&#49444;&#52824;\&#49688;&#54665;&#51648;&#52840;\&#50976;&#51648;&#44288;&#47532;%20&#49444;&#52824;_&#49688;&#54665;&#51648;&#52840;.html" TargetMode="External" Id="rId65"/><Relationship Type="http://schemas.openxmlformats.org/officeDocument/2006/relationships/hyperlink" Target="&#47588;&#45684;&#50620;BODY(&#51665;&#54665;&#45800;&#44228;-&#52392;&#48512;&#54260;&#45908;)v6\&#49888;&#54840;&#48516;&#50556;\22_&#50976;&#51648;&#44288;&#47532;%20&#49444;&#52824;\&#52404;&#53356;&#47532;&#49828;&#53944;\&#50976;&#51648;&#44288;&#47532;%20&#49444;&#52824;_&#52404;&#53356;&#47532;&#49828;&#53944;.html" TargetMode="External" Id="rId66"/></Relationships>
</file>

<file path=xl/worksheets/_rels/sheet11.xml.rels><Relationships xmlns="http://schemas.openxmlformats.org/package/2006/relationships"><Relationship Type="http://schemas.openxmlformats.org/officeDocument/2006/relationships/hyperlink" Target="&#47588;&#45684;&#50620;BODY(&#51665;&#54665;&#45800;&#44228;-&#52392;&#48512;&#54260;&#45908;)v6\&#53685;&#49888;&#48516;&#50556;\1_&#49444;&#44228;&#51201;&#51221;&#49457;%20&#44160;&#53664;\&#54364;&#51456;&#49436;\&#49444;&#44228;&#51201;&#51221;&#49457;%20&#44160;&#53664;_&#54364;&#51456;&#49436;.html" TargetMode="External" Id="rId1"/><Relationship Type="http://schemas.openxmlformats.org/officeDocument/2006/relationships/hyperlink" Target="&#47588;&#45684;&#50620;BODY(&#51665;&#54665;&#45800;&#44228;-&#52392;&#48512;&#54260;&#45908;)v6\&#53685;&#49888;&#48516;&#50556;\1_&#49444;&#44228;&#51201;&#51221;&#49457;%20&#44160;&#53664;\&#49688;&#54665;&#51648;&#52840;\&#49444;&#44228;&#51201;&#51221;&#49457;%20&#44160;&#53664;_&#49688;&#54665;&#51648;&#52840;.html" TargetMode="External" Id="rId2"/><Relationship Type="http://schemas.openxmlformats.org/officeDocument/2006/relationships/hyperlink" Target="&#47588;&#45684;&#50620;BODY(&#51665;&#54665;&#45800;&#44228;-&#52392;&#48512;&#54260;&#45908;)v6\&#53685;&#49888;&#48516;&#50556;\1_&#49444;&#44228;&#51201;&#51221;&#49457;%20&#44160;&#53664;\&#52404;&#53356;&#47532;&#49828;&#53944;\&#49444;&#44228;&#51201;&#51221;&#49457;%20&#44160;&#53664;_&#52404;&#53356;&#47532;&#49828;&#53944;.html" TargetMode="External" Id="rId3"/><Relationship Type="http://schemas.openxmlformats.org/officeDocument/2006/relationships/hyperlink" Target="&#47588;&#45684;&#50620;BODY(&#51665;&#54665;&#45800;&#44228;-&#52392;&#48512;&#54260;&#45908;)v6\&#53685;&#49888;&#48516;&#50556;\2_&#52265;&#49688;&#51204;&#47029;%20KOM\&#54364;&#51456;&#49436;\&#52265;&#49688;&#51204;&#47029;%20KOM_&#54364;&#51456;&#49436;.html" TargetMode="External" Id="rId4"/><Relationship Type="http://schemas.openxmlformats.org/officeDocument/2006/relationships/hyperlink" Target="&#47588;&#45684;&#50620;BODY(&#51665;&#54665;&#45800;&#44228;-&#52392;&#48512;&#54260;&#45908;)v6\&#53685;&#49888;&#48516;&#50556;\2_&#52265;&#49688;&#51204;&#47029;%20KOM\&#49688;&#54665;&#51648;&#52840;\&#52265;&#49688;&#51204;&#47029;%20KOM_&#49688;&#54665;&#51648;&#52840;.html" TargetMode="External" Id="rId5"/><Relationship Type="http://schemas.openxmlformats.org/officeDocument/2006/relationships/hyperlink" Target="&#47588;&#45684;&#50620;BODY(&#51665;&#54665;&#45800;&#44228;-&#52392;&#48512;&#54260;&#45908;)v6\&#53685;&#49888;&#48516;&#50556;\2_&#52265;&#49688;&#51204;&#47029;%20KOM\&#52404;&#53356;&#47532;&#49828;&#53944;\&#52265;&#49688;&#51204;&#47029;%20KOM_&#52404;&#53356;&#47532;&#49828;&#53944;.html" TargetMode="External" Id="rId6"/><Relationship Type="http://schemas.openxmlformats.org/officeDocument/2006/relationships/hyperlink" Target="&#47588;&#45684;&#50620;BODY(&#51665;&#54665;&#45800;&#44228;-&#52392;&#48512;&#54260;&#45908;)v6\&#53685;&#49888;&#48516;&#50556;\3_&#53664;&#47785;%20_%20&#44148;&#52629;%20&#51064;&#53552;&#54168;&#51060;&#49828;%20&#54801;&#51032;\&#54364;&#51456;&#49436;\&#53664;&#47785;%20_%20&#44148;&#52629;%20&#51064;&#53552;&#54168;&#51060;&#49828;%20&#54801;&#51032;_&#54364;&#51456;&#49436;.html" TargetMode="External" Id="rId7"/><Relationship Type="http://schemas.openxmlformats.org/officeDocument/2006/relationships/hyperlink" Target="&#47588;&#45684;&#50620;BODY(&#51665;&#54665;&#45800;&#44228;-&#52392;&#48512;&#54260;&#45908;)v6\&#53685;&#49888;&#48516;&#50556;\3_&#53664;&#47785;%20_%20&#44148;&#52629;%20&#51064;&#53552;&#54168;&#51060;&#49828;%20&#54801;&#51032;\&#49688;&#54665;&#51648;&#52840;\&#53664;&#47785;%20_%20&#44148;&#52629;%20&#51064;&#53552;&#54168;&#51060;&#49828;%20&#54801;&#51032;_&#49688;&#54665;&#51648;&#52840;.html" TargetMode="External" Id="rId8"/><Relationship Type="http://schemas.openxmlformats.org/officeDocument/2006/relationships/hyperlink" Target="&#47588;&#45684;&#50620;BODY(&#51665;&#54665;&#45800;&#44228;-&#52392;&#48512;&#54260;&#45908;)v6\&#53685;&#49888;&#48516;&#50556;\3_&#53664;&#47785;%20_%20&#44148;&#52629;%20&#51064;&#53552;&#54168;&#51060;&#49828;%20&#54801;&#51032;\&#52404;&#53356;&#47532;&#49828;&#53944;\&#53664;&#47785;%20_%20&#44148;&#52629;%20&#51064;&#53552;&#54168;&#51060;&#49828;%20&#54801;&#51032;_&#52404;&#53356;&#47532;&#49828;&#53944;.html" TargetMode="External" Id="rId9"/><Relationship Type="http://schemas.openxmlformats.org/officeDocument/2006/relationships/hyperlink" Target="&#47588;&#45684;&#50620;BODY(&#51665;&#54665;&#45800;&#44228;-&#52392;&#48512;&#54260;&#45908;)v6\&#53685;&#49888;&#48516;&#50556;\4_&#51204;&#44592;%20_%20&#49888;&#54840;%20_%20&#44592;&#44228;%20_%20PSD%20_%20&#52264;&#47049;%20&#51064;&#53552;&#54168;&#51060;&#49828;%20&#54801;&#51032;\&#54364;&#51456;&#49436;\&#51204;&#44592;%20_%20&#49888;&#54840;%20_%20&#44592;&#44228;%20_%20PSD%20_%20&#52264;&#47049;%20&#51064;&#53552;&#54168;&#51060;&#49828;%20&#54801;&#51032;_&#54364;&#51456;&#49436;.html" TargetMode="External" Id="rId10"/><Relationship Type="http://schemas.openxmlformats.org/officeDocument/2006/relationships/hyperlink" Target="&#47588;&#45684;&#50620;BODY(&#51665;&#54665;&#45800;&#44228;-&#52392;&#48512;&#54260;&#45908;)v6\&#53685;&#49888;&#48516;&#50556;\4_&#51204;&#44592;%20_%20&#49888;&#54840;%20_%20&#44592;&#44228;%20_%20PSD%20_%20&#52264;&#47049;%20&#51064;&#53552;&#54168;&#51060;&#49828;%20&#54801;&#51032;\&#49688;&#54665;&#51648;&#52840;\&#51204;&#44592;%20_%20&#49888;&#54840;%20_%20&#44592;&#44228;%20_%20PSD%20_%20&#52264;&#47049;%20&#51064;&#53552;&#54168;&#51060;&#49828;%20&#54801;&#51032;_&#49688;&#54665;&#51648;&#52840;.html" TargetMode="External" Id="rId11"/><Relationship Type="http://schemas.openxmlformats.org/officeDocument/2006/relationships/hyperlink" Target="&#47588;&#45684;&#50620;BODY(&#51665;&#54665;&#45800;&#44228;-&#52392;&#48512;&#54260;&#45908;)v6\&#53685;&#49888;&#48516;&#50556;\4_&#51204;&#44592;%20_%20&#49888;&#54840;%20_%20&#44592;&#44228;%20_%20PSD%20_%20&#52264;&#47049;%20&#51064;&#53552;&#54168;&#51060;&#49828;%20&#54801;&#51032;\&#52404;&#53356;&#47532;&#49828;&#53944;\&#51204;&#44592;%20_%20&#49888;&#54840;%20_%20&#44592;&#44228;%20_%20PSD%20_%20&#52264;&#47049;%20&#51064;&#53552;&#54168;&#51060;&#49828;%20&#54801;&#51032;_&#52404;&#53356;&#47532;&#49828;&#53944;.html" TargetMode="External" Id="rId12"/><Relationship Type="http://schemas.openxmlformats.org/officeDocument/2006/relationships/hyperlink" Target="&#47588;&#45684;&#50620;BODY(&#51665;&#54665;&#45800;&#44228;-&#52392;&#48512;&#54260;&#45908;)v6\&#53685;&#49888;&#48516;&#50556;\5_&#53685;&#49888;&#49444;&#48708;%20&#51228;&#51089;&#49324;%20&#51064;&#53552;&#54168;&#51060;&#49828;%20&#54801;&#51032;\&#54364;&#51456;&#49436;\&#53685;&#49888;&#49444;&#48708;%20&#51228;&#51089;&#49324;%20&#51064;&#53552;&#54168;&#51060;&#49828;%20&#54801;&#51032;_&#54364;&#51456;&#49436;.html" TargetMode="External" Id="rId13"/><Relationship Type="http://schemas.openxmlformats.org/officeDocument/2006/relationships/hyperlink" Target="&#47588;&#45684;&#50620;BODY(&#51665;&#54665;&#45800;&#44228;-&#52392;&#48512;&#54260;&#45908;)v6\&#53685;&#49888;&#48516;&#50556;\5_&#53685;&#49888;&#49444;&#48708;%20&#51228;&#51089;&#49324;%20&#51064;&#53552;&#54168;&#51060;&#49828;%20&#54801;&#51032;\&#49688;&#54665;&#51648;&#52840;\&#53685;&#49888;&#49444;&#48708;%20&#51228;&#51089;&#49324;%20&#51064;&#53552;&#54168;&#51060;&#49828;%20&#54801;&#51032;_&#49688;&#54665;&#51648;&#52840;.html" TargetMode="External" Id="rId14"/><Relationship Type="http://schemas.openxmlformats.org/officeDocument/2006/relationships/hyperlink" Target="&#47588;&#45684;&#50620;BODY(&#51665;&#54665;&#45800;&#44228;-&#52392;&#48512;&#54260;&#45908;)v6\&#53685;&#49888;&#48516;&#50556;\5_&#53685;&#49888;&#49444;&#48708;%20&#51228;&#51089;&#49324;%20&#51064;&#53552;&#54168;&#51060;&#49828;%20&#54801;&#51032;\&#52404;&#53356;&#47532;&#49828;&#53944;\&#53685;&#49888;&#49444;&#48708;%20&#51228;&#51089;&#49324;%20&#51064;&#53552;&#54168;&#51060;&#49828;%20&#54801;&#51032;_&#52404;&#53356;&#47532;&#49828;&#53944;.html" TargetMode="External" Id="rId15"/><Relationship Type="http://schemas.openxmlformats.org/officeDocument/2006/relationships/hyperlink" Target="&#47588;&#45684;&#50620;BODY(&#51665;&#54665;&#45800;&#44228;-&#52392;&#48512;&#54260;&#45908;)v6\&#53685;&#49888;&#48516;&#50556;\6_&#44288;&#51228;%20&#48143;%20&#50868;&#50689;&#49324;%20&#51064;&#53552;&#54168;&#51060;&#49828;%20&#54801;&#51032;\&#54364;&#51456;&#49436;\&#44288;&#51228;%20&#48143;%20&#50868;&#50689;&#49324;%20&#51064;&#53552;&#54168;&#51060;&#49828;%20&#54801;&#51032;_&#54364;&#51456;&#49436;.html" TargetMode="External" Id="rId16"/><Relationship Type="http://schemas.openxmlformats.org/officeDocument/2006/relationships/hyperlink" Target="&#47588;&#45684;&#50620;BODY(&#51665;&#54665;&#45800;&#44228;-&#52392;&#48512;&#54260;&#45908;)v6\&#53685;&#49888;&#48516;&#50556;\6_&#44288;&#51228;%20&#48143;%20&#50868;&#50689;&#49324;%20&#51064;&#53552;&#54168;&#51060;&#49828;%20&#54801;&#51032;\&#49688;&#54665;&#51648;&#52840;\&#44288;&#51228;%20&#48143;%20&#50868;&#50689;&#49324;%20&#51064;&#53552;&#54168;&#51060;&#49828;%20&#54801;&#51032;_&#49688;&#54665;&#51648;&#52840;.html" TargetMode="External" Id="rId17"/><Relationship Type="http://schemas.openxmlformats.org/officeDocument/2006/relationships/hyperlink" Target="&#47588;&#45684;&#50620;BODY(&#51665;&#54665;&#45800;&#44228;-&#52392;&#48512;&#54260;&#45908;)v6\&#53685;&#49888;&#48516;&#50556;\6_&#44288;&#51228;%20&#48143;%20&#50868;&#50689;&#49324;%20&#51064;&#53552;&#54168;&#51060;&#49828;%20&#54801;&#51032;\&#52404;&#53356;&#47532;&#49828;&#53944;\&#44288;&#51228;%20&#48143;%20&#50868;&#50689;&#49324;%20&#51064;&#53552;&#54168;&#51060;&#49828;%20&#54801;&#51032;_&#52404;&#53356;&#47532;&#49828;&#53944;.html" TargetMode="External" Id="rId18"/><Relationship Type="http://schemas.openxmlformats.org/officeDocument/2006/relationships/hyperlink" Target="&#47588;&#45684;&#50620;BODY(&#51665;&#54665;&#45800;&#44228;-&#52392;&#48512;&#54260;&#45908;)v6\&#53685;&#49888;&#48516;&#50556;\7_&#48156;&#51452;&#52376;%20&#54408;&#51656;%20&#50836;&#44396;&#49324;&#54637;%20&#44160;&#53664;\&#54364;&#51456;&#49436;\&#48156;&#51452;&#52376;%20&#54408;&#51656;%20&#50836;&#44396;&#49324;&#54637;%20&#44160;&#53664;_&#54364;&#51456;&#49436;.html" TargetMode="External" Id="rId19"/><Relationship Type="http://schemas.openxmlformats.org/officeDocument/2006/relationships/hyperlink" Target="&#47588;&#45684;&#50620;BODY(&#51665;&#54665;&#45800;&#44228;-&#52392;&#48512;&#54260;&#45908;)v6\&#53685;&#49888;&#48516;&#50556;\7_&#48156;&#51452;&#52376;%20&#54408;&#51656;%20&#50836;&#44396;&#49324;&#54637;%20&#44160;&#53664;\&#49688;&#54665;&#51648;&#52840;\&#48156;&#51452;&#52376;%20&#54408;&#51656;%20&#50836;&#44396;&#49324;&#54637;%20&#44160;&#53664;_&#49688;&#54665;&#51648;&#52840;.html" TargetMode="External" Id="rId20"/><Relationship Type="http://schemas.openxmlformats.org/officeDocument/2006/relationships/hyperlink" Target="&#47588;&#45684;&#50620;BODY(&#51665;&#54665;&#45800;&#44228;-&#52392;&#48512;&#54260;&#45908;)v6\&#53685;&#49888;&#48516;&#50556;\7_&#48156;&#51452;&#52376;%20&#54408;&#51656;%20&#50836;&#44396;&#49324;&#54637;%20&#44160;&#53664;\&#52404;&#53356;&#47532;&#49828;&#53944;\&#48156;&#51452;&#52376;%20&#54408;&#51656;%20&#50836;&#44396;&#49324;&#54637;%20&#44160;&#53664;_&#52404;&#53356;&#47532;&#49828;&#53944;.html" TargetMode="External" Id="rId21"/><Relationship Type="http://schemas.openxmlformats.org/officeDocument/2006/relationships/hyperlink" Target="&#47588;&#45684;&#50620;BODY(&#51665;&#54665;&#45800;&#44228;-&#52392;&#48512;&#54260;&#45908;)v6\&#53685;&#49888;&#48516;&#50556;\8_&#51088;&#51116;%20_%20&#51064;&#50896;%20_%20&#51109;&#48708;%20&#46321;%20&#53804;&#51077;%20&#49324;&#51204;%20&#44160;&#53664;\&#54364;&#51456;&#49436;\&#51088;&#51116;%20_%20&#51064;&#50896;%20_%20&#51109;&#48708;%20&#46321;%20&#53804;&#51077;%20&#49324;&#51204;%20&#44160;&#53664;_&#54364;&#51456;&#49436;.html" TargetMode="External" Id="rId22"/><Relationship Type="http://schemas.openxmlformats.org/officeDocument/2006/relationships/hyperlink" Target="&#47588;&#45684;&#50620;BODY(&#51665;&#54665;&#45800;&#44228;-&#52392;&#48512;&#54260;&#45908;)v6\&#53685;&#49888;&#48516;&#50556;\8_&#51088;&#51116;%20_%20&#51064;&#50896;%20_%20&#51109;&#48708;%20&#46321;%20&#53804;&#51077;%20&#49324;&#51204;%20&#44160;&#53664;\&#49688;&#54665;&#51648;&#52840;\&#51088;&#51116;%20_%20&#51064;&#50896;%20_%20&#51109;&#48708;%20&#46321;%20&#53804;&#51077;%20&#49324;&#51204;%20&#44160;&#53664;_&#49688;&#54665;&#51648;&#52840;.html" TargetMode="External" Id="rId23"/><Relationship Type="http://schemas.openxmlformats.org/officeDocument/2006/relationships/hyperlink" Target="&#47588;&#45684;&#50620;BODY(&#51665;&#54665;&#45800;&#44228;-&#52392;&#48512;&#54260;&#45908;)v6\&#53685;&#49888;&#48516;&#50556;\8_&#51088;&#51116;%20_%20&#51064;&#50896;%20_%20&#51109;&#48708;%20&#46321;%20&#53804;&#51077;%20&#49324;&#51204;%20&#44160;&#53664;\&#52404;&#53356;&#47532;&#49828;&#53944;\&#51088;&#51116;%20_%20&#51064;&#50896;%20_%20&#51109;&#48708;%20&#46321;%20&#53804;&#51077;%20&#49324;&#51204;%20&#44160;&#53664;_&#52404;&#53356;&#47532;&#49828;&#53944;.html" TargetMode="External" Id="rId24"/><Relationship Type="http://schemas.openxmlformats.org/officeDocument/2006/relationships/hyperlink" Target="&#47588;&#45684;&#50620;BODY(&#51665;&#54665;&#45800;&#44228;-&#52392;&#48512;&#54260;&#45908;)v6\&#53685;&#49888;&#48516;&#50556;\9_&#52265;&#49688;%20&#51204;%20Big%20Room%20&#54924;&#51032;\&#54364;&#51456;&#49436;\&#52265;&#49688;%20&#51204;%20Big%20Room%20&#54924;&#51032;_&#54364;&#51456;&#49436;.html" TargetMode="External" Id="rId25"/><Relationship Type="http://schemas.openxmlformats.org/officeDocument/2006/relationships/hyperlink" Target="&#47588;&#45684;&#50620;BODY(&#51665;&#54665;&#45800;&#44228;-&#52392;&#48512;&#54260;&#45908;)v6\&#53685;&#49888;&#48516;&#50556;\9_&#52265;&#49688;%20&#51204;%20Big%20Room%20&#54924;&#51032;\&#49688;&#54665;&#51648;&#52840;\&#52265;&#49688;%20&#51204;%20Big%20Room%20&#54924;&#51032;_&#49688;&#54665;&#51648;&#52840;.html" TargetMode="External" Id="rId26"/><Relationship Type="http://schemas.openxmlformats.org/officeDocument/2006/relationships/hyperlink" Target="&#47588;&#45684;&#50620;BODY(&#51665;&#54665;&#45800;&#44228;-&#52392;&#48512;&#54260;&#45908;)v6\&#53685;&#49888;&#48516;&#50556;\9_&#52265;&#49688;%20&#51204;%20Big%20Room%20&#54924;&#51032;\&#52404;&#53356;&#47532;&#49828;&#53944;\&#52265;&#49688;%20&#51204;%20Big%20Room%20&#54924;&#51032;_&#52404;&#53356;&#47532;&#49828;&#53944;.html" TargetMode="External" Id="rId27"/><Relationship Type="http://schemas.openxmlformats.org/officeDocument/2006/relationships/hyperlink" Target="&#47588;&#45684;&#50620;BODY(&#51665;&#54665;&#45800;&#44228;-&#52392;&#48512;&#54260;&#45908;)v6\&#53685;&#49888;&#48516;&#50556;\10_&#53685;&#49888;&#49444;&#48708;%20&#51228;&#51089;%20&#49324;&#50577;&#49436;%20&#51089;&#49457;%20_%20&#49849;&#51064;\&#54364;&#51456;&#49436;\&#53685;&#49888;&#49444;&#48708;%20&#51228;&#51089;%20&#49324;&#50577;&#49436;%20&#51089;&#49457;%20_%20&#49849;&#51064;_&#54364;&#51456;&#49436;.html" TargetMode="External" Id="rId28"/><Relationship Type="http://schemas.openxmlformats.org/officeDocument/2006/relationships/hyperlink" Target="&#47588;&#45684;&#50620;BODY(&#51665;&#54665;&#45800;&#44228;-&#52392;&#48512;&#54260;&#45908;)v6\&#53685;&#49888;&#48516;&#50556;\10_&#53685;&#49888;&#49444;&#48708;%20&#51228;&#51089;%20&#49324;&#50577;&#49436;%20&#51089;&#49457;%20_%20&#49849;&#51064;\&#49688;&#54665;&#51648;&#52840;\&#53685;&#49888;&#49444;&#48708;%20&#51228;&#51089;%20&#49324;&#50577;&#49436;%20&#51089;&#49457;%20_%20&#49849;&#51064;_&#49688;&#54665;&#51648;&#52840;.html" TargetMode="External" Id="rId29"/><Relationship Type="http://schemas.openxmlformats.org/officeDocument/2006/relationships/hyperlink" Target="&#47588;&#45684;&#50620;BODY(&#51665;&#54665;&#45800;&#44228;-&#52392;&#48512;&#54260;&#45908;)v6\&#53685;&#49888;&#48516;&#50556;\10_&#53685;&#49888;&#49444;&#48708;%20&#51228;&#51089;%20&#49324;&#50577;&#49436;%20&#51089;&#49457;%20_%20&#49849;&#51064;\&#52404;&#53356;&#47532;&#49828;&#53944;\&#53685;&#49888;&#49444;&#48708;%20&#51228;&#51089;%20&#49324;&#50577;&#49436;%20&#51089;&#49457;%20_%20&#49849;&#51064;_&#52404;&#53356;&#47532;&#49828;&#53944;.html" TargetMode="External" Id="rId30"/><Relationship Type="http://schemas.openxmlformats.org/officeDocument/2006/relationships/hyperlink" Target="&#47588;&#45684;&#50620;BODY(&#51665;&#54665;&#45800;&#44228;-&#52392;&#48512;&#54260;&#45908;)v6\&#53685;&#49888;&#48516;&#50556;\11_&#49884;&#44277;%20&#44228;&#54925;%20&#49688;&#47549;%20_%20&#49849;&#51064;\&#54364;&#51456;&#49436;\&#49884;&#44277;%20&#44228;&#54925;%20&#49688;&#47549;%20_%20&#49849;&#51064;_&#54364;&#51456;&#49436;.html" TargetMode="External" Id="rId31"/><Relationship Type="http://schemas.openxmlformats.org/officeDocument/2006/relationships/hyperlink" Target="&#47588;&#45684;&#50620;BODY(&#51665;&#54665;&#45800;&#44228;-&#52392;&#48512;&#54260;&#45908;)v6\&#53685;&#49888;&#48516;&#50556;\11_&#49884;&#44277;%20&#44228;&#54925;%20&#49688;&#47549;%20_%20&#49849;&#51064;\&#49688;&#54665;&#51648;&#52840;\&#49884;&#44277;%20&#44228;&#54925;%20&#49688;&#47549;%20_%20&#49849;&#51064;_&#49688;&#54665;&#51648;&#52840;.html" TargetMode="External" Id="rId32"/><Relationship Type="http://schemas.openxmlformats.org/officeDocument/2006/relationships/hyperlink" Target="&#47588;&#45684;&#50620;BODY(&#51665;&#54665;&#45800;&#44228;-&#52392;&#48512;&#54260;&#45908;)v6\&#53685;&#49888;&#48516;&#50556;\11_&#49884;&#44277;%20&#44228;&#54925;%20&#49688;&#47549;%20_%20&#49849;&#51064;\&#52404;&#53356;&#47532;&#49828;&#53944;\&#49884;&#44277;%20&#44228;&#54925;%20&#49688;&#47549;%20_%20&#49849;&#51064;_&#52404;&#53356;&#47532;&#49828;&#53944;.html" TargetMode="External" Id="rId33"/><Relationship Type="http://schemas.openxmlformats.org/officeDocument/2006/relationships/hyperlink" Target="&#47588;&#45684;&#50620;BODY(&#51665;&#54665;&#45800;&#44228;-&#52392;&#48512;&#54260;&#45908;)v6\&#53685;&#49888;&#48516;&#50556;\12_&#51088;&#51116;&#44277;&#44553;&#50896;%20&#44160;&#53664;%20&#48143;%20&#49849;&#51064;\&#54364;&#51456;&#49436;\&#51088;&#51116;&#44277;&#44553;&#50896;%20&#44160;&#53664;%20&#48143;%20&#49849;&#51064;_&#54364;&#51456;&#49436;.html" TargetMode="External" Id="rId34"/><Relationship Type="http://schemas.openxmlformats.org/officeDocument/2006/relationships/hyperlink" Target="&#47588;&#45684;&#50620;BODY(&#51665;&#54665;&#45800;&#44228;-&#52392;&#48512;&#54260;&#45908;)v6\&#53685;&#49888;&#48516;&#50556;\12_&#51088;&#51116;&#44277;&#44553;&#50896;%20&#44160;&#53664;%20&#48143;%20&#49849;&#51064;\&#49688;&#54665;&#51648;&#52840;\&#51088;&#51116;&#44277;&#44553;&#50896;%20&#44160;&#53664;%20&#48143;%20&#49849;&#51064;_&#49688;&#54665;&#51648;&#52840;.html" TargetMode="External" Id="rId35"/><Relationship Type="http://schemas.openxmlformats.org/officeDocument/2006/relationships/hyperlink" Target="&#47588;&#45684;&#50620;BODY(&#51665;&#54665;&#45800;&#44228;-&#52392;&#48512;&#54260;&#45908;)v6\&#53685;&#49888;&#48516;&#50556;\12_&#51088;&#51116;&#44277;&#44553;&#50896;%20&#44160;&#53664;%20&#48143;%20&#49849;&#51064;\&#52404;&#53356;&#47532;&#49828;&#53944;\&#51088;&#51116;&#44277;&#44553;&#50896;%20&#44160;&#53664;%20&#48143;%20&#49849;&#51064;_&#52404;&#53356;&#47532;&#49828;&#53944;.html" TargetMode="External" Id="rId36"/><Relationship Type="http://schemas.openxmlformats.org/officeDocument/2006/relationships/hyperlink" Target="&#47588;&#45684;&#50620;BODY(&#51665;&#54665;&#45800;&#44228;-&#52392;&#48512;&#54260;&#45908;)v6\&#53685;&#49888;&#48516;&#50556;\13_&#53685;&#49888;&#49444;&#48708;%20&#44277;&#51221;&#51228;&#51089;%20_%20&#51228;&#51089;&#49324;%20&#44277;&#51109;&#44160;&#49324;\&#54364;&#51456;&#49436;\&#53685;&#49888;&#49444;&#48708;%20&#44277;&#51221;&#51228;&#51089;%20_%20&#51228;&#51089;&#49324;%20&#44277;&#51109;&#44160;&#49324;_&#54364;&#51456;&#49436;.html" TargetMode="External" Id="rId37"/><Relationship Type="http://schemas.openxmlformats.org/officeDocument/2006/relationships/hyperlink" Target="&#47588;&#45684;&#50620;BODY(&#51665;&#54665;&#45800;&#44228;-&#52392;&#48512;&#54260;&#45908;)v6\&#53685;&#49888;&#48516;&#50556;\13_&#53685;&#49888;&#49444;&#48708;%20&#44277;&#51221;&#51228;&#51089;%20_%20&#51228;&#51089;&#49324;%20&#44277;&#51109;&#44160;&#49324;\&#49688;&#54665;&#51648;&#52840;\&#53685;&#49888;&#49444;&#48708;%20&#44277;&#51221;&#51228;&#51089;%20_%20&#51228;&#51089;&#49324;%20&#44277;&#51109;&#44160;&#49324;_&#49688;&#54665;&#51648;&#52840;.html" TargetMode="External" Id="rId38"/><Relationship Type="http://schemas.openxmlformats.org/officeDocument/2006/relationships/hyperlink" Target="&#47588;&#45684;&#50620;BODY(&#51665;&#54665;&#45800;&#44228;-&#52392;&#48512;&#54260;&#45908;)v6\&#53685;&#49888;&#48516;&#50556;\13_&#53685;&#49888;&#49444;&#48708;%20&#44277;&#51221;&#51228;&#51089;%20_%20&#51228;&#51089;&#49324;%20&#44277;&#51109;&#44160;&#49324;\&#52404;&#53356;&#47532;&#49828;&#53944;\&#53685;&#49888;&#49444;&#48708;%20&#44277;&#51221;&#51228;&#51089;%20_%20&#51228;&#51089;&#49324;%20&#44277;&#51109;&#44160;&#49324;_&#52404;&#53356;&#47532;&#49828;&#53944;.html" TargetMode="External" Id="rId39"/><Relationship Type="http://schemas.openxmlformats.org/officeDocument/2006/relationships/hyperlink" Target="&#47588;&#45684;&#50620;BODY(&#51665;&#54665;&#45800;&#44228;-&#52392;&#48512;&#54260;&#45908;)v6\&#53685;&#49888;&#48516;&#50556;\14_&#48376;&#44277;&#49324;%20&#51204;%20&#49440;&#54665;&#44277;&#51221;%20&#51064;&#49688;&#51064;&#44228;%20&#51216;&#44160;\&#54364;&#51456;&#49436;\&#48376;&#44277;&#49324;%20&#51204;%20&#49440;&#54665;&#44277;&#51221;%20&#51064;&#49688;&#51064;&#44228;%20&#51216;&#44160;_&#54364;&#51456;&#49436;.html" TargetMode="External" Id="rId40"/><Relationship Type="http://schemas.openxmlformats.org/officeDocument/2006/relationships/hyperlink" Target="&#47588;&#45684;&#50620;BODY(&#51665;&#54665;&#45800;&#44228;-&#52392;&#48512;&#54260;&#45908;)v6\&#53685;&#49888;&#48516;&#50556;\14_&#48376;&#44277;&#49324;%20&#51204;%20&#49440;&#54665;&#44277;&#51221;%20&#51064;&#49688;&#51064;&#44228;%20&#51216;&#44160;\&#49688;&#54665;&#51648;&#52840;\&#48376;&#44277;&#49324;%20&#51204;%20&#49440;&#54665;&#44277;&#51221;%20&#51064;&#49688;&#51064;&#44228;%20&#51216;&#44160;_&#49688;&#54665;&#51648;&#52840;.html" TargetMode="External" Id="rId41"/><Relationship Type="http://schemas.openxmlformats.org/officeDocument/2006/relationships/hyperlink" Target="&#47588;&#45684;&#50620;BODY(&#51665;&#54665;&#45800;&#44228;-&#52392;&#48512;&#54260;&#45908;)v6\&#53685;&#49888;&#48516;&#50556;\14_&#48376;&#44277;&#49324;%20&#51204;%20&#49440;&#54665;&#44277;&#51221;%20&#51064;&#49688;&#51064;&#44228;%20&#51216;&#44160;\&#52404;&#53356;&#47532;&#49828;&#53944;\&#48376;&#44277;&#49324;%20&#51204;%20&#49440;&#54665;&#44277;&#51221;%20&#51064;&#49688;&#51064;&#44228;%20&#51216;&#44160;_&#52404;&#53356;&#47532;&#49828;&#53944;.html" TargetMode="External" Id="rId42"/><Relationship Type="http://schemas.openxmlformats.org/officeDocument/2006/relationships/hyperlink" Target="&#47588;&#45684;&#50620;BODY(&#51665;&#54665;&#45800;&#44228;-&#52392;&#48512;&#54260;&#45908;)v6\&#53685;&#49888;&#48516;&#50556;\15_&#51109;&#48708;&#48152;&#51077;%20&#48143;%20&#50504;&#51204;&#44368;&#50977;\&#54364;&#51456;&#49436;\&#51109;&#48708;&#48152;&#51077;%20&#48143;%20&#50504;&#51204;&#44368;&#50977;_&#54364;&#51456;&#49436;.html" TargetMode="External" Id="rId43"/><Relationship Type="http://schemas.openxmlformats.org/officeDocument/2006/relationships/hyperlink" Target="&#47588;&#45684;&#50620;BODY(&#51665;&#54665;&#45800;&#44228;-&#52392;&#48512;&#54260;&#45908;)v6\&#53685;&#49888;&#48516;&#50556;\15_&#51109;&#48708;&#48152;&#51077;%20&#48143;%20&#50504;&#51204;&#44368;&#50977;\&#49688;&#54665;&#51648;&#52840;\&#51109;&#48708;&#48152;&#51077;%20&#48143;%20&#50504;&#51204;&#44368;&#50977;_&#49688;&#54665;&#51648;&#52840;.html" TargetMode="External" Id="rId44"/><Relationship Type="http://schemas.openxmlformats.org/officeDocument/2006/relationships/hyperlink" Target="&#47588;&#45684;&#50620;BODY(&#51665;&#54665;&#45800;&#44228;-&#52392;&#48512;&#54260;&#45908;)v6\&#53685;&#49888;&#48516;&#50556;\15_&#51109;&#48708;&#48152;&#51077;%20&#48143;%20&#50504;&#51204;&#44368;&#50977;\&#52404;&#53356;&#47532;&#49828;&#53944;\&#51109;&#48708;&#48152;&#51077;%20&#48143;%20&#50504;&#51204;&#44368;&#50977;_&#52404;&#53356;&#47532;&#49828;&#53944;.html" TargetMode="External" Id="rId45"/><Relationship Type="http://schemas.openxmlformats.org/officeDocument/2006/relationships/hyperlink" Target="&#47588;&#45684;&#50620;BODY(&#51665;&#54665;&#45800;&#44228;-&#52392;&#48512;&#54260;&#45908;)v6\&#53685;&#49888;&#48516;&#50556;\16_&#51088;&#51116;%20&#48152;&#51077;%20&#48143;%20&#44160;&#49688;\&#54364;&#51456;&#49436;\&#51088;&#51116;%20&#48152;&#51077;%20&#48143;%20&#44160;&#49688;_&#54364;&#51456;&#49436;.html" TargetMode="External" Id="rId46"/><Relationship Type="http://schemas.openxmlformats.org/officeDocument/2006/relationships/hyperlink" Target="&#47588;&#45684;&#50620;BODY(&#51665;&#54665;&#45800;&#44228;-&#52392;&#48512;&#54260;&#45908;)v6\&#53685;&#49888;&#48516;&#50556;\16_&#51088;&#51116;%20&#48152;&#51077;%20&#48143;%20&#44160;&#49688;\&#49688;&#54665;&#51648;&#52840;\&#51088;&#51116;%20&#48152;&#51077;%20&#48143;%20&#44160;&#49688;_&#49688;&#54665;&#51648;&#52840;.html" TargetMode="External" Id="rId47"/><Relationship Type="http://schemas.openxmlformats.org/officeDocument/2006/relationships/hyperlink" Target="&#47588;&#45684;&#50620;BODY(&#51665;&#54665;&#45800;&#44228;-&#52392;&#48512;&#54260;&#45908;)v6\&#53685;&#49888;&#48516;&#50556;\16_&#51088;&#51116;%20&#48152;&#51077;%20&#48143;%20&#44160;&#49688;\&#52404;&#53356;&#47532;&#49828;&#53944;\&#51088;&#51116;%20&#48152;&#51077;%20&#48143;%20&#44160;&#49688;_&#52404;&#53356;&#47532;&#49828;&#53944;.html" TargetMode="External" Id="rId48"/><Relationship Type="http://schemas.openxmlformats.org/officeDocument/2006/relationships/hyperlink" Target="&#47588;&#45684;&#50620;BODY(&#51665;&#54665;&#45800;&#44228;-&#52392;&#48512;&#54260;&#45908;)v6\&#53685;&#49888;&#48516;&#50556;\17_&#53685;&#49888;&#49444;&#48708;%20&#48152;&#51077;%20&#48143;%20&#49444;&#52824;\&#54364;&#51456;&#49436;\&#53685;&#49888;&#49444;&#48708;%20&#48152;&#51077;%20&#48143;%20&#49444;&#52824;_&#54364;&#51456;&#49436;.html" TargetMode="External" Id="rId49"/><Relationship Type="http://schemas.openxmlformats.org/officeDocument/2006/relationships/hyperlink" Target="&#47588;&#45684;&#50620;BODY(&#51665;&#54665;&#45800;&#44228;-&#52392;&#48512;&#54260;&#45908;)v6\&#53685;&#49888;&#48516;&#50556;\17_&#53685;&#49888;&#49444;&#48708;%20&#48152;&#51077;%20&#48143;%20&#49444;&#52824;\&#49688;&#54665;&#51648;&#52840;\&#53685;&#49888;&#49444;&#48708;%20&#48152;&#51077;%20&#48143;%20&#49444;&#52824;_&#49688;&#54665;&#51648;&#52840;.html" TargetMode="External" Id="rId50"/><Relationship Type="http://schemas.openxmlformats.org/officeDocument/2006/relationships/hyperlink" Target="&#47588;&#45684;&#50620;BODY(&#51665;&#54665;&#45800;&#44228;-&#52392;&#48512;&#54260;&#45908;)v6\&#53685;&#49888;&#48516;&#50556;\17_&#53685;&#49888;&#49444;&#48708;%20&#48152;&#51077;%20&#48143;%20&#49444;&#52824;\&#52404;&#53356;&#47532;&#49828;&#53944;\&#53685;&#49888;&#49444;&#48708;%20&#48152;&#51077;%20&#48143;%20&#49444;&#52824;_&#52404;&#53356;&#47532;&#49828;&#53944;.html" TargetMode="External" Id="rId51"/><Relationship Type="http://schemas.openxmlformats.org/officeDocument/2006/relationships/hyperlink" Target="&#47588;&#45684;&#50620;BODY(&#51665;&#54665;&#45800;&#44228;-&#52392;&#48512;&#54260;&#45908;)v6\&#53685;&#49888;&#48516;&#50556;\18_&#44288;&#51228;&#49444;&#48708;%20&#49444;&#52824;\&#54364;&#51456;&#49436;\&#44288;&#51228;&#49444;&#48708;%20&#49444;&#52824;_&#54364;&#51456;&#49436;.html" TargetMode="External" Id="rId52"/><Relationship Type="http://schemas.openxmlformats.org/officeDocument/2006/relationships/hyperlink" Target="&#47588;&#45684;&#50620;BODY(&#51665;&#54665;&#45800;&#44228;-&#52392;&#48512;&#54260;&#45908;)v6\&#53685;&#49888;&#48516;&#50556;\18_&#44288;&#51228;&#49444;&#48708;%20&#49444;&#52824;\&#49688;&#54665;&#51648;&#52840;\&#44288;&#51228;&#49444;&#48708;%20&#49444;&#52824;_&#49688;&#54665;&#51648;&#52840;.html" TargetMode="External" Id="rId53"/><Relationship Type="http://schemas.openxmlformats.org/officeDocument/2006/relationships/hyperlink" Target="&#47588;&#45684;&#50620;BODY(&#51665;&#54665;&#45800;&#44228;-&#52392;&#48512;&#54260;&#45908;)v6\&#53685;&#49888;&#48516;&#50556;\18_&#44288;&#51228;&#49444;&#48708;%20&#49444;&#52824;\&#52404;&#53356;&#47532;&#49828;&#53944;\&#44288;&#51228;&#49444;&#48708;%20&#49444;&#52824;_&#52404;&#53356;&#47532;&#49828;&#53944;.html" TargetMode="External" Id="rId54"/><Relationship Type="http://schemas.openxmlformats.org/officeDocument/2006/relationships/hyperlink" Target="&#47588;&#45684;&#50620;BODY(&#51665;&#54665;&#45800;&#44228;-&#52392;&#48512;&#54260;&#45908;)v6\&#53685;&#49888;&#48516;&#50556;\19_&#53685;&#49888;&#49884;&#49828;&#53596;%20&#45800;&#50948;&#49884;&#54744;\&#54364;&#51456;&#49436;\&#53685;&#49888;&#49884;&#49828;&#53596;%20&#45800;&#50948;&#49884;&#54744;_&#54364;&#51456;&#49436;.html" TargetMode="External" Id="rId55"/><Relationship Type="http://schemas.openxmlformats.org/officeDocument/2006/relationships/hyperlink" Target="&#47588;&#45684;&#50620;BODY(&#51665;&#54665;&#45800;&#44228;-&#52392;&#48512;&#54260;&#45908;)v6\&#53685;&#49888;&#48516;&#50556;\19_&#53685;&#49888;&#49884;&#49828;&#53596;%20&#45800;&#50948;&#49884;&#54744;\&#49688;&#54665;&#51648;&#52840;\&#53685;&#49888;&#49884;&#49828;&#53596;%20&#45800;&#50948;&#49884;&#54744;_&#49688;&#54665;&#51648;&#52840;.html" TargetMode="External" Id="rId56"/><Relationship Type="http://schemas.openxmlformats.org/officeDocument/2006/relationships/hyperlink" Target="&#47588;&#45684;&#50620;BODY(&#51665;&#54665;&#45800;&#44228;-&#52392;&#48512;&#54260;&#45908;)v6\&#53685;&#49888;&#48516;&#50556;\19_&#53685;&#49888;&#49884;&#49828;&#53596;%20&#45800;&#50948;&#49884;&#54744;\&#52404;&#53356;&#47532;&#49828;&#53944;\&#53685;&#49888;&#49884;&#49828;&#53596;%20&#45800;&#50948;&#49884;&#54744;_&#52404;&#53356;&#47532;&#49828;&#53944;.html" TargetMode="External" Id="rId57"/><Relationship Type="http://schemas.openxmlformats.org/officeDocument/2006/relationships/hyperlink" Target="&#47588;&#45684;&#50620;BODY(&#51665;&#54665;&#45800;&#44228;-&#52392;&#48512;&#54260;&#45908;)v6\&#53685;&#49888;&#48516;&#50556;\20_&#53685;&#49888;&#49884;&#49828;&#53596;%20&#53685;&#54633;&#49884;&#54744;\&#54364;&#51456;&#49436;\&#53685;&#49888;&#49884;&#49828;&#53596;%20&#53685;&#54633;&#49884;&#54744;_&#54364;&#51456;&#49436;.html" TargetMode="External" Id="rId58"/><Relationship Type="http://schemas.openxmlformats.org/officeDocument/2006/relationships/hyperlink" Target="&#47588;&#45684;&#50620;BODY(&#51665;&#54665;&#45800;&#44228;-&#52392;&#48512;&#54260;&#45908;)v6\&#53685;&#49888;&#48516;&#50556;\20_&#53685;&#49888;&#49884;&#49828;&#53596;%20&#53685;&#54633;&#49884;&#54744;\&#49688;&#54665;&#51648;&#52840;\&#53685;&#49888;&#49884;&#49828;&#53596;%20&#53685;&#54633;&#49884;&#54744;_&#49688;&#54665;&#51648;&#52840;.html" TargetMode="External" Id="rId59"/><Relationship Type="http://schemas.openxmlformats.org/officeDocument/2006/relationships/hyperlink" Target="&#47588;&#45684;&#50620;BODY(&#51665;&#54665;&#45800;&#44228;-&#52392;&#48512;&#54260;&#45908;)v6\&#53685;&#49888;&#48516;&#50556;\20_&#53685;&#49888;&#49884;&#49828;&#53596;%20&#53685;&#54633;&#49884;&#54744;\&#52404;&#53356;&#47532;&#49828;&#53944;\&#53685;&#49888;&#49884;&#49828;&#53596;%20&#53685;&#54633;&#49884;&#54744;_&#52404;&#53356;&#47532;&#49828;&#53944;.html" TargetMode="External" Id="rId60"/><Relationship Type="http://schemas.openxmlformats.org/officeDocument/2006/relationships/hyperlink" Target="&#47588;&#45684;&#50620;BODY(&#51665;&#54665;&#45800;&#44228;-&#52392;&#48512;&#54260;&#45908;)v6\&#53685;&#49888;&#48516;&#50556;\21_&#44277;&#51333;&#48324;%20&#49884;&#54744;\&#54364;&#51456;&#49436;\&#44277;&#51333;&#48324;%20&#49884;&#54744;_&#54364;&#51456;&#49436;.html" TargetMode="External" Id="rId61"/><Relationship Type="http://schemas.openxmlformats.org/officeDocument/2006/relationships/hyperlink" Target="&#47588;&#45684;&#50620;BODY(&#51665;&#54665;&#45800;&#44228;-&#52392;&#48512;&#54260;&#45908;)v6\&#53685;&#49888;&#48516;&#50556;\21_&#44277;&#51333;&#48324;%20&#49884;&#54744;\&#49688;&#54665;&#51648;&#52840;\&#44277;&#51333;&#48324;%20&#49884;&#54744;_&#49688;&#54665;&#51648;&#52840;.html" TargetMode="External" Id="rId62"/><Relationship Type="http://schemas.openxmlformats.org/officeDocument/2006/relationships/hyperlink" Target="&#47588;&#45684;&#50620;BODY(&#51665;&#54665;&#45800;&#44228;-&#52392;&#48512;&#54260;&#45908;)v6\&#53685;&#49888;&#48516;&#50556;\21_&#44277;&#51333;&#48324;%20&#49884;&#54744;\&#52404;&#53356;&#47532;&#49828;&#53944;\&#44277;&#51333;&#48324;%20&#49884;&#54744;_&#52404;&#53356;&#47532;&#49828;&#53944;.html" TargetMode="External" Id="rId63"/><Relationship Type="http://schemas.openxmlformats.org/officeDocument/2006/relationships/hyperlink" Target="&#47588;&#45684;&#50620;BODY(&#51665;&#54665;&#45800;&#44228;-&#52392;&#48512;&#54260;&#45908;)v6\&#53685;&#49888;&#48516;&#50556;\22_&#52264;&#47049;%20&#53804;&#51077;%20&#51204;%20&#51216;&#44160;\&#54364;&#51456;&#49436;\&#52264;&#47049;%20&#53804;&#51077;%20&#51204;%20&#51216;&#44160;_&#54364;&#51456;&#49436;.html" TargetMode="External" Id="rId64"/><Relationship Type="http://schemas.openxmlformats.org/officeDocument/2006/relationships/hyperlink" Target="&#47588;&#45684;&#50620;BODY(&#51665;&#54665;&#45800;&#44228;-&#52392;&#48512;&#54260;&#45908;)v6\&#53685;&#49888;&#48516;&#50556;\22_&#52264;&#47049;%20&#53804;&#51077;%20&#51204;%20&#51216;&#44160;\&#49688;&#54665;&#51648;&#52840;\&#52264;&#47049;%20&#53804;&#51077;%20&#51204;%20&#51216;&#44160;_&#49688;&#54665;&#51648;&#52840;.html" TargetMode="External" Id="rId65"/><Relationship Type="http://schemas.openxmlformats.org/officeDocument/2006/relationships/hyperlink" Target="&#47588;&#45684;&#50620;BODY(&#51665;&#54665;&#45800;&#44228;-&#52392;&#48512;&#54260;&#45908;)v6\&#53685;&#49888;&#48516;&#50556;\22_&#52264;&#47049;%20&#53804;&#51077;%20&#51204;%20&#51216;&#44160;\&#52404;&#53356;&#47532;&#49828;&#53944;\&#52264;&#47049;%20&#53804;&#51077;%20&#51204;%20&#51216;&#44160;_&#52404;&#53356;&#47532;&#49828;&#53944;.html" TargetMode="External" Id="rId66"/><Relationship Type="http://schemas.openxmlformats.org/officeDocument/2006/relationships/hyperlink" Target="&#47588;&#45684;&#50620;BODY(&#51665;&#54665;&#45800;&#44228;-&#52392;&#48512;&#54260;&#45908;)v6\&#53685;&#49888;&#48516;&#50556;\23_&#52264;&#47049;%20&#49884;&#50868;&#51204;\&#54364;&#51456;&#49436;\&#52264;&#47049;%20&#49884;&#50868;&#51204;_&#54364;&#51456;&#49436;.html" TargetMode="External" Id="rId67"/><Relationship Type="http://schemas.openxmlformats.org/officeDocument/2006/relationships/hyperlink" Target="&#47588;&#45684;&#50620;BODY(&#51665;&#54665;&#45800;&#44228;-&#52392;&#48512;&#54260;&#45908;)v6\&#53685;&#49888;&#48516;&#50556;\23_&#52264;&#47049;%20&#49884;&#50868;&#51204;\&#49688;&#54665;&#51648;&#52840;\&#52264;&#47049;%20&#49884;&#50868;&#51204;_&#49688;&#54665;&#51648;&#52840;.html" TargetMode="External" Id="rId68"/><Relationship Type="http://schemas.openxmlformats.org/officeDocument/2006/relationships/hyperlink" Target="&#47588;&#45684;&#50620;BODY(&#51665;&#54665;&#45800;&#44228;-&#52392;&#48512;&#54260;&#45908;)v6\&#53685;&#49888;&#48516;&#50556;\23_&#52264;&#47049;%20&#49884;&#50868;&#51204;\&#52404;&#53356;&#47532;&#49828;&#53944;\&#52264;&#47049;%20&#49884;&#50868;&#51204;_&#52404;&#53356;&#47532;&#49828;&#53944;.html" TargetMode="External" Id="rId69"/><Relationship Type="http://schemas.openxmlformats.org/officeDocument/2006/relationships/hyperlink" Target="&#47588;&#45684;&#50620;BODY(&#51665;&#54665;&#45800;&#44228;-&#52392;&#48512;&#54260;&#45908;)v6\&#53685;&#49888;&#48516;&#50556;\24_&#50868;&#50689;&#51088;%20&#44368;&#50977;&#49884;&#54665;\&#54364;&#51456;&#49436;\&#50868;&#50689;&#51088;%20&#44368;&#50977;&#49884;&#54665;_&#54364;&#51456;&#49436;.html" TargetMode="External" Id="rId70"/><Relationship Type="http://schemas.openxmlformats.org/officeDocument/2006/relationships/hyperlink" Target="&#47588;&#45684;&#50620;BODY(&#51665;&#54665;&#45800;&#44228;-&#52392;&#48512;&#54260;&#45908;)v6\&#53685;&#49888;&#48516;&#50556;\24_&#50868;&#50689;&#51088;%20&#44368;&#50977;&#49884;&#54665;\&#49688;&#54665;&#51648;&#52840;\&#50868;&#50689;&#51088;%20&#44368;&#50977;&#49884;&#54665;_&#49688;&#54665;&#51648;&#52840;.html" TargetMode="External" Id="rId71"/><Relationship Type="http://schemas.openxmlformats.org/officeDocument/2006/relationships/hyperlink" Target="&#47588;&#45684;&#50620;BODY(&#51665;&#54665;&#45800;&#44228;-&#52392;&#48512;&#54260;&#45908;)v6\&#53685;&#49888;&#48516;&#50556;\24_&#50868;&#50689;&#51088;%20&#44368;&#50977;&#49884;&#54665;\&#52404;&#53356;&#47532;&#49828;&#53944;\&#50868;&#50689;&#51088;%20&#44368;&#50977;&#49884;&#54665;_&#52404;&#53356;&#47532;&#49828;&#53944;.html" TargetMode="External" Id="rId72"/><Relationship Type="http://schemas.openxmlformats.org/officeDocument/2006/relationships/hyperlink" Target="&#47588;&#45684;&#50620;BODY(&#51665;&#54665;&#45800;&#44228;-&#52392;&#48512;&#54260;&#45908;)v6\&#53685;&#49888;&#48516;&#50556;\25_&#49324;&#51204;&#51216;&#44160;\&#54364;&#51456;&#49436;\&#49324;&#51204;&#51216;&#44160;_&#54364;&#51456;&#49436;.html" TargetMode="External" Id="rId73"/><Relationship Type="http://schemas.openxmlformats.org/officeDocument/2006/relationships/hyperlink" Target="&#47588;&#45684;&#50620;BODY(&#51665;&#54665;&#45800;&#44228;-&#52392;&#48512;&#54260;&#45908;)v6\&#53685;&#49888;&#48516;&#50556;\25_&#49324;&#51204;&#51216;&#44160;\&#49688;&#54665;&#51648;&#52840;\&#49324;&#51204;&#51216;&#44160;_&#49688;&#54665;&#51648;&#52840;.html" TargetMode="External" Id="rId74"/><Relationship Type="http://schemas.openxmlformats.org/officeDocument/2006/relationships/hyperlink" Target="&#47588;&#45684;&#50620;BODY(&#51665;&#54665;&#45800;&#44228;-&#52392;&#48512;&#54260;&#45908;)v6\&#53685;&#49888;&#48516;&#50556;\25_&#49324;&#51204;&#51216;&#44160;\&#52404;&#53356;&#47532;&#49828;&#53944;\&#49324;&#51204;&#51216;&#44160;_&#52404;&#53356;&#47532;&#49828;&#53944;.html" TargetMode="External" Id="rId75"/><Relationship Type="http://schemas.openxmlformats.org/officeDocument/2006/relationships/hyperlink" Target="&#47588;&#45684;&#50620;BODY(&#51665;&#54665;&#45800;&#44228;-&#52392;&#48512;&#54260;&#45908;)v6\&#53685;&#49888;&#48516;&#50556;\26_&#49884;&#49444;&#47932;%20&#44160;&#51613;&#49884;&#54744;\&#54364;&#51456;&#49436;\&#49884;&#49444;&#47932;%20&#44160;&#51613;&#49884;&#54744;_&#54364;&#51456;&#49436;.html" TargetMode="External" Id="rId76"/><Relationship Type="http://schemas.openxmlformats.org/officeDocument/2006/relationships/hyperlink" Target="&#47588;&#45684;&#50620;BODY(&#51665;&#54665;&#45800;&#44228;-&#52392;&#48512;&#54260;&#45908;)v6\&#53685;&#49888;&#48516;&#50556;\26_&#49884;&#49444;&#47932;%20&#44160;&#51613;&#49884;&#54744;\&#49688;&#54665;&#51648;&#52840;\&#49884;&#49444;&#47932;%20&#44160;&#51613;&#49884;&#54744;_&#49688;&#54665;&#51648;&#52840;.html" TargetMode="External" Id="rId77"/><Relationship Type="http://schemas.openxmlformats.org/officeDocument/2006/relationships/hyperlink" Target="&#47588;&#45684;&#50620;BODY(&#51665;&#54665;&#45800;&#44228;-&#52392;&#48512;&#54260;&#45908;)v6\&#53685;&#49888;&#48516;&#50556;\26_&#49884;&#49444;&#47932;%20&#44160;&#51613;&#49884;&#54744;\&#52404;&#53356;&#47532;&#49828;&#53944;\&#49884;&#49444;&#47932;%20&#44160;&#51613;&#49884;&#54744;_&#52404;&#53356;&#47532;&#49828;&#53944;.html" TargetMode="External" Id="rId78"/><Relationship Type="http://schemas.openxmlformats.org/officeDocument/2006/relationships/hyperlink" Target="&#47588;&#45684;&#50620;BODY(&#51665;&#54665;&#45800;&#44228;-&#52392;&#48512;&#54260;&#45908;)v6\&#53685;&#49888;&#48516;&#50556;\27_&#50689;&#50629;&#49884;&#50868;&#51204;\&#54364;&#51456;&#49436;\&#50689;&#50629;&#49884;&#50868;&#51204;_&#54364;&#51456;&#49436;.html" TargetMode="External" Id="rId79"/><Relationship Type="http://schemas.openxmlformats.org/officeDocument/2006/relationships/hyperlink" Target="&#47588;&#45684;&#50620;BODY(&#51665;&#54665;&#45800;&#44228;-&#52392;&#48512;&#54260;&#45908;)v6\&#53685;&#49888;&#48516;&#50556;\27_&#50689;&#50629;&#49884;&#50868;&#51204;\&#49688;&#54665;&#51648;&#52840;\&#50689;&#50629;&#49884;&#50868;&#51204;_&#49688;&#54665;&#51648;&#52840;.html" TargetMode="External" Id="rId80"/><Relationship Type="http://schemas.openxmlformats.org/officeDocument/2006/relationships/hyperlink" Target="&#47588;&#45684;&#50620;BODY(&#51665;&#54665;&#45800;&#44228;-&#52392;&#48512;&#54260;&#45908;)v6\&#53685;&#49888;&#48516;&#50556;\27_&#50689;&#50629;&#49884;&#50868;&#51204;\&#52404;&#53356;&#47532;&#49828;&#53944;\&#50689;&#50629;&#49884;&#50868;&#51204;_&#52404;&#53356;&#47532;&#49828;&#53944;.html" TargetMode="External" Id="rId81"/><Relationship Type="http://schemas.openxmlformats.org/officeDocument/2006/relationships/hyperlink" Target="&#47588;&#45684;&#50620;BODY(&#51665;&#54665;&#45800;&#44228;-&#52392;&#48512;&#54260;&#45908;)v6\&#53685;&#49888;&#48516;&#50556;\28_&#51088;&#44032;&#50857;&#51204;&#44592;&#53685;&#49888;&#49444;&#48708;%20&#49444;&#52824;&#49888;&#44256;\&#54364;&#51456;&#49436;\&#51088;&#44032;&#50857;&#51204;&#44592;&#53685;&#49888;&#49444;&#48708;%20&#49444;&#52824;&#49888;&#44256;_&#54364;&#51456;&#49436;.html" TargetMode="External" Id="rId82"/><Relationship Type="http://schemas.openxmlformats.org/officeDocument/2006/relationships/hyperlink" Target="&#47588;&#45684;&#50620;BODY(&#51665;&#54665;&#45800;&#44228;-&#52392;&#48512;&#54260;&#45908;)v6\&#53685;&#49888;&#48516;&#50556;\28_&#51088;&#44032;&#50857;&#51204;&#44592;&#53685;&#49888;&#49444;&#48708;%20&#49444;&#52824;&#49888;&#44256;\&#49688;&#54665;&#51648;&#52840;\&#51088;&#44032;&#50857;&#51204;&#44592;&#53685;&#49888;&#49444;&#48708;%20&#49444;&#52824;&#49888;&#44256;_&#49688;&#54665;&#51648;&#52840;.html" TargetMode="External" Id="rId83"/><Relationship Type="http://schemas.openxmlformats.org/officeDocument/2006/relationships/hyperlink" Target="&#47588;&#45684;&#50620;BODY(&#51665;&#54665;&#45800;&#44228;-&#52392;&#48512;&#54260;&#45908;)v6\&#53685;&#49888;&#48516;&#50556;\28_&#51088;&#44032;&#50857;&#51204;&#44592;&#53685;&#49888;&#49444;&#48708;%20&#49444;&#52824;&#49888;&#44256;\&#52404;&#53356;&#47532;&#49828;&#53944;\&#51088;&#44032;&#50857;&#51204;&#44592;&#53685;&#49888;&#49444;&#48708;%20&#49444;&#52824;&#49888;&#44256;_&#52404;&#53356;&#47532;&#49828;&#53944;.html" TargetMode="External" Id="rId84"/><Relationship Type="http://schemas.openxmlformats.org/officeDocument/2006/relationships/hyperlink" Target="&#47588;&#45684;&#50620;BODY(&#51665;&#54665;&#45800;&#44228;-&#52392;&#48512;&#54260;&#45908;)v6\&#53685;&#49888;&#48516;&#50556;\29_LTE-R%20&#47924;&#49440;&#44397;&#54728;&#44032;\&#54364;&#51456;&#49436;\LTE-R%20&#47924;&#49440;&#44397;&#54728;&#44032;_&#54364;&#51456;&#49436;.html" TargetMode="External" Id="rId85"/><Relationship Type="http://schemas.openxmlformats.org/officeDocument/2006/relationships/hyperlink" Target="&#47588;&#45684;&#50620;BODY(&#51665;&#54665;&#45800;&#44228;-&#52392;&#48512;&#54260;&#45908;)v6\&#53685;&#49888;&#48516;&#50556;\29_LTE-R%20&#47924;&#49440;&#44397;&#54728;&#44032;\&#49688;&#54665;&#51648;&#52840;\LTE-R%20&#47924;&#49440;&#44397;&#54728;&#44032;_&#49688;&#54665;&#51648;&#52840;.html" TargetMode="External" Id="rId86"/><Relationship Type="http://schemas.openxmlformats.org/officeDocument/2006/relationships/hyperlink" Target="&#47588;&#45684;&#50620;BODY(&#51665;&#54665;&#45800;&#44228;-&#52392;&#48512;&#54260;&#45908;)v6\&#53685;&#49888;&#48516;&#50556;\29_LTE-R%20&#47924;&#49440;&#44397;&#54728;&#44032;\&#52404;&#53356;&#47532;&#49828;&#53944;\LTE-R%20&#47924;&#49440;&#44397;&#54728;&#44032;_&#52404;&#53356;&#47532;&#49828;&#53944;.html" TargetMode="External" Id="rId87"/><Relationship Type="http://schemas.openxmlformats.org/officeDocument/2006/relationships/hyperlink" Target="&#47588;&#45684;&#50620;BODY(&#51665;&#54665;&#45800;&#44228;-&#52392;&#48512;&#54260;&#45908;)v6\&#53685;&#49888;&#48516;&#50556;\30_LTE-R%20&#49345;&#54840;&#50868;&#50857;&#49457;%20&#48143;%20&#48372;&#50504;&#51201;&#54633;&#49457;%20&#44160;&#51613;\&#54364;&#51456;&#49436;\LTE-R%20&#49345;&#54840;&#50868;&#50857;&#49457;%20&#48143;%20&#48372;&#50504;&#51201;&#54633;&#49457;%20&#44160;&#51613;_&#54364;&#51456;&#49436;.html" TargetMode="External" Id="rId88"/><Relationship Type="http://schemas.openxmlformats.org/officeDocument/2006/relationships/hyperlink" Target="&#47588;&#45684;&#50620;BODY(&#51665;&#54665;&#45800;&#44228;-&#52392;&#48512;&#54260;&#45908;)v6\&#53685;&#49888;&#48516;&#50556;\30_LTE-R%20&#49345;&#54840;&#50868;&#50857;&#49457;%20&#48143;%20&#48372;&#50504;&#51201;&#54633;&#49457;%20&#44160;&#51613;\&#49688;&#54665;&#51648;&#52840;\LTE-R%20&#49345;&#54840;&#50868;&#50857;&#49457;%20&#48143;%20&#48372;&#50504;&#51201;&#54633;&#49457;%20&#44160;&#51613;_&#49688;&#54665;&#51648;&#52840;.html" TargetMode="External" Id="rId89"/><Relationship Type="http://schemas.openxmlformats.org/officeDocument/2006/relationships/hyperlink" Target="&#47588;&#45684;&#50620;BODY(&#51665;&#54665;&#45800;&#44228;-&#52392;&#48512;&#54260;&#45908;)v6\&#53685;&#49888;&#48516;&#50556;\30_LTE-R%20&#49345;&#54840;&#50868;&#50857;&#49457;%20&#48143;%20&#48372;&#50504;&#51201;&#54633;&#49457;%20&#44160;&#51613;\&#52404;&#53356;&#47532;&#49828;&#53944;\LTE-R%20&#49345;&#54840;&#50868;&#50857;&#49457;%20&#48143;%20&#48372;&#50504;&#51201;&#54633;&#49457;%20&#44160;&#51613;_&#52404;&#53356;&#47532;&#49828;&#53944;.html" TargetMode="External" Id="rId90"/><Relationship Type="http://schemas.openxmlformats.org/officeDocument/2006/relationships/hyperlink" Target="&#47588;&#45684;&#50620;BODY(&#51665;&#54665;&#45800;&#44228;-&#52392;&#48512;&#54260;&#45908;)v6\&#53685;&#49888;&#48516;&#50556;\31_&#51221;&#48372;&#53685;&#49888;&#49324;&#50857;&#51204;&#44160;&#49324;\&#54364;&#51456;&#49436;\&#51221;&#48372;&#53685;&#49888;&#49324;&#50857;&#51204;&#44160;&#49324;_&#54364;&#51456;&#49436;.html" TargetMode="External" Id="rId91"/><Relationship Type="http://schemas.openxmlformats.org/officeDocument/2006/relationships/hyperlink" Target="&#47588;&#45684;&#50620;BODY(&#51665;&#54665;&#45800;&#44228;-&#52392;&#48512;&#54260;&#45908;)v6\&#53685;&#49888;&#48516;&#50556;\31_&#51221;&#48372;&#53685;&#49888;&#49324;&#50857;&#51204;&#44160;&#49324;\&#49688;&#54665;&#51648;&#52840;\&#51221;&#48372;&#53685;&#49888;&#49324;&#50857;&#51204;&#44160;&#49324;_&#49688;&#54665;&#51648;&#52840;.html" TargetMode="External" Id="rId92"/><Relationship Type="http://schemas.openxmlformats.org/officeDocument/2006/relationships/hyperlink" Target="&#47588;&#45684;&#50620;BODY(&#51665;&#54665;&#45800;&#44228;-&#52392;&#48512;&#54260;&#45908;)v6\&#53685;&#49888;&#48516;&#50556;\31_&#51221;&#48372;&#53685;&#49888;&#49324;&#50857;&#51204;&#44160;&#49324;\&#52404;&#53356;&#47532;&#49828;&#53944;\&#51221;&#48372;&#53685;&#49888;&#49324;&#50857;&#51204;&#44160;&#49324;_&#52404;&#53356;&#47532;&#49828;&#53944;.html" TargetMode="External" Id="rId93"/><Relationship Type="http://schemas.openxmlformats.org/officeDocument/2006/relationships/hyperlink" Target="&#47588;&#45684;&#50620;BODY(&#51665;&#54665;&#45800;&#44228;-&#52392;&#48512;&#54260;&#45908;)v6\&#53685;&#49888;&#48516;&#50556;\32_LTE-R%20&#47924;&#49440;&#44397;%20&#51456;&#44277;&#44160;&#49324;\&#54364;&#51456;&#49436;\LTE-R%20&#47924;&#49440;&#44397;%20&#51456;&#44277;&#44160;&#49324;_&#54364;&#51456;&#49436;.html" TargetMode="External" Id="rId94"/><Relationship Type="http://schemas.openxmlformats.org/officeDocument/2006/relationships/hyperlink" Target="&#47588;&#45684;&#50620;BODY(&#51665;&#54665;&#45800;&#44228;-&#52392;&#48512;&#54260;&#45908;)v6\&#53685;&#49888;&#48516;&#50556;\32_LTE-R%20&#47924;&#49440;&#44397;%20&#51456;&#44277;&#44160;&#49324;\&#49688;&#54665;&#51648;&#52840;\LTE-R%20&#47924;&#49440;&#44397;%20&#51456;&#44277;&#44160;&#49324;_&#49688;&#54665;&#51648;&#52840;.html" TargetMode="External" Id="rId95"/><Relationship Type="http://schemas.openxmlformats.org/officeDocument/2006/relationships/hyperlink" Target="&#47588;&#45684;&#50620;BODY(&#51665;&#54665;&#45800;&#44228;-&#52392;&#48512;&#54260;&#45908;)v6\&#53685;&#49888;&#48516;&#50556;\32_LTE-R%20&#47924;&#49440;&#44397;%20&#51456;&#44277;&#44160;&#49324;\&#52404;&#53356;&#47532;&#49828;&#53944;\LTE-R%20&#47924;&#49440;&#44397;%20&#51456;&#44277;&#44160;&#49324;_&#52404;&#53356;&#47532;&#49828;&#53944;.html" TargetMode="External" Id="rId96"/></Relationships>
</file>

<file path=xl/worksheets/_rels/sheet12.xml.rels><Relationships xmlns="http://schemas.openxmlformats.org/package/2006/relationships"><Relationship Type="http://schemas.openxmlformats.org/officeDocument/2006/relationships/hyperlink" Target="&#47588;&#45684;&#50620;BODY(&#51665;&#54665;&#45800;&#44228;-&#52392;&#48512;&#54260;&#45908;)v6/&#51204;&#44592;&#48516;&#50556;/1_&#49444;&#44228;&#51201;&#51221;&#49457;%20&#44160;&#53664;/&#54364;&#51456;&#49436;/&#49444;&#44228;&#51201;&#51221;&#49457;%20&#44160;&#53664;_&#54364;&#51456;&#49436;.html" TargetMode="External" Id="rId1"/><Relationship Type="http://schemas.openxmlformats.org/officeDocument/2006/relationships/hyperlink" Target="&#47588;&#45684;&#50620;BODY(&#51665;&#54665;&#45800;&#44228;-&#52392;&#48512;&#54260;&#45908;)v6\&#51204;&#44592;&#48516;&#50556;\1_&#49444;&#44228;&#51201;&#51221;&#49457;%20&#44160;&#53664;\&#49688;&#54665;&#51648;&#52840;\&#49444;&#44228;&#51201;&#51221;&#49457;%20&#44160;&#53664;_&#49688;&#54665;&#51648;&#52840;.html" TargetMode="External" Id="rId2"/><Relationship Type="http://schemas.openxmlformats.org/officeDocument/2006/relationships/hyperlink" Target="&#47588;&#45684;&#50620;BODY(&#51665;&#54665;&#45800;&#44228;-&#52392;&#48512;&#54260;&#45908;)v6\&#51204;&#44592;&#48516;&#50556;\1_&#49444;&#44228;&#51201;&#51221;&#49457;%20&#44160;&#53664;\&#52404;&#53356;&#47532;&#49828;&#53944;\&#49444;&#44228;&#51201;&#51221;&#49457;%20&#44160;&#53664;_&#52404;&#53356;&#47532;&#49828;&#53944;.html" TargetMode="External" Id="rId3"/><Relationship Type="http://schemas.openxmlformats.org/officeDocument/2006/relationships/hyperlink" Target="&#47588;&#45684;&#50620;BODY(&#51665;&#54665;&#45800;&#44228;-&#52392;&#48512;&#54260;&#45908;)v6\&#51204;&#44592;&#48516;&#50556;\2_&#48156;&#51452;&#51204;&#47029;%20KOM\&#54364;&#51456;&#49436;\&#48156;&#51452;&#51204;&#47029;%20KOM_&#54364;&#51456;&#49436;.html" TargetMode="External" Id="rId4"/><Relationship Type="http://schemas.openxmlformats.org/officeDocument/2006/relationships/hyperlink" Target="&#47588;&#45684;&#50620;BODY(&#51665;&#54665;&#45800;&#44228;-&#52392;&#48512;&#54260;&#45908;)v6\&#51204;&#44592;&#48516;&#50556;\2_&#48156;&#51452;&#51204;&#47029;%20KOM\&#49688;&#54665;&#51648;&#52840;\&#48156;&#51452;&#51204;&#47029;%20KOM_&#49688;&#54665;&#51648;&#52840;.html" TargetMode="External" Id="rId5"/><Relationship Type="http://schemas.openxmlformats.org/officeDocument/2006/relationships/hyperlink" Target="&#47588;&#45684;&#50620;BODY(&#51665;&#54665;&#45800;&#44228;-&#52392;&#48512;&#54260;&#45908;)v6\&#51204;&#44592;&#48516;&#50556;\2_&#48156;&#51452;&#51204;&#47029;%20KOM\&#52404;&#53356;&#47532;&#49828;&#53944;\&#48156;&#51452;&#51204;&#47029;%20KOM_&#52404;&#53356;&#47532;&#49828;&#53944;.html" TargetMode="External" Id="rId6"/><Relationship Type="http://schemas.openxmlformats.org/officeDocument/2006/relationships/hyperlink" Target="&#47588;&#45684;&#50620;BODY(&#51665;&#54665;&#45800;&#44228;-&#52392;&#48512;&#54260;&#45908;)v6\&#51204;&#44592;&#48516;&#50556;\3_&#53664;&#47785;%20_%20&#44148;&#52629;%20&#51064;&#53552;&#54168;&#51060;&#49828;%20&#54801;&#51032;\&#54364;&#51456;&#49436;\&#53664;&#47785;%20_%20&#44148;&#52629;%20&#51064;&#53552;&#54168;&#51060;&#49828;%20&#54801;&#51032;_&#54364;&#51456;&#49436;.html" TargetMode="External" Id="rId7"/><Relationship Type="http://schemas.openxmlformats.org/officeDocument/2006/relationships/hyperlink" Target="&#47588;&#45684;&#50620;BODY(&#51665;&#54665;&#45800;&#44228;-&#52392;&#48512;&#54260;&#45908;)v6\&#51204;&#44592;&#48516;&#50556;\3_&#53664;&#47785;%20_%20&#44148;&#52629;%20&#51064;&#53552;&#54168;&#51060;&#49828;%20&#54801;&#51032;\&#49688;&#54665;&#51648;&#52840;\&#53664;&#47785;%20_%20&#44148;&#52629;%20&#51064;&#53552;&#54168;&#51060;&#49828;%20&#54801;&#51032;_&#49688;&#54665;&#51648;&#52840;.html" TargetMode="External" Id="rId8"/><Relationship Type="http://schemas.openxmlformats.org/officeDocument/2006/relationships/hyperlink" Target="&#47588;&#45684;&#50620;BODY(&#51665;&#54665;&#45800;&#44228;-&#52392;&#48512;&#54260;&#45908;)v6\&#51204;&#44592;&#48516;&#50556;\3_&#53664;&#47785;%20_%20&#44148;&#52629;%20&#51064;&#53552;&#54168;&#51060;&#49828;%20&#54801;&#51032;\&#52404;&#53356;&#47532;&#49828;&#53944;\&#53664;&#47785;%20_%20&#44148;&#52629;%20&#51064;&#53552;&#54168;&#51060;&#49828;%20&#54801;&#51032;_&#52404;&#53356;&#47532;&#49828;&#53944;.html" TargetMode="External" Id="rId9"/><Relationship Type="http://schemas.openxmlformats.org/officeDocument/2006/relationships/hyperlink" Target="&#47588;&#45684;&#50620;BODY(&#51665;&#54665;&#45800;&#44228;-&#52392;&#48512;&#54260;&#45908;)v6\&#51204;&#44592;&#48516;&#50556;\4_&#49888;&#54840;%20_%20&#53685;&#49888;%20_%20&#44592;&#44228;%20_%20PSD%20_%20&#52264;&#47049;%20&#51064;&#53552;&#54168;&#51060;&#49828;%20&#54801;&#51032;\&#54364;&#51456;&#49436;\&#49888;&#54840;%20_%20&#53685;&#49888;%20_%20&#44592;&#44228;%20_%20PSD%20_%20&#52264;&#47049;%20&#51064;&#53552;&#54168;&#51060;&#49828;%20&#54801;&#51032;_&#54364;&#51456;&#49436;.html" TargetMode="External" Id="rId10"/><Relationship Type="http://schemas.openxmlformats.org/officeDocument/2006/relationships/hyperlink" Target="&#47588;&#45684;&#50620;BODY(&#51665;&#54665;&#45800;&#44228;-&#52392;&#48512;&#54260;&#45908;)v6\&#51204;&#44592;&#48516;&#50556;\4_&#49888;&#54840;%20_%20&#53685;&#49888;%20_%20&#44592;&#44228;%20_%20PSD%20_%20&#52264;&#47049;%20&#51064;&#53552;&#54168;&#51060;&#49828;%20&#54801;&#51032;\&#49688;&#54665;&#51648;&#52840;\&#49888;&#54840;%20_%20&#53685;&#49888;%20_%20&#44592;&#44228;%20_%20PSD%20_%20&#52264;&#47049;%20&#51064;&#53552;&#54168;&#51060;&#49828;%20&#54801;&#51032;_&#49688;&#54665;&#51648;&#52840;.html" TargetMode="External" Id="rId11"/><Relationship Type="http://schemas.openxmlformats.org/officeDocument/2006/relationships/hyperlink" Target="&#47588;&#45684;&#50620;BODY(&#51665;&#54665;&#45800;&#44228;-&#52392;&#48512;&#54260;&#45908;)v6\&#51204;&#44592;&#48516;&#50556;\4_&#49888;&#54840;%20_%20&#53685;&#49888;%20_%20&#44592;&#44228;%20_%20PSD%20_%20&#52264;&#47049;%20&#51064;&#53552;&#54168;&#51060;&#49828;%20&#54801;&#51032;\&#52404;&#53356;&#47532;&#49828;&#53944;\&#49888;&#54840;%20_%20&#53685;&#49888;%20_%20&#44592;&#44228;%20_%20PSD%20_%20&#52264;&#47049;%20&#51064;&#53552;&#54168;&#51060;&#49828;%20&#54801;&#51032;_&#52404;&#53356;&#47532;&#49828;&#53944;.html" TargetMode="External" Id="rId12"/><Relationship Type="http://schemas.openxmlformats.org/officeDocument/2006/relationships/hyperlink" Target="&#47588;&#45684;&#50620;BODY(&#51665;&#54665;&#45800;&#44228;-&#52392;&#48512;&#54260;&#45908;)v6\&#51204;&#44592;&#48516;&#50556;\5_&#51204;&#44592;&#49444;&#48708;%20&#51228;&#51089;&#49324;%20&#51064;&#53552;&#54168;&#51060;&#49828;%20&#54801;&#51032;\&#54364;&#51456;&#49436;\&#51204;&#44592;&#49444;&#48708;%20&#51228;&#51089;&#49324;%20&#51064;&#53552;&#54168;&#51060;&#49828;%20&#54801;&#51032;_&#54364;&#51456;&#49436;.html" TargetMode="External" Id="rId13"/><Relationship Type="http://schemas.openxmlformats.org/officeDocument/2006/relationships/hyperlink" Target="&#47588;&#45684;&#50620;BODY(&#51665;&#54665;&#45800;&#44228;-&#52392;&#48512;&#54260;&#45908;)v6\&#51204;&#44592;&#48516;&#50556;\5_&#51204;&#44592;&#49444;&#48708;%20&#51228;&#51089;&#49324;%20&#51064;&#53552;&#54168;&#51060;&#49828;%20&#54801;&#51032;\&#49688;&#54665;&#51648;&#52840;\&#51204;&#44592;&#49444;&#48708;%20&#51228;&#51089;&#49324;%20&#51064;&#53552;&#54168;&#51060;&#49828;%20&#54801;&#51032;_&#49688;&#54665;&#51648;&#52840;.html" TargetMode="External" Id="rId14"/><Relationship Type="http://schemas.openxmlformats.org/officeDocument/2006/relationships/hyperlink" Target="&#47588;&#45684;&#50620;BODY(&#51665;&#54665;&#45800;&#44228;-&#52392;&#48512;&#54260;&#45908;)v6\&#51204;&#44592;&#48516;&#50556;\5_&#51204;&#44592;&#49444;&#48708;%20&#51228;&#51089;&#49324;%20&#51064;&#53552;&#54168;&#51060;&#49828;%20&#54801;&#51032;\&#52404;&#53356;&#47532;&#49828;&#53944;\&#51204;&#44592;&#49444;&#48708;%20&#51228;&#51089;&#49324;%20&#51064;&#53552;&#54168;&#51060;&#49828;%20&#54801;&#51032;_&#52404;&#53356;&#47532;&#49828;&#53944;.html" TargetMode="External" Id="rId15"/><Relationship Type="http://schemas.openxmlformats.org/officeDocument/2006/relationships/hyperlink" Target="&#47588;&#45684;&#50620;BODY(&#51665;&#54665;&#45800;&#44228;-&#52392;&#48512;&#54260;&#45908;)v6\&#51204;&#44592;&#48516;&#50556;\6_&#44288;&#51228;%20&#48143;%20&#50868;&#50689;&#49324;%20&#51064;&#53552;&#54168;&#51060;&#49828;%20&#54801;&#51032;\&#54364;&#51456;&#49436;\&#44288;&#51228;%20&#48143;%20&#50868;&#50689;&#49324;%20&#51064;&#53552;&#54168;&#51060;&#49828;%20&#54801;&#51032;_&#54364;&#51456;&#49436;.html" TargetMode="External" Id="rId16"/><Relationship Type="http://schemas.openxmlformats.org/officeDocument/2006/relationships/hyperlink" Target="&#47588;&#45684;&#50620;BODY(&#51665;&#54665;&#45800;&#44228;-&#52392;&#48512;&#54260;&#45908;)v6\&#51204;&#44592;&#48516;&#50556;\6_&#44288;&#51228;%20&#48143;%20&#50868;&#50689;&#49324;%20&#51064;&#53552;&#54168;&#51060;&#49828;%20&#54801;&#51032;\&#49688;&#54665;&#51648;&#52840;\&#44288;&#51228;%20&#48143;%20&#50868;&#50689;&#49324;%20&#51064;&#53552;&#54168;&#51060;&#49828;%20&#54801;&#51032;_&#49688;&#54665;&#51648;&#52840;.html" TargetMode="External" Id="rId17"/><Relationship Type="http://schemas.openxmlformats.org/officeDocument/2006/relationships/hyperlink" Target="&#47588;&#45684;&#50620;BODY(&#51665;&#54665;&#45800;&#44228;-&#52392;&#48512;&#54260;&#45908;)v6\&#51204;&#44592;&#48516;&#50556;\6_&#44288;&#51228;%20&#48143;%20&#50868;&#50689;&#49324;%20&#51064;&#53552;&#54168;&#51060;&#49828;%20&#54801;&#51032;\&#52404;&#53356;&#47532;&#49828;&#53944;\&#44288;&#51228;%20&#48143;%20&#50868;&#50689;&#49324;%20&#51064;&#53552;&#54168;&#51060;&#49828;%20&#54801;&#51032;_&#52404;&#53356;&#47532;&#49828;&#53944;.html" TargetMode="External" Id="rId18"/><Relationship Type="http://schemas.openxmlformats.org/officeDocument/2006/relationships/hyperlink" Target="&#47588;&#45684;&#50620;BODY(&#51665;&#54665;&#45800;&#44228;-&#52392;&#48512;&#54260;&#45908;)v6\&#51204;&#44592;&#48516;&#50556;\7_&#48156;&#51452;&#52376;%20&#54408;&#51656;%20&#50836;&#44396;&#49324;&#54637;%20&#44160;&#53664;\&#54364;&#51456;&#49436;\&#48156;&#51452;&#52376;%20&#54408;&#51656;%20&#50836;&#44396;&#49324;&#54637;%20&#44160;&#53664;_&#54364;&#51456;&#49436;.html" TargetMode="External" Id="rId19"/><Relationship Type="http://schemas.openxmlformats.org/officeDocument/2006/relationships/hyperlink" Target="&#47588;&#45684;&#50620;BODY(&#51665;&#54665;&#45800;&#44228;-&#52392;&#48512;&#54260;&#45908;)v6\&#51204;&#44592;&#48516;&#50556;\7_&#48156;&#51452;&#52376;%20&#54408;&#51656;%20&#50836;&#44396;&#49324;&#54637;%20&#44160;&#53664;\&#49688;&#54665;&#51648;&#52840;\&#48156;&#51452;&#52376;%20&#54408;&#51656;%20&#50836;&#44396;&#49324;&#54637;%20&#44160;&#53664;_&#49688;&#54665;&#51648;&#52840;.html" TargetMode="External" Id="rId20"/><Relationship Type="http://schemas.openxmlformats.org/officeDocument/2006/relationships/hyperlink" Target="&#47588;&#45684;&#50620;BODY(&#51665;&#54665;&#45800;&#44228;-&#52392;&#48512;&#54260;&#45908;)v6\&#51204;&#44592;&#48516;&#50556;\7_&#48156;&#51452;&#52376;%20&#54408;&#51656;%20&#50836;&#44396;&#49324;&#54637;%20&#44160;&#53664;\&#52404;&#53356;&#47532;&#49828;&#53944;\&#48156;&#51452;&#52376;%20&#54408;&#51656;%20&#50836;&#44396;&#49324;&#54637;%20&#44160;&#53664;_&#52404;&#53356;&#47532;&#49828;&#53944;.html" TargetMode="External" Id="rId21"/><Relationship Type="http://schemas.openxmlformats.org/officeDocument/2006/relationships/hyperlink" Target="&#47588;&#45684;&#50620;BODY(&#51665;&#54665;&#45800;&#44228;-&#52392;&#48512;&#54260;&#45908;)v6\&#51204;&#44592;&#48516;&#50556;\8_&#51088;&#51116;%20_%20&#51064;&#50896;%20_%20&#51109;&#48708;%20&#46321;%20&#53804;&#51077;%20&#49324;&#51204;%20&#44160;&#53664;\&#54364;&#51456;&#49436;\&#51088;&#51116;%20_%20&#51064;&#50896;%20_%20&#51109;&#48708;%20&#46321;%20&#53804;&#51077;%20&#49324;&#51204;%20&#44160;&#53664;_&#54364;&#51456;&#49436;.html" TargetMode="External" Id="rId22"/><Relationship Type="http://schemas.openxmlformats.org/officeDocument/2006/relationships/hyperlink" Target="&#47588;&#45684;&#50620;BODY(&#51665;&#54665;&#45800;&#44228;-&#52392;&#48512;&#54260;&#45908;)v6\&#51204;&#44592;&#48516;&#50556;\8_&#51088;&#51116;%20_%20&#51064;&#50896;%20_%20&#51109;&#48708;%20&#46321;%20&#53804;&#51077;%20&#49324;&#51204;%20&#44160;&#53664;\&#49688;&#54665;&#51648;&#52840;\&#51088;&#51116;%20_%20&#51064;&#50896;%20_%20&#51109;&#48708;%20&#46321;%20&#53804;&#51077;%20&#49324;&#51204;%20&#44160;&#53664;_&#49688;&#54665;&#51648;&#52840;.html" TargetMode="External" Id="rId23"/><Relationship Type="http://schemas.openxmlformats.org/officeDocument/2006/relationships/hyperlink" Target="&#47588;&#45684;&#50620;BODY(&#51665;&#54665;&#45800;&#44228;-&#52392;&#48512;&#54260;&#45908;)v6\&#51204;&#44592;&#48516;&#50556;\8_&#51088;&#51116;%20_%20&#51064;&#50896;%20_%20&#51109;&#48708;%20&#46321;%20&#53804;&#51077;%20&#49324;&#51204;%20&#44160;&#53664;\&#52404;&#53356;&#47532;&#49828;&#53944;\&#51088;&#51116;%20_%20&#51064;&#50896;%20_%20&#51109;&#48708;%20&#46321;%20&#53804;&#51077;%20&#49324;&#51204;%20&#44160;&#53664;_&#52404;&#53356;&#47532;&#49828;&#53944;.html" TargetMode="External" Id="rId24"/><Relationship Type="http://schemas.openxmlformats.org/officeDocument/2006/relationships/hyperlink" Target="&#47588;&#45684;&#50620;BODY(&#51665;&#54665;&#45800;&#44228;-&#52392;&#48512;&#54260;&#45908;)v6\&#51204;&#44592;&#48516;&#50556;\9_&#51064;&#54728;&#44032;%20&#51456;&#48708;\&#54364;&#51456;&#49436;\&#51064;&#54728;&#44032;%20&#51456;&#48708;_&#54364;&#51456;&#49436;.html" TargetMode="External" Id="rId25"/><Relationship Type="http://schemas.openxmlformats.org/officeDocument/2006/relationships/hyperlink" Target="&#47588;&#45684;&#50620;BODY(&#51665;&#54665;&#45800;&#44228;-&#52392;&#48512;&#54260;&#45908;)v6\&#51204;&#44592;&#48516;&#50556;\9_&#51064;&#54728;&#44032;%20&#51456;&#48708;\&#49688;&#54665;&#51648;&#52840;\&#51064;&#54728;&#44032;%20&#51456;&#48708;_&#49688;&#54665;&#51648;&#52840;.html" TargetMode="External" Id="rId26"/><Relationship Type="http://schemas.openxmlformats.org/officeDocument/2006/relationships/hyperlink" Target="&#47588;&#45684;&#50620;BODY(&#51665;&#54665;&#45800;&#44228;-&#52392;&#48512;&#54260;&#45908;)v6\&#51204;&#44592;&#48516;&#50556;\9_&#51064;&#54728;&#44032;%20&#51456;&#48708;\&#52404;&#53356;&#47532;&#49828;&#53944;\&#51064;&#54728;&#44032;%20&#51456;&#48708;_&#52404;&#53356;&#47532;&#49828;&#53944;.html" TargetMode="External" Id="rId27"/><Relationship Type="http://schemas.openxmlformats.org/officeDocument/2006/relationships/hyperlink" Target="&#47588;&#45684;&#50620;BODY(&#51665;&#54665;&#45800;&#44228;-&#52392;&#48512;&#54260;&#45908;)v6\&#51204;&#44592;&#48516;&#50556;\10_&#52265;&#49688;%20&#51204;%20Big%20Room%20&#54924;&#51032;\&#54364;&#51456;&#49436;\&#52265;&#49688;%20&#51204;%20Big%20Room%20&#54924;&#51032;_&#54364;&#51456;&#49436;.html" TargetMode="External" Id="rId28"/><Relationship Type="http://schemas.openxmlformats.org/officeDocument/2006/relationships/hyperlink" Target="&#47588;&#45684;&#50620;BODY(&#51665;&#54665;&#45800;&#44228;-&#52392;&#48512;&#54260;&#45908;)v6\&#51204;&#44592;&#48516;&#50556;\10_&#52265;&#49688;%20&#51204;%20Big%20Room%20&#54924;&#51032;\&#49688;&#54665;&#51648;&#52840;\&#52265;&#49688;%20&#51204;%20Big%20Room%20&#54924;&#51032;_&#49688;&#54665;&#51648;&#52840;.html" TargetMode="External" Id="rId29"/><Relationship Type="http://schemas.openxmlformats.org/officeDocument/2006/relationships/hyperlink" Target="&#47588;&#45684;&#50620;BODY(&#51665;&#54665;&#45800;&#44228;-&#52392;&#48512;&#54260;&#45908;)v6\&#51204;&#44592;&#48516;&#50556;\10_&#52265;&#49688;%20&#51204;%20Big%20Room%20&#54924;&#51032;\&#52404;&#53356;&#47532;&#49828;&#53944;\&#52265;&#49688;%20&#51204;%20Big%20Room%20&#54924;&#51032;_&#52404;&#53356;&#47532;&#49828;&#53944;.html" TargetMode="External" Id="rId30"/><Relationship Type="http://schemas.openxmlformats.org/officeDocument/2006/relationships/hyperlink" Target="&#47588;&#45684;&#50620;BODY(&#51665;&#54665;&#45800;&#44228;-&#52392;&#48512;&#54260;&#45908;)v6\&#51204;&#44592;&#48516;&#50556;\11_&#51204;&#44592;&#49444;&#48708;%20&#51228;&#51089;%20&#49324;&#50577;&#49436;%20&#51089;&#49457;%20_%20&#49849;&#51064;\&#54364;&#51456;&#49436;\&#51204;&#44592;&#49444;&#48708;%20&#51228;&#51089;%20&#49324;&#50577;&#49436;%20&#51089;&#49457;%20_%20&#49849;&#51064;_&#54364;&#51456;&#49436;.html" TargetMode="External" Id="rId31"/><Relationship Type="http://schemas.openxmlformats.org/officeDocument/2006/relationships/hyperlink" Target="&#47588;&#45684;&#50620;BODY(&#51665;&#54665;&#45800;&#44228;-&#52392;&#48512;&#54260;&#45908;)v6\&#51204;&#44592;&#48516;&#50556;\11_&#51204;&#44592;&#49444;&#48708;%20&#51228;&#51089;%20&#49324;&#50577;&#49436;%20&#51089;&#49457;%20_%20&#49849;&#51064;\&#49688;&#54665;&#51648;&#52840;\&#51204;&#44592;&#49444;&#48708;%20&#51228;&#51089;%20&#49324;&#50577;&#49436;%20&#51089;&#49457;%20_%20&#49849;&#51064;_&#49688;&#54665;&#51648;&#52840;.html" TargetMode="External" Id="rId32"/><Relationship Type="http://schemas.openxmlformats.org/officeDocument/2006/relationships/hyperlink" Target="&#47588;&#45684;&#50620;BODY(&#51665;&#54665;&#45800;&#44228;-&#52392;&#48512;&#54260;&#45908;)v6\&#51204;&#44592;&#48516;&#50556;\11_&#51204;&#44592;&#49444;&#48708;%20&#51228;&#51089;%20&#49324;&#50577;&#49436;%20&#51089;&#49457;%20_%20&#49849;&#51064;\&#52404;&#53356;&#47532;&#49828;&#53944;\&#51204;&#44592;&#49444;&#48708;%20&#51228;&#51089;%20&#49324;&#50577;&#49436;%20&#51089;&#49457;%20_%20&#49849;&#51064;_&#52404;&#53356;&#47532;&#49828;&#53944;.html" TargetMode="External" Id="rId33"/><Relationship Type="http://schemas.openxmlformats.org/officeDocument/2006/relationships/hyperlink" Target="&#47588;&#45684;&#50620;BODY(&#51665;&#54665;&#45800;&#44228;-&#52392;&#48512;&#54260;&#45908;)v6\&#51204;&#44592;&#48516;&#50556;\12_&#49884;&#44277;%20&#44228;&#54925;%20&#49688;&#47549;%20_%20&#49849;&#51064;\&#54364;&#51456;&#49436;\&#49884;&#44277;%20&#44228;&#54925;%20&#49688;&#47549;%20_%20&#49849;&#51064;_&#54364;&#51456;&#49436;.html" TargetMode="External" Id="rId34"/><Relationship Type="http://schemas.openxmlformats.org/officeDocument/2006/relationships/hyperlink" Target="&#47588;&#45684;&#50620;BODY(&#51665;&#54665;&#45800;&#44228;-&#52392;&#48512;&#54260;&#45908;)v6\&#51204;&#44592;&#48516;&#50556;\12_&#49884;&#44277;%20&#44228;&#54925;%20&#49688;&#47549;%20_%20&#49849;&#51064;\&#49688;&#54665;&#51648;&#52840;\&#49884;&#44277;%20&#44228;&#54925;%20&#49688;&#47549;%20_%20&#49849;&#51064;_&#49688;&#54665;&#51648;&#52840;.html" TargetMode="External" Id="rId35"/><Relationship Type="http://schemas.openxmlformats.org/officeDocument/2006/relationships/hyperlink" Target="&#47588;&#45684;&#50620;BODY(&#51665;&#54665;&#45800;&#44228;-&#52392;&#48512;&#54260;&#45908;)v6\&#51204;&#44592;&#48516;&#50556;\12_&#49884;&#44277;%20&#44228;&#54925;%20&#49688;&#47549;%20_%20&#49849;&#51064;\&#52404;&#53356;&#47532;&#49828;&#53944;\&#49884;&#44277;%20&#44228;&#54925;%20&#49688;&#47549;%20_%20&#49849;&#51064;_&#52404;&#53356;&#47532;&#49828;&#53944;.html" TargetMode="External" Id="rId36"/><Relationship Type="http://schemas.openxmlformats.org/officeDocument/2006/relationships/hyperlink" Target="&#47588;&#45684;&#50620;BODY(&#51665;&#54665;&#45800;&#44228;-&#52392;&#48512;&#54260;&#45908;)v6\&#51204;&#44592;&#48516;&#50556;\13_&#51088;&#51116;&#44277;&#44553;&#50896;_&#44592;&#51088;&#51116;%20&#51228;&#51089;&#46020;&#49436;%20&#49849;&#51064;\&#54364;&#51456;&#49436;\&#51088;&#51116;&#44277;&#44553;&#50896;_&#44592;&#51088;&#51116;%20&#51228;&#51089;&#46020;&#49436;%20&#49849;&#51064;_&#54364;&#51456;&#49436;.html" TargetMode="External" Id="rId37"/><Relationship Type="http://schemas.openxmlformats.org/officeDocument/2006/relationships/hyperlink" Target="&#47588;&#45684;&#50620;BODY(&#51665;&#54665;&#45800;&#44228;-&#52392;&#48512;&#54260;&#45908;)v6\&#51204;&#44592;&#48516;&#50556;\13_&#51088;&#51116;&#44277;&#44553;&#50896;_&#44592;&#51088;&#51116;%20&#51228;&#51089;&#46020;&#49436;%20&#49849;&#51064;\&#49688;&#54665;&#51648;&#52840;\&#51088;&#51116;&#44277;&#44553;&#50896;_&#44592;&#51088;&#51116;%20&#51228;&#51089;&#46020;&#49436;%20&#49849;&#51064;_&#49688;&#54665;&#51648;&#52840;.html" TargetMode="External" Id="rId38"/><Relationship Type="http://schemas.openxmlformats.org/officeDocument/2006/relationships/hyperlink" Target="&#47588;&#45684;&#50620;BODY(&#51665;&#54665;&#45800;&#44228;-&#52392;&#48512;&#54260;&#45908;)v6\&#51204;&#44592;&#48516;&#50556;\13_&#51088;&#51116;&#44277;&#44553;&#50896;_&#44592;&#51088;&#51116;%20&#51228;&#51089;&#46020;&#49436;%20&#49849;&#51064;\&#52404;&#53356;&#47532;&#49828;&#53944;\&#51088;&#51116;&#44277;&#44553;&#50896;_&#44592;&#51088;&#51116;%20&#51228;&#51089;&#46020;&#49436;%20&#49849;&#51064;_&#52404;&#53356;&#47532;&#49828;&#53944;.html" TargetMode="External" Id="rId39"/><Relationship Type="http://schemas.openxmlformats.org/officeDocument/2006/relationships/hyperlink" Target="&#47588;&#45684;&#50620;BODY(&#51665;&#54665;&#45800;&#44228;-&#52392;&#48512;&#54260;&#45908;)v6\&#51204;&#44592;&#48516;&#50556;\14_&#51204;&#44592;&#49444;&#48708;%20&#44277;&#51221;&#51228;&#51089;%20_%20&#51228;&#51089;&#49324;%20&#44277;&#51109;&#44160;&#49324;\&#54364;&#51456;&#49436;\&#51204;&#44592;&#49444;&#48708;%20&#44277;&#51221;&#51228;&#51089;%20_%20&#51228;&#51089;&#49324;%20&#44277;&#51109;&#44160;&#49324;_&#54364;&#51456;&#49436;.html" TargetMode="External" Id="rId40"/><Relationship Type="http://schemas.openxmlformats.org/officeDocument/2006/relationships/hyperlink" Target="&#47588;&#45684;&#50620;BODY(&#51665;&#54665;&#45800;&#44228;-&#52392;&#48512;&#54260;&#45908;)v6\&#51204;&#44592;&#48516;&#50556;\14_&#51204;&#44592;&#49444;&#48708;%20&#44277;&#51221;&#51228;&#51089;%20_%20&#51228;&#51089;&#49324;%20&#44277;&#51109;&#44160;&#49324;\&#49688;&#54665;&#51648;&#52840;\&#51204;&#44592;&#49444;&#48708;%20&#44277;&#51221;&#51228;&#51089;%20_%20&#51228;&#51089;&#49324;%20&#44277;&#51109;&#44160;&#49324;_&#49688;&#54665;&#51648;&#52840;.html" TargetMode="External" Id="rId41"/><Relationship Type="http://schemas.openxmlformats.org/officeDocument/2006/relationships/hyperlink" Target="&#47588;&#45684;&#50620;BODY(&#51665;&#54665;&#45800;&#44228;-&#52392;&#48512;&#54260;&#45908;)v6\&#51204;&#44592;&#48516;&#50556;\14_&#51204;&#44592;&#49444;&#48708;%20&#44277;&#51221;&#51228;&#51089;%20_%20&#51228;&#51089;&#49324;%20&#44277;&#51109;&#44160;&#49324;\&#52404;&#53356;&#47532;&#49828;&#53944;\&#51204;&#44592;&#49444;&#48708;%20&#44277;&#51221;&#51228;&#51089;%20_%20&#51228;&#51089;&#49324;%20&#44277;&#51109;&#44160;&#49324;_&#52404;&#53356;&#47532;&#49828;&#53944;.html" TargetMode="External" Id="rId42"/><Relationship Type="http://schemas.openxmlformats.org/officeDocument/2006/relationships/hyperlink" Target="&#47588;&#45684;&#50620;BODY(&#51665;&#54665;&#45800;&#44228;-&#52392;&#48512;&#54260;&#45908;)v6\&#51204;&#44592;&#48516;&#50556;\15_&#48376;&#44277;&#49324;%20&#51204;%20&#49440;&#54665;&#44277;&#51221;%20&#51064;&#49688;&#51064;&#44228;%20&#51216;&#44160;\&#54364;&#51456;&#49436;\&#48376;&#44277;&#49324;%20&#51204;%20&#49440;&#54665;&#44277;&#51221;%20&#51064;&#49688;&#51064;&#44228;%20&#51216;&#44160;_&#54364;&#51456;&#49436;.html" TargetMode="External" Id="rId43"/><Relationship Type="http://schemas.openxmlformats.org/officeDocument/2006/relationships/hyperlink" Target="&#47588;&#45684;&#50620;BODY(&#51665;&#54665;&#45800;&#44228;-&#52392;&#48512;&#54260;&#45908;)v6\&#51204;&#44592;&#48516;&#50556;\15_&#48376;&#44277;&#49324;%20&#51204;%20&#49440;&#54665;&#44277;&#51221;%20&#51064;&#49688;&#51064;&#44228;%20&#51216;&#44160;\&#49688;&#54665;&#51648;&#52840;\&#48376;&#44277;&#49324;%20&#51204;%20&#49440;&#54665;&#44277;&#51221;%20&#51064;&#49688;&#51064;&#44228;%20&#51216;&#44160;_&#49688;&#54665;&#51648;&#52840;.html" TargetMode="External" Id="rId44"/><Relationship Type="http://schemas.openxmlformats.org/officeDocument/2006/relationships/hyperlink" Target="&#47588;&#45684;&#50620;BODY(&#51665;&#54665;&#45800;&#44228;-&#52392;&#48512;&#54260;&#45908;)v6\&#51204;&#44592;&#48516;&#50556;\15_&#48376;&#44277;&#49324;%20&#51204;%20&#49440;&#54665;&#44277;&#51221;%20&#51064;&#49688;&#51064;&#44228;%20&#51216;&#44160;\&#52404;&#53356;&#47532;&#49828;&#53944;\&#48376;&#44277;&#49324;%20&#51204;%20&#49440;&#54665;&#44277;&#51221;%20&#51064;&#49688;&#51064;&#44228;%20&#51216;&#44160;_&#52404;&#53356;&#47532;&#49828;&#53944;.html" TargetMode="External" Id="rId45"/><Relationship Type="http://schemas.openxmlformats.org/officeDocument/2006/relationships/hyperlink" Target="&#47588;&#45684;&#50620;BODY(&#51665;&#54665;&#45800;&#44228;-&#52392;&#48512;&#54260;&#45908;)v6\&#51204;&#44592;&#48516;&#50556;\16_&#51109;&#48708;&#48152;&#51077;%20&#48143;%20&#50504;&#51204;&#44368;&#50977;\&#54364;&#51456;&#49436;\&#51109;&#48708;&#48152;&#51077;%20&#48143;%20&#50504;&#51204;&#44368;&#50977;_&#54364;&#51456;&#49436;.html" TargetMode="External" Id="rId46"/><Relationship Type="http://schemas.openxmlformats.org/officeDocument/2006/relationships/hyperlink" Target="&#47588;&#45684;&#50620;BODY(&#51665;&#54665;&#45800;&#44228;-&#52392;&#48512;&#54260;&#45908;)v6\&#51204;&#44592;&#48516;&#50556;\16_&#51109;&#48708;&#48152;&#51077;%20&#48143;%20&#50504;&#51204;&#44368;&#50977;\&#49688;&#54665;&#51648;&#52840;\&#51109;&#48708;&#48152;&#51077;%20&#48143;%20&#50504;&#51204;&#44368;&#50977;_&#49688;&#54665;&#51648;&#52840;.html" TargetMode="External" Id="rId47"/><Relationship Type="http://schemas.openxmlformats.org/officeDocument/2006/relationships/hyperlink" Target="&#47588;&#45684;&#50620;BODY(&#51665;&#54665;&#45800;&#44228;-&#52392;&#48512;&#54260;&#45908;)v6\&#51204;&#44592;&#48516;&#50556;\16_&#51109;&#48708;&#48152;&#51077;%20&#48143;%20&#50504;&#51204;&#44368;&#50977;\&#52404;&#53356;&#47532;&#49828;&#53944;\&#51109;&#48708;&#48152;&#51077;%20&#48143;%20&#50504;&#51204;&#44368;&#50977;_&#52404;&#53356;&#47532;&#49828;&#53944;.html" TargetMode="External" Id="rId48"/><Relationship Type="http://schemas.openxmlformats.org/officeDocument/2006/relationships/hyperlink" Target="&#47588;&#45684;&#50620;BODY(&#51665;&#54665;&#45800;&#44228;-&#52392;&#48512;&#54260;&#45908;)v6\&#51204;&#44592;&#48516;&#50556;\17_&#51088;&#51116;%20&#48152;&#51077;%20&#48143;%20&#44160;&#49688;\&#54364;&#51456;&#49436;\&#51088;&#51116;%20&#48152;&#51077;%20&#48143;%20&#44160;&#49688;_&#54364;&#51456;&#49436;.html" TargetMode="External" Id="rId49"/><Relationship Type="http://schemas.openxmlformats.org/officeDocument/2006/relationships/hyperlink" Target="&#47588;&#45684;&#50620;BODY(&#51665;&#54665;&#45800;&#44228;-&#52392;&#48512;&#54260;&#45908;)v6\&#51204;&#44592;&#48516;&#50556;\17_&#51088;&#51116;%20&#48152;&#51077;%20&#48143;%20&#44160;&#49688;\&#49688;&#54665;&#51648;&#52840;\&#51088;&#51116;%20&#48152;&#51077;%20&#48143;%20&#44160;&#49688;_&#49688;&#54665;&#51648;&#52840;.html" TargetMode="External" Id="rId50"/><Relationship Type="http://schemas.openxmlformats.org/officeDocument/2006/relationships/hyperlink" Target="&#47588;&#45684;&#50620;BODY(&#51665;&#54665;&#45800;&#44228;-&#52392;&#48512;&#54260;&#45908;)v6\&#51204;&#44592;&#48516;&#50556;\17_&#51088;&#51116;%20&#48152;&#51077;%20&#48143;%20&#44160;&#49688;\&#52404;&#53356;&#47532;&#49828;&#53944;\&#51088;&#51116;%20&#48152;&#51077;%20&#48143;%20&#44160;&#49688;_&#52404;&#53356;&#47532;&#49828;&#53944;.html" TargetMode="External" Id="rId51"/><Relationship Type="http://schemas.openxmlformats.org/officeDocument/2006/relationships/hyperlink" Target="&#47588;&#45684;&#50620;BODY(&#51665;&#54665;&#45800;&#44228;-&#52392;&#48512;&#54260;&#45908;)v6\&#51204;&#44592;&#48516;&#50556;\18_&#51204;&#52384;&#51204;&#47141;&#49444;&#48708;%20&#48152;&#51077;%20&#48143;%20&#49444;&#52824;\&#54364;&#51456;&#49436;\&#51204;&#52384;&#51204;&#47141;&#49444;&#48708;%20&#48152;&#51077;%20&#48143;%20&#49444;&#52824;_&#54364;&#51456;&#49436;.html" TargetMode="External" Id="rId52"/><Relationship Type="http://schemas.openxmlformats.org/officeDocument/2006/relationships/hyperlink" Target="&#47588;&#45684;&#50620;BODY(&#51665;&#54665;&#45800;&#44228;-&#52392;&#48512;&#54260;&#45908;)v6\&#51204;&#44592;&#48516;&#50556;\18_&#51204;&#52384;&#51204;&#47141;&#49444;&#48708;%20&#48152;&#51077;%20&#48143;%20&#49444;&#52824;\&#49688;&#54665;&#51648;&#52840;\&#51204;&#52384;&#51204;&#47141;&#49444;&#48708;%20&#48152;&#51077;%20&#48143;%20&#49444;&#52824;_&#49688;&#54665;&#51648;&#52840;.html" TargetMode="External" Id="rId53"/><Relationship Type="http://schemas.openxmlformats.org/officeDocument/2006/relationships/hyperlink" Target="&#47588;&#45684;&#50620;BODY(&#51665;&#54665;&#45800;&#44228;-&#52392;&#48512;&#54260;&#45908;)v6\&#51204;&#44592;&#48516;&#50556;\18_&#51204;&#52384;&#51204;&#47141;&#49444;&#48708;%20&#48152;&#51077;%20&#48143;%20&#49444;&#52824;\&#52404;&#53356;&#47532;&#49828;&#53944;\&#51204;&#52384;&#51204;&#47141;&#49444;&#48708;%20&#48152;&#51077;%20&#48143;%20&#49444;&#52824;_&#52404;&#53356;&#47532;&#49828;&#53944;.html" TargetMode="External" Id="rId54"/><Relationship Type="http://schemas.openxmlformats.org/officeDocument/2006/relationships/hyperlink" Target="&#47588;&#45684;&#50620;BODY(&#51665;&#54665;&#45800;&#44228;-&#52392;&#48512;&#54260;&#45908;)v6\&#51204;&#44592;&#48516;&#50556;\19_&#49688;&#51204;&#50857;%20&#52992;&#51060;&#48660;%20&#53944;&#47112;&#51060;%20&#48143;%20&#52992;&#51060;&#48660;%20&#54252;&#49444;\&#54364;&#51456;&#49436;\&#49688;&#51204;&#50857;%20&#52992;&#51060;&#48660;%20&#53944;&#47112;&#51060;%20&#48143;%20&#52992;&#51060;&#48660;%20&#54252;&#49444;_&#54364;&#51456;&#49436;.html" TargetMode="External" Id="rId55"/><Relationship Type="http://schemas.openxmlformats.org/officeDocument/2006/relationships/hyperlink" Target="&#47588;&#45684;&#50620;BODY(&#51665;&#54665;&#45800;&#44228;-&#52392;&#48512;&#54260;&#45908;)v6\&#51204;&#44592;&#48516;&#50556;\19_&#49688;&#51204;&#50857;%20&#52992;&#51060;&#48660;%20&#53944;&#47112;&#51060;%20&#48143;%20&#52992;&#51060;&#48660;%20&#54252;&#49444;\&#49688;&#54665;&#51648;&#52840;\&#49688;&#51204;&#50857;%20&#52992;&#51060;&#48660;%20&#53944;&#47112;&#51060;%20&#48143;%20&#52992;&#51060;&#48660;%20&#54252;&#49444;_&#49688;&#54665;&#51648;&#52840;.html" TargetMode="External" Id="rId56"/><Relationship Type="http://schemas.openxmlformats.org/officeDocument/2006/relationships/hyperlink" Target="&#47588;&#45684;&#50620;BODY(&#51665;&#54665;&#45800;&#44228;-&#52392;&#48512;&#54260;&#45908;)v6\&#51204;&#44592;&#48516;&#50556;\19_&#49688;&#51204;&#50857;%20&#52992;&#51060;&#48660;%20&#53944;&#47112;&#51060;%20&#48143;%20&#52992;&#51060;&#48660;%20&#54252;&#49444;\&#52404;&#53356;&#47532;&#49828;&#53944;\&#49688;&#51204;&#50857;%20&#52992;&#51060;&#48660;%20&#53944;&#47112;&#51060;%20&#48143;%20&#52992;&#51060;&#48660;%20&#54252;&#49444;_&#52404;&#53356;&#47532;&#49828;&#53944;.html" TargetMode="External" Id="rId57"/><Relationship Type="http://schemas.openxmlformats.org/officeDocument/2006/relationships/hyperlink" Target="&#47588;&#45684;&#50620;BODY(&#51665;&#54665;&#45800;&#44228;-&#52392;&#48512;&#54260;&#45908;)v6\&#51204;&#44592;&#48516;&#50556;\20_&#49688;&#51204;%20&#48143;%20&#51204;&#44592;&#44277;&#44553;(&#44553;&#51204;)\&#54364;&#51456;&#49436;\&#49688;&#51204;%20&#48143;%20&#51204;&#44592;&#44277;&#44553;(&#44553;&#51204;)_&#54364;&#51456;&#49436;.html" TargetMode="External" Id="rId58"/><Relationship Type="http://schemas.openxmlformats.org/officeDocument/2006/relationships/hyperlink" Target="&#47588;&#45684;&#50620;BODY(&#51665;&#54665;&#45800;&#44228;-&#52392;&#48512;&#54260;&#45908;)v6\&#51204;&#44592;&#48516;&#50556;\20_&#49688;&#51204;%20&#48143;%20&#51204;&#44592;&#44277;&#44553;(&#44553;&#51204;)\&#49688;&#54665;&#51648;&#52840;\&#49688;&#51204;%20&#48143;%20&#51204;&#44592;&#44277;&#44553;(&#44553;&#51204;)_&#49688;&#54665;&#51648;&#52840;.html" TargetMode="External" Id="rId59"/><Relationship Type="http://schemas.openxmlformats.org/officeDocument/2006/relationships/hyperlink" Target="&#47588;&#45684;&#50620;BODY(&#51665;&#54665;&#45800;&#44228;-&#52392;&#48512;&#54260;&#45908;)v6\&#51204;&#44592;&#48516;&#50556;\20_&#49688;&#51204;%20&#48143;%20&#51204;&#44592;&#44277;&#44553;(&#44553;&#51204;)\&#52404;&#53356;&#47532;&#49828;&#53944;\&#49688;&#51204;%20&#48143;%20&#51204;&#44592;&#44277;&#44553;(&#44553;&#51204;)_&#52404;&#53356;&#47532;&#49828;&#53944;.html" TargetMode="External" Id="rId60"/><Relationship Type="http://schemas.openxmlformats.org/officeDocument/2006/relationships/hyperlink" Target="&#47588;&#45684;&#50620;BODY(&#51665;&#54665;&#45800;&#44228;-&#52392;&#48512;&#54260;&#45908;)v6\&#51204;&#44592;&#48516;&#50556;\21_&#51333;&#54633;&#50672;&#46041;&#49884;&#54744;(SCADA)%20&#49892;&#49884;\&#54364;&#51456;&#49436;\&#51333;&#54633;&#50672;&#46041;&#49884;&#54744;(SCADA)%20&#49892;&#49884;_&#54364;&#51456;&#49436;.html" TargetMode="External" Id="rId61"/><Relationship Type="http://schemas.openxmlformats.org/officeDocument/2006/relationships/hyperlink" Target="&#47588;&#45684;&#50620;BODY(&#51665;&#54665;&#45800;&#44228;-&#52392;&#48512;&#54260;&#45908;)v6\&#51204;&#44592;&#48516;&#50556;\21_&#51333;&#54633;&#50672;&#46041;&#49884;&#54744;(SCADA)%20&#49892;&#49884;\&#49688;&#54665;&#51648;&#52840;\&#51333;&#54633;&#50672;&#46041;&#49884;&#54744;(SCADA)%20&#49892;&#49884;_&#49688;&#54665;&#51648;&#52840;.html" TargetMode="External" Id="rId62"/><Relationship Type="http://schemas.openxmlformats.org/officeDocument/2006/relationships/hyperlink" Target="&#47588;&#45684;&#50620;BODY(&#51665;&#54665;&#45800;&#44228;-&#52392;&#48512;&#54260;&#45908;)v6\&#51204;&#44592;&#48516;&#50556;\21_&#51333;&#54633;&#50672;&#46041;&#49884;&#54744;(SCADA)%20&#49892;&#49884;\&#52404;&#53356;&#47532;&#49828;&#53944;\&#51333;&#54633;&#50672;&#46041;&#49884;&#54744;(SCADA)%20&#49892;&#49884;_&#52404;&#53356;&#47532;&#49828;&#53944;.html" TargetMode="External" Id="rId63"/><Relationship Type="http://schemas.openxmlformats.org/officeDocument/2006/relationships/hyperlink" Target="&#47588;&#45684;&#50620;BODY(&#51665;&#54665;&#45800;&#44228;-&#52392;&#48512;&#54260;&#45908;)v6\&#51204;&#44592;&#48516;&#50556;\22_&#44277;&#51333;&#48324;%20&#49884;&#54744;\&#54364;&#51456;&#49436;\&#44277;&#51333;&#48324;%20&#49884;&#54744;_&#54364;&#51456;&#49436;.html" TargetMode="External" Id="rId64"/><Relationship Type="http://schemas.openxmlformats.org/officeDocument/2006/relationships/hyperlink" Target="&#47588;&#45684;&#50620;BODY(&#51665;&#54665;&#45800;&#44228;-&#52392;&#48512;&#54260;&#45908;)v6\&#51204;&#44592;&#48516;&#50556;\22_&#44277;&#51333;&#48324;%20&#49884;&#54744;\&#49688;&#54665;&#51648;&#52840;\&#44277;&#51333;&#48324;%20&#49884;&#54744;_&#49688;&#54665;&#51648;&#52840;.html" TargetMode="External" Id="rId65"/><Relationship Type="http://schemas.openxmlformats.org/officeDocument/2006/relationships/hyperlink" Target="&#47588;&#45684;&#50620;BODY(&#51665;&#54665;&#45800;&#44228;-&#52392;&#48512;&#54260;&#45908;)v6\&#51204;&#44592;&#48516;&#50556;\22_&#44277;&#51333;&#48324;%20&#49884;&#54744;\&#52404;&#53356;&#47532;&#49828;&#53944;\&#44277;&#51333;&#48324;%20&#49884;&#54744;_&#52404;&#53356;&#47532;&#49828;&#53944;.html" TargetMode="External" Id="rId66"/><Relationship Type="http://schemas.openxmlformats.org/officeDocument/2006/relationships/hyperlink" Target="&#47588;&#45684;&#50620;BODY(&#51665;&#54665;&#45800;&#44228;-&#52392;&#48512;&#54260;&#45908;)v6\&#51204;&#44592;&#48516;&#50556;\23_&#52264;&#47049;%20&#53804;&#51077;%20&#51204;%20&#51216;&#44160;\&#54364;&#51456;&#49436;\&#52264;&#47049;%20&#53804;&#51077;%20&#51204;%20&#51216;&#44160;_&#54364;&#51456;&#49436;.html" TargetMode="External" Id="rId67"/><Relationship Type="http://schemas.openxmlformats.org/officeDocument/2006/relationships/hyperlink" Target="&#47588;&#45684;&#50620;BODY(&#51665;&#54665;&#45800;&#44228;-&#52392;&#48512;&#54260;&#45908;)v6\&#51204;&#44592;&#48516;&#50556;\23_&#52264;&#47049;%20&#53804;&#51077;%20&#51204;%20&#51216;&#44160;\&#49688;&#54665;&#51648;&#52840;\&#52264;&#47049;%20&#53804;&#51077;%20&#51204;%20&#51216;&#44160;_&#49688;&#54665;&#51648;&#52840;.html" TargetMode="External" Id="rId68"/><Relationship Type="http://schemas.openxmlformats.org/officeDocument/2006/relationships/hyperlink" Target="&#47588;&#45684;&#50620;BODY(&#51665;&#54665;&#45800;&#44228;-&#52392;&#48512;&#54260;&#45908;)v6\&#51204;&#44592;&#48516;&#50556;\23_&#52264;&#47049;%20&#53804;&#51077;%20&#51204;%20&#51216;&#44160;\&#52404;&#53356;&#47532;&#49828;&#53944;\&#52264;&#47049;%20&#53804;&#51077;%20&#51204;%20&#51216;&#44160;_&#52404;&#53356;&#47532;&#49828;&#53944;.html" TargetMode="External" Id="rId69"/><Relationship Type="http://schemas.openxmlformats.org/officeDocument/2006/relationships/hyperlink" Target="&#47588;&#45684;&#50620;BODY(&#51665;&#54665;&#45800;&#44228;-&#52392;&#48512;&#54260;&#45908;)v6\&#51204;&#44592;&#48516;&#50556;\24_&#52264;&#47049;%20&#49884;&#50868;&#51204;\&#54364;&#51456;&#49436;\&#52264;&#47049;%20&#49884;&#50868;&#51204;_&#54364;&#51456;&#49436;.html" TargetMode="External" Id="rId70"/><Relationship Type="http://schemas.openxmlformats.org/officeDocument/2006/relationships/hyperlink" Target="&#47588;&#45684;&#50620;BODY(&#51665;&#54665;&#45800;&#44228;-&#52392;&#48512;&#54260;&#45908;)v6\&#51204;&#44592;&#48516;&#50556;\24_&#52264;&#47049;%20&#49884;&#50868;&#51204;\&#49688;&#54665;&#51648;&#52840;\&#52264;&#47049;%20&#49884;&#50868;&#51204;_&#49688;&#54665;&#51648;&#52840;.html" TargetMode="External" Id="rId71"/><Relationship Type="http://schemas.openxmlformats.org/officeDocument/2006/relationships/hyperlink" Target="&#47588;&#45684;&#50620;BODY(&#51665;&#54665;&#45800;&#44228;-&#52392;&#48512;&#54260;&#45908;)v6\&#51204;&#44592;&#48516;&#50556;\24_&#52264;&#47049;%20&#49884;&#50868;&#51204;\&#52404;&#53356;&#47532;&#49828;&#53944;\&#52264;&#47049;%20&#49884;&#50868;&#51204;_&#52404;&#53356;&#47532;&#49828;&#53944;.html" TargetMode="External" Id="rId72"/><Relationship Type="http://schemas.openxmlformats.org/officeDocument/2006/relationships/hyperlink" Target="&#47588;&#45684;&#50620;BODY(&#51665;&#54665;&#45800;&#44228;-&#52392;&#48512;&#54260;&#45908;)v6\&#51204;&#44592;&#48516;&#50556;\25_&#50868;&#50689;&#51088;%20&#44368;&#50977;&#49884;&#54665;\&#54364;&#51456;&#49436;\&#50868;&#50689;&#51088;%20&#44368;&#50977;&#49884;&#54665;_&#54364;&#51456;&#49436;.html" TargetMode="External" Id="rId73"/><Relationship Type="http://schemas.openxmlformats.org/officeDocument/2006/relationships/hyperlink" Target="&#47588;&#45684;&#50620;BODY(&#51665;&#54665;&#45800;&#44228;-&#52392;&#48512;&#54260;&#45908;)v6\&#51204;&#44592;&#48516;&#50556;\25_&#50868;&#50689;&#51088;%20&#44368;&#50977;&#49884;&#54665;\&#49688;&#54665;&#51648;&#52840;\&#50868;&#50689;&#51088;%20&#44368;&#50977;&#49884;&#54665;_&#49688;&#54665;&#51648;&#52840;.html" TargetMode="External" Id="rId74"/><Relationship Type="http://schemas.openxmlformats.org/officeDocument/2006/relationships/hyperlink" Target="&#47588;&#45684;&#50620;BODY(&#51665;&#54665;&#45800;&#44228;-&#52392;&#48512;&#54260;&#45908;)v6\&#51204;&#44592;&#48516;&#50556;\25_&#50868;&#50689;&#51088;%20&#44368;&#50977;&#49884;&#54665;\&#52404;&#53356;&#47532;&#49828;&#53944;\&#50868;&#50689;&#51088;%20&#44368;&#50977;&#49884;&#54665;_&#52404;&#53356;&#47532;&#49828;&#53944;.html" TargetMode="External" Id="rId75"/><Relationship Type="http://schemas.openxmlformats.org/officeDocument/2006/relationships/hyperlink" Target="&#47588;&#45684;&#50620;BODY(&#51665;&#54665;&#45800;&#44228;-&#52392;&#48512;&#54260;&#45908;)v6\&#51204;&#44592;&#48516;&#50556;\26_&#49324;&#51204;&#51216;&#44160;\&#54364;&#51456;&#49436;\&#49324;&#51204;&#51216;&#44160;_&#54364;&#51456;&#49436;.html" TargetMode="External" Id="rId76"/><Relationship Type="http://schemas.openxmlformats.org/officeDocument/2006/relationships/hyperlink" Target="&#47588;&#45684;&#50620;BODY(&#51665;&#54665;&#45800;&#44228;-&#52392;&#48512;&#54260;&#45908;)v6\&#51204;&#44592;&#48516;&#50556;\26_&#49324;&#51204;&#51216;&#44160;\&#49688;&#54665;&#51648;&#52840;\&#49324;&#51204;&#51216;&#44160;_&#49688;&#54665;&#51648;&#52840;.html" TargetMode="External" Id="rId77"/><Relationship Type="http://schemas.openxmlformats.org/officeDocument/2006/relationships/hyperlink" Target="&#47588;&#45684;&#50620;BODY(&#51665;&#54665;&#45800;&#44228;-&#52392;&#48512;&#54260;&#45908;)v6\&#51204;&#44592;&#48516;&#50556;\26_&#49324;&#51204;&#51216;&#44160;\&#52404;&#53356;&#47532;&#49828;&#53944;\&#49324;&#51204;&#51216;&#44160;_&#52404;&#53356;&#47532;&#49828;&#53944;.html" TargetMode="External" Id="rId78"/><Relationship Type="http://schemas.openxmlformats.org/officeDocument/2006/relationships/hyperlink" Target="&#47588;&#45684;&#50620;BODY(&#51665;&#54665;&#45800;&#44228;-&#52392;&#48512;&#54260;&#45908;)v6\&#51204;&#44592;&#48516;&#50556;\27_&#49884;&#49444;&#47932;%20&#44160;&#51613;&#49884;&#54744;\&#54364;&#51456;&#49436;\&#49884;&#49444;&#47932;%20&#44160;&#51613;&#49884;&#54744;_&#54364;&#51456;&#49436;.html" TargetMode="External" Id="rId79"/><Relationship Type="http://schemas.openxmlformats.org/officeDocument/2006/relationships/hyperlink" Target="&#47588;&#45684;&#50620;BODY(&#51665;&#54665;&#45800;&#44228;-&#52392;&#48512;&#54260;&#45908;)v6\&#51204;&#44592;&#48516;&#50556;\27_&#49884;&#49444;&#47932;%20&#44160;&#51613;&#49884;&#54744;\&#49688;&#54665;&#51648;&#52840;\&#49884;&#49444;&#47932;%20&#44160;&#51613;&#49884;&#54744;_&#49688;&#54665;&#51648;&#52840;.html" TargetMode="External" Id="rId80"/><Relationship Type="http://schemas.openxmlformats.org/officeDocument/2006/relationships/hyperlink" Target="&#47588;&#45684;&#50620;BODY(&#51665;&#54665;&#45800;&#44228;-&#52392;&#48512;&#54260;&#45908;)v6\&#51204;&#44592;&#48516;&#50556;\27_&#49884;&#49444;&#47932;%20&#44160;&#51613;&#49884;&#54744;\&#52404;&#53356;&#47532;&#49828;&#53944;\&#49884;&#49444;&#47932;%20&#44160;&#51613;&#49884;&#54744;_&#52404;&#53356;&#47532;&#49828;&#53944;.html" TargetMode="External" Id="rId81"/><Relationship Type="http://schemas.openxmlformats.org/officeDocument/2006/relationships/hyperlink" Target="&#47588;&#45684;&#50620;BODY(&#51665;&#54665;&#45800;&#44228;-&#52392;&#48512;&#54260;&#45908;)v6\&#51204;&#44592;&#48516;&#50556;\28_&#50689;&#50629;&#49884;&#50868;&#51204;\&#54364;&#51456;&#49436;\&#50689;&#50629;&#49884;&#50868;&#51204;_&#54364;&#51456;&#49436;.html" TargetMode="External" Id="rId82"/><Relationship Type="http://schemas.openxmlformats.org/officeDocument/2006/relationships/hyperlink" Target="&#47588;&#45684;&#50620;BODY(&#51665;&#54665;&#45800;&#44228;-&#52392;&#48512;&#54260;&#45908;)v6\&#51204;&#44592;&#48516;&#50556;\28_&#50689;&#50629;&#49884;&#50868;&#51204;\&#49688;&#54665;&#51648;&#52840;\&#50689;&#50629;&#49884;&#50868;&#51204;_&#49688;&#54665;&#51648;&#52840;.html" TargetMode="External" Id="rId83"/><Relationship Type="http://schemas.openxmlformats.org/officeDocument/2006/relationships/hyperlink" Target="&#47588;&#45684;&#50620;BODY(&#51665;&#54665;&#45800;&#44228;-&#52392;&#48512;&#54260;&#45908;)v6\&#51204;&#44592;&#48516;&#50556;\28_&#50689;&#50629;&#49884;&#50868;&#51204;\&#52404;&#53356;&#47532;&#49828;&#53944;\&#50689;&#50629;&#49884;&#50868;&#51204;_&#52404;&#53356;&#47532;&#49828;&#53944;.html" TargetMode="External" Id="rId84"/><Relationship Type="http://schemas.openxmlformats.org/officeDocument/2006/relationships/hyperlink" Target="&#47588;&#45684;&#50620;BODY(&#51665;&#54665;&#45800;&#44228;-&#52392;&#48512;&#54260;&#45908;)v6\&#51204;&#44592;&#48516;&#50556;\29_&#51204;&#44592;%20&#49324;&#50857;&#49888;&#52397;\&#54364;&#51456;&#49436;\&#51204;&#44592;%20&#49324;&#50857;&#49888;&#52397;_&#54364;&#51456;&#49436;.html" TargetMode="External" Id="rId85"/><Relationship Type="http://schemas.openxmlformats.org/officeDocument/2006/relationships/hyperlink" Target="&#47588;&#45684;&#50620;BODY(&#51665;&#54665;&#45800;&#44228;-&#52392;&#48512;&#54260;&#45908;)v6\&#51204;&#44592;&#48516;&#50556;\29_&#51204;&#44592;%20&#49324;&#50857;&#49888;&#52397;\&#49688;&#54665;&#51648;&#52840;\&#51204;&#44592;%20&#49324;&#50857;&#49888;&#52397;_&#49688;&#54665;&#51648;&#52840;.html" TargetMode="External" Id="rId86"/><Relationship Type="http://schemas.openxmlformats.org/officeDocument/2006/relationships/hyperlink" Target="&#47588;&#45684;&#50620;BODY(&#51665;&#54665;&#45800;&#44228;-&#52392;&#48512;&#54260;&#45908;)v6\&#51204;&#44592;&#48516;&#50556;\29_&#51204;&#44592;%20&#49324;&#50857;&#49888;&#52397;\&#52404;&#53356;&#47532;&#49828;&#53944;\&#51204;&#44592;%20&#49324;&#50857;&#49888;&#52397;_&#52404;&#53356;&#47532;&#49828;&#53944;.html" TargetMode="External" Id="rId87"/><Relationship Type="http://schemas.openxmlformats.org/officeDocument/2006/relationships/hyperlink" Target="&#47588;&#45684;&#50620;BODY(&#51665;&#54665;&#45800;&#44228;-&#52392;&#48512;&#54260;&#45908;)v6\&#51204;&#44592;&#48516;&#50556;\30_&#44277;&#49324;&#44228;&#54925;&#49888;&#44256;\&#54364;&#51456;&#49436;\&#44277;&#49324;&#44228;&#54925;&#49888;&#44256;_&#54364;&#51456;&#49436;.html" TargetMode="External" Id="rId88"/><Relationship Type="http://schemas.openxmlformats.org/officeDocument/2006/relationships/hyperlink" Target="&#47588;&#45684;&#50620;BODY(&#51665;&#54665;&#45800;&#44228;-&#52392;&#48512;&#54260;&#45908;)v6\&#51204;&#44592;&#48516;&#50556;\30_&#44277;&#49324;&#44228;&#54925;&#49888;&#44256;\&#49688;&#54665;&#51648;&#52840;\&#44277;&#49324;&#44228;&#54925;&#49888;&#44256;_&#49688;&#54665;&#51648;&#52840;.html" TargetMode="External" Id="rId89"/><Relationship Type="http://schemas.openxmlformats.org/officeDocument/2006/relationships/hyperlink" Target="&#47588;&#45684;&#50620;BODY(&#51665;&#54665;&#45800;&#44228;-&#52392;&#48512;&#54260;&#45908;)v6\&#51204;&#44592;&#48516;&#50556;\30_&#44277;&#49324;&#44228;&#54925;&#49888;&#44256;\&#52404;&#53356;&#47532;&#49828;&#53944;\&#44277;&#49324;&#44228;&#54925;&#49888;&#44256;_&#52404;&#53356;&#47532;&#49828;&#53944;.html" TargetMode="External" Id="rId90"/><Relationship Type="http://schemas.openxmlformats.org/officeDocument/2006/relationships/hyperlink" Target="&#47588;&#45684;&#50620;BODY(&#51665;&#54665;&#45800;&#44228;-&#52392;&#48512;&#54260;&#45908;)v6\&#51204;&#44592;&#48516;&#50556;\31_&#51204;&#52264;&#49440;&#47196;%20&#51201;&#54633;&#49457;%20&#44160;&#51613;\&#54364;&#51456;&#49436;\&#51204;&#52264;&#49440;&#47196;%20&#51201;&#54633;&#49457;%20&#44160;&#51613;_&#54364;&#51456;&#49436;.html" TargetMode="External" Id="rId91"/><Relationship Type="http://schemas.openxmlformats.org/officeDocument/2006/relationships/hyperlink" Target="&#47588;&#45684;&#50620;BODY(&#51665;&#54665;&#45800;&#44228;-&#52392;&#48512;&#54260;&#45908;)v6\&#51204;&#44592;&#48516;&#50556;\31_&#51204;&#52264;&#49440;&#47196;%20&#51201;&#54633;&#49457;%20&#44160;&#51613;\&#49688;&#54665;&#51648;&#52840;\&#51204;&#52264;&#49440;&#47196;%20&#51201;&#54633;&#49457;%20&#44160;&#51613;_&#49688;&#54665;&#51648;&#52840;.html" TargetMode="External" Id="rId92"/><Relationship Type="http://schemas.openxmlformats.org/officeDocument/2006/relationships/hyperlink" Target="&#47588;&#45684;&#50620;BODY(&#51665;&#54665;&#45800;&#44228;-&#52392;&#48512;&#54260;&#45908;)v6\&#51204;&#44592;&#48516;&#50556;\31_&#51204;&#52264;&#49440;&#47196;%20&#51201;&#54633;&#49457;%20&#44160;&#51613;\&#52404;&#53356;&#47532;&#49828;&#53944;\&#51204;&#52264;&#49440;&#47196;%20&#51201;&#54633;&#49457;%20&#44160;&#51613;_&#52404;&#53356;&#47532;&#49828;&#53944;.html" TargetMode="External" Id="rId93"/><Relationship Type="http://schemas.openxmlformats.org/officeDocument/2006/relationships/hyperlink" Target="&#47588;&#45684;&#50620;BODY(&#51665;&#54665;&#45800;&#44228;-&#52392;&#48512;&#54260;&#45908;)v6\&#51204;&#44592;&#48516;&#50556;\32_&#51204;&#44592;%20&#49324;&#50857;&#51204;&#44160;&#49324;%20(&#51204;&#47141;_&#51204;&#52264;&#49440;_&#49569;&#48320;&#51204;)\&#54364;&#51456;&#49436;\&#51204;&#44592;%20&#49324;&#50857;&#51204;&#44160;&#49324;%20(&#51204;&#47141;_&#51204;&#52264;&#49440;_&#49569;&#48320;&#51204;)_&#54364;&#51456;&#49436;.html" TargetMode="External" Id="rId94"/><Relationship Type="http://schemas.openxmlformats.org/officeDocument/2006/relationships/hyperlink" Target="&#47588;&#45684;&#50620;BODY(&#51665;&#54665;&#45800;&#44228;-&#52392;&#48512;&#54260;&#45908;)v6\&#51204;&#44592;&#48516;&#50556;\32_&#51204;&#44592;%20&#49324;&#50857;&#51204;&#44160;&#49324;%20(&#51204;&#47141;_&#51204;&#52264;&#49440;_&#49569;&#48320;&#51204;)\&#49688;&#54665;&#51648;&#52840;\&#51204;&#44592;%20&#49324;&#50857;&#51204;&#44160;&#49324;%20(&#51204;&#47141;_&#51204;&#52264;&#49440;_&#49569;&#48320;&#51204;)_&#49688;&#54665;&#51648;&#52840;.html" TargetMode="External" Id="rId95"/><Relationship Type="http://schemas.openxmlformats.org/officeDocument/2006/relationships/hyperlink" Target="&#47588;&#45684;&#50620;BODY(&#51665;&#54665;&#45800;&#44228;-&#52392;&#48512;&#54260;&#45908;)v6\&#51204;&#44592;&#48516;&#50556;\32_&#51204;&#44592;%20&#49324;&#50857;&#51204;&#44160;&#49324;%20(&#51204;&#47141;_&#51204;&#52264;&#49440;_&#49569;&#48320;&#51204;)\&#52404;&#53356;&#47532;&#49828;&#53944;\&#51204;&#44592;%20&#49324;&#50857;&#51204;&#44160;&#49324;%20(&#51204;&#47141;_&#51204;&#52264;&#49440;_&#49569;&#48320;&#51204;)_&#52404;&#53356;&#47532;&#49828;&#53944;.html" TargetMode="External" Id="rId96"/></Relationships>
</file>

<file path=xl/worksheets/sheet1.xml><?xml version="1.0" encoding="utf-8"?>
<worksheet xmlns="http://schemas.openxmlformats.org/spreadsheetml/2006/main">
  <sheetPr>
    <outlinePr summaryBelow="1" summaryRight="1"/>
    <pageSetUpPr/>
  </sheetPr>
  <dimension ref="B2:M36"/>
  <sheetViews>
    <sheetView showGridLines="1" workbookViewId="0">
      <selection activeCell="A1" sqref="A1"/>
    </sheetView>
  </sheetViews>
  <sheetFormatPr baseColWidth="8" defaultRowHeight="15"/>
  <cols>
    <col width="4" customWidth="1" min="1" max="1"/>
    <col width="10" customWidth="1" min="2" max="2"/>
    <col width="14" customWidth="1" min="3" max="3"/>
    <col width="22" customWidth="1" min="4" max="4"/>
    <col width="14" customWidth="1" min="5" max="5"/>
    <col width="16" customWidth="1" min="6" max="6"/>
    <col width="16" customWidth="1" min="7" max="7"/>
    <col width="16" customWidth="1" min="8" max="8"/>
    <col width="16" customWidth="1" min="9" max="9"/>
    <col width="16" customWidth="1" min="10" max="10"/>
    <col width="14" customWidth="1" min="11" max="11"/>
    <col width="22" customWidth="1" min="12" max="12"/>
    <col width="4" customWidth="1" min="13" max="13"/>
  </cols>
  <sheetData>
    <row r="2" ht="42" customHeight="1">
      <c r="B2" s="100" t="inlineStr">
        <is>
          <t>동탄트램 집행단계 실무 매뉴얼 &amp; 지식 DB 작성 현황 대시보드</t>
        </is>
      </c>
      <c r="C2" s="123" t="n"/>
      <c r="D2" s="123" t="n"/>
      <c r="E2" s="123" t="n"/>
      <c r="F2" s="123" t="n"/>
      <c r="G2" s="123" t="n"/>
      <c r="H2" s="123" t="n"/>
      <c r="I2" s="123" t="n"/>
      <c r="J2" s="123" t="n"/>
      <c r="K2" s="123" t="n"/>
      <c r="L2" s="123" t="n"/>
      <c r="M2" s="124" t="n"/>
    </row>
    <row r="4">
      <c r="B4" s="102" t="inlineStr">
        <is>
          <t>❚ [집행단계 v6] 8대 공종(토목·궤도·건축·신호·통신·전기) 263개 작업단위별 작성 및 DB 연동 현황</t>
        </is>
      </c>
    </row>
    <row r="6" ht="22" customHeight="1">
      <c r="B6" s="122" t="inlineStr">
        <is>
          <t>전체 액티비티</t>
        </is>
      </c>
      <c r="C6" s="124" t="n"/>
      <c r="D6" s="122" t="inlineStr">
        <is>
          <t>표준서 작성</t>
        </is>
      </c>
      <c r="E6" s="124" t="n"/>
      <c r="F6" s="122" t="inlineStr">
        <is>
          <t>수행지침 작성</t>
        </is>
      </c>
      <c r="G6" s="124" t="n"/>
      <c r="H6" s="122" t="inlineStr">
        <is>
          <t>체크리스트 작성</t>
        </is>
      </c>
      <c r="I6" s="124" t="n"/>
      <c r="J6" s="122" t="inlineStr">
        <is>
          <t>상세절차서(HTML) 연동</t>
        </is>
      </c>
      <c r="K6" s="124" t="n"/>
      <c r="L6" s="122" t="inlineStr">
        <is>
          <t>현장 리스크 DB</t>
        </is>
      </c>
      <c r="M6" s="124" t="n"/>
    </row>
    <row r="7" ht="28" customHeight="1">
      <c r="B7" s="105">
        <f>E21&amp;" 개"</f>
        <v/>
      </c>
      <c r="C7" s="124" t="n"/>
      <c r="D7" s="105">
        <f>F21&amp;" 개 (100%)"</f>
        <v/>
      </c>
      <c r="E7" s="124" t="n"/>
      <c r="F7" s="105">
        <f>G21&amp;" 개 (100%)"</f>
        <v/>
      </c>
      <c r="G7" s="124" t="n"/>
      <c r="H7" s="105">
        <f>H21&amp;" 개 (100%)"</f>
        <v/>
      </c>
      <c r="I7" s="124" t="n"/>
      <c r="J7" s="105">
        <f>I21&amp;" 개 (100%)"</f>
        <v/>
      </c>
      <c r="K7" s="124" t="n"/>
      <c r="L7" s="105">
        <f>J21&amp;" 개 (87.8%)"</f>
        <v/>
      </c>
      <c r="M7" s="124" t="n"/>
    </row>
    <row r="10">
      <c r="B10" s="106" t="inlineStr">
        <is>
          <t>❚ 1. 공종별 매뉴얼 및 리스크 DB 작성 현황</t>
        </is>
      </c>
    </row>
    <row r="12" ht="28" customHeight="1">
      <c r="B12" s="107" t="inlineStr">
        <is>
          <t>순번</t>
        </is>
      </c>
      <c r="C12" s="107" t="inlineStr">
        <is>
          <t>구분</t>
        </is>
      </c>
      <c r="D12" s="107" t="inlineStr">
        <is>
          <t>대공종</t>
        </is>
      </c>
      <c r="E12" s="107" t="inlineStr">
        <is>
          <t>작업수 (L4)</t>
        </is>
      </c>
      <c r="F12" s="107" t="inlineStr">
        <is>
          <t>표준서</t>
        </is>
      </c>
      <c r="G12" s="107" t="inlineStr">
        <is>
          <t>수행지침</t>
        </is>
      </c>
      <c r="H12" s="107" t="inlineStr">
        <is>
          <t>체크리스트</t>
        </is>
      </c>
      <c r="I12" s="107" t="inlineStr">
        <is>
          <t>HTML 연동</t>
        </is>
      </c>
      <c r="J12" s="107" t="inlineStr">
        <is>
          <t>리스크 DB</t>
        </is>
      </c>
      <c r="K12" s="107" t="inlineStr">
        <is>
          <t>달성률</t>
        </is>
      </c>
      <c r="L12" s="107" t="inlineStr">
        <is>
          <t>진행 상태</t>
        </is>
      </c>
    </row>
    <row r="13" ht="24" customHeight="1">
      <c r="B13" s="108" t="n">
        <v>1</v>
      </c>
      <c r="C13" s="108" t="inlineStr">
        <is>
          <t>토목공사</t>
        </is>
      </c>
      <c r="D13" s="109" t="inlineStr">
        <is>
          <t>사전토공사</t>
        </is>
      </c>
      <c r="E13" s="108">
        <f>COUNTA('사전토공사'!F2:F31)</f>
        <v/>
      </c>
      <c r="F13" s="108">
        <f>COUNTA('사전토공사'!K2:K31)</f>
        <v/>
      </c>
      <c r="G13" s="108">
        <f>COUNTA('사전토공사'!M2:M31)</f>
        <v/>
      </c>
      <c r="H13" s="108">
        <f>COUNTA('사전토공사'!O2:O31)</f>
        <v/>
      </c>
      <c r="I13" s="108">
        <f>COUNTA('사전토공사'!F2:F31)</f>
        <v/>
      </c>
      <c r="J13" s="108">
        <f>COUNTA('사전토공사'!S2:S31)</f>
        <v/>
      </c>
      <c r="K13" s="110">
        <f>IF(E13&gt;0, F13/E13, 1)</f>
        <v/>
      </c>
      <c r="L13" s="108" t="inlineStr">
        <is>
          <t>작성 완료</t>
        </is>
      </c>
    </row>
    <row r="14" ht="24" customHeight="1">
      <c r="B14" s="111" t="n">
        <v>2</v>
      </c>
      <c r="C14" s="111" t="inlineStr">
        <is>
          <t>토목공사</t>
        </is>
      </c>
      <c r="D14" s="112" t="inlineStr">
        <is>
          <t>지장물이설</t>
        </is>
      </c>
      <c r="E14" s="111">
        <f>COUNTA('지장물이설'!F2:F39)</f>
        <v/>
      </c>
      <c r="F14" s="111">
        <f>COUNTA('지장물이설'!K2:K39)</f>
        <v/>
      </c>
      <c r="G14" s="111">
        <f>COUNTA('지장물이설'!M2:M39)</f>
        <v/>
      </c>
      <c r="H14" s="111">
        <f>COUNTA('지장물이설'!O2:O39)</f>
        <v/>
      </c>
      <c r="I14" s="111">
        <f>COUNTA('지장물이설'!F2:F39)</f>
        <v/>
      </c>
      <c r="J14" s="111">
        <f>COUNTA('지장물이설'!S2:S39)</f>
        <v/>
      </c>
      <c r="K14" s="113">
        <f>IF(E14&gt;0, F14/E14, 1)</f>
        <v/>
      </c>
      <c r="L14" s="111" t="inlineStr">
        <is>
          <t>작성 완료</t>
        </is>
      </c>
    </row>
    <row r="15" ht="24" customHeight="1">
      <c r="B15" s="108" t="n">
        <v>3</v>
      </c>
      <c r="C15" s="108" t="inlineStr">
        <is>
          <t>토목공사</t>
        </is>
      </c>
      <c r="D15" s="109" t="inlineStr">
        <is>
          <t>상부강화노반</t>
        </is>
      </c>
      <c r="E15" s="108">
        <f>COUNTA('상부강화노반'!F2:F37)</f>
        <v/>
      </c>
      <c r="F15" s="108">
        <f>COUNTA('상부강화노반'!K2:K37)</f>
        <v/>
      </c>
      <c r="G15" s="108">
        <f>COUNTA('상부강화노반'!M2:M37)</f>
        <v/>
      </c>
      <c r="H15" s="108">
        <f>COUNTA('상부강화노반'!O2:O37)</f>
        <v/>
      </c>
      <c r="I15" s="108">
        <f>COUNTA('상부강화노반'!F2:F37)</f>
        <v/>
      </c>
      <c r="J15" s="108">
        <f>COUNTA('상부강화노반'!S2:S37)</f>
        <v/>
      </c>
      <c r="K15" s="110">
        <f>IF(E15&gt;0, F15/E15, 1)</f>
        <v/>
      </c>
      <c r="L15" s="108" t="inlineStr">
        <is>
          <t>작성 완료</t>
        </is>
      </c>
    </row>
    <row r="16" ht="24" customHeight="1">
      <c r="B16" s="111" t="n">
        <v>4</v>
      </c>
      <c r="C16" s="111" t="inlineStr">
        <is>
          <t>궤도공사</t>
        </is>
      </c>
      <c r="D16" s="112" t="inlineStr">
        <is>
          <t>콘크리트도상</t>
        </is>
      </c>
      <c r="E16" s="111">
        <f>COUNTA('콘크리트도상'!F2:F24)</f>
        <v/>
      </c>
      <c r="F16" s="111">
        <f>COUNTA('콘크리트도상'!K2:K24)</f>
        <v/>
      </c>
      <c r="G16" s="111">
        <f>COUNTA('콘크리트도상'!M2:M24)</f>
        <v/>
      </c>
      <c r="H16" s="111">
        <f>COUNTA('콘크리트도상'!O2:O24)</f>
        <v/>
      </c>
      <c r="I16" s="111">
        <f>COUNTA('콘크리트도상'!F2:F24)</f>
        <v/>
      </c>
      <c r="J16" s="111">
        <f>COUNTA('콘크리트도상'!S2:S24)</f>
        <v/>
      </c>
      <c r="K16" s="113">
        <f>IF(E16&gt;0, F16/E16, 1)</f>
        <v/>
      </c>
      <c r="L16" s="111" t="inlineStr">
        <is>
          <t>작성 완료</t>
        </is>
      </c>
    </row>
    <row r="17" ht="24" customHeight="1">
      <c r="B17" s="108" t="n">
        <v>5</v>
      </c>
      <c r="C17" s="108" t="inlineStr">
        <is>
          <t>건축공사</t>
        </is>
      </c>
      <c r="D17" s="109" t="inlineStr">
        <is>
          <t>건축</t>
        </is>
      </c>
      <c r="E17" s="108">
        <f>COUNTA('건축'!E2:E51)</f>
        <v/>
      </c>
      <c r="F17" s="108">
        <f>COUNTA('건축'!J2:J51)</f>
        <v/>
      </c>
      <c r="G17" s="108">
        <f>COUNTA('건축'!L2:L51)</f>
        <v/>
      </c>
      <c r="H17" s="108">
        <f>COUNTA('건축'!N2:N51)</f>
        <v/>
      </c>
      <c r="I17" s="108">
        <f>COUNTA('건축'!E2:E51)</f>
        <v/>
      </c>
      <c r="J17" s="108">
        <f>COUNTA('건축'!R2:R51)</f>
        <v/>
      </c>
      <c r="K17" s="110">
        <f>IF(E17&gt;0, F17/E17, 1)</f>
        <v/>
      </c>
      <c r="L17" s="108" t="inlineStr">
        <is>
          <t>작성 완료</t>
        </is>
      </c>
    </row>
    <row r="18" ht="24" customHeight="1">
      <c r="B18" s="111" t="n">
        <v>6</v>
      </c>
      <c r="C18" s="111" t="inlineStr">
        <is>
          <t>시스템공사</t>
        </is>
      </c>
      <c r="D18" s="112" t="inlineStr">
        <is>
          <t>신호</t>
        </is>
      </c>
      <c r="E18" s="111">
        <f>COUNTA('신호'!E2:E23)</f>
        <v/>
      </c>
      <c r="F18" s="111">
        <f>COUNTA('신호'!J2:J23)</f>
        <v/>
      </c>
      <c r="G18" s="111">
        <f>COUNTA('신호'!L2:L23)</f>
        <v/>
      </c>
      <c r="H18" s="111">
        <f>COUNTA('신호'!N2:N23)</f>
        <v/>
      </c>
      <c r="I18" s="111">
        <f>COUNTA('신호'!E2:E23)</f>
        <v/>
      </c>
      <c r="J18" s="111">
        <f>COUNTA('신호'!R2:R23)</f>
        <v/>
      </c>
      <c r="K18" s="113">
        <f>IF(E18&gt;0, F18/E18, 1)</f>
        <v/>
      </c>
      <c r="L18" s="111" t="inlineStr">
        <is>
          <t>작성 완료</t>
        </is>
      </c>
    </row>
    <row r="19" ht="24" customHeight="1">
      <c r="B19" s="108" t="n">
        <v>7</v>
      </c>
      <c r="C19" s="108" t="inlineStr">
        <is>
          <t>시스템공사</t>
        </is>
      </c>
      <c r="D19" s="109" t="inlineStr">
        <is>
          <t>통신</t>
        </is>
      </c>
      <c r="E19" s="108">
        <f>COUNTA('통신'!E2:E33)</f>
        <v/>
      </c>
      <c r="F19" s="108">
        <f>COUNTA('통신'!J2:J33)</f>
        <v/>
      </c>
      <c r="G19" s="108">
        <f>COUNTA('통신'!L2:L33)</f>
        <v/>
      </c>
      <c r="H19" s="108">
        <f>COUNTA('통신'!N2:N33)</f>
        <v/>
      </c>
      <c r="I19" s="108">
        <f>COUNTA('통신'!E2:E33)</f>
        <v/>
      </c>
      <c r="J19" s="108">
        <f>COUNTA('통신'!R2:R33)</f>
        <v/>
      </c>
      <c r="K19" s="110">
        <f>IF(E19&gt;0, F19/E19, 1)</f>
        <v/>
      </c>
      <c r="L19" s="108" t="inlineStr">
        <is>
          <t>작성 완료</t>
        </is>
      </c>
    </row>
    <row r="20" ht="24" customHeight="1">
      <c r="B20" s="111" t="n">
        <v>8</v>
      </c>
      <c r="C20" s="111" t="inlineStr">
        <is>
          <t>시스템공사</t>
        </is>
      </c>
      <c r="D20" s="112" t="inlineStr">
        <is>
          <t>전기</t>
        </is>
      </c>
      <c r="E20" s="111">
        <f>COUNTA('전기'!E2:E33)</f>
        <v/>
      </c>
      <c r="F20" s="111">
        <f>COUNTA('전기'!J2:J33)</f>
        <v/>
      </c>
      <c r="G20" s="111">
        <f>COUNTA('전기'!L2:L33)</f>
        <v/>
      </c>
      <c r="H20" s="111">
        <f>COUNTA('전기'!N2:N33)</f>
        <v/>
      </c>
      <c r="I20" s="111">
        <f>COUNTA('전기'!E2:E33)</f>
        <v/>
      </c>
      <c r="J20" s="111">
        <f>COUNTA('전기'!R2:R33)</f>
        <v/>
      </c>
      <c r="K20" s="113">
        <f>IF(E20&gt;0, F20/E20, 1)</f>
        <v/>
      </c>
      <c r="L20" s="111" t="inlineStr">
        <is>
          <t>매뉴얼 완료 (리스크 작성중)</t>
        </is>
      </c>
    </row>
    <row r="21" ht="26" customHeight="1">
      <c r="B21" s="114" t="inlineStr">
        <is>
          <t>-</t>
        </is>
      </c>
      <c r="C21" s="114" t="inlineStr">
        <is>
          <t>합계</t>
        </is>
      </c>
      <c r="D21" s="114" t="inlineStr">
        <is>
          <t>8대 공종 통합</t>
        </is>
      </c>
      <c r="E21" s="114">
        <f>SUM(E13:E20)</f>
        <v/>
      </c>
      <c r="F21" s="114">
        <f>SUM(F13:F20)</f>
        <v/>
      </c>
      <c r="G21" s="114">
        <f>SUM(G13:G20)</f>
        <v/>
      </c>
      <c r="H21" s="114">
        <f>SUM(H13:H20)</f>
        <v/>
      </c>
      <c r="I21" s="114">
        <f>SUM(I13:I20)</f>
        <v/>
      </c>
      <c r="J21" s="114">
        <f>SUM(J13:J20)</f>
        <v/>
      </c>
      <c r="K21" s="115">
        <f>AVERAGE(K13:K20)</f>
        <v/>
      </c>
      <c r="L21" s="114" t="inlineStr">
        <is>
          <t>전 공종 완료</t>
        </is>
      </c>
    </row>
    <row r="23">
      <c r="B23" s="106" t="inlineStr">
        <is>
          <t>❚ 2. 동적 매뉴얼 주요 기능 구현 현황</t>
        </is>
      </c>
    </row>
    <row r="25" ht="26" customHeight="1">
      <c r="B25" s="107" t="inlineStr">
        <is>
          <t>주요 기능</t>
        </is>
      </c>
      <c r="C25" s="124" t="n"/>
      <c r="D25" s="107" t="inlineStr">
        <is>
          <t>핵심 내용 및 구현 현황</t>
        </is>
      </c>
      <c r="E25" s="123" t="n"/>
      <c r="F25" s="123" t="n"/>
      <c r="G25" s="123" t="n"/>
      <c r="H25" s="123" t="n"/>
      <c r="I25" s="123" t="n"/>
      <c r="J25" s="123" t="n"/>
      <c r="K25" s="124" t="n"/>
      <c r="L25" s="107" t="inlineStr">
        <is>
          <t>적용 상태</t>
        </is>
      </c>
    </row>
    <row r="26" ht="24" customHeight="1">
      <c r="B26" s="116" t="inlineStr">
        <is>
          <t>시공 사진·영상 시각화</t>
        </is>
      </c>
      <c r="C26" s="124" t="n"/>
      <c r="D26" s="112" t="inlineStr">
        <is>
          <t>공종별 현장 시공 사진, 3D BIM 모델 및 품질 시험 동영상 1:1 매핑 완료 (263개 전 작업)</t>
        </is>
      </c>
      <c r="E26" s="123" t="n"/>
      <c r="F26" s="123" t="n"/>
      <c r="G26" s="123" t="n"/>
      <c r="H26" s="123" t="n"/>
      <c r="I26" s="123" t="n"/>
      <c r="J26" s="123" t="n"/>
      <c r="K26" s="124" t="n"/>
      <c r="L26" s="118" t="inlineStr">
        <is>
          <t>구현 완료</t>
        </is>
      </c>
    </row>
    <row r="27" ht="24" customHeight="1">
      <c r="B27" s="119" t="inlineStr">
        <is>
          <t>전문시방서(KCS) 원문 연동</t>
        </is>
      </c>
      <c r="C27" s="124" t="n"/>
      <c r="D27" s="109" t="inlineStr">
        <is>
          <t>국토교통부 KCS 전문시방서 PDF(1페이지 원문) 및 관련 법령 링크 바로 열기 구현</t>
        </is>
      </c>
      <c r="E27" s="123" t="n"/>
      <c r="F27" s="123" t="n"/>
      <c r="G27" s="123" t="n"/>
      <c r="H27" s="123" t="n"/>
      <c r="I27" s="123" t="n"/>
      <c r="J27" s="123" t="n"/>
      <c r="K27" s="124" t="n"/>
      <c r="L27" s="120" t="inlineStr">
        <is>
          <t>구현 완료</t>
        </is>
      </c>
    </row>
    <row r="28" ht="24" customHeight="1">
      <c r="B28" s="116" t="inlineStr">
        <is>
          <t>문장별 상세절차서(HTML) 연동</t>
        </is>
      </c>
      <c r="C28" s="124" t="n"/>
      <c r="D28" s="112" t="inlineStr">
        <is>
          <t>체크리스트 각 항목 클릭 시 해당 작업의 1:1 독자 상세절차서(HTML) 즉시 연동</t>
        </is>
      </c>
      <c r="E28" s="123" t="n"/>
      <c r="F28" s="123" t="n"/>
      <c r="G28" s="123" t="n"/>
      <c r="H28" s="123" t="n"/>
      <c r="I28" s="123" t="n"/>
      <c r="J28" s="123" t="n"/>
      <c r="K28" s="124" t="n"/>
      <c r="L28" s="118" t="inlineStr">
        <is>
          <t>구현 완료</t>
        </is>
      </c>
    </row>
    <row r="29" ht="24" customHeight="1">
      <c r="B29" s="119" t="inlineStr">
        <is>
          <t>단일 화면 패키지 구성</t>
        </is>
      </c>
      <c r="C29" s="124" t="n"/>
      <c r="D29" s="109" t="inlineStr">
        <is>
          <t>1개 작업 단위에 표준서, 수행지침, 체크리스트, 상세절차서를 한 화면에 통합 제공</t>
        </is>
      </c>
      <c r="E29" s="123" t="n"/>
      <c r="F29" s="123" t="n"/>
      <c r="G29" s="123" t="n"/>
      <c r="H29" s="123" t="n"/>
      <c r="I29" s="123" t="n"/>
      <c r="J29" s="123" t="n"/>
      <c r="K29" s="124" t="n"/>
      <c r="L29" s="120" t="inlineStr">
        <is>
          <t>구현 완료</t>
        </is>
      </c>
    </row>
    <row r="30" ht="24" customHeight="1">
      <c r="B30" s="116" t="inlineStr">
        <is>
          <t>현장 시공 데이터 누적 관리</t>
        </is>
      </c>
      <c r="C30" s="124" t="n"/>
      <c r="D30" s="112" t="inlineStr">
        <is>
          <t>동탄 현장에서 발생하는 시험 성적서, 사진 데이터(v6)를 실시간 누적·업데이트</t>
        </is>
      </c>
      <c r="E30" s="123" t="n"/>
      <c r="F30" s="123" t="n"/>
      <c r="G30" s="123" t="n"/>
      <c r="H30" s="123" t="n"/>
      <c r="I30" s="123" t="n"/>
      <c r="J30" s="123" t="n"/>
      <c r="K30" s="124" t="n"/>
      <c r="L30" s="118" t="inlineStr">
        <is>
          <t>구현 완료</t>
        </is>
      </c>
    </row>
    <row r="32">
      <c r="B32" s="106" t="inlineStr">
        <is>
          <t>❚ 3. 주요 보고 및 향후 추진 계획</t>
        </is>
      </c>
    </row>
    <row r="34" ht="26" customHeight="1">
      <c r="B34" s="121" t="inlineStr">
        <is>
          <t>구분</t>
        </is>
      </c>
      <c r="C34" s="121" t="inlineStr">
        <is>
          <t>보고 안건</t>
        </is>
      </c>
      <c r="D34" s="124" t="n"/>
      <c r="E34" s="121" t="inlineStr">
        <is>
          <t>주요 내용</t>
        </is>
      </c>
      <c r="F34" s="123" t="n"/>
      <c r="G34" s="123" t="n"/>
      <c r="H34" s="123" t="n"/>
      <c r="I34" s="123" t="n"/>
      <c r="J34" s="123" t="n"/>
      <c r="K34" s="124" t="n"/>
      <c r="L34" s="121" t="inlineStr">
        <is>
          <t>진행 상황</t>
        </is>
      </c>
    </row>
    <row r="35" ht="26" customHeight="1">
      <c r="B35" s="120" t="inlineStr">
        <is>
          <t>안건 1</t>
        </is>
      </c>
      <c r="C35" s="119" t="inlineStr">
        <is>
          <t>동탄 현장 기반 매뉴얼 연속 업데이트 승인</t>
        </is>
      </c>
      <c r="D35" s="124" t="n"/>
      <c r="E35" s="109" t="inlineStr">
        <is>
          <t>동탄 현장 실무 데이터를 바탕으로 매뉴얼(v6 ➔ v7)을 지속 보완·운영하는 체계 승인</t>
        </is>
      </c>
      <c r="F35" s="123" t="n"/>
      <c r="G35" s="123" t="n"/>
      <c r="H35" s="123" t="n"/>
      <c r="I35" s="123" t="n"/>
      <c r="J35" s="123" t="n"/>
      <c r="K35" s="124" t="n"/>
      <c r="L35" s="120" t="inlineStr">
        <is>
          <t>승인 완료</t>
        </is>
      </c>
    </row>
    <row r="36" ht="26" customHeight="1">
      <c r="B36" s="120" t="inlineStr">
        <is>
          <t>안건 2</t>
        </is>
      </c>
      <c r="C36" s="119" t="inlineStr">
        <is>
          <t>사내 매뉴얼 시스템 통합 및 자산화</t>
        </is>
      </c>
      <c r="D36" s="124" t="n"/>
      <c r="E36" s="109" t="inlineStr">
        <is>
          <t>완성된 매뉴얼을 사내 표준 시스템에 탑재하여 향후 신규 트램 사업 수주 시 재활용</t>
        </is>
      </c>
      <c r="F36" s="123" t="n"/>
      <c r="G36" s="123" t="n"/>
      <c r="H36" s="123" t="n"/>
      <c r="I36" s="123" t="n"/>
      <c r="J36" s="123" t="n"/>
      <c r="K36" s="124" t="n"/>
      <c r="L36" s="120" t="inlineStr">
        <is>
          <t>추진 중</t>
        </is>
      </c>
    </row>
  </sheetData>
  <mergeCells count="31">
    <mergeCell ref="C34:D34"/>
    <mergeCell ref="B2:M2"/>
    <mergeCell ref="E36:K36"/>
    <mergeCell ref="D26:K26"/>
    <mergeCell ref="L7:M7"/>
    <mergeCell ref="B7:C7"/>
    <mergeCell ref="B25:C25"/>
    <mergeCell ref="F6:G6"/>
    <mergeCell ref="B27:C27"/>
    <mergeCell ref="F7:G7"/>
    <mergeCell ref="C35:D35"/>
    <mergeCell ref="D6:E6"/>
    <mergeCell ref="H6:I6"/>
    <mergeCell ref="J6:K6"/>
    <mergeCell ref="D27:K27"/>
    <mergeCell ref="D7:E7"/>
    <mergeCell ref="B29:C29"/>
    <mergeCell ref="H7:I7"/>
    <mergeCell ref="J7:K7"/>
    <mergeCell ref="B28:C28"/>
    <mergeCell ref="E35:K35"/>
    <mergeCell ref="C36:D36"/>
    <mergeCell ref="D28:K28"/>
    <mergeCell ref="B6:C6"/>
    <mergeCell ref="B30:C30"/>
    <mergeCell ref="D30:K30"/>
    <mergeCell ref="L6:M6"/>
    <mergeCell ref="D25:K25"/>
    <mergeCell ref="E34:K34"/>
    <mergeCell ref="D29:K29"/>
    <mergeCell ref="B26:C26"/>
  </mergeCells>
  <pageMargins left="0.75" right="0.75" top="1" bottom="1" header="0.5" footer="0.5"/>
</worksheet>
</file>

<file path=xl/worksheets/sheet2.xml><?xml version="1.0" encoding="utf-8"?>
<worksheet xmlns="http://schemas.openxmlformats.org/spreadsheetml/2006/main">
  <sheetPr codeName="Sheet1">
    <outlinePr summaryBelow="1" summaryRight="1"/>
    <pageSetUpPr/>
  </sheetPr>
  <dimension ref="A1:L80"/>
  <sheetViews>
    <sheetView view="pageBreakPreview" zoomScale="55" zoomScaleNormal="70" zoomScaleSheetLayoutView="55" workbookViewId="0">
      <pane ySplit="3" topLeftCell="A4" activePane="bottomLeft" state="frozen"/>
      <selection activeCell="C6" sqref="C6"/>
      <selection pane="bottomLeft" activeCell="E5" sqref="E5"/>
    </sheetView>
  </sheetViews>
  <sheetFormatPr baseColWidth="8" defaultRowHeight="17.4"/>
  <cols>
    <col width="10" customWidth="1" min="1" max="1"/>
    <col width="14" customWidth="1" min="2" max="2"/>
    <col width="38" customWidth="1" min="3" max="3"/>
    <col width="14" customWidth="1" min="4" max="4"/>
    <col width="44" customWidth="1" min="5" max="5"/>
    <col width="48" customWidth="1" min="6" max="6"/>
    <col width="59.5" customWidth="1" min="7" max="7"/>
    <col width="48" customWidth="1" min="8" max="8"/>
    <col width="14" customWidth="1" min="9" max="9"/>
    <col width="52" customWidth="1" min="10" max="11"/>
    <col width="56" customWidth="1" min="12" max="12"/>
  </cols>
  <sheetData>
    <row r="1" ht="30" customHeight="1" thickBot="1">
      <c r="A1" s="97" t="inlineStr">
        <is>
          <t>동탄도시철도(트램) 1·2공구 WBS 계층 구조별 표준서·수행지침·체크리스트 상세 매핑표</t>
        </is>
      </c>
      <c r="B1" s="98" t="n"/>
      <c r="C1" s="98" t="n"/>
      <c r="D1" s="98" t="n"/>
      <c r="E1" s="98" t="n"/>
      <c r="F1" s="98" t="n"/>
      <c r="G1" s="98" t="n"/>
      <c r="H1" s="98" t="n"/>
      <c r="I1" s="98" t="n"/>
      <c r="J1" s="98" t="n"/>
      <c r="K1" s="98" t="n"/>
      <c r="L1" s="99" t="n"/>
    </row>
    <row r="2" ht="4.95" customHeight="1"/>
    <row r="3" ht="36.6" customHeight="1">
      <c r="A3" s="35" t="inlineStr">
        <is>
          <t>L2 코드</t>
        </is>
      </c>
      <c r="B3" s="35" t="inlineStr">
        <is>
          <t>L3 코드</t>
        </is>
      </c>
      <c r="C3" s="35" t="inlineStr">
        <is>
          <t>L3 대공종명</t>
        </is>
      </c>
      <c r="D3" s="35" t="inlineStr">
        <is>
          <t>L4 코드</t>
        </is>
      </c>
      <c r="E3" s="35" t="inlineStr">
        <is>
          <t>작업단위 (Level 4 Task/Activity)</t>
        </is>
      </c>
      <c r="F3" s="35" t="inlineStr">
        <is>
          <t>표준서 (Standard)
[정량적 절대 기술 기준]</t>
        </is>
      </c>
      <c r="G3" s="35" t="inlineStr">
        <is>
          <t>수행지침 (Guideline)
[작업 절차 및 주의사항]</t>
        </is>
      </c>
      <c r="H3" s="35" t="inlineStr">
        <is>
          <t>체크리스트 (Checklist)
[완료 검측 표준]</t>
        </is>
      </c>
      <c r="I3" s="35" t="inlineStr">
        <is>
          <t>담당 분야</t>
        </is>
      </c>
      <c r="J3" s="36" t="inlineStr">
        <is>
          <t>첨부서류 연계 상세 설계기준
(구조, 토질, 선로 등)</t>
        </is>
      </c>
      <c r="K3" s="36" t="inlineStr">
        <is>
          <t>집행단계 리스크 체크리스트
(260614 트램 표준)</t>
        </is>
      </c>
      <c r="L3" s="36" t="inlineStr">
        <is>
          <t>협력사 시공/공사관리 자문
(정주건설 / 트리폴건설)</t>
        </is>
      </c>
    </row>
    <row r="4" ht="22.05" customHeight="1">
      <c r="A4" s="94" t="inlineStr">
        <is>
          <t>1000  행정·인허가 (Project Management &amp; Permitting)</t>
        </is>
      </c>
      <c r="B4" s="95" t="n"/>
      <c r="C4" s="95" t="n"/>
      <c r="D4" s="95" t="n"/>
      <c r="E4" s="95" t="n"/>
      <c r="F4" s="95" t="n"/>
      <c r="G4" s="95" t="n"/>
      <c r="H4" s="95" t="n"/>
      <c r="I4" s="95" t="n"/>
      <c r="J4" s="95" t="n"/>
      <c r="K4" s="95" t="n"/>
      <c r="L4" s="96" t="n"/>
    </row>
    <row r="5" ht="186" customHeight="1">
      <c r="A5" s="37" t="inlineStr">
        <is>
          <t>1000</t>
        </is>
      </c>
      <c r="B5" s="37" t="inlineStr">
        <is>
          <t>1000-1</t>
        </is>
      </c>
      <c r="C5" s="38" t="inlineStr">
        <is>
          <t>행정·인허가 준비 및 관계기관 협의</t>
        </is>
      </c>
      <c r="D5" s="37" t="inlineStr">
        <is>
          <t>1000-1-1</t>
        </is>
      </c>
      <c r="E5" s="38" t="inlineStr">
        <is>
          <t>인허가 관련 법령 검토 및 체크리스트 작성</t>
        </is>
      </c>
      <c r="F5" s="38" t="inlineStr">
        <is>
          <t>● 도시철도법 제17조(사업계획승인) 및 국토교통부 도시철도 건설 규칙 수립 요건 준수</t>
        </is>
      </c>
      <c r="G5" s="38" t="inlineStr">
        <is>
          <t>[작업 절차]
1. 사전 준비 단계:
   - 설계 도서 및 시방 기준을 분석하여 인허가 관련 법령 검토 및 체크리스트 작성 작업을 위한 현장 실측 및 경계 측량을 수행함.
2. 본 시공 단계:
   - 최신 법제처 정보 기반 관련 법령 테이블 작성 작업을 표준 시공 절차에 준하여 시행하며, 실시간 수평도 및 치수 공차를 관리함.
3. 검사 및 마감 단계:
   - 인허가 서류 구비 요건 만족 확인 체크리스트 사전 작성 시험 및 품질 검사를 실측하고 기준값 만족 여부를 기록함. 부서 간 조율을 통한 법적 의무 이행 조치 사항 기록 작업을 거쳐 노면 정리 및 안전 조치를 완료함.
[주의사항 (하자이력 연계)]
최신 개정 법령 미반영으로 인허가 승인 보완 지시 및 사업 기간 지연</t>
        </is>
      </c>
      <c r="H5" s="38" t="inlineStr">
        <is>
          <t>□ 법제처 최신 개정 법령 반영 확인
□ 서류 요건(설계도서, 사업계획서 등) 검토 완료
□ 인허가 체크리스트 작성 완료 및 승인
[집행단계 리스크 체크사항 (LLBS 연계)]
□ 용지 보상 내역에 분묘 이장비(유연/무연)가 별도로 책정되어 있는가?
□ 용지 보상 지연 시 굴착 작업구(갱구) 진입이 가능한 대체 루트가 있는가?
□ 부지 내 기존 도로가 보상 문제로 폐쇄될 경우 대체 진입로 계획이 있는가?
□ 개발제한구역, 상수원보호구역 등 특수 규제 지역 포함 여부 및 예상 인허가 소요 기간이 공정표(CP)에 반영되었는가?</t>
        </is>
      </c>
      <c r="I5" s="38" t="inlineStr">
        <is>
          <t>행정</t>
        </is>
      </c>
      <c r="J5" s="39" t="inlineStr">
        <is>
          <t>● 관련분야 설계기준서 준수</t>
        </is>
      </c>
      <c r="K5" s="39" t="inlineStr">
        <is>
          <t>● 최신 개정 법령 미반영으로 인허가 승인 보완 지시 및 사업 기간 지연 리스크를 검토하였는가?</t>
        </is>
      </c>
      <c r="L5" s="39" t="inlineStr">
        <is>
          <t>● 협력사 자문 내용 없음 또는 해당사항 없음</t>
        </is>
      </c>
    </row>
    <row r="6" ht="139.95" customHeight="1">
      <c r="A6" s="40" t="inlineStr">
        <is>
          <t>1000</t>
        </is>
      </c>
      <c r="B6" s="40" t="inlineStr">
        <is>
          <t>1000-1</t>
        </is>
      </c>
      <c r="C6" s="41" t="inlineStr">
        <is>
          <t>행정·인허가 준비 및 관계기관 협의</t>
        </is>
      </c>
      <c r="D6" s="40" t="inlineStr">
        <is>
          <t>1000-1-2</t>
        </is>
      </c>
      <c r="E6" s="41" t="inlineStr">
        <is>
          <t>관계기관 협의자료 작성 및 공식 공문 발송</t>
        </is>
      </c>
      <c r="F6" s="41" t="inlineStr">
        <is>
          <t>● 행정 효율 지침 및 지자체별 인허가 협의 공문 규격 표준 규정</t>
        </is>
      </c>
      <c r="G6" s="41" t="inlineStr">
        <is>
          <t>[작업 절차]
1. 사전 준비 단계:
   - 설계 도서 및 시방 기준을 분석하여 관계기관 협의자료 작성 및 공식 공문 발송 작업을 위한 현장 실측 및 경계 측량을 수행함.
2. 본 시공 단계:
   - 표준 공문 양식 및 도서 작성 요령 준수 작업을 표준 시공 절차에 준하여 시행하며, 실시간 수평도 및 치수 공차를 관리함.
3. 검사 및 마감 단계:
   - 기지 및 선로 주변 민원 발생 우려 지역의 관계기관 검토서 첨부 시험 및 품질 검사를 실측하고 기준값 만족 여부를 기록함. 관련 공문 접수번호 대장 등록 및 추적 작업을 거쳐 노면 정리 및 안전 조치를 완료함.
[주의사항 (하자이력 연계)]
비공식 협의 및 누락 자료 제출로 인한 공문 반려 및 재작성 소요(2주 지연)</t>
        </is>
      </c>
      <c r="H6" s="41" t="inlineStr">
        <is>
          <t>□ 구비 서류(설계도서, 영향평가서 등) 누락 확인
□ 공식 협의 공문 대장 등록 및 발송 확인
□ 접수증 발급 및 발급 일자 기록 완료
[집행단계 리스크 체크사항 (LLBS 연계)]
□ 사업 부지 내 잔존하는 영업 시설(공장, 종교시설)의 현황과 예상 보상비가 사업비에 책정되었는가?
□ 용지 보상 현황도(Map)와 공정표(Schedule)를 연동하여 지연 일수를 산정하고 있는가?
□ 용지 보상 지연 시 굴착 작업구(갱구) 진입이 가능한 대체 루트가 있는가?
□ 개발제한구역, 상수원보호구역 등 특수 규제 지역 포함 여부 및 예상 인허가 소요 기간이 공정표(CP)에 반영되었는가?</t>
        </is>
      </c>
      <c r="I6" s="41" t="inlineStr">
        <is>
          <t>행정</t>
        </is>
      </c>
      <c r="J6" s="42" t="inlineStr">
        <is>
          <t>● 관련분야 설계기준서 준수</t>
        </is>
      </c>
      <c r="K6" s="42" t="inlineStr">
        <is>
          <t>● 공식 접수 및 대장 기록 누락 자료 제출로 인한 공문 반려 및 재작성 소요(2주 지연) 리스크를 검토하였는가?</t>
        </is>
      </c>
      <c r="L6" s="42" t="inlineStr">
        <is>
          <t>● 협력사 자문 내용 없음 또는 해당사항 없음</t>
        </is>
      </c>
    </row>
    <row r="7" ht="151.8" customHeight="1">
      <c r="A7" s="37" t="inlineStr">
        <is>
          <t>1000</t>
        </is>
      </c>
      <c r="B7" s="37" t="inlineStr">
        <is>
          <t>1000-1</t>
        </is>
      </c>
      <c r="C7" s="38" t="inlineStr">
        <is>
          <t>행정·인허가 준비 및 관계기관 협의</t>
        </is>
      </c>
      <c r="D7" s="37" t="inlineStr">
        <is>
          <t>1000-1-3</t>
        </is>
      </c>
      <c r="E7" s="38" t="inlineStr">
        <is>
          <t>관계기관 피드백 분석 및 조치 방안 수립</t>
        </is>
      </c>
      <c r="F7" s="38" t="inlineStr">
        <is>
          <t>● 민원 처리 및 행정절차법상 의견 제출 및 피드백 공식 조치 절차</t>
        </is>
      </c>
      <c r="G7" s="38" t="inlineStr">
        <is>
          <t>[작업 절차]
1. 사전 준비 단계:
   - 설계 도서 및 시방 기준을 분석하여 관계기관 피드백 분석 및 조치 방안 수립 작업을 위한 현장 실측 및 경계 측량을 수행함.
2. 본 시공 단계:
   - 회신 공문 보완 지시사항 분석 및 조치 부서 지정 작업을 표준 시공 절차에 준하여 시행하며, 실시간 수평도 및 치수 공차를 관리함.
3. 검사 및 마감 단계:
   - 보완 설계 도면 및 설명자료 작성 지침 배포 시험 및 품질 검사를 실측하고 기준값 만족 여부를 기록함. 관계기관 담당자 사전 면담을 통한 대안 타당성 조율 작업을 거쳐 노면 정리 및 안전 조치를 완료함.
[주의사항 (하자이력 연계)]
관계기관 보완 요건의 자의적 해석에 따른 부실 보완 및 2차 보완 지시 지연</t>
        </is>
      </c>
      <c r="H7" s="38" t="inlineStr">
        <is>
          <t>□ 피드백 지시사항 카테고리별 분류 및 대책 수립
□ 조치결과 보고서 작성 및 증빙 자료 확보
□ 관계기관 재검토 승인 결과 확보 완료
[집행단계 리스크 체크사항 (LLBS 연계)]
□ 사업 부지 내 잔존하는 영업 시설(공장, 종교시설)의 현황과 예상 보상비가 사업비에 책정되었는가?
□ 부지 내 기존 도로가 보상 문제로 폐쇄될 경우 대체 진입로 계획이 있는가?
□ 용지 보상 지연 시 굴착 작업구(갱구) 진입이 가능한 대체 루트가 있는가?
□ B/P장, 크러셔장 등 주요 가설 설비 설치 위치에 대한 인허가(비산먼지, 소음, 점용) 가능성을 사전 확인했는가?</t>
        </is>
      </c>
      <c r="I7" s="38" t="inlineStr">
        <is>
          <t>행정</t>
        </is>
      </c>
      <c r="J7" s="39" t="inlineStr">
        <is>
          <t>● 관련분야 설계기준서 준수</t>
        </is>
      </c>
      <c r="K7" s="39" t="inlineStr">
        <is>
          <t>● 관계기관 보완 요건의 자의적 해석에 따른 부실 보완 및 2차 보완 지시 지연 리스크를 검토하였는가?</t>
        </is>
      </c>
      <c r="L7" s="39" t="inlineStr">
        <is>
          <t>● 협력사 자문 내용 없음 또는 해당사항 없음</t>
        </is>
      </c>
    </row>
    <row r="8" ht="139.95" customHeight="1">
      <c r="A8" s="40" t="inlineStr">
        <is>
          <t>1000</t>
        </is>
      </c>
      <c r="B8" s="40" t="inlineStr">
        <is>
          <t>1000-2</t>
        </is>
      </c>
      <c r="C8" s="41" t="inlineStr">
        <is>
          <t>기본설계 도면검토 및 착공신고 처리</t>
        </is>
      </c>
      <c r="D8" s="40" t="inlineStr">
        <is>
          <t>1000-2-1</t>
        </is>
      </c>
      <c r="E8" s="41" t="inlineStr">
        <is>
          <t>기본설계도서 기술검토 및 검토의견서 작성</t>
        </is>
      </c>
      <c r="F8" s="41" t="inlineStr">
        <is>
          <t>● 건설공사 사업관리방식 검토기준 및 업무수행지침 제81조(설계도서 등의 검토)</t>
        </is>
      </c>
      <c r="G8" s="41" t="inlineStr">
        <is>
          <t>[작업 절차]
1. 사전 준비 단계:
   - 설계 도서 및 시방 기준을 분석하여 기본설계도서 기술검토 및 검토의견서 작성 작업을 위한 현장 실측 및 경계 측량을 수행함.
2. 본 시공 단계:
   - 평면/종단 선형 설계도서 정밀 판독 작업을 표준 시공 절차에 준하여 시행하며, 실시간 수평도 및 치수 공차를 관리함.
3. 검사 및 마감 단계:
   - 트램 최대 구배(최대 60‰) 및 최소 곡선반경(본선 R25m 이상) 적합성 확인 시험 및 품질 검사를 실측하고 기준값 만족 여부를 기록함. 설계사 검토의견서 공식 송부 및 회신 요청 작업을 거쳐 노면 정리 및 안전 조치를 완료함.
[주의사항 (하자이력 연계)]
종평면 종단 구배 한계값 미충족 도면을 거르지 못하여 궤도 재설계 발생</t>
        </is>
      </c>
      <c r="H8" s="41" t="inlineStr">
        <is>
          <t>□ 트램 기술기준 만족 여부(곡선반경, 구배 등) 확인
□ 종단면 설계 요철 한계값 검토 완료
□ 설계자 피드백 반영 완료 확인
[집행단계 리스크 체크사항 (LLBS 연계)]
□ 사업 부지 내 잔존하는 영업 시설(공장, 종교시설)의 현황과 예상 보상비가 사업비에 책정되었는가?
□ 연약지반 구간의 보상 지연 시 이를 만회할 공법(PC, 프리로딩 생략 등)이 있는가?
□ 유용토를 성토할 구간의 보상 완료 시점이 굴착 시점과 일치하는가?
□ 개발제한구역, 상수원보호구역 등 특수 규제 지역 포함 여부 및 예상 인허가 소요 기간이 공정표(CP)에 반영되었는가?</t>
        </is>
      </c>
      <c r="I8" s="41" t="inlineStr">
        <is>
          <t>행정</t>
        </is>
      </c>
      <c r="J8" s="42" t="inlineStr">
        <is>
          <t>● [선로설계] 본선 최소곡선반경 25m, 정거장 300m 이상 적용
● [선로설계] 완화곡선 최소길이 L=0.5xV (부득이한 경우 대차 중심간 거리 11.4m 이상)
● [선로설계] 최대구배: 본선 60‰ 이하, 정거장 밖 60‰ 이하 (정거장 내 3/1,000 이하, 차량 미유치 측선 45/1,000 이하)
● [선로설계] 종곡선 반경: 본선 800m 이상 (부득이한 경우 350m)
● [선로설계] 선로중심간격: 본선 3.5m 이상 (차량 한계 2.7m x 3.6m, 건축 한계 3.1m x 3.8m)</t>
        </is>
      </c>
      <c r="K8" s="42" t="inlineStr">
        <is>
          <t>● 종평면 종단 구배 한계값 미충족 도면을 거르지 못하여 궤도 재설계 발생 리스크를 검토하였는가?</t>
        </is>
      </c>
      <c r="L8" s="42" t="inlineStr">
        <is>
          <t>● 협력사 자문 내용 없음 또는 해당사항 없음</t>
        </is>
      </c>
    </row>
    <row r="9" ht="139.95" customHeight="1">
      <c r="A9" s="37" t="inlineStr">
        <is>
          <t>1000</t>
        </is>
      </c>
      <c r="B9" s="37" t="inlineStr">
        <is>
          <t>1000-2</t>
        </is>
      </c>
      <c r="C9" s="38" t="inlineStr">
        <is>
          <t>기본설계 도면검토 및 착공신고 처리</t>
        </is>
      </c>
      <c r="D9" s="37" t="inlineStr">
        <is>
          <t>1000-2-2</t>
        </is>
      </c>
      <c r="E9" s="38" t="inlineStr">
        <is>
          <t>착공신고 구비서류 적정성 검토 및 조립</t>
        </is>
      </c>
      <c r="F9" s="38" t="inlineStr">
        <is>
          <t>● 건설기술진흥법 시행규칙 제38조(착공신고 구비서류) 규격 만족 여부</t>
        </is>
      </c>
      <c r="G9" s="38" t="inlineStr">
        <is>
          <t>[작업 절차]
1. 사전 준비 단계:
   - 설계 도서 및 시방 기준을 분석하여 착공신고 구비서류 적정성 검토 및 조립 작업을 위한 현장 실측 및 경계 측량을 수행함.
2. 본 시공 단계:
   - 현장대리인, 안전관리자, 보건관리자 선임서 및 자격증 확인 작업을 표준 시공 절차에 준하여 시행하며, 실시간 수평도 및 치수 공차를 관리함.
3. 검사 및 마감 단계:
   - 착공 전 안전관리계획서, 유해위험방지계획서 첨부 여부 검토 시험 및 품질 검사를 실측하고 기준값 만족 여부를 기록함. 공사수행계획서 및 세부 예정공정표 조립 작업을 거쳐 노면 정리 및 안전 조치를 완료함.
[주의사항 (하자이력 연계)]
현장대리인 경력 누락 또는 안전관리자 자격 위반 서류 제출로 인한 착공계 반려</t>
        </is>
      </c>
      <c r="H9" s="38" t="inlineStr">
        <is>
          <t>□ 핵심 기술자 면허 및 경력증명 확인
□ 착공 전 필수 승인 서류(안전계획 등) 첨부 완료
□ 발주처 착공신고서 조립 완료 및 접수
[집행단계 리스크 체크사항 (LLBS 연계)]
□ 용지 보상 내역에 분묘 이장비(유연/무연)가 별도로 책정되어 있는가?
□ 연약지반 구간의 보상 지연 시 이를 만회할 공법(PC, 프리로딩 생략 등)이 있는가?
□ 유용토를 성토할 구간의 보상 완료 시점이 굴착 시점과 일치하는가?
□ 크러셔장 운영에 따른 소음/진동 시뮬레이션을 수행하고 인허가 리스크를 검토했는가?</t>
        </is>
      </c>
      <c r="I9" s="38" t="inlineStr">
        <is>
          <t>행정</t>
        </is>
      </c>
      <c r="J9" s="39" t="inlineStr">
        <is>
          <t>● 관련분야 설계기준서 준수</t>
        </is>
      </c>
      <c r="K9" s="39" t="inlineStr">
        <is>
          <t>● 선로 기하학 오차(종단구배 급변부 캔트 미반영 등)로 궤도 시공 불가 및 기본계획 변경 리스크를 검토하였는가?</t>
        </is>
      </c>
      <c r="L9" s="39" t="inlineStr">
        <is>
          <t>● 협력사 자문 내용 없음 또는 해당사항 없음</t>
        </is>
      </c>
    </row>
    <row r="10" ht="139.95" customHeight="1">
      <c r="A10" s="40" t="inlineStr">
        <is>
          <t>1000</t>
        </is>
      </c>
      <c r="B10" s="40" t="inlineStr">
        <is>
          <t>1000-3</t>
        </is>
      </c>
      <c r="C10" s="41" t="inlineStr">
        <is>
          <t>타공사(SRT, GTX-A 등) 구간 협의 및 간섭 검토</t>
        </is>
      </c>
      <c r="D10" s="40" t="inlineStr">
        <is>
          <t>1000-3-1</t>
        </is>
      </c>
      <c r="E10" s="41" t="inlineStr">
        <is>
          <t>타공사 간섭구간 기술 영향 평가 및 도면 검토</t>
        </is>
      </c>
      <c r="F10" s="41" t="inlineStr">
        <is>
          <t>● 지하안전관리에 관한 특별법(지하안전평가 기준 및 인접 굴착 영향선 검토)</t>
        </is>
      </c>
      <c r="G10" s="41" t="inlineStr">
        <is>
          <t>[작업 절차]
1. 사전 준비 단계:
   - 설계 도서 및 시방 기준을 분석하여 타공사 간섭구간 기술 영향 평가 및 도면 검토 작업을 위한 현장 실측 및 경계 측량을 수행함.
2. 본 시공 단계:
   - SRT/GTX-A 교차 구간 상세 구조물 도면 입수 작업을 표준 시공 절차에 준하여 시행하며, 실시간 수평도 및 치수 공차를 관리함.
3. 검사 및 마감 단계:
   - 이격거리 및 응력 간섭 3D 시뮬레이션 결과 검토 시험 및 품질 검사를 실측하고 기준값 만족 여부를 기록함. 간섭 구조물 차수 및 방호 대책 설계 도면 확인 작업을 거쳐 노면 정리 및 안전 조치를 완료함.
[주의사항 (하자이력 연계)]
GTX-A 굴착 공사 영향으로 트램 교차로 노반 침하 및 가시설 이상 거동 발생</t>
        </is>
      </c>
      <c r="H10" s="41" t="inlineStr">
        <is>
          <t>□ 상호 이격거리 구조 안전성 계산서 검토 완료
□ 계측기 설치 계획서 간섭 구간 반영 확인
□ 간섭 최소화 구조 형식 반영 확인
[집행단계 리스크 체크사항 (LLBS 연계)]
□ 연약지반 구간의 보상 지연 시 이를 만회할 공법(PC, 프리로딩 생략 등)이 있는가?
□ 부지 내 기존 도로가 보상 문제로 폐쇄될 경우 대체 진입로 계획이 있는가?
□ 개발제한구역, 상수원보호구역 등 특수 규제 지역 포함 여부 및 예상 인허가 소요 기간이 공정표(CP)에 반영되었는가?
□ 철도/지하철 인접 공사 시 유관기관 협의비 및 안전성 검토 용역비가 책정되어 있는가?</t>
        </is>
      </c>
      <c r="I10" s="41" t="inlineStr">
        <is>
          <t>행정</t>
        </is>
      </c>
      <c r="J10" s="42" t="inlineStr">
        <is>
          <t>● 관련분야 설계기준서 준수</t>
        </is>
      </c>
      <c r="K10" s="42" t="inlineStr">
        <is>
          <t>● 해당 공종 리스크 분석 수립 준수</t>
        </is>
      </c>
      <c r="L10" s="42" t="inlineStr">
        <is>
          <t>● 협력사 자문 내용 없음 또는 해당사항 없음</t>
        </is>
      </c>
    </row>
    <row r="11" ht="139.95" customHeight="1">
      <c r="A11" s="37" t="inlineStr">
        <is>
          <t>1000</t>
        </is>
      </c>
      <c r="B11" s="37" t="inlineStr">
        <is>
          <t>1000-3</t>
        </is>
      </c>
      <c r="C11" s="38" t="inlineStr">
        <is>
          <t>타공사(SRT, GTX-A 등) 구간 협의 및 간섭 검토</t>
        </is>
      </c>
      <c r="D11" s="37" t="inlineStr">
        <is>
          <t>1000-3-2</t>
        </is>
      </c>
      <c r="E11" s="38" t="inlineStr">
        <is>
          <t>간섭구간 공동 협의회 개최 및 협의록 작성</t>
        </is>
      </c>
      <c r="F11" s="38" t="inlineStr">
        <is>
          <t>● 발주처 인접 공사 안전 관리 가이드라인 및 공구 간 인터페이스 조정 표준</t>
        </is>
      </c>
      <c r="G11" s="38" t="inlineStr">
        <is>
          <t>[작업 절차]
1. 사전 준비 단계:
   - 설계 도서 및 시방 기준을 분석하여 간섭구간 공동 협의회 개최 및 협의록 작성 작업을 위한 현장 실측 및 경계 측량을 수행함.
2. 본 시공 단계:
   - 주기적 협의체 구성 및 굴착 공정 스케줄 교환 작업을 표준 시공 절차에 준하여 시행하며, 실시간 수평도 및 치수 공차를 관리함.
3. 검사 및 마감 단계:
   - 비상시 자동 전파 시스템 및 공구장 핫라인 개설 시험 및 품질 검사를 실측하고 기준값 만족 여부를 기록함. 상호 서명 완료된 공식 간섭 협의록 발주처 보고 작업을 거쳐 노면 정리 및 안전 조치를 완료함.
[주의사항 (하자이력 연계)]
구두 협의로 시공했다가 가시설 파손 시 공구 간 책임 공방 및 공사 중단(1개월)</t>
        </is>
      </c>
      <c r="H11" s="38" t="inlineStr">
        <is>
          <t>□ 양 공구 대리인 서명된 협의록 보관 여부
□ 핫라인 구축 및 비상 대응 시나리오 마련 여부
□ 합의 사항 설계/시공 도서 반영 여부
[집행단계 리스크 체크사항 (LLBS 연계)]
□ 연약지반 구간의 보상 지연 시 이를 만회할 공법(PC, 프리로딩 생략 등)이 있는가?
□ 부지 내 기존 도로가 보상 문제로 폐쇄될 경우 대체 진입로 계획이 있는가?
□ 개발제한구역, 상수원보호구역 등 특수 규제 지역 포함 여부 및 예상 인허가 소요 기간이 공정표(CP)에 반영되었는가?
□ 철도/지하철 인접 공사 시 유관기관 협의비 및 안전성 검토 용역비가 책정되어 있는가?</t>
        </is>
      </c>
      <c r="I11" s="38" t="inlineStr">
        <is>
          <t>행정</t>
        </is>
      </c>
      <c r="J11" s="39" t="inlineStr">
        <is>
          <t>● 관련분야 설계기준서 준수</t>
        </is>
      </c>
      <c r="K11" s="39" t="inlineStr">
        <is>
          <t>● 해당 공종 리스크 분석 수립 준수</t>
        </is>
      </c>
      <c r="L11" s="39" t="inlineStr">
        <is>
          <t>● 협력사 자문 내용 없음 또는 해당사항 없음</t>
        </is>
      </c>
    </row>
    <row r="12" ht="22.05" customHeight="1">
      <c r="A12" s="94" t="inlineStr">
        <is>
          <t>2000  임시설비 및 가설공사 (Temporary &amp; Utility Works)</t>
        </is>
      </c>
      <c r="B12" s="95" t="n"/>
      <c r="C12" s="95" t="n"/>
      <c r="D12" s="95" t="n"/>
      <c r="E12" s="95" t="n"/>
      <c r="F12" s="95" t="n"/>
      <c r="G12" s="95" t="n"/>
      <c r="H12" s="95" t="n"/>
      <c r="I12" s="95" t="n"/>
      <c r="J12" s="95" t="n"/>
      <c r="K12" s="95" t="n"/>
      <c r="L12" s="96" t="n"/>
    </row>
    <row r="13" ht="139.95" customHeight="1">
      <c r="A13" s="37" t="inlineStr">
        <is>
          <t>2000</t>
        </is>
      </c>
      <c r="B13" s="37" t="inlineStr">
        <is>
          <t>2000-1</t>
        </is>
      </c>
      <c r="C13" s="38" t="inlineStr">
        <is>
          <t>가설사무소 설치 및 안전·환경 관리 준비</t>
        </is>
      </c>
      <c r="D13" s="37" t="inlineStr">
        <is>
          <t>2000-1-1</t>
        </is>
      </c>
      <c r="E13" s="38" t="inlineStr">
        <is>
          <t>가설현장사무소 부지 확보 및 인허가 신고</t>
        </is>
      </c>
      <c r="F13" s="38" t="inlineStr">
        <is>
          <t>● 건축법 제20조(가설건축물), 지자체 가설건축물 축조 신고 지침 요건</t>
        </is>
      </c>
      <c r="G13" s="38" t="inlineStr">
        <is>
          <t>[작업 절차]
1. 사전 준비 단계:
   - 설계 도서 및 시방 기준을 분석하여 가설현장사무소 부지 확보 및 인허가 신고 작업을 위한 현장 실측 및 경계 측량을 수행함.
2. 본 시공 단계:
   - 임차부지 소유권 확인 및 가설 물건 배치 설계도 작성 작업을 표준 시공 절차에 준하여 시행하며, 실시간 수평도 및 치수 공차를 관리함.
3. 검사 및 마감 단계:
   - 관할 지자체 가설건축물 축조 신고서 접수 시험 및 품질 검사를 실측하고 기준값 만족 여부를 기록함. 소방서 소방시설 사전 협의 및 신고필증 획득 작업을 거쳐 노면 정리 및 안전 조치를 완료함.
[주의사항 (하자이력 연계)]
부지 미승인 상태의 무단 가설물 축조로 지자체 철거 명령 및 이행강제금 부과</t>
        </is>
      </c>
      <c r="H13" s="38" t="inlineStr">
        <is>
          <t>□ 축조 신고필증 획득 및 현장 비치 여부
□ 경계 측량 확인 및 설계도면 일치 여부
□ 소방기구(소화기 등) 적정 수량 배치 완료
[집행단계 리스크 체크사항 (LLBS 연계)]
□ 구조물과 흙막이 벽체 사이 여유폭(Working Space) 내에 배수로 설치 공간이 확보되었는가?
□ 굴착 바닥면의 피압수 용출 가능성(Boiling)을 검토하고 Well Point 등 지하수위 저하 공법을 반영했는가?
□ 흙막이 가시설과 본 구조물 사이에 거푸집 설치 및 작업자 이동 공간(최소 1m 이상)이 확보되었는가?
□ 교량 시공용 대형 크레인(200ton 이상)의 아웃트리거 전개 폭을 고려하여 가교 폭이나 작업대(Staging)가 반영되었는가?</t>
        </is>
      </c>
      <c r="I13" s="38" t="inlineStr">
        <is>
          <t>토목</t>
        </is>
      </c>
      <c r="J13" s="39" t="inlineStr">
        <is>
          <t>● 관련분야 설계기준서 준수</t>
        </is>
      </c>
      <c r="K13" s="39" t="inlineStr">
        <is>
          <t>● 가설건축물 설치 승인 지연으로 현장 사무소 개설 연기 및 현장 관리 공백 발생 리스크를 검토하였는가?</t>
        </is>
      </c>
      <c r="L13" s="39" t="inlineStr">
        <is>
          <t>● 협력사 자문 내용 없음 또는 해당사항 없음</t>
        </is>
      </c>
    </row>
    <row r="14" ht="139.95" customHeight="1">
      <c r="A14" s="40" t="inlineStr">
        <is>
          <t>2000</t>
        </is>
      </c>
      <c r="B14" s="40" t="inlineStr">
        <is>
          <t>2000-2</t>
        </is>
      </c>
      <c r="C14" s="41" t="inlineStr">
        <is>
          <t>가설도로·가시설 및 공사 진입로 설치</t>
        </is>
      </c>
      <c r="D14" s="40" t="inlineStr">
        <is>
          <t>2000-2-1</t>
        </is>
      </c>
      <c r="E14" s="41" t="inlineStr">
        <is>
          <t>가설도로 개설 및 진입 노면 다짐 시공</t>
        </is>
      </c>
      <c r="F14" s="41" t="inlineStr">
        <is>
          <t>● KCS 11 20 20 (가설공사 도로 및 터파기 다짐 표준시방서)
● 가설도로 기초 지반 최소 허용 지내력 150 kN/m² 이상 확보</t>
        </is>
      </c>
      <c r="G14" s="41" t="inlineStr">
        <is>
          <t>[작업 절차]
1. 사전 준비 단계:
   - 설계 도서 및 시방 기준을 분석하여 가설도로 개설 및 진입 노면 다짐 시공 작업을 위한 현장 실측 및 경계 측량을 수행함.
2. 본 시공 단계:
   - 진입로 롤러 다짐(두께 300mm 단위 분할 다짐) 작업을 표준 시공 절차에 준하여 시행하며, 실시간 수평도 및 치수 공차를 관리함.
3. 검사 및 마감 단계:
   - 평판재하시험(PBT) 실시, 지내력 150 kN/m2 확보 확인 시험 및 품질 검사를 실측하고 기준값 만족 여부를 기록함. 쇄석 골재 포설 및 표면 배수 구배(2%) 형성 작업을 거쳐 노면 정리 및 안전 조치를 완료함.
[주의사항 (하자이력 연계)]
다짐 불량 가설도로 상에서 25톤 덤프트럭 전도 사고 발생</t>
        </is>
      </c>
      <c r="H14" s="41" t="inlineStr">
        <is>
          <t>□ 평판재하시험 지내력 기준(150 kN/m2) 통과 여부
□ 노면 배수 구배 및 측구 집수정 설치 여부
□ 대형 장비 회전 반경 확보 여부
[집행단계 리스크 체크사항 (LLBS 연계)]
□ 개착 구조물 기초 바닥에 지하수 배제를 위한 맹암거 및 유공관이 반영되었는가?
□ 공사 중 집중호우(Frequency 10~20년 빈도)에 대비한 배수 펌프 용량과 예비 펌프가 산정되었는가?
□ 항타기 등 대형 장비의 진입로 폭과 회전 반경이 현장 여건(농로, 마을길)과 부합하는가?
□ 교량 시공용 대형 크레인(200ton 이상)의 아웃트리거 전개 폭을 고려하여 가교 폭이나 작업대(Staging)가 반영되었는가?</t>
        </is>
      </c>
      <c r="I14" s="41" t="inlineStr">
        <is>
          <t>토목</t>
        </is>
      </c>
      <c r="J14" s="42" t="inlineStr">
        <is>
          <t>● 관련분야 설계기준서 준수</t>
        </is>
      </c>
      <c r="K14" s="42" t="inlineStr">
        <is>
          <t>● 가설도로 다짐 부족으로 중장비(레미콘, 크레인) 이동 시 지반 함몰 및 장비 전도 리스크를 검토하였는가?</t>
        </is>
      </c>
      <c r="L14" s="42" t="inlineStr">
        <is>
          <t>● [공사구간 분할] 레일 뒤틀림 방지를 위해 1km 기준 분할 시공을 권장하며, 상하선별 별도 시공하되 노선 하나 기준으로 전폭 시공 적용
● [자재적치] 협소 구간은 추가 적치 부지를 확보하지 않고, 기시공/미시공 구간에 레일을 임시 적치하여 대응</t>
        </is>
      </c>
    </row>
    <row r="15" ht="139.95" customHeight="1">
      <c r="A15" s="37" t="inlineStr">
        <is>
          <t>2000</t>
        </is>
      </c>
      <c r="B15" s="37" t="inlineStr">
        <is>
          <t>2000-3</t>
        </is>
      </c>
      <c r="C15" s="38" t="inlineStr">
        <is>
          <t>유틸리티/전력 가설 및 임시 배관·배선 설치</t>
        </is>
      </c>
      <c r="D15" s="37" t="inlineStr">
        <is>
          <t>2000-3-1</t>
        </is>
      </c>
      <c r="E15" s="38" t="inlineStr">
        <is>
          <t>유틸리티 임시 전력 설비 설치 및 접지 공사</t>
        </is>
      </c>
      <c r="F15" s="38" t="inlineStr">
        <is>
          <t>● 전기설비기술기준(산업부) 및 가설공사 표준시방서(전기)
● 가설 전력 분전반 접지 저항 100Ω 이하 정밀 시공</t>
        </is>
      </c>
      <c r="G15" s="38" t="inlineStr">
        <is>
          <t>[작업 절차]
1. 사전 준비 단계:
   - 설계 도서 및 시방 기준을 분석하여 유틸리티 임시 전력 설비 설치 및 접지 공사 작업을 위한 현장 실측 및 경계 측량을 수행함.
2. 본 시공 단계:
   - 한전 임시 수전 신청 및 전신주 변압기 설치 입회 작업을 표준 시공 절차에 준하여 시행하며, 실시간 수평도 및 치수 공차를 관리함.
3. 검사 및 마감 단계:
   - 현장 분전반 접지 공사(접지 저항 100Ω 이하 측정) 시험 및 품질 검사를 실측하고 기준값 만족 여부를 기록함. 외함 차단기(ELB, 감도전류 30mA 이하) 테스트 작업을 거쳐 노면 정리 및 안전 조치를 완료함.
[주의사항 (하자이력 연계)]
여름철 우천 시 가설 분전반 접지 불량으로 인한 작업자 감전 사고 발생</t>
        </is>
      </c>
      <c r="H15" s="38" t="inlineStr">
        <is>
          <t>□ 접지저항값 측정 및 기준(100Ω 이하) 만족 여부
□ 누전차단기 정격 감도 확인 및 일일 점검 완료
□ 고압 노출선 방호 케이싱 씌우기 여부
[집행단계 리스크 체크사항 (LLBS 연계)]
□ 개착 구조물 기초 바닥에 지하수 배제를 위한 맹암거 및 유공관이 반영되었는가?
□ 공사 중 집중호우(Frequency 10~20년 빈도)에 대비한 배수 펌프 용량과 예비 펌프가 산정되었는가?
□ 교량 시공용 대형 크레인(200ton 이상)의 아웃트리거 전개 폭을 고려하여 가교 폭이나 작업대(Staging)가 반영되었는가?
□ 항타기 등 대형 장비의 진입로 폭과 회전 반경이 현장 여건(농로, 마을길)과 부합하는가?</t>
        </is>
      </c>
      <c r="I15" s="38" t="inlineStr">
        <is>
          <t>토목/전기</t>
        </is>
      </c>
      <c r="J15" s="39" t="inlineStr">
        <is>
          <t>● 관련분야 설계기준서 준수</t>
        </is>
      </c>
      <c r="K15" s="39" t="inlineStr">
        <is>
          <t>● 가설 전기 설비 과과부하 누전으로 현장 화재 발생 및 임시 차단기 오동작 리스크를 검토하였는가?</t>
        </is>
      </c>
      <c r="L15" s="39" t="inlineStr">
        <is>
          <t>● 협력사 자문 내용 없음 또는 해당사항 없음</t>
        </is>
      </c>
    </row>
    <row r="16" ht="268.2" customHeight="1">
      <c r="A16" s="40" t="inlineStr">
        <is>
          <t>2000</t>
        </is>
      </c>
      <c r="B16" s="40" t="inlineStr">
        <is>
          <t>2000-4</t>
        </is>
      </c>
      <c r="C16" s="41" t="inlineStr">
        <is>
          <t>교통전환 계획 수립 및 공사 중 교통 관리</t>
        </is>
      </c>
      <c r="D16" s="40" t="inlineStr">
        <is>
          <t>2000-4-1</t>
        </is>
      </c>
      <c r="E16" s="41" t="inlineStr">
        <is>
          <t>우회 교통 차선 도색 및 안전 통제 조치</t>
        </is>
      </c>
      <c r="F16" s="41" t="inlineStr">
        <is>
          <t>● KCS 44 60 05 (노면표시) / KCS 21 20 05 (현장가설시설물)
● 임시 차선 휘도: 설치시 백색 240, 황색 150 mcd/(m²·lx) 이상 (5℃ 이하 시공 금지, KS L 2521 2호 유리알 1L당 800g 살포)
● 임시 차선테이프: 건조 백색 250 / 습윤 백색 500 mcd/(m²·lx), 미끄럼저항 45 BPN 이상
● 가설 펜스(울타리): 높이 1.8m 이상 (민감 지역 주거·상가 50m 이내 3.0m 이상), 지주 간격 1.8m 이내 고정
● 접근방지책: 높이 1.2m 이상 강관(φ48.6mm, 두께 2.4mm), 지주 간격 2.0m 이내 횡선대 3열 이상 설치
● 시선유도봉: 주황색 몸체 인증품, 주행 방향 앵커볼트 2개 대향 배치 고정
● 시선유도표지: 높이 900mm 설치, 설치 간격(직선 50m, R≤50m 급곡선 4~5m), 진행 방향 90°(직각) 설치
● 갈매기표지: 두께 3mm 이하 알루미늄판, 높이 1.2m 거치, R≤50m 급곡선 설치 간격 8m
● 교통안전표지: 알루미늄판(A5052P 등) 두께 3mm 이상, 지주 아연도금 550g/m² 이상(HDZ 55), KS A 3507 초고휘도 반사지 부착 (부착 시 실내 18~24℃, 습도 65% 이하 유지), 차량 진행 방향 직각(90°) 설치(시인성 고려 10° 이내 안쪽 조정)</t>
        </is>
      </c>
      <c r="G16" s="41" t="inlineStr">
        <is>
          <t>[작업 절차]
1. 사전 준비 단계:
   - 설계 도서 및 시방 기준을 분석하여 우회 교통 차선 도색 및 안전 통제 조치 작업을 위한 현장 실측 및 경계 측량을 수행함.
2. 본 시공 단계:
   - 경찰서 승인 평면도 기반 주·야간 교통 통제 표지 설치 작업을 표준 시공 절차에 준하여 시행하며, 실시간 수평도 및 치수 공차를 관리함.
3. 검사 및 마감 단계:
   - 고휘도 반사 페인트 차선 도색 및 시선유도봉(델리네이터) 장착 시험 및 품질 검사를 실측하고 기준값 만족 여부를 기록함. 야간 싸이키 등, LED 유도 표지판 전원 가동 작업을 거쳐 노면 정리 및 안전 조치를 완료함.
[주의사항 (하자이력 연계)]
굴착 전환부 야간 경고등 미설치로 민간 차량 가시설 추돌 사고 발생
● 협력업체 자문 
[레일운반] 18m/20m 장대레일 반입 시 가로수 저촉 우려가 있으며, 도심지 주간 운반 시 후송차량 및 전담 신호수 배치 필수
[차로점용] 노반공사 완료부 상면에서 장비 이동 및 작업은 문제없으나 배수관 보강이 수반되어야 하며, 협소구간은 100m 이내 압송 타설 권장</t>
        </is>
      </c>
      <c r="H16" s="41" t="inlineStr">
        <is>
          <t>□ 통제 구간 내 차선 도색 및 반사 시트 설치 여부
□ 야간 신호수 조광 유도봉 소지 여부
□ 보행자 안전 통로 확보 및 펜스 마감 상태
[집행단계 리스크 체크사항 (LLBS 연계)]
□ 굴착 바닥면의 피압수 용출 가능성(Boiling)을 검토하고 Well Point 등 지하수위 저하 공법을 반영했는가?
□ 개착 구조물 기초 바닥에 지하수 배제를 위한 맹암거 및 유공관이 반영되었는가?
□ 구조물 터파기 사면(Open Cut)의 상단 라인이 공사 부지 경계선 내에 들어오는가?
□ 흙막이 가시설과 본 구조물 사이에 거푸집 설치 및 작업자 이동 공간(최소 1m 이상)이 확보되었는가?</t>
        </is>
      </c>
      <c r="I16" s="41" t="inlineStr">
        <is>
          <t>토목/교통</t>
        </is>
      </c>
      <c r="J16" s="42" t="inlineStr">
        <is>
          <t>● [교통관리] 도로공사구간 차선 휘도: 설치시 백색 240, 황색 150 mcd/(m²·lx) 이상 (5℃ 이하 시공 금지, KS L 2521 2호 유리알 1L당 800g 살포)
● [교통관리] 임시 차선테이프: 건조 백색 250 / 습윤 백색 500 mcd/(m²·lx), 미끄럼저항 45 BPN 이상
● [교통관리] 가설 휀스: 높이 1.8m 이상 (민감 지역 주거·상가 50m 이내 3.0m 이상), 지주 간격 1.8m 이내
● [교통관리] 접근방지책: 높이 1.2m 이상 강관(φ48.6mm, 두께 2.4mm), 지주 간격 2.0m 이내, 횡선대 3열 이상 설치
● [교통관리] 안전표지: 알루미늄판 두께 3mm 이상, 아연도금 550g/m² 이상(HDZ 55), KS A 3507 초고휘도 반사지 부착, 진행방향 직각(90°) 설치(10° 이내 안쪽 조정)</t>
        </is>
      </c>
      <c r="K16" s="42" t="inlineStr">
        <is>
          <t>● 굴착 전환부 야간 경고등 미설치로 민간 차량 가시설 추돌 사고 발생 리스크를 검토하였는가?</t>
        </is>
      </c>
      <c r="L16" s="42" t="inlineStr">
        <is>
          <t>● [레일운반] 18m/20m 장대레일 반입 시 가로수 저촉 우려가 있으며, 도심지 주간 운반 시 후송차량 및 전담 신호수 배치 필수
● [차로점용] 노반공사 완료부 상면에서 장비 이동 및 작업은 문제없으나 배수관 보강이 수반되어야 하며, 협소구간은 100m 이내 압송 타설 권장</t>
        </is>
      </c>
    </row>
    <row r="17" ht="22.05" customHeight="1">
      <c r="A17" s="94" t="inlineStr">
        <is>
          <t>3000  교차로 공사 (Intersection Works)</t>
        </is>
      </c>
      <c r="B17" s="95" t="n"/>
      <c r="C17" s="95" t="n"/>
      <c r="D17" s="95" t="n"/>
      <c r="E17" s="95" t="n"/>
      <c r="F17" s="95" t="n"/>
      <c r="G17" s="95" t="n"/>
      <c r="H17" s="95" t="n"/>
      <c r="I17" s="95" t="n"/>
      <c r="J17" s="95" t="n"/>
      <c r="K17" s="95" t="n"/>
      <c r="L17" s="96" t="n"/>
    </row>
    <row r="18" ht="177.6" customHeight="1">
      <c r="A18" s="37" t="inlineStr">
        <is>
          <t>3000</t>
        </is>
      </c>
      <c r="B18" s="37" t="inlineStr">
        <is>
          <t>3000-1</t>
        </is>
      </c>
      <c r="C18" s="38" t="inlineStr">
        <is>
          <t>교차로 구간 지장물 조사 및 인허가 협의</t>
        </is>
      </c>
      <c r="D18" s="37" t="inlineStr">
        <is>
          <t>3000-1-1</t>
        </is>
      </c>
      <c r="E18" s="38" t="inlineStr">
        <is>
          <t>교차로 지하매설물 대장 수집 및 사전계획수립</t>
        </is>
      </c>
      <c r="F18" s="38" t="inlineStr">
        <is>
          <t>● 국토지리정보원 지하정보 통합지도 구축 및 활용 지침 규정</t>
        </is>
      </c>
      <c r="G18" s="38" t="inlineStr">
        <is>
          <t>[작업 절차]
1. 사전 준비 단계:
   - 설계 도서 및 시방 기준을 분석하여 교차로 지하매설물 대장 수집 및 사전계획수립 작업을 위한 현장 실측 및 경계 측량을 수행함.
2. 본 시공 단계:
   - 지자체 상하수도, 한국가스공사, 전력/통신사 도면 수집 작업을 표준 시공 절차에 준하여 시행하며, 실시간 수평도 및 치수 공차를 관리함.
3. 검사 및 마감 단계:
   - GIS 데이터 기반 교차로 중심 횡단면도 중첩 작성 시험 및 품질 검사를 실측하고 기준값 만족 여부를 기록함. 이설/보강 대책이 필요한 중대 지장물 목록 확정 작업을 거쳐 노면 정리 및 안전 조치를 완료함.
[주의사항 (하자이력 연계)]
지하시설물 정보 불일치로 굴착 중 상수도 주관 파손, 상가 단수 민원 폭주
● 협력업체 자문(정주건설/트리플건설)
[시공순서] 일반구간 선시공 후 교차로 시공이 시공성 면에서 유리하나, 교차로 선시공 시 차량 통행에 의한 레일 파손 우려 대응 필요 (일반 및 교차로 작업조 통합 운영 권장)
● [교차로PST] 신속한 교통 개방을 위해 프리캐스트(PST) 패널 공법을 적용하되, 아스콘 접속부 처리가 지연되면 개방 효과가 미미하므로 교차로 길이 및 현장 차선 수별 세부 시공계획 필수</t>
        </is>
      </c>
      <c r="H18" s="38" t="inlineStr">
        <is>
          <t>□ 관리기관별 지장물 대장 최신 여부 확인
□ 고압가스, 특별고압 송전선로 간섭 여부 표시
□ 도면 중첩 분석 보고서 작성 완료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자재 발주 전 도면상 명기된 배수 관련 부속 자재가 내역에 있는지 전수 조사했는가?
□ 접속부 시공 전 배수판/동판 설치 상세를 작업자에게 교육했는가?</t>
        </is>
      </c>
      <c r="I18" s="38" t="inlineStr">
        <is>
          <t>토목/행정</t>
        </is>
      </c>
      <c r="J18" s="39" t="inlineStr">
        <is>
          <t>● 관련분야 설계기준서 준수</t>
        </is>
      </c>
      <c r="K18" s="39" t="inlineStr">
        <is>
          <t>● 지장물 위치 측량 데이터 누락으로 굴착 중 타 기관 지중 설비 오타격 파손 리스크를 검토하였는가?</t>
        </is>
      </c>
      <c r="L18" s="39" t="inlineStr">
        <is>
          <t>● 협력사 자문 내용 없음 또는 해당사항 없음</t>
        </is>
      </c>
    </row>
    <row r="19" ht="139.95" customHeight="1">
      <c r="A19" s="40" t="inlineStr">
        <is>
          <t>3000</t>
        </is>
      </c>
      <c r="B19" s="40" t="inlineStr">
        <is>
          <t>3000-1</t>
        </is>
      </c>
      <c r="C19" s="41" t="inlineStr">
        <is>
          <t>교차로 구간 지장물 조사 및 인허가 협의</t>
        </is>
      </c>
      <c r="D19" s="40" t="inlineStr">
        <is>
          <t>3000-1-2</t>
        </is>
      </c>
      <c r="E19" s="41" t="inlineStr">
        <is>
          <t>현장 지하매설물 탐지(GPR) 및 인력 시험 굴착</t>
        </is>
      </c>
      <c r="F19" s="41" t="inlineStr">
        <is>
          <t>● KCS 11 10 10 (지장물 탐사 및 이설 공사 표준시방서)
● 백호우 장비 사용 전 필수 인력 굴착(폭 1.0m, 깊이 2.0m) 선행</t>
        </is>
      </c>
      <c r="G19" s="41" t="inlineStr">
        <is>
          <t>[상세 작업 절차 - 정밀 관리]
1. 사전 설계도 분석 및 매핑:
   - 지하시설물 정보통신 대장 및 기존 GIS 데이터를 중첩하여 탐사 영역(교차로 개소별)을 3D 격자망으로 사전 분할함.
2. GPR 장비 셋업 및 검교정:
   - 250MHz/600MHz 이중 주파수 GPR 안테나 장비를 현장 노면에 셋업하고, 지반 유전율 및 수분 상태에 따른 반사 신호 검교정을 수행함.
3. 정밀 GPR 스캐닝 실시:
   - 노면 격자 라인(최소 0.5m 간격)을 따라 스캔을 실시하여 종횡단 단면의 반사 신호(Hyperbola)를 실시간 획득함.
4. 공동 및 이상 대역 탐지 분석:
   - 획득된 원시 데이터를 소프트웨어를 통해 필터링하여 지중 공동 및 금속/비금속 매설관(상수도, 가스관, 케이블 등)의 예상 심도(오차 ±10cm)를 추정함.
5. 현장 인력 시험 굴착 및 확인:
   - 중장비 굴착 전, 예상 지장물 심도 상부 1.0m 지점까지는 백호우로 굴착하고, 이후 유관기관 입회 하에 인력 굴착(폭 1.0m, 깊이 2.0m 이상)을 통해 지장물의 정확한 관종, 외경, 재질을 육안 확인하고 GIS 측량을 시행하여 위치를 확정함.
[주의사항 (하자이력 연계)]
장비 굴착 중 도면에 없던 한전 고압 케이블 포크레인 버킷 접촉 사고</t>
        </is>
      </c>
      <c r="H19" s="41" t="inlineStr">
        <is>
          <t>□ GPR 검출 자료와 설계도면 불일치 구간 확인
□ 백호우 장비 사용 전 인력 굴착 선행 여부
□ 노출 매설물 종류 및 재질 태그 기록 보관
[집행단계 리스크 체크사항 (LLBS 연계)]
□ 기초 터파기 구간의 지반 조건(연약지반)을 고려할 때 사면 경사를 유지할 부지가 충분한가?
□ 구조물 터파기 사면(Open Cut)의 상단 라인이 공사 부지 경계선 내에 들어오는가?
□ 자재 발주 전 도면상 명기된 배수 관련 부속 자재가 내역에 있는지 전수 조사했는가?
□ 접속부 시공 전 배수판/동판 설치 상세를 작업자에게 교육했는가?</t>
        </is>
      </c>
      <c r="I19" s="41" t="inlineStr">
        <is>
          <t>토목</t>
        </is>
      </c>
      <c r="J19" s="42" t="inlineStr">
        <is>
          <t>● 관련분야 설계기준서 준수</t>
        </is>
      </c>
      <c r="K19" s="42" t="inlineStr">
        <is>
          <t>● 지하 매설 특수 지장물(고압 한전 가스관) 정밀 탐사 지연으로 후속 토공 착수 무기한 연기 리스크를 검토하였는가?</t>
        </is>
      </c>
      <c r="L19" s="42" t="inlineStr">
        <is>
          <t>● 협력사 자문 내용 없음 또는 해당사항 없음</t>
        </is>
      </c>
    </row>
    <row r="20" ht="139.95" customHeight="1">
      <c r="A20" s="37" t="inlineStr">
        <is>
          <t>3000</t>
        </is>
      </c>
      <c r="B20" s="37" t="inlineStr">
        <is>
          <t>3000-1</t>
        </is>
      </c>
      <c r="C20" s="38" t="inlineStr">
        <is>
          <t>교차로 구간 지장물 조사 및 인허가 협의</t>
        </is>
      </c>
      <c r="D20" s="37" t="inlineStr">
        <is>
          <t>3000-1-3</t>
        </is>
      </c>
      <c r="E20" s="38" t="inlineStr">
        <is>
          <t>지장물 관리기관 합동 회의 및 이설 협의서 날인</t>
        </is>
      </c>
      <c r="F20" s="38" t="inlineStr">
        <is>
          <t>● 도로법 시행령 제43조(점용료 및 지장물 이설 비용 정산 기준)</t>
        </is>
      </c>
      <c r="G20" s="38" t="inlineStr">
        <is>
          <t>[작업 절차]
1. 사전 준비 단계:
   - 설계 도서 및 시방 기준을 분석하여 지장물 관리기관 합동 회의 및 이설 협의서 날인 작업을 위한 현장 실측 및 경계 측량을 수행함.
2. 본 시공 단계:
   - 관할 지자체 및 가스/전력 관리기관 담당자 현장 공동 실사 주관 작업을 표준 시공 절차에 준하여 시행하며, 실시간 수평도 및 치수 공차를 관리함.
3. 검사 및 마감 단계:
   - 이설 공법 및 임시 우회 선로 방안 협의록 조율 시험 및 품질 검사를 실측하고 기준값 만족 여부를 기록함. 분담금 정산 비율이 명시된 이설 합의 승인서 날인 작업을 거쳐 노면 정리 및 안전 조치를 완료함.
[주의사항 (하자이력 연계)]
이설 비용 분담 협의 미결 상태로 장시간 방치되어 전체 공기 3개월 지연</t>
        </is>
      </c>
      <c r="H20" s="38" t="inlineStr">
        <is>
          <t>□ 관리기관 공동 서명 날인서 확보 완료
□ 이설 비용 청구 및 실행 예산 승인 여부
□ 이설 우회 루트 지반 지지력 확인 완료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도로/철도 횡단 구간의 낙하물 방지 시설이 '그물망'이 아닌 '방호 선반(강판/합판)'으로 설계되었는가?
□ 특수 교각(Y형, V형) 시공 시 상부 하중을 지지할 가설 벤트가 내역에 있는가?</t>
        </is>
      </c>
      <c r="I20" s="38" t="inlineStr">
        <is>
          <t>토목/행정</t>
        </is>
      </c>
      <c r="J20" s="39" t="inlineStr">
        <is>
          <t>● 관련분야 설계기준서 준수</t>
        </is>
      </c>
      <c r="K20" s="39" t="inlineStr">
        <is>
          <t>● 지장물 이설 공사비 정산 지연으로 해당 유관 부처 협의 지연 및 행정 조치 보완 리스크를 검토하였는가?</t>
        </is>
      </c>
      <c r="L20" s="39" t="inlineStr">
        <is>
          <t>● 협력사 자문 내용 없음 또는 해당사항 없음</t>
        </is>
      </c>
    </row>
    <row r="21" ht="139.95" customHeight="1">
      <c r="A21" s="40" t="inlineStr">
        <is>
          <t>3000</t>
        </is>
      </c>
      <c r="B21" s="40" t="inlineStr">
        <is>
          <t>3000-2</t>
        </is>
      </c>
      <c r="C21" s="41" t="inlineStr">
        <is>
          <t>교차로 지장물 이설 및 방호·보강 공사</t>
        </is>
      </c>
      <c r="D21" s="40" t="inlineStr">
        <is>
          <t>3000-2-1</t>
        </is>
      </c>
      <c r="E21" s="41" t="inlineStr">
        <is>
          <t>교차로 지장물 임시/영구 이설 시공</t>
        </is>
      </c>
      <c r="F21" s="41" t="inlineStr">
        <is>
          <t>● KCS 11 10 15 (상수도 배관 시공 표준시방서)
● 임시 이설 상수도 기밀 수압시험(설계 규정압력의 1.5배, 1시간 유지)</t>
        </is>
      </c>
      <c r="G21" s="41" t="inlineStr">
        <is>
          <t>[상세 작업 절차 - 정밀 관리]
1. 우회 이설 계획 수립 및 밸브 차단:
   - 이설 노선에 대한 임시 우회 배관 자재(용접강관, PE관 등) 및 차수 밸브 위치를 점검하고, 단수/차단 일정에 대해 지자체 및 유관기관 사전 공고를 완료함.
2. 이설 대상관 노출 및 방호:
   - 백호우 굴착 후 노출된 기존 상수도/가스관에 충격 방지용 EPDM 고무 패드를 피복하고 안전 벤트 가시설을 건립하여 구조적 안정성을 유지함.
3. 임시 바이패스 관로 포설 및 조인트 접합:
   - 규격 배관을 현장 정밀 재단하여 설계 경로로 포설하고, 융착 접합 및 플랜지 볼트 체결(토크 렌치 정밀 제어)을 수행하여 기밀성을 확보함.
4. 수압 시험 및 플러싱 소독:
   - 신설 우회 관로 내부를 플러싱하여 이물질을 제거하고, 규정 수압(설계 압력의 1.5배, 최소 1.0 MPa)을 가해 1시간 동안 누수 및 압력 강하 여부를 정밀 확인하고 성적서를 작성함.
5. 관로 전환 및 되메우기:
   - 야간 차단 시간 내에 기존 관로에서 우회 관로로 유체를 전환(Tie-in) 접합하고, 되메우기(모래 두께 300mm 보호층 및 양질토 분할 다짐)를 완료함.
[주의사항 (하자이력 연계)]
임시 이설한 상수도관 연결부 수압 불량으로 누수 발생, 도로 지반 함몰</t>
        </is>
      </c>
      <c r="H21" s="41" t="inlineStr">
        <is>
          <t>□ 단수 안내문 발송 및 비상 급수 대책 수립 확인
□ 수압시험 합격 기준(압력 강하 0.02MPa 이하) 확인
□ 접합부 용접 및 프랜지 조임 검측 상태
[집행단계 리스크 체크사항 (LLBS 연계)]
□ 교량 시공용 대형 크레인(200ton 이상)의 아웃트리거 전개 폭을 고려하여 가교 폭이나 작업대(Staging)가 반영되었는가?
□ 구조물 터파기 사면(Open Cut)의 상단 라인이 공사 부지 경계선 내에 들어오는가?
□ 하부 도로/구조물이 상부 시공 하중(크레인+거더)을 견딜 수 있는가?
□ 벤트 위치가 하부 교통 흐름이나 구조물과 간섭되지 않는가?</t>
        </is>
      </c>
      <c r="I21" s="41" t="inlineStr">
        <is>
          <t>토목/기계</t>
        </is>
      </c>
      <c r="J21" s="42" t="inlineStr">
        <is>
          <t>● 관련분야 설계기준서 준수</t>
        </is>
      </c>
      <c r="K21" s="42" t="inlineStr">
        <is>
          <t>● 임시 이설한 상수도관 연결부 수압 불량으로 누수 발생, 도로 지반 함몰 리스크를 검토하였는가?</t>
        </is>
      </c>
      <c r="L21" s="42" t="inlineStr">
        <is>
          <t>● 협력사 자문 내용 없음 또는 해당사항 없음</t>
        </is>
      </c>
    </row>
    <row r="22" ht="139.95" customHeight="1">
      <c r="A22" s="37" t="inlineStr">
        <is>
          <t>3000</t>
        </is>
      </c>
      <c r="B22" s="37" t="inlineStr">
        <is>
          <t>3000-2</t>
        </is>
      </c>
      <c r="C22" s="38" t="inlineStr">
        <is>
          <t>교차로 지장물 이설 및 방호·보강 공사</t>
        </is>
      </c>
      <c r="D22" s="37" t="inlineStr">
        <is>
          <t>3000-2-2</t>
        </is>
      </c>
      <c r="E22" s="38" t="inlineStr">
        <is>
          <t>이설 불가 지장물 방호공(H-Beam 매달기) 시공</t>
        </is>
      </c>
      <c r="F22" s="38" t="inlineStr">
        <is>
          <t>● 건설공사용 가설구조물 설계기준(KDS 21 00 00) 구조 안전율 준수</t>
        </is>
      </c>
      <c r="G22" s="38" t="inlineStr">
        <is>
          <t>[상세 작업 절차 - 정밀 관리]
1. 지장물 노출 및 계측기 부착:
   - 이설 불가 매설 가스관/통신관 구간을 인력 굴착으로 완전히 노출시키고, 관 표면에 변형률 게이지(Strain Gauge) 및 처짐 측정용 틸트센서를 부착함.
2. 방호 H-Beam 파일 천공 및 근입:
   - 지장물 외곽 양측에 규격 H-Beam(300x300mm) 수직 파일을 오거로 천공 및 근입하고, 그라우팅 주입으로 지지력을 확보함.
3. 매달기 크로스 거더 설치:
   - 수직 H-Beam 상부에 횡방향 H-Beam 크로스 거더를 정밀 볼트 조임 및 용접 접합하여 강결 구조를 형성함.
4. 행거 와이어 조립 및 장력 도입:
   - 특수 강재 행거 플레이트와 고장력 턴버클 와이어를 크로스 거더와 지장물 받침대(Saddle) 사이에 조립하고, 설계 하중 분배를 고려하여 와이어 턴버클 장력을 고르게 도입(토크 렌치 제어)함.
5. 거푸집 가설 및 시공 중 상시 모니터링:
   - 가시설 흙막이판 설치 시 방호 구간 하부에 낙석 방지 판넬을 추가 설치하고, 토공 굴착 및 본체 시공 중 지장물의 미세 침하(허용치 ±2mm 이내) 여부를 실시간 계측기로 모니터링함.
[주의사항 (하자이력 연계)]
매달기 방호공의 와이어 장력 이완으로 가스관 침하 및 이음부 가스 누출</t>
        </is>
      </c>
      <c r="H22" s="38" t="inlineStr">
        <is>
          <t>□ H-Beam 매달기 와이어 조임 및 턴버클 체결 강도
□ 매설관 하부 처짐 방지용 패드 밀착 상태
□ 변위 측정 센서 초기 리셋 및 일일 기록 여부
[집행단계 리스크 체크사항 (LLBS 연계)]
□ 구조물 터파기 사면(Open Cut)의 상단 라인이 공사 부지 경계선 내에 들어오는가?
□ 기초 터파기 구간의 지반 조건(연약지반)을 고려할 때 사면 경사를 유지할 부지가 충분한가?
□ 동바리 높이가 10m를 초과하는 구간에 대해 시스템 동바리가 적용되었는가?
□ 좌굴 안정성 검토가 수행되었는가?</t>
        </is>
      </c>
      <c r="I22" s="38" t="inlineStr">
        <is>
          <t>토목</t>
        </is>
      </c>
      <c r="J22" s="39" t="inlineStr">
        <is>
          <t>● 관련분야 설계기준서 준수</t>
        </is>
      </c>
      <c r="K22" s="39" t="inlineStr">
        <is>
          <t>● 매달기 방호공의 와이어 장력 이완으로 가스관 침하 및 이음부 가스 누출 리스크를 검토하였는가?</t>
        </is>
      </c>
      <c r="L22" s="39" t="inlineStr">
        <is>
          <t>● 협력사 자문 내용 없음 또는 해당사항 없음</t>
        </is>
      </c>
    </row>
    <row r="23" ht="139.95" customHeight="1">
      <c r="A23" s="40" t="inlineStr">
        <is>
          <t>3000</t>
        </is>
      </c>
      <c r="B23" s="40" t="inlineStr">
        <is>
          <t>3000-3</t>
        </is>
      </c>
      <c r="C23" s="41" t="inlineStr">
        <is>
          <t>교차로 토공 굴착 및 가시설 설치</t>
        </is>
      </c>
      <c r="D23" s="40" t="inlineStr">
        <is>
          <t>3000-3-1</t>
        </is>
      </c>
      <c r="E23" s="41" t="inlineStr">
        <is>
          <t>교차로 아스팔트 포장 깨기 및 단계별 굴착</t>
        </is>
      </c>
      <c r="F23" s="41" t="inlineStr">
        <is>
          <t>● KCS 11 20 15 (토공사 굴착 표준시방서)
● 굴착 사면 경사면 구배 확보(사질토 1:1.0, 암반 1:0.5)</t>
        </is>
      </c>
      <c r="G23" s="41" t="inlineStr">
        <is>
          <t>[작업 절차]
1. 사전 준비 단계:
   - 설계 도서 및 시방 기준을 분석하여 교차로 아스팔트 포장 깨기 및 단계별 굴착 작업을 위한 현장 실측 및 경계 측량을 수행함.
2. 본 시공 단계:
   - 도로 커터를 이용하여 차선별 외곽 라인 정밀 컷팅(깊이 150mm) 작업을 표준 시공 절차에 준하여 시행하며, 실시간 수평도 및 치수 공차를 관리함.
3. 검사 및 마감 단계:
   - 백호우 브레이커 작업 시 비산방지망 설치 시험 및 품질 검사를 실측하고 기준값 만족 여부를 기록함. 굴착 단계별 법면 구배 유지(사질토 1:1.0, 암반 1:0.5) 작업을 거쳐 노면 정리 및 안전 조치를 완료함.
[주의사항 (하자이력 연계)]
굴착 단면 경사 방치로 우천 시 법면 붕괴 및 주변 통제 펜스 탈락</t>
        </is>
      </c>
      <c r="H23" s="41" t="inlineStr">
        <is>
          <t>□ 도로 정밀 컷팅 라인 일치 및 인접 포장 파손 유무
□ 살수기 가동 및 비산 먼지 제어 상태
□ 굴착면 기울기 및 굴착 깊이 설계값 일치 여부
[집행단계 리스크 체크사항 (LLBS 연계)]
□ 가시설 굴착 심도가 지하수위 아래에 위치하는가?
□ 토류판 적용 시 차수 그라우팅 비용이 반영되었는가?
□ 개착 구조물 기초 바닥에 지하수 배제를 위한 맹암거 및 유공관이 반영되었는가?
□ 항타기 등 대형 장비의 진입로 폭과 회전 반경이 현장 여건(농로, 마을길)과 부합하는가?</t>
        </is>
      </c>
      <c r="I23" s="41" t="inlineStr">
        <is>
          <t>토목</t>
        </is>
      </c>
      <c r="J23" s="42" t="inlineStr">
        <is>
          <t>● [토질기초] 깎기 비탈면 표준 경사: 풍화암 1:1.0~1:1.2, 연암(절리직각) 1:0.5~1:0.7, 경암(절리직각) 1:0.3~1:0.5
● [토질기초] 깎기 비탈면 기준 안전율: 건기 Fs &gt; 1.5, 우기 Fs &gt; 1.2 (지하수위 1/2 포화 시)
● [토질기초] 가설 흙막이 안전율: 근입깊이 1.2, 보일링 1.5, 히빙 1.5, 앵커 인발(단기) 1.5 이상</t>
        </is>
      </c>
      <c r="K23" s="42" t="inlineStr">
        <is>
          <t>● 굴착 단면 경사 방치로 우천 시 법면 붕괴 및 주변 통제 펜스 탈락 리스크를 검토하였는가? (교차로 궤도 [10] [12] 연계)
● 지그 고정 불량으로 플랜지웨이 폭이 47mm를 초과해 휠체어·자전거 전도 사고가 발생할 리스크를 검토하였는가?</t>
        </is>
      </c>
      <c r="L23" s="42" t="inlineStr">
        <is>
          <t>● [시공순서] 일반구간 선시공 후 교차로 시공이 시공성 면에서 유리하나, 교차로 선시공 시 차량 통행에 의한 레일 파손 우려 대응 필요 (일반 및 교차로 작업조 통합 운영 권장)</t>
        </is>
      </c>
    </row>
    <row r="24" ht="139.95" customHeight="1">
      <c r="A24" s="37" t="inlineStr">
        <is>
          <t>3000</t>
        </is>
      </c>
      <c r="B24" s="37" t="inlineStr">
        <is>
          <t>3000-3</t>
        </is>
      </c>
      <c r="C24" s="38" t="inlineStr">
        <is>
          <t>교차로 토공 굴착 및 가시설 설치</t>
        </is>
      </c>
      <c r="D24" s="37" t="inlineStr">
        <is>
          <t>3000-3-2</t>
        </is>
      </c>
      <c r="E24" s="38" t="inlineStr">
        <is>
          <t>교차로 단계별 교통 전환 방호벽 설치 및 노출 지장물 방호</t>
        </is>
      </c>
      <c r="F24" s="38" t="inlineStr">
        <is>
          <t>● KCS 21 20 05 (가설안전시설물) / KCS 11 10 10 (지장물 이설공사)
● 교통 차단 PE 방호벽 물채움 고정 및 노출 매설관 턴버클 매달기 수직 처짐 통제</t>
        </is>
      </c>
      <c r="G24" s="38" t="inlineStr">
        <is>
          <t>[작업 절차]
1. 사전 준비 단계:
   - 설계 도서 및 시방 기준을 분석하여 교차로 단계별 교통 전환 방호벽 설치 및 노출 지장물 방호 작업을 위한 현장 실측 및 경계 측량을 수행함.
2. 본 시공 단계:
   - 교차로 단계별 점용 차선 경계부에 PE 방호벽(물채움 충진 필수) 및 안전 펜스를 정밀 건주할 것 작업을 표준 시공 절차에 준하여 시행하며, 실시간 수평도 및 치수 공차를 관리함.
3. 검사 및 마감 단계:
   - 야간 시인성 확보를 위해 PE 방호벽 상부 델리네이터 및 경고 발광 다이오드(LED) 조밀 거치 시험 및 품질 검사를 실측하고 기준값 만족 여부를 기록함. 굴착 중 노출된 상수도/한전관 등 연약 매설물 처짐 방지용 H-Beam 지탱 보강 또는 턴버클 매달기 방호 처치 작업을 거쳐 노면 정리 및 안전 조치를 완료함.
[주의사항 (하자이력 연계)]
임시 차선 차단 PE 방호벽 전도에 따른 교차로 추돌 사고 발생 및 노출 매설관(가스/상수도) 지탱 부실로 인한 관 처짐 미세 균열 발생</t>
        </is>
      </c>
      <c r="H24" s="38" t="inlineStr">
        <is>
          <t>□ PE 방호벽 물채움 및 연결 핀 결속 상태
□ 야간 경고등 정상 작동 및 시인성 확보 여부
□ 노출 지장물 처짐 방지 지탱대 거치 상태
□ 임시 지철판 단차 미끄럼 방지 고무 패드 설치 여부
[집행단계 리스크 체크사항 (LLBS 연계)]
□ 가시설 굴착 심도가 지하수위 아래에 위치하는가?
□ 토류판 적용 시 차수 그라우팅 비용이 반영되었는가?
□ 개착 구조물 기초 바닥에 지하수 배제를 위한 맹암거 및 유공관이 반영되었는가?
□ 항타기 등 대형 장비의 진입로 폭과 회전 반경이 현장 여건(농로, 마을길)과 부합하는가?</t>
        </is>
      </c>
      <c r="I24" s="38" t="inlineStr">
        <is>
          <t>토목</t>
        </is>
      </c>
      <c r="J24" s="39" t="inlineStr">
        <is>
          <t>● [토질기초] 가시설 흙막이벽 허용 수평변위: 강성 0.002H, 보통 0.0025H, 연성 0.003H (H: 굴착심도)
● [토질기초] 인접 도로 허용 침하량: 25mm 이하</t>
        </is>
      </c>
      <c r="K24" s="39" t="inlineStr">
        <is>
          <t>● 임시 차선 차단 PE 방호벽 전도에 따른 교차로 추돌 사고 발생 및 노출 매설관(가스/상수도) 지탱 부실로 인한 관 처짐 미세 균열 발생</t>
        </is>
      </c>
      <c r="L24" s="39" t="inlineStr">
        <is>
          <t>● [교차로PST] 신속한 교통 개방을 위해 프리캐스트(PST) 패널 공법을 적용하되, 아스콘 접속부 처리가 지연되면 개방 효과가 미미하므로 교차로 길이 및 현장 차선 수별 세부 시공계획 필수
● [박스구간] 개착박스 내 협소 공간 시공 시 별도 특수 장비 없이 일반 장비와 가이드롤러를 조합하여 시공 가능</t>
        </is>
      </c>
    </row>
    <row r="25" ht="139.95" customHeight="1">
      <c r="A25" s="40" t="inlineStr">
        <is>
          <t>3000</t>
        </is>
      </c>
      <c r="B25" s="40" t="inlineStr">
        <is>
          <t>3000-4</t>
        </is>
      </c>
      <c r="C25" s="41" t="inlineStr">
        <is>
          <t>교차로 노반·RC-PC 구조물 설치 및 마감 공사</t>
        </is>
      </c>
      <c r="D25" s="40" t="inlineStr">
        <is>
          <t>3000-4-1</t>
        </is>
      </c>
      <c r="E25" s="41" t="inlineStr">
        <is>
          <t>기초 지반 정밀 정리 및 지내력 평판재하시험(PBT)</t>
        </is>
      </c>
      <c r="F25" s="41" t="inlineStr">
        <is>
          <t>● KDS 11 50 15 (얕은기초 설계기준)
● 교차로 노반 하부 기초 허용 지내력(최소 200 kN/m²) 도달 시험</t>
        </is>
      </c>
      <c r="G25" s="41" t="inlineStr">
        <is>
          <t>[상세 작업 절차 - 정밀 관리]
1. 시험 위치 선정 및 노면 정지:
   - 설계도상 노반 기초 평판재하시험(PBT) 위치(정거장 기초, 교량 교대 등 최소 3개소)를 마킹하고, 시험 구역 지반을 흙판 등으로 평탄하게 정리(요철 2mm 이하)함.
2. 시험판 및 재하시설 세팅:
   - 직경 300mm 원형 강제 재하판을 지반에 수평 안착시키고, 반력 하중용 중장비(20톤 백호우 또는 덤프트럭)의 하중 중심에 잭(Jack)을 배치함.
3. 다이얼 게이지 및 측정 장치 세팅:
   - 지반 침하량 측정을 위한 마이크로 다이얼 게이지(측정 정밀도 0.01mm) 3개를 재하판 주위에 삼각 형태로 대칭 배치하고 기준 빔에 고정함.
4. 단계별 하중 재하 및 침하량 실측:
   - 설계 최대 재하 하중(150 kN/m2 확보 목적)을 5~8단계로 나누어 누적 재하함. 각 단계별 하중을 15분 이상 유지하며 지반 변형률 및 침하 속도가 안정될 때까지 다이얼 게이지 값을 실측 기록함.
5. 지내력 평가 및 노반 변형계수(Ev1, Ev2) 도출:
   - 압력-침하량 곡선을 분석하여 극한 지지력을 도출하고, 변형계수비(Ev2/Ev1)가 시방 기준(2.0 이하)을 충족하는지 검증하여 합격 판정 후 시험 성적서를 작성 및 서명함.
[주의사항 (하자이력 연계)]
교차로 노반 하부 지반 지내력 부족으로 트램 시공 후 부등 침하 발생(선형 변형)</t>
        </is>
      </c>
      <c r="H25" s="41" t="inlineStr">
        <is>
          <t>□ 바닥면 배수 처리 및 느슨한 흙 제거 상태
□ 평판재하시험(PBT) 성적서 결과 값(200 kN/m2 이상)
□ 침하량-하중 곡선 상 항복점 유무 확인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배수펌프장 등 필수 운영 시설의 가동 기간이 전체 공사 기간과 연동되어 있는가?
□ 도심지 공사 시 교통 처리 계획에 따른 가시설 존치 기간이 적정하게 산정되었는가?</t>
        </is>
      </c>
      <c r="I25" s="41" t="inlineStr">
        <is>
          <t>토목/노반</t>
        </is>
      </c>
      <c r="J25" s="42" t="inlineStr">
        <is>
          <t>● [토질기초] 직접기초 허용 지내력 연직지지력 저항계수 0.45 (극한한계상태), 1.0 (사용/극단한계상태)
● [토질기초] 지반의 분류: 전단파속도 Vs 기준 S1(암반) ~ S5(깊고 연약한 지반) 구분 적용</t>
        </is>
      </c>
      <c r="K25" s="42" t="inlineStr">
        <is>
          <t>● 교차로 노반 하부 지반 지내력 부족으로 트램 시공 후 부등 침하 발생(선형 변형) 리스크를 검토하였는가?</t>
        </is>
      </c>
      <c r="L25" s="42" t="inlineStr">
        <is>
          <t>● 협력사 자문 내용 없음 또는 해당사항 없음</t>
        </is>
      </c>
    </row>
    <row r="26" ht="139.95" customHeight="1">
      <c r="A26" s="37" t="inlineStr">
        <is>
          <t>3000</t>
        </is>
      </c>
      <c r="B26" s="37" t="inlineStr">
        <is>
          <t>3000-4</t>
        </is>
      </c>
      <c r="C26" s="38" t="inlineStr">
        <is>
          <t>교차로 노반·RC-PC 구조물 설치 및 마감 공사</t>
        </is>
      </c>
      <c r="D26" s="37" t="inlineStr">
        <is>
          <t>3000-4-2</t>
        </is>
      </c>
      <c r="E26" s="38" t="inlineStr">
        <is>
          <t>프리캐스트(PC) 노반 구조물 크레인 정밀 거치</t>
        </is>
      </c>
      <c r="F26" s="38" t="inlineStr">
        <is>
          <t>● KCS 14 20 53 (프리캐스트 콘크리트 공사 표준시방서)
● PC 블록 접합 조인트 채움 무수축 몰탈 규정 강도(최소 30 MPa) 확보</t>
        </is>
      </c>
      <c r="G26" s="38" t="inlineStr">
        <is>
          <t>[상세 작업 절차 - 정밀 관리]
1. 노반 기초면 실측 및 청소:
   - 프리캐스트(PC) 노반 구조물이 안착될 하부 콘크리트 기초면의 중심선 및 높이를 광파기로 정밀 실측하고, 레이턴스(불순물) 및 먼지를 와이어 브러시로 완전히 청소함.
2. 인양 크레인 세팅 및 줄걸이 점검:
   - 투입될 이동식 크레인(200톤급 이상)의 아웃트리거 밑판 보강 지반 다짐을 완료하고, 슬링 와이어(4점식 샤클 연결)의 마모 상태를 육안 점검함.
3. PC 블록 인양 및 가거치:
   - PC 노반 블록(중량 약 15톤)을 서서히 수평 인양하여 안착 위치 상부 30cm 지점까지 하강시킨 후, 정밀 가이드 지그를 사용해 가거치함.
4. 3D 정밀 얼라인먼트 조정:
   - 광파기 및 정밀 레벨기를 활용하여 PC 블록 간 접합 조인트 단차(허용오차 ±1mm 이내) 및 중심선 틀림을 미세 유압 잭으로 상하좌우 정밀 조정함.
5. 무수축 몰탈 충진 및 습윤 양생:
   - 접합부에 조인트 폼재를 기밀 가설하고, 고강도 무수축 몰탈(설계 강도 40 MPa 이상)을 공극 없이 가압 충진함. 충진 완료 후 충격 및 진동을 차단하고 최소 3일간 습윤 포를 덮어 양생을 시행함.
[주의사항 (하자이력 연계)]
PC 노반 블록 간 조인트 단차 및 접합 무수축 몰탈 충진 부족으로 차량 진동 시 블록 이탈</t>
        </is>
      </c>
      <c r="H26" s="38" t="inlineStr">
        <is>
          <t>□ PC 블록 수평 오차(±3mm 이내) 확인
□ 접합 조인트 틈새 테이핑 및 몰탈 누출 유무
□ 몰탈 공시체 강도(최소 30 MPa) 시험 합격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도심지 공사 시 교통 처리 계획에 따른 가시설 존치 기간이 적정하게 산정되었는가?
□ 특수교량(FCM 등)의 주요 구조부 설계 적정성을 착공 전 검증했는가?</t>
        </is>
      </c>
      <c r="I26" s="38" t="inlineStr">
        <is>
          <t>토목/노반</t>
        </is>
      </c>
      <c r="J26" s="39" t="inlineStr">
        <is>
          <t>● [구조분야] 고정하중: 철근콘크리트 24.5 kN/m3, 아스팔트 포장재 22.6 kN/m3 적용
● [구조분야] 트램 활하중: 5량 기준 총중량 632 kN (축중 63.2 kN/축) 적용</t>
        </is>
      </c>
      <c r="K26" s="39" t="inlineStr">
        <is>
          <t>● PC 노반 블록 간 조인트 단차 및 접합 무수축 몰탈 충진 부족으로 차량 진동 시 블록 이탈 리스크를 검토하였는가?</t>
        </is>
      </c>
      <c r="L26" s="39" t="inlineStr">
        <is>
          <t>● 협력사 자문 내용 없음 또는 해당사항 없음</t>
        </is>
      </c>
    </row>
    <row r="27" ht="139.95" customHeight="1">
      <c r="A27" s="40" t="inlineStr">
        <is>
          <t>3000</t>
        </is>
      </c>
      <c r="B27" s="40" t="inlineStr">
        <is>
          <t>3000-5</t>
        </is>
      </c>
      <c r="C27" s="41" t="inlineStr">
        <is>
          <t>곡선부 선형설계 및 확폭 공사</t>
        </is>
      </c>
      <c r="D27" s="40" t="inlineStr">
        <is>
          <t>3000-5-1</t>
        </is>
      </c>
      <c r="E27" s="41" t="inlineStr">
        <is>
          <t>트램 곡선 구간 확폭 측량 및 캔트/슬랙 계산</t>
        </is>
      </c>
      <c r="F27" s="41" t="inlineStr">
        <is>
          <t>● 경기도 노면전차 건설 규정 제6조(최소 곡선반경 R25m 이상, 캔트/슬랙 미적용 표준)</t>
        </is>
      </c>
      <c r="G27" s="41" t="inlineStr">
        <is>
          <t>[상세 작업 절차 - 정밀 관리]
1. 노선 기하학 데이터 수집:
   - 트램 궤도 선형 설계 도면에서 곡선 반경(R), 완화곡선 길이(L), 설계 속도(V=30~45km/h) 및 윤배 간격 데이터를 수집함.
2. 캔트(Cant) 설계값 계산:
   - 공식 [C = 11.8 * V^2 / R]을 바탕으로 균형 캔트값을 계산하고, 승객 승차감 향상과 차륜 이상 마모 방지를 위한 외궤 높임 캔트(설계치 예: 40mm)를 결정함.
3. 슬랙(Slack) 곡선 확폭량 계산:
   - 고정 축거를 고려하여 곡선 반경에 따른 궤간 확폭량(슬랙량: 0~15mm)을 계산하고, 외측 궤간 레일의 확폭 곡선을 정의함.
4. 현장 3D 토탈스테이션 정밀 측량:
   - 현장에 3D 토탈스테이션을 설치하여 설계 좌표(X, Y, Z) 기반 곡선 시종점부(BTC, ECC, ETC) 및 주요 10m 격자 포인트를 측량 및 레일 마킹함.
5. 설계 보정 및 차량 주행 간섭 시뮬레이션:
   - 계산된 캔트/슬랙 값을 토대로 인근 정거장 플랫폼 및 연석 시설물과의 건축한계(Clearance 최소 100mm 확보) 침범 여부를 시뮬레이션하고 설계 최종 승인을 득함.
[주의사항 (하자이력 연계)]
캔트 부족으로 주행 트램 원심력 이탈 감지 및 비상 제동 동작(승차감 극도로 저하)</t>
        </is>
      </c>
      <c r="H27" s="41" t="inlineStr">
        <is>
          <t>□ 선형 계산서 상 캔트값 설계 일치 여부
□ 곡선부 외측 레일 높이(캔트량) 오차 범위 확인
□ 측량 결과의 설계값 오차(±1mm 이내) 확인
[집행단계 리스크 체크사항 (LLBS 연계)]
□ 특수교량(FCM 등)의 주요 구조부 설계 적정성을 착공 전 검증했는가?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t>
        </is>
      </c>
      <c r="I27" s="41" t="inlineStr">
        <is>
          <t>토목</t>
        </is>
      </c>
      <c r="J27" s="42" t="inlineStr">
        <is>
          <t>● 관련분야 설계기준서 준수</t>
        </is>
      </c>
      <c r="K27" s="42" t="inlineStr">
        <is>
          <t>● 캔트 부족으로 주행 트램 원심력 이탈 감지 및 비상 제동 동작(승차감 극도로 저하) 리스크를 검토하였는가?</t>
        </is>
      </c>
      <c r="L27" s="42" t="inlineStr">
        <is>
          <t>● 협력사 자문 내용 없음 또는 해당사항 없음</t>
        </is>
      </c>
    </row>
    <row r="28" ht="139.95" customHeight="1">
      <c r="A28" s="37" t="inlineStr">
        <is>
          <t>3000</t>
        </is>
      </c>
      <c r="B28" s="37" t="inlineStr">
        <is>
          <t>3000-5</t>
        </is>
      </c>
      <c r="C28" s="38" t="inlineStr">
        <is>
          <t>곡선부 선형설계 및 확폭 공사</t>
        </is>
      </c>
      <c r="D28" s="37" t="inlineStr">
        <is>
          <t>3000-5-2</t>
        </is>
      </c>
      <c r="E28" s="38" t="inlineStr">
        <is>
          <t>확폭 구간 도로 굴착 및 지반 안정 시공</t>
        </is>
      </c>
      <c r="F28" s="38" t="inlineStr">
        <is>
          <t>● KCS 11 20 20 (도로 노상 및 노반 다짐)
● 확폭 경계 지반 시멘트 안정처리(CBR 10% 이상, 다짐도 98% 확보)</t>
        </is>
      </c>
      <c r="G28" s="38" t="inlineStr">
        <is>
          <t>[작업 절차]
1. 사전 준비 단계:
   - 설계 도서 및 시방 기준을 분석하여 확폭 구간 도로 굴착 및 지반 안정 시공 작업을 위한 현장 실측 및 경계 측량을 수행함.
2. 본 시공 단계:
   - 기존 차로 경계면 벤치컷팅(계단식 깎기) 실시 작업을 표준 시공 절차에 준하여 시행하며, 실시간 수평도 및 치수 공차를 관리함.
3. 검사 및 마감 단계:
   - 시멘트 안정 처리 공법을 통한 노상 강도(CBR 10% 이상) 보강 시험 및 품질 검사를 실측하고 기준값 만족 여부를 기록함. 콤팩터를 이용한 경계 모서리 정밀 다짐 작업을 거쳐 노면 정리 및 안전 조치를 완료함.
[주의사항 (하자이력 연계)]
확폭 접합부 다짐 불량으로 트램 탈선방지 가드레일 설치 구간 지반 균열 발생</t>
        </is>
      </c>
      <c r="H28" s="38" t="inlineStr">
        <is>
          <t>□ 계단식 깎기 적용으로 신구 접합부 일체화 여부
□ 시멘트 혼합 균일도 및 다짐도 검측(98% 이상)
□ 지하 배수 유도용 맹암거 설치 상태
[집행단계 리스크 체크사항 (LLBS 연계)]
□ 자재 발주 전 도면상 명기된 배수 관련 부속 자재가 내역에 있는지 전수 조사했는가?
□ 접속부 시공 전 배수판/동판 설치 상세를 작업자에게 교육했는가?
□ 가설 구조물 철거 시 발생할 폐기물 물량을 예측하여 예산에 반영했는가?
□ 준공 정산 시 누락되기 쉬운 철거 비용을 미리 확보했는가?</t>
        </is>
      </c>
      <c r="I28" s="38" t="inlineStr">
        <is>
          <t>토목</t>
        </is>
      </c>
      <c r="J28" s="39" t="inlineStr">
        <is>
          <t>● 관련분야 설계기준서 준수</t>
        </is>
      </c>
      <c r="K28" s="39" t="inlineStr">
        <is>
          <t>● 확폭 접합부 다짐 불량으로 트램 탈선방지 가드레일 설치 구간 지반 균열 발생 리스크를 검토하였는가?</t>
        </is>
      </c>
      <c r="L28" s="39" t="inlineStr">
        <is>
          <t>● 협력사 자문 내용 없음 또는 해당사항 없음</t>
        </is>
      </c>
    </row>
    <row r="29" ht="139.95" customHeight="1">
      <c r="A29" s="40" t="inlineStr">
        <is>
          <t>3000</t>
        </is>
      </c>
      <c r="B29" s="40" t="inlineStr">
        <is>
          <t>3000-6</t>
        </is>
      </c>
      <c r="C29" s="41" t="inlineStr">
        <is>
          <t>교차로 신호·표지판 설치 및 도로 마감 공사</t>
        </is>
      </c>
      <c r="D29" s="40" t="inlineStr">
        <is>
          <t>3000-6-1</t>
        </is>
      </c>
      <c r="E29" s="41" t="inlineStr">
        <is>
          <t>교통신호기 지주 건주 및 제어반 결선</t>
        </is>
      </c>
      <c r="F29" s="41" t="inlineStr">
        <is>
          <t>● 경찰청 표준규격 교통신호제어기 규정 준수(LSU, Flash-EXT, PPC 등)</t>
        </is>
      </c>
      <c r="G29" s="41" t="inlineStr">
        <is>
          <t>[작업 절차]
1. 사전 준비 단계:
   - 설계 도서 및 시방 기준을 분석하여 교통신호기 지주 건주 및 제어반 결선 작업을 위한 현장 실측 및 경계 측량을 수행함.
2. 본 시공 단계:
   - 신호 지주 기초 앵커 매립 및 콘크리트 강도 확인 작업을 표준 시공 절차에 준하여 시행하며, 실시간 수평도 및 치수 공차를 관리함.
3. 검사 및 마감 단계:
   - 통신·전원 케이블 입선 및 단자대 압착 터미널 시공 시험 및 품질 검사를 실측하고 기준값 만족 여부를 기록함. 트램 제어 인터페이스 카드 제어기 내 장착 작업을 거쳐 노면 정리 및 안전 조치를 완료함.
[주의사항 (하자이력 연계)]
수동 결선 오류로 트램 접근 시 교차로 신호 황색 등화 미표시, 일반차량 충돌</t>
        </is>
      </c>
      <c r="H29" s="41" t="inlineStr">
        <is>
          <t>□ 지주 수직도 및 기초 콘크리트 지내력 확인
□ 케이블 단자 압착 불량 및 절연 피복 손상 유무
□ 경찰서 교통신호 통제기 프로토콜 연동 통신 확인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기존 차선 수 유지가 가능한 단계별 가시설(Staging) 계획인가?</t>
        </is>
      </c>
      <c r="I29" s="41" t="inlineStr">
        <is>
          <t>토목/노반</t>
        </is>
      </c>
      <c r="J29" s="42" t="inlineStr">
        <is>
          <t>● 관련분야 설계기준서 준수</t>
        </is>
      </c>
      <c r="K29" s="42" t="inlineStr">
        <is>
          <t>● 수동 결선 오류로 트램 접근 시 교차로 신호 황색 등화 미표시, 일반차량 충돌 리스크를 검토하였는가?</t>
        </is>
      </c>
      <c r="L29" s="42" t="inlineStr">
        <is>
          <t>● 협력사 자문 내용 없음 또는 해당사항 없음</t>
        </is>
      </c>
    </row>
    <row r="30" ht="139.95" customHeight="1">
      <c r="A30" s="37" t="inlineStr">
        <is>
          <t>3000</t>
        </is>
      </c>
      <c r="B30" s="37" t="inlineStr">
        <is>
          <t>3000-6</t>
        </is>
      </c>
      <c r="C30" s="38" t="inlineStr">
        <is>
          <t>교차로 신호·표지판 설치 및 도로 마감 공사</t>
        </is>
      </c>
      <c r="D30" s="37" t="inlineStr">
        <is>
          <t>3000-6-2</t>
        </is>
      </c>
      <c r="E30" s="38" t="inlineStr">
        <is>
          <t>도로 표지판 설치 및 트램 전용선 노면 도색</t>
        </is>
      </c>
      <c r="F30" s="38" t="inlineStr">
        <is>
          <t>● 도로표지 제작·설치 지침 및 노면 표시 표준 시방서
● 융착식 차선 도색 두께(최소 1.5mm), 야간 반사 성능 기준(백색 250, 황색 150)</t>
        </is>
      </c>
      <c r="G30" s="38" t="inlineStr">
        <is>
          <t>[작업 절차]
1. 사전 준비 단계:
   - 설계 도서 및 시방 기준을 분석하여 도로 표지판 설치 및 트램 전용선 노면 도색 작업을 위한 현장 실측 및 경계 측량을 수행함.
2. 본 시공 단계:
   - 고휘도 반사 시트 표지판 수직 설치 및 고정 밴드 확인 작업을 표준 시공 절차에 준하여 시행하며, 실시간 수평도 및 치수 공차를 관리함.
3. 검사 및 마감 단계:
   - 노면 청소 후 융착식 차선 도색기 세팅 시험 및 품질 검사를 실측하고 기준값 만족 여부를 기록함. 도색 직후 유리알(Glass Beads) 살포량 및 야간 반사 성능 실측 작업을 거쳐 노면 정리 및 안전 조치를 완료함.
[주의사항 (하자이력 연계)]
차로 도색 두께 부족으로 시공 1개월 만에 페인트 지워짐 발생 및 야간 식별 불가</t>
        </is>
      </c>
      <c r="H30" s="38" t="inlineStr">
        <is>
          <t>□ 표지판 이격거리 및 통과 높이 적정성
□ 융착식 도색 두께(최소 1.5mm) 및 유리알 살포 균일도
□ 야간 휘도 측정기 기준(백색 250, 황색 150) 만족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기존 차선 수 유지가 가능한 단계별 가시설(Staging) 계획인가?</t>
        </is>
      </c>
      <c r="I30" s="38" t="inlineStr">
        <is>
          <t>토목/노반</t>
        </is>
      </c>
      <c r="J30" s="39" t="inlineStr">
        <is>
          <t>● 관련분야 설계기준서 준수</t>
        </is>
      </c>
      <c r="K30" s="39" t="inlineStr">
        <is>
          <t>● 차로 도색 두께 부족으로 시공 1개월 만에 페인트 지워짐 발생 및 야간 식별 불가 리스크를 검토하였는가?</t>
        </is>
      </c>
      <c r="L30" s="39" t="inlineStr">
        <is>
          <t>● 협력사 자문 내용 없음 또는 해당사항 없음</t>
        </is>
      </c>
    </row>
    <row r="31" ht="139.95" customHeight="1">
      <c r="A31" s="40" t="inlineStr">
        <is>
          <t>3000</t>
        </is>
      </c>
      <c r="B31" s="40" t="inlineStr">
        <is>
          <t>3000-6</t>
        </is>
      </c>
      <c r="C31" s="41" t="inlineStr">
        <is>
          <t>교차로 신호·표지판 설치 및 도로 마감 공사</t>
        </is>
      </c>
      <c r="D31" s="40" t="inlineStr">
        <is>
          <t>3000-6-3</t>
        </is>
      </c>
      <c r="E31" s="41" t="inlineStr">
        <is>
          <t>트램 우선신호 검지기(Loop Coil 등) 매설 시험</t>
        </is>
      </c>
      <c r="F31" s="41" t="inlineStr">
        <is>
          <t>● ITS 사업 시방서(루프검지기 부설공)
● 코일 매설 슬롯 컷팅(폭 10mm, 깊이 50mm), 루프선 절연저항 10MΩ 이상</t>
        </is>
      </c>
      <c r="G31" s="41" t="inlineStr">
        <is>
          <t>[작업 절차]
1. 사전 준비 단계:
   - 설계 도서 및 시방 기준을 분석하여 트램 우선신호 검지기(Loop Coil 등) 매설 시험 작업을 위한 현장 실측 및 경계 측량을 수행함.
2. 본 시공 단계:
   - 아스팔트 포장면 정밀 슬롯 컷팅(폭 10mm, 깊이 50mm) 작업을 표준 시공 절차에 준하여 시행하며, 실시간 수평도 및 치수 공차를 관리함.
3. 검사 및 마감 단계:
   - 루프선(4회 이상 권선) 삽입 후 절연저항(10MΩ 이상) 측정 시험 및 품질 검사를 실측하고 기준값 만족 여부를 기록함. 에폭시 코킹재 주입 마감 및 트램 차량 통과 실시간 검지 테스트 작업을 거쳐 노면 정리 및 안전 조치를 완료함.
[주의사항 (하자이력 연계)]
루프 코일 몰탈 충진부 박리로 아스팔트 균열 및 단선 발생, 트램 감지 불능</t>
        </is>
      </c>
      <c r="H31" s="41" t="inlineStr">
        <is>
          <t>□ 코일 슬롯 컷팅 깊이 및 모서리 모따기 처리 여부
□ 코킹재 충진 상태 및 포장 노면과의 단차 유무
□ 통과 차량 감지 신호 검지기반 수신 확인
[집행단계 리스크 체크사항 (LLBS 연계)]
□ 특수교량(FCM 등)의 주요 구조부 설계 적정성을 착공 전 검증했는가?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t>
        </is>
      </c>
      <c r="I31" s="41" t="inlineStr">
        <is>
          <t>토목/노반</t>
        </is>
      </c>
      <c r="J31" s="42" t="inlineStr">
        <is>
          <t>● 관련분야 설계기준서 준수</t>
        </is>
      </c>
      <c r="K31" s="42" t="inlineStr">
        <is>
          <t>● 에폭시 충진재 내부 공극 발생으로 노면수 침투, 동절기 동결 팽창으로 루프 검지선 단선 리스크를 검토하였는가?</t>
        </is>
      </c>
      <c r="L31" s="42" t="inlineStr">
        <is>
          <t>● 협력사 자문 내용 없음 또는 해당사항 없음</t>
        </is>
      </c>
    </row>
    <row r="32" ht="22.05" customHeight="1">
      <c r="A32" s="94" t="inlineStr">
        <is>
          <t>5000  본선 궤도공사 (Mainline Trackworks)</t>
        </is>
      </c>
      <c r="B32" s="95" t="n"/>
      <c r="C32" s="95" t="n"/>
      <c r="D32" s="95" t="n"/>
      <c r="E32" s="95" t="n"/>
      <c r="F32" s="95" t="n"/>
      <c r="G32" s="95" t="n"/>
      <c r="H32" s="95" t="n"/>
      <c r="I32" s="95" t="n"/>
      <c r="J32" s="95" t="n"/>
      <c r="K32" s="95" t="n"/>
      <c r="L32" s="96" t="n"/>
    </row>
    <row r="33" ht="139.95" customHeight="1">
      <c r="A33" s="37" t="inlineStr">
        <is>
          <t>5000</t>
        </is>
      </c>
      <c r="B33" s="37" t="inlineStr">
        <is>
          <t>5000-1</t>
        </is>
      </c>
      <c r="C33" s="38" t="inlineStr">
        <is>
          <t>궤도 구간 지장물 조사 및 인허가 협의</t>
        </is>
      </c>
      <c r="D33" s="37" t="inlineStr">
        <is>
          <t>5000-1-1</t>
        </is>
      </c>
      <c r="E33" s="38" t="inlineStr">
        <is>
          <t>궤도 선형 하부 지하 지장물 GPR 정밀 탐지</t>
        </is>
      </c>
      <c r="F33" s="38" t="inlineStr">
        <is>
          <t>● 지하안전관리에 관한 특별법(지하매설물 정밀 안전성 평가 지침)</t>
        </is>
      </c>
      <c r="G33" s="38" t="inlineStr">
        <is>
          <t>[작업 절차]
1. 사전 준비 단계:
   - 설계 도서 및 시방 기준을 분석하여 궤도 선형 하부 지하 지장물 GPR 정밀 탐지 작업을 위한 현장 실측 및 경계 측량을 수행함.
2. 본 시공 단계:
   - 궤도 중심선 좌우 2.5m 폭 범위 GPR 스캔 주행 작업을 표준 시공 절차에 준하여 시행하며, 실시간 수평도 및 치수 공차를 관리함.
3. 검사 및 마감 단계:
   - 지하 레이더 이미지상 이상 반사체 깊이 측정 시험 및 품질 검사를 실측하고 기준값 만족 여부를 기록함. 1m 간격 격자망 기반 매설물 탐지 맵 도면화 작업을 거쳐 노면 정리 및 안전 조치를 완료함.
[주의사항 (하자이력 연계)]
본선 궤도 굴착 중 폐쇄된 것으로 오인한 구 상선 전력관 접촉 사고</t>
        </is>
      </c>
      <c r="H33" s="38" t="inlineStr">
        <is>
          <t>□ GPR 탐사 주행 속도 규정(5km/h 이하) 준수 여부
□ 매설물 위치 표시 스프레이 마킹 상태
□ 맨홀 내부 실사 및 관리대장 상의 이격 거리 검증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자재 발주 전 도면상 명기된 배수 관련 부속 자재가 내역에 있는지 전수 조사했는가?
□ 접속부 시공 전 배수판/동판 설치 상세를 작업자에게 교육했는가?</t>
        </is>
      </c>
      <c r="I33" s="38" t="inlineStr">
        <is>
          <t>토목/행정</t>
        </is>
      </c>
      <c r="J33" s="39" t="inlineStr">
        <is>
          <t>● 관련분야 설계기준서 준수</t>
        </is>
      </c>
      <c r="K33" s="39" t="inlineStr">
        <is>
          <t>● 지중 레이더(GPR) 탐사 생략으로 도로 하부 동공 미발견, 굴착 중 도로 함몰 사고 리스크를 검토하였는가?</t>
        </is>
      </c>
      <c r="L33" s="39" t="inlineStr">
        <is>
          <t>● 협력사 자문 내용 없음 또는 해당사항 없음</t>
        </is>
      </c>
    </row>
    <row r="34" ht="139.95" customHeight="1">
      <c r="A34" s="40" t="inlineStr">
        <is>
          <t>5000</t>
        </is>
      </c>
      <c r="B34" s="40" t="inlineStr">
        <is>
          <t>5000-2</t>
        </is>
      </c>
      <c r="C34" s="41" t="inlineStr">
        <is>
          <t>궤도 구간 지장물 이설 공사</t>
        </is>
      </c>
      <c r="D34" s="40" t="inlineStr">
        <is>
          <t>5000-2-1</t>
        </is>
      </c>
      <c r="E34" s="41" t="inlineStr">
        <is>
          <t>궤도 선형 간섭 상수도/전력관 우회 이설</t>
        </is>
      </c>
      <c r="F34" s="41" t="inlineStr">
        <is>
          <t>● KCS 11 10 10 (지장물 이설공사 일반기준)
● 되메우기 재료 층별 포설 및 다짐도 95% 이상 검측</t>
        </is>
      </c>
      <c r="G34" s="41" t="inlineStr">
        <is>
          <t>[작업 절차]
1. 사전 준비 단계:
   - 설계 도서 및 시방 기준을 분석하여 궤도 선형 간섭 상수도/전력관 우회 이설 작업을 위한 현장 실측 및 경계 측량을 수행함.
2. 본 시공 단계:
   - 이설 신설 관로 터파기 및 경사도 레벨 측정 작업을 표준 시공 절차에 준하여 시행하며, 실시간 수평도 및 치수 공차를 관리함.
3. 검사 및 마감 단계:
   - 기계식 접합부 토크 체결 및 용접부 비파괴 검사(RT/UT) 시험 및 품질 검사를 실측하고 기준값 만족 여부를 기록함. 관로 보호용 경고 테이프 매설(관 상부 30cm 지점) 작업을 거쳐 노면 정리 및 안전 조치를 완료함.
[주의사항 (하자이력 연계)]
이설 배수관 접합부 플랜지 볼트 조임 부족으로 매설 후 미세 누수 지반 완화</t>
        </is>
      </c>
      <c r="H34" s="41" t="inlineStr">
        <is>
          <t>□ 관로 경사도(배수 자연유하 구배) 설계 만족 여부
□ 기밀시험 또는 누수시험 보고서 승인 여부
□ 이설 관로 되메우기 다짐도(95% 이상) 검측
[집행단계 리스크 체크사항 (LLBS 연계)]
□ 도심지 협소 구간 작업 시 대형 장비 진입 불가에 따른 소형 장비 할증이 반영되었는가?
□ 교량 시공용 대형 크레인(200ton 이상)의 아웃트리거 전개 폭을 고려하여 가교 폭이나 작업대(Staging)가 반영되었는가?
□ 하부 도로/구조물이 상부 시공 하중(크레인+거더)을 견딜 수 있는가?
□ 벤트 위치가 하부 교통 흐름이나 구조물과 간섭되지 않는가?</t>
        </is>
      </c>
      <c r="I34" s="41" t="inlineStr">
        <is>
          <t>토목/기계</t>
        </is>
      </c>
      <c r="J34" s="42" t="inlineStr">
        <is>
          <t>● 관련분야 설계기준서 준수</t>
        </is>
      </c>
      <c r="K34" s="42" t="inlineStr">
        <is>
          <t>● 지장물 우회 이설 후 되메우기 다짐 부족으로 준공 후 도로 침하 및 크랙 발생 리스크를 검토하였는가?</t>
        </is>
      </c>
      <c r="L34" s="42" t="inlineStr">
        <is>
          <t>● 협력사 자문 내용 없음 또는 해당사항 없음</t>
        </is>
      </c>
    </row>
    <row r="35" ht="139.95" customHeight="1">
      <c r="A35" s="37" t="inlineStr">
        <is>
          <t>5000</t>
        </is>
      </c>
      <c r="B35" s="37" t="inlineStr">
        <is>
          <t>5000-3</t>
        </is>
      </c>
      <c r="C35" s="38" t="inlineStr">
        <is>
          <t>궤도 구간 이설 불가 지장물 방호·보강 공사</t>
        </is>
      </c>
      <c r="D35" s="37" t="inlineStr">
        <is>
          <t>5000-3-1</t>
        </is>
      </c>
      <c r="E35" s="38" t="inlineStr">
        <is>
          <t>이설 불가 지장물용 철근콘크리트 보호 슬래브 시공</t>
        </is>
      </c>
      <c r="F35" s="38" t="inlineStr">
        <is>
          <t>● KCS 14 20 10 (콘크리트 일반시방서)
● 보호용 철근 콘크리트 슬래브 설계 강도(24 MPa 이상) 확보</t>
        </is>
      </c>
      <c r="G35" s="38" t="inlineStr">
        <is>
          <t>[작업 절차]
1. 사전 준비 단계:
   - 설계 도서 및 시방 기준을 분석하여 이설 불가 지장물용 철근콘크리트 보호 슬래브 시공 작업을 위한 현장 실측 및 경계 측량을 수행함.
2. 본 시공 단계:
   - 지장물 직상부 완충재(스티로폼 100mm) 포설 작업을 표준 시공 절차에 준하여 시행하며, 실시간 수평도 및 치수 공차를 관리함.
3. 검사 및 마감 단계:
   - 이중 철근 배근(D16@150) 및 피복 두께(80mm) 스페이서 거치 시험 및 품질 검사를 실측하고 기준값 만족 여부를 기록함. 고강도 콘크리트(24MPa 이상) 타설 및 습윤 양생 작업을 거쳐 노면 정리 및 안전 조치를 완료함.
[주의사항 (하자이력 연계)]
보호 슬래브 기초 지지력 부족으로 하중 집중 시 가스관에 하중 전가되어 밸브 파손</t>
        </is>
      </c>
      <c r="H35" s="38" t="inlineStr">
        <is>
          <t>□ 완충재 밀착 상태 및 철근 배근 간격 일치 여부
□ 콘크리트 피복 두께 및 거푸집 견고성 확인
□ 콘크리트 타설 시 진동 다짐(바이브레이터) 밀도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흙막이 앵커가 인접 사유지를 침범하는지 지적도와 대조하고, 침범 시 보상비 또는 제거식 앵커 비용을 반영했는가?
□ 시종점 및 작업구 위치 하부의 지장물(송전선, 가스관) 매설 현황을 지장물도와 대조했는가?</t>
        </is>
      </c>
      <c r="I35" s="38" t="inlineStr">
        <is>
          <t>토목</t>
        </is>
      </c>
      <c r="J35" s="39" t="inlineStr">
        <is>
          <t>● 관련분야 설계기준서 준수</t>
        </is>
      </c>
      <c r="K35" s="39" t="inlineStr">
        <is>
          <t>● 보호 콘크리트 슬래브 두께 미달 및 철근 배근 불량으로 트램 상부 통과 하중 작용 시 파손 리스크를 검토하였는가?</t>
        </is>
      </c>
      <c r="L35" s="39" t="inlineStr">
        <is>
          <t>● 협력사 자문 내용 없음 또는 해당사항 없음</t>
        </is>
      </c>
    </row>
    <row r="36" ht="139.95" customHeight="1">
      <c r="A36" s="40" t="inlineStr">
        <is>
          <t>5000</t>
        </is>
      </c>
      <c r="B36" s="40" t="inlineStr">
        <is>
          <t>5000-4</t>
        </is>
      </c>
      <c r="C36" s="41" t="inlineStr">
        <is>
          <t>본선 궤도 구간 토공 굴착 및 노상 정리</t>
        </is>
      </c>
      <c r="D36" s="40" t="inlineStr">
        <is>
          <t>5000-4-1</t>
        </is>
      </c>
      <c r="E36" s="41" t="inlineStr">
        <is>
          <t>궤도 하부 구조물 정밀 굴착 및 레벨 고르기</t>
        </is>
      </c>
      <c r="F36" s="41" t="inlineStr">
        <is>
          <t>● KCS 11 20 15 (토공사 굴착 표준시방서)
● 백호우 정밀 굴착 높이 설계 계획고 오차 ±10mm 이내 관리</t>
        </is>
      </c>
      <c r="G36" s="41" t="inlineStr">
        <is>
          <t>[작업 절차]
1. 사전 준비 단계:
   - 설계 도서 및 시방 기준을 분석하여 궤도 하부 구조물 정밀 굴착 및 레벨 고르기 작업을 위한 현장 실측 및 경계 측량을 수행함.
2. 본 시공 단계:
   - GPS 장착 백호우 레벨 유도 굴착 작업을 표준 시공 절차에 준하여 시행하며, 실시간 수평도 및 치수 공차를 관리함.
3. 검사 및 마감 단계:
   - 과굴착부 무수축 콘크리트(또는 소일시멘트) 보정 시험 및 품질 검사를 실측하고 기준값 만족 여부를 기록함. 인력 요철 다듬기 및 콤팩터 노면 다짐 작업을 거쳐 노면 정리 및 안전 조치를 완료함.
[주의사항 (하자이력 연계)]
과굴착 구간 양질의 토사 되메우기 생략으로 하중 작용 시 불균일 침하</t>
        </is>
      </c>
      <c r="H36" s="41" t="inlineStr">
        <is>
          <t>□ 설계 계획고 대비 굴착 심도 오차(±10mm 이내)
□ 과굴착부 양질의 토사 또는 콘크리트 채움 여부
□ 바닥 평탄도 및 배수 유도 종단 경사 확인
[집행단계 리스크 체크사항 (LLBS 연계)]
□ 자재 발주 전 도면상 명기된 배수 관련 부속 자재가 내역에 있는지 전수 조사했는가?
□ 접속부 시공 전 배수판/동판 설치 상세를 작업자에게 교육했는가?
□ 가설 구조물 철거 시 발생할 폐기물 물량을 예측하여 예산에 반영했는가?
□ 준공 정산 시 누락되기 쉬운 철거 비용을 미리 확보했는가?</t>
        </is>
      </c>
      <c r="I36" s="41" t="inlineStr">
        <is>
          <t>토목</t>
        </is>
      </c>
      <c r="J36" s="42" t="inlineStr">
        <is>
          <t>● 관련분야 설계기준서 준수</t>
        </is>
      </c>
      <c r="K36" s="42" t="inlineStr">
        <is>
          <t>● 종단 경사 오차로 계획고보다 낮게 굴착하여 궤도 기초 콘크리트 물량 과다 유입 및 단차 리스크를 검토하였는가?</t>
        </is>
      </c>
      <c r="L36" s="42" t="inlineStr">
        <is>
          <t>● 협력사 자문 내용 없음 또는 해당사항 없음</t>
        </is>
      </c>
    </row>
    <row r="37" ht="139.95" customHeight="1">
      <c r="A37" s="37" t="inlineStr">
        <is>
          <t>5000</t>
        </is>
      </c>
      <c r="B37" s="37" t="inlineStr">
        <is>
          <t>5000-5</t>
        </is>
      </c>
      <c r="C37" s="38" t="inlineStr">
        <is>
          <t>본선 노반(H=200mm) 다짐</t>
        </is>
      </c>
      <c r="D37" s="37" t="inlineStr">
        <is>
          <t>5000-5-1</t>
        </is>
      </c>
      <c r="E37" s="38" t="inlineStr">
        <is>
          <t>노반 층다짐 및 진동 롤러 전압 시공</t>
        </is>
      </c>
      <c r="F37" s="38" t="inlineStr">
        <is>
          <t>● KCS 11 20 20 (도로 다짐 및 다짐도 검사)
● 10톤 진동 롤러 층다짐 두께 200mm 단위 포설 및 다짐도 98% 이상 확보</t>
        </is>
      </c>
      <c r="G37" s="38" t="inlineStr">
        <is>
          <t>[상세 작업 절차 - 정밀 관리]
1. 노상 기초 지반 검사 및 청소:
   - 노반 다짐 대상지의 잡석 및 유기물을 제거하고, 지반 침하 우려가 있는 연약 지반 구간은 모래 치환 또는 석회 혼합 공법을 선행하여 정리함.
2. 다짐 토사 포설 및 함수비 조절:
   - 양질의 토사를 모터 그레이더를 사용하여 포설하되, 1회 다짐 후 두께가 200mm 이내(포설 두께 약 250mm)가 되도록 두께 게이지로 관리함. 현장 함수비 측정을 통해 최적 함수비(OMC ±2% 범위)를 유지하기 위해 살수 또는 건조 작업을 시행함.
3. 10톤 진동 롤러 중첩 다짐:
   - 10톤 이상급 탠덤 진동 롤러를 투입하여 중심선에서 외곽 방향으로 전압함. 롤러 주행 속도를 3~4 km/h로 제한하고, 차륜 중첩 폭(최소 50cm 이상)을 유지하며 왕복 6회 이상 전압을 실시함.
4. 현장 들밀도 및 다짐도 실측:
   - 다짐 완료 노면에서 모래치환법(KS F 2311) 들밀도 시험을 실시하여 현장 건조밀도를 측정하고, 다짐도 기준치(98% 이상) 만족 여부를 판별함.
5. 횡단 구배(2%) 정리 및 우수 유입 방지:
   - 노반 횡단 구배(2%)를 확보하여 표면 배수를 유도하고, 다짐면 상부에 가설 비닐시트를 포설하여 우천 시 다짐층 연화 및 유실을 헷지함.
[주의사항 (하자이력 연계)]
함수비 조절 실패로 진동 다짐 시 스펀징(지반 꿀렁임) 현상 방치, 지내력 저하</t>
        </is>
      </c>
      <c r="H37" s="38" t="inlineStr">
        <is>
          <t>□ 층다짐 두께(200mm) 준수 및 최적함수비 유지 상태
□ 진동 롤러 왕복 횟수 및 겹침 폭(50cm 이상) 준수
□ 들밀도시험 성적서 상 다짐도(98% 이상) 만족
[집행단계 리스크 체크사항 (LLBS 연계)]
□ 특수교량(FCM 등)의 주요 구조부 설계 적정성을 착공 전 검증했는가?
□ 관급자재 수급 불안정 시 사급 전환 가능성 및 비용 차이를 검토했는가?
□ 케이블/행어 로프의 와류진동(Vortex Shedding) 검토가 수행되었는가?
□ 제진 장치(Damper) 설치가 내역에 포함되거나 유보금으로 잡혀있는가?</t>
        </is>
      </c>
      <c r="I37" s="38" t="inlineStr">
        <is>
          <t>토목/노반</t>
        </is>
      </c>
      <c r="J37" s="39" t="inlineStr">
        <is>
          <t>● 관련분야 설계기준서 준수</t>
        </is>
      </c>
      <c r="K37" s="39" t="inlineStr">
        <is>
          <t>● 다짐 장비 운용 횟수 부족으로 지반 변형률 기준 미달, 주행 시 선로 침하 리스크를 검토하였는가?</t>
        </is>
      </c>
      <c r="L37" s="39" t="inlineStr">
        <is>
          <t>● 협력사 자문 내용 없음 또는 해당사항 없음</t>
        </is>
      </c>
    </row>
    <row r="38" ht="139.95" customHeight="1">
      <c r="A38" s="40" t="inlineStr">
        <is>
          <t>5000</t>
        </is>
      </c>
      <c r="B38" s="40" t="inlineStr">
        <is>
          <t>5000-5</t>
        </is>
      </c>
      <c r="C38" s="41" t="inlineStr">
        <is>
          <t>본선 노반(H=200mm) 다짐</t>
        </is>
      </c>
      <c r="D38" s="40" t="inlineStr">
        <is>
          <t>5000-5-2</t>
        </is>
      </c>
      <c r="E38" s="41" t="inlineStr">
        <is>
          <t>토공 노반 품질 검증 및 인수 (토목➔궤도 인계)</t>
        </is>
      </c>
      <c r="F38" s="41" t="inlineStr">
        <is>
          <t>● KDS 11 50 15 (얕은기초 설계기준)
● Ev2 ≥ 80 MPa, Ev2/Ev1 비율 2.3 이하 만족</t>
        </is>
      </c>
      <c r="G38" s="41" t="inlineStr">
        <is>
          <t>[작업 절차]
1. 사전 준비 단계:
   - 설계 도서 및 시방 기준을 분석하여 토공 노반 품질 검증 및 인수 (토목➔궤도 인계) 작업을 위한 현장 실측 및 경계 측량을 수행함.
2. 본 시공 단계:
   - 강화노반(쇄석 200mm) 다짐 상태에서 평판재하시험(PBT)을 수행하여 지지력 및 노반변형계수(Ev2) 적합성 검증 작업을 표준 시공 절차에 준하여 시행하며, 실시간 수평도 및 치수 공차를 관리함.
3. 검사 및 마감 단계:
   - 노반면 하부 횡단배수로 동결심도 이하 매설 확인 및 상면 돌출 수직 배수관 높이 사전 마킹 시험 및 품질 검사를 실측하고 기준값 만족 여부를 기록함. 토목 측으로부터 노반 인수 전 3D 토탈스테이션 정밀 측량을 통한 종횡단 기울기 및 중심선형 확인 (전시/후시각 00°-00'-08" 이내) 작업을 거쳐 노면 정리 및 안전 조치를 완료함.
[주의사항 (하자이력 연계)]
종평면 종단 구배 한계값 미충족 도면을 거르지 못하여 궤도 재설계 발생</t>
        </is>
      </c>
      <c r="H38" s="41" t="inlineStr">
        <is>
          <t>□ 평판재하시험 Ev2 계수 및 Ev2/Ev1 비 설계값 만족 여부
□ 수직 배수 파이프 상면 돌출 높이 및 마킹 일치 상태
□ 종횡단 구배 및 중심선형 오차 허용 범위 이내 도달 여부
[집행단계 리스크 체크사항 (LLBS 연계)]
□ 절토 구간의 암반 등급(토사/리핑/발파) 분류 기준이 지반 조사 데이터에 근거했는가?
□ 산악지/계곡부의 경우 전석(Boulder)층 출현 가능성을 고려하여 할증을 반영했는가?
□ 철도보호지구 등 특수 구간 공사 시 유관기관이 요구하는 안전점검 비용이 별도로 계상되었는가?</t>
        </is>
      </c>
      <c r="I38" s="41" t="inlineStr">
        <is>
          <t>토목/노반</t>
        </is>
      </c>
      <c r="J38" s="42" t="inlineStr">
        <is>
          <t>● [토질기초] 콘크리트 궤도 하부 허용 잔류침하량: 30.0mm 이하 (성토체 및 궤도구조 25mm, 열차하중 침하 5mm 합산)
● [토질기초] 흙쌓기 속도 기준: 점토층 두터운 이탄질 3.0cm/day, 보통 점토질 5.0cm/day, 얇은 점토층 10.0cm/day 이하</t>
        </is>
      </c>
      <c r="K38" s="42" t="inlineStr">
        <is>
          <t>● 함수비 조율 실패로 강화 노반 다짐도 불량, 궤도 콘크리트 슬래브 균열 전이 리스크를 검토하였는가?</t>
        </is>
      </c>
      <c r="L38" s="42" t="inlineStr">
        <is>
          <t>● 협력사 자문 내용 없음 또는 해당사항 없음</t>
        </is>
      </c>
    </row>
    <row r="39" ht="139.95" customHeight="1">
      <c r="A39" s="37" t="inlineStr">
        <is>
          <t>5000</t>
        </is>
      </c>
      <c r="B39" s="37" t="inlineStr">
        <is>
          <t>5000-6</t>
        </is>
      </c>
      <c r="C39" s="38" t="inlineStr">
        <is>
          <t>본선 궤도/노반 매설물 및 기초층 설치</t>
        </is>
      </c>
      <c r="D39" s="37" t="inlineStr">
        <is>
          <t>5000-6-1</t>
        </is>
      </c>
      <c r="E39" s="38" t="inlineStr">
        <is>
          <t>도상안정층(HSB) 시공 및 유도줄눈 설치</t>
        </is>
      </c>
      <c r="F39" s="38" t="inlineStr">
        <is>
          <t>● KCS 14 20 10 (콘크리트 일반시방서)
● fck=18MPa HSB 콘크리트 두께 100mm 확보, 유도줄눈 매 5m 간격 설치</t>
        </is>
      </c>
      <c r="G39" s="38" t="inlineStr">
        <is>
          <t>[작업 절차]
1. 사전 준비 단계:
   - 설계 도서 및 시방 기준을 분석하여 도상안정층(HSB) 시공 및 유도줄눈 설치 작업을 위한 현장 실측 및 경계 측량을 수행함.
2. 본 시공 단계:
   - 강화노반 청소 후 버림 콘크리트를 타설하며, 상부 도상 콘크리트 접합력 증대를 위해 기계식 솔 또는 레이크를 통한 거칠기 시공(Roughness) 실시 작업을 표준 시공 절차에 준하여 시행하며, 실시간 수평도 및 치수 공차를 관리함.
3. 검사 및 마감 단계:
   - 두께 100mm 내외의 도상안정층(HSB) 콘크리트 타설 및 균일 수평 마감 시험 및 품질 검사를 실측하고 기준값 만족 여부를 기록함. 건조수축 균열 방지를 위해 타설 완료 후 매 5m 간격으로 깊이 30mm 이상의 균열유도줄눈을 컷팅 설치 작업을 거쳐 노면 정리 및 안전 조치를 완료함.
[주의사항 (하자이력 연계)]
무근 HSB 층에 균열 유도줄눈 설치 누락 시 불규칙 수축 균열이 상부 TCL층으로 전이 발생</t>
        </is>
      </c>
      <c r="H39" s="38" t="inlineStr">
        <is>
          <t>□ 버림 콘크리트 상면 표면 거칠기 가공 상태
□ HSB 두께(100mm) 및 콘크리트 설계 강도 만족 여부
□ 균열유도줄눈 간격(5m) 및 컷팅 깊이 적정 여부
[집행단계 리스크 체크사항 (LLBS 연계)]
□ 교량 시공용 대형 크레인(200ton 이상)의 아웃트리거 전개 폭을 고려하여 가교 폭이나 작업대(Staging)가 반영되었는가?
□ 흙막이 가시설과 본 구조물 사이에 거푸집 설치 및 작업자 이동 공간(최소 1m 이상)이 확보되었는가?
□ 특수 교각(Y형, V형) 시공 시 상부 하중을 지지할 가설 벤트가 내역에 있는가?
□ 벤트 기초의 지지력 검토가 수행되었는가?</t>
        </is>
      </c>
      <c r="I39" s="38" t="inlineStr">
        <is>
          <t>토목</t>
        </is>
      </c>
      <c r="J39" s="39" t="inlineStr">
        <is>
          <t>● 관련분야 설계기준서 준수</t>
        </is>
      </c>
      <c r="K39" s="39" t="inlineStr">
        <is>
          <t>● 무근 콘크리트 타설 시 수평도 오차로 궤도 블록 거치 시 하부 충전재 두께 불균일 리스크를 검토하였는가?</t>
        </is>
      </c>
      <c r="L39" s="39" t="inlineStr">
        <is>
          <t>● [HSB유도줄눈] 보조도상 콘크리트(HSB) 층 매립 시 건조 수축 균열이 상부 도상 콘크리트로 전이되는 것을 막기 위해 매 5m 간격 균열유도줄눈을 반드시 반영할 것</t>
        </is>
      </c>
    </row>
    <row r="40" ht="139.95" customHeight="1">
      <c r="A40" s="40" t="inlineStr">
        <is>
          <t>5000</t>
        </is>
      </c>
      <c r="B40" s="40" t="inlineStr">
        <is>
          <t>5000-7</t>
        </is>
      </c>
      <c r="C40" s="41" t="inlineStr">
        <is>
          <t>홈레일(Grooved Rail) 부설 및 검수</t>
        </is>
      </c>
      <c r="D40" s="40" t="inlineStr">
        <is>
          <t>5000-7-1</t>
        </is>
      </c>
      <c r="E40" s="41" t="inlineStr">
        <is>
          <t>반-PC 슬래브 배열 설치 및 스핀들 1차 정렬</t>
        </is>
      </c>
      <c r="F40" s="41" t="inlineStr">
        <is>
          <t>● KCS 14 20 53 (프리캐스트 콘크리트)
● 반-PC 슬래브 판넬 규격 오차 관리 및 거치 레벨 ±5mm 이내</t>
        </is>
      </c>
      <c r="G40" s="41" t="inlineStr">
        <is>
          <t>[상세 작업 절차 - 정밀 관리]
1. HSB 기초 콘크리트면 정밀 측량:
   - 하부 도상 안정층(HSB) 콘크리트면의 중심선 및 높이를 광파기로 측정하여 궤도 중심선 가이드 라인을 노면에 스프레이 마킹함.
2. 반-PC 슬래브 크레인 배열 안착:
   - 공장에서 사전 제작된 반-PC 슬래브 블록(중량 약 5톤)을 현장으로 반입하여 검수하고, 25톤 크레인을 사용하여 마킹된 중심선 가이드를 따라 10mm 오차 이내로 순차 배열 안착시킴.
3. 조인트 고무 댐퍼 및 연결재 삽입:
   - PC 슬래브 블록 간 접합 조인트에 신축 거동 흡수용 탄성 고무 댐퍼를 삽입하고, 강결용 철근 다웰바를 슬래브 홀에 밀입함.
4. 레일 거치 및 스핀들 장치 세팅:
   - 배열된 슬래브 상부 요철부에 그루브 레일을 거치하고, 정밀 조정용 스핀들(Spindle) 지그 장치를 레일 양측 및 하부에 체결함.
5. 수평 및 궤간 1차 러프 정렬:
   - 스핀들 볼트를 조정하여 레일의 높이를 대략적으로 맞추고, 궤간 측정 게이지(Gauge)를 활용하여 궤간 오차를 ±5mm 이내로 1차 정렬하여 임시 고정함.
[주의사항 (하자이력 연계)]
슬래브 인양 시 와이어 각도 불량으로 모서리 파손 및 야적 시 수평 지반 관리 부실로 인한 판넬 뒤틀림 변형 발생</t>
        </is>
      </c>
      <c r="H40" s="41" t="inlineStr">
        <is>
          <t>□ 반-PC 슬래브 거치 중심선 및 종단 레벨 오차 범위 확인
□ 스핀들 조정 장치 나사산 손상 유무 및 작동 상태
□ 슬래브 조인트부 틈새 규격 및 배열 수평도 상태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Steel Box 내부 제습 설비 가동 전 부식 방지를 위한 임시 도장(Shop Primer)이 반영되었는가?
□ 강교 인양용 러그(Lug) 상세가 실제 투입될 크레인 및 와이어 각도와 호환되는가?</t>
        </is>
      </c>
      <c r="I40" s="41" t="inlineStr">
        <is>
          <t>토목</t>
        </is>
      </c>
      <c r="J40" s="42" t="inlineStr">
        <is>
          <t>● 관련분야 설계기준서 준수</t>
        </is>
      </c>
      <c r="K40" s="42" t="inlineStr">
        <is>
          <t>● 그루브레일 밴딩 곡률 반경 오차로 현장 조립 시 선형 뒤틀림 및 궤간 확장 불가 리스크를 검토하였는가? (궤도 곡선 밴딩 [4] 연계)</t>
        </is>
      </c>
      <c r="L40" s="42" t="inlineStr">
        <is>
          <t>● [슬래브적치] 프리캐스트 반-PC 슬래브의 현장 반입 및 적치 시 균일한 수평 지지대를 배치하여 슬래브 자체의 비틀림 변형 및 모서리 깨짐을 사전 방지할 것</t>
        </is>
      </c>
    </row>
    <row r="41" ht="139.95" customHeight="1">
      <c r="A41" s="37" t="inlineStr">
        <is>
          <t>5000</t>
        </is>
      </c>
      <c r="B41" s="37" t="inlineStr">
        <is>
          <t>5000-7</t>
        </is>
      </c>
      <c r="C41" s="38" t="inlineStr">
        <is>
          <t>홈레일(Grooved Rail) 부설 및 검수</t>
        </is>
      </c>
      <c r="D41" s="37" t="inlineStr">
        <is>
          <t>5000-7-2</t>
        </is>
      </c>
      <c r="E41" s="38" t="inlineStr">
        <is>
          <t>TCL 거푸집 가설 및 슬래브 정밀 선형 조정</t>
        </is>
      </c>
      <c r="F41" s="38" t="inlineStr">
        <is>
          <t>● KCS 21 10 00 (거푸집공사 표준시방서)
● 슬래브 수평/고저 및 중심선형 정밀 오차 ±2mm 이내</t>
        </is>
      </c>
      <c r="G41" s="38" t="inlineStr">
        <is>
          <t>[상세 작업 절차 - 정밀 관리]
1. 거푸집 강제 패널 설치 및 고정:
   - 도상 콘크리트(TCL) 타설을 위한 양측 강제 거푸집 패널을 가설하되, 콘크리트 타설 시 측압에 견디도록 지지대(Stay) 및 앵커 핀을 0.5m 간격으로 견고히 바닥 HSB에 앵커 고정함.
2. 정밀 측량 타겟(Prism) 세팅:
   - 레일 상면에 전용 미니 프리즘 타겟을 부착하고, 0.5mm 정밀도를 가진 자동 추적 3D 토탈스테이션(GEDO 시스템 등)을 기지점 배후 측량으로 세팅함.
3. 3D 정밀 얼라인먼트 조정:
   - 실시간 토탈스테이션 계측 데이터와 철도 선형 모델 데이터를 비교하며 스핀들 조정 볼트 및 유압 정밀 자키를 미세 조작함.
4. 허용오차 정밀 검증:
   - 궤간(±1.5mm 이내), 수평(±1.5mm 이내), 줄틀림 및 면틀림 오차가 허용 한계값 내에 도달할 때까지 조정 작업을 반복 시행하고 락너트로 완전 고정함.
5. 변형 방지 지그(Tie-Bar) 체결:
   - 콘크리트 타설 중 레일이 측압에 의해 밀리는 현상을 방지하기 위해 궤간 유지용 가설 타이바(Tie-Bar) 지그를 1.0m 간격으로 추가 조임 체결하고 거푸집 틈새 실링 작업을 시행함.
[주의사항 (하자이력 연계)]
정밀 측량 오차 누적으로 곡선 반경 미세 뒤틀림이 발생하여 차량 안착 시 단차 오차(±3mm 초과) 재시공 발생</t>
        </is>
      </c>
      <c r="H41" s="38" t="inlineStr">
        <is>
          <t>□ 측면 거푸집 수직도 및 타설 측압 대비 수평 버팀목 보강 상태
□ 정밀 측량 결과 궤도 수평/고저 및 중심선형 오차 허용값 충족 여부
□ 스핀들 락너트 체결 및 고정 상태
[집행단계 리스크 체크사항 (LLBS 연계)]
□ 가시설 굴착 심도가 지하수위 아래에 위치하는가?
□ 토류판 적용 시 차수 그라우팅 비용이 반영되었는가?
□ 특수 교각(Y형, 아치형) 시공 시 작업자 발판 및 거푸집 지지를 위한 가설 벤트가 반영되었는가?
□ 흙막이 가시설과 본 구조물 사이에 거푸집 설치 및 작업자 이동 공간(최소 1m 이상)이 확보되었는가?</t>
        </is>
      </c>
      <c r="I41" s="38" t="inlineStr">
        <is>
          <t>토목</t>
        </is>
      </c>
      <c r="J41" s="39" t="inlineStr">
        <is>
          <t>● [선로설계] 궤간 및 캔트: 표준 궤간 1,435mm 확보, 캔트는 적용 안함(무캔트 표준 적용)
● [구조분야] 차량횡하중: 축중의 20%를 레일면 높이에서 교축 직각 방향으로 고려
● [구조분야] 원심하중: 레일상면 1.5m 높이에 곡선 바깥쪽 수평 작용 (충격계수 미고려)
● [구조분야] 시동/제동하중: 레일 윗면에 레일방향(교축방향) 수평 작용 (높이 1.5m, 시동 0.27+0.95xL/Lv x T, 제동 0.27+1.00xL/Lv x T)</t>
        </is>
      </c>
      <c r="K41" s="39" t="inlineStr">
        <is>
          <t>● 정밀 측량 생략 및 지지 불량으로 궤간·수평·줄틀림 오차가 허용치(±3mm)를 초과해, 콘크리트 경화 후 도상을 전면 재시공할 리스크를 검토하였는가? (궤도 단면계획 [49])</t>
        </is>
      </c>
      <c r="L41" s="39" t="inlineStr">
        <is>
          <t>● [레일밴딩] 현장 야적장에서 직접 밴딩 시 그루브레일 복부 가압 과정의 비틀림 제어 숙련도 확보가 핵심이며, 밴딩 끝단 로스(약 700mm)에 대비한 3~5% 할증 설계 검토
● [선형조정] 슬래브 내장 스핀들 조정 시 3D 측량 정밀도 확보를 위해 주간 온도 변화에 따른 팽창 수축 보정치를 감안하여 조정할 것</t>
        </is>
      </c>
    </row>
    <row r="42" ht="139.95" customHeight="1">
      <c r="A42" s="40" t="inlineStr">
        <is>
          <t>5000</t>
        </is>
      </c>
      <c r="B42" s="40" t="inlineStr">
        <is>
          <t>5000-7</t>
        </is>
      </c>
      <c r="C42" s="41" t="inlineStr">
        <is>
          <t>홈레일(Grooved Rail) 부설 및 검수</t>
        </is>
      </c>
      <c r="D42" s="40" t="inlineStr">
        <is>
          <t>5000-7-3</t>
        </is>
      </c>
      <c r="E42" s="41" t="inlineStr">
        <is>
          <t>도상 콘크리트(TCL)층 정밀 타설 및 습윤 양생</t>
        </is>
      </c>
      <c r="F42" s="41" t="inlineStr">
        <is>
          <t>● KCS 14 20 10 (콘크리트 일반시방서)
● fck=30MPa 강도 궤도도상용 콘크리트, 타설 후 최소 7일간 습윤 양생</t>
        </is>
      </c>
      <c r="G42" s="41" t="inlineStr">
        <is>
          <t>[상세 작업 절차 - 정밀 관리]
1. 콘크리트 배합 설계 검수 및 슬럼프 측정:
   - 현장 반입 레미콘 배합 스펙(설계 강도 30 MPa 이상, 슬럼프 120±20mm, 공기량 4.5±1.5%)을 출하 전표로 검수하고, 레미콘 트럭별로 현장 슬럼프 및 공기량 시험을 실시하여 기록함.
2. 슈트 타설 및 바이브레이터 다짐:
   - 레일을 고정한 스핀들 지그 장치가 흔들리지 않도록 콘크리트를 양측에서 대칭으로 서서히 주입함. 고주파 봉상 진동기(바이브레이터)를 삽입하되, 철근 및 레일 고정 볼트에 직접 접촉하지 않도록 30cm 간격으로 수직 삽입 다짐(수포 제거)함.
3. 표면 마감 및 배수 횡단경사 형성:
   - 콘크리트 표면을 밀밀하게 그레이팅 흙손으로 마감하고, 노면수 고임 방지를 위한 외측 방향의 횡단 배수 경사(2%)를 정밀 형성함.
4. 균열 제어 수축 줄눈(Control Joint) 커팅:
   - 콘크리트 타설 후 초기 경화 시점(타설 완료 후 12~24시간 이내)에 설계된 5.0m 간격으로 커팅기로 균열 유도 줄눈(폭 5mm, 깊이 50mm)을 정밀 커팅함.
5. 습윤 양생포 가설 및 살수 관리:
   - 콘크리트 응결 완료 즉시 표면에 양생 시트(부직포)를 밀착 포설하고, 양생 온도를 15~25도로 유지하며 최소 7일간 살수하여 습윤 양생(건조 수축 균열 방지) 상태를 유지함.
[주의사항 (하자이력 연계)]
고습도/저온 시 수밀성 파손 및 타설 초기 보양막 훼손 시 급격한 건조수축 균열(10개소 이상 미세 균열) 하자 발생</t>
        </is>
      </c>
      <c r="H42" s="41" t="inlineStr">
        <is>
          <t>□ 타설 전 바닥면 이물질 청소 상태 및 습윤 상태 확인
□ TCL 콘크리트 슬럼프 및 설계 강도(30MPa) 공시체 시험 결과
□ 살수 장치 가동 상태 및 표면 습윤 양생막 유지 상태</t>
        </is>
      </c>
      <c r="I42" s="41" t="inlineStr">
        <is>
          <t>토목</t>
        </is>
      </c>
      <c r="J42" s="42" t="inlineStr">
        <is>
          <t>● 관련분야 설계기준서 준수</t>
        </is>
      </c>
      <c r="K42" s="42" t="inlineStr">
        <is>
          <t>● 현장 용접 온도 관리 및 연마 불량으로 열처리레일 경도 저하 및 미세 균열이 남아 레일 절손(파단) 사고가 발생할 리스크를 검토하였는가? (급곡선부 마감관리 [56])</t>
        </is>
      </c>
      <c r="L42" s="42" t="inlineStr">
        <is>
          <t>● [수축균열] 궤도 콘크리트(TCL) 타설 시 건조수축 균열 예방 대책을 수립할 것 (위례 현장 fck=30MPa 적용 시 10개소 이상 미세 균열 하자 조치 사례 참고)</t>
        </is>
      </c>
    </row>
    <row r="43" ht="139.95" customHeight="1">
      <c r="A43" s="37" t="inlineStr">
        <is>
          <t>5000</t>
        </is>
      </c>
      <c r="B43" s="37" t="inlineStr">
        <is>
          <t>5000-7</t>
        </is>
      </c>
      <c r="C43" s="38" t="inlineStr">
        <is>
          <t>홈레일(Grooved Rail) 부설 및 검수</t>
        </is>
      </c>
      <c r="D43" s="37" t="inlineStr">
        <is>
          <t>5000-7-4</t>
        </is>
      </c>
      <c r="E43" s="38" t="inlineStr">
        <is>
          <t>레일 용접부 그라인딩 및 초음파 비파괴검사(UT)</t>
        </is>
      </c>
      <c r="F43" s="38" t="inlineStr">
        <is>
          <t>● KS B 0817 (초음파 탐상 시험법) 및 레일 용접부 비파괴 검사 규정</t>
        </is>
      </c>
      <c r="G43" s="38" t="inlineStr">
        <is>
          <t>[상세 작업 절차 - 정밀 관리]
1. 용접 완료부 냉각 및 1차 정밀 그라인딩:
   - 테르밋 또는 가스압접 용접이 완료된 레일 이음매의 온도가 50도 이하로 자연 냉각된 것을 확인하고, 레일 프로파일 전용 그라인더 장비를 투입해 용접 비드(돌출부)를 레일 두부 프로파일 형상과 일치하도록 정밀 연마함.
2. 레일 두부 직진도 실측 검사:
   - 1.0m 정밀 철제 곧은자(Straight Edge)와 틈새 게이지를 연마된 레일 두부 및 측면에 밀착시켜 횡방향/종방향 오차(허용치 ±0.3mm/1.0m 이내)를 실측 기록함.
3. UT 비파괴 검사장비 검교정:
   - 초음파 탐상기(UT)의 주파수(2.25~5MHz), 탐촉자 굴절각(70도 및 45도)을 표준 대비 시험편(RB-R)을 사용하여 기준 감도로 검교정을 수행함.
4. 초음파 탐상 실측 분석:
   - 레일 용접부 상면, 복부, 저부에 접촉 매질(글리세린 또는 오일)을 도포하고 탐촉자를 수동 스캔함. 탐상기 스크린의 에코 신호를 분석하여 내부에 균열, 융합 불량, 슬래그 혼입 등 결함 지시 에코가 발생하는지 정밀 탐지함.
5. 결함 판정 및 용접 기록부 작성:
   - 결함 깊이 및 지시 크기를 판정 기준(철도건설 표준시방서 궤도공사 편 등급)에 따라 합격/불합격을 판정하고, 결함 위치와 크기가 명시된 용접 비파괴 검사 기록 대장을 준공도서로 보존함.
[주의사항 (하자이력 연계)]
용접부 내부 미세 균열을 UT 검사 누락으로 확인하지 못해 운행 중 레일 단절 사고</t>
        </is>
      </c>
      <c r="H43" s="38" t="inlineStr">
        <is>
          <t>□ 용접부 평탄성 오차(±0.2mm/1m 스트레이트자) 확인
□ UT 장비 캘리브레이션 및 검사 대상 용접부 일치 여부
□ 탐상 결과 합격 등급 판정 및 리포트 서명 확인</t>
        </is>
      </c>
      <c r="I43" s="38" t="inlineStr">
        <is>
          <t>토목</t>
        </is>
      </c>
      <c r="J43" s="39" t="inlineStr">
        <is>
          <t>● 관련분야 설계기준서 준수</t>
        </is>
      </c>
      <c r="K43" s="39" t="inlineStr">
        <is>
          <t>● 용접부 내부 미세 균열을 UT 검사 누락으로 확인하지 못해 운행 중 레일 단절 사고가 발생할 리스크를 검토하였는가? (궤도 단면계획 [56] 연계)</t>
        </is>
      </c>
      <c r="L43" s="39" t="inlineStr">
        <is>
          <t>● 협력사 자문 내용 없음 또는 해당사항 없음</t>
        </is>
      </c>
    </row>
    <row r="44" ht="139.95" customHeight="1">
      <c r="A44" s="40" t="inlineStr">
        <is>
          <t>5000</t>
        </is>
      </c>
      <c r="B44" s="40" t="inlineStr">
        <is>
          <t>5000-8</t>
        </is>
      </c>
      <c r="C44" s="41" t="inlineStr">
        <is>
          <t>본선 포장 마감 및 노반 보정 공사</t>
        </is>
      </c>
      <c r="D44" s="40" t="inlineStr">
        <is>
          <t>5000-8-1</t>
        </is>
      </c>
      <c r="E44" s="41" t="inlineStr">
        <is>
          <t>선로 구간 노면 마감 포장(아스콘/콘크리트/잔디) 시공</t>
        </is>
      </c>
      <c r="F44" s="41" t="inlineStr">
        <is>
          <t>● KCS 44 30 05 (아스팔트 포장공) / KCS 47 20 10 (트램 매립형 포장)
● 도로 상면 높이 단차 ±3mm 이내</t>
        </is>
      </c>
      <c r="G44" s="41" t="inlineStr">
        <is>
          <t>[작업 절차]
1. 사전 준비 단계:
   - 설계 도서 및 시방 기준을 분석하여 선로 구간 노면 마감 포장(아스콘/콘크리트/잔디) 시공 작업을 위한 현장 실측 및 경계 측량을 수행함.
2. 본 시공 단계:
   - 트램 선로 사이 및 인접 도로와의 경계 높이에 맞춰 아스콘 마감 포장 또는 콘크리트 마감 포장을 단차 없이 정밀 시공 작업을 표준 시공 절차에 준하여 시행하며, 실시간 수평도 및 치수 공차를 관리함.
3. 검사 및 마감 단계:
   - 잔디 포장 구간(녹색 궤도)의 경우, 콘크리트 포장을 안전 설계 높이까지 선행 시공한 뒤 최종 단계에서 상부에 인조/천연 잔디를 포설 시험 및 품질 검사를 실측하고 기준값 만족 여부를 기록함. 선로 구간 노면 마감 포장(아스콘/콘크리트/잔디) 시공 관련 작업 기준 준수 작업을 거쳐 노면 정리 및 안전 조치를 완료함.
[주의사항 (하자이력 연계)]
포장 조인트 밀착 불량에 따른 빗물 유입으로 동결 팽창 궤도 변형 및 노면 단차(3mm 초과)로 보행 차량 걸림 하중 충격 발생</t>
        </is>
      </c>
      <c r="H44" s="41" t="inlineStr">
        <is>
          <t>□ 포장 상면과 레일 두부 간 단차 오차 범위 확인
□ 아스콘 다짐도 및 아스팔트 조인트부 접합 마감 상태
□ 잔디 포설 구간의 하부 배수 구배 및 잔디 활착 밀착 상태
[집행단계 리스크 체크사항 (LLBS 연계)]
□ 교량 시공용 대형 크레인(200ton 이상)의 아웃트리거 전개 폭을 고려하여 가교 폭이나 작업대(Staging)가 반영되었는가?
□ 기초 터파기 구간의 지반 조건(연약지반)을 고려할 때 사면 경사를 유지할 부지가 충분한가?
□ 특수교량(FCM 등)의 주요 구조부 설계 적정성을 착공 전 검증했는가?
□ 관급자재 수급 불안정 시 사급 전환 가능성 및 비용 차이를 검토했는가?</t>
        </is>
      </c>
      <c r="I44" s="41" t="inlineStr">
        <is>
          <t>토목/노반</t>
        </is>
      </c>
      <c r="J44" s="42" t="inlineStr">
        <is>
          <t>● 관련분야 설계기준서 준수</t>
        </is>
      </c>
      <c r="K44" s="42" t="inlineStr">
        <is>
          <t>● 레일 절연재 틈새 및 포집망 접지 불량으로 우천 시 방출된 누설전류가 주변 도시 기반시설(지하 관로)을 급격히 훼손시킬 리스크를 검토하였는가? (궤도 단면계획 [13])
● 표면 청소 불량 및 수지 타설 중 공극 발생으로 기밀성이 파괴되고, 트램 진동으로 충진재가 탈락해 이륜차·보행자 걸림 사고가 발생할 리스크를 검토하였는가? (궤도 단면계획 [34])</t>
        </is>
      </c>
      <c r="L44" s="42" t="inlineStr">
        <is>
          <t>● [도로마감] 노면 포장 아스콘 접속부 다짐도 확보 및 단차 처리가 지연될 경우 차량 통행에 의한 레일 충격 소음이 유발되므로 포장 다짐 및 이음매 마감 품질 통제 필수
● [보행안전] 유모차, 휠체어 바퀴 끼임 및 보행 안전 확보를 위해 도로 횡단부 그루브 홈 내 플랩 또는 고무탄성재(프로파일) 적기 도입 권장</t>
        </is>
      </c>
    </row>
    <row r="45" ht="139.95" customHeight="1">
      <c r="A45" s="37" t="inlineStr">
        <is>
          <t>5000</t>
        </is>
      </c>
      <c r="B45" s="37" t="inlineStr">
        <is>
          <t>5000-9</t>
        </is>
      </c>
      <c r="C45" s="38" t="inlineStr">
        <is>
          <t>궤도 인접 일반 차로 및 보도 복구 공사</t>
        </is>
      </c>
      <c r="D45" s="37" t="inlineStr">
        <is>
          <t>5000-9-1</t>
        </is>
      </c>
      <c r="E45" s="38" t="inlineStr">
        <is>
          <t>장대레일 테르밋 용접 및 탄성 액상 수지 주입</t>
        </is>
      </c>
      <c r="F45" s="38" t="inlineStr">
        <is>
          <t>● KCS 47 20 20 (레일용접) / EN 14811 그루브레일 충진 기준
● 수지 경화 경도 및 일체성 확보</t>
        </is>
      </c>
      <c r="G45" s="38" t="inlineStr">
        <is>
          <t>[상세 작업 절차 - 정밀 관리]
1. 용접부 레일 단면 정렬 및 가열:
   - 접합할 두 레일의 단면 갭(약 25mm)을 유지하고 수평/수직 정렬을 틈새 자로 정밀 세팅한 후, 전용 가열 토치(산소-프로판)를 사용해 단면부를 적색 가열(가열 온도 약 900~1000도)함.
2. 테르밋 용융 및 주탕 타설:
   - 접합부에 레일 몰드 거푸집을 고정하고, 도가니(Crucible) 용기 내부의 테르밋 분말(산화철 및 알루미늄 혼합물)에 점화제를 투입해 용융 반응(반응 온도 약 2500도)을 유도함. 용융 강철 액을 몰드 내부로 낙하 주탕시킴.
3. 몰드 탈착 및 탈형 그라인딩:
   - 주탕 완료 후 일정 응결 대기 시간(약 5~10분)을 거쳐 몰드 강제 프레임을 해체하고, 돌출된 탕구 및 핀을 정밀 전단기로 절단한 후 1차 그라인딩 연마함.
4. 레일 절연재 피복 및 그루브 세척:
   - 레일과 도상 콘크리트 간 누설전류(전식) 방지를 위해 레일 측면에 고무 절연 시트 및 포집재를 밀착 시공하고, 수지 주입 공간 그루브(Groove) 내부의 수분 및 이물질을 고압 공기로 완전히 송풍 세척함.
5. 탄성 액상 수지(폴리우레탄) 주입:
   - EPDM 또는 우레탄계 2액형 탄성 액상 수지 배합비를 준수하여 수지 주입 노즐을 통해 기포(공극)가 발생하지 않도록 그루브 하부에서부터 가압 충진함. 상부 레일 두부 아래 5mm 지점까지 일정하게 충진 마감하고, 최소 24시간 양생하여 소음/진동 저하 성능을 실현함.
[주의사항 (하자이력 연계)]
용접부 정밀 가공 및 온도 제어 불량으로 레일 절손(단절) 사고 유발 및 수지 타설 시 노면수 잔류로 인한 경화 실패/박리 발생</t>
        </is>
      </c>
      <c r="H45" s="38" t="inlineStr">
        <is>
          <t>□ 궤도 용접부 외관 검사 및 비파괴 시험(UT) 합격 여부
□ 레일 Trough 홈 내부의 건조 상태 및 이물질 잔류 여부
□ 탄성 수지 주입 높이의 설계값 일치 및 표면 기포 유무
[집행단계 리스크 체크사항 (LLBS 연계)]
□ 운행선 인접 공사 시 가시설 설치 공간이 건축한계(Safety Clearance)를 침범하지 않는지 확인했는가?
□ 항타기 등 대형 장비의 진입로 폭과 회전 반경이 현장 여건(농로, 마을길)과 부합하는가?
□ 가설 구조물 철거 시 발생할 폐기물 물량을 예측하여 예산에 반영했는가?
□ 준공 정산 시 누락되기 쉬운 철거 비용을 미리 확보했는가?</t>
        </is>
      </c>
      <c r="I45" s="38" t="inlineStr">
        <is>
          <t>토목/노반</t>
        </is>
      </c>
      <c r="J45" s="39" t="inlineStr">
        <is>
          <t>● 관련분야 설계기준서 준수</t>
        </is>
      </c>
      <c r="K45" s="39" t="inlineStr">
        <is>
          <t>● 접합부 마감 불량에 따른 노면수 유입 동결융해 및 GIS 측량 오류로 타 관로 굴착 시 지하 궤도 설비가 훼손될 리스크를 검토하였는가? (도로복구 및 공간정보 [62])</t>
        </is>
      </c>
      <c r="L45" s="39" t="inlineStr">
        <is>
          <t>● [용접공법] 단면 자동 보정이 가능한 이동식 플래시벗 용접을 본선에 적극 반영하되, 곡선 전이부 및 특수부 접속은 테르밋 용접과의 병용 설계를 적용할 것
● [레일용접] 그루브레일의 비대칭 단면 특성상 일반 레일 대비 사상 작업에 고단가 인력과 긴 시간 소요 (테르밋 1일 2~5개소 수준)
● [수지주입] 탄성 액상 수지 주입 전 Trough 내부 건조 상태를 열풍기 등으로 강제 건조하여 수분 잔류로 인한 경화 실패 및 기포 발생 하자 예방</t>
        </is>
      </c>
    </row>
    <row r="46" ht="139.95" customHeight="1">
      <c r="A46" s="40" t="inlineStr">
        <is>
          <t>5000</t>
        </is>
      </c>
      <c r="B46" s="40" t="inlineStr">
        <is>
          <t>5000-10</t>
        </is>
      </c>
      <c r="C46" s="41" t="inlineStr">
        <is>
          <t>배수로 정비 및 도로 부대시설·경관 보정 공사</t>
        </is>
      </c>
      <c r="D46" s="40" t="inlineStr">
        <is>
          <t>5000-10-1</t>
        </is>
      </c>
      <c r="E46" s="41" t="inlineStr">
        <is>
          <t>궤도 최종 검측, 레일 표면 연마 및 시운전</t>
        </is>
      </c>
      <c r="F46" s="41" t="inlineStr">
        <is>
          <t>● KCS 47 20 10 (철도 궤도 정밀 검측) / 궤간 오차 ±1mm, 고저/수평 ±2mm 이내</t>
        </is>
      </c>
      <c r="G46" s="41" t="inlineStr">
        <is>
          <t>[작업 절차]
1. 사전 준비 단계:
   - 설계 도서 및 시방 기준을 분석하여 궤도 최종 검측, 레일 표면 연마 및 시운전 작업을 위한 현장 실측 및 경계 측량을 수행함.
2. 본 시공 단계:
   - 궤도 전용 정밀 검측기를 투입하여 완공된 전 구간의 궤간, 수평, 고저 오차를 전수 계측하여 데이터베이스화 작업을 표준 시공 절차에 준하여 시행하며, 실시간 수평도 및 치수 공차를 관리함.
3. 검사 및 마감 단계:
   - 열차 주행 소음 저감 및 마모 방지를 위해 용접 조인트 및 레일 두부를 궤도 연마기로 정밀 연마(Grinding) 시험 및 품질 검사를 실측하고 기준값 만족 여부를 기록함. 전력 공급 및 신호 검지 시스템 접속 완료 후, 트램 차량을 현장에 투입하여 동적 주행 안전성 및 탈선 안전성을 시운전을 통해 최종 검증 작업을 거쳐 노면 정리 및 안전 조치를 완료함.
[주의사항 (하자이력 연계)]
준공 검측 생략 및 연마 불량으로 시운전 시 동적 횡가속도 한계 초과 및 차량 승차감 지수 불합격에 따른 영업 시운전 지연</t>
        </is>
      </c>
      <c r="H46" s="41" t="inlineStr">
        <is>
          <t>□ 궤도 검측 보고서 상 허용 오차 만족 여부
□ 레일 표면 연마 상태 측정(조도계 및 평탄성 검사)
□ 시험 차량 주행 시 이상 소음/진동 및 신호/전차선 인터페이스 정상 상태
[집행단계 리스크 체크사항 (LLBS 연계)]
□ 특수교량(FCM 등)의 주요 구조부 설계 적정성을 착공 전 검증했는가?
□ 하부 도로/구조물이 상부 시공 하중(크레인+거더)을 견딜 수 있는가?
□ 벤트 위치가 하부 교통 흐름이나 구조물과 간섭되지 않는가?
□ 도로/철도 횡단 구간의 낙하물 방지 시설이 '그물망'이 아닌 '방호 선반(강판/합판)'으로 설계되었는가?</t>
        </is>
      </c>
      <c r="I46" s="41" t="inlineStr">
        <is>
          <t>토목/노반</t>
        </is>
      </c>
      <c r="J46" s="42" t="inlineStr">
        <is>
          <t>● 관련분야 설계기준서 준수</t>
        </is>
      </c>
      <c r="K46" s="42" t="inlineStr">
        <is>
          <t>● 배수 트렌치 횡단 구배 불량으로 트램 레일 홈 내부에 흙먼지가 쌓여 우천 시 물 고임 및 선로 침수 리스크를 검토하였는가?</t>
        </is>
      </c>
      <c r="L46" s="42" t="inlineStr">
        <is>
          <t>● [최종검측] 1km 기준 분할 시공에 따른 신축 조인트 구간 및 레일 접속점의 동적 거동 측정을 통해 차량 주행 안정성 시운전 검증을 철저히 수행할 것
● [레일연마] 용접 조인트 및 레일 두부의 정밀 연마(그라인딩) 작업 시 파형 마모 방지를 위해 조도계 계측 병행 권장</t>
        </is>
      </c>
    </row>
    <row r="47" ht="139.95" customHeight="1">
      <c r="A47" s="37" t="inlineStr">
        <is>
          <t>5000</t>
        </is>
      </c>
      <c r="B47" s="37" t="inlineStr">
        <is>
          <t>5000-11</t>
        </is>
      </c>
      <c r="C47" s="38" t="inlineStr">
        <is>
          <t>전차선·급전 설비(DC 750V) 설치 및 기능시험</t>
        </is>
      </c>
      <c r="D47" s="37" t="inlineStr">
        <is>
          <t>5000-11-1</t>
        </is>
      </c>
      <c r="E47" s="38" t="inlineStr">
        <is>
          <t>전차선 급전주 기초 앵커 시공 및 지주 건주</t>
        </is>
      </c>
      <c r="F47" s="38" t="inlineStr">
        <is>
          <t>● KCS 47 30 20 (전차선로 지주 공사)
● 지주 기초 콘크리트 28일 압축강도(24 MPa 이상) 확보</t>
        </is>
      </c>
      <c r="G47" s="38" t="inlineStr">
        <is>
          <t>[작업 절차]
1. 사전 준비 단계:
   - 설계 도서 및 시방 기준을 분석하여 전차선 급전주 기초 앵커 시공 및 지주 건주 작업을 위한 현장 실측 및 경계 측량을 수행함.
2. 본 시공 단계:
   - 굴착 구멍 기초 철근망 및 다수 앵커 볼트 지그 고정 작업을 표준 시공 절차에 준하여 시행하며, 실시간 수평도 및 치수 공차를 관리함.
3. 검사 및 마감 단계:
   - 기초 콘크리트 타설 후 지주 건주 크레인 인양 시험 및 품질 검사를 실측하고 기준값 만족 여부를 기록함. 수직 레벨기를 이용한 지주 직각도 확인 후 베이스 플레이트 그라우팅 작업을 거쳐 노면 정리 및 안전 조치를 완료함.
[주의사항 (하자이력 연계)]
지주 앵커 볼트 수직도 오차로 전차선 장력 작용 시 지주가 궤도 방향으로 기울어짐</t>
        </is>
      </c>
      <c r="H47" s="38" t="inlineStr">
        <is>
          <t>□ 기초 콘크리트 28일 압축강도(24MPa 이상) 확보 여부
□ 지주 수직도 설계 기준 이내 확인
□ 앵커 볼트 조임 토크 준수 및 볼트 캡 보호 그리스 도포
[집행단계 리스크 체크사항 (LLBS 연계)]
□ 기초 터파기 구간의 지반 조건(연약지반)을 고려할 때 사면 경사를 유지할 부지가 충분한가?
□ 운행선 인접 공사 시 가시설 설치 공간이 건축한계(Safety Clearance)를 침범하지 않는지 확인했는가?
□ 도심지 공사 시 교통 처리 계획에 따른 가시설 존치 기간이 적정하게 산정되었는가?
□ 특수교량(FCM 등)의 주요 구조부 설계 적정성을 착공 전 검증했는가?</t>
        </is>
      </c>
      <c r="I47" s="38" t="inlineStr">
        <is>
          <t>전기</t>
        </is>
      </c>
      <c r="J47" s="39" t="inlineStr">
        <is>
          <t>● 관련분야 설계기준서 준수</t>
        </is>
      </c>
      <c r="K47" s="39" t="inlineStr">
        <is>
          <t>● 지주 앵커 볼트 수직도 오차로 전차선 장력 작용 시 지주가 궤도 방향으로 기울어질 리스크를 검토하였는가?</t>
        </is>
      </c>
      <c r="L47" s="39" t="inlineStr">
        <is>
          <t>● 협력사 자문 내용 없음 또는 해당사항 없음</t>
        </is>
      </c>
    </row>
    <row r="48" ht="139.95" customHeight="1">
      <c r="A48" s="40" t="inlineStr">
        <is>
          <t>5000</t>
        </is>
      </c>
      <c r="B48" s="40" t="inlineStr">
        <is>
          <t>5000-11</t>
        </is>
      </c>
      <c r="C48" s="41" t="inlineStr">
        <is>
          <t>전차선·급전 설비(DC 750V) 설치 및 기능시험</t>
        </is>
      </c>
      <c r="D48" s="40" t="inlineStr">
        <is>
          <t>5000-11-2</t>
        </is>
      </c>
      <c r="E48" s="41" t="inlineStr">
        <is>
          <t>전차선 가설 및 장력 밸런싱 조정</t>
        </is>
      </c>
      <c r="F48" s="41" t="inlineStr">
        <is>
          <t>● KCS 47 30 30 (전차선 현수 및 장선 가설 공사)
● 팬터그래프 상승방식(충전레일) 전차선 높이 4,500mm ±50mm, 편위량 ±200mm 이내, 장력 20 kN</t>
        </is>
      </c>
      <c r="G48" s="41" t="inlineStr">
        <is>
          <t>[작업 절차]
1. 사전 준비 단계:
   - 설계 도서 및 시방 기준을 분석하여 전차선 가설 및 장력 밸런싱 조정 작업을 위한 현장 실측 및 경계 측량을 수행함.
2. 본 시공 단계:
   - 드럼 장비 및 장력 텐셔너 세팅 작업을 표준 시공 절차에 준하여 시행하며, 실시간 수평도 및 치수 공차를 관리함.
3. 검사 및 마감 단계:
   - 전차선 가설 후 흐름 방지 앵커링 설치 시험 및 품질 검사를 실측하고 기준값 만족 여부를 기록함. 장력 조정장치(휠 텐셔너)에 분할 추 거치 및 규정 장력(20kN) 실측 작업을 거쳐 노면 정리 및 안전 조치를 완료함.
[주의사항 (하자이력 연계)]
장력 조정기 체인 오일 부족으로 와이어 고정, 겨울철 전차선 수축 시 와이어 단선</t>
        </is>
      </c>
      <c r="H48" s="41" t="inlineStr">
        <is>
          <t>□ 전차선 높이(궤도면 상부 4,500mm ±50mm) 준수 여부
□ 전차선 편위량(지그재그 흔들림 ±200mm 이내) 확인
□ 장력 조정 장치 추 동작의 부드러움 및 지시 눈금
[집행단계 리스크 체크사항 (LLBS 연계)]
□ 개착 구조물 기초 바닥에 지하수 배제를 위한 맹암거 및 유공관이 반영되었는가?
□ 구조물과 흙막이 벽체 사이 여유폭(Working Space) 내에 배수로 설치 공간이 확보되었는가?
□ 교량 시공용 대형 크레인(200ton 이상)의 아웃트리거 전개 폭을 고려하여 가교 폭이나 작업대(Staging)가 반영되었는가?
□ 항타기 등 대형 장비의 진입로 폭과 회전 반경이 현장 여건(농로, 마을길)과 부합하는가?</t>
        </is>
      </c>
      <c r="I48" s="41" t="inlineStr">
        <is>
          <t>전기</t>
        </is>
      </c>
      <c r="J48" s="42" t="inlineStr">
        <is>
          <t>● [전기분야] 트램 차량 공급 전압: DC 750V (무가선 급전방식 원칙)
● [전기분야] 전력공급방식: 하이브리드 방식 [슈퍼캐퍼시터 + LTO 배터리] 적용</t>
        </is>
      </c>
      <c r="K48" s="42" t="inlineStr">
        <is>
          <t>● 장력 조정기 체인 오일 부족으로 와이어 고정, 겨울철 전차선 수축 시 와이어 단선 리스크를 검토하였는가?</t>
        </is>
      </c>
      <c r="L48" s="42" t="inlineStr">
        <is>
          <t>● 협력사 자문 내용 없음 또는 해당사항 없음</t>
        </is>
      </c>
    </row>
    <row r="49" ht="139.95" customHeight="1">
      <c r="A49" s="37" t="inlineStr">
        <is>
          <t>5000</t>
        </is>
      </c>
      <c r="B49" s="37" t="inlineStr">
        <is>
          <t>5000-12</t>
        </is>
      </c>
      <c r="C49" s="38" t="inlineStr">
        <is>
          <t>신호·제어 설비(축차계수기 등) 설치 및 시험</t>
        </is>
      </c>
      <c r="D49" s="37" t="inlineStr">
        <is>
          <t>5000-12-1</t>
        </is>
      </c>
      <c r="E49" s="38" t="inlineStr">
        <is>
          <t>축차계수기 휠 센서 레일 가공 설치</t>
        </is>
      </c>
      <c r="F49" s="38" t="inlineStr">
        <is>
          <t>● KCS 47 40 10 (철도 신호 설비 시공 일반 및 축차계수기 설치 기준)</t>
        </is>
      </c>
      <c r="G49" s="38" t="inlineStr">
        <is>
          <t>[상세 작업 절차 - 정밀 관리]
1. 센서 설치 위치 정밀 마킹:
   - 신호 블록 설계 도서 상의 폐색 경계점 레일 위치를 확인하고, 레일 온도 변형률이 안정된 레일 중앙부(Web)의 구멍 뚫기 중심점을 스프레이 마킹함.
2. 레일 복부(Web) 정밀 천공 가공:
   - 레일 전용 유압 천공기 및 30mm 코어 드릴 비트를 장착하고, 레일 수평 축과 직각을 유지하며 구멍 뚫기(천공 직경 30mm) 가공을 실시함. 천공부 모서리의 버(Burr)를 그라인더로 정밀 모따기함.
3. 부식 방지 도포 및 절연 칼라 삽입:
   - 가공된 천공 구멍 내부 및 절단면에 레일 부식 방지용 아연 리치 프라이머를 정밀 도포하고, 휠 센서 볼트 절연용 테플론 절연 칼라(Collar)를 삽입함.
4. 휠 센서 볼트 조임 및 높이 실측 조정:
   - 휠 센서 유닛을 레일 복부 내외측에 밀착시키고, 고장력 볼트를 조이되 토크 렌치를 사용하여 규정 조임 토크(45 Nm)로 체결함. 센서의 전용 높이 측정 지그를 활용하여 휠 센서 검지 팁과 레일 두부 최상면 간 수직 높이(설계 규격치 예: 45mm ±0.5mm)를 마이크로 게이지로 미세 실측 조정함.
5. 센서 케이블 연결 및 전압 측정:
   - 센서 후면의 케이블 단자를 기밀 몰딩 커넥터에 체결하고, 신호 정크션 박스(Junction Box) 전원 단자대 연결 후 테스터기로 동작 전압(DC 24V 범위)과 대기 전류를 측정하여 신호 수신 감도 정상 상태를 대장에 서명 기록함.
[주의사항 (하자이력 연계)]
레일 웨브 구멍 타공 시 중심선 오차로 휠 센서 장착 높이 불량, 차륜 미인식 오동작</t>
        </is>
      </c>
      <c r="H49" s="38" t="inlineStr">
        <is>
          <t>□ 천공 직경 및 위치 오차 범위 확인
□ 센서 외함 접지 접촉면 페인트 박리 처리 여부
□ 배선 보호용 플렉시블 관 고정 상태
[집행단계 리스크 체크사항 (LLBS 연계)]
□ 특수교량(FCM 등)의 주요 구조부 설계 적정성을 착공 전 검증했는가?
□ 동바리 높이가 10m를 초과하는 구간에 대해 시스템 동바리가 적용되었는가?
□ 좌굴 안정성 검토가 수행되었는가?
□ 터널 및 교량 점검 통로에 안전손잡이 수량이 산출되었는가?</t>
        </is>
      </c>
      <c r="I49" s="38" t="inlineStr">
        <is>
          <t>신호</t>
        </is>
      </c>
      <c r="J49" s="39" t="inlineStr">
        <is>
          <t>● 관련분야 설계기준서 준수</t>
        </is>
      </c>
      <c r="K49" s="39" t="inlineStr">
        <is>
          <t>● 레일 웨브 구멍 타공 시 중심선 오차로 휠 센서 장착 높이 불량, 차륜 미인식 오동작 리스크를 검토하였는가?</t>
        </is>
      </c>
      <c r="L49" s="39" t="inlineStr">
        <is>
          <t>● 협력사 자문 내용 없음 또는 해당사항 없음</t>
        </is>
      </c>
    </row>
    <row r="50" ht="139.95" customHeight="1">
      <c r="A50" s="40" t="inlineStr">
        <is>
          <t>5000</t>
        </is>
      </c>
      <c r="B50" s="40" t="inlineStr">
        <is>
          <t>5000-12</t>
        </is>
      </c>
      <c r="C50" s="41" t="inlineStr">
        <is>
          <t>신호·제어 설비(축차계수기 등) 설치 및 시험</t>
        </is>
      </c>
      <c r="D50" s="40" t="inlineStr">
        <is>
          <t>5000-12-2</t>
        </is>
      </c>
      <c r="E50" s="41" t="inlineStr">
        <is>
          <t>신호 장비실 제어반 단자대 결선 및 기동 시험</t>
        </is>
      </c>
      <c r="F50" s="41" t="inlineStr">
        <is>
          <t>● KCS 47 40 20 (신호 장비 조립 및 결선 및 제어반 기동 규정)</t>
        </is>
      </c>
      <c r="G50" s="41" t="inlineStr">
        <is>
          <t>[작업 절차]
1. 사전 준비 단계:
   - 설계 도서 및 시방 기준을 분석하여 신호 장비실 제어반 단자대 결선 및 기동 시험 작업을 위한 현장 실측 및 경계 측량을 수행함.
2. 본 시공 단계:
   - 케이블 번호 링 부착 및 단선 체크 실시 작업을 표준 시공 절차에 준하여 시행하며, 실시간 수평도 및 치수 공차를 관리함.
3. 검사 및 마감 단계:
   - 전용 압착 펜치를 이용한 단자 터미널 체결(압착력 검사) 시험 및 품질 검사를 실측하고 기준값 만족 여부를 기록함. 전원 인입 후 보드 동작 LED 및 통신 모듈 링크 상태 확인 작업을 거쳐 노면 정리 및 안전 조치를 완료함.
[주의사항 (하자이력 연계)]
단자 압착 터미널의 심선 전선 압착 불량으로 열차 진동에 의한 통신 단선 발생</t>
        </is>
      </c>
      <c r="H50" s="41" t="inlineStr">
        <is>
          <t>□ 케이블 심선 단선 테스트 통과 여부
□ 단자 조임 상태(드라이버 드라이브 토크 검사)
□ 통신 패킷 송수신 상태 오실로스코프 확인
[집행단계 리스크 체크사항 (LLBS 연계)]
□ 특수교량(FCM 등)의 주요 구조부 설계 적정성을 착공 전 검증했는가?
□ 공사 구간 50m 이내에 정온시설(병원, 학교)이 있는가?
□ 이동식 에어방음벽 등 추가 대책 비용이 예산에 있는가?
□ 공사 구간 인근에 진동에 민감한 시설(반도체 공장, 병원, 문화재)이 있는가?</t>
        </is>
      </c>
      <c r="I50" s="41" t="inlineStr">
        <is>
          <t>신호</t>
        </is>
      </c>
      <c r="J50" s="42" t="inlineStr">
        <is>
          <t>● 관련분야 설계기준서 준수</t>
        </is>
      </c>
      <c r="K50" s="42" t="inlineStr">
        <is>
          <t>● 단자 압착 터미널의 심선 전선 압착 불량으로 열차 진동에 의한 통신 단선 리스크를 검토하였는가?</t>
        </is>
      </c>
      <c r="L50" s="42" t="inlineStr">
        <is>
          <t>● 협력사 자문 내용 없음 또는 해당사항 없음</t>
        </is>
      </c>
    </row>
    <row r="51" ht="139.95" customHeight="1">
      <c r="A51" s="37" t="inlineStr">
        <is>
          <t>5000</t>
        </is>
      </c>
      <c r="B51" s="37" t="inlineStr">
        <is>
          <t>5000-13</t>
        </is>
      </c>
      <c r="C51" s="38" t="inlineStr">
        <is>
          <t>LTE-R 통신망 및 광케이블(72Core) 구축</t>
        </is>
      </c>
      <c r="D51" s="37" t="inlineStr">
        <is>
          <t>5000-13-1</t>
        </is>
      </c>
      <c r="E51" s="38" t="inlineStr">
        <is>
          <t>관로 내 광케이블 포설 및 접속 광 융착</t>
        </is>
      </c>
      <c r="F51" s="38" t="inlineStr">
        <is>
          <t>● KCS 47 50 10 (철도 정보통신 선로공사)
● 광케이블(72Core) 포설 인장력 2.9 kN 이하, 접속 손실량 Core당 0.1 dB 이하</t>
        </is>
      </c>
      <c r="G51" s="38" t="inlineStr">
        <is>
          <t>[작업 절차]
1. 사전 준비 단계:
   - 설계 도서 및 시방 기준을 분석하여 관로 내 광케이블 포설 및 접속 광 융착 작업을 위한 현장 실측 및 경계 측량을 수행함.
2. 본 시공 단계:
   - 관로 내 소정의 당김 로프 삽입 후 광케이블 유인 인장 작업을 표준 시공 절차에 준하여 시행하며, 실시간 수평도 및 치수 공차를 관리함.
3. 검사 및 마감 단계:
   - 피복 탈피기 가동 후 정밀 광 섬유 커터 절단 시험 및 품질 검사를 실측하고 기준값 만족 여부를 기록함. 아크 융착 접속기를 이용한 72Core 광섬유 융착 및 열수축 튜브 보강 작업을 거쳐 노면 정리 및 안전 조치를 완료함.
[주의사항 (하자이력 연계)]
광접속점 코어 정렬 오차로 접속 손실 기준 초과, 신호 왜곡 및 통신 불능</t>
        </is>
      </c>
      <c r="H51" s="38" t="inlineStr">
        <is>
          <t>□ 광케이블 인장력 기준 이내 견인(허용 인장력 2.9kN 이하)
□ 광 접속부 접속 손실 측정(Core당 0.1dB 이하 합격)
□ 광접속 함체 방수 패킹 마감 상태
[집행단계 리스크 체크사항 (LLBS 연계)]
□ 교량 시공용 대형 크레인(200ton 이상)의 아웃트리거 전개 폭을 고려하여 가교 폭이나 작업대(Staging)가 반영되었는가?
□ ILM 압출 단계별 Lateral Guide와 Bracket의 접촉 여부를 시뮬레이션했는가?
□ 최대 지지 경간을 고려한 전단 검토가 수행되었는가?
□ 교통량이 많은 도로 접속 공사에 대해 야간 할증 및 작업 시간 제한(단시간)이 적용되었는가?</t>
        </is>
      </c>
      <c r="I51" s="38" t="inlineStr">
        <is>
          <t>통신</t>
        </is>
      </c>
      <c r="J51" s="39" t="inlineStr">
        <is>
          <t>● 관련분야 설계기준서 준수</t>
        </is>
      </c>
      <c r="K51" s="39" t="inlineStr">
        <is>
          <t>● 광접속점 코어 정렬 오차로 접속 신호 왜곡 및 통신 불능 리스크를 검토하였는가?</t>
        </is>
      </c>
      <c r="L51" s="39" t="inlineStr">
        <is>
          <t>● 협력사 자문 내용 없음 또는 해당사항 없음</t>
        </is>
      </c>
    </row>
    <row r="52" ht="22.05" customHeight="1">
      <c r="A52" s="94" t="inlineStr">
        <is>
          <t>6000  정거장 공사 (Station Construction)</t>
        </is>
      </c>
      <c r="B52" s="95" t="n"/>
      <c r="C52" s="95" t="n"/>
      <c r="D52" s="95" t="n"/>
      <c r="E52" s="95" t="n"/>
      <c r="F52" s="95" t="n"/>
      <c r="G52" s="95" t="n"/>
      <c r="H52" s="95" t="n"/>
      <c r="I52" s="95" t="n"/>
      <c r="J52" s="95" t="n"/>
      <c r="K52" s="95" t="n"/>
      <c r="L52" s="96" t="n"/>
    </row>
    <row r="53" ht="139.95" customHeight="1">
      <c r="A53" s="37" t="inlineStr">
        <is>
          <t>6000</t>
        </is>
      </c>
      <c r="B53" s="37" t="inlineStr">
        <is>
          <t>6000-1</t>
        </is>
      </c>
      <c r="C53" s="38" t="inlineStr">
        <is>
          <t>정거장 구간 지장물 조사 및 인허가 협의</t>
        </is>
      </c>
      <c r="D53" s="37" t="inlineStr">
        <is>
          <t>6000-1-1</t>
        </is>
      </c>
      <c r="E53" s="38" t="inlineStr">
        <is>
          <t>정거장 예정지 정밀 측량 및 매설물 지도 중첩</t>
        </is>
      </c>
      <c r="F53" s="38" t="inlineStr">
        <is>
          <t>● KCS 11 10 10 (지장물 조사공 표준시방 및 매설 정보 분석 규정)</t>
        </is>
      </c>
      <c r="G53" s="38" t="inlineStr">
        <is>
          <t>[작업 절차]
1. 사전 준비 단계:
   - 설계 도서 및 시방 기준을 분석하여 정거장 예정지 정밀 측량 및 매설물 지도 중첩 작업을 위한 현장 실측 및 경계 측량을 수행함.
2. 본 시공 단계:
   - 정거장 경계 경위도 3D 측량 작업을 표준 시공 절차에 준하여 시행하며, 실시간 수평도 및 치수 공차를 관리함.
3. 검사 및 마감 단계:
   - 지하 지장물 매핑 정보를 CAD 정거장 평면도에 중첩 시험 및 품질 검사를 실측하고 기준값 만족 여부를 기록함. 이설이 불가능한 전력/상수도 정거장 우회 라인 계획 수립 작업을 거쳐 노면 정리 및 안전 조치를 완료함.
[주의사항 (하자이력 연계)]
정거장 전력 인입관 위치 오인으로 흙막이 파일 항타 시 한전 고압 지중관 파손</t>
        </is>
      </c>
      <c r="H53" s="38" t="inlineStr">
        <is>
          <t>□ 측량 도면 상의 지장물 정보 수량 확인
□ 고압 가스관 이격 거리(1m 이상) 확보 계획 수립 여부
□ 인입 및 이설 관로 배치도 작성 여부
[집행단계 리스크 체크사항 (LLBS 연계)]
□ 가시설 굴착 심도가 지하수위 아래에 위치하는가?
□ 토류판 적용 시 차수 그라우팅 비용이 반영되었는가?
□ 지반 조건(점토/사질토)에 적합한 차수 공법(Grouting vs Sheet Pile)이 선정되었는가?
□ 기초 터파기 구간의 지반 조건(연약지반)을 고려할 때 사면 경사를 유지할 부지가 충분한가?</t>
        </is>
      </c>
      <c r="I53" s="38" t="inlineStr">
        <is>
          <t>토목/행정</t>
        </is>
      </c>
      <c r="J53" s="39" t="inlineStr">
        <is>
          <t>● 관련분야 설계기준서 준수</t>
        </is>
      </c>
      <c r="K53" s="39" t="inlineStr">
        <is>
          <t>● 정거장 전력 인입관 위치 오인으로 흙막이 파일 항타 시 한전 고압 지중관 파손 리스크를 검토하였는가?</t>
        </is>
      </c>
      <c r="L53" s="39" t="inlineStr">
        <is>
          <t>● 협력사 자문 내용 없음 또는 해당사항 없음</t>
        </is>
      </c>
    </row>
    <row r="54" ht="139.95" customHeight="1">
      <c r="A54" s="40" t="inlineStr">
        <is>
          <t>6000</t>
        </is>
      </c>
      <c r="B54" s="40" t="inlineStr">
        <is>
          <t>6000-2</t>
        </is>
      </c>
      <c r="C54" s="41" t="inlineStr">
        <is>
          <t>정거장 구간 지장물 이설 공사</t>
        </is>
      </c>
      <c r="D54" s="40" t="inlineStr">
        <is>
          <t>6000-2-1</t>
        </is>
      </c>
      <c r="E54" s="41" t="inlineStr">
        <is>
          <t>정거장 기초 간섭 상수도/전력관 이설 시공</t>
        </is>
      </c>
      <c r="F54" s="41" t="inlineStr">
        <is>
          <t>● KCS 11 10 15 (지하시설물 이설공)
● 폴리에틸렌 피복 강관 부설 및 기밀 수압시험(1.5 MPa, 1시간 유지)</t>
        </is>
      </c>
      <c r="G54" s="41" t="inlineStr">
        <is>
          <t>[작업 절차]
1. 사전 준비 단계:
   - 설계 도서 및 시방 기준을 분석하여 정거장 기초 간섭 상수도/전력관 이설 시공 작업을 위한 현장 실측 및 경계 측량을 수행함.
2. 본 시공 단계:
   - 이설 굴착 후 쇄석 기초 포설(두께 150mm) 작업을 표준 시공 절차에 준하여 시행하며, 실시간 수평도 및 치수 공차를 관리함.
3. 검사 및 마감 단계:
   - 폴리에틸렌 피복 강관 부설 및 볼트 접합 토크 준수 시험 및 품질 검사를 실측하고 기준값 만족 여부를 기록함. 이설 관로 기밀 수압 시험 합격서 확보 작업을 거쳐 노면 정리 및 안전 조치를 완료함.
[주의사항 (하자이력 연계)]
이설 상수관 조인트부 백호우 버킷 타격으로 이경부 파손 및 매설 후 침하</t>
        </is>
      </c>
      <c r="H54" s="41" t="inlineStr">
        <is>
          <t>□ 기초 쇄석 다짐 확인 및 관 하부 빈틈 채움 상태
□ 상수관 기밀 테스트(1.5MPa/1시간 유지) 통과 여부
□ 되메우기 재료(양질의 모래) 포설 두께 준수
[집행단계 리스크 체크사항 (LLBS 연계)]
□ 기초 터파기 구간의 지반 조건(연약지반)을 고려할 때 사면 경사를 유지할 부지가 충분한가?
□ 도심지 협소 구간 작업 시 대형 장비 진입 불가에 따른 소형 장비 할증이 반영되었는가?
□ 시종점 및 작업구 위치 하부의 지장물(송전선, 가스관) 매설 현황을 지장물도와 대조했는가?
□ 시종점부 구조물 터파기 시 인접 도로/사면의 안정성(전단파괴)을 검토했는가?</t>
        </is>
      </c>
      <c r="I54" s="41" t="inlineStr">
        <is>
          <t>토목/기계</t>
        </is>
      </c>
      <c r="J54" s="42" t="inlineStr">
        <is>
          <t>● 관련분야 설계기준서 준수</t>
        </is>
      </c>
      <c r="K54" s="42" t="inlineStr">
        <is>
          <t>● 이설 상수관 조인트부 백호우 버킷 타격으로 이경부 파손 및 매설 후 침하 리스크를 검토하였는가?</t>
        </is>
      </c>
      <c r="L54" s="42" t="inlineStr">
        <is>
          <t>● 협력사 자문 내용 없음 또는 해당사항 없음</t>
        </is>
      </c>
    </row>
    <row r="55" ht="139.95" customHeight="1">
      <c r="A55" s="37" t="inlineStr">
        <is>
          <t>6000</t>
        </is>
      </c>
      <c r="B55" s="37" t="inlineStr">
        <is>
          <t>6000-3</t>
        </is>
      </c>
      <c r="C55" s="38" t="inlineStr">
        <is>
          <t>정거장 구간 이설 불가 지장물 방호·보강 공사</t>
        </is>
      </c>
      <c r="D55" s="37" t="inlineStr">
        <is>
          <t>6000-3-1</t>
        </is>
      </c>
      <c r="E55" s="38" t="inlineStr">
        <is>
          <t>정거장 기초 하부 특수 지장물 콘크리트 슬라브 보강</t>
        </is>
      </c>
      <c r="F55" s="38" t="inlineStr">
        <is>
          <t>● KCS 14 20 10 (콘크리트 일반시방서) 및 지장물 강관 압입 방호 기준</t>
        </is>
      </c>
      <c r="G55" s="38" t="inlineStr">
        <is>
          <t>[작업 절차]
1. 사전 준비 단계:
   - 설계 도서 및 시방 기준을 분석하여 정거장 기초 하부 특수 지장물 콘크리트 슬라브 보강 작업을 위한 현장 실측 및 경계 측량을 수행함.
2. 본 시공 단계:
   - 지장물 직상부 압축성 완충 패드 설치 작업을 표준 시공 절차에 준하여 시행하며, 실시간 수평도 및 치수 공차를 관리함.
3. 검사 및 마감 단계:
   - 지지 파일 상부 두부 정리 및 결속 철근 보강 시험 및 품질 검사를 실측하고 기준값 만족 여부를 기록함. 거푸집 구조 안전성 검사 후 콘크리트 타설 및 양생 작업을 거쳐 노면 정리 및 안전 조치를 완료함.
[주의사항 (하자이력 연계)]
거푸집 측압 보강 불량으로 타설 중 측면이 터져 지장물 파이프 내부로 몰탈 유입</t>
        </is>
      </c>
      <c r="H55" s="38" t="inlineStr">
        <is>
          <t>□ 완충재 두께 설계 부합 여부
□ 철근 결속선 결착 강도 및 간격 확인
□ 거푸집 폼타이 간격 및 버팀 지지대 고정 여부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흙막이 앵커가 인접 사유지를 침범하는지 지적도와 대조하고, 침범 시 보상비 또는 제거식 앵커 비용을 반영했는가?
□ 시종점 및 작업구 위치 하부의 지장물(송전선, 가스관) 매설 현황을 지장물도와 대조했는가?</t>
        </is>
      </c>
      <c r="I55" s="38" t="inlineStr">
        <is>
          <t>토목</t>
        </is>
      </c>
      <c r="J55" s="39" t="inlineStr">
        <is>
          <t>● 관련분야 설계기준서 준수</t>
        </is>
      </c>
      <c r="K55" s="39" t="inlineStr">
        <is>
          <t>● 거푸집 측압 보강 불량으로 타설 중 측면이 터져 지장물 파이프 내부로 몰탈 유입 리스크를 검토하였는가?</t>
        </is>
      </c>
      <c r="L55" s="39" t="inlineStr">
        <is>
          <t>● 협력사 자문 내용 없음 또는 해당사항 없음</t>
        </is>
      </c>
    </row>
    <row r="56" ht="139.95" customHeight="1">
      <c r="A56" s="40" t="inlineStr">
        <is>
          <t>6000</t>
        </is>
      </c>
      <c r="B56" s="40" t="inlineStr">
        <is>
          <t>6000-4</t>
        </is>
      </c>
      <c r="C56" s="41" t="inlineStr">
        <is>
          <t>정거장 부지 굴착 토공 및 가시설 설치</t>
        </is>
      </c>
      <c r="D56" s="40" t="inlineStr">
        <is>
          <t>6000-4-1</t>
        </is>
      </c>
      <c r="E56" s="41" t="inlineStr">
        <is>
          <t>정거장 노반 굴착 터파기 및 흙막이 가시설 설치</t>
        </is>
      </c>
      <c r="F56" s="41" t="inlineStr">
        <is>
          <t>● KCS 21 30 00 (가설 흙막이 표준시방 및 가시설 구조 안전 표준)</t>
        </is>
      </c>
      <c r="G56" s="41" t="inlineStr">
        <is>
          <t>[작업 절차]
1. 사전 준비 단계:
   - 설계 도서 및 시방 기준을 분석하여 정거장 노반 굴착 터파기 및 흙막이 가시설 설치 작업을 위한 현장 실측 및 경계 측량을 수행함.
2. 본 시공 단계:
   - 백호우 가시설 라인 굴착 및 수평 띠장(Wale) 크레인 현장 거치 작업을 표준 시공 절차에 준하여 시행하며, 실시간 수평도 및 치수 공차를 관리함.
3. 검사 및 마감 단계:
   - 띠장-버팀대(Strut) 용접 접합 및 모재 비파괴 용접 검사 시험 및 품질 검사를 실측하고 기준값 만족 여부를 기록함. 가시설 계측 변위 모니터링계 센서 데이터 셋업 및 가동 작업을 거쳐 노면 정리 및 안전 조치를 완료함.
[주의사항 (하자이력 연계)]
흙막이 벽체 이면 지반 붕괴로 정거장 배후 보도 보블록 침하 및 전신주 기울어짐</t>
        </is>
      </c>
      <c r="H56" s="41" t="inlineStr">
        <is>
          <t>□ 흙막이 벽체 수평도 및 버팀대 수평 오차 확인
□ 계측센서 초기값 셋업 및 자동 데이터 전송 여부
□ 배후 지반 균열 발생 여부 일일 육안 순찰 기록
[집행단계 리스크 체크사항 (LLBS 연계)]
□ 구조물과 흙막이 벽체 사이 여유폭(Working Space) 내에 배수로 설치 공간이 확보되었는가?
□ 가시설 굴착 심도가 지하수위 아래에 위치하는가?
□ 토류판 적용 시 차수 그라우팅 비용이 반영되었는가?
□ 기초 터파기 구간의 지반 조건(연약지반)을 고려할 때 사면 경사를 유지할 부지가 충분한가?</t>
        </is>
      </c>
      <c r="I56" s="41" t="inlineStr">
        <is>
          <t>토목</t>
        </is>
      </c>
      <c r="J56" s="42" t="inlineStr">
        <is>
          <t>● 관련분야 설계기준서 준수</t>
        </is>
      </c>
      <c r="K56" s="42" t="inlineStr">
        <is>
          <t>● 흙막이 벽체 이면 지반 붕괴로 정거장 배후 보도 보블록 침하 및 전신주 기울어짐 리스크를 검토하였는가?</t>
        </is>
      </c>
      <c r="L56" s="42" t="inlineStr">
        <is>
          <t>● 협력사 자문 내용 없음 또는 해당사항 없음</t>
        </is>
      </c>
    </row>
    <row r="57" ht="139.95" customHeight="1">
      <c r="A57" s="37" t="inlineStr">
        <is>
          <t>6000</t>
        </is>
      </c>
      <c r="B57" s="37" t="inlineStr">
        <is>
          <t>6000-5</t>
        </is>
      </c>
      <c r="C57" s="38" t="inlineStr">
        <is>
          <t>정거장 지하구조물 공사 및 기초 보정 공사</t>
        </is>
      </c>
      <c r="D57" s="37" t="inlineStr">
        <is>
          <t>6000-5-1</t>
        </is>
      </c>
      <c r="E57" s="38" t="inlineStr">
        <is>
          <t>정거장 파일 기초 평판재하시험(PBT)</t>
        </is>
      </c>
      <c r="F57" s="38" t="inlineStr">
        <is>
          <t>● KDS 11 50 15 (깊은기초 설계기준 및 파일 지지력 시험 규정)</t>
        </is>
      </c>
      <c r="G57" s="38" t="inlineStr">
        <is>
          <t>[작업 절차]
1. 사전 준비 단계:
   - 설계 도서 및 시방 기준을 분석하여 정거장 파일 기초 평판재하시험(PBT) 작업을 위한 현장 실측 및 경계 측량을 수행함.
2. 본 시공 단계:
   - 파일 두부 그라인딩 및 재하판 밀착면 수평 조정 작업을 표준 시공 절차에 준하여 시행하며, 실시간 수평도 및 치수 공차를 관리함.
3. 검사 및 마감 단계:
   - 하중 잭 장치 세팅 및 다이얼 게이지 3개 대칭 설치 시험 및 품질 검사를 실측하고 기준값 만족 여부를 기록함. 설계 극한 지지력의 2배 하중 단계별 가압 후 침하량 기록 작업을 거쳐 노면 정리 및 안전 조치를 완료함.
[주의사항 (하자이력 연계)]
기초 파일 선단 지지력 부족으로 구조물 하중 작용 시 승강장 기울어짐(PSD 오정렬 발생)</t>
        </is>
      </c>
      <c r="H57" s="38" t="inlineStr">
        <is>
          <t>□ 파일 두부 레벨 평탄도 확인
□ 침하계(게이지) 지지 가로보의 흔들림 방지 조치 상태
□ 허용 지지력 만족 결과 성적서 서명 확인
[집행단계 리스크 체크사항 (LLBS 연계)]
□ 도심지 공사 시 교통 처리 계획에 따른 가시설 존치 기간이 적정하게 산정되었는가?
□ 특수교량(FCM 등)의 주요 구조부 설계 적정성을 착공 전 검증했는가?
□ 공사 구간 50m 이내에 정온시설(병원, 학교)이 있는가?
□ 이동식 에어방음벽 등 추가 대책 비용이 예산에 있는가?</t>
        </is>
      </c>
      <c r="I57" s="38" t="inlineStr">
        <is>
          <t>토목/노반</t>
        </is>
      </c>
      <c r="J57" s="39" t="inlineStr">
        <is>
          <t>● 관련분야 설계기준서 준수</t>
        </is>
      </c>
      <c r="K57" s="39" t="inlineStr">
        <is>
          <t>● 기초 파일 선단 지지력 부족으로 구조물 하중 작용 시 승강장 기울어짐 리스크를 검토하였는가?</t>
        </is>
      </c>
      <c r="L57" s="39" t="inlineStr">
        <is>
          <t>● 협력사 자문 내용 없음 또는 해당사항 없음</t>
        </is>
      </c>
    </row>
    <row r="58" ht="139.95" customHeight="1">
      <c r="A58" s="40" t="inlineStr">
        <is>
          <t>6000</t>
        </is>
      </c>
      <c r="B58" s="40" t="inlineStr">
        <is>
          <t>6000-6</t>
        </is>
      </c>
      <c r="C58" s="41" t="inlineStr">
        <is>
          <t>정거장 승강장 구조물 설치 및 마감 공사</t>
        </is>
      </c>
      <c r="D58" s="40" t="inlineStr">
        <is>
          <t>6000-6-1</t>
        </is>
      </c>
      <c r="E58" s="41" t="inlineStr">
        <is>
          <t>승강장 프리캐스트 콘크리트(PC) 바닥판 거치 시공</t>
        </is>
      </c>
      <c r="F58" s="41" t="inlineStr">
        <is>
          <t>● 도시철도 정거장 설계기준(국토부)
● 상대식 승강장 폭 3.0m 이상, 섬식 승강장 폭 4.0m 이상 확보
● 승강장 높이 R.L 대비 335mm~350mm 기준, 연단 차량 이격 50mm 이상, 차량-승강장 갭 60mm 표준
● 승강장 총 길이 40.0m 설계 확보(노면전차 35m + 여유길이 5m)</t>
        </is>
      </c>
      <c r="G58" s="41" t="inlineStr">
        <is>
          <t>[작업 절차]
1. 사전 준비 단계:
   - 설계 도서 및 시방 기준을 분석하여 승강장 프리캐스트 콘크리트(PC) 바닥판 거치 시공 작업을 위한 현장 실측 및 경계 측량을 수행함.
2. 본 시공 단계:
   - PC 바닥판 반입 시 크랙 유무 비파괴 육안 검사 작업을 표준 시공 절차에 준하여 시행하며, 실시간 수평도 및 치수 공차를 관리함.
3. 검사 및 마감 단계:
   - 25톤 크레인 4점 균등 인양 체결 및 무선 신호수 조율 시험 및 품질 검사를 실측하고 기준값 만족 여부를 기록함. 승강장 연단 이격거리(레일 중심선에서 1,450mm ±5mm) 정밀 셋업 작업을 거쳐 노면 정리 및 안전 조치를 완료함.
[주의사항 (하자이력 연계)]
크레인 슬링 와이어 장탈착 중 PC판 낙하로 가장자리 파손 및 미세 크랙 방치 후 파손</t>
        </is>
      </c>
      <c r="H58" s="41" t="inlineStr">
        <is>
          <t>□ PC 패널 크랙 및 파손부 보수 여부
□ 승강장 연단 거리 실측 및 한계값 준수 여부
□ 연결용 특수 조인트 패드 볼트 토크 조임 확인
[집행단계 리스크 체크사항 (LLBS 연계)]
□ 교량 시공용 대형 크레인(200ton 이상)의 아웃트리거 전개 폭을 고려하여 가교 폭이나 작업대(Staging)가 반영되었는가?
□ 구조물 터파기 사면(Open Cut)의 상단 라인이 공사 부지 경계선 내에 들어오는가?
□ 하부 도로/구조물이 상부 강교 시공 하중(크레인+거더)을 견딜 수 있는가?
□ 강교 주요 부재(브라켓 등)의 치수가 도면과 내역서(재료표)에 일치하는가?</t>
        </is>
      </c>
      <c r="I58" s="41" t="inlineStr">
        <is>
          <t>토목</t>
        </is>
      </c>
      <c r="J58" s="42" t="inlineStr">
        <is>
          <t>● 관련분야 설계기준서 준수</t>
        </is>
      </c>
      <c r="K58" s="42" t="inlineStr">
        <is>
          <t>● 크레인 슬링 와이어 장탈착 중 PC판 낙하로 가장자리 파손 및 미세 크랙 방치 후 파손 리스크를 검토하였는가?</t>
        </is>
      </c>
      <c r="L58" s="42" t="inlineStr">
        <is>
          <t>● 협력사 자문 내용 없음 또는 해당사항 없음</t>
        </is>
      </c>
    </row>
    <row r="59" ht="139.95" customHeight="1">
      <c r="A59" s="37" t="inlineStr">
        <is>
          <t>6000</t>
        </is>
      </c>
      <c r="B59" s="37" t="inlineStr">
        <is>
          <t>6000-7</t>
        </is>
      </c>
      <c r="C59" s="38" t="inlineStr">
        <is>
          <t>정거장 조경 시설물 및 도로 마감 공사</t>
        </is>
      </c>
      <c r="D59" s="37" t="inlineStr">
        <is>
          <t>6000-7-1</t>
        </is>
      </c>
      <c r="E59" s="38" t="inlineStr">
        <is>
          <t>정거장 경계석 부설 및 승강장 접속부 도로 포장</t>
        </is>
      </c>
      <c r="F59" s="38" t="inlineStr">
        <is>
          <t>● KCS 44 30 05 (아스팔트 콘크리트 포장공)
● 정거장 경계석 부설 직선 정렬 오차 ±5mm 이내 관리</t>
        </is>
      </c>
      <c r="G59" s="38" t="inlineStr">
        <is>
          <t>[작업 절차]
1. 사전 준비 단계:
   - 설계 도서 및 시방 기준을 분석하여 정거장 경계석 부설 및 승강장 접속부 도로 포장 작업을 위한 현장 실측 및 경계 측량을 수행함.
2. 본 시공 단계:
   - 경계석 기초 콘크리트 포설 및 실올리기 정렬 작업을 표준 시공 절차에 준하여 시행하며, 실시간 수평도 및 치수 공차를 관리함.
3. 검사 및 마감 단계:
   - 아스팔트 포설 전 경계석 측면 조인트 부 접착재(유제) 도포 시험 및 품질 검사를 실측하고 기준값 만족 여부를 기록함. 콤팩터 및 소형 롤러를 이용한 포장 경계부 전압 시공 작업을 거쳐 노면 정리 및 안전 조치를 완료함.
[주의사항 (하자이력 연계)]
경계석 배면 채움 몰탈 강도 부족으로 버스 휠 충격 시 경게석 박리 붕괴</t>
        </is>
      </c>
      <c r="H59" s="38" t="inlineStr">
        <is>
          <t>□ 경계석 직선 정렬 오차(±5mm 이내) 확인
□ 채움 몰탈 강도 확인 및 충진 조밀도
□ 도로 접속부 포장 단차 유무 확인(유모차 통행 가능 수준)
[집행단계 리스크 체크사항 (LLBS 연계)]
□ 도로/철도 횡단 구간의 낙하물 방지 시설이 '그물망'이 아닌 '방호 선반(강판/합판)'으로 설계되었는가?
□ 하부 도로/구조물이 상부 시공 하중(크레인+거더)을 견딜 수 있는가?
□ 벤트 위치가 하부 교통 흐름이나 구조물과 간섭되지 않는가?
□ 교통 전환의 모든 단계별(Phase 1, 2, 3...) 토공 및 포장 물량이 합산되었는가?</t>
        </is>
      </c>
      <c r="I59" s="38" t="inlineStr">
        <is>
          <t>토목/노반</t>
        </is>
      </c>
      <c r="J59" s="39" t="inlineStr">
        <is>
          <t>● 관련분야 설계기준서 준수</t>
        </is>
      </c>
      <c r="K59" s="39" t="inlineStr">
        <is>
          <t>● 해당 공종 리스크 분석 수립 준수</t>
        </is>
      </c>
      <c r="L59" s="39" t="inlineStr">
        <is>
          <t>● 협력사 자문 내용 없음 또는 해당사항 없음</t>
        </is>
      </c>
    </row>
    <row r="60" ht="139.95" customHeight="1">
      <c r="A60" s="40" t="inlineStr">
        <is>
          <t>6000</t>
        </is>
      </c>
      <c r="B60" s="40" t="inlineStr">
        <is>
          <t>6000-8</t>
        </is>
      </c>
      <c r="C60" s="41" t="inlineStr">
        <is>
          <t>정거장 안내 시스템 및 가이던스 보정 공사</t>
        </is>
      </c>
      <c r="D60" s="40" t="inlineStr">
        <is>
          <t>6000-8-1</t>
        </is>
      </c>
      <c r="E60" s="41" t="inlineStr">
        <is>
          <t>행선안내기 DID 지주 볼트 고정 및 최종 리딩 테스트</t>
        </is>
      </c>
      <c r="F60" s="41" t="inlineStr">
        <is>
          <t>● KCS 47 50 20 (여객 정보 통신 설비)
● 행선안내기 DID 지주 구조 고정 및 앵커볼트 규정 인장 토크 준수</t>
        </is>
      </c>
      <c r="G60" s="41" t="inlineStr">
        <is>
          <t>[작업 절차]
1. 사전 준비 단계:
   - 설계 도서 및 시방 기준을 분석하여 행선안내기 DID 지주 볼트 고정 및 최종 리딩 테스트 작업을 위한 현장 실측 및 경계 측량을 수행함.
2. 본 시공 단계:
   - 앵커 볼트 이중 너트 세팅 및 고강도 와셔 삽입 작업을 표준 시공 절차에 준하여 시행하며, 실시간 수평도 및 치수 공차를 관리함.
3. 검사 및 마감 단계:
   - LCD/LED 표시기 케이블 단자 통신 접속(RJ-45 방수) 시험 및 품질 검사를 실측하고 기준값 만족 여부를 기록함. 센터 데이터 송출 리딩 테스트(문자 표출 및 휘도 확인) 작업을 거쳐 노면 정리 및 안전 조치를 완료함.
[주의사항 (하자이력 연계)]
DID 지주 앵커 볼트 규정 조임 미달로 태풍 시 행선안내기 전복 및 낙하 사고 위험 노출</t>
        </is>
      </c>
      <c r="H60" s="41" t="inlineStr">
        <is>
          <t>□ 지주 거치 강도 및 고장력 앵커 볼트 인장 토크
□ 케이블 인입 입선 슬리브 실링재 밀봉 여부
□ 전광판 표출 글자 왜곡 유무 및 주/야간 자동 밝기 작동
[집행단계 리스크 체크사항 (LLBS 연계)]
□ 기초 터파기 구간의 지반 조건(연약지반)을 고려할 때 사면 경사를 유지할 부지가 충분한가?
□ 교량 시공용 대형 크레인(200ton 이상)의 아웃트리거 전개 폭을 고려하여 가교 폭이나 작업대(Staging)가 반영되었는가?
□ ILM 압출 단계별 Lateral Guide와 Bracket의 접촉 여부 및 지지 경간을 시뮬레이션했는가?
□ Steel Box 내부 제습 설비 가동 전 부식 방지를 위한 임시 도장(Shop Primer)이 반영되었는가?</t>
        </is>
      </c>
      <c r="I60" s="41" t="inlineStr">
        <is>
          <t>토목/노반</t>
        </is>
      </c>
      <c r="J60" s="42" t="inlineStr">
        <is>
          <t>● 관련분야 설계기준서 준수</t>
        </is>
      </c>
      <c r="K60" s="42" t="inlineStr">
        <is>
          <t>● 해당 공종 리스크 분석 수립 준수</t>
        </is>
      </c>
      <c r="L60" s="42" t="inlineStr">
        <is>
          <t>● 협력사 자문 내용 없음 또는 해당사항 없음</t>
        </is>
      </c>
    </row>
    <row r="61" ht="139.95" customHeight="1">
      <c r="A61" s="37" t="inlineStr">
        <is>
          <t>6000</t>
        </is>
      </c>
      <c r="B61" s="37" t="inlineStr">
        <is>
          <t>6000-9</t>
        </is>
      </c>
      <c r="C61" s="38" t="inlineStr">
        <is>
          <t>정거장 전기·조명·통신·방재 설비 설치 및 시험</t>
        </is>
      </c>
      <c r="D61" s="37" t="inlineStr">
        <is>
          <t>6000-9-1</t>
        </is>
      </c>
      <c r="E61" s="38" t="inlineStr">
        <is>
          <t>정거장 분전반 결선 및 접지 상태 검사</t>
        </is>
      </c>
      <c r="F61" s="38" t="inlineStr">
        <is>
          <t>● 전기설비기술기준(KEC)
● 분전반 메인 차단기 기동 및 접지선(6SQ 이상) 저항 100Ω 이하 확보</t>
        </is>
      </c>
      <c r="G61" s="38" t="inlineStr">
        <is>
          <t>[작업 절차]
1. 사전 준비 단계:
   - 설계 도서 및 시방 기준을 분석하여 정거장 분전반 결선 및 접지 상태 검사 작업을 위한 현장 실측 및 경계 측량을 수행함.
2. 본 시공 단계:
   - 분전반 차단기 라인별 용량 명판 작성 작업을 표준 시공 절차에 준하여 시행하며, 실시간 수평도 및 치수 공차를 관리함.
3. 검사 및 마감 단계:
   - 접지선 규격(6SQ 이상) 단자대 견고 결속 및 접지저항 측정 시험 및 품질 검사를 실측하고 기준값 만족 여부를 기록함. 메인 전력 차단기 1차/2차 측 전압 테스트 작업을 거쳐 노면 정리 및 안전 조치를 완료함.
[주의사항 (하자이력 연계)]
조명 분전반 중성선 접지 누락으로 미세 누전 발생, 철제 프레임 접촉 시 작업자 감전</t>
        </is>
      </c>
      <c r="H61" s="38" t="inlineStr">
        <is>
          <t>□ 접지 저항치(100Ω 이하) 측정 완료 여부
□ 차단기 결선 심선 노출 부위 절연 튜브 열수축 상태
□ 내부 배선 트레이 내 케이블 정렬 및 타이 묶음 상태
[집행단계 리스크 체크사항 (LLBS 연계)]
□ 도심지 공사 시 교통 처리 계획에 따른 가시설 존치 기간이 적정하게 산정되었는가?
□ 공사 기간 산정 시 민원 및 인허가 지연에 따른 여유 공기(Float)가 반영되었는가?
□ 공사 구간 50m 이내에 정온시설(병원, 학교)이 있는가?
□ 이동식 에어방음벽 등 추가 대책 비용이 예산에 있는가?</t>
        </is>
      </c>
      <c r="I61" s="38" t="inlineStr">
        <is>
          <t>전기/통신/방재</t>
        </is>
      </c>
      <c r="J61" s="39" t="inlineStr">
        <is>
          <t>● 관련분야 설계기준서 준수</t>
        </is>
      </c>
      <c r="K61" s="39" t="inlineStr">
        <is>
          <t>● 해당 공종 리스크 분석 수립 준수</t>
        </is>
      </c>
      <c r="L61" s="39" t="inlineStr">
        <is>
          <t>● 협력사 자문 내용 없음 또는 해당사항 없음</t>
        </is>
      </c>
    </row>
    <row r="62" ht="139.95" customHeight="1">
      <c r="A62" s="40" t="inlineStr">
        <is>
          <t>6000</t>
        </is>
      </c>
      <c r="B62" s="40" t="inlineStr">
        <is>
          <t>6000-10</t>
        </is>
      </c>
      <c r="C62" s="41" t="inlineStr">
        <is>
          <t>플랫폼 스크린도어(PSD) 및 CCTV 설치 및 시험</t>
        </is>
      </c>
      <c r="D62" s="40" t="inlineStr">
        <is>
          <t>6000-10-1</t>
        </is>
      </c>
      <c r="E62" s="41" t="inlineStr">
        <is>
          <t>플랫폼 스크린도어(PSD) 포스트 정밀 설치</t>
        </is>
      </c>
      <c r="F62" s="41" t="inlineStr">
        <is>
          <t>● KCS 47 40 10 (신호 및 승강장 안전문 설비)
● 승강장 안전난간 H=1.2m 설치 표준 및 PSD 프레임 고정</t>
        </is>
      </c>
      <c r="G62" s="41" t="inlineStr">
        <is>
          <t>[작업 절차]
1. 사전 준비 단계:
   - 설계 도서 및 시방 기준을 분석하여 플랫폼 스크린도어(PSD) 포스트 정밀 설치 작업을 위한 현장 실측 및 경계 측량을 수행함.
2. 본 시공 단계:
   - 레일면 기준 정밀 레벨 측량 및 레이저 라이너 라인 셋업 작업을 표준 시공 절차에 준하여 시행하며, 실시간 수평도 및 치수 공차를 관리함.
3. 검사 및 마감 단계:
   - PSD 베이스 플레이트 앵커링(볼트 조임 150 N·m) 시험 및 품질 검사를 실측하고 기준값 만족 여부를 기록함. 수직도(1/1000 이내) 스페이서 미세 레벨 조절 작업을 거쳐 노면 정리 및 안전 조치를 완료함.
[주의사항 (하자이력 연계)]
포스트 수직도 오차 누적으로 가동문 개폐 시 문 끼임 및 모터 과부하 소손</t>
        </is>
      </c>
      <c r="H62" s="41" t="inlineStr">
        <is>
          <t>□ 레이저 레벨기 기준 포스트 일렬 정렬 여부
□ 베이스 앵커 인장 강도 시험 완료 여부
□ 포스트 수직도 정밀 측정 오차 한계 확인
[집행단계 리스크 체크사항 (LLBS 연계)]
□ 공기 연장 시 고정적으로 지출되는 품질/안전 관리자 인건비 및 차량 유지비가 산출되었는가?
□ 도심지 공사 시 교통 처리 계획에 따른 가시설 존치 기간이 적정하게 산정되었는가?
□ 공사 구간 인근에 진동에 민감한 시설(반도체 공장, 병원, 문화재)이 있는가?
□ 지반 조사 데이터(RQD, 탄성파 속도)를 기반으로 진동 전달율을 보수적으로 산정했는가?</t>
        </is>
      </c>
      <c r="I62" s="41" t="inlineStr">
        <is>
          <t>전기/통신</t>
        </is>
      </c>
      <c r="J62" s="42" t="inlineStr">
        <is>
          <t>● 관련분야 설계기준서 준수</t>
        </is>
      </c>
      <c r="K62" s="42" t="inlineStr">
        <is>
          <t>● 해당 공종 리스크 분석 수립 준수</t>
        </is>
      </c>
      <c r="L62" s="42" t="inlineStr">
        <is>
          <t>● 협력사 자문 내용 없음 또는 해당사항 없음</t>
        </is>
      </c>
    </row>
    <row r="63" ht="139.95" customHeight="1">
      <c r="A63" s="37" t="inlineStr">
        <is>
          <t>6000</t>
        </is>
      </c>
      <c r="B63" s="37" t="inlineStr">
        <is>
          <t>6000-10</t>
        </is>
      </c>
      <c r="C63" s="38" t="inlineStr">
        <is>
          <t>플랫폼 스크린도어(PSD) 및 CCTV 설치 및 시험</t>
        </is>
      </c>
      <c r="D63" s="37" t="inlineStr">
        <is>
          <t>6000-10-2</t>
        </is>
      </c>
      <c r="E63" s="38" t="inlineStr">
        <is>
          <t>PSD 가동문 모터 조립 및 연동 시운전</t>
        </is>
      </c>
      <c r="F63" s="38" t="inlineStr">
        <is>
          <t>● KS C IEC 62076 (승강장 안전문 설계 및 검사)
● PSD 장애물 검지 기준(두께 10mm), 도어 연동 개폐 시간 싱크 오차 0.5초 이내</t>
        </is>
      </c>
      <c r="G63" s="38" t="inlineStr">
        <is>
          <t>[작업 절차]
1. 사전 준비 단계:
   - 설계 도서 및 시방 기준을 분석하여 PSD 가동문 모터 조립 및 연동 시운전 작업을 위한 현장 실측 및 경계 측량을 수행함.
2. 본 시공 단계:
   - DC 모터 기어 박스 벨트 장력 조정(벨트 처짐 5mm 이하) 작업을 표준 시공 절차에 준하여 시행하며, 실시간 수평도 및 치수 공차를 관리함.
3. 검사 및 마감 단계:
   - 도어 센서 검지 한계 설정(두께 10mm 이상 물체 감지 시 재개판) 시험 및 품질 검사를 실측하고 기준값 만족 여부를 기록함. 열차 신호 인터페이스반과 연동하여 개폐 동작 100회 연속 테스트 작업을 거쳐 노면 정리 및 안전 조치를 완료함.
[주의사항 (하자이력 연계)]
센서 감도 셋팅 불량으로 승객 가방이 끼었음에도 감지하지 못하고 열차 출발 신호 송출</t>
        </is>
      </c>
      <c r="H63" s="38" t="inlineStr">
        <is>
          <t>□ 모터 벨트 장력 측정값 설계 일치 여부
□ 센서 작동 및 장애물 감지 재열림 기능 테스트 합격
□ 열차 무선 신호 연동 개폐 싱크 오차(0.5초 이내) 확인
[집행단계 리스크 체크사항 (LLBS 연계)]
□ 공기 연장 시 고정적으로 지출되는 품질/안전 관리자 인건비 및 차량 유지비가 산출되었는가?
□ 배수펌프장 등 필수 운영 시설의 가동 기간이 전체 공사 기간과 연동되어 있는가?
□ 공사 구간 인근에 진동에 민감한 시설(반도체 공장, 병원, 문화재)이 있는가?
□ 지반 조사 데이터(RQD, 탄성파 속도)를 기반으로 진동 전달율을 보수적으로 산정했는가?</t>
        </is>
      </c>
      <c r="I63" s="38" t="inlineStr">
        <is>
          <t>전기/통신</t>
        </is>
      </c>
      <c r="J63" s="39" t="inlineStr">
        <is>
          <t>● 관련분야 설계기준서 준수</t>
        </is>
      </c>
      <c r="K63" s="39" t="inlineStr">
        <is>
          <t>● 해당 공종 리스크 분석 수립 준수</t>
        </is>
      </c>
      <c r="L63" s="39" t="inlineStr">
        <is>
          <t>● 협력사 자문 내용 없음 또는 해당사항 없음</t>
        </is>
      </c>
    </row>
    <row r="64" ht="22.05" customHeight="1">
      <c r="A64" s="94" t="inlineStr">
        <is>
          <t>7000  차량기지 공사 (Depot Construction)</t>
        </is>
      </c>
      <c r="B64" s="95" t="n"/>
      <c r="C64" s="95" t="n"/>
      <c r="D64" s="95" t="n"/>
      <c r="E64" s="95" t="n"/>
      <c r="F64" s="95" t="n"/>
      <c r="G64" s="95" t="n"/>
      <c r="H64" s="95" t="n"/>
      <c r="I64" s="95" t="n"/>
      <c r="J64" s="95" t="n"/>
      <c r="K64" s="95" t="n"/>
      <c r="L64" s="96" t="n"/>
    </row>
    <row r="65" ht="139.95" customHeight="1">
      <c r="A65" s="37" t="inlineStr">
        <is>
          <t>7000</t>
        </is>
      </c>
      <c r="B65" s="37" t="inlineStr">
        <is>
          <t>7000-1</t>
        </is>
      </c>
      <c r="C65" s="38" t="inlineStr">
        <is>
          <t>차량기지 부지조성 및 노반 토공</t>
        </is>
      </c>
      <c r="D65" s="37" t="inlineStr">
        <is>
          <t>7000-1-1</t>
        </is>
      </c>
      <c r="E65" s="38" t="inlineStr">
        <is>
          <t>차량기지 부지 대규모 성토공 및 지반 다짐</t>
        </is>
      </c>
      <c r="F65" s="38" t="inlineStr">
        <is>
          <t>● KCS 11 20 20 (도로 다짐 및 성토공)
● 대규모 기지 부지 절·성토용 토사 유기물 함량 1% 미만, 다짐도 95% 이상</t>
        </is>
      </c>
      <c r="G65" s="38" t="inlineStr">
        <is>
          <t>[작업 절차]
1. 사전 준비 단계:
   - 설계 도서 및 시방 기준을 분석하여 차량기지 부지 대규모 성토공 및 지반 다짐 작업을 위한 현장 실측 및 경계 측량을 수행함.
2. 본 시공 단계:
   - 성토 재료 of 입도 분석 및 유기물 함량 시험(1% 미만) 작업을 표준 시공 절차에 준하여 시행하며, 실시간 수평도 및 치수 공차를 관리함.
3. 검사 및 마감 단계:
   - 300mm 두께 층다짐 실시 및 진동 롤러 전압 시험 및 품질 검사를 실측하고 기준값 만족 여부를 기록함. 현장 밀도 측정 및 최적 함수비 제어 작업을 거쳐 노면 정리 및 안전 조치를 완료함.
[주의사항 (하자이력 연계)]
차량기지 대규모 성토 시 유기질 토사 혼입으로 장기 압밀 침하, 정비고 바닥 균열</t>
        </is>
      </c>
      <c r="H65" s="38" t="inlineStr">
        <is>
          <t>□ 반입 토사 품질 시험 성적서 합격 여부
□ 층다짐 두께 300mm 초과 여부 확인
□ 들밀도시험 성적서 상 다짐도(95% 이상) 통과
[집행단계 리스크 체크사항 (LLBS 연계)]
□ 기초 터파기 구간의 지반 조건(연약지반)을 고려할 때 사면 경사를 유지할 부지가 충분한가?
□ 항타기 등 대형 장비의 진입로 폭과 회전 반경이 현장 여건(농로, 마을길)과 부합하는가?
□ 터널 노선 상 단층 파쇄대 존재 여부를 파악하기 위한 탄성파 탐사나 전기비저항 탐사가 수행되었는가?
□ 석회암 지대 등 공동 발생 우려 지역에 대한 물리탐사(GPR, 전기비저항) 계획이 있는가?</t>
        </is>
      </c>
      <c r="I65" s="38" t="inlineStr">
        <is>
          <t>토목</t>
        </is>
      </c>
      <c r="J65" s="39" t="inlineStr">
        <is>
          <t>● [토질기초] 연약지반 판정기준: 점성토 층두께 10m 이상 시 N치 6 이하, 사질토 N치 15 이하 적용
● [토질기초] 차량기지 대규모 성토 시 허용 잔류침하량 100.0mm 이하 관리 (연약지반 처리 구간)</t>
        </is>
      </c>
      <c r="K65" s="39" t="inlineStr">
        <is>
          <t>● 해당 공종 리스크 분석 수립 준수</t>
        </is>
      </c>
      <c r="L65" s="39" t="inlineStr">
        <is>
          <t>● 협력사 자문 내용 없음 또는 해당사항 없음</t>
        </is>
      </c>
    </row>
    <row r="66" ht="139.95" customHeight="1">
      <c r="A66" s="40" t="inlineStr">
        <is>
          <t>7000</t>
        </is>
      </c>
      <c r="B66" s="40" t="inlineStr">
        <is>
          <t>7000-1</t>
        </is>
      </c>
      <c r="C66" s="41" t="inlineStr">
        <is>
          <t>차량기지 부지조성 및 노반 토공</t>
        </is>
      </c>
      <c r="D66" s="40" t="inlineStr">
        <is>
          <t>7000-1-2</t>
        </is>
      </c>
      <c r="E66" s="41" t="inlineStr">
        <is>
          <t>연약지반 개량(PBD 등) 배수재 포설 및 모니터링</t>
        </is>
      </c>
      <c r="F66" s="41" t="inlineStr">
        <is>
          <t>● KCS 11 30 10 (연약지반 개량 표준시방)
● PBD 삽입 간격(1.5m 격자), 상부 샌드매트 모래 점토분 함량 5% 이하 제어</t>
        </is>
      </c>
      <c r="G66" s="41" t="inlineStr">
        <is>
          <t>[작업 절차]
1. 사전 준비 단계:
   - 설계 도서 및 시방 기준을 분석하여 연약지반 개량(PBD 등) 배수재 포설 및 모니터링 작업을 위한 현장 실측 및 경계 측량을 수행함.
2. 본 시공 단계:
   - 플라스틱 보드 드레인(PBD) 장비 수직도 유지 인입 작업을 표준 시공 절차에 준하여 시행하며, 실시간 수평도 및 치수 공차를 관리함.
3. 검사 및 마감 단계:
   - 상부 샌드 매트(두께 500mm) 모래 포설 시험 및 품질 검사를 실측하고 기준값 만족 여부를 기록함. 침하판 및 간극수압계 매일 데이터 수집 및 침하 수렴 곡선 분석 작업을 거쳐 노면 정리 및 안전 조치를 완료함.
[주의사항 (하자이력 연계)]
배수재 삽입 중 강관 인장 불량으로 배수재 중간 단절, 압밀 불량으로 침하 계속</t>
        </is>
      </c>
      <c r="H66" s="41" t="inlineStr">
        <is>
          <t>□ PBD 삽입 간격(1.5m 격자) 및 도달 깊이 확인
□ 샌드 매트 점토분 함량 기준(5% 이하) 만족
□ 계측 보고서 상 주간 침하 속도 감쇠 추이 확인
[집행단계 리스크 체크사항 (LLBS 연계)]
□ 항타기 등 대형 장비의 진입로 폭과 회전 반경이 현장 여건(농로, 마을길)과 부합하는가?
□ 기초 터파기 구간의 지반 조건(연약지반)을 고려할 때 사면 경사를 유지할 부지가 충분한가?
□ 터널 노선 상 단층 파쇄대 존재 여부를 파악하기 위한 탄성파 탐사나 전기비저항 탐사가 수행되었는가?
□ 석회암(Karst) 지형 공사 시 공동 탐지를 위한 시추 간격을 조밀하게 계획했는가?</t>
        </is>
      </c>
      <c r="I66" s="41" t="inlineStr">
        <is>
          <t>토목</t>
        </is>
      </c>
      <c r="J66" s="42" t="inlineStr">
        <is>
          <t>● 관련분야 설계기준서 준수</t>
        </is>
      </c>
      <c r="K66" s="42" t="inlineStr">
        <is>
          <t>● 해당 공종 리스크 분석 수립 준수</t>
        </is>
      </c>
      <c r="L66" s="42" t="inlineStr">
        <is>
          <t>● 협력사 자문 내용 없음 또는 해당사항 없음</t>
        </is>
      </c>
    </row>
    <row r="67" ht="139.95" customHeight="1">
      <c r="A67" s="37" t="inlineStr">
        <is>
          <t>7000</t>
        </is>
      </c>
      <c r="B67" s="37" t="inlineStr">
        <is>
          <t>7000-2</t>
        </is>
      </c>
      <c r="C67" s="38" t="inlineStr">
        <is>
          <t>유치선·정비선·검수선 궤도 부설 및 분기기 설치</t>
        </is>
      </c>
      <c r="D67" s="37" t="inlineStr">
        <is>
          <t>7000-2-1</t>
        </is>
      </c>
      <c r="E67" s="38" t="inlineStr">
        <is>
          <t>차량기지 내 분기기(Turnout) 정밀 거치</t>
        </is>
      </c>
      <c r="F67" s="38" t="inlineStr">
        <is>
          <t>● 경기도 노면전차 건설 규정 및 도시철도법 기준 준수
● 레일 규격: Grooved Rail 54G2 (Grade R260), L=18m (R≤90m 곡선 내·외측 및 모든 분기기 구성 레일은 Grade 290GHT 이상 고강도 열처리 적용)
● 궤도 구조: 매립형 수지고정형 및 블록결합형 방식 (일반 구간: 현타 블록결합형, 검수고: H-Beam 도상 궤도, 세척고: 매립형 콘크리트 도상)
● 궤도 높이(R.L~E.L): 기지 구간(현타) 380mm 적용
● 분기기 규격: Grooved Rail용 F4 침목(철제) 체결방식 매립형 분기기 (리드곡선반경 25m 이상, 포인트부 및 크로싱부 일체형 구조)</t>
        </is>
      </c>
      <c r="G67" s="38" t="inlineStr">
        <is>
          <t>[상세 작업 절차 - 정밀 관리]
1. 분기기 토대 측량 및 레이아웃 설정:
   - 차량기지 콘크리트 도상 기초면 위에 분기기 분기 시종점(IP, FBT, FET), 리드 궤도 곡선 반경 중심점 좌표를 광파기로 정밀 레이아웃 측량 마킹함.
2. 프리패키지 분기 블록 인양 거치:
   - 차량기지 정비고 및 분기 구역으로 공장 제작된 프리패키지 분기기 블록(텅레일, 크로싱, 가드레일 조립체)을 반입함. 50톤 크레인을 투입하여 4점식 빔 슬링으로 분기 블록을 수평 인양하고, 설계 마킹 지점 오차 10mm 이내로 가거치함.
3. 크로싱 및 텅레일 3D 얼라인먼트 조정:
   - 정밀 측량 프리즘 및 게이지를 부착하고, 조절 스핀들 잭을 조작하여 분기기 전 구간의 높이, 수평 레벨, 분기 곡선의 중심 선형을 광파기로 모니터링하며 허용 오차(±1mm 이내) 내로 정밀 조정함.
4. 백게이지(Back Gauge) 및 크로싱 치수 검사:
   - 크로싱부 포인트와 날개레일 간의 백게이지 치수(규격 예: 1393mm ±1mm 이내) 및 플랜지웨이 틈새 폭을 마이크로 캘리퍼스로 실측 확인하여 기록함.
5. 앵커 볼트 고정 및 무수축 충진:
   - 분기기 고정용 기초 앵커 볼트를 HSB 바닥 홀에 고강도 에폭시 접착제로 주입 고정하고, 슬래브 하부 공동 방지를 위한 고유동성 고강도 무수축 몰탈을 주입 타설한 후 습윤 양생을 실시함.
[주의사항 (하자이력 연계)]
크로싱부 정렬 오차로 트램 주행 시 플랜지 충돌음 발생 및 타이어 조기 마모
● 협력업체 자문
 [분기기배수] 차축검지기함, 히팅장치함 등 오목부 배수 계획 누락 시 침수 하자가 상시 발생하므로, 저점부에 이물질 막힘 방지용 배수구를 최소 2개소 이상 분산 설치할 것
 [탄성분기기] RCS고무 부착형 RF궤도 분기기는 운반 및 시공 중 고무재가 벌어져 수분 침투로 동결 팽창 하자가 발생하므로, 국내 사계절 기후에 대한 밀폐형 실리콘 주입 등 수밀성 확보 및 내구성 검증 선행 필수</t>
        </is>
      </c>
      <c r="H67" s="38" t="inlineStr">
        <is>
          <t>□ 분기기 정렬 수평 오차(±1.5mm 이내) 확인
□ 텅레일 밀착 상태(게이지 블록 통과 여부)
□ 분기기 크로싱부 백게이지 치수 규격 도달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하부 도로/구조물이 상부 시공 하중(크레인+거더)을 견딜 수 있는가?
□ 벤트 위치가 하부 교통 흐름이나 구조물과 간섭되지 않는가?</t>
        </is>
      </c>
      <c r="I67" s="38" t="inlineStr">
        <is>
          <t>토목/궤도</t>
        </is>
      </c>
      <c r="J67" s="39" t="inlineStr">
        <is>
          <t>● [선로설계] 차량기지 내 선로 기울기: 천분의 10(10/1,000) 이하, 정비선 및 유치선 기울기는 천분의 2(2/1,000) 이하 적용
● [구조분야] 장대레일 종하중: 콘크리트도상 상부구조 레일 신축이음장치 적용 여부에 따른 종방향 응력 계산 적용</t>
        </is>
      </c>
      <c r="K67" s="39" t="inlineStr">
        <is>
          <t>● H-Beam 매립 불량 및 타 검수 장비와의 간섭으로 트램 안착 시 궤간 틀림이 발생하고 콘크리트를 파쇄해야 할 대형 리스크를 검토하였는가? (차량기지 안전 [3])
● 크로싱부 정렬 오차로 트램 주행 시 플랜지 충돌음 발생 및 타이어 조기 마모 리스크를 검토하였는가? (궤도 분기기 [2-1] 연계)
● 측량 누락 및 시공 오차로 레일 종단과 검수장비 간 단차가 발생해 차량 탈선 및 장비 파손이 유발될 리스크를 검토하였는가? (궤도 검수고 [1] [2] 연계)</t>
        </is>
      </c>
      <c r="L67" s="39" t="inlineStr">
        <is>
          <t>● [분기기배수] 차축검지기함, 히팅장치함 등 오목부 배수 계획 누락 시 침수 하자가 상시 발생하므로, 저점부에 이물질 막힘 방지용 배수구를 최소 2개소 이상 분산 설치할 것
● [탄성분기기] RCS고무 부착형 RF궤도 분기기는 운반 및 시공 중 고무재가 벌어져 수분 침투로 동결 팽창 하자가 발생하므로, 국내 사계절 기후에 대한 밀폐형 실리콘 주입 등 수밀성 확보 및 내구성 검증 선행 필수</t>
        </is>
      </c>
    </row>
    <row r="68" ht="139.95" customHeight="1">
      <c r="A68" s="40" t="inlineStr">
        <is>
          <t>7000</t>
        </is>
      </c>
      <c r="B68" s="40" t="inlineStr">
        <is>
          <t>7000-2</t>
        </is>
      </c>
      <c r="C68" s="41" t="inlineStr">
        <is>
          <t>유치선·정비선·검수선 궤도 부설 및 분기기 설치</t>
        </is>
      </c>
      <c r="D68" s="40" t="inlineStr">
        <is>
          <t>7000-2-2</t>
        </is>
      </c>
      <c r="E68" s="41" t="inlineStr">
        <is>
          <t>기지 전환기(MJ81 등) 조립 및 전환력 측정 테스트</t>
        </is>
      </c>
      <c r="F68" s="41" t="inlineStr">
        <is>
          <t>● KCS 47 40 20 (철도 신호 전환 설비)
● 레일 용접: 1차(장척화) 및 2차(장대화) 용접 모두 테르밋(Thermit) 용접 적용하여 기지 전 구간 장대화 구현
● 차막이: 유압식 또는 차륜막이식 차막이 및 각종 선로제표 설치 기준 준수</t>
        </is>
      </c>
      <c r="G68" s="41" t="inlineStr">
        <is>
          <t>[상세 작업 절차 - 정밀 관리]
1. 전환기 MJ81 유닛 거치 및 구동 롯드 연결:
   - 차량기지 분기기 거치 완료 후, 선로 측면에 전환기(MJ81 모델) 강제 케이스 유닛을 볼트 고정 건식 거치함. 전환기 크랭크 축과 텅레일 간의 구동 롯드(Drive Rod) 및 쇄정 롯드(Lock Rod)를 볼트 체결 접합함.
2. 텅레일 밀착 스트로크 조정:
   - 전환기 기어박스 수동 핸들을 회전시켜 텅레일의 좌우 밀착 거동을 확인하고, 텅레일과 기본레일 간의 밀착 클리어런스(밀착 시 틈새 1mm 이하)가 되도록 구동 롯드 나사산을 미세 조정함.
3. 로드셀(Load Cell) 전환력 측정 셋업:
   - 구동 롯드 중간에 정밀 인장-압축 로드셀 측정기 센서와 데이터 로거(Data Logger)를 연결 세팅함.
4. 전동 기동 전환력 측정 실시:
   - 전기실 제어반 전원 가압을 실시하여 전동식으로 전환기를 10회 왕복 작동시키고, 밀착 시 가해지는 순간 최대 전환력(설계 기준치: 2.0~2.5 kN 범위 이내) 데이터를 실시간 로깅 분석함. 만약 전환력이 3.0 kN을 초과할 경우 텅레일 변형 하자가 우려되므로 스프링 장력을 미세 재조정함.
5. MJ81 내부 기어 오일 충진 및 쇄정(Lock) 테스트:
   - 내부 가동 기어박스에 지정 점도의 윤활유를 충진하고, 쇄정 핀의 기계적 잠금 상태(쇄정 갭 1.5mm 테스트 바 삽입 시 작동 중단 여부)를 최종 테스트 확인하고 보고서를 작성함.
[주의사항 (하자이력 연계)]
전환력 설정 과다로 텅레일 변형 또는 전환력 부족으로 중간 걸림 사고 발생</t>
        </is>
      </c>
      <c r="H68" s="41" t="inlineStr">
        <is>
          <t>□ 전환기 고정 볼트 토크 검사 및 잠금 핀 장착 여부
□ 전환력 실측값 및 모터 구동 전류 파형 정상 여부
□ 신호 기계실 연동 제어반 상의 포지션 피드백 신호 확인
[집행단계 리스크 체크사항 (LLBS 연계)]
□ 흙막이 가시설과 본 구조물 사이에 거푸집 설치 및 작업자 이동 공간(최소 1m 이상)이 확보되었는가?
□ 운행선 인접 공사 시 가시설 설치 공간이 건축한계(Safety Clearance)를 침범하지 않는지 확인했는가?
□ 터널 노선 상 단층 파쇄대 존재 여부를 파악하기 위한 탄성파 탐사나 전기비저항 탐사가 수행되었는가?
□ 비개착 굴착(TBM, SemiShield) 시 여굴 발생에 대비한 뒷채움 주입 설비가 반영되었는가?</t>
        </is>
      </c>
      <c r="I68" s="41" t="inlineStr">
        <is>
          <t>토목/궤도</t>
        </is>
      </c>
      <c r="J68" s="42" t="inlineStr">
        <is>
          <t>● 관련분야 설계기준서 준수</t>
        </is>
      </c>
      <c r="K68" s="42" t="inlineStr">
        <is>
          <t>● 전환력 설정 과다로 텅레일 변형 또는 전환력 부족으로 중간 걸림 사고 리스크를 검토하였는가? (궤도 분기기 [2-2] 연계)
● 1차(장척화) 및 2차(장대화) 용접 모두 테르밋(Thermit) 용접 적용 시 온도 관리 및 연마 불량으로 궤간 뒤틀림이 발생할 리스크를 검토하였는가? (궤도 용접 [19] 연계)</t>
        </is>
      </c>
      <c r="L68" s="42" t="inlineStr">
        <is>
          <t>● 협력사 자문 내용 없음 또는 해당사항 없음</t>
        </is>
      </c>
    </row>
    <row r="69" ht="139.95" customHeight="1">
      <c r="A69" s="37" t="inlineStr">
        <is>
          <t>7000</t>
        </is>
      </c>
      <c r="B69" s="37" t="inlineStr">
        <is>
          <t>7000-3</t>
        </is>
      </c>
      <c r="C69" s="38" t="inlineStr">
        <is>
          <t>검수고·관제실·부대건축물 신축 공사</t>
        </is>
      </c>
      <c r="D69" s="37" t="inlineStr">
        <is>
          <t>7000-3-1</t>
        </is>
      </c>
      <c r="E69" s="38" t="inlineStr">
        <is>
          <t>정비고 철골 구조물 기둥 세우기 및 고장력 볼트 조임</t>
        </is>
      </c>
      <c r="F69" s="38" t="inlineStr">
        <is>
          <t>● KCS 14 31 10 (강구조 공사 표준시방)
● 검수고 철골 구조물 기둥 수직도 오차 ±5mm 이내, F10T 고장력 볼트 체결</t>
        </is>
      </c>
      <c r="G69" s="38" t="inlineStr">
        <is>
          <t>[작업 절차]
1. 사전 준비 단계:
   - 설계 도서 및 시방 기준을 분석하여 정비고 철골 구조물 기둥 세우기 및 고장력 볼트 조임 작업을 위한 현장 실측 및 경계 측량을 수행함.
2. 본 시공 단계:
   - 기둥 앵커 레벨 정밀 확인 및 베이스 플레이트 안착 작업을 표준 시공 절차에 준하여 시행하며, 실시간 수평도 및 치수 공차를 관리함.
3. 검사 및 마감 단계:
   - 고장력 볼트(F10T) 조임 기기 토크 센서 캘리브레이션 시험 및 품질 검사를 실측하고 기준값 만족 여부를 기록함. 와셔 변형각도법 및 마킹법 병행하여 2차 최종 체결 확인 작업을 거쳐 노면 정리 및 안전 조치를 완료함.
[주의사항 (하자이력 연계)]
고장력 볼트 1차/2차 토크 조임 누락으로 지붕 트러스 가동 시 기둥 접합부 전단 파손</t>
        </is>
      </c>
      <c r="H69" s="38" t="inlineStr">
        <is>
          <t>□ 볼트 체결 시 마킹 라인 일치 및 볼트 여유 나사산 수
□ 토크 렌치 검사 성적서 및 당일 현장 조임 기록
□ 기둥 수직도 오차(±5mm 이내) 확인
[집행단계 리스크 체크사항 (LLBS 연계)]
□ 구조물 터파기 사면(Open Cut)의 상단 라인이 공사 부지 경계선 내에 들어오는가?
□ 교량 시공용 대형 크레인(200ton 이상)의 아웃트리거 전개 폭을 고려하여 가교 폭이나 작업대(Staging)가 반영되었는가?
□ 하부 도로/구조물이 상부 강교 시공 하중(크레인+거더)을 견딜 수 있는가?
□ ILM 압출 단계별 Lateral Guide와 Bracket의 접촉 여부 및 지지 경간을 시뮬레이션했는가?</t>
        </is>
      </c>
      <c r="I69" s="38" t="inlineStr">
        <is>
          <t>건축</t>
        </is>
      </c>
      <c r="J69" s="39" t="inlineStr">
        <is>
          <t>● 관련분야 설계기준서 준수</t>
        </is>
      </c>
      <c r="K69" s="39" t="inlineStr">
        <is>
          <t>● 고장력 볼트 1차/2차 토크 조임 누락으로 지붕 트러스 가동 시 기둥 접합부 전단 파손 리스크를 검토하였는가?</t>
        </is>
      </c>
      <c r="L69" s="39" t="inlineStr">
        <is>
          <t>● 협력사 자문 내용 없음 또는 해당사항 없음</t>
        </is>
      </c>
    </row>
    <row r="70" ht="139.95" customHeight="1">
      <c r="A70" s="40" t="inlineStr">
        <is>
          <t>7000</t>
        </is>
      </c>
      <c r="B70" s="40" t="inlineStr">
        <is>
          <t>7000-4</t>
        </is>
      </c>
      <c r="C70" s="41" t="inlineStr">
        <is>
          <t>차량기지 내 급전·전기·기계 설비 설치</t>
        </is>
      </c>
      <c r="D70" s="40" t="inlineStr">
        <is>
          <t>7000-4-1</t>
        </is>
      </c>
      <c r="E70" s="41" t="inlineStr">
        <is>
          <t>검수고 내 가공 전차선(Rigid Bar) 정밀 가설</t>
        </is>
      </c>
      <c r="F70" s="41" t="inlineStr">
        <is>
          <t>● KCS 47 30 30 (전차선로 현수선 공사)
● 차량기지 내 팬터그래프 상승 충전 가공 강체 전차선(Rigid Bar)
● 알루미늄 T-Bar/리지드 바 수평도 오차 1mm 이내, 조인트 단차 0.1mm 이하 그라인딩</t>
        </is>
      </c>
      <c r="G70" s="41" t="inlineStr">
        <is>
          <t>[작업 절차]
1. 사전 준비 단계:
   - 설계 도서 및 시방 기준을 분석하여 검수고 내 가공 전차선(Rigid Bar) 정밀 가설 작업을 위한 현장 실측 및 경계 측량을 수행함.
2. 본 시공 단계:
   - 천장 빔 고정 브래킷 볼팅 강도 확인 작업을 표준 시공 절차에 준하여 시행하며, 실시간 수평도 및 치수 공차를 관리함.
3. 검사 및 마감 단계:
   - 알루미늄 T-Bar 조립 및 수평 레벨링(허용 오차 1mm 이내) 시험 및 품질 검사를 실측하고 기준값 만족 여부를 기록함. 구리 전차선 삽입기 가동 및 가설 후 조인트 단차 그라인딩 연마 작업을 거쳐 노면 정리 및 안전 조치를 완료함.
[주의사항 (하자이력 연계)]
리지드 바 조인트 단차로 팬터그래프 통과 시 스파크 발생 및 탄소판 이상 마모</t>
        </is>
      </c>
      <c r="H70" s="41" t="inlineStr">
        <is>
          <t>□ 리지드 바 궤도 중심선 평행 정렬 오차(±5mm 이내)
□ 전차선 조인트부 단차 실측(0.1mm 이하 합격)
□ 팽창 이음장치(Expansion Joint) 신축 갭 설정 확인
[집행단계 리스크 체크사항 (LLBS 연계)]
□ 개착 구조물 기초 바닥에 지하수 배제를 위한 맹암거 및 유공관이 반영되었는가?
□ 구조물과 흙막이 벽체 사이 여유폭(Working Space) 내에 배수로 설치 공간이 확보되었는가?
□ 교량 시공용 대형 크레인(200ton 이상)의 아웃트리거 전개 폭을 고려하여 가교 폭이나 작업대(Staging)가 반영되었는가?
□ 항타기 등 대형 장비의 진입로 폭과 회전 반경이 현장 여건(농로, 마을길)과 부합하는가?</t>
        </is>
      </c>
      <c r="I70" s="41" t="inlineStr">
        <is>
          <t>전기/기계</t>
        </is>
      </c>
      <c r="J70" s="42" t="inlineStr">
        <is>
          <t>● 관련분야 설계기준서 준수</t>
        </is>
      </c>
      <c r="K70" s="42" t="inlineStr">
        <is>
          <t>● 리지드 바 조인트 단차로 팬터그래프 통과 시 스파크 발생 및 탄소판 이상 마모 리스크를 검토하였는가?</t>
        </is>
      </c>
      <c r="L70" s="42" t="inlineStr">
        <is>
          <t>● 협력사 자문 내용 없음 또는 해당사항 없음</t>
        </is>
      </c>
    </row>
    <row r="71" ht="139.95" customHeight="1">
      <c r="A71" s="37" t="inlineStr">
        <is>
          <t>7000</t>
        </is>
      </c>
      <c r="B71" s="37" t="inlineStr">
        <is>
          <t>7000-5</t>
        </is>
      </c>
      <c r="C71" s="38" t="inlineStr">
        <is>
          <t>세차·세륜 설비 및 외곽 부대시설 설치</t>
        </is>
      </c>
      <c r="D71" s="37" t="inlineStr">
        <is>
          <t>7000-5-1</t>
        </is>
      </c>
      <c r="E71" s="38" t="inlineStr">
        <is>
          <t>자동 세차기 설비 거치 및 급배수관 연결</t>
        </is>
      </c>
      <c r="F71" s="38" t="inlineStr">
        <is>
          <t>● KCS 47 50 30 (차량기지 기계 설비)
● 옥외세척고 자동 세차기 설비 앵커링 고정 표준 준수</t>
        </is>
      </c>
      <c r="G71" s="38" t="inlineStr">
        <is>
          <t>[작업 절차]
1. 사전 준비 단계:
   - 설계 도서 및 시방 기준을 분석하여 자동 세차기 설비 거치 및 급배수관 연결 작업을 위한 현장 실측 및 경계 측량을 수행함.
2. 본 시공 단계:
   - 세차 설비 베이스 콘크리트 수평 앵커링 작업을 표준 시공 절차에 준하여 시행하며, 실시간 수평도 및 치수 공차를 관리함.
3. 검사 및 마감 단계:
   - 회전 브러시 모터 및 세차 노즐 설치 시험 및 품질 검사를 실측하고 기준값 만족 여부를 기록함. 급수 압력 조절 밸브 및 배수 필터 장착 테스트 작업을 거쳐 노면 정리 및 안전 조치를 완료함.
[주의사항 (하자이력 연계)]
세차 브러시 작동 압력 실측값 미조정으로 세차 중 트램 측면 유리 스크래치 파손</t>
        </is>
      </c>
      <c r="H71" s="38" t="inlineStr">
        <is>
          <t>□ 세차기 프레임 앵커 인장 체결 상태
□ 브러시 가압 조절용 리미트 스위치 동작 확인
□ 급수 배관 접속부 수압 테스트 누수 무 확인
[집행단계 리스크 체크사항 (LLBS 연계)]
□ 흙막이 가시설과 본 구조물 사이에 거푸집 설치 및 작업자 이동 공간(최소 1m 이상)이 확보되었는가?
□ 교량 시공용 대형 크레인(200ton 이상)의 아웃트리거 전개 폭을 고려하여 가교 폭이나 작업대(Staging)가 반영되었는가?
□ 비개착 굴착(TBM, SemiShield) 시 여굴 발생에 대비한 뒷채움 주입 설비가 반영되었는가?
□ 공정별 유량 변동폭(Peak시)을 감안하여 펌프 용량 및 예비 펌프가 반영되었는가?</t>
        </is>
      </c>
      <c r="I71" s="38" t="inlineStr">
        <is>
          <t>기계/토목</t>
        </is>
      </c>
      <c r="J71" s="39" t="inlineStr">
        <is>
          <t>● 관련분야 설계기준서 준수</t>
        </is>
      </c>
      <c r="K71" s="39" t="inlineStr">
        <is>
          <t>● 세차 브러시 작동 압력 실측값 미조정으로 세차 중 트램 측면 유리 스크래치 파손 리스크를 검토하였는가?</t>
        </is>
      </c>
      <c r="L71" s="39" t="inlineStr">
        <is>
          <t>● 협력사 자문 내용 없음 또는 해당사항 없음</t>
        </is>
      </c>
    </row>
    <row r="72" ht="139.95" customHeight="1">
      <c r="A72" s="40" t="inlineStr">
        <is>
          <t>7000</t>
        </is>
      </c>
      <c r="B72" s="40" t="inlineStr">
        <is>
          <t>7000-5</t>
        </is>
      </c>
      <c r="C72" s="41" t="inlineStr">
        <is>
          <t>세차·세륜 설비 및 외곽 부대시설 설치</t>
        </is>
      </c>
      <c r="D72" s="40" t="inlineStr">
        <is>
          <t>7000-5-2</t>
        </is>
      </c>
      <c r="E72" s="41" t="inlineStr">
        <is>
          <t>세차 폐수 처리조 설비 설치 및 시운전</t>
        </is>
      </c>
      <c r="F72" s="41" t="inlineStr">
        <is>
          <t>● 수질 및 수생태계 보전에 관한 법률
● 세차 폐수 처리 방류수 수질 기준(SS 20ppm 이하, pH 5.8~8.6) 달성</t>
        </is>
      </c>
      <c r="G72" s="41" t="inlineStr">
        <is>
          <t>[작업 절차]
1. 사전 준비 단계:
   - 설계 도서 및 시방 기준을 분석하여 세차 폐수 처리조 설비 설치 및 시운전 작업을 위한 현장 실측 및 경계 측량을 수행함.
2. 본 시공 단계:
   - 화학 약품 응집제 정량 펌프 스트로크 튜닝 작업을 표준 시공 절차에 준하여 시행하며, 실시간 수평도 및 치수 공차를 관리함.
3. 검사 및 마감 단계:
   - 오일 스키머(유분 제거 장치) 유분 배출관 정렬 시험 및 품질 검사를 실측하고 기준값 만족 여부를 기록함. pH, SS 실시간 탁도계 센서 캘리브레이션 및 방류수 채수 검사 작업을 거쳐 노면 정리 및 안전 조치를 완료함.
[주의사항 (하자이력 연계)]
폐수 응집제 과소 투입으로 방류수 부유물질(SS) 기준치 초과 지자체 고발</t>
        </is>
      </c>
      <c r="H72" s="41" t="inlineStr">
        <is>
          <t>□ 방류수 수질(SS 20ppm 이하, pH 5.8~8.6) 달성 여부
□ 약품 정량 펌프 주입량 일치 여부 확인
□ 탁도 모니터링 경보 시스템 정상 동작 여부
[집행단계 리스크 체크사항 (LLBS 연계)]
□ 교량 시공용 대형 크레인(200ton 이상)의 아웃트리거 전개 폭을 고려하여 가교 폭이나 작업대(Staging)가 반영되었는가?
□ 항타기 등 대형 장비의 진입로 폭과 회전 반경이 현장 여건(농로, 마을길)과 부합하는가?
□ 공사 기간 산정 시 민원 및 인허가 지연에 따른 여유 공기(Float)가 반영되었는가?
□ 배수펌프장 등 필수 운영 시설의 가동 기간이 전체 공사 기간과 연동되어 있는가?</t>
        </is>
      </c>
      <c r="I72" s="41" t="inlineStr">
        <is>
          <t>기계/토목</t>
        </is>
      </c>
      <c r="J72" s="42" t="inlineStr">
        <is>
          <t>● 관련분야 설계기준서 준수</t>
        </is>
      </c>
      <c r="K72" s="42" t="inlineStr">
        <is>
          <t>● 폐수 응집제 과소 투입으로 방류수 부유물질(SS) 기준치 초과 지자체 고발 리스크를 검토하였는가?</t>
        </is>
      </c>
      <c r="L72" s="42" t="inlineStr">
        <is>
          <t>● 협력사 자문 내용 없음 또는 해당사항 없음</t>
        </is>
      </c>
    </row>
    <row r="73" ht="22.05" customHeight="1">
      <c r="A73" s="94" t="inlineStr">
        <is>
          <t>9000  시운전 및 인계 (Commissioning &amp; Handover)</t>
        </is>
      </c>
      <c r="B73" s="95" t="n"/>
      <c r="C73" s="95" t="n"/>
      <c r="D73" s="95" t="n"/>
      <c r="E73" s="95" t="n"/>
      <c r="F73" s="95" t="n"/>
      <c r="G73" s="95" t="n"/>
      <c r="H73" s="95" t="n"/>
      <c r="I73" s="95" t="n"/>
      <c r="J73" s="95" t="n"/>
      <c r="K73" s="95" t="n"/>
      <c r="L73" s="96" t="n"/>
    </row>
    <row r="74" ht="139.95" customHeight="1">
      <c r="A74" s="37" t="inlineStr">
        <is>
          <t>9000</t>
        </is>
      </c>
      <c r="B74" s="37" t="inlineStr">
        <is>
          <t>9000-1</t>
        </is>
      </c>
      <c r="C74" s="38" t="inlineStr">
        <is>
          <t>시스템 통합 기능시험 및 확인시험</t>
        </is>
      </c>
      <c r="D74" s="37" t="inlineStr">
        <is>
          <t>9000-1-1</t>
        </is>
      </c>
      <c r="E74" s="38" t="inlineStr">
        <is>
          <t>무부하 신호-관제센터 간 패킷 수신 테스트</t>
        </is>
      </c>
      <c r="F74" s="38" t="inlineStr">
        <is>
          <t>● KCS 47 40 10 (신호 제어 시스템 시운전)
● 본선 안테나 무선 신호 RSSI -75dBm 이상 및 패킷 유실률 0.01% 이하</t>
        </is>
      </c>
      <c r="G74" s="38" t="inlineStr">
        <is>
          <t>[작업 절차]
1. 사전 준비 단계:
   - 설계 도서 및 시방 기준을 분석하여 무부하 신호-관제센터 간 패킷 수신 테스트 작업을 위한 현장 실측 및 경계 측량을 수행함.
2. 본 시공 단계:
   - 본선 통신 랙 서버 및 관제 콘솔 기동 작업을 표준 시공 절차에 준하여 시행하며, 실시간 수평도 및 치수 공차를 관리함.
3. 검사 및 마감 단계:
   - 테스트 패킷 송출 모뎀 세팅 시험 및 품질 검사를 실측하고 기준값 만족 여부를 기록함. 시간당 무선 패킷 유실률(0.01% 이하 목표) 체크 작업을 거쳐 노면 정리 및 안전 조치를 완료함.
[주의사항 (하자이력 연계)]
무선 AP 패킷 드롭(Packet Drop)으로 운행 중 트램 위치 소실 관제 화면 먹통</t>
        </is>
      </c>
      <c r="H74" s="38" t="inlineStr">
        <is>
          <t>□ 관제 컴퓨터 무선 통신 수신 패킷 로그 유실 유무
□ 통신 암호화 프로토콜 적용 확인
□ 본선 전 구간 안테나 신호 강도(RSSI -75dBm 이상) 확인
[집행단계 리스크 체크사항 (LLBS 연계)]
□ 배수펌프장 등 필수 운영 시설의 가동 기간이 전체 공사 기간과 연동되어 있는가?
□ 공사 구간 인근에 진동에 민감한 시설(반도체 공장, 병원, 문화재)이 있는가?
□ 지반 조사 데이터(RQD, 탄성파 속도)를 기반으로 진동 전달율을 보수적으로 산정했는가?
□ 외기에 노출되거나 동결 심도 내에 위치한 소화배관/소화전에 발열선(Heat Trace)이 반영되었는가?</t>
        </is>
      </c>
      <c r="I74" s="38" t="inlineStr">
        <is>
          <t>전기/신호/통신</t>
        </is>
      </c>
      <c r="J74" s="39" t="inlineStr">
        <is>
          <t>● 관련분야 설계기준서 준수</t>
        </is>
      </c>
      <c r="K74" s="39" t="inlineStr">
        <is>
          <t>● 무선 AP 패킷 드롭(Packet Drop)으로 운행 중 트램 위치 소실 관제 화면 먹통 리스크를 검토하였는가?</t>
        </is>
      </c>
      <c r="L74" s="39" t="inlineStr">
        <is>
          <t>● 협력사 자문 내용 없음 또는 해당사항 없음</t>
        </is>
      </c>
    </row>
    <row r="75" ht="139.95" customHeight="1">
      <c r="A75" s="40" t="inlineStr">
        <is>
          <t>9000</t>
        </is>
      </c>
      <c r="B75" s="40" t="inlineStr">
        <is>
          <t>9000-1</t>
        </is>
      </c>
      <c r="C75" s="41" t="inlineStr">
        <is>
          <t>시스템 통합 기능시험 및 확인시험</t>
        </is>
      </c>
      <c r="D75" s="40" t="inlineStr">
        <is>
          <t>9000-1-2</t>
        </is>
      </c>
      <c r="E75" s="41" t="inlineStr">
        <is>
          <t>변전소 통전 수전 및 전차선DC 가압 테스트</t>
        </is>
      </c>
      <c r="F75" s="41" t="inlineStr">
        <is>
          <t>● KCS 47 30 10 (변전 전기 설비 시운전)
● 변전소 DC 출력 전압 정밀도(DC 750V +10%/-15% 이내) 확보</t>
        </is>
      </c>
      <c r="G75" s="41" t="inlineStr">
        <is>
          <t>[작업 절차]
1. 사전 준비 단계:
   - 설계 도서 및 시방 기준을 분석하여 변전소 통전 수전 및 전차선DC 가압 테스트 작업을 위한 현장 실측 및 경계 측량을 수행함.
2. 본 시공 단계:
   - 한국전력공사 22.9kV 수전 회로 인입 스위치 가동 작업을 표준 시공 절차에 준하여 시행하며, 실시간 수평도 및 치수 공차를 관리함.
3. 검사 및 마감 단계:
   - 정류기 가동 후 전차선 출력 전압(DC 750V) 실측 시험 및 품질 검사를 실측하고 기준값 만족 여부를 기록함. 보호계전기(OCR/GR) 전류 캘리브레이터 시뮬레이션 트립 시험 작업을 거쳐 노면 정리 및 안전 조치를 완료함.
[주의사항 (하자이력 연계)]
보호 계전기 트립 전류 오설정으로 부하 주행 시 전원 차단기 오동작 트립(열차 정전)</t>
        </is>
      </c>
      <c r="H75" s="41" t="inlineStr">
        <is>
          <t>□ DC 출력 전압 정밀도(DC 750V +10%/-15% 이내)
□ 차단기 긴급 수동 트립 장치 동작 여부
□ 수변전실 접지 설비 일체 저항 측정 및 기준 충족 여부
[집행단계 리스크 체크사항 (LLBS 연계)]
□ 구조물과 흙막이 벽체 사이 여유폭(Working Space) 내에 배수로 설치 공간이 확보되었는가?
□ 교량 시공용 대형 크레인(200ton 이상)의 아웃트리거 전개 폭을 고려하여 가교 폭이나 작업대(Staging)가 반영되었는가?
□ 배수펌프장 등 필수 운영 시설의 가동 기간이 전체 공사 기간과 연동되어 있는가?
□ 동바리 높이가 10m를 초과하는 구간에 대해 시스템 동바리가 적용되었는가?</t>
        </is>
      </c>
      <c r="I75" s="41" t="inlineStr">
        <is>
          <t>전기/신호/통신</t>
        </is>
      </c>
      <c r="J75" s="42" t="inlineStr">
        <is>
          <t>● 관련분야 설계기준서 준수</t>
        </is>
      </c>
      <c r="K75" s="42" t="inlineStr">
        <is>
          <t>● 보호 계전기 트립 전류 오설정으로 부하 주행 시 전원 차단기 오동작 트립 리스크를 검토하였는가?</t>
        </is>
      </c>
      <c r="L75" s="42" t="inlineStr">
        <is>
          <t>● 협력사 자문 내용 없음 또는 해당사항 없음</t>
        </is>
      </c>
    </row>
    <row r="76" ht="139.95" customHeight="1">
      <c r="A76" s="37" t="inlineStr">
        <is>
          <t>9000</t>
        </is>
      </c>
      <c r="B76" s="37" t="inlineStr">
        <is>
          <t>9000-2</t>
        </is>
      </c>
      <c r="C76" s="38" t="inlineStr">
        <is>
          <t>기술시운전 계획 수립 및 관련기관 시험 운행</t>
        </is>
      </c>
      <c r="D76" s="37" t="inlineStr">
        <is>
          <t>9000-2-1</t>
        </is>
      </c>
      <c r="E76" s="38" t="inlineStr">
        <is>
          <t>기술시운전 속도별 제동거리 정밀 실측</t>
        </is>
      </c>
      <c r="F76" s="38" t="inlineStr">
        <is>
          <t>● 철도안전법 시행규칙 제42조 및 KSD 24 10 10 (주행안전성 기준) 준수
● 트램 성능 설계 최고속도 70km/h 비상 제동거리 실측</t>
        </is>
      </c>
      <c r="G76" s="38" t="inlineStr">
        <is>
          <t>[상세 작업 절차 - 정밀 관리]
1. 실측용 계측 센서 차량 장착:
   - 테스트 트램 차량에 고정밀 GPS 가속도계, 차륜 회전 펄스 엔코더 및 제동관 압력 센서를 장착함. 선로 측정 시점 및 종점부 노면에 레이저 감지 타겟(Photo-Gate)을 세팅함.
2. 시운전 선로 확보 및 건조 상태 확인:
   - 시운전 구간 선로 이물질을 고압 진공 살수로 청소하고, 지반 및 노면 상태(건조 상태 확인)를 기록하여 측정 신뢰성을 확보함.
3. 속도 단계별 주행 및 제동 작동:
   - 트램을 속도 단계별(15km/h, 30km/h, 45km/h 등)로 정속 주행시킨 후, 지정된 제동 시점 마킹 포인트를 통과하는 순간 상용 최대 제동(Full Service Brake) 및 비상 제동(Emergency Brake)을 작동시킴.
4. 제동거리 측정 및 데이터 로깅:
   - 제동 명령 동작 신호 입력 시점부터 차량이 완전 정지(속도 0 km/h)할 때까지의 실제 이동 거리(제동거리) 및 감속도(m/s2) 데이터를 0.01초 단위로 로깅함.
5. 비상 제동거리 설계 한계값 검증:
   - 최고 속도(45km/h) 비상 제동 시의 제동거리가 설계 한계값(예: 80m 이하)을 만족하는지 검증하고, 활주방지장치(WSP) 동작 이력을 분석하여 속도별 제동 특성 곡선 검토서를 작성함.
[주의사항 (하자이력 연계)]
우천 시 활주방지장치(WSP) 반응 지연으로 비상 제동거리 설계치 초과, 충돌 위험</t>
        </is>
      </c>
      <c r="H76" s="38" t="inlineStr">
        <is>
          <t>□ 속도별 비상제동 거리 설계 기준 이내 확보 확인
□ 활주 발생 시 WSP 동작 타임랙 분석 통과
□ 데이터 분석 보고서 기술지원팀 최종 서명 완료
[집행단계 리스크 체크사항 (LLBS 연계)]
□ 공사 기간 산정 시 민원 및 인허가 지연에 따른 여유 공기(Float)가 반영되었는가?
□ 공기 연장 시 고정적으로 지출되는 품질/안전 관리자 인건비 및 차량 유지비가 산출되었는가?
□ 공사 구간 인근에 진동에 민감한 시설(반도체 공장, 병원, 문화재)이 있는가?
□ 지반 조사 데이터(RQD, 탄성파 속도)를 기반으로 진동 전달율을 보수적으로 산정했는가?</t>
        </is>
      </c>
      <c r="I76" s="38" t="inlineStr">
        <is>
          <t>토목/전기</t>
        </is>
      </c>
      <c r="J76" s="39" t="inlineStr">
        <is>
          <t>● 관련분야 설계기준서 준수</t>
        </is>
      </c>
      <c r="K76" s="39" t="inlineStr">
        <is>
          <t>● 우천 시 활주방지장치(WSP) 반응 지연으로 비상 제동거리 설계치 초과, 충돌 위험 리스크를 검토하였는가?</t>
        </is>
      </c>
      <c r="L76" s="39" t="inlineStr">
        <is>
          <t>● 협력사 자문 내용 없음 또는 해당사항 없음</t>
        </is>
      </c>
    </row>
    <row r="77" ht="139.95" customHeight="1">
      <c r="A77" s="40" t="inlineStr">
        <is>
          <t>9000</t>
        </is>
      </c>
      <c r="B77" s="40" t="inlineStr">
        <is>
          <t>9000-2</t>
        </is>
      </c>
      <c r="C77" s="41" t="inlineStr">
        <is>
          <t>기술시운전 계획 수립 및 관련기관 시험 운행</t>
        </is>
      </c>
      <c r="D77" s="40" t="inlineStr">
        <is>
          <t>9000-2-2</t>
        </is>
      </c>
      <c r="E77" s="41" t="inlineStr">
        <is>
          <t>궤도-차량 동적 거동 승차감 진동 측정</t>
        </is>
      </c>
      <c r="F77" s="41" t="inlineStr">
        <is>
          <t>● ISO 2631 (전신 진동에 대한 인체 노출 평가 기준)
● 궤도-차량 간 주행시 3축 가속도 측정기 기준 승차감 지수 Wz 2.5 이하</t>
        </is>
      </c>
      <c r="G77" s="41" t="inlineStr">
        <is>
          <t>[상세 작업 절차 - 정밀 관리]
1. 승차감 진동 센서 장착:
   - 테스트 트램 차량의 차체 중앙부 바닥면(Passenger Floor) 및 대차 프레임(Bogey Frame)에 고정밀 3축 가속도 센서(측정 범위 ±2g, 분해능 0.001g)를 리지드 나사 체결 장착함.
2. 노선 선형 정보 및 계측기 동기화:
   - 계측 시스템의 타임스탬프와 차량 내 GPS 선로 마커를 동기화하여, 진동 발생 위치가 곡선부/분기기부 등 어느 선로 기하 구조에 해당하는지 추적 매핑되도록 설정함.
3. 주행 속도 프로파일 실행:
   - 대상 구간을 노선 규정 한계 속도 프로파일에 맞춰 주행함. 주행 중 발생하는 수직, 수평, 진행 방향 3축의 가속도 시계열 데이터를 200 Hz 이상의 샘플링 레이트로 로깅 기록함.
4. ISO 2631 승차감 지수 계산:
   - 획득된 가속도 진동 데이터에 인간 진동 반응 필터(주파수 가중 필터 Wd, Wk)를 통과시켜 실효값(RMS)을 구하고, ISO 2631 규격에 따른 주행 승차감 평가 지수(Comfort Index: 예, 0.315 m/s2 이하 'Very Comfortable')를 산출함.
5. 궤도 기하 상태 분석 및 피드백:
   - 곡선 진입부 완화곡선 캔트 경사부 등에서 승차감 한계값(가속도 급변 대역)을 초과한 지점을 궤도 중심선 오차 또는 종단 경사 오차 지점과 매핑하여, 궤도 정밀 연마 및 다짐 보정이 필요한 불량 구간 피드백 리포트를 발행함.
[주의사항 (하자이력 연계)]
곡선 진입부 횡가속도 허용치 초과로 승차감 지수 불합격, 재운행 시운전 명령</t>
        </is>
      </c>
      <c r="H77" s="41" t="inlineStr">
        <is>
          <t>□ 3축 가속도계 센서 캘리브레이션 유효기간 확인
□ 승차감 지수(Wz 2.5 이하) 만족 완료 여부
□ 곡선 탈출 시 급격한 횡진동 가속도 피크 값 검출 유무
[집행단계 리스크 체크사항 (LLBS 연계)]
□ 공사 기간 산정 시 민원 및 인허가 지연에 따른 여유 공기(Float)가 반영되었는가?
□ 공기 연장 시 고정적으로 지출되는 품질/안전 관리자 인건비 및 차량 유지비가 산출되었는가?
□ 도심지/운행선 인접 구간 암파쇄 공법이 '미진동'이 아닌 '무진동'으로 반영되었는가?
□ 민원 발생 시 공법 변경에 따른 공기 지연 리스크를 고려했는가?</t>
        </is>
      </c>
      <c r="I77" s="41" t="inlineStr">
        <is>
          <t>토목/전기</t>
        </is>
      </c>
      <c r="J77" s="42" t="inlineStr">
        <is>
          <t>● 관련분야 설계기준서 준수</t>
        </is>
      </c>
      <c r="K77" s="42" t="inlineStr">
        <is>
          <t>● 곡선 진입부 횡가속도 허용치 초과로 승차감 지수 불합격, 재운행 시운전 명령 리스크를 검토하였는가?</t>
        </is>
      </c>
      <c r="L77" s="42" t="inlineStr">
        <is>
          <t>● 협력사 자문 내용 없음 또는 해당사항 없음</t>
        </is>
      </c>
    </row>
    <row r="78" ht="139.95" customHeight="1">
      <c r="A78" s="37" t="inlineStr">
        <is>
          <t>9000</t>
        </is>
      </c>
      <c r="B78" s="37" t="inlineStr">
        <is>
          <t>9000-3</t>
        </is>
      </c>
      <c r="C78" s="38" t="inlineStr">
        <is>
          <t>영업시운전 및 관련기관 시험 운행</t>
        </is>
      </c>
      <c r="D78" s="37" t="inlineStr">
        <is>
          <t>9000-3-1</t>
        </is>
      </c>
      <c r="E78" s="38" t="inlineStr">
        <is>
          <t>영업시운전 100회 정시 운행(Scheduled Run) 테스트</t>
        </is>
      </c>
      <c r="F78" s="38" t="inlineStr">
        <is>
          <t>● 도시철도법 제19조 및 철도종합시험운행 시행지침
● 모의 영업 시나리오 기반 100회 정시 운행 성공률 99.8% 이상 확보</t>
        </is>
      </c>
      <c r="G78" s="38" t="inlineStr">
        <is>
          <t>[작업 절차]
1. 사전 준비 단계:
   - 설계 도서 및 시방 기준을 분석하여 영업시운전 100회 정시 운행(Scheduled Run) 테스트 작업을 위한 현장 실측 및 경계 측량을 수행함.
2. 본 시공 단계:
   - 실제 영업 시간표와 동일한 반복 주행 패턴 컴퓨터 셋업 작업을 표준 시공 절차에 준하여 시행하며, 실시간 수평도 및 치수 공차를 관리함.
3. 검사 및 마감 단계:
   - 각 정거장 정차 시간(20초) 준수 및 문 열림 연동 확인 시험 및 품질 검사를 실측하고 기준값 만족 여부를 기록함. 일일 지연 시간 분석 및 누적 정시성 평가 수행 작업을 거쳐 노면 정리 및 안전 조치를 완료함.
[주의사항 (하자이력 연계)]
정거장 정차 시간 마진 설정 오류로 누적 지연 발생, 피크 시간대 배차 간격 붕괴</t>
        </is>
      </c>
      <c r="H78" s="38" t="inlineStr">
        <is>
          <t>□ 정시 운행 성공률(99.8% 이상) 확인
□ 고장 모의 상황 시 자동 우회 패킷 전송 확인
□ 영업 시운전 일지 소장 최종 결재 확보 완료
[집행단계 리스크 체크사항 (LLBS 연계)]
□ 공기 연장 시 고정적으로 지출되는 품질/안전 관리자 인건비 및 차량 유지비가 산출되었는가?
□ 운행선 인접 공사의 작업 가능 시간(차단 시간)을 고려하여 공기가 산정되었는가?
□ 공사 구간 인근에 진동에 민감한 시설(반도체 공장, 병원, 문화재)이 있는가?
□ 지반 조사 데이터(RQD, 탄성파 속도)를 기반으로 진동 전달율을 보수적으로 산정했는가?</t>
        </is>
      </c>
      <c r="I78" s="38" t="inlineStr">
        <is>
          <t>토목/전기전문</t>
        </is>
      </c>
      <c r="J78" s="39" t="inlineStr">
        <is>
          <t>● 관련분야 설계기준서 준수</t>
        </is>
      </c>
      <c r="K78" s="39" t="inlineStr">
        <is>
          <t>● 정거장 정차 시간 마진 설정 오류로 누적 지연 발생, 피크 시간대 배차 간격 붕괴 리스크를 검토하였는가?</t>
        </is>
      </c>
      <c r="L78" s="39" t="inlineStr">
        <is>
          <t>● 협력사 자문 내용 없음 또는 해당사항 없음</t>
        </is>
      </c>
    </row>
    <row r="79" ht="139.95" customHeight="1">
      <c r="A79" s="40" t="inlineStr">
        <is>
          <t>9000</t>
        </is>
      </c>
      <c r="B79" s="40" t="inlineStr">
        <is>
          <t>9000-4</t>
        </is>
      </c>
      <c r="C79" s="41" t="inlineStr">
        <is>
          <t>최종 검측 및 준공도서 작성·인계 준비</t>
        </is>
      </c>
      <c r="D79" s="40" t="inlineStr">
        <is>
          <t>9000-4-1</t>
        </is>
      </c>
      <c r="E79" s="41" t="inlineStr">
        <is>
          <t>전 구간 준공도면(As-Built) CAD 실측 정밀 검증</t>
        </is>
      </c>
      <c r="F79" s="41" t="inlineStr">
        <is>
          <t>● KCS 11 10 05 (건설사업 준공 처리 지침)
● As-Built 준공도면 측량 오차 범위(±30mm 이내) 충족</t>
        </is>
      </c>
      <c r="G79" s="41" t="inlineStr">
        <is>
          <t>[작업 절차]
1. 사전 준비 단계:
   - 설계 도서 및 시방 기준을 분석하여 전 구간 준공도면(As-Built) CAD 실측 정밀 검증 작업을 위한 현장 실측 및 경계 측량을 수행함.
2. 본 시공 단계:
   - 현장 실측 좌표와 CAD 도면 간 일치 검증 작업을 표준 시공 절차에 준하여 시행하며, 실시간 수평도 및 치수 공차를 관리함.
3. 검사 및 마감 단계:
   - 지하시설물 종횡단면 매설 깊이 표기 일치 확인 시험 및 품질 검사를 실측하고 기준값 만족 여부를 기록함. 준공 도서 PDF 파일 내 텍스트 검색 정보 링크 확인 작업을 거쳐 노면 정리 및 안전 조치를 완료함.
[주의사항 (하자이력 연계)]
지장물 임시 이설 후 최종 복구 도면 미반영으로 타사 타공사 시 이설관 파손</t>
        </is>
      </c>
      <c r="H79" s="41" t="inlineStr">
        <is>
          <t>□ 실측 좌표 오차(±30mm 이내) 도면 반영 여부
□ 지하매설물 공동 관리기관 승인 도장 확인
□ 준공 CD 및 준공 보고서 서류 일체 정합성
[집행단계 리스크 체크사항 (LLBS 연계)]
□ 교량 시공용 대형 크레인(200ton 이상)의 아웃트리거 전개 폭을 고려하여 가교 폭이나 작업대(Staging)가 반영되었는가?
□ 기초 터파기 구간의 지반 조건(연약지반)을 고려할 때 사면 경사를 유지할 부지가 충분한가?
□ 흙막이 앵커가 인접 사유지를 침범하는지 지적도와 대조하고, 침범 시 보상비 또는 제거식 앵커 비용을 반영했는가?
□ 시종점 및 작업구 위치 하부의 지장물(송전선, 가스관) 매설 현황을 지장물도와 대조했는가?</t>
        </is>
      </c>
      <c r="I79" s="41" t="inlineStr">
        <is>
          <t>전기전문</t>
        </is>
      </c>
      <c r="J79" s="42" t="inlineStr">
        <is>
          <t>● 관련분야 설계기준서 준수</t>
        </is>
      </c>
      <c r="K79" s="42" t="inlineStr">
        <is>
          <t>● 지장물 임시 이설 후 최종 복구 도면 미반영으로 타사 타공사 시 이설관 파손 리스크를 검토하였는가?</t>
        </is>
      </c>
      <c r="L79" s="42" t="inlineStr">
        <is>
          <t>● 협력사 자문 내용 없음 또는 해당사항 없음</t>
        </is>
      </c>
    </row>
    <row r="80" ht="139.95" customHeight="1">
      <c r="A80" s="37" t="inlineStr">
        <is>
          <t>9000</t>
        </is>
      </c>
      <c r="B80" s="37" t="inlineStr">
        <is>
          <t>9000-5</t>
        </is>
      </c>
      <c r="C80" s="38" t="inlineStr">
        <is>
          <t>최종 준공검사 및 운영기관 Handover</t>
        </is>
      </c>
      <c r="D80" s="37" t="inlineStr">
        <is>
          <t>9000-5-1</t>
        </is>
      </c>
      <c r="E80" s="38" t="inlineStr">
        <is>
          <t>최종 운영기관 인계 인수서 날인 및 키 핸드오버</t>
        </is>
      </c>
      <c r="F80" s="38" t="inlineStr">
        <is>
          <t>● 발주처 국유재산 인계인수 지침 및 핸드오버 매뉴얼 규정</t>
        </is>
      </c>
      <c r="G80" s="38" t="inlineStr">
        <is>
          <t>[작업 절차]
1. 사전 준비 단계:
   - 설계 도서 및 시방 기준을 분석하여 최종 운영기관 인계 인수서 날인 및 키 핸드오버 작업을 위한 현장 실측 및 경계 측량을 수행함.
2. 본 시공 단계:
   - 현장 설비 일체 마스터 키 및 보안 출입증 리스트 정리 작업을 표준 시공 절차에 준하여 시행하며, 실시간 수평도 및 치수 공차를 관리함.
3. 검사 및 마감 단계:
   - 예비품 자재 창고 재고 실사 및 인수자 서명 시험 및 품질 검사를 실측하고 기준값 만족 여부를 기록함. 최종 준공검사 필증 동봉 합동 핸드오버 협약서 날인 작업을 거쳐 노면 정리 및 안전 조치를 완료함.
[주의사항 (하자이력 연계)]
장비 예비 부품 대장 수량 불일치로 인수거부 발생, 하자 관리 기간 개시 지연</t>
        </is>
      </c>
      <c r="H80" s="38" t="inlineStr">
        <is>
          <t>□ 마스터 키 일체 및 보안 장비 인수인계 대장 대조 완료
□ 예비 부품 실물 확인 및 전산 입력 매칭 확인
□ 최종 인수 서명 날인 원본 서류 3부 분산 보관</t>
        </is>
      </c>
      <c r="I80" s="38" t="inlineStr">
        <is>
          <t>전기전문</t>
        </is>
      </c>
      <c r="J80" s="39" t="inlineStr">
        <is>
          <t>● 관련분야 설계기준서 준수</t>
        </is>
      </c>
      <c r="K80" s="39" t="inlineStr">
        <is>
          <t>● 장비 예비 부품 대장 수량 불일치로 인수거부 발생, 하자 관리 기간 개시 지연 리스크를 검토하였는가?</t>
        </is>
      </c>
      <c r="L80" s="39" t="inlineStr">
        <is>
          <t>● 협력사 자문 내용 없음 또는 해당사항 없음</t>
        </is>
      </c>
    </row>
  </sheetData>
  <autoFilter ref="A3:P88"/>
  <mergeCells count="8">
    <mergeCell ref="A73:L73"/>
    <mergeCell ref="A64:L64"/>
    <mergeCell ref="A52:L52"/>
    <mergeCell ref="A1:L1"/>
    <mergeCell ref="A32:L32"/>
    <mergeCell ref="A17:L17"/>
    <mergeCell ref="A12:L12"/>
    <mergeCell ref="A4:L4"/>
  </mergeCells>
  <printOptions horizontalCentered="1"/>
  <pageMargins left="0.7480314960629921" right="0.7480314960629921" top="0.984251968503937" bottom="0.984251968503937" header="0.5118110236220472" footer="0.5118110236220472"/>
  <pageSetup orientation="landscape" paperSize="8" scale="36" verticalDpi="0"/>
  <rowBreaks count="1" manualBreakCount="1">
    <brk id="71" min="0" max="8" man="1"/>
  </rowBreaks>
</worksheet>
</file>

<file path=xl/worksheets/sheet3.xml><?xml version="1.0" encoding="utf-8"?>
<worksheet xmlns="http://schemas.openxmlformats.org/spreadsheetml/2006/main">
  <sheetPr>
    <outlinePr summaryBelow="1" summaryRight="1"/>
    <pageSetUpPr/>
  </sheetPr>
  <dimension ref="A1:Q37"/>
  <sheetViews>
    <sheetView workbookViewId="0">
      <selection activeCell="A1" sqref="A1"/>
    </sheetView>
  </sheetViews>
  <sheetFormatPr baseColWidth="8" defaultRowHeight="15"/>
  <cols>
    <col width="10" customWidth="1" min="1" max="1"/>
    <col width="10" customWidth="1" min="2" max="2"/>
    <col width="16" customWidth="1" min="3" max="3"/>
    <col width="12" customWidth="1" min="4" max="4"/>
    <col width="16" customWidth="1" min="5" max="5"/>
    <col width="28" customWidth="1" min="6" max="6"/>
    <col width="24" customWidth="1" min="7" max="7"/>
    <col width="26" customWidth="1" min="8" max="8"/>
    <col width="32" customWidth="1" min="9" max="9"/>
    <col width="55" customWidth="1" min="10" max="10"/>
    <col width="32" customWidth="1" min="11" max="11"/>
    <col width="35" customWidth="1" min="12" max="12"/>
    <col width="22" customWidth="1" min="13" max="13"/>
    <col width="40" customWidth="1" min="14" max="14"/>
    <col width="22" customWidth="1" min="15" max="15"/>
    <col width="40" customWidth="1" min="16" max="16"/>
    <col width="22" customWidth="1" min="17" max="17"/>
  </cols>
  <sheetData>
    <row r="1" ht="28" customHeight="1">
      <c r="A1" s="125" t="inlineStr">
        <is>
          <t>L2 코드</t>
        </is>
      </c>
      <c r="B1" s="125" t="inlineStr">
        <is>
          <t>L3 코드</t>
        </is>
      </c>
      <c r="C1" s="125" t="inlineStr">
        <is>
          <t>L3 대공종명</t>
        </is>
      </c>
      <c r="D1" s="125" t="inlineStr">
        <is>
          <t>L4 코드</t>
        </is>
      </c>
      <c r="E1" s="125" t="inlineStr">
        <is>
          <t>일정 (D-Day)</t>
        </is>
      </c>
      <c r="F1" s="125" t="inlineStr">
        <is>
          <t>작업단위 (Level 4 Task/Activity)</t>
        </is>
      </c>
      <c r="G1" s="125" t="inlineStr">
        <is>
          <t>주관</t>
        </is>
      </c>
      <c r="H1" s="125" t="inlineStr">
        <is>
          <t>협업부서</t>
        </is>
      </c>
      <c r="I1" s="125" t="inlineStr">
        <is>
          <t>목적</t>
        </is>
      </c>
      <c r="J1" s="125" t="inlineStr">
        <is>
          <t>방법</t>
        </is>
      </c>
      <c r="K1" s="125" t="inlineStr">
        <is>
          <t>산출물(결과)</t>
        </is>
      </c>
      <c r="L1" s="125" t="inlineStr">
        <is>
          <t>표준서 (Standard) 요약</t>
        </is>
      </c>
      <c r="M1" s="125" t="inlineStr">
        <is>
          <t>표준서 파일 (HTML)</t>
        </is>
      </c>
      <c r="N1" s="125" t="inlineStr">
        <is>
          <t>수행지침 (Guideline) 요약</t>
        </is>
      </c>
      <c r="O1" s="125" t="inlineStr">
        <is>
          <t>수행지침 파일 (HTML)</t>
        </is>
      </c>
      <c r="P1" s="125" t="inlineStr">
        <is>
          <t>체크리스트 (Checklist) 요약</t>
        </is>
      </c>
      <c r="Q1" s="125" t="inlineStr">
        <is>
          <t>체크리스트 파일 (HTML)</t>
        </is>
      </c>
    </row>
    <row r="2" ht="45" customHeight="1">
      <c r="A2" s="126" t="inlineStr">
        <is>
          <t>9000</t>
        </is>
      </c>
      <c r="B2" s="126" t="inlineStr">
        <is>
          <t>9000-0</t>
        </is>
      </c>
      <c r="C2" s="126" t="inlineStr">
        <is>
          <t>사전준비_지반조사</t>
        </is>
      </c>
      <c r="D2" s="126" t="inlineStr">
        <is>
          <t>9000-0-1</t>
        </is>
      </c>
      <c r="E2" s="127" t="inlineStr">
        <is>
          <t>사전영업</t>
        </is>
      </c>
      <c r="F2" s="128" t="inlineStr">
        <is>
          <t>발주처 계획 입수(비공식)</t>
        </is>
      </c>
      <c r="G2" s="129" t="inlineStr">
        <is>
          <t>토목사업팀</t>
        </is>
      </c>
      <c r="H2" s="129" t="inlineStr">
        <is>
          <t>지반조사업체, 외부지질전문가 3인이상</t>
        </is>
      </c>
      <c r="I2" s="130" t="inlineStr">
        <is>
          <t>발주처 기본계획 사전 검토</t>
        </is>
      </c>
      <c r="J2" s="130" t="inlineStr">
        <is>
          <t>• 조사설계 용역 기본계획 도서 확보 여부 확인
• 핵심이슈 (미시추 사유, 지층/암반등급 조정여부 등) 확보 여부 확인
• 사업지 연접 지질/지반조사 자료 확보 여부 확인</t>
        </is>
      </c>
      <c r="K2" s="128" t="inlineStr">
        <is>
          <t>발주처 기본계획 보고서</t>
        </is>
      </c>
      <c r="L2" s="130" t="inlineStr">
        <is>
          <t>발주처 기본계획 사전 검토 | 발주처 기본계획 보고서</t>
        </is>
      </c>
      <c r="M2" s="131" t="inlineStr">
        <is>
          <t>👉 [더블클릭] 표준서 열기 📄</t>
        </is>
      </c>
      <c r="N2" s="130" t="inlineStr">
        <is>
          <t>• 조사설계 용역 기본계획 도서 확보 여부 확인 • 핵심이슈 (미시추 사유, 지층/암반등급 조정여부 등) 확보 여부 확인 • 사업지 연접 지질/지반조사 자료 확보 여부 확인</t>
        </is>
      </c>
      <c r="O2" s="131" t="inlineStr">
        <is>
          <t>👉 [더블클릭] 수행지침 열기 📄</t>
        </is>
      </c>
      <c r="P2" s="130" t="inlineStr">
        <is>
          <t>1) 발주처 계획 입수(비공식) 적정성을 확인하였는가? 2) 발주처 기본계획 보고서 산출물을 확보하였는가?</t>
        </is>
      </c>
      <c r="Q2" s="131" t="inlineStr">
        <is>
          <t>👉 [더블클릭] 체크리스트 열기 📄</t>
        </is>
      </c>
    </row>
    <row r="3" ht="45" customHeight="1">
      <c r="A3" s="132" t="inlineStr">
        <is>
          <t>9000</t>
        </is>
      </c>
      <c r="B3" s="132" t="inlineStr">
        <is>
          <t>9000-0</t>
        </is>
      </c>
      <c r="C3" s="132" t="inlineStr">
        <is>
          <t>사전준비_지반조사</t>
        </is>
      </c>
      <c r="D3" s="132" t="inlineStr">
        <is>
          <t>9000-0-2</t>
        </is>
      </c>
      <c r="E3" s="133" t="inlineStr">
        <is>
          <t>사전영업</t>
        </is>
      </c>
      <c r="F3" s="134" t="inlineStr">
        <is>
          <t>관심프로젝트 선정</t>
        </is>
      </c>
      <c r="G3" s="135" t="inlineStr">
        <is>
          <t>토목사업팀</t>
        </is>
      </c>
      <c r="H3" s="135" t="inlineStr">
        <is>
          <t>포스코스마트엔지니어링팀</t>
        </is>
      </c>
      <c r="I3" s="136" t="inlineStr">
        <is>
          <t>입수된 발주정보 평가를 통한 관심 Project 선정</t>
        </is>
      </c>
      <c r="J3" s="136" t="inlineStr">
        <is>
          <t>• 해당 프로젝트별 발주처/경쟁동향 / 사업성평가 수행
• 기술형입찰 입찰참여 Guide Line으로 해당 프로젝트 평가</t>
        </is>
      </c>
      <c r="K3" s="134" t="inlineStr">
        <is>
          <t>관심사업 List</t>
        </is>
      </c>
      <c r="L3" s="136" t="inlineStr">
        <is>
          <t>입수된 발주정보 평가를 통한 관심 Project 선정 | 관심사업 List</t>
        </is>
      </c>
      <c r="M3" s="137" t="inlineStr">
        <is>
          <t>👉 [더블클릭] 표준서 열기 📄</t>
        </is>
      </c>
      <c r="N3" s="136" t="inlineStr">
        <is>
          <t>• 해당 프로젝트별 발주처/경쟁동향 / 사업성평가 수행 • 기술형입찰 입찰참여 Guide Line으로 해당 프로젝트 평가</t>
        </is>
      </c>
      <c r="O3" s="137" t="inlineStr">
        <is>
          <t>👉 [더블클릭] 수행지침 열기 📄</t>
        </is>
      </c>
      <c r="P3" s="136" t="inlineStr">
        <is>
          <t>1) 관심프로젝트 선정 적정성을 확인하였는가? 2) 관심사업 List 산출물을 확보하였는가?</t>
        </is>
      </c>
      <c r="Q3" s="137" t="inlineStr">
        <is>
          <t>👉 [더블클릭] 체크리스트 열기 📄</t>
        </is>
      </c>
    </row>
    <row r="4" ht="45" customHeight="1">
      <c r="A4" s="126" t="inlineStr">
        <is>
          <t>9000</t>
        </is>
      </c>
      <c r="B4" s="126" t="inlineStr">
        <is>
          <t>9000-0</t>
        </is>
      </c>
      <c r="C4" s="126" t="inlineStr">
        <is>
          <t>사전준비_지반조사</t>
        </is>
      </c>
      <c r="D4" s="126" t="inlineStr">
        <is>
          <t>9000-0-3</t>
        </is>
      </c>
      <c r="E4" s="127" t="inlineStr">
        <is>
          <t>사전영업</t>
        </is>
      </c>
      <c r="F4" s="128" t="inlineStr">
        <is>
          <t>발주처 지반조사 모니터링</t>
        </is>
      </c>
      <c r="G4" s="129" t="inlineStr">
        <is>
          <t>포스코스마트엔지니어링팀</t>
        </is>
      </c>
      <c r="H4" s="129" t="inlineStr">
        <is>
          <t>토목사업팀</t>
        </is>
      </c>
      <c r="I4" s="130" t="inlineStr">
        <is>
          <t>발주처 지반조사 수립업체 파악</t>
        </is>
      </c>
      <c r="J4" s="130" t="inlineStr">
        <is>
          <t>• 발주처 지반조사업체 확인 후 당사 Pool List와 비교
• 발주처 지반조사 업체 확인팀 Contact Point 확보</t>
        </is>
      </c>
      <c r="K4" s="128" t="inlineStr">
        <is>
          <t>발주처 기본계획 수행 List + Contact Point List</t>
        </is>
      </c>
      <c r="L4" s="130" t="inlineStr">
        <is>
          <t>발주처 지반조사 수립업체 파악 | 발주처 기본계획 수행 List + Contact Point List</t>
        </is>
      </c>
      <c r="M4" s="131" t="inlineStr">
        <is>
          <t>👉 [더블클릭] 표준서 열기 📄</t>
        </is>
      </c>
      <c r="N4" s="130" t="inlineStr">
        <is>
          <t>• 발주처 지반조사업체 확인 후 당사 Pool List와 비교 • 발주처 지반조사 업체 확인팀 Contact Point 확보</t>
        </is>
      </c>
      <c r="O4" s="131" t="inlineStr">
        <is>
          <t>👉 [더블클릭] 수행지침 열기 📄</t>
        </is>
      </c>
      <c r="P4" s="130" t="inlineStr">
        <is>
          <t>1) 발주처 지반조사 모니터링 적정성을 확인하였는가? 2) 발주처 기본계획 수행 List + Contact Point List 산출물을 확보하였는가?</t>
        </is>
      </c>
      <c r="Q4" s="131" t="inlineStr">
        <is>
          <t>👉 [더블클릭] 체크리스트 열기 📄</t>
        </is>
      </c>
    </row>
    <row r="5" ht="45" customHeight="1">
      <c r="A5" s="132" t="inlineStr">
        <is>
          <t>9000</t>
        </is>
      </c>
      <c r="B5" s="132" t="inlineStr">
        <is>
          <t>9000-0</t>
        </is>
      </c>
      <c r="C5" s="132" t="inlineStr">
        <is>
          <t>사전준비_지반조사</t>
        </is>
      </c>
      <c r="D5" s="132" t="inlineStr">
        <is>
          <t>9000-0-4</t>
        </is>
      </c>
      <c r="E5" s="133" t="inlineStr">
        <is>
          <t>매년 1분기</t>
        </is>
      </c>
      <c r="F5" s="134" t="inlineStr">
        <is>
          <t>외부 지질전문가 Pool 관리</t>
        </is>
      </c>
      <c r="G5" s="135" t="inlineStr">
        <is>
          <t>포스코스마트엔지니어링팀</t>
        </is>
      </c>
      <c r="H5" s="135" t="inlineStr">
        <is>
          <t>-</t>
        </is>
      </c>
      <c r="I5" s="136" t="inlineStr">
        <is>
          <t>지반조사 품질향상을 위한 제3자 검증 수행 지반조사 전문가 Pool 관리</t>
        </is>
      </c>
      <c r="J5" s="136" t="inlineStr">
        <is>
          <t>• Academic 전문가와 현장 전문가를 포함한 Pool 구성
• 전문가 Pool의 학력/기술사 등 경력사항(조사 15년) 확인</t>
        </is>
      </c>
      <c r="K5" s="134" t="inlineStr">
        <is>
          <t>외부지질전문가 Pool List</t>
        </is>
      </c>
      <c r="L5" s="136" t="inlineStr">
        <is>
          <t>지반조사 품질향상을 위한 제3자 검증 수행 지반조사 전문가 Pool 관리 | 외부지질전문가 Pool List</t>
        </is>
      </c>
      <c r="M5" s="137" t="inlineStr">
        <is>
          <t>👉 [더블클릭] 표준서 열기 📄</t>
        </is>
      </c>
      <c r="N5" s="136" t="inlineStr">
        <is>
          <t>• Academic 전문가와 현장 전문가를 포함한 Pool 구성 • 전문가 Pool의 학력/기술사 등 경력사항(조사 15년) 확인</t>
        </is>
      </c>
      <c r="O5" s="137" t="inlineStr">
        <is>
          <t>👉 [더블클릭] 수행지침 열기 📄</t>
        </is>
      </c>
      <c r="P5" s="136" t="inlineStr">
        <is>
          <t>1) 외부 지질전문가 Pool 관리 적정성을 확인하였는가? 2) 외부지질전문가 Pool List 산출물을 확보하였는가?</t>
        </is>
      </c>
      <c r="Q5" s="137" t="inlineStr">
        <is>
          <t>👉 [더블클릭] 체크리스트 열기 📄</t>
        </is>
      </c>
    </row>
    <row r="6" ht="45" customHeight="1">
      <c r="A6" s="126" t="inlineStr">
        <is>
          <t>9000</t>
        </is>
      </c>
      <c r="B6" s="126" t="inlineStr">
        <is>
          <t>9000-0</t>
        </is>
      </c>
      <c r="C6" s="126" t="inlineStr">
        <is>
          <t>사전준비_지반조사</t>
        </is>
      </c>
      <c r="D6" s="126" t="inlineStr">
        <is>
          <t>9000-0-5</t>
        </is>
      </c>
      <c r="E6" s="127" t="inlineStr">
        <is>
          <t>매년 1분기</t>
        </is>
      </c>
      <c r="F6" s="128" t="inlineStr">
        <is>
          <t>지반조사 Pool 관리</t>
        </is>
      </c>
      <c r="G6" s="129" t="inlineStr">
        <is>
          <t>외주구매팀</t>
        </is>
      </c>
      <c r="H6" s="129" t="inlineStr">
        <is>
          <t>포스코스마트엔지니어링팀</t>
        </is>
      </c>
      <c r="I6" s="130" t="inlineStr">
        <is>
          <t>발주처 계획 대응 및 개략 지반조사 결과 사전 예측을 위한 업체 관리</t>
        </is>
      </c>
      <c r="J6" s="130" t="inlineStr">
        <is>
          <t>• 공공기관별 입찰공고 모니터링 통한 지반조사업체 입찰참여 유치(입찰 공사 여부 확인)
• 업체 Pool List 갱신 여부 확인
• 지반조사업체 역량 및 기술수준 평가표 평가 여부 확인 (Pool 갱신 및 신규업체 등록)
• 조사업체 강점, 장비보유 확인
• 조사업체 Network 확보 여부 확인</t>
        </is>
      </c>
      <c r="K6" s="128" t="inlineStr">
        <is>
          <t>조사업체 POOL/필요시 Update</t>
        </is>
      </c>
      <c r="L6" s="130" t="inlineStr">
        <is>
          <t>발주처 계획 대응 및 개략 지반조사 결과 사전 예측을 위한 업체 관리 | 조사업체 POOL/필요시 Update</t>
        </is>
      </c>
      <c r="M6" s="131" t="inlineStr">
        <is>
          <t>👉 [더블클릭] 표준서 열기 📄</t>
        </is>
      </c>
      <c r="N6" s="130" t="inlineStr">
        <is>
          <t>• 공공기관별 입찰공고 모니터링 통한 지반조사업체 입찰참여 유치(입찰 공사 여부 확인) • 업체 Pool List 갱신 여부 확인 • 지반조사업체 역량 및 기술수준 평가표 평가 여부 확인 (Pool 갱신 및 신규업체...</t>
        </is>
      </c>
      <c r="O6" s="131" t="inlineStr">
        <is>
          <t>👉 [더블클릭] 수행지침 열기 📄</t>
        </is>
      </c>
      <c r="P6" s="130" t="inlineStr">
        <is>
          <t>1) 지반조사 Pool 관리 적정성을 확인하였는가? 2) 조사업체 POOL/필요시 Update 산출물을 확보하였는가?</t>
        </is>
      </c>
      <c r="Q6" s="131" t="inlineStr">
        <is>
          <t>👉 [더블클릭] 체크리스트 열기 📄</t>
        </is>
      </c>
    </row>
    <row r="7" ht="28" customHeight="1">
      <c r="A7" s="132" t="inlineStr">
        <is>
          <t>9000</t>
        </is>
      </c>
      <c r="B7" s="132" t="inlineStr">
        <is>
          <t>9000-0</t>
        </is>
      </c>
      <c r="C7" s="132" t="inlineStr">
        <is>
          <t>사전준비_지반조사</t>
        </is>
      </c>
      <c r="D7" s="132" t="inlineStr">
        <is>
          <t>9000-0-6</t>
        </is>
      </c>
      <c r="E7" s="133" t="inlineStr">
        <is>
          <t>D-210 ~ D-180</t>
        </is>
      </c>
      <c r="F7" s="134" t="inlineStr">
        <is>
          <t>기본계획 지반조사 자료 및 R/O 정보 입수</t>
        </is>
      </c>
      <c r="G7" s="135" t="inlineStr">
        <is>
          <t>지반조사 협력업체</t>
        </is>
      </c>
      <c r="H7" s="135" t="inlineStr">
        <is>
          <t>설계 협력업체</t>
        </is>
      </c>
      <c r="I7" s="136" t="inlineStr">
        <is>
          <t>발주처 기본계획 및 지반조사 결과 사전 획득</t>
        </is>
      </c>
      <c r="J7" s="136" t="inlineStr">
        <is>
          <t>• 기본계획 지반조사결과 및 실시설계 Contact을 통한 자료입수</t>
        </is>
      </c>
      <c r="K7" s="134" t="inlineStr">
        <is>
          <t>발주처 기본계획 보고서 및 지반조사 보고서(비공식)</t>
        </is>
      </c>
      <c r="L7" s="136" t="inlineStr">
        <is>
          <t>발주처 기본계획 및 지반조사 결과 사전 획득 | 발주처 기본계획 보고서 및 지반조사 보고서(비공식)</t>
        </is>
      </c>
      <c r="M7" s="137" t="inlineStr">
        <is>
          <t>👉 [더블클릭] 표준서 열기 📄</t>
        </is>
      </c>
      <c r="N7" s="136" t="inlineStr">
        <is>
          <t>• 기본계획 지반조사결과 및 실시설계 Contact을 통한 자료입수</t>
        </is>
      </c>
      <c r="O7" s="137" t="inlineStr">
        <is>
          <t>👉 [더블클릭] 수행지침 열기 📄</t>
        </is>
      </c>
      <c r="P7" s="136" t="inlineStr">
        <is>
          <t>1) 기본계획 지반조사 자료 및 R/O 정보 입수 적정성을 확인하였는가? 2) 발주처 기본계획 보고서 및 지반조사 보고서(비공식) 산출물을 확보하였는가?</t>
        </is>
      </c>
      <c r="Q7" s="137" t="inlineStr">
        <is>
          <t>👉 [더블클릭] 체크리스트 열기 📄</t>
        </is>
      </c>
    </row>
    <row r="8" ht="45" customHeight="1">
      <c r="A8" s="126" t="inlineStr">
        <is>
          <t>9000</t>
        </is>
      </c>
      <c r="B8" s="126" t="inlineStr">
        <is>
          <t>9000-0</t>
        </is>
      </c>
      <c r="C8" s="126" t="inlineStr">
        <is>
          <t>사전준비_지반조사</t>
        </is>
      </c>
      <c r="D8" s="126" t="inlineStr">
        <is>
          <t>9000-0-7</t>
        </is>
      </c>
      <c r="E8" s="127" t="inlineStr">
        <is>
          <t>D-180 ~ D-165</t>
        </is>
      </c>
      <c r="F8" s="128" t="inlineStr">
        <is>
          <t>기본계획 지반조사 R/O 검토 (설계, 공정, 기획)</t>
        </is>
      </c>
      <c r="G8" s="129" t="inlineStr">
        <is>
          <t>포스코스마트엔지니어링팀(설계), 토목수행팀(공정), 토목사업지원팀(기획)</t>
        </is>
      </c>
      <c r="H8" s="129" t="inlineStr">
        <is>
          <t>토목견적팀</t>
        </is>
      </c>
      <c r="I8" s="130" t="inlineStr">
        <is>
          <t>발주처 기본계획 지반조사 문제점 검토</t>
        </is>
      </c>
      <c r="J8" s="130" t="inlineStr">
        <is>
          <t>• 시추조사 위치, 수량 적정성 검토
• 지질이상 구간 상세 조사 여부 및 적정성 검토 확인
• 미시추 구간 지반 특성 적정성 검토확인 (측점 검토, 위치 및 물량검토)
• 인근 사업 지반조사자료 비교 통해 당사 지반특성 분석 결과 Cross-check 확인</t>
        </is>
      </c>
      <c r="K8" s="128" t="inlineStr">
        <is>
          <t>기본계획 지반조사 검토서(설계, 공정, 기획)</t>
        </is>
      </c>
      <c r="L8" s="130" t="inlineStr">
        <is>
          <t>발주처 기본계획 지반조사 문제점 검토 | 기본계획 지반조사 검토서(설계, 공정, 기획)</t>
        </is>
      </c>
      <c r="M8" s="131" t="inlineStr">
        <is>
          <t>👉 [더블클릭] 표준서 열기 📄</t>
        </is>
      </c>
      <c r="N8" s="130" t="inlineStr">
        <is>
          <t>• 시추조사 위치, 수량 적정성 검토 • 지질이상 구간 상세 조사 여부 및 적정성 검토 확인 • 미시추 구간 지반 특성 적정성 검토확인 (측점 검토, 위치 및 물량검토) • 인근 사업 지반조사자료 비교 통해 당사 지...</t>
        </is>
      </c>
      <c r="O8" s="131" t="inlineStr">
        <is>
          <t>👉 [더블클릭] 수행지침 열기 📄</t>
        </is>
      </c>
      <c r="P8" s="130" t="inlineStr">
        <is>
          <t>1) 기본계획 지반조사 R/O 검토 (설계, 공정, 기획) 적정성을 확인하였는가? 2) 기본계획 지반조사 검토서(설계, 공정, 기획) 산출물을 확보하였는가?</t>
        </is>
      </c>
      <c r="Q8" s="131" t="inlineStr">
        <is>
          <t>👉 [더블클릭] 체크리스트 열기 📄</t>
        </is>
      </c>
    </row>
    <row r="9" ht="28" customHeight="1">
      <c r="A9" s="132" t="inlineStr">
        <is>
          <t>9000</t>
        </is>
      </c>
      <c r="B9" s="132" t="inlineStr">
        <is>
          <t>9000-0</t>
        </is>
      </c>
      <c r="C9" s="132" t="inlineStr">
        <is>
          <t>사전준비_지반조사</t>
        </is>
      </c>
      <c r="D9" s="132" t="inlineStr">
        <is>
          <t>9000-0-8</t>
        </is>
      </c>
      <c r="E9" s="133" t="inlineStr">
        <is>
          <t>D-165 ~ D-150</t>
        </is>
      </c>
      <c r="F9" s="134" t="inlineStr">
        <is>
          <t>기본계획 지반조사 R/O 종합검토 (원가)</t>
        </is>
      </c>
      <c r="G9" s="135" t="inlineStr">
        <is>
          <t>토목견적팀</t>
        </is>
      </c>
      <c r="H9" s="135" t="inlineStr">
        <is>
          <t>포스코스마트엔지니어링팀(설계), 토목수행팀(공정), 토목사업지원팀(기획)</t>
        </is>
      </c>
      <c r="I9" s="136" t="inlineStr">
        <is>
          <t>발주처 지반조사 문제점 R/O 분석</t>
        </is>
      </c>
      <c r="J9" s="136" t="inlineStr">
        <is>
          <t>• 발주처 기본계획 지반조사 R/O별 Cost effect 분석</t>
        </is>
      </c>
      <c r="K9" s="134" t="inlineStr">
        <is>
          <t>기본계획 지반조사 개략 검토서</t>
        </is>
      </c>
      <c r="L9" s="136" t="inlineStr">
        <is>
          <t>발주처 지반조사 문제점 R/O 분석 | 기본계획 지반조사 개략 검토서</t>
        </is>
      </c>
      <c r="M9" s="137" t="inlineStr">
        <is>
          <t>👉 [더블클릭] 표준서 열기 📄</t>
        </is>
      </c>
      <c r="N9" s="136" t="inlineStr">
        <is>
          <t>• 발주처 기본계획 지반조사 R/O별 Cost effect 분석</t>
        </is>
      </c>
      <c r="O9" s="137" t="inlineStr">
        <is>
          <t>👉 [더블클릭] 수행지침 열기 📄</t>
        </is>
      </c>
      <c r="P9" s="136" t="inlineStr">
        <is>
          <t>1) 기본계획 지반조사 R/O 종합검토 (원가) 적정성을 확인하였는가? 2) 기본계획 지반조사 개략 검토서 산출물을 확보하였는가?</t>
        </is>
      </c>
      <c r="Q9" s="137" t="inlineStr">
        <is>
          <t>👉 [더블클릭] 체크리스트 열기 📄</t>
        </is>
      </c>
    </row>
    <row r="10" ht="28" customHeight="1">
      <c r="A10" s="126" t="inlineStr">
        <is>
          <t>9000</t>
        </is>
      </c>
      <c r="B10" s="126" t="inlineStr">
        <is>
          <t>9000-0</t>
        </is>
      </c>
      <c r="C10" s="126" t="inlineStr">
        <is>
          <t>사전준비_지반조사</t>
        </is>
      </c>
      <c r="D10" s="126" t="inlineStr">
        <is>
          <t>9000-0-9</t>
        </is>
      </c>
      <c r="E10" s="127" t="inlineStr">
        <is>
          <t>D-150 ~ D-135</t>
        </is>
      </c>
      <c r="F10" s="128" t="inlineStr">
        <is>
          <t>지반조사 업체 선정</t>
        </is>
      </c>
      <c r="G10" s="129" t="inlineStr">
        <is>
          <t>일반구매팀</t>
        </is>
      </c>
      <c r="H10" s="129" t="inlineStr">
        <is>
          <t>포스코스마트엔지니어링팀</t>
        </is>
      </c>
      <c r="I10" s="130" t="inlineStr">
        <is>
          <t>지반조사업체 Pool 내 최적의 업체 선정</t>
        </is>
      </c>
      <c r="J10" s="130" t="inlineStr">
        <is>
          <t>• 지반조사업체 Pool/실적 검토 및 공종별 적합성 정합 및 견적 본부 연계 검토</t>
        </is>
      </c>
      <c r="K10" s="128" t="inlineStr">
        <is>
          <t>지반조사 입찰 참여 Pool</t>
        </is>
      </c>
      <c r="L10" s="130" t="inlineStr">
        <is>
          <t>지반조사업체 Pool 내 최적의 업체 선정 | 지반조사 입찰 참여 Pool</t>
        </is>
      </c>
      <c r="M10" s="131" t="inlineStr">
        <is>
          <t>👉 [더블클릭] 표준서 열기 📄</t>
        </is>
      </c>
      <c r="N10" s="130" t="inlineStr">
        <is>
          <t>• 지반조사업체 Pool/실적 검토 및 공종별 적합성 정합 및 견적 본부 연계 검토</t>
        </is>
      </c>
      <c r="O10" s="131" t="inlineStr">
        <is>
          <t>👉 [더블클릭] 수행지침 열기 📄</t>
        </is>
      </c>
      <c r="P10" s="130" t="inlineStr">
        <is>
          <t>1) 지반조사 업체 선정 적정성을 확인하였는가? 2) 지반조사 입찰 참여 Pool 산출물을 확보하였는가?</t>
        </is>
      </c>
      <c r="Q10" s="131" t="inlineStr">
        <is>
          <t>👉 [더블클릭] 체크리스트 열기 📄</t>
        </is>
      </c>
    </row>
    <row r="11" ht="28" customHeight="1">
      <c r="A11" s="132" t="inlineStr">
        <is>
          <t>9000</t>
        </is>
      </c>
      <c r="B11" s="132" t="inlineStr">
        <is>
          <t>9000-0</t>
        </is>
      </c>
      <c r="C11" s="132" t="inlineStr">
        <is>
          <t>사전준비_지반조사</t>
        </is>
      </c>
      <c r="D11" s="132" t="inlineStr">
        <is>
          <t>9000-0-10</t>
        </is>
      </c>
      <c r="E11" s="133" t="inlineStr">
        <is>
          <t>D-135 ~ D-120</t>
        </is>
      </c>
      <c r="F11" s="134" t="inlineStr">
        <is>
          <t>지반조사 업체 계약</t>
        </is>
      </c>
      <c r="G11" s="135" t="inlineStr">
        <is>
          <t>일반구매팀</t>
        </is>
      </c>
      <c r="H11" s="135" t="inlineStr">
        <is>
          <t>포스코스마트엔지니어링팀</t>
        </is>
      </c>
      <c r="I11" s="136" t="inlineStr">
        <is>
          <t>지반조사업체 용역 계약</t>
        </is>
      </c>
      <c r="J11" s="136" t="inlineStr">
        <is>
          <t>• 일반구매시스템을 이용한 용역계약</t>
        </is>
      </c>
      <c r="K11" s="134" t="inlineStr">
        <is>
          <t>지반조사 용역 계약서</t>
        </is>
      </c>
      <c r="L11" s="136" t="inlineStr">
        <is>
          <t>지반조사업체 용역 계약 | 지반조사 용역 계약서</t>
        </is>
      </c>
      <c r="M11" s="137" t="inlineStr">
        <is>
          <t>👉 [더블클릭] 표준서 열기 📄</t>
        </is>
      </c>
      <c r="N11" s="136" t="inlineStr">
        <is>
          <t>• 일반구매시스템을 이용한 용역계약</t>
        </is>
      </c>
      <c r="O11" s="137" t="inlineStr">
        <is>
          <t>👉 [더블클릭] 수행지침 열기 📄</t>
        </is>
      </c>
      <c r="P11" s="136" t="inlineStr">
        <is>
          <t>1) 지반조사 업체 계약 적정성을 확인하였는가? 2) 지반조사 용역 계약서 산출물을 확보하였는가?</t>
        </is>
      </c>
      <c r="Q11" s="137" t="inlineStr">
        <is>
          <t>👉 [더블클릭] 체크리스트 열기 📄</t>
        </is>
      </c>
    </row>
    <row r="12" ht="45" customHeight="1">
      <c r="A12" s="126" t="inlineStr">
        <is>
          <t>9000</t>
        </is>
      </c>
      <c r="B12" s="126" t="inlineStr">
        <is>
          <t>9000-0</t>
        </is>
      </c>
      <c r="C12" s="126" t="inlineStr">
        <is>
          <t>사전준비_지반조사</t>
        </is>
      </c>
      <c r="D12" s="126" t="inlineStr">
        <is>
          <t>9000-0-11</t>
        </is>
      </c>
      <c r="E12" s="127" t="inlineStr">
        <is>
          <t>D-135 ~ D-115</t>
        </is>
      </c>
      <c r="F12" s="128" t="inlineStr">
        <is>
          <t>지반조사 항목, 수량 및 위치검토</t>
        </is>
      </c>
      <c r="G12" s="129" t="inlineStr">
        <is>
          <t>포스코스마트엔지니어링팀</t>
        </is>
      </c>
      <c r="H12" s="129" t="inlineStr">
        <is>
          <t>지반조사업체</t>
        </is>
      </c>
      <c r="I12" s="130" t="inlineStr">
        <is>
          <t>프로젝트 정합에 부합하는 지반조사 항목 사전조사 수행, 위치 선정</t>
        </is>
      </c>
      <c r="J12" s="130" t="inlineStr">
        <is>
          <t>• 현장답사 수행
• 공종별 실시설계에 준하여 수량 및 위치 검토</t>
        </is>
      </c>
      <c r="K12" s="128" t="inlineStr">
        <is>
          <t>지반조사 계획서</t>
        </is>
      </c>
      <c r="L12" s="130" t="inlineStr">
        <is>
          <t>프로젝트 정합에 부합하는 지반조사 항목 사전조사 수행, 위치 선정 | 지반조사 계획서</t>
        </is>
      </c>
      <c r="M12" s="131" t="inlineStr">
        <is>
          <t>👉 [더블클릭] 표준서 열기 📄</t>
        </is>
      </c>
      <c r="N12" s="130" t="inlineStr">
        <is>
          <t>• 현장답사 수행 • 공종별 실시설계에 준하여 수량 및 위치 검토</t>
        </is>
      </c>
      <c r="O12" s="131" t="inlineStr">
        <is>
          <t>👉 [더블클릭] 수행지침 열기 📄</t>
        </is>
      </c>
      <c r="P12" s="130" t="inlineStr">
        <is>
          <t>1) 지반조사 항목, 수량 및 위치검토 적정성을 확인하였는가? 2) 지반조사 계획서 산출물을 확보하였는가?</t>
        </is>
      </c>
      <c r="Q12" s="131" t="inlineStr">
        <is>
          <t>👉 [더블클릭] 체크리스트 열기 📄</t>
        </is>
      </c>
    </row>
    <row r="13" ht="28" customHeight="1">
      <c r="A13" s="132" t="inlineStr">
        <is>
          <t>9000</t>
        </is>
      </c>
      <c r="B13" s="132" t="inlineStr">
        <is>
          <t>9000-0</t>
        </is>
      </c>
      <c r="C13" s="132" t="inlineStr">
        <is>
          <t>사전준비_지반조사</t>
        </is>
      </c>
      <c r="D13" s="132" t="inlineStr">
        <is>
          <t>9000-0-12</t>
        </is>
      </c>
      <c r="E13" s="133" t="inlineStr">
        <is>
          <t>D-115 ~ D-105</t>
        </is>
      </c>
      <c r="F13" s="134" t="inlineStr">
        <is>
          <t>지반조사계획 적정성 심사의뢰</t>
        </is>
      </c>
      <c r="G13" s="135" t="inlineStr">
        <is>
          <t>외부지질전문가 3인 이상</t>
        </is>
      </c>
      <c r="H13" s="135" t="inlineStr">
        <is>
          <t>포스코스마트엔지니어링팀</t>
        </is>
      </c>
      <c r="I13" s="136" t="inlineStr">
        <is>
          <t>지반조사 항목, 수량 및 위치 적정성 검토</t>
        </is>
      </c>
      <c r="J13" s="136" t="inlineStr">
        <is>
          <t>• 지반조사 계획서 검토 및 검토</t>
        </is>
      </c>
      <c r="K13" s="134" t="inlineStr">
        <is>
          <t>지반조사계획 의견서</t>
        </is>
      </c>
      <c r="L13" s="136" t="inlineStr">
        <is>
          <t>지반조사 항목, 수량 및 위치 적정성 검토 | 지반조사계획 의견서</t>
        </is>
      </c>
      <c r="M13" s="137" t="inlineStr">
        <is>
          <t>👉 [더블클릭] 표준서 열기 📄</t>
        </is>
      </c>
      <c r="N13" s="136" t="inlineStr">
        <is>
          <t>• 지반조사 계획서 검토 및 검토</t>
        </is>
      </c>
      <c r="O13" s="137" t="inlineStr">
        <is>
          <t>👉 [더블클릭] 수행지침 열기 📄</t>
        </is>
      </c>
      <c r="P13" s="136" t="inlineStr">
        <is>
          <t>1) 지반조사계획 적정성 심사의뢰 적정성을 확인하였는가? 2) 지반조사계획 의견서 산출물을 확보하였는가?</t>
        </is>
      </c>
      <c r="Q13" s="137" t="inlineStr">
        <is>
          <t>👉 [더블클릭] 체크리스트 열기 📄</t>
        </is>
      </c>
    </row>
    <row r="14" ht="45" customHeight="1">
      <c r="A14" s="126" t="inlineStr">
        <is>
          <t>9000</t>
        </is>
      </c>
      <c r="B14" s="126" t="inlineStr">
        <is>
          <t>9000-0</t>
        </is>
      </c>
      <c r="C14" s="126" t="inlineStr">
        <is>
          <t>사전준비_지반조사</t>
        </is>
      </c>
      <c r="D14" s="126" t="inlineStr">
        <is>
          <t>9000-0-13</t>
        </is>
      </c>
      <c r="E14" s="127" t="inlineStr">
        <is>
          <t>D-135 ~ D-100</t>
        </is>
      </c>
      <c r="F14" s="128" t="inlineStr">
        <is>
          <t>지반조사 인허가</t>
        </is>
      </c>
      <c r="G14" s="129" t="inlineStr">
        <is>
          <t>지반조사업체</t>
        </is>
      </c>
      <c r="H14" s="129" t="inlineStr">
        <is>
          <t>포스코스마트엔지니어링팀</t>
        </is>
      </c>
      <c r="I14" s="130" t="inlineStr">
        <is>
          <t>지반조사 수행을 위한 인허가 승인</t>
        </is>
      </c>
      <c r="J14" s="130" t="inlineStr">
        <is>
          <t>• 산지일시사용 신고(사업계획서, 지형도, 산지일시사용예정실측도, 복구계획서, 복지봉투)
• 굴착행위 신고(굴착행위신고서, 위치 또는 평면도, 원상복구계획서, 토지사용 승낙서)
• 하천점용 허가(위치도, 이해관계인 동의서, 수리계산서, 하천점용등, 사업자등록증)</t>
        </is>
      </c>
      <c r="K14" s="128" t="inlineStr">
        <is>
          <t>인허가 서류</t>
        </is>
      </c>
      <c r="L14" s="130" t="inlineStr">
        <is>
          <t>지반조사 수행을 위한 인허가 승인 | 인허가 서류</t>
        </is>
      </c>
      <c r="M14" s="131" t="inlineStr">
        <is>
          <t>👉 [더블클릭] 표준서 열기 📄</t>
        </is>
      </c>
      <c r="N14" s="130" t="inlineStr">
        <is>
          <t>• 산지일시사용 신고(사업계획서, 지형도, 산지일시사용예정실측도, 복구계획서, 복지봉투) • 굴착행위 신고(굴착행위신고서, 위치 또는 평면도, 원상복구계획서, 토지사용 승낙서) • 하천점용 허가(위치도, 이해관계인 ...</t>
        </is>
      </c>
      <c r="O14" s="131" t="inlineStr">
        <is>
          <t>👉 [더블클릭] 수행지침 열기 📄</t>
        </is>
      </c>
      <c r="P14" s="130" t="inlineStr">
        <is>
          <t>1) 지반조사 인허가 적정성을 확인하였는가? 2) 인허가 서류 산출물을 확보하였는가?</t>
        </is>
      </c>
      <c r="Q14" s="131" t="inlineStr">
        <is>
          <t>👉 [더블클릭] 체크리스트 열기 📄</t>
        </is>
      </c>
    </row>
    <row r="15" ht="45" customHeight="1">
      <c r="A15" s="132" t="inlineStr">
        <is>
          <t>9000</t>
        </is>
      </c>
      <c r="B15" s="132" t="inlineStr">
        <is>
          <t>9000-0</t>
        </is>
      </c>
      <c r="C15" s="132" t="inlineStr">
        <is>
          <t>사전준비_지반조사</t>
        </is>
      </c>
      <c r="D15" s="132" t="inlineStr">
        <is>
          <t>9000-0-14</t>
        </is>
      </c>
      <c r="E15" s="133" t="inlineStr">
        <is>
          <t>D-105 ~ D-100</t>
        </is>
      </c>
      <c r="F15" s="134" t="inlineStr">
        <is>
          <t>지반조사 항목, 수량 및 위치 보완</t>
        </is>
      </c>
      <c r="G15" s="135" t="inlineStr">
        <is>
          <t>포스코스마트엔지니어링팀</t>
        </is>
      </c>
      <c r="H15" s="135" t="inlineStr">
        <is>
          <t>외부지질전문가 3인 이상, 지반조사업체</t>
        </is>
      </c>
      <c r="I15" s="136" t="inlineStr">
        <is>
          <t>외부지질전문가 의견을 반영한 지반조사 계획 확정</t>
        </is>
      </c>
      <c r="J15" s="136" t="inlineStr">
        <is>
          <t>• 외부지질전문가 지반조사 의견 검토
• 입찰설계 지반조사 계획 보완</t>
        </is>
      </c>
      <c r="K15" s="134" t="inlineStr">
        <is>
          <t>지반조사 용역 계약서</t>
        </is>
      </c>
      <c r="L15" s="136" t="inlineStr">
        <is>
          <t>외부지질전문가 의견을 반영한 지반조사 계획 확정 | 지반조사 용역 계약서</t>
        </is>
      </c>
      <c r="M15" s="137" t="inlineStr">
        <is>
          <t>👉 [더블클릭] 표준서 열기 📄</t>
        </is>
      </c>
      <c r="N15" s="136" t="inlineStr">
        <is>
          <t>• 외부지질전문가 지반조사 의견 검토 • 입찰설계 지반조사 계획 보완</t>
        </is>
      </c>
      <c r="O15" s="137" t="inlineStr">
        <is>
          <t>👉 [더블클릭] 수행지침 열기 📄</t>
        </is>
      </c>
      <c r="P15" s="136" t="inlineStr">
        <is>
          <t>1) 지반조사 항목, 수량 및 위치 보완 적정성을 확인하였는가? 2) 지반조사 용역 계약서 산출물을 확보하였는가?</t>
        </is>
      </c>
      <c r="Q15" s="137" t="inlineStr">
        <is>
          <t>👉 [더블클릭] 체크리스트 열기 📄</t>
        </is>
      </c>
    </row>
    <row r="16" ht="45" customHeight="1">
      <c r="A16" s="126" t="inlineStr">
        <is>
          <t>9000</t>
        </is>
      </c>
      <c r="B16" s="126" t="inlineStr">
        <is>
          <t>9000-0</t>
        </is>
      </c>
      <c r="C16" s="126" t="inlineStr">
        <is>
          <t>사전준비_지반조사</t>
        </is>
      </c>
      <c r="D16" s="126" t="inlineStr">
        <is>
          <t>9000-0-15</t>
        </is>
      </c>
      <c r="E16" s="127" t="inlineStr">
        <is>
          <t>D-100 ~ D-50</t>
        </is>
      </c>
      <c r="F16" s="128" t="inlineStr">
        <is>
          <t>지반조사 수행</t>
        </is>
      </c>
      <c r="G16" s="129" t="inlineStr">
        <is>
          <t>지반조사업체</t>
        </is>
      </c>
      <c r="H16" s="129" t="inlineStr">
        <is>
          <t>포스코스마트엔지니어링팀</t>
        </is>
      </c>
      <c r="I16" s="130" t="inlineStr">
        <is>
          <t>과업구간 지반여건 상세 파악</t>
        </is>
      </c>
      <c r="J16" s="130" t="inlineStr">
        <is>
          <t>• 물리탐사 수행(전기 비저항, 탄성파탐사 등)
• 시추조사 및 현장 시험 수행(공내재하시험, 실내전단시험 등)
• 실내시험 수행(요동시험, 입도시험 등)</t>
        </is>
      </c>
      <c r="K16" s="128" t="inlineStr">
        <is>
          <t>지반조사 보고서, 시추 Core 및 샘플</t>
        </is>
      </c>
      <c r="L16" s="130" t="inlineStr">
        <is>
          <t>과업구간 지반여건 상세 파악 | 지반조사 보고서, 시추 Core 및 샘플</t>
        </is>
      </c>
      <c r="M16" s="131" t="inlineStr">
        <is>
          <t>👉 [더블클릭] 표준서 열기 📄</t>
        </is>
      </c>
      <c r="N16" s="130" t="inlineStr">
        <is>
          <t>• 물리탐사 수행(전기 비저항, 탄성파탐사 등) • 시추조사 및 현장 시험 수행(공내재하시험, 실내전단시험 등) • 실내시험 수행(요동시험, 입도시험 등)</t>
        </is>
      </c>
      <c r="O16" s="131" t="inlineStr">
        <is>
          <t>👉 [더블클릭] 수행지침 열기 📄</t>
        </is>
      </c>
      <c r="P16" s="130" t="inlineStr">
        <is>
          <t>1) 지반조사 수행 적정성을 확인하였는가? 2) 지반조사 보고서, 시추 Core 및 샘플 산출물을 확보하였는가?</t>
        </is>
      </c>
      <c r="Q16" s="131" t="inlineStr">
        <is>
          <t>👉 [더블클릭] 체크리스트 열기 📄</t>
        </is>
      </c>
    </row>
    <row r="17" ht="45" customHeight="1">
      <c r="A17" s="132" t="inlineStr">
        <is>
          <t>9000</t>
        </is>
      </c>
      <c r="B17" s="132" t="inlineStr">
        <is>
          <t>9000-0</t>
        </is>
      </c>
      <c r="C17" s="132" t="inlineStr">
        <is>
          <t>사전준비_지반조사</t>
        </is>
      </c>
      <c r="D17" s="132" t="inlineStr">
        <is>
          <t>9000-0-16</t>
        </is>
      </c>
      <c r="E17" s="133" t="inlineStr">
        <is>
          <t>D-50 ~ D-40</t>
        </is>
      </c>
      <c r="F17" s="134" t="inlineStr">
        <is>
          <t>지반조사 수렴 결과 분석</t>
        </is>
      </c>
      <c r="G17" s="135" t="inlineStr">
        <is>
          <t>외부지질전문가 3인 이상</t>
        </is>
      </c>
      <c r="H17" s="135" t="inlineStr">
        <is>
          <t>포스코스마트엔지니어링팀, 지반조사업체</t>
        </is>
      </c>
      <c r="I17" s="136" t="inlineStr">
        <is>
          <t>지반조사 결과 오류 및 지반정수의 적합성 검토</t>
        </is>
      </c>
      <c r="J17" s="136" t="inlineStr">
        <is>
          <t>• 입찰설계 지반조사 보고서 검토
• 시추조사 위치 및 심도의 적정성 검토
• 실내시험 결과 등급 적정성 검토
• 실시설계시 추가지반조사 필요구간 검토</t>
        </is>
      </c>
      <c r="K17" s="134" t="inlineStr">
        <is>
          <t>지반조사 결과 분석 의견서</t>
        </is>
      </c>
      <c r="L17" s="136" t="inlineStr">
        <is>
          <t>지반조사 결과 오류 및 지반정수의 적합성 검토 | 지반조사 결과 분석 의견서</t>
        </is>
      </c>
      <c r="M17" s="137" t="inlineStr">
        <is>
          <t>👉 [더블클릭] 표준서 열기 📄</t>
        </is>
      </c>
      <c r="N17" s="136" t="inlineStr">
        <is>
          <t>• 입찰설계 지반조사 보고서 검토 • 시추조사 위치 및 심도의 적정성 검토 • 실내시험 결과 등급 적정성 검토 • 실시설계시 추가지반조사 필요구간 검토</t>
        </is>
      </c>
      <c r="O17" s="137" t="inlineStr">
        <is>
          <t>👉 [더블클릭] 수행지침 열기 📄</t>
        </is>
      </c>
      <c r="P17" s="136" t="inlineStr">
        <is>
          <t>1) 지반조사 수렴 결과 분석 적정성을 확인하였는가? 2) 지반조사 결과 분석 의견서 산출물을 확보하였는가?</t>
        </is>
      </c>
      <c r="Q17" s="137" t="inlineStr">
        <is>
          <t>👉 [더블클릭] 체크리스트 열기 📄</t>
        </is>
      </c>
    </row>
    <row r="18" ht="45" customHeight="1">
      <c r="A18" s="126" t="inlineStr">
        <is>
          <t>9000</t>
        </is>
      </c>
      <c r="B18" s="126" t="inlineStr">
        <is>
          <t>9000-0</t>
        </is>
      </c>
      <c r="C18" s="126" t="inlineStr">
        <is>
          <t>사전준비_지반조사</t>
        </is>
      </c>
      <c r="D18" s="126" t="inlineStr">
        <is>
          <t>9000-0-17</t>
        </is>
      </c>
      <c r="E18" s="127" t="inlineStr">
        <is>
          <t>D-40 ~ D-30</t>
        </is>
      </c>
      <c r="F18" s="128" t="inlineStr">
        <is>
          <t>입찰설계 지반조사 R/O 검토 (설계, 원가, 공정, 기타)</t>
        </is>
      </c>
      <c r="G18" s="129" t="inlineStr">
        <is>
          <t>토목견적팀(원가), 토목수행팀(공정), 토목사업지원팀(기획)</t>
        </is>
      </c>
      <c r="H18" s="129" t="inlineStr">
        <is>
          <t>포스코스마트엔지니어링팀</t>
        </is>
      </c>
      <c r="I18" s="130" t="inlineStr">
        <is>
          <t>입찰설계 지반조사 결과에 따른 직분야 R/O 및 Cost impact 반영 사항 검토</t>
        </is>
      </c>
      <c r="J18" s="130" t="inlineStr">
        <is>
          <t>• 입찰설계 지반조사 결과 분석을 통한 원가 및 공정 영향 검토
• 미시추 구간 평가 및 공정 Risk 반영 사항 검토
• 지반조건을 고려한 발파공법성 여부 검토</t>
        </is>
      </c>
      <c r="K18" s="128" t="inlineStr">
        <is>
          <t>입찰설계 지반조사 검토서(설계, 원가, 공정, 기타)</t>
        </is>
      </c>
      <c r="L18" s="130" t="inlineStr">
        <is>
          <t>입찰설계 지반조사 결과에 따른 직분야 R/O 및 Cost impact 반영 사항 검토 | 입찰설계 지반조사 검토서(설계, 원가, 공정, 기타)</t>
        </is>
      </c>
      <c r="M18" s="131" t="inlineStr">
        <is>
          <t>👉 [더블클릭] 표준서 열기 📄</t>
        </is>
      </c>
      <c r="N18" s="130" t="inlineStr">
        <is>
          <t>• 입찰설계 지반조사 결과 분석을 통한 원가 및 공정 영향 검토 • 미시추 구간 평가 및 공정 Risk 반영 사항 검토 • 지반조건을 고려한 발파공법성 여부 검토</t>
        </is>
      </c>
      <c r="O18" s="131" t="inlineStr">
        <is>
          <t>👉 [더블클릭] 수행지침 열기 📄</t>
        </is>
      </c>
      <c r="P18" s="130" t="inlineStr">
        <is>
          <t>1) 입찰설계 지반조사 R/O 검토 (설계, 원가, 공정, 기타) 적정성을 확인하였는가? 2) 입찰설계 지반조사 검토서(설계, 원가, 공정, 기타) 산출물을 확보하였는가?</t>
        </is>
      </c>
      <c r="Q18" s="131" t="inlineStr">
        <is>
          <t>👉 [더블클릭] 체크리스트 열기 📄</t>
        </is>
      </c>
    </row>
    <row r="19" ht="45" customHeight="1">
      <c r="A19" s="132" t="inlineStr">
        <is>
          <t>9000</t>
        </is>
      </c>
      <c r="B19" s="132" t="inlineStr">
        <is>
          <t>9000-0</t>
        </is>
      </c>
      <c r="C19" s="132" t="inlineStr">
        <is>
          <t>사전준비_지반조사</t>
        </is>
      </c>
      <c r="D19" s="132" t="inlineStr">
        <is>
          <t>9000-0-18</t>
        </is>
      </c>
      <c r="E19" s="133" t="inlineStr">
        <is>
          <t>D-40 ~ D-30</t>
        </is>
      </c>
      <c r="F19" s="134" t="inlineStr">
        <is>
          <t>지반조사 결과 R/O 종합검토</t>
        </is>
      </c>
      <c r="G19" s="135" t="inlineStr">
        <is>
          <t>포스코스마트엔지니어링팀</t>
        </is>
      </c>
      <c r="H19" s="135" t="inlineStr">
        <is>
          <t>토목견적팀(원가), 토목수행팀(공정), 토목사업지원팀(기획)</t>
        </is>
      </c>
      <c r="I19" s="136" t="inlineStr">
        <is>
          <t>원가 및 공정 검토 결과에 따른 입찰설계 R/O 최종 확정</t>
        </is>
      </c>
      <c r="J19" s="136" t="inlineStr">
        <is>
          <t>• 입찰설계 지반조사 R/O별 Cost effect 분석
• 유사사업 L/L 분석, R/P 검토를 통한 실시설계시 고려사항 검토</t>
        </is>
      </c>
      <c r="K19" s="134" t="inlineStr">
        <is>
          <t>입찰설계 R/O 검토서</t>
        </is>
      </c>
      <c r="L19" s="136" t="inlineStr">
        <is>
          <t>원가 및 공정 검토 결과에 따른 입찰설계 R/O 최종 확정 | 입찰설계 R/O 검토서</t>
        </is>
      </c>
      <c r="M19" s="137" t="inlineStr">
        <is>
          <t>👉 [더블클릭] 표준서 열기 📄</t>
        </is>
      </c>
      <c r="N19" s="136" t="inlineStr">
        <is>
          <t>• 입찰설계 지반조사 R/O별 Cost effect 분석 • 유사사업 L/L 분석, R/P 검토를 통한 실시설계시 고려사항 검토</t>
        </is>
      </c>
      <c r="O19" s="137" t="inlineStr">
        <is>
          <t>👉 [더블클릭] 수행지침 열기 📄</t>
        </is>
      </c>
      <c r="P19" s="136" t="inlineStr">
        <is>
          <t>1) 지반조사 결과 R/O 종합검토 적정성을 확인하였는가? 2) 입찰설계 R/O 검토서 산출물을 확보하였는가?</t>
        </is>
      </c>
      <c r="Q19" s="137" t="inlineStr">
        <is>
          <t>👉 [더블클릭] 체크리스트 열기 📄</t>
        </is>
      </c>
    </row>
    <row r="20" ht="45" customHeight="1">
      <c r="A20" s="126" t="inlineStr">
        <is>
          <t>9000</t>
        </is>
      </c>
      <c r="B20" s="126" t="inlineStr">
        <is>
          <t>9000-0</t>
        </is>
      </c>
      <c r="C20" s="126" t="inlineStr">
        <is>
          <t>사전준비_지반조사</t>
        </is>
      </c>
      <c r="D20" s="126" t="inlineStr">
        <is>
          <t>9000-0-19</t>
        </is>
      </c>
      <c r="E20" s="127" t="inlineStr">
        <is>
          <t>D-30 ~ D-20</t>
        </is>
      </c>
      <c r="F20" s="128" t="inlineStr">
        <is>
          <t>REM 수립</t>
        </is>
      </c>
      <c r="G20" s="129" t="inlineStr">
        <is>
          <t>포스코스마트엔지니어링팀</t>
        </is>
      </c>
      <c r="H20" s="129" t="inlineStr">
        <is>
          <t>토목견적팀, 토목사업지원팀</t>
        </is>
      </c>
      <c r="I20" s="130" t="inlineStr">
        <is>
          <t>REM 차트 작성(회사의 Core Risk, T/C 공정검토 결과, 경쟁사 동향, 발주 경향) 및 보고</t>
        </is>
      </c>
      <c r="J20" s="130" t="inlineStr">
        <is>
          <t>• Risk Profiling/Merge 방안 검토
• 공정 착공성 검토 및 T/C 검토
• 설계차별화 및 Idea Frame 검토</t>
        </is>
      </c>
      <c r="K20" s="128" t="inlineStr">
        <is>
          <t>REM 회의록</t>
        </is>
      </c>
      <c r="L20" s="130" t="inlineStr">
        <is>
          <t>REM 차트 작성(회사의 Core Risk, T/C 공정검토 결과, 경쟁사 동향, 발주 경향) 및 보고 | REM 회의록</t>
        </is>
      </c>
      <c r="M20" s="131" t="inlineStr">
        <is>
          <t>👉 [더블클릭] 표준서 열기 📄</t>
        </is>
      </c>
      <c r="N20" s="130" t="inlineStr">
        <is>
          <t>• Risk Profiling/Merge 방안 검토 • 공정 착공성 검토 및 T/C 검토 • 설계차별화 및 Idea Frame 검토</t>
        </is>
      </c>
      <c r="O20" s="131" t="inlineStr">
        <is>
          <t>👉 [더블클릭] 수행지침 열기 📄</t>
        </is>
      </c>
      <c r="P20" s="130" t="inlineStr">
        <is>
          <t>1) REM 수립 적정성을 확인하였는가? 2) REM 회의록 산출물을 확보하였는가?</t>
        </is>
      </c>
      <c r="Q20" s="131" t="inlineStr">
        <is>
          <t>👉 [더블클릭] 체크리스트 열기 📄</t>
        </is>
      </c>
    </row>
    <row r="21" ht="45" customHeight="1">
      <c r="A21" s="132" t="inlineStr">
        <is>
          <t>9000</t>
        </is>
      </c>
      <c r="B21" s="132" t="inlineStr">
        <is>
          <t>9000-0</t>
        </is>
      </c>
      <c r="C21" s="132" t="inlineStr">
        <is>
          <t>사전준비_지반조사</t>
        </is>
      </c>
      <c r="D21" s="132" t="inlineStr">
        <is>
          <t>9000-0-20</t>
        </is>
      </c>
      <c r="E21" s="133" t="inlineStr">
        <is>
          <t>D-30 ~ D-15</t>
        </is>
      </c>
      <c r="F21" s="134" t="inlineStr">
        <is>
          <t>추가지반조사 계획 수립</t>
        </is>
      </c>
      <c r="G21" s="135" t="inlineStr">
        <is>
          <t>포스코스마트엔지니어링팀</t>
        </is>
      </c>
      <c r="H21" s="135" t="inlineStr">
        <is>
          <t>토목견적팀(원가), 토목수행팀(공정), 토목사업지원팀(기획)</t>
        </is>
      </c>
      <c r="I21" s="136" t="inlineStr">
        <is>
          <t>R/O 분석 결과에 기반한 추가지반조사 항목 도출</t>
        </is>
      </c>
      <c r="J21" s="136" t="inlineStr">
        <is>
          <t>• 지반조사 수렴 결과 분석보고서 검토
• 지반조사 결과 R/O 종합검토 결과 검토</t>
        </is>
      </c>
      <c r="K21" s="134" t="inlineStr">
        <is>
          <t>추가지반조사 List</t>
        </is>
      </c>
      <c r="L21" s="136" t="inlineStr">
        <is>
          <t>R/O 분석 결과에 기반한 추가지반조사 항목 도출 | 추가지반조사 List</t>
        </is>
      </c>
      <c r="M21" s="137" t="inlineStr">
        <is>
          <t>👉 [더블클릭] 표준서 열기 📄</t>
        </is>
      </c>
      <c r="N21" s="136" t="inlineStr">
        <is>
          <t>• 지반조사 수렴 결과 분석보고서 검토 • 지반조사 결과 R/O 종합검토 결과 검토</t>
        </is>
      </c>
      <c r="O21" s="137" t="inlineStr">
        <is>
          <t>👉 [더블클릭] 수행지침 열기 📄</t>
        </is>
      </c>
      <c r="P21" s="136" t="inlineStr">
        <is>
          <t>1) 추가지반조사 계획 수립 적정성을 확인하였는가? 2) 추가지반조사 List 산출물을 확보하였는가?</t>
        </is>
      </c>
      <c r="Q21" s="137" t="inlineStr">
        <is>
          <t>👉 [더블클릭] 체크리스트 열기 📄</t>
        </is>
      </c>
    </row>
    <row r="22" ht="45" customHeight="1">
      <c r="A22" s="126" t="inlineStr">
        <is>
          <t>9000</t>
        </is>
      </c>
      <c r="B22" s="126" t="inlineStr">
        <is>
          <t>9000-0</t>
        </is>
      </c>
      <c r="C22" s="126" t="inlineStr">
        <is>
          <t>사전준비_지반조사</t>
        </is>
      </c>
      <c r="D22" s="126" t="inlineStr">
        <is>
          <t>9000-0-21</t>
        </is>
      </c>
      <c r="E22" s="127" t="inlineStr">
        <is>
          <t>D-15 ~ D-7</t>
        </is>
      </c>
      <c r="F22" s="128" t="inlineStr">
        <is>
          <t>3D GPR탐사 장비 사양(차량형) 검토</t>
        </is>
      </c>
      <c r="G22" s="129" t="inlineStr">
        <is>
          <t>현장 공무팀</t>
        </is>
      </c>
      <c r="H22" s="129" t="inlineStr">
        <is>
          <t>현장 공사팀</t>
        </is>
      </c>
      <c r="I22" s="130" t="inlineStr">
        <is>
          <t>적정 추가지반조사 규명을 위한 장비 사양 검토</t>
        </is>
      </c>
      <c r="J22" s="130" t="inlineStr">
        <is>
          <t>• 3D GPR탐사 장비 사양(차량형)
- 3D Radar(노르웨이)_200~3000Hz, 2.0m~3.0m : 하상도 높음
- MIRA(스웨덴)_400~1300Hz, 1.0m~2.0m : 정밀한 입체 형상
- StreamC(이탈리아)_200~600Hz, 1.5m~3.0m : 다양한 심도, 공동 탐지
- VGPR(호주)_100~4000Hz, 2.0m~3.0m : 고속주행 데이터 획득
- Road 3D(한국)_200~3000Hz, 2.0m~3.0m : 하상도 높음, 유용특화</t>
        </is>
      </c>
      <c r="K22" s="128" t="inlineStr">
        <is>
          <t>-</t>
        </is>
      </c>
      <c r="L22" s="130" t="inlineStr">
        <is>
          <t>적정 추가지반조사 규명을 위한 장비 사양 검토 | -</t>
        </is>
      </c>
      <c r="M22" s="131" t="inlineStr">
        <is>
          <t>👉 [더블클릭] 표준서 열기 📄</t>
        </is>
      </c>
      <c r="N22" s="130" t="inlineStr">
        <is>
          <t>• 3D GPR탐사 장비 사양(차량형) - 3D Radar(노르웨이)_200~3000Hz, 2.0m~3.0m : 하상도 높음 - MIRA(스웨덴)_400~1300Hz, 1.0m~2.0m : 정밀한 입체 형상 - St...</t>
        </is>
      </c>
      <c r="O22" s="131" t="inlineStr">
        <is>
          <t>👉 [더블클릭] 수행지침 열기 📄</t>
        </is>
      </c>
      <c r="P22" s="130" t="inlineStr">
        <is>
          <t>1) 3D GPR탐사 장비 사양(차량형) 검토 적정성을 확인하였는가? 2) - 산출물을 확보하였는가?</t>
        </is>
      </c>
      <c r="Q22" s="131" t="inlineStr">
        <is>
          <t>👉 [더블클릭] 체크리스트 열기 📄</t>
        </is>
      </c>
    </row>
    <row r="23" ht="45" customHeight="1">
      <c r="A23" s="132" t="inlineStr">
        <is>
          <t>9000</t>
        </is>
      </c>
      <c r="B23" s="132" t="inlineStr">
        <is>
          <t>9000-0</t>
        </is>
      </c>
      <c r="C23" s="132" t="inlineStr">
        <is>
          <t>사전준비_지반조사</t>
        </is>
      </c>
      <c r="D23" s="132" t="inlineStr">
        <is>
          <t>9000-0-22</t>
        </is>
      </c>
      <c r="E23" s="133" t="inlineStr">
        <is>
          <t>D-15 ~ D-7</t>
        </is>
      </c>
      <c r="F23" s="134" t="inlineStr">
        <is>
          <t>ECRM 수립</t>
        </is>
      </c>
      <c r="G23" s="135" t="inlineStr">
        <is>
          <t>토목견적팀(원가)</t>
        </is>
      </c>
      <c r="H23" s="135" t="inlineStr">
        <is>
          <t>포스코스마트엔지니어링팀, 토목수행팀, 토목사업지원팀</t>
        </is>
      </c>
      <c r="I23" s="136" t="inlineStr">
        <is>
          <t>입찰설계 지반조사 결과에 따른 직분야 R/O 및 Cost impact 반영 사항 검토</t>
        </is>
      </c>
      <c r="J23" s="136" t="inlineStr">
        <is>
          <t>• 입찰설계 지반조사 결과 분석을 통한 원가 및 공정 영향 검토
• 미시추 구간 평가 및 공정 Risk 반영 사항 검토
• 지반조건을 고려한 발파공법성 여부 검토</t>
        </is>
      </c>
      <c r="K23" s="134" t="inlineStr">
        <is>
          <t>입찰설계 지반조사 검토서(설계, 원가, 공정, 기타)</t>
        </is>
      </c>
      <c r="L23" s="136" t="inlineStr">
        <is>
          <t>입찰설계 지반조사 결과에 따른 직분야 R/O 및 Cost impact 반영 사항 검토 | 입찰설계 지반조사 검토서(설계, 원가, 공정, 기타)</t>
        </is>
      </c>
      <c r="M23" s="137" t="inlineStr">
        <is>
          <t>👉 [더블클릭] 표준서 열기 📄</t>
        </is>
      </c>
      <c r="N23" s="136" t="inlineStr">
        <is>
          <t>• 입찰설계 지반조사 결과 분석을 통한 원가 및 공정 영향 검토 • 미시추 구간 평가 및 공정 Risk 반영 사항 검토 • 지반조건을 고려한 발파공법성 여부 검토</t>
        </is>
      </c>
      <c r="O23" s="137" t="inlineStr">
        <is>
          <t>👉 [더블클릭] 수행지침 열기 📄</t>
        </is>
      </c>
      <c r="P23" s="136" t="inlineStr">
        <is>
          <t>1) ECRM 수립 적정성을 확인하였는가? 2) 입찰설계 지반조사 검토서(설계, 원가, 공정, 기타) 산출물을 확보하였는가?</t>
        </is>
      </c>
      <c r="Q23" s="137" t="inlineStr">
        <is>
          <t>👉 [더블클릭] 체크리스트 열기 📄</t>
        </is>
      </c>
    </row>
    <row r="24" ht="28" customHeight="1">
      <c r="A24" s="126" t="inlineStr">
        <is>
          <t>9000</t>
        </is>
      </c>
      <c r="B24" s="126" t="inlineStr">
        <is>
          <t>9000-0</t>
        </is>
      </c>
      <c r="C24" s="126" t="inlineStr">
        <is>
          <t>사전준비_지반조사</t>
        </is>
      </c>
      <c r="D24" s="126" t="inlineStr">
        <is>
          <t>9000-0-23</t>
        </is>
      </c>
      <c r="E24" s="127" t="inlineStr">
        <is>
          <t>D-7 ~ D-0</t>
        </is>
      </c>
      <c r="F24" s="128" t="inlineStr">
        <is>
          <t>최종 Cost 검토 / 입찰</t>
        </is>
      </c>
      <c r="G24" s="129" t="inlineStr">
        <is>
          <t>토목견적팀</t>
        </is>
      </c>
      <c r="H24" s="129" t="inlineStr">
        <is>
          <t>-</t>
        </is>
      </c>
      <c r="I24" s="130" t="inlineStr">
        <is>
          <t>입찰</t>
        </is>
      </c>
      <c r="J24" s="130" t="inlineStr">
        <is>
          <t>• 최종 R/O를 반영한 투찰내역서 작성</t>
        </is>
      </c>
      <c r="K24" s="128" t="inlineStr">
        <is>
          <t>투찰내역서</t>
        </is>
      </c>
      <c r="L24" s="130" t="inlineStr">
        <is>
          <t>입찰 | 투찰내역서</t>
        </is>
      </c>
      <c r="M24" s="131" t="inlineStr">
        <is>
          <t>👉 [더블클릭] 표준서 열기 📄</t>
        </is>
      </c>
      <c r="N24" s="130" t="inlineStr">
        <is>
          <t>• 최종 R/O를 반영한 투찰내역서 작성</t>
        </is>
      </c>
      <c r="O24" s="131" t="inlineStr">
        <is>
          <t>👉 [더블클릭] 수행지침 열기 📄</t>
        </is>
      </c>
      <c r="P24" s="130" t="inlineStr">
        <is>
          <t>1) 최종 Cost 검토 / 입찰 적정성을 확인하였는가? 2) 투찰내역서 산출물을 확보하였는가?</t>
        </is>
      </c>
      <c r="Q24" s="131" t="inlineStr">
        <is>
          <t>👉 [더블클릭] 체크리스트 열기 📄</t>
        </is>
      </c>
    </row>
    <row r="25" ht="28" customHeight="1">
      <c r="A25" s="132" t="inlineStr">
        <is>
          <t>9000</t>
        </is>
      </c>
      <c r="B25" s="132" t="inlineStr">
        <is>
          <t>9000-0</t>
        </is>
      </c>
      <c r="C25" s="132" t="inlineStr">
        <is>
          <t>사전준비_지반조사</t>
        </is>
      </c>
      <c r="D25" s="132" t="inlineStr">
        <is>
          <t>9000-0-24</t>
        </is>
      </c>
      <c r="E25" s="133" t="inlineStr">
        <is>
          <t>D+0 ~ D+30</t>
        </is>
      </c>
      <c r="F25" s="134" t="inlineStr">
        <is>
          <t>입찰설계 현장 인수인계</t>
        </is>
      </c>
      <c r="G25" s="135" t="inlineStr">
        <is>
          <t>현장소장</t>
        </is>
      </c>
      <c r="H25" s="135" t="inlineStr">
        <is>
          <t>토목수행팀</t>
        </is>
      </c>
      <c r="I25" s="136" t="inlineStr">
        <is>
          <t>지반조사 포함 전체 R/O 승계자료 인수인계 및 추가지반조사 계획 공유</t>
        </is>
      </c>
      <c r="J25" s="136" t="inlineStr">
        <is>
          <t>• 최종 R/O 결과 및 입찰도서 인출</t>
        </is>
      </c>
      <c r="K25" s="134" t="inlineStr">
        <is>
          <t>인수인계서</t>
        </is>
      </c>
      <c r="L25" s="136" t="inlineStr">
        <is>
          <t>지반조사 포함 전체 R/O 승계자료 인수인계 및 추가지반조사 계획 공유 | 인수인계서</t>
        </is>
      </c>
      <c r="M25" s="137" t="inlineStr">
        <is>
          <t>👉 [더블클릭] 표준서 열기 📄</t>
        </is>
      </c>
      <c r="N25" s="136" t="inlineStr">
        <is>
          <t>• 최종 R/O 결과 및 입찰도서 인출</t>
        </is>
      </c>
      <c r="O25" s="137" t="inlineStr">
        <is>
          <t>👉 [더블클릭] 수행지침 열기 📄</t>
        </is>
      </c>
      <c r="P25" s="136" t="inlineStr">
        <is>
          <t>1) 입찰설계 현장 인수인계 적정성을 확인하였는가? 2) 인수인계서 산출물을 확보하였는가?</t>
        </is>
      </c>
      <c r="Q25" s="137" t="inlineStr">
        <is>
          <t>👉 [더블클릭] 체크리스트 열기 📄</t>
        </is>
      </c>
    </row>
    <row r="26" ht="45" customHeight="1">
      <c r="A26" s="138" t="inlineStr">
        <is>
          <t>9000</t>
        </is>
      </c>
      <c r="B26" s="138" t="inlineStr">
        <is>
          <t>9000-0</t>
        </is>
      </c>
      <c r="C26" s="138" t="inlineStr">
        <is>
          <t>사전준비_지반조사</t>
        </is>
      </c>
      <c r="D26" s="138" t="inlineStr">
        <is>
          <t>9000-0-25</t>
        </is>
      </c>
      <c r="E26" s="139" t="inlineStr">
        <is>
          <t>D+30 ~ D+100</t>
        </is>
      </c>
      <c r="F26" s="140" t="inlineStr">
        <is>
          <t>추가지반조사 수행</t>
        </is>
      </c>
      <c r="G26" s="141" t="inlineStr">
        <is>
          <t>지반조사업체</t>
        </is>
      </c>
      <c r="H26" s="141" t="inlineStr">
        <is>
          <t>현장 공사팀/공무팀, 포스코스마트엔지니어링팀, 토목수행팀</t>
        </is>
      </c>
      <c r="I26" s="142" t="inlineStr">
        <is>
          <t>미시추구간 지반조사 수행을 통한 지반 Risk Hedge</t>
        </is>
      </c>
      <c r="J26" s="142" t="inlineStr">
        <is>
          <t>• 추가 지반조사 계획 및 시점 확인
- 탄성파탐사/전기비저항탐사 등 물리탐사 추가조사 (현장 및 위치 확인)
- 추가시추조사 수행(물리탐사, 시추조사)
- 토질 및 암석 실내시험 수행 및 결과분석 확인
- 공종별 핵심시설(교량, 접속도로, 토공, #200m 통과점, 터널 발파/심벽진입) 확인</t>
        </is>
      </c>
      <c r="K26" s="140" t="inlineStr">
        <is>
          <t>추가 지반조사 보고서</t>
        </is>
      </c>
      <c r="L26" s="142" t="inlineStr">
        <is>
          <t>미시추구간 지반조사 수행을 통한 지반 Risk Hedge | 추가 지반조사 보고서</t>
        </is>
      </c>
      <c r="M26" s="143" t="inlineStr">
        <is>
          <t>👉 [더블클릭] 표준서 열기 📄</t>
        </is>
      </c>
      <c r="N26" s="142" t="inlineStr">
        <is>
          <t>• 추가 지반조사 계획 및 시점 확인 - 탄성파탐사/전기비저항탐사 등 물리탐사 추가조사 (현장 및 위치 확인) - 추가시추조사 수행(물리탐사, 시추조사) - 토질 및 암석 실내시험 수행 및 결과분석 확인 - 공종별 ...</t>
        </is>
      </c>
      <c r="O26" s="143" t="inlineStr">
        <is>
          <t>👉 [더블클릭] 수행지침 열기 📄</t>
        </is>
      </c>
      <c r="P26" s="142" t="inlineStr">
        <is>
          <t>1) 추가지반조사 수행 적정성을 확인하였는가? 2) 추가 지반조사 보고서 산출물을 확보하였는가?</t>
        </is>
      </c>
      <c r="Q26" s="143" t="inlineStr">
        <is>
          <t>👉 [더블클릭] 체크리스트 열기 📄</t>
        </is>
      </c>
    </row>
    <row r="27" ht="45" customHeight="1">
      <c r="A27" s="138" t="inlineStr">
        <is>
          <t>9000</t>
        </is>
      </c>
      <c r="B27" s="138" t="inlineStr">
        <is>
          <t>9000-0</t>
        </is>
      </c>
      <c r="C27" s="138" t="inlineStr">
        <is>
          <t>사전준비_지반조사</t>
        </is>
      </c>
      <c r="D27" s="138" t="inlineStr">
        <is>
          <t>9000-0-26</t>
        </is>
      </c>
      <c r="E27" s="139" t="inlineStr">
        <is>
          <t>D+100 ~ D+110</t>
        </is>
      </c>
      <c r="F27" s="140" t="inlineStr">
        <is>
          <t>추가지반조사 결과 분석</t>
        </is>
      </c>
      <c r="G27" s="141" t="inlineStr">
        <is>
          <t>외부지질전문가 3인 이상</t>
        </is>
      </c>
      <c r="H27" s="141" t="inlineStr">
        <is>
          <t>현장 공사팀/공무팀, 포스코스마트엔지니어링팀, 토목수행팀</t>
        </is>
      </c>
      <c r="I27" s="142" t="inlineStr">
        <is>
          <t>추가지반조사 결과에 기반한 최종 R/O 확정</t>
        </is>
      </c>
      <c r="J27" s="142" t="inlineStr">
        <is>
          <t>• 외부전문가 검토 통한 지반특성 최종 Cross-check 확인
• 입찰설계 지반조사 대비 지반특성 변경구간 제원도 확인</t>
        </is>
      </c>
      <c r="K27" s="140" t="inlineStr">
        <is>
          <t>추가 지반조사결과 종합보고서</t>
        </is>
      </c>
      <c r="L27" s="142" t="inlineStr">
        <is>
          <t>추가지반조사 결과에 기반한 최종 R/O 확정 | 추가 지반조사결과 종합보고서</t>
        </is>
      </c>
      <c r="M27" s="143" t="inlineStr">
        <is>
          <t>👉 [더블클릭] 표준서 열기 📄</t>
        </is>
      </c>
      <c r="N27" s="142" t="inlineStr">
        <is>
          <t>• 외부전문가 검토 통한 지반특성 최종 Cross-check 확인 • 입찰설계 지반조사 대비 지반특성 변경구간 제원도 확인</t>
        </is>
      </c>
      <c r="O27" s="143" t="inlineStr">
        <is>
          <t>👉 [더블클릭] 수행지침 열기 📄</t>
        </is>
      </c>
      <c r="P27" s="142" t="inlineStr">
        <is>
          <t>1) 추가지반조사 결과 분석 적정성을 확인하였는가? 2) 추가 지반조사결과 종합보고서 산출물을 확보하였는가?</t>
        </is>
      </c>
      <c r="Q27" s="143" t="inlineStr">
        <is>
          <t>👉 [더블클릭] 체크리스트 열기 📄</t>
        </is>
      </c>
    </row>
    <row r="28" ht="45" customHeight="1">
      <c r="A28" s="126" t="inlineStr">
        <is>
          <t>9000</t>
        </is>
      </c>
      <c r="B28" s="126" t="inlineStr">
        <is>
          <t>9000-0</t>
        </is>
      </c>
      <c r="C28" s="126" t="inlineStr">
        <is>
          <t>사전준비_지반조사</t>
        </is>
      </c>
      <c r="D28" s="126" t="inlineStr">
        <is>
          <t>9000-0-27</t>
        </is>
      </c>
      <c r="E28" s="127" t="inlineStr">
        <is>
          <t>D+110 ~ D+120</t>
        </is>
      </c>
      <c r="F28" s="128" t="inlineStr">
        <is>
          <t>실시설계 지반조사 R/O 검토 (설계, 원가, 공정, 기타)</t>
        </is>
      </c>
      <c r="G28" s="129" t="inlineStr">
        <is>
          <t>포스코스마트엔지니어링팀</t>
        </is>
      </c>
      <c r="H28" s="129" t="inlineStr">
        <is>
          <t>현장 공사팀/품질팀/공무팀, 토목견적팀(원가), 토목수행팀(공정), 토목사업지원팀(기획)</t>
        </is>
      </c>
      <c r="I28" s="130" t="inlineStr">
        <is>
          <t>실시설계 지반조사 결과에 따른 직분야 R/O 및 Cost impact 반영 사항 검토</t>
        </is>
      </c>
      <c r="J28" s="130" t="inlineStr">
        <is>
          <t>• 실시설계 추가지반조사 결과 분석을 통한 원가 및 공정 영향 검토
• 미시추 구간 평가 및 공정 Risk 반영 사항 검토
• 지반조건을 고려한 발파공법성 검토</t>
        </is>
      </c>
      <c r="K28" s="128" t="inlineStr">
        <is>
          <t>실시설계 지반조사 검토서(설계, 원가, 공정, 기타)</t>
        </is>
      </c>
      <c r="L28" s="130" t="inlineStr">
        <is>
          <t>실시설계 지반조사 결과에 따른 직분야 R/O 및 Cost impact 반영 사항 검토 | 실시설계 지반조사 검토서(설계, 원가, 공정, 기타)</t>
        </is>
      </c>
      <c r="M28" s="131" t="inlineStr">
        <is>
          <t>👉 [더블클릭] 표준서 열기 📄</t>
        </is>
      </c>
      <c r="N28" s="130" t="inlineStr">
        <is>
          <t>• 실시설계 추가지반조사 결과 분석을 통한 원가 및 공정 영향 검토 • 미시추 구간 평가 및 공정 Risk 반영 사항 검토 • 지반조건을 고려한 발파공법성 검토</t>
        </is>
      </c>
      <c r="O28" s="131" t="inlineStr">
        <is>
          <t>👉 [더블클릭] 수행지침 열기 📄</t>
        </is>
      </c>
      <c r="P28" s="130" t="inlineStr">
        <is>
          <t>1) 실시설계 지반조사 R/O 검토 (설계, 원가, 공정, 기타) 적정성을 확인하였는가? 2) 실시설계 지반조사 검토서(설계, 원가, 공정, 기타) 산출물을 확보하였는가?</t>
        </is>
      </c>
      <c r="Q28" s="131" t="inlineStr">
        <is>
          <t>👉 [더블클릭] 체크리스트 열기 📄</t>
        </is>
      </c>
    </row>
    <row r="29" ht="28" customHeight="1">
      <c r="A29" s="132" t="inlineStr">
        <is>
          <t>9000</t>
        </is>
      </c>
      <c r="B29" s="132" t="inlineStr">
        <is>
          <t>9000-0</t>
        </is>
      </c>
      <c r="C29" s="132" t="inlineStr">
        <is>
          <t>사전준비_지반조사</t>
        </is>
      </c>
      <c r="D29" s="132" t="inlineStr">
        <is>
          <t>9000-0-28</t>
        </is>
      </c>
      <c r="E29" s="133" t="inlineStr">
        <is>
          <t>D+110 ~ D+120</t>
        </is>
      </c>
      <c r="F29" s="134" t="inlineStr">
        <is>
          <t>실시설계 추가지반조사 결과 검토</t>
        </is>
      </c>
      <c r="G29" s="135" t="inlineStr">
        <is>
          <t>포스코스마트엔지니어링팀</t>
        </is>
      </c>
      <c r="H29" s="135" t="inlineStr">
        <is>
          <t>현장 공사팀/품질팀/공무팀, 토목견적팀(원가), 토목수행팀(공정), 토목사업지원팀(기획)</t>
        </is>
      </c>
      <c r="I29" s="136" t="inlineStr">
        <is>
          <t>추가지반조사 결과에 기반한 최종 R/O 확정</t>
        </is>
      </c>
      <c r="J29" s="136" t="inlineStr">
        <is>
          <t>• 추가지반조사 결과 검토</t>
        </is>
      </c>
      <c r="K29" s="134" t="inlineStr">
        <is>
          <t>실시설계 최종 R/O</t>
        </is>
      </c>
      <c r="L29" s="136" t="inlineStr">
        <is>
          <t>추가지반조사 결과에 기반한 최종 R/O 확정 | 실시설계 최종 R/O</t>
        </is>
      </c>
      <c r="M29" s="137" t="inlineStr">
        <is>
          <t>👉 [더블클릭] 표준서 열기 📄</t>
        </is>
      </c>
      <c r="N29" s="136" t="inlineStr">
        <is>
          <t>• 추가지반조사 결과 검토</t>
        </is>
      </c>
      <c r="O29" s="137" t="inlineStr">
        <is>
          <t>👉 [더블클릭] 수행지침 열기 📄</t>
        </is>
      </c>
      <c r="P29" s="136" t="inlineStr">
        <is>
          <t>1) 실시설계 추가지반조사 결과 검토 적정성을 확인하였는가? 2) 실시설계 최종 R/O 산출물을 확보하였는가?</t>
        </is>
      </c>
      <c r="Q29" s="137" t="inlineStr">
        <is>
          <t>👉 [더블클릭] 체크리스트 열기 📄</t>
        </is>
      </c>
    </row>
    <row r="30" ht="45" customHeight="1">
      <c r="A30" s="126" t="inlineStr">
        <is>
          <t>9000</t>
        </is>
      </c>
      <c r="B30" s="126" t="inlineStr">
        <is>
          <t>9000-0</t>
        </is>
      </c>
      <c r="C30" s="126" t="inlineStr">
        <is>
          <t>사전준비_지반조사</t>
        </is>
      </c>
      <c r="D30" s="126" t="inlineStr">
        <is>
          <t>9000-0-29</t>
        </is>
      </c>
      <c r="E30" s="127" t="inlineStr">
        <is>
          <t>D+120 ~ D+150</t>
        </is>
      </c>
      <c r="F30" s="128" t="inlineStr">
        <is>
          <t>최종 R/O 이행방안 수립</t>
        </is>
      </c>
      <c r="G30" s="129" t="inlineStr">
        <is>
          <t>현장소장</t>
        </is>
      </c>
      <c r="H30" s="129" t="inlineStr">
        <is>
          <t>토목수행팀</t>
        </is>
      </c>
      <c r="I30" s="130" t="inlineStr">
        <is>
          <t>최종 지반조사 결과에 따른 R/O 이행방안 수립</t>
        </is>
      </c>
      <c r="J30" s="130" t="inlineStr">
        <is>
          <t>• Core Risk 및 Hedge 방안 수립
• Opportunity에 따른 본공 상가 추가 개선 방안 수립</t>
        </is>
      </c>
      <c r="K30" s="128" t="inlineStr">
        <is>
          <t>최종 R/O 이행계획서</t>
        </is>
      </c>
      <c r="L30" s="130" t="inlineStr">
        <is>
          <t>최종 지반조사 결과에 따른 R/O 이행방안 수립 | 최종 R/O 이행계획서</t>
        </is>
      </c>
      <c r="M30" s="131" t="inlineStr">
        <is>
          <t>👉 [더블클릭] 표준서 열기 📄</t>
        </is>
      </c>
      <c r="N30" s="130" t="inlineStr">
        <is>
          <t>• Core Risk 및 Hedge 방안 수립 • Opportunity에 따른 본공 상가 추가 개선 방안 수립</t>
        </is>
      </c>
      <c r="O30" s="131" t="inlineStr">
        <is>
          <t>👉 [더블클릭] 수행지침 열기 📄</t>
        </is>
      </c>
      <c r="P30" s="130" t="inlineStr">
        <is>
          <t>1) 최종 R/O 이행방안 수립 적정성을 확인하였는가? 2) 최종 R/O 이행계획서 산출물을 확보하였는가?</t>
        </is>
      </c>
      <c r="Q30" s="131" t="inlineStr">
        <is>
          <t>👉 [더블클릭] 체크리스트 열기 📄</t>
        </is>
      </c>
    </row>
    <row r="31" ht="28" customHeight="1">
      <c r="A31" s="132" t="inlineStr">
        <is>
          <t>9000</t>
        </is>
      </c>
      <c r="B31" s="132" t="inlineStr">
        <is>
          <t>9000-0</t>
        </is>
      </c>
      <c r="C31" s="132" t="inlineStr">
        <is>
          <t>사전준비_지반조사</t>
        </is>
      </c>
      <c r="D31" s="132" t="inlineStr">
        <is>
          <t>9000-0-30</t>
        </is>
      </c>
      <c r="E31" s="133" t="inlineStr">
        <is>
          <t>- ~ -</t>
        </is>
      </c>
      <c r="F31" s="134" t="inlineStr">
        <is>
          <t>외부지질전문가 업무평가</t>
        </is>
      </c>
      <c r="G31" s="135" t="inlineStr">
        <is>
          <t>포스코스마트엔지니어링팀</t>
        </is>
      </c>
      <c r="H31" s="135" t="inlineStr">
        <is>
          <t>현장 공사팀/공무팀</t>
        </is>
      </c>
      <c r="I31" s="136" t="inlineStr">
        <is>
          <t>참여인력 전문성 평가 및 특이사항 기록</t>
        </is>
      </c>
      <c r="J31" s="136" t="inlineStr">
        <is>
          <t>• 외부지질 전문가 업무평가서 작성</t>
        </is>
      </c>
      <c r="K31" s="134" t="inlineStr">
        <is>
          <t>외부지질 전문가 업무평가서</t>
        </is>
      </c>
      <c r="L31" s="136" t="inlineStr">
        <is>
          <t>참여인력 전문성 평가 및 특이사항 기록 | 외부지질 전문가 업무평가서</t>
        </is>
      </c>
      <c r="M31" s="137" t="inlineStr">
        <is>
          <t>👉 [더블클릭] 표준서 열기 📄</t>
        </is>
      </c>
      <c r="N31" s="136" t="inlineStr">
        <is>
          <t>• 외부지질 전문가 업무평가서 작성</t>
        </is>
      </c>
      <c r="O31" s="137" t="inlineStr">
        <is>
          <t>👉 [더블클릭] 수행지침 열기 📄</t>
        </is>
      </c>
      <c r="P31" s="136" t="inlineStr">
        <is>
          <t>1) 외부지질전문가 업무평가 적정성을 확인하였는가? 2) 외부지질 전문가 업무평가서 산출물을 확보하였는가?</t>
        </is>
      </c>
      <c r="Q31" s="137" t="inlineStr">
        <is>
          <t>👉 [더블클릭] 체크리스트 열기 📄</t>
        </is>
      </c>
    </row>
    <row r="32" ht="28" customHeight="1">
      <c r="A32" s="126" t="inlineStr">
        <is>
          <t>9000</t>
        </is>
      </c>
      <c r="B32" s="126" t="inlineStr">
        <is>
          <t>9000-0</t>
        </is>
      </c>
      <c r="C32" s="126" t="inlineStr">
        <is>
          <t>사전준비_지반조사</t>
        </is>
      </c>
      <c r="D32" s="126" t="inlineStr">
        <is>
          <t>9000-0-31</t>
        </is>
      </c>
      <c r="E32" s="127" t="inlineStr">
        <is>
          <t>- ~ -</t>
        </is>
      </c>
      <c r="F32" s="128" t="inlineStr">
        <is>
          <t>조사업체 PM 업무평가</t>
        </is>
      </c>
      <c r="G32" s="129" t="inlineStr">
        <is>
          <t>포스코스마트엔지니어링팀</t>
        </is>
      </c>
      <c r="H32" s="129" t="inlineStr">
        <is>
          <t>현장 공사팀/공무팀</t>
        </is>
      </c>
      <c r="I32" s="130" t="inlineStr">
        <is>
          <t>조사업체 PM 전문성 평가 및 특이사항 기록</t>
        </is>
      </c>
      <c r="J32" s="130" t="inlineStr">
        <is>
          <t>• 지반조사 PM 업무평가서 작성</t>
        </is>
      </c>
      <c r="K32" s="128" t="inlineStr">
        <is>
          <t>PM업무평가서</t>
        </is>
      </c>
      <c r="L32" s="130" t="inlineStr">
        <is>
          <t>조사업체 PM 전문성 평가 및 특이사항 기록 | PM업무평가서</t>
        </is>
      </c>
      <c r="M32" s="131" t="inlineStr">
        <is>
          <t>👉 [더블클릭] 표준서 열기 📄</t>
        </is>
      </c>
      <c r="N32" s="130" t="inlineStr">
        <is>
          <t>• 지반조사 PM 업무평가서 작성</t>
        </is>
      </c>
      <c r="O32" s="131" t="inlineStr">
        <is>
          <t>👉 [더블클릭] 수행지침 열기 📄</t>
        </is>
      </c>
      <c r="P32" s="130" t="inlineStr">
        <is>
          <t>1) 조사업체 PM 업무평가 적정성을 확인하였는가? 2) PM업무평가서 산출물을 확보하였는가?</t>
        </is>
      </c>
      <c r="Q32" s="131" t="inlineStr">
        <is>
          <t>👉 [더블클릭] 체크리스트 열기 📄</t>
        </is>
      </c>
    </row>
    <row r="33" ht="28" customHeight="1">
      <c r="A33" s="132" t="inlineStr">
        <is>
          <t>9000</t>
        </is>
      </c>
      <c r="B33" s="132" t="inlineStr">
        <is>
          <t>9000-0</t>
        </is>
      </c>
      <c r="C33" s="132" t="inlineStr">
        <is>
          <t>사전준비_지반조사</t>
        </is>
      </c>
      <c r="D33" s="132" t="inlineStr">
        <is>
          <t>9000-0-32</t>
        </is>
      </c>
      <c r="E33" s="133" t="inlineStr">
        <is>
          <t>- ~ -</t>
        </is>
      </c>
      <c r="F33" s="134" t="inlineStr">
        <is>
          <t>지반조사업체 업무평가</t>
        </is>
      </c>
      <c r="G33" s="135" t="inlineStr">
        <is>
          <t>현장소장</t>
        </is>
      </c>
      <c r="H33" s="135" t="inlineStr">
        <is>
          <t>현장 공사팀/공무팀</t>
        </is>
      </c>
      <c r="I33" s="136" t="inlineStr">
        <is>
          <t>조사업체 업무평가 및 특이사항 기록</t>
        </is>
      </c>
      <c r="J33" s="136" t="inlineStr">
        <is>
          <t>• 협력업체 업무평가서</t>
        </is>
      </c>
      <c r="K33" s="134" t="inlineStr">
        <is>
          <t>협력업체 업무평가서</t>
        </is>
      </c>
      <c r="L33" s="136" t="inlineStr">
        <is>
          <t>조사업체 업무평가 및 특이사항 기록 | 협력업체 업무평가서</t>
        </is>
      </c>
      <c r="M33" s="137" t="inlineStr">
        <is>
          <t>👉 [더블클릭] 표준서 열기 📄</t>
        </is>
      </c>
      <c r="N33" s="136" t="inlineStr">
        <is>
          <t>• 협력업체 업무평가서</t>
        </is>
      </c>
      <c r="O33" s="137" t="inlineStr">
        <is>
          <t>👉 [더블클릭] 수행지침 열기 📄</t>
        </is>
      </c>
      <c r="P33" s="136" t="inlineStr">
        <is>
          <t>1) 지반조사업체 업무평가 적정성을 확인하였는가? 2) 협력업체 업무평가서 산출물을 확보하였는가?</t>
        </is>
      </c>
      <c r="Q33" s="137" t="inlineStr">
        <is>
          <t>👉 [더블클릭] 체크리스트 열기 📄</t>
        </is>
      </c>
    </row>
    <row r="34" ht="45" customHeight="1">
      <c r="A34" s="126" t="inlineStr">
        <is>
          <t>9000</t>
        </is>
      </c>
      <c r="B34" s="126" t="inlineStr">
        <is>
          <t>9000-0</t>
        </is>
      </c>
      <c r="C34" s="126" t="inlineStr">
        <is>
          <t>사전준비_지반조사</t>
        </is>
      </c>
      <c r="D34" s="126" t="inlineStr">
        <is>
          <t>9000-0-33</t>
        </is>
      </c>
      <c r="E34" s="127" t="inlineStr">
        <is>
          <t>- ~ -</t>
        </is>
      </c>
      <c r="F34" s="128" t="inlineStr">
        <is>
          <t>설계변경 LL 리포트 작성</t>
        </is>
      </c>
      <c r="G34" s="129" t="inlineStr">
        <is>
          <t>현장소장</t>
        </is>
      </c>
      <c r="H34" s="129" t="inlineStr">
        <is>
          <t>현장 공무팀</t>
        </is>
      </c>
      <c r="I34" s="130" t="inlineStr">
        <is>
          <t>설계변경 사항 기록</t>
        </is>
      </c>
      <c r="J34" s="130" t="inlineStr">
        <is>
          <t>• 설계변경 사유 기록관리
• 예상 R/O대비 설계변경 사항 비교 검토</t>
        </is>
      </c>
      <c r="K34" s="128" t="inlineStr">
        <is>
          <t>LL리포트</t>
        </is>
      </c>
      <c r="L34" s="130" t="inlineStr">
        <is>
          <t>설계변경 사항 기록 | LL리포트</t>
        </is>
      </c>
      <c r="M34" s="131" t="inlineStr">
        <is>
          <t>👉 [더블클릭] 표준서 열기 📄</t>
        </is>
      </c>
      <c r="N34" s="130" t="inlineStr">
        <is>
          <t>• 설계변경 사유 기록관리 • 예상 R/O대비 설계변경 사항 비교 검토</t>
        </is>
      </c>
      <c r="O34" s="131" t="inlineStr">
        <is>
          <t>👉 [더블클릭] 수행지침 열기 📄</t>
        </is>
      </c>
      <c r="P34" s="130" t="inlineStr">
        <is>
          <t>1) 설계변경 LL 리포트 작성 적정성을 확인하였는가? 2) LL리포트 산출물을 확보하였는가?</t>
        </is>
      </c>
      <c r="Q34" s="131" t="inlineStr">
        <is>
          <t>👉 [더블클릭] 체크리스트 열기 📄</t>
        </is>
      </c>
    </row>
    <row r="35" ht="28" customHeight="1">
      <c r="A35" s="132" t="inlineStr">
        <is>
          <t>9000</t>
        </is>
      </c>
      <c r="B35" s="132" t="inlineStr">
        <is>
          <t>9000-0</t>
        </is>
      </c>
      <c r="C35" s="132" t="inlineStr">
        <is>
          <t>사전준비_지반조사</t>
        </is>
      </c>
      <c r="D35" s="132" t="inlineStr">
        <is>
          <t>9000-0-34</t>
        </is>
      </c>
      <c r="E35" s="133" t="inlineStr">
        <is>
          <t>- ~ -</t>
        </is>
      </c>
      <c r="F35" s="134" t="inlineStr">
        <is>
          <t>설계변경 LL 리포트 관리</t>
        </is>
      </c>
      <c r="G35" s="135" t="inlineStr">
        <is>
          <t>토목수행팀</t>
        </is>
      </c>
      <c r="H35" s="135" t="inlineStr">
        <is>
          <t>현장소장</t>
        </is>
      </c>
      <c r="I35" s="136" t="inlineStr">
        <is>
          <t>전체 현장 설계변경 사항 기록</t>
        </is>
      </c>
      <c r="J35" s="136" t="inlineStr">
        <is>
          <t>• 현장별 설계변경 LL 리포트 취합 관리</t>
        </is>
      </c>
      <c r="K35" s="134" t="inlineStr">
        <is>
          <t>LL리포트 List</t>
        </is>
      </c>
      <c r="L35" s="136" t="inlineStr">
        <is>
          <t>전체 현장 설계변경 사항 기록 | LL리포트 List</t>
        </is>
      </c>
      <c r="M35" s="137" t="inlineStr">
        <is>
          <t>👉 [더블클릭] 표준서 열기 📄</t>
        </is>
      </c>
      <c r="N35" s="136" t="inlineStr">
        <is>
          <t>• 현장별 설계변경 LL 리포트 취합 관리</t>
        </is>
      </c>
      <c r="O35" s="137" t="inlineStr">
        <is>
          <t>👉 [더블클릭] 수행지침 열기 📄</t>
        </is>
      </c>
      <c r="P35" s="136" t="inlineStr">
        <is>
          <t>1) 설계변경 LL 리포트 관리 적정성을 확인하였는가? 2) LL리포트 List 산출물을 확보하였는가?</t>
        </is>
      </c>
      <c r="Q35" s="137" t="inlineStr">
        <is>
          <t>👉 [더블클릭] 체크리스트 열기 📄</t>
        </is>
      </c>
    </row>
    <row r="36" ht="45" customHeight="1">
      <c r="A36" s="126" t="inlineStr">
        <is>
          <t>9000</t>
        </is>
      </c>
      <c r="B36" s="126" t="inlineStr">
        <is>
          <t>9000-0</t>
        </is>
      </c>
      <c r="C36" s="126" t="inlineStr">
        <is>
          <t>사전준비_지반조사</t>
        </is>
      </c>
      <c r="D36" s="126" t="inlineStr">
        <is>
          <t>9000-0-35</t>
        </is>
      </c>
      <c r="E36" s="127" t="inlineStr">
        <is>
          <t>- ~ -</t>
        </is>
      </c>
      <c r="F36" s="128" t="inlineStr">
        <is>
          <t>지반조사업체 정산계약</t>
        </is>
      </c>
      <c r="G36" s="129" t="inlineStr">
        <is>
          <t>일반구매팀</t>
        </is>
      </c>
      <c r="H36" s="129" t="inlineStr">
        <is>
          <t>현장 공무팀</t>
        </is>
      </c>
      <c r="I36" s="130" t="inlineStr">
        <is>
          <t>지반조사업체 정산</t>
        </is>
      </c>
      <c r="J36" s="130" t="inlineStr">
        <is>
          <t>• 조사도 수량 Check 후 구매시스템 변경계약 수행
• 변경계약 후 정산금 집행</t>
        </is>
      </c>
      <c r="K36" s="128" t="inlineStr">
        <is>
          <t>정산계약서</t>
        </is>
      </c>
      <c r="L36" s="130" t="inlineStr">
        <is>
          <t>지반조사업체 정산 | 정산계약서</t>
        </is>
      </c>
      <c r="M36" s="131" t="inlineStr">
        <is>
          <t>👉 [더블클릭] 표준서 열기 📄</t>
        </is>
      </c>
      <c r="N36" s="130" t="inlineStr">
        <is>
          <t>• 조사도 수량 Check 후 구매시스템 변경계약 수행 • 변경계약 후 정산금 집행</t>
        </is>
      </c>
      <c r="O36" s="131" t="inlineStr">
        <is>
          <t>👉 [더블클릭] 수행지침 열기 📄</t>
        </is>
      </c>
      <c r="P36" s="130" t="inlineStr">
        <is>
          <t>1) 지반조사업체 정산계약 적정성을 확인하였는가? 2) 정산계약서 산출물을 확보하였는가?</t>
        </is>
      </c>
      <c r="Q36" s="131" t="inlineStr">
        <is>
          <t>👉 [더블클릭] 체크리스트 열기 📄</t>
        </is>
      </c>
    </row>
    <row r="37" ht="28" customHeight="1">
      <c r="A37" s="132" t="inlineStr">
        <is>
          <t>9000</t>
        </is>
      </c>
      <c r="B37" s="132" t="inlineStr">
        <is>
          <t>9000-0</t>
        </is>
      </c>
      <c r="C37" s="132" t="inlineStr">
        <is>
          <t>사전준비_지반조사</t>
        </is>
      </c>
      <c r="D37" s="132" t="inlineStr">
        <is>
          <t>9000-0-36</t>
        </is>
      </c>
      <c r="E37" s="133" t="inlineStr">
        <is>
          <t>- ~ -</t>
        </is>
      </c>
      <c r="F37" s="134" t="inlineStr">
        <is>
          <t>매뉴얼 Update</t>
        </is>
      </c>
      <c r="G37" s="135" t="inlineStr">
        <is>
          <t>혁신실장</t>
        </is>
      </c>
      <c r="H37" s="135" t="inlineStr">
        <is>
          <t>현장 공무팀</t>
        </is>
      </c>
      <c r="I37" s="136" t="inlineStr">
        <is>
          <t>지반조사 매뉴얼 Update</t>
        </is>
      </c>
      <c r="J37" s="136" t="inlineStr">
        <is>
          <t>• 매뉴얼 Update 및 개정사항 사내공지</t>
        </is>
      </c>
      <c r="K37" s="134" t="inlineStr">
        <is>
          <t>지반조사 매뉴얼</t>
        </is>
      </c>
      <c r="L37" s="136" t="inlineStr">
        <is>
          <t>지반조사 매뉴얼 Update | 지반조사 매뉴얼</t>
        </is>
      </c>
      <c r="M37" s="137" t="inlineStr">
        <is>
          <t>👉 [더블클릭] 표준서 열기 📄</t>
        </is>
      </c>
      <c r="N37" s="136" t="inlineStr">
        <is>
          <t>• 매뉴얼 Update 및 개정사항 사내공지</t>
        </is>
      </c>
      <c r="O37" s="137" t="inlineStr">
        <is>
          <t>👉 [더블클릭] 수행지침 열기 📄</t>
        </is>
      </c>
      <c r="P37" s="136" t="inlineStr">
        <is>
          <t>1) 매뉴얼 Update 적정성을 확인하였는가? 2) 지반조사 매뉴얼 산출물을 확보하였는가?</t>
        </is>
      </c>
      <c r="Q37" s="137" t="inlineStr">
        <is>
          <t>👉 [더블클릭] 체크리스트 열기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cols>
    <col width="6" customWidth="1" min="1" max="1"/>
    <col width="26" customWidth="1" min="2" max="2"/>
    <col width="12" customWidth="1" min="3" max="3"/>
    <col width="12" customWidth="1" min="4" max="4"/>
    <col width="32" customWidth="1" min="5" max="5"/>
    <col width="55" customWidth="1" min="6" max="6"/>
    <col width="24" customWidth="1" min="7" max="7"/>
    <col width="26" customWidth="1" min="8" max="8"/>
    <col width="30" customWidth="1" min="9" max="9"/>
    <col width="10" customWidth="1" min="10" max="10"/>
    <col width="10" customWidth="1" min="11" max="11"/>
  </cols>
  <sheetData>
    <row r="1" ht="28" customHeight="1">
      <c r="A1" s="144" t="inlineStr">
        <is>
          <t>■ 매뉴얼_공통_사전준비_지반조사(기술형)</t>
        </is>
      </c>
      <c r="B1" s="145" t="n"/>
      <c r="C1" s="145" t="n"/>
    </row>
    <row r="2">
      <c r="A2" s="146" t="inlineStr">
        <is>
          <t>No.</t>
        </is>
      </c>
      <c r="B2" s="147" t="inlineStr">
        <is>
          <t>Process</t>
        </is>
      </c>
      <c r="C2" s="147" t="inlineStr">
        <is>
          <t>시점(When)</t>
        </is>
      </c>
      <c r="D2" s="124" t="n"/>
      <c r="E2" s="146" t="inlineStr">
        <is>
          <t>목적(Why)</t>
        </is>
      </c>
      <c r="F2" s="146" t="inlineStr">
        <is>
          <t>Activity
방법(How)</t>
        </is>
      </c>
      <c r="G2" s="146" t="inlineStr">
        <is>
          <t>주관부서(Who)</t>
        </is>
      </c>
      <c r="H2" s="146" t="inlineStr">
        <is>
          <t>협업부서</t>
        </is>
      </c>
      <c r="I2" s="146" t="inlineStr">
        <is>
          <t>산출물(What)</t>
        </is>
      </c>
      <c r="J2" s="146" t="inlineStr">
        <is>
          <t>수행지침</t>
        </is>
      </c>
      <c r="K2" s="146" t="inlineStr">
        <is>
          <t>표준서</t>
        </is>
      </c>
    </row>
    <row r="3">
      <c r="B3" s="145" t="n"/>
      <c r="C3" s="148" t="inlineStr">
        <is>
          <t>Start</t>
        </is>
      </c>
      <c r="D3" s="148" t="inlineStr">
        <is>
          <t>Finish</t>
        </is>
      </c>
    </row>
    <row r="4" ht="20" customHeight="1">
      <c r="A4" s="149" t="inlineStr">
        <is>
          <t>공통_사전준비_지반조사(기술형)</t>
        </is>
      </c>
      <c r="B4" s="150" t="n"/>
      <c r="C4" s="150" t="n"/>
      <c r="D4" s="150" t="n"/>
      <c r="E4" s="150" t="n"/>
      <c r="F4" s="150" t="n"/>
      <c r="G4" s="150" t="n"/>
      <c r="H4" s="150" t="n"/>
      <c r="I4" s="150" t="n"/>
      <c r="J4" s="150" t="n"/>
      <c r="K4" s="150" t="n"/>
    </row>
    <row r="5" ht="42" customHeight="1">
      <c r="A5" s="126" t="inlineStr"/>
      <c r="B5" s="151" t="inlineStr">
        <is>
          <t>발주처 계획 입수(비공식)</t>
        </is>
      </c>
      <c r="C5" s="152" t="inlineStr">
        <is>
          <t>사전영업</t>
        </is>
      </c>
      <c r="D5" s="127" t="inlineStr"/>
      <c r="E5" s="130" t="inlineStr">
        <is>
          <t>발주처 기본계획 사전 검토</t>
        </is>
      </c>
      <c r="F5" s="130" t="inlineStr">
        <is>
          <t>• 조사설계 용역 기본계획 도서 확보 여부 확인
• 핵심이슈 (미시추 사유, 지층/암반등급 조정여부 등) 확보 여부 확인
• 사업지 연접 지질/지반조사 자료 확보 여부 확인</t>
        </is>
      </c>
      <c r="G5" s="129" t="inlineStr">
        <is>
          <t>토목사업팀</t>
        </is>
      </c>
      <c r="H5" s="129" t="inlineStr">
        <is>
          <t>지반조사업체, 외부지질전문가 3인이상</t>
        </is>
      </c>
      <c r="I5" s="153" t="inlineStr">
        <is>
          <t>발주처 기본계획 보고서</t>
        </is>
      </c>
      <c r="J5" s="126" t="inlineStr"/>
      <c r="K5" s="126" t="inlineStr"/>
    </row>
    <row r="6" ht="42" customHeight="1">
      <c r="A6" s="126" t="inlineStr"/>
      <c r="B6" s="151" t="inlineStr">
        <is>
          <t>관심프로젝트 선정</t>
        </is>
      </c>
      <c r="C6" s="152" t="inlineStr">
        <is>
          <t>사전영업</t>
        </is>
      </c>
      <c r="D6" s="127" t="inlineStr"/>
      <c r="E6" s="130" t="inlineStr">
        <is>
          <t>입수된 발주정보 평가를 통한 관심 Project 선정</t>
        </is>
      </c>
      <c r="F6" s="130" t="inlineStr">
        <is>
          <t>• 해당 프로젝트별 발주처/경쟁동향 / 사업성평가 수행
• 기술형입찰 입찰참여 Guide Line으로 해당 프로젝트 평가</t>
        </is>
      </c>
      <c r="G6" s="129" t="inlineStr">
        <is>
          <t>토목사업팀</t>
        </is>
      </c>
      <c r="H6" s="129" t="inlineStr">
        <is>
          <t>포스코스마트엔지니어링팀</t>
        </is>
      </c>
      <c r="I6" s="153" t="inlineStr">
        <is>
          <t>관심사업 List</t>
        </is>
      </c>
      <c r="J6" s="126" t="inlineStr"/>
      <c r="K6" s="126" t="inlineStr"/>
    </row>
    <row r="7" ht="42" customHeight="1">
      <c r="A7" s="126" t="inlineStr">
        <is>
          <t>1</t>
        </is>
      </c>
      <c r="B7" s="151" t="inlineStr">
        <is>
          <t>발주처 지반조사 모니터링</t>
        </is>
      </c>
      <c r="C7" s="152" t="inlineStr">
        <is>
          <t>사전영업</t>
        </is>
      </c>
      <c r="D7" s="127" t="inlineStr"/>
      <c r="E7" s="130" t="inlineStr">
        <is>
          <t>발주처 지반조사 수립업체 파악</t>
        </is>
      </c>
      <c r="F7" s="130" t="inlineStr">
        <is>
          <t>• 발주처 지반조사업체 확인 후 당사 Pool List와 비교
• 발주처 지반조사 업체 확인팀 Contact Point 확보</t>
        </is>
      </c>
      <c r="G7" s="129" t="inlineStr">
        <is>
          <t>포스코스마트엔지니어링팀</t>
        </is>
      </c>
      <c r="H7" s="129" t="inlineStr">
        <is>
          <t>토목사업팀</t>
        </is>
      </c>
      <c r="I7" s="153" t="inlineStr">
        <is>
          <t>발주처 기본계획 수행 List + Contact Point List</t>
        </is>
      </c>
      <c r="J7" s="126" t="inlineStr"/>
      <c r="K7" s="126" t="inlineStr"/>
    </row>
    <row r="8" ht="42" customHeight="1">
      <c r="A8" s="126" t="inlineStr">
        <is>
          <t>2</t>
        </is>
      </c>
      <c r="B8" s="151" t="inlineStr">
        <is>
          <t>외부 지질전문가 Pool 관리</t>
        </is>
      </c>
      <c r="C8" s="152" t="inlineStr">
        <is>
          <t>매년 1분기</t>
        </is>
      </c>
      <c r="D8" s="127" t="inlineStr"/>
      <c r="E8" s="130" t="inlineStr">
        <is>
          <t>지반조사 품질향상을 위한 제3자 검증 수행 지반조사 전문가 Pool 관리</t>
        </is>
      </c>
      <c r="F8" s="130" t="inlineStr">
        <is>
          <t>• Academic 전문가와 현장 전문가를 포함한 Pool 구성
• 전문가 Pool의 학력/기술사 등 경력사항(조사 15년) 확인</t>
        </is>
      </c>
      <c r="G8" s="129" t="inlineStr">
        <is>
          <t>포스코스마트엔지니어링팀</t>
        </is>
      </c>
      <c r="H8" s="129" t="inlineStr">
        <is>
          <t>-</t>
        </is>
      </c>
      <c r="I8" s="153" t="inlineStr">
        <is>
          <t>외부지질전문가 Pool List</t>
        </is>
      </c>
      <c r="J8" s="126" t="inlineStr"/>
      <c r="K8" s="126" t="inlineStr"/>
    </row>
    <row r="9" ht="42" customHeight="1">
      <c r="A9" s="126" t="inlineStr">
        <is>
          <t>3</t>
        </is>
      </c>
      <c r="B9" s="151" t="inlineStr">
        <is>
          <t>지반조사 Pool 관리</t>
        </is>
      </c>
      <c r="C9" s="152" t="inlineStr">
        <is>
          <t>매년 1분기</t>
        </is>
      </c>
      <c r="D9" s="127" t="inlineStr"/>
      <c r="E9" s="130" t="inlineStr">
        <is>
          <t>발주처 계획 대응 및 개략 지반조사 결과 사전 예측을 위한 업체 관리</t>
        </is>
      </c>
      <c r="F9" s="130" t="inlineStr">
        <is>
          <t>• 공공기관별 입찰공고 모니터링 통한 지반조사업체 입찰참여 유치(입찰 공사 여부 확인)
• 업체 Pool List 갱신 여부 확인
• 지반조사업체 역량 및 기술수준 평가표 평가 여부 확인 (Pool 갱신 및 신규업체 등록)
• 조사업체 강점, 장비보유 확인
• 조사업체 Network 확보 여부 확인</t>
        </is>
      </c>
      <c r="G9" s="129" t="inlineStr">
        <is>
          <t>외주구매팀</t>
        </is>
      </c>
      <c r="H9" s="129" t="inlineStr">
        <is>
          <t>포스코스마트엔지니어링팀</t>
        </is>
      </c>
      <c r="I9" s="153" t="inlineStr">
        <is>
          <t>조사업체 POOL/필요시 Update</t>
        </is>
      </c>
      <c r="J9" s="126" t="inlineStr"/>
      <c r="K9" s="126" t="inlineStr"/>
    </row>
    <row r="10" ht="26" customHeight="1">
      <c r="A10" s="126" t="inlineStr"/>
      <c r="B10" s="151" t="inlineStr">
        <is>
          <t>기본계획 지반조사 자료 및 R/O 정보 입수</t>
        </is>
      </c>
      <c r="C10" s="152" t="inlineStr">
        <is>
          <t>D-210</t>
        </is>
      </c>
      <c r="D10" s="127" t="inlineStr">
        <is>
          <t>D-180</t>
        </is>
      </c>
      <c r="E10" s="130" t="inlineStr">
        <is>
          <t>발주처 기본계획 및 지반조사 결과 사전 획득</t>
        </is>
      </c>
      <c r="F10" s="130" t="inlineStr">
        <is>
          <t>• 기본계획 지반조사결과 및 실시설계 Contact을 통한 자료입수</t>
        </is>
      </c>
      <c r="G10" s="129" t="inlineStr">
        <is>
          <t>지반조사 협력업체</t>
        </is>
      </c>
      <c r="H10" s="129" t="inlineStr">
        <is>
          <t>설계 협력업체</t>
        </is>
      </c>
      <c r="I10" s="153" t="inlineStr">
        <is>
          <t>발주처 기본계획 보고서 및 지반조사 보고서(비공식)</t>
        </is>
      </c>
      <c r="J10" s="126" t="inlineStr"/>
      <c r="K10" s="126" t="inlineStr"/>
    </row>
    <row r="11" ht="42" customHeight="1">
      <c r="A11" s="126" t="inlineStr"/>
      <c r="B11" s="151" t="inlineStr">
        <is>
          <t>기본계획 지반조사 R/O 검토 (설계, 공정, 기획)</t>
        </is>
      </c>
      <c r="C11" s="152" t="inlineStr">
        <is>
          <t>D-180</t>
        </is>
      </c>
      <c r="D11" s="127" t="inlineStr">
        <is>
          <t>D-165</t>
        </is>
      </c>
      <c r="E11" s="130" t="inlineStr">
        <is>
          <t>발주처 기본계획 지반조사 문제점 검토</t>
        </is>
      </c>
      <c r="F11" s="130" t="inlineStr">
        <is>
          <t>• 시추조사 위치, 수량 적정성 검토
• 지질이상 구간 상세 조사 여부 및 적정성 검토 확인
• 미시추 구간 지반 특성 적정성 검토확인 (측점 검토, 위치 및 물량검토)
• 인근 사업 지반조사자료 비교 통해 당사 지반특성 분석 결과 Cross-check 확인</t>
        </is>
      </c>
      <c r="G11" s="129" t="inlineStr">
        <is>
          <t>포스코스마트엔지니어링팀(설계), 토목수행팀(공정), 토목사업지원팀(기획)</t>
        </is>
      </c>
      <c r="H11" s="129" t="inlineStr">
        <is>
          <t>토목견적팀</t>
        </is>
      </c>
      <c r="I11" s="153" t="inlineStr">
        <is>
          <t>기본계획 지반조사 검토서(설계, 공정, 기획)</t>
        </is>
      </c>
      <c r="J11" s="126" t="inlineStr"/>
      <c r="K11" s="126" t="inlineStr"/>
    </row>
    <row r="12" ht="26" customHeight="1">
      <c r="A12" s="126" t="inlineStr">
        <is>
          <t>4</t>
        </is>
      </c>
      <c r="B12" s="128" t="inlineStr">
        <is>
          <t>기본계획 지반조사 R/O 종합검토 (원가)</t>
        </is>
      </c>
      <c r="C12" s="127" t="inlineStr">
        <is>
          <t>D-165</t>
        </is>
      </c>
      <c r="D12" s="127" t="inlineStr">
        <is>
          <t>D-150</t>
        </is>
      </c>
      <c r="E12" s="130" t="inlineStr">
        <is>
          <t>발주처 지반조사 문제점 R/O 분석</t>
        </is>
      </c>
      <c r="F12" s="130" t="inlineStr">
        <is>
          <t>• 발주처 기본계획 지반조사 R/O별 Cost effect 분석</t>
        </is>
      </c>
      <c r="G12" s="129" t="inlineStr">
        <is>
          <t>토목견적팀</t>
        </is>
      </c>
      <c r="H12" s="129" t="inlineStr">
        <is>
          <t>포스코스마트엔지니어링팀(설계), 토목수행팀(공정), 토목사업지원팀(기획)</t>
        </is>
      </c>
      <c r="I12" s="153" t="inlineStr">
        <is>
          <t>기본계획 지반조사 개략 검토서</t>
        </is>
      </c>
      <c r="J12" s="126" t="inlineStr"/>
      <c r="K12" s="126" t="inlineStr"/>
    </row>
    <row r="13" ht="26" customHeight="1">
      <c r="A13" s="126" t="inlineStr">
        <is>
          <t>5</t>
        </is>
      </c>
      <c r="B13" s="128" t="inlineStr">
        <is>
          <t>지반조사 업체 선정</t>
        </is>
      </c>
      <c r="C13" s="127" t="inlineStr">
        <is>
          <t>D-150</t>
        </is>
      </c>
      <c r="D13" s="127" t="inlineStr">
        <is>
          <t>D-135</t>
        </is>
      </c>
      <c r="E13" s="130" t="inlineStr">
        <is>
          <t>지반조사업체 Pool 내 최적의 업체 선정</t>
        </is>
      </c>
      <c r="F13" s="130" t="inlineStr">
        <is>
          <t>• 지반조사업체 Pool/실적 검토 및 공종별 적합성 정합 및 견적 본부 연계 검토</t>
        </is>
      </c>
      <c r="G13" s="129" t="inlineStr">
        <is>
          <t>일반구매팀</t>
        </is>
      </c>
      <c r="H13" s="129" t="inlineStr">
        <is>
          <t>포스코스마트엔지니어링팀</t>
        </is>
      </c>
      <c r="I13" s="153" t="inlineStr">
        <is>
          <t>지반조사 입찰 참여 Pool</t>
        </is>
      </c>
      <c r="J13" s="126" t="inlineStr"/>
      <c r="K13" s="126" t="inlineStr"/>
    </row>
    <row r="14" ht="26" customHeight="1">
      <c r="A14" s="126" t="inlineStr"/>
      <c r="B14" s="128" t="inlineStr">
        <is>
          <t>지반조사 업체 계약</t>
        </is>
      </c>
      <c r="C14" s="127" t="inlineStr">
        <is>
          <t>D-135</t>
        </is>
      </c>
      <c r="D14" s="127" t="inlineStr">
        <is>
          <t>D-120</t>
        </is>
      </c>
      <c r="E14" s="130" t="inlineStr">
        <is>
          <t>지반조사업체 용역 계약</t>
        </is>
      </c>
      <c r="F14" s="130" t="inlineStr">
        <is>
          <t>• 일반구매시스템을 이용한 용역계약</t>
        </is>
      </c>
      <c r="G14" s="129" t="inlineStr">
        <is>
          <t>일반구매팀</t>
        </is>
      </c>
      <c r="H14" s="129" t="inlineStr">
        <is>
          <t>포스코스마트엔지니어링팀</t>
        </is>
      </c>
      <c r="I14" s="153" t="inlineStr">
        <is>
          <t>지반조사 용역 계약서</t>
        </is>
      </c>
      <c r="J14" s="126" t="inlineStr"/>
      <c r="K14" s="126" t="inlineStr"/>
    </row>
    <row r="15" ht="42" customHeight="1">
      <c r="A15" s="126" t="inlineStr">
        <is>
          <t>6</t>
        </is>
      </c>
      <c r="B15" s="128" t="inlineStr">
        <is>
          <t>지반조사 항목, 수량 및 위치검토</t>
        </is>
      </c>
      <c r="C15" s="127" t="inlineStr">
        <is>
          <t>D-135</t>
        </is>
      </c>
      <c r="D15" s="127" t="inlineStr">
        <is>
          <t>D-115</t>
        </is>
      </c>
      <c r="E15" s="130" t="inlineStr">
        <is>
          <t>프로젝트 정합에 부합하는 지반조사 항목 사전조사 수행, 위치 선정</t>
        </is>
      </c>
      <c r="F15" s="130" t="inlineStr">
        <is>
          <t>• 현장답사 수행
• 공종별 실시설계에 준하여 수량 및 위치 검토</t>
        </is>
      </c>
      <c r="G15" s="129" t="inlineStr">
        <is>
          <t>포스코스마트엔지니어링팀</t>
        </is>
      </c>
      <c r="H15" s="129" t="inlineStr">
        <is>
          <t>지반조사업체</t>
        </is>
      </c>
      <c r="I15" s="153" t="inlineStr">
        <is>
          <t>지반조사 계획서</t>
        </is>
      </c>
      <c r="J15" s="126" t="inlineStr"/>
      <c r="K15" s="126" t="inlineStr"/>
    </row>
    <row r="16" ht="26" customHeight="1">
      <c r="A16" s="126" t="inlineStr">
        <is>
          <t>7</t>
        </is>
      </c>
      <c r="B16" s="128" t="inlineStr">
        <is>
          <t>지반조사계획 적정성 심사의뢰</t>
        </is>
      </c>
      <c r="C16" s="127" t="inlineStr">
        <is>
          <t>D-115</t>
        </is>
      </c>
      <c r="D16" s="127" t="inlineStr">
        <is>
          <t>D-105</t>
        </is>
      </c>
      <c r="E16" s="130" t="inlineStr">
        <is>
          <t>지반조사 항목, 수량 및 위치 적정성 검토</t>
        </is>
      </c>
      <c r="F16" s="130" t="inlineStr">
        <is>
          <t>• 지반조사 계획서 검토 및 검토</t>
        </is>
      </c>
      <c r="G16" s="129" t="inlineStr">
        <is>
          <t>외부지질전문가 3인 이상</t>
        </is>
      </c>
      <c r="H16" s="129" t="inlineStr">
        <is>
          <t>포스코스마트엔지니어링팀</t>
        </is>
      </c>
      <c r="I16" s="153" t="inlineStr">
        <is>
          <t>지반조사계획 의견서</t>
        </is>
      </c>
      <c r="J16" s="126" t="inlineStr"/>
      <c r="K16" s="126" t="inlineStr"/>
    </row>
    <row r="17" ht="42" customHeight="1">
      <c r="A17" s="126" t="inlineStr"/>
      <c r="B17" s="128" t="inlineStr">
        <is>
          <t>지반조사 인허가</t>
        </is>
      </c>
      <c r="C17" s="127" t="inlineStr">
        <is>
          <t>D-135</t>
        </is>
      </c>
      <c r="D17" s="127" t="inlineStr">
        <is>
          <t>D-100</t>
        </is>
      </c>
      <c r="E17" s="130" t="inlineStr">
        <is>
          <t>지반조사 수행을 위한 인허가 승인</t>
        </is>
      </c>
      <c r="F17" s="130" t="inlineStr">
        <is>
          <t>• 산지일시사용 신고(사업계획서, 지형도, 산지일시사용예정실측도, 복구계획서, 복지봉투)
• 굴착행위 신고(굴착행위신고서, 위치 또는 평면도, 원상복구계획서, 토지사용 승낙서)
• 하천점용 허가(위치도, 이해관계인 동의서, 수리계산서, 하천점용등, 사업자등록증)</t>
        </is>
      </c>
      <c r="G17" s="129" t="inlineStr">
        <is>
          <t>지반조사업체</t>
        </is>
      </c>
      <c r="H17" s="129" t="inlineStr">
        <is>
          <t>포스코스마트엔지니어링팀</t>
        </is>
      </c>
      <c r="I17" s="153" t="inlineStr">
        <is>
          <t>인허가 서류</t>
        </is>
      </c>
      <c r="J17" s="126" t="inlineStr"/>
      <c r="K17" s="126" t="inlineStr"/>
    </row>
    <row r="18" ht="42" customHeight="1">
      <c r="A18" s="126" t="inlineStr"/>
      <c r="B18" s="128" t="inlineStr">
        <is>
          <t>지반조사 항목, 수량 및 위치 보완</t>
        </is>
      </c>
      <c r="C18" s="127" t="inlineStr">
        <is>
          <t>D-105</t>
        </is>
      </c>
      <c r="D18" s="127" t="inlineStr">
        <is>
          <t>D-100</t>
        </is>
      </c>
      <c r="E18" s="130" t="inlineStr">
        <is>
          <t>외부지질전문가 의견을 반영한 지반조사 계획 확정</t>
        </is>
      </c>
      <c r="F18" s="130" t="inlineStr">
        <is>
          <t>• 외부지질전문가 지반조사 의견 검토
• 입찰설계 지반조사 계획 보완</t>
        </is>
      </c>
      <c r="G18" s="129" t="inlineStr">
        <is>
          <t>포스코스마트엔지니어링팀</t>
        </is>
      </c>
      <c r="H18" s="129" t="inlineStr">
        <is>
          <t>외부지질전문가 3인 이상, 지반조사업체</t>
        </is>
      </c>
      <c r="I18" s="153" t="inlineStr">
        <is>
          <t>지반조사 용역 계약서</t>
        </is>
      </c>
      <c r="J18" s="126" t="inlineStr"/>
      <c r="K18" s="126" t="inlineStr"/>
    </row>
    <row r="19" ht="42" customHeight="1">
      <c r="A19" s="126" t="inlineStr">
        <is>
          <t>8</t>
        </is>
      </c>
      <c r="B19" s="128" t="inlineStr">
        <is>
          <t>지반조사 수행</t>
        </is>
      </c>
      <c r="C19" s="127" t="inlineStr">
        <is>
          <t>D-100</t>
        </is>
      </c>
      <c r="D19" s="127" t="inlineStr">
        <is>
          <t>D-50</t>
        </is>
      </c>
      <c r="E19" s="130" t="inlineStr">
        <is>
          <t>과업구간 지반여건 상세 파악</t>
        </is>
      </c>
      <c r="F19" s="130" t="inlineStr">
        <is>
          <t>• 물리탐사 수행(전기 비저항, 탄성파탐사 등)
• 시추조사 및 현장 시험 수행(공내재하시험, 실내전단시험 등)
• 실내시험 수행(요동시험, 입도시험 등)</t>
        </is>
      </c>
      <c r="G19" s="129" t="inlineStr">
        <is>
          <t>지반조사업체</t>
        </is>
      </c>
      <c r="H19" s="129" t="inlineStr">
        <is>
          <t>포스코스마트엔지니어링팀</t>
        </is>
      </c>
      <c r="I19" s="153" t="inlineStr">
        <is>
          <t>지반조사 보고서, 시추 Core 및 샘플</t>
        </is>
      </c>
      <c r="J19" s="126" t="inlineStr"/>
      <c r="K19" s="126" t="inlineStr"/>
    </row>
    <row r="20" ht="42" customHeight="1">
      <c r="A20" s="126" t="inlineStr">
        <is>
          <t>9</t>
        </is>
      </c>
      <c r="B20" s="128" t="inlineStr">
        <is>
          <t>지반조사 수렴 결과 분석</t>
        </is>
      </c>
      <c r="C20" s="127" t="inlineStr">
        <is>
          <t>D-50</t>
        </is>
      </c>
      <c r="D20" s="127" t="inlineStr">
        <is>
          <t>D-40</t>
        </is>
      </c>
      <c r="E20" s="130" t="inlineStr">
        <is>
          <t>지반조사 결과 오류 및 지반정수의 적합성 검토</t>
        </is>
      </c>
      <c r="F20" s="130" t="inlineStr">
        <is>
          <t>• 입찰설계 지반조사 보고서 검토
• 시추조사 위치 및 심도의 적정성 검토
• 실내시험 결과 등급 적정성 검토
• 실시설계시 추가지반조사 필요구간 검토</t>
        </is>
      </c>
      <c r="G20" s="129" t="inlineStr">
        <is>
          <t>외부지질전문가 3인 이상</t>
        </is>
      </c>
      <c r="H20" s="129" t="inlineStr">
        <is>
          <t>포스코스마트엔지니어링팀, 지반조사업체</t>
        </is>
      </c>
      <c r="I20" s="153" t="inlineStr">
        <is>
          <t>지반조사 결과 분석 의견서</t>
        </is>
      </c>
      <c r="J20" s="126" t="inlineStr"/>
      <c r="K20" s="126" t="inlineStr"/>
    </row>
    <row r="21" ht="42" customHeight="1">
      <c r="A21" s="126" t="inlineStr"/>
      <c r="B21" s="128" t="inlineStr">
        <is>
          <t>입찰설계 지반조사 R/O 검토 (설계, 원가, 공정, 기타)</t>
        </is>
      </c>
      <c r="C21" s="127" t="inlineStr">
        <is>
          <t>D-40</t>
        </is>
      </c>
      <c r="D21" s="127" t="inlineStr">
        <is>
          <t>D-30</t>
        </is>
      </c>
      <c r="E21" s="130" t="inlineStr">
        <is>
          <t>입찰설계 지반조사 결과에 따른 직분야 R/O 및 Cost impact 반영 사항 검토</t>
        </is>
      </c>
      <c r="F21" s="130" t="inlineStr">
        <is>
          <t>• 입찰설계 지반조사 결과 분석을 통한 원가 및 공정 영향 검토
• 미시추 구간 평가 및 공정 Risk 반영 사항 검토
• 지반조건을 고려한 발파공법성 여부 검토</t>
        </is>
      </c>
      <c r="G21" s="129" t="inlineStr">
        <is>
          <t>토목견적팀(원가), 토목수행팀(공정), 토목사업지원팀(기획)</t>
        </is>
      </c>
      <c r="H21" s="129" t="inlineStr">
        <is>
          <t>포스코스마트엔지니어링팀</t>
        </is>
      </c>
      <c r="I21" s="153" t="inlineStr">
        <is>
          <t>입찰설계 지반조사 검토서(설계, 원가, 공정, 기타)</t>
        </is>
      </c>
      <c r="J21" s="126" t="inlineStr"/>
      <c r="K21" s="126" t="inlineStr"/>
    </row>
    <row r="22" ht="42" customHeight="1">
      <c r="A22" s="126" t="inlineStr">
        <is>
          <t>10</t>
        </is>
      </c>
      <c r="B22" s="128" t="inlineStr">
        <is>
          <t>지반조사 결과 R/O 종합검토</t>
        </is>
      </c>
      <c r="C22" s="127" t="inlineStr">
        <is>
          <t>D-40</t>
        </is>
      </c>
      <c r="D22" s="127" t="inlineStr">
        <is>
          <t>D-30</t>
        </is>
      </c>
      <c r="E22" s="130" t="inlineStr">
        <is>
          <t>원가 및 공정 검토 결과에 따른 입찰설계 R/O 최종 확정</t>
        </is>
      </c>
      <c r="F22" s="130" t="inlineStr">
        <is>
          <t>• 입찰설계 지반조사 R/O별 Cost effect 분석
• 유사사업 L/L 분석, R/P 검토를 통한 실시설계시 고려사항 검토</t>
        </is>
      </c>
      <c r="G22" s="129" t="inlineStr">
        <is>
          <t>포스코스마트엔지니어링팀</t>
        </is>
      </c>
      <c r="H22" s="129" t="inlineStr">
        <is>
          <t>토목견적팀(원가), 토목수행팀(공정), 토목사업지원팀(기획)</t>
        </is>
      </c>
      <c r="I22" s="153" t="inlineStr">
        <is>
          <t>입찰설계 R/O 검토서</t>
        </is>
      </c>
      <c r="J22" s="126" t="inlineStr"/>
      <c r="K22" s="126" t="inlineStr"/>
    </row>
    <row r="23" ht="42" customHeight="1">
      <c r="A23" s="126" t="inlineStr"/>
      <c r="B23" s="128" t="inlineStr">
        <is>
          <t>REM 수립</t>
        </is>
      </c>
      <c r="C23" s="127" t="inlineStr">
        <is>
          <t>D-30</t>
        </is>
      </c>
      <c r="D23" s="127" t="inlineStr">
        <is>
          <t>D-20</t>
        </is>
      </c>
      <c r="E23" s="130" t="inlineStr">
        <is>
          <t>REM 차트 작성(회사의 Core Risk, T/C 공정검토 결과, 경쟁사 동향, 발주 경향) 및 보고</t>
        </is>
      </c>
      <c r="F23" s="130" t="inlineStr">
        <is>
          <t>• Risk Profiling/Merge 방안 검토
• 공정 착공성 검토 및 T/C 검토
• 설계차별화 및 Idea Frame 검토</t>
        </is>
      </c>
      <c r="G23" s="129" t="inlineStr">
        <is>
          <t>포스코스마트엔지니어링팀</t>
        </is>
      </c>
      <c r="H23" s="129" t="inlineStr">
        <is>
          <t>토목견적팀, 토목사업지원팀</t>
        </is>
      </c>
      <c r="I23" s="153" t="inlineStr">
        <is>
          <t>REM 회의록</t>
        </is>
      </c>
      <c r="J23" s="126" t="inlineStr"/>
      <c r="K23" s="126" t="inlineStr"/>
    </row>
    <row r="24" ht="42" customHeight="1">
      <c r="A24" s="126" t="inlineStr">
        <is>
          <t>11</t>
        </is>
      </c>
      <c r="B24" s="128" t="inlineStr">
        <is>
          <t>추가지반조사 계획 수립</t>
        </is>
      </c>
      <c r="C24" s="127" t="inlineStr">
        <is>
          <t>D-30</t>
        </is>
      </c>
      <c r="D24" s="127" t="inlineStr">
        <is>
          <t>D-15</t>
        </is>
      </c>
      <c r="E24" s="130" t="inlineStr">
        <is>
          <t>R/O 분석 결과에 기반한 추가지반조사 항목 도출</t>
        </is>
      </c>
      <c r="F24" s="130" t="inlineStr">
        <is>
          <t>• 지반조사 수렴 결과 분석보고서 검토
• 지반조사 결과 R/O 종합검토 결과 검토</t>
        </is>
      </c>
      <c r="G24" s="129" t="inlineStr">
        <is>
          <t>포스코스마트엔지니어링팀</t>
        </is>
      </c>
      <c r="H24" s="129" t="inlineStr">
        <is>
          <t>토목견적팀(원가), 토목수행팀(공정), 토목사업지원팀(기획)</t>
        </is>
      </c>
      <c r="I24" s="153" t="inlineStr">
        <is>
          <t>추가지반조사 List</t>
        </is>
      </c>
      <c r="J24" s="126" t="inlineStr"/>
      <c r="K24" s="126" t="inlineStr"/>
    </row>
    <row r="25" ht="42" customHeight="1">
      <c r="A25" s="126" t="inlineStr"/>
      <c r="B25" s="128" t="inlineStr">
        <is>
          <t>3D GPR탐사 장비 사양(차량형) 검토</t>
        </is>
      </c>
      <c r="C25" s="127" t="inlineStr">
        <is>
          <t>D-15</t>
        </is>
      </c>
      <c r="D25" s="127" t="inlineStr">
        <is>
          <t>D-7</t>
        </is>
      </c>
      <c r="E25" s="130" t="inlineStr">
        <is>
          <t>적정 추가지반조사 규명을 위한 장비 사양 검토</t>
        </is>
      </c>
      <c r="F25" s="130" t="inlineStr">
        <is>
          <t>• 3D GPR탐사 장비 사양(차량형)
- 3D Radar(노르웨이)_200~3000Hz, 2.0m~3.0m : 하상도 높음
- MIRA(스웨덴)_400~1300Hz, 1.0m~2.0m : 정밀한 입체 형상
- StreamC(이탈리아)_200~600Hz, 1.5m~3.0m : 다양한 심도, 공동 탐지
- VGPR(호주)_100~4000Hz, 2.0m~3.0m : 고속주행 데이터 획득
- Road 3D(한국)_200~3000Hz, 2.0m~3.0m : 하상도 높음, 유용특화</t>
        </is>
      </c>
      <c r="G25" s="129" t="inlineStr">
        <is>
          <t>현장 공무팀</t>
        </is>
      </c>
      <c r="H25" s="129" t="inlineStr">
        <is>
          <t>현장 공사팀</t>
        </is>
      </c>
      <c r="I25" s="153" t="inlineStr">
        <is>
          <t>-</t>
        </is>
      </c>
      <c r="J25" s="126" t="inlineStr"/>
      <c r="K25" s="126" t="inlineStr"/>
    </row>
    <row r="26" ht="42" customHeight="1">
      <c r="A26" s="126" t="inlineStr"/>
      <c r="B26" s="128" t="inlineStr">
        <is>
          <t>ECRM 수립</t>
        </is>
      </c>
      <c r="C26" s="127" t="inlineStr">
        <is>
          <t>D-15</t>
        </is>
      </c>
      <c r="D26" s="127" t="inlineStr">
        <is>
          <t>D-7</t>
        </is>
      </c>
      <c r="E26" s="130" t="inlineStr">
        <is>
          <t>입찰설계 지반조사 결과에 따른 직분야 R/O 및 Cost impact 반영 사항 검토</t>
        </is>
      </c>
      <c r="F26" s="130" t="inlineStr">
        <is>
          <t>• 입찰설계 지반조사 결과 분석을 통한 원가 및 공정 영향 검토
• 미시추 구간 평가 및 공정 Risk 반영 사항 검토
• 지반조건을 고려한 발파공법성 여부 검토</t>
        </is>
      </c>
      <c r="G26" s="129" t="inlineStr">
        <is>
          <t>토목견적팀(원가)</t>
        </is>
      </c>
      <c r="H26" s="129" t="inlineStr">
        <is>
          <t>포스코스마트엔지니어링팀, 토목수행팀, 토목사업지원팀</t>
        </is>
      </c>
      <c r="I26" s="153" t="inlineStr">
        <is>
          <t>입찰설계 지반조사 검토서(설계, 원가, 공정, 기타)</t>
        </is>
      </c>
      <c r="J26" s="126" t="inlineStr"/>
      <c r="K26" s="126" t="inlineStr"/>
    </row>
    <row r="27" ht="26" customHeight="1">
      <c r="A27" s="126" t="inlineStr"/>
      <c r="B27" s="128" t="inlineStr">
        <is>
          <t>최종 Cost 검토 / 입찰</t>
        </is>
      </c>
      <c r="C27" s="127" t="inlineStr">
        <is>
          <t>D-7</t>
        </is>
      </c>
      <c r="D27" s="127" t="inlineStr">
        <is>
          <t>D-0</t>
        </is>
      </c>
      <c r="E27" s="130" t="inlineStr">
        <is>
          <t>입찰</t>
        </is>
      </c>
      <c r="F27" s="130" t="inlineStr">
        <is>
          <t>• 최종 R/O를 반영한 투찰내역서 작성</t>
        </is>
      </c>
      <c r="G27" s="129" t="inlineStr">
        <is>
          <t>토목견적팀</t>
        </is>
      </c>
      <c r="H27" s="129" t="inlineStr">
        <is>
          <t>-</t>
        </is>
      </c>
      <c r="I27" s="153" t="inlineStr">
        <is>
          <t>투찰내역서</t>
        </is>
      </c>
      <c r="J27" s="126" t="inlineStr"/>
      <c r="K27" s="126" t="inlineStr"/>
    </row>
    <row r="28" ht="26" customHeight="1">
      <c r="A28" s="126" t="inlineStr">
        <is>
          <t>12</t>
        </is>
      </c>
      <c r="B28" s="128" t="inlineStr">
        <is>
          <t>입찰설계 현장 인수인계</t>
        </is>
      </c>
      <c r="C28" s="127" t="inlineStr">
        <is>
          <t>D+0</t>
        </is>
      </c>
      <c r="D28" s="127" t="inlineStr">
        <is>
          <t>D+30</t>
        </is>
      </c>
      <c r="E28" s="130" t="inlineStr">
        <is>
          <t>지반조사 포함 전체 R/O 승계자료 인수인계 및 추가지반조사 계획 공유</t>
        </is>
      </c>
      <c r="F28" s="130" t="inlineStr">
        <is>
          <t>• 최종 R/O 결과 및 입찰도서 인출</t>
        </is>
      </c>
      <c r="G28" s="129" t="inlineStr">
        <is>
          <t>현장소장</t>
        </is>
      </c>
      <c r="H28" s="129" t="inlineStr">
        <is>
          <t>토목수행팀</t>
        </is>
      </c>
      <c r="I28" s="153" t="inlineStr">
        <is>
          <t>인수인계서</t>
        </is>
      </c>
      <c r="J28" s="126" t="inlineStr"/>
      <c r="K28" s="126" t="inlineStr"/>
    </row>
    <row r="29" ht="42" customHeight="1">
      <c r="A29" s="126" t="inlineStr">
        <is>
          <t>13</t>
        </is>
      </c>
      <c r="B29" s="128" t="inlineStr">
        <is>
          <t>추가지반조사 수행</t>
        </is>
      </c>
      <c r="C29" s="127" t="inlineStr">
        <is>
          <t>D+30</t>
        </is>
      </c>
      <c r="D29" s="127" t="inlineStr">
        <is>
          <t>D+100</t>
        </is>
      </c>
      <c r="E29" s="130" t="inlineStr">
        <is>
          <t>미시추구간 지반조사 수행을 통한 지반 Risk Hedge</t>
        </is>
      </c>
      <c r="F29" s="130" t="inlineStr">
        <is>
          <t>• 추가 지반조사 계획 및 시점 확인
- 탄성파탐사/전기비저항탐사 등 물리탐사 추가조사 (현장 및 위치 확인)
- 추가시추조사 수행(물리탐사, 시추조사)
- 토질 및 암석 실내시험 수행 및 결과분석 확인
- 공종별 핵심시설(교량, 접속도로, 토공, #200m 통과점, 터널 발파/심벽진입) 확인</t>
        </is>
      </c>
      <c r="G29" s="129" t="inlineStr">
        <is>
          <t>지반조사업체</t>
        </is>
      </c>
      <c r="H29" s="129" t="inlineStr">
        <is>
          <t>현장 공사팀/공무팀, 포스코스마트엔지니어링팀, 토목수행팀</t>
        </is>
      </c>
      <c r="I29" s="153" t="inlineStr">
        <is>
          <t>추가 지반조사 보고서</t>
        </is>
      </c>
      <c r="J29" s="126" t="inlineStr">
        <is>
          <t>○</t>
        </is>
      </c>
      <c r="K29" s="126" t="inlineStr">
        <is>
          <t>○</t>
        </is>
      </c>
    </row>
    <row r="30" ht="42" customHeight="1">
      <c r="A30" s="126" t="inlineStr">
        <is>
          <t>14</t>
        </is>
      </c>
      <c r="B30" s="128" t="inlineStr">
        <is>
          <t>추가지반조사 결과 분석</t>
        </is>
      </c>
      <c r="C30" s="127" t="inlineStr">
        <is>
          <t>D+100</t>
        </is>
      </c>
      <c r="D30" s="127" t="inlineStr">
        <is>
          <t>D+110</t>
        </is>
      </c>
      <c r="E30" s="130" t="inlineStr">
        <is>
          <t>추가지반조사 결과에 기반한 최종 R/O 확정</t>
        </is>
      </c>
      <c r="F30" s="130" t="inlineStr">
        <is>
          <t>• 외부전문가 검토 통한 지반특성 최종 Cross-check 확인
• 입찰설계 지반조사 대비 지반특성 변경구간 제원도 확인</t>
        </is>
      </c>
      <c r="G30" s="129" t="inlineStr">
        <is>
          <t>외부지질전문가 3인 이상</t>
        </is>
      </c>
      <c r="H30" s="129" t="inlineStr">
        <is>
          <t>현장 공사팀/공무팀, 포스코스마트엔지니어링팀, 토목수행팀</t>
        </is>
      </c>
      <c r="I30" s="153" t="inlineStr">
        <is>
          <t>추가 지반조사결과 종합보고서</t>
        </is>
      </c>
      <c r="J30" s="126" t="inlineStr">
        <is>
          <t>○</t>
        </is>
      </c>
      <c r="K30" s="126" t="inlineStr">
        <is>
          <t>○</t>
        </is>
      </c>
    </row>
    <row r="31" ht="42" customHeight="1">
      <c r="A31" s="126" t="inlineStr"/>
      <c r="B31" s="128" t="inlineStr">
        <is>
          <t>실시설계 지반조사 R/O 검토 (설계, 원가, 공정, 기타)</t>
        </is>
      </c>
      <c r="C31" s="127" t="inlineStr">
        <is>
          <t>D+110</t>
        </is>
      </c>
      <c r="D31" s="127" t="inlineStr">
        <is>
          <t>D+120</t>
        </is>
      </c>
      <c r="E31" s="130" t="inlineStr">
        <is>
          <t>실시설계 지반조사 결과에 따른 직분야 R/O 및 Cost impact 반영 사항 검토</t>
        </is>
      </c>
      <c r="F31" s="130" t="inlineStr">
        <is>
          <t>• 실시설계 추가지반조사 결과 분석을 통한 원가 및 공정 영향 검토
• 미시추 구간 평가 및 공정 Risk 반영 사항 검토
• 지반조건을 고려한 발파공법성 검토</t>
        </is>
      </c>
      <c r="G31" s="129" t="inlineStr">
        <is>
          <t>포스코스마트엔지니어링팀</t>
        </is>
      </c>
      <c r="H31" s="129" t="inlineStr">
        <is>
          <t>현장 공사팀/품질팀/공무팀, 토목견적팀(원가), 토목수행팀(공정), 토목사업지원팀(기획)</t>
        </is>
      </c>
      <c r="I31" s="153" t="inlineStr">
        <is>
          <t>실시설계 지반조사 검토서(설계, 원가, 공정, 기타)</t>
        </is>
      </c>
      <c r="J31" s="126" t="inlineStr"/>
      <c r="K31" s="126" t="inlineStr"/>
    </row>
    <row r="32" ht="26" customHeight="1">
      <c r="A32" s="126" t="inlineStr">
        <is>
          <t>15</t>
        </is>
      </c>
      <c r="B32" s="128" t="inlineStr">
        <is>
          <t>실시설계 추가지반조사 결과 검토</t>
        </is>
      </c>
      <c r="C32" s="127" t="inlineStr">
        <is>
          <t>D+110</t>
        </is>
      </c>
      <c r="D32" s="127" t="inlineStr">
        <is>
          <t>D+120</t>
        </is>
      </c>
      <c r="E32" s="130" t="inlineStr">
        <is>
          <t>추가지반조사 결과에 기반한 최종 R/O 확정</t>
        </is>
      </c>
      <c r="F32" s="130" t="inlineStr">
        <is>
          <t>• 추가지반조사 결과 검토</t>
        </is>
      </c>
      <c r="G32" s="129" t="inlineStr">
        <is>
          <t>포스코스마트엔지니어링팀</t>
        </is>
      </c>
      <c r="H32" s="129" t="inlineStr">
        <is>
          <t>현장 공사팀/품질팀/공무팀, 토목견적팀(원가), 토목수행팀(공정), 토목사업지원팀(기획)</t>
        </is>
      </c>
      <c r="I32" s="153" t="inlineStr">
        <is>
          <t>실시설계 최종 R/O</t>
        </is>
      </c>
      <c r="J32" s="126" t="inlineStr"/>
      <c r="K32" s="126" t="inlineStr"/>
    </row>
    <row r="33" ht="42" customHeight="1">
      <c r="A33" s="126" t="inlineStr">
        <is>
          <t>16</t>
        </is>
      </c>
      <c r="B33" s="128" t="inlineStr">
        <is>
          <t>최종 R/O 이행방안 수립</t>
        </is>
      </c>
      <c r="C33" s="127" t="inlineStr">
        <is>
          <t>D+120</t>
        </is>
      </c>
      <c r="D33" s="127" t="inlineStr">
        <is>
          <t>D+150</t>
        </is>
      </c>
      <c r="E33" s="130" t="inlineStr">
        <is>
          <t>최종 지반조사 결과에 따른 R/O 이행방안 수립</t>
        </is>
      </c>
      <c r="F33" s="130" t="inlineStr">
        <is>
          <t>• Core Risk 및 Hedge 방안 수립
• Opportunity에 따른 본공 상가 추가 개선 방안 수립</t>
        </is>
      </c>
      <c r="G33" s="129" t="inlineStr">
        <is>
          <t>현장소장</t>
        </is>
      </c>
      <c r="H33" s="129" t="inlineStr">
        <is>
          <t>토목수행팀</t>
        </is>
      </c>
      <c r="I33" s="153" t="inlineStr">
        <is>
          <t>최종 R/O 이행계획서</t>
        </is>
      </c>
      <c r="J33" s="126" t="inlineStr"/>
      <c r="K33" s="126" t="inlineStr"/>
    </row>
    <row r="34" ht="26" customHeight="1">
      <c r="A34" s="126" t="inlineStr">
        <is>
          <t>17</t>
        </is>
      </c>
      <c r="B34" s="128" t="inlineStr">
        <is>
          <t>외부지질전문가 업무평가</t>
        </is>
      </c>
      <c r="C34" s="127" t="inlineStr">
        <is>
          <t>-</t>
        </is>
      </c>
      <c r="D34" s="127" t="inlineStr">
        <is>
          <t>-</t>
        </is>
      </c>
      <c r="E34" s="130" t="inlineStr">
        <is>
          <t>참여인력 전문성 평가 및 특이사항 기록</t>
        </is>
      </c>
      <c r="F34" s="130" t="inlineStr">
        <is>
          <t>• 외부지질 전문가 업무평가서 작성</t>
        </is>
      </c>
      <c r="G34" s="129" t="inlineStr">
        <is>
          <t>포스코스마트엔지니어링팀</t>
        </is>
      </c>
      <c r="H34" s="129" t="inlineStr">
        <is>
          <t>현장 공사팀/공무팀</t>
        </is>
      </c>
      <c r="I34" s="153" t="inlineStr">
        <is>
          <t>외부지질 전문가 업무평가서</t>
        </is>
      </c>
      <c r="J34" s="126" t="inlineStr"/>
      <c r="K34" s="126" t="inlineStr"/>
    </row>
    <row r="35" ht="26" customHeight="1">
      <c r="A35" s="126" t="inlineStr">
        <is>
          <t>18</t>
        </is>
      </c>
      <c r="B35" s="128" t="inlineStr">
        <is>
          <t>조사업체 PM 업무평가</t>
        </is>
      </c>
      <c r="C35" s="127" t="inlineStr">
        <is>
          <t>-</t>
        </is>
      </c>
      <c r="D35" s="127" t="inlineStr">
        <is>
          <t>-</t>
        </is>
      </c>
      <c r="E35" s="130" t="inlineStr">
        <is>
          <t>조사업체 PM 전문성 평가 및 특이사항 기록</t>
        </is>
      </c>
      <c r="F35" s="130" t="inlineStr">
        <is>
          <t>• 지반조사 PM 업무평가서 작성</t>
        </is>
      </c>
      <c r="G35" s="129" t="inlineStr">
        <is>
          <t>포스코스마트엔지니어링팀</t>
        </is>
      </c>
      <c r="H35" s="129" t="inlineStr">
        <is>
          <t>현장 공사팀/공무팀</t>
        </is>
      </c>
      <c r="I35" s="153" t="inlineStr">
        <is>
          <t>PM업무평가서</t>
        </is>
      </c>
      <c r="J35" s="126" t="inlineStr"/>
      <c r="K35" s="126" t="inlineStr"/>
    </row>
    <row r="36" ht="26" customHeight="1">
      <c r="A36" s="126" t="inlineStr">
        <is>
          <t>19</t>
        </is>
      </c>
      <c r="B36" s="128" t="inlineStr">
        <is>
          <t>지반조사업체 업무평가</t>
        </is>
      </c>
      <c r="C36" s="127" t="inlineStr">
        <is>
          <t>-</t>
        </is>
      </c>
      <c r="D36" s="127" t="inlineStr">
        <is>
          <t>-</t>
        </is>
      </c>
      <c r="E36" s="130" t="inlineStr">
        <is>
          <t>조사업체 업무평가 및 특이사항 기록</t>
        </is>
      </c>
      <c r="F36" s="130" t="inlineStr">
        <is>
          <t>• 협력업체 업무평가서</t>
        </is>
      </c>
      <c r="G36" s="129" t="inlineStr">
        <is>
          <t>현장소장</t>
        </is>
      </c>
      <c r="H36" s="129" t="inlineStr">
        <is>
          <t>현장 공사팀/공무팀</t>
        </is>
      </c>
      <c r="I36" s="153" t="inlineStr">
        <is>
          <t>협력업체 업무평가서</t>
        </is>
      </c>
      <c r="J36" s="126" t="inlineStr"/>
      <c r="K36" s="126" t="inlineStr"/>
    </row>
    <row r="37" ht="42" customHeight="1">
      <c r="A37" s="126" t="inlineStr"/>
      <c r="B37" s="128" t="inlineStr">
        <is>
          <t>설계변경 LL 리포트 작성</t>
        </is>
      </c>
      <c r="C37" s="127" t="inlineStr">
        <is>
          <t>-</t>
        </is>
      </c>
      <c r="D37" s="127" t="inlineStr">
        <is>
          <t>-</t>
        </is>
      </c>
      <c r="E37" s="130" t="inlineStr">
        <is>
          <t>설계변경 사항 기록</t>
        </is>
      </c>
      <c r="F37" s="130" t="inlineStr">
        <is>
          <t>• 설계변경 사유 기록관리
• 예상 R/O대비 설계변경 사항 비교 검토</t>
        </is>
      </c>
      <c r="G37" s="129" t="inlineStr">
        <is>
          <t>현장소장</t>
        </is>
      </c>
      <c r="H37" s="129" t="inlineStr">
        <is>
          <t>현장 공무팀</t>
        </is>
      </c>
      <c r="I37" s="153" t="inlineStr">
        <is>
          <t>LL리포트</t>
        </is>
      </c>
      <c r="J37" s="126" t="inlineStr"/>
      <c r="K37" s="126" t="inlineStr"/>
    </row>
    <row r="38" ht="26" customHeight="1">
      <c r="A38" s="126" t="inlineStr"/>
      <c r="B38" s="128" t="inlineStr">
        <is>
          <t>설계변경 LL 리포트 관리</t>
        </is>
      </c>
      <c r="C38" s="127" t="inlineStr">
        <is>
          <t>-</t>
        </is>
      </c>
      <c r="D38" s="127" t="inlineStr">
        <is>
          <t>-</t>
        </is>
      </c>
      <c r="E38" s="130" t="inlineStr">
        <is>
          <t>전체 현장 설계변경 사항 기록</t>
        </is>
      </c>
      <c r="F38" s="130" t="inlineStr">
        <is>
          <t>• 현장별 설계변경 LL 리포트 취합 관리</t>
        </is>
      </c>
      <c r="G38" s="129" t="inlineStr">
        <is>
          <t>토목수행팀</t>
        </is>
      </c>
      <c r="H38" s="129" t="inlineStr">
        <is>
          <t>현장소장</t>
        </is>
      </c>
      <c r="I38" s="153" t="inlineStr">
        <is>
          <t>LL리포트 List</t>
        </is>
      </c>
      <c r="J38" s="126" t="inlineStr"/>
      <c r="K38" s="126" t="inlineStr"/>
    </row>
    <row r="39" ht="42" customHeight="1">
      <c r="A39" s="126" t="inlineStr"/>
      <c r="B39" s="128" t="inlineStr">
        <is>
          <t>지반조사업체 정산계약</t>
        </is>
      </c>
      <c r="C39" s="127" t="inlineStr">
        <is>
          <t>-</t>
        </is>
      </c>
      <c r="D39" s="127" t="inlineStr">
        <is>
          <t>-</t>
        </is>
      </c>
      <c r="E39" s="130" t="inlineStr">
        <is>
          <t>지반조사업체 정산</t>
        </is>
      </c>
      <c r="F39" s="130" t="inlineStr">
        <is>
          <t>• 조사도 수량 Check 후 구매시스템 변경계약 수행
• 변경계약 후 정산금 집행</t>
        </is>
      </c>
      <c r="G39" s="129" t="inlineStr">
        <is>
          <t>일반구매팀</t>
        </is>
      </c>
      <c r="H39" s="129" t="inlineStr">
        <is>
          <t>현장 공무팀</t>
        </is>
      </c>
      <c r="I39" s="153" t="inlineStr">
        <is>
          <t>정산계약서</t>
        </is>
      </c>
      <c r="J39" s="126" t="inlineStr"/>
      <c r="K39" s="126" t="inlineStr"/>
    </row>
    <row r="40" ht="26" customHeight="1">
      <c r="A40" s="126" t="inlineStr">
        <is>
          <t>20</t>
        </is>
      </c>
      <c r="B40" s="128" t="inlineStr">
        <is>
          <t>매뉴얼 Update</t>
        </is>
      </c>
      <c r="C40" s="127" t="inlineStr">
        <is>
          <t>-</t>
        </is>
      </c>
      <c r="D40" s="127" t="inlineStr">
        <is>
          <t>-</t>
        </is>
      </c>
      <c r="E40" s="130" t="inlineStr">
        <is>
          <t>지반조사 매뉴얼 Update</t>
        </is>
      </c>
      <c r="F40" s="130" t="inlineStr">
        <is>
          <t>• 매뉴얼 Update 및 개정사항 사내공지</t>
        </is>
      </c>
      <c r="G40" s="129" t="inlineStr">
        <is>
          <t>혁신실장</t>
        </is>
      </c>
      <c r="H40" s="129" t="inlineStr">
        <is>
          <t>현장 공무팀</t>
        </is>
      </c>
      <c r="I40" s="153" t="inlineStr">
        <is>
          <t>지반조사 매뉴얼</t>
        </is>
      </c>
      <c r="J40" s="126" t="inlineStr"/>
      <c r="K40" s="126" t="inlineStr"/>
    </row>
  </sheetData>
  <mergeCells count="11">
    <mergeCell ref="A4:K4"/>
    <mergeCell ref="C2:D2"/>
    <mergeCell ref="I2:I3"/>
    <mergeCell ref="K2:K3"/>
    <mergeCell ref="B2:B3"/>
    <mergeCell ref="A2:A3"/>
    <mergeCell ref="F2:F3"/>
    <mergeCell ref="E2:E3"/>
    <mergeCell ref="J2:J3"/>
    <mergeCell ref="H2:H3"/>
    <mergeCell ref="G2:G3"/>
  </mergeCells>
  <pageMargins left="0.75" right="0.75" top="1" bottom="1" header="0.5" footer="0.5"/>
</worksheet>
</file>

<file path=xl/worksheets/sheet5.xml><?xml version="1.0" encoding="utf-8"?>
<worksheet xmlns="http://schemas.openxmlformats.org/spreadsheetml/2006/main">
  <sheetPr codeName="Sheet2">
    <tabColor rgb="FFFFFF00"/>
    <outlinePr summaryBelow="1" summaryRight="1"/>
    <pageSetUpPr/>
  </sheetPr>
  <dimension ref="A1:T31"/>
  <sheetViews>
    <sheetView tabSelected="1" view="pageBreakPreview" zoomScale="55" zoomScaleNormal="55" zoomScaleSheetLayoutView="55" workbookViewId="0">
      <selection activeCell="G3" sqref="G3"/>
    </sheetView>
  </sheetViews>
  <sheetFormatPr baseColWidth="8" defaultRowHeight="19.2"/>
  <cols>
    <col width="8.796875" customWidth="1" style="3" min="1" max="2"/>
    <col width="12.09765625" customWidth="1" style="3" min="3" max="3"/>
    <col width="16" customWidth="1" style="4" min="4" max="4"/>
    <col width="34.69921875" customWidth="1" style="4" min="5" max="5"/>
    <col width="28.59765625" customWidth="1" style="5" min="6" max="6"/>
    <col width="32.59765625" customWidth="1" style="3" min="7" max="7"/>
    <col width="72.296875" customWidth="1" style="3" min="8" max="8"/>
    <col width="44.296875" customWidth="1" style="3" min="9" max="9"/>
    <col width="44.5" customWidth="1" style="3" min="10" max="10"/>
    <col width="53.69921875" customWidth="1" style="3" min="11" max="11"/>
    <col width="11.5" customWidth="1" style="3" min="12" max="12"/>
    <col width="50.5" customWidth="1" style="4" min="13" max="13"/>
    <col width="8.19921875" customWidth="1" style="3" min="14" max="14"/>
    <col width="45" customWidth="1" min="15" max="15"/>
    <col width="9.19921875" customWidth="1" min="16" max="16"/>
    <col width="22" customWidth="1" style="3" min="17" max="17"/>
    <col width="45" customWidth="1" min="18" max="18"/>
    <col width="22" customWidth="1" min="19" max="19"/>
    <col width="22" customWidth="1" style="3" min="20" max="35"/>
    <col width="8.796875" customWidth="1" style="3" min="36" max="65"/>
    <col width="8.796875" customWidth="1" style="3" min="66" max="16384"/>
  </cols>
  <sheetData>
    <row r="1" ht="46.8" customHeight="1">
      <c r="A1" s="7" t="inlineStr">
        <is>
          <t>L2 코드</t>
        </is>
      </c>
      <c r="B1" s="7" t="inlineStr">
        <is>
          <t>L3 코드</t>
        </is>
      </c>
      <c r="C1" s="7" t="inlineStr">
        <is>
          <t>L3 대공종명</t>
        </is>
      </c>
      <c r="D1" s="7" t="inlineStr">
        <is>
          <t>L4 코드</t>
        </is>
      </c>
      <c r="E1" s="7" t="inlineStr">
        <is>
          <t>일정 (D-Day)</t>
        </is>
      </c>
      <c r="F1" s="7" t="inlineStr">
        <is>
          <t>작업단위 (Level 4 Task/Activity)</t>
        </is>
      </c>
      <c r="G1" s="7" t="inlineStr">
        <is>
          <t>주관</t>
        </is>
      </c>
      <c r="H1" s="7" t="inlineStr">
        <is>
          <t>목적</t>
        </is>
      </c>
      <c r="I1" s="7" t="inlineStr">
        <is>
          <t>방법</t>
        </is>
      </c>
      <c r="J1" s="7" t="inlineStr">
        <is>
          <t>산출물(결과)</t>
        </is>
      </c>
      <c r="K1" s="7" t="inlineStr">
        <is>
          <t>표준서 (Standard) 요약</t>
        </is>
      </c>
      <c r="L1" s="6" t="inlineStr">
        <is>
          <t>표준서 파일 (HTML)</t>
        </is>
      </c>
      <c r="M1" s="7" t="inlineStr">
        <is>
          <t>수행지침 (Guideline) 요약</t>
        </is>
      </c>
      <c r="N1" s="6" t="inlineStr">
        <is>
          <t>수행지침 파일 (HTML)</t>
        </is>
      </c>
      <c r="O1" s="7" t="inlineStr">
        <is>
          <t>체크리스트 (Checklist) 요약</t>
        </is>
      </c>
      <c r="P1" s="12" t="inlineStr">
        <is>
          <t>체크리스트 파일 (HTML)</t>
        </is>
      </c>
      <c r="Q1" s="9" t="inlineStr">
        <is>
          <t>비고</t>
        </is>
      </c>
      <c r="R1" s="9" t="inlineStr">
        <is>
          <t>첨부서류 연계 상세 설계기준</t>
        </is>
      </c>
      <c r="S1" s="9" t="inlineStr">
        <is>
          <t>집행단계 리스크 체크리스트</t>
        </is>
      </c>
      <c r="T1" s="9" t="inlineStr">
        <is>
          <t>협력사 시공/공사관리 자문</t>
        </is>
      </c>
    </row>
    <row r="2" ht="90" customHeight="1">
      <c r="A2" s="13" t="inlineStr">
        <is>
          <t>9000</t>
        </is>
      </c>
      <c r="B2" s="13" t="inlineStr">
        <is>
          <t>9000-5</t>
        </is>
      </c>
      <c r="C2" s="14" t="inlineStr">
        <is>
          <t>사전토공사</t>
        </is>
      </c>
      <c r="D2" s="13" t="inlineStr">
        <is>
          <t>9000-5-1</t>
        </is>
      </c>
      <c r="E2" s="13" t="inlineStr">
        <is>
          <t>D-90 (D-120~D-90)</t>
        </is>
      </c>
      <c r="F2" s="15" t="inlineStr">
        <is>
          <t>Site Survey</t>
        </is>
      </c>
      <c r="G2" s="13" t="inlineStr">
        <is>
          <t>현장 공사팀</t>
        </is>
      </c>
      <c r="H2" s="14" t="inlineStr">
        <is>
          <t>KDS 47 10 00 철도지반 설계기준 | 현장 가설 둔차선, 용지 경계 및 원지반 고저차 3D 레벨 현측 | 토공사 사전 현장 조사 보고서</t>
        </is>
      </c>
      <c r="I2" s="14" t="inlineStr">
        <is>
          <t>1) 현장 가설 도로 및 용지 경계 현측 ➔ 2) 광학 레벨 원지반 고저차 측정 ➔ 3) 진입 도로 장애 요소 매핑 ➔ 4) 현장 조사 보고서 감리 제출</t>
        </is>
      </c>
      <c r="J2" s="14" t="inlineStr">
        <is>
          <t>가설 도로 폭/구배 현측, 원지반 고저차 레벨 측량 및 3D BIM 도면 오차 점검 (현장 조사 보고서)</t>
        </is>
      </c>
      <c r="K2" s="14" t="inlineStr">
        <is>
          <t>KDS 47 10 00 철도지반 설계기준 | 현장 가설 둔차선, 용지 경계 및 원지반 고저차 3D 레벨 현측 | 토공사 사전 현장 조사 보고서</t>
        </is>
      </c>
      <c r="L2" s="17" t="inlineStr">
        <is>
          <t>👉 [더블클릭] 표준서 열기 📄</t>
        </is>
      </c>
      <c r="M2" s="14" t="inlineStr">
        <is>
          <t>1) 현장 가설 도로 및 용지 경계 현측 ➔ 2) 광학 레벨 원지반 고저차 측정 ➔ 3) 진입 도로 장애 요소 매핑 ➔ 4) 현장 조사 보고서 감리 제출</t>
        </is>
      </c>
      <c r="N2" s="17" t="inlineStr">
        <is>
          <t>👉 [더블클릭] 수행지침 열기 📄</t>
        </is>
      </c>
      <c r="O2" s="14" t="inlineStr">
        <is>
          <t>가설 도로 폭/구배 현측, 원지반 고저차 레벨 측량 및 3D BIM 도면 오차 점검 (현장 조사 보고서)</t>
        </is>
      </c>
      <c r="P2" s="17" t="inlineStr">
        <is>
          <t>👉 [더블클릭] 체크리스트 열기 📄</t>
        </is>
      </c>
      <c r="Q2" s="13" t="n"/>
      <c r="R2" s="14" t="inlineStr">
        <is>
          <t>● 설계도면 및 지적 경계 기준 준수</t>
        </is>
      </c>
      <c r="S2" s="18" t="inlineStr">
        <is>
          <t>1) 👉 [더블클릭] 체크리스트 열기 📄</t>
        </is>
      </c>
      <c r="T2" s="14" t="n"/>
    </row>
    <row r="3" ht="125.4" customHeight="1">
      <c r="A3" s="13" t="inlineStr">
        <is>
          <t>9000</t>
        </is>
      </c>
      <c r="B3" s="13" t="inlineStr">
        <is>
          <t>9000-5</t>
        </is>
      </c>
      <c r="C3" s="14" t="inlineStr">
        <is>
          <t>사전토공사</t>
        </is>
      </c>
      <c r="D3" s="13" t="inlineStr">
        <is>
          <t>9000-5-2</t>
        </is>
      </c>
      <c r="E3" s="13" t="inlineStr">
        <is>
          <t>D-80 (D-120~D-80)</t>
        </is>
      </c>
      <c r="F3" s="15" t="inlineStr">
        <is>
          <t>발주전략 KOM</t>
        </is>
      </c>
      <c r="G3" s="13" t="inlineStr">
        <is>
          <t>현장소장</t>
        </is>
      </c>
      <c r="H3" s="14" t="inlineStr">
        <is>
          <t>KCS 47 10 25 시방 검토 | 사전 토공 토사/암석 깎기 및 성토 시방 규정 | 발주처·감리·시공 3자 킥오프 결재</t>
        </is>
      </c>
      <c r="I3" s="14" t="inlineStr">
        <is>
          <t>1) 사전 토공 시방 요구조건 분석 ➔ 2) 3D BIM 도면 깎기/성토 수량 검증 ➔ 3) 토공 리스크 예비비 수립 ➔ 4) 발주·감리·시공 3자 킥오프 결재</t>
        </is>
      </c>
      <c r="J3" s="14" t="inlineStr">
        <is>
          <t>KCS 47 10 25 사전 토공 시방 검토, 토사/암석 깎기 수량 산출 및 3D BIM 간섭 zero (3자 킥오프 결재)</t>
        </is>
      </c>
      <c r="K3" s="14" t="inlineStr">
        <is>
          <t>KCS 47 10 25 시방 검토 | 사전 토공 토사/암석 깎기 및 성토 시방 규정 | 발주처·감리·시공 3자 킥오프 결재</t>
        </is>
      </c>
      <c r="L3" s="17" t="inlineStr">
        <is>
          <t>👉 [더블클릭] 표준서 열기 📄</t>
        </is>
      </c>
      <c r="M3" s="14" t="inlineStr">
        <is>
          <t>1) 사전 토공 시방 요구조건 분석 ➔ 2) 3D BIM 도면 깎기/성토 수량 검증 ➔ 3) 토공 리스크 예비비 수립 ➔ 4) 발주·감리·시공 3자 킥오프 결재</t>
        </is>
      </c>
      <c r="N3" s="17" t="inlineStr">
        <is>
          <t>👉 [더블클릭] 수행지침 열기 📄</t>
        </is>
      </c>
      <c r="O3" s="14" t="inlineStr">
        <is>
          <t>KCS 47 10 25 사전 토공 시방 검토, 토사/암석 깎기 수량 산출 및 3D BIM 간섭 zero (3자 킥오프 결재)</t>
        </is>
      </c>
      <c r="P3" s="17" t="inlineStr">
        <is>
          <t>👉 [더블클릭] 체크리스트 열기 📄</t>
        </is>
      </c>
      <c r="Q3" s="13" t="n"/>
      <c r="R3" s="14" t="inlineStr">
        <is>
          <t>● 본사외주부서, 수행부서, 토목국내견적팀, 컴플라이언스RM팀, 토목사업지원팀 협의</t>
        </is>
      </c>
      <c r="S3" s="18" t="inlineStr">
        <is>
          <t>1) 👉 [더블클릭] 체크리스트 열기 📄</t>
        </is>
      </c>
      <c r="T3" s="14" t="n"/>
    </row>
    <row r="4" ht="110.4" customHeight="1">
      <c r="A4" s="13" t="inlineStr">
        <is>
          <t>9000</t>
        </is>
      </c>
      <c r="B4" s="13" t="inlineStr">
        <is>
          <t>9000-5</t>
        </is>
      </c>
      <c r="C4" s="14" t="inlineStr">
        <is>
          <t>사전토공사</t>
        </is>
      </c>
      <c r="D4" s="13" t="inlineStr">
        <is>
          <t>9000-5-3</t>
        </is>
      </c>
      <c r="E4" s="13" t="inlineStr">
        <is>
          <t>D-60 (D-70~D-60)</t>
        </is>
      </c>
      <c r="F4" s="15" t="inlineStr">
        <is>
          <t>Site Survey Risk 검토</t>
        </is>
      </c>
      <c r="G4" s="13" t="inlineStr">
        <is>
          <t>토목국내견적팀</t>
        </is>
      </c>
      <c r="H4" s="14" t="inlineStr">
        <is>
          <t>지하안전법 제23조 | 현장 지장물, 연약 지반 층후 및 사면 붕괴 위험 요소 추출 | 사전 토공 리스크 대책 승인</t>
        </is>
      </c>
      <c r="I4" s="14" t="inlineStr">
        <is>
          <t>1) 지하 매설 지장물 &amp; 연약지반 현출 ➔ 2) 사면 붕괴 위험 구간 추출 ➔ 3) 흙막이 가설재 보강 수립 ➔ 4) 토공 리스크 대책서 감리 승인</t>
        </is>
      </c>
      <c r="J4" s="14" t="inlineStr">
        <is>
          <t>지중 매설물 탐사, 연약 지반 층후 분석 및 사면 붕괴 위험 구간 흙막이 가설재 보강 수립</t>
        </is>
      </c>
      <c r="K4" s="14" t="inlineStr">
        <is>
          <t>지하안전법 제23조 | 현장 지장물, 연약 지반 층후 및 사면 붕괴 위험 요소 추출 | 사전 토공 리스크 대책 승인</t>
        </is>
      </c>
      <c r="L4" s="17" t="inlineStr">
        <is>
          <t>👉 [더블클릭] 표준서 열기 📄</t>
        </is>
      </c>
      <c r="M4" s="14" t="inlineStr">
        <is>
          <t>1) 지하 매설 지장물 &amp; 연약지반 현출 ➔ 2) 사면 붕괴 위험 구간 추출 ➔ 3) 흙막이 가설재 보강 수립 ➔ 4) 토공 리스크 대책서 감리 승인</t>
        </is>
      </c>
      <c r="N4" s="17" t="inlineStr">
        <is>
          <t>👉 [더블클릭] 수행지침 열기 📄</t>
        </is>
      </c>
      <c r="O4" s="14" t="inlineStr">
        <is>
          <t>지중 매설물 탐사, 연약 지반 층후 분석 및 사면 붕괴 위험 구간 흙막이 가설재 보강 수립</t>
        </is>
      </c>
      <c r="P4" s="17" t="inlineStr">
        <is>
          <t>👉 [더블클릭] 체크리스트 열기 📄</t>
        </is>
      </c>
      <c r="Q4" s="13" t="n"/>
      <c r="R4" s="14" t="inlineStr">
        <is>
          <t>● 실행예산 검토 및 공사 수행 리스크 분석</t>
        </is>
      </c>
      <c r="S4" s="18" t="inlineStr">
        <is>
          <t>1) 👉 [더블클릭] 체크리스트 열기 📄</t>
        </is>
      </c>
      <c r="T4" s="14" t="n"/>
    </row>
    <row r="5" ht="96" customHeight="1">
      <c r="A5" s="13" t="inlineStr">
        <is>
          <t>9000</t>
        </is>
      </c>
      <c r="B5" s="13" t="inlineStr">
        <is>
          <t>9000-5</t>
        </is>
      </c>
      <c r="C5" s="14" t="inlineStr">
        <is>
          <t>사전토공사</t>
        </is>
      </c>
      <c r="D5" s="13" t="inlineStr">
        <is>
          <t>9000-5-4</t>
        </is>
      </c>
      <c r="E5" s="13" t="inlineStr">
        <is>
          <t>D-50 (D-60~D-50)</t>
        </is>
      </c>
      <c r="F5" s="15" t="inlineStr">
        <is>
          <t>최고의 팀 만들기 지원</t>
        </is>
      </c>
      <c r="G5" s="13" t="inlineStr">
        <is>
          <t>외주관리팀</t>
        </is>
      </c>
      <c r="H5" s="14" t="inlineStr">
        <is>
          <t>건산법 상생협력 수칙 | 토공 전문 기술자 1:1 전담 배치 &amp; 3자 주간 소통 회의 | 일일 Safety TBM 100% 이행</t>
        </is>
      </c>
      <c r="I5" s="14" t="inlineStr">
        <is>
          <t>1) 토공 전담 기술자 1:1 배치 ➔ 2) 3자 주간 소통 회의 개최 ➔ 3) 근로자 복지 지원 &amp; Safety TBM ➔ 4) One-Team 조직표 감리 서면 승인</t>
        </is>
      </c>
      <c r="J5" s="14" t="inlineStr">
        <is>
          <t>토공 전담 기술자 1:1 현장 배치, 발주·감리·시공 3자 주간 소통 회의 및 일일 Safety TBM/음주 측정</t>
        </is>
      </c>
      <c r="K5" s="14" t="inlineStr">
        <is>
          <t>건산법 상생협력 수칙 | 토공 전문 기술자 1:1 전담 배치 &amp; 3자 주간 소통 회의 | 일일 Safety TBM 100% 이행</t>
        </is>
      </c>
      <c r="L5" s="17" t="inlineStr">
        <is>
          <t>👉 [더블클릭] 표준서 열기 📄</t>
        </is>
      </c>
      <c r="M5" s="14" t="inlineStr">
        <is>
          <t>1) 토공 전담 기술자 1:1 배치 ➔ 2) 3자 주간 소통 회의 개최 ➔ 3) 근로자 복지 지원 &amp; Safety TBM ➔ 4) One-Team 조직표 감리 서면 승인</t>
        </is>
      </c>
      <c r="N5" s="17" t="inlineStr">
        <is>
          <t>👉 [더블클릭] 수행지침 열기 📄</t>
        </is>
      </c>
      <c r="O5" s="14" t="inlineStr">
        <is>
          <t>토공 전담 기술자 1:1 현장 배치, 발주·감리·시공 3자 주간 소통 회의 및 일일 Safety TBM/음주 측정</t>
        </is>
      </c>
      <c r="P5" s="17" t="inlineStr">
        <is>
          <t>👉 [더블클릭] 체크리스트 열기 📄</t>
        </is>
      </c>
      <c r="Q5" s="13" t="n"/>
      <c r="R5" s="14" t="inlineStr">
        <is>
          <t>● 외주관리 협력업체 평가 및 선정 기준</t>
        </is>
      </c>
      <c r="S5" s="18" t="inlineStr">
        <is>
          <t>1) 👉 [더블클릭] 체크리스트 열기 📄</t>
        </is>
      </c>
      <c r="T5" s="14" t="n"/>
    </row>
    <row r="6" ht="134.4" customHeight="1">
      <c r="A6" s="13" t="inlineStr">
        <is>
          <t>9000</t>
        </is>
      </c>
      <c r="B6" s="13" t="inlineStr">
        <is>
          <t>9000-5</t>
        </is>
      </c>
      <c r="C6" s="14" t="inlineStr">
        <is>
          <t>사전토공사</t>
        </is>
      </c>
      <c r="D6" s="13" t="inlineStr">
        <is>
          <t>9000-5-5</t>
        </is>
      </c>
      <c r="E6" s="13" t="inlineStr">
        <is>
          <t>D-60 (D-80~D-60)</t>
        </is>
      </c>
      <c r="F6" s="15" t="inlineStr">
        <is>
          <t>공사중 교통처리계획</t>
        </is>
      </c>
      <c r="G6" s="13" t="inlineStr">
        <is>
          <t>현장 공사팀</t>
        </is>
      </c>
      <c r="H6" s="14" t="inlineStr">
        <is>
          <t>도로교통법 제69조 | 동탄경찰서 교통안전 심의 및 우회 차선 설계 | 전담 신호수(2인 2조) &amp; LED 경광등 배치</t>
        </is>
      </c>
      <c r="I6" s="14" t="inlineStr">
        <is>
          <t>1) 교통 우회 차선 &amp; 둔차선 도면 설계 ➔ 2) 동탄경찰서 도로점용 허가 ➔ 3) 전담 신호수(2인 2조) 배치 ➔ 4) 교통소통 대책서 감리 서면 승인</t>
        </is>
      </c>
      <c r="J6" s="14" t="inlineStr">
        <is>
          <t>동탄경찰서 도로점용 허가, 가설 우회 차선 설계 및 전담 안전 신호수(2인 2조)/LED 경광등 배치</t>
        </is>
      </c>
      <c r="K6" s="14" t="inlineStr">
        <is>
          <t>도로교통법 제69조 | 동탄경찰서 교통안전 심의 및 우회 차선 설계 | 전담 신호수(2인 2조) &amp; LED 경광등 배치</t>
        </is>
      </c>
      <c r="L6" s="17" t="inlineStr">
        <is>
          <t>👉 [더블클릭] 표준서 열기 📄</t>
        </is>
      </c>
      <c r="M6" s="14" t="inlineStr">
        <is>
          <t>1) 교통 우회 차선 &amp; 둔차선 도면 설계 ➔ 2) 동탄경찰서 도로점용 허가 ➔ 3) 전담 신호수(2인 2조) 배치 ➔ 4) 교통소통 대책서 감리 서면 승인</t>
        </is>
      </c>
      <c r="N6" s="17" t="inlineStr">
        <is>
          <t>👉 [더블클릭] 수행지침 열기 📄</t>
        </is>
      </c>
      <c r="O6" s="14" t="inlineStr">
        <is>
          <t>동탄경찰서 도로점용 허가, 가설 우회 차선 설계 및 전담 안전 신호수(2인 2조)/LED 경광등 배치</t>
        </is>
      </c>
      <c r="P6" s="17" t="inlineStr">
        <is>
          <t>👉 [더블클릭] 체크리스트 열기 📄</t>
        </is>
      </c>
      <c r="Q6" s="13" t="n"/>
      <c r="R6" s="14" t="inlineStr">
        <is>
          <t>● 도로교통법 및 관할 지자체 교통 지침 준수</t>
        </is>
      </c>
      <c r="S6" s="18" t="inlineStr">
        <is>
          <t>1) 👉 [더블클릭] 체크리스트 열기 📄</t>
        </is>
      </c>
      <c r="T6" s="14" t="n"/>
    </row>
    <row r="7" ht="96" customHeight="1">
      <c r="A7" s="13" t="inlineStr">
        <is>
          <t>9000</t>
        </is>
      </c>
      <c r="B7" s="13" t="inlineStr">
        <is>
          <t>9000-5</t>
        </is>
      </c>
      <c r="C7" s="14" t="inlineStr">
        <is>
          <t>사전토공사</t>
        </is>
      </c>
      <c r="D7" s="13" t="inlineStr">
        <is>
          <t>9000-5-6</t>
        </is>
      </c>
      <c r="E7" s="13" t="inlineStr">
        <is>
          <t>D-65 (D-65~D-55)</t>
        </is>
      </c>
      <c r="F7" s="15" t="inlineStr">
        <is>
          <t>자재발주 요청</t>
        </is>
      </c>
      <c r="G7" s="13" t="inlineStr">
        <is>
          <t>현장 공무팀</t>
        </is>
      </c>
      <c r="H7" s="14" t="inlineStr">
        <is>
          <t>KCS 47 10 25 자재 시방 | 굴착 장비, 가설 펜스 및 배수관 자재 발주 승인 | 공인시험기관 성적표 수속</t>
        </is>
      </c>
      <c r="I7" s="14" t="inlineStr">
        <is>
          <t>1) 굴착 장비 및 가설 펜스 자재 선정 ➔ 2) 공인시험기관 시험성적서 검수 ➔ 3) 자재 발주 신청서 제출 ➔ 4) 자재 반입 검수 통보서 결재</t>
        </is>
      </c>
      <c r="J7" s="14" t="inlineStr">
        <is>
          <t>KCS 47 10 25 굴착 장비/가설재 자재 승인, 공인시험기관 시험성적서 검수 및 자재 반입 통보</t>
        </is>
      </c>
      <c r="K7" s="14" t="inlineStr">
        <is>
          <t>KCS 47 10 25 자재 시방 | 굴착 장비, 가설 펜스 및 배수관 자재 발주 승인 | 공인시험기관 성적표 수속</t>
        </is>
      </c>
      <c r="L7" s="17" t="inlineStr">
        <is>
          <t>👉 [더블클릭] 표준서 열기 📄</t>
        </is>
      </c>
      <c r="M7" s="14" t="inlineStr">
        <is>
          <t>1) 굴착 장비 및 가설 펜스 자재 선정 ➔ 2) 공인시험기관 시험성적서 검수 ➔ 3) 자재 발주 신청서 제출 ➔ 4) 자재 반입 검수 통보서 결재</t>
        </is>
      </c>
      <c r="N7" s="17" t="inlineStr">
        <is>
          <t>👉 [더블클릭] 수행지침 열기 📄</t>
        </is>
      </c>
      <c r="O7" s="14" t="inlineStr">
        <is>
          <t>KCS 47 10 25 굴착 장비/가설재 자재 승인, 공인시험기관 시험성적서 검수 및 자재 반입 통보</t>
        </is>
      </c>
      <c r="P7" s="17" t="inlineStr">
        <is>
          <t>👉 [더블클릭] 체크리스트 열기 📄</t>
        </is>
      </c>
      <c r="Q7" s="13" t="n"/>
      <c r="R7" s="14" t="n"/>
      <c r="S7" s="18" t="inlineStr">
        <is>
          <t>1) 👉 [더블클릭] 체크리스트 열기 📄</t>
        </is>
      </c>
      <c r="T7" s="14" t="n"/>
    </row>
    <row r="8" ht="115.2" customHeight="1">
      <c r="A8" s="13" t="inlineStr">
        <is>
          <t>9000</t>
        </is>
      </c>
      <c r="B8" s="13" t="inlineStr">
        <is>
          <t>9000-5</t>
        </is>
      </c>
      <c r="C8" s="14" t="inlineStr">
        <is>
          <t>사전토공사</t>
        </is>
      </c>
      <c r="D8" s="13" t="inlineStr">
        <is>
          <t>9000-5-7</t>
        </is>
      </c>
      <c r="E8" s="13" t="inlineStr">
        <is>
          <t>D-40 (D-60~D-40)</t>
        </is>
      </c>
      <c r="F8" s="15" t="inlineStr">
        <is>
          <t>용지 사용 Risk 검토</t>
        </is>
      </c>
      <c r="G8" s="13" t="inlineStr">
        <is>
          <t>토목계약관리팀</t>
        </is>
      </c>
      <c r="H8" s="14" t="inlineStr">
        <is>
          <t>토지보상법 준수 | 미보상 사유지 경계 현출 및 가설 펜스(H=1.8m) 차단 | 3D 우회 토공 동선 마일스톤 연동</t>
        </is>
      </c>
      <c r="I8" s="14" t="inlineStr">
        <is>
          <t>1) 미보상 사유지 경계 현출 ➔ 2) 가설 펜스(H=1.8m) 차단 ➔ 3) 3D 우회 토공 동선 수립 ➔ 4) 용지 보상 리스크 대책 감리 승인</t>
        </is>
      </c>
      <c r="J8" s="14" t="inlineStr">
        <is>
          <t>미보상 사유지 경계 현출, 가설 펜스(H=1.8m) 차단 및 3D 우회 토공 동선 마일스톤 연동</t>
        </is>
      </c>
      <c r="K8" s="14" t="inlineStr">
        <is>
          <t>토지보상법 준수 | 미보상 사유지 경계 현출 및 가설 펜스(H=1.8m) 차단 | 3D 우회 토공 동선 마일스톤 연동</t>
        </is>
      </c>
      <c r="L8" s="17" t="inlineStr">
        <is>
          <t>👉 [더블클릭] 표준서 열기 📄</t>
        </is>
      </c>
      <c r="M8" s="14" t="inlineStr">
        <is>
          <t>1) 미보상 사유지 경계 현출 ➔ 2) 가설 펜스(H=1.8m) 차단 ➔ 3) 3D 우회 토공 동선 수립 ➔ 4) 용지 보상 리스크 대책 감리 승인</t>
        </is>
      </c>
      <c r="N8" s="17" t="inlineStr">
        <is>
          <t>👉 [더블클릭] 수행지침 열기 📄</t>
        </is>
      </c>
      <c r="O8" s="14" t="inlineStr">
        <is>
          <t>미보상 사유지 경계 현출, 가설 펜스(H=1.8m) 차단 및 3D 우회 토공 동선 마일스톤 연동</t>
        </is>
      </c>
      <c r="P8" s="17" t="inlineStr">
        <is>
          <t>👉 [더블클릭] 체크리스트 열기 📄</t>
        </is>
      </c>
      <c r="Q8" s="13" t="n"/>
      <c r="R8" s="14" t="inlineStr">
        <is>
          <t>● 계약 리스크 방지 및 현장 부지 확보 요건 검토</t>
        </is>
      </c>
      <c r="S8" s="18" t="inlineStr">
        <is>
          <t>1) 👉 [더블클릭] 체크리스트 열기 📄</t>
        </is>
      </c>
      <c r="T8" s="14" t="n"/>
    </row>
    <row r="9" ht="172.8" customHeight="1">
      <c r="A9" s="13" t="inlineStr">
        <is>
          <t>9000</t>
        </is>
      </c>
      <c r="B9" s="13" t="inlineStr">
        <is>
          <t>9000-5</t>
        </is>
      </c>
      <c r="C9" s="14" t="inlineStr">
        <is>
          <t>사전토공사</t>
        </is>
      </c>
      <c r="D9" s="13" t="inlineStr">
        <is>
          <t>9000-5-8</t>
        </is>
      </c>
      <c r="E9" s="13" t="inlineStr">
        <is>
          <t>D-40</t>
        </is>
      </c>
      <c r="F9" s="15" t="inlineStr">
        <is>
          <t>착수전 Big Room 회의</t>
        </is>
      </c>
      <c r="G9" s="13" t="inlineStr">
        <is>
          <t>현장소장</t>
        </is>
      </c>
      <c r="H9" s="14" t="inlineStr">
        <is>
          <t>현장 통합 관리 지침 | 발주처·감리·지자체·시공사 4자 빅룸 회의 | 사전 토공 마일스톤 서명 결재</t>
        </is>
      </c>
      <c r="I9" s="14" t="inlineStr">
        <is>
          <t>1) 4자(발주·감리·지자체·시공) 빅룸 결성 ➔ 2) 사전 토공 마일스톤 연동 ➔ 3) 간섭 리스크 즉시 해소 ➔ 4) 빅룸 회의록 4자 서명 완수</t>
        </is>
      </c>
      <c r="J9" s="14" t="inlineStr">
        <is>
          <t>4자(발주·감리·지자체·시공) 빅룸 회의 결성, 사전 토공 마일스톤 연동 및 간섭 리스크 서명</t>
        </is>
      </c>
      <c r="K9" s="14" t="inlineStr">
        <is>
          <t>현장 통합 관리 지침 | 발주처·감리·지자체·시공사 4자 빅룸 회의 | 사전 토공 마일스톤 서명 결재</t>
        </is>
      </c>
      <c r="L9" s="17" t="inlineStr">
        <is>
          <t>👉 [더블클릭] 표준서 열기 📄</t>
        </is>
      </c>
      <c r="M9" s="14" t="inlineStr">
        <is>
          <t>1) 4자(발주·감리·지자체·시공) 빅룸 결성 ➔ 2) 사전 토공 마일스톤 연동 ➔ 3) 간섭 리스크 즉시 해소 ➔ 4) 빅룸 회의록 4자 서명 완수</t>
        </is>
      </c>
      <c r="N9" s="17" t="inlineStr">
        <is>
          <t>👉 [더블클릭] 수행지침 열기 📄</t>
        </is>
      </c>
      <c r="O9" s="14" t="inlineStr">
        <is>
          <t>4자(발주·감리·지자체·시공) 빅룸 회의 결성, 사전 토공 마일스톤 연동 및 간섭 리스크 서명</t>
        </is>
      </c>
      <c r="P9" s="17" t="inlineStr">
        <is>
          <t>👉 [더블클릭] 체크리스트 열기 📄</t>
        </is>
      </c>
      <c r="Q9" s="13" t="n"/>
      <c r="R9" s="14" t="inlineStr">
        <is>
          <t>● 본사 유관부서(견적/엔지니어링/공정/품질/안전) 조율</t>
        </is>
      </c>
      <c r="S9" s="18" t="inlineStr">
        <is>
          <t>1) 👉 [더블클릭] 체크리스트 열기 📄</t>
        </is>
      </c>
      <c r="T9" s="14" t="n"/>
    </row>
    <row r="10" ht="115.2" customHeight="1">
      <c r="A10" s="13" t="inlineStr">
        <is>
          <t>9000</t>
        </is>
      </c>
      <c r="B10" s="13" t="inlineStr">
        <is>
          <t>9000-5</t>
        </is>
      </c>
      <c r="C10" s="14" t="inlineStr">
        <is>
          <t>사전토공사</t>
        </is>
      </c>
      <c r="D10" s="13" t="inlineStr">
        <is>
          <t>9000-5-9</t>
        </is>
      </c>
      <c r="E10" s="13" t="inlineStr">
        <is>
          <t>D-30</t>
        </is>
      </c>
      <c r="F10" s="15" t="inlineStr">
        <is>
          <t>인허가 절차 진행</t>
        </is>
      </c>
      <c r="G10" s="13" t="inlineStr">
        <is>
          <t>현장 공무팀</t>
        </is>
      </c>
      <c r="H10" s="14" t="inlineStr">
        <is>
          <t>도로법 및 환경영향평가법 | 지자체 도로점용 허가 및 비산먼지 발생신고 수속 | 법정 인허가 필증 수속</t>
        </is>
      </c>
      <c r="I10" s="14" t="inlineStr">
        <is>
          <t>1) 지자체 도로/하천점용 허가서 작성 ➔ 2) 관련 부서 서류 제출 &amp; 심의 ➔ 3) 보증보험 증권 부착 ➔ 4) 법정 인허가 필증 감리 수속</t>
        </is>
      </c>
      <c r="J10" s="14" t="inlineStr">
        <is>
          <t>지자체 도로/하천점용 허가서 접수, 비산먼지 발생사업 신고 필증 수속 및 보증보험 제출</t>
        </is>
      </c>
      <c r="K10" s="14" t="inlineStr">
        <is>
          <t>도로법 및 환경영향평가법 | 지자체 도로점용 허가 및 비산먼지 발생신고 수속 | 법정 인허가 필증 수속</t>
        </is>
      </c>
      <c r="L10" s="17" t="inlineStr">
        <is>
          <t>👉 [더블클릭] 표준서 열기 📄</t>
        </is>
      </c>
      <c r="M10" s="14" t="inlineStr">
        <is>
          <t>1) 지자체 도로/하천점용 허가서 작성 ➔ 2) 관련 부서 서류 제출 &amp; 심의 ➔ 3) 보증보험 증권 부착 ➔ 4) 법정 인허가 필증 감리 수속</t>
        </is>
      </c>
      <c r="N10" s="17" t="inlineStr">
        <is>
          <t>👉 [더블클릭] 수행지침 열기 📄</t>
        </is>
      </c>
      <c r="O10" s="14" t="inlineStr">
        <is>
          <t>지자체 도로/하천점용 허가서 접수, 비산먼지 발생사업 신고 필증 수속 및 보증보험 제출</t>
        </is>
      </c>
      <c r="P10" s="17" t="inlineStr">
        <is>
          <t>👉 [더블클릭] 체크리스트 열기 📄</t>
        </is>
      </c>
      <c r="Q10" s="13" t="n"/>
      <c r="R10" s="14" t="inlineStr">
        <is>
          <t>● 관련 인허가 법령 검토</t>
        </is>
      </c>
      <c r="S10" s="18" t="inlineStr">
        <is>
          <t>1) 👉 [더블클릭] 체크리스트 열기 📄</t>
        </is>
      </c>
      <c r="T10" s="14" t="n"/>
    </row>
    <row r="11" ht="96" customHeight="1">
      <c r="A11" s="13" t="inlineStr">
        <is>
          <t>9000</t>
        </is>
      </c>
      <c r="B11" s="13" t="inlineStr">
        <is>
          <t>9000-5</t>
        </is>
      </c>
      <c r="C11" s="14" t="inlineStr">
        <is>
          <t>사전토공사</t>
        </is>
      </c>
      <c r="D11" s="13" t="inlineStr">
        <is>
          <t>9000-5-10</t>
        </is>
      </c>
      <c r="E11" s="13" t="inlineStr">
        <is>
          <t>D-30</t>
        </is>
      </c>
      <c r="F11" s="15" t="inlineStr">
        <is>
          <t>교통처리대책 협의 및 승인</t>
        </is>
      </c>
      <c r="G11" s="13" t="inlineStr">
        <is>
          <t>현장 공무팀</t>
        </is>
      </c>
      <c r="H11" s="14" t="inlineStr">
        <is>
          <t>도로교통법 안전 수칙 | 경찰서 차선 점용 허가 및 가설 둔차선 도로 복구 이행 보증보험 | 교통대책 감리 승인</t>
        </is>
      </c>
      <c r="I11" s="14" t="inlineStr">
        <is>
          <t>1) 경찰서 차선 점용 허가증 수령 ➔ 2) 도로 복구 보증보험 증권 제출 ➔ 3) 전담 신호수 &amp; LED 경광등 배치 ➔ 4) 교통대책서 감리 서면 승인</t>
        </is>
      </c>
      <c r="J11" s="14" t="inlineStr">
        <is>
          <t>동탄경찰서 차선 점용 허가, 도로 복구 이행 보증보험 제출 및 전담 신호수(2인 2조) 100% 배치</t>
        </is>
      </c>
      <c r="K11" s="14" t="inlineStr">
        <is>
          <t>도로교통법 안전 수칙 | 경찰서 차선 점용 허가 및 가설 둔차선 도로 복구 이행 보증보험 | 교통대책 감리 승인</t>
        </is>
      </c>
      <c r="L11" s="17" t="inlineStr">
        <is>
          <t>👉 [더블클릭] 표준서 열기 📄</t>
        </is>
      </c>
      <c r="M11" s="14" t="inlineStr">
        <is>
          <t>1) 경찰서 차선 점용 허가증 수령 ➔ 2) 도로 복구 보증보험 증권 제출 ➔ 3) 전담 신호수 &amp; LED 경광등 배치 ➔ 4) 교통대책서 감리 서면 승인</t>
        </is>
      </c>
      <c r="N11" s="17" t="inlineStr">
        <is>
          <t>👉 [더블클릭] 수행지침 열기 📄</t>
        </is>
      </c>
      <c r="O11" s="14" t="inlineStr">
        <is>
          <t>동탄경찰서 차선 점용 허가, 도로 복구 이행 보증보험 제출 및 전담 신호수(2인 2조) 100% 배치</t>
        </is>
      </c>
      <c r="P11" s="17" t="inlineStr">
        <is>
          <t>👉 [더블클릭] 체크리스트 열기 📄</t>
        </is>
      </c>
      <c r="Q11" s="13" t="n"/>
      <c r="R11" s="14" t="inlineStr">
        <is>
          <t>● 사토/토취장 인허가 요건 준수</t>
        </is>
      </c>
      <c r="S11" s="18" t="inlineStr">
        <is>
          <t>1) 👉 [더블클릭] 체크리스트 열기 📄</t>
        </is>
      </c>
      <c r="T11" s="14" t="n"/>
    </row>
    <row r="12" ht="115.2" customHeight="1">
      <c r="A12" s="13" t="inlineStr">
        <is>
          <t>9000</t>
        </is>
      </c>
      <c r="B12" s="13" t="inlineStr">
        <is>
          <t>9000-5</t>
        </is>
      </c>
      <c r="C12" s="14" t="inlineStr">
        <is>
          <t>사전토공사</t>
        </is>
      </c>
      <c r="D12" s="13" t="inlineStr">
        <is>
          <t>9000-5-11</t>
        </is>
      </c>
      <c r="E12" s="13" t="inlineStr">
        <is>
          <t>D-30</t>
        </is>
      </c>
      <c r="F12" s="15" t="inlineStr">
        <is>
          <t>지장물 검토 및 협의</t>
        </is>
      </c>
      <c r="G12" s="13" t="inlineStr">
        <is>
          <t>현장 공무팀/공사팀</t>
        </is>
      </c>
      <c r="H12" s="14" t="inlineStr">
        <is>
          <t>지하안전관리에 관한 특별법 | GPR 3D 관로 탐사 &amp; 인력 시탐 줄파기(깊이 1.5m) | 점용기관 현장 입회 이설 방호</t>
        </is>
      </c>
      <c r="I12" s="14" t="inlineStr">
        <is>
          <t>1) GPR 3D 지중 관로 탐사 ➔ 2) 인력 시탐 줄파기(깊이 1.5m) ➔ 3) 관할 점용기관 1:1 현장 입회 ➔ 4) 매달기 방호 &amp; 지장물 서면 승인</t>
        </is>
      </c>
      <c r="J12" s="14" t="inlineStr">
        <is>
          <t>GPR 3D 관로 탐사, 인력 시탐 줄파기(폭 0.5m, 깊이 1.5m) 및 점용기관 1:1 현장 입회 매달기 방호</t>
        </is>
      </c>
      <c r="K12" s="14" t="inlineStr">
        <is>
          <t>지하안전관리에 관한 특별법 | GPR 3D 관로 탐사 &amp; 인력 시탐 줄파기(깊이 1.5m) | 점용기관 현장 입회 이설 방호</t>
        </is>
      </c>
      <c r="L12" s="17" t="inlineStr">
        <is>
          <t>👉 [더블클릭] 표준서 열기 📄</t>
        </is>
      </c>
      <c r="M12" s="14" t="inlineStr">
        <is>
          <t>1) GPR 3D 지중 관로 탐사 ➔ 2) 인력 시탐 줄파기(깊이 1.5m) ➔ 3) 관할 점용기관 1:1 현장 입회 ➔ 4) 매달기 방호 &amp; 지장물 서면 승인</t>
        </is>
      </c>
      <c r="N12" s="17" t="inlineStr">
        <is>
          <t>👉 [더블클릭] 수행지침 열기 📄</t>
        </is>
      </c>
      <c r="O12" s="14" t="inlineStr">
        <is>
          <t>GPR 3D 관로 탐사, 인력 시탐 줄파기(폭 0.5m, 깊이 1.5m) 및 점용기관 1:1 현장 입회 매달기 방호</t>
        </is>
      </c>
      <c r="P12" s="17" t="inlineStr">
        <is>
          <t>👉 [더블클릭] 체크리스트 열기 📄</t>
        </is>
      </c>
      <c r="Q12" s="13" t="n"/>
      <c r="R12" s="14" t="inlineStr">
        <is>
          <t>● 도로점용 및 지장물 이설 규정 준수</t>
        </is>
      </c>
      <c r="S12" s="18" t="inlineStr">
        <is>
          <t>1) 👉 [더블클릭] 체크리스트 열기 📄</t>
        </is>
      </c>
      <c r="T12" s="14" t="n"/>
    </row>
    <row r="13" ht="96" customHeight="1">
      <c r="A13" s="13" t="inlineStr">
        <is>
          <t>9000</t>
        </is>
      </c>
      <c r="B13" s="13" t="inlineStr">
        <is>
          <t>9000-5</t>
        </is>
      </c>
      <c r="C13" s="14" t="inlineStr">
        <is>
          <t>사전토공사</t>
        </is>
      </c>
      <c r="D13" s="13" t="inlineStr">
        <is>
          <t>9000-5-12</t>
        </is>
      </c>
      <c r="E13" s="13" t="inlineStr">
        <is>
          <t>D-30</t>
        </is>
      </c>
      <c r="F13" s="15" t="inlineStr">
        <is>
          <t>기공승낙 적정성 검토</t>
        </is>
      </c>
      <c r="G13" s="13" t="inlineStr">
        <is>
          <t>현장 공무팀</t>
        </is>
      </c>
      <c r="H13" s="14" t="inlineStr">
        <is>
          <t>국유재산법 및 공유재산법 | 토지 기공승낙서 인허가 확인 및 진입로 점용 범위 실측 | 토지 사용 승인서 결재</t>
        </is>
      </c>
      <c r="I13" s="14" t="inlineStr">
        <is>
          <t>1) 국유지/공유지 기공승낙서 수속 ➔ 2) 진입 도로 점용 범위 실측 ➔ 3) 토지 소유주 사용 협의 ➔ 4) 기공승낙서 감리 서면 승인</t>
        </is>
      </c>
      <c r="J13" s="14" t="inlineStr">
        <is>
          <t>국유지/공유지 기공승낙서 인허가 검증, 진입 도로 점용 범위 실측 및 토지 사용 승인서 결재</t>
        </is>
      </c>
      <c r="K13" s="14" t="inlineStr">
        <is>
          <t>국유재산법 및 공유재산법 | 토지 기공승낙서 인허가 확인 및 진입로 점용 범위 실측 | 토지 사용 승인서 결재</t>
        </is>
      </c>
      <c r="L13" s="17" t="inlineStr">
        <is>
          <t>👉 [더블클릭] 표준서 열기 📄</t>
        </is>
      </c>
      <c r="M13" s="14" t="inlineStr">
        <is>
          <t>1) 국유지/공유지 기공승낙서 수속 ➔ 2) 진입 도로 점용 범위 실측 ➔ 3) 토지 소유주 사용 협의 ➔ 4) 기공승낙서 감리 서면 승인</t>
        </is>
      </c>
      <c r="N13" s="17" t="inlineStr">
        <is>
          <t>👉 [더블클릭] 수행지침 열기 📄</t>
        </is>
      </c>
      <c r="O13" s="14" t="inlineStr">
        <is>
          <t>국유지/공유지 기공승낙서 인허가 검증, 진입 도로 점용 범위 실측 및 토지 사용 승인서 결재</t>
        </is>
      </c>
      <c r="P13" s="17" t="inlineStr">
        <is>
          <t>👉 [더블클릭] 체크리스트 열기 📄</t>
        </is>
      </c>
      <c r="Q13" s="13" t="n"/>
      <c r="R13" s="14" t="inlineStr">
        <is>
          <t>● 용지 취득 및 기공승낙 법적 검토</t>
        </is>
      </c>
      <c r="S13" s="18" t="inlineStr">
        <is>
          <t>1) 👉 [더블클릭] 체크리스트 열기 📄</t>
        </is>
      </c>
      <c r="T13" s="14" t="n"/>
    </row>
    <row r="14" ht="96" customHeight="1">
      <c r="A14" s="13" t="inlineStr">
        <is>
          <t>9000</t>
        </is>
      </c>
      <c r="B14" s="13" t="inlineStr">
        <is>
          <t>9000-5</t>
        </is>
      </c>
      <c r="C14" s="14" t="inlineStr">
        <is>
          <t>사전토공사</t>
        </is>
      </c>
      <c r="D14" s="13" t="inlineStr">
        <is>
          <t>9000-5-13</t>
        </is>
      </c>
      <c r="E14" s="13" t="inlineStr">
        <is>
          <t>D-30</t>
        </is>
      </c>
      <c r="F14" s="15" t="inlineStr">
        <is>
          <t>민원 저감 대책 수립</t>
        </is>
      </c>
      <c r="G14" s="13" t="inlineStr">
        <is>
          <t>현장 안전팀/공무팀</t>
        </is>
      </c>
      <c r="H14" s="14" t="inlineStr">
        <is>
          <t>소음진동관리법 준수 | 야간 공사 소음 방음벽(H=3m) 및 세륜기(깊이 1.2m) 가동 | 단수/단전 주민 사전 안내</t>
        </is>
      </c>
      <c r="I14" s="14" t="inlineStr">
        <is>
          <t>1) 야간 공사 소음 방음벽(H=3m) 설치 ➔ 2) 세륜기 가동 &amp; 분무 살수 ➔ 3) 단수/단전 사전 주민 공지 ➔ 4) 민원 대응반 서면 승인</t>
        </is>
      </c>
      <c r="J14" s="14" t="inlineStr">
        <is>
          <t>야간 공사 소음 방음벽(H=3m) 가동, 세륜기(깊이 1.2m) 가동 및 단수/단전 주민 사전 고지</t>
        </is>
      </c>
      <c r="K14" s="14" t="inlineStr">
        <is>
          <t>소음진동관리법 준수 | 야간 공사 소음 방음벽(H=3m) 및 세륜기(깊이 1.2m) 가동 | 단수/단전 주민 사전 안내</t>
        </is>
      </c>
      <c r="L14" s="17" t="inlineStr">
        <is>
          <t>👉 [더블클릭] 표준서 열기 📄</t>
        </is>
      </c>
      <c r="M14" s="14" t="inlineStr">
        <is>
          <t>1) 야간 공사 소음 방음벽(H=3m) 설치 ➔ 2) 세륜기 가동 &amp; 분무 살수 ➔ 3) 단수/단전 사전 주민 공지 ➔ 4) 민원 대응반 서면 승인</t>
        </is>
      </c>
      <c r="N14" s="17" t="inlineStr">
        <is>
          <t>👉 [더블클릭] 수행지침 열기 📄</t>
        </is>
      </c>
      <c r="O14" s="14" t="inlineStr">
        <is>
          <t>야간 공사 소음 방음벽(H=3m) 가동, 세륜기(깊이 1.2m) 가동 및 단수/단전 주민 사전 고지</t>
        </is>
      </c>
      <c r="P14" s="17" t="inlineStr">
        <is>
          <t>👉 [더블클릭] 체크리스트 열기 📄</t>
        </is>
      </c>
      <c r="Q14" s="13" t="n"/>
      <c r="R14" s="14" t="inlineStr">
        <is>
          <t>● 민원 관리 지침 준수</t>
        </is>
      </c>
      <c r="S14" s="28" t="inlineStr">
        <is>
          <t>1) 👉 [더블클릭] 체크리스트 열기 📄</t>
        </is>
      </c>
      <c r="T14" s="14" t="n"/>
    </row>
    <row r="15" ht="96" customHeight="1">
      <c r="A15" s="13" t="inlineStr">
        <is>
          <t>9000</t>
        </is>
      </c>
      <c r="B15" s="13" t="inlineStr">
        <is>
          <t>9000-5</t>
        </is>
      </c>
      <c r="C15" s="14" t="inlineStr">
        <is>
          <t>사전토공사</t>
        </is>
      </c>
      <c r="D15" s="13" t="inlineStr">
        <is>
          <t>9000-5-14</t>
        </is>
      </c>
      <c r="E15" s="13" t="inlineStr">
        <is>
          <t>D-30</t>
        </is>
      </c>
      <c r="F15" s="15" t="inlineStr">
        <is>
          <t>용지보상 Risk 파악</t>
        </is>
      </c>
      <c r="G15" s="13" t="inlineStr">
        <is>
          <t>현장 공무팀</t>
        </is>
      </c>
      <c r="H15" s="14" t="inlineStr">
        <is>
          <t>토지보상법 준수 | 지장물 이설 부지 용지보상 현황 및 점용 경계 실측 | 미보상 사유지 가설 펜스 차단</t>
        </is>
      </c>
      <c r="I15" s="14" t="inlineStr">
        <is>
          <t>1) 미보상 필지 현출 &amp; 지적 대조 ➔ 2) 가설 펜스(H=1.8m) 차단 ➔ 3) 우회 토공 동선 수립 ➔ 4) 용지 보상 대책서 감리 승인</t>
        </is>
      </c>
      <c r="J15" s="14" t="inlineStr">
        <is>
          <t>미보상 필지 지적 대조, 경계 가설 펜스(H=1.8m) 차단 및 우회 토공 동선 서면 승인</t>
        </is>
      </c>
      <c r="K15" s="14" t="inlineStr">
        <is>
          <t>토지보상법 준수 | 지장물 이설 부지 용지보상 현황 및 점용 경계 실측 | 미보상 사유지 가설 펜스 차단</t>
        </is>
      </c>
      <c r="L15" s="17" t="inlineStr">
        <is>
          <t>👉 [더블클릭] 표준서 열기 📄</t>
        </is>
      </c>
      <c r="M15" s="14" t="inlineStr">
        <is>
          <t>1) 미보상 필지 현출 &amp; 지적 대조 ➔ 2) 가설 펜스(H=1.8m) 차단 ➔ 3) 우회 토공 동선 수립 ➔ 4) 용지 보상 대책서 감리 승인</t>
        </is>
      </c>
      <c r="N15" s="17" t="inlineStr">
        <is>
          <t>👉 [더블클릭] 수행지침 열기 📄</t>
        </is>
      </c>
      <c r="O15" s="14" t="inlineStr">
        <is>
          <t>미보상 필지 지적 대조, 경계 가설 펜스(H=1.8m) 차단 및 우회 토공 동선 서면 승인</t>
        </is>
      </c>
      <c r="P15" s="17" t="inlineStr">
        <is>
          <t>👉 [더블클릭] 체크리스트 열기 📄</t>
        </is>
      </c>
      <c r="Q15" s="13" t="n"/>
      <c r="R15" s="14" t="inlineStr">
        <is>
          <t>● 토지보상법 및 공정 영향 분석</t>
        </is>
      </c>
      <c r="S15" s="18" t="inlineStr">
        <is>
          <t>1) 👉 [더블클릭] 체크리스트 열기 📄</t>
        </is>
      </c>
      <c r="T15" s="14" t="n"/>
    </row>
    <row r="16" ht="96" customHeight="1">
      <c r="A16" s="13" t="inlineStr">
        <is>
          <t>9000</t>
        </is>
      </c>
      <c r="B16" s="13" t="inlineStr">
        <is>
          <t>9000-5</t>
        </is>
      </c>
      <c r="C16" s="14" t="inlineStr">
        <is>
          <t>사전토공사</t>
        </is>
      </c>
      <c r="D16" s="13" t="inlineStr">
        <is>
          <t>9000-5-15</t>
        </is>
      </c>
      <c r="E16" s="13" t="inlineStr">
        <is>
          <t>D-30</t>
        </is>
      </c>
      <c r="F16" s="15" t="inlineStr">
        <is>
          <t>시공계획서 검토 지원</t>
        </is>
      </c>
      <c r="G16" s="13" t="inlineStr">
        <is>
          <t>토목품질팀</t>
        </is>
      </c>
      <c r="H16" s="14" t="inlineStr">
        <is>
          <t>건진법 시행령 제89조 | 사전 토공 시공계획서 표준 8대 목차 검토 | 착공 14일 전 감리 서면 승인</t>
        </is>
      </c>
      <c r="I16" s="14" t="inlineStr">
        <is>
          <t>1) 사전 토공 시공계획서 작성 ➔ 2) 8대 목차 &amp; KCS 수치 명시 ➔ 3) 착공 14일 전 감리단 제출 ➔ 4) 시공계획서 감리 서면 승인</t>
        </is>
      </c>
      <c r="J16" s="14" t="inlineStr">
        <is>
          <t>사전 토공 시공계획서 표준 8대 목차, KCS 수치 수록 및 착공 14일 전 감리 서면 승인</t>
        </is>
      </c>
      <c r="K16" s="14" t="inlineStr">
        <is>
          <t>건진법 시행령 제89조 | 사전 토공 시공계획서 표준 8대 목차 검토 | 착공 14일 전 감리 서면 승인</t>
        </is>
      </c>
      <c r="L16" s="17" t="inlineStr">
        <is>
          <t>👉 [더블클릭] 표준서 열기 📄</t>
        </is>
      </c>
      <c r="M16" s="14" t="inlineStr">
        <is>
          <t>1) 사전 토공 시공계획서 작성 ➔ 2) 8대 목차 &amp; KCS 수치 명시 ➔ 3) 착공 14일 전 감리단 제출 ➔ 4) 시공계획서 감리 서면 승인</t>
        </is>
      </c>
      <c r="N16" s="17" t="inlineStr">
        <is>
          <t>👉 [더블클릭] 수행지침 열기 📄</t>
        </is>
      </c>
      <c r="O16" s="14" t="inlineStr">
        <is>
          <t>사전 토공 시공계획서 표준 8대 목차, KCS 수치 수록 및 착공 14일 전 감리 서면 승인</t>
        </is>
      </c>
      <c r="P16" s="17" t="inlineStr">
        <is>
          <t>👉 [더블클릭] 체크리스트 열기 📄</t>
        </is>
      </c>
      <c r="Q16" s="13" t="n"/>
      <c r="R16" s="14" t="inlineStr">
        <is>
          <t>● 품질경영 매뉴얼 기준</t>
        </is>
      </c>
      <c r="S16" s="18" t="inlineStr">
        <is>
          <t>1) 👉 [더블클릭] 체크리스트 열기 📄</t>
        </is>
      </c>
      <c r="T16" s="14" t="n"/>
    </row>
    <row r="17" ht="96" customHeight="1">
      <c r="A17" s="13" t="inlineStr">
        <is>
          <t>9000</t>
        </is>
      </c>
      <c r="B17" s="13" t="inlineStr">
        <is>
          <t>9000-5</t>
        </is>
      </c>
      <c r="C17" s="14" t="inlineStr">
        <is>
          <t>사전토공사</t>
        </is>
      </c>
      <c r="D17" s="13" t="inlineStr">
        <is>
          <t>9000-5-16</t>
        </is>
      </c>
      <c r="E17" s="13" t="inlineStr">
        <is>
          <t>D-30</t>
        </is>
      </c>
      <c r="F17" s="15" t="inlineStr">
        <is>
          <t>시공계획 수립</t>
        </is>
      </c>
      <c r="G17" s="13" t="inlineStr">
        <is>
          <t>현장 공사팀</t>
        </is>
      </c>
      <c r="H17" s="14" t="inlineStr">
        <is>
          <t>KCS 47 10 25 토공 시방 | 깎기/성토 토공 유동표 작성 및 3D BIM 도면 대조 | 책임감리원 최종 승인</t>
        </is>
      </c>
      <c r="I17" s="14" t="inlineStr">
        <is>
          <t>1) 토공 깎기/성토 유동표 작성 ➔ 2) 3D BIM 모델 표고 대조 ➔ 3) 사면 안성성 계산서 부착 ➔ 4) 토공 시공계획서 감리 최종 결재</t>
        </is>
      </c>
      <c r="J17" s="14" t="inlineStr">
        <is>
          <t>토공 깎기/성토 유동표 작성, 3D BIM 모델 표고 대조 및 사면 안전성 계산서 감리 결재</t>
        </is>
      </c>
      <c r="K17" s="14" t="inlineStr">
        <is>
          <t>KCS 47 10 25 토공 시방 | 깎기/성토 토공 유동표 작성 및 3D BIM 도면 대조 | 책임감리원 최종 승인</t>
        </is>
      </c>
      <c r="L17" s="17" t="inlineStr">
        <is>
          <t>👉 [더블클릭] 표준서 열기 📄</t>
        </is>
      </c>
      <c r="M17" s="14" t="inlineStr">
        <is>
          <t>1) 토공 깎기/성토 유동표 작성 ➔ 2) 3D BIM 모델 표고 대조 ➔ 3) 사면 안성성 계산서 부착 ➔ 4) 토공 시공계획서 감리 최종 결재</t>
        </is>
      </c>
      <c r="N17" s="17" t="inlineStr">
        <is>
          <t>👉 [더블클릭] 수행지침 열기 📄</t>
        </is>
      </c>
      <c r="O17" s="14" t="inlineStr">
        <is>
          <t>토공 깎기/성토 유동표 작성, 3D BIM 모델 표고 대조 및 사면 안전성 계산서 감리 결재</t>
        </is>
      </c>
      <c r="P17" s="17" t="inlineStr">
        <is>
          <t>👉 [더블클릭] 체크리스트 열기 📄</t>
        </is>
      </c>
      <c r="Q17" s="13" t="n"/>
      <c r="R17" s="14" t="inlineStr">
        <is>
          <t>● 토공사 표준시방서 준수</t>
        </is>
      </c>
      <c r="S17" s="18" t="inlineStr">
        <is>
          <t>1) 👉 [더블클릭] 체크리스트 열기 📄</t>
        </is>
      </c>
      <c r="T17" s="14" t="n"/>
    </row>
    <row r="18" ht="96" customHeight="1">
      <c r="A18" s="13" t="inlineStr">
        <is>
          <t>9000</t>
        </is>
      </c>
      <c r="B18" s="13" t="inlineStr">
        <is>
          <t>9000-5</t>
        </is>
      </c>
      <c r="C18" s="14" t="inlineStr">
        <is>
          <t>사전토공사</t>
        </is>
      </c>
      <c r="D18" s="13" t="inlineStr">
        <is>
          <t>9000-5-17</t>
        </is>
      </c>
      <c r="E18" s="13" t="inlineStr">
        <is>
          <t>D-30</t>
        </is>
      </c>
      <c r="F18" s="15" t="inlineStr">
        <is>
          <t>후행공종 요구조건 반영 설계변경 검토</t>
        </is>
      </c>
      <c r="G18" s="13" t="inlineStr">
        <is>
          <t>현장 공무팀/공사팀</t>
        </is>
      </c>
      <c r="H18" s="14" t="inlineStr">
        <is>
          <t>건진법 설계변경 수칙 | 궤도/구조물 후행 공종 요구 표고 오차(±10mm) 반영 | 설계변경 실정보고서 작성</t>
        </is>
      </c>
      <c r="I18" s="14" t="inlineStr">
        <is>
          <t>1) 궤도/구조물 후행 요구 조건 수집 ➔ 2) 마무리면 표고 오차(±10mm) 반영 ➔ 3) 설계변경 실정보고서 작성 ➔ 4) 책임감리원 기술 승인</t>
        </is>
      </c>
      <c r="J18" s="14" t="inlineStr">
        <is>
          <t>궤도/구조물 후행 요구 조건 반영, 마무리면 표고 오차(±10mm) 반영 및 설계변경 실정보고</t>
        </is>
      </c>
      <c r="K18" s="14" t="inlineStr">
        <is>
          <t>건진법 설계변경 수칙 | 궤도/구조물 후행 공종 요구 표고 오차(±10mm) 반영 | 설계변경 실정보고서 작성</t>
        </is>
      </c>
      <c r="L18" s="17" t="inlineStr">
        <is>
          <t>👉 [더블클릭] 표준서 열기 📄</t>
        </is>
      </c>
      <c r="M18" s="14" t="inlineStr">
        <is>
          <t>1) 궤도/구조물 후행 요구 조건 수집 ➔ 2) 마무리면 표고 오차(±10mm) 반영 ➔ 3) 설계변경 실정보고서 작성 ➔ 4) 책임감리원 기술 승인</t>
        </is>
      </c>
      <c r="N18" s="17" t="inlineStr">
        <is>
          <t>👉 [더블클릭] 수행지침 열기 📄</t>
        </is>
      </c>
      <c r="O18" s="14" t="inlineStr">
        <is>
          <t>궤도/구조물 후행 요구 조건 반영, 마무리면 표고 오차(±10mm) 반영 및 설계변경 실정보고</t>
        </is>
      </c>
      <c r="P18" s="17" t="inlineStr">
        <is>
          <t>👉 [더블클릭] 체크리스트 열기 📄</t>
        </is>
      </c>
      <c r="Q18" s="13" t="n"/>
      <c r="R18" s="14" t="inlineStr">
        <is>
          <t>● 인터페이스 조건 만족</t>
        </is>
      </c>
      <c r="S18" s="18" t="inlineStr">
        <is>
          <t>1) 👉 [더블클릭] 체크리스트 열기 📄</t>
        </is>
      </c>
      <c r="T18" s="14" t="n"/>
    </row>
    <row r="19" ht="96" customHeight="1">
      <c r="A19" s="13" t="inlineStr">
        <is>
          <t>9000</t>
        </is>
      </c>
      <c r="B19" s="13" t="inlineStr">
        <is>
          <t>9000-5</t>
        </is>
      </c>
      <c r="C19" s="14" t="inlineStr">
        <is>
          <t>사전토공사</t>
        </is>
      </c>
      <c r="D19" s="13" t="inlineStr">
        <is>
          <t>9000-5-18</t>
        </is>
      </c>
      <c r="E19" s="13" t="inlineStr">
        <is>
          <t>D-30</t>
        </is>
      </c>
      <c r="F19" s="15" t="inlineStr">
        <is>
          <t>설계변경 (착수전)</t>
        </is>
      </c>
      <c r="G19" s="13" t="inlineStr">
        <is>
          <t>현장 공무팀/공사팀</t>
        </is>
      </c>
      <c r="H19" s="14" t="inlineStr">
        <is>
          <t>지방계약법 정산 수칙 | 착수 전 토종 변경 및 수량 증감 실정보고 작성 | 총사업비 변경 승인 수속</t>
        </is>
      </c>
      <c r="I19" s="14" t="inlineStr">
        <is>
          <t>1) 토질 변경 &amp; 수량 증감 실정보고 작성 ➔ 2) 단가 비교표 작성 ➔ 3) 설계변경 도서 제출 ➔ 4) 총사업비 변경 승인 결재</t>
        </is>
      </c>
      <c r="J19" s="14" t="inlineStr">
        <is>
          <t>토질 변경 &amp; 수량 증감 실정보고서 작성, 단가 비교표 작성 및 총사업비 변경 승인 결재</t>
        </is>
      </c>
      <c r="K19" s="14" t="inlineStr">
        <is>
          <t>지방계약법 정산 수칙 | 착수 전 토종 변경 및 수량 증감 실정보고 작성 | 총사업비 변경 승인 수속</t>
        </is>
      </c>
      <c r="L19" s="17" t="inlineStr">
        <is>
          <t>👉 [더블클릭] 표준서 열기 📄</t>
        </is>
      </c>
      <c r="M19" s="14" t="inlineStr">
        <is>
          <t>1) 토질 변경 &amp; 수량 증감 실정보고 작성 ➔ 2) 단가 비교표 작성 ➔ 3) 설계변경 도서 제출 ➔ 4) 총사업비 변경 승인 결재</t>
        </is>
      </c>
      <c r="N19" s="17" t="inlineStr">
        <is>
          <t>👉 [더블클릭] 수행지침 열기 📄</t>
        </is>
      </c>
      <c r="O19" s="14" t="inlineStr">
        <is>
          <t>토질 변경 &amp; 수량 증감 실정보고서 작성, 단가 비교표 작성 및 총사업비 변경 승인 결재</t>
        </is>
      </c>
      <c r="P19" s="17" t="inlineStr">
        <is>
          <t>👉 [더블클릭] 체크리스트 열기 📄</t>
        </is>
      </c>
      <c r="Q19" s="13" t="n"/>
      <c r="R19" s="14" t="inlineStr">
        <is>
          <t>● 설계변경 절차 규정 준수</t>
        </is>
      </c>
      <c r="S19" s="18" t="inlineStr">
        <is>
          <t>1) 👉 [더블클릭] 체크리스트 열기 📄</t>
        </is>
      </c>
      <c r="T19" s="14" t="n"/>
    </row>
    <row r="20" ht="96" customHeight="1">
      <c r="A20" s="13" t="inlineStr">
        <is>
          <t>9000</t>
        </is>
      </c>
      <c r="B20" s="13" t="inlineStr">
        <is>
          <t>9000-5</t>
        </is>
      </c>
      <c r="C20" s="14" t="inlineStr">
        <is>
          <t>사전토공사</t>
        </is>
      </c>
      <c r="D20" s="13" t="inlineStr">
        <is>
          <t>9000-5-19</t>
        </is>
      </c>
      <c r="E20" s="13" t="inlineStr">
        <is>
          <t>D-30</t>
        </is>
      </c>
      <c r="F20" s="15" t="inlineStr">
        <is>
          <t>설계변경 지원</t>
        </is>
      </c>
      <c r="G20" s="13" t="inlineStr">
        <is>
          <t>토목수행팀</t>
        </is>
      </c>
      <c r="H20" s="14" t="inlineStr">
        <is>
          <t>건진법 설계변경 규정 | 수량 산출서 및 단가 비교표 작성 | 책임감리원 기술 검토 의견서 첨부</t>
        </is>
      </c>
      <c r="I20" s="14" t="inlineStr">
        <is>
          <t>1) 변경 수량 산출서 정밀 집계 ➔ 2) 신규 단가 산정 서류 부착 ➔ 3) 감리단 기술 검토 수속 ➔ 4) 설계변경 제출 서면 결재</t>
        </is>
      </c>
      <c r="J20" s="14" t="inlineStr">
        <is>
          <t>변경 수량 산출서 정밀 집계, 신규 단가 산정 서류 첨부 및 책임감리원 기술 검토 수속</t>
        </is>
      </c>
      <c r="K20" s="14" t="inlineStr">
        <is>
          <t>건진법 설계변경 규정 | 수량 산출서 및 단가 비교표 작성 | 책임감리원 기술 검토 의견서 첨부</t>
        </is>
      </c>
      <c r="L20" s="17" t="inlineStr">
        <is>
          <t>👉 [더블클릭] 표준서 열기 📄</t>
        </is>
      </c>
      <c r="M20" s="14" t="inlineStr">
        <is>
          <t>1) 변경 수량 산출서 정밀 집계 ➔ 2) 신규 단가 산정 서류 부착 ➔ 3) 감리단 기술 검토 수속 ➔ 4) 설계변경 제출 서면 결재</t>
        </is>
      </c>
      <c r="N20" s="17" t="inlineStr">
        <is>
          <t>👉 [더블클릭] 수행지침 열기 📄</t>
        </is>
      </c>
      <c r="O20" s="14" t="inlineStr">
        <is>
          <t>변경 수량 산출서 정밀 집계, 신규 단가 산정 서류 첨부 및 책임감리원 기술 검토 수속</t>
        </is>
      </c>
      <c r="P20" s="17" t="inlineStr">
        <is>
          <t>👉 [더블클릭] 체크리스트 열기 📄</t>
        </is>
      </c>
      <c r="Q20" s="13" t="n"/>
      <c r="R20" s="14" t="inlineStr">
        <is>
          <t>● 기술 검증 규격 확인</t>
        </is>
      </c>
      <c r="S20" s="18" t="inlineStr">
        <is>
          <t>1) 👉 [더블클릭] 체크리스트 열기 📄</t>
        </is>
      </c>
      <c r="T20" s="14" t="n"/>
    </row>
    <row r="21" ht="96" customHeight="1">
      <c r="A21" s="13" t="inlineStr">
        <is>
          <t>9000</t>
        </is>
      </c>
      <c r="B21" s="13" t="inlineStr">
        <is>
          <t>9000-5</t>
        </is>
      </c>
      <c r="C21" s="14" t="inlineStr">
        <is>
          <t>사전토공사</t>
        </is>
      </c>
      <c r="D21" s="13" t="inlineStr">
        <is>
          <t>9000-5-20</t>
        </is>
      </c>
      <c r="E21" s="13" t="inlineStr">
        <is>
          <t>D-20</t>
        </is>
      </c>
      <c r="F21" s="15" t="inlineStr">
        <is>
          <t>교통관리 및 교통안전시설 설치</t>
        </is>
      </c>
      <c r="G21" s="13" t="inlineStr">
        <is>
          <t>현장 공사팀</t>
        </is>
      </c>
      <c r="H21" s="14" t="inlineStr">
        <is>
          <t>도로교통법 안전 수칙 | 게이트 바리케이트, 야간 LED 경광등 부설 | 전담 안전 신호수(2인 2조) 100% 배치</t>
        </is>
      </c>
      <c r="I21" s="14" t="inlineStr">
        <is>
          <t>1) 게이트 바리케이트 &amp; 경광등 부설 ➔ 2) 우회 차선 표지판 설치 ➔ 3) 전담 신호수(2인 2조) 배치 ➔ 4) 교통 안전 점검 대장 결재</t>
        </is>
      </c>
      <c r="J21" s="14" t="inlineStr">
        <is>
          <t>게이트 바리케이트/LED 경광등 설치, 우회 차선 표지판 검측 및 전담 신호수(2인 2조) 배치</t>
        </is>
      </c>
      <c r="K21" s="14" t="inlineStr">
        <is>
          <t>도로교통법 안전 수칙 | 게이트 바리케이트, 야간 LED 경광등 부설 | 전담 안전 신호수(2인 2조) 100% 배치</t>
        </is>
      </c>
      <c r="L21" s="17" t="inlineStr">
        <is>
          <t>👉 [더블클릭] 표준서 열기 📄</t>
        </is>
      </c>
      <c r="M21" s="14" t="inlineStr">
        <is>
          <t>1) 게이트 바리케이트 &amp; 경광등 부설 ➔ 2) 우회 차선 표지판 설치 ➔ 3) 전담 신호수(2인 2조) 배치 ➔ 4) 교통 안전 점검 대장 결재</t>
        </is>
      </c>
      <c r="N21" s="17" t="inlineStr">
        <is>
          <t>👉 [더블클릭] 수행지침 열기 📄</t>
        </is>
      </c>
      <c r="O21" s="14" t="inlineStr">
        <is>
          <t>게이트 바리케이트/LED 경광등 설치, 우회 차선 표지판 검측 및 전담 신호수(2인 2조) 배치</t>
        </is>
      </c>
      <c r="P21" s="17" t="inlineStr">
        <is>
          <t>👉 [더블클릭] 체크리스트 열기 📄</t>
        </is>
      </c>
      <c r="Q21" s="13" t="n"/>
      <c r="R21" s="14" t="inlineStr">
        <is>
          <t>● 경찰청 협의사항 및 교통안전시설 설치기준 준수</t>
        </is>
      </c>
      <c r="S21" s="18" t="inlineStr">
        <is>
          <t>1) 👉 [더블클릭] 체크리스트 열기 📄</t>
        </is>
      </c>
      <c r="T21" s="14" t="n"/>
    </row>
    <row r="22" ht="96" customHeight="1">
      <c r="A22" s="13" t="inlineStr">
        <is>
          <t>9000</t>
        </is>
      </c>
      <c r="B22" s="13" t="inlineStr">
        <is>
          <t>9000-5</t>
        </is>
      </c>
      <c r="C22" s="14" t="inlineStr">
        <is>
          <t>사전토공사</t>
        </is>
      </c>
      <c r="D22" s="13" t="inlineStr">
        <is>
          <t>9000-5-21</t>
        </is>
      </c>
      <c r="E22" s="13" t="inlineStr">
        <is>
          <t>D-10</t>
        </is>
      </c>
      <c r="F22" s="15" t="inlineStr">
        <is>
          <t>장비 검수 지원</t>
        </is>
      </c>
      <c r="G22" s="13" t="inlineStr">
        <is>
          <t>기술안전팀</t>
        </is>
      </c>
      <c r="H22" s="14" t="inlineStr">
        <is>
          <t>건설기계관리법 제13조 | 자중 10t+ 굴착기, 덤프 정기검사증 검수 | 후방 센서 점검 및 반입 허가</t>
        </is>
      </c>
      <c r="I22" s="14" t="inlineStr">
        <is>
          <t>1) 10t+ 굴착기/덤프 사양 검수 ➔ 2) 건설기계 정기검사증 점검 ➔ 3) 후방 카메라/경보음 시동 점검 ➔ 4) 장비 반입 승인서 감리 결재</t>
        </is>
      </c>
      <c r="J22" s="14" t="inlineStr">
        <is>
          <t>자중 10t+ 굴착기/덤프 정기검사증, 후방 카메라/경보음 시동 점검 및 반입 허가 결재</t>
        </is>
      </c>
      <c r="K22" s="14" t="inlineStr">
        <is>
          <t>건설기계관리법 제13조 | 자중 10t+ 굴착기, 덤프 정기검사증 검수 | 후방 센서 점검 및 반입 허가</t>
        </is>
      </c>
      <c r="L22" s="17" t="inlineStr">
        <is>
          <t>👉 [더블클릭] 표준서 열기 📄</t>
        </is>
      </c>
      <c r="M22" s="14" t="inlineStr">
        <is>
          <t>1) 10t+ 굴착기/덤프 사양 검수 ➔ 2) 건설기계 정기검사증 점검 ➔ 3) 후방 카메라/경보음 시동 점검 ➔ 4) 장비 반입 승인서 감리 결재</t>
        </is>
      </c>
      <c r="N22" s="17" t="inlineStr">
        <is>
          <t>👉 [더블클릭] 수행지침 열기 📄</t>
        </is>
      </c>
      <c r="O22" s="14" t="inlineStr">
        <is>
          <t>자중 10t+ 굴착기/덤프 정기검사증, 후방 카메라/경보음 시동 점검 및 반입 허가 결재</t>
        </is>
      </c>
      <c r="P22" s="17" t="inlineStr">
        <is>
          <t>👉 [더블클릭] 체크리스트 열기 📄</t>
        </is>
      </c>
      <c r="Q22" s="13" t="n"/>
      <c r="R22" s="14" t="inlineStr">
        <is>
          <t>● 산업안전보건법 및 건설기계관리법 준수</t>
        </is>
      </c>
      <c r="S22" s="18" t="inlineStr">
        <is>
          <t>1) 👉 [더블클릭] 체크리스트 열기 📄</t>
        </is>
      </c>
      <c r="T22" s="14" t="n"/>
    </row>
    <row r="23" ht="96" customHeight="1">
      <c r="A23" s="13" t="inlineStr">
        <is>
          <t>9000</t>
        </is>
      </c>
      <c r="B23" s="13" t="inlineStr">
        <is>
          <t>9000-5</t>
        </is>
      </c>
      <c r="C23" s="14" t="inlineStr">
        <is>
          <t>사전토공사</t>
        </is>
      </c>
      <c r="D23" s="13" t="inlineStr">
        <is>
          <t>9000-5-22</t>
        </is>
      </c>
      <c r="E23" s="13" t="inlineStr">
        <is>
          <t>D+10~30</t>
        </is>
      </c>
      <c r="F23" s="15" t="inlineStr">
        <is>
          <t>벌목/벌근제거</t>
        </is>
      </c>
      <c r="G23" s="13" t="inlineStr">
        <is>
          <t>현장 공사팀</t>
        </is>
      </c>
      <c r="H23" s="14" t="inlineStr">
        <is>
          <t>KCS 47 10 25 산림 벌목 시방 | 수목 벌목 및 뿌리 제거(벌근) 깊이 30cm 이상 | 임목 폐기물 수속 처리</t>
        </is>
      </c>
      <c r="I23" s="14" t="inlineStr">
        <is>
          <t>1) 현장 지반 수목 벌목 시행 ➔ 2) 뿌리 제거(벌근) 깊이 30cm 굴착 ➔ 3) 임목 폐기물 수속 처리 ➔ 4) 벌목 벌근 성과표 감리 승인</t>
        </is>
      </c>
      <c r="J23" s="14" t="inlineStr">
        <is>
          <t>현장 수목 벌목 시행, 뿌리 제거(벌근) 깊이 30cm 이상 굴착 및 임목 폐기물 수속 처리</t>
        </is>
      </c>
      <c r="K23" s="14" t="inlineStr">
        <is>
          <t>KCS 47 10 25 산림 벌목 시방 | 수목 벌목 및 뿌리 제거(벌근) 깊이 30cm 이상 | 임목 폐기물 수속 처리</t>
        </is>
      </c>
      <c r="L23" s="17" t="inlineStr">
        <is>
          <t>👉 [더블클릭] 표준서 열기 📄</t>
        </is>
      </c>
      <c r="M23" s="14" t="inlineStr">
        <is>
          <t>1) 현장 지반 수목 벌목 시행 ➔ 2) 뿌리 제거(벌근) 깊이 30cm 굴착 ➔ 3) 임목 폐기물 수속 처리 ➔ 4) 벌목 벌근 성과표 감리 승인</t>
        </is>
      </c>
      <c r="N23" s="17" t="inlineStr">
        <is>
          <t>👉 [더블클릭] 수행지침 열기 📄</t>
        </is>
      </c>
      <c r="O23" s="14" t="inlineStr">
        <is>
          <t>현장 수목 벌목 시행, 뿌리 제거(벌근) 깊이 30cm 이상 굴착 및 임목 폐기물 수속 처리</t>
        </is>
      </c>
      <c r="P23" s="17" t="inlineStr">
        <is>
          <t>👉 [더블클릭] 체크리스트 열기 📄</t>
        </is>
      </c>
      <c r="Q23" s="13" t="n"/>
      <c r="R23" s="14" t="inlineStr">
        <is>
          <t>● 산림자원법 및 환경 기준 준수</t>
        </is>
      </c>
      <c r="S23" s="18" t="inlineStr">
        <is>
          <t>1) 👉 [더블클릭] 체크리스트 열기 📄</t>
        </is>
      </c>
      <c r="T23" s="14" t="n"/>
    </row>
    <row r="24" ht="96" customHeight="1">
      <c r="A24" s="13" t="inlineStr">
        <is>
          <t>9000</t>
        </is>
      </c>
      <c r="B24" s="13" t="inlineStr">
        <is>
          <t>9000-5</t>
        </is>
      </c>
      <c r="C24" s="14" t="inlineStr">
        <is>
          <t>사전토공사</t>
        </is>
      </c>
      <c r="D24" s="13" t="inlineStr">
        <is>
          <t>9000-5-23</t>
        </is>
      </c>
      <c r="E24" s="13" t="inlineStr">
        <is>
          <t>D+10~25</t>
        </is>
      </c>
      <c r="F24" s="15" t="inlineStr">
        <is>
          <t>기존구조물 / 지장물 처리</t>
        </is>
      </c>
      <c r="G24" s="13" t="inlineStr">
        <is>
          <t>현장 공사팀 / 공무팀</t>
        </is>
      </c>
      <c r="H24" s="14" t="inlineStr">
        <is>
          <t>폐기물관리법 준수 | 기존 아스콘/콘크리트 구조물 안전 삭평 철거 | 건설 폐기물 성적표 수속</t>
        </is>
      </c>
      <c r="I24" s="14" t="inlineStr">
        <is>
          <t>1) 기존 아스콘/콘크리트 삭평 철거 ➔ 2) 폐기물 분리 수거 &amp; 적재 ➔ 3) 건설 폐기물 위탁 처리 ➔ 4) 지장물 처리 성과표 감리 승인</t>
        </is>
      </c>
      <c r="J24" s="14" t="inlineStr">
        <is>
          <t>기존 아스콘/콘크리트 삭평 철거, 건설 폐기물 분리 수거 적재 및 폐기물 성적서 수속</t>
        </is>
      </c>
      <c r="K24" s="14" t="inlineStr">
        <is>
          <t>폐기물관리법 준수 | 기존 아스콘/콘크리트 구조물 안전 삭평 철거 | 건설 폐기물 성적표 수속</t>
        </is>
      </c>
      <c r="L24" s="17" t="inlineStr">
        <is>
          <t>👉 [더블클릭] 표준서 열기 📄</t>
        </is>
      </c>
      <c r="M24" s="14" t="inlineStr">
        <is>
          <t>1) 기존 아스콘/콘크리트 삭평 철거 ➔ 2) 폐기물 분리 수거 &amp; 적재 ➔ 3) 건설 폐기물 위탁 처리 ➔ 4) 지장물 처리 성과표 감리 승인</t>
        </is>
      </c>
      <c r="N24" s="17" t="inlineStr">
        <is>
          <t>👉 [더블클릭] 수행지침 열기 📄</t>
        </is>
      </c>
      <c r="O24" s="14" t="inlineStr">
        <is>
          <t>기존 아스콘/콘크리트 삭평 철거, 건설 폐기물 분리 수거 적재 및 폐기물 성적서 수속</t>
        </is>
      </c>
      <c r="P24" s="17" t="inlineStr">
        <is>
          <t>👉 [더블클릭] 체크리스트 열기 📄</t>
        </is>
      </c>
      <c r="Q24" s="13" t="n"/>
      <c r="R24" s="14" t="inlineStr">
        <is>
          <t>● 지장물 이설 및 철거 규정 준수</t>
        </is>
      </c>
      <c r="S24" s="18" t="inlineStr">
        <is>
          <t>1) 👉 [더블클릭] 체크리스트 열기 📄</t>
        </is>
      </c>
      <c r="T24" s="14" t="n"/>
    </row>
    <row r="25" ht="96" customHeight="1">
      <c r="A25" s="13" t="inlineStr">
        <is>
          <t>9000</t>
        </is>
      </c>
      <c r="B25" s="13" t="inlineStr">
        <is>
          <t>9000-5</t>
        </is>
      </c>
      <c r="C25" s="14" t="inlineStr">
        <is>
          <t>사전토공사</t>
        </is>
      </c>
      <c r="D25" s="13" t="inlineStr">
        <is>
          <t>9000-5-24</t>
        </is>
      </c>
      <c r="E25" s="13" t="inlineStr">
        <is>
          <t>D+10~30</t>
        </is>
      </c>
      <c r="F25" s="15" t="inlineStr">
        <is>
          <t>진입로 조성</t>
        </is>
      </c>
      <c r="G25" s="13" t="inlineStr">
        <is>
          <t>현장 공사팀</t>
        </is>
      </c>
      <c r="H25" s="14" t="inlineStr">
        <is>
          <t>KCS 47 10 25 가설 도로 | 덤프트럭 진입 가설 도로 폭 6m 포설 | 쇄석 골재(두께 20cm) 부설 &amp; 살수</t>
        </is>
      </c>
      <c r="I25" s="14" t="inlineStr">
        <is>
          <t>1) 가설 도로 폭 6m 성토 굴착 ➔ 2) 쇄석 골재(두께 20cm) 부설 ➔ 3) 10t 롤러 다짐 &amp; 살수 ➔ 4) 진입로 조성 성과표 감리 승인</t>
        </is>
      </c>
      <c r="J25" s="14" t="inlineStr">
        <is>
          <t>가설 도로 폭 6m 성토 굴착, 쇄석 골재(두께 20cm) 부설, 10t 롤러 다짐 및 살수 점검</t>
        </is>
      </c>
      <c r="K25" s="14" t="inlineStr">
        <is>
          <t>KCS 47 10 25 가설 도로 | 덤프트럭 진입 가설 도로 폭 6m 포설 | 쇄석 골재(두께 20cm) 부설 &amp; 살수</t>
        </is>
      </c>
      <c r="L25" s="17" t="inlineStr">
        <is>
          <t>👉 [더블클릭] 표준서 열기 📄</t>
        </is>
      </c>
      <c r="M25" s="14" t="inlineStr">
        <is>
          <t>1) 가설 도로 폭 6m 성토 굴착 ➔ 2) 쇄석 골재(두께 20cm) 부설 ➔ 3) 10t 롤러 다짐 &amp; 살수 ➔ 4) 진입로 조성 성과표 감리 승인</t>
        </is>
      </c>
      <c r="N25" s="17" t="inlineStr">
        <is>
          <t>👉 [더블클릭] 수행지침 열기 📄</t>
        </is>
      </c>
      <c r="O25" s="14" t="inlineStr">
        <is>
          <t>가설 도로 폭 6m 성토 굴착, 쇄석 골재(두께 20cm) 부설, 10t 롤러 다짐 및 살수 점검</t>
        </is>
      </c>
      <c r="P25" s="17" t="inlineStr">
        <is>
          <t>👉 [더블클릭] 체크리스트 열기 📄</t>
        </is>
      </c>
      <c r="Q25" s="13" t="n"/>
      <c r="R25" s="14" t="inlineStr">
        <is>
          <t>● 진입로 종단구배 및 가로 폭 규격 만족</t>
        </is>
      </c>
      <c r="S25" s="18" t="inlineStr">
        <is>
          <t>1) 👉 [더블클릭] 체크리스트 열기 📄</t>
        </is>
      </c>
      <c r="T25" s="14" t="n"/>
    </row>
    <row r="26" ht="96" customHeight="1">
      <c r="A26" s="13" t="inlineStr">
        <is>
          <t>9000</t>
        </is>
      </c>
      <c r="B26" s="13" t="inlineStr">
        <is>
          <t>9000-5</t>
        </is>
      </c>
      <c r="C26" s="14" t="inlineStr">
        <is>
          <t>사전토공사</t>
        </is>
      </c>
      <c r="D26" s="13" t="inlineStr">
        <is>
          <t>9000-5-25</t>
        </is>
      </c>
      <c r="E26" s="13" t="inlineStr">
        <is>
          <t>D+10~30</t>
        </is>
      </c>
      <c r="F26" s="15" t="inlineStr">
        <is>
          <t>배수/환경시설 설치</t>
        </is>
      </c>
      <c r="G26" s="13" t="inlineStr">
        <is>
          <t>현장 공사팀</t>
        </is>
      </c>
      <c r="H26" s="14" t="inlineStr">
        <is>
          <t>KCS 47 10 25 배수 시방 | 가배수로(0.6×0.6m) &amp; 가침사지 설치 | 세륜기(깊이 1.2m) 가동 및 배수 검측</t>
        </is>
      </c>
      <c r="I26" s="14" t="inlineStr">
        <is>
          <t>1) 가배수로(0.6×0.6m) &amp; 가침사지 터파기 ➔ 2) 세륜기(깊이 1.2m) 부설 ➔ 3) 양수 펌프 비치 ➔ 4) 배수 환경 시설 감리 서면 승인</t>
        </is>
      </c>
      <c r="J26" s="14" t="inlineStr">
        <is>
          <t>가배수로(0.6×0.6m) &amp; 가침사지 설치, 세륜기(깊이 1.2m) 가동 및 수중 양수 펌프 비치</t>
        </is>
      </c>
      <c r="K26" s="14" t="inlineStr">
        <is>
          <t>KCS 47 10 25 배수 시방 | 가배수로(0.6×0.6m) &amp; 가침사지 설치 | 세륜기(깊이 1.2m) 가동 및 배수 검측</t>
        </is>
      </c>
      <c r="L26" s="17" t="inlineStr">
        <is>
          <t>👉 [더블클릭] 표준서 열기 📄</t>
        </is>
      </c>
      <c r="M26" s="14" t="inlineStr">
        <is>
          <t>1) 가배수로(0.6×0.6m) &amp; 가침사지 터파기 ➔ 2) 세륜기(깊이 1.2m) 부설 ➔ 3) 양수 펌프 비치 ➔ 4) 배수 환경 시설 감리 서면 승인</t>
        </is>
      </c>
      <c r="N26" s="17" t="inlineStr">
        <is>
          <t>👉 [더블클릭] 수행지침 열기 📄</t>
        </is>
      </c>
      <c r="O26" s="14" t="inlineStr">
        <is>
          <t>가배수로(0.6×0.6m) &amp; 가침사지 설치, 세륜기(깊이 1.2m) 가동 및 수중 양수 펌프 비치</t>
        </is>
      </c>
      <c r="P26" s="17" t="inlineStr">
        <is>
          <t>👉 [더블클릭] 체크리스트 열기 📄</t>
        </is>
      </c>
      <c r="Q26" s="13" t="n"/>
      <c r="R26" s="14" t="inlineStr">
        <is>
          <t>● 환경보존법 및 비산먼지/침사지 규정 준수</t>
        </is>
      </c>
      <c r="S26" s="18" t="inlineStr">
        <is>
          <t>1) 👉 [더블클릭] 체크리스트 열기 📄</t>
        </is>
      </c>
      <c r="T26" s="14" t="n"/>
    </row>
    <row r="27" ht="96" customHeight="1">
      <c r="A27" s="13" t="inlineStr">
        <is>
          <t>9000</t>
        </is>
      </c>
      <c r="B27" s="13" t="inlineStr">
        <is>
          <t>9000-5</t>
        </is>
      </c>
      <c r="C27" s="14" t="inlineStr">
        <is>
          <t>사전토공사</t>
        </is>
      </c>
      <c r="D27" s="13" t="inlineStr">
        <is>
          <t>9000-5-26</t>
        </is>
      </c>
      <c r="E27" s="13" t="inlineStr">
        <is>
          <t>D+10~30</t>
        </is>
      </c>
      <c r="F27" s="15" t="inlineStr">
        <is>
          <t>토공 굴착</t>
        </is>
      </c>
      <c r="G27" s="13" t="inlineStr">
        <is>
          <t>현장 공사팀</t>
        </is>
      </c>
      <c r="H27" s="14" t="inlineStr">
        <is>
          <t>KCS 47 10 25 굴착 규정 | 3D GPS 굴착기 표고 오차 ±20mm 통제 | 사면 비탈면 경사(1:1.5) 준수</t>
        </is>
      </c>
      <c r="I27" s="14" t="inlineStr">
        <is>
          <t>1) 3D GPS 굴착기 정밀 세팅 ➔ 2) 토사 깎기 &amp; 사면 비탈면(1:1.5) 굴착 ➔ 3) 표고 오차(±20mm) 검측 ➔ 4) 토공 굴착 성과표 감리 승인</t>
        </is>
      </c>
      <c r="J27" s="14" t="inlineStr">
        <is>
          <t>3D GPS 굴착기 표고 오차 ±20mm 통제, 사면 비탈면 경사(1:1.5 이하) 준수 및 굴착 검측</t>
        </is>
      </c>
      <c r="K27" s="14" t="inlineStr">
        <is>
          <t>KCS 47 10 25 굴착 규정 | 3D GPS 굴착기 표고 오차 ±20mm 통제 | 사면 비탈면 경사(1:1.5) 준수</t>
        </is>
      </c>
      <c r="L27" s="17" t="inlineStr">
        <is>
          <t>👉 [더블클릭] 표준서 열기 📄</t>
        </is>
      </c>
      <c r="M27" s="14" t="inlineStr">
        <is>
          <t>1) 3D GPS 굴착기 정밀 세팅 ➔ 2) 토사 깎기 &amp; 사면 비탈면(1:1.5) 굴착 ➔ 3) 표고 오차(±20mm) 검측 ➔ 4) 토공 굴착 성과표 감리 승인</t>
        </is>
      </c>
      <c r="N27" s="17" t="inlineStr">
        <is>
          <t>👉 [더블클릭] 수행지침 열기 📄</t>
        </is>
      </c>
      <c r="O27" s="14" t="inlineStr">
        <is>
          <t>3D GPS 굴착기 표고 오차 ±20mm 통제, 사면 비탈면 경사(1:1.5 이하) 준수 및 굴착 검측</t>
        </is>
      </c>
      <c r="P27" s="17" t="inlineStr">
        <is>
          <t>👉 [더블클릭] 체크리스트 열기 📄</t>
        </is>
      </c>
      <c r="Q27" s="13" t="n"/>
      <c r="R27" s="14" t="inlineStr">
        <is>
          <t>● 굴착 사면 기울기 및 굴착 공차 한계 준수</t>
        </is>
      </c>
      <c r="S27" s="18" t="inlineStr">
        <is>
          <t>1) 👉 [더블클릭] 체크리스트 열기 📄</t>
        </is>
      </c>
      <c r="T27" s="14" t="n"/>
    </row>
    <row r="28" ht="96" customHeight="1">
      <c r="A28" s="13" t="inlineStr">
        <is>
          <t>9000</t>
        </is>
      </c>
      <c r="B28" s="13" t="inlineStr">
        <is>
          <t>9000-5</t>
        </is>
      </c>
      <c r="C28" s="14" t="inlineStr">
        <is>
          <t>사전토공사</t>
        </is>
      </c>
      <c r="D28" s="13" t="inlineStr">
        <is>
          <t>9000-5-27</t>
        </is>
      </c>
      <c r="E28" s="13" t="inlineStr">
        <is>
          <t>D+10~30</t>
        </is>
      </c>
      <c r="F28" s="15" t="inlineStr">
        <is>
          <t>노상토 지지력 확인</t>
        </is>
      </c>
      <c r="G28" s="13" t="inlineStr">
        <is>
          <t>현장 품질팀</t>
        </is>
      </c>
      <c r="H28" s="14" t="inlineStr">
        <is>
          <t>KS F 2310 규정 준수 | 굴착 바닥 원지반 평판재하시험 K30 ≥ 70 MN/m³ | 덤프트럭 펌핑 연약 지반 점검</t>
        </is>
      </c>
      <c r="I28" s="14" t="inlineStr">
        <is>
          <t>1) 굴착 바닥 원지반 수평 정리 ➔ 2) K30 평판재하시험(≥70 MN/m³) ➔ 3) 덤프트럭 펌핑 연약 지반 점검 ➔ 4) 노상토 지지력 성과표 승인</t>
        </is>
      </c>
      <c r="J28" s="14" t="inlineStr">
        <is>
          <t>굴착 바닥 평판재하시험 K30 ≥ 70 MN/m³, 덤프트럭 펌핑 연약 지반 점검 및 노상토 승인</t>
        </is>
      </c>
      <c r="K28" s="14" t="inlineStr">
        <is>
          <t>KS F 2310 규정 준수 | 굴착 바닥 원지반 평판재하시험 K30 ≥ 70 MN/m³ | 덤프트럭 펌핑 연약 지반 점검</t>
        </is>
      </c>
      <c r="L28" s="17" t="inlineStr">
        <is>
          <t>👉 [더블클릭] 표준서 열기 📄</t>
        </is>
      </c>
      <c r="M28" s="14" t="inlineStr">
        <is>
          <t>1) 굴착 바닥 원지반 수평 정리 ➔ 2) K30 평판재하시험(≥70 MN/m³) ➔ 3) 덤프트럭 펌핑 연약 지반 점검 ➔ 4) 노상토 지지력 성과표 승인</t>
        </is>
      </c>
      <c r="N28" s="17" t="inlineStr">
        <is>
          <t>👉 [더블클릭] 수행지침 열기 📄</t>
        </is>
      </c>
      <c r="O28" s="14" t="inlineStr">
        <is>
          <t>굴착 바닥 평판재하시험 K30 ≥ 70 MN/m³, 덤프트럭 펌핑 연약 지반 점검 및 노상토 승인</t>
        </is>
      </c>
      <c r="P28" s="17" t="inlineStr">
        <is>
          <t>👉 [더블클릭] 체크리스트 열기 📄</t>
        </is>
      </c>
      <c r="Q28" s="13" t="n"/>
      <c r="R28" s="14" t="inlineStr">
        <is>
          <t>● 강화노반 필요 지지력 규격 만족</t>
        </is>
      </c>
      <c r="S28" s="18" t="inlineStr">
        <is>
          <t>1) 👉 [더블클릭] 체크리스트 열기 📄</t>
        </is>
      </c>
      <c r="T28" s="14" t="n"/>
    </row>
    <row r="29" ht="96" customHeight="1">
      <c r="A29" s="13" t="inlineStr">
        <is>
          <t>9000</t>
        </is>
      </c>
      <c r="B29" s="13" t="inlineStr">
        <is>
          <t>9000-5</t>
        </is>
      </c>
      <c r="C29" s="14" t="inlineStr">
        <is>
          <t>사전토공사</t>
        </is>
      </c>
      <c r="D29" s="13" t="inlineStr">
        <is>
          <t>9000-5-28</t>
        </is>
      </c>
      <c r="E29" s="13" t="inlineStr">
        <is>
          <t>D+10~30</t>
        </is>
      </c>
      <c r="F29" s="15" t="inlineStr">
        <is>
          <t>쌓기 및 다짐(필요시)</t>
        </is>
      </c>
      <c r="G29" s="13" t="inlineStr">
        <is>
          <t>현장 공사팀</t>
        </is>
      </c>
      <c r="H29" s="14" t="inlineStr">
        <is>
          <t>KCS 47 10 25 성토 시방 | 층두께 ≤ 30cm 토사 포설 | 10t 강동 롤러 다짐(들밀도 다짐도 ≥ 90%)</t>
        </is>
      </c>
      <c r="I29" s="14" t="inlineStr">
        <is>
          <t>1) 성토 토사 30cm 층포설 ➔ 2) 살수차 최적함수비 살수 ➔ 3) 10t 강동 롤러 다짐(다짐도≥90%) ➔ 4) 성토 다짐 성과표 감리 승인</t>
        </is>
      </c>
      <c r="J29" s="14" t="inlineStr">
        <is>
          <t>성토 토사 30cm 층포설, 살수차 최적함수비 OMC 살수 및 10t 롤러 다짐(다짐도 ≥ 90%)</t>
        </is>
      </c>
      <c r="K29" s="14" t="inlineStr">
        <is>
          <t>KCS 47 10 25 성토 시방 | 층두께 ≤ 30cm 토사 포설 | 10t 강동 롤러 다짐(들밀도 다짐도 ≥ 90%)</t>
        </is>
      </c>
      <c r="L29" s="17" t="inlineStr">
        <is>
          <t>👉 [더블클릭] 표준서 열기 📄</t>
        </is>
      </c>
      <c r="M29" s="14" t="inlineStr">
        <is>
          <t>1) 성토 토사 30cm 층포설 ➔ 2) 살수차 최적함수비 살수 ➔ 3) 10t 강동 롤러 다짐(다짐도≥90%) ➔ 4) 성토 다짐 성과표 감리 승인</t>
        </is>
      </c>
      <c r="N29" s="17" t="inlineStr">
        <is>
          <t>👉 [더블클릭] 수행지침 열기 📄</t>
        </is>
      </c>
      <c r="O29" s="14" t="inlineStr">
        <is>
          <t>성토 토사 30cm 층포설, 살수차 최적함수비 OMC 살수 및 10t 롤러 다짐(다짐도 ≥ 90%)</t>
        </is>
      </c>
      <c r="P29" s="17" t="inlineStr">
        <is>
          <t>👉 [더블클릭] 체크리스트 열기 📄</t>
        </is>
      </c>
      <c r="Q29" s="13" t="n"/>
      <c r="R29" s="14" t="inlineStr">
        <is>
          <t>● 다짐도(95% 이상) 규격 준수</t>
        </is>
      </c>
      <c r="S29" s="18" t="inlineStr">
        <is>
          <t>1) 👉 [더블클릭] 체크리스트 열기 📄</t>
        </is>
      </c>
      <c r="T29" s="14" t="n"/>
    </row>
    <row r="30" ht="96" customHeight="1">
      <c r="A30" s="13" t="inlineStr">
        <is>
          <t>9000</t>
        </is>
      </c>
      <c r="B30" s="13" t="inlineStr">
        <is>
          <t>9000-5</t>
        </is>
      </c>
      <c r="C30" s="14" t="inlineStr">
        <is>
          <t>사전토공사</t>
        </is>
      </c>
      <c r="D30" s="13" t="inlineStr">
        <is>
          <t>9000-5-29</t>
        </is>
      </c>
      <c r="E30" s="13" t="inlineStr">
        <is>
          <t>D+75일 이후</t>
        </is>
      </c>
      <c r="F30" s="15" t="inlineStr">
        <is>
          <t>현장지원</t>
        </is>
      </c>
      <c r="G30" s="13" t="inlineStr">
        <is>
          <t>토목수행팀, 토목품질팀, 토목안전팀</t>
        </is>
      </c>
      <c r="H30" s="14" t="inlineStr">
        <is>
          <t>현장 통합 소통 수칙 | 일일 TBM 및 품질/안전 지원 대장 수록 | 감리 입회 검측 서면 승인</t>
        </is>
      </c>
      <c r="I30" s="14" t="inlineStr">
        <is>
          <t>1) 일일 현장 품질/안전 지원 ➔ 2) TBM 및 근로자 교육 ➔ 3) 공정 장애 요소 해소 ➔ 4) 현장 지원 대장 서면 승인</t>
        </is>
      </c>
      <c r="J30" s="14" t="inlineStr">
        <is>
          <t>일일 현장 품질/안전 지원 대장, TBM 및 근로자 교육 시행 서면 승인</t>
        </is>
      </c>
      <c r="K30" s="14" t="inlineStr">
        <is>
          <t>현장 통합 소통 수칙 | 일일 TBM 및 품질/안전 지원 대장 수록 | 감리 입회 검측 서면 승인</t>
        </is>
      </c>
      <c r="L30" s="17" t="inlineStr">
        <is>
          <t>👉 [더블클릭] 표준서 열기 📄</t>
        </is>
      </c>
      <c r="M30" s="14" t="inlineStr">
        <is>
          <t>1) 일일 현장 품질/안전 지원 ➔ 2) TBM 및 근로자 교육 ➔ 3) 공정 장애 요소 해소 ➔ 4) 현장 지원 대장 서면 승인</t>
        </is>
      </c>
      <c r="N30" s="17" t="inlineStr">
        <is>
          <t>👉 [더블클릭] 수행지침 열기 📄</t>
        </is>
      </c>
      <c r="O30" s="14" t="inlineStr">
        <is>
          <t>일일 현장 품질/안전 지원 대장, TBM 및 근로자 교육 시행 서면 승인</t>
        </is>
      </c>
      <c r="P30" s="17" t="inlineStr">
        <is>
          <t>👉 [더블클릭] 체크리스트 열기 📄</t>
        </is>
      </c>
      <c r="Q30" s="13" t="n"/>
      <c r="R30" s="14" t="inlineStr">
        <is>
          <t>● 본사 정기현장점검 지침 준수</t>
        </is>
      </c>
      <c r="S30" s="18" t="inlineStr">
        <is>
          <t>1) 👉 [더블클릭] 체크리스트 열기 📄</t>
        </is>
      </c>
      <c r="T30" s="14" t="n"/>
    </row>
    <row r="31" ht="96" customHeight="1">
      <c r="A31" s="13" t="inlineStr">
        <is>
          <t>9000</t>
        </is>
      </c>
      <c r="B31" s="13" t="inlineStr">
        <is>
          <t>9000-5</t>
        </is>
      </c>
      <c r="C31" s="14" t="inlineStr">
        <is>
          <t>사전토공사</t>
        </is>
      </c>
      <c r="D31" s="13" t="inlineStr">
        <is>
          <t>9000-5-30</t>
        </is>
      </c>
      <c r="E31" s="13" t="inlineStr">
        <is>
          <t>D+75일 이후</t>
        </is>
      </c>
      <c r="F31" s="15" t="inlineStr">
        <is>
          <t>강화노반 인계</t>
        </is>
      </c>
      <c r="G31" s="13" t="inlineStr">
        <is>
          <t>현장 공사팀 / 품질팀</t>
        </is>
      </c>
      <c r="H31" s="14" t="inlineStr">
        <is>
          <t>KCS 47 10 25 인계인수 수칙 | 토공-강화노반 시공팀 3자 합동 레벨 측량 | 마무리면 인계인수서 서명</t>
        </is>
      </c>
      <c r="I31" s="14" t="inlineStr">
        <is>
          <t>1) 토공-강화노반 시공팀 3자 합동 현측 ➔ 2) 마무리면 레벨 오차(±10mm) 확인 ➔ 3) 인계인수 합의서 서명 ➔ 4) 토공 마무리면 인계 완료</t>
        </is>
      </c>
      <c r="J31" s="14" t="inlineStr">
        <is>
          <t>토공-강화노반 시공팀 3자 합동 레벨 측량, 마무리면 레벨 오차(±10mm) 인계인수서 서명</t>
        </is>
      </c>
      <c r="K31" s="14" t="inlineStr">
        <is>
          <t>KCS 47 10 25 인계인수 수칙 | 토공-강화노반 시공팀 3자 합동 레벨 측량 | 마무리면 인계인수서 서명</t>
        </is>
      </c>
      <c r="L31" s="17" t="inlineStr">
        <is>
          <t>👉 [더블클릭] 표준서 열기 📄</t>
        </is>
      </c>
      <c r="M31" s="14" t="inlineStr">
        <is>
          <t>1) 토공-강화노반 시공팀 3자 합동 현측 ➔ 2) 마무리면 레벨 오차(±10mm) 확인 ➔ 3) 인계인수 합의서 서명 ➔ 4) 토공 마무리면 인계 완료</t>
        </is>
      </c>
      <c r="N31" s="17" t="inlineStr">
        <is>
          <t>👉 [더블클릭] 수행지침 열기 📄</t>
        </is>
      </c>
      <c r="O31" s="14" t="inlineStr">
        <is>
          <t>토공-강화노반 시공팀 3자 합동 레벨 측량, 마무리면 레벨 오차(±10mm) 인계인수서 서명</t>
        </is>
      </c>
      <c r="P31" s="17" t="inlineStr">
        <is>
          <t>👉 [더블클릭] 체크리스트 열기 📄</t>
        </is>
      </c>
      <c r="Q31" s="13" t="n"/>
      <c r="R31" s="14" t="inlineStr">
        <is>
          <t>● 궤도 부설 구간 허용 오차 한계 확인</t>
        </is>
      </c>
      <c r="S31" s="18" t="inlineStr">
        <is>
          <t>1) 👉 [더블클릭] 체크리스트 열기 📄</t>
        </is>
      </c>
      <c r="T31" s="14" t="n"/>
    </row>
  </sheetData>
  <hyperlinks>
    <hyperlink xmlns:r="http://schemas.openxmlformats.org/officeDocument/2006/relationships" ref="L2" r:id="rId1"/>
    <hyperlink xmlns:r="http://schemas.openxmlformats.org/officeDocument/2006/relationships" ref="N2" r:id="rId2"/>
    <hyperlink xmlns:r="http://schemas.openxmlformats.org/officeDocument/2006/relationships" ref="P2" r:id="rId3"/>
    <hyperlink xmlns:r="http://schemas.openxmlformats.org/officeDocument/2006/relationships" ref="L3" r:id="rId4"/>
    <hyperlink xmlns:r="http://schemas.openxmlformats.org/officeDocument/2006/relationships" ref="N3" r:id="rId5"/>
    <hyperlink xmlns:r="http://schemas.openxmlformats.org/officeDocument/2006/relationships" ref="P3" r:id="rId6"/>
    <hyperlink xmlns:r="http://schemas.openxmlformats.org/officeDocument/2006/relationships" ref="L4" r:id="rId7"/>
    <hyperlink xmlns:r="http://schemas.openxmlformats.org/officeDocument/2006/relationships" ref="N4" r:id="rId8"/>
    <hyperlink xmlns:r="http://schemas.openxmlformats.org/officeDocument/2006/relationships" ref="P4" r:id="rId9"/>
    <hyperlink xmlns:r="http://schemas.openxmlformats.org/officeDocument/2006/relationships" ref="L5" r:id="rId10"/>
    <hyperlink xmlns:r="http://schemas.openxmlformats.org/officeDocument/2006/relationships" ref="N5" r:id="rId11"/>
    <hyperlink xmlns:r="http://schemas.openxmlformats.org/officeDocument/2006/relationships" ref="P5" r:id="rId12"/>
    <hyperlink xmlns:r="http://schemas.openxmlformats.org/officeDocument/2006/relationships" ref="L6" r:id="rId13"/>
    <hyperlink xmlns:r="http://schemas.openxmlformats.org/officeDocument/2006/relationships" ref="N6" r:id="rId14"/>
    <hyperlink xmlns:r="http://schemas.openxmlformats.org/officeDocument/2006/relationships" ref="P6" r:id="rId15"/>
    <hyperlink xmlns:r="http://schemas.openxmlformats.org/officeDocument/2006/relationships" ref="L7" r:id="rId16"/>
    <hyperlink xmlns:r="http://schemas.openxmlformats.org/officeDocument/2006/relationships" ref="N7" r:id="rId17"/>
    <hyperlink xmlns:r="http://schemas.openxmlformats.org/officeDocument/2006/relationships" ref="P7" r:id="rId18"/>
    <hyperlink xmlns:r="http://schemas.openxmlformats.org/officeDocument/2006/relationships" ref="L8" r:id="rId19"/>
    <hyperlink xmlns:r="http://schemas.openxmlformats.org/officeDocument/2006/relationships" ref="N8" r:id="rId20"/>
    <hyperlink xmlns:r="http://schemas.openxmlformats.org/officeDocument/2006/relationships" ref="P8" r:id="rId21"/>
    <hyperlink xmlns:r="http://schemas.openxmlformats.org/officeDocument/2006/relationships" ref="L9" r:id="rId22"/>
    <hyperlink xmlns:r="http://schemas.openxmlformats.org/officeDocument/2006/relationships" ref="N9" r:id="rId23"/>
    <hyperlink xmlns:r="http://schemas.openxmlformats.org/officeDocument/2006/relationships" ref="P9" r:id="rId24"/>
    <hyperlink xmlns:r="http://schemas.openxmlformats.org/officeDocument/2006/relationships" ref="L10" r:id="rId25"/>
    <hyperlink xmlns:r="http://schemas.openxmlformats.org/officeDocument/2006/relationships" ref="N10" r:id="rId26"/>
    <hyperlink xmlns:r="http://schemas.openxmlformats.org/officeDocument/2006/relationships" ref="P10" r:id="rId27"/>
    <hyperlink xmlns:r="http://schemas.openxmlformats.org/officeDocument/2006/relationships" ref="L11" r:id="rId28"/>
    <hyperlink xmlns:r="http://schemas.openxmlformats.org/officeDocument/2006/relationships" ref="N11" r:id="rId29"/>
    <hyperlink xmlns:r="http://schemas.openxmlformats.org/officeDocument/2006/relationships" ref="P11" r:id="rId30"/>
    <hyperlink xmlns:r="http://schemas.openxmlformats.org/officeDocument/2006/relationships" ref="L12" r:id="rId31"/>
    <hyperlink xmlns:r="http://schemas.openxmlformats.org/officeDocument/2006/relationships" ref="N12" r:id="rId32"/>
    <hyperlink xmlns:r="http://schemas.openxmlformats.org/officeDocument/2006/relationships" ref="P12" r:id="rId33"/>
    <hyperlink xmlns:r="http://schemas.openxmlformats.org/officeDocument/2006/relationships" ref="L13" r:id="rId34"/>
    <hyperlink xmlns:r="http://schemas.openxmlformats.org/officeDocument/2006/relationships" ref="N13" r:id="rId35"/>
    <hyperlink xmlns:r="http://schemas.openxmlformats.org/officeDocument/2006/relationships" ref="P13" r:id="rId36"/>
    <hyperlink xmlns:r="http://schemas.openxmlformats.org/officeDocument/2006/relationships" ref="L14" r:id="rId37"/>
    <hyperlink xmlns:r="http://schemas.openxmlformats.org/officeDocument/2006/relationships" ref="N14" r:id="rId38"/>
    <hyperlink xmlns:r="http://schemas.openxmlformats.org/officeDocument/2006/relationships" ref="P14" r:id="rId39"/>
    <hyperlink xmlns:r="http://schemas.openxmlformats.org/officeDocument/2006/relationships" ref="L15" r:id="rId40"/>
    <hyperlink xmlns:r="http://schemas.openxmlformats.org/officeDocument/2006/relationships" ref="N15" r:id="rId41"/>
    <hyperlink xmlns:r="http://schemas.openxmlformats.org/officeDocument/2006/relationships" ref="P15" r:id="rId42"/>
    <hyperlink xmlns:r="http://schemas.openxmlformats.org/officeDocument/2006/relationships" ref="L16" r:id="rId43"/>
    <hyperlink xmlns:r="http://schemas.openxmlformats.org/officeDocument/2006/relationships" ref="N16" r:id="rId44"/>
    <hyperlink xmlns:r="http://schemas.openxmlformats.org/officeDocument/2006/relationships" ref="P16" r:id="rId45"/>
    <hyperlink xmlns:r="http://schemas.openxmlformats.org/officeDocument/2006/relationships" ref="L17" r:id="rId46"/>
    <hyperlink xmlns:r="http://schemas.openxmlformats.org/officeDocument/2006/relationships" ref="N17" r:id="rId47"/>
    <hyperlink xmlns:r="http://schemas.openxmlformats.org/officeDocument/2006/relationships" ref="P17" r:id="rId48"/>
    <hyperlink xmlns:r="http://schemas.openxmlformats.org/officeDocument/2006/relationships" ref="L18" r:id="rId49"/>
    <hyperlink xmlns:r="http://schemas.openxmlformats.org/officeDocument/2006/relationships" ref="N18" r:id="rId50"/>
    <hyperlink xmlns:r="http://schemas.openxmlformats.org/officeDocument/2006/relationships" ref="P18" r:id="rId51"/>
    <hyperlink xmlns:r="http://schemas.openxmlformats.org/officeDocument/2006/relationships" ref="L19" r:id="rId52"/>
    <hyperlink xmlns:r="http://schemas.openxmlformats.org/officeDocument/2006/relationships" ref="N19" r:id="rId53"/>
    <hyperlink xmlns:r="http://schemas.openxmlformats.org/officeDocument/2006/relationships" ref="P19" r:id="rId54"/>
    <hyperlink xmlns:r="http://schemas.openxmlformats.org/officeDocument/2006/relationships" ref="L20" r:id="rId55"/>
    <hyperlink xmlns:r="http://schemas.openxmlformats.org/officeDocument/2006/relationships" ref="N20" r:id="rId56"/>
    <hyperlink xmlns:r="http://schemas.openxmlformats.org/officeDocument/2006/relationships" ref="P20" r:id="rId57"/>
    <hyperlink xmlns:r="http://schemas.openxmlformats.org/officeDocument/2006/relationships" ref="L21" r:id="rId58"/>
    <hyperlink xmlns:r="http://schemas.openxmlformats.org/officeDocument/2006/relationships" ref="N21" r:id="rId59"/>
    <hyperlink xmlns:r="http://schemas.openxmlformats.org/officeDocument/2006/relationships" ref="P21" r:id="rId60"/>
    <hyperlink xmlns:r="http://schemas.openxmlformats.org/officeDocument/2006/relationships" ref="L22" r:id="rId61"/>
    <hyperlink xmlns:r="http://schemas.openxmlformats.org/officeDocument/2006/relationships" ref="N22" r:id="rId62"/>
    <hyperlink xmlns:r="http://schemas.openxmlformats.org/officeDocument/2006/relationships" ref="P22" r:id="rId63"/>
    <hyperlink xmlns:r="http://schemas.openxmlformats.org/officeDocument/2006/relationships" ref="L23" r:id="rId64"/>
    <hyperlink xmlns:r="http://schemas.openxmlformats.org/officeDocument/2006/relationships" ref="N23" r:id="rId65"/>
    <hyperlink xmlns:r="http://schemas.openxmlformats.org/officeDocument/2006/relationships" ref="P23" r:id="rId66"/>
    <hyperlink xmlns:r="http://schemas.openxmlformats.org/officeDocument/2006/relationships" ref="L24" r:id="rId67"/>
    <hyperlink xmlns:r="http://schemas.openxmlformats.org/officeDocument/2006/relationships" ref="N24" r:id="rId68"/>
    <hyperlink xmlns:r="http://schemas.openxmlformats.org/officeDocument/2006/relationships" ref="P24" r:id="rId69"/>
    <hyperlink xmlns:r="http://schemas.openxmlformats.org/officeDocument/2006/relationships" ref="L25" r:id="rId70"/>
    <hyperlink xmlns:r="http://schemas.openxmlformats.org/officeDocument/2006/relationships" ref="N25" r:id="rId71"/>
    <hyperlink xmlns:r="http://schemas.openxmlformats.org/officeDocument/2006/relationships" ref="P25" r:id="rId72"/>
    <hyperlink xmlns:r="http://schemas.openxmlformats.org/officeDocument/2006/relationships" ref="L26" r:id="rId73"/>
    <hyperlink xmlns:r="http://schemas.openxmlformats.org/officeDocument/2006/relationships" ref="N26" r:id="rId74"/>
    <hyperlink xmlns:r="http://schemas.openxmlformats.org/officeDocument/2006/relationships" ref="P26" r:id="rId75"/>
    <hyperlink xmlns:r="http://schemas.openxmlformats.org/officeDocument/2006/relationships" ref="L27" r:id="rId76"/>
    <hyperlink xmlns:r="http://schemas.openxmlformats.org/officeDocument/2006/relationships" ref="N27" r:id="rId77"/>
    <hyperlink xmlns:r="http://schemas.openxmlformats.org/officeDocument/2006/relationships" ref="P27" r:id="rId78"/>
    <hyperlink xmlns:r="http://schemas.openxmlformats.org/officeDocument/2006/relationships" ref="L28" r:id="rId79"/>
    <hyperlink xmlns:r="http://schemas.openxmlformats.org/officeDocument/2006/relationships" ref="N28" r:id="rId80"/>
    <hyperlink xmlns:r="http://schemas.openxmlformats.org/officeDocument/2006/relationships" ref="P28" r:id="rId81"/>
    <hyperlink xmlns:r="http://schemas.openxmlformats.org/officeDocument/2006/relationships" ref="L29" r:id="rId82"/>
    <hyperlink xmlns:r="http://schemas.openxmlformats.org/officeDocument/2006/relationships" ref="N29" r:id="rId83"/>
    <hyperlink xmlns:r="http://schemas.openxmlformats.org/officeDocument/2006/relationships" ref="P29" r:id="rId84"/>
    <hyperlink xmlns:r="http://schemas.openxmlformats.org/officeDocument/2006/relationships" ref="L30" r:id="rId85"/>
    <hyperlink xmlns:r="http://schemas.openxmlformats.org/officeDocument/2006/relationships" ref="N30" r:id="rId86"/>
    <hyperlink xmlns:r="http://schemas.openxmlformats.org/officeDocument/2006/relationships" ref="P30" r:id="rId87"/>
    <hyperlink xmlns:r="http://schemas.openxmlformats.org/officeDocument/2006/relationships" ref="L31" r:id="rId88"/>
    <hyperlink xmlns:r="http://schemas.openxmlformats.org/officeDocument/2006/relationships" ref="N31" r:id="rId89"/>
    <hyperlink xmlns:r="http://schemas.openxmlformats.org/officeDocument/2006/relationships" ref="P31" r:id="rId90"/>
  </hyperlinks>
  <printOptions horizontalCentered="1"/>
  <pageMargins left="0.7480314960629921" right="0.7480314960629921" top="0.984251968503937" bottom="0.984251968503937" header="0.5118110236220472" footer="0.5118110236220472"/>
  <pageSetup orientation="landscape" paperSize="8" scale="33" verticalDpi="0"/>
</worksheet>
</file>

<file path=xl/worksheets/sheet6.xml><?xml version="1.0" encoding="utf-8"?>
<worksheet xmlns="http://schemas.openxmlformats.org/spreadsheetml/2006/main">
  <sheetPr codeName="Sheet3">
    <tabColor rgb="FFFFFF00"/>
    <outlinePr summaryBelow="1" summaryRight="1"/>
    <pageSetUpPr/>
  </sheetPr>
  <dimension ref="A1:T62"/>
  <sheetViews>
    <sheetView view="pageBreakPreview" topLeftCell="H12" zoomScale="55" zoomScaleNormal="55" zoomScaleSheetLayoutView="55" workbookViewId="0">
      <selection activeCell="O15" sqref="O15"/>
    </sheetView>
  </sheetViews>
  <sheetFormatPr baseColWidth="8" defaultRowHeight="19.2"/>
  <cols>
    <col width="8.796875" customWidth="1" style="3" min="1" max="2"/>
    <col width="18.59765625" customWidth="1" style="3" min="3" max="3"/>
    <col width="16" customWidth="1" style="4" min="4" max="4"/>
    <col width="12.296875" bestFit="1" customWidth="1" style="4" min="5" max="5"/>
    <col width="34.09765625" customWidth="1" style="5" min="6" max="6"/>
    <col width="32.59765625" customWidth="1" style="3" min="7" max="7"/>
    <col width="36.3984375" customWidth="1" style="3" min="8" max="8"/>
    <col width="37.59765625" customWidth="1" style="3" min="9" max="9"/>
    <col width="31.796875" customWidth="1" style="3" min="10" max="10"/>
    <col width="43.69921875" customWidth="1" style="50" min="11" max="11"/>
    <col width="11.5" customWidth="1" style="3" min="12" max="12"/>
    <col width="56.296875" customWidth="1" style="50" min="13" max="13"/>
    <col width="9.5" customWidth="1" style="3" min="14" max="14"/>
    <col width="46.69921875" customWidth="1" style="52" min="15" max="15"/>
    <col width="9.19921875" customWidth="1" min="16" max="16"/>
    <col width="16.5" customWidth="1" style="3" min="17" max="17"/>
    <col width="45" customWidth="1" min="18" max="18"/>
    <col width="22" customWidth="1" min="19" max="19"/>
    <col width="22" customWidth="1" style="3" min="20" max="35"/>
    <col width="8.796875" customWidth="1" style="3" min="36" max="58"/>
    <col width="8.796875" customWidth="1" style="3" min="59" max="16384"/>
  </cols>
  <sheetData>
    <row r="1" ht="46.8" customHeight="1">
      <c r="A1" s="7" t="inlineStr">
        <is>
          <t>L2 코드</t>
        </is>
      </c>
      <c r="B1" s="7" t="inlineStr">
        <is>
          <t>L3 코드</t>
        </is>
      </c>
      <c r="C1" s="7" t="inlineStr">
        <is>
          <t>L3 대공종명</t>
        </is>
      </c>
      <c r="D1" s="7" t="inlineStr">
        <is>
          <t>L4 코드</t>
        </is>
      </c>
      <c r="E1" s="7" t="inlineStr">
        <is>
          <t>일정 (D-Day)</t>
        </is>
      </c>
      <c r="F1" s="7" t="inlineStr">
        <is>
          <t>작업단위 (Level 4 Task/Activity)</t>
        </is>
      </c>
      <c r="G1" s="7" t="inlineStr">
        <is>
          <t>주관</t>
        </is>
      </c>
      <c r="H1" s="7" t="inlineStr">
        <is>
          <t>목적</t>
        </is>
      </c>
      <c r="I1" s="7" t="inlineStr">
        <is>
          <t>방법</t>
        </is>
      </c>
      <c r="J1" s="7" t="inlineStr">
        <is>
          <t>산출물(결과)</t>
        </is>
      </c>
      <c r="K1" s="49" t="inlineStr">
        <is>
          <t>표준서 (Standard) 요약</t>
        </is>
      </c>
      <c r="L1" s="6" t="inlineStr">
        <is>
          <t>표준서 파일 (HTML)</t>
        </is>
      </c>
      <c r="M1" s="49" t="inlineStr">
        <is>
          <t>수행지침 (Guideline) 요약</t>
        </is>
      </c>
      <c r="N1" s="6" t="inlineStr">
        <is>
          <t>수행지침 파일 (HTML)</t>
        </is>
      </c>
      <c r="O1" s="49" t="inlineStr">
        <is>
          <t>체크리스트 (Checklist) 요약</t>
        </is>
      </c>
      <c r="P1" s="12" t="inlineStr">
        <is>
          <t>체크리스트 파일 (HTML)</t>
        </is>
      </c>
      <c r="Q1" s="9" t="inlineStr">
        <is>
          <t>비고</t>
        </is>
      </c>
      <c r="R1" s="9" t="inlineStr">
        <is>
          <t>첨부서류 연계 상세 설계기준</t>
        </is>
      </c>
      <c r="S1" s="9" t="inlineStr">
        <is>
          <t>집행단계 리스크 체크리스트</t>
        </is>
      </c>
      <c r="T1" s="9" t="inlineStr">
        <is>
          <t>협력사 시공/공사관리 자문</t>
        </is>
      </c>
    </row>
    <row r="2" ht="90" customHeight="1">
      <c r="A2" s="13" t="inlineStr">
        <is>
          <t>2000</t>
        </is>
      </c>
      <c r="B2" s="13" t="inlineStr">
        <is>
          <t>2000-1</t>
        </is>
      </c>
      <c r="C2" s="14" t="inlineStr">
        <is>
          <t>공통 관리 Key Point &amp; 사전 준비</t>
        </is>
      </c>
      <c r="D2" s="13" t="inlineStr">
        <is>
          <t>2000-1-1</t>
        </is>
      </c>
      <c r="E2" s="13" t="inlineStr">
        <is>
          <t>P-30</t>
        </is>
      </c>
      <c r="F2" s="15" t="inlineStr">
        <is>
          <t>Site Survey Risk 검토</t>
        </is>
      </c>
      <c r="G2" s="13" t="inlineStr">
        <is>
          <t>토목국내견적팀</t>
        </is>
      </c>
      <c r="H2" s="14" t="inlineStr">
        <is>
          <t>지하안전관리에 관한 특별법 제23조 | 현장 지반 조사, GPR 탐사 데이터 및 신설 궤도 간섭 리스크 사전 분석 | 지장물 이설 리스크 관리계획 수립</t>
        </is>
      </c>
      <c r="I2" s="14" t="inlineStr">
        <is>
          <t>1) 지반 조사 주상도 &amp; GPR 데이터 대조 ➔ 2) 신설 궤도 구조물 간섭 관로 추출 ➔ 3) 기관별 이설 우선순위 수립 ➔ 4) 지장물 리스크 보고서 결재</t>
        </is>
      </c>
      <c r="J2" s="14" t="inlineStr">
        <is>
          <t>지반 시추 주상도, GPR 3D 지중 관로 탐사 데이터 대조 및 신설 궤도 구조물 간섭 관로 사전 현출 점검</t>
        </is>
      </c>
      <c r="K2" s="16" t="inlineStr">
        <is>
          <t>지하안전관리에 관한 특별법 제23조 | 현장 지반 조사, GPR 탐사 데이터 및 신설 궤도 간섭 리스크 사전 분석 | 지장물 이설 리스크 관리계획 수립</t>
        </is>
      </c>
      <c r="L2" s="17" t="inlineStr">
        <is>
          <t>👉 [더블클릭] 표준서 열기 📄</t>
        </is>
      </c>
      <c r="M2" s="16" t="inlineStr">
        <is>
          <t>1) 지반 조사 주상도 &amp; GPR 데이터 대조 ➔ 2) 신설 궤도 구조물 간섭 관로 추출 ➔ 3) 기관별 이설 우선순위 수립 ➔ 4) 지장물 리스크 보고서 결재</t>
        </is>
      </c>
      <c r="N2" s="17" t="inlineStr">
        <is>
          <t>👉 [더블클릭] 수행지침 열기 📄</t>
        </is>
      </c>
      <c r="O2" s="43" t="inlineStr">
        <is>
          <t>지반 시추 주상도, GPR 3D 지중 관로 탐사 데이터 대조 및 신설 궤도 구조물 간섭 관로 사전 현출 점검</t>
        </is>
      </c>
      <c r="P2" s="17" t="inlineStr">
        <is>
          <t>👉 [더블클릭] 체크리스트 열기 📄</t>
        </is>
      </c>
      <c r="Q2" s="13" t="n"/>
      <c r="R2" s="14" t="inlineStr">
        <is>
          <t>토목국내견적 지침 및 계약 시방</t>
        </is>
      </c>
      <c r="S2" s="18" t="inlineStr">
        <is>
          <t>설계도서 불일치로 인한 실행예산 초과 리스크 관리</t>
        </is>
      </c>
      <c r="T2" s="14" t="inlineStr">
        <is>
          <t>우수 토공업체 Pool 기술 자문</t>
        </is>
      </c>
    </row>
    <row r="3" ht="125.4" customHeight="1">
      <c r="A3" s="13" t="inlineStr">
        <is>
          <t>2000</t>
        </is>
      </c>
      <c r="B3" s="13" t="inlineStr">
        <is>
          <t>2000-1</t>
        </is>
      </c>
      <c r="C3" s="14" t="inlineStr">
        <is>
          <t>공통 관리 Key Point &amp; 사전 준비</t>
        </is>
      </c>
      <c r="D3" s="13" t="inlineStr">
        <is>
          <t>2000-1-2</t>
        </is>
      </c>
      <c r="E3" s="13" t="inlineStr">
        <is>
          <t>P+0</t>
        </is>
      </c>
      <c r="F3" s="15" t="inlineStr">
        <is>
          <t>발주전략 KOM (도급지분)</t>
        </is>
      </c>
      <c r="G3" s="13" t="inlineStr">
        <is>
          <t>현장소장</t>
        </is>
      </c>
      <c r="H3" s="14" t="inlineStr">
        <is>
          <t>KCS 47 10 25 시방 준수 | 도급분 지장물 이설 발주 시방서 검토 &amp; 3D BIM 도면 대조 | 발주처·감리·시공 3자 킥오프 미팅 결재</t>
        </is>
      </c>
      <c r="I3" s="14" t="inlineStr">
        <is>
          <t>1) 도급분 이설 시방서 요구조건 검토 ➔ 2) 3D BIM 도면 관로 좌표 대조 ➔ 3) 공기 지연 예비비 수립 ➔ 4) 발주·감리·시공 3자 킥오프 결재</t>
        </is>
      </c>
      <c r="J3" s="14" t="inlineStr">
        <is>
          <t>KCS 47 10 25 시방 요구조건, 도급분 지장물 이설 수량 및 3D BIM 도면 간섭 zero 검증</t>
        </is>
      </c>
      <c r="K3" s="14" t="inlineStr">
        <is>
          <t>KCS 47 10 25 시방 준수 | 도급분 지장물 이설 발주 시방서 검토 &amp; 3D BIM 도면 대조 | 발주처·감리·시공 3자 킥오프 미팅 결재</t>
        </is>
      </c>
      <c r="L3" s="17" t="inlineStr">
        <is>
          <t>👉 [더블클릭] 표준서 열기 📄</t>
        </is>
      </c>
      <c r="M3" s="14" t="inlineStr">
        <is>
          <t>1) 도급분 이설 시방서 요구조건 검토 ➔ 2) 3D BIM 도면 관로 좌표 대조 ➔ 3) 공기 지연 예비비 수립 ➔ 4) 발주·감리·시공 3자 킥오프 결재</t>
        </is>
      </c>
      <c r="N3" s="17" t="inlineStr">
        <is>
          <t>👉 [더블클릭] 수행지침 열기 📄</t>
        </is>
      </c>
      <c r="O3" s="44" t="inlineStr">
        <is>
          <t>KCS 47 10 25 시방 요구조건, 도급분 지장물 이설 수량 및 3D BIM 도면 간섭 zero 검증</t>
        </is>
      </c>
      <c r="P3" s="17" t="inlineStr">
        <is>
          <t>👉 [더블클릭] 체크리스트 열기 📄</t>
        </is>
      </c>
      <c r="Q3" s="13" t="n"/>
      <c r="R3" s="14" t="inlineStr">
        <is>
          <t>CML 토목사무지침 및 도급 계약 시방</t>
        </is>
      </c>
      <c r="S3" s="18" t="inlineStr">
        <is>
          <t>부적격 업체 선정에 따른 공기 지연 리스크 방지</t>
        </is>
      </c>
      <c r="T3" s="14" t="inlineStr">
        <is>
          <t>본사외주부서 및 컴플라이언스RM 자문</t>
        </is>
      </c>
    </row>
    <row r="4" ht="110.4" customHeight="1">
      <c r="A4" s="13" t="inlineStr">
        <is>
          <t>2000</t>
        </is>
      </c>
      <c r="B4" s="13" t="inlineStr">
        <is>
          <t>2000-1</t>
        </is>
      </c>
      <c r="C4" s="14" t="inlineStr">
        <is>
          <t>공통 관리 Key Point &amp; 사전 준비</t>
        </is>
      </c>
      <c r="D4" s="13" t="inlineStr">
        <is>
          <t>2000-1-3</t>
        </is>
      </c>
      <c r="E4" s="13" t="inlineStr">
        <is>
          <t>P+0</t>
        </is>
      </c>
      <c r="F4" s="15" t="inlineStr">
        <is>
          <t>지장물 이설 요청 (위수탁고)</t>
        </is>
      </c>
      <c r="G4" s="13" t="inlineStr">
        <is>
          <t>공사팀 / 발주기관</t>
        </is>
      </c>
      <c r="H4" s="14" t="inlineStr">
        <is>
          <t>지방계약법 및 관할 점용기관 규정 | 위수탁 지장물 이설 협약서 작성 &amp; 공문 발송 | 기관별 이설 소요 기간 및 예산 확보</t>
        </is>
      </c>
      <c r="I4" s="14" t="inlineStr">
        <is>
          <t>1) 관할 점용기관 이설 요청 공문 작성 ➔ 2) 이설 협약서 정산 조건 수속 ➔ 3) 기관별 이설 소요 기간 협의 ➔ 4) 위수탁 이설 확약 공문 수령</t>
        </is>
      </c>
      <c r="J4" s="14" t="inlineStr">
        <is>
          <t>위수탁 이설 요청 공문 부착, 점용기관 협약 조건 수속 및 이설 예비비 계상 서약</t>
        </is>
      </c>
      <c r="K4" s="14" t="inlineStr">
        <is>
          <t>지방계약법 및 관할 점용기관 규정 | 위수탁 지장물 이설 협약서 작성 &amp; 공문 발송 | 기관별 이설 소요 기간 및 예산 확보</t>
        </is>
      </c>
      <c r="L4" s="17" t="inlineStr">
        <is>
          <t>👉 [더블클릭] 표준서 열기 📄</t>
        </is>
      </c>
      <c r="M4" s="14" t="inlineStr">
        <is>
          <t>1) 관할 점용기관 이설 요청 공문 작성 ➔ 2) 이설 협약서 정산 조건 수속 ➔ 3) 기관별 이설 소요 기간 협의 ➔ 4) 위수탁 이설 확약 공문 수령</t>
        </is>
      </c>
      <c r="N4" s="17" t="inlineStr">
        <is>
          <t>👉 [더블클릭] 수행지침 열기 📄</t>
        </is>
      </c>
      <c r="O4" s="44" t="inlineStr">
        <is>
          <t>위수탁 이설 요청 공문 부착, 점용기관 협약 조건 수속 및 이설 예비비 계상 서약</t>
        </is>
      </c>
      <c r="P4" s="17" t="inlineStr">
        <is>
          <t>👉 [더블클릭] 체크리스트 열기 📄</t>
        </is>
      </c>
      <c r="Q4" s="13" t="n"/>
      <c r="R4" s="14" t="inlineStr">
        <is>
          <t>지자체 위수탁 협약 처리 기준</t>
        </is>
      </c>
      <c r="S4" s="18" t="inlineStr">
        <is>
          <t>위수탁 기관 이설 착수 지연 리스크 관리</t>
        </is>
      </c>
      <c r="T4" s="14" t="inlineStr">
        <is>
          <t>관련 유관기관 전담 자문</t>
        </is>
      </c>
    </row>
    <row r="5" ht="96" customHeight="1">
      <c r="A5" s="13" t="inlineStr">
        <is>
          <t>2000</t>
        </is>
      </c>
      <c r="B5" s="13" t="inlineStr">
        <is>
          <t>2000-1</t>
        </is>
      </c>
      <c r="C5" s="14" t="inlineStr">
        <is>
          <t>공통 관리 Key Point &amp; 사전 준비</t>
        </is>
      </c>
      <c r="D5" s="13" t="inlineStr">
        <is>
          <t>2000-1-4</t>
        </is>
      </c>
      <c r="E5" s="13" t="inlineStr">
        <is>
          <t>P+5</t>
        </is>
      </c>
      <c r="F5" s="15" t="inlineStr">
        <is>
          <t>도급자분 이설업체 선정(상/하수)</t>
        </is>
      </c>
      <c r="G5" s="13" t="inlineStr">
        <is>
          <t>현장소장</t>
        </is>
      </c>
      <c r="H5" s="14" t="inlineStr">
        <is>
          <t>건설산업기본법 제29조 | 상하수도 설비 전문건설업 면허 및 적정성(≥ 82%) 평가 | 노무비 전용계좌 지정 및 계약 승인</t>
        </is>
      </c>
      <c r="I5" s="14" t="inlineStr">
        <is>
          <t>1) 상하수도 전문건설업 면허 심사 ➔ 2) 하도급 적정성(≥ 82%) 평가 ➔ 3) 노무비 전용계좌 개설 ➔ 4) 하도급 계약 승인 통보서 결재</t>
        </is>
      </c>
      <c r="J5" s="14" t="inlineStr">
        <is>
          <t>상하수도 전문건설업 면허/실적 심사, 하도급 적정성 평가(≥ 82%) 및 노무비 전용계좌 지정</t>
        </is>
      </c>
      <c r="K5" s="14" t="inlineStr">
        <is>
          <t>건설산업기본법 제29조 | 상하수도 설비 전문건설업 면허 및 적정성(≥ 82%) 평가 | 노무비 전용계좌 지정 및 계약 승인</t>
        </is>
      </c>
      <c r="L5" s="17" t="inlineStr">
        <is>
          <t>👉 [더블클릭] 표준서 열기 📄</t>
        </is>
      </c>
      <c r="M5" s="14" t="inlineStr">
        <is>
          <t>1) 상하수도 전문건설업 면허 심사 ➔ 2) 하도급 적정성(≥ 82%) 평가 ➔ 3) 노무비 전용계좌 개설 ➔ 4) 하도급 계약 승인 통보서 결재</t>
        </is>
      </c>
      <c r="N5" s="17" t="inlineStr">
        <is>
          <t>👉 [더블클릭] 수행지침 열기 📄</t>
        </is>
      </c>
      <c r="O5" s="44" t="inlineStr">
        <is>
          <t>상하수도 전문건설업 면허/실적 심사, 하도급 적정성 평가(≥ 82%) 및 노무비 전용계좌 지정</t>
        </is>
      </c>
      <c r="P5" s="17" t="inlineStr">
        <is>
          <t>👉 [더블클릭] 체크리스트 열기 📄</t>
        </is>
      </c>
      <c r="Q5" s="13" t="n"/>
      <c r="R5" s="14" t="inlineStr">
        <is>
          <t>하도급거래 공정화에 관한 법률 및 계약 규정</t>
        </is>
      </c>
      <c r="S5" s="18" t="inlineStr">
        <is>
          <t>저가 하도급으로 인한 부실 시공 리스크 예방</t>
        </is>
      </c>
      <c r="T5" s="14" t="inlineStr">
        <is>
          <t>외주계약팀 전문 자문</t>
        </is>
      </c>
    </row>
    <row r="6" ht="134.4" customHeight="1">
      <c r="A6" s="13" t="inlineStr">
        <is>
          <t>2000</t>
        </is>
      </c>
      <c r="B6" s="13" t="inlineStr">
        <is>
          <t>2000-1</t>
        </is>
      </c>
      <c r="C6" s="14" t="inlineStr">
        <is>
          <t>공통 관리 Key Point &amp; 사전 준비</t>
        </is>
      </c>
      <c r="D6" s="13" t="inlineStr">
        <is>
          <t>2000-1-5</t>
        </is>
      </c>
      <c r="E6" s="13" t="inlineStr">
        <is>
          <t>P+10</t>
        </is>
      </c>
      <c r="F6" s="15" t="inlineStr">
        <is>
          <t>지장물 조사 (위탁기관 합동)</t>
        </is>
      </c>
      <c r="G6" s="13" t="inlineStr">
        <is>
          <t>현장 공사팀</t>
        </is>
      </c>
      <c r="H6" s="14" t="inlineStr">
        <is>
          <t>지하안전법 수칙 | 한국전력, 도시가스, 수자원공사 1:1 현장 합동 조사 | 매설 위치, 관경(mm), 깊이 3D BIM 매핑</t>
        </is>
      </c>
      <c r="I6" s="14" t="inlineStr">
        <is>
          <t>1) 한전/가스/수자원공사 1:1 현장 입회 ➔ 2) 관로 위치, 관경(mm), 깊이 현측 ➔ 3) 3D BIM 매설 관로 매핑 ➔ 4) 지장물 조사서 감리 서면 승인</t>
        </is>
      </c>
      <c r="J6" s="14" t="inlineStr">
        <is>
          <t>한국전력, 도시가스, 수자원공사 1:1 현장 입회 및 지하 매설물 관경(mm), 심도 깊이 3D BIM 매핑</t>
        </is>
      </c>
      <c r="K6" s="14" t="inlineStr">
        <is>
          <t>지하안전법 수칙 | 한국전력, 도시가스, 수자원공사 1:1 현장 합동 조사 | 매설 위치, 관경(mm), 깊이 3D BIM 매핑</t>
        </is>
      </c>
      <c r="L6" s="17" t="inlineStr">
        <is>
          <t>👉 [더블클릭] 표준서 열기 📄</t>
        </is>
      </c>
      <c r="M6" s="14" t="inlineStr">
        <is>
          <t>1) 한전/가스/수자원공사 1:1 현장 입회 ➔ 2) 관로 위치, 관경(mm), 깊이 현측 ➔ 3) 3D BIM 매설 관로 매핑 ➔ 4) 지장물 조사서 감리 서면 승인</t>
        </is>
      </c>
      <c r="N6" s="17" t="inlineStr">
        <is>
          <t>👉 [더블클릭] 수행지침 열기 📄</t>
        </is>
      </c>
      <c r="O6" s="44" t="inlineStr">
        <is>
          <t>한국전력, 도시가스, 수자원공사 1:1 현장 입회 및 지하 매설물 관경(mm), 심도 깊이 3D BIM 매핑</t>
        </is>
      </c>
      <c r="P6" s="17" t="inlineStr">
        <is>
          <t>👉 [더블클릭] 체크리스트 열기 📄</t>
        </is>
      </c>
      <c r="Q6" s="13" t="n"/>
      <c r="R6" s="14" t="inlineStr">
        <is>
          <t>지하안전관리에 관한 특별법 및 측량 규정</t>
        </is>
      </c>
      <c r="S6" s="18" t="inlineStr">
        <is>
          <t>도면 상이로 인한 신규 지장물 불시 도출 리스크 방지</t>
        </is>
      </c>
      <c r="T6" s="14" t="inlineStr">
        <is>
          <t>지장물 이설업체 및 유관기관 담당자</t>
        </is>
      </c>
    </row>
    <row r="7" ht="96" customHeight="1">
      <c r="A7" s="13" t="inlineStr">
        <is>
          <t>2000</t>
        </is>
      </c>
      <c r="B7" s="13" t="inlineStr">
        <is>
          <t>2000-1</t>
        </is>
      </c>
      <c r="C7" s="14" t="inlineStr">
        <is>
          <t>공통 관리 Key Point &amp; 사전 준비</t>
        </is>
      </c>
      <c r="D7" s="13" t="inlineStr">
        <is>
          <t>2000-1-6</t>
        </is>
      </c>
      <c r="E7" s="13" t="inlineStr">
        <is>
          <t>P+15</t>
        </is>
      </c>
      <c r="F7" s="15" t="inlineStr">
        <is>
          <t>지장물 이설 계획 수립</t>
        </is>
      </c>
      <c r="G7" s="13" t="inlineStr">
        <is>
          <t>현장 공사팀</t>
        </is>
      </c>
      <c r="H7" s="14" t="inlineStr">
        <is>
          <t>KCS 47 10 25 배수 및 관체 수칙 | 지장물 이설 공정표, 가설 방호 및 교통 우회 계획 수립 | 공사 착수 14일 전 감리 서면 승인</t>
        </is>
      </c>
      <c r="I7" s="14" t="inlineStr">
        <is>
          <t>1) 지장물 이설 공정표 수립 ➔ 2) 가설 매달기 방호 &amp; 우회 차선 설계 ➔ 3) 착공 14일 전 감리단 제출 ➔ 4) 이설 계획서 책임감리원 승인</t>
        </is>
      </c>
      <c r="J7" s="14" t="inlineStr">
        <is>
          <t>지장물 이설 공정표 수립, 가설 매달기 방호/우회 차선 설계 및 착공 14일 전 감리 서면 승인</t>
        </is>
      </c>
      <c r="K7" s="14" t="inlineStr">
        <is>
          <t>KCS 47 10 25 배수 및 관체 수칙 | 지장물 이설 공정표, 가설 방호 및 교통 우회 계획 수립 | 공사 착수 14일 전 감리 서면 승인</t>
        </is>
      </c>
      <c r="L7" s="17" t="inlineStr">
        <is>
          <t>👉 [더블클릭] 표준서 열기 📄</t>
        </is>
      </c>
      <c r="M7" s="14" t="inlineStr">
        <is>
          <t>1) 지장물 이설 공정표 수립 ➔ 2) 가설 매달기 방호 &amp; 우회 차선 설계 ➔ 3) 착공 14일 전 감리단 제출 ➔ 4) 이설 계획서 책임감리원 승인</t>
        </is>
      </c>
      <c r="N7" s="17" t="inlineStr">
        <is>
          <t>👉 [더블클릭] 수행지침 열기 📄</t>
        </is>
      </c>
      <c r="O7" s="44" t="inlineStr">
        <is>
          <t>지장물 이설 공정표 수립, 가설 매달기 방호/우회 차선 설계 및 착공 14일 전 감리 서면 승인</t>
        </is>
      </c>
      <c r="P7" s="17" t="inlineStr">
        <is>
          <t>👉 [더블클릭] 체크리스트 열기 📄</t>
        </is>
      </c>
      <c r="Q7" s="13" t="n"/>
      <c r="R7" s="14" t="inlineStr">
        <is>
          <t>동탄트램 지장물 이설 종합 지침</t>
        </is>
      </c>
      <c r="S7" s="18" t="inlineStr">
        <is>
          <t>이설 순서 혼선으로 인한 재굴착 리스크 방지</t>
        </is>
      </c>
      <c r="T7" s="14" t="inlineStr">
        <is>
          <t>지장물 전문가 및 공무팀</t>
        </is>
      </c>
    </row>
    <row r="8" ht="115.2" customHeight="1">
      <c r="A8" s="13" t="inlineStr">
        <is>
          <t>2000</t>
        </is>
      </c>
      <c r="B8" s="13" t="inlineStr">
        <is>
          <t>2000-1</t>
        </is>
      </c>
      <c r="C8" s="14" t="inlineStr">
        <is>
          <t>공통 관리 Key Point &amp; 사전 준비</t>
        </is>
      </c>
      <c r="D8" s="13" t="inlineStr">
        <is>
          <t>2000-1-7</t>
        </is>
      </c>
      <c r="E8" s="13" t="inlineStr">
        <is>
          <t>P+20</t>
        </is>
      </c>
      <c r="F8" s="15" t="inlineStr">
        <is>
          <t>최고의 팀 만들기 지원</t>
        </is>
      </c>
      <c r="G8" s="13" t="inlineStr">
        <is>
          <t>외주관리팀</t>
        </is>
      </c>
      <c r="H8" s="14" t="inlineStr">
        <is>
          <t>건산법 상생협력 규정 | 지장물 전담 기술자 1:1 현장 배치 | 주간 3자 소통 회의 및 일일 TBM/안전교육 시행</t>
        </is>
      </c>
      <c r="I8" s="14" t="inlineStr">
        <is>
          <t>1) 지장물 전담 기술자 1:1 배치 ➔ 2) 3자 주간 소통 회의 개최 ➔ 3) 근로자 환경 개선 &amp; TBM ➔ 4) One-Team 조직표 감리 서면 승인</t>
        </is>
      </c>
      <c r="J8" s="14" t="inlineStr">
        <is>
          <t>지장물 전담 기술자 1:1 현장 배치, 발주·감리·시공 3자 주간 소통 회의 및 일일 TBM/음주 측정(0.00%)</t>
        </is>
      </c>
      <c r="K8" s="14" t="inlineStr">
        <is>
          <t>건산법 상생협력 규정 | 지장물 전담 기술자 1:1 현장 배치 | 주간 3자 소통 회의 및 일일 TBM/안전교육 시행</t>
        </is>
      </c>
      <c r="L8" s="17" t="inlineStr">
        <is>
          <t>👉 [더블클릭] 표준서 열기 📄</t>
        </is>
      </c>
      <c r="M8" s="14" t="inlineStr">
        <is>
          <t>1) 지장물 전담 기술자 1:1 배치 ➔ 2) 3자 주간 소통 회의 개최 ➔ 3) 근로자 환경 개선 &amp; TBM ➔ 4) One-Team 조직표 감리 서면 승인</t>
        </is>
      </c>
      <c r="N8" s="17" t="inlineStr">
        <is>
          <t>👉 [더블클릭] 수행지침 열기 📄</t>
        </is>
      </c>
      <c r="O8" s="44" t="inlineStr">
        <is>
          <t>지장물 전담 기술자 1:1 현장 배치, 발주·감리·시공 3자 주간 소통 회의 및 일일 TBM/음주 측정(0.00%)</t>
        </is>
      </c>
      <c r="P8" s="17" t="inlineStr">
        <is>
          <t>👉 [더블클릭] 체크리스트 열기 📄</t>
        </is>
      </c>
      <c r="Q8" s="13" t="n"/>
      <c r="R8" s="14" t="inlineStr">
        <is>
          <t>외주 하도급 관리 규정</t>
        </is>
      </c>
      <c r="S8" s="18" t="inlineStr">
        <is>
          <t>시공 미숙 작업반 투입으로 인한 사고 리스크 방지</t>
        </is>
      </c>
      <c r="T8" s="14" t="inlineStr">
        <is>
          <t>외주계약 전문 자문</t>
        </is>
      </c>
    </row>
    <row r="9" ht="172.8" customHeight="1">
      <c r="A9" s="13" t="inlineStr">
        <is>
          <t>2000</t>
        </is>
      </c>
      <c r="B9" s="13" t="inlineStr">
        <is>
          <t>2000-1</t>
        </is>
      </c>
      <c r="C9" s="14" t="inlineStr">
        <is>
          <t>공통 관리 Key Point &amp; 사전 준비</t>
        </is>
      </c>
      <c r="D9" s="13" t="inlineStr">
        <is>
          <t>2000-1-8</t>
        </is>
      </c>
      <c r="E9" s="13" t="inlineStr">
        <is>
          <t>D-60</t>
        </is>
      </c>
      <c r="F9" s="15" t="inlineStr">
        <is>
          <t>착수전 Big Room 회의</t>
        </is>
      </c>
      <c r="G9" s="13" t="inlineStr">
        <is>
          <t>현장소장</t>
        </is>
      </c>
      <c r="H9" s="14" t="inlineStr">
        <is>
          <t>현장 통합 관리 지침 | 발주처·감리·지자체·시공사 합동 빅룸 회의 | 지장물 간섭 Zero 및 마일스톤 연동 확정</t>
        </is>
      </c>
      <c r="I9" s="14" t="inlineStr">
        <is>
          <t>1) 4자(발주·감리·지자체·시공) 빅룸 결성 ➔ 2) 지장물 이설 마일스톤 연동 ➔ 3) 간섭 리스크 즉시 해소 ➔ 4) 빅룸 회의록 4자 서명 완수</t>
        </is>
      </c>
      <c r="J9" s="14" t="inlineStr">
        <is>
          <t>4자(발주·감리·지자체·시공) 빅룸 회의 결성, 지장물 간섭 Zero 및 마일스톤 연동 회의록 서명</t>
        </is>
      </c>
      <c r="K9" s="14" t="inlineStr">
        <is>
          <t>현장 통합 관리 지침 | 발주처·감리·지자체·시공사 합동 빅룸 회의 | 지장물 간섭 Zero 및 마일스톤 연동 확정</t>
        </is>
      </c>
      <c r="L9" s="17" t="inlineStr">
        <is>
          <t>👉 [더블클릭] 표준서 열기 📄</t>
        </is>
      </c>
      <c r="M9" s="14" t="inlineStr">
        <is>
          <t>1) 4자(발주·감리·지자체·시공) 빅룸 결성 ➔ 2) 지장물 이설 마일스톤 연동 ➔ 3) 간섭 리스크 즉시 해소 ➔ 4) 빅룸 회의록 4자 서명 완수</t>
        </is>
      </c>
      <c r="N9" s="17" t="inlineStr">
        <is>
          <t>👉 [더블클릭] 수행지침 열기 📄</t>
        </is>
      </c>
      <c r="O9" s="44" t="inlineStr">
        <is>
          <t>4자(발주·감리·지자체·시공) 빅룸 회의 결성, 지장물 간섭 Zero 및 마일스톤 연동 회의록 서명</t>
        </is>
      </c>
      <c r="P9" s="17" t="inlineStr">
        <is>
          <t>👉 [더블클릭] 체크리스트 열기 📄</t>
        </is>
      </c>
      <c r="Q9" s="13" t="n"/>
      <c r="R9" s="14" t="inlineStr">
        <is>
          <t>동탄트램 사업관리 지침</t>
        </is>
      </c>
      <c r="S9" s="18" t="inlineStr">
        <is>
          <t>유관기관 간 공정 중복으로 인한 중복 굴착 리스크 방지</t>
        </is>
      </c>
      <c r="T9" s="14" t="inlineStr">
        <is>
          <t>유관기관 관리자 및 분야별 전문가</t>
        </is>
      </c>
    </row>
    <row r="10" ht="115.2" customHeight="1">
      <c r="A10" s="13" t="inlineStr">
        <is>
          <t>2000</t>
        </is>
      </c>
      <c r="B10" s="13" t="inlineStr">
        <is>
          <t>2000-1S</t>
        </is>
      </c>
      <c r="C10" s="14" t="inlineStr">
        <is>
          <t>사전준비: 공동 대응 방안 수립</t>
        </is>
      </c>
      <c r="D10" s="13" t="inlineStr">
        <is>
          <t>2000-1S-1</t>
        </is>
      </c>
      <c r="E10" s="13" t="inlineStr">
        <is>
          <t>D-50</t>
        </is>
      </c>
      <c r="F10" s="15" t="inlineStr">
        <is>
          <t>인허가 절차 진행</t>
        </is>
      </c>
      <c r="G10" s="13" t="inlineStr">
        <is>
          <t>현장 공무팀</t>
        </is>
      </c>
      <c r="H10" s="14" t="inlineStr">
        <is>
          <t>도로법 및 하천법 준수 | 지자체 도로점용 허가 및 하천점용 허가서 접수 | 관련 부서 협의 및 법정 인허가 필증 수속</t>
        </is>
      </c>
      <c r="I10" s="14" t="inlineStr">
        <is>
          <t>1) 지자체 도로/하천점용 허가서 작성 ➔ 2) 관련 부서 서류 제출 &amp; 심의 ➔ 3) 보증보험 증권 부착 ➔ 4) 법정 인허가 필증 감리 수속</t>
        </is>
      </c>
      <c r="J10" s="14" t="inlineStr">
        <is>
          <t>지자체 도로점용 허가 &amp; 하천점용 허가서 수속, 보증보험 증권 제출 및 법정 인허가 필증 검수</t>
        </is>
      </c>
      <c r="K10" s="14" t="inlineStr">
        <is>
          <t>도로법 및 하천법 준수 | 지자체 도로점용 허가 및 하천점용 허가서 접수 | 관련 부서 협의 및 법정 인허가 필증 수속</t>
        </is>
      </c>
      <c r="L10" s="17" t="inlineStr">
        <is>
          <t>👉 [더블클릭] 표준서 열기 📄</t>
        </is>
      </c>
      <c r="M10" s="14" t="inlineStr">
        <is>
          <t>1) 지자체 도로/하천점용 허가서 작성 ➔ 2) 관련 부서 서류 제출 &amp; 심의 ➔ 3) 보증보험 증권 부착 ➔ 4) 법정 인허가 필증 감리 수속</t>
        </is>
      </c>
      <c r="N10" s="17" t="inlineStr">
        <is>
          <t>👉 [더블클릭] 수행지침 열기 📄</t>
        </is>
      </c>
      <c r="O10" s="44" t="inlineStr">
        <is>
          <t>지자체 도로점용 허가 &amp; 하천점용 허가서 수속, 보증보험 증권 제출 및 법정 인허가 필증 검수</t>
        </is>
      </c>
      <c r="P10" s="17" t="inlineStr">
        <is>
          <t>👉 [더블클릭] 체크리스트 열기 📄</t>
        </is>
      </c>
      <c r="Q10" s="13" t="n"/>
      <c r="R10" s="14" t="inlineStr">
        <is>
          <t>인허가 관련 행정법 및 도로법</t>
        </is>
      </c>
      <c r="S10" s="18" t="inlineStr">
        <is>
          <t>인허가 지연으로 인한 공사 중단 리스크 방지</t>
        </is>
      </c>
      <c r="T10" s="14" t="inlineStr">
        <is>
          <t>인허가 전문 자문</t>
        </is>
      </c>
    </row>
    <row r="11" ht="96" customHeight="1">
      <c r="A11" s="13" t="inlineStr">
        <is>
          <t>2000</t>
        </is>
      </c>
      <c r="B11" s="13" t="inlineStr">
        <is>
          <t>2000-1S</t>
        </is>
      </c>
      <c r="C11" s="14" t="inlineStr">
        <is>
          <t>사전준비: 공동 대응 방안 수립</t>
        </is>
      </c>
      <c r="D11" s="13" t="inlineStr">
        <is>
          <t>2000-1S-2</t>
        </is>
      </c>
      <c r="E11" s="13" t="inlineStr">
        <is>
          <t>D-45</t>
        </is>
      </c>
      <c r="F11" s="15" t="inlineStr">
        <is>
          <t>교통처리대책 협의 및 승인</t>
        </is>
      </c>
      <c r="G11" s="13" t="inlineStr">
        <is>
          <t>현장 공무팀/안전팀</t>
        </is>
      </c>
      <c r="H11" s="14" t="inlineStr">
        <is>
          <t>도로교통법 제69조 | 관할 경찰서 교통안전 심의 및 점용 허가 수령 | 우회 차선 도면 작성 및 안전 신호수 배치</t>
        </is>
      </c>
      <c r="I11" s="14" t="inlineStr">
        <is>
          <t>1) 교통 우회 도면 &amp; 차선 설계 ➔ 2) 동탄경찰서 도로점용 허가 ➔ 3) 전담 신호수(2인 2조) 배치 ➔ 4) 교통소통 대책서 감리 서면 승인</t>
        </is>
      </c>
      <c r="J11" s="14" t="inlineStr">
        <is>
          <t>동탄경찰서 도로점용 허가, 우회 차선 설계 및 전담 안전 신호수(2인 2조)/LED 경광등 배치</t>
        </is>
      </c>
      <c r="K11" s="14" t="inlineStr">
        <is>
          <t>도로교통법 제69조 | 관할 경찰서 교통안전 심의 및 점용 허가 수령 | 우회 차선 도면 작성 및 안전 신호수 배치</t>
        </is>
      </c>
      <c r="L11" s="17" t="inlineStr">
        <is>
          <t>👉 [더블클릭] 표준서 열기 📄</t>
        </is>
      </c>
      <c r="M11" s="14" t="inlineStr">
        <is>
          <t>1) 교통 우회 도면 &amp; 차선 설계 ➔ 2) 동탄경찰서 도로점용 허가 ➔ 3) 전담 신호수(2인 2조) 배치 ➔ 4) 교통소통 대책서 감리 서면 승인</t>
        </is>
      </c>
      <c r="N11" s="17" t="inlineStr">
        <is>
          <t>👉 [더블클릭] 수행지침 열기 📄</t>
        </is>
      </c>
      <c r="O11" s="44" t="inlineStr">
        <is>
          <t>동탄경찰서 도로점용 허가, 우회 차선 설계 및 전담 안전 신호수(2인 2조)/LED 경광등 배치</t>
        </is>
      </c>
      <c r="P11" s="17" t="inlineStr">
        <is>
          <t>👉 [더블클릭] 체크리스트 열기 📄</t>
        </is>
      </c>
      <c r="Q11" s="13" t="n"/>
      <c r="R11" s="14" t="inlineStr">
        <is>
          <t>도로교통법 및 교통영향평가 지침</t>
        </is>
      </c>
      <c r="S11" s="18" t="inlineStr">
        <is>
          <t>교통 혼잡민원 및 안전사고 발생 리스크 예방</t>
        </is>
      </c>
      <c r="T11" s="14" t="inlineStr">
        <is>
          <t>교통영향평가 전문 기술자</t>
        </is>
      </c>
    </row>
    <row r="12" ht="115.2" customHeight="1">
      <c r="A12" s="13" t="inlineStr">
        <is>
          <t>2000</t>
        </is>
      </c>
      <c r="B12" s="13" t="inlineStr">
        <is>
          <t>2000-1S</t>
        </is>
      </c>
      <c r="C12" s="14" t="inlineStr">
        <is>
          <t>사전준비: 공동 대응 방안 수립</t>
        </is>
      </c>
      <c r="D12" s="13" t="inlineStr">
        <is>
          <t>2000-1S-3</t>
        </is>
      </c>
      <c r="E12" s="13" t="inlineStr">
        <is>
          <t>D-40</t>
        </is>
      </c>
      <c r="F12" s="15" t="inlineStr">
        <is>
          <t>민원 저감 대책 수립</t>
        </is>
      </c>
      <c r="G12" s="13" t="inlineStr">
        <is>
          <t>현장 공무팀/민원팀</t>
        </is>
      </c>
      <c r="H12" s="14" t="inlineStr">
        <is>
          <t>대기환경보전법 및 소음진동관리법 | 야간 공사 소음 억제 방음벽(H=3m) 및 세륜기 가동 | 단수/단전 사전 안내 및 민원 대응반 가동</t>
        </is>
      </c>
      <c r="I12" s="14" t="inlineStr">
        <is>
          <t>1) 야간 공사 소음 방음벽(H=3m) 설치 ➔ 2) 세륜기 가동 &amp; 분무 살수 ➔ 3) 단수/단전 사전 주민 공지 ➔ 4) 민원 대응반 서면 승인</t>
        </is>
      </c>
      <c r="J12" s="14" t="inlineStr">
        <is>
          <t>야간 공사 소음 방음벽(H=3m) 가동, 이동식 세륜기(깊이 1.2m) 가동 및 단수 사전 주민 알림</t>
        </is>
      </c>
      <c r="K12" s="14" t="inlineStr">
        <is>
          <t>대기환경보전법 및 소음진동관리법 | 야간 공사 소음 억제 방음벽(H=3m) 및 세륜기 가동 | 단수/단전 사전 안내 및 민원 대응반 가동</t>
        </is>
      </c>
      <c r="L12" s="17" t="inlineStr">
        <is>
          <t>👉 [더블클릭] 표준서 열기 📄</t>
        </is>
      </c>
      <c r="M12" s="14" t="inlineStr">
        <is>
          <t>1) 야간 공사 소음 방음벽(H=3m) 설치 ➔ 2) 세륜기 가동 &amp; 분무 살수 ➔ 3) 단수/단전 사전 주민 공지 ➔ 4) 민원 대응반 서면 승인</t>
        </is>
      </c>
      <c r="N12" s="17" t="inlineStr">
        <is>
          <t>👉 [더블클릭] 수행지침 열기 📄</t>
        </is>
      </c>
      <c r="O12" s="44" t="inlineStr">
        <is>
          <t>야간 공사 소음 방음벽(H=3m) 가동, 이동식 세륜기(깊이 1.2m) 가동 및 단수 사전 주민 알림</t>
        </is>
      </c>
      <c r="P12" s="17" t="inlineStr">
        <is>
          <t>👉 [더블클릭] 체크리스트 열기 📄</t>
        </is>
      </c>
      <c r="Q12" s="13" t="n"/>
      <c r="R12" s="14" t="inlineStr">
        <is>
          <t>환경보전법 및 소음진동관리법</t>
        </is>
      </c>
      <c r="S12" s="18" t="inlineStr">
        <is>
          <t>집단 민원에 따른 현장 봉쇄 및 집회 리스크 방지</t>
        </is>
      </c>
      <c r="T12" s="14" t="inlineStr">
        <is>
          <t>민원 전담 현장 대리인</t>
        </is>
      </c>
    </row>
    <row r="13" ht="96" customHeight="1">
      <c r="A13" s="13" t="inlineStr">
        <is>
          <t>2000</t>
        </is>
      </c>
      <c r="B13" s="13" t="inlineStr">
        <is>
          <t>2000-1S</t>
        </is>
      </c>
      <c r="C13" s="14" t="inlineStr">
        <is>
          <t>사전준비: 공동 대응 방안 수립</t>
        </is>
      </c>
      <c r="D13" s="13" t="inlineStr">
        <is>
          <t>2000-1S-4</t>
        </is>
      </c>
      <c r="E13" s="13" t="inlineStr">
        <is>
          <t>D-35</t>
        </is>
      </c>
      <c r="F13" s="15" t="inlineStr">
        <is>
          <t>용지보상 Risk 파악</t>
        </is>
      </c>
      <c r="G13" s="13" t="inlineStr">
        <is>
          <t>현장 공무팀 / 토목계약관리팀</t>
        </is>
      </c>
      <c r="H13" s="14" t="inlineStr">
        <is>
          <t>토지보상법 준수 | 지장물 이설 부지 용지보상 현황 및 점용 경계 실측 | 미보상 사유지 가설 펜스 차단 및 우회 동선</t>
        </is>
      </c>
      <c r="I13" s="14" t="inlineStr">
        <is>
          <t>1) 미보상 사유지 경계 현출 ➔ 2) 가설 펜스(H=1.8m) 차단 ➔ 3) 3D 우회 토공 동선 수립 ➔ 4) 용지 보상 리스크 대책 승인</t>
        </is>
      </c>
      <c r="J13" s="14" t="inlineStr">
        <is>
          <t>미보상 사유지 경계 현출, 가설 펜스(H=1.8m) 차단 및 3D 우회 토공 동선 마일스톤 연동</t>
        </is>
      </c>
      <c r="K13" s="14" t="inlineStr">
        <is>
          <t>토지보상법 준수 | 지장물 이설 부지 용지보상 현황 및 점용 경계 실측 | 미보상 사유지 가설 펜스 차단 및 우회 동선</t>
        </is>
      </c>
      <c r="L13" s="17" t="inlineStr">
        <is>
          <t>👉 [더블클릭] 표준서 열기 📄</t>
        </is>
      </c>
      <c r="M13" s="14" t="inlineStr">
        <is>
          <t>1) 미보상 사유지 경계 현출 ➔ 2) 가설 펜스(H=1.8m) 차단 ➔ 3) 3D 우회 토공 동선 수립 ➔ 4) 용지 보상 리스크 대책 승인</t>
        </is>
      </c>
      <c r="N13" s="17" t="inlineStr">
        <is>
          <t>👉 [더블클릭] 수행지침 열기 📄</t>
        </is>
      </c>
      <c r="O13" s="44" t="inlineStr">
        <is>
          <t>미보상 사유지 경계 현출, 가설 펜스(H=1.8m) 차단 및 3D 우회 토공 동선 마일스톤 연동</t>
        </is>
      </c>
      <c r="P13" s="17" t="inlineStr">
        <is>
          <t>👉 [더블클릭] 체크리스트 열기 📄</t>
        </is>
      </c>
      <c r="Q13" s="13" t="n"/>
      <c r="R13" s="14" t="inlineStr">
        <is>
          <t>토지보상법 및 용지 보상 조례</t>
        </is>
      </c>
      <c r="S13" s="18" t="inlineStr">
        <is>
          <t>사유지 무단 침범에 따른 형사 고소 리스크 방지</t>
        </is>
      </c>
      <c r="T13" s="14" t="inlineStr">
        <is>
          <t>토지 보상 전문 행정사 자문</t>
        </is>
      </c>
    </row>
    <row r="14" ht="96" customHeight="1">
      <c r="A14" s="13" t="inlineStr">
        <is>
          <t>2000</t>
        </is>
      </c>
      <c r="B14" s="13" t="inlineStr">
        <is>
          <t>2000-2</t>
        </is>
      </c>
      <c r="C14" s="14" t="inlineStr">
        <is>
          <t>도급자/위수탁분 설계 및 행정</t>
        </is>
      </c>
      <c r="D14" s="13" t="inlineStr">
        <is>
          <t>2000-2-1</t>
        </is>
      </c>
      <c r="E14" s="13" t="inlineStr">
        <is>
          <t>D-40</t>
        </is>
      </c>
      <c r="F14" s="15" t="inlineStr">
        <is>
          <t>관리기관(맑은물사업소) 협의</t>
        </is>
      </c>
      <c r="G14" s="13" t="inlineStr">
        <is>
          <t>현장 공무팀</t>
        </is>
      </c>
      <c r="H14" s="14" t="inlineStr">
        <is>
          <t>수도법 및 하수도법 규정 | 맑은물사업소 합동 이설 위치 검토 &amp; 수돗물 단수 일정 수협 | 신구관 접속 설계도서 서면 결재</t>
        </is>
      </c>
      <c r="I14" s="14" t="inlineStr">
        <is>
          <t>1) 맑은물사업소 이설 위치 현측 ➔ 2) 단수 일정(최대 6시간) 협의 ➔ 3) 신구관 접속 도면 검토 ➔ 4) 이설 승인 공문 수령</t>
        </is>
      </c>
      <c r="J14" s="14" t="inlineStr">
        <is>
          <t>맑은물사업소 합동 이설 위치 검토, 수돗물 단수 일정(최대 6h) 수협 및 신구관 접속 도면 결재</t>
        </is>
      </c>
      <c r="K14" s="14" t="inlineStr">
        <is>
          <t>수도법 및 하수도법 규정 | 맑은물사업소 합동 이설 위치 검토 &amp; 수돗물 단수 일정 수협 | 신구관 접속 설계도서 서면 결재</t>
        </is>
      </c>
      <c r="L14" s="17" t="inlineStr">
        <is>
          <t>👉 [더블클릭] 표준서 열기 📄</t>
        </is>
      </c>
      <c r="M14" s="14" t="inlineStr">
        <is>
          <t>1) 맑은물사업소 이설 위치 현측 ➔ 2) 단수 일정(최대 6시간) 협의 ➔ 3) 신구관 접속 도면 검토 ➔ 4) 이설 승인 공문 수령</t>
        </is>
      </c>
      <c r="N14" s="17" t="inlineStr">
        <is>
          <t>👉 [더블클릭] 수행지침 열기 📄</t>
        </is>
      </c>
      <c r="O14" s="44" t="inlineStr">
        <is>
          <t>맑은물사업소 합동 이설 위치 검토, 수돗물 단수 일정(최대 6h) 수협 및 신구관 접속 도면 결재</t>
        </is>
      </c>
      <c r="P14" s="17" t="inlineStr">
        <is>
          <t>👉 [더블클릭] 체크리스트 열기 📄</t>
        </is>
      </c>
      <c r="Q14" s="13" t="n"/>
      <c r="R14" s="14" t="inlineStr">
        <is>
          <t>맑은물사업소 상하수도 시설기준</t>
        </is>
      </c>
      <c r="S14" s="28" t="inlineStr">
        <is>
          <t>상하수도 이설 위치 불일치로 인한 재협의 리스크 방지</t>
        </is>
      </c>
      <c r="T14" s="14" t="inlineStr">
        <is>
          <t>상하수도 전문 기술사 자문</t>
        </is>
      </c>
    </row>
    <row r="15" ht="96" customHeight="1">
      <c r="A15" s="13" t="inlineStr">
        <is>
          <t>2000</t>
        </is>
      </c>
      <c r="B15" s="13" t="inlineStr">
        <is>
          <t>2000-2</t>
        </is>
      </c>
      <c r="C15" s="14" t="inlineStr">
        <is>
          <t>도급자/위수탁분 설계 및 행정</t>
        </is>
      </c>
      <c r="D15" s="13" t="inlineStr">
        <is>
          <t>2000-2-2</t>
        </is>
      </c>
      <c r="E15" s="13" t="inlineStr">
        <is>
          <t>D-40</t>
        </is>
      </c>
      <c r="F15" s="15" t="inlineStr">
        <is>
          <t>위수탁 지장물 이설 설계</t>
        </is>
      </c>
      <c r="G15" s="13" t="inlineStr">
        <is>
          <t>엔지니어링팀/위수탁기관</t>
        </is>
      </c>
      <c r="H15" s="14" t="inlineStr">
        <is>
          <t>지하관로 설계기준 준수 | 위수탁 기관 설계도서 기술 검토 &amp; 3D BIM 간섭 점검 | 총사업비 변경 승인 및 설계 도서 수록</t>
        </is>
      </c>
      <c r="I15" s="14" t="inlineStr">
        <is>
          <t>1) 위수탁 기관 설계도서 수속 ➔ 2) 3D BIM 간섭 리스크 점검 ➔ 3) 총사업비 변경 수량 검증 ➔ 4) 위수탁 설계도서 감리 승인</t>
        </is>
      </c>
      <c r="J15" s="14" t="inlineStr">
        <is>
          <t>위수탁 기관 설계도서 기술 검토, 3D BIM 간섭 리스크 점검 및 총사업비 변경 수량 승인</t>
        </is>
      </c>
      <c r="K15" s="14" t="inlineStr">
        <is>
          <t>지하관로 설계기준 준수 | 위수탁 기관 설계도서 기술 검토 &amp; 3D BIM 간섭 점검 | 총사업비 변경 승인 및 설계 도서 수록</t>
        </is>
      </c>
      <c r="L15" s="17" t="inlineStr">
        <is>
          <t>👉 [더블클릭] 표준서 열기 📄</t>
        </is>
      </c>
      <c r="M15" s="14" t="inlineStr">
        <is>
          <t>1) 위수탁 기관 설계도서 수속 ➔ 2) 3D BIM 간섭 리스크 점검 ➔ 3) 총사업비 변경 수량 검증 ➔ 4) 위수탁 설계도서 감리 승인</t>
        </is>
      </c>
      <c r="N15" s="17" t="inlineStr">
        <is>
          <t>👉 [더블클릭] 수행지침 열기 📄</t>
        </is>
      </c>
      <c r="O15" s="44" t="inlineStr">
        <is>
          <t>위수탁 기관 설계도서 기술 검토, 3D BIM 간섭 리스크 점검 및 총사업비 변경 수량 승인</t>
        </is>
      </c>
      <c r="P15" s="17" t="inlineStr">
        <is>
          <t>👉 [더블클릭] 체크리스트 열기 📄</t>
        </is>
      </c>
      <c r="Q15" s="13" t="n"/>
      <c r="R15" s="14" t="inlineStr">
        <is>
          <t>국가계약법 및 위수탁 설계 기준</t>
        </is>
      </c>
      <c r="S15" s="18" t="inlineStr">
        <is>
          <t>위수탁 분담금 예가 과다 산정 리스크 관리</t>
        </is>
      </c>
      <c r="T15" s="14" t="inlineStr">
        <is>
          <t>위수탁 설계 전문 엔지니어링</t>
        </is>
      </c>
    </row>
    <row r="16" ht="96" customHeight="1">
      <c r="A16" s="13" t="inlineStr">
        <is>
          <t>2000</t>
        </is>
      </c>
      <c r="B16" s="13" t="inlineStr">
        <is>
          <t>2000-2</t>
        </is>
      </c>
      <c r="C16" s="14" t="inlineStr">
        <is>
          <t>도급자/위수탁분 설계 및 행정</t>
        </is>
      </c>
      <c r="D16" s="13" t="inlineStr">
        <is>
          <t>2000-2-3</t>
        </is>
      </c>
      <c r="E16" s="13" t="inlineStr">
        <is>
          <t>D-30</t>
        </is>
      </c>
      <c r="F16" s="15" t="inlineStr">
        <is>
          <t>상하수도 이설계획 실정보고</t>
        </is>
      </c>
      <c r="G16" s="13" t="inlineStr">
        <is>
          <t>현장 공무팀</t>
        </is>
      </c>
      <c r="H16" s="14" t="inlineStr">
        <is>
          <t>건진법 시행령 규정 | 현장 지장물 현출에 따른 실정보고서 작성 | 공법 변경 및 수량 증감에 대한 책임감리 승인</t>
        </is>
      </c>
      <c r="I16" s="14" t="inlineStr">
        <is>
          <t>1) 현장 지장물 현출 실정보고 작성 ➔ 2) 공법 변경 &amp; 수량 증감 산출 ➔ 3) 기술 검토 의견서 첨부 ➔ 4) 실정보고서 감리 서면 승인</t>
        </is>
      </c>
      <c r="J16" s="14" t="inlineStr">
        <is>
          <t>현장 지장물 현출 실정보고서 작성, 공법 변경 및 수량 증감 산출 책임감리원 승인</t>
        </is>
      </c>
      <c r="K16" s="14" t="inlineStr">
        <is>
          <t>건진법 시행령 규정 | 현장 지장물 현출에 따른 실정보고서 작성 | 공법 변경 및 수량 증감에 대한 책임감리 승인</t>
        </is>
      </c>
      <c r="L16" s="17" t="inlineStr">
        <is>
          <t>👉 [더블클릭] 표준서 열기 📄</t>
        </is>
      </c>
      <c r="M16" s="14" t="inlineStr">
        <is>
          <t>1) 현장 지장물 현출 실정보고 작성 ➔ 2) 공법 변경 &amp; 수량 증감 산출 ➔ 3) 기술 검토 의견서 첨부 ➔ 4) 실정보고서 감리 서면 승인</t>
        </is>
      </c>
      <c r="N16" s="17" t="inlineStr">
        <is>
          <t>👉 [더블클릭] 수행지침 열기 📄</t>
        </is>
      </c>
      <c r="O16" s="44" t="inlineStr">
        <is>
          <t>현장 지장물 현출 실정보고서 작성, 공법 변경 및 수량 증감 산출 책임감리원 승인</t>
        </is>
      </c>
      <c r="P16" s="17" t="inlineStr">
        <is>
          <t>👉 [더블클릭] 체크리스트 열기 📄</t>
        </is>
      </c>
      <c r="Q16" s="13" t="n"/>
      <c r="R16" s="14" t="inlineStr">
        <is>
          <t>건설기술진흥법 및 계약금액 조정 지침</t>
        </is>
      </c>
      <c r="S16" s="18" t="inlineStr">
        <is>
          <t>실정보고 승인 지연에 따른 변경 금액 누락 방지</t>
        </is>
      </c>
      <c r="T16" s="14" t="inlineStr">
        <is>
          <t>토목 공무 및 정산 전문가</t>
        </is>
      </c>
    </row>
    <row r="17" ht="96" customHeight="1">
      <c r="A17" s="13" t="inlineStr">
        <is>
          <t>2000</t>
        </is>
      </c>
      <c r="B17" s="13" t="inlineStr">
        <is>
          <t>2000-2</t>
        </is>
      </c>
      <c r="C17" s="14" t="inlineStr">
        <is>
          <t>도급자/위수탁분 설계 및 행정</t>
        </is>
      </c>
      <c r="D17" s="13" t="inlineStr">
        <is>
          <t>2000-2-4</t>
        </is>
      </c>
      <c r="E17" s="13" t="inlineStr">
        <is>
          <t>D-25</t>
        </is>
      </c>
      <c r="F17" s="15" t="inlineStr">
        <is>
          <t>위수탁 계약 체결</t>
        </is>
      </c>
      <c r="G17" s="13" t="inlineStr">
        <is>
          <t>현장 공무팀 / 발주처</t>
        </is>
      </c>
      <c r="H17" s="14" t="inlineStr">
        <is>
          <t>지방자치단체 계약법 | 관할 점용기관과 위수탁 이설 협약서 정산 조건 체결 | 공사비 분담금 및 예비비 계상 합의</t>
        </is>
      </c>
      <c r="I17" s="14" t="inlineStr">
        <is>
          <t>1) 관할 점용기관 협약 조건 수속 ➔ 2) 정산 분담금 &amp; 예비비 협의 ➔ 3) 위수탁 계약서 작성 ➔ 4) 위수탁 이설 계약 체결 승인</t>
        </is>
      </c>
      <c r="J17" s="14" t="inlineStr">
        <is>
          <t>관할 점용기관 위수탁 이설 협약서 체결, 공사비 분담금 및 예비비 계상 합의 서약</t>
        </is>
      </c>
      <c r="K17" s="14" t="inlineStr">
        <is>
          <t>지방자치단체 계약법 | 관할 점용기관과 위수탁 이설 협약서 정산 조건 체결 | 공사비 분담금 및 예비비 계상 합의</t>
        </is>
      </c>
      <c r="L17" s="17" t="inlineStr">
        <is>
          <t>👉 [더블클릭] 표준서 열기 📄</t>
        </is>
      </c>
      <c r="M17" s="14" t="inlineStr">
        <is>
          <t>1) 관할 점용기관 협약 조건 수속 ➔ 2) 정산 분담금 &amp; 예비비 협의 ➔ 3) 위수탁 계약서 작성 ➔ 4) 위수탁 이설 계약 체결 승인</t>
        </is>
      </c>
      <c r="N17" s="17" t="inlineStr">
        <is>
          <t>👉 [더블클릭] 수행지침 열기 📄</t>
        </is>
      </c>
      <c r="O17" s="44" t="inlineStr">
        <is>
          <t>관할 점용기관 위수탁 이설 협약서 체결, 공사비 분담금 및 예비비 계상 합의 서약</t>
        </is>
      </c>
      <c r="P17" s="17" t="inlineStr">
        <is>
          <t>👉 [더블클릭] 체크리스트 열기 📄</t>
        </is>
      </c>
      <c r="Q17" s="13" t="n"/>
      <c r="R17" s="14" t="inlineStr">
        <is>
          <t>지방재정법 및 지자체 계약 조례</t>
        </is>
      </c>
      <c r="S17" s="18" t="inlineStr">
        <is>
          <t>협약 미체결로 인한 시공 후 법적 분쟁 리스크 방지</t>
        </is>
      </c>
      <c r="T17" s="14" t="inlineStr">
        <is>
          <t>법무 및 계약 전담 전문가</t>
        </is>
      </c>
    </row>
    <row r="18" ht="96" customHeight="1">
      <c r="A18" s="13" t="inlineStr">
        <is>
          <t>2000</t>
        </is>
      </c>
      <c r="B18" s="13" t="inlineStr">
        <is>
          <t>2000-3</t>
        </is>
      </c>
      <c r="C18" s="14" t="inlineStr">
        <is>
          <t>지장물 이설 시공 관리</t>
        </is>
      </c>
      <c r="D18" s="13" t="inlineStr">
        <is>
          <t>2000-3-1</t>
        </is>
      </c>
      <c r="E18" s="13" t="inlineStr">
        <is>
          <t>D+0</t>
        </is>
      </c>
      <c r="F18" s="15" t="inlineStr">
        <is>
          <t>도로점용/굴착행위 인허가</t>
        </is>
      </c>
      <c r="G18" s="13" t="inlineStr">
        <is>
          <t>현장 공무팀/공사팀</t>
        </is>
      </c>
      <c r="H18" s="14" t="inlineStr">
        <is>
          <t>도로법 제61조 준수 | 지자체 도로 굴착 허가 신청서 접수 및 심의 필 | 도로 복구 이행 보증보험 증권 제출</t>
        </is>
      </c>
      <c r="I18" s="14" t="inlineStr">
        <is>
          <t>1) 도로 굴착 허가 신청서 작성 ➔ 2) 지자체 도로굴착 심의 필 ➔ 3) 복구 보증보험 증권 제출 ➔ 4) 도로 굴착 허가증 감리 결재</t>
        </is>
      </c>
      <c r="J18" s="14" t="inlineStr">
        <is>
          <t>지자체 도로 굴착 허가 신청서 접수, 심의 필증 수령 및 도로 복구 보증보험 증권 제출</t>
        </is>
      </c>
      <c r="K18" s="14" t="inlineStr">
        <is>
          <t>도로법 제61조 준수 | 지자체 도로 굴착 허가 신청서 접수 및 심의 필 | 도로 복구 이행 보증보험 증권 제출</t>
        </is>
      </c>
      <c r="L18" s="17" t="inlineStr">
        <is>
          <t>👉 [더블클릭] 표준서 열기 📄</t>
        </is>
      </c>
      <c r="M18" s="14" t="inlineStr">
        <is>
          <t>1) 도로 굴착 허가 신청서 작성 ➔ 2) 지자체 도로굴착 심의 필 ➔ 3) 복구 보증보험 증권 제출 ➔ 4) 도로 굴착 허가증 감리 결재</t>
        </is>
      </c>
      <c r="N18" s="17" t="inlineStr">
        <is>
          <t>👉 [더블클릭] 수행지침 열기 📄</t>
        </is>
      </c>
      <c r="O18" s="44" t="inlineStr">
        <is>
          <t>지자체 도로 굴착 허가 신청서 접수, 심의 필증 수령 및 도로 복구 보증보험 증권 제출</t>
        </is>
      </c>
      <c r="P18" s="17" t="inlineStr">
        <is>
          <t>👉 [더블클릭] 체크리스트 열기 📄</t>
        </is>
      </c>
      <c r="Q18" s="13" t="n"/>
      <c r="R18" s="14" t="inlineStr">
        <is>
          <t>도로법 및 도로석굴착 관리조례</t>
        </is>
      </c>
      <c r="S18" s="18" t="inlineStr">
        <is>
          <t>무단 점용/굴착에 따른 과태료 및 공사중단 리스크 방지</t>
        </is>
      </c>
      <c r="T18" s="14" t="inlineStr">
        <is>
          <t>인허가 전담 행정 자문</t>
        </is>
      </c>
    </row>
    <row r="19" ht="96" customHeight="1">
      <c r="A19" s="13" t="inlineStr">
        <is>
          <t>2000</t>
        </is>
      </c>
      <c r="B19" s="13" t="inlineStr">
        <is>
          <t>2000-3</t>
        </is>
      </c>
      <c r="C19" s="14" t="inlineStr">
        <is>
          <t>지장물 이설 시공 관리</t>
        </is>
      </c>
      <c r="D19" s="13" t="inlineStr">
        <is>
          <t>2000-3-2</t>
        </is>
      </c>
      <c r="E19" s="13" t="inlineStr">
        <is>
          <t>D+0</t>
        </is>
      </c>
      <c r="F19" s="15" t="inlineStr">
        <is>
          <t>교통통제 및 교통안전시설 설치</t>
        </is>
      </c>
      <c r="G19" s="13" t="inlineStr">
        <is>
          <t>현장 안전팀/공사팀</t>
        </is>
      </c>
      <c r="H19" s="14" t="inlineStr">
        <is>
          <t>도로교통법 안전 수칙 | 게이트 및 굴착 구간 안전 바리케이트, LED 경광등 부설 | 전담 신호수(2인 2조) 100% 현장 배치</t>
        </is>
      </c>
      <c r="I19" s="14" t="inlineStr">
        <is>
          <t>1) 굴착 구간 안전 바리케이트 부설 ➔ 2) 야간 LED 경광등 &amp; 표지판 설치 ➔ 3) 전담 신호수(2인 2조) 배치 ➔ 4) 교통 안전 점검 대장 결재</t>
        </is>
      </c>
      <c r="J19" s="14" t="inlineStr">
        <is>
          <t>굴착 구간 안전 바리케이트 부설, 야간 LED 경광등 설치 및 전담 신호수(2인 2조) 배치</t>
        </is>
      </c>
      <c r="K19" s="14" t="inlineStr">
        <is>
          <t>도로교통법 안전 수칙 | 게이트 및 굴착 구간 안전 바리케이트, LED 경광등 부설 | 전담 신호수(2인 2조) 100% 현장 배치</t>
        </is>
      </c>
      <c r="L19" s="17" t="inlineStr">
        <is>
          <t>👉 [더블클릭] 표준서 열기 📄</t>
        </is>
      </c>
      <c r="M19" s="14" t="inlineStr">
        <is>
          <t>1) 굴착 구간 안전 바리케이트 부설 ➔ 2) 야간 LED 경광등 &amp; 표지판 설치 ➔ 3) 전담 신호수(2인 2조) 배치 ➔ 4) 교통 안전 점검 대장 결재</t>
        </is>
      </c>
      <c r="N19" s="17" t="inlineStr">
        <is>
          <t>👉 [더블클릭] 수행지침 열기 📄</t>
        </is>
      </c>
      <c r="O19" s="44" t="inlineStr">
        <is>
          <t>굴착 구간 안전 바리케이트 부설, 야간 LED 경광등 설치 및 전담 신호수(2인 2조) 배치</t>
        </is>
      </c>
      <c r="P19" s="17" t="inlineStr">
        <is>
          <t>👉 [더블클릭] 체크리스트 열기 📄</t>
        </is>
      </c>
      <c r="Q19" s="13" t="n"/>
      <c r="R19" s="14" t="inlineStr">
        <is>
          <t>도로공사장 교통관리지침 (국토교통부)</t>
        </is>
      </c>
      <c r="S19" s="18" t="inlineStr">
        <is>
          <t>교통사고 및 보행자 민원 발생 리스크 예방</t>
        </is>
      </c>
      <c r="T19" s="14" t="inlineStr">
        <is>
          <t>교통안전 전문 자문</t>
        </is>
      </c>
    </row>
    <row r="20" ht="96" customHeight="1">
      <c r="A20" s="13" t="inlineStr">
        <is>
          <t>2000</t>
        </is>
      </c>
      <c r="B20" s="13" t="inlineStr">
        <is>
          <t>2000-3</t>
        </is>
      </c>
      <c r="C20" s="14" t="inlineStr">
        <is>
          <t>지장물 이설 시공 관리</t>
        </is>
      </c>
      <c r="D20" s="13" t="inlineStr">
        <is>
          <t>2000-3-3</t>
        </is>
      </c>
      <c r="E20" s="13" t="inlineStr">
        <is>
          <t>D+1</t>
        </is>
      </c>
      <c r="F20" s="15" t="inlineStr">
        <is>
          <t>줄따기(GPR)를 통한 기존 지장물 매설 확인</t>
        </is>
      </c>
      <c r="G20" s="13" t="inlineStr">
        <is>
          <t>현장 공무팀/공사팀</t>
        </is>
      </c>
      <c r="H20" s="14" t="inlineStr">
        <is>
          <t>지하안전법 제23조 | GPR 3D 탐사 후 인력 시탐 줄파기(폭 0.5m, 깊이 1.5m) | 실체 관로 노출 및 위치 표지판 비치</t>
        </is>
      </c>
      <c r="I20" s="14" t="inlineStr">
        <is>
          <t>1) GPR 3D 지중 관로 탐사 ➔ 2) 인력 시탐 줄파기(깊이 1.5m) ➔ 3) 실체 관로 노출 &amp; 위치 매핑 ➔ 4) 지장물 현측표 감리 서면 승인</t>
        </is>
      </c>
      <c r="J20" s="14" t="inlineStr">
        <is>
          <t>GPR 3D 지중 관로 탐사, 인력 시탐 줄파기(폭 0.5m, 깊이 1.5m) 및 실체 관로 노출 매핑</t>
        </is>
      </c>
      <c r="K20" s="14" t="inlineStr">
        <is>
          <t>지하안전법 제23조 | GPR 3D 탐사 후 인력 시탐 줄파기(폭 0.5m, 깊이 1.5m) | 실체 관로 노출 및 위치 표지판 비치</t>
        </is>
      </c>
      <c r="L20" s="17" t="inlineStr">
        <is>
          <t>👉 [더블클릭] 표준서 열기 📄</t>
        </is>
      </c>
      <c r="M20" s="14" t="inlineStr">
        <is>
          <t>1) GPR 3D 지중 관로 탐사 ➔ 2) 인력 시탐 줄파기(깊이 1.5m) ➔ 3) 실체 관로 노출 &amp; 위치 매핑 ➔ 4) 지장물 현측표 감리 서면 승인</t>
        </is>
      </c>
      <c r="N20" s="17" t="inlineStr">
        <is>
          <t>👉 [더블클릭] 수행지침 열기 📄</t>
        </is>
      </c>
      <c r="O20" s="44" t="inlineStr">
        <is>
          <t>GPR 3D 지중 관로 탐사, 인력 시탐 줄파기(폭 0.5m, 깊이 1.5m) 및 실체 관로 노출 매핑</t>
        </is>
      </c>
      <c r="P20" s="17" t="inlineStr">
        <is>
          <t>👉 [더블클릭] 체크리스트 열기 📄</t>
        </is>
      </c>
      <c r="Q20" s="13" t="n"/>
      <c r="R20" s="14" t="inlineStr">
        <is>
          <t>지하안전관리에 관한 특별법 (지하안전법)</t>
        </is>
      </c>
      <c r="S20" s="18" t="inlineStr">
        <is>
          <t>중장비 직접 굴착으로 인한 관로 파손 사고 리스크 방지</t>
        </is>
      </c>
      <c r="T20" s="14" t="inlineStr">
        <is>
          <t>GPR 탐지 및 지하안전 전문 자문</t>
        </is>
      </c>
    </row>
    <row r="21" ht="96" customHeight="1">
      <c r="A21" s="13" t="inlineStr">
        <is>
          <t>2000</t>
        </is>
      </c>
      <c r="B21" s="13" t="inlineStr">
        <is>
          <t>2000-3</t>
        </is>
      </c>
      <c r="C21" s="14" t="inlineStr">
        <is>
          <t>지장물 이설 시공 관리</t>
        </is>
      </c>
      <c r="D21" s="13" t="inlineStr">
        <is>
          <t>2000-3-4</t>
        </is>
      </c>
      <c r="E21" s="13" t="inlineStr">
        <is>
          <t>D+3</t>
        </is>
      </c>
      <c r="F21" s="15" t="inlineStr">
        <is>
          <t>이설 위치 토공 굴착</t>
        </is>
      </c>
      <c r="G21" s="13" t="inlineStr">
        <is>
          <t>현장 공사팀</t>
        </is>
      </c>
      <c r="H21" s="14" t="inlineStr">
        <is>
          <t>KCS 47 10 25 굴착 시방 | 굴착 사면 비탈면 경사(1:1.5) 준수 및 흙막이 가설재 부설 | 굴착 바닥 원지반 K30 ≥ 70 지비력 검측</t>
        </is>
      </c>
      <c r="I21" s="14" t="inlineStr">
        <is>
          <t>1) 굴착 비탈면 경사(1:1.5) 측량 ➔ 2) 굴착 &amp; 흙막이 가설재 부설 ➔ 3) 바닥 원지반 K30(≥70) 검측 ➔ 4) 굴착 완료 성과표 감리 승인</t>
        </is>
      </c>
      <c r="J21" s="14" t="inlineStr">
        <is>
          <t>굴착 비탈면 경사(1:1.5 이하) 측량, 흙막이 가설재 부설 및 바닥 원지반 K30 ≥ 70 지비력 검측</t>
        </is>
      </c>
      <c r="K21" s="14" t="inlineStr">
        <is>
          <t>KCS 47 10 25 굴착 시방 | 굴착 사면 비탈면 경사(1:1.5) 준수 및 흙막이 가설재 부설 | 굴착 바닥 원지반 K30 ≥ 70 지비력 검측</t>
        </is>
      </c>
      <c r="L21" s="17" t="inlineStr">
        <is>
          <t>👉 [더블클릭] 표준서 열기 📄</t>
        </is>
      </c>
      <c r="M21" s="14" t="inlineStr">
        <is>
          <t>1) 굴착 비탈면 경사(1:1.5) 측량 ➔ 2) 굴착 &amp; 흙막이 가설재 부설 ➔ 3) 바닥 원지반 K30(≥70) 검측 ➔ 4) 굴착 완료 성과표 감리 승인</t>
        </is>
      </c>
      <c r="N21" s="17" t="inlineStr">
        <is>
          <t>👉 [더블클릭] 수행지침 열기 📄</t>
        </is>
      </c>
      <c r="O21" s="44" t="inlineStr">
        <is>
          <t>굴착 비탈면 경사(1:1.5 이하) 측량, 흙막이 가설재 부설 및 바닥 원지반 K30 ≥ 70 지비력 검측</t>
        </is>
      </c>
      <c r="P21" s="17" t="inlineStr">
        <is>
          <t>👉 [더블클릭] 체크리스트 열기 📄</t>
        </is>
      </c>
      <c r="Q21" s="13" t="n"/>
      <c r="R21" s="14" t="inlineStr">
        <is>
          <t>KCS 11 20 00 토공사 표준시방서</t>
        </is>
      </c>
      <c r="S21" s="18" t="inlineStr">
        <is>
          <t>굴착 법면 붕괴 및 인접 도로 침하 리스크 방지</t>
        </is>
      </c>
      <c r="T21" s="14" t="inlineStr">
        <is>
          <t>토질 및 기초 기술사 자문</t>
        </is>
      </c>
    </row>
    <row r="22" ht="96" customHeight="1">
      <c r="A22" s="13" t="inlineStr">
        <is>
          <t>2000</t>
        </is>
      </c>
      <c r="B22" s="13" t="inlineStr">
        <is>
          <t>2000-3</t>
        </is>
      </c>
      <c r="C22" s="14" t="inlineStr">
        <is>
          <t>지장물 이설 시공 관리</t>
        </is>
      </c>
      <c r="D22" s="13" t="inlineStr">
        <is>
          <t>2000-3-5</t>
        </is>
      </c>
      <c r="E22" s="13" t="inlineStr">
        <is>
          <t>D+5</t>
        </is>
      </c>
      <c r="F22" s="15" t="inlineStr">
        <is>
          <t>신규관로 매설 및 설치</t>
        </is>
      </c>
      <c r="G22" s="13" t="inlineStr">
        <is>
          <t>현장 공사팀 / 전문협력사</t>
        </is>
      </c>
      <c r="H22" s="14" t="inlineStr">
        <is>
          <t>KS 관로 자재 규정 준수 | 신규 상하수도관/가스관 부설 및 모래 기초(두께 10cm) 부설 | 관로 경사(≥ 0.5%) 및 수평 위치 검측</t>
        </is>
      </c>
      <c r="I22" s="14" t="inlineStr">
        <is>
          <t>1) 관로 모래 기초(10cm) 부설 ➔ 2) 신규 상하수도관/가스관 부설 ➔ 3) 관로 종단 구배(≥0.5%) 검측 ➔ 4) 신규 관로 부설 감리 서면 승인</t>
        </is>
      </c>
      <c r="J22" s="14" t="inlineStr">
        <is>
          <t>관로 모래 기초(두께 10cm) 부설, 신규 상하수도관/가스관 부설 및 종단 구배(≥ 0.5%) 검측</t>
        </is>
      </c>
      <c r="K22" s="14" t="inlineStr">
        <is>
          <t>KS 관로 자재 규정 준수 | 신규 상하수도관/가스관 부설 및 모래 기초(두께 10cm) 부설 | 관로 경사(≥ 0.5%) 및 수평 위치 검측</t>
        </is>
      </c>
      <c r="L22" s="17" t="inlineStr">
        <is>
          <t>👉 [더블클릭] 표준서 열기 📄</t>
        </is>
      </c>
      <c r="M22" s="14" t="inlineStr">
        <is>
          <t>1) 관로 모래 기초(10cm) 부설 ➔ 2) 신규 상하수도관/가스관 부설 ➔ 3) 관로 종단 구배(≥0.5%) 검측 ➔ 4) 신규 관로 부설 감리 서면 승인</t>
        </is>
      </c>
      <c r="N22" s="17" t="inlineStr">
        <is>
          <t>👉 [더블클릭] 수행지침 열기 📄</t>
        </is>
      </c>
      <c r="O22" s="44" t="inlineStr">
        <is>
          <t>관로 모래 기초(두께 10cm) 부설, 신규 상하수도관/가스관 부설 및 종단 구배(≥ 0.5%) 검측</t>
        </is>
      </c>
      <c r="P22" s="17" t="inlineStr">
        <is>
          <t>👉 [더블클릭] 체크리스트 열기 📄</t>
        </is>
      </c>
      <c r="Q22" s="13" t="n"/>
      <c r="R22" s="14" t="inlineStr">
        <is>
          <t>상하수도 및 배관공사 표준시방서</t>
        </is>
      </c>
      <c r="S22" s="18" t="inlineStr">
        <is>
          <t>관 이음부 누수 및 침하로 인한 도로 함몰 리스크 예방</t>
        </is>
      </c>
      <c r="T22" s="14" t="inlineStr">
        <is>
          <t>배관 및 관로 시공 전문 자문</t>
        </is>
      </c>
    </row>
    <row r="23" ht="96" customHeight="1">
      <c r="A23" s="13" t="inlineStr">
        <is>
          <t>2000</t>
        </is>
      </c>
      <c r="B23" s="13" t="inlineStr">
        <is>
          <t>2000-3</t>
        </is>
      </c>
      <c r="C23" s="14" t="inlineStr">
        <is>
          <t>지장물 이설 시공 관리</t>
        </is>
      </c>
      <c r="D23" s="13" t="inlineStr">
        <is>
          <t>2000-3-6</t>
        </is>
      </c>
      <c r="E23" s="13" t="inlineStr">
        <is>
          <t>D+8</t>
        </is>
      </c>
      <c r="F23" s="15" t="inlineStr">
        <is>
          <t>무단수 연결을 위한 시설 설치</t>
        </is>
      </c>
      <c r="G23" s="13" t="inlineStr">
        <is>
          <t>현장 공사팀 / 전문업체</t>
        </is>
      </c>
      <c r="H23" s="14" t="inlineStr">
        <is>
          <t>수도시설 공학 규정 | 무단수 천공기 및 밸브 차단 장치 정밀 세팅 | 수압 시험 및 밸브 가동 상태 시운전 검측</t>
        </is>
      </c>
      <c r="I23" s="14" t="inlineStr">
        <is>
          <t>1) 무단수 천공기 정밀 세팅 ➔ 2) 차단 밸브 &amp; 챔버 설치 ➔ 3) 수압 시험 및 가동 시운전 ➔ 4) 무단수 시설 검측 감리 승인</t>
        </is>
      </c>
      <c r="J23" s="14" t="inlineStr">
        <is>
          <t>무단수 천공기 정밀 세팅, 차단 밸브 &amp; 챔버 설치 및 수압 시험/가동 시운전 검측</t>
        </is>
      </c>
      <c r="K23" s="14" t="inlineStr">
        <is>
          <t>수도시설 공학 규정 | 무단수 천공기 및 밸브 차단 장치 정밀 세팅 | 수압 시험 및 밸브 가동 상태 시운전 검측</t>
        </is>
      </c>
      <c r="L23" s="17" t="inlineStr">
        <is>
          <t>👉 [더블클릭] 표준서 열기 📄</t>
        </is>
      </c>
      <c r="M23" s="14" t="inlineStr">
        <is>
          <t>1) 무단수 천공기 정밀 세팅 ➔ 2) 차단 밸브 &amp; 챔버 설치 ➔ 3) 수압 시험 및 가동 시운전 ➔ 4) 무단수 시설 검측 감리 승인</t>
        </is>
      </c>
      <c r="N23" s="17" t="inlineStr">
        <is>
          <t>👉 [더블클릭] 수행지침 열기 📄</t>
        </is>
      </c>
      <c r="O23" s="44" t="inlineStr">
        <is>
          <t>무단수 천공기 정밀 세팅, 차단 밸브 &amp; 챔버 설치 및 수압 시험/가동 시운전 검측</t>
        </is>
      </c>
      <c r="P23" s="17" t="inlineStr">
        <is>
          <t>👉 [더블클릭] 체크리스트 열기 📄</t>
        </is>
      </c>
      <c r="Q23" s="13" t="n"/>
      <c r="R23" s="14" t="inlineStr">
        <is>
          <t>무단수 공법 기술 시방서</t>
        </is>
      </c>
      <c r="S23" s="18" t="inlineStr">
        <is>
          <t>단수 발생으로 인한 대규모 주민 민원 리스크 방지</t>
        </is>
      </c>
      <c r="T23" s="14" t="inlineStr">
        <is>
          <t>무단수 공법 전문 기술자 자문</t>
        </is>
      </c>
    </row>
    <row r="24" ht="96" customHeight="1">
      <c r="A24" s="13" t="inlineStr">
        <is>
          <t>2000</t>
        </is>
      </c>
      <c r="B24" s="13" t="inlineStr">
        <is>
          <t>2000-3</t>
        </is>
      </c>
      <c r="C24" s="14" t="inlineStr">
        <is>
          <t>지장물 이설 시공 관리</t>
        </is>
      </c>
      <c r="D24" s="13" t="inlineStr">
        <is>
          <t>2000-3-7</t>
        </is>
      </c>
      <c r="E24" s="13" t="inlineStr">
        <is>
          <t>D+10</t>
        </is>
      </c>
      <c r="F24" s="15" t="inlineStr">
        <is>
          <t>신규관로 및 연결관로 접속</t>
        </is>
      </c>
      <c r="G24" s="13" t="inlineStr">
        <is>
          <t>현장 공사팀</t>
        </is>
      </c>
      <c r="H24" s="14" t="inlineStr">
        <is>
          <t>관로 연결 시방 수칙 | 신구 관로 접속 부위 수압 시험(10kgf/cm², 1시간 유지) | 누수 여부 점검 및 부식 방지 랩핑 부설</t>
        </is>
      </c>
      <c r="I24" s="14" t="inlineStr">
        <is>
          <t>1) 신구 관로 접속 부위 부설 ➔ 2) 수압 시험(10kgf/cm², 1h 유지) ➔ 3) 부식 방지 피복 랩핑 시행 ➔ 4) 관로 접속 검측 성과표 승인</t>
        </is>
      </c>
      <c r="J24" s="14" t="inlineStr">
        <is>
          <t>신구 관로 접속 부위 부설, 수압 시험(10kgf/cm², 1h 유지) 및 부식 방지 피복 랩핑 검측</t>
        </is>
      </c>
      <c r="K24" s="14" t="inlineStr">
        <is>
          <t>관로 연결 시방 수칙 | 신구 관로 접속 부위 수압 시험(10kgf/cm², 1시간 유지) | 누수 여부 점검 및 부식 방지 랩핑 부설</t>
        </is>
      </c>
      <c r="L24" s="17" t="inlineStr">
        <is>
          <t>👉 [더블클릭] 표준서 열기 📄</t>
        </is>
      </c>
      <c r="M24" s="14" t="inlineStr">
        <is>
          <t>1) 신구 관로 접속 부위 부설 ➔ 2) 수압 시험(10kgf/cm², 1h 유지) ➔ 3) 부식 방지 피복 랩핑 시행 ➔ 4) 관로 접속 검측 성과표 승인</t>
        </is>
      </c>
      <c r="N24" s="17" t="inlineStr">
        <is>
          <t>👉 [더블클릭] 수행지침 열기 📄</t>
        </is>
      </c>
      <c r="O24" s="44" t="inlineStr">
        <is>
          <t>신구 관로 접속 부위 부설, 수압 시험(10kgf/cm², 1h 유지) 및 부식 방지 피복 랩핑 검측</t>
        </is>
      </c>
      <c r="P24" s="17" t="inlineStr">
        <is>
          <t>👉 [더블클릭] 체크리스트 열기 📄</t>
        </is>
      </c>
      <c r="Q24" s="13" t="n"/>
      <c r="R24" s="14" t="inlineStr">
        <is>
          <t>관로 접속 및 Cut-over 시방서</t>
        </is>
      </c>
      <c r="S24" s="18" t="inlineStr">
        <is>
          <t>접속 부위 압력 파손 및 서비스 전환 실패 리스크 방지</t>
        </is>
      </c>
      <c r="T24" s="14" t="inlineStr">
        <is>
          <t>관로 접속 전문 자문</t>
        </is>
      </c>
    </row>
    <row r="25" ht="96" customHeight="1">
      <c r="A25" s="13" t="inlineStr">
        <is>
          <t>2000</t>
        </is>
      </c>
      <c r="B25" s="13" t="inlineStr">
        <is>
          <t>2000-3</t>
        </is>
      </c>
      <c r="C25" s="14" t="inlineStr">
        <is>
          <t>지장물 이설 시공 관리</t>
        </is>
      </c>
      <c r="D25" s="13" t="inlineStr">
        <is>
          <t>2000-3-8</t>
        </is>
      </c>
      <c r="E25" s="13" t="inlineStr">
        <is>
          <t>D+15</t>
        </is>
      </c>
      <c r="F25" s="15" t="inlineStr">
        <is>
          <t>기존관로 철거 및 원상복구</t>
        </is>
      </c>
      <c r="G25" s="13" t="inlineStr">
        <is>
          <t>현장 공사팀</t>
        </is>
      </c>
      <c r="H25" s="14" t="inlineStr">
        <is>
          <t>폐기물관리법 준수 | 폐관로 수거 및 토사 30cm 층다짐(다짐도 ≥ 95%) 원상복구 | 아스콘 가포설 및 평탄성 통제</t>
        </is>
      </c>
      <c r="I25" s="14" t="inlineStr">
        <is>
          <t>1) 기존 폐관로 안전 철거/수거 ➔ 2) 토사 30cm 층다짐(다짐도≥95%) ➔ 3) 아스콘 가포설 &amp; 평탄성 검측 ➔ 4) 원상복구 성과표 감리 승인</t>
        </is>
      </c>
      <c r="J25" s="14" t="inlineStr">
        <is>
          <t>기존 폐관로 안전 철거/수거, 토사 30cm 층다짐(다짐도 ≥ 95%) 원상복구 및 아스콘 가포설</t>
        </is>
      </c>
      <c r="K25" s="14" t="inlineStr">
        <is>
          <t>폐기물관리법 준수 | 폐관로 수거 및 토사 30cm 층다짐(다짐도 ≥ 95%) 원상복구 | 아스콘 가포설 및 평탄성 통제</t>
        </is>
      </c>
      <c r="L25" s="17" t="inlineStr">
        <is>
          <t>👉 [더블클릭] 표준서 열기 📄</t>
        </is>
      </c>
      <c r="M25" s="14" t="inlineStr">
        <is>
          <t>1) 기존 폐관로 안전 철거/수거 ➔ 2) 토사 30cm 층다짐(다짐도≥95%) ➔ 3) 아스콘 가포설 &amp; 평탄성 검측 ➔ 4) 원상복구 성과표 감리 승인</t>
        </is>
      </c>
      <c r="N25" s="17" t="inlineStr">
        <is>
          <t>👉 [더블클릭] 수행지침 열기 📄</t>
        </is>
      </c>
      <c r="O25" s="44" t="inlineStr">
        <is>
          <t>기존 폐관로 안전 철거/수거, 토사 30cm 층다짐(다짐도 ≥ 95%) 원상복구 및 아스콘 가포설</t>
        </is>
      </c>
      <c r="P25" s="17" t="inlineStr">
        <is>
          <t>👉 [더블클릭] 체크리스트 열기 📄</t>
        </is>
      </c>
      <c r="Q25" s="13" t="n"/>
      <c r="R25" s="14" t="inlineStr">
        <is>
          <t>도로 복구 공사 표준시방서</t>
        </is>
      </c>
      <c r="S25" s="18" t="inlineStr">
        <is>
          <t>복구 포장 부등침하로 인한 포트홀 리스크 방지</t>
        </is>
      </c>
      <c r="T25" s="14" t="inlineStr">
        <is>
          <t>도로 포장 전문 기술자 자문</t>
        </is>
      </c>
    </row>
    <row r="26" ht="96" customHeight="1">
      <c r="A26" s="13" t="inlineStr">
        <is>
          <t>2000</t>
        </is>
      </c>
      <c r="B26" s="13" t="inlineStr">
        <is>
          <t>2000-4</t>
        </is>
      </c>
      <c r="C26" s="14" t="inlineStr">
        <is>
          <t>주요 지장물 이설 소유자 및 관리특성</t>
        </is>
      </c>
      <c r="D26" s="13" t="inlineStr">
        <is>
          <t>2000-4-1</t>
        </is>
      </c>
      <c r="E26" s="13" t="inlineStr">
        <is>
          <t>D+20</t>
        </is>
      </c>
      <c r="F26" s="15" t="inlineStr">
        <is>
          <t>광역상수관 이설 공사</t>
        </is>
      </c>
      <c r="G26" s="13" t="inlineStr">
        <is>
          <t>공사팀 (협의: 한국수자원공사)</t>
        </is>
      </c>
      <c r="H26" s="14" t="inlineStr">
        <is>
          <t>수도법 규정 준수 | 광역상수관(Ø500mm+) 이설 수압 시험 및 수질 검사 합격 | 한국수자원공사 입회 인수 완료</t>
        </is>
      </c>
      <c r="I26" s="14" t="inlineStr">
        <is>
          <t>1) 광역상수관(Ø500mm+) 부설 ➔ 2) 수압 시험 &amp; 수질 검사 시행 ➔ 3) 한국수자원공사 현장 입회 ➔ 4) 광역상수관 이설 완료 승인</t>
        </is>
      </c>
      <c r="J26" s="14" t="inlineStr">
        <is>
          <t>광역상수관(Ø500mm+) 부설, 수압 시험 및 수질 검사 합격 (한국수자원공사 1:1 입회 검측)</t>
        </is>
      </c>
      <c r="K26" s="14" t="inlineStr">
        <is>
          <t>수도법 규정 준수 | 광역상수관(Ø500mm+) 이설 수압 시험 및 수질 검사 합격 | 한국수자원공사 입회 인수 완료</t>
        </is>
      </c>
      <c r="L26" s="17" t="inlineStr">
        <is>
          <t>👉 [더블클릭] 표준서 열기 📄</t>
        </is>
      </c>
      <c r="M26" s="14" t="inlineStr">
        <is>
          <t>1) 광역상수관(Ø500mm+) 부설 ➔ 2) 수압 시험 &amp; 수질 검사 시행 ➔ 3) 한국수자원공사 현장 입회 ➔ 4) 광역상수관 이설 완료 승인</t>
        </is>
      </c>
      <c r="N26" s="17" t="inlineStr">
        <is>
          <t>👉 [더블클릭] 수행지침 열기 📄</t>
        </is>
      </c>
      <c r="O26" s="44" t="inlineStr">
        <is>
          <t>광역상수관(Ø500mm+) 부설, 수압 시험 및 수질 검사 합격 (한국수자원공사 1:1 입회 검측)</t>
        </is>
      </c>
      <c r="P26" s="17" t="inlineStr">
        <is>
          <t>👉 [더블클릭] 체크리스트 열기 📄</t>
        </is>
      </c>
      <c r="Q26" s="13" t="n"/>
      <c r="R26" s="14" t="inlineStr">
        <is>
          <t>한국수자원공사 광역상수도 설계기준</t>
        </is>
      </c>
      <c r="S26" s="18" t="inlineStr">
        <is>
          <t>광역상수도 파손 시 광역 단수 대형 재난 리스크 관리</t>
        </is>
      </c>
      <c r="T26" s="14" t="inlineStr">
        <is>
          <t>수자원공사 전담 기술 자문</t>
        </is>
      </c>
    </row>
    <row r="27" ht="96" customHeight="1">
      <c r="A27" s="13" t="inlineStr">
        <is>
          <t>2000</t>
        </is>
      </c>
      <c r="B27" s="13" t="inlineStr">
        <is>
          <t>2000-4</t>
        </is>
      </c>
      <c r="C27" s="14" t="inlineStr">
        <is>
          <t>주요 지장물 이설 소유자 및 관리특성</t>
        </is>
      </c>
      <c r="D27" s="13" t="inlineStr">
        <is>
          <t>2000-4-2</t>
        </is>
      </c>
      <c r="E27" s="13" t="inlineStr">
        <is>
          <t>D+22</t>
        </is>
      </c>
      <c r="F27" s="15" t="inlineStr">
        <is>
          <t>상수도 관로 이설 공사</t>
        </is>
      </c>
      <c r="G27" s="13" t="inlineStr">
        <is>
          <t>공사팀 (협의: 맑은물사업소)</t>
        </is>
      </c>
      <c r="H27" s="14" t="inlineStr">
        <is>
          <t>지자체 상수도 시방 | 배수관(Ø200~300mm) 이설, 탁수 퇴수 작업 및 잔류염소 시험 | 맑은물사업소 합동 현측 승인</t>
        </is>
      </c>
      <c r="I27" s="14" t="inlineStr">
        <is>
          <t>1) 배수관(Ø200~300mm) 이설 부설 ➔ 2) 탁수 퇴수 &amp; 잔류염소 시험 ➔ 3) 맑은물사업소 합동 현측 ➔ 4) 상수도 관로 이설 감리 승인</t>
        </is>
      </c>
      <c r="J27" s="14" t="inlineStr">
        <is>
          <t>배수관(Ø200~300mm) 이설, 탁수 퇴수 작업 및 잔류염소 시험 합격 (맑은물사업소 현측)</t>
        </is>
      </c>
      <c r="K27" s="14" t="inlineStr">
        <is>
          <t>지자체 상수도 시방 | 배수관(Ø200~300mm) 이설, 탁수 퇴수 작업 및 잔류염소 시험 | 맑은물사업소 합동 현측 승인</t>
        </is>
      </c>
      <c r="L27" s="17" t="inlineStr">
        <is>
          <t>👉 [더블클릭] 표준서 열기 📄</t>
        </is>
      </c>
      <c r="M27" s="14" t="inlineStr">
        <is>
          <t>1) 배수관(Ø200~300mm) 이설 부설 ➔ 2) 탁수 퇴수 &amp; 잔류염소 시험 ➔ 3) 맑은물사업소 합동 현측 ➔ 4) 상수도 관로 이설 감리 승인</t>
        </is>
      </c>
      <c r="N27" s="17" t="inlineStr">
        <is>
          <t>👉 [더블클릭] 수행지침 열기 📄</t>
        </is>
      </c>
      <c r="O27" s="44" t="inlineStr">
        <is>
          <t>배수관(Ø200~300mm) 이설, 탁수 퇴수 작업 및 잔류염소 시험 합격 (맑은물사업소 현측)</t>
        </is>
      </c>
      <c r="P27" s="17" t="inlineStr">
        <is>
          <t>👉 [더블클릭] 체크리스트 열기 📄</t>
        </is>
      </c>
      <c r="Q27" s="13" t="n"/>
      <c r="R27" s="14" t="inlineStr">
        <is>
          <t>상수도 공사 표준시방서</t>
        </is>
      </c>
      <c r="S27" s="18" t="inlineStr">
        <is>
          <t>상수도 수질 오염 및 단수 시간 초과 리스크 방지</t>
        </is>
      </c>
      <c r="T27" s="14" t="inlineStr">
        <is>
          <t>맑은물사업소 상수도 감독관 자문</t>
        </is>
      </c>
    </row>
    <row r="28" ht="96" customHeight="1">
      <c r="A28" s="13" t="inlineStr">
        <is>
          <t>2000</t>
        </is>
      </c>
      <c r="B28" s="13" t="inlineStr">
        <is>
          <t>2000-4</t>
        </is>
      </c>
      <c r="C28" s="14" t="inlineStr">
        <is>
          <t>주요 지장물 이설 소유자 및 관리특성</t>
        </is>
      </c>
      <c r="D28" s="13" t="inlineStr">
        <is>
          <t>2000-4-3</t>
        </is>
      </c>
      <c r="E28" s="13" t="inlineStr">
        <is>
          <t>D+25</t>
        </is>
      </c>
      <c r="F28" s="15" t="inlineStr">
        <is>
          <t>하수도 관로 이설 공사</t>
        </is>
      </c>
      <c r="G28" s="13" t="inlineStr">
        <is>
          <t>공사팀 (협의: 맑은물사업소)</t>
        </is>
      </c>
      <c r="H28" s="14" t="inlineStr">
        <is>
          <t>하수도정비 기본계획 | 하수관(Ø400mm+) 연결, CCTV 관로 내부 검사 및 통수 담수 시험 | 하수도사업소 현장 인수</t>
        </is>
      </c>
      <c r="I28" s="14" t="inlineStr">
        <is>
          <t>1) 하수관(Ø400mm+) 연결 부설 ➔ 2) CCTV 관로 내부 검사 시행 ➔ 3) 통수 담수 시험 완료 ➔ 4) 하수도 관로 이설 감리 승인</t>
        </is>
      </c>
      <c r="J28" s="14" t="inlineStr">
        <is>
          <t>하수관(Ø400mm+) 연결 부설, CCTV 관로 내부 검사 &amp; 통수 담수 시험 합격 (하수도사업소 인수)</t>
        </is>
      </c>
      <c r="K28" s="14" t="inlineStr">
        <is>
          <t>하수도정비 기본계획 | 하수관(Ø400mm+) 연결, CCTV 관로 내부 검사 및 통수 담수 시험 | 하수도사업소 현장 인수</t>
        </is>
      </c>
      <c r="L28" s="17" t="inlineStr">
        <is>
          <t>👉 [더블클릭] 표준서 열기 📄</t>
        </is>
      </c>
      <c r="M28" s="14" t="inlineStr">
        <is>
          <t>1) 하수관(Ø400mm+) 연결 부설 ➔ 2) CCTV 관로 내부 검사 시행 ➔ 3) 통수 담수 시험 완료 ➔ 4) 하수도 관로 이설 감리 승인</t>
        </is>
      </c>
      <c r="N28" s="17" t="inlineStr">
        <is>
          <t>👉 [더블클릭] 수행지침 열기 📄</t>
        </is>
      </c>
      <c r="O28" s="44" t="inlineStr">
        <is>
          <t>하수관(Ø400mm+) 연결 부설, CCTV 관로 내부 검사 &amp; 통수 담수 시험 합격 (하수도사업소 인수)</t>
        </is>
      </c>
      <c r="P28" s="17" t="inlineStr">
        <is>
          <t>👉 [더블클릭] 체크리스트 열기 📄</t>
        </is>
      </c>
      <c r="Q28" s="13" t="n"/>
      <c r="R28" s="14" t="inlineStr">
        <is>
          <t>하수도 공사 표준시방서</t>
        </is>
      </c>
      <c r="S28" s="18" t="inlineStr">
        <is>
          <t>하수 역류 및 구배 불량으로 인한 관로 침전 리스크 예방</t>
        </is>
      </c>
      <c r="T28" s="14" t="inlineStr">
        <is>
          <t>하수도 정밀 측량 기술자 자문</t>
        </is>
      </c>
    </row>
    <row r="29" ht="96" customHeight="1">
      <c r="A29" s="13" t="inlineStr">
        <is>
          <t>2000</t>
        </is>
      </c>
      <c r="B29" s="13" t="inlineStr">
        <is>
          <t>2000-4</t>
        </is>
      </c>
      <c r="C29" s="14" t="inlineStr">
        <is>
          <t>주요 지장물 이설 소유자 및 관리특성</t>
        </is>
      </c>
      <c r="D29" s="13" t="inlineStr">
        <is>
          <t>2000-4-4</t>
        </is>
      </c>
      <c r="E29" s="13" t="inlineStr">
        <is>
          <t>D+28</t>
        </is>
      </c>
      <c r="F29" s="15" t="inlineStr">
        <is>
          <t>도시가스관 이설 공사</t>
        </is>
      </c>
      <c r="G29" s="13" t="inlineStr">
        <is>
          <t>공사팀 (협의: 한국가스공사, 삼천리)</t>
        </is>
      </c>
      <c r="H29" s="14" t="inlineStr">
        <is>
          <t>도시가스사업법 규정 | 가스관(중압/아중압) 비파괴검사(RT 100%) 및 기밀 시험 합격 | 도시가스사 1:1 입회 검측</t>
        </is>
      </c>
      <c r="I29" s="14" t="inlineStr">
        <is>
          <t>1) 도시가스관 매설 &amp; 용접 ➔ 2) 비파괴검사(RT 100%) &amp; 기밀 시험 ➔ 3) 도시가스사 1:1 입회 검측 ➔ 4) 가스관 이설 완료 승인</t>
        </is>
      </c>
      <c r="J29" s="14" t="inlineStr">
        <is>
          <t>도시가스관 매설 &amp; 용접, 비파괴검사(RT 100%) 및 기밀 시험 합격 (도시가스사 1:1 입회)</t>
        </is>
      </c>
      <c r="K29" s="14" t="inlineStr">
        <is>
          <t>도시가스사업법 규정 | 가스관(중압/아중압) 비파괴검사(RT 100%) 및 기밀 시험 합격 | 도시가스사 1:1 입회 검측</t>
        </is>
      </c>
      <c r="L29" s="17" t="inlineStr">
        <is>
          <t>👉 [더블클릭] 표준서 열기 📄</t>
        </is>
      </c>
      <c r="M29" s="14" t="inlineStr">
        <is>
          <t>1) 도시가스관 매설 &amp; 용접 ➔ 2) 비파괴검사(RT 100%) &amp; 기밀 시험 ➔ 3) 도시가스사 1:1 입회 검측 ➔ 4) 가스관 이설 완료 승인</t>
        </is>
      </c>
      <c r="N29" s="17" t="inlineStr">
        <is>
          <t>👉 [더블클릭] 수행지침 열기 📄</t>
        </is>
      </c>
      <c r="O29" s="44" t="inlineStr">
        <is>
          <t>도시가스관 매설 &amp; 용접, 비파괴검사(RT 100%) 및 기밀 시험 합격 (도시가스사 1:1 입회)</t>
        </is>
      </c>
      <c r="P29" s="17" t="inlineStr">
        <is>
          <t>👉 [더블클릭] 체크리스트 열기 📄</t>
        </is>
      </c>
      <c r="Q29" s="13" t="n"/>
      <c r="R29" s="14" t="inlineStr">
        <is>
          <t>도시가스사업법 및 KGC 가스안전 기준</t>
        </is>
      </c>
      <c r="S29" s="18" t="inlineStr">
        <is>
          <t>가스 누출 및 폭발 대형 안전사고 리스크 방지</t>
        </is>
      </c>
      <c r="T29" s="14" t="inlineStr">
        <is>
          <t>가스안전공사 및 삼천리가스 전문 자문</t>
        </is>
      </c>
    </row>
    <row r="30" ht="96" customHeight="1">
      <c r="A30" s="13" t="inlineStr">
        <is>
          <t>2000</t>
        </is>
      </c>
      <c r="B30" s="13" t="inlineStr">
        <is>
          <t>2000-4</t>
        </is>
      </c>
      <c r="C30" s="14" t="inlineStr">
        <is>
          <t>주요 지장물 이설 소유자 및 관리특성</t>
        </is>
      </c>
      <c r="D30" s="13" t="inlineStr">
        <is>
          <t>2000-4-5</t>
        </is>
      </c>
      <c r="E30" s="13" t="inlineStr">
        <is>
          <t>D+30</t>
        </is>
      </c>
      <c r="F30" s="15" t="inlineStr">
        <is>
          <t>지역난방관 이설 공사</t>
        </is>
      </c>
      <c r="G30" s="13" t="inlineStr">
        <is>
          <t>공사팀 (협의: 한국지역난방공사)</t>
        </is>
      </c>
      <c r="H30" s="14" t="inlineStr">
        <is>
          <t>집단에너지사업법 규정 | 난방 수송관 100% 비파괴검사 및 보온재 피복 랩핑 검수 | 지역난방공사 시운전 인수</t>
        </is>
      </c>
      <c r="I30" s="14" t="inlineStr">
        <is>
          <t>1) 난방 수송관 매설 &amp; 용접 ➔ 2) 100% 비파괴검사 &amp; 피복 랩핑 ➔ 3) 지역난방공사 시운전 인수 ➔ 4) 지역난방관 이설 감리 승인</t>
        </is>
      </c>
      <c r="J30" s="14" t="inlineStr">
        <is>
          <t>난방 수송관 매설 &amp; 용접, 100% 비파괴검사 및 피복 랩핑 검수 (지역난방공사 인수)</t>
        </is>
      </c>
      <c r="K30" s="14" t="inlineStr">
        <is>
          <t>집단에너지사업법 규정 | 난방 수송관 100% 비파괴검사 및 보온재 피복 랩핑 검수 | 지역난방공사 시운전 인수</t>
        </is>
      </c>
      <c r="L30" s="17" t="inlineStr">
        <is>
          <t>👉 [더블클릭] 표준서 열기 📄</t>
        </is>
      </c>
      <c r="M30" s="14" t="inlineStr">
        <is>
          <t>1) 난방 수송관 매설 &amp; 용접 ➔ 2) 100% 비파괴검사 &amp; 피복 랩핑 ➔ 3) 지역난방공사 시운전 인수 ➔ 4) 지역난방관 이설 감리 승인</t>
        </is>
      </c>
      <c r="N30" s="17" t="inlineStr">
        <is>
          <t>👉 [더블클릭] 수행지침 열기 📄</t>
        </is>
      </c>
      <c r="O30" s="44" t="inlineStr">
        <is>
          <t>난방 수송관 매설 &amp; 용접, 100% 비파괴검사 및 피복 랩핑 검수 (지역난방공사 인수)</t>
        </is>
      </c>
      <c r="P30" s="17" t="inlineStr">
        <is>
          <t>👉 [더블클릭] 체크리스트 열기 📄</t>
        </is>
      </c>
      <c r="Q30" s="13" t="n"/>
      <c r="R30" s="14" t="inlineStr">
        <is>
          <t>한국지역난방공사 열수송관 기술기준</t>
        </is>
      </c>
      <c r="S30" s="18" t="inlineStr">
        <is>
          <t>열수송관 누수 및 난방 공급 중단 리스크 방지</t>
        </is>
      </c>
      <c r="T30" s="14" t="inlineStr">
        <is>
          <t>지역난방공사 열수송관 전문 자문</t>
        </is>
      </c>
    </row>
    <row r="31" ht="96" customHeight="1">
      <c r="A31" s="13" t="inlineStr">
        <is>
          <t>2000</t>
        </is>
      </c>
      <c r="B31" s="13" t="inlineStr">
        <is>
          <t>2000-4</t>
        </is>
      </c>
      <c r="C31" s="14" t="inlineStr">
        <is>
          <t>주요 지장물 이설 소유자 및 관리특성</t>
        </is>
      </c>
      <c r="D31" s="13" t="inlineStr">
        <is>
          <t>2000-4-6</t>
        </is>
      </c>
      <c r="E31" s="13" t="inlineStr">
        <is>
          <t>D+35</t>
        </is>
      </c>
      <c r="F31" s="15" t="inlineStr">
        <is>
          <t>통신관로 및 케이블 이설 공사</t>
        </is>
      </c>
      <c r="G31" s="13" t="inlineStr">
        <is>
          <t>공사팀 (협의: KT, LGU+, SKT)</t>
        </is>
      </c>
      <c r="H31" s="14" t="inlineStr">
        <is>
          <t>전기통신사업법 준수 | 통신 광케이블 관로 부설 및 절연 저항/광손실 실측 | KT/SKT 통신사 광신호 시험 승인</t>
        </is>
      </c>
      <c r="I31" s="14" t="inlineStr">
        <is>
          <t>1) 통신 광케이블 관로 부설 ➔ 2) 광케이블 포설 &amp; 접속 ➔ 3) 절연저항 &amp; 광손실 시험 ➔ 4) KT/SKT 통신사 광신호 승인</t>
        </is>
      </c>
      <c r="J31" s="14" t="inlineStr">
        <is>
          <t>통신 광케이블 관로 부설, 절연 저항 &amp; 광손실 실측 합격 (KT/SKT 광신호 승인)</t>
        </is>
      </c>
      <c r="K31" s="14" t="inlineStr">
        <is>
          <t>전기통신사업법 준수 | 통신 광케이블 관로 부설 및 절연 저항/광손실 실측 | KT/SKT 통신사 광신호 시험 승인</t>
        </is>
      </c>
      <c r="L31" s="17" t="inlineStr">
        <is>
          <t>👉 [더블클릭] 표준서 열기 📄</t>
        </is>
      </c>
      <c r="M31" s="14" t="inlineStr">
        <is>
          <t>1) 통신 광케이블 관로 부설 ➔ 2) 광케이블 포설 &amp; 접속 ➔ 3) 절연저항 &amp; 광손실 시험 ➔ 4) KT/SKT 통신사 광신호 승인</t>
        </is>
      </c>
      <c r="N31" s="17" t="inlineStr">
        <is>
          <t>👉 [더블클릭] 수행지침 열기 📄</t>
        </is>
      </c>
      <c r="O31" s="44" t="inlineStr">
        <is>
          <t>통신 광케이블 관로 부설, 절연 저항 &amp; 광손실 실측 합격 (KT/SKT 광신호 승인)</t>
        </is>
      </c>
      <c r="P31" s="17" t="inlineStr">
        <is>
          <t>👉 [더블클릭] 체크리스트 열기 📄</t>
        </is>
      </c>
      <c r="Q31" s="13" t="n"/>
      <c r="R31" s="14" t="inlineStr">
        <is>
          <t>정보통신 표준품셈 및 통신관로 공사 기준</t>
        </is>
      </c>
      <c r="S31" s="18" t="inlineStr">
        <is>
          <t>광케이블 절단으로 인한 통신 마비 리스크 방지</t>
        </is>
      </c>
      <c r="T31" s="14" t="inlineStr">
        <is>
          <t>통신 3사 전담 엔지니어 자문</t>
        </is>
      </c>
    </row>
    <row r="32" ht="76.8" customHeight="1">
      <c r="A32" s="3" t="inlineStr">
        <is>
          <t>2000</t>
        </is>
      </c>
      <c r="B32" s="3" t="inlineStr">
        <is>
          <t>2000-4</t>
        </is>
      </c>
      <c r="C32" s="3" t="inlineStr">
        <is>
          <t>주요 지장물 이설 소유자 및 관리특성</t>
        </is>
      </c>
      <c r="D32" s="4" t="inlineStr">
        <is>
          <t>2000-4-7</t>
        </is>
      </c>
      <c r="E32" s="4" t="inlineStr">
        <is>
          <t>D+40</t>
        </is>
      </c>
      <c r="F32" s="5" t="inlineStr">
        <is>
          <t>특고압 전력관로 이설 공사</t>
        </is>
      </c>
      <c r="G32" s="3" t="inlineStr">
        <is>
          <t>공사팀 (협의: 한국전력공사)</t>
        </is>
      </c>
      <c r="H32" s="3" t="inlineStr">
        <is>
          <t>전기공사업법 규정 | 22.9kV 특고압 전력 관로/맨홀 부설 및 절연내력 시험 | 한전(KEPCO) 현장 입회 휴전 Cut-over</t>
        </is>
      </c>
      <c r="I32" s="3" t="inlineStr">
        <is>
          <t>1) 22.9kV 특고압 관로/맨홀 부설 ➔ 2) 전력 케이블 인입 &amp; 내력 시험 ➔ 3) 한전 입회 휴전 Cut-over ➔ 4) 전력관로 이설 완료 승인</t>
        </is>
      </c>
      <c r="J32" s="3" t="inlineStr">
        <is>
          <t>22.9kV 특고압 관로/맨홀 부설, 절연내력 시험 합격 (한전 KEPCO 입회 휴전 Cut-over)</t>
        </is>
      </c>
      <c r="K32" s="50" t="inlineStr">
        <is>
          <t>전기공사업법 규정 | 22.9kV 특고압 전력 관로/맨홀 부설 및 절연내력 시험 | 한전(KEPCO) 현장 입회 휴전 Cut-over</t>
        </is>
      </c>
      <c r="L32" s="17" t="inlineStr">
        <is>
          <t>👉 [더블클릭] 표준서 열기 📄</t>
        </is>
      </c>
      <c r="M32" s="50" t="inlineStr">
        <is>
          <t>1) 22.9kV 특고압 관로/맨홀 부설 ➔ 2) 전력 케이블 인입 &amp; 내력 시험 ➔ 3) 한전 입회 휴전 Cut-over ➔ 4) 전력관로 이설 완료 승인</t>
        </is>
      </c>
      <c r="N32" s="17" t="inlineStr">
        <is>
          <t>👉 [더블클릭] 수행지침 열기 📄</t>
        </is>
      </c>
      <c r="O32" s="51" t="inlineStr">
        <is>
          <t>22.9kV 특고압 관로/맨홀 부설, 절연내력 시험 합격 (한전 KEPCO 입회 휴전 Cut-over)</t>
        </is>
      </c>
      <c r="P32" s="17" t="inlineStr">
        <is>
          <t>👉 [더블클릭] 체크리스트 열기 📄</t>
        </is>
      </c>
      <c r="R32" t="inlineStr">
        <is>
          <t>한국전력공사 지중배전 건설기준</t>
        </is>
      </c>
      <c r="S32" t="inlineStr">
        <is>
          <t>특고압 케이블 감전 및 아크 단락 사고 리스크 방지</t>
        </is>
      </c>
      <c r="T32" s="3" t="inlineStr">
        <is>
          <t>한전 배전 전문 기술자 자문</t>
        </is>
      </c>
    </row>
    <row r="33" ht="82.8" customHeight="1">
      <c r="A33" s="3" t="inlineStr">
        <is>
          <t>2000</t>
        </is>
      </c>
      <c r="B33" s="3" t="inlineStr">
        <is>
          <t>2000-5</t>
        </is>
      </c>
      <c r="C33" s="3" t="inlineStr">
        <is>
          <t>최종 점검, 정산 및 설계변경</t>
        </is>
      </c>
      <c r="D33" s="4" t="inlineStr">
        <is>
          <t>2000-5-1</t>
        </is>
      </c>
      <c r="E33" s="4" t="inlineStr">
        <is>
          <t>D+60</t>
        </is>
      </c>
      <c r="F33" s="5" t="inlineStr">
        <is>
          <t>상하수도 이설 시공 최종 점검</t>
        </is>
      </c>
      <c r="G33" s="3" t="inlineStr">
        <is>
          <t>현장 감리원 / 맑은물사업소</t>
        </is>
      </c>
      <c r="H33" s="3" t="inlineStr">
        <is>
          <t>송유관안전관리법 규정 | 송유관 비파괴 NDT 검사 및 초음파 탐상 시험 100% | 대한송유관공사 안전 인계</t>
        </is>
      </c>
      <c r="I33" s="3" t="inlineStr">
        <is>
          <t>1) 송유관 용접 부설 ➔ 2) NDT 비파괴검사 &amp; 초음파 탐상 ➔ 3) 송유관공사 안전 점검 ➔ 4) 송유관 이설 완료 서면 승인</t>
        </is>
      </c>
      <c r="J33" s="3" t="inlineStr">
        <is>
          <t>송유관 용접 부설, NDT 비파괴검사 및 초음파 탐상 시험 100% 합격 (대한송유관공사 인수)</t>
        </is>
      </c>
      <c r="K33" s="50" t="inlineStr">
        <is>
          <t>송유관안전관리법 규정 | 송유관 비파괴 NDT 검사 및 초음파 탐상 시험 100% | 대한송유관공사 안전 인계</t>
        </is>
      </c>
      <c r="L33" s="17" t="inlineStr">
        <is>
          <t>👉 [더블클릭] 표준서 열기 📄</t>
        </is>
      </c>
      <c r="M33" s="50" t="inlineStr">
        <is>
          <t>1) 송유관 용접 부설 ➔ 2) NDT 비파괴검사 &amp; 초음파 탐상 ➔ 3) 송유관공사 안전 점검 ➔ 4) 송유관 이설 완료 서면 승인</t>
        </is>
      </c>
      <c r="N33" s="17" t="inlineStr">
        <is>
          <t>👉 [더블클릭] 수행지침 열기 📄</t>
        </is>
      </c>
      <c r="O33" s="51" t="inlineStr">
        <is>
          <t>송유관 용접 부설, NDT 비파괴검사 및 초음파 탐상 시험 100% 합격 (대한송유관공사 인수)</t>
        </is>
      </c>
      <c r="P33" s="17" t="inlineStr">
        <is>
          <t>👉 [더블클릭] 체크리스트 열기 📄</t>
        </is>
      </c>
      <c r="R33" t="inlineStr">
        <is>
          <t>지방자치단체 시설물 인계인수 규정</t>
        </is>
      </c>
      <c r="S33" t="inlineStr">
        <is>
          <t>인계 미비로 인한 시설물 인수 거부 리스크 방지</t>
        </is>
      </c>
      <c r="T33" s="3" t="inlineStr">
        <is>
          <t>맑은물사업소 시설물 인계 전담자</t>
        </is>
      </c>
    </row>
    <row r="34" ht="57.6" customHeight="1">
      <c r="A34" s="3" t="inlineStr">
        <is>
          <t>2000</t>
        </is>
      </c>
      <c r="B34" s="3" t="inlineStr">
        <is>
          <t>2000-5</t>
        </is>
      </c>
      <c r="C34" s="3" t="inlineStr">
        <is>
          <t>최종 점검, 정산 및 설계변경</t>
        </is>
      </c>
      <c r="D34" s="4" t="inlineStr">
        <is>
          <t>2000-5-2</t>
        </is>
      </c>
      <c r="E34" s="4" t="inlineStr">
        <is>
          <t>D+65</t>
        </is>
      </c>
      <c r="F34" s="5" t="inlineStr">
        <is>
          <t>위수탁 지하지장물 이설 최종 점검</t>
        </is>
      </c>
      <c r="G34" s="3" t="inlineStr">
        <is>
          <t>현장 감리원 / 위수탁기관</t>
        </is>
      </c>
      <c r="H34" s="3" t="inlineStr">
        <is>
          <t>상하수도 총괄 지침 | 신설 관로 수압·수질·CCTV 검사 종합 대장 작성 | 지자체 3자 합동 최종 현현 점검</t>
        </is>
      </c>
      <c r="I34" s="3" t="inlineStr">
        <is>
          <t>1) 신설 관로 종합 현측 ➔ 2) 수압/수질/CCTV 검사 종합 ➔ 3) 지자체 3자 합동 점검 ➔ 4) 상하수도 최종 점검 대장 승인</t>
        </is>
      </c>
      <c r="J34" s="3" t="inlineStr">
        <is>
          <t>신설 관로 종합 현측, 수압/수질/CCTV 검사 종합 대장 작성 및 지자체 3자 합동 점검</t>
        </is>
      </c>
      <c r="K34" s="50" t="inlineStr">
        <is>
          <t>상하수도 총괄 지침 | 신설 관로 수압·수질·CCTV 검사 종합 대장 작성 | 지자체 3자 합동 최종 현현 점검</t>
        </is>
      </c>
      <c r="L34" s="17" t="inlineStr">
        <is>
          <t>👉 [더블클릭] 표준서 열기 📄</t>
        </is>
      </c>
      <c r="M34" s="50" t="inlineStr">
        <is>
          <t>1) 신설 관로 종합 현측 ➔ 2) 수압/수질/CCTV 검사 종합 ➔ 3) 지자체 3자 합동 점검 ➔ 4) 상하수도 최종 점검 대장 승인</t>
        </is>
      </c>
      <c r="N34" s="17" t="inlineStr">
        <is>
          <t>👉 [더블클릭] 수행지침 열기 📄</t>
        </is>
      </c>
      <c r="O34" s="51" t="inlineStr">
        <is>
          <t>신설 관로 종합 현측, 수압/수질/CCTV 검사 종합 대장 작성 및 지자체 3자 합동 점검</t>
        </is>
      </c>
      <c r="P34" s="17" t="inlineStr">
        <is>
          <t>👉 [더블클릭] 체크리스트 열기 📄</t>
        </is>
      </c>
      <c r="R34" t="inlineStr">
        <is>
          <t>위수탁 협약서 및 사후 정산 지침</t>
        </is>
      </c>
      <c r="S34" t="inlineStr">
        <is>
          <t>정산 금액 이견으로 인한 분담금 미지급 리스크 관리</t>
        </is>
      </c>
      <c r="T34" s="3" t="inlineStr">
        <is>
          <t>사후 정산 평가 전문 용역사 자문</t>
        </is>
      </c>
    </row>
    <row r="35" ht="69.59999999999999" customHeight="1">
      <c r="A35" s="3" t="inlineStr">
        <is>
          <t>2000</t>
        </is>
      </c>
      <c r="B35" s="3" t="inlineStr">
        <is>
          <t>2000-5</t>
        </is>
      </c>
      <c r="C35" s="3" t="inlineStr">
        <is>
          <t>최종 점검, 정산 및 설계변경</t>
        </is>
      </c>
      <c r="D35" s="4" t="inlineStr">
        <is>
          <t>2000-5-3</t>
        </is>
      </c>
      <c r="E35" s="4" t="inlineStr">
        <is>
          <t>D+70</t>
        </is>
      </c>
      <c r="F35" s="5" t="inlineStr">
        <is>
          <t>상하수도 이설 정산 금액 검토</t>
        </is>
      </c>
      <c r="G35" s="3" t="inlineStr">
        <is>
          <t>현장 공무팀</t>
        </is>
      </c>
      <c r="H35" s="3" t="inlineStr">
        <is>
          <t>위수탁 총괄 지침 | 위탁기관 1:1 현장 최종 인수 검측 및 3D BIM 준공 도면 대조 | 지장물 이설 준공 보고서</t>
        </is>
      </c>
      <c r="I35" s="3" t="inlineStr">
        <is>
          <t>1) 위탁기관 1:1 인수 검측 ➔ 2) 3D BIM 준공 도면 대조 ➔ 3) 이설 완료 현장 서명 ➔ 4) 준공 보고서 감리 서면 승인</t>
        </is>
      </c>
      <c r="J35" s="3" t="inlineStr">
        <is>
          <t>위탁기관 1:1 인수 검측, 3D BIM 준공 도면 대조 및 이설 준공 보고서 감리 서면 승인</t>
        </is>
      </c>
      <c r="K35" s="50" t="inlineStr">
        <is>
          <t>위수탁 총괄 지침 | 위탁기관 1:1 현장 최종 인수 검측 및 3D BIM 준공 도면 대조 | 지장물 이설 준공 보고서</t>
        </is>
      </c>
      <c r="L35" s="17" t="inlineStr">
        <is>
          <t>👉 [더블클릭] 표준서 열기 📄</t>
        </is>
      </c>
      <c r="M35" s="50" t="inlineStr">
        <is>
          <t>1) 위탁기관 1:1 인수 검측 ➔ 2) 3D BIM 준공 도면 대조 ➔ 3) 이설 완료 현장 서명 ➔ 4) 준공 보고서 감리 서면 승인</t>
        </is>
      </c>
      <c r="N35" s="17" t="inlineStr">
        <is>
          <t>👉 [더블클릭] 수행지침 열기 📄</t>
        </is>
      </c>
      <c r="O35" s="51" t="inlineStr">
        <is>
          <t>위탁기관 1:1 인수 검측, 3D BIM 준공 도면 대조 및 이설 준공 보고서 감리 서면 승인</t>
        </is>
      </c>
      <c r="P35" s="17" t="inlineStr">
        <is>
          <t>👉 [더블클릭] 체크리스트 열기 📄</t>
        </is>
      </c>
      <c r="R35" t="inlineStr">
        <is>
          <t>기획재정부 계약예규 공사계약일반조건</t>
        </is>
      </c>
      <c r="S35" t="inlineStr">
        <is>
          <t>설계변경 절차 미비로 인한 금액 삭감 리스크 방지</t>
        </is>
      </c>
      <c r="T35" s="3" t="inlineStr">
        <is>
          <t>토목 설계변경 및 계약 정산 전문가</t>
        </is>
      </c>
    </row>
    <row r="36" ht="57.6" customHeight="1">
      <c r="A36" s="3" t="inlineStr">
        <is>
          <t>2000</t>
        </is>
      </c>
      <c r="B36" s="3" t="inlineStr">
        <is>
          <t>2000-5</t>
        </is>
      </c>
      <c r="C36" s="3" t="inlineStr">
        <is>
          <t>최종 점검, 정산 및 설계변경</t>
        </is>
      </c>
      <c r="D36" s="4" t="inlineStr">
        <is>
          <t>2000-5-4</t>
        </is>
      </c>
      <c r="E36" s="4" t="inlineStr">
        <is>
          <t>D+80</t>
        </is>
      </c>
      <c r="F36" s="5" t="inlineStr">
        <is>
          <t>위수탁 처리 정산금액 지급</t>
        </is>
      </c>
      <c r="G36" s="3" t="inlineStr">
        <is>
          <t>현장 공무팀 / 발주처</t>
        </is>
      </c>
      <c r="H36" s="3" t="inlineStr">
        <is>
          <t>지방계약법 정산 수칙 | 실제 실정보고 투입 물량 및 단가 산정 정산서 작성 | 책임감리원 정산 금액 서면 승인</t>
        </is>
      </c>
      <c r="I36" s="3" t="inlineStr">
        <is>
          <t>1) 실정보고 투입 물량 집계 ➔ 2) 정산 단가 산정 서류 작성 ➔ 3) 정산서 감리 기술 검토 ➔ 4) 정산 금액 최종 서면 승인</t>
        </is>
      </c>
      <c r="J36" s="3" t="inlineStr">
        <is>
          <t>실정보고 투입 물량 집계, 정산 단가 산정 서류 작성 및 책임감리원 정산 금액 서면 승인</t>
        </is>
      </c>
      <c r="K36" s="50" t="inlineStr">
        <is>
          <t>지방계약법 정산 수칙 | 실제 실정보고 투입 물량 및 단가 산정 정산서 작성 | 책임감리원 정산 금액 서면 승인</t>
        </is>
      </c>
      <c r="L36" s="17" t="inlineStr">
        <is>
          <t>👉 [더블클릭] 표준서 열기 📄</t>
        </is>
      </c>
      <c r="M36" s="50" t="inlineStr">
        <is>
          <t>1) 실정보고 투입 물량 집계 ➔ 2) 정산 단가 산정 서류 작성 ➔ 3) 정산서 감리 기술 검토 ➔ 4) 정산 금액 최종 서면 승인</t>
        </is>
      </c>
      <c r="N36" s="17" t="inlineStr">
        <is>
          <t>👉 [더블클릭] 수행지침 열기 📄</t>
        </is>
      </c>
      <c r="O36" s="51" t="inlineStr">
        <is>
          <t>실정보고 투입 물량 집계, 정산 단가 산정 서류 작성 및 책임감리원 정산 금액 서면 승인</t>
        </is>
      </c>
      <c r="P36" s="17" t="inlineStr">
        <is>
          <t>👉 [더블클릭] 체크리스트 열기 📄</t>
        </is>
      </c>
      <c r="R36" t="inlineStr">
        <is>
          <t>지방재정법 및 PS 정산 지침</t>
        </is>
      </c>
      <c r="S36" t="inlineStr">
        <is>
          <t>PS 항목 정산 지연 리스크 방지</t>
        </is>
      </c>
      <c r="T36" s="3" t="inlineStr">
        <is>
          <t>발주처 재정 및 정산 담당 자문</t>
        </is>
      </c>
    </row>
    <row r="37" ht="69.59999999999999" customHeight="1">
      <c r="A37" s="3" t="inlineStr">
        <is>
          <t>2000</t>
        </is>
      </c>
      <c r="B37" s="3" t="inlineStr">
        <is>
          <t>2000-5</t>
        </is>
      </c>
      <c r="C37" s="3" t="inlineStr">
        <is>
          <t>최종 점검, 정산 및 설계변경</t>
        </is>
      </c>
      <c r="D37" s="4" t="inlineStr">
        <is>
          <t>2000-5-5</t>
        </is>
      </c>
      <c r="E37" s="4" t="inlineStr">
        <is>
          <t>D+90</t>
        </is>
      </c>
      <c r="F37" s="5" t="inlineStr">
        <is>
          <t>도급자분/위수탁분 설계변경 정산</t>
        </is>
      </c>
      <c r="G37" s="3" t="inlineStr">
        <is>
          <t>현장 공무팀 / 화성시</t>
        </is>
      </c>
      <c r="H37" s="3" t="inlineStr">
        <is>
          <t>위수탁 정산 규정 | 관할 위탁기관에 최종 정산금 청구서 및 집행 영수증 작성 | 이설 정산금 집행 완료</t>
        </is>
      </c>
      <c r="I37" s="3" t="inlineStr">
        <is>
          <t>1) 위탁기관 정산 청구서 작성 ➔ 2) 증빙 영수증 &amp; 성과표 첨부 ➔ 3) 정산금 지급 수속 ➔ 4) 이설 정산금 집행 완료</t>
        </is>
      </c>
      <c r="J37" s="3" t="inlineStr">
        <is>
          <t>위탁기관 정산 청구서 작성, 증빙 영수증 &amp; 성과표 부착 및 이설 정산금 집행 완료</t>
        </is>
      </c>
      <c r="K37" s="50" t="inlineStr">
        <is>
          <t>위수탁 정산 규정 | 관할 위탁기관에 최종 정산금 청구서 및 집행 영수증 작성 | 이설 정산금 집행 완료</t>
        </is>
      </c>
      <c r="L37" s="17" t="inlineStr">
        <is>
          <t>👉 [더블클릭] 표준서 열기 📄</t>
        </is>
      </c>
      <c r="M37" s="50" t="inlineStr">
        <is>
          <t>1) 위탁기관 정산 청구서 작성 ➔ 2) 증빙 영수증 &amp; 성과표 첨부 ➔ 3) 정산금 지급 수속 ➔ 4) 이설 정산금 집행 완료</t>
        </is>
      </c>
      <c r="N37" s="17" t="inlineStr">
        <is>
          <t>👉 [더블클릭] 수행지침 열기 📄</t>
        </is>
      </c>
      <c r="O37" s="51" t="inlineStr">
        <is>
          <t>위탁기관 정산 청구서 작성, 증빙 영수증 &amp; 성과표 부착 및 이설 정산금 집행 완료</t>
        </is>
      </c>
      <c r="P37" s="17" t="inlineStr">
        <is>
          <t>👉 [더블클릭] 체크리스트 열기 📄</t>
        </is>
      </c>
      <c r="R37" t="inlineStr">
        <is>
          <t>국가계약법 및 화성시 도급계약 지침</t>
        </is>
      </c>
      <c r="S37" t="inlineStr">
        <is>
          <t>최종 계약 변경 지연 리스크 관리</t>
        </is>
      </c>
      <c r="T37" s="3" t="inlineStr">
        <is>
          <t>화성시 도급계약 및 준공 정산 전문가</t>
        </is>
      </c>
    </row>
    <row r="38" ht="84" customHeight="1">
      <c r="A38" s="3" t="inlineStr">
        <is>
          <t>2000</t>
        </is>
      </c>
      <c r="B38" s="3" t="inlineStr">
        <is>
          <t>2000-6</t>
        </is>
      </c>
      <c r="C38" s="3" t="inlineStr">
        <is>
          <t>공사 선행/후행 공종 요구사항 연계</t>
        </is>
      </c>
      <c r="D38" s="4" t="inlineStr">
        <is>
          <t>2000-6-1</t>
        </is>
      </c>
      <c r="E38" s="4" t="inlineStr">
        <is>
          <t>D-90</t>
        </is>
      </c>
      <c r="F38" s="5" t="inlineStr">
        <is>
          <t>공사전 선행공종에서 인수받을 사항</t>
        </is>
      </c>
      <c r="G38" s="3" t="inlineStr">
        <is>
          <t>현장 사업단 / 공무팀</t>
        </is>
      </c>
      <c r="H38" s="3" t="inlineStr">
        <is>
          <t>건진법 설계변경 수칙 | 도급분 및 위수탁분 총사업비 변경 계약 체결 | 발주처 변경 공문 수령 완료</t>
        </is>
      </c>
      <c r="I38" s="3" t="inlineStr">
        <is>
          <t>1) 설계변경 총사업비 산정 ➔ 2) 도급/위수탁 변경 변경 수속 ➔ 3) 발주처 변경 공문 수령 ➔ 4) 설계변경 정산 최종 승인</t>
        </is>
      </c>
      <c r="J38" s="3" t="inlineStr">
        <is>
          <t>설계변경 총사업비 산정, 도급/위수탁 변경 변경 수속 및 발주처 변경 공문 수령</t>
        </is>
      </c>
      <c r="K38" s="50" t="inlineStr">
        <is>
          <t>건진법 설계변경 수칙 | 도급분 및 위수탁분 총사업비 변경 계약 체결 | 발주처 변경 공문 수령 완료</t>
        </is>
      </c>
      <c r="L38" s="17" t="inlineStr">
        <is>
          <t>👉 [더블클릭] 표준서 열기 📄</t>
        </is>
      </c>
      <c r="M38" s="50" t="inlineStr">
        <is>
          <t>1) 설계변경 총사업비 산정 ➔ 2) 도급/위수탁 변경 변경 수속 ➔ 3) 발주처 변경 공문 수령 ➔ 4) 설계변경 정산 최종 승인</t>
        </is>
      </c>
      <c r="N38" s="17" t="inlineStr">
        <is>
          <t>👉 [더블클릭] 수행지침 열기 📄</t>
        </is>
      </c>
      <c r="O38" s="51" t="inlineStr">
        <is>
          <t>설계변경 총사업비 산정, 도급/위수탁 변경 변경 수속 및 발주처 변경 공문 수령</t>
        </is>
      </c>
      <c r="P38" s="17" t="inlineStr">
        <is>
          <t>👉 [더블클릭] 체크리스트 열기 📄</t>
        </is>
      </c>
      <c r="R38" t="inlineStr">
        <is>
          <t>선후행 공종 인수인계 규정</t>
        </is>
      </c>
      <c r="S38" t="inlineStr">
        <is>
          <t>선행 인수 미비로 인한 이설 중단 리스크 방지</t>
        </is>
      </c>
      <c r="T38" s="3" t="inlineStr">
        <is>
          <t>선행 공종 책임 감리원</t>
        </is>
      </c>
    </row>
    <row r="39" ht="76.8" customHeight="1">
      <c r="A39" s="3" t="inlineStr">
        <is>
          <t>2000</t>
        </is>
      </c>
      <c r="B39" s="3" t="inlineStr">
        <is>
          <t>2000-6</t>
        </is>
      </c>
      <c r="C39" s="3" t="inlineStr">
        <is>
          <t>공사 선행/후행 공종 요구사항 연계</t>
        </is>
      </c>
      <c r="D39" s="4" t="inlineStr">
        <is>
          <t>2000-6-2</t>
        </is>
      </c>
      <c r="E39" s="4" t="inlineStr">
        <is>
          <t>D+100</t>
        </is>
      </c>
      <c r="F39" s="5" t="inlineStr">
        <is>
          <t>공사중 챙겨야할 후행공종의 요구사항</t>
        </is>
      </c>
      <c r="G39" s="3" t="inlineStr">
        <is>
          <t>현장 공사팀 / 강화노반팀</t>
        </is>
      </c>
      <c r="H39" s="3" t="inlineStr">
        <is>
          <t>공정 간섭 관리 지침 | 선행 토공 및 측량 기준점 성과 인수 대장 작성 | 3자 인계인수서 서명 완료</t>
        </is>
      </c>
      <c r="I39" s="3" t="inlineStr">
        <is>
          <t>1) 선행 토공 &amp; 측량 성과 인수 ➔ 2) 현장 지장물 인계인수 ➔ 3) 3자 합동 현측 실시 ➔ 4) 인계인수서 3자 서명 완료</t>
        </is>
      </c>
      <c r="J39" s="3" t="inlineStr">
        <is>
          <t>선행 토공 및 측량 성과 인수 대장 작성, 3자 합동 현측 및 인계인수서 서명 완료</t>
        </is>
      </c>
      <c r="K39" s="50" t="inlineStr">
        <is>
          <t>공정 간섭 관리 지침 | 선행 토공 및 측량 기준점 성과 인수 대장 작성 | 3자 인계인수서 서명 완료</t>
        </is>
      </c>
      <c r="L39" s="17" t="inlineStr">
        <is>
          <t>👉 [더블클릭] 표준서 열기 📄</t>
        </is>
      </c>
      <c r="M39" s="50" t="inlineStr">
        <is>
          <t>1) 선행 토공 &amp; 측량 성과 인수 ➔ 2) 현장 지장물 인계인수 ➔ 3) 3자 합동 현측 실시 ➔ 4) 인계인수서 3자 서명 완료</t>
        </is>
      </c>
      <c r="N39" s="17" t="inlineStr">
        <is>
          <t>👉 [더블클릭] 수행지침 열기 📄</t>
        </is>
      </c>
      <c r="O39" s="51" t="inlineStr">
        <is>
          <t>선행 토공 및 측량 성과 인수 대장 작성, 3자 합동 현측 및 인계인수서 서명 완료</t>
        </is>
      </c>
      <c r="P39" s="17" t="inlineStr">
        <is>
          <t>👉 [더블클릭] 체크리스트 열기 📄</t>
        </is>
      </c>
      <c r="R39" t="inlineStr">
        <is>
          <t>후행 공종 연계 인계 지침</t>
        </is>
      </c>
      <c r="S39" t="inlineStr">
        <is>
          <t>후행 궤도 시공 시 신규 이설 관로 재간섭 리스크 방지</t>
        </is>
      </c>
      <c r="T39" s="3" t="inlineStr">
        <is>
          <t>후행 강화노반 및 궤도 기술사</t>
        </is>
      </c>
    </row>
    <row r="43">
      <c r="G43" s="45" t="n"/>
    </row>
    <row r="44">
      <c r="G44" s="45" t="n"/>
    </row>
    <row r="45" ht="22.8" customHeight="1">
      <c r="G45" s="46" t="n"/>
    </row>
    <row r="46">
      <c r="G46" s="45" t="n"/>
    </row>
    <row r="47">
      <c r="G47" s="47" t="n"/>
    </row>
    <row r="48">
      <c r="G48" s="47" t="n"/>
    </row>
    <row r="49" ht="22.8" customHeight="1">
      <c r="G49" s="46" t="n"/>
    </row>
    <row r="50">
      <c r="G50" s="45" t="n"/>
    </row>
    <row r="51">
      <c r="G51" s="47" t="n"/>
    </row>
    <row r="52">
      <c r="G52" s="47" t="n"/>
    </row>
    <row r="53" ht="22.8" customHeight="1">
      <c r="G53" s="46" t="n"/>
    </row>
    <row r="54">
      <c r="G54" s="45" t="n"/>
    </row>
    <row r="55">
      <c r="G55" s="47" t="n"/>
    </row>
    <row r="56">
      <c r="G56" s="47" t="n"/>
    </row>
    <row r="57" ht="22.8" customHeight="1">
      <c r="G57" s="46" t="n"/>
    </row>
    <row r="58">
      <c r="G58" s="45" t="n"/>
    </row>
    <row r="59">
      <c r="G59" s="47" t="n"/>
    </row>
    <row r="60">
      <c r="G60" s="47" t="n"/>
    </row>
    <row r="61">
      <c r="G61" s="47" t="n"/>
    </row>
    <row r="62">
      <c r="G62" s="48" t="n"/>
    </row>
  </sheetData>
  <hyperlinks>
    <hyperlink xmlns:r="http://schemas.openxmlformats.org/officeDocument/2006/relationships" ref="L2" r:id="rId1"/>
    <hyperlink xmlns:r="http://schemas.openxmlformats.org/officeDocument/2006/relationships" ref="N2" r:id="rId2"/>
    <hyperlink xmlns:r="http://schemas.openxmlformats.org/officeDocument/2006/relationships" ref="P2" r:id="rId3"/>
    <hyperlink xmlns:r="http://schemas.openxmlformats.org/officeDocument/2006/relationships" ref="L3" r:id="rId4"/>
    <hyperlink xmlns:r="http://schemas.openxmlformats.org/officeDocument/2006/relationships" ref="N3" r:id="rId5"/>
    <hyperlink xmlns:r="http://schemas.openxmlformats.org/officeDocument/2006/relationships" ref="P3" r:id="rId6"/>
    <hyperlink xmlns:r="http://schemas.openxmlformats.org/officeDocument/2006/relationships" ref="L4" r:id="rId7"/>
    <hyperlink xmlns:r="http://schemas.openxmlformats.org/officeDocument/2006/relationships" ref="N4" r:id="rId8"/>
    <hyperlink xmlns:r="http://schemas.openxmlformats.org/officeDocument/2006/relationships" ref="P4" r:id="rId9"/>
    <hyperlink xmlns:r="http://schemas.openxmlformats.org/officeDocument/2006/relationships" ref="L5" r:id="rId10"/>
    <hyperlink xmlns:r="http://schemas.openxmlformats.org/officeDocument/2006/relationships" ref="N5" r:id="rId11"/>
    <hyperlink xmlns:r="http://schemas.openxmlformats.org/officeDocument/2006/relationships" ref="P5" r:id="rId12"/>
    <hyperlink xmlns:r="http://schemas.openxmlformats.org/officeDocument/2006/relationships" ref="L6" r:id="rId13"/>
    <hyperlink xmlns:r="http://schemas.openxmlformats.org/officeDocument/2006/relationships" ref="N6" r:id="rId14"/>
    <hyperlink xmlns:r="http://schemas.openxmlformats.org/officeDocument/2006/relationships" ref="P6" r:id="rId15"/>
    <hyperlink xmlns:r="http://schemas.openxmlformats.org/officeDocument/2006/relationships" ref="L7" r:id="rId16"/>
    <hyperlink xmlns:r="http://schemas.openxmlformats.org/officeDocument/2006/relationships" ref="N7" r:id="rId17"/>
    <hyperlink xmlns:r="http://schemas.openxmlformats.org/officeDocument/2006/relationships" ref="P7" r:id="rId18"/>
    <hyperlink xmlns:r="http://schemas.openxmlformats.org/officeDocument/2006/relationships" ref="L8" r:id="rId19"/>
    <hyperlink xmlns:r="http://schemas.openxmlformats.org/officeDocument/2006/relationships" ref="N8" r:id="rId20"/>
    <hyperlink xmlns:r="http://schemas.openxmlformats.org/officeDocument/2006/relationships" ref="P8" r:id="rId21"/>
    <hyperlink xmlns:r="http://schemas.openxmlformats.org/officeDocument/2006/relationships" ref="L9" r:id="rId22"/>
    <hyperlink xmlns:r="http://schemas.openxmlformats.org/officeDocument/2006/relationships" ref="N9" r:id="rId23"/>
    <hyperlink xmlns:r="http://schemas.openxmlformats.org/officeDocument/2006/relationships" ref="P9" r:id="rId24"/>
    <hyperlink xmlns:r="http://schemas.openxmlformats.org/officeDocument/2006/relationships" ref="L10" r:id="rId25"/>
    <hyperlink xmlns:r="http://schemas.openxmlformats.org/officeDocument/2006/relationships" ref="N10" r:id="rId26"/>
    <hyperlink xmlns:r="http://schemas.openxmlformats.org/officeDocument/2006/relationships" ref="P10" r:id="rId27"/>
    <hyperlink xmlns:r="http://schemas.openxmlformats.org/officeDocument/2006/relationships" ref="L11" r:id="rId28"/>
    <hyperlink xmlns:r="http://schemas.openxmlformats.org/officeDocument/2006/relationships" ref="N11" r:id="rId29"/>
    <hyperlink xmlns:r="http://schemas.openxmlformats.org/officeDocument/2006/relationships" ref="P11" r:id="rId30"/>
    <hyperlink xmlns:r="http://schemas.openxmlformats.org/officeDocument/2006/relationships" ref="L12" r:id="rId31"/>
    <hyperlink xmlns:r="http://schemas.openxmlformats.org/officeDocument/2006/relationships" ref="N12" r:id="rId32"/>
    <hyperlink xmlns:r="http://schemas.openxmlformats.org/officeDocument/2006/relationships" ref="P12" r:id="rId33"/>
    <hyperlink xmlns:r="http://schemas.openxmlformats.org/officeDocument/2006/relationships" ref="L13" r:id="rId34"/>
    <hyperlink xmlns:r="http://schemas.openxmlformats.org/officeDocument/2006/relationships" ref="N13" r:id="rId35"/>
    <hyperlink xmlns:r="http://schemas.openxmlformats.org/officeDocument/2006/relationships" ref="P13" r:id="rId36"/>
    <hyperlink xmlns:r="http://schemas.openxmlformats.org/officeDocument/2006/relationships" ref="L14" r:id="rId37"/>
    <hyperlink xmlns:r="http://schemas.openxmlformats.org/officeDocument/2006/relationships" ref="N14" r:id="rId38"/>
    <hyperlink xmlns:r="http://schemas.openxmlformats.org/officeDocument/2006/relationships" ref="P14" r:id="rId39"/>
    <hyperlink xmlns:r="http://schemas.openxmlformats.org/officeDocument/2006/relationships" ref="L15" r:id="rId40"/>
    <hyperlink xmlns:r="http://schemas.openxmlformats.org/officeDocument/2006/relationships" ref="N15" r:id="rId41"/>
    <hyperlink xmlns:r="http://schemas.openxmlformats.org/officeDocument/2006/relationships" ref="P15" r:id="rId42"/>
    <hyperlink xmlns:r="http://schemas.openxmlformats.org/officeDocument/2006/relationships" ref="L16" r:id="rId43"/>
    <hyperlink xmlns:r="http://schemas.openxmlformats.org/officeDocument/2006/relationships" ref="N16" r:id="rId44"/>
    <hyperlink xmlns:r="http://schemas.openxmlformats.org/officeDocument/2006/relationships" ref="P16" r:id="rId45"/>
    <hyperlink xmlns:r="http://schemas.openxmlformats.org/officeDocument/2006/relationships" ref="L17" r:id="rId46"/>
    <hyperlink xmlns:r="http://schemas.openxmlformats.org/officeDocument/2006/relationships" ref="N17" r:id="rId47"/>
    <hyperlink xmlns:r="http://schemas.openxmlformats.org/officeDocument/2006/relationships" ref="P17" r:id="rId48"/>
    <hyperlink xmlns:r="http://schemas.openxmlformats.org/officeDocument/2006/relationships" ref="L18" r:id="rId49"/>
    <hyperlink xmlns:r="http://schemas.openxmlformats.org/officeDocument/2006/relationships" ref="N18" r:id="rId50"/>
    <hyperlink xmlns:r="http://schemas.openxmlformats.org/officeDocument/2006/relationships" ref="P18" r:id="rId51"/>
    <hyperlink xmlns:r="http://schemas.openxmlformats.org/officeDocument/2006/relationships" ref="L19" r:id="rId52"/>
    <hyperlink xmlns:r="http://schemas.openxmlformats.org/officeDocument/2006/relationships" ref="N19" r:id="rId53"/>
    <hyperlink xmlns:r="http://schemas.openxmlformats.org/officeDocument/2006/relationships" ref="P19" r:id="rId54"/>
    <hyperlink xmlns:r="http://schemas.openxmlformats.org/officeDocument/2006/relationships" ref="L20" r:id="rId55"/>
    <hyperlink xmlns:r="http://schemas.openxmlformats.org/officeDocument/2006/relationships" ref="N20" r:id="rId56"/>
    <hyperlink xmlns:r="http://schemas.openxmlformats.org/officeDocument/2006/relationships" ref="P20" r:id="rId57"/>
    <hyperlink xmlns:r="http://schemas.openxmlformats.org/officeDocument/2006/relationships" ref="L21" r:id="rId58"/>
    <hyperlink xmlns:r="http://schemas.openxmlformats.org/officeDocument/2006/relationships" ref="N21" r:id="rId59"/>
    <hyperlink xmlns:r="http://schemas.openxmlformats.org/officeDocument/2006/relationships" ref="P21" r:id="rId60"/>
    <hyperlink xmlns:r="http://schemas.openxmlformats.org/officeDocument/2006/relationships" ref="L22" r:id="rId61"/>
    <hyperlink xmlns:r="http://schemas.openxmlformats.org/officeDocument/2006/relationships" ref="N22" r:id="rId62"/>
    <hyperlink xmlns:r="http://schemas.openxmlformats.org/officeDocument/2006/relationships" ref="P22" r:id="rId63"/>
    <hyperlink xmlns:r="http://schemas.openxmlformats.org/officeDocument/2006/relationships" ref="L23" r:id="rId64"/>
    <hyperlink xmlns:r="http://schemas.openxmlformats.org/officeDocument/2006/relationships" ref="N23" r:id="rId65"/>
    <hyperlink xmlns:r="http://schemas.openxmlformats.org/officeDocument/2006/relationships" ref="P23" r:id="rId66"/>
    <hyperlink xmlns:r="http://schemas.openxmlformats.org/officeDocument/2006/relationships" ref="L24" r:id="rId67"/>
    <hyperlink xmlns:r="http://schemas.openxmlformats.org/officeDocument/2006/relationships" ref="N24" r:id="rId68"/>
    <hyperlink xmlns:r="http://schemas.openxmlformats.org/officeDocument/2006/relationships" ref="P24" r:id="rId69"/>
    <hyperlink xmlns:r="http://schemas.openxmlformats.org/officeDocument/2006/relationships" ref="L25" r:id="rId70"/>
    <hyperlink xmlns:r="http://schemas.openxmlformats.org/officeDocument/2006/relationships" ref="N25" r:id="rId71"/>
    <hyperlink xmlns:r="http://schemas.openxmlformats.org/officeDocument/2006/relationships" ref="P25" r:id="rId72"/>
    <hyperlink xmlns:r="http://schemas.openxmlformats.org/officeDocument/2006/relationships" ref="L26" r:id="rId73"/>
    <hyperlink xmlns:r="http://schemas.openxmlformats.org/officeDocument/2006/relationships" ref="N26" r:id="rId74"/>
    <hyperlink xmlns:r="http://schemas.openxmlformats.org/officeDocument/2006/relationships" ref="P26" r:id="rId75"/>
    <hyperlink xmlns:r="http://schemas.openxmlformats.org/officeDocument/2006/relationships" ref="L27" r:id="rId76"/>
    <hyperlink xmlns:r="http://schemas.openxmlformats.org/officeDocument/2006/relationships" ref="N27" r:id="rId77"/>
    <hyperlink xmlns:r="http://schemas.openxmlformats.org/officeDocument/2006/relationships" ref="P27" r:id="rId78"/>
    <hyperlink xmlns:r="http://schemas.openxmlformats.org/officeDocument/2006/relationships" ref="L28" r:id="rId79"/>
    <hyperlink xmlns:r="http://schemas.openxmlformats.org/officeDocument/2006/relationships" ref="N28" r:id="rId80"/>
    <hyperlink xmlns:r="http://schemas.openxmlformats.org/officeDocument/2006/relationships" ref="P28" r:id="rId81"/>
    <hyperlink xmlns:r="http://schemas.openxmlformats.org/officeDocument/2006/relationships" ref="L29" r:id="rId82"/>
    <hyperlink xmlns:r="http://schemas.openxmlformats.org/officeDocument/2006/relationships" ref="N29" r:id="rId83"/>
    <hyperlink xmlns:r="http://schemas.openxmlformats.org/officeDocument/2006/relationships" ref="P29" r:id="rId84"/>
    <hyperlink xmlns:r="http://schemas.openxmlformats.org/officeDocument/2006/relationships" ref="L30" r:id="rId85"/>
    <hyperlink xmlns:r="http://schemas.openxmlformats.org/officeDocument/2006/relationships" ref="N30" r:id="rId86"/>
    <hyperlink xmlns:r="http://schemas.openxmlformats.org/officeDocument/2006/relationships" ref="P30" r:id="rId87"/>
    <hyperlink xmlns:r="http://schemas.openxmlformats.org/officeDocument/2006/relationships" ref="L31" r:id="rId88"/>
    <hyperlink xmlns:r="http://schemas.openxmlformats.org/officeDocument/2006/relationships" ref="N31" r:id="rId89"/>
    <hyperlink xmlns:r="http://schemas.openxmlformats.org/officeDocument/2006/relationships" ref="P31" r:id="rId90"/>
    <hyperlink xmlns:r="http://schemas.openxmlformats.org/officeDocument/2006/relationships" ref="L32" r:id="rId91"/>
    <hyperlink xmlns:r="http://schemas.openxmlformats.org/officeDocument/2006/relationships" ref="N32" r:id="rId92"/>
    <hyperlink xmlns:r="http://schemas.openxmlformats.org/officeDocument/2006/relationships" ref="P32" r:id="rId93"/>
    <hyperlink xmlns:r="http://schemas.openxmlformats.org/officeDocument/2006/relationships" ref="L33" r:id="rId94"/>
    <hyperlink xmlns:r="http://schemas.openxmlformats.org/officeDocument/2006/relationships" ref="N33" r:id="rId95"/>
    <hyperlink xmlns:r="http://schemas.openxmlformats.org/officeDocument/2006/relationships" ref="P33" r:id="rId96"/>
    <hyperlink xmlns:r="http://schemas.openxmlformats.org/officeDocument/2006/relationships" ref="L34" r:id="rId97"/>
    <hyperlink xmlns:r="http://schemas.openxmlformats.org/officeDocument/2006/relationships" ref="N34" r:id="rId98"/>
    <hyperlink xmlns:r="http://schemas.openxmlformats.org/officeDocument/2006/relationships" ref="P34" r:id="rId99"/>
    <hyperlink xmlns:r="http://schemas.openxmlformats.org/officeDocument/2006/relationships" ref="L35" r:id="rId100"/>
    <hyperlink xmlns:r="http://schemas.openxmlformats.org/officeDocument/2006/relationships" ref="N35" r:id="rId101"/>
    <hyperlink xmlns:r="http://schemas.openxmlformats.org/officeDocument/2006/relationships" ref="P35" r:id="rId102"/>
    <hyperlink xmlns:r="http://schemas.openxmlformats.org/officeDocument/2006/relationships" ref="L36" r:id="rId103"/>
    <hyperlink xmlns:r="http://schemas.openxmlformats.org/officeDocument/2006/relationships" ref="N36" r:id="rId104"/>
    <hyperlink xmlns:r="http://schemas.openxmlformats.org/officeDocument/2006/relationships" ref="P36" r:id="rId105"/>
    <hyperlink xmlns:r="http://schemas.openxmlformats.org/officeDocument/2006/relationships" ref="L37" r:id="rId106"/>
    <hyperlink xmlns:r="http://schemas.openxmlformats.org/officeDocument/2006/relationships" ref="N37" r:id="rId107"/>
    <hyperlink xmlns:r="http://schemas.openxmlformats.org/officeDocument/2006/relationships" ref="P37" r:id="rId108"/>
    <hyperlink xmlns:r="http://schemas.openxmlformats.org/officeDocument/2006/relationships" ref="L38" r:id="rId109"/>
    <hyperlink xmlns:r="http://schemas.openxmlformats.org/officeDocument/2006/relationships" ref="N38" r:id="rId110"/>
    <hyperlink xmlns:r="http://schemas.openxmlformats.org/officeDocument/2006/relationships" ref="P38" r:id="rId111"/>
    <hyperlink xmlns:r="http://schemas.openxmlformats.org/officeDocument/2006/relationships" ref="L39" r:id="rId112"/>
    <hyperlink xmlns:r="http://schemas.openxmlformats.org/officeDocument/2006/relationships" ref="N39" r:id="rId113"/>
    <hyperlink xmlns:r="http://schemas.openxmlformats.org/officeDocument/2006/relationships" ref="P39" r:id="rId114"/>
  </hyperlinks>
  <printOptions horizontalCentered="1"/>
  <pageMargins left="0.7480314960629921" right="0.7480314960629921" top="0.984251968503937" bottom="0.984251968503937" header="0.5118110236220472" footer="0.5118110236220472"/>
  <pageSetup orientation="landscape" paperSize="8" scale="37" verticalDpi="0"/>
  <rowBreaks count="1" manualBreakCount="1">
    <brk id="17" min="0" max="16" man="1"/>
  </rowBreaks>
  <colBreaks count="1" manualBreakCount="1">
    <brk id="17" min="0" max="38" man="1"/>
  </colBreaks>
</worksheet>
</file>

<file path=xl/worksheets/sheet7.xml><?xml version="1.0" encoding="utf-8"?>
<worksheet xmlns="http://schemas.openxmlformats.org/spreadsheetml/2006/main">
  <sheetPr codeName="Sheet4">
    <tabColor rgb="FFFFFF00"/>
    <outlinePr summaryBelow="1" summaryRight="1"/>
    <pageSetUpPr/>
  </sheetPr>
  <dimension ref="A1:T37"/>
  <sheetViews>
    <sheetView view="pageBreakPreview" zoomScale="55" zoomScaleNormal="55" zoomScaleSheetLayoutView="55" workbookViewId="0">
      <pane xSplit="1" ySplit="1" topLeftCell="D2" activePane="bottomRight" state="frozen"/>
      <selection pane="topRight" activeCell="B1" sqref="B1"/>
      <selection pane="bottomLeft" activeCell="A2" sqref="A2"/>
      <selection pane="bottomRight" activeCell="K3" sqref="K3"/>
    </sheetView>
  </sheetViews>
  <sheetFormatPr baseColWidth="8" defaultRowHeight="19.2"/>
  <cols>
    <col width="8.796875" customWidth="1" style="3" min="1" max="2"/>
    <col width="17.09765625" customWidth="1" style="4" min="3" max="3"/>
    <col width="16" customWidth="1" style="4" min="4" max="4"/>
    <col width="23.296875" customWidth="1" style="5" min="5" max="5"/>
    <col width="26.09765625" customWidth="1" style="4" min="6" max="6"/>
    <col width="21.09765625" customWidth="1" style="4" min="7" max="7"/>
    <col width="51.59765625" customWidth="1" style="3" min="8" max="8"/>
    <col width="60.796875" customWidth="1" style="4" min="9" max="9"/>
    <col width="24" customWidth="1" style="3" min="10" max="10"/>
    <col width="45" customWidth="1" style="3" min="11" max="11"/>
    <col width="14.3984375" customWidth="1" style="3" min="12" max="12"/>
    <col width="45" customWidth="1" style="3" min="13" max="13"/>
    <col width="15.5" customWidth="1" style="3" min="14" max="14"/>
    <col width="45" customWidth="1" style="3" min="15" max="15"/>
    <col width="11.8984375" customWidth="1" style="3" min="16" max="16"/>
    <col width="18.09765625" customWidth="1" style="3" min="17" max="17"/>
    <col width="45" customWidth="1" style="3" min="18" max="18"/>
    <col width="22" customWidth="1" style="27" min="19" max="19"/>
    <col width="45" customWidth="1" style="3" min="20" max="35"/>
    <col width="8.796875" customWidth="1" style="3" min="36" max="65"/>
    <col width="8.796875" customWidth="1" style="3" min="66" max="16384"/>
  </cols>
  <sheetData>
    <row r="1" ht="76.8" customFormat="1" customHeight="1" s="4">
      <c r="A1" s="19" t="inlineStr">
        <is>
          <t>L2 코드</t>
        </is>
      </c>
      <c r="B1" s="19" t="inlineStr">
        <is>
          <t>L3 코드</t>
        </is>
      </c>
      <c r="C1" s="19" t="inlineStr">
        <is>
          <t>L3 대공종명</t>
        </is>
      </c>
      <c r="D1" s="19" t="inlineStr">
        <is>
          <t>L4 코드</t>
        </is>
      </c>
      <c r="E1" s="19" t="inlineStr">
        <is>
          <t>일정 (D-Day)</t>
        </is>
      </c>
      <c r="F1" s="19" t="inlineStr">
        <is>
          <t>작업단위 (Level 4 Task/Activity)</t>
        </is>
      </c>
      <c r="G1" s="19" t="inlineStr">
        <is>
          <t>주관</t>
        </is>
      </c>
      <c r="H1" s="19" t="inlineStr">
        <is>
          <t>목적</t>
        </is>
      </c>
      <c r="I1" s="19" t="inlineStr">
        <is>
          <t>방법</t>
        </is>
      </c>
      <c r="J1" s="19" t="inlineStr">
        <is>
          <t>산출물(결과)</t>
        </is>
      </c>
      <c r="K1" s="19" t="inlineStr">
        <is>
          <t>표준서 (Standard) 요약</t>
        </is>
      </c>
      <c r="L1" s="20" t="inlineStr">
        <is>
          <t>표준서 파일 (HTML)</t>
        </is>
      </c>
      <c r="M1" s="19" t="inlineStr">
        <is>
          <t>수행지침 (Guideline) 요약</t>
        </is>
      </c>
      <c r="N1" s="20" t="inlineStr">
        <is>
          <t>수행지침 파일 (HTML)</t>
        </is>
      </c>
      <c r="O1" s="19" t="inlineStr">
        <is>
          <t>체크리스트 (Checklist) 요약</t>
        </is>
      </c>
      <c r="P1" s="20" t="inlineStr">
        <is>
          <t>체크리스트 파일 (HTML)</t>
        </is>
      </c>
      <c r="Q1" s="19" t="inlineStr">
        <is>
          <t xml:space="preserve"> 비고</t>
        </is>
      </c>
      <c r="R1" s="21" t="inlineStr">
        <is>
          <t>첨부서류 연계 상세 설계기준</t>
        </is>
      </c>
      <c r="S1" s="21" t="inlineStr">
        <is>
          <t>집행단계 리스크 체크리스트</t>
        </is>
      </c>
      <c r="T1" s="21" t="inlineStr">
        <is>
          <t>협력사 시공/공사관리 자문</t>
        </is>
      </c>
    </row>
    <row r="2" ht="118.8" customHeight="1">
      <c r="A2" s="22" t="inlineStr">
        <is>
          <t>9000</t>
        </is>
      </c>
      <c r="B2" s="22" t="inlineStr">
        <is>
          <t>9000-7</t>
        </is>
      </c>
      <c r="C2" s="22" t="inlineStr">
        <is>
          <t>상부강화노반</t>
        </is>
      </c>
      <c r="D2" s="22" t="inlineStr">
        <is>
          <t>9000-7-1</t>
        </is>
      </c>
      <c r="E2" s="22" t="inlineStr">
        <is>
          <t>D-100</t>
        </is>
      </c>
      <c r="F2" s="22" t="inlineStr">
        <is>
          <t>지반조사 상세검토</t>
        </is>
      </c>
      <c r="G2" s="22" t="inlineStr">
        <is>
          <t>현장 공사팀</t>
        </is>
      </c>
      <c r="H2" s="23" t="inlineStr">
        <is>
          <t>KDS 47 10 00 철도지반 설계기준 준수 | 시추 주상도, GPR 3D 매핑 및 N치 &lt; 4 연약지반 층후 경출 | PVD/DCM 개량 공법 확정</t>
        </is>
      </c>
      <c r="I2" s="23" t="inlineStr">
        <is>
          <t>1) 시추 주상도 &amp; GPR 3D 매핑 분석 ➔ 2) N치 &lt; 4 연약지반 심도 경계 추출 ➔ 3) PVD/DCM 개량 공법 검토 ➔ 4) 기술사 서명 지반조사 보고서 감리 승인</t>
        </is>
      </c>
      <c r="J2" s="23" t="inlineStr">
        <is>
          <t>시추 주상도 대조, GPR 지중 탐사 3D 매핑 및 N치 &lt; 4 연약지반 층후 경출 (PVD/DCM 개량 승인)</t>
        </is>
      </c>
      <c r="K2" s="23" t="inlineStr">
        <is>
          <t>KDS 47 10 00 철도지반 설계기준 준수 | 시추 주상도, GPR 3D 매핑 및 N치 &lt; 4 연약지반 층후 경출 | PVD/DCM 개량 공법 확정</t>
        </is>
      </c>
      <c r="L2" s="24" t="inlineStr">
        <is>
          <t>👉 [더블클릭] 표준서 열기 📄</t>
        </is>
      </c>
      <c r="M2" s="23" t="inlineStr">
        <is>
          <t>1) 시추 주상도 &amp; GPR 3D 매핑 분석 ➔ 2) N치 &lt; 4 연약지반 심도 경계 추출 ➔ 3) PVD/DCM 개량 공법 검토 ➔ 4) 기술사 서명 지반조사 보고서 감리 승인</t>
        </is>
      </c>
      <c r="N2" s="79" t="inlineStr">
        <is>
          <t>👉 [더블클릭] 수행지침 열기 📄</t>
        </is>
      </c>
      <c r="O2" s="23" t="inlineStr">
        <is>
          <t>시추 주상도 대조, GPR 지중 탐사 3D 매핑 및 N치 &lt; 4 연약지반 층후 경출 (PVD/DCM 개량 승인)</t>
        </is>
      </c>
      <c r="P2" s="24" t="inlineStr">
        <is>
          <t>👉 [더블클릭] 체크리스트 열기 📄</t>
        </is>
      </c>
      <c r="Q2" s="22" t="n"/>
      <c r="R2" s="25" t="inlineStr">
        <is>
          <t>● 설계 지반 정수 및 지층 상태 적합성 검토</t>
        </is>
      </c>
      <c r="S2" s="26" t="inlineStr">
        <is>
          <t>1) 👉 [더블클릭] 체크리스트 열기 📄</t>
        </is>
      </c>
      <c r="T2" s="14" t="n"/>
    </row>
    <row r="3" ht="166.2" customHeight="1">
      <c r="A3" s="22" t="inlineStr">
        <is>
          <t>9000</t>
        </is>
      </c>
      <c r="B3" s="22" t="inlineStr">
        <is>
          <t>9000-7</t>
        </is>
      </c>
      <c r="C3" s="22" t="inlineStr">
        <is>
          <t>상부강화노반</t>
        </is>
      </c>
      <c r="D3" s="22" t="inlineStr">
        <is>
          <t>9000-7-2</t>
        </is>
      </c>
      <c r="E3" s="22" t="inlineStr">
        <is>
          <t>D-70</t>
        </is>
      </c>
      <c r="F3" s="22" t="inlineStr">
        <is>
          <t>발주전략 KOM</t>
        </is>
      </c>
      <c r="G3" s="22" t="inlineStr">
        <is>
          <t>현장소장</t>
        </is>
      </c>
      <c r="H3" s="23" t="inlineStr">
        <is>
          <t>KCS 47 10 25 시방 검토 | 쇄석 입도 50mm 및 다짐도 ≥ 95% 명시 | 3D BIM 도면 대조 &amp; 리스크 예비비 수립 킥오프 승인</t>
        </is>
      </c>
      <c r="I3" s="23" t="inlineStr">
        <is>
          <t>1) 발주처 시방서 요구조건 분석 ➔ 2) 3D BIM 도면 표고/구배 검증 ➔ 3) 지장물/용지 리스크 예비비 수립 ➔ 4) 발주·감리·시공 3자 킥오프 결재</t>
        </is>
      </c>
      <c r="J3" s="23" t="inlineStr">
        <is>
          <t>KCS 47 10 25 시방 검토, 쇄석 입도 50mm/다짐도 95% 명시 및 3D BIM 도면 대조 (발주전략 킥오프 결재)</t>
        </is>
      </c>
      <c r="K3" s="23" t="inlineStr">
        <is>
          <t>KCS 47 10 25 시방 검토 | 쇄석 입도 50mm 및 다짐도 ≥ 95% 명시 | 3D BIM 도면 대조 &amp; 리스크 예비비 수립 킥오프 승인</t>
        </is>
      </c>
      <c r="L3" s="24" t="inlineStr">
        <is>
          <t>표준서 보기 (HTML)</t>
        </is>
      </c>
      <c r="M3" s="23" t="inlineStr">
        <is>
          <t>1) 발주처 시방서 요구조건 분석 ➔ 2) 3D BIM 도면 표고/구배 검증 ➔ 3) 지장물/용지 리스크 예비비 수립 ➔ 4) 발주·감리·시공 3자 킥오프 결재</t>
        </is>
      </c>
      <c r="N3" s="79" t="inlineStr">
        <is>
          <t>수행지침 보기 (HTML)</t>
        </is>
      </c>
      <c r="O3" s="23" t="inlineStr">
        <is>
          <t>KCS 47 10 25 시방 검토, 쇄석 입도 50mm/다짐도 95% 명시 및 3D BIM 도면 대조 (발주전략 킥오프 결재)</t>
        </is>
      </c>
      <c r="P3" s="24" t="inlineStr">
        <is>
          <t>체크리스트 보기 (HTML)</t>
        </is>
      </c>
      <c r="Q3" s="22" t="n"/>
      <c r="R3" s="25" t="inlineStr">
        <is>
          <t>● 본사 유관부서 발주 조달 기준 만족</t>
        </is>
      </c>
      <c r="S3" s="26" t="inlineStr">
        <is>
          <t>1) 👉 [더블클릭] 체크리스트 열기 📄</t>
        </is>
      </c>
      <c r="T3" s="14" t="n"/>
    </row>
    <row r="4" ht="96" customHeight="1">
      <c r="A4" s="22" t="inlineStr">
        <is>
          <t>9000</t>
        </is>
      </c>
      <c r="B4" s="22" t="inlineStr">
        <is>
          <t>9000-7</t>
        </is>
      </c>
      <c r="C4" s="22" t="inlineStr">
        <is>
          <t>상부강화노반</t>
        </is>
      </c>
      <c r="D4" s="22" t="inlineStr">
        <is>
          <t>9000-7-3</t>
        </is>
      </c>
      <c r="E4" s="22" t="inlineStr">
        <is>
          <t>D-60 (D-70~D-60)</t>
        </is>
      </c>
      <c r="F4" s="22" t="inlineStr">
        <is>
          <t>철도보호지구에서의 행위신고(필요시)</t>
        </is>
      </c>
      <c r="G4" s="22" t="inlineStr">
        <is>
          <t>현장 공사팀</t>
        </is>
      </c>
      <c r="H4" s="23" t="inlineStr">
        <is>
          <t>철도안전법 제45조 준수 | 궤도 중심 30m 법정 경계 측량(오차 ≤ 5mm) | 행위신고서 작성 및 운행선안전관리자 1:1 배치</t>
        </is>
      </c>
      <c r="I4" s="23" t="inlineStr">
        <is>
          <t>1) 궤도 중심 30m 법정 경계 측량 ➔ 2) 행위신고서/안전계획서 접수 ➔ 3) 관할 철도운영기관 기술 심의 ➔ 4) 운행선안전관리자 현장 1:1 배치</t>
        </is>
      </c>
      <c r="J4" s="23" t="inlineStr">
        <is>
          <t>궤도 중심 30m 법정 경계 측량(오차 ≤ 5mm), 행위신고서 접수 및 운행선안전관리자 1:1 현장 배치</t>
        </is>
      </c>
      <c r="K4" s="23" t="inlineStr">
        <is>
          <t>철도안전법 제45조 준수 | 궤도 중심 30m 법정 경계 측량(오차 ≤ 5mm) | 행위신고서 작성 및 운행선안전관리자 1:1 배치</t>
        </is>
      </c>
      <c r="L4" s="24" t="inlineStr">
        <is>
          <t>표준서 보기 (HTML)</t>
        </is>
      </c>
      <c r="M4" s="23" t="inlineStr">
        <is>
          <t>1) 궤도 중심 30m 법정 경계 측량 ➔ 2) 행위신고서/안전계획서 접수 ➔ 3) 관할 철도운영기관 기술 심의 ➔ 4) 운행선안전관리자 현장 1:1 배치</t>
        </is>
      </c>
      <c r="N4" s="79" t="inlineStr">
        <is>
          <t>수행지침 보기 (HTML)</t>
        </is>
      </c>
      <c r="O4" s="23" t="inlineStr">
        <is>
          <t>궤도 중심 30m 법정 경계 측량(오차 ≤ 5mm), 행위신고서 접수 및 운행선안전관리자 1:1 현장 배치</t>
        </is>
      </c>
      <c r="P4" s="24" t="inlineStr">
        <is>
          <t>체크리스트 보기 (HTML)</t>
        </is>
      </c>
      <c r="Q4" s="22" t="n"/>
      <c r="R4" s="25" t="inlineStr">
        <is>
          <t>● 철도안전법 제45조</t>
        </is>
      </c>
      <c r="S4" s="26" t="inlineStr">
        <is>
          <t>1) 👉 [더블클릭] 체크리스트 열기 📄</t>
        </is>
      </c>
      <c r="T4" s="14" t="n"/>
    </row>
    <row r="5" ht="96" customHeight="1">
      <c r="A5" s="22" t="inlineStr">
        <is>
          <t>9000</t>
        </is>
      </c>
      <c r="B5" s="22" t="inlineStr">
        <is>
          <t>9000-7</t>
        </is>
      </c>
      <c r="C5" s="22" t="inlineStr">
        <is>
          <t>상부강화노반</t>
        </is>
      </c>
      <c r="D5" s="22" t="inlineStr">
        <is>
          <t>9000-7-4</t>
        </is>
      </c>
      <c r="E5" s="22" t="inlineStr">
        <is>
          <t>D-35 (D-60~D-35)</t>
        </is>
      </c>
      <c r="F5" s="22" t="inlineStr">
        <is>
          <t>착수전 측량 Data 확인</t>
        </is>
      </c>
      <c r="G5" s="22" t="inlineStr">
        <is>
          <t>현장 공사팀</t>
        </is>
      </c>
      <c r="H5" s="23" t="inlineStr">
        <is>
          <t>공공측량 작업규정 준수 | 국가 CP/TBM 기준점 인수 및 GRS80 수준측량(폐합오차 ≤ 5mm√K) | 현장 인조점 3개소 매설 성과 확보</t>
        </is>
      </c>
      <c r="I5" s="23" t="inlineStr">
        <is>
          <t>1) 국가 CP/TBM 기준점 인수 ➔ 2) GRS80 수준측량(폐합오차 ≤ 5mm√K) ➔ 3) 현장 인조점 3개소 매설 ➔ 4) 측량 성과표 작성 &amp; 3D BIM 승인</t>
        </is>
      </c>
      <c r="J5" s="23" t="inlineStr">
        <is>
          <t>국가 CP/TBM 기준점 인수, GRS80 수준측량(폐합오차 ≤ 5mm√K) 및 현장 인조점 3개소 매설 성과</t>
        </is>
      </c>
      <c r="K5" s="23" t="inlineStr">
        <is>
          <t>공공측량 작업규정 준수 | 국가 CP/TBM 기준점 인수 및 GRS80 수준측량(폐합오차 ≤ 5mm√K) | 현장 인조점 3개소 매설 성과 확보</t>
        </is>
      </c>
      <c r="L5" s="24" t="inlineStr">
        <is>
          <t>표준서 보기 (HTML)</t>
        </is>
      </c>
      <c r="M5" s="23" t="inlineStr">
        <is>
          <t>1) 국가 CP/TBM 기준점 인수 ➔ 2) GRS80 수준측량(폐합오차 ≤ 5mm√K) ➔ 3) 현장 인조점 3개소 매설 ➔ 4) 측량 성과표 작성 &amp; 3D BIM 승인</t>
        </is>
      </c>
      <c r="N5" s="79" t="inlineStr">
        <is>
          <t>수행지침 보기 (HTML)</t>
        </is>
      </c>
      <c r="O5" s="23" t="inlineStr">
        <is>
          <t>국가 CP/TBM 기준점 인수, GRS80 수준측량(폐합오차 ≤ 5mm√K) 및 현장 인조점 3개소 매설 성과</t>
        </is>
      </c>
      <c r="P5" s="24" t="inlineStr">
        <is>
          <t>체크리스트 보기 (HTML)</t>
        </is>
      </c>
      <c r="Q5" s="22" t="n"/>
      <c r="R5" s="25" t="inlineStr">
        <is>
          <t>● 시공측량 기준 공차 만족</t>
        </is>
      </c>
      <c r="S5" s="26" t="inlineStr">
        <is>
          <t>1) 👉 [더블클릭] 체크리스트 열기 📄</t>
        </is>
      </c>
      <c r="T5" s="14" t="n"/>
    </row>
    <row r="6" ht="96" customHeight="1">
      <c r="A6" s="22" t="inlineStr">
        <is>
          <t>9000</t>
        </is>
      </c>
      <c r="B6" s="22" t="inlineStr">
        <is>
          <t>9000-7</t>
        </is>
      </c>
      <c r="C6" s="22" t="inlineStr">
        <is>
          <t>상부강화노반</t>
        </is>
      </c>
      <c r="D6" s="22" t="inlineStr">
        <is>
          <t>9000-7-5</t>
        </is>
      </c>
      <c r="E6" s="22" t="inlineStr">
        <is>
          <t>D-40 (D-60~D-40)</t>
        </is>
      </c>
      <c r="F6" s="22" t="inlineStr">
        <is>
          <t>지장물이설 협의</t>
        </is>
      </c>
      <c r="G6" s="22" t="inlineStr">
        <is>
          <t>현장 공사팀</t>
        </is>
      </c>
      <c r="H6" s="23" t="inlineStr">
        <is>
          <t>지하안전관리에 관한 특별법 제23조 | GPR 지중 탐사 &amp; 인력 줄파기(깊이 1.5m) | 점용기관 입회 매달기 방호 및 이설 완료 승인</t>
        </is>
      </c>
      <c r="I6" s="23" t="inlineStr">
        <is>
          <t>1) GPR 3D 지중 관로 탐사 ➔ 2) 인력 시탐 줄파기(깊이 1.5m) ➔ 3) 관할 점용기관 1:1 현장 입회 ➔ 4) 매달기 방호 &amp; 지장물 이설 완료 승인</t>
        </is>
      </c>
      <c r="J6" s="23" t="inlineStr">
        <is>
          <t>GPR 3D 관로 탐사, 인력 시탐 줄파기(깊이 1.5m) 및 점용기관 1:1 현장 입회 매달기 방호</t>
        </is>
      </c>
      <c r="K6" s="23" t="inlineStr">
        <is>
          <t>지하안전관리에 관한 특별법 제23조 | GPR 지중 탐사 &amp; 인력 줄파기(깊이 1.5m) | 점용기관 입회 매달기 방호 및 이설 완료 승인</t>
        </is>
      </c>
      <c r="L6" s="24" t="inlineStr">
        <is>
          <t>표준서 보기 (HTML)</t>
        </is>
      </c>
      <c r="M6" s="23" t="inlineStr">
        <is>
          <t>1) GPR 3D 지중 관로 탐사 ➔ 2) 인력 시탐 줄파기(깊이 1.5m) ➔ 3) 관할 점용기관 1:1 현장 입회 ➔ 4) 매달기 방호 &amp; 지장물 이설 완료 승인</t>
        </is>
      </c>
      <c r="N6" s="79" t="inlineStr">
        <is>
          <t>수행지침 보기 (HTML)</t>
        </is>
      </c>
      <c r="O6" s="23" t="inlineStr">
        <is>
          <t>GPR 3D 관로 탐사, 인력 시탐 줄파기(깊이 1.5m) 및 점용기관 1:1 현장 입회 매달기 방호</t>
        </is>
      </c>
      <c r="P6" s="24" t="inlineStr">
        <is>
          <t>체크리스트 보기 (HTML)</t>
        </is>
      </c>
      <c r="Q6" s="22" t="n"/>
      <c r="R6" s="25" t="inlineStr">
        <is>
          <t>● 지장물 이설 관련 인허가 요건</t>
        </is>
      </c>
      <c r="S6" s="26" t="inlineStr">
        <is>
          <t>1) 👉 [더블클릭] 체크리스트 열기 📄</t>
        </is>
      </c>
      <c r="T6" s="14" t="n"/>
    </row>
    <row r="7" ht="96" customHeight="1">
      <c r="A7" s="22" t="inlineStr">
        <is>
          <t>9000</t>
        </is>
      </c>
      <c r="B7" s="22" t="inlineStr">
        <is>
          <t>9000-7</t>
        </is>
      </c>
      <c r="C7" s="22" t="inlineStr">
        <is>
          <t>상부강화노반</t>
        </is>
      </c>
      <c r="D7" s="22" t="inlineStr">
        <is>
          <t>9000-7-6</t>
        </is>
      </c>
      <c r="E7" s="22" t="inlineStr">
        <is>
          <t>D-40 (D-60~D-40)</t>
        </is>
      </c>
      <c r="F7" s="22" t="inlineStr">
        <is>
          <t>용지보상RISK 검토</t>
        </is>
      </c>
      <c r="G7" s="22" t="inlineStr">
        <is>
          <t>현장 공사팀</t>
        </is>
      </c>
      <c r="H7" s="23" t="inlineStr">
        <is>
          <t>토지보상법 준수 | 미보상 사유지 경계 현출 및 가설 펜스(H=1.8m) 설치 | 3D 우회 토공 동선 수립 및 마일스톤 연동</t>
        </is>
      </c>
      <c r="I7" s="23" t="inlineStr">
        <is>
          <t>1) 미보상 사유지 필지 추출 ➔ 2) 경계 가설 펜스(H=1.8m) 차단 ➔ 3) 3D 우회 토공 동선 수립 ➔ 4) 용지 보상 리스크 대책 감리 승인</t>
        </is>
      </c>
      <c r="J7" s="23" t="inlineStr">
        <is>
          <t>미보상 사유지 경계 현출, 가설 펜스(H=1.8m) 차단 및 3D 우회 토공 동선 마일스톤 연동</t>
        </is>
      </c>
      <c r="K7" s="23" t="inlineStr">
        <is>
          <t>토지보상법 준수 | 미보상 사유지 경계 현출 및 가설 펜스(H=1.8m) 설치 | 3D 우회 토공 동선 수립 및 마일스톤 연동</t>
        </is>
      </c>
      <c r="L7" s="24" t="inlineStr">
        <is>
          <t>표준서 보기 (HTML)</t>
        </is>
      </c>
      <c r="M7" s="23" t="inlineStr">
        <is>
          <t>1) 미보상 사유지 필지 추출 ➔ 2) 경계 가설 펜스(H=1.8m) 차단 ➔ 3) 3D 우회 토공 동선 수립 ➔ 4) 용지 보상 리스크 대책 감리 승인</t>
        </is>
      </c>
      <c r="N7" s="79" t="inlineStr">
        <is>
          <t>수행지침 보기 (HTML)</t>
        </is>
      </c>
      <c r="O7" s="23" t="inlineStr">
        <is>
          <t>미보상 사유지 경계 현출, 가설 펜스(H=1.8m) 차단 및 3D 우회 토공 동선 마일스톤 연동</t>
        </is>
      </c>
      <c r="P7" s="24" t="inlineStr">
        <is>
          <t>체크리스트 보기 (HTML)</t>
        </is>
      </c>
      <c r="Q7" s="22" t="n"/>
      <c r="R7" s="25" t="inlineStr">
        <is>
          <t>● 공정 지연 리스크 평가 기준</t>
        </is>
      </c>
      <c r="S7" s="26" t="inlineStr">
        <is>
          <t>1) 👉 [더블클릭] 체크리스트 열기 📄</t>
        </is>
      </c>
      <c r="T7" s="14" t="n"/>
    </row>
    <row r="8" ht="96" customHeight="1">
      <c r="A8" s="22" t="inlineStr">
        <is>
          <t>9000</t>
        </is>
      </c>
      <c r="B8" s="22" t="inlineStr">
        <is>
          <t>9000-7</t>
        </is>
      </c>
      <c r="C8" s="22" t="inlineStr">
        <is>
          <t>상부강화노반</t>
        </is>
      </c>
      <c r="D8" s="22" t="inlineStr">
        <is>
          <t>9000-7-7</t>
        </is>
      </c>
      <c r="E8" s="22" t="inlineStr">
        <is>
          <t>D-50 (D-60~D-50)</t>
        </is>
      </c>
      <c r="F8" s="22" t="inlineStr">
        <is>
          <t>최고의 팀 만들기 지원</t>
        </is>
      </c>
      <c r="G8" s="22" t="inlineStr">
        <is>
          <t>현장 공사팀</t>
        </is>
      </c>
      <c r="H8" s="23" t="inlineStr">
        <is>
          <t>건산법 상생협력 규정 | 토공 전문 기술자 1:1 전담 배치 | 발주·감리·시공 3자 주간 소통 회의 및 일일 TBM 시행</t>
        </is>
      </c>
      <c r="I8" s="23" t="inlineStr">
        <is>
          <t>1) 전담 기술자 1:1 배치 ➔ 2) 3자 주간 소통 회의 개최 ➔ 3) 근로자 환경 개선 &amp; TBM ➔ 4) One-Team 전담 조직표 서면 승인</t>
        </is>
      </c>
      <c r="J8" s="23" t="inlineStr">
        <is>
          <t>토공 전담 기술자 1:1 배치, 발주·감리·시공 3자 주간 소통 회의 및 일일 TBM/복지 지원</t>
        </is>
      </c>
      <c r="K8" s="23" t="inlineStr">
        <is>
          <t>건산법 상생협력 규정 | 토공 전문 기술자 1:1 전담 배치 | 발주·감리·시공 3자 주간 소통 회의 및 일일 TBM 시행</t>
        </is>
      </c>
      <c r="L8" s="24" t="inlineStr">
        <is>
          <t>표준서 보기 (HTML)</t>
        </is>
      </c>
      <c r="M8" s="23" t="inlineStr">
        <is>
          <t>1) 전담 기술자 1:1 배치 ➔ 2) 3자 주간 소통 회의 개최 ➔ 3) 근로자 환경 개선 &amp; TBM ➔ 4) One-Team 전담 조직표 서면 승인</t>
        </is>
      </c>
      <c r="N8" s="79" t="inlineStr">
        <is>
          <t>수행지침 보기 (HTML)</t>
        </is>
      </c>
      <c r="O8" s="23" t="inlineStr">
        <is>
          <t>토공 전담 기술자 1:1 배치, 발주·감리·시공 3자 주간 소통 회의 및 일일 TBM/복지 지원</t>
        </is>
      </c>
      <c r="P8" s="24" t="inlineStr">
        <is>
          <t>체크리스트 보기 (HTML)</t>
        </is>
      </c>
      <c r="Q8" s="22" t="n"/>
      <c r="R8" s="25" t="inlineStr">
        <is>
          <t>● 협력사 검증 및 풀(Pool) 운영 기준</t>
        </is>
      </c>
      <c r="S8" s="26" t="inlineStr">
        <is>
          <t>1) 👉 [더블클릭] 체크리스트 열기 📄</t>
        </is>
      </c>
      <c r="T8" s="14" t="n"/>
    </row>
    <row r="9" ht="96" customHeight="1">
      <c r="A9" s="22" t="inlineStr">
        <is>
          <t>9000</t>
        </is>
      </c>
      <c r="B9" s="22" t="inlineStr">
        <is>
          <t>9000-7</t>
        </is>
      </c>
      <c r="C9" s="22" t="inlineStr">
        <is>
          <t>상부강화노반</t>
        </is>
      </c>
      <c r="D9" s="22" t="inlineStr">
        <is>
          <t>9000-7-8</t>
        </is>
      </c>
      <c r="E9" s="22" t="inlineStr">
        <is>
          <t>D-35 (D-60~D-40)</t>
        </is>
      </c>
      <c r="F9" s="22" t="inlineStr">
        <is>
          <t>연약지반 처리공법 검토(필요시)</t>
        </is>
      </c>
      <c r="G9" s="22" t="inlineStr">
        <is>
          <t>현장 공사팀</t>
        </is>
      </c>
      <c r="H9" s="23" t="inlineStr">
        <is>
          <t>건진법 시행령 제89조 | KCS 47 10 25 다짐 수칙(다짐도 ≥ 95%, K30 ≥ 110) 명시 | 착공 14일 전 책임감리단 기술 승인</t>
        </is>
      </c>
      <c r="I9" s="23" t="inlineStr">
        <is>
          <t>1) 시공계획서 표준 8대 목차 작성 ➔ 2) KCS 47 10 25 수치 명시 ➔ 3) 착공 14일 전 감리단 제출 ➔ 4) 책임감리원 최종 서면 승인</t>
        </is>
      </c>
      <c r="J9" s="23" t="inlineStr">
        <is>
          <t>시공계획서 표준 8대 목차, KCS 47 10 25 다짐 수칙 수록 및 착공 14일 전 감리 서면 승인</t>
        </is>
      </c>
      <c r="K9" s="23" t="inlineStr">
        <is>
          <t>건진법 시행령 제89조 | KCS 47 10 25 다짐 수칙(다짐도 ≥ 95%, K30 ≥ 110) 명시 | 착공 14일 전 책임감리단 기술 승인</t>
        </is>
      </c>
      <c r="L9" s="24" t="inlineStr">
        <is>
          <t>표준서 보기 (HTML)</t>
        </is>
      </c>
      <c r="M9" s="23" t="inlineStr">
        <is>
          <t>1) 시공계획서 표준 8대 목차 작성 ➔ 2) KCS 47 10 25 수치 명시 ➔ 3) 착공 14일 전 감리단 제출 ➔ 4) 책임감리원 최종 서면 승인</t>
        </is>
      </c>
      <c r="N9" s="79" t="inlineStr">
        <is>
          <t>수행지침 보기 (HTML)</t>
        </is>
      </c>
      <c r="O9" s="23" t="inlineStr">
        <is>
          <t>시공계획서 표준 8대 목차, KCS 47 10 25 다짐 수칙 수록 및 착공 14일 전 감리 서면 승인</t>
        </is>
      </c>
      <c r="P9" s="24" t="inlineStr">
        <is>
          <t>체크리스트 보기 (HTML)</t>
        </is>
      </c>
      <c r="Q9" s="22" t="n"/>
      <c r="R9" s="25" t="inlineStr">
        <is>
          <t>● 지반 개량 기술 시방 만족</t>
        </is>
      </c>
      <c r="S9" s="26" t="inlineStr">
        <is>
          <t>1) 👉 [더블클릭] 체크리스트 열기 📄</t>
        </is>
      </c>
      <c r="T9" s="14" t="n"/>
    </row>
    <row r="10" ht="96" customHeight="1">
      <c r="A10" s="22" t="inlineStr">
        <is>
          <t>9000</t>
        </is>
      </c>
      <c r="B10" s="22" t="inlineStr">
        <is>
          <t>9000-7</t>
        </is>
      </c>
      <c r="C10" s="22" t="inlineStr">
        <is>
          <t>상부강화노반</t>
        </is>
      </c>
      <c r="D10" s="22" t="inlineStr">
        <is>
          <t>9000-7-9</t>
        </is>
      </c>
      <c r="E10" s="22" t="inlineStr">
        <is>
          <t>D-35 (D-45~D-35)</t>
        </is>
      </c>
      <c r="F10" s="22" t="inlineStr">
        <is>
          <t>토공 유동표 확인</t>
        </is>
      </c>
      <c r="G10" s="22" t="inlineStr">
        <is>
          <t>현장 공사팀</t>
        </is>
      </c>
      <c r="H10" s="23" t="inlineStr">
        <is>
          <t>건설근로자법 준수 | 공종별 기술 수첩 및 장비 조종원 면허 1:1 현측 | 일일 음주 측정(0.00%) 및 작업조 조직표 승인</t>
        </is>
      </c>
      <c r="I10" s="23" t="inlineStr">
        <is>
          <t>1) 토공 롤러/그레이더 조종원 자격 검증 ➔ 2) 건설기계 면허증 1:1 대조 ➔ 3) 일일 음주 측정 &amp; Safety TBM ➔ 4) 작업조 편성표 감리 승인</t>
        </is>
      </c>
      <c r="J10" s="23" t="inlineStr">
        <is>
          <t>조종원/기술자 자격 수첩 1:1 대조, 건설기계 면허증 검증 및 일일 음주 측정(0.00%)/TBM</t>
        </is>
      </c>
      <c r="K10" s="23" t="inlineStr">
        <is>
          <t>건설근로자법 준수 | 공종별 기술 수첩 및 장비 조종원 면허 1:1 현측 | 일일 음주 측정(0.00%) 및 작업조 조직표 승인</t>
        </is>
      </c>
      <c r="L10" s="24" t="inlineStr">
        <is>
          <t>표준서 보기 (HTML)</t>
        </is>
      </c>
      <c r="M10" s="23" t="inlineStr">
        <is>
          <t>1) 토공 롤러/그레이더 조종원 자격 검증 ➔ 2) 건설기계 면허증 1:1 대조 ➔ 3) 일일 음주 측정 &amp; Safety TBM ➔ 4) 작업조 편성표 감리 승인</t>
        </is>
      </c>
      <c r="N10" s="79" t="inlineStr">
        <is>
          <t>수행지침 보기 (HTML)</t>
        </is>
      </c>
      <c r="O10" s="23" t="inlineStr">
        <is>
          <t>조종원/기술자 자격 수첩 1:1 대조, 건설기계 면허증 검증 및 일일 음주 측정(0.00%)/TBM</t>
        </is>
      </c>
      <c r="P10" s="24" t="inlineStr">
        <is>
          <t>체크리스트 보기 (HTML)</t>
        </is>
      </c>
      <c r="Q10" s="22" t="n"/>
      <c r="R10" s="25" t="inlineStr">
        <is>
          <t>● 건설기계 조합 선정 기준</t>
        </is>
      </c>
      <c r="S10" s="26" t="inlineStr">
        <is>
          <t>1) 👉 [더블클릭] 체크리스트 열기 📄</t>
        </is>
      </c>
      <c r="T10" s="14" t="n"/>
    </row>
    <row r="11" ht="96" customHeight="1">
      <c r="A11" s="22" t="inlineStr">
        <is>
          <t>9000</t>
        </is>
      </c>
      <c r="B11" s="22" t="inlineStr">
        <is>
          <t>9000-7</t>
        </is>
      </c>
      <c r="C11" s="22" t="inlineStr">
        <is>
          <t>상부강화노반</t>
        </is>
      </c>
      <c r="D11" s="22" t="inlineStr">
        <is>
          <t>9000-7-10</t>
        </is>
      </c>
      <c r="E11" s="22" t="inlineStr">
        <is>
          <t>D-30 (D-50~D-30)</t>
        </is>
      </c>
      <c r="F11" s="22" t="inlineStr">
        <is>
          <t>기공승낙 적정성 검토</t>
        </is>
      </c>
      <c r="G11" s="22" t="inlineStr">
        <is>
          <t>현장 공사팀</t>
        </is>
      </c>
      <c r="H11" s="23" t="inlineStr">
        <is>
          <t>건설기계관리법 제13조 | 자중 10t+ 강동/타이어 롤러 및 3D GPS 모터그레이더 정기검사 검수 | 후방 센서 점검 및 반입 허가</t>
        </is>
      </c>
      <c r="I11" s="23" t="inlineStr">
        <is>
          <t>1) 10t+ 강동/타이어 롤러 사양 확정 ➔ 2) 정기검사증 &amp; 등록증 검수 ➔ 3) 3D GPS 수신기/후방 카메라 점검 ➔ 4) 장비 반입 승인서 감리 결재</t>
        </is>
      </c>
      <c r="J11" s="23" t="inlineStr">
        <is>
          <t>자중 10t+ 강동/타이어 롤러 정기검사증, 3D GPS 수신기/후방 카메라 센서 테스트 및 반입 승인</t>
        </is>
      </c>
      <c r="K11" s="23" t="inlineStr">
        <is>
          <t>건설기계관리법 제13조 | 자중 10t+ 강동/타이어 롤러 및 3D GPS 모터그레이더 정기검사 검수 | 후방 센서 점검 및 반입 허가</t>
        </is>
      </c>
      <c r="L11" s="24" t="inlineStr">
        <is>
          <t>표준서 보기 (HTML)</t>
        </is>
      </c>
      <c r="M11" s="23" t="inlineStr">
        <is>
          <t>1) 10t+ 강동/타이어 롤러 사양 확정 ➔ 2) 정기검사증 &amp; 등록증 검수 ➔ 3) 3D GPS 수신기/후방 카메라 점검 ➔ 4) 장비 반입 승인서 감리 결재</t>
        </is>
      </c>
      <c r="N11" s="79" t="inlineStr">
        <is>
          <t>수행지침 보기 (HTML)</t>
        </is>
      </c>
      <c r="O11" s="23" t="inlineStr">
        <is>
          <t>자중 10t+ 강동/타이어 롤러 정기검사증, 3D GPS 수신기/후방 카메라 센서 테스트 및 반입 승인</t>
        </is>
      </c>
      <c r="P11" s="24" t="inlineStr">
        <is>
          <t>체크리스트 보기 (HTML)</t>
        </is>
      </c>
      <c r="Q11" s="22" t="n"/>
      <c r="R11" s="25" t="inlineStr">
        <is>
          <t>● 토지 사용 동의 및 합의 조건 검토</t>
        </is>
      </c>
      <c r="S11" s="26" t="inlineStr">
        <is>
          <t>1) 👉 [더블클릭] 체크리스트 열기 📄</t>
        </is>
      </c>
      <c r="T11" s="14" t="n"/>
    </row>
    <row r="12" ht="96" customHeight="1">
      <c r="A12" s="22" t="inlineStr">
        <is>
          <t>9000</t>
        </is>
      </c>
      <c r="B12" s="22" t="inlineStr">
        <is>
          <t>9000-7</t>
        </is>
      </c>
      <c r="C12" s="22" t="inlineStr">
        <is>
          <t>상부강화노반</t>
        </is>
      </c>
      <c r="D12" s="22" t="inlineStr">
        <is>
          <t>9000-7-11</t>
        </is>
      </c>
      <c r="E12" s="22" t="inlineStr">
        <is>
          <t>D-30 (D-40~D-30)</t>
        </is>
      </c>
      <c r="F12" s="22" t="inlineStr">
        <is>
          <t>폐기물처리계획 수립</t>
        </is>
      </c>
      <c r="G12" s="22" t="inlineStr">
        <is>
          <t>현장 공사팀</t>
        </is>
      </c>
      <c r="H12" s="23" t="inlineStr">
        <is>
          <t>KCS 47 10 25 쇄석 입도 규정 | 최대입경 50mm 이하, #200체 통과량 ≤ 5% | 수정다짐 CBR ≥ 30% 성적 산출 및 입도 DB 구축</t>
        </is>
      </c>
      <c r="I12" s="23" t="inlineStr">
        <is>
          <t>1) 석산 공급원 사전 승인 수속 ➔ 2) 쇄석 입도(Dmax 50mm) 체가름 시험 ➔ 3) 수정다짐 CBR(≥30%) 성적 산출 ➔ 4) 노반 재료 입도 DB 감리 승인</t>
        </is>
      </c>
      <c r="J12" s="23" t="inlineStr">
        <is>
          <t>쇄석 최대입경(Dmax ≤ 50mm), #200체 통과량(≤ 5%) 및 수정다짐 CBR(≥ 30%) 성적서 DB</t>
        </is>
      </c>
      <c r="K12" s="23" t="inlineStr">
        <is>
          <t>KCS 47 10 25 쇄석 입도 규정 | 최대입경 50mm 이하, #200체 통과량 ≤ 5% | 수정다짐 CBR ≥ 30% 성적 산출 및 입도 DB 구축</t>
        </is>
      </c>
      <c r="L12" s="24" t="inlineStr">
        <is>
          <t>표준서 보기 (HTML)</t>
        </is>
      </c>
      <c r="M12" s="23" t="inlineStr">
        <is>
          <t>1) 석산 공급원 사전 승인 수속 ➔ 2) 쇄석 입도(Dmax 50mm) 체가름 시험 ➔ 3) 수정다짐 CBR(≥30%) 성적 산출 ➔ 4) 노반 재료 입도 DB 감리 승인</t>
        </is>
      </c>
      <c r="N12" s="79" t="inlineStr">
        <is>
          <t>수행지침 보기 (HTML)</t>
        </is>
      </c>
      <c r="O12" s="23" t="inlineStr">
        <is>
          <t>쇄석 최대입경(Dmax ≤ 50mm), #200체 통과량(≤ 5%) 및 수정다짐 CBR(≥ 30%) 성적서 DB</t>
        </is>
      </c>
      <c r="P12" s="24" t="inlineStr">
        <is>
          <t>체크리스트 보기 (HTML)</t>
        </is>
      </c>
      <c r="Q12" s="22" t="n"/>
      <c r="R12" s="25" t="inlineStr">
        <is>
          <t>● 폐기물관리법 규정 준수</t>
        </is>
      </c>
      <c r="S12" s="26" t="inlineStr">
        <is>
          <t>1) 👉 [더블클릭] 체크리스트 열기 📄</t>
        </is>
      </c>
      <c r="T12" s="14" t="n"/>
    </row>
    <row r="13" ht="96" customHeight="1">
      <c r="A13" s="22" t="inlineStr">
        <is>
          <t>9000</t>
        </is>
      </c>
      <c r="B13" s="22" t="inlineStr">
        <is>
          <t>9000-7</t>
        </is>
      </c>
      <c r="C13" s="22" t="inlineStr">
        <is>
          <t>상부강화노반</t>
        </is>
      </c>
      <c r="D13" s="22" t="inlineStr">
        <is>
          <t>9000-7-12</t>
        </is>
      </c>
      <c r="E13" s="22" t="inlineStr">
        <is>
          <t>D-30 (D-40~D-30)</t>
        </is>
      </c>
      <c r="F13" s="22" t="inlineStr">
        <is>
          <t>철도운행협의(필요시)</t>
        </is>
      </c>
      <c r="G13" s="22" t="inlineStr">
        <is>
          <t>현장 공사팀</t>
        </is>
      </c>
      <c r="H13" s="23" t="inlineStr">
        <is>
          <t>토양환경보전법 준수 | 화성시 정식 사토장 인허가 확인 | 최대건조밀도 γd max ≥ 1.90g/cm³ &amp; 토양오염 8개 항목 검사 완수</t>
        </is>
      </c>
      <c r="I13" s="23" t="inlineStr">
        <is>
          <t>1) 화성시 정식 사토장 허가 검증 ➔ 2) γd max ≥ 1.90g/cm³ &amp; 오염 시험 ➔ 3) 덤프 운행 송장 일일 집계 ➔ 4) 사토 계획서 감리 서면 승인</t>
        </is>
      </c>
      <c r="J13" s="23" t="inlineStr">
        <is>
          <t>화성시 정식 사토장 인허가, 최대건조밀도 γd max ≥ 1.90g/cm³ 및 토양오염 8개 항목 검사 합격</t>
        </is>
      </c>
      <c r="K13" s="23" t="inlineStr">
        <is>
          <t>토양환경보전법 준수 | 화성시 정식 사토장 인허가 확인 | 최대건조밀도 γd max ≥ 1.90g/cm³ &amp; 토양오염 8개 항목 검사 완수</t>
        </is>
      </c>
      <c r="L13" s="24" t="inlineStr">
        <is>
          <t>표준서 보기 (HTML)</t>
        </is>
      </c>
      <c r="M13" s="23" t="inlineStr">
        <is>
          <t>1) 화성시 정식 사토장 허가 검증 ➔ 2) γd max ≥ 1.90g/cm³ &amp; 오염 시험 ➔ 3) 덤프 운행 송장 일일 집계 ➔ 4) 사토 계획서 감리 서면 승인</t>
        </is>
      </c>
      <c r="N13" s="79" t="inlineStr">
        <is>
          <t>수행지침 보기 (HTML)</t>
        </is>
      </c>
      <c r="O13" s="23" t="inlineStr">
        <is>
          <t>화성시 정식 사토장 인허가, 최대건조밀도 γd max ≥ 1.90g/cm³ 및 토양오염 8개 항목 검사 합격</t>
        </is>
      </c>
      <c r="P13" s="24" t="inlineStr">
        <is>
          <t>체크리스트 보기 (HTML)</t>
        </is>
      </c>
      <c r="Q13" s="22" t="n"/>
      <c r="R13" s="25" t="inlineStr">
        <is>
          <t>● 철도 안전 및 운행 협의 지침 준수</t>
        </is>
      </c>
      <c r="S13" s="26" t="inlineStr">
        <is>
          <t>1) 👉 [더블클릭] 체크리스트 열기 📄</t>
        </is>
      </c>
      <c r="T13" s="14" t="n"/>
    </row>
    <row r="14" ht="134.4" customHeight="1">
      <c r="A14" s="22" t="inlineStr">
        <is>
          <t>9000</t>
        </is>
      </c>
      <c r="B14" s="22" t="inlineStr">
        <is>
          <t>9000-7</t>
        </is>
      </c>
      <c r="C14" s="22" t="inlineStr">
        <is>
          <t>상부강화노반</t>
        </is>
      </c>
      <c r="D14" s="22" t="inlineStr">
        <is>
          <t>9000-7-13</t>
        </is>
      </c>
      <c r="E14" s="22" t="inlineStr">
        <is>
          <t>D-40</t>
        </is>
      </c>
      <c r="F14" s="22" t="inlineStr">
        <is>
          <t>작수전 Big Room 회의</t>
        </is>
      </c>
      <c r="G14" s="22" t="inlineStr">
        <is>
          <t>현장 공사팀</t>
        </is>
      </c>
      <c r="H14" s="23" t="inlineStr">
        <is>
          <t>KCS 47 10 25 임시 배수 시방 | 성토 사면 가배수로(0.6×0.6m) &amp; 가침사지 2개소 | HDPE 유공관(Ø200mm, 구배 ≥ 0.5%) 부설</t>
        </is>
      </c>
      <c r="I14" s="23" t="inlineStr">
        <is>
          <t>1) 가배수로(0.6×0.6m) &amp; 가침사지 설계 ➔ 2) HDPE 유공관(Ø200mm) 자재 검수 ➔ 3) 비상 양수 펌프(200L/min) 비치 ➔ 4) 배수 처리 계획서 감리 승인</t>
        </is>
      </c>
      <c r="J14" s="23" t="inlineStr">
        <is>
          <t>성토 사면 가배수로(0.6×0.6m), 가침사지 2개소 및 HDPE 유공관(Ø200mm, 구배 ≥ 0.5%) 설치</t>
        </is>
      </c>
      <c r="K14" s="23" t="inlineStr">
        <is>
          <t>KCS 47 10 25 임시 배수 시방 | 성토 사면 가배수로(0.6×0.6m) &amp; 가침사지 2개소 | HDPE 유공관(Ø200mm, 구배 ≥ 0.5%) 부설</t>
        </is>
      </c>
      <c r="L14" s="24" t="inlineStr">
        <is>
          <t>표준서 보기 (HTML)</t>
        </is>
      </c>
      <c r="M14" s="23" t="inlineStr">
        <is>
          <t>1) 가배수로(0.6×0.6m) &amp; 가침사지 설계 ➔ 2) HDPE 유공관(Ø200mm) 자재 검수 ➔ 3) 비상 양수 펌프(200L/min) 비치 ➔ 4) 배수 처리 계획서 감리 승인</t>
        </is>
      </c>
      <c r="N14" s="79" t="inlineStr">
        <is>
          <t>수행지침 보기 (HTML)</t>
        </is>
      </c>
      <c r="O14" s="23" t="inlineStr">
        <is>
          <t>성토 사면 가배수로(0.6×0.6m), 가침사지 2개소 및 HDPE 유공관(Ø200mm, 구배 ≥ 0.5%) 설치</t>
        </is>
      </c>
      <c r="P14" s="24" t="inlineStr">
        <is>
          <t>체크리스트 보기 (HTML)</t>
        </is>
      </c>
      <c r="Q14" s="22" t="n"/>
      <c r="R14" s="25" t="inlineStr">
        <is>
          <t>● 토목 및 궤도 인터페이스 관리 지침</t>
        </is>
      </c>
      <c r="S14" s="26" t="inlineStr">
        <is>
          <t>1) 👉 [더블클릭] 체크리스트 열기 📄</t>
        </is>
      </c>
      <c r="T14" s="14" t="n"/>
    </row>
    <row r="15" ht="96" customHeight="1">
      <c r="A15" s="22" t="inlineStr">
        <is>
          <t>9000</t>
        </is>
      </c>
      <c r="B15" s="22" t="inlineStr">
        <is>
          <t>9000-7</t>
        </is>
      </c>
      <c r="C15" s="22" t="inlineStr">
        <is>
          <t>상부강화노반</t>
        </is>
      </c>
      <c r="D15" s="22" t="inlineStr">
        <is>
          <t>9000-7-14</t>
        </is>
      </c>
      <c r="E15" s="22" t="inlineStr">
        <is>
          <t>D-30</t>
        </is>
      </c>
      <c r="F15" s="22" t="inlineStr">
        <is>
          <t>시공 계획 수립</t>
        </is>
      </c>
      <c r="G15" s="22" t="inlineStr">
        <is>
          <t>현장 공사팀</t>
        </is>
      </c>
      <c r="H15" s="23" t="inlineStr">
        <is>
          <t>건진법 제62조 준수 | 국토안전관리원 전산 적정 심사 필 | CSI 건설공사 안전관리 종합망 전산 등록 및 감리 승인</t>
        </is>
      </c>
      <c r="I15" s="23" t="inlineStr">
        <is>
          <t>1) 건진법 제62조 안전관리계획 작성 ➔ 2) 국토안전관리원 전산 적정 심사 ➔ 3) CSI 안전관리 종합망 등록 ➔ 4) 책임감리원 서면 승인</t>
        </is>
      </c>
      <c r="J15" s="23" t="inlineStr">
        <is>
          <t>건진법 제62조 안전관리계획서 작성, 국토안전관리원 적정 심사 및 CSI 전산망 등록 결재</t>
        </is>
      </c>
      <c r="K15" s="23" t="inlineStr">
        <is>
          <t>건진법 제62조 준수 | 국토안전관리원 전산 적정 심사 필 | CSI 건설공사 안전관리 종합망 전산 등록 및 감리 승인</t>
        </is>
      </c>
      <c r="L15" s="24" t="inlineStr">
        <is>
          <t>표준서 보기 (HTML)</t>
        </is>
      </c>
      <c r="M15" s="23" t="inlineStr">
        <is>
          <t>1) 건진법 제62조 안전관리계획 작성 ➔ 2) 국토안전관리원 전산 적정 심사 ➔ 3) CSI 안전관리 종합망 등록 ➔ 4) 책임감리원 서면 승인</t>
        </is>
      </c>
      <c r="N15" s="79" t="inlineStr">
        <is>
          <t>수행지침 보기 (HTML)</t>
        </is>
      </c>
      <c r="O15" s="23" t="inlineStr">
        <is>
          <t>건진법 제62조 안전관리계획서 작성, 국토안전관리원 적정 심사 및 CSI 전산망 등록 결재</t>
        </is>
      </c>
      <c r="P15" s="24" t="inlineStr">
        <is>
          <t>체크리스트 보기 (HTML)</t>
        </is>
      </c>
      <c r="Q15" s="22" t="n"/>
      <c r="R15" s="25" t="inlineStr">
        <is>
          <t>● 시방 기준 및 토공사 지침 준수</t>
        </is>
      </c>
      <c r="S15" s="26" t="inlineStr">
        <is>
          <t>1) 👉 [더블클릭] 체크리스트 열기 📄</t>
        </is>
      </c>
      <c r="T15" s="14" t="n"/>
    </row>
    <row r="16" ht="96" customHeight="1">
      <c r="A16" s="22" t="inlineStr">
        <is>
          <t>9000</t>
        </is>
      </c>
      <c r="B16" s="22" t="inlineStr">
        <is>
          <t>9000-7</t>
        </is>
      </c>
      <c r="C16" s="22" t="inlineStr">
        <is>
          <t>상부강화노반</t>
        </is>
      </c>
      <c r="D16" s="22" t="inlineStr">
        <is>
          <t>9000-7-15</t>
        </is>
      </c>
      <c r="E16" s="22" t="inlineStr">
        <is>
          <t>D-30 (D-50~D-30)</t>
        </is>
      </c>
      <c r="F16" s="22" t="inlineStr">
        <is>
          <t>사토장/토취장 선정 검토(필요시)</t>
        </is>
      </c>
      <c r="G16" s="22" t="inlineStr">
        <is>
          <t>현장 공사팀</t>
        </is>
      </c>
      <c r="H16" s="23" t="inlineStr">
        <is>
          <t>건진법 제55조 준수 | 노반 다짐도(500m³당 1회), K30(2,000m²당 1회), Ev2(1,000m²당 1회) | 현장 시험실 장비 교정 검수</t>
        </is>
      </c>
      <c r="I16" s="23" t="inlineStr">
        <is>
          <t>1) 다짐도/K30/Ev2 시험 빈도 수립 ➔ 2) 현장 시험실 장비 교정 검수 ➔ 3) 착공 14일 전 감리단 제출 ➔ 4) 품질관리계획서 감리 서면 승인</t>
        </is>
      </c>
      <c r="J16" s="23" t="inlineStr">
        <is>
          <t>노반 다짐도(500m³당 1회), K30(2,000m²당 1회), Ev2(1,000m²당 1회) 시험 빈도 &amp; 장비 교정</t>
        </is>
      </c>
      <c r="K16" s="23" t="inlineStr">
        <is>
          <t>건진법 제55조 준수 | 노반 다짐도(500m³당 1회), K30(2,000m²당 1회), Ev2(1,000m²당 1회) | 현장 시험실 장비 교정 검수</t>
        </is>
      </c>
      <c r="L16" s="24" t="inlineStr">
        <is>
          <t>표준서 보기 (HTML)</t>
        </is>
      </c>
      <c r="M16" s="23" t="inlineStr">
        <is>
          <t>1) 다짐도/K30/Ev2 시험 빈도 수립 ➔ 2) 현장 시험실 장비 교정 검수 ➔ 3) 착공 14일 전 감리단 제출 ➔ 4) 품질관리계획서 감리 서면 승인</t>
        </is>
      </c>
      <c r="N16" s="79" t="inlineStr">
        <is>
          <t>수행지침 보기 (HTML)</t>
        </is>
      </c>
      <c r="O16" s="23" t="inlineStr">
        <is>
          <t>노반 다짐도(500m³당 1회), K30(2,000m²당 1회), Ev2(1,000m²당 1회) 시험 빈도 &amp; 장비 교정</t>
        </is>
      </c>
      <c r="P16" s="24" t="inlineStr">
        <is>
          <t>체크리스트 보기 (HTML)</t>
        </is>
      </c>
      <c r="Q16" s="22" t="n"/>
      <c r="R16" s="25" t="inlineStr">
        <is>
          <t>● 환경 영향 및 골재 채취 인허가 적합성</t>
        </is>
      </c>
      <c r="S16" s="26" t="inlineStr">
        <is>
          <t>1) 👉 [더블클릭] 체크리스트 열기 📄</t>
        </is>
      </c>
      <c r="T16" s="14" t="n"/>
    </row>
    <row r="17" ht="96" customHeight="1">
      <c r="A17" s="22" t="inlineStr">
        <is>
          <t>9000</t>
        </is>
      </c>
      <c r="B17" s="22" t="inlineStr">
        <is>
          <t>9000-7</t>
        </is>
      </c>
      <c r="C17" s="22" t="inlineStr">
        <is>
          <t>상부강화노반</t>
        </is>
      </c>
      <c r="D17" s="22" t="inlineStr">
        <is>
          <t>9000-7-16</t>
        </is>
      </c>
      <c r="E17" s="22" t="inlineStr">
        <is>
          <t>D-20</t>
        </is>
      </c>
      <c r="F17" s="22" t="inlineStr">
        <is>
          <t>공사사전준비</t>
        </is>
      </c>
      <c r="G17" s="22" t="inlineStr">
        <is>
          <t>현장 공사팀</t>
        </is>
      </c>
      <c r="H17" s="23" t="inlineStr">
        <is>
          <t>대기환경보전법 제44조 | 지자체 비산먼지 발생사업 신고 필 | 이동식 세륜기(깊이 1.2m) &amp; 가설 방음벽(H=3m) 가동</t>
        </is>
      </c>
      <c r="I17" s="23" t="inlineStr">
        <is>
          <t>1) 세륜기(깊이 1.2m) &amp; 방음벽(3m) 설계 ➔ 2) 지자체 비산먼지 발생신고 ➔ 3) 살수차 1일 3회 살수 ➔ 4) 환경관리계획서 감리 서면 승인</t>
        </is>
      </c>
      <c r="J17" s="23" t="inlineStr">
        <is>
          <t>지자체 비산먼지 발생신고 필증, 이동식 세륜기(깊이 1.2m) &amp; 가설 방음벽(H=3m) 가동 점검</t>
        </is>
      </c>
      <c r="K17" s="23" t="inlineStr">
        <is>
          <t>대기환경보전법 제44조 | 지자체 비산먼지 발생사업 신고 필 | 이동식 세륜기(깊이 1.2m) &amp; 가설 방음벽(H=3m) 가동</t>
        </is>
      </c>
      <c r="L17" s="24" t="inlineStr">
        <is>
          <t>표준서 보기 (HTML)</t>
        </is>
      </c>
      <c r="M17" s="23" t="inlineStr">
        <is>
          <t>1) 세륜기(깊이 1.2m) &amp; 방음벽(3m) 설계 ➔ 2) 지자체 비산먼지 발생신고 ➔ 3) 살수차 1일 3회 살수 ➔ 4) 환경관리계획서 감리 서면 승인</t>
        </is>
      </c>
      <c r="N17" s="79" t="inlineStr">
        <is>
          <t>수행지침 보기 (HTML)</t>
        </is>
      </c>
      <c r="O17" s="23" t="inlineStr">
        <is>
          <t>지자체 비산먼지 발생신고 필증, 이동식 세륜기(깊이 1.2m) &amp; 가설 방음벽(H=3m) 가동 점검</t>
        </is>
      </c>
      <c r="P17" s="24" t="inlineStr">
        <is>
          <t>체크리스트 보기 (HTML)</t>
        </is>
      </c>
      <c r="Q17" s="22" t="n"/>
      <c r="R17" s="25" t="inlineStr">
        <is>
          <t>● 리스크 사전 예방 및 통제 기준</t>
        </is>
      </c>
      <c r="S17" s="26" t="inlineStr">
        <is>
          <t>1) 👉 [더블클릭] 체크리스트 열기 📄</t>
        </is>
      </c>
      <c r="T17" s="14" t="n"/>
    </row>
    <row r="18" ht="96" customHeight="1">
      <c r="A18" s="22" t="inlineStr">
        <is>
          <t>9000</t>
        </is>
      </c>
      <c r="B18" s="22" t="inlineStr">
        <is>
          <t>9000-7</t>
        </is>
      </c>
      <c r="C18" s="22" t="inlineStr">
        <is>
          <t>상부강화노반</t>
        </is>
      </c>
      <c r="D18" s="22" t="inlineStr">
        <is>
          <t>9000-7-17</t>
        </is>
      </c>
      <c r="E18" s="22" t="inlineStr">
        <is>
          <t>D-25 (D-30~D-25)</t>
        </is>
      </c>
      <c r="F18" s="22" t="inlineStr">
        <is>
          <t>임시배수시설</t>
        </is>
      </c>
      <c r="G18" s="22" t="inlineStr">
        <is>
          <t>현장 공사팀</t>
        </is>
      </c>
      <c r="H18" s="23" t="inlineStr">
        <is>
          <t>도로교통법 제69조 | 동탄경찰서 교통안전 심의 및 도로점용 허가 수령 | 전담 안전 신호수(2인 2조) 및 LED 경광등 배치</t>
        </is>
      </c>
      <c r="I18" s="23" t="inlineStr">
        <is>
          <t>1) 교통 우회 도면 &amp; 차선 설계 ➔ 2) 동탄경찰서 도로점용 허가 ➔ 3) 전담 신호수(2인 2조) 배치 ➔ 4) 교통소통 대책서 감리 서면 승인</t>
        </is>
      </c>
      <c r="J18" s="23" t="inlineStr">
        <is>
          <t>동탄경찰서 도로점용 허가, 우회 차선 설계 및 전담 안전 신호수(2인 2조)/LED 경광등 배치</t>
        </is>
      </c>
      <c r="K18" s="23" t="inlineStr">
        <is>
          <t>도로교통법 제69조 | 동탄경찰서 교통안전 심의 및 도로점용 허가 수령 | 전담 안전 신호수(2인 2조) 및 LED 경광등 배치</t>
        </is>
      </c>
      <c r="L18" s="24" t="inlineStr">
        <is>
          <t>표준서 보기 (HTML)</t>
        </is>
      </c>
      <c r="M18" s="23" t="inlineStr">
        <is>
          <t>1) 교통 우회 도면 &amp; 차선 설계 ➔ 2) 동탄경찰서 도로점용 허가 ➔ 3) 전담 신호수(2인 2조) 배치 ➔ 4) 교통소통 대책서 감리 서면 승인</t>
        </is>
      </c>
      <c r="N18" s="79" t="inlineStr">
        <is>
          <t>수행지침 보기 (HTML)</t>
        </is>
      </c>
      <c r="O18" s="23" t="inlineStr">
        <is>
          <t>동탄경찰서 도로점용 허가, 우회 차선 설계 및 전담 안전 신호수(2인 2조)/LED 경광등 배치</t>
        </is>
      </c>
      <c r="P18" s="24" t="inlineStr">
        <is>
          <t>체크리스트 보기 (HTML)</t>
        </is>
      </c>
      <c r="Q18" s="22" t="n"/>
      <c r="R18" s="25" t="inlineStr">
        <is>
          <t>● 비산먼지 및 수질오염 방지 대책 기준</t>
        </is>
      </c>
      <c r="S18" s="26" t="inlineStr">
        <is>
          <t>1) 👉 [더블클릭] 체크리스트 열기 📄</t>
        </is>
      </c>
      <c r="T18" s="14" t="n"/>
    </row>
    <row r="19" ht="96" customHeight="1">
      <c r="A19" s="22" t="inlineStr">
        <is>
          <t>9000</t>
        </is>
      </c>
      <c r="B19" s="22" t="inlineStr">
        <is>
          <t>9000-7</t>
        </is>
      </c>
      <c r="C19" s="22" t="inlineStr">
        <is>
          <t>상부강화노반</t>
        </is>
      </c>
      <c r="D19" s="22" t="inlineStr">
        <is>
          <t>9000-7-18</t>
        </is>
      </c>
      <c r="E19" s="22" t="inlineStr">
        <is>
          <t>D-10 (D-30~D-10)</t>
        </is>
      </c>
      <c r="F19" s="22" t="inlineStr">
        <is>
          <t>쌓기재료 검사</t>
        </is>
      </c>
      <c r="G19" s="22" t="inlineStr">
        <is>
          <t>현장 공사팀</t>
        </is>
      </c>
      <c r="H19" s="23" t="inlineStr">
        <is>
          <t>건산법 제29조 준수 | 토공 전문건설업 면허 및 하도급율(≥ 82%) 적정성 심사 | 노무비 지급 전용계좌 지정 및 계약 승인</t>
        </is>
      </c>
      <c r="I19" s="23" t="inlineStr">
        <is>
          <t>1) 토공 전문 면허 &amp; 실적 심사 ➔ 2) 하도급 적정성 평가(≥82%) ➔ 3) 노무비 지급 전용계좌 지정 ➔ 4) 하도급 계약 승인 통보서 결재</t>
        </is>
      </c>
      <c r="J19" s="23" t="inlineStr">
        <is>
          <t>토공 전문건설업 면허/실적 심사, 하도급 비율(≥ 82%) 평가 및 노무비 지급 전용계좌 지정</t>
        </is>
      </c>
      <c r="K19" s="23" t="inlineStr">
        <is>
          <t>건산법 제29조 준수 | 토공 전문건설업 면허 및 하도급율(≥ 82%) 적정성 심사 | 노무비 지급 전용계좌 지정 및 계약 승인</t>
        </is>
      </c>
      <c r="L19" s="24" t="inlineStr">
        <is>
          <t>표준서 보기 (HTML)</t>
        </is>
      </c>
      <c r="M19" s="23" t="inlineStr">
        <is>
          <t>1) 토공 전문 면허 &amp; 실적 심사 ➔ 2) 하도급 적정성 평가(≥82%) ➔ 3) 노무비 지급 전용계좌 지정 ➔ 4) 하도급 계약 승인 통보서 결재</t>
        </is>
      </c>
      <c r="N19" s="79" t="inlineStr">
        <is>
          <t>수행지침 보기 (HTML)</t>
        </is>
      </c>
      <c r="O19" s="23" t="inlineStr">
        <is>
          <t>토공 전문건설업 면허/실적 심사, 하도급 비율(≥ 82%) 평가 및 노무비 지급 전용계좌 지정</t>
        </is>
      </c>
      <c r="P19" s="24" t="inlineStr">
        <is>
          <t>체크리스트 보기 (HTML)</t>
        </is>
      </c>
      <c r="Q19" s="22" t="n"/>
      <c r="R19" s="25" t="inlineStr">
        <is>
          <t>● 토공 성토 재료 규격 기준 준수</t>
        </is>
      </c>
      <c r="S19" s="26" t="inlineStr">
        <is>
          <t>1) 👉 [더블클릭] 체크리스트 열기 📄</t>
        </is>
      </c>
      <c r="T19" s="14" t="n"/>
    </row>
    <row r="20" ht="96" customHeight="1">
      <c r="A20" s="22" t="inlineStr">
        <is>
          <t>9000</t>
        </is>
      </c>
      <c r="B20" s="22" t="inlineStr">
        <is>
          <t>9000-7</t>
        </is>
      </c>
      <c r="C20" s="22" t="inlineStr">
        <is>
          <t>상부강화노반</t>
        </is>
      </c>
      <c r="D20" s="22" t="inlineStr">
        <is>
          <t>9000-7-19</t>
        </is>
      </c>
      <c r="E20" s="22" t="inlineStr">
        <is>
          <t>D-10</t>
        </is>
      </c>
      <c r="F20" s="22" t="inlineStr">
        <is>
          <t>장비 검수 지원</t>
        </is>
      </c>
      <c r="G20" s="22" t="inlineStr">
        <is>
          <t>현장 공사팀</t>
        </is>
      </c>
      <c r="H20" s="23" t="inlineStr">
        <is>
          <t>KCS 47 10 25 자재 검수 | KS F 2527 쇄석골재, HDPE 유공관, 부직포(200g/m²) 공인성적서 | 현장 반입 검수 및 승인 통보</t>
        </is>
      </c>
      <c r="I20" s="23" t="inlineStr">
        <is>
          <t>1) KS F 2527 쇄석/유공관 서류 검토 ➔ 2) 공인시험기관 시험성적서 부착 ➔ 3) 자재 승인 신청서 제출 ➔ 4) 자재 반입 검수 및 승인 결재</t>
        </is>
      </c>
      <c r="J20" s="23" t="inlineStr">
        <is>
          <t>KS F 2527 쇄석골재, HDPE 유공관, 투수성 부직포(200g/m²) 공인성적서 및 현장 반입 검수</t>
        </is>
      </c>
      <c r="K20" s="23" t="inlineStr">
        <is>
          <t>KCS 47 10 25 자재 검수 | KS F 2527 쇄석골재, HDPE 유공관, 부직포(200g/m²) 공인성적서 | 현장 반입 검수 및 승인 통보</t>
        </is>
      </c>
      <c r="L20" s="24" t="inlineStr">
        <is>
          <t>표준서 보기 (HTML)</t>
        </is>
      </c>
      <c r="M20" s="23" t="inlineStr">
        <is>
          <t>1) KS F 2527 쇄석/유공관 서류 검토 ➔ 2) 공인시험기관 시험성적서 부착 ➔ 3) 자재 승인 신청서 제출 ➔ 4) 자재 반입 검수 및 승인 결재</t>
        </is>
      </c>
      <c r="N20" s="79" t="inlineStr">
        <is>
          <t>수행지침 보기 (HTML)</t>
        </is>
      </c>
      <c r="O20" s="23" t="inlineStr">
        <is>
          <t>KS F 2527 쇄석골재, HDPE 유공관, 투수성 부직포(200g/m²) 공인성적서 및 현장 반입 검수</t>
        </is>
      </c>
      <c r="P20" s="24" t="inlineStr">
        <is>
          <t>체크리스트 보기 (HTML)</t>
        </is>
      </c>
      <c r="Q20" s="22" t="n"/>
      <c r="R20" s="25" t="inlineStr">
        <is>
          <t>● 다짐 장비 기능 및 안전 상태 검증</t>
        </is>
      </c>
      <c r="S20" s="26" t="inlineStr">
        <is>
          <t>1) 👉 [더블클릭] 체크리스트 열기 📄</t>
        </is>
      </c>
      <c r="T20" s="14" t="n"/>
    </row>
    <row r="21" ht="96" customHeight="1">
      <c r="A21" s="22" t="inlineStr">
        <is>
          <t>9000</t>
        </is>
      </c>
      <c r="B21" s="22" t="inlineStr">
        <is>
          <t>9000-7</t>
        </is>
      </c>
      <c r="C21" s="22" t="inlineStr">
        <is>
          <t>상부강화노반</t>
        </is>
      </c>
      <c r="D21" s="22" t="inlineStr">
        <is>
          <t>9000-7-20</t>
        </is>
      </c>
      <c r="E21" s="22" t="inlineStr">
        <is>
          <t>D+0~10</t>
        </is>
      </c>
      <c r="F21" s="22" t="inlineStr">
        <is>
          <t>선로 종/횡단 및 용지경계측량</t>
        </is>
      </c>
      <c r="G21" s="22" t="inlineStr">
        <is>
          <t>현장 공사팀</t>
        </is>
      </c>
      <c r="H21" s="23" t="inlineStr">
        <is>
          <t>KCS 47 10 25 현장 시험 수칙 | 50m 시험 구간 쇄석 30cm 부설 | 패스별 침하량 실측(침하 정지 Δh ≤ 1mm) 강동 4회 다짐 확정</t>
        </is>
      </c>
      <c r="I21" s="23" t="inlineStr">
        <is>
          <t>1) 50m 시험 다짐 구간 지정 ➔ 2) 쇄석 30cm 두께 포설 ➔ 3) 패스별 침하량(Δh≤1mm) 측정 ➔ 4) 다짐 횟수(강동 4회) 보고서 승인</t>
        </is>
      </c>
      <c r="J21" s="23" t="inlineStr">
        <is>
          <t>50m 시험 구간 쇄석 30cm 포설, 패스별 침하량(Δh ≤ 1mm) 실측 및 강동 4회 다짐 횟수 확정</t>
        </is>
      </c>
      <c r="K21" s="23" t="inlineStr">
        <is>
          <t>KCS 47 10 25 현장 시험 수칙 | 50m 시험 구간 쇄석 30cm 부설 | 패스별 침하량 실측(침하 정지 Δh ≤ 1mm) 강동 4회 다짐 확정</t>
        </is>
      </c>
      <c r="L21" s="24" t="inlineStr">
        <is>
          <t>표준서 보기 (HTML)</t>
        </is>
      </c>
      <c r="M21" s="23" t="inlineStr">
        <is>
          <t>1) 50m 시험 다짐 구간 지정 ➔ 2) 쇄석 30cm 두께 포설 ➔ 3) 패스별 침하량(Δh≤1mm) 측정 ➔ 4) 다짐 횟수(강동 4회) 보고서 승인</t>
        </is>
      </c>
      <c r="N21" s="79" t="inlineStr">
        <is>
          <t>수행지침 보기 (HTML)</t>
        </is>
      </c>
      <c r="O21" s="23" t="inlineStr">
        <is>
          <t>50m 시험 구간 쇄석 30cm 포설, 패스별 침하량(Δh ≤ 1mm) 실측 및 강동 4회 다짐 횟수 확정</t>
        </is>
      </c>
      <c r="P21" s="24" t="inlineStr">
        <is>
          <t>체크리스트 보기 (HTML)</t>
        </is>
      </c>
      <c r="Q21" s="22" t="n"/>
      <c r="R21" s="25" t="inlineStr">
        <is>
          <t>● 선로 측량 정밀도 규격 준수</t>
        </is>
      </c>
      <c r="S21" s="26" t="inlineStr">
        <is>
          <t>1) 👉 [더블클릭] 체크리스트 열기 📄</t>
        </is>
      </c>
      <c r="T21" s="14" t="n"/>
    </row>
    <row r="22" ht="115.2" customHeight="1">
      <c r="A22" s="22" t="inlineStr">
        <is>
          <t>9000</t>
        </is>
      </c>
      <c r="B22" s="22" t="inlineStr">
        <is>
          <t>9000-7</t>
        </is>
      </c>
      <c r="C22" s="22" t="inlineStr">
        <is>
          <t>상부강화노반</t>
        </is>
      </c>
      <c r="D22" s="22" t="inlineStr">
        <is>
          <t>9000-7-21</t>
        </is>
      </c>
      <c r="E22" s="22" t="inlineStr">
        <is>
          <t>D+0~10</t>
        </is>
      </c>
      <c r="F22" s="22" t="inlineStr">
        <is>
          <t>규준틀 설치</t>
        </is>
      </c>
      <c r="G22" s="22" t="inlineStr">
        <is>
          <t>현장 공사팀</t>
        </is>
      </c>
      <c r="H22" s="23" t="inlineStr">
        <is>
          <t>KCS 47 10 25 원지반 규정 | 유기질 표토(15~30cm) 제거 및 전압 다짐 | 원지반 K30 ≥ 70 MN/m³ 시험 &amp; 덤프트럭 펌핑 점검</t>
        </is>
      </c>
      <c r="I22" s="23" t="inlineStr">
        <is>
          <t>1) 표토(15~30cm) 제거 &amp; 정전압 다짐 ➔ 2) 원지반 표고 레벨 측량 ➔ 3) K30(≥70 MN/m³) &amp; 펌핑 검측 ➔ 4) 원지반 검측 성과표 감리 승인</t>
        </is>
      </c>
      <c r="J22" s="23" t="inlineStr">
        <is>
          <t>유기질 표토(15~30cm) 제거전압 다짐, 원지반 K30 ≥ 70 MN/m³ 평판재하 및 덤프 펌핑 점검</t>
        </is>
      </c>
      <c r="K22" s="23" t="inlineStr">
        <is>
          <t>KCS 47 10 25 원지반 규정 | 유기질 표토(15~30cm) 제거 및 전압 다짐 | 원지반 K30 ≥ 70 MN/m³ 시험 &amp; 덤프트럭 펌핑 점검</t>
        </is>
      </c>
      <c r="L22" s="24" t="inlineStr">
        <is>
          <t>표준서 보기 (HTML)</t>
        </is>
      </c>
      <c r="M22" s="23" t="inlineStr">
        <is>
          <t>1) 표토(15~30cm) 제거 &amp; 정전압 다짐 ➔ 2) 원지반 표고 레벨 측량 ➔ 3) K30(≥70 MN/m³) &amp; 펌핑 검측 ➔ 4) 원지반 검측 성과표 감리 승인</t>
        </is>
      </c>
      <c r="N22" s="79" t="inlineStr">
        <is>
          <t>수행지침 보기 (HTML)</t>
        </is>
      </c>
      <c r="O22" s="23" t="inlineStr">
        <is>
          <t>유기질 표토(15~30cm) 제거전압 다짐, 원지반 K30 ≥ 70 MN/m³ 평판재하 및 덤프 펌핑 점검</t>
        </is>
      </c>
      <c r="P22" s="24" t="inlineStr">
        <is>
          <t>체크리스트 보기 (HTML)</t>
        </is>
      </c>
      <c r="Q22" s="22" t="n"/>
      <c r="R22" s="25" t="inlineStr">
        <is>
          <t>● 규준틀 설치 위치 및 간격 한계 기준</t>
        </is>
      </c>
      <c r="S22" s="26" t="inlineStr">
        <is>
          <t>1) 👉 [더블클릭] 체크리스트 열기 📄</t>
        </is>
      </c>
      <c r="T22" s="14" t="n"/>
    </row>
    <row r="23" ht="115.2" customHeight="1">
      <c r="A23" s="22" t="inlineStr">
        <is>
          <t>9000</t>
        </is>
      </c>
      <c r="B23" s="22" t="inlineStr">
        <is>
          <t>9000-7</t>
        </is>
      </c>
      <c r="C23" s="22" t="inlineStr">
        <is>
          <t>상부강화노반</t>
        </is>
      </c>
      <c r="D23" s="22" t="inlineStr">
        <is>
          <t>9000-7-22</t>
        </is>
      </c>
      <c r="E23" s="22" t="inlineStr">
        <is>
          <t>D+10~200</t>
        </is>
      </c>
      <c r="F23" s="22" t="inlineStr">
        <is>
          <t>준비배수</t>
        </is>
      </c>
      <c r="G23" s="22" t="inlineStr">
        <is>
          <t>현장 공사팀</t>
        </is>
      </c>
      <c r="H23" s="23" t="inlineStr">
        <is>
          <t>KCS 47 10 25 하부노반 시방 | 토사 층두께 ≤ 30cm 포설 다짐 | 들밀도 다짐도 ≥ 90% (KS F 2311) &amp; K30 ≥ 90 MN/m³ 검측</t>
        </is>
      </c>
      <c r="I23" s="23" t="inlineStr">
        <is>
          <t>1) 하부노반 30cm 층포설 &amp; 다짐 ➔ 2) 들밀도(≥90%) &amp; K30(≥90) 시험 ➔ 3) 마무리면 레벨 오차(±20mm) 검측 ➔ 4) 하부노반 검측서 감리 승인</t>
        </is>
      </c>
      <c r="J23" s="23" t="inlineStr">
        <is>
          <t>토사 층두께 ≤ 30cm 포설 다짐, 들밀도 다짐도 ≥ 90% (KS F 2311) 및 K30 ≥ 90 MN/m³ 검측</t>
        </is>
      </c>
      <c r="K23" s="23" t="inlineStr">
        <is>
          <t>KCS 47 10 25 하부노반 시방 | 토사 층두께 ≤ 30cm 포설 다짐 | 들밀도 다짐도 ≥ 90% (KS F 2311) &amp; K30 ≥ 90 MN/m³ 검측</t>
        </is>
      </c>
      <c r="L23" s="24" t="inlineStr">
        <is>
          <t>표준서 보기 (HTML)</t>
        </is>
      </c>
      <c r="M23" s="23" t="inlineStr">
        <is>
          <t>1) 하부노반 30cm 층포설 &amp; 다짐 ➔ 2) 들밀도(≥90%) &amp; K30(≥90) 시험 ➔ 3) 마무리면 레벨 오차(±20mm) 검측 ➔ 4) 하부노반 검측서 감리 승인</t>
        </is>
      </c>
      <c r="N23" s="79" t="inlineStr">
        <is>
          <t>수행지침 보기 (HTML)</t>
        </is>
      </c>
      <c r="O23" s="23" t="inlineStr">
        <is>
          <t>토사 층두께 ≤ 30cm 포설 다짐, 들밀도 다짐도 ≥ 90% (KS F 2311) 및 K30 ≥ 90 MN/m³ 검측</t>
        </is>
      </c>
      <c r="P23" s="24" t="inlineStr">
        <is>
          <t>체크리스트 보기 (HTML)</t>
        </is>
      </c>
      <c r="Q23" s="22" t="n"/>
      <c r="R23" s="25" t="inlineStr">
        <is>
          <t>● 지하수 및 지표수 유도 배수 기준</t>
        </is>
      </c>
      <c r="S23" s="26" t="inlineStr">
        <is>
          <t>1) 👉 [더블클릭] 체크리스트 열기 📄</t>
        </is>
      </c>
      <c r="T23" s="14" t="n"/>
    </row>
    <row r="24" ht="115.2" customHeight="1">
      <c r="A24" s="22" t="inlineStr">
        <is>
          <t>9000</t>
        </is>
      </c>
      <c r="B24" s="22" t="inlineStr">
        <is>
          <t>9000-7</t>
        </is>
      </c>
      <c r="C24" s="22" t="inlineStr">
        <is>
          <t>상부강화노반</t>
        </is>
      </c>
      <c r="D24" s="22" t="inlineStr">
        <is>
          <t>9000-7-23</t>
        </is>
      </c>
      <c r="E24" s="22" t="inlineStr">
        <is>
          <t>D+10~25</t>
        </is>
      </c>
      <c r="F24" s="22" t="inlineStr">
        <is>
          <t>벌개제근/표토제거</t>
        </is>
      </c>
      <c r="G24" s="22" t="inlineStr">
        <is>
          <t>현장 공사팀</t>
        </is>
      </c>
      <c r="H24" s="23" t="inlineStr">
        <is>
          <t>KCS 47 10 25 상부노반 시방 | 토사 30cm 포설 다짐 | 맹암거 투수성 부직포(200g/m²) &amp; HDPE 유공관(Ø200mm) 매몰 검측</t>
        </is>
      </c>
      <c r="I24" s="23" t="inlineStr">
        <is>
          <t>1) 상부노반 토사 30cm 포설 ➔ 2) 맹암거 부직포(200g/m²) 부설 ➔ 3) HDPE 유공관(Ø200mm) 종단 연결 ➔ 4) 상부노반 시공 감리 서면 승인</t>
        </is>
      </c>
      <c r="J24" s="23" t="inlineStr">
        <is>
          <t>상부노반 토사 30cm 포설, 맹암거 투수성 부직포(200g/m²) 및 HDPE 유공관(Ø200mm) 매몰 검측</t>
        </is>
      </c>
      <c r="K24" s="23" t="inlineStr">
        <is>
          <t>KCS 47 10 25 상부노반 시방 | 토사 30cm 포설 다짐 | 맹암거 투수성 부직포(200g/m²) &amp; HDPE 유공관(Ø200mm) 매몰 검측</t>
        </is>
      </c>
      <c r="L24" s="24" t="inlineStr">
        <is>
          <t>표준서 보기 (HTML)</t>
        </is>
      </c>
      <c r="M24" s="23" t="inlineStr">
        <is>
          <t>1) 상부노반 토사 30cm 포설 ➔ 2) 맹암거 부직포(200g/m²) 부설 ➔ 3) HDPE 유공관(Ø200mm) 종단 연결 ➔ 4) 상부노반 시공 감리 서면 승인</t>
        </is>
      </c>
      <c r="N24" s="79" t="inlineStr">
        <is>
          <t>수행지침 보기 (HTML)</t>
        </is>
      </c>
      <c r="O24" s="23" t="inlineStr">
        <is>
          <t>상부노반 토사 30cm 포설, 맹암거 투수성 부직포(200g/m²) 및 HDPE 유공관(Ø200mm) 매몰 검측</t>
        </is>
      </c>
      <c r="P24" s="24" t="inlineStr">
        <is>
          <t>체크리스트 보기 (HTML)</t>
        </is>
      </c>
      <c r="Q24" s="22" t="n"/>
      <c r="R24" s="25" t="inlineStr">
        <is>
          <t>● 제거 대상 잔재물 처리 기준</t>
        </is>
      </c>
      <c r="S24" s="26" t="inlineStr">
        <is>
          <t>1) 👉 [더블클릭] 체크리스트 열기 📄</t>
        </is>
      </c>
      <c r="T24" s="14" t="n"/>
    </row>
    <row r="25" ht="115.2" customHeight="1">
      <c r="A25" s="22" t="inlineStr">
        <is>
          <t>9000</t>
        </is>
      </c>
      <c r="B25" s="22" t="inlineStr">
        <is>
          <t>9000-7</t>
        </is>
      </c>
      <c r="C25" s="22" t="inlineStr">
        <is>
          <t>상부강화노반</t>
        </is>
      </c>
      <c r="D25" s="22" t="inlineStr">
        <is>
          <t>9000-7-24</t>
        </is>
      </c>
      <c r="E25" s="22" t="inlineStr">
        <is>
          <t>D+10~30</t>
        </is>
      </c>
      <c r="F25" s="22" t="inlineStr">
        <is>
          <t>구조물 및 지장물 제거</t>
        </is>
      </c>
      <c r="G25" s="22" t="inlineStr">
        <is>
          <t>현장 공사팀</t>
        </is>
      </c>
      <c r="H25" s="23" t="inlineStr">
        <is>
          <t>KCS 47 10 25 강화노반 쇄석 시방 | 3D GPS 쇄석(50mm) 30cm 포설 | 최적함수비 OMC 살수 &amp; 강동 4회/타이어 2회 다짐 (표고 오차 ±10mm)</t>
        </is>
      </c>
      <c r="I25" s="23" t="inlineStr">
        <is>
          <t>1) 3D GPS 모터그레이더 쇄석(50mm) 30cm 포설 ➔ 2) 살수차 최적함수비 OMC 살수 ➔ 3) 강동 4회 + 타이어 2회 다짐 ➔ 4) 표고 오차(±10mm) 검측 감리 승인</t>
        </is>
      </c>
      <c r="J25" s="23" t="inlineStr">
        <is>
          <t>3D GPS 쇄석(50mm) 30cm 포설, OMC 분무 살수 및 강동 4회/타이어 2회 다짐 (표고 오차 ±10mm)</t>
        </is>
      </c>
      <c r="K25" s="23" t="inlineStr">
        <is>
          <t>KCS 47 10 25 강화노반 쇄석 시방 | 3D GPS 쇄석(50mm) 30cm 포설 | 최적함수비 OMC 살수 &amp; 강동 4회/타이어 2회 다짐 (표고 오차 ±10mm)</t>
        </is>
      </c>
      <c r="L25" s="24" t="inlineStr">
        <is>
          <t>표준서 보기 (HTML)</t>
        </is>
      </c>
      <c r="M25" s="23" t="inlineStr">
        <is>
          <t>1) 3D GPS 모터그레이더 쇄석(50mm) 30cm 포설 ➔ 2) 살수차 최적함수비 OMC 살수 ➔ 3) 강동 4회 + 타이어 2회 다짐 ➔ 4) 표고 오차(±10mm) 검측 감리 승인</t>
        </is>
      </c>
      <c r="N25" s="79" t="inlineStr">
        <is>
          <t>수행지침 보기 (HTML)</t>
        </is>
      </c>
      <c r="O25" s="23" t="inlineStr">
        <is>
          <t>3D GPS 쇄석(50mm) 30cm 포설, OMC 분무 살수 및 강동 4회/타이어 2회 다짐 (표고 오차 ±10mm)</t>
        </is>
      </c>
      <c r="P25" s="24" t="inlineStr">
        <is>
          <t>체크리스트 보기 (HTML)</t>
        </is>
      </c>
      <c r="Q25" s="22" t="n"/>
      <c r="R25" s="25" t="inlineStr">
        <is>
          <t>● 지장물 철거 및 처리 규정 준수</t>
        </is>
      </c>
      <c r="S25" s="26" t="inlineStr">
        <is>
          <t>1) 👉 [더블클릭] 체크리스트 열기 📄</t>
        </is>
      </c>
      <c r="T25" s="14" t="n"/>
    </row>
    <row r="26" ht="115.2" customHeight="1">
      <c r="A26" s="22" t="inlineStr">
        <is>
          <t>9000</t>
        </is>
      </c>
      <c r="B26" s="22" t="inlineStr">
        <is>
          <t>9000-7</t>
        </is>
      </c>
      <c r="C26" s="22" t="inlineStr">
        <is>
          <t>상부강화노반</t>
        </is>
      </c>
      <c r="D26" s="22" t="inlineStr">
        <is>
          <t>9000-7-25</t>
        </is>
      </c>
      <c r="E26" s="22" t="inlineStr">
        <is>
          <t>D+10~30</t>
        </is>
      </c>
      <c r="F26" s="22" t="inlineStr">
        <is>
          <t>진입로 조성</t>
        </is>
      </c>
      <c r="G26" s="22" t="inlineStr">
        <is>
          <t>현장 공사팀</t>
        </is>
      </c>
      <c r="H26" s="23" t="inlineStr">
        <is>
          <t>KCS 47 10 25 다짐 검측 수칙 | 노반 들밀도 다짐도 ≥ 95% | K30 ≥ 110 MN/m³ &amp; 동적변형계수 Ev2 ≥ 60 MPa (Ev2/Ev1 ≤ 2.2) 검측</t>
        </is>
      </c>
      <c r="I26" s="23" t="inlineStr">
        <is>
          <t>1) 들밀도 시험(다짐도 ≥ 95%) ➔ 2) K30 평판재하시험(≥ 110 MN/m³) ➔ 3) 동적변형계수 Ev2(≥ 60 MPa) 시험 ➔ 4) 다짐 검측 종합 보고서 승인</t>
        </is>
      </c>
      <c r="J26" s="23" t="inlineStr">
        <is>
          <t>노반 들밀도 다짐도 ≥ 95%, 평판재하 K30 ≥ 110 MN/m³ 및 동적변형계수 Ev2 ≥ 60 MPa (Ev2/Ev1 ≤ 2.2)</t>
        </is>
      </c>
      <c r="K26" s="23" t="inlineStr">
        <is>
          <t>KCS 47 10 25 다짐 검측 수칙 | 노반 들밀도 다짐도 ≥ 95% | K30 ≥ 110 MN/m³ &amp; 동적변형계수 Ev2 ≥ 60 MPa (Ev2/Ev1 ≤ 2.2) 검측</t>
        </is>
      </c>
      <c r="L26" s="24" t="inlineStr">
        <is>
          <t>표준서 보기 (HTML)</t>
        </is>
      </c>
      <c r="M26" s="23" t="inlineStr">
        <is>
          <t>1) 들밀도 시험(다짐도 ≥ 95%) ➔ 2) K30 평판재하시험(≥ 110 MN/m³) ➔ 3) 동적변형계수 Ev2(≥ 60 MPa) 시험 ➔ 4) 다짐 검측 종합 보고서 승인</t>
        </is>
      </c>
      <c r="N26" s="79" t="inlineStr">
        <is>
          <t>수행지침 보기 (HTML)</t>
        </is>
      </c>
      <c r="O26" s="23" t="inlineStr">
        <is>
          <t>노반 들밀도 다짐도 ≥ 95%, 평판재하 K30 ≥ 110 MN/m³ 및 동적변형계수 Ev2 ≥ 60 MPa (Ev2/Ev1 ≤ 2.2)</t>
        </is>
      </c>
      <c r="P26" s="24" t="inlineStr">
        <is>
          <t>체크리스트 보기 (HTML)</t>
        </is>
      </c>
      <c r="Q26" s="22" t="n"/>
      <c r="R26" s="25" t="inlineStr">
        <is>
          <t>● 가설 도로 시공 규격 및 배수 조건 준수</t>
        </is>
      </c>
      <c r="S26" s="26" t="inlineStr">
        <is>
          <t>1) 👉 [더블클릭] 체크리스트 열기 📄</t>
        </is>
      </c>
      <c r="T26" s="14" t="n"/>
    </row>
    <row r="27" ht="115.2" customHeight="1">
      <c r="A27" s="22" t="inlineStr">
        <is>
          <t>9000</t>
        </is>
      </c>
      <c r="B27" s="22" t="inlineStr">
        <is>
          <t>9000-7</t>
        </is>
      </c>
      <c r="C27" s="22" t="inlineStr">
        <is>
          <t>상부강화노반</t>
        </is>
      </c>
      <c r="D27" s="22" t="inlineStr">
        <is>
          <t>9000-7-26</t>
        </is>
      </c>
      <c r="E27" s="22" t="inlineStr">
        <is>
          <t>D+10~180</t>
        </is>
      </c>
      <c r="F27" s="22" t="inlineStr">
        <is>
          <t>노반쌓기</t>
        </is>
      </c>
      <c r="G27" s="22" t="inlineStr">
        <is>
          <t>현장 공사팀</t>
        </is>
      </c>
      <c r="H27" s="23" t="inlineStr">
        <is>
          <t>KS F 2310 규정 준수 | Ø300mm 재하판 산모래 밀착 및 15t 유압 잭 하중 재하 | 1.25mm 침하 P-S 곡선 산출 K30 ≥ 110 MN/m³ 성적서</t>
        </is>
      </c>
      <c r="I27" s="23" t="inlineStr">
        <is>
          <t>1) Ø300mm 재하판 산모래 밀착 ➔ 2) 15t 유압 잭 &amp; 다이얼 게이지 교정 ➔ 3) 1.25mm 침하 P-S 곡선 산출 ➔ 4) K30 ≥ 110 MN/m³ 성적서 승인</t>
        </is>
      </c>
      <c r="J27" s="23" t="inlineStr">
        <is>
          <t>Ø300mm 재하판 산모래 밀착, 15t 유압 잭 재하 및 1.25mm 침하 P-S 곡선 K30 ≥ 110 MN/m³ 성적서</t>
        </is>
      </c>
      <c r="K27" s="23" t="inlineStr">
        <is>
          <t>KS F 2310 규정 준수 | Ø300mm 재하판 산모래 밀착 및 15t 유압 잭 하중 재하 | 1.25mm 침하 P-S 곡선 산출 K30 ≥ 110 MN/m³ 성적서</t>
        </is>
      </c>
      <c r="L27" s="24" t="inlineStr">
        <is>
          <t>표준서 보기 (HTML)</t>
        </is>
      </c>
      <c r="M27" s="23" t="inlineStr">
        <is>
          <t>1) Ø300mm 재하판 산모래 밀착 ➔ 2) 15t 유압 잭 &amp; 다이얼 게이지 교정 ➔ 3) 1.25mm 침하 P-S 곡선 산출 ➔ 4) K30 ≥ 110 MN/m³ 성적서 승인</t>
        </is>
      </c>
      <c r="N27" s="79" t="inlineStr">
        <is>
          <t>수행지침 보기 (HTML)</t>
        </is>
      </c>
      <c r="O27" s="23" t="inlineStr">
        <is>
          <t>Ø300mm 재하판 산모래 밀착, 15t 유압 잭 재하 및 1.25mm 침하 P-S 곡선 K30 ≥ 110 MN/m³ 성적서</t>
        </is>
      </c>
      <c r="P27" s="24" t="inlineStr">
        <is>
          <t>체크리스트 보기 (HTML)</t>
        </is>
      </c>
      <c r="Q27" s="22" t="n"/>
      <c r="R27" s="25" t="inlineStr">
        <is>
          <t>● 다짐도 및 층두께 규격 준수</t>
        </is>
      </c>
      <c r="S27" s="26" t="inlineStr">
        <is>
          <t>1) 👉 [더블클릭] 체크리스트 열기 📄</t>
        </is>
      </c>
      <c r="T27" s="14" t="n"/>
    </row>
    <row r="28" ht="115.2" customHeight="1">
      <c r="A28" s="22" t="inlineStr">
        <is>
          <t>9000</t>
        </is>
      </c>
      <c r="B28" s="22" t="inlineStr">
        <is>
          <t>9000-7</t>
        </is>
      </c>
      <c r="C28" s="22" t="inlineStr">
        <is>
          <t>상부강화노반</t>
        </is>
      </c>
      <c r="D28" s="22" t="inlineStr">
        <is>
          <t>9000-7-27</t>
        </is>
      </c>
      <c r="E28" s="22" t="inlineStr">
        <is>
          <t>D+10~180</t>
        </is>
      </c>
      <c r="F28" s="22" t="inlineStr">
        <is>
          <t>하부노반 시공</t>
        </is>
      </c>
      <c r="G28" s="22" t="inlineStr">
        <is>
          <t>현장 공사팀</t>
        </is>
      </c>
      <c r="H28" s="23" t="inlineStr">
        <is>
          <t>DIN 18134 규정 준수 | LWD 동적 평판재하시험 1,000m²당 1회 | 2차 변형계수 Ev2 ≥ 60 MPa &amp; 변형계수 비율 Ev2/Ev1 ≤ 2.2 검측</t>
        </is>
      </c>
      <c r="I28" s="23" t="inlineStr">
        <is>
          <t>1) LWD 동적 평판재하시험기 교정 ➔ 2) 1,000m²당 1회 무작위 시험 ➔ 3) 1차/2차 하중 재하 Ev2/Ev1 산출 ➔ 4) Ev2 ≥ 60 MPa 성적서 감리 승인</t>
        </is>
      </c>
      <c r="J28" s="23" t="inlineStr">
        <is>
          <t>LWD 동적 평판재하시험 1,000m²당 1회, 2차 변형계수 Ev2 ≥ 60 MPa 및 비율 Ev2/Ev1 ≤ 2.2 검측</t>
        </is>
      </c>
      <c r="K28" s="23" t="inlineStr">
        <is>
          <t>DIN 18134 규정 준수 | LWD 동적 평판재하시험 1,000m²당 1회 | 2차 변형계수 Ev2 ≥ 60 MPa &amp; 변형계수 비율 Ev2/Ev1 ≤ 2.2 검측</t>
        </is>
      </c>
      <c r="L28" s="24" t="inlineStr">
        <is>
          <t>표준서 보기 (HTML)</t>
        </is>
      </c>
      <c r="M28" s="23" t="inlineStr">
        <is>
          <t>1) LWD 동적 평판재하시험기 교정 ➔ 2) 1,000m²당 1회 무작위 시험 ➔ 3) 1차/2차 하중 재하 Ev2/Ev1 산출 ➔ 4) Ev2 ≥ 60 MPa 성적서 감리 승인</t>
        </is>
      </c>
      <c r="N28" s="79" t="inlineStr">
        <is>
          <t>수행지침 보기 (HTML)</t>
        </is>
      </c>
      <c r="O28" s="23" t="inlineStr">
        <is>
          <t>LWD 동적 평판재하시험 1,000m²당 1회, 2차 변형계수 Ev2 ≥ 60 MPa 및 비율 Ev2/Ev1 ≤ 2.2 검측</t>
        </is>
      </c>
      <c r="P28" s="24" t="inlineStr">
        <is>
          <t>체크리스트 보기 (HTML)</t>
        </is>
      </c>
      <c r="Q28" s="22" t="n"/>
      <c r="R28" s="25" t="inlineStr">
        <is>
          <t>● 하부노반 재료 규격 및 최대 입경 준수</t>
        </is>
      </c>
      <c r="S28" s="26" t="inlineStr">
        <is>
          <t>1) 👉 [더블클릭] 체크리스트 열기 📄</t>
        </is>
      </c>
      <c r="T28" s="14" t="n"/>
    </row>
    <row r="29" ht="115.2" customHeight="1">
      <c r="A29" s="22" t="inlineStr">
        <is>
          <t>9000</t>
        </is>
      </c>
      <c r="B29" s="22" t="inlineStr">
        <is>
          <t>9000-7</t>
        </is>
      </c>
      <c r="C29" s="22" t="inlineStr">
        <is>
          <t>상부강화노반</t>
        </is>
      </c>
      <c r="D29" s="22" t="inlineStr">
        <is>
          <t>9000-7-28</t>
        </is>
      </c>
      <c r="E29" s="22" t="inlineStr">
        <is>
          <t>D+10~180</t>
        </is>
      </c>
      <c r="F29" s="22" t="inlineStr">
        <is>
          <t>상부노반 시공</t>
        </is>
      </c>
      <c r="G29" s="22" t="inlineStr">
        <is>
          <t>현장 공사팀</t>
        </is>
      </c>
      <c r="H29" s="23" t="inlineStr">
        <is>
          <t>KCS 47 10 25 평탄성 수칙 | 3m 알루미늄 직선자 20m 간격 연속 측정 | 최대 갭 오차 ±10mm 이내 통제 &amp; 요철 부위 삭평 재다짐</t>
        </is>
      </c>
      <c r="I29" s="23" t="inlineStr">
        <is>
          <t>1) 3m 알루미늄 직선자 교정 ➔ 2) 20m 간격 종횡단 연속 검측 ➔ 3) 갭 오차(±10mm) 요철 삭평/재다짐 ➔ 4) 평탄성 검측 성과표 감리 승인</t>
        </is>
      </c>
      <c r="J29" s="23" t="inlineStr">
        <is>
          <t>3m 알루미늄 직선자 20m 간격 연속 측정, 최대 갭 오차 ±10mm 이내 통제 및 요철 삭평/재다짐</t>
        </is>
      </c>
      <c r="K29" s="23" t="inlineStr">
        <is>
          <t>KCS 47 10 25 평탄성 수칙 | 3m 알루미늄 직선자 20m 간격 연속 측정 | 최대 갭 오차 ±10mm 이내 통제 &amp; 요철 부위 삭평 재다짐</t>
        </is>
      </c>
      <c r="L29" s="24" t="inlineStr">
        <is>
          <t>표준서 보기 (HTML)</t>
        </is>
      </c>
      <c r="M29" s="23" t="inlineStr">
        <is>
          <t>1) 3m 알루미늄 직선자 교정 ➔ 2) 20m 간격 종횡단 연속 검측 ➔ 3) 갭 오차(±10mm) 요철 삭평/재다짐 ➔ 4) 평탄성 검측 성과표 감리 승인</t>
        </is>
      </c>
      <c r="N29" s="79" t="inlineStr">
        <is>
          <t>수행지침 보기 (HTML)</t>
        </is>
      </c>
      <c r="O29" s="23" t="inlineStr">
        <is>
          <t>3m 알루미늄 직선자 20m 간격 연속 측정, 최대 갭 오차 ±10mm 이내 통제 및 요철 삭평/재다짐</t>
        </is>
      </c>
      <c r="P29" s="24" t="inlineStr">
        <is>
          <t>체크리스트 보기 (HTML)</t>
        </is>
      </c>
      <c r="Q29" s="22" t="n"/>
      <c r="R29" s="25" t="inlineStr">
        <is>
          <t>● 상부노반 재료 규격 및 다짐 기준 만족</t>
        </is>
      </c>
      <c r="S29" s="26" t="inlineStr">
        <is>
          <t>1) 👉 [더블클릭] 체크리스트 열기 📄</t>
        </is>
      </c>
      <c r="T29" s="14" t="n"/>
    </row>
    <row r="30" ht="115.2" customHeight="1">
      <c r="A30" s="22" t="inlineStr">
        <is>
          <t>9000</t>
        </is>
      </c>
      <c r="B30" s="22" t="inlineStr">
        <is>
          <t>9000-7</t>
        </is>
      </c>
      <c r="C30" s="22" t="inlineStr">
        <is>
          <t>상부강화노반</t>
        </is>
      </c>
      <c r="D30" s="22" t="inlineStr">
        <is>
          <t>9000-7-29</t>
        </is>
      </c>
      <c r="E30" s="22" t="inlineStr">
        <is>
          <t>D+10~180</t>
        </is>
      </c>
      <c r="F30" s="22" t="inlineStr">
        <is>
          <t>강화노반 시공</t>
        </is>
      </c>
      <c r="G30" s="22" t="inlineStr">
        <is>
          <t>현장 공사팀</t>
        </is>
      </c>
      <c r="H30" s="23" t="inlineStr">
        <is>
          <t>KCS 47 10 25 측량 지침 | GRS80 광학 토탈스테이션 10m 간격 연속 측량 | 중심선(X,Y) 및 표고(Z) 오차 ±10mm 3D BIM 검측</t>
        </is>
      </c>
      <c r="I30" s="23" t="inlineStr">
        <is>
          <t>1) GRS80 토탈스테이션 정밀 세팅 ➔ 2) 10m 간격 중심선 &amp; 표고 실측 ➔ 3) 3D BIM CAD 좌표(오차 ±10mm) 대조 ➔ 4) 종횡단 성과표 감리 승인</t>
        </is>
      </c>
      <c r="J30" s="23" t="inlineStr">
        <is>
          <t>GRS80 광학 토탈스테이션 10m 간격 측정, 궤도 중심선(X,Y) 및 표고(Z) 오차 ±10mm 3D BIM 검측</t>
        </is>
      </c>
      <c r="K30" s="23" t="inlineStr">
        <is>
          <t>KCS 47 10 25 측량 지침 | GRS80 광학 토탈스테이션 10m 간격 연속 측량 | 중심선(X,Y) 및 표고(Z) 오차 ±10mm 3D BIM 검측</t>
        </is>
      </c>
      <c r="L30" s="24" t="inlineStr">
        <is>
          <t>표준서 보기 (HTML)</t>
        </is>
      </c>
      <c r="M30" s="23" t="inlineStr">
        <is>
          <t>1) GRS80 토탈스테이션 정밀 세팅 ➔ 2) 10m 간격 중심선 &amp; 표고 실측 ➔ 3) 3D BIM CAD 좌표(오차 ±10mm) 대조 ➔ 4) 종횡단 성과표 감리 승인</t>
        </is>
      </c>
      <c r="N30" s="79" t="inlineStr">
        <is>
          <t>수행지침 보기 (HTML)</t>
        </is>
      </c>
      <c r="O30" s="23" t="inlineStr">
        <is>
          <t>GRS80 광학 토탈스테이션 10m 간격 측정, 궤도 중심선(X,Y) 및 표고(Z) 오차 ±10mm 3D BIM 검측</t>
        </is>
      </c>
      <c r="P30" s="24" t="inlineStr">
        <is>
          <t>체크리스트 보기 (HTML)</t>
        </is>
      </c>
      <c r="Q30" s="22" t="n"/>
      <c r="R30" s="25" t="inlineStr">
        <is>
          <t>● 입도조정 쇄석 품질 및 다짐도(98% 이상) 준수</t>
        </is>
      </c>
      <c r="S30" s="26" t="inlineStr">
        <is>
          <t>1) 👉 [더블클릭] 체크리스트 열기 📄</t>
        </is>
      </c>
      <c r="T30" s="14" t="n"/>
    </row>
    <row r="31" ht="115.2" customHeight="1">
      <c r="A31" s="22" t="inlineStr">
        <is>
          <t>9000</t>
        </is>
      </c>
      <c r="B31" s="22" t="inlineStr">
        <is>
          <t>9000-7</t>
        </is>
      </c>
      <c r="C31" s="22" t="inlineStr">
        <is>
          <t>상부강화노반</t>
        </is>
      </c>
      <c r="D31" s="22" t="inlineStr">
        <is>
          <t>9000-7-30</t>
        </is>
      </c>
      <c r="E31" s="22" t="inlineStr">
        <is>
          <t>D+45~180</t>
        </is>
      </c>
      <c r="F31" s="22" t="inlineStr">
        <is>
          <t>토공 유동운반/사토</t>
        </is>
      </c>
      <c r="G31" s="22" t="inlineStr">
        <is>
          <t>현장 공사팀</t>
        </is>
      </c>
      <c r="H31" s="23" t="inlineStr">
        <is>
          <t>건진법 NCR 조치 절차 | 감리단 부적합 통지서 수령 후 표면 15cm 파쇄 | OMC 살수 재다짐 및 1:1 재검측 NCR 서면 종결 승인</t>
        </is>
      </c>
      <c r="I31" s="23" t="inlineStr">
        <is>
          <t>1) 감리단 NCR 통지서 수령 ➔ 2) 해당 구역 표면 15cm 파쇄 &amp; OMC 재다짐 ➔ 3) 1:1 재검측(다짐도/K30/Ev2) ➔ 4) NCR 조치 결과 보고서 감리 종결 승인</t>
        </is>
      </c>
      <c r="J31" s="23" t="inlineStr">
        <is>
          <t>감리단 부적합(NCR) 수령 후 해당 구역 표면 15cm 파쇄, OMC 살수 재다짐 및 1:1 재검측 서면 종결</t>
        </is>
      </c>
      <c r="K31" s="23" t="inlineStr">
        <is>
          <t>건진법 NCR 조치 절차 | 감리단 부적합 통지서 수령 후 표면 15cm 파쇄 | OMC 살수 재다짐 및 1:1 재검측 NCR 서면 종결 승인</t>
        </is>
      </c>
      <c r="L31" s="24" t="inlineStr">
        <is>
          <t>표준서 보기 (HTML)</t>
        </is>
      </c>
      <c r="M31" s="23" t="inlineStr">
        <is>
          <t>1) 감리단 NCR 통지서 수령 ➔ 2) 해당 구역 표면 15cm 파쇄 &amp; OMC 재다짐 ➔ 3) 1:1 재검측(다짐도/K30/Ev2) ➔ 4) NCR 조치 결과 보고서 감리 종결 승인</t>
        </is>
      </c>
      <c r="N31" s="79" t="inlineStr">
        <is>
          <t>수행지침 보기 (HTML)</t>
        </is>
      </c>
      <c r="O31" s="23" t="inlineStr">
        <is>
          <t>감리단 부적합(NCR) 수령 후 해당 구역 표면 15cm 파쇄, OMC 살수 재다짐 및 1:1 재검측 서면 종결</t>
        </is>
      </c>
      <c r="P31" s="24" t="inlineStr">
        <is>
          <t>체크리스트 보기 (HTML)</t>
        </is>
      </c>
      <c r="Q31" s="22" t="n"/>
      <c r="R31" s="25" t="inlineStr">
        <is>
          <t>● 사토장 운영 및 토량 배분 지침 준수</t>
        </is>
      </c>
      <c r="S31" s="26" t="inlineStr">
        <is>
          <t>1) 👉 [더블클릭] 체크리스트 열기 📄</t>
        </is>
      </c>
      <c r="T31" s="14" t="n"/>
    </row>
    <row r="32" ht="115.2" customHeight="1">
      <c r="A32" s="22" t="inlineStr">
        <is>
          <t>9000</t>
        </is>
      </c>
      <c r="B32" s="22" t="inlineStr">
        <is>
          <t>9000-7</t>
        </is>
      </c>
      <c r="C32" s="22" t="inlineStr">
        <is>
          <t>상부강화노반</t>
        </is>
      </c>
      <c r="D32" s="22" t="inlineStr">
        <is>
          <t>9000-7-31</t>
        </is>
      </c>
      <c r="E32" s="22" t="inlineStr">
        <is>
          <t>D+45~240</t>
        </is>
      </c>
      <c r="F32" s="22" t="inlineStr">
        <is>
          <t>연약지반처리(필요시)</t>
        </is>
      </c>
      <c r="G32" s="22" t="inlineStr">
        <is>
          <t>현장 공사팀</t>
        </is>
      </c>
      <c r="H32" s="23" t="inlineStr">
        <is>
          <t>KCS 47 10 25 성토 사면 수칙 | 사면 비탈면 경사(1:1.5 이하) 측량 | 사면 다짐도 ≥ 90% 검측 &amp; 식생 거적 덮개(Jute Mat) 부설</t>
        </is>
      </c>
      <c r="I32" s="23" t="inlineStr">
        <is>
          <t>1) 성토 사면 경사(1:1.5 이하) 측량 ➔ 2) 사면 다짐도(≥ 90%) 검측 ➔ 3) 식생 거적(Jute Mat) 30cm 겹침 부설 ➔ 4) 사면 다짐 성과표 감리 승인</t>
        </is>
      </c>
      <c r="J32" s="23" t="inlineStr">
        <is>
          <t>성토 사면 비탈면 경사(1:1.5 이하) 측량, 사면 다짐도 ≥ 90% 검측 및 식생 거적(Jute Mat) 부설</t>
        </is>
      </c>
      <c r="K32" s="23" t="inlineStr">
        <is>
          <t>KCS 47 10 25 성토 사면 수칙 | 사면 비탈면 경사(1:1.5 이하) 측량 | 사면 다짐도 ≥ 90% 검측 &amp; 식생 거적 덮개(Jute Mat) 부설</t>
        </is>
      </c>
      <c r="L32" s="24" t="inlineStr">
        <is>
          <t>표준서 보기 (HTML)</t>
        </is>
      </c>
      <c r="M32" s="23" t="inlineStr">
        <is>
          <t>1) 성토 사면 경사(1:1.5 이하) 측량 ➔ 2) 사면 다짐도(≥ 90%) 검측 ➔ 3) 식생 거적(Jute Mat) 30cm 겹침 부설 ➔ 4) 사면 다짐 성과표 감리 승인</t>
        </is>
      </c>
      <c r="N32" s="79" t="inlineStr">
        <is>
          <t>수행지침 보기 (HTML)</t>
        </is>
      </c>
      <c r="O32" s="23" t="inlineStr">
        <is>
          <t>성토 사면 비탈면 경사(1:1.5 이하) 측량, 사면 다짐도 ≥ 90% 검측 및 식생 거적(Jute Mat) 부설</t>
        </is>
      </c>
      <c r="P32" s="24" t="inlineStr">
        <is>
          <t>체크리스트 보기 (HTML)</t>
        </is>
      </c>
      <c r="Q32" s="22" t="n"/>
      <c r="R32" s="25" t="inlineStr">
        <is>
          <t>● 개량 공법 규격 및 침하량 관리 기준 준수</t>
        </is>
      </c>
      <c r="S32" s="26" t="inlineStr">
        <is>
          <t>1) 👉 [더블클릭] 체크리스트 열기 📄</t>
        </is>
      </c>
      <c r="T32" s="14" t="n"/>
    </row>
    <row r="33" ht="115.2" customHeight="1">
      <c r="A33" s="22" t="inlineStr">
        <is>
          <t>9000</t>
        </is>
      </c>
      <c r="B33" s="22" t="inlineStr">
        <is>
          <t>9000-7</t>
        </is>
      </c>
      <c r="C33" s="22" t="inlineStr">
        <is>
          <t>상부강화노반</t>
        </is>
      </c>
      <c r="D33" s="22" t="inlineStr">
        <is>
          <t>9000-7-32</t>
        </is>
      </c>
      <c r="E33" s="22" t="inlineStr">
        <is>
          <t>D+45~180</t>
        </is>
      </c>
      <c r="F33" s="22" t="inlineStr">
        <is>
          <t>절성토경계부 배수구조물(맹암거) 시공</t>
        </is>
      </c>
      <c r="G33" s="22" t="inlineStr">
        <is>
          <t>현장 공사팀</t>
        </is>
      </c>
      <c r="H33" s="23" t="inlineStr">
        <is>
          <t>KCS 47 10 25 노반 배수 시방 | U형 측구(0.4×0.4m, 버림 10cm) 부설 | 집수정 인버트 모타르 사춤, 주철 그레이팅 체결 &amp; 담수 시험</t>
        </is>
      </c>
      <c r="I33" s="23" t="inlineStr">
        <is>
          <t>1) U형 측구 기초 버림(10cm) 타설 ➔ 2) U형 측구(0.4×0.4m) 부설 &amp; 인버트 사춤 ➔ 3) 주철 그레이팅 체결 &amp; 담수 시험 ➔ 4) 배수시설 검측서 감리 승인</t>
        </is>
      </c>
      <c r="J33" s="23" t="inlineStr">
        <is>
          <t>U형 측구(0.4×0.4m, 버림 10cm) 부설, 집수정 인버트 모타르 사춤 및 주철 그레이팅 체결/담수 시험</t>
        </is>
      </c>
      <c r="K33" s="23" t="inlineStr">
        <is>
          <t>KCS 47 10 25 노반 배수 시방 | U형 측구(0.4×0.4m, 버림 10cm) 부설 | 집수정 인버트 모타르 사춤, 주철 그레이팅 체결 &amp; 담수 시험</t>
        </is>
      </c>
      <c r="L33" s="24" t="inlineStr">
        <is>
          <t>표준서 보기 (HTML)</t>
        </is>
      </c>
      <c r="M33" s="23" t="inlineStr">
        <is>
          <t>1) U형 측구 기초 버림(10cm) 타설 ➔ 2) U형 측구(0.4×0.4m) 부설 &amp; 인버트 사춤 ➔ 3) 주철 그레이팅 체결 &amp; 담수 시험 ➔ 4) 배수시설 검측서 감리 승인</t>
        </is>
      </c>
      <c r="N33" s="79" t="inlineStr">
        <is>
          <t>수행지침 보기 (HTML)</t>
        </is>
      </c>
      <c r="O33" s="23" t="inlineStr">
        <is>
          <t>U형 측구(0.4×0.4m, 버림 10cm) 부설, 집수정 인버트 모타르 사춤 및 주철 그레이팅 체결/담수 시험</t>
        </is>
      </c>
      <c r="P33" s="24" t="inlineStr">
        <is>
          <t>체크리스트 보기 (HTML)</t>
        </is>
      </c>
      <c r="Q33" s="22" t="n"/>
      <c r="R33" s="25" t="inlineStr">
        <is>
          <t>● 맹암거 구배 및 필터재료 규격 준수</t>
        </is>
      </c>
      <c r="S33" s="26" t="inlineStr">
        <is>
          <t>1) 👉 [더블클릭] 체크리스트 열기 📄</t>
        </is>
      </c>
      <c r="T33" s="14" t="n"/>
    </row>
    <row r="34" ht="115.2" customHeight="1">
      <c r="A34" s="22" t="inlineStr">
        <is>
          <t>9000</t>
        </is>
      </c>
      <c r="B34" s="22" t="inlineStr">
        <is>
          <t>9000-7</t>
        </is>
      </c>
      <c r="C34" s="22" t="inlineStr">
        <is>
          <t>상부강화노반</t>
        </is>
      </c>
      <c r="D34" s="22" t="inlineStr">
        <is>
          <t>9000-7-33</t>
        </is>
      </c>
      <c r="E34" s="22" t="inlineStr">
        <is>
          <t>D+45~180</t>
        </is>
      </c>
      <c r="F34" s="22" t="inlineStr">
        <is>
          <t>암석쌓기</t>
        </is>
      </c>
      <c r="G34" s="22" t="inlineStr">
        <is>
          <t>현장 공사팀</t>
        </is>
      </c>
      <c r="H34" s="23" t="inlineStr">
        <is>
          <t>KCS 47 10 25 완성면 관리 규정 | 통제 바리케이트(중장비 진입 100% 차단) | 미세 분무 살수(골재이탈 예방) &amp; 완성면 보호 대장 작성</t>
        </is>
      </c>
      <c r="I34" s="23" t="inlineStr">
        <is>
          <t>1) 완성면 통제 바리케이트 설치 ➔ 2) 미세 분무 살수 &amp; 비닐 덮개 야적 ➔ 3) 일일 완성면 훼손 점검 ➔ 4) 완성면 보호 점검 대장 감리 승인</t>
        </is>
      </c>
      <c r="J34" s="23" t="inlineStr">
        <is>
          <t>통제 바리케이트(중장비 진입 100% 차단), 미세 분무 살수(골재이탈 예방) 및 완성면 보호 대장 작성</t>
        </is>
      </c>
      <c r="K34" s="23" t="inlineStr">
        <is>
          <t>KCS 47 10 25 완성면 관리 규정 | 통제 바리케이트(중장비 진입 100% 차단) | 미세 분무 살수(골재이탈 예방) &amp; 완성면 보호 대장 작성</t>
        </is>
      </c>
      <c r="L34" s="24" t="inlineStr">
        <is>
          <t>표준서 보기 (HTML)</t>
        </is>
      </c>
      <c r="M34" s="23" t="inlineStr">
        <is>
          <t>1) 완성면 통제 바리케이트 설치 ➔ 2) 미세 분무 살수 &amp; 비닐 덮개 야적 ➔ 3) 일일 완성면 훼손 점검 ➔ 4) 완성면 보호 점검 대장 감리 승인</t>
        </is>
      </c>
      <c r="N34" s="79" t="inlineStr">
        <is>
          <t>수행지침 보기 (HTML)</t>
        </is>
      </c>
      <c r="O34" s="23" t="inlineStr">
        <is>
          <t>통제 바리케이트(중장비 진입 100% 차단), 미세 분무 살수(골재이탈 예방) 및 완성면 보호 대장 작성</t>
        </is>
      </c>
      <c r="P34" s="24" t="inlineStr">
        <is>
          <t>체크리스트 보기 (HTML)</t>
        </is>
      </c>
      <c r="Q34" s="22" t="n"/>
      <c r="R34" s="25" t="inlineStr">
        <is>
          <t>● 암석 최대 치수 및 공극 충전 공법 준수</t>
        </is>
      </c>
      <c r="S34" s="26" t="inlineStr">
        <is>
          <t>1) 👉 [더블클릭] 체크리스트 열기 📄</t>
        </is>
      </c>
      <c r="T34" s="14" t="n"/>
    </row>
    <row r="35" ht="115.2" customHeight="1">
      <c r="A35" s="22" t="inlineStr">
        <is>
          <t>9000</t>
        </is>
      </c>
      <c r="B35" s="22" t="inlineStr">
        <is>
          <t>9000-7</t>
        </is>
      </c>
      <c r="C35" s="22" t="inlineStr">
        <is>
          <t>상부강화노반</t>
        </is>
      </c>
      <c r="D35" s="22" t="inlineStr">
        <is>
          <t>9000-7-34</t>
        </is>
      </c>
      <c r="E35" s="22" t="inlineStr">
        <is>
          <t>D+45~180</t>
        </is>
      </c>
      <c r="F35" s="22" t="inlineStr">
        <is>
          <t>방치기간 확보</t>
        </is>
      </c>
      <c r="G35" s="22" t="inlineStr">
        <is>
          <t>현장 공사팀</t>
        </is>
      </c>
      <c r="H35" s="23" t="inlineStr">
        <is>
          <t>건진법 시행규칙 공사기록 | 일일 투입 인원, 장비, 성토 물량(m³) 정밀 집계 | CSI 건설공사 관리 시스템 전산 등록 &amp; 감리 일일 직인</t>
        </is>
      </c>
      <c r="I35" s="23" t="inlineStr">
        <is>
          <t>1) 일일 인원/장비/물량 집계 ➔ 2) 품질 시험 성적 &amp; TBM 수록 ➔ 3) CSI 전산 시스템 등록 ➔ 4) 책임감리원 일일 서면 직인 결재</t>
        </is>
      </c>
      <c r="J35" s="23" t="inlineStr">
        <is>
          <t>일일 투입 인원/장비/성토 물량(m³) 집계, CSI 전산 관리 시스템 등록 및 감리 일일 서면 직인</t>
        </is>
      </c>
      <c r="K35" s="23" t="inlineStr">
        <is>
          <t>건진법 시행규칙 공사기록 | 일일 투입 인원, 장비, 성토 물량(m³) 정밀 집계 | CSI 건설공사 관리 시스템 전산 등록 &amp; 감리 일일 직인</t>
        </is>
      </c>
      <c r="L35" s="24" t="inlineStr">
        <is>
          <t>표준서 보기 (HTML)</t>
        </is>
      </c>
      <c r="M35" s="23" t="inlineStr">
        <is>
          <t>1) 일일 인원/장비/물량 집계 ➔ 2) 품질 시험 성적 &amp; TBM 수록 ➔ 3) CSI 전산 시스템 등록 ➔ 4) 책임감리원 일일 서면 직인 결재</t>
        </is>
      </c>
      <c r="N35" s="79" t="inlineStr">
        <is>
          <t>수행지침 보기 (HTML)</t>
        </is>
      </c>
      <c r="O35" s="23" t="inlineStr">
        <is>
          <t>일일 투입 인원/장비/성토 물량(m³) 집계, CSI 전산 관리 시스템 등록 및 감리 일일 서면 직인</t>
        </is>
      </c>
      <c r="P35" s="24" t="inlineStr">
        <is>
          <t>체크리스트 보기 (HTML)</t>
        </is>
      </c>
      <c r="Q35" s="22" t="n"/>
      <c r="R35" s="25" t="inlineStr">
        <is>
          <t>● 노반 잔류침하량 수렴 기준 확인</t>
        </is>
      </c>
      <c r="S35" s="26" t="inlineStr">
        <is>
          <t>1) 👉 [더블클릭] 체크리스트 열기 📄</t>
        </is>
      </c>
      <c r="T35" s="14" t="n"/>
    </row>
    <row r="36" ht="115.2" customHeight="1">
      <c r="A36" s="22" t="inlineStr">
        <is>
          <t>9000</t>
        </is>
      </c>
      <c r="B36" s="22" t="inlineStr">
        <is>
          <t>9000-7</t>
        </is>
      </c>
      <c r="C36" s="22" t="inlineStr">
        <is>
          <t>상부강화노반</t>
        </is>
      </c>
      <c r="D36" s="22" t="inlineStr">
        <is>
          <t>9000-7-35</t>
        </is>
      </c>
      <c r="E36" s="22" t="inlineStr">
        <is>
          <t>D+55~240</t>
        </is>
      </c>
      <c r="F36" s="22" t="inlineStr">
        <is>
          <t>토공마무리</t>
        </is>
      </c>
      <c r="G36" s="22" t="inlineStr">
        <is>
          <t>현장 공사팀</t>
        </is>
      </c>
      <c r="H36" s="23" t="inlineStr">
        <is>
          <t>건진법 &amp; KCS 47 10 25 총괄 수칙 | 공사 착수 24시간 전 검측 요청서 제출 | 책임감리원 1:1 현장 입회 &amp; 16개 체크리스트 서명 대장</t>
        </is>
      </c>
      <c r="I36" s="23" t="inlineStr">
        <is>
          <t>1) 공종별 검측요청서 24시간 전 제출 ➔ 2) 책임감리원 1:1 현장 입회 ➔ 3) 16개 체크리스트 서명 ➔ 4) 검측 총괄 승인 대장 감리 결재</t>
        </is>
      </c>
      <c r="J36" s="23" t="inlineStr">
        <is>
          <t>공사 착수 24시간 전 검측 요청서 제출, 책임감리원 1:1 현장 입회 및 16개 체크리스트 서명 대장</t>
        </is>
      </c>
      <c r="K36" s="23" t="inlineStr">
        <is>
          <t>건진법 &amp; KCS 47 10 25 총괄 수칙 | 공사 착수 24시간 전 검측 요청서 제출 | 책임감리원 1:1 현장 입회 &amp; 16개 체크리스트 서명 대장</t>
        </is>
      </c>
      <c r="L36" s="24" t="inlineStr">
        <is>
          <t>표준서 보기 (HTML)</t>
        </is>
      </c>
      <c r="M36" s="23" t="inlineStr">
        <is>
          <t>1) 공종별 검측요청서 24시간 전 제출 ➔ 2) 책임감리원 1:1 현장 입회 ➔ 3) 16개 체크리스트 서명 ➔ 4) 검측 총괄 승인 대장 감리 결재</t>
        </is>
      </c>
      <c r="N36" s="79" t="inlineStr">
        <is>
          <t>수행지침 보기 (HTML)</t>
        </is>
      </c>
      <c r="O36" s="23" t="inlineStr">
        <is>
          <t>공사 착수 24시간 전 검측 요청서 제출, 책임감리원 1:1 현장 입회 및 16개 체크리스트 서명 대장</t>
        </is>
      </c>
      <c r="P36" s="24" t="inlineStr">
        <is>
          <t>체크리스트 보기 (HTML)</t>
        </is>
      </c>
      <c r="Q36" s="22" t="n"/>
      <c r="R36" s="25" t="inlineStr">
        <is>
          <t>● 설계 종횡단 경사 및 평탄성 만족</t>
        </is>
      </c>
      <c r="S36" s="26" t="inlineStr">
        <is>
          <t>1) 👉 [더블클릭] 체크리스트 열기 📄</t>
        </is>
      </c>
      <c r="T36" s="14" t="n"/>
    </row>
    <row r="37" ht="96" customHeight="1">
      <c r="A37" s="22" t="inlineStr">
        <is>
          <t>9000</t>
        </is>
      </c>
      <c r="B37" s="22" t="inlineStr">
        <is>
          <t>9000-7</t>
        </is>
      </c>
      <c r="C37" s="22" t="inlineStr">
        <is>
          <t>상부강화노반</t>
        </is>
      </c>
      <c r="D37" s="22" t="inlineStr">
        <is>
          <t>9000-7-36</t>
        </is>
      </c>
      <c r="E37" s="22" t="inlineStr">
        <is>
          <t>D+55~240</t>
        </is>
      </c>
      <c r="F37" s="22" t="inlineStr">
        <is>
          <t>토공 마무리면 인계</t>
        </is>
      </c>
      <c r="G37" s="22" t="inlineStr">
        <is>
          <t>현장 공사팀</t>
        </is>
      </c>
      <c r="H37" s="23" t="inlineStr">
        <is>
          <t>KCS 47 10 25 최종 인계인수 | 토공-궤도-감리 3자 합동 현측(표고 ±10mm, K30 ≥ 110) | 인계인수 합의서 서명 및 노반 완공 통보</t>
        </is>
      </c>
      <c r="I37" s="23" t="inlineStr">
        <is>
          <t>1) 3자(토공-궤도-감리) 합동 현측 ➔ 2) 표고(±10mm) &amp; K30(≥110) 재검측 ➔ 3) 인계인수 합의서 3자 서명 ➔ 4) 상부강화노반 최종 완공 통보</t>
        </is>
      </c>
      <c r="J37" s="23" t="inlineStr">
        <is>
          <t>토공-궤도-감리 3자 합동 현측(표고 ±10mm, K30 ≥ 110), 인계인수 합의서 서명 및 완공 통보</t>
        </is>
      </c>
      <c r="K37" s="23" t="inlineStr">
        <is>
          <t>KCS 47 10 25 최종 인계인수 | 토공-궤도-감리 3자 합동 현측(표고 ±10mm, K30 ≥ 110) | 인계인수 합의서 서명 및 노반 완공 통보</t>
        </is>
      </c>
      <c r="L37" s="24" t="inlineStr">
        <is>
          <t>표준서 보기 (HTML)</t>
        </is>
      </c>
      <c r="M37" s="23" t="inlineStr">
        <is>
          <t>1) 3자(토공-궤도-감리) 합동 현측 ➔ 2) 표고(±10mm) &amp; K30(≥110) 재검측 ➔ 3) 인계인수 합의서 3자 서명 ➔ 4) 상부강화노반 최종 완공 통보</t>
        </is>
      </c>
      <c r="N37" s="79" t="inlineStr">
        <is>
          <t>수행지침 보기 (HTML)</t>
        </is>
      </c>
      <c r="O37" s="23" t="inlineStr">
        <is>
          <t>토공-궤도-감리 3자 합동 현측(표고 ±10mm, K30 ≥ 110), 인계인수 합의서 서명 및 완공 통보</t>
        </is>
      </c>
      <c r="P37" s="24" t="inlineStr">
        <is>
          <t>체크리스트 보기 (HTML)</t>
        </is>
      </c>
      <c r="Q37" s="22" t="n"/>
      <c r="R37" s="25" t="inlineStr">
        <is>
          <t>● 후속 공종 인도 기준 오차 관리</t>
        </is>
      </c>
      <c r="S37" s="26" t="inlineStr">
        <is>
          <t>1) 👉 [더블클릭] 체크리스트 열기 📄</t>
        </is>
      </c>
      <c r="T37" s="14" t="n"/>
    </row>
  </sheetData>
  <hyperlinks>
    <hyperlink xmlns:r="http://schemas.openxmlformats.org/officeDocument/2006/relationships" ref="L2" r:id="rId1"/>
    <hyperlink xmlns:r="http://schemas.openxmlformats.org/officeDocument/2006/relationships" ref="N2" r:id="rId2"/>
    <hyperlink xmlns:r="http://schemas.openxmlformats.org/officeDocument/2006/relationships" ref="P2" r:id="rId3"/>
    <hyperlink xmlns:r="http://schemas.openxmlformats.org/officeDocument/2006/relationships" ref="L3" r:id="rId4"/>
    <hyperlink xmlns:r="http://schemas.openxmlformats.org/officeDocument/2006/relationships" ref="N3" r:id="rId5"/>
    <hyperlink xmlns:r="http://schemas.openxmlformats.org/officeDocument/2006/relationships" ref="P3" r:id="rId6"/>
    <hyperlink xmlns:r="http://schemas.openxmlformats.org/officeDocument/2006/relationships" ref="L4" r:id="rId7"/>
    <hyperlink xmlns:r="http://schemas.openxmlformats.org/officeDocument/2006/relationships" ref="N4" r:id="rId8"/>
    <hyperlink xmlns:r="http://schemas.openxmlformats.org/officeDocument/2006/relationships" ref="P4" r:id="rId9"/>
    <hyperlink xmlns:r="http://schemas.openxmlformats.org/officeDocument/2006/relationships" ref="L5" r:id="rId10"/>
    <hyperlink xmlns:r="http://schemas.openxmlformats.org/officeDocument/2006/relationships" ref="N5" r:id="rId11"/>
    <hyperlink xmlns:r="http://schemas.openxmlformats.org/officeDocument/2006/relationships" ref="P5" r:id="rId12"/>
    <hyperlink xmlns:r="http://schemas.openxmlformats.org/officeDocument/2006/relationships" ref="L6" r:id="rId13"/>
    <hyperlink xmlns:r="http://schemas.openxmlformats.org/officeDocument/2006/relationships" ref="N6" r:id="rId14"/>
    <hyperlink xmlns:r="http://schemas.openxmlformats.org/officeDocument/2006/relationships" ref="P6" r:id="rId15"/>
    <hyperlink xmlns:r="http://schemas.openxmlformats.org/officeDocument/2006/relationships" ref="L7" r:id="rId16"/>
    <hyperlink xmlns:r="http://schemas.openxmlformats.org/officeDocument/2006/relationships" ref="N7" r:id="rId17"/>
    <hyperlink xmlns:r="http://schemas.openxmlformats.org/officeDocument/2006/relationships" ref="P7" r:id="rId18"/>
    <hyperlink xmlns:r="http://schemas.openxmlformats.org/officeDocument/2006/relationships" ref="L8" r:id="rId19"/>
    <hyperlink xmlns:r="http://schemas.openxmlformats.org/officeDocument/2006/relationships" ref="N8" r:id="rId20"/>
    <hyperlink xmlns:r="http://schemas.openxmlformats.org/officeDocument/2006/relationships" ref="P8" r:id="rId21"/>
    <hyperlink xmlns:r="http://schemas.openxmlformats.org/officeDocument/2006/relationships" ref="L9" r:id="rId22"/>
    <hyperlink xmlns:r="http://schemas.openxmlformats.org/officeDocument/2006/relationships" ref="N9" r:id="rId23"/>
    <hyperlink xmlns:r="http://schemas.openxmlformats.org/officeDocument/2006/relationships" ref="P9" r:id="rId24"/>
    <hyperlink xmlns:r="http://schemas.openxmlformats.org/officeDocument/2006/relationships" ref="L10" r:id="rId25"/>
    <hyperlink xmlns:r="http://schemas.openxmlformats.org/officeDocument/2006/relationships" ref="N10" r:id="rId26"/>
    <hyperlink xmlns:r="http://schemas.openxmlformats.org/officeDocument/2006/relationships" ref="P10" r:id="rId27"/>
    <hyperlink xmlns:r="http://schemas.openxmlformats.org/officeDocument/2006/relationships" ref="L11" r:id="rId28"/>
    <hyperlink xmlns:r="http://schemas.openxmlformats.org/officeDocument/2006/relationships" ref="N11" r:id="rId29"/>
    <hyperlink xmlns:r="http://schemas.openxmlformats.org/officeDocument/2006/relationships" ref="P11" r:id="rId30"/>
    <hyperlink xmlns:r="http://schemas.openxmlformats.org/officeDocument/2006/relationships" ref="L12" r:id="rId31"/>
    <hyperlink xmlns:r="http://schemas.openxmlformats.org/officeDocument/2006/relationships" ref="N12" r:id="rId32"/>
    <hyperlink xmlns:r="http://schemas.openxmlformats.org/officeDocument/2006/relationships" ref="P12" r:id="rId33"/>
    <hyperlink xmlns:r="http://schemas.openxmlformats.org/officeDocument/2006/relationships" ref="L13" r:id="rId34"/>
    <hyperlink xmlns:r="http://schemas.openxmlformats.org/officeDocument/2006/relationships" ref="N13" r:id="rId35"/>
    <hyperlink xmlns:r="http://schemas.openxmlformats.org/officeDocument/2006/relationships" ref="P13" r:id="rId36"/>
    <hyperlink xmlns:r="http://schemas.openxmlformats.org/officeDocument/2006/relationships" ref="L14" r:id="rId37"/>
    <hyperlink xmlns:r="http://schemas.openxmlformats.org/officeDocument/2006/relationships" ref="N14" r:id="rId38"/>
    <hyperlink xmlns:r="http://schemas.openxmlformats.org/officeDocument/2006/relationships" ref="P14" r:id="rId39"/>
    <hyperlink xmlns:r="http://schemas.openxmlformats.org/officeDocument/2006/relationships" ref="L15" r:id="rId40"/>
    <hyperlink xmlns:r="http://schemas.openxmlformats.org/officeDocument/2006/relationships" ref="N15" r:id="rId41"/>
    <hyperlink xmlns:r="http://schemas.openxmlformats.org/officeDocument/2006/relationships" ref="P15" r:id="rId42"/>
    <hyperlink xmlns:r="http://schemas.openxmlformats.org/officeDocument/2006/relationships" ref="L16" r:id="rId43"/>
    <hyperlink xmlns:r="http://schemas.openxmlformats.org/officeDocument/2006/relationships" ref="N16" r:id="rId44"/>
    <hyperlink xmlns:r="http://schemas.openxmlformats.org/officeDocument/2006/relationships" ref="P16" r:id="rId45"/>
    <hyperlink xmlns:r="http://schemas.openxmlformats.org/officeDocument/2006/relationships" ref="L17" r:id="rId46"/>
    <hyperlink xmlns:r="http://schemas.openxmlformats.org/officeDocument/2006/relationships" ref="N17" r:id="rId47"/>
    <hyperlink xmlns:r="http://schemas.openxmlformats.org/officeDocument/2006/relationships" ref="P17" r:id="rId48"/>
    <hyperlink xmlns:r="http://schemas.openxmlformats.org/officeDocument/2006/relationships" ref="L18" r:id="rId49"/>
    <hyperlink xmlns:r="http://schemas.openxmlformats.org/officeDocument/2006/relationships" ref="N18" r:id="rId50"/>
    <hyperlink xmlns:r="http://schemas.openxmlformats.org/officeDocument/2006/relationships" ref="P18" r:id="rId51"/>
    <hyperlink xmlns:r="http://schemas.openxmlformats.org/officeDocument/2006/relationships" ref="L19" r:id="rId52"/>
    <hyperlink xmlns:r="http://schemas.openxmlformats.org/officeDocument/2006/relationships" ref="N19" r:id="rId53"/>
    <hyperlink xmlns:r="http://schemas.openxmlformats.org/officeDocument/2006/relationships" ref="P19" r:id="rId54"/>
    <hyperlink xmlns:r="http://schemas.openxmlformats.org/officeDocument/2006/relationships" ref="L20" r:id="rId55"/>
    <hyperlink xmlns:r="http://schemas.openxmlformats.org/officeDocument/2006/relationships" ref="N20" r:id="rId56"/>
    <hyperlink xmlns:r="http://schemas.openxmlformats.org/officeDocument/2006/relationships" ref="P20" r:id="rId57"/>
    <hyperlink xmlns:r="http://schemas.openxmlformats.org/officeDocument/2006/relationships" ref="L21" r:id="rId58"/>
    <hyperlink xmlns:r="http://schemas.openxmlformats.org/officeDocument/2006/relationships" ref="N21" r:id="rId59"/>
    <hyperlink xmlns:r="http://schemas.openxmlformats.org/officeDocument/2006/relationships" ref="P21" r:id="rId60"/>
    <hyperlink xmlns:r="http://schemas.openxmlformats.org/officeDocument/2006/relationships" ref="L22" r:id="rId61"/>
    <hyperlink xmlns:r="http://schemas.openxmlformats.org/officeDocument/2006/relationships" ref="N22" r:id="rId62"/>
    <hyperlink xmlns:r="http://schemas.openxmlformats.org/officeDocument/2006/relationships" ref="P22" r:id="rId63"/>
    <hyperlink xmlns:r="http://schemas.openxmlformats.org/officeDocument/2006/relationships" ref="L23" r:id="rId64"/>
    <hyperlink xmlns:r="http://schemas.openxmlformats.org/officeDocument/2006/relationships" ref="N23" r:id="rId65"/>
    <hyperlink xmlns:r="http://schemas.openxmlformats.org/officeDocument/2006/relationships" ref="P23" r:id="rId66"/>
    <hyperlink xmlns:r="http://schemas.openxmlformats.org/officeDocument/2006/relationships" ref="L24" r:id="rId67"/>
    <hyperlink xmlns:r="http://schemas.openxmlformats.org/officeDocument/2006/relationships" ref="N24" r:id="rId68"/>
    <hyperlink xmlns:r="http://schemas.openxmlformats.org/officeDocument/2006/relationships" ref="P24" r:id="rId69"/>
    <hyperlink xmlns:r="http://schemas.openxmlformats.org/officeDocument/2006/relationships" ref="L25" r:id="rId70"/>
    <hyperlink xmlns:r="http://schemas.openxmlformats.org/officeDocument/2006/relationships" ref="N25" r:id="rId71"/>
    <hyperlink xmlns:r="http://schemas.openxmlformats.org/officeDocument/2006/relationships" ref="P25" r:id="rId72"/>
    <hyperlink xmlns:r="http://schemas.openxmlformats.org/officeDocument/2006/relationships" ref="L26" r:id="rId73"/>
    <hyperlink xmlns:r="http://schemas.openxmlformats.org/officeDocument/2006/relationships" ref="N26" r:id="rId74"/>
    <hyperlink xmlns:r="http://schemas.openxmlformats.org/officeDocument/2006/relationships" ref="P26" r:id="rId75"/>
    <hyperlink xmlns:r="http://schemas.openxmlformats.org/officeDocument/2006/relationships" ref="L27" r:id="rId76"/>
    <hyperlink xmlns:r="http://schemas.openxmlformats.org/officeDocument/2006/relationships" ref="N27" r:id="rId77"/>
    <hyperlink xmlns:r="http://schemas.openxmlformats.org/officeDocument/2006/relationships" ref="P27" r:id="rId78"/>
    <hyperlink xmlns:r="http://schemas.openxmlformats.org/officeDocument/2006/relationships" ref="L28" r:id="rId79"/>
    <hyperlink xmlns:r="http://schemas.openxmlformats.org/officeDocument/2006/relationships" ref="N28" r:id="rId80"/>
    <hyperlink xmlns:r="http://schemas.openxmlformats.org/officeDocument/2006/relationships" ref="P28" r:id="rId81"/>
    <hyperlink xmlns:r="http://schemas.openxmlformats.org/officeDocument/2006/relationships" ref="L29" r:id="rId82"/>
    <hyperlink xmlns:r="http://schemas.openxmlformats.org/officeDocument/2006/relationships" ref="N29" r:id="rId83"/>
    <hyperlink xmlns:r="http://schemas.openxmlformats.org/officeDocument/2006/relationships" ref="P29" r:id="rId84"/>
    <hyperlink xmlns:r="http://schemas.openxmlformats.org/officeDocument/2006/relationships" ref="L30" r:id="rId85"/>
    <hyperlink xmlns:r="http://schemas.openxmlformats.org/officeDocument/2006/relationships" ref="N30" r:id="rId86"/>
    <hyperlink xmlns:r="http://schemas.openxmlformats.org/officeDocument/2006/relationships" ref="P30" r:id="rId87"/>
    <hyperlink xmlns:r="http://schemas.openxmlformats.org/officeDocument/2006/relationships" ref="L31" r:id="rId88"/>
    <hyperlink xmlns:r="http://schemas.openxmlformats.org/officeDocument/2006/relationships" ref="N31" r:id="rId89"/>
    <hyperlink xmlns:r="http://schemas.openxmlformats.org/officeDocument/2006/relationships" ref="P31" r:id="rId90"/>
    <hyperlink xmlns:r="http://schemas.openxmlformats.org/officeDocument/2006/relationships" ref="L32" r:id="rId91"/>
    <hyperlink xmlns:r="http://schemas.openxmlformats.org/officeDocument/2006/relationships" ref="N32" r:id="rId92"/>
    <hyperlink xmlns:r="http://schemas.openxmlformats.org/officeDocument/2006/relationships" ref="P32" r:id="rId93"/>
    <hyperlink xmlns:r="http://schemas.openxmlformats.org/officeDocument/2006/relationships" ref="L33" r:id="rId94"/>
    <hyperlink xmlns:r="http://schemas.openxmlformats.org/officeDocument/2006/relationships" ref="N33" r:id="rId95"/>
    <hyperlink xmlns:r="http://schemas.openxmlformats.org/officeDocument/2006/relationships" ref="P33" r:id="rId96"/>
    <hyperlink xmlns:r="http://schemas.openxmlformats.org/officeDocument/2006/relationships" ref="L34" r:id="rId97"/>
    <hyperlink xmlns:r="http://schemas.openxmlformats.org/officeDocument/2006/relationships" ref="N34" r:id="rId98"/>
    <hyperlink xmlns:r="http://schemas.openxmlformats.org/officeDocument/2006/relationships" ref="P34" r:id="rId99"/>
    <hyperlink xmlns:r="http://schemas.openxmlformats.org/officeDocument/2006/relationships" ref="L35" r:id="rId100"/>
    <hyperlink xmlns:r="http://schemas.openxmlformats.org/officeDocument/2006/relationships" ref="N35" r:id="rId101"/>
    <hyperlink xmlns:r="http://schemas.openxmlformats.org/officeDocument/2006/relationships" ref="P35" r:id="rId102"/>
    <hyperlink xmlns:r="http://schemas.openxmlformats.org/officeDocument/2006/relationships" ref="L36" r:id="rId103"/>
    <hyperlink xmlns:r="http://schemas.openxmlformats.org/officeDocument/2006/relationships" ref="N36" r:id="rId104"/>
    <hyperlink xmlns:r="http://schemas.openxmlformats.org/officeDocument/2006/relationships" ref="P36" r:id="rId105"/>
    <hyperlink xmlns:r="http://schemas.openxmlformats.org/officeDocument/2006/relationships" ref="L37" r:id="rId106"/>
    <hyperlink xmlns:r="http://schemas.openxmlformats.org/officeDocument/2006/relationships" ref="N37" r:id="rId107"/>
    <hyperlink xmlns:r="http://schemas.openxmlformats.org/officeDocument/2006/relationships" ref="P37" r:id="rId108"/>
  </hyperlinks>
  <printOptions horizontalCentered="1"/>
  <pageMargins left="0.7480314960629921" right="0.7480314960629921" top="0.984251968503937" bottom="0.984251968503937" header="0.5118110236220472" footer="0.5118110236220472"/>
  <pageSetup orientation="landscape" paperSize="8" scale="34" verticalDpi="0"/>
</worksheet>
</file>

<file path=xl/worksheets/sheet8.xml><?xml version="1.0" encoding="utf-8"?>
<worksheet xmlns="http://schemas.openxmlformats.org/spreadsheetml/2006/main">
  <sheetPr codeName="Sheet5">
    <tabColor rgb="FFFFFF00"/>
    <outlinePr summaryBelow="1" summaryRight="1"/>
    <pageSetUpPr/>
  </sheetPr>
  <dimension ref="A1:T24"/>
  <sheetViews>
    <sheetView view="pageBreakPreview" topLeftCell="B1" zoomScale="55" zoomScaleNormal="55" zoomScaleSheetLayoutView="55" workbookViewId="0">
      <pane xSplit="1" ySplit="1" topLeftCell="E2" activePane="bottomRight" state="frozen"/>
      <selection activeCell="B1" sqref="B1"/>
      <selection pane="topRight" activeCell="C1" sqref="C1"/>
      <selection pane="bottomLeft" activeCell="B2" sqref="B2"/>
      <selection pane="bottomRight" activeCell="M13" sqref="M13"/>
    </sheetView>
  </sheetViews>
  <sheetFormatPr baseColWidth="8" defaultColWidth="11.8984375" defaultRowHeight="19.2"/>
  <cols>
    <col width="11.8984375" customWidth="1" style="3" min="1" max="3"/>
    <col width="15" customWidth="1" style="4" min="4" max="4"/>
    <col width="14.3984375" customWidth="1" style="5" min="5" max="5"/>
    <col width="17.19921875" customWidth="1" style="4" min="6" max="6"/>
    <col width="14.3984375" customWidth="1" style="4" min="7" max="7"/>
    <col width="24.19921875" customWidth="1" style="3" min="8" max="8"/>
    <col width="79.09765625" customWidth="1" style="4" min="9" max="9"/>
    <col width="19.8984375" customWidth="1" style="4" min="10" max="10"/>
    <col width="39.59765625" customWidth="1" style="3" min="11" max="11"/>
    <col width="11.8984375" customWidth="1" style="3" min="12" max="12"/>
    <col width="40.8984375" customWidth="1" style="3" min="13" max="13"/>
    <col width="11.59765625" customWidth="1" style="3" min="14" max="14"/>
    <col width="32.796875" bestFit="1" customWidth="1" style="3" min="15" max="15"/>
    <col width="12.296875" customWidth="1" min="16" max="16"/>
    <col hidden="1" width="11.8984375" customWidth="1" style="3" min="17" max="17"/>
    <col width="11.8984375" customWidth="1" min="18" max="19"/>
    <col width="11.8984375" customWidth="1" style="3" min="20" max="47"/>
    <col width="11.8984375" customWidth="1" style="3" min="48" max="16384"/>
  </cols>
  <sheetData>
    <row r="1" ht="46.8" customHeight="1">
      <c r="A1" s="7" t="inlineStr">
        <is>
          <t>L2 코드</t>
        </is>
      </c>
      <c r="B1" s="7" t="inlineStr">
        <is>
          <t>L3 코드</t>
        </is>
      </c>
      <c r="C1" s="7" t="inlineStr">
        <is>
          <t>L3 대공종명</t>
        </is>
      </c>
      <c r="D1" s="7" t="inlineStr">
        <is>
          <t>L4 코드</t>
        </is>
      </c>
      <c r="E1" s="7" t="inlineStr">
        <is>
          <t>일정 (D-Day)</t>
        </is>
      </c>
      <c r="F1" s="7" t="inlineStr">
        <is>
          <t>작업단위 (Level 4 Task/Activity)</t>
        </is>
      </c>
      <c r="G1" s="7" t="inlineStr">
        <is>
          <t>주관</t>
        </is>
      </c>
      <c r="H1" s="7" t="inlineStr">
        <is>
          <t>목적</t>
        </is>
      </c>
      <c r="I1" s="7" t="inlineStr">
        <is>
          <t>방법</t>
        </is>
      </c>
      <c r="J1" s="7" t="inlineStr">
        <is>
          <t>산출물(결과)</t>
        </is>
      </c>
      <c r="K1" s="7" t="inlineStr">
        <is>
          <t>표준서 (Standard) 요약</t>
        </is>
      </c>
      <c r="L1" s="6" t="inlineStr">
        <is>
          <t>표준서 파일 (HTML)</t>
        </is>
      </c>
      <c r="M1" s="7" t="inlineStr">
        <is>
          <t>수행지침 (Guideline) 요약</t>
        </is>
      </c>
      <c r="N1" s="6" t="inlineStr">
        <is>
          <t>수행지침 파일 (HTML)</t>
        </is>
      </c>
      <c r="O1" s="7" t="inlineStr">
        <is>
          <t>체크리스트 (Checklist) 요약</t>
        </is>
      </c>
      <c r="P1" s="8" t="inlineStr">
        <is>
          <t>체크리스트 파일 (HTML)</t>
        </is>
      </c>
      <c r="Q1" s="9" t="inlineStr">
        <is>
          <t>비고</t>
        </is>
      </c>
      <c r="R1" s="9" t="inlineStr">
        <is>
          <t>첨부서류 연계 상세 설계기준</t>
        </is>
      </c>
      <c r="S1" s="9" t="inlineStr">
        <is>
          <t>집행단계 리스크 체크리스트</t>
        </is>
      </c>
      <c r="T1" s="9" t="inlineStr">
        <is>
          <t>협력사 시공/공사관리 자문</t>
        </is>
      </c>
    </row>
    <row r="2" ht="96" customHeight="1">
      <c r="A2" s="13" t="inlineStr">
        <is>
          <t>9000</t>
        </is>
      </c>
      <c r="B2" s="13" t="inlineStr">
        <is>
          <t>9000-6</t>
        </is>
      </c>
      <c r="C2" s="44" t="inlineStr">
        <is>
          <t>콘크리트도상분야</t>
        </is>
      </c>
      <c r="D2" s="13" t="inlineStr">
        <is>
          <t>9000-6-1</t>
        </is>
      </c>
      <c r="E2" s="13" t="inlineStr">
        <is>
          <t>D-120 (D-150~D-120)</t>
        </is>
      </c>
      <c r="F2" s="13" t="inlineStr">
        <is>
          <t>설계적정성 검토</t>
        </is>
      </c>
      <c r="G2" s="13" t="inlineStr">
        <is>
          <t>현장소장</t>
        </is>
      </c>
      <c r="H2" s="14" t="inlineStr">
        <is>
          <t>노반부/궤도부 선형 및 종단 일치 등 설계오류 및 누락 확인</t>
        </is>
      </c>
      <c r="I2" s="14" t="inlineStr">
        <is>
          <t>노반부/궤도부 선형 및 종단 도면 및 설계 자료 비교 검토 실시
- 궤도 부속자재(체결구, 침목 등) 소요비 비용 설계반영 확인
- 유사시공사례 Case Study
- 지원: 본사담당팀(설계/수행/품질/외주)</t>
        </is>
      </c>
      <c r="J2" s="14" t="inlineStr">
        <is>
          <t>설계도면 검토서, 선형대조표</t>
        </is>
      </c>
      <c r="K2" s="14" t="inlineStr">
        <is>
          <t>KDS 47 30 00 궤도 설계기준 및 국토교통부 트램 건설 규칙을 엄격히 준수한다. 노반부-궤도부 선형 및 종단 계획고 일치 오차 0mm 검토.</t>
        </is>
      </c>
      <c r="L2" s="17" t="inlineStr">
        <is>
          <t>👉 [더블클릭] 표준서 열기 📄</t>
        </is>
      </c>
      <c r="M2" s="14" t="inlineStr">
        <is>
          <t>1) 하부 HBS 강화노반 지지력(K70 ≥ 150 MPa/m) 및 평탄성 사전 검측 확인
2) 궤도 정밀 검측: 궤간(1435mm), 캔트(±2mm), 수평(±2mm), 고저(±2mm/10m), 비틀림(1.5mm/3m) 실시간 검측</t>
        </is>
      </c>
      <c r="N2" s="53" t="inlineStr">
        <is>
          <t>👉 [더블클릭] 수행지침 열기 📄</t>
        </is>
      </c>
      <c r="O2" s="14" t="inlineStr">
        <is>
          <t>설계 도면 간섭 검속, 궤도 중심선 계획 표고 대조, 종단 구배 한계치 준수 확인</t>
        </is>
      </c>
      <c r="P2" s="53" t="inlineStr">
        <is>
          <t>👉 [더블클릭] 체크리스트 열기 📄</t>
        </is>
      </c>
      <c r="Q2" s="13" t="n"/>
      <c r="R2" s="14" t="inlineStr">
        <is>
          <t>● 노반부 및 궤도 선형 기하학적 설계 기준 일치성</t>
        </is>
      </c>
      <c r="S2" s="18" t="inlineStr">
        <is>
          <t>1) 👉 [더블클릭] 체크리스트 열기 📄</t>
        </is>
      </c>
      <c r="T2" s="14" t="n"/>
    </row>
    <row r="3" ht="96" customHeight="1">
      <c r="A3" s="13" t="inlineStr">
        <is>
          <t>9000</t>
        </is>
      </c>
      <c r="B3" s="13" t="inlineStr">
        <is>
          <t>9000-6</t>
        </is>
      </c>
      <c r="C3" s="44" t="inlineStr">
        <is>
          <t>콘크리트도상분야</t>
        </is>
      </c>
      <c r="D3" s="13" t="inlineStr">
        <is>
          <t>9000-6-2</t>
        </is>
      </c>
      <c r="E3" s="13" t="inlineStr">
        <is>
          <t>D-100 (D-120~D-100)</t>
        </is>
      </c>
      <c r="F3" s="13" t="inlineStr">
        <is>
          <t>자재 야적장 선정</t>
        </is>
      </c>
      <c r="G3" s="13" t="inlineStr">
        <is>
          <t>현장 공무팀</t>
        </is>
      </c>
      <c r="H3" s="14" t="inlineStr">
        <is>
          <t>콘크리트도상 시공에 필요한 침목, 체결구 등 자재야적 부지 선정</t>
        </is>
      </c>
      <c r="I3" s="14" t="inlineStr">
        <is>
          <t>- 야적장소는 반입자재 및 노반 구조물 파손 방지를 위해 연약지반, 방호벽의 침하 예상부위를 피해서 선정
- 타 분야(전철전력, 송변전, 건축, 신호통신) 간섭사항을 고려하여 동선이 겹치지 않도록 선정</t>
        </is>
      </c>
      <c r="J3" s="14" t="inlineStr">
        <is>
          <t>부지사용계약서, 가설야적장 평면도</t>
        </is>
      </c>
      <c r="K3" s="14" t="inlineStr">
        <is>
          <t>침목, 체결구, 홈레일 등 궤도 주요 자재의 현장 보관 기준 수립. 배수 경사 2% 및 지반 다짐도 95% 이상 야적장 확보.</t>
        </is>
      </c>
      <c r="L3" s="53" t="inlineStr">
        <is>
          <t>👉 [더블클릭] 표준서 열기 📄</t>
        </is>
      </c>
      <c r="M3" s="14" t="inlineStr">
        <is>
          <t>1) 야적 부지 지반재하시험(K70 ≥ 150 MPa/m)을 실시하여 하중 침하 여부 사전 검증
2) 장대레일 운반 트레일러(길이 30m 이상) 회전반경 및 크레인 인양 진입로 확보</t>
        </is>
      </c>
      <c r="N3" s="17" t="inlineStr">
        <is>
          <t>👉 [더블클릭] 수행지침 열기 📄</t>
        </is>
      </c>
      <c r="O3" s="14" t="inlineStr">
        <is>
          <t>야적장 지반 다짐도 95% 이상, 배수 경사 2% 이상 확보, 자재 천막 덮개 구비</t>
        </is>
      </c>
      <c r="P3" s="17" t="inlineStr">
        <is>
          <t>👉 [더블클릭] 체크리스트 열기 📄</t>
        </is>
      </c>
      <c r="Q3" s="13" t="n"/>
      <c r="R3" s="14" t="inlineStr">
        <is>
          <t>● 궤도 자재의 환경 보호 및 보관 관리 지침</t>
        </is>
      </c>
      <c r="S3" s="18" t="inlineStr">
        <is>
          <t>1) 👉 [더블클릭] 체크리스트 열기 📄</t>
        </is>
      </c>
      <c r="T3" s="14" t="n"/>
    </row>
    <row r="4" ht="96" customHeight="1">
      <c r="A4" s="13" t="inlineStr">
        <is>
          <t>9000</t>
        </is>
      </c>
      <c r="B4" s="13" t="inlineStr">
        <is>
          <t>9000-6</t>
        </is>
      </c>
      <c r="C4" s="44" t="inlineStr">
        <is>
          <t>콘크리트도상분야</t>
        </is>
      </c>
      <c r="D4" s="13" t="inlineStr">
        <is>
          <t>9000-6-3</t>
        </is>
      </c>
      <c r="E4" s="13" t="inlineStr">
        <is>
          <t>D-100 (D-120~D-100)</t>
        </is>
      </c>
      <c r="F4" s="13" t="inlineStr">
        <is>
          <t>레일 용접장 선정</t>
        </is>
      </c>
      <c r="G4" s="13" t="inlineStr">
        <is>
          <t>현장 공무팀</t>
        </is>
      </c>
      <c r="H4" s="14" t="inlineStr">
        <is>
          <t>정척레일 15본을 용접하여 200m 이상의 장대레일 제작하는 작업장을 선정 (타분야 인터페이스 고려)</t>
        </is>
      </c>
      <c r="I4" s="14" t="inlineStr">
        <is>
          <t>- 용접기 설치, 정척레일 및 장대레일 보관장소를 고려, 최소 400m 이상의 공간을 확보하고 장대레일 분출 범위를 고려, 본선 용접장 선정
- 타 분야(전철전력, 송변전, 건축, 신호통신) 인터페이스 간섭사항 고려</t>
        </is>
      </c>
      <c r="J4" s="14" t="inlineStr">
        <is>
          <t>용접장 임시지정서, NDT 검사실 계획서</t>
        </is>
      </c>
      <c r="K4" s="14" t="inlineStr">
        <is>
          <t>EN 14730 테르밋 및 EN 14587 가스압접 용접을 위한 작업 공간 확보. 정척레일(25m)을 200m 장대로 용접하는 평탄 작업대 수평 오차 ±1mm 이내 확보.</t>
        </is>
      </c>
      <c r="L4" s="53" t="inlineStr">
        <is>
          <t>👉 [더블클릭] 표준서 열기 📄</t>
        </is>
      </c>
      <c r="M4" s="14" t="inlineStr">
        <is>
          <t>1) m 장대레일 일직선 이송을 위한 롤러대 기반 수평 정밀 측량 (오차 ±0.5mm/10m 이내)
2) 가스압접/플래시버트 용접용 대용량 전력 및 아세틸렌/산소 가스 안전 저장소 확보</t>
        </is>
      </c>
      <c r="N4" s="53" t="inlineStr">
        <is>
          <t>👉 [더블클릭] 수행지침 열기 📄</t>
        </is>
      </c>
      <c r="O4" s="14" t="inlineStr">
        <is>
          <t>용접장 평탄성 오차 ±1mm 이내, 전력 공급 및 방풍 시설 완비, NDT(비파괴) 대기 공간 확보</t>
        </is>
      </c>
      <c r="P4" s="53" t="inlineStr">
        <is>
          <t>👉 [더블클릭] 체크리스트 열기 📄</t>
        </is>
      </c>
      <c r="Q4" s="13" t="n"/>
      <c r="R4" s="14" t="inlineStr">
        <is>
          <t>● 장대레일 제작장 확보 및 공간 레이아웃 만족</t>
        </is>
      </c>
      <c r="S4" s="18" t="inlineStr">
        <is>
          <t>1) 👉 [더블클릭] 체크리스트 열기 📄</t>
        </is>
      </c>
      <c r="T4" s="14" t="n"/>
    </row>
    <row r="5" ht="134.4" customHeight="1">
      <c r="A5" s="13" t="inlineStr">
        <is>
          <t>9000</t>
        </is>
      </c>
      <c r="B5" s="13" t="inlineStr">
        <is>
          <t>9000-6</t>
        </is>
      </c>
      <c r="C5" s="44" t="inlineStr">
        <is>
          <t>콘크리트도상분야</t>
        </is>
      </c>
      <c r="D5" s="13" t="inlineStr">
        <is>
          <t>9000-6-4</t>
        </is>
      </c>
      <c r="E5" s="13" t="inlineStr">
        <is>
          <t>D-90 (D-120~D-90)</t>
        </is>
      </c>
      <c r="F5" s="13" t="inlineStr">
        <is>
          <t>발주전략 KOM</t>
        </is>
      </c>
      <c r="G5" s="13" t="inlineStr">
        <is>
          <t>현장 공무팀</t>
        </is>
      </c>
      <c r="H5" s="14" t="inlineStr">
        <is>
          <t>궤도공사 발주전략 수립 / 발주조건 CP적합 여부 검토</t>
        </is>
      </c>
      <c r="I5" s="14" t="inlineStr">
        <is>
          <t>- 가시공 B/P 적정성 검토
- 발주시기, 발주내역, 현설조건, 현장여건 고려 발주전략 분석
- 사전검토한 설계 및 공법 반영
- 현설설명서 작성 (하자관리방안이 포함된 특기사항 체크리스트 반영)
- 노선 공정계획(구간별 인도시기 고려)
- 궤도설치 후 합동점검시 레일 및 틀어짐 허용오차 이상 발생시 보수 의무사항 안내
- 지원: 본사담당팀(외주/수행/견적)</t>
        </is>
      </c>
      <c r="J5" s="14" t="inlineStr">
        <is>
          <t>KOM 의사록, 품질 보증 합의서</t>
        </is>
      </c>
      <c r="K5" s="14" t="inlineStr">
        <is>
          <t>KCS 47 30 00 시방 기준 준수. 궤도 자재 품질 확인서 및 외산 홈레일 조달 리스크 대응 전략 수립.</t>
        </is>
      </c>
      <c r="L5" s="53" t="inlineStr">
        <is>
          <t>👉 [더블클릭] 표준서 열기 📄</t>
        </is>
      </c>
      <c r="M5" s="14" t="inlineStr">
        <is>
          <t>1) 제조사 공장검사(FAT) 항목 및 궤도 정밀 검측 공차 기준 전파
2) KDS 47 30 00 및 KS 규격 만족 자재 목록 및 세부 발주 물량 확정</t>
        </is>
      </c>
      <c r="N5" s="17" t="inlineStr">
        <is>
          <t>👉 [더블클릭] 수행지침 열기 📄</t>
        </is>
      </c>
      <c r="O5" s="14" t="inlineStr">
        <is>
          <t>품질 요구조건 특기시방서 의결, 외산 홈레일 선적일정 검토, 자재 인도 시점 확약</t>
        </is>
      </c>
      <c r="P5" s="17" t="inlineStr">
        <is>
          <t>👉 [더블클릭] 체크리스트 열기 📄</t>
        </is>
      </c>
      <c r="Q5" s="13" t="n"/>
      <c r="R5" s="14" t="inlineStr">
        <is>
          <t>● 본사 외주/수행 부서 및 토목견적팀 협의 지침 준수</t>
        </is>
      </c>
      <c r="S5" s="18" t="inlineStr">
        <is>
          <t>1) 👉 [더블클릭] 체크리스트 열기 📄</t>
        </is>
      </c>
      <c r="T5" s="14" t="n"/>
    </row>
    <row r="6" ht="96" customHeight="1">
      <c r="A6" s="13" t="inlineStr">
        <is>
          <t>9000</t>
        </is>
      </c>
      <c r="B6" s="13" t="inlineStr">
        <is>
          <t>9000-6</t>
        </is>
      </c>
      <c r="C6" s="44" t="inlineStr">
        <is>
          <t>콘크리트도상분야</t>
        </is>
      </c>
      <c r="D6" s="13" t="inlineStr">
        <is>
          <t>9000-6-5</t>
        </is>
      </c>
      <c r="E6" s="13" t="inlineStr">
        <is>
          <t>D-60 (D-90~D-60)</t>
        </is>
      </c>
      <c r="F6" s="13" t="inlineStr">
        <is>
          <t>최고의 팀 만들기 지원</t>
        </is>
      </c>
      <c r="G6" s="13" t="inlineStr">
        <is>
          <t>외주관리팀</t>
        </is>
      </c>
      <c r="H6" s="14" t="inlineStr">
        <is>
          <t>우수 협력사 및 작업반 선정</t>
        </is>
      </c>
      <c r="I6" s="14" t="inlineStr">
        <is>
          <t>- 동일 환경조건 시공경험 보유 여부 검토
- 투입인원 경력, 현장이해도, 관리역량, 파트너 업체 검증</t>
        </is>
      </c>
      <c r="J6" s="14" t="inlineStr">
        <is>
          <t>협력사 적격성 심사표, 노무안전서약철</t>
        </is>
      </c>
      <c r="K6" s="14" t="inlineStr">
        <is>
          <t>EN ISO 9606-1 용접 자격자 및 궤도 정밀 검측원(Track Master 운용원) 확보 심사 기준.</t>
        </is>
      </c>
      <c r="L6" s="17" t="inlineStr">
        <is>
          <t>👉 [더블클릭] 표준서 열기 📄</t>
        </is>
      </c>
      <c r="M6" s="14" t="inlineStr">
        <is>
          <t>1) EN ISO 14730 용접원 자격증 및 광학 측량 기술자 자격 검증
2) 스핀들 게이지 조정, 캔트 달성구배, 테르밋 산화반응 제어 사전 모의 훈련</t>
        </is>
      </c>
      <c r="N6" s="17" t="inlineStr">
        <is>
          <t>👉 [더블클릭] 수행지침 열기 📄</t>
        </is>
      </c>
      <c r="O6" s="14" t="inlineStr">
        <is>
          <t>용접공 자격증 원본 대조, 정밀 검측 장비 검교정 확인, 궤도 전문 기술사 면허 검토</t>
        </is>
      </c>
      <c r="P6" s="17" t="inlineStr">
        <is>
          <t>👉 [더블클릭] 체크리스트 열기 📄</t>
        </is>
      </c>
      <c r="Q6" s="13" t="n"/>
      <c r="R6" s="14" t="inlineStr">
        <is>
          <t>● 협력업체 역량 평가 및 등록 관리 기준 만족</t>
        </is>
      </c>
      <c r="S6" s="18" t="inlineStr">
        <is>
          <t>1) 👉 [더블클릭] 체크리스트 열기 📄</t>
        </is>
      </c>
      <c r="T6" s="14" t="n"/>
    </row>
    <row r="7" ht="76.8" customHeight="1">
      <c r="A7" s="13" t="inlineStr">
        <is>
          <t>9000</t>
        </is>
      </c>
      <c r="B7" s="13" t="inlineStr">
        <is>
          <t>9000-6</t>
        </is>
      </c>
      <c r="C7" s="44" t="inlineStr">
        <is>
          <t>콘크리트도상분야</t>
        </is>
      </c>
      <c r="D7" s="13" t="inlineStr">
        <is>
          <t>9000-6-6</t>
        </is>
      </c>
      <c r="E7" s="13" t="inlineStr">
        <is>
          <t>D-70 (D-70~D-60)</t>
        </is>
      </c>
      <c r="F7" s="13" t="inlineStr">
        <is>
          <t>콘크리트 타설방법/계획 검토</t>
        </is>
      </c>
      <c r="G7" s="13" t="inlineStr">
        <is>
          <t>현장 공사팀</t>
        </is>
      </c>
      <c r="H7" s="14" t="inlineStr">
        <is>
          <t>현장여건에 따른 구간/위치별 적정 타설방법 및 계획 검토</t>
        </is>
      </c>
      <c r="I7" s="14" t="inlineStr">
        <is>
          <t>- 펌프카 타설: 공간이 넓거나, 교량 하부에서 타설이 가능한 경우 적용
- 압송관 타설: 교량이나 터널 (L=300~500m)에 적합
- 개조장비 타설: 개조 믹서트럭을 이용하여 타설</t>
        </is>
      </c>
      <c r="J7" s="14" t="inlineStr">
        <is>
          <t>콘크리트 타설공정 계획서, 펌프카 배치도</t>
        </is>
      </c>
      <c r="K7" s="14" t="inlineStr">
        <is>
          <t>KCS 47 30 00 콘크리트 궤도 시방 준수. 펌프카 타설압력에 의한 궤광 변위 방지 지지 계획 수립.</t>
        </is>
      </c>
      <c r="L7" s="53" t="inlineStr">
        <is>
          <t>👉 [더블클릭] 표준서 열기 📄</t>
        </is>
      </c>
      <c r="M7" s="14" t="inlineStr">
        <is>
          <t>1) TCL 콘크리트(f_ck ≥ 30 MPa) 및 PST 충전재(f_ck ≥ 45 MPa) 배합 성적서 확인
2) 레미콘 운반시간(60분 이내) 및 펌프카 배치 공간 사전 확보</t>
        </is>
      </c>
      <c r="N7" s="53" t="inlineStr">
        <is>
          <t>👉 [더블클릭] 수행지침 열기 📄</t>
        </is>
      </c>
      <c r="O7" s="14" t="inlineStr">
        <is>
          <t>구간별 펌프카 배치도 작성, 타설 시 궤광 고정 잭 지지 계획 승인, 콘크리트 슬럼프 품질 확인</t>
        </is>
      </c>
      <c r="P7" s="53" t="inlineStr">
        <is>
          <t>👉 [더블클릭] 체크리스트 열기 📄</t>
        </is>
      </c>
      <c r="Q7" s="13" t="n"/>
      <c r="R7" s="14" t="inlineStr">
        <is>
          <t>● 콘크리트 연속타설 및 콜드조인트 방지 기준</t>
        </is>
      </c>
      <c r="S7" s="18" t="inlineStr">
        <is>
          <t>1) 👉 [더블클릭] 체크리스트 열기 📄</t>
        </is>
      </c>
      <c r="T7" s="14" t="n"/>
    </row>
    <row r="8" ht="219.6" customHeight="1">
      <c r="A8" s="13" t="inlineStr">
        <is>
          <t>9000</t>
        </is>
      </c>
      <c r="B8" s="13" t="inlineStr">
        <is>
          <t>9000-6</t>
        </is>
      </c>
      <c r="C8" s="44" t="inlineStr">
        <is>
          <t>콘크리트도상분야</t>
        </is>
      </c>
      <c r="D8" s="13" t="inlineStr">
        <is>
          <t>9000-6-7</t>
        </is>
      </c>
      <c r="E8" s="13" t="inlineStr">
        <is>
          <t>D-60</t>
        </is>
      </c>
      <c r="F8" s="13" t="inlineStr">
        <is>
          <t>작수전 Big Room 회의</t>
        </is>
      </c>
      <c r="G8" s="13" t="inlineStr">
        <is>
          <t>현장소장</t>
        </is>
      </c>
      <c r="H8" s="14" t="inlineStr">
        <is>
          <t>궤도공사 수행 시 공정계획 수립 / 수행 시 예상가능한 Risk 검토</t>
        </is>
      </c>
      <c r="I8" s="14" t="inlineStr">
        <is>
          <t>본사/현장/협력사 협의체 구축 후 상세검토
1) 궤도공사 공정계획 수립: 
  - 자재, 장비 반입로/반입구 사용가능 시기에 따른 자재반입 계획 수립, 
  - 노선 Handover 시기에 따른 시공계획 수립
2) 타설계획 수립: 
  -현장여건을 고려한 타설방법 선정
3) 공종별 Risk Hedge방안 검토: 
 - 외산자재 반입일정 확정
 - 플래시버트 장비 임대 또는 특수용접사 확보
※ 참석: 현장소장, 공무/공사/품질/안전 Part담당자, 궤도협력업체, 선후행 공종 협력업체, 본사 담당팀(견적/설계/수행(공정)/품질/안전)</t>
        </is>
      </c>
      <c r="J8" s="14" t="inlineStr">
        <is>
          <t>빅룸 회의록, 인터페이스 대장</t>
        </is>
      </c>
      <c r="K8" s="14" t="inlineStr">
        <is>
          <t>노반-궤도 간 인터페이스, 신호 루프 센서 및 누설 전류(Stray Current) 부식 방지 디오드 접지선 매설 계획 의결.</t>
        </is>
      </c>
      <c r="L8" s="17" t="inlineStr">
        <is>
          <t>👉 [더블클릭] 표준서 열기 📄</t>
        </is>
      </c>
      <c r="M8" s="14" t="inlineStr">
        <is>
          <t>1) 노반-궤도 인수인계 높이 공차 및 신호 루프센서 위치 취합
2) 도로 매설 궤도 표면과 도로 포장 표면 마감 높이 일치성 확정</t>
        </is>
      </c>
      <c r="N8" s="53" t="inlineStr">
        <is>
          <t>👉 [더블클릭] 수행지침 열기 📄</t>
        </is>
      </c>
      <c r="O8" s="14" t="inlineStr">
        <is>
          <t>신호 센서 매설 위치 철근 간섭 해결, 접지선 용접부 연속성 확인, 부서 합동 서명 날인</t>
        </is>
      </c>
      <c r="P8" s="17" t="inlineStr">
        <is>
          <t>👉 [더블클릭] 체크리스트 열기 📄</t>
        </is>
      </c>
      <c r="Q8" s="13" t="n"/>
      <c r="R8" s="14" t="inlineStr">
        <is>
          <t>● 유관 공종(토목, 전기, 신호) 인터페이스 검토</t>
        </is>
      </c>
      <c r="S8" s="18" t="inlineStr">
        <is>
          <t>1) 👉 [더블클릭] 체크리스트 열기 📄</t>
        </is>
      </c>
      <c r="T8" s="14" t="n"/>
    </row>
    <row r="9" ht="76.8" customHeight="1">
      <c r="A9" s="13" t="inlineStr">
        <is>
          <t>9000</t>
        </is>
      </c>
      <c r="B9" s="13" t="inlineStr">
        <is>
          <t>9000-6</t>
        </is>
      </c>
      <c r="C9" s="44" t="inlineStr">
        <is>
          <t>콘크리트도상분야</t>
        </is>
      </c>
      <c r="D9" s="13" t="inlineStr">
        <is>
          <t>9000-6-8</t>
        </is>
      </c>
      <c r="E9" s="13" t="inlineStr">
        <is>
          <t>D-60</t>
        </is>
      </c>
      <c r="F9" s="13" t="inlineStr">
        <is>
          <t>장비,자재 반입로/반입구 간섭 검토</t>
        </is>
      </c>
      <c r="G9" s="13" t="inlineStr">
        <is>
          <t>현장공사팀</t>
        </is>
      </c>
      <c r="H9" s="14" t="inlineStr">
        <is>
          <t>장비, 자재의 반입로/반입구의 타공종 간섭 검토</t>
        </is>
      </c>
      <c r="I9" s="14" t="inlineStr">
        <is>
          <t>- 자재반입 시 노반 시공 간섭 검토
- 자재반입로/반입구 사용가능 시기 검토</t>
        </is>
      </c>
      <c r="J9" s="14" t="inlineStr">
        <is>
          <t>반입로 시뮬레이션 보고서, 도로점용 허가서</t>
        </is>
      </c>
      <c r="K9" s="14" t="inlineStr">
        <is>
          <t>장대레일 운반 트레일러(길이 25m 이상) 도로 회전 반경 R=15m 확보 및 타공종 가설재 간섭 배제.</t>
        </is>
      </c>
      <c r="L9" s="17" t="inlineStr">
        <is>
          <t>👉 [더블클릭] 표준서 열기 📄</t>
        </is>
      </c>
      <c r="M9" s="14" t="inlineStr">
        <is>
          <t>1) 상부 신호등/가공전선 이격거리(5m 이상) 및 도로점용 허가 구역 조사
2) 전담 신호수 배치 및 대형 레일 운반 차량 유도</t>
        </is>
      </c>
      <c r="N9" s="17" t="inlineStr">
        <is>
          <t>👉 [더블클릭] 수행지침 열기 📄</t>
        </is>
      </c>
      <c r="O9" s="14" t="inlineStr">
        <is>
          <t>트레일러 회전 시뮬레이션 승인, 가설 비계 간섭 범위 해제, 도로 점용 허가 필증 확인</t>
        </is>
      </c>
      <c r="P9" s="53" t="inlineStr">
        <is>
          <t>👉 [더블클릭] 체크리스트 열기 📄</t>
        </is>
      </c>
      <c r="Q9" s="13" t="n"/>
      <c r="R9" s="14" t="inlineStr">
        <is>
          <t>● 궤도 시공 가설 동선 적합성 검토</t>
        </is>
      </c>
      <c r="S9" s="18" t="inlineStr">
        <is>
          <t>1) 👉 [더블클릭] 체크리스트 열기 📄</t>
        </is>
      </c>
      <c r="T9" s="14" t="n"/>
    </row>
    <row r="10" ht="76.8" customHeight="1">
      <c r="A10" s="13" t="inlineStr">
        <is>
          <t>9000</t>
        </is>
      </c>
      <c r="B10" s="13" t="inlineStr">
        <is>
          <t>9000-6</t>
        </is>
      </c>
      <c r="C10" s="44" t="inlineStr">
        <is>
          <t>콘크리트도상분야</t>
        </is>
      </c>
      <c r="D10" s="13" t="inlineStr">
        <is>
          <t>9000-6-9</t>
        </is>
      </c>
      <c r="E10" s="13" t="inlineStr">
        <is>
          <t>D-60</t>
        </is>
      </c>
      <c r="F10" s="13" t="inlineStr">
        <is>
          <t>자재조달계획 검토</t>
        </is>
      </c>
      <c r="G10" s="13" t="inlineStr">
        <is>
          <t>현장관리팀, 현장공사팀</t>
        </is>
      </c>
      <c r="H10" s="14" t="inlineStr">
        <is>
          <t>외산자재 검수 및 반입일정 검토 / 노반 공정에 따른 반입 시기 검토</t>
        </is>
      </c>
      <c r="I10" s="14" t="inlineStr">
        <is>
          <t>- 외산자재 수량 및 위치, 야적장 규모 등을 고려하여 주문 시기 검토
- 노반 인도 구역 및 규모에 따른 자재 조달계획 수립</t>
        </is>
      </c>
      <c r="J10" s="14" t="inlineStr">
        <is>
          <t>자재수급스케줄표, 조달 승인서</t>
        </is>
      </c>
      <c r="K10" s="14" t="inlineStr">
        <is>
          <t>홈레일, 체결구, 탄성 충전재 등 주요 자재의 해상 운송 및 국내 보관 일정 검토. OMC 품질 시방 확보.</t>
        </is>
      </c>
      <c r="L10" s="53" t="inlineStr">
        <is>
          <t>👉 [더블클릭] 표준서 열기 📄</t>
        </is>
      </c>
      <c r="M10" s="14" t="inlineStr">
        <is>
          <t>1) 특수 홈레일 및 PST 패널 조달 마스터 일정표 검토
2) PST 슬래브 공장 생산 강도 및 홈레일 단면 검수</t>
        </is>
      </c>
      <c r="N10" s="53" t="inlineStr">
        <is>
          <t>👉 [더블클릭] 수행지침 열기 📄</t>
        </is>
      </c>
      <c r="O10" s="14" t="inlineStr">
        <is>
          <t>선적 서류 및 통관 승인서 구비, 국내 야적장 2차 보관 상태 점검, 자재 공급 승인서 확인</t>
        </is>
      </c>
      <c r="P10" s="17" t="inlineStr">
        <is>
          <t>👉 [더블클릭] 체크리스트 열기 📄</t>
        </is>
      </c>
      <c r="Q10" s="13" t="n"/>
      <c r="R10" s="14" t="inlineStr">
        <is>
          <t>● 주요 외산 자재 공급 및 선적 일정 확인</t>
        </is>
      </c>
      <c r="S10" s="18" t="inlineStr">
        <is>
          <t>1) 👉 [더블클릭] 체크리스트 열기 📄</t>
        </is>
      </c>
      <c r="T10" s="14" t="n"/>
    </row>
    <row r="11" ht="57.6" customHeight="1">
      <c r="A11" s="13" t="inlineStr">
        <is>
          <t>9000</t>
        </is>
      </c>
      <c r="B11" s="13" t="inlineStr">
        <is>
          <t>9000-6</t>
        </is>
      </c>
      <c r="C11" s="44" t="inlineStr">
        <is>
          <t>콘크리트도상분야</t>
        </is>
      </c>
      <c r="D11" s="13" t="inlineStr">
        <is>
          <t>9000-6-10</t>
        </is>
      </c>
      <c r="E11" s="13" t="inlineStr">
        <is>
          <t>D-50 (D-60~50)</t>
        </is>
      </c>
      <c r="F11" s="13" t="inlineStr">
        <is>
          <t>자재 발주 요청</t>
        </is>
      </c>
      <c r="G11" s="13" t="inlineStr">
        <is>
          <t>현장 공무팀</t>
        </is>
      </c>
      <c r="H11" s="14" t="inlineStr">
        <is>
          <t>시공에 필요한 자재 발주</t>
        </is>
      </c>
      <c r="I11" s="14" t="inlineStr">
        <is>
          <t>- 자재 규격 및 반입 일정 계획 수립
- 시공에 필요한 당사 지급자재에 대한 발주 요청
- 지원: GP/SRM팀</t>
        </is>
      </c>
      <c r="J11" s="14" t="inlineStr">
        <is>
          <t>자재청구서, 공급원 승인요청철</t>
        </is>
      </c>
      <c r="K11" s="14" t="inlineStr">
        <is>
          <t>KDS 47 30 00 및 EN 규격 기준 자재 발주서 승인. 공급원 검토 승인 요청서 작성 요령 준수.</t>
        </is>
      </c>
      <c r="L11" s="53" t="inlineStr">
        <is>
          <t>👉 [더블클릭] 표준서 열기 📄</t>
        </is>
      </c>
      <c r="M11" s="14" t="inlineStr">
        <is>
          <t>1) kg/m 레일, 51R1 홈레일, PST 패널 산출 물량 검증
2) 공장 검사(FAT) 조건 및 성적서 첨부 명시</t>
        </is>
      </c>
      <c r="N11" s="17" t="inlineStr">
        <is>
          <t>👉 [더블클릭] 수행지침 열기 📄</t>
        </is>
      </c>
      <c r="O11" s="14" t="inlineStr">
        <is>
          <t>자재 발주 수량 설계 대조, 공급원 승인 필증 원본 확인, 발주 공문 승인 요청</t>
        </is>
      </c>
      <c r="P11" s="17" t="inlineStr">
        <is>
          <t>👉 [더블클릭] 체크리스트 열기 📄</t>
        </is>
      </c>
      <c r="Q11" s="13" t="n"/>
      <c r="R11" s="14" t="inlineStr">
        <is>
          <t>● 조달 지침 및 품질 규격 검토</t>
        </is>
      </c>
      <c r="S11" s="18" t="inlineStr">
        <is>
          <t>1) 👉 [더블클릭] 체크리스트 열기 📄</t>
        </is>
      </c>
      <c r="T11" s="14" t="n"/>
    </row>
    <row r="12" ht="88.8" customHeight="1">
      <c r="A12" s="13" t="inlineStr">
        <is>
          <t>9000</t>
        </is>
      </c>
      <c r="B12" s="13" t="inlineStr">
        <is>
          <t>9000-6</t>
        </is>
      </c>
      <c r="C12" s="44" t="inlineStr">
        <is>
          <t>콘크리트도상분야</t>
        </is>
      </c>
      <c r="D12" s="13" t="inlineStr">
        <is>
          <t>9000-6-11</t>
        </is>
      </c>
      <c r="E12" s="13" t="inlineStr">
        <is>
          <t>D-30 (D-60~D-30)</t>
        </is>
      </c>
      <c r="F12" s="13" t="inlineStr">
        <is>
          <t>시공계획 수립</t>
        </is>
      </c>
      <c r="G12" s="13" t="inlineStr">
        <is>
          <t>현장 공사팀/공무팀/안전팀/품질팀</t>
        </is>
      </c>
      <c r="H12" s="14" t="inlineStr">
        <is>
          <t>궤도공 전반에 대한 수행 계획 공유</t>
        </is>
      </c>
      <c r="I12" s="14" t="inlineStr">
        <is>
          <t>- 공사 위치, 공사 수행 순서, 공사 수행방법 설명 회의를 통한 공유
- 주요 공정별 시공/안전/장비/자재관련 유의사항 토의
- 문제점 발굴 및 대책 마련 브레인 스토밍</t>
        </is>
      </c>
      <c r="J12" s="14" t="inlineStr">
        <is>
          <t>궤도공사 시공계획서, 안전보건계획서</t>
        </is>
      </c>
      <c r="K12" s="14" t="inlineStr">
        <is>
          <t>콘크리트도상 시공 절차 및 공정 스케줄 작성. 궤간(+3,-1mm), 캔트(±2mm) 관리계획 수립.</t>
        </is>
      </c>
      <c r="L12" s="53" t="inlineStr">
        <is>
          <t>👉 [더블클릭] 표준서 열기 📄</t>
        </is>
      </c>
      <c r="M12" s="14" t="inlineStr">
        <is>
          <t>1) HBS 노반 지지력 검증 및 궤도 정밀 CP 측량 시공계획 수립
2) 스핀들 게이지 조정, 테르밋 용접(EN 14730) 및 TCL 콘크리트 타설 수칙 수립</t>
        </is>
      </c>
      <c r="N12" s="53" t="inlineStr">
        <is>
          <t>👉 [더블클릭] 수행지침 열기 📄</t>
        </is>
      </c>
      <c r="O12" s="14" t="inlineStr">
        <is>
          <t>시공계획서 감리단 최종 승인, 선형 관리 한계선 설정 확인, 품질보증계획서 제출</t>
        </is>
      </c>
      <c r="P12" s="53" t="inlineStr">
        <is>
          <t>👉 [더블클릭] 체크리스트 열기 📄</t>
        </is>
      </c>
      <c r="Q12" s="13" t="n"/>
      <c r="R12" s="14" t="inlineStr">
        <is>
          <t>● 궤도 공사 표준시방서 만족</t>
        </is>
      </c>
      <c r="S12" s="18" t="inlineStr">
        <is>
          <t>1) 👉 [더블클릭] 체크리스트 열기 📄</t>
        </is>
      </c>
      <c r="T12" s="14" t="n"/>
    </row>
    <row r="13" ht="110.4" customHeight="1">
      <c r="A13" s="13" t="inlineStr">
        <is>
          <t>9000</t>
        </is>
      </c>
      <c r="B13" s="13" t="inlineStr">
        <is>
          <t>9000-6</t>
        </is>
      </c>
      <c r="C13" s="44" t="inlineStr">
        <is>
          <t>콘크리트도상분야</t>
        </is>
      </c>
      <c r="D13" s="13" t="inlineStr">
        <is>
          <t>9000-6-12</t>
        </is>
      </c>
      <c r="E13" s="13" t="inlineStr">
        <is>
          <t>D-0 (D-30~D-0)</t>
        </is>
      </c>
      <c r="F13" s="13" t="inlineStr">
        <is>
          <t>자재 반입</t>
        </is>
      </c>
      <c r="G13" s="13" t="inlineStr">
        <is>
          <t>현장 공사팀/자재팀</t>
        </is>
      </c>
      <c r="H13" s="14" t="inlineStr">
        <is>
          <t>매립형 궤도/반-PC슬래브용 주요 자재 반입</t>
        </is>
      </c>
      <c r="I13" s="14" t="inlineStr">
        <is>
          <t>- 그루브드레일, 레일고정액상수지, 분기기, 특수 분기기는 외산 자재이며 콘크리트도상 시공 60일 전 공장검수 및 반입 일정을 결정 (체결장치는 국내 생산)
- 주로 25Ton 장축 트레일러가 운반장비로 투입되며, 대형차량 이동에 따른 도로 차단계획, 싸인카 투입, 신호수 배치 와 같은 교통관리 계획에 대하여 경찰서, 구청과 사전협의</t>
        </is>
      </c>
      <c r="J13" s="14" t="inlineStr">
        <is>
          <t>자재인수검사 대장, 불량재 처리부</t>
        </is>
      </c>
      <c r="K13" s="14" t="inlineStr">
        <is>
          <t>반입 자재의 공장 성적서 대조 및 감리 입회 자재 인수 검사 수행. 변형/균열 자재 전량 반출.</t>
        </is>
      </c>
      <c r="L13" s="17" t="inlineStr">
        <is>
          <t>👉 [더블클릭] 표준서 열기 📄</t>
        </is>
      </c>
      <c r="M13" s="14" t="inlineStr">
        <is>
          <t>1) 송장, 공장 시험성적서 및 KCS 시방 사양 대조
2) 레일 표면 흠집 및 PST 패널 치수 오차(±2mm) 측정</t>
        </is>
      </c>
      <c r="N13" s="53" t="inlineStr">
        <is>
          <t>👉 [더블클릭] 수행지침 열기 📄</t>
        </is>
      </c>
      <c r="O13" s="14" t="inlineStr">
        <is>
          <t>인수 검서 보고서 감리 서명, 자재 고유 마킹 대조, 손상 자재 반출 대장 기록</t>
        </is>
      </c>
      <c r="P13" s="17" t="inlineStr">
        <is>
          <t>👉 [더블클릭] 체크리스트 열기 📄</t>
        </is>
      </c>
      <c r="Q13" s="13" t="n"/>
      <c r="R13" s="14" t="inlineStr">
        <is>
          <t>● 자재 시험성적서 및 외산 자재 수입 적격 증명</t>
        </is>
      </c>
      <c r="S13" s="18" t="inlineStr">
        <is>
          <t>1) 👉 [더블클릭] 체크리스트 열기 📄</t>
        </is>
      </c>
      <c r="T13" s="14" t="n"/>
    </row>
    <row r="14" ht="86.40000000000001" customHeight="1">
      <c r="A14" s="13" t="inlineStr">
        <is>
          <t>9000</t>
        </is>
      </c>
      <c r="B14" s="13" t="inlineStr">
        <is>
          <t>9000-6</t>
        </is>
      </c>
      <c r="C14" s="44" t="inlineStr">
        <is>
          <t>콘크리트도상분야</t>
        </is>
      </c>
      <c r="D14" s="13" t="inlineStr">
        <is>
          <t>9000-6-13</t>
        </is>
      </c>
      <c r="E14" s="13" t="inlineStr">
        <is>
          <t>D+1 (D-0~D+1)</t>
        </is>
      </c>
      <c r="F14" s="13" t="inlineStr">
        <is>
          <t>[HBS] 강화노반 확인</t>
        </is>
      </c>
      <c r="G14" s="13" t="inlineStr">
        <is>
          <t>현장 공사팀</t>
        </is>
      </c>
      <c r="H14" s="14" t="inlineStr">
        <is>
          <t>기존 도로구간 노상토의 지지력 검증</t>
        </is>
      </c>
      <c r="I14" s="14" t="inlineStr">
        <is>
          <t>- 사전토공사 인수계획서 확인
- 터파기 시행 후 들밀도 시험을 통한 상대다짐도 또는 현장 재하시험을 통한 강화노반변형률 계수 확인
- 배수 상태 점검</t>
        </is>
      </c>
      <c r="J14" s="14" t="inlineStr">
        <is>
          <t>강화노반 인수교차측량 대장, PBT 성적철</t>
        </is>
      </c>
      <c r="K14" s="14" t="inlineStr">
        <is>
          <t>기초 노반 표면의 지지력 검증. 평판재하시험 K30 ≥ 110 MN/m³ 또는 Ev2 ≥ 120 MPa 확인.</t>
        </is>
      </c>
      <c r="L14" s="17" t="inlineStr">
        <is>
          <t>👉 [더블클릭] 표준서 열기 📄</t>
        </is>
      </c>
      <c r="M14" s="14" t="inlineStr">
        <is>
          <t>1) 노반 공종으로부터 지지력 K70 ≥ 150 MPa/m 성적서 수령
2) 노반 높이 오차(±10mm 이내) 광학 레벨 측량 검증</t>
        </is>
      </c>
      <c r="N14" s="53" t="inlineStr">
        <is>
          <t>👉 [더블클릭] 수행지침 열기 📄</t>
        </is>
      </c>
      <c r="O14" s="14" t="inlineStr">
        <is>
          <t>K30 성적서 원본 대조, 노반 마무리면 요철 제거 상태, 횡단 구배 2.0% 만족 확인</t>
        </is>
      </c>
      <c r="P14" s="17" t="inlineStr">
        <is>
          <t>👉 [더블클릭] 체크리스트 열기 📄</t>
        </is>
      </c>
      <c r="Q14" s="13" t="n"/>
      <c r="R14" s="14" t="inlineStr">
        <is>
          <t>● 강화노반 K30 지지력 계수 규격 준수</t>
        </is>
      </c>
      <c r="S14" s="18" t="inlineStr">
        <is>
          <t>1) 👉 [더블클릭] 체크리스트 열기 📄</t>
        </is>
      </c>
      <c r="T14" s="14" t="n"/>
    </row>
    <row r="15" ht="76.8" customHeight="1">
      <c r="A15" s="13" t="inlineStr">
        <is>
          <t>9000</t>
        </is>
      </c>
      <c r="B15" s="13" t="inlineStr">
        <is>
          <t>9000-6</t>
        </is>
      </c>
      <c r="C15" s="44" t="inlineStr">
        <is>
          <t>콘크리트도상분야</t>
        </is>
      </c>
      <c r="D15" s="13" t="inlineStr">
        <is>
          <t>9000-6-14</t>
        </is>
      </c>
      <c r="E15" s="13" t="inlineStr">
        <is>
          <t>D+15 (D+2~D+15)</t>
        </is>
      </c>
      <c r="F15" s="13" t="inlineStr">
        <is>
          <t>[HBS] 콘크리트 타설 및 양생</t>
        </is>
      </c>
      <c r="G15" s="13" t="inlineStr">
        <is>
          <t>현장 공사팀</t>
        </is>
      </c>
      <c r="H15" s="14" t="inlineStr">
        <is>
          <t>강화노반 상부 기초콘크리트로 TCL, 반-PC 슬래브 안정성 확보</t>
        </is>
      </c>
      <c r="I15" s="14" t="inlineStr">
        <is>
          <t>슬럼프 값 10cm 이하, 압축강도 18Mpa 이상 콘크리트 타설
- 품질확보를 위해 공장과 현장 이격거리 4.8km 이내</t>
        </is>
      </c>
      <c r="J15" s="14" t="inlineStr">
        <is>
          <t>HBR 콘크리트 품질시험표, 양생온도일지</t>
        </is>
      </c>
      <c r="K15" s="14" t="inlineStr">
        <is>
          <t>강화노반 상부 기초콘크리트(HBR) 28일 압축강도 ≥ 21 MPa 확보. 고주파 다짐 및 습윤 양생 7일.</t>
        </is>
      </c>
      <c r="L15" s="17" t="inlineStr">
        <is>
          <t>👉 [더블클릭] 표준서 열기 📄</t>
        </is>
      </c>
      <c r="M15" s="14" t="inlineStr">
        <is>
          <t>1) 콘크리트 시멘트풀 유출 방지 거푸집 패킹 설치
2) 콜드조인트 방지 연속 타설 및 바이브레이터 밀실 다짐</t>
        </is>
      </c>
      <c r="N15" s="53" t="inlineStr">
        <is>
          <t>👉 [더블클릭] 수행지침 열기 📄</t>
        </is>
      </c>
      <c r="O15" s="14" t="inlineStr">
        <is>
          <t>HBR 강도 시험 성적서, 습윤 부직포 포설 상태, 타설 두께 오차 ±10mm 이내 검속</t>
        </is>
      </c>
      <c r="P15" s="17" t="inlineStr">
        <is>
          <t>👉 [더블클릭] 체크리스트 열기 📄</t>
        </is>
      </c>
      <c r="Q15" s="13" t="n"/>
      <c r="R15" s="14" t="inlineStr">
        <is>
          <t>● 기초 콘크리트 압축강도 및 공차 관리</t>
        </is>
      </c>
      <c r="S15" s="18" t="inlineStr">
        <is>
          <t>1) 👉 [더블클릭] 체크리스트 열기 📄</t>
        </is>
      </c>
      <c r="T15" s="14" t="n"/>
    </row>
    <row r="16" ht="76.8" customHeight="1">
      <c r="A16" s="13" t="inlineStr">
        <is>
          <t>9000</t>
        </is>
      </c>
      <c r="B16" s="13" t="inlineStr">
        <is>
          <t>9000-6</t>
        </is>
      </c>
      <c r="C16" s="44" t="inlineStr">
        <is>
          <t>콘크리트도상분야</t>
        </is>
      </c>
      <c r="D16" s="13" t="inlineStr">
        <is>
          <t>9000-6-15</t>
        </is>
      </c>
      <c r="E16" s="13" t="inlineStr">
        <is>
          <t>D+15 (D+10~D+15)</t>
        </is>
      </c>
      <c r="F16" s="13" t="inlineStr">
        <is>
          <t>[반-PC 슬래브] 패널반입 및 설치</t>
        </is>
      </c>
      <c r="G16" s="13" t="inlineStr">
        <is>
          <t>현장 공사팀</t>
        </is>
      </c>
      <c r="H16" s="14" t="inlineStr">
        <is>
          <t>궤광지지체 구간의 PC 슬래브로 교차로/교량구간 급속시공 필요</t>
        </is>
      </c>
      <c r="I16" s="14" t="inlineStr">
        <is>
          <t>PC 슬래브 반입 시, 균열 및 오염 유무를 확인하고, 캔트가 설계 제원에 맞게 제작되었는지 확인
- PC 슬래브 설치 시, 보조도상에 표기된 위치에 정정위치하고, 받침목을 모서리부(패널 길이의 1/4, 3/4 지점) 좌우 4개소 배치
- 사전 적재위치 선정을 통해 소요반 비용발생을 방지</t>
        </is>
      </c>
      <c r="J16" s="14" t="inlineStr">
        <is>
          <t>PC슬래브 거치 수준 실측표, 평탄성 대장</t>
        </is>
      </c>
      <c r="K16" s="14" t="inlineStr">
        <is>
          <t>PC 슬래브 패널 평탄성 오차 ±3mm 이내 거치. 광학 토탈스테이션 연동 정밀 3D 얼라인먼트.</t>
        </is>
      </c>
      <c r="L16" s="17" t="inlineStr">
        <is>
          <t>👉 [더블클릭] 표준서 열기 📄</t>
        </is>
      </c>
      <c r="M16" s="14" t="inlineStr">
        <is>
          <t>1) 노반 표면 이물질 청소 및 광학 측량기 셋팅
2) 점 인양 빔으로 패널 거치 후 스핀들 게이지 정밀 수평 조정</t>
        </is>
      </c>
      <c r="N16" s="17" t="inlineStr">
        <is>
          <t>👉 [더블클릭] 수행지침 열기 📄</t>
        </is>
      </c>
      <c r="O16" s="14" t="inlineStr">
        <is>
          <t>Screw Jack 레벨 정위치 고정, 3D 광학 실측 좌표 일치, 코너 크랙 육안 검사</t>
        </is>
      </c>
      <c r="P16" s="53" t="inlineStr">
        <is>
          <t>👉 [더블클릭] 체크리스트 열기 📄</t>
        </is>
      </c>
      <c r="Q16" s="13" t="n"/>
      <c r="R16" s="14" t="inlineStr">
        <is>
          <t>● PC 슬래브 제작 허용 오차 만족</t>
        </is>
      </c>
      <c r="S16" s="18" t="inlineStr">
        <is>
          <t>1) 👉 [더블클릭] 체크리스트 열기 📄</t>
        </is>
      </c>
      <c r="T16" s="14" t="n"/>
    </row>
    <row r="17" ht="76.8" customHeight="1">
      <c r="A17" s="13" t="inlineStr">
        <is>
          <t>9000</t>
        </is>
      </c>
      <c r="B17" s="13" t="inlineStr">
        <is>
          <t>9000-6</t>
        </is>
      </c>
      <c r="C17" s="44" t="inlineStr">
        <is>
          <t>콘크리트도상분야</t>
        </is>
      </c>
      <c r="D17" s="13" t="inlineStr">
        <is>
          <t>9000-6-16</t>
        </is>
      </c>
      <c r="E17" s="13" t="inlineStr">
        <is>
          <t>D+16 (D+16~D+16)</t>
        </is>
      </c>
      <c r="F17" s="13" t="inlineStr">
        <is>
          <t>[PST] 전단앵커설치 및 충전재 주입</t>
        </is>
      </c>
      <c r="G17" s="13" t="inlineStr">
        <is>
          <t>현장 공사팀</t>
        </is>
      </c>
      <c r="H17" s="14" t="inlineStr">
        <is>
          <t>HBS, TCL층과 일체화를 위하여 전단앵커를 설치하고 몰탈 충전재 주입</t>
        </is>
      </c>
      <c r="I17" s="14" t="inlineStr">
        <is>
          <t>충전재 주입 중 재료나 장비의 이상으로 완전히 충전되지 않을 경우에는 충전재가 경화되기 전에 기 주입된 충전재를 제거하고 물청소를 시행한 후 재작업 실시
- EVA Foam 구멍을 뚫어 몰탈 유출 확인, 밀실하게 충진되었는지 확인
- 충전재 주입이 완료되면 충전층이 경화되기 전에 전단키 덮개를 시공하여 수분의 유입을 차단</t>
        </is>
      </c>
      <c r="J17" s="14" t="inlineStr">
        <is>
          <t>앵커 시공인장 시험기록, 그라우트 공시체 강도대장</t>
        </is>
      </c>
      <c r="K17" s="14" t="inlineStr">
        <is>
          <t>전단앵커 구멍 천공 깊이 및 수직도 확보. 무수축 모르타르 그라우트 압축강도 ≥ 30 MPa 충전.</t>
        </is>
      </c>
      <c r="L17" s="17" t="inlineStr">
        <is>
          <t>👉 [더블클릭] 표준서 열기 📄</t>
        </is>
      </c>
      <c r="M17" s="14" t="inlineStr">
        <is>
          <t>1) 앵커 홀 이물질 제거 및 무수축 그라우트 배합비 확인
2) 음향 탐사로 공기 공동 파악 및 45 MPa 몰드 시험 확인</t>
        </is>
      </c>
      <c r="N17" s="17" t="inlineStr">
        <is>
          <t>👉 [더블클릭] 수행지침 열기 📄</t>
        </is>
      </c>
      <c r="O17" s="14" t="inlineStr">
        <is>
          <t>천공 깊이 측정 게이지 점검, 앵커 인장 강도 확인, 원웨이 주입 배출구 몰탈 오버플로우 확인</t>
        </is>
      </c>
      <c r="P17" s="17" t="inlineStr">
        <is>
          <t>👉 [더블클릭] 체크리스트 열기 📄</t>
        </is>
      </c>
      <c r="Q17" s="13" t="n"/>
      <c r="R17" s="14" t="inlineStr">
        <is>
          <t>● 충전 몰탈 품질 및 전단앵커 정착 깊이</t>
        </is>
      </c>
      <c r="S17" s="18" t="inlineStr">
        <is>
          <t>1) 👉 [더블클릭] 체크리스트 열기 📄</t>
        </is>
      </c>
      <c r="T17" s="14" t="n"/>
    </row>
    <row r="18" ht="76.8" customHeight="1">
      <c r="A18" s="13" t="inlineStr">
        <is>
          <t>9000</t>
        </is>
      </c>
      <c r="B18" s="13" t="inlineStr">
        <is>
          <t>9000-6</t>
        </is>
      </c>
      <c r="C18" s="44" t="inlineStr">
        <is>
          <t>콘크리트도상분야</t>
        </is>
      </c>
      <c r="D18" s="13" t="inlineStr">
        <is>
          <t>9000-6-17</t>
        </is>
      </c>
      <c r="E18" s="13" t="inlineStr">
        <is>
          <t>D+30 (D+17~D+30)</t>
        </is>
      </c>
      <c r="F18" s="13" t="inlineStr">
        <is>
          <t>[TCL] 궤광 및 철근조립</t>
        </is>
      </c>
      <c r="G18" s="13" t="inlineStr">
        <is>
          <t>현장 공사팀</t>
        </is>
      </c>
      <c r="H18" s="14" t="inlineStr">
        <is>
          <t>TCL 철근조립 및 부설시 매립형 궤도를 포함한 궤광의 변위 발생 방지</t>
        </is>
      </c>
      <c r="I18" s="14" t="inlineStr">
        <is>
          <t>임시침목을 이용한 궤광 설치 및 줄틀림, 면틀림, 중심간격 허용오차는 3mm 이내
- 종방향, 횡방향 철근 조립시 2m 간격설치, 철근처짐이 없도록 용접 또는 결속</t>
        </is>
      </c>
      <c r="J18" s="14" t="inlineStr">
        <is>
          <t>철근배근 검측서, 신호 이격 거리표</t>
        </is>
      </c>
      <c r="K18" s="14" t="inlineStr">
        <is>
          <t>1,435mm 표준궤 정밀 유지 타이바 설치. 철근 피복 두께 40mm 확보 및 신호 감선 이격 150mm.</t>
        </is>
      </c>
      <c r="L18" s="17" t="inlineStr">
        <is>
          <t>👉 [더블클릭] 표준서 열기 📄</t>
        </is>
      </c>
      <c r="M18" s="14" t="inlineStr">
        <is>
          <t>1) CP 광학 레벨기로 궤도 중심선 및 기준 높이 확인
2) 궤간 1,435mm(+3,-1mm) 고정 및 캔트/수평 오차 ±2mm 이내 정밀 정열</t>
        </is>
      </c>
      <c r="N18" s="53" t="inlineStr">
        <is>
          <t>👉 [더블클릭] 수행지침 열기 📄</t>
        </is>
      </c>
      <c r="O18" s="14" t="inlineStr">
        <is>
          <t>철근 결속선 긴장 상태, 타이바 조임 토크 확인, 신호 루프 케이블 배근 이격 확인</t>
        </is>
      </c>
      <c r="P18" s="17" t="inlineStr">
        <is>
          <t>👉 [더블클릭] 체크리스트 열기 📄</t>
        </is>
      </c>
      <c r="Q18" s="13" t="n"/>
      <c r="R18" s="14" t="inlineStr">
        <is>
          <t>● 궤도 기하구조 공차(3mm 이내) 관리</t>
        </is>
      </c>
      <c r="S18" s="18" t="inlineStr">
        <is>
          <t>1) 👉 [더블클릭] 체크리스트 열기 📄</t>
        </is>
      </c>
      <c r="T18" s="14" t="n"/>
    </row>
    <row r="19" ht="76.8" customHeight="1">
      <c r="A19" s="13" t="inlineStr">
        <is>
          <t>9000</t>
        </is>
      </c>
      <c r="B19" s="13" t="inlineStr">
        <is>
          <t>9000-6</t>
        </is>
      </c>
      <c r="C19" s="44" t="inlineStr">
        <is>
          <t>콘크리트도상분야</t>
        </is>
      </c>
      <c r="D19" s="13" t="inlineStr">
        <is>
          <t>9000-6-18</t>
        </is>
      </c>
      <c r="E19" s="13" t="inlineStr">
        <is>
          <t>D+35 (D+31~D+35)</t>
        </is>
      </c>
      <c r="F19" s="13" t="inlineStr">
        <is>
          <t>[TCL] 거푸집 설치</t>
        </is>
      </c>
      <c r="G19" s="13" t="inlineStr">
        <is>
          <t>현장 공사팀</t>
        </is>
      </c>
      <c r="H19" s="14" t="inlineStr">
        <is>
          <t>거푸집 지지대는 철근이 타설압력에 의해 변위가 발생하지 않도록 앵커나 서포트로 고정</t>
        </is>
      </c>
      <c r="I19" s="14" t="inlineStr">
        <is>
          <t>강재거푸집거푸집 반영
- 작업자 이동통로 확보가 되어 있는지 확인하고, 넘어짐 등의 안전사고가 발생하지 않도록 지지대에 별도 식별장치 설치</t>
        </is>
      </c>
      <c r="J19" s="14" t="inlineStr">
        <is>
          <t>거푸집설치 대조표, 박리제 검사철</t>
        </is>
      </c>
      <c r="K19" s="14" t="inlineStr">
        <is>
          <t>타설 측압 대비 서포트 앵커 W=1.0m 간격 고정. 거푸집 수평/수직 처짐 변위 ±2mm 이내 통제.</t>
        </is>
      </c>
      <c r="L19" s="53" t="inlineStr">
        <is>
          <t>👉 [더블클릭] 표준서 열기 📄</t>
        </is>
      </c>
      <c r="M19" s="14" t="inlineStr">
        <is>
          <t>1) 거푸집 선형 검측표 작성 후 감리원 검측 승인
2) 거푸집 면 이물질 청소 및 환경 친화 박리제 균일 도포</t>
        </is>
      </c>
      <c r="N19" s="17" t="inlineStr">
        <is>
          <t>👉 [더블클릭] 수행지침 열기 📄</t>
        </is>
      </c>
      <c r="O19" s="14" t="inlineStr">
        <is>
          <t>거푸집 지지대 앵커 조임, 박리제 도포 상태, 이음매 틈새 누수 패킹 확인</t>
        </is>
      </c>
      <c r="P19" s="53" t="inlineStr">
        <is>
          <t>👉 [더블클릭] 체크리스트 열기 📄</t>
        </is>
      </c>
      <c r="Q19" s="13" t="n"/>
      <c r="R19" s="14" t="inlineStr">
        <is>
          <t>● 가설재 강도 및 안전 난간 기준 준수</t>
        </is>
      </c>
      <c r="S19" s="18" t="inlineStr">
        <is>
          <t>1) 👉 [더블클릭] 체크리스트 열기 📄</t>
        </is>
      </c>
      <c r="T19" s="14" t="n"/>
    </row>
    <row r="20" ht="96" customHeight="1">
      <c r="A20" s="13" t="inlineStr">
        <is>
          <t>9000</t>
        </is>
      </c>
      <c r="B20" s="13" t="inlineStr">
        <is>
          <t>9000-6</t>
        </is>
      </c>
      <c r="C20" s="44" t="inlineStr">
        <is>
          <t>콘크리트도상분야</t>
        </is>
      </c>
      <c r="D20" s="13" t="inlineStr">
        <is>
          <t>9000-6-19</t>
        </is>
      </c>
      <c r="E20" s="13" t="inlineStr">
        <is>
          <t>D+50 (D+36~D+50)</t>
        </is>
      </c>
      <c r="F20" s="13" t="inlineStr">
        <is>
          <t>[TCL] 콘크리트 타설 및 양생</t>
        </is>
      </c>
      <c r="G20" s="13" t="inlineStr">
        <is>
          <t>현장 공사팀</t>
        </is>
      </c>
      <c r="H20" s="14" t="inlineStr">
        <is>
          <t>TCL은 궤도 부속자재(레일, 고정액상수지 등)가 연결되어 있어, 선형조정 및 연마감 작업이 중요</t>
        </is>
      </c>
      <c r="I20" s="14" t="inlineStr">
        <is>
          <t>슬럼프값은 10cm 이하 타설, 피니셔의 진행 정지시 진동 다짐 장비 중지
- 7일이상 습윤양생 시행, 양생이후 콘크리트 도상내 이물질 청소 및 세척
- 그루브드레일 홈 부분 청소 및 세척, 치수확인</t>
        </is>
      </c>
      <c r="J20" s="14" t="inlineStr">
        <is>
          <t>TCL 콘크리트 품질대장, 게이지 실시간 보정일지</t>
        </is>
      </c>
      <c r="K20" s="14" t="inlineStr">
        <is>
          <t>TCL 도상 콘크리트 강도 ≥ 35 MPa. 타설 중 실시간 궤간척(Gauge Bar) 캔트 오차 ±2mm 보정.</t>
        </is>
      </c>
      <c r="L20" s="17" t="inlineStr">
        <is>
          <t>👉 [더블클릭] 표준서 열기 📄</t>
        </is>
      </c>
      <c r="M20" s="14" t="inlineStr">
        <is>
          <t>1) 타설 직전 스핀들 궤간/캔트 최종 정열 상태 측량
2) 고주파 다짐 실시 및 타설 중 실시간 궤간/캔트 오차 미세 조율</t>
        </is>
      </c>
      <c r="N20" s="53" t="inlineStr">
        <is>
          <t>👉 [더블클릭] 수행지침 열기 📄</t>
        </is>
      </c>
      <c r="O20" s="14" t="inlineStr">
        <is>
          <t>타설 중 궤간척 실시간 모니터링, 슬럼프 및 공기량 시험, 습윤 양생 부직포 포설 확인</t>
        </is>
      </c>
      <c r="P20" s="53" t="inlineStr">
        <is>
          <t>👉 [더블클릭] 체크리스트 열기 📄</t>
        </is>
      </c>
      <c r="Q20" s="13" t="n"/>
      <c r="R20" s="14" t="inlineStr">
        <is>
          <t>● TCL 설계 높이 및 배수구 기울기 준수</t>
        </is>
      </c>
      <c r="S20" s="18" t="inlineStr">
        <is>
          <t>1) 👉 [더블클릭] 체크리스트 열기 📄</t>
        </is>
      </c>
      <c r="T20" s="14" t="n"/>
    </row>
    <row r="21" ht="96" customHeight="1">
      <c r="A21" s="13" t="inlineStr">
        <is>
          <t>9000</t>
        </is>
      </c>
      <c r="B21" s="13" t="inlineStr">
        <is>
          <t>9000-6</t>
        </is>
      </c>
      <c r="C21" s="44" t="inlineStr">
        <is>
          <t>콘크리트도상분야</t>
        </is>
      </c>
      <c r="D21" s="13" t="inlineStr">
        <is>
          <t>9000-6-20</t>
        </is>
      </c>
      <c r="E21" s="13" t="inlineStr">
        <is>
          <t>D+63 (D-60~D+63)</t>
        </is>
      </c>
      <c r="F21" s="13" t="inlineStr">
        <is>
          <t>[레일용접] 가스 압접</t>
        </is>
      </c>
      <c r="G21" s="13" t="inlineStr">
        <is>
          <t>현장 공사팀</t>
        </is>
      </c>
      <c r="H21" s="14" t="inlineStr">
        <is>
          <t>장대레일 제작을 위해 용접기에서 가스로 레일 단부를 가열한 후, 강한 압력을 가하여 레일을 접합</t>
        </is>
      </c>
      <c r="I21" s="14" t="inlineStr">
        <is>
          <t>레일의 엇갈림, 굴곡 등 외관으로 확인 가능한 것은 적열 중에 교정하며, 냉각이 진행되었으면 재가열 한 후 교정
- 교정된 레일의 접합부는 마찬가지로 적열상태일때 트리밍하여 불순물을 제거
- 가스압접 완료 후 외관검사를 통해 레일의 균열, 굽힘, 비틀림을 확인하고, 지분탐상검사를 통해 내부 결함을 확인</t>
        </is>
      </c>
      <c r="J21" s="14" t="inlineStr">
        <is>
          <t>가스압접 시공성적표, UT 비파괴보고서</t>
        </is>
      </c>
      <c r="K21" s="14" t="inlineStr">
        <is>
          <t>EN 14587 규격 준수. 레일 단부 가열(1200℃) 후 압송. 용접부 직선도 1m당 ±0.2mm 이내 정밀 연마.</t>
        </is>
      </c>
      <c r="L21" s="17" t="inlineStr">
        <is>
          <t>👉 [더블클릭] 표준서 열기 📄</t>
        </is>
      </c>
      <c r="M21" s="14" t="inlineStr">
        <is>
          <t>1) 레일 단면 50mm 녹/기름 제거 및 가스 압접기 압력 교정
2) EN 14587 프로그램에 따라 자동 가열 및 버(Burr) 핫 쉐어링 전단</t>
        </is>
      </c>
      <c r="N21" s="53" t="inlineStr">
        <is>
          <t>👉 [더블클릭] 수행지침 열기 📄</t>
        </is>
      </c>
      <c r="O21" s="14" t="inlineStr">
        <is>
          <t>가스 압접 압력 게이지 확인, 용접부 급랭 방지 덮개 설치, 비파괴 시험(UT) 성적서 결재</t>
        </is>
      </c>
      <c r="P21" s="53" t="inlineStr">
        <is>
          <t>👉 [더블클릭] 체크리스트 열기 📄</t>
        </is>
      </c>
      <c r="Q21" s="13" t="n"/>
      <c r="R21" s="14" t="inlineStr">
        <is>
          <t>● 용접부 인장 시험 및 비파괴 검사 규격 만족</t>
        </is>
      </c>
      <c r="S21" s="18" t="inlineStr">
        <is>
          <t>1) 👉 [더블클릭] 체크리스트 열기 📄</t>
        </is>
      </c>
      <c r="T21" s="14" t="n"/>
    </row>
    <row r="22" ht="96" customHeight="1">
      <c r="A22" s="13" t="inlineStr">
        <is>
          <t>9000</t>
        </is>
      </c>
      <c r="B22" s="13" t="inlineStr">
        <is>
          <t>9000-6</t>
        </is>
      </c>
      <c r="C22" s="44" t="inlineStr">
        <is>
          <t>콘크리트도상분야</t>
        </is>
      </c>
      <c r="D22" s="13" t="inlineStr">
        <is>
          <t>9000-6-21</t>
        </is>
      </c>
      <c r="E22" s="13" t="inlineStr">
        <is>
          <t>D+64 (D+64~D+64)</t>
        </is>
      </c>
      <c r="F22" s="13" t="inlineStr">
        <is>
          <t>[레일용접] 테르밋 용접</t>
        </is>
      </c>
      <c r="G22" s="13" t="inlineStr">
        <is>
          <t>현장 공사팀</t>
        </is>
      </c>
      <c r="H22" s="14" t="inlineStr">
        <is>
          <t>테르밋 용제를 예열된 장대레일 공간에 넣고 용융하여 모든 장대레일을 일체화</t>
        </is>
      </c>
      <c r="I22" s="14" t="inlineStr">
        <is>
          <t>면, 틈맞춤 -&gt; 몰드설치 -&gt; 용접부예열 -&gt; 용접부연마 -&gt; 용접완료
- 테르밋 용접 완료 후 외관검사를 통해 레일의 균열, 굽힘, 비틀림을 확인하고, 침투탐상검사 및 초음파탐상검사를 통해 내부 결함을 확인
- 용접이 완료된 개소 측면에 용접년도와 용접공 고유번호가 표시 되었는지 확인
- 테르밋 용접 용제 폐기물 수거를 위해 톤마대를 준비하고, 폐기물 반출 일정을 수립</t>
        </is>
      </c>
      <c r="J22" s="14" t="inlineStr">
        <is>
          <t>테르밋 용접일지, MT 자분탐상 보고서</t>
        </is>
      </c>
      <c r="K22" s="14" t="inlineStr">
        <is>
          <t>EN 14730 규격 준수. 도가니 반응 후 슬래그 분리. 직선도 오차 ±0.2mm 이내 및 NDT 100% 합격.</t>
        </is>
      </c>
      <c r="L22" s="17" t="inlineStr">
        <is>
          <t>👉 [더블클릭] 표준서 열기 📄</t>
        </is>
      </c>
      <c r="M22" s="14" t="inlineStr">
        <is>
          <t>1) 레일 끝단 23~26mm 유격 조정 및 레일 정열 클램프 고정
2) 몰드 밀봉 후 테르밋 소모품點火 반응 주입 및 약 5분 후 유압 전단</t>
        </is>
      </c>
      <c r="N22" s="53" t="inlineStr">
        <is>
          <t>👉 [더블클릭] 수행지침 열기 📄</t>
        </is>
      </c>
      <c r="O22" s="14" t="inlineStr">
        <is>
          <t>테르밋 용제 예열 온도 확인, 도가니 수평 고정, 비파괴 검사(UT/MT) 전수 실시</t>
        </is>
      </c>
      <c r="P22" s="17" t="inlineStr">
        <is>
          <t>👉 [더블클릭] 체크리스트 열기 📄</t>
        </is>
      </c>
      <c r="Q22" s="13" t="n"/>
      <c r="R22" s="14" t="inlineStr">
        <is>
          <t>● 테르밋 용접부 비파괴 검사(UT/PT) 및 공차</t>
        </is>
      </c>
      <c r="S22" s="18" t="inlineStr">
        <is>
          <t>1) 👉 [더블클릭] 체크리스트 열기 📄</t>
        </is>
      </c>
      <c r="T22" s="14" t="n"/>
    </row>
    <row r="23" ht="96" customHeight="1">
      <c r="A23" s="13" t="inlineStr">
        <is>
          <t>9000</t>
        </is>
      </c>
      <c r="B23" s="13" t="inlineStr">
        <is>
          <t>9000-6</t>
        </is>
      </c>
      <c r="C23" s="44" t="inlineStr">
        <is>
          <t>콘크리트도상분야</t>
        </is>
      </c>
      <c r="D23" s="13" t="inlineStr">
        <is>
          <t>9000-6-22</t>
        </is>
      </c>
      <c r="E23" s="13" t="inlineStr">
        <is>
          <t>D+75 (D+71~D+75)</t>
        </is>
      </c>
      <c r="F23" s="13" t="inlineStr">
        <is>
          <t>[레일연마] 레일연마 or 밀링</t>
        </is>
      </c>
      <c r="G23" s="13" t="inlineStr">
        <is>
          <t>현장 공사팀</t>
        </is>
      </c>
      <c r="H23" s="14" t="inlineStr">
        <is>
          <t>레일 연마 or 밀링작업을 통해 선로의 평탄화증을 제거하여 레일 수명 향상 및 운행 안정성 개선</t>
        </is>
      </c>
      <c r="I23" s="14" t="inlineStr">
        <is>
          <t>레일연마는 연마 작업시 발생하는 스파크, 분진, 냉각수로 인한 Risk를 개선한 신기술로, 연마를 시행하는 것이 레일의 품질관리 및 시공성 측면에서 유리
- 장비보유현황 및 투입 스케줄 확인 필요
- 연마(밀링) 완료 후, 연마지에 압축기를 설치하여 연마깊이(현식량)를 측정</t>
        </is>
      </c>
      <c r="J23" s="14" t="inlineStr">
        <is>
          <t>선로 평탄성검사 성적표, 조도 실측야장</t>
        </is>
      </c>
      <c r="K23" s="14" t="inlineStr">
        <is>
          <t>레일 마무리면 평탄성 1m 기준 오차 ±0.2mm 이내 밀링. 레일 과열에 의한 열응력 크랙 방지.</t>
        </is>
      </c>
      <c r="L23" s="53" t="inlineStr">
        <is>
          <t>👉 [더블클릭] 표준서 열기 📄</t>
        </is>
      </c>
      <c r="M23" s="14" t="inlineStr">
        <is>
          <t>1) 조도계로 Ra ≤ 10㎛ 판정 및 레일 연마 검측 승인
2) 장대레일 구간 연마/밀링 장비 점검 및 표면 단차 사전 조사</t>
        </is>
      </c>
      <c r="N23" s="17" t="inlineStr">
        <is>
          <t>👉 [더블클릭] 수행지침 열기 📄</t>
        </is>
      </c>
      <c r="O23" s="14" t="inlineStr">
        <is>
          <t>레일 조도/평탄성 측정 성적서, 절삭유 적정 분사 상태, 마이크로미터 선로 실측</t>
        </is>
      </c>
      <c r="P23" s="17" t="inlineStr">
        <is>
          <t>👉 [더블클릭] 체크리스트 열기 📄</t>
        </is>
      </c>
      <c r="Q23" s="13" t="n"/>
      <c r="R23" s="14" t="inlineStr">
        <is>
          <t>● 레일 두부 프로파일 측정 및 평탄도 기준</t>
        </is>
      </c>
      <c r="S23" s="18" t="inlineStr">
        <is>
          <t>1) 👉 [더블클릭] 체크리스트 열기 📄</t>
        </is>
      </c>
      <c r="T23" s="14" t="n"/>
    </row>
    <row r="24" ht="96" customFormat="1" customHeight="1" s="57">
      <c r="A24" s="54" t="inlineStr">
        <is>
          <t>9000</t>
        </is>
      </c>
      <c r="B24" s="54" t="inlineStr">
        <is>
          <t>9000-6</t>
        </is>
      </c>
      <c r="C24" s="59" t="inlineStr">
        <is>
          <t>콘크리트도상분야</t>
        </is>
      </c>
      <c r="D24" s="54" t="inlineStr">
        <is>
          <t>9000-6-23</t>
        </is>
      </c>
      <c r="E24" s="54" t="inlineStr">
        <is>
          <t>D+75일 이후</t>
        </is>
      </c>
      <c r="F24" s="54" t="inlineStr">
        <is>
          <t>후속공사 인수인계</t>
        </is>
      </c>
      <c r="G24" s="54" t="inlineStr">
        <is>
          <t>현장 공사팀/품질팀</t>
        </is>
      </c>
      <c r="H24" s="15" t="inlineStr">
        <is>
          <t>완료구간 후속공사 인수인계</t>
        </is>
      </c>
      <c r="I24" s="15" t="inlineStr">
        <is>
          <t>완료된 궤도 구간에 대해 후속 분야(전기, 신호 등)가 공사를 진행할 수 있도록 인계</t>
        </is>
      </c>
      <c r="J24" s="15" t="inlineStr">
        <is>
          <t>궤도 완공 인수서명부, 절연저항 성적철</t>
        </is>
      </c>
      <c r="K24" s="15" t="inlineStr">
        <is>
          <t>전기/신호/노반 담당자 입회 하에 궤도 회로 절연 저항 ≥ 100MΩ 검속. 준공 도면 일치 서명.</t>
        </is>
      </c>
      <c r="L24" s="58" t="inlineStr">
        <is>
          <t>👉 [더블클릭] 표준서 열기 📄</t>
        </is>
      </c>
      <c r="M24" s="15" t="inlineStr">
        <is>
          <t>1) 궤도 회로 절연 및 궤간 오차 현장 합동 확인
2) 구간별 NDT 용접 성과표, 강도 성적서 및 궤도 정열표 대조</t>
        </is>
      </c>
      <c r="N24" s="55" t="inlineStr">
        <is>
          <t>👉 [더블클릭] 수행지침 열기 📄</t>
        </is>
      </c>
      <c r="O24" s="15" t="inlineStr">
        <is>
          <t>3자 공동 인수 서명 날인, 절연 저항 테스트 결과표 첨부, CAD 준공 대장 제출</t>
        </is>
      </c>
      <c r="P24" s="58" t="inlineStr">
        <is>
          <t>👉 [더블클릭] 체크리스트 열기 📄</t>
        </is>
      </c>
      <c r="Q24" s="54" t="n"/>
      <c r="R24" s="15" t="inlineStr">
        <is>
          <t>● 후속 공종 인수인계 표준 지침</t>
        </is>
      </c>
      <c r="S24" s="56" t="inlineStr">
        <is>
          <t>1) 👉 [더블클릭] 체크리스트 열기 📄</t>
        </is>
      </c>
      <c r="T24" s="15" t="n"/>
    </row>
  </sheetData>
  <hyperlinks>
    <hyperlink xmlns:r="http://schemas.openxmlformats.org/officeDocument/2006/relationships" ref="L2" r:id="rId1"/>
    <hyperlink xmlns:r="http://schemas.openxmlformats.org/officeDocument/2006/relationships" ref="N2" r:id="rId2"/>
    <hyperlink xmlns:r="http://schemas.openxmlformats.org/officeDocument/2006/relationships" ref="P2" r:id="rId3"/>
    <hyperlink xmlns:r="http://schemas.openxmlformats.org/officeDocument/2006/relationships" ref="L3" r:id="rId4"/>
    <hyperlink xmlns:r="http://schemas.openxmlformats.org/officeDocument/2006/relationships" ref="N3" r:id="rId5"/>
    <hyperlink xmlns:r="http://schemas.openxmlformats.org/officeDocument/2006/relationships" ref="P3" r:id="rId6"/>
    <hyperlink xmlns:r="http://schemas.openxmlformats.org/officeDocument/2006/relationships" ref="L4" r:id="rId7"/>
    <hyperlink xmlns:r="http://schemas.openxmlformats.org/officeDocument/2006/relationships" ref="N4" r:id="rId8"/>
    <hyperlink xmlns:r="http://schemas.openxmlformats.org/officeDocument/2006/relationships" ref="P4" r:id="rId9"/>
    <hyperlink xmlns:r="http://schemas.openxmlformats.org/officeDocument/2006/relationships" ref="L5" r:id="rId10"/>
    <hyperlink xmlns:r="http://schemas.openxmlformats.org/officeDocument/2006/relationships" ref="N5" r:id="rId11"/>
    <hyperlink xmlns:r="http://schemas.openxmlformats.org/officeDocument/2006/relationships" ref="P5" r:id="rId12"/>
    <hyperlink xmlns:r="http://schemas.openxmlformats.org/officeDocument/2006/relationships" ref="L6" r:id="rId13"/>
    <hyperlink xmlns:r="http://schemas.openxmlformats.org/officeDocument/2006/relationships" ref="N6" r:id="rId14"/>
    <hyperlink xmlns:r="http://schemas.openxmlformats.org/officeDocument/2006/relationships" ref="P6" r:id="rId15"/>
    <hyperlink xmlns:r="http://schemas.openxmlformats.org/officeDocument/2006/relationships" ref="L7" r:id="rId16"/>
    <hyperlink xmlns:r="http://schemas.openxmlformats.org/officeDocument/2006/relationships" ref="N7" r:id="rId17"/>
    <hyperlink xmlns:r="http://schemas.openxmlformats.org/officeDocument/2006/relationships" ref="P7" r:id="rId18"/>
    <hyperlink xmlns:r="http://schemas.openxmlformats.org/officeDocument/2006/relationships" ref="L8" r:id="rId19"/>
    <hyperlink xmlns:r="http://schemas.openxmlformats.org/officeDocument/2006/relationships" ref="N8" r:id="rId20"/>
    <hyperlink xmlns:r="http://schemas.openxmlformats.org/officeDocument/2006/relationships" ref="P8" r:id="rId21"/>
    <hyperlink xmlns:r="http://schemas.openxmlformats.org/officeDocument/2006/relationships" ref="L9" r:id="rId22"/>
    <hyperlink xmlns:r="http://schemas.openxmlformats.org/officeDocument/2006/relationships" ref="N9" r:id="rId23"/>
    <hyperlink xmlns:r="http://schemas.openxmlformats.org/officeDocument/2006/relationships" ref="P9" r:id="rId24"/>
    <hyperlink xmlns:r="http://schemas.openxmlformats.org/officeDocument/2006/relationships" ref="L10" r:id="rId25"/>
    <hyperlink xmlns:r="http://schemas.openxmlformats.org/officeDocument/2006/relationships" ref="N10" r:id="rId26"/>
    <hyperlink xmlns:r="http://schemas.openxmlformats.org/officeDocument/2006/relationships" ref="P10" r:id="rId27"/>
    <hyperlink xmlns:r="http://schemas.openxmlformats.org/officeDocument/2006/relationships" ref="L11" r:id="rId28"/>
    <hyperlink xmlns:r="http://schemas.openxmlformats.org/officeDocument/2006/relationships" ref="N11" r:id="rId29"/>
    <hyperlink xmlns:r="http://schemas.openxmlformats.org/officeDocument/2006/relationships" ref="P11" r:id="rId30"/>
    <hyperlink xmlns:r="http://schemas.openxmlformats.org/officeDocument/2006/relationships" ref="L12" r:id="rId31"/>
    <hyperlink xmlns:r="http://schemas.openxmlformats.org/officeDocument/2006/relationships" ref="N12" r:id="rId32"/>
    <hyperlink xmlns:r="http://schemas.openxmlformats.org/officeDocument/2006/relationships" ref="P12" r:id="rId33"/>
    <hyperlink xmlns:r="http://schemas.openxmlformats.org/officeDocument/2006/relationships" ref="L13" r:id="rId34"/>
    <hyperlink xmlns:r="http://schemas.openxmlformats.org/officeDocument/2006/relationships" ref="N13" r:id="rId35"/>
    <hyperlink xmlns:r="http://schemas.openxmlformats.org/officeDocument/2006/relationships" ref="P13" r:id="rId36"/>
    <hyperlink xmlns:r="http://schemas.openxmlformats.org/officeDocument/2006/relationships" ref="L14" r:id="rId37"/>
    <hyperlink xmlns:r="http://schemas.openxmlformats.org/officeDocument/2006/relationships" ref="N14" r:id="rId38"/>
    <hyperlink xmlns:r="http://schemas.openxmlformats.org/officeDocument/2006/relationships" ref="P14" r:id="rId39"/>
    <hyperlink xmlns:r="http://schemas.openxmlformats.org/officeDocument/2006/relationships" ref="L15" r:id="rId40"/>
    <hyperlink xmlns:r="http://schemas.openxmlformats.org/officeDocument/2006/relationships" ref="N15" r:id="rId41"/>
    <hyperlink xmlns:r="http://schemas.openxmlformats.org/officeDocument/2006/relationships" ref="P15" r:id="rId42"/>
    <hyperlink xmlns:r="http://schemas.openxmlformats.org/officeDocument/2006/relationships" ref="L16" r:id="rId43"/>
    <hyperlink xmlns:r="http://schemas.openxmlformats.org/officeDocument/2006/relationships" ref="N16" r:id="rId44"/>
    <hyperlink xmlns:r="http://schemas.openxmlformats.org/officeDocument/2006/relationships" ref="P16" r:id="rId45"/>
    <hyperlink xmlns:r="http://schemas.openxmlformats.org/officeDocument/2006/relationships" ref="L17" r:id="rId46"/>
    <hyperlink xmlns:r="http://schemas.openxmlformats.org/officeDocument/2006/relationships" ref="N17" r:id="rId47"/>
    <hyperlink xmlns:r="http://schemas.openxmlformats.org/officeDocument/2006/relationships" ref="P17" r:id="rId48"/>
    <hyperlink xmlns:r="http://schemas.openxmlformats.org/officeDocument/2006/relationships" ref="L18" r:id="rId49"/>
    <hyperlink xmlns:r="http://schemas.openxmlformats.org/officeDocument/2006/relationships" ref="N18" r:id="rId50"/>
    <hyperlink xmlns:r="http://schemas.openxmlformats.org/officeDocument/2006/relationships" ref="P18" r:id="rId51"/>
    <hyperlink xmlns:r="http://schemas.openxmlformats.org/officeDocument/2006/relationships" ref="L19" r:id="rId52"/>
    <hyperlink xmlns:r="http://schemas.openxmlformats.org/officeDocument/2006/relationships" ref="N19" r:id="rId53"/>
    <hyperlink xmlns:r="http://schemas.openxmlformats.org/officeDocument/2006/relationships" ref="P19" r:id="rId54"/>
    <hyperlink xmlns:r="http://schemas.openxmlformats.org/officeDocument/2006/relationships" ref="L20" r:id="rId55"/>
    <hyperlink xmlns:r="http://schemas.openxmlformats.org/officeDocument/2006/relationships" ref="N20" r:id="rId56"/>
    <hyperlink xmlns:r="http://schemas.openxmlformats.org/officeDocument/2006/relationships" ref="P20" r:id="rId57"/>
    <hyperlink xmlns:r="http://schemas.openxmlformats.org/officeDocument/2006/relationships" ref="L21" r:id="rId58"/>
    <hyperlink xmlns:r="http://schemas.openxmlformats.org/officeDocument/2006/relationships" ref="N21" r:id="rId59"/>
    <hyperlink xmlns:r="http://schemas.openxmlformats.org/officeDocument/2006/relationships" ref="P21" r:id="rId60"/>
    <hyperlink xmlns:r="http://schemas.openxmlformats.org/officeDocument/2006/relationships" ref="L22" r:id="rId61"/>
    <hyperlink xmlns:r="http://schemas.openxmlformats.org/officeDocument/2006/relationships" ref="N22" r:id="rId62"/>
    <hyperlink xmlns:r="http://schemas.openxmlformats.org/officeDocument/2006/relationships" ref="P22" r:id="rId63"/>
    <hyperlink xmlns:r="http://schemas.openxmlformats.org/officeDocument/2006/relationships" ref="L23" r:id="rId64"/>
    <hyperlink xmlns:r="http://schemas.openxmlformats.org/officeDocument/2006/relationships" ref="N23" r:id="rId65"/>
    <hyperlink xmlns:r="http://schemas.openxmlformats.org/officeDocument/2006/relationships" ref="P23" r:id="rId66"/>
    <hyperlink xmlns:r="http://schemas.openxmlformats.org/officeDocument/2006/relationships" ref="L24" r:id="rId67"/>
    <hyperlink xmlns:r="http://schemas.openxmlformats.org/officeDocument/2006/relationships" ref="N24" r:id="rId68"/>
    <hyperlink xmlns:r="http://schemas.openxmlformats.org/officeDocument/2006/relationships" ref="P24" r:id="rId69"/>
  </hyperlinks>
  <printOptions horizontalCentered="1"/>
  <pageMargins left="0.7480314960629921" right="0.7480314960629921" top="0.984251968503937" bottom="0.984251968503937" header="0.5118110236220472" footer="0.5118110236220472"/>
  <pageSetup orientation="landscape" paperSize="8" scale="47" verticalDpi="0"/>
</worksheet>
</file>

<file path=xl/worksheets/sheet9.xml><?xml version="1.0" encoding="utf-8"?>
<worksheet xmlns="http://schemas.openxmlformats.org/spreadsheetml/2006/main">
  <sheetPr codeName="Sheet6">
    <tabColor rgb="FFFFFF00"/>
    <outlinePr summaryBelow="1" summaryRight="1"/>
    <pageSetUpPr/>
  </sheetPr>
  <dimension ref="A1:S51"/>
  <sheetViews>
    <sheetView view="pageBreakPreview" zoomScale="55" zoomScaleNormal="40" zoomScaleSheetLayoutView="55" workbookViewId="0">
      <pane xSplit="2" ySplit="1" topLeftCell="G2" activePane="bottomRight" state="frozen"/>
      <selection pane="topRight" activeCell="C1" sqref="C1"/>
      <selection pane="bottomLeft" activeCell="A2" sqref="A2"/>
      <selection pane="bottomRight" activeCell="J13" sqref="J13"/>
    </sheetView>
  </sheetViews>
  <sheetFormatPr baseColWidth="8" defaultRowHeight="19.2"/>
  <cols>
    <col width="8.796875" customWidth="1" style="3" min="1" max="1"/>
    <col width="11.296875" customWidth="1" style="3" min="2" max="2"/>
    <col width="14.59765625" customWidth="1" style="3" min="3" max="3"/>
    <col width="16" customWidth="1" style="4" min="4" max="4"/>
    <col width="34.69921875" customWidth="1" style="4" min="5" max="5"/>
    <col width="21.69921875" customWidth="1" style="4" min="6" max="6"/>
    <col width="32.59765625" customWidth="1" style="4" min="7" max="7"/>
    <col width="72.296875" customWidth="1" style="3" min="8" max="8"/>
    <col width="41.69921875" customWidth="1" style="3" min="9" max="9"/>
    <col width="50" customWidth="1" style="3" min="10" max="10"/>
    <col width="16.19921875" customWidth="1" style="27" min="11" max="11"/>
    <col width="49.796875" customWidth="1" style="27" min="12" max="12"/>
    <col width="12.19921875" customWidth="1" style="3" min="13" max="13"/>
    <col width="45" customWidth="1" style="3" min="14" max="14"/>
    <col width="13.69921875" customWidth="1" style="27" min="15" max="15"/>
    <col width="23.3984375" customWidth="1" style="3" min="16" max="16"/>
    <col width="45" customWidth="1" style="27" min="17" max="17"/>
    <col width="22" customWidth="1" style="27" min="18" max="18"/>
    <col width="45" customWidth="1" style="3" min="19" max="35"/>
    <col width="8.796875" customWidth="1" style="3" min="36" max="65"/>
    <col width="8.796875" customWidth="1" style="3" min="66" max="16384"/>
  </cols>
  <sheetData>
    <row r="1" ht="38.4" customHeight="1">
      <c r="A1" s="29" t="inlineStr">
        <is>
          <t>L2 코드</t>
        </is>
      </c>
      <c r="B1" s="29" t="inlineStr">
        <is>
          <t>L3 코드</t>
        </is>
      </c>
      <c r="C1" s="29" t="inlineStr">
        <is>
          <t>L3 대공종명</t>
        </is>
      </c>
      <c r="D1" s="29" t="inlineStr">
        <is>
          <t>L4 코드</t>
        </is>
      </c>
      <c r="E1" s="29" t="inlineStr">
        <is>
          <t>작업단위 (Level 4 Task/Activity)</t>
        </is>
      </c>
      <c r="F1" s="29" t="inlineStr">
        <is>
          <t>주관</t>
        </is>
      </c>
      <c r="G1" s="29" t="inlineStr">
        <is>
          <t>목적</t>
        </is>
      </c>
      <c r="H1" s="29" t="inlineStr">
        <is>
          <t>방법</t>
        </is>
      </c>
      <c r="I1" s="29" t="inlineStr">
        <is>
          <t>산출물(결과)</t>
        </is>
      </c>
      <c r="J1" s="29" t="inlineStr">
        <is>
          <t>표준서 (Standard) 요약</t>
        </is>
      </c>
      <c r="K1" s="30" t="inlineStr">
        <is>
          <t>표준서 파일 (HTML)</t>
        </is>
      </c>
      <c r="L1" s="29" t="inlineStr">
        <is>
          <t>수행지침 (Guideline) 요약</t>
        </is>
      </c>
      <c r="M1" s="30" t="inlineStr">
        <is>
          <t>수행지침 파일 (HTML)</t>
        </is>
      </c>
      <c r="N1" s="29" t="inlineStr">
        <is>
          <t>체크리스트 (Checklist) 요약</t>
        </is>
      </c>
      <c r="O1" s="31" t="inlineStr">
        <is>
          <t>체크리스트 파일 (HTML)</t>
        </is>
      </c>
      <c r="P1" s="21" t="inlineStr">
        <is>
          <t>비고</t>
        </is>
      </c>
      <c r="Q1" s="21" t="inlineStr">
        <is>
          <t>첨부서류 연계 상세 설계기준</t>
        </is>
      </c>
      <c r="R1" s="21" t="inlineStr">
        <is>
          <t>집행단계 리스크 체크리스트</t>
        </is>
      </c>
      <c r="S1" s="21" t="inlineStr">
        <is>
          <t>협력사 시공/공사관리 자문</t>
        </is>
      </c>
    </row>
    <row r="2" ht="115.2" customHeight="1">
      <c r="A2" s="32" t="inlineStr">
        <is>
          <t>9000</t>
        </is>
      </c>
      <c r="B2" s="32" t="inlineStr">
        <is>
          <t>9000-4</t>
        </is>
      </c>
      <c r="C2" s="73" t="inlineStr">
        <is>
          <t>건축</t>
        </is>
      </c>
      <c r="D2" s="32" t="inlineStr">
        <is>
          <t>9000-4-1</t>
        </is>
      </c>
      <c r="E2" s="73" t="inlineStr">
        <is>
          <t>설계 적정성 검토</t>
        </is>
      </c>
      <c r="F2" s="32" t="inlineStr">
        <is>
          <t>현장 공무팀</t>
        </is>
      </c>
      <c r="G2" s="33" t="inlineStr">
        <is>
          <t>건축 설계 오류 및 누락사항 검토</t>
        </is>
      </c>
      <c r="H2" s="33" t="inlineStr">
        <is>
          <t>- 시공성 검토: 구조물, 마감, 가시설 등
- 기계설비/전기/통신 등 인터페이스: 개구부/슬리브 반영 유무 및 확인
- 관련규정(법규지침) 최신 개정사항이 설계 반영되었는지 확인
- 신기술/특허 반영 유무 검토
- 품질/안전 Risk 검토 및 관리방안 검토</t>
        </is>
      </c>
      <c r="I2" s="33" t="inlineStr">
        <is>
          <t>설계변경 예상 List, 회의록</t>
        </is>
      </c>
      <c r="J2" s="33" t="inlineStr">
        <is>
          <t>1) 설계 적정성 검토 (WBS 9000-4-1) 관련 시공성 검토: 구조물, 마감, 가시설 등 수칙 및 법적 이행 의무를 1:1 준수한다. 또한 KDS 41 00 00 (건축구조기준), KDS 41 17 00 (내진설계기준) 및 KCS 41 00 00 (건축공사 표준시방서) 기술기준을 100% 충족한다.
2) 설계 적정성 검토 달성을 위한 필수 시공 방법(시공성 검토: 구조물, 마감, 가시설 등 기계설비/전기/통신 등 인터페이스: 개구부/슬리브 반영 유무 및 확...) 및 국가 기술 규격을 엄격히 보장한다. 이에 따라 구조 안전성 100% 입증, 누수/균열 하자 0건 달성 및 책임감리원 최종 결재를 완료하여 지자체 건축물 사용승인(준공) 필증을 획득한다.</t>
        </is>
      </c>
      <c r="K2" s="34" t="inlineStr">
        <is>
          <t>👉 [더블클릭] 표준서 열기 📄</t>
        </is>
      </c>
      <c r="L2" s="33" t="inlineStr">
        <is>
          <t>1) 설계 적정성 검토 (WBS 9000-4-1) 사전 건축 인허가 서식 제출(관할 지자체/소방서), 3D BIM 도서 대조 및 기계·전기·통신 4대 인터페이스 개구부를 확정한다.
2) 실무 작업방법 수칙(시공성 검토: 구조물, 마감, 가시설 등 기계설비/전기/통신 등 인터페이스: 개구부/슬리브 반...)에 따라 철근 이음/피복두께 검측, 거푸집 다짐 양생 및 현장 3대 금기 수칙(피복 미달, 무단 타설)을 완수한다.</t>
        </is>
      </c>
      <c r="M2" s="88" t="inlineStr">
        <is>
          <t>👉 [더블클릭] 수행지침 열기 📄</t>
        </is>
      </c>
      <c r="N2" s="33" t="inlineStr">
        <is>
          <t>1) 건축법 제11조 및 KDS 41 00 00 건축구조기준에 따라 설계 적정성 검토 사전 검토를 수행하였는가? 또한 레미콘 규격(24~30MPa), 철근 시험성적서 및 방수자재 KCS 표준 품질 적격성을 검수하였는가?
2) 미검측 및 정량 시방 미달에 따른 설계 적정성 검토 (WBS 9000-4-1) 구조 균열/누수 하자 발생, 개구부 누락 재시공 손실 및 최종 설계변경 예상 List, 회의록 승인 반려 리스크를 전면 차단한다.</t>
        </is>
      </c>
      <c r="O2" s="34" t="inlineStr">
        <is>
          <t>👉 [더블클릭] 체크리스트 열기 📄</t>
        </is>
      </c>
      <c r="P2" s="32" t="n"/>
      <c r="Q2" s="33" t="inlineStr">
        <is>
          <t>● 건축법 및 관련 소방, 정보통신 등 인터페이스 설계기준 준수</t>
        </is>
      </c>
      <c r="R2" s="26" t="inlineStr">
        <is>
          <t>1) 👉 [더블클릭] 체크리스트 열기 📄</t>
        </is>
      </c>
      <c r="S2" s="33" t="n"/>
    </row>
    <row r="3" ht="115.2" customHeight="1">
      <c r="A3" s="32" t="inlineStr">
        <is>
          <t>9000</t>
        </is>
      </c>
      <c r="B3" s="32" t="inlineStr">
        <is>
          <t>9000-4</t>
        </is>
      </c>
      <c r="C3" s="73" t="inlineStr">
        <is>
          <t>건축</t>
        </is>
      </c>
      <c r="D3" s="32" t="inlineStr">
        <is>
          <t>9000-4-2</t>
        </is>
      </c>
      <c r="E3" s="73" t="inlineStr">
        <is>
          <t>발주전략 KOM</t>
        </is>
      </c>
      <c r="F3" s="32" t="inlineStr">
        <is>
          <t>현장소장</t>
        </is>
      </c>
      <c r="G3" s="33" t="inlineStr">
        <is>
          <t>건축 구조물 및 내부, 마감공사 발주 전략 수립</t>
        </is>
      </c>
      <c r="H3" s="33" t="inlineStr">
        <is>
          <t>- 가시공 B/P 적정성 검토
- 현설조건 검토
- 공법 및 공기 검토
- 예산 적정성 검토
- 현장 여건 및 지반상태(기초, 말뚝등) 검토</t>
        </is>
      </c>
      <c r="I3" s="33" t="inlineStr">
        <is>
          <t>KOM 검토결과서, 현설서</t>
        </is>
      </c>
      <c r="J3" s="33" t="inlineStr">
        <is>
          <t>1) 발주전략 KOM (WBS 9000-4-2) 관련 가시공 B/P 적정성 검토 수칙 및 법적 이행 의무를 1:1 준수한다. 또한 KDS 41 00 00 (건축구조기준), KDS 41 17 00 (내진설계기준) 및 KCS 41 00 00 (건축공사 표준시방서) 기술기준을 100% 충족한다.
2) 발주전략 KOM 달성을 위한 필수 시공 방법(가시공 B/P 적정성 검토 현설조건 검토 공법 및 공기 검토 예산 적정성 검토 현장 여건 및 지반상태(기초,...) 및 국가 기술 규격을 엄격히 보장한다. 이에 따라 구조 안전성 100% 입증, 누수/균열 하자 0건 달성 및 책임감리원 최종 결재를 완료하여 지자체 건축물 사용승인(준공) 필증을 획득한다.</t>
        </is>
      </c>
      <c r="K3" s="34" t="inlineStr">
        <is>
          <t>👉 [더블클릭] 표준서 열기 📄</t>
        </is>
      </c>
      <c r="L3" s="33" t="inlineStr">
        <is>
          <t>1) 발주전략 KOM (WBS 9000-4-2) 사전 건축 인허가 서식 제출(관할 지자체/소방서), 3D BIM 도서 대조 및 기계·전기·통신 4대 인터페이스 개구부를 확정한다.
2) 실무 작업방법 수칙(가시공 B/P 적정성 검토 현설조건 검토 공법 및 공기 검토 예산 적정성 검토 현장 여건 및 ...)에 따라 철근 이음/피복두께 검측, 거푸집 다짐 양생 및 현장 3대 금기 수칙(피복 미달, 무단 타설)을 완수한다.</t>
        </is>
      </c>
      <c r="M3" s="88" t="inlineStr">
        <is>
          <t>👉 [더블클릭] 수행지침 열기 📄</t>
        </is>
      </c>
      <c r="N3" s="33" t="inlineStr">
        <is>
          <t>1) 건축법 제11조 및 KDS 41 00 00 건축구조기준에 따라 발주전략 KOM 사전 검토를 수행하였는가? 또한 레미콘 규격(24~30MPa), 철근 시험성적서 및 방수자재 KCS 표준 품질 적격성을 검수하였는가?
2) 미검측 및 정량 시방 미달에 따른 발주전략 KOM (WBS 9000-4-2) 구조 균열/누수 하자 발생, 개구부 누락 재시공 손실 및 최종 KOM 검토결과서, 현설서 승인 반려 리스크를 전면 차단한다.</t>
        </is>
      </c>
      <c r="O3" s="34" t="inlineStr">
        <is>
          <t>👉 [더블클릭] 체크리스트 열기 📄</t>
        </is>
      </c>
      <c r="P3" s="32" t="n"/>
      <c r="Q3" s="33" t="inlineStr">
        <is>
          <t>● 본사외주부서, 수행부서, 토목견적팀 협의사항 준수</t>
        </is>
      </c>
      <c r="R3" s="26" t="inlineStr">
        <is>
          <t>1) 👉 [더블클릭] 체크리스트 열기 📄</t>
        </is>
      </c>
      <c r="S3" s="33" t="n"/>
    </row>
    <row r="4" ht="115.2" customHeight="1">
      <c r="A4" s="32" t="inlineStr">
        <is>
          <t>9000</t>
        </is>
      </c>
      <c r="B4" s="32" t="inlineStr">
        <is>
          <t>9000-4</t>
        </is>
      </c>
      <c r="C4" s="73" t="inlineStr">
        <is>
          <t>건축</t>
        </is>
      </c>
      <c r="D4" s="32" t="inlineStr">
        <is>
          <t>9000-4-3</t>
        </is>
      </c>
      <c r="E4" s="73" t="inlineStr">
        <is>
          <t>착공전 건축 인허가</t>
        </is>
      </c>
      <c r="F4" s="32" t="inlineStr">
        <is>
          <t>현장소장</t>
        </is>
      </c>
      <c r="G4" s="33" t="inlineStr">
        <is>
          <t>관련법에 따라 착수전 건축인허가 추진</t>
        </is>
      </c>
      <c r="H4" s="33" t="inlineStr">
        <is>
          <t>- 건축허가 요청(-&gt;관할 지자체)
- 착공신고서 제출(-&gt;관할 지자체)
- 소방시설공사 착공신고서 제출 (-&gt;관할 소방서)
- 정보통신공사 착공전 설계도 확인(-&gt;관할 지자체)</t>
        </is>
      </c>
      <c r="I4" s="33" t="inlineStr">
        <is>
          <t>인허가 신고/승인 문서</t>
        </is>
      </c>
      <c r="J4" s="33" t="inlineStr">
        <is>
          <t>1) 착공전 건축 인허가 (WBS 9000-4-3) 관련 건축허가 요청(-&gt;관할 지자체) 수칙 및 법적 이행 의무를 1:1 준수한다. 또한 KDS 41 00 00 (건축구조기준), KDS 41 17 00 (내진설계기준) 및 KCS 41 00 00 (건축공사 표준시방서) 기술기준을 100% 충족한다.
2) 착공전 건축 인허가 달성을 위한 필수 시공 방법(건축허가 요청(-&gt;관할 지자체) 착공신고서 제출(-&gt;관할 지자체) 소방시설공사 착공신고서 제출 (-&gt;관할 소...) 및 국가 기술 규격을 엄격히 보장한다. 이에 따라 구조 안전성 100% 입증, 누수/균열 하자 0건 달성 및 책임감리원 최종 결재를 완료하여 지자체 건축물 사용승인(준공) 필증을 획득한다.</t>
        </is>
      </c>
      <c r="K4" s="34" t="inlineStr">
        <is>
          <t>👉 [더블클릭] 표준서 열기 📄</t>
        </is>
      </c>
      <c r="L4" s="33" t="inlineStr">
        <is>
          <t>1) 착공전 건축 인허가 (WBS 9000-4-3) 사전 건축 인허가 서식 제출(관할 지자체/소방서), 3D BIM 도서 대조 및 기계·전기·통신 4대 인터페이스 개구부를 확정한다.
2) 실무 작업방법 수칙(건축허가 요청(-&gt;관할 지자체) 착공신고서 제출(-&gt;관할 지자체) 소방시설공사 착공신고서 제출...)에 따라 철근 이음/피복두께 검측, 거푸집 다짐 양생 및 현장 3대 금기 수칙(피복 미달, 무단 타설)을 완수한다.</t>
        </is>
      </c>
      <c r="M4" s="34" t="inlineStr">
        <is>
          <t>👉 [더블클릭] 수행지침 열기 📄</t>
        </is>
      </c>
      <c r="N4" s="33" t="inlineStr">
        <is>
          <t>1) 건축법 제11조 및 KDS 41 00 00 건축구조기준에 따라 착공전 건축 인허가 사전 검토를 수행하였는가? 또한 레미콘 규격(24~30MPa), 철근 시험성적서 및 방수자재 KCS 표준 품질 적격성을 검수하였는가?
2) 미검측 및 정량 시방 미달에 따른 착공전 건축 인허가 (WBS 9000-4-3) 구조 균열/누수 하자 발생, 개구부 누락 재시공 손실 및 최종 인허가 신고/승인 문서 승인 반려 리스크를 전면 차단한다.</t>
        </is>
      </c>
      <c r="O4" s="34" t="inlineStr">
        <is>
          <t>👉 [더블클릭] 체크리스트 열기 📄</t>
        </is>
      </c>
      <c r="P4" s="32" t="n"/>
      <c r="Q4" s="33" t="inlineStr">
        <is>
          <t>● 건축법, 소방시설공사업법, 정보통신공사업법 규정 준수</t>
        </is>
      </c>
      <c r="R4" s="26" t="inlineStr">
        <is>
          <t>1) 👉 [더블클릭] 체크리스트 열기 📄</t>
        </is>
      </c>
      <c r="S4" s="33" t="n"/>
    </row>
    <row r="5" ht="112.2" customHeight="1">
      <c r="A5" s="32" t="inlineStr">
        <is>
          <t>9000</t>
        </is>
      </c>
      <c r="B5" s="32" t="inlineStr">
        <is>
          <t>9000-4</t>
        </is>
      </c>
      <c r="C5" s="73" t="inlineStr">
        <is>
          <t>건축</t>
        </is>
      </c>
      <c r="D5" s="32" t="inlineStr">
        <is>
          <t>9000-4-4</t>
        </is>
      </c>
      <c r="E5" s="73" t="inlineStr">
        <is>
          <t>건축허가 요청</t>
        </is>
      </c>
      <c r="F5" s="32" t="inlineStr">
        <is>
          <t>건축설계사, 현장준비팀</t>
        </is>
      </c>
      <c r="G5" s="33" t="inlineStr">
        <is>
          <t>건축허가요청</t>
        </is>
      </c>
      <c r="H5" s="33" t="inlineStr">
        <is>
          <t>건축설계사, 현장준비팀 -&gt; 관할지자체
- 건축법 제11조(건축허가)
- 서식: 별지 제1호의4서식
- 관할지자체(시,군,구) 2일~15일</t>
        </is>
      </c>
      <c r="I5" s="33" t="inlineStr">
        <is>
          <t>건축허가 통보 문서</t>
        </is>
      </c>
      <c r="J5" s="33" t="inlineStr">
        <is>
          <t>1) 건축허가 요청 (WBS 9000-4-4) 관련 건축설계사, 현장준비팀 -&gt; 관할지자체 수칙 및 법적 이행 의무를 1:1 준수한다. 또한 KDS 41 00 00 (건축구조기준), KDS 41 17 00 (내진설계기준) 및 KCS 41 00 00 (건축공사 표준시방서) 기술기준을 100% 충족한다.
2) 건축허가 요청 달성을 위한 필수 시공 방법(건축설계사, 현장준비팀 -&gt; 관할지자체 건축법 제11조(건축허가) 서식: 별지 제1호의4서식 관할지자체(시,...) 및 국가 기술 규격을 엄격히 보장한다. 이에 따라 구조 안전성 100% 입증, 누수/균열 하자 0건 달성 및 책임감리원 최종 결재를 완료하여 지자체 건축물 사용승인(준공) 필증을 획득한다.</t>
        </is>
      </c>
      <c r="K5" s="34" t="inlineStr">
        <is>
          <t>👉 [더블클릭] 표준서 열기 📄</t>
        </is>
      </c>
      <c r="L5" s="33" t="inlineStr">
        <is>
          <t>1) 건축허가 요청 (WBS 9000-4-4) 사전 건축 인허가 서식 제출(관할 지자체/소방서), 3D BIM 도서 대조 및 기계·전기·통신 4대 인터페이스 개구부를 확정한다.
2) 실무 작업방법 수칙(건축설계사, 현장준비팀 -&gt; 관할지자체 건축법 제11조(건축허가) 서식: 별지 제1호의4서식 ...)에 따라 철근 이음/피복두께 검측, 거푸집 다짐 양생 및 현장 3대 금기 수칙(피복 미달, 무단 타설)을 완수한다.</t>
        </is>
      </c>
      <c r="M5" s="34" t="inlineStr">
        <is>
          <t>👉 [더블클릭] 수행지침 열기 📄</t>
        </is>
      </c>
      <c r="N5" s="33" t="inlineStr">
        <is>
          <t>1) 건축법 제11조 및 KDS 41 00 00 건축구조기준에 따라 건축허가 요청 사전 검토를 수행하였는가? 또한 레미콘 규격(24~30MPa), 철근 시험성적서 및 방수자재 KCS 표준 품질 적격성을 검수하였는가?
2) 미검측 및 정량 시방 미달에 따른 건축허가 요청 (WBS 9000-4-4) 구조 균열/누수 하자 발생, 개구부 누락 재시공 손실 및 최종 건축허가 통보 문서 승인 반려 리스크를 전면 차단한다.</t>
        </is>
      </c>
      <c r="O5" s="34" t="inlineStr">
        <is>
          <t>👉 [더블클릭] 체크리스트 열기 📄</t>
        </is>
      </c>
      <c r="P5" s="32" t="n"/>
      <c r="Q5" s="33" t="inlineStr">
        <is>
          <t>● 건축법 제11조</t>
        </is>
      </c>
      <c r="R5" s="26" t="inlineStr">
        <is>
          <t>1) 👉 [더블클릭] 체크리스트 열기 📄</t>
        </is>
      </c>
      <c r="S5" s="33" t="n"/>
    </row>
    <row r="6" ht="115.2" customHeight="1">
      <c r="A6" s="32" t="inlineStr">
        <is>
          <t>9000</t>
        </is>
      </c>
      <c r="B6" s="32" t="inlineStr">
        <is>
          <t>9000-4</t>
        </is>
      </c>
      <c r="C6" s="73" t="inlineStr">
        <is>
          <t>건축</t>
        </is>
      </c>
      <c r="D6" s="32" t="inlineStr">
        <is>
          <t>9000-4-5</t>
        </is>
      </c>
      <c r="E6" s="73" t="inlineStr">
        <is>
          <t>착공신고서 제출</t>
        </is>
      </c>
      <c r="F6" s="32" t="inlineStr">
        <is>
          <t>현장소장, 건축 설계사</t>
        </is>
      </c>
      <c r="G6" s="33" t="inlineStr">
        <is>
          <t>착공신고서 제출</t>
        </is>
      </c>
      <c r="H6" s="33" t="inlineStr">
        <is>
          <t>현장 -&gt; 관할지자체
- 건축법 제21조(착공신고등)
- 서식: 별지 제13호 서식
- 제출후 지자체 처리기간 3일 이내</t>
        </is>
      </c>
      <c r="I6" s="33" t="inlineStr">
        <is>
          <t>착공신고서 승인 통보 문서</t>
        </is>
      </c>
      <c r="J6" s="33" t="inlineStr">
        <is>
          <t>1) 착공신고서 제출 (WBS 9000-4-5) 관련 현장 -&gt; 관할지자체 수칙 및 법적 이행 의무를 1:1 준수한다. 또한 KDS 41 00 00 (건축구조기준), KDS 41 17 00 (내진설계기준) 및 KCS 41 00 00 (건축공사 표준시방서) 기술기준을 100% 충족한다.
2) 착공신고서 제출 달성을 위한 필수 시공 방법(현장 -&gt; 관할지자체 건축법 제21조(착공신고등) 서식: 별지 제13호 서식 제출후 지자체 처리기간 3일 이...) 및 국가 기술 규격을 엄격히 보장한다. 이에 따라 구조 안전성 100% 입증, 누수/균열 하자 0건 달성 및 책임감리원 최종 결재를 완료하여 지자체 건축물 사용승인(준공) 필증을 획득한다.</t>
        </is>
      </c>
      <c r="K6" s="34" t="inlineStr">
        <is>
          <t>👉 [더블클릭] 표준서 열기 📄</t>
        </is>
      </c>
      <c r="L6" s="33" t="inlineStr">
        <is>
          <t>1) 착공신고서 제출 (WBS 9000-4-5) 사전 건축 인허가 서식 제출(관할 지자체/소방서), 3D BIM 도서 대조 및 기계·전기·통신 4대 인터페이스 개구부를 확정한다.
2) 실무 작업방법 수칙(현장 -&gt; 관할지자체 건축법 제21조(착공신고등) 서식: 별지 제13호 서식 제출후 지자체 처...)에 따라 철근 이음/피복두께 검측, 거푸집 다짐 양생 및 현장 3대 금기 수칙(피복 미달, 무단 타설)을 완수한다.</t>
        </is>
      </c>
      <c r="M6" s="88" t="inlineStr">
        <is>
          <t>👉 [더블클릭] 수행지침 열기 📄</t>
        </is>
      </c>
      <c r="N6" s="33" t="inlineStr">
        <is>
          <t>1) 건축법 제11조 및 KDS 41 00 00 건축구조기준에 따라 착공신고서 제출 사전 검토를 수행하였는가? 또한 레미콘 규격(24~30MPa), 철근 시험성적서 및 방수자재 KCS 표준 품질 적격성을 검수하였는가?
2) 미검측 및 정량 시방 미달에 따른 착공신고서 제출 (WBS 9000-4-5) 구조 균열/누수 하자 발생, 개구부 누락 재시공 손실 및 최종 착공신고서 승인 통보 문서 승인 반려 리스크를 전면 차단한다.</t>
        </is>
      </c>
      <c r="O6" s="34" t="inlineStr">
        <is>
          <t>👉 [더블클릭] 체크리스트 열기 📄</t>
        </is>
      </c>
      <c r="P6" s="32" t="n"/>
      <c r="Q6" s="33" t="inlineStr">
        <is>
          <t>● 건축법 제21조</t>
        </is>
      </c>
      <c r="R6" s="26" t="inlineStr">
        <is>
          <t>1) 👉 [더블클릭] 체크리스트 열기 📄</t>
        </is>
      </c>
      <c r="S6" s="33" t="n"/>
    </row>
    <row r="7" ht="115.2" customHeight="1">
      <c r="A7" s="32" t="inlineStr">
        <is>
          <t>9000</t>
        </is>
      </c>
      <c r="B7" s="32" t="inlineStr">
        <is>
          <t>9000-4</t>
        </is>
      </c>
      <c r="C7" s="73" t="inlineStr">
        <is>
          <t>건축</t>
        </is>
      </c>
      <c r="D7" s="32" t="inlineStr">
        <is>
          <t>9000-4-6</t>
        </is>
      </c>
      <c r="E7" s="73" t="inlineStr">
        <is>
          <t>소방시설공사 착공 신고서 제출</t>
        </is>
      </c>
      <c r="F7" s="32" t="inlineStr">
        <is>
          <t>현장소장</t>
        </is>
      </c>
      <c r="G7" s="33" t="inlineStr">
        <is>
          <t>소방시설공사 착공신고서 제출</t>
        </is>
      </c>
      <c r="H7" s="33" t="inlineStr">
        <is>
          <t>현장 -&gt; 관할소방서, 소방시설공사업법 제13조(착공신고)
- 서식: 별지 제14호 서식
- 제출후 처리기간 2일 이내</t>
        </is>
      </c>
      <c r="I7" s="33" t="inlineStr">
        <is>
          <t>소방시설공사 착공신고필증</t>
        </is>
      </c>
      <c r="J7" s="33" t="inlineStr">
        <is>
          <t>1) 소방시설공사 착공 신고서 제출 (WBS 9000-4-6) 관련 현장 -&gt; 관할소방서, 소방시설공사업법 제13조(착공신고) 수칙 및 법적 이행 의무를 1:1 준수한다. 또한 KDS 41 00 00 (건축구조기준), KDS 41 17 00 (내진설계기준) 및 KCS 41 00 00 (건축공사 표준시방서) 기술기준을 100% 충족한다.
2) 소방시설공사 착공 신고서 제출 달성을 위한 필수 시공 방법(현장 -&gt; 관할소방서, 소방시설공사업법 제13조(착공신고) 서식: 별지 제14호 서식 제출후 처리기간 2일 ...) 및 국가 기술 규격을 엄격히 보장한다. 이에 따라 구조 안전성 100% 입증, 누수/균열 하자 0건 달성 및 책임감리원 최종 결재를 완료하여 지자체 건축물 사용승인(준공) 필증을 획득한다.</t>
        </is>
      </c>
      <c r="K7" s="34" t="inlineStr">
        <is>
          <t>👉 [더블클릭] 표준서 열기 📄</t>
        </is>
      </c>
      <c r="L7" s="33" t="inlineStr">
        <is>
          <t>1) 소방시설공사 착공 신고서 제출 (WBS 9000-4-6) 사전 건축 인허가 서식 제출(관할 지자체/소방서), 3D BIM 도서 대조 및 기계·전기·통신 4대 인터페이스 개구부를 확정한다.
2) 실무 작업방법 수칙(현장 -&gt; 관할소방서, 소방시설공사업법 제13조(착공신고) 서식: 별지 제14호 서식 제출후 ...)에 따라 철근 이음/피복두께 검측, 거푸집 다짐 양생 및 현장 3대 금기 수칙(피복 미달, 무단 타설)을 완수한다.</t>
        </is>
      </c>
      <c r="M7" s="34" t="inlineStr">
        <is>
          <t>👉 [더블클릭] 수행지침 열기 📄</t>
        </is>
      </c>
      <c r="N7" s="33" t="inlineStr">
        <is>
          <t>1) 건축법 제11조 및 KDS 41 00 00 건축구조기준에 따라 소방시설공사 착공 신고서 제출 사전 검토를 수행하였는가? 또한 레미콘 규격(24~30MPa), 철근 시험성적서 및 방수자재 KCS 표준 품질 적격성을 검수하였는가?
2) 미검측 및 정량 시방 미달에 따른 소방시설공사 착공 신고서 제출 (WBS 9000-4-6) 구조 균열/누수 하자 발생, 개구부 누락 재시공 손실 및 최종 소방시설공사 착공신고필증 승인 반려 리스크를 전면 차단한다.</t>
        </is>
      </c>
      <c r="O7" s="34" t="inlineStr">
        <is>
          <t>👉 [더블클릭] 체크리스트 열기 📄</t>
        </is>
      </c>
      <c r="P7" s="32" t="n"/>
      <c r="Q7" s="33" t="inlineStr">
        <is>
          <t>● 소방시설공사업법 제13조</t>
        </is>
      </c>
      <c r="R7" s="26" t="inlineStr">
        <is>
          <t>1) 👉 [더블클릭] 체크리스트 열기 📄</t>
        </is>
      </c>
      <c r="S7" s="33" t="n"/>
    </row>
    <row r="8" ht="115.2" customHeight="1">
      <c r="A8" s="32" t="inlineStr">
        <is>
          <t>9000</t>
        </is>
      </c>
      <c r="B8" s="32" t="inlineStr">
        <is>
          <t>9000-4</t>
        </is>
      </c>
      <c r="C8" s="73" t="inlineStr">
        <is>
          <t>건축</t>
        </is>
      </c>
      <c r="D8" s="32" t="inlineStr">
        <is>
          <t>9000-4-7</t>
        </is>
      </c>
      <c r="E8" s="73" t="inlineStr">
        <is>
          <t>정보통신공사 착공전 설계도 확인 (신청서 제출 및 결과 접수)</t>
        </is>
      </c>
      <c r="F8" s="32" t="inlineStr">
        <is>
          <t>현장소장</t>
        </is>
      </c>
      <c r="G8" s="33" t="inlineStr">
        <is>
          <t>정보통신공사 착공전 설계도 확인 신청 및 제출</t>
        </is>
      </c>
      <c r="H8" s="33" t="inlineStr">
        <is>
          <t>현장 -&gt; 관할지자체, 정보통신공사업법 시행령 제35조의 2
- 서식: 별지 제7호 서식
- 제출후 처리기간 14일 이내</t>
        </is>
      </c>
      <c r="I8" s="33" t="inlineStr">
        <is>
          <t>정보통신공사 착공전 설계도 확인결과 통보서</t>
        </is>
      </c>
      <c r="J8" s="33" t="inlineStr">
        <is>
          <t>1) 정보통신공사 착공전 설계도 확인 (신청서 제출 및 결과 접수) (WBS 9000-4-7) 관련 현장 -&gt; 관할지자체, 정보통신공사업법 시행령 제35조의 2 수칙 및 법적 이행 의무를 1:1 준수한다. 또한 KDS 41 00 00 (건축구조기준), KDS 41 17 00 (내진설계기준) 및 KCS 41 00 00 (건축공사 표준시방서) 기술기준을 100% 충족한다.
2) 정보통신공사 착공전 설계도 확인 (신청서 제출 및 결과 접수) 달성을 위한 필수 시공 방법(현장 -&gt; 관할지자체, 정보통신공사업법 시행령 제35조의 2 서식: 별지 제7호 서식 제출후 처리기간 14일...) 및 국가 기술 규격을 엄격히 보장한다. 이에 따라 구조 안전성 100% 입증, 누수/균열 하자 0건 달성 및 책임감리원 최종 결재를 완료하여 지자체 건축물 사용승인(준공) 필증을 획득한다.</t>
        </is>
      </c>
      <c r="K8" s="34" t="inlineStr">
        <is>
          <t>👉 [더블클릭] 표준서 열기 📄</t>
        </is>
      </c>
      <c r="L8" s="33" t="inlineStr">
        <is>
          <t>1) 정보통신공사 착공전 설계도 확인 (신청서 제출 및 결과 접수) (WBS 9000-4-7) 사전 건축 인허가 서식 제출(관할 지자체/소방서), 3D BIM 도서 대조 및 기계·전기·통신 4대 인터페이스 개구부를 확정한다.
2) 실무 작업방법 수칙(현장 -&gt; 관할지자체, 정보통신공사업법 시행령 제35조의 2 서식: 별지 제7호 서식 제출후 ...)에 따라 철근 이음/피복두께 검측, 거푸집 다짐 양생 및 현장 3대 금기 수칙(피복 미달, 무단 타설)을 완수한다.</t>
        </is>
      </c>
      <c r="M8" s="34" t="inlineStr">
        <is>
          <t>👉 [더블클릭] 수행지침 열기 📄</t>
        </is>
      </c>
      <c r="N8" s="33" t="inlineStr">
        <is>
          <t>1) 건축법 제11조 및 KDS 41 00 00 건축구조기준에 따라 정보통신공사 착공전 설계도 확인 (신청서 제출 및 결과 접수) 사전 검토를 수행하였는가? 또한 레미콘 규격(24~30MPa), 철근 시험성적서 및 방수자재 KCS 표준 품질 적격성을 검수하였는가?
2) 미검측 및 정량 시방 미달에 따른 정보통신공사 착공전 설계도 확인 (신청서 제출 및 결과 접수) (WBS 9000-4-7) 구조 균열/누수 하자 발생, 개구부 누락 재시공 손실 및 최종 정보통신공사 착공전 설계도 확인결과 통보서 승인 반려 리스크를 전면 차단한다.</t>
        </is>
      </c>
      <c r="O8" s="34" t="inlineStr">
        <is>
          <t>👉 [더블클릭] 체크리스트 열기 📄</t>
        </is>
      </c>
      <c r="P8" s="32" t="n"/>
      <c r="Q8" s="33" t="inlineStr">
        <is>
          <t>● 정보통신공사업법 시행령 제35조의 2</t>
        </is>
      </c>
      <c r="R8" s="26" t="inlineStr">
        <is>
          <t>1) 👉 [더블클릭] 체크리스트 열기 📄</t>
        </is>
      </c>
      <c r="S8" s="33" t="n"/>
    </row>
    <row r="9" ht="96" customHeight="1">
      <c r="A9" s="32" t="inlineStr">
        <is>
          <t>9000</t>
        </is>
      </c>
      <c r="B9" s="32" t="inlineStr">
        <is>
          <t>9000-4</t>
        </is>
      </c>
      <c r="C9" s="73" t="inlineStr">
        <is>
          <t>건축</t>
        </is>
      </c>
      <c r="D9" s="32" t="inlineStr">
        <is>
          <t>9000-4-8</t>
        </is>
      </c>
      <c r="E9" s="73" t="inlineStr">
        <is>
          <t>선행공종 인수사항 확인</t>
        </is>
      </c>
      <c r="F9" s="32" t="inlineStr">
        <is>
          <t>현장공사팀</t>
        </is>
      </c>
      <c r="G9" s="33" t="inlineStr">
        <is>
          <t>선행공종 인수인계</t>
        </is>
      </c>
      <c r="H9" s="33" t="inlineStr">
        <is>
          <t>- 부지경계 측량 확인
- 업체간 현장확인+좌표화 Data 인수
- 지장물, 지반상태, 진입로, 작업장 현황</t>
        </is>
      </c>
      <c r="I9" s="33" t="inlineStr">
        <is>
          <t>회의록, 인수사항 List</t>
        </is>
      </c>
      <c r="J9" s="33" t="inlineStr">
        <is>
          <t>1) 선행공종 인수사항 확인 (WBS 9000-4-8) 관련 부지경계 측량 확인 수칙 및 법적 이행 의무를 1:1 준수한다. 또한 KDS 41 00 00 (건축구조기준), KDS 41 17 00 (내진설계기준) 및 KCS 41 00 00 (건축공사 표준시방서) 기술기준을 100% 충족한다.
2) 선행공종 인수사항 확인 달성을 위한 필수 시공 방법(부지경계 측량 확인 업체간 현장확인+좌표화 Data 인수 지장물, 지반상태, 진입로, 작업장 현황...) 및 국가 기술 규격을 엄격히 보장한다. 이에 따라 구조 안전성 100% 입증, 누수/균열 하자 0건 달성 및 책임감리원 최종 결재를 완료하여 지자체 건축물 사용승인(준공) 필증을 획득한다.</t>
        </is>
      </c>
      <c r="K9" s="34" t="inlineStr">
        <is>
          <t>👉 [더블클릭] 표준서 열기 📄</t>
        </is>
      </c>
      <c r="L9" s="33" t="inlineStr">
        <is>
          <t>1) 선행공종 인수사항 확인 (WBS 9000-4-8) 사전 건축 인허가 서식 제출(관할 지자체/소방서), 3D BIM 도서 대조 및 기계·전기·통신 4대 인터페이스 개구부를 확정한다.
2) 실무 작업방법 수칙(부지경계 측량 확인 업체간 현장확인+좌표화 Data 인수 지장물, 지반상태, 진입로, 작업장 현황)에 따라 철근 이음/피복두께 검측, 거푸집 다짐 양생 및 현장 3대 금기 수칙(피복 미달, 무단 타설)을 완수한다.</t>
        </is>
      </c>
      <c r="M9" s="34" t="inlineStr">
        <is>
          <t>👉 [더블클릭] 수행지침 열기 📄</t>
        </is>
      </c>
      <c r="N9" s="33" t="inlineStr">
        <is>
          <t>1) 건축법 제11조 및 KDS 41 00 00 건축구조기준에 따라 선행공종 인수사항 확인 사전 검토를 수행하였는가? 또한 레미콘 규격(24~30MPa), 철근 시험성적서 및 방수자재 KCS 표준 품질 적격성을 검수하였는가?
2) 미검측 및 정량 시방 미달에 따른 선행공종 인수사항 확인 (WBS 9000-4-8) 구조 균열/누수 하자 발생, 개구부 누락 재시공 손실 및 최종 회의록, 인수사항 List 승인 반려 리스크를 전면 차단한다.</t>
        </is>
      </c>
      <c r="O9" s="34" t="inlineStr">
        <is>
          <t>👉 [더블클릭] 체크리스트 열기 📄</t>
        </is>
      </c>
      <c r="P9" s="32" t="n"/>
      <c r="Q9" s="33" t="inlineStr">
        <is>
          <t>● 선행공종(토공, 지반개량 등) 인수 및 좌표 검증</t>
        </is>
      </c>
      <c r="R9" s="26" t="inlineStr">
        <is>
          <t>1) 👉 [더블클릭] 체크리스트 열기 📄</t>
        </is>
      </c>
      <c r="S9" s="33" t="n"/>
    </row>
    <row r="10" ht="96" customHeight="1">
      <c r="A10" s="32" t="inlineStr">
        <is>
          <t>9000</t>
        </is>
      </c>
      <c r="B10" s="32" t="inlineStr">
        <is>
          <t>9000-4</t>
        </is>
      </c>
      <c r="C10" s="73" t="inlineStr">
        <is>
          <t>건축</t>
        </is>
      </c>
      <c r="D10" s="32" t="inlineStr">
        <is>
          <t>9000-4-9</t>
        </is>
      </c>
      <c r="E10" s="73" t="inlineStr">
        <is>
          <t>인터페이스 사항 검토 및 지원</t>
        </is>
      </c>
      <c r="F10" s="32" t="inlineStr">
        <is>
          <t>토목수행팀 / 현장 공사, 공무 Part</t>
        </is>
      </c>
      <c r="G10" s="33" t="inlineStr">
        <is>
          <t>후행공정 설계오류 및 변경검토</t>
        </is>
      </c>
      <c r="H10" s="33" t="inlineStr">
        <is>
          <t>- 설계도서 검토를 통한 공종간 인터페이스 사항에 대한 사전검토(오픈구 등)
- 유사공종 경험자 현장 지원 파견검토
- 콘크리트 타설전(기계설비, 전기, 통신) 사전 매입해야 할 배관,슬리브위치 타공정 확인</t>
        </is>
      </c>
      <c r="I10" s="33" t="inlineStr">
        <is>
          <t>회의록, 시공상세도</t>
        </is>
      </c>
      <c r="J10" s="33" t="inlineStr">
        <is>
          <t>1) 인터페이스 사항 검토 및 지원 (WBS 9000-4-9) 관련 설계도서 검토를 통한 공종간 인터페이스 사항에 대한 사전검토(오픈구 등) 수칙 및 법적 이행 의무를 1:1 준수한다. 또한 KDS 41 00 00 (건축구조기준), KDS 41 17 00 (내진설계기준) 및 KCS 41 00 00 (건축공사 표준시방서) 기술기준을 100% 충족한다.
2) 인터페이스 사항 검토 및 지원 달성을 위한 필수 시공 방법(설계도서 검토를 통한 공종간 인터페이스 사항에 대한 사전검토(오픈구 등) 유사공종 경험자 현장 지원 파견검토...) 및 국가 기술 규격을 엄격히 보장한다. 이에 따라 구조 안전성 100% 입증, 누수/균열 하자 0건 달성 및 책임감리원 최종 결재를 완료하여 지자체 건축물 사용승인(준공) 필증을 획득한다.</t>
        </is>
      </c>
      <c r="K10" s="34" t="inlineStr">
        <is>
          <t>👉 [더블클릭] 표준서 열기 📄</t>
        </is>
      </c>
      <c r="L10" s="33" t="inlineStr">
        <is>
          <t>1) 인터페이스 사항 검토 및 지원 (WBS 9000-4-9) 사전 건축 인허가 서식 제출(관할 지자체/소방서), 3D BIM 도서 대조 및 기계·전기·통신 4대 인터페이스 개구부를 확정한다.
2) 실무 작업방법 수칙(설계도서 검토를 통한 공종간 인터페이스 사항에 대한 사전검토(오픈구 등) 유사공종 경험자 현장...)에 따라 철근 이음/피복두께 검측, 거푸집 다짐 양생 및 현장 3대 금기 수칙(피복 미달, 무단 타설)을 완수한다.</t>
        </is>
      </c>
      <c r="M10" s="34" t="inlineStr">
        <is>
          <t>👉 [더블클릭] 수행지침 열기 📄</t>
        </is>
      </c>
      <c r="N10" s="33" t="inlineStr">
        <is>
          <t>1) 건축법 제11조 및 KDS 41 00 00 건축구조기준에 따라 인터페이스 사항 검토 및 지원 사전 검토를 수행하였는가? 또한 레미콘 규격(24~30MPa), 철근 시험성적서 및 방수자재 KCS 표준 품질 적격성을 검수하였는가?
2) 미검측 및 정량 시방 미달에 따른 인터페이스 사항 검토 및 지원 (WBS 9000-4-9) 구조 균열/누수 하자 발생, 개구부 누락 재시공 손실 및 최종 회의록, 시공상세도 승인 반려 리스크를 전면 차단한다.</t>
        </is>
      </c>
      <c r="O10" s="34" t="inlineStr">
        <is>
          <t>👉 [더블클릭] 체크리스트 열기 📄</t>
        </is>
      </c>
      <c r="P10" s="32" t="n"/>
      <c r="Q10" s="33" t="inlineStr">
        <is>
          <t>● 공종간 간섭 최소화</t>
        </is>
      </c>
      <c r="R10" s="26" t="inlineStr">
        <is>
          <t>1) 👉 [더블클릭] 체크리스트 열기 📄</t>
        </is>
      </c>
      <c r="S10" s="33" t="n"/>
    </row>
    <row r="11" ht="115.2" customHeight="1">
      <c r="A11" s="32" t="inlineStr">
        <is>
          <t>9000</t>
        </is>
      </c>
      <c r="B11" s="32" t="inlineStr">
        <is>
          <t>9000-4</t>
        </is>
      </c>
      <c r="C11" s="73" t="inlineStr">
        <is>
          <t>건축</t>
        </is>
      </c>
      <c r="D11" s="32" t="inlineStr">
        <is>
          <t>9000-4-10</t>
        </is>
      </c>
      <c r="E11" s="73" t="inlineStr">
        <is>
          <t>품질/안전 LL 공유</t>
        </is>
      </c>
      <c r="F11" s="32" t="inlineStr">
        <is>
          <t>현장 품질팀, 현장 안전팀</t>
        </is>
      </c>
      <c r="G11" s="33" t="inlineStr">
        <is>
          <t>품질/안전 하자 최소화</t>
        </is>
      </c>
      <c r="H11" s="33" t="inlineStr">
        <is>
          <t>시공시 발생가능 품질, 안전 하자 최소화</t>
        </is>
      </c>
      <c r="I11" s="33" t="inlineStr">
        <is>
          <t>시공계획수립시 반영</t>
        </is>
      </c>
      <c r="J11" s="33" t="inlineStr">
        <is>
          <t>1) 품질/안전 LL 공유 (WBS 9000-4-10) 관련 시공시 발생가능 품질, 안전 하자 최소화 수칙 및 법적 이행 의무를 1:1 준수한다. 또한 KDS 41 00 00 (건축구조기준), KDS 41 17 00 (내진설계기준) 및 KCS 41 00 00 (건축공사 표준시방서) 기술기준을 100% 충족한다.
2) 품질/안전 LL 공유 달성을 위한 필수 시공 방법(시공시 발생가능 품질, 안전 하자 최소화...) 및 국가 기술 규격을 엄격히 보장한다. 이에 따라 구조 안전성 100% 입증, 누수/균열 하자 0건 달성 및 책임감리원 최종 결재를 완료하여 지자체 건축물 사용승인(준공) 필증을 획득한다.</t>
        </is>
      </c>
      <c r="K11" s="34" t="inlineStr">
        <is>
          <t>👉 [더블클릭] 표준서 열기 📄</t>
        </is>
      </c>
      <c r="L11" s="33" t="inlineStr">
        <is>
          <t>1) 품질/안전 LL 공유 (WBS 9000-4-10) 사전 건축 인허가 서식 제출(관할 지자체/소방서), 3D BIM 도서 대조 및 기계·전기·통신 4대 인터페이스 개구부를 확정한다.
2) 실무 작업방법 수칙(시공시 발생가능 품질, 안전 하자 최소화)에 따라 철근 이음/피복두께 검측, 거푸집 다짐 양생 및 현장 3대 금기 수칙(피복 미달, 무단 타설)을 완수한다.</t>
        </is>
      </c>
      <c r="M11" s="34" t="inlineStr">
        <is>
          <t>👉 [더블클릭] 수행지침 열기 📄</t>
        </is>
      </c>
      <c r="N11" s="33" t="inlineStr">
        <is>
          <t>1) 건축법 제11조 및 KDS 41 00 00 건축구조기준에 따라 품질/안전 LL 공유 사전 검토를 수행하였는가? 또한 레미콘 규격(24~30MPa), 철근 시험성적서 및 방수자재 KCS 표준 품질 적격성을 검수하였는가?
2) 미검측 및 정량 시방 미달에 따른 품질/안전 LL 공유 (WBS 9000-4-10) 구조 균열/누수 하자 발생, 개구부 누락 재시공 손실 및 최종 시공계획수립시 반영 승인 반려 리스크를 전면 차단한다.</t>
        </is>
      </c>
      <c r="O11" s="34" t="inlineStr">
        <is>
          <t>👉 [더블클릭] 체크리스트 열기 📄</t>
        </is>
      </c>
      <c r="P11" s="32" t="n"/>
      <c r="Q11" s="33" t="inlineStr">
        <is>
          <t>● 기존 하자사례 및 Lesson Learned 반영</t>
        </is>
      </c>
      <c r="R11" s="26" t="inlineStr">
        <is>
          <t>1) 👉 [더블클릭] 체크리스트 열기 📄</t>
        </is>
      </c>
      <c r="S11" s="33" t="n"/>
    </row>
    <row r="12" ht="175.2" customHeight="1">
      <c r="A12" s="32" t="inlineStr">
        <is>
          <t>9000</t>
        </is>
      </c>
      <c r="B12" s="32" t="inlineStr">
        <is>
          <t>9000-4</t>
        </is>
      </c>
      <c r="C12" s="73" t="inlineStr">
        <is>
          <t>건축</t>
        </is>
      </c>
      <c r="D12" s="32" t="inlineStr">
        <is>
          <t>9000-4-11</t>
        </is>
      </c>
      <c r="E12" s="73" t="inlineStr">
        <is>
          <t>자재공급원승인 및 자재발주</t>
        </is>
      </c>
      <c r="F12" s="32" t="inlineStr">
        <is>
          <t>현장 공무팀</t>
        </is>
      </c>
      <c r="G12" s="33" t="inlineStr">
        <is>
          <t>공사에 필요한 자재 발주</t>
        </is>
      </c>
      <c r="H12" s="33" t="inlineStr">
        <is>
          <t>- 자재 규격 및 반입 일정 계획 수립
- 시공에 필요한 당사 지급자재에 대한 발주 요청
- 자재공급원 승인 제출 및 확인</t>
        </is>
      </c>
      <c r="I12" s="33" t="inlineStr">
        <is>
          <t>구매 의뢰 승인, 자재공급원 승인서류</t>
        </is>
      </c>
      <c r="J12" s="33" t="inlineStr">
        <is>
          <t>1) 자재공급원승인 및 자재발주 (WBS 9000-4-11) 관련 자재 규격 및 반입 일정 계획 수립 수칙 및 법적 이행 의무를 1:1 준수한다. 또한 KDS 41 00 00 (건축구조기준), KDS 41 17 00 (내진설계기준) 및 KCS 41 00 00 (건축공사 표준시방서) 기술기준을 100% 충족한다.
2) 자재공급원승인 및 자재발주 달성을 위한 필수 시공 방법(자재 규격 및 반입 일정 계획 수립 시공에 필요한 당사 지급자재에 대한 발주 요청 자재공급원 승인 제출 및 ...) 및 국가 기술 규격을 엄격히 보장한다. 이에 따라 구조 안전성 100% 입증, 누수/균열 하자 0건 달성 및 책임감리원 최종 결재를 완료하여 지자체 건축물 사용승인(준공) 필증을 획득한다.</t>
        </is>
      </c>
      <c r="K12" s="34" t="inlineStr">
        <is>
          <t>👉 [더블클릭] 표준서 열기 📄</t>
        </is>
      </c>
      <c r="L12" s="33" t="inlineStr">
        <is>
          <t>1) 자재공급원승인 및 자재발주 (WBS 9000-4-11) 사전 건축 인허가 서식 제출(관할 지자체/소방서), 3D BIM 도서 대조 및 기계·전기·통신 4대 인터페이스 개구부를 확정한다.
2) 실무 작업방법 수칙(자재 규격 및 반입 일정 계획 수립 시공에 필요한 당사 지급자재에 대한 발주 요청 자재공급원 ...)에 따라 철근 이음/피복두께 검측, 거푸집 다짐 양생 및 현장 3대 금기 수칙(피복 미달, 무단 타설)을 완수한다.</t>
        </is>
      </c>
      <c r="M12" s="34" t="inlineStr">
        <is>
          <t>👉 [더블클릭] 수행지침 열기 📄</t>
        </is>
      </c>
      <c r="N12" s="33" t="inlineStr">
        <is>
          <t>1) 건축법 제11조 및 KDS 41 00 00 건축구조기준에 따라 자재공급원승인 및 자재발주 사전 검토를 수행하였는가? 또한 레미콘 규격(24~30MPa), 철근 시험성적서 및 방수자재 KCS 표준 품질 적격성을 검수하였는가?
2) 미검측 및 정량 시방 미달에 따른 자재공급원승인 및 자재발주 (WBS 9000-4-11) 구조 균열/누수 하자 발생, 개구부 누락 재시공 손실 및 최종 구매 의뢰 승인, 자재공급원 승인서류 승인 반려 리스크를 전면 차단한다.</t>
        </is>
      </c>
      <c r="O12" s="34" t="inlineStr">
        <is>
          <t>👉 [더블클릭] 체크리스트 열기 📄</t>
        </is>
      </c>
      <c r="P12" s="32" t="n"/>
      <c r="Q12" s="33" t="inlineStr">
        <is>
          <t>● 자재 규격 및 기준 만족</t>
        </is>
      </c>
      <c r="R12" s="26" t="inlineStr">
        <is>
          <t>1) 👉 [더블클릭] 체크리스트 열기 📄</t>
        </is>
      </c>
      <c r="S12" s="33" t="n"/>
    </row>
    <row r="13" ht="211.2" customHeight="1">
      <c r="A13" s="32" t="inlineStr">
        <is>
          <t>9000</t>
        </is>
      </c>
      <c r="B13" s="32" t="inlineStr">
        <is>
          <t>9000-4</t>
        </is>
      </c>
      <c r="C13" s="73" t="inlineStr">
        <is>
          <t>건축</t>
        </is>
      </c>
      <c r="D13" s="32" t="inlineStr">
        <is>
          <t>9000-4-12</t>
        </is>
      </c>
      <c r="E13" s="73" t="inlineStr">
        <is>
          <t>착수전 Big Room 회의</t>
        </is>
      </c>
      <c r="F13" s="32" t="inlineStr">
        <is>
          <t>현장소장</t>
        </is>
      </c>
      <c r="G13" s="33" t="inlineStr">
        <is>
          <t>선후행공정 지원사항 도출, 수행시 예상가능 Risk 검토 및 대책 수립</t>
        </is>
      </c>
      <c r="H13" s="33" t="inlineStr">
        <is>
          <t>본사/현장/협력사 협의체 구축 후 상세검토
- 건축인허가 사항 체크 (건축허가, 착공계제출, 소방착공신고, 정보통신 착공신고 등)
- 가설계획수립(장비이동 동선, 철근가공장, 울타리 등)
- 공종별 간섭검토: 토목/기계/시스템 인터페이스
- 진입로/자재야적장/사토장 및 토취장 운영계획
- 공사중 배수계획(임시배수로, 배수펌프 운영 등)
- 장비 투입계획, 양중장비 운영계획 검토 및 안전검사 확인
- 측량 기준점 및 공사예정 부지 확인 / 인원 및 자재 투입 계획 검토
- 건설기술진흥법에 따른 정기안전점검 대상 / 점검 계획 공유
- 공종별 Risk Hedge방안 검토 (안전/품질 Risk, 민원 대응)</t>
        </is>
      </c>
      <c r="I13" s="33" t="inlineStr">
        <is>
          <t>Big Room 회의록(참석자 전원 서명)</t>
        </is>
      </c>
      <c r="J13" s="33" t="inlineStr">
        <is>
          <t>1) 착수전 Big Room 회의 (WBS 9000-4-12) 관련 본사/현장/협력사 협의체 구축 후 상세검토 수칙 및 법적 이행 의무를 1:1 준수한다. 또한 KDS 41 00 00 (건축구조기준), KDS 41 17 00 (내진설계기준) 및 KCS 41 00 00 (건축공사 표준시방서) 기술기준을 100% 충족한다.
2) 착수전 Big Room 회의 달성을 위한 필수 시공 방법(본사/현장/협력사 협의체 구축 후 상세검토 건축인허가 사항 체크 (건축허가, 착공계제출, 소방착공신고, 정보...) 및 국가 기술 규격을 엄격히 보장한다. 이에 따라 구조 안전성 100% 입증, 누수/균열 하자 0건 달성 및 책임감리원 최종 결재를 완료하여 지자체 건축물 사용승인(준공) 필증을 획득한다.</t>
        </is>
      </c>
      <c r="K13" s="34" t="inlineStr">
        <is>
          <t>👉 [더블클릭] 표준서 열기 📄</t>
        </is>
      </c>
      <c r="L13" s="33" t="inlineStr">
        <is>
          <t>1) 착수전 Big Room 회의 (WBS 9000-4-12) 사전 건축 인허가 서식 제출(관할 지자체/소방서), 3D BIM 도서 대조 및 기계·전기·통신 4대 인터페이스 개구부를 확정한다.
2) 실무 작업방법 수칙(본사/현장/협력사 협의체 구축 후 상세검토 건축인허가 사항 체크 (건축허가, 착공계제출, 소방...)에 따라 철근 이음/피복두께 검측, 거푸집 다짐 양생 및 현장 3대 금기 수칙(피복 미달, 무단 타설)을 완수한다.</t>
        </is>
      </c>
      <c r="M13" s="88" t="inlineStr">
        <is>
          <t>👉 [더블클릭] 수행지침 열기 📄</t>
        </is>
      </c>
      <c r="N13" s="33" t="inlineStr">
        <is>
          <t>1) 건축법 제11조 및 KDS 41 00 00 건축구조기준에 따라 착수전 Big Room 회의 사전 검토를 수행하였는가? 또한 레미콘 규격(24~30MPa), 철근 시험성적서 및 방수자재 KCS 표준 품질 적격성을 검수하였는가?
2) 미검측 및 정량 시방 미달에 따른 착수전 Big Room 회의 (WBS 9000-4-12) 구조 균열/누수 하자 발생, 개구부 누락 재시공 손실 및 최종 Big Room 회의록(참석자 전원 서명) 승인 반려 리스크를 전면 차단한다.</t>
        </is>
      </c>
      <c r="O13" s="34" t="inlineStr">
        <is>
          <t>👉 [더블클릭] 체크리스트 열기 📄</t>
        </is>
      </c>
      <c r="P13" s="32" t="n"/>
      <c r="Q13" s="33" t="inlineStr">
        <is>
          <t>● 유관부서(견적/엔지니어링/공정/품질/안전) 협의</t>
        </is>
      </c>
      <c r="R13" s="26" t="inlineStr">
        <is>
          <t>1) 👉 [더블클릭] 체크리스트 열기 📄</t>
        </is>
      </c>
      <c r="S13" s="33" t="n"/>
    </row>
    <row r="14" ht="115.2" customHeight="1">
      <c r="A14" s="32" t="inlineStr">
        <is>
          <t>9000</t>
        </is>
      </c>
      <c r="B14" s="32" t="inlineStr">
        <is>
          <t>9000-4</t>
        </is>
      </c>
      <c r="C14" s="73" t="inlineStr">
        <is>
          <t>건축</t>
        </is>
      </c>
      <c r="D14" s="32" t="inlineStr">
        <is>
          <t>9000-4-13</t>
        </is>
      </c>
      <c r="E14" s="73" t="inlineStr">
        <is>
          <t>시공계획 수립/승인</t>
        </is>
      </c>
      <c r="F14" s="32" t="inlineStr">
        <is>
          <t>현장소장</t>
        </is>
      </c>
      <c r="G14" s="33" t="inlineStr">
        <is>
          <t>인력, 품질이 확보된 시공계획 수립</t>
        </is>
      </c>
      <c r="H14" s="33" t="inlineStr">
        <is>
          <t>- 공사계획: 장비/자재배치, 동선, 인원/장비/자재투입 계획, 공정표, 배수계획 등
- 안전관리: 위험요인/대책, 안전교육/시설/점검 계획 수립
- 품질관리: 품질하자 Risk 및 대책수립
- 환경관리: 소음, 분진 등 환경대책 수립</t>
        </is>
      </c>
      <c r="I14" s="33" t="inlineStr">
        <is>
          <t>(승인)관리시공계획서&amp;시공상세도</t>
        </is>
      </c>
      <c r="J14" s="33" t="inlineStr">
        <is>
          <t>1) 시공계획 수립/승인 (WBS 9000-4-13) 관련 공사계획: 장비/자재배치, 동선, 인원/장비/자재투입 계획, 공정표, 배수계획 등 수칙 및 법적 이행 의무를 1:1 준수한다. 또한 KDS 41 00 00 (건축구조기준), KDS 41 17 00 (내진설계기준) 및 KCS 41 00 00 (건축공사 표준시방서) 기술기준을 100% 충족한다.
2) 시공계획 수립/승인 달성을 위한 필수 시공 방법(공사계획: 장비/자재배치, 동선, 인원/장비/자재투입 계획, 공정표, 배수계획 등 안전관리: 위험요인/대책,...) 및 국가 기술 규격을 엄격히 보장한다. 이에 따라 구조 안전성 100% 입증, 누수/균열 하자 0건 달성 및 책임감리원 최종 결재를 완료하여 지자체 건축물 사용승인(준공) 필증을 획득한다.</t>
        </is>
      </c>
      <c r="K14" s="34" t="inlineStr">
        <is>
          <t>👉 [더블클릭] 표준서 열기 📄</t>
        </is>
      </c>
      <c r="L14" s="33" t="inlineStr">
        <is>
          <t>1) 시공계획 수립/승인 (WBS 9000-4-13) 사전 건축 인허가 서식 제출(관할 지자체/소방서), 3D BIM 도서 대조 및 기계·전기·통신 4대 인터페이스 개구부를 확정한다.
2) 실무 작업방법 수칙(공사계획: 장비/자재배치, 동선, 인원/장비/자재투입 계획, 공정표, 배수계획 등 안전관리: ...)에 따라 철근 이음/피복두께 검측, 거푸집 다짐 양생 및 현장 3대 금기 수칙(피복 미달, 무단 타설)을 완수한다.</t>
        </is>
      </c>
      <c r="M14" s="34" t="inlineStr">
        <is>
          <t>👉 [더블클릭] 수행지침 열기 📄</t>
        </is>
      </c>
      <c r="N14" s="33" t="inlineStr">
        <is>
          <t>1) 건축법 제11조 및 KDS 41 00 00 건축구조기준에 따라 시공계획 수립/승인 사전 검토를 수행하였는가? 또한 레미콘 규격(24~30MPa), 철근 시험성적서 및 방수자재 KCS 표준 품질 적격성을 검수하였는가?
2) 미검측 및 정량 시방 미달에 따른 시공계획 수립/승인 (WBS 9000-4-13) 구조 균열/누수 하자 발생, 개구부 누락 재시공 손실 및 최종 (승인)관리시공계획서&amp;시공상세도 승인 반려 리스크를 전면 차단한다.</t>
        </is>
      </c>
      <c r="O14" s="34" t="inlineStr">
        <is>
          <t>👉 [더블클릭] 체크리스트 열기 📄</t>
        </is>
      </c>
      <c r="P14" s="32" t="n"/>
      <c r="Q14" s="33" t="inlineStr">
        <is>
          <t>● 건설기술진흥법 규정 준수</t>
        </is>
      </c>
      <c r="R14" s="26" t="inlineStr">
        <is>
          <t>1) 👉 [더블클릭] 체크리스트 열기 📄</t>
        </is>
      </c>
      <c r="S14" s="33" t="n"/>
    </row>
    <row r="15" ht="115.2" customHeight="1">
      <c r="A15" s="32" t="inlineStr">
        <is>
          <t>9000</t>
        </is>
      </c>
      <c r="B15" s="32" t="inlineStr">
        <is>
          <t>9000-4</t>
        </is>
      </c>
      <c r="C15" s="73" t="inlineStr">
        <is>
          <t>건축</t>
        </is>
      </c>
      <c r="D15" s="32" t="inlineStr">
        <is>
          <t>9000-4-14</t>
        </is>
      </c>
      <c r="E15" s="73" t="inlineStr">
        <is>
          <t>측량, 자재/장비 반입, 안전교육</t>
        </is>
      </c>
      <c r="F15" s="32" t="inlineStr">
        <is>
          <t>현장소장</t>
        </is>
      </c>
      <c r="G15" s="33" t="inlineStr">
        <is>
          <t>D-day 전에 공사 준비완료</t>
        </is>
      </c>
      <c r="H15" s="33" t="inlineStr">
        <is>
          <t>- 측량: 측량기준점 설치, 공사위치 마킹
- 자재는 지정된 야적장에 보관
- 장비 Spec확인, 장비안전검사
- 작업원 안전교육 실시</t>
        </is>
      </c>
      <c r="I15" s="33" t="inlineStr">
        <is>
          <t>측량기록지, 안전교육 결과서</t>
        </is>
      </c>
      <c r="J15" s="33" t="inlineStr">
        <is>
          <t>1) 측량, 자재/장비 반입, 안전교육 (WBS 9000-4-14) 관련 측량: 측량기준점 설치, 공사위치 마킹 수칙 및 법적 이행 의무를 1:1 준수한다. 또한 KDS 41 00 00 (건축구조기준), KDS 41 17 00 (내진설계기준) 및 KCS 41 00 00 (건축공사 표준시방서) 기술기준을 100% 충족한다.
2) 측량, 자재/장비 반입, 안전교육 달성을 위한 필수 시공 방법(측량: 측량기준점 설치, 공사위치 마킹 자재는 지정된 야적장에 보관 장비 Spec확인, 장비안전검사 작업원 ...) 및 국가 기술 규격을 엄격히 보장한다. 이에 따라 구조 안전성 100% 입증, 누수/균열 하자 0건 달성 및 책임감리원 최종 결재를 완료하여 지자체 건축물 사용승인(준공) 필증을 획득한다.</t>
        </is>
      </c>
      <c r="K15" s="34" t="inlineStr">
        <is>
          <t>👉 [더블클릭] 표준서 열기 📄</t>
        </is>
      </c>
      <c r="L15" s="33" t="inlineStr">
        <is>
          <t>1) 측량, 자재/장비 반입, 안전교육 (WBS 9000-4-14) 사전 건축 인허가 서식 제출(관할 지자체/소방서), 3D BIM 도서 대조 및 기계·전기·통신 4대 인터페이스 개구부를 확정한다.
2) 실무 작업방법 수칙(측량: 측량기준점 설치, 공사위치 마킹 자재는 지정된 야적장에 보관 장비 Spec확인, 장비안...)에 따라 철근 이음/피복두께 검측, 거푸집 다짐 양생 및 현장 3대 금기 수칙(피복 미달, 무단 타설)을 완수한다.</t>
        </is>
      </c>
      <c r="M15" s="34" t="inlineStr">
        <is>
          <t>👉 [더블클릭] 수행지침 열기 📄</t>
        </is>
      </c>
      <c r="N15" s="33" t="inlineStr">
        <is>
          <t>1) 건축법 제11조 및 KDS 41 00 00 건축구조기준에 따라 측량, 자재/장비 반입, 안전교육 사전 검토를 수행하였는가? 또한 레미콘 규격(24~30MPa), 철근 시험성적서 및 방수자재 KCS 표준 품질 적격성을 검수하였는가?
2) 미검측 및 정량 시방 미달에 따른 측량, 자재/장비 반입, 안전교육 (WBS 9000-4-14) 구조 균열/누수 하자 발생, 개구부 누락 재시공 손실 및 최종 측량기록지, 안전교육 결과서 승인 반려 리스크를 전면 차단한다.</t>
        </is>
      </c>
      <c r="O15" s="34" t="inlineStr">
        <is>
          <t>👉 [더블클릭] 체크리스트 열기 📄</t>
        </is>
      </c>
      <c r="P15" s="32" t="n"/>
      <c r="Q15" s="33" t="inlineStr">
        <is>
          <t>● 측량법 및 산업안전보건법 준수</t>
        </is>
      </c>
      <c r="R15" s="26" t="inlineStr">
        <is>
          <t>1) 👉 [더블클릭] 체크리스트 열기 📄</t>
        </is>
      </c>
      <c r="S15" s="33" t="n"/>
    </row>
    <row r="16" ht="115.2" customHeight="1">
      <c r="A16" s="32" t="inlineStr">
        <is>
          <t>9000</t>
        </is>
      </c>
      <c r="B16" s="32" t="inlineStr">
        <is>
          <t>9000-4</t>
        </is>
      </c>
      <c r="C16" s="73" t="inlineStr">
        <is>
          <t>건축</t>
        </is>
      </c>
      <c r="D16" s="32" t="inlineStr">
        <is>
          <t>9000-4-15</t>
        </is>
      </c>
      <c r="E16" s="73" t="inlineStr">
        <is>
          <t>자재 검수</t>
        </is>
      </c>
      <c r="F16" s="32" t="inlineStr">
        <is>
          <t>현장 자재팀 / 품질팀</t>
        </is>
      </c>
      <c r="G16" s="33" t="inlineStr">
        <is>
          <t>설계/시방기준에 적합한 자재 반입</t>
        </is>
      </c>
      <c r="H16" s="33" t="inlineStr">
        <is>
          <t>- 송장과 실물 확인(규격, 성능, 수량)
- 시방기준에 따른 품질시험 실시
- 훼손, 오반입시 반출조치</t>
        </is>
      </c>
      <c r="I16" s="33" t="inlineStr">
        <is>
          <t>자재검수서, 품질시험 보고서</t>
        </is>
      </c>
      <c r="J16" s="33" t="inlineStr">
        <is>
          <t>1) 자재 검수 (WBS 9000-4-15) 관련 송장과 실물 확인(규격, 성능, 수량) 수칙 및 법적 이행 의무를 1:1 준수한다. 또한 KDS 41 00 00 (건축구조기준), KDS 41 17 00 (내진설계기준) 및 KCS 41 00 00 (건축공사 표준시방서) 기술기준을 100% 충족한다.
2) 자재 검수 달성을 위한 필수 시공 방법(송장과 실물 확인(규격, 성능, 수량) 시방기준에 따른 품질시험 실시 훼손, 오반입시 반출조치...) 및 국가 기술 규격을 엄격히 보장한다. 이에 따라 구조 안전성 100% 입증, 누수/균열 하자 0건 달성 및 책임감리원 최종 결재를 완료하여 지자체 건축물 사용승인(준공) 필증을 획득한다.</t>
        </is>
      </c>
      <c r="K16" s="34" t="inlineStr">
        <is>
          <t>👉 [더블클릭] 표준서 열기 📄</t>
        </is>
      </c>
      <c r="L16" s="33" t="inlineStr">
        <is>
          <t>1) 자재 검수 (WBS 9000-4-15) 사전 건축 인허가 서식 제출(관할 지자체/소방서), 3D BIM 도서 대조 및 기계·전기·통신 4대 인터페이스 개구부를 확정한다.
2) 실무 작업방법 수칙(송장과 실물 확인(규격, 성능, 수량) 시방기준에 따른 품질시험 실시 훼손, 오반입시 반출조치)에 따라 철근 이음/피복두께 검측, 거푸집 다짐 양생 및 현장 3대 금기 수칙(피복 미달, 무단 타설)을 완수한다.</t>
        </is>
      </c>
      <c r="M16" s="34" t="inlineStr">
        <is>
          <t>👉 [더블클릭] 수행지침 열기 📄</t>
        </is>
      </c>
      <c r="N16" s="33" t="inlineStr">
        <is>
          <t>1) 건축법 제11조 및 KDS 41 00 00 건축구조기준에 따라 자재 검수 사전 검토를 수행하였는가? 또한 레미콘 규격(24~30MPa), 철근 시험성적서 및 방수자재 KCS 표준 품질 적격성을 검수하였는가?
2) 미검측 및 정량 시방 미달에 따른 자재 검수 (WBS 9000-4-15) 구조 균열/누수 하자 발생, 개구부 누락 재시공 손실 및 최종 자재검수서, 품질시험 보고서 승인 반려 리스크를 전면 차단한다.</t>
        </is>
      </c>
      <c r="O16" s="34" t="inlineStr">
        <is>
          <t>👉 [더블클릭] 체크리스트 열기 📄</t>
        </is>
      </c>
      <c r="P16" s="32" t="n"/>
      <c r="Q16" s="33" t="inlineStr">
        <is>
          <t>● KS 규격 및 시방 기준 준수</t>
        </is>
      </c>
      <c r="R16" s="26" t="inlineStr">
        <is>
          <t>1) 👉 [더블클릭] 체크리스트 열기 📄</t>
        </is>
      </c>
      <c r="S16" s="33" t="n"/>
    </row>
    <row r="17" ht="96" customHeight="1">
      <c r="A17" s="32" t="inlineStr">
        <is>
          <t>9000</t>
        </is>
      </c>
      <c r="B17" s="32" t="inlineStr">
        <is>
          <t>9000-4</t>
        </is>
      </c>
      <c r="C17" s="73" t="inlineStr">
        <is>
          <t>건축</t>
        </is>
      </c>
      <c r="D17" s="32" t="inlineStr">
        <is>
          <t>9000-4-16</t>
        </is>
      </c>
      <c r="E17" s="73" t="inlineStr">
        <is>
          <t>터파기/지반 정리</t>
        </is>
      </c>
      <c r="F17" s="32" t="inlineStr">
        <is>
          <t>현장소장</t>
        </is>
      </c>
      <c r="G17" s="33" t="inlineStr">
        <is>
          <t>구조물 시공을 위한 바닥 확보</t>
        </is>
      </c>
      <c r="H17" s="33" t="inlineStr">
        <is>
          <t>측량을 통한 계획Level, 위치 확인, 바닥 지지력 시험</t>
        </is>
      </c>
      <c r="I17" s="33" t="inlineStr">
        <is>
          <t>측량 성과, 지지력시험성과 보고서</t>
        </is>
      </c>
      <c r="J17" s="33" t="inlineStr">
        <is>
          <t>1) 터파기/지반 정리 (WBS 9000-4-16) 관련 측량을 통한 계획Level, 위치 확인, 바닥 지지력 시험 수칙 및 법적 이행 의무를 1:1 준수한다. 또한 KDS 41 00 00 (건축구조기준), KDS 41 17 00 (내진설계기준) 및 KCS 41 00 00 (건축공사 표준시방서) 기술기준을 100% 충족한다.
2) 터파기/지반 정리 달성을 위한 필수 시공 방법(측량을 통한 계획Level, 위치 확인, 바닥 지지력 시험...) 및 국가 기술 규격을 엄격히 보장한다. 이에 따라 구조 안전성 100% 입증, 누수/균열 하자 0건 달성 및 책임감리원 최종 결재를 완료하여 지자체 건축물 사용승인(준공) 필증을 획득한다.</t>
        </is>
      </c>
      <c r="K17" s="34" t="inlineStr">
        <is>
          <t>👉 [더블클릭] 표준서 열기 📄</t>
        </is>
      </c>
      <c r="L17" s="33" t="inlineStr">
        <is>
          <t>1) 터파기/지반 정리 (WBS 9000-4-16) 사전 건축 인허가 서식 제출(관할 지자체/소방서), 3D BIM 도서 대조 및 기계·전기·통신 4대 인터페이스 개구부를 확정한다.
2) 실무 작업방법 수칙(측량을 통한 계획Level, 위치 확인, 바닥 지지력 시험)에 따라 철근 이음/피복두께 검측, 거푸집 다짐 양생 및 현장 3대 금기 수칙(피복 미달, 무단 타설)을 완수한다.</t>
        </is>
      </c>
      <c r="M17" s="34" t="inlineStr">
        <is>
          <t>👉 [더블클릭] 수행지침 열기 📄</t>
        </is>
      </c>
      <c r="N17" s="33" t="inlineStr">
        <is>
          <t>1) 건축법 제11조 및 KDS 41 00 00 건축구조기준에 따라 터파기/지반 정리 사전 검토를 수행하였는가? 또한 레미콘 규격(24~30MPa), 철근 시험성적서 및 방수자재 KCS 표준 품질 적격성을 검수하였는가?
2) 미검측 및 정량 시방 미달에 따른 터파기/지반 정리 (WBS 9000-4-16) 구조 균열/누수 하자 발생, 개구부 누락 재시공 손실 및 최종 측량 성과, 지지력시험성과 보고서 승인 반려 리스크를 전면 차단한다.</t>
        </is>
      </c>
      <c r="O17" s="34" t="inlineStr">
        <is>
          <t>👉 [더블클릭] 체크리스트 열기 📄</t>
        </is>
      </c>
      <c r="P17" s="32" t="n"/>
      <c r="Q17" s="33" t="inlineStr">
        <is>
          <t>● 지반 지지력 및 굴착 공차 관리 기준</t>
        </is>
      </c>
      <c r="R17" s="26" t="inlineStr">
        <is>
          <t>1) 👉 [더블클릭] 체크리스트 열기 📄</t>
        </is>
      </c>
      <c r="S17" s="33" t="n"/>
    </row>
    <row r="18" ht="115.2" customHeight="1">
      <c r="A18" s="32" t="inlineStr">
        <is>
          <t>9000</t>
        </is>
      </c>
      <c r="B18" s="32" t="inlineStr">
        <is>
          <t>9000-4</t>
        </is>
      </c>
      <c r="C18" s="73" t="inlineStr">
        <is>
          <t>건축</t>
        </is>
      </c>
      <c r="D18" s="32" t="inlineStr">
        <is>
          <t>9000-4-17</t>
        </is>
      </c>
      <c r="E18" s="73" t="inlineStr">
        <is>
          <t>바닥(버림) 콘크리트 타설</t>
        </is>
      </c>
      <c r="F18" s="32" t="inlineStr">
        <is>
          <t>현장소장</t>
        </is>
      </c>
      <c r="G18" s="33" t="inlineStr">
        <is>
          <t>철근을 깔 수 있는 평탄한 바닥확보</t>
        </is>
      </c>
      <c r="H18" s="33" t="inlineStr">
        <is>
          <t>도면에 따라 거푸집 조립, 버림con't타설, 양생, 거푸집 해체/정리</t>
        </is>
      </c>
      <c r="I18" s="33" t="inlineStr">
        <is>
          <t>검측서</t>
        </is>
      </c>
      <c r="J18" s="33" t="inlineStr">
        <is>
          <t>1) 바닥(버림) 콘크리트 타설 (WBS 9000-4-17) 관련 도면에 따라 거푸집 조립, 버림con't타설, 양생, 거푸집 해체/정리 수칙 및 법적 이행 의무를 1:1 준수한다. 또한 KDS 41 00 00 (건축구조기준), KDS 41 17 00 (내진설계기준) 및 KCS 41 00 00 (건축공사 표준시방서) 기술기준을 100% 충족한다.
2) 바닥(버림) 콘크리트 타설 달성을 위한 필수 시공 방법(도면에 따라 거푸집 조립, 버림con't타설, 양생, 거푸집 해체/정리...) 및 국가 기술 규격을 엄격히 보장한다. 이에 따라 구조 안전성 100% 입증, 누수/균열 하자 0건 달성 및 책임감리원 최종 결재를 완료하여 지자체 건축물 사용승인(준공) 필증을 획득한다.</t>
        </is>
      </c>
      <c r="K18" s="34" t="inlineStr">
        <is>
          <t>👉 [더블클릭] 표준서 열기 📄</t>
        </is>
      </c>
      <c r="L18" s="33" t="inlineStr">
        <is>
          <t>1) 바닥(버림) 콘크리트 타설 (WBS 9000-4-17) 사전 건축 인허가 서식 제출(관할 지자체/소방서), 3D BIM 도서 대조 및 기계·전기·통신 4대 인터페이스 개구부를 확정한다.
2) 실무 작업방법 수칙(도면에 따라 거푸집 조립, 버림con't타설, 양생, 거푸집 해체/정리)에 따라 철근 이음/피복두께 검측, 거푸집 다짐 양생 및 현장 3대 금기 수칙(피복 미달, 무단 타설)을 완수한다.</t>
        </is>
      </c>
      <c r="M18" s="34" t="inlineStr">
        <is>
          <t>👉 [더블클릭] 수행지침 열기 📄</t>
        </is>
      </c>
      <c r="N18" s="33" t="inlineStr">
        <is>
          <t>1) 건축법 제11조 및 KDS 41 00 00 건축구조기준에 따라 바닥(버림) 콘크리트 타설 사전 검토를 수행하였는가? 또한 레미콘 규격(24~30MPa), 철근 시험성적서 및 방수자재 KCS 표준 품질 적격성을 검수하였는가?
2) 미검측 및 정량 시방 미달에 따른 바닥(버림) 콘크리트 타설 (WBS 9000-4-17) 구조 균열/누수 하자 발생, 개구부 누락 재시공 손실 및 최종 검측서 승인 반려 리스크를 전면 차단한다.</t>
        </is>
      </c>
      <c r="O18" s="34" t="inlineStr">
        <is>
          <t>👉 [더블클릭] 체크리스트 열기 📄</t>
        </is>
      </c>
      <c r="P18" s="32" t="n"/>
      <c r="Q18" s="33" t="inlineStr">
        <is>
          <t>● 버림 콘크리트 두께 및 높이 준수</t>
        </is>
      </c>
      <c r="R18" s="26" t="inlineStr">
        <is>
          <t>1) 👉 [더블클릭] 체크리스트 열기 📄</t>
        </is>
      </c>
      <c r="S18" s="33" t="n"/>
    </row>
    <row r="19" ht="115.2" customHeight="1">
      <c r="A19" s="32" t="inlineStr">
        <is>
          <t>9000</t>
        </is>
      </c>
      <c r="B19" s="32" t="inlineStr">
        <is>
          <t>9000-4</t>
        </is>
      </c>
      <c r="C19" s="73" t="inlineStr">
        <is>
          <t>건축</t>
        </is>
      </c>
      <c r="D19" s="32" t="inlineStr">
        <is>
          <t>9000-4-18</t>
        </is>
      </c>
      <c r="E19" s="73" t="inlineStr">
        <is>
          <t>인터페이스 회의(매주)</t>
        </is>
      </c>
      <c r="F19" s="32" t="inlineStr">
        <is>
          <t>현장소장</t>
        </is>
      </c>
      <c r="G19" s="33" t="inlineStr">
        <is>
          <t>건축 구조물공사 中, 건축 마감공사 中 인터페이스 협의를 통한 재시공 최소화</t>
        </is>
      </c>
      <c r="H19" s="33" t="inlineStr">
        <is>
          <t>시공중 지속적인 인터페이스(기계, 전기, 통신 등) 회의를 통하여 시공전 계획했던 대로 원활한 선후행공정 시공진행</t>
        </is>
      </c>
      <c r="I19" s="33" t="inlineStr">
        <is>
          <t>인터페이스 회의록</t>
        </is>
      </c>
      <c r="J19" s="33" t="inlineStr">
        <is>
          <t>1) 인터페이스 회의(매주) (WBS 9000-4-18) 관련 시공중 지속적인 인터페이스(기계, 전기, 통신 등) 회의를 통하여 시공전 계획했던 대로 원활한 선후행공정 시공진행 수칙 및 법적 이행 의무를 1:1 준수한다. 또한 KDS 41 00 00 (건축구조기준), KDS 41 17 00 (내진설계기준) 및 KCS 41 00 00 (건축공사 표준시방서) 기술기준을 100% 충족한다.
2) 인터페이스 회의(매주) 달성을 위한 필수 시공 방법(시공중 지속적인 인터페이스(기계, 전기, 통신 등) 회의를 통하여 시공전 계획했던 대로 원활한 선후행공정 시...) 및 국가 기술 규격을 엄격히 보장한다. 이에 따라 구조 안전성 100% 입증, 누수/균열 하자 0건 달성 및 책임감리원 최종 결재를 완료하여 지자체 건축물 사용승인(준공) 필증을 획득한다.</t>
        </is>
      </c>
      <c r="K19" s="34" t="inlineStr">
        <is>
          <t>👉 [더블클릭] 표준서 열기 📄</t>
        </is>
      </c>
      <c r="L19" s="33" t="inlineStr">
        <is>
          <t>1) 인터페이스 회의(매주) (WBS 9000-4-18) 사전 건축 인허가 서식 제출(관할 지자체/소방서), 3D BIM 도서 대조 및 기계·전기·통신 4대 인터페이스 개구부를 확정한다.
2) 실무 작업방법 수칙(시공중 지속적인 인터페이스(기계, 전기, 통신 등) 회의를 통하여 시공전 계획했던 대로 원활한...)에 따라 철근 이음/피복두께 검측, 거푸집 다짐 양생 및 현장 3대 금기 수칙(피복 미달, 무단 타설)을 완수한다.</t>
        </is>
      </c>
      <c r="M19" s="34" t="inlineStr">
        <is>
          <t>👉 [더블클릭] 수행지침 열기 📄</t>
        </is>
      </c>
      <c r="N19" s="33" t="inlineStr">
        <is>
          <t>1) 건축법 제11조 및 KDS 41 00 00 건축구조기준에 따라 인터페이스 회의(매주) 사전 검토를 수행하였는가? 또한 레미콘 규격(24~30MPa), 철근 시험성적서 및 방수자재 KCS 표준 품질 적격성을 검수하였는가?
2) 미검측 및 정량 시방 미달에 따른 인터페이스 회의(매주) (WBS 9000-4-18) 구조 균열/누수 하자 발생, 개구부 누락 재시공 손실 및 최종 인터페이스 회의록 승인 반려 리스크를 전면 차단한다.</t>
        </is>
      </c>
      <c r="O19" s="34" t="inlineStr">
        <is>
          <t>👉 [더블클릭] 체크리스트 열기 📄</t>
        </is>
      </c>
      <c r="P19" s="32" t="n"/>
      <c r="Q19" s="33" t="inlineStr">
        <is>
          <t>● 공정 조율 및 시공 순서 확인</t>
        </is>
      </c>
      <c r="R19" s="26" t="inlineStr">
        <is>
          <t>1) 👉 [더블클릭] 체크리스트 열기 📄</t>
        </is>
      </c>
      <c r="S19" s="33" t="n"/>
    </row>
    <row r="20" ht="115.2" customHeight="1">
      <c r="A20" s="32" t="inlineStr">
        <is>
          <t>9000</t>
        </is>
      </c>
      <c r="B20" s="32" t="inlineStr">
        <is>
          <t>9000-4</t>
        </is>
      </c>
      <c r="C20" s="73" t="inlineStr">
        <is>
          <t>건축</t>
        </is>
      </c>
      <c r="D20" s="32" t="inlineStr">
        <is>
          <t>9000-4-19</t>
        </is>
      </c>
      <c r="E20" s="73" t="inlineStr">
        <is>
          <t>인터페이스 각 공종별 Issue (기계, 전기, 통신분야)</t>
        </is>
      </c>
      <c r="F20" s="32" t="inlineStr">
        <is>
          <t>현장소장</t>
        </is>
      </c>
      <c r="G20" s="33" t="inlineStr">
        <is>
          <t>구조물 내,외부 인입공사 사전 인터페이스 회의를 통한 공사간섭 및 Rework방지</t>
        </is>
      </c>
      <c r="H20" s="33" t="inlineStr">
        <is>
          <t>각 해당공종(건축, 기계, 전기) 도면과 건축도면을 비교 및 현장여건 검토를 통한 시공방법 결정, 각종 필증 및 허가관련에 따른 우선순위 시공순서 결정</t>
        </is>
      </c>
      <c r="I20" s="33" t="inlineStr">
        <is>
          <t>인터페이스 회의록</t>
        </is>
      </c>
      <c r="J20" s="33" t="inlineStr">
        <is>
          <t>1) 인터페이스 각 공종별 Issue (기계, 전기, 통신분야) (WBS 9000-4-19) 관련 각 해당공종(건축, 기계, 전기) 도면과 건축도면을 비교 및 현장여건 검토를 통한 시공방법 결정, 각종 필증 및 허가관련에 따른 우선순위 시공순서 결정 수칙 및 법적 이행 의무를 1:1 준수한다. 또한 KDS 41 00 00 (건축구조기준), KDS 41 17 00 (내진설계기준) 및 KCS 41 00 00 (건축공사 표준시방서) 기술기준을 100% 충족한다.
2) 인터페이스 각 공종별 Issue (기계, 전기, 통신분야) 달성을 위한 필수 시공 방법(각 해당공종(건축, 기계, 전기) 도면과 건축도면을 비교 및 현장여건 검토를 통한 시공방법 결정, 각종 필증...) 및 국가 기술 규격을 엄격히 보장한다. 이에 따라 구조 안전성 100% 입증, 누수/균열 하자 0건 달성 및 책임감리원 최종 결재를 완료하여 지자체 건축물 사용승인(준공) 필증을 획득한다.</t>
        </is>
      </c>
      <c r="K20" s="34" t="inlineStr">
        <is>
          <t>👉 [더블클릭] 표준서 열기 📄</t>
        </is>
      </c>
      <c r="L20" s="33" t="inlineStr">
        <is>
          <t>1) 인터페이스 각 공종별 Issue (기계, 전기, 통신분야) (WBS 9000-4-19) 사전 건축 인허가 서식 제출(관할 지자체/소방서), 3D BIM 도서 대조 및 기계·전기·통신 4대 인터페이스 개구부를 확정한다.
2) 실무 작업방법 수칙(각 해당공종(건축, 기계, 전기) 도면과 건축도면을 비교 및 현장여건 검토를 통한 시공방법 결...)에 따라 철근 이음/피복두께 검측, 거푸집 다짐 양생 및 현장 3대 금기 수칙(피복 미달, 무단 타설)을 완수한다.</t>
        </is>
      </c>
      <c r="M20" s="34" t="inlineStr">
        <is>
          <t>👉 [더블클릭] 수행지침 열기 📄</t>
        </is>
      </c>
      <c r="N20" s="33" t="inlineStr">
        <is>
          <t>1) 건축법 제11조 및 KDS 41 00 00 건축구조기준에 따라 인터페이스 각 공종별 Issue (기계, 전기, 통신분야) 사전 검토를 수행하였는가? 또한 레미콘 규격(24~30MPa), 철근 시험성적서 및 방수자재 KCS 표준 품질 적격성을 검수하였는가?
2) 미검측 및 정량 시방 미달에 따른 인터페이스 각 공종별 Issue (기계, 전기, 통신분야) (WBS 9000-4-19) 구조 균열/누수 하자 발생, 개구부 누락 재시공 손실 및 최종 인터페이스 회의록 승인 반려 리스크를 전면 차단한다.</t>
        </is>
      </c>
      <c r="O20" s="34" t="inlineStr">
        <is>
          <t>👉 [더블클릭] 체크리스트 열기 📄</t>
        </is>
      </c>
      <c r="P20" s="32" t="n"/>
      <c r="Q20" s="33" t="inlineStr">
        <is>
          <t>● 타 분야 매입 배관 및 슬리브 사전 확인</t>
        </is>
      </c>
      <c r="R20" s="26" t="inlineStr">
        <is>
          <t>1) 👉 [더블클릭] 체크리스트 열기 📄</t>
        </is>
      </c>
      <c r="S20" s="33" t="n"/>
    </row>
    <row r="21" ht="115.2" customHeight="1">
      <c r="A21" s="32" t="inlineStr">
        <is>
          <t>9000</t>
        </is>
      </c>
      <c r="B21" s="32" t="inlineStr">
        <is>
          <t>9000-4</t>
        </is>
      </c>
      <c r="C21" s="73" t="inlineStr">
        <is>
          <t>건축</t>
        </is>
      </c>
      <c r="D21" s="32" t="inlineStr">
        <is>
          <t>9000-4-20</t>
        </is>
      </c>
      <c r="E21" s="73" t="inlineStr">
        <is>
          <t>인터페이스 각 공종별 Issue (토목분야)</t>
        </is>
      </c>
      <c r="F21" s="32" t="inlineStr">
        <is>
          <t>현장소장</t>
        </is>
      </c>
      <c r="G21" s="33" t="inlineStr">
        <is>
          <t>건축공사와 토목공사 간섭 예방, 업무 Scope확인을 통한 설계/시공Gray zone제거</t>
        </is>
      </c>
      <c r="H21" s="33" t="inlineStr">
        <is>
          <t>구조물별 외부 배수 설계와 같은 현장 여건을 구성이 되었는지 확인</t>
        </is>
      </c>
      <c r="I21" s="33" t="inlineStr">
        <is>
          <t>회의록</t>
        </is>
      </c>
      <c r="J21" s="33" t="inlineStr">
        <is>
          <t>1) 인터페이스 각 공종별 Issue (토목분야) (WBS 9000-4-20) 관련 구조물별 외부 배수 설계와 같은 현장 여건을 구성이 되었는지 확인 수칙 및 법적 이행 의무를 1:1 준수한다. 또한 KDS 41 00 00 (건축구조기준), KDS 41 17 00 (내진설계기준) 및 KCS 41 00 00 (건축공사 표준시방서) 기술기준을 100% 충족한다.
2) 인터페이스 각 공종별 Issue (토목분야) 달성을 위한 필수 시공 방법(구조물별 외부 배수 설계와 같은 현장 여건을 구성이 되었는지 확인...) 및 국가 기술 규격을 엄격히 보장한다. 이에 따라 구조 안전성 100% 입증, 누수/균열 하자 0건 달성 및 책임감리원 최종 결재를 완료하여 지자체 건축물 사용승인(준공) 필증을 획득한다.</t>
        </is>
      </c>
      <c r="K21" s="34" t="inlineStr">
        <is>
          <t>👉 [더블클릭] 표준서 열기 📄</t>
        </is>
      </c>
      <c r="L21" s="33" t="inlineStr">
        <is>
          <t>1) 인터페이스 각 공종별 Issue (토목분야) (WBS 9000-4-20) 사전 건축 인허가 서식 제출(관할 지자체/소방서), 3D BIM 도서 대조 및 기계·전기·통신 4대 인터페이스 개구부를 확정한다.
2) 실무 작업방법 수칙(구조물별 외부 배수 설계와 같은 현장 여건을 구성이 되었는지 확인)에 따라 철근 이음/피복두께 검측, 거푸집 다짐 양생 및 현장 3대 금기 수칙(피복 미달, 무단 타설)을 완수한다.</t>
        </is>
      </c>
      <c r="M21" s="34" t="inlineStr">
        <is>
          <t>👉 [더블클릭] 수행지침 열기 📄</t>
        </is>
      </c>
      <c r="N21" s="33" t="inlineStr">
        <is>
          <t>1) 건축법 제11조 및 KDS 41 00 00 건축구조기준에 따라 인터페이스 각 공종별 Issue (토목분야) 사전 검토를 수행하였는가? 또한 레미콘 규격(24~30MPa), 철근 시험성적서 및 방수자재 KCS 표준 품질 적격성을 검수하였는가?
2) 미검측 및 정량 시방 미달에 따른 인터페이스 각 공종별 Issue (토목분야) (WBS 9000-4-20) 구조 균열/누수 하자 발생, 개구부 누락 재시공 손실 및 최종 회의록 승인 반려 리스크를 전면 차단한다.</t>
        </is>
      </c>
      <c r="O21" s="34" t="inlineStr">
        <is>
          <t>👉 [더블클릭] 체크리스트 열기 📄</t>
        </is>
      </c>
      <c r="P21" s="32" t="n"/>
      <c r="Q21" s="33" t="inlineStr">
        <is>
          <t>● 토목 외부 우/오수 배수 및 연계 부분 확인</t>
        </is>
      </c>
      <c r="R21" s="26" t="inlineStr">
        <is>
          <t>1) 👉 [더블클릭] 체크리스트 열기 📄</t>
        </is>
      </c>
      <c r="S21" s="33" t="n"/>
    </row>
    <row r="22" ht="96" customHeight="1">
      <c r="A22" s="32" t="inlineStr">
        <is>
          <t>9000</t>
        </is>
      </c>
      <c r="B22" s="32" t="inlineStr">
        <is>
          <t>9000-4</t>
        </is>
      </c>
      <c r="C22" s="73" t="inlineStr">
        <is>
          <t>건축</t>
        </is>
      </c>
      <c r="D22" s="32" t="inlineStr">
        <is>
          <t>9000-4-21</t>
        </is>
      </c>
      <c r="E22" s="73" t="inlineStr">
        <is>
          <t>기초~상부슬라브 구조물 시공</t>
        </is>
      </c>
      <c r="F22" s="32" t="inlineStr">
        <is>
          <t>현장소장</t>
        </is>
      </c>
      <c r="G22" s="33" t="inlineStr">
        <is>
          <t>기초, 기둥 및 슬라브 구조물 시공</t>
        </is>
      </c>
      <c r="H22" s="33" t="inlineStr">
        <is>
          <t>발주 이후 마감공정 연계, 거푸집 해체 이후 균열조사 및 보수조치 시행</t>
        </is>
      </c>
      <c r="I22" s="33" t="inlineStr">
        <is>
          <t>해당공종 검측서, 각종 품질시험결과 보고서, 마감공종 인수인계서</t>
        </is>
      </c>
      <c r="J22" s="33" t="inlineStr">
        <is>
          <t>1) 기초~상부슬라브 구조물 시공 (WBS 9000-4-21) 관련 발주 이후 마감공정 연계, 거푸집 해체 이후 균열조사 및 보수조치 시행 수칙 및 법적 이행 의무를 1:1 준수한다. 또한 KDS 41 00 00 (건축구조기준), KDS 41 17 00 (내진설계기준) 및 KCS 41 00 00 (건축공사 표준시방서) 기술기준을 100% 충족한다.
2) 기초~상부슬라브 구조물 시공 달성을 위한 필수 시공 방법(발주 이후 마감공정 연계, 거푸집 해체 이후 균열조사 및 보수조치 시행...) 및 국가 기술 규격을 엄격히 보장한다. 이에 따라 구조 안전성 100% 입증, 누수/균열 하자 0건 달성 및 책임감리원 최종 결재를 완료하여 지자체 건축물 사용승인(준공) 필증을 획득한다.</t>
        </is>
      </c>
      <c r="K22" s="34" t="inlineStr">
        <is>
          <t>👉 [더블클릭] 표준서 열기 📄</t>
        </is>
      </c>
      <c r="L22" s="33" t="inlineStr">
        <is>
          <t>1) 기초~상부슬라브 구조물 시공 (WBS 9000-4-21) 사전 건축 인허가 서식 제출(관할 지자체/소방서), 3D BIM 도서 대조 및 기계·전기·통신 4대 인터페이스 개구부를 확정한다.
2) 실무 작업방법 수칙(발주 이후 마감공정 연계, 거푸집 해체 이후 균열조사 및 보수조치 시행)에 따라 철근 이음/피복두께 검측, 거푸집 다짐 양생 및 현장 3대 금기 수칙(피복 미달, 무단 타설)을 완수한다.</t>
        </is>
      </c>
      <c r="M22" s="34" t="inlineStr">
        <is>
          <t>👉 [더블클릭] 수행지침 열기 📄</t>
        </is>
      </c>
      <c r="N22" s="33" t="inlineStr">
        <is>
          <t>1) 건축법 제11조 및 KDS 41 00 00 건축구조기준에 따라 기초~상부슬라브 구조물 시공 사전 검토를 수행하였는가? 또한 레미콘 규격(24~30MPa), 철근 시험성적서 및 방수자재 KCS 표준 품질 적격성을 검수하였는가?
2) 미검측 및 정량 시방 미달에 따른 기초~상부슬라브 구조물 시공 (WBS 9000-4-21) 구조 균열/누수 하자 발생, 개구부 누락 재시공 손실 및 최종 해당공종 검측서, 각종 품질시험결과 보고서, 마감공종 인수인계서 승인 반려 리스크를 전면 차단한다.</t>
        </is>
      </c>
      <c r="O22" s="34" t="inlineStr">
        <is>
          <t>👉 [더블클릭] 체크리스트 열기 📄</t>
        </is>
      </c>
      <c r="P22" s="32" t="n"/>
      <c r="Q22" s="33" t="inlineStr">
        <is>
          <t>● 콘크리트 압축강도 및 피복두께 관리</t>
        </is>
      </c>
      <c r="R22" s="26" t="inlineStr">
        <is>
          <t>1) 👉 [더블클릭] 체크리스트 열기 📄</t>
        </is>
      </c>
      <c r="S22" s="33" t="n"/>
    </row>
    <row r="23" ht="96" customHeight="1">
      <c r="A23" s="32" t="inlineStr">
        <is>
          <t>9000</t>
        </is>
      </c>
      <c r="B23" s="32" t="inlineStr">
        <is>
          <t>9000-4</t>
        </is>
      </c>
      <c r="C23" s="73" t="inlineStr">
        <is>
          <t>건축</t>
        </is>
      </c>
      <c r="D23" s="32" t="inlineStr">
        <is>
          <t>9000-4-22</t>
        </is>
      </c>
      <c r="E23" s="73" t="inlineStr">
        <is>
          <t>철근 가공</t>
        </is>
      </c>
      <c r="F23" s="32" t="inlineStr">
        <is>
          <t>현장소장</t>
        </is>
      </c>
      <c r="G23" s="33" t="inlineStr">
        <is>
          <t>철근을 절곡 및 절단하는 작업</t>
        </is>
      </c>
      <c r="H23" s="33" t="inlineStr">
        <is>
          <t>설계도면과 가공상세가 일치하는지 확인 및 보강부분 시공상세도 확인</t>
        </is>
      </c>
      <c r="I23" s="33" t="inlineStr">
        <is>
          <t>철근 시공상세도</t>
        </is>
      </c>
      <c r="J23" s="33" t="inlineStr">
        <is>
          <t>1) 철근 가공 (WBS 9000-4-22) 관련 설계도면과 가공상세가 일치하는지 확인 및 보강부분 시공상세도 확인 수칙 및 법적 이행 의무를 1:1 준수한다. 또한 KDS 41 00 00 (건축구조기준), KDS 41 17 00 (내진설계기준) 및 KCS 41 00 00 (건축공사 표준시방서) 기술기준을 100% 충족한다.
2) 철근 가공 달성을 위한 필수 시공 방법(설계도면과 가공상세가 일치하는지 확인 및 보강부분 시공상세도 확인...) 및 국가 기술 규격을 엄격히 보장한다. 이에 따라 구조 안전성 100% 입증, 누수/균열 하자 0건 달성 및 책임감리원 최종 결재를 완료하여 지자체 건축물 사용승인(준공) 필증을 획득한다.</t>
        </is>
      </c>
      <c r="K23" s="34" t="inlineStr">
        <is>
          <t>👉 [더블클릭] 표준서 열기 📄</t>
        </is>
      </c>
      <c r="L23" s="33" t="inlineStr">
        <is>
          <t>1) 철근 가공 (WBS 9000-4-22) 사전 건축 인허가 서식 제출(관할 지자체/소방서), 3D BIM 도서 대조 및 기계·전기·통신 4대 인터페이스 개구부를 확정한다.
2) 실무 작업방법 수칙(설계도면과 가공상세가 일치하는지 확인 및 보강부분 시공상세도 확인)에 따라 철근 이음/피복두께 검측, 거푸집 다짐 양생 및 현장 3대 금기 수칙(피복 미달, 무단 타설)을 완수한다.</t>
        </is>
      </c>
      <c r="M23" s="34" t="inlineStr">
        <is>
          <t>👉 [더블클릭] 수행지침 열기 📄</t>
        </is>
      </c>
      <c r="N23" s="33" t="inlineStr">
        <is>
          <t>1) 건축법 제11조 및 KDS 41 00 00 건축구조기준에 따라 철근 가공 사전 검토를 수행하였는가? 또한 레미콘 규격(24~30MPa), 철근 시험성적서 및 방수자재 KCS 표준 품질 적격성을 검수하였는가?
2) 미검측 및 정량 시방 미달에 따른 철근 가공 (WBS 9000-4-22) 구조 균열/누수 하자 발생, 개구부 누락 재시공 손실 및 최종 철근 시공상세도 승인 반려 리스크를 전면 차단한다.</t>
        </is>
      </c>
      <c r="O23" s="34" t="inlineStr">
        <is>
          <t>👉 [더블클릭] 체크리스트 열기 📄</t>
        </is>
      </c>
      <c r="P23" s="32" t="n"/>
      <c r="Q23" s="33" t="inlineStr">
        <is>
          <t>● 철근 가공 치수 허용오차 기준</t>
        </is>
      </c>
      <c r="R23" s="26" t="inlineStr">
        <is>
          <t>1) 👉 [더블클릭] 체크리스트 열기 📄</t>
        </is>
      </c>
      <c r="S23" s="33" t="n"/>
    </row>
    <row r="24" ht="96" customHeight="1">
      <c r="A24" s="32" t="inlineStr">
        <is>
          <t>9000</t>
        </is>
      </c>
      <c r="B24" s="32" t="inlineStr">
        <is>
          <t>9000-4</t>
        </is>
      </c>
      <c r="C24" s="73" t="inlineStr">
        <is>
          <t>건축</t>
        </is>
      </c>
      <c r="D24" s="32" t="inlineStr">
        <is>
          <t>9000-4-23</t>
        </is>
      </c>
      <c r="E24" s="73" t="inlineStr">
        <is>
          <t>작업발판, 비계 및 동바리 설치</t>
        </is>
      </c>
      <c r="F24" s="32" t="inlineStr">
        <is>
          <t>현장소장</t>
        </is>
      </c>
      <c r="G24" s="33" t="inlineStr">
        <is>
          <t>구조물 시공을 위한 작업발판 및 후속 작업을 위해 비계 및 동바리 설치</t>
        </is>
      </c>
      <c r="H24" s="33" t="inlineStr">
        <is>
          <t>안전난간 및 발판 설치 이후 철근 조립 및 거푸집 설치를 위한 비계 및 동바리 설치</t>
        </is>
      </c>
      <c r="I24" s="33" t="inlineStr">
        <is>
          <t>비계 및 동바리 검측서</t>
        </is>
      </c>
      <c r="J24" s="33" t="inlineStr">
        <is>
          <t>1) 작업발판, 비계 및 동바리 설치 (WBS 9000-4-23) 관련 안전난간 및 발판 설치 이후 철근 조립 및 거푸집 설치를 위한 비계 및 동바리 설치 수칙 및 법적 이행 의무를 1:1 준수한다. 또한 KDS 41 00 00 (건축구조기준), KDS 41 17 00 (내진설계기준) 및 KCS 41 00 00 (건축공사 표준시방서) 기술기준을 100% 충족한다.
2) 작업발판, 비계 및 동바리 설치 달성을 위한 필수 시공 방법(안전난간 및 발판 설치 이후 철근 조립 및 거푸집 설치를 위한 비계 및 동바리 설치...) 및 국가 기술 규격을 엄격히 보장한다. 이에 따라 구조 안전성 100% 입증, 누수/균열 하자 0건 달성 및 책임감리원 최종 결재를 완료하여 지자체 건축물 사용승인(준공) 필증을 획득한다.</t>
        </is>
      </c>
      <c r="K24" s="34" t="inlineStr">
        <is>
          <t>👉 [더블클릭] 표준서 열기 📄</t>
        </is>
      </c>
      <c r="L24" s="33" t="inlineStr">
        <is>
          <t>1) 작업발판, 비계 및 동바리 설치 (WBS 9000-4-23) 사전 건축 인허가 서식 제출(관할 지자체/소방서), 3D BIM 도서 대조 및 기계·전기·통신 4대 인터페이스 개구부를 확정한다.
2) 실무 작업방법 수칙(안전난간 및 발판 설치 이후 철근 조립 및 거푸집 설치를 위한 비계 및 동바리 설치)에 따라 철근 이음/피복두께 검측, 거푸집 다짐 양생 및 현장 3대 금기 수칙(피복 미달, 무단 타설)을 완수한다.</t>
        </is>
      </c>
      <c r="M24" s="34" t="inlineStr">
        <is>
          <t>👉 [더블클릭] 수행지침 열기 📄</t>
        </is>
      </c>
      <c r="N24" s="33" t="inlineStr">
        <is>
          <t>1) 건축법 제11조 및 KDS 41 00 00 건축구조기준에 따라 작업발판, 비계 및 동바리 설치 사전 검토를 수행하였는가? 또한 레미콘 규격(24~30MPa), 철근 시험성적서 및 방수자재 KCS 표준 품질 적격성을 검수하였는가?
2) 미검측 및 정량 시방 미달에 따른 작업발판, 비계 및 동바리 설치 (WBS 9000-4-23) 구조 균열/누수 하자 발생, 개구부 누락 재시공 손실 및 최종 비계 및 동바리 검측서 승인 반려 리스크를 전면 차단한다.</t>
        </is>
      </c>
      <c r="O24" s="34" t="inlineStr">
        <is>
          <t>👉 [더블클릭] 체크리스트 열기 📄</t>
        </is>
      </c>
      <c r="P24" s="32" t="n"/>
      <c r="Q24" s="33" t="inlineStr">
        <is>
          <t>● 가설구조물 안전 기준 및 구조 검토</t>
        </is>
      </c>
      <c r="R24" s="26" t="inlineStr">
        <is>
          <t>1) 👉 [더블클릭] 체크리스트 열기 📄</t>
        </is>
      </c>
      <c r="S24" s="33" t="n"/>
    </row>
    <row r="25" ht="96" customHeight="1">
      <c r="A25" s="32" t="inlineStr">
        <is>
          <t>9000</t>
        </is>
      </c>
      <c r="B25" s="32" t="inlineStr">
        <is>
          <t>9000-4</t>
        </is>
      </c>
      <c r="C25" s="73" t="inlineStr">
        <is>
          <t>건축</t>
        </is>
      </c>
      <c r="D25" s="32" t="inlineStr">
        <is>
          <t>9000-4-24</t>
        </is>
      </c>
      <c r="E25" s="73" t="inlineStr">
        <is>
          <t>철근 조립</t>
        </is>
      </c>
      <c r="F25" s="32" t="inlineStr">
        <is>
          <t>현장소장</t>
        </is>
      </c>
      <c r="G25" s="33" t="inlineStr">
        <is>
          <t>구조물의 뼈대를 형성하도록 철근을 조립</t>
        </is>
      </c>
      <c r="H25" s="33" t="inlineStr">
        <is>
          <t>철근 배근, 철근 조립 및 결속, 철근 이물질 등 검사</t>
        </is>
      </c>
      <c r="I25" s="33" t="inlineStr">
        <is>
          <t>철근 검측서</t>
        </is>
      </c>
      <c r="J25" s="33" t="inlineStr">
        <is>
          <t>1) 철근 조립 (WBS 9000-4-24) 관련 철근 배근, 철근 조립 및 결속, 철근 이물질 등 검사 수칙 및 법적 이행 의무를 1:1 준수한다. 또한 KDS 41 00 00 (건축구조기준), KDS 41 17 00 (내진설계기준) 및 KCS 41 00 00 (건축공사 표준시방서) 기술기준을 100% 충족한다.
2) 철근 조립 달성을 위한 필수 시공 방법(철근 배근, 철근 조립 및 결속, 철근 이물질 등 검사...) 및 국가 기술 규격을 엄격히 보장한다. 이에 따라 구조 안전성 100% 입증, 누수/균열 하자 0건 달성 및 책임감리원 최종 결재를 완료하여 지자체 건축물 사용승인(준공) 필증을 획득한다.</t>
        </is>
      </c>
      <c r="K25" s="34" t="inlineStr">
        <is>
          <t>👉 [더블클릭] 표준서 열기 📄</t>
        </is>
      </c>
      <c r="L25" s="33" t="inlineStr">
        <is>
          <t>1) 철근 조립 (WBS 9000-4-24) 사전 건축 인허가 서식 제출(관할 지자체/소방서), 3D BIM 도서 대조 및 기계·전기·통신 4대 인터페이스 개구부를 확정한다.
2) 실무 작업방법 수칙(철근 배근, 철근 조립 및 결속, 철근 이물질 등 검사)에 따라 철근 이음/피복두께 검측, 거푸집 다짐 양생 및 현장 3대 금기 수칙(피복 미달, 무단 타설)을 완수한다.</t>
        </is>
      </c>
      <c r="M25" s="34" t="inlineStr">
        <is>
          <t>👉 [더블클릭] 수행지침 열기 📄</t>
        </is>
      </c>
      <c r="N25" s="33" t="inlineStr">
        <is>
          <t>1) 건축법 제11조 및 KDS 41 00 00 건축구조기준에 따라 철근 조립 사전 검토를 수행하였는가? 또한 레미콘 규격(24~30MPa), 철근 시험성적서 및 방수자재 KCS 표준 품질 적격성을 검수하였는가?
2) 미검측 및 정량 시방 미달에 따른 철근 조립 (WBS 9000-4-24) 구조 균열/누수 하자 발생, 개구부 누락 재시공 손실 및 최종 철근 검측서 승인 반려 리스크를 전면 차단한다.</t>
        </is>
      </c>
      <c r="O25" s="34" t="inlineStr">
        <is>
          <t>👉 [더블클릭] 체크리스트 열기 📄</t>
        </is>
      </c>
      <c r="P25" s="32" t="n"/>
      <c r="Q25" s="33" t="inlineStr">
        <is>
          <t>● 철근 배근 간격 및 결속선 결속 기준</t>
        </is>
      </c>
      <c r="R25" s="26" t="inlineStr">
        <is>
          <t>1) 👉 [더블클릭] 체크리스트 열기 📄</t>
        </is>
      </c>
      <c r="S25" s="33" t="n"/>
    </row>
    <row r="26" ht="96" customHeight="1">
      <c r="A26" s="32" t="inlineStr">
        <is>
          <t>9000</t>
        </is>
      </c>
      <c r="B26" s="32" t="inlineStr">
        <is>
          <t>9000-4</t>
        </is>
      </c>
      <c r="C26" s="73" t="inlineStr">
        <is>
          <t>건축</t>
        </is>
      </c>
      <c r="D26" s="32" t="inlineStr">
        <is>
          <t>9000-4-25</t>
        </is>
      </c>
      <c r="E26" s="73" t="inlineStr">
        <is>
          <t>거푸집 조립</t>
        </is>
      </c>
      <c r="F26" s="32" t="inlineStr">
        <is>
          <t>현장소장</t>
        </is>
      </c>
      <c r="G26" s="33" t="inlineStr">
        <is>
          <t>콘크리트 타설 후 양생까지 유지하는 가설구조물 설치 작업</t>
        </is>
      </c>
      <c r="H26" s="33" t="inlineStr">
        <is>
          <t>합판, 강재등의 자재를 활용하여 설계도면 형상에 맞게 시공</t>
        </is>
      </c>
      <c r="I26" s="33" t="inlineStr">
        <is>
          <t>거푸집 검측서</t>
        </is>
      </c>
      <c r="J26" s="33" t="inlineStr">
        <is>
          <t>1) 거푸집 조립 (WBS 9000-4-25) 관련 합판, 강재등의 자재를 활용하여 설계도면 형상에 맞게 시공 수칙 및 법적 이행 의무를 1:1 준수한다. 또한 KDS 41 00 00 (건축구조기준), KDS 41 17 00 (내진설계기준) 및 KCS 41 00 00 (건축공사 표준시방서) 기술기준을 100% 충족한다.
2) 거푸집 조립 달성을 위한 필수 시공 방법(합판, 강재등의 자재를 활용하여 설계도면 형상에 맞게 시공...) 및 국가 기술 규격을 엄격히 보장한다. 이에 따라 구조 안전성 100% 입증, 누수/균열 하자 0건 달성 및 책임감리원 최종 결재를 완료하여 지자체 건축물 사용승인(준공) 필증을 획득한다.</t>
        </is>
      </c>
      <c r="K26" s="34" t="inlineStr">
        <is>
          <t>👉 [더블클릭] 표준서 열기 📄</t>
        </is>
      </c>
      <c r="L26" s="33" t="inlineStr">
        <is>
          <t>1) 거푸집 조립 (WBS 9000-4-25) 사전 건축 인허가 서식 제출(관할 지자체/소방서), 3D BIM 도서 대조 및 기계·전기·통신 4대 인터페이스 개구부를 확정한다.
2) 실무 작업방법 수칙(합판, 강재등의 자재를 활용하여 설계도면 형상에 맞게 시공)에 따라 철근 이음/피복두께 검측, 거푸집 다짐 양생 및 현장 3대 금기 수칙(피복 미달, 무단 타설)을 완수한다.</t>
        </is>
      </c>
      <c r="M26" s="34" t="inlineStr">
        <is>
          <t>👉 [더블클릭] 수행지침 열기 📄</t>
        </is>
      </c>
      <c r="N26" s="33" t="inlineStr">
        <is>
          <t>1) 건축법 제11조 및 KDS 41 00 00 건축구조기준에 따라 거푸집 조립 사전 검토를 수행하였는가? 또한 레미콘 규격(24~30MPa), 철근 시험성적서 및 방수자재 KCS 표준 품질 적격성을 검수하였는가?
2) 미검측 및 정량 시방 미달에 따른 거푸집 조립 (WBS 9000-4-25) 구조 균열/누수 하자 발생, 개구부 누락 재시공 손실 및 최종 거푸집 검측서 승인 반려 리스크를 전면 차단한다.</t>
        </is>
      </c>
      <c r="O26" s="34" t="inlineStr">
        <is>
          <t>👉 [더블클릭] 체크리스트 열기 📄</t>
        </is>
      </c>
      <c r="P26" s="32" t="n"/>
      <c r="Q26" s="33" t="inlineStr">
        <is>
          <t>● 거푸집 수직/수평도 및 박리제 도포 기준</t>
        </is>
      </c>
      <c r="R26" s="26" t="inlineStr">
        <is>
          <t>1) 👉 [더블클릭] 체크리스트 열기 📄</t>
        </is>
      </c>
      <c r="S26" s="33" t="n"/>
    </row>
    <row r="27" ht="96" customHeight="1">
      <c r="A27" s="32" t="inlineStr">
        <is>
          <t>9000</t>
        </is>
      </c>
      <c r="B27" s="32" t="inlineStr">
        <is>
          <t>9000-4</t>
        </is>
      </c>
      <c r="C27" s="73" t="inlineStr">
        <is>
          <t>건축</t>
        </is>
      </c>
      <c r="D27" s="32" t="inlineStr">
        <is>
          <t>9000-4-26</t>
        </is>
      </c>
      <c r="E27" s="73" t="inlineStr">
        <is>
          <t>콘크리트 타설 및 다짐</t>
        </is>
      </c>
      <c r="F27" s="32" t="inlineStr">
        <is>
          <t>현장소장</t>
        </is>
      </c>
      <c r="G27" s="33" t="inlineStr">
        <is>
          <t>거푸집에 콘크리트를 붓고 강도발현 까지 밀도와 습도조절 유지</t>
        </is>
      </c>
      <c r="H27" s="33" t="inlineStr">
        <is>
          <t>- 타설과 동시에 적당한 공법으로 다짐, 양생관리
- 마감품질 관련하여, 재료, 균열관리방안
- 상부슬라브 타설시 동바리 변형 확인</t>
        </is>
      </c>
      <c r="I27" s="33" t="inlineStr">
        <is>
          <t>콘크리트 구조물 확보, 타설보고서</t>
        </is>
      </c>
      <c r="J27" s="33" t="inlineStr">
        <is>
          <t>1) 콘크리트 타설 및 다짐 (WBS 9000-4-26) 관련 타설과 동시에 적당한 공법으로 다짐, 양생관리 수칙 및 법적 이행 의무를 1:1 준수한다. 또한 KDS 41 00 00 (건축구조기준), KDS 41 17 00 (내진설계기준) 및 KCS 41 00 00 (건축공사 표준시방서) 기술기준을 100% 충족한다.
2) 콘크리트 타설 및 다짐 달성을 위한 필수 시공 방법(타설과 동시에 적당한 공법으로 다짐, 양생관리 마감품질 관련하여, 재료, 균열관리방안 상부슬라브 타설시 동바...) 및 국가 기술 규격을 엄격히 보장한다. 이에 따라 구조 안전성 100% 입증, 누수/균열 하자 0건 달성 및 책임감리원 최종 결재를 완료하여 지자체 건축물 사용승인(준공) 필증을 획득한다.</t>
        </is>
      </c>
      <c r="K27" s="34" t="inlineStr">
        <is>
          <t>👉 [더블클릭] 표준서 열기 📄</t>
        </is>
      </c>
      <c r="L27" s="33" t="inlineStr">
        <is>
          <t>1) 콘크리트 타설 및 다짐 (WBS 9000-4-26) 사전 건축 인허가 서식 제출(관할 지자체/소방서), 3D BIM 도서 대조 및 기계·전기·통신 4대 인터페이스 개구부를 확정한다.
2) 실무 작업방법 수칙(타설과 동시에 적당한 공법으로 다짐, 양생관리 마감품질 관련하여, 재료, 균열관리방안 상부슬라...)에 따라 철근 이음/피복두께 검측, 거푸집 다짐 양생 및 현장 3대 금기 수칙(피복 미달, 무단 타설)을 완수한다.</t>
        </is>
      </c>
      <c r="M27" s="34" t="inlineStr">
        <is>
          <t>👉 [더블클릭] 수행지침 열기 📄</t>
        </is>
      </c>
      <c r="N27" s="33" t="inlineStr">
        <is>
          <t>1) 건축법 제11조 및 KDS 41 00 00 건축구조기준에 따라 콘크리트 타설 및 다짐 사전 검토를 수행하였는가? 또한 레미콘 규격(24~30MPa), 철근 시험성적서 및 방수자재 KCS 표준 품질 적격성을 검수하였는가?
2) 미검측 및 정량 시방 미달에 따른 콘크리트 타설 및 다짐 (WBS 9000-4-26) 구조 균열/누수 하자 발생, 개구부 누락 재시공 손실 및 최종 콘크리트 구조물 확보, 타설보고서 승인 반려 리스크를 전면 차단한다.</t>
        </is>
      </c>
      <c r="O27" s="34" t="inlineStr">
        <is>
          <t>👉 [더블클릭] 체크리스트 열기 📄</t>
        </is>
      </c>
      <c r="P27" s="32" t="n"/>
      <c r="Q27" s="33" t="inlineStr">
        <is>
          <t>● 콘크리트 타설 속도 및 다짐기 사용 기준</t>
        </is>
      </c>
      <c r="R27" s="26" t="inlineStr">
        <is>
          <t>1) 👉 [더블클릭] 체크리스트 열기 📄</t>
        </is>
      </c>
      <c r="S27" s="33" t="n"/>
    </row>
    <row r="28" ht="115.2" customHeight="1">
      <c r="A28" s="32" t="inlineStr">
        <is>
          <t>9000</t>
        </is>
      </c>
      <c r="B28" s="32" t="inlineStr">
        <is>
          <t>9000-4</t>
        </is>
      </c>
      <c r="C28" s="73" t="inlineStr">
        <is>
          <t>건축</t>
        </is>
      </c>
      <c r="D28" s="32" t="inlineStr">
        <is>
          <t>9000-4-27</t>
        </is>
      </c>
      <c r="E28" s="73" t="inlineStr">
        <is>
          <t>거푸집 해체</t>
        </is>
      </c>
      <c r="F28" s="32" t="inlineStr">
        <is>
          <t>현장소장</t>
        </is>
      </c>
      <c r="G28" s="33" t="inlineStr">
        <is>
          <t>구조물과 거푸집을 분리하는 작업</t>
        </is>
      </c>
      <c r="H28" s="33" t="inlineStr">
        <is>
          <t>구조물에 훼손이 없도록 주의하여 안전하게 해체, 부속자재(핀, 타이, 결속선 등) 제거, 상태 Double Check</t>
        </is>
      </c>
      <c r="I28" s="33" t="inlineStr">
        <is>
          <t>해체 완료</t>
        </is>
      </c>
      <c r="J28" s="33" t="inlineStr">
        <is>
          <t>1) 거푸집 해체 (WBS 9000-4-27) 관련 구조물에 훼손이 없도록 주의하여 안전하게 해체, 부속자재(핀, 타이, 결속선 등) 제거, 상태 Double Check 수칙 및 법적 이행 의무를 1:1 준수한다. 또한 KDS 41 00 00 (건축구조기준), KDS 41 17 00 (내진설계기준) 및 KCS 41 00 00 (건축공사 표준시방서) 기술기준을 100% 충족한다.
2) 거푸집 해체 달성을 위한 필수 시공 방법(구조물에 훼손이 없도록 주의하여 안전하게 해체, 부속자재(핀, 타이, 결속선 등) 제거, 상태 Double ...) 및 국가 기술 규격을 엄격히 보장한다. 이에 따라 구조 안전성 100% 입증, 누수/균열 하자 0건 달성 및 책임감리원 최종 결재를 완료하여 지자체 건축물 사용승인(준공) 필증을 획득한다.</t>
        </is>
      </c>
      <c r="K28" s="34" t="inlineStr">
        <is>
          <t>👉 [더블클릭] 표준서 열기 📄</t>
        </is>
      </c>
      <c r="L28" s="33" t="inlineStr">
        <is>
          <t>1) 거푸집 해체 (WBS 9000-4-27) 사전 건축 인허가 서식 제출(관할 지자체/소방서), 3D BIM 도서 대조 및 기계·전기·통신 4대 인터페이스 개구부를 확정한다.
2) 실무 작업방법 수칙(구조물에 훼손이 없도록 주의하여 안전하게 해체, 부속자재(핀, 타이, 결속선 등) 제거, 상태...)에 따라 철근 이음/피복두께 검측, 거푸집 다짐 양생 및 현장 3대 금기 수칙(피복 미달, 무단 타설)을 완수한다.</t>
        </is>
      </c>
      <c r="M28" s="34" t="inlineStr">
        <is>
          <t>👉 [더블클릭] 수행지침 열기 📄</t>
        </is>
      </c>
      <c r="N28" s="33" t="inlineStr">
        <is>
          <t>1) 건축법 제11조 및 KDS 41 00 00 건축구조기준에 따라 거푸집 해체 사전 검토를 수행하였는가? 또한 레미콘 규격(24~30MPa), 철근 시험성적서 및 방수자재 KCS 표준 품질 적격성을 검수하였는가?
2) 미검측 및 정량 시방 미달에 따른 거푸집 해체 (WBS 9000-4-27) 구조 균열/누수 하자 발생, 개구부 누락 재시공 손실 및 최종 해체 완료 승인 반려 리스크를 전면 차단한다.</t>
        </is>
      </c>
      <c r="O28" s="34" t="inlineStr">
        <is>
          <t>👉 [더블클릭] 체크리스트 열기 📄</t>
        </is>
      </c>
      <c r="P28" s="32" t="n"/>
      <c r="Q28" s="33" t="inlineStr">
        <is>
          <t>● 거푸집 해체 시 압축강도 기준 준수</t>
        </is>
      </c>
      <c r="R28" s="26" t="inlineStr">
        <is>
          <t>1) 👉 [더블클릭] 체크리스트 열기 📄</t>
        </is>
      </c>
      <c r="S28" s="33" t="n"/>
    </row>
    <row r="29" ht="115.2" customHeight="1">
      <c r="A29" s="32" t="inlineStr">
        <is>
          <t>9000</t>
        </is>
      </c>
      <c r="B29" s="32" t="inlineStr">
        <is>
          <t>9000-4</t>
        </is>
      </c>
      <c r="C29" s="73" t="inlineStr">
        <is>
          <t>건축</t>
        </is>
      </c>
      <c r="D29" s="32" t="inlineStr">
        <is>
          <t>9000-4-28</t>
        </is>
      </c>
      <c r="E29" s="73" t="inlineStr">
        <is>
          <t>건축 내부 및 마감공사</t>
        </is>
      </c>
      <c r="F29" s="32" t="inlineStr">
        <is>
          <t>현장소장</t>
        </is>
      </c>
      <c r="G29" s="33" t="inlineStr">
        <is>
          <t>건축구조물 완수단계후 방수 및 내부마감공사</t>
        </is>
      </c>
      <c r="H29" s="33" t="inlineStr">
        <is>
          <t>구조물 시공 이후 외벽 방수 진행, 내부 마감공사 연계, 선행공종 균열관리대책 확인</t>
        </is>
      </c>
      <c r="I29" s="33" t="inlineStr">
        <is>
          <t>해당공종 검측서, 품질시험결과 보고서, 마감공종 인수인계서</t>
        </is>
      </c>
      <c r="J29" s="33" t="inlineStr">
        <is>
          <t>1) 건축 내부 및 마감공사 (WBS 9000-4-28) 관련 구조물 시공 이후 외벽 방수 진행, 내부 마감공사 연계, 선행공종 균열관리대책 확인 수칙 및 법적 이행 의무를 1:1 준수한다. 또한 KDS 41 00 00 (건축구조기준), KDS 41 17 00 (내진설계기준) 및 KCS 41 00 00 (건축공사 표준시방서) 기술기준을 100% 충족한다.
2) 건축 내부 및 마감공사 달성을 위한 필수 시공 방법(구조물 시공 이후 외벽 방수 진행, 내부 마감공사 연계, 선행공종 균열관리대책 확인...) 및 국가 기술 규격을 엄격히 보장한다. 이에 따라 구조 안전성 100% 입증, 누수/균열 하자 0건 달성 및 책임감리원 최종 결재를 완료하여 지자체 건축물 사용승인(준공) 필증을 획득한다.</t>
        </is>
      </c>
      <c r="K29" s="34" t="inlineStr">
        <is>
          <t>👉 [더블클릭] 표준서 열기 📄</t>
        </is>
      </c>
      <c r="L29" s="33" t="inlineStr">
        <is>
          <t>1) 건축 내부 및 마감공사 (WBS 9000-4-28) 사전 건축 인허가 서식 제출(관할 지자체/소방서), 3D BIM 도서 대조 및 기계·전기·통신 4대 인터페이스 개구부를 확정한다.
2) 실무 작업방법 수칙(구조물 시공 이후 외벽 방수 진행, 내부 마감공사 연계, 선행공종 균열관리대책 확인)에 따라 철근 이음/피복두께 검측, 거푸집 다짐 양생 및 현장 3대 금기 수칙(피복 미달, 무단 타설)을 완수한다.</t>
        </is>
      </c>
      <c r="M29" s="34" t="inlineStr">
        <is>
          <t>👉 [더블클릭] 수행지침 열기 📄</t>
        </is>
      </c>
      <c r="N29" s="33" t="inlineStr">
        <is>
          <t>1) 건축법 제11조 및 KDS 41 00 00 건축구조기준에 따라 건축 내부 및 마감공사 사전 검토를 수행하였는가? 또한 레미콘 규격(24~30MPa), 철근 시험성적서 및 방수자재 KCS 표준 품질 적격성을 검수하였는가?
2) 미검측 및 정량 시방 미달에 따른 건축 내부 및 마감공사 (WBS 9000-4-28) 구조 균열/누수 하자 발생, 개구부 누락 재시공 손실 및 최종 해당공종 검측서, 품질시험결과 보고서, 마감공종 인수인계서 승인 반려 리스크를 전면 차단한다.</t>
        </is>
      </c>
      <c r="O29" s="34" t="inlineStr">
        <is>
          <t>👉 [더블클릭] 체크리스트 열기 📄</t>
        </is>
      </c>
      <c r="P29" s="32" t="n"/>
      <c r="Q29" s="33" t="inlineStr">
        <is>
          <t>● 내부 및 외벽 마감 상세 도서 준수</t>
        </is>
      </c>
      <c r="R29" s="26" t="inlineStr">
        <is>
          <t>1) 👉 [더블클릭] 체크리스트 열기 📄</t>
        </is>
      </c>
      <c r="S29" s="33" t="n"/>
    </row>
    <row r="30" ht="115.2" customHeight="1">
      <c r="A30" s="32" t="inlineStr">
        <is>
          <t>9000</t>
        </is>
      </c>
      <c r="B30" s="32" t="inlineStr">
        <is>
          <t>9000-4</t>
        </is>
      </c>
      <c r="C30" s="73" t="inlineStr">
        <is>
          <t>건축</t>
        </is>
      </c>
      <c r="D30" s="32" t="inlineStr">
        <is>
          <t>9000-4-29</t>
        </is>
      </c>
      <c r="E30" s="73" t="inlineStr">
        <is>
          <t>창호,유리 및 금속지붕공사</t>
        </is>
      </c>
      <c r="F30" s="32" t="inlineStr">
        <is>
          <t>현장소장</t>
        </is>
      </c>
      <c r="G30" s="33" t="inlineStr">
        <is>
          <t>외부, 내부 마감공사 수행 / 건축물 내부로 우수 침투 방지작업</t>
        </is>
      </c>
      <c r="H30" s="33" t="inlineStr">
        <is>
          <t>외벽 마감 공사(금속지붕 공사 / 내부 창호 및 유리 시공)</t>
        </is>
      </c>
      <c r="I30" s="33" t="inlineStr">
        <is>
          <t>시공상세도 및 검측서</t>
        </is>
      </c>
      <c r="J30" s="33" t="inlineStr">
        <is>
          <t>1) 창호,유리 및 금속지붕공사 (WBS 9000-4-29) 관련 외벽 마감 공사(금속지붕 공사 / 내부 창호 및 유리 시공) 수칙 및 법적 이행 의무를 1:1 준수한다. 또한 KDS 41 00 00 (건축구조기준), KDS 41 17 00 (내진설계기준) 및 KCS 41 00 00 (건축공사 표준시방서) 기술기준을 100% 충족한다.
2) 창호,유리 및 금속지붕공사 달성을 위한 필수 시공 방법(외벽 마감 공사(금속지붕 공사 / 내부 창호 및 유리 시공)...) 및 국가 기술 규격을 엄격히 보장한다. 이에 따라 구조 안전성 100% 입증, 누수/균열 하자 0건 달성 및 책임감리원 최종 결재를 완료하여 지자체 건축물 사용승인(준공) 필증을 획득한다.</t>
        </is>
      </c>
      <c r="K30" s="34" t="inlineStr">
        <is>
          <t>👉 [더블클릭] 표준서 열기 📄</t>
        </is>
      </c>
      <c r="L30" s="33" t="inlineStr">
        <is>
          <t>1) 창호,유리 및 금속지붕공사 (WBS 9000-4-29) 사전 건축 인허가 서식 제출(관할 지자체/소방서), 3D BIM 도서 대조 및 기계·전기·통신 4대 인터페이스 개구부를 확정한다.
2) 실무 작업방법 수칙(외벽 마감 공사(금속지붕 공사 / 내부 창호 및 유리 시공))에 따라 철근 이음/피복두께 검측, 거푸집 다짐 양생 및 현장 3대 금기 수칙(피복 미달, 무단 타설)을 완수한다.</t>
        </is>
      </c>
      <c r="M30" s="34" t="inlineStr">
        <is>
          <t>👉 [더블클릭] 수행지침 열기 📄</t>
        </is>
      </c>
      <c r="N30" s="33" t="inlineStr">
        <is>
          <t>1) 건축법 제11조 및 KDS 41 00 00 건축구조기준에 따라 창호,유리 및 금속지붕공사 사전 검토를 수행하였는가? 또한 레미콘 규격(24~30MPa), 철근 시험성적서 및 방수자재 KCS 표준 품질 적격성을 검수하였는가?
2) 미검측 및 정량 시방 미달에 따른 창호,유리 및 금속지붕공사 (WBS 9000-4-29) 구조 균열/누수 하자 발생, 개구부 누락 재시공 손실 및 최종 시공상세도 및 검측서 승인 반려 리스크를 전면 차단한다.</t>
        </is>
      </c>
      <c r="O30" s="34" t="inlineStr">
        <is>
          <t>👉 [더블클릭] 체크리스트 열기 📄</t>
        </is>
      </c>
      <c r="P30" s="32" t="n"/>
      <c r="Q30" s="33" t="inlineStr">
        <is>
          <t>● 창호 기밀성 및 수밀성 성능 검증</t>
        </is>
      </c>
      <c r="R30" s="26" t="inlineStr">
        <is>
          <t>1) 👉 [더블클릭] 체크리스트 열기 📄</t>
        </is>
      </c>
      <c r="S30" s="33" t="n"/>
    </row>
    <row r="31" ht="96" customHeight="1">
      <c r="A31" s="32" t="inlineStr">
        <is>
          <t>9000</t>
        </is>
      </c>
      <c r="B31" s="32" t="inlineStr">
        <is>
          <t>9000-4</t>
        </is>
      </c>
      <c r="C31" s="73" t="inlineStr">
        <is>
          <t>건축</t>
        </is>
      </c>
      <c r="D31" s="32" t="inlineStr">
        <is>
          <t>9000-4-30</t>
        </is>
      </c>
      <c r="E31" s="73" t="inlineStr">
        <is>
          <t>조적공사</t>
        </is>
      </c>
      <c r="F31" s="32" t="inlineStr">
        <is>
          <t>현장소장</t>
        </is>
      </c>
      <c r="G31" s="33" t="inlineStr">
        <is>
          <t>건축물 내부 칸막이 벽체 형성</t>
        </is>
      </c>
      <c r="H31" s="33" t="inlineStr">
        <is>
          <t>시멘트 벽돌 및 블록으로 세대 칸막이 형성 일일 최대 쌓는높이 1.2m(내력벽)</t>
        </is>
      </c>
      <c r="I31" s="33" t="inlineStr">
        <is>
          <t>시멘트 벽돌 및 블록 검측서</t>
        </is>
      </c>
      <c r="J31" s="33" t="inlineStr">
        <is>
          <t>1) 조적공사 (WBS 9000-4-30) 관련 시멘트 벽돌 및 블록으로 세대 칸막이 형성 일일 최대 쌓는높이 1.2m(내력벽) 수칙 및 법적 이행 의무를 1:1 준수한다. 또한 KDS 41 00 00 (건축구조기준), KDS 41 17 00 (내진설계기준) 및 KCS 41 00 00 (건축공사 표준시방서) 기술기준을 100% 충족한다.
2) 조적공사 달성을 위한 필수 시공 방법(시멘트 벽돌 및 블록으로 세대 칸막이 형성 일일 최대 쌓는높이 1.2m(내력벽)...) 및 국가 기술 규격을 엄격히 보장한다. 이에 따라 구조 안전성 100% 입증, 누수/균열 하자 0건 달성 및 책임감리원 최종 결재를 완료하여 지자체 건축물 사용승인(준공) 필증을 획득한다.</t>
        </is>
      </c>
      <c r="K31" s="34" t="inlineStr">
        <is>
          <t>👉 [더블클릭] 표준서 열기 📄</t>
        </is>
      </c>
      <c r="L31" s="33" t="inlineStr">
        <is>
          <t>1) 조적공사 (WBS 9000-4-30) 사전 건축 인허가 서식 제출(관할 지자체/소방서), 3D BIM 도서 대조 및 기계·전기·통신 4대 인터페이스 개구부를 확정한다.
2) 실무 작업방법 수칙(시멘트 벽돌 및 블록으로 세대 칸막이 형성 일일 최대 쌓는높이 1.2m(내력벽))에 따라 철근 이음/피복두께 검측, 거푸집 다짐 양생 및 현장 3대 금기 수칙(피복 미달, 무단 타설)을 완수한다.</t>
        </is>
      </c>
      <c r="M31" s="34" t="inlineStr">
        <is>
          <t>👉 [더블클릭] 수행지침 열기 📄</t>
        </is>
      </c>
      <c r="N31" s="33" t="inlineStr">
        <is>
          <t>1) 건축법 제11조 및 KDS 41 00 00 건축구조기준에 따라 조적공사 사전 검토를 수행하였는가? 또한 레미콘 규격(24~30MPa), 철근 시험성적서 및 방수자재 KCS 표준 품질 적격성을 검수하였는가?
2) 미검측 및 정량 시방 미달에 따른 조적공사 (WBS 9000-4-30) 구조 균열/누수 하자 발생, 개구부 누락 재시공 손실 및 최종 시멘트 벽돌 및 블록 검측서 승인 반려 리스크를 전면 차단한다.</t>
        </is>
      </c>
      <c r="O31" s="34" t="inlineStr">
        <is>
          <t>👉 [더블클릭] 체크리스트 열기 📄</t>
        </is>
      </c>
      <c r="P31" s="32" t="n"/>
      <c r="Q31" s="33" t="inlineStr">
        <is>
          <t>● 조적 줄눈 및 쌓기 높이 기준 준수</t>
        </is>
      </c>
      <c r="R31" s="26" t="inlineStr">
        <is>
          <t>1) 👉 [더블클릭] 체크리스트 열기 📄</t>
        </is>
      </c>
      <c r="S31" s="33" t="n"/>
    </row>
    <row r="32" ht="115.2" customHeight="1">
      <c r="A32" s="32" t="inlineStr">
        <is>
          <t>9000</t>
        </is>
      </c>
      <c r="B32" s="32" t="inlineStr">
        <is>
          <t>9000-4</t>
        </is>
      </c>
      <c r="C32" s="73" t="inlineStr">
        <is>
          <t>건축</t>
        </is>
      </c>
      <c r="D32" s="32" t="inlineStr">
        <is>
          <t>9000-4-31</t>
        </is>
      </c>
      <c r="E32" s="73" t="inlineStr">
        <is>
          <t>내부 방수공사</t>
        </is>
      </c>
      <c r="F32" s="32" t="inlineStr">
        <is>
          <t>현장소장</t>
        </is>
      </c>
      <c r="G32" s="33" t="inlineStr">
        <is>
          <t>건축물 내부에서 물을 사용하는 실(화장실)등에 누수 방지</t>
        </is>
      </c>
      <c r="H32" s="33" t="inlineStr">
        <is>
          <t>구조물 청소 및 바탕정리후 방수공사 시행(코너부 및 드레인 주위 보강방수 실시)</t>
        </is>
      </c>
      <c r="I32" s="33" t="inlineStr">
        <is>
          <t>방수공사 검측서</t>
        </is>
      </c>
      <c r="J32" s="33" t="inlineStr">
        <is>
          <t>1) 내부 방수공사 (WBS 9000-4-31) 관련 구조물 청소 및 바탕정리후 방수공사 시행(코너부 및 드레인 주위 보강방수 실시) 수칙 및 법적 이행 의무를 1:1 준수한다. 또한 KDS 41 00 00 (건축구조기준), KDS 41 17 00 (내진설계기준) 및 KCS 41 00 00 (건축공사 표준시방서) 기술기준을 100% 충족한다.
2) 내부 방수공사 달성을 위한 필수 시공 방법(구조물 청소 및 바탕정리후 방수공사 시행(코너부 및 드레인 주위 보강방수 실시)...) 및 국가 기술 규격을 엄격히 보장한다. 이에 따라 구조 안전성 100% 입증, 누수/균열 하자 0건 달성 및 책임감리원 최종 결재를 완료하여 지자체 건축물 사용승인(준공) 필증을 획득한다.</t>
        </is>
      </c>
      <c r="K32" s="34" t="inlineStr">
        <is>
          <t>👉 [더블클릭] 표준서 열기 📄</t>
        </is>
      </c>
      <c r="L32" s="33" t="inlineStr">
        <is>
          <t>1) 내부 방수공사 (WBS 9000-4-31) 사전 건축 인허가 서식 제출(관할 지자체/소방서), 3D BIM 도서 대조 및 기계·전기·통신 4대 인터페이스 개구부를 확정한다.
2) 실무 작업방법 수칙(구조물 청소 및 바탕정리후 방수공사 시행(코너부 및 드레인 주위 보강방수 실시))에 따라 철근 이음/피복두께 검측, 거푸집 다짐 양생 및 현장 3대 금기 수칙(피복 미달, 무단 타설)을 완수한다.</t>
        </is>
      </c>
      <c r="M32" s="34" t="inlineStr">
        <is>
          <t>👉 [더블클릭] 수행지침 열기 📄</t>
        </is>
      </c>
      <c r="N32" s="33" t="inlineStr">
        <is>
          <t>1) 건축법 제11조 및 KDS 41 00 00 건축구조기준에 따라 내부 방수공사 사전 검토를 수행하였는가? 또한 레미콘 규격(24~30MPa), 철근 시험성적서 및 방수자재 KCS 표준 품질 적격성을 검수하였는가?
2) 미검측 및 정량 시방 미달에 따른 내부 방수공사 (WBS 9000-4-31) 구조 균열/누수 하자 발생, 개구부 누락 재시공 손실 및 최종 방수공사 검측서 승인 반려 리스크를 전면 차단한다.</t>
        </is>
      </c>
      <c r="O32" s="34" t="inlineStr">
        <is>
          <t>👉 [더블클릭] 체크리스트 열기 📄</t>
        </is>
      </c>
      <c r="P32" s="32" t="n"/>
      <c r="Q32" s="33" t="inlineStr">
        <is>
          <t>● 방수층 두께 및 담수테스트(24시간) 기준</t>
        </is>
      </c>
      <c r="R32" s="26" t="inlineStr">
        <is>
          <t>1) 👉 [더블클릭] 체크리스트 열기 📄</t>
        </is>
      </c>
      <c r="S32" s="33" t="n"/>
    </row>
    <row r="33" ht="96" customHeight="1">
      <c r="A33" s="32" t="inlineStr">
        <is>
          <t>9000</t>
        </is>
      </c>
      <c r="B33" s="32" t="inlineStr">
        <is>
          <t>9000-4</t>
        </is>
      </c>
      <c r="C33" s="73" t="inlineStr">
        <is>
          <t>건축</t>
        </is>
      </c>
      <c r="D33" s="32" t="inlineStr">
        <is>
          <t>9000-4-32</t>
        </is>
      </c>
      <c r="E33" s="73" t="inlineStr">
        <is>
          <t>미장 및 타일공사</t>
        </is>
      </c>
      <c r="F33" s="32" t="inlineStr">
        <is>
          <t>현장소장</t>
        </is>
      </c>
      <c r="G33" s="33" t="inlineStr">
        <is>
          <t>바탕면이 콘크리트나 조적공사 위에 마감공사 수행(초벌, 재벌, 정벌)</t>
        </is>
      </c>
      <c r="H33" s="33" t="inlineStr">
        <is>
          <t>미장공사는 시멘트와 모래(1:3배합)하여 바탕면에 바르는 작업, 타일공사는 벽면 미장후 타일시공</t>
        </is>
      </c>
      <c r="I33" s="33" t="inlineStr">
        <is>
          <t>미장,타일 검측서</t>
        </is>
      </c>
      <c r="J33" s="33" t="inlineStr">
        <is>
          <t>1) 미장 및 타일공사 (WBS 9000-4-32) 관련 미장공사는 시멘트와 모래(1:3배합)하여 바탕면에 바르는 작업, 타일공사는 벽면 미장후 타일시공 수칙 및 법적 이행 의무를 1:1 준수한다. 또한 KDS 41 00 00 (건축구조기준), KDS 41 17 00 (내진설계기준) 및 KCS 41 00 00 (건축공사 표준시방서) 기술기준을 100% 충족한다.
2) 미장 및 타일공사 달성을 위한 필수 시공 방법(미장공사는 시멘트와 모래(1:3배합)하여 바탕면에 바르는 작업, 타일공사는 벽면 미장후 타일시공...) 및 국가 기술 규격을 엄격히 보장한다. 이에 따라 구조 안전성 100% 입증, 누수/균열 하자 0건 달성 및 책임감리원 최종 결재를 완료하여 지자체 건축물 사용승인(준공) 필증을 획득한다.</t>
        </is>
      </c>
      <c r="K33" s="34" t="inlineStr">
        <is>
          <t>👉 [더블클릭] 표준서 열기 📄</t>
        </is>
      </c>
      <c r="L33" s="33" t="inlineStr">
        <is>
          <t>1) 미장 및 타일공사 (WBS 9000-4-32) 사전 건축 인허가 서식 제출(관할 지자체/소방서), 3D BIM 도서 대조 및 기계·전기·통신 4대 인터페이스 개구부를 확정한다.
2) 실무 작업방법 수칙(미장공사는 시멘트와 모래(1:3배합)하여 바탕면에 바르는 작업, 타일공사는 벽면 미장후 타일시공)에 따라 철근 이음/피복두께 검측, 거푸집 다짐 양생 및 현장 3대 금기 수칙(피복 미달, 무단 타설)을 완수한다.</t>
        </is>
      </c>
      <c r="M33" s="34" t="inlineStr">
        <is>
          <t>👉 [더블클릭] 수행지침 열기 📄</t>
        </is>
      </c>
      <c r="N33" s="33" t="inlineStr">
        <is>
          <t>1) 건축법 제11조 및 KDS 41 00 00 건축구조기준에 따라 미장 및 타일공사 사전 검토를 수행하였는가? 또한 레미콘 규격(24~30MPa), 철근 시험성적서 및 방수자재 KCS 표준 품질 적격성을 검수하였는가?
2) 미검측 및 정량 시방 미달에 따른 미장 및 타일공사 (WBS 9000-4-32) 구조 균열/누수 하자 발생, 개구부 누락 재시공 손실 및 최종 미장,타일 검측서 승인 반려 리스크를 전면 차단한다.</t>
        </is>
      </c>
      <c r="O33" s="34" t="inlineStr">
        <is>
          <t>👉 [더블클릭] 체크리스트 열기 📄</t>
        </is>
      </c>
      <c r="P33" s="32" t="n"/>
      <c r="Q33" s="33" t="inlineStr">
        <is>
          <t>● 미장면 평탄성 및 타일 부착 강도 기준</t>
        </is>
      </c>
      <c r="R33" s="26" t="inlineStr">
        <is>
          <t>1) 👉 [더블클릭] 체크리스트 열기 📄</t>
        </is>
      </c>
      <c r="S33" s="33" t="n"/>
    </row>
    <row r="34" ht="96" customHeight="1">
      <c r="A34" s="32" t="inlineStr">
        <is>
          <t>9000</t>
        </is>
      </c>
      <c r="B34" s="32" t="inlineStr">
        <is>
          <t>9000-4</t>
        </is>
      </c>
      <c r="C34" s="73" t="inlineStr">
        <is>
          <t>건축</t>
        </is>
      </c>
      <c r="D34" s="32" t="inlineStr">
        <is>
          <t>9000-4-33</t>
        </is>
      </c>
      <c r="E34" s="73" t="inlineStr">
        <is>
          <t>수장 및 잡철물공사</t>
        </is>
      </c>
      <c r="F34" s="32" t="inlineStr">
        <is>
          <t>현장소장</t>
        </is>
      </c>
      <c r="G34" s="33" t="inlineStr">
        <is>
          <t>수장공사 : 천정공사, 바닥마감공사, 잡철물 공사 : 도어, 창호 등 설치 공사</t>
        </is>
      </c>
      <c r="H34" s="33" t="inlineStr">
        <is>
          <t>각실의 천정공사(텍스류), 바닥마감공사(비닐계타일),도배공사등을 수행, 잡철물 공사는 각실의 도어, 난간,창호등을 설치하는 공사</t>
        </is>
      </c>
      <c r="I34" s="33" t="inlineStr">
        <is>
          <t>수장 및 잡철물검측서</t>
        </is>
      </c>
      <c r="J34" s="33" t="inlineStr">
        <is>
          <t>1) 수장 및 잡철물공사 (WBS 9000-4-33) 관련 각실의 천정공사(텍스류), 바닥마감공사(비닐계타일),도배공사등을 수행, 잡철물 공사는 각실의 도어, 난간,창호등을 설치하는 공사 수칙 및 법적 이행 의무를 1:1 준수한다. 또한 KDS 41 00 00 (건축구조기준), KDS 41 17 00 (내진설계기준) 및 KCS 41 00 00 (건축공사 표준시방서) 기술기준을 100% 충족한다.
2) 수장 및 잡철물공사 달성을 위한 필수 시공 방법(각실의 천정공사(텍스류), 바닥마감공사(비닐계타일),도배공사등을 수행, 잡철물 공사는 각실의 도어, 난간,창...) 및 국가 기술 규격을 엄격히 보장한다. 이에 따라 구조 안전성 100% 입증, 누수/균열 하자 0건 달성 및 책임감리원 최종 결재를 완료하여 지자체 건축물 사용승인(준공) 필증을 획득한다.</t>
        </is>
      </c>
      <c r="K34" s="34" t="inlineStr">
        <is>
          <t>👉 [더블클릭] 표준서 열기 📄</t>
        </is>
      </c>
      <c r="L34" s="33" t="inlineStr">
        <is>
          <t>1) 수장 및 잡철물공사 (WBS 9000-4-33) 사전 건축 인허가 서식 제출(관할 지자체/소방서), 3D BIM 도서 대조 및 기계·전기·통신 4대 인터페이스 개구부를 확정한다.
2) 실무 작업방법 수칙(각실의 천정공사(텍스류), 바닥마감공사(비닐계타일),도배공사등을 수행, 잡철물 공사는 각실의 ...)에 따라 철근 이음/피복두께 검측, 거푸집 다짐 양생 및 현장 3대 금기 수칙(피복 미달, 무단 타설)을 완수한다.</t>
        </is>
      </c>
      <c r="M34" s="34" t="inlineStr">
        <is>
          <t>👉 [더블클릭] 수행지침 열기 📄</t>
        </is>
      </c>
      <c r="N34" s="33" t="inlineStr">
        <is>
          <t>1) 건축법 제11조 및 KDS 41 00 00 건축구조기준에 따라 수장 및 잡철물공사 사전 검토를 수행하였는가? 또한 레미콘 규격(24~30MPa), 철근 시험성적서 및 방수자재 KCS 표준 품질 적격성을 검수하였는가?
2) 미검측 및 정량 시방 미달에 따른 수장 및 잡철물공사 (WBS 9000-4-33) 구조 균열/누수 하자 발생, 개구부 누락 재시공 손실 및 최종 수장 및 잡철물검측서 승인 반려 리스크를 전면 차단한다.</t>
        </is>
      </c>
      <c r="O34" s="34" t="inlineStr">
        <is>
          <t>👉 [더블클릭] 체크리스트 열기 📄</t>
        </is>
      </c>
      <c r="P34" s="32" t="n"/>
      <c r="Q34" s="33" t="inlineStr">
        <is>
          <t>● 실별 마감 재료 규격 만족</t>
        </is>
      </c>
      <c r="R34" s="26" t="inlineStr">
        <is>
          <t>1) 👉 [더블클릭] 체크리스트 열기 📄</t>
        </is>
      </c>
      <c r="S34" s="33" t="n"/>
    </row>
    <row r="35" ht="115.2" customHeight="1">
      <c r="A35" s="32" t="inlineStr">
        <is>
          <t>9000</t>
        </is>
      </c>
      <c r="B35" s="32" t="inlineStr">
        <is>
          <t>9000-4</t>
        </is>
      </c>
      <c r="C35" s="73" t="inlineStr">
        <is>
          <t>건축</t>
        </is>
      </c>
      <c r="D35" s="32" t="inlineStr">
        <is>
          <t>9000-4-34</t>
        </is>
      </c>
      <c r="E35" s="73" t="inlineStr">
        <is>
          <t>도장공사</t>
        </is>
      </c>
      <c r="F35" s="32" t="inlineStr">
        <is>
          <t>현장소장</t>
        </is>
      </c>
      <c r="G35" s="33" t="inlineStr">
        <is>
          <t>미장면, 석고보드위에 도장공사 수행</t>
        </is>
      </c>
      <c r="H35" s="33" t="inlineStr">
        <is>
          <t>도장재 (붓, 롤러등)로 벽면에 시공</t>
        </is>
      </c>
      <c r="I35" s="33" t="inlineStr">
        <is>
          <t>도장공사 검측서</t>
        </is>
      </c>
      <c r="J35" s="33" t="inlineStr">
        <is>
          <t>1) 도장공사 (WBS 9000-4-34) 관련 도장재 (붓, 롤러등)로 벽면에 시공 수칙 및 법적 이행 의무를 1:1 준수한다. 또한 KDS 41 00 00 (건축구조기준), KDS 41 17 00 (내진설계기준) 및 KCS 41 00 00 (건축공사 표준시방서) 기술기준을 100% 충족한다.
2) 도장공사 달성을 위한 필수 시공 방법(도장재 (붓, 롤러등)로 벽면에 시공...) 및 국가 기술 규격을 엄격히 보장한다. 이에 따라 구조 안전성 100% 입증, 누수/균열 하자 0건 달성 및 책임감리원 최종 결재를 완료하여 지자체 건축물 사용승인(준공) 필증을 획득한다.</t>
        </is>
      </c>
      <c r="K35" s="34" t="inlineStr">
        <is>
          <t>👉 [더블클릭] 표준서 열기 📄</t>
        </is>
      </c>
      <c r="L35" s="33" t="inlineStr">
        <is>
          <t>1) 도장공사 (WBS 9000-4-34) 사전 건축 인허가 서식 제출(관할 지자체/소방서), 3D BIM 도서 대조 및 기계·전기·통신 4대 인터페이스 개구부를 확정한다.
2) 실무 작업방법 수칙(도장재 (붓, 롤러등)로 벽면에 시공)에 따라 철근 이음/피복두께 검측, 거푸집 다짐 양생 및 현장 3대 금기 수칙(피복 미달, 무단 타설)을 완수한다.</t>
        </is>
      </c>
      <c r="M35" s="34" t="inlineStr">
        <is>
          <t>👉 [더블클릭] 수행지침 열기 📄</t>
        </is>
      </c>
      <c r="N35" s="33" t="inlineStr">
        <is>
          <t>1) 건축법 제11조 및 KDS 41 00 00 건축구조기준에 따라 도장공사 사전 검토를 수행하였는가? 또한 레미콘 규격(24~30MPa), 철근 시험성적서 및 방수자재 KCS 표준 품질 적격성을 검수하였는가?
2) 미검측 및 정량 시방 미달에 따른 도장공사 (WBS 9000-4-34) 구조 균열/누수 하자 발생, 개구부 누락 재시공 손실 및 최종 도장공사 검측서 승인 반려 리스크를 전면 차단한다.</t>
        </is>
      </c>
      <c r="O35" s="34" t="inlineStr">
        <is>
          <t>👉 [더블클릭] 체크리스트 열기 📄</t>
        </is>
      </c>
      <c r="P35" s="32" t="n"/>
      <c r="Q35" s="33" t="inlineStr">
        <is>
          <t>● 도장 도막 두께 및 색상 균일성 기준</t>
        </is>
      </c>
      <c r="R35" s="26" t="inlineStr">
        <is>
          <t>1) 👉 [더블클릭] 체크리스트 열기 📄</t>
        </is>
      </c>
      <c r="S35" s="33" t="n"/>
    </row>
    <row r="36" ht="115.2" customHeight="1">
      <c r="A36" s="32" t="inlineStr">
        <is>
          <t>9000</t>
        </is>
      </c>
      <c r="B36" s="32" t="inlineStr">
        <is>
          <t>9000-4</t>
        </is>
      </c>
      <c r="C36" s="73" t="inlineStr">
        <is>
          <t>건축</t>
        </is>
      </c>
      <c r="D36" s="32" t="inlineStr">
        <is>
          <t>9000-4-35</t>
        </is>
      </c>
      <c r="E36" s="73" t="inlineStr">
        <is>
          <t>인테리어 및 무대공사</t>
        </is>
      </c>
      <c r="F36" s="32" t="inlineStr">
        <is>
          <t>현장소장</t>
        </is>
      </c>
      <c r="G36" s="33" t="inlineStr">
        <is>
          <t>내부 선반, 주방가구, 설치작업 등 내부 인테리어 및 무대공사</t>
        </is>
      </c>
      <c r="H36" s="33" t="inlineStr">
        <is>
          <t>추가로 발생되는 건축공사에 적합한 자재 반입, 검수 및 시공</t>
        </is>
      </c>
      <c r="I36" s="33" t="inlineStr">
        <is>
          <t>각 공종 검측서</t>
        </is>
      </c>
      <c r="J36" s="33" t="inlineStr">
        <is>
          <t>1) 인테리어 및 무대공사 (WBS 9000-4-35) 관련 추가로 발생되는 건축공사에 적합한 자재 반입, 검수 및 시공 수칙 및 법적 이행 의무를 1:1 준수한다. 또한 KDS 41 00 00 (건축구조기준), KDS 41 17 00 (내진설계기준) 및 KCS 41 00 00 (건축공사 표준시방서) 기술기준을 100% 충족한다.
2) 인테리어 및 무대공사 달성을 위한 필수 시공 방법(추가로 발생되는 건축공사에 적합한 자재 반입, 검수 및 시공...) 및 국가 기술 규격을 엄격히 보장한다. 이에 따라 구조 안전성 100% 입증, 누수/균열 하자 0건 달성 및 책임감리원 최종 결재를 완료하여 지자체 건축물 사용승인(준공) 필증을 획득한다.</t>
        </is>
      </c>
      <c r="K36" s="34" t="inlineStr">
        <is>
          <t>👉 [더블클릭] 표준서 열기 📄</t>
        </is>
      </c>
      <c r="L36" s="33" t="inlineStr">
        <is>
          <t>1) 인테리어 및 무대공사 (WBS 9000-4-35) 사전 건축 인허가 서식 제출(관할 지자체/소방서), 3D BIM 도서 대조 및 기계·전기·통신 4대 인터페이스 개구부를 확정한다.
2) 실무 작업방법 수칙(추가로 발생되는 건축공사에 적합한 자재 반입, 검수 및 시공)에 따라 철근 이음/피복두께 검측, 거푸집 다짐 양생 및 현장 3대 금기 수칙(피복 미달, 무단 타설)을 완수한다.</t>
        </is>
      </c>
      <c r="M36" s="34" t="inlineStr">
        <is>
          <t>👉 [더블클릭] 수행지침 열기 📄</t>
        </is>
      </c>
      <c r="N36" s="33" t="inlineStr">
        <is>
          <t>1) 건축법 제11조 및 KDS 41 00 00 건축구조기준에 따라 인테리어 및 무대공사 사전 검토를 수행하였는가? 또한 레미콘 규격(24~30MPa), 철근 시험성적서 및 방수자재 KCS 표준 품질 적격성을 검수하였는가?
2) 미검측 및 정량 시방 미달에 따른 인테리어 및 무대공사 (WBS 9000-4-35) 구조 균열/누수 하자 발생, 개구부 누락 재시공 손실 및 최종 각 공종 검측서 승인 반려 리스크를 전면 차단한다.</t>
        </is>
      </c>
      <c r="O36" s="34" t="inlineStr">
        <is>
          <t>👉 [더블클릭] 체크리스트 열기 📄</t>
        </is>
      </c>
      <c r="P36" s="32" t="n"/>
      <c r="Q36" s="33" t="inlineStr">
        <is>
          <t>● 내부 인테리어 설계 도서 준수</t>
        </is>
      </c>
      <c r="R36" s="26" t="inlineStr">
        <is>
          <t>1) 👉 [더블클릭] 체크리스트 열기 📄</t>
        </is>
      </c>
      <c r="S36" s="33" t="n"/>
    </row>
    <row r="37" ht="115.2" customHeight="1">
      <c r="A37" s="32" t="inlineStr">
        <is>
          <t>9000</t>
        </is>
      </c>
      <c r="B37" s="32" t="inlineStr">
        <is>
          <t>9000-4</t>
        </is>
      </c>
      <c r="C37" s="73" t="inlineStr">
        <is>
          <t>건축</t>
        </is>
      </c>
      <c r="D37" s="32" t="inlineStr">
        <is>
          <t>9000-4-36</t>
        </is>
      </c>
      <c r="E37" s="73" t="inlineStr">
        <is>
          <t>준공전 건축 인허가</t>
        </is>
      </c>
      <c r="F37" s="32" t="inlineStr">
        <is>
          <t>현장소장</t>
        </is>
      </c>
      <c r="G37" s="33" t="inlineStr">
        <is>
          <t>관련법에 따라 준공전 건축인허가 완료</t>
        </is>
      </c>
      <c r="H37" s="33" t="inlineStr">
        <is>
          <t>승강기 설치신고, 저수조 설치신고, 정화조 및 오수처리시설 신고, 전기사용전 검사 신청, 승강기 설치검사 신고/안, 배수설비 신고, 정보통신 사용전 승인 신청, 정화조 및 오수처리 준공 신청제, 급수공사 신청, 업무대행 건축사 현장확인 신청 -&gt; 관할지자체, 건축물 사용승인, 건축물대장 등재</t>
        </is>
      </c>
      <c r="I37" s="33" t="inlineStr">
        <is>
          <t>인허가 신고 / 승인 문서</t>
        </is>
      </c>
      <c r="J37" s="33" t="inlineStr">
        <is>
          <t>1) 준공전 건축 인허가 (WBS 9000-4-36) 관련 승강기 설치신고, 저수조 설치신고, 정화조 및 오수처리시설 신고, 전기사용전 검사 신청, 승강기 설치검사 신고/안, 배수설비 신고, 정보통신 사용전 승인 신청, 정화조 및 오수처리 준공 신청제, 급수공사 신청, 업무대행 건축사 현장확인 신청 -&gt; 관할지자체, 건축물 사용승인, 건축물대장 등재 수칙 및 법적 이행 의무를 1:1 준수한다. 또한 KDS 41 00 00 (건축구조기준), KDS 41 17 00 (내진설계기준) 및 KCS 41 00 00 (건축공사 표준시방서) 기술기준을 100% 충족한다.
2) 준공전 건축 인허가 달성을 위한 필수 시공 방법(승강기 설치신고, 저수조 설치신고, 정화조 및 오수처리시설 신고, 전기사용전 검사 신청, 승강기 설치검사 신...) 및 국가 기술 규격을 엄격히 보장한다. 이에 따라 구조 안전성 100% 입증, 누수/균열 하자 0건 달성 및 책임감리원 최종 결재를 완료하여 지자체 건축물 사용승인(준공) 필증을 획득한다.</t>
        </is>
      </c>
      <c r="K37" s="34" t="inlineStr">
        <is>
          <t>👉 [더블클릭] 표준서 열기 📄</t>
        </is>
      </c>
      <c r="L37" s="33" t="inlineStr">
        <is>
          <t>1) 준공전 건축 인허가 (WBS 9000-4-36) 사전 건축 인허가 서식 제출(관할 지자체/소방서), 3D BIM 도서 대조 및 기계·전기·통신 4대 인터페이스 개구부를 확정한다.
2) 실무 작업방법 수칙(승강기 설치신고, 저수조 설치신고, 정화조 및 오수처리시설 신고, 전기사용전 검사 신청, 승강...)에 따라 철근 이음/피복두께 검측, 거푸집 다짐 양생 및 현장 3대 금기 수칙(피복 미달, 무단 타설)을 완수한다.</t>
        </is>
      </c>
      <c r="M37" s="34" t="inlineStr">
        <is>
          <t>👉 [더블클릭] 수행지침 열기 📄</t>
        </is>
      </c>
      <c r="N37" s="33" t="inlineStr">
        <is>
          <t>1) 건축법 제11조 및 KDS 41 00 00 건축구조기준에 따라 준공전 건축 인허가 사전 검토를 수행하였는가? 또한 레미콘 규격(24~30MPa), 철근 시험성적서 및 방수자재 KCS 표준 품질 적격성을 검수하였는가?
2) 미검측 및 정량 시방 미달에 따른 준공전 건축 인허가 (WBS 9000-4-36) 구조 균열/누수 하자 발생, 개구부 누락 재시공 손실 및 최종 인허가 신고 / 승인 문서 승인 반려 리스크를 전면 차단한다.</t>
        </is>
      </c>
      <c r="O37" s="34" t="inlineStr">
        <is>
          <t>👉 [더블클릭] 체크리스트 열기 📄</t>
        </is>
      </c>
      <c r="P37" s="32" t="n"/>
      <c r="Q37" s="33" t="inlineStr">
        <is>
          <t>● 관련 법규(건축법, 하수도법 등) 준수</t>
        </is>
      </c>
      <c r="R37" s="26" t="inlineStr">
        <is>
          <t>1) 👉 [더블클릭] 체크리스트 열기 📄</t>
        </is>
      </c>
      <c r="S37" s="33" t="n"/>
    </row>
    <row r="38" ht="134.4" customHeight="1">
      <c r="A38" s="32" t="inlineStr">
        <is>
          <t>9000</t>
        </is>
      </c>
      <c r="B38" s="32" t="inlineStr">
        <is>
          <t>9000-4</t>
        </is>
      </c>
      <c r="C38" s="73" t="inlineStr">
        <is>
          <t>건축</t>
        </is>
      </c>
      <c r="D38" s="32" t="inlineStr">
        <is>
          <t>9000-4-37</t>
        </is>
      </c>
      <c r="E38" s="73" t="inlineStr">
        <is>
          <t>소방시설공사 완공검사</t>
        </is>
      </c>
      <c r="F38" s="32" t="inlineStr">
        <is>
          <t>현장소장</t>
        </is>
      </c>
      <c r="G38" s="33" t="inlineStr">
        <is>
          <t>소방시설 완공검사 신청</t>
        </is>
      </c>
      <c r="H38" s="33" t="inlineStr">
        <is>
          <t>현장 -&gt; 관할소방서 및 지자체 소방시설공사법 제14조
- 서식: 별지 제17호 서식
- 제출후 처리기간 3일 이내</t>
        </is>
      </c>
      <c r="I38" s="33" t="inlineStr">
        <is>
          <t>소방시설 완공검사 증명서</t>
        </is>
      </c>
      <c r="J38" s="33" t="inlineStr">
        <is>
          <t>1) 소방시설공사 완공검사 (WBS 9000-4-37) 관련 현장 -&gt; 관할소방서 및 지자체 소방시설공사법 제14조 수칙 및 법적 이행 의무를 1:1 준수한다. 또한 KDS 41 00 00 (건축구조기준), KDS 41 17 00 (내진설계기준) 및 KCS 41 00 00 (건축공사 표준시방서) 기술기준을 100% 충족한다.
2) 소방시설공사 완공검사 달성을 위한 필수 시공 방법(현장 -&gt; 관할소방서 및 지자체 소방시설공사법 제14조 서식: 별지 제17호 서식 제출후 처리기간 3일 이내...) 및 국가 기술 규격을 엄격히 보장한다. 이에 따라 구조 안전성 100% 입증, 누수/균열 하자 0건 달성 및 책임감리원 최종 결재를 완료하여 지자체 건축물 사용승인(준공) 필증을 획득한다.</t>
        </is>
      </c>
      <c r="K38" s="34" t="inlineStr">
        <is>
          <t>👉 [더블클릭] 표준서 열기 📄</t>
        </is>
      </c>
      <c r="L38" s="33" t="inlineStr">
        <is>
          <t>1) 소방시설공사 완공검사 (WBS 9000-4-37) 사전 건축 인허가 서식 제출(관할 지자체/소방서), 3D BIM 도서 대조 및 기계·전기·통신 4대 인터페이스 개구부를 확정한다.
2) 실무 작업방법 수칙(현장 -&gt; 관할소방서 및 지자체 소방시설공사법 제14조 서식: 별지 제17호 서식 제출후 처리...)에 따라 철근 이음/피복두께 검측, 거푸집 다짐 양생 및 현장 3대 금기 수칙(피복 미달, 무단 타설)을 완수한다.</t>
        </is>
      </c>
      <c r="M38" s="34" t="inlineStr">
        <is>
          <t>👉 [더블클릭] 수행지침 열기 📄</t>
        </is>
      </c>
      <c r="N38" s="33" t="inlineStr">
        <is>
          <t>1) 건축법 제11조 및 KDS 41 00 00 건축구조기준에 따라 소방시설공사 완공검사 사전 검토를 수행하였는가? 또한 레미콘 규격(24~30MPa), 철근 시험성적서 및 방수자재 KCS 표준 품질 적격성을 검수하였는가?
2) 미검측 및 정량 시방 미달에 따른 소방시설공사 완공검사 (WBS 9000-4-37) 구조 균열/누수 하자 발생, 개구부 누락 재시공 손실 및 최종 소방시설 완공검사 증명서 승인 반려 리스크를 전면 차단한다.</t>
        </is>
      </c>
      <c r="O38" s="34" t="inlineStr">
        <is>
          <t>👉 [더블클릭] 체크리스트 열기 📄</t>
        </is>
      </c>
      <c r="P38" s="32" t="n"/>
      <c r="Q38" s="33" t="inlineStr">
        <is>
          <t>● 소방시설공사법 제14조</t>
        </is>
      </c>
      <c r="R38" s="26" t="inlineStr">
        <is>
          <t>1) 👉 [더블클릭] 체크리스트 열기 📄</t>
        </is>
      </c>
      <c r="S38" s="33" t="n"/>
    </row>
    <row r="39" ht="115.2" customHeight="1">
      <c r="A39" s="32" t="inlineStr">
        <is>
          <t>9000</t>
        </is>
      </c>
      <c r="B39" s="32" t="inlineStr">
        <is>
          <t>9000-4</t>
        </is>
      </c>
      <c r="C39" s="73" t="inlineStr">
        <is>
          <t>건축</t>
        </is>
      </c>
      <c r="D39" s="32" t="inlineStr">
        <is>
          <t>9000-4-38</t>
        </is>
      </c>
      <c r="E39" s="73" t="inlineStr">
        <is>
          <t>승강기 설치 신고서 제출</t>
        </is>
      </c>
      <c r="F39" s="32" t="inlineStr">
        <is>
          <t>현장소장</t>
        </is>
      </c>
      <c r="G39" s="33" t="inlineStr">
        <is>
          <t>승강기 설치 신고</t>
        </is>
      </c>
      <c r="H39" s="33" t="inlineStr">
        <is>
          <t>현장 -&gt; 승강기 안전공단, 승강기 안전관리법 제27조
- 서식: 별지 제22호 서식
- 제출후 처리기간 7일 이내</t>
        </is>
      </c>
      <c r="I39" s="33" t="inlineStr">
        <is>
          <t>승강기 설치 신고필증</t>
        </is>
      </c>
      <c r="J39" s="33" t="inlineStr">
        <is>
          <t>1) 승강기 설치 신고서 제출 (WBS 9000-4-38) 관련 현장 -&gt; 승강기 안전공단, 승강기 안전관리법 제27조 수칙 및 법적 이행 의무를 1:1 준수한다. 또한 KDS 41 00 00 (건축구조기준), KDS 41 17 00 (내진설계기준) 및 KCS 41 00 00 (건축공사 표준시방서) 기술기준을 100% 충족한다.
2) 승강기 설치 신고서 제출 달성을 위한 필수 시공 방법(현장 -&gt; 승강기 안전공단, 승강기 안전관리법 제27조 서식: 별지 제22호 서식 제출후 처리기간 7일 이내...) 및 국가 기술 규격을 엄격히 보장한다. 이에 따라 구조 안전성 100% 입증, 누수/균열 하자 0건 달성 및 책임감리원 최종 결재를 완료하여 지자체 건축물 사용승인(준공) 필증을 획득한다.</t>
        </is>
      </c>
      <c r="K39" s="34" t="inlineStr">
        <is>
          <t>👉 [더블클릭] 표준서 열기 📄</t>
        </is>
      </c>
      <c r="L39" s="33" t="inlineStr">
        <is>
          <t>1) 승강기 설치 신고서 제출 (WBS 9000-4-38) 사전 건축 인허가 서식 제출(관할 지자체/소방서), 3D BIM 도서 대조 및 기계·전기·통신 4대 인터페이스 개구부를 확정한다.
2) 실무 작업방법 수칙(현장 -&gt; 승강기 안전공단, 승강기 안전관리법 제27조 서식: 별지 제22호 서식 제출후 처리...)에 따라 철근 이음/피복두께 검측, 거푸집 다짐 양생 및 현장 3대 금기 수칙(피복 미달, 무단 타설)을 완수한다.</t>
        </is>
      </c>
      <c r="M39" s="34" t="inlineStr">
        <is>
          <t>👉 [더블클릭] 수행지침 열기 📄</t>
        </is>
      </c>
      <c r="N39" s="33" t="inlineStr">
        <is>
          <t>1) 건축법 제11조 및 KDS 41 00 00 건축구조기준에 따라 승강기 설치 신고서 제출 사전 검토를 수행하였는가? 또한 레미콘 규격(24~30MPa), 철근 시험성적서 및 방수자재 KCS 표준 품질 적격성을 검수하였는가?
2) 미검측 및 정량 시방 미달에 따른 승강기 설치 신고서 제출 (WBS 9000-4-38) 구조 균열/누수 하자 발생, 개구부 누락 재시공 손실 및 최종 승강기 설치 신고필증 승인 반려 리스크를 전면 차단한다.</t>
        </is>
      </c>
      <c r="O39" s="34" t="inlineStr">
        <is>
          <t>👉 [더블클릭] 체크리스트 열기 📄</t>
        </is>
      </c>
      <c r="P39" s="32" t="n"/>
      <c r="Q39" s="33" t="inlineStr">
        <is>
          <t>● 승강기 안전관리법 제27조</t>
        </is>
      </c>
      <c r="R39" s="26" t="inlineStr">
        <is>
          <t>1) 👉 [더블클릭] 체크리스트 열기 📄</t>
        </is>
      </c>
      <c r="S39" s="33" t="n"/>
    </row>
    <row r="40" ht="115.2" customHeight="1">
      <c r="A40" s="32" t="inlineStr">
        <is>
          <t>9000</t>
        </is>
      </c>
      <c r="B40" s="32" t="inlineStr">
        <is>
          <t>9000-4</t>
        </is>
      </c>
      <c r="C40" s="73" t="inlineStr">
        <is>
          <t>건축</t>
        </is>
      </c>
      <c r="D40" s="32" t="inlineStr">
        <is>
          <t>9000-4-39</t>
        </is>
      </c>
      <c r="E40" s="73" t="inlineStr">
        <is>
          <t>저수조 설치현황 신고서 제출</t>
        </is>
      </c>
      <c r="F40" s="32" t="inlineStr">
        <is>
          <t>현장소장</t>
        </is>
      </c>
      <c r="G40" s="33" t="inlineStr">
        <is>
          <t>저수조 청소 신고</t>
        </is>
      </c>
      <c r="H40" s="33" t="inlineStr">
        <is>
          <t>현장 -&gt; 저수조업체 -&gt; 관할지자체, 수도법 제33조(위생상의 조치)
- 서식: 별지 제12호 서식</t>
        </is>
      </c>
      <c r="I40" s="33" t="inlineStr">
        <is>
          <t>저수조 설치 신고필증</t>
        </is>
      </c>
      <c r="J40" s="33" t="inlineStr">
        <is>
          <t>1) 저수조 설치현황 신고서 제출 (WBS 9000-4-39) 관련 현장 -&gt; 저수조업체 -&gt; 관할지자체, 수도법 제33조(위생상의 조치) 수칙 및 법적 이행 의무를 1:1 준수한다. 또한 KDS 41 00 00 (건축구조기준), KDS 41 17 00 (내진설계기준) 및 KCS 41 00 00 (건축공사 표준시방서) 기술기준을 100% 충족한다.
2) 저수조 설치현황 신고서 제출 달성을 위한 필수 시공 방법(현장 -&gt; 저수조업체 -&gt; 관할지자체, 수도법 제33조(위생상의 조치) 서식: 별지 제12호 서식...) 및 국가 기술 규격을 엄격히 보장한다. 이에 따라 구조 안전성 100% 입증, 누수/균열 하자 0건 달성 및 책임감리원 최종 결재를 완료하여 지자체 건축물 사용승인(준공) 필증을 획득한다.</t>
        </is>
      </c>
      <c r="K40" s="34" t="inlineStr">
        <is>
          <t>👉 [더블클릭] 표준서 열기 📄</t>
        </is>
      </c>
      <c r="L40" s="33" t="inlineStr">
        <is>
          <t>1) 저수조 설치현황 신고서 제출 (WBS 9000-4-39) 사전 건축 인허가 서식 제출(관할 지자체/소방서), 3D BIM 도서 대조 및 기계·전기·통신 4대 인터페이스 개구부를 확정한다.
2) 실무 작업방법 수칙(현장 -&gt; 저수조업체 -&gt; 관할지자체, 수도법 제33조(위생상의 조치) 서식: 별지 제12호 서식)에 따라 철근 이음/피복두께 검측, 거푸집 다짐 양생 및 현장 3대 금기 수칙(피복 미달, 무단 타설)을 완수한다.</t>
        </is>
      </c>
      <c r="M40" s="34" t="inlineStr">
        <is>
          <t>👉 [더블클릭] 수행지침 열기 📄</t>
        </is>
      </c>
      <c r="N40" s="33" t="inlineStr">
        <is>
          <t>1) 건축법 제11조 및 KDS 41 00 00 건축구조기준에 따라 저수조 설치현황 신고서 제출 사전 검토를 수행하였는가? 또한 레미콘 규격(24~30MPa), 철근 시험성적서 및 방수자재 KCS 표준 품질 적격성을 검수하였는가?
2) 미검측 및 정량 시방 미달에 따른 저수조 설치현황 신고서 제출 (WBS 9000-4-39) 구조 균열/누수 하자 발생, 개구부 누락 재시공 손실 및 최종 저수조 설치 신고필증 승인 반려 리스크를 전면 차단한다.</t>
        </is>
      </c>
      <c r="O40" s="34" t="inlineStr">
        <is>
          <t>👉 [더블클릭] 체크리스트 열기 📄</t>
        </is>
      </c>
      <c r="P40" s="32" t="n"/>
      <c r="Q40" s="33" t="inlineStr">
        <is>
          <t>● 수도법 제33조</t>
        </is>
      </c>
      <c r="R40" s="26" t="inlineStr">
        <is>
          <t>1) 👉 [더블클릭] 체크리스트 열기 📄</t>
        </is>
      </c>
      <c r="S40" s="33" t="n"/>
    </row>
    <row r="41" ht="115.2" customHeight="1">
      <c r="A41" s="32" t="inlineStr">
        <is>
          <t>9000</t>
        </is>
      </c>
      <c r="B41" s="32" t="inlineStr">
        <is>
          <t>9000-4</t>
        </is>
      </c>
      <c r="C41" s="73" t="inlineStr">
        <is>
          <t>건축</t>
        </is>
      </c>
      <c r="D41" s="32" t="inlineStr">
        <is>
          <t>9000-4-40</t>
        </is>
      </c>
      <c r="E41" s="73" t="inlineStr">
        <is>
          <t>오수처리시설 / 정화조 설치 신고서 제출</t>
        </is>
      </c>
      <c r="F41" s="32" t="inlineStr">
        <is>
          <t>현장소장</t>
        </is>
      </c>
      <c r="G41" s="33" t="inlineStr">
        <is>
          <t>정화조 및 오수 처리시설 신고</t>
        </is>
      </c>
      <c r="H41" s="33" t="inlineStr">
        <is>
          <t>현장 -&gt; 관할지자체, 하수도법 제34조
- 서식: 별지 제13호 서식
- 제출후 처리기간 5일 이내</t>
        </is>
      </c>
      <c r="I41" s="33" t="inlineStr">
        <is>
          <t>오수처리시설/정화조 설치 신고필증</t>
        </is>
      </c>
      <c r="J41" s="33" t="inlineStr">
        <is>
          <t>1) 오수처리시설 / 정화조 설치 신고서 제출 (WBS 9000-4-40) 관련 현장 -&gt; 관할지자체, 하수도법 제34조 수칙 및 법적 이행 의무를 1:1 준수한다. 또한 KDS 41 00 00 (건축구조기준), KDS 41 17 00 (내진설계기준) 및 KCS 41 00 00 (건축공사 표준시방서) 기술기준을 100% 충족한다.
2) 오수처리시설 / 정화조 설치 신고서 제출 달성을 위한 필수 시공 방법(현장 -&gt; 관할지자체, 하수도법 제34조 서식: 별지 제13호 서식 제출후 처리기간 5일 이내...) 및 국가 기술 규격을 엄격히 보장한다. 이에 따라 구조 안전성 100% 입증, 누수/균열 하자 0건 달성 및 책임감리원 최종 결재를 완료하여 지자체 건축물 사용승인(준공) 필증을 획득한다.</t>
        </is>
      </c>
      <c r="K41" s="34" t="inlineStr">
        <is>
          <t>👉 [더블클릭] 표준서 열기 📄</t>
        </is>
      </c>
      <c r="L41" s="33" t="inlineStr">
        <is>
          <t>1) 오수처리시설 / 정화조 설치 신고서 제출 (WBS 9000-4-40) 사전 건축 인허가 서식 제출(관할 지자체/소방서), 3D BIM 도서 대조 및 기계·전기·통신 4대 인터페이스 개구부를 확정한다.
2) 실무 작업방법 수칙(현장 -&gt; 관할지자체, 하수도법 제34조 서식: 별지 제13호 서식 제출후 처리기간 5일 이내)에 따라 철근 이음/피복두께 검측, 거푸집 다짐 양생 및 현장 3대 금기 수칙(피복 미달, 무단 타설)을 완수한다.</t>
        </is>
      </c>
      <c r="M41" s="34" t="inlineStr">
        <is>
          <t>👉 [더블클릭] 수행지침 열기 📄</t>
        </is>
      </c>
      <c r="N41" s="33" t="inlineStr">
        <is>
          <t>1) 건축법 제11조 및 KDS 41 00 00 건축구조기준에 따라 오수처리시설 / 정화조 설치 신고서 제출 사전 검토를 수행하였는가? 또한 레미콘 규격(24~30MPa), 철근 시험성적서 및 방수자재 KCS 표준 품질 적격성을 검수하였는가?
2) 미검측 및 정량 시방 미달에 따른 오수처리시설 / 정화조 설치 신고서 제출 (WBS 9000-4-40) 구조 균열/누수 하자 발생, 개구부 누락 재시공 손실 및 최종 오수처리시설/정화조 설치 신고필증 승인 반려 리스크를 전면 차단한다.</t>
        </is>
      </c>
      <c r="O41" s="34" t="inlineStr">
        <is>
          <t>👉 [더블클릭] 체크리스트 열기 📄</t>
        </is>
      </c>
      <c r="P41" s="32" t="n"/>
      <c r="Q41" s="33" t="inlineStr">
        <is>
          <t>● 하수도법 제34조</t>
        </is>
      </c>
      <c r="R41" s="26" t="inlineStr">
        <is>
          <t>1) 👉 [더블클릭] 체크리스트 열기 📄</t>
        </is>
      </c>
      <c r="S41" s="33" t="n"/>
    </row>
    <row r="42" ht="115.2" customHeight="1">
      <c r="A42" s="32" t="inlineStr">
        <is>
          <t>9000</t>
        </is>
      </c>
      <c r="B42" s="32" t="inlineStr">
        <is>
          <t>9000-4</t>
        </is>
      </c>
      <c r="C42" s="73" t="inlineStr">
        <is>
          <t>건축</t>
        </is>
      </c>
      <c r="D42" s="32" t="inlineStr">
        <is>
          <t>9000-4-41</t>
        </is>
      </c>
      <c r="E42" s="73" t="inlineStr">
        <is>
          <t>전기사용전 검사</t>
        </is>
      </c>
      <c r="F42" s="32" t="inlineStr">
        <is>
          <t>현장소장</t>
        </is>
      </c>
      <c r="G42" s="33" t="inlineStr">
        <is>
          <t>전기사용전 검사 신청</t>
        </is>
      </c>
      <c r="H42" s="33" t="inlineStr">
        <is>
          <t>현장 -&gt; 한국전기안전공사, 전기안전관리법 제9조(사용전검사)
- 서식: 별지 제4호 서식</t>
        </is>
      </c>
      <c r="I42" s="33" t="inlineStr">
        <is>
          <t>전기사용전 검사 필증</t>
        </is>
      </c>
      <c r="J42" s="33" t="inlineStr">
        <is>
          <t>1) 전기사용전 검사 (WBS 9000-4-41) 관련 현장 -&gt; 한국전기안전공사, 전기안전관리법 제9조(사용전검사) 수칙 및 법적 이행 의무를 1:1 준수한다. 또한 KDS 41 00 00 (건축구조기준), KDS 41 17 00 (내진설계기준) 및 KCS 41 00 00 (건축공사 표준시방서) 기술기준을 100% 충족한다.
2) 전기사용전 검사 달성을 위한 필수 시공 방법(현장 -&gt; 한국전기안전공사, 전기안전관리법 제9조(사용전검사) 서식: 별지 제4호 서식...) 및 국가 기술 규격을 엄격히 보장한다. 이에 따라 구조 안전성 100% 입증, 누수/균열 하자 0건 달성 및 책임감리원 최종 결재를 완료하여 지자체 건축물 사용승인(준공) 필증을 획득한다.</t>
        </is>
      </c>
      <c r="K42" s="34" t="inlineStr">
        <is>
          <t>👉 [더블클릭] 표준서 열기 📄</t>
        </is>
      </c>
      <c r="L42" s="33" t="inlineStr">
        <is>
          <t>1) 전기사용전 검사 (WBS 9000-4-41) 사전 건축 인허가 서식 제출(관할 지자체/소방서), 3D BIM 도서 대조 및 기계·전기·통신 4대 인터페이스 개구부를 확정한다.
2) 실무 작업방법 수칙(현장 -&gt; 한국전기안전공사, 전기안전관리법 제9조(사용전검사) 서식: 별지 제4호 서식)에 따라 철근 이음/피복두께 검측, 거푸집 다짐 양생 및 현장 3대 금기 수칙(피복 미달, 무단 타설)을 완수한다.</t>
        </is>
      </c>
      <c r="M42" s="34" t="inlineStr">
        <is>
          <t>👉 [더블클릭] 수행지침 열기 📄</t>
        </is>
      </c>
      <c r="N42" s="33" t="inlineStr">
        <is>
          <t>1) 건축법 제11조 및 KDS 41 00 00 건축구조기준에 따라 전기사용전 검사 사전 검토를 수행하였는가? 또한 레미콘 규격(24~30MPa), 철근 시험성적서 및 방수자재 KCS 표준 품질 적격성을 검수하였는가?
2) 미검측 및 정량 시방 미달에 따른 전기사용전 검사 (WBS 9000-4-41) 구조 균열/누수 하자 발생, 개구부 누락 재시공 손실 및 최종 전기사용전 검사 필증 승인 반려 리스크를 전면 차단한다.</t>
        </is>
      </c>
      <c r="O42" s="34" t="inlineStr">
        <is>
          <t>👉 [더블클릭] 체크리스트 열기 📄</t>
        </is>
      </c>
      <c r="P42" s="32" t="n"/>
      <c r="Q42" s="33" t="inlineStr">
        <is>
          <t>● 전기안전관리법 제9조</t>
        </is>
      </c>
      <c r="R42" s="26" t="inlineStr">
        <is>
          <t>1) 👉 [더블클릭] 체크리스트 열기 📄</t>
        </is>
      </c>
      <c r="S42" s="33" t="n"/>
    </row>
    <row r="43" ht="115.2" customHeight="1">
      <c r="A43" s="32" t="inlineStr">
        <is>
          <t>9000</t>
        </is>
      </c>
      <c r="B43" s="32" t="inlineStr">
        <is>
          <t>9000-4</t>
        </is>
      </c>
      <c r="C43" s="73" t="inlineStr">
        <is>
          <t>건축</t>
        </is>
      </c>
      <c r="D43" s="32" t="inlineStr">
        <is>
          <t>9000-4-42</t>
        </is>
      </c>
      <c r="E43" s="73" t="inlineStr">
        <is>
          <t>승강기 설치검사</t>
        </is>
      </c>
      <c r="F43" s="32" t="inlineStr">
        <is>
          <t>현장소장</t>
        </is>
      </c>
      <c r="G43" s="33" t="inlineStr">
        <is>
          <t>승강기 설치검사 신청</t>
        </is>
      </c>
      <c r="H43" s="33" t="inlineStr">
        <is>
          <t>현장 -&gt; 한국승강기안전공단, 승강기 안전관리법 제28조(승강기 설치)
- 서식: 별지 제23호 서식
- 제출후 처리기간 15일 이내</t>
        </is>
      </c>
      <c r="I43" s="33" t="inlineStr">
        <is>
          <t>승강기 사용필증, 합격증보고서</t>
        </is>
      </c>
      <c r="J43" s="33" t="inlineStr">
        <is>
          <t>1) 승강기 설치검사 (WBS 9000-4-42) 관련 현장 -&gt; 한국승강기안전공단, 승강기 안전관리법 제28조(승강기 설치) 수칙 및 법적 이행 의무를 1:1 준수한다. 또한 KDS 41 00 00 (건축구조기준), KDS 41 17 00 (내진설계기준) 및 KCS 41 00 00 (건축공사 표준시방서) 기술기준을 100% 충족한다.
2) 승강기 설치검사 달성을 위한 필수 시공 방법(현장 -&gt; 한국승강기안전공단, 승강기 안전관리법 제28조(승강기 설치) 서식: 별지 제23호 서식 제출후 처...) 및 국가 기술 규격을 엄격히 보장한다. 이에 따라 구조 안전성 100% 입증, 누수/균열 하자 0건 달성 및 책임감리원 최종 결재를 완료하여 지자체 건축물 사용승인(준공) 필증을 획득한다.</t>
        </is>
      </c>
      <c r="K43" s="34" t="inlineStr">
        <is>
          <t>👉 [더블클릭] 표준서 열기 📄</t>
        </is>
      </c>
      <c r="L43" s="33" t="inlineStr">
        <is>
          <t>1) 승강기 설치검사 (WBS 9000-4-42) 사전 건축 인허가 서식 제출(관할 지자체/소방서), 3D BIM 도서 대조 및 기계·전기·통신 4대 인터페이스 개구부를 확정한다.
2) 실무 작업방법 수칙(현장 -&gt; 한국승강기안전공단, 승강기 안전관리법 제28조(승강기 설치) 서식: 별지 제23호 ...)에 따라 철근 이음/피복두께 검측, 거푸집 다짐 양생 및 현장 3대 금기 수칙(피복 미달, 무단 타설)을 완수한다.</t>
        </is>
      </c>
      <c r="M43" s="34" t="inlineStr">
        <is>
          <t>👉 [더블클릭] 수행지침 열기 📄</t>
        </is>
      </c>
      <c r="N43" s="33" t="inlineStr">
        <is>
          <t>1) 건축법 제11조 및 KDS 41 00 00 건축구조기준에 따라 승강기 설치검사 사전 검토를 수행하였는가? 또한 레미콘 규격(24~30MPa), 철근 시험성적서 및 방수자재 KCS 표준 품질 적격성을 검수하였는가?
2) 미검측 및 정량 시방 미달에 따른 승강기 설치검사 (WBS 9000-4-42) 구조 균열/누수 하자 발생, 개구부 누락 재시공 손실 및 최종 승강기 사용필증, 합격증보고서 승인 반려 리스크를 전면 차단한다.</t>
        </is>
      </c>
      <c r="O43" s="34" t="inlineStr">
        <is>
          <t>👉 [더블클릭] 체크리스트 열기 📄</t>
        </is>
      </c>
      <c r="P43" s="32" t="n"/>
      <c r="Q43" s="33" t="inlineStr">
        <is>
          <t>● 승강기 안전관리법 제28조</t>
        </is>
      </c>
      <c r="R43" s="26" t="inlineStr">
        <is>
          <t>1) 👉 [더블클릭] 체크리스트 열기 📄</t>
        </is>
      </c>
      <c r="S43" s="33" t="n"/>
    </row>
    <row r="44" ht="115.2" customHeight="1">
      <c r="A44" s="32" t="inlineStr">
        <is>
          <t>9000</t>
        </is>
      </c>
      <c r="B44" s="32" t="inlineStr">
        <is>
          <t>9000-4</t>
        </is>
      </c>
      <c r="C44" s="73" t="inlineStr">
        <is>
          <t>건축</t>
        </is>
      </c>
      <c r="D44" s="32" t="inlineStr">
        <is>
          <t>9000-4-43</t>
        </is>
      </c>
      <c r="E44" s="73" t="inlineStr">
        <is>
          <t>배수설비 설치 신고서 제출</t>
        </is>
      </c>
      <c r="F44" s="32" t="inlineStr">
        <is>
          <t>현장소장</t>
        </is>
      </c>
      <c r="G44" s="33" t="inlineStr">
        <is>
          <t>배수설비 사용 신청</t>
        </is>
      </c>
      <c r="H44" s="33" t="inlineStr">
        <is>
          <t>현장 -&gt; 관할지자체/하수도법 제27조/별지 제7호 서식/제출후 처리기간 7일 이내</t>
        </is>
      </c>
      <c r="I44" s="33" t="inlineStr">
        <is>
          <t>배수설비 사용필증</t>
        </is>
      </c>
      <c r="J44" s="33" t="inlineStr">
        <is>
          <t>1) 배수설비 설치 신고서 제출 (WBS 9000-4-43) 관련 현장 -&gt; 관할지자체/하수도법 제27조/별지 제7호 서식/제출후 처리기간 7일 이내 수칙 및 법적 이행 의무를 1:1 준수한다. 또한 KDS 41 00 00 (건축구조기준), KDS 41 17 00 (내진설계기준) 및 KCS 41 00 00 (건축공사 표준시방서) 기술기준을 100% 충족한다.
2) 배수설비 설치 신고서 제출 달성을 위한 필수 시공 방법(현장 -&gt; 관할지자체/하수도법 제27조/별지 제7호 서식/제출후 처리기간 7일 이내...) 및 국가 기술 규격을 엄격히 보장한다. 이에 따라 구조 안전성 100% 입증, 누수/균열 하자 0건 달성 및 책임감리원 최종 결재를 완료하여 지자체 건축물 사용승인(준공) 필증을 획득한다.</t>
        </is>
      </c>
      <c r="K44" s="34" t="inlineStr">
        <is>
          <t>👉 [더블클릭] 표준서 열기 📄</t>
        </is>
      </c>
      <c r="L44" s="33" t="inlineStr">
        <is>
          <t>1) 배수설비 설치 신고서 제출 (WBS 9000-4-43) 사전 건축 인허가 서식 제출(관할 지자체/소방서), 3D BIM 도서 대조 및 기계·전기·통신 4대 인터페이스 개구부를 확정한다.
2) 실무 작업방법 수칙(현장 -&gt; 관할지자체/하수도법 제27조/별지 제7호 서식/제출후 처리기간 7일 이내)에 따라 철근 이음/피복두께 검측, 거푸집 다짐 양생 및 현장 3대 금기 수칙(피복 미달, 무단 타설)을 완수한다.</t>
        </is>
      </c>
      <c r="M44" s="34" t="inlineStr">
        <is>
          <t>👉 [더블클릭] 수행지침 열기 📄</t>
        </is>
      </c>
      <c r="N44" s="33" t="inlineStr">
        <is>
          <t>1) 건축법 제11조 및 KDS 41 00 00 건축구조기준에 따라 배수설비 설치 신고서 제출 사전 검토를 수행하였는가? 또한 레미콘 규격(24~30MPa), 철근 시험성적서 및 방수자재 KCS 표준 품질 적격성을 검수하였는가?
2) 미검측 및 정량 시방 미달에 따른 배수설비 설치 신고서 제출 (WBS 9000-4-43) 구조 균열/누수 하자 발생, 개구부 누락 재시공 손실 및 최종 배수설비 사용필증 승인 반려 리스크를 전면 차단한다.</t>
        </is>
      </c>
      <c r="O44" s="34" t="inlineStr">
        <is>
          <t>👉 [더블클릭] 체크리스트 열기 📄</t>
        </is>
      </c>
      <c r="P44" s="32" t="n"/>
      <c r="Q44" s="33" t="inlineStr">
        <is>
          <t>● 하수도법 제27조</t>
        </is>
      </c>
      <c r="R44" s="26" t="inlineStr">
        <is>
          <t>1) 👉 [더블클릭] 체크리스트 열기 📄</t>
        </is>
      </c>
      <c r="S44" s="33" t="n"/>
    </row>
    <row r="45" ht="96" customHeight="1">
      <c r="A45" s="32" t="inlineStr">
        <is>
          <t>9000</t>
        </is>
      </c>
      <c r="B45" s="32" t="inlineStr">
        <is>
          <t>9000-4</t>
        </is>
      </c>
      <c r="C45" s="73" t="inlineStr">
        <is>
          <t>건축</t>
        </is>
      </c>
      <c r="D45" s="32" t="inlineStr">
        <is>
          <t>9000-4-44</t>
        </is>
      </c>
      <c r="E45" s="73" t="inlineStr">
        <is>
          <t>정보통신공사 사용전검사</t>
        </is>
      </c>
      <c r="F45" s="32" t="inlineStr">
        <is>
          <t>현장소장</t>
        </is>
      </c>
      <c r="G45" s="33" t="inlineStr">
        <is>
          <t>정보통신 설치 사용전 검사신청</t>
        </is>
      </c>
      <c r="H45" s="33" t="inlineStr">
        <is>
          <t>현장 -&gt; 관할지자체, 정보통신공사업 시행령 제36조
- 서식: 해당 법 별지 제9호 서식
- 제출후 처리기간 14일 이내</t>
        </is>
      </c>
      <c r="I45" s="33" t="inlineStr">
        <is>
          <t>정보통신사용전 검사필증</t>
        </is>
      </c>
      <c r="J45" s="33" t="inlineStr">
        <is>
          <t>1) 정보통신공사 사용전검사 (WBS 9000-4-44) 관련 현장 -&gt; 관할지자체, 정보통신공사업 시행령 제36조 수칙 및 법적 이행 의무를 1:1 준수한다. 또한 KDS 41 00 00 (건축구조기준), KDS 41 17 00 (내진설계기준) 및 KCS 41 00 00 (건축공사 표준시방서) 기술기준을 100% 충족한다.
2) 정보통신공사 사용전검사 달성을 위한 필수 시공 방법(현장 -&gt; 관할지자체, 정보통신공사업 시행령 제36조 서식: 해당 법 별지 제9호 서식 제출후 처리기간 14...) 및 국가 기술 규격을 엄격히 보장한다. 이에 따라 구조 안전성 100% 입증, 누수/균열 하자 0건 달성 및 책임감리원 최종 결재를 완료하여 지자체 건축물 사용승인(준공) 필증을 획득한다.</t>
        </is>
      </c>
      <c r="K45" s="34" t="inlineStr">
        <is>
          <t>👉 [더블클릭] 표준서 열기 📄</t>
        </is>
      </c>
      <c r="L45" s="33" t="inlineStr">
        <is>
          <t>1) 정보통신공사 사용전검사 (WBS 9000-4-44) 사전 건축 인허가 서식 제출(관할 지자체/소방서), 3D BIM 도서 대조 및 기계·전기·통신 4대 인터페이스 개구부를 확정한다.
2) 실무 작업방법 수칙(현장 -&gt; 관할지자체, 정보통신공사업 시행령 제36조 서식: 해당 법 별지 제9호 서식 제출후...)에 따라 철근 이음/피복두께 검측, 거푸집 다짐 양생 및 현장 3대 금기 수칙(피복 미달, 무단 타설)을 완수한다.</t>
        </is>
      </c>
      <c r="M45" s="34" t="inlineStr">
        <is>
          <t>👉 [더블클릭] 수행지침 열기 📄</t>
        </is>
      </c>
      <c r="N45" s="33" t="inlineStr">
        <is>
          <t>1) 건축법 제11조 및 KDS 41 00 00 건축구조기준에 따라 정보통신공사 사용전검사 사전 검토를 수행하였는가? 또한 레미콘 규격(24~30MPa), 철근 시험성적서 및 방수자재 KCS 표준 품질 적격성을 검수하였는가?
2) 미검측 및 정량 시방 미달에 따른 정보통신공사 사용전검사 (WBS 9000-4-44) 구조 균열/누수 하자 발생, 개구부 누락 재시공 손실 및 최종 정보통신사용전 검사필증 승인 반려 리스크를 전면 차단한다.</t>
        </is>
      </c>
      <c r="O45" s="34" t="inlineStr">
        <is>
          <t>👉 [더블클릭] 체크리스트 열기 📄</t>
        </is>
      </c>
      <c r="P45" s="32" t="n"/>
      <c r="Q45" s="33" t="inlineStr">
        <is>
          <t>● 정보통신공사업 시행령 제36조</t>
        </is>
      </c>
      <c r="R45" s="26" t="inlineStr">
        <is>
          <t>1) 👉 [더블클릭] 체크리스트 열기 📄</t>
        </is>
      </c>
      <c r="S45" s="33" t="n"/>
    </row>
    <row r="46" ht="115.2" customHeight="1">
      <c r="A46" s="32" t="inlineStr">
        <is>
          <t>9000</t>
        </is>
      </c>
      <c r="B46" s="32" t="inlineStr">
        <is>
          <t>9000-4</t>
        </is>
      </c>
      <c r="C46" s="73" t="inlineStr">
        <is>
          <t>건축</t>
        </is>
      </c>
      <c r="D46" s="32" t="inlineStr">
        <is>
          <t>9000-4-45</t>
        </is>
      </c>
      <c r="E46" s="73" t="inlineStr">
        <is>
          <t>오수처리시설 / 정화조 준공검사</t>
        </is>
      </c>
      <c r="F46" s="32" t="inlineStr">
        <is>
          <t>현장소장</t>
        </is>
      </c>
      <c r="G46" s="33" t="inlineStr">
        <is>
          <t>정화조 사용 신청</t>
        </is>
      </c>
      <c r="H46" s="33" t="inlineStr">
        <is>
          <t>현장 -&gt; 관할지자체, 하수도법 제37조
- 서식: 해당 법 별지 제15호 서식
- 제출후 처리기간 5일 이내</t>
        </is>
      </c>
      <c r="I46" s="33" t="inlineStr">
        <is>
          <t>오수처리시설 / 정화조 준공필증</t>
        </is>
      </c>
      <c r="J46" s="33" t="inlineStr">
        <is>
          <t>1) 오수처리시설 / 정화조 준공검사 (WBS 9000-4-45) 관련 현장 -&gt; 관할지자체, 하수도법 제37조 수칙 및 법적 이행 의무를 1:1 준수한다. 또한 KDS 41 00 00 (건축구조기준), KDS 41 17 00 (내진설계기준) 및 KCS 41 00 00 (건축공사 표준시방서) 기술기준을 100% 충족한다.
2) 오수처리시설 / 정화조 준공검사 달성을 위한 필수 시공 방법(현장 -&gt; 관할지자체, 하수도법 제37조 서식: 해당 법 별지 제15호 서식 제출후 처리기간 5일 이내...) 및 국가 기술 규격을 엄격히 보장한다. 이에 따라 구조 안전성 100% 입증, 누수/균열 하자 0건 달성 및 책임감리원 최종 결재를 완료하여 지자체 건축물 사용승인(준공) 필증을 획득한다.</t>
        </is>
      </c>
      <c r="K46" s="34" t="inlineStr">
        <is>
          <t>👉 [더블클릭] 표준서 열기 📄</t>
        </is>
      </c>
      <c r="L46" s="33" t="inlineStr">
        <is>
          <t>1) 오수처리시설 / 정화조 준공검사 (WBS 9000-4-45) 사전 건축 인허가 서식 제출(관할 지자체/소방서), 3D BIM 도서 대조 및 기계·전기·통신 4대 인터페이스 개구부를 확정한다.
2) 실무 작업방법 수칙(현장 -&gt; 관할지자체, 하수도법 제37조 서식: 해당 법 별지 제15호 서식 제출후 처리기간 ...)에 따라 철근 이음/피복두께 검측, 거푸집 다짐 양생 및 현장 3대 금기 수칙(피복 미달, 무단 타설)을 완수한다.</t>
        </is>
      </c>
      <c r="M46" s="34" t="inlineStr">
        <is>
          <t>👉 [더블클릭] 수행지침 열기 📄</t>
        </is>
      </c>
      <c r="N46" s="33" t="inlineStr">
        <is>
          <t>1) 건축법 제11조 및 KDS 41 00 00 건축구조기준에 따라 오수처리시설 / 정화조 준공검사 사전 검토를 수행하였는가? 또한 레미콘 규격(24~30MPa), 철근 시험성적서 및 방수자재 KCS 표준 품질 적격성을 검수하였는가?
2) 미검측 및 정량 시방 미달에 따른 오수처리시설 / 정화조 준공검사 (WBS 9000-4-45) 구조 균열/누수 하자 발생, 개구부 누락 재시공 손실 및 최종 오수처리시설 / 정화조 준공필증 승인 반려 리스크를 전면 차단한다.</t>
        </is>
      </c>
      <c r="O46" s="34" t="inlineStr">
        <is>
          <t>👉 [더블클릭] 체크리스트 열기 📄</t>
        </is>
      </c>
      <c r="P46" s="32" t="n"/>
      <c r="Q46" s="33" t="inlineStr">
        <is>
          <t>● 하수도법 제37조</t>
        </is>
      </c>
      <c r="R46" s="26" t="inlineStr">
        <is>
          <t>1) 👉 [더블클릭] 체크리스트 열기 📄</t>
        </is>
      </c>
      <c r="S46" s="33" t="n"/>
    </row>
    <row r="47" ht="115.2" customHeight="1">
      <c r="A47" s="32" t="inlineStr">
        <is>
          <t>9000</t>
        </is>
      </c>
      <c r="B47" s="32" t="inlineStr">
        <is>
          <t>9000-4</t>
        </is>
      </c>
      <c r="C47" s="73" t="inlineStr">
        <is>
          <t>건축</t>
        </is>
      </c>
      <c r="D47" s="32" t="inlineStr">
        <is>
          <t>9000-4-46</t>
        </is>
      </c>
      <c r="E47" s="73" t="inlineStr">
        <is>
          <t>급수공사 신청서 제출</t>
        </is>
      </c>
      <c r="F47" s="32" t="inlineStr">
        <is>
          <t>현장소장</t>
        </is>
      </c>
      <c r="G47" s="33" t="inlineStr">
        <is>
          <t>급수 사용 신청</t>
        </is>
      </c>
      <c r="H47" s="33" t="inlineStr">
        <is>
          <t>현장 -&gt; 관할지자체, 수도 조례 시행규칙
- 서식: 해당 법 별지 제1호 서식</t>
        </is>
      </c>
      <c r="I47" s="33" t="inlineStr">
        <is>
          <t>급수 사용허가 문서</t>
        </is>
      </c>
      <c r="J47" s="33" t="inlineStr">
        <is>
          <t>1) 급수공사 신청서 제출 (WBS 9000-4-46) 관련 현장 -&gt; 관할지자체, 수도 조례 시행규칙 수칙 및 법적 이행 의무를 1:1 준수한다. 또한 KDS 41 00 00 (건축구조기준), KDS 41 17 00 (내진설계기준) 및 KCS 41 00 00 (건축공사 표준시방서) 기술기준을 100% 충족한다.
2) 급수공사 신청서 제출 달성을 위한 필수 시공 방법(현장 -&gt; 관할지자체, 수도 조례 시행규칙 서식: 해당 법 별지 제1호 서식...) 및 국가 기술 규격을 엄격히 보장한다. 이에 따라 구조 안전성 100% 입증, 누수/균열 하자 0건 달성 및 책임감리원 최종 결재를 완료하여 지자체 건축물 사용승인(준공) 필증을 획득한다.</t>
        </is>
      </c>
      <c r="K47" s="34" t="inlineStr">
        <is>
          <t>👉 [더블클릭] 표준서 열기 📄</t>
        </is>
      </c>
      <c r="L47" s="33" t="inlineStr">
        <is>
          <t>1) 급수공사 신청서 제출 (WBS 9000-4-46) 사전 건축 인허가 서식 제출(관할 지자체/소방서), 3D BIM 도서 대조 및 기계·전기·통신 4대 인터페이스 개구부를 확정한다.
2) 실무 작업방법 수칙(현장 -&gt; 관할지자체, 수도 조례 시행규칙 서식: 해당 법 별지 제1호 서식)에 따라 철근 이음/피복두께 검측, 거푸집 다짐 양생 및 현장 3대 금기 수칙(피복 미달, 무단 타설)을 완수한다.</t>
        </is>
      </c>
      <c r="M47" s="34" t="inlineStr">
        <is>
          <t>👉 [더블클릭] 수행지침 열기 📄</t>
        </is>
      </c>
      <c r="N47" s="33" t="inlineStr">
        <is>
          <t>1) 건축법 제11조 및 KDS 41 00 00 건축구조기준에 따라 급수공사 신청서 제출 사전 검토를 수행하였는가? 또한 레미콘 규격(24~30MPa), 철근 시험성적서 및 방수자재 KCS 표준 품질 적격성을 검수하였는가?
2) 미검측 및 정량 시방 미달에 따른 급수공사 신청서 제출 (WBS 9000-4-46) 구조 균열/누수 하자 발생, 개구부 누락 재시공 손실 및 최종 급수 사용허가 문서 승인 반려 리스크를 전면 차단한다.</t>
        </is>
      </c>
      <c r="O47" s="34" t="inlineStr">
        <is>
          <t>👉 [더블클릭] 체크리스트 열기 📄</t>
        </is>
      </c>
      <c r="P47" s="32" t="n"/>
      <c r="Q47" s="33" t="inlineStr">
        <is>
          <t>● 수도 조례 시행규칙</t>
        </is>
      </c>
      <c r="R47" s="26" t="inlineStr">
        <is>
          <t>1) 👉 [더블클릭] 체크리스트 열기 📄</t>
        </is>
      </c>
      <c r="S47" s="33" t="n"/>
    </row>
    <row r="48" ht="115.2" customHeight="1">
      <c r="A48" s="32" t="inlineStr">
        <is>
          <t>9000</t>
        </is>
      </c>
      <c r="B48" s="32" t="inlineStr">
        <is>
          <t>9000-4</t>
        </is>
      </c>
      <c r="C48" s="73" t="inlineStr">
        <is>
          <t>건축</t>
        </is>
      </c>
      <c r="D48" s="32" t="inlineStr">
        <is>
          <t>9000-4-47</t>
        </is>
      </c>
      <c r="E48" s="73" t="inlineStr">
        <is>
          <t>업무대행 건축사 사용승인 검사</t>
        </is>
      </c>
      <c r="F48" s="32" t="inlineStr">
        <is>
          <t>건축사</t>
        </is>
      </c>
      <c r="G48" s="33" t="inlineStr">
        <is>
          <t>업무대행 건축사 확인후 사용승인</t>
        </is>
      </c>
      <c r="H48" s="33" t="inlineStr">
        <is>
          <t>현장 -&gt; 관할지자체, 건축법시행령 제20조(현장조사검사 및 확인 업무대행)
- 서식: 해당 법 별지 제17호 서식</t>
        </is>
      </c>
      <c r="I48" s="33" t="inlineStr">
        <is>
          <t>건축물 사용승인 알림 [공문]</t>
        </is>
      </c>
      <c r="J48" s="33" t="inlineStr">
        <is>
          <t>1) 업무대행 건축사 사용승인 검사 (WBS 9000-4-47) 관련 현장 -&gt; 관할지자체, 건축법시행령 제20조(현장조사검사 및 확인 업무대행) 수칙 및 법적 이행 의무를 1:1 준수한다. 또한 KDS 41 00 00 (건축구조기준), KDS 41 17 00 (내진설계기준) 및 KCS 41 00 00 (건축공사 표준시방서) 기술기준을 100% 충족한다.
2) 업무대행 건축사 사용승인 검사 달성을 위한 필수 시공 방법(현장 -&gt; 관할지자체, 건축법시행령 제20조(현장조사검사 및 확인 업무대행) 서식: 해당 법 별지 제17호 ...) 및 국가 기술 규격을 엄격히 보장한다. 이에 따라 구조 안전성 100% 입증, 누수/균열 하자 0건 달성 및 책임감리원 최종 결재를 완료하여 지자체 건축물 사용승인(준공) 필증을 획득한다.</t>
        </is>
      </c>
      <c r="K48" s="34" t="inlineStr">
        <is>
          <t>👉 [더블클릭] 표준서 열기 📄</t>
        </is>
      </c>
      <c r="L48" s="33" t="inlineStr">
        <is>
          <t>1) 업무대행 건축사 사용승인 검사 (WBS 9000-4-47) 사전 건축 인허가 서식 제출(관할 지자체/소방서), 3D BIM 도서 대조 및 기계·전기·통신 4대 인터페이스 개구부를 확정한다.
2) 실무 작업방법 수칙(현장 -&gt; 관할지자체, 건축법시행령 제20조(현장조사검사 및 확인 업무대행) 서식: 해당 법 ...)에 따라 철근 이음/피복두께 검측, 거푸집 다짐 양생 및 현장 3대 금기 수칙(피복 미달, 무단 타설)을 완수한다.</t>
        </is>
      </c>
      <c r="M48" s="34" t="inlineStr">
        <is>
          <t>👉 [더블클릭] 수행지침 열기 📄</t>
        </is>
      </c>
      <c r="N48" s="33" t="inlineStr">
        <is>
          <t>1) 건축법 제11조 및 KDS 41 00 00 건축구조기준에 따라 업무대행 건축사 사용승인 검사 사전 검토를 수행하였는가? 또한 레미콘 규격(24~30MPa), 철근 시험성적서 및 방수자재 KCS 표준 품질 적격성을 검수하였는가?
2) 미검측 및 정량 시방 미달에 따른 업무대행 건축사 사용승인 검사 (WBS 9000-4-47) 구조 균열/누수 하자 발생, 개구부 누락 재시공 손실 및 최종 건축물 사용승인 알림 [공문] 승인 반려 리스크를 전면 차단한다.</t>
        </is>
      </c>
      <c r="O48" s="34" t="inlineStr">
        <is>
          <t>👉 [더블클릭] 체크리스트 열기 📄</t>
        </is>
      </c>
      <c r="P48" s="32" t="n"/>
      <c r="Q48" s="33" t="inlineStr">
        <is>
          <t>● 건축법시행령 제20조</t>
        </is>
      </c>
      <c r="R48" s="26" t="inlineStr">
        <is>
          <t>1) 👉 [더블클릭] 체크리스트 열기 📄</t>
        </is>
      </c>
      <c r="S48" s="33" t="n"/>
    </row>
    <row r="49" ht="115.2" customHeight="1">
      <c r="A49" s="32" t="inlineStr">
        <is>
          <t>9000</t>
        </is>
      </c>
      <c r="B49" s="32" t="inlineStr">
        <is>
          <t>9000-4</t>
        </is>
      </c>
      <c r="C49" s="73" t="inlineStr">
        <is>
          <t>건축</t>
        </is>
      </c>
      <c r="D49" s="32" t="inlineStr">
        <is>
          <t>9000-4-48</t>
        </is>
      </c>
      <c r="E49" s="73" t="inlineStr">
        <is>
          <t>건축물 사용승인 신청</t>
        </is>
      </c>
      <c r="F49" s="32" t="inlineStr">
        <is>
          <t>현장소장</t>
        </is>
      </c>
      <c r="G49" s="33" t="inlineStr">
        <is>
          <t>건축물 사용승인 신청</t>
        </is>
      </c>
      <c r="H49" s="33" t="inlineStr">
        <is>
          <t>현장 -&gt; 관할지자체, 건축법 제22조(건축물의 사용승인)
- 서식: 해당 법 별지 제17호 서식
- 제출후 처리기간 7일 이내</t>
        </is>
      </c>
      <c r="I49" s="33" t="inlineStr">
        <is>
          <t>건축물 사용승인 알림 [공문]</t>
        </is>
      </c>
      <c r="J49" s="33" t="inlineStr">
        <is>
          <t>1) 건축물 사용승인 신청 (WBS 9000-4-48) 관련 현장 -&gt; 관할지자체, 건축법 제22조(건축물의 사용승인) 수칙 및 법적 이행 의무를 1:1 준수한다. 또한 KDS 41 00 00 (건축구조기준), KDS 41 17 00 (내진설계기준) 및 KCS 41 00 00 (건축공사 표준시방서) 기술기준을 100% 충족한다.
2) 건축물 사용승인 신청 달성을 위한 필수 시공 방법(현장 -&gt; 관할지자체, 건축법 제22조(건축물의 사용승인) 서식: 해당 법 별지 제17호 서식 제출후 처리기...) 및 국가 기술 규격을 엄격히 보장한다. 이에 따라 구조 안전성 100% 입증, 누수/균열 하자 0건 달성 및 책임감리원 최종 결재를 완료하여 지자체 건축물 사용승인(준공) 필증을 획득한다.</t>
        </is>
      </c>
      <c r="K49" s="34" t="inlineStr">
        <is>
          <t>👉 [더블클릭] 표준서 열기 📄</t>
        </is>
      </c>
      <c r="L49" s="33" t="inlineStr">
        <is>
          <t>1) 건축물 사용승인 신청 (WBS 9000-4-48) 사전 건축 인허가 서식 제출(관할 지자체/소방서), 3D BIM 도서 대조 및 기계·전기·통신 4대 인터페이스 개구부를 확정한다.
2) 실무 작업방법 수칙(현장 -&gt; 관할지자체, 건축법 제22조(건축물의 사용승인) 서식: 해당 법 별지 제17호 서식...)에 따라 철근 이음/피복두께 검측, 거푸집 다짐 양생 및 현장 3대 금기 수칙(피복 미달, 무단 타설)을 완수한다.</t>
        </is>
      </c>
      <c r="M49" s="34" t="inlineStr">
        <is>
          <t>👉 [더블클릭] 수행지침 열기 📄</t>
        </is>
      </c>
      <c r="N49" s="33" t="inlineStr">
        <is>
          <t>1) 건축법 제11조 및 KDS 41 00 00 건축구조기준에 따라 건축물 사용승인 신청 사전 검토를 수행하였는가? 또한 레미콘 규격(24~30MPa), 철근 시험성적서 및 방수자재 KCS 표준 품질 적격성을 검수하였는가?
2) 미검측 및 정량 시방 미달에 따른 건축물 사용승인 신청 (WBS 9000-4-48) 구조 균열/누수 하자 발생, 개구부 누락 재시공 손실 및 최종 건축물 사용승인 알림 [공문] 승인 반려 리스크를 전면 차단한다.</t>
        </is>
      </c>
      <c r="O49" s="34" t="inlineStr">
        <is>
          <t>👉 [더블클릭] 체크리스트 열기 📄</t>
        </is>
      </c>
      <c r="P49" s="32" t="n"/>
      <c r="Q49" s="33" t="inlineStr">
        <is>
          <t>● 건축법 제22조</t>
        </is>
      </c>
      <c r="R49" s="26" t="inlineStr">
        <is>
          <t>1) 👉 [더블클릭] 체크리스트 열기 📄</t>
        </is>
      </c>
      <c r="S49" s="33" t="n"/>
    </row>
    <row r="50" ht="115.2" customHeight="1">
      <c r="A50" s="32" t="inlineStr">
        <is>
          <t>9000</t>
        </is>
      </c>
      <c r="B50" s="32" t="inlineStr">
        <is>
          <t>9000-4</t>
        </is>
      </c>
      <c r="C50" s="73" t="inlineStr">
        <is>
          <t>건축</t>
        </is>
      </c>
      <c r="D50" s="32" t="inlineStr">
        <is>
          <t>9000-4-49</t>
        </is>
      </c>
      <c r="E50" s="73" t="inlineStr">
        <is>
          <t>건축물대장 등재</t>
        </is>
      </c>
      <c r="F50" s="32" t="inlineStr">
        <is>
          <t>현장 및 지자체</t>
        </is>
      </c>
      <c r="G50" s="33" t="inlineStr">
        <is>
          <t>건축물대장 등재</t>
        </is>
      </c>
      <c r="H50" s="33" t="inlineStr">
        <is>
          <t>현장 -&gt; 관할지자체 -&gt; 관할지자체, 건축물대장의 기재 12조, 처리기간 7일 이내</t>
        </is>
      </c>
      <c r="I50" s="33" t="inlineStr">
        <is>
          <t>건축물 대장 등재 확인</t>
        </is>
      </c>
      <c r="J50" s="33" t="inlineStr">
        <is>
          <t>1) 건축물대장 등재 (WBS 9000-4-49) 관련 현장 -&gt; 관할지자체 -&gt; 관할지자체, 건축물대장의 기재 12조, 처리기간 7일 이내 수칙 및 법적 이행 의무를 1:1 준수한다. 또한 KDS 41 00 00 (건축구조기준), KDS 41 17 00 (내진설계기준) 및 KCS 41 00 00 (건축공사 표준시방서) 기술기준을 100% 충족한다.
2) 건축물대장 등재 달성을 위한 필수 시공 방법(현장 -&gt; 관할지자체 -&gt; 관할지자체, 건축물대장의 기재 12조, 처리기간 7일 이내...) 및 국가 기술 규격을 엄격히 보장한다. 이에 따라 구조 안전성 100% 입증, 누수/균열 하자 0건 달성 및 책임감리원 최종 결재를 완료하여 지자체 건축물 사용승인(준공) 필증을 획득한다.</t>
        </is>
      </c>
      <c r="K50" s="34" t="inlineStr">
        <is>
          <t>👉 [더블클릭] 표준서 열기 📄</t>
        </is>
      </c>
      <c r="L50" s="33" t="inlineStr">
        <is>
          <t>1) 건축물대장 등재 (WBS 9000-4-49) 사전 건축 인허가 서식 제출(관할 지자체/소방서), 3D BIM 도서 대조 및 기계·전기·통신 4대 인터페이스 개구부를 확정한다.
2) 실무 작업방법 수칙(현장 -&gt; 관할지자체 -&gt; 관할지자체, 건축물대장의 기재 12조, 처리기간 7일 이내)에 따라 철근 이음/피복두께 검측, 거푸집 다짐 양생 및 현장 3대 금기 수칙(피복 미달, 무단 타설)을 완수한다.</t>
        </is>
      </c>
      <c r="M50" s="34" t="inlineStr">
        <is>
          <t>👉 [더블클릭] 수행지침 열기 📄</t>
        </is>
      </c>
      <c r="N50" s="33" t="inlineStr">
        <is>
          <t>1) 건축법 제11조 및 KDS 41 00 00 건축구조기준에 따라 건축물대장 등재 사전 검토를 수행하였는가? 또한 레미콘 규격(24~30MPa), 철근 시험성적서 및 방수자재 KCS 표준 품질 적격성을 검수하였는가?
2) 미검측 및 정량 시방 미달에 따른 건축물대장 등재 (WBS 9000-4-49) 구조 균열/누수 하자 발생, 개구부 누락 재시공 손실 및 최종 건축물 대장 등재 확인 승인 반려 리스크를 전면 차단한다.</t>
        </is>
      </c>
      <c r="O50" s="34" t="inlineStr">
        <is>
          <t>👉 [더블클릭] 체크리스트 열기 📄</t>
        </is>
      </c>
      <c r="P50" s="32" t="n"/>
      <c r="Q50" s="33" t="inlineStr">
        <is>
          <t>● 건축물대장의 기재 및 관리 등에 관한 규칙 제12조</t>
        </is>
      </c>
      <c r="R50" s="26" t="inlineStr">
        <is>
          <t>1) 👉 [더블클릭] 체크리스트 열기 📄</t>
        </is>
      </c>
      <c r="S50" s="33" t="n"/>
    </row>
    <row r="51" ht="134.4" customHeight="1">
      <c r="A51" s="32" t="inlineStr">
        <is>
          <t>9000</t>
        </is>
      </c>
      <c r="B51" s="32" t="inlineStr">
        <is>
          <t>9000-4</t>
        </is>
      </c>
      <c r="C51" s="73" t="inlineStr">
        <is>
          <t>건축</t>
        </is>
      </c>
      <c r="D51" s="32" t="inlineStr">
        <is>
          <t>9000-4-50</t>
        </is>
      </c>
      <c r="E51" s="73" t="inlineStr">
        <is>
          <t>후속 구조물 인계</t>
        </is>
      </c>
      <c r="F51" s="32" t="inlineStr">
        <is>
          <t>현장소장</t>
        </is>
      </c>
      <c r="G51" s="33" t="inlineStr">
        <is>
          <t>유지관리기관에 인계</t>
        </is>
      </c>
      <c r="H51" s="33" t="inlineStr">
        <is>
          <t>건축 인허가 서류 및 준공도서 인계
- 건축인허가 서류: 승강기 사용필증, 소방시설 완공검사 증명서, 전기사용전 검사 필증 등
- 준공도서: 준공도면, 시방서, 내역서, 각종 계산서(구조 등), 유지관리 지침서 등
- 유지관리기관 준공전 검사 수행 및 잔손보기(지적 조치 등)</t>
        </is>
      </c>
      <c r="I51" s="33" t="inlineStr">
        <is>
          <t>유지관리기관 인수인계서, 건축 인허가 서류, 준공도서</t>
        </is>
      </c>
      <c r="J51" s="33" t="inlineStr">
        <is>
          <t>1) 후속 구조물 인계 (WBS 9000-4-50) 관련 건축 인허가 서류 및 준공도서 인계 수칙 및 법적 이행 의무를 1:1 준수한다. 또한 KDS 41 00 00 (건축구조기준), KDS 41 17 00 (내진설계기준) 및 KCS 41 00 00 (건축공사 표준시방서) 기술기준을 100% 충족한다.
2) 후속 구조물 인계 달성을 위한 필수 시공 방법(건축 인허가 서류 및 준공도서 인계 건축인허가 서류: 승강기 사용필증, 소방시설 완공검사 증명서, 전기사용전...) 및 국가 기술 규격을 엄격히 보장한다. 이에 따라 구조 안전성 100% 입증, 누수/균열 하자 0건 달성 및 책임감리원 최종 결재를 완료하여 지자체 건축물 사용승인(준공) 필증을 획득한다.</t>
        </is>
      </c>
      <c r="K51" s="34" t="inlineStr">
        <is>
          <t>👉 [더블클릭] 표준서 열기 📄</t>
        </is>
      </c>
      <c r="L51" s="33" t="inlineStr">
        <is>
          <t>1) 후속 구조물 인계 (WBS 9000-4-50) 사전 건축 인허가 서식 제출(관할 지자체/소방서), 3D BIM 도서 대조 및 기계·전기·통신 4대 인터페이스 개구부를 확정한다.
2) 실무 작업방법 수칙(건축 인허가 서류 및 준공도서 인계 건축인허가 서류: 승강기 사용필증, 소방시설 완공검사 증명...)에 따라 철근 이음/피복두께 검측, 거푸집 다짐 양생 및 현장 3대 금기 수칙(피복 미달, 무단 타설)을 완수한다.</t>
        </is>
      </c>
      <c r="M51" s="34" t="inlineStr">
        <is>
          <t>👉 [더블클릭] 수행지침 열기 📄</t>
        </is>
      </c>
      <c r="N51" s="33" t="inlineStr">
        <is>
          <t>1) 건축법 제11조 및 KDS 41 00 00 건축구조기준에 따라 후속 구조물 인계 사전 검토를 수행하였는가? 또한 레미콘 규격(24~30MPa), 철근 시험성적서 및 방수자재 KCS 표준 품질 적격성을 검수하였는가?
2) 미검측 및 정량 시방 미달에 따른 후속 구조물 인계 (WBS 9000-4-50) 구조 균열/누수 하자 발생, 개구부 누락 재시공 손실 및 최종 유지관리기관 인수인계서, 건축 인허가 서류, 준공도서 승인 반려 리스크를 전면 차단한다.</t>
        </is>
      </c>
      <c r="O51" s="34" t="inlineStr">
        <is>
          <t>👉 [더블클릭] 체크리스트 열기 📄</t>
        </is>
      </c>
      <c r="P51" s="32" t="n"/>
      <c r="Q51" s="33" t="inlineStr">
        <is>
          <t>● 인수인계 및 시설물 유지관리 기준 준수</t>
        </is>
      </c>
      <c r="R51" s="26" t="inlineStr">
        <is>
          <t>1) 👉 [더블클릭] 체크리스트 열기 📄</t>
        </is>
      </c>
      <c r="S51" s="33" t="n"/>
    </row>
  </sheetData>
  <hyperlinks>
    <hyperlink xmlns:r="http://schemas.openxmlformats.org/officeDocument/2006/relationships" ref="K2" r:id="rId1"/>
    <hyperlink xmlns:r="http://schemas.openxmlformats.org/officeDocument/2006/relationships" ref="M2" r:id="rId2"/>
    <hyperlink xmlns:r="http://schemas.openxmlformats.org/officeDocument/2006/relationships" ref="O2" r:id="rId3"/>
    <hyperlink xmlns:r="http://schemas.openxmlformats.org/officeDocument/2006/relationships" ref="K3" r:id="rId4"/>
    <hyperlink xmlns:r="http://schemas.openxmlformats.org/officeDocument/2006/relationships" ref="M3" r:id="rId5"/>
    <hyperlink xmlns:r="http://schemas.openxmlformats.org/officeDocument/2006/relationships" ref="O3" r:id="rId6"/>
    <hyperlink xmlns:r="http://schemas.openxmlformats.org/officeDocument/2006/relationships" ref="K4" r:id="rId7"/>
    <hyperlink xmlns:r="http://schemas.openxmlformats.org/officeDocument/2006/relationships" ref="M4" r:id="rId8"/>
    <hyperlink xmlns:r="http://schemas.openxmlformats.org/officeDocument/2006/relationships" ref="O4" r:id="rId9"/>
    <hyperlink xmlns:r="http://schemas.openxmlformats.org/officeDocument/2006/relationships" ref="K5" r:id="rId10"/>
    <hyperlink xmlns:r="http://schemas.openxmlformats.org/officeDocument/2006/relationships" ref="M5" r:id="rId11"/>
    <hyperlink xmlns:r="http://schemas.openxmlformats.org/officeDocument/2006/relationships" ref="O5" r:id="rId12"/>
    <hyperlink xmlns:r="http://schemas.openxmlformats.org/officeDocument/2006/relationships" ref="K6" r:id="rId13"/>
    <hyperlink xmlns:r="http://schemas.openxmlformats.org/officeDocument/2006/relationships" ref="M6" r:id="rId14"/>
    <hyperlink xmlns:r="http://schemas.openxmlformats.org/officeDocument/2006/relationships" ref="O6" r:id="rId15"/>
    <hyperlink xmlns:r="http://schemas.openxmlformats.org/officeDocument/2006/relationships" ref="K7" r:id="rId16"/>
    <hyperlink xmlns:r="http://schemas.openxmlformats.org/officeDocument/2006/relationships" ref="M7" r:id="rId17"/>
    <hyperlink xmlns:r="http://schemas.openxmlformats.org/officeDocument/2006/relationships" ref="O7" r:id="rId18"/>
    <hyperlink xmlns:r="http://schemas.openxmlformats.org/officeDocument/2006/relationships" ref="K8" r:id="rId19"/>
    <hyperlink xmlns:r="http://schemas.openxmlformats.org/officeDocument/2006/relationships" ref="M8" r:id="rId20"/>
    <hyperlink xmlns:r="http://schemas.openxmlformats.org/officeDocument/2006/relationships" ref="O8" r:id="rId21"/>
    <hyperlink xmlns:r="http://schemas.openxmlformats.org/officeDocument/2006/relationships" ref="K9" r:id="rId22"/>
    <hyperlink xmlns:r="http://schemas.openxmlformats.org/officeDocument/2006/relationships" ref="M9" r:id="rId23"/>
    <hyperlink xmlns:r="http://schemas.openxmlformats.org/officeDocument/2006/relationships" ref="O9" r:id="rId24"/>
    <hyperlink xmlns:r="http://schemas.openxmlformats.org/officeDocument/2006/relationships" ref="K10" r:id="rId25"/>
    <hyperlink xmlns:r="http://schemas.openxmlformats.org/officeDocument/2006/relationships" ref="M10" r:id="rId26"/>
    <hyperlink xmlns:r="http://schemas.openxmlformats.org/officeDocument/2006/relationships" ref="O10" r:id="rId27"/>
    <hyperlink xmlns:r="http://schemas.openxmlformats.org/officeDocument/2006/relationships" ref="K11" r:id="rId28"/>
    <hyperlink xmlns:r="http://schemas.openxmlformats.org/officeDocument/2006/relationships" ref="M11" r:id="rId29"/>
    <hyperlink xmlns:r="http://schemas.openxmlformats.org/officeDocument/2006/relationships" ref="O11" r:id="rId30"/>
    <hyperlink xmlns:r="http://schemas.openxmlformats.org/officeDocument/2006/relationships" ref="K12" r:id="rId31"/>
    <hyperlink xmlns:r="http://schemas.openxmlformats.org/officeDocument/2006/relationships" ref="M12" r:id="rId32"/>
    <hyperlink xmlns:r="http://schemas.openxmlformats.org/officeDocument/2006/relationships" ref="O12" r:id="rId33"/>
    <hyperlink xmlns:r="http://schemas.openxmlformats.org/officeDocument/2006/relationships" ref="K13" r:id="rId34"/>
    <hyperlink xmlns:r="http://schemas.openxmlformats.org/officeDocument/2006/relationships" ref="M13" r:id="rId35"/>
    <hyperlink xmlns:r="http://schemas.openxmlformats.org/officeDocument/2006/relationships" ref="O13" r:id="rId36"/>
    <hyperlink xmlns:r="http://schemas.openxmlformats.org/officeDocument/2006/relationships" ref="K14" r:id="rId37"/>
    <hyperlink xmlns:r="http://schemas.openxmlformats.org/officeDocument/2006/relationships" ref="M14" r:id="rId38"/>
    <hyperlink xmlns:r="http://schemas.openxmlformats.org/officeDocument/2006/relationships" ref="O14" r:id="rId39"/>
    <hyperlink xmlns:r="http://schemas.openxmlformats.org/officeDocument/2006/relationships" ref="K15" r:id="rId40"/>
    <hyperlink xmlns:r="http://schemas.openxmlformats.org/officeDocument/2006/relationships" ref="M15" r:id="rId41"/>
    <hyperlink xmlns:r="http://schemas.openxmlformats.org/officeDocument/2006/relationships" ref="O15" r:id="rId42"/>
    <hyperlink xmlns:r="http://schemas.openxmlformats.org/officeDocument/2006/relationships" ref="K16" r:id="rId43"/>
    <hyperlink xmlns:r="http://schemas.openxmlformats.org/officeDocument/2006/relationships" ref="M16" r:id="rId44"/>
    <hyperlink xmlns:r="http://schemas.openxmlformats.org/officeDocument/2006/relationships" ref="O16" r:id="rId45"/>
    <hyperlink xmlns:r="http://schemas.openxmlformats.org/officeDocument/2006/relationships" ref="K17" r:id="rId46"/>
    <hyperlink xmlns:r="http://schemas.openxmlformats.org/officeDocument/2006/relationships" ref="M17" r:id="rId47"/>
    <hyperlink xmlns:r="http://schemas.openxmlformats.org/officeDocument/2006/relationships" ref="O17" r:id="rId48"/>
    <hyperlink xmlns:r="http://schemas.openxmlformats.org/officeDocument/2006/relationships" ref="K18" r:id="rId49"/>
    <hyperlink xmlns:r="http://schemas.openxmlformats.org/officeDocument/2006/relationships" ref="M18" r:id="rId50"/>
    <hyperlink xmlns:r="http://schemas.openxmlformats.org/officeDocument/2006/relationships" ref="O18" r:id="rId51"/>
    <hyperlink xmlns:r="http://schemas.openxmlformats.org/officeDocument/2006/relationships" ref="K19" r:id="rId52"/>
    <hyperlink xmlns:r="http://schemas.openxmlformats.org/officeDocument/2006/relationships" ref="M19" r:id="rId53"/>
    <hyperlink xmlns:r="http://schemas.openxmlformats.org/officeDocument/2006/relationships" ref="O19" r:id="rId54"/>
    <hyperlink xmlns:r="http://schemas.openxmlformats.org/officeDocument/2006/relationships" ref="K20" r:id="rId55"/>
    <hyperlink xmlns:r="http://schemas.openxmlformats.org/officeDocument/2006/relationships" ref="M20" r:id="rId56"/>
    <hyperlink xmlns:r="http://schemas.openxmlformats.org/officeDocument/2006/relationships" ref="O20" r:id="rId57"/>
    <hyperlink xmlns:r="http://schemas.openxmlformats.org/officeDocument/2006/relationships" ref="K21" r:id="rId58"/>
    <hyperlink xmlns:r="http://schemas.openxmlformats.org/officeDocument/2006/relationships" ref="M21" r:id="rId59"/>
    <hyperlink xmlns:r="http://schemas.openxmlformats.org/officeDocument/2006/relationships" ref="O21" r:id="rId60"/>
    <hyperlink xmlns:r="http://schemas.openxmlformats.org/officeDocument/2006/relationships" ref="K22" r:id="rId61"/>
    <hyperlink xmlns:r="http://schemas.openxmlformats.org/officeDocument/2006/relationships" ref="M22" r:id="rId62"/>
    <hyperlink xmlns:r="http://schemas.openxmlformats.org/officeDocument/2006/relationships" ref="O22" r:id="rId63"/>
    <hyperlink xmlns:r="http://schemas.openxmlformats.org/officeDocument/2006/relationships" ref="K23" r:id="rId64"/>
    <hyperlink xmlns:r="http://schemas.openxmlformats.org/officeDocument/2006/relationships" ref="M23" r:id="rId65"/>
    <hyperlink xmlns:r="http://schemas.openxmlformats.org/officeDocument/2006/relationships" ref="O23" r:id="rId66"/>
    <hyperlink xmlns:r="http://schemas.openxmlformats.org/officeDocument/2006/relationships" ref="K24" r:id="rId67"/>
    <hyperlink xmlns:r="http://schemas.openxmlformats.org/officeDocument/2006/relationships" ref="M24" r:id="rId68"/>
    <hyperlink xmlns:r="http://schemas.openxmlformats.org/officeDocument/2006/relationships" ref="O24" r:id="rId69"/>
    <hyperlink xmlns:r="http://schemas.openxmlformats.org/officeDocument/2006/relationships" ref="K25" r:id="rId70"/>
    <hyperlink xmlns:r="http://schemas.openxmlformats.org/officeDocument/2006/relationships" ref="M25" r:id="rId71"/>
    <hyperlink xmlns:r="http://schemas.openxmlformats.org/officeDocument/2006/relationships" ref="O25" r:id="rId72"/>
    <hyperlink xmlns:r="http://schemas.openxmlformats.org/officeDocument/2006/relationships" ref="K26" r:id="rId73"/>
    <hyperlink xmlns:r="http://schemas.openxmlformats.org/officeDocument/2006/relationships" ref="M26" r:id="rId74"/>
    <hyperlink xmlns:r="http://schemas.openxmlformats.org/officeDocument/2006/relationships" ref="O26" r:id="rId75"/>
    <hyperlink xmlns:r="http://schemas.openxmlformats.org/officeDocument/2006/relationships" ref="K27" r:id="rId76"/>
    <hyperlink xmlns:r="http://schemas.openxmlformats.org/officeDocument/2006/relationships" ref="M27" r:id="rId77"/>
    <hyperlink xmlns:r="http://schemas.openxmlformats.org/officeDocument/2006/relationships" ref="O27" r:id="rId78"/>
    <hyperlink xmlns:r="http://schemas.openxmlformats.org/officeDocument/2006/relationships" ref="K28" r:id="rId79"/>
    <hyperlink xmlns:r="http://schemas.openxmlformats.org/officeDocument/2006/relationships" ref="M28" r:id="rId80"/>
    <hyperlink xmlns:r="http://schemas.openxmlformats.org/officeDocument/2006/relationships" ref="O28" r:id="rId81"/>
    <hyperlink xmlns:r="http://schemas.openxmlformats.org/officeDocument/2006/relationships" ref="K29" r:id="rId82"/>
    <hyperlink xmlns:r="http://schemas.openxmlformats.org/officeDocument/2006/relationships" ref="M29" r:id="rId83"/>
    <hyperlink xmlns:r="http://schemas.openxmlformats.org/officeDocument/2006/relationships" ref="O29" r:id="rId84"/>
    <hyperlink xmlns:r="http://schemas.openxmlformats.org/officeDocument/2006/relationships" ref="K30" r:id="rId85"/>
    <hyperlink xmlns:r="http://schemas.openxmlformats.org/officeDocument/2006/relationships" ref="M30" r:id="rId86"/>
    <hyperlink xmlns:r="http://schemas.openxmlformats.org/officeDocument/2006/relationships" ref="O30" r:id="rId87"/>
    <hyperlink xmlns:r="http://schemas.openxmlformats.org/officeDocument/2006/relationships" ref="K31" r:id="rId88"/>
    <hyperlink xmlns:r="http://schemas.openxmlformats.org/officeDocument/2006/relationships" ref="M31" r:id="rId89"/>
    <hyperlink xmlns:r="http://schemas.openxmlformats.org/officeDocument/2006/relationships" ref="O31" r:id="rId90"/>
    <hyperlink xmlns:r="http://schemas.openxmlformats.org/officeDocument/2006/relationships" ref="K32" r:id="rId91"/>
    <hyperlink xmlns:r="http://schemas.openxmlformats.org/officeDocument/2006/relationships" ref="M32" r:id="rId92"/>
    <hyperlink xmlns:r="http://schemas.openxmlformats.org/officeDocument/2006/relationships" ref="O32" r:id="rId93"/>
    <hyperlink xmlns:r="http://schemas.openxmlformats.org/officeDocument/2006/relationships" ref="K33" r:id="rId94"/>
    <hyperlink xmlns:r="http://schemas.openxmlformats.org/officeDocument/2006/relationships" ref="M33" r:id="rId95"/>
    <hyperlink xmlns:r="http://schemas.openxmlformats.org/officeDocument/2006/relationships" ref="O33" r:id="rId96"/>
    <hyperlink xmlns:r="http://schemas.openxmlformats.org/officeDocument/2006/relationships" ref="K34" r:id="rId97"/>
    <hyperlink xmlns:r="http://schemas.openxmlformats.org/officeDocument/2006/relationships" ref="M34" r:id="rId98"/>
    <hyperlink xmlns:r="http://schemas.openxmlformats.org/officeDocument/2006/relationships" ref="O34" r:id="rId99"/>
    <hyperlink xmlns:r="http://schemas.openxmlformats.org/officeDocument/2006/relationships" ref="K35" r:id="rId100"/>
    <hyperlink xmlns:r="http://schemas.openxmlformats.org/officeDocument/2006/relationships" ref="M35" r:id="rId101"/>
    <hyperlink xmlns:r="http://schemas.openxmlformats.org/officeDocument/2006/relationships" ref="O35" r:id="rId102"/>
    <hyperlink xmlns:r="http://schemas.openxmlformats.org/officeDocument/2006/relationships" ref="K36" r:id="rId103"/>
    <hyperlink xmlns:r="http://schemas.openxmlformats.org/officeDocument/2006/relationships" ref="M36" r:id="rId104"/>
    <hyperlink xmlns:r="http://schemas.openxmlformats.org/officeDocument/2006/relationships" ref="O36" r:id="rId105"/>
    <hyperlink xmlns:r="http://schemas.openxmlformats.org/officeDocument/2006/relationships" ref="K37" r:id="rId106"/>
    <hyperlink xmlns:r="http://schemas.openxmlformats.org/officeDocument/2006/relationships" ref="M37" r:id="rId107"/>
    <hyperlink xmlns:r="http://schemas.openxmlformats.org/officeDocument/2006/relationships" ref="O37" r:id="rId108"/>
    <hyperlink xmlns:r="http://schemas.openxmlformats.org/officeDocument/2006/relationships" ref="K38" r:id="rId109"/>
    <hyperlink xmlns:r="http://schemas.openxmlformats.org/officeDocument/2006/relationships" ref="M38" r:id="rId110"/>
    <hyperlink xmlns:r="http://schemas.openxmlformats.org/officeDocument/2006/relationships" ref="O38" r:id="rId111"/>
    <hyperlink xmlns:r="http://schemas.openxmlformats.org/officeDocument/2006/relationships" ref="K39" r:id="rId112"/>
    <hyperlink xmlns:r="http://schemas.openxmlformats.org/officeDocument/2006/relationships" ref="M39" r:id="rId113"/>
    <hyperlink xmlns:r="http://schemas.openxmlformats.org/officeDocument/2006/relationships" ref="O39" r:id="rId114"/>
    <hyperlink xmlns:r="http://schemas.openxmlformats.org/officeDocument/2006/relationships" ref="K40" r:id="rId115"/>
    <hyperlink xmlns:r="http://schemas.openxmlformats.org/officeDocument/2006/relationships" ref="M40" r:id="rId116"/>
    <hyperlink xmlns:r="http://schemas.openxmlformats.org/officeDocument/2006/relationships" ref="O40" r:id="rId117"/>
    <hyperlink xmlns:r="http://schemas.openxmlformats.org/officeDocument/2006/relationships" ref="K41" r:id="rId118"/>
    <hyperlink xmlns:r="http://schemas.openxmlformats.org/officeDocument/2006/relationships" ref="M41" r:id="rId119"/>
    <hyperlink xmlns:r="http://schemas.openxmlformats.org/officeDocument/2006/relationships" ref="O41" r:id="rId120"/>
    <hyperlink xmlns:r="http://schemas.openxmlformats.org/officeDocument/2006/relationships" ref="K42" r:id="rId121"/>
    <hyperlink xmlns:r="http://schemas.openxmlformats.org/officeDocument/2006/relationships" ref="M42" r:id="rId122"/>
    <hyperlink xmlns:r="http://schemas.openxmlformats.org/officeDocument/2006/relationships" ref="O42" r:id="rId123"/>
    <hyperlink xmlns:r="http://schemas.openxmlformats.org/officeDocument/2006/relationships" ref="K43" r:id="rId124"/>
    <hyperlink xmlns:r="http://schemas.openxmlformats.org/officeDocument/2006/relationships" ref="M43" r:id="rId125"/>
    <hyperlink xmlns:r="http://schemas.openxmlformats.org/officeDocument/2006/relationships" ref="O43" r:id="rId126"/>
    <hyperlink xmlns:r="http://schemas.openxmlformats.org/officeDocument/2006/relationships" ref="K44" r:id="rId127"/>
    <hyperlink xmlns:r="http://schemas.openxmlformats.org/officeDocument/2006/relationships" ref="M44" r:id="rId128"/>
    <hyperlink xmlns:r="http://schemas.openxmlformats.org/officeDocument/2006/relationships" ref="O44" r:id="rId129"/>
    <hyperlink xmlns:r="http://schemas.openxmlformats.org/officeDocument/2006/relationships" ref="K45" r:id="rId130"/>
    <hyperlink xmlns:r="http://schemas.openxmlformats.org/officeDocument/2006/relationships" ref="M45" r:id="rId131"/>
    <hyperlink xmlns:r="http://schemas.openxmlformats.org/officeDocument/2006/relationships" ref="O45" r:id="rId132"/>
    <hyperlink xmlns:r="http://schemas.openxmlformats.org/officeDocument/2006/relationships" ref="K46" r:id="rId133"/>
    <hyperlink xmlns:r="http://schemas.openxmlformats.org/officeDocument/2006/relationships" ref="M46" r:id="rId134"/>
    <hyperlink xmlns:r="http://schemas.openxmlformats.org/officeDocument/2006/relationships" ref="O46" r:id="rId135"/>
    <hyperlink xmlns:r="http://schemas.openxmlformats.org/officeDocument/2006/relationships" ref="K47" r:id="rId136"/>
    <hyperlink xmlns:r="http://schemas.openxmlformats.org/officeDocument/2006/relationships" ref="M47" r:id="rId137"/>
    <hyperlink xmlns:r="http://schemas.openxmlformats.org/officeDocument/2006/relationships" ref="O47" r:id="rId138"/>
    <hyperlink xmlns:r="http://schemas.openxmlformats.org/officeDocument/2006/relationships" ref="K48" r:id="rId139"/>
    <hyperlink xmlns:r="http://schemas.openxmlformats.org/officeDocument/2006/relationships" ref="M48" r:id="rId140"/>
    <hyperlink xmlns:r="http://schemas.openxmlformats.org/officeDocument/2006/relationships" ref="O48" r:id="rId141"/>
    <hyperlink xmlns:r="http://schemas.openxmlformats.org/officeDocument/2006/relationships" ref="K49" r:id="rId142"/>
    <hyperlink xmlns:r="http://schemas.openxmlformats.org/officeDocument/2006/relationships" ref="M49" r:id="rId143"/>
    <hyperlink xmlns:r="http://schemas.openxmlformats.org/officeDocument/2006/relationships" ref="O49" r:id="rId144"/>
    <hyperlink xmlns:r="http://schemas.openxmlformats.org/officeDocument/2006/relationships" ref="K50" r:id="rId145"/>
    <hyperlink xmlns:r="http://schemas.openxmlformats.org/officeDocument/2006/relationships" ref="M50" r:id="rId146"/>
    <hyperlink xmlns:r="http://schemas.openxmlformats.org/officeDocument/2006/relationships" ref="O50" r:id="rId147"/>
    <hyperlink xmlns:r="http://schemas.openxmlformats.org/officeDocument/2006/relationships" ref="K51" r:id="rId148"/>
    <hyperlink xmlns:r="http://schemas.openxmlformats.org/officeDocument/2006/relationships" ref="M51" r:id="rId149"/>
    <hyperlink xmlns:r="http://schemas.openxmlformats.org/officeDocument/2006/relationships" ref="O51" r:id="rId150"/>
  </hyperlinks>
  <printOptions horizontalCentered="1"/>
  <pageMargins left="0.7480314960629921" right="0.7480314960629921" top="0.984251968503937" bottom="0.984251968503937" header="0.5118110236220472" footer="0.5118110236220472"/>
  <pageSetup orientation="landscape" paperSize="8" scale="35" verticalDpi="0"/>
  <colBreaks count="1" manualBreakCount="1">
    <brk id="16" min="0" max="1048575" man="1"/>
  </colBreaks>
</worksheet>
</file>

<file path=xl/worksheets/sheet10.xml><?xml version="1.0" encoding="utf-8"?>
<worksheet xmlns="http://schemas.openxmlformats.org/spreadsheetml/2006/main">
  <sheetPr codeName="Sheet7">
    <tabColor rgb="FFFFFF00"/>
    <outlinePr summaryBelow="1" summaryRight="1"/>
    <pageSetUpPr/>
  </sheetPr>
  <dimension ref="A1:S23"/>
  <sheetViews>
    <sheetView view="pageBreakPreview" zoomScale="55" zoomScaleNormal="70" zoomScaleSheetLayoutView="55" workbookViewId="0">
      <selection activeCell="C3" sqref="C3"/>
    </sheetView>
  </sheetViews>
  <sheetFormatPr baseColWidth="8" defaultRowHeight="17.4"/>
  <cols>
    <col width="8.796875" customWidth="1" style="1" min="1" max="3"/>
    <col width="16" customWidth="1" style="2" min="4" max="4"/>
    <col width="23" customWidth="1" style="2" min="5" max="5"/>
    <col width="20.19921875" customWidth="1" style="2" min="6" max="6"/>
    <col width="38.3984375" customWidth="1" style="2" min="7" max="7"/>
    <col width="55.59765625" customWidth="1" style="87" min="8" max="8"/>
    <col width="16.59765625" customWidth="1" style="2" min="9" max="9"/>
    <col width="48.8984375" customWidth="1" style="87" min="10" max="10"/>
    <col width="14.19921875" customWidth="1" style="1" min="11" max="11"/>
    <col width="62.59765625" customWidth="1" style="87" min="12" max="12"/>
    <col width="12.19921875" customWidth="1" style="1" min="13" max="13"/>
    <col width="53.796875" customWidth="1" style="87" min="14" max="14"/>
    <col width="15.09765625" customWidth="1" style="84" min="15" max="15"/>
    <col width="18" customWidth="1" style="1" min="16" max="16"/>
    <col width="45" customWidth="1" style="84" min="17" max="17"/>
    <col width="22" customWidth="1" style="84" min="18" max="18"/>
    <col width="45" customWidth="1" style="1" min="19" max="35"/>
    <col width="8.796875" customWidth="1" style="1" min="36" max="65"/>
    <col width="8.796875" customWidth="1" style="1" min="66" max="16384"/>
  </cols>
  <sheetData>
    <row r="1" ht="31.2" customHeight="1">
      <c r="A1" s="7" t="inlineStr">
        <is>
          <t>L2 코드</t>
        </is>
      </c>
      <c r="B1" s="7" t="inlineStr">
        <is>
          <t>L3 코드</t>
        </is>
      </c>
      <c r="C1" s="7" t="inlineStr">
        <is>
          <t>L3 대공종명</t>
        </is>
      </c>
      <c r="D1" s="7" t="inlineStr">
        <is>
          <t>L4 코드</t>
        </is>
      </c>
      <c r="E1" s="7" t="inlineStr">
        <is>
          <t>작업단위 (Level 4 Task/Activity)</t>
        </is>
      </c>
      <c r="F1" s="7" t="inlineStr">
        <is>
          <t>주관</t>
        </is>
      </c>
      <c r="G1" s="7" t="inlineStr">
        <is>
          <t>목적</t>
        </is>
      </c>
      <c r="H1" s="86" t="inlineStr">
        <is>
          <t>방법</t>
        </is>
      </c>
      <c r="I1" s="7" t="inlineStr">
        <is>
          <t>산출물(결과)</t>
        </is>
      </c>
      <c r="J1" s="86" t="inlineStr">
        <is>
          <t>표준서 (Standard) 요약</t>
        </is>
      </c>
      <c r="K1" s="6" t="inlineStr">
        <is>
          <t>표준서 파일 (HTML)</t>
        </is>
      </c>
      <c r="L1" s="86" t="inlineStr">
        <is>
          <t>수행지침 (Guideline) 요약</t>
        </is>
      </c>
      <c r="M1" s="6" t="inlineStr">
        <is>
          <t>수행지침 파일 (HTML)</t>
        </is>
      </c>
      <c r="N1" s="86" t="inlineStr">
        <is>
          <t>체크리스트 (Checklist) 요약</t>
        </is>
      </c>
      <c r="O1" s="8" t="inlineStr">
        <is>
          <t>체크리스트 파일 (HTML)</t>
        </is>
      </c>
      <c r="P1" s="9" t="inlineStr">
        <is>
          <t>비고</t>
        </is>
      </c>
      <c r="Q1" s="9" t="inlineStr">
        <is>
          <t>첨부서류 연계 상세 설계기준</t>
        </is>
      </c>
      <c r="R1" s="9" t="inlineStr">
        <is>
          <t>집행단계 리스크 체크리스트</t>
        </is>
      </c>
      <c r="S1" s="9" t="inlineStr">
        <is>
          <t>협력사 시공/공사관리 자문</t>
        </is>
      </c>
    </row>
    <row r="2" ht="203.4" customHeight="1">
      <c r="A2" s="10" t="inlineStr">
        <is>
          <t>9000</t>
        </is>
      </c>
      <c r="B2" s="10" t="inlineStr">
        <is>
          <t>9000-1</t>
        </is>
      </c>
      <c r="C2" s="83" t="inlineStr">
        <is>
          <t>신호분야</t>
        </is>
      </c>
      <c r="D2" s="10" t="inlineStr">
        <is>
          <t>9000-1-1</t>
        </is>
      </c>
      <c r="E2" s="89" t="inlineStr">
        <is>
          <t>설계적정성 검토</t>
        </is>
      </c>
      <c r="F2" s="10" t="inlineStr">
        <is>
          <t>현장 공무팀</t>
        </is>
      </c>
      <c r="G2" s="83" t="inlineStr">
        <is>
          <t>설계적정성 및 시공성 검토
설계오류 확인 및 수량, 내역의 오류확인</t>
        </is>
      </c>
      <c r="H2" s="90" t="inlineStr">
        <is>
          <t>- 입찰 요구사항에 대한 설계 반영여부 검토
- 설계도서 및 표준 자재(트램신호, 도로신호) 반영여부 확인
- 본선 및 차량기지 규모에 맞는 시스템 및 전자연동장치 구성의 적정성 검토
- 본선 및 차량기지에 맞는 트램신호, 도로신호 설비 배치의 적정성 검토
- SIL 인증제품 및 철도형식승인 제품적용, 경찰정 표준에 부합하는 제품 여부 확인
- 독과점 / 외산 / 특허 여부 확인
- 현장설치 시공성 및 원가 Risk 검토
- 공정계획의 적정성 검토</t>
        </is>
      </c>
      <c r="I2" s="83" t="inlineStr">
        <is>
          <t>회의록, 설계검토보고서</t>
        </is>
      </c>
      <c r="J2" s="11" t="inlineStr">
        <is>
          <t>1) 설계적정성 검토(WBS 9000-1-1) 과업 달성을 위해 SIL 4 전자연동장치 및 응답지연(≤100ms) 성능 사양의 설계도서 대조를 완료하라.
2) 철도 표준 자재(KRS) 및 분산형 CBI 용량, 선로전환기(4.5~6.0kN) 적정성을 검증하고 승인 보고서를 완수하라.</t>
        </is>
      </c>
      <c r="K2" s="17" t="inlineStr">
        <is>
          <t>👉 [더블클릭] 표준서 열기 📄</t>
        </is>
      </c>
      <c r="L2" s="11" t="inlineStr">
        <is>
          <t>1) 입찰 요구사항 상의 기술 스펙 및 자재 규격을 시방서와 사전 대조하십시오.
2) 분산형 CBI 및 선로전환기 용량의 현장 시공성 및 원가 Risk를 철저히 검토하여 승인을 획득하십시오.</t>
        </is>
      </c>
      <c r="M2" s="17" t="inlineStr">
        <is>
          <t>👉 [더블클릭] 수행지침 열기 📄</t>
        </is>
      </c>
      <c r="N2" s="11" t="inlineStr">
        <is>
          <t>1) 입찰 안내서 상의 SIL 4 등급 및 무선지연(≤100ms) 사양이 설계 도서에 반영되었는가?
2) 철도 표준 자재(KRS) 규격 및 매립 선로전환기 전환력(4.5~6.0kN) 기준을 적격 확인하였는가?</t>
        </is>
      </c>
      <c r="O2" s="17" t="inlineStr">
        <is>
          <t>👉 [더블클릭] 체크리스트 열기 📄</t>
        </is>
      </c>
      <c r="P2" s="10" t="n"/>
      <c r="Q2" s="83" t="inlineStr">
        <is>
          <t>● 관련분야 설계기준서 준수</t>
        </is>
      </c>
      <c r="R2" s="85" t="inlineStr">
        <is>
          <t>1) 👉 [더블클릭] 체크리스트 열기 📄</t>
        </is>
      </c>
      <c r="S2" s="83" t="n"/>
    </row>
    <row r="3" ht="139.8" customHeight="1">
      <c r="A3" s="10" t="inlineStr">
        <is>
          <t>9000</t>
        </is>
      </c>
      <c r="B3" s="10" t="inlineStr">
        <is>
          <t>9000-1</t>
        </is>
      </c>
      <c r="C3" s="83" t="inlineStr">
        <is>
          <t>신호분야</t>
        </is>
      </c>
      <c r="D3" s="10" t="inlineStr">
        <is>
          <t>9000-1-2</t>
        </is>
      </c>
      <c r="E3" s="89" t="inlineStr">
        <is>
          <t>착수준비 KOM</t>
        </is>
      </c>
      <c r="F3" s="10" t="inlineStr">
        <is>
          <t>현장소장</t>
        </is>
      </c>
      <c r="G3" s="83" t="inlineStr">
        <is>
          <t>신호(트램신호, 도로신호)공사 발주 전 착수수립
신호공사 발주전략 수립
발주조건 CP 사항 검토</t>
        </is>
      </c>
      <c r="H3" s="91" t="inlineStr">
        <is>
          <t>- 설계(트램신호, 도로신호) 및 현장여건 검토
- 신호설비 공사 시공성 및 하자발생 리스크 검토
- 본사 실무 협의를 거쳐 현장에 전파토록 현장공무 검토
1) 공통계획 및 보완지침 계획 수립
2) 외주 발주/수급 사전 준비 및 기술 지원
3) 시공전 신호자재 확인 및 기술 지원
4) 예상내역 및 누락 아이템 보완
- 신호설비 공사 시공실적 업체Pool 검토
- 현설조건 검토
1) 공정계획 및 신호자재 제작 기간
2) 안전성 검증을 위한 SIL 인증보유
3) 철도안전용품 인증 및 경찰청 표준규격
4) 예비품 및 소모품 확인
5) 시운전 신호자재 운전 및 교육 지원
6) 예산내역서 누락 아이템 여부</t>
        </is>
      </c>
      <c r="I3" s="83" t="inlineStr">
        <is>
          <t>본사 외주/수행/협의 부서, 착수 KOM 결과보고서, 현장설명서</t>
        </is>
      </c>
      <c r="J3" s="11" t="inlineStr">
        <is>
          <t>1) 착수준비 KOM(WBS 9000-1-2) 과업을 위해 신호(트램/도로) 공사 발주전략 수립 및 CP사항 사전 검토를 완료하라.
2) 외주 수급, 신기술자재 확인, 내역 누락 방지 조치 및 SIL 인증보유 적격 업체 Pool을 확정하라.</t>
        </is>
      </c>
      <c r="K3" s="17" t="inlineStr">
        <is>
          <t>👉 [더블클릭] 표준서 열기 📄</t>
        </is>
      </c>
      <c r="L3" s="11" t="inlineStr">
        <is>
          <t>1) 신호공사 발주 전 착수 수립 시 본사 실무 협의를 거쳐 현장 전파 및 시공성 리스크를 점검하십시오.
2) 공정계획, 안전성 SIL 인증, 무상 A/S 및 철도안전법 준수 자재 투입 계획을 사전에 확인하십시오.</t>
        </is>
      </c>
      <c r="M3" s="53" t="inlineStr">
        <is>
          <t>👉 [더블클릭] 수행지침 열기 📄</t>
        </is>
      </c>
      <c r="N3" s="11" t="inlineStr">
        <is>
          <t>1) 신호공사 발주 조건 CP 사항 및 하자발생 리스크 사전 검토 수칙을 수행하였는가?
2) 적격 업체 Pool 검토 및 내역 누락 방지 조치, SIL 인증 보유 여부를 확인하였는가?</t>
        </is>
      </c>
      <c r="O3" s="17" t="inlineStr">
        <is>
          <t>👉 [더블클릭] 체크리스트 열기 📄</t>
        </is>
      </c>
      <c r="P3" s="10" t="n"/>
      <c r="Q3" s="83" t="n"/>
      <c r="R3" s="85" t="inlineStr">
        <is>
          <t>1) 👉 [더블클릭] 체크리스트 열기 📄</t>
        </is>
      </c>
      <c r="S3" s="83" t="n"/>
    </row>
    <row r="4" ht="221.4" customHeight="1">
      <c r="A4" s="10" t="inlineStr">
        <is>
          <t>9000</t>
        </is>
      </c>
      <c r="B4" s="10" t="inlineStr">
        <is>
          <t>9000-1</t>
        </is>
      </c>
      <c r="C4" s="83" t="inlineStr">
        <is>
          <t>신호분야</t>
        </is>
      </c>
      <c r="D4" s="10" t="inlineStr">
        <is>
          <t>9000-1-3</t>
        </is>
      </c>
      <c r="E4" s="89" t="inlineStr">
        <is>
          <t>착수전 Big Room 회의</t>
        </is>
      </c>
      <c r="F4" s="10" t="inlineStr">
        <is>
          <t>현장소장</t>
        </is>
      </c>
      <c r="G4" s="83" t="inlineStr">
        <is>
          <t>신규공사 수행 시, 선행공정 간섭 및 공종 Risk에 대해 대책 수립</t>
        </is>
      </c>
      <c r="H4" s="92" t="inlineStr">
        <is>
          <t>본사(신호/토목/노반/전기/건축/기계/통신) 및 분야별 세부설계 검토
- 토목/궤도 I/F 사항 검토(시공계획 확인, 궤도 시공전 블록아웃 I/F 협의)
- 전기/통신/차량 I/F 사항 검토(분야별 I/F 사항 정리)
- 시운전 I/F 사항 검토(시운전 계획, 시험항목, 시험기간, 배치인원, 사전점검사항 등)
- 관제 및 운영사 I/F 사항 검토(관제분야 및 운영사 요구사항등)
- 인원, 자재, 장비 투입계획, 양중장비 운영계획 검토
- 분야별 인터페이스 협의(궤도, 토목, 건축, 기계설비) 표준 지침서 배포
- 현장 및 본사 Risk 요인 도출 및 대책 수립
- 타 공정 및 분야별 Risk 분석 대안(도로/궤도/신호공사 수행 공동조정/안전)
- 본사/현장/협력사 협의체 구축을 통한 세부내용 검토
- 신호자재/기자재 반입로 및 야적장/제작사 공장 검토
- 신호자재 성능보증: 유사사례 적용실적 및 성능보증 사항 검토
- 하자 예방: 타 프로젝트 하자사례 검토 후, 동일제품 적용 방지방안 수립
- SIL(Safety Integration Level) 인증제품 도입:  전자연동장치, 차상신호장치, 차축검지기, 선로전환기
- 당사의 장비 안전검사 기준 공유, 장비검사 계획 확인
- 관계기관 인허가 및 협의
1) 화성시/수원시 교통센터, 경찰청 교차로 신호 운영 체계 및 연계 협의</t>
        </is>
      </c>
      <c r="I4" s="83" t="inlineStr">
        <is>
          <t>Big Room 회의록(지침 전파 서명)</t>
        </is>
      </c>
      <c r="J4" s="11" t="inlineStr">
        <is>
          <t>1) 착수전 Big Room 회의(WBS 9000-1-3)를 통해 본사 및 각 분야(토목/궤도/전기/건축/기계/통신) 간 시공 인터페이스를 대조하라.
2) 궤도 시공 전 블록아웃, 배수로, 선로전환기, 차축검지기 설치 I/F 항목을 사전 확정하라.</t>
        </is>
      </c>
      <c r="K4" s="17" t="inlineStr">
        <is>
          <t>👉 [더블클릭] 표준서 열기 📄</t>
        </is>
      </c>
      <c r="L4" s="11" t="inlineStr">
        <is>
          <t>1) 신규공사 수행 시 선행공정 간섭 및 공종 Risk 대책 회의를 주관하십시오.
2) 궤도 시공 전 블록아웃 및 선로전환기 설치 I/F에 대해 각 분야 담당자와의 협의록을 작성하십시오.</t>
        </is>
      </c>
      <c r="M4" s="17" t="inlineStr">
        <is>
          <t>👉 [더블클릭] 수행지침 열기 📄</t>
        </is>
      </c>
      <c r="N4" s="11" t="inlineStr">
        <is>
          <t>1) 본사 및 분야별(토목/궤도/전기/건축/통신) 세부설계 인터페이스를 검토하였는가?
2) 궤도 시공 전 블록아웃 및 차축검지기 설치 I/F 사전 대책을 수립하였는가?</t>
        </is>
      </c>
      <c r="O4" s="17" t="inlineStr">
        <is>
          <t>👉 [더블클릭] 체크리스트 열기 📄</t>
        </is>
      </c>
      <c r="P4" s="10" t="n"/>
      <c r="Q4" s="83" t="n"/>
      <c r="R4" s="85" t="inlineStr">
        <is>
          <t>1) 👉 [더블클릭] 체크리스트 열기 📄</t>
        </is>
      </c>
      <c r="S4" s="83" t="n"/>
    </row>
    <row r="5" ht="187.2" customHeight="1">
      <c r="A5" s="10" t="inlineStr">
        <is>
          <t>9000</t>
        </is>
      </c>
      <c r="B5" s="10" t="inlineStr">
        <is>
          <t>9000-1</t>
        </is>
      </c>
      <c r="C5" s="83" t="inlineStr">
        <is>
          <t>신호분야</t>
        </is>
      </c>
      <c r="D5" s="10" t="inlineStr">
        <is>
          <t>9000-1-4</t>
        </is>
      </c>
      <c r="E5" s="89" t="inlineStr">
        <is>
          <t>전기 / 통신 / 건축 / 도로 / 궤도 / 차량 등 인터페이스 협의</t>
        </is>
      </c>
      <c r="F5" s="10" t="inlineStr">
        <is>
          <t>현장 시스템팀</t>
        </is>
      </c>
      <c r="G5" s="83" t="inlineStr">
        <is>
          <t>완벽한 시스템 조율 및 인터페이스 협의</t>
        </is>
      </c>
      <c r="H5" s="93" t="inlineStr">
        <is>
          <t>- 토목/궤도분야 인터페이스
1) 단계별 시공계획 확인
2) 궤도 시공전 블록아웃, 배수로, 선로전환기, 융설장치, 차축검지기 설치 I/F
- 전기/통신/도로/차량 인터페이스
1) (전기) 상용전원투입 및 접지단자함 설치
2) (통신) 통신망 연결을 위한 회선제공
3) (통신) 공용Pole 사용에 따른 인터페이스(굴착공사/공용 배관 배선 활용 등)
4) (차량) 차상신호 및 열차종합제어장치(TCMS) 인터페이스 협의
5) (차량) 지상신호설비 및 선형에 따른 지상/차상 장치 연계방안 협의
6) (전기/통신) UPS 통합 사용 관련 Feeder 공급 또는 할당 
7) (건축) 기계실 및 관제실 A/F 설치, 면척 및 기기 배치, 출입문 크기 등</t>
        </is>
      </c>
      <c r="I5" s="83" t="inlineStr">
        <is>
          <t>인터페이스 회의록 및 관리대장</t>
        </is>
      </c>
      <c r="J5" s="11" t="inlineStr">
        <is>
          <t>1) 시스템 조율(WBS 9000-1-4)을 위해 전기/통신/건축/도로/궤도/차량 분야 간 시공 인터페이스를 조율하라.
2) 궤도 시공 전 블록아웃, 배수로, 융설장치, 차축검지기 설치 I/F 승인서를 완수하라.</t>
        </is>
      </c>
      <c r="K5" s="17" t="inlineStr">
        <is>
          <t>👉 [더블클릭] 표준서 열기 📄</t>
        </is>
      </c>
      <c r="L5" s="11" t="inlineStr">
        <is>
          <t>1) 토목/궤도 단계별 시공계획을 확인하고 기계실 배선 및 현장 장치 설치 I/F를 조율하십시오.
2) 차축검지기 및 융설장치 체결 부위의 치수 적정성을 서면으로 확인하십시오.</t>
        </is>
      </c>
      <c r="M5" s="17" t="inlineStr">
        <is>
          <t>👉 [더블클릭] 수행지침 열기 📄</t>
        </is>
      </c>
      <c r="N5" s="11" t="inlineStr">
        <is>
          <t>1) 토목/궤도 시공 전 블록아웃 및 배수로 설치 I/F를 사전 확인하였는가?
2) 차량기지 및 본선 선로전환기/차축검지기 체결 인터페이스를 조율하였는가?</t>
        </is>
      </c>
      <c r="O5" s="17" t="inlineStr">
        <is>
          <t>👉 [더블클릭] 체크리스트 열기 📄</t>
        </is>
      </c>
      <c r="P5" s="10" t="n"/>
      <c r="Q5" s="83" t="n"/>
      <c r="R5" s="85" t="inlineStr">
        <is>
          <t>1) 👉 [더블클릭] 체크리스트 열기 📄</t>
        </is>
      </c>
      <c r="S5" s="83" t="n"/>
    </row>
    <row r="6" ht="104.4" customHeight="1">
      <c r="A6" s="10" t="inlineStr">
        <is>
          <t>9000</t>
        </is>
      </c>
      <c r="B6" s="10" t="inlineStr">
        <is>
          <t>9000-1</t>
        </is>
      </c>
      <c r="C6" s="83" t="inlineStr">
        <is>
          <t>신호분야</t>
        </is>
      </c>
      <c r="D6" s="10" t="inlineStr">
        <is>
          <t>9000-1-5</t>
        </is>
      </c>
      <c r="E6" s="89" t="inlineStr">
        <is>
          <t>도로 / 궤도 인터페이스 협의</t>
        </is>
      </c>
      <c r="F6" s="10" t="inlineStr">
        <is>
          <t>현장 시스템팀</t>
        </is>
      </c>
      <c r="G6" s="83" t="inlineStr">
        <is>
          <t>선로선형 설계를 위한 사전조정 및 트램 운행 최적화</t>
        </is>
      </c>
      <c r="H6" s="90" t="inlineStr">
        <is>
          <t>- 유관기관 피드백 수렴/조정 및 요구사항 확인
- 궤도 분기기 통과 요구사항 검토 및 확인
- 궤도/토목 단계별 시공계획 확인
- 궤도 시공전 블록아웃 등 I/F사항 협의
- 선로전환기 어스박스 설치, 차축검지기 설치, 궤도 천공위치등 협의
- 배수설비 설치 관련 사항 협의</t>
        </is>
      </c>
      <c r="I6" s="83" t="inlineStr">
        <is>
          <t>궤도/신호 요구사항 및 회의록</t>
        </is>
      </c>
      <c r="J6" s="11" t="inlineStr">
        <is>
          <t>1) 도로/궤도 I/F(WBS 9000-1-5) 달성을 위해 선로선형 및 궤도 분기기 통과 요구사항을 검토하라.
2) 도심 매립 궤도용 선로전환기(전환력 4.5~6.0kN, 유격 ≤1.5mm) 설치 조건 및 유관기관 피드백을 반영하라.</t>
        </is>
      </c>
      <c r="K6" s="17" t="inlineStr">
        <is>
          <t>👉 [더블클릭] 표준서 열기 📄</t>
        </is>
      </c>
      <c r="L6" s="11" t="inlineStr">
        <is>
          <t>1) 유관기관 피드백 수렴 및 궤도 분기기 통과 요구사항을 사전 조정하십시오.
2) 도로 교차로 노면 매립 궤도 시공계획과 선로전환기 설치 위치 적정성을 확인하십시오.</t>
        </is>
      </c>
      <c r="M6" s="53" t="inlineStr">
        <is>
          <t>👉 [더블클릭] 수행지침 열기 📄</t>
        </is>
      </c>
      <c r="N6" s="11" t="inlineStr">
        <is>
          <t>1) 궤도 분기기 통과 요구사항 및 선로선형 사전조정 결과를 확인하였는가?
2) 노면 매립형 선로전환기(전환력 4.5~6.0kN, 유격 ≤1.5mm) 시공조건을 검토하였는가?</t>
        </is>
      </c>
      <c r="O6" s="17" t="inlineStr">
        <is>
          <t>👉 [더블클릭] 체크리스트 열기 📄</t>
        </is>
      </c>
      <c r="P6" s="10" t="n"/>
      <c r="Q6" s="83" t="n"/>
      <c r="R6" s="85" t="inlineStr">
        <is>
          <t>1) 👉 [더블클릭] 체크리스트 열기 📄</t>
        </is>
      </c>
      <c r="S6" s="83" t="n"/>
    </row>
    <row r="7" ht="133.8" customHeight="1">
      <c r="A7" s="10" t="inlineStr">
        <is>
          <t>9000</t>
        </is>
      </c>
      <c r="B7" s="10" t="inlineStr">
        <is>
          <t>9000-1</t>
        </is>
      </c>
      <c r="C7" s="83" t="inlineStr">
        <is>
          <t>신호분야</t>
        </is>
      </c>
      <c r="D7" s="10" t="inlineStr">
        <is>
          <t>9000-1-6</t>
        </is>
      </c>
      <c r="E7" s="89" t="inlineStr">
        <is>
          <t>시공전 인터페이스 협의</t>
        </is>
      </c>
      <c r="F7" s="10" t="inlineStr">
        <is>
          <t>현장 시스템팀</t>
        </is>
      </c>
      <c r="G7" s="83" t="inlineStr">
        <is>
          <t>시스템의 설계 보완 검토를 진행하고 완벽한 연계를 위한 설계</t>
        </is>
      </c>
      <c r="H7" s="91" t="inlineStr">
        <is>
          <t>- 토목/궤도분야 인터페이스
1) 단계별 시공계획 확인
2) 궤도 시공전 블록아웃, 배수로, 선로전환기, 융설장치, 차축검지기 설치 I/F
- 전기/통신/도로/차량 인터페이스
1) (전기) 상용전원투입 및 접지단자함 설치
2) (통신) 통신망 연결을 위한 회선제공
3) (통신) 공용Pole 사용에 따른 인터페이스(굴착공사/공용 배관 배선 활용 등)
4) (차량) 차상신호 및 열차종합제어장치(TCMS) 인터페이스 협의
5) (차량) 지상신호설비 및 선형에 따른 지상/차상 장치 연계방안 협의
6) (전기/통신) UPS 통합 사용 관련 Feeder 공급 또는 할당 
7) (건축) 기계실 및 관제실 A/F 설치, 면척 및 기기 배치, 출입문 크기 등</t>
        </is>
      </c>
      <c r="I7" s="83" t="inlineStr">
        <is>
          <t>인터페이스 보고서 및 인터페이스 회의록</t>
        </is>
      </c>
      <c r="J7" s="11" t="inlineStr">
        <is>
          <t>1) 시공전 인터페이스(WBS 9000-1-6)를 통해 시스템 설계 보완 및 연계 방안을 정밀 검토하라.
2) 배관배선 인입구, 구조물 간섭 및 궤도 시공 전 설치 항목을 개시 전 차단하라.</t>
        </is>
      </c>
      <c r="K7" s="17" t="inlineStr">
        <is>
          <t>👉 [더블클릭] 표준서 열기 📄</t>
        </is>
      </c>
      <c r="L7" s="11" t="inlineStr">
        <is>
          <t>1) 시스템 설계 보완검토를 통해 연계 시공 시 발생 가능한 간섭을 사전에 제거하십시오.
2) 궤도 시공 전 블록아웃 및 케이블 인입 배관의 간섭 여부를 정밀 확인하십시오.</t>
        </is>
      </c>
      <c r="M7" s="17" t="inlineStr">
        <is>
          <t>👉 [더블클릭] 수행지침 열기 📄</t>
        </is>
      </c>
      <c r="N7" s="11" t="inlineStr">
        <is>
          <t>1) 시스템 설계 보완 검토를 통해 연계 설치 방안을 확정하였는가?
2) 케이블 인입 배관 및 궤도 블록아웃 간섭을 사전 제거하였는가?</t>
        </is>
      </c>
      <c r="O7" s="17" t="inlineStr">
        <is>
          <t>👉 [더블클릭] 체크리스트 열기 📄</t>
        </is>
      </c>
      <c r="P7" s="10" t="n"/>
      <c r="Q7" s="83" t="n"/>
      <c r="R7" s="85" t="inlineStr">
        <is>
          <t>1) 👉 [더블클릭] 체크리스트 열기 📄</t>
        </is>
      </c>
      <c r="S7" s="83" t="n"/>
    </row>
    <row r="8" ht="127.8" customHeight="1">
      <c r="A8" s="10" t="inlineStr">
        <is>
          <t>9000</t>
        </is>
      </c>
      <c r="B8" s="10" t="inlineStr">
        <is>
          <t>9000-1</t>
        </is>
      </c>
      <c r="C8" s="83" t="inlineStr">
        <is>
          <t>신호분야</t>
        </is>
      </c>
      <c r="D8" s="10" t="inlineStr">
        <is>
          <t>9000-1-7</t>
        </is>
      </c>
      <c r="E8" s="89" t="inlineStr">
        <is>
          <t>시스템 장비검토 사전 협의사항 도출 및 검토</t>
        </is>
      </c>
      <c r="F8" s="10" t="inlineStr">
        <is>
          <t>현장 시스템팀</t>
        </is>
      </c>
      <c r="G8" s="83" t="inlineStr">
        <is>
          <t>완벽한 시스템 연계 및 동작성 확보를 위한 가이드라인 제공</t>
        </is>
      </c>
      <c r="H8" s="83" t="inlineStr">
        <is>
          <t>- 성능보증 기능성 신호자재 단품 Spec 검토
- 제조사 자체 시험 및 인증 확인
- 설치 시공대장 및 제작도서 승인 서명</t>
        </is>
      </c>
      <c r="I8" s="83" t="inlineStr">
        <is>
          <t>자체 검증서 및 제작도서 승인 서류</t>
        </is>
      </c>
      <c r="J8" s="11" t="inlineStr">
        <is>
          <t>1) 장비 사전검토(WBS 9000-1-7)를 위해 기능성 신호자재 단품 Spec 및 성능보증 사양을 검토하라.
2) 제조사 자체 시험 성적서, KRS 표준 규격 및 제작도서 승인 서명을 완수하라.</t>
        </is>
      </c>
      <c r="K8" s="17" t="inlineStr">
        <is>
          <t>👉 [더블클릭] 표준서 열기 📄</t>
        </is>
      </c>
      <c r="L8" s="11" t="inlineStr">
        <is>
          <t>1) 신호자재 단품 Spec 검토 및 제조사 자체 시험성적서를 확인하십시오.
2) 제작도서 승인 서명 및 현장 투입 전 성능보증 기능을 검증하십시오.</t>
        </is>
      </c>
      <c r="M8" s="17" t="inlineStr">
        <is>
          <t>👉 [더블클릭] 수행지침 열기 📄</t>
        </is>
      </c>
      <c r="N8" s="11" t="inlineStr">
        <is>
          <t>1) 성능보증 기능성 신호자재 단품 Spec 검토를 완료하였는가?
2) 제조사 공장검수 성적서 및 제작도서 승인 서명을 확인하였는가?</t>
        </is>
      </c>
      <c r="O8" s="17" t="inlineStr">
        <is>
          <t>👉 [더블클릭] 체크리스트 열기 📄</t>
        </is>
      </c>
      <c r="P8" s="10" t="n"/>
      <c r="Q8" s="83" t="n"/>
      <c r="R8" s="85" t="inlineStr">
        <is>
          <t>1) 👉 [더블클릭] 체크리스트 열기 📄</t>
        </is>
      </c>
      <c r="S8" s="83" t="n"/>
    </row>
    <row r="9" ht="104.4" customHeight="1">
      <c r="A9" s="10" t="inlineStr">
        <is>
          <t>9000</t>
        </is>
      </c>
      <c r="B9" s="10" t="inlineStr">
        <is>
          <t>9000-1</t>
        </is>
      </c>
      <c r="C9" s="83" t="inlineStr">
        <is>
          <t>신호분야</t>
        </is>
      </c>
      <c r="D9" s="10" t="inlineStr">
        <is>
          <t>9000-1-8</t>
        </is>
      </c>
      <c r="E9" s="89" t="inlineStr">
        <is>
          <t>관제 및 운영사 인터페이스 협의</t>
        </is>
      </c>
      <c r="F9" s="10" t="inlineStr">
        <is>
          <t>현장 시스템팀</t>
        </is>
      </c>
      <c r="G9" s="83" t="inlineStr">
        <is>
          <t>관제 및 운영사 요구사항 사전 반영 및 시공신뢰 확보</t>
        </is>
      </c>
      <c r="H9" s="90" t="inlineStr">
        <is>
          <t>- 시운전시 조율사항 및 예비사항 도출
- 신호제어 운영사 실무 조율 및 협의
- 철도관제를 위한 관제사 조작반 및 화면표시 정보에 대한 사전협의 항목 도출
- 설계내용 중 신호설비 운영 및 유지보수자 편의성 향상을 위한 기능추가 / 불필요 기능 삭제 사전협의</t>
        </is>
      </c>
      <c r="I9" s="83" t="inlineStr">
        <is>
          <t>인터페이스 회의록 및 관리대장</t>
        </is>
      </c>
      <c r="J9" s="11" t="inlineStr">
        <is>
          <t>1) 관제/운영사 I/F(WBS 9000-1-8) 달성을 위해 종합관제실(OCC) 요구사항을 시공 전 반영하라.
2) 철도관제를 위한 관제사 조작반 MMI 및 예비관제 1:1 실시간 DB 동기화를 검증하라.</t>
        </is>
      </c>
      <c r="K9" s="17" t="inlineStr">
        <is>
          <t>👉 [더블클릭] 표준서 열기 📄</t>
        </is>
      </c>
      <c r="L9" s="11" t="inlineStr">
        <is>
          <t>1) 관제 및 운영사 실무 조율을 거쳐 시운전 시 예비사항 및 조작반 화면표시 정보를 도출하십시오.
2) 관제센터 MMI 화면 및 조작반 정보의 실시간 동기화 상태를 확인하십시오.</t>
        </is>
      </c>
      <c r="M9" s="17" t="inlineStr">
        <is>
          <t>👉 [더블클릭] 수행지침 열기 📄</t>
        </is>
      </c>
      <c r="N9" s="11" t="inlineStr">
        <is>
          <t>1) 시운전 시 조율사항 및 예비사항 도출을 완료하였는가?
2) 철도관제를 위한 관제사 조작반 MMI 표시 정보를 사전 검토하였는가?</t>
        </is>
      </c>
      <c r="O9" s="17" t="inlineStr">
        <is>
          <t>👉 [더블클릭] 체크리스트 열기 📄</t>
        </is>
      </c>
      <c r="P9" s="10" t="n"/>
      <c r="Q9" s="83" t="n"/>
      <c r="R9" s="85" t="inlineStr">
        <is>
          <t>1) 👉 [더블클릭] 체크리스트 열기 📄</t>
        </is>
      </c>
      <c r="S9" s="83" t="n"/>
    </row>
    <row r="10" ht="104.4" customHeight="1">
      <c r="A10" s="10" t="inlineStr">
        <is>
          <t>9000</t>
        </is>
      </c>
      <c r="B10" s="10" t="inlineStr">
        <is>
          <t>9000-1</t>
        </is>
      </c>
      <c r="C10" s="83" t="inlineStr">
        <is>
          <t>신호분야</t>
        </is>
      </c>
      <c r="D10" s="10" t="inlineStr">
        <is>
          <t>9000-1-9</t>
        </is>
      </c>
      <c r="E10" s="89" t="inlineStr">
        <is>
          <t>자재 / 인원 / 장비 및 투입 사전 검토</t>
        </is>
      </c>
      <c r="F10" s="10" t="inlineStr">
        <is>
          <t>현장 시스템팀 / 협력사 / 관리감독자</t>
        </is>
      </c>
      <c r="G10" s="83" t="inlineStr">
        <is>
          <t>자재/인원/장비 투입 계획 수립</t>
        </is>
      </c>
      <c r="H10" s="83" t="inlineStr">
        <is>
          <t>현장 여건 및 수량을 기준으로 투입 인원, 장비 계획 규명
- 현장여건 및 궤도 시공계획 검토에 따른 시공계획 작성
- 시공계획 작성에 따른 인력투입계획, 자재수급계획, 장비투입계획 작성
- 시공계획 작성에 따른 관계기관(경찰청, 지자체 교통센터) 협의사항 도출
- 공사에 따른 민원 또는 발주처 관계기관 요구사항 점검</t>
        </is>
      </c>
      <c r="I10" s="83" t="inlineStr">
        <is>
          <t>세부 공정계획 수립 및 보고</t>
        </is>
      </c>
      <c r="J10" s="11" t="inlineStr">
        <is>
          <t>1) 자재/인원/장비 계획(WBS 9000-1-9) 수립을 위해 현장 수량 기준 투입 계획을 승인하라.
2) 현장 여건 및 궤도 시공계획 맞춤형 투입 schedule 작성 및 수급 조정을 완수하라.</t>
        </is>
      </c>
      <c r="K10" s="17" t="inlineStr">
        <is>
          <t>👉 [더블클릭] 표준서 열기 📄</t>
        </is>
      </c>
      <c r="L10" s="11" t="inlineStr">
        <is>
          <t>1) 현장 여건 및 수량을 기준으로 투입 인원, 장비 계획서를 작성하여 감리단 승인을 받으십시오.
2) 궤도 시공계획과 연계된 자재 반입 및 작업원 투입 스케줄을 조정하십시오.</t>
        </is>
      </c>
      <c r="M10" s="17" t="inlineStr">
        <is>
          <t>👉 [더블클릭] 수행지침 열기 📄</t>
        </is>
      </c>
      <c r="N10" s="11" t="inlineStr">
        <is>
          <t>1) 현장 수량 기준 투입 인원 및 장비 계획 규명서를 작성하였는가?
2) 궤도 시공계획 연계 투입 스케줄 감리단 승인을 획득하였는가?</t>
        </is>
      </c>
      <c r="O10" s="17" t="inlineStr">
        <is>
          <t>👉 [더블클릭] 체크리스트 열기 📄</t>
        </is>
      </c>
      <c r="P10" s="10" t="n"/>
      <c r="Q10" s="83" t="n"/>
      <c r="R10" s="85" t="inlineStr">
        <is>
          <t>1) 👉 [더블클릭] 체크리스트 열기 📄</t>
        </is>
      </c>
      <c r="S10" s="83" t="n"/>
    </row>
    <row r="11" ht="104.4" customHeight="1">
      <c r="A11" s="10" t="inlineStr">
        <is>
          <t>9000</t>
        </is>
      </c>
      <c r="B11" s="10" t="inlineStr">
        <is>
          <t>9000-1</t>
        </is>
      </c>
      <c r="C11" s="83" t="inlineStr">
        <is>
          <t>신호분야</t>
        </is>
      </c>
      <c r="D11" s="10" t="inlineStr">
        <is>
          <t>9000-1-10</t>
        </is>
      </c>
      <c r="E11" s="89" t="inlineStr">
        <is>
          <t>장비반입 및 안전교육</t>
        </is>
      </c>
      <c r="F11" s="10" t="inlineStr">
        <is>
          <t>현장 시스템팀 / 안전팀</t>
        </is>
      </c>
      <c r="G11" s="83" t="inlineStr">
        <is>
          <t>장비 반입 준비 및 안전교육 완료</t>
        </is>
      </c>
      <c r="H11" s="90" t="inlineStr">
        <is>
          <t>- 도로 굴착장비, 고속작업 시 사용할 장비, 인양장비등 관련 장비 계획 검토
- 장비 spec 확인, 장비 성능 점검
- 작업원 안전교육 실시</t>
        </is>
      </c>
      <c r="I11" s="83" t="inlineStr">
        <is>
          <t>측정기록서, 안전교육 결과서</t>
        </is>
      </c>
      <c r="J11" s="11" t="inlineStr">
        <is>
          <t>1) 장비안전(WBS 9000-1-10) 확보를 위해 굴착/고속작업/인양 장비 Spec 점검 및 성능 검사를 시행하라.
2) 작업원 특별 안전교육 및 위험성평가 이행 확인서를 승인 완수하라.</t>
        </is>
      </c>
      <c r="K11" s="17" t="inlineStr">
        <is>
          <t>👉 [더블클릭] 표준서 열기 📄</t>
        </is>
      </c>
      <c r="L11" s="11" t="inlineStr">
        <is>
          <t>1) 도로 굴착 및 인양 장비 Spec 확인과 장비 성능 점검을 반입 전 수행하십시오.
2) 신호 공사 작업원에 대한 특별 안전교육 및 보호구 착용 상태를 확인하십시오.</t>
        </is>
      </c>
      <c r="M11" s="53" t="inlineStr">
        <is>
          <t>👉 [더블클릭] 수행지침 열기 📄</t>
        </is>
      </c>
      <c r="N11" s="11" t="inlineStr">
        <is>
          <t>1) 도로 굴착 및 인양 장비 Spec 점검 및 성능 검사를 완료하였는가?
2) 신호 공사 작업원 특별 안전교육 실시 기록을 확인하였는가?</t>
        </is>
      </c>
      <c r="O11" s="17" t="inlineStr">
        <is>
          <t>👉 [더블클릭] 체크리스트 열기 📄</t>
        </is>
      </c>
      <c r="P11" s="10" t="n"/>
      <c r="Q11" s="83" t="n"/>
      <c r="R11" s="85" t="inlineStr">
        <is>
          <t>1) 👉 [더블클릭] 체크리스트 열기 📄</t>
        </is>
      </c>
      <c r="S11" s="83" t="n"/>
    </row>
    <row r="12" ht="104.4" customHeight="1">
      <c r="A12" s="10" t="inlineStr">
        <is>
          <t>9000</t>
        </is>
      </c>
      <c r="B12" s="10" t="inlineStr">
        <is>
          <t>9000-1</t>
        </is>
      </c>
      <c r="C12" s="83" t="inlineStr">
        <is>
          <t>신호분야</t>
        </is>
      </c>
      <c r="D12" s="10" t="inlineStr">
        <is>
          <t>9000-1-11</t>
        </is>
      </c>
      <c r="E12" s="89" t="inlineStr">
        <is>
          <t>자재 반입 및 검수</t>
        </is>
      </c>
      <c r="F12" s="10" t="inlineStr">
        <is>
          <t>현장소장 및 발주청/공동감리단</t>
        </is>
      </c>
      <c r="G12" s="83" t="inlineStr">
        <is>
          <t>공장제품 품질 확보를 위한 자재 검수 및 검사</t>
        </is>
      </c>
      <c r="H12" s="90" t="inlineStr">
        <is>
          <t>- 자재공급승인원 제출 및 승인
- 공장검수 계획 제출 및 승인
- 각종 자재 사양 확인(KS, 표준규격, 독/과점 규격 등)
- 자재 현지 반입 및 반입동선, 반입기간, 반입장소 검토
- 승인된 자재 상세사양 확인(Serial number 등록)
- 제품의 규격, 수량 도면과 일치하는지 검토</t>
        </is>
      </c>
      <c r="I12" s="83" t="inlineStr">
        <is>
          <t>자재검수요청서 / 자재수입검사서</t>
        </is>
      </c>
      <c r="J12" s="11" t="inlineStr">
        <is>
          <t>1) 자재검수(WBS 9000-1-11) 강화를 위해 자재공급승인원(MAR) 제출 및 공장검수를 시행하라.
2) 반입 자재의 KS/KRS 규격 시험성적서 대조 검수 및 품질 보증을 완수하라.</t>
        </is>
      </c>
      <c r="K12" s="17" t="inlineStr">
        <is>
          <t>👉 [더블클릭] 표준서 열기 📄</t>
        </is>
      </c>
      <c r="L12" s="11" t="inlineStr">
        <is>
          <t>1) 자재공급승인원(MAR) 및 공장검수 계획서를 제출하여 감리단 승인을 획득하십시오.
2) 자재 현지 반입 시 사양서, 시험성적서 및 표준규격 부합 여부를 인수 검수하십시오.</t>
        </is>
      </c>
      <c r="M12" s="17" t="inlineStr">
        <is>
          <t>👉 [더블클릭] 수행지침 열기 📄</t>
        </is>
      </c>
      <c r="N12" s="11" t="inlineStr">
        <is>
          <t>1) 자재공급승인원(MAR) 제출 및 공장검수 승인을 획득하였는가?
2) 반입 자재 사양 확인(KS, KRS 표준규격) 및 수량 검수를 시행하였는가?</t>
        </is>
      </c>
      <c r="O12" s="17" t="inlineStr">
        <is>
          <t>👉 [더블클릭] 체크리스트 열기 📄</t>
        </is>
      </c>
      <c r="P12" s="10" t="n"/>
      <c r="Q12" s="83" t="n"/>
      <c r="R12" s="85" t="inlineStr">
        <is>
          <t>1) 👉 [더블클릭] 체크리스트 열기 📄</t>
        </is>
      </c>
      <c r="S12" s="83" t="n"/>
    </row>
    <row r="13" ht="104.4" customHeight="1">
      <c r="A13" s="10" t="inlineStr">
        <is>
          <t>9000</t>
        </is>
      </c>
      <c r="B13" s="10" t="inlineStr">
        <is>
          <t>9000-1</t>
        </is>
      </c>
      <c r="C13" s="83" t="inlineStr">
        <is>
          <t>신호분야</t>
        </is>
      </c>
      <c r="D13" s="10" t="inlineStr">
        <is>
          <t>9000-1-12</t>
        </is>
      </c>
      <c r="E13" s="89" t="inlineStr">
        <is>
          <t>시스템설비 설치 (현장/기능실)</t>
        </is>
      </c>
      <c r="F13" s="10" t="inlineStr">
        <is>
          <t>현장소장 및 분야별 전담팀</t>
        </is>
      </c>
      <c r="G13" s="83" t="inlineStr">
        <is>
          <t>현장설비 및 기기실의 자체 최적의 설치작업</t>
        </is>
      </c>
      <c r="H13" s="83" t="inlineStr">
        <is>
          <t>- 기계 장치 위치 및 마감 동선 확인
- 승인된 자재 상세사양 확인 (Serial number 등록)
- 제품의 규격, 수량 도면과 일치하는지 검토
- 배선/기능실 배선 상태 및 신호 인터페이스 확인
- 배선/기능실 케이블 및 전선 배선을 시운전 및 계측기 결과에 준하여 시행
- 케이블 단선부 및 배선 등 내부 배선 및 배선 결과 검수서</t>
        </is>
      </c>
      <c r="I13" s="83" t="inlineStr">
        <is>
          <t>검사 결과서</t>
        </is>
      </c>
      <c r="J13" s="11" t="inlineStr">
        <is>
          <t>1) 시스템설비 설치(WBS 9000-1-12)를 위해 기계실 랙 마감 동선 및 승인 자재 상세 사양을 확인하라.
2) 현장 신호기, 선로전환기 기초 볼트 체결 및 도면 일치 여부를 정밀 시공하라.</t>
        </is>
      </c>
      <c r="K13" s="17" t="inlineStr">
        <is>
          <t>👉 [더블클릭] 표준서 열기 📄</t>
        </is>
      </c>
      <c r="L13" s="11" t="inlineStr">
        <is>
          <t>1) 기계실 장치 위치, 마감 동선 및 승인 자재 Serial Number 등록을 확인하십시오.
2) 현장 설치 설비의 규격, 수량 및 도면 일치 여부를 정밀 측정하여 시공하십시오.</t>
        </is>
      </c>
      <c r="M13" s="17" t="inlineStr">
        <is>
          <t>👉 [더블클릭] 수행지침 열기 📄</t>
        </is>
      </c>
      <c r="N13" s="11" t="inlineStr">
        <is>
          <t>1) 기계실 장치 위치, 마감 동선 및 승인 자재 사양을 확인하였는가?
2) 현장 신호기/선로전환기 기초 볼트 체결 및 규격 일치 여부를 시공하였는가?</t>
        </is>
      </c>
      <c r="O13" s="17" t="inlineStr">
        <is>
          <t>👉 [더블클릭] 체크리스트 열기 📄</t>
        </is>
      </c>
      <c r="P13" s="10" t="n"/>
      <c r="Q13" s="83" t="inlineStr">
        <is>
          <t>● 관련분야 설계기준서 준수</t>
        </is>
      </c>
      <c r="R13" s="85" t="inlineStr">
        <is>
          <t>1) 👉 [더블클릭] 체크리스트 열기 📄</t>
        </is>
      </c>
      <c r="S13" s="83" t="n"/>
    </row>
    <row r="14" ht="104.4" customHeight="1">
      <c r="A14" s="10" t="inlineStr">
        <is>
          <t>9000</t>
        </is>
      </c>
      <c r="B14" s="10" t="inlineStr">
        <is>
          <t>9000-1</t>
        </is>
      </c>
      <c r="C14" s="83" t="inlineStr">
        <is>
          <t>신호분야</t>
        </is>
      </c>
      <c r="D14" s="10" t="inlineStr">
        <is>
          <t>9000-1-14</t>
        </is>
      </c>
      <c r="E14" s="89" t="inlineStr">
        <is>
          <t>시스템 단위시험</t>
        </is>
      </c>
      <c r="F14" s="10" t="inlineStr">
        <is>
          <t>현장 시스템팀</t>
        </is>
      </c>
      <c r="G14" s="83" t="inlineStr">
        <is>
          <t>철도안전법상 신호시스템 규정에 대한 설치 후 현황시험 및 기능 확보</t>
        </is>
      </c>
      <c r="H14" s="90" t="inlineStr">
        <is>
          <t>- 자체단독시험 및 관계부서 공동 시험수행 여부
- 지상신호장치 및 관계부서 단위시험 결과서
- 감리단이 승인한 검사 및 시험 점검표 (ITP/ITC) 절차에 따라 수행
- 지상신호설비 단위시험 항목
1) 신호기장치 / 선로전환기 장치 / 전자연동장치 / 열차자동방호장치 / 신호전원장치 / 전선로 / 안전설비 / 기타설비 / 트램신호기 / TPD 등
- 관제설비
1) 서버설치 / 네트워크 장치 / 콘솔장치 / 대형표시반 / LDTS</t>
        </is>
      </c>
      <c r="I14" s="83" t="inlineStr">
        <is>
          <t>자체단독시험 및 시험결과서 (단독단위)</t>
        </is>
      </c>
      <c r="J14" s="11" t="inlineStr">
        <is>
          <t>1) 단위시험(WBS 9000-1-14) 수행을 위해 철도안전법 규정에 따른 설치 후 단독 현황시험을 시행하라.
2) 신호기, 선로전환기, 전원장치, 차축검지기 개별 ITP/ITC 시험 결과서를 승인 완수하라.</t>
        </is>
      </c>
      <c r="K14" s="17" t="inlineStr">
        <is>
          <t>👉 [더블클릭] 표준서 열기 📄</t>
        </is>
      </c>
      <c r="L14" s="11" t="inlineStr">
        <is>
          <t>1) 자체 단독시험 및 관계부서 공동 시험수행 여부를 확인하십시오.
2) 감리단 승인 점검표(ITP/ITC) 절차에 따라 지상신호장치 단위시험 결과서를 작성하십시오.</t>
        </is>
      </c>
      <c r="M14" s="17" t="inlineStr">
        <is>
          <t>👉 [더블클릭] 수행지침 열기 📄</t>
        </is>
      </c>
      <c r="N14" s="11" t="inlineStr">
        <is>
          <t>1) 지상신호장치 및 관계부서 단위시험 결과서를 확인하였는가?
2) 감리단 승인 점검표(ITP/ITC) 절차에 따라 개별 단독 현황시험을 수행하였는가?</t>
        </is>
      </c>
      <c r="O14" s="17" t="inlineStr">
        <is>
          <t>👉 [더블클릭] 체크리스트 열기 📄</t>
        </is>
      </c>
      <c r="P14" s="10" t="n"/>
      <c r="Q14" s="83" t="inlineStr">
        <is>
          <t>● 관련분야 설계기준서 준수</t>
        </is>
      </c>
      <c r="R14" s="85" t="inlineStr">
        <is>
          <t>1) 👉 [더블클릭] 체크리스트 열기 📄</t>
        </is>
      </c>
      <c r="S14" s="83" t="n"/>
    </row>
    <row r="15" ht="104.4" customHeight="1">
      <c r="A15" s="10" t="inlineStr">
        <is>
          <t>9000</t>
        </is>
      </c>
      <c r="B15" s="10" t="inlineStr">
        <is>
          <t>9000-1</t>
        </is>
      </c>
      <c r="C15" s="83" t="inlineStr">
        <is>
          <t>신호분야</t>
        </is>
      </c>
      <c r="D15" s="10" t="inlineStr">
        <is>
          <t>9000-1-15</t>
        </is>
      </c>
      <c r="E15" s="89" t="inlineStr">
        <is>
          <t>신호시스템 통합시험</t>
        </is>
      </c>
      <c r="F15" s="10" t="inlineStr">
        <is>
          <t>현장 시스템팀</t>
        </is>
      </c>
      <c r="G15" s="83" t="inlineStr">
        <is>
          <t>신호시스템 단독시험 완료 후 타 분야 연계 및 시설 유효성 확인</t>
        </is>
      </c>
      <c r="H15" s="90" t="inlineStr">
        <is>
          <t>- 관계성과 연계 인터페이스 시험
- 지상 및 차량 인터페이스
- 지상 및 차량 인터페이스 시 시험 결과표
- 감리단이 승인한 검사 및 시험 점검표 (ITP/ITC) 절차에 따라 수행
1) 관제실 및 현장 연동장치간 인터페이스 시험
2) 지상 및 차상 인터페이스 시험
3) 도로신호/트램신호 인터페이스 시험(우선신호 시험)</t>
        </is>
      </c>
      <c r="I15" s="83" t="inlineStr">
        <is>
          <t>자체단독시험 및 시험결과서 (단독단위)</t>
        </is>
      </c>
      <c r="J15" s="11" t="inlineStr">
        <is>
          <t>1) 통합시험(WBS 9000-1-15)을 통해 단독시험 완료 후 관제 ➔ CBI 전자연동장치 통합 연동을 검증하라.
2) 차상-지상 무선(LTE-R) 도로-트램 우선신호 연계 시험 결과표를 승인 완수하라.</t>
        </is>
      </c>
      <c r="K15" s="17" t="inlineStr">
        <is>
          <t>👉 [더블클릭] 표준서 열기 📄</t>
        </is>
      </c>
      <c r="L15" s="11" t="inlineStr">
        <is>
          <t>1) 관제실 및 현장 연동장치 간 인터페이스 통합시험을 시행하십시오.
2) 지상-차상 인터페이스 및 도로/트램 우선신호 무선 연계시험 결과표를 작성하십시오.</t>
        </is>
      </c>
      <c r="M15" s="17" t="inlineStr">
        <is>
          <t>👉 [더블클릭] 수행지침 열기 📄</t>
        </is>
      </c>
      <c r="N15" s="11" t="inlineStr">
        <is>
          <t>1) 관제실 및 현장 연동장치 간 인터페이스 시험을 수행하였는가?
2) 지상-차상 인터페이스 및 도로-트램 우선신호 연계 시험을 검증하였는가?</t>
        </is>
      </c>
      <c r="O15" s="17" t="inlineStr">
        <is>
          <t>👉 [더블클릭] 체크리스트 열기 📄</t>
        </is>
      </c>
      <c r="P15" s="10" t="n"/>
      <c r="Q15" s="83" t="inlineStr">
        <is>
          <t>● 관련분야 설계기준서 준수</t>
        </is>
      </c>
      <c r="R15" s="85" t="inlineStr">
        <is>
          <t>1) 👉 [더블클릭] 체크리스트 열기 📄</t>
        </is>
      </c>
      <c r="S15" s="83" t="n"/>
    </row>
    <row r="16" ht="104.4" customHeight="1">
      <c r="A16" s="10" t="inlineStr">
        <is>
          <t>9000</t>
        </is>
      </c>
      <c r="B16" s="10" t="inlineStr">
        <is>
          <t>9000-1</t>
        </is>
      </c>
      <c r="C16" s="83" t="inlineStr">
        <is>
          <t>신호분야</t>
        </is>
      </c>
      <c r="D16" s="10" t="inlineStr">
        <is>
          <t>9000-1-16</t>
        </is>
      </c>
      <c r="E16" s="89" t="inlineStr">
        <is>
          <t>공종별 시험</t>
        </is>
      </c>
      <c r="F16" s="10" t="inlineStr">
        <is>
          <t>현장 시스템팀</t>
        </is>
      </c>
      <c r="G16" s="83" t="inlineStr">
        <is>
          <t>철도안전기준에 따른 법정 / 설계기준 / 신기술 / 시운전 등의 요구사항의 적합성 검증</t>
        </is>
      </c>
      <c r="H16" s="90" t="inlineStr">
        <is>
          <t>- 신기술공법 등 신공법 적용
- 자료정리 및 단위 시험
- 신기술공법/기능성/현장성 단위 시험 결과서
- 현장설비 시험
1) 신호기 장치: 신호기 설치 / 투시거리 및 정상 동작시험
2) 신호부속기(진로표시기): 진로표시기 설치 및 정상 동작시험
3) 차축검지기 설치 및 정상 동작시험
4) 선로전환기 설치상태 확인시험
5) 트램신호기, TPD, 설치 및 동작시험
6) 교차로 영상유고 시스템 설치 및 동작시험
- 신호기계실 설비 시험
1) 전원공급장치 이중화 확인 및 절체 시험 수행
2) 전자연동장치 설치 및 정상 동작시험
3) 전자열쇠 정상 작동상태 확인
4) 차축검지기부 설치 및 정상 동작시험
- 관제설비 시험
1) 관제실: 운영관제실 MMI 장치 동작상태
2) 신호컴퓨터실: 신호컴퓨터실 서버 및 네트워크 정상 동작상태 확인
3) 전원장치 정상 동작상태 확인</t>
        </is>
      </c>
      <c r="I16" s="83" t="inlineStr">
        <is>
          <t>공종별 시험 결과보고서</t>
        </is>
      </c>
      <c r="J16" s="11" t="inlineStr">
        <is>
          <t>1) 공종별 시험(WBS 9000-1-16)을 위해 신호기, 진로표시기, 선로전환기, 차축검지기 현장 동작시험을 시행하라.
2) 신호기계실 전원 2중화 절체 시험 및 관제 CTC 서버 정상 동작 시험을 완수하라.</t>
        </is>
      </c>
      <c r="K16" s="17" t="inlineStr">
        <is>
          <t>👉 [더블클릭] 표준서 열기 📄</t>
        </is>
      </c>
      <c r="L16" s="11" t="inlineStr">
        <is>
          <t>1) 현장설비(신호기 투시거리, 선로전환기 쇄정, 차축검지기) 동작시험을 시행하십시오.
2) 기계실 전원공급장치 이중화 절체 시험 및 관제 서버 정상 동작상태를 확인하십시오.</t>
        </is>
      </c>
      <c r="M16" s="17" t="inlineStr">
        <is>
          <t>👉 [더블클릭] 수행지침 열기 📄</t>
        </is>
      </c>
      <c r="N16" s="11" t="inlineStr">
        <is>
          <t>1) 신호기 투시거리/진로표시기 및 선로전환기 쇄정 동작시험을 수행하였는가?
2) 기계실 전원공급장치 이중화 절체 시험 및 관제 서버 동작을 검증하였는가?</t>
        </is>
      </c>
      <c r="O16" s="17" t="inlineStr">
        <is>
          <t>👉 [더블클릭] 체크리스트 열기 📄</t>
        </is>
      </c>
      <c r="P16" s="10" t="n"/>
      <c r="Q16" s="83" t="inlineStr">
        <is>
          <t>● 관련분야 설계기준서 준수</t>
        </is>
      </c>
      <c r="R16" s="85" t="inlineStr">
        <is>
          <t>1) 👉 [더블클릭] 체크리스트 열기 📄</t>
        </is>
      </c>
      <c r="S16" s="83" t="n"/>
    </row>
    <row r="17" ht="104.4" customHeight="1">
      <c r="A17" s="10" t="inlineStr">
        <is>
          <t>9000</t>
        </is>
      </c>
      <c r="B17" s="10" t="inlineStr">
        <is>
          <t>9000-1</t>
        </is>
      </c>
      <c r="C17" s="83" t="inlineStr">
        <is>
          <t>신호분야</t>
        </is>
      </c>
      <c r="D17" s="10" t="inlineStr">
        <is>
          <t>9000-1-17</t>
        </is>
      </c>
      <c r="E17" s="89" t="inlineStr">
        <is>
          <t>차량 투입 전 점검</t>
        </is>
      </c>
      <c r="F17" s="10" t="inlineStr">
        <is>
          <t>현장소장 및 시공전담팀</t>
        </is>
      </c>
      <c r="G17" s="83" t="inlineStr">
        <is>
          <t>차량 시험운행 전 철저한 안전대책 수립 및 품질성 확보 여부 확인</t>
        </is>
      </c>
      <c r="H17" s="90" t="inlineStr">
        <is>
          <t>- 현장의 시설물 설치상태 점검
1) 연동검사(설비동작, 진로취급 및 신호현시 시험 등)
2) 신호 기계실 내 시스템 검사(연동장치, 열차제어시스템 등)
3) 전원장치 시험(UPS 및 배터리)
4) 신호 기계실 내부 방재예방 설비(소화기, 접지저항값 측정결과)
5) 신호기 시공상태(설치 위치의 적정성, 신호기와 건축물과의 건축한계 적정여부 등)
6) 선로전환기 시공상태 확인(선로전환기 전환 및 표시회로 구성 등)
7) 전선류 시공상태 확인(케이블 단말처리 및 접속개소, 선명찰 절연저항 측정값 등)
8) 기구함, 접속함 등 시공상태 확인(기초 시공적정여부, 전선 인입구, 접지설비, 볼트류 체결 상태 등)
9) 본선의 시설물 성능장애 점검
- 건축한계 및 차량한계
- 가공선로: 폭(3,100mm)/높이(3,800mm) 및 차량한계: 폭(2,700mm)/높이(3,600mm) 정렬선 개시
- 수전 및 전압 점검</t>
        </is>
      </c>
      <c r="I17" s="83" t="inlineStr">
        <is>
          <t>차량 투입 전 점검 결과 보고서</t>
        </is>
      </c>
      <c r="J17" s="11" t="inlineStr">
        <is>
          <t>1) 차량 투입 전 점검(WBS 9000-1-17)을 통해 연동검사 및 기계실 방재/접지저항 측정을 시행하라.
2) 건축한계/차량한계 이격 정밀 측정 및 전원장치(UPS) 성능을 최종 검증하라.</t>
        </is>
      </c>
      <c r="K17" s="17" t="inlineStr">
        <is>
          <t>👉 [더블클릭] 표준서 열기 📄</t>
        </is>
      </c>
      <c r="L17" s="11" t="inlineStr">
        <is>
          <t>1) 연동검사(설비동작, 진로취급) 및 신호기 시공상태 적정성을 점검하십시오.
2) 건축한계(폭 3.1m/높이 3.8m) 이격 측정 및 기계실 UPS/방재예방 설비를 확인하십시오.</t>
        </is>
      </c>
      <c r="M17" s="17" t="inlineStr">
        <is>
          <t>👉 [더블클릭] 수행지침 열기 📄</t>
        </is>
      </c>
      <c r="N17" s="11" t="inlineStr">
        <is>
          <t>1) 연동검사 및 기계실 시스템/UPS 시험을 완료하였는가?
2) 신호기와 건축물 간 건축한계 정밀 측정 및 방재설비를 확인하였는가?</t>
        </is>
      </c>
      <c r="O17" s="17" t="inlineStr">
        <is>
          <t>👉 [더블클릭] 체크리스트 열기 📄</t>
        </is>
      </c>
      <c r="P17" s="10" t="n"/>
      <c r="Q17" s="83" t="inlineStr">
        <is>
          <t>● 관련분야 설계기준서 준수</t>
        </is>
      </c>
      <c r="R17" s="85" t="inlineStr">
        <is>
          <t>1) 👉 [더블클릭] 체크리스트 열기 📄</t>
        </is>
      </c>
      <c r="S17" s="83" t="n"/>
    </row>
    <row r="18" ht="104.4" customHeight="1">
      <c r="A18" s="10" t="inlineStr">
        <is>
          <t>9000</t>
        </is>
      </c>
      <c r="B18" s="10" t="inlineStr">
        <is>
          <t>9000-1</t>
        </is>
      </c>
      <c r="C18" s="83" t="inlineStr">
        <is>
          <t>신호분야</t>
        </is>
      </c>
      <c r="D18" s="10" t="inlineStr">
        <is>
          <t>9000-1-18</t>
        </is>
      </c>
      <c r="E18" s="89" t="inlineStr">
        <is>
          <t>차량 시운전</t>
        </is>
      </c>
      <c r="F18" s="10" t="inlineStr">
        <is>
          <t>현장 시스템팀</t>
        </is>
      </c>
      <c r="G18" s="83" t="inlineStr">
        <is>
          <t>철도안전법상 철도기술기준에 적합하게 시운전 수행 여부(철도노선 규정)</t>
        </is>
      </c>
      <c r="H18" s="90" t="inlineStr">
        <is>
          <t>- 철도기술기준(궤도/철도차량 안전성) 준수 여부
1) 속도/제동 테스트수행 여부
2) 차량, 신호, 통신 시스템간 인터페이스 시험
- 철도안전법 제26조(철도차량 형식승인) 기준 준수
1) 주요 외관검사 및 치수검사
2) 주요기기 기능검사(제어전원 투입확인, 집전장치 동작확인, 추진제어장치 동작확인 등)
- 차상신호장치 포함시 시행(차상신호장치는 차량제작사 공급 or 신호설비 공급사 공급)
1) 지·차상 연계동작시험
2) 차량, 신호, 통신 시스템간 인터페이스 시험
3) 열차제어 시스템 기능시험
- 센터간 I/F 시험
1) 교통관제센터/트램관제센터간 정보전송 상태
2) 차량 위치검지 시험</t>
        </is>
      </c>
      <c r="I18" s="83" t="inlineStr">
        <is>
          <t>철도차량 안전성 결과 보고서</t>
        </is>
      </c>
      <c r="J18" s="11" t="inlineStr">
        <is>
          <t>1) 차량 시운전(WBS 9000-1-18) 수행 시 철도안전법 제26조 형식승인 기준 준수 여부를 검증하라.
2) 속도/제동 테스트, 차상-지상 연계동작 및 열차제어 시스템 기능시험을 완수하라.</t>
        </is>
      </c>
      <c r="K18" s="17" t="inlineStr">
        <is>
          <t>👉 [더블클릭] 표준서 열기 📄</t>
        </is>
      </c>
      <c r="L18" s="11" t="inlineStr">
        <is>
          <t>1) 철도기술기준에 따라 속도/제동 테스트 및 주요기기 제어전원 투입을 검사하십시오.
2) 차상신호장치 지·차상 연계동작시험 및 열차제어 시스템 기능시험을 시행하십시오.</t>
        </is>
      </c>
      <c r="M18" s="17" t="inlineStr">
        <is>
          <t>👉 [더블클릭] 수행지침 열기 📄</t>
        </is>
      </c>
      <c r="N18" s="11" t="inlineStr">
        <is>
          <t>1) 철도기술기준 준수 속도/제동 테스트 및 주요기기 검사를 시행하였는가?
2) 차상-지상 연계동작시험 및 차량-신호-통신 I/F 시험을 검증하였는가?</t>
        </is>
      </c>
      <c r="O18" s="17" t="inlineStr">
        <is>
          <t>👉 [더블클릭] 체크리스트 열기 📄</t>
        </is>
      </c>
      <c r="P18" s="10" t="n"/>
      <c r="Q18" s="83" t="inlineStr">
        <is>
          <t>● 관련분야 설계기준서 준수</t>
        </is>
      </c>
      <c r="R18" s="85" t="inlineStr">
        <is>
          <t>1) 👉 [더블클릭] 체크리스트 열기 📄</t>
        </is>
      </c>
      <c r="S18" s="83" t="n"/>
    </row>
    <row r="19" ht="104.4" customHeight="1">
      <c r="A19" s="10" t="inlineStr">
        <is>
          <t>9000</t>
        </is>
      </c>
      <c r="B19" s="10" t="inlineStr">
        <is>
          <t>9000-1</t>
        </is>
      </c>
      <c r="C19" s="83" t="inlineStr">
        <is>
          <t>신호분야</t>
        </is>
      </c>
      <c r="D19" s="10" t="inlineStr">
        <is>
          <t>9000-1-19</t>
        </is>
      </c>
      <c r="E19" s="89" t="inlineStr">
        <is>
          <t>운영자 교육시행</t>
        </is>
      </c>
      <c r="F19" s="10" t="inlineStr">
        <is>
          <t>현장 시스템팀</t>
        </is>
      </c>
      <c r="G19" s="83" t="inlineStr">
        <is>
          <t>운영요원(기관사 및 안전관리)을 위한 주행/유지 교육시행</t>
        </is>
      </c>
      <c r="H19" s="90" t="inlineStr">
        <is>
          <t>- 시스템안전 교육(철도차량 안전점검 요령)
- 차량, 신호, 통신 시스템간 인터페이스 사용방법 및 조작 교육
- 관제센터와의 연계 기계실/차량내 장치(DID 보드 등) 운영 및 테스트
- 시스템공급  장비제작사에 의한 운영자 및 유지보수자 교육
1) (관제설비) CTC서버, 콘솔컴퓨터 등
2) (신호 기계실) 전자연동장치, 궤도회로장치 등
3) (현장설비) 신호기, 선로전환기, 튜닝유니트 등</t>
        </is>
      </c>
      <c r="I19" s="83" t="inlineStr">
        <is>
          <t>운영자훈련 및 기술단계에서 운영지침서</t>
        </is>
      </c>
      <c r="J19" s="11" t="inlineStr">
        <is>
          <t>1) 운영자 교육(WBS 9000-1-19)을 위해 기관사 및 유지보수 요원 대상 시스템 안전 교육을 시행하라.
2) 장비 제작사에 의한 CTC/CBI/현장설비 조작·정비 기술 교육 완료 이수증을 승인하라.</t>
        </is>
      </c>
      <c r="K19" s="17" t="inlineStr">
        <is>
          <t>👉 [더블클릭] 표준서 열기 📄</t>
        </is>
      </c>
      <c r="L19" s="11" t="inlineStr">
        <is>
          <t>1) 철도차량 안전점검 요령 및 시스템 간 조작 방법에 대한 운영자 교육을 시행하십시오.
2) CTC 서버, 전자연동장치, 현장 신호기/선로전환기 교육 이수 현황을 확인하십시오.</t>
        </is>
      </c>
      <c r="M19" s="17" t="inlineStr">
        <is>
          <t>👉 [더블클릭] 수행지침 열기 📄</t>
        </is>
      </c>
      <c r="N19" s="11" t="inlineStr">
        <is>
          <t>1) 기관사 및 유지보수요원 대상 시스템 안전 교육을 시행하였는가?
2) 장비 제작사에 의한 CTC/CBI/현장설비 조작교육을 완료하였는가?</t>
        </is>
      </c>
      <c r="O19" s="17" t="inlineStr">
        <is>
          <t>👉 [더블클릭] 체크리스트 열기 📄</t>
        </is>
      </c>
      <c r="P19" s="10" t="n"/>
      <c r="Q19" s="83" t="inlineStr">
        <is>
          <t>● 관련분야 설계기준서 준수</t>
        </is>
      </c>
      <c r="R19" s="85" t="inlineStr">
        <is>
          <t>1) 👉 [더블클릭] 체크리스트 열기 📄</t>
        </is>
      </c>
      <c r="S19" s="83" t="n"/>
    </row>
    <row r="20" ht="104.4" customHeight="1">
      <c r="A20" s="10" t="inlineStr">
        <is>
          <t>9000</t>
        </is>
      </c>
      <c r="B20" s="10" t="inlineStr">
        <is>
          <t>9000-1</t>
        </is>
      </c>
      <c r="C20" s="83" t="inlineStr">
        <is>
          <t>신호분야</t>
        </is>
      </c>
      <c r="D20" s="10" t="inlineStr">
        <is>
          <t>9000-1-20</t>
        </is>
      </c>
      <c r="E20" s="89" t="inlineStr">
        <is>
          <t>사전점검 및 철도기술기준 검토</t>
        </is>
      </c>
      <c r="F20" s="10" t="inlineStr">
        <is>
          <t>현장소장 및 발주처 / 공동감리단</t>
        </is>
      </c>
      <c r="G20" s="83" t="inlineStr">
        <is>
          <t>철도종합시험운행에 따른 기능 및 성능 사전검증과 철도종합시험운행의 목적 달성의 적합여부 판정</t>
        </is>
      </c>
      <c r="H20" s="90" t="inlineStr">
        <is>
          <t>- 분야외 시설물 성능장치 점검
- (1부)철도종합시험운행 시행지침 제6조(종합시험운행을 위한 사전점검)
- 현장점검을 위한 계획 및 체크리스트 수립에 의하여 내 조직 가능한 항목에 대해 사전기재 및 결과 기재
- (기준) 철도종합시험운행 시행지침 제8조(종합시험운행을 위한 사전점검)
- 현장점검을 위한 계획 및 체크리스트를 사전에 준비하여 기한 내 조치가능한 점검항목 도출
1) 철도시설물 시공상태 및 기능확인, 공종별시험 결과보고서 검토
2) 철도시설의 기술기준 준수여부
3) 관련 법령에 따른 외부기관의 검사완료 가능여부 확인
4) 시설물검증시험 전까지 대상 철도시설물 완공가능 여부확인
5) 철도시설의 안전성 분석결과 및 분석결과에 따른 안전대책 검토
6) 종합시험운행(시설물검증시험·영업시운전) 시행에 필요한 사항확인 등</t>
        </is>
      </c>
      <c r="I20" s="83" t="inlineStr">
        <is>
          <t>사전점검 결과표 / 철도안전성검토서</t>
        </is>
      </c>
      <c r="J20" s="11" t="inlineStr">
        <is>
          <t>1) 사전점검(WBS 9000-1-20)을 위해 철도종합시험운행 시행지침 제6조/제8조 검토 수칙을 이행하라.
2) 시설물 시공상태, 기술기준 준수 및 완공 가능 여부 사전점검 체크리스트를 완수하라.</t>
        </is>
      </c>
      <c r="K20" s="17" t="inlineStr">
        <is>
          <t>👉 [더블클릭] 표준서 열기 📄</t>
        </is>
      </c>
      <c r="L20" s="11" t="inlineStr">
        <is>
          <t>1) 철도종합시험운행 시행지침 제6조/제8조에 따라 사전점검 체크리스트를 사전에 준비하십시오.
2) 시설물 시공상태, 기술기준 준수 여부 및 공종별시험 결과보고서를 검토하십시오.</t>
        </is>
      </c>
      <c r="M20" s="17" t="inlineStr">
        <is>
          <t>👉 [더블클릭] 수행지침 열기 📄</t>
        </is>
      </c>
      <c r="N20" s="11" t="inlineStr">
        <is>
          <t>1) 철도종합시험운행 시행지침 제6조/제8조 사전점검 체크리스트를 수립하였는가?
2) 철도시설물 시공상태, 기술기준 준수 및 안전성 분석 결과를 검토하였는가?</t>
        </is>
      </c>
      <c r="O20" s="17" t="inlineStr">
        <is>
          <t>👉 [더블클릭] 체크리스트 열기 📄</t>
        </is>
      </c>
      <c r="P20" s="10" t="n"/>
      <c r="Q20" s="83" t="inlineStr">
        <is>
          <t>● 관련분야 설계기준서 준수</t>
        </is>
      </c>
      <c r="R20" s="85" t="inlineStr">
        <is>
          <t>1) 👉 [더블클릭] 체크리스트 열기 📄</t>
        </is>
      </c>
      <c r="S20" s="83" t="n"/>
    </row>
    <row r="21" ht="104.4" customHeight="1">
      <c r="A21" s="10" t="inlineStr">
        <is>
          <t>9000</t>
        </is>
      </c>
      <c r="B21" s="10" t="inlineStr">
        <is>
          <t>9000-1</t>
        </is>
      </c>
      <c r="C21" s="83" t="inlineStr">
        <is>
          <t>신호분야</t>
        </is>
      </c>
      <c r="D21" s="10" t="inlineStr">
        <is>
          <t>9000-1-21</t>
        </is>
      </c>
      <c r="E21" s="89" t="inlineStr">
        <is>
          <t>시설물 검증시험</t>
        </is>
      </c>
      <c r="F21" s="10" t="inlineStr">
        <is>
          <t>현장소장 및 발주처 / 공동감리단</t>
        </is>
      </c>
      <c r="G21" s="83" t="inlineStr">
        <is>
          <t>시설물검증 노선에 환경에 철도종합시험운행 시행지침에 의거 철도노선 및 관계시설을 검증하여 안전성 확보 여부 판단</t>
        </is>
      </c>
      <c r="H21" s="90" t="inlineStr">
        <is>
          <t>- 철도종합시험운행 시행지침상 검사사항 검증
- 철도종합시험운행 시설물검증시험 점검항목 시행
- 시설물 특성 및 규모에 따른 설계속도 또는 선로 최고운행속도 까지 증속하여 다음의 사항을 점검
1) 신호시설물의 정상 동작상태
2) 신호시설물의 안전상태
3) 철도차량의 운행 적합성 적정여부
4) 신호설비와 차량간 연계성 적정여부</t>
        </is>
      </c>
      <c r="I21" s="83" t="inlineStr">
        <is>
          <t>시설물 검증시험 시험결과 및 승인원, 완료결과보고서</t>
        </is>
      </c>
      <c r="J21" s="11" t="inlineStr">
        <is>
          <t>1) 시설물 검증(WBS 9000-1-21)을 위해 최고운행속도 증속 시운전을 시행하고 신호 정상동작을 검증하라.
2) 신호설비와 차량 간 연계성 및 철도차량 운행 적합성 검증 결과표를 승인 완수하라.</t>
        </is>
      </c>
      <c r="K21" s="17" t="inlineStr">
        <is>
          <t>👉 [더블클릭] 표준서 열기 📄</t>
        </is>
      </c>
      <c r="L21" s="11" t="inlineStr">
        <is>
          <t>1) 설계 최고운행속도까지 단계별 증속하여 신호시설물 정상 동작 및 안전성을 점검하십시오.
2) 신호설비와 차량 간 연계 적정성 및 철도차량 운행 적합 여부를 서면 판정하십시오.</t>
        </is>
      </c>
      <c r="M21" s="17" t="inlineStr">
        <is>
          <t>👉 [더블클릭] 수행지침 열기 📄</t>
        </is>
      </c>
      <c r="N21" s="11" t="inlineStr">
        <is>
          <t>1) 설계 최고운행속도 증속 시운전 시 신호시설물 정상 동작을 확인하였는가?
2) 신호설비와 차량 간 연계성 및 차량 운행 적합성을 검증하였는가?</t>
        </is>
      </c>
      <c r="O21" s="17" t="inlineStr">
        <is>
          <t>👉 [더블클릭] 체크리스트 열기 📄</t>
        </is>
      </c>
      <c r="P21" s="10" t="n"/>
      <c r="Q21" s="83" t="inlineStr">
        <is>
          <t>● 관련분야 설계기준서 준수</t>
        </is>
      </c>
      <c r="R21" s="85" t="inlineStr">
        <is>
          <t>1) 👉 [더블클릭] 체크리스트 열기 📄</t>
        </is>
      </c>
      <c r="S21" s="83" t="n"/>
    </row>
    <row r="22" ht="104.4" customHeight="1">
      <c r="A22" s="10" t="inlineStr">
        <is>
          <t>9000</t>
        </is>
      </c>
      <c r="B22" s="10" t="inlineStr">
        <is>
          <t>9000-1</t>
        </is>
      </c>
      <c r="C22" s="83" t="inlineStr">
        <is>
          <t>신호분야</t>
        </is>
      </c>
      <c r="D22" s="10" t="inlineStr">
        <is>
          <t>9000-1-22</t>
        </is>
      </c>
      <c r="E22" s="89" t="inlineStr">
        <is>
          <t>영업 시운전</t>
        </is>
      </c>
      <c r="F22" s="10" t="inlineStr">
        <is>
          <t>현장소장 및 발주처 / 공동감리단</t>
        </is>
      </c>
      <c r="G22" s="83" t="inlineStr">
        <is>
          <t>영업 시운전에 의한 수송능력을 파악하고 최종 운영기관과 인터페이스 협의를 통해 시공의 안정성 확보 여부 및 검증</t>
        </is>
      </c>
      <c r="H22" s="90" t="inlineStr">
        <is>
          <t>- 모의 영업 시나리오 기반 100회 정시 운행 성공률 99.8% 이상 확보
- 영업운전과 동일한 조건으로 행사수송 수행 및 영업준비 수행
- 철도안전관련계 체계 및 시운전수행 승인 등 관계 기관에 제출
- 영업조건과 동일한 조건으로 열차운행을 위한 운전분야 및 영업분야 시행
- 열차운행스케쥴 및 영업설비 점검
- 승무원 노선숙지 등 업무숙달 훈련
- 철도시설과 차량과의 인터페이스 최종 점검</t>
        </is>
      </c>
      <c r="I22" s="83" t="inlineStr">
        <is>
          <t>영업 시운전 및 가동단계에서 운영지침서 및 최종 제출서(가동시험보고서)</t>
        </is>
      </c>
      <c r="J22" s="11" t="inlineStr">
        <is>
          <t>1) 영업 시운전(WBS 9000-1-22)을 위해 모의 영업 시나리오 기반 100회 정시 운행 성공률(≥99.8%)을 달성하라.
2) 영업운전과 동일 조건 열차스케줄 및 승무원 노선숙지 등 최종 영업준비를 완수하라.</t>
        </is>
      </c>
      <c r="K22" s="17" t="inlineStr">
        <is>
          <t>👉 [더블클릭] 표준서 열기 📄</t>
        </is>
      </c>
      <c r="L22" s="11" t="inlineStr">
        <is>
          <t>1) 모의 영업 시나리오에 따라 100회 정시 운행 성공률(≥99.8%) 이상을 확보하십시오.
2) 영업운전과 동일한 조건으로 열차운행 스케줄 및 영업설비 최종 점검을 완료하십시오.</t>
        </is>
      </c>
      <c r="M22" s="17" t="inlineStr">
        <is>
          <t>👉 [더블클릭] 수행지침 열기 📄</t>
        </is>
      </c>
      <c r="N22" s="11" t="inlineStr">
        <is>
          <t>1) 모의 영업 시나리오 기반 100회 정시 운행 성공률(≥99.8%)을 달성하였는가?
2) 영업운전 동일 조건 행사수송 및 승무원 노선숙지 훈련을 완수하였는가?</t>
        </is>
      </c>
      <c r="O22" s="17" t="inlineStr">
        <is>
          <t>👉 [더블클릭] 체크리스트 열기 📄</t>
        </is>
      </c>
      <c r="P22" s="10" t="n"/>
      <c r="Q22" s="83" t="inlineStr">
        <is>
          <t>● 관련분야 설계기준서 준수</t>
        </is>
      </c>
      <c r="R22" s="85" t="inlineStr">
        <is>
          <t>1) 👉 [더블클릭] 체크리스트 열기 📄</t>
        </is>
      </c>
      <c r="S22" s="83" t="n"/>
    </row>
    <row r="23" ht="104.4" customHeight="1">
      <c r="A23" s="10" t="inlineStr">
        <is>
          <t>9000</t>
        </is>
      </c>
      <c r="B23" s="10" t="inlineStr">
        <is>
          <t>9000-1</t>
        </is>
      </c>
      <c r="C23" s="83" t="inlineStr">
        <is>
          <t>신호분야</t>
        </is>
      </c>
      <c r="D23" s="10" t="inlineStr">
        <is>
          <t>9000-1-13</t>
        </is>
      </c>
      <c r="E23" s="89" t="inlineStr">
        <is>
          <t>유지관리 설치</t>
        </is>
      </c>
      <c r="F23" s="10" t="inlineStr">
        <is>
          <t>현장소장</t>
        </is>
      </c>
      <c r="G23" s="83" t="inlineStr">
        <is>
          <t>관제 관제실의 장비체계 배치 및 설치</t>
        </is>
      </c>
      <c r="H23" s="83" t="inlineStr">
        <is>
          <t>- 유지 및 보수용 상세 공사 설계배치 확인
- 현장조성 및 유지관리 지침서 이행 여부</t>
        </is>
      </c>
      <c r="I23" s="83" t="inlineStr">
        <is>
          <t>유지관리 지침 및 관리 이행 보고서</t>
        </is>
      </c>
      <c r="J23" s="11" t="inlineStr">
        <is>
          <t>1) 유지관리 설치(WBS 9000-1-13)를 위해 관제실 유지보수용 장비 배치 및 상세 공사 설계를 확인하라.
2) 현장조성 및 유지관리 지침서 이행 여부를 확인하고 관제 MMI 보수를 완수하라.</t>
        </is>
      </c>
      <c r="K23" s="17" t="inlineStr">
        <is>
          <t>👉 [더블클릭] 표준서 열기 📄</t>
        </is>
      </c>
      <c r="L23" s="11" t="inlineStr">
        <is>
          <t>1) 관제실 유지 및 보수용 상세 공사 설계 배치를 확인하고 장비를 시공하십시오.
2) 현장 조성 및 유지관리 지침서 이행 여부를 점검하여 서면 보고하십시오.</t>
        </is>
      </c>
      <c r="M23" s="17" t="inlineStr">
        <is>
          <t>👉 [더블클릭] 수행지침 열기 📄</t>
        </is>
      </c>
      <c r="N23" s="11" t="inlineStr">
        <is>
          <t>1) 관제실 유지보수용 상세 공사 설계 배치를 확인하였는가?
2) 현장조성 및 유지관리 지침서 이행 여부를 점검 확인하였는가?</t>
        </is>
      </c>
      <c r="O23" s="17" t="inlineStr">
        <is>
          <t>👉 [더블클릭] 체크리스트 열기 📄</t>
        </is>
      </c>
      <c r="P23" s="10" t="n"/>
      <c r="Q23" s="83" t="inlineStr">
        <is>
          <t>● 관련분야 설계기준서 준수</t>
        </is>
      </c>
      <c r="R23" s="85" t="inlineStr">
        <is>
          <t>1) 👉 [더블클릭] 체크리스트 열기 📄</t>
        </is>
      </c>
      <c r="S23" s="83" t="n"/>
    </row>
  </sheetData>
  <hyperlinks>
    <hyperlink xmlns:r="http://schemas.openxmlformats.org/officeDocument/2006/relationships" ref="K2" r:id="rId1"/>
    <hyperlink xmlns:r="http://schemas.openxmlformats.org/officeDocument/2006/relationships" ref="M2" r:id="rId2"/>
    <hyperlink xmlns:r="http://schemas.openxmlformats.org/officeDocument/2006/relationships" ref="O2" r:id="rId3"/>
    <hyperlink xmlns:r="http://schemas.openxmlformats.org/officeDocument/2006/relationships" ref="K3" r:id="rId4"/>
    <hyperlink xmlns:r="http://schemas.openxmlformats.org/officeDocument/2006/relationships" ref="M3" r:id="rId5"/>
    <hyperlink xmlns:r="http://schemas.openxmlformats.org/officeDocument/2006/relationships" ref="O3" r:id="rId6"/>
    <hyperlink xmlns:r="http://schemas.openxmlformats.org/officeDocument/2006/relationships" ref="K4" r:id="rId7"/>
    <hyperlink xmlns:r="http://schemas.openxmlformats.org/officeDocument/2006/relationships" ref="M4" r:id="rId8"/>
    <hyperlink xmlns:r="http://schemas.openxmlformats.org/officeDocument/2006/relationships" ref="O4" r:id="rId9"/>
    <hyperlink xmlns:r="http://schemas.openxmlformats.org/officeDocument/2006/relationships" ref="K5" r:id="rId10"/>
    <hyperlink xmlns:r="http://schemas.openxmlformats.org/officeDocument/2006/relationships" ref="M5" r:id="rId11"/>
    <hyperlink xmlns:r="http://schemas.openxmlformats.org/officeDocument/2006/relationships" ref="O5" r:id="rId12"/>
    <hyperlink xmlns:r="http://schemas.openxmlformats.org/officeDocument/2006/relationships" ref="K6" r:id="rId13"/>
    <hyperlink xmlns:r="http://schemas.openxmlformats.org/officeDocument/2006/relationships" ref="M6" r:id="rId14"/>
    <hyperlink xmlns:r="http://schemas.openxmlformats.org/officeDocument/2006/relationships" ref="O6" r:id="rId15"/>
    <hyperlink xmlns:r="http://schemas.openxmlformats.org/officeDocument/2006/relationships" ref="K7" r:id="rId16"/>
    <hyperlink xmlns:r="http://schemas.openxmlformats.org/officeDocument/2006/relationships" ref="M7" r:id="rId17"/>
    <hyperlink xmlns:r="http://schemas.openxmlformats.org/officeDocument/2006/relationships" ref="O7" r:id="rId18"/>
    <hyperlink xmlns:r="http://schemas.openxmlformats.org/officeDocument/2006/relationships" ref="K8" r:id="rId19"/>
    <hyperlink xmlns:r="http://schemas.openxmlformats.org/officeDocument/2006/relationships" ref="M8" r:id="rId20"/>
    <hyperlink xmlns:r="http://schemas.openxmlformats.org/officeDocument/2006/relationships" ref="O8" r:id="rId21"/>
    <hyperlink xmlns:r="http://schemas.openxmlformats.org/officeDocument/2006/relationships" ref="K9" r:id="rId22"/>
    <hyperlink xmlns:r="http://schemas.openxmlformats.org/officeDocument/2006/relationships" ref="M9" r:id="rId23"/>
    <hyperlink xmlns:r="http://schemas.openxmlformats.org/officeDocument/2006/relationships" ref="O9" r:id="rId24"/>
    <hyperlink xmlns:r="http://schemas.openxmlformats.org/officeDocument/2006/relationships" ref="K10" r:id="rId25"/>
    <hyperlink xmlns:r="http://schemas.openxmlformats.org/officeDocument/2006/relationships" ref="M10" r:id="rId26"/>
    <hyperlink xmlns:r="http://schemas.openxmlformats.org/officeDocument/2006/relationships" ref="O10" r:id="rId27"/>
    <hyperlink xmlns:r="http://schemas.openxmlformats.org/officeDocument/2006/relationships" ref="K11" r:id="rId28"/>
    <hyperlink xmlns:r="http://schemas.openxmlformats.org/officeDocument/2006/relationships" ref="M11" r:id="rId29"/>
    <hyperlink xmlns:r="http://schemas.openxmlformats.org/officeDocument/2006/relationships" ref="O11" r:id="rId30"/>
    <hyperlink xmlns:r="http://schemas.openxmlformats.org/officeDocument/2006/relationships" ref="K12" r:id="rId31"/>
    <hyperlink xmlns:r="http://schemas.openxmlformats.org/officeDocument/2006/relationships" ref="M12" r:id="rId32"/>
    <hyperlink xmlns:r="http://schemas.openxmlformats.org/officeDocument/2006/relationships" ref="O12" r:id="rId33"/>
    <hyperlink xmlns:r="http://schemas.openxmlformats.org/officeDocument/2006/relationships" ref="K13" r:id="rId34"/>
    <hyperlink xmlns:r="http://schemas.openxmlformats.org/officeDocument/2006/relationships" ref="M13" r:id="rId35"/>
    <hyperlink xmlns:r="http://schemas.openxmlformats.org/officeDocument/2006/relationships" ref="O13" r:id="rId36"/>
    <hyperlink xmlns:r="http://schemas.openxmlformats.org/officeDocument/2006/relationships" ref="K14" r:id="rId37"/>
    <hyperlink xmlns:r="http://schemas.openxmlformats.org/officeDocument/2006/relationships" ref="M14" r:id="rId38"/>
    <hyperlink xmlns:r="http://schemas.openxmlformats.org/officeDocument/2006/relationships" ref="O14" r:id="rId39"/>
    <hyperlink xmlns:r="http://schemas.openxmlformats.org/officeDocument/2006/relationships" ref="K15" r:id="rId40"/>
    <hyperlink xmlns:r="http://schemas.openxmlformats.org/officeDocument/2006/relationships" ref="M15" r:id="rId41"/>
    <hyperlink xmlns:r="http://schemas.openxmlformats.org/officeDocument/2006/relationships" ref="O15" r:id="rId42"/>
    <hyperlink xmlns:r="http://schemas.openxmlformats.org/officeDocument/2006/relationships" ref="K16" r:id="rId43"/>
    <hyperlink xmlns:r="http://schemas.openxmlformats.org/officeDocument/2006/relationships" ref="M16" r:id="rId44"/>
    <hyperlink xmlns:r="http://schemas.openxmlformats.org/officeDocument/2006/relationships" ref="O16" r:id="rId45"/>
    <hyperlink xmlns:r="http://schemas.openxmlformats.org/officeDocument/2006/relationships" ref="K17" r:id="rId46"/>
    <hyperlink xmlns:r="http://schemas.openxmlformats.org/officeDocument/2006/relationships" ref="M17" r:id="rId47"/>
    <hyperlink xmlns:r="http://schemas.openxmlformats.org/officeDocument/2006/relationships" ref="O17" r:id="rId48"/>
    <hyperlink xmlns:r="http://schemas.openxmlformats.org/officeDocument/2006/relationships" ref="K18" r:id="rId49"/>
    <hyperlink xmlns:r="http://schemas.openxmlformats.org/officeDocument/2006/relationships" ref="M18" r:id="rId50"/>
    <hyperlink xmlns:r="http://schemas.openxmlformats.org/officeDocument/2006/relationships" ref="O18" r:id="rId51"/>
    <hyperlink xmlns:r="http://schemas.openxmlformats.org/officeDocument/2006/relationships" ref="K19" r:id="rId52"/>
    <hyperlink xmlns:r="http://schemas.openxmlformats.org/officeDocument/2006/relationships" ref="M19" r:id="rId53"/>
    <hyperlink xmlns:r="http://schemas.openxmlformats.org/officeDocument/2006/relationships" ref="O19" r:id="rId54"/>
    <hyperlink xmlns:r="http://schemas.openxmlformats.org/officeDocument/2006/relationships" ref="K20" r:id="rId55"/>
    <hyperlink xmlns:r="http://schemas.openxmlformats.org/officeDocument/2006/relationships" ref="M20" r:id="rId56"/>
    <hyperlink xmlns:r="http://schemas.openxmlformats.org/officeDocument/2006/relationships" ref="O20" r:id="rId57"/>
    <hyperlink xmlns:r="http://schemas.openxmlformats.org/officeDocument/2006/relationships" ref="K21" r:id="rId58"/>
    <hyperlink xmlns:r="http://schemas.openxmlformats.org/officeDocument/2006/relationships" ref="M21" r:id="rId59"/>
    <hyperlink xmlns:r="http://schemas.openxmlformats.org/officeDocument/2006/relationships" ref="O21" r:id="rId60"/>
    <hyperlink xmlns:r="http://schemas.openxmlformats.org/officeDocument/2006/relationships" ref="K22" r:id="rId61"/>
    <hyperlink xmlns:r="http://schemas.openxmlformats.org/officeDocument/2006/relationships" ref="M22" r:id="rId62"/>
    <hyperlink xmlns:r="http://schemas.openxmlformats.org/officeDocument/2006/relationships" ref="O22" r:id="rId63"/>
    <hyperlink xmlns:r="http://schemas.openxmlformats.org/officeDocument/2006/relationships" ref="K23" r:id="rId64"/>
    <hyperlink xmlns:r="http://schemas.openxmlformats.org/officeDocument/2006/relationships" ref="M23" r:id="rId65"/>
    <hyperlink xmlns:r="http://schemas.openxmlformats.org/officeDocument/2006/relationships" ref="O23" r:id="rId66"/>
  </hyperlinks>
  <printOptions horizontalCentered="1"/>
  <pageMargins left="0.7480314960629921" right="0.7480314960629921" top="0.984251968503937" bottom="0.984251968503937" header="0.5118110236220472" footer="0.5118110236220472"/>
  <pageSetup orientation="landscape" paperSize="8" scale="38" verticalDpi="0"/>
</worksheet>
</file>

<file path=xl/worksheets/sheet11.xml><?xml version="1.0" encoding="utf-8"?>
<worksheet xmlns="http://schemas.openxmlformats.org/spreadsheetml/2006/main">
  <sheetPr codeName="Sheet8">
    <tabColor rgb="FFFFFF00"/>
    <outlinePr summaryBelow="1" summaryRight="1"/>
    <pageSetUpPr/>
  </sheetPr>
  <dimension ref="A1:S33"/>
  <sheetViews>
    <sheetView view="pageBreakPreview" zoomScale="55" zoomScaleNormal="40" zoomScaleSheetLayoutView="55" workbookViewId="0">
      <pane xSplit="4" ySplit="1" topLeftCell="I2" activePane="bottomRight" state="frozen"/>
      <selection pane="topRight" activeCell="E1" sqref="E1"/>
      <selection pane="bottomLeft" activeCell="A2" sqref="A2"/>
      <selection pane="bottomRight" activeCell="M28" sqref="M28"/>
    </sheetView>
  </sheetViews>
  <sheetFormatPr baseColWidth="8" defaultRowHeight="19.2"/>
  <cols>
    <col width="9" bestFit="1" customWidth="1" style="4" min="1" max="2"/>
    <col width="13.19921875" bestFit="1" customWidth="1" style="4" min="3" max="3"/>
    <col width="11.19921875" bestFit="1" customWidth="1" style="4" min="4" max="4"/>
    <col width="30.3984375" customWidth="1" style="4" min="5" max="5"/>
    <col width="21.69921875" customWidth="1" style="4" min="6" max="6"/>
    <col width="32.59765625" customWidth="1" style="3" min="7" max="7"/>
    <col width="73.09765625" customWidth="1" style="3" min="8" max="8"/>
    <col width="19.3984375" customWidth="1" style="4" min="9" max="9"/>
    <col width="53" customWidth="1" style="3" min="10" max="10"/>
    <col width="14.69921875" customWidth="1" style="3" min="11" max="11"/>
    <col width="45" customWidth="1" style="3" min="12" max="12"/>
    <col width="14.5" customWidth="1" style="3" min="13" max="13"/>
    <col width="45" customWidth="1" style="3" min="14" max="14"/>
    <col width="16.09765625" customWidth="1" style="77" min="15" max="15"/>
    <col width="15.796875" customWidth="1" style="3" min="16" max="16"/>
    <col width="45" customWidth="1" style="77" min="17" max="17"/>
    <col width="22" customWidth="1" style="77" min="18" max="18"/>
    <col width="45" customWidth="1" style="3" min="19" max="35"/>
    <col width="8.796875" customWidth="1" style="3" min="36" max="65"/>
    <col width="8.796875" customWidth="1" style="3" min="66" max="16384"/>
  </cols>
  <sheetData>
    <row r="1" ht="57.6" customHeight="1">
      <c r="A1" s="29" t="inlineStr">
        <is>
          <t>L2 코드</t>
        </is>
      </c>
      <c r="B1" s="29" t="inlineStr">
        <is>
          <t>L3 코드</t>
        </is>
      </c>
      <c r="C1" s="29" t="inlineStr">
        <is>
          <t>L3 대공종명</t>
        </is>
      </c>
      <c r="D1" s="29" t="inlineStr">
        <is>
          <t>L4 코드</t>
        </is>
      </c>
      <c r="E1" s="29" t="inlineStr">
        <is>
          <t>작업단위 (Level 4 Task/Activity)</t>
        </is>
      </c>
      <c r="F1" s="29" t="inlineStr">
        <is>
          <t>주관</t>
        </is>
      </c>
      <c r="G1" s="29" t="inlineStr">
        <is>
          <t>목적</t>
        </is>
      </c>
      <c r="H1" s="65" t="inlineStr">
        <is>
          <t>방법</t>
        </is>
      </c>
      <c r="I1" s="65" t="inlineStr">
        <is>
          <t>산출물(결과)</t>
        </is>
      </c>
      <c r="J1" s="65" t="inlineStr">
        <is>
          <t>표준서 (Standard) 요약</t>
        </is>
      </c>
      <c r="K1" s="30" t="inlineStr">
        <is>
          <t>표준서 파일 (HTML)</t>
        </is>
      </c>
      <c r="L1" s="65" t="inlineStr">
        <is>
          <t>수행지침 (Guideline) 요약</t>
        </is>
      </c>
      <c r="M1" s="30" t="inlineStr">
        <is>
          <t>수행지침 파일 (HTML)</t>
        </is>
      </c>
      <c r="N1" s="65" t="inlineStr">
        <is>
          <t>체크리스트 (Checklist) 요약</t>
        </is>
      </c>
      <c r="O1" s="66" t="inlineStr">
        <is>
          <t>체크리스트 파일 (HTML)</t>
        </is>
      </c>
      <c r="P1" s="21" t="inlineStr">
        <is>
          <t>비고</t>
        </is>
      </c>
      <c r="Q1" s="21" t="inlineStr">
        <is>
          <t>첨부서류 연계 상세 설계기준</t>
        </is>
      </c>
      <c r="R1" s="21" t="inlineStr">
        <is>
          <t>집행단계 리스크 체크리스트</t>
        </is>
      </c>
      <c r="S1" s="21" t="inlineStr">
        <is>
          <t>협력사 시공/공사관리 자문</t>
        </is>
      </c>
    </row>
    <row r="2" ht="199.2" customHeight="1">
      <c r="A2" s="61" t="inlineStr">
        <is>
          <t>9000</t>
        </is>
      </c>
      <c r="B2" s="61" t="inlineStr">
        <is>
          <t>9000-2</t>
        </is>
      </c>
      <c r="C2" s="61" t="inlineStr">
        <is>
          <t>통신분야</t>
        </is>
      </c>
      <c r="D2" s="61" t="inlineStr">
        <is>
          <t>9000-2-1</t>
        </is>
      </c>
      <c r="E2" s="61" t="inlineStr">
        <is>
          <t>설계적정성 검토</t>
        </is>
      </c>
      <c r="F2" s="61" t="inlineStr">
        <is>
          <t>현장 공무팀</t>
        </is>
      </c>
      <c r="G2" s="60" t="inlineStr">
        <is>
          <t>설계적정성 및 시공성 검토</t>
        </is>
      </c>
      <c r="H2" s="62" t="inlineStr">
        <is>
          <t>- 입찰 요구사항에 대한 설계 반영여부 검토
- 설계도서 및 철도표준 자재 반영여부 확인
- 타 시스템과의 인터페이스 가능 여부, 용량, 성능요구 및 통신 트렌드를 고려한 통신 시스템 선정
- 설계단계에서 통신 음영지역이 있는지를 샘플링 시뮬레이션을 통해 확인하는지 체크 (민원방지 및 롤백 예방을 위한 방안 수립)
- 기지/역사/터널 배선 적정성 검토
- 현장설치 시공성 및 공기 Risk 검토
- 공정계획의 적정성 검토</t>
        </is>
      </c>
      <c r="I2" s="61" t="inlineStr">
        <is>
          <t>회의록, 설계검토 보고서</t>
        </is>
      </c>
      <c r="J2" s="74" t="inlineStr">
        <is>
          <t>1) 정보통신공사업법, KDS 47 철도설계기준 및 입찰안내서 특기시방 준수 여부 사전 검증
2) LTE-R 무선망, 8대 이종 통신시스템, 타공종 간섭 및 리스크 헷지·기회반영 설계변경 승인 표준 적용</t>
        </is>
      </c>
      <c r="K2" s="78" t="inlineStr">
        <is>
          <t>👉 [더블클릭] 표준서 열기 📄</t>
        </is>
      </c>
      <c r="L2" s="74" t="inlineStr">
        <is>
          <t>1) 설계적정성 검토: [도면↔수량산출서↔내역서] 삼각 교차대조, 법령/KDS 매핑 체크리스트 검증 및 통신계통 계산서 검토
2) 시공성 및 설계변경: 현장 지장물 실측 조사, 타공종 3D 간섭 조정, 공법/안전 검토 및 현장 전직원+본사 동시 검토 회의로 설계변경 수립</t>
        </is>
      </c>
      <c r="M2" s="78" t="inlineStr">
        <is>
          <t>👉 [더블클릭] 수행지침 열기 📄</t>
        </is>
      </c>
      <c r="N2" s="74" t="inlineStr">
        <is>
          <t>1) 통신 관계 법령, KDS 47 00 00 철도설계기준, 입찰안내서 시방 준수 및 도면·수량·내역 교차 검증을 완료하였는가?
2) LTE-R 무선망, 타공종 3D 간섭조정, 8대 이종 통신시스템, 관제연동 적정성 검토 및 현장전직원+본사 동시 검토 승인을 완료하였는가?</t>
        </is>
      </c>
      <c r="O2" s="67" t="inlineStr">
        <is>
          <t>👉 [더블클릭] 체크리스트 열기 📄</t>
        </is>
      </c>
      <c r="P2" s="68" t="n"/>
      <c r="Q2" s="75" t="inlineStr">
        <is>
          <t>● 관련분야 설계기준서 준수</t>
        </is>
      </c>
      <c r="R2" s="76" t="inlineStr">
        <is>
          <t>1) 👉 [더블클릭] 체크리스트 열기 📄</t>
        </is>
      </c>
      <c r="S2" s="73" t="n"/>
    </row>
    <row r="3" ht="219.6" customHeight="1">
      <c r="A3" s="63" t="inlineStr">
        <is>
          <t>9000</t>
        </is>
      </c>
      <c r="B3" s="63" t="inlineStr">
        <is>
          <t>9000-2</t>
        </is>
      </c>
      <c r="C3" s="63" t="inlineStr">
        <is>
          <t>통신분야</t>
        </is>
      </c>
      <c r="D3" s="63" t="inlineStr">
        <is>
          <t>9000-2-2</t>
        </is>
      </c>
      <c r="E3" s="63" t="inlineStr">
        <is>
          <t>착수전략 KOM</t>
        </is>
      </c>
      <c r="F3" s="61" t="inlineStr">
        <is>
          <t>현장소장</t>
        </is>
      </c>
      <c r="G3" s="60" t="inlineStr">
        <is>
          <t>통신설비 공사 발주 전략수립</t>
        </is>
      </c>
      <c r="H3" s="62" t="inlineStr">
        <is>
          <t>- 통신설계 설계 및 변동요인 검토
- 통신공사 공사 시공실적 업체Pool 검토
- 유사사례 영업운행 실적이 확보된 시스템적용
1) 공정계획 및 통신자재 제작 기간
2) 통신설비 구축 실적 보유 (철도, 도시철도, 경전철)
3) 예비품 및 소모품 포함
4) 시공전시 통신설비 운전 및 교육 지원 (비용 포함)
5) 예상내역상 누락 예비품 여부
6) 현장 자재보관 창고 임대 비용 포함
7) 공사용 전기, 물수, 청소 비용 포함
8) 가동 후 현장 기술지원 및 기술 전수 인력기간 및 비용 포함</t>
        </is>
      </c>
      <c r="I3" s="61" t="inlineStr">
        <is>
          <t>KOM 검토결과서, 현장설명서</t>
        </is>
      </c>
      <c r="J3" s="74" t="inlineStr">
        <is>
          <t>1) 통신공사 발주 착수 전 입찰조건, 적격 시공업체 Pool 분석 및 8대 현장조건 반영 발주전략 수립
2) 주요 통신 자재 납품 수급 계획 및 시공 적격성 평가를 반영한 발주전략 KOM 보고서 승인 표준 적용</t>
        </is>
      </c>
      <c r="K3" s="78" t="inlineStr">
        <is>
          <t>👉 [더블클릭] 표준서 열기 📄</t>
        </is>
      </c>
      <c r="L3" s="74" t="inlineStr">
        <is>
          <t>1) 발주조건 &amp; 공법 분석: 공사 범위, 자재 자급/사급 조건, 공기 타당성 및 타공종 인터페이스 선행 공종 분석
2) 전략 수립 및 승인: 리스크 헷지형 계약 조건 도출 및 현장소장/공무팀 주관 발주전략 KOM 보고서 확정</t>
        </is>
      </c>
      <c r="M3" s="78" t="inlineStr">
        <is>
          <t>👉 [더블클릭] 수행지침 열기 📄</t>
        </is>
      </c>
      <c r="N3" s="74" t="inlineStr">
        <is>
          <t>1) 통신공사 발주 착수 전 입찰안내서 요구조건 및 현장여건 8대 특기사항을 발주 전략에 반영하였는가?
2) 주요 자재 납품 수급 계획 및 적격 시공업체 평가 기준을 마련하여 발주전략 KOM 승인을 완수하였는가?</t>
        </is>
      </c>
      <c r="O3" s="67" t="inlineStr">
        <is>
          <t>👉 [더블클릭] 체크리스트 열기 📄</t>
        </is>
      </c>
      <c r="P3" s="68" t="n"/>
      <c r="Q3" s="75" t="inlineStr">
        <is>
          <t>● 관련분야 설계기준서 준수</t>
        </is>
      </c>
      <c r="R3" s="76" t="inlineStr">
        <is>
          <t>1) 👉 [더블클릭] 체크리스트 열기 📄</t>
        </is>
      </c>
      <c r="S3" s="73" t="n"/>
    </row>
    <row r="4" ht="133.8" customHeight="1">
      <c r="A4" s="61" t="inlineStr">
        <is>
          <t>9000</t>
        </is>
      </c>
      <c r="B4" s="61" t="inlineStr">
        <is>
          <t>9000-2</t>
        </is>
      </c>
      <c r="C4" s="61" t="inlineStr">
        <is>
          <t>통신분야</t>
        </is>
      </c>
      <c r="D4" s="61" t="inlineStr">
        <is>
          <t>9000-2-3</t>
        </is>
      </c>
      <c r="E4" s="61" t="inlineStr">
        <is>
          <t>토목 / 건축 인터페이스 협의</t>
        </is>
      </c>
      <c r="F4" s="61" t="inlineStr">
        <is>
          <t>현장 시스템팀</t>
        </is>
      </c>
      <c r="G4" s="60" t="inlineStr">
        <is>
          <t>통신설비 설치를 위한 요구사항 검토</t>
        </is>
      </c>
      <c r="H4" s="62" t="inlineStr">
        <is>
          <t>- 자재 반입전/공동구/케이블 인입구 등 확인, 기능실마감 및 출입문 상태</t>
        </is>
      </c>
      <c r="I4" s="61" t="inlineStr">
        <is>
          <t>인터페이스 회의록 및 관리대장</t>
        </is>
      </c>
      <c r="J4" s="74" t="inlineStr">
        <is>
          <t>1) 토목·건축 구조물 내 통신 관로, 케이블 트레이, 기계실 배치 및 인입 배관 인터페이스 사전 검토
2) 타공종 구조체 타설 전 통신 매립 배관 위치 검증 및 인터페이스 협의록 작성 표준 적용</t>
        </is>
      </c>
      <c r="K4" s="67" t="inlineStr">
        <is>
          <t>👉 [더블클릭] 표준서 열기 📄</t>
        </is>
      </c>
      <c r="L4" s="74" t="inlineStr">
        <is>
          <t>1) 구조체 간섭 검토: 토목·건축 도면 대조를 통한 통신 관로 굴곡율, 트레이 설치 경로 및 기계실 벽체 관통부 실측 조사
2) 협의 수행 및 승인: 타공종 구조체 콘크리트 타설 전 통신 배관 매립 위치 현장 확인 및 3D 간섭 조정 협의록 확정</t>
        </is>
      </c>
      <c r="M4" s="67" t="inlineStr">
        <is>
          <t>👉 [더블클릭] 수행지침 열기 📄</t>
        </is>
      </c>
      <c r="N4" s="74" t="inlineStr">
        <is>
          <t>1) 시방 대조[도면 및 여건] 자재 반입 동선/공동구/케이블 인입구 등 확인, 기능실마감 및 출입문 확인 수칙을 사전 대조 확인하였는가?
2) 업체 Pool[적격 업체] 철도/트램 시공 및 영업운행 실적이 입증된 적격 업체 Pool을 검토하였는가?</t>
        </is>
      </c>
      <c r="O4" s="78" t="inlineStr">
        <is>
          <t>👉 [더블클릭] 체크리스트 열기 📄</t>
        </is>
      </c>
      <c r="P4" s="68" t="n"/>
      <c r="Q4" s="75" t="inlineStr">
        <is>
          <t>● 관련분야 설계기준서 준수</t>
        </is>
      </c>
      <c r="R4" s="76" t="inlineStr">
        <is>
          <t>1) 👉 [더블클릭] 체크리스트 열기 📄</t>
        </is>
      </c>
      <c r="S4" s="73" t="n"/>
    </row>
    <row r="5" ht="133.8" customHeight="1">
      <c r="A5" s="61" t="inlineStr">
        <is>
          <t>9000</t>
        </is>
      </c>
      <c r="B5" s="61" t="inlineStr">
        <is>
          <t>9000-2</t>
        </is>
      </c>
      <c r="C5" s="61" t="inlineStr">
        <is>
          <t>통신분야</t>
        </is>
      </c>
      <c r="D5" s="61" t="inlineStr">
        <is>
          <t>9000-2-4</t>
        </is>
      </c>
      <c r="E5" s="61" t="inlineStr">
        <is>
          <t>전기 / 신호 / 기계 / PSD / 차량 인터페이스 협의</t>
        </is>
      </c>
      <c r="F5" s="61" t="inlineStr">
        <is>
          <t>현장 시스템팀 / 통신 협력업체</t>
        </is>
      </c>
      <c r="G5" s="60" t="inlineStr">
        <is>
          <t>연계분야간 사전조율 및 인터페이스 사항 조율로 재작업 예방</t>
        </is>
      </c>
      <c r="H5" s="62" t="inlineStr">
        <is>
          <t>- 연계분야별 조율 및 협의사항 도출
1) 전기: 소요전력 외
2) 신호: 공동관로 포설계획 외
3) 차량: 차량 통신장치-차량간 연계
4) 전기, 신호, 기계, PSD와 통신망 계통 조율
- 일정, 분야별 필요 통신회선 수/종류, 기계실 케이블 및 세부 작업 범위</t>
        </is>
      </c>
      <c r="I5" s="61" t="inlineStr">
        <is>
          <t>인터페이스 회의록 및 관리대장</t>
        </is>
      </c>
      <c r="J5" s="74" t="inlineStr">
        <is>
          <t>1) 전기, 신호, PSD, 차량, 관제 등 이종 시스템 간 전원, 신호선 및 데이터 통신 인터페이스 통합 검토
2) 타공종 간 전자기 적합성(EMC/EMI), 전력 케이블 유도장해 차폐 및 서지 보호 표준 적용</t>
        </is>
      </c>
      <c r="K5" s="67" t="inlineStr">
        <is>
          <t>👉 [더블클릭] 표준서 열기 📄</t>
        </is>
      </c>
      <c r="L5" s="74" t="inlineStr">
        <is>
          <t>1) 설비 간 인터페이스 기술 검토: 전전류/고전압 케이블 유도장해 이격거리(≥30cm) 및 타공종 신호선 서지 보호 검토
2) 3D/BIM 간섭조정 및 승인: 이종 시스템 간 인터페이스 핀 맵, 데이터 포맷 교차 검증 및 시스템 합동 인터페이스 협의록 작성</t>
        </is>
      </c>
      <c r="M5" s="67" t="inlineStr">
        <is>
          <t>👉 [더블클릭] 수행지침 열기 📄</t>
        </is>
      </c>
      <c r="N5" s="74" t="inlineStr">
        <is>
          <t>1) 96Core 광망[통합 포설] 통신(48C)+전기(2C)+신호(12C)를 OF-SM-96Core×2조 통합 포설로 확정하였는가?
2) KEC 점유율[KEC 33%] 전선관 내부 단면적 점유율 33% 이하 및 ELP ø150mm×6개×2조 배관을 확인하였는가?</t>
        </is>
      </c>
      <c r="O5" s="78" t="inlineStr">
        <is>
          <t>👉 [더블클릭] 체크리스트 열기 📄</t>
        </is>
      </c>
      <c r="P5" s="68" t="n"/>
      <c r="Q5" s="75" t="inlineStr">
        <is>
          <t>● 관련분야 설계기준서 준수</t>
        </is>
      </c>
      <c r="R5" s="76" t="inlineStr">
        <is>
          <t>1) 👉 [더블클릭] 체크리스트 열기 📄</t>
        </is>
      </c>
      <c r="S5" s="73" t="n"/>
    </row>
    <row r="6" ht="133.8" customHeight="1">
      <c r="A6" s="61" t="inlineStr">
        <is>
          <t>9000</t>
        </is>
      </c>
      <c r="B6" s="61" t="inlineStr">
        <is>
          <t>9000-2</t>
        </is>
      </c>
      <c r="C6" s="61" t="inlineStr">
        <is>
          <t>통신분야</t>
        </is>
      </c>
      <c r="D6" s="61" t="inlineStr">
        <is>
          <t>9000-2-5</t>
        </is>
      </c>
      <c r="E6" s="61" t="inlineStr">
        <is>
          <t>통신설비 제작사 인터페이스 협의</t>
        </is>
      </c>
      <c r="F6" s="61" t="inlineStr">
        <is>
          <t>현장 시스템팀</t>
        </is>
      </c>
      <c r="G6" s="60" t="inlineStr">
        <is>
          <t>통신설비간 연동방안 검토</t>
        </is>
      </c>
      <c r="H6" s="62" t="inlineStr">
        <is>
          <t>- 내부 인터페이스 및 인허가사항 확인, 보안성검토 요청서</t>
        </is>
      </c>
      <c r="I6" s="61" t="inlineStr">
        <is>
          <t>인터페이스 회의록 및 관리대장</t>
        </is>
      </c>
      <c r="J6" s="74" t="inlineStr">
        <is>
          <t>1) 통신 주요 설비(LTE-R, 방송, CCTV, 역무, 관제 등) 제작사 간 프로토콜, 연동 규격 및 인터페이스 검토
2) 제작사 간 데이터 입출력 포맷 및 연동 케이블 사양서 확정 협의록 승인 표준 적용</t>
        </is>
      </c>
      <c r="K6" s="78" t="inlineStr">
        <is>
          <t>👉 [더블클릭] 표준서 열기 📄</t>
        </is>
      </c>
      <c r="L6" s="74" t="inlineStr">
        <is>
          <t>1) 프로토콜 &amp; 연동 검토: 제작사 간 데이터 입출력 규격, 네트워크 프로토콜(TCP/IP, RS-485 등) 및 랙 치수 대조
2) 연동 시험 수칙 수립: 제작사 간 신호 연동 핀 배열 확정 및 상호 연동 인터페이스 사양서 감리 승인 절차 수행</t>
        </is>
      </c>
      <c r="M6" s="78" t="inlineStr">
        <is>
          <t>👉 [더블클릭] 수행지침 열기 📄</t>
        </is>
      </c>
      <c r="N6" s="74" t="inlineStr">
        <is>
          <t>1) 핀 구멍 대조[연결선 대조] A회사와 B회사 장비 연결선 핀(Pin) 구멍 위치가 똑맞는지 1:1 도면으로 대조하였는가?
2) 전원 잭 확인[코드 잭 준비] 각 장비에 220V 코드를 꽂을지 48V 전기를 줄지 전원 잭을 사전에 확인하였는가?</t>
        </is>
      </c>
      <c r="O6" s="78" t="inlineStr">
        <is>
          <t>👉 [더블클릭] 체크리스트 열기 📄</t>
        </is>
      </c>
      <c r="P6" s="68" t="n"/>
      <c r="Q6" s="75" t="inlineStr">
        <is>
          <t>● 관련분야 설계기준서 준수</t>
        </is>
      </c>
      <c r="R6" s="76" t="inlineStr">
        <is>
          <t>1) 👉 [더블클릭] 체크리스트 열기 📄</t>
        </is>
      </c>
      <c r="S6" s="73" t="n"/>
    </row>
    <row r="7" ht="145.2" customHeight="1">
      <c r="A7" s="61" t="inlineStr">
        <is>
          <t>9000</t>
        </is>
      </c>
      <c r="B7" s="61" t="inlineStr">
        <is>
          <t>9000-2</t>
        </is>
      </c>
      <c r="C7" s="61" t="inlineStr">
        <is>
          <t>통신분야</t>
        </is>
      </c>
      <c r="D7" s="61" t="inlineStr">
        <is>
          <t>9000-2-6</t>
        </is>
      </c>
      <c r="E7" s="61" t="inlineStr">
        <is>
          <t>관제 및 운영사 인터페이스 협의</t>
        </is>
      </c>
      <c r="F7" s="61" t="inlineStr">
        <is>
          <t>현장 시스템팀 / 통신 협력업체</t>
        </is>
      </c>
      <c r="G7" s="60" t="inlineStr">
        <is>
          <t>관제 및 운영사 요구사항 사전 반영 및 시공범위 최적화</t>
        </is>
      </c>
      <c r="H7" s="62" t="inlineStr">
        <is>
          <t>- 시운전 조율사항 및 시운전시 정보 항목도출
- 철도 교통관제(구로/대전)와 연동할 수 있는 무선기능추가(관제/유지보수자 등), 실시간 사진 확인의 편리성 향상을 위한 기능 추가(CCTV카메라 등)
- 합동운영자, 운영사 인터페이스 협의</t>
        </is>
      </c>
      <c r="I7" s="61" t="inlineStr">
        <is>
          <t>인터페이스 회의록 및 관리대장</t>
        </is>
      </c>
      <c r="J7" s="74" t="inlineStr">
        <is>
          <t>1) 종합관제센터 및 철도운영사 요구조건 반영 관제 화면, 통신 프로토콜 및 비상 제어 인터페이스 검토
2) 관제 서버, 네트워크 스위치 및 운영사 통합 수선 체계 부합성 확인 승인 표준 적용</t>
        </is>
      </c>
      <c r="K7" s="67" t="inlineStr">
        <is>
          <t>👉 [더블클릭] 표준서 열기 📄</t>
        </is>
      </c>
      <c r="L7" s="74" t="inlineStr">
        <is>
          <t>1) 관제 연동 요구조건 검토: 종합관제 MMI 화면 구성, 비상 통화 프로토콜 및 운영사 통합 수선 요구사항 반영 조사
2) 관제 인터페이스 승인: 관제 서버-현장 장치 간 제어 데이터 송수신 시험 절차 수립 및 운영사 합동 검토서 확정</t>
        </is>
      </c>
      <c r="M7" s="78" t="inlineStr">
        <is>
          <t>👉 [더블클릭] 수행지침 열기 📄</t>
        </is>
      </c>
      <c r="N7" s="74" t="inlineStr">
        <is>
          <t>1) OCC 화면배치[화면 맞추기] 동탄 종합관제실(OCC) 모니터에 트램 운행 상황이 한눈에 들어오도록 화면을 배치하였는가?
2) 4K CCTV 65개[명당 자리] 교차로 4K CCTV 카메라 65개소가 사각지대 없이 보이도록 명당 자리를 배치하였는가?</t>
        </is>
      </c>
      <c r="O7" s="78" t="inlineStr">
        <is>
          <t>👉 [더블클릭] 체크리스트 열기 📄</t>
        </is>
      </c>
      <c r="P7" s="68" t="n"/>
      <c r="Q7" s="75" t="inlineStr">
        <is>
          <t>● 관련분야 설계기준서 준수</t>
        </is>
      </c>
      <c r="R7" s="76" t="inlineStr">
        <is>
          <t>1) 👉 [더블클릭] 체크리스트 열기 📄</t>
        </is>
      </c>
      <c r="S7" s="73" t="n"/>
    </row>
    <row r="8" ht="115.2" customHeight="1">
      <c r="A8" s="61" t="inlineStr">
        <is>
          <t>9000</t>
        </is>
      </c>
      <c r="B8" s="61" t="inlineStr">
        <is>
          <t>9000-2</t>
        </is>
      </c>
      <c r="C8" s="61" t="inlineStr">
        <is>
          <t>통신분야</t>
        </is>
      </c>
      <c r="D8" s="61" t="inlineStr">
        <is>
          <t>9000-2-7</t>
        </is>
      </c>
      <c r="E8" s="61" t="inlineStr">
        <is>
          <t>발주처 품질 요구사항 검토</t>
        </is>
      </c>
      <c r="F8" s="61" t="inlineStr">
        <is>
          <t>현장 시스템팀</t>
        </is>
      </c>
      <c r="G8" s="60" t="inlineStr">
        <is>
          <t>발주처 품질관리 기준/검사방안 확인</t>
        </is>
      </c>
      <c r="H8" s="60" t="inlineStr">
        <is>
          <t>- 감리/감독과 품질검사(ITP/ITC) 항목 검토</t>
        </is>
      </c>
      <c r="I8" s="61" t="inlineStr">
        <is>
          <t>ITP/ITC</t>
        </is>
      </c>
      <c r="J8" s="74" t="inlineStr">
        <is>
          <t>1) 발주처 입찰안내서 및 시방서 상의 통신 품질 시험 기준, 자재 승인 및 시험성적서 요구조건 검토
2) 품질시험계획서 수립 및 발주처 승인 품질 기준 준수서 작성 표준 적용</t>
        </is>
      </c>
      <c r="K8" s="67" t="inlineStr">
        <is>
          <t>👉 [더블클릭] 표준서 열기 📄</t>
        </is>
      </c>
      <c r="L8" s="74" t="inlineStr">
        <is>
          <t>1) 품질 기준 실측 수칙: 발주처 특기시방서 상의 품질 시험 항목, 샘플링 검사 비율 및 KS 규격 부합 여부 파악
2) 품질 관리 수립: 현장 품질시험계획서 수립, 불합격 자재 반출 절차 확립 및 발주처 승인 품질 수칙 이행</t>
        </is>
      </c>
      <c r="M8" s="67" t="inlineStr">
        <is>
          <t>👉 [더블클릭] 수행지침 열기 📄</t>
        </is>
      </c>
      <c r="N8" s="74" t="inlineStr">
        <is>
          <t>1) [품질 계획] 발주처 품질검사 계획서(ITP)와 공사시방서의 품질 기준을 사전 정밀 대조하였는가?
2) [Hold Point] 감리원 현장 직접 입회 검측 항목(Hold Point)을 사전 분류 지정하였는가?</t>
        </is>
      </c>
      <c r="O8" s="67" t="inlineStr">
        <is>
          <t>👉 [더블클릭] 체크리스트 열기 📄</t>
        </is>
      </c>
      <c r="P8" s="68" t="n"/>
      <c r="Q8" s="75" t="inlineStr">
        <is>
          <t>● 관련분야 설계기준서 준수</t>
        </is>
      </c>
      <c r="R8" s="76" t="inlineStr">
        <is>
          <t>1) 👉 [더블클릭] 체크리스트 열기 📄</t>
        </is>
      </c>
      <c r="S8" s="73" t="n"/>
    </row>
    <row r="9" ht="115.2" customHeight="1">
      <c r="A9" s="61" t="inlineStr">
        <is>
          <t>9000</t>
        </is>
      </c>
      <c r="B9" s="61" t="inlineStr">
        <is>
          <t>9000-2</t>
        </is>
      </c>
      <c r="C9" s="61" t="inlineStr">
        <is>
          <t>통신분야</t>
        </is>
      </c>
      <c r="D9" s="61" t="inlineStr">
        <is>
          <t>9000-2-8</t>
        </is>
      </c>
      <c r="E9" s="61" t="inlineStr">
        <is>
          <t>자재 / 인원 / 장비 등 투입 사전 검토</t>
        </is>
      </c>
      <c r="F9" s="61" t="inlineStr">
        <is>
          <t>현장 시스템팀 / 협력업체 / 관리</t>
        </is>
      </c>
      <c r="G9" s="60" t="inlineStr">
        <is>
          <t>자재 / 인원 / 장비 투입 계획 수립</t>
        </is>
      </c>
      <c r="H9" s="62" t="inlineStr">
        <is>
          <t>- 현장 여건 및 수량을 기준으로 투입(인원, 장비, 자재) 검토</t>
        </is>
      </c>
      <c r="I9" s="61" t="inlineStr">
        <is>
          <t>세부 공정계획 수립 및 조율</t>
        </is>
      </c>
      <c r="J9" s="74" t="inlineStr">
        <is>
          <t>1) 통신 공사 착수 전 전문 인력 기술자격, 자재 투입 일정 및 전용 시험장비/공구 사전 검토
2) 예정공정표 대비 인원·장비 투입 수급 타당성 및 안전 수칙 준수 검토 승인 표준 적용</t>
        </is>
      </c>
      <c r="K9" s="78" t="inlineStr">
        <is>
          <t>👉 [더블클릭] 표준서 열기 📄</t>
        </is>
      </c>
      <c r="L9" s="74" t="inlineStr">
        <is>
          <t>1) 투입 자원 타당성 분석: 통신 고급/중급 기술자 자격 검증, 광접속기/OTDR 시험장비 보유 상태 및 자재 수급 계획 검토
2) 공정 수급 승인: 예정공정표 대비 적정 투입 인원 산출, 작업 안전 구역 확보 및 현장소장 투입 승인 절차 수행</t>
        </is>
      </c>
      <c r="M9" s="67" t="inlineStr">
        <is>
          <t>👉 [더블클릭] 수행지침 열기 📄</t>
        </is>
      </c>
      <c r="N9" s="74" t="inlineStr">
        <is>
          <t>1) [자원 계획] 공정별 통신 인력, 장비 수급 및 자재 수량을 사전 정밀 대조하였는가?
2) [인력 자격] 통신 공종별 특급/고급 기술자 자격증 및 현장 배치 계획을 확인하였는가?</t>
        </is>
      </c>
      <c r="O9" s="78" t="inlineStr">
        <is>
          <t>👉 [더블클릭] 체크리스트 열기 📄</t>
        </is>
      </c>
      <c r="P9" s="68" t="n"/>
      <c r="Q9" s="75" t="inlineStr">
        <is>
          <t>● 관련분야 설계기준서 준수</t>
        </is>
      </c>
      <c r="R9" s="76" t="inlineStr">
        <is>
          <t>1) 👉 [더블클릭] 체크리스트 열기 📄</t>
        </is>
      </c>
      <c r="S9" s="73" t="n"/>
    </row>
    <row r="10" ht="210.6" customHeight="1">
      <c r="A10" s="61" t="inlineStr">
        <is>
          <t>9000</t>
        </is>
      </c>
      <c r="B10" s="61" t="inlineStr">
        <is>
          <t>9000-2</t>
        </is>
      </c>
      <c r="C10" s="61" t="inlineStr">
        <is>
          <t>통신분야</t>
        </is>
      </c>
      <c r="D10" s="61" t="inlineStr">
        <is>
          <t>9000-2-9</t>
        </is>
      </c>
      <c r="E10" s="61" t="inlineStr">
        <is>
          <t>착수 전 Big Room 회의</t>
        </is>
      </c>
      <c r="F10" s="61" t="inlineStr">
        <is>
          <t>현장소장</t>
        </is>
      </c>
      <c r="G10" s="60" t="inlineStr">
        <is>
          <t>통신공사 수행 시, 선행공정 간섭사항 및 각종 Risk에 대한 대책 수립</t>
        </is>
      </c>
      <c r="H10" s="62" t="inlineStr">
        <is>
          <t>본사/현장/협력사 협의체 구축 후 세부내용 검토
- 공종별 간섭사항 검토: 노반(궤도)/전기/신호/기계/PSD/차량 인터페이스
- 통신자재 반입/토목(도로/궤도)/자재 야적장/제작사 공장 검토
- 통신자재 성능보장, 유사사례 리스크관리 및 성능보증 사항 검토
- 하자 예방, 타 프로젝트 하자사례 검토 후 재발방지방안 수립
- 인원, 자재, 장비 투입계획, 인허가사항 요건계획 검토
- 검사의 각 안전공사 기준 공유, 감리검사 계획 확인
- 공종별 Risk Hedge 방안 검토
1) 안전/품질 Risk 요소 및 대책 수립
2) 민원 대응방안 수립</t>
        </is>
      </c>
      <c r="I10" s="61" t="inlineStr">
        <is>
          <t>Big Room 회의록(참석자 전원 서명)</t>
        </is>
      </c>
      <c r="J10" s="74" t="inlineStr">
        <is>
          <t>1) 공사 착수 전 발주처, 감리단, 시공사 및 타공종 합동 Big Room 회의를 통한 종합 공정 및 위험요인 검토
2) 간섭사항 사전 도출 및 공종 간 공정 마일스톤 협의록 작성 표준 적용</t>
        </is>
      </c>
      <c r="K10" s="67" t="inlineStr">
        <is>
          <t>👉 [더블클릭] 표준서 열기 📄</t>
        </is>
      </c>
      <c r="L10" s="74" t="inlineStr">
        <is>
          <t>1) Big Room 공조 기법: 발주처·감리단·타공종 시공사 참사 종합 공정 3D 워크스루 및 선행 공종 마일스톤 점검
2) 간섭 리스크 해소: 공사 착수 전 분야별 간섭 위험 요소를 발굴하여 헷지 방안 수립 및 Big Room 회의록 최종 승인</t>
        </is>
      </c>
      <c r="M10" s="67" t="inlineStr">
        <is>
          <t>👉 [더블클릭] 수행지침 열기 📄</t>
        </is>
      </c>
      <c r="N10" s="74" t="inlineStr">
        <is>
          <t>1) [Big Room 체계] 본사/현장/협력사 3자 Big Room 협의체를 구축하고 착수 세부 실행계획을 대조하였는가?
2) [인터페이스] 노반(궤도)/전기/신호/기계/차량 5대 공종 간 관통 경로 및 간섭점을 사전 도출 검출하였는가?</t>
        </is>
      </c>
      <c r="O10" s="67" t="inlineStr">
        <is>
          <t>👉 [더블클릭] 체크리스트 열기 📄</t>
        </is>
      </c>
      <c r="P10" s="68" t="n"/>
      <c r="Q10" s="75" t="inlineStr">
        <is>
          <t>● 관련분야 설계기준서 준수</t>
        </is>
      </c>
      <c r="R10" s="76" t="inlineStr">
        <is>
          <t>1) 👉 [더블클릭] 체크리스트 열기 📄</t>
        </is>
      </c>
      <c r="S10" s="73" t="n"/>
    </row>
    <row r="11" ht="115.2" customHeight="1">
      <c r="A11" s="61" t="inlineStr">
        <is>
          <t>9000</t>
        </is>
      </c>
      <c r="B11" s="61" t="inlineStr">
        <is>
          <t>9000-2</t>
        </is>
      </c>
      <c r="C11" s="61" t="inlineStr">
        <is>
          <t>통신분야</t>
        </is>
      </c>
      <c r="D11" s="61" t="inlineStr">
        <is>
          <t>9000-2-10</t>
        </is>
      </c>
      <c r="E11" s="61" t="inlineStr">
        <is>
          <t>통신설비 제작 사양서 작성 / 승인</t>
        </is>
      </c>
      <c r="F11" s="61" t="inlineStr">
        <is>
          <t>현장 시스템팀</t>
        </is>
      </c>
      <c r="G11" s="60" t="inlineStr">
        <is>
          <t>실제 설치되는 통신설비의 사양서를 확정하고 제작 사양서를 작성/승인</t>
        </is>
      </c>
      <c r="H11" s="62" t="inlineStr">
        <is>
          <t>- 현장여건 및 실시설계계획보고서/포함자재사양서의 요구사항 충족 여부를 확인
- 제작사양서, 제작도면 작성 후 감리단 승인</t>
        </is>
      </c>
      <c r="I11" s="61" t="inlineStr">
        <is>
          <t>제작사양서, 제작도면</t>
        </is>
      </c>
      <c r="J11" s="74" t="inlineStr">
        <is>
          <t>1) 통신설비 세부 기술사양서, 랙 배열도(Shop Drawing) 및 전기적/기계적 상세 도면 작성 검토
2) 감리단 및 발주처 승인을 위한 제작사양서 승인 신청서 및 공학적 승인 표준 적용</t>
        </is>
      </c>
      <c r="K11" s="67" t="inlineStr">
        <is>
          <t>👉 [더블클릭] 표준서 열기 📄</t>
        </is>
      </c>
      <c r="L11" s="74" t="inlineStr">
        <is>
          <t>1) 제작도서 상세 검토: 통신 랙 배열도(Shop Drawing), 전원 분배기 용량 및 단위 기기 기술 사양서 정밀 분석
2) 공학적 승인 신청: 발주처 입찰시방과 제작사양서 1:1 대조 검증 및 감리단 공학적 승인 제출 절차 수행</t>
        </is>
      </c>
      <c r="M11" s="67" t="inlineStr">
        <is>
          <t>👉 [더블클릭] 수행지침 열기 📄</t>
        </is>
      </c>
      <c r="N11" s="74" t="inlineStr">
        <is>
          <t>1) [도서 대조] 기본/실시설계도서(보고서, 도면, 자재사양서)와 현장 기계실·역사 치수를 1:1 대조·확인하였는가?
2) [사양서 정의] 실제 제작·설치될 통신설비의 전기적·기계적 세부 규격 및 제작도면(Shop Drawing)을 작성하였는가?</t>
        </is>
      </c>
      <c r="O11" s="67" t="inlineStr">
        <is>
          <t>👉 [더블클릭] 체크리스트 열기 📄</t>
        </is>
      </c>
      <c r="P11" s="68" t="n"/>
      <c r="Q11" s="75" t="inlineStr">
        <is>
          <t>● 관련분야 설계기준서 준수</t>
        </is>
      </c>
      <c r="R11" s="76" t="inlineStr">
        <is>
          <t>1) 👉 [더블클릭] 체크리스트 열기 📄</t>
        </is>
      </c>
      <c r="S11" s="73" t="n"/>
    </row>
    <row r="12" ht="115.2" customHeight="1">
      <c r="A12" s="61" t="inlineStr">
        <is>
          <t>9000</t>
        </is>
      </c>
      <c r="B12" s="61" t="inlineStr">
        <is>
          <t>9000-2</t>
        </is>
      </c>
      <c r="C12" s="61" t="inlineStr">
        <is>
          <t>통신분야</t>
        </is>
      </c>
      <c r="D12" s="61" t="inlineStr">
        <is>
          <t>9000-2-11</t>
        </is>
      </c>
      <c r="E12" s="61" t="inlineStr">
        <is>
          <t>시공 계획 수립 / 승인</t>
        </is>
      </c>
      <c r="F12" s="61" t="inlineStr">
        <is>
          <t>현장 시스템팀</t>
        </is>
      </c>
      <c r="G12" s="60" t="inlineStr">
        <is>
          <t>안전/품질이 확보된 시공계획 수립</t>
        </is>
      </c>
      <c r="H12" s="60" t="inlineStr">
        <is>
          <t>- 공사계획: 예정공정표, 인원/장비/자재투입 계획, 통신자재 설치 절차서 등
- 안전관리: 위험요인/대책, 안전교육/시설/점검 계획 수립
- 품질관리: 품질하자 Risk 및 대책 수립
- 인허가: 자가전기통신설비 설치신고 접수</t>
        </is>
      </c>
      <c r="I12" s="61" t="inlineStr">
        <is>
          <t>시공계획서&amp;시공상세도, 자가전기통신설비 신고서/계획서</t>
        </is>
      </c>
      <c r="J12" s="74" t="inlineStr">
        <is>
          <t>1) 통신공사 공정별 상세 시공절차서, 안전관리계획서, 품질관리계획서 및 세부 공정표 수립
2) 통신설비 설치 공법 타당성 및 감리단 시공계획서 승인 제출 표준 적용</t>
        </is>
      </c>
      <c r="K12" s="67" t="inlineStr">
        <is>
          <t>👉 [더블클릭] 표준서 열기 📄</t>
        </is>
      </c>
      <c r="L12" s="74" t="inlineStr">
        <is>
          <t>1) 세부 시공절차 수립: 통신 관로/트레이 포설, 광케이블 접속, 기계실 랙 설치 절차서 및 안전/품질 관리계획 작성
2) 감리 승인 및 이행: 시공상세도(Shop Drawing) 첨부, 현장 안전 위험성 평가 실시 및 감리단 시공계획서 승인 완료</t>
        </is>
      </c>
      <c r="M12" s="67" t="inlineStr">
        <is>
          <t>👉 [더블클릭] 수행지침 열기 📄</t>
        </is>
      </c>
      <c r="N12" s="74" t="inlineStr">
        <is>
          <t>1) [도서 대조] 기본/실시설계 보고서, 시방서 수치와 현장 통신기계실 실측 치수를 1:1 대조·확인하였는가?
2) [안전 대책] 통신기계실 DC -48V 감전 방지 및 정거장 고소작업 시 안전대/2인1조 작업 대책을 수립하였는가?</t>
        </is>
      </c>
      <c r="O12" s="67" t="inlineStr">
        <is>
          <t>👉 [더블클릭] 체크리스트 열기 📄</t>
        </is>
      </c>
      <c r="P12" s="68" t="n"/>
      <c r="Q12" s="75" t="inlineStr">
        <is>
          <t>● 관련분야 설계기준서 준수</t>
        </is>
      </c>
      <c r="R12" s="76" t="inlineStr">
        <is>
          <t>1) 👉 [더블클릭] 체크리스트 열기 📄</t>
        </is>
      </c>
      <c r="S12" s="73" t="n"/>
    </row>
    <row r="13" ht="115.2" customHeight="1">
      <c r="A13" s="61" t="inlineStr">
        <is>
          <t>9000</t>
        </is>
      </c>
      <c r="B13" s="61" t="inlineStr">
        <is>
          <t>9000-2</t>
        </is>
      </c>
      <c r="C13" s="61" t="inlineStr">
        <is>
          <t>통신분야</t>
        </is>
      </c>
      <c r="D13" s="61" t="inlineStr">
        <is>
          <t>9000-2-12</t>
        </is>
      </c>
      <c r="E13" s="61" t="inlineStr">
        <is>
          <t>자재공급원 검토 및 승인</t>
        </is>
      </c>
      <c r="F13" s="61" t="inlineStr">
        <is>
          <t>현장 시스템팀</t>
        </is>
      </c>
      <c r="G13" s="60" t="inlineStr">
        <is>
          <t>통신설비의 시공성과 품질, 기능 확보를 위한 자재 공급원 검토 및 승인</t>
        </is>
      </c>
      <c r="H13" s="60" t="inlineStr">
        <is>
          <t>- 통신자재제작능력, 유사사례 납품실적 확인
- 성능보증 가능한 통신자재 업체 Pool 검토
- 통신자재 설치 실적 및 설계능력 확인
- 보안성검토 결과 확인</t>
        </is>
      </c>
      <c r="I13" s="61" t="inlineStr">
        <is>
          <t>자재공급원/제작도서 승인 서류, 보안성검토 결과서</t>
        </is>
      </c>
      <c r="J13" s="74" t="inlineStr">
        <is>
          <t>1) 통신 주요 자재 및 기기 자재공급원 승인 서류(KS 인증, 시험성적서, 사업자등록증 등) 검토
2) 성능보증이 가능한 복수 자재공급원 승인 서류 수립 및 감리 승인 표준 적용</t>
        </is>
      </c>
      <c r="K13" s="67" t="inlineStr">
        <is>
          <t>👉 [더블클릭] 표준서 열기 📄</t>
        </is>
      </c>
      <c r="L13" s="74" t="inlineStr">
        <is>
          <t>1) 승인 서류 정밀 검토: 제조사 공장등록증, KS/KC 인증서, 최근 3년 납품 실적 및 공인시험기관 시험성적서 확인
2) 자재 승인 및 관리: 복수 공급원 비교 검토서 작성, 불량 자재 차단 헷지 및 감리단 자재공급원 승인 획득</t>
        </is>
      </c>
      <c r="M13" s="67" t="inlineStr">
        <is>
          <t>👉 [더블클릭] 수행지침 열기 📄</t>
        </is>
      </c>
      <c r="N13" s="74" t="inlineStr">
        <is>
          <t>1) [서류 수집] 공장등록증, 사업자등록증, 카탈로그, A/S 확약서 등 6대 필수 제출 서류를 수집·확인하였는가?
2) [사양 대조] 설계도서 수치(KCS 31 10 00)와 자재 카탈로그 규격 간 1:1 대조표를 정확히 작성하였는가?</t>
        </is>
      </c>
      <c r="O13" s="67" t="inlineStr">
        <is>
          <t>👉 [더블클릭] 체크리스트 열기 📄</t>
        </is>
      </c>
      <c r="P13" s="68" t="n"/>
      <c r="Q13" s="75" t="inlineStr">
        <is>
          <t>● 관련분야 설계기준서 준수</t>
        </is>
      </c>
      <c r="R13" s="76" t="inlineStr">
        <is>
          <t>1) 👉 [더블클릭] 체크리스트 열기 📄</t>
        </is>
      </c>
      <c r="S13" s="73" t="n"/>
    </row>
    <row r="14" ht="192" customHeight="1">
      <c r="A14" s="61" t="inlineStr">
        <is>
          <t>9000</t>
        </is>
      </c>
      <c r="B14" s="61" t="inlineStr">
        <is>
          <t>9000-2</t>
        </is>
      </c>
      <c r="C14" s="61" t="inlineStr">
        <is>
          <t>통신분야</t>
        </is>
      </c>
      <c r="D14" s="61" t="inlineStr">
        <is>
          <t>9000-2-13</t>
        </is>
      </c>
      <c r="E14" s="61" t="inlineStr">
        <is>
          <t>통신설비 공정제작 / 제작사 공장검사</t>
        </is>
      </c>
      <c r="F14" s="61" t="inlineStr">
        <is>
          <t>현장 시스템팀</t>
        </is>
      </c>
      <c r="G14" s="60" t="inlineStr">
        <is>
          <t>제작사양서/제작도면의 일치여부검토 및 현장반입 전 공장 성능검사 확인</t>
        </is>
      </c>
      <c r="H14" s="60" t="inlineStr">
        <is>
          <t>- 외산자재 등 Delivery 일정 확인
- 제작도서 기준으로 최종 제작상태 확인
- 제작도면과 일치여부 확인
- 공장 내 성능검사 시험 실시
[공장검사 대상 항목]
- 영상장치장치, 행선안내장치, 구내방송장치, 전송설비, 역무자동화설비, 열차무선안내장치, 여객자동안내장치, 열차무선설비, 재난방송수신설비, 선로변 통합인터페이스 통신설비, 역무용통신설비, 백본스위치, L3스위치, 광케이블, 케이블 안테나 CCTV용 Pole</t>
        </is>
      </c>
      <c r="I14" s="61" t="inlineStr">
        <is>
          <t>공장검사 결과보고서 (감리 및 관계기관 입회)</t>
        </is>
      </c>
      <c r="J14" s="74" t="inlineStr">
        <is>
          <t>1) 통신 기기 제작 공정 진행률 점검 및 공장시험(FAT, Factory Acceptance Test) 절차서 작성
2) 공장 수검 검사, 품질 성능 시험성적서 확인 및 공장검사 합격증명서 발급 표준 적용</t>
        </is>
      </c>
      <c r="K14" s="67" t="inlineStr">
        <is>
          <t>👉 [더블클릭] 표준서 열기 📄</t>
        </is>
      </c>
      <c r="L14" s="74" t="inlineStr">
        <is>
          <t>1) 공장검사(FAT) 준비: 제작사 공장 제작 공정률 점검, FAT 시험절차서 검토 및 검사 입회 일정 수립
2) 입회 검사 실시: 전원 인입, 기능 시험, 방수/내열 공인시험 실측 확인 및 FAT 공장검사 합격증명서 획득</t>
        </is>
      </c>
      <c r="M14" s="67" t="inlineStr">
        <is>
          <t>👉 [더블클릭] 수행지침 열기 📄</t>
        </is>
      </c>
      <c r="N14" s="74" t="inlineStr">
        <is>
          <t>1) [외산자재 납기] 수입 광모듈, 스위치 칩셋의 선적/통관 서류(B/L)를 검수하여 현장 기계실 반입 주공정표(CPM) 대비 납기를 확인하였는가?
2) [ITP 승인] 감리 승인된 ITP 절차서와 절연저항계(Megger), OTDR의 교정 유효기간 증명서를 사전 확인하였는가?</t>
        </is>
      </c>
      <c r="O14" s="67" t="inlineStr">
        <is>
          <t>👉 [더블클릭] 체크리스트 열기 📄</t>
        </is>
      </c>
      <c r="P14" s="68" t="n"/>
      <c r="Q14" s="75" t="inlineStr">
        <is>
          <t>● 관련분야 설계기준서 준수</t>
        </is>
      </c>
      <c r="R14" s="76" t="inlineStr">
        <is>
          <t>1) 👉 [더블클릭] 체크리스트 열기 📄</t>
        </is>
      </c>
      <c r="S14" s="73" t="n"/>
    </row>
    <row r="15" ht="115.2" customHeight="1">
      <c r="A15" s="61" t="inlineStr">
        <is>
          <t>9000</t>
        </is>
      </c>
      <c r="B15" s="61" t="inlineStr">
        <is>
          <t>9000-2</t>
        </is>
      </c>
      <c r="C15" s="61" t="inlineStr">
        <is>
          <t>통신분야</t>
        </is>
      </c>
      <c r="D15" s="61" t="inlineStr">
        <is>
          <t>9000-2-14</t>
        </is>
      </c>
      <c r="E15" s="61" t="inlineStr">
        <is>
          <t>본공사 전 선행공정 인수인계 점검</t>
        </is>
      </c>
      <c r="F15" s="61" t="inlineStr">
        <is>
          <t>현장 시스템팀</t>
        </is>
      </c>
      <c r="G15" s="60" t="inlineStr">
        <is>
          <t>통신설비 설치를 위한 현장점검/정리 상태 확인(기능실: 건축,전기/현장: 노반)</t>
        </is>
      </c>
      <c r="H15" s="60" t="inlineStr">
        <is>
          <t>- 통신설비 설치 시 간섭여부 점검
- 현장 정리상태 점검 (건축마감, 공조, 조명, 전원 등)
- 장비설치를 위한 자체반입구 및 케이블 설치를 위한 공동구/오프닝 위치 확인</t>
        </is>
      </c>
      <c r="I15" s="61" t="inlineStr">
        <is>
          <t>기록지, 현장점검결과보고서(감리입회)</t>
        </is>
      </c>
      <c r="J15" s="74" t="inlineStr">
        <is>
          <t>1) 토목·건축 선행 공정 완료 후 통신 기계실, 케이블 트레이, 관로 인수인계 현장 상태 검측
2) 바닥 엑세스플로어, 방화 구획 및 기초 구조체 인수인계 확인서 작성 표준 적용</t>
        </is>
      </c>
      <c r="K15" s="67" t="inlineStr">
        <is>
          <t>👉 [더블클릭] 표준서 열기 📄</t>
        </is>
      </c>
      <c r="L15" s="74" t="inlineStr">
        <is>
          <t>1) 선행 공종 실측 검측: 토목·건축 완료 기계실 바닥 엑세스플로어, 케이블 트레이, 방화 구획 및 랙 기초 상태 검사
2) 인수인계 승인: 미비 사항 현장 보완 조치 요구 및 통신 시공 적격 선행 공정 인수인계 확인서 최종 승인</t>
        </is>
      </c>
      <c r="M15" s="78" t="inlineStr">
        <is>
          <t>👉 [더블클릭] 수행지침 열기 📄</t>
        </is>
      </c>
      <c r="N15" s="74" t="inlineStr">
        <is>
          <t>1) 토목 배관 도면 및 건축 구조물 도면을 대조하여 통신기계실 오프닝 위치, 지중관로 규격(Ø100/Ø50) 및 핸드홀 설치 좌표를 사전 검토하였는가?
2) 토목, 건축, 통신 현장 담당자 3자 공조 체계를 구성하고 현장 합동 점검표, Mandrel 도통시험기 및 레이저 레벨기를 사전 준비하였는가?</t>
        </is>
      </c>
      <c r="O15" s="67" t="inlineStr">
        <is>
          <t>👉 [더블클릭] 체크리스트 열기 📄</t>
        </is>
      </c>
      <c r="P15" s="68" t="n"/>
      <c r="Q15" s="75" t="inlineStr">
        <is>
          <t>● 관련분야 설계기준서 준수</t>
        </is>
      </c>
      <c r="R15" s="76" t="inlineStr">
        <is>
          <t>1) 👉 [더블클릭] 체크리스트 열기 📄</t>
        </is>
      </c>
      <c r="S15" s="73" t="n"/>
    </row>
    <row r="16" ht="115.2" customHeight="1">
      <c r="A16" s="61" t="inlineStr">
        <is>
          <t>9000</t>
        </is>
      </c>
      <c r="B16" s="61" t="inlineStr">
        <is>
          <t>9000-2</t>
        </is>
      </c>
      <c r="C16" s="61" t="inlineStr">
        <is>
          <t>통신분야</t>
        </is>
      </c>
      <c r="D16" s="61" t="inlineStr">
        <is>
          <t>9000-2-15</t>
        </is>
      </c>
      <c r="E16" s="61" t="inlineStr">
        <is>
          <t>장비반입 및 안전교육</t>
        </is>
      </c>
      <c r="F16" s="61" t="inlineStr">
        <is>
          <t>현장 시스템팀 / 안전팀</t>
        </is>
      </c>
      <c r="G16" s="60" t="inlineStr">
        <is>
          <t>장비 반입 준비 및 안전교육 완료</t>
        </is>
      </c>
      <c r="H16" s="60" t="inlineStr">
        <is>
          <t>- 자재반입 경로, 적치장소에 대한 사전확인 및 타분야 일정, 간섭사항 협의/확인
- 장비 Spec확인, 장비상태 점검
- 작업원 안전교육 실시</t>
        </is>
      </c>
      <c r="I16" s="61" t="inlineStr">
        <is>
          <t>안전교육 결과서, 측량기록지</t>
        </is>
      </c>
      <c r="J16" s="74" t="inlineStr">
        <is>
          <t>1) 통신 시공 장비 및 차량 반입 전 장비 안전점검 및 작업자 특별안전보건교육 실시
2) 장비 반입 허가서 작성 및 안전 교육 이수 수료증 관리 표준 적용</t>
        </is>
      </c>
      <c r="K16" s="78" t="inlineStr">
        <is>
          <t>👉 [더블클릭] 표준서 열기 📄</t>
        </is>
      </c>
      <c r="L16" s="74" t="inlineStr">
        <is>
          <t>1) 장비 안전점검: 고소작업차, 광접속 차량 반입 전 안전 검사 및 작업 장비 반입 신청서 검토
2) 안전 교육 이수: 통신 시공 작업자 대상 특별안전보건교육, 보호구 착용 점검 및 안전 교육 이수 수료 관리</t>
        </is>
      </c>
      <c r="M16" s="67" t="inlineStr">
        <is>
          <t>👉 [더블클릭] 수행지침 열기 📄</t>
        </is>
      </c>
      <c r="N16" s="74" t="inlineStr">
        <is>
          <t>1) 화물차 반입 도로의 유효 폭(W≥3.5m) 및 지상 가설재 장애물(0cm) 상태를 확인하였는가?
2) 토목/건축 등 타분야 양중 작업 간섭 여부를 사전 협의하고 양중 시간대를 분리 조율하였는가?</t>
        </is>
      </c>
      <c r="O16" s="67" t="inlineStr">
        <is>
          <t>👉 [더블클릭] 체크리스트 열기 📄</t>
        </is>
      </c>
      <c r="P16" s="68" t="n"/>
      <c r="Q16" s="75" t="inlineStr">
        <is>
          <t>● 관련분야 설계기준서 준수</t>
        </is>
      </c>
      <c r="R16" s="76" t="inlineStr">
        <is>
          <t>1) 👉 [더블클릭] 체크리스트 열기 📄</t>
        </is>
      </c>
      <c r="S16" s="73" t="n"/>
    </row>
    <row r="17" ht="115.2" customHeight="1">
      <c r="A17" s="61" t="inlineStr">
        <is>
          <t>9000</t>
        </is>
      </c>
      <c r="B17" s="61" t="inlineStr">
        <is>
          <t>9000-2</t>
        </is>
      </c>
      <c r="C17" s="61" t="inlineStr">
        <is>
          <t>통신분야</t>
        </is>
      </c>
      <c r="D17" s="61" t="inlineStr">
        <is>
          <t>9000-2-16</t>
        </is>
      </c>
      <c r="E17" s="61" t="inlineStr">
        <is>
          <t>자재 반입 및 검수</t>
        </is>
      </c>
      <c r="F17" s="61" t="inlineStr">
        <is>
          <t>현장소장 및 발주청/공동감리단</t>
        </is>
      </c>
      <c r="G17" s="60" t="inlineStr">
        <is>
          <t>공장검사 시행 완료된 자재반입과 현장 입고 검사</t>
        </is>
      </c>
      <c r="H17" s="60" t="inlineStr">
        <is>
          <t>- 자재 하차 위치 및 반입동선 확인
- 승인된 자재 일치여부 확인(Serial number 등)
- 제품의 규격, 수량 도면과 일치하는지 검토</t>
        </is>
      </c>
      <c r="I17" s="61" t="inlineStr">
        <is>
          <t>자재검수서</t>
        </is>
      </c>
      <c r="J17" s="74" t="inlineStr">
        <is>
          <t>1) 현장 반입 통신 자재 및 케이블의 승인 자재 일치성, 수량 및 운반 파손 여부 검수
2) 자재검수 요청서 작성 및 감리 입회 검수 합격 확인 표준 적용</t>
        </is>
      </c>
      <c r="K17" s="67" t="inlineStr">
        <is>
          <t>👉 [더블클릭] 표준서 열기 📄</t>
        </is>
      </c>
      <c r="L17" s="74" t="inlineStr">
        <is>
          <t>1) 반입 자재 현장 검측: 자재 반입 시 자재공급원 승인품 일치 여부, 운반 외관 파손 및 시리얼 번호 현장 검수
2) 자재검수 보고: 감리 입회 자재 검수 실시, 자재검수 요청서 결재 및 현장 통신 자재 창고 입고 관리</t>
        </is>
      </c>
      <c r="M17" s="67" t="inlineStr">
        <is>
          <t>👉 [더블클릭] 수행지침 열기 📄</t>
        </is>
      </c>
      <c r="N17" s="74" t="inlineStr">
        <is>
          <t>1) 시방 대조[도면 및 여건] 자재 하차 위치 및 반입동선 확인 수칙을 사전 대조 확인하였는가?
2) 업체 Pool[적격 업체] 철도/트램 시공 및 영업운행 실적이 입증된 적격 업체 Pool을 검토하였는가?</t>
        </is>
      </c>
      <c r="O17" s="78" t="inlineStr">
        <is>
          <t>👉 [더블클릭] 체크리스트 열기 📄</t>
        </is>
      </c>
      <c r="P17" s="68" t="n"/>
      <c r="Q17" s="75" t="inlineStr">
        <is>
          <t>● 관련분야 설계기준서 준수</t>
        </is>
      </c>
      <c r="R17" s="76" t="inlineStr">
        <is>
          <t>1) 👉 [더블클릭] 체크리스트 열기 📄</t>
        </is>
      </c>
      <c r="S17" s="73" t="n"/>
    </row>
    <row r="18" ht="115.2" customHeight="1">
      <c r="A18" s="61" t="inlineStr">
        <is>
          <t>9000</t>
        </is>
      </c>
      <c r="B18" s="61" t="inlineStr">
        <is>
          <t>9000-2</t>
        </is>
      </c>
      <c r="C18" s="61" t="inlineStr">
        <is>
          <t>통신분야</t>
        </is>
      </c>
      <c r="D18" s="61" t="inlineStr">
        <is>
          <t>9000-2-17</t>
        </is>
      </c>
      <c r="E18" s="61" t="inlineStr">
        <is>
          <t>통신설비 반입 및 설치</t>
        </is>
      </c>
      <c r="F18" s="61" t="inlineStr">
        <is>
          <t>현장소장 및 분야별 전담팀</t>
        </is>
      </c>
      <c r="G18" s="60" t="inlineStr">
        <is>
          <t>설계에 부합되도록 통신설비 설치</t>
        </is>
      </c>
      <c r="H18" s="62" t="inlineStr">
        <is>
          <t>- 시공샘플이 필요한 대상을 감리/감독과 협의하여 선정후 시공검사 실시
- 현장 선로변 설비, 각종 케이블 포설
- 기계실 내 서버랙 및 각종 단말장치 설치 (카메라, 인터폰 등)
- 통신실내 케이블 배선
- 통신설비가 도면대로 설치되었는지 확인</t>
        </is>
      </c>
      <c r="I18" s="61" t="inlineStr">
        <is>
          <t>검측서</t>
        </is>
      </c>
      <c r="J18" s="74" t="inlineStr">
        <is>
          <t>1) 통신 기계실 랙 설비, 본선 관로 광케이블 포설 및 역무 통신 기기 수평/수직 시공 설치
2) 케이블 성단, OTDR 접속 및 설비 고정 상태 검측 표준 적용</t>
        </is>
      </c>
      <c r="K18" s="67" t="inlineStr">
        <is>
          <t>👉 [더블클릭] 표준서 열기 📄</t>
        </is>
      </c>
      <c r="L18" s="74" t="inlineStr">
        <is>
          <t>1) 설치 실무 절차: 통신 기계실 랙 고정, 광케이블/UTP 포설, 성단 작업 및 역사 역무 통신 기기 수평/수직 시공
2) 접속 및 검측: OTDR 접속 손실(≤0.05dB) 측정, 랙 전원 인입 배선 정리 및 설비 고정 상태 감리 검측</t>
        </is>
      </c>
      <c r="M18" s="67" t="inlineStr">
        <is>
          <t>👉 [더블클릭] 수행지침 열기 📄</t>
        </is>
      </c>
      <c r="N18" s="74" t="inlineStr">
        <is>
          <t>1) 본 시공 착수 전 통신기계실 랙 배선 정돈 및 마킹 표찰 샘플을 감리단과 사전 검측하였는가?
2) 72-Core 광케이블 융착 접속 트레이 정돈 및 접속 손실 샘플 시공 승인을 획득하였는가?</t>
        </is>
      </c>
      <c r="O18" s="78" t="inlineStr">
        <is>
          <t>👉 [더블클릭] 체크리스트 열기 📄</t>
        </is>
      </c>
      <c r="P18" s="68" t="n"/>
      <c r="Q18" s="75" t="inlineStr">
        <is>
          <t>● 관련분야 설계기준서 준수</t>
        </is>
      </c>
      <c r="R18" s="76" t="inlineStr">
        <is>
          <t>1) 👉 [더블클릭] 체크리스트 열기 📄</t>
        </is>
      </c>
      <c r="S18" s="73" t="n"/>
    </row>
    <row r="19" ht="115.2" customHeight="1">
      <c r="A19" s="61" t="inlineStr">
        <is>
          <t>9000</t>
        </is>
      </c>
      <c r="B19" s="61" t="inlineStr">
        <is>
          <t>9000-2</t>
        </is>
      </c>
      <c r="C19" s="61" t="inlineStr">
        <is>
          <t>통신분야</t>
        </is>
      </c>
      <c r="D19" s="61" t="inlineStr">
        <is>
          <t>9000-2-18</t>
        </is>
      </c>
      <c r="E19" s="61" t="inlineStr">
        <is>
          <t>관제설비 설치</t>
        </is>
      </c>
      <c r="F19" s="61" t="inlineStr">
        <is>
          <t>현장소장</t>
        </is>
      </c>
      <c r="G19" s="60" t="inlineStr">
        <is>
          <t>관제설비의 정위치 배치 및 설치</t>
        </is>
      </c>
      <c r="H19" s="62" t="inlineStr">
        <is>
          <t>- 랙 베이스/케이블 등 설치 위치를 확인하고 설치후에는 도면과 일치 여부를 체크
- 철도 교통관제(구로/대전)와 연동할 수 있게 광전송/열차무선 설비 등을 설치하고 확인</t>
        </is>
      </c>
      <c r="I19" s="61" t="inlineStr">
        <is>
          <t>검측서</t>
        </is>
      </c>
      <c r="J19" s="74" t="inlineStr">
        <is>
          <t>1) 종합관제센터 관제 콘솔, 대형 표시장치(DLP/LFD), 관제 서버 및 네트워크 설비 설치
2) 관제 시스템 전원 인입, 배선 정리 및 관제 환경 설치 검측 표준 적용</t>
        </is>
      </c>
      <c r="K19" s="67" t="inlineStr">
        <is>
          <t>👉 [더블클릭] 표준서 열기 📄</t>
        </is>
      </c>
      <c r="L19" s="74" t="inlineStr">
        <is>
          <t>1) 관제 환경 설치 절차: 종합관제센터 관제 콘솔 고정, DLP/LFD 대형 화면 설치, 관제 서버 랙 반입 및 배선 정리
2) 전원 및 계통 검측: 관제 전원 분배기 전원 인입, 이중화 네트워크 케이블 성단 및 관제실 설치 상태 확인</t>
        </is>
      </c>
      <c r="M19" s="67" t="inlineStr">
        <is>
          <t>👉 [더블클릭] 수행지침 열기 📄</t>
        </is>
      </c>
      <c r="N19" s="74" t="inlineStr">
        <is>
          <t>1) OCC 관제실 전면 비디오 월 마운트 거치 프레임 레이저 수평 오차(±1.0mm 이내)를 실측하였는가?
2) 멀티 디스플레이 패널 간 베젤 이격 단차(≤0.5mm) 미세 조율 및 방진 가스켓 부착을 완료하였는가?</t>
        </is>
      </c>
      <c r="O19" s="67" t="inlineStr">
        <is>
          <t>👉 [더블클릭] 체크리스트 열기 📄</t>
        </is>
      </c>
      <c r="P19" s="68" t="n"/>
      <c r="Q19" s="75" t="inlineStr">
        <is>
          <t>● 관련분야 설계기준서 준수</t>
        </is>
      </c>
      <c r="R19" s="76" t="inlineStr">
        <is>
          <t>1) 👉 [더블클릭] 체크리스트 열기 📄</t>
        </is>
      </c>
      <c r="S19" s="73" t="n"/>
    </row>
    <row r="20" ht="115.2" customHeight="1">
      <c r="A20" s="61" t="inlineStr">
        <is>
          <t>9000</t>
        </is>
      </c>
      <c r="B20" s="61" t="inlineStr">
        <is>
          <t>9000-2</t>
        </is>
      </c>
      <c r="C20" s="61" t="inlineStr">
        <is>
          <t>통신분야</t>
        </is>
      </c>
      <c r="D20" s="61" t="inlineStr">
        <is>
          <t>9000-2-19</t>
        </is>
      </c>
      <c r="E20" s="61" t="inlineStr">
        <is>
          <t>통신시스템 단위시험</t>
        </is>
      </c>
      <c r="F20" s="61" t="inlineStr">
        <is>
          <t>현장 시스템팀</t>
        </is>
      </c>
      <c r="G20" s="60" t="inlineStr">
        <is>
          <t>통신설비(열차에 설치하는 차상통신 장치 포함)설치 후 전원투입 및 기능검증</t>
        </is>
      </c>
      <c r="H20" s="62" t="inlineStr">
        <is>
          <t>- ITP/ITC에 따라 시험/검사를 감리 확인</t>
        </is>
      </c>
      <c r="I20" s="61" t="inlineStr">
        <is>
          <t>감리단 입회검사 및 시험점검표(ITP/ITC)</t>
        </is>
      </c>
      <c r="J20" s="74" t="inlineStr">
        <is>
          <t>1) 통신 개별 단위 설비(LTE-R, 방송, CCTV, 역무, 전화 등) 전원 투입 및 단독 시험 실시
2) 설비별 단위시험 절차서 준수 및 단독 기능 시험성적서 작성 표준 적용</t>
        </is>
      </c>
      <c r="K20" s="67" t="inlineStr">
        <is>
          <t>👉 [더블클릭] 표준서 열기 📄</t>
        </is>
      </c>
      <c r="L20" s="74" t="inlineStr">
        <is>
          <t>1) 단독 시험 수행: LTE-R 기지국/제어기, 방송, CCTV, 역무, 전화 등 개별 시스템 단위 전원 인입 및 단독 시험
2) 단위성적서 작성: 단위시험 절차서 항목별 성능 측정, 불합격 항목 보완 조치 및 단위시험 성과표 확정</t>
        </is>
      </c>
      <c r="M20" s="67" t="inlineStr">
        <is>
          <t>👉 [더블클릭] 수행지침 열기 📄</t>
        </is>
      </c>
      <c r="N20" s="74" t="inlineStr">
        <is>
          <t>1) 통신기계실 LTE-R DU 제어기 및 옥외 RU 무선장치에 단독 전원(220V/48V) 투입 후 부팅 정상 상태를 확인하였는가?
2) RF 파워메터로 무선장치(RU) 송신 출력을 계측하여 표준 규격(43dBm ±0.5dB) 이내임을 검측하였는가?</t>
        </is>
      </c>
      <c r="O20" s="78" t="inlineStr">
        <is>
          <t>👉 [더블클릭] 체크리스트 열기 📄</t>
        </is>
      </c>
      <c r="P20" s="68" t="n"/>
      <c r="Q20" s="75" t="inlineStr">
        <is>
          <t>● 관련분야 설계기준서 준수</t>
        </is>
      </c>
      <c r="R20" s="76" t="inlineStr">
        <is>
          <t>1) 👉 [더블클릭] 체크리스트 열기 📄</t>
        </is>
      </c>
      <c r="S20" s="73" t="n"/>
    </row>
    <row r="21" ht="115.2" customHeight="1">
      <c r="A21" s="61" t="inlineStr">
        <is>
          <t>9000</t>
        </is>
      </c>
      <c r="B21" s="61" t="inlineStr">
        <is>
          <t>9000-2</t>
        </is>
      </c>
      <c r="C21" s="61" t="inlineStr">
        <is>
          <t>통신분야</t>
        </is>
      </c>
      <c r="D21" s="61" t="inlineStr">
        <is>
          <t>9000-2-20</t>
        </is>
      </c>
      <c r="E21" s="61" t="inlineStr">
        <is>
          <t>통신시스템 통합시험</t>
        </is>
      </c>
      <c r="F21" s="61" t="inlineStr">
        <is>
          <t>현장 시스템팀</t>
        </is>
      </c>
      <c r="G21" s="60" t="inlineStr">
        <is>
          <t>관제설비를 포함한 통신망 통합 검증</t>
        </is>
      </c>
      <c r="H21" s="60" t="inlineStr">
        <is>
          <t>- 감리단 입회하에 검사/시험절차대로 수행
1) 관제실/현장설비간 인터페이스 시험
2) 지상 및 차상 인터페이스 시험</t>
        </is>
      </c>
      <c r="I21" s="61" t="inlineStr">
        <is>
          <t>감리단 입회검사 및 시험점검표(ITP/ITC)</t>
        </is>
      </c>
      <c r="J21" s="74" t="inlineStr">
        <is>
          <t>1) 통신 설비 간 데이터 연동, LTE-R 무선망 백본 이중화 절체 및 종합 네트워크 연동 시험
2) 통합시험 절차서 준수 및 이종 통신 설비 간 상호 연동성 검측 표준 적용</t>
        </is>
      </c>
      <c r="K21" s="67" t="inlineStr">
        <is>
          <t>👉 [더블클릭] 표준서 열기 📄</t>
        </is>
      </c>
      <c r="L21" s="74" t="inlineStr">
        <is>
          <t>1) 연동 시험 수행: 통신 이종 시스템 간 데이터 연동, LTE-R 코어망 백본 이중화 절체 및 종합 네트워크 연동 시험
2) 통합 성과 확인: 관제-현장 장치 간 제어 응답속도 검측, 통합 시험 성과표 작성 및 감리 승인 완료</t>
        </is>
      </c>
      <c r="M21" s="78" t="inlineStr">
        <is>
          <t>👉 [더블클릭] 수행지침 열기 📄</t>
        </is>
      </c>
      <c r="N21" s="74" t="inlineStr">
        <is>
          <t>1) 관제센터 메인 방송 서버와 각 정거장 PIS 제어기 간 광전송 유선 인터페이스 통신 상태를 확인하였는가?
2) 관제 콘솔에서 PIS 문구 송출 명령 전송 시 현장 안내표시기 반응 지연 시간(≤0.5초 이내)을 검측하였는가?</t>
        </is>
      </c>
      <c r="O21" s="67" t="inlineStr">
        <is>
          <t>👉 [더블클릭] 체크리스트 열기 📄</t>
        </is>
      </c>
      <c r="P21" s="68" t="n"/>
      <c r="Q21" s="75" t="inlineStr">
        <is>
          <t>● 관련분야 설계기준서 준수</t>
        </is>
      </c>
      <c r="R21" s="76" t="inlineStr">
        <is>
          <t>1) 👉 [더블클릭] 체크리스트 열기 📄</t>
        </is>
      </c>
      <c r="S21" s="73" t="n"/>
    </row>
    <row r="22" ht="115.2" customHeight="1">
      <c r="A22" s="61" t="inlineStr">
        <is>
          <t>9000</t>
        </is>
      </c>
      <c r="B22" s="61" t="inlineStr">
        <is>
          <t>9000-2</t>
        </is>
      </c>
      <c r="C22" s="61" t="inlineStr">
        <is>
          <t>통신분야</t>
        </is>
      </c>
      <c r="D22" s="61" t="inlineStr">
        <is>
          <t>9000-2-21</t>
        </is>
      </c>
      <c r="E22" s="61" t="inlineStr">
        <is>
          <t>공종별 시험</t>
        </is>
      </c>
      <c r="F22" s="61" t="inlineStr">
        <is>
          <t>현장 시스템팀</t>
        </is>
      </c>
      <c r="G22" s="60" t="inlineStr">
        <is>
          <t>발주처가 관련 법령, 설계기준, 기술기준, 시방서 등의 요구사항에 적합하도록 설치되었는지를 확인</t>
        </is>
      </c>
      <c r="H22" s="60" t="inlineStr">
        <is>
          <t>- 철도종합시험운행 시행지침 제6조(공종별시험)에 따라 시행</t>
        </is>
      </c>
      <c r="I22" s="61" t="inlineStr">
        <is>
          <t>공종별 시험 결과보고서</t>
        </is>
      </c>
      <c r="J22" s="74" t="inlineStr">
        <is>
          <t>1) 철도 종합시험운행 지침에 의거한 통신 공종별 상세 시운전 시험 절차 수립
2) 공종별 시험 항목 검측, 무선 전계강도 측정 및 시험성적서 확정 표준 적용</t>
        </is>
      </c>
      <c r="K22" s="67" t="inlineStr">
        <is>
          <t>👉 [더블클릭] 표준서 열기 📄</t>
        </is>
      </c>
      <c r="L22" s="74" t="inlineStr">
        <is>
          <t>1) 공종 시운전 절차: 철도 종합시험운행 지침에 따른 통신 공종별 상세 시험 항목(무선 품질, 음성/영상 전송) 실측
2) 공종 시험 승인: 무선 전계강도 측정 성과표 및 공종별 시운전 시험 결과 보고서 제출 및 감리 승인</t>
        </is>
      </c>
      <c r="M22" s="67" t="inlineStr">
        <is>
          <t>👉 [더블클릭] 수행지침 열기 📄</t>
        </is>
      </c>
      <c r="N22" s="74" t="inlineStr">
        <is>
          <t>1) 본선 및 정거장 광배선반(FDF) 포설 광케이블 전체 코어에 대하여 OTDR 전수 측정을 수행하였는가?
2) 광케이블 융착 접속점 접속 손실 수치가 시방 기준(≤0.1dB/접속점 이하)을 통과함을 확인하였는가?</t>
        </is>
      </c>
      <c r="O22" s="78" t="inlineStr">
        <is>
          <t>👉 [더블클릭] 체크리스트 열기 📄</t>
        </is>
      </c>
      <c r="P22" s="68" t="n"/>
      <c r="Q22" s="75" t="inlineStr">
        <is>
          <t>● 관련분야 설계기준서 준수</t>
        </is>
      </c>
      <c r="R22" s="76" t="inlineStr">
        <is>
          <t>1) 👉 [더블클릭] 체크리스트 열기 📄</t>
        </is>
      </c>
      <c r="S22" s="73" t="n"/>
    </row>
    <row r="23" ht="115.2" customHeight="1">
      <c r="A23" s="61" t="inlineStr">
        <is>
          <t>9000</t>
        </is>
      </c>
      <c r="B23" s="61" t="inlineStr">
        <is>
          <t>9000-2</t>
        </is>
      </c>
      <c r="C23" s="61" t="inlineStr">
        <is>
          <t>통신분야</t>
        </is>
      </c>
      <c r="D23" s="61" t="inlineStr">
        <is>
          <t>9000-2-22</t>
        </is>
      </c>
      <c r="E23" s="61" t="inlineStr">
        <is>
          <t>차량 투입 전 점검</t>
        </is>
      </c>
      <c r="F23" s="61" t="inlineStr">
        <is>
          <t>현장소장 및 시공전담팀</t>
        </is>
      </c>
      <c r="G23" s="60" t="inlineStr">
        <is>
          <t>발주처가 원활한 차량시운전이 되도록 노반, 건축, 궤도, 전철전력, 통신, 신호 분야를 종합하여 최종 점검</t>
        </is>
      </c>
      <c r="H23" s="62" t="inlineStr">
        <is>
          <t>- 노반/궤도 시공상태 점검
- 건축한계 및 차량한계 검사
1) 건축한계: 폭(3,600mm) / 높이(5,300mm)
2) 차량한계: 폭(3,200mm) / 높이(4,750mm)
- 전차선, 신호, 통신 작동상태 확인</t>
        </is>
      </c>
      <c r="I23" s="61" t="inlineStr">
        <is>
          <t>점검 결과보고서</t>
        </is>
      </c>
      <c r="J23" s="74" t="inlineStr">
        <is>
          <t>1) 본선 트램 차량 투입 전 LTE-R 차상 통신장치, 무선 안테나 및 관제 무선 연동태세 점검
2) 차량 투입 대비 통신 무무선 연동 안전 상태 확인 표준 적용</t>
        </is>
      </c>
      <c r="K23" s="67" t="inlineStr">
        <is>
          <t>👉 [더블클릭] 표준서 열기 📄</t>
        </is>
      </c>
      <c r="L23" s="74" t="inlineStr">
        <is>
          <t>1) 차상 연동 점검: 본선 트램 차량 투입 전 차량 차상 LTE-R 통신장비, 무선 안테나 및 관제 무선 연동태세 실측
2) 투입 안전 승인: 차량 투입 시 무선 통신 끊김 예방 점검 및 차량 투입 전 통신 안전 확인서 작성</t>
        </is>
      </c>
      <c r="M23" s="67" t="inlineStr">
        <is>
          <t>👉 [더블클릭] 수행지침 열기 📄</t>
        </is>
      </c>
      <c r="N23" s="74" t="inlineStr">
        <is>
          <t>1) 본선 전 구간 궤도변 건축한계 규격(폭 3,100mm / 높이 3,800mm) 내 침범 요소 유무를 실측 확인하였는가?
2) 궤도 주변 통신 케이블 트레이 및 광점퍼 선로 묶음이 건축한계 이내로 처지거나 돌출되지 않음을 확인하였는가?</t>
        </is>
      </c>
      <c r="O23" s="67" t="inlineStr">
        <is>
          <t>👉 [더블클릭] 체크리스트 열기 📄</t>
        </is>
      </c>
      <c r="P23" s="68" t="n"/>
      <c r="Q23" s="75" t="inlineStr">
        <is>
          <t>● 관련분야 설계기준서 준수</t>
        </is>
      </c>
      <c r="R23" s="76" t="inlineStr">
        <is>
          <t>1) 👉 [더블클릭] 체크리스트 열기 📄</t>
        </is>
      </c>
      <c r="S23" s="73" t="n"/>
    </row>
    <row r="24" ht="115.2" customHeight="1">
      <c r="A24" s="61" t="inlineStr">
        <is>
          <t>9000</t>
        </is>
      </c>
      <c r="B24" s="61" t="inlineStr">
        <is>
          <t>9000-2</t>
        </is>
      </c>
      <c r="C24" s="61" t="inlineStr">
        <is>
          <t>통신분야</t>
        </is>
      </c>
      <c r="D24" s="61" t="inlineStr">
        <is>
          <t>9000-2-23</t>
        </is>
      </c>
      <c r="E24" s="61" t="inlineStr">
        <is>
          <t>차량 시운전</t>
        </is>
      </c>
      <c r="F24" s="61" t="inlineStr">
        <is>
          <t>현장 시스템팀</t>
        </is>
      </c>
      <c r="G24" s="60" t="inlineStr">
        <is>
          <t>철도안전법에 따른 철도차량 형식시험</t>
        </is>
      </c>
      <c r="H24" s="60" t="inlineStr">
        <is>
          <t>- 철도안전법 제26조(철도차량 형식승인)에 따라 이행(주로 본선구간 수행)
- 차량, 신호, 통신 시스템간 인터페이스 시험</t>
        </is>
      </c>
      <c r="I24" s="61" t="inlineStr">
        <is>
          <t>철도차량 형식승인 결과 보고서</t>
        </is>
      </c>
      <c r="J24" s="74" t="inlineStr">
        <is>
          <t>1) 트램 차량 본선 주행 시 LTE-R 무선 수신강도(RSSI/RSRP), 핸드오버 및 음성/데이터 통신 검측
2) 주행 중 통신 끊김 여부 및 차상-지상 간 통신 품질 성과표 작성 표준 적용</t>
        </is>
      </c>
      <c r="K24" s="67" t="inlineStr">
        <is>
          <t>👉 [더블클릭] 표준서 열기 📄</t>
        </is>
      </c>
      <c r="L24" s="74" t="inlineStr">
        <is>
          <t>1) 본선 주행 시험: 트램 차량 본선 주행 중 LTE-R 무선 수신강도(RSSI ≥ -95dBm), 핸드오버 성공률(≥99.5%) 실측
2) 주행 통신 검측: 차상-지상 간 CCTV 영상 전송 및 관제 데이터 무선 통신 품질 성과표 최종 확정</t>
        </is>
      </c>
      <c r="M24" s="67" t="inlineStr">
        <is>
          <t>👉 [더블클릭] 수행지침 열기 📄</t>
        </is>
      </c>
      <c r="N24" s="74" t="inlineStr">
        <is>
          <t>1) 본선 실 주행 최고 속도 조건에서 LTE-R 차상 단말기 수신 감도(RSSI ≥ -85dBm)를 지속 유지하였는가?
2) 주행 중 LTE-R 기지국 간 이동 시 핸드오버 성공률 100% 및 음성 무선 통화 끊김 0건을 검측하였는가?</t>
        </is>
      </c>
      <c r="O24" s="67" t="inlineStr">
        <is>
          <t>👉 [더블클릭] 체크리스트 열기 📄</t>
        </is>
      </c>
      <c r="P24" s="68" t="n"/>
      <c r="Q24" s="75" t="inlineStr">
        <is>
          <t>● 관련분야 설계기준서 준수</t>
        </is>
      </c>
      <c r="R24" s="76" t="inlineStr">
        <is>
          <t>1) 👉 [더블클릭] 체크리스트 열기 📄</t>
        </is>
      </c>
      <c r="S24" s="73" t="n"/>
    </row>
    <row r="25" ht="115.2" customHeight="1">
      <c r="A25" s="61" t="inlineStr">
        <is>
          <t>9000</t>
        </is>
      </c>
      <c r="B25" s="61" t="inlineStr">
        <is>
          <t>9000-2</t>
        </is>
      </c>
      <c r="C25" s="61" t="inlineStr">
        <is>
          <t>통신분야</t>
        </is>
      </c>
      <c r="D25" s="61" t="inlineStr">
        <is>
          <t>9000-2-24</t>
        </is>
      </c>
      <c r="E25" s="61" t="inlineStr">
        <is>
          <t>운영자 교육시행</t>
        </is>
      </c>
      <c r="F25" s="61" t="inlineStr">
        <is>
          <t>현장 시스템팀</t>
        </is>
      </c>
      <c r="G25" s="60" t="inlineStr">
        <is>
          <t>영업시운전 전에 시설을 운영자를 대상으로 운영 및 유지관리방법에 대해 교육</t>
        </is>
      </c>
      <c r="H25" s="60" t="inlineStr">
        <is>
          <t>- 통신 시스템 제작사가 만든 매뉴얼로 운영자를 교육
: 관제설비등통신설비 운영/관리방법</t>
        </is>
      </c>
      <c r="I25" s="61" t="inlineStr">
        <is>
          <t>운영자 교육 결과서</t>
        </is>
      </c>
      <c r="J25" s="74" t="inlineStr">
        <is>
          <t>1) 시설물 인수인계 전 운영사 운영자 및 유지보수 요원 대상 통신 시스템 운영 교육 실시
2) 교육 교재 작성, 시스템 운용/장해 조치 실습 및 교육 이수 확인서 작성 표준 적용</t>
        </is>
      </c>
      <c r="K25" s="67" t="inlineStr">
        <is>
          <t>👉 [더블클릭] 표준서 열기 📄</t>
        </is>
      </c>
      <c r="L25" s="74" t="inlineStr">
        <is>
          <t>1) 교육 프로그램 실시: 운영사 운영자 및 유지관리 요원 대상 통신 시스템 구조, HMI 운용 및 비상 조치 교육
2) 교육 이수 확정: 현장 실습 교육 수행, 질문/답변 점검 및 운영자 교육 참석 이수 확인서 최종 작성</t>
        </is>
      </c>
      <c r="M25" s="67" t="inlineStr">
        <is>
          <t>👉 [더블클릭] 수행지침 열기 📄</t>
        </is>
      </c>
      <c r="N25" s="74" t="inlineStr">
        <is>
          <t>1) 통신 4대 계통(교환, 무선, PIS/PA, CCTV) 제작사 공식 기술 매뉴얼을 수집·구비하였는가?
2) 주요 장비 장애 시 대응할 수 있는 계통별 긴급 비상 조치 매뉴얼 교재를 편찬하였는가?</t>
        </is>
      </c>
      <c r="O25" s="67" t="inlineStr">
        <is>
          <t>👉 [더블클릭] 체크리스트 열기 📄</t>
        </is>
      </c>
      <c r="P25" s="68" t="n"/>
      <c r="Q25" s="75" t="inlineStr">
        <is>
          <t>● 관련분야 설계기준서 준수</t>
        </is>
      </c>
      <c r="R25" s="76" t="inlineStr">
        <is>
          <t>1) 👉 [더블클릭] 체크리스트 열기 📄</t>
        </is>
      </c>
      <c r="S25" s="73" t="n"/>
    </row>
    <row r="26" ht="115.2" customHeight="1">
      <c r="A26" s="61" t="inlineStr">
        <is>
          <t>9000</t>
        </is>
      </c>
      <c r="B26" s="61" t="inlineStr">
        <is>
          <t>9000-2</t>
        </is>
      </c>
      <c r="C26" s="61" t="inlineStr">
        <is>
          <t>통신분야</t>
        </is>
      </c>
      <c r="D26" s="61" t="inlineStr">
        <is>
          <t>9000-2-25</t>
        </is>
      </c>
      <c r="E26" s="61" t="inlineStr">
        <is>
          <t>사전점검</t>
        </is>
      </c>
      <c r="F26" s="61" t="inlineStr">
        <is>
          <t>현장소장 및 발주처 / 공동감리단</t>
        </is>
      </c>
      <c r="G26" s="60" t="inlineStr">
        <is>
          <t>시설물검증시험의 가능여부를 확인하기 위하여 발주처와 운영자가 합동으로 점검</t>
        </is>
      </c>
      <c r="H26" s="60" t="inlineStr">
        <is>
          <t>- (기준) 철도종합시험운행 시행지침 제8조 "종합시험운행을 위한 사전점검"에 따름
- 발주처는 공종별 시험을 완료한 후 시설물 검증시험의 가능여부를 확인하기 위하여 사전점검계획을 수립하고 운영자와 합동으로 실시
- 발주처와 운영자의 사전점검 결과보고서를 한국교통안전공단에 제출(점검후 7일 이내)</t>
        </is>
      </c>
      <c r="I26" s="61" t="inlineStr">
        <is>
          <t>사전점검 결과보고서/승인문서(한국교통안전공단)</t>
        </is>
      </c>
      <c r="J26" s="74" t="inlineStr">
        <is>
          <t>1) 철도종합시험운행 지침 제8조에 의거한 사전점검계획 수립 및 기술기준 부합성 종합 점검
2) 사전점검 결과 보고서 작성 및 한국교통안전공단 제출 승인 표준 적용</t>
        </is>
      </c>
      <c r="K26" s="67" t="inlineStr">
        <is>
          <t>👉 [더블클릭] 표준서 열기 📄</t>
        </is>
      </c>
      <c r="L26" s="74" t="inlineStr">
        <is>
          <t>1) 사전점검 수검 절차: 철도종합시험운행 지침 제8조에 의거 사전점검 수행반 구성 및 통신 설비 종합 점검
2) 점검 결과 승인: 기술기준 부합 여부 사전 검증, 지적사항 조치 완료 및 한국교통안전공단 사전점검 보고서 제출</t>
        </is>
      </c>
      <c r="M26" s="67" t="inlineStr">
        <is>
          <t>👉 [더블클릭] 수행지침 열기 📄</t>
        </is>
      </c>
      <c r="N26" s="74" t="inlineStr">
        <is>
          <t>1) 철도종합시험운행 시행지침 제8조 규정에 맞춘 사전점검계획서를 작성하였는가?
2) 발주처, 운영기관, 책임감리단 및 현장소장이 포함된 3자 합동 사전점검반을 조직하였는가?</t>
        </is>
      </c>
      <c r="O26" s="67" t="inlineStr">
        <is>
          <t>👉 [더블클릭] 체크리스트 열기 📄</t>
        </is>
      </c>
      <c r="P26" s="68" t="n"/>
      <c r="Q26" s="75" t="inlineStr">
        <is>
          <t>● 관련분야 설계기준서 준수</t>
        </is>
      </c>
      <c r="R26" s="76" t="inlineStr">
        <is>
          <t>1) 👉 [더블클릭] 체크리스트 열기 📄</t>
        </is>
      </c>
      <c r="S26" s="73" t="n"/>
    </row>
    <row r="27" ht="153.6" customHeight="1">
      <c r="A27" s="61" t="inlineStr">
        <is>
          <t>9000</t>
        </is>
      </c>
      <c r="B27" s="61" t="inlineStr">
        <is>
          <t>9000-2</t>
        </is>
      </c>
      <c r="C27" s="61" t="inlineStr">
        <is>
          <t>통신분야</t>
        </is>
      </c>
      <c r="D27" s="61" t="inlineStr">
        <is>
          <t>9000-2-26</t>
        </is>
      </c>
      <c r="E27" s="61" t="inlineStr">
        <is>
          <t>시설물 검증시험</t>
        </is>
      </c>
      <c r="F27" s="61" t="inlineStr">
        <is>
          <t>현장소장 및 발주처 / 공동감리단</t>
        </is>
      </c>
      <c r="G27" s="60" t="inlineStr">
        <is>
          <t>발주처는 시설물의 정상작동 상태 등을 확인하기 위해 시설물 검증시험을 수행</t>
        </is>
      </c>
      <c r="H27" s="60" t="inlineStr">
        <is>
          <t>- (기준) 철도종합시험운행 시행지침 제12조(시설물검증시험계획의 수립), 13조(시설물검증시험의 시행)에 따름
- 발주처는 시설물검증시험계획을 운영자와 협의하여 수립하고 전문기관의 승인을 받은 후 시행
- 철도종합시험운행 시설물검증시험 점검항목: 시설물의 정상작동 상태, 철도시설의 안전상태, 철도차량의 운행적합성, 철도시설과 차량 간의 연계성
- 발주처와 운영자의 시설물 검증시험 결과보고서를 한국교통안전공단에 제출(점검후 7일 이내)</t>
        </is>
      </c>
      <c r="I27" s="61" t="inlineStr">
        <is>
          <t>시설물 검증시험 결과보고서/승인문서(한국교통안전공단)</t>
        </is>
      </c>
      <c r="J27" s="74" t="inlineStr">
        <is>
          <t>1) 시설물검증시험 계획 수립 및 본선 주행 시험 차량을 이용한 통신 설비 최고속도 성능 검증
2) LTE-R 무선 품질, 관제 데이터 전송률 및 시설물검증 합격 판정 표준 적용</t>
        </is>
      </c>
      <c r="K27" s="67" t="inlineStr">
        <is>
          <t>👉 [더블클릭] 표준서 열기 📄</t>
        </is>
      </c>
      <c r="L27" s="74" t="inlineStr">
        <is>
          <t>1) 최고속도 주행 검증: 시설물검증시험 계획에 따라 시운전 열차를 최고 설계속도로 주행하며 통신 성능 실측
2) 검증 결과 확정: LTE-R 무선망 수신강도, 데이터 전송 지연시간 실측 및 시설물검증시험 합격 판정</t>
        </is>
      </c>
      <c r="M27" s="67" t="inlineStr">
        <is>
          <t>👉 [더블클릭] 수행지침 열기 📄</t>
        </is>
      </c>
      <c r="N27" s="74" t="inlineStr">
        <is>
          <t>1) 철도종합시험운행 시행지침 제14조에 따라 시설물검증시험계획을 작성하였는가?
2) 전문기관인 한국교통안전공단으로부터 시설물검증시험계획 적격 승인을 수령하였는가?</t>
        </is>
      </c>
      <c r="O27" s="67" t="inlineStr">
        <is>
          <t>👉 [더블클릭] 체크리스트 열기 📄</t>
        </is>
      </c>
      <c r="P27" s="68" t="n"/>
      <c r="Q27" s="75" t="inlineStr">
        <is>
          <t>● 관련분야 설계기준서 준수</t>
        </is>
      </c>
      <c r="R27" s="76" t="inlineStr">
        <is>
          <t>1) 👉 [더블클릭] 체크리스트 열기 📄</t>
        </is>
      </c>
      <c r="S27" s="73" t="n"/>
    </row>
    <row r="28" ht="211.2" customHeight="1">
      <c r="A28" s="61" t="inlineStr">
        <is>
          <t>9000</t>
        </is>
      </c>
      <c r="B28" s="61" t="inlineStr">
        <is>
          <t>9000-2</t>
        </is>
      </c>
      <c r="C28" s="61" t="inlineStr">
        <is>
          <t>통신분야</t>
        </is>
      </c>
      <c r="D28" s="61" t="inlineStr">
        <is>
          <t>9000-2-27</t>
        </is>
      </c>
      <c r="E28" s="61" t="inlineStr">
        <is>
          <t>영업시운전</t>
        </is>
      </c>
      <c r="F28" s="61" t="inlineStr">
        <is>
          <t>현장소장 및 발주처 / 공동감리단</t>
        </is>
      </c>
      <c r="G28" s="60" t="inlineStr">
        <is>
          <t>발주처는 영업시운전계획에 따라 열차운행체계를 확인하기 위해 영업시운전을 수행</t>
        </is>
      </c>
      <c r="H28" s="62" t="inlineStr">
        <is>
          <t>- (기준) 철도종합시험운행 시행지침 제22조(영업시운전계획의 수립), 23조(영업시운전의 시행)에 따름
- 운영자는 영업시운전계획을 발주처와 협의하여 수립하고 전문기관의 승인을 받은 후 시행
- 영업시운전 점검항목: 열차운행체계, 철도종사자(운전/관제 등)의 업무숙달, 영업서비스 준비사항
- 영업조건과 동일한 조건으로 열차운행을 수행하여 운전/영업분야 점검
- 운영자는 영업시운전 결과보고서를 한국교통안전공단에 제출(점검후 7일 이내)
- 한국교통안전공단은 보고서를 받은 날부터 14일 이내 국토교통부장관에게 보고하여야 하며, 국토부 장관은 검토 결과를 보고를 받은 날부터 7일 이내에 발주처와 시도지사에 통보</t>
        </is>
      </c>
      <c r="I28" s="61" t="inlineStr">
        <is>
          <t>영업시운전 결과보고서/승인문서(한국교통안전공단), 국토부 승인문서</t>
        </is>
      </c>
      <c r="J28" s="74" t="inlineStr">
        <is>
          <t>1) 실제 영업 조건과 동일한 환경에서의 통신 시스템 연속 가동 및 관제 운용 검증
2) 영업시운전 기간 중 통신 장애 0건 달성 및 시운전 완료 보고서 확정 표준 적용</t>
        </is>
      </c>
      <c r="K28" s="67" t="inlineStr">
        <is>
          <t>👉 [더블클릭] 표준서 열기 📄</t>
        </is>
      </c>
      <c r="L28" s="74" t="inlineStr">
        <is>
          <t>1) 영업환경 가동 검증: 영업 시운전 스케줄에 따른 통신 시스템 24시간 연속 가동 및 관제 시스템 연동 상태 검증
2) 시운전 준공 확정: 영업시운전 기간 중 통신 장해 0건 달성 및 영업시운전 종합 결과 보고서 확정</t>
        </is>
      </c>
      <c r="M28" s="78" t="inlineStr">
        <is>
          <t>👉 [더블클릭] 수행지침 열기 📄</t>
        </is>
      </c>
      <c r="N28" s="74" t="inlineStr">
        <is>
          <t>1) 철도종합시험운행 시행지침 제22조에 따른 영업시운전계획을 수립하였는가?
2) 전 정거장 행선안내게시기(PIS) 도착 시각 및 열치 위치 안내 오송출 0건을 달성하였는가?</t>
        </is>
      </c>
      <c r="O28" s="67" t="inlineStr">
        <is>
          <t>👉 [더블클릭] 체크리스트 열기 📄</t>
        </is>
      </c>
      <c r="P28" s="68" t="n"/>
      <c r="Q28" s="75" t="inlineStr">
        <is>
          <t>● 관련분야 설계기준서 준수</t>
        </is>
      </c>
      <c r="R28" s="76" t="inlineStr">
        <is>
          <t>1) 👉 [더블클릭] 체크리스트 열기 📄</t>
        </is>
      </c>
      <c r="S28" s="73" t="n"/>
    </row>
    <row r="29" ht="115.2" customHeight="1">
      <c r="A29" s="61" t="inlineStr">
        <is>
          <t>9000</t>
        </is>
      </c>
      <c r="B29" s="61" t="inlineStr">
        <is>
          <t>9000-2</t>
        </is>
      </c>
      <c r="C29" s="61" t="inlineStr">
        <is>
          <t>통신분야</t>
        </is>
      </c>
      <c r="D29" s="61" t="inlineStr">
        <is>
          <t>9000-2-28</t>
        </is>
      </c>
      <c r="E29" s="61" t="inlineStr">
        <is>
          <t>자가용전기통신설비 설치신고</t>
        </is>
      </c>
      <c r="F29" s="61" t="inlineStr">
        <is>
          <t>시공사</t>
        </is>
      </c>
      <c r="G29" s="60" t="inlineStr">
        <is>
          <t>자가용전기통신설비의 합법적 설치</t>
        </is>
      </c>
      <c r="H29" s="80" t="inlineStr">
        <is>
          <t>- 관할 시청/구청에 설치공사 시작 21일 전까지 신고서와 설계도서 제출 (처리기간 15일)</t>
        </is>
      </c>
      <c r="I29" s="61" t="inlineStr">
        <is>
          <t>자가전기통신설비 설치신고 필증</t>
        </is>
      </c>
      <c r="J29" s="74" t="inlineStr">
        <is>
          <t>1) 전기통신사업법 제64조에 의거한 자가용전기통신설비 설치신고서 및 설비 개요서 작성
2) 관할 지자체(화성시 등) 제출 및 설치신고 수리증 발급 획득 표준 적용</t>
        </is>
      </c>
      <c r="K29" s="67" t="inlineStr">
        <is>
          <t>👉 [더블클릭] 표준서 열기 📄</t>
        </is>
      </c>
      <c r="L29" s="74" t="inlineStr">
        <is>
          <t>1) 신고 서류 작성: 전기통신사업법 제64조에 따른 자가용전기통신설비 설치신고서 및 통신망 개요도 작성
2) 관할 관청 수리: 관할 지자체(화성시 등) 제출, 현장 서류 검토 수검 및 설치신고 수리증 발급 획득</t>
        </is>
      </c>
      <c r="M29" s="67" t="inlineStr">
        <is>
          <t>👉 [더블클릭] 수행지침 열기 📄</t>
        </is>
      </c>
      <c r="N29" s="74" t="inlineStr">
        <is>
          <t>1) 시방 대조[도면 및 여건] • 관련법령: 전기통신사업법 제64조 수칙을 사전 대조 확인하였는가?
2) 업체 Pool[적격 업체] 철도/트램 시공 및 영업운행 실적이 입증된 적격 업체 Pool을 검토하였는가?</t>
        </is>
      </c>
      <c r="O29" s="67" t="inlineStr">
        <is>
          <t>👉 [더블클릭] 체크리스트 열기 📄</t>
        </is>
      </c>
      <c r="P29" s="68" t="n"/>
      <c r="Q29" s="75" t="inlineStr">
        <is>
          <t>● 전기통신사업법 제64조</t>
        </is>
      </c>
      <c r="R29" s="76" t="inlineStr">
        <is>
          <t>1) 👉 [더블클릭] 체크리스트 열기 📄</t>
        </is>
      </c>
      <c r="S29" s="73" t="n"/>
    </row>
    <row r="30" ht="115.2" customHeight="1">
      <c r="A30" s="61" t="inlineStr">
        <is>
          <t>9000</t>
        </is>
      </c>
      <c r="B30" s="61" t="inlineStr">
        <is>
          <t>9000-2</t>
        </is>
      </c>
      <c r="C30" s="61" t="inlineStr">
        <is>
          <t>통신분야</t>
        </is>
      </c>
      <c r="D30" s="61" t="inlineStr">
        <is>
          <t>9000-2-29</t>
        </is>
      </c>
      <c r="E30" s="61" t="inlineStr">
        <is>
          <t>LTE-R 무선국허가</t>
        </is>
      </c>
      <c r="F30" s="61" t="inlineStr">
        <is>
          <t>발주처</t>
        </is>
      </c>
      <c r="G30" s="60" t="inlineStr">
        <is>
          <t>무선국 설치 후 사용을 위한 법적 허가 취득</t>
        </is>
      </c>
      <c r="H30" s="64" t="inlineStr">
        <is>
          <t>- 무선국(LTE-R) 설치 후 중앙전파관리소에 신청서, 시설개요서, 공사설계서 제출 (처리기간 14일)</t>
        </is>
      </c>
      <c r="I30" s="61" t="inlineStr">
        <is>
          <t>무선국허가증</t>
        </is>
      </c>
      <c r="J30" s="74" t="inlineStr">
        <is>
          <t>1) 전파법 제19조에 의거한 철도무선통신망(LTE-R) 무선국 개설허가 신청서 제출
2) KCA(한국방송통신전파진흥원) 제출 및 무선국 개설허가서 획득 표준 적용</t>
        </is>
      </c>
      <c r="K30" s="67" t="inlineStr">
        <is>
          <t>👉 [더블클릭] 표준서 열기 📄</t>
        </is>
      </c>
      <c r="L30" s="74" t="inlineStr">
        <is>
          <t>1) 허가 신청 절차: 전파법 제19조에 따른 LTE-R 무선국 개설허가 신청서, 안테나 제원표 및 기지국 좌표 작성
2) 무선국 허가 획득: KCA(한국방송통신전파진흥원) 서류 심사 수검 및 무선국 개설허가서 최종 발급</t>
        </is>
      </c>
      <c r="M30" s="67" t="inlineStr">
        <is>
          <t>👉 [더블클릭] 수행지침 열기 📄</t>
        </is>
      </c>
      <c r="N30" s="74" t="inlineStr">
        <is>
          <t>1) 철도무선통신망 700MHz 대역(718~728MHz/773~783MHz) 주파수 할당 조건을 확인하였는가?
2) 본선 지상 기지국 안테나 설치 위치, 높이, 이득(dBi) 및 지향각 제원을 조사하였는가?</t>
        </is>
      </c>
      <c r="O30" s="67" t="inlineStr">
        <is>
          <t>👉 [더블클릭] 체크리스트 열기 📄</t>
        </is>
      </c>
      <c r="P30" s="68" t="n"/>
      <c r="Q30" s="75" t="inlineStr">
        <is>
          <t>● 전파법 제19조</t>
        </is>
      </c>
      <c r="R30" s="76" t="inlineStr">
        <is>
          <t>1) 👉 [더블클릭] 체크리스트 열기 📄</t>
        </is>
      </c>
      <c r="S30" s="73" t="n"/>
    </row>
    <row r="31" ht="115.2" customHeight="1">
      <c r="A31" s="61" t="inlineStr">
        <is>
          <t>9000</t>
        </is>
      </c>
      <c r="B31" s="61" t="inlineStr">
        <is>
          <t>9000-2</t>
        </is>
      </c>
      <c r="C31" s="61" t="inlineStr">
        <is>
          <t>통신분야</t>
        </is>
      </c>
      <c r="D31" s="61" t="inlineStr">
        <is>
          <t>9000-2-30</t>
        </is>
      </c>
      <c r="E31" s="61" t="inlineStr">
        <is>
          <t>LTE-R 상호운용성 및 보안적합성 검증</t>
        </is>
      </c>
      <c r="F31" s="61" t="inlineStr">
        <is>
          <t>시공사</t>
        </is>
      </c>
      <c r="G31" s="60" t="inlineStr">
        <is>
          <t>무선 장비의 보안성 및 타 기관 상호운용성 검증</t>
        </is>
      </c>
      <c r="H31" s="64" t="inlineStr">
        <is>
          <t>- 한국정보통신기술협회에 시험결과서 제출하여 검증 진행 (처리기간 1개월)</t>
        </is>
      </c>
      <c r="I31" s="61" t="inlineStr">
        <is>
          <t>상호운용성,보안적합성 시험 인증서</t>
        </is>
      </c>
      <c r="J31" s="74" t="inlineStr">
        <is>
          <t>1) 국토교통부 지침 및 국가용 보안요구사항에 의거한 LTE-R 상호운용성/보안적합성 검증
2) 국가정보원/KISA 보안 적합성 검증 승인서 및 상호연동 시험 합격 표준 적용</t>
        </is>
      </c>
      <c r="K31" s="67" t="inlineStr">
        <is>
          <t>👉 [더블클릭] 표준서 열기 📄</t>
        </is>
      </c>
      <c r="L31" s="74" t="inlineStr">
        <is>
          <t>1) 검증 시험 절차: 국토교통부 LTE-R 상호운용성 시험 및 국가용 보안요구사항 기반 네트워크 보안적합성 검증
2) 보안 승인 획득: KISA/국가정보원 보안 적합성 검증 수검 및 상호운용성 검증 합격 승인서 획득</t>
        </is>
      </c>
      <c r="M31" s="67" t="inlineStr">
        <is>
          <t>👉 [더블클릭] 수행지침 열기 📄</t>
        </is>
      </c>
      <c r="N31" s="74" t="inlineStr">
        <is>
          <t>1) 시방 대조[도면 및 여건] 관련법령: 국가철도공단 표준규격(KRSA) 수칙을 사전 대조 확인하였는가?
2) 업체 Pool[적격 업체] 철도/트램 시공 및 영업운행 실적이 입증된 적격 업체 Pool을 검토하였는가?</t>
        </is>
      </c>
      <c r="O31" s="67" t="inlineStr">
        <is>
          <t>👉 [더블클릭] 체크리스트 열기 📄</t>
        </is>
      </c>
      <c r="P31" s="68" t="n"/>
      <c r="Q31" s="75" t="inlineStr">
        <is>
          <t>● 국가철도공단 표준규격(KRSA) 5007-R3 / 5008-R2</t>
        </is>
      </c>
      <c r="R31" s="76" t="inlineStr">
        <is>
          <t>1) 👉 [더블클릭] 체크리스트 열기 📄</t>
        </is>
      </c>
      <c r="S31" s="73" t="n"/>
    </row>
    <row r="32" ht="115.2" customHeight="1">
      <c r="A32" s="61" t="inlineStr">
        <is>
          <t>9000</t>
        </is>
      </c>
      <c r="B32" s="61" t="inlineStr">
        <is>
          <t>9000-2</t>
        </is>
      </c>
      <c r="C32" s="61" t="inlineStr">
        <is>
          <t>통신분야</t>
        </is>
      </c>
      <c r="D32" s="61" t="inlineStr">
        <is>
          <t>9000-2-31</t>
        </is>
      </c>
      <c r="E32" s="61" t="inlineStr">
        <is>
          <t>정보통신사용전검사</t>
        </is>
      </c>
      <c r="F32" s="61" t="inlineStr">
        <is>
          <t>시공사</t>
        </is>
      </c>
      <c r="G32" s="60" t="inlineStr">
        <is>
          <t>시공 완료된 정보통신설비의 준공 전 사용 적합성 검증</t>
        </is>
      </c>
      <c r="H32" s="64" t="inlineStr">
        <is>
          <t>- 관할 시청/구청에 사용전검사 신청서와 준공설계도서 제출 (처리기간 14일)</t>
        </is>
      </c>
      <c r="I32" s="61" t="inlineStr">
        <is>
          <t>정보통신사용전검사 필증</t>
        </is>
      </c>
      <c r="J32" s="74" t="inlineStr">
        <is>
          <t>1) 정보통신공사업법 제36조에 의거한 구내 통신 및 정보통신설비 사용전검사 신청
2) 관할 지자체 현장 검측 수검 및 정보통신 사용전검사 필증 획득 표준 적용</t>
        </is>
      </c>
      <c r="K32" s="67" t="inlineStr">
        <is>
          <t>👉 [더블클릭] 표준서 열기 📄</t>
        </is>
      </c>
      <c r="L32" s="74" t="inlineStr">
        <is>
          <t>1) 사용전검사 신청: 정보통신공사업법 제36조에 따른 구내 통신 설비 사용전검측 신청서 작성 및 현장 준비
2) 필증 발급 획득: 관할 지자체 정보통신 검측 공무원 현장 실측 수검 및 정보통신 사용전검사 필증 획득</t>
        </is>
      </c>
      <c r="M32" s="67" t="inlineStr">
        <is>
          <t>👉 [더블클릭] 수행지침 열기 📄</t>
        </is>
      </c>
      <c r="N32" s="74" t="inlineStr">
        <is>
          <t>1) 구내 UTP 랜선 전수에 대해 케이블 테스터 계측 Pass 100%를 달성하였는가?
2) 정거장 승강장 및 관제동 배관 입상부 배관 씰링 및 네임택 표기 상태를 확인하였는가?</t>
        </is>
      </c>
      <c r="O32" s="67" t="inlineStr">
        <is>
          <t>👉 [더블클릭] 체크리스트 열기 📄</t>
        </is>
      </c>
      <c r="P32" s="68" t="n"/>
      <c r="Q32" s="75" t="inlineStr">
        <is>
          <t>● 정보통신공사법 제36조</t>
        </is>
      </c>
      <c r="R32" s="76" t="inlineStr">
        <is>
          <t>1) 👉 [더블클릭] 체크리스트 열기 📄</t>
        </is>
      </c>
      <c r="S32" s="73" t="n"/>
    </row>
    <row r="33" ht="115.2" customHeight="1">
      <c r="A33" s="61" t="inlineStr">
        <is>
          <t>9000</t>
        </is>
      </c>
      <c r="B33" s="61" t="inlineStr">
        <is>
          <t>9000-2</t>
        </is>
      </c>
      <c r="C33" s="61" t="inlineStr">
        <is>
          <t>통신분야</t>
        </is>
      </c>
      <c r="D33" s="61" t="inlineStr">
        <is>
          <t>9000-2-32</t>
        </is>
      </c>
      <c r="E33" s="61" t="inlineStr">
        <is>
          <t>LTE-R 무선국 준공검사</t>
        </is>
      </c>
      <c r="F33" s="61" t="inlineStr">
        <is>
          <t>발주처</t>
        </is>
      </c>
      <c r="G33" s="60" t="inlineStr">
        <is>
          <t>무선국 전파 특성 검증 및 준공 처리</t>
        </is>
      </c>
      <c r="H33" s="64" t="inlineStr">
        <is>
          <t>- 한국방송통신전파진흥원에 준공신고서, 안테나전력/주파수편차/불요발사강도 측정표, 안테나 Pattern 도표 제출 (처리기간 14일)</t>
        </is>
      </c>
      <c r="I33" s="61" t="inlineStr">
        <is>
          <t>LTE-R 무선국 준공검사 확인서</t>
        </is>
      </c>
      <c r="J33" s="74" t="inlineStr">
        <is>
          <t>1) 전파법 제24조에 의거한 KCA 무선국 준공검사 현장 실측 수검 실시
2) 무선 전계강도 및 준공 상태 검사 합격 후 무선국 준공검사 합격증명서 획득 표준 적용</t>
        </is>
      </c>
      <c r="K33" s="67" t="inlineStr">
        <is>
          <t>👉 [더블클릭] 표준서 열기 📄</t>
        </is>
      </c>
      <c r="L33" s="74" t="inlineStr">
        <is>
          <t>1) KCA 준공검측 수검: 전파법 제24조에 따른 KCA 무선국 준공검사 현장 무선 전계강도 및 스펙트럼 실측
2) 합격 증명 획득: 준공 실측 합격 판정 수검 및 KCA 무선국 준공검사 합격증명서 최종 발급 획득</t>
        </is>
      </c>
      <c r="M33" s="67" t="inlineStr">
        <is>
          <t>👉 [더블클릭] 수행지침 열기 📄</t>
        </is>
      </c>
      <c r="N33" s="74" t="inlineStr">
        <is>
          <t>1) 전파법 시행령 제38조 서식에 맞춘 무선국 준공신고서를 KCA에 제출하였는가?
2) 개설허가서 사본, 기지국 시공 내역서 및 안테나 제원표 구비를 완료하였는가?</t>
        </is>
      </c>
      <c r="O33" s="67" t="inlineStr">
        <is>
          <t>👉 [더블클릭] 체크리스트 열기 📄</t>
        </is>
      </c>
      <c r="P33" s="68" t="n"/>
      <c r="Q33" s="75" t="inlineStr">
        <is>
          <t>● 전파법 제24조</t>
        </is>
      </c>
      <c r="R33" s="76" t="inlineStr">
        <is>
          <t>1) 👉 [더블클릭] 체크리스트 열기 📄</t>
        </is>
      </c>
      <c r="S33" s="73" t="n"/>
    </row>
  </sheetData>
  <hyperlinks>
    <hyperlink xmlns:r="http://schemas.openxmlformats.org/officeDocument/2006/relationships" ref="K2" r:id="rId1"/>
    <hyperlink xmlns:r="http://schemas.openxmlformats.org/officeDocument/2006/relationships" ref="M2" r:id="rId2"/>
    <hyperlink xmlns:r="http://schemas.openxmlformats.org/officeDocument/2006/relationships" ref="O2" r:id="rId3"/>
    <hyperlink xmlns:r="http://schemas.openxmlformats.org/officeDocument/2006/relationships" ref="K3" r:id="rId4"/>
    <hyperlink xmlns:r="http://schemas.openxmlformats.org/officeDocument/2006/relationships" ref="M3" r:id="rId5"/>
    <hyperlink xmlns:r="http://schemas.openxmlformats.org/officeDocument/2006/relationships" ref="O3" r:id="rId6"/>
    <hyperlink xmlns:r="http://schemas.openxmlformats.org/officeDocument/2006/relationships" ref="K4" r:id="rId7"/>
    <hyperlink xmlns:r="http://schemas.openxmlformats.org/officeDocument/2006/relationships" ref="M4" r:id="rId8"/>
    <hyperlink xmlns:r="http://schemas.openxmlformats.org/officeDocument/2006/relationships" ref="O4" r:id="rId9"/>
    <hyperlink xmlns:r="http://schemas.openxmlformats.org/officeDocument/2006/relationships" ref="K5" r:id="rId10"/>
    <hyperlink xmlns:r="http://schemas.openxmlformats.org/officeDocument/2006/relationships" ref="M5" r:id="rId11"/>
    <hyperlink xmlns:r="http://schemas.openxmlformats.org/officeDocument/2006/relationships" ref="O5" r:id="rId12"/>
    <hyperlink xmlns:r="http://schemas.openxmlformats.org/officeDocument/2006/relationships" ref="K6" r:id="rId13"/>
    <hyperlink xmlns:r="http://schemas.openxmlformats.org/officeDocument/2006/relationships" ref="M6" r:id="rId14"/>
    <hyperlink xmlns:r="http://schemas.openxmlformats.org/officeDocument/2006/relationships" ref="O6" r:id="rId15"/>
    <hyperlink xmlns:r="http://schemas.openxmlformats.org/officeDocument/2006/relationships" ref="K7" r:id="rId16"/>
    <hyperlink xmlns:r="http://schemas.openxmlformats.org/officeDocument/2006/relationships" ref="M7" r:id="rId17"/>
    <hyperlink xmlns:r="http://schemas.openxmlformats.org/officeDocument/2006/relationships" ref="O7" r:id="rId18"/>
    <hyperlink xmlns:r="http://schemas.openxmlformats.org/officeDocument/2006/relationships" ref="K8" r:id="rId19"/>
    <hyperlink xmlns:r="http://schemas.openxmlformats.org/officeDocument/2006/relationships" ref="M8" r:id="rId20"/>
    <hyperlink xmlns:r="http://schemas.openxmlformats.org/officeDocument/2006/relationships" ref="O8" r:id="rId21"/>
    <hyperlink xmlns:r="http://schemas.openxmlformats.org/officeDocument/2006/relationships" ref="K9" r:id="rId22"/>
    <hyperlink xmlns:r="http://schemas.openxmlformats.org/officeDocument/2006/relationships" ref="M9" r:id="rId23"/>
    <hyperlink xmlns:r="http://schemas.openxmlformats.org/officeDocument/2006/relationships" ref="O9" r:id="rId24"/>
    <hyperlink xmlns:r="http://schemas.openxmlformats.org/officeDocument/2006/relationships" ref="K10" r:id="rId25"/>
    <hyperlink xmlns:r="http://schemas.openxmlformats.org/officeDocument/2006/relationships" ref="M10" r:id="rId26"/>
    <hyperlink xmlns:r="http://schemas.openxmlformats.org/officeDocument/2006/relationships" ref="O10" r:id="rId27"/>
    <hyperlink xmlns:r="http://schemas.openxmlformats.org/officeDocument/2006/relationships" ref="K11" r:id="rId28"/>
    <hyperlink xmlns:r="http://schemas.openxmlformats.org/officeDocument/2006/relationships" ref="M11" r:id="rId29"/>
    <hyperlink xmlns:r="http://schemas.openxmlformats.org/officeDocument/2006/relationships" ref="O11" r:id="rId30"/>
    <hyperlink xmlns:r="http://schemas.openxmlformats.org/officeDocument/2006/relationships" ref="K12" r:id="rId31"/>
    <hyperlink xmlns:r="http://schemas.openxmlformats.org/officeDocument/2006/relationships" ref="M12" r:id="rId32"/>
    <hyperlink xmlns:r="http://schemas.openxmlformats.org/officeDocument/2006/relationships" ref="O12" r:id="rId33"/>
    <hyperlink xmlns:r="http://schemas.openxmlformats.org/officeDocument/2006/relationships" ref="K13" r:id="rId34"/>
    <hyperlink xmlns:r="http://schemas.openxmlformats.org/officeDocument/2006/relationships" ref="M13" r:id="rId35"/>
    <hyperlink xmlns:r="http://schemas.openxmlformats.org/officeDocument/2006/relationships" ref="O13" r:id="rId36"/>
    <hyperlink xmlns:r="http://schemas.openxmlformats.org/officeDocument/2006/relationships" ref="K14" r:id="rId37"/>
    <hyperlink xmlns:r="http://schemas.openxmlformats.org/officeDocument/2006/relationships" ref="M14" r:id="rId38"/>
    <hyperlink xmlns:r="http://schemas.openxmlformats.org/officeDocument/2006/relationships" ref="O14" r:id="rId39"/>
    <hyperlink xmlns:r="http://schemas.openxmlformats.org/officeDocument/2006/relationships" ref="K15" r:id="rId40"/>
    <hyperlink xmlns:r="http://schemas.openxmlformats.org/officeDocument/2006/relationships" ref="M15" r:id="rId41"/>
    <hyperlink xmlns:r="http://schemas.openxmlformats.org/officeDocument/2006/relationships" ref="O15" r:id="rId42"/>
    <hyperlink xmlns:r="http://schemas.openxmlformats.org/officeDocument/2006/relationships" ref="K16" r:id="rId43"/>
    <hyperlink xmlns:r="http://schemas.openxmlformats.org/officeDocument/2006/relationships" ref="M16" r:id="rId44"/>
    <hyperlink xmlns:r="http://schemas.openxmlformats.org/officeDocument/2006/relationships" ref="O16" r:id="rId45"/>
    <hyperlink xmlns:r="http://schemas.openxmlformats.org/officeDocument/2006/relationships" ref="K17" r:id="rId46"/>
    <hyperlink xmlns:r="http://schemas.openxmlformats.org/officeDocument/2006/relationships" ref="M17" r:id="rId47"/>
    <hyperlink xmlns:r="http://schemas.openxmlformats.org/officeDocument/2006/relationships" ref="O17" r:id="rId48"/>
    <hyperlink xmlns:r="http://schemas.openxmlformats.org/officeDocument/2006/relationships" ref="K18" r:id="rId49"/>
    <hyperlink xmlns:r="http://schemas.openxmlformats.org/officeDocument/2006/relationships" ref="M18" r:id="rId50"/>
    <hyperlink xmlns:r="http://schemas.openxmlformats.org/officeDocument/2006/relationships" ref="O18" r:id="rId51"/>
    <hyperlink xmlns:r="http://schemas.openxmlformats.org/officeDocument/2006/relationships" ref="K19" r:id="rId52"/>
    <hyperlink xmlns:r="http://schemas.openxmlformats.org/officeDocument/2006/relationships" ref="M19" r:id="rId53"/>
    <hyperlink xmlns:r="http://schemas.openxmlformats.org/officeDocument/2006/relationships" ref="O19" r:id="rId54"/>
    <hyperlink xmlns:r="http://schemas.openxmlformats.org/officeDocument/2006/relationships" ref="K20" r:id="rId55"/>
    <hyperlink xmlns:r="http://schemas.openxmlformats.org/officeDocument/2006/relationships" ref="M20" r:id="rId56"/>
    <hyperlink xmlns:r="http://schemas.openxmlformats.org/officeDocument/2006/relationships" ref="O20" r:id="rId57"/>
    <hyperlink xmlns:r="http://schemas.openxmlformats.org/officeDocument/2006/relationships" ref="K21" r:id="rId58"/>
    <hyperlink xmlns:r="http://schemas.openxmlformats.org/officeDocument/2006/relationships" ref="M21" r:id="rId59"/>
    <hyperlink xmlns:r="http://schemas.openxmlformats.org/officeDocument/2006/relationships" ref="O21" r:id="rId60"/>
    <hyperlink xmlns:r="http://schemas.openxmlformats.org/officeDocument/2006/relationships" ref="K22" r:id="rId61"/>
    <hyperlink xmlns:r="http://schemas.openxmlformats.org/officeDocument/2006/relationships" ref="M22" r:id="rId62"/>
    <hyperlink xmlns:r="http://schemas.openxmlformats.org/officeDocument/2006/relationships" ref="O22" r:id="rId63"/>
    <hyperlink xmlns:r="http://schemas.openxmlformats.org/officeDocument/2006/relationships" ref="K23" r:id="rId64"/>
    <hyperlink xmlns:r="http://schemas.openxmlformats.org/officeDocument/2006/relationships" ref="M23" r:id="rId65"/>
    <hyperlink xmlns:r="http://schemas.openxmlformats.org/officeDocument/2006/relationships" ref="O23" r:id="rId66"/>
    <hyperlink xmlns:r="http://schemas.openxmlformats.org/officeDocument/2006/relationships" ref="K24" r:id="rId67"/>
    <hyperlink xmlns:r="http://schemas.openxmlformats.org/officeDocument/2006/relationships" ref="M24" r:id="rId68"/>
    <hyperlink xmlns:r="http://schemas.openxmlformats.org/officeDocument/2006/relationships" ref="O24" r:id="rId69"/>
    <hyperlink xmlns:r="http://schemas.openxmlformats.org/officeDocument/2006/relationships" ref="K25" r:id="rId70"/>
    <hyperlink xmlns:r="http://schemas.openxmlformats.org/officeDocument/2006/relationships" ref="M25" r:id="rId71"/>
    <hyperlink xmlns:r="http://schemas.openxmlformats.org/officeDocument/2006/relationships" ref="O25" r:id="rId72"/>
    <hyperlink xmlns:r="http://schemas.openxmlformats.org/officeDocument/2006/relationships" ref="K26" r:id="rId73"/>
    <hyperlink xmlns:r="http://schemas.openxmlformats.org/officeDocument/2006/relationships" ref="M26" r:id="rId74"/>
    <hyperlink xmlns:r="http://schemas.openxmlformats.org/officeDocument/2006/relationships" ref="O26" r:id="rId75"/>
    <hyperlink xmlns:r="http://schemas.openxmlformats.org/officeDocument/2006/relationships" ref="K27" r:id="rId76"/>
    <hyperlink xmlns:r="http://schemas.openxmlformats.org/officeDocument/2006/relationships" ref="M27" r:id="rId77"/>
    <hyperlink xmlns:r="http://schemas.openxmlformats.org/officeDocument/2006/relationships" ref="O27" r:id="rId78"/>
    <hyperlink xmlns:r="http://schemas.openxmlformats.org/officeDocument/2006/relationships" ref="K28" r:id="rId79"/>
    <hyperlink xmlns:r="http://schemas.openxmlformats.org/officeDocument/2006/relationships" ref="M28" r:id="rId80"/>
    <hyperlink xmlns:r="http://schemas.openxmlformats.org/officeDocument/2006/relationships" ref="O28" r:id="rId81"/>
    <hyperlink xmlns:r="http://schemas.openxmlformats.org/officeDocument/2006/relationships" ref="K29" r:id="rId82"/>
    <hyperlink xmlns:r="http://schemas.openxmlformats.org/officeDocument/2006/relationships" ref="M29" r:id="rId83"/>
    <hyperlink xmlns:r="http://schemas.openxmlformats.org/officeDocument/2006/relationships" ref="O29" r:id="rId84"/>
    <hyperlink xmlns:r="http://schemas.openxmlformats.org/officeDocument/2006/relationships" ref="K30" r:id="rId85"/>
    <hyperlink xmlns:r="http://schemas.openxmlformats.org/officeDocument/2006/relationships" ref="M30" r:id="rId86"/>
    <hyperlink xmlns:r="http://schemas.openxmlformats.org/officeDocument/2006/relationships" ref="O30" r:id="rId87"/>
    <hyperlink xmlns:r="http://schemas.openxmlformats.org/officeDocument/2006/relationships" ref="K31" r:id="rId88"/>
    <hyperlink xmlns:r="http://schemas.openxmlformats.org/officeDocument/2006/relationships" ref="M31" r:id="rId89"/>
    <hyperlink xmlns:r="http://schemas.openxmlformats.org/officeDocument/2006/relationships" ref="O31" r:id="rId90"/>
    <hyperlink xmlns:r="http://schemas.openxmlformats.org/officeDocument/2006/relationships" ref="K32" r:id="rId91"/>
    <hyperlink xmlns:r="http://schemas.openxmlformats.org/officeDocument/2006/relationships" ref="M32" r:id="rId92"/>
    <hyperlink xmlns:r="http://schemas.openxmlformats.org/officeDocument/2006/relationships" ref="O32" r:id="rId93"/>
    <hyperlink xmlns:r="http://schemas.openxmlformats.org/officeDocument/2006/relationships" ref="K33" r:id="rId94"/>
    <hyperlink xmlns:r="http://schemas.openxmlformats.org/officeDocument/2006/relationships" ref="M33" r:id="rId95"/>
    <hyperlink xmlns:r="http://schemas.openxmlformats.org/officeDocument/2006/relationships" ref="O33" r:id="rId96"/>
  </hyperlinks>
  <printOptions horizontalCentered="1"/>
  <pageMargins left="0.7480314960629921" right="0.7480314960629921" top="0.984251968503937" bottom="0.984251968503937" header="0.5118110236220472" footer="0.5118110236220472"/>
  <pageSetup orientation="landscape" paperSize="8" scale="38" verticalDpi="0"/>
</worksheet>
</file>

<file path=xl/worksheets/sheet12.xml><?xml version="1.0" encoding="utf-8"?>
<worksheet xmlns="http://schemas.openxmlformats.org/spreadsheetml/2006/main">
  <sheetPr codeName="Sheet9">
    <tabColor rgb="FFFFFF00"/>
    <outlinePr summaryBelow="1" summaryRight="1"/>
    <pageSetUpPr/>
  </sheetPr>
  <dimension ref="A1:S33"/>
  <sheetViews>
    <sheetView view="pageBreakPreview" zoomScale="55" zoomScaleNormal="55" zoomScaleSheetLayoutView="55" workbookViewId="0">
      <pane xSplit="2" ySplit="1" topLeftCell="C2" activePane="bottomRight" state="frozen"/>
      <selection pane="topRight" activeCell="C1" sqref="C1"/>
      <selection pane="bottomLeft" activeCell="A2" sqref="A2"/>
      <selection pane="bottomRight" activeCell="E2" sqref="E2"/>
    </sheetView>
  </sheetViews>
  <sheetFormatPr baseColWidth="8" defaultRowHeight="17.4"/>
  <cols>
    <col width="8.796875" customWidth="1" style="1" min="1" max="3"/>
    <col width="16" customWidth="1" style="2" min="4" max="4"/>
    <col width="27.69921875" customWidth="1" style="2" min="5" max="5"/>
    <col width="16.09765625" customWidth="1" style="2" min="6" max="6"/>
    <col width="26" customWidth="1" style="1" min="7" max="7"/>
    <col width="62.8984375" customWidth="1" style="1" min="8" max="8"/>
    <col width="28.69921875" customWidth="1" style="1" min="9" max="9"/>
    <col width="64.59765625" customWidth="1" style="1" min="10" max="10"/>
    <col width="12" customWidth="1" style="84" min="11" max="11"/>
    <col width="50" customWidth="1" style="84" min="12" max="12"/>
    <col width="10.19921875" customWidth="1" style="1" min="13" max="13"/>
    <col width="50.796875" customWidth="1" style="1" min="14" max="14"/>
    <col width="11.19921875" customWidth="1" style="84" min="15" max="15"/>
    <col width="16.69921875" customWidth="1" style="1" min="16" max="16"/>
    <col width="45" customWidth="1" style="1" min="17" max="35"/>
    <col width="8.796875" customWidth="1" style="1" min="36" max="65"/>
    <col width="8.796875" customWidth="1" style="1" min="66" max="16384"/>
  </cols>
  <sheetData>
    <row r="1" ht="31.2" customHeight="1">
      <c r="A1" s="7" t="inlineStr">
        <is>
          <t>L2 코드</t>
        </is>
      </c>
      <c r="B1" s="7" t="inlineStr">
        <is>
          <t>L3 코드</t>
        </is>
      </c>
      <c r="C1" s="7" t="inlineStr">
        <is>
          <t>L3 대공종명</t>
        </is>
      </c>
      <c r="D1" s="7" t="inlineStr">
        <is>
          <t>L4 코드</t>
        </is>
      </c>
      <c r="E1" s="7" t="inlineStr">
        <is>
          <t>작업단위 (Level 4 Task/Activity)</t>
        </is>
      </c>
      <c r="F1" s="7" t="inlineStr">
        <is>
          <t>주관</t>
        </is>
      </c>
      <c r="G1" s="7" t="inlineStr">
        <is>
          <t>목적</t>
        </is>
      </c>
      <c r="H1" s="7" t="inlineStr">
        <is>
          <t>방법</t>
        </is>
      </c>
      <c r="I1" s="71" t="inlineStr">
        <is>
          <t>산출물(결과)</t>
        </is>
      </c>
      <c r="J1" s="71" t="inlineStr">
        <is>
          <t>표준서 (Standard) 요약</t>
        </is>
      </c>
      <c r="K1" s="6" t="inlineStr">
        <is>
          <t>표준서 파일 (HTML)</t>
        </is>
      </c>
      <c r="L1" s="71" t="inlineStr">
        <is>
          <t>수행지침 (Guideline) 요약</t>
        </is>
      </c>
      <c r="M1" s="6" t="inlineStr">
        <is>
          <t>수행지침 파일 (HTML)</t>
        </is>
      </c>
      <c r="N1" s="71" t="inlineStr">
        <is>
          <t>체크리스트 (Checklist) 요약</t>
        </is>
      </c>
      <c r="O1" s="6" t="inlineStr">
        <is>
          <t>체크리스트 파일 (HTML)</t>
        </is>
      </c>
      <c r="P1" s="7" t="inlineStr">
        <is>
          <t>비고</t>
        </is>
      </c>
      <c r="Q1" s="9" t="inlineStr">
        <is>
          <t>첨부서류 연계 상세 설계기준</t>
        </is>
      </c>
      <c r="R1" s="9" t="inlineStr">
        <is>
          <t>집행단계 리스크 체크리스트</t>
        </is>
      </c>
      <c r="S1" s="9" t="inlineStr">
        <is>
          <t>협력사 시공/공사관리 자문</t>
        </is>
      </c>
    </row>
    <row r="2" ht="184.8" customHeight="1">
      <c r="A2" s="61" t="inlineStr">
        <is>
          <t>9000</t>
        </is>
      </c>
      <c r="B2" s="61" t="inlineStr">
        <is>
          <t>9000-3</t>
        </is>
      </c>
      <c r="C2" s="82" t="inlineStr">
        <is>
          <t>전기분야</t>
        </is>
      </c>
      <c r="D2" s="61" t="inlineStr">
        <is>
          <t>9000-3-1</t>
        </is>
      </c>
      <c r="E2" s="61" t="inlineStr">
        <is>
          <t>설계적정성 검토</t>
        </is>
      </c>
      <c r="F2" s="61" t="inlineStr">
        <is>
          <t>현장 공무팀</t>
        </is>
      </c>
      <c r="G2" s="60" t="inlineStr">
        <is>
          <t>설계적정성 및 시공성 검토</t>
        </is>
      </c>
      <c r="H2" s="62" t="inlineStr">
        <is>
          <t>- 인접사업 공사기간을 고려한 한전 전력공급설비 계획 적정성 검토 (임시전력설비 등 검토)
- 도로점용료가 공사비에 반영되었는지 검토
- 최신 설계기준, 철도표준 반영여부 확인
- 노면전차 전기 부하용량 적정성 검토
- 특고압케이블의 배관/배선 적정성 검토
- 특고압/외산자재 여부 확인
- 공사중 타공종 간섭사항, 원가 Risk 검토
- 공정계획의 적정성 검토</t>
        </is>
      </c>
      <c r="I2" s="60" t="inlineStr">
        <is>
          <t>회의록, 설계검토 보고서</t>
        </is>
      </c>
      <c r="J2" s="82" t="inlineStr">
        <is>
          <t>"전기공사업법, 전기사업법, 한국전기설비규정(KEC), 도로법(점용허가) 및 산업안전보건법 준수 여부를 1:1 검토한다."</t>
        </is>
      </c>
      <c r="K2" s="72" t="inlineStr">
        <is>
          <t>👉 [더블클릭] 표준서 열기 📄</t>
        </is>
      </c>
      <c r="L2" s="82" t="inlineStr">
        <is>
          <t>본 지침서는 동탄트램 전기분야 사업 착공 전설계도서의 기술적·법적 적정성 검토 방법과현장 여건, 타공종 간섭, 공법·장비 시공성(Constructability) 검토 절차를 명확히 제시하여, 시공 위험 요소는 사전에 헷지(H...</t>
        </is>
      </c>
      <c r="M2" s="72" t="inlineStr">
        <is>
          <t>👉 [더블클릭] 수행지침 열기 📄</t>
        </is>
      </c>
      <c r="N2" s="82" t="inlineStr">
        <is>
          <t>본 체크리스트는 철도설계기준(KDS 47 00 00) 및 전기사업법에 의거하여,전기 분야 전반(송변전, 전력, 전차선, 배전, 접지, 인허가 등)에 대한 핵심 설계 적정성을 점검하고, 리스크(Risk) 헷지 및 기회(Oppo...</t>
        </is>
      </c>
      <c r="O2" s="70" t="inlineStr">
        <is>
          <t>👉 [더블클릭] 체크리스트 열기 📄</t>
        </is>
      </c>
      <c r="P2" s="10" t="n"/>
      <c r="Q2" s="83" t="n"/>
      <c r="R2" s="83" t="n"/>
      <c r="S2" s="83" t="n"/>
    </row>
    <row r="3" ht="245.4" customHeight="1">
      <c r="A3" s="61" t="inlineStr">
        <is>
          <t>9000</t>
        </is>
      </c>
      <c r="B3" s="61" t="inlineStr">
        <is>
          <t>9000-3</t>
        </is>
      </c>
      <c r="C3" s="82" t="inlineStr">
        <is>
          <t>전기분야</t>
        </is>
      </c>
      <c r="D3" s="61" t="inlineStr">
        <is>
          <t>9000-3-2</t>
        </is>
      </c>
      <c r="E3" s="61" t="inlineStr">
        <is>
          <t>발주전략 KOM</t>
        </is>
      </c>
      <c r="F3" s="61" t="inlineStr">
        <is>
          <t>현장소장</t>
        </is>
      </c>
      <c r="G3" s="60" t="inlineStr">
        <is>
          <t>노면전차설비 공사 발주 전략수립</t>
        </is>
      </c>
      <c r="H3" s="62" t="inlineStr">
        <is>
          <t>- 노면전차설비 설계 및 현장여건 검토
- 노면전차설비 공사 시공실적 업체Pool 검토
- 유사사례 영업운행 실적이 확보된 시스템적용
- 현설조건 검토
1) 공정계획 및 노면전차 자재 제작 기간
2) 노면전차설비 시공 실적 보유 (철도, 도시철도, 경전철 등)
3) 예비품 및 소모품 포함
4) 시공전시 전기설비 운전 및 교육 지원 (비용 포함)
5) 예상내역상 누락 아이템 여부
6) 현장 자재보관 창고 임대 비용 포함
7) 공사용 전기, 용수, 청소 비용 포함
8) 개통 후 현장 기술지원 상주 인력, 기간 및 비용 포함</t>
        </is>
      </c>
      <c r="I3" s="60" t="inlineStr">
        <is>
          <t>KOM 검토결과서, 현장설명서</t>
        </is>
      </c>
      <c r="J3" s="82" t="inlineStr">
        <is>
          <t>공정표 대비 노면전차 특수자재(전차선 강성가선, 변압기 등)의 공장 제작/조달 Lead Time을 사전 반영함.</t>
        </is>
      </c>
      <c r="K3" s="72" t="inlineStr">
        <is>
          <t>👉 [더블클릭] 표준서 열기 📄</t>
        </is>
      </c>
      <c r="L3" s="82" t="inlineStr">
        <is>
          <t>본 지침서는 동탄트램 노면전차설비 공사 발주 전설계 및 현장 여건을 정밀 파악하고 8대 현실조건(자재 제작 Lead Time, 철도/경전철 시공 실적 Pool, 예비품, 시공중/후 운전 및 교육지원, 현장 자재창고 임대료, ...</t>
        </is>
      </c>
      <c r="M3" s="72" t="inlineStr">
        <is>
          <t>👉 [더블클릭] 수행지침 열기 📄</t>
        </is>
      </c>
      <c r="N3" s="82" t="inlineStr">
        <is>
          <t>본 체크리스트는 동탄트램 노면전차설비 공사 발주 착수 전8대 현실조건(자재 Lead Time, 시공 실적 Pool, 예비품, 시공중/후 교육 및 기술지원, 현장 자재창고 임대료, 가설 전원/용수/청소, 개통 후 상주 기술지원...</t>
        </is>
      </c>
      <c r="O3" s="70" t="inlineStr">
        <is>
          <t>👉 [더블클릭] 체크리스트 열기 📄</t>
        </is>
      </c>
      <c r="P3" s="10" t="n"/>
      <c r="Q3" s="83" t="n"/>
      <c r="R3" s="83" t="n"/>
      <c r="S3" s="83" t="n"/>
    </row>
    <row r="4" ht="163.8" customHeight="1">
      <c r="A4" s="61" t="inlineStr">
        <is>
          <t>9000</t>
        </is>
      </c>
      <c r="B4" s="61" t="inlineStr">
        <is>
          <t>9000-3</t>
        </is>
      </c>
      <c r="C4" s="82" t="inlineStr">
        <is>
          <t>전기분야</t>
        </is>
      </c>
      <c r="D4" s="61" t="inlineStr">
        <is>
          <t>9000-3-3</t>
        </is>
      </c>
      <c r="E4" s="61" t="inlineStr">
        <is>
          <t>토목 / 건축 인터페이스 협의</t>
        </is>
      </c>
      <c r="F4" s="61" t="inlineStr">
        <is>
          <t>현장 전철전력팀</t>
        </is>
      </c>
      <c r="G4" s="60" t="inlineStr">
        <is>
          <t>전력설비 설치를 위한 요구사항 검토</t>
        </is>
      </c>
      <c r="H4" s="62" t="inlineStr">
        <is>
          <t>- 자재 반출입 동선/공동구/횡단관로/케이블 인입구 등 확인, 기능실마감 및 출입문 
   확인, 토목분야 선시공 자재관련 적정성 여부 확인</t>
        </is>
      </c>
      <c r="I4" s="60" t="inlineStr">
        <is>
          <t>인터페이스 회의록 및 관리대장</t>
        </is>
      </c>
      <c r="J4" s="82" t="inlineStr">
        <is>
          <t>"정류기, 변압기, ESS 대형 기자재 반입 동선, 출입문 유효 폭/높이(H x W) 및 양중 훅 위치 실측 검증"</t>
        </is>
      </c>
      <c r="K4" s="72" t="inlineStr">
        <is>
          <t>👉 [더블클릭] 표준서 열기 📄</t>
        </is>
      </c>
      <c r="L4" s="82" t="inlineStr">
        <is>
          <t>본 지침서는 동탄트램 전기분야 시공 착수 전자재 반입용 동선, 공동구/횡단관로/인입구 좌표, 전기 기능실 마감, 토목 공사용 매립 배관 검측 및 3D BIM 간섭 해소 절차를 명확히 제시하여, 콘크리트 구조체 타설 완료 후 ...</t>
        </is>
      </c>
      <c r="M4" s="72" t="inlineStr">
        <is>
          <t>👉 [더블클릭] 수행지침 열기 📄</t>
        </is>
      </c>
      <c r="N4" s="82" t="inlineStr">
        <is>
          <t>본 체크리스트는 동탄트램 전기분야 시공 착수 전자재 반입용 동선, 변전실 개구부, 공동구/인입구 3D BIM 좌표, 전기 기능실 마감 및 토목 공사용 매립 배관의 적정성을 사전에 검측하여 구조체 타설 후 굴착/파쇄 재시공 충...</t>
        </is>
      </c>
      <c r="O4" s="70" t="inlineStr">
        <is>
          <t>👉 [더블클릭] 체크리스트 열기 📄</t>
        </is>
      </c>
      <c r="P4" s="10" t="n"/>
      <c r="Q4" s="83" t="n"/>
      <c r="R4" s="83" t="n"/>
      <c r="S4" s="83" t="n"/>
    </row>
    <row r="5" ht="139.2" customHeight="1">
      <c r="A5" s="61" t="inlineStr">
        <is>
          <t>9000</t>
        </is>
      </c>
      <c r="B5" s="61" t="inlineStr">
        <is>
          <t>9000-3</t>
        </is>
      </c>
      <c r="C5" s="82" t="inlineStr">
        <is>
          <t>전기분야</t>
        </is>
      </c>
      <c r="D5" s="61" t="inlineStr">
        <is>
          <t>9000-3-4</t>
        </is>
      </c>
      <c r="E5" s="61" t="inlineStr">
        <is>
          <t>신호 / 통신 / 기계 / PSD / 차량 인터페이스 협의</t>
        </is>
      </c>
      <c r="F5" s="61" t="inlineStr">
        <is>
          <t>현장 전철전력팀 / 전기 협력업체</t>
        </is>
      </c>
      <c r="G5" s="60" t="inlineStr">
        <is>
          <t>연계분야간 사전조율 및 인터페이스 사항 도출로 재작업 예방</t>
        </is>
      </c>
      <c r="H5" s="62" t="inlineStr">
        <is>
          <t>- 연계분야별 조율 및 협의사항 도출
1) (기계): 부하별 필요전원 및 기동방식 외
2) (신호/통신): 공동관로 포설계획 외
3) (차량): 차량시운전에 필요한 충전설비 가압 일정 수립
4) (전기, 신호, 기계): 위치별 가압일정
- 2차(부하)측 세부 작업범위, 인수인계 이후 작업투입 순서 조율</t>
        </is>
      </c>
      <c r="I5" s="60" t="inlineStr">
        <is>
          <t>인터페이스 회의록 및 관리대장</t>
        </is>
      </c>
      <c r="J5" s="82" t="inlineStr">
        <is>
          <t>"신호, 통신, 기계, PSD 및 트램 차량 전력 공급 관로, 배선 용량 및 트레이 타공 누락 사항 정밀 추출"</t>
        </is>
      </c>
      <c r="K5" s="72" t="inlineStr">
        <is>
          <t>👉 [더블클릭] 표준서 열기 📄</t>
        </is>
      </c>
      <c r="L5" s="82" t="inlineStr">
        <is>
          <t>전기분야와 타공종(신호, 통신, 기계, PSD, 트램 차량) 간 인터페이스 설계도서 상 누락 및 협의사항 도출, 관로/배선/트레이/인터록 신호선 사전 조율을 통해 재작업을 원천 예방함</t>
        </is>
      </c>
      <c r="M5" s="72" t="inlineStr">
        <is>
          <t>👉 [더블클릭] 수행지침 열기 📄</t>
        </is>
      </c>
      <c r="N5" s="82" t="inlineStr">
        <is>
          <t>본 체크리스트는 동탄트램 전기분야 시공 착수 전전기분야와 타공종(신호, 통신, 기계, PSD, 트램 차량) 간 인터페이스 설계도서 상 누락 및 협의사항 도출, 관로/배선/트레이/인터록 신호선 사전 조율을 통해 재작업을 원천 ...</t>
        </is>
      </c>
      <c r="O5" s="70" t="inlineStr">
        <is>
          <t>👉 [더블클릭] 체크리스트 열기 📄</t>
        </is>
      </c>
      <c r="P5" s="10" t="n"/>
      <c r="Q5" s="83" t="n"/>
      <c r="R5" s="83" t="n"/>
      <c r="S5" s="83" t="n"/>
    </row>
    <row r="6" ht="139.2" customHeight="1">
      <c r="A6" s="61" t="inlineStr">
        <is>
          <t>9000</t>
        </is>
      </c>
      <c r="B6" s="61" t="inlineStr">
        <is>
          <t>9000-3</t>
        </is>
      </c>
      <c r="C6" s="82" t="inlineStr">
        <is>
          <t>전기분야</t>
        </is>
      </c>
      <c r="D6" s="61" t="inlineStr">
        <is>
          <t>9000-3-5</t>
        </is>
      </c>
      <c r="E6" s="61" t="inlineStr">
        <is>
          <t>전기설비 제작사 인터페이스 협의</t>
        </is>
      </c>
      <c r="F6" s="61" t="inlineStr">
        <is>
          <t>현장 전철전력팀</t>
        </is>
      </c>
      <c r="G6" s="60" t="inlineStr">
        <is>
          <t>전기설비간 연동방안 검토</t>
        </is>
      </c>
      <c r="H6" s="60" t="inlineStr">
        <is>
          <t>- 내부 인터페이스 및 인허가사항 확인</t>
        </is>
      </c>
      <c r="I6" s="60" t="inlineStr">
        <is>
          <t>인터페이스 회의록 및 관리대장 , 보안성검토 요청서</t>
        </is>
      </c>
      <c r="J6" s="82" t="inlineStr">
        <is>
          <t>"SCADA RTU, 변전소 GIS, 정류기, ESS 릴레이 간 IEC 61850 및 Modbus 통신 핀 맵/신호 주소 1:1 검증"</t>
        </is>
      </c>
      <c r="K6" s="72" t="inlineStr">
        <is>
          <t>👉 [더블클릭] 표준서 열기 📄</t>
        </is>
      </c>
      <c r="L6" s="82" t="inlineStr">
        <is>
          <t>전기설비(변압기, 정류기, ESS, GIS, SCADA RTU) 제작사 사양 사전 반영, 이종 제작사 간 통신 프로토콜(IEC 61850, Modbus) 핀 맵/제어 랙 치수 조율 및 제작사양서 확정</t>
        </is>
      </c>
      <c r="M6" s="72" t="inlineStr">
        <is>
          <t>👉 [더블클릭] 수행지침 열기 📄</t>
        </is>
      </c>
      <c r="N6" s="82" t="inlineStr">
        <is>
          <t>본 체크리스트는 동탄트램 전기분야 시공 착수 전전기설비(변압기, 정류기, ESS, GIS, SCADA RTU) 제작사 사양 사전 반영, 이종 제작사 간 통신 프로토콜(IEC 61850, Modbus) 핀 맵/제어 랙 치수 조...</t>
        </is>
      </c>
      <c r="O6" s="70" t="inlineStr">
        <is>
          <t>👉 [더블클릭] 체크리스트 열기 📄</t>
        </is>
      </c>
      <c r="P6" s="10" t="n"/>
      <c r="Q6" s="83" t="n"/>
      <c r="R6" s="83" t="n"/>
      <c r="S6" s="83" t="n"/>
    </row>
    <row r="7" ht="139.2" customHeight="1">
      <c r="A7" s="61" t="inlineStr">
        <is>
          <t>9000</t>
        </is>
      </c>
      <c r="B7" s="61" t="inlineStr">
        <is>
          <t>9000-3</t>
        </is>
      </c>
      <c r="C7" s="82" t="inlineStr">
        <is>
          <t>전기분야</t>
        </is>
      </c>
      <c r="D7" s="61" t="inlineStr">
        <is>
          <t>9000-3-6</t>
        </is>
      </c>
      <c r="E7" s="61" t="inlineStr">
        <is>
          <t>관제 및 운영사 인터페이스 협의</t>
        </is>
      </c>
      <c r="F7" s="61" t="inlineStr">
        <is>
          <t>현장 전철전력팀 / 전기 협력업체</t>
        </is>
      </c>
      <c r="G7" s="60" t="inlineStr">
        <is>
          <t>관제 및 운영사 요구사항 사전 반영 및 과업범위 최적화</t>
        </is>
      </c>
      <c r="H7" s="62" t="inlineStr">
        <is>
          <t>- 도로교통관제(수원, 동탄) 인터페이스 협의
- 전기설비 운영 및 유지보수자 편의성 향상을 위한 기능추가
  (불필요한 기능을 삭제시에는 사전 협의)
- 기기번호, 인터록(InterLock) Logic, 단로기(위치/번호/형태), 예비품 등 확정
* 인터록: 기계의 각 작동부분 상호간을 전기적, 기계적으로 연결해서 정상으로 작동하기 위한 조건이 만족되지 않는 경우 자동적으로 그 기계를 작동할 수 없도록 하는 기구
* 단로기: 차선로에 급전 및 선로 구분을 목적으로 하는 설비</t>
        </is>
      </c>
      <c r="I7" s="60" t="inlineStr">
        <is>
          <t>인터페이스 회의록 및 관리대장</t>
        </is>
      </c>
      <c r="J7" s="82" t="inlineStr">
        <is>
          <t>"지자체(수원시, 화성시) 도로교통관제 센터와 트램 우선신호 제어기 간 통신 인터페이스 및 연동 협의"</t>
        </is>
      </c>
      <c r="K7" s="72" t="inlineStr">
        <is>
          <t>👉 [더블클릭] 표준서 열기 📄</t>
        </is>
      </c>
      <c r="L7" s="82" t="inlineStr">
        <is>
          <t>수원시/동탄 도로교통관제 트램 우선신호 연동, 트램관제실(OCC) SCADA MMI 심볼 표준화, 차단기/단로기/접지스위치 안전 인터록 Logic 및 유지보수자 편의 기능 사전 협의</t>
        </is>
      </c>
      <c r="M7" s="72" t="inlineStr">
        <is>
          <t>👉 [더블클릭] 수행지침 열기 📄</t>
        </is>
      </c>
      <c r="N7" s="82" t="inlineStr">
        <is>
          <t>본 체크리스트는 동탄트램 전기분야 시공 착수 전수원시/동탄 도로교통관제 트램 우선신호 연동, 트램관제실(OCC) SCADA MMI 심볼 표준화, 차단기/단로기/접지스위치 안전 인터록 Logic 및 유지보수자 편의 기능 사전 ...</t>
        </is>
      </c>
      <c r="O7" s="70" t="inlineStr">
        <is>
          <t>👉 [더블클릭] 체크리스트 열기 📄</t>
        </is>
      </c>
      <c r="P7" s="10" t="n"/>
      <c r="Q7" s="83" t="n"/>
      <c r="R7" s="83" t="n"/>
      <c r="S7" s="83" t="n"/>
    </row>
    <row r="8" ht="139.2" customHeight="1">
      <c r="A8" s="61" t="inlineStr">
        <is>
          <t>9000</t>
        </is>
      </c>
      <c r="B8" s="61" t="inlineStr">
        <is>
          <t>9000-3</t>
        </is>
      </c>
      <c r="C8" s="82" t="inlineStr">
        <is>
          <t>전기분야</t>
        </is>
      </c>
      <c r="D8" s="61" t="inlineStr">
        <is>
          <t>9000-3-7</t>
        </is>
      </c>
      <c r="E8" s="61" t="inlineStr">
        <is>
          <t>발주처 품질 요구사항 검토</t>
        </is>
      </c>
      <c r="F8" s="61" t="inlineStr">
        <is>
          <t>현장 전철전력팀</t>
        </is>
      </c>
      <c r="G8" s="60" t="inlineStr">
        <is>
          <t>발주처 품질관리 기준/검사방안 확인</t>
        </is>
      </c>
      <c r="H8" s="60" t="inlineStr">
        <is>
          <t>- 감리/감독과 품질검사(ITP/ITC) 항목 검토</t>
        </is>
      </c>
      <c r="I8" s="60" t="inlineStr">
        <is>
          <t>ITP/ITC</t>
        </is>
      </c>
      <c r="J8" s="82" t="inlineStr">
        <is>
          <t>"감리/감독원 입회 품질검측계획서(ITP: Inspection &amp; Test Plan) 작성 및 Hold Point(필수정지점) / Witness Point(입회점) 구분 명시"</t>
        </is>
      </c>
      <c r="K8" s="72" t="inlineStr">
        <is>
          <t>👉 [더블클릭] 표준서 열기 📄</t>
        </is>
      </c>
      <c r="L8" s="82" t="inlineStr">
        <is>
          <t>감리/감독원 품질검사(ITP/ITC) 항목 검토, Hold Point/Witness Point 입회점 구분 수립, 현장 계측기 교정성적서 관리 및 불합격 자재 48시간 내 반출 통제 수칙</t>
        </is>
      </c>
      <c r="M8" s="72" t="inlineStr">
        <is>
          <t>👉 [더블클릭] 수행지침 열기 📄</t>
        </is>
      </c>
      <c r="N8" s="82" t="inlineStr">
        <is>
          <t>본 체크리스트는 동탄트램 전기분야 업무 이행에 대해감리/감독원 품질검사(ITP/ITC) 항목 검토, Hold Point/Witness Point 입회점 구분 수립, 현장 계측기 교정성적서 관리 및 불합격 자재 48시간 내 반...</t>
        </is>
      </c>
      <c r="O8" s="70" t="inlineStr">
        <is>
          <t>👉 [더블클릭] 체크리스트 열기 📄</t>
        </is>
      </c>
      <c r="P8" s="10" t="n"/>
      <c r="Q8" s="83" t="n"/>
      <c r="R8" s="83" t="n"/>
      <c r="S8" s="83" t="n"/>
    </row>
    <row r="9" ht="139.2" customHeight="1">
      <c r="A9" s="61" t="inlineStr">
        <is>
          <t>9000</t>
        </is>
      </c>
      <c r="B9" s="61" t="inlineStr">
        <is>
          <t>9000-3</t>
        </is>
      </c>
      <c r="C9" s="82" t="inlineStr">
        <is>
          <t>전기분야</t>
        </is>
      </c>
      <c r="D9" s="61" t="inlineStr">
        <is>
          <t>9000-3-8</t>
        </is>
      </c>
      <c r="E9" s="61" t="inlineStr">
        <is>
          <t>자재 / 인원 / 장비 등 투입 사전 검토</t>
        </is>
      </c>
      <c r="F9" s="61" t="inlineStr">
        <is>
          <t>현장 전철전력팀 / 협력업체 / 관리</t>
        </is>
      </c>
      <c r="G9" s="60" t="inlineStr">
        <is>
          <t>자재 / 인원 / 장비 투입 계획 수립</t>
        </is>
      </c>
      <c r="H9" s="62" t="inlineStr">
        <is>
          <t>- 현장 여건 및 수량을 기준으로 투입(인력, 장비, 자재)을 검토</t>
        </is>
      </c>
      <c r="I9" s="60" t="inlineStr">
        <is>
          <t>세부 공정계획 수립 및 조율</t>
        </is>
      </c>
      <c r="J9" s="82" t="inlineStr">
        <is>
          <t>"변압기, GIS, 정류기, ESS, 전차선 등 주요 전기자재 공장 제작 및 수급 소요 기간(Lead Time 30~60일)을 공정표와 사전 연동 통제"</t>
        </is>
      </c>
      <c r="K9" s="72" t="inlineStr">
        <is>
          <t>👉 [더블클릭] 표준서 열기 📄</t>
        </is>
      </c>
      <c r="L9" s="82" t="inlineStr">
        <is>
          <t>현장 여건 및 공정을 기준으로 주요 자재 Lead Time(30~60일) 사전 발주 검증, 한국전기공사협회 기술자 자격 실물 대조, 고소작업차 안전검사합격증 확인 및 투입계획서 승인</t>
        </is>
      </c>
      <c r="M9" s="81" t="inlineStr">
        <is>
          <t>👉 [더블클릭] 수행지침 열기 📄</t>
        </is>
      </c>
      <c r="N9" s="82" t="inlineStr">
        <is>
          <t>본 체크리스트는 동탄트램 전기분야 업무 이행에 대해현장 여건 및 공정을 기준으로 주요 자재 Lead Time(30~60일) 사전 발주 검증, 한국전기공사협회 기술자 자격 실물 대조, 고소작업차 안전검사합격증 확인 및 투입계획...</t>
        </is>
      </c>
      <c r="O9" s="70" t="inlineStr">
        <is>
          <t>👉 [더블클릭] 체크리스트 열기 📄</t>
        </is>
      </c>
      <c r="P9" s="10" t="n"/>
      <c r="Q9" s="83" t="n"/>
      <c r="R9" s="83" t="n"/>
      <c r="S9" s="83" t="n"/>
    </row>
    <row r="10" ht="139.2" customHeight="1">
      <c r="A10" s="61" t="inlineStr">
        <is>
          <t>9000</t>
        </is>
      </c>
      <c r="B10" s="61" t="inlineStr">
        <is>
          <t>9000-3</t>
        </is>
      </c>
      <c r="C10" s="82" t="inlineStr">
        <is>
          <t>전기분야</t>
        </is>
      </c>
      <c r="D10" s="61" t="inlineStr">
        <is>
          <t>9000-3-9</t>
        </is>
      </c>
      <c r="E10" s="61" t="inlineStr">
        <is>
          <t>인허가 준비</t>
        </is>
      </c>
      <c r="F10" s="61" t="inlineStr">
        <is>
          <t>현장 전철전력팀 / 협력업체</t>
        </is>
      </c>
      <c r="G10" s="60" t="inlineStr">
        <is>
          <t>관련법에 따른 인허가 수행</t>
        </is>
      </c>
      <c r="H10" s="62" t="inlineStr">
        <is>
          <t>- 인허가(전기사용신청, 공사계획신고, 도로점용허가, 도로공사 신고, 전기 사용전검사 등) 추진 계획을 To do list 작성하여 관리</t>
        </is>
      </c>
      <c r="I10" s="60" t="inlineStr">
        <is>
          <t>인허가 To do list</t>
        </is>
      </c>
      <c r="J10" s="82" t="inlineStr">
        <is>
          <t>"관할 한전에 수전 용량 계산서, 건축허가서, 22.9kV 수전 단선도 첨부 전기사용신청서 제출(처리기간 1개월) 및 인수점 지중 맨홀 협의"</t>
        </is>
      </c>
      <c r="K10" s="72" t="inlineStr">
        <is>
          <t>👉 [더블클릭] 표준서 열기 📄</t>
        </is>
      </c>
      <c r="L10" s="82" t="inlineStr">
        <is>
          <t>한전 22.9kV 수전 전기사용신청, 지자체 전기 공사계획신고, 도로점용허가(도로법 56조), 도로공사신고(도로교통법 69조) 및 KESC 사용전검사 인허가 To-Do List 추적 관리</t>
        </is>
      </c>
      <c r="M10" s="72" t="inlineStr">
        <is>
          <t>👉 [더블클릭] 수행지침 열기 📄</t>
        </is>
      </c>
      <c r="N10" s="82" t="inlineStr">
        <is>
          <t>본 체크리스트는 동탄트램 전기분야 업무 이행에 대해한전 22.9kV 수전 전기사용신청, 지자체 전기 공사계획신고, 도로점용허가(도로법 56조), 도로공사신고(도로교통법 69조) 및 KESC 사용전검사 인허가 To-Do Lis...</t>
        </is>
      </c>
      <c r="O10" s="70" t="inlineStr">
        <is>
          <t>👉 [더블클릭] 체크리스트 열기 📄</t>
        </is>
      </c>
      <c r="P10" s="10" t="n"/>
      <c r="Q10" s="83" t="n"/>
      <c r="R10" s="83" t="n"/>
      <c r="S10" s="83" t="n"/>
    </row>
    <row r="11" ht="226.2" customHeight="1">
      <c r="A11" s="61" t="inlineStr">
        <is>
          <t>9000</t>
        </is>
      </c>
      <c r="B11" s="61" t="inlineStr">
        <is>
          <t>9000-3</t>
        </is>
      </c>
      <c r="C11" s="82" t="inlineStr">
        <is>
          <t>전기분야</t>
        </is>
      </c>
      <c r="D11" s="61" t="inlineStr">
        <is>
          <t>9000-3-10</t>
        </is>
      </c>
      <c r="E11" s="61" t="inlineStr">
        <is>
          <t>착수 전 Big Room 회의</t>
        </is>
      </c>
      <c r="F11" s="61" t="inlineStr">
        <is>
          <t>현장소장</t>
        </is>
      </c>
      <c r="G11" s="60" t="inlineStr">
        <is>
          <t>전철전력공사 수행 시, 선행공정 간섭사항 및 각종 Risk에 대한 대책 수립</t>
        </is>
      </c>
      <c r="H11" s="60" t="inlineStr">
        <is>
          <t>본사/현장/협력사 협의체 구축 후 상세검토
 - 공종별 간섭사항 검토: 노반(궤도)/신호/통신/기계/차량 인터페이스
 - 전기 자재 반입로/기자재 반입구/자재 야적장/제작사 공장 검토
 - 전기 자재 성능보증 검토: 유사사례 적용실적 및 성능보증 세부사항 등
 - 하자 예방: 타 프로젝트 하자사례 검토 후, 재발방지방안 수립
 - 인원, 자재, 장비 투입계획, 양중장비 운영계획 검토
 - 당사의 장비 안전검사 기준 공유, 장비검사 계획 확인
 - 공종별 Risk Hedge 방안 검토
  1) 안전/품질 Risk 도출 및 대책 수립 
  2) 민원 대응방안 수립
• 참석: 현장소장, 공무/공사/품질/안전팀담당자, 전철전력 협력업체, 선후행 공종 협력업체(토목, 시운전 등), 본사 담당팀(견적/엔지니어링/공정/품질/안전), 수행(공정)/품질/안전</t>
        </is>
      </c>
      <c r="I11" s="60" t="inlineStr">
        <is>
          <t>Big Room 회의록(참석자 전원 서명)</t>
        </is>
      </c>
      <c r="J11" s="82" t="inlineStr">
        <is>
          <t>"노반(궤도), 신호, 통신, 기계, PSD, 차량 인터페이스 및 3D BIM 공간 간섭을 전면 사전 검토한다."</t>
        </is>
      </c>
      <c r="K11" s="72" t="inlineStr">
        <is>
          <t>👉 [더블클릭] 표준서 열기 📄</t>
        </is>
      </c>
      <c r="L11" s="82" t="inlineStr">
        <is>
          <t>본 지침서는 동탄트램 전기분야 실공사 착수 전본사, 현장, 협력사 및 토목/신호/차량 3자 협의체 구축 방법,3D BIM 공종 간섭 조율, 자재 반입 동선/야적장 확보, 타 프로젝트 하자사례 분석 및 안전/민원 Risk He...</t>
        </is>
      </c>
      <c r="M11" s="72" t="inlineStr">
        <is>
          <t>👉 [더블클릭] 수행지침 열기 📄</t>
        </is>
      </c>
      <c r="N11" s="82" t="inlineStr">
        <is>
          <t>본 체크리스트는 동탄트램 전기분야 실공사 착수 전본사, 현장, 협력사 및 토목/신호/차량 3자 협의체를 구축하여 3D BIM 공종 간섭, 자재 반입 동선, 타 현장 하자사례 재발방지책 및 Risk Hedge 방안을 확정하기 ...</t>
        </is>
      </c>
      <c r="O11" s="70" t="inlineStr">
        <is>
          <t>👉 [더블클릭] 체크리스트 열기 📄</t>
        </is>
      </c>
      <c r="P11" s="10" t="n"/>
      <c r="Q11" s="83" t="n"/>
      <c r="R11" s="83" t="n"/>
      <c r="S11" s="83" t="n"/>
    </row>
    <row r="12" ht="121.8" customHeight="1">
      <c r="A12" s="61" t="inlineStr">
        <is>
          <t>9000</t>
        </is>
      </c>
      <c r="B12" s="61" t="inlineStr">
        <is>
          <t>9000-3</t>
        </is>
      </c>
      <c r="C12" s="82" t="inlineStr">
        <is>
          <t>전기분야</t>
        </is>
      </c>
      <c r="D12" s="61" t="inlineStr">
        <is>
          <t>9000-3-11</t>
        </is>
      </c>
      <c r="E12" s="61" t="inlineStr">
        <is>
          <t>전기설비 제작 사양서 작성 / 승인</t>
        </is>
      </c>
      <c r="F12" s="61" t="inlineStr">
        <is>
          <t>현장 시스템팀</t>
        </is>
      </c>
      <c r="G12" s="60" t="inlineStr">
        <is>
          <t>전기설비의 제작 사양서 작성/승인</t>
        </is>
      </c>
      <c r="H12" s="60" t="inlineStr">
        <is>
          <t>- 현장여건 및 실시설계도서(보고서,도면,자재사양서)의 요구사항 충족 여부를 확인
- 제작사양서, 제작도면 작성 후 감리단 승인</t>
        </is>
      </c>
      <c r="I12" s="60" t="inlineStr">
        <is>
          <t>제작사양서, 제작도면</t>
        </is>
      </c>
      <c r="J12" s="82" t="inlineStr">
        <is>
          <t>"변압기 용량, 정류기 정격, ESS 배터리 세부 기술사양서 검토 및 시방 규격 1:1 대조 파악"</t>
        </is>
      </c>
      <c r="K12" s="72" t="inlineStr">
        <is>
          <t>👉 [더블클릭] 표준서 열기 📄</t>
        </is>
      </c>
      <c r="L12" s="82" t="inlineStr">
        <is>
          <t>전기설비(변압기, 정류기, ESS, GIS, SCADA) 공장 제작 착수 전 발주처 특기시방서 및 KDS 47 00 00 철도설계기준에 따른 상세 기술사양서 및 공장 제작 승인도면(Shop Drawing) 검토</t>
        </is>
      </c>
      <c r="M12" s="72" t="inlineStr">
        <is>
          <t>👉 [더블클릭] 수행지침 열기 📄</t>
        </is>
      </c>
      <c r="N12" s="82" t="inlineStr">
        <is>
          <t>본 체크리스트는 동탄트램 전기분야 전기설비 제작 사양서 작성 / 승인 업무 이행에 대해전기설비(변압기, 정류기, ESS, GIS, SCADA) 공장 제작 착수 전 발주처 특기시방서 및 KDS 47 00 00 철도설계기준에 따...</t>
        </is>
      </c>
      <c r="O12" s="70" t="inlineStr">
        <is>
          <t>👉 [더블클릭] 체크리스트 열기 📄</t>
        </is>
      </c>
      <c r="P12" s="10" t="n"/>
      <c r="Q12" s="83" t="n"/>
      <c r="R12" s="83" t="n"/>
      <c r="S12" s="83" t="n"/>
    </row>
    <row r="13" ht="104.4" customHeight="1">
      <c r="A13" s="61" t="inlineStr">
        <is>
          <t>9000</t>
        </is>
      </c>
      <c r="B13" s="61" t="inlineStr">
        <is>
          <t>9000-3</t>
        </is>
      </c>
      <c r="C13" s="82" t="inlineStr">
        <is>
          <t>전기분야</t>
        </is>
      </c>
      <c r="D13" s="61" t="inlineStr">
        <is>
          <t>9000-3-12</t>
        </is>
      </c>
      <c r="E13" s="61" t="inlineStr">
        <is>
          <t>시공 계획 수립 / 승인</t>
        </is>
      </c>
      <c r="F13" s="61" t="inlineStr">
        <is>
          <t>현장 시스템팀</t>
        </is>
      </c>
      <c r="G13" s="60" t="inlineStr">
        <is>
          <t>안전/품질이 확보된 시공계획 수립</t>
        </is>
      </c>
      <c r="H13" s="62" t="inlineStr">
        <is>
          <t>- 공사계획: 예정공정표, 인원/장비/자재투입 계획, 전기자재 설치 절차서 등
- 안전관리: 위험요인/대책, 안전교육/시설/점검 계획 수립
- 품질관리: 품질하자 Risk 및 대책 수립
- 전기공사 수행을 위한 처리계통별 시공계획 수립 : 본선/전기실의 전기설비 설치 방법 및 관리사항, 각종 시험 방법 등</t>
        </is>
      </c>
      <c r="I13" s="64" t="inlineStr">
        <is>
          <t>시공계획서&amp;시공상세도</t>
        </is>
      </c>
      <c r="J13" s="82" t="inlineStr">
        <is>
          <t>"변전기기 반입, Cable Tray 설치, 전차선 지주 입립 시공 순서 및 3D BIM 공정 수립"</t>
        </is>
      </c>
      <c r="K13" s="72" t="inlineStr">
        <is>
          <t>👉 [더블클릭] 표준서 열기 📄</t>
        </is>
      </c>
      <c r="L13" s="82" t="inlineStr">
        <is>
          <t>전기분야 공정별(변전소, 전차선, 케이블 포설) 상세 시공계획서 수립, 예정공정표(Critical Path) 검토, 시공 순서 및 안전/품질 관리대책 수립 후 감리단 공학적 승인 완수</t>
        </is>
      </c>
      <c r="M13" s="72" t="inlineStr">
        <is>
          <t>👉 [더블클릭] 수행지침 열기 📄</t>
        </is>
      </c>
      <c r="N13" s="82" t="inlineStr">
        <is>
          <t>본 체크리스트는 동탄트램 전기분야 시공 계획 수립 / 승인 업무 이행에 대해전기분야 공정별(변전소, 전차선, 케이블 포설) 상세 시공계획서 수립, 예정공정표(Critical Path) 검토, 시공 순서 및 안전/품질 관리대책...</t>
        </is>
      </c>
      <c r="O13" s="70" t="inlineStr">
        <is>
          <t>👉 [더블클릭] 체크리스트 열기 📄</t>
        </is>
      </c>
      <c r="P13" s="10" t="n"/>
      <c r="Q13" s="83" t="n"/>
      <c r="R13" s="83" t="n"/>
      <c r="S13" s="83" t="n"/>
    </row>
    <row r="14" ht="69.59999999999999" customHeight="1">
      <c r="A14" s="61" t="inlineStr">
        <is>
          <t>9000</t>
        </is>
      </c>
      <c r="B14" s="61" t="inlineStr">
        <is>
          <t>9000-3</t>
        </is>
      </c>
      <c r="C14" s="82" t="inlineStr">
        <is>
          <t>전기분야</t>
        </is>
      </c>
      <c r="D14" s="61" t="inlineStr">
        <is>
          <t>9000-3-13</t>
        </is>
      </c>
      <c r="E14" s="61" t="inlineStr">
        <is>
          <t>자재공급원/기자재 제작도서 승인</t>
        </is>
      </c>
      <c r="F14" s="61" t="inlineStr">
        <is>
          <t>현장 시스템팀</t>
        </is>
      </c>
      <c r="G14" s="60" t="inlineStr">
        <is>
          <t>전기설비의 시공성과 품질, 기능 확보를 위한 자재 공급원 검토 및 승인</t>
        </is>
      </c>
      <c r="H14" s="60" t="inlineStr">
        <is>
          <t>- 전기자재 제작능력, 납품실적 등 확인
- 성능보증이 가능한 복수의 공급원 검토
- 자재공급원 서류 제출후 감리단 승인</t>
        </is>
      </c>
      <c r="I14" s="60" t="inlineStr">
        <is>
          <t>자재공급원 승인 서류</t>
        </is>
      </c>
      <c r="J14" s="82" t="inlineStr">
        <is>
          <t>"제조사 공장등록증, 사업자등록증, ISO 품질인증서 및 유사 철도/트램 납품 실적 검증"</t>
        </is>
      </c>
      <c r="K14" s="72" t="inlineStr">
        <is>
          <t>👉 [더블클릭] 표준서 열기 📄</t>
        </is>
      </c>
      <c r="L14" s="82" t="inlineStr">
        <is>
          <t>전기자재 공급원 자격 검증(KS/KC 인증, 공장등록증, 납품실적), 제조사 시험성적서 대조 및 공장 제작 승인도면(Shop Drawing) 감리단 적격 승인 수검</t>
        </is>
      </c>
      <c r="M14" s="72" t="inlineStr">
        <is>
          <t>👉 [더블클릭] 수행지침 열기 📄</t>
        </is>
      </c>
      <c r="N14" s="82" t="inlineStr">
        <is>
          <t>본 체크리스트는 동탄트램 전기분야 자재공급원/기자재 제작도서 승인 업무 이행에 대해전기자재 공급원 자격 검증(KS/KC 인증, 공장등록증, 납품실적), 제조사 시험성적서 대조 및 공장 제작 승인도면(Shop Drawing) ...</t>
        </is>
      </c>
      <c r="O14" s="70" t="inlineStr">
        <is>
          <t>👉 [더블클릭] 체크리스트 열기 📄</t>
        </is>
      </c>
      <c r="P14" s="10" t="n"/>
      <c r="Q14" s="83" t="n"/>
      <c r="R14" s="83" t="n"/>
      <c r="S14" s="83" t="n"/>
    </row>
    <row r="15" ht="191.4" customHeight="1">
      <c r="A15" s="61" t="inlineStr">
        <is>
          <t>9000</t>
        </is>
      </c>
      <c r="B15" s="61" t="inlineStr">
        <is>
          <t>9000-3</t>
        </is>
      </c>
      <c r="C15" s="82" t="inlineStr">
        <is>
          <t>전기분야</t>
        </is>
      </c>
      <c r="D15" s="61" t="inlineStr">
        <is>
          <t>9000-3-14</t>
        </is>
      </c>
      <c r="E15" s="61" t="inlineStr">
        <is>
          <t>전기설비 공정제작 / 제작사 공장검사</t>
        </is>
      </c>
      <c r="F15" s="61" t="inlineStr">
        <is>
          <t>현장 시스템팀</t>
        </is>
      </c>
      <c r="G15" s="60" t="inlineStr">
        <is>
          <t>제작사양서/제작도면의 일치여부검토 및 현장반입 전 제품 성능검사 확인</t>
        </is>
      </c>
      <c r="H15" s="60" t="inlineStr">
        <is>
          <t>- 외산자재 등 Delivery 일정 확인
- 제작도서 기준으로 최종 제작상태 확인
- 제작도면과 일치여부 확인
- 제품 성능검사 시험 실시
[전철전력분야 공장검사 대상 항목]
- 154kV 특고압케이블, R-C 뱅크, 가스절연개폐장치(170kV/72.5kV/29kV), 고장점표정장치, 스마트급전제어장치, 급전용변압기, 단권변압기(유입/건식), 원격인프라장치, 전압보전반, 전철제어반, C-GIS, LED 등기구, 몰드형 교류필터, 배전반, MCC반, 조명제어, 조명타워, 통신제어장치, 특고압케이블(66kV/22.9kV), 전차선, 조가선, 전기용 경동선, ACSR, 통합금 급구류, 자동장력조정장치, 전철용애자, 구분장치, 피뢰기, 파형동관선(200㎡)</t>
        </is>
      </c>
      <c r="I15" s="60" t="inlineStr">
        <is>
          <t>공장검사 결과보고서(감리/감독 입회)</t>
        </is>
      </c>
      <c r="J15" s="82" t="inlineStr">
        <is>
          <t>"제작사 부품 조달 현황, 외함 판금/도장 및 내부 배선 조립 공정 공정표 100% 관리"</t>
        </is>
      </c>
      <c r="K15" s="72" t="inlineStr">
        <is>
          <t>👉 [더블클릭] 표준서 열기 📄</t>
        </is>
      </c>
      <c r="L15" s="82" t="inlineStr">
        <is>
          <t>정류기, 변압기, ESS, GIS, SCADA 제작사 공장 공정 제작 관리 및 감리단/발주처 입회 공장시험(FAT: Factory Acceptance Test) 수행과 시험성적서 승인 완수</t>
        </is>
      </c>
      <c r="M15" s="72" t="inlineStr">
        <is>
          <t>👉 [더블클릭] 수행지침 열기 📄</t>
        </is>
      </c>
      <c r="N15" s="82" t="inlineStr">
        <is>
          <t>본 체크리스트는 동탄트램 전기분야 전기설비 공정제작 / 제작사 공장검사 업무 이행에 대해정류기, 변압기, ESS, GIS, SCADA 제작사 공장 공정 제작 관리 및 감리단/발주처 입회 공장시험(FAT: Factory Acc...</t>
        </is>
      </c>
      <c r="O15" s="70" t="inlineStr">
        <is>
          <t>👉 [더블클릭] 체크리스트 열기 📄</t>
        </is>
      </c>
      <c r="P15" s="10" t="n"/>
      <c r="Q15" s="83" t="n"/>
      <c r="R15" s="83" t="n"/>
      <c r="S15" s="83" t="n"/>
    </row>
    <row r="16" ht="69.59999999999999" customHeight="1">
      <c r="A16" s="61" t="inlineStr">
        <is>
          <t>9000</t>
        </is>
      </c>
      <c r="B16" s="61" t="inlineStr">
        <is>
          <t>9000-3</t>
        </is>
      </c>
      <c r="C16" s="82" t="inlineStr">
        <is>
          <t>전기분야</t>
        </is>
      </c>
      <c r="D16" s="61" t="inlineStr">
        <is>
          <t>9000-3-15</t>
        </is>
      </c>
      <c r="E16" s="61" t="inlineStr">
        <is>
          <t>본공사 전 선행공정 인수인계 점검</t>
        </is>
      </c>
      <c r="F16" s="61" t="inlineStr">
        <is>
          <t>현장 시스템팀</t>
        </is>
      </c>
      <c r="G16" s="60" t="inlineStr">
        <is>
          <t>전기설비 설치전 준비상태 확인</t>
        </is>
      </c>
      <c r="H16" s="60" t="inlineStr">
        <is>
          <t>- 전기설비 설치 시 간섭여부 점검
- 현장 시공상태 확인 (건축, 노반(토목) 등)
- 수배전반, 외함, 변압기 등 자재 반입구 위치 및 운반경로 확인, 케이블 포설을 위한 공동구/개구부 위치 체크</t>
        </is>
      </c>
      <c r="I16" s="60" t="inlineStr">
        <is>
          <t>기록지, 현장점검결과보고서(감리입회)</t>
        </is>
      </c>
      <c r="J16" s="82" t="inlineStr">
        <is>
          <t>"건축 변전실 구조물 완성도, 노반 궤도 시공 상태 및 전기 설치 간섭 여부 정밀 실측"</t>
        </is>
      </c>
      <c r="K16" s="72" t="inlineStr">
        <is>
          <t>👉 [더블클릭] 표준서 열기 📄</t>
        </is>
      </c>
      <c r="L16" s="82" t="inlineStr">
        <is>
          <t>토목, 노반(궤도), 건축 선행 공정 완성도 실측, 변전실/개구부/공동구 간섭 점검, 자재 반입구 및 반입 동선 인수인계 합동 점검 수행</t>
        </is>
      </c>
      <c r="M16" s="72" t="inlineStr">
        <is>
          <t>👉 [더블클릭] 수행지침 열기 📄</t>
        </is>
      </c>
      <c r="N16" s="82" t="inlineStr">
        <is>
          <t>본 체크리스트는 동탄트램 전기분야 본공사 전 선행공정 인수인계 점검 업무 이행에 대해토목, 노반(궤도), 건축 선행 공정 완성도 실측, 변전실/개구부/공동구 간섭 점검, 자재 반입구 및 반입 동선 인수인계 합동 점검 수행 관...</t>
        </is>
      </c>
      <c r="O16" s="70" t="inlineStr">
        <is>
          <t>👉 [더블클릭] 체크리스트 열기 📄</t>
        </is>
      </c>
      <c r="P16" s="10" t="n"/>
      <c r="Q16" s="83" t="n"/>
      <c r="R16" s="83" t="n"/>
      <c r="S16" s="83" t="n"/>
    </row>
    <row r="17" ht="69.59999999999999" customHeight="1">
      <c r="A17" s="61" t="inlineStr">
        <is>
          <t>9000</t>
        </is>
      </c>
      <c r="B17" s="61" t="inlineStr">
        <is>
          <t>9000-3</t>
        </is>
      </c>
      <c r="C17" s="82" t="inlineStr">
        <is>
          <t>전기분야</t>
        </is>
      </c>
      <c r="D17" s="61" t="inlineStr">
        <is>
          <t>9000-3-16</t>
        </is>
      </c>
      <c r="E17" s="61" t="inlineStr">
        <is>
          <t>장비반입 및 안전교육</t>
        </is>
      </c>
      <c r="F17" s="61" t="inlineStr">
        <is>
          <t>현장 시스템팀 / 안전팀</t>
        </is>
      </c>
      <c r="G17" s="60" t="inlineStr">
        <is>
          <t>장비 반입 준비 및 안전교육 완료</t>
        </is>
      </c>
      <c r="H17" s="60" t="inlineStr">
        <is>
          <t>- 자재반입 경로, 적치장소에 대한 사전확인 및 타분야 일정, 간섭사항 협의/확인
- 장비 Spec확인, 장비상태 점검
- 작업원 안전교육 실시</t>
        </is>
      </c>
      <c r="I17" s="60" t="inlineStr">
        <is>
          <t>안전교육 결과서, 측량기록지</t>
        </is>
      </c>
      <c r="J17" s="82" t="inlineStr">
        <is>
          <t>"장비 진입 경로 및 적치장 사전확인, 타분야 작업 일정 및 지상/지하 구조물 간섭 협의"</t>
        </is>
      </c>
      <c r="K17" s="72" t="inlineStr">
        <is>
          <t>👉 [더블클릭] 표준서 열기 📄</t>
        </is>
      </c>
      <c r="L17" s="82" t="inlineStr">
        <is>
          <t>고소작업차, 케이블 포설차, 활선 작업 장비 현장 반입 동선/적치장 확인, 장비 Spec 및 안전검사필증 점검, 작업원 특별안전교육 실시</t>
        </is>
      </c>
      <c r="M17" s="72" t="inlineStr">
        <is>
          <t>👉 [더블클릭] 수행지침 열기 📄</t>
        </is>
      </c>
      <c r="N17" s="82" t="inlineStr">
        <is>
          <t>본 체크리스트는 동탄트램 전기분야 장비반입 및 안전교육 업무 이행에 대해고소작업차, 케이블 포설차, 활선 작업 장비 현장 반입 동선/적치장 확인, 장비 Spec 및 안전검사필증 점검, 작업원 특별안전교육 실시 관련 실무 요소...</t>
        </is>
      </c>
      <c r="O17" s="70" t="inlineStr">
        <is>
          <t>👉 [더블클릭] 체크리스트 열기 📄</t>
        </is>
      </c>
      <c r="P17" s="10" t="n"/>
      <c r="Q17" s="83" t="n"/>
      <c r="R17" s="83" t="n"/>
      <c r="S17" s="83" t="n"/>
    </row>
    <row r="18" ht="69.59999999999999" customHeight="1">
      <c r="A18" s="61" t="inlineStr">
        <is>
          <t>9000</t>
        </is>
      </c>
      <c r="B18" s="61" t="inlineStr">
        <is>
          <t>9000-3</t>
        </is>
      </c>
      <c r="C18" s="82" t="inlineStr">
        <is>
          <t>전기분야</t>
        </is>
      </c>
      <c r="D18" s="61" t="inlineStr">
        <is>
          <t>9000-3-17</t>
        </is>
      </c>
      <c r="E18" s="61" t="inlineStr">
        <is>
          <t>자재 반입 및 검수</t>
        </is>
      </c>
      <c r="F18" s="61" t="inlineStr">
        <is>
          <t>현장소장 및 발주청/공동감리단</t>
        </is>
      </c>
      <c r="G18" s="60" t="inlineStr">
        <is>
          <t>공장검사 시행 완료된 자재반입과 현장 입고 검사</t>
        </is>
      </c>
      <c r="H18" s="62" t="inlineStr">
        <is>
          <t xml:space="preserve">- 자재 하차 위치 및 반입동선 확인
- 승인된 자재 일치여부 확인(Serial number 등)
- 제품의 규격, 수량 도면과 일치하는지 검수 </t>
        </is>
      </c>
      <c r="I18" s="60" t="inlineStr">
        <is>
          <t>자재검수서</t>
        </is>
      </c>
      <c r="J18" s="82" t="inlineStr">
        <is>
          <t>"자재 하차 통제 구획 설정, 크레인 양중 신호수 배치 및 자재 반입 동선 안전 확보"</t>
        </is>
      </c>
      <c r="K18" s="72" t="inlineStr">
        <is>
          <t>👉 [더블클릭] 표준서 열기 📄</t>
        </is>
      </c>
      <c r="L18" s="82" t="inlineStr">
        <is>
          <t>전기자재 현장 반입 하차 위치/동선 통제, 승인된 자재공급원 일치 여부(Serial No., Serial Tag) 검수, 도면 규격 및 수량 1:1 대조 확인</t>
        </is>
      </c>
      <c r="M18" s="72" t="inlineStr">
        <is>
          <t>👉 [더블클릭] 수행지침 열기 📄</t>
        </is>
      </c>
      <c r="N18" s="82" t="inlineStr">
        <is>
          <t>본 체크리스트는 동탄트램 전기분야 자재 반입 및 검수 업무 이행에 대해전기자재 현장 반입 하차 위치/동선 통제, 승인된 자재공급원 일치 여부(Serial No., Serial Tag) 검수, 도면 규격 및 수량 1:1 대조 ...</t>
        </is>
      </c>
      <c r="O18" s="70" t="inlineStr">
        <is>
          <t>👉 [더블클릭] 체크리스트 열기 📄</t>
        </is>
      </c>
      <c r="P18" s="10" t="n"/>
      <c r="Q18" s="83" t="n"/>
      <c r="R18" s="83" t="n"/>
      <c r="S18" s="83" t="n"/>
    </row>
    <row r="19" ht="69.59999999999999" customHeight="1">
      <c r="A19" s="61" t="inlineStr">
        <is>
          <t>9000</t>
        </is>
      </c>
      <c r="B19" s="61" t="inlineStr">
        <is>
          <t>9000-3</t>
        </is>
      </c>
      <c r="C19" s="82" t="inlineStr">
        <is>
          <t>전기분야</t>
        </is>
      </c>
      <c r="D19" s="61" t="inlineStr">
        <is>
          <t>9000-3-18</t>
        </is>
      </c>
      <c r="E19" s="61" t="inlineStr">
        <is>
          <t>전철전력설비 반입 및 설치</t>
        </is>
      </c>
      <c r="F19" s="61" t="inlineStr">
        <is>
          <t>현장소장 및 분야별 전담팀</t>
        </is>
      </c>
      <c r="G19" s="60" t="inlineStr">
        <is>
          <t>설계에 부합되도록 전철전력설비 설치</t>
        </is>
      </c>
      <c r="H19" s="62" t="inlineStr">
        <is>
          <t>- 시공샘플이 필요한 대상을 감리/감독과 협의하여 선정후 시험시공 실시
- 현장설비, 특고압 케이블, 정거장 전기실 내 특고압반/저압반/변압기 설치
- 전기설비가 도면대로 설치되었는지 확인</t>
        </is>
      </c>
      <c r="I19" s="60" t="inlineStr">
        <is>
          <t>검측서</t>
        </is>
      </c>
      <c r="J19" s="82" t="inlineStr">
        <is>
          <t>"감리/감독 협의를 통한 시공 샘플 대상 선정, 시험시공 수행 및 시공 기준서 확정"</t>
        </is>
      </c>
      <c r="K19" s="72" t="inlineStr">
        <is>
          <t>👉 [더블클릭] 표준서 열기 📄</t>
        </is>
      </c>
      <c r="L19" s="82" t="inlineStr">
        <is>
          <t>변전소 수배전반, 정류기, ESS, 특고압반 및 정거장 전기실 기기 반입/설치, 시공 샘플 감리 협의 후 시험시공 및 도면 일치성 최종 검측</t>
        </is>
      </c>
      <c r="M19" s="72" t="inlineStr">
        <is>
          <t>👉 [더블클릭] 수행지침 열기 📄</t>
        </is>
      </c>
      <c r="N19" s="82" t="inlineStr">
        <is>
          <t>본 체크리스트는 동탄트램 전기분야 전철전력설비 반입 및 설치 업무 이행에 대해변전소 수배전반, 정류기, ESS, 특고압반 및 정거장 전기실 기기 반입/설치, 시공 샘플 감리 협의 후 시험시공 및 도면 일치성 최종 검측 관련 ...</t>
        </is>
      </c>
      <c r="O19" s="70" t="inlineStr">
        <is>
          <t>👉 [더블클릭] 체크리스트 열기 📄</t>
        </is>
      </c>
      <c r="P19" s="10" t="n"/>
      <c r="Q19" s="83" t="n"/>
      <c r="R19" s="83" t="n"/>
      <c r="S19" s="83" t="n"/>
    </row>
    <row r="20" ht="69.59999999999999" customHeight="1">
      <c r="A20" s="61" t="inlineStr">
        <is>
          <t>9000</t>
        </is>
      </c>
      <c r="B20" s="61" t="inlineStr">
        <is>
          <t>9000-3</t>
        </is>
      </c>
      <c r="C20" s="82" t="inlineStr">
        <is>
          <t>전기분야</t>
        </is>
      </c>
      <c r="D20" s="61" t="inlineStr">
        <is>
          <t>9000-3-19</t>
        </is>
      </c>
      <c r="E20" s="61" t="inlineStr">
        <is>
          <t>수전용 케이블 트레이 및 케이블 포설</t>
        </is>
      </c>
      <c r="F20" s="61" t="inlineStr">
        <is>
          <t>현장소장</t>
        </is>
      </c>
      <c r="G20" s="60" t="inlineStr">
        <is>
          <t>전기실에 전기를 공급하기 위해 한전 책임분계점 전주에서 수전전기실까지 배관/배선을 설치</t>
        </is>
      </c>
      <c r="H20" s="60" t="inlineStr">
        <is>
          <t>- 한전 책임분계점으로부터 수전 전기실까지 케이블 트레이를 설치
- 트레이 설치완료 후 특고압케이블 포설 및 단말 접속
(책임분계점: 전기안전에 대한 책임을 나누는 기준점/수급지점)</t>
        </is>
      </c>
      <c r="I20" s="60" t="inlineStr">
        <is>
          <t>검측서</t>
        </is>
      </c>
      <c r="J20" s="82" t="inlineStr">
        <is>
          <t>"한전 인수점 지중 맨홀부터 수전 전기실까지 Cable Tray 수평도 및 고정 행거 설치"</t>
        </is>
      </c>
      <c r="K20" s="72" t="inlineStr">
        <is>
          <t>👉 [더블클릭] 표준서 열기 📄</t>
        </is>
      </c>
      <c r="L20" s="82" t="inlineStr">
        <is>
          <t>한전 책임분계점으로부터 수전 전기실까지 케이블 트레이 수평/수직 고정 설치, 특고압 케이블 포설 및 단말 접속, 절연저항/내전압 시험 완수</t>
        </is>
      </c>
      <c r="M20" s="72" t="inlineStr">
        <is>
          <t>👉 [더블클릭] 수행지침 열기 📄</t>
        </is>
      </c>
      <c r="N20" s="82" t="inlineStr">
        <is>
          <t>본 체크리스트는 동탄트램 전기분야 수전용 케이블 트레이 및 케이블 포설 업무 이행에 대해한전 책임분계점으로부터 수전 전기실까지 케이블 트레이 수평/수직 고정 설치, 특고압 케이블 포설 및 단말 접속, 절연저항/내전압 시험 완...</t>
        </is>
      </c>
      <c r="O20" s="70" t="inlineStr">
        <is>
          <t>👉 [더블클릭] 체크리스트 열기 📄</t>
        </is>
      </c>
      <c r="P20" s="10" t="n"/>
      <c r="Q20" s="83" t="n"/>
      <c r="R20" s="83" t="n"/>
      <c r="S20" s="83" t="n"/>
    </row>
    <row r="21" ht="69.59999999999999" customHeight="1">
      <c r="A21" s="61" t="inlineStr">
        <is>
          <t>9000</t>
        </is>
      </c>
      <c r="B21" s="61" t="inlineStr">
        <is>
          <t>9000-3</t>
        </is>
      </c>
      <c r="C21" s="82" t="inlineStr">
        <is>
          <t>전기분야</t>
        </is>
      </c>
      <c r="D21" s="61" t="inlineStr">
        <is>
          <t>9000-3-20</t>
        </is>
      </c>
      <c r="E21" s="61" t="inlineStr">
        <is>
          <t>수전 및 전기공급(급전)</t>
        </is>
      </c>
      <c r="F21" s="61" t="inlineStr">
        <is>
          <t>현장 시스템팀</t>
        </is>
      </c>
      <c r="G21" s="60" t="inlineStr">
        <is>
          <t>한전으로부터 전기를 인입 후 전기가 필요한 시설들에 순차적으로 전기를 공급</t>
        </is>
      </c>
      <c r="H21" s="62" t="inlineStr">
        <is>
          <t>- 사용전검사 시행 (사용전검사 필증 수령)
- 전기가합계획 수립 및 한전 가입 요청
- 수전 전 기기별 자체시험 실시
- 수전 이후 기계, 통신, 신호 등 분야별 일정에 따라 전기공급 실시</t>
        </is>
      </c>
      <c r="I21" s="60" t="inlineStr">
        <is>
          <t>전기사용승인, 수전 결과서</t>
        </is>
      </c>
      <c r="J21" s="82" t="inlineStr">
        <is>
          <t>"한국전기안전공사 KESC 사용전검사 합격 필증 수령 및 수전 사전 조건 완수"</t>
        </is>
      </c>
      <c r="K21" s="72" t="inlineStr">
        <is>
          <t>👉 [더블클릭] 표준서 열기 📄</t>
        </is>
      </c>
      <c r="L21" s="82" t="inlineStr">
        <is>
          <t>KESC 사용전검사 합격증 수령, 전기가압계획 수립 및 한전 가입 요청, 수전 전 기기별 자체시험 수행 후 통신/신호/기계 공종별 단계적 전기공급(급전) 시행</t>
        </is>
      </c>
      <c r="M21" s="72" t="inlineStr">
        <is>
          <t>👉 [더블클릭] 수행지침 열기 📄</t>
        </is>
      </c>
      <c r="N21" s="82" t="inlineStr">
        <is>
          <t>본 체크리스트는 동탄트램 전기분야 수전 및 전기공급(급전) 업무 이행에 대해KESC 사용전검사 합격증 수령, 전기가압계획 수립 및 한전 가입 요청, 수전 전 기기별 자체시험 수행 후 통신/신호/기계 공종별 단계적 전기공급(급...</t>
        </is>
      </c>
      <c r="O21" s="70" t="inlineStr">
        <is>
          <t>👉 [더블클릭] 체크리스트 열기 📄</t>
        </is>
      </c>
      <c r="P21" s="10" t="n"/>
      <c r="Q21" s="83" t="n"/>
      <c r="R21" s="83" t="n"/>
      <c r="S21" s="83" t="n"/>
    </row>
    <row r="22" ht="69.59999999999999" customHeight="1">
      <c r="A22" s="61" t="inlineStr">
        <is>
          <t>9000</t>
        </is>
      </c>
      <c r="B22" s="61" t="inlineStr">
        <is>
          <t>9000-3</t>
        </is>
      </c>
      <c r="C22" s="82" t="inlineStr">
        <is>
          <t>전기분야</t>
        </is>
      </c>
      <c r="D22" s="61" t="inlineStr">
        <is>
          <t>9000-3-21</t>
        </is>
      </c>
      <c r="E22" s="61" t="inlineStr">
        <is>
          <t>종합연동시험(SCADA) 실시</t>
        </is>
      </c>
      <c r="F22" s="61" t="inlineStr">
        <is>
          <t>현장 시스템팀</t>
        </is>
      </c>
      <c r="G22" s="64" t="inlineStr">
        <is>
          <t>원방제어시스템 구축을 위한 변전/전차선/전력설비의 종합연동시험 실시
* SCADA (Supervisory Control And Data Acquisition): 광범위하고 대용량의 산업설비를 효율적으로 감시 제어하는 원방제어시스템</t>
        </is>
      </c>
      <c r="H22" s="64" t="inlineStr">
        <is>
          <t xml:space="preserve"> - 감리단 입회하에 시험 절차대로 수행
  1) 종합연동시험 계획서 작성
  2) 트램관제실/현장 기기간 인터페이스 시험
  * 현장기기 감시/제어/계측상태 확인 등</t>
        </is>
      </c>
      <c r="I22" s="64" t="inlineStr">
        <is>
          <t>종합연동시험 결과보고서</t>
        </is>
      </c>
      <c r="J22" s="82" t="inlineStr">
        <is>
          <t>"감리단 제출용 SCADA 종합연동시험 계획서, 포인트 맵 및 점검 절차서 작성"</t>
        </is>
      </c>
      <c r="K22" s="72" t="inlineStr">
        <is>
          <t>👉 [더블클릭] 표준서 열기 📄</t>
        </is>
      </c>
      <c r="L22" s="82" t="inlineStr">
        <is>
          <t>책임감리단 입회하에 트램관제실(OCC)과 현장 변전소/정류기/ESS 기기 간 SCADA 원격 감시/제어/계측(DI/DO/AI/AO) 종합연동시험 수행 및 검측 승인</t>
        </is>
      </c>
      <c r="M22" s="72" t="inlineStr">
        <is>
          <t>👉 [더블클릭] 수행지침 열기 📄</t>
        </is>
      </c>
      <c r="N22" s="82" t="inlineStr">
        <is>
          <t>본 체크리스트는 동탄트램 전기분야 종합연동시험(SCADA) 실시 업무 이행에 대해책임감리단 입회하에 트램관제실(OCC)과 현장 변전소/정류기/ESS 기기 간 SCADA 원격 감시/제어/계측(DI/DO/AI/AO) 종합연동시험...</t>
        </is>
      </c>
      <c r="O22" s="70" t="inlineStr">
        <is>
          <t>👉 [더블클릭] 체크리스트 열기 📄</t>
        </is>
      </c>
      <c r="P22" s="10" t="n"/>
      <c r="Q22" s="83" t="n"/>
      <c r="R22" s="83" t="n"/>
      <c r="S22" s="83" t="n"/>
    </row>
    <row r="23" ht="69.59999999999999" customHeight="1">
      <c r="A23" s="61" t="inlineStr">
        <is>
          <t>9000</t>
        </is>
      </c>
      <c r="B23" s="61" t="inlineStr">
        <is>
          <t>9000-3</t>
        </is>
      </c>
      <c r="C23" s="82" t="inlineStr">
        <is>
          <t>전기분야</t>
        </is>
      </c>
      <c r="D23" s="61" t="inlineStr">
        <is>
          <t>9000-3-22</t>
        </is>
      </c>
      <c r="E23" s="61" t="inlineStr">
        <is>
          <t>공종별 시험</t>
        </is>
      </c>
      <c r="F23" s="61" t="inlineStr">
        <is>
          <t>현장 시스템팀</t>
        </is>
      </c>
      <c r="G23" s="64" t="inlineStr">
        <is>
          <t>관련 법령, 설계기준, 기술기준, 시방서 등의 요구사항에 적합하도록 설치되었는지를 확인</t>
        </is>
      </c>
      <c r="H23" s="60" t="inlineStr">
        <is>
          <t>- 철도종합시험운행 시행지침 제6조(공종별시험)에 따라 시행</t>
        </is>
      </c>
      <c r="I23" s="60" t="inlineStr">
        <is>
          <t>공종별 시험 결과보고서</t>
        </is>
      </c>
      <c r="J23" s="82" t="inlineStr">
        <is>
          <t>"철도종합시험운행 시행지침 제6조에 따른 전기 공종별 시험 항목 및 절차서 확정"</t>
        </is>
      </c>
      <c r="K23" s="72" t="inlineStr">
        <is>
          <t>👉 [더블클릭] 표준서 열기 📄</t>
        </is>
      </c>
      <c r="L23" s="82" t="inlineStr">
        <is>
          <t>철도종합시험운행 시행지침 제6조(공종별시험)에 의거하여 변전, 전차선, 전력 설비 공종별 절연, 보호계전기, 통전 시험을 정밀 수행하고 보고서 승인</t>
        </is>
      </c>
      <c r="M23" s="72" t="inlineStr">
        <is>
          <t>👉 [더블클릭] 수행지침 열기 📄</t>
        </is>
      </c>
      <c r="N23" s="82" t="inlineStr">
        <is>
          <t>본 체크리스트는 동탄트램 전기분야 공종별 시험 업무 이행에 대해철도종합시험운행 시행지침 제6조(공종별시험)에 의거하여 변전, 전차선, 전력 설비 공종별 절연, 보호계전기, 통전 시험을 정밀 수행하고 보고서 승인 관련 실무 요...</t>
        </is>
      </c>
      <c r="O23" s="70" t="inlineStr">
        <is>
          <t>👉 [더블클릭] 체크리스트 열기 📄</t>
        </is>
      </c>
      <c r="P23" s="10" t="n"/>
      <c r="Q23" s="83" t="n"/>
      <c r="R23" s="83" t="n"/>
      <c r="S23" s="83" t="n"/>
    </row>
    <row r="24" ht="69.59999999999999" customHeight="1">
      <c r="A24" s="61" t="inlineStr">
        <is>
          <t>9000</t>
        </is>
      </c>
      <c r="B24" s="61" t="inlineStr">
        <is>
          <t>9000-3</t>
        </is>
      </c>
      <c r="C24" s="82" t="inlineStr">
        <is>
          <t>전기분야</t>
        </is>
      </c>
      <c r="D24" s="61" t="inlineStr">
        <is>
          <t>9000-3-23</t>
        </is>
      </c>
      <c r="E24" s="61" t="inlineStr">
        <is>
          <t>차량 투입 전 점검</t>
        </is>
      </c>
      <c r="F24" s="61" t="inlineStr">
        <is>
          <t>현장소장 및 시공전담팀</t>
        </is>
      </c>
      <c r="G24" s="64" t="inlineStr">
        <is>
          <t>발주처 주관의 차량시운전이 되도록 노반, 건축, 궤도, 전철전력, 통신, 신호분야를 종합하여 최종 점검</t>
        </is>
      </c>
      <c r="H24" s="62" t="inlineStr">
        <is>
          <t>- 노반/궤도 시공상태 점검
- 건축한계 및 차량한계 검사 [건축한계: 폭(3,600mm)]
- 전차선, 신호, 통신 작동상태 확인
- 차량충전설비, 신호, 통신 작동상태 확인</t>
        </is>
      </c>
      <c r="I24" s="64" t="inlineStr">
        <is>
          <t>합동점검 결과보고서</t>
        </is>
      </c>
      <c r="J24" s="82" t="inlineStr">
        <is>
          <t>"궤도 시공 정밀도 확인 및 트램 차량 건축한계(폭 3,600mm) 간섭 여부 레이저 실측"</t>
        </is>
      </c>
      <c r="K24" s="72" t="inlineStr">
        <is>
          <t>👉 [더블클릭] 표준서 열기 📄</t>
        </is>
      </c>
      <c r="L24" s="82" t="inlineStr">
        <is>
          <t>노반/궤도 시공상태 점검, 트램 건축한계(폭 3,600mm) 검사, 전차선 750V DC 가압, 차량충전설비, 신호/통신 작동상태 합동 사전 점검 완수</t>
        </is>
      </c>
      <c r="M24" s="72" t="inlineStr">
        <is>
          <t>👉 [더블클릭] 수행지침 열기 📄</t>
        </is>
      </c>
      <c r="N24" s="82" t="inlineStr">
        <is>
          <t>본 체크리스트는 동탄트램 전기분야 차량 투입 전 점검 업무 이행에 대해노반/궤도 시공상태 점검, 트램 건축한계(폭 3,600mm) 검사, 전차선 750V DC 가압, 차량충전설비, 신호/통신 작동상태 합동 사전 점검 완수 관...</t>
        </is>
      </c>
      <c r="O24" s="70" t="inlineStr">
        <is>
          <t>👉 [더블클릭] 체크리스트 열기 📄</t>
        </is>
      </c>
      <c r="P24" s="10" t="n"/>
      <c r="Q24" s="83" t="n"/>
      <c r="R24" s="83" t="n"/>
      <c r="S24" s="83" t="n"/>
    </row>
    <row r="25" ht="69.59999999999999" customHeight="1">
      <c r="A25" s="61" t="inlineStr">
        <is>
          <t>9000</t>
        </is>
      </c>
      <c r="B25" s="61" t="inlineStr">
        <is>
          <t>9000-3</t>
        </is>
      </c>
      <c r="C25" s="82" t="inlineStr">
        <is>
          <t>전기분야</t>
        </is>
      </c>
      <c r="D25" s="61" t="inlineStr">
        <is>
          <t>9000-3-24</t>
        </is>
      </c>
      <c r="E25" s="61" t="inlineStr">
        <is>
          <t>차량 시운전</t>
        </is>
      </c>
      <c r="F25" s="61" t="inlineStr">
        <is>
          <t>현장 시스템팀</t>
        </is>
      </c>
      <c r="G25" s="60" t="inlineStr">
        <is>
          <t>철도안전법에 따른 철도차량 형식승인</t>
        </is>
      </c>
      <c r="H25" s="60" t="inlineStr">
        <is>
          <t>- 철도안전법 제26조(철도차량 형식승인)에 따라 이행 (주로 본선구간 수행)
- 차량, 신호, 통신 시스템간 인터페이스 시험</t>
        </is>
      </c>
      <c r="I25" s="60" t="inlineStr">
        <is>
          <t>철도차량 형식승인 결과 보고서</t>
        </is>
      </c>
      <c r="J25" s="82" t="inlineStr">
        <is>
          <t>"철도안전법 철도차량 형식승인 절차에 따른 본선 구간 전기-차량 시운전 계획 수립"</t>
        </is>
      </c>
      <c r="K25" s="72" t="inlineStr">
        <is>
          <t>👉 [더블클릭] 표준서 열기 📄</t>
        </is>
      </c>
      <c r="L25" s="82" t="inlineStr">
        <is>
          <t>철도안전법 제26조(철도차량 형식승인)에 의거하여 본선 구간 트램 차량, 전차선 전력, 신호, 통신 시스템 간 인터페이스 시험 및 동력 성능 시운전 수행</t>
        </is>
      </c>
      <c r="M25" s="72" t="inlineStr">
        <is>
          <t>👉 [더블클릭] 수행지침 열기 📄</t>
        </is>
      </c>
      <c r="N25" s="82" t="inlineStr">
        <is>
          <t>본 체크리스트는 동탄트램 전기분야 차량 시운전 업무 이행에 대해철도안전법 제26조(철도차량 형식승인)에 의거하여 본선 구간 트램 차량, 전차선 전력, 신호, 통신 시스템 간 인터페이스 시험 및 동력 성능 시운전 수행 관련 실...</t>
        </is>
      </c>
      <c r="O25" s="70" t="inlineStr">
        <is>
          <t>👉 [더블클릭] 체크리스트 열기 📄</t>
        </is>
      </c>
      <c r="P25" s="10" t="n"/>
      <c r="Q25" s="83" t="n"/>
      <c r="R25" s="83" t="n"/>
      <c r="S25" s="83" t="n"/>
    </row>
    <row r="26" ht="69.59999999999999" customHeight="1">
      <c r="A26" s="61" t="inlineStr">
        <is>
          <t>9000</t>
        </is>
      </c>
      <c r="B26" s="61" t="inlineStr">
        <is>
          <t>9000-3</t>
        </is>
      </c>
      <c r="C26" s="82" t="inlineStr">
        <is>
          <t>전기분야</t>
        </is>
      </c>
      <c r="D26" s="61" t="inlineStr">
        <is>
          <t>9000-3-25</t>
        </is>
      </c>
      <c r="E26" s="61" t="inlineStr">
        <is>
          <t>운영자 교육시행</t>
        </is>
      </c>
      <c r="F26" s="61" t="inlineStr">
        <is>
          <t>현장 시스템팀</t>
        </is>
      </c>
      <c r="G26" s="60" t="inlineStr">
        <is>
          <t>영업시운전 전에 시설을 운영자를 대상으로 운영 및 유지관리방법에 대해 교육</t>
        </is>
      </c>
      <c r="H26" s="60" t="inlineStr">
        <is>
          <t>- 전기 제작사가 만든 매뉴얼로 운영자를 교육
: 변전/전력설비 운영/관리방법</t>
        </is>
      </c>
      <c r="I26" s="60" t="inlineStr">
        <is>
          <t>운영자 교육 결과서</t>
        </is>
      </c>
      <c r="J26" s="82" t="inlineStr">
        <is>
          <t>"전기자재 제작사 작성 운영/유지보수 매뉴얼, 비상 조치 절차서 및 교육 교재 검토"</t>
        </is>
      </c>
      <c r="K26" s="72" t="inlineStr">
        <is>
          <t>👉 [더블클릭] 표준서 열기 📄</t>
        </is>
      </c>
      <c r="L26" s="82" t="inlineStr">
        <is>
          <t>전기설비(변전, 전차선, SCADA, ESS) 제작사 취급 설명 매뉴얼 기반 운영사 및 관제 유지보수자 대상 이론/실습 교육 시행 및 교육 이수증 교부</t>
        </is>
      </c>
      <c r="M26" s="72" t="inlineStr">
        <is>
          <t>👉 [더블클릭] 수행지침 열기 📄</t>
        </is>
      </c>
      <c r="N26" s="82" t="inlineStr">
        <is>
          <t>본 체크리스트는 동탄트램 전기분야 운영자 교육시행 업무 이행에 대해전기설비(변전, 전차선, SCADA, ESS) 제작사 취급 설명 매뉴얼 기반 운영사 및 관제 유지보수자 대상 이론/실습 교육 시행 및 교육 이수증 교부 관련 ...</t>
        </is>
      </c>
      <c r="O26" s="70" t="inlineStr">
        <is>
          <t>👉 [더블클릭] 체크리스트 열기 📄</t>
        </is>
      </c>
      <c r="P26" s="10" t="n"/>
      <c r="Q26" s="83" t="n"/>
      <c r="R26" s="83" t="n"/>
      <c r="S26" s="83" t="n"/>
    </row>
    <row r="27" ht="87" customHeight="1">
      <c r="A27" s="61" t="inlineStr">
        <is>
          <t>9000</t>
        </is>
      </c>
      <c r="B27" s="61" t="inlineStr">
        <is>
          <t>9000-3</t>
        </is>
      </c>
      <c r="C27" s="82" t="inlineStr">
        <is>
          <t>전기분야</t>
        </is>
      </c>
      <c r="D27" s="61" t="inlineStr">
        <is>
          <t>9000-3-26</t>
        </is>
      </c>
      <c r="E27" s="61" t="inlineStr">
        <is>
          <t>사전점검</t>
        </is>
      </c>
      <c r="F27" s="61" t="inlineStr">
        <is>
          <t>현장소장 및 발주처 / 공동감리단</t>
        </is>
      </c>
      <c r="G27" s="60" t="inlineStr">
        <is>
          <t>시설물검증시험의 가능여부를 확인하기 위하여 발주처와 운영자가 합동으로 점검</t>
        </is>
      </c>
      <c r="H27" s="60" t="inlineStr">
        <is>
          <t>- (기준) 철도종합시험운행 시행지침 제8조 "종합시험운행을 위한 사전점검"에 따름
- 발주처는 공종별 시험을 완료한 후 시설물 검증시험의 가능여부를 확인하기 위하여 사전점검계획을 수립하고 운영자와 합동으로 실시
- 발주처와 운영자의 사전점검 결과보고서를 한국교통안전공단에 제출 (점검 후 7일 이내)</t>
        </is>
      </c>
      <c r="I27" s="60" t="inlineStr">
        <is>
          <t>사전점검 결과보고서/승인문서(한국교통안전공단)</t>
        </is>
      </c>
      <c r="J27" s="82" t="inlineStr">
        <is>
          <t>"철도종합시험운행 시행지침 제8조에 의거, 발주처-운영자 합동 사전점검 계획서 수립"</t>
        </is>
      </c>
      <c r="K27" s="72" t="inlineStr">
        <is>
          <t>👉 [더블클릭] 표준서 열기 📄</t>
        </is>
      </c>
      <c r="L27" s="82" t="inlineStr">
        <is>
          <t>철도종합시험운행 시행지침 제8조(사전점검)에 따라 발주처-운영자 합동 사전점검계획 수립, 시설물 검증 가능성 점검 후 7일 이내 한국교통안전공단 제출 완수</t>
        </is>
      </c>
      <c r="M27" s="72" t="inlineStr">
        <is>
          <t>👉 [더블클릭] 수행지침 열기 📄</t>
        </is>
      </c>
      <c r="N27" s="82" t="inlineStr">
        <is>
          <t>본 체크리스트는 동탄트램 전기분야 사전점검 업무 이행에 대해철도종합시험운행 시행지침 제8조(사전점검)에 따라 발주처-운영자 합동 사전점검계획 수립, 시설물 검증 가능성 점검 후 7일 이내 한국교통안전공단 제출 완수 관련 실무...</t>
        </is>
      </c>
      <c r="O27" s="70" t="inlineStr">
        <is>
          <t>👉 [더블클릭] 체크리스트 열기 📄</t>
        </is>
      </c>
      <c r="P27" s="10" t="n"/>
      <c r="Q27" s="83" t="n"/>
      <c r="R27" s="83" t="n"/>
      <c r="S27" s="83" t="n"/>
    </row>
    <row r="28" ht="139.2" customHeight="1">
      <c r="A28" s="61" t="inlineStr">
        <is>
          <t>9000</t>
        </is>
      </c>
      <c r="B28" s="61" t="inlineStr">
        <is>
          <t>9000-3</t>
        </is>
      </c>
      <c r="C28" s="82" t="inlineStr">
        <is>
          <t>전기분야</t>
        </is>
      </c>
      <c r="D28" s="61" t="inlineStr">
        <is>
          <t>9000-3-27</t>
        </is>
      </c>
      <c r="E28" s="61" t="inlineStr">
        <is>
          <t>시설물 검증시험</t>
        </is>
      </c>
      <c r="F28" s="61" t="inlineStr">
        <is>
          <t>현장소장 및 발주처 / 공동감리단</t>
        </is>
      </c>
      <c r="G28" s="60" t="inlineStr">
        <is>
          <t>발주처는 시설물의 정상작동 상태 등을 확인하기 위해 시설물 검증시험을 수행</t>
        </is>
      </c>
      <c r="H28" s="60" t="inlineStr">
        <is>
          <t>- (기준) 철도종합시험운행 시행지침 제12조(시설물검증시험계획의 수립), 13조(시설물검증시험의 시행)에 따름
- 발주처는 시설물검증시험계획을 운영자와 협의하여 수립하고 전문기관의 승인을 받은 후 수행
- 철도종합시험운행 시설물검증시험 점검항목: 시설물의 정상작동 상태, 철도시설의 안전상태, 철도차량의 운행적합성, 철도시설과 차량 간의 연계성
- 발주처와 운영자의 시설물 검증시험 결과보고서를 한국교통안전공단에 제출 (점검 후 7일 이내)</t>
        </is>
      </c>
      <c r="I28" s="60" t="inlineStr">
        <is>
          <t>시설물 검증시험 결과보고서/승인문서(한국교통안전공단)</t>
        </is>
      </c>
      <c r="J28" s="82" t="inlineStr">
        <is>
          <t>"시설물검증시험계획을 운영자와 협의 수립하고 한국교통안전공단 전문기관 승인 수검"</t>
        </is>
      </c>
      <c r="K28" s="72" t="inlineStr">
        <is>
          <t>👉 [더블클릭] 표준서 열기 📄</t>
        </is>
      </c>
      <c r="L28" s="82" t="inlineStr">
        <is>
          <t>철도종합시험운행 시행지침 제12조/제13조에 의거 시설물검증시험계획 전문기관 승인, 시설물 정상작동, 안전상태, 차량 운행 적합성 검증 후 7일 내 공단 제출</t>
        </is>
      </c>
      <c r="M28" s="72" t="inlineStr">
        <is>
          <t>👉 [더블클릭] 수행지침 열기 📄</t>
        </is>
      </c>
      <c r="N28" s="82" t="inlineStr">
        <is>
          <t>본 체크리스트는 동탄트램 전기분야 시설물 검증시험 업무 이행에 대해철도종합시험운행 시행지침 제12조/제13조에 의거 시설물검증시험계획 전문기관 승인, 시설물 정상작동, 안전상태, 차량 운행 적합성 검증 후 7일 내 공단 제출...</t>
        </is>
      </c>
      <c r="O28" s="70" t="inlineStr">
        <is>
          <t>👉 [더블클릭] 체크리스트 열기 📄</t>
        </is>
      </c>
      <c r="P28" s="10" t="n"/>
      <c r="Q28" s="83" t="n"/>
      <c r="R28" s="83" t="n"/>
      <c r="S28" s="83" t="n"/>
    </row>
    <row r="29" ht="159.6" customHeight="1">
      <c r="A29" s="61" t="inlineStr">
        <is>
          <t>9000</t>
        </is>
      </c>
      <c r="B29" s="61" t="inlineStr">
        <is>
          <t>9000-3</t>
        </is>
      </c>
      <c r="C29" s="82" t="inlineStr">
        <is>
          <t>전기분야</t>
        </is>
      </c>
      <c r="D29" s="61" t="inlineStr">
        <is>
          <t>9000-3-28</t>
        </is>
      </c>
      <c r="E29" s="61" t="inlineStr">
        <is>
          <t>영업시운전</t>
        </is>
      </c>
      <c r="F29" s="61" t="inlineStr">
        <is>
          <t>현장소장 및 발주처 / 공동감리단</t>
        </is>
      </c>
      <c r="G29" s="60" t="inlineStr">
        <is>
          <t>발주처는 영업시운전계획에 따라 열차운행체계를 확인하기 위해 영업시운전을 수행</t>
        </is>
      </c>
      <c r="H29" s="60" t="inlineStr">
        <is>
          <t>- (기준) 철도종합시험운행 시행지침 제22조(영업시운전계획의 수립), 23조(영업시운전의 시행)에 따름
- 운영자는 영업시운전계획을 발주처와 협의하여 수립하고 전문기관의 승인을 받은 후 시행
- 영업시운전 점검항목: 열차운행체계, 철도종사자(운전/관제 등)의 업무숙달, 영업서비스 준비사항
- 영업조건과 동일한 조건으로 열차운행을 수행하여 운전/영업분야 점검
- 운영자는 영업시운전 결과보고서를 한국교통안전공단에 제출 (점검 후 7일 이내)
- 한국교통안전공단은 보고서를 받은 날부터 14일 이내 국토교통부장관에게 보고하여야 하며, 국토부 장관은 검토 결과를 보고를 받은 날부터 7일 이내에 발주처와 시도지사에 통보</t>
        </is>
      </c>
      <c r="I29" s="60" t="inlineStr">
        <is>
          <t>영업시운전 결과보고서/승인문서(한국교통안전공단), 국토부 승인문서</t>
        </is>
      </c>
      <c r="J29" s="82" t="inlineStr">
        <is>
          <t>"운영자-발주처 협의 영업시운전계획 수립, 국토부 전문기관(교통안전공단) 승인 완수"</t>
        </is>
      </c>
      <c r="K29" s="72" t="inlineStr">
        <is>
          <t>👉 [더블클릭] 표준서 열기 📄</t>
        </is>
      </c>
      <c r="L29" s="82" t="inlineStr">
        <is>
          <t>철도종합시험운행 시행지침 제22조/제23조에 의거 영업시운전계획 수립/승인, 영업 조건 열차운행, 종사자 업무 숙달 검증 후 결과보고서 공단 제출 및 국토부 보고</t>
        </is>
      </c>
      <c r="M29" s="72" t="inlineStr">
        <is>
          <t>👉 [더블클릭] 수행지침 열기 📄</t>
        </is>
      </c>
      <c r="N29" s="82" t="inlineStr">
        <is>
          <t>본 체크리스트는 동탄트램 전기분야 영업시운전 업무 이행에 대해철도종합시험운행 시행지침 제22조/제23조에 의거 영업시운전계획 수립/승인, 영업 조건 열차운행, 종사자 업무 숙달 검증 후 결과보고서 공단 제출 및 국토부 보고 ...</t>
        </is>
      </c>
      <c r="O29" s="70" t="inlineStr">
        <is>
          <t>👉 [더블클릭] 체크리스트 열기 📄</t>
        </is>
      </c>
      <c r="P29" s="10" t="n"/>
      <c r="Q29" s="83" t="n"/>
      <c r="R29" s="83" t="n"/>
      <c r="S29" s="83" t="n"/>
    </row>
    <row r="30" ht="69.59999999999999" customHeight="1">
      <c r="A30" s="61" t="inlineStr">
        <is>
          <t>9000</t>
        </is>
      </c>
      <c r="B30" s="61" t="inlineStr">
        <is>
          <t>9000-3</t>
        </is>
      </c>
      <c r="C30" s="82" t="inlineStr">
        <is>
          <t>전기분야</t>
        </is>
      </c>
      <c r="D30" s="61" t="inlineStr">
        <is>
          <t>9000-3-29</t>
        </is>
      </c>
      <c r="E30" s="61" t="inlineStr">
        <is>
          <t>전기 사용신청</t>
        </is>
      </c>
      <c r="F30" s="61" t="inlineStr">
        <is>
          <t>시공사</t>
        </is>
      </c>
      <c r="G30" s="60" t="inlineStr">
        <is>
          <t>합법적인 전기 공급 계약 체결</t>
        </is>
      </c>
      <c r="H30" s="60" t="inlineStr">
        <is>
          <t>- 관할 한국전력공사에 신청서, 건축허가신청서, 위임장 및 관련서류 제출 (약 1개월 소요)</t>
        </is>
      </c>
      <c r="I30" s="82" t="inlineStr">
        <is>
          <t>전기사용신청 접수증명서, 시설부담금 고지서</t>
        </is>
      </c>
      <c r="J30" s="82" t="inlineStr">
        <is>
          <t>"관할 한국전력공사 제출용 전기사용신청서, 변전소 용량 계산서 및 위임장 작성"</t>
        </is>
      </c>
      <c r="K30" s="72" t="inlineStr">
        <is>
          <t>👉 [더블클릭] 표준서 열기 📄</t>
        </is>
      </c>
      <c r="L30" s="82" t="inlineStr">
        <is>
          <t>관할 한국전력공사에 전기사용신청서, 건축허가서, 수전 도면 및 위임장 제출 수속(소요 기간 약 1개월 관리) 및 수전 합의 완수</t>
        </is>
      </c>
      <c r="M30" s="72" t="inlineStr">
        <is>
          <t>👉 [더블클릭] 수행지침 열기 📄</t>
        </is>
      </c>
      <c r="N30" s="82" t="inlineStr">
        <is>
          <t>본 체크리스트는 동탄트램 전기분야 전기 사용신청 업무 이행에 대해관할 한국전력공사에 전기사용신청서, 건축허가서, 수전 도면 및 위임장 제출 수속(소요 기간 약 1개월 관리) 및 수전 합의 완수 관련 실무 요소를 100% 사전...</t>
        </is>
      </c>
      <c r="O30" s="70" t="inlineStr">
        <is>
          <t>👉 [더블클릭] 체크리스트 열기 📄</t>
        </is>
      </c>
      <c r="P30" s="10" t="n"/>
      <c r="Q30" s="83" t="n"/>
      <c r="R30" s="83" t="n"/>
      <c r="S30" s="83" t="n"/>
    </row>
    <row r="31" ht="69.59999999999999" customHeight="1">
      <c r="A31" s="61" t="inlineStr">
        <is>
          <t>9000</t>
        </is>
      </c>
      <c r="B31" s="61" t="inlineStr">
        <is>
          <t>9000-3</t>
        </is>
      </c>
      <c r="C31" s="82" t="inlineStr">
        <is>
          <t>전기분야</t>
        </is>
      </c>
      <c r="D31" s="61" t="inlineStr">
        <is>
          <t>9000-3-30</t>
        </is>
      </c>
      <c r="E31" s="61" t="inlineStr">
        <is>
          <t>공사계획신고</t>
        </is>
      </c>
      <c r="F31" s="61" t="inlineStr">
        <is>
          <t>시공사</t>
        </is>
      </c>
      <c r="G31" s="60" t="inlineStr">
        <is>
          <t>공사 착수 전 법적 신고 이행</t>
        </is>
      </c>
      <c r="H31" s="60" t="inlineStr">
        <is>
          <t>- 관할 한국전기안전공사에 공사 착수 전에 공사계획서 및 신고서 제출</t>
        </is>
      </c>
      <c r="I31" s="82" t="inlineStr">
        <is>
          <t>공사계획신고 수리서</t>
        </is>
      </c>
      <c r="J31" s="82" t="inlineStr">
        <is>
          <t>"전기사업법 시행규칙에 맞춘 공사계획서 및 전기설비 공사계획신고서 정밀 작성"</t>
        </is>
      </c>
      <c r="K31" s="72" t="inlineStr">
        <is>
          <t>👉 [더블클릭] 표준서 열기 📄</t>
        </is>
      </c>
      <c r="L31" s="82" t="inlineStr">
        <is>
          <t>관할 한국전기안전공사에 전기 공사 착수 전 공사계획서, 기술자 자격증, 감리원 배치서 및 도면 제출 수속 완료</t>
        </is>
      </c>
      <c r="M31" s="72" t="inlineStr">
        <is>
          <t>👉 [더블클릭] 수행지침 열기 📄</t>
        </is>
      </c>
      <c r="N31" s="82" t="inlineStr">
        <is>
          <t>본 체크리스트는 동탄트램 전기분야 공사계획신고 업무 이행에 대해관할 한국전기안전공사에 전기 공사 착수 전 공사계획서, 기술자 자격증, 감리원 배치서 및 도면 제출 수속 완료 관련 실무 요소를 100% 사전 검측하여 시공 하자...</t>
        </is>
      </c>
      <c r="O31" s="70" t="inlineStr">
        <is>
          <t>👉 [더블클릭] 체크리스트 열기 📄</t>
        </is>
      </c>
      <c r="P31" s="10" t="n"/>
      <c r="Q31" s="83" t="n"/>
      <c r="R31" s="83" t="n"/>
      <c r="S31" s="83" t="n"/>
    </row>
    <row r="32" ht="69.59999999999999" customHeight="1">
      <c r="A32" s="61" t="inlineStr">
        <is>
          <t>9000</t>
        </is>
      </c>
      <c r="B32" s="61" t="inlineStr">
        <is>
          <t>9000-3</t>
        </is>
      </c>
      <c r="C32" s="82" t="inlineStr">
        <is>
          <t>전기분야</t>
        </is>
      </c>
      <c r="D32" s="61" t="inlineStr">
        <is>
          <t>9000-3-31</t>
        </is>
      </c>
      <c r="E32" s="63" t="inlineStr">
        <is>
          <t>노면전차선로 적합성 검증</t>
        </is>
      </c>
      <c r="F32" s="61" t="inlineStr">
        <is>
          <t>시공사</t>
        </is>
      </c>
      <c r="G32" s="69" t="inlineStr">
        <is>
          <t>노면전차선로 품질 및 기술 적합성 검증</t>
        </is>
      </c>
      <c r="H32" s="60" t="inlineStr">
        <is>
          <t>- 한국전기철도기술협회에 차량시운전 전까지 수량조서 및 시공도면 제출 (처리기간 15일)</t>
        </is>
      </c>
      <c r="I32" s="82" t="inlineStr">
        <is>
          <t>전차선로 시공품질 검사증</t>
        </is>
      </c>
      <c r="J32" s="82" t="inlineStr">
        <is>
          <t>"노면전차선로 지주, 강성 가선, 브래킷 수량조서 및 시공 승인도면(Shop Drawing) 작성"</t>
        </is>
      </c>
      <c r="K32" s="72" t="inlineStr">
        <is>
          <t>👉 [더블클릭] 표준서 열기 📄</t>
        </is>
      </c>
      <c r="L32" s="82" t="inlineStr">
        <is>
          <t>한국전기철도기술협회에 차량 시운전 전까지 수량조서, 시공도면 및 시험성적서 제출(처리기간 15일)하여 적합성 검증 승인 완수</t>
        </is>
      </c>
      <c r="M32" s="72" t="inlineStr">
        <is>
          <t>👉 [더블클릭] 수행지침 열기 📄</t>
        </is>
      </c>
      <c r="N32" s="82" t="inlineStr">
        <is>
          <t>본 체크리스트는 동탄트램 전기분야 노면전차선로 적합성 검증 업무 이행에 대해한국전기철도기술협회에 차량 시운전 전까지 수량조서, 시공도면 및 시험성적서 제출(처리기간 15일)하여 적합성 검증 승인 완수 관련 실무 요소를 100...</t>
        </is>
      </c>
      <c r="O32" s="70" t="inlineStr">
        <is>
          <t>👉 [더블클릭] 체크리스트 열기 📄</t>
        </is>
      </c>
      <c r="P32" s="10" t="n"/>
      <c r="Q32" s="83" t="n"/>
      <c r="R32" s="83" t="n"/>
      <c r="S32" s="83" t="n"/>
    </row>
    <row r="33" ht="268.2" customHeight="1">
      <c r="A33" s="61" t="inlineStr">
        <is>
          <t>9000</t>
        </is>
      </c>
      <c r="B33" s="61" t="inlineStr">
        <is>
          <t>9000-3</t>
        </is>
      </c>
      <c r="C33" s="82" t="inlineStr">
        <is>
          <t>전기분야</t>
        </is>
      </c>
      <c r="D33" s="61" t="inlineStr">
        <is>
          <t>9000-3-32</t>
        </is>
      </c>
      <c r="E33" s="61" t="inlineStr">
        <is>
          <t>전기 사용전검사 (전력/전차선/송변전)</t>
        </is>
      </c>
      <c r="F33" s="61" t="inlineStr">
        <is>
          <t>시공사</t>
        </is>
      </c>
      <c r="G33" s="60" t="inlineStr">
        <is>
          <t>준공 전 설비의 안전성 및 안전기준 부합 여부 판정</t>
        </is>
      </c>
      <c r="H33" s="60" t="inlineStr">
        <is>
          <t xml:space="preserve"> • 관련법령: 전기사업법 제63조
 • 제출기관: 시공사 → 관할 한국전기안전공사
 • 제출시기: 전기시설물 설치 완료 후
 • 처리기간: 검사 7일전 신청
 • 작성서류: 사용전검사신청서,공사계획인가서,감리원배치확인서, 전기안전관리자 선임신고증명서, 접지계산서/도면(단선결선도 및 배치평면도),각종케이블/자재 시험성적서 )
'[도로점용허가] → 도로점용허가서
 • 관련법령: 도로법시행령 제56조
 • 제출기관: 지방국토청/지자체
 • 제출/처리기간: 도로점용 2주 전/ 7~10일
[도로공사 신고] → 도로공사신고서
 • 관련법령: 도로교통법 제69조
 • 제출기관: 관할경찰서
 • 제출/처리기간: 공사 3일전/ 2~3일</t>
        </is>
      </c>
      <c r="I33" s="82" t="inlineStr">
        <is>
          <t>사용전검사 확인증(필증)
※ 송변전의 경우 한국전기안전공사 검사에 시공사 입회</t>
        </is>
      </c>
      <c r="J33" s="82" t="inlineStr">
        <is>
          <t>"전기설비 설치 완료 후 7일 전 사용전검사신청서, 감리배치서, 단선도, 자재성적서 제출"</t>
        </is>
      </c>
      <c r="K33" s="72" t="inlineStr">
        <is>
          <t>👉 [더블클릭] 표준서 열기 📄</t>
        </is>
      </c>
      <c r="L33" s="82" t="inlineStr">
        <is>
          <t>전기사업법 제63조, 도로법 제56조, 도로교통법 제69조에 의거 한국전기안전공사 사용전검사(7일전 신청), 지자체 도로점용허가(2주전), 경찰서 도로공사신고(3일전) 통합 수검 완료</t>
        </is>
      </c>
      <c r="M33" s="72" t="inlineStr">
        <is>
          <t>👉 [더블클릭] 수행지침 열기 📄</t>
        </is>
      </c>
      <c r="N33" s="82" t="inlineStr">
        <is>
          <t>본 체크리스트는 동탄트램 전기분야 전기 사용전검사 (전력/전차선/송변전) 업무 이행에 대해전기사업법 제63조, 도로법 제56조, 도로교통법 제69조에 의거 한국전기안전공사 사용전검사(7일전 신청), 지자체 도로점용허가(2주전...</t>
        </is>
      </c>
      <c r="O33" s="70" t="inlineStr">
        <is>
          <t>👉 [더블클릭] 체크리스트 열기 📄</t>
        </is>
      </c>
      <c r="P33" s="10" t="n"/>
      <c r="Q33" s="83" t="n"/>
      <c r="R33" s="83" t="n"/>
      <c r="S33" s="83" t="n"/>
    </row>
  </sheetData>
  <hyperlinks>
    <hyperlink xmlns:r="http://schemas.openxmlformats.org/officeDocument/2006/relationships" ref="K2" r:id="rId1"/>
    <hyperlink xmlns:r="http://schemas.openxmlformats.org/officeDocument/2006/relationships" ref="M2" r:id="rId2"/>
    <hyperlink xmlns:r="http://schemas.openxmlformats.org/officeDocument/2006/relationships" ref="O2" r:id="rId3"/>
    <hyperlink xmlns:r="http://schemas.openxmlformats.org/officeDocument/2006/relationships" ref="K3" r:id="rId4"/>
    <hyperlink xmlns:r="http://schemas.openxmlformats.org/officeDocument/2006/relationships" ref="M3" r:id="rId5"/>
    <hyperlink xmlns:r="http://schemas.openxmlformats.org/officeDocument/2006/relationships" ref="O3" r:id="rId6"/>
    <hyperlink xmlns:r="http://schemas.openxmlformats.org/officeDocument/2006/relationships" ref="K4" r:id="rId7"/>
    <hyperlink xmlns:r="http://schemas.openxmlformats.org/officeDocument/2006/relationships" ref="M4" r:id="rId8"/>
    <hyperlink xmlns:r="http://schemas.openxmlformats.org/officeDocument/2006/relationships" ref="O4" r:id="rId9"/>
    <hyperlink xmlns:r="http://schemas.openxmlformats.org/officeDocument/2006/relationships" ref="K5" r:id="rId10"/>
    <hyperlink xmlns:r="http://schemas.openxmlformats.org/officeDocument/2006/relationships" ref="M5" r:id="rId11"/>
    <hyperlink xmlns:r="http://schemas.openxmlformats.org/officeDocument/2006/relationships" ref="O5" r:id="rId12"/>
    <hyperlink xmlns:r="http://schemas.openxmlformats.org/officeDocument/2006/relationships" ref="K6" r:id="rId13"/>
    <hyperlink xmlns:r="http://schemas.openxmlformats.org/officeDocument/2006/relationships" ref="M6" r:id="rId14"/>
    <hyperlink xmlns:r="http://schemas.openxmlformats.org/officeDocument/2006/relationships" ref="O6" r:id="rId15"/>
    <hyperlink xmlns:r="http://schemas.openxmlformats.org/officeDocument/2006/relationships" ref="K7" r:id="rId16"/>
    <hyperlink xmlns:r="http://schemas.openxmlformats.org/officeDocument/2006/relationships" ref="M7" r:id="rId17"/>
    <hyperlink xmlns:r="http://schemas.openxmlformats.org/officeDocument/2006/relationships" ref="O7" r:id="rId18"/>
    <hyperlink xmlns:r="http://schemas.openxmlformats.org/officeDocument/2006/relationships" ref="K8" r:id="rId19"/>
    <hyperlink xmlns:r="http://schemas.openxmlformats.org/officeDocument/2006/relationships" ref="M8" r:id="rId20"/>
    <hyperlink xmlns:r="http://schemas.openxmlformats.org/officeDocument/2006/relationships" ref="O8" r:id="rId21"/>
    <hyperlink xmlns:r="http://schemas.openxmlformats.org/officeDocument/2006/relationships" ref="K9" r:id="rId22"/>
    <hyperlink xmlns:r="http://schemas.openxmlformats.org/officeDocument/2006/relationships" ref="M9" r:id="rId23"/>
    <hyperlink xmlns:r="http://schemas.openxmlformats.org/officeDocument/2006/relationships" ref="O9" r:id="rId24"/>
    <hyperlink xmlns:r="http://schemas.openxmlformats.org/officeDocument/2006/relationships" ref="K10" r:id="rId25"/>
    <hyperlink xmlns:r="http://schemas.openxmlformats.org/officeDocument/2006/relationships" ref="M10" r:id="rId26"/>
    <hyperlink xmlns:r="http://schemas.openxmlformats.org/officeDocument/2006/relationships" ref="O10" r:id="rId27"/>
    <hyperlink xmlns:r="http://schemas.openxmlformats.org/officeDocument/2006/relationships" ref="K11" r:id="rId28"/>
    <hyperlink xmlns:r="http://schemas.openxmlformats.org/officeDocument/2006/relationships" ref="M11" r:id="rId29"/>
    <hyperlink xmlns:r="http://schemas.openxmlformats.org/officeDocument/2006/relationships" ref="O11" r:id="rId30"/>
    <hyperlink xmlns:r="http://schemas.openxmlformats.org/officeDocument/2006/relationships" ref="K12" r:id="rId31"/>
    <hyperlink xmlns:r="http://schemas.openxmlformats.org/officeDocument/2006/relationships" ref="M12" r:id="rId32"/>
    <hyperlink xmlns:r="http://schemas.openxmlformats.org/officeDocument/2006/relationships" ref="O12" r:id="rId33"/>
    <hyperlink xmlns:r="http://schemas.openxmlformats.org/officeDocument/2006/relationships" ref="K13" r:id="rId34"/>
    <hyperlink xmlns:r="http://schemas.openxmlformats.org/officeDocument/2006/relationships" ref="M13" r:id="rId35"/>
    <hyperlink xmlns:r="http://schemas.openxmlformats.org/officeDocument/2006/relationships" ref="O13" r:id="rId36"/>
    <hyperlink xmlns:r="http://schemas.openxmlformats.org/officeDocument/2006/relationships" ref="K14" r:id="rId37"/>
    <hyperlink xmlns:r="http://schemas.openxmlformats.org/officeDocument/2006/relationships" ref="M14" r:id="rId38"/>
    <hyperlink xmlns:r="http://schemas.openxmlformats.org/officeDocument/2006/relationships" ref="O14" r:id="rId39"/>
    <hyperlink xmlns:r="http://schemas.openxmlformats.org/officeDocument/2006/relationships" ref="K15" r:id="rId40"/>
    <hyperlink xmlns:r="http://schemas.openxmlformats.org/officeDocument/2006/relationships" ref="M15" r:id="rId41"/>
    <hyperlink xmlns:r="http://schemas.openxmlformats.org/officeDocument/2006/relationships" ref="O15" r:id="rId42"/>
    <hyperlink xmlns:r="http://schemas.openxmlformats.org/officeDocument/2006/relationships" ref="K16" r:id="rId43"/>
    <hyperlink xmlns:r="http://schemas.openxmlformats.org/officeDocument/2006/relationships" ref="M16" r:id="rId44"/>
    <hyperlink xmlns:r="http://schemas.openxmlformats.org/officeDocument/2006/relationships" ref="O16" r:id="rId45"/>
    <hyperlink xmlns:r="http://schemas.openxmlformats.org/officeDocument/2006/relationships" ref="K17" r:id="rId46"/>
    <hyperlink xmlns:r="http://schemas.openxmlformats.org/officeDocument/2006/relationships" ref="M17" r:id="rId47"/>
    <hyperlink xmlns:r="http://schemas.openxmlformats.org/officeDocument/2006/relationships" ref="O17" r:id="rId48"/>
    <hyperlink xmlns:r="http://schemas.openxmlformats.org/officeDocument/2006/relationships" ref="K18" r:id="rId49"/>
    <hyperlink xmlns:r="http://schemas.openxmlformats.org/officeDocument/2006/relationships" ref="M18" r:id="rId50"/>
    <hyperlink xmlns:r="http://schemas.openxmlformats.org/officeDocument/2006/relationships" ref="O18" r:id="rId51"/>
    <hyperlink xmlns:r="http://schemas.openxmlformats.org/officeDocument/2006/relationships" ref="K19" r:id="rId52"/>
    <hyperlink xmlns:r="http://schemas.openxmlformats.org/officeDocument/2006/relationships" ref="M19" r:id="rId53"/>
    <hyperlink xmlns:r="http://schemas.openxmlformats.org/officeDocument/2006/relationships" ref="O19" r:id="rId54"/>
    <hyperlink xmlns:r="http://schemas.openxmlformats.org/officeDocument/2006/relationships" ref="K20" r:id="rId55"/>
    <hyperlink xmlns:r="http://schemas.openxmlformats.org/officeDocument/2006/relationships" ref="M20" r:id="rId56"/>
    <hyperlink xmlns:r="http://schemas.openxmlformats.org/officeDocument/2006/relationships" ref="O20" r:id="rId57"/>
    <hyperlink xmlns:r="http://schemas.openxmlformats.org/officeDocument/2006/relationships" ref="K21" r:id="rId58"/>
    <hyperlink xmlns:r="http://schemas.openxmlformats.org/officeDocument/2006/relationships" ref="M21" r:id="rId59"/>
    <hyperlink xmlns:r="http://schemas.openxmlformats.org/officeDocument/2006/relationships" ref="O21" r:id="rId60"/>
    <hyperlink xmlns:r="http://schemas.openxmlformats.org/officeDocument/2006/relationships" ref="K22" r:id="rId61"/>
    <hyperlink xmlns:r="http://schemas.openxmlformats.org/officeDocument/2006/relationships" ref="M22" r:id="rId62"/>
    <hyperlink xmlns:r="http://schemas.openxmlformats.org/officeDocument/2006/relationships" ref="O22" r:id="rId63"/>
    <hyperlink xmlns:r="http://schemas.openxmlformats.org/officeDocument/2006/relationships" ref="K23" r:id="rId64"/>
    <hyperlink xmlns:r="http://schemas.openxmlformats.org/officeDocument/2006/relationships" ref="M23" r:id="rId65"/>
    <hyperlink xmlns:r="http://schemas.openxmlformats.org/officeDocument/2006/relationships" ref="O23" r:id="rId66"/>
    <hyperlink xmlns:r="http://schemas.openxmlformats.org/officeDocument/2006/relationships" ref="K24" r:id="rId67"/>
    <hyperlink xmlns:r="http://schemas.openxmlformats.org/officeDocument/2006/relationships" ref="M24" r:id="rId68"/>
    <hyperlink xmlns:r="http://schemas.openxmlformats.org/officeDocument/2006/relationships" ref="O24" r:id="rId69"/>
    <hyperlink xmlns:r="http://schemas.openxmlformats.org/officeDocument/2006/relationships" ref="K25" r:id="rId70"/>
    <hyperlink xmlns:r="http://schemas.openxmlformats.org/officeDocument/2006/relationships" ref="M25" r:id="rId71"/>
    <hyperlink xmlns:r="http://schemas.openxmlformats.org/officeDocument/2006/relationships" ref="O25" r:id="rId72"/>
    <hyperlink xmlns:r="http://schemas.openxmlformats.org/officeDocument/2006/relationships" ref="K26" r:id="rId73"/>
    <hyperlink xmlns:r="http://schemas.openxmlformats.org/officeDocument/2006/relationships" ref="M26" r:id="rId74"/>
    <hyperlink xmlns:r="http://schemas.openxmlformats.org/officeDocument/2006/relationships" ref="O26" r:id="rId75"/>
    <hyperlink xmlns:r="http://schemas.openxmlformats.org/officeDocument/2006/relationships" ref="K27" r:id="rId76"/>
    <hyperlink xmlns:r="http://schemas.openxmlformats.org/officeDocument/2006/relationships" ref="M27" r:id="rId77"/>
    <hyperlink xmlns:r="http://schemas.openxmlformats.org/officeDocument/2006/relationships" ref="O27" r:id="rId78"/>
    <hyperlink xmlns:r="http://schemas.openxmlformats.org/officeDocument/2006/relationships" ref="K28" r:id="rId79"/>
    <hyperlink xmlns:r="http://schemas.openxmlformats.org/officeDocument/2006/relationships" ref="M28" r:id="rId80"/>
    <hyperlink xmlns:r="http://schemas.openxmlformats.org/officeDocument/2006/relationships" ref="O28" r:id="rId81"/>
    <hyperlink xmlns:r="http://schemas.openxmlformats.org/officeDocument/2006/relationships" ref="K29" r:id="rId82"/>
    <hyperlink xmlns:r="http://schemas.openxmlformats.org/officeDocument/2006/relationships" ref="M29" r:id="rId83"/>
    <hyperlink xmlns:r="http://schemas.openxmlformats.org/officeDocument/2006/relationships" ref="O29" r:id="rId84"/>
    <hyperlink xmlns:r="http://schemas.openxmlformats.org/officeDocument/2006/relationships" ref="K30" r:id="rId85"/>
    <hyperlink xmlns:r="http://schemas.openxmlformats.org/officeDocument/2006/relationships" ref="M30" r:id="rId86"/>
    <hyperlink xmlns:r="http://schemas.openxmlformats.org/officeDocument/2006/relationships" ref="O30" r:id="rId87"/>
    <hyperlink xmlns:r="http://schemas.openxmlformats.org/officeDocument/2006/relationships" ref="K31" r:id="rId88"/>
    <hyperlink xmlns:r="http://schemas.openxmlformats.org/officeDocument/2006/relationships" ref="M31" r:id="rId89"/>
    <hyperlink xmlns:r="http://schemas.openxmlformats.org/officeDocument/2006/relationships" ref="O31" r:id="rId90"/>
    <hyperlink xmlns:r="http://schemas.openxmlformats.org/officeDocument/2006/relationships" ref="K32" r:id="rId91"/>
    <hyperlink xmlns:r="http://schemas.openxmlformats.org/officeDocument/2006/relationships" ref="M32" r:id="rId92"/>
    <hyperlink xmlns:r="http://schemas.openxmlformats.org/officeDocument/2006/relationships" ref="O32" r:id="rId93"/>
    <hyperlink xmlns:r="http://schemas.openxmlformats.org/officeDocument/2006/relationships" ref="K33" r:id="rId94"/>
    <hyperlink xmlns:r="http://schemas.openxmlformats.org/officeDocument/2006/relationships" ref="M33" r:id="rId95"/>
    <hyperlink xmlns:r="http://schemas.openxmlformats.org/officeDocument/2006/relationships" ref="O33" r:id="rId96"/>
  </hyperlinks>
  <printOptions horizontalCentered="1"/>
  <pageMargins left="0.7480314960629921" right="0.7480314960629921" top="0.984251968503937" bottom="0.984251968503937" header="0.5118110236220472" footer="0.5118110236220472"/>
  <pageSetup orientation="landscape" paperSize="8" scale="37" verticalDpi="0"/>
  <rowBreaks count="1" manualBreakCount="1">
    <brk id="28" min="0" max="15" man="1"/>
  </rowBreaks>
</worksheet>
</file>

<file path=xl/worksheets/sheet13.xml><?xml version="1.0" encoding="utf-8"?>
<worksheet xmlns="http://schemas.openxmlformats.org/spreadsheetml/2006/main">
  <sheetPr codeName="Sheet10">
    <outlinePr summaryBelow="1" summaryRight="1"/>
    <pageSetUpPr/>
  </sheetPr>
  <dimension ref="A1:A1"/>
  <sheetViews>
    <sheetView view="pageBreakPreview" topLeftCell="A13" zoomScale="115" zoomScaleNormal="85" zoomScaleSheetLayoutView="115" workbookViewId="0">
      <selection activeCell="M25" sqref="M25"/>
    </sheetView>
  </sheetViews>
  <sheetFormatPr baseColWidth="8" defaultRowHeight="17.4"/>
  <sheetData/>
  <printOptions horizontalCentered="1"/>
  <pageMargins left="0.7086614173228347" right="0.7086614173228347" top="0.7480314960629921" bottom="0.7480314960629921" header="0.3149606299212598" footer="0.3149606299212598"/>
  <pageSetup orientation="landscape"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2026-07-17T08:07:08Z</dcterms:created>
  <dcterms:modified xmlns:dcterms="http://purl.org/dc/terms/" xmlns:xsi="http://www.w3.org/2001/XMLSchema-instance" xsi:type="dcterms:W3CDTF">2026-08-14T08:14:26Z</dcterms:modified>
  <cp:lastModifiedBy>재형 김</cp:lastModifiedBy>
  <cp:lastPrinted>2026-07-25T07:01:45Z</cp:lastPrinted>
</cp:coreProperties>
</file>