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41">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s>
  <fills count="22">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s>
  <borders count="2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s>
  <cellStyleXfs count="2">
    <xf numFmtId="0" fontId="0" fillId="0" borderId="0"/>
    <xf numFmtId="0" fontId="31" fillId="0" borderId="0"/>
  </cellStyleXfs>
  <cellXfs count="167">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tabSelected="1" workbookViewId="0">
      <selection activeCell="H7" sqref="H7:I7"/>
    </sheetView>
  </sheetViews>
  <sheetFormatPr baseColWidth="8" defaultRowHeight="17.4"/>
  <cols>
    <col width="4" customWidth="1" style="147" min="1" max="1"/>
    <col width="10" customWidth="1" style="147" min="2" max="2"/>
    <col width="14" customWidth="1" style="147" min="3" max="3"/>
    <col width="22" customWidth="1" style="147" min="4" max="4"/>
    <col width="14" customWidth="1" style="147" min="5" max="5"/>
    <col width="16" customWidth="1" style="147" min="6" max="10"/>
    <col width="14" customWidth="1" style="147" min="11" max="11"/>
    <col width="22" customWidth="1" style="147" min="12" max="12"/>
    <col width="4" customWidth="1" style="147" min="13" max="13"/>
  </cols>
  <sheetData>
    <row r="2" ht="42" customHeight="1" s="147">
      <c r="B2" s="135" t="inlineStr">
        <is>
          <t>동탄트램 집행단계 실무 매뉴얼 &amp; 지식 DB 작성 현황 대시보드</t>
        </is>
      </c>
      <c r="C2" s="136" t="n"/>
      <c r="D2" s="136" t="n"/>
      <c r="E2" s="136" t="n"/>
      <c r="F2" s="136" t="n"/>
      <c r="G2" s="136" t="n"/>
      <c r="H2" s="136" t="n"/>
      <c r="I2" s="136" t="n"/>
      <c r="J2" s="136" t="n"/>
      <c r="K2" s="136" t="n"/>
      <c r="L2" s="136" t="n"/>
      <c r="M2" s="134" t="n"/>
    </row>
    <row r="4">
      <c r="B4" s="81" t="inlineStr">
        <is>
          <t>❚ [집행단계 v6] 8대 공종(토목·궤도·건축·신호·통신·전기) 263개 작업단위별 작성 및 DB 연동 현황</t>
        </is>
      </c>
    </row>
    <row r="6" ht="22.05" customHeight="1" s="147">
      <c r="B6" s="141" t="inlineStr">
        <is>
          <t>전체 액티비티</t>
        </is>
      </c>
      <c r="C6" s="134" t="n"/>
      <c r="D6" s="141" t="inlineStr">
        <is>
          <t>표준서 작성</t>
        </is>
      </c>
      <c r="E6" s="134" t="n"/>
      <c r="F6" s="141" t="inlineStr">
        <is>
          <t>수행지침 작성</t>
        </is>
      </c>
      <c r="G6" s="134" t="n"/>
      <c r="H6" s="141" t="inlineStr">
        <is>
          <t>체크리스트 작성</t>
        </is>
      </c>
      <c r="I6" s="134" t="n"/>
      <c r="J6" s="141" t="inlineStr">
        <is>
          <t>상세절차서(HTML) 연동</t>
        </is>
      </c>
      <c r="K6" s="134" t="n"/>
      <c r="L6" s="141" t="inlineStr">
        <is>
          <t>현장 리스크 DB</t>
        </is>
      </c>
      <c r="M6" s="134" t="n"/>
    </row>
    <row r="7" ht="28.05" customHeight="1" s="147">
      <c r="B7" s="139">
        <f>E21&amp;" 개"</f>
        <v/>
      </c>
      <c r="C7" s="134" t="n"/>
      <c r="D7" s="139">
        <f>F21&amp;" 개 (100%)"</f>
        <v/>
      </c>
      <c r="E7" s="134" t="n"/>
      <c r="F7" s="139">
        <f>G21&amp;" 개 (100%)"</f>
        <v/>
      </c>
      <c r="G7" s="134" t="n"/>
      <c r="H7" s="139">
        <f>H21&amp;" 개 (100%)"</f>
        <v/>
      </c>
      <c r="I7" s="134" t="n"/>
      <c r="J7" s="139">
        <f>I21&amp;" 개 (100%)"</f>
        <v/>
      </c>
      <c r="K7" s="134" t="n"/>
      <c r="L7" s="139">
        <f>J21&amp;" 개 (87.8%)"</f>
        <v/>
      </c>
      <c r="M7" s="134" t="n"/>
    </row>
    <row r="10" ht="19.2" customHeight="1" s="147">
      <c r="B10" s="82" t="inlineStr">
        <is>
          <t>❚ 1. 공종별 매뉴얼 및 리스크 DB 작성 현황</t>
        </is>
      </c>
    </row>
    <row r="12" ht="28.05" customHeight="1" s="147">
      <c r="B12" s="140" t="inlineStr">
        <is>
          <t>순번</t>
        </is>
      </c>
      <c r="C12" s="140" t="inlineStr">
        <is>
          <t>구분</t>
        </is>
      </c>
      <c r="D12" s="140" t="inlineStr">
        <is>
          <t>대공종</t>
        </is>
      </c>
      <c r="E12" s="140" t="inlineStr">
        <is>
          <t>작업수 (L4)</t>
        </is>
      </c>
      <c r="F12" s="140" t="inlineStr">
        <is>
          <t>표준서</t>
        </is>
      </c>
      <c r="G12" s="140" t="inlineStr">
        <is>
          <t>수행지침</t>
        </is>
      </c>
      <c r="H12" s="140" t="inlineStr">
        <is>
          <t>체크리스트</t>
        </is>
      </c>
      <c r="I12" s="140" t="inlineStr">
        <is>
          <t>HTML 연동</t>
        </is>
      </c>
      <c r="J12" s="140" t="inlineStr">
        <is>
          <t>리스크 DB</t>
        </is>
      </c>
      <c r="K12" s="140" t="inlineStr">
        <is>
          <t>달성률</t>
        </is>
      </c>
      <c r="L12" s="140" t="inlineStr">
        <is>
          <t>진행 상태</t>
        </is>
      </c>
    </row>
    <row r="13" ht="24" customHeight="1" s="147">
      <c r="B13" s="84" t="n">
        <v>1</v>
      </c>
      <c r="C13" s="84" t="inlineStr">
        <is>
          <t>토목공사</t>
        </is>
      </c>
      <c r="D13" s="137"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49">
        <f>IF(E13&gt;0, F13/E13, 1)</f>
        <v/>
      </c>
      <c r="L13" s="84" t="inlineStr">
        <is>
          <t>작성 완료</t>
        </is>
      </c>
    </row>
    <row r="14" ht="24" customHeight="1" s="147">
      <c r="B14" s="87" t="n">
        <v>2</v>
      </c>
      <c r="C14" s="87" t="inlineStr">
        <is>
          <t>토목공사</t>
        </is>
      </c>
      <c r="D14" s="138"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0">
        <f>IF(E14&gt;0, F14/E14, 1)</f>
        <v/>
      </c>
      <c r="L14" s="87" t="inlineStr">
        <is>
          <t>작성 완료</t>
        </is>
      </c>
    </row>
    <row r="15" ht="24" customHeight="1" s="147">
      <c r="B15" s="84" t="n">
        <v>3</v>
      </c>
      <c r="C15" s="84" t="inlineStr">
        <is>
          <t>토목공사</t>
        </is>
      </c>
      <c r="D15" s="137"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49">
        <f>IF(E15&gt;0, F15/E15, 1)</f>
        <v/>
      </c>
      <c r="L15" s="84" t="inlineStr">
        <is>
          <t>작성 완료</t>
        </is>
      </c>
    </row>
    <row r="16" ht="24" customHeight="1" s="147">
      <c r="B16" s="87" t="n">
        <v>4</v>
      </c>
      <c r="C16" s="87" t="inlineStr">
        <is>
          <t>궤도공사</t>
        </is>
      </c>
      <c r="D16" s="138"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0">
        <f>IF(E16&gt;0, F16/E16, 1)</f>
        <v/>
      </c>
      <c r="L16" s="87" t="inlineStr">
        <is>
          <t>작성 완료</t>
        </is>
      </c>
    </row>
    <row r="17" ht="24" customHeight="1" s="147">
      <c r="B17" s="84" t="n">
        <v>5</v>
      </c>
      <c r="C17" s="84" t="inlineStr">
        <is>
          <t>건축공사</t>
        </is>
      </c>
      <c r="D17" s="137" t="inlineStr">
        <is>
          <t>건축</t>
        </is>
      </c>
      <c r="E17" s="84">
        <f>COUNTA(건축!E2:E51)</f>
        <v/>
      </c>
      <c r="F17" s="84">
        <f>COUNTA(건축!J2:J51)</f>
        <v/>
      </c>
      <c r="G17" s="84">
        <f>COUNTA(건축!L2:L51)</f>
        <v/>
      </c>
      <c r="H17" s="84">
        <f>COUNTA(건축!N2:N51)</f>
        <v/>
      </c>
      <c r="I17" s="84">
        <f>COUNTA(건축!E2:E51)</f>
        <v/>
      </c>
      <c r="J17" s="84">
        <f>COUNTA(건축!R2:R51)</f>
        <v/>
      </c>
      <c r="K17" s="149">
        <f>IF(E17&gt;0, F17/E17, 1)</f>
        <v/>
      </c>
      <c r="L17" s="84" t="inlineStr">
        <is>
          <t>작성 완료</t>
        </is>
      </c>
    </row>
    <row r="18" ht="24" customHeight="1" s="147">
      <c r="B18" s="87" t="n">
        <v>6</v>
      </c>
      <c r="C18" s="87" t="inlineStr">
        <is>
          <t>시스템공사</t>
        </is>
      </c>
      <c r="D18" s="138" t="inlineStr">
        <is>
          <t>신호</t>
        </is>
      </c>
      <c r="E18" s="87">
        <f>COUNTA(신호!E2:E23)</f>
        <v/>
      </c>
      <c r="F18" s="87">
        <f>COUNTA(신호!J2:J23)</f>
        <v/>
      </c>
      <c r="G18" s="87">
        <f>COUNTA(신호!L2:L23)</f>
        <v/>
      </c>
      <c r="H18" s="87">
        <f>COUNTA(신호!N2:N23)</f>
        <v/>
      </c>
      <c r="I18" s="87">
        <f>COUNTA(신호!E2:E23)</f>
        <v/>
      </c>
      <c r="J18" s="87">
        <f>COUNTA(신호!R2:R23)</f>
        <v/>
      </c>
      <c r="K18" s="150">
        <f>IF(E18&gt;0, F18/E18, 1)</f>
        <v/>
      </c>
      <c r="L18" s="87" t="inlineStr">
        <is>
          <t>작성 완료</t>
        </is>
      </c>
    </row>
    <row r="19" ht="24" customHeight="1" s="147">
      <c r="B19" s="84" t="n">
        <v>7</v>
      </c>
      <c r="C19" s="84" t="inlineStr">
        <is>
          <t>시스템공사</t>
        </is>
      </c>
      <c r="D19" s="137" t="inlineStr">
        <is>
          <t>통신</t>
        </is>
      </c>
      <c r="E19" s="84">
        <f>COUNTA(통신!E2:E33)</f>
        <v/>
      </c>
      <c r="F19" s="84">
        <f>COUNTA(통신!J2:J33)</f>
        <v/>
      </c>
      <c r="G19" s="84">
        <f>COUNTA(통신!L2:L33)</f>
        <v/>
      </c>
      <c r="H19" s="84">
        <f>COUNTA(통신!N2:N33)</f>
        <v/>
      </c>
      <c r="I19" s="84">
        <f>COUNTA(통신!E2:E33)</f>
        <v/>
      </c>
      <c r="J19" s="84">
        <f>COUNTA(통신!R2:R33)</f>
        <v/>
      </c>
      <c r="K19" s="149">
        <f>IF(E19&gt;0, F19/E19, 1)</f>
        <v/>
      </c>
      <c r="L19" s="84" t="inlineStr">
        <is>
          <t>작성 완료</t>
        </is>
      </c>
    </row>
    <row r="20" ht="24" customHeight="1" s="147">
      <c r="B20" s="87" t="n">
        <v>8</v>
      </c>
      <c r="C20" s="87" t="inlineStr">
        <is>
          <t>시스템공사</t>
        </is>
      </c>
      <c r="D20" s="138" t="inlineStr">
        <is>
          <t>전기</t>
        </is>
      </c>
      <c r="E20" s="87">
        <f>COUNTA(전기!E2:E33)</f>
        <v/>
      </c>
      <c r="F20" s="87">
        <f>COUNTA(전기!J2:J33)</f>
        <v/>
      </c>
      <c r="G20" s="87">
        <f>COUNTA(전기!L2:L33)</f>
        <v/>
      </c>
      <c r="H20" s="87">
        <f>COUNTA(전기!N2:N33)</f>
        <v/>
      </c>
      <c r="I20" s="87">
        <f>COUNTA(전기!E2:E33)</f>
        <v/>
      </c>
      <c r="J20" s="87">
        <f>COUNTA(전기!R2:R33)</f>
        <v/>
      </c>
      <c r="K20" s="150">
        <f>IF(E20&gt;0, F20/E20, 1)</f>
        <v/>
      </c>
      <c r="L20" s="87" t="inlineStr">
        <is>
          <t>매뉴얼 완료 (리스크 작성중)</t>
        </is>
      </c>
    </row>
    <row r="21" ht="25.95" customHeight="1" s="147">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1">
        <f>AVERAGE(K13:K20)</f>
        <v/>
      </c>
      <c r="L21" s="90" t="inlineStr">
        <is>
          <t>전 공종 완료</t>
        </is>
      </c>
    </row>
    <row r="23" ht="19.2" customHeight="1" s="147">
      <c r="B23" s="82" t="inlineStr">
        <is>
          <t>❚ 2. 동적 매뉴얼 주요 기능 구현 현황</t>
        </is>
      </c>
    </row>
    <row r="25" ht="25.95" customHeight="1" s="147">
      <c r="B25" s="140" t="inlineStr">
        <is>
          <t>주요 기능</t>
        </is>
      </c>
      <c r="C25" s="134" t="n"/>
      <c r="D25" s="140" t="inlineStr">
        <is>
          <t>핵심 내용 및 구현 현황</t>
        </is>
      </c>
      <c r="E25" s="136" t="n"/>
      <c r="F25" s="136" t="n"/>
      <c r="G25" s="136" t="n"/>
      <c r="H25" s="136" t="n"/>
      <c r="I25" s="136" t="n"/>
      <c r="J25" s="136" t="n"/>
      <c r="K25" s="134" t="n"/>
      <c r="L25" s="140" t="inlineStr">
        <is>
          <t>적용 상태</t>
        </is>
      </c>
    </row>
    <row r="26" ht="24" customHeight="1" s="147">
      <c r="B26" s="143" t="inlineStr">
        <is>
          <t>시공 사진·영상 시각화</t>
        </is>
      </c>
      <c r="C26" s="134" t="n"/>
      <c r="D26" s="138" t="inlineStr">
        <is>
          <t>공종별 현장 시공 사진, 3D BIM 모델 및 품질 시험 동영상 1:1 매핑 완료 (263개 전 작업)</t>
        </is>
      </c>
      <c r="E26" s="136" t="n"/>
      <c r="F26" s="136" t="n"/>
      <c r="G26" s="136" t="n"/>
      <c r="H26" s="136" t="n"/>
      <c r="I26" s="136" t="n"/>
      <c r="J26" s="136" t="n"/>
      <c r="K26" s="134" t="n"/>
      <c r="L26" s="92" t="inlineStr">
        <is>
          <t>구현 완료</t>
        </is>
      </c>
    </row>
    <row r="27" ht="24" customHeight="1" s="147">
      <c r="B27" s="142" t="inlineStr">
        <is>
          <t>전문시방서(KCS) 원문 연동</t>
        </is>
      </c>
      <c r="C27" s="134" t="n"/>
      <c r="D27" s="137" t="inlineStr">
        <is>
          <t>국토교통부 KCS 전문시방서 PDF(1페이지 원문) 및 관련 법령 링크 바로 열기 구현</t>
        </is>
      </c>
      <c r="E27" s="136" t="n"/>
      <c r="F27" s="136" t="n"/>
      <c r="G27" s="136" t="n"/>
      <c r="H27" s="136" t="n"/>
      <c r="I27" s="136" t="n"/>
      <c r="J27" s="136" t="n"/>
      <c r="K27" s="134" t="n"/>
      <c r="L27" s="93" t="inlineStr">
        <is>
          <t>구현 완료</t>
        </is>
      </c>
    </row>
    <row r="28" ht="24" customHeight="1" s="147">
      <c r="B28" s="143" t="inlineStr">
        <is>
          <t>문장별 상세절차서(HTML) 연동</t>
        </is>
      </c>
      <c r="C28" s="134" t="n"/>
      <c r="D28" s="138" t="inlineStr">
        <is>
          <t>체크리스트 각 항목 클릭 시 해당 작업의 1:1 독자 상세절차서(HTML) 즉시 연동</t>
        </is>
      </c>
      <c r="E28" s="136" t="n"/>
      <c r="F28" s="136" t="n"/>
      <c r="G28" s="136" t="n"/>
      <c r="H28" s="136" t="n"/>
      <c r="I28" s="136" t="n"/>
      <c r="J28" s="136" t="n"/>
      <c r="K28" s="134" t="n"/>
      <c r="L28" s="92" t="inlineStr">
        <is>
          <t>구현 완료</t>
        </is>
      </c>
    </row>
    <row r="29" ht="24" customHeight="1" s="147">
      <c r="B29" s="142" t="inlineStr">
        <is>
          <t>단일 화면 패키지 구성</t>
        </is>
      </c>
      <c r="C29" s="134" t="n"/>
      <c r="D29" s="137" t="inlineStr">
        <is>
          <t>1개 작업 단위에 표준서, 수행지침, 체크리스트, 상세절차서를 한 화면에 통합 제공</t>
        </is>
      </c>
      <c r="E29" s="136" t="n"/>
      <c r="F29" s="136" t="n"/>
      <c r="G29" s="136" t="n"/>
      <c r="H29" s="136" t="n"/>
      <c r="I29" s="136" t="n"/>
      <c r="J29" s="136" t="n"/>
      <c r="K29" s="134" t="n"/>
      <c r="L29" s="93" t="inlineStr">
        <is>
          <t>구현 완료</t>
        </is>
      </c>
    </row>
    <row r="30" ht="24" customHeight="1" s="147">
      <c r="B30" s="143" t="inlineStr">
        <is>
          <t>현장 시공 데이터 누적 관리</t>
        </is>
      </c>
      <c r="C30" s="134" t="n"/>
      <c r="D30" s="138" t="inlineStr">
        <is>
          <t>동탄 현장에서 발생하는 시험 성적서, 사진 데이터(v6)를 실시간 누적·업데이트</t>
        </is>
      </c>
      <c r="E30" s="136" t="n"/>
      <c r="F30" s="136" t="n"/>
      <c r="G30" s="136" t="n"/>
      <c r="H30" s="136" t="n"/>
      <c r="I30" s="136" t="n"/>
      <c r="J30" s="136" t="n"/>
      <c r="K30" s="134" t="n"/>
      <c r="L30" s="92" t="inlineStr">
        <is>
          <t>구현 완료</t>
        </is>
      </c>
    </row>
    <row r="32" ht="19.2" customHeight="1" s="147">
      <c r="B32" s="82" t="inlineStr">
        <is>
          <t>❚ 3. 주요 보고 및 향후 추진 계획</t>
        </is>
      </c>
    </row>
    <row r="34" ht="25.95" customHeight="1" s="147">
      <c r="B34" s="133" t="inlineStr">
        <is>
          <t>구분</t>
        </is>
      </c>
      <c r="C34" s="133" t="inlineStr">
        <is>
          <t>보고 안건</t>
        </is>
      </c>
      <c r="D34" s="134" t="n"/>
      <c r="E34" s="133" t="inlineStr">
        <is>
          <t>주요 내용</t>
        </is>
      </c>
      <c r="F34" s="136" t="n"/>
      <c r="G34" s="136" t="n"/>
      <c r="H34" s="136" t="n"/>
      <c r="I34" s="136" t="n"/>
      <c r="J34" s="136" t="n"/>
      <c r="K34" s="134" t="n"/>
      <c r="L34" s="133" t="inlineStr">
        <is>
          <t>진행 상황</t>
        </is>
      </c>
    </row>
    <row r="35" ht="25.95" customHeight="1" s="147">
      <c r="B35" s="93" t="inlineStr">
        <is>
          <t>안건 1</t>
        </is>
      </c>
      <c r="C35" s="142" t="inlineStr">
        <is>
          <t>동탄 현장 기반 매뉴얼 연속 업데이트 승인</t>
        </is>
      </c>
      <c r="D35" s="134" t="n"/>
      <c r="E35" s="137" t="inlineStr">
        <is>
          <t>동탄 현장 실무 데이터를 바탕으로 매뉴얼(v6 ➔ v7)을 지속 보완·운영하는 체계 승인</t>
        </is>
      </c>
      <c r="F35" s="136" t="n"/>
      <c r="G35" s="136" t="n"/>
      <c r="H35" s="136" t="n"/>
      <c r="I35" s="136" t="n"/>
      <c r="J35" s="136" t="n"/>
      <c r="K35" s="134" t="n"/>
      <c r="L35" s="93" t="inlineStr">
        <is>
          <t>승인 완료</t>
        </is>
      </c>
    </row>
    <row r="36" ht="25.95" customHeight="1" s="147">
      <c r="B36" s="93" t="inlineStr">
        <is>
          <t>안건 2</t>
        </is>
      </c>
      <c r="C36" s="142" t="inlineStr">
        <is>
          <t>사내 매뉴얼 시스템 통합 및 자산화</t>
        </is>
      </c>
      <c r="D36" s="134" t="n"/>
      <c r="E36" s="137" t="inlineStr">
        <is>
          <t>완성된 매뉴얼을 사내 표준 시스템에 탑재하여 향후 신규 트램 사업 수주 시 재활용</t>
        </is>
      </c>
      <c r="F36" s="136" t="n"/>
      <c r="G36" s="136" t="n"/>
      <c r="H36" s="136" t="n"/>
      <c r="I36" s="136" t="n"/>
      <c r="J36" s="136" t="n"/>
      <c r="K36" s="134" t="n"/>
      <c r="L36" s="93" t="inlineStr">
        <is>
          <t>추진 중</t>
        </is>
      </c>
    </row>
  </sheetData>
  <mergeCells count="31">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 ref="D7:E7"/>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7" min="1" max="2"/>
    <col width="16" customWidth="1" style="147" min="3" max="3"/>
    <col width="12" customWidth="1" style="147" min="4" max="4"/>
    <col width="16" customWidth="1" style="147" min="5" max="5"/>
    <col width="28" customWidth="1" style="147" min="6" max="6"/>
    <col width="24" customWidth="1" style="147" min="7" max="7"/>
    <col width="26" customWidth="1" style="147" min="8" max="8"/>
    <col width="32" customWidth="1" style="147" min="9" max="9"/>
    <col width="55" customWidth="1" style="147" min="10" max="10"/>
    <col width="32" customWidth="1" style="147" min="11" max="11"/>
    <col width="35" customWidth="1" style="147" min="12" max="12"/>
    <col width="22" customWidth="1" style="147" min="13" max="13"/>
    <col width="40" customWidth="1" style="147" min="14" max="14"/>
    <col width="22" customWidth="1" style="147" min="15" max="15"/>
    <col width="40" customWidth="1" style="147" min="16" max="16"/>
    <col width="22" customWidth="1" style="147" min="17" max="17"/>
  </cols>
  <sheetData>
    <row r="1" ht="28.05" customHeight="1" s="147">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7">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7">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7">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7">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7">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7">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7">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7">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7">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7">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7">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7">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7">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7">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7">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7">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7">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7">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7">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7">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7">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7">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7">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7">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7">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7">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7">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7">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7">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7">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7">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7">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7">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7">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7">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7">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51"/>
  <sheetViews>
    <sheetView view="pageBreakPreview" topLeftCell="M1" zoomScale="55" zoomScaleNormal="55" zoomScaleSheetLayoutView="55" workbookViewId="0">
      <selection activeCell="P5" sqref="P5"/>
    </sheetView>
  </sheetViews>
  <sheetFormatPr baseColWidth="8" defaultRowHeight="19.2"/>
  <cols>
    <col width="10" customWidth="1" style="3" min="1" max="1"/>
    <col width="12" customWidth="1" style="147"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8"/>
    <col width="20.296875" customWidth="1" style="3" min="19" max="19"/>
    <col width="15" customWidth="1" style="3" min="20" max="20"/>
    <col width="30" customWidth="1" style="147" min="21" max="21"/>
    <col width="28" customWidth="1" style="147" min="22" max="22"/>
    <col width="25" customWidth="1" style="147" min="23" max="23"/>
    <col width="15" customWidth="1" style="3" min="24" max="35"/>
    <col width="8.796875" customWidth="1" style="3" min="36" max="71"/>
    <col width="8.796875" customWidth="1" style="3" min="72" max="16384"/>
  </cols>
  <sheetData>
    <row r="1" ht="46.8" customHeight="1" s="147">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1" t="inlineStr">
        <is>
          <t>표준서 파일 (HTML)</t>
        </is>
      </c>
      <c r="P1" s="121" t="inlineStr">
        <is>
          <t>수행지침 (Guideline) 요약</t>
        </is>
      </c>
      <c r="Q1" s="121" t="inlineStr">
        <is>
          <t>수행지침 파일 (HTML)</t>
        </is>
      </c>
      <c r="R1" s="121" t="inlineStr">
        <is>
          <t>체크리스트 (Checklist) 요약</t>
        </is>
      </c>
      <c r="S1" s="121"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7">
      <c r="A2" s="122" t="inlineStr">
        <is>
          <t>9000</t>
        </is>
      </c>
      <c r="B2" s="122" t="inlineStr">
        <is>
          <t>9000-5</t>
        </is>
      </c>
      <c r="C2" s="122" t="inlineStr">
        <is>
          <t>사전토공사</t>
        </is>
      </c>
      <c r="D2" s="122" t="inlineStr">
        <is>
          <t>9000-5-1</t>
        </is>
      </c>
      <c r="E2" s="122" t="n"/>
      <c r="F2" s="122" t="n"/>
      <c r="G2" s="122" t="inlineStr">
        <is>
          <t>D-90 (D-120~D-90)</t>
        </is>
      </c>
      <c r="H2" s="123" t="inlineStr">
        <is>
          <t>Site Survey</t>
        </is>
      </c>
      <c r="I2" s="122" t="inlineStr">
        <is>
          <t>현장 공사팀</t>
        </is>
      </c>
      <c r="J2" s="123" t="inlineStr">
        <is>
          <t>KDS 47 10 00 철도지반 설계기준 | 현장 가설 둔차선, 용지 경계 및 원지반 고저차 3D 레벨 현측 | 토공사 사전 현장 조사 보고서</t>
        </is>
      </c>
      <c r="K2" s="123" t="inlineStr">
        <is>
          <t>1) 현장 가설 도로 및 용지 경계 현측 ➔ 2) 광학 레벨 원지반 고저차 측정 ➔ 3) 진입 도로 장애 요소 매핑 ➔ 4) 현장 조사 보고서 감리 제출</t>
        </is>
      </c>
      <c r="L2" s="123" t="n"/>
      <c r="M2" s="123" t="inlineStr">
        <is>
          <t>가설 도로 폭/구배 현측, 원지반 고저차 레벨 측량 및 3D BIM 도면 오차 점검 (현장 조사 보고서)</t>
        </is>
      </c>
      <c r="N2" s="123" t="inlineStr">
        <is>
          <t>KDS 47 10 00 철도지반 설계기준 | 현장 가설 둔차선, 용지 경계 및 원지반 고저차 3D 레벨 현측 | 토공사 사전 현장 조사 보고서</t>
        </is>
      </c>
      <c r="O2" s="123">
        <f>HYPERLINK(LEFT(CELL("filename",A1),FIND("[",CELL("filename",A1))-1)&amp;"매뉴얼BODY(집행단계-첨부폴더)v8\2.사전토공사\1_Site Survey\표준서\Site Survey_표준서.html", "👉 [클릭] 표준서 열기 📄")</f>
        <v/>
      </c>
      <c r="P2" s="123" t="inlineStr">
        <is>
          <t>1) 현장 가설 도로 및 용지 경계 현측 ➔ 2) 광학 레벨 원지반 고저차 측정 ➔ 3) 진입 도로 장애 요소 매핑 ➔ 4) 현장 조사 보고서 감리 제출</t>
        </is>
      </c>
      <c r="Q2" s="123">
        <f>HYPERLINK(LEFT(CELL("filename",A1),FIND("[",CELL("filename",A1))-1)&amp;"매뉴얼BODY(집행단계-첨부폴더)v8\2.사전토공사\1_Site Survey\수행지침\Site Survey_수행지침.html", "👉 [클릭] 수행지침 열기 📄")</f>
        <v/>
      </c>
      <c r="R2" s="123" t="inlineStr">
        <is>
          <t>가설 도로 폭/구배 현측, 원지반 고저차 레벨 측량 및 3D BIM 도면 오차 점검 (현장 조사 보고서)</t>
        </is>
      </c>
      <c r="S2" s="123">
        <f>HYPERLINK(LEFT(CELL("filename",A1),FIND("[",CELL("filename",A1))-1)&amp;"매뉴얼BODY(집행단계-첨부폴더)v8\2.사전토공사\1_Site Survey\체크리스트\Site Survey_체크리스트.html", "👉 [클릭] 체크리스트 열기 📄")</f>
        <v/>
      </c>
      <c r="T2" s="123" t="n"/>
      <c r="U2" s="123" t="inlineStr">
        <is>
          <t>● 설계도면 및 지적 경계 기준 준수</t>
        </is>
      </c>
      <c r="V2" s="122" t="inlineStr">
        <is>
          <t>1) 👉 [더블클릭] 체크리스트 열기 📄</t>
        </is>
      </c>
      <c r="W2" s="123" t="n"/>
    </row>
    <row r="3" ht="125.4" customHeight="1" s="147">
      <c r="A3" s="122" t="inlineStr">
        <is>
          <t>9000</t>
        </is>
      </c>
      <c r="B3" s="122" t="inlineStr">
        <is>
          <t>9000-5</t>
        </is>
      </c>
      <c r="C3" s="122" t="inlineStr">
        <is>
          <t>사전토공사</t>
        </is>
      </c>
      <c r="D3" s="122" t="inlineStr">
        <is>
          <t>9000-5-2</t>
        </is>
      </c>
      <c r="E3" s="122" t="n"/>
      <c r="F3" s="122" t="n"/>
      <c r="G3" s="122" t="inlineStr">
        <is>
          <t>D-80 (D-120~D-80)</t>
        </is>
      </c>
      <c r="H3" s="123" t="inlineStr">
        <is>
          <t>발주전략 KOM</t>
        </is>
      </c>
      <c r="I3" s="122" t="inlineStr">
        <is>
          <t>현장소장</t>
        </is>
      </c>
      <c r="J3" s="123" t="inlineStr">
        <is>
          <t>KCS 47 10 25 시방 검토 | 사전 토공 토사/암석 깎기 및 성토 시방 규정 | 발주처·감리·시공 3자 킥오프 결재</t>
        </is>
      </c>
      <c r="K3" s="123" t="inlineStr">
        <is>
          <t>1) 사전 토공 시방 요구조건 분석 ➔ 2) 3D BIM 도면 깎기/성토 수량 검증 ➔ 3) 토공 리스크 예비비 수립 ➔ 4) 발주·감리·시공 3자 킥오프 결재</t>
        </is>
      </c>
      <c r="L3" s="123" t="n"/>
      <c r="M3" s="123" t="inlineStr">
        <is>
          <t>KCS 47 10 25 사전 토공 시방 검토, 토사/암석 깎기 수량 산출 및 3D BIM 간섭 zero (3자 킥오프 결재)</t>
        </is>
      </c>
      <c r="N3" s="123" t="inlineStr">
        <is>
          <t>KCS 47 10 25 시방 검토 | 사전 토공 토사/암석 깎기 및 성토 시방 규정 | 발주처·감리·시공 3자 킥오프 결재</t>
        </is>
      </c>
      <c r="O3" s="123">
        <f>HYPERLINK(LEFT(CELL("filename",A1),FIND("[",CELL("filename",A1))-1)&amp;"매뉴얼BODY(집행단계-첨부폴더)v8\2.사전토공사\2_발주전략 KOM\표준서\2_발주전략 KOM_표준서.html", "👉 [클릭] 표준서 열기 📄")</f>
        <v/>
      </c>
      <c r="P3" s="123" t="inlineStr">
        <is>
          <t>1) 사전 토공 시방 요구조건 분석 ➔ 2) 3D BIM 도면 깎기/성토 수량 검증 ➔ 3) 토공 리스크 예비비 수립 ➔ 4) 발주·감리·시공 3자 킥오프 결재</t>
        </is>
      </c>
      <c r="Q3" s="123">
        <f>HYPERLINK(LEFT(CELL("filename",A1),FIND("[",CELL("filename",A1))-1)&amp;"매뉴얼BODY(집행단계-첨부폴더)v8\2.사전토공사\2_발주전략 KOM\수행지침\2_발주전략 KOM_수행지침.html", "👉 [클릭] 수행지침 열기 📄")</f>
        <v/>
      </c>
      <c r="R3" s="123" t="inlineStr">
        <is>
          <t>KCS 47 10 25 사전 토공 시방 검토, 토사/암석 깎기 수량 산출 및 3D BIM 간섭 zero (3자 킥오프 결재)</t>
        </is>
      </c>
      <c r="S3" s="123">
        <f>HYPERLINK(LEFT(CELL("filename",A1),FIND("[",CELL("filename",A1))-1)&amp;"매뉴얼BODY(집행단계-첨부폴더)v8\2.사전토공사\2_발주전략 KOM\체크리스트\2_발주전략 KOM_체크리스트.html", "👉 [클릭] 체크리스트 열기 📄")</f>
        <v/>
      </c>
      <c r="T3" s="123" t="n"/>
      <c r="U3" s="123" t="inlineStr">
        <is>
          <t>● 본사외주부서, 수행부서, 토목국내견적팀, 컴플라이언스RM팀, 토목사업지원팀 협의</t>
        </is>
      </c>
      <c r="V3" s="122" t="inlineStr">
        <is>
          <t>1) 👉 [더블클릭] 체크리스트 열기 📄</t>
        </is>
      </c>
      <c r="W3" s="123" t="n"/>
    </row>
    <row r="4" ht="110.4" customHeight="1" s="147">
      <c r="A4" s="122" t="inlineStr">
        <is>
          <t>9000</t>
        </is>
      </c>
      <c r="B4" s="122" t="inlineStr">
        <is>
          <t>9000-5</t>
        </is>
      </c>
      <c r="C4" s="122" t="inlineStr">
        <is>
          <t>사전토공사</t>
        </is>
      </c>
      <c r="D4" s="122" t="inlineStr">
        <is>
          <t>9000-5-3</t>
        </is>
      </c>
      <c r="E4" s="122" t="n"/>
      <c r="F4" s="122" t="n"/>
      <c r="G4" s="122" t="inlineStr">
        <is>
          <t>D-60 (D-70~D-60)</t>
        </is>
      </c>
      <c r="H4" s="123" t="inlineStr">
        <is>
          <t>Site Survey Risk 검토</t>
        </is>
      </c>
      <c r="I4" s="122" t="inlineStr">
        <is>
          <t>토목국내견적팀</t>
        </is>
      </c>
      <c r="J4" s="123" t="inlineStr">
        <is>
          <t>지하안전법 제23조 | 현장 지장물, 연약 지반 층후 및 사면 붕괴 위험 요소 추출 | 사전 토공 리스크 대책 승인</t>
        </is>
      </c>
      <c r="K4" s="123" t="inlineStr">
        <is>
          <t>1) 지하 매설 지장물 &amp; 연약지반 현출 ➔ 2) 사면 붕괴 위험 구간 추출 ➔ 3) 흙막이 가설재 보강 수립 ➔ 4) 토공 리스크 대책서 감리 승인</t>
        </is>
      </c>
      <c r="L4" s="123" t="n"/>
      <c r="M4" s="123" t="inlineStr">
        <is>
          <t>지중 매설물 탐사, 연약 지반 층후 분석 및 사면 붕괴 위험 구간 흙막이 가설재 보강 수립</t>
        </is>
      </c>
      <c r="N4" s="123" t="inlineStr">
        <is>
          <t>지하안전법 제23조 | 현장 지장물, 연약 지반 층후 및 사면 붕괴 위험 요소 추출 | 사전 토공 리스크 대책 승인</t>
        </is>
      </c>
      <c r="O4" s="123">
        <f>HYPERLINK(LEFT(CELL("filename",A1),FIND("[",CELL("filename",A1))-1)&amp;"매뉴얼BODY(집행단계-첨부폴더)v8\2.사전토공사\3_Site Survey Risk 검토\표준서\Site Survey Risk 검토_표준서.html", "👉 [클릭] 표준서 열기 📄")</f>
        <v/>
      </c>
      <c r="P4" s="123" t="inlineStr">
        <is>
          <t>1) 지하 매설 지장물 &amp; 연약지반 현출 ➔ 2) 사면 붕괴 위험 구간 추출 ➔ 3) 흙막이 가설재 보강 수립 ➔ 4) 토공 리스크 대책서 감리 승인</t>
        </is>
      </c>
      <c r="Q4" s="123">
        <f>HYPERLINK(LEFT(CELL("filename",A1),FIND("[",CELL("filename",A1))-1)&amp;"매뉴얼BODY(집행단계-첨부폴더)v8\2.사전토공사\3_Site Survey Risk 검토\수행지침\Site Survey Risk 검토_수행지침.html", "👉 [클릭] 수행지침 열기 📄")</f>
        <v/>
      </c>
      <c r="R4" s="123" t="inlineStr">
        <is>
          <t>지중 매설물 탐사, 연약 지반 층후 분석 및 사면 붕괴 위험 구간 흙막이 가설재 보강 수립</t>
        </is>
      </c>
      <c r="S4" s="123">
        <f>HYPERLINK(LEFT(CELL("filename",A1),FIND("[",CELL("filename",A1))-1)&amp;"매뉴얼BODY(집행단계-첨부폴더)v8\2.사전토공사\3_Site Survey Risk 검토\체크리스트\Site Survey Risk 검토_체크리스트.html", "👉 [클릭] 체크리스트 열기 📄")</f>
        <v/>
      </c>
      <c r="T4" s="123" t="n"/>
      <c r="U4" s="123" t="inlineStr">
        <is>
          <t>● 실행예산 검토 및 공사 수행 리스크 분석</t>
        </is>
      </c>
      <c r="V4" s="122" t="inlineStr">
        <is>
          <t>1) 👉 [더블클릭] 체크리스트 열기 📄</t>
        </is>
      </c>
      <c r="W4" s="123" t="n"/>
    </row>
    <row r="5" ht="96" customHeight="1" s="147">
      <c r="A5" s="122" t="inlineStr">
        <is>
          <t>9000</t>
        </is>
      </c>
      <c r="B5" s="122" t="inlineStr">
        <is>
          <t>9000-5</t>
        </is>
      </c>
      <c r="C5" s="122" t="inlineStr">
        <is>
          <t>사전토공사</t>
        </is>
      </c>
      <c r="D5" s="122" t="inlineStr">
        <is>
          <t>9000-5-4</t>
        </is>
      </c>
      <c r="E5" s="122" t="n"/>
      <c r="F5" s="122" t="n"/>
      <c r="G5" s="122" t="inlineStr">
        <is>
          <t>D-50 (D-60~D-50)</t>
        </is>
      </c>
      <c r="H5" s="123" t="inlineStr">
        <is>
          <t>최고의 팀 만들기 지원</t>
        </is>
      </c>
      <c r="I5" s="122" t="inlineStr">
        <is>
          <t>외주관리팀</t>
        </is>
      </c>
      <c r="J5" s="123" t="inlineStr">
        <is>
          <t>건산법 상생협력 수칙 | 토공 전문 기술자 1:1 전담 배치 &amp; 3자 주간 소통 회의 | 일일 Safety TBM 100% 이행</t>
        </is>
      </c>
      <c r="K5" s="123" t="inlineStr">
        <is>
          <t>1) 토공 전담 기술자 1:1 배치 ➔ 2) 3자 주간 소통 회의 개최 ➔ 3) 근로자 복지 지원 &amp; Safety TBM ➔ 4) One-Team 조직표 감리 서면 승인</t>
        </is>
      </c>
      <c r="L5" s="123" t="n"/>
      <c r="M5" s="123" t="inlineStr">
        <is>
          <t>토공 전담 기술자 1:1 현장 배치, 발주·감리·시공 3자 주간 소통 회의 및 일일 Safety TBM/음주 측정</t>
        </is>
      </c>
      <c r="N5" s="123" t="inlineStr">
        <is>
          <t>건산법 상생협력 수칙 | 토공 전문 기술자 1:1 전담 배치 &amp; 3자 주간 소통 회의 | 일일 Safety TBM 100% 이행</t>
        </is>
      </c>
      <c r="O5" s="123">
        <f>HYPERLINK(LEFT(CELL("filename",A1),FIND("[",CELL("filename",A1))-1)&amp;"매뉴얼BODY(집행단계-첨부폴더)v8\2.사전토공사\4_최고의 팀 만들기 지원\표준서\최고의 팀 만들기 지원_표준서.html", "👉 [클릭] 표준서 열기 📄")</f>
        <v/>
      </c>
      <c r="P5" s="123" t="inlineStr">
        <is>
          <t>1) 토공 전담 기술자 1:1 배치 ➔ 2) 3자 주간 소통 회의 개최 ➔ 3) 근로자 복지 지원 &amp; Safety TBM ➔ 4) One-Team 조직표 감리 서면 승인</t>
        </is>
      </c>
      <c r="Q5" s="123">
        <f>HYPERLINK(LEFT(CELL("filename",A1),FIND("[",CELL("filename",A1))-1)&amp;"매뉴얼BODY(집행단계-첨부폴더)v8\2.사전토공사\4_최고의 팀 만들기 지원\수행지침\최고의 팀 만들기 지원_수행지침.html", "👉 [클릭] 수행지침 열기 📄")</f>
        <v/>
      </c>
      <c r="R5" s="123" t="inlineStr">
        <is>
          <t>토공 전담 기술자 1:1 현장 배치, 발주·감리·시공 3자 주간 소통 회의 및 일일 Safety TBM/음주 측정</t>
        </is>
      </c>
      <c r="S5" s="123">
        <f>HYPERLINK(LEFT(CELL("filename",A1),FIND("[",CELL("filename",A1))-1)&amp;"매뉴얼BODY(집행단계-첨부폴더)v8\2.사전토공사\4_최고의 팀 만들기 지원\체크리스트\최고의 팀 만들기 지원_체크리스트.html", "👉 [클릭] 체크리스트 열기 📄")</f>
        <v/>
      </c>
      <c r="T5" s="123" t="n"/>
      <c r="U5" s="123" t="inlineStr">
        <is>
          <t>● 외주관리 협력업체 평가 및 선정 기준</t>
        </is>
      </c>
      <c r="V5" s="122" t="inlineStr">
        <is>
          <t>1) 👉 [더블클릭] 체크리스트 열기 📄</t>
        </is>
      </c>
      <c r="W5" s="123" t="n"/>
    </row>
    <row r="6" ht="134.4" customHeight="1" s="147">
      <c r="A6" s="122" t="inlineStr">
        <is>
          <t>9000</t>
        </is>
      </c>
      <c r="B6" s="122" t="inlineStr">
        <is>
          <t>9000-5</t>
        </is>
      </c>
      <c r="C6" s="122" t="inlineStr">
        <is>
          <t>사전토공사</t>
        </is>
      </c>
      <c r="D6" s="122" t="inlineStr">
        <is>
          <t>9000-5-5</t>
        </is>
      </c>
      <c r="E6" s="122" t="n"/>
      <c r="F6" s="122" t="n"/>
      <c r="G6" s="122" t="inlineStr">
        <is>
          <t>D-60 (D-80~D-60)</t>
        </is>
      </c>
      <c r="H6" s="123" t="inlineStr">
        <is>
          <t>공사중 교통처리계획</t>
        </is>
      </c>
      <c r="I6" s="122" t="inlineStr">
        <is>
          <t>현장 공사팀</t>
        </is>
      </c>
      <c r="J6" s="123" t="inlineStr">
        <is>
          <t>도로교통법 제69조 | 동탄경찰서 교통안전 심의 및 우회 차선 설계 | 전담 신호수(2인 2조) &amp; LED 경광등 배치</t>
        </is>
      </c>
      <c r="K6" s="123" t="inlineStr">
        <is>
          <t>1) 교통 우회 차선 &amp; 둔차선 도면 설계 ➔ 2) 동탄경찰서 도로점용 허가 ➔ 3) 전담 신호수(2인 2조) 배치 ➔ 4) 교통소통 대책서 감리 서면 승인</t>
        </is>
      </c>
      <c r="L6" s="123" t="n"/>
      <c r="M6" s="123" t="inlineStr">
        <is>
          <t>동탄경찰서 도로점용 허가, 가설 우회 차선 설계 및 전담 안전 신호수(2인 2조)/LED 경광등 배치</t>
        </is>
      </c>
      <c r="N6" s="123" t="inlineStr">
        <is>
          <t>도로교통법 제69조 | 동탄경찰서 교통안전 심의 및 우회 차선 설계 | 전담 신호수(2인 2조) &amp; LED 경광등 배치</t>
        </is>
      </c>
      <c r="O6" s="123">
        <f>HYPERLINK(LEFT(CELL("filename",A1),FIND("[",CELL("filename",A1))-1)&amp;"매뉴얼BODY(집행단계-첨부폴더)v8\2.사전토공사\5_공사중 교통처리계획\표준서\공사중 교통처리계획_표준서.html", "👉 [클릭] 표준서 열기 📄")</f>
        <v/>
      </c>
      <c r="P6" s="123" t="inlineStr">
        <is>
          <t>1) 교통 우회 차선 &amp; 둔차선 도면 설계 ➔ 2) 동탄경찰서 도로점용 허가 ➔ 3) 전담 신호수(2인 2조) 배치 ➔ 4) 교통소통 대책서 감리 서면 승인</t>
        </is>
      </c>
      <c r="Q6" s="123">
        <f>HYPERLINK(LEFT(CELL("filename",A1),FIND("[",CELL("filename",A1))-1)&amp;"매뉴얼BODY(집행단계-첨부폴더)v8\2.사전토공사\5_공사중 교통처리계획\수행지침\공사중 교통처리계획_수행지침.html", "👉 [클릭] 수행지침 열기 📄")</f>
        <v/>
      </c>
      <c r="R6" s="123" t="inlineStr">
        <is>
          <t>동탄경찰서 도로점용 허가, 가설 우회 차선 설계 및 전담 안전 신호수(2인 2조)/LED 경광등 배치</t>
        </is>
      </c>
      <c r="S6" s="123">
        <f>HYPERLINK(LEFT(CELL("filename",A1),FIND("[",CELL("filename",A1))-1)&amp;"매뉴얼BODY(집행단계-첨부폴더)v8\2.사전토공사\5_공사중 교통처리계획\체크리스트\공사중 교통처리계획_체크리스트.html", "👉 [클릭] 체크리스트 열기 📄")</f>
        <v/>
      </c>
      <c r="T6" s="123" t="n"/>
      <c r="U6" s="123" t="inlineStr">
        <is>
          <t>● 도로교통법 및 관할 지자체 교통 지침 준수</t>
        </is>
      </c>
      <c r="V6" s="122" t="inlineStr">
        <is>
          <t>1) 👉 [더블클릭] 체크리스트 열기 📄</t>
        </is>
      </c>
      <c r="W6" s="123" t="n"/>
    </row>
    <row r="7" ht="96" customHeight="1" s="147">
      <c r="A7" s="122" t="inlineStr">
        <is>
          <t>9000</t>
        </is>
      </c>
      <c r="B7" s="122" t="inlineStr">
        <is>
          <t>9000-5</t>
        </is>
      </c>
      <c r="C7" s="122" t="inlineStr">
        <is>
          <t>사전토공사</t>
        </is>
      </c>
      <c r="D7" s="122" t="inlineStr">
        <is>
          <t>9000-5-6</t>
        </is>
      </c>
      <c r="E7" s="122" t="n"/>
      <c r="F7" s="122" t="n"/>
      <c r="G7" s="122" t="inlineStr">
        <is>
          <t>D-65 (D-65~D-55)</t>
        </is>
      </c>
      <c r="H7" s="123" t="inlineStr">
        <is>
          <t>자재발주 요청</t>
        </is>
      </c>
      <c r="I7" s="122" t="inlineStr">
        <is>
          <t>현장 공무팀</t>
        </is>
      </c>
      <c r="J7" s="123" t="inlineStr">
        <is>
          <t>KCS 47 10 25 자재 시방 | 굴착 장비, 가설 펜스 및 배수관 자재 발주 승인 | 공인시험기관 성적표 수속</t>
        </is>
      </c>
      <c r="K7" s="123" t="inlineStr">
        <is>
          <t>1) 굴착 장비 및 가설 펜스 자재 선정 ➔ 2) 공인시험기관 시험성적서 검수 ➔ 3) 자재 발주 신청서 제출 ➔ 4) 자재 반입 검수 통보서 결재</t>
        </is>
      </c>
      <c r="L7" s="123" t="n"/>
      <c r="M7" s="123" t="inlineStr">
        <is>
          <t>KCS 47 10 25 굴착 장비/가설재 자재 승인, 공인시험기관 시험성적서 검수 및 자재 반입 통보</t>
        </is>
      </c>
      <c r="N7" s="123" t="inlineStr">
        <is>
          <t>KCS 47 10 25 자재 시방 | 굴착 장비, 가설 펜스 및 배수관 자재 발주 승인 | 공인시험기관 성적표 수속</t>
        </is>
      </c>
      <c r="O7" s="123">
        <f>HYPERLINK(LEFT(CELL("filename",A1),FIND("[",CELL("filename",A1))-1)&amp;"매뉴얼BODY(집행단계-첨부폴더)v8\2.사전토공사\6_자재발주 요청\표준서\자재발주 요청_표준서.html", "👉 [클릭] 표준서 열기 📄")</f>
        <v/>
      </c>
      <c r="P7" s="123" t="inlineStr">
        <is>
          <t>1) 굴착 장비 및 가설 펜스 자재 선정 ➔ 2) 공인시험기관 시험성적서 검수 ➔ 3) 자재 발주 신청서 제출 ➔ 4) 자재 반입 검수 통보서 결재</t>
        </is>
      </c>
      <c r="Q7" s="123">
        <f>HYPERLINK(LEFT(CELL("filename",A1),FIND("[",CELL("filename",A1))-1)&amp;"매뉴얼BODY(집행단계-첨부폴더)v8\2.사전토공사\6_자재발주 요청\수행지침\착수전 Big Room 회의_수행지침.html", "👉 [클릭] 수행지침 열기 📄")</f>
        <v/>
      </c>
      <c r="R7" s="123" t="inlineStr">
        <is>
          <t>KCS 47 10 25 굴착 장비/가설재 자재 승인, 공인시험기관 시험성적서 검수 및 자재 반입 통보</t>
        </is>
      </c>
      <c r="S7" s="123">
        <f>HYPERLINK(LEFT(CELL("filename",A1),FIND("[",CELL("filename",A1))-1)&amp;"매뉴얼BODY(집행단계-첨부폴더)v8\2.사전토공사\6_자재발주 요청\체크리스트\착수전 Big Room 회의_체크리스트.html", "👉 [클릭] 체크리스트 열기 📄")</f>
        <v/>
      </c>
      <c r="T7" s="123" t="n"/>
      <c r="U7" s="123" t="n"/>
      <c r="V7" s="122" t="inlineStr">
        <is>
          <t>1) 👉 [더블클릭] 체크리스트 열기 📄</t>
        </is>
      </c>
      <c r="W7" s="123" t="n"/>
    </row>
    <row r="8" ht="115.2" customHeight="1" s="147">
      <c r="A8" s="122" t="inlineStr">
        <is>
          <t>9000</t>
        </is>
      </c>
      <c r="B8" s="122" t="inlineStr">
        <is>
          <t>9000-5</t>
        </is>
      </c>
      <c r="C8" s="122" t="inlineStr">
        <is>
          <t>사전토공사</t>
        </is>
      </c>
      <c r="D8" s="122" t="inlineStr">
        <is>
          <t>9000-5-7</t>
        </is>
      </c>
      <c r="E8" s="122" t="n"/>
      <c r="F8" s="122" t="n"/>
      <c r="G8" s="122" t="inlineStr">
        <is>
          <t>D-40 (D-60~D-40)</t>
        </is>
      </c>
      <c r="H8" s="123" t="inlineStr">
        <is>
          <t>용지 사용 Risk 검토</t>
        </is>
      </c>
      <c r="I8" s="122" t="inlineStr">
        <is>
          <t>토목계약관리팀</t>
        </is>
      </c>
      <c r="J8" s="123" t="inlineStr">
        <is>
          <t>토지보상법 준수 | 미보상 사유지 경계 현출 및 가설 펜스(H=1.8m) 차단 | 3D 우회 토공 동선 마일스톤 연동</t>
        </is>
      </c>
      <c r="K8" s="123" t="inlineStr">
        <is>
          <t>1) 미보상 사유지 경계 현출 ➔ 2) 가설 펜스(H=1.8m) 차단 ➔ 3) 3D 우회 토공 동선 수립 ➔ 4) 용지 보상 리스크 대책 감리 승인</t>
        </is>
      </c>
      <c r="L8" s="123" t="n"/>
      <c r="M8" s="123" t="inlineStr">
        <is>
          <t>미보상 사유지 경계 현출, 가설 펜스(H=1.8m) 차단 및 3D 우회 토공 동선 마일스톤 연동</t>
        </is>
      </c>
      <c r="N8" s="123" t="inlineStr">
        <is>
          <t>토지보상법 준수 | 미보상 사유지 경계 현출 및 가설 펜스(H=1.8m) 차단 | 3D 우회 토공 동선 마일스톤 연동</t>
        </is>
      </c>
      <c r="O8" s="123">
        <f>HYPERLINK(LEFT(CELL("filename",A1),FIND("[",CELL("filename",A1))-1)&amp;"매뉴얼BODY(집행단계-첨부폴더)v8\2.사전토공사\7_용지 사용 Risk 검토\표준서\용지 사용 Risk 검토_표준서.html", "👉 [클릭] 표준서 열기 📄")</f>
        <v/>
      </c>
      <c r="P8" s="123" t="inlineStr">
        <is>
          <t>1) 미보상 사유지 경계 현출 ➔ 2) 가설 펜스(H=1.8m) 차단 ➔ 3) 3D 우회 토공 동선 수립 ➔ 4) 용지 보상 리스크 대책 감리 승인</t>
        </is>
      </c>
      <c r="Q8" s="123">
        <f>HYPERLINK(LEFT(CELL("filename",A1),FIND("[",CELL("filename",A1))-1)&amp;"매뉴얼BODY(집행단계-첨부폴더)v8\2.사전토공사\7_용지 사용 Risk 검토\수행지침\용지 사용 Risk 검토_수행지침.html", "👉 [클릭] 수행지침 열기 📄")</f>
        <v/>
      </c>
      <c r="R8" s="123" t="inlineStr">
        <is>
          <t>미보상 사유지 경계 현출, 가설 펜스(H=1.8m) 차단 및 3D 우회 토공 동선 마일스톤 연동</t>
        </is>
      </c>
      <c r="S8" s="123">
        <f>HYPERLINK(LEFT(CELL("filename",A1),FIND("[",CELL("filename",A1))-1)&amp;"매뉴얼BODY(집행단계-첨부폴더)v8\2.사전토공사\7_용지 사용 Risk 검토\체크리스트\용지 사용 Risk 검토_체크리스트.html", "👉 [클릭] 체크리스트 열기 📄")</f>
        <v/>
      </c>
      <c r="T8" s="123" t="n"/>
      <c r="U8" s="123" t="inlineStr">
        <is>
          <t>● 계약 리스크 방지 및 현장 부지 확보 요건 검토</t>
        </is>
      </c>
      <c r="V8" s="122" t="inlineStr">
        <is>
          <t>1) 👉 [더블클릭] 체크리스트 열기 📄</t>
        </is>
      </c>
      <c r="W8" s="123" t="n"/>
    </row>
    <row r="9" ht="172.8" customHeight="1" s="147">
      <c r="A9" s="122" t="inlineStr">
        <is>
          <t>9000</t>
        </is>
      </c>
      <c r="B9" s="122" t="inlineStr">
        <is>
          <t>9000-5</t>
        </is>
      </c>
      <c r="C9" s="122" t="inlineStr">
        <is>
          <t>사전토공사</t>
        </is>
      </c>
      <c r="D9" s="122" t="inlineStr">
        <is>
          <t>9000-5-8</t>
        </is>
      </c>
      <c r="E9" s="122" t="n"/>
      <c r="F9" s="122" t="n"/>
      <c r="G9" s="122" t="inlineStr">
        <is>
          <t>D-40</t>
        </is>
      </c>
      <c r="H9" s="123" t="inlineStr">
        <is>
          <t>착수전 Big Room 회의</t>
        </is>
      </c>
      <c r="I9" s="122" t="inlineStr">
        <is>
          <t>현장소장</t>
        </is>
      </c>
      <c r="J9" s="123" t="inlineStr">
        <is>
          <t>현장 통합 관리 지침 | 발주처·감리·지자체·시공사 4자 빅룸 회의 | 사전 토공 마일스톤 서명 결재</t>
        </is>
      </c>
      <c r="K9" s="123" t="inlineStr">
        <is>
          <t>1) 4자(발주·감리·지자체·시공) 빅룸 결성 ➔ 2) 사전 토공 마일스톤 연동 ➔ 3) 간섭 리스크 즉시 해소 ➔ 4) 빅룸 회의록 4자 서명 완수</t>
        </is>
      </c>
      <c r="L9" s="123" t="n"/>
      <c r="M9" s="123" t="inlineStr">
        <is>
          <t>4자(발주·감리·지자체·시공) 빅룸 회의 결성, 사전 토공 마일스톤 연동 및 간섭 리스크 서명</t>
        </is>
      </c>
      <c r="N9" s="123" t="inlineStr">
        <is>
          <t>현장 통합 관리 지침 | 발주처·감리·지자체·시공사 4자 빅룸 회의 | 사전 토공 마일스톤 서명 결재</t>
        </is>
      </c>
      <c r="O9" s="123">
        <f>HYPERLINK(LEFT(CELL("filename",A1),FIND("[",CELL("filename",A1))-1)&amp;"매뉴얼BODY(집행단계-첨부폴더)v8\2.사전토공사\8_착수전 Big Room 회의\표준서\착수전 Big Room 회의_표준서.html", "👉 [클릭] 표준서 열기 📄")</f>
        <v/>
      </c>
      <c r="P9" s="123" t="inlineStr">
        <is>
          <t>1) 4자(발주·감리·지자체·시공) 빅룸 결성 ➔ 2) 사전 토공 마일스톤 연동 ➔ 3) 간섭 리스크 즉시 해소 ➔ 4) 빅룸 회의록 4자 서명 완수</t>
        </is>
      </c>
      <c r="Q9" s="123">
        <f>HYPERLINK(LEFT(CELL("filename",A1),FIND("[",CELL("filename",A1))-1)&amp;"매뉴얼BODY(집행단계-첨부폴더)v8\2.사전토공사\8_착수전 Big Room 회의\수행지침\착수전 Big Room 회의_수행지침.html", "👉 [클릭] 수행지침 열기 📄")</f>
        <v/>
      </c>
      <c r="R9" s="123" t="inlineStr">
        <is>
          <t>4자(발주·감리·지자체·시공) 빅룸 회의 결성, 사전 토공 마일스톤 연동 및 간섭 리스크 서명</t>
        </is>
      </c>
      <c r="S9" s="123">
        <f>HYPERLINK(LEFT(CELL("filename",A1),FIND("[",CELL("filename",A1))-1)&amp;"매뉴얼BODY(집행단계-첨부폴더)v8\2.사전토공사\8_착수전 Big Room 회의\체크리스트\착수전 Big Room 회의_체크리스트.html", "👉 [클릭] 체크리스트 열기 📄")</f>
        <v/>
      </c>
      <c r="T9" s="123" t="n"/>
      <c r="U9" s="123" t="inlineStr">
        <is>
          <t>● 본사 유관부서(견적/엔지니어링/공정/품질/안전) 조율</t>
        </is>
      </c>
      <c r="V9" s="122" t="inlineStr">
        <is>
          <t>1) 👉 [더블클릭] 체크리스트 열기 📄</t>
        </is>
      </c>
      <c r="W9" s="123" t="n"/>
    </row>
    <row r="10" ht="115.2" customHeight="1" s="147">
      <c r="A10" s="122" t="inlineStr">
        <is>
          <t>9000</t>
        </is>
      </c>
      <c r="B10" s="122" t="inlineStr">
        <is>
          <t>9000-5</t>
        </is>
      </c>
      <c r="C10" s="122" t="inlineStr">
        <is>
          <t>사전토공사</t>
        </is>
      </c>
      <c r="D10" s="122" t="inlineStr">
        <is>
          <t>9000-5-9</t>
        </is>
      </c>
      <c r="E10" s="122" t="n"/>
      <c r="F10" s="122" t="n"/>
      <c r="G10" s="122" t="inlineStr">
        <is>
          <t>D-30</t>
        </is>
      </c>
      <c r="H10" s="123" t="inlineStr">
        <is>
          <t>인허가 절차 진행</t>
        </is>
      </c>
      <c r="I10" s="122" t="inlineStr">
        <is>
          <t>현장 공무팀</t>
        </is>
      </c>
      <c r="J10" s="123" t="inlineStr">
        <is>
          <t>도로법 및 환경영향평가법 | 지자체 도로점용 허가 및 비산먼지 발생신고 수속 | 법정 인허가 필증 수속</t>
        </is>
      </c>
      <c r="K10" s="123" t="inlineStr">
        <is>
          <t>1) 지자체 도로/하천점용 허가서 작성 ➔ 2) 관련 부서 서류 제출 &amp; 심의 ➔ 3) 보증보험 증권 부착 ➔ 4) 법정 인허가 필증 감리 수속</t>
        </is>
      </c>
      <c r="L10" s="123" t="n"/>
      <c r="M10" s="123" t="inlineStr">
        <is>
          <t>지자체 도로/하천점용 허가서 접수, 비산먼지 발생사업 신고 필증 수속 및 보증보험 제출</t>
        </is>
      </c>
      <c r="N10" s="123" t="inlineStr">
        <is>
          <t>도로법 및 환경영향평가법 | 지자체 도로점용 허가 및 비산먼지 발생신고 수속 | 법정 인허가 필증 수속</t>
        </is>
      </c>
      <c r="O10" s="123">
        <f>HYPERLINK(LEFT(CELL("filename",A1),FIND("[",CELL("filename",A1))-1)&amp;"매뉴얼BODY(집행단계-첨부폴더)v8\2.사전토공사\9_인허가 절차 진행\표준서\인허가 절차 진행_표준서.html", "👉 [클릭] 표준서 열기 📄")</f>
        <v/>
      </c>
      <c r="P10" s="123" t="inlineStr">
        <is>
          <t>1) 지자체 도로/하천점용 허가서 작성 ➔ 2) 관련 부서 서류 제출 &amp; 심의 ➔ 3) 보증보험 증권 부착 ➔ 4) 법정 인허가 필증 감리 수속</t>
        </is>
      </c>
      <c r="Q10" s="123">
        <f>HYPERLINK(LEFT(CELL("filename",A1),FIND("[",CELL("filename",A1))-1)&amp;"매뉴얼BODY(집행단계-첨부폴더)v8\2.사전토공사\9_인허가 절차 진행\수행지침\인허가 절차 진행_수행지침.html", "👉 [클릭] 수행지침 열기 📄")</f>
        <v/>
      </c>
      <c r="R10" s="123" t="inlineStr">
        <is>
          <t>지자체 도로/하천점용 허가서 접수, 비산먼지 발생사업 신고 필증 수속 및 보증보험 제출</t>
        </is>
      </c>
      <c r="S10" s="123">
        <f>HYPERLINK(LEFT(CELL("filename",A1),FIND("[",CELL("filename",A1))-1)&amp;"매뉴얼BODY(집행단계-첨부폴더)v8\2.사전토공사\9_인허가 절차 진행\체크리스트\인허가 절차 진행_체크리스트.html", "👉 [클릭] 체크리스트 열기 📄")</f>
        <v/>
      </c>
      <c r="T10" s="123" t="n"/>
      <c r="U10" s="123" t="inlineStr">
        <is>
          <t>● 관련 인허가 법령 검토</t>
        </is>
      </c>
      <c r="V10" s="122" t="inlineStr">
        <is>
          <t>1) 👉 [더블클릭] 체크리스트 열기 📄</t>
        </is>
      </c>
      <c r="W10" s="123" t="n"/>
    </row>
    <row r="11" ht="96" customHeight="1" s="147">
      <c r="A11" s="122" t="inlineStr">
        <is>
          <t>9000</t>
        </is>
      </c>
      <c r="B11" s="122" t="inlineStr">
        <is>
          <t>9000-5</t>
        </is>
      </c>
      <c r="C11" s="122" t="inlineStr">
        <is>
          <t>사전토공사</t>
        </is>
      </c>
      <c r="D11" s="122" t="inlineStr">
        <is>
          <t>9000-5-10</t>
        </is>
      </c>
      <c r="E11" s="122" t="n"/>
      <c r="F11" s="122" t="n"/>
      <c r="G11" s="122" t="inlineStr">
        <is>
          <t>D-30</t>
        </is>
      </c>
      <c r="H11" s="123" t="inlineStr">
        <is>
          <t>교통처리대책 협의 및 승인</t>
        </is>
      </c>
      <c r="I11" s="122" t="inlineStr">
        <is>
          <t>현장 공무팀</t>
        </is>
      </c>
      <c r="J11" s="123" t="inlineStr">
        <is>
          <t>도로교통법 안전 수칙 | 경찰서 차선 점용 허가 및 가설 둔차선 도로 복구 이행 보증보험 | 교통대책 감리 승인</t>
        </is>
      </c>
      <c r="K11" s="123" t="inlineStr">
        <is>
          <t>1) 경찰서 차선 점용 허가증 수령 ➔ 2) 도로 복구 보증보험 증권 제출 ➔ 3) 전담 신호수 &amp; LED 경광등 배치 ➔ 4) 교통대책서 감리 서면 승인</t>
        </is>
      </c>
      <c r="L11" s="123" t="n"/>
      <c r="M11" s="123" t="inlineStr">
        <is>
          <t>동탄경찰서 차선 점용 허가, 도로 복구 이행 보증보험 제출 및 전담 신호수(2인 2조) 100% 배치</t>
        </is>
      </c>
      <c r="N11" s="123" t="inlineStr">
        <is>
          <t>도로교통법 안전 수칙 | 경찰서 차선 점용 허가 및 가설 둔차선 도로 복구 이행 보증보험 | 교통대책 감리 승인</t>
        </is>
      </c>
      <c r="O11" s="123">
        <f>HYPERLINK(LEFT(CELL("filename",A1),FIND("[",CELL("filename",A1))-1)&amp;"매뉴얼BODY(집행단계-첨부폴더)v8\2.사전토공사\10_교통처리대책 협의 및 승인\표준서\교통처리대책 협의 및 승인_표준서.html", "👉 [클릭] 표준서 열기 📄")</f>
        <v/>
      </c>
      <c r="P11" s="123" t="inlineStr">
        <is>
          <t>1) 경찰서 차선 점용 허가증 수령 ➔ 2) 도로 복구 보증보험 증권 제출 ➔ 3) 전담 신호수 &amp; LED 경광등 배치 ➔ 4) 교통대책서 감리 서면 승인</t>
        </is>
      </c>
      <c r="Q11" s="123">
        <f>HYPERLINK(LEFT(CELL("filename",A1),FIND("[",CELL("filename",A1))-1)&amp;"매뉴얼BODY(집행단계-첨부폴더)v8\2.사전토공사\10_교통처리대책 협의 및 승인\수행지침\교통처리대책 협의 및 승인_수행지침.html", "👉 [클릭] 수행지침 열기 📄")</f>
        <v/>
      </c>
      <c r="R11" s="123" t="inlineStr">
        <is>
          <t>동탄경찰서 차선 점용 허가, 도로 복구 이행 보증보험 제출 및 전담 신호수(2인 2조) 100% 배치</t>
        </is>
      </c>
      <c r="S11" s="123">
        <f>HYPERLINK(LEFT(CELL("filename",A1),FIND("[",CELL("filename",A1))-1)&amp;"매뉴얼BODY(집행단계-첨부폴더)v8\2.사전토공사\10_교통처리대책 협의 및 승인\체크리스트\교통처리대책 협의 및 승인_체크리스트.html", "👉 [클릭] 체크리스트 열기 📄")</f>
        <v/>
      </c>
      <c r="T11" s="123" t="n"/>
      <c r="U11" s="123" t="inlineStr">
        <is>
          <t>● 사토/토취장 인허가 요건 준수</t>
        </is>
      </c>
      <c r="V11" s="122" t="inlineStr">
        <is>
          <t>1) 👉 [더블클릭] 체크리스트 열기 📄</t>
        </is>
      </c>
      <c r="W11" s="123" t="n"/>
    </row>
    <row r="12" ht="115.2" customHeight="1" s="147">
      <c r="A12" s="122" t="inlineStr">
        <is>
          <t>9000</t>
        </is>
      </c>
      <c r="B12" s="122" t="inlineStr">
        <is>
          <t>9000-5</t>
        </is>
      </c>
      <c r="C12" s="122" t="inlineStr">
        <is>
          <t>사전토공사</t>
        </is>
      </c>
      <c r="D12" s="122" t="inlineStr">
        <is>
          <t>9000-5-11</t>
        </is>
      </c>
      <c r="E12" s="122" t="n"/>
      <c r="F12" s="122" t="n"/>
      <c r="G12" s="122" t="inlineStr">
        <is>
          <t>D-30</t>
        </is>
      </c>
      <c r="H12" s="123" t="inlineStr">
        <is>
          <t>지장물 검토 및 협의</t>
        </is>
      </c>
      <c r="I12" s="122" t="inlineStr">
        <is>
          <t>현장 공무팀/공사팀</t>
        </is>
      </c>
      <c r="J12" s="123" t="inlineStr">
        <is>
          <t>지하안전관리에 관한 특별법 | GPR 3D 관로 탐사 &amp; 인력 시탐 줄파기(깊이 1.5m) | 점용기관 현장 입회 이설 방호</t>
        </is>
      </c>
      <c r="K12" s="123" t="inlineStr">
        <is>
          <t>1) GPR 3D 지중 관로 탐사 ➔ 2) 인력 시탐 줄파기(깊이 1.5m) ➔ 3) 관할 점용기관 1:1 현장 입회 ➔ 4) 매달기 방호 &amp; 지장물 서면 승인</t>
        </is>
      </c>
      <c r="L12" s="123" t="n"/>
      <c r="M12" s="123" t="inlineStr">
        <is>
          <t>GPR 3D 관로 탐사, 인력 시탐 줄파기(폭 0.5m, 깊이 1.5m) 및 점용기관 1:1 현장 입회 매달기 방호</t>
        </is>
      </c>
      <c r="N12" s="123" t="inlineStr">
        <is>
          <t>지하안전관리에 관한 특별법 | GPR 3D 관로 탐사 &amp; 인력 시탐 줄파기(깊이 1.5m) | 점용기관 현장 입회 이설 방호</t>
        </is>
      </c>
      <c r="O12" s="123">
        <f>HYPERLINK(LEFT(CELL("filename",A1),FIND("[",CELL("filename",A1))-1)&amp;"매뉴얼BODY(집행단계-첨부폴더)v8\2.사전토공사\11_지장물 검토 및 협의\표준서\지장물 검토 및 협의_표준서.html", "👉 [클릭] 표준서 열기 📄")</f>
        <v/>
      </c>
      <c r="P12" s="123" t="inlineStr">
        <is>
          <t>1) GPR 3D 지중 관로 탐사 ➔ 2) 인력 시탐 줄파기(깊이 1.5m) ➔ 3) 관할 점용기관 1:1 현장 입회 ➔ 4) 매달기 방호 &amp; 지장물 서면 승인</t>
        </is>
      </c>
      <c r="Q12" s="123">
        <f>HYPERLINK(LEFT(CELL("filename",A1),FIND("[",CELL("filename",A1))-1)&amp;"매뉴얼BODY(집행단계-첨부폴더)v8\2.사전토공사\11_지장물 검토 및 협의\수행지침\지장물 검토 및 협의_수행지침.html", "👉 [클릭] 수행지침 열기 📄")</f>
        <v/>
      </c>
      <c r="R12" s="123" t="inlineStr">
        <is>
          <t>GPR 3D 관로 탐사, 인력 시탐 줄파기(폭 0.5m, 깊이 1.5m) 및 점용기관 1:1 현장 입회 매달기 방호</t>
        </is>
      </c>
      <c r="S12" s="123">
        <f>HYPERLINK(LEFT(CELL("filename",A1),FIND("[",CELL("filename",A1))-1)&amp;"매뉴얼BODY(집행단계-첨부폴더)v8\2.사전토공사\11_지장물 검토 및 협의\체크리스트\지장물 검토 및 협의_체크리스트.html", "👉 [클릭] 체크리스트 열기 📄")</f>
        <v/>
      </c>
      <c r="T12" s="123" t="n"/>
      <c r="U12" s="123" t="inlineStr">
        <is>
          <t>● 도로점용 및 지장물 이설 규정 준수</t>
        </is>
      </c>
      <c r="V12" s="122" t="inlineStr">
        <is>
          <t>1) 👉 [더블클릭] 체크리스트 열기 📄</t>
        </is>
      </c>
      <c r="W12" s="123" t="n"/>
    </row>
    <row r="13" ht="96" customHeight="1" s="147">
      <c r="A13" s="122" t="inlineStr">
        <is>
          <t>9000</t>
        </is>
      </c>
      <c r="B13" s="122" t="inlineStr">
        <is>
          <t>9000-5</t>
        </is>
      </c>
      <c r="C13" s="122" t="inlineStr">
        <is>
          <t>사전토공사</t>
        </is>
      </c>
      <c r="D13" s="122" t="inlineStr">
        <is>
          <t>9000-5-12</t>
        </is>
      </c>
      <c r="E13" s="122" t="n"/>
      <c r="F13" s="122" t="n"/>
      <c r="G13" s="122" t="inlineStr">
        <is>
          <t>D-30</t>
        </is>
      </c>
      <c r="H13" s="123" t="inlineStr">
        <is>
          <t>기공승낙 적정성 검토</t>
        </is>
      </c>
      <c r="I13" s="122" t="inlineStr">
        <is>
          <t>현장 공무팀</t>
        </is>
      </c>
      <c r="J13" s="123" t="inlineStr">
        <is>
          <t>국유재산법 및 공유재산법 | 토지 기공승낙서 인허가 확인 및 진입로 점용 범위 실측 | 토지 사용 승인서 결재</t>
        </is>
      </c>
      <c r="K13" s="123" t="inlineStr">
        <is>
          <t>1) 국유지/공유지 기공승낙서 수속 ➔ 2) 진입 도로 점용 범위 실측 ➔ 3) 토지 소유주 사용 협의 ➔ 4) 기공승낙서 감리 서면 승인</t>
        </is>
      </c>
      <c r="L13" s="123" t="n"/>
      <c r="M13" s="123" t="inlineStr">
        <is>
          <t>국유지/공유지 기공승낙서 인허가 검증, 진입 도로 점용 범위 실측 및 토지 사용 승인서 결재</t>
        </is>
      </c>
      <c r="N13" s="123" t="inlineStr">
        <is>
          <t>국유재산법 및 공유재산법 | 토지 기공승낙서 인허가 확인 및 진입로 점용 범위 실측 | 토지 사용 승인서 결재</t>
        </is>
      </c>
      <c r="O13" s="123">
        <f>HYPERLINK(LEFT(CELL("filename",A1),FIND("[",CELL("filename",A1))-1)&amp;"매뉴얼BODY(집행단계-첨부폴더)v8\2.사전토공사\12_기공승낙 적정성 검토\표준서\기공승낙 적정성 검토_표준서.html", "👉 [클릭] 표준서 열기 📄")</f>
        <v/>
      </c>
      <c r="P13" s="123" t="inlineStr">
        <is>
          <t>1) 국유지/공유지 기공승낙서 수속 ➔ 2) 진입 도로 점용 범위 실측 ➔ 3) 토지 소유주 사용 협의 ➔ 4) 기공승낙서 감리 서면 승인</t>
        </is>
      </c>
      <c r="Q13" s="123">
        <f>HYPERLINK(LEFT(CELL("filename",A1),FIND("[",CELL("filename",A1))-1)&amp;"매뉴얼BODY(집행단계-첨부폴더)v8\2.사전토공사\12_기공승낙 적정성 검토\수행지침\기공승낙 적정성 검토_수행지침.html", "👉 [클릭] 수행지침 열기 📄")</f>
        <v/>
      </c>
      <c r="R13" s="123" t="inlineStr">
        <is>
          <t>국유지/공유지 기공승낙서 인허가 검증, 진입 도로 점용 범위 실측 및 토지 사용 승인서 결재</t>
        </is>
      </c>
      <c r="S13" s="123">
        <f>HYPERLINK(LEFT(CELL("filename",A1),FIND("[",CELL("filename",A1))-1)&amp;"매뉴얼BODY(집행단계-첨부폴더)v8\2.사전토공사\12_기공승낙 적정성 검토\체크리스트\기공승낙 적정성 검토_체크리스트.html", "👉 [클릭] 체크리스트 열기 📄")</f>
        <v/>
      </c>
      <c r="T13" s="123" t="n"/>
      <c r="U13" s="123" t="inlineStr">
        <is>
          <t>● 용지 취득 및 기공승낙 법적 검토</t>
        </is>
      </c>
      <c r="V13" s="122" t="inlineStr">
        <is>
          <t>1) 👉 [더블클릭] 체크리스트 열기 📄</t>
        </is>
      </c>
      <c r="W13" s="123" t="n"/>
    </row>
    <row r="14" ht="96" customHeight="1" s="147">
      <c r="A14" s="122" t="inlineStr">
        <is>
          <t>9000</t>
        </is>
      </c>
      <c r="B14" s="122" t="inlineStr">
        <is>
          <t>9000-5</t>
        </is>
      </c>
      <c r="C14" s="122" t="inlineStr">
        <is>
          <t>사전토공사</t>
        </is>
      </c>
      <c r="D14" s="122" t="inlineStr">
        <is>
          <t>9000-5-13</t>
        </is>
      </c>
      <c r="E14" s="122" t="n"/>
      <c r="F14" s="122" t="n"/>
      <c r="G14" s="122" t="inlineStr">
        <is>
          <t>D-30</t>
        </is>
      </c>
      <c r="H14" s="123" t="inlineStr">
        <is>
          <t>민원 저감 대책 수립</t>
        </is>
      </c>
      <c r="I14" s="122" t="inlineStr">
        <is>
          <t>현장 안전팀/공무팀</t>
        </is>
      </c>
      <c r="J14" s="123" t="inlineStr">
        <is>
          <t>소음진동관리법 준수 | 야간 공사 소음 방음벽(H=3m) 및 세륜기(깊이 1.2m) 가동 | 단수/단전 주민 사전 안내</t>
        </is>
      </c>
      <c r="K14" s="123" t="inlineStr">
        <is>
          <t>1) 야간 공사 소음 방음벽(H=3m) 설치 ➔ 2) 세륜기 가동 &amp; 분무 살수 ➔ 3) 단수/단전 사전 주민 공지 ➔ 4) 민원 대응반 서면 승인</t>
        </is>
      </c>
      <c r="L14" s="123" t="n"/>
      <c r="M14" s="123" t="inlineStr">
        <is>
          <t>야간 공사 소음 방음벽(H=3m) 가동, 세륜기(깊이 1.2m) 가동 및 단수/단전 주민 사전 고지</t>
        </is>
      </c>
      <c r="N14" s="123" t="inlineStr">
        <is>
          <t>소음진동관리법 준수 | 야간 공사 소음 방음벽(H=3m) 및 세륜기(깊이 1.2m) 가동 | 단수/단전 주민 사전 안내</t>
        </is>
      </c>
      <c r="O14" s="123">
        <f>HYPERLINK(LEFT(CELL("filename",A1),FIND("[",CELL("filename",A1))-1)&amp;"매뉴얼BODY(집행단계-첨부폴더)v8\2.사전토공사\13_민원 저감 대책 수립\표준서\민원 저감 대책 수립_표준서.html", "👉 [클릭] 표준서 열기 📄")</f>
        <v/>
      </c>
      <c r="P14" s="123" t="inlineStr">
        <is>
          <t>1) 야간 공사 소음 방음벽(H=3m) 설치 ➔ 2) 세륜기 가동 &amp; 분무 살수 ➔ 3) 단수/단전 사전 주민 공지 ➔ 4) 민원 대응반 서면 승인</t>
        </is>
      </c>
      <c r="Q14" s="123">
        <f>HYPERLINK(LEFT(CELL("filename",A1),FIND("[",CELL("filename",A1))-1)&amp;"매뉴얼BODY(집행단계-첨부폴더)v8\2.사전토공사\13_민원 저감 대책 수립\수행지침\민원 저감 대책 수립_수행지침.html", "👉 [클릭] 수행지침 열기 📄")</f>
        <v/>
      </c>
      <c r="R14" s="123" t="inlineStr">
        <is>
          <t>야간 공사 소음 방음벽(H=3m) 가동, 세륜기(깊이 1.2m) 가동 및 단수/단전 주민 사전 고지</t>
        </is>
      </c>
      <c r="S14" s="123">
        <f>HYPERLINK(LEFT(CELL("filename",A1),FIND("[",CELL("filename",A1))-1)&amp;"매뉴얼BODY(집행단계-첨부폴더)v8\2.사전토공사\13_민원 저감 대책 수립\체크리스트\민원 저감 대책 수립_체크리스트.html", "👉 [클릭] 체크리스트 열기 📄")</f>
        <v/>
      </c>
      <c r="T14" s="123" t="n"/>
      <c r="U14" s="123" t="inlineStr">
        <is>
          <t>● 민원 관리 지침 준수</t>
        </is>
      </c>
      <c r="V14" s="122" t="inlineStr">
        <is>
          <t>1) 👉 [더블클릭] 체크리스트 열기 📄</t>
        </is>
      </c>
      <c r="W14" s="123" t="n"/>
    </row>
    <row r="15" ht="96" customHeight="1" s="147">
      <c r="A15" s="122" t="inlineStr">
        <is>
          <t>9000</t>
        </is>
      </c>
      <c r="B15" s="122" t="inlineStr">
        <is>
          <t>9000-5</t>
        </is>
      </c>
      <c r="C15" s="122" t="inlineStr">
        <is>
          <t>사전토공사</t>
        </is>
      </c>
      <c r="D15" s="122" t="inlineStr">
        <is>
          <t>9000-5-14</t>
        </is>
      </c>
      <c r="E15" s="122" t="n"/>
      <c r="F15" s="122" t="n"/>
      <c r="G15" s="122" t="inlineStr">
        <is>
          <t>D-30</t>
        </is>
      </c>
      <c r="H15" s="123" t="inlineStr">
        <is>
          <t>용지보상 Risk 파악</t>
        </is>
      </c>
      <c r="I15" s="122" t="inlineStr">
        <is>
          <t>현장 공무팀</t>
        </is>
      </c>
      <c r="J15" s="123" t="inlineStr">
        <is>
          <t>토지보상법 준수 | 지장물 이설 부지 용지보상 현황 및 점용 경계 실측 | 미보상 사유지 가설 펜스 차단</t>
        </is>
      </c>
      <c r="K15" s="123" t="inlineStr">
        <is>
          <t>1) 미보상 필지 현출 &amp; 지적 대조 ➔ 2) 가설 펜스(H=1.8m) 차단 ➔ 3) 우회 토공 동선 수립 ➔ 4) 용지 보상 대책서 감리 승인</t>
        </is>
      </c>
      <c r="L15" s="123" t="n"/>
      <c r="M15" s="123" t="inlineStr">
        <is>
          <t>미보상 필지 지적 대조, 경계 가설 펜스(H=1.8m) 차단 및 우회 토공 동선 서면 승인</t>
        </is>
      </c>
      <c r="N15" s="123" t="inlineStr">
        <is>
          <t>토지보상법 준수 | 지장물 이설 부지 용지보상 현황 및 점용 경계 실측 | 미보상 사유지 가설 펜스 차단</t>
        </is>
      </c>
      <c r="O15" s="123">
        <f>HYPERLINK(LEFT(CELL("filename",A1),FIND("[",CELL("filename",A1))-1)&amp;"매뉴얼BODY(집행단계-첨부폴더)v8\2.사전토공사\14_용지보상 Risk 파악\표준서\용지보상 Risk 파악_표준서.html", "👉 [클릭] 표준서 열기 📄")</f>
        <v/>
      </c>
      <c r="P15" s="123" t="inlineStr">
        <is>
          <t>1) 미보상 필지 현출 &amp; 지적 대조 ➔ 2) 가설 펜스(H=1.8m) 차단 ➔ 3) 우회 토공 동선 수립 ➔ 4) 용지 보상 대책서 감리 승인</t>
        </is>
      </c>
      <c r="Q15" s="123">
        <f>HYPERLINK(LEFT(CELL("filename",A1),FIND("[",CELL("filename",A1))-1)&amp;"매뉴얼BODY(집행단계-첨부폴더)v8\2.사전토공사\14_용지보상 Risk 파악\수행지침\용지보상 Risk 파악_수행지침.html", "👉 [클릭] 수행지침 열기 📄")</f>
        <v/>
      </c>
      <c r="R15" s="123" t="inlineStr">
        <is>
          <t>미보상 필지 지적 대조, 경계 가설 펜스(H=1.8m) 차단 및 우회 토공 동선 서면 승인</t>
        </is>
      </c>
      <c r="S15" s="123">
        <f>HYPERLINK(LEFT(CELL("filename",A1),FIND("[",CELL("filename",A1))-1)&amp;"매뉴얼BODY(집행단계-첨부폴더)v8\2.사전토공사\14_용지보상 Risk 파악\체크리스트\용지보상 Risk 파악_체크리스트.html", "👉 [클릭] 체크리스트 열기 📄")</f>
        <v/>
      </c>
      <c r="T15" s="123" t="n"/>
      <c r="U15" s="123" t="inlineStr">
        <is>
          <t>● 토지보상법 및 공정 영향 분석</t>
        </is>
      </c>
      <c r="V15" s="122" t="inlineStr">
        <is>
          <t>1) 👉 [더블클릭] 체크리스트 열기 📄</t>
        </is>
      </c>
      <c r="W15" s="123" t="n"/>
    </row>
    <row r="16" ht="96" customHeight="1" s="147">
      <c r="A16" s="122" t="inlineStr">
        <is>
          <t>9000</t>
        </is>
      </c>
      <c r="B16" s="122" t="inlineStr">
        <is>
          <t>9000-5</t>
        </is>
      </c>
      <c r="C16" s="122" t="inlineStr">
        <is>
          <t>사전토공사</t>
        </is>
      </c>
      <c r="D16" s="122" t="inlineStr">
        <is>
          <t>9000-5-15</t>
        </is>
      </c>
      <c r="E16" s="122" t="n"/>
      <c r="F16" s="122" t="n"/>
      <c r="G16" s="122" t="inlineStr">
        <is>
          <t>D-30</t>
        </is>
      </c>
      <c r="H16" s="123" t="inlineStr">
        <is>
          <t>시공계획서 검토 지원</t>
        </is>
      </c>
      <c r="I16" s="122" t="inlineStr">
        <is>
          <t>토목품질팀</t>
        </is>
      </c>
      <c r="J16" s="123" t="inlineStr">
        <is>
          <t>건진법 시행령 제89조 | 사전 토공 시공계획서 표준 8대 목차 검토 | 착공 14일 전 감리 서면 승인</t>
        </is>
      </c>
      <c r="K16" s="123" t="inlineStr">
        <is>
          <t>1) 사전 토공 시공계획서 작성 ➔ 2) 8대 목차 &amp; KCS 수치 명시 ➔ 3) 착공 14일 전 감리단 제출 ➔ 4) 시공계획서 감리 서면 승인</t>
        </is>
      </c>
      <c r="L16" s="123" t="n"/>
      <c r="M16" s="123" t="inlineStr">
        <is>
          <t>사전 토공 시공계획서 표준 8대 목차, KCS 수치 수록 및 착공 14일 전 감리 서면 승인</t>
        </is>
      </c>
      <c r="N16" s="123" t="inlineStr">
        <is>
          <t>건진법 시행령 제89조 | 사전 토공 시공계획서 표준 8대 목차 검토 | 착공 14일 전 감리 서면 승인</t>
        </is>
      </c>
      <c r="O16" s="123">
        <f>HYPERLINK(LEFT(CELL("filename",A1),FIND("[",CELL("filename",A1))-1)&amp;"매뉴얼BODY(집행단계-첨부폴더)v8\2.사전토공사\15_시공계획서 검토 지원\표준서\시공계획서 검토 지원_표준서.html", "👉 [클릭] 표준서 열기 📄")</f>
        <v/>
      </c>
      <c r="P16" s="123" t="inlineStr">
        <is>
          <t>1) 사전 토공 시공계획서 작성 ➔ 2) 8대 목차 &amp; KCS 수치 명시 ➔ 3) 착공 14일 전 감리단 제출 ➔ 4) 시공계획서 감리 서면 승인</t>
        </is>
      </c>
      <c r="Q16" s="123">
        <f>HYPERLINK(LEFT(CELL("filename",A1),FIND("[",CELL("filename",A1))-1)&amp;"매뉴얼BODY(집행단계-첨부폴더)v8\2.사전토공사\15_시공계획서 검토 지원\수행지침\시공계획서 검토 지원_수행지침.html", "👉 [클릭] 수행지침 열기 📄")</f>
        <v/>
      </c>
      <c r="R16" s="123" t="inlineStr">
        <is>
          <t>사전 토공 시공계획서 표준 8대 목차, KCS 수치 수록 및 착공 14일 전 감리 서면 승인</t>
        </is>
      </c>
      <c r="S16" s="123">
        <f>HYPERLINK(LEFT(CELL("filename",A1),FIND("[",CELL("filename",A1))-1)&amp;"매뉴얼BODY(집행단계-첨부폴더)v8\2.사전토공사\15_시공계획서 검토 지원\체크리스트\시공계획서 검토 지원_체크리스트.html", "👉 [클릭] 체크리스트 열기 📄")</f>
        <v/>
      </c>
      <c r="T16" s="123" t="n"/>
      <c r="U16" s="123" t="inlineStr">
        <is>
          <t>● 품질경영 매뉴얼 기준</t>
        </is>
      </c>
      <c r="V16" s="122" t="inlineStr">
        <is>
          <t>1) 👉 [더블클릭] 체크리스트 열기 📄</t>
        </is>
      </c>
      <c r="W16" s="123" t="n"/>
    </row>
    <row r="17" ht="96" customHeight="1" s="147">
      <c r="A17" s="122" t="inlineStr">
        <is>
          <t>9000</t>
        </is>
      </c>
      <c r="B17" s="122" t="inlineStr">
        <is>
          <t>9000-5</t>
        </is>
      </c>
      <c r="C17" s="122" t="inlineStr">
        <is>
          <t>사전토공사</t>
        </is>
      </c>
      <c r="D17" s="122" t="inlineStr">
        <is>
          <t>9000-5-16</t>
        </is>
      </c>
      <c r="E17" s="122" t="n"/>
      <c r="F17" s="122" t="n"/>
      <c r="G17" s="122" t="inlineStr">
        <is>
          <t>D-30</t>
        </is>
      </c>
      <c r="H17" s="123" t="inlineStr">
        <is>
          <t>시공계획 수립</t>
        </is>
      </c>
      <c r="I17" s="122" t="inlineStr">
        <is>
          <t>현장 공사팀</t>
        </is>
      </c>
      <c r="J17" s="123" t="inlineStr">
        <is>
          <t>KCS 47 10 25 토공 시방 | 깎기/성토 토공 유동표 작성 및 3D BIM 도면 대조 | 책임감리원 최종 승인</t>
        </is>
      </c>
      <c r="K17" s="123" t="inlineStr">
        <is>
          <t>1) 토공 깎기/성토 유동표 작성 ➔ 2) 3D BIM 모델 표고 대조 ➔ 3) 사면 안성성 계산서 부착 ➔ 4) 토공 시공계획서 감리 최종 결재</t>
        </is>
      </c>
      <c r="L17" s="123" t="n"/>
      <c r="M17" s="123" t="inlineStr">
        <is>
          <t>토공 깎기/성토 유동표 작성, 3D BIM 모델 표고 대조 및 사면 안전성 계산서 감리 결재</t>
        </is>
      </c>
      <c r="N17" s="123" t="inlineStr">
        <is>
          <t>KCS 47 10 25 토공 시방 | 깎기/성토 토공 유동표 작성 및 3D BIM 도면 대조 | 책임감리원 최종 승인</t>
        </is>
      </c>
      <c r="O17" s="123">
        <f>HYPERLINK(LEFT(CELL("filename",A1),FIND("[",CELL("filename",A1))-1)&amp;"매뉴얼BODY(집행단계-첨부폴더)v8\2.사전토공사\16_시공계획 수립\표준서\설계변경 (착수전)_표준서.html", "👉 [클릭] 표준서 열기 📄")</f>
        <v/>
      </c>
      <c r="P17" s="123" t="inlineStr">
        <is>
          <t>1) 토공 깎기/성토 유동표 작성 ➔ 2) 3D BIM 모델 표고 대조 ➔ 3) 사면 안성성 계산서 부착 ➔ 4) 토공 시공계획서 감리 최종 결재</t>
        </is>
      </c>
      <c r="Q17" s="123">
        <f>HYPERLINK(LEFT(CELL("filename",A1),FIND("[",CELL("filename",A1))-1)&amp;"매뉴얼BODY(집행단계-첨부폴더)v8\2.사전토공사\16_시공계획 수립\수행지침\설계변경 (착수전)_수행지침.html", "👉 [클릭] 수행지침 열기 📄")</f>
        <v/>
      </c>
      <c r="R17" s="123" t="inlineStr">
        <is>
          <t>토공 깎기/성토 유동표 작성, 3D BIM 모델 표고 대조 및 사면 안전성 계산서 감리 결재</t>
        </is>
      </c>
      <c r="S17" s="123">
        <f>HYPERLINK(LEFT(CELL("filename",A1),FIND("[",CELL("filename",A1))-1)&amp;"매뉴얼BODY(집행단계-첨부폴더)v8\2.사전토공사\16_시공계획 수립\체크리스트\설계변경 (착수전)_체크리스트.html", "👉 [클릭] 체크리스트 열기 📄")</f>
        <v/>
      </c>
      <c r="T17" s="123" t="n"/>
      <c r="U17" s="123" t="inlineStr">
        <is>
          <t>● 토공사 표준시방서 준수</t>
        </is>
      </c>
      <c r="V17" s="122" t="inlineStr">
        <is>
          <t>1) 👉 [더블클릭] 체크리스트 열기 📄</t>
        </is>
      </c>
      <c r="W17" s="123" t="n"/>
    </row>
    <row r="18" ht="96" customHeight="1" s="147">
      <c r="A18" s="122" t="inlineStr">
        <is>
          <t>9000</t>
        </is>
      </c>
      <c r="B18" s="122" t="inlineStr">
        <is>
          <t>9000-5</t>
        </is>
      </c>
      <c r="C18" s="122" t="inlineStr">
        <is>
          <t>사전토공사</t>
        </is>
      </c>
      <c r="D18" s="122" t="inlineStr">
        <is>
          <t>9000-5-17</t>
        </is>
      </c>
      <c r="E18" s="122" t="n"/>
      <c r="F18" s="122" t="n"/>
      <c r="G18" s="122" t="inlineStr">
        <is>
          <t>D-30</t>
        </is>
      </c>
      <c r="H18" s="123" t="inlineStr">
        <is>
          <t>후행공종 요구조건 반영 설계변경 검토</t>
        </is>
      </c>
      <c r="I18" s="122" t="inlineStr">
        <is>
          <t>현장 공무팀/공사팀</t>
        </is>
      </c>
      <c r="J18" s="123" t="inlineStr">
        <is>
          <t>건진법 설계변경 수칙 | 궤도/구조물 후행 공종 요구 표고 오차(±10mm) 반영 | 설계변경 실정보고서 작성</t>
        </is>
      </c>
      <c r="K18" s="123" t="inlineStr">
        <is>
          <t>1) 궤도/구조물 후행 요구 조건 수집 ➔ 2) 마무리면 표고 오차(±10mm) 반영 ➔ 3) 설계변경 실정보고서 작성 ➔ 4) 책임감리원 기술 승인</t>
        </is>
      </c>
      <c r="L18" s="123" t="n"/>
      <c r="M18" s="123" t="inlineStr">
        <is>
          <t>궤도/구조물 후행 요구 조건 반영, 마무리면 표고 오차(±10mm) 반영 및 설계변경 실정보고</t>
        </is>
      </c>
      <c r="N18" s="123" t="inlineStr">
        <is>
          <t>건진법 설계변경 수칙 | 궤도/구조물 후행 공종 요구 표고 오차(±10mm) 반영 | 설계변경 실정보고서 작성</t>
        </is>
      </c>
      <c r="O18" s="123">
        <f>HYPERLINK(LEFT(CELL("filename",A1),FIND("[",CELL("filename",A1))-1)&amp;"매뉴얼BODY(집행단계-첨부폴더)v8\2.사전토공사\17_후행공종 요구조건 반영 설계변경 검토\표준서\후행공종 요구조건 반영 설계변경 검토_표준서.html", "👉 [클릭] 표준서 열기 📄")</f>
        <v/>
      </c>
      <c r="P18" s="123" t="inlineStr">
        <is>
          <t>1) 궤도/구조물 후행 요구 조건 수집 ➔ 2) 마무리면 표고 오차(±10mm) 반영 ➔ 3) 설계변경 실정보고서 작성 ➔ 4) 책임감리원 기술 승인</t>
        </is>
      </c>
      <c r="Q18" s="123">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123" t="inlineStr">
        <is>
          <t>궤도/구조물 후행 요구 조건 반영, 마무리면 표고 오차(±10mm) 반영 및 설계변경 실정보고</t>
        </is>
      </c>
      <c r="S18" s="123">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123" t="n"/>
      <c r="U18" s="123" t="inlineStr">
        <is>
          <t>● 인터페이스 조건 만족</t>
        </is>
      </c>
      <c r="V18" s="122" t="inlineStr">
        <is>
          <t>1) 👉 [더블클릭] 체크리스트 열기 📄</t>
        </is>
      </c>
      <c r="W18" s="123" t="n"/>
    </row>
    <row r="19" ht="96" customHeight="1" s="147">
      <c r="A19" s="122" t="inlineStr">
        <is>
          <t>9000</t>
        </is>
      </c>
      <c r="B19" s="122" t="inlineStr">
        <is>
          <t>9000-5</t>
        </is>
      </c>
      <c r="C19" s="122" t="inlineStr">
        <is>
          <t>사전토공사</t>
        </is>
      </c>
      <c r="D19" s="122" t="inlineStr">
        <is>
          <t>9000-5-18</t>
        </is>
      </c>
      <c r="E19" s="122" t="n"/>
      <c r="F19" s="122" t="n"/>
      <c r="G19" s="122" t="inlineStr">
        <is>
          <t>D-30</t>
        </is>
      </c>
      <c r="H19" s="123" t="inlineStr">
        <is>
          <t>설계변경 (착수전)</t>
        </is>
      </c>
      <c r="I19" s="122" t="inlineStr">
        <is>
          <t>현장 공무팀/공사팀</t>
        </is>
      </c>
      <c r="J19" s="123" t="inlineStr">
        <is>
          <t>지방계약법 정산 수칙 | 착수 전 토종 변경 및 수량 증감 실정보고 작성 | 총사업비 변경 승인 수속</t>
        </is>
      </c>
      <c r="K19" s="123" t="inlineStr">
        <is>
          <t>1) 토질 변경 &amp; 수량 증감 실정보고 작성 ➔ 2) 단가 비교표 작성 ➔ 3) 설계변경 도서 제출 ➔ 4) 총사업비 변경 승인 결재</t>
        </is>
      </c>
      <c r="L19" s="123" t="n"/>
      <c r="M19" s="123" t="inlineStr">
        <is>
          <t>토질 변경 &amp; 수량 증감 실정보고서 작성, 단가 비교표 작성 및 총사업비 변경 승인 결재</t>
        </is>
      </c>
      <c r="N19" s="123" t="inlineStr">
        <is>
          <t>지방계약법 정산 수칙 | 착수 전 토종 변경 및 수량 증감 실정보고 작성 | 총사업비 변경 승인 수속</t>
        </is>
      </c>
      <c r="O19" s="123">
        <f>HYPERLINK(LEFT(CELL("filename",A1),FIND("[",CELL("filename",A1))-1)&amp;"매뉴얼BODY(집행단계-첨부폴더)v8\2.사전토공사\18_설계변경 (착수전)\표준서\설계변경 (착수전)_표준서.html", "👉 [클릭] 표준서 열기 📄")</f>
        <v/>
      </c>
      <c r="P19" s="123" t="inlineStr">
        <is>
          <t>1) 토질 변경 &amp; 수량 증감 실정보고 작성 ➔ 2) 단가 비교표 작성 ➔ 3) 설계변경 도서 제출 ➔ 4) 총사업비 변경 승인 결재</t>
        </is>
      </c>
      <c r="Q19" s="123">
        <f>HYPERLINK(LEFT(CELL("filename",A1),FIND("[",CELL("filename",A1))-1)&amp;"매뉴얼BODY(집행단계-첨부폴더)v8\2.사전토공사\18_설계변경 (착수전)\수행지침\설계변경 (착수전)_수행지침.html", "👉 [클릭] 수행지침 열기 📄")</f>
        <v/>
      </c>
      <c r="R19" s="123" t="inlineStr">
        <is>
          <t>토질 변경 &amp; 수량 증감 실정보고서 작성, 단가 비교표 작성 및 총사업비 변경 승인 결재</t>
        </is>
      </c>
      <c r="S19" s="123">
        <f>HYPERLINK(LEFT(CELL("filename",A1),FIND("[",CELL("filename",A1))-1)&amp;"매뉴얼BODY(집행단계-첨부폴더)v8\2.사전토공사\18_설계변경 (착수전)\체크리스트\설계변경 (착수전)_체크리스트.html", "👉 [클릭] 체크리스트 열기 📄")</f>
        <v/>
      </c>
      <c r="T19" s="123" t="n"/>
      <c r="U19" s="123" t="inlineStr">
        <is>
          <t>● 설계변경 절차 규정 준수</t>
        </is>
      </c>
      <c r="V19" s="122" t="inlineStr">
        <is>
          <t>1) 👉 [더블클릭] 체크리스트 열기 📄</t>
        </is>
      </c>
      <c r="W19" s="123" t="n"/>
    </row>
    <row r="20" ht="96" customHeight="1" s="147">
      <c r="A20" s="122" t="inlineStr">
        <is>
          <t>9000</t>
        </is>
      </c>
      <c r="B20" s="122" t="inlineStr">
        <is>
          <t>9000-5</t>
        </is>
      </c>
      <c r="C20" s="122" t="inlineStr">
        <is>
          <t>사전토공사</t>
        </is>
      </c>
      <c r="D20" s="122" t="inlineStr">
        <is>
          <t>9000-5-19</t>
        </is>
      </c>
      <c r="E20" s="122" t="n"/>
      <c r="F20" s="122" t="n"/>
      <c r="G20" s="122" t="inlineStr">
        <is>
          <t>D-30</t>
        </is>
      </c>
      <c r="H20" s="123" t="inlineStr">
        <is>
          <t>설계변경 지원</t>
        </is>
      </c>
      <c r="I20" s="122" t="inlineStr">
        <is>
          <t>토목수행팀</t>
        </is>
      </c>
      <c r="J20" s="123" t="inlineStr">
        <is>
          <t>건진법 설계변경 규정 | 수량 산출서 및 단가 비교표 작성 | 책임감리원 기술 검토 의견서 첨부</t>
        </is>
      </c>
      <c r="K20" s="123" t="inlineStr">
        <is>
          <t>1) 변경 수량 산출서 정밀 집계 ➔ 2) 신규 단가 산정 서류 부착 ➔ 3) 감리단 기술 검토 수속 ➔ 4) 설계변경 제출 서면 결재</t>
        </is>
      </c>
      <c r="L20" s="123" t="n"/>
      <c r="M20" s="123" t="inlineStr">
        <is>
          <t>변경 수량 산출서 정밀 집계, 신규 단가 산정 서류 첨부 및 책임감리원 기술 검토 수속</t>
        </is>
      </c>
      <c r="N20" s="123" t="inlineStr">
        <is>
          <t>건진법 설계변경 규정 | 수량 산출서 및 단가 비교표 작성 | 책임감리원 기술 검토 의견서 첨부</t>
        </is>
      </c>
      <c r="O20" s="123">
        <f>HYPERLINK(LEFT(CELL("filename",A1),FIND("[",CELL("filename",A1))-1)&amp;"매뉴얼BODY(집행단계-첨부폴더)v8\2.사전토공사\18_설계변경_착수전\표준서\후행공종 요구조건 반영 설계변경 검토_표준서.html", "👉 [클릭] 표준서 열기 📄")</f>
        <v/>
      </c>
      <c r="P20" s="123" t="inlineStr">
        <is>
          <t>1) 변경 수량 산출서 정밀 집계 ➔ 2) 신규 단가 산정 서류 부착 ➔ 3) 감리단 기술 검토 수속 ➔ 4) 설계변경 제출 서면 결재</t>
        </is>
      </c>
      <c r="Q20" s="123">
        <f>HYPERLINK(LEFT(CELL("filename",A1),FIND("[",CELL("filename",A1))-1)&amp;"매뉴얼BODY(집행단계-첨부폴더)v8\2.사전토공사\18_설계변경_착수전\수행지침\후행공종 요구조건 반영 설계변경 검토_수행지침.html", "👉 [클릭] 수행지침 열기 📄")</f>
        <v/>
      </c>
      <c r="R20" s="123" t="inlineStr">
        <is>
          <t>변경 수량 산출서 정밀 집계, 신규 단가 산정 서류 첨부 및 책임감리원 기술 검토 수속</t>
        </is>
      </c>
      <c r="S20" s="123">
        <f>HYPERLINK(LEFT(CELL("filename",A1),FIND("[",CELL("filename",A1))-1)&amp;"매뉴얼BODY(집행단계-첨부폴더)v8\2.사전토공사\18_설계변경_착수전\체크리스트\후행공종 요구조건 반영 설계변경 검토_체크리스트.html", "👉 [클릭] 체크리스트 열기 📄")</f>
        <v/>
      </c>
      <c r="T20" s="123" t="n"/>
      <c r="U20" s="123" t="inlineStr">
        <is>
          <t>● 기술 검증 규격 확인</t>
        </is>
      </c>
      <c r="V20" s="122" t="inlineStr">
        <is>
          <t>1) 👉 [더블클릭] 체크리스트 열기 📄</t>
        </is>
      </c>
      <c r="W20" s="123" t="n"/>
    </row>
    <row r="21" ht="96" customHeight="1" s="147">
      <c r="A21" s="122" t="inlineStr">
        <is>
          <t>9000</t>
        </is>
      </c>
      <c r="B21" s="122" t="inlineStr">
        <is>
          <t>9000-5</t>
        </is>
      </c>
      <c r="C21" s="122" t="inlineStr">
        <is>
          <t>사전토공사</t>
        </is>
      </c>
      <c r="D21" s="122" t="inlineStr">
        <is>
          <t>9000-5-20</t>
        </is>
      </c>
      <c r="E21" s="122" t="n"/>
      <c r="F21" s="122" t="n"/>
      <c r="G21" s="122" t="inlineStr">
        <is>
          <t>D-20</t>
        </is>
      </c>
      <c r="H21" s="123" t="inlineStr">
        <is>
          <t>교통관리 및 교통안전시설 설치</t>
        </is>
      </c>
      <c r="I21" s="122" t="inlineStr">
        <is>
          <t>현장 공사팀</t>
        </is>
      </c>
      <c r="J21" s="123" t="inlineStr">
        <is>
          <t>도로교통법 안전 수칙 | 게이트 바리케이트, 야간 LED 경광등 부설 | 전담 안전 신호수(2인 2조) 100% 배치</t>
        </is>
      </c>
      <c r="K21" s="123" t="inlineStr">
        <is>
          <t>1) 게이트 바리케이트 &amp; 경광등 부설 ➔ 2) 우회 차선 표지판 설치 ➔ 3) 전담 신호수(2인 2조) 배치 ➔ 4) 교통 안전 점검 대장 결재</t>
        </is>
      </c>
      <c r="L21" s="123" t="n"/>
      <c r="M21" s="123" t="inlineStr">
        <is>
          <t>게이트 바리케이트/LED 경광등 설치, 우회 차선 표지판 검측 및 전담 신호수(2인 2조) 배치</t>
        </is>
      </c>
      <c r="N21" s="123" t="inlineStr">
        <is>
          <t>도로교통법 안전 수칙 | 게이트 바리케이트, 야간 LED 경광등 부설 | 전담 안전 신호수(2인 2조) 100% 배치</t>
        </is>
      </c>
      <c r="O21" s="123">
        <f>HYPERLINK(LEFT(CELL("filename",A1),FIND("[",CELL("filename",A1))-1)&amp;"매뉴얼BODY(집행단계-첨부폴더)v8\2.사전토공사\19_설계변경 지원\표준서\설계변경 지원_표준서.html", "👉 [클릭] 표준서 열기 📄")</f>
        <v/>
      </c>
      <c r="P21" s="123" t="inlineStr">
        <is>
          <t>1) 게이트 바리케이트 &amp; 경광등 부설 ➔ 2) 우회 차선 표지판 설치 ➔ 3) 전담 신호수(2인 2조) 배치 ➔ 4) 교통 안전 점검 대장 결재</t>
        </is>
      </c>
      <c r="Q21" s="123">
        <f>HYPERLINK(LEFT(CELL("filename",A1),FIND("[",CELL("filename",A1))-1)&amp;"매뉴얼BODY(집행단계-첨부폴더)v8\2.사전토공사\19_설계변경 지원\수행지침\설계변경 지원_수행지침.html", "👉 [클릭] 수행지침 열기 📄")</f>
        <v/>
      </c>
      <c r="R21" s="123" t="inlineStr">
        <is>
          <t>게이트 바리케이트/LED 경광등 설치, 우회 차선 표지판 검측 및 전담 신호수(2인 2조) 배치</t>
        </is>
      </c>
      <c r="S21" s="123">
        <f>HYPERLINK(LEFT(CELL("filename",A1),FIND("[",CELL("filename",A1))-1)&amp;"매뉴얼BODY(집행단계-첨부폴더)v8\2.사전토공사\19_설계변경 지원\체크리스트\설계변경 지원_체크리스트.html", "👉 [클릭] 체크리스트 열기 📄")</f>
        <v/>
      </c>
      <c r="T21" s="123" t="n"/>
      <c r="U21" s="123" t="inlineStr">
        <is>
          <t>● 경찰청 협의사항 및 교통안전시설 설치기준 준수</t>
        </is>
      </c>
      <c r="V21" s="122" t="inlineStr">
        <is>
          <t>1) 👉 [더블클릭] 체크리스트 열기 📄</t>
        </is>
      </c>
      <c r="W21" s="123" t="n"/>
    </row>
    <row r="22" ht="96" customHeight="1" s="147">
      <c r="A22" s="122" t="inlineStr">
        <is>
          <t>9000</t>
        </is>
      </c>
      <c r="B22" s="122" t="inlineStr">
        <is>
          <t>9000-5</t>
        </is>
      </c>
      <c r="C22" s="122" t="inlineStr">
        <is>
          <t>사전토공사</t>
        </is>
      </c>
      <c r="D22" s="122" t="inlineStr">
        <is>
          <t>9000-5-21</t>
        </is>
      </c>
      <c r="E22" s="122" t="n"/>
      <c r="F22" s="122" t="n"/>
      <c r="G22" s="122" t="inlineStr">
        <is>
          <t>D-10</t>
        </is>
      </c>
      <c r="H22" s="123" t="inlineStr">
        <is>
          <t>장비 검수 지원</t>
        </is>
      </c>
      <c r="I22" s="122" t="inlineStr">
        <is>
          <t>기술안전팀</t>
        </is>
      </c>
      <c r="J22" s="123" t="inlineStr">
        <is>
          <t>건설기계관리법 제13조 | 자중 10t+ 굴착기, 덤프 정기검사증 검수 | 후방 센서 점검 및 반입 허가</t>
        </is>
      </c>
      <c r="K22" s="123" t="inlineStr">
        <is>
          <t>1) 10t+ 굴착기/덤프 사양 검수 ➔ 2) 건설기계 정기검사증 점검 ➔ 3) 후방 카메라/경보음 시동 점검 ➔ 4) 장비 반입 승인서 감리 결재</t>
        </is>
      </c>
      <c r="L22" s="123" t="n"/>
      <c r="M22" s="123" t="inlineStr">
        <is>
          <t>자중 10t+ 굴착기/덤프 정기검사증, 후방 카메라/경보음 시동 점검 및 반입 허가 결재</t>
        </is>
      </c>
      <c r="N22" s="123" t="inlineStr">
        <is>
          <t>건설기계관리법 제13조 | 자중 10t+ 굴착기, 덤프 정기검사증 검수 | 후방 센서 점검 및 반입 허가</t>
        </is>
      </c>
      <c r="O22" s="123">
        <f>HYPERLINK(LEFT(CELL("filename",A1),FIND("[",CELL("filename",A1))-1)&amp;"매뉴얼BODY(집행단계-첨부폴더)v8\2.사전토공사\20_교통관리 및 교통안전시설 설치\표준서\교통관리 및 교통안전시설 설치_표준서.html", "👉 [클릭] 표준서 열기 📄")</f>
        <v/>
      </c>
      <c r="P22" s="123" t="inlineStr">
        <is>
          <t>1) 10t+ 굴착기/덤프 사양 검수 ➔ 2) 건설기계 정기검사증 점검 ➔ 3) 후방 카메라/경보음 시동 점검 ➔ 4) 장비 반입 승인서 감리 결재</t>
        </is>
      </c>
      <c r="Q22" s="123">
        <f>HYPERLINK(LEFT(CELL("filename",A1),FIND("[",CELL("filename",A1))-1)&amp;"매뉴얼BODY(집행단계-첨부폴더)v8\2.사전토공사\20_교통관리 및 교통안전시설 설치\수행지침\교통관리 및 교통안전시설 설치_수행지침.html", "👉 [클릭] 수행지침 열기 📄")</f>
        <v/>
      </c>
      <c r="R22" s="123" t="inlineStr">
        <is>
          <t>자중 10t+ 굴착기/덤프 정기검사증, 후방 카메라/경보음 시동 점검 및 반입 허가 결재</t>
        </is>
      </c>
      <c r="S22" s="123">
        <f>HYPERLINK(LEFT(CELL("filename",A1),FIND("[",CELL("filename",A1))-1)&amp;"매뉴얼BODY(집행단계-첨부폴더)v8\2.사전토공사\20_교통관리 및 교통안전시설 설치\체크리스트\교통관리 및 교통안전시설 설치_체크리스트.html", "👉 [클릭] 체크리스트 열기 📄")</f>
        <v/>
      </c>
      <c r="T22" s="123" t="n"/>
      <c r="U22" s="123" t="inlineStr">
        <is>
          <t>● 산업안전보건법 및 건설기계관리법 준수</t>
        </is>
      </c>
      <c r="V22" s="122" t="inlineStr">
        <is>
          <t>1) 👉 [더블클릭] 체크리스트 열기 📄</t>
        </is>
      </c>
      <c r="W22" s="123" t="n"/>
    </row>
    <row r="23" ht="96" customHeight="1" s="147">
      <c r="A23" s="122" t="inlineStr">
        <is>
          <t>9000</t>
        </is>
      </c>
      <c r="B23" s="122" t="inlineStr">
        <is>
          <t>9000-5</t>
        </is>
      </c>
      <c r="C23" s="122" t="inlineStr">
        <is>
          <t>사전토공사</t>
        </is>
      </c>
      <c r="D23" s="122" t="inlineStr">
        <is>
          <t>9000-5-22</t>
        </is>
      </c>
      <c r="E23" s="122" t="n"/>
      <c r="F23" s="122" t="n"/>
      <c r="G23" s="122" t="inlineStr">
        <is>
          <t>D+10~30</t>
        </is>
      </c>
      <c r="H23" s="123" t="inlineStr">
        <is>
          <t>벌목/벌근제거</t>
        </is>
      </c>
      <c r="I23" s="122" t="inlineStr">
        <is>
          <t>현장 공사팀</t>
        </is>
      </c>
      <c r="J23" s="123" t="inlineStr">
        <is>
          <t>KCS 47 10 25 산림 벌목 시방 | 수목 벌목 및 뿌리 제거(벌근) 깊이 30cm 이상 | 임목 폐기물 수속 처리</t>
        </is>
      </c>
      <c r="K23" s="123" t="inlineStr">
        <is>
          <t>1) 현장 지반 수목 벌목 시행 ➔ 2) 뿌리 제거(벌근) 깊이 30cm 굴착 ➔ 3) 임목 폐기물 수속 처리 ➔ 4) 벌목 벌근 성과표 감리 승인</t>
        </is>
      </c>
      <c r="L23" s="123" t="n"/>
      <c r="M23" s="123" t="inlineStr">
        <is>
          <t>현장 수목 벌목 시행, 뿌리 제거(벌근) 깊이 30cm 이상 굴착 및 임목 폐기물 수속 처리</t>
        </is>
      </c>
      <c r="N23" s="123" t="inlineStr">
        <is>
          <t>KCS 47 10 25 산림 벌목 시방 | 수목 벌목 및 뿌리 제거(벌근) 깊이 30cm 이상 | 임목 폐기물 수속 처리</t>
        </is>
      </c>
      <c r="O23" s="123">
        <f>HYPERLINK(LEFT(CELL("filename",A1),FIND("[",CELL("filename",A1))-1)&amp;"매뉴얼BODY(집행단계-첨부폴더)v8\2.사전토공사\21_장비 검수 지원\표준서\장비 검수 지원_표준서.html", "👉 [클릭] 표준서 열기 📄")</f>
        <v/>
      </c>
      <c r="P23" s="123" t="inlineStr">
        <is>
          <t>1) 현장 지반 수목 벌목 시행 ➔ 2) 뿌리 제거(벌근) 깊이 30cm 굴착 ➔ 3) 임목 폐기물 수속 처리 ➔ 4) 벌목 벌근 성과표 감리 승인</t>
        </is>
      </c>
      <c r="Q23" s="123">
        <f>HYPERLINK(LEFT(CELL("filename",A1),FIND("[",CELL("filename",A1))-1)&amp;"매뉴얼BODY(집행단계-첨부폴더)v8\2.사전토공사\21_장비 검수 지원\수행지침\장비 검수 지원_수행지침.html", "👉 [클릭] 수행지침 열기 📄")</f>
        <v/>
      </c>
      <c r="R23" s="123" t="inlineStr">
        <is>
          <t>현장 수목 벌목 시행, 뿌리 제거(벌근) 깊이 30cm 이상 굴착 및 임목 폐기물 수속 처리</t>
        </is>
      </c>
      <c r="S23" s="123">
        <f>HYPERLINK(LEFT(CELL("filename",A1),FIND("[",CELL("filename",A1))-1)&amp;"매뉴얼BODY(집행단계-첨부폴더)v8\2.사전토공사\21_장비 검수 지원\체크리스트\장비 검수 지원_체크리스트.html", "👉 [클릭] 체크리스트 열기 📄")</f>
        <v/>
      </c>
      <c r="T23" s="123" t="n"/>
      <c r="U23" s="123" t="inlineStr">
        <is>
          <t>● 산림자원법 및 환경 기준 준수</t>
        </is>
      </c>
      <c r="V23" s="122" t="inlineStr">
        <is>
          <t>1) 👉 [더블클릭] 체크리스트 열기 📄</t>
        </is>
      </c>
      <c r="W23" s="123" t="n"/>
    </row>
    <row r="24" ht="96" customHeight="1" s="147">
      <c r="A24" s="122" t="inlineStr">
        <is>
          <t>9000</t>
        </is>
      </c>
      <c r="B24" s="122" t="inlineStr">
        <is>
          <t>9000-5</t>
        </is>
      </c>
      <c r="C24" s="122" t="inlineStr">
        <is>
          <t>사전토공사</t>
        </is>
      </c>
      <c r="D24" s="122" t="inlineStr">
        <is>
          <t>9000-5-23</t>
        </is>
      </c>
      <c r="E24" s="122" t="n"/>
      <c r="F24" s="122" t="n"/>
      <c r="G24" s="122" t="inlineStr">
        <is>
          <t>D+10~25</t>
        </is>
      </c>
      <c r="H24" s="123" t="inlineStr">
        <is>
          <t>기존구조물 / 지장물 처리</t>
        </is>
      </c>
      <c r="I24" s="122" t="inlineStr">
        <is>
          <t>현장 공사팀 / 공무팀</t>
        </is>
      </c>
      <c r="J24" s="123" t="inlineStr">
        <is>
          <t>폐기물관리법 준수 | 기존 아스콘/콘크리트 구조물 안전 삭평 철거 | 건설 폐기물 성적표 수속</t>
        </is>
      </c>
      <c r="K24" s="123" t="inlineStr">
        <is>
          <t>1) 기존 아스콘/콘크리트 삭평 철거 ➔ 2) 폐기물 분리 수거 &amp; 적재 ➔ 3) 건설 폐기물 위탁 처리 ➔ 4) 지장물 처리 성과표 감리 승인</t>
        </is>
      </c>
      <c r="L24" s="123" t="n"/>
      <c r="M24" s="123" t="inlineStr">
        <is>
          <t>기존 아스콘/콘크리트 삭평 철거, 건설 폐기물 분리 수거 적재 및 폐기물 성적서 수속</t>
        </is>
      </c>
      <c r="N24" s="123" t="inlineStr">
        <is>
          <t>폐기물관리법 준수 | 기존 아스콘/콘크리트 구조물 안전 삭평 철거 | 건설 폐기물 성적표 수속</t>
        </is>
      </c>
      <c r="O24" s="123">
        <f>HYPERLINK(LEFT(CELL("filename",A1),FIND("[",CELL("filename",A1))-1)&amp;"매뉴얼BODY(집행단계-첨부폴더)v8\2.사전토공사\22_벌목_벌근제거\표준서\벌목_벌근제거_표준서.html", "👉 [클릭] 표준서 열기 📄")</f>
        <v/>
      </c>
      <c r="P24" s="123" t="inlineStr">
        <is>
          <t>1) 기존 아스콘/콘크리트 삭평 철거 ➔ 2) 폐기물 분리 수거 &amp; 적재 ➔ 3) 건설 폐기물 위탁 처리 ➔ 4) 지장물 처리 성과표 감리 승인</t>
        </is>
      </c>
      <c r="Q24" s="123">
        <f>HYPERLINK(LEFT(CELL("filename",A1),FIND("[",CELL("filename",A1))-1)&amp;"매뉴얼BODY(집행단계-첨부폴더)v8\2.사전토공사\22_벌목_벌근제거\수행지침\벌목_벌근제거_수행지침.html", "👉 [클릭] 수행지침 열기 📄")</f>
        <v/>
      </c>
      <c r="R24" s="123" t="inlineStr">
        <is>
          <t>기존 아스콘/콘크리트 삭평 철거, 건설 폐기물 분리 수거 적재 및 폐기물 성적서 수속</t>
        </is>
      </c>
      <c r="S24" s="123">
        <f>HYPERLINK(LEFT(CELL("filename",A1),FIND("[",CELL("filename",A1))-1)&amp;"매뉴얼BODY(집행단계-첨부폴더)v8\2.사전토공사\22_벌목_벌근제거\체크리스트\벌목_벌근제거_체크리스트.html", "👉 [클릭] 체크리스트 열기 📄")</f>
        <v/>
      </c>
      <c r="T24" s="123" t="n"/>
      <c r="U24" s="123" t="inlineStr">
        <is>
          <t>● 지장물 이설 및 철거 규정 준수</t>
        </is>
      </c>
      <c r="V24" s="122" t="inlineStr">
        <is>
          <t>1) 👉 [더블클릭] 체크리스트 열기 📄</t>
        </is>
      </c>
      <c r="W24" s="123" t="n"/>
    </row>
    <row r="25" ht="96" customHeight="1" s="147">
      <c r="A25" s="122" t="inlineStr">
        <is>
          <t>9000</t>
        </is>
      </c>
      <c r="B25" s="122" t="inlineStr">
        <is>
          <t>9000-5</t>
        </is>
      </c>
      <c r="C25" s="122" t="inlineStr">
        <is>
          <t>사전토공사</t>
        </is>
      </c>
      <c r="D25" s="122" t="inlineStr">
        <is>
          <t>9000-5-24</t>
        </is>
      </c>
      <c r="E25" s="122" t="n"/>
      <c r="F25" s="122" t="n"/>
      <c r="G25" s="122" t="inlineStr">
        <is>
          <t>D+10~30</t>
        </is>
      </c>
      <c r="H25" s="123" t="inlineStr">
        <is>
          <t>진입로 조성</t>
        </is>
      </c>
      <c r="I25" s="122" t="inlineStr">
        <is>
          <t>현장 공사팀</t>
        </is>
      </c>
      <c r="J25" s="123" t="inlineStr">
        <is>
          <t>KCS 47 10 25 가설 도로 | 덤프트럭 진입 가설 도로 폭 6m 포설 | 쇄석 골재(두께 20cm) 부설 &amp; 살수</t>
        </is>
      </c>
      <c r="K25" s="123" t="inlineStr">
        <is>
          <t>1) 가설 도로 폭 6m 성토 굴착 ➔ 2) 쇄석 골재(두께 20cm) 부설 ➔ 3) 10t 롤러 다짐 &amp; 살수 ➔ 4) 진입로 조성 성과표 감리 승인</t>
        </is>
      </c>
      <c r="L25" s="123" t="n"/>
      <c r="M25" s="123" t="inlineStr">
        <is>
          <t>가설 도로 폭 6m 성토 굴착, 쇄석 골재(두께 20cm) 부설, 10t 롤러 다짐 및 살수 점검</t>
        </is>
      </c>
      <c r="N25" s="123" t="inlineStr">
        <is>
          <t>KCS 47 10 25 가설 도로 | 덤프트럭 진입 가설 도로 폭 6m 포설 | 쇄석 골재(두께 20cm) 부설 &amp; 살수</t>
        </is>
      </c>
      <c r="O25" s="123">
        <f>HYPERLINK(LEFT(CELL("filename",A1),FIND("[",CELL("filename",A1))-1)&amp;"매뉴얼BODY(집행단계-첨부폴더)v8\2.사전토공사\23_기존구조물 _ 지장물 처리\표준서\기존구조물 _ 지장물 처리_표준서.html", "👉 [클릭] 표준서 열기 📄")</f>
        <v/>
      </c>
      <c r="P25" s="123" t="inlineStr">
        <is>
          <t>1) 가설 도로 폭 6m 성토 굴착 ➔ 2) 쇄석 골재(두께 20cm) 부설 ➔ 3) 10t 롤러 다짐 &amp; 살수 ➔ 4) 진입로 조성 성과표 감리 승인</t>
        </is>
      </c>
      <c r="Q25" s="123">
        <f>HYPERLINK(LEFT(CELL("filename",A1),FIND("[",CELL("filename",A1))-1)&amp;"매뉴얼BODY(집행단계-첨부폴더)v8\2.사전토공사\23_기존구조물 _ 지장물 처리\수행지침\기존구조물 _ 지장물 처리_수행지침.html", "👉 [클릭] 수행지침 열기 📄")</f>
        <v/>
      </c>
      <c r="R25" s="123" t="inlineStr">
        <is>
          <t>가설 도로 폭 6m 성토 굴착, 쇄석 골재(두께 20cm) 부설, 10t 롤러 다짐 및 살수 점검</t>
        </is>
      </c>
      <c r="S25" s="123">
        <f>HYPERLINK(LEFT(CELL("filename",A1),FIND("[",CELL("filename",A1))-1)&amp;"매뉴얼BODY(집행단계-첨부폴더)v8\2.사전토공사\23_기존구조물 _ 지장물 처리\체크리스트\기존구조물 _ 지장물 처리_체크리스트.html", "👉 [클릭] 체크리스트 열기 📄")</f>
        <v/>
      </c>
      <c r="T25" s="123" t="n"/>
      <c r="U25" s="123" t="inlineStr">
        <is>
          <t>● 진입로 종단구배 및 가로 폭 규격 만족</t>
        </is>
      </c>
      <c r="V25" s="122" t="inlineStr">
        <is>
          <t>1) 👉 [더블클릭] 체크리스트 열기 📄</t>
        </is>
      </c>
      <c r="W25" s="123" t="n"/>
    </row>
    <row r="26" ht="96" customHeight="1" s="147">
      <c r="A26" s="122" t="inlineStr">
        <is>
          <t>9000</t>
        </is>
      </c>
      <c r="B26" s="122" t="inlineStr">
        <is>
          <t>9000-5</t>
        </is>
      </c>
      <c r="C26" s="122" t="inlineStr">
        <is>
          <t>사전토공사</t>
        </is>
      </c>
      <c r="D26" s="122" t="inlineStr">
        <is>
          <t>9000-5-25</t>
        </is>
      </c>
      <c r="E26" s="122" t="n"/>
      <c r="F26" s="122" t="n"/>
      <c r="G26" s="122" t="inlineStr">
        <is>
          <t>D+10~30</t>
        </is>
      </c>
      <c r="H26" s="123" t="inlineStr">
        <is>
          <t>배수/환경시설 설치</t>
        </is>
      </c>
      <c r="I26" s="122" t="inlineStr">
        <is>
          <t>현장 공사팀</t>
        </is>
      </c>
      <c r="J26" s="123" t="inlineStr">
        <is>
          <t>KCS 47 10 25 배수 시방 | 가배수로(0.6×0.6m) &amp; 가침사지 설치 | 세륜기(깊이 1.2m) 가동 및 배수 검측</t>
        </is>
      </c>
      <c r="K26" s="123" t="inlineStr">
        <is>
          <t>1) 가배수로(0.6×0.6m) &amp; 가침사지 터파기 ➔ 2) 세륜기(깊이 1.2m) 부설 ➔ 3) 양수 펌프 비치 ➔ 4) 배수 환경 시설 감리 서면 승인</t>
        </is>
      </c>
      <c r="L26" s="123" t="n"/>
      <c r="M26" s="123" t="inlineStr">
        <is>
          <t>가배수로(0.6×0.6m) &amp; 가침사지 설치, 세륜기(깊이 1.2m) 가동 및 수중 양수 펌프 비치</t>
        </is>
      </c>
      <c r="N26" s="123" t="inlineStr">
        <is>
          <t>KCS 47 10 25 배수 시방 | 가배수로(0.6×0.6m) &amp; 가침사지 설치 | 세륜기(깊이 1.2m) 가동 및 배수 검측</t>
        </is>
      </c>
      <c r="O26" s="123">
        <f>HYPERLINK(LEFT(CELL("filename",A1),FIND("[",CELL("filename",A1))-1)&amp;"매뉴얼BODY(집행단계-첨부폴더)v8\2.사전토공사\23_기존구조물_지장물 처리\표준서\기존구조물 _ 지장물 처리_표준서.html", "👉 [클릭] 표준서 열기 📄")</f>
        <v/>
      </c>
      <c r="P26" s="123" t="inlineStr">
        <is>
          <t>1) 가배수로(0.6×0.6m) &amp; 가침사지 터파기 ➔ 2) 세륜기(깊이 1.2m) 부설 ➔ 3) 양수 펌프 비치 ➔ 4) 배수 환경 시설 감리 서면 승인</t>
        </is>
      </c>
      <c r="Q26" s="123">
        <f>HYPERLINK(LEFT(CELL("filename",A1),FIND("[",CELL("filename",A1))-1)&amp;"매뉴얼BODY(집행단계-첨부폴더)v8\2.사전토공사\23_기존구조물_지장물 처리\수행지침\기존구조물 _ 지장물 처리_수행지침.html", "👉 [클릭] 수행지침 열기 📄")</f>
        <v/>
      </c>
      <c r="R26" s="123" t="inlineStr">
        <is>
          <t>가배수로(0.6×0.6m) &amp; 가침사지 설치, 세륜기(깊이 1.2m) 가동 및 수중 양수 펌프 비치</t>
        </is>
      </c>
      <c r="S26" s="123">
        <f>HYPERLINK(LEFT(CELL("filename",A1),FIND("[",CELL("filename",A1))-1)&amp;"매뉴얼BODY(집행단계-첨부폴더)v8\2.사전토공사\23_기존구조물_지장물 처리\체크리스트\기존구조물 _ 지장물 처리_체크리스트.html", "👉 [클릭] 체크리스트 열기 📄")</f>
        <v/>
      </c>
      <c r="T26" s="123" t="n"/>
      <c r="U26" s="123" t="inlineStr">
        <is>
          <t>● 환경보존법 및 비산먼지/침사지 규정 준수</t>
        </is>
      </c>
      <c r="V26" s="122" t="inlineStr">
        <is>
          <t>1) 👉 [더블클릭] 체크리스트 열기 📄</t>
        </is>
      </c>
      <c r="W26" s="123" t="n"/>
    </row>
    <row r="27" ht="96" customHeight="1" s="147">
      <c r="A27" s="122" t="inlineStr">
        <is>
          <t>9000</t>
        </is>
      </c>
      <c r="B27" s="122" t="inlineStr">
        <is>
          <t>9000-5</t>
        </is>
      </c>
      <c r="C27" s="122" t="inlineStr">
        <is>
          <t>사전토공사</t>
        </is>
      </c>
      <c r="D27" s="122" t="inlineStr">
        <is>
          <t>9000-5-26</t>
        </is>
      </c>
      <c r="E27" s="122" t="n"/>
      <c r="F27" s="122" t="n"/>
      <c r="G27" s="122" t="inlineStr">
        <is>
          <t>D+10~30</t>
        </is>
      </c>
      <c r="H27" s="123" t="inlineStr">
        <is>
          <t>토공 굴착</t>
        </is>
      </c>
      <c r="I27" s="122" t="inlineStr">
        <is>
          <t>현장 공사팀</t>
        </is>
      </c>
      <c r="J27" s="123" t="inlineStr">
        <is>
          <t>KCS 47 10 25 굴착 규정 | 3D GPS 굴착기 표고 오차 ±20mm 통제 | 사면 비탈면 경사(1:1.5) 준수</t>
        </is>
      </c>
      <c r="K27" s="123" t="inlineStr">
        <is>
          <t>1) 3D GPS 굴착기 정밀 세팅 ➔ 2) 토사 깎기 &amp; 사면 비탈면(1:1.5) 굴착 ➔ 3) 표고 오차(±20mm) 검측 ➔ 4) 토공 굴착 성과표 감리 승인</t>
        </is>
      </c>
      <c r="L27" s="123" t="n"/>
      <c r="M27" s="123" t="inlineStr">
        <is>
          <t>3D GPS 굴착기 표고 오차 ±20mm 통제, 사면 비탈면 경사(1:1.5 이하) 준수 및 굴착 검측</t>
        </is>
      </c>
      <c r="N27" s="123" t="inlineStr">
        <is>
          <t>KCS 47 10 25 굴착 규정 | 3D GPS 굴착기 표고 오차 ±20mm 통제 | 사면 비탈면 경사(1:1.5) 준수</t>
        </is>
      </c>
      <c r="O27" s="123">
        <f>HYPERLINK(LEFT(CELL("filename",A1),FIND("[",CELL("filename",A1))-1)&amp;"매뉴얼BODY(집행단계-첨부폴더)v8\2.사전토공사\24_진입로 조성\표준서\진입로 조성_표준서.html", "👉 [클릭] 표준서 열기 📄")</f>
        <v/>
      </c>
      <c r="P27" s="123" t="inlineStr">
        <is>
          <t>1) 3D GPS 굴착기 정밀 세팅 ➔ 2) 토사 깎기 &amp; 사면 비탈면(1:1.5) 굴착 ➔ 3) 표고 오차(±20mm) 검측 ➔ 4) 토공 굴착 성과표 감리 승인</t>
        </is>
      </c>
      <c r="Q27" s="123">
        <f>HYPERLINK(LEFT(CELL("filename",A1),FIND("[",CELL("filename",A1))-1)&amp;"매뉴얼BODY(집행단계-첨부폴더)v8\2.사전토공사\24_진입로 조성\수행지침\진입로 조성_수행지침.html", "👉 [클릭] 수행지침 열기 📄")</f>
        <v/>
      </c>
      <c r="R27" s="123" t="inlineStr">
        <is>
          <t>3D GPS 굴착기 표고 오차 ±20mm 통제, 사면 비탈면 경사(1:1.5 이하) 준수 및 굴착 검측</t>
        </is>
      </c>
      <c r="S27" s="123">
        <f>HYPERLINK(LEFT(CELL("filename",A1),FIND("[",CELL("filename",A1))-1)&amp;"매뉴얼BODY(집행단계-첨부폴더)v8\2.사전토공사\24_진입로 조성\체크리스트\진입로 조성_체크리스트.html", "👉 [클릭] 체크리스트 열기 📄")</f>
        <v/>
      </c>
      <c r="T27" s="123" t="n"/>
      <c r="U27" s="123" t="inlineStr">
        <is>
          <t>● 굴착 사면 기울기 및 굴착 공차 한계 준수</t>
        </is>
      </c>
      <c r="V27" s="122" t="inlineStr">
        <is>
          <t>1) 👉 [더블클릭] 체크리스트 열기 📄</t>
        </is>
      </c>
      <c r="W27" s="123" t="n"/>
    </row>
    <row r="28" ht="96" customHeight="1" s="147">
      <c r="A28" s="122" t="inlineStr">
        <is>
          <t>9000</t>
        </is>
      </c>
      <c r="B28" s="122" t="inlineStr">
        <is>
          <t>9000-5</t>
        </is>
      </c>
      <c r="C28" s="122" t="inlineStr">
        <is>
          <t>사전토공사</t>
        </is>
      </c>
      <c r="D28" s="122" t="inlineStr">
        <is>
          <t>9000-5-27</t>
        </is>
      </c>
      <c r="E28" s="122" t="n"/>
      <c r="F28" s="122" t="n"/>
      <c r="G28" s="122" t="inlineStr">
        <is>
          <t>D+10~30</t>
        </is>
      </c>
      <c r="H28" s="123" t="inlineStr">
        <is>
          <t>노상토 지지력 확인</t>
        </is>
      </c>
      <c r="I28" s="122" t="inlineStr">
        <is>
          <t>현장 품질팀</t>
        </is>
      </c>
      <c r="J28" s="123" t="inlineStr">
        <is>
          <t>KS F 2310 규정 준수 | 굴착 바닥 원지반 평판재하시험 K30 ≥ 70 MN/m³ | 덤프트럭 펌핑 연약 지반 점검</t>
        </is>
      </c>
      <c r="K28" s="123" t="inlineStr">
        <is>
          <t>1) 굴착 바닥 원지반 수평 정리 ➔ 2) K30 평판재하시험(≥70 MN/m³) ➔ 3) 덤프트럭 펌핑 연약 지반 점검 ➔ 4) 노상토 지지력 성과표 승인</t>
        </is>
      </c>
      <c r="L28" s="123" t="n"/>
      <c r="M28" s="123" t="inlineStr">
        <is>
          <t>굴착 바닥 평판재하시험 K30 ≥ 70 MN/m³, 덤프트럭 펌핑 연약 지반 점검 및 노상토 승인</t>
        </is>
      </c>
      <c r="N28" s="123" t="inlineStr">
        <is>
          <t>KS F 2310 규정 준수 | 굴착 바닥 원지반 평판재하시험 K30 ≥ 70 MN/m³ | 덤프트럭 펌핑 연약 지반 점검</t>
        </is>
      </c>
      <c r="O28" s="123">
        <f>HYPERLINK(LEFT(CELL("filename",A1),FIND("[",CELL("filename",A1))-1)&amp;"매뉴얼BODY(집행단계-첨부폴더)v8\2.사전토공사\25_배수_환경시설 설치\표준서\배수_환경시설 설치_표준서.html", "👉 [클릭] 표준서 열기 📄")</f>
        <v/>
      </c>
      <c r="P28" s="123" t="inlineStr">
        <is>
          <t>1) 굴착 바닥 원지반 수평 정리 ➔ 2) K30 평판재하시험(≥70 MN/m³) ➔ 3) 덤프트럭 펌핑 연약 지반 점검 ➔ 4) 노상토 지지력 성과표 승인</t>
        </is>
      </c>
      <c r="Q28" s="123">
        <f>HYPERLINK(LEFT(CELL("filename",A1),FIND("[",CELL("filename",A1))-1)&amp;"매뉴얼BODY(집행단계-첨부폴더)v8\2.사전토공사\25_배수_환경시설 설치\수행지침\배수_환경시설 설치_수행지침.html", "👉 [클릭] 수행지침 열기 📄")</f>
        <v/>
      </c>
      <c r="R28" s="123" t="inlineStr">
        <is>
          <t>굴착 바닥 평판재하시험 K30 ≥ 70 MN/m³, 덤프트럭 펌핑 연약 지반 점검 및 노상토 승인</t>
        </is>
      </c>
      <c r="S28" s="123">
        <f>HYPERLINK(LEFT(CELL("filename",A1),FIND("[",CELL("filename",A1))-1)&amp;"매뉴얼BODY(집행단계-첨부폴더)v8\2.사전토공사\25_배수_환경시설 설치\체크리스트\배수_환경시설 설치_체크리스트.html", "👉 [클릭] 체크리스트 열기 📄")</f>
        <v/>
      </c>
      <c r="T28" s="123" t="n"/>
      <c r="U28" s="123" t="inlineStr">
        <is>
          <t>● 강화노반 필요 지지력 규격 만족</t>
        </is>
      </c>
      <c r="V28" s="122" t="inlineStr">
        <is>
          <t>1) 👉 [더블클릭] 체크리스트 열기 📄</t>
        </is>
      </c>
      <c r="W28" s="123" t="n"/>
    </row>
    <row r="29" ht="96" customHeight="1" s="147">
      <c r="A29" s="122" t="inlineStr">
        <is>
          <t>9000</t>
        </is>
      </c>
      <c r="B29" s="122" t="inlineStr">
        <is>
          <t>9000-5</t>
        </is>
      </c>
      <c r="C29" s="122" t="inlineStr">
        <is>
          <t>사전토공사</t>
        </is>
      </c>
      <c r="D29" s="122" t="inlineStr">
        <is>
          <t>9000-5-28</t>
        </is>
      </c>
      <c r="E29" s="122" t="n"/>
      <c r="F29" s="122" t="n"/>
      <c r="G29" s="122" t="inlineStr">
        <is>
          <t>D+10~30</t>
        </is>
      </c>
      <c r="H29" s="123" t="inlineStr">
        <is>
          <t>쌓기 및 다짐(필요시)</t>
        </is>
      </c>
      <c r="I29" s="122" t="inlineStr">
        <is>
          <t>현장 공사팀</t>
        </is>
      </c>
      <c r="J29" s="123" t="inlineStr">
        <is>
          <t>KCS 47 10 25 성토 시방 | 층두께 ≤ 30cm 토사 포설 | 10t 강동 롤러 다짐(들밀도 다짐도 ≥ 90%)</t>
        </is>
      </c>
      <c r="K29" s="123" t="inlineStr">
        <is>
          <t>1) 성토 토사 30cm 층포설 ➔ 2) 살수차 최적함수비 살수 ➔ 3) 10t 강동 롤러 다짐(다짐도≥90%) ➔ 4) 성토 다짐 성과표 감리 승인</t>
        </is>
      </c>
      <c r="L29" s="123" t="n"/>
      <c r="M29" s="123" t="inlineStr">
        <is>
          <t>성토 토사 30cm 층포설, 살수차 최적함수비 OMC 살수 및 10t 롤러 다짐(다짐도 ≥ 90%)</t>
        </is>
      </c>
      <c r="N29" s="123" t="inlineStr">
        <is>
          <t>KCS 47 10 25 성토 시방 | 층두께 ≤ 30cm 토사 포설 | 10t 강동 롤러 다짐(들밀도 다짐도 ≥ 90%)</t>
        </is>
      </c>
      <c r="O29" s="123">
        <f>HYPERLINK(LEFT(CELL("filename",A1),FIND("[",CELL("filename",A1))-1)&amp;"매뉴얼BODY(집행단계-첨부폴더)v8\2.사전토공사\26_토공 굴착\표준서\토공 굴착_표준서.html", "👉 [클릭] 표준서 열기 📄")</f>
        <v/>
      </c>
      <c r="P29" s="123" t="inlineStr">
        <is>
          <t>1) 성토 토사 30cm 층포설 ➔ 2) 살수차 최적함수비 살수 ➔ 3) 10t 강동 롤러 다짐(다짐도≥90%) ➔ 4) 성토 다짐 성과표 감리 승인</t>
        </is>
      </c>
      <c r="Q29" s="123">
        <f>HYPERLINK(LEFT(CELL("filename",A1),FIND("[",CELL("filename",A1))-1)&amp;"매뉴얼BODY(집행단계-첨부폴더)v8\2.사전토공사\26_토공 굴착\수행지침\토공 굴착_수행지침.html", "👉 [클릭] 수행지침 열기 📄")</f>
        <v/>
      </c>
      <c r="R29" s="123" t="inlineStr">
        <is>
          <t>성토 토사 30cm 층포설, 살수차 최적함수비 OMC 살수 및 10t 롤러 다짐(다짐도 ≥ 90%)</t>
        </is>
      </c>
      <c r="S29" s="123">
        <f>HYPERLINK(LEFT(CELL("filename",A1),FIND("[",CELL("filename",A1))-1)&amp;"매뉴얼BODY(집행단계-첨부폴더)v8\2.사전토공사\26_토공 굴착\체크리스트\토공 굴착_체크리스트.html", "👉 [클릭] 체크리스트 열기 📄")</f>
        <v/>
      </c>
      <c r="T29" s="123" t="n"/>
      <c r="U29" s="123" t="inlineStr">
        <is>
          <t>● 다짐도(95% 이상) 규격 준수</t>
        </is>
      </c>
      <c r="V29" s="122" t="inlineStr">
        <is>
          <t>1) 👉 [더블클릭] 체크리스트 열기 📄</t>
        </is>
      </c>
      <c r="W29" s="123" t="n"/>
    </row>
    <row r="30" ht="96" customHeight="1" s="147">
      <c r="A30" s="122" t="inlineStr">
        <is>
          <t>9000</t>
        </is>
      </c>
      <c r="B30" s="122" t="inlineStr">
        <is>
          <t>9000-5</t>
        </is>
      </c>
      <c r="C30" s="122" t="inlineStr">
        <is>
          <t>사전토공사</t>
        </is>
      </c>
      <c r="D30" s="122" t="inlineStr">
        <is>
          <t>9000-5-29</t>
        </is>
      </c>
      <c r="E30" s="122" t="n"/>
      <c r="F30" s="122" t="n"/>
      <c r="G30" s="122" t="inlineStr">
        <is>
          <t>D+75일 이후</t>
        </is>
      </c>
      <c r="H30" s="123" t="inlineStr">
        <is>
          <t>현장지원</t>
        </is>
      </c>
      <c r="I30" s="122" t="inlineStr">
        <is>
          <t>토목수행팀, 토목품질팀, 토목안전팀</t>
        </is>
      </c>
      <c r="J30" s="123" t="inlineStr">
        <is>
          <t>현장 통합 소통 수칙 | 일일 TBM 및 품질/안전 지원 대장 수록 | 감리 입회 검측 서면 승인</t>
        </is>
      </c>
      <c r="K30" s="123" t="inlineStr">
        <is>
          <t>1) 일일 현장 품질/안전 지원 ➔ 2) TBM 및 근로자 교육 ➔ 3) 공정 장애 요소 해소 ➔ 4) 현장 지원 대장 서면 승인</t>
        </is>
      </c>
      <c r="L30" s="123" t="n"/>
      <c r="M30" s="123" t="inlineStr">
        <is>
          <t>일일 현장 품질/안전 지원 대장, TBM 및 근로자 교육 시행 서면 승인</t>
        </is>
      </c>
      <c r="N30" s="123" t="inlineStr">
        <is>
          <t>현장 통합 소통 수칙 | 일일 TBM 및 품질/안전 지원 대장 수록 | 감리 입회 검측 서면 승인</t>
        </is>
      </c>
      <c r="O30" s="123">
        <f>HYPERLINK(LEFT(CELL("filename",A1),FIND("[",CELL("filename",A1))-1)&amp;"매뉴얼BODY(집행단계-첨부폴더)v8\2.사전토공사\27_노상토 지지력 확인\표준서\노상토 지지력 확인_표준서.html", "👉 [클릭] 표준서 열기 📄")</f>
        <v/>
      </c>
      <c r="P30" s="123" t="inlineStr">
        <is>
          <t>1) 일일 현장 품질/안전 지원 ➔ 2) TBM 및 근로자 교육 ➔ 3) 공정 장애 요소 해소 ➔ 4) 현장 지원 대장 서면 승인</t>
        </is>
      </c>
      <c r="Q30" s="123">
        <f>HYPERLINK(LEFT(CELL("filename",A1),FIND("[",CELL("filename",A1))-1)&amp;"매뉴얼BODY(집행단계-첨부폴더)v8\2.사전토공사\27_노상토 지지력 확인\수행지침\노상토 지지력 확인_수행지침.html", "👉 [클릭] 수행지침 열기 📄")</f>
        <v/>
      </c>
      <c r="R30" s="123" t="inlineStr">
        <is>
          <t>일일 현장 품질/안전 지원 대장, TBM 및 근로자 교육 시행 서면 승인</t>
        </is>
      </c>
      <c r="S30" s="123">
        <f>HYPERLINK(LEFT(CELL("filename",A1),FIND("[",CELL("filename",A1))-1)&amp;"매뉴얼BODY(집행단계-첨부폴더)v8\2.사전토공사\27_노상토 지지력 확인\체크리스트\노상토 지지력 확인_체크리스트.html", "👉 [클릭] 체크리스트 열기 📄")</f>
        <v/>
      </c>
      <c r="T30" s="123" t="n"/>
      <c r="U30" s="123" t="inlineStr">
        <is>
          <t>● 본사 정기현장점검 지침 준수</t>
        </is>
      </c>
      <c r="V30" s="122" t="inlineStr">
        <is>
          <t>1) 👉 [더블클릭] 체크리스트 열기 📄</t>
        </is>
      </c>
      <c r="W30" s="123" t="n"/>
    </row>
    <row r="31" ht="96" customHeight="1" s="147">
      <c r="A31" s="122" t="inlineStr">
        <is>
          <t>9000</t>
        </is>
      </c>
      <c r="B31" s="122" t="inlineStr">
        <is>
          <t>9000-5</t>
        </is>
      </c>
      <c r="C31" s="122" t="inlineStr">
        <is>
          <t>사전토공사</t>
        </is>
      </c>
      <c r="D31" s="122" t="inlineStr">
        <is>
          <t>9000-5-30</t>
        </is>
      </c>
      <c r="E31" s="122" t="n"/>
      <c r="F31" s="122" t="n"/>
      <c r="G31" s="122" t="inlineStr">
        <is>
          <t>D+75일 이후</t>
        </is>
      </c>
      <c r="H31" s="123" t="inlineStr">
        <is>
          <t>강화노반 인계</t>
        </is>
      </c>
      <c r="I31" s="122" t="inlineStr">
        <is>
          <t>현장 공사팀 / 품질팀</t>
        </is>
      </c>
      <c r="J31" s="123" t="inlineStr">
        <is>
          <t>KCS 47 10 25 인계인수 수칙 | 토공-강화노반 시공팀 3자 합동 레벨 측량 | 마무리면 인계인수서 서명</t>
        </is>
      </c>
      <c r="K31" s="123" t="inlineStr">
        <is>
          <t>1) 토공-강화노반 시공팀 3자 합동 현측 ➔ 2) 마무리면 레벨 오차(±10mm) 확인 ➔ 3) 인계인수 합의서 서명 ➔ 4) 토공 마무리면 인계 완료</t>
        </is>
      </c>
      <c r="L31" s="123" t="n"/>
      <c r="M31" s="123" t="inlineStr">
        <is>
          <t>토공-강화노반 시공팀 3자 합동 레벨 측량, 마무리면 레벨 오차(±10mm) 인계인수서 서명</t>
        </is>
      </c>
      <c r="N31" s="123" t="inlineStr">
        <is>
          <t>KCS 47 10 25 인계인수 수칙 | 토공-강화노반 시공팀 3자 합동 레벨 측량 | 마무리면 인계인수서 서명</t>
        </is>
      </c>
      <c r="O31" s="123">
        <f>HYPERLINK(LEFT(CELL("filename",A1),FIND("[",CELL("filename",A1))-1)&amp;"매뉴얼BODY(집행단계-첨부폴더)v8\2.사전토공사\28_쌓기 및 다짐_필요시\표준서\쌓기 및 다짐(필요시)_표준서.html", "👉 [클릭] 표준서 열기 📄")</f>
        <v/>
      </c>
      <c r="P31" s="123" t="inlineStr">
        <is>
          <t>1) 토공-강화노반 시공팀 3자 합동 현측 ➔ 2) 마무리면 레벨 오차(±10mm) 확인 ➔ 3) 인계인수 합의서 서명 ➔ 4) 토공 마무리면 인계 완료</t>
        </is>
      </c>
      <c r="Q31" s="123">
        <f>HYPERLINK(LEFT(CELL("filename",A1),FIND("[",CELL("filename",A1))-1)&amp;"매뉴얼BODY(집행단계-첨부폴더)v8\2.사전토공사\28_쌓기 및 다짐_필요시\수행지침\쌓기 및 다짐(필요시)_수행지침.html", "👉 [클릭] 수행지침 열기 📄")</f>
        <v/>
      </c>
      <c r="R31" s="123" t="inlineStr">
        <is>
          <t>토공-강화노반 시공팀 3자 합동 레벨 측량, 마무리면 레벨 오차(±10mm) 인계인수서 서명</t>
        </is>
      </c>
      <c r="S31" s="123">
        <f>HYPERLINK(LEFT(CELL("filename",A1),FIND("[",CELL("filename",A1))-1)&amp;"매뉴얼BODY(집행단계-첨부폴더)v8\2.사전토공사\28_쌓기 및 다짐_필요시\체크리스트\쌓기 및 다짐(필요시)_체크리스트.html", "👉 [클릭] 체크리스트 열기 📄")</f>
        <v/>
      </c>
      <c r="T31" s="123" t="n"/>
      <c r="U31" s="123" t="inlineStr">
        <is>
          <t>● 궤도 부설 구간 허용 오차 한계 확인</t>
        </is>
      </c>
      <c r="V31" s="122" t="inlineStr">
        <is>
          <t>1) 👉 [더블클릭] 체크리스트 열기 📄</t>
        </is>
      </c>
      <c r="W31" s="123" t="n"/>
    </row>
    <row r="32">
      <c r="A32" s="122" t="n"/>
      <c r="B32" s="122" t="n"/>
      <c r="C32" s="122" t="n"/>
      <c r="D32" s="122" t="n"/>
      <c r="E32" s="122" t="n"/>
      <c r="F32" s="122" t="n"/>
      <c r="G32" s="122" t="n"/>
      <c r="H32" s="123" t="n"/>
      <c r="I32" s="122" t="n"/>
      <c r="J32" s="123" t="n"/>
      <c r="K32" s="123" t="n"/>
      <c r="L32" s="123" t="n"/>
      <c r="M32" s="123" t="n"/>
      <c r="N32" s="123" t="n"/>
      <c r="O32" s="123">
        <f>HYPERLINK(LEFT(CELL("filename",A1),FIND("[",CELL("filename",A1))-1)&amp;"매뉴얼BODY(집행단계-첨부폴더)v8\2.사전토공사\29_현장지원\표준서\현장지원_표준서.html", "👉 [클릭] 표준서 열기 📄")</f>
        <v/>
      </c>
      <c r="P32" s="123" t="n"/>
      <c r="Q32" s="123">
        <f>HYPERLINK(LEFT(CELL("filename",A1),FIND("[",CELL("filename",A1))-1)&amp;"매뉴얼BODY(집행단계-첨부폴더)v8\2.사전토공사\29_현장지원\수행지침\현장지원_수행지침.html", "👉 [클릭] 수행지침 열기 📄")</f>
        <v/>
      </c>
      <c r="R32" s="123" t="n"/>
      <c r="S32" s="123">
        <f>HYPERLINK(LEFT(CELL("filename",A1),FIND("[",CELL("filename",A1))-1)&amp;"매뉴얼BODY(집행단계-첨부폴더)v8\2.사전토공사\29_현장지원\체크리스트\현장지원_체크리스트.html", "👉 [클릭] 체크리스트 열기 📄")</f>
        <v/>
      </c>
      <c r="T32" s="123" t="n"/>
      <c r="U32" s="123" t="n"/>
      <c r="V32" s="122" t="n"/>
      <c r="W32" s="123" t="n"/>
    </row>
    <row r="33">
      <c r="A33" s="122" t="n"/>
      <c r="B33" s="122" t="n"/>
      <c r="C33" s="122" t="n"/>
      <c r="D33" s="122" t="n"/>
      <c r="E33" s="122" t="n"/>
      <c r="F33" s="122" t="n"/>
      <c r="G33" s="122" t="n"/>
      <c r="H33" s="123" t="n"/>
      <c r="I33" s="122" t="n"/>
      <c r="J33" s="123" t="n"/>
      <c r="K33" s="123" t="n"/>
      <c r="L33" s="123" t="n"/>
      <c r="M33" s="123" t="n"/>
      <c r="N33" s="123" t="n"/>
      <c r="O33" s="123">
        <f>HYPERLINK(LEFT(CELL("filename",A1),FIND("[",CELL("filename",A1))-1)&amp;"매뉴얼BODY(집행단계-첨부폴더)v8\2.사전토공사\30_강화노반 인계\표준서\강화노반 인계_표준서.html", "👉 [클릭] 표준서 열기 📄")</f>
        <v/>
      </c>
      <c r="P33" s="123" t="n"/>
      <c r="Q33" s="123">
        <f>HYPERLINK(LEFT(CELL("filename",A1),FIND("[",CELL("filename",A1))-1)&amp;"매뉴얼BODY(집행단계-첨부폴더)v8\2.사전토공사\30_강화노반 인계\수행지침\강화노반 인계_수행지침.html", "👉 [클릭] 수행지침 열기 📄")</f>
        <v/>
      </c>
      <c r="R33" s="123" t="n"/>
      <c r="S33" s="123">
        <f>HYPERLINK(LEFT(CELL("filename",A1),FIND("[",CELL("filename",A1))-1)&amp;"매뉴얼BODY(집행단계-첨부폴더)v8\2.사전토공사\30_강화노반 인계\체크리스트\강화노반 인계_체크리스트.html", "👉 [클릭] 체크리스트 열기 📄")</f>
        <v/>
      </c>
      <c r="T33" s="123" t="n"/>
      <c r="U33" s="123" t="n"/>
      <c r="V33" s="122" t="n"/>
      <c r="W33" s="123" t="n"/>
    </row>
    <row r="34">
      <c r="A34" s="122" t="n"/>
      <c r="B34" s="122" t="n"/>
      <c r="C34" s="122" t="n"/>
      <c r="D34" s="122" t="n"/>
      <c r="E34" s="122" t="n"/>
      <c r="F34" s="122" t="n"/>
      <c r="G34" s="122" t="n"/>
      <c r="H34" s="123" t="n"/>
      <c r="I34" s="122" t="n"/>
      <c r="J34" s="123" t="n"/>
      <c r="K34" s="123" t="n"/>
      <c r="L34" s="123" t="n"/>
      <c r="M34" s="123" t="n"/>
      <c r="N34" s="123" t="n"/>
      <c r="O34" s="123">
        <f>HYPERLINK(LEFT(CELL("filename",A1),FIND("[",CELL("filename",A1))-1)&amp;"매뉴얼BODY(집행단계-첨부폴더)v8\2.사전토공사\32_Task_32\표준서\Task_32_표준서.html", "👉 [클릭] 표준서 열기 📄")</f>
        <v/>
      </c>
      <c r="P34" s="123" t="n"/>
      <c r="Q34" s="123">
        <f>HYPERLINK(LEFT(CELL("filename",A1),FIND("[",CELL("filename",A1))-1)&amp;"매뉴얼BODY(집행단계-첨부폴더)v8\2.사전토공사\32_Task_32\수행지침\Task_32_수행지침.html", "👉 [클릭] 수행지침 열기 📄")</f>
        <v/>
      </c>
      <c r="R34" s="123" t="n"/>
      <c r="S34" s="123">
        <f>HYPERLINK(LEFT(CELL("filename",A1),FIND("[",CELL("filename",A1))-1)&amp;"매뉴얼BODY(집행단계-첨부폴더)v8\2.사전토공사\32_Task_32\체크리스트\Task_32_체크리스트.html", "👉 [클릭] 체크리스트 열기 📄")</f>
        <v/>
      </c>
      <c r="T34" s="123" t="n"/>
      <c r="U34" s="123" t="n"/>
      <c r="V34" s="122" t="n"/>
      <c r="W34" s="123" t="n"/>
    </row>
    <row r="35">
      <c r="A35" s="122" t="n"/>
      <c r="B35" s="122" t="n"/>
      <c r="C35" s="122" t="n"/>
      <c r="D35" s="122" t="n"/>
      <c r="E35" s="122" t="n"/>
      <c r="F35" s="122" t="n"/>
      <c r="G35" s="122" t="n"/>
      <c r="H35" s="123" t="n"/>
      <c r="I35" s="122" t="n"/>
      <c r="J35" s="123" t="n"/>
      <c r="K35" s="123" t="n"/>
      <c r="L35" s="123" t="n"/>
      <c r="M35" s="123" t="n"/>
      <c r="N35" s="123" t="n"/>
      <c r="O35" s="123" t="inlineStr">
        <is>
          <t>👉 [클릭] 표준서 열기 📄</t>
        </is>
      </c>
      <c r="P35" s="123" t="n"/>
      <c r="Q35" s="123" t="inlineStr">
        <is>
          <t>👉 [클릭] 수행지침 열기 📄</t>
        </is>
      </c>
      <c r="R35" s="123" t="n"/>
      <c r="S35" s="123" t="inlineStr">
        <is>
          <t>👉 [클릭] 체크리스트 열기 📄</t>
        </is>
      </c>
      <c r="T35" s="123" t="n"/>
      <c r="U35" s="123" t="n"/>
      <c r="V35" s="122" t="n"/>
      <c r="W35" s="123" t="n"/>
    </row>
    <row r="36">
      <c r="A36" s="122" t="n"/>
      <c r="B36" s="122" t="n"/>
      <c r="C36" s="122" t="n"/>
      <c r="D36" s="122" t="n"/>
      <c r="E36" s="122" t="n"/>
      <c r="F36" s="122" t="n"/>
      <c r="G36" s="122" t="n"/>
      <c r="H36" s="123" t="n"/>
      <c r="I36" s="122" t="n"/>
      <c r="J36" s="123" t="n"/>
      <c r="K36" s="123" t="n"/>
      <c r="L36" s="123" t="n"/>
      <c r="M36" s="123" t="n"/>
      <c r="N36" s="123" t="n"/>
      <c r="O36" s="123" t="inlineStr">
        <is>
          <t>👉 [클릭] 표준서 열기 📄</t>
        </is>
      </c>
      <c r="P36" s="123" t="n"/>
      <c r="Q36" s="123" t="inlineStr">
        <is>
          <t>👉 [클릭] 수행지침 열기 📄</t>
        </is>
      </c>
      <c r="R36" s="123" t="n"/>
      <c r="S36" s="123" t="inlineStr">
        <is>
          <t>👉 [클릭] 체크리스트 열기 📄</t>
        </is>
      </c>
      <c r="T36" s="123" t="n"/>
      <c r="U36" s="123" t="n"/>
      <c r="V36" s="122" t="n"/>
      <c r="W36" s="123" t="n"/>
    </row>
    <row r="37">
      <c r="A37" s="122" t="n"/>
      <c r="B37" s="122" t="n"/>
      <c r="C37" s="122" t="n"/>
      <c r="D37" s="122" t="n"/>
      <c r="E37" s="122" t="n"/>
      <c r="F37" s="122" t="n"/>
      <c r="G37" s="122" t="n"/>
      <c r="H37" s="123" t="n"/>
      <c r="I37" s="122" t="n"/>
      <c r="J37" s="123" t="n"/>
      <c r="K37" s="123" t="n"/>
      <c r="L37" s="123" t="n"/>
      <c r="M37" s="123" t="n"/>
      <c r="N37" s="123" t="n"/>
      <c r="O37" s="123" t="inlineStr">
        <is>
          <t>👉 [클릭] 표준서 열기 📄</t>
        </is>
      </c>
      <c r="P37" s="123" t="n"/>
      <c r="Q37" s="123" t="inlineStr">
        <is>
          <t>👉 [클릭] 수행지침 열기 📄</t>
        </is>
      </c>
      <c r="R37" s="123" t="n"/>
      <c r="S37" s="123" t="inlineStr">
        <is>
          <t>👉 [클릭] 체크리스트 열기 📄</t>
        </is>
      </c>
      <c r="T37" s="123" t="n"/>
      <c r="U37" s="123" t="n"/>
      <c r="V37" s="122" t="n"/>
      <c r="W37" s="123" t="n"/>
    </row>
    <row r="38">
      <c r="A38" s="122" t="n"/>
      <c r="B38" s="122" t="n"/>
      <c r="C38" s="122" t="n"/>
      <c r="D38" s="122" t="n"/>
      <c r="E38" s="122" t="n"/>
      <c r="F38" s="122" t="n"/>
      <c r="G38" s="122" t="n"/>
      <c r="H38" s="123" t="n"/>
      <c r="I38" s="122" t="n"/>
      <c r="J38" s="123" t="n"/>
      <c r="K38" s="123" t="n"/>
      <c r="L38" s="123" t="n"/>
      <c r="M38" s="123" t="n"/>
      <c r="N38" s="123" t="n"/>
      <c r="O38" s="123" t="inlineStr">
        <is>
          <t>👉 [클릭] 표준서 열기 📄</t>
        </is>
      </c>
      <c r="P38" s="123" t="n"/>
      <c r="Q38" s="123" t="inlineStr">
        <is>
          <t>👉 [클릭] 수행지침 열기 📄</t>
        </is>
      </c>
      <c r="R38" s="123" t="n"/>
      <c r="S38" s="123" t="inlineStr">
        <is>
          <t>👉 [클릭] 체크리스트 열기 📄</t>
        </is>
      </c>
      <c r="T38" s="123" t="n"/>
      <c r="U38" s="123" t="n"/>
      <c r="V38" s="122" t="n"/>
      <c r="W38" s="123" t="n"/>
    </row>
    <row r="39">
      <c r="A39" s="122" t="n"/>
      <c r="B39" s="122" t="n"/>
      <c r="C39" s="122" t="n"/>
      <c r="D39" s="122" t="n"/>
      <c r="E39" s="122" t="n"/>
      <c r="F39" s="122" t="n"/>
      <c r="G39" s="122" t="n"/>
      <c r="H39" s="123" t="n"/>
      <c r="I39" s="122" t="n"/>
      <c r="J39" s="123" t="n"/>
      <c r="K39" s="123" t="n"/>
      <c r="L39" s="123" t="n"/>
      <c r="M39" s="123" t="n"/>
      <c r="N39" s="123" t="n"/>
      <c r="O39" s="123" t="inlineStr">
        <is>
          <t>👉 [클릭] 표준서 열기 📄</t>
        </is>
      </c>
      <c r="P39" s="123" t="n"/>
      <c r="Q39" s="123" t="inlineStr">
        <is>
          <t>👉 [클릭] 수행지침 열기 📄</t>
        </is>
      </c>
      <c r="R39" s="123" t="n"/>
      <c r="S39" s="123" t="inlineStr">
        <is>
          <t>👉 [클릭] 체크리스트 열기 📄</t>
        </is>
      </c>
      <c r="T39" s="123" t="n"/>
      <c r="U39" s="123" t="n"/>
      <c r="V39" s="122" t="n"/>
      <c r="W39" s="123" t="n"/>
    </row>
    <row r="40">
      <c r="A40" s="122" t="n"/>
      <c r="B40" s="122" t="n"/>
      <c r="C40" s="122" t="n"/>
      <c r="D40" s="122" t="n"/>
      <c r="E40" s="122" t="n"/>
      <c r="F40" s="122" t="n"/>
      <c r="G40" s="122" t="n"/>
      <c r="H40" s="123" t="n"/>
      <c r="I40" s="122" t="n"/>
      <c r="J40" s="123" t="n"/>
      <c r="K40" s="123" t="n"/>
      <c r="L40" s="123" t="n"/>
      <c r="M40" s="123" t="n"/>
      <c r="N40" s="123" t="n"/>
      <c r="O40" s="123" t="inlineStr">
        <is>
          <t>👉 [클릭] 표준서 열기 📄</t>
        </is>
      </c>
      <c r="P40" s="123" t="n"/>
      <c r="Q40" s="123" t="inlineStr">
        <is>
          <t>👉 [클릭] 수행지침 열기 📄</t>
        </is>
      </c>
      <c r="R40" s="123" t="n"/>
      <c r="S40" s="123" t="inlineStr">
        <is>
          <t>👉 [클릭] 체크리스트 열기 📄</t>
        </is>
      </c>
      <c r="T40" s="123" t="n"/>
      <c r="U40" s="123" t="n"/>
      <c r="V40" s="122" t="n"/>
      <c r="W40" s="123" t="n"/>
    </row>
    <row r="41">
      <c r="A41" s="122" t="n"/>
      <c r="B41" s="122" t="n"/>
      <c r="C41" s="122" t="n"/>
      <c r="D41" s="122" t="n"/>
      <c r="E41" s="122" t="n"/>
      <c r="F41" s="122" t="n"/>
      <c r="G41" s="122" t="n"/>
      <c r="H41" s="123" t="n"/>
      <c r="I41" s="122" t="n"/>
      <c r="J41" s="123" t="n"/>
      <c r="K41" s="123" t="n"/>
      <c r="L41" s="123" t="n"/>
      <c r="M41" s="123" t="n"/>
      <c r="N41" s="123" t="n"/>
      <c r="O41" s="123" t="inlineStr">
        <is>
          <t>👉 [클릭] 표준서 열기 📄</t>
        </is>
      </c>
      <c r="P41" s="123" t="n"/>
      <c r="Q41" s="123" t="inlineStr">
        <is>
          <t>👉 [클릭] 수행지침 열기 📄</t>
        </is>
      </c>
      <c r="R41" s="123" t="n"/>
      <c r="S41" s="123" t="inlineStr">
        <is>
          <t>👉 [클릭] 체크리스트 열기 📄</t>
        </is>
      </c>
      <c r="T41" s="123" t="n"/>
      <c r="U41" s="123" t="n"/>
      <c r="V41" s="122" t="n"/>
      <c r="W41" s="123" t="n"/>
    </row>
    <row r="42">
      <c r="A42" s="122" t="n"/>
      <c r="B42" s="122" t="n"/>
      <c r="C42" s="122" t="n"/>
      <c r="D42" s="122" t="n"/>
      <c r="E42" s="122" t="n"/>
      <c r="F42" s="122" t="n"/>
      <c r="G42" s="122" t="n"/>
      <c r="H42" s="123" t="n"/>
      <c r="I42" s="122" t="n"/>
      <c r="J42" s="123" t="n"/>
      <c r="K42" s="123" t="n"/>
      <c r="L42" s="123" t="n"/>
      <c r="M42" s="123" t="n"/>
      <c r="N42" s="123" t="n"/>
      <c r="O42" s="123" t="inlineStr">
        <is>
          <t>👉 [클릭] 표준서 열기 📄</t>
        </is>
      </c>
      <c r="P42" s="123" t="n"/>
      <c r="Q42" s="123" t="inlineStr">
        <is>
          <t>👉 [클릭] 수행지침 열기 📄</t>
        </is>
      </c>
      <c r="R42" s="123" t="n"/>
      <c r="S42" s="123" t="inlineStr">
        <is>
          <t>👉 [클릭] 체크리스트 열기 📄</t>
        </is>
      </c>
      <c r="T42" s="123" t="n"/>
      <c r="U42" s="123" t="n"/>
      <c r="V42" s="122" t="n"/>
      <c r="W42" s="123" t="n"/>
    </row>
    <row r="43">
      <c r="A43" s="122" t="n"/>
      <c r="B43" s="122" t="n"/>
      <c r="C43" s="122" t="n"/>
      <c r="D43" s="122" t="n"/>
      <c r="E43" s="122" t="n"/>
      <c r="F43" s="122" t="n"/>
      <c r="G43" s="122" t="n"/>
      <c r="H43" s="123" t="n"/>
      <c r="I43" s="122" t="n"/>
      <c r="J43" s="123" t="n"/>
      <c r="K43" s="123" t="n"/>
      <c r="L43" s="123" t="n"/>
      <c r="M43" s="123" t="n"/>
      <c r="N43" s="123" t="n"/>
      <c r="O43" s="123" t="inlineStr">
        <is>
          <t>👉 [클릭] 표준서 열기 📄</t>
        </is>
      </c>
      <c r="P43" s="123" t="n"/>
      <c r="Q43" s="123" t="inlineStr">
        <is>
          <t>👉 [클릭] 수행지침 열기 📄</t>
        </is>
      </c>
      <c r="R43" s="123" t="n"/>
      <c r="S43" s="123" t="inlineStr">
        <is>
          <t>👉 [클릭] 체크리스트 열기 📄</t>
        </is>
      </c>
      <c r="T43" s="123" t="n"/>
      <c r="U43" s="123" t="n"/>
      <c r="V43" s="122" t="n"/>
      <c r="W43" s="123" t="n"/>
    </row>
    <row r="44">
      <c r="A44" s="122" t="n"/>
      <c r="B44" s="122" t="n"/>
      <c r="C44" s="122" t="n"/>
      <c r="D44" s="122" t="n"/>
      <c r="E44" s="122" t="n"/>
      <c r="F44" s="122" t="n"/>
      <c r="G44" s="122" t="n"/>
      <c r="H44" s="123" t="n"/>
      <c r="I44" s="122" t="n"/>
      <c r="J44" s="123" t="n"/>
      <c r="K44" s="123" t="n"/>
      <c r="L44" s="123" t="n"/>
      <c r="M44" s="123" t="n"/>
      <c r="N44" s="123" t="n"/>
      <c r="O44" s="123" t="inlineStr">
        <is>
          <t>👉 [클릭] 표준서 열기 📄</t>
        </is>
      </c>
      <c r="P44" s="123" t="n"/>
      <c r="Q44" s="123" t="inlineStr">
        <is>
          <t>👉 [클릭] 수행지침 열기 📄</t>
        </is>
      </c>
      <c r="R44" s="123" t="n"/>
      <c r="S44" s="123" t="inlineStr">
        <is>
          <t>👉 [클릭] 체크리스트 열기 📄</t>
        </is>
      </c>
      <c r="T44" s="123" t="n"/>
      <c r="U44" s="123" t="n"/>
      <c r="V44" s="122" t="n"/>
      <c r="W44" s="123" t="n"/>
    </row>
    <row r="45">
      <c r="A45" s="122" t="n"/>
      <c r="B45" s="122" t="n"/>
      <c r="C45" s="122" t="n"/>
      <c r="D45" s="122" t="n"/>
      <c r="E45" s="122" t="n"/>
      <c r="F45" s="122" t="n"/>
      <c r="G45" s="122" t="n"/>
      <c r="H45" s="123" t="n"/>
      <c r="I45" s="122" t="n"/>
      <c r="J45" s="123" t="n"/>
      <c r="K45" s="123" t="n"/>
      <c r="L45" s="123" t="n"/>
      <c r="M45" s="123" t="n"/>
      <c r="N45" s="123" t="n"/>
      <c r="O45" s="123" t="inlineStr">
        <is>
          <t>👉 [클릭] 표준서 열기 📄</t>
        </is>
      </c>
      <c r="P45" s="123" t="n"/>
      <c r="Q45" s="123" t="inlineStr">
        <is>
          <t>👉 [클릭] 수행지침 열기 📄</t>
        </is>
      </c>
      <c r="R45" s="123" t="n"/>
      <c r="S45" s="123" t="inlineStr">
        <is>
          <t>👉 [클릭] 체크리스트 열기 📄</t>
        </is>
      </c>
      <c r="T45" s="123" t="n"/>
      <c r="U45" s="123" t="n"/>
      <c r="V45" s="122" t="n"/>
      <c r="W45" s="123" t="n"/>
    </row>
    <row r="46">
      <c r="A46" s="122" t="n"/>
      <c r="B46" s="122" t="n"/>
      <c r="C46" s="122" t="n"/>
      <c r="D46" s="122" t="n"/>
      <c r="E46" s="122" t="n"/>
      <c r="F46" s="122" t="n"/>
      <c r="G46" s="122" t="n"/>
      <c r="H46" s="123" t="n"/>
      <c r="I46" s="122" t="n"/>
      <c r="J46" s="123" t="n"/>
      <c r="K46" s="123" t="n"/>
      <c r="L46" s="123" t="n"/>
      <c r="M46" s="123" t="n"/>
      <c r="N46" s="123" t="n"/>
      <c r="O46" s="123" t="inlineStr">
        <is>
          <t>👉 [클릭] 표준서 열기 📄</t>
        </is>
      </c>
      <c r="P46" s="123" t="n"/>
      <c r="Q46" s="123" t="inlineStr">
        <is>
          <t>👉 [클릭] 수행지침 열기 📄</t>
        </is>
      </c>
      <c r="R46" s="123" t="n"/>
      <c r="S46" s="123" t="inlineStr">
        <is>
          <t>👉 [클릭] 체크리스트 열기 📄</t>
        </is>
      </c>
      <c r="T46" s="123" t="n"/>
      <c r="U46" s="123" t="n"/>
      <c r="V46" s="122" t="n"/>
      <c r="W46" s="123" t="n"/>
    </row>
    <row r="47">
      <c r="A47" s="122" t="n"/>
      <c r="B47" s="122" t="n"/>
      <c r="C47" s="122" t="n"/>
      <c r="D47" s="122" t="n"/>
      <c r="E47" s="122" t="n"/>
      <c r="F47" s="122" t="n"/>
      <c r="G47" s="122" t="n"/>
      <c r="H47" s="123" t="n"/>
      <c r="I47" s="122" t="n"/>
      <c r="J47" s="123" t="n"/>
      <c r="K47" s="123" t="n"/>
      <c r="L47" s="123" t="n"/>
      <c r="M47" s="123" t="n"/>
      <c r="N47" s="123" t="n"/>
      <c r="O47" s="123" t="inlineStr">
        <is>
          <t>👉 [클릭] 표준서 열기 📄</t>
        </is>
      </c>
      <c r="P47" s="123" t="n"/>
      <c r="Q47" s="123" t="inlineStr">
        <is>
          <t>👉 [클릭] 수행지침 열기 📄</t>
        </is>
      </c>
      <c r="R47" s="123" t="n"/>
      <c r="S47" s="123" t="inlineStr">
        <is>
          <t>👉 [클릭] 체크리스트 열기 📄</t>
        </is>
      </c>
      <c r="T47" s="123" t="n"/>
      <c r="U47" s="123" t="n"/>
      <c r="V47" s="122" t="n"/>
      <c r="W47" s="123" t="n"/>
    </row>
    <row r="48">
      <c r="A48" s="122" t="n"/>
      <c r="B48" s="122" t="n"/>
      <c r="C48" s="122" t="n"/>
      <c r="D48" s="122" t="n"/>
      <c r="E48" s="122" t="n"/>
      <c r="F48" s="122" t="n"/>
      <c r="G48" s="122" t="n"/>
      <c r="H48" s="123" t="n"/>
      <c r="I48" s="122" t="n"/>
      <c r="J48" s="123" t="n"/>
      <c r="K48" s="123" t="n"/>
      <c r="L48" s="123" t="n"/>
      <c r="M48" s="123" t="n"/>
      <c r="N48" s="123" t="n"/>
      <c r="O48" s="123" t="inlineStr">
        <is>
          <t>👉 [클릭] 표준서 열기 📄</t>
        </is>
      </c>
      <c r="P48" s="123" t="n"/>
      <c r="Q48" s="123" t="inlineStr">
        <is>
          <t>👉 [클릭] 수행지침 열기 📄</t>
        </is>
      </c>
      <c r="R48" s="123" t="n"/>
      <c r="S48" s="123" t="inlineStr">
        <is>
          <t>👉 [클릭] 체크리스트 열기 📄</t>
        </is>
      </c>
      <c r="T48" s="123" t="n"/>
      <c r="U48" s="123" t="n"/>
      <c r="V48" s="122" t="n"/>
      <c r="W48" s="123" t="n"/>
    </row>
    <row r="49">
      <c r="A49" s="122" t="n"/>
      <c r="B49" s="122" t="n"/>
      <c r="C49" s="122" t="n"/>
      <c r="D49" s="122" t="n"/>
      <c r="E49" s="122" t="n"/>
      <c r="F49" s="122" t="n"/>
      <c r="G49" s="122" t="n"/>
      <c r="H49" s="123" t="n"/>
      <c r="I49" s="122" t="n"/>
      <c r="J49" s="123" t="n"/>
      <c r="K49" s="123" t="n"/>
      <c r="L49" s="123" t="n"/>
      <c r="M49" s="123" t="n"/>
      <c r="N49" s="123" t="n"/>
      <c r="O49" s="123" t="inlineStr">
        <is>
          <t>👉 [클릭] 표준서 열기 📄</t>
        </is>
      </c>
      <c r="P49" s="123" t="n"/>
      <c r="Q49" s="123" t="inlineStr">
        <is>
          <t>👉 [클릭] 수행지침 열기 📄</t>
        </is>
      </c>
      <c r="R49" s="123" t="n"/>
      <c r="S49" s="123" t="inlineStr">
        <is>
          <t>👉 [클릭] 체크리스트 열기 📄</t>
        </is>
      </c>
      <c r="T49" s="123" t="n"/>
      <c r="U49" s="123" t="n"/>
      <c r="V49" s="122" t="n"/>
      <c r="W49" s="123" t="n"/>
    </row>
    <row r="50">
      <c r="A50" s="122" t="n"/>
      <c r="B50" s="122" t="n"/>
      <c r="C50" s="122" t="n"/>
      <c r="D50" s="122" t="n"/>
      <c r="E50" s="122" t="n"/>
      <c r="F50" s="122" t="n"/>
      <c r="G50" s="122" t="n"/>
      <c r="H50" s="123" t="n"/>
      <c r="I50" s="122" t="n"/>
      <c r="J50" s="123" t="n"/>
      <c r="K50" s="123" t="n"/>
      <c r="L50" s="123" t="n"/>
      <c r="M50" s="123" t="n"/>
      <c r="N50" s="123" t="n"/>
      <c r="O50" s="123" t="inlineStr">
        <is>
          <t>👉 [클릭] 표준서 열기 📄</t>
        </is>
      </c>
      <c r="P50" s="123" t="n"/>
      <c r="Q50" s="123" t="inlineStr">
        <is>
          <t>👉 [클릭] 수행지침 열기 📄</t>
        </is>
      </c>
      <c r="R50" s="123" t="n"/>
      <c r="S50" s="123" t="inlineStr">
        <is>
          <t>👉 [클릭] 체크리스트 열기 📄</t>
        </is>
      </c>
      <c r="T50" s="123" t="n"/>
      <c r="U50" s="123" t="n"/>
      <c r="V50" s="122" t="n"/>
      <c r="W50" s="123" t="n"/>
    </row>
    <row r="51">
      <c r="A51" s="122" t="n"/>
      <c r="B51" s="122" t="n"/>
      <c r="C51" s="122" t="n"/>
      <c r="D51" s="122" t="n"/>
      <c r="E51" s="122" t="n"/>
      <c r="F51" s="122" t="n"/>
      <c r="G51" s="122" t="n"/>
      <c r="H51" s="123" t="n"/>
      <c r="I51" s="122" t="n"/>
      <c r="J51" s="123" t="n"/>
      <c r="K51" s="123" t="n"/>
      <c r="L51" s="123" t="n"/>
      <c r="M51" s="123" t="n"/>
      <c r="N51" s="123" t="n"/>
      <c r="O51" s="123" t="inlineStr">
        <is>
          <t>👉 [클릭] 표준서 열기 📄</t>
        </is>
      </c>
      <c r="P51" s="123" t="n"/>
      <c r="Q51" s="123" t="inlineStr">
        <is>
          <t>👉 [클릭] 수행지침 열기 📄</t>
        </is>
      </c>
      <c r="R51" s="123" t="n"/>
      <c r="S51" s="123" t="inlineStr">
        <is>
          <t>👉 [클릭] 체크리스트 열기 📄</t>
        </is>
      </c>
      <c r="T51" s="123" t="n"/>
      <c r="U51" s="123" t="n"/>
      <c r="V51" s="122" t="n"/>
      <c r="W51" s="123"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6" zoomScale="55" zoomScaleNormal="55" zoomScaleSheetLayoutView="55" workbookViewId="0">
      <selection activeCell="L13" sqref="L13"/>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7" min="16" max="16"/>
    <col width="16.5" customWidth="1" style="3" min="17" max="17"/>
    <col width="45" customWidth="1" style="147" min="18" max="18"/>
    <col width="22" customWidth="1" style="147" min="19" max="19"/>
    <col width="22" customWidth="1" style="3" min="20" max="35"/>
    <col width="8.796875" customWidth="1" style="3" min="36" max="64"/>
    <col width="8.796875" customWidth="1" style="3" min="65"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7">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26">
        <f>HYPERLINK(LEFT(CELL("filename",A1),FIND("[",CELL("filename",A1))-1)&amp;"매뉴얼BODY(집행단계-첨부폴더)v8\3.지장물이설\1_Site Survey Risk 검토\표준서\1_Site Survey Risk 검토_표준서.html", "👉 [클릭] 표준서 열기 📄")</f>
        <v/>
      </c>
      <c r="M2" s="16" t="inlineStr">
        <is>
          <t>1) 지반 조사 주상도 &amp; GPR 데이터 대조 ➔ 2) 신설 궤도 구조물 간섭 관로 추출 ➔ 3) 기관별 이설 우선순위 수립 ➔ 4) 지장물 리스크 보고서 결재</t>
        </is>
      </c>
      <c r="N2" s="126">
        <f>HYPERLINK(LEFT(CELL("filename",A1),FIND("[",CELL("filename",A1))-1)&amp;"매뉴얼BODY(집행단계-첨부폴더)v8\3.지장물이설\1_Site Survey Risk 검토\수행지침\1_Site Survey Risk 검토_수행지침.html", "👉 [클릭] 수행지침 열기 📄")</f>
        <v/>
      </c>
      <c r="O2" s="40" t="inlineStr">
        <is>
          <t>지반 시추 주상도, GPR 3D 지중 관로 탐사 데이터 대조 및 신설 궤도 구조물 간섭 관로 사전 현출 점검</t>
        </is>
      </c>
      <c r="P2" s="126">
        <f>HYPERLINK(LEFT(CELL("filename",A1),FIND("[",CELL("filename",A1))-1)&amp;"매뉴얼BODY(집행단계-첨부폴더)v8\3.지장물이설\1_Site Survey Risk 검토\체크리스트\1_Site Survey Risk 검토_체크리스트.html", "👉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7">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26">
        <f>HYPERLINK(LEFT(CELL("filename",A1),FIND("[",CELL("filename",A1))-1)&amp;"매뉴얼BODY(집행단계-첨부폴더)v8\3.지장물이설\2_발주전략 KOM (도급지분)\표준서\2_발주전략 KOM (도급지분)_표준서.html", "👉 [클릭] 표준서 열기 📄")</f>
        <v/>
      </c>
      <c r="M3" s="14" t="inlineStr">
        <is>
          <t>1) 도급분 이설 시방서 요구조건 검토 ➔ 2) 3D BIM 도면 관로 좌표 대조 ➔ 3) 공기 지연 예비비 수립 ➔ 4) 발주·감리·시공 3자 킥오프 결재</t>
        </is>
      </c>
      <c r="N3" s="126">
        <f>HYPERLINK(LEFT(CELL("filename",A1),FIND("[",CELL("filename",A1))-1)&amp;"매뉴얼BODY(집행단계-첨부폴더)v8\3.지장물이설\2_발주전략 KOM (도급지분)\수행지침\2_발주전략 KOM (도급지분)_수행지침.html", "👉 [클릭] 수행지침 열기 📄")</f>
        <v/>
      </c>
      <c r="O3" s="41" t="inlineStr">
        <is>
          <t>KCS 47 10 25 시방 요구조건, 도급분 지장물 이설 수량 및 3D BIM 도면 간섭 zero 검증</t>
        </is>
      </c>
      <c r="P3" s="126">
        <f>HYPERLINK(LEFT(CELL("filename",A1),FIND("[",CELL("filename",A1))-1)&amp;"매뉴얼BODY(집행단계-첨부폴더)v8\3.지장물이설\2_발주전략 KOM (도급지분)\체크리스트\2_발주전략 KOM (도급지분)_체크리스트.html", "👉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7">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26">
        <f>HYPERLINK(LEFT(CELL("filename",A1),FIND("[",CELL("filename",A1))-1)&amp;"매뉴얼BODY(집행단계-첨부폴더)v8\3.지장물이설\2_발주전적 KOM (도급지분)\표준서\발주전적 KOM (도급지분)_표준서.html", "👉 [클릭] 표준서 열기 📄")</f>
        <v/>
      </c>
      <c r="M4" s="14" t="inlineStr">
        <is>
          <t>1) 관할 점용기관 이설 요청 공문 작성 ➔ 2) 이설 협약서 정산 조건 수속 ➔ 3) 기관별 이설 소요 기간 협의 ➔ 4) 위수탁 이설 확약 공문 수령</t>
        </is>
      </c>
      <c r="N4" s="126">
        <f>HYPERLINK(LEFT(CELL("filename",A1),FIND("[",CELL("filename",A1))-1)&amp;"매뉴얼BODY(집행단계-첨부폴더)v8\3.지장물이설\2_발주전적 KOM (도급지분)\수행지침\발주전적 KOM (도급지분)_수행지침.html", "👉 [클릭] 수행지침 열기 📄")</f>
        <v/>
      </c>
      <c r="O4" s="41" t="inlineStr">
        <is>
          <t>위수탁 이설 요청 공문 부착, 점용기관 협약 조건 수속 및 이설 예비비 계상 서약</t>
        </is>
      </c>
      <c r="P4" s="126">
        <f>HYPERLINK(LEFT(CELL("filename",A1),FIND("[",CELL("filename",A1))-1)&amp;"매뉴얼BODY(집행단계-첨부폴더)v8\3.지장물이설\2_발주전적 KOM (도급지분)\체크리스트\발주전적 KOM (도급지분)_체크리스트.html", "👉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47">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26">
        <f>HYPERLINK(LEFT(CELL("filename",A1),FIND("[",CELL("filename",A1))-1)&amp;"매뉴얼BODY(집행단계-첨부폴더)v8\3.지장물이설\3_지장물 이설 요청 (위수탁고)\표준서\3_지장물 이설 요청 (위수탁고)_표준서.html", "👉 [클릭] 표준서 열기 📄")</f>
        <v/>
      </c>
      <c r="M5" s="14" t="inlineStr">
        <is>
          <t>1) 상하수도 전문건설업 면허 심사 ➔ 2) 하도급 적정성(≥ 82%) 평가 ➔ 3) 노무비 전용계좌 개설 ➔ 4) 하도급 계약 승인 통보서 결재</t>
        </is>
      </c>
      <c r="N5" s="126">
        <f>HYPERLINK(LEFT(CELL("filename",A1),FIND("[",CELL("filename",A1))-1)&amp;"매뉴얼BODY(집행단계-첨부폴더)v8\3.지장물이설\3_지장물 이설 요청 (위수탁고)\수행지침\3_지장물 이설 요청 (위수탁고)_수행지침.html", "👉 [클릭] 수행지침 열기 📄")</f>
        <v/>
      </c>
      <c r="O5" s="41" t="inlineStr">
        <is>
          <t>상하수도 전문건설업 면허/실적 심사, 하도급 적정성 평가(≥ 82%) 및 노무비 전용계좌 지정</t>
        </is>
      </c>
      <c r="P5" s="126">
        <f>HYPERLINK(LEFT(CELL("filename",A1),FIND("[",CELL("filename",A1))-1)&amp;"매뉴얼BODY(집행단계-첨부폴더)v8\3.지장물이설\3_지장물 이설 요청 (위수탁고)\체크리스트\3_지장물 이설 요청 (위수탁고)_체크리스트.html", "👉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7">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26">
        <f>HYPERLINK(LEFT(CELL("filename",A1),FIND("[",CELL("filename",A1))-1)&amp;"매뉴얼BODY(집행단계-첨부폴더)v8\3.지장물이설\4_도급자분 이설업체 선정(상_하수)\표준서\4_도급자분 이설업체 선정(상_하수)_표준서.html", "👉 [클릭] 표준서 열기 📄")</f>
        <v/>
      </c>
      <c r="M6" s="14" t="inlineStr">
        <is>
          <t>1) 한전/가스/수자원공사 1:1 현장 입회 ➔ 2) 관로 위치, 관경(mm), 깊이 현측 ➔ 3) 3D BIM 매설 관로 매핑 ➔ 4) 지장물 조사서 감리 서면 승인</t>
        </is>
      </c>
      <c r="N6" s="126">
        <f>HYPERLINK(LEFT(CELL("filename",A1),FIND("[",CELL("filename",A1))-1)&amp;"매뉴얼BODY(집행단계-첨부폴더)v8\3.지장물이설\4_도급자분 이설업체 선정(상_하수)\수행지침\4_도급자분 이설업체 선정(상_하수)_수행지침.html", "👉 [클릭] 수행지침 열기 📄")</f>
        <v/>
      </c>
      <c r="O6" s="41" t="inlineStr">
        <is>
          <t>한국전력, 도시가스, 수자원공사 1:1 현장 입회 및 지하 매설물 관경(mm), 심도 깊이 3D BIM 매핑</t>
        </is>
      </c>
      <c r="P6" s="126">
        <f>HYPERLINK(LEFT(CELL("filename",A1),FIND("[",CELL("filename",A1))-1)&amp;"매뉴얼BODY(집행단계-첨부폴더)v8\3.지장물이설\4_도급자분 이설업체 선정(상_하수)\체크리스트\4_도급자분 이설업체 선정(상_하수)_체크리스트.html", "👉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7">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26">
        <f>HYPERLINK(LEFT(CELL("filename",A1),FIND("[",CELL("filename",A1))-1)&amp;"매뉴얼BODY(집행단계-첨부폴더)v8\3.지장물이설\4_최고의 팀 만들기 지원\표준서\최고의 팀 만들기 지원_표준서.html", "👉 [클릭] 표준서 열기 📄")</f>
        <v/>
      </c>
      <c r="M7" s="14" t="inlineStr">
        <is>
          <t>1) 지장물 이설 공정표 수립 ➔ 2) 가설 매달기 방호 &amp; 우회 차선 설계 ➔ 3) 착공 14일 전 감리단 제출 ➔ 4) 이설 계획서 책임감리원 승인</t>
        </is>
      </c>
      <c r="N7" s="126">
        <f>HYPERLINK(LEFT(CELL("filename",A1),FIND("[",CELL("filename",A1))-1)&amp;"매뉴얼BODY(집행단계-첨부폴더)v8\3.지장물이설\4_최고의 팀 만들기 지원\수행지침\수행지침.html", "👉 [클릭] 수행지침 열기 📄")</f>
        <v/>
      </c>
      <c r="O7" s="41" t="inlineStr">
        <is>
          <t>지장물 이설 공정표 수립, 가설 매달기 방호/우회 차선 설계 및 착공 14일 전 감리 서면 승인</t>
        </is>
      </c>
      <c r="P7" s="126">
        <f>HYPERLINK(LEFT(CELL("filename",A1),FIND("[",CELL("filename",A1))-1)&amp;"매뉴얼BODY(집행단계-첨부폴더)v8\3.지장물이설\4_최고의 팀 만들기 지원\체크리스트\최고의 팀 만들기 지원_체크리스트.html", "👉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7">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26">
        <f>HYPERLINK(LEFT(CELL("filename",A1),FIND("[",CELL("filename",A1))-1)&amp;"매뉴얼BODY(집행단계-첨부폴더)v8\3.지장물이설\5_지장물 조사 (위탁기관 합동)\표준서\5_지장물 조사 (위탁기관 합동)_표준서.html", "👉 [클릭] 표준서 열기 📄")</f>
        <v/>
      </c>
      <c r="M8" s="14" t="inlineStr">
        <is>
          <t>1) 지장물 전담 기술자 1:1 배치 ➔ 2) 3자 주간 소통 회의 개최 ➔ 3) 근로자 환경 개선 &amp; TBM ➔ 4) One-Team 조직표 감리 서면 승인</t>
        </is>
      </c>
      <c r="N8" s="126">
        <f>HYPERLINK(LEFT(CELL("filename",A1),FIND("[",CELL("filename",A1))-1)&amp;"매뉴얼BODY(집행단계-첨부폴더)v8\3.지장물이설\5_지장물 조사 (위탁기관 합동)\수행지침\5_지장물 조사 (위탁기관 합동)_수행지침.html", "👉 [클릭] 수행지침 열기 📄")</f>
        <v/>
      </c>
      <c r="O8" s="41" t="inlineStr">
        <is>
          <t>지장물 전담 기술자 1:1 현장 배치, 발주·감리·시공 3자 주간 소통 회의 및 일일 TBM/음주 측정(0.00%)</t>
        </is>
      </c>
      <c r="P8" s="126">
        <f>HYPERLINK(LEFT(CELL("filename",A1),FIND("[",CELL("filename",A1))-1)&amp;"매뉴얼BODY(집행단계-첨부폴더)v8\3.지장물이설\5_지장물 조사 (위탁기관 합동)\체크리스트\5_지장물 조사 (위탁기관 합동)_체크리스트.html", "👉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47">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26">
        <f>HYPERLINK(LEFT(CELL("filename",A1),FIND("[",CELL("filename",A1))-1)&amp;"매뉴얼BODY(집행단계-첨부폴더)v8\3.지장물이설\5_착수전 Big Room 회의\표준서\착수전 Big Room 회의_표준서.html", "👉 [클릭] 표준서 열기 📄")</f>
        <v/>
      </c>
      <c r="M9" s="14" t="inlineStr">
        <is>
          <t>1) 4자(발주·감리·지자체·시공) 빅룸 결성 ➔ 2) 지장물 이설 마일스톤 연동 ➔ 3) 간섭 리스크 즉시 해소 ➔ 4) 빅룸 회의록 4자 서명 완수</t>
        </is>
      </c>
      <c r="N9" s="126">
        <f>HYPERLINK(LEFT(CELL("filename",A1),FIND("[",CELL("filename",A1))-1)&amp;"매뉴얼BODY(집행단계-첨부폴더)v8\3.지장물이설\5_착수전 Big Room 회의\수행지침\수행지침.html", "👉 [클릭] 수행지침 열기 📄")</f>
        <v/>
      </c>
      <c r="O9" s="41" t="inlineStr">
        <is>
          <t>4자(발주·감리·지자체·시공) 빅룸 회의 결성, 지장물 간섭 Zero 및 마일스톤 연동 회의록 서명</t>
        </is>
      </c>
      <c r="P9" s="126">
        <f>HYPERLINK(LEFT(CELL("filename",A1),FIND("[",CELL("filename",A1))-1)&amp;"매뉴얼BODY(집행단계-첨부폴더)v8\3.지장물이설\5_착수전 Big Room 회의\체크리스트\착수전 Big Room 회의_체크리스트.html", "👉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7">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26">
        <f>HYPERLINK(LEFT(CELL("filename",A1),FIND("[",CELL("filename",A1))-1)&amp;"매뉴얼BODY(집행단계-첨부폴더)v8\3.지장물이설\6_관리기관(맑은물사업소) 협의\표준서\관리기관(맑은물사업소) 협의_표준서.html", "👉 [클릭] 표준서 열기 📄")</f>
        <v/>
      </c>
      <c r="M10" s="14" t="inlineStr">
        <is>
          <t>1) 지자체 도로/하천점용 허가서 작성 ➔ 2) 관련 부서 서류 제출 &amp; 심의 ➔ 3) 보증보험 증권 부착 ➔ 4) 법정 인허가 필증 감리 수속</t>
        </is>
      </c>
      <c r="N10" s="126">
        <f>HYPERLINK(LEFT(CELL("filename",A1),FIND("[",CELL("filename",A1))-1)&amp;"매뉴얼BODY(집행단계-첨부폴더)v8\3.지장물이설\6_관리기관(맑은물사업소) 협의\수행지침\관리기관(맑은물사업소) 협의_수행지침.html", "👉 [클릭] 수행지침 열기 📄")</f>
        <v/>
      </c>
      <c r="O10" s="41" t="inlineStr">
        <is>
          <t>지자체 도로점용 허가 &amp; 하천점용 허가서 수속, 보증보험 증권 제출 및 법정 인허가 필증 검수</t>
        </is>
      </c>
      <c r="P10" s="126">
        <f>HYPERLINK(LEFT(CELL("filename",A1),FIND("[",CELL("filename",A1))-1)&amp;"매뉴얼BODY(집행단계-첨부폴더)v8\3.지장물이설\6_관리기관(맑은물사업소) 협의\체크리스트\관리기관(맑은물사업소) 협의_체크리스트.html", "👉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47">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26">
        <f>HYPERLINK(LEFT(CELL("filename",A1),FIND("[",CELL("filename",A1))-1)&amp;"매뉴얼BODY(집행단계-첨부폴더)v8\3.지장물이설\6_지장물 이설 계획 수립\표준서\지장물 이설 계획 수립_표준서.html", "👉 [클릭] 표준서 열기 📄")</f>
        <v/>
      </c>
      <c r="M11" s="14" t="inlineStr">
        <is>
          <t>1) 교통 우회 도면 &amp; 차선 설계 ➔ 2) 동탄경찰서 도로점용 허가 ➔ 3) 전담 신호수(2인 2조) 배치 ➔ 4) 교통소통 대책서 감리 서면 승인</t>
        </is>
      </c>
      <c r="N11" s="126">
        <f>HYPERLINK(LEFT(CELL("filename",A1),FIND("[",CELL("filename",A1))-1)&amp;"매뉴얼BODY(집행단계-첨부폴더)v8\3.지장물이설\6_지장물 이설 계획 수립\수행지침\수행지침.html", "👉 [클릭] 수행지침 열기 📄")</f>
        <v/>
      </c>
      <c r="O11" s="41" t="inlineStr">
        <is>
          <t>동탄경찰서 도로점용 허가, 우회 차선 설계 및 전담 안전 신호수(2인 2조)/LED 경광등 배치</t>
        </is>
      </c>
      <c r="P11" s="126">
        <f>HYPERLINK(LEFT(CELL("filename",A1),FIND("[",CELL("filename",A1))-1)&amp;"매뉴얼BODY(집행단계-첨부폴더)v8\3.지장물이설\6_지장물 이설 계획 수립\체크리스트\지장물 이설 계획 수립_체크리스트.html", "👉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7">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26">
        <f>HYPERLINK(LEFT(CELL("filename",A1),FIND("[",CELL("filename",A1))-1)&amp;"매뉴얼BODY(집행단계-첨부폴더)v8\3.지장물이설\7_위수탁 지장물 이설 설계\표준서\위수탁 지장물 이설 설계_표준서.html", "👉 [클릭] 표준서 열기 📄")</f>
        <v/>
      </c>
      <c r="M12" s="14" t="inlineStr">
        <is>
          <t>1) 야간 공사 소음 방음벽(H=3m) 설치 ➔ 2) 세륜기 가동 &amp; 분무 살수 ➔ 3) 단수/단전 사전 주민 공지 ➔ 4) 민원 대응반 서면 승인</t>
        </is>
      </c>
      <c r="N12" s="126">
        <f>HYPERLINK(LEFT(CELL("filename",A1),FIND("[",CELL("filename",A1))-1)&amp;"매뉴얼BODY(집행단계-첨부폴더)v8\3.지장물이설\7_위수탁 지장물 이설 설계\수행지침\수행지침.html", "👉 [클릭] 수행지침 열기 📄")</f>
        <v/>
      </c>
      <c r="O12" s="41" t="inlineStr">
        <is>
          <t>야간 공사 소음 방음벽(H=3m) 가동, 이동식 세륜기(깊이 1.2m) 가동 및 단수 사전 주민 알림</t>
        </is>
      </c>
      <c r="P12" s="126">
        <f>HYPERLINK(LEFT(CELL("filename",A1),FIND("[",CELL("filename",A1))-1)&amp;"매뉴얼BODY(집행단계-첨부폴더)v8\3.지장물이설\7_위수탁 지장물 이설 설계\체크리스트\위수탁 지장물 이설 설계_체크리스트.html", "👉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7">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26">
        <f>HYPERLINK(LEFT(CELL("filename",A1),FIND("[",CELL("filename",A1))-1)&amp;"매뉴얼BODY(집행단계-첨부폴더)v8\3.지장물이설\7_최고의 팀 만들기 지원\표준서\7_최고의 팀 만들기 지원_표준서.html", "👉 [클릭] 표준서 열기 📄")</f>
        <v/>
      </c>
      <c r="M13" s="14" t="inlineStr">
        <is>
          <t>1) 미보상 사유지 경계 현출 ➔ 2) 가설 펜스(H=1.8m) 차단 ➔ 3) 3D 우회 토공 동선 수립 ➔ 4) 용지 보상 리스크 대책 승인</t>
        </is>
      </c>
      <c r="N13" s="126">
        <f>HYPERLINK(LEFT(CELL("filename",A1),FIND("[",CELL("filename",A1))-1)&amp;"매뉴얼BODY(집행단계-첨부폴더)v8\3.지장물이설\7_최고의 팀 만들기 지원\수행지침\7_최고의 팀 만들기 지원_수행지침.html", "👉 [클릭] 수행지침 열기 📄")</f>
        <v/>
      </c>
      <c r="O13" s="41" t="inlineStr">
        <is>
          <t>미보상 사유지 경계 현출, 가설 펜스(H=1.8m) 차단 및 3D 우회 토공 동선 마일스톤 연동</t>
        </is>
      </c>
      <c r="P13" s="126">
        <f>HYPERLINK(LEFT(CELL("filename",A1),FIND("[",CELL("filename",A1))-1)&amp;"매뉴얼BODY(집행단계-첨부폴더)v8\3.지장물이설\7_최고의 팀 만들기 지원\체크리스트\7_최고의 팀 만들기 지원_체크리스트.html", "👉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7">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26">
        <f>HYPERLINK(LEFT(CELL("filename",A1),FIND("[",CELL("filename",A1))-1)&amp;"매뉴얼BODY(집행단계-첨부폴더)v8\3.지장물이설\8_상하수도 이설계획 실정보고\표준서\상하수도 이설계획 실정보고_표준서.html", "👉 [클릭] 표준서 열기 📄")</f>
        <v/>
      </c>
      <c r="M14" s="14" t="inlineStr">
        <is>
          <t>1) 맑은물사업소 이설 위치 현측 ➔ 2) 단수 일정(최대 6시간) 협의 ➔ 3) 신구관 접속 도면 검토 ➔ 4) 이설 승인 공문 수령</t>
        </is>
      </c>
      <c r="N14" s="126">
        <f>HYPERLINK(LEFT(CELL("filename",A1),FIND("[",CELL("filename",A1))-1)&amp;"매뉴얼BODY(집행단계-첨부폴더)v8\3.지장물이설\8_상하수도 이설계획 실정보고\수행지침\상하수도 이설계획 실정보고_수행지침.html", "👉 [클릭] 수행지침 열기 📄")</f>
        <v/>
      </c>
      <c r="O14" s="41" t="inlineStr">
        <is>
          <t>맑은물사업소 합동 이설 위치 검토, 수돗물 단수 일정(최대 6h) 수협 및 신구관 접속 도면 결재</t>
        </is>
      </c>
      <c r="P14" s="126">
        <f>HYPERLINK(LEFT(CELL("filename",A1),FIND("[",CELL("filename",A1))-1)&amp;"매뉴얼BODY(집행단계-첨부폴더)v8\3.지장물이설\8_상하수도 이설계획 실정보고\체크리스트\상하수도 이설계획 실정보고_체크리스트.html", "👉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7">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26">
        <f>HYPERLINK(LEFT(CELL("filename",A1),FIND("[",CELL("filename",A1))-1)&amp;"매뉴얼BODY(집행단계-첨부폴더)v8\3.지장물이설\8_착수전 Big Room 회의\표준서\8_착수전 Big Room 회의_표준서.html", "👉 [클릭] 표준서 열기 📄")</f>
        <v/>
      </c>
      <c r="M15" s="14" t="inlineStr">
        <is>
          <t>1) 위수탁 기관 설계도서 수속 ➔ 2) 3D BIM 간섭 리스크 점검 ➔ 3) 총사업비 변경 수량 검증 ➔ 4) 위수탁 설계도서 감리 승인</t>
        </is>
      </c>
      <c r="N15" s="126">
        <f>HYPERLINK(LEFT(CELL("filename",A1),FIND("[",CELL("filename",A1))-1)&amp;"매뉴얼BODY(집행단계-첨부폴더)v8\3.지장물이설\8_착수전 Big Room 회의\수행지침\8_착수전 Big Room 회의_수행지침.html", "👉 [클릭] 수행지침 열기 📄")</f>
        <v/>
      </c>
      <c r="O15" s="41" t="inlineStr">
        <is>
          <t>위수탁 기관 설계도서 기술 검토, 3D BIM 간섭 리스크 점검 및 총사업비 변경 수량 승인</t>
        </is>
      </c>
      <c r="P15" s="126">
        <f>HYPERLINK(LEFT(CELL("filename",A1),FIND("[",CELL("filename",A1))-1)&amp;"매뉴얼BODY(집행단계-첨부폴더)v8\3.지장물이설\8_착수전 Big Room 회의\체크리스트\8_착수전 Big Room 회의_체크리스트.html", "👉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7">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26">
        <f>HYPERLINK(LEFT(CELL("filename",A1),FIND("[",CELL("filename",A1))-1)&amp;"매뉴얼BODY(집행단계-첨부폴더)v8\3.지장물이설\9_위수탁 계약 체결\표준서\위수탁 계약 체결_표준서.html", "👉 [클릭] 표준서 열기 📄")</f>
        <v/>
      </c>
      <c r="M16" s="14" t="inlineStr">
        <is>
          <t>1) 현장 지장물 현출 실정보고 작성 ➔ 2) 공법 변경 &amp; 수량 증감 산출 ➔ 3) 기술 검토 의견서 첨부 ➔ 4) 실정보고서 감리 서면 승인</t>
        </is>
      </c>
      <c r="N16" s="126">
        <f>HYPERLINK(LEFT(CELL("filename",A1),FIND("[",CELL("filename",A1))-1)&amp;"매뉴얼BODY(집행단계-첨부폴더)v8\3.지장물이설\9_위수탁 계약 체결\수행지침\수행지침.html", "👉 [클릭] 수행지침 열기 📄")</f>
        <v/>
      </c>
      <c r="O16" s="41" t="inlineStr">
        <is>
          <t>현장 지장물 현출 실정보고서 작성, 공법 변경 및 수량 증감 산출 책임감리원 승인</t>
        </is>
      </c>
      <c r="P16" s="126">
        <f>HYPERLINK(LEFT(CELL("filename",A1),FIND("[",CELL("filename",A1))-1)&amp;"매뉴얼BODY(집행단계-첨부폴더)v8\3.지장물이설\9_위수탁 계약 체결\체크리스트\위수탁 계약 체결_체크리스트.html", "👉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7">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26">
        <f>HYPERLINK(LEFT(CELL("filename",A1),FIND("[",CELL("filename",A1))-1)&amp;"매뉴얼BODY(집행단계-첨부폴더)v8\3.지장물이설\9_인허가 절차 진행\표준서\9_인허가 절차 진행_표준서.html", "👉 [클릭] 표준서 열기 📄")</f>
        <v/>
      </c>
      <c r="M17" s="14" t="inlineStr">
        <is>
          <t>1) 관할 점용기관 협약 조건 수속 ➔ 2) 정산 분담금 &amp; 예비비 협의 ➔ 3) 위수탁 계약서 작성 ➔ 4) 위수탁 이설 계약 체결 승인</t>
        </is>
      </c>
      <c r="N17" s="126">
        <f>HYPERLINK(LEFT(CELL("filename",A1),FIND("[",CELL("filename",A1))-1)&amp;"매뉴얼BODY(집행단계-첨부폴더)v8\3.지장물이설\9_인허가 절차 진행\수행지침\9_인허가 절차 진행_수행지침.html", "👉 [클릭] 수행지침 열기 📄")</f>
        <v/>
      </c>
      <c r="O17" s="41" t="inlineStr">
        <is>
          <t>관할 점용기관 위수탁 이설 협약서 체결, 공사비 분담금 및 예비비 계상 합의 서약</t>
        </is>
      </c>
      <c r="P17" s="126">
        <f>HYPERLINK(LEFT(CELL("filename",A1),FIND("[",CELL("filename",A1))-1)&amp;"매뉴얼BODY(집행단계-첨부폴더)v8\3.지장물이설\9_인허가 절차 진행\체크리스트\9_인허가 절차 진행_체크리스트.html", "👉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7">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26">
        <f>HYPERLINK(LEFT(CELL("filename",A1),FIND("[",CELL("filename",A1))-1)&amp;"매뉴얼BODY(집행단계-첨부폴더)v8\3.지장물이설\10_교통처리대책 협의 및 승인\표준서\10_교통처리대책 협의 및 승인_표준서.html", "👉 [클릭] 표준서 열기 📄")</f>
        <v/>
      </c>
      <c r="M18" s="14" t="inlineStr">
        <is>
          <t>1) 도로 굴착 허가 신청서 작성 ➔ 2) 지자체 도로굴착 심의 필 ➔ 3) 복구 보증보험 증권 제출 ➔ 4) 도로 굴착 허가증 감리 결재</t>
        </is>
      </c>
      <c r="N18" s="126">
        <f>HYPERLINK(LEFT(CELL("filename",A1),FIND("[",CELL("filename",A1))-1)&amp;"매뉴얼BODY(집행단계-첨부폴더)v8\3.지장물이설\10_교통처리대책 협의 및 승인\수행지침\10_교통처리대책 협의 및 승인_수행지침.html", "👉 [클릭] 수행지침 열기 📄")</f>
        <v/>
      </c>
      <c r="O18" s="41" t="inlineStr">
        <is>
          <t>지자체 도로 굴착 허가 신청서 접수, 심의 필증 수령 및 도로 복구 보증보험 증권 제출</t>
        </is>
      </c>
      <c r="P18" s="126">
        <f>HYPERLINK(LEFT(CELL("filename",A1),FIND("[",CELL("filename",A1))-1)&amp;"매뉴얼BODY(집행단계-첨부폴더)v8\3.지장물이설\10_교통처리대책 협의 및 승인\체크리스트\10_교통처리대책 협의 및 승인_체크리스트.html", "👉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7">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26">
        <f>HYPERLINK(LEFT(CELL("filename",A1),FIND("[",CELL("filename",A1))-1)&amp;"매뉴얼BODY(집행단계-첨부폴더)v8\3.지장물이설\10_도로점용_굴착행위 인허가\표준서\도로점용_굴착행위 인허가_표준서.html", "👉 [클릭] 표준서 열기 📄")</f>
        <v/>
      </c>
      <c r="M19" s="14" t="inlineStr">
        <is>
          <t>1) 굴착 구간 안전 바리케이트 부설 ➔ 2) 야간 LED 경광등 &amp; 표지판 설치 ➔ 3) 전담 신호수(2인 2조) 배치 ➔ 4) 교통 안전 점검 대장 결재</t>
        </is>
      </c>
      <c r="N19" s="126">
        <f>HYPERLINK(LEFT(CELL("filename",A1),FIND("[",CELL("filename",A1))-1)&amp;"매뉴얼BODY(집행단계-첨부폴더)v8\3.지장물이설\10_도로점용_굴착행위 인허가\수행지침\도로점용_굴착행위 인허가_수행지침.html", "👉 [클릭] 수행지침 열기 📄")</f>
        <v/>
      </c>
      <c r="O19" s="41" t="inlineStr">
        <is>
          <t>굴착 구간 안전 바리케이트 부설, 야간 LED 경광등 설치 및 전담 신호수(2인 2조) 배치</t>
        </is>
      </c>
      <c r="P19" s="126">
        <f>HYPERLINK(LEFT(CELL("filename",A1),FIND("[",CELL("filename",A1))-1)&amp;"매뉴얼BODY(집행단계-첨부폴더)v8\3.지장물이설\10_도로점용_굴착행위 인허가\체크리스트\도로점용_굴착행위 인허가_체크리스트.html", "👉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7">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26">
        <f>HYPERLINK(LEFT(CELL("filename",A1),FIND("[",CELL("filename",A1))-1)&amp;"매뉴얼BODY(집행단계-첨부폴더)v8\3.지장물이설\11_교통통제 및 교통안전시설 설치\표준서\교통통제 및 교통안전시설 설치_표준서.html", "👉 [클릭] 표준서 열기 📄")</f>
        <v/>
      </c>
      <c r="M20" s="14" t="inlineStr">
        <is>
          <t>1) GPR 3D 지중 관로 탐사 ➔ 2) 인력 시탐 줄파기(깊이 1.5m) ➔ 3) 실체 관로 노출 &amp; 위치 매핑 ➔ 4) 지장물 현측표 감리 서면 승인</t>
        </is>
      </c>
      <c r="N20" s="126">
        <f>HYPERLINK(LEFT(CELL("filename",A1),FIND("[",CELL("filename",A1))-1)&amp;"매뉴얼BODY(집행단계-첨부폴더)v8\3.지장물이설\11_교통통제 및 교통안전시설 설치\수행지침\교통통제 및 교통안전시설 설치_수행지침.html", "👉 [클릭] 수행지침 열기 📄")</f>
        <v/>
      </c>
      <c r="O20" s="41" t="inlineStr">
        <is>
          <t>GPR 3D 지중 관로 탐사, 인력 시탐 줄파기(폭 0.5m, 깊이 1.5m) 및 실체 관로 노출 매핑</t>
        </is>
      </c>
      <c r="P20" s="126">
        <f>HYPERLINK(LEFT(CELL("filename",A1),FIND("[",CELL("filename",A1))-1)&amp;"매뉴얼BODY(집행단계-첨부폴더)v8\3.지장물이설\11_교통통제 및 교통안전시설 설치\체크리스트\교통통제 및 교통안전시설 설치_체크리스트.html", "👉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7">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26">
        <f>HYPERLINK(LEFT(CELL("filename",A1),FIND("[",CELL("filename",A1))-1)&amp;"매뉴얼BODY(집행단계-첨부폴더)v8\3.지장물이설\11_민원 저감 대책 수립\표준서\11_민원 저감 대책 수립_표준서.html", "👉 [클릭] 표준서 열기 📄")</f>
        <v/>
      </c>
      <c r="M21" s="14" t="inlineStr">
        <is>
          <t>1) 굴착 비탈면 경사(1:1.5) 측량 ➔ 2) 굴착 &amp; 흙막이 가설재 부설 ➔ 3) 바닥 원지반 K30(≥70) 검측 ➔ 4) 굴착 완료 성과표 감리 승인</t>
        </is>
      </c>
      <c r="N21" s="126">
        <f>HYPERLINK(LEFT(CELL("filename",A1),FIND("[",CELL("filename",A1))-1)&amp;"매뉴얼BODY(집행단계-첨부폴더)v8\3.지장물이설\11_민원 저감 대책 수립\수행지침\11_민원 저감 대책 수립_수행지침.html", "👉 [클릭] 수행지침 열기 📄")</f>
        <v/>
      </c>
      <c r="O21" s="41" t="inlineStr">
        <is>
          <t>굴착 비탈면 경사(1:1.5 이하) 측량, 흙막이 가설재 부설 및 바닥 원지반 K30 ≥ 70 지비력 검측</t>
        </is>
      </c>
      <c r="P21" s="126">
        <f>HYPERLINK(LEFT(CELL("filename",A1),FIND("[",CELL("filename",A1))-1)&amp;"매뉴얼BODY(집행단계-첨부폴더)v8\3.지장물이설\11_민원 저감 대책 수립\체크리스트\11_민원 저감 대책 수립_체크리스트.html", "👉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7">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26">
        <f>HYPERLINK(LEFT(CELL("filename",A1),FIND("[",CELL("filename",A1))-1)&amp;"매뉴얼BODY(집행단계-첨부폴더)v8\3.지장물이설\12_용지보상 Risk 파악\표준서\12_용지보상 Risk 파악_표준서.html", "👉 [클릭] 표준서 열기 📄")</f>
        <v/>
      </c>
      <c r="M22" s="14" t="inlineStr">
        <is>
          <t>1) 관로 모래 기초(10cm) 부설 ➔ 2) 신규 상하수도관/가스관 부설 ➔ 3) 관로 종단 구배(≥0.5%) 검측 ➔ 4) 신규 관로 부설 감리 서면 승인</t>
        </is>
      </c>
      <c r="N22" s="126">
        <f>HYPERLINK(LEFT(CELL("filename",A1),FIND("[",CELL("filename",A1))-1)&amp;"매뉴얼BODY(집행단계-첨부폴더)v8\3.지장물이설\12_용지보상 Risk 파악\수행지침\12_용지보상 Risk 파악_수행지침.html", "👉 [클릭] 수행지침 열기 📄")</f>
        <v/>
      </c>
      <c r="O22" s="41" t="inlineStr">
        <is>
          <t>관로 모래 기초(두께 10cm) 부설, 신규 상하수도관/가스관 부설 및 종단 구배(≥ 0.5%) 검측</t>
        </is>
      </c>
      <c r="P22" s="126">
        <f>HYPERLINK(LEFT(CELL("filename",A1),FIND("[",CELL("filename",A1))-1)&amp;"매뉴얼BODY(집행단계-첨부폴더)v8\3.지장물이설\12_용지보상 Risk 파악\체크리스트\12_용지보상 Risk 파악_체크리스트.html", "👉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7">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26">
        <f>HYPERLINK(LEFT(CELL("filename",A1),FIND("[",CELL("filename",A1))-1)&amp;"매뉴얼BODY(집행단계-첨부폴더)v8\3.지장물이설\12_줄따기(GPR)를 통한 기존 지장물 매설 확인\표준서\줄따기(GPR)를 통한 기존 지장물 매설 확인_표준서.html", "👉 [클릭] 표준서 열기 📄")</f>
        <v/>
      </c>
      <c r="M23" s="14" t="inlineStr">
        <is>
          <t>1) 무단수 천공기 정밀 세팅 ➔ 2) 차단 밸브 &amp; 챔버 설치 ➔ 3) 수압 시험 및 가동 시운전 ➔ 4) 무단수 시설 검측 감리 승인</t>
        </is>
      </c>
      <c r="N23" s="126">
        <f>HYPERLINK(LEFT(CELL("filename",A1),FIND("[",CELL("filename",A1))-1)&amp;"매뉴얼BODY(집행단계-첨부폴더)v8\3.지장물이설\12_줄따기(GPR)를 통한 기존 지장물 매설 확인\수행지침\수행지침.html", "👉 [클릭] 수행지침 열기 📄")</f>
        <v/>
      </c>
      <c r="O23" s="41" t="inlineStr">
        <is>
          <t>무단수 천공기 정밀 세팅, 차단 밸브 &amp; 챔버 설치 및 수압 시험/가동 시운전 검측</t>
        </is>
      </c>
      <c r="P23" s="126">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7">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26">
        <f>HYPERLINK(LEFT(CELL("filename",A1),FIND("[",CELL("filename",A1))-1)&amp;"매뉴얼BODY(집행단계-첨부폴더)v8\3.지장물이설\13_관리기관(맑은물사업소) 협의\표준서\13_관리기관(맑은물사업소) 협의_표준서.html", "👉 [클릭] 표준서 열기 📄")</f>
        <v/>
      </c>
      <c r="M24" s="14" t="inlineStr">
        <is>
          <t>1) 신구 관로 접속 부위 부설 ➔ 2) 수압 시험(10kgf/cm², 1h 유지) ➔ 3) 부식 방지 피복 랩핑 시행 ➔ 4) 관로 접속 검측 성과표 승인</t>
        </is>
      </c>
      <c r="N24" s="126">
        <f>HYPERLINK(LEFT(CELL("filename",A1),FIND("[",CELL("filename",A1))-1)&amp;"매뉴얼BODY(집행단계-첨부폴더)v8\3.지장물이설\13_관리기관(맑은물사업소) 협의\수행지침\관리기관(맑은물사업소) 협의_수행지침.html", "👉 [클릭] 수행지침 열기 📄")</f>
        <v/>
      </c>
      <c r="O24" s="41" t="inlineStr">
        <is>
          <t>신구 관로 접속 부위 부설, 수압 시험(10kgf/cm², 1h 유지) 및 부식 방지 피복 랩핑 검측</t>
        </is>
      </c>
      <c r="P24" s="126">
        <f>HYPERLINK(LEFT(CELL("filename",A1),FIND("[",CELL("filename",A1))-1)&amp;"매뉴얼BODY(집행단계-첨부폴더)v8\3.지장물이설\13_관리기관(맑은물사업소) 협의\체크리스트\관리기관(맑은물사업소) 협의_체크리스트.html", "👉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7">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26">
        <f>HYPERLINK(LEFT(CELL("filename",A1),FIND("[",CELL("filename",A1))-1)&amp;"매뉴얼BODY(집행단계-첨부폴더)v8\3.지장물이설\13_이설 위치 토공 굴착\표준서\이설 위치 토공 굴착_표준서.html", "👉 [클릭] 표준서 열기 📄")</f>
        <v/>
      </c>
      <c r="M25" s="14" t="inlineStr">
        <is>
          <t>1) 기존 폐관로 안전 철거/수거 ➔ 2) 토사 30cm 층다짐(다짐도≥95%) ➔ 3) 아스콘 가포설 &amp; 평탄성 검측 ➔ 4) 원상복구 성과표 감리 승인</t>
        </is>
      </c>
      <c r="N25" s="126">
        <f>HYPERLINK(LEFT(CELL("filename",A1),FIND("[",CELL("filename",A1))-1)&amp;"매뉴얼BODY(집행단계-첨부폴더)v8\3.지장물이설\13_이설 위치 토공 굴착\수행지침\수행지침.html", "👉 [클릭] 수행지침 열기 📄")</f>
        <v/>
      </c>
      <c r="O25" s="41" t="inlineStr">
        <is>
          <t>기존 폐관로 안전 철거/수거, 토사 30cm 층다짐(다짐도 ≥ 95%) 원상복구 및 아스콘 가포설</t>
        </is>
      </c>
      <c r="P25" s="126">
        <f>HYPERLINK(LEFT(CELL("filename",A1),FIND("[",CELL("filename",A1))-1)&amp;"매뉴얼BODY(집행단계-첨부폴더)v8\3.지장물이설\13_이설 위치 토공 굴착\체크리스트\이설 위치 토공 굴착_체크리스트.html", "👉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7">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26">
        <f>HYPERLINK(LEFT(CELL("filename",A1),FIND("[",CELL("filename",A1))-1)&amp;"매뉴얼BODY(집행단계-첨부폴더)v8\3.지장물이설\14_신규관로 매설 및 설치\표준서\신규관로 매설 및 설치_표준서.html", "👉 [클릭] 표준서 열기 📄")</f>
        <v/>
      </c>
      <c r="M26" s="14" t="inlineStr">
        <is>
          <t>1) 광역상수관(Ø500mm+) 부설 ➔ 2) 수압 시험 &amp; 수질 검사 시행 ➔ 3) 한국수자원공사 현장 입회 ➔ 4) 광역상수관 이설 완료 승인</t>
        </is>
      </c>
      <c r="N26" s="126">
        <f>HYPERLINK(LEFT(CELL("filename",A1),FIND("[",CELL("filename",A1))-1)&amp;"매뉴얼BODY(집행단계-첨부폴더)v8\3.지장물이설\14_신규관로 매설 및 설치\수행지침\수행지침.html", "👉 [클릭] 수행지침 열기 📄")</f>
        <v/>
      </c>
      <c r="O26" s="41" t="inlineStr">
        <is>
          <t>광역상수관(Ø500mm+) 부설, 수압 시험 및 수질 검사 합격 (한국수자원공사 1:1 입회 검측)</t>
        </is>
      </c>
      <c r="P26" s="126">
        <f>HYPERLINK(LEFT(CELL("filename",A1),FIND("[",CELL("filename",A1))-1)&amp;"매뉴얼BODY(집행단계-첨부폴더)v8\3.지장물이설\14_신규관로 매설 및 설치\체크리스트\신규관로 매설 및 설치_체크리스트.html", "👉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7">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26">
        <f>HYPERLINK(LEFT(CELL("filename",A1),FIND("[",CELL("filename",A1))-1)&amp;"매뉴얼BODY(집행단계-첨부폴더)v8\3.지장물이설\14_위수탁 지장물 이설 설계\표준서\14_위수탁 지장물 이설 설계_표준서.html", "👉 [클릭] 표준서 열기 📄")</f>
        <v/>
      </c>
      <c r="M27" s="14" t="inlineStr">
        <is>
          <t>1) 배수관(Ø200~300mm) 이설 부설 ➔ 2) 탁수 퇴수 &amp; 잔류염소 시험 ➔ 3) 맑은물사업소 합동 현측 ➔ 4) 상수도 관로 이설 감리 승인</t>
        </is>
      </c>
      <c r="N27" s="126">
        <f>HYPERLINK(LEFT(CELL("filename",A1),FIND("[",CELL("filename",A1))-1)&amp;"매뉴얼BODY(집행단계-첨부폴더)v8\3.지장물이설\14_위수탁 지장물 이설 설계\수행지침\수행지침.html", "👉 [클릭] 수행지침 열기 📄")</f>
        <v/>
      </c>
      <c r="O27" s="41" t="inlineStr">
        <is>
          <t>배수관(Ø200~300mm) 이설, 탁수 퇴수 작업 및 잔류염소 시험 합격 (맑은물사업소 현측)</t>
        </is>
      </c>
      <c r="P27" s="126">
        <f>HYPERLINK(LEFT(CELL("filename",A1),FIND("[",CELL("filename",A1))-1)&amp;"매뉴얼BODY(집행단계-첨부폴더)v8\3.지장물이설\14_위수탁 지장물 이설 설계\체크리스트\위수탁 지장물 이설 설계_체크리스트.html", "👉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7">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26">
        <f>HYPERLINK(LEFT(CELL("filename",A1),FIND("[",CELL("filename",A1))-1)&amp;"매뉴얼BODY(집행단계-첨부폴더)v8\3.지장물이설\15_무단수 연결을 위한 시설 설치\표준서\무단수 연결을 위한 시설 설치_표준서.html", "👉 [클릭] 표준서 열기 📄")</f>
        <v/>
      </c>
      <c r="M28" s="14" t="inlineStr">
        <is>
          <t>1) 하수관(Ø400mm+) 연결 부설 ➔ 2) CCTV 관로 내부 검사 시행 ➔ 3) 통수 담수 시험 완료 ➔ 4) 하수도 관로 이설 감리 승인</t>
        </is>
      </c>
      <c r="N28" s="126">
        <f>HYPERLINK(LEFT(CELL("filename",A1),FIND("[",CELL("filename",A1))-1)&amp;"매뉴얼BODY(집행단계-첨부폴더)v8\3.지장물이설\15_무단수 연결을 위한 시설 설치\수행지침\무단수 연결을 위한 시설 설치_수행지침.html", "👉 [클릭] 수행지침 열기 📄")</f>
        <v/>
      </c>
      <c r="O28" s="41" t="inlineStr">
        <is>
          <t>하수관(Ø400mm+) 연결 부설, CCTV 관로 내부 검사 &amp; 통수 담수 시험 합격 (하수도사업소 인수)</t>
        </is>
      </c>
      <c r="P28" s="126">
        <f>HYPERLINK(LEFT(CELL("filename",A1),FIND("[",CELL("filename",A1))-1)&amp;"매뉴얼BODY(집행단계-첨부폴더)v8\3.지장물이설\15_무단수 연결을 위한 시설 설치\체크리스트\무단수 연결을 위한 시설 설치_체크리스트.html", "👉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7">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26">
        <f>HYPERLINK(LEFT(CELL("filename",A1),FIND("[",CELL("filename",A1))-1)&amp;"매뉴얼BODY(집행단계-첨부폴더)v8\3.지장물이설\15_상하수도 이설계획 실정보고\표준서\15_상하수도 이설계획 실정보고_표준서.html", "👉 [클릭] 표준서 열기 📄")</f>
        <v/>
      </c>
      <c r="M29" s="14" t="inlineStr">
        <is>
          <t>1) 도시가스관 매설 &amp; 용접 ➔ 2) 비파괴검사(RT 100%) &amp; 기밀 시험 ➔ 3) 도시가스사 1:1 입회 검측 ➔ 4) 가스관 이설 완료 승인</t>
        </is>
      </c>
      <c r="N29" s="126">
        <f>HYPERLINK(LEFT(CELL("filename",A1),FIND("[",CELL("filename",A1))-1)&amp;"매뉴얼BODY(집행단계-첨부폴더)v8\3.지장물이설\15_상하수도 이설계획 실정보고\수행지침\상하수도 이설계획 실정보고_수행지침.html", "👉 [클릭] 수행지침 열기 📄")</f>
        <v/>
      </c>
      <c r="O29" s="41" t="inlineStr">
        <is>
          <t>도시가스관 매설 &amp; 용접, 비파괴검사(RT 100%) 및 기밀 시험 합격 (도시가스사 1:1 입회)</t>
        </is>
      </c>
      <c r="P29" s="126">
        <f>HYPERLINK(LEFT(CELL("filename",A1),FIND("[",CELL("filename",A1))-1)&amp;"매뉴얼BODY(집행단계-첨부폴더)v8\3.지장물이설\15_상하수도 이설계획 실정보고\체크리스트\상하수도 이설계획 실정보고_체크리스트.html", "👉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7">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26">
        <f>HYPERLINK(LEFT(CELL("filename",A1),FIND("[",CELL("filename",A1))-1)&amp;"매뉴얼BODY(집행단계-첨부폴더)v8\3.지장물이설\16_신규관로 및 연결관로 접속\표준서\신규관로 및 연결관로 접속_표준서.html", "👉 [클릭] 표준서 열기 📄")</f>
        <v/>
      </c>
      <c r="M30" s="14" t="inlineStr">
        <is>
          <t>1) 난방 수송관 매설 &amp; 용접 ➔ 2) 100% 비파괴검사 &amp; 피복 랩핑 ➔ 3) 지역난방공사 시운전 인수 ➔ 4) 지역난방관 이설 감리 승인</t>
        </is>
      </c>
      <c r="N30" s="126">
        <f>HYPERLINK(LEFT(CELL("filename",A1),FIND("[",CELL("filename",A1))-1)&amp;"매뉴얼BODY(집행단계-첨부폴더)v8\3.지장물이설\16_신규관로 및 연결관로 접속\수행지침\수행지침.html", "👉 [클릭] 수행지침 열기 📄")</f>
        <v/>
      </c>
      <c r="O30" s="41" t="inlineStr">
        <is>
          <t>난방 수송관 매설 &amp; 용접, 100% 비파괴검사 및 피복 랩핑 검수 (지역난방공사 인수)</t>
        </is>
      </c>
      <c r="P30" s="126">
        <f>HYPERLINK(LEFT(CELL("filename",A1),FIND("[",CELL("filename",A1))-1)&amp;"매뉴얼BODY(집행단계-첨부폴더)v8\3.지장물이설\16_신규관로 및 연결관로 접속\체크리스트\신규관로 및 연결관로 접속_체크리스트.html", "👉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7">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26">
        <f>HYPERLINK(LEFT(CELL("filename",A1),FIND("[",CELL("filename",A1))-1)&amp;"매뉴얼BODY(집행단계-첨부폴더)v8\3.지장물이설\16_위수탁 계약 체결\표준서\16_위수탁 계약 체결_표준서.html", "👉 [클릭] 표준서 열기 📄")</f>
        <v/>
      </c>
      <c r="M31" s="14" t="inlineStr">
        <is>
          <t>1) 통신 광케이블 관로 부설 ➔ 2) 광케이블 포설 &amp; 접속 ➔ 3) 절연저항 &amp; 광손실 시험 ➔ 4) KT/SKT 통신사 광신호 승인</t>
        </is>
      </c>
      <c r="N31" s="126">
        <f>HYPERLINK(LEFT(CELL("filename",A1),FIND("[",CELL("filename",A1))-1)&amp;"매뉴얼BODY(집행단계-첨부폴더)v8\3.지장물이설\16_위수탁 계약 체결\수행지침\수행지침.html", "👉 [클릭] 수행지침 열기 📄")</f>
        <v/>
      </c>
      <c r="O31" s="41" t="inlineStr">
        <is>
          <t>통신 광케이블 관로 부설, 절연 저항 &amp; 광손실 실측 합격 (KT/SKT 광신호 승인)</t>
        </is>
      </c>
      <c r="P31" s="126">
        <f>HYPERLINK(LEFT(CELL("filename",A1),FIND("[",CELL("filename",A1))-1)&amp;"매뉴얼BODY(집행단계-첨부폴더)v8\3.지장물이설\16_위수탁 계약 체결\체크리스트\위수탁 계약 체결_체크리스트.html", "👉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7">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26">
        <f>HYPERLINK(LEFT(CELL("filename",A1),FIND("[",CELL("filename",A1))-1)&amp;"매뉴얼BODY(집행단계-첨부폴더)v8\3.지장물이설\17_기존관로 철거 및 원상복구\표준서\기존관로 철거 및 원상복구_표준서.html", "👉 [클릭] 표준서 열기 📄")</f>
        <v/>
      </c>
      <c r="M32" s="47" t="inlineStr">
        <is>
          <t>1) 22.9kV 특고압 관로/맨홀 부설 ➔ 2) 전력 케이블 인입 &amp; 내력 시험 ➔ 3) 한전 입회 휴전 Cut-over ➔ 4) 전력관로 이설 완료 승인</t>
        </is>
      </c>
      <c r="N32" s="126">
        <f>HYPERLINK(LEFT(CELL("filename",A1),FIND("[",CELL("filename",A1))-1)&amp;"매뉴얼BODY(집행단계-첨부폴더)v8\3.지장물이설\17_기존관로 철거 및 원상복구\수행지침\기존관로 철거 및 원상복구_수행지침.html", "👉 [클릭] 수행지침 열기 📄")</f>
        <v/>
      </c>
      <c r="O32" s="48" t="inlineStr">
        <is>
          <t>22.9kV 특고압 관로/맨홀 부설, 절연내력 시험 합격 (한전 KEPCO 입회 휴전 Cut-over)</t>
        </is>
      </c>
      <c r="P32" s="126">
        <f>HYPERLINK(LEFT(CELL("filename",A1),FIND("[",CELL("filename",A1))-1)&amp;"매뉴얼BODY(집행단계-첨부폴더)v8\3.지장물이설\17_기존관로 철거 및 원상복구\체크리스트\기존관로 철거 및 원상복구_체크리스트.html", "👉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47">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26">
        <f>HYPERLINK(LEFT(CELL("filename",A1),FIND("[",CELL("filename",A1))-1)&amp;"매뉴얼BODY(집행단계-첨부폴더)v8\3.지장물이설\17_도로점용_굴착행위 인허가\표준서\17_도로점용_굴착행위 인허가_표준서.html", "👉 [클릭] 표준서 열기 📄")</f>
        <v/>
      </c>
      <c r="M33" s="47" t="inlineStr">
        <is>
          <t>1) 송유관 용접 부설 ➔ 2) NDT 비파괴검사 &amp; 초음파 탐상 ➔ 3) 송유관공사 안전 점검 ➔ 4) 송유관 이설 완료 서면 승인</t>
        </is>
      </c>
      <c r="N33" s="126">
        <f>HYPERLINK(LEFT(CELL("filename",A1),FIND("[",CELL("filename",A1))-1)&amp;"매뉴얼BODY(집행단계-첨부폴더)v8\3.지장물이설\17_도로점용_굴착행위 인허가\수행지침\도로점용_굴착행위 인허가_수행지침.html", "👉 [클릭] 수행지침 열기 📄")</f>
        <v/>
      </c>
      <c r="O33" s="48" t="inlineStr">
        <is>
          <t>송유관 용접 부설, NDT 비파괴검사 및 초음파 탐상 시험 100% 합격 (대한송유관공사 인수)</t>
        </is>
      </c>
      <c r="P33" s="126">
        <f>HYPERLINK(LEFT(CELL("filename",A1),FIND("[",CELL("filename",A1))-1)&amp;"매뉴얼BODY(집행단계-첨부폴더)v8\3.지장물이설\17_도로점용_굴착행위 인허가\체크리스트\도로점용_굴착행위 인허가_체크리스트.html", "👉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7">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26">
        <f>HYPERLINK(LEFT(CELL("filename",A1),FIND("[",CELL("filename",A1))-1)&amp;"매뉴얼BODY(집행단계-첨부폴더)v8\3.지장물이설\18_광역상수관 이설 공사\표준서\광역상수관 이설 공사_표준서.html", "👉 [클릭] 표준서 열기 📄")</f>
        <v/>
      </c>
      <c r="M34" s="47" t="inlineStr">
        <is>
          <t>1) 신설 관로 종합 현측 ➔ 2) 수압/수질/CCTV 검사 종합 ➔ 3) 지자체 3자 합동 점검 ➔ 4) 상하수도 최종 점검 대장 승인</t>
        </is>
      </c>
      <c r="N34" s="126">
        <f>HYPERLINK(LEFT(CELL("filename",A1),FIND("[",CELL("filename",A1))-1)&amp;"매뉴얼BODY(집행단계-첨부폴더)v8\3.지장물이설\18_광역상수관 이설 공사\수행지침\광역상수관 이설 공사_수행지침.html", "👉 [클릭] 수행지침 열기 📄")</f>
        <v/>
      </c>
      <c r="O34" s="48" t="inlineStr">
        <is>
          <t>신설 관로 종합 현측, 수압/수질/CCTV 검사 종합 대장 작성 및 지자체 3자 합동 점검</t>
        </is>
      </c>
      <c r="P34" s="126">
        <f>HYPERLINK(LEFT(CELL("filename",A1),FIND("[",CELL("filename",A1))-1)&amp;"매뉴얼BODY(집행단계-첨부폴더)v8\3.지장물이설\18_광역상수관 이설 공사\체크리스트\광역상수관 이설 공사_체크리스트.html", "👉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7">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26">
        <f>HYPERLINK(LEFT(CELL("filename",A1),FIND("[",CELL("filename",A1))-1)&amp;"매뉴얼BODY(집행단계-첨부폴더)v8\3.지장물이설\18_교통통제 및 교통안전시설 설치\표준서\18_교통통제 및 교통안전시설 설치_표준서.html", "👉 [클릭] 표준서 열기 📄")</f>
        <v/>
      </c>
      <c r="M35" s="47" t="inlineStr">
        <is>
          <t>1) 위탁기관 1:1 인수 검측 ➔ 2) 3D BIM 준공 도면 대조 ➔ 3) 이설 완료 현장 서명 ➔ 4) 준공 보고서 감리 서면 승인</t>
        </is>
      </c>
      <c r="N35" s="126">
        <f>HYPERLINK(LEFT(CELL("filename",A1),FIND("[",CELL("filename",A1))-1)&amp;"매뉴얼BODY(집행단계-첨부폴더)v8\3.지장물이설\18_교통통제 및 교통안전시설 설치\수행지침\교통통제 및 교통안전시설 설치_수행지침.html", "👉 [클릭] 수행지침 열기 📄")</f>
        <v/>
      </c>
      <c r="O35" s="48" t="inlineStr">
        <is>
          <t>위탁기관 1:1 인수 검측, 3D BIM 준공 도면 대조 및 이설 준공 보고서 감리 서면 승인</t>
        </is>
      </c>
      <c r="P35" s="126">
        <f>HYPERLINK(LEFT(CELL("filename",A1),FIND("[",CELL("filename",A1))-1)&amp;"매뉴얼BODY(집행단계-첨부폴더)v8\3.지장물이설\18_교통통제 및 교통안전시설 설치\체크리스트\교통통제 및 교통안전시설 설치_체크리스트.html", "👉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7">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26">
        <f>HYPERLINK(LEFT(CELL("filename",A1),FIND("[",CELL("filename",A1))-1)&amp;"매뉴얼BODY(집행단계-첨부폴더)v8\3.지장물이설\19_상수도 관로 이설 공사\표준서\상수도 관로 이설 공사_표준서.html", "👉 [클릭] 표준서 열기 📄")</f>
        <v/>
      </c>
      <c r="M36" s="47" t="inlineStr">
        <is>
          <t>1) 실정보고 투입 물량 집계 ➔ 2) 정산 단가 산정 서류 작성 ➔ 3) 정산서 감리 기술 검토 ➔ 4) 정산 금액 최종 서면 승인</t>
        </is>
      </c>
      <c r="N36" s="126">
        <f>HYPERLINK(LEFT(CELL("filename",A1),FIND("[",CELL("filename",A1))-1)&amp;"매뉴얼BODY(집행단계-첨부폴더)v8\3.지장물이설\19_상수도 관로 이설 공사\수행지침\상수도 관로 이설 공사_수행지침.html", "👉 [클릭] 수행지침 열기 📄")</f>
        <v/>
      </c>
      <c r="O36" s="48" t="inlineStr">
        <is>
          <t>실정보고 투입 물량 집계, 정산 단가 산정 서류 작성 및 책임감리원 정산 금액 서면 승인</t>
        </is>
      </c>
      <c r="P36" s="126">
        <f>HYPERLINK(LEFT(CELL("filename",A1),FIND("[",CELL("filename",A1))-1)&amp;"매뉴얼BODY(집행단계-첨부폴더)v8\3.지장물이설\19_상수도 관로 이설 공사\체크리스트\상수도 관로 이설 공사_체크리스트.html", "👉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47">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26">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47" t="inlineStr">
        <is>
          <t>1) 위탁기관 정산 청구서 작성 ➔ 2) 증빙 영수증 &amp; 성과표 첨부 ➔ 3) 정산금 지급 수속 ➔ 4) 이설 정산금 집행 완료</t>
        </is>
      </c>
      <c r="N37" s="126">
        <f>HYPERLINK(LEFT(CELL("filename",A1),FIND("[",CELL("filename",A1))-1)&amp;"매뉴얼BODY(집행단계-첨부폴더)v8\3.지장물이설\19_줄따기(GPR)를 통한 기존 지장물 매설 확인\수행지침\수행지침.html", "👉 [클릭] 수행지침 열기 📄")</f>
        <v/>
      </c>
      <c r="O37" s="48" t="inlineStr">
        <is>
          <t>위탁기관 정산 청구서 작성, 증빙 영수증 &amp; 성과표 부착 및 이설 정산금 집행 완료</t>
        </is>
      </c>
      <c r="P37" s="126">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47">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26">
        <f>HYPERLINK(LEFT(CELL("filename",A1),FIND("[",CELL("filename",A1))-1)&amp;"매뉴얼BODY(집행단계-첨부폴더)v8\3.지장물이설\20_이설 위치 토공 굴착\표준서\20_이설 위치 토공 굴착_표준서.html", "👉 [클릭] 표준서 열기 📄")</f>
        <v/>
      </c>
      <c r="M38" s="47" t="inlineStr">
        <is>
          <t>1) 설계변경 총사업비 산정 ➔ 2) 도급/위수탁 변경 변경 수속 ➔ 3) 발주처 변경 공문 수령 ➔ 4) 설계변경 정산 최종 승인</t>
        </is>
      </c>
      <c r="N38" s="126">
        <f>HYPERLINK(LEFT(CELL("filename",A1),FIND("[",CELL("filename",A1))-1)&amp;"매뉴얼BODY(집행단계-첨부폴더)v8\3.지장물이설\20_이설 위치 토공 굴착\수행지침\수행지침.html", "👉 [클릭] 수행지침 열기 📄")</f>
        <v/>
      </c>
      <c r="O38" s="48" t="inlineStr">
        <is>
          <t>설계변경 총사업비 산정, 도급/위수탁 변경 변경 수속 및 발주처 변경 공문 수령</t>
        </is>
      </c>
      <c r="P38" s="126">
        <f>HYPERLINK(LEFT(CELL("filename",A1),FIND("[",CELL("filename",A1))-1)&amp;"매뉴얼BODY(집행단계-첨부폴더)v8\3.지장물이설\20_이설 위치 토공 굴착\체크리스트\이설 위치 토공 굴착_체크리스트.html", "👉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47">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26">
        <f>HYPERLINK(LEFT(CELL("filename",A1),FIND("[",CELL("filename",A1))-1)&amp;"매뉴얼BODY(집행단계-첨부폴더)v8\3.지장물이설\20_하수도 관로 이설 공사\표준서\하수도 관로 이설 공사_표준서.html", "👉 [클릭] 표준서 열기 📄")</f>
        <v/>
      </c>
      <c r="M39" s="47" t="inlineStr">
        <is>
          <t>1) 선행 토공 &amp; 측량 성과 인수 ➔ 2) 현장 지장물 인계인수 ➔ 3) 3자 합동 현측 실시 ➔ 4) 인계인수서 3자 서명 완료</t>
        </is>
      </c>
      <c r="N39" s="126">
        <f>HYPERLINK(LEFT(CELL("filename",A1),FIND("[",CELL("filename",A1))-1)&amp;"매뉴얼BODY(집행단계-첨부폴더)v8\3.지장물이설\20_하수도 관로 이설 공사\수행지침\수행지침.html", "👉 [클릭] 수행지침 열기 📄")</f>
        <v/>
      </c>
      <c r="O39" s="48" t="inlineStr">
        <is>
          <t>선행 토공 및 측량 성과 인수 대장 작성, 3자 합동 현측 및 인계인수서 서명 완료</t>
        </is>
      </c>
      <c r="P39" s="126">
        <f>HYPERLINK(LEFT(CELL("filename",A1),FIND("[",CELL("filename",A1))-1)&amp;"매뉴얼BODY(집행단계-첨부폴더)v8\3.지장물이설\20_하수도 관로 이설 공사\체크리스트\하수도 관로 이설 공사_체크리스트.html", "👉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c r="L40" s="126">
        <f>HYPERLINK(LEFT(CELL("filename",A1),FIND("[",CELL("filename",A1))-1)&amp;"매뉴얼BODY(집행단계-첨부폴더)v8\3.지장물이설\21_도시가스관 이설 공사\표준서\도시가스관 이설 공사_표준서.html", "👉 [클릭] 표준서 열기 📄")</f>
        <v/>
      </c>
      <c r="N40" s="126">
        <f>HYPERLINK(LEFT(CELL("filename",A1),FIND("[",CELL("filename",A1))-1)&amp;"매뉴얼BODY(집행단계-첨부폴더)v8\3.지장물이설\21_도시가스관 이설 공사\수행지침\도시가스관 이설 공사_수행지침.html", "👉 [클릭] 수행지침 열기 📄")</f>
        <v/>
      </c>
      <c r="P40" s="126">
        <f>HYPERLINK(LEFT(CELL("filename",A1),FIND("[",CELL("filename",A1))-1)&amp;"매뉴얼BODY(집행단계-첨부폴더)v8\3.지장물이설\21_도시가스관 이설 공사\체크리스트\도시가스관 이설 공사_체크리스트.html", "👉 [클릭] 체크리스트 열기 📄")</f>
        <v/>
      </c>
    </row>
    <row r="41">
      <c r="L41" s="126">
        <f>HYPERLINK(LEFT(CELL("filename",A1),FIND("[",CELL("filename",A1))-1)&amp;"매뉴얼BODY(집행단계-첨부폴더)v8\3.지장물이설\21_신규관로 매설 및 설치\표준서\21_신규관로 매설 및 설치_표준서.html", "👉 [클릭] 표준서 열기 📄")</f>
        <v/>
      </c>
      <c r="N41" s="126">
        <f>HYPERLINK(LEFT(CELL("filename",A1),FIND("[",CELL("filename",A1))-1)&amp;"매뉴얼BODY(집행단계-첨부폴더)v8\3.지장물이설\21_신규관로 매설 및 설치\수행지침\수행지침.html", "👉 [클릭] 수행지침 열기 📄")</f>
        <v/>
      </c>
      <c r="P41" s="126">
        <f>HYPERLINK(LEFT(CELL("filename",A1),FIND("[",CELL("filename",A1))-1)&amp;"매뉴얼BODY(집행단계-첨부폴더)v8\3.지장물이설\21_신규관로 매설 및 설치\체크리스트\신규관로 매설 및 설치_체크리스트.html", "👉 [클릭] 체크리스트 열기 📄")</f>
        <v/>
      </c>
    </row>
    <row r="42">
      <c r="L42" s="126">
        <f>HYPERLINK(LEFT(CELL("filename",A1),FIND("[",CELL("filename",A1))-1)&amp;"매뉴얼BODY(집행단계-첨부폴더)v8\3.지장물이설\22_무단수 연결을 위한 시설 설치\표준서\22_무단수 연결을 위한 시설 설치_표준서.html", "👉 [클릭] 표준서 열기 📄")</f>
        <v/>
      </c>
      <c r="N42" s="126">
        <f>HYPERLINK(LEFT(CELL("filename",A1),FIND("[",CELL("filename",A1))-1)&amp;"매뉴얼BODY(집행단계-첨부폴더)v8\3.지장물이설\22_무단수 연결을 위한 시설 설치\수행지침\무단수 연결을 위한 시설 설치_수행지침.html", "👉 [클릭] 수행지침 열기 📄")</f>
        <v/>
      </c>
      <c r="P42" s="126">
        <f>HYPERLINK(LEFT(CELL("filename",A1),FIND("[",CELL("filename",A1))-1)&amp;"매뉴얼BODY(집행단계-첨부폴더)v8\3.지장물이설\22_무단수 연결을 위한 시설 설치\체크리스트\무단수 연결을 위한 시설 설치_체크리스트.html", "👉 [클릭] 체크리스트 열기 📄")</f>
        <v/>
      </c>
    </row>
    <row r="43">
      <c r="G43" s="42" t="n"/>
      <c r="L43" s="126">
        <f>HYPERLINK(LEFT(CELL("filename",A1),FIND("[",CELL("filename",A1))-1)&amp;"매뉴얼BODY(집행단계-첨부폴더)v8\3.지장물이설\22_지역난방관 이설 공사\표준서\지역난방관 이설 공사_표준서.html", "👉 [클릭] 표준서 열기 📄")</f>
        <v/>
      </c>
      <c r="N43" s="126">
        <f>HYPERLINK(LEFT(CELL("filename",A1),FIND("[",CELL("filename",A1))-1)&amp;"매뉴얼BODY(집행단계-첨부폴더)v8\3.지장물이설\22_지역난방관 이설 공사\수행지침\수행지침.html", "👉 [클릭] 수행지침 열기 📄")</f>
        <v/>
      </c>
      <c r="P43" s="126">
        <f>HYPERLINK(LEFT(CELL("filename",A1),FIND("[",CELL("filename",A1))-1)&amp;"매뉴얼BODY(집행단계-첨부폴더)v8\3.지장물이설\22_지역난방관 이설 공사\체크리스트\지역난방관 이설 공사_체크리스트.html", "👉 [클릭] 체크리스트 열기 📄")</f>
        <v/>
      </c>
    </row>
    <row r="44">
      <c r="G44" s="42" t="n"/>
      <c r="L44" s="126">
        <f>HYPERLINK(LEFT(CELL("filename",A1),FIND("[",CELL("filename",A1))-1)&amp;"매뉴얼BODY(집행단계-첨부폴더)v8\3.지장물이설\23_신규관로 및 연결관로 접속\표준서\23_신규관로 및 연결관로 접속_표준서.html", "👉 [클릭] 표준서 열기 📄")</f>
        <v/>
      </c>
      <c r="N44" s="126">
        <f>HYPERLINK(LEFT(CELL("filename",A1),FIND("[",CELL("filename",A1))-1)&amp;"매뉴얼BODY(집행단계-첨부폴더)v8\3.지장물이설\23_신규관로 및 연결관로 접속\수행지침\수행지침.html", "👉 [클릭] 수행지침 열기 📄")</f>
        <v/>
      </c>
      <c r="P44" s="126">
        <f>HYPERLINK(LEFT(CELL("filename",A1),FIND("[",CELL("filename",A1))-1)&amp;"매뉴얼BODY(집행단계-첨부폴더)v8\3.지장물이설\23_신규관로 및 연결관로 접속\체크리스트\신규관로 및 연결관로 접속_체크리스트.html", "👉 [클릭] 체크리스트 열기 📄")</f>
        <v/>
      </c>
    </row>
    <row r="45" ht="22.8" customHeight="1" s="147">
      <c r="G45" s="43" t="n"/>
      <c r="L45" s="126">
        <f>HYPERLINK(LEFT(CELL("filename",A1),FIND("[",CELL("filename",A1))-1)&amp;"매뉴얼BODY(집행단계-첨부폴더)v8\3.지장물이설\23_통신관로 및 케이블 이설 공사\표준서\통신관로 및 케이블 이설 공사_표준서.html", "👉 [클릭] 표준서 열기 📄")</f>
        <v/>
      </c>
      <c r="N45" s="126">
        <f>HYPERLINK(LEFT(CELL("filename",A1),FIND("[",CELL("filename",A1))-1)&amp;"매뉴얼BODY(집행단계-첨부폴더)v8\3.지장물이설\23_통신관로 및 케이블 이설 공사\수행지침\수행지침.html", "👉 [클릭] 수행지침 열기 📄")</f>
        <v/>
      </c>
      <c r="P45" s="126">
        <f>HYPERLINK(LEFT(CELL("filename",A1),FIND("[",CELL("filename",A1))-1)&amp;"매뉴얼BODY(집행단계-첨부폴더)v8\3.지장물이설\23_통신관로 및 케이블 이설 공사\체크리스트\통신관로 및 케이블 이설 공사_체크리스트.html", "👉 [클릭] 체크리스트 열기 📄")</f>
        <v/>
      </c>
    </row>
    <row r="46">
      <c r="G46" s="42" t="n"/>
      <c r="L46" s="126">
        <f>HYPERLINK(LEFT(CELL("filename",A1),FIND("[",CELL("filename",A1))-1)&amp;"매뉴얼BODY(집행단계-첨부폴더)v8\3.지장물이설\24_기존관로 철거 및 원상복구\표준서\24_기존관로 철거 및 원상복구_표준서.html", "👉 [클릭] 표준서 열기 📄")</f>
        <v/>
      </c>
      <c r="N46" s="126">
        <f>HYPERLINK(LEFT(CELL("filename",A1),FIND("[",CELL("filename",A1))-1)&amp;"매뉴얼BODY(집행단계-첨부폴더)v8\3.지장물이설\24_기존관로 철거 및 원상복구\수행지침\기존관로 철거 및 원상복구_수행지침.html", "👉 [클릭] 수행지침 열기 📄")</f>
        <v/>
      </c>
      <c r="P46" s="126">
        <f>HYPERLINK(LEFT(CELL("filename",A1),FIND("[",CELL("filename",A1))-1)&amp;"매뉴얼BODY(집행단계-첨부폴더)v8\3.지장물이설\24_기존관로 철거 및 원상복구\체크리스트\기존관로 철거 및 원상복구_체크리스트.html", "👉 [클릭] 체크리스트 열기 📄")</f>
        <v/>
      </c>
    </row>
    <row r="47">
      <c r="G47" s="44" t="n"/>
      <c r="L47" s="126">
        <f>HYPERLINK(LEFT(CELL("filename",A1),FIND("[",CELL("filename",A1))-1)&amp;"매뉴얼BODY(집행단계-첨부폴더)v8\3.지장물이설\24_특고압 전력관로 이설 공사\표준서\특고압 전력관로 이설 공사_표준서.html", "👉 [클릭] 표준서 열기 📄")</f>
        <v/>
      </c>
      <c r="N47" s="126">
        <f>HYPERLINK(LEFT(CELL("filename",A1),FIND("[",CELL("filename",A1))-1)&amp;"매뉴얼BODY(집행단계-첨부폴더)v8\3.지장물이설\24_특고압 전력관로 이설 공사\수행지침\수행지침.html", "👉 [클릭] 수행지침 열기 📄")</f>
        <v/>
      </c>
      <c r="P47" s="126">
        <f>HYPERLINK(LEFT(CELL("filename",A1),FIND("[",CELL("filename",A1))-1)&amp;"매뉴얼BODY(집행단계-첨부폴더)v8\3.지장물이설\24_특고압 전력관로 이설 공사\체크리스트\특고압 전력관로 이설 공사_체크리스트.html", "👉 [클릭] 체크리스트 열기 📄")</f>
        <v/>
      </c>
    </row>
    <row r="48">
      <c r="G48" s="44" t="n"/>
      <c r="L48" s="126">
        <f>HYPERLINK(LEFT(CELL("filename",A1),FIND("[",CELL("filename",A1))-1)&amp;"매뉴얼BODY(집행단계-첨부폴더)v8\3.지장물이설\25_광역상수관 이설 공사\표준서\25_광역상수관 이설 공사_표준서.html", "👉 [클릭] 표준서 열기 📄")</f>
        <v/>
      </c>
      <c r="N48" s="126">
        <f>HYPERLINK(LEFT(CELL("filename",A1),FIND("[",CELL("filename",A1))-1)&amp;"매뉴얼BODY(집행단계-첨부폴더)v8\3.지장물이설\25_광역상수관 이설 공사\수행지침\광역상수관 이설 공사_수행지침.html", "👉 [클릭] 수행지침 열기 📄")</f>
        <v/>
      </c>
      <c r="P48" s="126">
        <f>HYPERLINK(LEFT(CELL("filename",A1),FIND("[",CELL("filename",A1))-1)&amp;"매뉴얼BODY(집행단계-첨부폴더)v8\3.지장물이설\25_광역상수관 이설 공사\체크리스트\광역상수관 이설 공사_체크리스트.html", "👉 [클릭] 체크리스트 열기 📄")</f>
        <v/>
      </c>
    </row>
    <row r="49" ht="22.8" customHeight="1" s="147">
      <c r="G49" s="43" t="n"/>
      <c r="L49" s="126">
        <f>HYPERLINK(LEFT(CELL("filename",A1),FIND("[",CELL("filename",A1))-1)&amp;"매뉴얼BODY(집행단계-첨부폴더)v8\3.지장물이설\25_송유관 이설 공사\표준서\송유관 이설 공사_표준서.html", "👉 [클릭] 표준서 열기 📄")</f>
        <v/>
      </c>
      <c r="N49" s="126">
        <f>HYPERLINK(LEFT(CELL("filename",A1),FIND("[",CELL("filename",A1))-1)&amp;"매뉴얼BODY(집행단계-첨부폴더)v8\3.지장물이설\25_송유관 이설 공사\수행지침\송유관 이설 공사_수행지침.html", "👉 [클릭] 수행지침 열기 📄")</f>
        <v/>
      </c>
      <c r="P49" s="126">
        <f>HYPERLINK(LEFT(CELL("filename",A1),FIND("[",CELL("filename",A1))-1)&amp;"매뉴얼BODY(집행단계-첨부폴더)v8\3.지장물이설\25_송유관 이설 공사\체크리스트\송유관 이설 공사_체크리스트.html", "👉 [클릭] 체크리스트 열기 📄")</f>
        <v/>
      </c>
    </row>
    <row r="50">
      <c r="G50" s="42" t="n"/>
      <c r="L50" s="126">
        <f>HYPERLINK(LEFT(CELL("filename",A1),FIND("[",CELL("filename",A1))-1)&amp;"매뉴얼BODY(집행단계-첨부폴더)v8\3.지장물이설\26_상수도 관로 이설 공사\표준서\26_상수도 관로 이설 공사_표준서.html", "👉 [클릭] 표준서 열기 📄")</f>
        <v/>
      </c>
      <c r="N50" s="126">
        <f>HYPERLINK(LEFT(CELL("filename",A1),FIND("[",CELL("filename",A1))-1)&amp;"매뉴얼BODY(집행단계-첨부폴더)v8\3.지장물이설\26_상수도 관로 이설 공사\수행지침\상수도 관로 이설 공사_수행지침.html", "👉 [클릭] 수행지침 열기 📄")</f>
        <v/>
      </c>
      <c r="P50" s="126">
        <f>HYPERLINK(LEFT(CELL("filename",A1),FIND("[",CELL("filename",A1))-1)&amp;"매뉴얼BODY(집행단계-첨부폴더)v8\3.지장물이설\26_상수도 관로 이설 공사\체크리스트\상수도 관로 이설 공사_체크리스트.html", "👉 [클릭] 체크리스트 열기 📄")</f>
        <v/>
      </c>
    </row>
    <row r="51">
      <c r="G51" s="44" t="n"/>
      <c r="L51" s="126">
        <f>HYPERLINK(LEFT(CELL("filename",A1),FIND("[",CELL("filename",A1))-1)&amp;"매뉴얼BODY(집행단계-첨부폴더)v8\3.지장물이설\26_상하수도 이설 시공 최종 점검\표준서\상하수도 이설 시공 최종 점검_표준서.html", "👉 [클릭] 표준서 열기 📄")</f>
        <v/>
      </c>
      <c r="N51" s="126">
        <f>HYPERLINK(LEFT(CELL("filename",A1),FIND("[",CELL("filename",A1))-1)&amp;"매뉴얼BODY(집행단계-첨부폴더)v8\3.지장물이설\26_상하수도 이설 시공 최종 점검\수행지침\상하수도 이설 시공 최종 점검_수행지침.html", "👉 [클릭] 수행지침 열기 📄")</f>
        <v/>
      </c>
      <c r="P51" s="126">
        <f>HYPERLINK(LEFT(CELL("filename",A1),FIND("[",CELL("filename",A1))-1)&amp;"매뉴얼BODY(집행단계-첨부폴더)v8\3.지장물이설\26_상하수도 이설 시공 최종 점검\체크리스트\상하수도 이설 시공 최종 점검_체크리스트.html", "👉 [클릭] 체크리스트 열기 📄")</f>
        <v/>
      </c>
    </row>
    <row r="52">
      <c r="G52" s="44" t="n"/>
      <c r="L52" s="126">
        <f>HYPERLINK(LEFT(CELL("filename",A1),FIND("[",CELL("filename",A1))-1)&amp;"매뉴얼BODY(집행단계-첨부폴더)v8\3.지장물이설\27_위수탁 지하지장물 이설 최종 점검\표준서\위수탁 지하지장물 이설 최종 점검_표준서.html", "👉 [클릭] 표준서 열기 📄")</f>
        <v/>
      </c>
      <c r="N52" s="126">
        <f>HYPERLINK(LEFT(CELL("filename",A1),FIND("[",CELL("filename",A1))-1)&amp;"매뉴얼BODY(집행단계-첨부폴더)v8\3.지장물이설\27_위수탁 지하지장물 이설 최종 점검\수행지침\수행지침.html", "👉 [클릭] 수행지침 열기 📄")</f>
        <v/>
      </c>
      <c r="P52" s="126">
        <f>HYPERLINK(LEFT(CELL("filename",A1),FIND("[",CELL("filename",A1))-1)&amp;"매뉴얼BODY(집행단계-첨부폴더)v8\3.지장물이설\27_위수탁 지하지장물 이설 최종 점검\체크리스트\위수탁 지하지장물 이설 최종 점검_체크리스트.html", "👉 [클릭] 체크리스트 열기 📄")</f>
        <v/>
      </c>
    </row>
    <row r="53" ht="22.8" customHeight="1" s="147">
      <c r="G53" s="43" t="n"/>
      <c r="L53" s="126">
        <f>HYPERLINK(LEFT(CELL("filename",A1),FIND("[",CELL("filename",A1))-1)&amp;"매뉴얼BODY(집행단계-첨부폴더)v8\3.지장물이설\27_하수도 관로 이설 공사\표준서\27_하수도 관로 이설 공사_표준서.html", "👉 [클릭] 표준서 열기 📄")</f>
        <v/>
      </c>
      <c r="N53" s="126">
        <f>HYPERLINK(LEFT(CELL("filename",A1),FIND("[",CELL("filename",A1))-1)&amp;"매뉴얼BODY(집행단계-첨부폴더)v8\3.지장물이설\27_하수도 관로 이설 공사\수행지침\수행지침.html", "👉 [클릭] 수행지침 열기 📄")</f>
        <v/>
      </c>
      <c r="P53" s="126">
        <f>HYPERLINK(LEFT(CELL("filename",A1),FIND("[",CELL("filename",A1))-1)&amp;"매뉴얼BODY(집행단계-첨부폴더)v8\3.지장물이설\27_하수도 관로 이설 공사\체크리스트\하수도 관로 이설 공사_체크리스트.html", "👉 [클릭] 체크리스트 열기 📄")</f>
        <v/>
      </c>
    </row>
    <row r="54">
      <c r="G54" s="42" t="n"/>
      <c r="L54" s="126">
        <f>HYPERLINK(LEFT(CELL("filename",A1),FIND("[",CELL("filename",A1))-1)&amp;"매뉴얼BODY(집행단계-첨부폴더)v8\3.지장물이설\28_도시가스관 이설 공사\표준서\28_도시가스관 이설 공사_표준서.html", "👉 [클릭] 표준서 열기 📄")</f>
        <v/>
      </c>
      <c r="N54" s="126">
        <f>HYPERLINK(LEFT(CELL("filename",A1),FIND("[",CELL("filename",A1))-1)&amp;"매뉴얼BODY(집행단계-첨부폴더)v8\3.지장물이설\28_도시가스관 이설 공사\수행지침\도시가스관 이설 공사_수행지침.html", "👉 [클릭] 수행지침 열기 📄")</f>
        <v/>
      </c>
      <c r="P54" s="126">
        <f>HYPERLINK(LEFT(CELL("filename",A1),FIND("[",CELL("filename",A1))-1)&amp;"매뉴얼BODY(집행단계-첨부폴더)v8\3.지장물이설\28_도시가스관 이설 공사\체크리스트\도시가스관 이설 공사_체크리스트.html", "👉 [클릭] 체크리스트 열기 📄")</f>
        <v/>
      </c>
    </row>
    <row r="55">
      <c r="G55" s="44" t="n"/>
      <c r="L55" s="126">
        <f>HYPERLINK(LEFT(CELL("filename",A1),FIND("[",CELL("filename",A1))-1)&amp;"매뉴얼BODY(집행단계-첨부폴더)v8\3.지장물이설\28_상하수도 이설 정산 금액 검토\표준서\상하수도 이설 정산 금액 검토_표준서.html", "👉 [클릭] 표준서 열기 📄")</f>
        <v/>
      </c>
      <c r="N55" s="126">
        <f>HYPERLINK(LEFT(CELL("filename",A1),FIND("[",CELL("filename",A1))-1)&amp;"매뉴얼BODY(집행단계-첨부폴더)v8\3.지장물이설\28_상하수도 이설 정산 금액 검토\수행지침\상하수도 이설 정산 금액 검토_수행지침.html", "👉 [클릭] 수행지침 열기 📄")</f>
        <v/>
      </c>
      <c r="P55" s="126">
        <f>HYPERLINK(LEFT(CELL("filename",A1),FIND("[",CELL("filename",A1))-1)&amp;"매뉴얼BODY(집행단계-첨부폴더)v8\3.지장물이설\28_상하수도 이설 정산 금액 검토\체크리스트\상하수도 이설 정산 금액 검토_체크리스트.html", "👉 [클릭] 체크리스트 열기 📄")</f>
        <v/>
      </c>
    </row>
    <row r="56">
      <c r="G56" s="44" t="n"/>
      <c r="L56" s="126">
        <f>HYPERLINK(LEFT(CELL("filename",A1),FIND("[",CELL("filename",A1))-1)&amp;"매뉴얼BODY(집행단계-첨부폴더)v8\3.지장물이설\29_위수탁 처리 정산금액 지급\표준서\위수탁 처리 정산금액 지급_표준서.html", "👉 [클릭] 표준서 열기 📄")</f>
        <v/>
      </c>
      <c r="N56" s="126">
        <f>HYPERLINK(LEFT(CELL("filename",A1),FIND("[",CELL("filename",A1))-1)&amp;"매뉴얼BODY(집행단계-첨부폴더)v8\3.지장물이설\29_위수탁 처리 정산금액 지급\수행지침\수행지침.html", "👉 [클릭] 수행지침 열기 📄")</f>
        <v/>
      </c>
      <c r="P56" s="126">
        <f>HYPERLINK(LEFT(CELL("filename",A1),FIND("[",CELL("filename",A1))-1)&amp;"매뉴얼BODY(집행단계-첨부폴더)v8\3.지장물이설\29_위수탁 처리 정산금액 지급\체크리스트\위수탁 처리 정산금액 지급_체크리스트.html", "👉 [클릭] 체크리스트 열기 📄")</f>
        <v/>
      </c>
    </row>
    <row r="57" ht="22.8" customHeight="1" s="147">
      <c r="G57" s="43" t="n"/>
      <c r="L57" s="126">
        <f>HYPERLINK(LEFT(CELL("filename",A1),FIND("[",CELL("filename",A1))-1)&amp;"매뉴얼BODY(집행단계-첨부폴더)v8\3.지장물이설\29_지역난방관 이설 공사\표준서\29_지역난방관 이설 공사_표준서.html", "👉 [클릭] 표준서 열기 📄")</f>
        <v/>
      </c>
      <c r="N57" s="126">
        <f>HYPERLINK(LEFT(CELL("filename",A1),FIND("[",CELL("filename",A1))-1)&amp;"매뉴얼BODY(집행단계-첨부폴더)v8\3.지장물이설\29_지역난방관 이설 공사\수행지침\수행지침.html", "👉 [클릭] 수행지침 열기 📄")</f>
        <v/>
      </c>
      <c r="P57" s="126">
        <f>HYPERLINK(LEFT(CELL("filename",A1),FIND("[",CELL("filename",A1))-1)&amp;"매뉴얼BODY(집행단계-첨부폴더)v8\3.지장물이설\29_지역난방관 이설 공사\체크리스트\지역난방관 이설 공사_체크리스트.html", "👉 [클릭] 체크리스트 열기 📄")</f>
        <v/>
      </c>
    </row>
    <row r="58">
      <c r="G58" s="42" t="n"/>
      <c r="L58" s="126">
        <f>HYPERLINK(LEFT(CELL("filename",A1),FIND("[",CELL("filename",A1))-1)&amp;"매뉴얼BODY(집행단계-첨부폴더)v8\3.지장물이설\30_도급자분_위수탁분 설계변경 정산\표준서\도급자분_위수탁분 설계변경 정산_표준서.html", "👉 [클릭] 표준서 열기 📄")</f>
        <v/>
      </c>
      <c r="N58" s="126">
        <f>HYPERLINK(LEFT(CELL("filename",A1),FIND("[",CELL("filename",A1))-1)&amp;"매뉴얼BODY(집행단계-첨부폴더)v8\3.지장물이설\30_도급자분_위수탁분 설계변경 정산\수행지침\도급자분 이설업체 선정(상_하수)_수행지침.html", "👉 [클릭] 수행지침 열기 📄")</f>
        <v/>
      </c>
      <c r="P58" s="126">
        <f>HYPERLINK(LEFT(CELL("filename",A1),FIND("[",CELL("filename",A1))-1)&amp;"매뉴얼BODY(집행단계-첨부폴더)v8\3.지장물이설\30_도급자분_위수탁분 설계변경 정산\체크리스트\도급자분_위수탁분 설계변경 정산_체크리스트.html", "👉 [클릭] 체크리스트 열기 📄")</f>
        <v/>
      </c>
    </row>
    <row r="59">
      <c r="G59" s="44" t="n"/>
      <c r="L59" s="126">
        <f>HYPERLINK(LEFT(CELL("filename",A1),FIND("[",CELL("filename",A1))-1)&amp;"매뉴얼BODY(집행단계-첨부폴더)v8\3.지장물이설\30_통신관로 및 케이블 이설 공사\표준서\30_통신관로 및 케이블 이설 공사_표준서.html", "👉 [클릭] 표준서 열기 📄")</f>
        <v/>
      </c>
      <c r="N59" s="126">
        <f>HYPERLINK(LEFT(CELL("filename",A1),FIND("[",CELL("filename",A1))-1)&amp;"매뉴얼BODY(집행단계-첨부폴더)v8\3.지장물이설\30_통신관로 및 케이블 이설 공사\수행지침\수행지침.html", "👉 [클릭] 수행지침 열기 📄")</f>
        <v/>
      </c>
      <c r="P59" s="126">
        <f>HYPERLINK(LEFT(CELL("filename",A1),FIND("[",CELL("filename",A1))-1)&amp;"매뉴얼BODY(집행단계-첨부폴더)v8\3.지장물이설\30_통신관로 및 케이블 이설 공사\체크리스트\통신관로 및 케이블 이설 공사_체크리스트.html", "👉 [클릭] 체크리스트 열기 📄")</f>
        <v/>
      </c>
    </row>
    <row r="60">
      <c r="G60" s="44" t="n"/>
      <c r="L60" s="126">
        <f>HYPERLINK(LEFT(CELL("filename",A1),FIND("[",CELL("filename",A1))-1)&amp;"매뉴얼BODY(집행단계-첨부폴더)v8\3.지장물이설\31_특고압 전력관로 이설 공사\표준서\31_특고압 전력관로 이설 공사_표준서.html", "👉 [클릭] 표준서 열기 📄")</f>
        <v/>
      </c>
      <c r="N60" s="126">
        <f>HYPERLINK(LEFT(CELL("filename",A1),FIND("[",CELL("filename",A1))-1)&amp;"매뉴얼BODY(집행단계-첨부폴더)v8\3.지장물이설\31_특고압 전력관로 이설 공사\수행지침\수행지침.html", "👉 [클릭] 수행지침 열기 📄")</f>
        <v/>
      </c>
      <c r="P60" s="126">
        <f>HYPERLINK(LEFT(CELL("filename",A1),FIND("[",CELL("filename",A1))-1)&amp;"매뉴얼BODY(집행단계-첨부폴더)v8\3.지장물이설\31_특고압 전력관로 이설 공사\체크리스트\특고압 전력관로 이설 공사_체크리스트.html", "👉 [클릭] 체크리스트 열기 📄")</f>
        <v/>
      </c>
    </row>
    <row r="61">
      <c r="G61" s="44" t="n"/>
      <c r="L61" s="126">
        <f>HYPERLINK(LEFT(CELL("filename",A1),FIND("[",CELL("filename",A1))-1)&amp;"매뉴얼BODY(집행단계-첨부폴더)v8\3.지장물이설\32_송유관 이설 공사\표준서\32_송유관 이설 공사_표준서.html", "👉 [클릭] 표준서 열기 📄")</f>
        <v/>
      </c>
      <c r="N61" s="126">
        <f>HYPERLINK(LEFT(CELL("filename",A1),FIND("[",CELL("filename",A1))-1)&amp;"매뉴얼BODY(집행단계-첨부폴더)v8\3.지장물이설\32_송유관 이설 공사\수행지침\상하수도 이설 시공 최종 점검_수행지침.html", "👉 [클릭] 수행지침 열기 📄")</f>
        <v/>
      </c>
      <c r="P61" s="126">
        <f>HYPERLINK(LEFT(CELL("filename",A1),FIND("[",CELL("filename",A1))-1)&amp;"매뉴얼BODY(집행단계-첨부폴더)v8\3.지장물이설\32_송유관 이설 공사\체크리스트\상하수도 이설 시공 최종 점검_체크리스트.html", "👉 [클릭] 체크리스트 열기 📄")</f>
        <v/>
      </c>
    </row>
    <row r="62">
      <c r="G62" s="45" t="n"/>
      <c r="L62" s="126">
        <f>HYPERLINK(LEFT(CELL("filename",A1),FIND("[",CELL("filename",A1))-1)&amp;"매뉴얼BODY(집행단계-첨부폴더)v8\3.지장물이설\33_상하수도 이설 시공 최종 점검\표준서\33_상하수도 이설 시공 최종 점검_표준서.html", "👉 [클릭] 표준서 열기 📄")</f>
        <v/>
      </c>
      <c r="N62" s="126">
        <f>HYPERLINK(LEFT(CELL("filename",A1),FIND("[",CELL("filename",A1))-1)&amp;"매뉴얼BODY(집행단계-첨부폴더)v8\3.지장물이설\33_상하수도 이설 시공 최종 점검\수행지침\상하수도 이설 시공 최종 점검_수행지침.html", "👉 [클릭] 수행지침 열기 📄")</f>
        <v/>
      </c>
      <c r="P62" s="126">
        <f>HYPERLINK(LEFT(CELL("filename",A1),FIND("[",CELL("filename",A1))-1)&amp;"매뉴얼BODY(집행단계-첨부폴더)v8\3.지장물이설\33_상하수도 이설 시공 최종 점검\체크리스트\위수탁 지하지장물 이설 최종 점검_체크리스트.html", "👉 [클릭] 체크리스트 열기 📄")</f>
        <v/>
      </c>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1"/>
    <col width="8.796875" customWidth="1" style="3" min="72"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4" t="inlineStr">
        <is>
          <t>체크리스트 (Checklist) 요약</t>
        </is>
      </c>
      <c r="P1" s="19" t="inlineStr">
        <is>
          <t>체크리스트 파일 (HTML)</t>
        </is>
      </c>
      <c r="Q1" s="124" t="inlineStr">
        <is>
          <t>비고</t>
        </is>
      </c>
      <c r="R1" s="20" t="inlineStr">
        <is>
          <t>첨부서류 연계 상세 설계기준</t>
        </is>
      </c>
      <c r="S1" s="125" t="inlineStr">
        <is>
          <t>집행단계 리스크 체크리스트</t>
        </is>
      </c>
      <c r="T1" s="20" t="inlineStr">
        <is>
          <t>협력사 시공/공사관리 자문</t>
        </is>
      </c>
    </row>
    <row r="2" ht="118.8" customHeight="1" s="147">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26">
        <f>HYPERLINK(LEFT(CELL("filename",A1),FIND("[",CELL("filename",A1))-1)&amp;"매뉴얼BODY(집행단계-첨부폴더)v8\4.상부강화노반\1_지반조사 상세검토\표준서\지반조사 상세검토_표준서.html", "👉 [클릭] 표준서 열기 📄")</f>
        <v/>
      </c>
      <c r="M2" s="22" t="inlineStr">
        <is>
          <t>1) 시추 주상도 &amp; GPR 3D 매핑 분석 ➔ 2) N치 &lt; 4 연약지반 심도 경계 추출 ➔ 3) PVD/DCM 개량 공법 검토 ➔ 4) 기술사 서명 지반조사 보고서 감리 승인</t>
        </is>
      </c>
      <c r="N2" s="126">
        <f>HYPERLINK(LEFT(CELL("filename",A1),FIND("[",CELL("filename",A1))-1)&amp;"매뉴얼BODY(집행단계-첨부폴더)v8\4.상부강화노반\1_지반조사 상세검토\수행지침\지반조사 상세검토_수행지침.html", "👉 [클릭] 수행지침 열기 📄")</f>
        <v/>
      </c>
      <c r="O2" t="inlineStr">
        <is>
          <t>👉 [클릭] 표준서 열기 📄</t>
        </is>
      </c>
      <c r="P2" s="126">
        <f>HYPERLINK(LEFT(CELL("filename",A1),FIND("[",CELL("filename",A1))-1)&amp;"매뉴얼BODY(집행단계-첨부폴더)v8\4.상부강화노반\1_지반조사 상세검토\체크리스트\지반조사 상세검토_체크리스트.html", "👉 [클릭] 체크리스트 열기 📄")</f>
        <v/>
      </c>
      <c r="Q2" t="inlineStr">
        <is>
          <t>👉 [클릭] 수행지침 열기 📄</t>
        </is>
      </c>
      <c r="R2" s="23" t="inlineStr">
        <is>
          <t>● 설계 지반 정수 및 지층 상태 적합성 검토</t>
        </is>
      </c>
      <c r="S2" t="inlineStr">
        <is>
          <t>👉 [클릭] 체크리스트 열기 📄</t>
        </is>
      </c>
      <c r="T2" s="14" t="n"/>
    </row>
    <row r="3" ht="166.2" customHeight="1" s="147">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26">
        <f>HYPERLINK(LEFT(CELL("filename",A1),FIND("[",CELL("filename",A1))-1)&amp;"매뉴얼BODY(집행단계-첨부폴더)v8\4.상부강화노반\2_발주전략 KOM\표준서\발주전략 KOM_표준서.html", "👉 [클릭] 표준서 열기 📄")</f>
        <v/>
      </c>
      <c r="M3" s="22" t="inlineStr">
        <is>
          <t>1) 발주처 시방서 요구조건 분석 ➔ 2) 3D BIM 도면 표고/구배 검증 ➔ 3) 지장물/용지 리스크 예비비 수립 ➔ 4) 발주·감리·시공 3자 킥오프 결재</t>
        </is>
      </c>
      <c r="N3" s="126">
        <f>HYPERLINK(LEFT(CELL("filename",A1),FIND("[",CELL("filename",A1))-1)&amp;"매뉴얼BODY(집행단계-첨부폴더)v8\4.상부강화노반\2_발주전략 KOM\수행지침\발주전략 KOM_수행지침.html", "👉 [클릭] 수행지침 열기 📄")</f>
        <v/>
      </c>
      <c r="O3" t="inlineStr">
        <is>
          <t>👉 [클릭] 표준서 열기 📄</t>
        </is>
      </c>
      <c r="P3" s="126">
        <f>HYPERLINK(LEFT(CELL("filename",A1),FIND("[",CELL("filename",A1))-1)&amp;"매뉴얼BODY(집행단계-첨부폴더)v8\4.상부강화노반\2_발주전략 KOM\체크리스트\발주전략 KOM_체크리스트.html", "👉 [클릭] 체크리스트 열기 📄")</f>
        <v/>
      </c>
      <c r="Q3" t="inlineStr">
        <is>
          <t>👉 [클릭] 수행지침 열기 📄</t>
        </is>
      </c>
      <c r="R3" s="23" t="inlineStr">
        <is>
          <t>● 본사 유관부서 발주 조달 기준 만족</t>
        </is>
      </c>
      <c r="S3" t="inlineStr">
        <is>
          <t>👉 [클릭] 체크리스트 열기 📄</t>
        </is>
      </c>
      <c r="T3" s="14" t="n"/>
    </row>
    <row r="4" ht="96" customHeight="1" s="147">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26">
        <f>HYPERLINK(LEFT(CELL("filename",A1),FIND("[",CELL("filename",A1))-1)&amp;"매뉴얼BODY(집행단계-첨부폴더)v8\4.상부강화노반\3_철도보호지구에서의 행위신고(필요시)\표준서\철도보호지구 행위신고_표준서.html", "👉 [클릭] 표준서 열기 📄")</f>
        <v/>
      </c>
      <c r="M4" s="22" t="inlineStr">
        <is>
          <t>1) 궤도 중심 30m 법정 경계 측량 ➔ 2) 행위신고서/안전계획서 접수 ➔ 3) 관할 철도운영기관 기술 심의 ➔ 4) 운행선안전관리자 현장 1:1 배치</t>
        </is>
      </c>
      <c r="N4" s="126">
        <f>HYPERLINK(LEFT(CELL("filename",A1),FIND("[",CELL("filename",A1))-1)&amp;"매뉴얼BODY(집행단계-첨부폴더)v8\4.상부강화노반\3_철도보호지구에서의 행위신고(필요시)\수행지침\철도보호지구 행위신고_수행지침.html", "👉 [클릭] 수행지침 열기 📄")</f>
        <v/>
      </c>
      <c r="O4" t="inlineStr">
        <is>
          <t>👉 [클릭] 표준서 열기 📄</t>
        </is>
      </c>
      <c r="P4" s="126">
        <f>HYPERLINK(LEFT(CELL("filename",A1),FIND("[",CELL("filename",A1))-1)&amp;"매뉴얼BODY(집행단계-첨부폴더)v8\4.상부강화노반\3_철도보호지구에서의 행위신고(필요시)\체크리스트\철도보호지구 행위신고_체크리스트.html", "👉 [클릭] 체크리스트 열기 📄")</f>
        <v/>
      </c>
      <c r="Q4" t="inlineStr">
        <is>
          <t>👉 [클릭] 수행지침 열기 📄</t>
        </is>
      </c>
      <c r="R4" s="23" t="inlineStr">
        <is>
          <t>● 철도안전법 제45조</t>
        </is>
      </c>
      <c r="S4" t="inlineStr">
        <is>
          <t>👉 [클릭] 체크리스트 열기 📄</t>
        </is>
      </c>
      <c r="T4" s="14" t="n"/>
    </row>
    <row r="5" ht="96" customHeight="1" s="147">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26">
        <f>HYPERLINK(LEFT(CELL("filename",A1),FIND("[",CELL("filename",A1))-1)&amp;"매뉴얼BODY(집행단계-첨부폴더)v8\4.상부강화노반\4_착수전 측량 Data 확인\표준서\착수전 측량 Data 확인_표준서.html", "👉 [클릭] 표준서 열기 📄")</f>
        <v/>
      </c>
      <c r="M5" s="22" t="inlineStr">
        <is>
          <t>1) 국가 CP/TBM 기준점 인수 ➔ 2) GRS80 수준측량(폐합오차 ≤ 5mm√K) ➔ 3) 현장 인조점 3개소 매설 ➔ 4) 측량 성과표 작성 &amp; 3D BIM 승인</t>
        </is>
      </c>
      <c r="N5" s="126">
        <f>HYPERLINK(LEFT(CELL("filename",A1),FIND("[",CELL("filename",A1))-1)&amp;"매뉴얼BODY(집행단계-첨부폴더)v8\4.상부강화노반\4_착수전 측량 Data 확인\수행지침\착수전 측량 Data 확인_수행지침.html", "👉 [클릭] 수행지침 열기 📄")</f>
        <v/>
      </c>
      <c r="O5" t="inlineStr">
        <is>
          <t>👉 [클릭] 표준서 열기 📄</t>
        </is>
      </c>
      <c r="P5" s="126">
        <f>HYPERLINK(LEFT(CELL("filename",A1),FIND("[",CELL("filename",A1))-1)&amp;"매뉴얼BODY(집행단계-첨부폴더)v8\4.상부강화노반\4_착수전 측량 Data 확인\체크리스트\착수전 측량 Data 확인_체크리스트.html", "👉 [클릭] 체크리스트 열기 📄")</f>
        <v/>
      </c>
      <c r="Q5" t="inlineStr">
        <is>
          <t>👉 [클릭] 수행지침 열기 📄</t>
        </is>
      </c>
      <c r="R5" s="23" t="inlineStr">
        <is>
          <t>● 시공측량 기준 공차 만족</t>
        </is>
      </c>
      <c r="S5" t="inlineStr">
        <is>
          <t>👉 [클릭] 체크리스트 열기 📄</t>
        </is>
      </c>
      <c r="T5" s="14" t="n"/>
    </row>
    <row r="6" ht="96" customHeight="1" s="147">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26">
        <f>HYPERLINK(LEFT(CELL("filename",A1),FIND("[",CELL("filename",A1))-1)&amp;"매뉴얼BODY(집행단계-첨부폴더)v8\4.상부강화노반\5_지장물이설 협의\표준서\지장물이설 협의_표준서.html", "👉 [클릭] 표준서 열기 📄")</f>
        <v/>
      </c>
      <c r="M6" s="22" t="inlineStr">
        <is>
          <t>1) GPR 3D 지중 관로 탐사 ➔ 2) 인력 시탐 줄파기(깊이 1.5m) ➔ 3) 관할 점용기관 1:1 현장 입회 ➔ 4) 매달기 방호 &amp; 지장물 이설 완료 승인</t>
        </is>
      </c>
      <c r="N6" s="126">
        <f>HYPERLINK(LEFT(CELL("filename",A1),FIND("[",CELL("filename",A1))-1)&amp;"매뉴얼BODY(집행단계-첨부폴더)v8\4.상부강화노반\5_지장물이설 협의\수행지침\지장물이설 협의_수행지침.html", "👉 [클릭] 수행지침 열기 📄")</f>
        <v/>
      </c>
      <c r="O6" t="inlineStr">
        <is>
          <t>👉 [클릭] 표준서 열기 📄</t>
        </is>
      </c>
      <c r="P6" s="126">
        <f>HYPERLINK(LEFT(CELL("filename",A1),FIND("[",CELL("filename",A1))-1)&amp;"매뉴얼BODY(집행단계-첨부폴더)v8\4.상부강화노반\5_지장물이설 협의\체크리스트\지장물이설 협의_체크리스트.html", "👉 [클릭] 체크리스트 열기 📄")</f>
        <v/>
      </c>
      <c r="Q6" t="inlineStr">
        <is>
          <t>👉 [클릭] 수행지침 열기 📄</t>
        </is>
      </c>
      <c r="R6" s="23" t="inlineStr">
        <is>
          <t>● 지장물 이설 관련 인허가 요건</t>
        </is>
      </c>
      <c r="S6" t="inlineStr">
        <is>
          <t>👉 [클릭] 체크리스트 열기 📄</t>
        </is>
      </c>
      <c r="T6" s="14" t="n"/>
    </row>
    <row r="7" ht="96" customHeight="1" s="147">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26">
        <f>HYPERLINK(LEFT(CELL("filename",A1),FIND("[",CELL("filename",A1))-1)&amp;"매뉴얼BODY(집행단계-첨부폴더)v8\4.상부강화노반\6_용지보상RISK 검토\표준서\용지보상RISK 검토_표준서.html", "👉 [클릭] 표준서 열기 📄")</f>
        <v/>
      </c>
      <c r="M7" s="22" t="inlineStr">
        <is>
          <t>1) 미보상 사유지 필지 추출 ➔ 2) 경계 가설 펜스(H=1.8m) 차단 ➔ 3) 3D 우회 토공 동선 수립 ➔ 4) 용지 보상 리스크 대책 감리 승인</t>
        </is>
      </c>
      <c r="N7" s="126">
        <f>HYPERLINK(LEFT(CELL("filename",A1),FIND("[",CELL("filename",A1))-1)&amp;"매뉴얼BODY(집행단계-첨부폴더)v8\4.상부강화노반\6_용지보상RISK 검토\수행지침\용지보상RISK 검토_수행지침.html", "👉 [클릭] 수행지침 열기 📄")</f>
        <v/>
      </c>
      <c r="O7" t="inlineStr">
        <is>
          <t>👉 [클릭] 표준서 열기 📄</t>
        </is>
      </c>
      <c r="P7" s="126">
        <f>HYPERLINK(LEFT(CELL("filename",A1),FIND("[",CELL("filename",A1))-1)&amp;"매뉴얼BODY(집행단계-첨부폴더)v8\4.상부강화노반\6_용지보상RISK 검토\체크리스트\용지보상RISK 검토_체크리스트.html", "👉 [클릭] 체크리스트 열기 📄")</f>
        <v/>
      </c>
      <c r="Q7" t="inlineStr">
        <is>
          <t>👉 [클릭] 수행지침 열기 📄</t>
        </is>
      </c>
      <c r="R7" s="23" t="inlineStr">
        <is>
          <t>● 공정 지연 리스크 평가 기준</t>
        </is>
      </c>
      <c r="S7" t="inlineStr">
        <is>
          <t>👉 [클릭] 체크리스트 열기 📄</t>
        </is>
      </c>
      <c r="T7" s="14" t="n"/>
    </row>
    <row r="8" ht="96" customHeight="1" s="147">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26">
        <f>HYPERLINK(LEFT(CELL("filename",A1),FIND("[",CELL("filename",A1))-1)&amp;"매뉴얼BODY(집행단계-첨부폴더)v8\4.상부강화노반\7_최고의 팀 만들기 지원\표준서\최고의 팀 만들기 지원_표준서.html", "👉 [클릭] 표준서 열기 📄")</f>
        <v/>
      </c>
      <c r="M8" s="22" t="inlineStr">
        <is>
          <t>1) 전담 기술자 1:1 배치 ➔ 2) 3자 주간 소통 회의 개최 ➔ 3) 근로자 환경 개선 &amp; TBM ➔ 4) One-Team 전담 조직표 서면 승인</t>
        </is>
      </c>
      <c r="N8" s="126">
        <f>HYPERLINK(LEFT(CELL("filename",A1),FIND("[",CELL("filename",A1))-1)&amp;"매뉴얼BODY(집행단계-첨부폴더)v8\4.상부강화노반\7_최고의 팀 만들기 지원\수행지침\최고의 팀 만들기 지원_수행지침.html", "👉 [클릭] 수행지침 열기 📄")</f>
        <v/>
      </c>
      <c r="O8" t="inlineStr">
        <is>
          <t>👉 [클릭] 표준서 열기 📄</t>
        </is>
      </c>
      <c r="P8" s="126">
        <f>HYPERLINK(LEFT(CELL("filename",A1),FIND("[",CELL("filename",A1))-1)&amp;"매뉴얼BODY(집행단계-첨부폴더)v8\4.상부강화노반\7_최고의 팀 만들기 지원\체크리스트\최고의 팀 만들기 지원_체크리스트.html", "👉 [클릭] 체크리스트 열기 📄")</f>
        <v/>
      </c>
      <c r="Q8" t="inlineStr">
        <is>
          <t>👉 [클릭] 수행지침 열기 📄</t>
        </is>
      </c>
      <c r="R8" s="23" t="inlineStr">
        <is>
          <t>● 협력사 검증 및 풀(Pool) 운영 기준</t>
        </is>
      </c>
      <c r="S8" t="inlineStr">
        <is>
          <t>👉 [클릭] 체크리스트 열기 📄</t>
        </is>
      </c>
      <c r="T8" s="14" t="n"/>
    </row>
    <row r="9" ht="96" customHeight="1" s="147">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26">
        <f>HYPERLINK(LEFT(CELL("filename",A1),FIND("[",CELL("filename",A1))-1)&amp;"매뉴얼BODY(집행단계-첨부폴더)v8\4.상부강화노반\8_연약지반 처리공법 검토(필요시)\표준서\연약지반 처리공법 검토_표준서.html", "👉 [클릭] 표준서 열기 📄")</f>
        <v/>
      </c>
      <c r="M9" s="22" t="inlineStr">
        <is>
          <t>1) 시공계획서 표준 8대 목차 작성 ➔ 2) KCS 47 10 25 수치 명시 ➔ 3) 착공 14일 전 감리단 제출 ➔ 4) 책임감리원 최종 서면 승인</t>
        </is>
      </c>
      <c r="N9" s="126">
        <f>HYPERLINK(LEFT(CELL("filename",A1),FIND("[",CELL("filename",A1))-1)&amp;"매뉴얼BODY(집행단계-첨부폴더)v8\4.상부강화노반\8_연약지반 처리공법 검토(필요시)\수행지침\연약지반 처리공법 검토_수행지침.html", "👉 [클릭] 수행지침 열기 📄")</f>
        <v/>
      </c>
      <c r="O9" t="inlineStr">
        <is>
          <t>👉 [클릭] 표준서 열기 📄</t>
        </is>
      </c>
      <c r="P9" s="126">
        <f>HYPERLINK(LEFT(CELL("filename",A1),FIND("[",CELL("filename",A1))-1)&amp;"매뉴얼BODY(집행단계-첨부폴더)v8\4.상부강화노반\8_연약지반 처리공법 검토(필요시)\체크리스트\연약지반 처리공법 검토_체크리스트.html", "👉 [클릭] 체크리스트 열기 📄")</f>
        <v/>
      </c>
      <c r="Q9" t="inlineStr">
        <is>
          <t>👉 [클릭] 수행지침 열기 📄</t>
        </is>
      </c>
      <c r="R9" s="23" t="inlineStr">
        <is>
          <t>● 지반 개량 기술 시방 만족</t>
        </is>
      </c>
      <c r="S9" t="inlineStr">
        <is>
          <t>👉 [클릭] 체크리스트 열기 📄</t>
        </is>
      </c>
      <c r="T9" s="14" t="n"/>
    </row>
    <row r="10" ht="96" customHeight="1" s="147">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26">
        <f>HYPERLINK(LEFT(CELL("filename",A1),FIND("[",CELL("filename",A1))-1)&amp;"매뉴얼BODY(집행단계-첨부폴더)v8\4.상부강화노반\9_토공 유동표 확인\표준서\토공 유동표 확인_표준서.html", "👉 [클릭] 표준서 열기 📄")</f>
        <v/>
      </c>
      <c r="M10" s="22" t="inlineStr">
        <is>
          <t>1) 토공 롤러/그레이더 조종원 자격 검증 ➔ 2) 건설기계 면허증 1:1 대조 ➔ 3) 일일 음주 측정 &amp; Safety TBM ➔ 4) 작업조 편성표 감리 승인</t>
        </is>
      </c>
      <c r="N10" s="126">
        <f>HYPERLINK(LEFT(CELL("filename",A1),FIND("[",CELL("filename",A1))-1)&amp;"매뉴얼BODY(집행단계-첨부폴더)v8\4.상부강화노반\9_토공 유동표 확인\수행지침\토공 유동표 확인_수행지침.html", "👉 [클릭] 수행지침 열기 📄")</f>
        <v/>
      </c>
      <c r="O10" t="inlineStr">
        <is>
          <t>👉 [클릭] 표준서 열기 📄</t>
        </is>
      </c>
      <c r="P10" s="126">
        <f>HYPERLINK(LEFT(CELL("filename",A1),FIND("[",CELL("filename",A1))-1)&amp;"매뉴얼BODY(집행단계-첨부폴더)v8\4.상부강화노반\9_토공 유동표 확인\체크리스트\토공 유동표 확인_체크리스트.html", "👉 [클릭] 체크리스트 열기 📄")</f>
        <v/>
      </c>
      <c r="Q10" t="inlineStr">
        <is>
          <t>👉 [클릭] 수행지침 열기 📄</t>
        </is>
      </c>
      <c r="R10" s="23" t="inlineStr">
        <is>
          <t>● 건설기계 조합 선정 기준</t>
        </is>
      </c>
      <c r="S10" t="inlineStr">
        <is>
          <t>👉 [클릭] 체크리스트 열기 📄</t>
        </is>
      </c>
      <c r="T10" s="14" t="n"/>
    </row>
    <row r="11" ht="96" customHeight="1" s="147">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26">
        <f>HYPERLINK(LEFT(CELL("filename",A1),FIND("[",CELL("filename",A1))-1)&amp;"매뉴얼BODY(집행단계-첨부폴더)v8\4.상부강화노반\10_기공승낙 적정성 검토\표준서\기공승낙 적정성 검토_표준서.html", "👉 [클릭] 표준서 열기 📄")</f>
        <v/>
      </c>
      <c r="M11" s="22" t="inlineStr">
        <is>
          <t>1) 10t+ 강동/타이어 롤러 사양 확정 ➔ 2) 정기검사증 &amp; 등록증 검수 ➔ 3) 3D GPS 수신기/후방 카메라 점검 ➔ 4) 장비 반입 승인서 감리 결재</t>
        </is>
      </c>
      <c r="N11" s="126">
        <f>HYPERLINK(LEFT(CELL("filename",A1),FIND("[",CELL("filename",A1))-1)&amp;"매뉴얼BODY(집행단계-첨부폴더)v8\4.상부강화노반\10_기공승낙 적정성 검토\수행지침\기공승낙 적정성 검토_수행지침.html", "👉 [클릭] 수행지침 열기 📄")</f>
        <v/>
      </c>
      <c r="O11" t="inlineStr">
        <is>
          <t>👉 [클릭] 표준서 열기 📄</t>
        </is>
      </c>
      <c r="P11" s="126">
        <f>HYPERLINK(LEFT(CELL("filename",A1),FIND("[",CELL("filename",A1))-1)&amp;"매뉴얼BODY(집행단계-첨부폴더)v8\4.상부강화노반\10_기공승낙 적정성 검토\체크리스트\기공승낙 적정성 검토_체크리스트.html", "👉 [클릭] 체크리스트 열기 📄")</f>
        <v/>
      </c>
      <c r="Q11" t="inlineStr">
        <is>
          <t>👉 [클릭] 수행지침 열기 📄</t>
        </is>
      </c>
      <c r="R11" s="23" t="inlineStr">
        <is>
          <t>● 토지 사용 동의 및 합의 조건 검토</t>
        </is>
      </c>
      <c r="S11" t="inlineStr">
        <is>
          <t>👉 [클릭] 체크리스트 열기 📄</t>
        </is>
      </c>
      <c r="T11" s="14" t="n"/>
    </row>
    <row r="12" ht="96" customHeight="1" s="147">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26">
        <f>HYPERLINK(LEFT(CELL("filename",A1),FIND("[",CELL("filename",A1))-1)&amp;"매뉴얼BODY(집행단계-첨부폴더)v8\4.상부강화노반\11_폐기물처리계획 수립\표준서\폐기물처리계획 수립_표준서.html", "👉 [클릭] 표준서 열기 📄")</f>
        <v/>
      </c>
      <c r="M12" s="22" t="inlineStr">
        <is>
          <t>1) 석산 공급원 사전 승인 수속 ➔ 2) 쇄석 입도(Dmax 50mm) 체가름 시험 ➔ 3) 수정다짐 CBR(≥30%) 성적 산출 ➔ 4) 노반 재료 입도 DB 감리 승인</t>
        </is>
      </c>
      <c r="N12" s="126">
        <f>HYPERLINK(LEFT(CELL("filename",A1),FIND("[",CELL("filename",A1))-1)&amp;"매뉴얼BODY(집행단계-첨부폴더)v8\4.상부강화노반\11_폐기물처리계획 수립\수행지침\폐기물처리계획 수립_수행지침.html", "👉 [클릭] 수행지침 열기 📄")</f>
        <v/>
      </c>
      <c r="O12" t="inlineStr">
        <is>
          <t>👉 [클릭] 표준서 열기 📄</t>
        </is>
      </c>
      <c r="P12" s="126">
        <f>HYPERLINK(LEFT(CELL("filename",A1),FIND("[",CELL("filename",A1))-1)&amp;"매뉴얼BODY(집행단계-첨부폴더)v8\4.상부강화노반\11_폐기물처리계획 수립\체크리스트\폐기물처리계획 수립_체크리스트.html", "👉 [클릭] 체크리스트 열기 📄")</f>
        <v/>
      </c>
      <c r="Q12" t="inlineStr">
        <is>
          <t>👉 [클릭] 수행지침 열기 📄</t>
        </is>
      </c>
      <c r="R12" s="23" t="inlineStr">
        <is>
          <t>● 폐기물관리법 규정 준수</t>
        </is>
      </c>
      <c r="S12" t="inlineStr">
        <is>
          <t>👉 [클릭] 체크리스트 열기 📄</t>
        </is>
      </c>
      <c r="T12" s="14" t="n"/>
    </row>
    <row r="13" ht="96" customHeight="1" s="147">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26">
        <f>HYPERLINK(LEFT(CELL("filename",A1),FIND("[",CELL("filename",A1))-1)&amp;"매뉴얼BODY(집행단계-첨부폴더)v8\4.상부강화노반\12_철도운행협의(필요시)\표준서\철도운행협의_표준서.html", "👉 [클릭] 표준서 열기 📄")</f>
        <v/>
      </c>
      <c r="M13" s="22" t="inlineStr">
        <is>
          <t>1) 화성시 정식 사토장 허가 검증 ➔ 2) γd max ≥ 1.90g/cm³ &amp; 오염 시험 ➔ 3) 덤프 운행 송장 일일 집계 ➔ 4) 사토 계획서 감리 서면 승인</t>
        </is>
      </c>
      <c r="N13" s="126">
        <f>HYPERLINK(LEFT(CELL("filename",A1),FIND("[",CELL("filename",A1))-1)&amp;"매뉴얼BODY(집행단계-첨부폴더)v8\4.상부강화노반\12_철도운행협의(필요시)\수행지침\철도운행협의_수행지침.html", "👉 [클릭] 수행지침 열기 📄")</f>
        <v/>
      </c>
      <c r="O13" t="inlineStr">
        <is>
          <t>👉 [클릭] 표준서 열기 📄</t>
        </is>
      </c>
      <c r="P13" s="126">
        <f>HYPERLINK(LEFT(CELL("filename",A1),FIND("[",CELL("filename",A1))-1)&amp;"매뉴얼BODY(집행단계-첨부폴더)v8\4.상부강화노반\12_철도운행협의(필요시)\체크리스트\철도운행협의_체크리스트.html", "👉 [클릭] 체크리스트 열기 📄")</f>
        <v/>
      </c>
      <c r="Q13" t="inlineStr">
        <is>
          <t>👉 [클릭] 수행지침 열기 📄</t>
        </is>
      </c>
      <c r="R13" s="23" t="inlineStr">
        <is>
          <t>● 철도 안전 및 운행 협의 지침 준수</t>
        </is>
      </c>
      <c r="S13" t="inlineStr">
        <is>
          <t>👉 [클릭] 체크리스트 열기 📄</t>
        </is>
      </c>
      <c r="T13" s="14" t="n"/>
    </row>
    <row r="14" ht="134.4" customHeight="1" s="147">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26">
        <f>HYPERLINK(LEFT(CELL("filename",A1),FIND("[",CELL("filename",A1))-1)&amp;"매뉴얼BODY(집행단계-첨부폴더)v8\4.상부강화노반\13_작수전 Big Room 회의\표준서\작수전 Big Room 회의_표준서.html", "👉 [클릭] 표준서 열기 📄")</f>
        <v/>
      </c>
      <c r="M14" s="22" t="inlineStr">
        <is>
          <t>1) 가배수로(0.6×0.6m) &amp; 가침사지 설계 ➔ 2) HDPE 유공관(Ø200mm) 자재 검수 ➔ 3) 비상 양수 펌프(200L/min) 비치 ➔ 4) 배수 처리 계획서 감리 승인</t>
        </is>
      </c>
      <c r="N14" s="126">
        <f>HYPERLINK(LEFT(CELL("filename",A1),FIND("[",CELL("filename",A1))-1)&amp;"매뉴얼BODY(집행단계-첨부폴더)v8\4.상부강화노반\13_작수전 Big Room 회의\수행지침\작수전 Big Room 회의_수행지침.html", "👉 [클릭] 수행지침 열기 📄")</f>
        <v/>
      </c>
      <c r="O14" t="inlineStr">
        <is>
          <t>👉 [클릭] 표준서 열기 📄</t>
        </is>
      </c>
      <c r="P14" s="126">
        <f>HYPERLINK(LEFT(CELL("filename",A1),FIND("[",CELL("filename",A1))-1)&amp;"매뉴얼BODY(집행단계-첨부폴더)v8\4.상부강화노반\13_작수전 Big Room 회의\체크리스트\작수전 Big Room 회의_체크리스트.html", "👉 [클릭] 체크리스트 열기 📄")</f>
        <v/>
      </c>
      <c r="Q14" t="inlineStr">
        <is>
          <t>👉 [클릭] 수행지침 열기 📄</t>
        </is>
      </c>
      <c r="R14" s="23" t="inlineStr">
        <is>
          <t>● 토목 및 궤도 인터페이스 관리 지침</t>
        </is>
      </c>
      <c r="S14" t="inlineStr">
        <is>
          <t>👉 [클릭] 체크리스트 열기 📄</t>
        </is>
      </c>
      <c r="T14" s="14" t="n"/>
    </row>
    <row r="15" ht="96" customHeight="1" s="147">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26">
        <f>HYPERLINK(LEFT(CELL("filename",A1),FIND("[",CELL("filename",A1))-1)&amp;"매뉴얼BODY(집행단계-첨부폴더)v8\4.상부강화노반\14_시공 계획 수립\표준서\시공 계획 수립_표준서.html", "👉 [클릭] 표준서 열기 📄")</f>
        <v/>
      </c>
      <c r="M15" s="22" t="inlineStr">
        <is>
          <t>1) 건진법 제62조 안전관리계획 작성 ➔ 2) 국토안전관리원 전산 적정 심사 ➔ 3) CSI 안전관리 종합망 등록 ➔ 4) 책임감리원 서면 승인</t>
        </is>
      </c>
      <c r="N15" s="126">
        <f>HYPERLINK(LEFT(CELL("filename",A1),FIND("[",CELL("filename",A1))-1)&amp;"매뉴얼BODY(집행단계-첨부폴더)v8\4.상부강화노반\14_시공 계획 수립\수행지침\시공 계획 수립_수행지침.html", "👉 [클릭] 수행지침 열기 📄")</f>
        <v/>
      </c>
      <c r="O15" t="inlineStr">
        <is>
          <t>👉 [클릭] 표준서 열기 📄</t>
        </is>
      </c>
      <c r="P15" s="126">
        <f>HYPERLINK(LEFT(CELL("filename",A1),FIND("[",CELL("filename",A1))-1)&amp;"매뉴얼BODY(집행단계-첨부폴더)v8\4.상부강화노반\14_시공 계획 수립\체크리스트\시공 계획 수립_체크리스트.html", "👉 [클릭] 체크리스트 열기 📄")</f>
        <v/>
      </c>
      <c r="Q15" t="inlineStr">
        <is>
          <t>👉 [클릭] 수행지침 열기 📄</t>
        </is>
      </c>
      <c r="R15" s="23" t="inlineStr">
        <is>
          <t>● 시방 기준 및 토공사 지침 준수</t>
        </is>
      </c>
      <c r="S15" t="inlineStr">
        <is>
          <t>👉 [클릭] 체크리스트 열기 📄</t>
        </is>
      </c>
      <c r="T15" s="14" t="n"/>
    </row>
    <row r="16" ht="96" customHeight="1" s="147">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26">
        <f>HYPERLINK(LEFT(CELL("filename",A1),FIND("[",CELL("filename",A1))-1)&amp;"매뉴얼BODY(집행단계-첨부폴더)v8\4.상부강화노반\15_사토장_토취장 선정 검토(필요시)\표준서\사토장_토취장 선정 검토_표준서.html", "👉 [클릭] 표준서 열기 📄")</f>
        <v/>
      </c>
      <c r="M16" s="22" t="inlineStr">
        <is>
          <t>1) 다짐도/K30/Ev2 시험 빈도 수립 ➔ 2) 현장 시험실 장비 교정 검수 ➔ 3) 착공 14일 전 감리단 제출 ➔ 4) 품질관리계획서 감리 서면 승인</t>
        </is>
      </c>
      <c r="N16" s="126">
        <f>HYPERLINK(LEFT(CELL("filename",A1),FIND("[",CELL("filename",A1))-1)&amp;"매뉴얼BODY(집행단계-첨부폴더)v8\4.상부강화노반\15_사토장_토취장 선정 검토(필요시)\수행지침\사토장_토취장 선정 검토_수행지침.html", "👉 [클릭] 수행지침 열기 📄")</f>
        <v/>
      </c>
      <c r="O16" t="inlineStr">
        <is>
          <t>👉 [클릭] 표준서 열기 📄</t>
        </is>
      </c>
      <c r="P16" s="126">
        <f>HYPERLINK(LEFT(CELL("filename",A1),FIND("[",CELL("filename",A1))-1)&amp;"매뉴얼BODY(집행단계-첨부폴더)v8\4.상부강화노반\15_사토장_토취장 선정 검토(필요시)\체크리스트\사토장_토취장 선정 검토_체크리스트.html", "👉 [클릭] 체크리스트 열기 📄")</f>
        <v/>
      </c>
      <c r="Q16" t="inlineStr">
        <is>
          <t>👉 [클릭] 수행지침 열기 📄</t>
        </is>
      </c>
      <c r="R16" s="23" t="inlineStr">
        <is>
          <t>● 환경 영향 및 골재 채취 인허가 적합성</t>
        </is>
      </c>
      <c r="S16" t="inlineStr">
        <is>
          <t>👉 [클릭] 체크리스트 열기 📄</t>
        </is>
      </c>
      <c r="T16" s="14" t="n"/>
    </row>
    <row r="17" ht="96" customHeight="1" s="147">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26">
        <f>HYPERLINK(LEFT(CELL("filename",A1),FIND("[",CELL("filename",A1))-1)&amp;"매뉴얼BODY(집행단계-첨부폴더)v8\4.상부강화노반\16_공사사전준비\표준서\공사사전준비_표준서.html", "👉 [클릭] 표준서 열기 📄")</f>
        <v/>
      </c>
      <c r="M17" s="22" t="inlineStr">
        <is>
          <t>1) 세륜기(깊이 1.2m) &amp; 방음벽(3m) 설계 ➔ 2) 지자체 비산먼지 발생신고 ➔ 3) 살수차 1일 3회 살수 ➔ 4) 환경관리계획서 감리 서면 승인</t>
        </is>
      </c>
      <c r="N17" s="126">
        <f>HYPERLINK(LEFT(CELL("filename",A1),FIND("[",CELL("filename",A1))-1)&amp;"매뉴얼BODY(집행단계-첨부폴더)v8\4.상부강화노반\16_공사사전준비\수행지침\공사사전준비_수행지침.html", "👉 [클릭] 수행지침 열기 📄")</f>
        <v/>
      </c>
      <c r="O17" t="inlineStr">
        <is>
          <t>👉 [클릭] 표준서 열기 📄</t>
        </is>
      </c>
      <c r="P17" s="126">
        <f>HYPERLINK(LEFT(CELL("filename",A1),FIND("[",CELL("filename",A1))-1)&amp;"매뉴얼BODY(집행단계-첨부폴더)v8\4.상부강화노반\16_공사사전준비\체크리스트\공사사전준비_체크리스트.html", "👉 [클릭] 체크리스트 열기 📄")</f>
        <v/>
      </c>
      <c r="Q17" t="inlineStr">
        <is>
          <t>👉 [클릭] 수행지침 열기 📄</t>
        </is>
      </c>
      <c r="R17" s="23" t="inlineStr">
        <is>
          <t>● 리스크 사전 예방 및 통제 기준</t>
        </is>
      </c>
      <c r="S17" t="inlineStr">
        <is>
          <t>👉 [클릭] 체크리스트 열기 📄</t>
        </is>
      </c>
      <c r="T17" s="14" t="n"/>
    </row>
    <row r="18" ht="96" customHeight="1" s="147">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26">
        <f>HYPERLINK(LEFT(CELL("filename",A1),FIND("[",CELL("filename",A1))-1)&amp;"매뉴얼BODY(집행단계-첨부폴더)v8\4.상부강화노반\17_임시배수시설\표준서\임시배수시설_표준서.html", "👉 [클릭] 표준서 열기 📄")</f>
        <v/>
      </c>
      <c r="M18" s="22" t="inlineStr">
        <is>
          <t>1) 교통 우회 도면 &amp; 차선 설계 ➔ 2) 동탄경찰서 도로점용 허가 ➔ 3) 전담 신호수(2인 2조) 배치 ➔ 4) 교통소통 대책서 감리 서면 승인</t>
        </is>
      </c>
      <c r="N18" s="126">
        <f>HYPERLINK(LEFT(CELL("filename",A1),FIND("[",CELL("filename",A1))-1)&amp;"매뉴얼BODY(집행단계-첨부폴더)v8\4.상부강화노반\17_임시배수시설\수행지침\임시배수시설_수행지침.html", "👉 [클릭] 수행지침 열기 📄")</f>
        <v/>
      </c>
      <c r="O18" t="inlineStr">
        <is>
          <t>👉 [클릭] 표준서 열기 📄</t>
        </is>
      </c>
      <c r="P18" s="126">
        <f>HYPERLINK(LEFT(CELL("filename",A1),FIND("[",CELL("filename",A1))-1)&amp;"매뉴얼BODY(집행단계-첨부폴더)v8\4.상부강화노반\17_임시배수시설\체크리스트\임시배수시설_체크리스트.html", "👉 [클릭] 체크리스트 열기 📄")</f>
        <v/>
      </c>
      <c r="Q18" t="inlineStr">
        <is>
          <t>👉 [클릭] 수행지침 열기 📄</t>
        </is>
      </c>
      <c r="R18" s="23" t="inlineStr">
        <is>
          <t>● 비산먼지 및 수질오염 방지 대책 기준</t>
        </is>
      </c>
      <c r="S18" t="inlineStr">
        <is>
          <t>👉 [클릭] 체크리스트 열기 📄</t>
        </is>
      </c>
      <c r="T18" s="14" t="n"/>
    </row>
    <row r="19" ht="96" customHeight="1" s="147">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26">
        <f>HYPERLINK(LEFT(CELL("filename",A1),FIND("[",CELL("filename",A1))-1)&amp;"매뉴얼BODY(집행단계-첨부폴더)v8\4.상부강화노반\18_쌓기재료 검사\표준서\쌓기재료 검사_표준서.html", "👉 [클릭] 표준서 열기 📄")</f>
        <v/>
      </c>
      <c r="M19" s="22" t="inlineStr">
        <is>
          <t>1) 토공 전문 면허 &amp; 실적 심사 ➔ 2) 하도급 적정성 평가(≥82%) ➔ 3) 노무비 지급 전용계좌 지정 ➔ 4) 하도급 계약 승인 통보서 결재</t>
        </is>
      </c>
      <c r="N19" s="126">
        <f>HYPERLINK(LEFT(CELL("filename",A1),FIND("[",CELL("filename",A1))-1)&amp;"매뉴얼BODY(집행단계-첨부폴더)v8\4.상부강화노반\18_쌓기재료 검사\수행지침\쌓기재료 검사_수행지침.html", "👉 [클릭] 수행지침 열기 📄")</f>
        <v/>
      </c>
      <c r="O19" t="inlineStr">
        <is>
          <t>👉 [클릭] 표준서 열기 📄</t>
        </is>
      </c>
      <c r="P19" s="126">
        <f>HYPERLINK(LEFT(CELL("filename",A1),FIND("[",CELL("filename",A1))-1)&amp;"매뉴얼BODY(집행단계-첨부폴더)v8\4.상부강화노반\18_쌓기재료 검사\체크리스트\쌓기재료 검사_체크리스트.html", "👉 [클릭] 체크리스트 열기 📄")</f>
        <v/>
      </c>
      <c r="Q19" t="inlineStr">
        <is>
          <t>👉 [클릭] 수행지침 열기 📄</t>
        </is>
      </c>
      <c r="R19" s="23" t="inlineStr">
        <is>
          <t>● 토공 성토 재료 규격 기준 준수</t>
        </is>
      </c>
      <c r="S19" t="inlineStr">
        <is>
          <t>👉 [클릭] 체크리스트 열기 📄</t>
        </is>
      </c>
      <c r="T19" s="14" t="n"/>
    </row>
    <row r="20" ht="96" customHeight="1" s="147">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26">
        <f>HYPERLINK(LEFT(CELL("filename",A1),FIND("[",CELL("filename",A1))-1)&amp;"매뉴얼BODY(집행단계-첨부폴더)v8\4.상부강화노반\19_장비 검수 지원\표준서\장비 검수 지원_표준서.html", "👉 [클릭] 표준서 열기 📄")</f>
        <v/>
      </c>
      <c r="M20" s="22" t="inlineStr">
        <is>
          <t>1) KS F 2527 쇄석/유공관 서류 검토 ➔ 2) 공인시험기관 시험성적서 부착 ➔ 3) 자재 승인 신청서 제출 ➔ 4) 자재 반입 검수 및 승인 결재</t>
        </is>
      </c>
      <c r="N20" s="126">
        <f>HYPERLINK(LEFT(CELL("filename",A1),FIND("[",CELL("filename",A1))-1)&amp;"매뉴얼BODY(집행단계-첨부폴더)v8\4.상부강화노반\19_장비 검수 지원\수행지침\장비 검수 지원_수행지침.html", "👉 [클릭] 수행지침 열기 📄")</f>
        <v/>
      </c>
      <c r="O20" t="inlineStr">
        <is>
          <t>👉 [클릭] 표준서 열기 📄</t>
        </is>
      </c>
      <c r="P20" s="126">
        <f>HYPERLINK(LEFT(CELL("filename",A1),FIND("[",CELL("filename",A1))-1)&amp;"매뉴얼BODY(집행단계-첨부폴더)v8\4.상부강화노반\19_장비 검수 지원\체크리스트\장비 검수 지원_체크리스트.html", "👉 [클릭] 체크리스트 열기 📄")</f>
        <v/>
      </c>
      <c r="Q20" t="inlineStr">
        <is>
          <t>👉 [클릭] 수행지침 열기 📄</t>
        </is>
      </c>
      <c r="R20" s="23" t="inlineStr">
        <is>
          <t>● 다짐 장비 기능 및 안전 상태 검증</t>
        </is>
      </c>
      <c r="S20" t="inlineStr">
        <is>
          <t>👉 [클릭] 체크리스트 열기 📄</t>
        </is>
      </c>
      <c r="T20" s="14" t="n"/>
    </row>
    <row r="21" ht="96" customHeight="1" s="147">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26">
        <f>HYPERLINK(LEFT(CELL("filename",A1),FIND("[",CELL("filename",A1))-1)&amp;"매뉴얼BODY(집행단계-첨부폴더)v8\4.상부강화노반\20_선로 종_횡단 및 용지경계측량\표준서\선로 종_횡단 및 용지경계측량_표준서.html", "👉 [클릭] 표준서 열기 📄")</f>
        <v/>
      </c>
      <c r="M21" s="22" t="inlineStr">
        <is>
          <t>1) 50m 시험 다짐 구간 지정 ➔ 2) 쇄석 30cm 두께 포설 ➔ 3) 패스별 침하량(Δh≤1mm) 측정 ➔ 4) 다짐 횟수(강동 4회) 보고서 승인</t>
        </is>
      </c>
      <c r="N21" s="126">
        <f>HYPERLINK(LEFT(CELL("filename",A1),FIND("[",CELL("filename",A1))-1)&amp;"매뉴얼BODY(집행단계-첨부폴더)v8\4.상부강화노반\20_선로 종_횡단 및 용지경계측량\수행지침\선로 종_횡단 및 용지경계측량_수행지침.html", "👉 [클릭] 수행지침 열기 📄")</f>
        <v/>
      </c>
      <c r="O21" t="inlineStr">
        <is>
          <t>👉 [클릭] 표준서 열기 📄</t>
        </is>
      </c>
      <c r="P21" s="126">
        <f>HYPERLINK(LEFT(CELL("filename",A1),FIND("[",CELL("filename",A1))-1)&amp;"매뉴얼BODY(집행단계-첨부폴더)v8\4.상부강화노반\20_선로 종_횡단 및 용지경계측량\체크리스트\선로 종_횡단 및 용지경계측량_체크리스트.html", "👉 [클릭] 체크리스트 열기 📄")</f>
        <v/>
      </c>
      <c r="Q21" t="inlineStr">
        <is>
          <t>👉 [클릭] 수행지침 열기 📄</t>
        </is>
      </c>
      <c r="R21" s="23" t="inlineStr">
        <is>
          <t>● 선로 측량 정밀도 규격 준수</t>
        </is>
      </c>
      <c r="S21" t="inlineStr">
        <is>
          <t>👉 [클릭] 체크리스트 열기 📄</t>
        </is>
      </c>
      <c r="T21" s="14" t="n"/>
    </row>
    <row r="22" ht="115.2" customHeight="1" s="147">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26">
        <f>HYPERLINK(LEFT(CELL("filename",A1),FIND("[",CELL("filename",A1))-1)&amp;"매뉴얼BODY(집행단계-첨부폴더)v8\4.상부강화노반\21_규준틀 설치\표준서\규준틀 설치_표준서.html", "👉 [클릭] 표준서 열기 📄")</f>
        <v/>
      </c>
      <c r="M22" s="22" t="inlineStr">
        <is>
          <t>1) 표토(15~30cm) 제거 &amp; 정전압 다짐 ➔ 2) 원지반 표고 레벨 측량 ➔ 3) K30(≥70 MN/m³) &amp; 펌핑 검측 ➔ 4) 원지반 검측 성과표 감리 승인</t>
        </is>
      </c>
      <c r="N22" s="126">
        <f>HYPERLINK(LEFT(CELL("filename",A1),FIND("[",CELL("filename",A1))-1)&amp;"매뉴얼BODY(집행단계-첨부폴더)v8\4.상부강화노반\21_규준틀 설치\수행지침\규준틀 설치_수행지침.html", "👉 [클릭] 수행지침 열기 📄")</f>
        <v/>
      </c>
      <c r="O22" t="inlineStr">
        <is>
          <t>👉 [클릭] 표준서 열기 📄</t>
        </is>
      </c>
      <c r="P22" s="126">
        <f>HYPERLINK(LEFT(CELL("filename",A1),FIND("[",CELL("filename",A1))-1)&amp;"매뉴얼BODY(집행단계-첨부폴더)v8\4.상부강화노반\21_규준틀 설치\체크리스트\규준틀 설치_체크리스트.html", "👉 [클릭] 체크리스트 열기 📄")</f>
        <v/>
      </c>
      <c r="Q22" t="inlineStr">
        <is>
          <t>👉 [클릭] 수행지침 열기 📄</t>
        </is>
      </c>
      <c r="R22" s="23" t="inlineStr">
        <is>
          <t>● 규준틀 설치 위치 및 간격 한계 기준</t>
        </is>
      </c>
      <c r="S22" t="inlineStr">
        <is>
          <t>👉 [클릭] 체크리스트 열기 📄</t>
        </is>
      </c>
      <c r="T22" s="14" t="n"/>
    </row>
    <row r="23" ht="115.2" customHeight="1" s="147">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26">
        <f>HYPERLINK(LEFT(CELL("filename",A1),FIND("[",CELL("filename",A1))-1)&amp;"매뉴얼BODY(집행단계-첨부폴더)v8\4.상부강화노반\22_준비배수\표준서\준비배수_표준서.html", "👉 [클릭] 표준서 열기 📄")</f>
        <v/>
      </c>
      <c r="M23" s="22" t="inlineStr">
        <is>
          <t>1) 하부노반 30cm 층포설 &amp; 다짐 ➔ 2) 들밀도(≥90%) &amp; K30(≥90) 시험 ➔ 3) 마무리면 레벨 오차(±20mm) 검측 ➔ 4) 하부노반 검측서 감리 승인</t>
        </is>
      </c>
      <c r="N23" s="126">
        <f>HYPERLINK(LEFT(CELL("filename",A1),FIND("[",CELL("filename",A1))-1)&amp;"매뉴얼BODY(집행단계-첨부폴더)v8\4.상부강화노반\22_준비배수\수행지침\준비배수_수행지침.html", "👉 [클릭] 수행지침 열기 📄")</f>
        <v/>
      </c>
      <c r="O23" t="inlineStr">
        <is>
          <t>👉 [클릭] 표준서 열기 📄</t>
        </is>
      </c>
      <c r="P23" s="126">
        <f>HYPERLINK(LEFT(CELL("filename",A1),FIND("[",CELL("filename",A1))-1)&amp;"매뉴얼BODY(집행단계-첨부폴더)v8\4.상부강화노반\22_준비배수\체크리스트\준비배수_체크리스트.html", "👉 [클릭] 체크리스트 열기 📄")</f>
        <v/>
      </c>
      <c r="Q23" t="inlineStr">
        <is>
          <t>👉 [클릭] 수행지침 열기 📄</t>
        </is>
      </c>
      <c r="R23" s="23" t="inlineStr">
        <is>
          <t>● 지하수 및 지표수 유도 배수 기준</t>
        </is>
      </c>
      <c r="S23" t="inlineStr">
        <is>
          <t>👉 [클릭] 체크리스트 열기 📄</t>
        </is>
      </c>
      <c r="T23" s="14" t="n"/>
    </row>
    <row r="24" ht="115.2" customHeight="1" s="147">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26">
        <f>HYPERLINK(LEFT(CELL("filename",A1),FIND("[",CELL("filename",A1))-1)&amp;"매뉴얼BODY(집행단계-첨부폴더)v8\4.상부강화노반\23_벌개제근_표토제거\표준서\벌개제근_표토제거_표준서.html", "👉 [클릭] 표준서 열기 📄")</f>
        <v/>
      </c>
      <c r="M24" s="22" t="inlineStr">
        <is>
          <t>1) 상부노반 토사 30cm 포설 ➔ 2) 맹암거 부직포(200g/m²) 부설 ➔ 3) HDPE 유공관(Ø200mm) 종단 연결 ➔ 4) 상부노반 시공 감리 서면 승인</t>
        </is>
      </c>
      <c r="N24" s="126">
        <f>HYPERLINK(LEFT(CELL("filename",A1),FIND("[",CELL("filename",A1))-1)&amp;"매뉴얼BODY(집행단계-첨부폴더)v8\4.상부강화노반\23_벌개제근_표토제거\수행지침\벌개제근_표토제거_수행지침.html", "👉 [클릭] 수행지침 열기 📄")</f>
        <v/>
      </c>
      <c r="O24" t="inlineStr">
        <is>
          <t>👉 [클릭] 표준서 열기 📄</t>
        </is>
      </c>
      <c r="P24" s="126">
        <f>HYPERLINK(LEFT(CELL("filename",A1),FIND("[",CELL("filename",A1))-1)&amp;"매뉴얼BODY(집행단계-첨부폴더)v8\4.상부강화노반\23_벌개제근_표토제거\체크리스트\벌개제근_표토제거_체크리스트.html", "👉 [클릭] 체크리스트 열기 📄")</f>
        <v/>
      </c>
      <c r="Q24" t="inlineStr">
        <is>
          <t>👉 [클릭] 수행지침 열기 📄</t>
        </is>
      </c>
      <c r="R24" s="23" t="inlineStr">
        <is>
          <t>● 제거 대상 잔재물 처리 기준</t>
        </is>
      </c>
      <c r="S24" t="inlineStr">
        <is>
          <t>👉 [클릭] 체크리스트 열기 📄</t>
        </is>
      </c>
      <c r="T24" s="14" t="n"/>
    </row>
    <row r="25" ht="115.2" customHeight="1" s="147">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26">
        <f>HYPERLINK(LEFT(CELL("filename",A1),FIND("[",CELL("filename",A1))-1)&amp;"매뉴얼BODY(집행단계-첨부폴더)v8\4.상부강화노반\24_구조물 및 지장물 제거\표준서\구조물 및 지장물 제거_표준서.html", "👉 [클릭] 표준서 열기 📄")</f>
        <v/>
      </c>
      <c r="M25" s="22" t="inlineStr">
        <is>
          <t>1) 3D GPS 모터그레이더 쇄석(50mm) 30cm 포설 ➔ 2) 살수차 최적함수비 OMC 살수 ➔ 3) 강동 4회 + 타이어 2회 다짐 ➔ 4) 표고 오차(±10mm) 검측 감리 승인</t>
        </is>
      </c>
      <c r="N25" s="126">
        <f>HYPERLINK(LEFT(CELL("filename",A1),FIND("[",CELL("filename",A1))-1)&amp;"매뉴얼BODY(집행단계-첨부폴더)v8\4.상부강화노반\24_구조물 및 지장물 제거\수행지침\구조물 및 지장물 제거_수행지침.html", "👉 [클릭] 수행지침 열기 📄")</f>
        <v/>
      </c>
      <c r="O25" t="inlineStr">
        <is>
          <t>👉 [클릭] 표준서 열기 📄</t>
        </is>
      </c>
      <c r="P25" s="126">
        <f>HYPERLINK(LEFT(CELL("filename",A1),FIND("[",CELL("filename",A1))-1)&amp;"매뉴얼BODY(집행단계-첨부폴더)v8\4.상부강화노반\24_구조물 및 지장물 제거\체크리스트\구조물 및 지장물 제거_체크리스트.html", "👉 [클릭] 체크리스트 열기 📄")</f>
        <v/>
      </c>
      <c r="Q25" t="inlineStr">
        <is>
          <t>👉 [클릭] 수행지침 열기 📄</t>
        </is>
      </c>
      <c r="R25" s="23" t="inlineStr">
        <is>
          <t>● 지장물 철거 및 처리 규정 준수</t>
        </is>
      </c>
      <c r="S25" t="inlineStr">
        <is>
          <t>👉 [클릭] 체크리스트 열기 📄</t>
        </is>
      </c>
      <c r="T25" s="14" t="n"/>
    </row>
    <row r="26" ht="115.2" customHeight="1" s="147">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26">
        <f>HYPERLINK(LEFT(CELL("filename",A1),FIND("[",CELL("filename",A1))-1)&amp;"매뉴얼BODY(집행단계-첨부폴더)v8\4.상부강화노반\25_진입로 조성\표준서\진입로 조성_표준서.html", "👉 [클릭] 표준서 열기 📄")</f>
        <v/>
      </c>
      <c r="M26" s="22" t="inlineStr">
        <is>
          <t>1) 들밀도 시험(다짐도 ≥ 95%) ➔ 2) K30 평판재하시험(≥ 110 MN/m³) ➔ 3) 동적변형계수 Ev2(≥ 60 MPa) 시험 ➔ 4) 다짐 검측 종합 보고서 승인</t>
        </is>
      </c>
      <c r="N26" s="126">
        <f>HYPERLINK(LEFT(CELL("filename",A1),FIND("[",CELL("filename",A1))-1)&amp;"매뉴얼BODY(집행단계-첨부폴더)v8\4.상부강화노반\25_진입로 조성\수행지침\진입로 조성_수행지침.html", "👉 [클릭] 수행지침 열기 📄")</f>
        <v/>
      </c>
      <c r="O26" t="inlineStr">
        <is>
          <t>👉 [클릭] 표준서 열기 📄</t>
        </is>
      </c>
      <c r="P26" s="126">
        <f>HYPERLINK(LEFT(CELL("filename",A1),FIND("[",CELL("filename",A1))-1)&amp;"매뉴얼BODY(집행단계-첨부폴더)v8\4.상부강화노반\25_진입로 조성\체크리스트\진입로 조성_체크리스트.html", "👉 [클릭] 체크리스트 열기 📄")</f>
        <v/>
      </c>
      <c r="Q26" t="inlineStr">
        <is>
          <t>👉 [클릭] 수행지침 열기 📄</t>
        </is>
      </c>
      <c r="R26" s="23" t="inlineStr">
        <is>
          <t>● 가설 도로 시공 규격 및 배수 조건 준수</t>
        </is>
      </c>
      <c r="S26" t="inlineStr">
        <is>
          <t>👉 [클릭] 체크리스트 열기 📄</t>
        </is>
      </c>
      <c r="T26" s="14" t="n"/>
    </row>
    <row r="27" ht="115.2" customHeight="1" s="147">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26">
        <f>HYPERLINK(LEFT(CELL("filename",A1),FIND("[",CELL("filename",A1))-1)&amp;"매뉴얼BODY(집행단계-첨부폴더)v8\4.상부강화노반\26_노반쌓기\표준서\노반쌓기_표준서.html", "👉 [클릭] 표준서 열기 📄")</f>
        <v/>
      </c>
      <c r="M27" s="22" t="inlineStr">
        <is>
          <t>1) Ø300mm 재하판 산모래 밀착 ➔ 2) 15t 유압 잭 &amp; 다이얼 게이지 교정 ➔ 3) 1.25mm 침하 P-S 곡선 산출 ➔ 4) K30 ≥ 110 MN/m³ 성적서 승인</t>
        </is>
      </c>
      <c r="N27" s="126">
        <f>HYPERLINK(LEFT(CELL("filename",A1),FIND("[",CELL("filename",A1))-1)&amp;"매뉴얼BODY(집행단계-첨부폴더)v8\4.상부강화노반\26_노반쌓기\수행지침\노반쌓기_수행지침.html", "👉 [클릭] 수행지침 열기 📄")</f>
        <v/>
      </c>
      <c r="O27" t="inlineStr">
        <is>
          <t>👉 [클릭] 표준서 열기 📄</t>
        </is>
      </c>
      <c r="P27" s="126">
        <f>HYPERLINK(LEFT(CELL("filename",A1),FIND("[",CELL("filename",A1))-1)&amp;"매뉴얼BODY(집행단계-첨부폴더)v8\4.상부강화노반\26_노반쌓기\체크리스트\노반쌓기_체크리스트.html", "👉 [클릭] 체크리스트 열기 📄")</f>
        <v/>
      </c>
      <c r="Q27" t="inlineStr">
        <is>
          <t>👉 [클릭] 수행지침 열기 📄</t>
        </is>
      </c>
      <c r="R27" s="23" t="inlineStr">
        <is>
          <t>● 다짐도 및 층두께 규격 준수</t>
        </is>
      </c>
      <c r="S27" t="inlineStr">
        <is>
          <t>👉 [클릭] 체크리스트 열기 📄</t>
        </is>
      </c>
      <c r="T27" s="14" t="n"/>
    </row>
    <row r="28" ht="115.2" customHeight="1" s="147">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26">
        <f>HYPERLINK(LEFT(CELL("filename",A1),FIND("[",CELL("filename",A1))-1)&amp;"매뉴얼BODY(집행단계-첨부폴더)v8\4.상부강화노반\27_하부노반 시공\표준서\하부노반 시공_표준서.html", "👉 [클릭] 표준서 열기 📄")</f>
        <v/>
      </c>
      <c r="M28" s="22" t="inlineStr">
        <is>
          <t>1) LWD 동적 평판재하시험기 교정 ➔ 2) 1,000m²당 1회 무작위 시험 ➔ 3) 1차/2차 하중 재하 Ev2/Ev1 산출 ➔ 4) Ev2 ≥ 60 MPa 성적서 감리 승인</t>
        </is>
      </c>
      <c r="N28" s="126">
        <f>HYPERLINK(LEFT(CELL("filename",A1),FIND("[",CELL("filename",A1))-1)&amp;"매뉴얼BODY(집행단계-첨부폴더)v8\4.상부강화노반\27_하부노반 시공\수행지침\하부노반 시공_수행지침.html", "👉 [클릭] 수행지침 열기 📄")</f>
        <v/>
      </c>
      <c r="O28" t="inlineStr">
        <is>
          <t>👉 [클릭] 표준서 열기 📄</t>
        </is>
      </c>
      <c r="P28" s="126">
        <f>HYPERLINK(LEFT(CELL("filename",A1),FIND("[",CELL("filename",A1))-1)&amp;"매뉴얼BODY(집행단계-첨부폴더)v8\4.상부강화노반\27_하부노반 시공\체크리스트\하부노반 시공_체크리스트.html", "👉 [클릭] 체크리스트 열기 📄")</f>
        <v/>
      </c>
      <c r="Q28" t="inlineStr">
        <is>
          <t>👉 [클릭] 수행지침 열기 📄</t>
        </is>
      </c>
      <c r="R28" s="23" t="inlineStr">
        <is>
          <t>● 하부노반 재료 규격 및 최대 입경 준수</t>
        </is>
      </c>
      <c r="S28" t="inlineStr">
        <is>
          <t>👉 [클릭] 체크리스트 열기 📄</t>
        </is>
      </c>
      <c r="T28" s="14" t="n"/>
    </row>
    <row r="29" ht="115.2" customHeight="1" s="147">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26">
        <f>HYPERLINK(LEFT(CELL("filename",A1),FIND("[",CELL("filename",A1))-1)&amp;"매뉴얼BODY(집행단계-첨부폴더)v8\4.상부강화노반\28_상부노반 시공\표준서\상부노반 시공_표준서.html", "👉 [클릭] 표준서 열기 📄")</f>
        <v/>
      </c>
      <c r="M29" s="22" t="inlineStr">
        <is>
          <t>1) 3m 알루미늄 직선자 교정 ➔ 2) 20m 간격 종횡단 연속 검측 ➔ 3) 갭 오차(±10mm) 요철 삭평/재다짐 ➔ 4) 평탄성 검측 성과표 감리 승인</t>
        </is>
      </c>
      <c r="N29" s="126">
        <f>HYPERLINK(LEFT(CELL("filename",A1),FIND("[",CELL("filename",A1))-1)&amp;"매뉴얼BODY(집행단계-첨부폴더)v8\4.상부강화노반\28_상부노반 시공\수행지침\상부노반 시공_수행지침.html", "👉 [클릭] 수행지침 열기 📄")</f>
        <v/>
      </c>
      <c r="O29" t="inlineStr">
        <is>
          <t>👉 [클릭] 표준서 열기 📄</t>
        </is>
      </c>
      <c r="P29" s="126">
        <f>HYPERLINK(LEFT(CELL("filename",A1),FIND("[",CELL("filename",A1))-1)&amp;"매뉴얼BODY(집행단계-첨부폴더)v8\4.상부강화노반\28_상부노반 시공\체크리스트\상부노반 시공_체크리스트.html", "👉 [클릭] 체크리스트 열기 📄")</f>
        <v/>
      </c>
      <c r="Q29" t="inlineStr">
        <is>
          <t>👉 [클릭] 수행지침 열기 📄</t>
        </is>
      </c>
      <c r="R29" s="23" t="inlineStr">
        <is>
          <t>● 상부노반 재료 규격 및 다짐 기준 만족</t>
        </is>
      </c>
      <c r="S29" t="inlineStr">
        <is>
          <t>👉 [클릭] 체크리스트 열기 📄</t>
        </is>
      </c>
      <c r="T29" s="14" t="n"/>
    </row>
    <row r="30" ht="115.2" customHeight="1" s="147">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26">
        <f>HYPERLINK(LEFT(CELL("filename",A1),FIND("[",CELL("filename",A1))-1)&amp;"매뉴얼BODY(집행단계-첨부폴더)v8\4.상부강화노반\29_강화노반 시공\표준서\강화노반 시공_표준서.html", "👉 [클릭] 표준서 열기 📄")</f>
        <v/>
      </c>
      <c r="M30" s="22" t="inlineStr">
        <is>
          <t>1) GRS80 토탈스테이션 정밀 세팅 ➔ 2) 10m 간격 중심선 &amp; 표고 실측 ➔ 3) 3D BIM CAD 좌표(오차 ±10mm) 대조 ➔ 4) 종횡단 성과표 감리 승인</t>
        </is>
      </c>
      <c r="N30" s="126">
        <f>HYPERLINK(LEFT(CELL("filename",A1),FIND("[",CELL("filename",A1))-1)&amp;"매뉴얼BODY(집행단계-첨부폴더)v8\4.상부강화노반\29_강화노반 시공\수행지침\강화노반 시공_수행지침.html", "👉 [클릭] 수행지침 열기 📄")</f>
        <v/>
      </c>
      <c r="O30" t="inlineStr">
        <is>
          <t>👉 [클릭] 표준서 열기 📄</t>
        </is>
      </c>
      <c r="P30" s="126">
        <f>HYPERLINK(LEFT(CELL("filename",A1),FIND("[",CELL("filename",A1))-1)&amp;"매뉴얼BODY(집행단계-첨부폴더)v8\4.상부강화노반\29_강화노반 시공\체크리스트\강화노반 시공_체크리스트.html", "👉 [클릭] 체크리스트 열기 📄")</f>
        <v/>
      </c>
      <c r="Q30" t="inlineStr">
        <is>
          <t>👉 [클릭] 수행지침 열기 📄</t>
        </is>
      </c>
      <c r="R30" s="23" t="inlineStr">
        <is>
          <t>● 입도조정 쇄석 품질 및 다짐도(98% 이상) 준수</t>
        </is>
      </c>
      <c r="S30" t="inlineStr">
        <is>
          <t>👉 [클릭] 체크리스트 열기 📄</t>
        </is>
      </c>
      <c r="T30" s="14" t="n"/>
    </row>
    <row r="31" ht="115.2" customHeight="1" s="147">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26">
        <f>HYPERLINK(LEFT(CELL("filename",A1),FIND("[",CELL("filename",A1))-1)&amp;"매뉴얼BODY(집행단계-첨부폴더)v8\4.상부강화노반\30_토공 유동운반_사토\표준서\토공 유동운반_사토_표준서.html", "👉 [클릭] 표준서 열기 📄")</f>
        <v/>
      </c>
      <c r="M31" s="22" t="inlineStr">
        <is>
          <t>1) 감리단 NCR 통지서 수령 ➔ 2) 해당 구역 표면 15cm 파쇄 &amp; OMC 재다짐 ➔ 3) 1:1 재검측(다짐도/K30/Ev2) ➔ 4) NCR 조치 결과 보고서 감리 종결 승인</t>
        </is>
      </c>
      <c r="N31" s="126">
        <f>HYPERLINK(LEFT(CELL("filename",A1),FIND("[",CELL("filename",A1))-1)&amp;"매뉴얼BODY(집행단계-첨부폴더)v8\4.상부강화노반\30_토공 유동운반_사토\수행지침\토공 유동운반_사토_수행지침.html", "👉 [클릭] 수행지침 열기 📄")</f>
        <v/>
      </c>
      <c r="O31" t="inlineStr">
        <is>
          <t>👉 [클릭] 표준서 열기 📄</t>
        </is>
      </c>
      <c r="P31" s="126">
        <f>HYPERLINK(LEFT(CELL("filename",A1),FIND("[",CELL("filename",A1))-1)&amp;"매뉴얼BODY(집행단계-첨부폴더)v8\4.상부강화노반\30_토공 유동운반_사토\체크리스트\토공 유동운반_사토_체크리스트.html", "👉 [클릭] 체크리스트 열기 📄")</f>
        <v/>
      </c>
      <c r="Q31" t="inlineStr">
        <is>
          <t>👉 [클릭] 수행지침 열기 📄</t>
        </is>
      </c>
      <c r="R31" s="23" t="inlineStr">
        <is>
          <t>● 사토장 운영 및 토량 배분 지침 준수</t>
        </is>
      </c>
      <c r="S31" t="inlineStr">
        <is>
          <t>👉 [클릭] 체크리스트 열기 📄</t>
        </is>
      </c>
      <c r="T31" s="14" t="n"/>
    </row>
    <row r="32" ht="115.2" customHeight="1" s="147">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26">
        <f>HYPERLINK(LEFT(CELL("filename",A1),FIND("[",CELL("filename",A1))-1)&amp;"매뉴얼BODY(집행단계-첨부폴더)v8\4.상부강화노반\31_연약지반처리(필요시)\표준서\연약지반처리_표준서.html", "👉 [클릭] 표준서 열기 📄")</f>
        <v/>
      </c>
      <c r="M32" s="22" t="inlineStr">
        <is>
          <t>1) 성토 사면 경사(1:1.5 이하) 측량 ➔ 2) 사면 다짐도(≥ 90%) 검측 ➔ 3) 식생 거적(Jute Mat) 30cm 겹침 부설 ➔ 4) 사면 다짐 성과표 감리 승인</t>
        </is>
      </c>
      <c r="N32" s="126">
        <f>HYPERLINK(LEFT(CELL("filename",A1),FIND("[",CELL("filename",A1))-1)&amp;"매뉴얼BODY(집행단계-첨부폴더)v8\4.상부강화노반\31_연약지반처리(필요시)\수행지침\연약지반처리_수행지침.html", "👉 [클릭] 수행지침 열기 📄")</f>
        <v/>
      </c>
      <c r="O32" t="inlineStr">
        <is>
          <t>👉 [클릭] 표준서 열기 📄</t>
        </is>
      </c>
      <c r="P32" s="126">
        <f>HYPERLINK(LEFT(CELL("filename",A1),FIND("[",CELL("filename",A1))-1)&amp;"매뉴얼BODY(집행단계-첨부폴더)v8\4.상부강화노반\31_연약지반처리(필요시)\체크리스트\연약지반처리_체크리스트.html", "👉 [클릭] 체크리스트 열기 📄")</f>
        <v/>
      </c>
      <c r="Q32" t="inlineStr">
        <is>
          <t>👉 [클릭] 수행지침 열기 📄</t>
        </is>
      </c>
      <c r="R32" s="23" t="inlineStr">
        <is>
          <t>● 개량 공법 규격 및 침하량 관리 기준 준수</t>
        </is>
      </c>
      <c r="S32" t="inlineStr">
        <is>
          <t>👉 [클릭] 체크리스트 열기 📄</t>
        </is>
      </c>
      <c r="T32" s="14" t="n"/>
    </row>
    <row r="33" ht="115.2" customHeight="1" s="147">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26">
        <f>HYPERLINK(LEFT(CELL("filename",A1),FIND("[",CELL("filename",A1))-1)&amp;"매뉴얼BODY(집행단계-첨부폴더)v8\4.상부강화노반\32_절성토경계부 배수구조물(맹암거) 시공\표준서\절성토경계부 배수구조물 시공_표준서.html", "👉 [클릭] 표준서 열기 📄")</f>
        <v/>
      </c>
      <c r="M33" s="22" t="inlineStr">
        <is>
          <t>1) U형 측구 기초 버림(10cm) 타설 ➔ 2) U형 측구(0.4×0.4m) 부설 &amp; 인버트 사춤 ➔ 3) 주철 그레이팅 체결 &amp; 담수 시험 ➔ 4) 배수시설 검측서 감리 승인</t>
        </is>
      </c>
      <c r="N33" s="126">
        <f>HYPERLINK(LEFT(CELL("filename",A1),FIND("[",CELL("filename",A1))-1)&amp;"매뉴얼BODY(집행단계-첨부폴더)v8\4.상부강화노반\32_절성토경계부 배수구조물(맹암거) 시공\수행지침\절성토경계부 배수구조물 시공_수행지침.html", "👉 [클릭] 수행지침 열기 📄")</f>
        <v/>
      </c>
      <c r="O33" t="inlineStr">
        <is>
          <t>👉 [클릭] 표준서 열기 📄</t>
        </is>
      </c>
      <c r="P33" s="126">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t="inlineStr">
        <is>
          <t>👉 [클릭] 수행지침 열기 📄</t>
        </is>
      </c>
      <c r="R33" s="23" t="inlineStr">
        <is>
          <t>● 맹암거 구배 및 필터재료 규격 준수</t>
        </is>
      </c>
      <c r="S33" t="inlineStr">
        <is>
          <t>👉 [클릭] 체크리스트 열기 📄</t>
        </is>
      </c>
      <c r="T33" s="14" t="n"/>
    </row>
    <row r="34" ht="115.2" customHeight="1" s="147">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26">
        <f>HYPERLINK(LEFT(CELL("filename",A1),FIND("[",CELL("filename",A1))-1)&amp;"매뉴얼BODY(집행단계-첨부폴더)v8\4.상부강화노반\33_암석쌓기\표준서\암석쌓기_표준서.html", "👉 [클릭] 표준서 열기 📄")</f>
        <v/>
      </c>
      <c r="M34" s="22" t="inlineStr">
        <is>
          <t>1) 완성면 통제 바리케이트 설치 ➔ 2) 미세 분무 살수 &amp; 비닐 덮개 야적 ➔ 3) 일일 완성면 훼손 점검 ➔ 4) 완성면 보호 점검 대장 감리 승인</t>
        </is>
      </c>
      <c r="N34" s="126">
        <f>HYPERLINK(LEFT(CELL("filename",A1),FIND("[",CELL("filename",A1))-1)&amp;"매뉴얼BODY(집행단계-첨부폴더)v8\4.상부강화노반\33_암석쌓기\수행지침\암석쌓기_수행지침.html", "👉 [클릭] 수행지침 열기 📄")</f>
        <v/>
      </c>
      <c r="O34" t="inlineStr">
        <is>
          <t>👉 [클릭] 표준서 열기 📄</t>
        </is>
      </c>
      <c r="P34" s="126">
        <f>HYPERLINK(LEFT(CELL("filename",A1),FIND("[",CELL("filename",A1))-1)&amp;"매뉴얼BODY(집행단계-첨부폴더)v8\4.상부강화노반\33_암석쌓기\체크리스트\암석쌓기_체크리스트.html", "👉 [클릭] 체크리스트 열기 📄")</f>
        <v/>
      </c>
      <c r="Q34" t="inlineStr">
        <is>
          <t>👉 [클릭] 수행지침 열기 📄</t>
        </is>
      </c>
      <c r="R34" s="23" t="inlineStr">
        <is>
          <t>● 암석 최대 치수 및 공극 충전 공법 준수</t>
        </is>
      </c>
      <c r="S34" t="inlineStr">
        <is>
          <t>👉 [클릭] 체크리스트 열기 📄</t>
        </is>
      </c>
      <c r="T34" s="14" t="n"/>
    </row>
    <row r="35" ht="115.2" customHeight="1" s="147">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26">
        <f>HYPERLINK(LEFT(CELL("filename",A1),FIND("[",CELL("filename",A1))-1)&amp;"매뉴얼BODY(집행단계-첨부폴더)v8\4.상부강화노반\34_방치기간 확보\표준서\방치기간 확보_표준서.html", "👉 [클릭] 표준서 열기 📄")</f>
        <v/>
      </c>
      <c r="M35" s="22" t="inlineStr">
        <is>
          <t>1) 일일 인원/장비/물량 집계 ➔ 2) 품질 시험 성적 &amp; TBM 수록 ➔ 3) CSI 전산 시스템 등록 ➔ 4) 책임감리원 일일 서면 직인 결재</t>
        </is>
      </c>
      <c r="N35" s="126">
        <f>HYPERLINK(LEFT(CELL("filename",A1),FIND("[",CELL("filename",A1))-1)&amp;"매뉴얼BODY(집행단계-첨부폴더)v8\4.상부강화노반\34_방치기간 확보\수행지침\방치기간 확보_수행지침.html", "👉 [클릭] 수행지침 열기 📄")</f>
        <v/>
      </c>
      <c r="O35" t="inlineStr">
        <is>
          <t>👉 [클릭] 표준서 열기 📄</t>
        </is>
      </c>
      <c r="P35" s="126">
        <f>HYPERLINK(LEFT(CELL("filename",A1),FIND("[",CELL("filename",A1))-1)&amp;"매뉴얼BODY(집행단계-첨부폴더)v8\4.상부강화노반\34_방치기간 확보\체크리스트\방치기간 확보_체크리스트.html", "👉 [클릭] 체크리스트 열기 📄")</f>
        <v/>
      </c>
      <c r="Q35" t="inlineStr">
        <is>
          <t>👉 [클릭] 수행지침 열기 📄</t>
        </is>
      </c>
      <c r="R35" s="23" t="inlineStr">
        <is>
          <t>● 노반 잔류침하량 수렴 기준 확인</t>
        </is>
      </c>
      <c r="S35" t="inlineStr">
        <is>
          <t>👉 [클릭] 체크리스트 열기 📄</t>
        </is>
      </c>
      <c r="T35" s="14" t="n"/>
    </row>
    <row r="36" ht="115.2" customHeight="1" s="147">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26">
        <f>HYPERLINK(LEFT(CELL("filename",A1),FIND("[",CELL("filename",A1))-1)&amp;"매뉴얼BODY(집행단계-첨부폴더)v8\4.상부강화노반\35_토공마무리\표준서\토공마무리_표준서.html", "👉 [클릭] 표준서 열기 📄")</f>
        <v/>
      </c>
      <c r="M36" s="22" t="inlineStr">
        <is>
          <t>1) 공종별 검측요청서 24시간 전 제출 ➔ 2) 책임감리원 1:1 현장 입회 ➔ 3) 16개 체크리스트 서명 ➔ 4) 검측 총괄 승인 대장 감리 결재</t>
        </is>
      </c>
      <c r="N36" s="126">
        <f>HYPERLINK(LEFT(CELL("filename",A1),FIND("[",CELL("filename",A1))-1)&amp;"매뉴얼BODY(집행단계-첨부폴더)v8\4.상부강화노반\35_토공마무리\수행지침\토공마무리_수행지침.html", "👉 [클릭] 수행지침 열기 📄")</f>
        <v/>
      </c>
      <c r="O36" t="inlineStr">
        <is>
          <t>👉 [클릭] 표준서 열기 📄</t>
        </is>
      </c>
      <c r="P36" s="126">
        <f>HYPERLINK(LEFT(CELL("filename",A1),FIND("[",CELL("filename",A1))-1)&amp;"매뉴얼BODY(집행단계-첨부폴더)v8\4.상부강화노반\35_토공마무리\체크리스트\토공마무리_체크리스트.html", "👉 [클릭] 체크리스트 열기 📄")</f>
        <v/>
      </c>
      <c r="Q36" t="inlineStr">
        <is>
          <t>👉 [클릭] 수행지침 열기 📄</t>
        </is>
      </c>
      <c r="R36" s="23" t="inlineStr">
        <is>
          <t>● 설계 종횡단 경사 및 평탄성 만족</t>
        </is>
      </c>
      <c r="S36" t="inlineStr">
        <is>
          <t>👉 [클릭] 체크리스트 열기 📄</t>
        </is>
      </c>
      <c r="T36" s="14" t="n"/>
    </row>
    <row r="37" ht="96" customHeight="1" s="147">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26">
        <f>HYPERLINK(LEFT(CELL("filename",A1),FIND("[",CELL("filename",A1))-1)&amp;"매뉴얼BODY(집행단계-첨부폴더)v8\4.상부강화노반\36_토공 마무리면 인계\표준서\토공 마무리면 인계_표준서.html", "👉 [클릭] 표준서 열기 📄")</f>
        <v/>
      </c>
      <c r="M37" s="22" t="inlineStr">
        <is>
          <t>1) 3자(토공-궤도-감리) 합동 현측 ➔ 2) 표고(±10mm) &amp; K30(≥110) 재검측 ➔ 3) 인계인수 합의서 3자 서명 ➔ 4) 상부강화노반 최종 완공 통보</t>
        </is>
      </c>
      <c r="N37" s="126">
        <f>HYPERLINK(LEFT(CELL("filename",A1),FIND("[",CELL("filename",A1))-1)&amp;"매뉴얼BODY(집행단계-첨부폴더)v8\4.상부강화노반\36_토공 마무리면 인계\수행지침\토공 마무리면 인계_수행지침.html", "👉 [클릭] 수행지침 열기 📄")</f>
        <v/>
      </c>
      <c r="O37" t="inlineStr">
        <is>
          <t>👉 [클릭] 표준서 열기 📄</t>
        </is>
      </c>
      <c r="P37" s="126">
        <f>HYPERLINK(LEFT(CELL("filename",A1),FIND("[",CELL("filename",A1))-1)&amp;"매뉴얼BODY(집행단계-첨부폴더)v8\4.상부강화노반\36_토공 마무리면 인계\체크리스트\토공 마무리면 인계_체크리스트.html", "👉 [클릭] 체크리스트 열기 📄")</f>
        <v/>
      </c>
      <c r="Q37" t="inlineStr">
        <is>
          <t>👉 [클릭] 수행지침 열기 📄</t>
        </is>
      </c>
      <c r="R37" s="23" t="inlineStr">
        <is>
          <t>● 후속 공종 인도 기준 오차 관리</t>
        </is>
      </c>
      <c r="S37" t="inlineStr">
        <is>
          <t>👉 [클릭]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7" min="16" max="16"/>
    <col hidden="1" width="11.8984375" customWidth="1" style="3" min="17" max="17"/>
    <col width="11.8984375" customWidth="1" style="147" min="18" max="19"/>
    <col width="11.8984375" customWidth="1" style="3" min="20" max="53"/>
    <col width="11.8984375" customWidth="1" style="3" min="54"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7">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26">
        <f>HYPERLINK(LEFT(CELL("filename",A1),FIND("[",CELL("filename",A1))-1)&amp;"매뉴얼BODY(집행단계-첨부폴더)v8\5.콘크리트도상\1_설계적정성 검토\표준서\설계적정성 검토_표준서.html", "👉 [클릭] 표준서 열기 📄")</f>
        <v/>
      </c>
      <c r="M2" s="14" t="inlineStr">
        <is>
          <t>1) 하부 HBS 강화노반 지지력(K70 ≥ 150 MPa/m) 및 평탄성 사전 검측 확인
2) 궤도 정밀 검측: 궤간(1435mm), 캔트(±2mm), 수평(±2mm), 고저(±2mm/10m), 비틀림(1.5mm/3m) 실시간 검측</t>
        </is>
      </c>
      <c r="N2" s="126">
        <f>HYPERLINK(LEFT(CELL("filename",A1),FIND("[",CELL("filename",A1))-1)&amp;"매뉴얼BODY(집행단계-첨부폴더)v8\5.콘크리트도상\1_설계적정성 검토\수행지침\설계적정성 검토_수행지침.html", "👉 [클릭] 수행지침 열기 📄")</f>
        <v/>
      </c>
      <c r="O2" s="14" t="inlineStr">
        <is>
          <t>설계 도면 간섭 검속, 궤도 중심선 계획 표고 대조, 종단 구배 한계치 준수 확인</t>
        </is>
      </c>
      <c r="P2" s="126">
        <f>HYPERLINK(LEFT(CELL("filename",A1),FIND("[",CELL("filename",A1))-1)&amp;"매뉴얼BODY(집행단계-첨부폴더)v8\5.콘크리트도상\1_설계적정성 검토\체크리스트\설계적정성 검토_체크리스트.html", "👉 [클릭] 체크리스트 열기 📄")</f>
        <v/>
      </c>
      <c r="Q2" s="13" t="n"/>
      <c r="R2" s="14" t="inlineStr">
        <is>
          <t>● 노반부 및 궤도 선형 기하학적 설계 기준 일치성</t>
        </is>
      </c>
      <c r="S2" s="17" t="inlineStr">
        <is>
          <t>1) 👉 [더블클릭] 체크리스트 열기 📄</t>
        </is>
      </c>
      <c r="T2" s="14" t="n"/>
    </row>
    <row r="3" ht="96" customHeight="1" s="147">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26">
        <f>HYPERLINK(LEFT(CELL("filename",A1),FIND("[",CELL("filename",A1))-1)&amp;"매뉴얼BODY(집행단계-첨부폴더)v8\5.콘크리트도상\2_자재 야적장 선정\표준서\자재 야적장 선정_표준서.html", "👉 [클릭] 표준서 열기 📄")</f>
        <v/>
      </c>
      <c r="M3" s="14" t="inlineStr">
        <is>
          <t>1) 야적 부지 지반재하시험(K70 ≥ 150 MPa/m)을 실시하여 하중 침하 여부 사전 검증
2) 장대레일 운반 트레일러(길이 30m 이상) 회전반경 및 크레인 인양 진입로 확보</t>
        </is>
      </c>
      <c r="N3" s="126">
        <f>HYPERLINK(LEFT(CELL("filename",A1),FIND("[",CELL("filename",A1))-1)&amp;"매뉴얼BODY(집행단계-첨부폴더)v8\5.콘크리트도상\2_자재 야적장 선정\수행지침\자재 야적장 선정_수행지침.html", "👉 [클릭] 수행지침 열기 📄")</f>
        <v/>
      </c>
      <c r="O3" s="14" t="inlineStr">
        <is>
          <t>야적장 지반 다짐도 95% 이상, 배수 경사 2% 이상 확보, 자재 천막 덮개 구비</t>
        </is>
      </c>
      <c r="P3" s="126">
        <f>HYPERLINK(LEFT(CELL("filename",A1),FIND("[",CELL("filename",A1))-1)&amp;"매뉴얼BODY(집행단계-첨부폴더)v8\5.콘크리트도상\2_자재 야적장 선정\체크리스트\자재 야적장 선정_체크리스트.html", "👉 [클릭] 체크리스트 열기 📄")</f>
        <v/>
      </c>
      <c r="Q3" s="13" t="n"/>
      <c r="R3" s="14" t="inlineStr">
        <is>
          <t>● 궤도 자재의 환경 보호 및 보관 관리 지침</t>
        </is>
      </c>
      <c r="S3" s="17" t="inlineStr">
        <is>
          <t>1) 👉 [더블클릭] 체크리스트 열기 📄</t>
        </is>
      </c>
      <c r="T3" s="14" t="n"/>
    </row>
    <row r="4" ht="96" customHeight="1" s="147">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26">
        <f>HYPERLINK(LEFT(CELL("filename",A1),FIND("[",CELL("filename",A1))-1)&amp;"매뉴얼BODY(집행단계-첨부폴더)v8\5.콘크리트도상\3_레일 용접장 선정\표준서\레일 용접장 선정_표준서.html", "👉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26">
        <f>HYPERLINK(LEFT(CELL("filename",A1),FIND("[",CELL("filename",A1))-1)&amp;"매뉴얼BODY(집행단계-첨부폴더)v8\5.콘크리트도상\3_레일 용접장 선정\수행지침\레일 용접장 선정_수행지침.html", "👉 [클릭] 수행지침 열기 📄")</f>
        <v/>
      </c>
      <c r="O4" s="14" t="inlineStr">
        <is>
          <t>용접장 평탄성 오차 ±1mm 이내, 전력 공급 및 방풍 시설 완비, NDT(비파괴) 대기 공간 확보</t>
        </is>
      </c>
      <c r="P4" s="126">
        <f>HYPERLINK(LEFT(CELL("filename",A1),FIND("[",CELL("filename",A1))-1)&amp;"매뉴얼BODY(집행단계-첨부폴더)v8\5.콘크리트도상\3_레일 용접장 선정\체크리스트\레일 용접장 선정_체크리스트.html", "👉 [클릭] 체크리스트 열기 📄")</f>
        <v/>
      </c>
      <c r="Q4" s="13" t="n"/>
      <c r="R4" s="14" t="inlineStr">
        <is>
          <t>● 장대레일 제작장 확보 및 공간 레이아웃 만족</t>
        </is>
      </c>
      <c r="S4" s="17" t="inlineStr">
        <is>
          <t>1) 👉 [더블클릭] 체크리스트 열기 📄</t>
        </is>
      </c>
      <c r="T4" s="14" t="n"/>
    </row>
    <row r="5" ht="134.4" customHeight="1" s="147">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26">
        <f>HYPERLINK(LEFT(CELL("filename",A1),FIND("[",CELL("filename",A1))-1)&amp;"매뉴얼BODY(집행단계-첨부폴더)v8\5.콘크리트도상\4_발주전략 KOM\표준서\발주전략 KOM_표준서.html", "👉 [클릭] 표준서 열기 📄")</f>
        <v/>
      </c>
      <c r="M5" s="14" t="inlineStr">
        <is>
          <t>1) 제조사 공장검사(FAT) 항목 및 궤도 정밀 검측 공차 기준 전파
2) KDS 47 30 00 및 KS 규격 만족 자재 목록 및 세부 발주 물량 확정</t>
        </is>
      </c>
      <c r="N5" s="126">
        <f>HYPERLINK(LEFT(CELL("filename",A1),FIND("[",CELL("filename",A1))-1)&amp;"매뉴얼BODY(집행단계-첨부폴더)v8\5.콘크리트도상\4_발주전략 KOM\수행지침\발주전략 KOM_수행지침.html", "👉 [클릭] 수행지침 열기 📄")</f>
        <v/>
      </c>
      <c r="O5" s="14" t="inlineStr">
        <is>
          <t>품질 요구조건 특기시방서 의결, 외산 홈레일 선적일정 검토, 자재 인도 시점 확약</t>
        </is>
      </c>
      <c r="P5" s="126">
        <f>HYPERLINK(LEFT(CELL("filename",A1),FIND("[",CELL("filename",A1))-1)&amp;"매뉴얼BODY(집행단계-첨부폴더)v8\5.콘크리트도상\4_발주전략 KOM\체크리스트\발주전략 KOM_체크리스트.html", "👉 [클릭] 체크리스트 열기 📄")</f>
        <v/>
      </c>
      <c r="Q5" s="13" t="n"/>
      <c r="R5" s="14" t="inlineStr">
        <is>
          <t>● 본사 외주/수행 부서 및 토목견적팀 협의 지침 준수</t>
        </is>
      </c>
      <c r="S5" s="17" t="inlineStr">
        <is>
          <t>1) 👉 [더블클릭] 체크리스트 열기 📄</t>
        </is>
      </c>
      <c r="T5" s="14" t="n"/>
    </row>
    <row r="6" ht="96" customHeight="1" s="147">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26">
        <f>HYPERLINK(LEFT(CELL("filename",A1),FIND("[",CELL("filename",A1))-1)&amp;"매뉴얼BODY(집행단계-첨부폴더)v8\5.콘크리트도상\5_최고의 팀 만들기 지원\표준서\최고의 팀 만들기 지원_표준서.html", "👉 [클릭] 표준서 열기 📄")</f>
        <v/>
      </c>
      <c r="M6" s="14" t="inlineStr">
        <is>
          <t>1) EN ISO 14730 용접원 자격증 및 광학 측량 기술자 자격 검증
2) 스핀들 게이지 조정, 캔트 달성구배, 테르밋 산화반응 제어 사전 모의 훈련</t>
        </is>
      </c>
      <c r="N6" s="126">
        <f>HYPERLINK(LEFT(CELL("filename",A1),FIND("[",CELL("filename",A1))-1)&amp;"매뉴얼BODY(집행단계-첨부폴더)v8\5.콘크리트도상\5_최고의 팀 만들기 지원\수행지침\최고의 팀 만들기 지원_수행지침.html", "👉 [클릭] 수행지침 열기 📄")</f>
        <v/>
      </c>
      <c r="O6" s="14" t="inlineStr">
        <is>
          <t>용접공 자격증 원본 대조, 정밀 검측 장비 검교정 확인, 궤도 전문 기술사 면허 검토</t>
        </is>
      </c>
      <c r="P6" s="126">
        <f>HYPERLINK(LEFT(CELL("filename",A1),FIND("[",CELL("filename",A1))-1)&amp;"매뉴얼BODY(집행단계-첨부폴더)v8\5.콘크리트도상\5_최고의 팀 만들기 지원\체크리스트\최고의 팀 만들기 지원_체크리스트.html", "👉 [클릭] 체크리스트 열기 📄")</f>
        <v/>
      </c>
      <c r="Q6" s="13" t="n"/>
      <c r="R6" s="14" t="inlineStr">
        <is>
          <t>● 협력업체 역량 평가 및 등록 관리 기준 만족</t>
        </is>
      </c>
      <c r="S6" s="17" t="inlineStr">
        <is>
          <t>1) 👉 [더블클릭] 체크리스트 열기 📄</t>
        </is>
      </c>
      <c r="T6" s="14" t="n"/>
    </row>
    <row r="7" ht="76.8" customHeight="1" s="147">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26">
        <f>HYPERLINK(LEFT(CELL("filename",A1),FIND("[",CELL("filename",A1))-1)&amp;"매뉴얼BODY(집행단계-첨부폴더)v8\5.콘크리트도상\6_콘크리트 타설방법_계획 검토\표준서\콘크리트 타설방법_계획 검토_표준서.html", "👉 [클릭] 표준서 열기 📄")</f>
        <v/>
      </c>
      <c r="M7" s="14" t="inlineStr">
        <is>
          <t>1) TCL 콘크리트(f_ck ≥ 30 MPa) 및 PST 충전재(f_ck ≥ 45 MPa) 배합 성적서 확인
2) 레미콘 운반시간(60분 이내) 및 펌프카 배치 공간 사전 확보</t>
        </is>
      </c>
      <c r="N7" s="126">
        <f>HYPERLINK(LEFT(CELL("filename",A1),FIND("[",CELL("filename",A1))-1)&amp;"매뉴얼BODY(집행단계-첨부폴더)v8\5.콘크리트도상\6_콘크리트 타설방법_계획 검토\수행지침\콘크리트 타설방법_계획 검토_수행지침.html", "👉 [클릭] 수행지침 열기 📄")</f>
        <v/>
      </c>
      <c r="O7" s="14" t="inlineStr">
        <is>
          <t>구간별 펌프카 배치도 작성, 타설 시 궤광 고정 잭 지지 계획 승인, 콘크리트 슬럼프 품질 확인</t>
        </is>
      </c>
      <c r="P7" s="126">
        <f>HYPERLINK(LEFT(CELL("filename",A1),FIND("[",CELL("filename",A1))-1)&amp;"매뉴얼BODY(집행단계-첨부폴더)v8\5.콘크리트도상\6_콘크리트 타설방법_계획 검토\체크리스트\콘크리트 타설방법_계획 검토_체크리스트.html", "👉 [클릭] 체크리스트 열기 📄")</f>
        <v/>
      </c>
      <c r="Q7" s="13" t="n"/>
      <c r="R7" s="14" t="inlineStr">
        <is>
          <t>● 콘크리트 연속타설 및 콜드조인트 방지 기준</t>
        </is>
      </c>
      <c r="S7" s="17" t="inlineStr">
        <is>
          <t>1) 👉 [더블클릭] 체크리스트 열기 📄</t>
        </is>
      </c>
      <c r="T7" s="14" t="n"/>
    </row>
    <row r="8" ht="219.6" customHeight="1" s="147">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26">
        <f>HYPERLINK(LEFT(CELL("filename",A1),FIND("[",CELL("filename",A1))-1)&amp;"매뉴얼BODY(집행단계-첨부폴더)v8\5.콘크리트도상\7_작수전 Big Room 회의\표준서\작수전 Big Room 회의_표준서.html", "👉 [클릭] 표준서 열기 📄")</f>
        <v/>
      </c>
      <c r="M8" s="14" t="inlineStr">
        <is>
          <t>1) 노반-궤도 인수인계 높이 공차 및 신호 루프센서 위치 취합
2) 도로 매설 궤도 표면과 도로 포장 표면 마감 높이 일치성 확정</t>
        </is>
      </c>
      <c r="N8" s="126">
        <f>HYPERLINK(LEFT(CELL("filename",A1),FIND("[",CELL("filename",A1))-1)&amp;"매뉴얼BODY(집행단계-첨부폴더)v8\5.콘크리트도상\7_작수전 Big Room 회의\수행지침\작수전 Big Room 회의_수행지침.html", "👉 [클릭] 수행지침 열기 📄")</f>
        <v/>
      </c>
      <c r="O8" s="14" t="inlineStr">
        <is>
          <t>신호 센서 매설 위치 철근 간섭 해결, 접지선 용접부 연속성 확인, 부서 합동 서명 날인</t>
        </is>
      </c>
      <c r="P8" s="126">
        <f>HYPERLINK(LEFT(CELL("filename",A1),FIND("[",CELL("filename",A1))-1)&amp;"매뉴얼BODY(집행단계-첨부폴더)v8\5.콘크리트도상\7_작수전 Big Room 회의\체크리스트\작수전 Big Room 회의_체크리스트.html", "👉 [클릭] 체크리스트 열기 📄")</f>
        <v/>
      </c>
      <c r="Q8" s="13" t="n"/>
      <c r="R8" s="14" t="inlineStr">
        <is>
          <t>● 유관 공종(토목, 전기, 신호) 인터페이스 검토</t>
        </is>
      </c>
      <c r="S8" s="17" t="inlineStr">
        <is>
          <t>1) 👉 [더블클릭] 체크리스트 열기 📄</t>
        </is>
      </c>
      <c r="T8" s="14" t="n"/>
    </row>
    <row r="9" ht="76.8" customHeight="1" s="147">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26">
        <f>HYPERLINK(LEFT(CELL("filename",A1),FIND("[",CELL("filename",A1))-1)&amp;"매뉴얼BODY(집행단계-첨부폴더)v8\5.콘크리트도상\8_장비,자재 반입로_반입구 간섭 검토\표준서\장비,자재 반입로_반입구 간섭 검토_표준서.html", "👉 [클릭] 표준서 열기 📄")</f>
        <v/>
      </c>
      <c r="M9" s="14" t="inlineStr">
        <is>
          <t>1) 상부 신호등/가공전선 이격거리(5m 이상) 및 도로점용 허가 구역 조사
2) 전담 신호수 배치 및 대형 레일 운반 차량 유도</t>
        </is>
      </c>
      <c r="N9" s="126">
        <f>HYPERLINK(LEFT(CELL("filename",A1),FIND("[",CELL("filename",A1))-1)&amp;"매뉴얼BODY(집행단계-첨부폴더)v8\5.콘크리트도상\8_장비,자재 반입로_반입구 간섭 검토\수행지침\장비,자재 반입로_반입구 간섭 검토_수행지침.html", "👉 [클릭] 수행지침 열기 📄")</f>
        <v/>
      </c>
      <c r="O9" s="14" t="inlineStr">
        <is>
          <t>트레일러 회전 시뮬레이션 승인, 가설 비계 간섭 범위 해제, 도로 점용 허가 필증 확인</t>
        </is>
      </c>
      <c r="P9" s="126">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3" t="n"/>
      <c r="R9" s="14" t="inlineStr">
        <is>
          <t>● 궤도 시공 가설 동선 적합성 검토</t>
        </is>
      </c>
      <c r="S9" s="17" t="inlineStr">
        <is>
          <t>1) 👉 [더블클릭] 체크리스트 열기 📄</t>
        </is>
      </c>
      <c r="T9" s="14" t="n"/>
    </row>
    <row r="10" ht="76.8" customHeight="1" s="147">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26">
        <f>HYPERLINK(LEFT(CELL("filename",A1),FIND("[",CELL("filename",A1))-1)&amp;"매뉴얼BODY(집행단계-첨부폴더)v8\5.콘크리트도상\9_자재조달계획 검토\표준서\자재조달계획 검토_표준서.html", "👉 [클릭] 표준서 열기 📄")</f>
        <v/>
      </c>
      <c r="M10" s="14" t="inlineStr">
        <is>
          <t>1) 특수 홈레일 및 PST 패널 조달 마스터 일정표 검토
2) PST 슬래브 공장 생산 강도 및 홈레일 단면 검수</t>
        </is>
      </c>
      <c r="N10" s="126">
        <f>HYPERLINK(LEFT(CELL("filename",A1),FIND("[",CELL("filename",A1))-1)&amp;"매뉴얼BODY(집행단계-첨부폴더)v8\5.콘크리트도상\9_자재조달계획 검토\수행지침\자재조달계획 검토_수행지침.html", "👉 [클릭] 수행지침 열기 📄")</f>
        <v/>
      </c>
      <c r="O10" s="14" t="inlineStr">
        <is>
          <t>선적 서류 및 통관 승인서 구비, 국내 야적장 2차 보관 상태 점검, 자재 공급 승인서 확인</t>
        </is>
      </c>
      <c r="P10" s="126">
        <f>HYPERLINK(LEFT(CELL("filename",A1),FIND("[",CELL("filename",A1))-1)&amp;"매뉴얼BODY(집행단계-첨부폴더)v8\5.콘크리트도상\9_자재조달계획 검토\체크리스트\자재조달계획 검토_체크리스트.html", "👉 [클릭] 체크리스트 열기 📄")</f>
        <v/>
      </c>
      <c r="Q10" s="13" t="n"/>
      <c r="R10" s="14" t="inlineStr">
        <is>
          <t>● 주요 외산 자재 공급 및 선적 일정 확인</t>
        </is>
      </c>
      <c r="S10" s="17" t="inlineStr">
        <is>
          <t>1) 👉 [더블클릭] 체크리스트 열기 📄</t>
        </is>
      </c>
      <c r="T10" s="14" t="n"/>
    </row>
    <row r="11" ht="57.6" customHeight="1" s="147">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26">
        <f>HYPERLINK(LEFT(CELL("filename",A1),FIND("[",CELL("filename",A1))-1)&amp;"매뉴얼BODY(집행단계-첨부폴더)v8\5.콘크리트도상\10_자재 발주 요청\표준서\자재 발주 요청_표준서.html", "👉 [클릭] 표준서 열기 📄")</f>
        <v/>
      </c>
      <c r="M11" s="14" t="inlineStr">
        <is>
          <t>1) kg/m 레일, 51R1 홈레일, PST 패널 산출 물량 검증
2) 공장 검사(FAT) 조건 및 성적서 첨부 명시</t>
        </is>
      </c>
      <c r="N11" s="126">
        <f>HYPERLINK(LEFT(CELL("filename",A1),FIND("[",CELL("filename",A1))-1)&amp;"매뉴얼BODY(집행단계-첨부폴더)v8\5.콘크리트도상\10_자재 발주 요청\수행지침\자재 발주 요청_수행지침.html", "👉 [클릭] 수행지침 열기 📄")</f>
        <v/>
      </c>
      <c r="O11" s="14" t="inlineStr">
        <is>
          <t>자재 발주 수량 설계 대조, 공급원 승인 필증 원본 확인, 발주 공문 승인 요청</t>
        </is>
      </c>
      <c r="P11" s="126">
        <f>HYPERLINK(LEFT(CELL("filename",A1),FIND("[",CELL("filename",A1))-1)&amp;"매뉴얼BODY(집행단계-첨부폴더)v8\5.콘크리트도상\10_자재 발주 요청\체크리스트\자재 발주 요청_체크리스트.html", "👉 [클릭] 체크리스트 열기 📄")</f>
        <v/>
      </c>
      <c r="Q11" s="13" t="n"/>
      <c r="R11" s="14" t="inlineStr">
        <is>
          <t>● 조달 지침 및 품질 규격 검토</t>
        </is>
      </c>
      <c r="S11" s="17" t="inlineStr">
        <is>
          <t>1) 👉 [더블클릭] 체크리스트 열기 📄</t>
        </is>
      </c>
      <c r="T11" s="14" t="n"/>
    </row>
    <row r="12" ht="88.8" customHeight="1" s="147">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26">
        <f>HYPERLINK(LEFT(CELL("filename",A1),FIND("[",CELL("filename",A1))-1)&amp;"매뉴얼BODY(집행단계-첨부폴더)v8\5.콘크리트도상\11_시공계획 수립\표준서\시공계획 수립_표준서.html", "👉 [클릭] 표준서 열기 📄")</f>
        <v/>
      </c>
      <c r="M12" s="14" t="inlineStr">
        <is>
          <t>1) HBS 노반 지지력 검증 및 궤도 정밀 CP 측량 시공계획 수립
2) 스핀들 게이지 조정, 테르밋 용접(EN 14730) 및 TCL 콘크리트 타설 수칙 수립</t>
        </is>
      </c>
      <c r="N12" s="126">
        <f>HYPERLINK(LEFT(CELL("filename",A1),FIND("[",CELL("filename",A1))-1)&amp;"매뉴얼BODY(집행단계-첨부폴더)v8\5.콘크리트도상\11_시공계획 수립\수행지침\11_시공계획 수립_수행지침.html", "👉 [클릭] 수행지침 열기 📄")</f>
        <v/>
      </c>
      <c r="O12" s="14" t="inlineStr">
        <is>
          <t>시공계획서 감리단 최종 승인, 선형 관리 한계선 설정 확인, 품질보증계획서 제출</t>
        </is>
      </c>
      <c r="P12" s="126">
        <f>HYPERLINK(LEFT(CELL("filename",A1),FIND("[",CELL("filename",A1))-1)&amp;"매뉴얼BODY(집행단계-첨부폴더)v8\5.콘크리트도상\11_시공계획 수립\체크리스트\시공계획 수립_체크리스트.html", "👉 [클릭] 체크리스트 열기 📄")</f>
        <v/>
      </c>
      <c r="Q12" s="13" t="n"/>
      <c r="R12" s="14" t="inlineStr">
        <is>
          <t>● 궤도 공사 표준시방서 만족</t>
        </is>
      </c>
      <c r="S12" s="17" t="inlineStr">
        <is>
          <t>1) 👉 [더블클릭] 체크리스트 열기 📄</t>
        </is>
      </c>
      <c r="T12" s="14" t="n"/>
    </row>
    <row r="13" ht="110.4" customHeight="1" s="147">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26">
        <f>HYPERLINK(LEFT(CELL("filename",A1),FIND("[",CELL("filename",A1))-1)&amp;"매뉴얼BODY(집행단계-첨부폴더)v8\5.콘크리트도상\12_자재 반입\표준서\자재 반입_표준서.html", "👉 [클릭] 표준서 열기 📄")</f>
        <v/>
      </c>
      <c r="M13" s="14" t="inlineStr">
        <is>
          <t>1) 송장, 공장 시험성적서 및 KCS 시방 사양 대조
2) 레일 표면 흠집 및 PST 패널 치수 오차(±2mm) 측정</t>
        </is>
      </c>
      <c r="N13" s="126">
        <f>HYPERLINK(LEFT(CELL("filename",A1),FIND("[",CELL("filename",A1))-1)&amp;"매뉴얼BODY(집행단계-첨부폴더)v8\5.콘크리트도상\12_자재 반입\수행지침\자재 반입_수행지침.html", "👉 [클릭] 수행지침 열기 📄")</f>
        <v/>
      </c>
      <c r="O13" s="14" t="inlineStr">
        <is>
          <t>인수 검서 보고서 감리 서명, 자재 고유 마킹 대조, 손상 자재 반출 대장 기록</t>
        </is>
      </c>
      <c r="P13" s="126">
        <f>HYPERLINK(LEFT(CELL("filename",A1),FIND("[",CELL("filename",A1))-1)&amp;"매뉴얼BODY(집행단계-첨부폴더)v8\5.콘크리트도상\12_자재 반입\체크리스트\자재 반입_체크리스트.html", "👉 [클릭] 체크리스트 열기 📄")</f>
        <v/>
      </c>
      <c r="Q13" s="13" t="n"/>
      <c r="R13" s="14" t="inlineStr">
        <is>
          <t>● 자재 시험성적서 및 외산 자재 수입 적격 증명</t>
        </is>
      </c>
      <c r="S13" s="17" t="inlineStr">
        <is>
          <t>1) 👉 [더블클릭] 체크리스트 열기 📄</t>
        </is>
      </c>
      <c r="T13" s="14" t="n"/>
    </row>
    <row r="14" ht="86.40000000000001" customHeight="1" s="147">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7">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7">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7">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7">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7">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7">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7">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7">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7">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1"/>
    <col width="8.796875" customWidth="1" style="3" min="72" max="16384"/>
  </cols>
  <sheetData>
    <row r="1" ht="38.4"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7">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26">
        <f>HYPERLINK(LEFT(CELL("filename",A1),FIND("[",CELL("filename",A1))-1)&amp;"매뉴얼BODY(집행단계-첨부폴더)v8\6.건축\1_설계 적정성 검토\표준서\설계 적정성 검토_표준서.html", "👉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26">
        <f>HYPERLINK(LEFT(CELL("filename",A1),FIND("[",CELL("filename",A1))-1)&amp;"매뉴얼BODY(집행단계-첨부폴더)v8\6.건축\1_설계 적정성 검토\수행지침\설계 적정성 검토_수행지침.html", "👉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26">
        <f>HYPERLINK(LEFT(CELL("filename",A1),FIND("[",CELL("filename",A1))-1)&amp;"매뉴얼BODY(집행단계-첨부폴더)v8\6.건축\1_설계 적정성 검토\체크리스트\설계 적정성 검토_체크리스트.html", "👉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47">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26">
        <f>HYPERLINK(LEFT(CELL("filename",A1),FIND("[",CELL("filename",A1))-1)&amp;"매뉴얼BODY(집행단계-첨부폴더)v8\6.건축\2_발주전략 KOM\표준서\발주전략 KOM_표준서.html", "👉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26">
        <f>HYPERLINK(LEFT(CELL("filename",A1),FIND("[",CELL("filename",A1))-1)&amp;"매뉴얼BODY(집행단계-첨부폴더)v8\6.건축\2_발주전략 KOM\수행지침\발주전략 KOM_수행지침.html", "👉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26">
        <f>HYPERLINK(LEFT(CELL("filename",A1),FIND("[",CELL("filename",A1))-1)&amp;"매뉴얼BODY(집행단계-첨부폴더)v8\6.건축\2_발주전략 KOM\체크리스트\발주전략 KOM_체크리스트.html", "👉 [클릭] 체크리스트 열기 📄")</f>
        <v/>
      </c>
      <c r="P3" s="30" t="n"/>
      <c r="Q3" s="31" t="inlineStr">
        <is>
          <t>● 본사외주부서, 수행부서, 토목견적팀 협의사항 준수</t>
        </is>
      </c>
      <c r="R3" s="24" t="inlineStr">
        <is>
          <t>1) 👉 [더블클릭] 체크리스트 열기 📄</t>
        </is>
      </c>
      <c r="S3" s="31" t="n"/>
    </row>
    <row r="4" ht="115.2" customHeight="1" s="147">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26">
        <f>HYPERLINK(LEFT(CELL("filename",A1),FIND("[",CELL("filename",A1))-1)&amp;"매뉴얼BODY(집행단계-첨부폴더)v8\6.건축\3_착공전 건축 인허가\표준서\착공전 건축 인허가_표준서.html", "👉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26">
        <f>HYPERLINK(LEFT(CELL("filename",A1),FIND("[",CELL("filename",A1))-1)&amp;"매뉴얼BODY(집행단계-첨부폴더)v8\6.건축\3_착공전 건축 인허가\수행지침\착공전 건축 인허가_수행지침.html", "👉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26">
        <f>HYPERLINK(LEFT(CELL("filename",A1),FIND("[",CELL("filename",A1))-1)&amp;"매뉴얼BODY(집행단계-첨부폴더)v8\6.건축\3_착공전 건축 인허가\체크리스트\착공전 건축 인허가_체크리스트.html", "👉 [클릭] 체크리스트 열기 📄")</f>
        <v/>
      </c>
      <c r="P4" s="30" t="n"/>
      <c r="Q4" s="31" t="inlineStr">
        <is>
          <t>● 건축법, 소방시설공사업법, 정보통신공사업법 규정 준수</t>
        </is>
      </c>
      <c r="R4" s="24" t="inlineStr">
        <is>
          <t>1) 👉 [더블클릭] 체크리스트 열기 📄</t>
        </is>
      </c>
      <c r="S4" s="31" t="n"/>
    </row>
    <row r="5" ht="112.2" customHeight="1" s="147">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26">
        <f>HYPERLINK(LEFT(CELL("filename",A1),FIND("[",CELL("filename",A1))-1)&amp;"매뉴얼BODY(집행단계-첨부폴더)v8\6.건축\4_건축허가 요청\표준서\건축허가 요청_표준서.html", "👉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26">
        <f>HYPERLINK(LEFT(CELL("filename",A1),FIND("[",CELL("filename",A1))-1)&amp;"매뉴얼BODY(집행단계-첨부폴더)v8\6.건축\4_건축허가 요청\수행지침\건축허가 요청_수행지침.html", "👉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26">
        <f>HYPERLINK(LEFT(CELL("filename",A1),FIND("[",CELL("filename",A1))-1)&amp;"매뉴얼BODY(집행단계-첨부폴더)v8\6.건축\4_건축허가 요청\체크리스트\건축허가 요청_체크리스트.html", "👉 [클릭] 체크리스트 열기 📄")</f>
        <v/>
      </c>
      <c r="P5" s="30" t="n"/>
      <c r="Q5" s="31" t="inlineStr">
        <is>
          <t>● 건축법 제11조</t>
        </is>
      </c>
      <c r="R5" s="24" t="inlineStr">
        <is>
          <t>1) 👉 [더블클릭] 체크리스트 열기 📄</t>
        </is>
      </c>
      <c r="S5" s="31" t="n"/>
    </row>
    <row r="6" ht="115.2" customHeight="1" s="147">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26">
        <f>HYPERLINK(LEFT(CELL("filename",A1),FIND("[",CELL("filename",A1))-1)&amp;"매뉴얼BODY(집행단계-첨부폴더)v8\6.건축\5_착공신고서 제출\표준서\착공신고서 제출_표준서.html", "👉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26">
        <f>HYPERLINK(LEFT(CELL("filename",A1),FIND("[",CELL("filename",A1))-1)&amp;"매뉴얼BODY(집행단계-첨부폴더)v8\6.건축\5_착공신고서 제출\수행지침\착공신고서 제출_수행지침.html", "👉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26">
        <f>HYPERLINK(LEFT(CELL("filename",A1),FIND("[",CELL("filename",A1))-1)&amp;"매뉴얼BODY(집행단계-첨부폴더)v8\6.건축\5_착공신고서 제출\체크리스트\착공신고서 제출_체크리스트.html", "👉 [클릭] 체크리스트 열기 📄")</f>
        <v/>
      </c>
      <c r="P6" s="30" t="n"/>
      <c r="Q6" s="31" t="inlineStr">
        <is>
          <t>● 건축법 제21조</t>
        </is>
      </c>
      <c r="R6" s="24" t="inlineStr">
        <is>
          <t>1) 👉 [더블클릭] 체크리스트 열기 📄</t>
        </is>
      </c>
      <c r="S6" s="31" t="n"/>
    </row>
    <row r="7" ht="115.2" customHeight="1" s="147">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26">
        <f>HYPERLINK(LEFT(CELL("filename",A1),FIND("[",CELL("filename",A1))-1)&amp;"매뉴얼BODY(집행단계-첨부폴더)v8\6.건축\6_소방시설공사 착공 신고서 제출\표준서\소방시설공사 착공 신고서 제출_표준서.html", "👉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26">
        <f>HYPERLINK(LEFT(CELL("filename",A1),FIND("[",CELL("filename",A1))-1)&amp;"매뉴얼BODY(집행단계-첨부폴더)v8\6.건축\6_소방시설공사 착공 신고서 제출\수행지침\소방시설공사 착공 신고서 제출_수행지침.html", "👉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26">
        <f>HYPERLINK(LEFT(CELL("filename",A1),FIND("[",CELL("filename",A1))-1)&amp;"매뉴얼BODY(집행단계-첨부폴더)v8\6.건축\6_소방시설공사 착공 신고서 제출\체크리스트\소방시설공사 착공 신고서 제출_체크리스트.html", "👉 [클릭] 체크리스트 열기 📄")</f>
        <v/>
      </c>
      <c r="P7" s="30" t="n"/>
      <c r="Q7" s="31" t="inlineStr">
        <is>
          <t>● 소방시설공사업법 제13조</t>
        </is>
      </c>
      <c r="R7" s="24" t="inlineStr">
        <is>
          <t>1) 👉 [더블클릭] 체크리스트 열기 📄</t>
        </is>
      </c>
      <c r="S7" s="31" t="n"/>
    </row>
    <row r="8" ht="115.2" customHeight="1" s="147">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26">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26">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26">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30" t="n"/>
      <c r="Q8" s="31" t="inlineStr">
        <is>
          <t>● 정보통신공사업법 시행령 제35조의 2</t>
        </is>
      </c>
      <c r="R8" s="24" t="inlineStr">
        <is>
          <t>1) 👉 [더블클릭] 체크리스트 열기 📄</t>
        </is>
      </c>
      <c r="S8" s="31" t="n"/>
    </row>
    <row r="9" ht="96" customHeight="1" s="147">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26">
        <f>HYPERLINK(LEFT(CELL("filename",A1),FIND("[",CELL("filename",A1))-1)&amp;"매뉴얼BODY(집행단계-첨부폴더)v8\6.건축\8_선행공종 인수사항 확인\표준서\선행공종 인수사항 확인_표준서.html", "👉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26">
        <f>HYPERLINK(LEFT(CELL("filename",A1),FIND("[",CELL("filename",A1))-1)&amp;"매뉴얼BODY(집행단계-첨부폴더)v8\6.건축\8_선행공종 인수사항 확인\수행지침\선행공종 인수사항 확인_수행지침.html", "👉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26">
        <f>HYPERLINK(LEFT(CELL("filename",A1),FIND("[",CELL("filename",A1))-1)&amp;"매뉴얼BODY(집행단계-첨부폴더)v8\6.건축\8_선행공종 인수사항 확인\체크리스트\선행공종 인수사항 확인_체크리스트.html", "👉 [클릭] 체크리스트 열기 📄")</f>
        <v/>
      </c>
      <c r="P9" s="30" t="n"/>
      <c r="Q9" s="31" t="inlineStr">
        <is>
          <t>● 선행공종(토공, 지반개량 등) 인수 및 좌표 검증</t>
        </is>
      </c>
      <c r="R9" s="24" t="inlineStr">
        <is>
          <t>1) 👉 [더블클릭] 체크리스트 열기 📄</t>
        </is>
      </c>
      <c r="S9" s="31" t="n"/>
    </row>
    <row r="10" ht="96" customHeight="1" s="147">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26">
        <f>HYPERLINK(LEFT(CELL("filename",A1),FIND("[",CELL("filename",A1))-1)&amp;"매뉴얼BODY(집행단계-첨부폴더)v8\6.건축\9_인터페이스 사항 검토 및 지원\표준서\인터페이스 사항 검토 및 지원_표준서.html", "👉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26">
        <f>HYPERLINK(LEFT(CELL("filename",A1),FIND("[",CELL("filename",A1))-1)&amp;"매뉴얼BODY(집행단계-첨부폴더)v8\6.건축\9_인터페이스 사항 검토 및 지원\수행지침\인터페이스 사항 검토 및 지원_수행지침.html", "👉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26">
        <f>HYPERLINK(LEFT(CELL("filename",A1),FIND("[",CELL("filename",A1))-1)&amp;"매뉴얼BODY(집행단계-첨부폴더)v8\6.건축\9_인터페이스 사항 검토 및 지원\체크리스트\인터페이스 사항 검토 및 지원_체크리스트.html", "👉 [클릭] 체크리스트 열기 📄")</f>
        <v/>
      </c>
      <c r="P10" s="30" t="n"/>
      <c r="Q10" s="31" t="inlineStr">
        <is>
          <t>● 공종간 간섭 최소화</t>
        </is>
      </c>
      <c r="R10" s="24" t="inlineStr">
        <is>
          <t>1) 👉 [더블클릭] 체크리스트 열기 📄</t>
        </is>
      </c>
      <c r="S10" s="31" t="n"/>
    </row>
    <row r="11" ht="115.2" customHeight="1" s="147">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26">
        <f>HYPERLINK(LEFT(CELL("filename",A1),FIND("[",CELL("filename",A1))-1)&amp;"매뉴얼BODY(집행단계-첨부폴더)v8\6.건축\10_품질_안전 LL 공유\표준서\품질_안전 LL 공유_표준서.html", "👉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26">
        <f>HYPERLINK(LEFT(CELL("filename",A1),FIND("[",CELL("filename",A1))-1)&amp;"매뉴얼BODY(집행단계-첨부폴더)v8\6.건축\10_품질_안전 LL 공유\수행지침\품질_안전 LL 공유_수행지침.html", "👉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26">
        <f>HYPERLINK(LEFT(CELL("filename",A1),FIND("[",CELL("filename",A1))-1)&amp;"매뉴얼BODY(집행단계-첨부폴더)v8\6.건축\10_품질_안전 LL 공유\체크리스트\품질_안전 LL 공유_체크리스트.html", "👉 [클릭] 체크리스트 열기 📄")</f>
        <v/>
      </c>
      <c r="P11" s="30" t="n"/>
      <c r="Q11" s="31" t="inlineStr">
        <is>
          <t>● 기존 하자사례 및 Lesson Learned 반영</t>
        </is>
      </c>
      <c r="R11" s="24" t="inlineStr">
        <is>
          <t>1) 👉 [더블클릭] 체크리스트 열기 📄</t>
        </is>
      </c>
      <c r="S11" s="31" t="n"/>
    </row>
    <row r="12" ht="175.2" customHeight="1" s="147">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26">
        <f>HYPERLINK(LEFT(CELL("filename",A1),FIND("[",CELL("filename",A1))-1)&amp;"매뉴얼BODY(집행단계-첨부폴더)v8\6.건축\11_자재공급원승인 및 자재발주\표준서\자재공급원승인 및 자재발주_표준서.html", "👉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26">
        <f>HYPERLINK(LEFT(CELL("filename",A1),FIND("[",CELL("filename",A1))-1)&amp;"매뉴얼BODY(집행단계-첨부폴더)v8\6.건축\11_자재공급원승인 및 자재발주\수행지침\자재공급원승인 및 자재발주_수행지침.html", "👉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26">
        <f>HYPERLINK(LEFT(CELL("filename",A1),FIND("[",CELL("filename",A1))-1)&amp;"매뉴얼BODY(집행단계-첨부폴더)v8\6.건축\11_자재공급원승인 및 자재발주\체크리스트\자재공급원승인 및 자재발주_체크리스트.html", "👉 [클릭] 체크리스트 열기 📄")</f>
        <v/>
      </c>
      <c r="P12" s="30" t="n"/>
      <c r="Q12" s="31" t="inlineStr">
        <is>
          <t>● 자재 규격 및 기준 만족</t>
        </is>
      </c>
      <c r="R12" s="24" t="inlineStr">
        <is>
          <t>1) 👉 [더블클릭] 체크리스트 열기 📄</t>
        </is>
      </c>
      <c r="S12" s="31" t="n"/>
    </row>
    <row r="13" ht="211.2" customHeight="1" s="147">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26">
        <f>HYPERLINK(LEFT(CELL("filename",A1),FIND("[",CELL("filename",A1))-1)&amp;"매뉴얼BODY(집행단계-첨부폴더)v8\6.건축\12_착수전 Big Room 회의\표준서\착수전 Big Room 회의_표준서.html", "👉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26">
        <f>HYPERLINK(LEFT(CELL("filename",A1),FIND("[",CELL("filename",A1))-1)&amp;"매뉴얼BODY(집행단계-첨부폴더)v8\6.건축\12_착수전 Big Room 회의\수행지침\착수전 Big Room 회의_수행지침.html", "👉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26">
        <f>HYPERLINK(LEFT(CELL("filename",A1),FIND("[",CELL("filename",A1))-1)&amp;"매뉴얼BODY(집행단계-첨부폴더)v8\6.건축\12_착수전 Big Room 회의\체크리스트\착수전 Big Room 회의_체크리스트.html", "👉 [클릭] 체크리스트 열기 📄")</f>
        <v/>
      </c>
      <c r="P13" s="30" t="n"/>
      <c r="Q13" s="31" t="inlineStr">
        <is>
          <t>● 유관부서(견적/엔지니어링/공정/품질/안전) 협의</t>
        </is>
      </c>
      <c r="R13" s="24" t="inlineStr">
        <is>
          <t>1) 👉 [더블클릭] 체크리스트 열기 📄</t>
        </is>
      </c>
      <c r="S13" s="31" t="n"/>
    </row>
    <row r="14" ht="115.2" customHeight="1" s="147">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26">
        <f>HYPERLINK(LEFT(CELL("filename",A1),FIND("[",CELL("filename",A1))-1)&amp;"매뉴얼BODY(집행단계-첨부폴더)v8\6.건축\13_시공계획 수립_승인\표준서\시공계획 수립_승인_표준서.html", "👉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26">
        <f>HYPERLINK(LEFT(CELL("filename",A1),FIND("[",CELL("filename",A1))-1)&amp;"매뉴얼BODY(집행단계-첨부폴더)v8\6.건축\13_시공계획 수립_승인\수행지침\시공계획 수립_승인_수행지침.html", "👉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26">
        <f>HYPERLINK(LEFT(CELL("filename",A1),FIND("[",CELL("filename",A1))-1)&amp;"매뉴얼BODY(집행단계-첨부폴더)v8\6.건축\13_시공계획 수립_승인\체크리스트\시공계획 수립_승인_체크리스트.html", "👉 [클릭] 체크리스트 열기 📄")</f>
        <v/>
      </c>
      <c r="P14" s="30" t="n"/>
      <c r="Q14" s="31" t="inlineStr">
        <is>
          <t>● 건설기술진흥법 규정 준수</t>
        </is>
      </c>
      <c r="R14" s="24" t="inlineStr">
        <is>
          <t>1) 👉 [더블클릭] 체크리스트 열기 📄</t>
        </is>
      </c>
      <c r="S14" s="31" t="n"/>
    </row>
    <row r="15" ht="115.2" customHeight="1" s="147">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26">
        <f>HYPERLINK(LEFT(CELL("filename",A1),FIND("[",CELL("filename",A1))-1)&amp;"매뉴얼BODY(집행단계-첨부폴더)v8\6.건축\14_측량, 자재_장비 반입, 안전교육\표준서\측량, 자재_장비 반입, 안전교육_표준서.html", "👉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26">
        <f>HYPERLINK(LEFT(CELL("filename",A1),FIND("[",CELL("filename",A1))-1)&amp;"매뉴얼BODY(집행단계-첨부폴더)v8\6.건축\14_측량, 자재_장비 반입, 안전교육\수행지침\측량, 자재_장비 반입, 안전교육_수행지침.html", "👉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26">
        <f>HYPERLINK(LEFT(CELL("filename",A1),FIND("[",CELL("filename",A1))-1)&amp;"매뉴얼BODY(집행단계-첨부폴더)v8\6.건축\14_측량, 자재_장비 반입, 안전교육\체크리스트\측량, 자재_장비 반입, 안전교육_체크리스트.html", "👉 [클릭] 체크리스트 열기 📄")</f>
        <v/>
      </c>
      <c r="P15" s="30" t="n"/>
      <c r="Q15" s="31" t="inlineStr">
        <is>
          <t>● 측량법 및 산업안전보건법 준수</t>
        </is>
      </c>
      <c r="R15" s="24" t="inlineStr">
        <is>
          <t>1) 👉 [더블클릭] 체크리스트 열기 📄</t>
        </is>
      </c>
      <c r="S15" s="31" t="n"/>
    </row>
    <row r="16" ht="115.2" customHeight="1" s="147">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26">
        <f>HYPERLINK(LEFT(CELL("filename",A1),FIND("[",CELL("filename",A1))-1)&amp;"매뉴얼BODY(집행단계-첨부폴더)v8\6.건축\15_자재 검수\표준서\자재 검수_표준서.html", "👉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26">
        <f>HYPERLINK(LEFT(CELL("filename",A1),FIND("[",CELL("filename",A1))-1)&amp;"매뉴얼BODY(집행단계-첨부폴더)v8\6.건축\15_자재 검수\수행지침\자재 검수_수행지침.html", "👉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26">
        <f>HYPERLINK(LEFT(CELL("filename",A1),FIND("[",CELL("filename",A1))-1)&amp;"매뉴얼BODY(집행단계-첨부폴더)v8\6.건축\15_자재 검수\체크리스트\자재 검수_체크리스트.html", "👉 [클릭] 체크리스트 열기 📄")</f>
        <v/>
      </c>
      <c r="P16" s="30" t="n"/>
      <c r="Q16" s="31" t="inlineStr">
        <is>
          <t>● KS 규격 및 시방 기준 준수</t>
        </is>
      </c>
      <c r="R16" s="24" t="inlineStr">
        <is>
          <t>1) 👉 [더블클릭] 체크리스트 열기 📄</t>
        </is>
      </c>
      <c r="S16" s="31" t="n"/>
    </row>
    <row r="17" ht="96" customHeight="1" s="147">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26">
        <f>HYPERLINK(LEFT(CELL("filename",A1),FIND("[",CELL("filename",A1))-1)&amp;"매뉴얼BODY(집행단계-첨부폴더)v8\6.건축\16_터파기_지반 정리\표준서\터파기_지반 정리_표준서.html", "👉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26">
        <f>HYPERLINK(LEFT(CELL("filename",A1),FIND("[",CELL("filename",A1))-1)&amp;"매뉴얼BODY(집행단계-첨부폴더)v8\6.건축\16_터파기_지반 정리\수행지침\터파기_지반 정리_수행지침.html", "👉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26">
        <f>HYPERLINK(LEFT(CELL("filename",A1),FIND("[",CELL("filename",A1))-1)&amp;"매뉴얼BODY(집행단계-첨부폴더)v8\6.건축\16_터파기_지반 정리\체크리스트\터파기_지반 정리_체크리스트.html", "👉 [클릭] 체크리스트 열기 📄")</f>
        <v/>
      </c>
      <c r="P17" s="30" t="n"/>
      <c r="Q17" s="31" t="inlineStr">
        <is>
          <t>● 지반 지지력 및 굴착 공차 관리 기준</t>
        </is>
      </c>
      <c r="R17" s="24" t="inlineStr">
        <is>
          <t>1) 👉 [더블클릭] 체크리스트 열기 📄</t>
        </is>
      </c>
      <c r="S17" s="31" t="n"/>
    </row>
    <row r="18" ht="115.2" customHeight="1" s="147">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26">
        <f>HYPERLINK(LEFT(CELL("filename",A1),FIND("[",CELL("filename",A1))-1)&amp;"매뉴얼BODY(집행단계-첨부폴더)v8\6.건축\17_바닥(버림) 콘크리트 타설\표준서\바닥(버림) 콘크리트 타설_표준서.html", "👉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26">
        <f>HYPERLINK(LEFT(CELL("filename",A1),FIND("[",CELL("filename",A1))-1)&amp;"매뉴얼BODY(집행단계-첨부폴더)v8\6.건축\17_바닥(버림) 콘크리트 타설\수행지침\바닥(버림) 콘크리트 타설_수행지침.html", "👉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26">
        <f>HYPERLINK(LEFT(CELL("filename",A1),FIND("[",CELL("filename",A1))-1)&amp;"매뉴얼BODY(집행단계-첨부폴더)v8\6.건축\17_바닥(버림) 콘크리트 타설\체크리스트\바닥(버림) 콘크리트 타설_체크리스트.html", "👉 [클릭] 체크리스트 열기 📄")</f>
        <v/>
      </c>
      <c r="P18" s="30" t="n"/>
      <c r="Q18" s="31" t="inlineStr">
        <is>
          <t>● 버림 콘크리트 두께 및 높이 준수</t>
        </is>
      </c>
      <c r="R18" s="24" t="inlineStr">
        <is>
          <t>1) 👉 [더블클릭] 체크리스트 열기 📄</t>
        </is>
      </c>
      <c r="S18" s="31" t="n"/>
    </row>
    <row r="19" ht="115.2" customHeight="1" s="147">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26">
        <f>HYPERLINK(LEFT(CELL("filename",A1),FIND("[",CELL("filename",A1))-1)&amp;"매뉴얼BODY(집행단계-첨부폴더)v8\6.건축\18_인터페이스 회의(매주)\표준서\인터페이스 회의(매주)_표준서.html", "👉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26">
        <f>HYPERLINK(LEFT(CELL("filename",A1),FIND("[",CELL("filename",A1))-1)&amp;"매뉴얼BODY(집행단계-첨부폴더)v8\6.건축\18_인터페이스 회의(매주)\수행지침\인터페이스 회의(매주)_수행지침.html", "👉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26">
        <f>HYPERLINK(LEFT(CELL("filename",A1),FIND("[",CELL("filename",A1))-1)&amp;"매뉴얼BODY(집행단계-첨부폴더)v8\6.건축\18_인터페이스 회의(매주)\체크리스트\인터페이스 회의(매주)_체크리스트.html", "👉 [클릭] 체크리스트 열기 📄")</f>
        <v/>
      </c>
      <c r="P19" s="30" t="n"/>
      <c r="Q19" s="31" t="inlineStr">
        <is>
          <t>● 공정 조율 및 시공 순서 확인</t>
        </is>
      </c>
      <c r="R19" s="24" t="inlineStr">
        <is>
          <t>1) 👉 [더블클릭] 체크리스트 열기 📄</t>
        </is>
      </c>
      <c r="S19" s="31" t="n"/>
    </row>
    <row r="20" ht="115.2" customHeight="1" s="147">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26">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26">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26">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30" t="n"/>
      <c r="Q20" s="31" t="inlineStr">
        <is>
          <t>● 타 분야 매입 배관 및 슬리브 사전 확인</t>
        </is>
      </c>
      <c r="R20" s="24" t="inlineStr">
        <is>
          <t>1) 👉 [더블클릭] 체크리스트 열기 📄</t>
        </is>
      </c>
      <c r="S20" s="31" t="n"/>
    </row>
    <row r="21" ht="115.2" customHeight="1" s="147">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26">
        <f>HYPERLINK(LEFT(CELL("filename",A1),FIND("[",CELL("filename",A1))-1)&amp;"매뉴얼BODY(집행단계-첨부폴더)v8\6.건축\20_인터페이스 각 공종별 Issue (토목분야)\표준서\인터페이스 각 공종별 Issue (토목분야)_표준서.html", "👉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26">
        <f>HYPERLINK(LEFT(CELL("filename",A1),FIND("[",CELL("filename",A1))-1)&amp;"매뉴얼BODY(집행단계-첨부폴더)v8\6.건축\20_인터페이스 각 공종별 Issue (토목분야)\수행지침\인터페이스 각 공종별 Issue (토목분야)_수행지침.html", "👉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26">
        <f>HYPERLINK(LEFT(CELL("filename",A1),FIND("[",CELL("filename",A1))-1)&amp;"매뉴얼BODY(집행단계-첨부폴더)v8\6.건축\20_인터페이스 각 공종별 Issue (토목분야)\체크리스트\인터페이스 각 공종별 Issue (토목분야)_체크리스트.html", "👉 [클릭] 체크리스트 열기 📄")</f>
        <v/>
      </c>
      <c r="P21" s="30" t="n"/>
      <c r="Q21" s="31" t="inlineStr">
        <is>
          <t>● 토목 외부 우/오수 배수 및 연계 부분 확인</t>
        </is>
      </c>
      <c r="R21" s="24" t="inlineStr">
        <is>
          <t>1) 👉 [더블클릭] 체크리스트 열기 📄</t>
        </is>
      </c>
      <c r="S21" s="31" t="n"/>
    </row>
    <row r="22" ht="96" customHeight="1" s="147">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26">
        <f>HYPERLINK(LEFT(CELL("filename",A1),FIND("[",CELL("filename",A1))-1)&amp;"매뉴얼BODY(집행단계-첨부폴더)v8\6.건축\21_기초~상부슬라브 구조물 시공\표준서\기초~상부슬라브 구조물 시공_표준서.html", "👉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26">
        <f>HYPERLINK(LEFT(CELL("filename",A1),FIND("[",CELL("filename",A1))-1)&amp;"매뉴얼BODY(집행단계-첨부폴더)v8\6.건축\21_기초~상부슬라브 구조물 시공\수행지침\기초~상부슬라브 구조물 시공_수행지침.html", "👉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26">
        <f>HYPERLINK(LEFT(CELL("filename",A1),FIND("[",CELL("filename",A1))-1)&amp;"매뉴얼BODY(집행단계-첨부폴더)v8\6.건축\21_기초~상부슬라브 구조물 시공\체크리스트\기초~상부슬라브 구조물 시공_체크리스트.html", "👉 [클릭] 체크리스트 열기 📄")</f>
        <v/>
      </c>
      <c r="P22" s="30" t="n"/>
      <c r="Q22" s="31" t="inlineStr">
        <is>
          <t>● 콘크리트 압축강도 및 피복두께 관리</t>
        </is>
      </c>
      <c r="R22" s="24" t="inlineStr">
        <is>
          <t>1) 👉 [더블클릭] 체크리스트 열기 📄</t>
        </is>
      </c>
      <c r="S22" s="31" t="n"/>
    </row>
    <row r="23" ht="96" customHeight="1" s="147">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26">
        <f>HYPERLINK(LEFT(CELL("filename",A1),FIND("[",CELL("filename",A1))-1)&amp;"매뉴얼BODY(집행단계-첨부폴더)v8\6.건축\22_철근 가공\표준서\철근 가공_표준서.html", "👉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26">
        <f>HYPERLINK(LEFT(CELL("filename",A1),FIND("[",CELL("filename",A1))-1)&amp;"매뉴얼BODY(집행단계-첨부폴더)v8\6.건축\22_철근 가공\수행지침\철근 가공_수행지침.html", "👉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26">
        <f>HYPERLINK(LEFT(CELL("filename",A1),FIND("[",CELL("filename",A1))-1)&amp;"매뉴얼BODY(집행단계-첨부폴더)v8\6.건축\22_철근 가공\체크리스트\철근 가공_체크리스트.html", "👉 [클릭] 체크리스트 열기 📄")</f>
        <v/>
      </c>
      <c r="P23" s="30" t="n"/>
      <c r="Q23" s="31" t="inlineStr">
        <is>
          <t>● 철근 가공 치수 허용오차 기준</t>
        </is>
      </c>
      <c r="R23" s="24" t="inlineStr">
        <is>
          <t>1) 👉 [더블클릭] 체크리스트 열기 📄</t>
        </is>
      </c>
      <c r="S23" s="31" t="n"/>
    </row>
    <row r="24" ht="96" customHeight="1" s="147">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26">
        <f>HYPERLINK(LEFT(CELL("filename",A1),FIND("[",CELL("filename",A1))-1)&amp;"매뉴얼BODY(집행단계-첨부폴더)v8\6.건축\23_작업발판, 비계 및 동바리 설치\표준서\작업발판, 비계 및 동바리 설치_표준서.html", "👉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26">
        <f>HYPERLINK(LEFT(CELL("filename",A1),FIND("[",CELL("filename",A1))-1)&amp;"매뉴얼BODY(집행단계-첨부폴더)v8\6.건축\23_작업발판, 비계 및 동바리 설치\수행지침\작업발판, 비계 및 동바리 설치_수행지침.html", "👉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26">
        <f>HYPERLINK(LEFT(CELL("filename",A1),FIND("[",CELL("filename",A1))-1)&amp;"매뉴얼BODY(집행단계-첨부폴더)v8\6.건축\23_작업발판, 비계 및 동바리 설치\체크리스트\작업발판, 비계 및 동바리 설치_체크리스트.html", "👉 [클릭] 체크리스트 열기 📄")</f>
        <v/>
      </c>
      <c r="P24" s="30" t="n"/>
      <c r="Q24" s="31" t="inlineStr">
        <is>
          <t>● 가설구조물 안전 기준 및 구조 검토</t>
        </is>
      </c>
      <c r="R24" s="24" t="inlineStr">
        <is>
          <t>1) 👉 [더블클릭] 체크리스트 열기 📄</t>
        </is>
      </c>
      <c r="S24" s="31" t="n"/>
    </row>
    <row r="25" ht="96" customHeight="1" s="147">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26">
        <f>HYPERLINK(LEFT(CELL("filename",A1),FIND("[",CELL("filename",A1))-1)&amp;"매뉴얼BODY(집행단계-첨부폴더)v8\6.건축\24_철근 조립\표준서\철근 조립_표준서.html", "👉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26">
        <f>HYPERLINK(LEFT(CELL("filename",A1),FIND("[",CELL("filename",A1))-1)&amp;"매뉴얼BODY(집행단계-첨부폴더)v8\6.건축\24_철근 조립\수행지침\철근 조립_수행지침.html", "👉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26">
        <f>HYPERLINK(LEFT(CELL("filename",A1),FIND("[",CELL("filename",A1))-1)&amp;"매뉴얼BODY(집행단계-첨부폴더)v8\6.건축\24_철근 조립\체크리스트\철근 조립_체크리스트.html", "👉 [클릭] 체크리스트 열기 📄")</f>
        <v/>
      </c>
      <c r="P25" s="30" t="n"/>
      <c r="Q25" s="31" t="inlineStr">
        <is>
          <t>● 철근 배근 간격 및 결속선 결속 기준</t>
        </is>
      </c>
      <c r="R25" s="24" t="inlineStr">
        <is>
          <t>1) 👉 [더블클릭] 체크리스트 열기 📄</t>
        </is>
      </c>
      <c r="S25" s="31" t="n"/>
    </row>
    <row r="26" ht="96" customHeight="1" s="147">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26">
        <f>HYPERLINK(LEFT(CELL("filename",A1),FIND("[",CELL("filename",A1))-1)&amp;"매뉴얼BODY(집행단계-첨부폴더)v8\6.건축\25_거푸집 조립\표준서\거푸집 조립_표준서.html", "👉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26">
        <f>HYPERLINK(LEFT(CELL("filename",A1),FIND("[",CELL("filename",A1))-1)&amp;"매뉴얼BODY(집행단계-첨부폴더)v8\6.건축\25_거푸집 조립\수행지침\거푸집 조립_수행지침.html", "👉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26">
        <f>HYPERLINK(LEFT(CELL("filename",A1),FIND("[",CELL("filename",A1))-1)&amp;"매뉴얼BODY(집행단계-첨부폴더)v8\6.건축\25_거푸집 조립\체크리스트\거푸집 조립_체크리스트.html", "👉 [클릭] 체크리스트 열기 📄")</f>
        <v/>
      </c>
      <c r="P26" s="30" t="n"/>
      <c r="Q26" s="31" t="inlineStr">
        <is>
          <t>● 거푸집 수직/수평도 및 박리제 도포 기준</t>
        </is>
      </c>
      <c r="R26" s="24" t="inlineStr">
        <is>
          <t>1) 👉 [더블클릭] 체크리스트 열기 📄</t>
        </is>
      </c>
      <c r="S26" s="31" t="n"/>
    </row>
    <row r="27" ht="96" customHeight="1" s="147">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26">
        <f>HYPERLINK(LEFT(CELL("filename",A1),FIND("[",CELL("filename",A1))-1)&amp;"매뉴얼BODY(집행단계-첨부폴더)v8\6.건축\26_콘크리트 타설 및 다짐\표준서\콘크리트 타설 및 다짐_표준서.html", "👉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26">
        <f>HYPERLINK(LEFT(CELL("filename",A1),FIND("[",CELL("filename",A1))-1)&amp;"매뉴얼BODY(집행단계-첨부폴더)v8\6.건축\26_콘크리트 타설 및 다짐\수행지침\콘크리트 타설 및 다짐_수행지침.html", "👉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26">
        <f>HYPERLINK(LEFT(CELL("filename",A1),FIND("[",CELL("filename",A1))-1)&amp;"매뉴얼BODY(집행단계-첨부폴더)v8\6.건축\26_콘크리트 타설 및 다짐\체크리스트\콘크리트 타설 및 다짐_체크리스트.html", "👉 [클릭] 체크리스트 열기 📄")</f>
        <v/>
      </c>
      <c r="P27" s="30" t="n"/>
      <c r="Q27" s="31" t="inlineStr">
        <is>
          <t>● 콘크리트 타설 속도 및 다짐기 사용 기준</t>
        </is>
      </c>
      <c r="R27" s="24" t="inlineStr">
        <is>
          <t>1) 👉 [더블클릭] 체크리스트 열기 📄</t>
        </is>
      </c>
      <c r="S27" s="31" t="n"/>
    </row>
    <row r="28" ht="115.2" customHeight="1" s="147">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26">
        <f>HYPERLINK(LEFT(CELL("filename",A1),FIND("[",CELL("filename",A1))-1)&amp;"매뉴얼BODY(집행단계-첨부폴더)v8\6.건축\27_거푸집 해체\표준서\거푸집 해체_표준서.html", "👉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26">
        <f>HYPERLINK(LEFT(CELL("filename",A1),FIND("[",CELL("filename",A1))-1)&amp;"매뉴얼BODY(집행단계-첨부폴더)v8\6.건축\27_거푸집 해체\수행지침\거푸집 해체_수행지침.html", "👉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26">
        <f>HYPERLINK(LEFT(CELL("filename",A1),FIND("[",CELL("filename",A1))-1)&amp;"매뉴얼BODY(집행단계-첨부폴더)v8\6.건축\27_거푸집 해체\체크리스트\거푸집 해체_체크리스트.html", "👉 [클릭] 체크리스트 열기 📄")</f>
        <v/>
      </c>
      <c r="P28" s="30" t="n"/>
      <c r="Q28" s="31" t="inlineStr">
        <is>
          <t>● 거푸집 해체 시 압축강도 기준 준수</t>
        </is>
      </c>
      <c r="R28" s="24" t="inlineStr">
        <is>
          <t>1) 👉 [더블클릭] 체크리스트 열기 📄</t>
        </is>
      </c>
      <c r="S28" s="31" t="n"/>
    </row>
    <row r="29" ht="115.2" customHeight="1" s="147">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26">
        <f>HYPERLINK(LEFT(CELL("filename",A1),FIND("[",CELL("filename",A1))-1)&amp;"매뉴얼BODY(집행단계-첨부폴더)v8\6.건축\28_건축 내부 및 마감공사\표준서\건축 내부 및 마감공사_표준서.html", "👉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26">
        <f>HYPERLINK(LEFT(CELL("filename",A1),FIND("[",CELL("filename",A1))-1)&amp;"매뉴얼BODY(집행단계-첨부폴더)v8\6.건축\28_건축 내부 및 마감공사\수행지침\건축 내부 및 마감공사_수행지침.html", "👉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26">
        <f>HYPERLINK(LEFT(CELL("filename",A1),FIND("[",CELL("filename",A1))-1)&amp;"매뉴얼BODY(집행단계-첨부폴더)v8\6.건축\28_건축 내부 및 마감공사\체크리스트\건축 내부 및 마감공사_체크리스트.html", "👉 [클릭] 체크리스트 열기 📄")</f>
        <v/>
      </c>
      <c r="P29" s="30" t="n"/>
      <c r="Q29" s="31" t="inlineStr">
        <is>
          <t>● 내부 및 외벽 마감 상세 도서 준수</t>
        </is>
      </c>
      <c r="R29" s="24" t="inlineStr">
        <is>
          <t>1) 👉 [더블클릭] 체크리스트 열기 📄</t>
        </is>
      </c>
      <c r="S29" s="31" t="n"/>
    </row>
    <row r="30" ht="115.2" customHeight="1" s="147">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26">
        <f>HYPERLINK(LEFT(CELL("filename",A1),FIND("[",CELL("filename",A1))-1)&amp;"매뉴얼BODY(집행단계-첨부폴더)v8\6.건축\29_창호,유리 및 금속지붕공사\표준서\창호,유리 및 금속지붕공사_표준서.html", "👉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26">
        <f>HYPERLINK(LEFT(CELL("filename",A1),FIND("[",CELL("filename",A1))-1)&amp;"매뉴얼BODY(집행단계-첨부폴더)v8\6.건축\29_창호,유리 및 금속지붕공사\수행지침\창호,유리 및 금속지붕공사_수행지침.html", "👉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26">
        <f>HYPERLINK(LEFT(CELL("filename",A1),FIND("[",CELL("filename",A1))-1)&amp;"매뉴얼BODY(집행단계-첨부폴더)v8\6.건축\29_창호,유리 및 금속지붕공사\체크리스트\창호,유리 및 금속지붕공사_체크리스트.html", "👉 [클릭] 체크리스트 열기 📄")</f>
        <v/>
      </c>
      <c r="P30" s="30" t="n"/>
      <c r="Q30" s="31" t="inlineStr">
        <is>
          <t>● 창호 기밀성 및 수밀성 성능 검증</t>
        </is>
      </c>
      <c r="R30" s="24" t="inlineStr">
        <is>
          <t>1) 👉 [더블클릭] 체크리스트 열기 📄</t>
        </is>
      </c>
      <c r="S30" s="31" t="n"/>
    </row>
    <row r="31" ht="96" customHeight="1" s="147">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26">
        <f>HYPERLINK(LEFT(CELL("filename",A1),FIND("[",CELL("filename",A1))-1)&amp;"매뉴얼BODY(집행단계-첨부폴더)v8\6.건축\30_조적공사\표준서\조적공사_표준서.html", "👉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26">
        <f>HYPERLINK(LEFT(CELL("filename",A1),FIND("[",CELL("filename",A1))-1)&amp;"매뉴얼BODY(집행단계-첨부폴더)v8\6.건축\30_조적공사\수행지침\조적공사_수행지침.html", "👉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26">
        <f>HYPERLINK(LEFT(CELL("filename",A1),FIND("[",CELL("filename",A1))-1)&amp;"매뉴얼BODY(집행단계-첨부폴더)v8\6.건축\30_조적공사\체크리스트\조적공사_체크리스트.html", "👉 [클릭] 체크리스트 열기 📄")</f>
        <v/>
      </c>
      <c r="P31" s="30" t="n"/>
      <c r="Q31" s="31" t="inlineStr">
        <is>
          <t>● 조적 줄눈 및 쌓기 높이 기준 준수</t>
        </is>
      </c>
      <c r="R31" s="24" t="inlineStr">
        <is>
          <t>1) 👉 [더블클릭] 체크리스트 열기 📄</t>
        </is>
      </c>
      <c r="S31" s="31" t="n"/>
    </row>
    <row r="32" ht="115.2" customHeight="1" s="147">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26">
        <f>HYPERLINK(LEFT(CELL("filename",A1),FIND("[",CELL("filename",A1))-1)&amp;"매뉴얼BODY(집행단계-첨부폴더)v8\6.건축\31_내부 방수공사\표준서\내부 방수공사_표준서.html", "👉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26">
        <f>HYPERLINK(LEFT(CELL("filename",A1),FIND("[",CELL("filename",A1))-1)&amp;"매뉴얼BODY(집행단계-첨부폴더)v8\6.건축\31_내부 방수공사\수행지침\내부 방수공사_수행지침.html", "👉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26">
        <f>HYPERLINK(LEFT(CELL("filename",A1),FIND("[",CELL("filename",A1))-1)&amp;"매뉴얼BODY(집행단계-첨부폴더)v8\6.건축\31_내부 방수공사\체크리스트\내부 방수공사_체크리스트.html", "👉 [클릭] 체크리스트 열기 📄")</f>
        <v/>
      </c>
      <c r="P32" s="30" t="n"/>
      <c r="Q32" s="31" t="inlineStr">
        <is>
          <t>● 방수층 두께 및 담수테스트(24시간) 기준</t>
        </is>
      </c>
      <c r="R32" s="24" t="inlineStr">
        <is>
          <t>1) 👉 [더블클릭] 체크리스트 열기 📄</t>
        </is>
      </c>
      <c r="S32" s="31" t="n"/>
    </row>
    <row r="33" ht="96" customHeight="1" s="147">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26">
        <f>HYPERLINK(LEFT(CELL("filename",A1),FIND("[",CELL("filename",A1))-1)&amp;"매뉴얼BODY(집행단계-첨부폴더)v8\6.건축\32_미장 및 타일공사\표준서\미장 및 타일공사_표준서.html", "👉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26">
        <f>HYPERLINK(LEFT(CELL("filename",A1),FIND("[",CELL("filename",A1))-1)&amp;"매뉴얼BODY(집행단계-첨부폴더)v8\6.건축\32_미장 및 타일공사\수행지침\미장 및 타일공사_수행지침.html", "👉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26">
        <f>HYPERLINK(LEFT(CELL("filename",A1),FIND("[",CELL("filename",A1))-1)&amp;"매뉴얼BODY(집행단계-첨부폴더)v8\6.건축\32_미장 및 타일공사\체크리스트\미장 및 타일공사_체크리스트.html", "👉 [클릭] 체크리스트 열기 📄")</f>
        <v/>
      </c>
      <c r="P33" s="30" t="n"/>
      <c r="Q33" s="31" t="inlineStr">
        <is>
          <t>● 미장면 평탄성 및 타일 부착 강도 기준</t>
        </is>
      </c>
      <c r="R33" s="24" t="inlineStr">
        <is>
          <t>1) 👉 [더블클릭] 체크리스트 열기 📄</t>
        </is>
      </c>
      <c r="S33" s="31" t="n"/>
    </row>
    <row r="34" ht="96" customHeight="1" s="147">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26">
        <f>HYPERLINK(LEFT(CELL("filename",A1),FIND("[",CELL("filename",A1))-1)&amp;"매뉴얼BODY(집행단계-첨부폴더)v8\6.건축\33_수장 및 잡철물공사\표준서\수장 및 잡철물공사_표준서.html", "👉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26">
        <f>HYPERLINK(LEFT(CELL("filename",A1),FIND("[",CELL("filename",A1))-1)&amp;"매뉴얼BODY(집행단계-첨부폴더)v8\6.건축\33_수장 및 잡철물공사\수행지침\수장 및 잡철물공사_수행지침.html", "👉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26">
        <f>HYPERLINK(LEFT(CELL("filename",A1),FIND("[",CELL("filename",A1))-1)&amp;"매뉴얼BODY(집행단계-첨부폴더)v8\6.건축\33_수장 및 잡철물공사\체크리스트\수장 및 잡철물공사_체크리스트.html", "👉 [클릭] 체크리스트 열기 📄")</f>
        <v/>
      </c>
      <c r="P34" s="30" t="n"/>
      <c r="Q34" s="31" t="inlineStr">
        <is>
          <t>● 실별 마감 재료 규격 만족</t>
        </is>
      </c>
      <c r="R34" s="24" t="inlineStr">
        <is>
          <t>1) 👉 [더블클릭] 체크리스트 열기 📄</t>
        </is>
      </c>
      <c r="S34" s="31" t="n"/>
    </row>
    <row r="35" ht="115.2" customHeight="1" s="147">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26">
        <f>HYPERLINK(LEFT(CELL("filename",A1),FIND("[",CELL("filename",A1))-1)&amp;"매뉴얼BODY(집행단계-첨부폴더)v8\6.건축\34_도장공사\표준서\도장공사_표준서.html", "👉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26">
        <f>HYPERLINK(LEFT(CELL("filename",A1),FIND("[",CELL("filename",A1))-1)&amp;"매뉴얼BODY(집행단계-첨부폴더)v8\6.건축\34_도장공사\수행지침\도장공사_수행지침.html", "👉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26">
        <f>HYPERLINK(LEFT(CELL("filename",A1),FIND("[",CELL("filename",A1))-1)&amp;"매뉴얼BODY(집행단계-첨부폴더)v8\6.건축\34_도장공사\체크리스트\도장공사_체크리스트.html", "👉 [클릭] 체크리스트 열기 📄")</f>
        <v/>
      </c>
      <c r="P35" s="30" t="n"/>
      <c r="Q35" s="31" t="inlineStr">
        <is>
          <t>● 도장 도막 두께 및 색상 균일성 기준</t>
        </is>
      </c>
      <c r="R35" s="24" t="inlineStr">
        <is>
          <t>1) 👉 [더블클릭] 체크리스트 열기 📄</t>
        </is>
      </c>
      <c r="S35" s="31" t="n"/>
    </row>
    <row r="36" ht="115.2" customHeight="1" s="147">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26">
        <f>HYPERLINK(LEFT(CELL("filename",A1),FIND("[",CELL("filename",A1))-1)&amp;"매뉴얼BODY(집행단계-첨부폴더)v8\6.건축\35_인테리어 및 무대공사\표준서\인테리어 및 무대공사_표준서.html", "👉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26">
        <f>HYPERLINK(LEFT(CELL("filename",A1),FIND("[",CELL("filename",A1))-1)&amp;"매뉴얼BODY(집행단계-첨부폴더)v8\6.건축\35_인테리어 및 무대공사\수행지침\인테리어 및 무대공사_수행지침.html", "👉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26">
        <f>HYPERLINK(LEFT(CELL("filename",A1),FIND("[",CELL("filename",A1))-1)&amp;"매뉴얼BODY(집행단계-첨부폴더)v8\6.건축\35_인테리어 및 무대공사\체크리스트\인테리어 및 무대공사_체크리스트.html", "👉 [클릭] 체크리스트 열기 📄")</f>
        <v/>
      </c>
      <c r="P36" s="30" t="n"/>
      <c r="Q36" s="31" t="inlineStr">
        <is>
          <t>● 내부 인테리어 설계 도서 준수</t>
        </is>
      </c>
      <c r="R36" s="24" t="inlineStr">
        <is>
          <t>1) 👉 [더블클릭] 체크리스트 열기 📄</t>
        </is>
      </c>
      <c r="S36" s="31" t="n"/>
    </row>
    <row r="37" ht="115.2" customHeight="1" s="147">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26">
        <f>HYPERLINK(LEFT(CELL("filename",A1),FIND("[",CELL("filename",A1))-1)&amp;"매뉴얼BODY(집행단계-첨부폴더)v8\6.건축\36_준공전 건축 인허가\표준서\준공전 건축 인허가_표준서.html", "👉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26">
        <f>HYPERLINK(LEFT(CELL("filename",A1),FIND("[",CELL("filename",A1))-1)&amp;"매뉴얼BODY(집행단계-첨부폴더)v8\6.건축\36_준공전 건축 인허가\수행지침\준공전 건축 인허가_수행지침.html", "👉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26">
        <f>HYPERLINK(LEFT(CELL("filename",A1),FIND("[",CELL("filename",A1))-1)&amp;"매뉴얼BODY(집행단계-첨부폴더)v8\6.건축\36_준공전 건축 인허가\체크리스트\준공전 건축 인허가_체크리스트.html", "👉 [클릭] 체크리스트 열기 📄")</f>
        <v/>
      </c>
      <c r="P37" s="30" t="n"/>
      <c r="Q37" s="31" t="inlineStr">
        <is>
          <t>● 관련 법규(건축법, 하수도법 등) 준수</t>
        </is>
      </c>
      <c r="R37" s="24" t="inlineStr">
        <is>
          <t>1) 👉 [더블클릭] 체크리스트 열기 📄</t>
        </is>
      </c>
      <c r="S37" s="31" t="n"/>
    </row>
    <row r="38" ht="134.4" customHeight="1" s="147">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26">
        <f>HYPERLINK(LEFT(CELL("filename",A1),FIND("[",CELL("filename",A1))-1)&amp;"매뉴얼BODY(집행단계-첨부폴더)v8\6.건축\37_소방시설공사 완공검사\표준서\소방시설공사 완공검사_표준서.html", "👉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26">
        <f>HYPERLINK(LEFT(CELL("filename",A1),FIND("[",CELL("filename",A1))-1)&amp;"매뉴얼BODY(집행단계-첨부폴더)v8\6.건축\37_소방시설공사 완공검사\수행지침\소방시설공사 완공검사_수행지침.html", "👉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26">
        <f>HYPERLINK(LEFT(CELL("filename",A1),FIND("[",CELL("filename",A1))-1)&amp;"매뉴얼BODY(집행단계-첨부폴더)v8\6.건축\37_소방시설공사 완공검사\체크리스트\소방시설공사 완공검사_체크리스트.html", "👉 [클릭] 체크리스트 열기 📄")</f>
        <v/>
      </c>
      <c r="P38" s="30" t="n"/>
      <c r="Q38" s="31" t="inlineStr">
        <is>
          <t>● 소방시설공사법 제14조</t>
        </is>
      </c>
      <c r="R38" s="24" t="inlineStr">
        <is>
          <t>1) 👉 [더블클릭] 체크리스트 열기 📄</t>
        </is>
      </c>
      <c r="S38" s="31" t="n"/>
    </row>
    <row r="39" ht="115.2" customHeight="1" s="147">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26">
        <f>HYPERLINK(LEFT(CELL("filename",A1),FIND("[",CELL("filename",A1))-1)&amp;"매뉴얼BODY(집행단계-첨부폴더)v8\6.건축\38_승강기 설치 신고서 제출\표준서\승강기 설치 신고서 제출_표준서.html", "👉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26">
        <f>HYPERLINK(LEFT(CELL("filename",A1),FIND("[",CELL("filename",A1))-1)&amp;"매뉴얼BODY(집행단계-첨부폴더)v8\6.건축\38_승강기 설치 신고서 제출\수행지침\승강기 설치 신고서 제출_수행지침.html", "👉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26">
        <f>HYPERLINK(LEFT(CELL("filename",A1),FIND("[",CELL("filename",A1))-1)&amp;"매뉴얼BODY(집행단계-첨부폴더)v8\6.건축\38_승강기 설치 신고서 제출\체크리스트\승강기 설치 신고서 제출_체크리스트.html", "👉 [클릭] 체크리스트 열기 📄")</f>
        <v/>
      </c>
      <c r="P39" s="30" t="n"/>
      <c r="Q39" s="31" t="inlineStr">
        <is>
          <t>● 승강기 안전관리법 제27조</t>
        </is>
      </c>
      <c r="R39" s="24" t="inlineStr">
        <is>
          <t>1) 👉 [더블클릭] 체크리스트 열기 📄</t>
        </is>
      </c>
      <c r="S39" s="31" t="n"/>
    </row>
    <row r="40" ht="115.2" customHeight="1" s="147">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26">
        <f>HYPERLINK(LEFT(CELL("filename",A1),FIND("[",CELL("filename",A1))-1)&amp;"매뉴얼BODY(집행단계-첨부폴더)v8\6.건축\39_저수조 설치현황 신고서 제출\표준서\저수조 설치현황 신고서 제출_표준서.html", "👉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26">
        <f>HYPERLINK(LEFT(CELL("filename",A1),FIND("[",CELL("filename",A1))-1)&amp;"매뉴얼BODY(집행단계-첨부폴더)v8\6.건축\39_저수조 설치현황 신고서 제출\수행지침\저수조 설치현황 신고서 제출_수행지침.html", "👉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26">
        <f>HYPERLINK(LEFT(CELL("filename",A1),FIND("[",CELL("filename",A1))-1)&amp;"매뉴얼BODY(집행단계-첨부폴더)v8\6.건축\39_저수조 설치현황 신고서 제출\체크리스트\저수조 설치현황 신고서 제출_체크리스트.html", "👉 [클릭] 체크리스트 열기 📄")</f>
        <v/>
      </c>
      <c r="P40" s="30" t="n"/>
      <c r="Q40" s="31" t="inlineStr">
        <is>
          <t>● 수도법 제33조</t>
        </is>
      </c>
      <c r="R40" s="24" t="inlineStr">
        <is>
          <t>1) 👉 [더블클릭] 체크리스트 열기 📄</t>
        </is>
      </c>
      <c r="S40" s="31" t="n"/>
    </row>
    <row r="41" ht="115.2" customHeight="1" s="147">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26">
        <f>HYPERLINK(LEFT(CELL("filename",A1),FIND("[",CELL("filename",A1))-1)&amp;"매뉴얼BODY(집행단계-첨부폴더)v8\6.건축\40_오수처리시설 _ 정화조 설치 신고서 제출\표준서\오수처리시설 _ 정화조 설치 신고서 제출_표준서.html", "👉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26">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26">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30" t="n"/>
      <c r="Q41" s="31" t="inlineStr">
        <is>
          <t>● 하수도법 제34조</t>
        </is>
      </c>
      <c r="R41" s="24" t="inlineStr">
        <is>
          <t>1) 👉 [더블클릭] 체크리스트 열기 📄</t>
        </is>
      </c>
      <c r="S41" s="31" t="n"/>
    </row>
    <row r="42" ht="115.2" customHeight="1" s="147">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26">
        <f>HYPERLINK(LEFT(CELL("filename",A1),FIND("[",CELL("filename",A1))-1)&amp;"매뉴얼BODY(집행단계-첨부폴더)v8\6.건축\41_전기사용전 검사\표준서\전기사용전 검사_표준서.html", "👉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26">
        <f>HYPERLINK(LEFT(CELL("filename",A1),FIND("[",CELL("filename",A1))-1)&amp;"매뉴얼BODY(집행단계-첨부폴더)v8\6.건축\41_전기사용전 검사\수행지침\전기사용전 검사_수행지침.html", "👉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26">
        <f>HYPERLINK(LEFT(CELL("filename",A1),FIND("[",CELL("filename",A1))-1)&amp;"매뉴얼BODY(집행단계-첨부폴더)v8\6.건축\41_전기사용전 검사\체크리스트\전기사용전 검사_체크리스트.html", "👉 [클릭] 체크리스트 열기 📄")</f>
        <v/>
      </c>
      <c r="P42" s="30" t="n"/>
      <c r="Q42" s="31" t="inlineStr">
        <is>
          <t>● 전기안전관리법 제9조</t>
        </is>
      </c>
      <c r="R42" s="24" t="inlineStr">
        <is>
          <t>1) 👉 [더블클릭] 체크리스트 열기 📄</t>
        </is>
      </c>
      <c r="S42" s="31" t="n"/>
    </row>
    <row r="43" ht="115.2" customHeight="1" s="147">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26">
        <f>HYPERLINK(LEFT(CELL("filename",A1),FIND("[",CELL("filename",A1))-1)&amp;"매뉴얼BODY(집행단계-첨부폴더)v8\6.건축\42_승강기 설치검사\표준서\승강기 설치검사_표준서.html", "👉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26">
        <f>HYPERLINK(LEFT(CELL("filename",A1),FIND("[",CELL("filename",A1))-1)&amp;"매뉴얼BODY(집행단계-첨부폴더)v8\6.건축\42_승강기 설치검사\수행지침\승강기 설치검사_수행지침.html", "👉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26">
        <f>HYPERLINK(LEFT(CELL("filename",A1),FIND("[",CELL("filename",A1))-1)&amp;"매뉴얼BODY(집행단계-첨부폴더)v8\6.건축\42_승강기 설치검사\체크리스트\승강기 설치검사_체크리스트.html", "👉 [클릭] 체크리스트 열기 📄")</f>
        <v/>
      </c>
      <c r="P43" s="30" t="n"/>
      <c r="Q43" s="31" t="inlineStr">
        <is>
          <t>● 승강기 안전관리법 제28조</t>
        </is>
      </c>
      <c r="R43" s="24" t="inlineStr">
        <is>
          <t>1) 👉 [더블클릭] 체크리스트 열기 📄</t>
        </is>
      </c>
      <c r="S43" s="31" t="n"/>
    </row>
    <row r="44" ht="115.2" customHeight="1" s="147">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26">
        <f>HYPERLINK(LEFT(CELL("filename",A1),FIND("[",CELL("filename",A1))-1)&amp;"매뉴얼BODY(집행단계-첨부폴더)v8\6.건축\43_배수설비 설치 신고서 제출\표준서\배수설비 설치 신고서 제출_표준서.html", "👉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26">
        <f>HYPERLINK(LEFT(CELL("filename",A1),FIND("[",CELL("filename",A1))-1)&amp;"매뉴얼BODY(집행단계-첨부폴더)v8\6.건축\43_배수설비 설치 신고서 제출\수행지침\배수설비 설치 신고서 제출_수행지침.html", "👉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26">
        <f>HYPERLINK(LEFT(CELL("filename",A1),FIND("[",CELL("filename",A1))-1)&amp;"매뉴얼BODY(집행단계-첨부폴더)v8\6.건축\43_배수설비 설치 신고서 제출\체크리스트\배수설비 설치 신고서 제출_체크리스트.html", "👉 [클릭] 체크리스트 열기 📄")</f>
        <v/>
      </c>
      <c r="P44" s="30" t="n"/>
      <c r="Q44" s="31" t="inlineStr">
        <is>
          <t>● 하수도법 제27조</t>
        </is>
      </c>
      <c r="R44" s="24" t="inlineStr">
        <is>
          <t>1) 👉 [더블클릭] 체크리스트 열기 📄</t>
        </is>
      </c>
      <c r="S44" s="31" t="n"/>
    </row>
    <row r="45" ht="96" customHeight="1" s="147">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26">
        <f>HYPERLINK(LEFT(CELL("filename",A1),FIND("[",CELL("filename",A1))-1)&amp;"매뉴얼BODY(집행단계-첨부폴더)v8\6.건축\44_정보통신공사 사용전검사\표준서\정보통신공사 사용전검사_표준서.html", "👉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26">
        <f>HYPERLINK(LEFT(CELL("filename",A1),FIND("[",CELL("filename",A1))-1)&amp;"매뉴얼BODY(집행단계-첨부폴더)v8\6.건축\44_정보통신공사 사용전검사\수행지침\정보통신공사 사용전검사_수행지침.html", "👉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26">
        <f>HYPERLINK(LEFT(CELL("filename",A1),FIND("[",CELL("filename",A1))-1)&amp;"매뉴얼BODY(집행단계-첨부폴더)v8\6.건축\44_정보통신공사 사용전검사\체크리스트\정보통신공사 사용전검사_체크리스트.html", "👉 [클릭] 체크리스트 열기 📄")</f>
        <v/>
      </c>
      <c r="P45" s="30" t="n"/>
      <c r="Q45" s="31" t="inlineStr">
        <is>
          <t>● 정보통신공사업 시행령 제36조</t>
        </is>
      </c>
      <c r="R45" s="24" t="inlineStr">
        <is>
          <t>1) 👉 [더블클릭] 체크리스트 열기 📄</t>
        </is>
      </c>
      <c r="S45" s="31" t="n"/>
    </row>
    <row r="46" ht="115.2" customHeight="1" s="147">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26">
        <f>HYPERLINK(LEFT(CELL("filename",A1),FIND("[",CELL("filename",A1))-1)&amp;"매뉴얼BODY(집행단계-첨부폴더)v8\6.건축\45_오수처리시설 _ 정화조 준공검사\표준서\오수처리시설 _ 정화조 준공검사_표준서.html", "👉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26">
        <f>HYPERLINK(LEFT(CELL("filename",A1),FIND("[",CELL("filename",A1))-1)&amp;"매뉴얼BODY(집행단계-첨부폴더)v8\6.건축\45_오수처리시설 _ 정화조 준공검사\수행지침\오수처리시설 _ 정화조 준공검사_수행지침.html", "👉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26">
        <f>HYPERLINK(LEFT(CELL("filename",A1),FIND("[",CELL("filename",A1))-1)&amp;"매뉴얼BODY(집행단계-첨부폴더)v8\6.건축\45_오수처리시설 _ 정화조 준공검사\체크리스트\오수처리시설 _ 정화조 준공검사_체크리스트.html", "👉 [클릭] 체크리스트 열기 📄")</f>
        <v/>
      </c>
      <c r="P46" s="30" t="n"/>
      <c r="Q46" s="31" t="inlineStr">
        <is>
          <t>● 하수도법 제37조</t>
        </is>
      </c>
      <c r="R46" s="24" t="inlineStr">
        <is>
          <t>1) 👉 [더블클릭] 체크리스트 열기 📄</t>
        </is>
      </c>
      <c r="S46" s="31" t="n"/>
    </row>
    <row r="47" ht="115.2" customHeight="1" s="147">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26">
        <f>HYPERLINK(LEFT(CELL("filename",A1),FIND("[",CELL("filename",A1))-1)&amp;"매뉴얼BODY(집행단계-첨부폴더)v8\6.건축\46_급수공사 신청서 제출\표준서\급수공사 신청서 제출_표준서.html", "👉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26">
        <f>HYPERLINK(LEFT(CELL("filename",A1),FIND("[",CELL("filename",A1))-1)&amp;"매뉴얼BODY(집행단계-첨부폴더)v8\6.건축\46_급수공사 신청서 제출\수행지침\급수공사 신청서 제출_수행지침.html", "👉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26">
        <f>HYPERLINK(LEFT(CELL("filename",A1),FIND("[",CELL("filename",A1))-1)&amp;"매뉴얼BODY(집행단계-첨부폴더)v8\6.건축\46_급수공사 신청서 제출\체크리스트\급수공사 신청서 제출_체크리스트.html", "👉 [클릭] 체크리스트 열기 📄")</f>
        <v/>
      </c>
      <c r="P47" s="30" t="n"/>
      <c r="Q47" s="31" t="inlineStr">
        <is>
          <t>● 수도 조례 시행규칙</t>
        </is>
      </c>
      <c r="R47" s="24" t="inlineStr">
        <is>
          <t>1) 👉 [더블클릭] 체크리스트 열기 📄</t>
        </is>
      </c>
      <c r="S47" s="31" t="n"/>
    </row>
    <row r="48" ht="115.2" customHeight="1" s="147">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26">
        <f>HYPERLINK(LEFT(CELL("filename",A1),FIND("[",CELL("filename",A1))-1)&amp;"매뉴얼BODY(집행단계-첨부폴더)v8\6.건축\47_업무대행 건축사 사용승인 검사\표준서\업무대행 건축사 사용승인 검사_표준서.html", "👉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26">
        <f>HYPERLINK(LEFT(CELL("filename",A1),FIND("[",CELL("filename",A1))-1)&amp;"매뉴얼BODY(집행단계-첨부폴더)v8\6.건축\47_업무대행 건축사 사용승인 검사\수행지침\업무대행 건축사 사용승인 검사_수행지침.html", "👉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26">
        <f>HYPERLINK(LEFT(CELL("filename",A1),FIND("[",CELL("filename",A1))-1)&amp;"매뉴얼BODY(집행단계-첨부폴더)v8\6.건축\47_업무대행 건축사 사용승인 검사\체크리스트\업무대행 건축사 사용승인 검사_체크리스트.html", "👉 [클릭] 체크리스트 열기 📄")</f>
        <v/>
      </c>
      <c r="P48" s="30" t="n"/>
      <c r="Q48" s="31" t="inlineStr">
        <is>
          <t>● 건축법시행령 제20조</t>
        </is>
      </c>
      <c r="R48" s="24" t="inlineStr">
        <is>
          <t>1) 👉 [더블클릭] 체크리스트 열기 📄</t>
        </is>
      </c>
      <c r="S48" s="31" t="n"/>
    </row>
    <row r="49" ht="115.2" customHeight="1" s="147">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26">
        <f>HYPERLINK(LEFT(CELL("filename",A1),FIND("[",CELL("filename",A1))-1)&amp;"매뉴얼BODY(집행단계-첨부폴더)v8\6.건축\48_건축물 사용승인 신청\표준서\건축물 사용승인 신청_표준서.html", "👉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26">
        <f>HYPERLINK(LEFT(CELL("filename",A1),FIND("[",CELL("filename",A1))-1)&amp;"매뉴얼BODY(집행단계-첨부폴더)v8\6.건축\48_건축물 사용승인 신청\수행지침\건축물 사용승인 신청_수행지침.html", "👉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26">
        <f>HYPERLINK(LEFT(CELL("filename",A1),FIND("[",CELL("filename",A1))-1)&amp;"매뉴얼BODY(집행단계-첨부폴더)v8\6.건축\48_건축물 사용승인 신청\체크리스트\건축물 사용승인 신청_체크리스트.html", "👉 [클릭] 체크리스트 열기 📄")</f>
        <v/>
      </c>
      <c r="P49" s="30" t="n"/>
      <c r="Q49" s="31" t="inlineStr">
        <is>
          <t>● 건축법 제22조</t>
        </is>
      </c>
      <c r="R49" s="24" t="inlineStr">
        <is>
          <t>1) 👉 [더블클릭] 체크리스트 열기 📄</t>
        </is>
      </c>
      <c r="S49" s="31" t="n"/>
    </row>
    <row r="50" ht="115.2" customHeight="1" s="147">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26">
        <f>HYPERLINK(LEFT(CELL("filename",A1),FIND("[",CELL("filename",A1))-1)&amp;"매뉴얼BODY(집행단계-첨부폴더)v8\6.건축\49_건축물대장 등재\표준서\건축물대장 등재_표준서.html", "👉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26">
        <f>HYPERLINK(LEFT(CELL("filename",A1),FIND("[",CELL("filename",A1))-1)&amp;"매뉴얼BODY(집행단계-첨부폴더)v8\6.건축\49_건축물대장 등재\수행지침\건축물대장 등재_수행지침.html", "👉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26">
        <f>HYPERLINK(LEFT(CELL("filename",A1),FIND("[",CELL("filename",A1))-1)&amp;"매뉴얼BODY(집행단계-첨부폴더)v8\6.건축\49_건축물대장 등재\체크리스트\건축물대장 등재_체크리스트.html", "👉 [클릭] 체크리스트 열기 📄")</f>
        <v/>
      </c>
      <c r="P50" s="30" t="n"/>
      <c r="Q50" s="31" t="inlineStr">
        <is>
          <t>● 건축물대장의 기재 및 관리 등에 관한 규칙 제12조</t>
        </is>
      </c>
      <c r="R50" s="24" t="inlineStr">
        <is>
          <t>1) 👉 [더블클릭] 체크리스트 열기 📄</t>
        </is>
      </c>
      <c r="S50" s="31" t="n"/>
    </row>
    <row r="51" ht="134.4" customHeight="1" s="147">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26">
        <f>HYPERLINK(LEFT(CELL("filename",A1),FIND("[",CELL("filename",A1))-1)&amp;"매뉴얼BODY(집행단계-첨부폴더)v8\6.건축\50_후속 구조물 인계\표준서\후속 구조물 인계_표준서.html", "👉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26">
        <f>HYPERLINK(LEFT(CELL("filename",A1),FIND("[",CELL("filename",A1))-1)&amp;"매뉴얼BODY(집행단계-첨부폴더)v8\6.건축\50_후속 구조물 인계\수행지침\후속 구조물 인계_수행지침.html", "👉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26">
        <f>HYPERLINK(LEFT(CELL("filename",A1),FIND("[",CELL("filename",A1))-1)&amp;"매뉴얼BODY(집행단계-첨부폴더)v8\6.건축\50_후속 구조물 인계\체크리스트\후속 구조물 인계_체크리스트.html", "👉 [클릭] 체크리스트 열기 📄")</f>
        <v/>
      </c>
      <c r="P51" s="30" t="n"/>
      <c r="Q51" s="31" t="inlineStr">
        <is>
          <t>● 인수인계 및 시설물 유지관리 기준 준수</t>
        </is>
      </c>
      <c r="R51" s="24" t="inlineStr">
        <is>
          <t>1) 👉 [더블클릭] 체크리스트 열기 📄</t>
        </is>
      </c>
      <c r="S51" s="31"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7">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26">
        <f>HYPERLINK(LEFT(CELL("filename",A1),FIND("[",CELL("filename",A1))-1)&amp;"매뉴얼BODY(집행단계-첨부폴더)v8\7.신호분야\1_설계적정성 검토\표준서\설계적정성 검토_표준서.html", "👉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26">
        <f>HYPERLINK(LEFT(CELL("filename",A1),FIND("[",CELL("filename",A1))-1)&amp;"매뉴얼BODY(집행단계-첨부폴더)v8\7.신호분야\1_설계적정성 검토\수행지침\LTE-R_무선_AP를_통한_신호_제어_데이터_송수신_레벨_상세절차서.html", "👉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26">
        <f>HYPERLINK(LEFT(CELL("filename",A1),FIND("[",CELL("filename",A1))-1)&amp;"매뉴얼BODY(집행단계-첨부폴더)v8\7.신호분야\1_설계적정성 검토\체크리스트\설계적정성 검토_체크리스트.html", "👉 [클릭] 체크리스트 열기 📄")</f>
        <v/>
      </c>
      <c r="P2" s="10" t="n"/>
      <c r="Q2" s="71" t="inlineStr">
        <is>
          <t>● 관련분야 설계기준서 준수</t>
        </is>
      </c>
      <c r="R2" s="73" t="inlineStr">
        <is>
          <t>1) 👉 [더블클릭] 체크리스트 열기 📄</t>
        </is>
      </c>
      <c r="S2" s="71" t="n"/>
    </row>
    <row r="3" ht="139.8" customHeight="1" s="147">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26">
        <f>HYPERLINK(LEFT(CELL("filename",A1),FIND("[",CELL("filename",A1))-1)&amp;"매뉴얼BODY(집행단계-첨부폴더)v8\7.신호분야\2_착수준비 KOM\표준서\착수준비 KOM_표준서.html", "👉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26">
        <f>HYPERLINK(LEFT(CELL("filename",A1),FIND("[",CELL("filename",A1))-1)&amp;"매뉴얼BODY(집행단계-첨부폴더)v8\7.신호분야\2_착수준비 KOM\수행지침\LTE-R_무선_AP를_통한_신호_제어_데이터_송수신_레벨_상세절차서.html", "👉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26">
        <f>HYPERLINK(LEFT(CELL("filename",A1),FIND("[",CELL("filename",A1))-1)&amp;"매뉴얼BODY(집행단계-첨부폴더)v8\7.신호분야\2_착수준비 KOM\체크리스트\착수준비 KOM_체크리스트.html", "👉 [클릭] 체크리스트 열기 📄")</f>
        <v/>
      </c>
      <c r="P3" s="10" t="n"/>
      <c r="Q3" s="71" t="n"/>
      <c r="R3" s="73" t="inlineStr">
        <is>
          <t>1) 👉 [더블클릭] 체크리스트 열기 📄</t>
        </is>
      </c>
      <c r="S3" s="71" t="n"/>
    </row>
    <row r="4" ht="221.4" customHeight="1" s="147">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26">
        <f>HYPERLINK(LEFT(CELL("filename",A1),FIND("[",CELL("filename",A1))-1)&amp;"매뉴얼BODY(집행단계-첨부폴더)v8\7.신호분야\3_착수전 Big Room 회의\표준서\착수전 Big Room 회의_표준서.html", "👉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26">
        <f>HYPERLINK(LEFT(CELL("filename",A1),FIND("[",CELL("filename",A1))-1)&amp;"매뉴얼BODY(집행단계-첨부폴더)v8\7.신호분야\3_착수전 Big Room 회의\수행지침\LTE-R_무선_AP를_통한_신호_제어_데이터_송수신_레벨_상세절차서.html", "👉 [클릭] 수행지침 열기 📄")</f>
        <v/>
      </c>
      <c r="N4" s="11" t="inlineStr">
        <is>
          <t>1) 본사 및 분야별(토목/궤도/전기/건축/통신) 세부설계 인터페이스를 검토하였는가?
2) 궤도 시공 전 블록아웃 및 차축검지기 설치 I/F 사전 대책을 수립하였는가?</t>
        </is>
      </c>
      <c r="O4" s="126">
        <f>HYPERLINK(LEFT(CELL("filename",A1),FIND("[",CELL("filename",A1))-1)&amp;"매뉴얼BODY(집행단계-첨부폴더)v8\7.신호분야\3_착수전 Big Room 회의\체크리스트\착수전 Big Room 회의_체크리스트.html", "👉 [클릭] 체크리스트 열기 📄")</f>
        <v/>
      </c>
      <c r="P4" s="10" t="n"/>
      <c r="Q4" s="71" t="n"/>
      <c r="R4" s="73" t="inlineStr">
        <is>
          <t>1) 👉 [더블클릭] 체크리스트 열기 📄</t>
        </is>
      </c>
      <c r="S4" s="71" t="n"/>
    </row>
    <row r="5" ht="187.2" customHeight="1" s="147">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26">
        <f>HYPERLINK(LEFT(CELL("filename",A1),FIND("[",CELL("filename",A1))-1)&amp;"매뉴얼BODY(집행단계-첨부폴더)v8\7.신호분야\4_전기 _ 통신 _ PSD _ 차량 인터페이스 협의\표준서\전기 _ 통신 _ PSD _ 차량 인터페이스 협의_표준서.html", "👉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26">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11" t="inlineStr">
        <is>
          <t>1) 토목/궤도 시공 전 블록아웃 및 배수로 설치 I/F를 사전 확인하였는가?
2) 차량기지 및 본선 선로전환기/차축검지기 체결 인터페이스를 조율하였는가?</t>
        </is>
      </c>
      <c r="O5" s="126">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10" t="n"/>
      <c r="Q5" s="71" t="n"/>
      <c r="R5" s="73" t="inlineStr">
        <is>
          <t>1) 👉 [더블클릭] 체크리스트 열기 📄</t>
        </is>
      </c>
      <c r="S5" s="71" t="n"/>
    </row>
    <row r="6" ht="104.4" customHeight="1" s="147">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26">
        <f>HYPERLINK(LEFT(CELL("filename",A1),FIND("[",CELL("filename",A1))-1)&amp;"매뉴얼BODY(집행단계-첨부폴더)v8\7.신호분야\5_도로 _ 궤도 인터페이스 협의\표준서\도로 _ 궤도 인터페이스 협의_표준서.html", "👉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26">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11" t="inlineStr">
        <is>
          <t>1) 궤도 분기기 통과 요구사항 및 선로선형 사전조정 결과를 확인하였는가?
2) 노면 매립형 선로전환기(전환력 4.5~6.0kN, 유격 ≤1.5mm) 시공조건을 검토하였는가?</t>
        </is>
      </c>
      <c r="O6" s="126">
        <f>HYPERLINK(LEFT(CELL("filename",A1),FIND("[",CELL("filename",A1))-1)&amp;"매뉴얼BODY(집행단계-첨부폴더)v8\7.신호분야\5_도로 _ 궤도 인터페이스 협의\체크리스트\도로 _ 궤도 인터페이스 협의_체크리스트.html", "👉 [클릭] 체크리스트 열기 📄")</f>
        <v/>
      </c>
      <c r="P6" s="10" t="n"/>
      <c r="Q6" s="71" t="n"/>
      <c r="R6" s="73" t="inlineStr">
        <is>
          <t>1) 👉 [더블클릭] 체크리스트 열기 📄</t>
        </is>
      </c>
      <c r="S6" s="71" t="n"/>
    </row>
    <row r="7" ht="133.8" customHeight="1" s="147">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26">
        <f>HYPERLINK(LEFT(CELL("filename",A1),FIND("[",CELL("filename",A1))-1)&amp;"매뉴얼BODY(집행단계-첨부폴더)v8\7.신호분야\6_시공전 인터페이스 협의\표준서\시공전 인터페이스 협의_표준서.html", "👉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26">
        <f>HYPERLINK(LEFT(CELL("filename",A1),FIND("[",CELL("filename",A1))-1)&amp;"매뉴얼BODY(집행단계-첨부폴더)v8\7.신호분야\6_시공전 인터페이스 협의\수행지침\LTE-R_무선_AP를_통한_신호_제어_데이터_송수신_레벨_상세절차서.html", "👉 [클릭] 수행지침 열기 📄")</f>
        <v/>
      </c>
      <c r="N7" s="11" t="inlineStr">
        <is>
          <t>1) 시스템 설계 보완 검토를 통해 연계 설치 방안을 확정하였는가?
2) 케이블 인입 배관 및 궤도 블록아웃 간섭을 사전 제거하였는가?</t>
        </is>
      </c>
      <c r="O7" s="126">
        <f>HYPERLINK(LEFT(CELL("filename",A1),FIND("[",CELL("filename",A1))-1)&amp;"매뉴얼BODY(집행단계-첨부폴더)v8\7.신호분야\6_시공전 인터페이스 협의\체크리스트\시공전 인터페이스 협의_체크리스트.html", "👉 [클릭] 체크리스트 열기 📄")</f>
        <v/>
      </c>
      <c r="P7" s="10" t="n"/>
      <c r="Q7" s="71" t="n"/>
      <c r="R7" s="73" t="inlineStr">
        <is>
          <t>1) 👉 [더블클릭] 체크리스트 열기 📄</t>
        </is>
      </c>
      <c r="S7" s="71" t="n"/>
    </row>
    <row r="8" ht="127.8" customHeight="1" s="147">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26">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1" t="inlineStr">
        <is>
          <t>1) 신호자재 단품 Spec 검토 및 제조사 자체 시험성적서를 확인하십시오.
2) 제작도서 승인 서명 및 현장 투입 전 성능보증 기능을 검증하십시오.</t>
        </is>
      </c>
      <c r="M8" s="126">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11" t="inlineStr">
        <is>
          <t>1) 성능보증 기능성 신호자재 단품 Spec 검토를 완료하였는가?
2) 제조사 공장검수 성적서 및 제작도서 승인 서명을 확인하였는가?</t>
        </is>
      </c>
      <c r="O8" s="126">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10" t="n"/>
      <c r="Q8" s="71" t="n"/>
      <c r="R8" s="73" t="inlineStr">
        <is>
          <t>1) 👉 [더블클릭] 체크리스트 열기 📄</t>
        </is>
      </c>
      <c r="S8" s="71" t="n"/>
    </row>
    <row r="9" ht="104.4" customHeight="1" s="147">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26">
        <f>HYPERLINK(LEFT(CELL("filename",A1),FIND("[",CELL("filename",A1))-1)&amp;"매뉴얼BODY(집행단계-첨부폴더)v8\7.신호분야\8_관제 및 운영사 인터페이스 협의\표준서\관제 및 운영사 인터페이스 협의_표준서.html", "👉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26">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11" t="inlineStr">
        <is>
          <t>1) 시운전 시 조율사항 및 예비사항 도출을 완료하였는가?
2) 철도관제를 위한 관제사 조작반 MMI 표시 정보를 사전 검토하였는가?</t>
        </is>
      </c>
      <c r="O9" s="126">
        <f>HYPERLINK(LEFT(CELL("filename",A1),FIND("[",CELL("filename",A1))-1)&amp;"매뉴얼BODY(집행단계-첨부폴더)v8\7.신호분야\8_관제 및 운영사 인터페이스 협의\체크리스트\관제 및 운영사 인터페이스 협의_체크리스트.html", "👉 [클릭] 체크리스트 열기 📄")</f>
        <v/>
      </c>
      <c r="P9" s="10" t="n"/>
      <c r="Q9" s="71" t="n"/>
      <c r="R9" s="73" t="inlineStr">
        <is>
          <t>1) 👉 [더블클릭] 체크리스트 열기 📄</t>
        </is>
      </c>
      <c r="S9" s="71" t="n"/>
    </row>
    <row r="10" ht="104.4" customHeight="1" s="147">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26">
        <f>HYPERLINK(LEFT(CELL("filename",A1),FIND("[",CELL("filename",A1))-1)&amp;"매뉴얼BODY(집행단계-첨부폴더)v8\7.신호분야\9_자재 _ 인원 _ 장비 및 투입 사전 검토\표준서\자재 _ 인원 _ 장비 및 투입 사전 검토_표준서.html", "👉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26">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11" t="inlineStr">
        <is>
          <t>1) 현장 수량 기준 투입 인원 및 장비 계획 규명서를 작성하였는가?
2) 궤도 시공계획 연계 투입 스케줄 감리단 승인을 획득하였는가?</t>
        </is>
      </c>
      <c r="O10" s="126">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10" t="n"/>
      <c r="Q10" s="71" t="n"/>
      <c r="R10" s="73" t="inlineStr">
        <is>
          <t>1) 👉 [더블클릭] 체크리스트 열기 📄</t>
        </is>
      </c>
      <c r="S10" s="71" t="n"/>
    </row>
    <row r="11" ht="104.4" customHeight="1" s="147">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26">
        <f>HYPERLINK(LEFT(CELL("filename",A1),FIND("[",CELL("filename",A1))-1)&amp;"매뉴얼BODY(집행단계-첨부폴더)v8\7.신호분야\10_장비반입 및 안전교육\표준서\장비반입 및 안전교육_표준서.html", "👉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26">
        <f>HYPERLINK(LEFT(CELL("filename",A1),FIND("[",CELL("filename",A1))-1)&amp;"매뉴얼BODY(집행단계-첨부폴더)v8\7.신호분야\10_장비반입 및 안전교육\수행지침\LTE-R_무선_AP를_통한_신호_제어_데이터_송수신_레벨_상세절차서.html", "👉 [클릭] 수행지침 열기 📄")</f>
        <v/>
      </c>
      <c r="N11" s="11" t="inlineStr">
        <is>
          <t>1) 도로 굴착 및 인양 장비 Spec 점검 및 성능 검사를 완료하였는가?
2) 신호 공사 작업원 특별 안전교육 실시 기록을 확인하였는가?</t>
        </is>
      </c>
      <c r="O11" s="126">
        <f>HYPERLINK(LEFT(CELL("filename",A1),FIND("[",CELL("filename",A1))-1)&amp;"매뉴얼BODY(집행단계-첨부폴더)v8\7.신호분야\10_장비반입 및 안전교육\체크리스트\장비반입 및 안전교육_체크리스트.html", "👉 [클릭] 체크리스트 열기 📄")</f>
        <v/>
      </c>
      <c r="P11" s="10" t="n"/>
      <c r="Q11" s="71" t="n"/>
      <c r="R11" s="73" t="inlineStr">
        <is>
          <t>1) 👉 [더블클릭] 체크리스트 열기 📄</t>
        </is>
      </c>
      <c r="S11" s="71" t="n"/>
    </row>
    <row r="12" ht="104.4" customHeight="1" s="147">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26">
        <f>HYPERLINK(LEFT(CELL("filename",A1),FIND("[",CELL("filename",A1))-1)&amp;"매뉴얼BODY(집행단계-첨부폴더)v8\7.신호분야\11_자재 반입 및 검수\표준서\자재 반입 및 검수_표준서.html", "👉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26">
        <f>HYPERLINK(LEFT(CELL("filename",A1),FIND("[",CELL("filename",A1))-1)&amp;"매뉴얼BODY(집행단계-첨부폴더)v8\7.신호분야\11_자재 반입 및 검수\수행지침\LTE-R_무선_AP를_통한_신호_제어_데이터_송수신_레벨_상세절차서.html", "👉 [클릭] 수행지침 열기 📄")</f>
        <v/>
      </c>
      <c r="N12" s="11" t="inlineStr">
        <is>
          <t>1) 자재공급승인원(MAR) 제출 및 공장검수 승인을 획득하였는가?
2) 반입 자재 사양 확인(KS, KRS 표준규격) 및 수량 검수를 시행하였는가?</t>
        </is>
      </c>
      <c r="O12" s="126">
        <f>HYPERLINK(LEFT(CELL("filename",A1),FIND("[",CELL("filename",A1))-1)&amp;"매뉴얼BODY(집행단계-첨부폴더)v8\7.신호분야\11_자재 반입 및 검수\체크리스트\자재 반입 및 검수_체크리스트.html", "👉 [클릭] 체크리스트 열기 📄")</f>
        <v/>
      </c>
      <c r="P12" s="10" t="n"/>
      <c r="Q12" s="71" t="n"/>
      <c r="R12" s="73" t="inlineStr">
        <is>
          <t>1) 👉 [더블클릭] 체크리스트 열기 📄</t>
        </is>
      </c>
      <c r="S12" s="71" t="n"/>
    </row>
    <row r="13" ht="104.4" customHeight="1" s="147">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26">
        <f>HYPERLINK(LEFT(CELL("filename",A1),FIND("[",CELL("filename",A1))-1)&amp;"매뉴얼BODY(집행단계-첨부폴더)v8\7.신호분야\12_시스템설비 설치 (현장_기능실)\표준서\시스템설비 설치 (현장_기능실)_표준서.html", "👉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26">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11" t="inlineStr">
        <is>
          <t>1) 기계실 장치 위치, 마감 동선 및 승인 자재 사양을 확인하였는가?
2) 현장 신호기/선로전환기 기초 볼트 체결 및 규격 일치 여부를 시공하였는가?</t>
        </is>
      </c>
      <c r="O13" s="126">
        <f>HYPERLINK(LEFT(CELL("filename",A1),FIND("[",CELL("filename",A1))-1)&amp;"매뉴얼BODY(집행단계-첨부폴더)v8\7.신호분야\12_시스템설비 설치 (현장_기능실)\체크리스트\시스템설비 설치 (현장_기능실)_체크리스트.html", "👉 [클릭] 체크리스트 열기 📄")</f>
        <v/>
      </c>
      <c r="P13" s="10" t="n"/>
      <c r="Q13" s="71" t="inlineStr">
        <is>
          <t>● 관련분야 설계기준서 준수</t>
        </is>
      </c>
      <c r="R13" s="73" t="inlineStr">
        <is>
          <t>1) 👉 [더블클릭] 체크리스트 열기 📄</t>
        </is>
      </c>
      <c r="S13" s="71" t="n"/>
    </row>
    <row r="14" ht="104.4" customHeight="1" s="147">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26">
        <f>HYPERLINK(LEFT(CELL("filename",A1),FIND("[",CELL("filename",A1))-1)&amp;"매뉴얼BODY(집행단계-첨부폴더)v8\7.신호분야\13_시스템 단위시험\표준서\시스템 단위시험_표준서.html", "👉 [클릭] 표준서 열기 📄")</f>
        <v/>
      </c>
      <c r="L14" s="11" t="inlineStr">
        <is>
          <t>1) 자체 단독시험 및 관계부서 공동 시험수행 여부를 확인하십시오.
2) 감리단 승인 점검표(ITP/ITC) 절차에 따라 지상신호장치 단위시험 결과서를 작성하십시오.</t>
        </is>
      </c>
      <c r="M14" s="126">
        <f>HYPERLINK(LEFT(CELL("filename",A1),FIND("[",CELL("filename",A1))-1)&amp;"매뉴얼BODY(집행단계-첨부폴더)v8\7.신호분야\13_시스템 단위시험\수행지침\CBI_IO_릴레이_모듈_동작_상태_검측_상세절차서.html", "👉 [클릭] 수행지침 열기 📄")</f>
        <v/>
      </c>
      <c r="N14" s="11" t="inlineStr">
        <is>
          <t>1) 지상신호장치 및 관계부서 단위시험 결과서를 확인하였는가?
2) 감리단 승인 점검표(ITP/ITC) 절차에 따라 개별 단독 현황시험을 수행하였는가?</t>
        </is>
      </c>
      <c r="O14" s="126">
        <f>HYPERLINK(LEFT(CELL("filename",A1),FIND("[",CELL("filename",A1))-1)&amp;"매뉴얼BODY(집행단계-첨부폴더)v8\7.신호분야\13_시스템 단위시험\체크리스트\시스템 단위시험_체크리스트.html", "👉 [클릭] 체크리스트 열기 📄")</f>
        <v/>
      </c>
      <c r="P14" s="10" t="n"/>
      <c r="Q14" s="71" t="inlineStr">
        <is>
          <t>● 관련분야 설계기준서 준수</t>
        </is>
      </c>
      <c r="R14" s="73" t="inlineStr">
        <is>
          <t>1) 👉 [더블클릭] 체크리스트 열기 📄</t>
        </is>
      </c>
      <c r="S14" s="71" t="n"/>
    </row>
    <row r="15" ht="104.4" customHeight="1" s="147">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26">
        <f>HYPERLINK(LEFT(CELL("filename",A1),FIND("[",CELL("filename",A1))-1)&amp;"매뉴얼BODY(집행단계-첨부폴더)v8\7.신호분야\14_신호시스템 통합시험\표준서\신호시스템 통합시험_표준서.html", "👉 [클릭] 표준서 열기 📄")</f>
        <v/>
      </c>
      <c r="L15" s="11" t="inlineStr">
        <is>
          <t>1) 관제실 및 현장 연동장치 간 인터페이스 통합시험을 시행하십시오.
2) 지상-차상 인터페이스 및 도로/트램 우선신호 무선 연계시험 결과표를 작성하십시오.</t>
        </is>
      </c>
      <c r="M15" s="126">
        <f>HYPERLINK(LEFT(CELL("filename",A1),FIND("[",CELL("filename",A1))-1)&amp;"매뉴얼BODY(집행단계-첨부폴더)v8\7.신호분야\14_신호시스템 통합시험\수행지침\LTE-R_무선_AP를_통한_신호_제어_데이터_송수신_레벨_상세절차서.html", "👉 [클릭] 수행지침 열기 📄")</f>
        <v/>
      </c>
      <c r="N15" s="11" t="inlineStr">
        <is>
          <t>1) 관제실 및 현장 연동장치 간 인터페이스 시험을 수행하였는가?
2) 지상-차상 인터페이스 및 도로-트램 우선신호 연계 시험을 검증하였는가?</t>
        </is>
      </c>
      <c r="O15" s="126">
        <f>HYPERLINK(LEFT(CELL("filename",A1),FIND("[",CELL("filename",A1))-1)&amp;"매뉴얼BODY(집행단계-첨부폴더)v8\7.신호분야\14_신호시스템 통합시험\체크리스트\신호시스템 통합시험_체크리스트.html", "👉 [클릭] 체크리스트 열기 📄")</f>
        <v/>
      </c>
      <c r="P15" s="10" t="n"/>
      <c r="Q15" s="71" t="inlineStr">
        <is>
          <t>● 관련분야 설계기준서 준수</t>
        </is>
      </c>
      <c r="R15" s="73" t="inlineStr">
        <is>
          <t>1) 👉 [더블클릭] 체크리스트 열기 📄</t>
        </is>
      </c>
      <c r="S15" s="71" t="n"/>
    </row>
    <row r="16" ht="104.4" customHeight="1" s="147">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26">
        <f>HYPERLINK(LEFT(CELL("filename",A1),FIND("[",CELL("filename",A1))-1)&amp;"매뉴얼BODY(집행단계-첨부폴더)v8\7.신호분야\15_공종별 시험\표준서\공종별 시험_표준서.html", "👉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26">
        <f>HYPERLINK(LEFT(CELL("filename",A1),FIND("[",CELL("filename",A1))-1)&amp;"매뉴얼BODY(집행단계-첨부폴더)v8\7.신호분야\15_공종별 시험\수행지침\LTE-R_무선_AP를_통한_신호_제어_데이터_송수신_레벨_상세절차서.html", "👉 [클릭] 수행지침 열기 📄")</f>
        <v/>
      </c>
      <c r="N16" s="11" t="inlineStr">
        <is>
          <t>1) 신호기 투시거리/진로표시기 및 선로전환기 쇄정 동작시험을 수행하였는가?
2) 기계실 전원공급장치 이중화 절체 시험 및 관제 서버 동작을 검증하였는가?</t>
        </is>
      </c>
      <c r="O16" s="126">
        <f>HYPERLINK(LEFT(CELL("filename",A1),FIND("[",CELL("filename",A1))-1)&amp;"매뉴얼BODY(집행단계-첨부폴더)v8\7.신호분야\15_공종별 시험\체크리스트\공종별 시험_체크리스트.html", "👉 [클릭] 체크리스트 열기 📄")</f>
        <v/>
      </c>
      <c r="P16" s="10" t="n"/>
      <c r="Q16" s="71" t="inlineStr">
        <is>
          <t>● 관련분야 설계기준서 준수</t>
        </is>
      </c>
      <c r="R16" s="73" t="inlineStr">
        <is>
          <t>1) 👉 [더블클릭] 체크리스트 열기 📄</t>
        </is>
      </c>
      <c r="S16" s="71" t="n"/>
    </row>
    <row r="17" ht="104.4" customHeight="1" s="147">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26">
        <f>HYPERLINK(LEFT(CELL("filename",A1),FIND("[",CELL("filename",A1))-1)&amp;"매뉴얼BODY(집행단계-첨부폴더)v8\7.신호분야\16_차량 투입 전 점검\표준서\차량 투입 전 점검_표준서.html", "👉 [클릭] 표준서 열기 📄")</f>
        <v/>
      </c>
      <c r="L17" s="11" t="inlineStr">
        <is>
          <t>1) 연동검사(설비동작, 진로취급) 및 신호기 시공상태 적정성을 점검하십시오.
2) 건축한계(폭 3.1m/높이 3.8m) 이격 측정 및 기계실 UPS/방재예방 설비를 확인하십시오.</t>
        </is>
      </c>
      <c r="M17" s="126">
        <f>HYPERLINK(LEFT(CELL("filename",A1),FIND("[",CELL("filename",A1))-1)&amp;"매뉴얼BODY(집행단계-첨부폴더)v8\7.신호분야\16_차량 투입 전 점검\수행지침\LTE-R_무선_AP를_통한_신호_제어_데이터_송수신_레벨_상세절차서.html", "👉 [클릭] 수행지침 열기 📄")</f>
        <v/>
      </c>
      <c r="N17" s="11" t="inlineStr">
        <is>
          <t>1) 연동검사 및 기계실 시스템/UPS 시험을 완료하였는가?
2) 신호기와 건축물 간 건축한계 정밀 측정 및 방재설비를 확인하였는가?</t>
        </is>
      </c>
      <c r="O17" s="126">
        <f>HYPERLINK(LEFT(CELL("filename",A1),FIND("[",CELL("filename",A1))-1)&amp;"매뉴얼BODY(집행단계-첨부폴더)v8\7.신호분야\16_차량 투입 전 점검\체크리스트\차량 투입 전 점검_체크리스트.html", "👉 [클릭] 체크리스트 열기 📄")</f>
        <v/>
      </c>
      <c r="P17" s="10" t="n"/>
      <c r="Q17" s="71" t="inlineStr">
        <is>
          <t>● 관련분야 설계기준서 준수</t>
        </is>
      </c>
      <c r="R17" s="73" t="inlineStr">
        <is>
          <t>1) 👉 [더블클릭] 체크리스트 열기 📄</t>
        </is>
      </c>
      <c r="S17" s="71" t="n"/>
    </row>
    <row r="18" ht="104.4" customHeight="1" s="147">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26">
        <f>HYPERLINK(LEFT(CELL("filename",A1),FIND("[",CELL("filename",A1))-1)&amp;"매뉴얼BODY(집행단계-첨부폴더)v8\7.신호분야\17_차량 시운전\표준서\차량 시운전_표준서.html", "👉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26">
        <f>HYPERLINK(LEFT(CELL("filename",A1),FIND("[",CELL("filename",A1))-1)&amp;"매뉴얼BODY(집행단계-첨부폴더)v8\7.신호분야\17_차량 시운전\수행지침\LTE-R_무선_AP를_통한_신호_제어_데이터_송수신_레벨_상세절차서.html", "👉 [클릭] 수행지침 열기 📄")</f>
        <v/>
      </c>
      <c r="N18" s="11" t="inlineStr">
        <is>
          <t>1) 철도기술기준 준수 속도/제동 테스트 및 주요기기 검사를 시행하였는가?
2) 차상-지상 연계동작시험 및 차량-신호-통신 I/F 시험을 검증하였는가?</t>
        </is>
      </c>
      <c r="O18" s="126">
        <f>HYPERLINK(LEFT(CELL("filename",A1),FIND("[",CELL("filename",A1))-1)&amp;"매뉴얼BODY(집행단계-첨부폴더)v8\7.신호분야\17_차량 시운전\체크리스트\차량 시운전_체크리스트.html", "👉 [클릭] 체크리스트 열기 📄")</f>
        <v/>
      </c>
      <c r="P18" s="10" t="n"/>
      <c r="Q18" s="71" t="inlineStr">
        <is>
          <t>● 관련분야 설계기준서 준수</t>
        </is>
      </c>
      <c r="R18" s="73" t="inlineStr">
        <is>
          <t>1) 👉 [더블클릭] 체크리스트 열기 📄</t>
        </is>
      </c>
      <c r="S18" s="71" t="n"/>
    </row>
    <row r="19" ht="104.4" customHeight="1" s="147">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26">
        <f>HYPERLINK(LEFT(CELL("filename",A1),FIND("[",CELL("filename",A1))-1)&amp;"매뉴얼BODY(집행단계-첨부폴더)v8\7.신호분야\18_운영자 교육시행\표준서\운영자 교육시행_표준서.html", "👉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26">
        <f>HYPERLINK(LEFT(CELL("filename",A1),FIND("[",CELL("filename",A1))-1)&amp;"매뉴얼BODY(집행단계-첨부폴더)v8\7.신호분야\18_운영자 교육시행\수행지침\LTE-R_무선_AP를_통한_신호_제어_데이터_송수신_레벨_상세절차서.html", "👉 [클릭] 수행지침 열기 📄")</f>
        <v/>
      </c>
      <c r="N19" s="11" t="inlineStr">
        <is>
          <t>1) 기관사 및 유지보수요원 대상 시스템 안전 교육을 시행하였는가?
2) 장비 제작사에 의한 CTC/CBI/현장설비 조작교육을 완료하였는가?</t>
        </is>
      </c>
      <c r="O19" s="126">
        <f>HYPERLINK(LEFT(CELL("filename",A1),FIND("[",CELL("filename",A1))-1)&amp;"매뉴얼BODY(집행단계-첨부폴더)v8\7.신호분야\18_운영자 교육시행\체크리스트\운영자 교육시행_체크리스트.html", "👉 [클릭] 체크리스트 열기 📄")</f>
        <v/>
      </c>
      <c r="P19" s="10" t="n"/>
      <c r="Q19" s="71" t="inlineStr">
        <is>
          <t>● 관련분야 설계기준서 준수</t>
        </is>
      </c>
      <c r="R19" s="73" t="inlineStr">
        <is>
          <t>1) 👉 [더블클릭] 체크리스트 열기 📄</t>
        </is>
      </c>
      <c r="S19" s="71" t="n"/>
    </row>
    <row r="20" ht="104.4" customHeight="1" s="147">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26">
        <f>HYPERLINK(LEFT(CELL("filename",A1),FIND("[",CELL("filename",A1))-1)&amp;"매뉴얼BODY(집행단계-첨부폴더)v8\7.신호분야\19_사전점검 및 철도기술기준 검토\표준서\사전점검 및 철도기술기준 검토_표준서.html", "👉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26">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26">
        <f>HYPERLINK(LEFT(CELL("filename",A1),FIND("[",CELL("filename",A1))-1)&amp;"매뉴얼BODY(집행단계-첨부폴더)v8\7.신호분야\19_사전점검 및 철도기술기준 검토\체크리스트\사전점검 및 철도기술기준 검토_체크리스트.html", "👉 [클릭] 체크리스트 열기 📄")</f>
        <v/>
      </c>
      <c r="P20" s="10" t="n"/>
      <c r="Q20" s="71" t="inlineStr">
        <is>
          <t>● 관련분야 설계기준서 준수</t>
        </is>
      </c>
      <c r="R20" s="73" t="inlineStr">
        <is>
          <t>1) 👉 [더블클릭] 체크리스트 열기 📄</t>
        </is>
      </c>
      <c r="S20" s="71" t="n"/>
    </row>
    <row r="21" ht="104.4" customHeight="1" s="147">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26">
        <f>HYPERLINK(LEFT(CELL("filename",A1),FIND("[",CELL("filename",A1))-1)&amp;"매뉴얼BODY(집행단계-첨부폴더)v8\7.신호분야\20_시설물 검증시험\표준서\시설물 검증시험_표준서.html", "👉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26">
        <f>HYPERLINK(LEFT(CELL("filename",A1),FIND("[",CELL("filename",A1))-1)&amp;"매뉴얼BODY(집행단계-첨부폴더)v8\7.신호분야\20_시설물 검증시험\수행지침\LTE-R_무선_AP를_통한_신호_제어_데이터_송수신_레벨_상세절차서.html", "👉 [클릭] 수행지침 열기 📄")</f>
        <v/>
      </c>
      <c r="N21" s="11" t="inlineStr">
        <is>
          <t>1) 설계 최고운행속도 증속 시운전 시 신호시설물 정상 동작을 확인하였는가?
2) 신호설비와 차량 간 연계성 및 차량 운행 적합성을 검증하였는가?</t>
        </is>
      </c>
      <c r="O21" s="126">
        <f>HYPERLINK(LEFT(CELL("filename",A1),FIND("[",CELL("filename",A1))-1)&amp;"매뉴얼BODY(집행단계-첨부폴더)v8\7.신호분야\20_시설물 검증시험\체크리스트\시설물 검증시험_체크리스트.html", "👉 [클릭] 체크리스트 열기 📄")</f>
        <v/>
      </c>
      <c r="P21" s="10" t="n"/>
      <c r="Q21" s="71" t="inlineStr">
        <is>
          <t>● 관련분야 설계기준서 준수</t>
        </is>
      </c>
      <c r="R21" s="73" t="inlineStr">
        <is>
          <t>1) 👉 [더블클릭] 체크리스트 열기 📄</t>
        </is>
      </c>
      <c r="S21" s="71" t="n"/>
    </row>
    <row r="22" ht="104.4" customHeight="1" s="147">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26">
        <f>HYPERLINK(LEFT(CELL("filename",A1),FIND("[",CELL("filename",A1))-1)&amp;"매뉴얼BODY(집행단계-첨부폴더)v8\7.신호분야\21_영업 시운전\표준서\영업 시운전_표준서.html", "👉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26">
        <f>HYPERLINK(LEFT(CELL("filename",A1),FIND("[",CELL("filename",A1))-1)&amp;"매뉴얼BODY(집행단계-첨부폴더)v8\7.신호분야\21_영업 시운전\수행지침\LTE-R_무선_AP를_통한_신호_제어_데이터_송수신_레벨_상세절차서.html", "👉 [클릭] 수행지침 열기 📄")</f>
        <v/>
      </c>
      <c r="N22" s="11" t="inlineStr">
        <is>
          <t>1) 모의 영업 시나리오 기반 100회 정시 운행 성공률(≥99.8%)을 달성하였는가?
2) 영업운전 동일 조건 행사수송 및 승무원 노선숙지 훈련을 완수하였는가?</t>
        </is>
      </c>
      <c r="O22" s="126">
        <f>HYPERLINK(LEFT(CELL("filename",A1),FIND("[",CELL("filename",A1))-1)&amp;"매뉴얼BODY(집행단계-첨부폴더)v8\7.신호분야\21_영업 시운전\체크리스트\영업 시운전_체크리스트.html", "👉 [클릭] 체크리스트 열기 📄")</f>
        <v/>
      </c>
      <c r="P22" s="10" t="n"/>
      <c r="Q22" s="71" t="inlineStr">
        <is>
          <t>● 관련분야 설계기준서 준수</t>
        </is>
      </c>
      <c r="R22" s="73" t="inlineStr">
        <is>
          <t>1) 👉 [더블클릭] 체크리스트 열기 📄</t>
        </is>
      </c>
      <c r="S22" s="71" t="n"/>
    </row>
    <row r="23" ht="104.4" customHeight="1" s="147">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26">
        <f>HYPERLINK(LEFT(CELL("filename",A1),FIND("[",CELL("filename",A1))-1)&amp;"매뉴얼BODY(집행단계-첨부폴더)v8\7.신호분야\22_유지관리 설치\표준서\유지관리 설치_표준서.html", "👉 [클릭] 표준서 열기 📄")</f>
        <v/>
      </c>
      <c r="L23" s="11" t="inlineStr">
        <is>
          <t>1) 관제실 유지 및 보수용 상세 공사 설계 배치를 확인하고 장비를 시공하십시오.
2) 현장 조성 및 유지관리 지침서 이행 여부를 점검하여 서면 보고하십시오.</t>
        </is>
      </c>
      <c r="M23" s="126">
        <f>HYPERLINK(LEFT(CELL("filename",A1),FIND("[",CELL("filename",A1))-1)&amp;"매뉴얼BODY(집행단계-첨부폴더)v8\7.신호분야\22_유지관리 설치\수행지침\LTE-R_무선_AP를_통한_신호_제어_데이터_송수신_레벨_상세절차서.html", "👉 [클릭] 수행지침 열기 📄")</f>
        <v/>
      </c>
      <c r="N23" s="11" t="inlineStr">
        <is>
          <t>1) 관제실 유지보수용 상세 공사 설계 배치를 확인하였는가?
2) 현장조성 및 유지관리 지침서 이행 여부를 점검 확인하였는가?</t>
        </is>
      </c>
      <c r="O23" s="126">
        <f>HYPERLINK(LEFT(CELL("filename",A1),FIND("[",CELL("filename",A1))-1)&amp;"매뉴얼BODY(집행단계-첨부폴더)v8\7.신호분야\22_유지관리 설치\체크리스트\유지관리 설치_체크리스트.html", "👉 [클릭] 체크리스트 열기 📄")</f>
        <v/>
      </c>
      <c r="P23" s="10" t="n"/>
      <c r="Q23" s="71" t="inlineStr">
        <is>
          <t>● 관련분야 설계기준서 준수</t>
        </is>
      </c>
      <c r="R23" s="73" t="inlineStr">
        <is>
          <t>1) 👉 [더블클릭] 체크리스트 열기 📄</t>
        </is>
      </c>
      <c r="S23" s="71"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1"/>
    <col width="8.796875" customWidth="1" style="3" min="72" max="16384"/>
  </cols>
  <sheetData>
    <row r="1" ht="57.6"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7">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26">
        <f>HYPERLINK(LEFT(CELL("filename",A1),FIND("[",CELL("filename",A1))-1)&amp;"매뉴얼BODY(집행단계-첨부폴더)v8\9.통신분야\1_설계적정성 검토\표준서\설계적정성 검토_표준서.html", "👉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26">
        <f>HYPERLINK(LEFT(CELL("filename",A1),FIND("[",CELL("filename",A1))-1)&amp;"매뉴얼BODY(집행단계-첨부폴더)v8\9.통신분야\1_설계적정성 검토\수행지침\설계적정성 검토_수행지침.html", "👉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26">
        <f>HYPERLINK(LEFT(CELL("filename",A1),FIND("[",CELL("filename",A1))-1)&amp;"매뉴얼BODY(집행단계-첨부폴더)v8\9.통신분야\1_설계적정성 검토\체크리스트\9000-2-1_설계적정성 검토_체크리스트.html", "👉 [클릭] 체크리스트 열기 📄")</f>
        <v/>
      </c>
      <c r="P2" s="61" t="n"/>
      <c r="Q2" s="66" t="inlineStr">
        <is>
          <t>● 관련분야 설계기준서 준수</t>
        </is>
      </c>
      <c r="R2" s="67" t="inlineStr">
        <is>
          <t>1) 👉 [더블클릭] 체크리스트 열기 📄</t>
        </is>
      </c>
      <c r="S2" s="64" t="n"/>
    </row>
    <row r="3" ht="219.6" customHeight="1" s="147">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26">
        <f>HYPERLINK(LEFT(CELL("filename",A1),FIND("[",CELL("filename",A1))-1)&amp;"매뉴얼BODY(집행단계-첨부폴더)v8\9.통신분야\2_착수전략 KOM\표준서\발주전략 KOM_표준서.html", "👉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26">
        <f>HYPERLINK(LEFT(CELL("filename",A1),FIND("[",CELL("filename",A1))-1)&amp;"매뉴얼BODY(집행단계-첨부폴더)v8\9.통신분야\2_착수전략 KOM\수행지침\발주전략 KOM_수행지침.html", "👉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26">
        <f>HYPERLINK(LEFT(CELL("filename",A1),FIND("[",CELL("filename",A1))-1)&amp;"매뉴얼BODY(집행단계-첨부폴더)v8\9.통신분야\2_착수전략 KOM\체크리스트\발주전략 KOM_체크리스트.html", "👉 [클릭] 체크리스트 열기 📄")</f>
        <v/>
      </c>
      <c r="P3" s="61" t="n"/>
      <c r="Q3" s="66" t="inlineStr">
        <is>
          <t>● 관련분야 설계기준서 준수</t>
        </is>
      </c>
      <c r="R3" s="67" t="inlineStr">
        <is>
          <t>1) 👉 [더블클릭] 체크리스트 열기 📄</t>
        </is>
      </c>
      <c r="S3" s="64" t="n"/>
    </row>
    <row r="4" ht="133.8" customHeight="1" s="147">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26">
        <f>HYPERLINK(LEFT(CELL("filename",A1),FIND("[",CELL("filename",A1))-1)&amp;"매뉴얼BODY(집행단계-첨부폴더)v8\9.통신분야\3_토목 _ 건축 인터페이스 협의\표준서\토목 _ 건축 인터페이스 협의_표준서.html", "👉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26">
        <f>HYPERLINK(LEFT(CELL("filename",A1),FIND("[",CELL("filename",A1))-1)&amp;"매뉴얼BODY(집행단계-첨부폴더)v8\9.통신분야\3_토목 _ 건축 인터페이스 협의\수행지침\토목 _ 건축 인터페이스 협의_수행지침.html", "👉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26">
        <f>HYPERLINK(LEFT(CELL("filename",A1),FIND("[",CELL("filename",A1))-1)&amp;"매뉴얼BODY(집행단계-첨부폴더)v8\9.통신분야\3_토목 _ 건축 인터페이스 협의\체크리스트\9000-2-3_토목 _ 건축 인터페이스 협의_체크리스트.html", "👉 [클릭] 체크리스트 열기 📄")</f>
        <v/>
      </c>
      <c r="P4" s="61" t="n"/>
      <c r="Q4" s="66" t="inlineStr">
        <is>
          <t>● 관련분야 설계기준서 준수</t>
        </is>
      </c>
      <c r="R4" s="67" t="inlineStr">
        <is>
          <t>1) 👉 [더블클릭] 체크리스트 열기 📄</t>
        </is>
      </c>
      <c r="S4" s="64" t="n"/>
    </row>
    <row r="5" ht="133.8" customHeight="1" s="147">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26">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26">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26">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61" t="n"/>
      <c r="Q5" s="66" t="inlineStr">
        <is>
          <t>● 관련분야 설계기준서 준수</t>
        </is>
      </c>
      <c r="R5" s="67" t="inlineStr">
        <is>
          <t>1) 👉 [더블클릭] 체크리스트 열기 📄</t>
        </is>
      </c>
      <c r="S5" s="64" t="n"/>
    </row>
    <row r="6" ht="133.8" customHeight="1" s="147">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26">
        <f>HYPERLINK(LEFT(CELL("filename",A1),FIND("[",CELL("filename",A1))-1)&amp;"매뉴얼BODY(집행단계-첨부폴더)v8\9.통신분야\5_통신설비 제작사 인터페이스 협의\표준서\통신설비 제작사 인터페이스 협의_표준서.html", "👉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26">
        <f>HYPERLINK(LEFT(CELL("filename",A1),FIND("[",CELL("filename",A1))-1)&amp;"매뉴얼BODY(집행단계-첨부폴더)v8\9.통신분야\5_통신설비 제작사 인터페이스 협의\수행지침\통신설비 제작사 인터페이스 협의_수행지침.html", "👉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26">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61" t="n"/>
      <c r="Q6" s="66" t="inlineStr">
        <is>
          <t>● 관련분야 설계기준서 준수</t>
        </is>
      </c>
      <c r="R6" s="67" t="inlineStr">
        <is>
          <t>1) 👉 [더블클릭] 체크리스트 열기 📄</t>
        </is>
      </c>
      <c r="S6" s="64" t="n"/>
    </row>
    <row r="7" ht="145.2" customHeight="1" s="147">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26">
        <f>HYPERLINK(LEFT(CELL("filename",A1),FIND("[",CELL("filename",A1))-1)&amp;"매뉴얼BODY(집행단계-첨부폴더)v8\9.통신분야\6_관제 및 운영사 인터페이스 협의\표준서\관제 및 운영사 인터페이스 협의_표준서.html", "👉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26">
        <f>HYPERLINK(LEFT(CELL("filename",A1),FIND("[",CELL("filename",A1))-1)&amp;"매뉴얼BODY(집행단계-첨부폴더)v8\9.통신분야\6_관제 및 운영사 인터페이스 협의\수행지침\관제 및 운영사 인터페이스 협의_수행지침.html", "👉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26">
        <f>HYPERLINK(LEFT(CELL("filename",A1),FIND("[",CELL("filename",A1))-1)&amp;"매뉴얼BODY(집행단계-첨부폴더)v8\9.통신분야\6_관제 및 운영사 인터페이스 협의\체크리스트\9000-2-6_관제 및 운영사 인터페이스 협의_체크리스트.html", "👉 [클릭] 체크리스트 열기 📄")</f>
        <v/>
      </c>
      <c r="P7" s="61" t="n"/>
      <c r="Q7" s="66" t="inlineStr">
        <is>
          <t>● 관련분야 설계기준서 준수</t>
        </is>
      </c>
      <c r="R7" s="67" t="inlineStr">
        <is>
          <t>1) 👉 [더블클릭] 체크리스트 열기 📄</t>
        </is>
      </c>
      <c r="S7" s="64" t="n"/>
    </row>
    <row r="8" ht="115.2" customHeight="1" s="147">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26">
        <f>HYPERLINK(LEFT(CELL("filename",A1),FIND("[",CELL("filename",A1))-1)&amp;"매뉴얼BODY(집행단계-첨부폴더)v8\9.통신분야\7_발주처 품질 요구사항 검토\표준서\발주처 품질 요구사항 검토_표준서.html", "👉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26">
        <f>HYPERLINK(LEFT(CELL("filename",A1),FIND("[",CELL("filename",A1))-1)&amp;"매뉴얼BODY(집행단계-첨부폴더)v8\9.통신분야\7_발주처 품질 요구사항 검토\수행지침\발주처 품질 요구사항 검토_수행지침.html", "👉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26">
        <f>HYPERLINK(LEFT(CELL("filename",A1),FIND("[",CELL("filename",A1))-1)&amp;"매뉴얼BODY(집행단계-첨부폴더)v8\9.통신분야\7_발주처 품질 요구사항 검토\체크리스트\9000-2-7_발주처 품질 요구사항 검토_체크리스트.html", "👉 [클릭] 체크리스트 열기 📄")</f>
        <v/>
      </c>
      <c r="P8" s="61" t="n"/>
      <c r="Q8" s="66" t="inlineStr">
        <is>
          <t>● 관련분야 설계기준서 준수</t>
        </is>
      </c>
      <c r="R8" s="67" t="inlineStr">
        <is>
          <t>1) 👉 [더블클릭] 체크리스트 열기 📄</t>
        </is>
      </c>
      <c r="S8" s="64" t="n"/>
    </row>
    <row r="9" ht="115.2" customHeight="1" s="147">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26">
        <f>HYPERLINK(LEFT(CELL("filename",A1),FIND("[",CELL("filename",A1))-1)&amp;"매뉴얼BODY(집행단계-첨부폴더)v8\9.통신분야\8_자재 _ 인원 _ 장비 등 투입 사전 검토\표준서\자재 인력 장비 등 투입 사전 검토_표준서.html", "👉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26">
        <f>HYPERLINK(LEFT(CELL("filename",A1),FIND("[",CELL("filename",A1))-1)&amp;"매뉴얼BODY(집행단계-첨부폴더)v8\9.통신분야\8_자재 _ 인원 _ 장비 등 투입 사전 검토\수행지침\자재 인력 장비 등 투입 사전 검토_수행지침.html", "👉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26">
        <f>HYPERLINK(LEFT(CELL("filename",A1),FIND("[",CELL("filename",A1))-1)&amp;"매뉴얼BODY(집행단계-첨부폴더)v8\9.통신분야\8_자재 _ 인원 _ 장비 등 투입 사전 검토\체크리스트\자재 인력 장비 등 투입 사전 검토_체크리스트.html", "👉 [클릭] 체크리스트 열기 📄")</f>
        <v/>
      </c>
      <c r="P9" s="61" t="n"/>
      <c r="Q9" s="66" t="inlineStr">
        <is>
          <t>● 관련분야 설계기준서 준수</t>
        </is>
      </c>
      <c r="R9" s="67" t="inlineStr">
        <is>
          <t>1) 👉 [더블클릭] 체크리스트 열기 📄</t>
        </is>
      </c>
      <c r="S9" s="64" t="n"/>
    </row>
    <row r="10" ht="210.6" customHeight="1" s="147">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26">
        <f>HYPERLINK(LEFT(CELL("filename",A1),FIND("[",CELL("filename",A1))-1)&amp;"매뉴얼BODY(집행단계-첨부폴더)v8\9.통신분야\8_자재 인력 장비 등 투입 사전 검토\표준서\자재 인력 장비 등 투입 사전 검토_표준서.html", "👉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26">
        <f>HYPERLINK(LEFT(CELL("filename",A1),FIND("[",CELL("filename",A1))-1)&amp;"매뉴얼BODY(집행단계-첨부폴더)v8\9.통신분야\8_자재 인력 장비 등 투입 사전 검토\수행지침\자재 인력 장비 등 투입 사전 검토_수행지침.html", "👉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26">
        <f>HYPERLINK(LEFT(CELL("filename",A1),FIND("[",CELL("filename",A1))-1)&amp;"매뉴얼BODY(집행단계-첨부폴더)v8\9.통신분야\8_자재 인력 장비 등 투입 사전 검토\체크리스트\자재 인력 장비 등 투입 사전 검토_체크리스트.html", "👉 [클릭] 체크리스트 열기 📄")</f>
        <v/>
      </c>
      <c r="P10" s="61" t="n"/>
      <c r="Q10" s="66" t="inlineStr">
        <is>
          <t>● 관련분야 설계기준서 준수</t>
        </is>
      </c>
      <c r="R10" s="67" t="inlineStr">
        <is>
          <t>1) 👉 [더블클릭] 체크리스트 열기 📄</t>
        </is>
      </c>
      <c r="S10" s="64" t="n"/>
    </row>
    <row r="11" ht="115.2" customHeight="1" s="147">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26">
        <f>HYPERLINK(LEFT(CELL("filename",A1),FIND("[",CELL("filename",A1))-1)&amp;"매뉴얼BODY(집행단계-첨부폴더)v8\9.통신분야\9_착수 전 Big Room 회의\표준서\착수 전 Big Room 회의_표준서.html", "👉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26">
        <f>HYPERLINK(LEFT(CELL("filename",A1),FIND("[",CELL("filename",A1))-1)&amp;"매뉴얼BODY(집행단계-첨부폴더)v8\9.통신분야\9_착수 전 Big Room 회의\수행지침\착수 전 Big Room 회의_수행지침.html", "👉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26">
        <f>HYPERLINK(LEFT(CELL("filename",A1),FIND("[",CELL("filename",A1))-1)&amp;"매뉴얼BODY(집행단계-첨부폴더)v8\9.통신분야\9_착수 전 Big Room 회의\체크리스트\9000-2-9_착수 전 Big Room 회의_체크리스트.html", "👉 [클릭] 체크리스트 열기 📄")</f>
        <v/>
      </c>
      <c r="P11" s="61" t="n"/>
      <c r="Q11" s="66" t="inlineStr">
        <is>
          <t>● 관련분야 설계기준서 준수</t>
        </is>
      </c>
      <c r="R11" s="67" t="inlineStr">
        <is>
          <t>1) 👉 [더블클릭] 체크리스트 열기 📄</t>
        </is>
      </c>
      <c r="S11" s="64" t="n"/>
    </row>
    <row r="12" ht="115.2" customHeight="1" s="147">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26">
        <f>HYPERLINK(LEFT(CELL("filename",A1),FIND("[",CELL("filename",A1))-1)&amp;"매뉴얼BODY(집행단계-첨부폴더)v8\9.통신분야\10_통신설비 제작 사양서 작성 _ 승인\표준서\통신설비 제작 사양서 작성 _ 승인_표준서.html", "👉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26">
        <f>HYPERLINK(LEFT(CELL("filename",A1),FIND("[",CELL("filename",A1))-1)&amp;"매뉴얼BODY(집행단계-첨부폴더)v8\9.통신분야\10_통신설비 제작 사양서 작성 _ 승인\수행지침\통신설비 제작 사양서 작성 _ 승인_수행지침.html", "👉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26">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61" t="n"/>
      <c r="Q12" s="66" t="inlineStr">
        <is>
          <t>● 관련분야 설계기준서 준수</t>
        </is>
      </c>
      <c r="R12" s="67" t="inlineStr">
        <is>
          <t>1) 👉 [더블클릭] 체크리스트 열기 📄</t>
        </is>
      </c>
      <c r="S12" s="64" t="n"/>
    </row>
    <row r="13" ht="115.2" customHeight="1" s="147">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26">
        <f>HYPERLINK(LEFT(CELL("filename",A1),FIND("[",CELL("filename",A1))-1)&amp;"매뉴얼BODY(집행단계-첨부폴더)v8\9.통신분야\11_시공 계획 수립 _ 승인\표준서\시공 계획 수립 _ 승인_표준서.html", "👉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26">
        <f>HYPERLINK(LEFT(CELL("filename",A1),FIND("[",CELL("filename",A1))-1)&amp;"매뉴얼BODY(집행단계-첨부폴더)v8\9.통신분야\11_시공 계획 수립 _ 승인\수행지침\시공 계획 수립 _ 승인_수행지침.html", "👉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26">
        <f>HYPERLINK(LEFT(CELL("filename",A1),FIND("[",CELL("filename",A1))-1)&amp;"매뉴얼BODY(집행단계-첨부폴더)v8\9.통신분야\11_시공 계획 수립 _ 승인\체크리스트\9000-2-11_시공 계획 수립 _ 승인_체크리스트.html", "👉 [클릭] 체크리스트 열기 📄")</f>
        <v/>
      </c>
      <c r="P13" s="61" t="n"/>
      <c r="Q13" s="66" t="inlineStr">
        <is>
          <t>● 관련분야 설계기준서 준수</t>
        </is>
      </c>
      <c r="R13" s="67" t="inlineStr">
        <is>
          <t>1) 👉 [더블클릭] 체크리스트 열기 📄</t>
        </is>
      </c>
      <c r="S13" s="64" t="n"/>
    </row>
    <row r="14" ht="192" customHeight="1" s="147">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26">
        <f>HYPERLINK(LEFT(CELL("filename",A1),FIND("[",CELL("filename",A1))-1)&amp;"매뉴얼BODY(집행단계-첨부폴더)v8\9.통신분야\12_자재공급원 검토 및 승인\표준서\자재공급원 검토 및 승인_표준서.html", "👉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26">
        <f>HYPERLINK(LEFT(CELL("filename",A1),FIND("[",CELL("filename",A1))-1)&amp;"매뉴얼BODY(집행단계-첨부폴더)v8\9.통신분야\12_자재공급원 검토 및 승인\수행지침\자재공급원 검토 및 승인_수행지침.html", "👉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26">
        <f>HYPERLINK(LEFT(CELL("filename",A1),FIND("[",CELL("filename",A1))-1)&amp;"매뉴얼BODY(집행단계-첨부폴더)v8\9.통신분야\12_자재공급원 검토 및 승인\체크리스트\9000-2-12_자재공급원 검토 및 승인_체크리스트.html", "👉 [클릭] 체크리스트 열기 📄")</f>
        <v/>
      </c>
      <c r="P14" s="61" t="n"/>
      <c r="Q14" s="66" t="inlineStr">
        <is>
          <t>● 관련분야 설계기준서 준수</t>
        </is>
      </c>
      <c r="R14" s="67" t="inlineStr">
        <is>
          <t>1) 👉 [더블클릭] 체크리스트 열기 📄</t>
        </is>
      </c>
      <c r="S14" s="64" t="n"/>
    </row>
    <row r="15" ht="115.2" customHeight="1" s="147">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26">
        <f>HYPERLINK(LEFT(CELL("filename",A1),FIND("[",CELL("filename",A1))-1)&amp;"매뉴얼BODY(집행단계-첨부폴더)v8\9.통신분야\13_통신설비 공정제작 _ 제작사 공장검사\표준서\통신설비 공정제작 _ 제작사 공장검사_표준서.html", "👉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26">
        <f>HYPERLINK(LEFT(CELL("filename",A1),FIND("[",CELL("filename",A1))-1)&amp;"매뉴얼BODY(집행단계-첨부폴더)v8\9.통신분야\13_통신설비 공정제작 _ 제작사 공장검사\수행지침\통신설비 공정제작 _ 제작사 공장검사_수행지침.html", "👉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26">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61" t="n"/>
      <c r="Q15" s="66" t="inlineStr">
        <is>
          <t>● 관련분야 설계기준서 준수</t>
        </is>
      </c>
      <c r="R15" s="67" t="inlineStr">
        <is>
          <t>1) 👉 [더블클릭] 체크리스트 열기 📄</t>
        </is>
      </c>
      <c r="S15" s="64" t="n"/>
    </row>
    <row r="16" ht="115.2" customHeight="1" s="147">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26">
        <f>HYPERLINK(LEFT(CELL("filename",A1),FIND("[",CELL("filename",A1))-1)&amp;"매뉴얼BODY(집행단계-첨부폴더)v8\9.통신분야\14_본공사 전 선행공정 인수인계 점검\표준서\본공사 전 선행공정 인수인계 점검_표준서.html", "👉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26">
        <f>HYPERLINK(LEFT(CELL("filename",A1),FIND("[",CELL("filename",A1))-1)&amp;"매뉴얼BODY(집행단계-첨부폴더)v8\9.통신분야\14_본공사 전 선행공정 인수인계 점검\수행지침\본공사 전 선행공정 인수인계 점검_수행지침.html", "👉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26">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61" t="n"/>
      <c r="Q16" s="66" t="inlineStr">
        <is>
          <t>● 관련분야 설계기준서 준수</t>
        </is>
      </c>
      <c r="R16" s="67" t="inlineStr">
        <is>
          <t>1) 👉 [더블클릭] 체크리스트 열기 📄</t>
        </is>
      </c>
      <c r="S16" s="64" t="n"/>
    </row>
    <row r="17" ht="115.2" customHeight="1" s="147">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26">
        <f>HYPERLINK(LEFT(CELL("filename",A1),FIND("[",CELL("filename",A1))-1)&amp;"매뉴얼BODY(집행단계-첨부폴더)v8\9.통신분야\15_장비반입 및 안전교육\표준서\장비반입 및 안전교육_표준서.html", "👉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26">
        <f>HYPERLINK(LEFT(CELL("filename",A1),FIND("[",CELL("filename",A1))-1)&amp;"매뉴얼BODY(집행단계-첨부폴더)v8\9.통신분야\15_장비반입 및 안전교육\수행지침\장비반입 및 안전교육_수행지침.html", "👉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26">
        <f>HYPERLINK(LEFT(CELL("filename",A1),FIND("[",CELL("filename",A1))-1)&amp;"매뉴얼BODY(집행단계-첨부폴더)v8\9.통신분야\15_장비반입 및 안전교육\체크리스트\9000-2-15_장비반입 및 안전교육_체크리스트.html", "👉 [클릭] 체크리스트 열기 📄")</f>
        <v/>
      </c>
      <c r="P17" s="61" t="n"/>
      <c r="Q17" s="66" t="inlineStr">
        <is>
          <t>● 관련분야 설계기준서 준수</t>
        </is>
      </c>
      <c r="R17" s="67" t="inlineStr">
        <is>
          <t>1) 👉 [더블클릭] 체크리스트 열기 📄</t>
        </is>
      </c>
      <c r="S17" s="64" t="n"/>
    </row>
    <row r="18" ht="115.2" customHeight="1" s="147">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26">
        <f>HYPERLINK(LEFT(CELL("filename",A1),FIND("[",CELL("filename",A1))-1)&amp;"매뉴얼BODY(집행단계-첨부폴더)v8\9.통신분야\16_자재 반입 및 검수\표준서\자재 반입 및 검수_표준서.html", "👉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26">
        <f>HYPERLINK(LEFT(CELL("filename",A1),FIND("[",CELL("filename",A1))-1)&amp;"매뉴얼BODY(집행단계-첨부폴더)v8\9.통신분야\16_자재 반입 및 검수\수행지침\자재 반입 및 검수_수행지침.html", "👉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26">
        <f>HYPERLINK(LEFT(CELL("filename",A1),FIND("[",CELL("filename",A1))-1)&amp;"매뉴얼BODY(집행단계-첨부폴더)v8\9.통신분야\16_자재 반입 및 검수\체크리스트\9000-2-16_자재 반입 및 검수_체크리스트.html", "👉 [클릭] 체크리스트 열기 📄")</f>
        <v/>
      </c>
      <c r="P18" s="61" t="n"/>
      <c r="Q18" s="66" t="inlineStr">
        <is>
          <t>● 관련분야 설계기준서 준수</t>
        </is>
      </c>
      <c r="R18" s="67" t="inlineStr">
        <is>
          <t>1) 👉 [더블클릭] 체크리스트 열기 📄</t>
        </is>
      </c>
      <c r="S18" s="64" t="n"/>
    </row>
    <row r="19" ht="115.2" customHeight="1" s="147">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26">
        <f>HYPERLINK(LEFT(CELL("filename",A1),FIND("[",CELL("filename",A1))-1)&amp;"매뉴얼BODY(집행단계-첨부폴더)v8\9.통신분야\17_통신설비 반입 및 설치\표준서\통신설비 반입 및 설치_표준서.html", "👉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26">
        <f>HYPERLINK(LEFT(CELL("filename",A1),FIND("[",CELL("filename",A1))-1)&amp;"매뉴얼BODY(집행단계-첨부폴더)v8\9.통신분야\17_통신설비 반입 및 설치\수행지침\통신설비 반입 및 설치_수행지침.html", "👉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26">
        <f>HYPERLINK(LEFT(CELL("filename",A1),FIND("[",CELL("filename",A1))-1)&amp;"매뉴얼BODY(집행단계-첨부폴더)v8\9.통신분야\17_통신설비 반입 및 설치\체크리스트\9000-2-17_통신설비 반입 및 설치_체크리스트.html", "👉 [클릭] 체크리스트 열기 📄")</f>
        <v/>
      </c>
      <c r="P19" s="61" t="n"/>
      <c r="Q19" s="66" t="inlineStr">
        <is>
          <t>● 관련분야 설계기준서 준수</t>
        </is>
      </c>
      <c r="R19" s="67" t="inlineStr">
        <is>
          <t>1) 👉 [더블클릭] 체크리스트 열기 📄</t>
        </is>
      </c>
      <c r="S19" s="64" t="n"/>
    </row>
    <row r="20" ht="115.2" customHeight="1" s="147">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26">
        <f>HYPERLINK(LEFT(CELL("filename",A1),FIND("[",CELL("filename",A1))-1)&amp;"매뉴얼BODY(집행단계-첨부폴더)v8\9.통신분야\18_관제설비 설치\표준서\관제설비 설치_표준서.html", "👉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26">
        <f>HYPERLINK(LEFT(CELL("filename",A1),FIND("[",CELL("filename",A1))-1)&amp;"매뉴얼BODY(집행단계-첨부폴더)v8\9.통신분야\18_관제설비 설치\수행지침\관제설비 설치_수행지침.html", "👉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26">
        <f>HYPERLINK(LEFT(CELL("filename",A1),FIND("[",CELL("filename",A1))-1)&amp;"매뉴얼BODY(집행단계-첨부폴더)v8\9.통신분야\18_관제설비 설치\체크리스트\9000-2-18_관제설비 설치_체크리스트.html", "👉 [클릭] 체크리스트 열기 📄")</f>
        <v/>
      </c>
      <c r="P20" s="61" t="n"/>
      <c r="Q20" s="66" t="inlineStr">
        <is>
          <t>● 관련분야 설계기준서 준수</t>
        </is>
      </c>
      <c r="R20" s="67" t="inlineStr">
        <is>
          <t>1) 👉 [더블클릭] 체크리스트 열기 📄</t>
        </is>
      </c>
      <c r="S20" s="64" t="n"/>
    </row>
    <row r="21" ht="115.2" customHeight="1" s="147">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26">
        <f>HYPERLINK(LEFT(CELL("filename",A1),FIND("[",CELL("filename",A1))-1)&amp;"매뉴얼BODY(집행단계-첨부폴더)v8\9.통신분야\19_통신시스템 단위시험\표준서\통신시스템 단위시험_표준서.html", "👉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26">
        <f>HYPERLINK(LEFT(CELL("filename",A1),FIND("[",CELL("filename",A1))-1)&amp;"매뉴얼BODY(집행단계-첨부폴더)v8\9.통신분야\19_통신시스템 단위시험\수행지침\통신시스템 단위시험_수행지침.html", "👉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26">
        <f>HYPERLINK(LEFT(CELL("filename",A1),FIND("[",CELL("filename",A1))-1)&amp;"매뉴얼BODY(집행단계-첨부폴더)v8\9.통신분야\19_통신시스템 단위시험\체크리스트\9000-2-19_통신시스템 단위시험_체크리스트.html", "👉 [클릭] 체크리스트 열기 📄")</f>
        <v/>
      </c>
      <c r="P21" s="61" t="n"/>
      <c r="Q21" s="66" t="inlineStr">
        <is>
          <t>● 관련분야 설계기준서 준수</t>
        </is>
      </c>
      <c r="R21" s="67" t="inlineStr">
        <is>
          <t>1) 👉 [더블클릭] 체크리스트 열기 📄</t>
        </is>
      </c>
      <c r="S21" s="64" t="n"/>
    </row>
    <row r="22" ht="115.2" customHeight="1" s="147">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26">
        <f>HYPERLINK(LEFT(CELL("filename",A1),FIND("[",CELL("filename",A1))-1)&amp;"매뉴얼BODY(집행단계-첨부폴더)v8\9.통신분야\20_통신시스템 통합시험\표준서\통신시스템 통합시험_표준서.html", "👉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26">
        <f>HYPERLINK(LEFT(CELL("filename",A1),FIND("[",CELL("filename",A1))-1)&amp;"매뉴얼BODY(집행단계-첨부폴더)v8\9.통신분야\20_통신시스템 통합시험\수행지침\통신시스템 통합시험_수행지침.html", "👉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26">
        <f>HYPERLINK(LEFT(CELL("filename",A1),FIND("[",CELL("filename",A1))-1)&amp;"매뉴얼BODY(집행단계-첨부폴더)v8\9.통신분야\20_통신시스템 통합시험\체크리스트\9000-2-20_통신시스템 통합시험_체크리스트.html", "👉 [클릭] 체크리스트 열기 📄")</f>
        <v/>
      </c>
      <c r="P22" s="61" t="n"/>
      <c r="Q22" s="66" t="inlineStr">
        <is>
          <t>● 관련분야 설계기준서 준수</t>
        </is>
      </c>
      <c r="R22" s="67" t="inlineStr">
        <is>
          <t>1) 👉 [더블클릭] 체크리스트 열기 📄</t>
        </is>
      </c>
      <c r="S22" s="64" t="n"/>
    </row>
    <row r="23" ht="115.2" customHeight="1" s="147">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26">
        <f>HYPERLINK(LEFT(CELL("filename",A1),FIND("[",CELL("filename",A1))-1)&amp;"매뉴얼BODY(집행단계-첨부폴더)v8\9.통신분야\21_공종별 시험\표준서\9000-2-21_공종별 시험_표준서.html", "👉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26">
        <f>HYPERLINK(LEFT(CELL("filename",A1),FIND("[",CELL("filename",A1))-1)&amp;"매뉴얼BODY(집행단계-첨부폴더)v8\9.통신분야\21_공종별 시험\수행지침\공종별 시험_수행지침.html", "👉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26">
        <f>HYPERLINK(LEFT(CELL("filename",A1),FIND("[",CELL("filename",A1))-1)&amp;"매뉴얼BODY(집행단계-첨부폴더)v8\9.통신분야\21_공종별 시험\체크리스트\9000-2-21_공종별 시험_체크리스트.html", "👉 [클릭] 체크리스트 열기 📄")</f>
        <v/>
      </c>
      <c r="P23" s="61" t="n"/>
      <c r="Q23" s="66" t="inlineStr">
        <is>
          <t>● 관련분야 설계기준서 준수</t>
        </is>
      </c>
      <c r="R23" s="67" t="inlineStr">
        <is>
          <t>1) 👉 [더블클릭] 체크리스트 열기 📄</t>
        </is>
      </c>
      <c r="S23" s="64" t="n"/>
    </row>
    <row r="24" ht="115.2" customHeight="1" s="147">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26">
        <f>HYPERLINK(LEFT(CELL("filename",A1),FIND("[",CELL("filename",A1))-1)&amp;"매뉴얼BODY(집행단계-첨부폴더)v8\9.통신분야\22_차량 투입 전 점검\표준서\차량 투입 전 점검_표준서.html", "👉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26">
        <f>HYPERLINK(LEFT(CELL("filename",A1),FIND("[",CELL("filename",A1))-1)&amp;"매뉴얼BODY(집행단계-첨부폴더)v8\9.통신분야\22_차량 투입 전 점검\수행지침\차량 투입 전 점검_수행지침.html", "👉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26">
        <f>HYPERLINK(LEFT(CELL("filename",A1),FIND("[",CELL("filename",A1))-1)&amp;"매뉴얼BODY(집행단계-첨부폴더)v8\9.통신분야\22_차량 투입 전 점검\체크리스트\9000-2-22_차량 투입 전 점검_체크리스트.html", "👉 [클릭] 체크리스트 열기 📄")</f>
        <v/>
      </c>
      <c r="P24" s="61" t="n"/>
      <c r="Q24" s="66" t="inlineStr">
        <is>
          <t>● 관련분야 설계기준서 준수</t>
        </is>
      </c>
      <c r="R24" s="67" t="inlineStr">
        <is>
          <t>1) 👉 [더블클릭] 체크리스트 열기 📄</t>
        </is>
      </c>
      <c r="S24" s="64" t="n"/>
    </row>
    <row r="25" ht="115.2" customHeight="1" s="147">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26">
        <f>HYPERLINK(LEFT(CELL("filename",A1),FIND("[",CELL("filename",A1))-1)&amp;"매뉴얼BODY(집행단계-첨부폴더)v8\9.통신분야\23_차량 시운전\표준서\9000-2-23_차량 시운전_표준서.html", "👉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26">
        <f>HYPERLINK(LEFT(CELL("filename",A1),FIND("[",CELL("filename",A1))-1)&amp;"매뉴얼BODY(집행단계-첨부폴더)v8\9.통신분야\23_차량 시운전\수행지침\차량 시운전_수행지침.html", "👉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26">
        <f>HYPERLINK(LEFT(CELL("filename",A1),FIND("[",CELL("filename",A1))-1)&amp;"매뉴얼BODY(집행단계-첨부폴더)v8\9.통신분야\23_차량 시운전\체크리스트\9000-2-23_차량 시운전_체크리스트.html", "👉 [클릭] 체크리스트 열기 📄")</f>
        <v/>
      </c>
      <c r="P25" s="61" t="n"/>
      <c r="Q25" s="66" t="inlineStr">
        <is>
          <t>● 관련분야 설계기준서 준수</t>
        </is>
      </c>
      <c r="R25" s="67" t="inlineStr">
        <is>
          <t>1) 👉 [더블클릭] 체크리스트 열기 📄</t>
        </is>
      </c>
      <c r="S25" s="64" t="n"/>
    </row>
    <row r="26" ht="115.2" customHeight="1" s="147">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26">
        <f>HYPERLINK(LEFT(CELL("filename",A1),FIND("[",CELL("filename",A1))-1)&amp;"매뉴얼BODY(집행단계-첨부폴더)v8\9.통신분야\24_운영자 교육시행\표준서\운영자 교육시행_표준서.html", "👉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26">
        <f>HYPERLINK(LEFT(CELL("filename",A1),FIND("[",CELL("filename",A1))-1)&amp;"매뉴얼BODY(집행단계-첨부폴더)v8\9.통신분야\24_운영자 교육시행\수행지침\운영자 교육시행_수행지침.html", "👉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26">
        <f>HYPERLINK(LEFT(CELL("filename",A1),FIND("[",CELL("filename",A1))-1)&amp;"매뉴얼BODY(집행단계-첨부폴더)v8\9.통신분야\24_운영자 교육시행\체크리스트\9000-2-24_운영자 교육시행_체크리스트.html", "👉 [클릭] 체크리스트 열기 📄")</f>
        <v/>
      </c>
      <c r="P26" s="61" t="n"/>
      <c r="Q26" s="66" t="inlineStr">
        <is>
          <t>● 관련분야 설계기준서 준수</t>
        </is>
      </c>
      <c r="R26" s="67" t="inlineStr">
        <is>
          <t>1) 👉 [더블클릭] 체크리스트 열기 📄</t>
        </is>
      </c>
      <c r="S26" s="64" t="n"/>
    </row>
    <row r="27" ht="153.6" customHeight="1" s="147">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26">
        <f>HYPERLINK(LEFT(CELL("filename",A1),FIND("[",CELL("filename",A1))-1)&amp;"매뉴얼BODY(집행단계-첨부폴더)v8\9.통신분야\25_사전점검\표준서\9000-2-25_사전점검_표준서.html", "👉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26">
        <f>HYPERLINK(LEFT(CELL("filename",A1),FIND("[",CELL("filename",A1))-1)&amp;"매뉴얼BODY(집행단계-첨부폴더)v8\9.통신분야\25_사전점검\수행지침\9000-2-25_사전점검_수행지침.html", "👉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26">
        <f>HYPERLINK(LEFT(CELL("filename",A1),FIND("[",CELL("filename",A1))-1)&amp;"매뉴얼BODY(집행단계-첨부폴더)v8\9.통신분야\25_사전점검\체크리스트\9000-2-25_사전점검_체크리스트.html", "👉 [클릭] 체크리스트 열기 📄")</f>
        <v/>
      </c>
      <c r="P27" s="61" t="n"/>
      <c r="Q27" s="66" t="inlineStr">
        <is>
          <t>● 관련분야 설계기준서 준수</t>
        </is>
      </c>
      <c r="R27" s="67" t="inlineStr">
        <is>
          <t>1) 👉 [더블클릭] 체크리스트 열기 📄</t>
        </is>
      </c>
      <c r="S27" s="64" t="n"/>
    </row>
    <row r="28" ht="211.2" customHeight="1" s="147">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26">
        <f>HYPERLINK(LEFT(CELL("filename",A1),FIND("[",CELL("filename",A1))-1)&amp;"매뉴얼BODY(집행단계-첨부폴더)v8\9.통신분야\26_시설물 검증시험\표준서\시설물 검증시험_표준서.html", "👉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26">
        <f>HYPERLINK(LEFT(CELL("filename",A1),FIND("[",CELL("filename",A1))-1)&amp;"매뉴얼BODY(집행단계-첨부폴더)v8\9.통신분야\26_시설물 검증시험\수행지침\시설물 검증시험_수행지침.html", "👉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26">
        <f>HYPERLINK(LEFT(CELL("filename",A1),FIND("[",CELL("filename",A1))-1)&amp;"매뉴얼BODY(집행단계-첨부폴더)v8\9.통신분야\26_시설물 검증시험\체크리스트\9000-2-26_시설물 검증시험_체크리스트.html", "👉 [클릭] 체크리스트 열기 📄")</f>
        <v/>
      </c>
      <c r="P28" s="61" t="n"/>
      <c r="Q28" s="66" t="inlineStr">
        <is>
          <t>● 관련분야 설계기준서 준수</t>
        </is>
      </c>
      <c r="R28" s="67" t="inlineStr">
        <is>
          <t>1) 👉 [더블클릭] 체크리스트 열기 📄</t>
        </is>
      </c>
      <c r="S28" s="64" t="n"/>
    </row>
    <row r="29" ht="115.2" customHeight="1" s="147">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26">
        <f>HYPERLINK(LEFT(CELL("filename",A1),FIND("[",CELL("filename",A1))-1)&amp;"매뉴얼BODY(집행단계-첨부폴더)v8\9.통신분야\27_영업시운전\표준서\9000-2-27_영업시운전_표준서.html", "👉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26">
        <f>HYPERLINK(LEFT(CELL("filename",A1),FIND("[",CELL("filename",A1))-1)&amp;"매뉴얼BODY(집행단계-첨부폴더)v8\9.통신분야\27_영업시운전\수행지침\9000-2-27_영업시운전_수행지침.html", "👉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26">
        <f>HYPERLINK(LEFT(CELL("filename",A1),FIND("[",CELL("filename",A1))-1)&amp;"매뉴얼BODY(집행단계-첨부폴더)v8\9.통신분야\27_영업시운전\체크리스트\9000-2-27_영업시운전_체크리스트.html", "👉 [클릭] 체크리스트 열기 📄")</f>
        <v/>
      </c>
      <c r="P29" s="61" t="n"/>
      <c r="Q29" s="66" t="inlineStr">
        <is>
          <t>● 전기통신사업법 제64조</t>
        </is>
      </c>
      <c r="R29" s="67" t="inlineStr">
        <is>
          <t>1) 👉 [더블클릭] 체크리스트 열기 📄</t>
        </is>
      </c>
      <c r="S29" s="64" t="n"/>
    </row>
    <row r="30" ht="115.2" customHeight="1" s="147">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26">
        <f>HYPERLINK(LEFT(CELL("filename",A1),FIND("[",CELL("filename",A1))-1)&amp;"매뉴얼BODY(집행단계-첨부폴더)v8\9.통신분야\28_자가용전기통신설비 설치신고\표준서\자가용전기통신설비 설치신고_표준서.html", "👉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26">
        <f>HYPERLINK(LEFT(CELL("filename",A1),FIND("[",CELL("filename",A1))-1)&amp;"매뉴얼BODY(집행단계-첨부폴더)v8\9.통신분야\28_자가용전기통신설비 설치신고\수행지침\자가용전기통신설비 설치신고_수행지침.html", "👉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26">
        <f>HYPERLINK(LEFT(CELL("filename",A1),FIND("[",CELL("filename",A1))-1)&amp;"매뉴얼BODY(집행단계-첨부폴더)v8\9.통신분야\28_자가용전기통신설비 설치신고\체크리스트\9000-2-28_자가용전기통신설비 설치신고_체크리스트.html", "👉 [클릭] 체크리스트 열기 📄")</f>
        <v/>
      </c>
      <c r="P30" s="61" t="n"/>
      <c r="Q30" s="66" t="inlineStr">
        <is>
          <t>● 전파법 제19조</t>
        </is>
      </c>
      <c r="R30" s="67" t="inlineStr">
        <is>
          <t>1) 👉 [더블클릭] 체크리스트 열기 📄</t>
        </is>
      </c>
      <c r="S30" s="64" t="n"/>
    </row>
    <row r="31" ht="115.2" customHeight="1" s="147">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26">
        <f>HYPERLINK(LEFT(CELL("filename",A1),FIND("[",CELL("filename",A1))-1)&amp;"매뉴얼BODY(집행단계-첨부폴더)v8\9.통신분야\29_LTE-R 무선국 허가\표준서\LTE-R 무선국 허가_표준서.html", "👉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26">
        <f>HYPERLINK(LEFT(CELL("filename",A1),FIND("[",CELL("filename",A1))-1)&amp;"매뉴얼BODY(집행단계-첨부폴더)v8\9.통신분야\29_LTE-R 무선국 허가\수행지침\LTE-R 무선국 허가_수행지침.html", "👉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26">
        <f>HYPERLINK(LEFT(CELL("filename",A1),FIND("[",CELL("filename",A1))-1)&amp;"매뉴얼BODY(집행단계-첨부폴더)v8\9.통신분야\29_LTE-R 무선국 허가\체크리스트\LTE-R 무선국 허가_체크리스트.html", "👉 [클릭] 체크리스트 열기 📄")</f>
        <v/>
      </c>
      <c r="P31" s="61" t="n"/>
      <c r="Q31" s="66" t="inlineStr">
        <is>
          <t>● 국가철도공단 표준규격(KRSA) 5007-R3 / 5008-R2</t>
        </is>
      </c>
      <c r="R31" s="67" t="inlineStr">
        <is>
          <t>1) 👉 [더블클릭] 체크리스트 열기 📄</t>
        </is>
      </c>
      <c r="S31" s="64" t="n"/>
    </row>
    <row r="32" ht="115.2" customHeight="1" s="147">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26">
        <f>HYPERLINK(LEFT(CELL("filename",A1),FIND("[",CELL("filename",A1))-1)&amp;"매뉴얼BODY(집행단계-첨부폴더)v8\9.통신분야\29_LTE-R 무선국허가\표준서\LTE-R 무선국허가_표준서.html", "👉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26">
        <f>HYPERLINK(LEFT(CELL("filename",A1),FIND("[",CELL("filename",A1))-1)&amp;"매뉴얼BODY(집행단계-첨부폴더)v8\9.통신분야\29_LTE-R 무선국허가\수행지침\LTE-R 무선국허가_수행지침.html", "👉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26">
        <f>HYPERLINK(LEFT(CELL("filename",A1),FIND("[",CELL("filename",A1))-1)&amp;"매뉴얼BODY(집행단계-첨부폴더)v8\9.통신분야\29_LTE-R 무선국허가\체크리스트\9000-2-29_LTE-R 무선국허가_체크리스트.html", "👉 [클릭] 체크리스트 열기 📄")</f>
        <v/>
      </c>
      <c r="P32" s="61" t="n"/>
      <c r="Q32" s="66" t="inlineStr">
        <is>
          <t>● 정보통신공사법 제36조</t>
        </is>
      </c>
      <c r="R32" s="67" t="inlineStr">
        <is>
          <t>1) 👉 [더블클릭] 체크리스트 열기 📄</t>
        </is>
      </c>
      <c r="S32" s="64" t="n"/>
    </row>
    <row r="33" ht="115.2" customHeight="1" s="147">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26">
        <f>HYPERLINK(LEFT(CELL("filename",A1),FIND("[",CELL("filename",A1))-1)&amp;"매뉴얼BODY(집행단계-첨부폴더)v8\9.통신분야\30_LTE-R 상호운용성 및 보안적합성 검증\표준서\LTE-R 상호운용성 및 보안적합성 검증_표준서.html", "👉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26">
        <f>HYPERLINK(LEFT(CELL("filename",A1),FIND("[",CELL("filename",A1))-1)&amp;"매뉴얼BODY(집행단계-첨부폴더)v8\9.통신분야\30_LTE-R 상호운용성 및 보안적합성 검증\수행지침\LTE-R 상호운용성 및 보안적합성 검증_수행지침.html", "👉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26">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61" t="n"/>
      <c r="Q33" s="66" t="inlineStr">
        <is>
          <t>● 전파법 제24조</t>
        </is>
      </c>
      <c r="R33" s="67" t="inlineStr">
        <is>
          <t>1) 👉 [더블클릭] 체크리스트 열기 📄</t>
        </is>
      </c>
      <c r="S33" s="64"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K2" sqref="K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7">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26">
        <f>HYPERLINK(LEFT(CELL("filename",A1),FIND("[",CELL("filename",A1))-1)&amp;"매뉴얼BODY(집행단계-첨부폴더)v8\8.전기분야\1_설계적정성 검토\표준서\설계적정성 검토_표준서.html", "👉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26">
        <f>HYPERLINK(LEFT(CELL("filename",A1),FIND("[",CELL("filename",A1))-1)&amp;"매뉴얼BODY(집행단계-첨부폴더)v8\8.전기분야\1_설계적정성 검토\수행지침\설계적정성 검토_수행지침.html", "👉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26">
        <f>HYPERLINK(LEFT(CELL("filename",A1),FIND("[",CELL("filename",A1))-1)&amp;"매뉴얼BODY(집행단계-첨부폴더)v8\8.전기분야\1_설계적정성 검토\체크리스트\설계적정성 검토_체크리스트.html", "👉 [클릭] 체크리스트 열기 📄")</f>
        <v/>
      </c>
      <c r="P2" s="10" t="n"/>
      <c r="Q2" s="71" t="n"/>
      <c r="R2" s="71" t="n"/>
      <c r="S2" s="71" t="n"/>
    </row>
    <row r="3" ht="245.4" customHeight="1" s="147">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26">
        <f>HYPERLINK(LEFT(CELL("filename",A1),FIND("[",CELL("filename",A1))-1)&amp;"매뉴얼BODY(집행단계-첨부폴더)v8\8.전기분야\2_발주전략 KOM\표준서\발주전략 KOM_표준서.html", "👉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26">
        <f>HYPERLINK(LEFT(CELL("filename",A1),FIND("[",CELL("filename",A1))-1)&amp;"매뉴얼BODY(집행단계-첨부폴더)v8\8.전기분야\2_발주전략 KOM\수행지침\발주전략 KOM_수행지침.html", "👉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26">
        <f>HYPERLINK(LEFT(CELL("filename",A1),FIND("[",CELL("filename",A1))-1)&amp;"매뉴얼BODY(집행단계-첨부폴더)v8\8.전기분야\2_발주전략 KOM\체크리스트\발주전략 KOM_체크리스트.html", "👉 [클릭] 체크리스트 열기 📄")</f>
        <v/>
      </c>
      <c r="P3" s="10" t="n"/>
      <c r="Q3" s="71" t="n"/>
      <c r="R3" s="71" t="n"/>
      <c r="S3" s="71" t="n"/>
    </row>
    <row r="4" ht="163.8" customHeight="1" s="147">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26">
        <f>HYPERLINK(LEFT(CELL("filename",A1),FIND("[",CELL("filename",A1))-1)&amp;"매뉴얼BODY(집행단계-첨부폴더)v8\8.전기분야\3_토목 _ 건축 인터페이스 협의\표준서\토목 _ 건축 인터페이스 협의_표준서.html", "👉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26">
        <f>HYPERLINK(LEFT(CELL("filename",A1),FIND("[",CELL("filename",A1))-1)&amp;"매뉴얼BODY(집행단계-첨부폴더)v8\8.전기분야\3_토목 _ 건축 인터페이스 협의\수행지침\토목 _ 건축 인터페이스 협의_수행지침.html", "👉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26">
        <f>HYPERLINK(LEFT(CELL("filename",A1),FIND("[",CELL("filename",A1))-1)&amp;"매뉴얼BODY(집행단계-첨부폴더)v8\8.전기분야\3_토목 _ 건축 인터페이스 협의\체크리스트\토목 _ 건축 인터페이스 협의_체크리스트.html", "👉 [클릭] 체크리스트 열기 📄")</f>
        <v/>
      </c>
      <c r="P4" s="10" t="n"/>
      <c r="Q4" s="71" t="n"/>
      <c r="R4" s="71" t="n"/>
      <c r="S4" s="71" t="n"/>
    </row>
    <row r="5" ht="139.2" customHeight="1" s="147">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26">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26">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26">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10" t="n"/>
      <c r="Q5" s="71" t="n"/>
      <c r="R5" s="71" t="n"/>
      <c r="S5" s="71" t="n"/>
    </row>
    <row r="6" ht="139.2" customHeight="1" s="147">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26">
        <f>HYPERLINK(LEFT(CELL("filename",A1),FIND("[",CELL("filename",A1))-1)&amp;"매뉴얼BODY(집행단계-첨부폴더)v8\8.전기분야\5_전기설비 제작사 인터페이스 협의\표준서\전기설비 제작사 인터페이스 협의_표준서.html", "👉 [클릭] 표준서 열기 📄")</f>
        <v/>
      </c>
      <c r="L6" s="70" t="inlineStr">
        <is>
          <t>전기설비(변압기, 정류기, ESS, GIS, SCADA RTU) 제작사 사양 사전 반영, 이종 제작사 간 통신 프로토콜(IEC 61850, Modbus) 핀 맵/제어 랙 치수 조율 및 제작사양서 확정</t>
        </is>
      </c>
      <c r="M6" s="126">
        <f>HYPERLINK(LEFT(CELL("filename",A1),FIND("[",CELL("filename",A1))-1)&amp;"매뉴얼BODY(집행단계-첨부폴더)v8\8.전기분야\5_전기설비 제작사 인터페이스 협의\수행지침\전기설비 제작사 인터페이스 협의_수행지침.html", "👉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26">
        <f>HYPERLINK(LEFT(CELL("filename",A1),FIND("[",CELL("filename",A1))-1)&amp;"매뉴얼BODY(집행단계-첨부폴더)v8\8.전기분야\5_전기설비 제작사 인터페이스 협의\체크리스트\전기설비 제작사 인터페이스 협의_체크리스트.html", "👉 [클릭] 체크리스트 열기 📄")</f>
        <v/>
      </c>
      <c r="P6" s="10" t="n"/>
      <c r="Q6" s="71" t="n"/>
      <c r="R6" s="71" t="n"/>
      <c r="S6" s="71" t="n"/>
    </row>
    <row r="7" ht="139.2" customHeight="1" s="147">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26">
        <f>HYPERLINK(LEFT(CELL("filename",A1),FIND("[",CELL("filename",A1))-1)&amp;"매뉴얼BODY(집행단계-첨부폴더)v8\8.전기분야\6_관제 및 운영사 인터페이스 협의\표준서\관제 및 운영사 인터페이스 협의_표준서.html", "👉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26">
        <f>HYPERLINK(LEFT(CELL("filename",A1),FIND("[",CELL("filename",A1))-1)&amp;"매뉴얼BODY(집행단계-첨부폴더)v8\8.전기분야\6_관제 및 운영사 인터페이스 협의\수행지침\관제 및 운영사 인터페이스 협의_수행지침.html", "👉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26">
        <f>HYPERLINK(LEFT(CELL("filename",A1),FIND("[",CELL("filename",A1))-1)&amp;"매뉴얼BODY(집행단계-첨부폴더)v8\8.전기분야\6_관제 및 운영사 인터페이스 협의\체크리스트\관제 및 운영사 인터페이스 협의_체크리스트.html", "👉 [클릭] 체크리스트 열기 📄")</f>
        <v/>
      </c>
      <c r="P7" s="10" t="n"/>
      <c r="Q7" s="71" t="n"/>
      <c r="R7" s="71" t="n"/>
      <c r="S7" s="71" t="n"/>
    </row>
    <row r="8" ht="139.2" customHeight="1" s="147">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26">
        <f>HYPERLINK(LEFT(CELL("filename",A1),FIND("[",CELL("filename",A1))-1)&amp;"매뉴얼BODY(집행단계-첨부폴더)v8\8.전기분야\7_발주처 품질 요구사항 검토\표준서\발주처 품질 요구사항 검토_표준서.html", "👉 [클릭] 표준서 열기 📄")</f>
        <v/>
      </c>
      <c r="L8" s="70" t="inlineStr">
        <is>
          <t>감리/감독원 품질검사(ITP/ITC) 항목 검토, Hold Point/Witness Point 입회점 구분 수립, 현장 계측기 교정성적서 관리 및 불합격 자재 48시간 내 반출 통제 수칙</t>
        </is>
      </c>
      <c r="M8" s="126">
        <f>HYPERLINK(LEFT(CELL("filename",A1),FIND("[",CELL("filename",A1))-1)&amp;"매뉴얼BODY(집행단계-첨부폴더)v8\8.전기분야\7_발주처 품질 요구사항 검토\수행지침\발주처 품질 요구사항 검토_수행지침.html", "👉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26">
        <f>HYPERLINK(LEFT(CELL("filename",A1),FIND("[",CELL("filename",A1))-1)&amp;"매뉴얼BODY(집행단계-첨부폴더)v8\8.전기분야\7_발주처 품질 요구사항 검토\체크리스트\발주처 품질 요구사항 검토_체크리스트.html", "👉 [클릭] 체크리스트 열기 📄")</f>
        <v/>
      </c>
      <c r="P8" s="10" t="n"/>
      <c r="Q8" s="71" t="n"/>
      <c r="R8" s="71" t="n"/>
      <c r="S8" s="71" t="n"/>
    </row>
    <row r="9" ht="139.2" customHeight="1" s="147">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26">
        <f>HYPERLINK(LEFT(CELL("filename",A1),FIND("[",CELL("filename",A1))-1)&amp;"매뉴얼BODY(집행단계-첨부폴더)v8\8.전기분야\8_자재 _ 인원 _ 장비 등 투입 사전 검토\표준서\자재 _ 인원 _ 장비 등 투입 사전 검토_표준서.html", "👉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26">
        <f>HYPERLINK(LEFT(CELL("filename",A1),FIND("[",CELL("filename",A1))-1)&amp;"매뉴얼BODY(집행단계-첨부폴더)v8\8.전기분야\8_자재 _ 인원 _ 장비 등 투입 사전 검토\수행지침\자재 _ 인원 _ 장비 등 투입 사전 검토_수행지침.html", "👉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26">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10" t="n"/>
      <c r="Q9" s="71" t="n"/>
      <c r="R9" s="71" t="n"/>
      <c r="S9" s="71" t="n"/>
    </row>
    <row r="10" ht="139.2" customHeight="1" s="147">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26">
        <f>HYPERLINK(LEFT(CELL("filename",A1),FIND("[",CELL("filename",A1))-1)&amp;"매뉴얼BODY(집행단계-첨부폴더)v8\8.전기분야\9_인허가 준비\표준서\인허가 준비_표준서.html", "👉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26">
        <f>HYPERLINK(LEFT(CELL("filename",A1),FIND("[",CELL("filename",A1))-1)&amp;"매뉴얼BODY(집행단계-첨부폴더)v8\8.전기분야\9_인허가 준비\수행지침\인허가 준비_수행지침.html", "👉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26">
        <f>HYPERLINK(LEFT(CELL("filename",A1),FIND("[",CELL("filename",A1))-1)&amp;"매뉴얼BODY(집행단계-첨부폴더)v8\8.전기분야\9_인허가 준비\체크리스트\인허가 준비_체크리스트.html", "👉 [클릭] 체크리스트 열기 📄")</f>
        <v/>
      </c>
      <c r="P10" s="10" t="n"/>
      <c r="Q10" s="71" t="n"/>
      <c r="R10" s="71" t="n"/>
      <c r="S10" s="71" t="n"/>
    </row>
    <row r="11" ht="226.2" customHeight="1" s="147">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26">
        <f>HYPERLINK(LEFT(CELL("filename",A1),FIND("[",CELL("filename",A1))-1)&amp;"매뉴얼BODY(집행단계-첨부폴더)v8\8.전기분야\10_착수 전 Big Room 회의\표준서\착수 전 Big Room 회의_표준서.html", "👉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26">
        <f>HYPERLINK(LEFT(CELL("filename",A1),FIND("[",CELL("filename",A1))-1)&amp;"매뉴얼BODY(집행단계-첨부폴더)v8\8.전기분야\10_착수 전 Big Room 회의\수행지침\착수 전 Big Room 회의_수행지침.html", "👉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26">
        <f>HYPERLINK(LEFT(CELL("filename",A1),FIND("[",CELL("filename",A1))-1)&amp;"매뉴얼BODY(집행단계-첨부폴더)v8\8.전기분야\10_착수 전 Big Room 회의\체크리스트\착수 전 Big Room 회의_체크리스트.html", "👉 [클릭] 체크리스트 열기 📄")</f>
        <v/>
      </c>
      <c r="P11" s="10" t="n"/>
      <c r="Q11" s="71" t="n"/>
      <c r="R11" s="71" t="n"/>
      <c r="S11" s="71" t="n"/>
    </row>
    <row r="12" ht="121.8" customHeight="1" s="147">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26">
        <f>HYPERLINK(LEFT(CELL("filename",A1),FIND("[",CELL("filename",A1))-1)&amp;"매뉴얼BODY(집행단계-첨부폴더)v8\8.전기분야\11_전기설비 제작 사양서 작성 _ 승인\표준서\전기설비 제작 사양서 작성 _ 승인_표준서.html", "👉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26">
        <f>HYPERLINK(LEFT(CELL("filename",A1),FIND("[",CELL("filename",A1))-1)&amp;"매뉴얼BODY(집행단계-첨부폴더)v8\8.전기분야\11_전기설비 제작 사양서 작성 _ 승인\수행지침\전기설비 제작 사양서 작성 _ 승인_수행지침.html", "👉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26">
        <f>HYPERLINK(LEFT(CELL("filename",A1),FIND("[",CELL("filename",A1))-1)&amp;"매뉴얼BODY(집행단계-첨부폴더)v8\8.전기분야\11_전기설비 제작 사양서 작성 _ 승인\체크리스트\전기설비 제작 사양서 작성 _ 승인_체크리스트.html", "👉 [클릭] 체크리스트 열기 📄")</f>
        <v/>
      </c>
      <c r="P12" s="10" t="n"/>
      <c r="Q12" s="71" t="n"/>
      <c r="R12" s="71" t="n"/>
      <c r="S12" s="71" t="n"/>
    </row>
    <row r="13" ht="104.4" customHeight="1" s="147">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26">
        <f>HYPERLINK(LEFT(CELL("filename",A1),FIND("[",CELL("filename",A1))-1)&amp;"매뉴얼BODY(집행단계-첨부폴더)v8\8.전기분야\12_시공 계획 수립 _ 승인\표준서\시공 계획 수립 _ 승인_표준서.html", "👉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26">
        <f>HYPERLINK(LEFT(CELL("filename",A1),FIND("[",CELL("filename",A1))-1)&amp;"매뉴얼BODY(집행단계-첨부폴더)v8\8.전기분야\12_시공 계획 수립 _ 승인\수행지침\시공 계획 수립 _ 승인_수행지침.html", "👉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26">
        <f>HYPERLINK(LEFT(CELL("filename",A1),FIND("[",CELL("filename",A1))-1)&amp;"매뉴얼BODY(집행단계-첨부폴더)v8\8.전기분야\12_시공 계획 수립 _ 승인\체크리스트\시공 계획 수립 _ 승인_체크리스트.html", "👉 [클릭] 체크리스트 열기 📄")</f>
        <v/>
      </c>
      <c r="P13" s="10" t="n"/>
      <c r="Q13" s="71" t="n"/>
      <c r="R13" s="71" t="n"/>
      <c r="S13" s="71" t="n"/>
    </row>
    <row r="14" ht="69.59999999999999" customHeight="1" s="147">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26">
        <f>HYPERLINK(LEFT(CELL("filename",A1),FIND("[",CELL("filename",A1))-1)&amp;"매뉴얼BODY(집행단계-첨부폴더)v8\8.전기분야\13_자재공급원_기자재 제작도서 승인\표준서\자재공급원_기자재 제작도서 승인_표준서.html", "👉 [클릭] 표준서 열기 📄")</f>
        <v/>
      </c>
      <c r="L14" s="70" t="inlineStr">
        <is>
          <t>전기자재 공급원 자격 검증(KS/KC 인증, 공장등록증, 납품실적), 제조사 시험성적서 대조 및 공장 제작 승인도면(Shop Drawing) 감리단 적격 승인 수검</t>
        </is>
      </c>
      <c r="M14" s="126">
        <f>HYPERLINK(LEFT(CELL("filename",A1),FIND("[",CELL("filename",A1))-1)&amp;"매뉴얼BODY(집행단계-첨부폴더)v8\8.전기분야\13_자재공급원_기자재 제작도서 승인\수행지침\자재공급원_기자재 제작도서 승인_수행지침.html", "👉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26">
        <f>HYPERLINK(LEFT(CELL("filename",A1),FIND("[",CELL("filename",A1))-1)&amp;"매뉴얼BODY(집행단계-첨부폴더)v8\8.전기분야\13_자재공급원_기자재 제작도서 승인\체크리스트\자재공급원_기자재 제작도서 승인_체크리스트.html", "👉 [클릭] 체크리스트 열기 📄")</f>
        <v/>
      </c>
      <c r="P14" s="10" t="n"/>
      <c r="Q14" s="71" t="n"/>
      <c r="R14" s="71" t="n"/>
      <c r="S14" s="71" t="n"/>
    </row>
    <row r="15" ht="191.4" customHeight="1" s="147">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26">
        <f>HYPERLINK(LEFT(CELL("filename",A1),FIND("[",CELL("filename",A1))-1)&amp;"매뉴얼BODY(집행단계-첨부폴더)v8\8.전기분야\14_전기설비 공정제작 _ 제작사 공장검사\표준서\전기설비 공정제작 _ 제작사 공장검사_표준서.html", "👉 [클릭] 표준서 열기 📄")</f>
        <v/>
      </c>
      <c r="L15" s="70" t="inlineStr">
        <is>
          <t>정류기, 변압기, ESS, GIS, SCADA 제작사 공장 공정 제작 관리 및 감리단/발주처 입회 공장시험(FAT: Factory Acceptance Test) 수행과 시험성적서 승인 완수</t>
        </is>
      </c>
      <c r="M15" s="126">
        <f>HYPERLINK(LEFT(CELL("filename",A1),FIND("[",CELL("filename",A1))-1)&amp;"매뉴얼BODY(집행단계-첨부폴더)v8\8.전기분야\14_전기설비 공정제작 _ 제작사 공장검사\수행지침\전기설비 공정제작 _ 제작사 공장검사_수행지침.html", "👉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26">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10" t="n"/>
      <c r="Q15" s="71" t="n"/>
      <c r="R15" s="71" t="n"/>
      <c r="S15" s="71" t="n"/>
    </row>
    <row r="16" ht="69.59999999999999" customHeight="1" s="147">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26">
        <f>HYPERLINK(LEFT(CELL("filename",A1),FIND("[",CELL("filename",A1))-1)&amp;"매뉴얼BODY(집행단계-첨부폴더)v8\8.전기분야\15_본공사 전 선행공정 인수인계 점검\표준서\본공사 전 선행공정 인수인계 점검_표준서.html", "👉 [클릭] 표준서 열기 📄")</f>
        <v/>
      </c>
      <c r="L16" s="70" t="inlineStr">
        <is>
          <t>토목, 노반(궤도), 건축 선행 공정 완성도 실측, 변전실/개구부/공동구 간섭 점검, 자재 반입구 및 반입 동선 인수인계 합동 점검 수행</t>
        </is>
      </c>
      <c r="M16" s="126">
        <f>HYPERLINK(LEFT(CELL("filename",A1),FIND("[",CELL("filename",A1))-1)&amp;"매뉴얼BODY(집행단계-첨부폴더)v8\8.전기분야\15_본공사 전 선행공정 인수인계 점검\수행지침\본공사 전 선행공정 인수인계 점검_수행지침.html", "👉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26">
        <f>HYPERLINK(LEFT(CELL("filename",A1),FIND("[",CELL("filename",A1))-1)&amp;"매뉴얼BODY(집행단계-첨부폴더)v8\8.전기분야\15_본공사 전 선행공정 인수인계 점검\체크리스트\본공사 전 선행공정 인수인계 점검_체크리스트.html", "👉 [클릭] 체크리스트 열기 📄")</f>
        <v/>
      </c>
      <c r="P16" s="10" t="n"/>
      <c r="Q16" s="71" t="n"/>
      <c r="R16" s="71" t="n"/>
      <c r="S16" s="71" t="n"/>
    </row>
    <row r="17" ht="69.59999999999999" customHeight="1" s="147">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26">
        <f>HYPERLINK(LEFT(CELL("filename",A1),FIND("[",CELL("filename",A1))-1)&amp;"매뉴얼BODY(집행단계-첨부폴더)v8\8.전기분야\16_장비반입 및 안전교육\표준서\장비반입 및 안전교육_표준서.html", "👉 [클릭] 표준서 열기 📄")</f>
        <v/>
      </c>
      <c r="L17" s="70" t="inlineStr">
        <is>
          <t>고소작업차, 케이블 포설차, 활선 작업 장비 현장 반입 동선/적치장 확인, 장비 Spec 및 안전검사필증 점검, 작업원 특별안전교육 실시</t>
        </is>
      </c>
      <c r="M17" s="126">
        <f>HYPERLINK(LEFT(CELL("filename",A1),FIND("[",CELL("filename",A1))-1)&amp;"매뉴얼BODY(집행단계-첨부폴더)v8\8.전기분야\16_장비반입 및 안전교육\수행지침\장비반입 및 안전교육_수행지침.html", "👉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26">
        <f>HYPERLINK(LEFT(CELL("filename",A1),FIND("[",CELL("filename",A1))-1)&amp;"매뉴얼BODY(집행단계-첨부폴더)v8\8.전기분야\16_장비반입 및 안전교육\체크리스트\장비반입 및 안전교육_체크리스트.html", "👉 [클릭] 체크리스트 열기 📄")</f>
        <v/>
      </c>
      <c r="P17" s="10" t="n"/>
      <c r="Q17" s="71" t="n"/>
      <c r="R17" s="71" t="n"/>
      <c r="S17" s="71" t="n"/>
    </row>
    <row r="18" ht="69.59999999999999" customHeight="1" s="147">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26">
        <f>HYPERLINK(LEFT(CELL("filename",A1),FIND("[",CELL("filename",A1))-1)&amp;"매뉴얼BODY(집행단계-첨부폴더)v8\8.전기분야\17_자재 반입 및 검수\표준서\자재 반입 및 검수_표준서.html", "👉 [클릭] 표준서 열기 📄")</f>
        <v/>
      </c>
      <c r="L18" s="70" t="inlineStr">
        <is>
          <t>전기자재 현장 반입 하차 위치/동선 통제, 승인된 자재공급원 일치 여부(Serial No., Serial Tag) 검수, 도면 규격 및 수량 1:1 대조 확인</t>
        </is>
      </c>
      <c r="M18" s="126">
        <f>HYPERLINK(LEFT(CELL("filename",A1),FIND("[",CELL("filename",A1))-1)&amp;"매뉴얼BODY(집행단계-첨부폴더)v8\8.전기분야\17_자재 반입 및 검수\수행지침\자재 반입 및 검수_수행지침.html", "👉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26">
        <f>HYPERLINK(LEFT(CELL("filename",A1),FIND("[",CELL("filename",A1))-1)&amp;"매뉴얼BODY(집행단계-첨부폴더)v8\8.전기분야\17_자재 반입 및 검수\체크리스트\자재 반입 및 검수_체크리스트.html", "👉 [클릭] 체크리스트 열기 📄")</f>
        <v/>
      </c>
      <c r="P18" s="10" t="n"/>
      <c r="Q18" s="71" t="n"/>
      <c r="R18" s="71" t="n"/>
      <c r="S18" s="71" t="n"/>
    </row>
    <row r="19" ht="69.59999999999999" customHeight="1" s="147">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26">
        <f>HYPERLINK(LEFT(CELL("filename",A1),FIND("[",CELL("filename",A1))-1)&amp;"매뉴얼BODY(집행단계-첨부폴더)v8\8.전기분야\18_전철전력설비 반입 및 설치\표준서\전철전력설비 반입 및 설치_표준서.html", "👉 [클릭] 표준서 열기 📄")</f>
        <v/>
      </c>
      <c r="L19" s="70" t="inlineStr">
        <is>
          <t>변전소 수배전반, 정류기, ESS, 특고압반 및 정거장 전기실 기기 반입/설치, 시공 샘플 감리 협의 후 시험시공 및 도면 일치성 최종 검측</t>
        </is>
      </c>
      <c r="M19" s="126">
        <f>HYPERLINK(LEFT(CELL("filename",A1),FIND("[",CELL("filename",A1))-1)&amp;"매뉴얼BODY(집행단계-첨부폴더)v8\8.전기분야\18_전철전력설비 반입 및 설치\수행지침\전철전력설비 반입 및 설치_수행지침.html", "👉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26">
        <f>HYPERLINK(LEFT(CELL("filename",A1),FIND("[",CELL("filename",A1))-1)&amp;"매뉴얼BODY(집행단계-첨부폴더)v8\8.전기분야\18_전철전력설비 반입 및 설치\체크리스트\전철전력설비 반입 및 설치_체크리스트.html", "👉 [클릭] 체크리스트 열기 📄")</f>
        <v/>
      </c>
      <c r="P19" s="10" t="n"/>
      <c r="Q19" s="71" t="n"/>
      <c r="R19" s="71" t="n"/>
      <c r="S19" s="71" t="n"/>
    </row>
    <row r="20" ht="69.59999999999999" customHeight="1" s="147">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26">
        <f>HYPERLINK(LEFT(CELL("filename",A1),FIND("[",CELL("filename",A1))-1)&amp;"매뉴얼BODY(집행단계-첨부폴더)v8\8.전기분야\19_수전용 케이블 트레이 및 케이블 포설\표준서\수전용 케이블 트레이 및 케이블 포설_표준서.html", "👉 [클릭] 표준서 열기 📄")</f>
        <v/>
      </c>
      <c r="L20" s="70" t="inlineStr">
        <is>
          <t>한전 책임분계점으로부터 수전 전기실까지 케이블 트레이 수평/수직 고정 설치, 특고압 케이블 포설 및 단말 접속, 절연저항/내전압 시험 완수</t>
        </is>
      </c>
      <c r="M20" s="126">
        <f>HYPERLINK(LEFT(CELL("filename",A1),FIND("[",CELL("filename",A1))-1)&amp;"매뉴얼BODY(집행단계-첨부폴더)v8\8.전기분야\19_수전용 케이블 트레이 및 케이블 포설\수행지침\수전용 케이블 트레이 및 케이블 포설_수행지침.html", "👉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26">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10" t="n"/>
      <c r="Q20" s="71" t="n"/>
      <c r="R20" s="71" t="n"/>
      <c r="S20" s="71" t="n"/>
    </row>
    <row r="21" ht="69.59999999999999" customHeight="1" s="147">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26">
        <f>HYPERLINK(LEFT(CELL("filename",A1),FIND("[",CELL("filename",A1))-1)&amp;"매뉴얼BODY(집행단계-첨부폴더)v8\8.전기분야\20_수전 및 전기공급(급전)\표준서\수전 및 전기공급(급전)_표준서.html", "👉 [클릭] 표준서 열기 📄")</f>
        <v/>
      </c>
      <c r="L21" s="70" t="inlineStr">
        <is>
          <t>KESC 사용전검사 합격증 수령, 전기가압계획 수립 및 한전 가입 요청, 수전 전 기기별 자체시험 수행 후 통신/신호/기계 공종별 단계적 전기공급(급전) 시행</t>
        </is>
      </c>
      <c r="M21" s="126">
        <f>HYPERLINK(LEFT(CELL("filename",A1),FIND("[",CELL("filename",A1))-1)&amp;"매뉴얼BODY(집행단계-첨부폴더)v8\8.전기분야\20_수전 및 전기공급(급전)\수행지침\수전 및 전기공급(급전)_수행지침.html", "👉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26">
        <f>HYPERLINK(LEFT(CELL("filename",A1),FIND("[",CELL("filename",A1))-1)&amp;"매뉴얼BODY(집행단계-첨부폴더)v8\8.전기분야\20_수전 및 전기공급(급전)\체크리스트\수전 및 전기공급(급전)_체크리스트.html", "👉 [클릭] 체크리스트 열기 📄")</f>
        <v/>
      </c>
      <c r="P21" s="10" t="n"/>
      <c r="Q21" s="71" t="n"/>
      <c r="R21" s="71" t="n"/>
      <c r="S21" s="71" t="n"/>
    </row>
    <row r="22" ht="69.59999999999999" customHeight="1" s="147">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26">
        <f>HYPERLINK(LEFT(CELL("filename",A1),FIND("[",CELL("filename",A1))-1)&amp;"매뉴얼BODY(집행단계-첨부폴더)v8\8.전기분야\21_종합연동시험(SCADA) 실시\표준서\종합연동시험(SCADA) 실시_표준서.html", "👉 [클릭] 표준서 열기 📄")</f>
        <v/>
      </c>
      <c r="L22" s="70" t="inlineStr">
        <is>
          <t>책임감리단 입회하에 트램관제실(OCC)과 현장 변전소/정류기/ESS 기기 간 SCADA 원격 감시/제어/계측(DI/DO/AI/AO) 종합연동시험 수행 및 검측 승인</t>
        </is>
      </c>
      <c r="M22" s="126">
        <f>HYPERLINK(LEFT(CELL("filename",A1),FIND("[",CELL("filename",A1))-1)&amp;"매뉴얼BODY(집행단계-첨부폴더)v8\8.전기분야\21_종합연동시험(SCADA) 실시\수행지침\종합연동시험(SCADA) 실시_수행지침.html", "👉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26">
        <f>HYPERLINK(LEFT(CELL("filename",A1),FIND("[",CELL("filename",A1))-1)&amp;"매뉴얼BODY(집행단계-첨부폴더)v8\8.전기분야\21_종합연동시험(SCADA) 실시\체크리스트\종합연동시험(SCADA) 실시_체크리스트.html", "👉 [클릭] 체크리스트 열기 📄")</f>
        <v/>
      </c>
      <c r="P22" s="10" t="n"/>
      <c r="Q22" s="71" t="n"/>
      <c r="R22" s="71" t="n"/>
      <c r="S22" s="71" t="n"/>
    </row>
    <row r="23" ht="69.59999999999999" customHeight="1" s="147">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26">
        <f>HYPERLINK(LEFT(CELL("filename",A1),FIND("[",CELL("filename",A1))-1)&amp;"매뉴얼BODY(집행단계-첨부폴더)v8\8.전기분야\22_공종별 시험\표준서\공종별 시험_표준서.html", "👉 [클릭] 표준서 열기 📄")</f>
        <v/>
      </c>
      <c r="L23" s="70" t="inlineStr">
        <is>
          <t>철도종합시험운행 시행지침 제6조(공종별시험)에 의거하여 변전, 전차선, 전력 설비 공종별 절연, 보호계전기, 통전 시험을 정밀 수행하고 보고서 승인</t>
        </is>
      </c>
      <c r="M23" s="126">
        <f>HYPERLINK(LEFT(CELL("filename",A1),FIND("[",CELL("filename",A1))-1)&amp;"매뉴얼BODY(집행단계-첨부폴더)v8\8.전기분야\22_공종별 시험\수행지침\공종별 시험_수행지침.html", "👉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26">
        <f>HYPERLINK(LEFT(CELL("filename",A1),FIND("[",CELL("filename",A1))-1)&amp;"매뉴얼BODY(집행단계-첨부폴더)v8\8.전기분야\22_공종별 시험\체크리스트\공종별 시험_체크리스트.html", "👉 [클릭] 체크리스트 열기 📄")</f>
        <v/>
      </c>
      <c r="P23" s="10" t="n"/>
      <c r="Q23" s="71" t="n"/>
      <c r="R23" s="71" t="n"/>
      <c r="S23" s="71" t="n"/>
    </row>
    <row r="24" ht="69.59999999999999" customHeight="1" s="147">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26">
        <f>HYPERLINK(LEFT(CELL("filename",A1),FIND("[",CELL("filename",A1))-1)&amp;"매뉴얼BODY(집행단계-첨부폴더)v8\8.전기분야\23_차량 투입 전 점검\표준서\차량 투입 전 점검_표준서.html", "👉 [클릭] 표준서 열기 📄")</f>
        <v/>
      </c>
      <c r="L24" s="70" t="inlineStr">
        <is>
          <t>노반/궤도 시공상태 점검, 트램 건축한계(폭 3,600mm) 검사, 전차선 750V DC 가압, 차량충전설비, 신호/통신 작동상태 합동 사전 점검 완수</t>
        </is>
      </c>
      <c r="M24" s="126">
        <f>HYPERLINK(LEFT(CELL("filename",A1),FIND("[",CELL("filename",A1))-1)&amp;"매뉴얼BODY(집행단계-첨부폴더)v8\8.전기분야\23_차량 투입 전 점검\수행지침\차량 투입 전 점검_수행지침.html", "👉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26">
        <f>HYPERLINK(LEFT(CELL("filename",A1),FIND("[",CELL("filename",A1))-1)&amp;"매뉴얼BODY(집행단계-첨부폴더)v8\8.전기분야\23_차량 투입 전 점검\체크리스트\차량 투입 전 점검_체크리스트.html", "👉 [클릭] 체크리스트 열기 📄")</f>
        <v/>
      </c>
      <c r="P24" s="10" t="n"/>
      <c r="Q24" s="71" t="n"/>
      <c r="R24" s="71" t="n"/>
      <c r="S24" s="71" t="n"/>
    </row>
    <row r="25" ht="69.59999999999999" customHeight="1" s="147">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26">
        <f>HYPERLINK(LEFT(CELL("filename",A1),FIND("[",CELL("filename",A1))-1)&amp;"매뉴얼BODY(집행단계-첨부폴더)v8\8.전기분야\24_차량 시운전\표준서\차량 시운전_표준서.html", "👉 [클릭] 표준서 열기 📄")</f>
        <v/>
      </c>
      <c r="L25" s="70" t="inlineStr">
        <is>
          <t>철도안전법 제26조(철도차량 형식승인)에 의거하여 본선 구간 트램 차량, 전차선 전력, 신호, 통신 시스템 간 인터페이스 시험 및 동력 성능 시운전 수행</t>
        </is>
      </c>
      <c r="M25" s="126">
        <f>HYPERLINK(LEFT(CELL("filename",A1),FIND("[",CELL("filename",A1))-1)&amp;"매뉴얼BODY(집행단계-첨부폴더)v8\8.전기분야\24_차량 시운전\수행지침\차량 시운전_수행지침.html", "👉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26">
        <f>HYPERLINK(LEFT(CELL("filename",A1),FIND("[",CELL("filename",A1))-1)&amp;"매뉴얼BODY(집행단계-첨부폴더)v8\8.전기분야\24_차량 시운전\체크리스트\차량 시운전_체크리스트.html", "👉 [클릭] 체크리스트 열기 📄")</f>
        <v/>
      </c>
      <c r="P25" s="10" t="n"/>
      <c r="Q25" s="71" t="n"/>
      <c r="R25" s="71" t="n"/>
      <c r="S25" s="71" t="n"/>
    </row>
    <row r="26" ht="69.59999999999999" customHeight="1" s="147">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26">
        <f>HYPERLINK(LEFT(CELL("filename",A1),FIND("[",CELL("filename",A1))-1)&amp;"매뉴얼BODY(집행단계-첨부폴더)v8\8.전기분야\25_운영자 교육시행\표준서\운영자 교육시행_표준서.html", "👉 [클릭] 표준서 열기 📄")</f>
        <v/>
      </c>
      <c r="L26" s="70" t="inlineStr">
        <is>
          <t>전기설비(변전, 전차선, SCADA, ESS) 제작사 취급 설명 매뉴얼 기반 운영사 및 관제 유지보수자 대상 이론/실습 교육 시행 및 교육 이수증 교부</t>
        </is>
      </c>
      <c r="M26" s="126">
        <f>HYPERLINK(LEFT(CELL("filename",A1),FIND("[",CELL("filename",A1))-1)&amp;"매뉴얼BODY(집행단계-첨부폴더)v8\8.전기분야\25_운영자 교육시행\수행지침\운영자 교육시행_수행지침.html", "👉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26">
        <f>HYPERLINK(LEFT(CELL("filename",A1),FIND("[",CELL("filename",A1))-1)&amp;"매뉴얼BODY(집행단계-첨부폴더)v8\8.전기분야\25_운영자 교육시행\체크리스트\운영자 교육시행_체크리스트.html", "👉 [클릭] 체크리스트 열기 📄")</f>
        <v/>
      </c>
      <c r="P26" s="10" t="n"/>
      <c r="Q26" s="71" t="n"/>
      <c r="R26" s="71" t="n"/>
      <c r="S26" s="71" t="n"/>
    </row>
    <row r="27" ht="87" customHeight="1" s="147">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26">
        <f>HYPERLINK(LEFT(CELL("filename",A1),FIND("[",CELL("filename",A1))-1)&amp;"매뉴얼BODY(집행단계-첨부폴더)v8\8.전기분야\26_사전점검\표준서\사전점검_표준서.html", "👉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26">
        <f>HYPERLINK(LEFT(CELL("filename",A1),FIND("[",CELL("filename",A1))-1)&amp;"매뉴얼BODY(집행단계-첨부폴더)v8\8.전기분야\26_사전점검\수행지침\사전점검_수행지침.html", "👉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26">
        <f>HYPERLINK(LEFT(CELL("filename",A1),FIND("[",CELL("filename",A1))-1)&amp;"매뉴얼BODY(집행단계-첨부폴더)v8\8.전기분야\26_사전점검\체크리스트\사전점검_체크리스트.html", "👉 [클릭] 체크리스트 열기 📄")</f>
        <v/>
      </c>
      <c r="P27" s="10" t="n"/>
      <c r="Q27" s="71" t="n"/>
      <c r="R27" s="71" t="n"/>
      <c r="S27" s="71" t="n"/>
    </row>
    <row r="28" ht="139.2" customHeight="1" s="147">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26">
        <f>HYPERLINK(LEFT(CELL("filename",A1),FIND("[",CELL("filename",A1))-1)&amp;"매뉴얼BODY(집행단계-첨부폴더)v8\8.전기분야\27_시설물 검증시험\표준서\시설물 검증시험_표준서.html", "👉 [클릭] 표준서 열기 📄")</f>
        <v/>
      </c>
      <c r="L28" s="70" t="inlineStr">
        <is>
          <t>철도종합시험운행 시행지침 제12조/제13조에 의거 시설물검증시험계획 전문기관 승인, 시설물 정상작동, 안전상태, 차량 운행 적합성 검증 후 7일 내 공단 제출</t>
        </is>
      </c>
      <c r="M28" s="126">
        <f>HYPERLINK(LEFT(CELL("filename",A1),FIND("[",CELL("filename",A1))-1)&amp;"매뉴얼BODY(집행단계-첨부폴더)v8\8.전기분야\27_시설물 검증시험\수행지침\시설물 검증시험_수행지침.html", "👉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26">
        <f>HYPERLINK(LEFT(CELL("filename",A1),FIND("[",CELL("filename",A1))-1)&amp;"매뉴얼BODY(집행단계-첨부폴더)v8\8.전기분야\27_시설물 검증시험\체크리스트\시설물 검증시험_체크리스트.html", "👉 [클릭] 체크리스트 열기 📄")</f>
        <v/>
      </c>
      <c r="P28" s="10" t="n"/>
      <c r="Q28" s="71" t="n"/>
      <c r="R28" s="71" t="n"/>
      <c r="S28" s="71" t="n"/>
    </row>
    <row r="29" ht="159.6" customHeight="1" s="147">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26">
        <f>HYPERLINK(LEFT(CELL("filename",A1),FIND("[",CELL("filename",A1))-1)&amp;"매뉴얼BODY(집행단계-첨부폴더)v8\8.전기분야\28_영업시운전\표준서\영업시운전_표준서.html", "👉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26">
        <f>HYPERLINK(LEFT(CELL("filename",A1),FIND("[",CELL("filename",A1))-1)&amp;"매뉴얼BODY(집행단계-첨부폴더)v8\8.전기분야\28_영업시운전\수행지침\영업시운전_수행지침.html", "👉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26">
        <f>HYPERLINK(LEFT(CELL("filename",A1),FIND("[",CELL("filename",A1))-1)&amp;"매뉴얼BODY(집행단계-첨부폴더)v8\8.전기분야\28_영업시운전\체크리스트\영업시운전_체크리스트.html", "👉 [클릭] 체크리스트 열기 📄")</f>
        <v/>
      </c>
      <c r="P29" s="10" t="n"/>
      <c r="Q29" s="71" t="n"/>
      <c r="R29" s="71" t="n"/>
      <c r="S29" s="71" t="n"/>
    </row>
    <row r="30" ht="69.59999999999999" customHeight="1" s="147">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26">
        <f>HYPERLINK(LEFT(CELL("filename",A1),FIND("[",CELL("filename",A1))-1)&amp;"매뉴얼BODY(집행단계-첨부폴더)v8\8.전기분야\29_전기 사용신청\표준서\전기 사용신청_표준서.html", "👉 [클릭] 표준서 열기 📄")</f>
        <v/>
      </c>
      <c r="L30" s="70" t="inlineStr">
        <is>
          <t>관할 한국전력공사에 전기사용신청서, 건축허가서, 수전 도면 및 위임장 제출 수속(소요 기간 약 1개월 관리) 및 수전 합의 완수</t>
        </is>
      </c>
      <c r="M30" s="126">
        <f>HYPERLINK(LEFT(CELL("filename",A1),FIND("[",CELL("filename",A1))-1)&amp;"매뉴얼BODY(집행단계-첨부폴더)v8\8.전기분야\29_전기 사용신청\수행지침\전기 사용신청_수행지침.html", "👉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26">
        <f>HYPERLINK(LEFT(CELL("filename",A1),FIND("[",CELL("filename",A1))-1)&amp;"매뉴얼BODY(집행단계-첨부폴더)v8\8.전기분야\29_전기 사용신청\체크리스트\전기 사용신청_체크리스트.html", "👉 [클릭] 체크리스트 열기 📄")</f>
        <v/>
      </c>
      <c r="P30" s="10" t="n"/>
      <c r="Q30" s="71" t="n"/>
      <c r="R30" s="71" t="n"/>
      <c r="S30" s="71" t="n"/>
    </row>
    <row r="31" ht="69.59999999999999" customHeight="1" s="147">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26">
        <f>HYPERLINK(LEFT(CELL("filename",A1),FIND("[",CELL("filename",A1))-1)&amp;"매뉴얼BODY(집행단계-첨부폴더)v8\8.전기분야\30_공사계획신고\표준서\공사계획신고_표준서.html", "👉 [클릭] 표준서 열기 📄")</f>
        <v/>
      </c>
      <c r="L31" s="70" t="inlineStr">
        <is>
          <t>관할 한국전기안전공사에 전기 공사 착수 전 공사계획서, 기술자 자격증, 감리원 배치서 및 도면 제출 수속 완료</t>
        </is>
      </c>
      <c r="M31" s="126">
        <f>HYPERLINK(LEFT(CELL("filename",A1),FIND("[",CELL("filename",A1))-1)&amp;"매뉴얼BODY(집행단계-첨부폴더)v8\8.전기분야\30_공사계획신고\수행지침\공사계획신고_수행지침.html", "👉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26">
        <f>HYPERLINK(LEFT(CELL("filename",A1),FIND("[",CELL("filename",A1))-1)&amp;"매뉴얼BODY(집행단계-첨부폴더)v8\8.전기분야\30_공사계획신고\체크리스트\공사계획신고_체크리스트.html", "👉 [클릭] 체크리스트 열기 📄")</f>
        <v/>
      </c>
      <c r="P31" s="10" t="n"/>
      <c r="Q31" s="71" t="n"/>
      <c r="R31" s="71" t="n"/>
      <c r="S31" s="71" t="n"/>
    </row>
    <row r="32" ht="69.59999999999999" customHeight="1" s="147">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26">
        <f>HYPERLINK(LEFT(CELL("filename",A1),FIND("[",CELL("filename",A1))-1)&amp;"매뉴얼BODY(집행단계-첨부폴더)v8\8.전기분야\31_전차선로 적합성 검증\표준서\전차선로 적합성 검증_표준서.html", "👉 [클릭] 표준서 열기 📄")</f>
        <v/>
      </c>
      <c r="L32" s="70" t="inlineStr">
        <is>
          <t>한국전기철도기술협회에 차량 시운전 전까지 수량조서, 시공도면 및 시험성적서 제출(처리기간 15일)하여 적합성 검증 승인 완수</t>
        </is>
      </c>
      <c r="M32" s="126">
        <f>HYPERLINK(LEFT(CELL("filename",A1),FIND("[",CELL("filename",A1))-1)&amp;"매뉴얼BODY(집행단계-첨부폴더)v8\8.전기분야\31_전차선로 적합성 검증\수행지침\전차선로 적합성 검증_수행지침.html", "👉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26">
        <f>HYPERLINK(LEFT(CELL("filename",A1),FIND("[",CELL("filename",A1))-1)&amp;"매뉴얼BODY(집행단계-첨부폴더)v8\8.전기분야\31_전차선로 적합성 검증\체크리스트\전차선로 적합성 검증_체크리스트.html", "👉 [클릭] 체크리스트 열기 📄")</f>
        <v/>
      </c>
      <c r="P32" s="10" t="n"/>
      <c r="Q32" s="71" t="n"/>
      <c r="R32" s="71" t="n"/>
      <c r="S32" s="71" t="n"/>
    </row>
    <row r="33" ht="268.2" customHeight="1" s="147">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26">
        <f>HYPERLINK(LEFT(CELL("filename",A1),FIND("[",CELL("filename",A1))-1)&amp;"매뉴얼BODY(집행단계-첨부폴더)v8\8.전기분야\32_전기 사용전검사 (전력_전차선_송변전)\표준서\전기 사용전검사 (전력_전차선_송변전)_표준서.html", "👉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26">
        <f>HYPERLINK(LEFT(CELL("filename",A1),FIND("[",CELL("filename",A1))-1)&amp;"매뉴얼BODY(집행단계-첨부폴더)v8\8.전기분야\32_전기 사용전검사 (전력_전차선_송변전)\수행지침\전기 사용전검사 (전력_전차선_송변전)_수행지침.html", "👉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26">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10" t="n"/>
      <c r="Q33" s="71" t="n"/>
      <c r="R33" s="71" t="n"/>
      <c r="S33" s="71"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V37"/>
  <sheetViews>
    <sheetView showGridLines="1" workbookViewId="0">
      <selection activeCell="A1" sqref="A1"/>
    </sheetView>
  </sheetViews>
  <sheetFormatPr baseColWidth="8" defaultRowHeight="15"/>
  <cols>
    <col width="10" customWidth="1" style="147" min="1" max="1"/>
    <col width="10" customWidth="1" style="147" min="2" max="2"/>
    <col width="16" customWidth="1" style="147" min="3" max="3"/>
    <col width="12" customWidth="1" style="147" min="4" max="4"/>
    <col width="10" customWidth="1" style="147" min="5" max="5"/>
    <col width="10" customWidth="1" style="147" min="6" max="6"/>
    <col width="28" customWidth="1" style="147" min="7" max="7"/>
    <col width="12" customWidth="1" style="147" min="8" max="8"/>
    <col width="12" customWidth="1" style="147" min="9" max="9"/>
    <col width="38" customWidth="1" style="147" min="10" max="10"/>
    <col width="52" customWidth="1" style="147" min="11" max="11"/>
    <col width="28"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 width="32" customWidth="1" style="147" min="20" max="20"/>
    <col width="24" customWidth="1" style="147" min="21" max="21"/>
    <col width="30" customWidth="1" style="147" min="22" max="22"/>
  </cols>
  <sheetData>
    <row r="1" ht="28" customHeight="1" s="147">
      <c r="A1" s="152" t="inlineStr">
        <is>
          <t>L2 코드</t>
        </is>
      </c>
      <c r="B1" s="152" t="inlineStr">
        <is>
          <t>L3 코드</t>
        </is>
      </c>
      <c r="C1" s="152" t="inlineStr">
        <is>
          <t>L3 대공종명</t>
        </is>
      </c>
      <c r="D1" s="152" t="inlineStr">
        <is>
          <t>L4 코드</t>
        </is>
      </c>
      <c r="E1" s="152" t="inlineStr">
        <is>
          <t>선행</t>
        </is>
      </c>
      <c r="F1" s="152" t="inlineStr">
        <is>
          <t>후행</t>
        </is>
      </c>
      <c r="G1" s="152" t="inlineStr">
        <is>
          <t>작업단위 (Level 4 Task/Activity)</t>
        </is>
      </c>
      <c r="H1" s="152" t="inlineStr">
        <is>
          <t>일정 (D-Day)</t>
        </is>
      </c>
      <c r="I1" s="152" t="inlineStr">
        <is>
          <t>주관</t>
        </is>
      </c>
      <c r="J1" s="152" t="inlineStr">
        <is>
          <t>목적</t>
        </is>
      </c>
      <c r="K1" s="152" t="inlineStr">
        <is>
          <t>방법</t>
        </is>
      </c>
      <c r="L1" s="152" t="inlineStr">
        <is>
          <t>산출물(결과)</t>
        </is>
      </c>
      <c r="M1" s="152" t="inlineStr">
        <is>
          <t>표준서 (Standard) 요약</t>
        </is>
      </c>
      <c r="N1" s="152" t="inlineStr">
        <is>
          <t>표준서 파일 (HTML)</t>
        </is>
      </c>
      <c r="O1" s="152" t="inlineStr">
        <is>
          <t>수행지침 (Guideline) 요약</t>
        </is>
      </c>
      <c r="P1" s="152" t="inlineStr">
        <is>
          <t>수행지침 파일 (HTML)</t>
        </is>
      </c>
      <c r="Q1" s="152" t="inlineStr">
        <is>
          <t>체크리스트 (Checklist) 요약</t>
        </is>
      </c>
      <c r="R1" s="152" t="inlineStr">
        <is>
          <t>체크리스트 파일 (HTML)</t>
        </is>
      </c>
      <c r="S1" s="152" t="inlineStr">
        <is>
          <t>비고</t>
        </is>
      </c>
      <c r="T1" s="152" t="inlineStr">
        <is>
          <t>첨부서류 연계 상세 설계기준</t>
        </is>
      </c>
      <c r="U1" s="152" t="inlineStr">
        <is>
          <t>집행단계 리스크 체크리스트</t>
        </is>
      </c>
      <c r="V1" s="152" t="inlineStr">
        <is>
          <t>협력사 시공/공사관리 자문</t>
        </is>
      </c>
    </row>
    <row r="2" ht="48" customHeight="1" s="147">
      <c r="A2" s="153" t="inlineStr">
        <is>
          <t>9000</t>
        </is>
      </c>
      <c r="B2" s="153" t="inlineStr">
        <is>
          <t>9000-8</t>
        </is>
      </c>
      <c r="C2" s="153" t="inlineStr">
        <is>
          <t>기계설비·소방설비</t>
        </is>
      </c>
      <c r="D2" s="153" t="inlineStr">
        <is>
          <t>9000-8-1</t>
        </is>
      </c>
      <c r="E2" s="154" t="inlineStr">
        <is>
          <t>-</t>
        </is>
      </c>
      <c r="F2" s="154" t="inlineStr">
        <is>
          <t>9000-8-2</t>
        </is>
      </c>
      <c r="G2" s="155" t="inlineStr">
        <is>
          <t>설계 적정성 검토</t>
        </is>
      </c>
      <c r="H2" s="154" t="inlineStr">
        <is>
          <t>D-117</t>
        </is>
      </c>
      <c r="I2" s="154"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157">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158">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159">
        <f>HYPERLINK(LEFT(CELL("filename",A1),FIND("[",CELL("filename",A1))-1)&amp;"매뉴얼BODY(집행단계-첨부폴더)v8\10.기계분야\1_설계 적정성 검토\체크리스트\1_설계 적정성 검토_체크리스트.html", "👉 [클릭] 체크리스트 열기 📄")</f>
        <v/>
      </c>
      <c r="S2" s="154" t="inlineStr">
        <is>
          <t>기계·소방 복합 시방 준수</t>
        </is>
      </c>
      <c r="T2" s="156" t="inlineStr">
        <is>
          <t>● KDS 47 철도설계기준, KCS 41 건축기계시방 및 NFTC/NFPC 화재안전기술기준 100% 준수</t>
        </is>
      </c>
      <c r="U2" s="153" t="inlineStr">
        <is>
          <t>1) 👉 [더블클릭] 체크리스트 열기 📄</t>
        </is>
      </c>
      <c r="V2" s="156" t="inlineStr">
        <is>
          <t>기계설비·소방 전문 감리 및 시공 기술자문단 상시 운영</t>
        </is>
      </c>
    </row>
    <row r="3" ht="48" customHeight="1" s="147">
      <c r="A3" s="160" t="inlineStr">
        <is>
          <t>9000</t>
        </is>
      </c>
      <c r="B3" s="160" t="inlineStr">
        <is>
          <t>9000-8</t>
        </is>
      </c>
      <c r="C3" s="160" t="inlineStr">
        <is>
          <t>기계설비·소방설비</t>
        </is>
      </c>
      <c r="D3" s="160" t="inlineStr">
        <is>
          <t>9000-8-2</t>
        </is>
      </c>
      <c r="E3" s="161" t="inlineStr">
        <is>
          <t>9000-8-1</t>
        </is>
      </c>
      <c r="F3" s="161" t="inlineStr">
        <is>
          <t>9000-8-3</t>
        </is>
      </c>
      <c r="G3" s="162" t="inlineStr">
        <is>
          <t>발주전략 KOM</t>
        </is>
      </c>
      <c r="H3" s="161" t="inlineStr">
        <is>
          <t>D-114</t>
        </is>
      </c>
      <c r="I3" s="161"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164">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165">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166">
        <f>HYPERLINK(LEFT(CELL("filename",A1),FIND("[",CELL("filename",A1))-1)&amp;"매뉴얼BODY(집행단계-첨부폴더)v8\10.기계분야\2_발주전략 KOM\체크리스트\2_발주전략 KOM_체크리스트.html", "👉 [클릭] 체크리스트 열기 📄")</f>
        <v/>
      </c>
      <c r="S3" s="161" t="inlineStr">
        <is>
          <t>기계·소방 복합 시방 준수</t>
        </is>
      </c>
      <c r="T3" s="163" t="inlineStr">
        <is>
          <t>● KDS 47 철도설계기준, KCS 41 건축기계시방 및 NFTC/NFPC 화재안전기술기준 100% 준수</t>
        </is>
      </c>
      <c r="U3" s="160" t="inlineStr">
        <is>
          <t>1) 👉 [더블클릭] 체크리스트 열기 📄</t>
        </is>
      </c>
      <c r="V3" s="163" t="inlineStr">
        <is>
          <t>기계설비·소방 전문 감리 및 시공 기술자문단 상시 운영</t>
        </is>
      </c>
    </row>
    <row r="4" ht="48" customHeight="1" s="147">
      <c r="A4" s="153" t="inlineStr">
        <is>
          <t>9000</t>
        </is>
      </c>
      <c r="B4" s="153" t="inlineStr">
        <is>
          <t>9000-8</t>
        </is>
      </c>
      <c r="C4" s="153" t="inlineStr">
        <is>
          <t>기계설비·소방설비</t>
        </is>
      </c>
      <c r="D4" s="153" t="inlineStr">
        <is>
          <t>9000-8-3</t>
        </is>
      </c>
      <c r="E4" s="154" t="inlineStr">
        <is>
          <t>9000-8-2</t>
        </is>
      </c>
      <c r="F4" s="154" t="inlineStr">
        <is>
          <t>9000-8-4</t>
        </is>
      </c>
      <c r="G4" s="155" t="inlineStr">
        <is>
          <t>3D BIM 기계_소방 간섭 검토</t>
        </is>
      </c>
      <c r="H4" s="154" t="inlineStr">
        <is>
          <t>D-111</t>
        </is>
      </c>
      <c r="I4" s="154"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157">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158">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159">
        <f>HYPERLINK(LEFT(CELL("filename",A1),FIND("[",CELL("filename",A1))-1)&amp;"매뉴얼BODY(집행단계-첨부폴더)v8\10.기계분야\3_3D BIM 기계_소방 간섭 검토\체크리스트\3_3D BIM 기계_소방 간섭 검토_체크리스트.html", "👉 [클릭] 체크리스트 열기 📄")</f>
        <v/>
      </c>
      <c r="S4" s="154" t="inlineStr">
        <is>
          <t>기계·소방 복합 시방 준수</t>
        </is>
      </c>
      <c r="T4" s="156" t="inlineStr">
        <is>
          <t>● KDS 47 철도설계기준, KCS 41 건축기계시방 및 NFTC/NFPC 화재안전기술기준 100% 준수</t>
        </is>
      </c>
      <c r="U4" s="153" t="inlineStr">
        <is>
          <t>1) 👉 [더블클릭] 체크리스트 열기 📄</t>
        </is>
      </c>
      <c r="V4" s="156" t="inlineStr">
        <is>
          <t>기계설비·소방 전문 감리 및 시공 기술자문단 상시 운영</t>
        </is>
      </c>
    </row>
    <row r="5" ht="48" customHeight="1" s="147">
      <c r="A5" s="160" t="inlineStr">
        <is>
          <t>9000</t>
        </is>
      </c>
      <c r="B5" s="160" t="inlineStr">
        <is>
          <t>9000-8</t>
        </is>
      </c>
      <c r="C5" s="160" t="inlineStr">
        <is>
          <t>기계설비·소방설비</t>
        </is>
      </c>
      <c r="D5" s="160" t="inlineStr">
        <is>
          <t>9000-8-4</t>
        </is>
      </c>
      <c r="E5" s="161" t="inlineStr">
        <is>
          <t>9000-8-3</t>
        </is>
      </c>
      <c r="F5" s="161" t="inlineStr">
        <is>
          <t>9000-8-5</t>
        </is>
      </c>
      <c r="G5" s="162" t="inlineStr">
        <is>
          <t>소방 및 환경 인허가</t>
        </is>
      </c>
      <c r="H5" s="161" t="inlineStr">
        <is>
          <t>D-108</t>
        </is>
      </c>
      <c r="I5" s="161"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164">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165">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166">
        <f>HYPERLINK(LEFT(CELL("filename",A1),FIND("[",CELL("filename",A1))-1)&amp;"매뉴얼BODY(집행단계-첨부폴더)v8\10.기계분야\4_소방 및 환경 인허가\체크리스트\4_소방 및 환경 인허가_체크리스트.html", "👉 [클릭] 체크리스트 열기 📄")</f>
        <v/>
      </c>
      <c r="S5" s="161" t="inlineStr">
        <is>
          <t>기계·소방 복합 시방 준수</t>
        </is>
      </c>
      <c r="T5" s="163" t="inlineStr">
        <is>
          <t>● KDS 47 철도설계기준, KCS 41 건축기계시방 및 NFTC/NFPC 화재안전기술기준 100% 준수</t>
        </is>
      </c>
      <c r="U5" s="160" t="inlineStr">
        <is>
          <t>1) 👉 [더블클릭] 체크리스트 열기 📄</t>
        </is>
      </c>
      <c r="V5" s="163" t="inlineStr">
        <is>
          <t>기계설비·소방 전문 감리 및 시공 기술자문단 상시 운영</t>
        </is>
      </c>
    </row>
    <row r="6" ht="48" customHeight="1" s="147">
      <c r="A6" s="153" t="inlineStr">
        <is>
          <t>9000</t>
        </is>
      </c>
      <c r="B6" s="153" t="inlineStr">
        <is>
          <t>9000-8</t>
        </is>
      </c>
      <c r="C6" s="153" t="inlineStr">
        <is>
          <t>기계설비·소방설비</t>
        </is>
      </c>
      <c r="D6" s="153" t="inlineStr">
        <is>
          <t>9000-8-5</t>
        </is>
      </c>
      <c r="E6" s="154" t="inlineStr">
        <is>
          <t>9000-8-4</t>
        </is>
      </c>
      <c r="F6" s="154" t="inlineStr">
        <is>
          <t>9000-8-6</t>
        </is>
      </c>
      <c r="G6" s="155" t="inlineStr">
        <is>
          <t>장비 반입동선 및 야적장 계획</t>
        </is>
      </c>
      <c r="H6" s="154" t="inlineStr">
        <is>
          <t>D-105</t>
        </is>
      </c>
      <c r="I6" s="154"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157">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158">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159">
        <f>HYPERLINK(LEFT(CELL("filename",A1),FIND("[",CELL("filename",A1))-1)&amp;"매뉴얼BODY(집행단계-첨부폴더)v8\10.기계분야\5_장비 반입동선 및 야적장 계획\체크리스트\5_장비 반입동선 및 야적장 계획_체크리스트.html", "👉 [클릭] 체크리스트 열기 📄")</f>
        <v/>
      </c>
      <c r="S6" s="154" t="inlineStr">
        <is>
          <t>기계·소방 복합 시방 준수</t>
        </is>
      </c>
      <c r="T6" s="156" t="inlineStr">
        <is>
          <t>● KDS 47 철도설계기준, KCS 41 건축기계시방 및 NFTC/NFPC 화재안전기술기준 100% 준수</t>
        </is>
      </c>
      <c r="U6" s="153" t="inlineStr">
        <is>
          <t>1) 👉 [더블클릭] 체크리스트 열기 📄</t>
        </is>
      </c>
      <c r="V6" s="156" t="inlineStr">
        <is>
          <t>기계설비·소방 전문 감리 및 시공 기술자문단 상시 운영</t>
        </is>
      </c>
    </row>
    <row r="7" ht="48" customHeight="1" s="147">
      <c r="A7" s="160" t="inlineStr">
        <is>
          <t>9000</t>
        </is>
      </c>
      <c r="B7" s="160" t="inlineStr">
        <is>
          <t>9000-8</t>
        </is>
      </c>
      <c r="C7" s="160" t="inlineStr">
        <is>
          <t>기계설비·소방설비</t>
        </is>
      </c>
      <c r="D7" s="160" t="inlineStr">
        <is>
          <t>9000-8-6</t>
        </is>
      </c>
      <c r="E7" s="161" t="inlineStr">
        <is>
          <t>9000-8-5</t>
        </is>
      </c>
      <c r="F7" s="161" t="inlineStr">
        <is>
          <t>9000-8-7</t>
        </is>
      </c>
      <c r="G7" s="162" t="inlineStr">
        <is>
          <t>Big Room 인터페이스 회의</t>
        </is>
      </c>
      <c r="H7" s="161" t="inlineStr">
        <is>
          <t>D-102</t>
        </is>
      </c>
      <c r="I7" s="161"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164">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165">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166">
        <f>HYPERLINK(LEFT(CELL("filename",A1),FIND("[",CELL("filename",A1))-1)&amp;"매뉴얼BODY(집행단계-첨부폴더)v8\10.기계분야\6_Big Room 인터페이스 회의\체크리스트\6_Big Room 인터페이스 회의_체크리스트.html", "👉 [클릭] 체크리스트 열기 📄")</f>
        <v/>
      </c>
      <c r="S7" s="161" t="inlineStr">
        <is>
          <t>기계·소방 복합 시방 준수</t>
        </is>
      </c>
      <c r="T7" s="163" t="inlineStr">
        <is>
          <t>● KDS 47 철도설계기준, KCS 41 건축기계시방 및 NFTC/NFPC 화재안전기술기준 100% 준수</t>
        </is>
      </c>
      <c r="U7" s="160" t="inlineStr">
        <is>
          <t>1) 👉 [더블클릭] 체크리스트 열기 📄</t>
        </is>
      </c>
      <c r="V7" s="163" t="inlineStr">
        <is>
          <t>기계설비·소방 전문 감리 및 시공 기술자문단 상시 운영</t>
        </is>
      </c>
    </row>
    <row r="8" ht="48" customHeight="1" s="147">
      <c r="A8" s="153" t="inlineStr">
        <is>
          <t>9000</t>
        </is>
      </c>
      <c r="B8" s="153" t="inlineStr">
        <is>
          <t>9000-8</t>
        </is>
      </c>
      <c r="C8" s="153" t="inlineStr">
        <is>
          <t>기계설비·소방설비</t>
        </is>
      </c>
      <c r="D8" s="153" t="inlineStr">
        <is>
          <t>9000-8-7</t>
        </is>
      </c>
      <c r="E8" s="154" t="inlineStr">
        <is>
          <t>9000-8-6</t>
        </is>
      </c>
      <c r="F8" s="154" t="inlineStr">
        <is>
          <t>9000-8-8</t>
        </is>
      </c>
      <c r="G8" s="155" t="inlineStr">
        <is>
          <t>지하매설 기계배관 협의</t>
        </is>
      </c>
      <c r="H8" s="154" t="inlineStr">
        <is>
          <t>D-99</t>
        </is>
      </c>
      <c r="I8" s="154"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157">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158">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159">
        <f>HYPERLINK(LEFT(CELL("filename",A1),FIND("[",CELL("filename",A1))-1)&amp;"매뉴얼BODY(집행단계-첨부폴더)v8\10.기계분야\7_지하매설 기계배관 협의\체크리스트\7_지하매설 기계배관 협의_체크리스트.html", "👉 [클릭] 체크리스트 열기 📄")</f>
        <v/>
      </c>
      <c r="S8" s="154" t="inlineStr">
        <is>
          <t>기계·소방 복합 시방 준수</t>
        </is>
      </c>
      <c r="T8" s="156" t="inlineStr">
        <is>
          <t>● KDS 47 철도설계기준, KCS 41 건축기계시방 및 NFTC/NFPC 화재안전기술기준 100% 준수</t>
        </is>
      </c>
      <c r="U8" s="153" t="inlineStr">
        <is>
          <t>1) 👉 [더블클릭] 체크리스트 열기 📄</t>
        </is>
      </c>
      <c r="V8" s="156" t="inlineStr">
        <is>
          <t>기계설비·소방 전문 감리 및 시공 기술자문단 상시 운영</t>
        </is>
      </c>
    </row>
    <row r="9" ht="48" customHeight="1" s="147">
      <c r="A9" s="160" t="inlineStr">
        <is>
          <t>9000</t>
        </is>
      </c>
      <c r="B9" s="160" t="inlineStr">
        <is>
          <t>9000-8</t>
        </is>
      </c>
      <c r="C9" s="160" t="inlineStr">
        <is>
          <t>기계설비·소방설비</t>
        </is>
      </c>
      <c r="D9" s="160" t="inlineStr">
        <is>
          <t>9000-8-8</t>
        </is>
      </c>
      <c r="E9" s="161" t="inlineStr">
        <is>
          <t>9000-8-7</t>
        </is>
      </c>
      <c r="F9" s="161" t="inlineStr">
        <is>
          <t>9000-8-9</t>
        </is>
      </c>
      <c r="G9" s="162" t="inlineStr">
        <is>
          <t>기계설비 시공계획서 수립</t>
        </is>
      </c>
      <c r="H9" s="161" t="inlineStr">
        <is>
          <t>D-96</t>
        </is>
      </c>
      <c r="I9" s="161"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164">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165">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166">
        <f>HYPERLINK(LEFT(CELL("filename",A1),FIND("[",CELL("filename",A1))-1)&amp;"매뉴얼BODY(집행단계-첨부폴더)v8\10.기계분야\8_기계설비 시공계획서 수립\체크리스트\8_기계설비 시공계획서 수립_체크리스트.html", "👉 [클릭] 체크리스트 열기 📄")</f>
        <v/>
      </c>
      <c r="S9" s="161" t="inlineStr">
        <is>
          <t>기계·소방 복합 시방 준수</t>
        </is>
      </c>
      <c r="T9" s="163" t="inlineStr">
        <is>
          <t>● KDS 47 철도설계기준, KCS 41 건축기계시방 및 NFTC/NFPC 화재안전기술기준 100% 준수</t>
        </is>
      </c>
      <c r="U9" s="160" t="inlineStr">
        <is>
          <t>1) 👉 [더블클릭] 체크리스트 열기 📄</t>
        </is>
      </c>
      <c r="V9" s="163" t="inlineStr">
        <is>
          <t>기계설비·소방 전문 감리 및 시공 기술자문단 상시 운영</t>
        </is>
      </c>
    </row>
    <row r="10" ht="48" customHeight="1" s="147">
      <c r="A10" s="153" t="inlineStr">
        <is>
          <t>9000</t>
        </is>
      </c>
      <c r="B10" s="153" t="inlineStr">
        <is>
          <t>9000-8</t>
        </is>
      </c>
      <c r="C10" s="153" t="inlineStr">
        <is>
          <t>기계설비·소방설비</t>
        </is>
      </c>
      <c r="D10" s="153" t="inlineStr">
        <is>
          <t>9000-8-9</t>
        </is>
      </c>
      <c r="E10" s="154" t="inlineStr">
        <is>
          <t>9000-8-8</t>
        </is>
      </c>
      <c r="F10" s="154" t="inlineStr">
        <is>
          <t>9000-8-10</t>
        </is>
      </c>
      <c r="G10" s="155" t="inlineStr">
        <is>
          <t>주요 기계_소방 기자재 검수</t>
        </is>
      </c>
      <c r="H10" s="154" t="inlineStr">
        <is>
          <t>D-93</t>
        </is>
      </c>
      <c r="I10" s="154"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157">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158">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159">
        <f>HYPERLINK(LEFT(CELL("filename",A1),FIND("[",CELL("filename",A1))-1)&amp;"매뉴얼BODY(집행단계-첨부폴더)v8\10.기계분야\9_주요 기계_소방 기자재 검수\체크리스트\9_주요 기계_소방 기자재 검수_체크리스트.html", "👉 [클릭] 체크리스트 열기 📄")</f>
        <v/>
      </c>
      <c r="S10" s="154" t="inlineStr">
        <is>
          <t>기계·소방 복합 시방 준수</t>
        </is>
      </c>
      <c r="T10" s="156" t="inlineStr">
        <is>
          <t>● KDS 47 철도설계기준, KCS 41 건축기계시방 및 NFTC/NFPC 화재안전기술기준 100% 준수</t>
        </is>
      </c>
      <c r="U10" s="153" t="inlineStr">
        <is>
          <t>1) 👉 [더블클릭] 체크리스트 열기 📄</t>
        </is>
      </c>
      <c r="V10" s="156" t="inlineStr">
        <is>
          <t>기계설비·소방 전문 감리 및 시공 기술자문단 상시 운영</t>
        </is>
      </c>
    </row>
    <row r="11" ht="48" customHeight="1" s="147">
      <c r="A11" s="160" t="inlineStr">
        <is>
          <t>9000</t>
        </is>
      </c>
      <c r="B11" s="160" t="inlineStr">
        <is>
          <t>9000-8</t>
        </is>
      </c>
      <c r="C11" s="160" t="inlineStr">
        <is>
          <t>기계설비·소방설비</t>
        </is>
      </c>
      <c r="D11" s="160" t="inlineStr">
        <is>
          <t>9000-8-10</t>
        </is>
      </c>
      <c r="E11" s="161" t="inlineStr">
        <is>
          <t>9000-8-9</t>
        </is>
      </c>
      <c r="F11" s="161" t="inlineStr">
        <is>
          <t>9000-8-11</t>
        </is>
      </c>
      <c r="G11" s="162" t="inlineStr">
        <is>
          <t>방화구획 내화채움구조 시공</t>
        </is>
      </c>
      <c r="H11" s="161" t="inlineStr">
        <is>
          <t>D-90</t>
        </is>
      </c>
      <c r="I11" s="161"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164">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165">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166">
        <f>HYPERLINK(LEFT(CELL("filename",A1),FIND("[",CELL("filename",A1))-1)&amp;"매뉴얼BODY(집행단계-첨부폴더)v8\10.기계분야\10_방화구획 내화채움구조 시공\체크리스트\10_방화구획 내화채움구조 시공_체크리스트.html", "👉 [클릭] 체크리스트 열기 📄")</f>
        <v/>
      </c>
      <c r="S11" s="161" t="inlineStr">
        <is>
          <t>기계·소방 복합 시방 준수</t>
        </is>
      </c>
      <c r="T11" s="163" t="inlineStr">
        <is>
          <t>● KDS 47 철도설계기준, KCS 41 건축기계시방 및 NFTC/NFPC 화재안전기술기준 100% 준수</t>
        </is>
      </c>
      <c r="U11" s="160" t="inlineStr">
        <is>
          <t>1) 👉 [더블클릭] 체크리스트 열기 📄</t>
        </is>
      </c>
      <c r="V11" s="163" t="inlineStr">
        <is>
          <t>기계설비·소방 전문 감리 및 시공 기술자문단 상시 운영</t>
        </is>
      </c>
    </row>
    <row r="12" ht="48" customHeight="1" s="147">
      <c r="A12" s="153" t="inlineStr">
        <is>
          <t>9000</t>
        </is>
      </c>
      <c r="B12" s="153" t="inlineStr">
        <is>
          <t>9000-8</t>
        </is>
      </c>
      <c r="C12" s="153" t="inlineStr">
        <is>
          <t>기계설비·소방설비</t>
        </is>
      </c>
      <c r="D12" s="153" t="inlineStr">
        <is>
          <t>9000-8-11</t>
        </is>
      </c>
      <c r="E12" s="154" t="inlineStr">
        <is>
          <t>9000-8-10</t>
        </is>
      </c>
      <c r="F12" s="154" t="inlineStr">
        <is>
          <t>9000-8-12</t>
        </is>
      </c>
      <c r="G12" s="155" t="inlineStr">
        <is>
          <t>선로전환기 배수공동구 연계</t>
        </is>
      </c>
      <c r="H12" s="154" t="inlineStr">
        <is>
          <t>D-87</t>
        </is>
      </c>
      <c r="I12" s="154"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157">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158">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159">
        <f>HYPERLINK(LEFT(CELL("filename",A1),FIND("[",CELL("filename",A1))-1)&amp;"매뉴얼BODY(집행단계-첨부폴더)v8\10.기계분야\11_선로전환기 배수공동구 연계\체크리스트\11_선로전환기 배수공동구 연계_체크리스트.html", "👉 [클릭] 체크리스트 열기 📄")</f>
        <v/>
      </c>
      <c r="S12" s="154" t="inlineStr">
        <is>
          <t>기계·소방 복합 시방 준수</t>
        </is>
      </c>
      <c r="T12" s="156" t="inlineStr">
        <is>
          <t>● KDS 47 철도설계기준, KCS 41 건축기계시방 및 NFTC/NFPC 화재안전기술기준 100% 준수</t>
        </is>
      </c>
      <c r="U12" s="153" t="inlineStr">
        <is>
          <t>1) 👉 [더블클릭] 체크리스트 열기 📄</t>
        </is>
      </c>
      <c r="V12" s="156" t="inlineStr">
        <is>
          <t>기계설비·소방 전문 감리 및 시공 기술자문단 상시 운영</t>
        </is>
      </c>
    </row>
    <row r="13" ht="48" customHeight="1" s="147">
      <c r="A13" s="160" t="inlineStr">
        <is>
          <t>9000</t>
        </is>
      </c>
      <c r="B13" s="160" t="inlineStr">
        <is>
          <t>9000-8</t>
        </is>
      </c>
      <c r="C13" s="160" t="inlineStr">
        <is>
          <t>기계설비·소방설비</t>
        </is>
      </c>
      <c r="D13" s="160" t="inlineStr">
        <is>
          <t>9000-8-12</t>
        </is>
      </c>
      <c r="E13" s="161" t="inlineStr">
        <is>
          <t>9000-8-11</t>
        </is>
      </c>
      <c r="F13" s="161" t="inlineStr">
        <is>
          <t>9000-8-13</t>
        </is>
      </c>
      <c r="G13" s="162" t="inlineStr">
        <is>
          <t>소방 기계 전원 간선 연계</t>
        </is>
      </c>
      <c r="H13" s="161" t="inlineStr">
        <is>
          <t>D-84</t>
        </is>
      </c>
      <c r="I13" s="161"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164">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165">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166">
        <f>HYPERLINK(LEFT(CELL("filename",A1),FIND("[",CELL("filename",A1))-1)&amp;"매뉴얼BODY(집행단계-첨부폴더)v8\10.기계분야\12_소방 기계 전원 간선 연계\체크리스트\12_소방 기계 전원 간선 연계_체크리스트.html", "👉 [클릭] 체크리스트 열기 📄")</f>
        <v/>
      </c>
      <c r="S13" s="161" t="inlineStr">
        <is>
          <t>기계·소방 복합 시방 준수</t>
        </is>
      </c>
      <c r="T13" s="163" t="inlineStr">
        <is>
          <t>● KDS 47 철도설계기준, KCS 41 건축기계시방 및 NFTC/NFPC 화재안전기술기준 100% 준수</t>
        </is>
      </c>
      <c r="U13" s="160" t="inlineStr">
        <is>
          <t>1) 👉 [더블클릭] 체크리스트 열기 📄</t>
        </is>
      </c>
      <c r="V13" s="163" t="inlineStr">
        <is>
          <t>기계설비·소방 전문 감리 및 시공 기술자문단 상시 운영</t>
        </is>
      </c>
    </row>
    <row r="14" ht="48" customHeight="1" s="147">
      <c r="A14" s="153" t="inlineStr">
        <is>
          <t>9000</t>
        </is>
      </c>
      <c r="B14" s="153" t="inlineStr">
        <is>
          <t>9000-8</t>
        </is>
      </c>
      <c r="C14" s="153" t="inlineStr">
        <is>
          <t>기계설비·소방설비</t>
        </is>
      </c>
      <c r="D14" s="153" t="inlineStr">
        <is>
          <t>9000-8-13</t>
        </is>
      </c>
      <c r="E14" s="154" t="inlineStr">
        <is>
          <t>9000-8-12</t>
        </is>
      </c>
      <c r="F14" s="154" t="inlineStr">
        <is>
          <t>9000-8-14</t>
        </is>
      </c>
      <c r="G14" s="155" t="inlineStr">
        <is>
          <t>저수조 사수방지 흡입배관</t>
        </is>
      </c>
      <c r="H14" s="154" t="inlineStr">
        <is>
          <t>D-81</t>
        </is>
      </c>
      <c r="I14" s="154"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157">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158">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159">
        <f>HYPERLINK(LEFT(CELL("filename",A1),FIND("[",CELL("filename",A1))-1)&amp;"매뉴얼BODY(집행단계-첨부폴더)v8\10.기계분야\13_저수조 사수방지 흡입배관\체크리스트\13_저수조 사수방지 흡입배관_체크리스트.html", "👉 [클릭] 체크리스트 열기 📄")</f>
        <v/>
      </c>
      <c r="S14" s="154" t="inlineStr">
        <is>
          <t>기계·소방 복합 시방 준수</t>
        </is>
      </c>
      <c r="T14" s="156" t="inlineStr">
        <is>
          <t>● KDS 47 철도설계기준, KCS 41 건축기계시방 및 NFTC/NFPC 화재안전기술기준 100% 준수</t>
        </is>
      </c>
      <c r="U14" s="153" t="inlineStr">
        <is>
          <t>1) 👉 [더블클릭] 체크리스트 열기 📄</t>
        </is>
      </c>
      <c r="V14" s="156" t="inlineStr">
        <is>
          <t>기계설비·소방 전문 감리 및 시공 기술자문단 상시 운영</t>
        </is>
      </c>
    </row>
    <row r="15" ht="48" customHeight="1" s="147">
      <c r="A15" s="160" t="inlineStr">
        <is>
          <t>9000</t>
        </is>
      </c>
      <c r="B15" s="160" t="inlineStr">
        <is>
          <t>9000-8</t>
        </is>
      </c>
      <c r="C15" s="160" t="inlineStr">
        <is>
          <t>기계설비·소방설비</t>
        </is>
      </c>
      <c r="D15" s="160" t="inlineStr">
        <is>
          <t>9000-8-14</t>
        </is>
      </c>
      <c r="E15" s="161" t="inlineStr">
        <is>
          <t>9000-8-13</t>
        </is>
      </c>
      <c r="F15" s="161" t="inlineStr">
        <is>
          <t>9000-8-15</t>
        </is>
      </c>
      <c r="G15" s="162" t="inlineStr">
        <is>
          <t>지열 신재생에너지 배관 매설</t>
        </is>
      </c>
      <c r="H15" s="161" t="inlineStr">
        <is>
          <t>D-78</t>
        </is>
      </c>
      <c r="I15" s="161"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164">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165">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166">
        <f>HYPERLINK(LEFT(CELL("filename",A1),FIND("[",CELL("filename",A1))-1)&amp;"매뉴얼BODY(집행단계-첨부폴더)v8\10.기계분야\14_지열 신재생에너지 배관 매설\체크리스트\14_지열 신재생에너지 배관 매설_체크리스트.html", "👉 [클릭] 체크리스트 열기 📄")</f>
        <v/>
      </c>
      <c r="S15" s="161" t="inlineStr">
        <is>
          <t>기계·소방 복합 시방 준수</t>
        </is>
      </c>
      <c r="T15" s="163" t="inlineStr">
        <is>
          <t>● KDS 47 철도설계기준, KCS 41 건축기계시방 및 NFTC/NFPC 화재안전기술기준 100% 준수</t>
        </is>
      </c>
      <c r="U15" s="160" t="inlineStr">
        <is>
          <t>1) 👉 [더블클릭] 체크리스트 열기 📄</t>
        </is>
      </c>
      <c r="V15" s="163" t="inlineStr">
        <is>
          <t>기계설비·소방 전문 감리 및 시공 기술자문단 상시 운영</t>
        </is>
      </c>
    </row>
    <row r="16" ht="48" customHeight="1" s="147">
      <c r="A16" s="153" t="inlineStr">
        <is>
          <t>9000</t>
        </is>
      </c>
      <c r="B16" s="153" t="inlineStr">
        <is>
          <t>9000-8</t>
        </is>
      </c>
      <c r="C16" s="153" t="inlineStr">
        <is>
          <t>기계설비·소방설비</t>
        </is>
      </c>
      <c r="D16" s="153" t="inlineStr">
        <is>
          <t>9000-8-15</t>
        </is>
      </c>
      <c r="E16" s="154" t="inlineStr">
        <is>
          <t>9000-8-14</t>
        </is>
      </c>
      <c r="F16" s="154" t="inlineStr">
        <is>
          <t>9000-8-16</t>
        </is>
      </c>
      <c r="G16" s="155" t="inlineStr">
        <is>
          <t>정거장_변전소 환기덕트 시공</t>
        </is>
      </c>
      <c r="H16" s="154" t="inlineStr">
        <is>
          <t>D-75</t>
        </is>
      </c>
      <c r="I16" s="154"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157">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158">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159">
        <f>HYPERLINK(LEFT(CELL("filename",A1),FIND("[",CELL("filename",A1))-1)&amp;"매뉴얼BODY(집행단계-첨부폴더)v8\10.기계분야\15_정거장_변전소 환기덕트 시공\체크리스트\15_정거장_변전소 환기덕트 시공_체크리스트.html", "👉 [클릭] 체크리스트 열기 📄")</f>
        <v/>
      </c>
      <c r="S16" s="154" t="inlineStr">
        <is>
          <t>기계·소방 복합 시방 준수</t>
        </is>
      </c>
      <c r="T16" s="156" t="inlineStr">
        <is>
          <t>● KDS 47 철도설계기준, KCS 41 건축기계시방 및 NFTC/NFPC 화재안전기술기준 100% 준수</t>
        </is>
      </c>
      <c r="U16" s="153" t="inlineStr">
        <is>
          <t>1) 👉 [더블클릭] 체크리스트 열기 📄</t>
        </is>
      </c>
      <c r="V16" s="156" t="inlineStr">
        <is>
          <t>기계설비·소방 전문 감리 및 시공 기술자문단 상시 운영</t>
        </is>
      </c>
    </row>
    <row r="17" ht="48" customHeight="1" s="147">
      <c r="A17" s="160" t="inlineStr">
        <is>
          <t>9000</t>
        </is>
      </c>
      <c r="B17" s="160" t="inlineStr">
        <is>
          <t>9000-8</t>
        </is>
      </c>
      <c r="C17" s="160" t="inlineStr">
        <is>
          <t>기계설비·소방설비</t>
        </is>
      </c>
      <c r="D17" s="160" t="inlineStr">
        <is>
          <t>9000-8-16</t>
        </is>
      </c>
      <c r="E17" s="161" t="inlineStr">
        <is>
          <t>9000-8-15</t>
        </is>
      </c>
      <c r="F17" s="161" t="inlineStr">
        <is>
          <t>9000-8-17</t>
        </is>
      </c>
      <c r="G17" s="162" t="inlineStr">
        <is>
          <t>고내열(250℃) 제연팬_풍도</t>
        </is>
      </c>
      <c r="H17" s="161" t="inlineStr">
        <is>
          <t>D-72</t>
        </is>
      </c>
      <c r="I17" s="161"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164">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165">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166">
        <f>HYPERLINK(LEFT(CELL("filename",A1),FIND("[",CELL("filename",A1))-1)&amp;"매뉴얼BODY(집행단계-첨부폴더)v8\10.기계분야\16_고내열(250℃) 제연팬_풍도\체크리스트\16_고내열(250℃) 제연팬_풍도_체크리스트.html", "👉 [클릭] 체크리스트 열기 📄")</f>
        <v/>
      </c>
      <c r="S17" s="161" t="inlineStr">
        <is>
          <t>기계·소방 복합 시방 준수</t>
        </is>
      </c>
      <c r="T17" s="163" t="inlineStr">
        <is>
          <t>● KDS 47 철도설계기준, KCS 41 건축기계시방 및 NFTC/NFPC 화재안전기술기준 100% 준수</t>
        </is>
      </c>
      <c r="U17" s="160" t="inlineStr">
        <is>
          <t>1) 👉 [더블클릭] 체크리스트 열기 📄</t>
        </is>
      </c>
      <c r="V17" s="163" t="inlineStr">
        <is>
          <t>기계설비·소방 전문 감리 및 시공 기술자문단 상시 운영</t>
        </is>
      </c>
    </row>
    <row r="18" ht="48" customHeight="1" s="147">
      <c r="A18" s="153" t="inlineStr">
        <is>
          <t>9000</t>
        </is>
      </c>
      <c r="B18" s="153" t="inlineStr">
        <is>
          <t>9000-8</t>
        </is>
      </c>
      <c r="C18" s="153" t="inlineStr">
        <is>
          <t>기계설비·소방설비</t>
        </is>
      </c>
      <c r="D18" s="153" t="inlineStr">
        <is>
          <t>9000-8-17</t>
        </is>
      </c>
      <c r="E18" s="154" t="inlineStr">
        <is>
          <t>9000-8-16</t>
        </is>
      </c>
      <c r="F18" s="154" t="inlineStr">
        <is>
          <t>9000-8-18</t>
        </is>
      </c>
      <c r="G18" s="155" t="inlineStr">
        <is>
          <t>검수고 국부 냉난방 가설</t>
        </is>
      </c>
      <c r="H18" s="154" t="inlineStr">
        <is>
          <t>D-69</t>
        </is>
      </c>
      <c r="I18" s="154"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157">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158">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159">
        <f>HYPERLINK(LEFT(CELL("filename",A1),FIND("[",CELL("filename",A1))-1)&amp;"매뉴얼BODY(집행단계-첨부폴더)v8\10.기계분야\17_검수고 국부 냉난방 가설\체크리스트\17_검수고 국부 냉난방 가설_체크리스트.html", "👉 [클릭] 체크리스트 열기 📄")</f>
        <v/>
      </c>
      <c r="S18" s="154" t="inlineStr">
        <is>
          <t>기계·소방 복합 시방 준수</t>
        </is>
      </c>
      <c r="T18" s="156" t="inlineStr">
        <is>
          <t>● KDS 47 철도설계기준, KCS 41 건축기계시방 및 NFTC/NFPC 화재안전기술기준 100% 준수</t>
        </is>
      </c>
      <c r="U18" s="153" t="inlineStr">
        <is>
          <t>1) 👉 [더블클릭] 체크리스트 열기 📄</t>
        </is>
      </c>
      <c r="V18" s="156" t="inlineStr">
        <is>
          <t>기계설비·소방 전문 감리 및 시공 기술자문단 상시 운영</t>
        </is>
      </c>
    </row>
    <row r="19" ht="48" customHeight="1" s="147">
      <c r="A19" s="160" t="inlineStr">
        <is>
          <t>9000</t>
        </is>
      </c>
      <c r="B19" s="160" t="inlineStr">
        <is>
          <t>9000-8</t>
        </is>
      </c>
      <c r="C19" s="160" t="inlineStr">
        <is>
          <t>기계설비·소방설비</t>
        </is>
      </c>
      <c r="D19" s="160" t="inlineStr">
        <is>
          <t>9000-8-18</t>
        </is>
      </c>
      <c r="E19" s="161" t="inlineStr">
        <is>
          <t>9000-8-17</t>
        </is>
      </c>
      <c r="F19" s="161" t="inlineStr">
        <is>
          <t>9000-8-19</t>
        </is>
      </c>
      <c r="G19" s="162" t="inlineStr">
        <is>
          <t>냉온수_냉각수 배관 용접</t>
        </is>
      </c>
      <c r="H19" s="161" t="inlineStr">
        <is>
          <t>D-66</t>
        </is>
      </c>
      <c r="I19" s="161"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164">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165">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166">
        <f>HYPERLINK(LEFT(CELL("filename",A1),FIND("[",CELL("filename",A1))-1)&amp;"매뉴얼BODY(집행단계-첨부폴더)v8\10.기계분야\18_냉온수_냉각수 배관 용접\체크리스트\18_냉온수_냉각수 배관 용접_체크리스트.html", "👉 [클릭] 체크리스트 열기 📄")</f>
        <v/>
      </c>
      <c r="S19" s="161" t="inlineStr">
        <is>
          <t>기계·소방 복합 시방 준수</t>
        </is>
      </c>
      <c r="T19" s="163" t="inlineStr">
        <is>
          <t>● KDS 47 철도설계기준, KCS 41 건축기계시방 및 NFTC/NFPC 화재안전기술기준 100% 준수</t>
        </is>
      </c>
      <c r="U19" s="160" t="inlineStr">
        <is>
          <t>1) 👉 [더블클릭] 체크리스트 열기 📄</t>
        </is>
      </c>
      <c r="V19" s="163" t="inlineStr">
        <is>
          <t>기계설비·소방 전문 감리 및 시공 기술자문단 상시 운영</t>
        </is>
      </c>
    </row>
    <row r="20" ht="48" customHeight="1" s="147">
      <c r="A20" s="153" t="inlineStr">
        <is>
          <t>9000</t>
        </is>
      </c>
      <c r="B20" s="153" t="inlineStr">
        <is>
          <t>9000-8</t>
        </is>
      </c>
      <c r="C20" s="153" t="inlineStr">
        <is>
          <t>기계설비·소방설비</t>
        </is>
      </c>
      <c r="D20" s="153" t="inlineStr">
        <is>
          <t>9000-8-19</t>
        </is>
      </c>
      <c r="E20" s="154" t="inlineStr">
        <is>
          <t>9000-8-18</t>
        </is>
      </c>
      <c r="F20" s="154" t="inlineStr">
        <is>
          <t>9000-8-20</t>
        </is>
      </c>
      <c r="G20" s="155" t="inlineStr">
        <is>
          <t>능동지하차도 전용터널 제연</t>
        </is>
      </c>
      <c r="H20" s="154" t="inlineStr">
        <is>
          <t>D-63</t>
        </is>
      </c>
      <c r="I20" s="154"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157">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158">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159">
        <f>HYPERLINK(LEFT(CELL("filename",A1),FIND("[",CELL("filename",A1))-1)&amp;"매뉴얼BODY(집행단계-첨부폴더)v8\10.기계분야\19_능동지하차도 전용터널 제연\체크리스트\19_능동지하차도 전용터널 제연_체크리스트.html", "👉 [클릭] 체크리스트 열기 📄")</f>
        <v/>
      </c>
      <c r="S20" s="154" t="inlineStr">
        <is>
          <t>기계·소방 복합 시방 준수</t>
        </is>
      </c>
      <c r="T20" s="156" t="inlineStr">
        <is>
          <t>● KDS 47 철도설계기준, KCS 41 건축기계시방 및 NFTC/NFPC 화재안전기술기준 100% 준수</t>
        </is>
      </c>
      <c r="U20" s="153" t="inlineStr">
        <is>
          <t>1) 👉 [더블클릭] 체크리스트 열기 📄</t>
        </is>
      </c>
      <c r="V20" s="156" t="inlineStr">
        <is>
          <t>기계설비·소방 전문 감리 및 시공 기술자문단 상시 운영</t>
        </is>
      </c>
    </row>
    <row r="21" ht="48" customHeight="1" s="147">
      <c r="A21" s="160" t="inlineStr">
        <is>
          <t>9000</t>
        </is>
      </c>
      <c r="B21" s="160" t="inlineStr">
        <is>
          <t>9000-8</t>
        </is>
      </c>
      <c r="C21" s="160" t="inlineStr">
        <is>
          <t>기계설비·소방설비</t>
        </is>
      </c>
      <c r="D21" s="160" t="inlineStr">
        <is>
          <t>9000-8-20</t>
        </is>
      </c>
      <c r="E21" s="161" t="inlineStr">
        <is>
          <t>9000-8-19</t>
        </is>
      </c>
      <c r="F21" s="161" t="inlineStr">
        <is>
          <t>9000-8-21</t>
        </is>
      </c>
      <c r="G21" s="162" t="inlineStr">
        <is>
          <t>공기조화기(AHU_PAC) 거치</t>
        </is>
      </c>
      <c r="H21" s="161" t="inlineStr">
        <is>
          <t>D-60</t>
        </is>
      </c>
      <c r="I21" s="161"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164">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165">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166">
        <f>HYPERLINK(LEFT(CELL("filename",A1),FIND("[",CELL("filename",A1))-1)&amp;"매뉴얼BODY(집행단계-첨부폴더)v8\10.기계분야\20_공기조화기(AHU_PAC) 거치\체크리스트\20_공기조화기(AHU_PAC) 거치_체크리스트.html", "👉 [클릭] 체크리스트 열기 📄")</f>
        <v/>
      </c>
      <c r="S21" s="161" t="inlineStr">
        <is>
          <t>기계·소방 복합 시방 준수</t>
        </is>
      </c>
      <c r="T21" s="163" t="inlineStr">
        <is>
          <t>● KDS 47 철도설계기준, KCS 41 건축기계시방 및 NFTC/NFPC 화재안전기술기준 100% 준수</t>
        </is>
      </c>
      <c r="U21" s="160" t="inlineStr">
        <is>
          <t>1) 👉 [더블클릭] 체크리스트 열기 📄</t>
        </is>
      </c>
      <c r="V21" s="163" t="inlineStr">
        <is>
          <t>기계설비·소방 전문 감리 및 시공 기술자문단 상시 운영</t>
        </is>
      </c>
    </row>
    <row r="22" ht="48" customHeight="1" s="147">
      <c r="A22" s="153" t="inlineStr">
        <is>
          <t>9000</t>
        </is>
      </c>
      <c r="B22" s="153" t="inlineStr">
        <is>
          <t>9000-8</t>
        </is>
      </c>
      <c r="C22" s="153" t="inlineStr">
        <is>
          <t>기계설비·소방설비</t>
        </is>
      </c>
      <c r="D22" s="153" t="inlineStr">
        <is>
          <t>9000-8-21</t>
        </is>
      </c>
      <c r="E22" s="154" t="inlineStr">
        <is>
          <t>9000-8-20</t>
        </is>
      </c>
      <c r="F22" s="154" t="inlineStr">
        <is>
          <t>9000-8-22</t>
        </is>
      </c>
      <c r="G22" s="155" t="inlineStr">
        <is>
          <t>급수_급탕 STS 배관 시공</t>
        </is>
      </c>
      <c r="H22" s="154" t="inlineStr">
        <is>
          <t>D+5</t>
        </is>
      </c>
      <c r="I22" s="154"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157">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158">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159">
        <f>HYPERLINK(LEFT(CELL("filename",A1),FIND("[",CELL("filename",A1))-1)&amp;"매뉴얼BODY(집행단계-첨부폴더)v8\10.기계분야\21_급수_급탕 STS 배관 시공\체크리스트\21_급수_급탕 STS 배관 시공_체크리스트.html", "👉 [클릭] 체크리스트 열기 📄")</f>
        <v/>
      </c>
      <c r="S22" s="154" t="inlineStr">
        <is>
          <t>기계·소방 복합 시방 준수</t>
        </is>
      </c>
      <c r="T22" s="156" t="inlineStr">
        <is>
          <t>● KDS 47 철도설계기준, KCS 41 건축기계시방 및 NFTC/NFPC 화재안전기술기준 100% 준수</t>
        </is>
      </c>
      <c r="U22" s="153" t="inlineStr">
        <is>
          <t>1) 👉 [더블클릭] 체크리스트 열기 📄</t>
        </is>
      </c>
      <c r="V22" s="156" t="inlineStr">
        <is>
          <t>기계설비·소방 전문 감리 및 시공 기술자문단 상시 운영</t>
        </is>
      </c>
    </row>
    <row r="23" ht="48" customHeight="1" s="147">
      <c r="A23" s="160" t="inlineStr">
        <is>
          <t>9000</t>
        </is>
      </c>
      <c r="B23" s="160" t="inlineStr">
        <is>
          <t>9000-8</t>
        </is>
      </c>
      <c r="C23" s="160" t="inlineStr">
        <is>
          <t>기계설비·소방설비</t>
        </is>
      </c>
      <c r="D23" s="160" t="inlineStr">
        <is>
          <t>9000-8-22</t>
        </is>
      </c>
      <c r="E23" s="161" t="inlineStr">
        <is>
          <t>9000-8-21</t>
        </is>
      </c>
      <c r="F23" s="161" t="inlineStr">
        <is>
          <t>9000-8-23</t>
        </is>
      </c>
      <c r="G23" s="162" t="inlineStr">
        <is>
          <t>오배수관 및 집수조 배수펌프</t>
        </is>
      </c>
      <c r="H23" s="161" t="inlineStr">
        <is>
          <t>D+10</t>
        </is>
      </c>
      <c r="I23" s="161"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164">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165">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166">
        <f>HYPERLINK(LEFT(CELL("filename",A1),FIND("[",CELL("filename",A1))-1)&amp;"매뉴얼BODY(집행단계-첨부폴더)v8\10.기계분야\22_오배수관 및 집수조 배수펌프\체크리스트\22_오배수관 및 집수조 배수펌프_체크리스트.html", "👉 [클릭] 체크리스트 열기 📄")</f>
        <v/>
      </c>
      <c r="S23" s="161" t="inlineStr">
        <is>
          <t>기계·소방 복합 시방 준수</t>
        </is>
      </c>
      <c r="T23" s="163" t="inlineStr">
        <is>
          <t>● KDS 47 철도설계기준, KCS 41 건축기계시방 및 NFTC/NFPC 화재안전기술기준 100% 준수</t>
        </is>
      </c>
      <c r="U23" s="160" t="inlineStr">
        <is>
          <t>1) 👉 [더블클릭] 체크리스트 열기 📄</t>
        </is>
      </c>
      <c r="V23" s="163" t="inlineStr">
        <is>
          <t>기계설비·소방 전문 감리 및 시공 기술자문단 상시 운영</t>
        </is>
      </c>
    </row>
    <row r="24" ht="48" customHeight="1" s="147">
      <c r="A24" s="153" t="inlineStr">
        <is>
          <t>9000</t>
        </is>
      </c>
      <c r="B24" s="153" t="inlineStr">
        <is>
          <t>9000-8</t>
        </is>
      </c>
      <c r="C24" s="153" t="inlineStr">
        <is>
          <t>기계설비·소방설비</t>
        </is>
      </c>
      <c r="D24" s="153" t="inlineStr">
        <is>
          <t>9000-8-23</t>
        </is>
      </c>
      <c r="E24" s="154" t="inlineStr">
        <is>
          <t>9000-8-22</t>
        </is>
      </c>
      <c r="F24" s="154" t="inlineStr">
        <is>
          <t>9000-8-24</t>
        </is>
      </c>
      <c r="G24" s="155" t="inlineStr">
        <is>
          <t>차량기지 오폐수처리장(90㎡)</t>
        </is>
      </c>
      <c r="H24" s="154" t="inlineStr">
        <is>
          <t>D+15</t>
        </is>
      </c>
      <c r="I24" s="154"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157">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158">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159">
        <f>HYPERLINK(LEFT(CELL("filename",A1),FIND("[",CELL("filename",A1))-1)&amp;"매뉴얼BODY(집행단계-첨부폴더)v8\10.기계분야\23_차량기지 오폐수처리장(90㎡)\체크리스트\23_차량기지 오폐수처리장(90㎡)_체크리스트.html", "👉 [클릭] 체크리스트 열기 📄")</f>
        <v/>
      </c>
      <c r="S24" s="154" t="inlineStr">
        <is>
          <t>기계·소방 복합 시방 준수</t>
        </is>
      </c>
      <c r="T24" s="156" t="inlineStr">
        <is>
          <t>● KDS 47 철도설계기준, KCS 41 건축기계시방 및 NFTC/NFPC 화재안전기술기준 100% 준수</t>
        </is>
      </c>
      <c r="U24" s="153" t="inlineStr">
        <is>
          <t>1) 👉 [더블클릭] 체크리스트 열기 📄</t>
        </is>
      </c>
      <c r="V24" s="156" t="inlineStr">
        <is>
          <t>기계설비·소방 전문 감리 및 시공 기술자문단 상시 운영</t>
        </is>
      </c>
    </row>
    <row r="25" ht="48" customHeight="1" s="147">
      <c r="A25" s="160" t="inlineStr">
        <is>
          <t>9000</t>
        </is>
      </c>
      <c r="B25" s="160" t="inlineStr">
        <is>
          <t>9000-8</t>
        </is>
      </c>
      <c r="C25" s="160" t="inlineStr">
        <is>
          <t>기계설비·소방설비</t>
        </is>
      </c>
      <c r="D25" s="160" t="inlineStr">
        <is>
          <t>9000-8-24</t>
        </is>
      </c>
      <c r="E25" s="161" t="inlineStr">
        <is>
          <t>9000-8-23</t>
        </is>
      </c>
      <c r="F25" s="161" t="inlineStr">
        <is>
          <t>9000-8-25</t>
        </is>
      </c>
      <c r="G25" s="162" t="inlineStr">
        <is>
          <t>차체 자동세척설비(세차기)</t>
        </is>
      </c>
      <c r="H25" s="161" t="inlineStr">
        <is>
          <t>D+20</t>
        </is>
      </c>
      <c r="I25" s="161"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164">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165">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166">
        <f>HYPERLINK(LEFT(CELL("filename",A1),FIND("[",CELL("filename",A1))-1)&amp;"매뉴얼BODY(집행단계-첨부폴더)v8\10.기계분야\24_차체 자동세척설비(세차기)\체크리스트\24_차체 자동세척설비(세차기)_체크리스트.html", "👉 [클릭] 체크리스트 열기 📄")</f>
        <v/>
      </c>
      <c r="S25" s="161" t="inlineStr">
        <is>
          <t>기계·소방 복합 시방 준수</t>
        </is>
      </c>
      <c r="T25" s="163" t="inlineStr">
        <is>
          <t>● KDS 47 철도설계기준, KCS 41 건축기계시방 및 NFTC/NFPC 화재안전기술기준 100% 준수</t>
        </is>
      </c>
      <c r="U25" s="160" t="inlineStr">
        <is>
          <t>1) 👉 [더블클릭] 체크리스트 열기 📄</t>
        </is>
      </c>
      <c r="V25" s="163" t="inlineStr">
        <is>
          <t>기계설비·소방 전문 감리 및 시공 기술자문단 상시 운영</t>
        </is>
      </c>
    </row>
    <row r="26" ht="48" customHeight="1" s="147">
      <c r="A26" s="153" t="inlineStr">
        <is>
          <t>9000</t>
        </is>
      </c>
      <c r="B26" s="153" t="inlineStr">
        <is>
          <t>9000-8</t>
        </is>
      </c>
      <c r="C26" s="153" t="inlineStr">
        <is>
          <t>기계설비·소방설비</t>
        </is>
      </c>
      <c r="D26" s="153" t="inlineStr">
        <is>
          <t>9000-8-25</t>
        </is>
      </c>
      <c r="E26" s="154" t="inlineStr">
        <is>
          <t>9000-8-24</t>
        </is>
      </c>
      <c r="F26" s="154" t="inlineStr">
        <is>
          <t>9000-8-26</t>
        </is>
      </c>
      <c r="G26" s="155" t="inlineStr">
        <is>
          <t>정화조 음압 탈취설비 시공</t>
        </is>
      </c>
      <c r="H26" s="154" t="inlineStr">
        <is>
          <t>D+25</t>
        </is>
      </c>
      <c r="I26" s="154"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157">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158">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159">
        <f>HYPERLINK(LEFT(CELL("filename",A1),FIND("[",CELL("filename",A1))-1)&amp;"매뉴얼BODY(집행단계-첨부폴더)v8\10.기계분야\25_정화조 음압 탈취설비 시공\체크리스트\25_정화조 음압 탈취설비 시공_체크리스트.html", "👉 [클릭] 체크리스트 열기 📄")</f>
        <v/>
      </c>
      <c r="S26" s="154" t="inlineStr">
        <is>
          <t>기계·소방 복합 시방 준수</t>
        </is>
      </c>
      <c r="T26" s="156" t="inlineStr">
        <is>
          <t>● KDS 47 철도설계기준, KCS 41 건축기계시방 및 NFTC/NFPC 화재안전기술기준 100% 준수</t>
        </is>
      </c>
      <c r="U26" s="153" t="inlineStr">
        <is>
          <t>1) 👉 [더블클릭] 체크리스트 열기 📄</t>
        </is>
      </c>
      <c r="V26" s="156" t="inlineStr">
        <is>
          <t>기계설비·소방 전문 감리 및 시공 기술자문단 상시 운영</t>
        </is>
      </c>
    </row>
    <row r="27" ht="48" customHeight="1" s="147">
      <c r="A27" s="160" t="inlineStr">
        <is>
          <t>9000</t>
        </is>
      </c>
      <c r="B27" s="160" t="inlineStr">
        <is>
          <t>9000-8</t>
        </is>
      </c>
      <c r="C27" s="160" t="inlineStr">
        <is>
          <t>기계설비·소방설비</t>
        </is>
      </c>
      <c r="D27" s="160" t="inlineStr">
        <is>
          <t>9000-8-26</t>
        </is>
      </c>
      <c r="E27" s="161" t="inlineStr">
        <is>
          <t>9000-8-25</t>
        </is>
      </c>
      <c r="F27" s="161" t="inlineStr">
        <is>
          <t>9000-8-27</t>
        </is>
      </c>
      <c r="G27" s="162" t="inlineStr">
        <is>
          <t>호스릴 옥내소화전설비 시공</t>
        </is>
      </c>
      <c r="H27" s="161" t="inlineStr">
        <is>
          <t>D+30</t>
        </is>
      </c>
      <c r="I27" s="161"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164">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165">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166">
        <f>HYPERLINK(LEFT(CELL("filename",A1),FIND("[",CELL("filename",A1))-1)&amp;"매뉴얼BODY(집행단계-첨부폴더)v8\10.기계분야\26_호스릴 옥내소화전설비 시공\체크리스트\26_호스릴 옥내소화전설비 시공_체크리스트.html", "👉 [클릭] 체크리스트 열기 📄")</f>
        <v/>
      </c>
      <c r="S27" s="161" t="inlineStr">
        <is>
          <t>기계·소방 복합 시방 준수</t>
        </is>
      </c>
      <c r="T27" s="163" t="inlineStr">
        <is>
          <t>● KDS 47 철도설계기준, KCS 41 건축기계시방 및 NFTC/NFPC 화재안전기술기준 100% 준수</t>
        </is>
      </c>
      <c r="U27" s="160" t="inlineStr">
        <is>
          <t>1) 👉 [더블클릭] 체크리스트 열기 📄</t>
        </is>
      </c>
      <c r="V27" s="163" t="inlineStr">
        <is>
          <t>기계설비·소방 전문 감리 및 시공 기술자문단 상시 운영</t>
        </is>
      </c>
    </row>
    <row r="28" ht="48" customHeight="1" s="147">
      <c r="A28" s="153" t="inlineStr">
        <is>
          <t>9000</t>
        </is>
      </c>
      <c r="B28" s="153" t="inlineStr">
        <is>
          <t>9000-8</t>
        </is>
      </c>
      <c r="C28" s="153" t="inlineStr">
        <is>
          <t>기계설비·소방설비</t>
        </is>
      </c>
      <c r="D28" s="153" t="inlineStr">
        <is>
          <t>9000-8-27</t>
        </is>
      </c>
      <c r="E28" s="154" t="inlineStr">
        <is>
          <t>9000-8-26</t>
        </is>
      </c>
      <c r="F28" s="154" t="inlineStr">
        <is>
          <t>9000-8-28</t>
        </is>
      </c>
      <c r="G28" s="155" t="inlineStr">
        <is>
          <t>연결송수관-스프링클러 주배관 분리</t>
        </is>
      </c>
      <c r="H28" s="154" t="inlineStr">
        <is>
          <t>D+35</t>
        </is>
      </c>
      <c r="I28" s="154"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157">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158">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159">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154" t="inlineStr">
        <is>
          <t>기계·소방 복합 시방 준수</t>
        </is>
      </c>
      <c r="T28" s="156" t="inlineStr">
        <is>
          <t>● KDS 47 철도설계기준, KCS 41 건축기계시방 및 NFTC/NFPC 화재안전기술기준 100% 준수</t>
        </is>
      </c>
      <c r="U28" s="153" t="inlineStr">
        <is>
          <t>1) 👉 [더블클릭] 체크리스트 열기 📄</t>
        </is>
      </c>
      <c r="V28" s="156" t="inlineStr">
        <is>
          <t>기계설비·소방 전문 감리 및 시공 기술자문단 상시 운영</t>
        </is>
      </c>
    </row>
    <row r="29" ht="48" customHeight="1" s="147">
      <c r="A29" s="160" t="inlineStr">
        <is>
          <t>9000</t>
        </is>
      </c>
      <c r="B29" s="160" t="inlineStr">
        <is>
          <t>9000-8</t>
        </is>
      </c>
      <c r="C29" s="160" t="inlineStr">
        <is>
          <t>기계설비·소방설비</t>
        </is>
      </c>
      <c r="D29" s="160" t="inlineStr">
        <is>
          <t>9000-8-28</t>
        </is>
      </c>
      <c r="E29" s="161" t="inlineStr">
        <is>
          <t>9000-8-27</t>
        </is>
      </c>
      <c r="F29" s="161" t="inlineStr">
        <is>
          <t>9000-8-29</t>
        </is>
      </c>
      <c r="G29" s="162" t="inlineStr">
        <is>
          <t>큐비클 가스계_에어로졸 소화</t>
        </is>
      </c>
      <c r="H29" s="161" t="inlineStr">
        <is>
          <t>D+40</t>
        </is>
      </c>
      <c r="I29" s="161"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164">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165">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166">
        <f>HYPERLINK(LEFT(CELL("filename",A1),FIND("[",CELL("filename",A1))-1)&amp;"매뉴얼BODY(집행단계-첨부폴더)v8\10.기계분야\28_큐비클 가스계_에어로졸 소화\체크리스트\28_큐비클 가스계_에어로졸 소화_체크리스트.html", "👉 [클릭] 체크리스트 열기 📄")</f>
        <v/>
      </c>
      <c r="S29" s="161" t="inlineStr">
        <is>
          <t>기계·소방 복합 시방 준수</t>
        </is>
      </c>
      <c r="T29" s="163" t="inlineStr">
        <is>
          <t>● KDS 47 철도설계기준, KCS 41 건축기계시방 및 NFTC/NFPC 화재안전기술기준 100% 준수</t>
        </is>
      </c>
      <c r="U29" s="160" t="inlineStr">
        <is>
          <t>1) 👉 [더블클릭] 체크리스트 열기 📄</t>
        </is>
      </c>
      <c r="V29" s="163" t="inlineStr">
        <is>
          <t>기계설비·소방 전문 감리 및 시공 기술자문단 상시 운영</t>
        </is>
      </c>
    </row>
    <row r="30" ht="48" customHeight="1" s="147">
      <c r="A30" s="153" t="inlineStr">
        <is>
          <t>9000</t>
        </is>
      </c>
      <c r="B30" s="153" t="inlineStr">
        <is>
          <t>9000-8</t>
        </is>
      </c>
      <c r="C30" s="153" t="inlineStr">
        <is>
          <t>기계설비·소방설비</t>
        </is>
      </c>
      <c r="D30" s="153" t="inlineStr">
        <is>
          <t>9000-8-29</t>
        </is>
      </c>
      <c r="E30" s="154" t="inlineStr">
        <is>
          <t>9000-8-28</t>
        </is>
      </c>
      <c r="F30" s="154" t="inlineStr">
        <is>
          <t>9000-8-30</t>
        </is>
      </c>
      <c r="G30" s="155" t="inlineStr">
        <is>
          <t>가스소화구역 과압배출구(P.R.D)</t>
        </is>
      </c>
      <c r="H30" s="154" t="inlineStr">
        <is>
          <t>D+45</t>
        </is>
      </c>
      <c r="I30" s="154"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157">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158">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159">
        <f>HYPERLINK(LEFT(CELL("filename",A1),FIND("[",CELL("filename",A1))-1)&amp;"매뉴얼BODY(집행단계-첨부폴더)v8\10.기계분야\29_가스소화구역 과압배출구(P.R.D)\체크리스트\29_가스소화구역 과압배출구(P.R.D)_체크리스트.html", "👉 [클릭] 체크리스트 열기 📄")</f>
        <v/>
      </c>
      <c r="S30" s="154" t="inlineStr">
        <is>
          <t>기계·소방 복합 시방 준수</t>
        </is>
      </c>
      <c r="T30" s="156" t="inlineStr">
        <is>
          <t>● KDS 47 철도설계기준, KCS 41 건축기계시방 및 NFTC/NFPC 화재안전기술기준 100% 준수</t>
        </is>
      </c>
      <c r="U30" s="153" t="inlineStr">
        <is>
          <t>1) 👉 [더블클릭] 체크리스트 열기 📄</t>
        </is>
      </c>
      <c r="V30" s="156" t="inlineStr">
        <is>
          <t>기계설비·소방 전문 감리 및 시공 기술자문단 상시 운영</t>
        </is>
      </c>
    </row>
    <row r="31" ht="48" customHeight="1" s="147">
      <c r="A31" s="160" t="inlineStr">
        <is>
          <t>9000</t>
        </is>
      </c>
      <c r="B31" s="160" t="inlineStr">
        <is>
          <t>9000-8</t>
        </is>
      </c>
      <c r="C31" s="160" t="inlineStr">
        <is>
          <t>기계설비·소방설비</t>
        </is>
      </c>
      <c r="D31" s="160" t="inlineStr">
        <is>
          <t>9000-8-30</t>
        </is>
      </c>
      <c r="E31" s="161" t="inlineStr">
        <is>
          <t>9000-8-29</t>
        </is>
      </c>
      <c r="F31" s="161" t="inlineStr">
        <is>
          <t>9000-8-31</t>
        </is>
      </c>
      <c r="G31" s="162" t="inlineStr">
        <is>
          <t>소방펌프실 가설 및 성능시험</t>
        </is>
      </c>
      <c r="H31" s="161" t="inlineStr">
        <is>
          <t>D+50</t>
        </is>
      </c>
      <c r="I31" s="161"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164">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165">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166">
        <f>HYPERLINK(LEFT(CELL("filename",A1),FIND("[",CELL("filename",A1))-1)&amp;"매뉴얼BODY(집행단계-첨부폴더)v8\10.기계분야\30_소방펌프실 가설 및 성능시험\체크리스트\30_소방펌프실 가설 및 성능시험_체크리스트.html", "👉 [클릭] 체크리스트 열기 📄")</f>
        <v/>
      </c>
      <c r="S31" s="161" t="inlineStr">
        <is>
          <t>기계·소방 복합 시방 준수</t>
        </is>
      </c>
      <c r="T31" s="163" t="inlineStr">
        <is>
          <t>● KDS 47 철도설계기준, KCS 41 건축기계시방 및 NFTC/NFPC 화재안전기술기준 100% 준수</t>
        </is>
      </c>
      <c r="U31" s="160" t="inlineStr">
        <is>
          <t>1) 👉 [더블클릭] 체크리스트 열기 📄</t>
        </is>
      </c>
      <c r="V31" s="163" t="inlineStr">
        <is>
          <t>기계설비·소방 전문 감리 및 시공 기술자문단 상시 운영</t>
        </is>
      </c>
    </row>
    <row r="32" ht="48" customHeight="1" s="147">
      <c r="A32" s="153" t="inlineStr">
        <is>
          <t>9000</t>
        </is>
      </c>
      <c r="B32" s="153" t="inlineStr">
        <is>
          <t>9000-8</t>
        </is>
      </c>
      <c r="C32" s="153" t="inlineStr">
        <is>
          <t>기계설비·소방설비</t>
        </is>
      </c>
      <c r="D32" s="153" t="inlineStr">
        <is>
          <t>9000-8-31</t>
        </is>
      </c>
      <c r="E32" s="154" t="inlineStr">
        <is>
          <t>9000-8-30</t>
        </is>
      </c>
      <c r="F32" s="154" t="inlineStr">
        <is>
          <t>9000-8-32</t>
        </is>
      </c>
      <c r="G32" s="155" t="inlineStr">
        <is>
          <t>정거장 인승용 승강기(17_24인승)</t>
        </is>
      </c>
      <c r="H32" s="154" t="inlineStr">
        <is>
          <t>D+55</t>
        </is>
      </c>
      <c r="I32" s="154"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157">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158">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159">
        <f>HYPERLINK(LEFT(CELL("filename",A1),FIND("[",CELL("filename",A1))-1)&amp;"매뉴얼BODY(집행단계-첨부폴더)v8\10.기계분야\31_정거장 인승용 승강기(17_24인승)\체크리스트\31_정거장 인승용 승강기(17_24인승)_체크리스트.html", "👉 [클릭] 체크리스트 열기 📄")</f>
        <v/>
      </c>
      <c r="S32" s="154" t="inlineStr">
        <is>
          <t>기계·소방 복합 시방 준수</t>
        </is>
      </c>
      <c r="T32" s="156" t="inlineStr">
        <is>
          <t>● KDS 47 철도설계기준, KCS 41 건축기계시방 및 NFTC/NFPC 화재안전기술기준 100% 준수</t>
        </is>
      </c>
      <c r="U32" s="153" t="inlineStr">
        <is>
          <t>1) 👉 [더블클릭] 체크리스트 열기 📄</t>
        </is>
      </c>
      <c r="V32" s="156" t="inlineStr">
        <is>
          <t>기계설비·소방 전문 감리 및 시공 기술자문단 상시 운영</t>
        </is>
      </c>
    </row>
    <row r="33" ht="48" customHeight="1" s="147">
      <c r="A33" s="160" t="inlineStr">
        <is>
          <t>9000</t>
        </is>
      </c>
      <c r="B33" s="160" t="inlineStr">
        <is>
          <t>9000-8</t>
        </is>
      </c>
      <c r="C33" s="160" t="inlineStr">
        <is>
          <t>기계설비·소방설비</t>
        </is>
      </c>
      <c r="D33" s="160" t="inlineStr">
        <is>
          <t>9000-8-32</t>
        </is>
      </c>
      <c r="E33" s="161" t="inlineStr">
        <is>
          <t>9000-8-31</t>
        </is>
      </c>
      <c r="F33" s="161" t="inlineStr">
        <is>
          <t>9000-8-33</t>
        </is>
      </c>
      <c r="G33" s="162" t="inlineStr">
        <is>
          <t>검수고 관통형 화물용 EV</t>
        </is>
      </c>
      <c r="H33" s="161" t="inlineStr">
        <is>
          <t>D+60</t>
        </is>
      </c>
      <c r="I33" s="161"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164">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165">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166">
        <f>HYPERLINK(LEFT(CELL("filename",A1),FIND("[",CELL("filename",A1))-1)&amp;"매뉴얼BODY(집행단계-첨부폴더)v8\10.기계분야\32_검수고 관통형 화물용 EV\체크리스트\32_검수고 관통형 화물용 EV_체크리스트.html", "👉 [클릭] 체크리스트 열기 📄")</f>
        <v/>
      </c>
      <c r="S33" s="161" t="inlineStr">
        <is>
          <t>기계·소방 복합 시방 준수</t>
        </is>
      </c>
      <c r="T33" s="163" t="inlineStr">
        <is>
          <t>● KDS 47 철도설계기준, KCS 41 건축기계시방 및 NFTC/NFPC 화재안전기술기준 100% 준수</t>
        </is>
      </c>
      <c r="U33" s="160" t="inlineStr">
        <is>
          <t>1) 👉 [더블클릭] 체크리스트 열기 📄</t>
        </is>
      </c>
      <c r="V33" s="163" t="inlineStr">
        <is>
          <t>기계설비·소방 전문 감리 및 시공 기술자문단 상시 운영</t>
        </is>
      </c>
    </row>
    <row r="34" ht="48" customHeight="1" s="147">
      <c r="A34" s="153" t="inlineStr">
        <is>
          <t>9000</t>
        </is>
      </c>
      <c r="B34" s="153" t="inlineStr">
        <is>
          <t>9000-8</t>
        </is>
      </c>
      <c r="C34" s="153" t="inlineStr">
        <is>
          <t>기계설비·소방설비</t>
        </is>
      </c>
      <c r="D34" s="153" t="inlineStr">
        <is>
          <t>9000-8-33</t>
        </is>
      </c>
      <c r="E34" s="154" t="inlineStr">
        <is>
          <t>9000-8-32</t>
        </is>
      </c>
      <c r="F34" s="154" t="inlineStr">
        <is>
          <t>9000-8-34</t>
        </is>
      </c>
      <c r="G34" s="155" t="inlineStr">
        <is>
          <t>DDC_IP DDC 자동제어 백업 이중화</t>
        </is>
      </c>
      <c r="H34" s="154" t="inlineStr">
        <is>
          <t>D+65</t>
        </is>
      </c>
      <c r="I34" s="154"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157">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158">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159">
        <f>HYPERLINK(LEFT(CELL("filename",A1),FIND("[",CELL("filename",A1))-1)&amp;"매뉴얼BODY(집행단계-첨부폴더)v8\10.기계분야\33_DDC_IP DDC 자동제어 백업 이중화\체크리스트\33_DDC_IP DDC 자동제어 백업 이중화_체크리스트.html", "👉 [클릭] 체크리스트 열기 📄")</f>
        <v/>
      </c>
      <c r="S34" s="154" t="inlineStr">
        <is>
          <t>기계·소방 복합 시방 준수</t>
        </is>
      </c>
      <c r="T34" s="156" t="inlineStr">
        <is>
          <t>● KDS 47 철도설계기준, KCS 41 건축기계시방 및 NFTC/NFPC 화재안전기술기준 100% 준수</t>
        </is>
      </c>
      <c r="U34" s="153" t="inlineStr">
        <is>
          <t>1) 👉 [더블클릭] 체크리스트 열기 📄</t>
        </is>
      </c>
      <c r="V34" s="156" t="inlineStr">
        <is>
          <t>기계설비·소방 전문 감리 및 시공 기술자문단 상시 운영</t>
        </is>
      </c>
    </row>
    <row r="35" ht="48" customHeight="1" s="147">
      <c r="A35" s="160" t="inlineStr">
        <is>
          <t>9000</t>
        </is>
      </c>
      <c r="B35" s="160" t="inlineStr">
        <is>
          <t>9000-8</t>
        </is>
      </c>
      <c r="C35" s="160" t="inlineStr">
        <is>
          <t>기계설비·소방설비</t>
        </is>
      </c>
      <c r="D35" s="160" t="inlineStr">
        <is>
          <t>9000-8-34</t>
        </is>
      </c>
      <c r="E35" s="161" t="inlineStr">
        <is>
          <t>9000-8-33</t>
        </is>
      </c>
      <c r="F35" s="161" t="inlineStr">
        <is>
          <t>9000-8-35</t>
        </is>
      </c>
      <c r="G35" s="162" t="inlineStr">
        <is>
          <t>화재연동 인터록 실부하 시험</t>
        </is>
      </c>
      <c r="H35" s="161" t="inlineStr">
        <is>
          <t>D+70</t>
        </is>
      </c>
      <c r="I35" s="161"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164">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165">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166">
        <f>HYPERLINK(LEFT(CELL("filename",A1),FIND("[",CELL("filename",A1))-1)&amp;"매뉴얼BODY(집행단계-첨부폴더)v8\10.기계분야\34_화재연동 인터록 실부하 시험\체크리스트\34_화재연동 인터록 실부하 시험_체크리스트.html", "👉 [클릭] 체크리스트 열기 📄")</f>
        <v/>
      </c>
      <c r="S35" s="161" t="inlineStr">
        <is>
          <t>기계·소방 복합 시방 준수</t>
        </is>
      </c>
      <c r="T35" s="163" t="inlineStr">
        <is>
          <t>● KDS 47 철도설계기준, KCS 41 건축기계시방 및 NFTC/NFPC 화재안전기술기준 100% 준수</t>
        </is>
      </c>
      <c r="U35" s="160" t="inlineStr">
        <is>
          <t>1) 👉 [더블클릭] 체크리스트 열기 📄</t>
        </is>
      </c>
      <c r="V35" s="163" t="inlineStr">
        <is>
          <t>기계설비·소방 전문 감리 및 시공 기술자문단 상시 운영</t>
        </is>
      </c>
    </row>
    <row r="36" ht="48" customHeight="1" s="147">
      <c r="A36" s="153" t="inlineStr">
        <is>
          <t>9000</t>
        </is>
      </c>
      <c r="B36" s="153" t="inlineStr">
        <is>
          <t>9000-8</t>
        </is>
      </c>
      <c r="C36" s="153" t="inlineStr">
        <is>
          <t>기계설비·소방설비</t>
        </is>
      </c>
      <c r="D36" s="153" t="inlineStr">
        <is>
          <t>9000-8-35</t>
        </is>
      </c>
      <c r="E36" s="154" t="inlineStr">
        <is>
          <t>9000-8-34</t>
        </is>
      </c>
      <c r="F36" s="154" t="inlineStr">
        <is>
          <t>9000-8-36</t>
        </is>
      </c>
      <c r="G36" s="155" t="inlineStr">
        <is>
          <t>TAB(풍량_수량 밸런싱) 측정</t>
        </is>
      </c>
      <c r="H36" s="154" t="inlineStr">
        <is>
          <t>D+75</t>
        </is>
      </c>
      <c r="I36" s="154"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157">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158">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159">
        <f>HYPERLINK(LEFT(CELL("filename",A1),FIND("[",CELL("filename",A1))-1)&amp;"매뉴얼BODY(집행단계-첨부폴더)v8\10.기계분야\35_TAB(풍량_수량 밸런싱) 측정\체크리스트\35_TAB(풍량_수량 밸런싱) 측정_체크리스트.html", "👉 [클릭] 체크리스트 열기 📄")</f>
        <v/>
      </c>
      <c r="S36" s="154" t="inlineStr">
        <is>
          <t>기계·소방 복합 시방 준수</t>
        </is>
      </c>
      <c r="T36" s="156" t="inlineStr">
        <is>
          <t>● KDS 47 철도설계기준, KCS 41 건축기계시방 및 NFTC/NFPC 화재안전기술기준 100% 준수</t>
        </is>
      </c>
      <c r="U36" s="153" t="inlineStr">
        <is>
          <t>1) 👉 [더블클릭] 체크리스트 열기 📄</t>
        </is>
      </c>
      <c r="V36" s="156" t="inlineStr">
        <is>
          <t>기계설비·소방 전문 감리 및 시공 기술자문단 상시 운영</t>
        </is>
      </c>
    </row>
    <row r="37" ht="48" customHeight="1" s="147">
      <c r="A37" s="160" t="inlineStr">
        <is>
          <t>9000</t>
        </is>
      </c>
      <c r="B37" s="160" t="inlineStr">
        <is>
          <t>9000-8</t>
        </is>
      </c>
      <c r="C37" s="160" t="inlineStr">
        <is>
          <t>기계설비·소방설비</t>
        </is>
      </c>
      <c r="D37" s="160" t="inlineStr">
        <is>
          <t>9000-8-36</t>
        </is>
      </c>
      <c r="E37" s="161" t="inlineStr">
        <is>
          <t>9000-8-35</t>
        </is>
      </c>
      <c r="F37" s="161" t="inlineStr">
        <is>
          <t>-</t>
        </is>
      </c>
      <c r="G37" s="162" t="inlineStr">
        <is>
          <t>소방 완공검사 및 종합인계</t>
        </is>
      </c>
      <c r="H37" s="161" t="inlineStr">
        <is>
          <t>D+80</t>
        </is>
      </c>
      <c r="I37" s="161"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164">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165">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166">
        <f>HYPERLINK(LEFT(CELL("filename",A1),FIND("[",CELL("filename",A1))-1)&amp;"매뉴얼BODY(집행단계-첨부폴더)v8\10.기계분야\36_소방 완공검사 및 종합인계\체크리스트\36_소방 완공검사 및 종합인계_체크리스트.html", "👉 [클릭] 체크리스트 열기 📄")</f>
        <v/>
      </c>
      <c r="S37" s="161" t="inlineStr">
        <is>
          <t>기계·소방 복합 시방 준수</t>
        </is>
      </c>
      <c r="T37" s="163" t="inlineStr">
        <is>
          <t>● KDS 47 철도설계기준, KCS 41 건축기계시방 및 NFTC/NFPC 화재안전기술기준 100% 준수</t>
        </is>
      </c>
      <c r="U37" s="160" t="inlineStr">
        <is>
          <t>1) 👉 [더블클릭] 체크리스트 열기 📄</t>
        </is>
      </c>
      <c r="V37" s="163" t="inlineStr">
        <is>
          <t>기계설비·소방 전문 감리 및 시공 기술자문단 상시 운영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2026-08-14T14:07:48Z</dcterms:modified>
  <cp:lastModifiedBy>재형 김</cp:lastModifiedBy>
  <cp:lastPrinted>2026-07-25T07:01:45Z</cp:lastPrinted>
</cp:coreProperties>
</file>