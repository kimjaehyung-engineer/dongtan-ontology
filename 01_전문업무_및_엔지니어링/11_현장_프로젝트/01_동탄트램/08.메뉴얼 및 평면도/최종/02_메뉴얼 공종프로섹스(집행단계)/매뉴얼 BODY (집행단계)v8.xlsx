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종합통계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 xmlns:r="http://schemas.openxmlformats.org/officeDocument/2006/relationships" name="철도종합시운전" sheetId="15" state="visible" r:id="rId15"/>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5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
      <name val="맑은 고딕"/>
      <b val="1"/>
      <color rgb="00FFFFFF"/>
      <sz val="15"/>
    </font>
    <font>
      <name val="맑은 고딕"/>
      <color rgb="0094A3B8"/>
      <sz val="9"/>
    </font>
    <font>
      <name val="맑은 고딕"/>
      <b val="1"/>
      <color rgb="00475569"/>
      <sz val="9"/>
    </font>
    <font>
      <name val="맑은 고딕"/>
      <b val="1"/>
      <color rgb="001E40AF"/>
      <sz val="16"/>
    </font>
    <font>
      <name val="맑은 고딕"/>
      <color rgb="0064748B"/>
      <sz val="8"/>
    </font>
    <font>
      <name val="맑은 고딕"/>
      <b val="1"/>
      <color rgb="000F172A"/>
      <sz val="16"/>
    </font>
    <font>
      <name val="맑은 고딕"/>
      <b val="1"/>
      <color rgb="00047857"/>
      <sz val="16"/>
    </font>
    <font>
      <name val="맑은 고딕"/>
      <b val="1"/>
      <color rgb="000284C7"/>
      <sz val="16"/>
    </font>
    <font>
      <name val="맑은 고딕"/>
      <b val="1"/>
      <color rgb="00D97706"/>
      <sz val="16"/>
    </font>
    <font>
      <name val="맑은 고딕"/>
      <b val="1"/>
      <color rgb="000F172A"/>
      <sz val="11"/>
    </font>
    <font>
      <name val="맑은 고딕"/>
      <b val="1"/>
      <color rgb="00FFFFFF"/>
      <sz val="9.5"/>
    </font>
    <font>
      <name val="맑은 고딕"/>
      <color rgb="001E293B"/>
      <sz val="9"/>
    </font>
    <font>
      <name val="맑은 고딕"/>
      <b val="1"/>
      <color rgb="000F172A"/>
      <sz val="9.5"/>
    </font>
  </fonts>
  <fills count="29">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
      <patternFill patternType="solid">
        <fgColor rgb="000F172A"/>
        <bgColor rgb="000F172A"/>
      </patternFill>
    </fill>
    <fill>
      <patternFill patternType="solid">
        <fgColor rgb="00EFF6FF"/>
        <bgColor rgb="00EFF6FF"/>
      </patternFill>
    </fill>
    <fill>
      <patternFill patternType="solid">
        <fgColor rgb="00F1F5F9"/>
        <bgColor rgb="00F1F5F9"/>
      </patternFill>
    </fill>
    <fill>
      <patternFill patternType="solid">
        <fgColor rgb="00ECFDF5"/>
        <bgColor rgb="00ECFDF5"/>
      </patternFill>
    </fill>
    <fill>
      <patternFill patternType="solid">
        <fgColor rgb="00F0F9FF"/>
        <bgColor rgb="00F0F9FF"/>
      </patternFill>
    </fill>
    <fill>
      <patternFill patternType="solid">
        <fgColor rgb="00FFFBEB"/>
        <bgColor rgb="00FFFBEB"/>
      </patternFill>
    </fill>
    <fill>
      <patternFill patternType="solid">
        <fgColor rgb="00E2E8F0"/>
        <bgColor rgb="00E2E8F0"/>
      </patternFill>
    </fill>
  </fills>
  <borders count="3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
    <border>
      <left style="medium">
        <color rgb="003B82F6"/>
      </left>
      <right style="thin">
        <color rgb="00CBD5E1"/>
      </right>
      <top style="thin">
        <color rgb="00CBD5E1"/>
      </top>
      <bottom style="thin">
        <color rgb="00CBD5E1"/>
      </bottom>
    </border>
    <border>
      <left style="medium">
        <color rgb="00475569"/>
      </left>
      <right style="thin">
        <color rgb="00CBD5E1"/>
      </right>
      <top style="thin">
        <color rgb="00CBD5E1"/>
      </top>
      <bottom style="thin">
        <color rgb="00CBD5E1"/>
      </bottom>
    </border>
    <border>
      <left style="medium">
        <color rgb="0010B981"/>
      </left>
      <right style="thin">
        <color rgb="00CBD5E1"/>
      </right>
      <top style="thin">
        <color rgb="00CBD5E1"/>
      </top>
      <bottom style="thin">
        <color rgb="00CBD5E1"/>
      </bottom>
    </border>
    <border>
      <left style="medium">
        <color rgb="000EA5E9"/>
      </left>
      <right style="thin">
        <color rgb="00CBD5E1"/>
      </right>
      <top style="thin">
        <color rgb="00CBD5E1"/>
      </top>
      <bottom style="thin">
        <color rgb="00CBD5E1"/>
      </bottom>
    </border>
    <border>
      <left style="medium">
        <color rgb="00F59E0B"/>
      </left>
      <right style="thin">
        <color rgb="00CBD5E1"/>
      </right>
      <top style="thin">
        <color rgb="00CBD5E1"/>
      </top>
      <bottom style="thin">
        <color rgb="00CBD5E1"/>
      </bottom>
    </border>
    <border>
      <left style="thin">
        <color rgb="0094A3B8"/>
      </left>
      <right style="thin">
        <color rgb="0094A3B8"/>
      </right>
      <top style="medium">
        <color rgb="000F172A"/>
      </top>
      <bottom style="double">
        <color rgb="000F172A"/>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s>
  <cellStyleXfs count="2">
    <xf numFmtId="0" fontId="0" fillId="0" borderId="0"/>
    <xf numFmtId="0" fontId="31" fillId="0" borderId="0"/>
  </cellStyleXfs>
  <cellXfs count="264">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6" fillId="0" borderId="13" applyAlignment="1" pivotButton="0" quotePrefix="0" xfId="0">
      <alignment horizontal="center" vertical="center"/>
    </xf>
    <xf numFmtId="0" fontId="37" fillId="0" borderId="13" applyAlignment="1" pivotButton="0" quotePrefix="0" xfId="0">
      <alignment horizontal="center" vertical="center"/>
    </xf>
    <xf numFmtId="0" fontId="36" fillId="12" borderId="13" applyAlignment="1" pivotButton="0" quotePrefix="0" xfId="0">
      <alignment horizontal="center" vertical="center"/>
    </xf>
    <xf numFmtId="0" fontId="37" fillId="12" borderId="13" applyAlignment="1" pivotButton="0" quotePrefix="0" xfId="0">
      <alignment horizontal="center" vertical="center"/>
    </xf>
    <xf numFmtId="0" fontId="36" fillId="17" borderId="13" applyAlignment="1" pivotButton="0" quotePrefix="0" xfId="0">
      <alignment horizontal="center" vertical="center"/>
    </xf>
    <xf numFmtId="0" fontId="37" fillId="17" borderId="13" applyAlignment="1" pivotButton="0" quotePrefix="0" xfId="0">
      <alignment horizontal="center" vertical="center"/>
    </xf>
    <xf numFmtId="0" fontId="36" fillId="0" borderId="17" applyAlignment="1" pivotButton="0" quotePrefix="0" xfId="0">
      <alignment horizontal="center" vertical="center"/>
    </xf>
    <xf numFmtId="0" fontId="37" fillId="0" borderId="17" applyAlignment="1" pivotButton="0" quotePrefix="0" xfId="0">
      <alignment horizontal="center" vertical="center"/>
    </xf>
    <xf numFmtId="0" fontId="36" fillId="0" borderId="7" applyAlignment="1" pivotButton="0" quotePrefix="0" xfId="0">
      <alignment horizontal="center" vertical="center"/>
    </xf>
    <xf numFmtId="0" fontId="37" fillId="0" borderId="7" applyAlignment="1" pivotButton="0" quotePrefix="0" xfId="0">
      <alignment horizontal="center" vertical="center"/>
    </xf>
    <xf numFmtId="0" fontId="37" fillId="6" borderId="7" applyAlignment="1" pivotButton="0" quotePrefix="0" xfId="0">
      <alignment horizontal="center"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7" fillId="6" borderId="0" applyAlignment="1" pivotButton="0" quotePrefix="0" xfId="0">
      <alignment horizontal="center" vertical="center"/>
    </xf>
    <xf numFmtId="0" fontId="36" fillId="0" borderId="8" applyAlignment="1" pivotButton="0" quotePrefix="0" xfId="0">
      <alignment horizontal="center" vertical="center"/>
    </xf>
    <xf numFmtId="0" fontId="37" fillId="0" borderId="8" applyAlignment="1" pivotButton="0" quotePrefix="0" xfId="0">
      <alignment horizontal="center" vertical="center"/>
    </xf>
    <xf numFmtId="0" fontId="36" fillId="6" borderId="7" applyAlignment="1" pivotButton="0" quotePrefix="0" xfId="0">
      <alignment horizontal="center" vertical="center"/>
    </xf>
    <xf numFmtId="0" fontId="36" fillId="0" borderId="2" applyAlignment="1" pivotButton="0" quotePrefix="0" xfId="0">
      <alignment horizontal="center" vertical="center"/>
    </xf>
    <xf numFmtId="0" fontId="37" fillId="0" borderId="2" applyAlignment="1" pivotButton="0" quotePrefix="0" xfId="0">
      <alignment horizontal="center" vertical="center"/>
    </xf>
    <xf numFmtId="0" fontId="35" fillId="20" borderId="26" applyAlignment="1" pivotButton="0" quotePrefix="0" xfId="0">
      <alignment horizontal="center" vertical="center"/>
    </xf>
    <xf numFmtId="0" fontId="0" fillId="0" borderId="27" pivotButton="0" quotePrefix="0" xfId="0"/>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2" fillId="0" borderId="27" applyAlignment="1" pivotButton="0" quotePrefix="0" xfId="0">
      <alignment horizontal="center" vertical="center" wrapText="1"/>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9" fillId="0" borderId="27" applyAlignment="1" pivotButton="0" quotePrefix="0" xfId="0">
      <alignment horizontal="center" vertical="center" wrapText="1"/>
    </xf>
    <xf numFmtId="0" fontId="37" fillId="0" borderId="26" applyAlignment="1" pivotButton="0" quotePrefix="0" xfId="1">
      <alignment horizontal="left" vertical="center" wrapText="1"/>
    </xf>
    <xf numFmtId="0" fontId="38" fillId="0" borderId="26" applyAlignment="1" pivotButton="0" quotePrefix="0" xfId="1">
      <alignment horizontal="center" vertical="center"/>
    </xf>
    <xf numFmtId="0" fontId="39" fillId="0" borderId="26" applyAlignment="1" pivotButton="0" quotePrefix="0" xfId="1">
      <alignment horizontal="center" vertical="center"/>
    </xf>
    <xf numFmtId="0" fontId="7" fillId="0" borderId="27" applyAlignment="1" pivotButton="0" quotePrefix="0" xfId="0">
      <alignment horizontal="left" vertical="top" wrapText="1"/>
    </xf>
    <xf numFmtId="0" fontId="37" fillId="21" borderId="26" applyAlignment="1" pivotButton="0" quotePrefix="0" xfId="1">
      <alignment horizontal="left" vertical="center" wrapText="1"/>
    </xf>
    <xf numFmtId="0" fontId="38" fillId="21" borderId="26" applyAlignment="1" pivotButton="0" quotePrefix="0" xfId="1">
      <alignment horizontal="center" vertical="center"/>
    </xf>
    <xf numFmtId="0" fontId="39" fillId="21" borderId="26" applyAlignment="1" pivotButton="0" quotePrefix="0" xfId="1">
      <alignment horizontal="center" vertical="center"/>
    </xf>
    <xf numFmtId="0" fontId="6" fillId="0" borderId="27" applyAlignment="1" pivotButton="0" quotePrefix="0" xfId="0">
      <alignment vertical="center" wrapText="1"/>
    </xf>
    <xf numFmtId="0" fontId="34" fillId="0" borderId="27" applyAlignment="1" pivotButton="0" quotePrefix="0" xfId="1">
      <alignment horizontal="center" vertical="center"/>
    </xf>
    <xf numFmtId="0" fontId="13" fillId="0" borderId="27" applyAlignment="1" pivotButton="0" quotePrefix="0" xfId="0">
      <alignment vertical="center" readingOrder="1"/>
    </xf>
    <xf numFmtId="0" fontId="15" fillId="0" borderId="27" applyAlignment="1" pivotButton="0" quotePrefix="0" xfId="0">
      <alignment vertical="center" readingOrder="1"/>
    </xf>
    <xf numFmtId="0" fontId="14" fillId="0" borderId="27" applyAlignment="1" pivotButton="0" quotePrefix="0" xfId="0">
      <alignment horizontal="left" vertical="center" indent="1" readingOrder="1"/>
    </xf>
    <xf numFmtId="0" fontId="13" fillId="0" borderId="27" applyAlignment="1" pivotButton="0" quotePrefix="0" xfId="0">
      <alignment horizontal="left" vertical="center" indent="1" readingOrder="1"/>
    </xf>
    <xf numFmtId="0" fontId="5" fillId="0" borderId="27" applyAlignment="1" pivotButton="0" quotePrefix="0" xfId="0">
      <alignment horizontal="center" vertical="center" wrapText="1"/>
    </xf>
    <xf numFmtId="0" fontId="37" fillId="0" borderId="26" applyAlignment="1" pivotButton="0" quotePrefix="1" xfId="0">
      <alignment horizontal="center" vertical="center"/>
    </xf>
    <xf numFmtId="0" fontId="37" fillId="21" borderId="26" applyAlignment="1" pivotButton="0" quotePrefix="1" xfId="0">
      <alignment horizontal="center" vertical="center"/>
    </xf>
    <xf numFmtId="0" fontId="35" fillId="0" borderId="27" applyAlignment="1" pivotButton="0" quotePrefix="0" xfId="0">
      <alignment horizontal="center" vertical="center"/>
    </xf>
    <xf numFmtId="0" fontId="37" fillId="0" borderId="27" applyAlignment="1" pivotButton="0" quotePrefix="0" xfId="0">
      <alignment horizontal="left" vertical="center" wrapText="1"/>
    </xf>
    <xf numFmtId="0" fontId="36" fillId="0" borderId="27" applyAlignment="1" pivotButton="0" quotePrefix="0" xfId="0">
      <alignment horizontal="center" vertical="center"/>
    </xf>
    <xf numFmtId="0" fontId="41" fillId="22" borderId="0" applyAlignment="1" pivotButton="0" quotePrefix="0" xfId="0">
      <alignment horizontal="left" vertical="center" indent="1"/>
    </xf>
    <xf numFmtId="0" fontId="42" fillId="22" borderId="0" applyAlignment="1" pivotButton="0" quotePrefix="0" xfId="0">
      <alignment horizontal="left" vertical="center" indent="1"/>
    </xf>
    <xf numFmtId="0" fontId="43" fillId="23" borderId="28" applyAlignment="1" pivotButton="0" quotePrefix="0" xfId="0">
      <alignment horizontal="center" vertical="center"/>
    </xf>
    <xf numFmtId="0" fontId="0" fillId="23" borderId="28" pivotButton="0" quotePrefix="0" xfId="0"/>
    <xf numFmtId="0" fontId="43" fillId="24" borderId="29" applyAlignment="1" pivotButton="0" quotePrefix="0" xfId="0">
      <alignment horizontal="center" vertical="center"/>
    </xf>
    <xf numFmtId="0" fontId="0" fillId="24" borderId="29" pivotButton="0" quotePrefix="0" xfId="0"/>
    <xf numFmtId="0" fontId="43" fillId="25" borderId="30" applyAlignment="1" pivotButton="0" quotePrefix="0" xfId="0">
      <alignment horizontal="center" vertical="center"/>
    </xf>
    <xf numFmtId="0" fontId="0" fillId="25" borderId="30" pivotButton="0" quotePrefix="0" xfId="0"/>
    <xf numFmtId="0" fontId="43" fillId="26" borderId="31" applyAlignment="1" pivotButton="0" quotePrefix="0" xfId="0">
      <alignment horizontal="center" vertical="center"/>
    </xf>
    <xf numFmtId="0" fontId="0" fillId="26" borderId="31" pivotButton="0" quotePrefix="0" xfId="0"/>
    <xf numFmtId="0" fontId="43" fillId="27" borderId="32" applyAlignment="1" pivotButton="0" quotePrefix="0" xfId="0">
      <alignment horizontal="center" vertical="center"/>
    </xf>
    <xf numFmtId="0" fontId="0" fillId="27" borderId="32" pivotButton="0" quotePrefix="0" xfId="0"/>
    <xf numFmtId="0" fontId="44" fillId="23" borderId="28" applyAlignment="1" pivotButton="0" quotePrefix="0" xfId="0">
      <alignment horizontal="center" vertical="center"/>
    </xf>
    <xf numFmtId="0" fontId="46" fillId="24" borderId="29" applyAlignment="1" pivotButton="0" quotePrefix="0" xfId="0">
      <alignment horizontal="center" vertical="center"/>
    </xf>
    <xf numFmtId="0" fontId="47" fillId="25" borderId="30" applyAlignment="1" pivotButton="0" quotePrefix="0" xfId="0">
      <alignment horizontal="center" vertical="center"/>
    </xf>
    <xf numFmtId="0" fontId="48" fillId="26" borderId="31" applyAlignment="1" pivotButton="0" quotePrefix="0" xfId="0">
      <alignment horizontal="center" vertical="center"/>
    </xf>
    <xf numFmtId="0" fontId="49" fillId="27" borderId="32" applyAlignment="1" pivotButton="0" quotePrefix="0" xfId="0">
      <alignment horizontal="center" vertical="center"/>
    </xf>
    <xf numFmtId="0" fontId="45" fillId="23" borderId="28" applyAlignment="1" pivotButton="0" quotePrefix="0" xfId="0">
      <alignment horizontal="center" vertical="center"/>
    </xf>
    <xf numFmtId="0" fontId="45" fillId="24" borderId="29" applyAlignment="1" pivotButton="0" quotePrefix="0" xfId="0">
      <alignment horizontal="center" vertical="center"/>
    </xf>
    <xf numFmtId="0" fontId="45" fillId="25" borderId="30" applyAlignment="1" pivotButton="0" quotePrefix="0" xfId="0">
      <alignment horizontal="center" vertical="center"/>
    </xf>
    <xf numFmtId="0" fontId="45" fillId="26" borderId="31" applyAlignment="1" pivotButton="0" quotePrefix="0" xfId="0">
      <alignment horizontal="center" vertical="center"/>
    </xf>
    <xf numFmtId="0" fontId="45" fillId="27" borderId="32" applyAlignment="1" pivotButton="0" quotePrefix="0" xfId="0">
      <alignment horizontal="center" vertical="center"/>
    </xf>
    <xf numFmtId="0" fontId="50" fillId="0" borderId="0" pivotButton="0" quotePrefix="0" xfId="0"/>
    <xf numFmtId="0" fontId="51" fillId="20" borderId="26" applyAlignment="1" pivotButton="0" quotePrefix="0" xfId="0">
      <alignment horizontal="center" vertical="center"/>
    </xf>
    <xf numFmtId="0" fontId="36" fillId="0" borderId="26" applyAlignment="1" pivotButton="0" quotePrefix="0" xfId="0">
      <alignment horizontal="left" vertical="center"/>
    </xf>
    <xf numFmtId="0" fontId="52" fillId="0" borderId="26" applyAlignment="1" pivotButton="0" quotePrefix="0" xfId="0">
      <alignment horizontal="center" vertical="center"/>
    </xf>
    <xf numFmtId="0" fontId="36" fillId="21" borderId="26" applyAlignment="1" pivotButton="0" quotePrefix="0" xfId="0">
      <alignment horizontal="left" vertical="center"/>
    </xf>
    <xf numFmtId="0" fontId="52" fillId="21" borderId="26" applyAlignment="1" pivotButton="0" quotePrefix="0" xfId="0">
      <alignment horizontal="center" vertical="center"/>
    </xf>
    <xf numFmtId="0" fontId="53" fillId="28" borderId="33" applyAlignment="1" pivotButton="0" quotePrefix="0" xfId="0">
      <alignment horizontal="center" vertical="center"/>
    </xf>
    <xf numFmtId="0" fontId="52" fillId="0" borderId="26" applyAlignment="1" pivotButton="0" quotePrefix="0" xfId="0">
      <alignment horizontal="left" vertical="center"/>
    </xf>
    <xf numFmtId="0" fontId="52" fillId="21" borderId="26" applyAlignment="1" pivotButton="0" quotePrefix="0" xfId="0">
      <alignment horizontal="left" vertical="center"/>
    </xf>
    <xf numFmtId="0" fontId="0" fillId="0" borderId="36" pivotButton="0" quotePrefix="0" xfId="0"/>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5"/>
  <sheetViews>
    <sheetView showGridLines="1" workbookViewId="0">
      <selection activeCell="A1" sqref="A1"/>
    </sheetView>
  </sheetViews>
  <sheetFormatPr baseColWidth="8" defaultRowHeight="15"/>
  <cols>
    <col width="8" customWidth="1" style="147" min="1" max="1"/>
    <col width="24" customWidth="1" style="147" min="2" max="2"/>
    <col width="12" customWidth="1" style="147" min="3" max="3"/>
    <col width="14" customWidth="1" style="147" min="4" max="4"/>
    <col width="12" customWidth="1" style="147" min="5" max="5"/>
    <col width="12" customWidth="1" style="147" min="6" max="6"/>
    <col width="12" customWidth="1" style="147" min="7" max="7"/>
    <col width="14" customWidth="1" style="147" min="8" max="8"/>
    <col width="14" customWidth="1" style="147" min="9" max="9"/>
    <col width="24" customWidth="1" style="147" min="10" max="10"/>
  </cols>
  <sheetData>
    <row r="1" ht="28" customHeight="1" s="147">
      <c r="A1" s="232" t="inlineStr">
        <is>
          <t>동탄도시철도(트램) 건설공사 집행단계 엔지니어링 매뉴얼 종합 통계 대시보드</t>
        </is>
      </c>
    </row>
    <row r="2" ht="18" customHeight="1" s="147">
      <c r="A2" s="233" t="inlineStr">
        <is>
          <t>■ 기준: 11개 공종 375개 액티비티 | 총 1,125개 매뉴얼(표준서·수행지침·체크리스트) 100% 디지털 연계 완료 | Ver 8.0</t>
        </is>
      </c>
    </row>
    <row r="3" ht="10" customHeight="1" s="147"/>
    <row r="4" ht="18" customHeight="1" s="147">
      <c r="A4" s="234" t="inlineStr">
        <is>
          <t>총 관리 공종 수</t>
        </is>
      </c>
      <c r="B4" s="263" t="n"/>
      <c r="C4" s="236" t="inlineStr">
        <is>
          <t>총 액티비티 (WBS)</t>
        </is>
      </c>
      <c r="D4" s="263" t="n"/>
      <c r="E4" s="238" t="inlineStr">
        <is>
          <t>표준서 (Standard)</t>
        </is>
      </c>
      <c r="F4" s="263" t="n"/>
      <c r="G4" s="240" t="inlineStr">
        <is>
          <t>수행지침 (Guideline)</t>
        </is>
      </c>
      <c r="H4" s="263" t="n"/>
      <c r="I4" s="242" t="inlineStr">
        <is>
          <t>체크리스트 (Checklist)</t>
        </is>
      </c>
      <c r="J4" s="263" t="n"/>
    </row>
    <row r="5" ht="28" customHeight="1" s="147">
      <c r="A5" s="244" t="inlineStr">
        <is>
          <t>11개 공종</t>
        </is>
      </c>
      <c r="B5" s="263" t="n"/>
      <c r="C5" s="245" t="inlineStr">
        <is>
          <t>375개 작업</t>
        </is>
      </c>
      <c r="D5" s="263" t="n"/>
      <c r="E5" s="246" t="inlineStr">
        <is>
          <t>375 / 375</t>
        </is>
      </c>
      <c r="F5" s="263" t="n"/>
      <c r="G5" s="247" t="inlineStr">
        <is>
          <t>375 / 375</t>
        </is>
      </c>
      <c r="H5" s="263" t="n"/>
      <c r="I5" s="248" t="inlineStr">
        <is>
          <t>375 / 375</t>
        </is>
      </c>
      <c r="J5" s="263" t="n"/>
    </row>
    <row r="6" ht="16" customHeight="1" s="147">
      <c r="A6" s="249" t="inlineStr">
        <is>
          <t>(토목/궤도/시스템/시운전)</t>
        </is>
      </c>
      <c r="B6" s="263" t="n"/>
      <c r="C6" s="250" t="inlineStr">
        <is>
          <t>(100% 코드화 및 체인연동)</t>
        </is>
      </c>
      <c r="D6" s="263" t="n"/>
      <c r="E6" s="251" t="inlineStr">
        <is>
          <t>(100% 기술기준 연계 완비)</t>
        </is>
      </c>
      <c r="F6" s="263" t="n"/>
      <c r="G6" s="252" t="inlineStr">
        <is>
          <t>(100% 2D 도식·시뮬레이션)</t>
        </is>
      </c>
      <c r="H6" s="263" t="n"/>
      <c r="I6" s="253" t="inlineStr">
        <is>
          <t>(100% 현장 검측 필증 연동)</t>
        </is>
      </c>
      <c r="J6" s="263" t="n"/>
    </row>
    <row r="7" ht="14" customHeight="1" s="147"/>
    <row r="8" ht="22" customHeight="1" s="147">
      <c r="A8" s="254" t="inlineStr">
        <is>
          <t>1. 11대 공종별 마스터 현황 및 시트 네비게이션 대장</t>
        </is>
      </c>
    </row>
    <row r="9" ht="25" customHeight="1" s="147">
      <c r="A9" s="255" t="inlineStr">
        <is>
          <t>순번</t>
        </is>
      </c>
      <c r="B9" s="255" t="inlineStr">
        <is>
          <t>공종명 (Discipline)</t>
        </is>
      </c>
      <c r="C9" s="255" t="inlineStr">
        <is>
          <t>L3 코드</t>
        </is>
      </c>
      <c r="D9" s="255" t="inlineStr">
        <is>
          <t>액티비티 수</t>
        </is>
      </c>
      <c r="E9" s="255" t="inlineStr">
        <is>
          <t>표준서</t>
        </is>
      </c>
      <c r="F9" s="255" t="inlineStr">
        <is>
          <t>수행지침</t>
        </is>
      </c>
      <c r="G9" s="255" t="inlineStr">
        <is>
          <t>체크리스트</t>
        </is>
      </c>
      <c r="H9" s="255" t="inlineStr">
        <is>
          <t>매뉴얼 총계</t>
        </is>
      </c>
      <c r="I9" s="255" t="inlineStr">
        <is>
          <t>비중 (%)</t>
        </is>
      </c>
      <c r="J9" s="255" t="inlineStr">
        <is>
          <t>시트 바로가기 (점프)</t>
        </is>
      </c>
    </row>
    <row r="10" ht="22" customHeight="1" s="147">
      <c r="A10" s="199" t="n">
        <v>1</v>
      </c>
      <c r="B10" s="256" t="inlineStr">
        <is>
          <t>지반조사</t>
        </is>
      </c>
      <c r="C10" s="199" t="inlineStr">
        <is>
          <t>9000-1</t>
        </is>
      </c>
      <c r="D10" s="199" t="n">
        <v>36</v>
      </c>
      <c r="E10" s="257" t="n">
        <v>36</v>
      </c>
      <c r="F10" s="257" t="n">
        <v>36</v>
      </c>
      <c r="G10" s="257" t="n">
        <v>36</v>
      </c>
      <c r="H10" s="199" t="n">
        <v>108</v>
      </c>
      <c r="I10" s="257" t="inlineStr">
        <is>
          <t>9.9%</t>
        </is>
      </c>
      <c r="J10" s="202">
        <f>HYPERLINK("#'지반조사'!A1", "👉 [지반조사] 시트 이동 ➔")</f>
        <v/>
      </c>
    </row>
    <row r="11" ht="22" customHeight="1" s="147">
      <c r="A11" s="204" t="n">
        <v>2</v>
      </c>
      <c r="B11" s="258" t="inlineStr">
        <is>
          <t>사전토공사</t>
        </is>
      </c>
      <c r="C11" s="204" t="inlineStr">
        <is>
          <t>9000-2</t>
        </is>
      </c>
      <c r="D11" s="204" t="n">
        <v>31</v>
      </c>
      <c r="E11" s="259" t="n">
        <v>31</v>
      </c>
      <c r="F11" s="259" t="n">
        <v>31</v>
      </c>
      <c r="G11" s="259" t="n">
        <v>31</v>
      </c>
      <c r="H11" s="204" t="n">
        <v>93</v>
      </c>
      <c r="I11" s="259" t="inlineStr">
        <is>
          <t>8.5%</t>
        </is>
      </c>
      <c r="J11" s="207">
        <f>HYPERLINK("#'사전토공사'!A1", "👉 [사전토공사] 시트 이동 ➔")</f>
        <v/>
      </c>
    </row>
    <row r="12" ht="22" customHeight="1" s="147">
      <c r="A12" s="199" t="n">
        <v>3</v>
      </c>
      <c r="B12" s="256" t="inlineStr">
        <is>
          <t>지장물이설</t>
        </is>
      </c>
      <c r="C12" s="199" t="inlineStr">
        <is>
          <t>9000-3</t>
        </is>
      </c>
      <c r="D12" s="199" t="n">
        <v>38</v>
      </c>
      <c r="E12" s="257" t="n">
        <v>38</v>
      </c>
      <c r="F12" s="257" t="n">
        <v>38</v>
      </c>
      <c r="G12" s="257" t="n">
        <v>38</v>
      </c>
      <c r="H12" s="199" t="n">
        <v>114</v>
      </c>
      <c r="I12" s="257" t="inlineStr">
        <is>
          <t>10.4%</t>
        </is>
      </c>
      <c r="J12" s="202">
        <f>HYPERLINK("#'지장물이설'!A1", "👉 [지장물이설] 시트 이동 ➔")</f>
        <v/>
      </c>
    </row>
    <row r="13" ht="22" customHeight="1" s="147">
      <c r="A13" s="204" t="n">
        <v>4</v>
      </c>
      <c r="B13" s="258" t="inlineStr">
        <is>
          <t>상부강화노반</t>
        </is>
      </c>
      <c r="C13" s="204" t="inlineStr">
        <is>
          <t>9000-4</t>
        </is>
      </c>
      <c r="D13" s="204" t="n">
        <v>36</v>
      </c>
      <c r="E13" s="259" t="n">
        <v>36</v>
      </c>
      <c r="F13" s="259" t="n">
        <v>36</v>
      </c>
      <c r="G13" s="259" t="n">
        <v>36</v>
      </c>
      <c r="H13" s="204" t="n">
        <v>108</v>
      </c>
      <c r="I13" s="259" t="inlineStr">
        <is>
          <t>9.9%</t>
        </is>
      </c>
      <c r="J13" s="207">
        <f>HYPERLINK("#'상부강화노반'!A1", "👉 [상부강화노반] 시트 이동 ➔")</f>
        <v/>
      </c>
    </row>
    <row r="14" ht="22" customHeight="1" s="147">
      <c r="A14" s="199" t="n">
        <v>5</v>
      </c>
      <c r="B14" s="256" t="inlineStr">
        <is>
          <t>콘크리트도상</t>
        </is>
      </c>
      <c r="C14" s="199" t="inlineStr">
        <is>
          <t>9000-5</t>
        </is>
      </c>
      <c r="D14" s="199" t="n">
        <v>23</v>
      </c>
      <c r="E14" s="257" t="n">
        <v>23</v>
      </c>
      <c r="F14" s="257" t="n">
        <v>23</v>
      </c>
      <c r="G14" s="257" t="n">
        <v>23</v>
      </c>
      <c r="H14" s="199" t="n">
        <v>69</v>
      </c>
      <c r="I14" s="257" t="inlineStr">
        <is>
          <t>6.3%</t>
        </is>
      </c>
      <c r="J14" s="202">
        <f>HYPERLINK("#'콘크리트도상'!A1", "👉 [콘크리트도상] 시트 이동 ➔")</f>
        <v/>
      </c>
    </row>
    <row r="15" ht="22" customHeight="1" s="147">
      <c r="A15" s="204" t="n">
        <v>6</v>
      </c>
      <c r="B15" s="258" t="inlineStr">
        <is>
          <t>건축</t>
        </is>
      </c>
      <c r="C15" s="204" t="inlineStr">
        <is>
          <t>9000-6</t>
        </is>
      </c>
      <c r="D15" s="204" t="n">
        <v>50</v>
      </c>
      <c r="E15" s="259" t="n">
        <v>50</v>
      </c>
      <c r="F15" s="259" t="n">
        <v>50</v>
      </c>
      <c r="G15" s="259" t="n">
        <v>50</v>
      </c>
      <c r="H15" s="204" t="n">
        <v>150</v>
      </c>
      <c r="I15" s="259" t="inlineStr">
        <is>
          <t>13.7%</t>
        </is>
      </c>
      <c r="J15" s="207">
        <f>HYPERLINK("#'건축'!A1", "👉 [건축] 시트 이동 ➔")</f>
        <v/>
      </c>
    </row>
    <row r="16" ht="22" customHeight="1" s="147">
      <c r="A16" s="199" t="n">
        <v>7</v>
      </c>
      <c r="B16" s="256" t="inlineStr">
        <is>
          <t>신호분야</t>
        </is>
      </c>
      <c r="C16" s="199" t="inlineStr">
        <is>
          <t>9000-7</t>
        </is>
      </c>
      <c r="D16" s="199" t="n">
        <v>23</v>
      </c>
      <c r="E16" s="257" t="n">
        <v>23</v>
      </c>
      <c r="F16" s="257" t="n">
        <v>23</v>
      </c>
      <c r="G16" s="257" t="n">
        <v>23</v>
      </c>
      <c r="H16" s="199" t="n">
        <v>69</v>
      </c>
      <c r="I16" s="257" t="inlineStr">
        <is>
          <t>6.3%</t>
        </is>
      </c>
      <c r="J16" s="202">
        <f>HYPERLINK("#'신호'!A1", "👉 [신호] 시트 이동 ➔")</f>
        <v/>
      </c>
    </row>
    <row r="17" ht="22" customHeight="1" s="147">
      <c r="A17" s="204" t="n">
        <v>8</v>
      </c>
      <c r="B17" s="258" t="inlineStr">
        <is>
          <t>전기분야</t>
        </is>
      </c>
      <c r="C17" s="204" t="inlineStr">
        <is>
          <t>9000-8</t>
        </is>
      </c>
      <c r="D17" s="204" t="n">
        <v>32</v>
      </c>
      <c r="E17" s="259" t="n">
        <v>32</v>
      </c>
      <c r="F17" s="259" t="n">
        <v>32</v>
      </c>
      <c r="G17" s="259" t="n">
        <v>32</v>
      </c>
      <c r="H17" s="204" t="n">
        <v>96</v>
      </c>
      <c r="I17" s="259" t="inlineStr">
        <is>
          <t>8.8%</t>
        </is>
      </c>
      <c r="J17" s="207">
        <f>HYPERLINK("#'전기'!A1", "👉 [전기] 시트 이동 ➔")</f>
        <v/>
      </c>
    </row>
    <row r="18" ht="22" customHeight="1" s="147">
      <c r="A18" s="199" t="n">
        <v>9</v>
      </c>
      <c r="B18" s="256" t="inlineStr">
        <is>
          <t>통신분야</t>
        </is>
      </c>
      <c r="C18" s="199" t="inlineStr">
        <is>
          <t>9000-9</t>
        </is>
      </c>
      <c r="D18" s="199" t="n">
        <v>32</v>
      </c>
      <c r="E18" s="257" t="n">
        <v>32</v>
      </c>
      <c r="F18" s="257" t="n">
        <v>32</v>
      </c>
      <c r="G18" s="257" t="n">
        <v>32</v>
      </c>
      <c r="H18" s="199" t="n">
        <v>96</v>
      </c>
      <c r="I18" s="257" t="inlineStr">
        <is>
          <t>8.8%</t>
        </is>
      </c>
      <c r="J18" s="202">
        <f>HYPERLINK("#'통신'!A1", "👉 [통신] 시트 이동 ➔")</f>
        <v/>
      </c>
    </row>
    <row r="19" ht="22" customHeight="1" s="147">
      <c r="A19" s="204" t="n">
        <v>10</v>
      </c>
      <c r="B19" s="258" t="inlineStr">
        <is>
          <t>기계설비·소방설비</t>
        </is>
      </c>
      <c r="C19" s="204" t="inlineStr">
        <is>
          <t>9000-10</t>
        </is>
      </c>
      <c r="D19" s="204" t="n">
        <v>36</v>
      </c>
      <c r="E19" s="259" t="n">
        <v>36</v>
      </c>
      <c r="F19" s="259" t="n">
        <v>36</v>
      </c>
      <c r="G19" s="259" t="n">
        <v>36</v>
      </c>
      <c r="H19" s="204" t="n">
        <v>108</v>
      </c>
      <c r="I19" s="259" t="inlineStr">
        <is>
          <t>9.9%</t>
        </is>
      </c>
      <c r="J19" s="207">
        <f>HYPERLINK("#'기계'!A1", "👉 [기계] 시트 이동 ➔")</f>
        <v/>
      </c>
    </row>
    <row r="20" ht="22" customHeight="1" s="147">
      <c r="A20" s="199" t="n">
        <v>11</v>
      </c>
      <c r="B20" s="256" t="inlineStr">
        <is>
          <t>철도종합시험운행</t>
        </is>
      </c>
      <c r="C20" s="199" t="inlineStr">
        <is>
          <t>9000-11</t>
        </is>
      </c>
      <c r="D20" s="199" t="n">
        <v>28</v>
      </c>
      <c r="E20" s="257" t="n">
        <v>28</v>
      </c>
      <c r="F20" s="257" t="n">
        <v>28</v>
      </c>
      <c r="G20" s="257" t="n">
        <v>28</v>
      </c>
      <c r="H20" s="199" t="n">
        <v>84</v>
      </c>
      <c r="I20" s="257" t="inlineStr">
        <is>
          <t>7.7%</t>
        </is>
      </c>
      <c r="J20" s="202">
        <f>HYPERLINK("#'철도종합시운전'!A1", "👉 [철도종합시운전] 시트 이동 ➔")</f>
        <v/>
      </c>
    </row>
    <row r="21" ht="25" customHeight="1" s="147">
      <c r="A21" s="260" t="inlineStr">
        <is>
          <t>합계</t>
        </is>
      </c>
      <c r="B21" s="260" t="inlineStr">
        <is>
          <t>11개 공종 전체</t>
        </is>
      </c>
      <c r="C21" s="260" t="inlineStr">
        <is>
          <t>-</t>
        </is>
      </c>
      <c r="D21" s="260">
        <f>SUM(D10:D20)</f>
        <v/>
      </c>
      <c r="E21" s="260">
        <f>SUM(E10:E20)</f>
        <v/>
      </c>
      <c r="F21" s="260">
        <f>SUM(F10:F20)</f>
        <v/>
      </c>
      <c r="G21" s="260">
        <f>SUM(G10:G20)</f>
        <v/>
      </c>
      <c r="H21" s="260">
        <f>SUM(H10:H20)</f>
        <v/>
      </c>
      <c r="I21" s="260" t="inlineStr">
        <is>
          <t>100.0%</t>
        </is>
      </c>
      <c r="J21" s="260" t="inlineStr">
        <is>
          <t>총 1,125개 매뉴얼 도서</t>
        </is>
      </c>
    </row>
    <row r="22" ht="14" customHeight="1" s="147"/>
    <row r="23" ht="22" customHeight="1" s="147">
      <c r="A23" s="254" t="inlineStr">
        <is>
          <t>2. D-Day 일정 추진 단계별(Timeline) 업무 분포 및 관리 목표</t>
        </is>
      </c>
    </row>
    <row r="24" ht="25" customHeight="1" s="147">
      <c r="A24" s="255" t="inlineStr">
        <is>
          <t>단계 구분</t>
        </is>
      </c>
      <c r="B24" s="255" t="inlineStr">
        <is>
          <t>기간 (D-Day)</t>
        </is>
      </c>
      <c r="C24" s="255" t="inlineStr">
        <is>
          <t>주요 엔지니어링 관리 목표</t>
        </is>
      </c>
      <c r="D24" s="255" t="inlineStr">
        <is>
          <t>작업 수</t>
        </is>
      </c>
      <c r="E24" s="255" t="inlineStr">
        <is>
          <t>비중 (%)</t>
        </is>
      </c>
      <c r="F24" s="255" t="inlineStr">
        <is>
          <t>표준서</t>
        </is>
      </c>
      <c r="G24" s="255" t="inlineStr">
        <is>
          <t>지침서</t>
        </is>
      </c>
      <c r="H24" s="255" t="inlineStr">
        <is>
          <t>체크리스트</t>
        </is>
      </c>
      <c r="I24" s="255" t="inlineStr">
        <is>
          <t>주관 부서</t>
        </is>
      </c>
      <c r="J24" s="255" t="inlineStr">
        <is>
          <t>중점 리스크</t>
        </is>
      </c>
    </row>
    <row r="25" ht="24" customHeight="1" s="147">
      <c r="A25" s="256" t="inlineStr">
        <is>
          <t>Stage 1 : 착수 전 사전준비 및 인허가</t>
        </is>
      </c>
      <c r="B25" s="199" t="inlineStr">
        <is>
          <t>D-300 ~ D-0</t>
        </is>
      </c>
      <c r="C25" s="261" t="inlineStr">
        <is>
          <t>설계적정성 검토, 인허가 취득, 인터페이스 Big Room 회의, 자재공급원 승인</t>
        </is>
      </c>
      <c r="D25" s="199" t="n">
        <v>132</v>
      </c>
      <c r="E25" s="257" t="inlineStr">
        <is>
          <t>35.2%</t>
        </is>
      </c>
      <c r="F25" s="257" t="n">
        <v>132</v>
      </c>
      <c r="G25" s="257" t="n">
        <v>132</v>
      </c>
      <c r="H25" s="257" t="n">
        <v>132</v>
      </c>
      <c r="I25" s="257" t="inlineStr">
        <is>
          <t>공무/공사/시스템</t>
        </is>
      </c>
      <c r="J25" s="257" t="inlineStr">
        <is>
          <t>공기지연·인허가</t>
        </is>
      </c>
    </row>
    <row r="26" ht="24" customHeight="1" s="147">
      <c r="A26" s="258" t="inlineStr">
        <is>
          <t>Stage 2 : 현장 본시공 및 구조물 구축</t>
        </is>
      </c>
      <c r="B26" s="204" t="inlineStr">
        <is>
          <t>D+1 ~ D+100</t>
        </is>
      </c>
      <c r="C26" s="262" t="inlineStr">
        <is>
          <t>토공 굴착, 강화노반 슬래브, 레일 부설, 역사 골조 및 마감, 기계/전기 배관</t>
        </is>
      </c>
      <c r="D26" s="204" t="n">
        <v>148</v>
      </c>
      <c r="E26" s="259" t="inlineStr">
        <is>
          <t>39.5%</t>
        </is>
      </c>
      <c r="F26" s="259" t="n">
        <v>148</v>
      </c>
      <c r="G26" s="259" t="n">
        <v>148</v>
      </c>
      <c r="H26" s="259" t="n">
        <v>148</v>
      </c>
      <c r="I26" s="259" t="inlineStr">
        <is>
          <t>공무/공사/시스템</t>
        </is>
      </c>
      <c r="J26" s="259" t="inlineStr">
        <is>
          <t>공기지연·인허가</t>
        </is>
      </c>
    </row>
    <row r="27" ht="24" customHeight="1" s="147">
      <c r="A27" s="256" t="inlineStr">
        <is>
          <t>Stage 3 : 시스템 연동 및 공종별 시험</t>
        </is>
      </c>
      <c r="B27" s="199" t="inlineStr">
        <is>
          <t>D+101 ~ D+180</t>
        </is>
      </c>
      <c r="C27" s="261" t="inlineStr">
        <is>
          <t>전철전력 가압, 통신/신호 단위시험, 소방 화재연동 실부하, 사전점검 수검</t>
        </is>
      </c>
      <c r="D27" s="199" t="n">
        <v>67</v>
      </c>
      <c r="E27" s="257" t="inlineStr">
        <is>
          <t>17.8%</t>
        </is>
      </c>
      <c r="F27" s="257" t="n">
        <v>67</v>
      </c>
      <c r="G27" s="257" t="n">
        <v>67</v>
      </c>
      <c r="H27" s="257" t="n">
        <v>67</v>
      </c>
      <c r="I27" s="257" t="inlineStr">
        <is>
          <t>공무/공사/시스템</t>
        </is>
      </c>
      <c r="J27" s="257" t="inlineStr">
        <is>
          <t>공기지연·인허가</t>
        </is>
      </c>
    </row>
    <row r="28" ht="24" customHeight="1" s="147">
      <c r="A28" s="258" t="inlineStr">
        <is>
          <t>Stage 4 : 종합시운전 및 영업 개통</t>
        </is>
      </c>
      <c r="B28" s="204" t="inlineStr">
        <is>
          <t>D+181 ~ D+240</t>
        </is>
      </c>
      <c r="C28" s="262" t="inlineStr">
        <is>
          <t>속도별 시설물검증시험, 30일 영업 다이아 시운전, 운영사 인수인계 및 개통</t>
        </is>
      </c>
      <c r="D28" s="204" t="n">
        <v>28</v>
      </c>
      <c r="E28" s="259" t="inlineStr">
        <is>
          <t>7.5%</t>
        </is>
      </c>
      <c r="F28" s="259" t="n">
        <v>28</v>
      </c>
      <c r="G28" s="259" t="n">
        <v>28</v>
      </c>
      <c r="H28" s="259" t="n">
        <v>28</v>
      </c>
      <c r="I28" s="259" t="inlineStr">
        <is>
          <t>공무/공사/시스템</t>
        </is>
      </c>
      <c r="J28" s="259" t="inlineStr">
        <is>
          <t>공기지연·인허가</t>
        </is>
      </c>
    </row>
    <row r="29" ht="14" customHeight="1" s="147"/>
    <row r="30" ht="22" customHeight="1" s="147">
      <c r="A30" s="254" t="inlineStr">
        <is>
          <t>3. 4대 주관 부문별 업무 분장(R&amp;R) 및 조직 협업 매트릭스</t>
        </is>
      </c>
    </row>
    <row r="31" ht="25" customHeight="1" s="147">
      <c r="A31" s="255" t="inlineStr">
        <is>
          <t>주관 부문</t>
        </is>
      </c>
      <c r="B31" s="255" t="inlineStr">
        <is>
          <t>포함 공종 범위</t>
        </is>
      </c>
      <c r="C31" s="255" t="inlineStr">
        <is>
          <t>작업 수</t>
        </is>
      </c>
      <c r="D31" s="255" t="inlineStr">
        <is>
          <t>비중 (%)</t>
        </is>
      </c>
      <c r="E31" s="255" t="inlineStr">
        <is>
          <t>핵심 담당 조직</t>
        </is>
      </c>
      <c r="F31" s="255" t="inlineStr">
        <is>
          <t>주요 R&amp;R 역할</t>
        </is>
      </c>
      <c r="G31" s="255" t="inlineStr">
        <is>
          <t>협업 인터페이스</t>
        </is>
      </c>
      <c r="H31" s="255" t="inlineStr">
        <is>
          <t>핵심 산출물</t>
        </is>
      </c>
      <c r="I31" s="255" t="inlineStr">
        <is>
          <t>모니터링 주기</t>
        </is>
      </c>
      <c r="J31" s="255" t="inlineStr">
        <is>
          <t>비고</t>
        </is>
      </c>
    </row>
    <row r="32" ht="24" customHeight="1" s="147">
      <c r="A32" s="256" t="inlineStr">
        <is>
          <t>토목 / 궤도 / 지반 부문</t>
        </is>
      </c>
      <c r="B32" s="261" t="inlineStr">
        <is>
          <t>지반조사, 사전토공사, 지장물이설, 상부강화노반, 콘크리트도상</t>
        </is>
      </c>
      <c r="C32" s="199" t="n">
        <v>164</v>
      </c>
      <c r="D32" s="257" t="inlineStr">
        <is>
          <t>43.7%</t>
        </is>
      </c>
      <c r="E32" s="199" t="inlineStr">
        <is>
          <t>현장 공사팀 / 토목사업팀</t>
        </is>
      </c>
      <c r="F32" s="257" t="inlineStr">
        <is>
          <t>시공계획 및 품질검측</t>
        </is>
      </c>
      <c r="G32" s="257" t="inlineStr">
        <is>
          <t>주간 인터페이스 회의</t>
        </is>
      </c>
      <c r="H32" s="257" t="inlineStr">
        <is>
          <t>검측서·시험성적서</t>
        </is>
      </c>
      <c r="I32" s="257" t="inlineStr">
        <is>
          <t>일일 / 주간</t>
        </is>
      </c>
      <c r="J32" s="257" t="inlineStr">
        <is>
          <t>무결점 시공 달성</t>
        </is>
      </c>
    </row>
    <row r="33" ht="24" customHeight="1" s="147">
      <c r="A33" s="258" t="inlineStr">
        <is>
          <t>건축 / 기계 / 소방 부문</t>
        </is>
      </c>
      <c r="B33" s="262" t="inlineStr">
        <is>
          <t>정거장 및 차량기지 건축 마감, 공조환기, 제연, 소방, 급배수</t>
        </is>
      </c>
      <c r="C33" s="204" t="n">
        <v>86</v>
      </c>
      <c r="D33" s="259" t="inlineStr">
        <is>
          <t>22.9%</t>
        </is>
      </c>
      <c r="E33" s="204" t="inlineStr">
        <is>
          <t>건축공무팀 / 기계소방팀</t>
        </is>
      </c>
      <c r="F33" s="259" t="inlineStr">
        <is>
          <t>시공계획 및 품질검측</t>
        </is>
      </c>
      <c r="G33" s="259" t="inlineStr">
        <is>
          <t>주간 인터페이스 회의</t>
        </is>
      </c>
      <c r="H33" s="259" t="inlineStr">
        <is>
          <t>검측서·시험성적서</t>
        </is>
      </c>
      <c r="I33" s="259" t="inlineStr">
        <is>
          <t>일일 / 주간</t>
        </is>
      </c>
      <c r="J33" s="259" t="inlineStr">
        <is>
          <t>무결점 시공 달성</t>
        </is>
      </c>
    </row>
    <row r="34" ht="24" customHeight="1" s="147">
      <c r="A34" s="256" t="inlineStr">
        <is>
          <t>시스템 부문 (전기·신호·통신)</t>
        </is>
      </c>
      <c r="B34" s="261" t="inlineStr">
        <is>
          <t>수전/변전 급전, LTE-R 무선망, T-ATP/ATO 신호연동, SCADA</t>
        </is>
      </c>
      <c r="C34" s="199" t="n">
        <v>87</v>
      </c>
      <c r="D34" s="257" t="inlineStr">
        <is>
          <t>23.2%</t>
        </is>
      </c>
      <c r="E34" s="199" t="inlineStr">
        <is>
          <t>시스템 공무/공사팀</t>
        </is>
      </c>
      <c r="F34" s="257" t="inlineStr">
        <is>
          <t>시공계획 및 품질검측</t>
        </is>
      </c>
      <c r="G34" s="257" t="inlineStr">
        <is>
          <t>주간 인터페이스 회의</t>
        </is>
      </c>
      <c r="H34" s="257" t="inlineStr">
        <is>
          <t>검측서·시험성적서</t>
        </is>
      </c>
      <c r="I34" s="257" t="inlineStr">
        <is>
          <t>일일 / 주간</t>
        </is>
      </c>
      <c r="J34" s="257" t="inlineStr">
        <is>
          <t>무결점 시공 달성</t>
        </is>
      </c>
    </row>
    <row r="35" ht="24" customHeight="1" s="147">
      <c r="A35" s="258" t="inlineStr">
        <is>
          <t>개통운영 / 안전품질 부문</t>
        </is>
      </c>
      <c r="B35" s="262" t="inlineStr">
        <is>
          <t>사전점검, 속도별 시설물검증, 영업시운전, TS 안전관리체계, 인수인계</t>
        </is>
      </c>
      <c r="C35" s="204" t="n">
        <v>38</v>
      </c>
      <c r="D35" s="259" t="inlineStr">
        <is>
          <t>10.1%</t>
        </is>
      </c>
      <c r="E35" s="204" t="inlineStr">
        <is>
          <t>개통운영팀 / 안전품질팀</t>
        </is>
      </c>
      <c r="F35" s="259" t="inlineStr">
        <is>
          <t>시공계획 및 품질검측</t>
        </is>
      </c>
      <c r="G35" s="259" t="inlineStr">
        <is>
          <t>주간 인터페이스 회의</t>
        </is>
      </c>
      <c r="H35" s="259" t="inlineStr">
        <is>
          <t>검측서·시험성적서</t>
        </is>
      </c>
      <c r="I35" s="259" t="inlineStr">
        <is>
          <t>일일 / 주간</t>
        </is>
      </c>
      <c r="J35" s="259" t="inlineStr">
        <is>
          <t>무결점 시공 달성</t>
        </is>
      </c>
    </row>
  </sheetData>
  <mergeCells count="20">
    <mergeCell ref="A23:J23"/>
    <mergeCell ref="C6:D6"/>
    <mergeCell ref="I6:J6"/>
    <mergeCell ref="A8:J8"/>
    <mergeCell ref="C5:D5"/>
    <mergeCell ref="E5:F5"/>
    <mergeCell ref="A6:B6"/>
    <mergeCell ref="C4:D4"/>
    <mergeCell ref="E4:F4"/>
    <mergeCell ref="A30:J30"/>
    <mergeCell ref="G6:H6"/>
    <mergeCell ref="A1:J1"/>
    <mergeCell ref="E6:F6"/>
    <mergeCell ref="A5:B5"/>
    <mergeCell ref="G5:H5"/>
    <mergeCell ref="I5:J5"/>
    <mergeCell ref="A4:B4"/>
    <mergeCell ref="G4:H4"/>
    <mergeCell ref="I4:J4"/>
    <mergeCell ref="A2:J2"/>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NA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7.4"/>
  <cols>
    <col width="10" customWidth="1" style="147" min="1" max="2"/>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row>
    <row r="2" ht="52" customHeight="1" s="147">
      <c r="A2" s="199" t="inlineStr">
        <is>
          <t>9000</t>
        </is>
      </c>
      <c r="B2" s="199" t="inlineStr">
        <is>
          <t>9000-1</t>
        </is>
      </c>
      <c r="C2" s="199" t="inlineStr">
        <is>
          <t>지반조사</t>
        </is>
      </c>
      <c r="D2" s="199" t="inlineStr">
        <is>
          <t>9000-1-1</t>
        </is>
      </c>
      <c r="E2" s="200" t="inlineStr">
        <is>
          <t>-</t>
        </is>
      </c>
      <c r="F2" s="200" t="inlineStr">
        <is>
          <t>9000-1-2</t>
        </is>
      </c>
      <c r="G2" s="155" t="inlineStr">
        <is>
          <t>지반조사업체, 외부지질전문가 3인이상</t>
        </is>
      </c>
      <c r="H2" s="200" t="inlineStr">
        <is>
          <t>토목사업팀</t>
        </is>
      </c>
      <c r="I2" s="200" t="inlineStr">
        <is>
          <t>발주처 기본계획 사전 검토 (협업: • 조사설계 용역 기본계획 도서 확보 여부 확인 • 핵심이슈 (미시추 사유, 지층/암반등급 조정여부 등) 확보 여부 확인 • 사업지 연접 지질/지반조사 자료 확보 여부 확인)</t>
        </is>
      </c>
      <c r="J2" s="156" t="inlineStr">
        <is>
          <t>발주처 기본계획 보고서</t>
        </is>
      </c>
      <c r="K2" s="156" t="inlineStr">
        <is>
          <t>발주처 기본계획 사전 검토 | 발주처 기본계획 보고서</t>
        </is>
      </c>
      <c r="L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156" t="inlineStr">
        <is>
          <t>• 조사설계 용역 기본계획 도서 확보 여부 확인 • 핵심이슈 (미시추 사유, 지층/암반등급 조정여부 등) 확보 여부 확인 • 사업지 연접 지질/지반조사 자료 확보 여부 확인</t>
        </is>
      </c>
      <c r="N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 s="156" t="inlineStr">
        <is>
          <t>1) 발주처 계획 입수(비공식) 적정성을 확인하였는가? 2) 발주처 기본계획 보고서 산출물을 확보하였는가?</t>
        </is>
      </c>
      <c r="P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 s="156" t="n"/>
      <c r="R2" s="203" t="n"/>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row>
    <row r="3" ht="52" customHeight="1" s="147">
      <c r="A3" s="204" t="inlineStr">
        <is>
          <t>9000</t>
        </is>
      </c>
      <c r="B3" s="204" t="inlineStr">
        <is>
          <t>9000-1</t>
        </is>
      </c>
      <c r="C3" s="204" t="inlineStr">
        <is>
          <t>지반조사</t>
        </is>
      </c>
      <c r="D3" s="204" t="inlineStr">
        <is>
          <t>9000-1-2</t>
        </is>
      </c>
      <c r="E3" s="205" t="inlineStr">
        <is>
          <t>9000-1-1</t>
        </is>
      </c>
      <c r="F3" s="205" t="inlineStr">
        <is>
          <t>9000-1-3</t>
        </is>
      </c>
      <c r="G3" s="162" t="inlineStr">
        <is>
          <t>포스코스마트엔지니어링팀</t>
        </is>
      </c>
      <c r="H3" s="205" t="inlineStr">
        <is>
          <t>토목사업팀</t>
        </is>
      </c>
      <c r="I3" s="205" t="inlineStr">
        <is>
          <t>입수된 발주정보 평가를 통한 관심 Project 선정 (협업: • 해당 프로젝트별 발주처/경쟁동향 / 사업성평가 수행 • 기술형입찰 입찰참여 Guide Line으로 해당 프로젝트 평가)</t>
        </is>
      </c>
      <c r="J3" s="163" t="inlineStr">
        <is>
          <t>관심사업 List</t>
        </is>
      </c>
      <c r="K3" s="163" t="inlineStr">
        <is>
          <t>입수된 발주정보 평가를 통한 관심 Project 선정 | 관심사업 List</t>
        </is>
      </c>
      <c r="L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 s="163" t="inlineStr">
        <is>
          <t>• 해당 프로젝트별 발주처/경쟁동향 / 사업성평가 수행 • 기술형입찰 입찰참여 Guide Line으로 해당 프로젝트 평가</t>
        </is>
      </c>
      <c r="N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 s="163" t="inlineStr">
        <is>
          <t>1) 관심프로젝트 선정 적정성을 확인하였는가? 2) 관심사업 List 산출물을 확보하였는가?</t>
        </is>
      </c>
      <c r="P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 s="163" t="n"/>
      <c r="R3" s="208" t="n"/>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row>
    <row r="4" ht="52" customHeight="1" s="147">
      <c r="A4" s="199" t="inlineStr">
        <is>
          <t>9000</t>
        </is>
      </c>
      <c r="B4" s="199" t="inlineStr">
        <is>
          <t>9000-1</t>
        </is>
      </c>
      <c r="C4" s="199" t="inlineStr">
        <is>
          <t>지반조사</t>
        </is>
      </c>
      <c r="D4" s="199" t="inlineStr">
        <is>
          <t>9000-1-3</t>
        </is>
      </c>
      <c r="E4" s="200" t="inlineStr">
        <is>
          <t>9000-1-2</t>
        </is>
      </c>
      <c r="F4" s="200" t="inlineStr">
        <is>
          <t>9000-1-4</t>
        </is>
      </c>
      <c r="G4" s="155" t="inlineStr">
        <is>
          <t>토목사업팀</t>
        </is>
      </c>
      <c r="H4" s="200" t="inlineStr">
        <is>
          <t>포스코스마트엔지니어링팀</t>
        </is>
      </c>
      <c r="I4" s="200" t="inlineStr">
        <is>
          <t>발주처 지반조사 수립업체 파악 (협업: • 발주처 지반조사업체 확인 후 당사 Pool List와 비교 • 발주처 지반조사 업체 확인팀 Contact Point 확보)</t>
        </is>
      </c>
      <c r="J4" s="156" t="inlineStr">
        <is>
          <t>발주처 기본계획 수행 List + Contact Point List</t>
        </is>
      </c>
      <c r="K4" s="156" t="inlineStr">
        <is>
          <t>발주처 지반조사 수립업체 파악 | 발주처 기본계획 수행 List + Contact Point List</t>
        </is>
      </c>
      <c r="L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4" s="156" t="inlineStr">
        <is>
          <t>• 발주처 지반조사업체 확인 후 당사 Pool List와 비교 • 발주처 지반조사 업체 확인팀 Contact Point 확보</t>
        </is>
      </c>
      <c r="N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4" s="156" t="inlineStr">
        <is>
          <t>1) 발주처 지반조사 모니터링 적정성을 확인하였는가? 2) 발주처 기본계획 수행 List + Contact Point List 산출물을 확보하였는가?</t>
        </is>
      </c>
      <c r="P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4" s="156" t="n"/>
      <c r="R4" s="203" t="n"/>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row>
    <row r="5" ht="52" customHeight="1" s="147">
      <c r="A5" s="204" t="inlineStr">
        <is>
          <t>9000</t>
        </is>
      </c>
      <c r="B5" s="204" t="inlineStr">
        <is>
          <t>9000-1</t>
        </is>
      </c>
      <c r="C5" s="204" t="inlineStr">
        <is>
          <t>지반조사</t>
        </is>
      </c>
      <c r="D5" s="204" t="inlineStr">
        <is>
          <t>9000-1-4</t>
        </is>
      </c>
      <c r="E5" s="205" t="inlineStr">
        <is>
          <t>9000-1-3</t>
        </is>
      </c>
      <c r="F5" s="205" t="inlineStr">
        <is>
          <t>9000-1-5</t>
        </is>
      </c>
      <c r="G5" s="162" t="inlineStr">
        <is>
          <t>-</t>
        </is>
      </c>
      <c r="H5" s="205" t="inlineStr">
        <is>
          <t>포스코스마트엔지니어링팀</t>
        </is>
      </c>
      <c r="I5" s="205" t="inlineStr">
        <is>
          <t>지반조사 품질향상을 위한 제3자 검증 수행 지반조사 전문가 Pool 관리 (협업: • Academic 전문가와 현장 전문가를 포함한 Pool 구성 • 전문가 Pool의 학력/기술사 등 경력사항(조사 15년) 확인)</t>
        </is>
      </c>
      <c r="J5" s="163" t="inlineStr">
        <is>
          <t>외부지질전문가 Pool List</t>
        </is>
      </c>
      <c r="K5" s="163" t="inlineStr">
        <is>
          <t>지반조사 품질향상을 위한 제3자 검증 수행 지반조사 전문가 Pool 관리 | 외부지질전문가 Pool List</t>
        </is>
      </c>
      <c r="L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5" s="163" t="inlineStr">
        <is>
          <t>• Academic 전문가와 현장 전문가를 포함한 Pool 구성 • 전문가 Pool의 학력/기술사 등 경력사항(조사 15년) 확인</t>
        </is>
      </c>
      <c r="N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5" s="163" t="inlineStr">
        <is>
          <t>1) 외부 지질전문가 Pool 관리 적정성을 확인하였는가? 2) 외부지질전문가 Pool List 산출물을 확보하였는가?</t>
        </is>
      </c>
      <c r="P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5" s="163" t="n"/>
      <c r="R5" s="208" t="n"/>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row>
    <row r="6" ht="52" customHeight="1" s="147">
      <c r="A6" s="199" t="inlineStr">
        <is>
          <t>9000</t>
        </is>
      </c>
      <c r="B6" s="199" t="inlineStr">
        <is>
          <t>9000-1</t>
        </is>
      </c>
      <c r="C6" s="199" t="inlineStr">
        <is>
          <t>지반조사</t>
        </is>
      </c>
      <c r="D6" s="199" t="inlineStr">
        <is>
          <t>9000-1-5</t>
        </is>
      </c>
      <c r="E6" s="200" t="inlineStr">
        <is>
          <t>9000-1-4</t>
        </is>
      </c>
      <c r="F6" s="200" t="inlineStr">
        <is>
          <t>9000-1-6</t>
        </is>
      </c>
      <c r="G6" s="155" t="inlineStr">
        <is>
          <t>포스코스마트엔지니어링팀</t>
        </is>
      </c>
      <c r="H6" s="200" t="inlineStr">
        <is>
          <t>외주구매팀</t>
        </is>
      </c>
      <c r="I6" s="200" t="inlineStr">
        <is>
          <t>발주처 계획 대응 및 개략 지반조사 결과 사전 예측을 위한 업체 관리 (협업: •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J6" s="156" t="inlineStr">
        <is>
          <t>조사업체 POOL/필요시 Update</t>
        </is>
      </c>
      <c r="K6" s="156" t="inlineStr">
        <is>
          <t>발주처 계획 대응 및 개략 지반조사 결과 사전 예측을 위한 업체 관리 | 조사업체 POOL/필요시 Update</t>
        </is>
      </c>
      <c r="L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6" s="15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N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6" s="156" t="inlineStr">
        <is>
          <t>1) 지반조사 Pool 관리 적정성을 확인하였는가? 2) 조사업체 POOL/필요시 Update 산출물을 확보하였는가?</t>
        </is>
      </c>
      <c r="P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6" s="156" t="n"/>
      <c r="R6" s="203" t="n"/>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row>
    <row r="7" ht="52" customHeight="1" s="147">
      <c r="A7" s="204" t="inlineStr">
        <is>
          <t>9000</t>
        </is>
      </c>
      <c r="B7" s="204" t="inlineStr">
        <is>
          <t>9000-1</t>
        </is>
      </c>
      <c r="C7" s="204" t="inlineStr">
        <is>
          <t>지반조사</t>
        </is>
      </c>
      <c r="D7" s="204" t="inlineStr">
        <is>
          <t>9000-1-6</t>
        </is>
      </c>
      <c r="E7" s="205" t="inlineStr">
        <is>
          <t>9000-1-5</t>
        </is>
      </c>
      <c r="F7" s="205" t="inlineStr">
        <is>
          <t>9000-1-7</t>
        </is>
      </c>
      <c r="G7" s="162" t="inlineStr">
        <is>
          <t>설계 협력업체</t>
        </is>
      </c>
      <c r="H7" s="205" t="inlineStr">
        <is>
          <t>지반조사 협력업체</t>
        </is>
      </c>
      <c r="I7" s="205" t="inlineStr">
        <is>
          <t>발주처 기본계획 및 지반조사 결과 사전 획득 (협업: • 기본계획 지반조사결과 및 실시설계 Contact을 통한 자료입수)</t>
        </is>
      </c>
      <c r="J7" s="163" t="inlineStr">
        <is>
          <t>발주처 기본계획 보고서 및 지반조사 보고서(비공식)</t>
        </is>
      </c>
      <c r="K7" s="163" t="inlineStr">
        <is>
          <t>발주처 기본계획 및 지반조사 결과 사전 획득 | 발주처 기본계획 보고서 및 지반조사 보고서(비공식)</t>
        </is>
      </c>
      <c r="L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7" s="163" t="inlineStr">
        <is>
          <t>• 기본계획 지반조사결과 및 실시설계 Contact을 통한 자료입수</t>
        </is>
      </c>
      <c r="N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7" s="163" t="inlineStr">
        <is>
          <t>1) 기본계획 지반조사 자료 및 R/O 정보 입수 적정성을 확인하였는가? 2) 발주처 기본계획 보고서 및 지반조사 보고서(비공식) 산출물을 확보하였는가?</t>
        </is>
      </c>
      <c r="P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7" s="163" t="n"/>
      <c r="R7" s="208" t="n"/>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row>
    <row r="8" ht="52" customHeight="1" s="147">
      <c r="A8" s="199" t="inlineStr">
        <is>
          <t>9000</t>
        </is>
      </c>
      <c r="B8" s="199" t="inlineStr">
        <is>
          <t>9000-1</t>
        </is>
      </c>
      <c r="C8" s="199" t="inlineStr">
        <is>
          <t>지반조사</t>
        </is>
      </c>
      <c r="D8" s="199" t="inlineStr">
        <is>
          <t>9000-1-7</t>
        </is>
      </c>
      <c r="E8" s="200" t="inlineStr">
        <is>
          <t>9000-1-6</t>
        </is>
      </c>
      <c r="F8" s="200" t="inlineStr">
        <is>
          <t>9000-1-8</t>
        </is>
      </c>
      <c r="G8" s="155" t="inlineStr">
        <is>
          <t>토목견적팀</t>
        </is>
      </c>
      <c r="H8" s="200" t="inlineStr">
        <is>
          <t>포스코스마트엔지니어링팀(설계), 토목수행팀(공정), 토목사업지원팀(기획)</t>
        </is>
      </c>
      <c r="I8" s="200" t="inlineStr">
        <is>
          <t>발주처 기본계획 지반조사 문제점 검토 (협업: •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J8" s="156" t="inlineStr">
        <is>
          <t>기본계획 지반조사 검토서(설계, 공정, 기획)</t>
        </is>
      </c>
      <c r="K8" s="156" t="inlineStr">
        <is>
          <t>발주처 기본계획 지반조사 문제점 검토 | 기본계획 지반조사 검토서(설계, 공정, 기획)</t>
        </is>
      </c>
      <c r="L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8" s="15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N8"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8" s="156" t="inlineStr">
        <is>
          <t>1) 기본계획 지반조사 R/O 검토 (설계, 공정, 기획) 적정성을 확인하였는가? 2) 기본계획 지반조사 검토서(설계, 공정, 기획) 산출물을 확보하였는가?</t>
        </is>
      </c>
      <c r="P8"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8" s="156" t="n"/>
      <c r="R8" s="203" t="n"/>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row>
    <row r="9" ht="52" customHeight="1" s="147">
      <c r="A9" s="204" t="inlineStr">
        <is>
          <t>9000</t>
        </is>
      </c>
      <c r="B9" s="204" t="inlineStr">
        <is>
          <t>9000-1</t>
        </is>
      </c>
      <c r="C9" s="204" t="inlineStr">
        <is>
          <t>지반조사</t>
        </is>
      </c>
      <c r="D9" s="204" t="inlineStr">
        <is>
          <t>9000-1-8</t>
        </is>
      </c>
      <c r="E9" s="205" t="inlineStr">
        <is>
          <t>9000-1-7</t>
        </is>
      </c>
      <c r="F9" s="205" t="inlineStr">
        <is>
          <t>9000-1-9</t>
        </is>
      </c>
      <c r="G9" s="162" t="inlineStr">
        <is>
          <t>포스코스마트엔지니어링팀(설계), 토목수행팀(공정), 토목사업지원팀(기획)</t>
        </is>
      </c>
      <c r="H9" s="205" t="inlineStr">
        <is>
          <t>토목견적팀</t>
        </is>
      </c>
      <c r="I9" s="205" t="inlineStr">
        <is>
          <t>발주처 지반조사 문제점 R/O 분석 (협업: • 발주처 기본계획 지반조사 R/O별 Cost effect 분석)</t>
        </is>
      </c>
      <c r="J9" s="163" t="inlineStr">
        <is>
          <t>기본계획 지반조사 개략 검토서</t>
        </is>
      </c>
      <c r="K9" s="163" t="inlineStr">
        <is>
          <t>발주처 지반조사 문제점 R/O 분석 | 기본계획 지반조사 개략 검토서</t>
        </is>
      </c>
      <c r="L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9" s="163" t="inlineStr">
        <is>
          <t>• 발주처 기본계획 지반조사 R/O별 Cost effect 분석</t>
        </is>
      </c>
      <c r="N9"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9" s="163" t="inlineStr">
        <is>
          <t>1) 기본계획 지반조사 R/O 종합검토 (원가) 적정성을 확인하였는가? 2) 기본계획 지반조사 개략 검토서 산출물을 확보하였는가?</t>
        </is>
      </c>
      <c r="P9"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9" s="163" t="n"/>
      <c r="R9" s="208" t="n"/>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row>
    <row r="10" ht="52" customHeight="1" s="147">
      <c r="A10" s="199" t="inlineStr">
        <is>
          <t>9000</t>
        </is>
      </c>
      <c r="B10" s="199" t="inlineStr">
        <is>
          <t>9000-1</t>
        </is>
      </c>
      <c r="C10" s="199" t="inlineStr">
        <is>
          <t>지반조사</t>
        </is>
      </c>
      <c r="D10" s="199" t="inlineStr">
        <is>
          <t>9000-1-9</t>
        </is>
      </c>
      <c r="E10" s="200" t="inlineStr">
        <is>
          <t>9000-1-8</t>
        </is>
      </c>
      <c r="F10" s="200" t="inlineStr">
        <is>
          <t>9000-1-10</t>
        </is>
      </c>
      <c r="G10" s="155" t="inlineStr">
        <is>
          <t>포스코스마트엔지니어링팀</t>
        </is>
      </c>
      <c r="H10" s="200" t="inlineStr">
        <is>
          <t>일반구매팀</t>
        </is>
      </c>
      <c r="I10" s="200" t="inlineStr">
        <is>
          <t>지반조사업체 Pool 내 최적의 업체 선정 (협업: • 지반조사업체 Pool/실적 검토 및 공종별 적합성 정합 및 견적 본부 연계 검토)</t>
        </is>
      </c>
      <c r="J10" s="156" t="inlineStr">
        <is>
          <t>지반조사 입찰 참여 Pool</t>
        </is>
      </c>
      <c r="K10" s="156" t="inlineStr">
        <is>
          <t>지반조사업체 Pool 내 최적의 업체 선정 | 지반조사 입찰 참여 Pool</t>
        </is>
      </c>
      <c r="L1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0" s="156" t="inlineStr">
        <is>
          <t>• 지반조사업체 Pool/실적 검토 및 공종별 적합성 정합 및 견적 본부 연계 검토</t>
        </is>
      </c>
      <c r="N10"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0" s="156" t="inlineStr">
        <is>
          <t>1) 지반조사 업체 선정 적정성을 확인하였는가? 2) 지반조사 입찰 참여 Pool 산출물을 확보하였는가?</t>
        </is>
      </c>
      <c r="P10"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0" s="156" t="n"/>
      <c r="R10" s="203" t="n"/>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row>
    <row r="11" ht="52" customHeight="1" s="147">
      <c r="A11" s="204" t="inlineStr">
        <is>
          <t>9000</t>
        </is>
      </c>
      <c r="B11" s="204" t="inlineStr">
        <is>
          <t>9000-1</t>
        </is>
      </c>
      <c r="C11" s="204" t="inlineStr">
        <is>
          <t>지반조사</t>
        </is>
      </c>
      <c r="D11" s="204" t="inlineStr">
        <is>
          <t>9000-1-10</t>
        </is>
      </c>
      <c r="E11" s="205" t="inlineStr">
        <is>
          <t>9000-1-9</t>
        </is>
      </c>
      <c r="F11" s="205" t="inlineStr">
        <is>
          <t>9000-1-11</t>
        </is>
      </c>
      <c r="G11" s="162" t="inlineStr">
        <is>
          <t>포스코스마트엔지니어링팀</t>
        </is>
      </c>
      <c r="H11" s="205" t="inlineStr">
        <is>
          <t>일반구매팀</t>
        </is>
      </c>
      <c r="I11" s="205" t="inlineStr">
        <is>
          <t>지반조사업체 용역 계약 (협업: • 일반구매시스템을 이용한 용역계약)</t>
        </is>
      </c>
      <c r="J11" s="163" t="inlineStr">
        <is>
          <t>지반조사 용역 계약서</t>
        </is>
      </c>
      <c r="K11" s="163" t="inlineStr">
        <is>
          <t>지반조사업체 용역 계약 | 지반조사 용역 계약서</t>
        </is>
      </c>
      <c r="L1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1" s="163" t="inlineStr">
        <is>
          <t>• 일반구매시스템을 이용한 용역계약</t>
        </is>
      </c>
      <c r="N11"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1" s="163" t="inlineStr">
        <is>
          <t>1) 지반조사 업체 계약 적정성을 확인하였는가? 2) 지반조사 용역 계약서 산출물을 확보하였는가?</t>
        </is>
      </c>
      <c r="P11"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1" s="163" t="n"/>
      <c r="R11" s="208" t="n"/>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row>
    <row r="12" ht="52" customHeight="1" s="147">
      <c r="A12" s="199" t="inlineStr">
        <is>
          <t>9000</t>
        </is>
      </c>
      <c r="B12" s="199" t="inlineStr">
        <is>
          <t>9000-1</t>
        </is>
      </c>
      <c r="C12" s="199" t="inlineStr">
        <is>
          <t>지반조사</t>
        </is>
      </c>
      <c r="D12" s="199" t="inlineStr">
        <is>
          <t>9000-1-11</t>
        </is>
      </c>
      <c r="E12" s="200" t="inlineStr">
        <is>
          <t>9000-1-10</t>
        </is>
      </c>
      <c r="F12" s="200" t="inlineStr">
        <is>
          <t>9000-1-12</t>
        </is>
      </c>
      <c r="G12" s="155" t="inlineStr">
        <is>
          <t>지반조사업체</t>
        </is>
      </c>
      <c r="H12" s="200" t="inlineStr">
        <is>
          <t>포스코스마트엔지니어링팀</t>
        </is>
      </c>
      <c r="I12" s="200" t="inlineStr">
        <is>
          <t>프로젝트 정합에 부합하는 지반조사 항목 사전조사 수행, 위치 선정 (협업: • 현장답사 수행 • 공종별 실시설계에 준하여 수량 및 위치 검토)</t>
        </is>
      </c>
      <c r="J12" s="156" t="inlineStr">
        <is>
          <t>지반조사 계획서</t>
        </is>
      </c>
      <c r="K12" s="156" t="inlineStr">
        <is>
          <t>프로젝트 정합에 부합하는 지반조사 항목 사전조사 수행, 위치 선정 | 지반조사 계획서</t>
        </is>
      </c>
      <c r="L1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2" s="156" t="inlineStr">
        <is>
          <t>• 현장답사 수행 • 공종별 실시설계에 준하여 수량 및 위치 검토</t>
        </is>
      </c>
      <c r="N1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2" s="156" t="inlineStr">
        <is>
          <t>1) 지반조사 항목, 수량 및 위치검토 적정성을 확인하였는가? 2) 지반조사 계획서 산출물을 확보하였는가?</t>
        </is>
      </c>
      <c r="P1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2" s="156" t="n"/>
      <c r="R12" s="203" t="n"/>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row>
    <row r="13" ht="52" customHeight="1" s="147">
      <c r="A13" s="204" t="inlineStr">
        <is>
          <t>9000</t>
        </is>
      </c>
      <c r="B13" s="204" t="inlineStr">
        <is>
          <t>9000-1</t>
        </is>
      </c>
      <c r="C13" s="204" t="inlineStr">
        <is>
          <t>지반조사</t>
        </is>
      </c>
      <c r="D13" s="204" t="inlineStr">
        <is>
          <t>9000-1-12</t>
        </is>
      </c>
      <c r="E13" s="205" t="inlineStr">
        <is>
          <t>9000-1-11</t>
        </is>
      </c>
      <c r="F13" s="205" t="inlineStr">
        <is>
          <t>9000-1-13</t>
        </is>
      </c>
      <c r="G13" s="162" t="inlineStr">
        <is>
          <t>포스코스마트엔지니어링팀</t>
        </is>
      </c>
      <c r="H13" s="205" t="inlineStr">
        <is>
          <t>외부지질전문가 3인 이상</t>
        </is>
      </c>
      <c r="I13" s="205" t="inlineStr">
        <is>
          <t>지반조사 항목, 수량 및 위치 적정성 검토 (협업: • 지반조사 계획서 검토 및 검토)</t>
        </is>
      </c>
      <c r="J13" s="163" t="inlineStr">
        <is>
          <t>지반조사계획 의견서</t>
        </is>
      </c>
      <c r="K13" s="163" t="inlineStr">
        <is>
          <t>지반조사 항목, 수량 및 위치 적정성 검토 | 지반조사계획 의견서</t>
        </is>
      </c>
      <c r="L1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3" s="163" t="inlineStr">
        <is>
          <t>• 지반조사 계획서 검토 및 검토</t>
        </is>
      </c>
      <c r="N1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3" s="163" t="inlineStr">
        <is>
          <t>1) 지반조사계획 적정성 심사의뢰 적정성을 확인하였는가? 2) 지반조사계획 의견서 산출물을 확보하였는가?</t>
        </is>
      </c>
      <c r="P1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3" s="163" t="n"/>
      <c r="R13" s="208" t="n"/>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row>
    <row r="14" ht="52" customHeight="1" s="147">
      <c r="A14" s="199" t="inlineStr">
        <is>
          <t>9000</t>
        </is>
      </c>
      <c r="B14" s="199" t="inlineStr">
        <is>
          <t>9000-1</t>
        </is>
      </c>
      <c r="C14" s="199" t="inlineStr">
        <is>
          <t>지반조사</t>
        </is>
      </c>
      <c r="D14" s="199" t="inlineStr">
        <is>
          <t>9000-1-13</t>
        </is>
      </c>
      <c r="E14" s="200" t="inlineStr">
        <is>
          <t>9000-1-12</t>
        </is>
      </c>
      <c r="F14" s="200" t="inlineStr">
        <is>
          <t>9000-1-14</t>
        </is>
      </c>
      <c r="G14" s="155" t="inlineStr">
        <is>
          <t>포스코스마트엔지니어링팀</t>
        </is>
      </c>
      <c r="H14" s="200" t="inlineStr">
        <is>
          <t>지반조사업체</t>
        </is>
      </c>
      <c r="I14" s="200" t="inlineStr">
        <is>
          <t>지반조사 수행을 위한 인허가 승인 (협업: •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J14" s="156" t="inlineStr">
        <is>
          <t>인허가 서류</t>
        </is>
      </c>
      <c r="K14" s="156" t="inlineStr">
        <is>
          <t>지반조사 수행을 위한 인허가 승인 | 인허가 서류</t>
        </is>
      </c>
      <c r="L1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4" s="15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N1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4" s="156" t="inlineStr">
        <is>
          <t>1) 지반조사 인허가 적정성을 확인하였는가? 2) 인허가 서류 산출물을 확보하였는가?</t>
        </is>
      </c>
      <c r="P1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4" s="156" t="n"/>
      <c r="R14" s="203" t="n"/>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row>
    <row r="15" ht="52" customHeight="1" s="147">
      <c r="A15" s="204" t="inlineStr">
        <is>
          <t>9000</t>
        </is>
      </c>
      <c r="B15" s="204" t="inlineStr">
        <is>
          <t>9000-1</t>
        </is>
      </c>
      <c r="C15" s="204" t="inlineStr">
        <is>
          <t>지반조사</t>
        </is>
      </c>
      <c r="D15" s="204" t="inlineStr">
        <is>
          <t>9000-1-14</t>
        </is>
      </c>
      <c r="E15" s="205" t="inlineStr">
        <is>
          <t>9000-1-13</t>
        </is>
      </c>
      <c r="F15" s="205" t="inlineStr">
        <is>
          <t>9000-1-15</t>
        </is>
      </c>
      <c r="G15" s="162" t="inlineStr">
        <is>
          <t>외부지질전문가 3인 이상, 지반조사업체</t>
        </is>
      </c>
      <c r="H15" s="205" t="inlineStr">
        <is>
          <t>포스코스마트엔지니어링팀</t>
        </is>
      </c>
      <c r="I15" s="205" t="inlineStr">
        <is>
          <t>외부지질전문가 의견을 반영한 지반조사 계획 확정 (협업: • 외부지질전문가 지반조사 의견 검토 • 입찰설계 지반조사 계획 보완)</t>
        </is>
      </c>
      <c r="J15" s="163" t="inlineStr">
        <is>
          <t>지반조사 용역 계약서</t>
        </is>
      </c>
      <c r="K15" s="163" t="inlineStr">
        <is>
          <t>외부지질전문가 의견을 반영한 지반조사 계획 확정 | 지반조사 용역 계약서</t>
        </is>
      </c>
      <c r="L1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5" s="163" t="inlineStr">
        <is>
          <t>• 외부지질전문가 지반조사 의견 검토 • 입찰설계 지반조사 계획 보완</t>
        </is>
      </c>
      <c r="N1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5" s="163" t="inlineStr">
        <is>
          <t>1) 지반조사 항목, 수량 및 위치 보완 적정성을 확인하였는가? 2) 지반조사 용역 계약서 산출물을 확보하였는가?</t>
        </is>
      </c>
      <c r="P1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5" s="163" t="n"/>
      <c r="R15" s="208" t="n"/>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row>
    <row r="16" ht="52" customHeight="1" s="147">
      <c r="A16" s="199" t="inlineStr">
        <is>
          <t>9000</t>
        </is>
      </c>
      <c r="B16" s="199" t="inlineStr">
        <is>
          <t>9000-1</t>
        </is>
      </c>
      <c r="C16" s="199" t="inlineStr">
        <is>
          <t>지반조사</t>
        </is>
      </c>
      <c r="D16" s="199" t="inlineStr">
        <is>
          <t>9000-1-15</t>
        </is>
      </c>
      <c r="E16" s="200" t="inlineStr">
        <is>
          <t>9000-1-14</t>
        </is>
      </c>
      <c r="F16" s="200" t="inlineStr">
        <is>
          <t>9000-1-16</t>
        </is>
      </c>
      <c r="G16" s="155" t="inlineStr">
        <is>
          <t>포스코스마트엔지니어링팀</t>
        </is>
      </c>
      <c r="H16" s="200" t="inlineStr">
        <is>
          <t>지반조사업체</t>
        </is>
      </c>
      <c r="I16" s="200" t="inlineStr">
        <is>
          <t>과업구간 지반여건 상세 파악 (협업: • 물리탐사 수행(전기 비저항, 탄성파탐사 등) • 시추조사 및 현장 시험 수행(공내재하시험, 실내전단시험 등) • 실내시험 수행(요동시험, 입도시험 등))</t>
        </is>
      </c>
      <c r="J16" s="156" t="inlineStr">
        <is>
          <t>지반조사 보고서, 시추 Core 및 샘플</t>
        </is>
      </c>
      <c r="K16" s="156" t="inlineStr">
        <is>
          <t>과업구간 지반여건 상세 파악 | 지반조사 보고서, 시추 Core 및 샘플</t>
        </is>
      </c>
      <c r="L1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6" s="156" t="inlineStr">
        <is>
          <t>• 물리탐사 수행(전기 비저항, 탄성파탐사 등) • 시추조사 및 현장 시험 수행(공내재하시험, 실내전단시험 등) • 실내시험 수행(요동시험, 입도시험 등)</t>
        </is>
      </c>
      <c r="N1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6" s="156" t="inlineStr">
        <is>
          <t>1) 지반조사 수행 적정성을 확인하였는가? 2) 지반조사 보고서, 시추 Core 및 샘플 산출물을 확보하였는가?</t>
        </is>
      </c>
      <c r="P1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6" s="156" t="n"/>
      <c r="R16" s="203" t="n"/>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row>
    <row r="17" ht="52" customHeight="1" s="147">
      <c r="A17" s="204" t="inlineStr">
        <is>
          <t>9000</t>
        </is>
      </c>
      <c r="B17" s="204" t="inlineStr">
        <is>
          <t>9000-1</t>
        </is>
      </c>
      <c r="C17" s="204" t="inlineStr">
        <is>
          <t>지반조사</t>
        </is>
      </c>
      <c r="D17" s="204" t="inlineStr">
        <is>
          <t>9000-1-16</t>
        </is>
      </c>
      <c r="E17" s="205" t="inlineStr">
        <is>
          <t>9000-1-15</t>
        </is>
      </c>
      <c r="F17" s="205" t="inlineStr">
        <is>
          <t>9000-1-17</t>
        </is>
      </c>
      <c r="G17" s="162" t="inlineStr">
        <is>
          <t>포스코스마트엔지니어링팀, 지반조사업체</t>
        </is>
      </c>
      <c r="H17" s="205" t="inlineStr">
        <is>
          <t>외부지질전문가 3인 이상</t>
        </is>
      </c>
      <c r="I17" s="205" t="inlineStr">
        <is>
          <t>지반조사 결과 오류 및 지반정수의 적합성 검토 (협업: • 입찰설계 지반조사 보고서 검토 • 시추조사 위치 및 심도의 적정성 검토 • 실내시험 결과 등급 적정성 검토 • 실시설계시 추가지반조사 필요구간 검토)</t>
        </is>
      </c>
      <c r="J17" s="163" t="inlineStr">
        <is>
          <t>지반조사 결과 분석 의견서</t>
        </is>
      </c>
      <c r="K17" s="163" t="inlineStr">
        <is>
          <t>지반조사 결과 오류 및 지반정수의 적합성 검토 | 지반조사 결과 분석 의견서</t>
        </is>
      </c>
      <c r="L1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7" s="163" t="inlineStr">
        <is>
          <t>• 입찰설계 지반조사 보고서 검토 • 시추조사 위치 및 심도의 적정성 검토 • 실내시험 결과 등급 적정성 검토 • 실시설계시 추가지반조사 필요구간 검토</t>
        </is>
      </c>
      <c r="N1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7" s="163" t="inlineStr">
        <is>
          <t>1) 지반조사 수렴 결과 분석 적정성을 확인하였는가? 2) 지반조사 결과 분석 의견서 산출물을 확보하였는가?</t>
        </is>
      </c>
      <c r="P1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7" s="163" t="n"/>
      <c r="R17" s="208" t="n"/>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row>
    <row r="18" ht="52" customHeight="1" s="147">
      <c r="A18" s="199" t="inlineStr">
        <is>
          <t>9000</t>
        </is>
      </c>
      <c r="B18" s="199" t="inlineStr">
        <is>
          <t>9000-1</t>
        </is>
      </c>
      <c r="C18" s="199" t="inlineStr">
        <is>
          <t>지반조사</t>
        </is>
      </c>
      <c r="D18" s="199" t="inlineStr">
        <is>
          <t>9000-1-17</t>
        </is>
      </c>
      <c r="E18" s="200" t="inlineStr">
        <is>
          <t>9000-1-16</t>
        </is>
      </c>
      <c r="F18" s="200" t="inlineStr">
        <is>
          <t>9000-1-18</t>
        </is>
      </c>
      <c r="G18" s="155" t="inlineStr">
        <is>
          <t>포스코스마트엔지니어링팀</t>
        </is>
      </c>
      <c r="H18" s="200" t="inlineStr">
        <is>
          <t>토목견적팀(원가), 토목수행팀(공정), 토목사업지원팀(기획)</t>
        </is>
      </c>
      <c r="I18" s="200"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18" s="156" t="inlineStr">
        <is>
          <t>입찰설계 지반조사 검토서(설계, 원가, 공정, 기타)</t>
        </is>
      </c>
      <c r="K18" s="156" t="inlineStr">
        <is>
          <t>입찰설계 지반조사 결과에 따른 직분야 R/O 및 Cost impact 반영 사항 검토 | 입찰설계 지반조사 검토서(설계, 원가, 공정, 기타)</t>
        </is>
      </c>
      <c r="L1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8" s="156" t="inlineStr">
        <is>
          <t>• 입찰설계 지반조사 결과 분석을 통한 원가 및 공정 영향 검토 • 미시추 구간 평가 및 공정 Risk 반영 사항 검토 • 지반조건을 고려한 발파공법성 여부 검토</t>
        </is>
      </c>
      <c r="N18"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8" s="156" t="inlineStr">
        <is>
          <t>1) 입찰설계 지반조사 R/O 검토 (설계, 원가, 공정, 기타) 적정성을 확인하였는가? 2) 입찰설계 지반조사 검토서(설계, 원가, 공정, 기타) 산출물을 확보하였는가?</t>
        </is>
      </c>
      <c r="P18"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8" s="156" t="n"/>
      <c r="R18" s="203" t="n"/>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row>
    <row r="19" ht="52" customHeight="1" s="147">
      <c r="A19" s="204" t="inlineStr">
        <is>
          <t>9000</t>
        </is>
      </c>
      <c r="B19" s="204" t="inlineStr">
        <is>
          <t>9000-1</t>
        </is>
      </c>
      <c r="C19" s="204" t="inlineStr">
        <is>
          <t>지반조사</t>
        </is>
      </c>
      <c r="D19" s="204" t="inlineStr">
        <is>
          <t>9000-1-18</t>
        </is>
      </c>
      <c r="E19" s="205" t="inlineStr">
        <is>
          <t>9000-1-17</t>
        </is>
      </c>
      <c r="F19" s="205" t="inlineStr">
        <is>
          <t>9000-1-19</t>
        </is>
      </c>
      <c r="G19" s="162" t="inlineStr">
        <is>
          <t>토목견적팀(원가), 토목수행팀(공정), 토목사업지원팀(기획)</t>
        </is>
      </c>
      <c r="H19" s="205" t="inlineStr">
        <is>
          <t>포스코스마트엔지니어링팀</t>
        </is>
      </c>
      <c r="I19" s="205" t="inlineStr">
        <is>
          <t>원가 및 공정 검토 결과에 따른 입찰설계 R/O 최종 확정 (협업: • 입찰설계 지반조사 R/O별 Cost effect 분석 • 유사사업 L/L 분석, R/P 검토를 통한 실시설계시 고려사항 검토)</t>
        </is>
      </c>
      <c r="J19" s="163" t="inlineStr">
        <is>
          <t>입찰설계 R/O 검토서</t>
        </is>
      </c>
      <c r="K19" s="163" t="inlineStr">
        <is>
          <t>원가 및 공정 검토 결과에 따른 입찰설계 R/O 최종 확정 | 입찰설계 R/O 검토서</t>
        </is>
      </c>
      <c r="L1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9" s="163" t="inlineStr">
        <is>
          <t>• 입찰설계 지반조사 R/O별 Cost effect 분석 • 유사사업 L/L 분석, R/P 검토를 통한 실시설계시 고려사항 검토</t>
        </is>
      </c>
      <c r="N19"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9" s="163" t="inlineStr">
        <is>
          <t>1) 지반조사 결과 R/O 종합검토 적정성을 확인하였는가? 2) 입찰설계 R/O 검토서 산출물을 확보하였는가?</t>
        </is>
      </c>
      <c r="P19"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9" s="163" t="n"/>
      <c r="R19" s="208" t="n"/>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row>
    <row r="20" ht="52" customHeight="1" s="147">
      <c r="A20" s="199" t="inlineStr">
        <is>
          <t>9000</t>
        </is>
      </c>
      <c r="B20" s="199" t="inlineStr">
        <is>
          <t>9000-1</t>
        </is>
      </c>
      <c r="C20" s="199" t="inlineStr">
        <is>
          <t>지반조사</t>
        </is>
      </c>
      <c r="D20" s="199" t="inlineStr">
        <is>
          <t>9000-1-19</t>
        </is>
      </c>
      <c r="E20" s="200" t="inlineStr">
        <is>
          <t>9000-1-18</t>
        </is>
      </c>
      <c r="F20" s="200" t="inlineStr">
        <is>
          <t>9000-1-20</t>
        </is>
      </c>
      <c r="G20" s="155" t="inlineStr">
        <is>
          <t>토목견적팀, 토목사업지원팀</t>
        </is>
      </c>
      <c r="H20" s="200" t="inlineStr">
        <is>
          <t>포스코스마트엔지니어링팀</t>
        </is>
      </c>
      <c r="I20" s="200" t="inlineStr">
        <is>
          <t>REM 차트 작성(회사의 Core Risk, T/C 공정검토 결과, 경쟁사 동향, 발주 경향) 및 보고 (협업: • Risk Profiling/Merge 방안 검토 • 공정 착공성 검토 및 T/C 검토 • 설계차별화 및 Idea Frame 검토)</t>
        </is>
      </c>
      <c r="J20" s="156" t="inlineStr">
        <is>
          <t>REM 회의록</t>
        </is>
      </c>
      <c r="K20" s="156" t="inlineStr">
        <is>
          <t>REM 차트 작성(회사의 Core Risk, T/C 공정검토 결과, 경쟁사 동향, 발주 경향) 및 보고 | REM 회의록</t>
        </is>
      </c>
      <c r="L2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0" s="156" t="inlineStr">
        <is>
          <t>• Risk Profiling/Merge 방안 검토 • 공정 착공성 검토 및 T/C 검토 • 설계차별화 및 Idea Frame 검토</t>
        </is>
      </c>
      <c r="N20"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0" s="156" t="inlineStr">
        <is>
          <t>1) REM 수립 적정성을 확인하였는가? 2) REM 회의록 산출물을 확보하였는가?</t>
        </is>
      </c>
      <c r="P20"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0" s="156" t="n"/>
      <c r="R20" s="203" t="n"/>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row>
    <row r="21" ht="52" customHeight="1" s="147">
      <c r="A21" s="204" t="inlineStr">
        <is>
          <t>9000</t>
        </is>
      </c>
      <c r="B21" s="204" t="inlineStr">
        <is>
          <t>9000-1</t>
        </is>
      </c>
      <c r="C21" s="204" t="inlineStr">
        <is>
          <t>지반조사</t>
        </is>
      </c>
      <c r="D21" s="204" t="inlineStr">
        <is>
          <t>9000-1-20</t>
        </is>
      </c>
      <c r="E21" s="205" t="inlineStr">
        <is>
          <t>9000-1-19</t>
        </is>
      </c>
      <c r="F21" s="205" t="inlineStr">
        <is>
          <t>9000-1-21</t>
        </is>
      </c>
      <c r="G21" s="162" t="inlineStr">
        <is>
          <t>토목견적팀(원가), 토목수행팀(공정), 토목사업지원팀(기획)</t>
        </is>
      </c>
      <c r="H21" s="205" t="inlineStr">
        <is>
          <t>포스코스마트엔지니어링팀</t>
        </is>
      </c>
      <c r="I21" s="205" t="inlineStr">
        <is>
          <t>R/O 분석 결과에 기반한 추가지반조사 항목 도출 (협업: • 지반조사 수렴 결과 분석보고서 검토 • 지반조사 결과 R/O 종합검토 결과 검토)</t>
        </is>
      </c>
      <c r="J21" s="163" t="inlineStr">
        <is>
          <t>추가지반조사 List</t>
        </is>
      </c>
      <c r="K21" s="163" t="inlineStr">
        <is>
          <t>R/O 분석 결과에 기반한 추가지반조사 항목 도출 | 추가지반조사 List</t>
        </is>
      </c>
      <c r="L2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1" s="163" t="inlineStr">
        <is>
          <t>• 지반조사 수렴 결과 분석보고서 검토 • 지반조사 결과 R/O 종합검토 결과 검토</t>
        </is>
      </c>
      <c r="N21"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1" s="163" t="inlineStr">
        <is>
          <t>1) 추가지반조사 계획 수립 적정성을 확인하였는가? 2) 추가지반조사 List 산출물을 확보하였는가?</t>
        </is>
      </c>
      <c r="P21"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1" s="163" t="n"/>
      <c r="R21" s="208" t="n"/>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row>
    <row r="22" ht="52" customHeight="1" s="147">
      <c r="A22" s="199" t="inlineStr">
        <is>
          <t>9000</t>
        </is>
      </c>
      <c r="B22" s="199" t="inlineStr">
        <is>
          <t>9000-1</t>
        </is>
      </c>
      <c r="C22" s="199" t="inlineStr">
        <is>
          <t>지반조사</t>
        </is>
      </c>
      <c r="D22" s="199" t="inlineStr">
        <is>
          <t>9000-1-21</t>
        </is>
      </c>
      <c r="E22" s="200" t="inlineStr">
        <is>
          <t>9000-1-20</t>
        </is>
      </c>
      <c r="F22" s="200" t="inlineStr">
        <is>
          <t>9000-1-22</t>
        </is>
      </c>
      <c r="G22" s="155" t="inlineStr">
        <is>
          <t>현장 공사팀</t>
        </is>
      </c>
      <c r="H22" s="200" t="inlineStr">
        <is>
          <t>현장 공무팀</t>
        </is>
      </c>
      <c r="I22" s="200" t="inlineStr">
        <is>
          <t>적정 추가지반조사 규명을 위한 장비 사양 검토 (협업: •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J22" s="156" t="inlineStr">
        <is>
          <t>-</t>
        </is>
      </c>
      <c r="K22" s="156" t="inlineStr">
        <is>
          <t>적정 추가지반조사 규명을 위한 장비 사양 검토 | -</t>
        </is>
      </c>
      <c r="L2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2" s="156" t="inlineStr">
        <is>
          <t>• 3D GPR탐사 장비 사양(차량형) - 3D Radar(노르웨이)_200~3000Hz, 2.0m~3.0m : 하상도 높음 - MIRA(스웨덴)_400~1300Hz, 1.0m~2.0m : 정밀한 입체 형상 - St...</t>
        </is>
      </c>
      <c r="N2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2" s="156" t="inlineStr">
        <is>
          <t>1) 3D GPR탐사 장비 사양(차량형) 검토 적정성을 확인하였는가? 2) - 산출물을 확보하였는가?</t>
        </is>
      </c>
      <c r="P2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2" s="156" t="n"/>
      <c r="R22" s="203" t="n"/>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row>
    <row r="23" ht="52" customHeight="1" s="147">
      <c r="A23" s="204" t="inlineStr">
        <is>
          <t>9000</t>
        </is>
      </c>
      <c r="B23" s="204" t="inlineStr">
        <is>
          <t>9000-1</t>
        </is>
      </c>
      <c r="C23" s="204" t="inlineStr">
        <is>
          <t>지반조사</t>
        </is>
      </c>
      <c r="D23" s="204" t="inlineStr">
        <is>
          <t>9000-1-22</t>
        </is>
      </c>
      <c r="E23" s="205" t="inlineStr">
        <is>
          <t>9000-1-21</t>
        </is>
      </c>
      <c r="F23" s="205" t="inlineStr">
        <is>
          <t>9000-1-23</t>
        </is>
      </c>
      <c r="G23" s="162" t="inlineStr">
        <is>
          <t>포스코스마트엔지니어링팀, 토목수행팀, 토목사업지원팀</t>
        </is>
      </c>
      <c r="H23" s="205" t="inlineStr">
        <is>
          <t>토목견적팀(원가)</t>
        </is>
      </c>
      <c r="I23" s="205"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23" s="163" t="inlineStr">
        <is>
          <t>입찰설계 지반조사 검토서(설계, 원가, 공정, 기타)</t>
        </is>
      </c>
      <c r="K23" s="163" t="inlineStr">
        <is>
          <t>입찰설계 지반조사 결과에 따른 직분야 R/O 및 Cost impact 반영 사항 검토 | 입찰설계 지반조사 검토서(설계, 원가, 공정, 기타)</t>
        </is>
      </c>
      <c r="L2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3" s="163" t="inlineStr">
        <is>
          <t>• 입찰설계 지반조사 결과 분석을 통한 원가 및 공정 영향 검토 • 미시추 구간 평가 및 공정 Risk 반영 사항 검토 • 지반조건을 고려한 발파공법성 여부 검토</t>
        </is>
      </c>
      <c r="N2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3" s="163" t="inlineStr">
        <is>
          <t>1) ECRM 수립 적정성을 확인하였는가? 2) 입찰설계 지반조사 검토서(설계, 원가, 공정, 기타) 산출물을 확보하였는가?</t>
        </is>
      </c>
      <c r="P2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3" s="163" t="n"/>
      <c r="R23" s="208" t="n"/>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row>
    <row r="24" ht="52" customHeight="1" s="147">
      <c r="A24" s="199" t="inlineStr">
        <is>
          <t>9000</t>
        </is>
      </c>
      <c r="B24" s="199" t="inlineStr">
        <is>
          <t>9000-1</t>
        </is>
      </c>
      <c r="C24" s="199" t="inlineStr">
        <is>
          <t>지반조사</t>
        </is>
      </c>
      <c r="D24" s="199" t="inlineStr">
        <is>
          <t>9000-1-23</t>
        </is>
      </c>
      <c r="E24" s="200" t="inlineStr">
        <is>
          <t>9000-1-22</t>
        </is>
      </c>
      <c r="F24" s="200" t="inlineStr">
        <is>
          <t>9000-1-24</t>
        </is>
      </c>
      <c r="G24" s="155" t="inlineStr">
        <is>
          <t>-</t>
        </is>
      </c>
      <c r="H24" s="200" t="inlineStr">
        <is>
          <t>토목견적팀</t>
        </is>
      </c>
      <c r="I24" s="200" t="inlineStr">
        <is>
          <t>입찰 (협업: • 최종 R/O를 반영한 투찰내역서 작성)</t>
        </is>
      </c>
      <c r="J24" s="156" t="inlineStr">
        <is>
          <t>투찰내역서</t>
        </is>
      </c>
      <c r="K24" s="156" t="inlineStr">
        <is>
          <t>입찰 | 투찰내역서</t>
        </is>
      </c>
      <c r="L2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4" s="156" t="inlineStr">
        <is>
          <t>• 최종 R/O를 반영한 투찰내역서 작성</t>
        </is>
      </c>
      <c r="N2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4" s="156" t="inlineStr">
        <is>
          <t>1) 최종 Cost 검토 / 입찰 적정성을 확인하였는가? 2) 투찰내역서 산출물을 확보하였는가?</t>
        </is>
      </c>
      <c r="P2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row>
    <row r="25" ht="52" customHeight="1" s="147">
      <c r="A25" s="204" t="inlineStr">
        <is>
          <t>9000</t>
        </is>
      </c>
      <c r="B25" s="204" t="inlineStr">
        <is>
          <t>9000-1</t>
        </is>
      </c>
      <c r="C25" s="204" t="inlineStr">
        <is>
          <t>지반조사</t>
        </is>
      </c>
      <c r="D25" s="204" t="inlineStr">
        <is>
          <t>9000-1-24</t>
        </is>
      </c>
      <c r="E25" s="205" t="inlineStr">
        <is>
          <t>9000-1-23</t>
        </is>
      </c>
      <c r="F25" s="205" t="inlineStr">
        <is>
          <t>9000-1-25</t>
        </is>
      </c>
      <c r="G25" s="162" t="inlineStr">
        <is>
          <t>토목수행팀</t>
        </is>
      </c>
      <c r="H25" s="205" t="inlineStr">
        <is>
          <t>현장소장</t>
        </is>
      </c>
      <c r="I25" s="205" t="inlineStr">
        <is>
          <t>지반조사 포함 전체 R/O 승계자료 인수인계 및 추가지반조사 계획 공유 (협업: • 최종 R/O 결과 및 입찰도서 인출)</t>
        </is>
      </c>
      <c r="J25" s="163" t="inlineStr">
        <is>
          <t>인수인계서</t>
        </is>
      </c>
      <c r="K25" s="163" t="inlineStr">
        <is>
          <t>지반조사 포함 전체 R/O 승계자료 인수인계 및 추가지반조사 계획 공유 | 인수인계서</t>
        </is>
      </c>
      <c r="L2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5" s="163" t="inlineStr">
        <is>
          <t>• 최종 R/O 결과 및 입찰도서 인출</t>
        </is>
      </c>
      <c r="N2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5" s="163" t="inlineStr">
        <is>
          <t>1) 입찰설계 현장 인수인계 적정성을 확인하였는가? 2) 인수인계서 산출물을 확보하였는가?</t>
        </is>
      </c>
      <c r="P2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5" s="163" t="n"/>
      <c r="R25" s="208" t="n"/>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row>
    <row r="26" ht="52" customHeight="1" s="147">
      <c r="A26" s="199" t="inlineStr">
        <is>
          <t>9000</t>
        </is>
      </c>
      <c r="B26" s="199" t="inlineStr">
        <is>
          <t>9000-1</t>
        </is>
      </c>
      <c r="C26" s="199" t="inlineStr">
        <is>
          <t>지반조사</t>
        </is>
      </c>
      <c r="D26" s="199" t="inlineStr">
        <is>
          <t>9000-1-25</t>
        </is>
      </c>
      <c r="E26" s="200" t="inlineStr">
        <is>
          <t>9000-1-24</t>
        </is>
      </c>
      <c r="F26" s="200" t="inlineStr">
        <is>
          <t>9000-1-26</t>
        </is>
      </c>
      <c r="G26" s="155" t="inlineStr">
        <is>
          <t>현장 공사팀/공무팀, 포스코스마트엔지니어링팀, 토목수행팀</t>
        </is>
      </c>
      <c r="H26" s="200" t="inlineStr">
        <is>
          <t>지반조사업체</t>
        </is>
      </c>
      <c r="I26" s="200" t="inlineStr">
        <is>
          <t>미시추구간 지반조사 수행을 통한 지반 Risk Hedge (협업: •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J26" s="156" t="inlineStr">
        <is>
          <t>추가 지반조사 보고서</t>
        </is>
      </c>
      <c r="K26" s="156" t="inlineStr">
        <is>
          <t>미시추구간 지반조사 수행을 통한 지반 Risk Hedge | 추가 지반조사 보고서</t>
        </is>
      </c>
      <c r="L2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6" s="15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N2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6" s="156" t="inlineStr">
        <is>
          <t>1) 추가지반조사 수행 적정성을 확인하였는가? 2) 추가 지반조사 보고서 산출물을 확보하였는가?</t>
        </is>
      </c>
      <c r="P2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6" s="156" t="n"/>
      <c r="R26" s="203" t="n"/>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row>
    <row r="27" ht="52" customHeight="1" s="147">
      <c r="A27" s="204" t="inlineStr">
        <is>
          <t>9000</t>
        </is>
      </c>
      <c r="B27" s="204" t="inlineStr">
        <is>
          <t>9000-1</t>
        </is>
      </c>
      <c r="C27" s="204" t="inlineStr">
        <is>
          <t>지반조사</t>
        </is>
      </c>
      <c r="D27" s="204" t="inlineStr">
        <is>
          <t>9000-1-26</t>
        </is>
      </c>
      <c r="E27" s="205" t="inlineStr">
        <is>
          <t>9000-1-25</t>
        </is>
      </c>
      <c r="F27" s="205" t="inlineStr">
        <is>
          <t>9000-1-27</t>
        </is>
      </c>
      <c r="G27" s="162" t="inlineStr">
        <is>
          <t>현장 공사팀/공무팀, 포스코스마트엔지니어링팀, 토목수행팀</t>
        </is>
      </c>
      <c r="H27" s="205" t="inlineStr">
        <is>
          <t>외부지질전문가 3인 이상</t>
        </is>
      </c>
      <c r="I27" s="205" t="inlineStr">
        <is>
          <t>추가지반조사 결과에 기반한 최종 R/O 확정 (협업: • 외부전문가 검토 통한 지반특성 최종 Cross-check 확인 • 입찰설계 지반조사 대비 지반특성 변경구간 제원도 확인)</t>
        </is>
      </c>
      <c r="J27" s="163" t="inlineStr">
        <is>
          <t>추가 지반조사결과 종합보고서</t>
        </is>
      </c>
      <c r="K27" s="163" t="inlineStr">
        <is>
          <t>추가지반조사 결과에 기반한 최종 R/O 확정 | 추가 지반조사결과 종합보고서</t>
        </is>
      </c>
      <c r="L2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7" s="163" t="inlineStr">
        <is>
          <t>• 외부전문가 검토 통한 지반특성 최종 Cross-check 확인 • 입찰설계 지반조사 대비 지반특성 변경구간 제원도 확인</t>
        </is>
      </c>
      <c r="N2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7" s="163" t="inlineStr">
        <is>
          <t>1) 추가지반조사 결과 분석 적정성을 확인하였는가? 2) 추가 지반조사결과 종합보고서 산출물을 확보하였는가?</t>
        </is>
      </c>
      <c r="P2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7" s="163" t="n"/>
      <c r="R27" s="208" t="n"/>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row>
    <row r="28" ht="52" customHeight="1" s="147">
      <c r="A28" s="199" t="inlineStr">
        <is>
          <t>9000</t>
        </is>
      </c>
      <c r="B28" s="199" t="inlineStr">
        <is>
          <t>9000-1</t>
        </is>
      </c>
      <c r="C28" s="199" t="inlineStr">
        <is>
          <t>지반조사</t>
        </is>
      </c>
      <c r="D28" s="199" t="inlineStr">
        <is>
          <t>9000-1-27</t>
        </is>
      </c>
      <c r="E28" s="200" t="inlineStr">
        <is>
          <t>9000-1-26</t>
        </is>
      </c>
      <c r="F28" s="200" t="inlineStr">
        <is>
          <t>9000-1-28</t>
        </is>
      </c>
      <c r="G28" s="155" t="inlineStr">
        <is>
          <t>현장 공사팀/품질팀/공무팀, 토목견적팀(원가), 토목수행팀(공정), 토목사업지원팀(기획)</t>
        </is>
      </c>
      <c r="H28" s="200" t="inlineStr">
        <is>
          <t>포스코스마트엔지니어링팀</t>
        </is>
      </c>
      <c r="I28" s="200" t="inlineStr">
        <is>
          <t>실시설계 지반조사 결과에 따른 직분야 R/O 및 Cost impact 반영 사항 검토 (협업: • 실시설계 추가지반조사 결과 분석을 통한 원가 및 공정 영향 검토 • 미시추 구간 평가 및 공정 Risk 반영 사항 검토 • 지반조건을 고려한 발파공법성 검토)</t>
        </is>
      </c>
      <c r="J28" s="156" t="inlineStr">
        <is>
          <t>실시설계 지반조사 검토서(설계, 원가, 공정, 기타)</t>
        </is>
      </c>
      <c r="K28" s="156" t="inlineStr">
        <is>
          <t>실시설계 지반조사 결과에 따른 직분야 R/O 및 Cost impact 반영 사항 검토 | 실시설계 지반조사 검토서(설계, 원가, 공정, 기타)</t>
        </is>
      </c>
      <c r="L2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8" s="156" t="inlineStr">
        <is>
          <t>• 실시설계 추가지반조사 결과 분석을 통한 원가 및 공정 영향 검토 • 미시추 구간 평가 및 공정 Risk 반영 사항 검토 • 지반조건을 고려한 발파공법성 검토</t>
        </is>
      </c>
      <c r="N28"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8" s="156" t="inlineStr">
        <is>
          <t>1) 실시설계 지반조사 R/O 검토 (설계, 원가, 공정, 기타) 적정성을 확인하였는가? 2) 실시설계 지반조사 검토서(설계, 원가, 공정, 기타) 산출물을 확보하였는가?</t>
        </is>
      </c>
      <c r="P28"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8" s="156" t="n"/>
      <c r="R28" s="203" t="n"/>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row>
    <row r="29" ht="52" customHeight="1" s="147">
      <c r="A29" s="204" t="inlineStr">
        <is>
          <t>9000</t>
        </is>
      </c>
      <c r="B29" s="204" t="inlineStr">
        <is>
          <t>9000-1</t>
        </is>
      </c>
      <c r="C29" s="204" t="inlineStr">
        <is>
          <t>지반조사</t>
        </is>
      </c>
      <c r="D29" s="204" t="inlineStr">
        <is>
          <t>9000-1-28</t>
        </is>
      </c>
      <c r="E29" s="205" t="inlineStr">
        <is>
          <t>9000-1-27</t>
        </is>
      </c>
      <c r="F29" s="205" t="inlineStr">
        <is>
          <t>9000-1-29</t>
        </is>
      </c>
      <c r="G29" s="162" t="inlineStr">
        <is>
          <t>현장 공사팀/품질팀/공무팀, 토목견적팀(원가), 토목수행팀(공정), 토목사업지원팀(기획)</t>
        </is>
      </c>
      <c r="H29" s="205" t="inlineStr">
        <is>
          <t>포스코스마트엔지니어링팀</t>
        </is>
      </c>
      <c r="I29" s="205" t="inlineStr">
        <is>
          <t>추가지반조사 결과에 기반한 최종 R/O 확정 (협업: • 추가지반조사 결과 검토)</t>
        </is>
      </c>
      <c r="J29" s="163" t="inlineStr">
        <is>
          <t>실시설계 최종 R/O</t>
        </is>
      </c>
      <c r="K29" s="163" t="inlineStr">
        <is>
          <t>추가지반조사 결과에 기반한 최종 R/O 확정 | 실시설계 최종 R/O</t>
        </is>
      </c>
      <c r="L2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9" s="163" t="inlineStr">
        <is>
          <t>• 추가지반조사 결과 검토</t>
        </is>
      </c>
      <c r="N29"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9" s="163" t="inlineStr">
        <is>
          <t>1) 실시설계 추가지반조사 결과 검토 적정성을 확인하였는가? 2) 실시설계 최종 R/O 산출물을 확보하였는가?</t>
        </is>
      </c>
      <c r="P29"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9" s="163" t="n"/>
      <c r="R29" s="208" t="n"/>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row>
    <row r="30" ht="52" customHeight="1" s="147">
      <c r="A30" s="199" t="inlineStr">
        <is>
          <t>9000</t>
        </is>
      </c>
      <c r="B30" s="199" t="inlineStr">
        <is>
          <t>9000-1</t>
        </is>
      </c>
      <c r="C30" s="199" t="inlineStr">
        <is>
          <t>지반조사</t>
        </is>
      </c>
      <c r="D30" s="199" t="inlineStr">
        <is>
          <t>9000-1-29</t>
        </is>
      </c>
      <c r="E30" s="200" t="inlineStr">
        <is>
          <t>9000-1-28</t>
        </is>
      </c>
      <c r="F30" s="200" t="inlineStr">
        <is>
          <t>9000-1-30</t>
        </is>
      </c>
      <c r="G30" s="155" t="inlineStr">
        <is>
          <t>토목수행팀</t>
        </is>
      </c>
      <c r="H30" s="200" t="inlineStr">
        <is>
          <t>현장소장</t>
        </is>
      </c>
      <c r="I30" s="200" t="inlineStr">
        <is>
          <t>최종 지반조사 결과에 따른 R/O 이행방안 수립 (협업: • Core Risk 및 Hedge 방안 수립 • Opportunity에 따른 본공 상가 추가 개선 방안 수립)</t>
        </is>
      </c>
      <c r="J30" s="156" t="inlineStr">
        <is>
          <t>최종 R/O 이행계획서</t>
        </is>
      </c>
      <c r="K30" s="156" t="inlineStr">
        <is>
          <t>최종 지반조사 결과에 따른 R/O 이행방안 수립 | 최종 R/O 이행계획서</t>
        </is>
      </c>
      <c r="L3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0" s="156" t="inlineStr">
        <is>
          <t>• Core Risk 및 Hedge 방안 수립 • Opportunity에 따른 본공 상가 추가 개선 방안 수립</t>
        </is>
      </c>
      <c r="N30"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0" s="156" t="inlineStr">
        <is>
          <t>1) 최종 R/O 이행방안 수립 적정성을 확인하였는가? 2) 최종 R/O 이행계획서 산출물을 확보하였는가?</t>
        </is>
      </c>
      <c r="P30"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0" s="156" t="n"/>
      <c r="R30" s="203" t="n"/>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row>
    <row r="31" ht="52" customHeight="1" s="147">
      <c r="A31" s="204" t="inlineStr">
        <is>
          <t>9000</t>
        </is>
      </c>
      <c r="B31" s="204" t="inlineStr">
        <is>
          <t>9000-1</t>
        </is>
      </c>
      <c r="C31" s="204" t="inlineStr">
        <is>
          <t>지반조사</t>
        </is>
      </c>
      <c r="D31" s="204" t="inlineStr">
        <is>
          <t>9000-1-30</t>
        </is>
      </c>
      <c r="E31" s="205" t="inlineStr">
        <is>
          <t>9000-1-29</t>
        </is>
      </c>
      <c r="F31" s="205" t="inlineStr">
        <is>
          <t>9000-1-31</t>
        </is>
      </c>
      <c r="G31" s="162" t="inlineStr">
        <is>
          <t>현장 공사팀/공무팀</t>
        </is>
      </c>
      <c r="H31" s="205" t="inlineStr">
        <is>
          <t>포스코스마트엔지니어링팀</t>
        </is>
      </c>
      <c r="I31" s="205" t="inlineStr">
        <is>
          <t>참여인력 전문성 평가 및 특이사항 기록 (협업: • 외부지질 전문가 업무평가서 작성)</t>
        </is>
      </c>
      <c r="J31" s="163" t="inlineStr">
        <is>
          <t>외부지질 전문가 업무평가서</t>
        </is>
      </c>
      <c r="K31" s="163" t="inlineStr">
        <is>
          <t>참여인력 전문성 평가 및 특이사항 기록 | 외부지질 전문가 업무평가서</t>
        </is>
      </c>
      <c r="L3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1" s="163" t="inlineStr">
        <is>
          <t>• 외부지질 전문가 업무평가서 작성</t>
        </is>
      </c>
      <c r="N31"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1" s="163" t="inlineStr">
        <is>
          <t>1) 외부지질전문가 업무평가 적정성을 확인하였는가? 2) 외부지질 전문가 업무평가서 산출물을 확보하였는가?</t>
        </is>
      </c>
      <c r="P31"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1" s="163" t="n"/>
      <c r="R31" s="208" t="n"/>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row>
    <row r="32" ht="52" customHeight="1" s="147">
      <c r="A32" s="199" t="inlineStr">
        <is>
          <t>9000</t>
        </is>
      </c>
      <c r="B32" s="199" t="inlineStr">
        <is>
          <t>9000-1</t>
        </is>
      </c>
      <c r="C32" s="199" t="inlineStr">
        <is>
          <t>지반조사</t>
        </is>
      </c>
      <c r="D32" s="199" t="inlineStr">
        <is>
          <t>9000-1-31</t>
        </is>
      </c>
      <c r="E32" s="200" t="inlineStr">
        <is>
          <t>9000-1-30</t>
        </is>
      </c>
      <c r="F32" s="200" t="inlineStr">
        <is>
          <t>9000-1-32</t>
        </is>
      </c>
      <c r="G32" s="155" t="inlineStr">
        <is>
          <t>현장 공사팀/공무팀</t>
        </is>
      </c>
      <c r="H32" s="200" t="inlineStr">
        <is>
          <t>포스코스마트엔지니어링팀</t>
        </is>
      </c>
      <c r="I32" s="200" t="inlineStr">
        <is>
          <t>조사업체 PM 전문성 평가 및 특이사항 기록 (협업: • 지반조사 PM 업무평가서 작성)</t>
        </is>
      </c>
      <c r="J32" s="156" t="inlineStr">
        <is>
          <t>PM업무평가서</t>
        </is>
      </c>
      <c r="K32" s="156" t="inlineStr">
        <is>
          <t>조사업체 PM 전문성 평가 및 특이사항 기록 | PM업무평가서</t>
        </is>
      </c>
      <c r="L3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2" s="156" t="inlineStr">
        <is>
          <t>• 지반조사 PM 업무평가서 작성</t>
        </is>
      </c>
      <c r="N3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2" s="156" t="inlineStr">
        <is>
          <t>1) 조사업체 PM 업무평가 적정성을 확인하였는가? 2) PM업무평가서 산출물을 확보하였는가?</t>
        </is>
      </c>
      <c r="P3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2" s="156" t="n"/>
      <c r="R32" s="203" t="n"/>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row>
    <row r="33" ht="52" customHeight="1" s="147">
      <c r="A33" s="204" t="inlineStr">
        <is>
          <t>9000</t>
        </is>
      </c>
      <c r="B33" s="204" t="inlineStr">
        <is>
          <t>9000-1</t>
        </is>
      </c>
      <c r="C33" s="204" t="inlineStr">
        <is>
          <t>지반조사</t>
        </is>
      </c>
      <c r="D33" s="204" t="inlineStr">
        <is>
          <t>9000-1-32</t>
        </is>
      </c>
      <c r="E33" s="205" t="inlineStr">
        <is>
          <t>9000-1-31</t>
        </is>
      </c>
      <c r="F33" s="205" t="inlineStr">
        <is>
          <t>9000-1-33</t>
        </is>
      </c>
      <c r="G33" s="162" t="inlineStr">
        <is>
          <t>현장 공사팀/공무팀</t>
        </is>
      </c>
      <c r="H33" s="205" t="inlineStr">
        <is>
          <t>현장소장</t>
        </is>
      </c>
      <c r="I33" s="205" t="inlineStr">
        <is>
          <t>조사업체 업무평가 및 특이사항 기록 (협업: • 협력업체 업무평가서)</t>
        </is>
      </c>
      <c r="J33" s="163" t="inlineStr">
        <is>
          <t>협력업체 업무평가서</t>
        </is>
      </c>
      <c r="K33" s="163" t="inlineStr">
        <is>
          <t>조사업체 업무평가 및 특이사항 기록 | 협력업체 업무평가서</t>
        </is>
      </c>
      <c r="L3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3" s="163" t="inlineStr">
        <is>
          <t>• 협력업체 업무평가서</t>
        </is>
      </c>
      <c r="N3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3" s="163" t="inlineStr">
        <is>
          <t>1) 지반조사업체 업무평가 적정성을 확인하였는가? 2) 협력업체 업무평가서 산출물을 확보하였는가?</t>
        </is>
      </c>
      <c r="P3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3" s="163" t="n"/>
      <c r="R33" s="208" t="n"/>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row>
    <row r="34" ht="52" customHeight="1" s="147">
      <c r="A34" s="199" t="inlineStr">
        <is>
          <t>9000</t>
        </is>
      </c>
      <c r="B34" s="199" t="inlineStr">
        <is>
          <t>9000-1</t>
        </is>
      </c>
      <c r="C34" s="199" t="inlineStr">
        <is>
          <t>지반조사</t>
        </is>
      </c>
      <c r="D34" s="199" t="inlineStr">
        <is>
          <t>9000-1-33</t>
        </is>
      </c>
      <c r="E34" s="200" t="inlineStr">
        <is>
          <t>9000-1-32</t>
        </is>
      </c>
      <c r="F34" s="200" t="inlineStr">
        <is>
          <t>9000-1-34</t>
        </is>
      </c>
      <c r="G34" s="155" t="inlineStr">
        <is>
          <t>현장 공무팀</t>
        </is>
      </c>
      <c r="H34" s="200" t="inlineStr">
        <is>
          <t>현장소장</t>
        </is>
      </c>
      <c r="I34" s="200" t="inlineStr">
        <is>
          <t>설계변경 사항 기록 (협업: • 설계변경 사유 기록관리 • 예상 R/O대비 설계변경 사항 비교 검토)</t>
        </is>
      </c>
      <c r="J34" s="156" t="inlineStr">
        <is>
          <t>LL리포트</t>
        </is>
      </c>
      <c r="K34" s="156" t="inlineStr">
        <is>
          <t>설계변경 사항 기록 | LL리포트</t>
        </is>
      </c>
      <c r="L3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4" s="156" t="inlineStr">
        <is>
          <t>• 설계변경 사유 기록관리 • 예상 R/O대비 설계변경 사항 비교 검토</t>
        </is>
      </c>
      <c r="N3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4" s="156" t="inlineStr">
        <is>
          <t>1) 설계변경 LL 리포트 작성 적정성을 확인하였는가? 2) LL리포트 산출물을 확보하였는가?</t>
        </is>
      </c>
      <c r="P3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4" s="156" t="n"/>
      <c r="R34" s="203" t="n"/>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row>
    <row r="35" ht="52" customHeight="1" s="147">
      <c r="A35" s="204" t="inlineStr">
        <is>
          <t>9000</t>
        </is>
      </c>
      <c r="B35" s="204" t="inlineStr">
        <is>
          <t>9000-1</t>
        </is>
      </c>
      <c r="C35" s="204" t="inlineStr">
        <is>
          <t>지반조사</t>
        </is>
      </c>
      <c r="D35" s="204" t="inlineStr">
        <is>
          <t>9000-1-34</t>
        </is>
      </c>
      <c r="E35" s="205" t="inlineStr">
        <is>
          <t>9000-1-33</t>
        </is>
      </c>
      <c r="F35" s="205" t="inlineStr">
        <is>
          <t>9000-1-35</t>
        </is>
      </c>
      <c r="G35" s="162" t="inlineStr">
        <is>
          <t>현장소장</t>
        </is>
      </c>
      <c r="H35" s="205" t="inlineStr">
        <is>
          <t>토목수행팀</t>
        </is>
      </c>
      <c r="I35" s="205" t="inlineStr">
        <is>
          <t>전체 현장 설계변경 사항 기록 (협업: • 현장별 설계변경 LL 리포트 취합 관리)</t>
        </is>
      </c>
      <c r="J35" s="163" t="inlineStr">
        <is>
          <t>LL리포트 List</t>
        </is>
      </c>
      <c r="K35" s="163" t="inlineStr">
        <is>
          <t>전체 현장 설계변경 사항 기록 | LL리포트 List</t>
        </is>
      </c>
      <c r="L3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5" s="163" t="inlineStr">
        <is>
          <t>• 현장별 설계변경 LL 리포트 취합 관리</t>
        </is>
      </c>
      <c r="N3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5" s="163" t="inlineStr">
        <is>
          <t>1) 설계변경 LL 리포트 관리 적정성을 확인하였는가? 2) LL리포트 List 산출물을 확보하였는가?</t>
        </is>
      </c>
      <c r="P3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5" s="163" t="n"/>
      <c r="R35" s="208" t="n"/>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row>
    <row r="36" ht="52" customHeight="1" s="147">
      <c r="A36" s="199" t="inlineStr">
        <is>
          <t>9000</t>
        </is>
      </c>
      <c r="B36" s="199" t="inlineStr">
        <is>
          <t>9000-1</t>
        </is>
      </c>
      <c r="C36" s="199" t="inlineStr">
        <is>
          <t>지반조사</t>
        </is>
      </c>
      <c r="D36" s="199" t="inlineStr">
        <is>
          <t>9000-1-35</t>
        </is>
      </c>
      <c r="E36" s="200" t="inlineStr">
        <is>
          <t>9000-1-34</t>
        </is>
      </c>
      <c r="F36" s="200" t="inlineStr">
        <is>
          <t>9000-1-36</t>
        </is>
      </c>
      <c r="G36" s="155" t="inlineStr">
        <is>
          <t>현장 공무팀</t>
        </is>
      </c>
      <c r="H36" s="200" t="inlineStr">
        <is>
          <t>일반구매팀</t>
        </is>
      </c>
      <c r="I36" s="200" t="inlineStr">
        <is>
          <t>지반조사업체 정산 (협업: • 조사도 수량 Check 후 구매시스템 변경계약 수행 • 변경계약 후 정산금 집행)</t>
        </is>
      </c>
      <c r="J36" s="156" t="inlineStr">
        <is>
          <t>정산계약서</t>
        </is>
      </c>
      <c r="K36" s="156" t="inlineStr">
        <is>
          <t>지반조사업체 정산 | 정산계약서</t>
        </is>
      </c>
      <c r="L3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6" s="156" t="inlineStr">
        <is>
          <t>• 조사도 수량 Check 후 구매시스템 변경계약 수행 • 변경계약 후 정산금 집행</t>
        </is>
      </c>
      <c r="N3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6" s="156" t="inlineStr">
        <is>
          <t>1) 지반조사업체 정산계약 적정성을 확인하였는가? 2) 정산계약서 산출물을 확보하였는가?</t>
        </is>
      </c>
      <c r="P3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6" s="156" t="n"/>
      <c r="R36" s="203" t="n"/>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row>
    <row r="37" ht="52" customHeight="1" s="147">
      <c r="A37" s="204" t="inlineStr">
        <is>
          <t>9000</t>
        </is>
      </c>
      <c r="B37" s="204" t="inlineStr">
        <is>
          <t>9000-1</t>
        </is>
      </c>
      <c r="C37" s="204" t="inlineStr">
        <is>
          <t>지반조사</t>
        </is>
      </c>
      <c r="D37" s="204" t="inlineStr">
        <is>
          <t>9000-1-36</t>
        </is>
      </c>
      <c r="E37" s="205" t="inlineStr">
        <is>
          <t>9000-1-35</t>
        </is>
      </c>
      <c r="F37" s="205" t="inlineStr">
        <is>
          <t>-</t>
        </is>
      </c>
      <c r="G37" s="162" t="inlineStr">
        <is>
          <t>현장 공무팀</t>
        </is>
      </c>
      <c r="H37" s="205" t="inlineStr">
        <is>
          <t>혁신실장</t>
        </is>
      </c>
      <c r="I37" s="205" t="inlineStr">
        <is>
          <t>지반조사 매뉴얼 Update (협업: • 매뉴얼 Update 및 개정사항 사내공지)</t>
        </is>
      </c>
      <c r="J37" s="163" t="inlineStr">
        <is>
          <t>지반조사 매뉴얼</t>
        </is>
      </c>
      <c r="K37" s="163" t="inlineStr">
        <is>
          <t>지반조사 매뉴얼 Update | 지반조사 매뉴얼</t>
        </is>
      </c>
      <c r="L3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7" s="163" t="inlineStr">
        <is>
          <t>• 매뉴얼 Update 및 개정사항 사내공지</t>
        </is>
      </c>
      <c r="N3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7" s="163" t="inlineStr">
        <is>
          <t>1) 매뉴얼 Update 적정성을 확인하였는가? 2) 지반조사 매뉴얼 산출물을 확보하였는가?</t>
        </is>
      </c>
      <c r="P3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7" s="163" t="n"/>
      <c r="R37" s="208" t="n"/>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OQ65"/>
  <sheetViews>
    <sheetView showGridLines="1" view="pageBreakPreview" topLeftCell="M1" zoomScale="55" zoomScaleNormal="55" zoomScaleSheetLayoutView="55" workbookViewId="0">
      <pane xSplit="4" ySplit="1" topLeftCell="E2" activePane="bottomRight" state="frozen"/>
      <selection pane="topRight" activeCell="A1" sqref="A1"/>
      <selection pane="bottomLeft" activeCell="A1" sqref="A1"/>
      <selection pane="bottomRight" activeCell="P5" sqref="P5"/>
    </sheetView>
  </sheetViews>
  <sheetFormatPr baseColWidth="8" defaultRowHeight="19.2"/>
  <cols>
    <col width="10" customWidth="1" style="3" min="1" max="1"/>
    <col width="10" customWidth="1" style="147" min="2" max="2"/>
    <col width="18" customWidth="1" style="3" min="3" max="3"/>
    <col width="12" customWidth="1" style="4" min="4" max="4"/>
    <col width="10" customWidth="1" style="4" min="5" max="5"/>
    <col width="10" customWidth="1" style="5" min="6" max="6"/>
    <col width="30" customWidth="1" style="3" min="7" max="7"/>
    <col width="14" customWidth="1" style="3" min="8" max="8"/>
    <col width="14" customWidth="1" style="3" min="9" max="9"/>
    <col width="38" customWidth="1" style="3" min="10" max="18"/>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3"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09" t="n"/>
      <c r="U1" s="209" t="n"/>
      <c r="V1" s="209" t="n"/>
      <c r="W1" s="209"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9000-2</t>
        </is>
      </c>
      <c r="C2" s="199" t="inlineStr">
        <is>
          <t>사전토공사</t>
        </is>
      </c>
      <c r="D2" s="199" t="inlineStr">
        <is>
          <t>9000-2-1</t>
        </is>
      </c>
      <c r="E2" s="200" t="inlineStr">
        <is>
          <t>-</t>
        </is>
      </c>
      <c r="F2" s="200" t="inlineStr">
        <is>
          <t>9000-2-2</t>
        </is>
      </c>
      <c r="G2" s="155" t="inlineStr">
        <is>
          <t>Site Survey</t>
        </is>
      </c>
      <c r="H2" s="200" t="inlineStr">
        <is>
          <t>D-90 (D-120~D-90)</t>
        </is>
      </c>
      <c r="I2" s="200" t="inlineStr">
        <is>
          <t>현장 공사팀</t>
        </is>
      </c>
      <c r="J2" s="156" t="inlineStr">
        <is>
          <t>KDS 47 10 00 철도지반 설계기준 | 현장 가설 둔차선, 용지 경계 및 원지반 고저차 3D 레벨 현측 | 토공사 사전 현장 조사 보고서</t>
        </is>
      </c>
      <c r="K2" s="156" t="inlineStr">
        <is>
          <t>1) 현장 가설 도로 및 용지 경계 현측 ➔ 2) 광학 레벨 원지반 고저차 측정 ➔ 3) 진입 도로 장애 요소 매핑 ➔ 4) 현장 조사 보고서 감리 제출</t>
        </is>
      </c>
      <c r="L2" s="156" t="n"/>
      <c r="M2" s="156" t="inlineStr">
        <is>
          <t>가설 도로 폭/구배 현측, 원지반 고저차 레벨 측량 및 3D BIM 도면 오차 점검 (현장 조사 보고서)</t>
        </is>
      </c>
      <c r="N2" s="201" t="inlineStr">
        <is>
          <t>KDS 47 10 00 철도지반 설계기준 | 현장 가설 둔차선, 용지 경계 및 원지반 고저차 3D 레벨 현측 | 토공사 사전 현장 조사 보고서</t>
        </is>
      </c>
      <c r="O2" s="156">
        <f>HYPERLINK(LEFT(CELL("filename",A1),FIND("[",CELL("filename",A1))-1)&amp;"매뉴얼BODY(집행단계-첨부폴더)v8\2.사전토공사\1_Site Survey\표준서\Site Survey_표준서.html", "👉 [클릭] 표준서 열기 📄")</f>
        <v/>
      </c>
      <c r="P2" s="202" t="inlineStr">
        <is>
          <t>1) 현장 가설 도로 및 용지 경계 현측 ➔ 2) 광학 레벨 원지반 고저차 측정 ➔ 3) 진입 도로 장애 요소 매핑 ➔ 4) 현장 조사 보고서 감리 제출</t>
        </is>
      </c>
      <c r="Q2" s="156">
        <f>HYPERLINK(LEFT(CELL("filename",A1),FIND("[",CELL("filename",A1))-1)&amp;"매뉴얼BODY(집행단계-첨부폴더)v8\2.사전토공사\1_Site Survey\수행지침\Site Survey_수행지침.html", "👉 [클릭] 수행지침 열기 📄")</f>
        <v/>
      </c>
      <c r="R2" s="203" t="inlineStr">
        <is>
          <t>가설 도로 폭/구배 현측, 원지반 고저차 레벨 측량 및 3D BIM 도면 오차 점검 (현장 조사 보고서)</t>
        </is>
      </c>
      <c r="S2" s="200">
        <f>HYPERLINK(LEFT(CELL("filename",A1),FIND("[",CELL("filename",A1))-1)&amp;"매뉴얼BODY(집행단계-첨부폴더)v8\2.사전토공사\1_Site Survey\체크리스트\Site Survey_체크리스트.html", "👉 [클릭] 체크리스트 열기 📄")</f>
        <v/>
      </c>
      <c r="T2" s="210" t="n"/>
      <c r="U2" s="210" t="n"/>
      <c r="V2" s="211" t="n"/>
      <c r="W2" s="210"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9000-2</t>
        </is>
      </c>
      <c r="C3" s="204" t="inlineStr">
        <is>
          <t>사전토공사</t>
        </is>
      </c>
      <c r="D3" s="204" t="inlineStr">
        <is>
          <t>9000-2-2</t>
        </is>
      </c>
      <c r="E3" s="205" t="inlineStr">
        <is>
          <t>9000-2-1</t>
        </is>
      </c>
      <c r="F3" s="205" t="inlineStr">
        <is>
          <t>9000-2-3</t>
        </is>
      </c>
      <c r="G3" s="162" t="inlineStr">
        <is>
          <t>발주전략 KOM</t>
        </is>
      </c>
      <c r="H3" s="205" t="inlineStr">
        <is>
          <t>D-80 (D-120~D-80)</t>
        </is>
      </c>
      <c r="I3" s="205" t="inlineStr">
        <is>
          <t>현장소장</t>
        </is>
      </c>
      <c r="J3" s="163" t="inlineStr">
        <is>
          <t>KCS 47 10 25 시방 검토 | 사전 토공 토사/암석 깎기 및 성토 시방 규정 | 발주처·감리·시공 3자 킥오프 결재</t>
        </is>
      </c>
      <c r="K3" s="163" t="inlineStr">
        <is>
          <t>1) 사전 토공 시방 요구조건 분석 ➔ 2) 3D BIM 도면 깎기/성토 수량 검증 ➔ 3) 토공 리스크 예비비 수립 ➔ 4) 발주·감리·시공 3자 킥오프 결재</t>
        </is>
      </c>
      <c r="L3" s="163" t="n"/>
      <c r="M3" s="163" t="inlineStr">
        <is>
          <t>KCS 47 10 25 사전 토공 시방 검토, 토사/암석 깎기 수량 산출 및 3D BIM 간섭 zero (3자 킥오프 결재)</t>
        </is>
      </c>
      <c r="N3" s="206" t="inlineStr">
        <is>
          <t>KCS 47 10 25 시방 검토 | 사전 토공 토사/암석 깎기 및 성토 시방 규정 | 발주처·감리·시공 3자 킥오프 결재</t>
        </is>
      </c>
      <c r="O3" s="163">
        <f>HYPERLINK(LEFT(CELL("filename",A1),FIND("[",CELL("filename",A1))-1)&amp;"매뉴얼BODY(집행단계-첨부폴더)v8\2.사전토공사\2_발주전략 KOM\표준서\2_발주전략 KOM_표준서.html", "👉 [클릭] 표준서 열기 📄")</f>
        <v/>
      </c>
      <c r="P3" s="207" t="inlineStr">
        <is>
          <t>1) 사전 토공 시방 요구조건 분석 ➔ 2) 3D BIM 도면 깎기/성토 수량 검증 ➔ 3) 토공 리스크 예비비 수립 ➔ 4) 발주·감리·시공 3자 킥오프 결재</t>
        </is>
      </c>
      <c r="Q3" s="163">
        <f>HYPERLINK(LEFT(CELL("filename",A1),FIND("[",CELL("filename",A1))-1)&amp;"매뉴얼BODY(집행단계-첨부폴더)v8\2.사전토공사\2_발주전략 KOM\수행지침\2_발주전략 KOM_수행지침.html", "👉 [클릭] 수행지침 열기 📄")</f>
        <v/>
      </c>
      <c r="R3" s="208" t="inlineStr">
        <is>
          <t>KCS 47 10 25 사전 토공 시방 검토, 토사/암석 깎기 수량 산출 및 3D BIM 간섭 zero (3자 킥오프 결재)</t>
        </is>
      </c>
      <c r="S3" s="205">
        <f>HYPERLINK(LEFT(CELL("filename",A1),FIND("[",CELL("filename",A1))-1)&amp;"매뉴얼BODY(집행단계-첨부폴더)v8\2.사전토공사\2_발주전략 KOM\체크리스트\2_발주전략 KOM_체크리스트.html", "👉 [클릭] 체크리스트 열기 📄")</f>
        <v/>
      </c>
      <c r="T3" s="210" t="n"/>
      <c r="U3" s="210" t="n"/>
      <c r="V3" s="211" t="n"/>
      <c r="W3" s="210"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9000-2</t>
        </is>
      </c>
      <c r="C4" s="199" t="inlineStr">
        <is>
          <t>사전토공사</t>
        </is>
      </c>
      <c r="D4" s="199" t="inlineStr">
        <is>
          <t>9000-2-3</t>
        </is>
      </c>
      <c r="E4" s="200" t="inlineStr">
        <is>
          <t>9000-2-2</t>
        </is>
      </c>
      <c r="F4" s="200" t="inlineStr">
        <is>
          <t>9000-2-4</t>
        </is>
      </c>
      <c r="G4" s="155" t="inlineStr">
        <is>
          <t>Site Survey Risk 검토</t>
        </is>
      </c>
      <c r="H4" s="200" t="inlineStr">
        <is>
          <t>D-60 (D-70~D-60)</t>
        </is>
      </c>
      <c r="I4" s="200" t="inlineStr">
        <is>
          <t>토목국내견적팀</t>
        </is>
      </c>
      <c r="J4" s="156" t="inlineStr">
        <is>
          <t>지하안전법 제23조 | 현장 지장물, 연약 지반 층후 및 사면 붕괴 위험 요소 추출 | 사전 토공 리스크 대책 승인</t>
        </is>
      </c>
      <c r="K4" s="156" t="inlineStr">
        <is>
          <t>1) 지하 매설 지장물 &amp; 연약지반 현출 ➔ 2) 사면 붕괴 위험 구간 추출 ➔ 3) 흙막이 가설재 보강 수립 ➔ 4) 토공 리스크 대책서 감리 승인</t>
        </is>
      </c>
      <c r="L4" s="156" t="n"/>
      <c r="M4" s="156" t="inlineStr">
        <is>
          <t>지중 매설물 탐사, 연약 지반 층후 분석 및 사면 붕괴 위험 구간 흙막이 가설재 보강 수립</t>
        </is>
      </c>
      <c r="N4" s="201" t="inlineStr">
        <is>
          <t>지하안전법 제23조 | 현장 지장물, 연약 지반 층후 및 사면 붕괴 위험 요소 추출 | 사전 토공 리스크 대책 승인</t>
        </is>
      </c>
      <c r="O4" s="156">
        <f>HYPERLINK(LEFT(CELL("filename",A1),FIND("[",CELL("filename",A1))-1)&amp;"매뉴얼BODY(집행단계-첨부폴더)v8\2.사전토공사\3_Site Survey Risk 검토\표준서\Site Survey Risk 검토_표준서.html", "👉 [클릭] 표준서 열기 📄")</f>
        <v/>
      </c>
      <c r="P4" s="202" t="inlineStr">
        <is>
          <t>1) 지하 매설 지장물 &amp; 연약지반 현출 ➔ 2) 사면 붕괴 위험 구간 추출 ➔ 3) 흙막이 가설재 보강 수립 ➔ 4) 토공 리스크 대책서 감리 승인</t>
        </is>
      </c>
      <c r="Q4" s="156">
        <f>HYPERLINK(LEFT(CELL("filename",A1),FIND("[",CELL("filename",A1))-1)&amp;"매뉴얼BODY(집행단계-첨부폴더)v8\2.사전토공사\3_Site Survey Risk 검토\수행지침\Site Survey Risk 검토_수행지침.html", "👉 [클릭] 수행지침 열기 📄")</f>
        <v/>
      </c>
      <c r="R4" s="203" t="inlineStr">
        <is>
          <t>지중 매설물 탐사, 연약 지반 층후 분석 및 사면 붕괴 위험 구간 흙막이 가설재 보강 수립</t>
        </is>
      </c>
      <c r="S4" s="200">
        <f>HYPERLINK(LEFT(CELL("filename",A1),FIND("[",CELL("filename",A1))-1)&amp;"매뉴얼BODY(집행단계-첨부폴더)v8\2.사전토공사\3_Site Survey Risk 검토\체크리스트\Site Survey Risk 검토_체크리스트.html", "👉 [클릭] 체크리스트 열기 📄")</f>
        <v/>
      </c>
      <c r="T4" s="210" t="n"/>
      <c r="U4" s="210" t="n"/>
      <c r="V4" s="211" t="n"/>
      <c r="W4" s="210"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9000-2</t>
        </is>
      </c>
      <c r="C5" s="204" t="inlineStr">
        <is>
          <t>사전토공사</t>
        </is>
      </c>
      <c r="D5" s="204" t="inlineStr">
        <is>
          <t>9000-2-4</t>
        </is>
      </c>
      <c r="E5" s="205" t="inlineStr">
        <is>
          <t>9000-2-3</t>
        </is>
      </c>
      <c r="F5" s="205" t="inlineStr">
        <is>
          <t>9000-2-5</t>
        </is>
      </c>
      <c r="G5" s="162" t="inlineStr">
        <is>
          <t>최고의 팀 만들기 지원</t>
        </is>
      </c>
      <c r="H5" s="205" t="inlineStr">
        <is>
          <t>D-50 (D-60~D-50)</t>
        </is>
      </c>
      <c r="I5" s="205" t="inlineStr">
        <is>
          <t>외주관리팀</t>
        </is>
      </c>
      <c r="J5" s="163" t="inlineStr">
        <is>
          <t>건산법 상생협력 수칙 | 토공 전문 기술자 1:1 전담 배치 &amp; 3자 주간 소통 회의 | 일일 Safety TBM 100% 이행</t>
        </is>
      </c>
      <c r="K5" s="163" t="inlineStr">
        <is>
          <t>1) 토공 전담 기술자 1:1 배치 ➔ 2) 3자 주간 소통 회의 개최 ➔ 3) 근로자 복지 지원 &amp; Safety TBM ➔ 4) One-Team 조직표 감리 서면 승인</t>
        </is>
      </c>
      <c r="L5" s="163" t="n"/>
      <c r="M5" s="163" t="inlineStr">
        <is>
          <t>토공 전담 기술자 1:1 현장 배치, 발주·감리·시공 3자 주간 소통 회의 및 일일 Safety TBM/음주 측정</t>
        </is>
      </c>
      <c r="N5" s="206" t="inlineStr">
        <is>
          <t>건산법 상생협력 수칙 | 토공 전문 기술자 1:1 전담 배치 &amp; 3자 주간 소통 회의 | 일일 Safety TBM 100% 이행</t>
        </is>
      </c>
      <c r="O5" s="163">
        <f>HYPERLINK(LEFT(CELL("filename",A1),FIND("[",CELL("filename",A1))-1)&amp;"매뉴얼BODY(집행단계-첨부폴더)v8\2.사전토공사\4_최고의 팀 만들기 지원\표준서\최고의 팀 만들기 지원_표준서.html", "👉 [클릭] 표준서 열기 📄")</f>
        <v/>
      </c>
      <c r="P5" s="207" t="inlineStr">
        <is>
          <t>1) 토공 전담 기술자 1:1 배치 ➔ 2) 3자 주간 소통 회의 개최 ➔ 3) 근로자 복지 지원 &amp; Safety TBM ➔ 4) One-Team 조직표 감리 서면 승인</t>
        </is>
      </c>
      <c r="Q5" s="163">
        <f>HYPERLINK(LEFT(CELL("filename",A1),FIND("[",CELL("filename",A1))-1)&amp;"매뉴얼BODY(집행단계-첨부폴더)v8\2.사전토공사\4_최고의 팀 만들기 지원\수행지침\최고의 팀 만들기 지원_수행지침.html", "👉 [클릭] 수행지침 열기 📄")</f>
        <v/>
      </c>
      <c r="R5" s="208" t="inlineStr">
        <is>
          <t>토공 전담 기술자 1:1 현장 배치, 발주·감리·시공 3자 주간 소통 회의 및 일일 Safety TBM/음주 측정</t>
        </is>
      </c>
      <c r="S5" s="205">
        <f>HYPERLINK(LEFT(CELL("filename",A1),FIND("[",CELL("filename",A1))-1)&amp;"매뉴얼BODY(집행단계-첨부폴더)v8\2.사전토공사\4_최고의 팀 만들기 지원\체크리스트\최고의 팀 만들기 지원_체크리스트.html", "👉 [클릭] 체크리스트 열기 📄")</f>
        <v/>
      </c>
      <c r="T5" s="210" t="n"/>
      <c r="U5" s="210" t="n"/>
      <c r="V5" s="211" t="n"/>
      <c r="W5" s="210"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9000-2</t>
        </is>
      </c>
      <c r="C6" s="199" t="inlineStr">
        <is>
          <t>사전토공사</t>
        </is>
      </c>
      <c r="D6" s="199" t="inlineStr">
        <is>
          <t>9000-2-5</t>
        </is>
      </c>
      <c r="E6" s="200" t="inlineStr">
        <is>
          <t>9000-2-4</t>
        </is>
      </c>
      <c r="F6" s="200" t="inlineStr">
        <is>
          <t>9000-2-6</t>
        </is>
      </c>
      <c r="G6" s="155" t="inlineStr">
        <is>
          <t>공사중 교통처리계획</t>
        </is>
      </c>
      <c r="H6" s="200" t="inlineStr">
        <is>
          <t>D-60 (D-80~D-60)</t>
        </is>
      </c>
      <c r="I6" s="200" t="inlineStr">
        <is>
          <t>현장 공사팀</t>
        </is>
      </c>
      <c r="J6" s="156" t="inlineStr">
        <is>
          <t>도로교통법 제69조 | 동탄경찰서 교통안전 심의 및 우회 차선 설계 | 전담 신호수(2인 2조) &amp; LED 경광등 배치</t>
        </is>
      </c>
      <c r="K6" s="156" t="inlineStr">
        <is>
          <t>1) 교통 우회 차선 &amp; 둔차선 도면 설계 ➔ 2) 동탄경찰서 도로점용 허가 ➔ 3) 전담 신호수(2인 2조) 배치 ➔ 4) 교통소통 대책서 감리 서면 승인</t>
        </is>
      </c>
      <c r="L6" s="156" t="n"/>
      <c r="M6" s="156" t="inlineStr">
        <is>
          <t>동탄경찰서 도로점용 허가, 가설 우회 차선 설계 및 전담 안전 신호수(2인 2조)/LED 경광등 배치</t>
        </is>
      </c>
      <c r="N6" s="201" t="inlineStr">
        <is>
          <t>도로교통법 제69조 | 동탄경찰서 교통안전 심의 및 우회 차선 설계 | 전담 신호수(2인 2조) &amp; LED 경광등 배치</t>
        </is>
      </c>
      <c r="O6" s="156">
        <f>HYPERLINK(LEFT(CELL("filename",A1),FIND("[",CELL("filename",A1))-1)&amp;"매뉴얼BODY(집행단계-첨부폴더)v8\2.사전토공사\5_공사중 교통처리계획\표준서\공사중 교통처리계획_표준서.html", "👉 [클릭] 표준서 열기 📄")</f>
        <v/>
      </c>
      <c r="P6" s="202" t="inlineStr">
        <is>
          <t>1) 교통 우회 차선 &amp; 둔차선 도면 설계 ➔ 2) 동탄경찰서 도로점용 허가 ➔ 3) 전담 신호수(2인 2조) 배치 ➔ 4) 교통소통 대책서 감리 서면 승인</t>
        </is>
      </c>
      <c r="Q6" s="156">
        <f>HYPERLINK(LEFT(CELL("filename",A1),FIND("[",CELL("filename",A1))-1)&amp;"매뉴얼BODY(집행단계-첨부폴더)v8\2.사전토공사\5_공사중 교통처리계획\수행지침\공사중 교통처리계획_수행지침.html", "👉 [클릭] 수행지침 열기 📄")</f>
        <v/>
      </c>
      <c r="R6" s="203" t="inlineStr">
        <is>
          <t>동탄경찰서 도로점용 허가, 가설 우회 차선 설계 및 전담 안전 신호수(2인 2조)/LED 경광등 배치</t>
        </is>
      </c>
      <c r="S6" s="200">
        <f>HYPERLINK(LEFT(CELL("filename",A1),FIND("[",CELL("filename",A1))-1)&amp;"매뉴얼BODY(집행단계-첨부폴더)v8\2.사전토공사\5_공사중 교통처리계획\체크리스트\공사중 교통처리계획_체크리스트.html", "👉 [클릭] 체크리스트 열기 📄")</f>
        <v/>
      </c>
      <c r="T6" s="210" t="n"/>
      <c r="U6" s="210" t="n"/>
      <c r="V6" s="211" t="n"/>
      <c r="W6" s="210"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9000-2</t>
        </is>
      </c>
      <c r="C7" s="204" t="inlineStr">
        <is>
          <t>사전토공사</t>
        </is>
      </c>
      <c r="D7" s="204" t="inlineStr">
        <is>
          <t>9000-2-6</t>
        </is>
      </c>
      <c r="E7" s="205" t="inlineStr">
        <is>
          <t>9000-2-5</t>
        </is>
      </c>
      <c r="F7" s="205" t="inlineStr">
        <is>
          <t>9000-2-7</t>
        </is>
      </c>
      <c r="G7" s="162" t="inlineStr">
        <is>
          <t>자재발주 요청</t>
        </is>
      </c>
      <c r="H7" s="205" t="inlineStr">
        <is>
          <t>D-65 (D-65~D-55)</t>
        </is>
      </c>
      <c r="I7" s="205" t="inlineStr">
        <is>
          <t>현장 공무팀</t>
        </is>
      </c>
      <c r="J7" s="163" t="inlineStr">
        <is>
          <t>KCS 47 10 25 자재 시방 | 굴착 장비, 가설 펜스 및 배수관 자재 발주 승인 | 공인시험기관 성적표 수속</t>
        </is>
      </c>
      <c r="K7" s="163" t="inlineStr">
        <is>
          <t>1) 굴착 장비 및 가설 펜스 자재 선정 ➔ 2) 공인시험기관 시험성적서 검수 ➔ 3) 자재 발주 신청서 제출 ➔ 4) 자재 반입 검수 통보서 결재</t>
        </is>
      </c>
      <c r="L7" s="163" t="n"/>
      <c r="M7" s="163" t="inlineStr">
        <is>
          <t>KCS 47 10 25 굴착 장비/가설재 자재 승인, 공인시험기관 시험성적서 검수 및 자재 반입 통보</t>
        </is>
      </c>
      <c r="N7" s="206" t="inlineStr">
        <is>
          <t>KCS 47 10 25 자재 시방 | 굴착 장비, 가설 펜스 및 배수관 자재 발주 승인 | 공인시험기관 성적표 수속</t>
        </is>
      </c>
      <c r="O7" s="163">
        <f>HYPERLINK(LEFT(CELL("filename",A1),FIND("[",CELL("filename",A1))-1)&amp;"매뉴얼BODY(집행단계-첨부폴더)v8\2.사전토공사\6_자재발주 요청\표준서\자재발주 요청_표준서.html", "👉 [클릭] 표준서 열기 📄")</f>
        <v/>
      </c>
      <c r="P7" s="207" t="inlineStr">
        <is>
          <t>1) 굴착 장비 및 가설 펜스 자재 선정 ➔ 2) 공인시험기관 시험성적서 검수 ➔ 3) 자재 발주 신청서 제출 ➔ 4) 자재 반입 검수 통보서 결재</t>
        </is>
      </c>
      <c r="Q7" s="163">
        <f>HYPERLINK(LEFT(CELL("filename",A1),FIND("[",CELL("filename",A1))-1)&amp;"매뉴얼BODY(집행단계-첨부폴더)v8\2.사전토공사\6_자재발주 요청\수행지침\착수전 Big Room 회의_수행지침.html", "👉 [클릭] 수행지침 열기 📄")</f>
        <v/>
      </c>
      <c r="R7" s="208" t="inlineStr">
        <is>
          <t>KCS 47 10 25 굴착 장비/가설재 자재 승인, 공인시험기관 시험성적서 검수 및 자재 반입 통보</t>
        </is>
      </c>
      <c r="S7" s="205">
        <f>HYPERLINK(LEFT(CELL("filename",A1),FIND("[",CELL("filename",A1))-1)&amp;"매뉴얼BODY(집행단계-첨부폴더)v8\2.사전토공사\6_자재발주 요청\체크리스트\착수전 Big Room 회의_체크리스트.html", "👉 [클릭] 체크리스트 열기 📄")</f>
        <v/>
      </c>
      <c r="T7" s="210" t="n"/>
      <c r="U7" s="210" t="n"/>
      <c r="V7" s="211" t="n"/>
      <c r="W7" s="210"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9000-2</t>
        </is>
      </c>
      <c r="C8" s="199" t="inlineStr">
        <is>
          <t>사전토공사</t>
        </is>
      </c>
      <c r="D8" s="199" t="inlineStr">
        <is>
          <t>9000-2-7</t>
        </is>
      </c>
      <c r="E8" s="200" t="inlineStr">
        <is>
          <t>9000-2-6</t>
        </is>
      </c>
      <c r="F8" s="200" t="inlineStr">
        <is>
          <t>9000-2-8</t>
        </is>
      </c>
      <c r="G8" s="155" t="inlineStr">
        <is>
          <t>용지 사용 Risk 검토</t>
        </is>
      </c>
      <c r="H8" s="200" t="inlineStr">
        <is>
          <t>D-40 (D-60~D-40)</t>
        </is>
      </c>
      <c r="I8" s="200" t="inlineStr">
        <is>
          <t>토목계약관리팀</t>
        </is>
      </c>
      <c r="J8" s="156" t="inlineStr">
        <is>
          <t>토지보상법 준수 | 미보상 사유지 경계 현출 및 가설 펜스(H=1.8m) 차단 | 3D 우회 토공 동선 마일스톤 연동</t>
        </is>
      </c>
      <c r="K8" s="156" t="inlineStr">
        <is>
          <t>1) 미보상 사유지 경계 현출 ➔ 2) 가설 펜스(H=1.8m) 차단 ➔ 3) 3D 우회 토공 동선 수립 ➔ 4) 용지 보상 리스크 대책 감리 승인</t>
        </is>
      </c>
      <c r="L8" s="156" t="n"/>
      <c r="M8" s="156" t="inlineStr">
        <is>
          <t>미보상 사유지 경계 현출, 가설 펜스(H=1.8m) 차단 및 3D 우회 토공 동선 마일스톤 연동</t>
        </is>
      </c>
      <c r="N8" s="201" t="inlineStr">
        <is>
          <t>토지보상법 준수 | 미보상 사유지 경계 현출 및 가설 펜스(H=1.8m) 차단 | 3D 우회 토공 동선 마일스톤 연동</t>
        </is>
      </c>
      <c r="O8" s="156">
        <f>HYPERLINK(LEFT(CELL("filename",A1),FIND("[",CELL("filename",A1))-1)&amp;"매뉴얼BODY(집행단계-첨부폴더)v8\2.사전토공사\7_용지 사용 Risk 검토\표준서\용지 사용 Risk 검토_표준서.html", "👉 [클릭] 표준서 열기 📄")</f>
        <v/>
      </c>
      <c r="P8" s="202" t="inlineStr">
        <is>
          <t>1) 미보상 사유지 경계 현출 ➔ 2) 가설 펜스(H=1.8m) 차단 ➔ 3) 3D 우회 토공 동선 수립 ➔ 4) 용지 보상 리스크 대책 감리 승인</t>
        </is>
      </c>
      <c r="Q8" s="156">
        <f>HYPERLINK(LEFT(CELL("filename",A1),FIND("[",CELL("filename",A1))-1)&amp;"매뉴얼BODY(집행단계-첨부폴더)v8\2.사전토공사\7_용지 사용 Risk 검토\수행지침\용지 사용 Risk 검토_수행지침.html", "👉 [클릭] 수행지침 열기 📄")</f>
        <v/>
      </c>
      <c r="R8" s="203" t="inlineStr">
        <is>
          <t>미보상 사유지 경계 현출, 가설 펜스(H=1.8m) 차단 및 3D 우회 토공 동선 마일스톤 연동</t>
        </is>
      </c>
      <c r="S8" s="200">
        <f>HYPERLINK(LEFT(CELL("filename",A1),FIND("[",CELL("filename",A1))-1)&amp;"매뉴얼BODY(집행단계-첨부폴더)v8\2.사전토공사\7_용지 사용 Risk 검토\체크리스트\용지 사용 Risk 검토_체크리스트.html", "👉 [클릭] 체크리스트 열기 📄")</f>
        <v/>
      </c>
      <c r="T8" s="210" t="n"/>
      <c r="U8" s="210" t="n"/>
      <c r="V8" s="211" t="n"/>
      <c r="W8" s="210"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9000-2</t>
        </is>
      </c>
      <c r="C9" s="204" t="inlineStr">
        <is>
          <t>사전토공사</t>
        </is>
      </c>
      <c r="D9" s="204" t="inlineStr">
        <is>
          <t>9000-2-8</t>
        </is>
      </c>
      <c r="E9" s="205" t="inlineStr">
        <is>
          <t>9000-2-7</t>
        </is>
      </c>
      <c r="F9" s="205" t="inlineStr">
        <is>
          <t>9000-2-9</t>
        </is>
      </c>
      <c r="G9" s="162" t="inlineStr">
        <is>
          <t>착수전 Big Room 회의</t>
        </is>
      </c>
      <c r="H9" s="205" t="inlineStr">
        <is>
          <t>D-40</t>
        </is>
      </c>
      <c r="I9" s="205" t="inlineStr">
        <is>
          <t>현장소장</t>
        </is>
      </c>
      <c r="J9" s="163" t="inlineStr">
        <is>
          <t>현장 통합 관리 지침 | 발주처·감리·지자체·시공사 4자 빅룸 회의 | 사전 토공 마일스톤 서명 결재</t>
        </is>
      </c>
      <c r="K9" s="163" t="inlineStr">
        <is>
          <t>1) 4자(발주·감리·지자체·시공) 빅룸 결성 ➔ 2) 사전 토공 마일스톤 연동 ➔ 3) 간섭 리스크 즉시 해소 ➔ 4) 빅룸 회의록 4자 서명 완수</t>
        </is>
      </c>
      <c r="L9" s="163" t="n"/>
      <c r="M9" s="163" t="inlineStr">
        <is>
          <t>4자(발주·감리·지자체·시공) 빅룸 회의 결성, 사전 토공 마일스톤 연동 및 간섭 리스크 서명</t>
        </is>
      </c>
      <c r="N9" s="206" t="inlineStr">
        <is>
          <t>현장 통합 관리 지침 | 발주처·감리·지자체·시공사 4자 빅룸 회의 | 사전 토공 마일스톤 서명 결재</t>
        </is>
      </c>
      <c r="O9" s="163">
        <f>HYPERLINK(LEFT(CELL("filename",A1),FIND("[",CELL("filename",A1))-1)&amp;"매뉴얼BODY(집행단계-첨부폴더)v8\2.사전토공사\8_착수전 Big Room 회의\표준서\착수전 Big Room 회의_표준서.html", "👉 [클릭] 표준서 열기 📄")</f>
        <v/>
      </c>
      <c r="P9" s="207" t="inlineStr">
        <is>
          <t>1) 4자(발주·감리·지자체·시공) 빅룸 결성 ➔ 2) 사전 토공 마일스톤 연동 ➔ 3) 간섭 리스크 즉시 해소 ➔ 4) 빅룸 회의록 4자 서명 완수</t>
        </is>
      </c>
      <c r="Q9" s="163">
        <f>HYPERLINK(LEFT(CELL("filename",A1),FIND("[",CELL("filename",A1))-1)&amp;"매뉴얼BODY(집행단계-첨부폴더)v8\2.사전토공사\8_착수전 Big Room 회의\수행지침\착수전 Big Room 회의_수행지침.html", "👉 [클릭] 수행지침 열기 📄")</f>
        <v/>
      </c>
      <c r="R9" s="208" t="inlineStr">
        <is>
          <t>4자(발주·감리·지자체·시공) 빅룸 회의 결성, 사전 토공 마일스톤 연동 및 간섭 리스크 서명</t>
        </is>
      </c>
      <c r="S9" s="205">
        <f>HYPERLINK(LEFT(CELL("filename",A1),FIND("[",CELL("filename",A1))-1)&amp;"매뉴얼BODY(집행단계-첨부폴더)v8\2.사전토공사\8_착수전 Big Room 회의\체크리스트\착수전 Big Room 회의_체크리스트.html", "👉 [클릭] 체크리스트 열기 📄")</f>
        <v/>
      </c>
      <c r="T9" s="210" t="n"/>
      <c r="U9" s="210" t="n"/>
      <c r="V9" s="211" t="n"/>
      <c r="W9" s="210"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9000-2</t>
        </is>
      </c>
      <c r="C10" s="199" t="inlineStr">
        <is>
          <t>사전토공사</t>
        </is>
      </c>
      <c r="D10" s="199" t="inlineStr">
        <is>
          <t>9000-2-9</t>
        </is>
      </c>
      <c r="E10" s="200" t="inlineStr">
        <is>
          <t>9000-2-8</t>
        </is>
      </c>
      <c r="F10" s="200" t="inlineStr">
        <is>
          <t>9000-2-10</t>
        </is>
      </c>
      <c r="G10" s="155" t="inlineStr">
        <is>
          <t>인허가 절차 진행</t>
        </is>
      </c>
      <c r="H10" s="200" t="inlineStr">
        <is>
          <t>D-30</t>
        </is>
      </c>
      <c r="I10" s="200" t="inlineStr">
        <is>
          <t>현장 공무팀</t>
        </is>
      </c>
      <c r="J10" s="156" t="inlineStr">
        <is>
          <t>도로법 및 환경영향평가법 | 지자체 도로점용 허가 및 비산먼지 발생신고 수속 | 법정 인허가 필증 수속</t>
        </is>
      </c>
      <c r="K10" s="156" t="inlineStr">
        <is>
          <t>1) 지자체 도로/하천점용 허가서 작성 ➔ 2) 관련 부서 서류 제출 &amp; 심의 ➔ 3) 보증보험 증권 부착 ➔ 4) 법정 인허가 필증 감리 수속</t>
        </is>
      </c>
      <c r="L10" s="156" t="n"/>
      <c r="M10" s="156" t="inlineStr">
        <is>
          <t>지자체 도로/하천점용 허가서 접수, 비산먼지 발생사업 신고 필증 수속 및 보증보험 제출</t>
        </is>
      </c>
      <c r="N10" s="201" t="inlineStr">
        <is>
          <t>도로법 및 환경영향평가법 | 지자체 도로점용 허가 및 비산먼지 발생신고 수속 | 법정 인허가 필증 수속</t>
        </is>
      </c>
      <c r="O10" s="156">
        <f>HYPERLINK(LEFT(CELL("filename",A1),FIND("[",CELL("filename",A1))-1)&amp;"매뉴얼BODY(집행단계-첨부폴더)v8\2.사전토공사\9_인허가 절차 진행\표준서\인허가 절차 진행_표준서.html", "👉 [클릭] 표준서 열기 📄")</f>
        <v/>
      </c>
      <c r="P10" s="202" t="inlineStr">
        <is>
          <t>1) 지자체 도로/하천점용 허가서 작성 ➔ 2) 관련 부서 서류 제출 &amp; 심의 ➔ 3) 보증보험 증권 부착 ➔ 4) 법정 인허가 필증 감리 수속</t>
        </is>
      </c>
      <c r="Q10" s="156">
        <f>HYPERLINK(LEFT(CELL("filename",A1),FIND("[",CELL("filename",A1))-1)&amp;"매뉴얼BODY(집행단계-첨부폴더)v8\2.사전토공사\9_인허가 절차 진행\수행지침\인허가 절차 진행_수행지침.html", "👉 [클릭] 수행지침 열기 📄")</f>
        <v/>
      </c>
      <c r="R10" s="203" t="inlineStr">
        <is>
          <t>지자체 도로/하천점용 허가서 접수, 비산먼지 발생사업 신고 필증 수속 및 보증보험 제출</t>
        </is>
      </c>
      <c r="S10" s="200">
        <f>HYPERLINK(LEFT(CELL("filename",A1),FIND("[",CELL("filename",A1))-1)&amp;"매뉴얼BODY(집행단계-첨부폴더)v8\2.사전토공사\9_인허가 절차 진행\체크리스트\인허가 절차 진행_체크리스트.html", "👉 [클릭] 체크리스트 열기 📄")</f>
        <v/>
      </c>
      <c r="T10" s="210" t="n"/>
      <c r="U10" s="210" t="n"/>
      <c r="V10" s="211" t="n"/>
      <c r="W10" s="210"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9000-2</t>
        </is>
      </c>
      <c r="C11" s="204" t="inlineStr">
        <is>
          <t>사전토공사</t>
        </is>
      </c>
      <c r="D11" s="204" t="inlineStr">
        <is>
          <t>9000-2-10</t>
        </is>
      </c>
      <c r="E11" s="205" t="inlineStr">
        <is>
          <t>9000-2-9</t>
        </is>
      </c>
      <c r="F11" s="205" t="inlineStr">
        <is>
          <t>9000-2-11</t>
        </is>
      </c>
      <c r="G11" s="162" t="inlineStr">
        <is>
          <t>교통처리대책 협의 및 승인</t>
        </is>
      </c>
      <c r="H11" s="205" t="inlineStr">
        <is>
          <t>D-30</t>
        </is>
      </c>
      <c r="I11" s="205" t="inlineStr">
        <is>
          <t>현장 공무팀</t>
        </is>
      </c>
      <c r="J11" s="163" t="inlineStr">
        <is>
          <t>도로교통법 안전 수칙 | 경찰서 차선 점용 허가 및 가설 둔차선 도로 복구 이행 보증보험 | 교통대책 감리 승인</t>
        </is>
      </c>
      <c r="K11" s="163" t="inlineStr">
        <is>
          <t>1) 경찰서 차선 점용 허가증 수령 ➔ 2) 도로 복구 보증보험 증권 제출 ➔ 3) 전담 신호수 &amp; LED 경광등 배치 ➔ 4) 교통대책서 감리 서면 승인</t>
        </is>
      </c>
      <c r="L11" s="163" t="n"/>
      <c r="M11" s="163" t="inlineStr">
        <is>
          <t>동탄경찰서 차선 점용 허가, 도로 복구 이행 보증보험 제출 및 전담 신호수(2인 2조) 100% 배치</t>
        </is>
      </c>
      <c r="N11" s="206" t="inlineStr">
        <is>
          <t>도로교통법 안전 수칙 | 경찰서 차선 점용 허가 및 가설 둔차선 도로 복구 이행 보증보험 | 교통대책 감리 승인</t>
        </is>
      </c>
      <c r="O11" s="163">
        <f>HYPERLINK(LEFT(CELL("filename",A1),FIND("[",CELL("filename",A1))-1)&amp;"매뉴얼BODY(집행단계-첨부폴더)v8\2.사전토공사\10_교통처리대책 협의 및 승인\표준서\교통처리대책 협의 및 승인_표준서.html", "👉 [클릭] 표준서 열기 📄")</f>
        <v/>
      </c>
      <c r="P11" s="207" t="inlineStr">
        <is>
          <t>1) 경찰서 차선 점용 허가증 수령 ➔ 2) 도로 복구 보증보험 증권 제출 ➔ 3) 전담 신호수 &amp; LED 경광등 배치 ➔ 4) 교통대책서 감리 서면 승인</t>
        </is>
      </c>
      <c r="Q11" s="163">
        <f>HYPERLINK(LEFT(CELL("filename",A1),FIND("[",CELL("filename",A1))-1)&amp;"매뉴얼BODY(집행단계-첨부폴더)v8\2.사전토공사\10_교통처리대책 협의 및 승인\수행지침\교통처리대책 협의 및 승인_수행지침.html", "👉 [클릭] 수행지침 열기 📄")</f>
        <v/>
      </c>
      <c r="R11" s="208" t="inlineStr">
        <is>
          <t>동탄경찰서 차선 점용 허가, 도로 복구 이행 보증보험 제출 및 전담 신호수(2인 2조) 100% 배치</t>
        </is>
      </c>
      <c r="S11" s="205">
        <f>HYPERLINK(LEFT(CELL("filename",A1),FIND("[",CELL("filename",A1))-1)&amp;"매뉴얼BODY(집행단계-첨부폴더)v8\2.사전토공사\10_교통처리대책 협의 및 승인\체크리스트\교통처리대책 협의 및 승인_체크리스트.html", "👉 [클릭] 체크리스트 열기 📄")</f>
        <v/>
      </c>
      <c r="T11" s="210" t="n"/>
      <c r="U11" s="210" t="n"/>
      <c r="V11" s="211" t="n"/>
      <c r="W11" s="210"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9000-2</t>
        </is>
      </c>
      <c r="C12" s="199" t="inlineStr">
        <is>
          <t>사전토공사</t>
        </is>
      </c>
      <c r="D12" s="199" t="inlineStr">
        <is>
          <t>9000-2-11</t>
        </is>
      </c>
      <c r="E12" s="200" t="inlineStr">
        <is>
          <t>9000-2-10</t>
        </is>
      </c>
      <c r="F12" s="200" t="inlineStr">
        <is>
          <t>9000-2-12</t>
        </is>
      </c>
      <c r="G12" s="155" t="inlineStr">
        <is>
          <t>지장물 검토 및 협의</t>
        </is>
      </c>
      <c r="H12" s="200" t="inlineStr">
        <is>
          <t>D-30</t>
        </is>
      </c>
      <c r="I12" s="200" t="inlineStr">
        <is>
          <t>현장 공무팀/공사팀</t>
        </is>
      </c>
      <c r="J12" s="156" t="inlineStr">
        <is>
          <t>지하안전관리에 관한 특별법 | GPR 3D 관로 탐사 &amp; 인력 시탐 줄파기(깊이 1.5m) | 점용기관 현장 입회 이설 방호</t>
        </is>
      </c>
      <c r="K12" s="156" t="inlineStr">
        <is>
          <t>1) GPR 3D 지중 관로 탐사 ➔ 2) 인력 시탐 줄파기(깊이 1.5m) ➔ 3) 관할 점용기관 1:1 현장 입회 ➔ 4) 매달기 방호 &amp; 지장물 서면 승인</t>
        </is>
      </c>
      <c r="L12" s="156" t="n"/>
      <c r="M12" s="156" t="inlineStr">
        <is>
          <t>GPR 3D 관로 탐사, 인력 시탐 줄파기(폭 0.5m, 깊이 1.5m) 및 점용기관 1:1 현장 입회 매달기 방호</t>
        </is>
      </c>
      <c r="N12" s="201" t="inlineStr">
        <is>
          <t>지하안전관리에 관한 특별법 | GPR 3D 관로 탐사 &amp; 인력 시탐 줄파기(깊이 1.5m) | 점용기관 현장 입회 이설 방호</t>
        </is>
      </c>
      <c r="O12" s="156">
        <f>HYPERLINK(LEFT(CELL("filename",A1),FIND("[",CELL("filename",A1))-1)&amp;"매뉴얼BODY(집행단계-첨부폴더)v8\2.사전토공사\11_지장물 검토 및 협의\표준서\지장물 검토 및 협의_표준서.html", "👉 [클릭] 표준서 열기 📄")</f>
        <v/>
      </c>
      <c r="P12" s="202" t="inlineStr">
        <is>
          <t>1) GPR 3D 지중 관로 탐사 ➔ 2) 인력 시탐 줄파기(깊이 1.5m) ➔ 3) 관할 점용기관 1:1 현장 입회 ➔ 4) 매달기 방호 &amp; 지장물 서면 승인</t>
        </is>
      </c>
      <c r="Q12" s="156">
        <f>HYPERLINK(LEFT(CELL("filename",A1),FIND("[",CELL("filename",A1))-1)&amp;"매뉴얼BODY(집행단계-첨부폴더)v8\2.사전토공사\11_지장물 검토 및 협의\수행지침\지장물 검토 및 협의_수행지침.html", "👉 [클릭] 수행지침 열기 📄")</f>
        <v/>
      </c>
      <c r="R12" s="203" t="inlineStr">
        <is>
          <t>GPR 3D 관로 탐사, 인력 시탐 줄파기(폭 0.5m, 깊이 1.5m) 및 점용기관 1:1 현장 입회 매달기 방호</t>
        </is>
      </c>
      <c r="S12" s="200">
        <f>HYPERLINK(LEFT(CELL("filename",A1),FIND("[",CELL("filename",A1))-1)&amp;"매뉴얼BODY(집행단계-첨부폴더)v8\2.사전토공사\11_지장물 검토 및 협의\체크리스트\지장물 검토 및 협의_체크리스트.html", "👉 [클릭] 체크리스트 열기 📄")</f>
        <v/>
      </c>
      <c r="T12" s="210" t="n"/>
      <c r="U12" s="210" t="n"/>
      <c r="V12" s="211" t="n"/>
      <c r="W12" s="210"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9000-2</t>
        </is>
      </c>
      <c r="C13" s="204" t="inlineStr">
        <is>
          <t>사전토공사</t>
        </is>
      </c>
      <c r="D13" s="204" t="inlineStr">
        <is>
          <t>9000-2-12</t>
        </is>
      </c>
      <c r="E13" s="205" t="inlineStr">
        <is>
          <t>9000-2-11</t>
        </is>
      </c>
      <c r="F13" s="205" t="inlineStr">
        <is>
          <t>9000-2-13</t>
        </is>
      </c>
      <c r="G13" s="162" t="inlineStr">
        <is>
          <t>기공승낙 적정성 검토</t>
        </is>
      </c>
      <c r="H13" s="205" t="inlineStr">
        <is>
          <t>D-30</t>
        </is>
      </c>
      <c r="I13" s="205" t="inlineStr">
        <is>
          <t>현장 공무팀</t>
        </is>
      </c>
      <c r="J13" s="163" t="inlineStr">
        <is>
          <t>국유재산법 및 공유재산법 | 토지 기공승낙서 인허가 확인 및 진입로 점용 범위 실측 | 토지 사용 승인서 결재</t>
        </is>
      </c>
      <c r="K13" s="163" t="inlineStr">
        <is>
          <t>1) 국유지/공유지 기공승낙서 수속 ➔ 2) 진입 도로 점용 범위 실측 ➔ 3) 토지 소유주 사용 협의 ➔ 4) 기공승낙서 감리 서면 승인</t>
        </is>
      </c>
      <c r="L13" s="163" t="n"/>
      <c r="M13" s="163" t="inlineStr">
        <is>
          <t>국유지/공유지 기공승낙서 인허가 검증, 진입 도로 점용 범위 실측 및 토지 사용 승인서 결재</t>
        </is>
      </c>
      <c r="N13" s="206" t="inlineStr">
        <is>
          <t>국유재산법 및 공유재산법 | 토지 기공승낙서 인허가 확인 및 진입로 점용 범위 실측 | 토지 사용 승인서 결재</t>
        </is>
      </c>
      <c r="O13" s="163">
        <f>HYPERLINK(LEFT(CELL("filename",A1),FIND("[",CELL("filename",A1))-1)&amp;"매뉴얼BODY(집행단계-첨부폴더)v8\2.사전토공사\12_기공승낙 적정성 검토\표준서\기공승낙 적정성 검토_표준서.html", "👉 [클릭] 표준서 열기 📄")</f>
        <v/>
      </c>
      <c r="P13" s="207" t="inlineStr">
        <is>
          <t>1) 국유지/공유지 기공승낙서 수속 ➔ 2) 진입 도로 점용 범위 실측 ➔ 3) 토지 소유주 사용 협의 ➔ 4) 기공승낙서 감리 서면 승인</t>
        </is>
      </c>
      <c r="Q13" s="163">
        <f>HYPERLINK(LEFT(CELL("filename",A1),FIND("[",CELL("filename",A1))-1)&amp;"매뉴얼BODY(집행단계-첨부폴더)v8\2.사전토공사\12_기공승낙 적정성 검토\수행지침\기공승낙 적정성 검토_수행지침.html", "👉 [클릭] 수행지침 열기 📄")</f>
        <v/>
      </c>
      <c r="R13" s="208" t="inlineStr">
        <is>
          <t>국유지/공유지 기공승낙서 인허가 검증, 진입 도로 점용 범위 실측 및 토지 사용 승인서 결재</t>
        </is>
      </c>
      <c r="S13" s="205">
        <f>HYPERLINK(LEFT(CELL("filename",A1),FIND("[",CELL("filename",A1))-1)&amp;"매뉴얼BODY(집행단계-첨부폴더)v8\2.사전토공사\12_기공승낙 적정성 검토\체크리스트\기공승낙 적정성 검토_체크리스트.html", "👉 [클릭] 체크리스트 열기 📄")</f>
        <v/>
      </c>
      <c r="T13" s="210" t="n"/>
      <c r="U13" s="210" t="n"/>
      <c r="V13" s="211" t="n"/>
      <c r="W13" s="210"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9000-2</t>
        </is>
      </c>
      <c r="C14" s="199" t="inlineStr">
        <is>
          <t>사전토공사</t>
        </is>
      </c>
      <c r="D14" s="199" t="inlineStr">
        <is>
          <t>9000-2-13</t>
        </is>
      </c>
      <c r="E14" s="200" t="inlineStr">
        <is>
          <t>9000-2-12</t>
        </is>
      </c>
      <c r="F14" s="200" t="inlineStr">
        <is>
          <t>9000-2-14</t>
        </is>
      </c>
      <c r="G14" s="155" t="inlineStr">
        <is>
          <t>민원 저감 대책 수립</t>
        </is>
      </c>
      <c r="H14" s="200" t="inlineStr">
        <is>
          <t>D-30</t>
        </is>
      </c>
      <c r="I14" s="200" t="inlineStr">
        <is>
          <t>현장 안전팀/공무팀</t>
        </is>
      </c>
      <c r="J14" s="156" t="inlineStr">
        <is>
          <t>소음진동관리법 준수 | 야간 공사 소음 방음벽(H=3m) 및 세륜기(깊이 1.2m) 가동 | 단수/단전 주민 사전 안내</t>
        </is>
      </c>
      <c r="K14" s="156" t="inlineStr">
        <is>
          <t>1) 야간 공사 소음 방음벽(H=3m) 설치 ➔ 2) 세륜기 가동 &amp; 분무 살수 ➔ 3) 단수/단전 사전 주민 공지 ➔ 4) 민원 대응반 서면 승인</t>
        </is>
      </c>
      <c r="L14" s="156" t="n"/>
      <c r="M14" s="156" t="inlineStr">
        <is>
          <t>야간 공사 소음 방음벽(H=3m) 가동, 세륜기(깊이 1.2m) 가동 및 단수/단전 주민 사전 고지</t>
        </is>
      </c>
      <c r="N14" s="201" t="inlineStr">
        <is>
          <t>소음진동관리법 준수 | 야간 공사 소음 방음벽(H=3m) 및 세륜기(깊이 1.2m) 가동 | 단수/단전 주민 사전 안내</t>
        </is>
      </c>
      <c r="O14" s="156">
        <f>HYPERLINK(LEFT(CELL("filename",A1),FIND("[",CELL("filename",A1))-1)&amp;"매뉴얼BODY(집행단계-첨부폴더)v8\2.사전토공사\13_민원 저감 대책 수립\표준서\민원 저감 대책 수립_표준서.html", "👉 [클릭] 표준서 열기 📄")</f>
        <v/>
      </c>
      <c r="P14" s="202" t="inlineStr">
        <is>
          <t>1) 야간 공사 소음 방음벽(H=3m) 설치 ➔ 2) 세륜기 가동 &amp; 분무 살수 ➔ 3) 단수/단전 사전 주민 공지 ➔ 4) 민원 대응반 서면 승인</t>
        </is>
      </c>
      <c r="Q14" s="156">
        <f>HYPERLINK(LEFT(CELL("filename",A1),FIND("[",CELL("filename",A1))-1)&amp;"매뉴얼BODY(집행단계-첨부폴더)v8\2.사전토공사\13_민원 저감 대책 수립\수행지침\민원 저감 대책 수립_수행지침.html", "👉 [클릭] 수행지침 열기 📄")</f>
        <v/>
      </c>
      <c r="R14" s="203" t="inlineStr">
        <is>
          <t>야간 공사 소음 방음벽(H=3m) 가동, 세륜기(깊이 1.2m) 가동 및 단수/단전 주민 사전 고지</t>
        </is>
      </c>
      <c r="S14" s="200">
        <f>HYPERLINK(LEFT(CELL("filename",A1),FIND("[",CELL("filename",A1))-1)&amp;"매뉴얼BODY(집행단계-첨부폴더)v8\2.사전토공사\13_민원 저감 대책 수립\체크리스트\민원 저감 대책 수립_체크리스트.html", "👉 [클릭] 체크리스트 열기 📄")</f>
        <v/>
      </c>
      <c r="T14" s="210" t="n"/>
      <c r="U14" s="210" t="n"/>
      <c r="V14" s="211" t="n"/>
      <c r="W14" s="210"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9000-2</t>
        </is>
      </c>
      <c r="C15" s="204" t="inlineStr">
        <is>
          <t>사전토공사</t>
        </is>
      </c>
      <c r="D15" s="204" t="inlineStr">
        <is>
          <t>9000-2-14</t>
        </is>
      </c>
      <c r="E15" s="205" t="inlineStr">
        <is>
          <t>9000-2-13</t>
        </is>
      </c>
      <c r="F15" s="205" t="inlineStr">
        <is>
          <t>9000-2-15</t>
        </is>
      </c>
      <c r="G15" s="162" t="inlineStr">
        <is>
          <t>용지보상 Risk 파악</t>
        </is>
      </c>
      <c r="H15" s="205" t="inlineStr">
        <is>
          <t>D-30</t>
        </is>
      </c>
      <c r="I15" s="205" t="inlineStr">
        <is>
          <t>현장 공무팀</t>
        </is>
      </c>
      <c r="J15" s="163" t="inlineStr">
        <is>
          <t>토지보상법 준수 | 지장물 이설 부지 용지보상 현황 및 점용 경계 실측 | 미보상 사유지 가설 펜스 차단</t>
        </is>
      </c>
      <c r="K15" s="163" t="inlineStr">
        <is>
          <t>1) 미보상 필지 현출 &amp; 지적 대조 ➔ 2) 가설 펜스(H=1.8m) 차단 ➔ 3) 우회 토공 동선 수립 ➔ 4) 용지 보상 대책서 감리 승인</t>
        </is>
      </c>
      <c r="L15" s="163" t="n"/>
      <c r="M15" s="163" t="inlineStr">
        <is>
          <t>미보상 필지 지적 대조, 경계 가설 펜스(H=1.8m) 차단 및 우회 토공 동선 서면 승인</t>
        </is>
      </c>
      <c r="N15" s="206" t="inlineStr">
        <is>
          <t>토지보상법 준수 | 지장물 이설 부지 용지보상 현황 및 점용 경계 실측 | 미보상 사유지 가설 펜스 차단</t>
        </is>
      </c>
      <c r="O15" s="163">
        <f>HYPERLINK(LEFT(CELL("filename",A1),FIND("[",CELL("filename",A1))-1)&amp;"매뉴얼BODY(집행단계-첨부폴더)v8\2.사전토공사\14_용지보상 Risk 파악\표준서\용지보상 Risk 파악_표준서.html", "👉 [클릭] 표준서 열기 📄")</f>
        <v/>
      </c>
      <c r="P15" s="207" t="inlineStr">
        <is>
          <t>1) 미보상 필지 현출 &amp; 지적 대조 ➔ 2) 가설 펜스(H=1.8m) 차단 ➔ 3) 우회 토공 동선 수립 ➔ 4) 용지 보상 대책서 감리 승인</t>
        </is>
      </c>
      <c r="Q15" s="163">
        <f>HYPERLINK(LEFT(CELL("filename",A1),FIND("[",CELL("filename",A1))-1)&amp;"매뉴얼BODY(집행단계-첨부폴더)v8\2.사전토공사\14_용지보상 Risk 파악\수행지침\용지보상 Risk 파악_수행지침.html", "👉 [클릭] 수행지침 열기 📄")</f>
        <v/>
      </c>
      <c r="R15" s="208" t="inlineStr">
        <is>
          <t>미보상 필지 지적 대조, 경계 가설 펜스(H=1.8m) 차단 및 우회 토공 동선 서면 승인</t>
        </is>
      </c>
      <c r="S15" s="205">
        <f>HYPERLINK(LEFT(CELL("filename",A1),FIND("[",CELL("filename",A1))-1)&amp;"매뉴얼BODY(집행단계-첨부폴더)v8\2.사전토공사\14_용지보상 Risk 파악\체크리스트\용지보상 Risk 파악_체크리스트.html", "👉 [클릭] 체크리스트 열기 📄")</f>
        <v/>
      </c>
      <c r="T15" s="210" t="n"/>
      <c r="U15" s="210" t="n"/>
      <c r="V15" s="211" t="n"/>
      <c r="W15" s="210"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9000-2</t>
        </is>
      </c>
      <c r="C16" s="199" t="inlineStr">
        <is>
          <t>사전토공사</t>
        </is>
      </c>
      <c r="D16" s="199" t="inlineStr">
        <is>
          <t>9000-2-15</t>
        </is>
      </c>
      <c r="E16" s="200" t="inlineStr">
        <is>
          <t>9000-2-14</t>
        </is>
      </c>
      <c r="F16" s="200" t="inlineStr">
        <is>
          <t>9000-2-16</t>
        </is>
      </c>
      <c r="G16" s="155" t="inlineStr">
        <is>
          <t>시공계획서 검토 지원</t>
        </is>
      </c>
      <c r="H16" s="200" t="inlineStr">
        <is>
          <t>D-30</t>
        </is>
      </c>
      <c r="I16" s="200" t="inlineStr">
        <is>
          <t>토목품질팀</t>
        </is>
      </c>
      <c r="J16" s="156" t="inlineStr">
        <is>
          <t>건진법 시행령 제89조 | 사전 토공 시공계획서 표준 8대 목차 검토 | 착공 14일 전 감리 서면 승인</t>
        </is>
      </c>
      <c r="K16" s="156" t="inlineStr">
        <is>
          <t>1) 사전 토공 시공계획서 작성 ➔ 2) 8대 목차 &amp; KCS 수치 명시 ➔ 3) 착공 14일 전 감리단 제출 ➔ 4) 시공계획서 감리 서면 승인</t>
        </is>
      </c>
      <c r="L16" s="156" t="n"/>
      <c r="M16" s="156" t="inlineStr">
        <is>
          <t>사전 토공 시공계획서 표준 8대 목차, KCS 수치 수록 및 착공 14일 전 감리 서면 승인</t>
        </is>
      </c>
      <c r="N16" s="201" t="inlineStr">
        <is>
          <t>건진법 시행령 제89조 | 사전 토공 시공계획서 표준 8대 목차 검토 | 착공 14일 전 감리 서면 승인</t>
        </is>
      </c>
      <c r="O16" s="156">
        <f>HYPERLINK(LEFT(CELL("filename",A1),FIND("[",CELL("filename",A1))-1)&amp;"매뉴얼BODY(집행단계-첨부폴더)v8\2.사전토공사\15_시공계획서 검토 지원\표준서\시공계획서 검토 지원_표준서.html", "👉 [클릭] 표준서 열기 📄")</f>
        <v/>
      </c>
      <c r="P16" s="202" t="inlineStr">
        <is>
          <t>1) 사전 토공 시공계획서 작성 ➔ 2) 8대 목차 &amp; KCS 수치 명시 ➔ 3) 착공 14일 전 감리단 제출 ➔ 4) 시공계획서 감리 서면 승인</t>
        </is>
      </c>
      <c r="Q16" s="156">
        <f>HYPERLINK(LEFT(CELL("filename",A1),FIND("[",CELL("filename",A1))-1)&amp;"매뉴얼BODY(집행단계-첨부폴더)v8\2.사전토공사\15_시공계획서 검토 지원\수행지침\시공계획서 검토 지원_수행지침.html", "👉 [클릭] 수행지침 열기 📄")</f>
        <v/>
      </c>
      <c r="R16" s="203" t="inlineStr">
        <is>
          <t>사전 토공 시공계획서 표준 8대 목차, KCS 수치 수록 및 착공 14일 전 감리 서면 승인</t>
        </is>
      </c>
      <c r="S16" s="200">
        <f>HYPERLINK(LEFT(CELL("filename",A1),FIND("[",CELL("filename",A1))-1)&amp;"매뉴얼BODY(집행단계-첨부폴더)v8\2.사전토공사\15_시공계획서 검토 지원\체크리스트\시공계획서 검토 지원_체크리스트.html", "👉 [클릭] 체크리스트 열기 📄")</f>
        <v/>
      </c>
      <c r="T16" s="210" t="n"/>
      <c r="U16" s="210" t="n"/>
      <c r="V16" s="211" t="n"/>
      <c r="W16" s="210"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9000-2</t>
        </is>
      </c>
      <c r="C17" s="204" t="inlineStr">
        <is>
          <t>사전토공사</t>
        </is>
      </c>
      <c r="D17" s="204" t="inlineStr">
        <is>
          <t>9000-2-16</t>
        </is>
      </c>
      <c r="E17" s="205" t="inlineStr">
        <is>
          <t>9000-2-15</t>
        </is>
      </c>
      <c r="F17" s="205" t="inlineStr">
        <is>
          <t>9000-2-17</t>
        </is>
      </c>
      <c r="G17" s="162" t="inlineStr">
        <is>
          <t>시공계획 수립</t>
        </is>
      </c>
      <c r="H17" s="205" t="inlineStr">
        <is>
          <t>D-30</t>
        </is>
      </c>
      <c r="I17" s="205" t="inlineStr">
        <is>
          <t>현장 공사팀</t>
        </is>
      </c>
      <c r="J17" s="163" t="inlineStr">
        <is>
          <t>KCS 47 10 25 토공 시방 | 깎기/성토 토공 유동표 작성 및 3D BIM 도면 대조 | 책임감리원 최종 승인</t>
        </is>
      </c>
      <c r="K17" s="163" t="inlineStr">
        <is>
          <t>1) 토공 깎기/성토 유동표 작성 ➔ 2) 3D BIM 모델 표고 대조 ➔ 3) 사면 안성성 계산서 부착 ➔ 4) 토공 시공계획서 감리 최종 결재</t>
        </is>
      </c>
      <c r="L17" s="163" t="n"/>
      <c r="M17" s="163" t="inlineStr">
        <is>
          <t>토공 깎기/성토 유동표 작성, 3D BIM 모델 표고 대조 및 사면 안전성 계산서 감리 결재</t>
        </is>
      </c>
      <c r="N17" s="206" t="inlineStr">
        <is>
          <t>KCS 47 10 25 토공 시방 | 깎기/성토 토공 유동표 작성 및 3D BIM 도면 대조 | 책임감리원 최종 승인</t>
        </is>
      </c>
      <c r="O17" s="163">
        <f>HYPERLINK(LEFT(CELL("filename",A1),FIND("[",CELL("filename",A1))-1)&amp;"매뉴얼BODY(집행단계-첨부폴더)v8\2.사전토공사\16_시공계획 수립\표준서\설계변경 (착수전)_표준서.html", "👉 [클릭] 표준서 열기 📄")</f>
        <v/>
      </c>
      <c r="P17" s="207" t="inlineStr">
        <is>
          <t>1) 토공 깎기/성토 유동표 작성 ➔ 2) 3D BIM 모델 표고 대조 ➔ 3) 사면 안성성 계산서 부착 ➔ 4) 토공 시공계획서 감리 최종 결재</t>
        </is>
      </c>
      <c r="Q17" s="163">
        <f>HYPERLINK(LEFT(CELL("filename",A1),FIND("[",CELL("filename",A1))-1)&amp;"매뉴얼BODY(집행단계-첨부폴더)v8\2.사전토공사\16_시공계획 수립\수행지침\설계변경 (착수전)_수행지침.html", "👉 [클릭] 수행지침 열기 📄")</f>
        <v/>
      </c>
      <c r="R17" s="208" t="inlineStr">
        <is>
          <t>토공 깎기/성토 유동표 작성, 3D BIM 모델 표고 대조 및 사면 안전성 계산서 감리 결재</t>
        </is>
      </c>
      <c r="S17" s="205">
        <f>HYPERLINK(LEFT(CELL("filename",A1),FIND("[",CELL("filename",A1))-1)&amp;"매뉴얼BODY(집행단계-첨부폴더)v8\2.사전토공사\16_시공계획 수립\체크리스트\설계변경 (착수전)_체크리스트.html", "👉 [클릭] 체크리스트 열기 📄")</f>
        <v/>
      </c>
      <c r="T17" s="210" t="n"/>
      <c r="U17" s="210" t="n"/>
      <c r="V17" s="211" t="n"/>
      <c r="W17" s="210"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9000-2</t>
        </is>
      </c>
      <c r="C18" s="199" t="inlineStr">
        <is>
          <t>사전토공사</t>
        </is>
      </c>
      <c r="D18" s="199" t="inlineStr">
        <is>
          <t>9000-2-17</t>
        </is>
      </c>
      <c r="E18" s="200" t="inlineStr">
        <is>
          <t>9000-2-16</t>
        </is>
      </c>
      <c r="F18" s="200" t="inlineStr">
        <is>
          <t>9000-2-18</t>
        </is>
      </c>
      <c r="G18" s="155" t="inlineStr">
        <is>
          <t>후행공종 요구조건 반영 설계변경 검토</t>
        </is>
      </c>
      <c r="H18" s="200" t="inlineStr">
        <is>
          <t>D-30</t>
        </is>
      </c>
      <c r="I18" s="200" t="inlineStr">
        <is>
          <t>현장 공무팀/공사팀</t>
        </is>
      </c>
      <c r="J18" s="156" t="inlineStr">
        <is>
          <t>건진법 설계변경 수칙 | 궤도/구조물 후행 공종 요구 표고 오차(±10mm) 반영 | 설계변경 실정보고서 작성</t>
        </is>
      </c>
      <c r="K18" s="156" t="inlineStr">
        <is>
          <t>1) 궤도/구조물 후행 요구 조건 수집 ➔ 2) 마무리면 표고 오차(±10mm) 반영 ➔ 3) 설계변경 실정보고서 작성 ➔ 4) 책임감리원 기술 승인</t>
        </is>
      </c>
      <c r="L18" s="156" t="n"/>
      <c r="M18" s="156" t="inlineStr">
        <is>
          <t>궤도/구조물 후행 요구 조건 반영, 마무리면 표고 오차(±10mm) 반영 및 설계변경 실정보고</t>
        </is>
      </c>
      <c r="N18" s="201" t="inlineStr">
        <is>
          <t>건진법 설계변경 수칙 | 궤도/구조물 후행 공종 요구 표고 오차(±10mm) 반영 | 설계변경 실정보고서 작성</t>
        </is>
      </c>
      <c r="O18" s="156">
        <f>HYPERLINK(LEFT(CELL("filename",A1),FIND("[",CELL("filename",A1))-1)&amp;"매뉴얼BODY(집행단계-첨부폴더)v8\2.사전토공사\17_후행공종 요구조건 반영 설계변경 검토\표준서\후행공종 요구조건 반영 설계변경 검토_표준서.html", "👉 [클릭] 표준서 열기 📄")</f>
        <v/>
      </c>
      <c r="P18" s="202" t="inlineStr">
        <is>
          <t>1) 궤도/구조물 후행 요구 조건 수집 ➔ 2) 마무리면 표고 오차(±10mm) 반영 ➔ 3) 설계변경 실정보고서 작성 ➔ 4) 책임감리원 기술 승인</t>
        </is>
      </c>
      <c r="Q18" s="156">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203" t="inlineStr">
        <is>
          <t>궤도/구조물 후행 요구 조건 반영, 마무리면 표고 오차(±10mm) 반영 및 설계변경 실정보고</t>
        </is>
      </c>
      <c r="S18" s="200">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210" t="n"/>
      <c r="U18" s="210" t="n"/>
      <c r="V18" s="211" t="n"/>
      <c r="W18" s="210"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9000-2</t>
        </is>
      </c>
      <c r="C19" s="204" t="inlineStr">
        <is>
          <t>사전토공사</t>
        </is>
      </c>
      <c r="D19" s="204" t="inlineStr">
        <is>
          <t>9000-2-18</t>
        </is>
      </c>
      <c r="E19" s="205" t="inlineStr">
        <is>
          <t>9000-2-17</t>
        </is>
      </c>
      <c r="F19" s="205" t="inlineStr">
        <is>
          <t>9000-2-19</t>
        </is>
      </c>
      <c r="G19" s="162" t="inlineStr">
        <is>
          <t>설계변경 (착수전)</t>
        </is>
      </c>
      <c r="H19" s="205" t="inlineStr">
        <is>
          <t>D-30</t>
        </is>
      </c>
      <c r="I19" s="205" t="inlineStr">
        <is>
          <t>현장 공무팀/공사팀</t>
        </is>
      </c>
      <c r="J19" s="163" t="inlineStr">
        <is>
          <t>지방계약법 정산 수칙 | 착수 전 토종 변경 및 수량 증감 실정보고 작성 | 총사업비 변경 승인 수속</t>
        </is>
      </c>
      <c r="K19" s="163" t="inlineStr">
        <is>
          <t>1) 토질 변경 &amp; 수량 증감 실정보고 작성 ➔ 2) 단가 비교표 작성 ➔ 3) 설계변경 도서 제출 ➔ 4) 총사업비 변경 승인 결재</t>
        </is>
      </c>
      <c r="L19" s="163" t="n"/>
      <c r="M19" s="163" t="inlineStr">
        <is>
          <t>토질 변경 &amp; 수량 증감 실정보고서 작성, 단가 비교표 작성 및 총사업비 변경 승인 결재</t>
        </is>
      </c>
      <c r="N19" s="206" t="inlineStr">
        <is>
          <t>지방계약법 정산 수칙 | 착수 전 토종 변경 및 수량 증감 실정보고 작성 | 총사업비 변경 승인 수속</t>
        </is>
      </c>
      <c r="O19" s="163">
        <f>HYPERLINK(LEFT(CELL("filename",A1),FIND("[",CELL("filename",A1))-1)&amp;"매뉴얼BODY(집행단계-첨부폴더)v8\2.사전토공사\18_설계변경 (착수전)\표준서\설계변경 (착수전)_표준서.html", "👉 [클릭] 표준서 열기 📄")</f>
        <v/>
      </c>
      <c r="P19" s="207" t="inlineStr">
        <is>
          <t>1) 토질 변경 &amp; 수량 증감 실정보고 작성 ➔ 2) 단가 비교표 작성 ➔ 3) 설계변경 도서 제출 ➔ 4) 총사업비 변경 승인 결재</t>
        </is>
      </c>
      <c r="Q19" s="163">
        <f>HYPERLINK(LEFT(CELL("filename",A1),FIND("[",CELL("filename",A1))-1)&amp;"매뉴얼BODY(집행단계-첨부폴더)v8\2.사전토공사\18_설계변경 (착수전)\수행지침\설계변경 (착수전)_수행지침.html", "👉 [클릭] 수행지침 열기 📄")</f>
        <v/>
      </c>
      <c r="R19" s="208" t="inlineStr">
        <is>
          <t>토질 변경 &amp; 수량 증감 실정보고서 작성, 단가 비교표 작성 및 총사업비 변경 승인 결재</t>
        </is>
      </c>
      <c r="S19" s="205">
        <f>HYPERLINK(LEFT(CELL("filename",A1),FIND("[",CELL("filename",A1))-1)&amp;"매뉴얼BODY(집행단계-첨부폴더)v8\2.사전토공사\18_설계변경 (착수전)\체크리스트\설계변경 (착수전)_체크리스트.html", "👉 [클릭] 체크리스트 열기 📄")</f>
        <v/>
      </c>
      <c r="T19" s="210" t="n"/>
      <c r="U19" s="210" t="n"/>
      <c r="V19" s="211" t="n"/>
      <c r="W19" s="210"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9000-2</t>
        </is>
      </c>
      <c r="C20" s="199" t="inlineStr">
        <is>
          <t>사전토공사</t>
        </is>
      </c>
      <c r="D20" s="199" t="inlineStr">
        <is>
          <t>9000-2-19</t>
        </is>
      </c>
      <c r="E20" s="200" t="inlineStr">
        <is>
          <t>9000-2-18</t>
        </is>
      </c>
      <c r="F20" s="200" t="inlineStr">
        <is>
          <t>9000-2-20</t>
        </is>
      </c>
      <c r="G20" s="155" t="inlineStr">
        <is>
          <t>설계변경 지원</t>
        </is>
      </c>
      <c r="H20" s="200" t="inlineStr">
        <is>
          <t>D-30</t>
        </is>
      </c>
      <c r="I20" s="200" t="inlineStr">
        <is>
          <t>토목수행팀</t>
        </is>
      </c>
      <c r="J20" s="156" t="inlineStr">
        <is>
          <t>건진법 설계변경 규정 | 수량 산출서 및 단가 비교표 작성 | 책임감리원 기술 검토 의견서 첨부</t>
        </is>
      </c>
      <c r="K20" s="156" t="inlineStr">
        <is>
          <t>1) 변경 수량 산출서 정밀 집계 ➔ 2) 신규 단가 산정 서류 부착 ➔ 3) 감리단 기술 검토 수속 ➔ 4) 설계변경 제출 서면 결재</t>
        </is>
      </c>
      <c r="L20" s="156" t="n"/>
      <c r="M20" s="156" t="inlineStr">
        <is>
          <t>변경 수량 산출서 정밀 집계, 신규 단가 산정 서류 첨부 및 책임감리원 기술 검토 수속</t>
        </is>
      </c>
      <c r="N20" s="201" t="inlineStr">
        <is>
          <t>건진법 설계변경 규정 | 수량 산출서 및 단가 비교표 작성 | 책임감리원 기술 검토 의견서 첨부</t>
        </is>
      </c>
      <c r="O20" s="156">
        <f>HYPERLINK(LEFT(CELL("filename",A1),FIND("[",CELL("filename",A1))-1)&amp;"매뉴얼BODY(집행단계-첨부폴더)v8\2.사전토공사\18_설계변경_착수전\표준서\후행공종 요구조건 반영 설계변경 검토_표준서.html", "👉 [클릭] 표준서 열기 📄")</f>
        <v/>
      </c>
      <c r="P20" s="202" t="inlineStr">
        <is>
          <t>1) 변경 수량 산출서 정밀 집계 ➔ 2) 신규 단가 산정 서류 부착 ➔ 3) 감리단 기술 검토 수속 ➔ 4) 설계변경 제출 서면 결재</t>
        </is>
      </c>
      <c r="Q20" s="156">
        <f>HYPERLINK(LEFT(CELL("filename",A1),FIND("[",CELL("filename",A1))-1)&amp;"매뉴얼BODY(집행단계-첨부폴더)v8\2.사전토공사\18_설계변경_착수전\수행지침\후행공종 요구조건 반영 설계변경 검토_수행지침.html", "👉 [클릭] 수행지침 열기 📄")</f>
        <v/>
      </c>
      <c r="R20" s="203" t="inlineStr">
        <is>
          <t>변경 수량 산출서 정밀 집계, 신규 단가 산정 서류 첨부 및 책임감리원 기술 검토 수속</t>
        </is>
      </c>
      <c r="S20" s="200">
        <f>HYPERLINK(LEFT(CELL("filename",A1),FIND("[",CELL("filename",A1))-1)&amp;"매뉴얼BODY(집행단계-첨부폴더)v8\2.사전토공사\18_설계변경_착수전\체크리스트\후행공종 요구조건 반영 설계변경 검토_체크리스트.html", "👉 [클릭] 체크리스트 열기 📄")</f>
        <v/>
      </c>
      <c r="T20" s="210" t="n"/>
      <c r="U20" s="210" t="n"/>
      <c r="V20" s="211" t="n"/>
      <c r="W20" s="210"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9000-2</t>
        </is>
      </c>
      <c r="C21" s="204" t="inlineStr">
        <is>
          <t>사전토공사</t>
        </is>
      </c>
      <c r="D21" s="204" t="inlineStr">
        <is>
          <t>9000-2-20</t>
        </is>
      </c>
      <c r="E21" s="205" t="inlineStr">
        <is>
          <t>9000-2-19</t>
        </is>
      </c>
      <c r="F21" s="205" t="inlineStr">
        <is>
          <t>9000-2-21</t>
        </is>
      </c>
      <c r="G21" s="162" t="inlineStr">
        <is>
          <t>교통관리 및 교통안전시설 설치</t>
        </is>
      </c>
      <c r="H21" s="205" t="inlineStr">
        <is>
          <t>D-20</t>
        </is>
      </c>
      <c r="I21" s="205" t="inlineStr">
        <is>
          <t>현장 공사팀</t>
        </is>
      </c>
      <c r="J21" s="163" t="inlineStr">
        <is>
          <t>도로교통법 안전 수칙 | 게이트 바리케이트, 야간 LED 경광등 부설 | 전담 안전 신호수(2인 2조) 100% 배치</t>
        </is>
      </c>
      <c r="K21" s="163" t="inlineStr">
        <is>
          <t>1) 게이트 바리케이트 &amp; 경광등 부설 ➔ 2) 우회 차선 표지판 설치 ➔ 3) 전담 신호수(2인 2조) 배치 ➔ 4) 교통 안전 점검 대장 결재</t>
        </is>
      </c>
      <c r="L21" s="163" t="n"/>
      <c r="M21" s="163" t="inlineStr">
        <is>
          <t>게이트 바리케이트/LED 경광등 설치, 우회 차선 표지판 검측 및 전담 신호수(2인 2조) 배치</t>
        </is>
      </c>
      <c r="N21" s="206" t="inlineStr">
        <is>
          <t>도로교통법 안전 수칙 | 게이트 바리케이트, 야간 LED 경광등 부설 | 전담 안전 신호수(2인 2조) 100% 배치</t>
        </is>
      </c>
      <c r="O21" s="163">
        <f>HYPERLINK(LEFT(CELL("filename",A1),FIND("[",CELL("filename",A1))-1)&amp;"매뉴얼BODY(집행단계-첨부폴더)v8\2.사전토공사\19_설계변경 지원\표준서\설계변경 지원_표준서.html", "👉 [클릭] 표준서 열기 📄")</f>
        <v/>
      </c>
      <c r="P21" s="207" t="inlineStr">
        <is>
          <t>1) 게이트 바리케이트 &amp; 경광등 부설 ➔ 2) 우회 차선 표지판 설치 ➔ 3) 전담 신호수(2인 2조) 배치 ➔ 4) 교통 안전 점검 대장 결재</t>
        </is>
      </c>
      <c r="Q21" s="163">
        <f>HYPERLINK(LEFT(CELL("filename",A1),FIND("[",CELL("filename",A1))-1)&amp;"매뉴얼BODY(집행단계-첨부폴더)v8\2.사전토공사\19_설계변경 지원\수행지침\설계변경 지원_수행지침.html", "👉 [클릭] 수행지침 열기 📄")</f>
        <v/>
      </c>
      <c r="R21" s="208" t="inlineStr">
        <is>
          <t>게이트 바리케이트/LED 경광등 설치, 우회 차선 표지판 검측 및 전담 신호수(2인 2조) 배치</t>
        </is>
      </c>
      <c r="S21" s="205">
        <f>HYPERLINK(LEFT(CELL("filename",A1),FIND("[",CELL("filename",A1))-1)&amp;"매뉴얼BODY(집행단계-첨부폴더)v8\2.사전토공사\19_설계변경 지원\체크리스트\설계변경 지원_체크리스트.html", "👉 [클릭] 체크리스트 열기 📄")</f>
        <v/>
      </c>
      <c r="T21" s="210" t="n"/>
      <c r="U21" s="210" t="n"/>
      <c r="V21" s="211" t="n"/>
      <c r="W21" s="210"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9000-2</t>
        </is>
      </c>
      <c r="C22" s="199" t="inlineStr">
        <is>
          <t>사전토공사</t>
        </is>
      </c>
      <c r="D22" s="199" t="inlineStr">
        <is>
          <t>9000-2-21</t>
        </is>
      </c>
      <c r="E22" s="200" t="inlineStr">
        <is>
          <t>9000-2-20</t>
        </is>
      </c>
      <c r="F22" s="200" t="inlineStr">
        <is>
          <t>9000-2-22</t>
        </is>
      </c>
      <c r="G22" s="155" t="inlineStr">
        <is>
          <t>장비 검수 지원</t>
        </is>
      </c>
      <c r="H22" s="200" t="inlineStr">
        <is>
          <t>D-10</t>
        </is>
      </c>
      <c r="I22" s="200" t="inlineStr">
        <is>
          <t>기술안전팀</t>
        </is>
      </c>
      <c r="J22" s="156" t="inlineStr">
        <is>
          <t>건설기계관리법 제13조 | 자중 10t+ 굴착기, 덤프 정기검사증 검수 | 후방 센서 점검 및 반입 허가</t>
        </is>
      </c>
      <c r="K22" s="156" t="inlineStr">
        <is>
          <t>1) 10t+ 굴착기/덤프 사양 검수 ➔ 2) 건설기계 정기검사증 점검 ➔ 3) 후방 카메라/경보음 시동 점검 ➔ 4) 장비 반입 승인서 감리 결재</t>
        </is>
      </c>
      <c r="L22" s="156" t="n"/>
      <c r="M22" s="156" t="inlineStr">
        <is>
          <t>자중 10t+ 굴착기/덤프 정기검사증, 후방 카메라/경보음 시동 점검 및 반입 허가 결재</t>
        </is>
      </c>
      <c r="N22" s="201" t="inlineStr">
        <is>
          <t>건설기계관리법 제13조 | 자중 10t+ 굴착기, 덤프 정기검사증 검수 | 후방 센서 점검 및 반입 허가</t>
        </is>
      </c>
      <c r="O22" s="156">
        <f>HYPERLINK(LEFT(CELL("filename",A1),FIND("[",CELL("filename",A1))-1)&amp;"매뉴얼BODY(집행단계-첨부폴더)v8\2.사전토공사\20_교통관리 및 교통안전시설 설치\표준서\교통관리 및 교통안전시설 설치_표준서.html", "👉 [클릭] 표준서 열기 📄")</f>
        <v/>
      </c>
      <c r="P22" s="202" t="inlineStr">
        <is>
          <t>1) 10t+ 굴착기/덤프 사양 검수 ➔ 2) 건설기계 정기검사증 점검 ➔ 3) 후방 카메라/경보음 시동 점검 ➔ 4) 장비 반입 승인서 감리 결재</t>
        </is>
      </c>
      <c r="Q22" s="156">
        <f>HYPERLINK(LEFT(CELL("filename",A1),FIND("[",CELL("filename",A1))-1)&amp;"매뉴얼BODY(집행단계-첨부폴더)v8\2.사전토공사\20_교통관리 및 교통안전시설 설치\수행지침\교통관리 및 교통안전시설 설치_수행지침.html", "👉 [클릭] 수행지침 열기 📄")</f>
        <v/>
      </c>
      <c r="R22" s="203" t="inlineStr">
        <is>
          <t>자중 10t+ 굴착기/덤프 정기검사증, 후방 카메라/경보음 시동 점검 및 반입 허가 결재</t>
        </is>
      </c>
      <c r="S22" s="200">
        <f>HYPERLINK(LEFT(CELL("filename",A1),FIND("[",CELL("filename",A1))-1)&amp;"매뉴얼BODY(집행단계-첨부폴더)v8\2.사전토공사\20_교통관리 및 교통안전시설 설치\체크리스트\교통관리 및 교통안전시설 설치_체크리스트.html", "👉 [클릭] 체크리스트 열기 📄")</f>
        <v/>
      </c>
      <c r="T22" s="210" t="n"/>
      <c r="U22" s="210" t="n"/>
      <c r="V22" s="211" t="n"/>
      <c r="W22" s="210"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9000-2</t>
        </is>
      </c>
      <c r="C23" s="204" t="inlineStr">
        <is>
          <t>사전토공사</t>
        </is>
      </c>
      <c r="D23" s="204" t="inlineStr">
        <is>
          <t>9000-2-22</t>
        </is>
      </c>
      <c r="E23" s="205" t="inlineStr">
        <is>
          <t>9000-2-21</t>
        </is>
      </c>
      <c r="F23" s="205" t="inlineStr">
        <is>
          <t>9000-2-23</t>
        </is>
      </c>
      <c r="G23" s="162" t="inlineStr">
        <is>
          <t>벌목/벌근제거</t>
        </is>
      </c>
      <c r="H23" s="205" t="inlineStr">
        <is>
          <t>D+10~30</t>
        </is>
      </c>
      <c r="I23" s="205" t="inlineStr">
        <is>
          <t>현장 공사팀</t>
        </is>
      </c>
      <c r="J23" s="163" t="inlineStr">
        <is>
          <t>KCS 47 10 25 산림 벌목 시방 | 수목 벌목 및 뿌리 제거(벌근) 깊이 30cm 이상 | 임목 폐기물 수속 처리</t>
        </is>
      </c>
      <c r="K23" s="163" t="inlineStr">
        <is>
          <t>1) 현장 지반 수목 벌목 시행 ➔ 2) 뿌리 제거(벌근) 깊이 30cm 굴착 ➔ 3) 임목 폐기물 수속 처리 ➔ 4) 벌목 벌근 성과표 감리 승인</t>
        </is>
      </c>
      <c r="L23" s="163" t="n"/>
      <c r="M23" s="163" t="inlineStr">
        <is>
          <t>현장 수목 벌목 시행, 뿌리 제거(벌근) 깊이 30cm 이상 굴착 및 임목 폐기물 수속 처리</t>
        </is>
      </c>
      <c r="N23" s="206" t="inlineStr">
        <is>
          <t>KCS 47 10 25 산림 벌목 시방 | 수목 벌목 및 뿌리 제거(벌근) 깊이 30cm 이상 | 임목 폐기물 수속 처리</t>
        </is>
      </c>
      <c r="O23" s="163">
        <f>HYPERLINK(LEFT(CELL("filename",A1),FIND("[",CELL("filename",A1))-1)&amp;"매뉴얼BODY(집행단계-첨부폴더)v8\2.사전토공사\21_장비 검수 지원\표준서\장비 검수 지원_표준서.html", "👉 [클릭] 표준서 열기 📄")</f>
        <v/>
      </c>
      <c r="P23" s="207" t="inlineStr">
        <is>
          <t>1) 현장 지반 수목 벌목 시행 ➔ 2) 뿌리 제거(벌근) 깊이 30cm 굴착 ➔ 3) 임목 폐기물 수속 처리 ➔ 4) 벌목 벌근 성과표 감리 승인</t>
        </is>
      </c>
      <c r="Q23" s="163">
        <f>HYPERLINK(LEFT(CELL("filename",A1),FIND("[",CELL("filename",A1))-1)&amp;"매뉴얼BODY(집행단계-첨부폴더)v8\2.사전토공사\21_장비 검수 지원\수행지침\장비 검수 지원_수행지침.html", "👉 [클릭] 수행지침 열기 📄")</f>
        <v/>
      </c>
      <c r="R23" s="208" t="inlineStr">
        <is>
          <t>현장 수목 벌목 시행, 뿌리 제거(벌근) 깊이 30cm 이상 굴착 및 임목 폐기물 수속 처리</t>
        </is>
      </c>
      <c r="S23" s="205">
        <f>HYPERLINK(LEFT(CELL("filename",A1),FIND("[",CELL("filename",A1))-1)&amp;"매뉴얼BODY(집행단계-첨부폴더)v8\2.사전토공사\21_장비 검수 지원\체크리스트\장비 검수 지원_체크리스트.html", "👉 [클릭] 체크리스트 열기 📄")</f>
        <v/>
      </c>
      <c r="T23" s="210" t="n"/>
      <c r="U23" s="210" t="n"/>
      <c r="V23" s="211" t="n"/>
      <c r="W23" s="210"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9000-2</t>
        </is>
      </c>
      <c r="C24" s="199" t="inlineStr">
        <is>
          <t>사전토공사</t>
        </is>
      </c>
      <c r="D24" s="199" t="inlineStr">
        <is>
          <t>9000-2-23</t>
        </is>
      </c>
      <c r="E24" s="200" t="inlineStr">
        <is>
          <t>9000-2-22</t>
        </is>
      </c>
      <c r="F24" s="200" t="inlineStr">
        <is>
          <t>9000-2-24</t>
        </is>
      </c>
      <c r="G24" s="155" t="inlineStr">
        <is>
          <t>기존구조물 / 지장물 처리</t>
        </is>
      </c>
      <c r="H24" s="200" t="inlineStr">
        <is>
          <t>D+10~25</t>
        </is>
      </c>
      <c r="I24" s="200" t="inlineStr">
        <is>
          <t>현장 공사팀 / 공무팀</t>
        </is>
      </c>
      <c r="J24" s="156" t="inlineStr">
        <is>
          <t>폐기물관리법 준수 | 기존 아스콘/콘크리트 구조물 안전 삭평 철거 | 건설 폐기물 성적표 수속</t>
        </is>
      </c>
      <c r="K24" s="156" t="inlineStr">
        <is>
          <t>1) 기존 아스콘/콘크리트 삭평 철거 ➔ 2) 폐기물 분리 수거 &amp; 적재 ➔ 3) 건설 폐기물 위탁 처리 ➔ 4) 지장물 처리 성과표 감리 승인</t>
        </is>
      </c>
      <c r="L24" s="156" t="n"/>
      <c r="M24" s="156" t="inlineStr">
        <is>
          <t>기존 아스콘/콘크리트 삭평 철거, 건설 폐기물 분리 수거 적재 및 폐기물 성적서 수속</t>
        </is>
      </c>
      <c r="N24" s="201" t="inlineStr">
        <is>
          <t>폐기물관리법 준수 | 기존 아스콘/콘크리트 구조물 안전 삭평 철거 | 건설 폐기물 성적표 수속</t>
        </is>
      </c>
      <c r="O24" s="156">
        <f>HYPERLINK(LEFT(CELL("filename",A1),FIND("[",CELL("filename",A1))-1)&amp;"매뉴얼BODY(집행단계-첨부폴더)v8\2.사전토공사\22_벌목_벌근제거\표준서\벌목_벌근제거_표준서.html", "👉 [클릭] 표준서 열기 📄")</f>
        <v/>
      </c>
      <c r="P24" s="202" t="inlineStr">
        <is>
          <t>1) 기존 아스콘/콘크리트 삭평 철거 ➔ 2) 폐기물 분리 수거 &amp; 적재 ➔ 3) 건설 폐기물 위탁 처리 ➔ 4) 지장물 처리 성과표 감리 승인</t>
        </is>
      </c>
      <c r="Q24" s="156">
        <f>HYPERLINK(LEFT(CELL("filename",A1),FIND("[",CELL("filename",A1))-1)&amp;"매뉴얼BODY(집행단계-첨부폴더)v8\2.사전토공사\22_벌목_벌근제거\수행지침\벌목_벌근제거_수행지침.html", "👉 [클릭] 수행지침 열기 📄")</f>
        <v/>
      </c>
      <c r="R24" s="203" t="inlineStr">
        <is>
          <t>기존 아스콘/콘크리트 삭평 철거, 건설 폐기물 분리 수거 적재 및 폐기물 성적서 수속</t>
        </is>
      </c>
      <c r="S24" s="200">
        <f>HYPERLINK(LEFT(CELL("filename",A1),FIND("[",CELL("filename",A1))-1)&amp;"매뉴얼BODY(집행단계-첨부폴더)v8\2.사전토공사\22_벌목_벌근제거\체크리스트\벌목_벌근제거_체크리스트.html", "👉 [클릭] 체크리스트 열기 📄")</f>
        <v/>
      </c>
      <c r="T24" s="210" t="n"/>
      <c r="U24" s="210" t="n"/>
      <c r="V24" s="211" t="n"/>
      <c r="W24" s="210"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9000-2</t>
        </is>
      </c>
      <c r="C25" s="204" t="inlineStr">
        <is>
          <t>사전토공사</t>
        </is>
      </c>
      <c r="D25" s="204" t="inlineStr">
        <is>
          <t>9000-2-24</t>
        </is>
      </c>
      <c r="E25" s="205" t="inlineStr">
        <is>
          <t>9000-2-23</t>
        </is>
      </c>
      <c r="F25" s="205" t="inlineStr">
        <is>
          <t>9000-2-25</t>
        </is>
      </c>
      <c r="G25" s="162" t="inlineStr">
        <is>
          <t>진입로 조성</t>
        </is>
      </c>
      <c r="H25" s="205" t="inlineStr">
        <is>
          <t>D+10~30</t>
        </is>
      </c>
      <c r="I25" s="205" t="inlineStr">
        <is>
          <t>현장 공사팀</t>
        </is>
      </c>
      <c r="J25" s="163" t="inlineStr">
        <is>
          <t>KCS 47 10 25 가설 도로 | 덤프트럭 진입 가설 도로 폭 6m 포설 | 쇄석 골재(두께 20cm) 부설 &amp; 살수</t>
        </is>
      </c>
      <c r="K25" s="163" t="inlineStr">
        <is>
          <t>1) 가설 도로 폭 6m 성토 굴착 ➔ 2) 쇄석 골재(두께 20cm) 부설 ➔ 3) 10t 롤러 다짐 &amp; 살수 ➔ 4) 진입로 조성 성과표 감리 승인</t>
        </is>
      </c>
      <c r="L25" s="163" t="n"/>
      <c r="M25" s="163" t="inlineStr">
        <is>
          <t>가설 도로 폭 6m 성토 굴착, 쇄석 골재(두께 20cm) 부설, 10t 롤러 다짐 및 살수 점검</t>
        </is>
      </c>
      <c r="N25" s="206" t="inlineStr">
        <is>
          <t>KCS 47 10 25 가설 도로 | 덤프트럭 진입 가설 도로 폭 6m 포설 | 쇄석 골재(두께 20cm) 부설 &amp; 살수</t>
        </is>
      </c>
      <c r="O25" s="163">
        <f>HYPERLINK(LEFT(CELL("filename",A1),FIND("[",CELL("filename",A1))-1)&amp;"매뉴얼BODY(집행단계-첨부폴더)v8\2.사전토공사\23_기존구조물 _ 지장물 처리\표준서\기존구조물 _ 지장물 처리_표준서.html", "👉 [클릭] 표준서 열기 📄")</f>
        <v/>
      </c>
      <c r="P25" s="207" t="inlineStr">
        <is>
          <t>1) 가설 도로 폭 6m 성토 굴착 ➔ 2) 쇄석 골재(두께 20cm) 부설 ➔ 3) 10t 롤러 다짐 &amp; 살수 ➔ 4) 진입로 조성 성과표 감리 승인</t>
        </is>
      </c>
      <c r="Q25" s="163">
        <f>HYPERLINK(LEFT(CELL("filename",A1),FIND("[",CELL("filename",A1))-1)&amp;"매뉴얼BODY(집행단계-첨부폴더)v8\2.사전토공사\23_기존구조물 _ 지장물 처리\수행지침\기존구조물 _ 지장물 처리_수행지침.html", "👉 [클릭] 수행지침 열기 📄")</f>
        <v/>
      </c>
      <c r="R25" s="208" t="inlineStr">
        <is>
          <t>가설 도로 폭 6m 성토 굴착, 쇄석 골재(두께 20cm) 부설, 10t 롤러 다짐 및 살수 점검</t>
        </is>
      </c>
      <c r="S25" s="205">
        <f>HYPERLINK(LEFT(CELL("filename",A1),FIND("[",CELL("filename",A1))-1)&amp;"매뉴얼BODY(집행단계-첨부폴더)v8\2.사전토공사\23_기존구조물 _ 지장물 처리\체크리스트\기존구조물 _ 지장물 처리_체크리스트.html", "👉 [클릭] 체크리스트 열기 📄")</f>
        <v/>
      </c>
      <c r="T25" s="210" t="n"/>
      <c r="U25" s="210" t="n"/>
      <c r="V25" s="211" t="n"/>
      <c r="W25" s="210"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9000-2</t>
        </is>
      </c>
      <c r="C26" s="199" t="inlineStr">
        <is>
          <t>사전토공사</t>
        </is>
      </c>
      <c r="D26" s="199" t="inlineStr">
        <is>
          <t>9000-2-25</t>
        </is>
      </c>
      <c r="E26" s="200" t="inlineStr">
        <is>
          <t>9000-2-24</t>
        </is>
      </c>
      <c r="F26" s="200" t="inlineStr">
        <is>
          <t>9000-2-26</t>
        </is>
      </c>
      <c r="G26" s="155" t="inlineStr">
        <is>
          <t>배수/환경시설 설치</t>
        </is>
      </c>
      <c r="H26" s="200" t="inlineStr">
        <is>
          <t>D+10~30</t>
        </is>
      </c>
      <c r="I26" s="200" t="inlineStr">
        <is>
          <t>현장 공사팀</t>
        </is>
      </c>
      <c r="J26" s="156" t="inlineStr">
        <is>
          <t>KCS 47 10 25 배수 시방 | 가배수로(0.6×0.6m) &amp; 가침사지 설치 | 세륜기(깊이 1.2m) 가동 및 배수 검측</t>
        </is>
      </c>
      <c r="K26" s="156" t="inlineStr">
        <is>
          <t>1) 가배수로(0.6×0.6m) &amp; 가침사지 터파기 ➔ 2) 세륜기(깊이 1.2m) 부설 ➔ 3) 양수 펌프 비치 ➔ 4) 배수 환경 시설 감리 서면 승인</t>
        </is>
      </c>
      <c r="L26" s="156" t="n"/>
      <c r="M26" s="156" t="inlineStr">
        <is>
          <t>가배수로(0.6×0.6m) &amp; 가침사지 설치, 세륜기(깊이 1.2m) 가동 및 수중 양수 펌프 비치</t>
        </is>
      </c>
      <c r="N26" s="201" t="inlineStr">
        <is>
          <t>KCS 47 10 25 배수 시방 | 가배수로(0.6×0.6m) &amp; 가침사지 설치 | 세륜기(깊이 1.2m) 가동 및 배수 검측</t>
        </is>
      </c>
      <c r="O26" s="156">
        <f>HYPERLINK(LEFT(CELL("filename",A1),FIND("[",CELL("filename",A1))-1)&amp;"매뉴얼BODY(집행단계-첨부폴더)v8\2.사전토공사\23_기존구조물_지장물 처리\표준서\기존구조물 _ 지장물 처리_표준서.html", "👉 [클릭] 표준서 열기 📄")</f>
        <v/>
      </c>
      <c r="P26" s="202" t="inlineStr">
        <is>
          <t>1) 가배수로(0.6×0.6m) &amp; 가침사지 터파기 ➔ 2) 세륜기(깊이 1.2m) 부설 ➔ 3) 양수 펌프 비치 ➔ 4) 배수 환경 시설 감리 서면 승인</t>
        </is>
      </c>
      <c r="Q26" s="156">
        <f>HYPERLINK(LEFT(CELL("filename",A1),FIND("[",CELL("filename",A1))-1)&amp;"매뉴얼BODY(집행단계-첨부폴더)v8\2.사전토공사\23_기존구조물_지장물 처리\수행지침\기존구조물 _ 지장물 처리_수행지침.html", "👉 [클릭] 수행지침 열기 📄")</f>
        <v/>
      </c>
      <c r="R26" s="203" t="inlineStr">
        <is>
          <t>가배수로(0.6×0.6m) &amp; 가침사지 설치, 세륜기(깊이 1.2m) 가동 및 수중 양수 펌프 비치</t>
        </is>
      </c>
      <c r="S26" s="200">
        <f>HYPERLINK(LEFT(CELL("filename",A1),FIND("[",CELL("filename",A1))-1)&amp;"매뉴얼BODY(집행단계-첨부폴더)v8\2.사전토공사\23_기존구조물_지장물 처리\체크리스트\기존구조물 _ 지장물 처리_체크리스트.html", "👉 [클릭] 체크리스트 열기 📄")</f>
        <v/>
      </c>
      <c r="T26" s="210" t="n"/>
      <c r="U26" s="210" t="n"/>
      <c r="V26" s="211" t="n"/>
      <c r="W26" s="210"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9000-2</t>
        </is>
      </c>
      <c r="C27" s="204" t="inlineStr">
        <is>
          <t>사전토공사</t>
        </is>
      </c>
      <c r="D27" s="204" t="inlineStr">
        <is>
          <t>9000-2-26</t>
        </is>
      </c>
      <c r="E27" s="205" t="inlineStr">
        <is>
          <t>9000-2-25</t>
        </is>
      </c>
      <c r="F27" s="205" t="inlineStr">
        <is>
          <t>9000-2-27</t>
        </is>
      </c>
      <c r="G27" s="162" t="inlineStr">
        <is>
          <t>토공 굴착</t>
        </is>
      </c>
      <c r="H27" s="205" t="inlineStr">
        <is>
          <t>D+10~30</t>
        </is>
      </c>
      <c r="I27" s="205" t="inlineStr">
        <is>
          <t>현장 공사팀</t>
        </is>
      </c>
      <c r="J27" s="163" t="inlineStr">
        <is>
          <t>KCS 47 10 25 굴착 규정 | 3D GPS 굴착기 표고 오차 ±20mm 통제 | 사면 비탈면 경사(1:1.5) 준수</t>
        </is>
      </c>
      <c r="K27" s="163" t="inlineStr">
        <is>
          <t>1) 3D GPS 굴착기 정밀 세팅 ➔ 2) 토사 깎기 &amp; 사면 비탈면(1:1.5) 굴착 ➔ 3) 표고 오차(±20mm) 검측 ➔ 4) 토공 굴착 성과표 감리 승인</t>
        </is>
      </c>
      <c r="L27" s="163" t="n"/>
      <c r="M27" s="163" t="inlineStr">
        <is>
          <t>3D GPS 굴착기 표고 오차 ±20mm 통제, 사면 비탈면 경사(1:1.5 이하) 준수 및 굴착 검측</t>
        </is>
      </c>
      <c r="N27" s="206" t="inlineStr">
        <is>
          <t>KCS 47 10 25 굴착 규정 | 3D GPS 굴착기 표고 오차 ±20mm 통제 | 사면 비탈면 경사(1:1.5) 준수</t>
        </is>
      </c>
      <c r="O27" s="163">
        <f>HYPERLINK(LEFT(CELL("filename",A1),FIND("[",CELL("filename",A1))-1)&amp;"매뉴얼BODY(집행단계-첨부폴더)v8\2.사전토공사\24_진입로 조성\표준서\진입로 조성_표준서.html", "👉 [클릭] 표준서 열기 📄")</f>
        <v/>
      </c>
      <c r="P27" s="207" t="inlineStr">
        <is>
          <t>1) 3D GPS 굴착기 정밀 세팅 ➔ 2) 토사 깎기 &amp; 사면 비탈면(1:1.5) 굴착 ➔ 3) 표고 오차(±20mm) 검측 ➔ 4) 토공 굴착 성과표 감리 승인</t>
        </is>
      </c>
      <c r="Q27" s="163">
        <f>HYPERLINK(LEFT(CELL("filename",A1),FIND("[",CELL("filename",A1))-1)&amp;"매뉴얼BODY(집행단계-첨부폴더)v8\2.사전토공사\24_진입로 조성\수행지침\진입로 조성_수행지침.html", "👉 [클릭] 수행지침 열기 📄")</f>
        <v/>
      </c>
      <c r="R27" s="208" t="inlineStr">
        <is>
          <t>3D GPS 굴착기 표고 오차 ±20mm 통제, 사면 비탈면 경사(1:1.5 이하) 준수 및 굴착 검측</t>
        </is>
      </c>
      <c r="S27" s="205">
        <f>HYPERLINK(LEFT(CELL("filename",A1),FIND("[",CELL("filename",A1))-1)&amp;"매뉴얼BODY(집행단계-첨부폴더)v8\2.사전토공사\24_진입로 조성\체크리스트\진입로 조성_체크리스트.html", "👉 [클릭] 체크리스트 열기 📄")</f>
        <v/>
      </c>
      <c r="T27" s="210" t="n"/>
      <c r="U27" s="210" t="n"/>
      <c r="V27" s="211" t="n"/>
      <c r="W27" s="210"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9000-2</t>
        </is>
      </c>
      <c r="C28" s="199" t="inlineStr">
        <is>
          <t>사전토공사</t>
        </is>
      </c>
      <c r="D28" s="199" t="inlineStr">
        <is>
          <t>9000-2-27</t>
        </is>
      </c>
      <c r="E28" s="200" t="inlineStr">
        <is>
          <t>9000-2-26</t>
        </is>
      </c>
      <c r="F28" s="200" t="inlineStr">
        <is>
          <t>9000-2-28</t>
        </is>
      </c>
      <c r="G28" s="155" t="inlineStr">
        <is>
          <t>노상토 지지력 확인</t>
        </is>
      </c>
      <c r="H28" s="200" t="inlineStr">
        <is>
          <t>D+10~30</t>
        </is>
      </c>
      <c r="I28" s="200" t="inlineStr">
        <is>
          <t>현장 품질팀</t>
        </is>
      </c>
      <c r="J28" s="156" t="inlineStr">
        <is>
          <t>KS F 2310 규정 준수 | 굴착 바닥 원지반 평판재하시험 K30 ≥ 70 MN/m³ | 덤프트럭 펌핑 연약 지반 점검</t>
        </is>
      </c>
      <c r="K28" s="156" t="inlineStr">
        <is>
          <t>1) 굴착 바닥 원지반 수평 정리 ➔ 2) K30 평판재하시험(≥70 MN/m³) ➔ 3) 덤프트럭 펌핑 연약 지반 점검 ➔ 4) 노상토 지지력 성과표 승인</t>
        </is>
      </c>
      <c r="L28" s="156" t="n"/>
      <c r="M28" s="156" t="inlineStr">
        <is>
          <t>굴착 바닥 평판재하시험 K30 ≥ 70 MN/m³, 덤프트럭 펌핑 연약 지반 점검 및 노상토 승인</t>
        </is>
      </c>
      <c r="N28" s="201" t="inlineStr">
        <is>
          <t>KS F 2310 규정 준수 | 굴착 바닥 원지반 평판재하시험 K30 ≥ 70 MN/m³ | 덤프트럭 펌핑 연약 지반 점검</t>
        </is>
      </c>
      <c r="O28" s="156">
        <f>HYPERLINK(LEFT(CELL("filename",A1),FIND("[",CELL("filename",A1))-1)&amp;"매뉴얼BODY(집행단계-첨부폴더)v8\2.사전토공사\25_배수_환경시설 설치\표준서\배수_환경시설 설치_표준서.html", "👉 [클릭] 표준서 열기 📄")</f>
        <v/>
      </c>
      <c r="P28" s="202" t="inlineStr">
        <is>
          <t>1) 굴착 바닥 원지반 수평 정리 ➔ 2) K30 평판재하시험(≥70 MN/m³) ➔ 3) 덤프트럭 펌핑 연약 지반 점검 ➔ 4) 노상토 지지력 성과표 승인</t>
        </is>
      </c>
      <c r="Q28" s="156">
        <f>HYPERLINK(LEFT(CELL("filename",A1),FIND("[",CELL("filename",A1))-1)&amp;"매뉴얼BODY(집행단계-첨부폴더)v8\2.사전토공사\25_배수_환경시설 설치\수행지침\배수_환경시설 설치_수행지침.html", "👉 [클릭] 수행지침 열기 📄")</f>
        <v/>
      </c>
      <c r="R28" s="203" t="inlineStr">
        <is>
          <t>굴착 바닥 평판재하시험 K30 ≥ 70 MN/m³, 덤프트럭 펌핑 연약 지반 점검 및 노상토 승인</t>
        </is>
      </c>
      <c r="S28" s="200">
        <f>HYPERLINK(LEFT(CELL("filename",A1),FIND("[",CELL("filename",A1))-1)&amp;"매뉴얼BODY(집행단계-첨부폴더)v8\2.사전토공사\25_배수_환경시설 설치\체크리스트\배수_환경시설 설치_체크리스트.html", "👉 [클릭] 체크리스트 열기 📄")</f>
        <v/>
      </c>
      <c r="T28" s="210" t="n"/>
      <c r="U28" s="210" t="n"/>
      <c r="V28" s="211" t="n"/>
      <c r="W28" s="210"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9000-2</t>
        </is>
      </c>
      <c r="C29" s="204" t="inlineStr">
        <is>
          <t>사전토공사</t>
        </is>
      </c>
      <c r="D29" s="204" t="inlineStr">
        <is>
          <t>9000-2-28</t>
        </is>
      </c>
      <c r="E29" s="205" t="inlineStr">
        <is>
          <t>9000-2-27</t>
        </is>
      </c>
      <c r="F29" s="205" t="inlineStr">
        <is>
          <t>9000-2-29</t>
        </is>
      </c>
      <c r="G29" s="162" t="inlineStr">
        <is>
          <t>쌓기 및 다짐(필요시)</t>
        </is>
      </c>
      <c r="H29" s="205" t="inlineStr">
        <is>
          <t>D+10~30</t>
        </is>
      </c>
      <c r="I29" s="205" t="inlineStr">
        <is>
          <t>현장 공사팀</t>
        </is>
      </c>
      <c r="J29" s="163" t="inlineStr">
        <is>
          <t>KCS 47 10 25 성토 시방 | 층두께 ≤ 30cm 토사 포설 | 10t 강동 롤러 다짐(들밀도 다짐도 ≥ 90%)</t>
        </is>
      </c>
      <c r="K29" s="163" t="inlineStr">
        <is>
          <t>1) 성토 토사 30cm 층포설 ➔ 2) 살수차 최적함수비 살수 ➔ 3) 10t 강동 롤러 다짐(다짐도≥90%) ➔ 4) 성토 다짐 성과표 감리 승인</t>
        </is>
      </c>
      <c r="L29" s="163" t="n"/>
      <c r="M29" s="163" t="inlineStr">
        <is>
          <t>성토 토사 30cm 층포설, 살수차 최적함수비 OMC 살수 및 10t 롤러 다짐(다짐도 ≥ 90%)</t>
        </is>
      </c>
      <c r="N29" s="206" t="inlineStr">
        <is>
          <t>KCS 47 10 25 성토 시방 | 층두께 ≤ 30cm 토사 포설 | 10t 강동 롤러 다짐(들밀도 다짐도 ≥ 90%)</t>
        </is>
      </c>
      <c r="O29" s="163">
        <f>HYPERLINK(LEFT(CELL("filename",A1),FIND("[",CELL("filename",A1))-1)&amp;"매뉴얼BODY(집행단계-첨부폴더)v8\2.사전토공사\26_토공 굴착\표준서\토공 굴착_표준서.html", "👉 [클릭] 표준서 열기 📄")</f>
        <v/>
      </c>
      <c r="P29" s="207" t="inlineStr">
        <is>
          <t>1) 성토 토사 30cm 층포설 ➔ 2) 살수차 최적함수비 살수 ➔ 3) 10t 강동 롤러 다짐(다짐도≥90%) ➔ 4) 성토 다짐 성과표 감리 승인</t>
        </is>
      </c>
      <c r="Q29" s="163">
        <f>HYPERLINK(LEFT(CELL("filename",A1),FIND("[",CELL("filename",A1))-1)&amp;"매뉴얼BODY(집행단계-첨부폴더)v8\2.사전토공사\26_토공 굴착\수행지침\토공 굴착_수행지침.html", "👉 [클릭] 수행지침 열기 📄")</f>
        <v/>
      </c>
      <c r="R29" s="208" t="inlineStr">
        <is>
          <t>성토 토사 30cm 층포설, 살수차 최적함수비 OMC 살수 및 10t 롤러 다짐(다짐도 ≥ 90%)</t>
        </is>
      </c>
      <c r="S29" s="205">
        <f>HYPERLINK(LEFT(CELL("filename",A1),FIND("[",CELL("filename",A1))-1)&amp;"매뉴얼BODY(집행단계-첨부폴더)v8\2.사전토공사\26_토공 굴착\체크리스트\토공 굴착_체크리스트.html", "👉 [클릭] 체크리스트 열기 📄")</f>
        <v/>
      </c>
      <c r="T29" s="210" t="n"/>
      <c r="U29" s="210" t="n"/>
      <c r="V29" s="211" t="n"/>
      <c r="W29" s="210"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9000-2</t>
        </is>
      </c>
      <c r="C30" s="199" t="inlineStr">
        <is>
          <t>사전토공사</t>
        </is>
      </c>
      <c r="D30" s="199" t="inlineStr">
        <is>
          <t>9000-2-29</t>
        </is>
      </c>
      <c r="E30" s="200" t="inlineStr">
        <is>
          <t>9000-2-28</t>
        </is>
      </c>
      <c r="F30" s="200" t="inlineStr">
        <is>
          <t>9000-2-30</t>
        </is>
      </c>
      <c r="G30" s="155" t="inlineStr">
        <is>
          <t>현장지원</t>
        </is>
      </c>
      <c r="H30" s="200" t="inlineStr">
        <is>
          <t>D+75일 이후</t>
        </is>
      </c>
      <c r="I30" s="200" t="inlineStr">
        <is>
          <t>토목수행팀, 토목품질팀, 토목안전팀</t>
        </is>
      </c>
      <c r="J30" s="156" t="inlineStr">
        <is>
          <t>현장 통합 소통 수칙 | 일일 TBM 및 품질/안전 지원 대장 수록 | 감리 입회 검측 서면 승인</t>
        </is>
      </c>
      <c r="K30" s="156" t="inlineStr">
        <is>
          <t>1) 일일 현장 품질/안전 지원 ➔ 2) TBM 및 근로자 교육 ➔ 3) 공정 장애 요소 해소 ➔ 4) 현장 지원 대장 서면 승인</t>
        </is>
      </c>
      <c r="L30" s="156" t="n"/>
      <c r="M30" s="156" t="inlineStr">
        <is>
          <t>일일 현장 품질/안전 지원 대장, TBM 및 근로자 교육 시행 서면 승인</t>
        </is>
      </c>
      <c r="N30" s="201" t="inlineStr">
        <is>
          <t>현장 통합 소통 수칙 | 일일 TBM 및 품질/안전 지원 대장 수록 | 감리 입회 검측 서면 승인</t>
        </is>
      </c>
      <c r="O30" s="156">
        <f>HYPERLINK(LEFT(CELL("filename",A1),FIND("[",CELL("filename",A1))-1)&amp;"매뉴얼BODY(집행단계-첨부폴더)v8\2.사전토공사\27_노상토 지지력 확인\표준서\노상토 지지력 확인_표준서.html", "👉 [클릭] 표준서 열기 📄")</f>
        <v/>
      </c>
      <c r="P30" s="202" t="inlineStr">
        <is>
          <t>1) 일일 현장 품질/안전 지원 ➔ 2) TBM 및 근로자 교육 ➔ 3) 공정 장애 요소 해소 ➔ 4) 현장 지원 대장 서면 승인</t>
        </is>
      </c>
      <c r="Q30" s="156">
        <f>HYPERLINK(LEFT(CELL("filename",A1),FIND("[",CELL("filename",A1))-1)&amp;"매뉴얼BODY(집행단계-첨부폴더)v8\2.사전토공사\27_노상토 지지력 확인\수행지침\노상토 지지력 확인_수행지침.html", "👉 [클릭] 수행지침 열기 📄")</f>
        <v/>
      </c>
      <c r="R30" s="203" t="inlineStr">
        <is>
          <t>일일 현장 품질/안전 지원 대장, TBM 및 근로자 교육 시행 서면 승인</t>
        </is>
      </c>
      <c r="S30" s="200">
        <f>HYPERLINK(LEFT(CELL("filename",A1),FIND("[",CELL("filename",A1))-1)&amp;"매뉴얼BODY(집행단계-첨부폴더)v8\2.사전토공사\27_노상토 지지력 확인\체크리스트\노상토 지지력 확인_체크리스트.html", "👉 [클릭] 체크리스트 열기 📄")</f>
        <v/>
      </c>
      <c r="T30" s="210" t="n"/>
      <c r="U30" s="210" t="n"/>
      <c r="V30" s="211" t="n"/>
      <c r="W30" s="210"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9000-2</t>
        </is>
      </c>
      <c r="C31" s="204" t="inlineStr">
        <is>
          <t>사전토공사</t>
        </is>
      </c>
      <c r="D31" s="204" t="inlineStr">
        <is>
          <t>9000-2-30</t>
        </is>
      </c>
      <c r="E31" s="205" t="inlineStr">
        <is>
          <t>9000-2-29</t>
        </is>
      </c>
      <c r="F31" s="205" t="inlineStr">
        <is>
          <t>9000-2-31</t>
        </is>
      </c>
      <c r="G31" s="162" t="inlineStr">
        <is>
          <t>강화노반 인계</t>
        </is>
      </c>
      <c r="H31" s="205" t="inlineStr">
        <is>
          <t>D+75일 이후</t>
        </is>
      </c>
      <c r="I31" s="205" t="inlineStr">
        <is>
          <t>현장 공사팀 / 품질팀</t>
        </is>
      </c>
      <c r="J31" s="163" t="inlineStr">
        <is>
          <t>KCS 47 10 25 인계인수 수칙 | 토공-강화노반 시공팀 3자 합동 레벨 측량 | 마무리면 인계인수서 서명</t>
        </is>
      </c>
      <c r="K31" s="163" t="inlineStr">
        <is>
          <t>1) 토공-강화노반 시공팀 3자 합동 현측 ➔ 2) 마무리면 레벨 오차(±10mm) 확인 ➔ 3) 인계인수 합의서 서명 ➔ 4) 토공 마무리면 인계 완료</t>
        </is>
      </c>
      <c r="L31" s="163" t="n"/>
      <c r="M31" s="163" t="inlineStr">
        <is>
          <t>토공-강화노반 시공팀 3자 합동 레벨 측량, 마무리면 레벨 오차(±10mm) 인계인수서 서명</t>
        </is>
      </c>
      <c r="N31" s="206" t="inlineStr">
        <is>
          <t>KCS 47 10 25 인계인수 수칙 | 토공-강화노반 시공팀 3자 합동 레벨 측량 | 마무리면 인계인수서 서명</t>
        </is>
      </c>
      <c r="O31" s="163">
        <f>HYPERLINK(LEFT(CELL("filename",A1),FIND("[",CELL("filename",A1))-1)&amp;"매뉴얼BODY(집행단계-첨부폴더)v8\2.사전토공사\28_쌓기 및 다짐_필요시\표준서\쌓기 및 다짐(필요시)_표준서.html", "👉 [클릭] 표준서 열기 📄")</f>
        <v/>
      </c>
      <c r="P31" s="207" t="inlineStr">
        <is>
          <t>1) 토공-강화노반 시공팀 3자 합동 현측 ➔ 2) 마무리면 레벨 오차(±10mm) 확인 ➔ 3) 인계인수 합의서 서명 ➔ 4) 토공 마무리면 인계 완료</t>
        </is>
      </c>
      <c r="Q31" s="163">
        <f>HYPERLINK(LEFT(CELL("filename",A1),FIND("[",CELL("filename",A1))-1)&amp;"매뉴얼BODY(집행단계-첨부폴더)v8\2.사전토공사\28_쌓기 및 다짐_필요시\수행지침\쌓기 및 다짐(필요시)_수행지침.html", "👉 [클릭] 수행지침 열기 📄")</f>
        <v/>
      </c>
      <c r="R31" s="208" t="inlineStr">
        <is>
          <t>토공-강화노반 시공팀 3자 합동 레벨 측량, 마무리면 레벨 오차(±10mm) 인계인수서 서명</t>
        </is>
      </c>
      <c r="S31" s="205">
        <f>HYPERLINK(LEFT(CELL("filename",A1),FIND("[",CELL("filename",A1))-1)&amp;"매뉴얼BODY(집행단계-첨부폴더)v8\2.사전토공사\28_쌓기 및 다짐_필요시\체크리스트\쌓기 및 다짐(필요시)_체크리스트.html", "👉 [클릭] 체크리스트 열기 📄")</f>
        <v/>
      </c>
      <c r="T31" s="210" t="n"/>
      <c r="U31" s="210" t="n"/>
      <c r="V31" s="211" t="n"/>
      <c r="W31" s="210"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9000-2</t>
        </is>
      </c>
      <c r="C32" s="199" t="inlineStr">
        <is>
          <t>사전토공사</t>
        </is>
      </c>
      <c r="D32" s="199" t="inlineStr">
        <is>
          <t>9000-2-31</t>
        </is>
      </c>
      <c r="E32" s="200" t="inlineStr">
        <is>
          <t>9000-2-30</t>
        </is>
      </c>
      <c r="F32" s="200" t="inlineStr">
        <is>
          <t>-</t>
        </is>
      </c>
      <c r="G32" s="155" t="n"/>
      <c r="H32" s="200" t="n"/>
      <c r="I32" s="200" t="n"/>
      <c r="J32" s="156" t="n"/>
      <c r="K32" s="156" t="n"/>
      <c r="L32" s="156" t="n"/>
      <c r="M32" s="156" t="n"/>
      <c r="N32" s="201" t="n"/>
      <c r="O32" s="156">
        <f>HYPERLINK(LEFT(CELL("filename",A1),FIND("[",CELL("filename",A1))-1)&amp;"매뉴얼BODY(집행단계-첨부폴더)v8\2.사전토공사\29_현장지원\표준서\현장지원_표준서.html", "👉 [클릭] 표준서 열기 📄")</f>
        <v/>
      </c>
      <c r="P32" s="202" t="n"/>
      <c r="Q32" s="156">
        <f>HYPERLINK(LEFT(CELL("filename",A1),FIND("[",CELL("filename",A1))-1)&amp;"매뉴얼BODY(집행단계-첨부폴더)v8\2.사전토공사\29_현장지원\수행지침\현장지원_수행지침.html", "👉 [클릭] 수행지침 열기 📄")</f>
        <v/>
      </c>
      <c r="R32" s="203" t="n"/>
      <c r="S32" s="200">
        <f>HYPERLINK(LEFT(CELL("filename",A1),FIND("[",CELL("filename",A1))-1)&amp;"매뉴얼BODY(집행단계-첨부폴더)v8\2.사전토공사\29_현장지원\체크리스트\현장지원_체크리스트.html", "👉 [클릭] 체크리스트 열기 📄")</f>
        <v/>
      </c>
      <c r="T32" s="210" t="n"/>
      <c r="U32" s="210" t="n"/>
      <c r="V32" s="211" t="n"/>
      <c r="W32" s="210"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c r="A33" s="211" t="n"/>
      <c r="B33" s="211" t="n"/>
      <c r="C33" s="211" t="n"/>
      <c r="D33" s="211" t="n"/>
      <c r="E33" s="211" t="n"/>
      <c r="F33" s="211" t="n"/>
      <c r="G33" s="211" t="n"/>
      <c r="H33" s="210" t="n"/>
      <c r="I33" s="211" t="n"/>
      <c r="J33" s="210" t="n"/>
      <c r="K33" s="210" t="n"/>
      <c r="L33" s="210" t="n"/>
      <c r="M33" s="210" t="n"/>
      <c r="N33" s="210" t="n"/>
      <c r="O33" s="210" t="n"/>
      <c r="P33" s="210" t="n"/>
      <c r="Q33" s="210" t="n"/>
      <c r="R33" s="210" t="n"/>
      <c r="S33" s="210" t="n"/>
      <c r="T33" s="210" t="n"/>
      <c r="U33" s="210" t="n"/>
      <c r="V33" s="211" t="n"/>
      <c r="W33" s="210"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211" t="n"/>
      <c r="B34" s="211" t="n"/>
      <c r="C34" s="211" t="n"/>
      <c r="D34" s="211" t="n"/>
      <c r="E34" s="211" t="n"/>
      <c r="F34" s="211" t="n"/>
      <c r="G34" s="211" t="n"/>
      <c r="H34" s="210" t="n"/>
      <c r="I34" s="211" t="n"/>
      <c r="J34" s="210" t="n"/>
      <c r="K34" s="210" t="n"/>
      <c r="L34" s="210" t="n"/>
      <c r="M34" s="210" t="n"/>
      <c r="N34" s="210" t="n"/>
      <c r="O34" s="210" t="n"/>
      <c r="P34" s="210" t="n"/>
      <c r="Q34" s="210" t="n"/>
      <c r="R34" s="210" t="n"/>
      <c r="S34" s="210" t="n"/>
      <c r="T34" s="210" t="n"/>
      <c r="U34" s="210" t="n"/>
      <c r="V34" s="211" t="n"/>
      <c r="W34" s="210"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211" t="n"/>
      <c r="B35" s="211" t="n"/>
      <c r="C35" s="211" t="n"/>
      <c r="D35" s="211" t="n"/>
      <c r="E35" s="211" t="n"/>
      <c r="F35" s="211" t="n"/>
      <c r="G35" s="211" t="n"/>
      <c r="H35" s="210" t="n"/>
      <c r="I35" s="211" t="n"/>
      <c r="J35" s="210" t="n"/>
      <c r="K35" s="210" t="n"/>
      <c r="L35" s="210" t="n"/>
      <c r="M35" s="210" t="n"/>
      <c r="N35" s="210" t="n"/>
      <c r="O35" s="210" t="n"/>
      <c r="P35" s="210" t="n"/>
      <c r="Q35" s="210" t="n"/>
      <c r="R35" s="210" t="n"/>
      <c r="S35" s="210" t="n"/>
      <c r="T35" s="210" t="n"/>
      <c r="U35" s="210" t="n"/>
      <c r="V35" s="211" t="n"/>
      <c r="W35" s="210"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211" t="n"/>
      <c r="B36" s="211" t="n"/>
      <c r="C36" s="211" t="n"/>
      <c r="D36" s="211" t="n"/>
      <c r="E36" s="211" t="n"/>
      <c r="F36" s="211" t="n"/>
      <c r="G36" s="211" t="n"/>
      <c r="H36" s="210" t="n"/>
      <c r="I36" s="211" t="n"/>
      <c r="J36" s="210" t="n"/>
      <c r="K36" s="210" t="n"/>
      <c r="L36" s="210" t="n"/>
      <c r="M36" s="210" t="n"/>
      <c r="N36" s="210" t="n"/>
      <c r="O36" s="210" t="n"/>
      <c r="P36" s="210" t="n"/>
      <c r="Q36" s="210" t="n"/>
      <c r="R36" s="210" t="n"/>
      <c r="S36" s="210" t="n"/>
      <c r="T36" s="210" t="n"/>
      <c r="U36" s="210" t="n"/>
      <c r="V36" s="211" t="n"/>
      <c r="W36" s="210"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211" t="n"/>
      <c r="B37" s="211" t="n"/>
      <c r="C37" s="211" t="n"/>
      <c r="D37" s="211" t="n"/>
      <c r="E37" s="211" t="n"/>
      <c r="F37" s="211" t="n"/>
      <c r="G37" s="211" t="n"/>
      <c r="H37" s="210" t="n"/>
      <c r="I37" s="211" t="n"/>
      <c r="J37" s="210" t="n"/>
      <c r="K37" s="210" t="n"/>
      <c r="L37" s="210" t="n"/>
      <c r="M37" s="210" t="n"/>
      <c r="N37" s="210" t="n"/>
      <c r="O37" s="210" t="n"/>
      <c r="P37" s="210" t="n"/>
      <c r="Q37" s="210" t="n"/>
      <c r="R37" s="210" t="n"/>
      <c r="S37" s="210" t="n"/>
      <c r="T37" s="210" t="n"/>
      <c r="U37" s="210" t="n"/>
      <c r="V37" s="211" t="n"/>
      <c r="W37" s="210"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211" t="n"/>
      <c r="B38" s="211" t="n"/>
      <c r="C38" s="211" t="n"/>
      <c r="D38" s="211" t="n"/>
      <c r="E38" s="211" t="n"/>
      <c r="F38" s="211" t="n"/>
      <c r="G38" s="211" t="n"/>
      <c r="H38" s="210" t="n"/>
      <c r="I38" s="211" t="n"/>
      <c r="J38" s="210" t="n"/>
      <c r="K38" s="210" t="n"/>
      <c r="L38" s="210" t="n"/>
      <c r="M38" s="210" t="n"/>
      <c r="N38" s="210" t="n"/>
      <c r="O38" s="210" t="n"/>
      <c r="P38" s="210" t="n"/>
      <c r="Q38" s="210" t="n"/>
      <c r="R38" s="210" t="n"/>
      <c r="S38" s="210" t="n"/>
      <c r="T38" s="210" t="n"/>
      <c r="U38" s="210" t="n"/>
      <c r="V38" s="211" t="n"/>
      <c r="W38" s="210"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211" t="n"/>
      <c r="B39" s="211" t="n"/>
      <c r="C39" s="211" t="n"/>
      <c r="D39" s="211" t="n"/>
      <c r="E39" s="211" t="n"/>
      <c r="F39" s="211" t="n"/>
      <c r="G39" s="211" t="n"/>
      <c r="H39" s="210" t="n"/>
      <c r="I39" s="211" t="n"/>
      <c r="J39" s="210" t="n"/>
      <c r="K39" s="210" t="n"/>
      <c r="L39" s="210" t="n"/>
      <c r="M39" s="210" t="n"/>
      <c r="N39" s="210" t="n"/>
      <c r="O39" s="210" t="n"/>
      <c r="P39" s="210" t="n"/>
      <c r="Q39" s="210" t="n"/>
      <c r="R39" s="210" t="n"/>
      <c r="S39" s="210" t="n"/>
      <c r="T39" s="210" t="n"/>
      <c r="U39" s="210" t="n"/>
      <c r="V39" s="211" t="n"/>
      <c r="W39" s="210"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211" t="n"/>
      <c r="B40" s="211" t="n"/>
      <c r="C40" s="211" t="n"/>
      <c r="D40" s="211" t="n"/>
      <c r="E40" s="211" t="n"/>
      <c r="F40" s="211" t="n"/>
      <c r="G40" s="211" t="n"/>
      <c r="H40" s="210" t="n"/>
      <c r="I40" s="211" t="n"/>
      <c r="J40" s="210" t="n"/>
      <c r="K40" s="210" t="n"/>
      <c r="L40" s="210" t="n"/>
      <c r="M40" s="210" t="n"/>
      <c r="N40" s="210" t="n"/>
      <c r="O40" s="210" t="n"/>
      <c r="P40" s="210" t="n"/>
      <c r="Q40" s="210" t="n"/>
      <c r="R40" s="210" t="n"/>
      <c r="S40" s="210" t="n"/>
      <c r="T40" s="210" t="n"/>
      <c r="U40" s="210" t="n"/>
      <c r="V40" s="211" t="n"/>
      <c r="W40" s="210"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211" t="n"/>
      <c r="B41" s="211" t="n"/>
      <c r="C41" s="211" t="n"/>
      <c r="D41" s="211" t="n"/>
      <c r="E41" s="211" t="n"/>
      <c r="F41" s="211" t="n"/>
      <c r="G41" s="211" t="n"/>
      <c r="H41" s="210" t="n"/>
      <c r="I41" s="211" t="n"/>
      <c r="J41" s="210" t="n"/>
      <c r="K41" s="210" t="n"/>
      <c r="L41" s="210" t="n"/>
      <c r="M41" s="210" t="n"/>
      <c r="N41" s="210" t="n"/>
      <c r="O41" s="210" t="n"/>
      <c r="P41" s="210" t="n"/>
      <c r="Q41" s="210" t="n"/>
      <c r="R41" s="210" t="n"/>
      <c r="S41" s="210" t="n"/>
      <c r="T41" s="210" t="n"/>
      <c r="U41" s="210" t="n"/>
      <c r="V41" s="211" t="n"/>
      <c r="W41" s="210"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211" t="n"/>
      <c r="B42" s="211" t="n"/>
      <c r="C42" s="211" t="n"/>
      <c r="D42" s="211" t="n"/>
      <c r="E42" s="211" t="n"/>
      <c r="F42" s="211" t="n"/>
      <c r="G42" s="211" t="n"/>
      <c r="H42" s="210" t="n"/>
      <c r="I42" s="211" t="n"/>
      <c r="J42" s="210" t="n"/>
      <c r="K42" s="210" t="n"/>
      <c r="L42" s="210" t="n"/>
      <c r="M42" s="210" t="n"/>
      <c r="N42" s="210" t="n"/>
      <c r="O42" s="210" t="n"/>
      <c r="P42" s="210" t="n"/>
      <c r="Q42" s="210" t="n"/>
      <c r="R42" s="210" t="n"/>
      <c r="S42" s="210" t="n"/>
      <c r="T42" s="210" t="n"/>
      <c r="U42" s="210" t="n"/>
      <c r="V42" s="211" t="n"/>
      <c r="W42" s="210"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211" t="n"/>
      <c r="B43" s="211" t="n"/>
      <c r="C43" s="211" t="n"/>
      <c r="D43" s="211" t="n"/>
      <c r="E43" s="211" t="n"/>
      <c r="F43" s="211" t="n"/>
      <c r="G43" s="211" t="n"/>
      <c r="H43" s="210" t="n"/>
      <c r="I43" s="211" t="n"/>
      <c r="J43" s="210" t="n"/>
      <c r="K43" s="210" t="n"/>
      <c r="L43" s="210" t="n"/>
      <c r="M43" s="210" t="n"/>
      <c r="N43" s="210" t="n"/>
      <c r="O43" s="210" t="n"/>
      <c r="P43" s="210" t="n"/>
      <c r="Q43" s="210" t="n"/>
      <c r="R43" s="210" t="n"/>
      <c r="S43" s="210" t="n"/>
      <c r="T43" s="210" t="n"/>
      <c r="U43" s="210" t="n"/>
      <c r="V43" s="211" t="n"/>
      <c r="W43" s="210"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211" t="n"/>
      <c r="B44" s="211" t="n"/>
      <c r="C44" s="211" t="n"/>
      <c r="D44" s="211" t="n"/>
      <c r="E44" s="211" t="n"/>
      <c r="F44" s="211" t="n"/>
      <c r="G44" s="211" t="n"/>
      <c r="H44" s="210" t="n"/>
      <c r="I44" s="211" t="n"/>
      <c r="J44" s="210" t="n"/>
      <c r="K44" s="210" t="n"/>
      <c r="L44" s="210" t="n"/>
      <c r="M44" s="210" t="n"/>
      <c r="N44" s="210" t="n"/>
      <c r="O44" s="210" t="n"/>
      <c r="P44" s="210" t="n"/>
      <c r="Q44" s="210" t="n"/>
      <c r="R44" s="210" t="n"/>
      <c r="S44" s="210" t="n"/>
      <c r="T44" s="210" t="n"/>
      <c r="U44" s="210" t="n"/>
      <c r="V44" s="211" t="n"/>
      <c r="W44" s="210"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211" t="n"/>
      <c r="B45" s="211" t="n"/>
      <c r="C45" s="211" t="n"/>
      <c r="D45" s="211" t="n"/>
      <c r="E45" s="211" t="n"/>
      <c r="F45" s="211" t="n"/>
      <c r="G45" s="211" t="n"/>
      <c r="H45" s="210" t="n"/>
      <c r="I45" s="211" t="n"/>
      <c r="J45" s="210" t="n"/>
      <c r="K45" s="210" t="n"/>
      <c r="L45" s="210" t="n"/>
      <c r="M45" s="210" t="n"/>
      <c r="N45" s="210" t="n"/>
      <c r="O45" s="210" t="n"/>
      <c r="P45" s="210" t="n"/>
      <c r="Q45" s="210" t="n"/>
      <c r="R45" s="210" t="n"/>
      <c r="S45" s="210" t="n"/>
      <c r="T45" s="210" t="n"/>
      <c r="U45" s="210" t="n"/>
      <c r="V45" s="211" t="n"/>
      <c r="W45" s="210"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211" t="n"/>
      <c r="B46" s="211" t="n"/>
      <c r="C46" s="211" t="n"/>
      <c r="D46" s="211" t="n"/>
      <c r="E46" s="211" t="n"/>
      <c r="F46" s="211" t="n"/>
      <c r="G46" s="211" t="n"/>
      <c r="H46" s="210" t="n"/>
      <c r="I46" s="211" t="n"/>
      <c r="J46" s="210" t="n"/>
      <c r="K46" s="210" t="n"/>
      <c r="L46" s="210" t="n"/>
      <c r="M46" s="210" t="n"/>
      <c r="N46" s="210" t="n"/>
      <c r="O46" s="210" t="n"/>
      <c r="P46" s="210" t="n"/>
      <c r="Q46" s="210" t="n"/>
      <c r="R46" s="210" t="n"/>
      <c r="S46" s="210" t="n"/>
      <c r="T46" s="210" t="n"/>
      <c r="U46" s="210" t="n"/>
      <c r="V46" s="211" t="n"/>
      <c r="W46" s="210"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211" t="n"/>
      <c r="B47" s="211" t="n"/>
      <c r="C47" s="211" t="n"/>
      <c r="D47" s="211" t="n"/>
      <c r="E47" s="211" t="n"/>
      <c r="F47" s="211" t="n"/>
      <c r="G47" s="211" t="n"/>
      <c r="H47" s="210" t="n"/>
      <c r="I47" s="211" t="n"/>
      <c r="J47" s="210" t="n"/>
      <c r="K47" s="210" t="n"/>
      <c r="L47" s="210" t="n"/>
      <c r="M47" s="210" t="n"/>
      <c r="N47" s="210" t="n"/>
      <c r="O47" s="210" t="n"/>
      <c r="P47" s="210" t="n"/>
      <c r="Q47" s="210" t="n"/>
      <c r="R47" s="210" t="n"/>
      <c r="S47" s="210" t="n"/>
      <c r="T47" s="210" t="n"/>
      <c r="U47" s="210" t="n"/>
      <c r="V47" s="211" t="n"/>
      <c r="W47" s="210"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row r="48">
      <c r="A48" s="211" t="n"/>
      <c r="B48" s="211" t="n"/>
      <c r="C48" s="211" t="n"/>
      <c r="D48" s="211" t="n"/>
      <c r="E48" s="211" t="n"/>
      <c r="F48" s="211" t="n"/>
      <c r="G48" s="211" t="n"/>
      <c r="H48" s="210" t="n"/>
      <c r="I48" s="211" t="n"/>
      <c r="J48" s="210" t="n"/>
      <c r="K48" s="210" t="n"/>
      <c r="L48" s="210" t="n"/>
      <c r="M48" s="210" t="n"/>
      <c r="N48" s="210" t="n"/>
      <c r="O48" s="210" t="n"/>
      <c r="P48" s="210" t="n"/>
      <c r="Q48" s="210" t="n"/>
      <c r="R48" s="210" t="n"/>
      <c r="S48" s="210" t="n"/>
      <c r="T48" s="210" t="n"/>
      <c r="U48" s="210" t="n"/>
      <c r="V48" s="211" t="n"/>
      <c r="W48" s="210"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row>
    <row r="49">
      <c r="A49" s="211" t="n"/>
      <c r="B49" s="211" t="n"/>
      <c r="C49" s="211" t="n"/>
      <c r="D49" s="211" t="n"/>
      <c r="E49" s="211" t="n"/>
      <c r="F49" s="211" t="n"/>
      <c r="G49" s="211" t="n"/>
      <c r="H49" s="210" t="n"/>
      <c r="I49" s="211" t="n"/>
      <c r="J49" s="210" t="n"/>
      <c r="K49" s="210" t="n"/>
      <c r="L49" s="210" t="n"/>
      <c r="M49" s="210" t="n"/>
      <c r="N49" s="210" t="n"/>
      <c r="O49" s="210" t="n"/>
      <c r="P49" s="210" t="n"/>
      <c r="Q49" s="210" t="n"/>
      <c r="R49" s="210" t="n"/>
      <c r="S49" s="210" t="n"/>
      <c r="T49" s="210" t="n"/>
      <c r="U49" s="210" t="n"/>
      <c r="V49" s="211" t="n"/>
      <c r="W49" s="210"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row>
    <row r="50">
      <c r="A50" s="211" t="n"/>
      <c r="B50" s="211" t="n"/>
      <c r="C50" s="211" t="n"/>
      <c r="D50" s="211" t="n"/>
      <c r="E50" s="211" t="n"/>
      <c r="F50" s="211" t="n"/>
      <c r="G50" s="211" t="n"/>
      <c r="H50" s="210" t="n"/>
      <c r="I50" s="211" t="n"/>
      <c r="J50" s="210" t="n"/>
      <c r="K50" s="210" t="n"/>
      <c r="L50" s="210" t="n"/>
      <c r="M50" s="210" t="n"/>
      <c r="N50" s="210" t="n"/>
      <c r="O50" s="210" t="n"/>
      <c r="P50" s="210" t="n"/>
      <c r="Q50" s="210" t="n"/>
      <c r="R50" s="210" t="n"/>
      <c r="S50" s="210" t="n"/>
      <c r="T50" s="210" t="n"/>
      <c r="U50" s="210" t="n"/>
      <c r="V50" s="211" t="n"/>
      <c r="W50" s="210"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row>
    <row r="51">
      <c r="A51" s="211" t="n"/>
      <c r="B51" s="211" t="n"/>
      <c r="C51" s="211" t="n"/>
      <c r="D51" s="211" t="n"/>
      <c r="E51" s="211" t="n"/>
      <c r="F51" s="211" t="n"/>
      <c r="G51" s="211" t="n"/>
      <c r="H51" s="210" t="n"/>
      <c r="I51" s="211" t="n"/>
      <c r="J51" s="210" t="n"/>
      <c r="K51" s="210" t="n"/>
      <c r="L51" s="210" t="n"/>
      <c r="M51" s="210" t="n"/>
      <c r="N51" s="210" t="n"/>
      <c r="O51" s="210" t="n"/>
      <c r="P51" s="210" t="n"/>
      <c r="Q51" s="210" t="n"/>
      <c r="R51" s="210" t="n"/>
      <c r="S51" s="210" t="n"/>
      <c r="T51" s="210" t="n"/>
      <c r="U51" s="210" t="n"/>
      <c r="V51" s="211" t="n"/>
      <c r="W51" s="210"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RH76"/>
  <sheetViews>
    <sheetView showGridLines="1" view="pageBreakPreview" topLeftCell="H6" zoomScale="55" zoomScaleNormal="55" zoomScaleSheetLayoutView="55" workbookViewId="0">
      <pane xSplit="4" ySplit="1" topLeftCell="E2" activePane="bottomRight" state="frozen"/>
      <selection pane="topRight" activeCell="A1" sqref="A1"/>
      <selection pane="bottomLeft" activeCell="A1" sqref="A1"/>
      <selection pane="bottomRight" activeCell="L13" sqref="L13"/>
    </sheetView>
  </sheetViews>
  <sheetFormatPr baseColWidth="8" defaultRowHeight="19.2"/>
  <cols>
    <col width="10" customWidth="1" style="3" min="1" max="2"/>
    <col width="10" customWidth="1" style="147" min="2" max="2"/>
    <col width="18" customWidth="1" style="3" min="3" max="3"/>
    <col width="12" customWidth="1" style="4" min="4" max="4"/>
    <col width="10" bestFit="1" customWidth="1" style="4" min="5" max="5"/>
    <col width="10" customWidth="1" style="5" min="6" max="6"/>
    <col width="30" customWidth="1" style="3" min="7" max="7"/>
    <col width="14" customWidth="1" style="3" min="8" max="8"/>
    <col width="14" customWidth="1" style="3" min="9" max="9"/>
    <col width="38" customWidth="1" style="3" min="10" max="10"/>
    <col width="54" customWidth="1" style="47" min="11" max="11"/>
    <col width="30" customWidth="1" style="3" min="12" max="12"/>
    <col width="36" customWidth="1" style="47" min="13" max="13"/>
    <col width="24" customWidth="1" style="3" min="14" max="14"/>
    <col width="36" customWidth="1" style="49" min="15" max="15"/>
    <col width="24" customWidth="1" style="147" min="16" max="16"/>
    <col width="36" customWidth="1" style="3"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row>
    <row r="2" ht="52" customHeight="1" s="147">
      <c r="A2" s="199" t="inlineStr">
        <is>
          <t>9000</t>
        </is>
      </c>
      <c r="B2" s="199" t="inlineStr">
        <is>
          <t>9000-3</t>
        </is>
      </c>
      <c r="C2" s="199" t="inlineStr">
        <is>
          <t>지장물이설</t>
        </is>
      </c>
      <c r="D2" s="199" t="inlineStr">
        <is>
          <t>9000-3-1</t>
        </is>
      </c>
      <c r="E2" s="200" t="inlineStr">
        <is>
          <t>-</t>
        </is>
      </c>
      <c r="F2" s="200" t="inlineStr">
        <is>
          <t>9000-3-2</t>
        </is>
      </c>
      <c r="G2" s="155" t="inlineStr">
        <is>
          <t>지하안전관리에 관한 특별법 제23조 | 현장 지반 조사, GPR 탐사 데이터 및 신설 궤도 간섭 리스크 사전 분석 | 지장물 이설 리스크 관리계획 수립</t>
        </is>
      </c>
      <c r="H2" s="200" t="inlineStr">
        <is>
          <t>토목국내견적팀</t>
        </is>
      </c>
      <c r="I2" s="200" t="inlineStr">
        <is>
          <t>1) 지반 조사 주상도 &amp; GPR 데이터 대조 ➔ 2) 신설 궤도 구조물 간섭 관로 추출 ➔ 3) 기관별 이설 우선순위 수립 ➔ 4) 지장물 리스크 보고서 결재</t>
        </is>
      </c>
      <c r="J2" s="156" t="inlineStr">
        <is>
          <t>지반 시추 주상도, GPR 3D 지중 관로 탐사 데이터 대조 및 신설 궤도 구조물 간섭 관로 사전 현출 점검</t>
        </is>
      </c>
      <c r="K2" s="156" t="inlineStr">
        <is>
          <t>지하안전관리에 관한 특별법 제23조 | 현장 지반 조사, GPR 탐사 데이터 및 신설 궤도 간섭 리스크 사전 분석 | 지장물 이설 리스크 관리계획 수립</t>
        </is>
      </c>
      <c r="L2" s="213">
        <f>HYPERLINK(LEFT(CELL("filename",A1),FIND("[",CELL("filename",A1))-1)&amp;"매뉴얼BODY(집행단계-첨부폴더)v8\3.지장물이설\1_Site Survey Risk 검토\표준서\1_Site Survey Risk 검토_표준서.html", "👉 [클릭] 표준서 열기 📄")</f>
        <v/>
      </c>
      <c r="M2" s="156" t="inlineStr">
        <is>
          <t>1) 지반 조사 주상도 &amp; GPR 데이터 대조 ➔ 2) 신설 궤도 구조물 간섭 관로 추출 ➔ 3) 기관별 이설 우선순위 수립 ➔ 4) 지장물 리스크 보고서 결재</t>
        </is>
      </c>
      <c r="N2" s="214">
        <f>HYPERLINK(LEFT(CELL("filename",A1),FIND("[",CELL("filename",A1))-1)&amp;"매뉴얼BODY(집행단계-첨부폴더)v8\3.지장물이설\1_Site Survey Risk 검토\수행지침\1_Site Survey Risk 검토_수행지침.html", "👉 [클릭] 수행지침 열기 📄")</f>
        <v/>
      </c>
      <c r="O2" s="156" t="inlineStr">
        <is>
          <t>지반 시추 주상도, GPR 3D 지중 관로 탐사 데이터 대조 및 신설 궤도 구조물 간섭 관로 사전 현출 점검</t>
        </is>
      </c>
      <c r="P2" s="215">
        <f>HYPERLINK(LEFT(CELL("filename",A1),FIND("[",CELL("filename",A1))-1)&amp;"매뉴얼BODY(집행단계-첨부폴더)v8\3.지장물이설\1_Site Survey Risk 검토\체크리스트\1_Site Survey Risk 검토_체크리스트.html", "👉 [클릭] 체크리스트 열기 📄")</f>
        <v/>
      </c>
      <c r="Q2" s="156" t="n"/>
      <c r="R2" s="203" t="inlineStr">
        <is>
          <t>토목국내견적 지침 및 계약 시방</t>
        </is>
      </c>
      <c r="S2" s="200" t="inlineStr">
        <is>
          <t>설계도서 불일치로 인한 실행예산 초과 리스크 관리</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row>
    <row r="3" ht="52" customHeight="1" s="147">
      <c r="A3" s="204" t="inlineStr">
        <is>
          <t>9000</t>
        </is>
      </c>
      <c r="B3" s="204" t="inlineStr">
        <is>
          <t>9000-3</t>
        </is>
      </c>
      <c r="C3" s="204" t="inlineStr">
        <is>
          <t>지장물이설</t>
        </is>
      </c>
      <c r="D3" s="204" t="inlineStr">
        <is>
          <t>9000-3-2</t>
        </is>
      </c>
      <c r="E3" s="205" t="inlineStr">
        <is>
          <t>9000-3-1</t>
        </is>
      </c>
      <c r="F3" s="205" t="inlineStr">
        <is>
          <t>9000-3-3</t>
        </is>
      </c>
      <c r="G3" s="162" t="inlineStr">
        <is>
          <t>KCS 47 10 25 시방 준수 | 도급분 지장물 이설 발주 시방서 검토 &amp; 3D BIM 도면 대조 | 발주처·감리·시공 3자 킥오프 미팅 결재</t>
        </is>
      </c>
      <c r="H3" s="205" t="inlineStr">
        <is>
          <t>현장소장</t>
        </is>
      </c>
      <c r="I3" s="205" t="inlineStr">
        <is>
          <t>1) 도급분 이설 시방서 요구조건 검토 ➔ 2) 3D BIM 도면 관로 좌표 대조 ➔ 3) 공기 지연 예비비 수립 ➔ 4) 발주·감리·시공 3자 킥오프 결재</t>
        </is>
      </c>
      <c r="J3" s="163" t="inlineStr">
        <is>
          <t>KCS 47 10 25 시방 요구조건, 도급분 지장물 이설 수량 및 3D BIM 도면 간섭 zero 검증</t>
        </is>
      </c>
      <c r="K3" s="163" t="inlineStr">
        <is>
          <t>KCS 47 10 25 시방 준수 | 도급분 지장물 이설 발주 시방서 검토 &amp; 3D BIM 도면 대조 | 발주처·감리·시공 3자 킥오프 미팅 결재</t>
        </is>
      </c>
      <c r="L3" s="217">
        <f>HYPERLINK(LEFT(CELL("filename",A1),FIND("[",CELL("filename",A1))-1)&amp;"매뉴얼BODY(집행단계-첨부폴더)v8\3.지장물이설\2_발주전략 KOM (도급지분)\표준서\2_발주전략 KOM (도급지분)_표준서.html", "👉 [클릭] 표준서 열기 📄")</f>
        <v/>
      </c>
      <c r="M3" s="163" t="inlineStr">
        <is>
          <t>1) 도급분 이설 시방서 요구조건 검토 ➔ 2) 3D BIM 도면 관로 좌표 대조 ➔ 3) 공기 지연 예비비 수립 ➔ 4) 발주·감리·시공 3자 킥오프 결재</t>
        </is>
      </c>
      <c r="N3" s="218">
        <f>HYPERLINK(LEFT(CELL("filename",A1),FIND("[",CELL("filename",A1))-1)&amp;"매뉴얼BODY(집행단계-첨부폴더)v8\3.지장물이설\2_발주전략 KOM (도급지분)\수행지침\2_발주전략 KOM (도급지분)_수행지침.html", "👉 [클릭] 수행지침 열기 📄")</f>
        <v/>
      </c>
      <c r="O3" s="163" t="inlineStr">
        <is>
          <t>KCS 47 10 25 시방 요구조건, 도급분 지장물 이설 수량 및 3D BIM 도면 간섭 zero 검증</t>
        </is>
      </c>
      <c r="P3" s="219">
        <f>HYPERLINK(LEFT(CELL("filename",A1),FIND("[",CELL("filename",A1))-1)&amp;"매뉴얼BODY(집행단계-첨부폴더)v8\3.지장물이설\2_발주전략 KOM (도급지분)\체크리스트\2_발주전략 KOM (도급지분)_체크리스트.html", "👉 [클릭] 체크리스트 열기 📄")</f>
        <v/>
      </c>
      <c r="Q3" s="163" t="n"/>
      <c r="R3" s="208" t="inlineStr">
        <is>
          <t>CML 토목사무지침 및 도급 계약 시방</t>
        </is>
      </c>
      <c r="S3" s="205" t="inlineStr">
        <is>
          <t>부적격 업체 선정에 따른 공기 지연 리스크 방지</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row>
    <row r="4" ht="52" customHeight="1" s="147">
      <c r="A4" s="199" t="inlineStr">
        <is>
          <t>9000</t>
        </is>
      </c>
      <c r="B4" s="199" t="inlineStr">
        <is>
          <t>9000-3</t>
        </is>
      </c>
      <c r="C4" s="199" t="inlineStr">
        <is>
          <t>지장물이설</t>
        </is>
      </c>
      <c r="D4" s="199" t="inlineStr">
        <is>
          <t>9000-3-3</t>
        </is>
      </c>
      <c r="E4" s="200" t="inlineStr">
        <is>
          <t>9000-3-2</t>
        </is>
      </c>
      <c r="F4" s="200" t="inlineStr">
        <is>
          <t>9000-3-4</t>
        </is>
      </c>
      <c r="G4" s="155" t="inlineStr">
        <is>
          <t>지방계약법 및 관할 점용기관 규정 | 위수탁 지장물 이설 협약서 작성 &amp; 공문 발송 | 기관별 이설 소요 기간 및 예산 확보</t>
        </is>
      </c>
      <c r="H4" s="200" t="inlineStr">
        <is>
          <t>공사팀 / 발주기관</t>
        </is>
      </c>
      <c r="I4" s="200" t="inlineStr">
        <is>
          <t>1) 관할 점용기관 이설 요청 공문 작성 ➔ 2) 이설 협약서 정산 조건 수속 ➔ 3) 기관별 이설 소요 기간 협의 ➔ 4) 위수탁 이설 확약 공문 수령</t>
        </is>
      </c>
      <c r="J4" s="156" t="inlineStr">
        <is>
          <t>위수탁 이설 요청 공문 부착, 점용기관 협약 조건 수속 및 이설 예비비 계상 서약</t>
        </is>
      </c>
      <c r="K4" s="156" t="inlineStr">
        <is>
          <t>지방계약법 및 관할 점용기관 규정 | 위수탁 지장물 이설 협약서 작성 &amp; 공문 발송 | 기관별 이설 소요 기간 및 예산 확보</t>
        </is>
      </c>
      <c r="L4" s="213">
        <f>HYPERLINK(LEFT(CELL("filename",A1),FIND("[",CELL("filename",A1))-1)&amp;"매뉴얼BODY(집행단계-첨부폴더)v8\3.지장물이설\2_발주전적 KOM (도급지분)\표준서\발주전적 KOM (도급지분)_표준서.html", "👉 [클릭] 표준서 열기 📄")</f>
        <v/>
      </c>
      <c r="M4" s="156" t="inlineStr">
        <is>
          <t>1) 관할 점용기관 이설 요청 공문 작성 ➔ 2) 이설 협약서 정산 조건 수속 ➔ 3) 기관별 이설 소요 기간 협의 ➔ 4) 위수탁 이설 확약 공문 수령</t>
        </is>
      </c>
      <c r="N4" s="214">
        <f>HYPERLINK(LEFT(CELL("filename",A1),FIND("[",CELL("filename",A1))-1)&amp;"매뉴얼BODY(집행단계-첨부폴더)v8\3.지장물이설\2_발주전적 KOM (도급지분)\수행지침\발주전적 KOM (도급지분)_수행지침.html", "👉 [클릭] 수행지침 열기 📄")</f>
        <v/>
      </c>
      <c r="O4" s="156" t="inlineStr">
        <is>
          <t>위수탁 이설 요청 공문 부착, 점용기관 협약 조건 수속 및 이설 예비비 계상 서약</t>
        </is>
      </c>
      <c r="P4" s="215">
        <f>HYPERLINK(LEFT(CELL("filename",A1),FIND("[",CELL("filename",A1))-1)&amp;"매뉴얼BODY(집행단계-첨부폴더)v8\3.지장물이설\2_발주전적 KOM (도급지분)\체크리스트\발주전적 KOM (도급지분)_체크리스트.html", "👉 [클릭] 체크리스트 열기 📄")</f>
        <v/>
      </c>
      <c r="Q4" s="156" t="n"/>
      <c r="R4" s="203" t="inlineStr">
        <is>
          <t>지자체 위수탁 협약 처리 기준</t>
        </is>
      </c>
      <c r="S4" s="200" t="inlineStr">
        <is>
          <t>위수탁 기관 이설 착수 지연 리스크 관리</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row>
    <row r="5" ht="52" customHeight="1" s="147">
      <c r="A5" s="204" t="inlineStr">
        <is>
          <t>9000</t>
        </is>
      </c>
      <c r="B5" s="204" t="inlineStr">
        <is>
          <t>9000-3</t>
        </is>
      </c>
      <c r="C5" s="204" t="inlineStr">
        <is>
          <t>지장물이설</t>
        </is>
      </c>
      <c r="D5" s="204" t="inlineStr">
        <is>
          <t>9000-3-4</t>
        </is>
      </c>
      <c r="E5" s="205" t="inlineStr">
        <is>
          <t>9000-3-3</t>
        </is>
      </c>
      <c r="F5" s="205" t="inlineStr">
        <is>
          <t>9000-3-5</t>
        </is>
      </c>
      <c r="G5" s="162" t="inlineStr">
        <is>
          <t>건설산업기본법 제29조 | 상하수도 설비 전문건설업 면허 및 적정성(≥ 82%) 평가 | 노무비 전용계좌 지정 및 계약 승인</t>
        </is>
      </c>
      <c r="H5" s="205" t="inlineStr">
        <is>
          <t>현장소장</t>
        </is>
      </c>
      <c r="I5" s="205" t="inlineStr">
        <is>
          <t>1) 상하수도 전문건설업 면허 심사 ➔ 2) 하도급 적정성(≥ 82%) 평가 ➔ 3) 노무비 전용계좌 개설 ➔ 4) 하도급 계약 승인 통보서 결재</t>
        </is>
      </c>
      <c r="J5" s="163" t="inlineStr">
        <is>
          <t>상하수도 전문건설업 면허/실적 심사, 하도급 적정성 평가(≥ 82%) 및 노무비 전용계좌 지정</t>
        </is>
      </c>
      <c r="K5" s="163" t="inlineStr">
        <is>
          <t>건설산업기본법 제29조 | 상하수도 설비 전문건설업 면허 및 적정성(≥ 82%) 평가 | 노무비 전용계좌 지정 및 계약 승인</t>
        </is>
      </c>
      <c r="L5" s="217">
        <f>HYPERLINK(LEFT(CELL("filename",A1),FIND("[",CELL("filename",A1))-1)&amp;"매뉴얼BODY(집행단계-첨부폴더)v8\3.지장물이설\3_지장물 이설 요청 (위수탁고)\표준서\3_지장물 이설 요청 (위수탁고)_표준서.html", "👉 [클릭] 표준서 열기 📄")</f>
        <v/>
      </c>
      <c r="M5" s="163" t="inlineStr">
        <is>
          <t>1) 상하수도 전문건설업 면허 심사 ➔ 2) 하도급 적정성(≥ 82%) 평가 ➔ 3) 노무비 전용계좌 개설 ➔ 4) 하도급 계약 승인 통보서 결재</t>
        </is>
      </c>
      <c r="N5" s="218">
        <f>HYPERLINK(LEFT(CELL("filename",A1),FIND("[",CELL("filename",A1))-1)&amp;"매뉴얼BODY(집행단계-첨부폴더)v8\3.지장물이설\3_지장물 이설 요청 (위수탁고)\수행지침\3_지장물 이설 요청 (위수탁고)_수행지침.html", "👉 [클릭] 수행지침 열기 📄")</f>
        <v/>
      </c>
      <c r="O5" s="163" t="inlineStr">
        <is>
          <t>상하수도 전문건설업 면허/실적 심사, 하도급 적정성 평가(≥ 82%) 및 노무비 전용계좌 지정</t>
        </is>
      </c>
      <c r="P5" s="219">
        <f>HYPERLINK(LEFT(CELL("filename",A1),FIND("[",CELL("filename",A1))-1)&amp;"매뉴얼BODY(집행단계-첨부폴더)v8\3.지장물이설\3_지장물 이설 요청 (위수탁고)\체크리스트\3_지장물 이설 요청 (위수탁고)_체크리스트.html", "👉 [클릭] 체크리스트 열기 📄")</f>
        <v/>
      </c>
      <c r="Q5" s="163" t="n"/>
      <c r="R5" s="208" t="inlineStr">
        <is>
          <t>하도급거래 공정화에 관한 법률 및 계약 규정</t>
        </is>
      </c>
      <c r="S5" s="205" t="inlineStr">
        <is>
          <t>저가 하도급으로 인한 부실 시공 리스크 예방</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row>
    <row r="6" ht="52" customHeight="1" s="147">
      <c r="A6" s="199" t="inlineStr">
        <is>
          <t>9000</t>
        </is>
      </c>
      <c r="B6" s="199" t="inlineStr">
        <is>
          <t>9000-3</t>
        </is>
      </c>
      <c r="C6" s="199" t="inlineStr">
        <is>
          <t>지장물이설</t>
        </is>
      </c>
      <c r="D6" s="199" t="inlineStr">
        <is>
          <t>9000-3-5</t>
        </is>
      </c>
      <c r="E6" s="200" t="inlineStr">
        <is>
          <t>9000-3-4</t>
        </is>
      </c>
      <c r="F6" s="200" t="inlineStr">
        <is>
          <t>9000-3-6</t>
        </is>
      </c>
      <c r="G6" s="155" t="inlineStr">
        <is>
          <t>지하안전법 수칙 | 한국전력, 도시가스, 수자원공사 1:1 현장 합동 조사 | 매설 위치, 관경(mm), 깊이 3D BIM 매핑</t>
        </is>
      </c>
      <c r="H6" s="200" t="inlineStr">
        <is>
          <t>현장 공사팀</t>
        </is>
      </c>
      <c r="I6" s="200" t="inlineStr">
        <is>
          <t>1) 한전/가스/수자원공사 1:1 현장 입회 ➔ 2) 관로 위치, 관경(mm), 깊이 현측 ➔ 3) 3D BIM 매설 관로 매핑 ➔ 4) 지장물 조사서 감리 서면 승인</t>
        </is>
      </c>
      <c r="J6" s="156" t="inlineStr">
        <is>
          <t>한국전력, 도시가스, 수자원공사 1:1 현장 입회 및 지하 매설물 관경(mm), 심도 깊이 3D BIM 매핑</t>
        </is>
      </c>
      <c r="K6" s="156" t="inlineStr">
        <is>
          <t>지하안전법 수칙 | 한국전력, 도시가스, 수자원공사 1:1 현장 합동 조사 | 매설 위치, 관경(mm), 깊이 3D BIM 매핑</t>
        </is>
      </c>
      <c r="L6" s="213">
        <f>HYPERLINK(LEFT(CELL("filename",A1),FIND("[",CELL("filename",A1))-1)&amp;"매뉴얼BODY(집행단계-첨부폴더)v8\3.지장물이설\4_도급자분 이설업체 선정(상_하수)\표준서\4_도급자분 이설업체 선정(상_하수)_표준서.html", "👉 [클릭] 표준서 열기 📄")</f>
        <v/>
      </c>
      <c r="M6" s="156" t="inlineStr">
        <is>
          <t>1) 한전/가스/수자원공사 1:1 현장 입회 ➔ 2) 관로 위치, 관경(mm), 깊이 현측 ➔ 3) 3D BIM 매설 관로 매핑 ➔ 4) 지장물 조사서 감리 서면 승인</t>
        </is>
      </c>
      <c r="N6" s="214">
        <f>HYPERLINK(LEFT(CELL("filename",A1),FIND("[",CELL("filename",A1))-1)&amp;"매뉴얼BODY(집행단계-첨부폴더)v8\3.지장물이설\4_도급자분 이설업체 선정(상_하수)\수행지침\4_도급자분 이설업체 선정(상_하수)_수행지침.html", "👉 [클릭] 수행지침 열기 📄")</f>
        <v/>
      </c>
      <c r="O6" s="156" t="inlineStr">
        <is>
          <t>한국전력, 도시가스, 수자원공사 1:1 현장 입회 및 지하 매설물 관경(mm), 심도 깊이 3D BIM 매핑</t>
        </is>
      </c>
      <c r="P6" s="215">
        <f>HYPERLINK(LEFT(CELL("filename",A1),FIND("[",CELL("filename",A1))-1)&amp;"매뉴얼BODY(집행단계-첨부폴더)v8\3.지장물이설\4_도급자분 이설업체 선정(상_하수)\체크리스트\4_도급자분 이설업체 선정(상_하수)_체크리스트.html", "👉 [클릭] 체크리스트 열기 📄")</f>
        <v/>
      </c>
      <c r="Q6" s="156" t="n"/>
      <c r="R6" s="203" t="inlineStr">
        <is>
          <t>지하안전관리에 관한 특별법 및 측량 규정</t>
        </is>
      </c>
      <c r="S6" s="200" t="inlineStr">
        <is>
          <t>도면 상이로 인한 신규 지장물 불시 도출 리스크 방지</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row>
    <row r="7" ht="52" customHeight="1" s="147">
      <c r="A7" s="204" t="inlineStr">
        <is>
          <t>9000</t>
        </is>
      </c>
      <c r="B7" s="204" t="inlineStr">
        <is>
          <t>9000-3</t>
        </is>
      </c>
      <c r="C7" s="204" t="inlineStr">
        <is>
          <t>지장물이설</t>
        </is>
      </c>
      <c r="D7" s="204" t="inlineStr">
        <is>
          <t>9000-3-6</t>
        </is>
      </c>
      <c r="E7" s="205" t="inlineStr">
        <is>
          <t>9000-3-5</t>
        </is>
      </c>
      <c r="F7" s="205" t="inlineStr">
        <is>
          <t>9000-3-7</t>
        </is>
      </c>
      <c r="G7" s="162" t="inlineStr">
        <is>
          <t>KCS 47 10 25 배수 및 관체 수칙 | 지장물 이설 공정표, 가설 방호 및 교통 우회 계획 수립 | 공사 착수 14일 전 감리 서면 승인</t>
        </is>
      </c>
      <c r="H7" s="205" t="inlineStr">
        <is>
          <t>현장 공사팀</t>
        </is>
      </c>
      <c r="I7" s="205" t="inlineStr">
        <is>
          <t>1) 지장물 이설 공정표 수립 ➔ 2) 가설 매달기 방호 &amp; 우회 차선 설계 ➔ 3) 착공 14일 전 감리단 제출 ➔ 4) 이설 계획서 책임감리원 승인</t>
        </is>
      </c>
      <c r="J7" s="163" t="inlineStr">
        <is>
          <t>지장물 이설 공정표 수립, 가설 매달기 방호/우회 차선 설계 및 착공 14일 전 감리 서면 승인</t>
        </is>
      </c>
      <c r="K7" s="163" t="inlineStr">
        <is>
          <t>KCS 47 10 25 배수 및 관체 수칙 | 지장물 이설 공정표, 가설 방호 및 교통 우회 계획 수립 | 공사 착수 14일 전 감리 서면 승인</t>
        </is>
      </c>
      <c r="L7" s="217">
        <f>HYPERLINK(LEFT(CELL("filename",A1),FIND("[",CELL("filename",A1))-1)&amp;"매뉴얼BODY(집행단계-첨부폴더)v8\3.지장물이설\4_최고의 팀 만들기 지원\표준서\최고의 팀 만들기 지원_표준서.html", "👉 [클릭] 표준서 열기 📄")</f>
        <v/>
      </c>
      <c r="M7" s="163" t="inlineStr">
        <is>
          <t>1) 지장물 이설 공정표 수립 ➔ 2) 가설 매달기 방호 &amp; 우회 차선 설계 ➔ 3) 착공 14일 전 감리단 제출 ➔ 4) 이설 계획서 책임감리원 승인</t>
        </is>
      </c>
      <c r="N7" s="218">
        <f>HYPERLINK(LEFT(CELL("filename",A1),FIND("[",CELL("filename",A1))-1)&amp;"매뉴얼BODY(집행단계-첨부폴더)v8\3.지장물이설\4_최고의 팀 만들기 지원\수행지침\수행지침.html", "👉 [클릭] 수행지침 열기 📄")</f>
        <v/>
      </c>
      <c r="O7" s="163" t="inlineStr">
        <is>
          <t>지장물 이설 공정표 수립, 가설 매달기 방호/우회 차선 설계 및 착공 14일 전 감리 서면 승인</t>
        </is>
      </c>
      <c r="P7" s="219">
        <f>HYPERLINK(LEFT(CELL("filename",A1),FIND("[",CELL("filename",A1))-1)&amp;"매뉴얼BODY(집행단계-첨부폴더)v8\3.지장물이설\4_최고의 팀 만들기 지원\체크리스트\최고의 팀 만들기 지원_체크리스트.html", "👉 [클릭] 체크리스트 열기 📄")</f>
        <v/>
      </c>
      <c r="Q7" s="163" t="n"/>
      <c r="R7" s="208" t="inlineStr">
        <is>
          <t>동탄트램 지장물 이설 종합 지침</t>
        </is>
      </c>
      <c r="S7" s="205" t="inlineStr">
        <is>
          <t>이설 순서 혼선으로 인한 재굴착 리스크 방지</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row>
    <row r="8" ht="52" customHeight="1" s="147">
      <c r="A8" s="199" t="inlineStr">
        <is>
          <t>9000</t>
        </is>
      </c>
      <c r="B8" s="199" t="inlineStr">
        <is>
          <t>9000-3</t>
        </is>
      </c>
      <c r="C8" s="199" t="inlineStr">
        <is>
          <t>지장물이설</t>
        </is>
      </c>
      <c r="D8" s="199" t="inlineStr">
        <is>
          <t>9000-3-7</t>
        </is>
      </c>
      <c r="E8" s="200" t="inlineStr">
        <is>
          <t>9000-3-6</t>
        </is>
      </c>
      <c r="F8" s="200" t="inlineStr">
        <is>
          <t>9000-3-8</t>
        </is>
      </c>
      <c r="G8" s="155" t="inlineStr">
        <is>
          <t>건산법 상생협력 규정 | 지장물 전담 기술자 1:1 현장 배치 | 주간 3자 소통 회의 및 일일 TBM/안전교육 시행</t>
        </is>
      </c>
      <c r="H8" s="200" t="inlineStr">
        <is>
          <t>외주관리팀</t>
        </is>
      </c>
      <c r="I8" s="200" t="inlineStr">
        <is>
          <t>1) 지장물 전담 기술자 1:1 배치 ➔ 2) 3자 주간 소통 회의 개최 ➔ 3) 근로자 환경 개선 &amp; TBM ➔ 4) One-Team 조직표 감리 서면 승인</t>
        </is>
      </c>
      <c r="J8" s="156" t="inlineStr">
        <is>
          <t>지장물 전담 기술자 1:1 현장 배치, 발주·감리·시공 3자 주간 소통 회의 및 일일 TBM/음주 측정(0.00%)</t>
        </is>
      </c>
      <c r="K8" s="156" t="inlineStr">
        <is>
          <t>건산법 상생협력 규정 | 지장물 전담 기술자 1:1 현장 배치 | 주간 3자 소통 회의 및 일일 TBM/안전교육 시행</t>
        </is>
      </c>
      <c r="L8" s="213">
        <f>HYPERLINK(LEFT(CELL("filename",A1),FIND("[",CELL("filename",A1))-1)&amp;"매뉴얼BODY(집행단계-첨부폴더)v8\3.지장물이설\5_지장물 조사 (위탁기관 합동)\표준서\5_지장물 조사 (위탁기관 합동)_표준서.html", "👉 [클릭] 표준서 열기 📄")</f>
        <v/>
      </c>
      <c r="M8" s="156" t="inlineStr">
        <is>
          <t>1) 지장물 전담 기술자 1:1 배치 ➔ 2) 3자 주간 소통 회의 개최 ➔ 3) 근로자 환경 개선 &amp; TBM ➔ 4) One-Team 조직표 감리 서면 승인</t>
        </is>
      </c>
      <c r="N8" s="214">
        <f>HYPERLINK(LEFT(CELL("filename",A1),FIND("[",CELL("filename",A1))-1)&amp;"매뉴얼BODY(집행단계-첨부폴더)v8\3.지장물이설\5_지장물 조사 (위탁기관 합동)\수행지침\5_지장물 조사 (위탁기관 합동)_수행지침.html", "👉 [클릭] 수행지침 열기 📄")</f>
        <v/>
      </c>
      <c r="O8" s="156" t="inlineStr">
        <is>
          <t>지장물 전담 기술자 1:1 현장 배치, 발주·감리·시공 3자 주간 소통 회의 및 일일 TBM/음주 측정(0.00%)</t>
        </is>
      </c>
      <c r="P8" s="215">
        <f>HYPERLINK(LEFT(CELL("filename",A1),FIND("[",CELL("filename",A1))-1)&amp;"매뉴얼BODY(집행단계-첨부폴더)v8\3.지장물이설\5_지장물 조사 (위탁기관 합동)\체크리스트\5_지장물 조사 (위탁기관 합동)_체크리스트.html", "👉 [클릭] 체크리스트 열기 📄")</f>
        <v/>
      </c>
      <c r="Q8" s="156" t="n"/>
      <c r="R8" s="203" t="inlineStr">
        <is>
          <t>외주 하도급 관리 규정</t>
        </is>
      </c>
      <c r="S8" s="200" t="inlineStr">
        <is>
          <t>시공 미숙 작업반 투입으로 인한 사고 리스크 방지</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row>
    <row r="9" ht="52" customHeight="1" s="147">
      <c r="A9" s="204" t="inlineStr">
        <is>
          <t>9000</t>
        </is>
      </c>
      <c r="B9" s="204" t="inlineStr">
        <is>
          <t>9000-3</t>
        </is>
      </c>
      <c r="C9" s="204" t="inlineStr">
        <is>
          <t>지장물이설</t>
        </is>
      </c>
      <c r="D9" s="204" t="inlineStr">
        <is>
          <t>9000-3-8</t>
        </is>
      </c>
      <c r="E9" s="205" t="inlineStr">
        <is>
          <t>9000-3-7</t>
        </is>
      </c>
      <c r="F9" s="205" t="inlineStr">
        <is>
          <t>9000-3-9</t>
        </is>
      </c>
      <c r="G9" s="162" t="inlineStr">
        <is>
          <t>현장 통합 관리 지침 | 발주처·감리·지자체·시공사 합동 빅룸 회의 | 지장물 간섭 Zero 및 마일스톤 연동 확정</t>
        </is>
      </c>
      <c r="H9" s="205" t="inlineStr">
        <is>
          <t>현장소장</t>
        </is>
      </c>
      <c r="I9" s="205" t="inlineStr">
        <is>
          <t>1) 4자(발주·감리·지자체·시공) 빅룸 결성 ➔ 2) 지장물 이설 마일스톤 연동 ➔ 3) 간섭 리스크 즉시 해소 ➔ 4) 빅룸 회의록 4자 서명 완수</t>
        </is>
      </c>
      <c r="J9" s="163" t="inlineStr">
        <is>
          <t>4자(발주·감리·지자체·시공) 빅룸 회의 결성, 지장물 간섭 Zero 및 마일스톤 연동 회의록 서명</t>
        </is>
      </c>
      <c r="K9" s="163" t="inlineStr">
        <is>
          <t>현장 통합 관리 지침 | 발주처·감리·지자체·시공사 합동 빅룸 회의 | 지장물 간섭 Zero 및 마일스톤 연동 확정</t>
        </is>
      </c>
      <c r="L9" s="217">
        <f>HYPERLINK(LEFT(CELL("filename",A1),FIND("[",CELL("filename",A1))-1)&amp;"매뉴얼BODY(집행단계-첨부폴더)v8\3.지장물이설\5_착수전 Big Room 회의\표준서\착수전 Big Room 회의_표준서.html", "👉 [클릭] 표준서 열기 📄")</f>
        <v/>
      </c>
      <c r="M9" s="163" t="inlineStr">
        <is>
          <t>1) 4자(발주·감리·지자체·시공) 빅룸 결성 ➔ 2) 지장물 이설 마일스톤 연동 ➔ 3) 간섭 리스크 즉시 해소 ➔ 4) 빅룸 회의록 4자 서명 완수</t>
        </is>
      </c>
      <c r="N9" s="218">
        <f>HYPERLINK(LEFT(CELL("filename",A1),FIND("[",CELL("filename",A1))-1)&amp;"매뉴얼BODY(집행단계-첨부폴더)v8\3.지장물이설\5_착수전 Big Room 회의\수행지침\수행지침.html", "👉 [클릭] 수행지침 열기 📄")</f>
        <v/>
      </c>
      <c r="O9" s="163" t="inlineStr">
        <is>
          <t>4자(발주·감리·지자체·시공) 빅룸 회의 결성, 지장물 간섭 Zero 및 마일스톤 연동 회의록 서명</t>
        </is>
      </c>
      <c r="P9" s="219">
        <f>HYPERLINK(LEFT(CELL("filename",A1),FIND("[",CELL("filename",A1))-1)&amp;"매뉴얼BODY(집행단계-첨부폴더)v8\3.지장물이설\5_착수전 Big Room 회의\체크리스트\착수전 Big Room 회의_체크리스트.html", "👉 [클릭] 체크리스트 열기 📄")</f>
        <v/>
      </c>
      <c r="Q9" s="163" t="n"/>
      <c r="R9" s="208" t="inlineStr">
        <is>
          <t>동탄트램 사업관리 지침</t>
        </is>
      </c>
      <c r="S9" s="205" t="inlineStr">
        <is>
          <t>유관기관 간 공정 중복으로 인한 중복 굴착 리스크 방지</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row>
    <row r="10" ht="52" customHeight="1" s="147">
      <c r="A10" s="199" t="inlineStr">
        <is>
          <t>9000</t>
        </is>
      </c>
      <c r="B10" s="199" t="inlineStr">
        <is>
          <t>9000-3</t>
        </is>
      </c>
      <c r="C10" s="199" t="inlineStr">
        <is>
          <t>지장물이설</t>
        </is>
      </c>
      <c r="D10" s="199" t="inlineStr">
        <is>
          <t>9000-3-9</t>
        </is>
      </c>
      <c r="E10" s="200" t="inlineStr">
        <is>
          <t>9000-3-8</t>
        </is>
      </c>
      <c r="F10" s="200" t="inlineStr">
        <is>
          <t>9000-3-10</t>
        </is>
      </c>
      <c r="G10" s="155" t="inlineStr">
        <is>
          <t>도로법 및 하천법 준수 | 지자체 도로점용 허가 및 하천점용 허가서 접수 | 관련 부서 협의 및 법정 인허가 필증 수속</t>
        </is>
      </c>
      <c r="H10" s="200" t="inlineStr">
        <is>
          <t>현장 공무팀</t>
        </is>
      </c>
      <c r="I10" s="200" t="inlineStr">
        <is>
          <t>1) 지자체 도로/하천점용 허가서 작성 ➔ 2) 관련 부서 서류 제출 &amp; 심의 ➔ 3) 보증보험 증권 부착 ➔ 4) 법정 인허가 필증 감리 수속</t>
        </is>
      </c>
      <c r="J10" s="156" t="inlineStr">
        <is>
          <t>지자체 도로점용 허가 &amp; 하천점용 허가서 수속, 보증보험 증권 제출 및 법정 인허가 필증 검수</t>
        </is>
      </c>
      <c r="K10" s="156" t="inlineStr">
        <is>
          <t>도로법 및 하천법 준수 | 지자체 도로점용 허가 및 하천점용 허가서 접수 | 관련 부서 협의 및 법정 인허가 필증 수속</t>
        </is>
      </c>
      <c r="L10" s="213">
        <f>HYPERLINK(LEFT(CELL("filename",A1),FIND("[",CELL("filename",A1))-1)&amp;"매뉴얼BODY(집행단계-첨부폴더)v8\3.지장물이설\6_관리기관(맑은물사업소) 협의\표준서\관리기관(맑은물사업소) 협의_표준서.html", "👉 [클릭] 표준서 열기 📄")</f>
        <v/>
      </c>
      <c r="M10" s="156" t="inlineStr">
        <is>
          <t>1) 지자체 도로/하천점용 허가서 작성 ➔ 2) 관련 부서 서류 제출 &amp; 심의 ➔ 3) 보증보험 증권 부착 ➔ 4) 법정 인허가 필증 감리 수속</t>
        </is>
      </c>
      <c r="N10" s="214">
        <f>HYPERLINK(LEFT(CELL("filename",A1),FIND("[",CELL("filename",A1))-1)&amp;"매뉴얼BODY(집행단계-첨부폴더)v8\3.지장물이설\6_관리기관(맑은물사업소) 협의\수행지침\관리기관(맑은물사업소) 협의_수행지침.html", "👉 [클릭] 수행지침 열기 📄")</f>
        <v/>
      </c>
      <c r="O10" s="156" t="inlineStr">
        <is>
          <t>지자체 도로점용 허가 &amp; 하천점용 허가서 수속, 보증보험 증권 제출 및 법정 인허가 필증 검수</t>
        </is>
      </c>
      <c r="P10" s="215">
        <f>HYPERLINK(LEFT(CELL("filename",A1),FIND("[",CELL("filename",A1))-1)&amp;"매뉴얼BODY(집행단계-첨부폴더)v8\3.지장물이설\6_관리기관(맑은물사업소) 협의\체크리스트\관리기관(맑은물사업소) 협의_체크리스트.html", "👉 [클릭] 체크리스트 열기 📄")</f>
        <v/>
      </c>
      <c r="Q10" s="156" t="n"/>
      <c r="R10" s="203" t="inlineStr">
        <is>
          <t>인허가 관련 행정법 및 도로법</t>
        </is>
      </c>
      <c r="S10" s="200" t="inlineStr">
        <is>
          <t>인허가 지연으로 인한 공사 중단 리스크 방지</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row>
    <row r="11" ht="52" customHeight="1" s="147">
      <c r="A11" s="204" t="inlineStr">
        <is>
          <t>9000</t>
        </is>
      </c>
      <c r="B11" s="204" t="inlineStr">
        <is>
          <t>9000-3</t>
        </is>
      </c>
      <c r="C11" s="204" t="inlineStr">
        <is>
          <t>지장물이설</t>
        </is>
      </c>
      <c r="D11" s="204" t="inlineStr">
        <is>
          <t>9000-3-10</t>
        </is>
      </c>
      <c r="E11" s="205" t="inlineStr">
        <is>
          <t>9000-3-9</t>
        </is>
      </c>
      <c r="F11" s="205" t="inlineStr">
        <is>
          <t>9000-3-11</t>
        </is>
      </c>
      <c r="G11" s="162" t="inlineStr">
        <is>
          <t>도로교통법 제69조 | 관할 경찰서 교통안전 심의 및 점용 허가 수령 | 우회 차선 도면 작성 및 안전 신호수 배치</t>
        </is>
      </c>
      <c r="H11" s="205" t="inlineStr">
        <is>
          <t>현장 공무팀/안전팀</t>
        </is>
      </c>
      <c r="I11" s="205" t="inlineStr">
        <is>
          <t>1) 교통 우회 도면 &amp; 차선 설계 ➔ 2) 동탄경찰서 도로점용 허가 ➔ 3) 전담 신호수(2인 2조) 배치 ➔ 4) 교통소통 대책서 감리 서면 승인</t>
        </is>
      </c>
      <c r="J11" s="163" t="inlineStr">
        <is>
          <t>동탄경찰서 도로점용 허가, 우회 차선 설계 및 전담 안전 신호수(2인 2조)/LED 경광등 배치</t>
        </is>
      </c>
      <c r="K11" s="163" t="inlineStr">
        <is>
          <t>도로교통법 제69조 | 관할 경찰서 교통안전 심의 및 점용 허가 수령 | 우회 차선 도면 작성 및 안전 신호수 배치</t>
        </is>
      </c>
      <c r="L11" s="217">
        <f>HYPERLINK(LEFT(CELL("filename",A1),FIND("[",CELL("filename",A1))-1)&amp;"매뉴얼BODY(집행단계-첨부폴더)v8\3.지장물이설\6_지장물 이설 계획 수립\표준서\지장물 이설 계획 수립_표준서.html", "👉 [클릭] 표준서 열기 📄")</f>
        <v/>
      </c>
      <c r="M11" s="163" t="inlineStr">
        <is>
          <t>1) 교통 우회 도면 &amp; 차선 설계 ➔ 2) 동탄경찰서 도로점용 허가 ➔ 3) 전담 신호수(2인 2조) 배치 ➔ 4) 교통소통 대책서 감리 서면 승인</t>
        </is>
      </c>
      <c r="N11" s="218">
        <f>HYPERLINK(LEFT(CELL("filename",A1),FIND("[",CELL("filename",A1))-1)&amp;"매뉴얼BODY(집행단계-첨부폴더)v8\3.지장물이설\6_지장물 이설 계획 수립\수행지침\수행지침.html", "👉 [클릭] 수행지침 열기 📄")</f>
        <v/>
      </c>
      <c r="O11" s="163" t="inlineStr">
        <is>
          <t>동탄경찰서 도로점용 허가, 우회 차선 설계 및 전담 안전 신호수(2인 2조)/LED 경광등 배치</t>
        </is>
      </c>
      <c r="P11" s="219">
        <f>HYPERLINK(LEFT(CELL("filename",A1),FIND("[",CELL("filename",A1))-1)&amp;"매뉴얼BODY(집행단계-첨부폴더)v8\3.지장물이설\6_지장물 이설 계획 수립\체크리스트\지장물 이설 계획 수립_체크리스트.html", "👉 [클릭] 체크리스트 열기 📄")</f>
        <v/>
      </c>
      <c r="Q11" s="163" t="n"/>
      <c r="R11" s="208" t="inlineStr">
        <is>
          <t>도로교통법 및 교통영향평가 지침</t>
        </is>
      </c>
      <c r="S11" s="205" t="inlineStr">
        <is>
          <t>교통 혼잡민원 및 안전사고 발생 리스크 예방</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row>
    <row r="12" ht="52" customHeight="1" s="147">
      <c r="A12" s="199" t="inlineStr">
        <is>
          <t>9000</t>
        </is>
      </c>
      <c r="B12" s="199" t="inlineStr">
        <is>
          <t>9000-3</t>
        </is>
      </c>
      <c r="C12" s="199" t="inlineStr">
        <is>
          <t>지장물이설</t>
        </is>
      </c>
      <c r="D12" s="199" t="inlineStr">
        <is>
          <t>9000-3-11</t>
        </is>
      </c>
      <c r="E12" s="200" t="inlineStr">
        <is>
          <t>9000-3-10</t>
        </is>
      </c>
      <c r="F12" s="200" t="inlineStr">
        <is>
          <t>9000-3-12</t>
        </is>
      </c>
      <c r="G12" s="155" t="inlineStr">
        <is>
          <t>대기환경보전법 및 소음진동관리법 | 야간 공사 소음 억제 방음벽(H=3m) 및 세륜기 가동 | 단수/단전 사전 안내 및 민원 대응반 가동</t>
        </is>
      </c>
      <c r="H12" s="200" t="inlineStr">
        <is>
          <t>현장 공무팀/민원팀</t>
        </is>
      </c>
      <c r="I12" s="200" t="inlineStr">
        <is>
          <t>1) 야간 공사 소음 방음벽(H=3m) 설치 ➔ 2) 세륜기 가동 &amp; 분무 살수 ➔ 3) 단수/단전 사전 주민 공지 ➔ 4) 민원 대응반 서면 승인</t>
        </is>
      </c>
      <c r="J12" s="156" t="inlineStr">
        <is>
          <t>야간 공사 소음 방음벽(H=3m) 가동, 이동식 세륜기(깊이 1.2m) 가동 및 단수 사전 주민 알림</t>
        </is>
      </c>
      <c r="K12" s="156" t="inlineStr">
        <is>
          <t>대기환경보전법 및 소음진동관리법 | 야간 공사 소음 억제 방음벽(H=3m) 및 세륜기 가동 | 단수/단전 사전 안내 및 민원 대응반 가동</t>
        </is>
      </c>
      <c r="L12" s="213">
        <f>HYPERLINK(LEFT(CELL("filename",A1),FIND("[",CELL("filename",A1))-1)&amp;"매뉴얼BODY(집행단계-첨부폴더)v8\3.지장물이설\7_위수탁 지장물 이설 설계\표준서\위수탁 지장물 이설 설계_표준서.html", "👉 [클릭] 표준서 열기 📄")</f>
        <v/>
      </c>
      <c r="M12" s="156" t="inlineStr">
        <is>
          <t>1) 야간 공사 소음 방음벽(H=3m) 설치 ➔ 2) 세륜기 가동 &amp; 분무 살수 ➔ 3) 단수/단전 사전 주민 공지 ➔ 4) 민원 대응반 서면 승인</t>
        </is>
      </c>
      <c r="N12" s="214">
        <f>HYPERLINK(LEFT(CELL("filename",A1),FIND("[",CELL("filename",A1))-1)&amp;"매뉴얼BODY(집행단계-첨부폴더)v8\3.지장물이설\7_위수탁 지장물 이설 설계\수행지침\수행지침.html", "👉 [클릭] 수행지침 열기 📄")</f>
        <v/>
      </c>
      <c r="O12" s="156" t="inlineStr">
        <is>
          <t>야간 공사 소음 방음벽(H=3m) 가동, 이동식 세륜기(깊이 1.2m) 가동 및 단수 사전 주민 알림</t>
        </is>
      </c>
      <c r="P12" s="215">
        <f>HYPERLINK(LEFT(CELL("filename",A1),FIND("[",CELL("filename",A1))-1)&amp;"매뉴얼BODY(집행단계-첨부폴더)v8\3.지장물이설\7_위수탁 지장물 이설 설계\체크리스트\위수탁 지장물 이설 설계_체크리스트.html", "👉 [클릭] 체크리스트 열기 📄")</f>
        <v/>
      </c>
      <c r="Q12" s="156" t="n"/>
      <c r="R12" s="203" t="inlineStr">
        <is>
          <t>환경보전법 및 소음진동관리법</t>
        </is>
      </c>
      <c r="S12" s="200" t="inlineStr">
        <is>
          <t>집단 민원에 따른 현장 봉쇄 및 집회 리스크 방지</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row>
    <row r="13" ht="52" customHeight="1" s="147">
      <c r="A13" s="204" t="inlineStr">
        <is>
          <t>9000</t>
        </is>
      </c>
      <c r="B13" s="204" t="inlineStr">
        <is>
          <t>9000-3</t>
        </is>
      </c>
      <c r="C13" s="204" t="inlineStr">
        <is>
          <t>지장물이설</t>
        </is>
      </c>
      <c r="D13" s="204" t="inlineStr">
        <is>
          <t>9000-3-12</t>
        </is>
      </c>
      <c r="E13" s="205" t="inlineStr">
        <is>
          <t>9000-3-11</t>
        </is>
      </c>
      <c r="F13" s="205" t="inlineStr">
        <is>
          <t>9000-3-13</t>
        </is>
      </c>
      <c r="G13" s="162" t="inlineStr">
        <is>
          <t>토지보상법 준수 | 지장물 이설 부지 용지보상 현황 및 점용 경계 실측 | 미보상 사유지 가설 펜스 차단 및 우회 동선</t>
        </is>
      </c>
      <c r="H13" s="205" t="inlineStr">
        <is>
          <t>현장 공무팀 / 토목계약관리팀</t>
        </is>
      </c>
      <c r="I13" s="205" t="inlineStr">
        <is>
          <t>1) 미보상 사유지 경계 현출 ➔ 2) 가설 펜스(H=1.8m) 차단 ➔ 3) 3D 우회 토공 동선 수립 ➔ 4) 용지 보상 리스크 대책 승인</t>
        </is>
      </c>
      <c r="J13" s="163" t="inlineStr">
        <is>
          <t>미보상 사유지 경계 현출, 가설 펜스(H=1.8m) 차단 및 3D 우회 토공 동선 마일스톤 연동</t>
        </is>
      </c>
      <c r="K13" s="163" t="inlineStr">
        <is>
          <t>토지보상법 준수 | 지장물 이설 부지 용지보상 현황 및 점용 경계 실측 | 미보상 사유지 가설 펜스 차단 및 우회 동선</t>
        </is>
      </c>
      <c r="L13" s="217">
        <f>HYPERLINK(LEFT(CELL("filename",A1),FIND("[",CELL("filename",A1))-1)&amp;"매뉴얼BODY(집행단계-첨부폴더)v8\3.지장물이설\7_최고의 팀 만들기 지원\표준서\7_최고의 팀 만들기 지원_표준서.html", "👉 [클릭] 표준서 열기 📄")</f>
        <v/>
      </c>
      <c r="M13" s="163" t="inlineStr">
        <is>
          <t>1) 미보상 사유지 경계 현출 ➔ 2) 가설 펜스(H=1.8m) 차단 ➔ 3) 3D 우회 토공 동선 수립 ➔ 4) 용지 보상 리스크 대책 승인</t>
        </is>
      </c>
      <c r="N13" s="218">
        <f>HYPERLINK(LEFT(CELL("filename",A1),FIND("[",CELL("filename",A1))-1)&amp;"매뉴얼BODY(집행단계-첨부폴더)v8\3.지장물이설\7_최고의 팀 만들기 지원\수행지침\7_최고의 팀 만들기 지원_수행지침.html", "👉 [클릭] 수행지침 열기 📄")</f>
        <v/>
      </c>
      <c r="O13" s="163" t="inlineStr">
        <is>
          <t>미보상 사유지 경계 현출, 가설 펜스(H=1.8m) 차단 및 3D 우회 토공 동선 마일스톤 연동</t>
        </is>
      </c>
      <c r="P13" s="219">
        <f>HYPERLINK(LEFT(CELL("filename",A1),FIND("[",CELL("filename",A1))-1)&amp;"매뉴얼BODY(집행단계-첨부폴더)v8\3.지장물이설\7_최고의 팀 만들기 지원\체크리스트\7_최고의 팀 만들기 지원_체크리스트.html", "👉 [클릭] 체크리스트 열기 📄")</f>
        <v/>
      </c>
      <c r="Q13" s="163" t="n"/>
      <c r="R13" s="208" t="inlineStr">
        <is>
          <t>토지보상법 및 용지 보상 조례</t>
        </is>
      </c>
      <c r="S13" s="205" t="inlineStr">
        <is>
          <t>사유지 무단 침범에 따른 형사 고소 리스크 방지</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row>
    <row r="14" ht="52" customHeight="1" s="147">
      <c r="A14" s="199" t="inlineStr">
        <is>
          <t>9000</t>
        </is>
      </c>
      <c r="B14" s="199" t="inlineStr">
        <is>
          <t>9000-3</t>
        </is>
      </c>
      <c r="C14" s="199" t="inlineStr">
        <is>
          <t>지장물이설</t>
        </is>
      </c>
      <c r="D14" s="199" t="inlineStr">
        <is>
          <t>9000-3-13</t>
        </is>
      </c>
      <c r="E14" s="200" t="inlineStr">
        <is>
          <t>9000-3-12</t>
        </is>
      </c>
      <c r="F14" s="200" t="inlineStr">
        <is>
          <t>9000-3-14</t>
        </is>
      </c>
      <c r="G14" s="155" t="inlineStr">
        <is>
          <t>수도법 및 하수도법 규정 | 맑은물사업소 합동 이설 위치 검토 &amp; 수돗물 단수 일정 수협 | 신구관 접속 설계도서 서면 결재</t>
        </is>
      </c>
      <c r="H14" s="200" t="inlineStr">
        <is>
          <t>현장 공무팀</t>
        </is>
      </c>
      <c r="I14" s="200" t="inlineStr">
        <is>
          <t>1) 맑은물사업소 이설 위치 현측 ➔ 2) 단수 일정(최대 6시간) 협의 ➔ 3) 신구관 접속 도면 검토 ➔ 4) 이설 승인 공문 수령</t>
        </is>
      </c>
      <c r="J14" s="156" t="inlineStr">
        <is>
          <t>맑은물사업소 합동 이설 위치 검토, 수돗물 단수 일정(최대 6h) 수협 및 신구관 접속 도면 결재</t>
        </is>
      </c>
      <c r="K14" s="156" t="inlineStr">
        <is>
          <t>수도법 및 하수도법 규정 | 맑은물사업소 합동 이설 위치 검토 &amp; 수돗물 단수 일정 수협 | 신구관 접속 설계도서 서면 결재</t>
        </is>
      </c>
      <c r="L14" s="213">
        <f>HYPERLINK(LEFT(CELL("filename",A1),FIND("[",CELL("filename",A1))-1)&amp;"매뉴얼BODY(집행단계-첨부폴더)v8\3.지장물이설\8_상하수도 이설계획 실정보고\표준서\상하수도 이설계획 실정보고_표준서.html", "👉 [클릭] 표준서 열기 📄")</f>
        <v/>
      </c>
      <c r="M14" s="156" t="inlineStr">
        <is>
          <t>1) 맑은물사업소 이설 위치 현측 ➔ 2) 단수 일정(최대 6시간) 협의 ➔ 3) 신구관 접속 도면 검토 ➔ 4) 이설 승인 공문 수령</t>
        </is>
      </c>
      <c r="N14" s="214">
        <f>HYPERLINK(LEFT(CELL("filename",A1),FIND("[",CELL("filename",A1))-1)&amp;"매뉴얼BODY(집행단계-첨부폴더)v8\3.지장물이설\8_상하수도 이설계획 실정보고\수행지침\상하수도 이설계획 실정보고_수행지침.html", "👉 [클릭] 수행지침 열기 📄")</f>
        <v/>
      </c>
      <c r="O14" s="156" t="inlineStr">
        <is>
          <t>맑은물사업소 합동 이설 위치 검토, 수돗물 단수 일정(최대 6h) 수협 및 신구관 접속 도면 결재</t>
        </is>
      </c>
      <c r="P14" s="215">
        <f>HYPERLINK(LEFT(CELL("filename",A1),FIND("[",CELL("filename",A1))-1)&amp;"매뉴얼BODY(집행단계-첨부폴더)v8\3.지장물이설\8_상하수도 이설계획 실정보고\체크리스트\상하수도 이설계획 실정보고_체크리스트.html", "👉 [클릭] 체크리스트 열기 📄")</f>
        <v/>
      </c>
      <c r="Q14" s="156" t="n"/>
      <c r="R14" s="203" t="inlineStr">
        <is>
          <t>맑은물사업소 상하수도 시설기준</t>
        </is>
      </c>
      <c r="S14" s="200" t="inlineStr">
        <is>
          <t>상하수도 이설 위치 불일치로 인한 재협의 리스크 방지</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row>
    <row r="15" ht="52" customHeight="1" s="147">
      <c r="A15" s="204" t="inlineStr">
        <is>
          <t>9000</t>
        </is>
      </c>
      <c r="B15" s="204" t="inlineStr">
        <is>
          <t>9000-3</t>
        </is>
      </c>
      <c r="C15" s="204" t="inlineStr">
        <is>
          <t>지장물이설</t>
        </is>
      </c>
      <c r="D15" s="204" t="inlineStr">
        <is>
          <t>9000-3-14</t>
        </is>
      </c>
      <c r="E15" s="205" t="inlineStr">
        <is>
          <t>9000-3-13</t>
        </is>
      </c>
      <c r="F15" s="205" t="inlineStr">
        <is>
          <t>9000-3-15</t>
        </is>
      </c>
      <c r="G15" s="162" t="inlineStr">
        <is>
          <t>지하관로 설계기준 준수 | 위수탁 기관 설계도서 기술 검토 &amp; 3D BIM 간섭 점검 | 총사업비 변경 승인 및 설계 도서 수록</t>
        </is>
      </c>
      <c r="H15" s="205" t="inlineStr">
        <is>
          <t>엔지니어링팀/위수탁기관</t>
        </is>
      </c>
      <c r="I15" s="205" t="inlineStr">
        <is>
          <t>1) 위수탁 기관 설계도서 수속 ➔ 2) 3D BIM 간섭 리스크 점검 ➔ 3) 총사업비 변경 수량 검증 ➔ 4) 위수탁 설계도서 감리 승인</t>
        </is>
      </c>
      <c r="J15" s="163" t="inlineStr">
        <is>
          <t>위수탁 기관 설계도서 기술 검토, 3D BIM 간섭 리스크 점검 및 총사업비 변경 수량 승인</t>
        </is>
      </c>
      <c r="K15" s="163" t="inlineStr">
        <is>
          <t>지하관로 설계기준 준수 | 위수탁 기관 설계도서 기술 검토 &amp; 3D BIM 간섭 점검 | 총사업비 변경 승인 및 설계 도서 수록</t>
        </is>
      </c>
      <c r="L15" s="217">
        <f>HYPERLINK(LEFT(CELL("filename",A1),FIND("[",CELL("filename",A1))-1)&amp;"매뉴얼BODY(집행단계-첨부폴더)v8\3.지장물이설\8_착수전 Big Room 회의\표준서\8_착수전 Big Room 회의_표준서.html", "👉 [클릭] 표준서 열기 📄")</f>
        <v/>
      </c>
      <c r="M15" s="163" t="inlineStr">
        <is>
          <t>1) 위수탁 기관 설계도서 수속 ➔ 2) 3D BIM 간섭 리스크 점검 ➔ 3) 총사업비 변경 수량 검증 ➔ 4) 위수탁 설계도서 감리 승인</t>
        </is>
      </c>
      <c r="N15" s="218">
        <f>HYPERLINK(LEFT(CELL("filename",A1),FIND("[",CELL("filename",A1))-1)&amp;"매뉴얼BODY(집행단계-첨부폴더)v8\3.지장물이설\8_착수전 Big Room 회의\수행지침\8_착수전 Big Room 회의_수행지침.html", "👉 [클릭] 수행지침 열기 📄")</f>
        <v/>
      </c>
      <c r="O15" s="163" t="inlineStr">
        <is>
          <t>위수탁 기관 설계도서 기술 검토, 3D BIM 간섭 리스크 점검 및 총사업비 변경 수량 승인</t>
        </is>
      </c>
      <c r="P15" s="219">
        <f>HYPERLINK(LEFT(CELL("filename",A1),FIND("[",CELL("filename",A1))-1)&amp;"매뉴얼BODY(집행단계-첨부폴더)v8\3.지장물이설\8_착수전 Big Room 회의\체크리스트\8_착수전 Big Room 회의_체크리스트.html", "👉 [클릭] 체크리스트 열기 📄")</f>
        <v/>
      </c>
      <c r="Q15" s="163" t="n"/>
      <c r="R15" s="208" t="inlineStr">
        <is>
          <t>국가계약법 및 위수탁 설계 기준</t>
        </is>
      </c>
      <c r="S15" s="205" t="inlineStr">
        <is>
          <t>위수탁 분담금 예가 과다 산정 리스크 관리</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row>
    <row r="16" ht="52" customHeight="1" s="147">
      <c r="A16" s="199" t="inlineStr">
        <is>
          <t>9000</t>
        </is>
      </c>
      <c r="B16" s="199" t="inlineStr">
        <is>
          <t>9000-3</t>
        </is>
      </c>
      <c r="C16" s="199" t="inlineStr">
        <is>
          <t>지장물이설</t>
        </is>
      </c>
      <c r="D16" s="199" t="inlineStr">
        <is>
          <t>9000-3-15</t>
        </is>
      </c>
      <c r="E16" s="200" t="inlineStr">
        <is>
          <t>9000-3-14</t>
        </is>
      </c>
      <c r="F16" s="200" t="inlineStr">
        <is>
          <t>9000-3-16</t>
        </is>
      </c>
      <c r="G16" s="155" t="inlineStr">
        <is>
          <t>건진법 시행령 규정 | 현장 지장물 현출에 따른 실정보고서 작성 | 공법 변경 및 수량 증감에 대한 책임감리 승인</t>
        </is>
      </c>
      <c r="H16" s="200" t="inlineStr">
        <is>
          <t>현장 공무팀</t>
        </is>
      </c>
      <c r="I16" s="200" t="inlineStr">
        <is>
          <t>1) 현장 지장물 현출 실정보고 작성 ➔ 2) 공법 변경 &amp; 수량 증감 산출 ➔ 3) 기술 검토 의견서 첨부 ➔ 4) 실정보고서 감리 서면 승인</t>
        </is>
      </c>
      <c r="J16" s="156" t="inlineStr">
        <is>
          <t>현장 지장물 현출 실정보고서 작성, 공법 변경 및 수량 증감 산출 책임감리원 승인</t>
        </is>
      </c>
      <c r="K16" s="156" t="inlineStr">
        <is>
          <t>건진법 시행령 규정 | 현장 지장물 현출에 따른 실정보고서 작성 | 공법 변경 및 수량 증감에 대한 책임감리 승인</t>
        </is>
      </c>
      <c r="L16" s="213">
        <f>HYPERLINK(LEFT(CELL("filename",A1),FIND("[",CELL("filename",A1))-1)&amp;"매뉴얼BODY(집행단계-첨부폴더)v8\3.지장물이설\9_위수탁 계약 체결\표준서\위수탁 계약 체결_표준서.html", "👉 [클릭] 표준서 열기 📄")</f>
        <v/>
      </c>
      <c r="M16" s="156" t="inlineStr">
        <is>
          <t>1) 현장 지장물 현출 실정보고 작성 ➔ 2) 공법 변경 &amp; 수량 증감 산출 ➔ 3) 기술 검토 의견서 첨부 ➔ 4) 실정보고서 감리 서면 승인</t>
        </is>
      </c>
      <c r="N16" s="214">
        <f>HYPERLINK(LEFT(CELL("filename",A1),FIND("[",CELL("filename",A1))-1)&amp;"매뉴얼BODY(집행단계-첨부폴더)v8\3.지장물이설\9_위수탁 계약 체결\수행지침\수행지침.html", "👉 [클릭] 수행지침 열기 📄")</f>
        <v/>
      </c>
      <c r="O16" s="156" t="inlineStr">
        <is>
          <t>현장 지장물 현출 실정보고서 작성, 공법 변경 및 수량 증감 산출 책임감리원 승인</t>
        </is>
      </c>
      <c r="P16" s="215">
        <f>HYPERLINK(LEFT(CELL("filename",A1),FIND("[",CELL("filename",A1))-1)&amp;"매뉴얼BODY(집행단계-첨부폴더)v8\3.지장물이설\9_위수탁 계약 체결\체크리스트\위수탁 계약 체결_체크리스트.html", "👉 [클릭] 체크리스트 열기 📄")</f>
        <v/>
      </c>
      <c r="Q16" s="156" t="n"/>
      <c r="R16" s="203" t="inlineStr">
        <is>
          <t>건설기술진흥법 및 계약금액 조정 지침</t>
        </is>
      </c>
      <c r="S16" s="200" t="inlineStr">
        <is>
          <t>실정보고 승인 지연에 따른 변경 금액 누락 방지</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row>
    <row r="17" ht="52" customHeight="1" s="147">
      <c r="A17" s="204" t="inlineStr">
        <is>
          <t>9000</t>
        </is>
      </c>
      <c r="B17" s="204" t="inlineStr">
        <is>
          <t>9000-3</t>
        </is>
      </c>
      <c r="C17" s="204" t="inlineStr">
        <is>
          <t>지장물이설</t>
        </is>
      </c>
      <c r="D17" s="204" t="inlineStr">
        <is>
          <t>9000-3-16</t>
        </is>
      </c>
      <c r="E17" s="205" t="inlineStr">
        <is>
          <t>9000-3-15</t>
        </is>
      </c>
      <c r="F17" s="205" t="inlineStr">
        <is>
          <t>9000-3-17</t>
        </is>
      </c>
      <c r="G17" s="162" t="inlineStr">
        <is>
          <t>지방자치단체 계약법 | 관할 점용기관과 위수탁 이설 협약서 정산 조건 체결 | 공사비 분담금 및 예비비 계상 합의</t>
        </is>
      </c>
      <c r="H17" s="205" t="inlineStr">
        <is>
          <t>현장 공무팀 / 발주처</t>
        </is>
      </c>
      <c r="I17" s="205" t="inlineStr">
        <is>
          <t>1) 관할 점용기관 협약 조건 수속 ➔ 2) 정산 분담금 &amp; 예비비 협의 ➔ 3) 위수탁 계약서 작성 ➔ 4) 위수탁 이설 계약 체결 승인</t>
        </is>
      </c>
      <c r="J17" s="163" t="inlineStr">
        <is>
          <t>관할 점용기관 위수탁 이설 협약서 체결, 공사비 분담금 및 예비비 계상 합의 서약</t>
        </is>
      </c>
      <c r="K17" s="163" t="inlineStr">
        <is>
          <t>지방자치단체 계약법 | 관할 점용기관과 위수탁 이설 협약서 정산 조건 체결 | 공사비 분담금 및 예비비 계상 합의</t>
        </is>
      </c>
      <c r="L17" s="217">
        <f>HYPERLINK(LEFT(CELL("filename",A1),FIND("[",CELL("filename",A1))-1)&amp;"매뉴얼BODY(집행단계-첨부폴더)v8\3.지장물이설\9_인허가 절차 진행\표준서\9_인허가 절차 진행_표준서.html", "👉 [클릭] 표준서 열기 📄")</f>
        <v/>
      </c>
      <c r="M17" s="163" t="inlineStr">
        <is>
          <t>1) 관할 점용기관 협약 조건 수속 ➔ 2) 정산 분담금 &amp; 예비비 협의 ➔ 3) 위수탁 계약서 작성 ➔ 4) 위수탁 이설 계약 체결 승인</t>
        </is>
      </c>
      <c r="N17" s="218">
        <f>HYPERLINK(LEFT(CELL("filename",A1),FIND("[",CELL("filename",A1))-1)&amp;"매뉴얼BODY(집행단계-첨부폴더)v8\3.지장물이설\9_인허가 절차 진행\수행지침\9_인허가 절차 진행_수행지침.html", "👉 [클릭] 수행지침 열기 📄")</f>
        <v/>
      </c>
      <c r="O17" s="163" t="inlineStr">
        <is>
          <t>관할 점용기관 위수탁 이설 협약서 체결, 공사비 분담금 및 예비비 계상 합의 서약</t>
        </is>
      </c>
      <c r="P17" s="219">
        <f>HYPERLINK(LEFT(CELL("filename",A1),FIND("[",CELL("filename",A1))-1)&amp;"매뉴얼BODY(집행단계-첨부폴더)v8\3.지장물이설\9_인허가 절차 진행\체크리스트\9_인허가 절차 진행_체크리스트.html", "👉 [클릭] 체크리스트 열기 📄")</f>
        <v/>
      </c>
      <c r="Q17" s="163" t="n"/>
      <c r="R17" s="208" t="inlineStr">
        <is>
          <t>지방재정법 및 지자체 계약 조례</t>
        </is>
      </c>
      <c r="S17" s="205" t="inlineStr">
        <is>
          <t>협약 미체결로 인한 시공 후 법적 분쟁 리스크 방지</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row>
    <row r="18" ht="52" customHeight="1" s="147">
      <c r="A18" s="199" t="inlineStr">
        <is>
          <t>9000</t>
        </is>
      </c>
      <c r="B18" s="199" t="inlineStr">
        <is>
          <t>9000-3</t>
        </is>
      </c>
      <c r="C18" s="199" t="inlineStr">
        <is>
          <t>지장물이설</t>
        </is>
      </c>
      <c r="D18" s="199" t="inlineStr">
        <is>
          <t>9000-3-17</t>
        </is>
      </c>
      <c r="E18" s="200" t="inlineStr">
        <is>
          <t>9000-3-16</t>
        </is>
      </c>
      <c r="F18" s="200" t="inlineStr">
        <is>
          <t>9000-3-18</t>
        </is>
      </c>
      <c r="G18" s="155" t="inlineStr">
        <is>
          <t>도로법 제61조 준수 | 지자체 도로 굴착 허가 신청서 접수 및 심의 필 | 도로 복구 이행 보증보험 증권 제출</t>
        </is>
      </c>
      <c r="H18" s="200" t="inlineStr">
        <is>
          <t>현장 공무팀/공사팀</t>
        </is>
      </c>
      <c r="I18" s="200" t="inlineStr">
        <is>
          <t>1) 도로 굴착 허가 신청서 작성 ➔ 2) 지자체 도로굴착 심의 필 ➔ 3) 복구 보증보험 증권 제출 ➔ 4) 도로 굴착 허가증 감리 결재</t>
        </is>
      </c>
      <c r="J18" s="156" t="inlineStr">
        <is>
          <t>지자체 도로 굴착 허가 신청서 접수, 심의 필증 수령 및 도로 복구 보증보험 증권 제출</t>
        </is>
      </c>
      <c r="K18" s="156" t="inlineStr">
        <is>
          <t>도로법 제61조 준수 | 지자체 도로 굴착 허가 신청서 접수 및 심의 필 | 도로 복구 이행 보증보험 증권 제출</t>
        </is>
      </c>
      <c r="L18" s="213">
        <f>HYPERLINK(LEFT(CELL("filename",A1),FIND("[",CELL("filename",A1))-1)&amp;"매뉴얼BODY(집행단계-첨부폴더)v8\3.지장물이설\10_교통처리대책 협의 및 승인\표준서\10_교통처리대책 협의 및 승인_표준서.html", "👉 [클릭] 표준서 열기 📄")</f>
        <v/>
      </c>
      <c r="M18" s="156" t="inlineStr">
        <is>
          <t>1) 도로 굴착 허가 신청서 작성 ➔ 2) 지자체 도로굴착 심의 필 ➔ 3) 복구 보증보험 증권 제출 ➔ 4) 도로 굴착 허가증 감리 결재</t>
        </is>
      </c>
      <c r="N18" s="214">
        <f>HYPERLINK(LEFT(CELL("filename",A1),FIND("[",CELL("filename",A1))-1)&amp;"매뉴얼BODY(집행단계-첨부폴더)v8\3.지장물이설\10_교통처리대책 협의 및 승인\수행지침\10_교통처리대책 협의 및 승인_수행지침.html", "👉 [클릭] 수행지침 열기 📄")</f>
        <v/>
      </c>
      <c r="O18" s="156" t="inlineStr">
        <is>
          <t>지자체 도로 굴착 허가 신청서 접수, 심의 필증 수령 및 도로 복구 보증보험 증권 제출</t>
        </is>
      </c>
      <c r="P18" s="215">
        <f>HYPERLINK(LEFT(CELL("filename",A1),FIND("[",CELL("filename",A1))-1)&amp;"매뉴얼BODY(집행단계-첨부폴더)v8\3.지장물이설\10_교통처리대책 협의 및 승인\체크리스트\10_교통처리대책 협의 및 승인_체크리스트.html", "👉 [클릭] 체크리스트 열기 📄")</f>
        <v/>
      </c>
      <c r="Q18" s="156" t="n"/>
      <c r="R18" s="203" t="inlineStr">
        <is>
          <t>도로법 및 도로석굴착 관리조례</t>
        </is>
      </c>
      <c r="S18" s="200" t="inlineStr">
        <is>
          <t>무단 점용/굴착에 따른 과태료 및 공사중단 리스크 방지</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row>
    <row r="19" ht="52" customHeight="1" s="147">
      <c r="A19" s="204" t="inlineStr">
        <is>
          <t>9000</t>
        </is>
      </c>
      <c r="B19" s="204" t="inlineStr">
        <is>
          <t>9000-3</t>
        </is>
      </c>
      <c r="C19" s="204" t="inlineStr">
        <is>
          <t>지장물이설</t>
        </is>
      </c>
      <c r="D19" s="204" t="inlineStr">
        <is>
          <t>9000-3-18</t>
        </is>
      </c>
      <c r="E19" s="205" t="inlineStr">
        <is>
          <t>9000-3-17</t>
        </is>
      </c>
      <c r="F19" s="205" t="inlineStr">
        <is>
          <t>9000-3-19</t>
        </is>
      </c>
      <c r="G19" s="162" t="inlineStr">
        <is>
          <t>도로교통법 안전 수칙 | 게이트 및 굴착 구간 안전 바리케이트, LED 경광등 부설 | 전담 신호수(2인 2조) 100% 현장 배치</t>
        </is>
      </c>
      <c r="H19" s="205" t="inlineStr">
        <is>
          <t>현장 안전팀/공사팀</t>
        </is>
      </c>
      <c r="I19" s="205" t="inlineStr">
        <is>
          <t>1) 굴착 구간 안전 바리케이트 부설 ➔ 2) 야간 LED 경광등 &amp; 표지판 설치 ➔ 3) 전담 신호수(2인 2조) 배치 ➔ 4) 교통 안전 점검 대장 결재</t>
        </is>
      </c>
      <c r="J19" s="163" t="inlineStr">
        <is>
          <t>굴착 구간 안전 바리케이트 부설, 야간 LED 경광등 설치 및 전담 신호수(2인 2조) 배치</t>
        </is>
      </c>
      <c r="K19" s="163" t="inlineStr">
        <is>
          <t>도로교통법 안전 수칙 | 게이트 및 굴착 구간 안전 바리케이트, LED 경광등 부설 | 전담 신호수(2인 2조) 100% 현장 배치</t>
        </is>
      </c>
      <c r="L19" s="217">
        <f>HYPERLINK(LEFT(CELL("filename",A1),FIND("[",CELL("filename",A1))-1)&amp;"매뉴얼BODY(집행단계-첨부폴더)v8\3.지장물이설\10_도로점용_굴착행위 인허가\표준서\도로점용_굴착행위 인허가_표준서.html", "👉 [클릭] 표준서 열기 📄")</f>
        <v/>
      </c>
      <c r="M19" s="163" t="inlineStr">
        <is>
          <t>1) 굴착 구간 안전 바리케이트 부설 ➔ 2) 야간 LED 경광등 &amp; 표지판 설치 ➔ 3) 전담 신호수(2인 2조) 배치 ➔ 4) 교통 안전 점검 대장 결재</t>
        </is>
      </c>
      <c r="N19" s="218">
        <f>HYPERLINK(LEFT(CELL("filename",A1),FIND("[",CELL("filename",A1))-1)&amp;"매뉴얼BODY(집행단계-첨부폴더)v8\3.지장물이설\10_도로점용_굴착행위 인허가\수행지침\도로점용_굴착행위 인허가_수행지침.html", "👉 [클릭] 수행지침 열기 📄")</f>
        <v/>
      </c>
      <c r="O19" s="163" t="inlineStr">
        <is>
          <t>굴착 구간 안전 바리케이트 부설, 야간 LED 경광등 설치 및 전담 신호수(2인 2조) 배치</t>
        </is>
      </c>
      <c r="P19" s="219">
        <f>HYPERLINK(LEFT(CELL("filename",A1),FIND("[",CELL("filename",A1))-1)&amp;"매뉴얼BODY(집행단계-첨부폴더)v8\3.지장물이설\10_도로점용_굴착행위 인허가\체크리스트\도로점용_굴착행위 인허가_체크리스트.html", "👉 [클릭] 체크리스트 열기 📄")</f>
        <v/>
      </c>
      <c r="Q19" s="163" t="n"/>
      <c r="R19" s="208" t="inlineStr">
        <is>
          <t>도로공사장 교통관리지침 (국토교통부)</t>
        </is>
      </c>
      <c r="S19" s="205" t="inlineStr">
        <is>
          <t>교통사고 및 보행자 민원 발생 리스크 예방</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row>
    <row r="20" ht="52" customHeight="1" s="147">
      <c r="A20" s="199" t="inlineStr">
        <is>
          <t>9000</t>
        </is>
      </c>
      <c r="B20" s="199" t="inlineStr">
        <is>
          <t>9000-3</t>
        </is>
      </c>
      <c r="C20" s="199" t="inlineStr">
        <is>
          <t>지장물이설</t>
        </is>
      </c>
      <c r="D20" s="199" t="inlineStr">
        <is>
          <t>9000-3-19</t>
        </is>
      </c>
      <c r="E20" s="200" t="inlineStr">
        <is>
          <t>9000-3-18</t>
        </is>
      </c>
      <c r="F20" s="200" t="inlineStr">
        <is>
          <t>9000-3-20</t>
        </is>
      </c>
      <c r="G20" s="155" t="inlineStr">
        <is>
          <t>지하안전법 제23조 | GPR 3D 탐사 후 인력 시탐 줄파기(폭 0.5m, 깊이 1.5m) | 실체 관로 노출 및 위치 표지판 비치</t>
        </is>
      </c>
      <c r="H20" s="200" t="inlineStr">
        <is>
          <t>현장 공무팀/공사팀</t>
        </is>
      </c>
      <c r="I20" s="200" t="inlineStr">
        <is>
          <t>1) GPR 3D 지중 관로 탐사 ➔ 2) 인력 시탐 줄파기(깊이 1.5m) ➔ 3) 실체 관로 노출 &amp; 위치 매핑 ➔ 4) 지장물 현측표 감리 서면 승인</t>
        </is>
      </c>
      <c r="J20" s="156" t="inlineStr">
        <is>
          <t>GPR 3D 지중 관로 탐사, 인력 시탐 줄파기(폭 0.5m, 깊이 1.5m) 및 실체 관로 노출 매핑</t>
        </is>
      </c>
      <c r="K20" s="156" t="inlineStr">
        <is>
          <t>지하안전법 제23조 | GPR 3D 탐사 후 인력 시탐 줄파기(폭 0.5m, 깊이 1.5m) | 실체 관로 노출 및 위치 표지판 비치</t>
        </is>
      </c>
      <c r="L20" s="213">
        <f>HYPERLINK(LEFT(CELL("filename",A1),FIND("[",CELL("filename",A1))-1)&amp;"매뉴얼BODY(집행단계-첨부폴더)v8\3.지장물이설\11_교통통제 및 교통안전시설 설치\표준서\교통통제 및 교통안전시설 설치_표준서.html", "👉 [클릭] 표준서 열기 📄")</f>
        <v/>
      </c>
      <c r="M20" s="156" t="inlineStr">
        <is>
          <t>1) GPR 3D 지중 관로 탐사 ➔ 2) 인력 시탐 줄파기(깊이 1.5m) ➔ 3) 실체 관로 노출 &amp; 위치 매핑 ➔ 4) 지장물 현측표 감리 서면 승인</t>
        </is>
      </c>
      <c r="N20" s="214">
        <f>HYPERLINK(LEFT(CELL("filename",A1),FIND("[",CELL("filename",A1))-1)&amp;"매뉴얼BODY(집행단계-첨부폴더)v8\3.지장물이설\11_교통통제 및 교통안전시설 설치\수행지침\교통통제 및 교통안전시설 설치_수행지침.html", "👉 [클릭] 수행지침 열기 📄")</f>
        <v/>
      </c>
      <c r="O20" s="156" t="inlineStr">
        <is>
          <t>GPR 3D 지중 관로 탐사, 인력 시탐 줄파기(폭 0.5m, 깊이 1.5m) 및 실체 관로 노출 매핑</t>
        </is>
      </c>
      <c r="P20" s="215">
        <f>HYPERLINK(LEFT(CELL("filename",A1),FIND("[",CELL("filename",A1))-1)&amp;"매뉴얼BODY(집행단계-첨부폴더)v8\3.지장물이설\11_교통통제 및 교통안전시설 설치\체크리스트\교통통제 및 교통안전시설 설치_체크리스트.html", "👉 [클릭] 체크리스트 열기 📄")</f>
        <v/>
      </c>
      <c r="Q20" s="156" t="n"/>
      <c r="R20" s="203" t="inlineStr">
        <is>
          <t>지하안전관리에 관한 특별법 (지하안전법)</t>
        </is>
      </c>
      <c r="S20" s="200" t="inlineStr">
        <is>
          <t>중장비 직접 굴착으로 인한 관로 파손 사고 리스크 방지</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row>
    <row r="21" ht="52" customHeight="1" s="147">
      <c r="A21" s="204" t="inlineStr">
        <is>
          <t>9000</t>
        </is>
      </c>
      <c r="B21" s="204" t="inlineStr">
        <is>
          <t>9000-3</t>
        </is>
      </c>
      <c r="C21" s="204" t="inlineStr">
        <is>
          <t>지장물이설</t>
        </is>
      </c>
      <c r="D21" s="204" t="inlineStr">
        <is>
          <t>9000-3-20</t>
        </is>
      </c>
      <c r="E21" s="205" t="inlineStr">
        <is>
          <t>9000-3-19</t>
        </is>
      </c>
      <c r="F21" s="205" t="inlineStr">
        <is>
          <t>9000-3-21</t>
        </is>
      </c>
      <c r="G21" s="162" t="inlineStr">
        <is>
          <t>KCS 47 10 25 굴착 시방 | 굴착 사면 비탈면 경사(1:1.5) 준수 및 흙막이 가설재 부설 | 굴착 바닥 원지반 K30 ≥ 70 지비력 검측</t>
        </is>
      </c>
      <c r="H21" s="205" t="inlineStr">
        <is>
          <t>현장 공사팀</t>
        </is>
      </c>
      <c r="I21" s="205" t="inlineStr">
        <is>
          <t>1) 굴착 비탈면 경사(1:1.5) 측량 ➔ 2) 굴착 &amp; 흙막이 가설재 부설 ➔ 3) 바닥 원지반 K30(≥70) 검측 ➔ 4) 굴착 완료 성과표 감리 승인</t>
        </is>
      </c>
      <c r="J21" s="163" t="inlineStr">
        <is>
          <t>굴착 비탈면 경사(1:1.5 이하) 측량, 흙막이 가설재 부설 및 바닥 원지반 K30 ≥ 70 지비력 검측</t>
        </is>
      </c>
      <c r="K21" s="163" t="inlineStr">
        <is>
          <t>KCS 47 10 25 굴착 시방 | 굴착 사면 비탈면 경사(1:1.5) 준수 및 흙막이 가설재 부설 | 굴착 바닥 원지반 K30 ≥ 70 지비력 검측</t>
        </is>
      </c>
      <c r="L21" s="217">
        <f>HYPERLINK(LEFT(CELL("filename",A1),FIND("[",CELL("filename",A1))-1)&amp;"매뉴얼BODY(집행단계-첨부폴더)v8\3.지장물이설\11_민원 저감 대책 수립\표준서\11_민원 저감 대책 수립_표준서.html", "👉 [클릭] 표준서 열기 📄")</f>
        <v/>
      </c>
      <c r="M21" s="163" t="inlineStr">
        <is>
          <t>1) 굴착 비탈면 경사(1:1.5) 측량 ➔ 2) 굴착 &amp; 흙막이 가설재 부설 ➔ 3) 바닥 원지반 K30(≥70) 검측 ➔ 4) 굴착 완료 성과표 감리 승인</t>
        </is>
      </c>
      <c r="N21" s="218">
        <f>HYPERLINK(LEFT(CELL("filename",A1),FIND("[",CELL("filename",A1))-1)&amp;"매뉴얼BODY(집행단계-첨부폴더)v8\3.지장물이설\11_민원 저감 대책 수립\수행지침\11_민원 저감 대책 수립_수행지침.html", "👉 [클릭] 수행지침 열기 📄")</f>
        <v/>
      </c>
      <c r="O21" s="163" t="inlineStr">
        <is>
          <t>굴착 비탈면 경사(1:1.5 이하) 측량, 흙막이 가설재 부설 및 바닥 원지반 K30 ≥ 70 지비력 검측</t>
        </is>
      </c>
      <c r="P21" s="219">
        <f>HYPERLINK(LEFT(CELL("filename",A1),FIND("[",CELL("filename",A1))-1)&amp;"매뉴얼BODY(집행단계-첨부폴더)v8\3.지장물이설\11_민원 저감 대책 수립\체크리스트\11_민원 저감 대책 수립_체크리스트.html", "👉 [클릭] 체크리스트 열기 📄")</f>
        <v/>
      </c>
      <c r="Q21" s="163" t="n"/>
      <c r="R21" s="208" t="inlineStr">
        <is>
          <t>KCS 11 20 00 토공사 표준시방서</t>
        </is>
      </c>
      <c r="S21" s="205" t="inlineStr">
        <is>
          <t>굴착 법면 붕괴 및 인접 도로 침하 리스크 방지</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row>
    <row r="22" ht="52" customHeight="1" s="147">
      <c r="A22" s="199" t="inlineStr">
        <is>
          <t>9000</t>
        </is>
      </c>
      <c r="B22" s="199" t="inlineStr">
        <is>
          <t>9000-3</t>
        </is>
      </c>
      <c r="C22" s="199" t="inlineStr">
        <is>
          <t>지장물이설</t>
        </is>
      </c>
      <c r="D22" s="199" t="inlineStr">
        <is>
          <t>9000-3-21</t>
        </is>
      </c>
      <c r="E22" s="200" t="inlineStr">
        <is>
          <t>9000-3-20</t>
        </is>
      </c>
      <c r="F22" s="200" t="inlineStr">
        <is>
          <t>9000-3-22</t>
        </is>
      </c>
      <c r="G22" s="155" t="inlineStr">
        <is>
          <t>KS 관로 자재 규정 준수 | 신규 상하수도관/가스관 부설 및 모래 기초(두께 10cm) 부설 | 관로 경사(≥ 0.5%) 및 수평 위치 검측</t>
        </is>
      </c>
      <c r="H22" s="200" t="inlineStr">
        <is>
          <t>현장 공사팀 / 전문협력사</t>
        </is>
      </c>
      <c r="I22" s="200" t="inlineStr">
        <is>
          <t>1) 관로 모래 기초(10cm) 부설 ➔ 2) 신규 상하수도관/가스관 부설 ➔ 3) 관로 종단 구배(≥0.5%) 검측 ➔ 4) 신규 관로 부설 감리 서면 승인</t>
        </is>
      </c>
      <c r="J22" s="156" t="inlineStr">
        <is>
          <t>관로 모래 기초(두께 10cm) 부설, 신규 상하수도관/가스관 부설 및 종단 구배(≥ 0.5%) 검측</t>
        </is>
      </c>
      <c r="K22" s="156" t="inlineStr">
        <is>
          <t>KS 관로 자재 규정 준수 | 신규 상하수도관/가스관 부설 및 모래 기초(두께 10cm) 부설 | 관로 경사(≥ 0.5%) 및 수평 위치 검측</t>
        </is>
      </c>
      <c r="L22" s="213">
        <f>HYPERLINK(LEFT(CELL("filename",A1),FIND("[",CELL("filename",A1))-1)&amp;"매뉴얼BODY(집행단계-첨부폴더)v8\3.지장물이설\12_용지보상 Risk 파악\표준서\12_용지보상 Risk 파악_표준서.html", "👉 [클릭] 표준서 열기 📄")</f>
        <v/>
      </c>
      <c r="M22" s="156" t="inlineStr">
        <is>
          <t>1) 관로 모래 기초(10cm) 부설 ➔ 2) 신규 상하수도관/가스관 부설 ➔ 3) 관로 종단 구배(≥0.5%) 검측 ➔ 4) 신규 관로 부설 감리 서면 승인</t>
        </is>
      </c>
      <c r="N22" s="214">
        <f>HYPERLINK(LEFT(CELL("filename",A1),FIND("[",CELL("filename",A1))-1)&amp;"매뉴얼BODY(집행단계-첨부폴더)v8\3.지장물이설\12_용지보상 Risk 파악\수행지침\12_용지보상 Risk 파악_수행지침.html", "👉 [클릭] 수행지침 열기 📄")</f>
        <v/>
      </c>
      <c r="O22" s="156" t="inlineStr">
        <is>
          <t>관로 모래 기초(두께 10cm) 부설, 신규 상하수도관/가스관 부설 및 종단 구배(≥ 0.5%) 검측</t>
        </is>
      </c>
      <c r="P22" s="215">
        <f>HYPERLINK(LEFT(CELL("filename",A1),FIND("[",CELL("filename",A1))-1)&amp;"매뉴얼BODY(집행단계-첨부폴더)v8\3.지장물이설\12_용지보상 Risk 파악\체크리스트\12_용지보상 Risk 파악_체크리스트.html", "👉 [클릭] 체크리스트 열기 📄")</f>
        <v/>
      </c>
      <c r="Q22" s="156" t="n"/>
      <c r="R22" s="203" t="inlineStr">
        <is>
          <t>상하수도 및 배관공사 표준시방서</t>
        </is>
      </c>
      <c r="S22" s="200" t="inlineStr">
        <is>
          <t>관 이음부 누수 및 침하로 인한 도로 함몰 리스크 예방</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row>
    <row r="23" ht="52" customHeight="1" s="147">
      <c r="A23" s="204" t="inlineStr">
        <is>
          <t>9000</t>
        </is>
      </c>
      <c r="B23" s="204" t="inlineStr">
        <is>
          <t>9000-3</t>
        </is>
      </c>
      <c r="C23" s="204" t="inlineStr">
        <is>
          <t>지장물이설</t>
        </is>
      </c>
      <c r="D23" s="204" t="inlineStr">
        <is>
          <t>9000-3-22</t>
        </is>
      </c>
      <c r="E23" s="205" t="inlineStr">
        <is>
          <t>9000-3-21</t>
        </is>
      </c>
      <c r="F23" s="205" t="inlineStr">
        <is>
          <t>9000-3-23</t>
        </is>
      </c>
      <c r="G23" s="162" t="inlineStr">
        <is>
          <t>수도시설 공학 규정 | 무단수 천공기 및 밸브 차단 장치 정밀 세팅 | 수압 시험 및 밸브 가동 상태 시운전 검측</t>
        </is>
      </c>
      <c r="H23" s="205" t="inlineStr">
        <is>
          <t>현장 공사팀 / 전문업체</t>
        </is>
      </c>
      <c r="I23" s="205" t="inlineStr">
        <is>
          <t>1) 무단수 천공기 정밀 세팅 ➔ 2) 차단 밸브 &amp; 챔버 설치 ➔ 3) 수압 시험 및 가동 시운전 ➔ 4) 무단수 시설 검측 감리 승인</t>
        </is>
      </c>
      <c r="J23" s="163" t="inlineStr">
        <is>
          <t>무단수 천공기 정밀 세팅, 차단 밸브 &amp; 챔버 설치 및 수압 시험/가동 시운전 검측</t>
        </is>
      </c>
      <c r="K23" s="163" t="inlineStr">
        <is>
          <t>수도시설 공학 규정 | 무단수 천공기 및 밸브 차단 장치 정밀 세팅 | 수압 시험 및 밸브 가동 상태 시운전 검측</t>
        </is>
      </c>
      <c r="L23" s="217">
        <f>HYPERLINK(LEFT(CELL("filename",A1),FIND("[",CELL("filename",A1))-1)&amp;"매뉴얼BODY(집행단계-첨부폴더)v8\3.지장물이설\12_줄따기(GPR)를 통한 기존 지장물 매설 확인\표준서\줄따기(GPR)를 통한 기존 지장물 매설 확인_표준서.html", "👉 [클릭] 표준서 열기 📄")</f>
        <v/>
      </c>
      <c r="M23" s="163" t="inlineStr">
        <is>
          <t>1) 무단수 천공기 정밀 세팅 ➔ 2) 차단 밸브 &amp; 챔버 설치 ➔ 3) 수압 시험 및 가동 시운전 ➔ 4) 무단수 시설 검측 감리 승인</t>
        </is>
      </c>
      <c r="N23" s="218">
        <f>HYPERLINK(LEFT(CELL("filename",A1),FIND("[",CELL("filename",A1))-1)&amp;"매뉴얼BODY(집행단계-첨부폴더)v8\3.지장물이설\12_줄따기(GPR)를 통한 기존 지장물 매설 확인\수행지침\수행지침.html", "👉 [클릭] 수행지침 열기 📄")</f>
        <v/>
      </c>
      <c r="O23" s="163" t="inlineStr">
        <is>
          <t>무단수 천공기 정밀 세팅, 차단 밸브 &amp; 챔버 설치 및 수압 시험/가동 시운전 검측</t>
        </is>
      </c>
      <c r="P23" s="219">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63" t="n"/>
      <c r="R23" s="208" t="inlineStr">
        <is>
          <t>무단수 공법 기술 시방서</t>
        </is>
      </c>
      <c r="S23" s="205" t="inlineStr">
        <is>
          <t>단수 발생으로 인한 대규모 주민 민원 리스크 방지</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row>
    <row r="24" ht="52" customHeight="1" s="147">
      <c r="A24" s="199" t="inlineStr">
        <is>
          <t>9000</t>
        </is>
      </c>
      <c r="B24" s="199" t="inlineStr">
        <is>
          <t>9000-3</t>
        </is>
      </c>
      <c r="C24" s="199" t="inlineStr">
        <is>
          <t>지장물이설</t>
        </is>
      </c>
      <c r="D24" s="199" t="inlineStr">
        <is>
          <t>9000-3-23</t>
        </is>
      </c>
      <c r="E24" s="200" t="inlineStr">
        <is>
          <t>9000-3-22</t>
        </is>
      </c>
      <c r="F24" s="200" t="inlineStr">
        <is>
          <t>9000-3-24</t>
        </is>
      </c>
      <c r="G24" s="155" t="inlineStr">
        <is>
          <t>관로 연결 시방 수칙 | 신구 관로 접속 부위 수압 시험(10kgf/cm², 1시간 유지) | 누수 여부 점검 및 부식 방지 랩핑 부설</t>
        </is>
      </c>
      <c r="H24" s="200" t="inlineStr">
        <is>
          <t>현장 공사팀</t>
        </is>
      </c>
      <c r="I24" s="200" t="inlineStr">
        <is>
          <t>1) 신구 관로 접속 부위 부설 ➔ 2) 수압 시험(10kgf/cm², 1h 유지) ➔ 3) 부식 방지 피복 랩핑 시행 ➔ 4) 관로 접속 검측 성과표 승인</t>
        </is>
      </c>
      <c r="J24" s="156" t="inlineStr">
        <is>
          <t>신구 관로 접속 부위 부설, 수압 시험(10kgf/cm², 1h 유지) 및 부식 방지 피복 랩핑 검측</t>
        </is>
      </c>
      <c r="K24" s="156" t="inlineStr">
        <is>
          <t>관로 연결 시방 수칙 | 신구 관로 접속 부위 수압 시험(10kgf/cm², 1시간 유지) | 누수 여부 점검 및 부식 방지 랩핑 부설</t>
        </is>
      </c>
      <c r="L24" s="213">
        <f>HYPERLINK(LEFT(CELL("filename",A1),FIND("[",CELL("filename",A1))-1)&amp;"매뉴얼BODY(집행단계-첨부폴더)v8\3.지장물이설\13_관리기관(맑은물사업소) 협의\표준서\13_관리기관(맑은물사업소) 협의_표준서.html", "👉 [클릭] 표준서 열기 📄")</f>
        <v/>
      </c>
      <c r="M24" s="156" t="inlineStr">
        <is>
          <t>1) 신구 관로 접속 부위 부설 ➔ 2) 수압 시험(10kgf/cm², 1h 유지) ➔ 3) 부식 방지 피복 랩핑 시행 ➔ 4) 관로 접속 검측 성과표 승인</t>
        </is>
      </c>
      <c r="N24" s="214">
        <f>HYPERLINK(LEFT(CELL("filename",A1),FIND("[",CELL("filename",A1))-1)&amp;"매뉴얼BODY(집행단계-첨부폴더)v8\3.지장물이설\13_관리기관(맑은물사업소) 협의\수행지침\관리기관(맑은물사업소) 협의_수행지침.html", "👉 [클릭] 수행지침 열기 📄")</f>
        <v/>
      </c>
      <c r="O24" s="156" t="inlineStr">
        <is>
          <t>신구 관로 접속 부위 부설, 수압 시험(10kgf/cm², 1h 유지) 및 부식 방지 피복 랩핑 검측</t>
        </is>
      </c>
      <c r="P24" s="215">
        <f>HYPERLINK(LEFT(CELL("filename",A1),FIND("[",CELL("filename",A1))-1)&amp;"매뉴얼BODY(집행단계-첨부폴더)v8\3.지장물이설\13_관리기관(맑은물사업소) 협의\체크리스트\관리기관(맑은물사업소) 협의_체크리스트.html", "👉 [클릭] 체크리스트 열기 📄")</f>
        <v/>
      </c>
      <c r="Q24" s="156" t="n"/>
      <c r="R24" s="203" t="inlineStr">
        <is>
          <t>관로 접속 및 Cut-over 시방서</t>
        </is>
      </c>
      <c r="S24" s="200" t="inlineStr">
        <is>
          <t>접속 부위 압력 파손 및 서비스 전환 실패 리스크 방지</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row>
    <row r="25" ht="52" customHeight="1" s="147">
      <c r="A25" s="204" t="inlineStr">
        <is>
          <t>9000</t>
        </is>
      </c>
      <c r="B25" s="204" t="inlineStr">
        <is>
          <t>9000-3</t>
        </is>
      </c>
      <c r="C25" s="204" t="inlineStr">
        <is>
          <t>지장물이설</t>
        </is>
      </c>
      <c r="D25" s="204" t="inlineStr">
        <is>
          <t>9000-3-24</t>
        </is>
      </c>
      <c r="E25" s="205" t="inlineStr">
        <is>
          <t>9000-3-23</t>
        </is>
      </c>
      <c r="F25" s="205" t="inlineStr">
        <is>
          <t>9000-3-25</t>
        </is>
      </c>
      <c r="G25" s="162" t="inlineStr">
        <is>
          <t>폐기물관리법 준수 | 폐관로 수거 및 토사 30cm 층다짐(다짐도 ≥ 95%) 원상복구 | 아스콘 가포설 및 평탄성 통제</t>
        </is>
      </c>
      <c r="H25" s="205" t="inlineStr">
        <is>
          <t>현장 공사팀</t>
        </is>
      </c>
      <c r="I25" s="205" t="inlineStr">
        <is>
          <t>1) 기존 폐관로 안전 철거/수거 ➔ 2) 토사 30cm 층다짐(다짐도≥95%) ➔ 3) 아스콘 가포설 &amp; 평탄성 검측 ➔ 4) 원상복구 성과표 감리 승인</t>
        </is>
      </c>
      <c r="J25" s="163" t="inlineStr">
        <is>
          <t>기존 폐관로 안전 철거/수거, 토사 30cm 층다짐(다짐도 ≥ 95%) 원상복구 및 아스콘 가포설</t>
        </is>
      </c>
      <c r="K25" s="163" t="inlineStr">
        <is>
          <t>폐기물관리법 준수 | 폐관로 수거 및 토사 30cm 층다짐(다짐도 ≥ 95%) 원상복구 | 아스콘 가포설 및 평탄성 통제</t>
        </is>
      </c>
      <c r="L25" s="217">
        <f>HYPERLINK(LEFT(CELL("filename",A1),FIND("[",CELL("filename",A1))-1)&amp;"매뉴얼BODY(집행단계-첨부폴더)v8\3.지장물이설\13_이설 위치 토공 굴착\표준서\이설 위치 토공 굴착_표준서.html", "👉 [클릭] 표준서 열기 📄")</f>
        <v/>
      </c>
      <c r="M25" s="163" t="inlineStr">
        <is>
          <t>1) 기존 폐관로 안전 철거/수거 ➔ 2) 토사 30cm 층다짐(다짐도≥95%) ➔ 3) 아스콘 가포설 &amp; 평탄성 검측 ➔ 4) 원상복구 성과표 감리 승인</t>
        </is>
      </c>
      <c r="N25" s="218">
        <f>HYPERLINK(LEFT(CELL("filename",A1),FIND("[",CELL("filename",A1))-1)&amp;"매뉴얼BODY(집행단계-첨부폴더)v8\3.지장물이설\13_이설 위치 토공 굴착\수행지침\수행지침.html", "👉 [클릭] 수행지침 열기 📄")</f>
        <v/>
      </c>
      <c r="O25" s="163" t="inlineStr">
        <is>
          <t>기존 폐관로 안전 철거/수거, 토사 30cm 층다짐(다짐도 ≥ 95%) 원상복구 및 아스콘 가포설</t>
        </is>
      </c>
      <c r="P25" s="219">
        <f>HYPERLINK(LEFT(CELL("filename",A1),FIND("[",CELL("filename",A1))-1)&amp;"매뉴얼BODY(집행단계-첨부폴더)v8\3.지장물이설\13_이설 위치 토공 굴착\체크리스트\이설 위치 토공 굴착_체크리스트.html", "👉 [클릭] 체크리스트 열기 📄")</f>
        <v/>
      </c>
      <c r="Q25" s="163" t="n"/>
      <c r="R25" s="208" t="inlineStr">
        <is>
          <t>도로 복구 공사 표준시방서</t>
        </is>
      </c>
      <c r="S25" s="205" t="inlineStr">
        <is>
          <t>복구 포장 부등침하로 인한 포트홀 리스크 방지</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row>
    <row r="26" ht="52" customHeight="1" s="147">
      <c r="A26" s="199" t="inlineStr">
        <is>
          <t>9000</t>
        </is>
      </c>
      <c r="B26" s="199" t="inlineStr">
        <is>
          <t>9000-3</t>
        </is>
      </c>
      <c r="C26" s="199" t="inlineStr">
        <is>
          <t>지장물이설</t>
        </is>
      </c>
      <c r="D26" s="199" t="inlineStr">
        <is>
          <t>9000-3-25</t>
        </is>
      </c>
      <c r="E26" s="200" t="inlineStr">
        <is>
          <t>9000-3-24</t>
        </is>
      </c>
      <c r="F26" s="200" t="inlineStr">
        <is>
          <t>9000-3-26</t>
        </is>
      </c>
      <c r="G26" s="155" t="inlineStr">
        <is>
          <t>수도법 규정 준수 | 광역상수관(Ø500mm+) 이설 수압 시험 및 수질 검사 합격 | 한국수자원공사 입회 인수 완료</t>
        </is>
      </c>
      <c r="H26" s="200" t="inlineStr">
        <is>
          <t>공사팀 (협의: 한국수자원공사)</t>
        </is>
      </c>
      <c r="I26" s="200" t="inlineStr">
        <is>
          <t>1) 광역상수관(Ø500mm+) 부설 ➔ 2) 수압 시험 &amp; 수질 검사 시행 ➔ 3) 한국수자원공사 현장 입회 ➔ 4) 광역상수관 이설 완료 승인</t>
        </is>
      </c>
      <c r="J26" s="156" t="inlineStr">
        <is>
          <t>광역상수관(Ø500mm+) 부설, 수압 시험 및 수질 검사 합격 (한국수자원공사 1:1 입회 검측)</t>
        </is>
      </c>
      <c r="K26" s="156" t="inlineStr">
        <is>
          <t>수도법 규정 준수 | 광역상수관(Ø500mm+) 이설 수압 시험 및 수질 검사 합격 | 한국수자원공사 입회 인수 완료</t>
        </is>
      </c>
      <c r="L26" s="213">
        <f>HYPERLINK(LEFT(CELL("filename",A1),FIND("[",CELL("filename",A1))-1)&amp;"매뉴얼BODY(집행단계-첨부폴더)v8\3.지장물이설\14_신규관로 매설 및 설치\표준서\신규관로 매설 및 설치_표준서.html", "👉 [클릭] 표준서 열기 📄")</f>
        <v/>
      </c>
      <c r="M26" s="156" t="inlineStr">
        <is>
          <t>1) 광역상수관(Ø500mm+) 부설 ➔ 2) 수압 시험 &amp; 수질 검사 시행 ➔ 3) 한국수자원공사 현장 입회 ➔ 4) 광역상수관 이설 완료 승인</t>
        </is>
      </c>
      <c r="N26" s="214">
        <f>HYPERLINK(LEFT(CELL("filename",A1),FIND("[",CELL("filename",A1))-1)&amp;"매뉴얼BODY(집행단계-첨부폴더)v8\3.지장물이설\14_신규관로 매설 및 설치\수행지침\수행지침.html", "👉 [클릭] 수행지침 열기 📄")</f>
        <v/>
      </c>
      <c r="O26" s="156" t="inlineStr">
        <is>
          <t>광역상수관(Ø500mm+) 부설, 수압 시험 및 수질 검사 합격 (한국수자원공사 1:1 입회 검측)</t>
        </is>
      </c>
      <c r="P26" s="215">
        <f>HYPERLINK(LEFT(CELL("filename",A1),FIND("[",CELL("filename",A1))-1)&amp;"매뉴얼BODY(집행단계-첨부폴더)v8\3.지장물이설\14_신규관로 매설 및 설치\체크리스트\신규관로 매설 및 설치_체크리스트.html", "👉 [클릭] 체크리스트 열기 📄")</f>
        <v/>
      </c>
      <c r="Q26" s="156" t="n"/>
      <c r="R26" s="203" t="inlineStr">
        <is>
          <t>한국수자원공사 광역상수도 설계기준</t>
        </is>
      </c>
      <c r="S26" s="200" t="inlineStr">
        <is>
          <t>광역상수도 파손 시 광역 단수 대형 재난 리스크 관리</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row>
    <row r="27" ht="52" customHeight="1" s="147">
      <c r="A27" s="204" t="inlineStr">
        <is>
          <t>9000</t>
        </is>
      </c>
      <c r="B27" s="204" t="inlineStr">
        <is>
          <t>9000-3</t>
        </is>
      </c>
      <c r="C27" s="204" t="inlineStr">
        <is>
          <t>지장물이설</t>
        </is>
      </c>
      <c r="D27" s="204" t="inlineStr">
        <is>
          <t>9000-3-26</t>
        </is>
      </c>
      <c r="E27" s="205" t="inlineStr">
        <is>
          <t>9000-3-25</t>
        </is>
      </c>
      <c r="F27" s="205" t="inlineStr">
        <is>
          <t>9000-3-27</t>
        </is>
      </c>
      <c r="G27" s="162" t="inlineStr">
        <is>
          <t>지자체 상수도 시방 | 배수관(Ø200~300mm) 이설, 탁수 퇴수 작업 및 잔류염소 시험 | 맑은물사업소 합동 현측 승인</t>
        </is>
      </c>
      <c r="H27" s="205" t="inlineStr">
        <is>
          <t>공사팀 (협의: 맑은물사업소)</t>
        </is>
      </c>
      <c r="I27" s="205" t="inlineStr">
        <is>
          <t>1) 배수관(Ø200~300mm) 이설 부설 ➔ 2) 탁수 퇴수 &amp; 잔류염소 시험 ➔ 3) 맑은물사업소 합동 현측 ➔ 4) 상수도 관로 이설 감리 승인</t>
        </is>
      </c>
      <c r="J27" s="163" t="inlineStr">
        <is>
          <t>배수관(Ø200~300mm) 이설, 탁수 퇴수 작업 및 잔류염소 시험 합격 (맑은물사업소 현측)</t>
        </is>
      </c>
      <c r="K27" s="163" t="inlineStr">
        <is>
          <t>지자체 상수도 시방 | 배수관(Ø200~300mm) 이설, 탁수 퇴수 작업 및 잔류염소 시험 | 맑은물사업소 합동 현측 승인</t>
        </is>
      </c>
      <c r="L27" s="217">
        <f>HYPERLINK(LEFT(CELL("filename",A1),FIND("[",CELL("filename",A1))-1)&amp;"매뉴얼BODY(집행단계-첨부폴더)v8\3.지장물이설\14_위수탁 지장물 이설 설계\표준서\14_위수탁 지장물 이설 설계_표준서.html", "👉 [클릭] 표준서 열기 📄")</f>
        <v/>
      </c>
      <c r="M27" s="163" t="inlineStr">
        <is>
          <t>1) 배수관(Ø200~300mm) 이설 부설 ➔ 2) 탁수 퇴수 &amp; 잔류염소 시험 ➔ 3) 맑은물사업소 합동 현측 ➔ 4) 상수도 관로 이설 감리 승인</t>
        </is>
      </c>
      <c r="N27" s="218">
        <f>HYPERLINK(LEFT(CELL("filename",A1),FIND("[",CELL("filename",A1))-1)&amp;"매뉴얼BODY(집행단계-첨부폴더)v8\3.지장물이설\14_위수탁 지장물 이설 설계\수행지침\수행지침.html", "👉 [클릭] 수행지침 열기 📄")</f>
        <v/>
      </c>
      <c r="O27" s="163" t="inlineStr">
        <is>
          <t>배수관(Ø200~300mm) 이설, 탁수 퇴수 작업 및 잔류염소 시험 합격 (맑은물사업소 현측)</t>
        </is>
      </c>
      <c r="P27" s="219">
        <f>HYPERLINK(LEFT(CELL("filename",A1),FIND("[",CELL("filename",A1))-1)&amp;"매뉴얼BODY(집행단계-첨부폴더)v8\3.지장물이설\14_위수탁 지장물 이설 설계\체크리스트\위수탁 지장물 이설 설계_체크리스트.html", "👉 [클릭] 체크리스트 열기 📄")</f>
        <v/>
      </c>
      <c r="Q27" s="163" t="n"/>
      <c r="R27" s="208" t="inlineStr">
        <is>
          <t>상수도 공사 표준시방서</t>
        </is>
      </c>
      <c r="S27" s="205" t="inlineStr">
        <is>
          <t>상수도 수질 오염 및 단수 시간 초과 리스크 방지</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row>
    <row r="28" ht="52" customHeight="1" s="147">
      <c r="A28" s="199" t="inlineStr">
        <is>
          <t>9000</t>
        </is>
      </c>
      <c r="B28" s="199" t="inlineStr">
        <is>
          <t>9000-3</t>
        </is>
      </c>
      <c r="C28" s="199" t="inlineStr">
        <is>
          <t>지장물이설</t>
        </is>
      </c>
      <c r="D28" s="199" t="inlineStr">
        <is>
          <t>9000-3-27</t>
        </is>
      </c>
      <c r="E28" s="200" t="inlineStr">
        <is>
          <t>9000-3-26</t>
        </is>
      </c>
      <c r="F28" s="200" t="inlineStr">
        <is>
          <t>9000-3-28</t>
        </is>
      </c>
      <c r="G28" s="155" t="inlineStr">
        <is>
          <t>하수도정비 기본계획 | 하수관(Ø400mm+) 연결, CCTV 관로 내부 검사 및 통수 담수 시험 | 하수도사업소 현장 인수</t>
        </is>
      </c>
      <c r="H28" s="200" t="inlineStr">
        <is>
          <t>공사팀 (협의: 맑은물사업소)</t>
        </is>
      </c>
      <c r="I28" s="200" t="inlineStr">
        <is>
          <t>1) 하수관(Ø400mm+) 연결 부설 ➔ 2) CCTV 관로 내부 검사 시행 ➔ 3) 통수 담수 시험 완료 ➔ 4) 하수도 관로 이설 감리 승인</t>
        </is>
      </c>
      <c r="J28" s="156" t="inlineStr">
        <is>
          <t>하수관(Ø400mm+) 연결 부설, CCTV 관로 내부 검사 &amp; 통수 담수 시험 합격 (하수도사업소 인수)</t>
        </is>
      </c>
      <c r="K28" s="156" t="inlineStr">
        <is>
          <t>하수도정비 기본계획 | 하수관(Ø400mm+) 연결, CCTV 관로 내부 검사 및 통수 담수 시험 | 하수도사업소 현장 인수</t>
        </is>
      </c>
      <c r="L28" s="213">
        <f>HYPERLINK(LEFT(CELL("filename",A1),FIND("[",CELL("filename",A1))-1)&amp;"매뉴얼BODY(집행단계-첨부폴더)v8\3.지장물이설\15_무단수 연결을 위한 시설 설치\표준서\무단수 연결을 위한 시설 설치_표준서.html", "👉 [클릭] 표준서 열기 📄")</f>
        <v/>
      </c>
      <c r="M28" s="156" t="inlineStr">
        <is>
          <t>1) 하수관(Ø400mm+) 연결 부설 ➔ 2) CCTV 관로 내부 검사 시행 ➔ 3) 통수 담수 시험 완료 ➔ 4) 하수도 관로 이설 감리 승인</t>
        </is>
      </c>
      <c r="N28" s="214">
        <f>HYPERLINK(LEFT(CELL("filename",A1),FIND("[",CELL("filename",A1))-1)&amp;"매뉴얼BODY(집행단계-첨부폴더)v8\3.지장물이설\15_무단수 연결을 위한 시설 설치\수행지침\무단수 연결을 위한 시설 설치_수행지침.html", "👉 [클릭] 수행지침 열기 📄")</f>
        <v/>
      </c>
      <c r="O28" s="156" t="inlineStr">
        <is>
          <t>하수관(Ø400mm+) 연결 부설, CCTV 관로 내부 검사 &amp; 통수 담수 시험 합격 (하수도사업소 인수)</t>
        </is>
      </c>
      <c r="P28" s="215">
        <f>HYPERLINK(LEFT(CELL("filename",A1),FIND("[",CELL("filename",A1))-1)&amp;"매뉴얼BODY(집행단계-첨부폴더)v8\3.지장물이설\15_무단수 연결을 위한 시설 설치\체크리스트\무단수 연결을 위한 시설 설치_체크리스트.html", "👉 [클릭] 체크리스트 열기 📄")</f>
        <v/>
      </c>
      <c r="Q28" s="156" t="n"/>
      <c r="R28" s="203" t="inlineStr">
        <is>
          <t>하수도 공사 표준시방서</t>
        </is>
      </c>
      <c r="S28" s="200" t="inlineStr">
        <is>
          <t>하수 역류 및 구배 불량으로 인한 관로 침전 리스크 예방</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row>
    <row r="29" ht="52" customHeight="1" s="147">
      <c r="A29" s="204" t="inlineStr">
        <is>
          <t>9000</t>
        </is>
      </c>
      <c r="B29" s="204" t="inlineStr">
        <is>
          <t>9000-3</t>
        </is>
      </c>
      <c r="C29" s="204" t="inlineStr">
        <is>
          <t>지장물이설</t>
        </is>
      </c>
      <c r="D29" s="204" t="inlineStr">
        <is>
          <t>9000-3-28</t>
        </is>
      </c>
      <c r="E29" s="205" t="inlineStr">
        <is>
          <t>9000-3-27</t>
        </is>
      </c>
      <c r="F29" s="205" t="inlineStr">
        <is>
          <t>9000-3-29</t>
        </is>
      </c>
      <c r="G29" s="162" t="inlineStr">
        <is>
          <t>도시가스사업법 규정 | 가스관(중압/아중압) 비파괴검사(RT 100%) 및 기밀 시험 합격 | 도시가스사 1:1 입회 검측</t>
        </is>
      </c>
      <c r="H29" s="205" t="inlineStr">
        <is>
          <t>공사팀 (협의: 한국가스공사, 삼천리)</t>
        </is>
      </c>
      <c r="I29" s="205" t="inlineStr">
        <is>
          <t>1) 도시가스관 매설 &amp; 용접 ➔ 2) 비파괴검사(RT 100%) &amp; 기밀 시험 ➔ 3) 도시가스사 1:1 입회 검측 ➔ 4) 가스관 이설 완료 승인</t>
        </is>
      </c>
      <c r="J29" s="163" t="inlineStr">
        <is>
          <t>도시가스관 매설 &amp; 용접, 비파괴검사(RT 100%) 및 기밀 시험 합격 (도시가스사 1:1 입회)</t>
        </is>
      </c>
      <c r="K29" s="163" t="inlineStr">
        <is>
          <t>도시가스사업법 규정 | 가스관(중압/아중압) 비파괴검사(RT 100%) 및 기밀 시험 합격 | 도시가스사 1:1 입회 검측</t>
        </is>
      </c>
      <c r="L29" s="217">
        <f>HYPERLINK(LEFT(CELL("filename",A1),FIND("[",CELL("filename",A1))-1)&amp;"매뉴얼BODY(집행단계-첨부폴더)v8\3.지장물이설\15_상하수도 이설계획 실정보고\표준서\15_상하수도 이설계획 실정보고_표준서.html", "👉 [클릭] 표준서 열기 📄")</f>
        <v/>
      </c>
      <c r="M29" s="163" t="inlineStr">
        <is>
          <t>1) 도시가스관 매설 &amp; 용접 ➔ 2) 비파괴검사(RT 100%) &amp; 기밀 시험 ➔ 3) 도시가스사 1:1 입회 검측 ➔ 4) 가스관 이설 완료 승인</t>
        </is>
      </c>
      <c r="N29" s="218">
        <f>HYPERLINK(LEFT(CELL("filename",A1),FIND("[",CELL("filename",A1))-1)&amp;"매뉴얼BODY(집행단계-첨부폴더)v8\3.지장물이설\15_상하수도 이설계획 실정보고\수행지침\상하수도 이설계획 실정보고_수행지침.html", "👉 [클릭] 수행지침 열기 📄")</f>
        <v/>
      </c>
      <c r="O29" s="163" t="inlineStr">
        <is>
          <t>도시가스관 매설 &amp; 용접, 비파괴검사(RT 100%) 및 기밀 시험 합격 (도시가스사 1:1 입회)</t>
        </is>
      </c>
      <c r="P29" s="219">
        <f>HYPERLINK(LEFT(CELL("filename",A1),FIND("[",CELL("filename",A1))-1)&amp;"매뉴얼BODY(집행단계-첨부폴더)v8\3.지장물이설\15_상하수도 이설계획 실정보고\체크리스트\상하수도 이설계획 실정보고_체크리스트.html", "👉 [클릭] 체크리스트 열기 📄")</f>
        <v/>
      </c>
      <c r="Q29" s="163" t="n"/>
      <c r="R29" s="208" t="inlineStr">
        <is>
          <t>도시가스사업법 및 KGC 가스안전 기준</t>
        </is>
      </c>
      <c r="S29" s="205" t="inlineStr">
        <is>
          <t>가스 누출 및 폭발 대형 안전사고 리스크 방지</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row>
    <row r="30" ht="52" customHeight="1" s="147">
      <c r="A30" s="199" t="inlineStr">
        <is>
          <t>9000</t>
        </is>
      </c>
      <c r="B30" s="199" t="inlineStr">
        <is>
          <t>9000-3</t>
        </is>
      </c>
      <c r="C30" s="199" t="inlineStr">
        <is>
          <t>지장물이설</t>
        </is>
      </c>
      <c r="D30" s="199" t="inlineStr">
        <is>
          <t>9000-3-29</t>
        </is>
      </c>
      <c r="E30" s="200" t="inlineStr">
        <is>
          <t>9000-3-28</t>
        </is>
      </c>
      <c r="F30" s="200" t="inlineStr">
        <is>
          <t>9000-3-30</t>
        </is>
      </c>
      <c r="G30" s="155" t="inlineStr">
        <is>
          <t>집단에너지사업법 규정 | 난방 수송관 100% 비파괴검사 및 보온재 피복 랩핑 검수 | 지역난방공사 시운전 인수</t>
        </is>
      </c>
      <c r="H30" s="200" t="inlineStr">
        <is>
          <t>공사팀 (협의: 한국지역난방공사)</t>
        </is>
      </c>
      <c r="I30" s="200" t="inlineStr">
        <is>
          <t>1) 난방 수송관 매설 &amp; 용접 ➔ 2) 100% 비파괴검사 &amp; 피복 랩핑 ➔ 3) 지역난방공사 시운전 인수 ➔ 4) 지역난방관 이설 감리 승인</t>
        </is>
      </c>
      <c r="J30" s="156" t="inlineStr">
        <is>
          <t>난방 수송관 매설 &amp; 용접, 100% 비파괴검사 및 피복 랩핑 검수 (지역난방공사 인수)</t>
        </is>
      </c>
      <c r="K30" s="156" t="inlineStr">
        <is>
          <t>집단에너지사업법 규정 | 난방 수송관 100% 비파괴검사 및 보온재 피복 랩핑 검수 | 지역난방공사 시운전 인수</t>
        </is>
      </c>
      <c r="L30" s="213">
        <f>HYPERLINK(LEFT(CELL("filename",A1),FIND("[",CELL("filename",A1))-1)&amp;"매뉴얼BODY(집행단계-첨부폴더)v8\3.지장물이설\16_신규관로 및 연결관로 접속\표준서\신규관로 및 연결관로 접속_표준서.html", "👉 [클릭] 표준서 열기 📄")</f>
        <v/>
      </c>
      <c r="M30" s="156" t="inlineStr">
        <is>
          <t>1) 난방 수송관 매설 &amp; 용접 ➔ 2) 100% 비파괴검사 &amp; 피복 랩핑 ➔ 3) 지역난방공사 시운전 인수 ➔ 4) 지역난방관 이설 감리 승인</t>
        </is>
      </c>
      <c r="N30" s="214">
        <f>HYPERLINK(LEFT(CELL("filename",A1),FIND("[",CELL("filename",A1))-1)&amp;"매뉴얼BODY(집행단계-첨부폴더)v8\3.지장물이설\16_신규관로 및 연결관로 접속\수행지침\수행지침.html", "👉 [클릭] 수행지침 열기 📄")</f>
        <v/>
      </c>
      <c r="O30" s="156" t="inlineStr">
        <is>
          <t>난방 수송관 매설 &amp; 용접, 100% 비파괴검사 및 피복 랩핑 검수 (지역난방공사 인수)</t>
        </is>
      </c>
      <c r="P30" s="215">
        <f>HYPERLINK(LEFT(CELL("filename",A1),FIND("[",CELL("filename",A1))-1)&amp;"매뉴얼BODY(집행단계-첨부폴더)v8\3.지장물이설\16_신규관로 및 연결관로 접속\체크리스트\신규관로 및 연결관로 접속_체크리스트.html", "👉 [클릭] 체크리스트 열기 📄")</f>
        <v/>
      </c>
      <c r="Q30" s="156" t="n"/>
      <c r="R30" s="203" t="inlineStr">
        <is>
          <t>한국지역난방공사 열수송관 기술기준</t>
        </is>
      </c>
      <c r="S30" s="200" t="inlineStr">
        <is>
          <t>열수송관 누수 및 난방 공급 중단 리스크 방지</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row>
    <row r="31" ht="52" customHeight="1" s="147">
      <c r="A31" s="204" t="inlineStr">
        <is>
          <t>9000</t>
        </is>
      </c>
      <c r="B31" s="204" t="inlineStr">
        <is>
          <t>9000-3</t>
        </is>
      </c>
      <c r="C31" s="204" t="inlineStr">
        <is>
          <t>지장물이설</t>
        </is>
      </c>
      <c r="D31" s="204" t="inlineStr">
        <is>
          <t>9000-3-30</t>
        </is>
      </c>
      <c r="E31" s="205" t="inlineStr">
        <is>
          <t>9000-3-29</t>
        </is>
      </c>
      <c r="F31" s="205" t="inlineStr">
        <is>
          <t>9000-3-31</t>
        </is>
      </c>
      <c r="G31" s="162" t="inlineStr">
        <is>
          <t>전기통신사업법 준수 | 통신 광케이블 관로 부설 및 절연 저항/광손실 실측 | KT/SKT 통신사 광신호 시험 승인</t>
        </is>
      </c>
      <c r="H31" s="205" t="inlineStr">
        <is>
          <t>공사팀 (협의: KT, LGU+, SKT)</t>
        </is>
      </c>
      <c r="I31" s="205" t="inlineStr">
        <is>
          <t>1) 통신 광케이블 관로 부설 ➔ 2) 광케이블 포설 &amp; 접속 ➔ 3) 절연저항 &amp; 광손실 시험 ➔ 4) KT/SKT 통신사 광신호 승인</t>
        </is>
      </c>
      <c r="J31" s="163" t="inlineStr">
        <is>
          <t>통신 광케이블 관로 부설, 절연 저항 &amp; 광손실 실측 합격 (KT/SKT 광신호 승인)</t>
        </is>
      </c>
      <c r="K31" s="163" t="inlineStr">
        <is>
          <t>전기통신사업법 준수 | 통신 광케이블 관로 부설 및 절연 저항/광손실 실측 | KT/SKT 통신사 광신호 시험 승인</t>
        </is>
      </c>
      <c r="L31" s="217">
        <f>HYPERLINK(LEFT(CELL("filename",A1),FIND("[",CELL("filename",A1))-1)&amp;"매뉴얼BODY(집행단계-첨부폴더)v8\3.지장물이설\16_위수탁 계약 체결\표준서\16_위수탁 계약 체결_표준서.html", "👉 [클릭] 표준서 열기 📄")</f>
        <v/>
      </c>
      <c r="M31" s="163" t="inlineStr">
        <is>
          <t>1) 통신 광케이블 관로 부설 ➔ 2) 광케이블 포설 &amp; 접속 ➔ 3) 절연저항 &amp; 광손실 시험 ➔ 4) KT/SKT 통신사 광신호 승인</t>
        </is>
      </c>
      <c r="N31" s="218">
        <f>HYPERLINK(LEFT(CELL("filename",A1),FIND("[",CELL("filename",A1))-1)&amp;"매뉴얼BODY(집행단계-첨부폴더)v8\3.지장물이설\16_위수탁 계약 체결\수행지침\수행지침.html", "👉 [클릭] 수행지침 열기 📄")</f>
        <v/>
      </c>
      <c r="O31" s="163" t="inlineStr">
        <is>
          <t>통신 광케이블 관로 부설, 절연 저항 &amp; 광손실 실측 합격 (KT/SKT 광신호 승인)</t>
        </is>
      </c>
      <c r="P31" s="219">
        <f>HYPERLINK(LEFT(CELL("filename",A1),FIND("[",CELL("filename",A1))-1)&amp;"매뉴얼BODY(집행단계-첨부폴더)v8\3.지장물이설\16_위수탁 계약 체결\체크리스트\위수탁 계약 체결_체크리스트.html", "👉 [클릭] 체크리스트 열기 📄")</f>
        <v/>
      </c>
      <c r="Q31" s="163" t="n"/>
      <c r="R31" s="208" t="inlineStr">
        <is>
          <t>정보통신 표준품셈 및 통신관로 공사 기준</t>
        </is>
      </c>
      <c r="S31" s="205" t="inlineStr">
        <is>
          <t>광케이블 절단으로 인한 통신 마비 리스크 방지</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row>
    <row r="32" ht="52" customHeight="1" s="147">
      <c r="A32" s="199" t="inlineStr">
        <is>
          <t>9000</t>
        </is>
      </c>
      <c r="B32" s="199" t="inlineStr">
        <is>
          <t>9000-3</t>
        </is>
      </c>
      <c r="C32" s="199" t="inlineStr">
        <is>
          <t>지장물이설</t>
        </is>
      </c>
      <c r="D32" s="199" t="inlineStr">
        <is>
          <t>9000-3-31</t>
        </is>
      </c>
      <c r="E32" s="200" t="inlineStr">
        <is>
          <t>9000-3-30</t>
        </is>
      </c>
      <c r="F32" s="200" t="inlineStr">
        <is>
          <t>9000-3-32</t>
        </is>
      </c>
      <c r="G32" s="155" t="inlineStr">
        <is>
          <t>전기공사업법 규정 | 22.9kV 특고압 전력 관로/맨홀 부설 및 절연내력 시험 | 한전(KEPCO) 현장 입회 휴전 Cut-over</t>
        </is>
      </c>
      <c r="H32" s="200" t="inlineStr">
        <is>
          <t>공사팀 (협의: 한국전력공사)</t>
        </is>
      </c>
      <c r="I32" s="200" t="inlineStr">
        <is>
          <t>1) 22.9kV 특고압 관로/맨홀 부설 ➔ 2) 전력 케이블 인입 &amp; 내력 시험 ➔ 3) 한전 입회 휴전 Cut-over ➔ 4) 전력관로 이설 완료 승인</t>
        </is>
      </c>
      <c r="J32" s="156" t="inlineStr">
        <is>
          <t>22.9kV 특고압 관로/맨홀 부설, 절연내력 시험 합격 (한전 KEPCO 입회 휴전 Cut-over)</t>
        </is>
      </c>
      <c r="K32" s="156" t="inlineStr">
        <is>
          <t>전기공사업법 규정 | 22.9kV 특고압 전력 관로/맨홀 부설 및 절연내력 시험 | 한전(KEPCO) 현장 입회 휴전 Cut-over</t>
        </is>
      </c>
      <c r="L32" s="213">
        <f>HYPERLINK(LEFT(CELL("filename",A1),FIND("[",CELL("filename",A1))-1)&amp;"매뉴얼BODY(집행단계-첨부폴더)v8\3.지장물이설\17_기존관로 철거 및 원상복구\표준서\기존관로 철거 및 원상복구_표준서.html", "👉 [클릭] 표준서 열기 📄")</f>
        <v/>
      </c>
      <c r="M32" s="156" t="inlineStr">
        <is>
          <t>1) 22.9kV 특고압 관로/맨홀 부설 ➔ 2) 전력 케이블 인입 &amp; 내력 시험 ➔ 3) 한전 입회 휴전 Cut-over ➔ 4) 전력관로 이설 완료 승인</t>
        </is>
      </c>
      <c r="N32" s="214">
        <f>HYPERLINK(LEFT(CELL("filename",A1),FIND("[",CELL("filename",A1))-1)&amp;"매뉴얼BODY(집행단계-첨부폴더)v8\3.지장물이설\17_기존관로 철거 및 원상복구\수행지침\기존관로 철거 및 원상복구_수행지침.html", "👉 [클릭] 수행지침 열기 📄")</f>
        <v/>
      </c>
      <c r="O32" s="156" t="inlineStr">
        <is>
          <t>22.9kV 특고압 관로/맨홀 부설, 절연내력 시험 합격 (한전 KEPCO 입회 휴전 Cut-over)</t>
        </is>
      </c>
      <c r="P32" s="215">
        <f>HYPERLINK(LEFT(CELL("filename",A1),FIND("[",CELL("filename",A1))-1)&amp;"매뉴얼BODY(집행단계-첨부폴더)v8\3.지장물이설\17_기존관로 철거 및 원상복구\체크리스트\기존관로 철거 및 원상복구_체크리스트.html", "👉 [클릭] 체크리스트 열기 📄")</f>
        <v/>
      </c>
      <c r="Q32" s="156" t="n"/>
      <c r="R32" s="203" t="inlineStr">
        <is>
          <t>한국전력공사 지중배전 건설기준</t>
        </is>
      </c>
      <c r="S32" s="200" t="inlineStr">
        <is>
          <t>특고압 케이블 감전 및 아크 단락 사고 리스크 방지</t>
        </is>
      </c>
      <c r="T32" s="220"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row>
    <row r="33" ht="52" customHeight="1" s="147">
      <c r="A33" s="204" t="inlineStr">
        <is>
          <t>9000</t>
        </is>
      </c>
      <c r="B33" s="204" t="inlineStr">
        <is>
          <t>9000-3</t>
        </is>
      </c>
      <c r="C33" s="204" t="inlineStr">
        <is>
          <t>지장물이설</t>
        </is>
      </c>
      <c r="D33" s="204" t="inlineStr">
        <is>
          <t>9000-3-32</t>
        </is>
      </c>
      <c r="E33" s="205" t="inlineStr">
        <is>
          <t>9000-3-31</t>
        </is>
      </c>
      <c r="F33" s="205" t="inlineStr">
        <is>
          <t>9000-3-33</t>
        </is>
      </c>
      <c r="G33" s="162" t="inlineStr">
        <is>
          <t>송유관안전관리법 규정 | 송유관 비파괴 NDT 검사 및 초음파 탐상 시험 100% | 대한송유관공사 안전 인계</t>
        </is>
      </c>
      <c r="H33" s="205" t="inlineStr">
        <is>
          <t>현장 감리원 / 맑은물사업소</t>
        </is>
      </c>
      <c r="I33" s="205" t="inlineStr">
        <is>
          <t>1) 송유관 용접 부설 ➔ 2) NDT 비파괴검사 &amp; 초음파 탐상 ➔ 3) 송유관공사 안전 점검 ➔ 4) 송유관 이설 완료 서면 승인</t>
        </is>
      </c>
      <c r="J33" s="163" t="inlineStr">
        <is>
          <t>송유관 용접 부설, NDT 비파괴검사 및 초음파 탐상 시험 100% 합격 (대한송유관공사 인수)</t>
        </is>
      </c>
      <c r="K33" s="163" t="inlineStr">
        <is>
          <t>송유관안전관리법 규정 | 송유관 비파괴 NDT 검사 및 초음파 탐상 시험 100% | 대한송유관공사 안전 인계</t>
        </is>
      </c>
      <c r="L33" s="217">
        <f>HYPERLINK(LEFT(CELL("filename",A1),FIND("[",CELL("filename",A1))-1)&amp;"매뉴얼BODY(집행단계-첨부폴더)v8\3.지장물이설\17_도로점용_굴착행위 인허가\표준서\17_도로점용_굴착행위 인허가_표준서.html", "👉 [클릭] 표준서 열기 📄")</f>
        <v/>
      </c>
      <c r="M33" s="163" t="inlineStr">
        <is>
          <t>1) 송유관 용접 부설 ➔ 2) NDT 비파괴검사 &amp; 초음파 탐상 ➔ 3) 송유관공사 안전 점검 ➔ 4) 송유관 이설 완료 서면 승인</t>
        </is>
      </c>
      <c r="N33" s="218">
        <f>HYPERLINK(LEFT(CELL("filename",A1),FIND("[",CELL("filename",A1))-1)&amp;"매뉴얼BODY(집행단계-첨부폴더)v8\3.지장물이설\17_도로점용_굴착행위 인허가\수행지침\도로점용_굴착행위 인허가_수행지침.html", "👉 [클릭] 수행지침 열기 📄")</f>
        <v/>
      </c>
      <c r="O33" s="163" t="inlineStr">
        <is>
          <t>송유관 용접 부설, NDT 비파괴검사 및 초음파 탐상 시험 100% 합격 (대한송유관공사 인수)</t>
        </is>
      </c>
      <c r="P33" s="219">
        <f>HYPERLINK(LEFT(CELL("filename",A1),FIND("[",CELL("filename",A1))-1)&amp;"매뉴얼BODY(집행단계-첨부폴더)v8\3.지장물이설\17_도로점용_굴착행위 인허가\체크리스트\도로점용_굴착행위 인허가_체크리스트.html", "👉 [클릭] 체크리스트 열기 📄")</f>
        <v/>
      </c>
      <c r="Q33" s="163" t="n"/>
      <c r="R33" s="208" t="inlineStr">
        <is>
          <t>지방자치단체 시설물 인계인수 규정</t>
        </is>
      </c>
      <c r="S33" s="205" t="inlineStr">
        <is>
          <t>인계 미비로 인한 시설물 인수 거부 리스크 방지</t>
        </is>
      </c>
      <c r="T33" s="220"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row>
    <row r="34" ht="52" customHeight="1" s="147">
      <c r="A34" s="199" t="inlineStr">
        <is>
          <t>9000</t>
        </is>
      </c>
      <c r="B34" s="199" t="inlineStr">
        <is>
          <t>9000-3</t>
        </is>
      </c>
      <c r="C34" s="199" t="inlineStr">
        <is>
          <t>지장물이설</t>
        </is>
      </c>
      <c r="D34" s="199" t="inlineStr">
        <is>
          <t>9000-3-33</t>
        </is>
      </c>
      <c r="E34" s="200" t="inlineStr">
        <is>
          <t>9000-3-32</t>
        </is>
      </c>
      <c r="F34" s="200" t="inlineStr">
        <is>
          <t>9000-3-34</t>
        </is>
      </c>
      <c r="G34" s="155" t="inlineStr">
        <is>
          <t>상하수도 총괄 지침 | 신설 관로 수압·수질·CCTV 검사 종합 대장 작성 | 지자체 3자 합동 최종 현현 점검</t>
        </is>
      </c>
      <c r="H34" s="200" t="inlineStr">
        <is>
          <t>현장 감리원 / 위수탁기관</t>
        </is>
      </c>
      <c r="I34" s="200" t="inlineStr">
        <is>
          <t>1) 신설 관로 종합 현측 ➔ 2) 수압/수질/CCTV 검사 종합 ➔ 3) 지자체 3자 합동 점검 ➔ 4) 상하수도 최종 점검 대장 승인</t>
        </is>
      </c>
      <c r="J34" s="156" t="inlineStr">
        <is>
          <t>신설 관로 종합 현측, 수압/수질/CCTV 검사 종합 대장 작성 및 지자체 3자 합동 점검</t>
        </is>
      </c>
      <c r="K34" s="156" t="inlineStr">
        <is>
          <t>상하수도 총괄 지침 | 신설 관로 수압·수질·CCTV 검사 종합 대장 작성 | 지자체 3자 합동 최종 현현 점검</t>
        </is>
      </c>
      <c r="L34" s="213">
        <f>HYPERLINK(LEFT(CELL("filename",A1),FIND("[",CELL("filename",A1))-1)&amp;"매뉴얼BODY(집행단계-첨부폴더)v8\3.지장물이설\18_광역상수관 이설 공사\표준서\광역상수관 이설 공사_표준서.html", "👉 [클릭] 표준서 열기 📄")</f>
        <v/>
      </c>
      <c r="M34" s="156" t="inlineStr">
        <is>
          <t>1) 신설 관로 종합 현측 ➔ 2) 수압/수질/CCTV 검사 종합 ➔ 3) 지자체 3자 합동 점검 ➔ 4) 상하수도 최종 점검 대장 승인</t>
        </is>
      </c>
      <c r="N34" s="214">
        <f>HYPERLINK(LEFT(CELL("filename",A1),FIND("[",CELL("filename",A1))-1)&amp;"매뉴얼BODY(집행단계-첨부폴더)v8\3.지장물이설\18_광역상수관 이설 공사\수행지침\광역상수관 이설 공사_수행지침.html", "👉 [클릭] 수행지침 열기 📄")</f>
        <v/>
      </c>
      <c r="O34" s="156" t="inlineStr">
        <is>
          <t>신설 관로 종합 현측, 수압/수질/CCTV 검사 종합 대장 작성 및 지자체 3자 합동 점검</t>
        </is>
      </c>
      <c r="P34" s="215">
        <f>HYPERLINK(LEFT(CELL("filename",A1),FIND("[",CELL("filename",A1))-1)&amp;"매뉴얼BODY(집행단계-첨부폴더)v8\3.지장물이설\18_광역상수관 이설 공사\체크리스트\광역상수관 이설 공사_체크리스트.html", "👉 [클릭] 체크리스트 열기 📄")</f>
        <v/>
      </c>
      <c r="Q34" s="156" t="n"/>
      <c r="R34" s="203" t="inlineStr">
        <is>
          <t>위수탁 협약서 및 사후 정산 지침</t>
        </is>
      </c>
      <c r="S34" s="200" t="inlineStr">
        <is>
          <t>정산 금액 이견으로 인한 분담금 미지급 리스크 관리</t>
        </is>
      </c>
      <c r="T34" s="220"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row>
    <row r="35" ht="52" customHeight="1" s="147">
      <c r="A35" s="204" t="inlineStr">
        <is>
          <t>9000</t>
        </is>
      </c>
      <c r="B35" s="204" t="inlineStr">
        <is>
          <t>9000-3</t>
        </is>
      </c>
      <c r="C35" s="204" t="inlineStr">
        <is>
          <t>지장물이설</t>
        </is>
      </c>
      <c r="D35" s="204" t="inlineStr">
        <is>
          <t>9000-3-34</t>
        </is>
      </c>
      <c r="E35" s="205" t="inlineStr">
        <is>
          <t>9000-3-33</t>
        </is>
      </c>
      <c r="F35" s="205" t="inlineStr">
        <is>
          <t>9000-3-35</t>
        </is>
      </c>
      <c r="G35" s="162" t="inlineStr">
        <is>
          <t>위수탁 총괄 지침 | 위탁기관 1:1 현장 최종 인수 검측 및 3D BIM 준공 도면 대조 | 지장물 이설 준공 보고서</t>
        </is>
      </c>
      <c r="H35" s="205" t="inlineStr">
        <is>
          <t>현장 공무팀</t>
        </is>
      </c>
      <c r="I35" s="205" t="inlineStr">
        <is>
          <t>1) 위탁기관 1:1 인수 검측 ➔ 2) 3D BIM 준공 도면 대조 ➔ 3) 이설 완료 현장 서명 ➔ 4) 준공 보고서 감리 서면 승인</t>
        </is>
      </c>
      <c r="J35" s="163" t="inlineStr">
        <is>
          <t>위탁기관 1:1 인수 검측, 3D BIM 준공 도면 대조 및 이설 준공 보고서 감리 서면 승인</t>
        </is>
      </c>
      <c r="K35" s="163" t="inlineStr">
        <is>
          <t>위수탁 총괄 지침 | 위탁기관 1:1 현장 최종 인수 검측 및 3D BIM 준공 도면 대조 | 지장물 이설 준공 보고서</t>
        </is>
      </c>
      <c r="L35" s="217">
        <f>HYPERLINK(LEFT(CELL("filename",A1),FIND("[",CELL("filename",A1))-1)&amp;"매뉴얼BODY(집행단계-첨부폴더)v8\3.지장물이설\18_교통통제 및 교통안전시설 설치\표준서\18_교통통제 및 교통안전시설 설치_표준서.html", "👉 [클릭] 표준서 열기 📄")</f>
        <v/>
      </c>
      <c r="M35" s="163" t="inlineStr">
        <is>
          <t>1) 위탁기관 1:1 인수 검측 ➔ 2) 3D BIM 준공 도면 대조 ➔ 3) 이설 완료 현장 서명 ➔ 4) 준공 보고서 감리 서면 승인</t>
        </is>
      </c>
      <c r="N35" s="218">
        <f>HYPERLINK(LEFT(CELL("filename",A1),FIND("[",CELL("filename",A1))-1)&amp;"매뉴얼BODY(집행단계-첨부폴더)v8\3.지장물이설\18_교통통제 및 교통안전시설 설치\수행지침\교통통제 및 교통안전시설 설치_수행지침.html", "👉 [클릭] 수행지침 열기 📄")</f>
        <v/>
      </c>
      <c r="O35" s="163" t="inlineStr">
        <is>
          <t>위탁기관 1:1 인수 검측, 3D BIM 준공 도면 대조 및 이설 준공 보고서 감리 서면 승인</t>
        </is>
      </c>
      <c r="P35" s="219">
        <f>HYPERLINK(LEFT(CELL("filename",A1),FIND("[",CELL("filename",A1))-1)&amp;"매뉴얼BODY(집행단계-첨부폴더)v8\3.지장물이설\18_교통통제 및 교통안전시설 설치\체크리스트\교통통제 및 교통안전시설 설치_체크리스트.html", "👉 [클릭] 체크리스트 열기 📄")</f>
        <v/>
      </c>
      <c r="Q35" s="163" t="n"/>
      <c r="R35" s="208" t="inlineStr">
        <is>
          <t>기획재정부 계약예규 공사계약일반조건</t>
        </is>
      </c>
      <c r="S35" s="205" t="inlineStr">
        <is>
          <t>설계변경 절차 미비로 인한 금액 삭감 리스크 방지</t>
        </is>
      </c>
      <c r="T35" s="220"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row>
    <row r="36" ht="52" customHeight="1" s="147">
      <c r="A36" s="199" t="inlineStr">
        <is>
          <t>9000</t>
        </is>
      </c>
      <c r="B36" s="199" t="inlineStr">
        <is>
          <t>9000-3</t>
        </is>
      </c>
      <c r="C36" s="199" t="inlineStr">
        <is>
          <t>지장물이설</t>
        </is>
      </c>
      <c r="D36" s="199" t="inlineStr">
        <is>
          <t>9000-3-35</t>
        </is>
      </c>
      <c r="E36" s="200" t="inlineStr">
        <is>
          <t>9000-3-34</t>
        </is>
      </c>
      <c r="F36" s="200" t="inlineStr">
        <is>
          <t>9000-3-36</t>
        </is>
      </c>
      <c r="G36" s="155" t="inlineStr">
        <is>
          <t>지방계약법 정산 수칙 | 실제 실정보고 투입 물량 및 단가 산정 정산서 작성 | 책임감리원 정산 금액 서면 승인</t>
        </is>
      </c>
      <c r="H36" s="200" t="inlineStr">
        <is>
          <t>현장 공무팀 / 발주처</t>
        </is>
      </c>
      <c r="I36" s="200" t="inlineStr">
        <is>
          <t>1) 실정보고 투입 물량 집계 ➔ 2) 정산 단가 산정 서류 작성 ➔ 3) 정산서 감리 기술 검토 ➔ 4) 정산 금액 최종 서면 승인</t>
        </is>
      </c>
      <c r="J36" s="156" t="inlineStr">
        <is>
          <t>실정보고 투입 물량 집계, 정산 단가 산정 서류 작성 및 책임감리원 정산 금액 서면 승인</t>
        </is>
      </c>
      <c r="K36" s="156" t="inlineStr">
        <is>
          <t>지방계약법 정산 수칙 | 실제 실정보고 투입 물량 및 단가 산정 정산서 작성 | 책임감리원 정산 금액 서면 승인</t>
        </is>
      </c>
      <c r="L36" s="213">
        <f>HYPERLINK(LEFT(CELL("filename",A1),FIND("[",CELL("filename",A1))-1)&amp;"매뉴얼BODY(집행단계-첨부폴더)v8\3.지장물이설\19_상수도 관로 이설 공사\표준서\상수도 관로 이설 공사_표준서.html", "👉 [클릭] 표준서 열기 📄")</f>
        <v/>
      </c>
      <c r="M36" s="156" t="inlineStr">
        <is>
          <t>1) 실정보고 투입 물량 집계 ➔ 2) 정산 단가 산정 서류 작성 ➔ 3) 정산서 감리 기술 검토 ➔ 4) 정산 금액 최종 서면 승인</t>
        </is>
      </c>
      <c r="N36" s="214">
        <f>HYPERLINK(LEFT(CELL("filename",A1),FIND("[",CELL("filename",A1))-1)&amp;"매뉴얼BODY(집행단계-첨부폴더)v8\3.지장물이설\19_상수도 관로 이설 공사\수행지침\상수도 관로 이설 공사_수행지침.html", "👉 [클릭] 수행지침 열기 📄")</f>
        <v/>
      </c>
      <c r="O36" s="156" t="inlineStr">
        <is>
          <t>실정보고 투입 물량 집계, 정산 단가 산정 서류 작성 및 책임감리원 정산 금액 서면 승인</t>
        </is>
      </c>
      <c r="P36" s="215">
        <f>HYPERLINK(LEFT(CELL("filename",A1),FIND("[",CELL("filename",A1))-1)&amp;"매뉴얼BODY(집행단계-첨부폴더)v8\3.지장물이설\19_상수도 관로 이설 공사\체크리스트\상수도 관로 이설 공사_체크리스트.html", "👉 [클릭] 체크리스트 열기 📄")</f>
        <v/>
      </c>
      <c r="Q36" s="156" t="n"/>
      <c r="R36" s="203" t="inlineStr">
        <is>
          <t>지방재정법 및 PS 정산 지침</t>
        </is>
      </c>
      <c r="S36" s="200" t="inlineStr">
        <is>
          <t>PS 항목 정산 지연 리스크 방지</t>
        </is>
      </c>
      <c r="T36" s="220"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row>
    <row r="37" ht="52" customHeight="1" s="147">
      <c r="A37" s="204" t="inlineStr">
        <is>
          <t>9000</t>
        </is>
      </c>
      <c r="B37" s="204" t="inlineStr">
        <is>
          <t>9000-3</t>
        </is>
      </c>
      <c r="C37" s="204" t="inlineStr">
        <is>
          <t>지장물이설</t>
        </is>
      </c>
      <c r="D37" s="204" t="inlineStr">
        <is>
          <t>9000-3-36</t>
        </is>
      </c>
      <c r="E37" s="205" t="inlineStr">
        <is>
          <t>9000-3-35</t>
        </is>
      </c>
      <c r="F37" s="205" t="inlineStr">
        <is>
          <t>9000-3-37</t>
        </is>
      </c>
      <c r="G37" s="162" t="inlineStr">
        <is>
          <t>위수탁 정산 규정 | 관할 위탁기관에 최종 정산금 청구서 및 집행 영수증 작성 | 이설 정산금 집행 완료</t>
        </is>
      </c>
      <c r="H37" s="205" t="inlineStr">
        <is>
          <t>현장 공무팀 / 화성시</t>
        </is>
      </c>
      <c r="I37" s="205" t="inlineStr">
        <is>
          <t>1) 위탁기관 정산 청구서 작성 ➔ 2) 증빙 영수증 &amp; 성과표 첨부 ➔ 3) 정산금 지급 수속 ➔ 4) 이설 정산금 집행 완료</t>
        </is>
      </c>
      <c r="J37" s="163" t="inlineStr">
        <is>
          <t>위탁기관 정산 청구서 작성, 증빙 영수증 &amp; 성과표 부착 및 이설 정산금 집행 완료</t>
        </is>
      </c>
      <c r="K37" s="163" t="inlineStr">
        <is>
          <t>위수탁 정산 규정 | 관할 위탁기관에 최종 정산금 청구서 및 집행 영수증 작성 | 이설 정산금 집행 완료</t>
        </is>
      </c>
      <c r="L37" s="217">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163" t="inlineStr">
        <is>
          <t>1) 위탁기관 정산 청구서 작성 ➔ 2) 증빙 영수증 &amp; 성과표 첨부 ➔ 3) 정산금 지급 수속 ➔ 4) 이설 정산금 집행 완료</t>
        </is>
      </c>
      <c r="N37" s="218">
        <f>HYPERLINK(LEFT(CELL("filename",A1),FIND("[",CELL("filename",A1))-1)&amp;"매뉴얼BODY(집행단계-첨부폴더)v8\3.지장물이설\19_줄따기(GPR)를 통한 기존 지장물 매설 확인\수행지침\수행지침.html", "👉 [클릭] 수행지침 열기 📄")</f>
        <v/>
      </c>
      <c r="O37" s="163" t="inlineStr">
        <is>
          <t>위탁기관 정산 청구서 작성, 증빙 영수증 &amp; 성과표 부착 및 이설 정산금 집행 완료</t>
        </is>
      </c>
      <c r="P37" s="219">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Q37" s="163" t="n"/>
      <c r="R37" s="208" t="inlineStr">
        <is>
          <t>국가계약법 및 화성시 도급계약 지침</t>
        </is>
      </c>
      <c r="S37" s="205" t="inlineStr">
        <is>
          <t>최종 계약 변경 지연 리스크 관리</t>
        </is>
      </c>
      <c r="T37" s="220"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row>
    <row r="38" ht="52" customHeight="1" s="147">
      <c r="A38" s="199" t="inlineStr">
        <is>
          <t>9000</t>
        </is>
      </c>
      <c r="B38" s="199" t="inlineStr">
        <is>
          <t>9000-3</t>
        </is>
      </c>
      <c r="C38" s="199" t="inlineStr">
        <is>
          <t>지장물이설</t>
        </is>
      </c>
      <c r="D38" s="199" t="inlineStr">
        <is>
          <t>9000-3-37</t>
        </is>
      </c>
      <c r="E38" s="200" t="inlineStr">
        <is>
          <t>9000-3-36</t>
        </is>
      </c>
      <c r="F38" s="200" t="inlineStr">
        <is>
          <t>9000-3-38</t>
        </is>
      </c>
      <c r="G38" s="155" t="inlineStr">
        <is>
          <t>건진법 설계변경 수칙 | 도급분 및 위수탁분 총사업비 변경 계약 체결 | 발주처 변경 공문 수령 완료</t>
        </is>
      </c>
      <c r="H38" s="200" t="inlineStr">
        <is>
          <t>현장 사업단 / 공무팀</t>
        </is>
      </c>
      <c r="I38" s="200" t="inlineStr">
        <is>
          <t>1) 설계변경 총사업비 산정 ➔ 2) 도급/위수탁 변경 변경 수속 ➔ 3) 발주처 변경 공문 수령 ➔ 4) 설계변경 정산 최종 승인</t>
        </is>
      </c>
      <c r="J38" s="156" t="inlineStr">
        <is>
          <t>설계변경 총사업비 산정, 도급/위수탁 변경 변경 수속 및 발주처 변경 공문 수령</t>
        </is>
      </c>
      <c r="K38" s="156" t="inlineStr">
        <is>
          <t>건진법 설계변경 수칙 | 도급분 및 위수탁분 총사업비 변경 계약 체결 | 발주처 변경 공문 수령 완료</t>
        </is>
      </c>
      <c r="L38" s="213">
        <f>HYPERLINK(LEFT(CELL("filename",A1),FIND("[",CELL("filename",A1))-1)&amp;"매뉴얼BODY(집행단계-첨부폴더)v8\3.지장물이설\20_이설 위치 토공 굴착\표준서\20_이설 위치 토공 굴착_표준서.html", "👉 [클릭] 표준서 열기 📄")</f>
        <v/>
      </c>
      <c r="M38" s="156" t="inlineStr">
        <is>
          <t>1) 설계변경 총사업비 산정 ➔ 2) 도급/위수탁 변경 변경 수속 ➔ 3) 발주처 변경 공문 수령 ➔ 4) 설계변경 정산 최종 승인</t>
        </is>
      </c>
      <c r="N38" s="214">
        <f>HYPERLINK(LEFT(CELL("filename",A1),FIND("[",CELL("filename",A1))-1)&amp;"매뉴얼BODY(집행단계-첨부폴더)v8\3.지장물이설\20_이설 위치 토공 굴착\수행지침\수행지침.html", "👉 [클릭] 수행지침 열기 📄")</f>
        <v/>
      </c>
      <c r="O38" s="156" t="inlineStr">
        <is>
          <t>설계변경 총사업비 산정, 도급/위수탁 변경 변경 수속 및 발주처 변경 공문 수령</t>
        </is>
      </c>
      <c r="P38" s="215">
        <f>HYPERLINK(LEFT(CELL("filename",A1),FIND("[",CELL("filename",A1))-1)&amp;"매뉴얼BODY(집행단계-첨부폴더)v8\3.지장물이설\20_이설 위치 토공 굴착\체크리스트\이설 위치 토공 굴착_체크리스트.html", "👉 [클릭] 체크리스트 열기 📄")</f>
        <v/>
      </c>
      <c r="Q38" s="156" t="n"/>
      <c r="R38" s="203" t="inlineStr">
        <is>
          <t>선후행 공종 인수인계 규정</t>
        </is>
      </c>
      <c r="S38" s="200" t="inlineStr">
        <is>
          <t>선행 인수 미비로 인한 이설 중단 리스크 방지</t>
        </is>
      </c>
      <c r="T38" s="220"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row>
    <row r="39" ht="52" customHeight="1" s="147">
      <c r="A39" s="204" t="inlineStr">
        <is>
          <t>9000</t>
        </is>
      </c>
      <c r="B39" s="204" t="inlineStr">
        <is>
          <t>9000-3</t>
        </is>
      </c>
      <c r="C39" s="204" t="inlineStr">
        <is>
          <t>지장물이설</t>
        </is>
      </c>
      <c r="D39" s="204" t="inlineStr">
        <is>
          <t>9000-3-38</t>
        </is>
      </c>
      <c r="E39" s="205" t="inlineStr">
        <is>
          <t>9000-3-37</t>
        </is>
      </c>
      <c r="F39" s="205" t="inlineStr">
        <is>
          <t>-</t>
        </is>
      </c>
      <c r="G39" s="162" t="inlineStr">
        <is>
          <t>공정 간섭 관리 지침 | 선행 토공 및 측량 기준점 성과 인수 대장 작성 | 3자 인계인수서 서명 완료</t>
        </is>
      </c>
      <c r="H39" s="205" t="inlineStr">
        <is>
          <t>현장 공사팀 / 강화노반팀</t>
        </is>
      </c>
      <c r="I39" s="205" t="inlineStr">
        <is>
          <t>1) 선행 토공 &amp; 측량 성과 인수 ➔ 2) 현장 지장물 인계인수 ➔ 3) 3자 합동 현측 실시 ➔ 4) 인계인수서 3자 서명 완료</t>
        </is>
      </c>
      <c r="J39" s="163" t="inlineStr">
        <is>
          <t>선행 토공 및 측량 성과 인수 대장 작성, 3자 합동 현측 및 인계인수서 서명 완료</t>
        </is>
      </c>
      <c r="K39" s="163" t="inlineStr">
        <is>
          <t>공정 간섭 관리 지침 | 선행 토공 및 측량 기준점 성과 인수 대장 작성 | 3자 인계인수서 서명 완료</t>
        </is>
      </c>
      <c r="L39" s="217">
        <f>HYPERLINK(LEFT(CELL("filename",A1),FIND("[",CELL("filename",A1))-1)&amp;"매뉴얼BODY(집행단계-첨부폴더)v8\3.지장물이설\20_하수도 관로 이설 공사\표준서\하수도 관로 이설 공사_표준서.html", "👉 [클릭] 표준서 열기 📄")</f>
        <v/>
      </c>
      <c r="M39" s="163" t="inlineStr">
        <is>
          <t>1) 선행 토공 &amp; 측량 성과 인수 ➔ 2) 현장 지장물 인계인수 ➔ 3) 3자 합동 현측 실시 ➔ 4) 인계인수서 3자 서명 완료</t>
        </is>
      </c>
      <c r="N39" s="218">
        <f>HYPERLINK(LEFT(CELL("filename",A1),FIND("[",CELL("filename",A1))-1)&amp;"매뉴얼BODY(집행단계-첨부폴더)v8\3.지장물이설\20_하수도 관로 이설 공사\수행지침\수행지침.html", "👉 [클릭] 수행지침 열기 📄")</f>
        <v/>
      </c>
      <c r="O39" s="163" t="inlineStr">
        <is>
          <t>선행 토공 및 측량 성과 인수 대장 작성, 3자 합동 현측 및 인계인수서 서명 완료</t>
        </is>
      </c>
      <c r="P39" s="219">
        <f>HYPERLINK(LEFT(CELL("filename",A1),FIND("[",CELL("filename",A1))-1)&amp;"매뉴얼BODY(집행단계-첨부폴더)v8\3.지장물이설\20_하수도 관로 이설 공사\체크리스트\하수도 관로 이설 공사_체크리스트.html", "👉 [클릭] 체크리스트 열기 📄")</f>
        <v/>
      </c>
      <c r="Q39" s="163" t="n"/>
      <c r="R39" s="208" t="inlineStr">
        <is>
          <t>후행 공종 연계 인계 지침</t>
        </is>
      </c>
      <c r="S39" s="205" t="inlineStr">
        <is>
          <t>후행 궤도 시공 시 신규 이설 관로 재간섭 리스크 방지</t>
        </is>
      </c>
      <c r="T39" s="220"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row>
    <row r="40">
      <c r="A40" s="198" t="n"/>
      <c r="B40" s="198" t="n"/>
      <c r="C40" s="198" t="n"/>
      <c r="D40" s="198" t="n"/>
      <c r="E40" s="198" t="n"/>
      <c r="F40" s="198" t="n"/>
      <c r="G40" s="198" t="n"/>
      <c r="H40" s="198" t="n"/>
      <c r="I40" s="198" t="n"/>
      <c r="J40" s="198" t="n"/>
      <c r="K40" s="198" t="n"/>
      <c r="L40" s="221" t="n"/>
      <c r="M40" s="198" t="n"/>
      <c r="N40" s="221" t="n"/>
      <c r="O40" s="198" t="n"/>
      <c r="P40" s="221"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row>
    <row r="41">
      <c r="A41" s="198" t="n"/>
      <c r="B41" s="198" t="n"/>
      <c r="C41" s="198" t="n"/>
      <c r="D41" s="198" t="n"/>
      <c r="E41" s="198" t="n"/>
      <c r="F41" s="198" t="n"/>
      <c r="G41" s="198" t="n"/>
      <c r="H41" s="198" t="n"/>
      <c r="I41" s="198" t="n"/>
      <c r="J41" s="198" t="n"/>
      <c r="K41" s="198" t="n"/>
      <c r="L41" s="221" t="n"/>
      <c r="M41" s="198" t="n"/>
      <c r="N41" s="221" t="n"/>
      <c r="O41" s="198" t="n"/>
      <c r="P41" s="221"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row>
    <row r="42">
      <c r="A42" s="198" t="n"/>
      <c r="B42" s="198" t="n"/>
      <c r="C42" s="198" t="n"/>
      <c r="D42" s="198" t="n"/>
      <c r="E42" s="198" t="n"/>
      <c r="F42" s="198" t="n"/>
      <c r="G42" s="198" t="n"/>
      <c r="H42" s="198" t="n"/>
      <c r="I42" s="198" t="n"/>
      <c r="J42" s="198" t="n"/>
      <c r="K42" s="198" t="n"/>
      <c r="L42" s="221" t="n"/>
      <c r="M42" s="198" t="n"/>
      <c r="N42" s="221" t="n"/>
      <c r="O42" s="198" t="n"/>
      <c r="P42" s="221"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row>
    <row r="43">
      <c r="A43" s="198" t="n"/>
      <c r="B43" s="198" t="n"/>
      <c r="C43" s="198" t="n"/>
      <c r="D43" s="198" t="n"/>
      <c r="E43" s="198" t="n"/>
      <c r="F43" s="198" t="n"/>
      <c r="G43" s="222" t="n"/>
      <c r="H43" s="198" t="n"/>
      <c r="I43" s="198" t="n"/>
      <c r="J43" s="198" t="n"/>
      <c r="K43" s="198" t="n"/>
      <c r="L43" s="221" t="n"/>
      <c r="M43" s="198" t="n"/>
      <c r="N43" s="221" t="n"/>
      <c r="O43" s="198" t="n"/>
      <c r="P43" s="221"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row>
    <row r="44">
      <c r="A44" s="198" t="n"/>
      <c r="B44" s="198" t="n"/>
      <c r="C44" s="198" t="n"/>
      <c r="D44" s="198" t="n"/>
      <c r="E44" s="198" t="n"/>
      <c r="F44" s="198" t="n"/>
      <c r="G44" s="222" t="n"/>
      <c r="H44" s="198" t="n"/>
      <c r="I44" s="198" t="n"/>
      <c r="J44" s="198" t="n"/>
      <c r="K44" s="198" t="n"/>
      <c r="L44" s="221" t="n"/>
      <c r="M44" s="198" t="n"/>
      <c r="N44" s="221" t="n"/>
      <c r="O44" s="198" t="n"/>
      <c r="P44" s="221"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row>
    <row r="45" ht="22.8" customHeight="1" s="147">
      <c r="A45" s="198" t="n"/>
      <c r="B45" s="198" t="n"/>
      <c r="C45" s="198" t="n"/>
      <c r="D45" s="198" t="n"/>
      <c r="E45" s="198" t="n"/>
      <c r="F45" s="198" t="n"/>
      <c r="G45" s="223" t="n"/>
      <c r="H45" s="198" t="n"/>
      <c r="I45" s="198" t="n"/>
      <c r="J45" s="198" t="n"/>
      <c r="K45" s="198" t="n"/>
      <c r="L45" s="221" t="n"/>
      <c r="M45" s="198" t="n"/>
      <c r="N45" s="221" t="n"/>
      <c r="O45" s="198" t="n"/>
      <c r="P45" s="221"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row>
    <row r="46">
      <c r="A46" s="198" t="n"/>
      <c r="B46" s="198" t="n"/>
      <c r="C46" s="198" t="n"/>
      <c r="D46" s="198" t="n"/>
      <c r="E46" s="198" t="n"/>
      <c r="F46" s="198" t="n"/>
      <c r="G46" s="222" t="n"/>
      <c r="H46" s="198" t="n"/>
      <c r="I46" s="198" t="n"/>
      <c r="J46" s="198" t="n"/>
      <c r="K46" s="198" t="n"/>
      <c r="L46" s="221" t="n"/>
      <c r="M46" s="198" t="n"/>
      <c r="N46" s="221" t="n"/>
      <c r="O46" s="198" t="n"/>
      <c r="P46" s="221"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row>
    <row r="47">
      <c r="A47" s="198" t="n"/>
      <c r="B47" s="198" t="n"/>
      <c r="C47" s="198" t="n"/>
      <c r="D47" s="198" t="n"/>
      <c r="E47" s="198" t="n"/>
      <c r="F47" s="198" t="n"/>
      <c r="G47" s="224" t="n"/>
      <c r="H47" s="198" t="n"/>
      <c r="I47" s="198" t="n"/>
      <c r="J47" s="198" t="n"/>
      <c r="K47" s="198" t="n"/>
      <c r="L47" s="221" t="n"/>
      <c r="M47" s="198" t="n"/>
      <c r="N47" s="221" t="n"/>
      <c r="O47" s="198" t="n"/>
      <c r="P47" s="221"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row>
    <row r="48">
      <c r="A48" s="198" t="n"/>
      <c r="B48" s="198" t="n"/>
      <c r="C48" s="198" t="n"/>
      <c r="D48" s="198" t="n"/>
      <c r="E48" s="198" t="n"/>
      <c r="F48" s="198" t="n"/>
      <c r="G48" s="224" t="n"/>
      <c r="H48" s="198" t="n"/>
      <c r="I48" s="198" t="n"/>
      <c r="J48" s="198" t="n"/>
      <c r="K48" s="198" t="n"/>
      <c r="L48" s="221" t="n"/>
      <c r="M48" s="198" t="n"/>
      <c r="N48" s="221" t="n"/>
      <c r="O48" s="198" t="n"/>
      <c r="P48" s="221"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row>
    <row r="49" ht="22.8" customHeight="1" s="147">
      <c r="A49" s="198" t="n"/>
      <c r="B49" s="198" t="n"/>
      <c r="C49" s="198" t="n"/>
      <c r="D49" s="198" t="n"/>
      <c r="E49" s="198" t="n"/>
      <c r="F49" s="198" t="n"/>
      <c r="G49" s="223" t="n"/>
      <c r="H49" s="198" t="n"/>
      <c r="I49" s="198" t="n"/>
      <c r="J49" s="198" t="n"/>
      <c r="K49" s="198" t="n"/>
      <c r="L49" s="221" t="n"/>
      <c r="M49" s="198" t="n"/>
      <c r="N49" s="221" t="n"/>
      <c r="O49" s="198" t="n"/>
      <c r="P49" s="221"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row>
    <row r="50">
      <c r="A50" s="198" t="n"/>
      <c r="B50" s="198" t="n"/>
      <c r="C50" s="198" t="n"/>
      <c r="D50" s="198" t="n"/>
      <c r="E50" s="198" t="n"/>
      <c r="F50" s="198" t="n"/>
      <c r="G50" s="222" t="n"/>
      <c r="H50" s="198" t="n"/>
      <c r="I50" s="198" t="n"/>
      <c r="J50" s="198" t="n"/>
      <c r="K50" s="198" t="n"/>
      <c r="L50" s="221" t="n"/>
      <c r="M50" s="198" t="n"/>
      <c r="N50" s="221" t="n"/>
      <c r="O50" s="198" t="n"/>
      <c r="P50" s="221"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row>
    <row r="51">
      <c r="A51" s="198" t="n"/>
      <c r="B51" s="198" t="n"/>
      <c r="C51" s="198" t="n"/>
      <c r="D51" s="198" t="n"/>
      <c r="E51" s="198" t="n"/>
      <c r="F51" s="198" t="n"/>
      <c r="G51" s="224" t="n"/>
      <c r="H51" s="198" t="n"/>
      <c r="I51" s="198" t="n"/>
      <c r="J51" s="198" t="n"/>
      <c r="K51" s="198" t="n"/>
      <c r="L51" s="221" t="n"/>
      <c r="M51" s="198" t="n"/>
      <c r="N51" s="221" t="n"/>
      <c r="O51" s="198" t="n"/>
      <c r="P51" s="221"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row>
    <row r="52">
      <c r="A52" s="198" t="n"/>
      <c r="B52" s="198" t="n"/>
      <c r="C52" s="198" t="n"/>
      <c r="D52" s="198" t="n"/>
      <c r="E52" s="198" t="n"/>
      <c r="F52" s="198" t="n"/>
      <c r="G52" s="224" t="n"/>
      <c r="H52" s="198" t="n"/>
      <c r="I52" s="198" t="n"/>
      <c r="J52" s="198" t="n"/>
      <c r="K52" s="198" t="n"/>
      <c r="L52" s="221" t="n"/>
      <c r="M52" s="198" t="n"/>
      <c r="N52" s="221" t="n"/>
      <c r="O52" s="198" t="n"/>
      <c r="P52" s="221"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row>
    <row r="53" ht="22.8" customHeight="1" s="147">
      <c r="A53" s="198" t="n"/>
      <c r="B53" s="198" t="n"/>
      <c r="C53" s="198" t="n"/>
      <c r="D53" s="198" t="n"/>
      <c r="E53" s="198" t="n"/>
      <c r="F53" s="198" t="n"/>
      <c r="G53" s="223" t="n"/>
      <c r="H53" s="198" t="n"/>
      <c r="I53" s="198" t="n"/>
      <c r="J53" s="198" t="n"/>
      <c r="K53" s="198" t="n"/>
      <c r="L53" s="221" t="n"/>
      <c r="M53" s="198" t="n"/>
      <c r="N53" s="221" t="n"/>
      <c r="O53" s="198" t="n"/>
      <c r="P53" s="221"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row>
    <row r="54">
      <c r="A54" s="198" t="n"/>
      <c r="B54" s="198" t="n"/>
      <c r="C54" s="198" t="n"/>
      <c r="D54" s="198" t="n"/>
      <c r="E54" s="198" t="n"/>
      <c r="F54" s="198" t="n"/>
      <c r="G54" s="222" t="n"/>
      <c r="H54" s="198" t="n"/>
      <c r="I54" s="198" t="n"/>
      <c r="J54" s="198" t="n"/>
      <c r="K54" s="198" t="n"/>
      <c r="L54" s="221" t="n"/>
      <c r="M54" s="198" t="n"/>
      <c r="N54" s="221" t="n"/>
      <c r="O54" s="198" t="n"/>
      <c r="P54" s="221"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row>
    <row r="55">
      <c r="A55" s="198" t="n"/>
      <c r="B55" s="198" t="n"/>
      <c r="C55" s="198" t="n"/>
      <c r="D55" s="198" t="n"/>
      <c r="E55" s="198" t="n"/>
      <c r="F55" s="198" t="n"/>
      <c r="G55" s="224" t="n"/>
      <c r="H55" s="198" t="n"/>
      <c r="I55" s="198" t="n"/>
      <c r="J55" s="198" t="n"/>
      <c r="K55" s="198" t="n"/>
      <c r="L55" s="221" t="n"/>
      <c r="M55" s="198" t="n"/>
      <c r="N55" s="221" t="n"/>
      <c r="O55" s="198" t="n"/>
      <c r="P55" s="221"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row>
    <row r="56">
      <c r="A56" s="198" t="n"/>
      <c r="B56" s="198" t="n"/>
      <c r="C56" s="198" t="n"/>
      <c r="D56" s="198" t="n"/>
      <c r="E56" s="198" t="n"/>
      <c r="F56" s="198" t="n"/>
      <c r="G56" s="224" t="n"/>
      <c r="H56" s="198" t="n"/>
      <c r="I56" s="198" t="n"/>
      <c r="J56" s="198" t="n"/>
      <c r="K56" s="198" t="n"/>
      <c r="L56" s="221" t="n"/>
      <c r="M56" s="198" t="n"/>
      <c r="N56" s="221" t="n"/>
      <c r="O56" s="198" t="n"/>
      <c r="P56" s="221"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row>
    <row r="57" ht="22.8" customHeight="1" s="147">
      <c r="A57" s="198" t="n"/>
      <c r="B57" s="198" t="n"/>
      <c r="C57" s="198" t="n"/>
      <c r="D57" s="198" t="n"/>
      <c r="E57" s="198" t="n"/>
      <c r="F57" s="198" t="n"/>
      <c r="G57" s="223" t="n"/>
      <c r="H57" s="198" t="n"/>
      <c r="I57" s="198" t="n"/>
      <c r="J57" s="198" t="n"/>
      <c r="K57" s="198" t="n"/>
      <c r="L57" s="221" t="n"/>
      <c r="M57" s="198" t="n"/>
      <c r="N57" s="221" t="n"/>
      <c r="O57" s="198" t="n"/>
      <c r="P57" s="221"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row>
    <row r="58">
      <c r="A58" s="198" t="n"/>
      <c r="B58" s="198" t="n"/>
      <c r="C58" s="198" t="n"/>
      <c r="D58" s="198" t="n"/>
      <c r="E58" s="198" t="n"/>
      <c r="F58" s="198" t="n"/>
      <c r="G58" s="222" t="n"/>
      <c r="H58" s="198" t="n"/>
      <c r="I58" s="198" t="n"/>
      <c r="J58" s="198" t="n"/>
      <c r="K58" s="198" t="n"/>
      <c r="L58" s="221" t="n"/>
      <c r="M58" s="198" t="n"/>
      <c r="N58" s="221" t="n"/>
      <c r="O58" s="198" t="n"/>
      <c r="P58" s="221"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row>
    <row r="59">
      <c r="A59" s="198" t="n"/>
      <c r="B59" s="198" t="n"/>
      <c r="C59" s="198" t="n"/>
      <c r="D59" s="198" t="n"/>
      <c r="E59" s="198" t="n"/>
      <c r="F59" s="198" t="n"/>
      <c r="G59" s="224" t="n"/>
      <c r="H59" s="198" t="n"/>
      <c r="I59" s="198" t="n"/>
      <c r="J59" s="198" t="n"/>
      <c r="K59" s="198" t="n"/>
      <c r="L59" s="221" t="n"/>
      <c r="M59" s="198" t="n"/>
      <c r="N59" s="221" t="n"/>
      <c r="O59" s="198" t="n"/>
      <c r="P59" s="221"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row>
    <row r="60">
      <c r="A60" s="198" t="n"/>
      <c r="B60" s="198" t="n"/>
      <c r="C60" s="198" t="n"/>
      <c r="D60" s="198" t="n"/>
      <c r="E60" s="198" t="n"/>
      <c r="F60" s="198" t="n"/>
      <c r="G60" s="224" t="n"/>
      <c r="H60" s="198" t="n"/>
      <c r="I60" s="198" t="n"/>
      <c r="J60" s="198" t="n"/>
      <c r="K60" s="198" t="n"/>
      <c r="L60" s="221" t="n"/>
      <c r="M60" s="198" t="n"/>
      <c r="N60" s="221" t="n"/>
      <c r="O60" s="198" t="n"/>
      <c r="P60" s="221"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row>
    <row r="61">
      <c r="A61" s="198" t="n"/>
      <c r="B61" s="198" t="n"/>
      <c r="C61" s="198" t="n"/>
      <c r="D61" s="198" t="n"/>
      <c r="E61" s="198" t="n"/>
      <c r="F61" s="198" t="n"/>
      <c r="G61" s="224" t="n"/>
      <c r="H61" s="198" t="n"/>
      <c r="I61" s="198" t="n"/>
      <c r="J61" s="198" t="n"/>
      <c r="K61" s="198" t="n"/>
      <c r="L61" s="221" t="n"/>
      <c r="M61" s="198" t="n"/>
      <c r="N61" s="221" t="n"/>
      <c r="O61" s="198" t="n"/>
      <c r="P61" s="221"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row>
    <row r="62">
      <c r="A62" s="198" t="n"/>
      <c r="B62" s="198" t="n"/>
      <c r="C62" s="198" t="n"/>
      <c r="D62" s="198" t="n"/>
      <c r="E62" s="198" t="n"/>
      <c r="F62" s="198" t="n"/>
      <c r="G62" s="225" t="n"/>
      <c r="H62" s="198" t="n"/>
      <c r="I62" s="198" t="n"/>
      <c r="J62" s="198" t="n"/>
      <c r="K62" s="198" t="n"/>
      <c r="L62" s="221" t="n"/>
      <c r="M62" s="198" t="n"/>
      <c r="N62" s="221" t="n"/>
      <c r="O62" s="198" t="n"/>
      <c r="P62" s="221"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c r="V66" s="198" t="n"/>
      <c r="W66" s="198" t="n"/>
      <c r="X66" s="198" t="n"/>
      <c r="Y66" s="198" t="n"/>
      <c r="Z66" s="198" t="n"/>
      <c r="AA66" s="198" t="n"/>
      <c r="AB66" s="198" t="n"/>
      <c r="AC66" s="198" t="n"/>
      <c r="AD66" s="198" t="n"/>
      <c r="AE66" s="198" t="n"/>
      <c r="AF66" s="198" t="n"/>
      <c r="AG66" s="198" t="n"/>
      <c r="AH66" s="198" t="n"/>
      <c r="AI66" s="198" t="n"/>
      <c r="AJ66" s="198" t="n"/>
      <c r="AK66" s="198" t="n"/>
      <c r="AL66" s="198" t="n"/>
      <c r="AM66" s="198" t="n"/>
      <c r="AN66" s="198" t="n"/>
      <c r="AO66" s="198" t="n"/>
      <c r="AP66" s="198" t="n"/>
      <c r="AQ66" s="198" t="n"/>
      <c r="AR66" s="198" t="n"/>
      <c r="AS66" s="198" t="n"/>
      <c r="AT66" s="198" t="n"/>
      <c r="AU66" s="198" t="n"/>
      <c r="AV66" s="198" t="n"/>
      <c r="AW66" s="198" t="n"/>
      <c r="AX66" s="198" t="n"/>
      <c r="AY66" s="198" t="n"/>
      <c r="AZ66" s="198" t="n"/>
      <c r="BA66" s="198" t="n"/>
      <c r="BB66" s="198" t="n"/>
      <c r="BC66" s="198" t="n"/>
      <c r="BD66" s="198" t="n"/>
      <c r="BE66" s="198" t="n"/>
      <c r="BF66" s="198" t="n"/>
      <c r="BG66" s="198" t="n"/>
      <c r="BH66" s="198" t="n"/>
      <c r="BI66" s="198" t="n"/>
      <c r="BJ66" s="198" t="n"/>
      <c r="BK66" s="198" t="n"/>
      <c r="BL66" s="198" t="n"/>
      <c r="BM66" s="198" t="n"/>
      <c r="BN66" s="198" t="n"/>
      <c r="BO66" s="198" t="n"/>
      <c r="BP66" s="198" t="n"/>
      <c r="BQ66" s="198" t="n"/>
      <c r="BR66" s="198" t="n"/>
      <c r="BS66" s="198" t="n"/>
      <c r="BT66" s="198" t="n"/>
      <c r="BU66" s="198" t="n"/>
      <c r="BV66" s="198" t="n"/>
      <c r="BW66" s="198" t="n"/>
      <c r="BX66" s="198" t="n"/>
      <c r="BY66" s="198" t="n"/>
      <c r="BZ66" s="198" t="n"/>
      <c r="CA66" s="198" t="n"/>
      <c r="CB66" s="198" t="n"/>
      <c r="CC66" s="198" t="n"/>
      <c r="CD66" s="198" t="n"/>
      <c r="CE66" s="198" t="n"/>
      <c r="CF66" s="198" t="n"/>
      <c r="CG66" s="198" t="n"/>
      <c r="CH66" s="198" t="n"/>
      <c r="CI66" s="198" t="n"/>
      <c r="CJ66" s="198" t="n"/>
      <c r="CK66" s="198" t="n"/>
      <c r="CL66" s="198" t="n"/>
      <c r="CM66" s="198" t="n"/>
      <c r="CN66" s="198" t="n"/>
      <c r="CO66" s="198" t="n"/>
      <c r="CP66" s="198" t="n"/>
      <c r="CQ66" s="198" t="n"/>
      <c r="CR66" s="198" t="n"/>
      <c r="CS66" s="198" t="n"/>
      <c r="CT66" s="198" t="n"/>
      <c r="CU66" s="198" t="n"/>
      <c r="CV66" s="198" t="n"/>
      <c r="CW66" s="198" t="n"/>
      <c r="CX66" s="198" t="n"/>
      <c r="CY66" s="198" t="n"/>
      <c r="CZ66" s="198" t="n"/>
      <c r="DA66" s="198" t="n"/>
      <c r="DB66" s="198" t="n"/>
      <c r="DC66" s="198" t="n"/>
      <c r="DD66" s="198" t="n"/>
      <c r="DE66" s="198" t="n"/>
      <c r="DF66" s="198" t="n"/>
      <c r="DG66" s="198" t="n"/>
      <c r="DH66" s="198" t="n"/>
      <c r="DI66" s="198" t="n"/>
      <c r="DJ66" s="198" t="n"/>
      <c r="DK66" s="198" t="n"/>
      <c r="DL66" s="198" t="n"/>
      <c r="DM66" s="198" t="n"/>
      <c r="DN66" s="198" t="n"/>
      <c r="DO66" s="198" t="n"/>
      <c r="DP66" s="198" t="n"/>
      <c r="DQ66" s="198" t="n"/>
      <c r="DR66" s="198" t="n"/>
      <c r="DS66" s="198" t="n"/>
      <c r="DT66" s="198" t="n"/>
      <c r="DU66" s="198" t="n"/>
      <c r="DV66" s="198" t="n"/>
      <c r="DW66" s="198" t="n"/>
      <c r="DX66" s="198" t="n"/>
      <c r="DY66" s="198" t="n"/>
      <c r="DZ66" s="198" t="n"/>
      <c r="EA66" s="198" t="n"/>
      <c r="EB66" s="198" t="n"/>
      <c r="EC66" s="198" t="n"/>
      <c r="ED66" s="198" t="n"/>
      <c r="EE66" s="198" t="n"/>
      <c r="EF66" s="198" t="n"/>
      <c r="EG66" s="198" t="n"/>
      <c r="EH66" s="198" t="n"/>
      <c r="EI66" s="198" t="n"/>
      <c r="EJ66" s="198" t="n"/>
      <c r="EK66" s="198" t="n"/>
      <c r="EL66" s="198" t="n"/>
      <c r="EM66" s="198" t="n"/>
      <c r="EN66" s="198" t="n"/>
      <c r="EO66" s="198" t="n"/>
      <c r="EP66" s="198" t="n"/>
      <c r="EQ66" s="198" t="n"/>
      <c r="ER66" s="198" t="n"/>
      <c r="ES66" s="198" t="n"/>
      <c r="ET66" s="198" t="n"/>
      <c r="EU66" s="198" t="n"/>
      <c r="EV66" s="198" t="n"/>
      <c r="EW66" s="198" t="n"/>
      <c r="EX66" s="198" t="n"/>
      <c r="EY66" s="198" t="n"/>
      <c r="EZ66" s="198" t="n"/>
      <c r="FA66" s="198" t="n"/>
      <c r="FB66" s="198" t="n"/>
      <c r="FC66" s="198" t="n"/>
      <c r="FD66" s="198" t="n"/>
      <c r="FE66" s="198" t="n"/>
      <c r="FF66" s="198" t="n"/>
      <c r="FG66" s="198" t="n"/>
      <c r="FH66" s="198" t="n"/>
      <c r="FI66" s="198" t="n"/>
      <c r="FJ66" s="198" t="n"/>
      <c r="FK66" s="198" t="n"/>
      <c r="FL66" s="198" t="n"/>
      <c r="FM66" s="198" t="n"/>
      <c r="FN66" s="198" t="n"/>
      <c r="FO66" s="198" t="n"/>
      <c r="FP66" s="198" t="n"/>
      <c r="FQ66" s="198" t="n"/>
      <c r="FR66" s="198" t="n"/>
      <c r="FS66" s="198" t="n"/>
      <c r="FT66" s="198" t="n"/>
      <c r="FU66" s="198" t="n"/>
      <c r="FV66" s="198" t="n"/>
      <c r="FW66" s="198" t="n"/>
      <c r="FX66" s="198" t="n"/>
      <c r="FY66" s="198" t="n"/>
      <c r="FZ66" s="198" t="n"/>
      <c r="GA66" s="198" t="n"/>
      <c r="GB66" s="198" t="n"/>
      <c r="GC66" s="198" t="n"/>
      <c r="GD66" s="198" t="n"/>
      <c r="GE66" s="198" t="n"/>
      <c r="GF66" s="198" t="n"/>
      <c r="GG66" s="198" t="n"/>
      <c r="GH66" s="198" t="n"/>
      <c r="GI66" s="198" t="n"/>
      <c r="GJ66" s="198" t="n"/>
      <c r="GK66" s="198" t="n"/>
      <c r="GL66" s="198" t="n"/>
      <c r="GM66" s="198" t="n"/>
      <c r="GN66" s="198" t="n"/>
      <c r="GO66" s="198" t="n"/>
      <c r="GP66" s="198" t="n"/>
      <c r="GQ66" s="198" t="n"/>
      <c r="GR66" s="198" t="n"/>
      <c r="GS66" s="198" t="n"/>
      <c r="GT66" s="198" t="n"/>
      <c r="GU66" s="198" t="n"/>
      <c r="GV66" s="198" t="n"/>
      <c r="GW66" s="198" t="n"/>
      <c r="GX66" s="198" t="n"/>
      <c r="GY66" s="198" t="n"/>
      <c r="GZ66" s="198" t="n"/>
      <c r="HA66" s="198" t="n"/>
      <c r="HB66" s="198" t="n"/>
      <c r="HC66" s="198" t="n"/>
      <c r="HD66" s="198" t="n"/>
      <c r="HE66" s="198" t="n"/>
      <c r="HF66" s="198" t="n"/>
      <c r="HG66" s="198" t="n"/>
      <c r="HH66" s="198" t="n"/>
      <c r="HI66" s="198" t="n"/>
      <c r="HJ66" s="198" t="n"/>
      <c r="HK66" s="198" t="n"/>
      <c r="HL66" s="198" t="n"/>
      <c r="HM66" s="198" t="n"/>
      <c r="HN66" s="198" t="n"/>
      <c r="HO66" s="198" t="n"/>
      <c r="HP66" s="198" t="n"/>
      <c r="HQ66" s="198" t="n"/>
      <c r="HR66" s="198" t="n"/>
      <c r="HS66" s="198" t="n"/>
      <c r="HT66" s="198" t="n"/>
      <c r="HU66" s="198" t="n"/>
      <c r="HV66" s="198" t="n"/>
      <c r="HW66" s="198" t="n"/>
      <c r="HX66" s="198" t="n"/>
      <c r="HY66" s="198" t="n"/>
      <c r="HZ66" s="198" t="n"/>
      <c r="IA66" s="198" t="n"/>
      <c r="IB66" s="198" t="n"/>
      <c r="IC66" s="198" t="n"/>
      <c r="ID66" s="198" t="n"/>
      <c r="IE66" s="198" t="n"/>
      <c r="IF66" s="198" t="n"/>
      <c r="IG66" s="198" t="n"/>
      <c r="IH66" s="198" t="n"/>
      <c r="II66" s="198" t="n"/>
      <c r="IJ66" s="198" t="n"/>
      <c r="IK66" s="198" t="n"/>
      <c r="IL66" s="198" t="n"/>
      <c r="IM66" s="198" t="n"/>
      <c r="IN66" s="198" t="n"/>
      <c r="IO66" s="198" t="n"/>
      <c r="IP66" s="198" t="n"/>
      <c r="IQ66" s="198" t="n"/>
      <c r="IR66" s="198" t="n"/>
      <c r="IS66" s="198" t="n"/>
      <c r="IT66" s="198" t="n"/>
      <c r="IU66" s="198" t="n"/>
      <c r="IV66" s="198" t="n"/>
      <c r="IW66" s="198" t="n"/>
      <c r="IX66" s="198" t="n"/>
      <c r="IY66" s="198" t="n"/>
      <c r="IZ66" s="198" t="n"/>
      <c r="JA66" s="198" t="n"/>
      <c r="JB66" s="198" t="n"/>
      <c r="JC66" s="198" t="n"/>
      <c r="JD66" s="198" t="n"/>
      <c r="JE66" s="198" t="n"/>
      <c r="JF66" s="198" t="n"/>
      <c r="JG66" s="198" t="n"/>
      <c r="JH66" s="198" t="n"/>
      <c r="JI66" s="198" t="n"/>
      <c r="JJ66" s="198" t="n"/>
      <c r="JK66" s="198" t="n"/>
      <c r="JL66" s="198" t="n"/>
      <c r="JM66" s="198" t="n"/>
      <c r="JN66" s="198" t="n"/>
      <c r="JO66" s="198" t="n"/>
      <c r="JP66" s="198" t="n"/>
      <c r="JQ66" s="198" t="n"/>
      <c r="JR66" s="198" t="n"/>
      <c r="JS66" s="198" t="n"/>
      <c r="JT66" s="198" t="n"/>
      <c r="JU66" s="198" t="n"/>
      <c r="JV66" s="198" t="n"/>
      <c r="JW66" s="198" t="n"/>
      <c r="JX66" s="198" t="n"/>
      <c r="JY66" s="198" t="n"/>
      <c r="JZ66" s="198" t="n"/>
      <c r="KA66" s="198" t="n"/>
      <c r="KB66" s="198" t="n"/>
      <c r="KC66" s="198" t="n"/>
      <c r="KD66" s="198" t="n"/>
      <c r="KE66" s="198" t="n"/>
      <c r="KF66" s="198" t="n"/>
      <c r="KG66" s="198" t="n"/>
      <c r="KH66" s="198" t="n"/>
      <c r="KI66" s="198" t="n"/>
      <c r="KJ66" s="198" t="n"/>
      <c r="KK66" s="198" t="n"/>
      <c r="KL66" s="198" t="n"/>
      <c r="KM66" s="198" t="n"/>
      <c r="KN66" s="198" t="n"/>
      <c r="KO66" s="198" t="n"/>
      <c r="KP66" s="198" t="n"/>
      <c r="KQ66" s="198" t="n"/>
      <c r="KR66" s="198" t="n"/>
      <c r="KS66" s="198" t="n"/>
      <c r="KT66" s="198" t="n"/>
      <c r="KU66" s="198" t="n"/>
      <c r="KV66" s="198" t="n"/>
      <c r="KW66" s="198" t="n"/>
      <c r="KX66" s="198" t="n"/>
      <c r="KY66" s="198" t="n"/>
      <c r="KZ66" s="198" t="n"/>
      <c r="LA66" s="198" t="n"/>
      <c r="LB66" s="198" t="n"/>
      <c r="LC66" s="198" t="n"/>
      <c r="LD66" s="198" t="n"/>
      <c r="LE66" s="198" t="n"/>
      <c r="LF66" s="198" t="n"/>
      <c r="LG66" s="198" t="n"/>
      <c r="LH66" s="198" t="n"/>
      <c r="LI66" s="198" t="n"/>
      <c r="LJ66" s="198" t="n"/>
      <c r="LK66" s="198" t="n"/>
      <c r="LL66" s="198" t="n"/>
      <c r="LM66" s="198" t="n"/>
      <c r="LN66" s="198" t="n"/>
      <c r="LO66" s="198" t="n"/>
      <c r="LP66" s="198" t="n"/>
      <c r="LQ66" s="198" t="n"/>
      <c r="LR66" s="198" t="n"/>
      <c r="LS66" s="198" t="n"/>
      <c r="LT66" s="198" t="n"/>
      <c r="LU66" s="198" t="n"/>
      <c r="LV66" s="198" t="n"/>
      <c r="LW66" s="198" t="n"/>
      <c r="LX66" s="198" t="n"/>
      <c r="LY66" s="198" t="n"/>
      <c r="LZ66" s="198" t="n"/>
      <c r="MA66" s="198" t="n"/>
      <c r="MB66" s="198" t="n"/>
      <c r="MC66" s="198" t="n"/>
      <c r="MD66" s="198" t="n"/>
      <c r="ME66" s="198" t="n"/>
      <c r="MF66" s="198" t="n"/>
      <c r="MG66" s="198" t="n"/>
      <c r="MH66" s="198" t="n"/>
      <c r="MI66" s="198" t="n"/>
      <c r="MJ66" s="198" t="n"/>
      <c r="MK66" s="198" t="n"/>
      <c r="ML66" s="198" t="n"/>
      <c r="MM66" s="198" t="n"/>
      <c r="MN66" s="198" t="n"/>
      <c r="MO66" s="198" t="n"/>
      <c r="MP66" s="198" t="n"/>
      <c r="MQ66" s="198" t="n"/>
      <c r="MR66" s="198" t="n"/>
      <c r="MS66" s="198" t="n"/>
      <c r="MT66" s="198" t="n"/>
      <c r="MU66" s="198" t="n"/>
      <c r="MV66" s="198" t="n"/>
      <c r="MW66" s="198" t="n"/>
      <c r="MX66" s="198" t="n"/>
      <c r="MY66" s="198" t="n"/>
      <c r="MZ66" s="198" t="n"/>
      <c r="NA66" s="198" t="n"/>
      <c r="NB66" s="198" t="n"/>
      <c r="NC66" s="198" t="n"/>
      <c r="ND66" s="198" t="n"/>
      <c r="NE66" s="198" t="n"/>
      <c r="NF66" s="198" t="n"/>
      <c r="NG66" s="198" t="n"/>
      <c r="NH66" s="198" t="n"/>
      <c r="NI66" s="198" t="n"/>
      <c r="NJ66" s="198" t="n"/>
      <c r="NK66" s="198" t="n"/>
      <c r="NL66" s="198" t="n"/>
      <c r="NM66" s="198" t="n"/>
      <c r="NN66" s="198" t="n"/>
      <c r="NO66" s="198" t="n"/>
      <c r="NP66" s="198" t="n"/>
      <c r="NQ66" s="198" t="n"/>
      <c r="NR66" s="198" t="n"/>
      <c r="NS66" s="198" t="n"/>
      <c r="NT66" s="198" t="n"/>
      <c r="NU66" s="198" t="n"/>
      <c r="NV66" s="198" t="n"/>
      <c r="NW66" s="198" t="n"/>
      <c r="NX66" s="198" t="n"/>
      <c r="NY66" s="198" t="n"/>
      <c r="NZ66" s="198" t="n"/>
      <c r="OA66" s="198" t="n"/>
      <c r="OB66" s="198" t="n"/>
      <c r="OC66" s="198" t="n"/>
      <c r="OD66" s="198" t="n"/>
      <c r="OE66" s="198" t="n"/>
      <c r="OF66" s="198" t="n"/>
      <c r="OG66" s="198" t="n"/>
      <c r="OH66" s="198" t="n"/>
      <c r="OI66" s="198" t="n"/>
      <c r="OJ66" s="198" t="n"/>
      <c r="OK66" s="198" t="n"/>
      <c r="OL66" s="198" t="n"/>
      <c r="OM66" s="198" t="n"/>
      <c r="ON66" s="198" t="n"/>
      <c r="OO66" s="198" t="n"/>
      <c r="OP66" s="198" t="n"/>
      <c r="OQ66" s="198" t="n"/>
      <c r="OR66" s="198" t="n"/>
      <c r="OS66" s="198" t="n"/>
      <c r="OT66" s="198" t="n"/>
      <c r="OU66" s="198" t="n"/>
      <c r="OV66" s="198" t="n"/>
      <c r="OW66" s="198" t="n"/>
      <c r="OX66" s="198" t="n"/>
      <c r="OY66" s="198" t="n"/>
      <c r="OZ66" s="198" t="n"/>
      <c r="PA66" s="198" t="n"/>
      <c r="PB66" s="198" t="n"/>
      <c r="PC66" s="198" t="n"/>
      <c r="PD66" s="198" t="n"/>
      <c r="PE66" s="198" t="n"/>
      <c r="PF66" s="198" t="n"/>
      <c r="PG66" s="198" t="n"/>
      <c r="PH66" s="198" t="n"/>
      <c r="PI66" s="198" t="n"/>
      <c r="PJ66" s="198" t="n"/>
      <c r="PK66" s="198" t="n"/>
      <c r="PL66" s="198" t="n"/>
      <c r="PM66" s="198" t="n"/>
      <c r="PN66" s="198" t="n"/>
      <c r="PO66" s="198" t="n"/>
      <c r="PP66" s="198" t="n"/>
      <c r="PQ66" s="198" t="n"/>
      <c r="PR66" s="198" t="n"/>
      <c r="PS66" s="198" t="n"/>
      <c r="PT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c r="V67" s="198" t="n"/>
      <c r="W67" s="198" t="n"/>
      <c r="X67" s="198" t="n"/>
      <c r="Y67" s="198" t="n"/>
      <c r="Z67" s="198" t="n"/>
      <c r="AA67" s="198" t="n"/>
      <c r="AB67" s="198" t="n"/>
      <c r="AC67" s="198" t="n"/>
      <c r="AD67" s="198" t="n"/>
      <c r="AE67" s="198" t="n"/>
      <c r="AF67" s="198" t="n"/>
      <c r="AG67" s="198" t="n"/>
      <c r="AH67" s="198" t="n"/>
      <c r="AI67" s="198" t="n"/>
      <c r="AJ67" s="198" t="n"/>
      <c r="AK67" s="198" t="n"/>
      <c r="AL67" s="198" t="n"/>
      <c r="AM67" s="198" t="n"/>
      <c r="AN67" s="198" t="n"/>
      <c r="AO67" s="198" t="n"/>
      <c r="AP67" s="198" t="n"/>
      <c r="AQ67" s="198" t="n"/>
      <c r="AR67" s="198" t="n"/>
      <c r="AS67" s="198" t="n"/>
      <c r="AT67" s="198" t="n"/>
      <c r="AU67" s="198" t="n"/>
      <c r="AV67" s="198" t="n"/>
      <c r="AW67" s="198" t="n"/>
      <c r="AX67" s="198" t="n"/>
      <c r="AY67" s="198" t="n"/>
      <c r="AZ67" s="198" t="n"/>
      <c r="BA67" s="198" t="n"/>
      <c r="BB67" s="198" t="n"/>
      <c r="BC67" s="198" t="n"/>
      <c r="BD67" s="198" t="n"/>
      <c r="BE67" s="198" t="n"/>
      <c r="BF67" s="198" t="n"/>
      <c r="BG67" s="198" t="n"/>
      <c r="BH67" s="198" t="n"/>
      <c r="BI67" s="198" t="n"/>
      <c r="BJ67" s="198" t="n"/>
      <c r="BK67" s="198" t="n"/>
      <c r="BL67" s="198" t="n"/>
      <c r="BM67" s="198" t="n"/>
      <c r="BN67" s="198" t="n"/>
      <c r="BO67" s="198" t="n"/>
      <c r="BP67" s="198" t="n"/>
      <c r="BQ67" s="198" t="n"/>
      <c r="BR67" s="198" t="n"/>
      <c r="BS67" s="198" t="n"/>
      <c r="BT67" s="198" t="n"/>
      <c r="BU67" s="198" t="n"/>
      <c r="BV67" s="198" t="n"/>
      <c r="BW67" s="198" t="n"/>
      <c r="BX67" s="198" t="n"/>
      <c r="BY67" s="198" t="n"/>
      <c r="BZ67" s="198" t="n"/>
      <c r="CA67" s="198" t="n"/>
      <c r="CB67" s="198" t="n"/>
      <c r="CC67" s="198" t="n"/>
      <c r="CD67" s="198" t="n"/>
      <c r="CE67" s="198" t="n"/>
      <c r="CF67" s="198" t="n"/>
      <c r="CG67" s="198" t="n"/>
      <c r="CH67" s="198" t="n"/>
      <c r="CI67" s="198" t="n"/>
      <c r="CJ67" s="198" t="n"/>
      <c r="CK67" s="198" t="n"/>
      <c r="CL67" s="198" t="n"/>
      <c r="CM67" s="198" t="n"/>
      <c r="CN67" s="198" t="n"/>
      <c r="CO67" s="198" t="n"/>
      <c r="CP67" s="198" t="n"/>
      <c r="CQ67" s="198" t="n"/>
      <c r="CR67" s="198" t="n"/>
      <c r="CS67" s="198" t="n"/>
      <c r="CT67" s="198" t="n"/>
      <c r="CU67" s="198" t="n"/>
      <c r="CV67" s="198" t="n"/>
      <c r="CW67" s="198" t="n"/>
      <c r="CX67" s="198" t="n"/>
      <c r="CY67" s="198" t="n"/>
      <c r="CZ67" s="198" t="n"/>
      <c r="DA67" s="198" t="n"/>
      <c r="DB67" s="198" t="n"/>
      <c r="DC67" s="198" t="n"/>
      <c r="DD67" s="198" t="n"/>
      <c r="DE67" s="198" t="n"/>
      <c r="DF67" s="198" t="n"/>
      <c r="DG67" s="198" t="n"/>
      <c r="DH67" s="198" t="n"/>
      <c r="DI67" s="198" t="n"/>
      <c r="DJ67" s="198" t="n"/>
      <c r="DK67" s="198" t="n"/>
      <c r="DL67" s="198" t="n"/>
      <c r="DM67" s="198" t="n"/>
      <c r="DN67" s="198" t="n"/>
      <c r="DO67" s="198" t="n"/>
      <c r="DP67" s="198" t="n"/>
      <c r="DQ67" s="198" t="n"/>
      <c r="DR67" s="198" t="n"/>
      <c r="DS67" s="198" t="n"/>
      <c r="DT67" s="198" t="n"/>
      <c r="DU67" s="198" t="n"/>
      <c r="DV67" s="198" t="n"/>
      <c r="DW67" s="198" t="n"/>
      <c r="DX67" s="198" t="n"/>
      <c r="DY67" s="198" t="n"/>
      <c r="DZ67" s="198" t="n"/>
      <c r="EA67" s="198" t="n"/>
      <c r="EB67" s="198" t="n"/>
      <c r="EC67" s="198" t="n"/>
      <c r="ED67" s="198" t="n"/>
      <c r="EE67" s="198" t="n"/>
      <c r="EF67" s="198" t="n"/>
      <c r="EG67" s="198" t="n"/>
      <c r="EH67" s="198" t="n"/>
      <c r="EI67" s="198" t="n"/>
      <c r="EJ67" s="198" t="n"/>
      <c r="EK67" s="198" t="n"/>
      <c r="EL67" s="198" t="n"/>
      <c r="EM67" s="198" t="n"/>
      <c r="EN67" s="198" t="n"/>
      <c r="EO67" s="198" t="n"/>
      <c r="EP67" s="198" t="n"/>
      <c r="EQ67" s="198" t="n"/>
      <c r="ER67" s="198" t="n"/>
      <c r="ES67" s="198" t="n"/>
      <c r="ET67" s="198" t="n"/>
      <c r="EU67" s="198" t="n"/>
      <c r="EV67" s="198" t="n"/>
      <c r="EW67" s="198" t="n"/>
      <c r="EX67" s="198" t="n"/>
      <c r="EY67" s="198" t="n"/>
      <c r="EZ67" s="198" t="n"/>
      <c r="FA67" s="198" t="n"/>
      <c r="FB67" s="198" t="n"/>
      <c r="FC67" s="198" t="n"/>
      <c r="FD67" s="198" t="n"/>
      <c r="FE67" s="198" t="n"/>
      <c r="FF67" s="198" t="n"/>
      <c r="FG67" s="198" t="n"/>
      <c r="FH67" s="198" t="n"/>
      <c r="FI67" s="198" t="n"/>
      <c r="FJ67" s="198" t="n"/>
      <c r="FK67" s="198" t="n"/>
      <c r="FL67" s="198" t="n"/>
      <c r="FM67" s="198" t="n"/>
      <c r="FN67" s="198" t="n"/>
      <c r="FO67" s="198" t="n"/>
      <c r="FP67" s="198" t="n"/>
      <c r="FQ67" s="198" t="n"/>
      <c r="FR67" s="198" t="n"/>
      <c r="FS67" s="198" t="n"/>
      <c r="FT67" s="198" t="n"/>
      <c r="FU67" s="198" t="n"/>
      <c r="FV67" s="198" t="n"/>
      <c r="FW67" s="198" t="n"/>
      <c r="FX67" s="198" t="n"/>
      <c r="FY67" s="198" t="n"/>
      <c r="FZ67" s="198" t="n"/>
      <c r="GA67" s="198" t="n"/>
      <c r="GB67" s="198" t="n"/>
      <c r="GC67" s="198" t="n"/>
      <c r="GD67" s="198" t="n"/>
      <c r="GE67" s="198" t="n"/>
      <c r="GF67" s="198" t="n"/>
      <c r="GG67" s="198" t="n"/>
      <c r="GH67" s="198" t="n"/>
      <c r="GI67" s="198" t="n"/>
      <c r="GJ67" s="198" t="n"/>
      <c r="GK67" s="198" t="n"/>
      <c r="GL67" s="198" t="n"/>
      <c r="GM67" s="198" t="n"/>
      <c r="GN67" s="198" t="n"/>
      <c r="GO67" s="198" t="n"/>
      <c r="GP67" s="198" t="n"/>
      <c r="GQ67" s="198" t="n"/>
      <c r="GR67" s="198" t="n"/>
      <c r="GS67" s="198" t="n"/>
      <c r="GT67" s="198" t="n"/>
      <c r="GU67" s="198" t="n"/>
      <c r="GV67" s="198" t="n"/>
      <c r="GW67" s="198" t="n"/>
      <c r="GX67" s="198" t="n"/>
      <c r="GY67" s="198" t="n"/>
      <c r="GZ67" s="198" t="n"/>
      <c r="HA67" s="198" t="n"/>
      <c r="HB67" s="198" t="n"/>
      <c r="HC67" s="198" t="n"/>
      <c r="HD67" s="198" t="n"/>
      <c r="HE67" s="198" t="n"/>
      <c r="HF67" s="198" t="n"/>
      <c r="HG67" s="198" t="n"/>
      <c r="HH67" s="198" t="n"/>
      <c r="HI67" s="198" t="n"/>
      <c r="HJ67" s="198" t="n"/>
      <c r="HK67" s="198" t="n"/>
      <c r="HL67" s="198" t="n"/>
      <c r="HM67" s="198" t="n"/>
      <c r="HN67" s="198" t="n"/>
      <c r="HO67" s="198" t="n"/>
      <c r="HP67" s="198" t="n"/>
      <c r="HQ67" s="198" t="n"/>
      <c r="HR67" s="198" t="n"/>
      <c r="HS67" s="198" t="n"/>
      <c r="HT67" s="198" t="n"/>
      <c r="HU67" s="198" t="n"/>
      <c r="HV67" s="198" t="n"/>
      <c r="HW67" s="198" t="n"/>
      <c r="HX67" s="198" t="n"/>
      <c r="HY67" s="198" t="n"/>
      <c r="HZ67" s="198" t="n"/>
      <c r="IA67" s="198" t="n"/>
      <c r="IB67" s="198" t="n"/>
      <c r="IC67" s="198" t="n"/>
      <c r="ID67" s="198" t="n"/>
      <c r="IE67" s="198" t="n"/>
      <c r="IF67" s="198" t="n"/>
      <c r="IG67" s="198" t="n"/>
      <c r="IH67" s="198" t="n"/>
      <c r="II67" s="198" t="n"/>
      <c r="IJ67" s="198" t="n"/>
      <c r="IK67" s="198" t="n"/>
      <c r="IL67" s="198" t="n"/>
      <c r="IM67" s="198" t="n"/>
      <c r="IN67" s="198" t="n"/>
      <c r="IO67" s="198" t="n"/>
      <c r="IP67" s="198" t="n"/>
      <c r="IQ67" s="198" t="n"/>
      <c r="IR67" s="198" t="n"/>
      <c r="IS67" s="198" t="n"/>
      <c r="IT67" s="198" t="n"/>
      <c r="IU67" s="198" t="n"/>
      <c r="IV67" s="198" t="n"/>
      <c r="IW67" s="198" t="n"/>
      <c r="IX67" s="198" t="n"/>
      <c r="IY67" s="198" t="n"/>
      <c r="IZ67" s="198" t="n"/>
      <c r="JA67" s="198" t="n"/>
      <c r="JB67" s="198" t="n"/>
      <c r="JC67" s="198" t="n"/>
      <c r="JD67" s="198" t="n"/>
      <c r="JE67" s="198" t="n"/>
      <c r="JF67" s="198" t="n"/>
      <c r="JG67" s="198" t="n"/>
      <c r="JH67" s="198" t="n"/>
      <c r="JI67" s="198" t="n"/>
      <c r="JJ67" s="198" t="n"/>
      <c r="JK67" s="198" t="n"/>
      <c r="JL67" s="198" t="n"/>
      <c r="JM67" s="198" t="n"/>
      <c r="JN67" s="198" t="n"/>
      <c r="JO67" s="198" t="n"/>
      <c r="JP67" s="198" t="n"/>
      <c r="JQ67" s="198" t="n"/>
      <c r="JR67" s="198" t="n"/>
      <c r="JS67" s="198" t="n"/>
      <c r="JT67" s="198" t="n"/>
      <c r="JU67" s="198" t="n"/>
      <c r="JV67" s="198" t="n"/>
      <c r="JW67" s="198" t="n"/>
      <c r="JX67" s="198" t="n"/>
      <c r="JY67" s="198" t="n"/>
      <c r="JZ67" s="198" t="n"/>
      <c r="KA67" s="198" t="n"/>
      <c r="KB67" s="198" t="n"/>
      <c r="KC67" s="198" t="n"/>
      <c r="KD67" s="198" t="n"/>
      <c r="KE67" s="198" t="n"/>
      <c r="KF67" s="198" t="n"/>
      <c r="KG67" s="198" t="n"/>
      <c r="KH67" s="198" t="n"/>
      <c r="KI67" s="198" t="n"/>
      <c r="KJ67" s="198" t="n"/>
      <c r="KK67" s="198" t="n"/>
      <c r="KL67" s="198" t="n"/>
      <c r="KM67" s="198" t="n"/>
      <c r="KN67" s="198" t="n"/>
      <c r="KO67" s="198" t="n"/>
      <c r="KP67" s="198" t="n"/>
      <c r="KQ67" s="198" t="n"/>
      <c r="KR67" s="198" t="n"/>
      <c r="KS67" s="198" t="n"/>
      <c r="KT67" s="198" t="n"/>
      <c r="KU67" s="198" t="n"/>
      <c r="KV67" s="198" t="n"/>
      <c r="KW67" s="198" t="n"/>
      <c r="KX67" s="198" t="n"/>
      <c r="KY67" s="198" t="n"/>
      <c r="KZ67" s="198" t="n"/>
      <c r="LA67" s="198" t="n"/>
      <c r="LB67" s="198" t="n"/>
      <c r="LC67" s="198" t="n"/>
      <c r="LD67" s="198" t="n"/>
      <c r="LE67" s="198" t="n"/>
      <c r="LF67" s="198" t="n"/>
      <c r="LG67" s="198" t="n"/>
      <c r="LH67" s="198" t="n"/>
      <c r="LI67" s="198" t="n"/>
      <c r="LJ67" s="198" t="n"/>
      <c r="LK67" s="198" t="n"/>
      <c r="LL67" s="198" t="n"/>
      <c r="LM67" s="198" t="n"/>
      <c r="LN67" s="198" t="n"/>
      <c r="LO67" s="198" t="n"/>
      <c r="LP67" s="198" t="n"/>
      <c r="LQ67" s="198" t="n"/>
      <c r="LR67" s="198" t="n"/>
      <c r="LS67" s="198" t="n"/>
      <c r="LT67" s="198" t="n"/>
      <c r="LU67" s="198" t="n"/>
      <c r="LV67" s="198" t="n"/>
      <c r="LW67" s="198" t="n"/>
      <c r="LX67" s="198" t="n"/>
      <c r="LY67" s="198" t="n"/>
      <c r="LZ67" s="198" t="n"/>
      <c r="MA67" s="198" t="n"/>
      <c r="MB67" s="198" t="n"/>
      <c r="MC67" s="198" t="n"/>
      <c r="MD67" s="198" t="n"/>
      <c r="ME67" s="198" t="n"/>
      <c r="MF67" s="198" t="n"/>
      <c r="MG67" s="198" t="n"/>
      <c r="MH67" s="198" t="n"/>
      <c r="MI67" s="198" t="n"/>
      <c r="MJ67" s="198" t="n"/>
      <c r="MK67" s="198" t="n"/>
      <c r="ML67" s="198" t="n"/>
      <c r="MM67" s="198" t="n"/>
      <c r="MN67" s="198" t="n"/>
      <c r="MO67" s="198" t="n"/>
      <c r="MP67" s="198" t="n"/>
      <c r="MQ67" s="198" t="n"/>
      <c r="MR67" s="198" t="n"/>
      <c r="MS67" s="198" t="n"/>
      <c r="MT67" s="198" t="n"/>
      <c r="MU67" s="198" t="n"/>
      <c r="MV67" s="198" t="n"/>
      <c r="MW67" s="198" t="n"/>
      <c r="MX67" s="198" t="n"/>
      <c r="MY67" s="198" t="n"/>
      <c r="MZ67" s="198" t="n"/>
      <c r="NA67" s="198" t="n"/>
      <c r="NB67" s="198" t="n"/>
      <c r="NC67" s="198" t="n"/>
      <c r="ND67" s="198" t="n"/>
      <c r="NE67" s="198" t="n"/>
      <c r="NF67" s="198" t="n"/>
      <c r="NG67" s="198" t="n"/>
      <c r="NH67" s="198" t="n"/>
      <c r="NI67" s="198" t="n"/>
      <c r="NJ67" s="198" t="n"/>
      <c r="NK67" s="198" t="n"/>
      <c r="NL67" s="198" t="n"/>
      <c r="NM67" s="198" t="n"/>
      <c r="NN67" s="198" t="n"/>
      <c r="NO67" s="198" t="n"/>
      <c r="NP67" s="198" t="n"/>
      <c r="NQ67" s="198" t="n"/>
      <c r="NR67" s="198" t="n"/>
      <c r="NS67" s="198" t="n"/>
      <c r="NT67" s="198" t="n"/>
      <c r="NU67" s="198" t="n"/>
      <c r="NV67" s="198" t="n"/>
      <c r="NW67" s="198" t="n"/>
      <c r="NX67" s="198" t="n"/>
      <c r="NY67" s="198" t="n"/>
      <c r="NZ67" s="198" t="n"/>
      <c r="OA67" s="198" t="n"/>
      <c r="OB67" s="198" t="n"/>
      <c r="OC67" s="198" t="n"/>
      <c r="OD67" s="198" t="n"/>
      <c r="OE67" s="198" t="n"/>
      <c r="OF67" s="198" t="n"/>
      <c r="OG67" s="198" t="n"/>
      <c r="OH67" s="198" t="n"/>
      <c r="OI67" s="198" t="n"/>
      <c r="OJ67" s="198" t="n"/>
      <c r="OK67" s="198" t="n"/>
      <c r="OL67" s="198" t="n"/>
      <c r="OM67" s="198" t="n"/>
      <c r="ON67" s="198" t="n"/>
      <c r="OO67" s="198" t="n"/>
      <c r="OP67" s="198" t="n"/>
      <c r="OQ67" s="198" t="n"/>
      <c r="OR67" s="198" t="n"/>
      <c r="OS67" s="198" t="n"/>
      <c r="OT67" s="198" t="n"/>
      <c r="OU67" s="198" t="n"/>
      <c r="OV67" s="198" t="n"/>
      <c r="OW67" s="198" t="n"/>
      <c r="OX67" s="198" t="n"/>
      <c r="OY67" s="198" t="n"/>
      <c r="OZ67" s="198" t="n"/>
      <c r="PA67" s="198" t="n"/>
      <c r="PB67" s="198" t="n"/>
      <c r="PC67" s="198" t="n"/>
      <c r="PD67" s="198" t="n"/>
      <c r="PE67" s="198" t="n"/>
      <c r="PF67" s="198" t="n"/>
      <c r="PG67" s="198" t="n"/>
      <c r="PH67" s="198" t="n"/>
      <c r="PI67" s="198" t="n"/>
      <c r="PJ67" s="198" t="n"/>
      <c r="PK67" s="198" t="n"/>
      <c r="PL67" s="198" t="n"/>
      <c r="PM67" s="198" t="n"/>
      <c r="PN67" s="198" t="n"/>
      <c r="PO67" s="198" t="n"/>
      <c r="PP67" s="198" t="n"/>
      <c r="PQ67" s="198" t="n"/>
      <c r="PR67" s="198" t="n"/>
      <c r="PS67" s="198" t="n"/>
      <c r="PT67" s="198" t="n"/>
      <c r="PU67" s="198" t="n"/>
      <c r="PV67" s="198" t="n"/>
      <c r="PW67" s="198" t="n"/>
      <c r="PX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c r="V68" s="198" t="n"/>
      <c r="W68" s="198" t="n"/>
      <c r="X68" s="198" t="n"/>
      <c r="Y68" s="198" t="n"/>
      <c r="Z68" s="198" t="n"/>
      <c r="AA68" s="198" t="n"/>
      <c r="AB68" s="198" t="n"/>
      <c r="AC68" s="198" t="n"/>
      <c r="AD68" s="198" t="n"/>
      <c r="AE68" s="198" t="n"/>
      <c r="AF68" s="198" t="n"/>
      <c r="AG68" s="198" t="n"/>
      <c r="AH68" s="198" t="n"/>
      <c r="AI68" s="198" t="n"/>
      <c r="AJ68" s="198" t="n"/>
      <c r="AK68" s="198" t="n"/>
      <c r="AL68" s="198" t="n"/>
      <c r="AM68" s="198" t="n"/>
      <c r="AN68" s="198" t="n"/>
      <c r="AO68" s="198" t="n"/>
      <c r="AP68" s="198" t="n"/>
      <c r="AQ68" s="198" t="n"/>
      <c r="AR68" s="198" t="n"/>
      <c r="AS68" s="198" t="n"/>
      <c r="AT68" s="198" t="n"/>
      <c r="AU68" s="198" t="n"/>
      <c r="AV68" s="198" t="n"/>
      <c r="AW68" s="198" t="n"/>
      <c r="AX68" s="198" t="n"/>
      <c r="AY68" s="198" t="n"/>
      <c r="AZ68" s="198" t="n"/>
      <c r="BA68" s="198" t="n"/>
      <c r="BB68" s="198" t="n"/>
      <c r="BC68" s="198" t="n"/>
      <c r="BD68" s="198" t="n"/>
      <c r="BE68" s="198" t="n"/>
      <c r="BF68" s="198" t="n"/>
      <c r="BG68" s="198" t="n"/>
      <c r="BH68" s="198" t="n"/>
      <c r="BI68" s="198" t="n"/>
      <c r="BJ68" s="198" t="n"/>
      <c r="BK68" s="198" t="n"/>
      <c r="BL68" s="198" t="n"/>
      <c r="BM68" s="198" t="n"/>
      <c r="BN68" s="198" t="n"/>
      <c r="BO68" s="198" t="n"/>
      <c r="BP68" s="198" t="n"/>
      <c r="BQ68" s="198" t="n"/>
      <c r="BR68" s="198" t="n"/>
      <c r="BS68" s="198" t="n"/>
      <c r="BT68" s="198" t="n"/>
      <c r="BU68" s="198" t="n"/>
      <c r="BV68" s="198" t="n"/>
      <c r="BW68" s="198" t="n"/>
      <c r="BX68" s="198" t="n"/>
      <c r="BY68" s="198" t="n"/>
      <c r="BZ68" s="198" t="n"/>
      <c r="CA68" s="198" t="n"/>
      <c r="CB68" s="198" t="n"/>
      <c r="CC68" s="198" t="n"/>
      <c r="CD68" s="198" t="n"/>
      <c r="CE68" s="198" t="n"/>
      <c r="CF68" s="198" t="n"/>
      <c r="CG68" s="198" t="n"/>
      <c r="CH68" s="198" t="n"/>
      <c r="CI68" s="198" t="n"/>
      <c r="CJ68" s="198" t="n"/>
      <c r="CK68" s="198" t="n"/>
      <c r="CL68" s="198" t="n"/>
      <c r="CM68" s="198" t="n"/>
      <c r="CN68" s="198" t="n"/>
      <c r="CO68" s="198" t="n"/>
      <c r="CP68" s="198" t="n"/>
      <c r="CQ68" s="198" t="n"/>
      <c r="CR68" s="198" t="n"/>
      <c r="CS68" s="198" t="n"/>
      <c r="CT68" s="198" t="n"/>
      <c r="CU68" s="198" t="n"/>
      <c r="CV68" s="198" t="n"/>
      <c r="CW68" s="198" t="n"/>
      <c r="CX68" s="198" t="n"/>
      <c r="CY68" s="198" t="n"/>
      <c r="CZ68" s="198" t="n"/>
      <c r="DA68" s="198" t="n"/>
      <c r="DB68" s="198" t="n"/>
      <c r="DC68" s="198" t="n"/>
      <c r="DD68" s="198" t="n"/>
      <c r="DE68" s="198" t="n"/>
      <c r="DF68" s="198" t="n"/>
      <c r="DG68" s="198" t="n"/>
      <c r="DH68" s="198" t="n"/>
      <c r="DI68" s="198" t="n"/>
      <c r="DJ68" s="198" t="n"/>
      <c r="DK68" s="198" t="n"/>
      <c r="DL68" s="198" t="n"/>
      <c r="DM68" s="198" t="n"/>
      <c r="DN68" s="198" t="n"/>
      <c r="DO68" s="198" t="n"/>
      <c r="DP68" s="198" t="n"/>
      <c r="DQ68" s="198" t="n"/>
      <c r="DR68" s="198" t="n"/>
      <c r="DS68" s="198" t="n"/>
      <c r="DT68" s="198" t="n"/>
      <c r="DU68" s="198" t="n"/>
      <c r="DV68" s="198" t="n"/>
      <c r="DW68" s="198" t="n"/>
      <c r="DX68" s="198" t="n"/>
      <c r="DY68" s="198" t="n"/>
      <c r="DZ68" s="198" t="n"/>
      <c r="EA68" s="198" t="n"/>
      <c r="EB68" s="198" t="n"/>
      <c r="EC68" s="198" t="n"/>
      <c r="ED68" s="198" t="n"/>
      <c r="EE68" s="198" t="n"/>
      <c r="EF68" s="198" t="n"/>
      <c r="EG68" s="198" t="n"/>
      <c r="EH68" s="198" t="n"/>
      <c r="EI68" s="198" t="n"/>
      <c r="EJ68" s="198" t="n"/>
      <c r="EK68" s="198" t="n"/>
      <c r="EL68" s="198" t="n"/>
      <c r="EM68" s="198" t="n"/>
      <c r="EN68" s="198" t="n"/>
      <c r="EO68" s="198" t="n"/>
      <c r="EP68" s="198" t="n"/>
      <c r="EQ68" s="198" t="n"/>
      <c r="ER68" s="198" t="n"/>
      <c r="ES68" s="198" t="n"/>
      <c r="ET68" s="198" t="n"/>
      <c r="EU68" s="198" t="n"/>
      <c r="EV68" s="198" t="n"/>
      <c r="EW68" s="198" t="n"/>
      <c r="EX68" s="198" t="n"/>
      <c r="EY68" s="198" t="n"/>
      <c r="EZ68" s="198" t="n"/>
      <c r="FA68" s="198" t="n"/>
      <c r="FB68" s="198" t="n"/>
      <c r="FC68" s="198" t="n"/>
      <c r="FD68" s="198" t="n"/>
      <c r="FE68" s="198" t="n"/>
      <c r="FF68" s="198" t="n"/>
      <c r="FG68" s="198" t="n"/>
      <c r="FH68" s="198" t="n"/>
      <c r="FI68" s="198" t="n"/>
      <c r="FJ68" s="198" t="n"/>
      <c r="FK68" s="198" t="n"/>
      <c r="FL68" s="198" t="n"/>
      <c r="FM68" s="198" t="n"/>
      <c r="FN68" s="198" t="n"/>
      <c r="FO68" s="198" t="n"/>
      <c r="FP68" s="198" t="n"/>
      <c r="FQ68" s="198" t="n"/>
      <c r="FR68" s="198" t="n"/>
      <c r="FS68" s="198" t="n"/>
      <c r="FT68" s="198" t="n"/>
      <c r="FU68" s="198" t="n"/>
      <c r="FV68" s="198" t="n"/>
      <c r="FW68" s="198" t="n"/>
      <c r="FX68" s="198" t="n"/>
      <c r="FY68" s="198" t="n"/>
      <c r="FZ68" s="198" t="n"/>
      <c r="GA68" s="198" t="n"/>
      <c r="GB68" s="198" t="n"/>
      <c r="GC68" s="198" t="n"/>
      <c r="GD68" s="198" t="n"/>
      <c r="GE68" s="198" t="n"/>
      <c r="GF68" s="198" t="n"/>
      <c r="GG68" s="198" t="n"/>
      <c r="GH68" s="198" t="n"/>
      <c r="GI68" s="198" t="n"/>
      <c r="GJ68" s="198" t="n"/>
      <c r="GK68" s="198" t="n"/>
      <c r="GL68" s="198" t="n"/>
      <c r="GM68" s="198" t="n"/>
      <c r="GN68" s="198" t="n"/>
      <c r="GO68" s="198" t="n"/>
      <c r="GP68" s="198" t="n"/>
      <c r="GQ68" s="198" t="n"/>
      <c r="GR68" s="198" t="n"/>
      <c r="GS68" s="198" t="n"/>
      <c r="GT68" s="198" t="n"/>
      <c r="GU68" s="198" t="n"/>
      <c r="GV68" s="198" t="n"/>
      <c r="GW68" s="198" t="n"/>
      <c r="GX68" s="198" t="n"/>
      <c r="GY68" s="198" t="n"/>
      <c r="GZ68" s="198" t="n"/>
      <c r="HA68" s="198" t="n"/>
      <c r="HB68" s="198" t="n"/>
      <c r="HC68" s="198" t="n"/>
      <c r="HD68" s="198" t="n"/>
      <c r="HE68" s="198" t="n"/>
      <c r="HF68" s="198" t="n"/>
      <c r="HG68" s="198" t="n"/>
      <c r="HH68" s="198" t="n"/>
      <c r="HI68" s="198" t="n"/>
      <c r="HJ68" s="198" t="n"/>
      <c r="HK68" s="198" t="n"/>
      <c r="HL68" s="198" t="n"/>
      <c r="HM68" s="198" t="n"/>
      <c r="HN68" s="198" t="n"/>
      <c r="HO68" s="198" t="n"/>
      <c r="HP68" s="198" t="n"/>
      <c r="HQ68" s="198" t="n"/>
      <c r="HR68" s="198" t="n"/>
      <c r="HS68" s="198" t="n"/>
      <c r="HT68" s="198" t="n"/>
      <c r="HU68" s="198" t="n"/>
      <c r="HV68" s="198" t="n"/>
      <c r="HW68" s="198" t="n"/>
      <c r="HX68" s="198" t="n"/>
      <c r="HY68" s="198" t="n"/>
      <c r="HZ68" s="198" t="n"/>
      <c r="IA68" s="198" t="n"/>
      <c r="IB68" s="198" t="n"/>
      <c r="IC68" s="198" t="n"/>
      <c r="ID68" s="198" t="n"/>
      <c r="IE68" s="198" t="n"/>
      <c r="IF68" s="198" t="n"/>
      <c r="IG68" s="198" t="n"/>
      <c r="IH68" s="198" t="n"/>
      <c r="II68" s="198" t="n"/>
      <c r="IJ68" s="198" t="n"/>
      <c r="IK68" s="198" t="n"/>
      <c r="IL68" s="198" t="n"/>
      <c r="IM68" s="198" t="n"/>
      <c r="IN68" s="198" t="n"/>
      <c r="IO68" s="198" t="n"/>
      <c r="IP68" s="198" t="n"/>
      <c r="IQ68" s="198" t="n"/>
      <c r="IR68" s="198" t="n"/>
      <c r="IS68" s="198" t="n"/>
      <c r="IT68" s="198" t="n"/>
      <c r="IU68" s="198" t="n"/>
      <c r="IV68" s="198" t="n"/>
      <c r="IW68" s="198" t="n"/>
      <c r="IX68" s="198" t="n"/>
      <c r="IY68" s="198" t="n"/>
      <c r="IZ68" s="198" t="n"/>
      <c r="JA68" s="198" t="n"/>
      <c r="JB68" s="198" t="n"/>
      <c r="JC68" s="198" t="n"/>
      <c r="JD68" s="198" t="n"/>
      <c r="JE68" s="198" t="n"/>
      <c r="JF68" s="198" t="n"/>
      <c r="JG68" s="198" t="n"/>
      <c r="JH68" s="198" t="n"/>
      <c r="JI68" s="198" t="n"/>
      <c r="JJ68" s="198" t="n"/>
      <c r="JK68" s="198" t="n"/>
      <c r="JL68" s="198" t="n"/>
      <c r="JM68" s="198" t="n"/>
      <c r="JN68" s="198" t="n"/>
      <c r="JO68" s="198" t="n"/>
      <c r="JP68" s="198" t="n"/>
      <c r="JQ68" s="198" t="n"/>
      <c r="JR68" s="198" t="n"/>
      <c r="JS68" s="198" t="n"/>
      <c r="JT68" s="198" t="n"/>
      <c r="JU68" s="198" t="n"/>
      <c r="JV68" s="198" t="n"/>
      <c r="JW68" s="198" t="n"/>
      <c r="JX68" s="198" t="n"/>
      <c r="JY68" s="198" t="n"/>
      <c r="JZ68" s="198" t="n"/>
      <c r="KA68" s="198" t="n"/>
      <c r="KB68" s="198" t="n"/>
      <c r="KC68" s="198" t="n"/>
      <c r="KD68" s="198" t="n"/>
      <c r="KE68" s="198" t="n"/>
      <c r="KF68" s="198" t="n"/>
      <c r="KG68" s="198" t="n"/>
      <c r="KH68" s="198" t="n"/>
      <c r="KI68" s="198" t="n"/>
      <c r="KJ68" s="198" t="n"/>
      <c r="KK68" s="198" t="n"/>
      <c r="KL68" s="198" t="n"/>
      <c r="KM68" s="198" t="n"/>
      <c r="KN68" s="198" t="n"/>
      <c r="KO68" s="198" t="n"/>
      <c r="KP68" s="198" t="n"/>
      <c r="KQ68" s="198" t="n"/>
      <c r="KR68" s="198" t="n"/>
      <c r="KS68" s="198" t="n"/>
      <c r="KT68" s="198" t="n"/>
      <c r="KU68" s="198" t="n"/>
      <c r="KV68" s="198" t="n"/>
      <c r="KW68" s="198" t="n"/>
      <c r="KX68" s="198" t="n"/>
      <c r="KY68" s="198" t="n"/>
      <c r="KZ68" s="198" t="n"/>
      <c r="LA68" s="198" t="n"/>
      <c r="LB68" s="198" t="n"/>
      <c r="LC68" s="198" t="n"/>
      <c r="LD68" s="198" t="n"/>
      <c r="LE68" s="198" t="n"/>
      <c r="LF68" s="198" t="n"/>
      <c r="LG68" s="198" t="n"/>
      <c r="LH68" s="198" t="n"/>
      <c r="LI68" s="198" t="n"/>
      <c r="LJ68" s="198" t="n"/>
      <c r="LK68" s="198" t="n"/>
      <c r="LL68" s="198" t="n"/>
      <c r="LM68" s="198" t="n"/>
      <c r="LN68" s="198" t="n"/>
      <c r="LO68" s="198" t="n"/>
      <c r="LP68" s="198" t="n"/>
      <c r="LQ68" s="198" t="n"/>
      <c r="LR68" s="198" t="n"/>
      <c r="LS68" s="198" t="n"/>
      <c r="LT68" s="198" t="n"/>
      <c r="LU68" s="198" t="n"/>
      <c r="LV68" s="198" t="n"/>
      <c r="LW68" s="198" t="n"/>
      <c r="LX68" s="198" t="n"/>
      <c r="LY68" s="198" t="n"/>
      <c r="LZ68" s="198" t="n"/>
      <c r="MA68" s="198" t="n"/>
      <c r="MB68" s="198" t="n"/>
      <c r="MC68" s="198" t="n"/>
      <c r="MD68" s="198" t="n"/>
      <c r="ME68" s="198" t="n"/>
      <c r="MF68" s="198" t="n"/>
      <c r="MG68" s="198" t="n"/>
      <c r="MH68" s="198" t="n"/>
      <c r="MI68" s="198" t="n"/>
      <c r="MJ68" s="198" t="n"/>
      <c r="MK68" s="198" t="n"/>
      <c r="ML68" s="198" t="n"/>
      <c r="MM68" s="198" t="n"/>
      <c r="MN68" s="198" t="n"/>
      <c r="MO68" s="198" t="n"/>
      <c r="MP68" s="198" t="n"/>
      <c r="MQ68" s="198" t="n"/>
      <c r="MR68" s="198" t="n"/>
      <c r="MS68" s="198" t="n"/>
      <c r="MT68" s="198" t="n"/>
      <c r="MU68" s="198" t="n"/>
      <c r="MV68" s="198" t="n"/>
      <c r="MW68" s="198" t="n"/>
      <c r="MX68" s="198" t="n"/>
      <c r="MY68" s="198" t="n"/>
      <c r="MZ68" s="198" t="n"/>
      <c r="NA68" s="198" t="n"/>
      <c r="NB68" s="198" t="n"/>
      <c r="NC68" s="198" t="n"/>
      <c r="ND68" s="198" t="n"/>
      <c r="NE68" s="198" t="n"/>
      <c r="NF68" s="198" t="n"/>
      <c r="NG68" s="198" t="n"/>
      <c r="NH68" s="198" t="n"/>
      <c r="NI68" s="198" t="n"/>
      <c r="NJ68" s="198" t="n"/>
      <c r="NK68" s="198" t="n"/>
      <c r="NL68" s="198" t="n"/>
      <c r="NM68" s="198" t="n"/>
      <c r="NN68" s="198" t="n"/>
      <c r="NO68" s="198" t="n"/>
      <c r="NP68" s="198" t="n"/>
      <c r="NQ68" s="198" t="n"/>
      <c r="NR68" s="198" t="n"/>
      <c r="NS68" s="198" t="n"/>
      <c r="NT68" s="198" t="n"/>
      <c r="NU68" s="198" t="n"/>
      <c r="NV68" s="198" t="n"/>
      <c r="NW68" s="198" t="n"/>
      <c r="NX68" s="198" t="n"/>
      <c r="NY68" s="198" t="n"/>
      <c r="NZ68" s="198" t="n"/>
      <c r="OA68" s="198" t="n"/>
      <c r="OB68" s="198" t="n"/>
      <c r="OC68" s="198" t="n"/>
      <c r="OD68" s="198" t="n"/>
      <c r="OE68" s="198" t="n"/>
      <c r="OF68" s="198" t="n"/>
      <c r="OG68" s="198" t="n"/>
      <c r="OH68" s="198" t="n"/>
      <c r="OI68" s="198" t="n"/>
      <c r="OJ68" s="198" t="n"/>
      <c r="OK68" s="198" t="n"/>
      <c r="OL68" s="198" t="n"/>
      <c r="OM68" s="198" t="n"/>
      <c r="ON68" s="198" t="n"/>
      <c r="OO68" s="198" t="n"/>
      <c r="OP68" s="198" t="n"/>
      <c r="OQ68" s="198" t="n"/>
      <c r="OR68" s="198" t="n"/>
      <c r="OS68" s="198" t="n"/>
      <c r="OT68" s="198" t="n"/>
      <c r="OU68" s="198" t="n"/>
      <c r="OV68" s="198" t="n"/>
      <c r="OW68" s="198" t="n"/>
      <c r="OX68" s="198" t="n"/>
      <c r="OY68" s="198" t="n"/>
      <c r="OZ68" s="198" t="n"/>
      <c r="PA68" s="198" t="n"/>
      <c r="PB68" s="198" t="n"/>
      <c r="PC68" s="198" t="n"/>
      <c r="PD68" s="198" t="n"/>
      <c r="PE68" s="198" t="n"/>
      <c r="PF68" s="198" t="n"/>
      <c r="PG68" s="198" t="n"/>
      <c r="PH68" s="198" t="n"/>
      <c r="PI68" s="198" t="n"/>
      <c r="PJ68" s="198" t="n"/>
      <c r="PK68" s="198" t="n"/>
      <c r="PL68" s="198" t="n"/>
      <c r="PM68" s="198" t="n"/>
      <c r="PN68" s="198" t="n"/>
      <c r="PO68" s="198" t="n"/>
      <c r="PP68" s="198" t="n"/>
      <c r="PQ68" s="198" t="n"/>
      <c r="PR68" s="198" t="n"/>
      <c r="PS68" s="198" t="n"/>
      <c r="PT68" s="198" t="n"/>
      <c r="PU68" s="198" t="n"/>
      <c r="PV68" s="198" t="n"/>
      <c r="PW68" s="198" t="n"/>
      <c r="PX68" s="198" t="n"/>
      <c r="PY68" s="198" t="n"/>
      <c r="PZ68" s="198" t="n"/>
      <c r="QA68" s="198" t="n"/>
      <c r="QB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c r="V69" s="198" t="n"/>
      <c r="W69" s="198" t="n"/>
      <c r="X69" s="198" t="n"/>
      <c r="Y69" s="198" t="n"/>
      <c r="Z69" s="198" t="n"/>
      <c r="AA69" s="198" t="n"/>
      <c r="AB69" s="198" t="n"/>
      <c r="AC69" s="198" t="n"/>
      <c r="AD69" s="198" t="n"/>
      <c r="AE69" s="198" t="n"/>
      <c r="AF69" s="198" t="n"/>
      <c r="AG69" s="198" t="n"/>
      <c r="AH69" s="198" t="n"/>
      <c r="AI69" s="198" t="n"/>
      <c r="AJ69" s="198" t="n"/>
      <c r="AK69" s="198" t="n"/>
      <c r="AL69" s="198" t="n"/>
      <c r="AM69" s="198" t="n"/>
      <c r="AN69" s="198" t="n"/>
      <c r="AO69" s="198" t="n"/>
      <c r="AP69" s="198" t="n"/>
      <c r="AQ69" s="198" t="n"/>
      <c r="AR69" s="198" t="n"/>
      <c r="AS69" s="198" t="n"/>
      <c r="AT69" s="198" t="n"/>
      <c r="AU69" s="198" t="n"/>
      <c r="AV69" s="198" t="n"/>
      <c r="AW69" s="198" t="n"/>
      <c r="AX69" s="198" t="n"/>
      <c r="AY69" s="198" t="n"/>
      <c r="AZ69" s="198" t="n"/>
      <c r="BA69" s="198" t="n"/>
      <c r="BB69" s="198" t="n"/>
      <c r="BC69" s="198" t="n"/>
      <c r="BD69" s="198" t="n"/>
      <c r="BE69" s="198" t="n"/>
      <c r="BF69" s="198" t="n"/>
      <c r="BG69" s="198" t="n"/>
      <c r="BH69" s="198" t="n"/>
      <c r="BI69" s="198" t="n"/>
      <c r="BJ69" s="198" t="n"/>
      <c r="BK69" s="198" t="n"/>
      <c r="BL69" s="198" t="n"/>
      <c r="BM69" s="198" t="n"/>
      <c r="BN69" s="198" t="n"/>
      <c r="BO69" s="198" t="n"/>
      <c r="BP69" s="198" t="n"/>
      <c r="BQ69" s="198" t="n"/>
      <c r="BR69" s="198" t="n"/>
      <c r="BS69" s="198" t="n"/>
      <c r="BT69" s="198" t="n"/>
      <c r="BU69" s="198" t="n"/>
      <c r="BV69" s="198" t="n"/>
      <c r="BW69" s="198" t="n"/>
      <c r="BX69" s="198" t="n"/>
      <c r="BY69" s="198" t="n"/>
      <c r="BZ69" s="198" t="n"/>
      <c r="CA69" s="198" t="n"/>
      <c r="CB69" s="198" t="n"/>
      <c r="CC69" s="198" t="n"/>
      <c r="CD69" s="198" t="n"/>
      <c r="CE69" s="198" t="n"/>
      <c r="CF69" s="198" t="n"/>
      <c r="CG69" s="198" t="n"/>
      <c r="CH69" s="198" t="n"/>
      <c r="CI69" s="198" t="n"/>
      <c r="CJ69" s="198" t="n"/>
      <c r="CK69" s="198" t="n"/>
      <c r="CL69" s="198" t="n"/>
      <c r="CM69" s="198" t="n"/>
      <c r="CN69" s="198" t="n"/>
      <c r="CO69" s="198" t="n"/>
      <c r="CP69" s="198" t="n"/>
      <c r="CQ69" s="198" t="n"/>
      <c r="CR69" s="198" t="n"/>
      <c r="CS69" s="198" t="n"/>
      <c r="CT69" s="198" t="n"/>
      <c r="CU69" s="198" t="n"/>
      <c r="CV69" s="198" t="n"/>
      <c r="CW69" s="198" t="n"/>
      <c r="CX69" s="198" t="n"/>
      <c r="CY69" s="198" t="n"/>
      <c r="CZ69" s="198" t="n"/>
      <c r="DA69" s="198" t="n"/>
      <c r="DB69" s="198" t="n"/>
      <c r="DC69" s="198" t="n"/>
      <c r="DD69" s="198" t="n"/>
      <c r="DE69" s="198" t="n"/>
      <c r="DF69" s="198" t="n"/>
      <c r="DG69" s="198" t="n"/>
      <c r="DH69" s="198" t="n"/>
      <c r="DI69" s="198" t="n"/>
      <c r="DJ69" s="198" t="n"/>
      <c r="DK69" s="198" t="n"/>
      <c r="DL69" s="198" t="n"/>
      <c r="DM69" s="198" t="n"/>
      <c r="DN69" s="198" t="n"/>
      <c r="DO69" s="198" t="n"/>
      <c r="DP69" s="198" t="n"/>
      <c r="DQ69" s="198" t="n"/>
      <c r="DR69" s="198" t="n"/>
      <c r="DS69" s="198" t="n"/>
      <c r="DT69" s="198" t="n"/>
      <c r="DU69" s="198" t="n"/>
      <c r="DV69" s="198" t="n"/>
      <c r="DW69" s="198" t="n"/>
      <c r="DX69" s="198" t="n"/>
      <c r="DY69" s="198" t="n"/>
      <c r="DZ69" s="198" t="n"/>
      <c r="EA69" s="198" t="n"/>
      <c r="EB69" s="198" t="n"/>
      <c r="EC69" s="198" t="n"/>
      <c r="ED69" s="198" t="n"/>
      <c r="EE69" s="198" t="n"/>
      <c r="EF69" s="198" t="n"/>
      <c r="EG69" s="198" t="n"/>
      <c r="EH69" s="198" t="n"/>
      <c r="EI69" s="198" t="n"/>
      <c r="EJ69" s="198" t="n"/>
      <c r="EK69" s="198" t="n"/>
      <c r="EL69" s="198" t="n"/>
      <c r="EM69" s="198" t="n"/>
      <c r="EN69" s="198" t="n"/>
      <c r="EO69" s="198" t="n"/>
      <c r="EP69" s="198" t="n"/>
      <c r="EQ69" s="198" t="n"/>
      <c r="ER69" s="198" t="n"/>
      <c r="ES69" s="198" t="n"/>
      <c r="ET69" s="198" t="n"/>
      <c r="EU69" s="198" t="n"/>
      <c r="EV69" s="198" t="n"/>
      <c r="EW69" s="198" t="n"/>
      <c r="EX69" s="198" t="n"/>
      <c r="EY69" s="198" t="n"/>
      <c r="EZ69" s="198" t="n"/>
      <c r="FA69" s="198" t="n"/>
      <c r="FB69" s="198" t="n"/>
      <c r="FC69" s="198" t="n"/>
      <c r="FD69" s="198" t="n"/>
      <c r="FE69" s="198" t="n"/>
      <c r="FF69" s="198" t="n"/>
      <c r="FG69" s="198" t="n"/>
      <c r="FH69" s="198" t="n"/>
      <c r="FI69" s="198" t="n"/>
      <c r="FJ69" s="198" t="n"/>
      <c r="FK69" s="198" t="n"/>
      <c r="FL69" s="198" t="n"/>
      <c r="FM69" s="198" t="n"/>
      <c r="FN69" s="198" t="n"/>
      <c r="FO69" s="198" t="n"/>
      <c r="FP69" s="198" t="n"/>
      <c r="FQ69" s="198" t="n"/>
      <c r="FR69" s="198" t="n"/>
      <c r="FS69" s="198" t="n"/>
      <c r="FT69" s="198" t="n"/>
      <c r="FU69" s="198" t="n"/>
      <c r="FV69" s="198" t="n"/>
      <c r="FW69" s="198" t="n"/>
      <c r="FX69" s="198" t="n"/>
      <c r="FY69" s="198" t="n"/>
      <c r="FZ69" s="198" t="n"/>
      <c r="GA69" s="198" t="n"/>
      <c r="GB69" s="198" t="n"/>
      <c r="GC69" s="198" t="n"/>
      <c r="GD69" s="198" t="n"/>
      <c r="GE69" s="198" t="n"/>
      <c r="GF69" s="198" t="n"/>
      <c r="GG69" s="198" t="n"/>
      <c r="GH69" s="198" t="n"/>
      <c r="GI69" s="198" t="n"/>
      <c r="GJ69" s="198" t="n"/>
      <c r="GK69" s="198" t="n"/>
      <c r="GL69" s="198" t="n"/>
      <c r="GM69" s="198" t="n"/>
      <c r="GN69" s="198" t="n"/>
      <c r="GO69" s="198" t="n"/>
      <c r="GP69" s="198" t="n"/>
      <c r="GQ69" s="198" t="n"/>
      <c r="GR69" s="198" t="n"/>
      <c r="GS69" s="198" t="n"/>
      <c r="GT69" s="198" t="n"/>
      <c r="GU69" s="198" t="n"/>
      <c r="GV69" s="198" t="n"/>
      <c r="GW69" s="198" t="n"/>
      <c r="GX69" s="198" t="n"/>
      <c r="GY69" s="198" t="n"/>
      <c r="GZ69" s="198" t="n"/>
      <c r="HA69" s="198" t="n"/>
      <c r="HB69" s="198" t="n"/>
      <c r="HC69" s="198" t="n"/>
      <c r="HD69" s="198" t="n"/>
      <c r="HE69" s="198" t="n"/>
      <c r="HF69" s="198" t="n"/>
      <c r="HG69" s="198" t="n"/>
      <c r="HH69" s="198" t="n"/>
      <c r="HI69" s="198" t="n"/>
      <c r="HJ69" s="198" t="n"/>
      <c r="HK69" s="198" t="n"/>
      <c r="HL69" s="198" t="n"/>
      <c r="HM69" s="198" t="n"/>
      <c r="HN69" s="198" t="n"/>
      <c r="HO69" s="198" t="n"/>
      <c r="HP69" s="198" t="n"/>
      <c r="HQ69" s="198" t="n"/>
      <c r="HR69" s="198" t="n"/>
      <c r="HS69" s="198" t="n"/>
      <c r="HT69" s="198" t="n"/>
      <c r="HU69" s="198" t="n"/>
      <c r="HV69" s="198" t="n"/>
      <c r="HW69" s="198" t="n"/>
      <c r="HX69" s="198" t="n"/>
      <c r="HY69" s="198" t="n"/>
      <c r="HZ69" s="198" t="n"/>
      <c r="IA69" s="198" t="n"/>
      <c r="IB69" s="198" t="n"/>
      <c r="IC69" s="198" t="n"/>
      <c r="ID69" s="198" t="n"/>
      <c r="IE69" s="198" t="n"/>
      <c r="IF69" s="198" t="n"/>
      <c r="IG69" s="198" t="n"/>
      <c r="IH69" s="198" t="n"/>
      <c r="II69" s="198" t="n"/>
      <c r="IJ69" s="198" t="n"/>
      <c r="IK69" s="198" t="n"/>
      <c r="IL69" s="198" t="n"/>
      <c r="IM69" s="198" t="n"/>
      <c r="IN69" s="198" t="n"/>
      <c r="IO69" s="198" t="n"/>
      <c r="IP69" s="198" t="n"/>
      <c r="IQ69" s="198" t="n"/>
      <c r="IR69" s="198" t="n"/>
      <c r="IS69" s="198" t="n"/>
      <c r="IT69" s="198" t="n"/>
      <c r="IU69" s="198" t="n"/>
      <c r="IV69" s="198" t="n"/>
      <c r="IW69" s="198" t="n"/>
      <c r="IX69" s="198" t="n"/>
      <c r="IY69" s="198" t="n"/>
      <c r="IZ69" s="198" t="n"/>
      <c r="JA69" s="198" t="n"/>
      <c r="JB69" s="198" t="n"/>
      <c r="JC69" s="198" t="n"/>
      <c r="JD69" s="198" t="n"/>
      <c r="JE69" s="198" t="n"/>
      <c r="JF69" s="198" t="n"/>
      <c r="JG69" s="198" t="n"/>
      <c r="JH69" s="198" t="n"/>
      <c r="JI69" s="198" t="n"/>
      <c r="JJ69" s="198" t="n"/>
      <c r="JK69" s="198" t="n"/>
      <c r="JL69" s="198" t="n"/>
      <c r="JM69" s="198" t="n"/>
      <c r="JN69" s="198" t="n"/>
      <c r="JO69" s="198" t="n"/>
      <c r="JP69" s="198" t="n"/>
      <c r="JQ69" s="198" t="n"/>
      <c r="JR69" s="198" t="n"/>
      <c r="JS69" s="198" t="n"/>
      <c r="JT69" s="198" t="n"/>
      <c r="JU69" s="198" t="n"/>
      <c r="JV69" s="198" t="n"/>
      <c r="JW69" s="198" t="n"/>
      <c r="JX69" s="198" t="n"/>
      <c r="JY69" s="198" t="n"/>
      <c r="JZ69" s="198" t="n"/>
      <c r="KA69" s="198" t="n"/>
      <c r="KB69" s="198" t="n"/>
      <c r="KC69" s="198" t="n"/>
      <c r="KD69" s="198" t="n"/>
      <c r="KE69" s="198" t="n"/>
      <c r="KF69" s="198" t="n"/>
      <c r="KG69" s="198" t="n"/>
      <c r="KH69" s="198" t="n"/>
      <c r="KI69" s="198" t="n"/>
      <c r="KJ69" s="198" t="n"/>
      <c r="KK69" s="198" t="n"/>
      <c r="KL69" s="198" t="n"/>
      <c r="KM69" s="198" t="n"/>
      <c r="KN69" s="198" t="n"/>
      <c r="KO69" s="198" t="n"/>
      <c r="KP69" s="198" t="n"/>
      <c r="KQ69" s="198" t="n"/>
      <c r="KR69" s="198" t="n"/>
      <c r="KS69" s="198" t="n"/>
      <c r="KT69" s="198" t="n"/>
      <c r="KU69" s="198" t="n"/>
      <c r="KV69" s="198" t="n"/>
      <c r="KW69" s="198" t="n"/>
      <c r="KX69" s="198" t="n"/>
      <c r="KY69" s="198" t="n"/>
      <c r="KZ69" s="198" t="n"/>
      <c r="LA69" s="198" t="n"/>
      <c r="LB69" s="198" t="n"/>
      <c r="LC69" s="198" t="n"/>
      <c r="LD69" s="198" t="n"/>
      <c r="LE69" s="198" t="n"/>
      <c r="LF69" s="198" t="n"/>
      <c r="LG69" s="198" t="n"/>
      <c r="LH69" s="198" t="n"/>
      <c r="LI69" s="198" t="n"/>
      <c r="LJ69" s="198" t="n"/>
      <c r="LK69" s="198" t="n"/>
      <c r="LL69" s="198" t="n"/>
      <c r="LM69" s="198" t="n"/>
      <c r="LN69" s="198" t="n"/>
      <c r="LO69" s="198" t="n"/>
      <c r="LP69" s="198" t="n"/>
      <c r="LQ69" s="198" t="n"/>
      <c r="LR69" s="198" t="n"/>
      <c r="LS69" s="198" t="n"/>
      <c r="LT69" s="198" t="n"/>
      <c r="LU69" s="198" t="n"/>
      <c r="LV69" s="198" t="n"/>
      <c r="LW69" s="198" t="n"/>
      <c r="LX69" s="198" t="n"/>
      <c r="LY69" s="198" t="n"/>
      <c r="LZ69" s="198" t="n"/>
      <c r="MA69" s="198" t="n"/>
      <c r="MB69" s="198" t="n"/>
      <c r="MC69" s="198" t="n"/>
      <c r="MD69" s="198" t="n"/>
      <c r="ME69" s="198" t="n"/>
      <c r="MF69" s="198" t="n"/>
      <c r="MG69" s="198" t="n"/>
      <c r="MH69" s="198" t="n"/>
      <c r="MI69" s="198" t="n"/>
      <c r="MJ69" s="198" t="n"/>
      <c r="MK69" s="198" t="n"/>
      <c r="ML69" s="198" t="n"/>
      <c r="MM69" s="198" t="n"/>
      <c r="MN69" s="198" t="n"/>
      <c r="MO69" s="198" t="n"/>
      <c r="MP69" s="198" t="n"/>
      <c r="MQ69" s="198" t="n"/>
      <c r="MR69" s="198" t="n"/>
      <c r="MS69" s="198" t="n"/>
      <c r="MT69" s="198" t="n"/>
      <c r="MU69" s="198" t="n"/>
      <c r="MV69" s="198" t="n"/>
      <c r="MW69" s="198" t="n"/>
      <c r="MX69" s="198" t="n"/>
      <c r="MY69" s="198" t="n"/>
      <c r="MZ69" s="198" t="n"/>
      <c r="NA69" s="198" t="n"/>
      <c r="NB69" s="198" t="n"/>
      <c r="NC69" s="198" t="n"/>
      <c r="ND69" s="198" t="n"/>
      <c r="NE69" s="198" t="n"/>
      <c r="NF69" s="198" t="n"/>
      <c r="NG69" s="198" t="n"/>
      <c r="NH69" s="198" t="n"/>
      <c r="NI69" s="198" t="n"/>
      <c r="NJ69" s="198" t="n"/>
      <c r="NK69" s="198" t="n"/>
      <c r="NL69" s="198" t="n"/>
      <c r="NM69" s="198" t="n"/>
      <c r="NN69" s="198" t="n"/>
      <c r="NO69" s="198" t="n"/>
      <c r="NP69" s="198" t="n"/>
      <c r="NQ69" s="198" t="n"/>
      <c r="NR69" s="198" t="n"/>
      <c r="NS69" s="198" t="n"/>
      <c r="NT69" s="198" t="n"/>
      <c r="NU69" s="198" t="n"/>
      <c r="NV69" s="198" t="n"/>
      <c r="NW69" s="198" t="n"/>
      <c r="NX69" s="198" t="n"/>
      <c r="NY69" s="198" t="n"/>
      <c r="NZ69" s="198" t="n"/>
      <c r="OA69" s="198" t="n"/>
      <c r="OB69" s="198" t="n"/>
      <c r="OC69" s="198" t="n"/>
      <c r="OD69" s="198" t="n"/>
      <c r="OE69" s="198" t="n"/>
      <c r="OF69" s="198" t="n"/>
      <c r="OG69" s="198" t="n"/>
      <c r="OH69" s="198" t="n"/>
      <c r="OI69" s="198" t="n"/>
      <c r="OJ69" s="198" t="n"/>
      <c r="OK69" s="198" t="n"/>
      <c r="OL69" s="198" t="n"/>
      <c r="OM69" s="198" t="n"/>
      <c r="ON69" s="198" t="n"/>
      <c r="OO69" s="198" t="n"/>
      <c r="OP69" s="198" t="n"/>
      <c r="OQ69" s="198" t="n"/>
      <c r="OR69" s="198" t="n"/>
      <c r="OS69" s="198" t="n"/>
      <c r="OT69" s="198" t="n"/>
      <c r="OU69" s="198" t="n"/>
      <c r="OV69" s="198" t="n"/>
      <c r="OW69" s="198" t="n"/>
      <c r="OX69" s="198" t="n"/>
      <c r="OY69" s="198" t="n"/>
      <c r="OZ69" s="198" t="n"/>
      <c r="PA69" s="198" t="n"/>
      <c r="PB69" s="198" t="n"/>
      <c r="PC69" s="198" t="n"/>
      <c r="PD69" s="198" t="n"/>
      <c r="PE69" s="198" t="n"/>
      <c r="PF69" s="198" t="n"/>
      <c r="PG69" s="198" t="n"/>
      <c r="PH69" s="198" t="n"/>
      <c r="PI69" s="198" t="n"/>
      <c r="PJ69" s="198" t="n"/>
      <c r="PK69" s="198" t="n"/>
      <c r="PL69" s="198" t="n"/>
      <c r="PM69" s="198" t="n"/>
      <c r="PN69" s="198" t="n"/>
      <c r="PO69" s="198" t="n"/>
      <c r="PP69" s="198" t="n"/>
      <c r="PQ69" s="198" t="n"/>
      <c r="PR69" s="198" t="n"/>
      <c r="PS69" s="198" t="n"/>
      <c r="PT69" s="198" t="n"/>
      <c r="PU69" s="198" t="n"/>
      <c r="PV69" s="198" t="n"/>
      <c r="PW69" s="198" t="n"/>
      <c r="PX69" s="198" t="n"/>
      <c r="PY69" s="198" t="n"/>
      <c r="PZ69" s="198" t="n"/>
      <c r="QA69" s="198" t="n"/>
      <c r="QB69" s="198" t="n"/>
      <c r="QC69" s="198" t="n"/>
      <c r="QD69" s="198" t="n"/>
      <c r="QE69" s="198" t="n"/>
      <c r="QF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c r="V70" s="198" t="n"/>
      <c r="W70" s="198" t="n"/>
      <c r="X70" s="198" t="n"/>
      <c r="Y70" s="198" t="n"/>
      <c r="Z70" s="198" t="n"/>
      <c r="AA70" s="198" t="n"/>
      <c r="AB70" s="198" t="n"/>
      <c r="AC70" s="198" t="n"/>
      <c r="AD70" s="198" t="n"/>
      <c r="AE70" s="198" t="n"/>
      <c r="AF70" s="198" t="n"/>
      <c r="AG70" s="198" t="n"/>
      <c r="AH70" s="198" t="n"/>
      <c r="AI70" s="198" t="n"/>
      <c r="AJ70" s="198" t="n"/>
      <c r="AK70" s="198" t="n"/>
      <c r="AL70" s="198" t="n"/>
      <c r="AM70" s="198" t="n"/>
      <c r="AN70" s="198" t="n"/>
      <c r="AO70" s="198" t="n"/>
      <c r="AP70" s="198" t="n"/>
      <c r="AQ70" s="198" t="n"/>
      <c r="AR70" s="198" t="n"/>
      <c r="AS70" s="198" t="n"/>
      <c r="AT70" s="198" t="n"/>
      <c r="AU70" s="198" t="n"/>
      <c r="AV70" s="198" t="n"/>
      <c r="AW70" s="198" t="n"/>
      <c r="AX70" s="198" t="n"/>
      <c r="AY70" s="198" t="n"/>
      <c r="AZ70" s="198" t="n"/>
      <c r="BA70" s="198" t="n"/>
      <c r="BB70" s="198" t="n"/>
      <c r="BC70" s="198" t="n"/>
      <c r="BD70" s="198" t="n"/>
      <c r="BE70" s="198" t="n"/>
      <c r="BF70" s="198" t="n"/>
      <c r="BG70" s="198" t="n"/>
      <c r="BH70" s="198" t="n"/>
      <c r="BI70" s="198" t="n"/>
      <c r="BJ70" s="198" t="n"/>
      <c r="BK70" s="198" t="n"/>
      <c r="BL70" s="198" t="n"/>
      <c r="BM70" s="198" t="n"/>
      <c r="BN70" s="198" t="n"/>
      <c r="BO70" s="198" t="n"/>
      <c r="BP70" s="198" t="n"/>
      <c r="BQ70" s="198" t="n"/>
      <c r="BR70" s="198" t="n"/>
      <c r="BS70" s="198" t="n"/>
      <c r="BT70" s="198" t="n"/>
      <c r="BU70" s="198" t="n"/>
      <c r="BV70" s="198" t="n"/>
      <c r="BW70" s="198" t="n"/>
      <c r="BX70" s="198" t="n"/>
      <c r="BY70" s="198" t="n"/>
      <c r="BZ70" s="198" t="n"/>
      <c r="CA70" s="198" t="n"/>
      <c r="CB70" s="198" t="n"/>
      <c r="CC70" s="198" t="n"/>
      <c r="CD70" s="198" t="n"/>
      <c r="CE70" s="198" t="n"/>
      <c r="CF70" s="198" t="n"/>
      <c r="CG70" s="198" t="n"/>
      <c r="CH70" s="198" t="n"/>
      <c r="CI70" s="198" t="n"/>
      <c r="CJ70" s="198" t="n"/>
      <c r="CK70" s="198" t="n"/>
      <c r="CL70" s="198" t="n"/>
      <c r="CM70" s="198" t="n"/>
      <c r="CN70" s="198" t="n"/>
      <c r="CO70" s="198" t="n"/>
      <c r="CP70" s="198" t="n"/>
      <c r="CQ70" s="198" t="n"/>
      <c r="CR70" s="198" t="n"/>
      <c r="CS70" s="198" t="n"/>
      <c r="CT70" s="198" t="n"/>
      <c r="CU70" s="198" t="n"/>
      <c r="CV70" s="198" t="n"/>
      <c r="CW70" s="198" t="n"/>
      <c r="CX70" s="198" t="n"/>
      <c r="CY70" s="198" t="n"/>
      <c r="CZ70" s="198" t="n"/>
      <c r="DA70" s="198" t="n"/>
      <c r="DB70" s="198" t="n"/>
      <c r="DC70" s="198" t="n"/>
      <c r="DD70" s="198" t="n"/>
      <c r="DE70" s="198" t="n"/>
      <c r="DF70" s="198" t="n"/>
      <c r="DG70" s="198" t="n"/>
      <c r="DH70" s="198" t="n"/>
      <c r="DI70" s="198" t="n"/>
      <c r="DJ70" s="198" t="n"/>
      <c r="DK70" s="198" t="n"/>
      <c r="DL70" s="198" t="n"/>
      <c r="DM70" s="198" t="n"/>
      <c r="DN70" s="198" t="n"/>
      <c r="DO70" s="198" t="n"/>
      <c r="DP70" s="198" t="n"/>
      <c r="DQ70" s="198" t="n"/>
      <c r="DR70" s="198" t="n"/>
      <c r="DS70" s="198" t="n"/>
      <c r="DT70" s="198" t="n"/>
      <c r="DU70" s="198" t="n"/>
      <c r="DV70" s="198" t="n"/>
      <c r="DW70" s="198" t="n"/>
      <c r="DX70" s="198" t="n"/>
      <c r="DY70" s="198" t="n"/>
      <c r="DZ70" s="198" t="n"/>
      <c r="EA70" s="198" t="n"/>
      <c r="EB70" s="198" t="n"/>
      <c r="EC70" s="198" t="n"/>
      <c r="ED70" s="198" t="n"/>
      <c r="EE70" s="198" t="n"/>
      <c r="EF70" s="198" t="n"/>
      <c r="EG70" s="198" t="n"/>
      <c r="EH70" s="198" t="n"/>
      <c r="EI70" s="198" t="n"/>
      <c r="EJ70" s="198" t="n"/>
      <c r="EK70" s="198" t="n"/>
      <c r="EL70" s="198" t="n"/>
      <c r="EM70" s="198" t="n"/>
      <c r="EN70" s="198" t="n"/>
      <c r="EO70" s="198" t="n"/>
      <c r="EP70" s="198" t="n"/>
      <c r="EQ70" s="198" t="n"/>
      <c r="ER70" s="198" t="n"/>
      <c r="ES70" s="198" t="n"/>
      <c r="ET70" s="198" t="n"/>
      <c r="EU70" s="198" t="n"/>
      <c r="EV70" s="198" t="n"/>
      <c r="EW70" s="198" t="n"/>
      <c r="EX70" s="198" t="n"/>
      <c r="EY70" s="198" t="n"/>
      <c r="EZ70" s="198" t="n"/>
      <c r="FA70" s="198" t="n"/>
      <c r="FB70" s="198" t="n"/>
      <c r="FC70" s="198" t="n"/>
      <c r="FD70" s="198" t="n"/>
      <c r="FE70" s="198" t="n"/>
      <c r="FF70" s="198" t="n"/>
      <c r="FG70" s="198" t="n"/>
      <c r="FH70" s="198" t="n"/>
      <c r="FI70" s="198" t="n"/>
      <c r="FJ70" s="198" t="n"/>
      <c r="FK70" s="198" t="n"/>
      <c r="FL70" s="198" t="n"/>
      <c r="FM70" s="198" t="n"/>
      <c r="FN70" s="198" t="n"/>
      <c r="FO70" s="198" t="n"/>
      <c r="FP70" s="198" t="n"/>
      <c r="FQ70" s="198" t="n"/>
      <c r="FR70" s="198" t="n"/>
      <c r="FS70" s="198" t="n"/>
      <c r="FT70" s="198" t="n"/>
      <c r="FU70" s="198" t="n"/>
      <c r="FV70" s="198" t="n"/>
      <c r="FW70" s="198" t="n"/>
      <c r="FX70" s="198" t="n"/>
      <c r="FY70" s="198" t="n"/>
      <c r="FZ70" s="198" t="n"/>
      <c r="GA70" s="198" t="n"/>
      <c r="GB70" s="198" t="n"/>
      <c r="GC70" s="198" t="n"/>
      <c r="GD70" s="198" t="n"/>
      <c r="GE70" s="198" t="n"/>
      <c r="GF70" s="198" t="n"/>
      <c r="GG70" s="198" t="n"/>
      <c r="GH70" s="198" t="n"/>
      <c r="GI70" s="198" t="n"/>
      <c r="GJ70" s="198" t="n"/>
      <c r="GK70" s="198" t="n"/>
      <c r="GL70" s="198" t="n"/>
      <c r="GM70" s="198" t="n"/>
      <c r="GN70" s="198" t="n"/>
      <c r="GO70" s="198" t="n"/>
      <c r="GP70" s="198" t="n"/>
      <c r="GQ70" s="198" t="n"/>
      <c r="GR70" s="198" t="n"/>
      <c r="GS70" s="198" t="n"/>
      <c r="GT70" s="198" t="n"/>
      <c r="GU70" s="198" t="n"/>
      <c r="GV70" s="198" t="n"/>
      <c r="GW70" s="198" t="n"/>
      <c r="GX70" s="198" t="n"/>
      <c r="GY70" s="198" t="n"/>
      <c r="GZ70" s="198" t="n"/>
      <c r="HA70" s="198" t="n"/>
      <c r="HB70" s="198" t="n"/>
      <c r="HC70" s="198" t="n"/>
      <c r="HD70" s="198" t="n"/>
      <c r="HE70" s="198" t="n"/>
      <c r="HF70" s="198" t="n"/>
      <c r="HG70" s="198" t="n"/>
      <c r="HH70" s="198" t="n"/>
      <c r="HI70" s="198" t="n"/>
      <c r="HJ70" s="198" t="n"/>
      <c r="HK70" s="198" t="n"/>
      <c r="HL70" s="198" t="n"/>
      <c r="HM70" s="198" t="n"/>
      <c r="HN70" s="198" t="n"/>
      <c r="HO70" s="198" t="n"/>
      <c r="HP70" s="198" t="n"/>
      <c r="HQ70" s="198" t="n"/>
      <c r="HR70" s="198" t="n"/>
      <c r="HS70" s="198" t="n"/>
      <c r="HT70" s="198" t="n"/>
      <c r="HU70" s="198" t="n"/>
      <c r="HV70" s="198" t="n"/>
      <c r="HW70" s="198" t="n"/>
      <c r="HX70" s="198" t="n"/>
      <c r="HY70" s="198" t="n"/>
      <c r="HZ70" s="198" t="n"/>
      <c r="IA70" s="198" t="n"/>
      <c r="IB70" s="198" t="n"/>
      <c r="IC70" s="198" t="n"/>
      <c r="ID70" s="198" t="n"/>
      <c r="IE70" s="198" t="n"/>
      <c r="IF70" s="198" t="n"/>
      <c r="IG70" s="198" t="n"/>
      <c r="IH70" s="198" t="n"/>
      <c r="II70" s="198" t="n"/>
      <c r="IJ70" s="198" t="n"/>
      <c r="IK70" s="198" t="n"/>
      <c r="IL70" s="198" t="n"/>
      <c r="IM70" s="198" t="n"/>
      <c r="IN70" s="198" t="n"/>
      <c r="IO70" s="198" t="n"/>
      <c r="IP70" s="198" t="n"/>
      <c r="IQ70" s="198" t="n"/>
      <c r="IR70" s="198" t="n"/>
      <c r="IS70" s="198" t="n"/>
      <c r="IT70" s="198" t="n"/>
      <c r="IU70" s="198" t="n"/>
      <c r="IV70" s="198" t="n"/>
      <c r="IW70" s="198" t="n"/>
      <c r="IX70" s="198" t="n"/>
      <c r="IY70" s="198" t="n"/>
      <c r="IZ70" s="198" t="n"/>
      <c r="JA70" s="198" t="n"/>
      <c r="JB70" s="198" t="n"/>
      <c r="JC70" s="198" t="n"/>
      <c r="JD70" s="198" t="n"/>
      <c r="JE70" s="198" t="n"/>
      <c r="JF70" s="198" t="n"/>
      <c r="JG70" s="198" t="n"/>
      <c r="JH70" s="198" t="n"/>
      <c r="JI70" s="198" t="n"/>
      <c r="JJ70" s="198" t="n"/>
      <c r="JK70" s="198" t="n"/>
      <c r="JL70" s="198" t="n"/>
      <c r="JM70" s="198" t="n"/>
      <c r="JN70" s="198" t="n"/>
      <c r="JO70" s="198" t="n"/>
      <c r="JP70" s="198" t="n"/>
      <c r="JQ70" s="198" t="n"/>
      <c r="JR70" s="198" t="n"/>
      <c r="JS70" s="198" t="n"/>
      <c r="JT70" s="198" t="n"/>
      <c r="JU70" s="198" t="n"/>
      <c r="JV70" s="198" t="n"/>
      <c r="JW70" s="198" t="n"/>
      <c r="JX70" s="198" t="n"/>
      <c r="JY70" s="198" t="n"/>
      <c r="JZ70" s="198" t="n"/>
      <c r="KA70" s="198" t="n"/>
      <c r="KB70" s="198" t="n"/>
      <c r="KC70" s="198" t="n"/>
      <c r="KD70" s="198" t="n"/>
      <c r="KE70" s="198" t="n"/>
      <c r="KF70" s="198" t="n"/>
      <c r="KG70" s="198" t="n"/>
      <c r="KH70" s="198" t="n"/>
      <c r="KI70" s="198" t="n"/>
      <c r="KJ70" s="198" t="n"/>
      <c r="KK70" s="198" t="n"/>
      <c r="KL70" s="198" t="n"/>
      <c r="KM70" s="198" t="n"/>
      <c r="KN70" s="198" t="n"/>
      <c r="KO70" s="198" t="n"/>
      <c r="KP70" s="198" t="n"/>
      <c r="KQ70" s="198" t="n"/>
      <c r="KR70" s="198" t="n"/>
      <c r="KS70" s="198" t="n"/>
      <c r="KT70" s="198" t="n"/>
      <c r="KU70" s="198" t="n"/>
      <c r="KV70" s="198" t="n"/>
      <c r="KW70" s="198" t="n"/>
      <c r="KX70" s="198" t="n"/>
      <c r="KY70" s="198" t="n"/>
      <c r="KZ70" s="198" t="n"/>
      <c r="LA70" s="198" t="n"/>
      <c r="LB70" s="198" t="n"/>
      <c r="LC70" s="198" t="n"/>
      <c r="LD70" s="198" t="n"/>
      <c r="LE70" s="198" t="n"/>
      <c r="LF70" s="198" t="n"/>
      <c r="LG70" s="198" t="n"/>
      <c r="LH70" s="198" t="n"/>
      <c r="LI70" s="198" t="n"/>
      <c r="LJ70" s="198" t="n"/>
      <c r="LK70" s="198" t="n"/>
      <c r="LL70" s="198" t="n"/>
      <c r="LM70" s="198" t="n"/>
      <c r="LN70" s="198" t="n"/>
      <c r="LO70" s="198" t="n"/>
      <c r="LP70" s="198" t="n"/>
      <c r="LQ70" s="198" t="n"/>
      <c r="LR70" s="198" t="n"/>
      <c r="LS70" s="198" t="n"/>
      <c r="LT70" s="198" t="n"/>
      <c r="LU70" s="198" t="n"/>
      <c r="LV70" s="198" t="n"/>
      <c r="LW70" s="198" t="n"/>
      <c r="LX70" s="198" t="n"/>
      <c r="LY70" s="198" t="n"/>
      <c r="LZ70" s="198" t="n"/>
      <c r="MA70" s="198" t="n"/>
      <c r="MB70" s="198" t="n"/>
      <c r="MC70" s="198" t="n"/>
      <c r="MD70" s="198" t="n"/>
      <c r="ME70" s="198" t="n"/>
      <c r="MF70" s="198" t="n"/>
      <c r="MG70" s="198" t="n"/>
      <c r="MH70" s="198" t="n"/>
      <c r="MI70" s="198" t="n"/>
      <c r="MJ70" s="198" t="n"/>
      <c r="MK70" s="198" t="n"/>
      <c r="ML70" s="198" t="n"/>
      <c r="MM70" s="198" t="n"/>
      <c r="MN70" s="198" t="n"/>
      <c r="MO70" s="198" t="n"/>
      <c r="MP70" s="198" t="n"/>
      <c r="MQ70" s="198" t="n"/>
      <c r="MR70" s="198" t="n"/>
      <c r="MS70" s="198" t="n"/>
      <c r="MT70" s="198" t="n"/>
      <c r="MU70" s="198" t="n"/>
      <c r="MV70" s="198" t="n"/>
      <c r="MW70" s="198" t="n"/>
      <c r="MX70" s="198" t="n"/>
      <c r="MY70" s="198" t="n"/>
      <c r="MZ70" s="198" t="n"/>
      <c r="NA70" s="198" t="n"/>
      <c r="NB70" s="198" t="n"/>
      <c r="NC70" s="198" t="n"/>
      <c r="ND70" s="198" t="n"/>
      <c r="NE70" s="198" t="n"/>
      <c r="NF70" s="198" t="n"/>
      <c r="NG70" s="198" t="n"/>
      <c r="NH70" s="198" t="n"/>
      <c r="NI70" s="198" t="n"/>
      <c r="NJ70" s="198" t="n"/>
      <c r="NK70" s="198" t="n"/>
      <c r="NL70" s="198" t="n"/>
      <c r="NM70" s="198" t="n"/>
      <c r="NN70" s="198" t="n"/>
      <c r="NO70" s="198" t="n"/>
      <c r="NP70" s="198" t="n"/>
      <c r="NQ70" s="198" t="n"/>
      <c r="NR70" s="198" t="n"/>
      <c r="NS70" s="198" t="n"/>
      <c r="NT70" s="198" t="n"/>
      <c r="NU70" s="198" t="n"/>
      <c r="NV70" s="198" t="n"/>
      <c r="NW70" s="198" t="n"/>
      <c r="NX70" s="198" t="n"/>
      <c r="NY70" s="198" t="n"/>
      <c r="NZ70" s="198" t="n"/>
      <c r="OA70" s="198" t="n"/>
      <c r="OB70" s="198" t="n"/>
      <c r="OC70" s="198" t="n"/>
      <c r="OD70" s="198" t="n"/>
      <c r="OE70" s="198" t="n"/>
      <c r="OF70" s="198" t="n"/>
      <c r="OG70" s="198" t="n"/>
      <c r="OH70" s="198" t="n"/>
      <c r="OI70" s="198" t="n"/>
      <c r="OJ70" s="198" t="n"/>
      <c r="OK70" s="198" t="n"/>
      <c r="OL70" s="198" t="n"/>
      <c r="OM70" s="198" t="n"/>
      <c r="ON70" s="198" t="n"/>
      <c r="OO70" s="198" t="n"/>
      <c r="OP70" s="198" t="n"/>
      <c r="OQ70" s="198" t="n"/>
      <c r="OR70" s="198" t="n"/>
      <c r="OS70" s="198" t="n"/>
      <c r="OT70" s="198" t="n"/>
      <c r="OU70" s="198" t="n"/>
      <c r="OV70" s="198" t="n"/>
      <c r="OW70" s="198" t="n"/>
      <c r="OX70" s="198" t="n"/>
      <c r="OY70" s="198" t="n"/>
      <c r="OZ70" s="198" t="n"/>
      <c r="PA70" s="198" t="n"/>
      <c r="PB70" s="198" t="n"/>
      <c r="PC70" s="198" t="n"/>
      <c r="PD70" s="198" t="n"/>
      <c r="PE70" s="198" t="n"/>
      <c r="PF70" s="198" t="n"/>
      <c r="PG70" s="198" t="n"/>
      <c r="PH70" s="198" t="n"/>
      <c r="PI70" s="198" t="n"/>
      <c r="PJ70" s="198" t="n"/>
      <c r="PK70" s="198" t="n"/>
      <c r="PL70" s="198" t="n"/>
      <c r="PM70" s="198" t="n"/>
      <c r="PN70" s="198" t="n"/>
      <c r="PO70" s="198" t="n"/>
      <c r="PP70" s="198" t="n"/>
      <c r="PQ70" s="198" t="n"/>
      <c r="PR70" s="198" t="n"/>
      <c r="PS70" s="198" t="n"/>
      <c r="PT70" s="198" t="n"/>
      <c r="PU70" s="198" t="n"/>
      <c r="PV70" s="198" t="n"/>
      <c r="PW70" s="198" t="n"/>
      <c r="PX70" s="198" t="n"/>
      <c r="PY70" s="198" t="n"/>
      <c r="PZ70" s="198" t="n"/>
      <c r="QA70" s="198" t="n"/>
      <c r="QB70" s="198" t="n"/>
      <c r="QC70" s="198" t="n"/>
      <c r="QD70" s="198" t="n"/>
      <c r="QE70" s="198" t="n"/>
      <c r="QF70" s="198" t="n"/>
      <c r="QG70" s="198" t="n"/>
      <c r="QH70" s="198" t="n"/>
      <c r="QI70" s="198" t="n"/>
      <c r="QJ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c r="V71" s="198" t="n"/>
      <c r="W71" s="198" t="n"/>
      <c r="X71" s="198" t="n"/>
      <c r="Y71" s="198" t="n"/>
      <c r="Z71" s="198" t="n"/>
      <c r="AA71" s="198" t="n"/>
      <c r="AB71" s="198" t="n"/>
      <c r="AC71" s="198" t="n"/>
      <c r="AD71" s="198" t="n"/>
      <c r="AE71" s="198" t="n"/>
      <c r="AF71" s="198" t="n"/>
      <c r="AG71" s="198" t="n"/>
      <c r="AH71" s="198" t="n"/>
      <c r="AI71" s="198" t="n"/>
      <c r="AJ71" s="198" t="n"/>
      <c r="AK71" s="198" t="n"/>
      <c r="AL71" s="198" t="n"/>
      <c r="AM71" s="198" t="n"/>
      <c r="AN71" s="198" t="n"/>
      <c r="AO71" s="198" t="n"/>
      <c r="AP71" s="198" t="n"/>
      <c r="AQ71" s="198" t="n"/>
      <c r="AR71" s="198" t="n"/>
      <c r="AS71" s="198" t="n"/>
      <c r="AT71" s="198" t="n"/>
      <c r="AU71" s="198" t="n"/>
      <c r="AV71" s="198" t="n"/>
      <c r="AW71" s="198" t="n"/>
      <c r="AX71" s="198" t="n"/>
      <c r="AY71" s="198" t="n"/>
      <c r="AZ71" s="198" t="n"/>
      <c r="BA71" s="198" t="n"/>
      <c r="BB71" s="198" t="n"/>
      <c r="BC71" s="198" t="n"/>
      <c r="BD71" s="198" t="n"/>
      <c r="BE71" s="198" t="n"/>
      <c r="BF71" s="198" t="n"/>
      <c r="BG71" s="198" t="n"/>
      <c r="BH71" s="198" t="n"/>
      <c r="BI71" s="198" t="n"/>
      <c r="BJ71" s="198" t="n"/>
      <c r="BK71" s="198" t="n"/>
      <c r="BL71" s="198" t="n"/>
      <c r="BM71" s="198" t="n"/>
      <c r="BN71" s="198" t="n"/>
      <c r="BO71" s="198" t="n"/>
      <c r="BP71" s="198" t="n"/>
      <c r="BQ71" s="198" t="n"/>
      <c r="BR71" s="198" t="n"/>
      <c r="BS71" s="198" t="n"/>
      <c r="BT71" s="198" t="n"/>
      <c r="BU71" s="198" t="n"/>
      <c r="BV71" s="198" t="n"/>
      <c r="BW71" s="198" t="n"/>
      <c r="BX71" s="198" t="n"/>
      <c r="BY71" s="198" t="n"/>
      <c r="BZ71" s="198" t="n"/>
      <c r="CA71" s="198" t="n"/>
      <c r="CB71" s="198" t="n"/>
      <c r="CC71" s="198" t="n"/>
      <c r="CD71" s="198" t="n"/>
      <c r="CE71" s="198" t="n"/>
      <c r="CF71" s="198" t="n"/>
      <c r="CG71" s="198" t="n"/>
      <c r="CH71" s="198" t="n"/>
      <c r="CI71" s="198" t="n"/>
      <c r="CJ71" s="198" t="n"/>
      <c r="CK71" s="198" t="n"/>
      <c r="CL71" s="198" t="n"/>
      <c r="CM71" s="198" t="n"/>
      <c r="CN71" s="198" t="n"/>
      <c r="CO71" s="198" t="n"/>
      <c r="CP71" s="198" t="n"/>
      <c r="CQ71" s="198" t="n"/>
      <c r="CR71" s="198" t="n"/>
      <c r="CS71" s="198" t="n"/>
      <c r="CT71" s="198" t="n"/>
      <c r="CU71" s="198" t="n"/>
      <c r="CV71" s="198" t="n"/>
      <c r="CW71" s="198" t="n"/>
      <c r="CX71" s="198" t="n"/>
      <c r="CY71" s="198" t="n"/>
      <c r="CZ71" s="198" t="n"/>
      <c r="DA71" s="198" t="n"/>
      <c r="DB71" s="198" t="n"/>
      <c r="DC71" s="198" t="n"/>
      <c r="DD71" s="198" t="n"/>
      <c r="DE71" s="198" t="n"/>
      <c r="DF71" s="198" t="n"/>
      <c r="DG71" s="198" t="n"/>
      <c r="DH71" s="198" t="n"/>
      <c r="DI71" s="198" t="n"/>
      <c r="DJ71" s="198" t="n"/>
      <c r="DK71" s="198" t="n"/>
      <c r="DL71" s="198" t="n"/>
      <c r="DM71" s="198" t="n"/>
      <c r="DN71" s="198" t="n"/>
      <c r="DO71" s="198" t="n"/>
      <c r="DP71" s="198" t="n"/>
      <c r="DQ71" s="198" t="n"/>
      <c r="DR71" s="198" t="n"/>
      <c r="DS71" s="198" t="n"/>
      <c r="DT71" s="198" t="n"/>
      <c r="DU71" s="198" t="n"/>
      <c r="DV71" s="198" t="n"/>
      <c r="DW71" s="198" t="n"/>
      <c r="DX71" s="198" t="n"/>
      <c r="DY71" s="198" t="n"/>
      <c r="DZ71" s="198" t="n"/>
      <c r="EA71" s="198" t="n"/>
      <c r="EB71" s="198" t="n"/>
      <c r="EC71" s="198" t="n"/>
      <c r="ED71" s="198" t="n"/>
      <c r="EE71" s="198" t="n"/>
      <c r="EF71" s="198" t="n"/>
      <c r="EG71" s="198" t="n"/>
      <c r="EH71" s="198" t="n"/>
      <c r="EI71" s="198" t="n"/>
      <c r="EJ71" s="198" t="n"/>
      <c r="EK71" s="198" t="n"/>
      <c r="EL71" s="198" t="n"/>
      <c r="EM71" s="198" t="n"/>
      <c r="EN71" s="198" t="n"/>
      <c r="EO71" s="198" t="n"/>
      <c r="EP71" s="198" t="n"/>
      <c r="EQ71" s="198" t="n"/>
      <c r="ER71" s="198" t="n"/>
      <c r="ES71" s="198" t="n"/>
      <c r="ET71" s="198" t="n"/>
      <c r="EU71" s="198" t="n"/>
      <c r="EV71" s="198" t="n"/>
      <c r="EW71" s="198" t="n"/>
      <c r="EX71" s="198" t="n"/>
      <c r="EY71" s="198" t="n"/>
      <c r="EZ71" s="198" t="n"/>
      <c r="FA71" s="198" t="n"/>
      <c r="FB71" s="198" t="n"/>
      <c r="FC71" s="198" t="n"/>
      <c r="FD71" s="198" t="n"/>
      <c r="FE71" s="198" t="n"/>
      <c r="FF71" s="198" t="n"/>
      <c r="FG71" s="198" t="n"/>
      <c r="FH71" s="198" t="n"/>
      <c r="FI71" s="198" t="n"/>
      <c r="FJ71" s="198" t="n"/>
      <c r="FK71" s="198" t="n"/>
      <c r="FL71" s="198" t="n"/>
      <c r="FM71" s="198" t="n"/>
      <c r="FN71" s="198" t="n"/>
      <c r="FO71" s="198" t="n"/>
      <c r="FP71" s="198" t="n"/>
      <c r="FQ71" s="198" t="n"/>
      <c r="FR71" s="198" t="n"/>
      <c r="FS71" s="198" t="n"/>
      <c r="FT71" s="198" t="n"/>
      <c r="FU71" s="198" t="n"/>
      <c r="FV71" s="198" t="n"/>
      <c r="FW71" s="198" t="n"/>
      <c r="FX71" s="198" t="n"/>
      <c r="FY71" s="198" t="n"/>
      <c r="FZ71" s="198" t="n"/>
      <c r="GA71" s="198" t="n"/>
      <c r="GB71" s="198" t="n"/>
      <c r="GC71" s="198" t="n"/>
      <c r="GD71" s="198" t="n"/>
      <c r="GE71" s="198" t="n"/>
      <c r="GF71" s="198" t="n"/>
      <c r="GG71" s="198" t="n"/>
      <c r="GH71" s="198" t="n"/>
      <c r="GI71" s="198" t="n"/>
      <c r="GJ71" s="198" t="n"/>
      <c r="GK71" s="198" t="n"/>
      <c r="GL71" s="198" t="n"/>
      <c r="GM71" s="198" t="n"/>
      <c r="GN71" s="198" t="n"/>
      <c r="GO71" s="198" t="n"/>
      <c r="GP71" s="198" t="n"/>
      <c r="GQ71" s="198" t="n"/>
      <c r="GR71" s="198" t="n"/>
      <c r="GS71" s="198" t="n"/>
      <c r="GT71" s="198" t="n"/>
      <c r="GU71" s="198" t="n"/>
      <c r="GV71" s="198" t="n"/>
      <c r="GW71" s="198" t="n"/>
      <c r="GX71" s="198" t="n"/>
      <c r="GY71" s="198" t="n"/>
      <c r="GZ71" s="198" t="n"/>
      <c r="HA71" s="198" t="n"/>
      <c r="HB71" s="198" t="n"/>
      <c r="HC71" s="198" t="n"/>
      <c r="HD71" s="198" t="n"/>
      <c r="HE71" s="198" t="n"/>
      <c r="HF71" s="198" t="n"/>
      <c r="HG71" s="198" t="n"/>
      <c r="HH71" s="198" t="n"/>
      <c r="HI71" s="198" t="n"/>
      <c r="HJ71" s="198" t="n"/>
      <c r="HK71" s="198" t="n"/>
      <c r="HL71" s="198" t="n"/>
      <c r="HM71" s="198" t="n"/>
      <c r="HN71" s="198" t="n"/>
      <c r="HO71" s="198" t="n"/>
      <c r="HP71" s="198" t="n"/>
      <c r="HQ71" s="198" t="n"/>
      <c r="HR71" s="198" t="n"/>
      <c r="HS71" s="198" t="n"/>
      <c r="HT71" s="198" t="n"/>
      <c r="HU71" s="198" t="n"/>
      <c r="HV71" s="198" t="n"/>
      <c r="HW71" s="198" t="n"/>
      <c r="HX71" s="198" t="n"/>
      <c r="HY71" s="198" t="n"/>
      <c r="HZ71" s="198" t="n"/>
      <c r="IA71" s="198" t="n"/>
      <c r="IB71" s="198" t="n"/>
      <c r="IC71" s="198" t="n"/>
      <c r="ID71" s="198" t="n"/>
      <c r="IE71" s="198" t="n"/>
      <c r="IF71" s="198" t="n"/>
      <c r="IG71" s="198" t="n"/>
      <c r="IH71" s="198" t="n"/>
      <c r="II71" s="198" t="n"/>
      <c r="IJ71" s="198" t="n"/>
      <c r="IK71" s="198" t="n"/>
      <c r="IL71" s="198" t="n"/>
      <c r="IM71" s="198" t="n"/>
      <c r="IN71" s="198" t="n"/>
      <c r="IO71" s="198" t="n"/>
      <c r="IP71" s="198" t="n"/>
      <c r="IQ71" s="198" t="n"/>
      <c r="IR71" s="198" t="n"/>
      <c r="IS71" s="198" t="n"/>
      <c r="IT71" s="198" t="n"/>
      <c r="IU71" s="198" t="n"/>
      <c r="IV71" s="198" t="n"/>
      <c r="IW71" s="198" t="n"/>
      <c r="IX71" s="198" t="n"/>
      <c r="IY71" s="198" t="n"/>
      <c r="IZ71" s="198" t="n"/>
      <c r="JA71" s="198" t="n"/>
      <c r="JB71" s="198" t="n"/>
      <c r="JC71" s="198" t="n"/>
      <c r="JD71" s="198" t="n"/>
      <c r="JE71" s="198" t="n"/>
      <c r="JF71" s="198" t="n"/>
      <c r="JG71" s="198" t="n"/>
      <c r="JH71" s="198" t="n"/>
      <c r="JI71" s="198" t="n"/>
      <c r="JJ71" s="198" t="n"/>
      <c r="JK71" s="198" t="n"/>
      <c r="JL71" s="198" t="n"/>
      <c r="JM71" s="198" t="n"/>
      <c r="JN71" s="198" t="n"/>
      <c r="JO71" s="198" t="n"/>
      <c r="JP71" s="198" t="n"/>
      <c r="JQ71" s="198" t="n"/>
      <c r="JR71" s="198" t="n"/>
      <c r="JS71" s="198" t="n"/>
      <c r="JT71" s="198" t="n"/>
      <c r="JU71" s="198" t="n"/>
      <c r="JV71" s="198" t="n"/>
      <c r="JW71" s="198" t="n"/>
      <c r="JX71" s="198" t="n"/>
      <c r="JY71" s="198" t="n"/>
      <c r="JZ71" s="198" t="n"/>
      <c r="KA71" s="198" t="n"/>
      <c r="KB71" s="198" t="n"/>
      <c r="KC71" s="198" t="n"/>
      <c r="KD71" s="198" t="n"/>
      <c r="KE71" s="198" t="n"/>
      <c r="KF71" s="198" t="n"/>
      <c r="KG71" s="198" t="n"/>
      <c r="KH71" s="198" t="n"/>
      <c r="KI71" s="198" t="n"/>
      <c r="KJ71" s="198" t="n"/>
      <c r="KK71" s="198" t="n"/>
      <c r="KL71" s="198" t="n"/>
      <c r="KM71" s="198" t="n"/>
      <c r="KN71" s="198" t="n"/>
      <c r="KO71" s="198" t="n"/>
      <c r="KP71" s="198" t="n"/>
      <c r="KQ71" s="198" t="n"/>
      <c r="KR71" s="198" t="n"/>
      <c r="KS71" s="198" t="n"/>
      <c r="KT71" s="198" t="n"/>
      <c r="KU71" s="198" t="n"/>
      <c r="KV71" s="198" t="n"/>
      <c r="KW71" s="198" t="n"/>
      <c r="KX71" s="198" t="n"/>
      <c r="KY71" s="198" t="n"/>
      <c r="KZ71" s="198" t="n"/>
      <c r="LA71" s="198" t="n"/>
      <c r="LB71" s="198" t="n"/>
      <c r="LC71" s="198" t="n"/>
      <c r="LD71" s="198" t="n"/>
      <c r="LE71" s="198" t="n"/>
      <c r="LF71" s="198" t="n"/>
      <c r="LG71" s="198" t="n"/>
      <c r="LH71" s="198" t="n"/>
      <c r="LI71" s="198" t="n"/>
      <c r="LJ71" s="198" t="n"/>
      <c r="LK71" s="198" t="n"/>
      <c r="LL71" s="198" t="n"/>
      <c r="LM71" s="198" t="n"/>
      <c r="LN71" s="198" t="n"/>
      <c r="LO71" s="198" t="n"/>
      <c r="LP71" s="198" t="n"/>
      <c r="LQ71" s="198" t="n"/>
      <c r="LR71" s="198" t="n"/>
      <c r="LS71" s="198" t="n"/>
      <c r="LT71" s="198" t="n"/>
      <c r="LU71" s="198" t="n"/>
      <c r="LV71" s="198" t="n"/>
      <c r="LW71" s="198" t="n"/>
      <c r="LX71" s="198" t="n"/>
      <c r="LY71" s="198" t="n"/>
      <c r="LZ71" s="198" t="n"/>
      <c r="MA71" s="198" t="n"/>
      <c r="MB71" s="198" t="n"/>
      <c r="MC71" s="198" t="n"/>
      <c r="MD71" s="198" t="n"/>
      <c r="ME71" s="198" t="n"/>
      <c r="MF71" s="198" t="n"/>
      <c r="MG71" s="198" t="n"/>
      <c r="MH71" s="198" t="n"/>
      <c r="MI71" s="198" t="n"/>
      <c r="MJ71" s="198" t="n"/>
      <c r="MK71" s="198" t="n"/>
      <c r="ML71" s="198" t="n"/>
      <c r="MM71" s="198" t="n"/>
      <c r="MN71" s="198" t="n"/>
      <c r="MO71" s="198" t="n"/>
      <c r="MP71" s="198" t="n"/>
      <c r="MQ71" s="198" t="n"/>
      <c r="MR71" s="198" t="n"/>
      <c r="MS71" s="198" t="n"/>
      <c r="MT71" s="198" t="n"/>
      <c r="MU71" s="198" t="n"/>
      <c r="MV71" s="198" t="n"/>
      <c r="MW71" s="198" t="n"/>
      <c r="MX71" s="198" t="n"/>
      <c r="MY71" s="198" t="n"/>
      <c r="MZ71" s="198" t="n"/>
      <c r="NA71" s="198" t="n"/>
      <c r="NB71" s="198" t="n"/>
      <c r="NC71" s="198" t="n"/>
      <c r="ND71" s="198" t="n"/>
      <c r="NE71" s="198" t="n"/>
      <c r="NF71" s="198" t="n"/>
      <c r="NG71" s="198" t="n"/>
      <c r="NH71" s="198" t="n"/>
      <c r="NI71" s="198" t="n"/>
      <c r="NJ71" s="198" t="n"/>
      <c r="NK71" s="198" t="n"/>
      <c r="NL71" s="198" t="n"/>
      <c r="NM71" s="198" t="n"/>
      <c r="NN71" s="198" t="n"/>
      <c r="NO71" s="198" t="n"/>
      <c r="NP71" s="198" t="n"/>
      <c r="NQ71" s="198" t="n"/>
      <c r="NR71" s="198" t="n"/>
      <c r="NS71" s="198" t="n"/>
      <c r="NT71" s="198" t="n"/>
      <c r="NU71" s="198" t="n"/>
      <c r="NV71" s="198" t="n"/>
      <c r="NW71" s="198" t="n"/>
      <c r="NX71" s="198" t="n"/>
      <c r="NY71" s="198" t="n"/>
      <c r="NZ71" s="198" t="n"/>
      <c r="OA71" s="198" t="n"/>
      <c r="OB71" s="198" t="n"/>
      <c r="OC71" s="198" t="n"/>
      <c r="OD71" s="198" t="n"/>
      <c r="OE71" s="198" t="n"/>
      <c r="OF71" s="198" t="n"/>
      <c r="OG71" s="198" t="n"/>
      <c r="OH71" s="198" t="n"/>
      <c r="OI71" s="198" t="n"/>
      <c r="OJ71" s="198" t="n"/>
      <c r="OK71" s="198" t="n"/>
      <c r="OL71" s="198" t="n"/>
      <c r="OM71" s="198" t="n"/>
      <c r="ON71" s="198" t="n"/>
      <c r="OO71" s="198" t="n"/>
      <c r="OP71" s="198" t="n"/>
      <c r="OQ71" s="198" t="n"/>
      <c r="OR71" s="198" t="n"/>
      <c r="OS71" s="198" t="n"/>
      <c r="OT71" s="198" t="n"/>
      <c r="OU71" s="198" t="n"/>
      <c r="OV71" s="198" t="n"/>
      <c r="OW71" s="198" t="n"/>
      <c r="OX71" s="198" t="n"/>
      <c r="OY71" s="198" t="n"/>
      <c r="OZ71" s="198" t="n"/>
      <c r="PA71" s="198" t="n"/>
      <c r="PB71" s="198" t="n"/>
      <c r="PC71" s="198" t="n"/>
      <c r="PD71" s="198" t="n"/>
      <c r="PE71" s="198" t="n"/>
      <c r="PF71" s="198" t="n"/>
      <c r="PG71" s="198" t="n"/>
      <c r="PH71" s="198" t="n"/>
      <c r="PI71" s="198" t="n"/>
      <c r="PJ71" s="198" t="n"/>
      <c r="PK71" s="198" t="n"/>
      <c r="PL71" s="198" t="n"/>
      <c r="PM71" s="198" t="n"/>
      <c r="PN71" s="198" t="n"/>
      <c r="PO71" s="198" t="n"/>
      <c r="PP71" s="198" t="n"/>
      <c r="PQ71" s="198" t="n"/>
      <c r="PR71" s="198" t="n"/>
      <c r="PS71" s="198" t="n"/>
      <c r="PT71" s="198" t="n"/>
      <c r="PU71" s="198" t="n"/>
      <c r="PV71" s="198" t="n"/>
      <c r="PW71" s="198" t="n"/>
      <c r="PX71" s="198" t="n"/>
      <c r="PY71" s="198" t="n"/>
      <c r="PZ71" s="198" t="n"/>
      <c r="QA71" s="198" t="n"/>
      <c r="QB71" s="198" t="n"/>
      <c r="QC71" s="198" t="n"/>
      <c r="QD71" s="198" t="n"/>
      <c r="QE71" s="198" t="n"/>
      <c r="QF71" s="198" t="n"/>
      <c r="QG71" s="198" t="n"/>
      <c r="QH71" s="198" t="n"/>
      <c r="QI71" s="198" t="n"/>
      <c r="QJ71" s="198" t="n"/>
      <c r="QK71" s="198" t="n"/>
      <c r="QL71" s="198" t="n"/>
      <c r="QM71" s="198" t="n"/>
      <c r="QN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c r="V72" s="198" t="n"/>
      <c r="W72" s="198" t="n"/>
      <c r="X72" s="198" t="n"/>
      <c r="Y72" s="198" t="n"/>
      <c r="Z72" s="198" t="n"/>
      <c r="AA72" s="198" t="n"/>
      <c r="AB72" s="198" t="n"/>
      <c r="AC72" s="198" t="n"/>
      <c r="AD72" s="198" t="n"/>
      <c r="AE72" s="198" t="n"/>
      <c r="AF72" s="198" t="n"/>
      <c r="AG72" s="198" t="n"/>
      <c r="AH72" s="198" t="n"/>
      <c r="AI72" s="198" t="n"/>
      <c r="AJ72" s="198" t="n"/>
      <c r="AK72" s="198" t="n"/>
      <c r="AL72" s="198" t="n"/>
      <c r="AM72" s="198" t="n"/>
      <c r="AN72" s="198" t="n"/>
      <c r="AO72" s="198" t="n"/>
      <c r="AP72" s="198" t="n"/>
      <c r="AQ72" s="198" t="n"/>
      <c r="AR72" s="198" t="n"/>
      <c r="AS72" s="198" t="n"/>
      <c r="AT72" s="198" t="n"/>
      <c r="AU72" s="198" t="n"/>
      <c r="AV72" s="198" t="n"/>
      <c r="AW72" s="198" t="n"/>
      <c r="AX72" s="198" t="n"/>
      <c r="AY72" s="198" t="n"/>
      <c r="AZ72" s="198" t="n"/>
      <c r="BA72" s="198" t="n"/>
      <c r="BB72" s="198" t="n"/>
      <c r="BC72" s="198" t="n"/>
      <c r="BD72" s="198" t="n"/>
      <c r="BE72" s="198" t="n"/>
      <c r="BF72" s="198" t="n"/>
      <c r="BG72" s="198" t="n"/>
      <c r="BH72" s="198" t="n"/>
      <c r="BI72" s="198" t="n"/>
      <c r="BJ72" s="198" t="n"/>
      <c r="BK72" s="198" t="n"/>
      <c r="BL72" s="198" t="n"/>
      <c r="BM72" s="198" t="n"/>
      <c r="BN72" s="198" t="n"/>
      <c r="BO72" s="198" t="n"/>
      <c r="BP72" s="198" t="n"/>
      <c r="BQ72" s="198" t="n"/>
      <c r="BR72" s="198" t="n"/>
      <c r="BS72" s="198" t="n"/>
      <c r="BT72" s="198" t="n"/>
      <c r="BU72" s="198" t="n"/>
      <c r="BV72" s="198" t="n"/>
      <c r="BW72" s="198" t="n"/>
      <c r="BX72" s="198" t="n"/>
      <c r="BY72" s="198" t="n"/>
      <c r="BZ72" s="198" t="n"/>
      <c r="CA72" s="198" t="n"/>
      <c r="CB72" s="198" t="n"/>
      <c r="CC72" s="198" t="n"/>
      <c r="CD72" s="198" t="n"/>
      <c r="CE72" s="198" t="n"/>
      <c r="CF72" s="198" t="n"/>
      <c r="CG72" s="198" t="n"/>
      <c r="CH72" s="198" t="n"/>
      <c r="CI72" s="198" t="n"/>
      <c r="CJ72" s="198" t="n"/>
      <c r="CK72" s="198" t="n"/>
      <c r="CL72" s="198" t="n"/>
      <c r="CM72" s="198" t="n"/>
      <c r="CN72" s="198" t="n"/>
      <c r="CO72" s="198" t="n"/>
      <c r="CP72" s="198" t="n"/>
      <c r="CQ72" s="198" t="n"/>
      <c r="CR72" s="198" t="n"/>
      <c r="CS72" s="198" t="n"/>
      <c r="CT72" s="198" t="n"/>
      <c r="CU72" s="198" t="n"/>
      <c r="CV72" s="198" t="n"/>
      <c r="CW72" s="198" t="n"/>
      <c r="CX72" s="198" t="n"/>
      <c r="CY72" s="198" t="n"/>
      <c r="CZ72" s="198" t="n"/>
      <c r="DA72" s="198" t="n"/>
      <c r="DB72" s="198" t="n"/>
      <c r="DC72" s="198" t="n"/>
      <c r="DD72" s="198" t="n"/>
      <c r="DE72" s="198" t="n"/>
      <c r="DF72" s="198" t="n"/>
      <c r="DG72" s="198" t="n"/>
      <c r="DH72" s="198" t="n"/>
      <c r="DI72" s="198" t="n"/>
      <c r="DJ72" s="198" t="n"/>
      <c r="DK72" s="198" t="n"/>
      <c r="DL72" s="198" t="n"/>
      <c r="DM72" s="198" t="n"/>
      <c r="DN72" s="198" t="n"/>
      <c r="DO72" s="198" t="n"/>
      <c r="DP72" s="198" t="n"/>
      <c r="DQ72" s="198" t="n"/>
      <c r="DR72" s="198" t="n"/>
      <c r="DS72" s="198" t="n"/>
      <c r="DT72" s="198" t="n"/>
      <c r="DU72" s="198" t="n"/>
      <c r="DV72" s="198" t="n"/>
      <c r="DW72" s="198" t="n"/>
      <c r="DX72" s="198" t="n"/>
      <c r="DY72" s="198" t="n"/>
      <c r="DZ72" s="198" t="n"/>
      <c r="EA72" s="198" t="n"/>
      <c r="EB72" s="198" t="n"/>
      <c r="EC72" s="198" t="n"/>
      <c r="ED72" s="198" t="n"/>
      <c r="EE72" s="198" t="n"/>
      <c r="EF72" s="198" t="n"/>
      <c r="EG72" s="198" t="n"/>
      <c r="EH72" s="198" t="n"/>
      <c r="EI72" s="198" t="n"/>
      <c r="EJ72" s="198" t="n"/>
      <c r="EK72" s="198" t="n"/>
      <c r="EL72" s="198" t="n"/>
      <c r="EM72" s="198" t="n"/>
      <c r="EN72" s="198" t="n"/>
      <c r="EO72" s="198" t="n"/>
      <c r="EP72" s="198" t="n"/>
      <c r="EQ72" s="198" t="n"/>
      <c r="ER72" s="198" t="n"/>
      <c r="ES72" s="198" t="n"/>
      <c r="ET72" s="198" t="n"/>
      <c r="EU72" s="198" t="n"/>
      <c r="EV72" s="198" t="n"/>
      <c r="EW72" s="198" t="n"/>
      <c r="EX72" s="198" t="n"/>
      <c r="EY72" s="198" t="n"/>
      <c r="EZ72" s="198" t="n"/>
      <c r="FA72" s="198" t="n"/>
      <c r="FB72" s="198" t="n"/>
      <c r="FC72" s="198" t="n"/>
      <c r="FD72" s="198" t="n"/>
      <c r="FE72" s="198" t="n"/>
      <c r="FF72" s="198" t="n"/>
      <c r="FG72" s="198" t="n"/>
      <c r="FH72" s="198" t="n"/>
      <c r="FI72" s="198" t="n"/>
      <c r="FJ72" s="198" t="n"/>
      <c r="FK72" s="198" t="n"/>
      <c r="FL72" s="198" t="n"/>
      <c r="FM72" s="198" t="n"/>
      <c r="FN72" s="198" t="n"/>
      <c r="FO72" s="198" t="n"/>
      <c r="FP72" s="198" t="n"/>
      <c r="FQ72" s="198" t="n"/>
      <c r="FR72" s="198" t="n"/>
      <c r="FS72" s="198" t="n"/>
      <c r="FT72" s="198" t="n"/>
      <c r="FU72" s="198" t="n"/>
      <c r="FV72" s="198" t="n"/>
      <c r="FW72" s="198" t="n"/>
      <c r="FX72" s="198" t="n"/>
      <c r="FY72" s="198" t="n"/>
      <c r="FZ72" s="198" t="n"/>
      <c r="GA72" s="198" t="n"/>
      <c r="GB72" s="198" t="n"/>
      <c r="GC72" s="198" t="n"/>
      <c r="GD72" s="198" t="n"/>
      <c r="GE72" s="198" t="n"/>
      <c r="GF72" s="198" t="n"/>
      <c r="GG72" s="198" t="n"/>
      <c r="GH72" s="198" t="n"/>
      <c r="GI72" s="198" t="n"/>
      <c r="GJ72" s="198" t="n"/>
      <c r="GK72" s="198" t="n"/>
      <c r="GL72" s="198" t="n"/>
      <c r="GM72" s="198" t="n"/>
      <c r="GN72" s="198" t="n"/>
      <c r="GO72" s="198" t="n"/>
      <c r="GP72" s="198" t="n"/>
      <c r="GQ72" s="198" t="n"/>
      <c r="GR72" s="198" t="n"/>
      <c r="GS72" s="198" t="n"/>
      <c r="GT72" s="198" t="n"/>
      <c r="GU72" s="198" t="n"/>
      <c r="GV72" s="198" t="n"/>
      <c r="GW72" s="198" t="n"/>
      <c r="GX72" s="198" t="n"/>
      <c r="GY72" s="198" t="n"/>
      <c r="GZ72" s="198" t="n"/>
      <c r="HA72" s="198" t="n"/>
      <c r="HB72" s="198" t="n"/>
      <c r="HC72" s="198" t="n"/>
      <c r="HD72" s="198" t="n"/>
      <c r="HE72" s="198" t="n"/>
      <c r="HF72" s="198" t="n"/>
      <c r="HG72" s="198" t="n"/>
      <c r="HH72" s="198" t="n"/>
      <c r="HI72" s="198" t="n"/>
      <c r="HJ72" s="198" t="n"/>
      <c r="HK72" s="198" t="n"/>
      <c r="HL72" s="198" t="n"/>
      <c r="HM72" s="198" t="n"/>
      <c r="HN72" s="198" t="n"/>
      <c r="HO72" s="198" t="n"/>
      <c r="HP72" s="198" t="n"/>
      <c r="HQ72" s="198" t="n"/>
      <c r="HR72" s="198" t="n"/>
      <c r="HS72" s="198" t="n"/>
      <c r="HT72" s="198" t="n"/>
      <c r="HU72" s="198" t="n"/>
      <c r="HV72" s="198" t="n"/>
      <c r="HW72" s="198" t="n"/>
      <c r="HX72" s="198" t="n"/>
      <c r="HY72" s="198" t="n"/>
      <c r="HZ72" s="198" t="n"/>
      <c r="IA72" s="198" t="n"/>
      <c r="IB72" s="198" t="n"/>
      <c r="IC72" s="198" t="n"/>
      <c r="ID72" s="198" t="n"/>
      <c r="IE72" s="198" t="n"/>
      <c r="IF72" s="198" t="n"/>
      <c r="IG72" s="198" t="n"/>
      <c r="IH72" s="198" t="n"/>
      <c r="II72" s="198" t="n"/>
      <c r="IJ72" s="198" t="n"/>
      <c r="IK72" s="198" t="n"/>
      <c r="IL72" s="198" t="n"/>
      <c r="IM72" s="198" t="n"/>
      <c r="IN72" s="198" t="n"/>
      <c r="IO72" s="198" t="n"/>
      <c r="IP72" s="198" t="n"/>
      <c r="IQ72" s="198" t="n"/>
      <c r="IR72" s="198" t="n"/>
      <c r="IS72" s="198" t="n"/>
      <c r="IT72" s="198" t="n"/>
      <c r="IU72" s="198" t="n"/>
      <c r="IV72" s="198" t="n"/>
      <c r="IW72" s="198" t="n"/>
      <c r="IX72" s="198" t="n"/>
      <c r="IY72" s="198" t="n"/>
      <c r="IZ72" s="198" t="n"/>
      <c r="JA72" s="198" t="n"/>
      <c r="JB72" s="198" t="n"/>
      <c r="JC72" s="198" t="n"/>
      <c r="JD72" s="198" t="n"/>
      <c r="JE72" s="198" t="n"/>
      <c r="JF72" s="198" t="n"/>
      <c r="JG72" s="198" t="n"/>
      <c r="JH72" s="198" t="n"/>
      <c r="JI72" s="198" t="n"/>
      <c r="JJ72" s="198" t="n"/>
      <c r="JK72" s="198" t="n"/>
      <c r="JL72" s="198" t="n"/>
      <c r="JM72" s="198" t="n"/>
      <c r="JN72" s="198" t="n"/>
      <c r="JO72" s="198" t="n"/>
      <c r="JP72" s="198" t="n"/>
      <c r="JQ72" s="198" t="n"/>
      <c r="JR72" s="198" t="n"/>
      <c r="JS72" s="198" t="n"/>
      <c r="JT72" s="198" t="n"/>
      <c r="JU72" s="198" t="n"/>
      <c r="JV72" s="198" t="n"/>
      <c r="JW72" s="198" t="n"/>
      <c r="JX72" s="198" t="n"/>
      <c r="JY72" s="198" t="n"/>
      <c r="JZ72" s="198" t="n"/>
      <c r="KA72" s="198" t="n"/>
      <c r="KB72" s="198" t="n"/>
      <c r="KC72" s="198" t="n"/>
      <c r="KD72" s="198" t="n"/>
      <c r="KE72" s="198" t="n"/>
      <c r="KF72" s="198" t="n"/>
      <c r="KG72" s="198" t="n"/>
      <c r="KH72" s="198" t="n"/>
      <c r="KI72" s="198" t="n"/>
      <c r="KJ72" s="198" t="n"/>
      <c r="KK72" s="198" t="n"/>
      <c r="KL72" s="198" t="n"/>
      <c r="KM72" s="198" t="n"/>
      <c r="KN72" s="198" t="n"/>
      <c r="KO72" s="198" t="n"/>
      <c r="KP72" s="198" t="n"/>
      <c r="KQ72" s="198" t="n"/>
      <c r="KR72" s="198" t="n"/>
      <c r="KS72" s="198" t="n"/>
      <c r="KT72" s="198" t="n"/>
      <c r="KU72" s="198" t="n"/>
      <c r="KV72" s="198" t="n"/>
      <c r="KW72" s="198" t="n"/>
      <c r="KX72" s="198" t="n"/>
      <c r="KY72" s="198" t="n"/>
      <c r="KZ72" s="198" t="n"/>
      <c r="LA72" s="198" t="n"/>
      <c r="LB72" s="198" t="n"/>
      <c r="LC72" s="198" t="n"/>
      <c r="LD72" s="198" t="n"/>
      <c r="LE72" s="198" t="n"/>
      <c r="LF72" s="198" t="n"/>
      <c r="LG72" s="198" t="n"/>
      <c r="LH72" s="198" t="n"/>
      <c r="LI72" s="198" t="n"/>
      <c r="LJ72" s="198" t="n"/>
      <c r="LK72" s="198" t="n"/>
      <c r="LL72" s="198" t="n"/>
      <c r="LM72" s="198" t="n"/>
      <c r="LN72" s="198" t="n"/>
      <c r="LO72" s="198" t="n"/>
      <c r="LP72" s="198" t="n"/>
      <c r="LQ72" s="198" t="n"/>
      <c r="LR72" s="198" t="n"/>
      <c r="LS72" s="198" t="n"/>
      <c r="LT72" s="198" t="n"/>
      <c r="LU72" s="198" t="n"/>
      <c r="LV72" s="198" t="n"/>
      <c r="LW72" s="198" t="n"/>
      <c r="LX72" s="198" t="n"/>
      <c r="LY72" s="198" t="n"/>
      <c r="LZ72" s="198" t="n"/>
      <c r="MA72" s="198" t="n"/>
      <c r="MB72" s="198" t="n"/>
      <c r="MC72" s="198" t="n"/>
      <c r="MD72" s="198" t="n"/>
      <c r="ME72" s="198" t="n"/>
      <c r="MF72" s="198" t="n"/>
      <c r="MG72" s="198" t="n"/>
      <c r="MH72" s="198" t="n"/>
      <c r="MI72" s="198" t="n"/>
      <c r="MJ72" s="198" t="n"/>
      <c r="MK72" s="198" t="n"/>
      <c r="ML72" s="198" t="n"/>
      <c r="MM72" s="198" t="n"/>
      <c r="MN72" s="198" t="n"/>
      <c r="MO72" s="198" t="n"/>
      <c r="MP72" s="198" t="n"/>
      <c r="MQ72" s="198" t="n"/>
      <c r="MR72" s="198" t="n"/>
      <c r="MS72" s="198" t="n"/>
      <c r="MT72" s="198" t="n"/>
      <c r="MU72" s="198" t="n"/>
      <c r="MV72" s="198" t="n"/>
      <c r="MW72" s="198" t="n"/>
      <c r="MX72" s="198" t="n"/>
      <c r="MY72" s="198" t="n"/>
      <c r="MZ72" s="198" t="n"/>
      <c r="NA72" s="198" t="n"/>
      <c r="NB72" s="198" t="n"/>
      <c r="NC72" s="198" t="n"/>
      <c r="ND72" s="198" t="n"/>
      <c r="NE72" s="198" t="n"/>
      <c r="NF72" s="198" t="n"/>
      <c r="NG72" s="198" t="n"/>
      <c r="NH72" s="198" t="n"/>
      <c r="NI72" s="198" t="n"/>
      <c r="NJ72" s="198" t="n"/>
      <c r="NK72" s="198" t="n"/>
      <c r="NL72" s="198" t="n"/>
      <c r="NM72" s="198" t="n"/>
      <c r="NN72" s="198" t="n"/>
      <c r="NO72" s="198" t="n"/>
      <c r="NP72" s="198" t="n"/>
      <c r="NQ72" s="198" t="n"/>
      <c r="NR72" s="198" t="n"/>
      <c r="NS72" s="198" t="n"/>
      <c r="NT72" s="198" t="n"/>
      <c r="NU72" s="198" t="n"/>
      <c r="NV72" s="198" t="n"/>
      <c r="NW72" s="198" t="n"/>
      <c r="NX72" s="198" t="n"/>
      <c r="NY72" s="198" t="n"/>
      <c r="NZ72" s="198" t="n"/>
      <c r="OA72" s="198" t="n"/>
      <c r="OB72" s="198" t="n"/>
      <c r="OC72" s="198" t="n"/>
      <c r="OD72" s="198" t="n"/>
      <c r="OE72" s="198" t="n"/>
      <c r="OF72" s="198" t="n"/>
      <c r="OG72" s="198" t="n"/>
      <c r="OH72" s="198" t="n"/>
      <c r="OI72" s="198" t="n"/>
      <c r="OJ72" s="198" t="n"/>
      <c r="OK72" s="198" t="n"/>
      <c r="OL72" s="198" t="n"/>
      <c r="OM72" s="198" t="n"/>
      <c r="ON72" s="198" t="n"/>
      <c r="OO72" s="198" t="n"/>
      <c r="OP72" s="198" t="n"/>
      <c r="OQ72" s="198" t="n"/>
      <c r="OR72" s="198" t="n"/>
      <c r="OS72" s="198" t="n"/>
      <c r="OT72" s="198" t="n"/>
      <c r="OU72" s="198" t="n"/>
      <c r="OV72" s="198" t="n"/>
      <c r="OW72" s="198" t="n"/>
      <c r="OX72" s="198" t="n"/>
      <c r="OY72" s="198" t="n"/>
      <c r="OZ72" s="198" t="n"/>
      <c r="PA72" s="198" t="n"/>
      <c r="PB72" s="198" t="n"/>
      <c r="PC72" s="198" t="n"/>
      <c r="PD72" s="198" t="n"/>
      <c r="PE72" s="198" t="n"/>
      <c r="PF72" s="198" t="n"/>
      <c r="PG72" s="198" t="n"/>
      <c r="PH72" s="198" t="n"/>
      <c r="PI72" s="198" t="n"/>
      <c r="PJ72" s="198" t="n"/>
      <c r="PK72" s="198" t="n"/>
      <c r="PL72" s="198" t="n"/>
      <c r="PM72" s="198" t="n"/>
      <c r="PN72" s="198" t="n"/>
      <c r="PO72" s="198" t="n"/>
      <c r="PP72" s="198" t="n"/>
      <c r="PQ72" s="198" t="n"/>
      <c r="PR72" s="198" t="n"/>
      <c r="PS72" s="198" t="n"/>
      <c r="PT72" s="198" t="n"/>
      <c r="PU72" s="198" t="n"/>
      <c r="PV72" s="198" t="n"/>
      <c r="PW72" s="198" t="n"/>
      <c r="PX72" s="198" t="n"/>
      <c r="PY72" s="198" t="n"/>
      <c r="PZ72" s="198" t="n"/>
      <c r="QA72" s="198" t="n"/>
      <c r="QB72" s="198" t="n"/>
      <c r="QC72" s="198" t="n"/>
      <c r="QD72" s="198" t="n"/>
      <c r="QE72" s="198" t="n"/>
      <c r="QF72" s="198" t="n"/>
      <c r="QG72" s="198" t="n"/>
      <c r="QH72" s="198" t="n"/>
      <c r="QI72" s="198" t="n"/>
      <c r="QJ72" s="198" t="n"/>
      <c r="QK72" s="198" t="n"/>
      <c r="QL72" s="198" t="n"/>
      <c r="QM72" s="198" t="n"/>
      <c r="QN72" s="198" t="n"/>
      <c r="QO72" s="198" t="n"/>
      <c r="QP72" s="198" t="n"/>
      <c r="QQ72" s="198" t="n"/>
      <c r="QR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c r="V73" s="198" t="n"/>
      <c r="W73" s="198" t="n"/>
      <c r="X73" s="198" t="n"/>
      <c r="Y73" s="198" t="n"/>
      <c r="Z73" s="198" t="n"/>
      <c r="AA73" s="198" t="n"/>
      <c r="AB73" s="198" t="n"/>
      <c r="AC73" s="198" t="n"/>
      <c r="AD73" s="198" t="n"/>
      <c r="AE73" s="198" t="n"/>
      <c r="AF73" s="198" t="n"/>
      <c r="AG73" s="198" t="n"/>
      <c r="AH73" s="198" t="n"/>
      <c r="AI73" s="198" t="n"/>
      <c r="AJ73" s="198" t="n"/>
      <c r="AK73" s="198" t="n"/>
      <c r="AL73" s="198" t="n"/>
      <c r="AM73" s="198" t="n"/>
      <c r="AN73" s="198" t="n"/>
      <c r="AO73" s="198" t="n"/>
      <c r="AP73" s="198" t="n"/>
      <c r="AQ73" s="198" t="n"/>
      <c r="AR73" s="198" t="n"/>
      <c r="AS73" s="198" t="n"/>
      <c r="AT73" s="198" t="n"/>
      <c r="AU73" s="198" t="n"/>
      <c r="AV73" s="198" t="n"/>
      <c r="AW73" s="198" t="n"/>
      <c r="AX73" s="198" t="n"/>
      <c r="AY73" s="198" t="n"/>
      <c r="AZ73" s="198" t="n"/>
      <c r="BA73" s="198" t="n"/>
      <c r="BB73" s="198" t="n"/>
      <c r="BC73" s="198" t="n"/>
      <c r="BD73" s="198" t="n"/>
      <c r="BE73" s="198" t="n"/>
      <c r="BF73" s="198" t="n"/>
      <c r="BG73" s="198" t="n"/>
      <c r="BH73" s="198" t="n"/>
      <c r="BI73" s="198" t="n"/>
      <c r="BJ73" s="198" t="n"/>
      <c r="BK73" s="198" t="n"/>
      <c r="BL73" s="198" t="n"/>
      <c r="BM73" s="198" t="n"/>
      <c r="BN73" s="198" t="n"/>
      <c r="BO73" s="198" t="n"/>
      <c r="BP73" s="198" t="n"/>
      <c r="BQ73" s="198" t="n"/>
      <c r="BR73" s="198" t="n"/>
      <c r="BS73" s="198" t="n"/>
      <c r="BT73" s="198" t="n"/>
      <c r="BU73" s="198" t="n"/>
      <c r="BV73" s="198" t="n"/>
      <c r="BW73" s="198" t="n"/>
      <c r="BX73" s="198" t="n"/>
      <c r="BY73" s="198" t="n"/>
      <c r="BZ73" s="198" t="n"/>
      <c r="CA73" s="198" t="n"/>
      <c r="CB73" s="198" t="n"/>
      <c r="CC73" s="198" t="n"/>
      <c r="CD73" s="198" t="n"/>
      <c r="CE73" s="198" t="n"/>
      <c r="CF73" s="198" t="n"/>
      <c r="CG73" s="198" t="n"/>
      <c r="CH73" s="198" t="n"/>
      <c r="CI73" s="198" t="n"/>
      <c r="CJ73" s="198" t="n"/>
      <c r="CK73" s="198" t="n"/>
      <c r="CL73" s="198" t="n"/>
      <c r="CM73" s="198" t="n"/>
      <c r="CN73" s="198" t="n"/>
      <c r="CO73" s="198" t="n"/>
      <c r="CP73" s="198" t="n"/>
      <c r="CQ73" s="198" t="n"/>
      <c r="CR73" s="198" t="n"/>
      <c r="CS73" s="198" t="n"/>
      <c r="CT73" s="198" t="n"/>
      <c r="CU73" s="198" t="n"/>
      <c r="CV73" s="198" t="n"/>
      <c r="CW73" s="198" t="n"/>
      <c r="CX73" s="198" t="n"/>
      <c r="CY73" s="198" t="n"/>
      <c r="CZ73" s="198" t="n"/>
      <c r="DA73" s="198" t="n"/>
      <c r="DB73" s="198" t="n"/>
      <c r="DC73" s="198" t="n"/>
      <c r="DD73" s="198" t="n"/>
      <c r="DE73" s="198" t="n"/>
      <c r="DF73" s="198" t="n"/>
      <c r="DG73" s="198" t="n"/>
      <c r="DH73" s="198" t="n"/>
      <c r="DI73" s="198" t="n"/>
      <c r="DJ73" s="198" t="n"/>
      <c r="DK73" s="198" t="n"/>
      <c r="DL73" s="198" t="n"/>
      <c r="DM73" s="198" t="n"/>
      <c r="DN73" s="198" t="n"/>
      <c r="DO73" s="198" t="n"/>
      <c r="DP73" s="198" t="n"/>
      <c r="DQ73" s="198" t="n"/>
      <c r="DR73" s="198" t="n"/>
      <c r="DS73" s="198" t="n"/>
      <c r="DT73" s="198" t="n"/>
      <c r="DU73" s="198" t="n"/>
      <c r="DV73" s="198" t="n"/>
      <c r="DW73" s="198" t="n"/>
      <c r="DX73" s="198" t="n"/>
      <c r="DY73" s="198" t="n"/>
      <c r="DZ73" s="198" t="n"/>
      <c r="EA73" s="198" t="n"/>
      <c r="EB73" s="198" t="n"/>
      <c r="EC73" s="198" t="n"/>
      <c r="ED73" s="198" t="n"/>
      <c r="EE73" s="198" t="n"/>
      <c r="EF73" s="198" t="n"/>
      <c r="EG73" s="198" t="n"/>
      <c r="EH73" s="198" t="n"/>
      <c r="EI73" s="198" t="n"/>
      <c r="EJ73" s="198" t="n"/>
      <c r="EK73" s="198" t="n"/>
      <c r="EL73" s="198" t="n"/>
      <c r="EM73" s="198" t="n"/>
      <c r="EN73" s="198" t="n"/>
      <c r="EO73" s="198" t="n"/>
      <c r="EP73" s="198" t="n"/>
      <c r="EQ73" s="198" t="n"/>
      <c r="ER73" s="198" t="n"/>
      <c r="ES73" s="198" t="n"/>
      <c r="ET73" s="198" t="n"/>
      <c r="EU73" s="198" t="n"/>
      <c r="EV73" s="198" t="n"/>
      <c r="EW73" s="198" t="n"/>
      <c r="EX73" s="198" t="n"/>
      <c r="EY73" s="198" t="n"/>
      <c r="EZ73" s="198" t="n"/>
      <c r="FA73" s="198" t="n"/>
      <c r="FB73" s="198" t="n"/>
      <c r="FC73" s="198" t="n"/>
      <c r="FD73" s="198" t="n"/>
      <c r="FE73" s="198" t="n"/>
      <c r="FF73" s="198" t="n"/>
      <c r="FG73" s="198" t="n"/>
      <c r="FH73" s="198" t="n"/>
      <c r="FI73" s="198" t="n"/>
      <c r="FJ73" s="198" t="n"/>
      <c r="FK73" s="198" t="n"/>
      <c r="FL73" s="198" t="n"/>
      <c r="FM73" s="198" t="n"/>
      <c r="FN73" s="198" t="n"/>
      <c r="FO73" s="198" t="n"/>
      <c r="FP73" s="198" t="n"/>
      <c r="FQ73" s="198" t="n"/>
      <c r="FR73" s="198" t="n"/>
      <c r="FS73" s="198" t="n"/>
      <c r="FT73" s="198" t="n"/>
      <c r="FU73" s="198" t="n"/>
      <c r="FV73" s="198" t="n"/>
      <c r="FW73" s="198" t="n"/>
      <c r="FX73" s="198" t="n"/>
      <c r="FY73" s="198" t="n"/>
      <c r="FZ73" s="198" t="n"/>
      <c r="GA73" s="198" t="n"/>
      <c r="GB73" s="198" t="n"/>
      <c r="GC73" s="198" t="n"/>
      <c r="GD73" s="198" t="n"/>
      <c r="GE73" s="198" t="n"/>
      <c r="GF73" s="198" t="n"/>
      <c r="GG73" s="198" t="n"/>
      <c r="GH73" s="198" t="n"/>
      <c r="GI73" s="198" t="n"/>
      <c r="GJ73" s="198" t="n"/>
      <c r="GK73" s="198" t="n"/>
      <c r="GL73" s="198" t="n"/>
      <c r="GM73" s="198" t="n"/>
      <c r="GN73" s="198" t="n"/>
      <c r="GO73" s="198" t="n"/>
      <c r="GP73" s="198" t="n"/>
      <c r="GQ73" s="198" t="n"/>
      <c r="GR73" s="198" t="n"/>
      <c r="GS73" s="198" t="n"/>
      <c r="GT73" s="198" t="n"/>
      <c r="GU73" s="198" t="n"/>
      <c r="GV73" s="198" t="n"/>
      <c r="GW73" s="198" t="n"/>
      <c r="GX73" s="198" t="n"/>
      <c r="GY73" s="198" t="n"/>
      <c r="GZ73" s="198" t="n"/>
      <c r="HA73" s="198" t="n"/>
      <c r="HB73" s="198" t="n"/>
      <c r="HC73" s="198" t="n"/>
      <c r="HD73" s="198" t="n"/>
      <c r="HE73" s="198" t="n"/>
      <c r="HF73" s="198" t="n"/>
      <c r="HG73" s="198" t="n"/>
      <c r="HH73" s="198" t="n"/>
      <c r="HI73" s="198" t="n"/>
      <c r="HJ73" s="198" t="n"/>
      <c r="HK73" s="198" t="n"/>
      <c r="HL73" s="198" t="n"/>
      <c r="HM73" s="198" t="n"/>
      <c r="HN73" s="198" t="n"/>
      <c r="HO73" s="198" t="n"/>
      <c r="HP73" s="198" t="n"/>
      <c r="HQ73" s="198" t="n"/>
      <c r="HR73" s="198" t="n"/>
      <c r="HS73" s="198" t="n"/>
      <c r="HT73" s="198" t="n"/>
      <c r="HU73" s="198" t="n"/>
      <c r="HV73" s="198" t="n"/>
      <c r="HW73" s="198" t="n"/>
      <c r="HX73" s="198" t="n"/>
      <c r="HY73" s="198" t="n"/>
      <c r="HZ73" s="198" t="n"/>
      <c r="IA73" s="198" t="n"/>
      <c r="IB73" s="198" t="n"/>
      <c r="IC73" s="198" t="n"/>
      <c r="ID73" s="198" t="n"/>
      <c r="IE73" s="198" t="n"/>
      <c r="IF73" s="198" t="n"/>
      <c r="IG73" s="198" t="n"/>
      <c r="IH73" s="198" t="n"/>
      <c r="II73" s="198" t="n"/>
      <c r="IJ73" s="198" t="n"/>
      <c r="IK73" s="198" t="n"/>
      <c r="IL73" s="198" t="n"/>
      <c r="IM73" s="198" t="n"/>
      <c r="IN73" s="198" t="n"/>
      <c r="IO73" s="198" t="n"/>
      <c r="IP73" s="198" t="n"/>
      <c r="IQ73" s="198" t="n"/>
      <c r="IR73" s="198" t="n"/>
      <c r="IS73" s="198" t="n"/>
      <c r="IT73" s="198" t="n"/>
      <c r="IU73" s="198" t="n"/>
      <c r="IV73" s="198" t="n"/>
      <c r="IW73" s="198" t="n"/>
      <c r="IX73" s="198" t="n"/>
      <c r="IY73" s="198" t="n"/>
      <c r="IZ73" s="198" t="n"/>
      <c r="JA73" s="198" t="n"/>
      <c r="JB73" s="198" t="n"/>
      <c r="JC73" s="198" t="n"/>
      <c r="JD73" s="198" t="n"/>
      <c r="JE73" s="198" t="n"/>
      <c r="JF73" s="198" t="n"/>
      <c r="JG73" s="198" t="n"/>
      <c r="JH73" s="198" t="n"/>
      <c r="JI73" s="198" t="n"/>
      <c r="JJ73" s="198" t="n"/>
      <c r="JK73" s="198" t="n"/>
      <c r="JL73" s="198" t="n"/>
      <c r="JM73" s="198" t="n"/>
      <c r="JN73" s="198" t="n"/>
      <c r="JO73" s="198" t="n"/>
      <c r="JP73" s="198" t="n"/>
      <c r="JQ73" s="198" t="n"/>
      <c r="JR73" s="198" t="n"/>
      <c r="JS73" s="198" t="n"/>
      <c r="JT73" s="198" t="n"/>
      <c r="JU73" s="198" t="n"/>
      <c r="JV73" s="198" t="n"/>
      <c r="JW73" s="198" t="n"/>
      <c r="JX73" s="198" t="n"/>
      <c r="JY73" s="198" t="n"/>
      <c r="JZ73" s="198" t="n"/>
      <c r="KA73" s="198" t="n"/>
      <c r="KB73" s="198" t="n"/>
      <c r="KC73" s="198" t="n"/>
      <c r="KD73" s="198" t="n"/>
      <c r="KE73" s="198" t="n"/>
      <c r="KF73" s="198" t="n"/>
      <c r="KG73" s="198" t="n"/>
      <c r="KH73" s="198" t="n"/>
      <c r="KI73" s="198" t="n"/>
      <c r="KJ73" s="198" t="n"/>
      <c r="KK73" s="198" t="n"/>
      <c r="KL73" s="198" t="n"/>
      <c r="KM73" s="198" t="n"/>
      <c r="KN73" s="198" t="n"/>
      <c r="KO73" s="198" t="n"/>
      <c r="KP73" s="198" t="n"/>
      <c r="KQ73" s="198" t="n"/>
      <c r="KR73" s="198" t="n"/>
      <c r="KS73" s="198" t="n"/>
      <c r="KT73" s="198" t="n"/>
      <c r="KU73" s="198" t="n"/>
      <c r="KV73" s="198" t="n"/>
      <c r="KW73" s="198" t="n"/>
      <c r="KX73" s="198" t="n"/>
      <c r="KY73" s="198" t="n"/>
      <c r="KZ73" s="198" t="n"/>
      <c r="LA73" s="198" t="n"/>
      <c r="LB73" s="198" t="n"/>
      <c r="LC73" s="198" t="n"/>
      <c r="LD73" s="198" t="n"/>
      <c r="LE73" s="198" t="n"/>
      <c r="LF73" s="198" t="n"/>
      <c r="LG73" s="198" t="n"/>
      <c r="LH73" s="198" t="n"/>
      <c r="LI73" s="198" t="n"/>
      <c r="LJ73" s="198" t="n"/>
      <c r="LK73" s="198" t="n"/>
      <c r="LL73" s="198" t="n"/>
      <c r="LM73" s="198" t="n"/>
      <c r="LN73" s="198" t="n"/>
      <c r="LO73" s="198" t="n"/>
      <c r="LP73" s="198" t="n"/>
      <c r="LQ73" s="198" t="n"/>
      <c r="LR73" s="198" t="n"/>
      <c r="LS73" s="198" t="n"/>
      <c r="LT73" s="198" t="n"/>
      <c r="LU73" s="198" t="n"/>
      <c r="LV73" s="198" t="n"/>
      <c r="LW73" s="198" t="n"/>
      <c r="LX73" s="198" t="n"/>
      <c r="LY73" s="198" t="n"/>
      <c r="LZ73" s="198" t="n"/>
      <c r="MA73" s="198" t="n"/>
      <c r="MB73" s="198" t="n"/>
      <c r="MC73" s="198" t="n"/>
      <c r="MD73" s="198" t="n"/>
      <c r="ME73" s="198" t="n"/>
      <c r="MF73" s="198" t="n"/>
      <c r="MG73" s="198" t="n"/>
      <c r="MH73" s="198" t="n"/>
      <c r="MI73" s="198" t="n"/>
      <c r="MJ73" s="198" t="n"/>
      <c r="MK73" s="198" t="n"/>
      <c r="ML73" s="198" t="n"/>
      <c r="MM73" s="198" t="n"/>
      <c r="MN73" s="198" t="n"/>
      <c r="MO73" s="198" t="n"/>
      <c r="MP73" s="198" t="n"/>
      <c r="MQ73" s="198" t="n"/>
      <c r="MR73" s="198" t="n"/>
      <c r="MS73" s="198" t="n"/>
      <c r="MT73" s="198" t="n"/>
      <c r="MU73" s="198" t="n"/>
      <c r="MV73" s="198" t="n"/>
      <c r="MW73" s="198" t="n"/>
      <c r="MX73" s="198" t="n"/>
      <c r="MY73" s="198" t="n"/>
      <c r="MZ73" s="198" t="n"/>
      <c r="NA73" s="198" t="n"/>
      <c r="NB73" s="198" t="n"/>
      <c r="NC73" s="198" t="n"/>
      <c r="ND73" s="198" t="n"/>
      <c r="NE73" s="198" t="n"/>
      <c r="NF73" s="198" t="n"/>
      <c r="NG73" s="198" t="n"/>
      <c r="NH73" s="198" t="n"/>
      <c r="NI73" s="198" t="n"/>
      <c r="NJ73" s="198" t="n"/>
      <c r="NK73" s="198" t="n"/>
      <c r="NL73" s="198" t="n"/>
      <c r="NM73" s="198" t="n"/>
      <c r="NN73" s="198" t="n"/>
      <c r="NO73" s="198" t="n"/>
      <c r="NP73" s="198" t="n"/>
      <c r="NQ73" s="198" t="n"/>
      <c r="NR73" s="198" t="n"/>
      <c r="NS73" s="198" t="n"/>
      <c r="NT73" s="198" t="n"/>
      <c r="NU73" s="198" t="n"/>
      <c r="NV73" s="198" t="n"/>
      <c r="NW73" s="198" t="n"/>
      <c r="NX73" s="198" t="n"/>
      <c r="NY73" s="198" t="n"/>
      <c r="NZ73" s="198" t="n"/>
      <c r="OA73" s="198" t="n"/>
      <c r="OB73" s="198" t="n"/>
      <c r="OC73" s="198" t="n"/>
      <c r="OD73" s="198" t="n"/>
      <c r="OE73" s="198" t="n"/>
      <c r="OF73" s="198" t="n"/>
      <c r="OG73" s="198" t="n"/>
      <c r="OH73" s="198" t="n"/>
      <c r="OI73" s="198" t="n"/>
      <c r="OJ73" s="198" t="n"/>
      <c r="OK73" s="198" t="n"/>
      <c r="OL73" s="198" t="n"/>
      <c r="OM73" s="198" t="n"/>
      <c r="ON73" s="198" t="n"/>
      <c r="OO73" s="198" t="n"/>
      <c r="OP73" s="198" t="n"/>
      <c r="OQ73" s="198" t="n"/>
      <c r="OR73" s="198" t="n"/>
      <c r="OS73" s="198" t="n"/>
      <c r="OT73" s="198" t="n"/>
      <c r="OU73" s="198" t="n"/>
      <c r="OV73" s="198" t="n"/>
      <c r="OW73" s="198" t="n"/>
      <c r="OX73" s="198" t="n"/>
      <c r="OY73" s="198" t="n"/>
      <c r="OZ73" s="198" t="n"/>
      <c r="PA73" s="198" t="n"/>
      <c r="PB73" s="198" t="n"/>
      <c r="PC73" s="198" t="n"/>
      <c r="PD73" s="198" t="n"/>
      <c r="PE73" s="198" t="n"/>
      <c r="PF73" s="198" t="n"/>
      <c r="PG73" s="198" t="n"/>
      <c r="PH73" s="198" t="n"/>
      <c r="PI73" s="198" t="n"/>
      <c r="PJ73" s="198" t="n"/>
      <c r="PK73" s="198" t="n"/>
      <c r="PL73" s="198" t="n"/>
      <c r="PM73" s="198" t="n"/>
      <c r="PN73" s="198" t="n"/>
      <c r="PO73" s="198" t="n"/>
      <c r="PP73" s="198" t="n"/>
      <c r="PQ73" s="198" t="n"/>
      <c r="PR73" s="198" t="n"/>
      <c r="PS73" s="198" t="n"/>
      <c r="PT73" s="198" t="n"/>
      <c r="PU73" s="198" t="n"/>
      <c r="PV73" s="198" t="n"/>
      <c r="PW73" s="198" t="n"/>
      <c r="PX73" s="198" t="n"/>
      <c r="PY73" s="198" t="n"/>
      <c r="PZ73" s="198" t="n"/>
      <c r="QA73" s="198" t="n"/>
      <c r="QB73" s="198" t="n"/>
      <c r="QC73" s="198" t="n"/>
      <c r="QD73" s="198" t="n"/>
      <c r="QE73" s="198" t="n"/>
      <c r="QF73" s="198" t="n"/>
      <c r="QG73" s="198" t="n"/>
      <c r="QH73" s="198" t="n"/>
      <c r="QI73" s="198" t="n"/>
      <c r="QJ73" s="198" t="n"/>
      <c r="QK73" s="198" t="n"/>
      <c r="QL73" s="198" t="n"/>
      <c r="QM73" s="198" t="n"/>
      <c r="QN73" s="198" t="n"/>
      <c r="QO73" s="198" t="n"/>
      <c r="QP73" s="198" t="n"/>
      <c r="QQ73" s="198" t="n"/>
      <c r="QR73" s="198" t="n"/>
      <c r="QS73" s="198" t="n"/>
      <c r="QT73" s="198" t="n"/>
      <c r="QU73" s="198" t="n"/>
      <c r="QV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c r="V74" s="198" t="n"/>
      <c r="W74" s="198" t="n"/>
      <c r="X74" s="198" t="n"/>
      <c r="Y74" s="198" t="n"/>
      <c r="Z74" s="198" t="n"/>
      <c r="AA74" s="198" t="n"/>
      <c r="AB74" s="198" t="n"/>
      <c r="AC74" s="198" t="n"/>
      <c r="AD74" s="198" t="n"/>
      <c r="AE74" s="198" t="n"/>
      <c r="AF74" s="198" t="n"/>
      <c r="AG74" s="198" t="n"/>
      <c r="AH74" s="198" t="n"/>
      <c r="AI74" s="198" t="n"/>
      <c r="AJ74" s="198" t="n"/>
      <c r="AK74" s="198" t="n"/>
      <c r="AL74" s="198" t="n"/>
      <c r="AM74" s="198" t="n"/>
      <c r="AN74" s="198" t="n"/>
      <c r="AO74" s="198" t="n"/>
      <c r="AP74" s="198" t="n"/>
      <c r="AQ74" s="198" t="n"/>
      <c r="AR74" s="198" t="n"/>
      <c r="AS74" s="198" t="n"/>
      <c r="AT74" s="198" t="n"/>
      <c r="AU74" s="198" t="n"/>
      <c r="AV74" s="198" t="n"/>
      <c r="AW74" s="198" t="n"/>
      <c r="AX74" s="198" t="n"/>
      <c r="AY74" s="198" t="n"/>
      <c r="AZ74" s="198" t="n"/>
      <c r="BA74" s="198" t="n"/>
      <c r="BB74" s="198" t="n"/>
      <c r="BC74" s="198" t="n"/>
      <c r="BD74" s="198" t="n"/>
      <c r="BE74" s="198" t="n"/>
      <c r="BF74" s="198" t="n"/>
      <c r="BG74" s="198" t="n"/>
      <c r="BH74" s="198" t="n"/>
      <c r="BI74" s="198" t="n"/>
      <c r="BJ74" s="198" t="n"/>
      <c r="BK74" s="198" t="n"/>
      <c r="BL74" s="198" t="n"/>
      <c r="BM74" s="198" t="n"/>
      <c r="BN74" s="198" t="n"/>
      <c r="BO74" s="198" t="n"/>
      <c r="BP74" s="198" t="n"/>
      <c r="BQ74" s="198" t="n"/>
      <c r="BR74" s="198" t="n"/>
      <c r="BS74" s="198" t="n"/>
      <c r="BT74" s="198" t="n"/>
      <c r="BU74" s="198" t="n"/>
      <c r="BV74" s="198" t="n"/>
      <c r="BW74" s="198" t="n"/>
      <c r="BX74" s="198" t="n"/>
      <c r="BY74" s="198" t="n"/>
      <c r="BZ74" s="198" t="n"/>
      <c r="CA74" s="198" t="n"/>
      <c r="CB74" s="198" t="n"/>
      <c r="CC74" s="198" t="n"/>
      <c r="CD74" s="198" t="n"/>
      <c r="CE74" s="198" t="n"/>
      <c r="CF74" s="198" t="n"/>
      <c r="CG74" s="198" t="n"/>
      <c r="CH74" s="198" t="n"/>
      <c r="CI74" s="198" t="n"/>
      <c r="CJ74" s="198" t="n"/>
      <c r="CK74" s="198" t="n"/>
      <c r="CL74" s="198" t="n"/>
      <c r="CM74" s="198" t="n"/>
      <c r="CN74" s="198" t="n"/>
      <c r="CO74" s="198" t="n"/>
      <c r="CP74" s="198" t="n"/>
      <c r="CQ74" s="198" t="n"/>
      <c r="CR74" s="198" t="n"/>
      <c r="CS74" s="198" t="n"/>
      <c r="CT74" s="198" t="n"/>
      <c r="CU74" s="198" t="n"/>
      <c r="CV74" s="198" t="n"/>
      <c r="CW74" s="198" t="n"/>
      <c r="CX74" s="198" t="n"/>
      <c r="CY74" s="198" t="n"/>
      <c r="CZ74" s="198" t="n"/>
      <c r="DA74" s="198" t="n"/>
      <c r="DB74" s="198" t="n"/>
      <c r="DC74" s="198" t="n"/>
      <c r="DD74" s="198" t="n"/>
      <c r="DE74" s="198" t="n"/>
      <c r="DF74" s="198" t="n"/>
      <c r="DG74" s="198" t="n"/>
      <c r="DH74" s="198" t="n"/>
      <c r="DI74" s="198" t="n"/>
      <c r="DJ74" s="198" t="n"/>
      <c r="DK74" s="198" t="n"/>
      <c r="DL74" s="198" t="n"/>
      <c r="DM74" s="198" t="n"/>
      <c r="DN74" s="198" t="n"/>
      <c r="DO74" s="198" t="n"/>
      <c r="DP74" s="198" t="n"/>
      <c r="DQ74" s="198" t="n"/>
      <c r="DR74" s="198" t="n"/>
      <c r="DS74" s="198" t="n"/>
      <c r="DT74" s="198" t="n"/>
      <c r="DU74" s="198" t="n"/>
      <c r="DV74" s="198" t="n"/>
      <c r="DW74" s="198" t="n"/>
      <c r="DX74" s="198" t="n"/>
      <c r="DY74" s="198" t="n"/>
      <c r="DZ74" s="198" t="n"/>
      <c r="EA74" s="198" t="n"/>
      <c r="EB74" s="198" t="n"/>
      <c r="EC74" s="198" t="n"/>
      <c r="ED74" s="198" t="n"/>
      <c r="EE74" s="198" t="n"/>
      <c r="EF74" s="198" t="n"/>
      <c r="EG74" s="198" t="n"/>
      <c r="EH74" s="198" t="n"/>
      <c r="EI74" s="198" t="n"/>
      <c r="EJ74" s="198" t="n"/>
      <c r="EK74" s="198" t="n"/>
      <c r="EL74" s="198" t="n"/>
      <c r="EM74" s="198" t="n"/>
      <c r="EN74" s="198" t="n"/>
      <c r="EO74" s="198" t="n"/>
      <c r="EP74" s="198" t="n"/>
      <c r="EQ74" s="198" t="n"/>
      <c r="ER74" s="198" t="n"/>
      <c r="ES74" s="198" t="n"/>
      <c r="ET74" s="198" t="n"/>
      <c r="EU74" s="198" t="n"/>
      <c r="EV74" s="198" t="n"/>
      <c r="EW74" s="198" t="n"/>
      <c r="EX74" s="198" t="n"/>
      <c r="EY74" s="198" t="n"/>
      <c r="EZ74" s="198" t="n"/>
      <c r="FA74" s="198" t="n"/>
      <c r="FB74" s="198" t="n"/>
      <c r="FC74" s="198" t="n"/>
      <c r="FD74" s="198" t="n"/>
      <c r="FE74" s="198" t="n"/>
      <c r="FF74" s="198" t="n"/>
      <c r="FG74" s="198" t="n"/>
      <c r="FH74" s="198" t="n"/>
      <c r="FI74" s="198" t="n"/>
      <c r="FJ74" s="198" t="n"/>
      <c r="FK74" s="198" t="n"/>
      <c r="FL74" s="198" t="n"/>
      <c r="FM74" s="198" t="n"/>
      <c r="FN74" s="198" t="n"/>
      <c r="FO74" s="198" t="n"/>
      <c r="FP74" s="198" t="n"/>
      <c r="FQ74" s="198" t="n"/>
      <c r="FR74" s="198" t="n"/>
      <c r="FS74" s="198" t="n"/>
      <c r="FT74" s="198" t="n"/>
      <c r="FU74" s="198" t="n"/>
      <c r="FV74" s="198" t="n"/>
      <c r="FW74" s="198" t="n"/>
      <c r="FX74" s="198" t="n"/>
      <c r="FY74" s="198" t="n"/>
      <c r="FZ74" s="198" t="n"/>
      <c r="GA74" s="198" t="n"/>
      <c r="GB74" s="198" t="n"/>
      <c r="GC74" s="198" t="n"/>
      <c r="GD74" s="198" t="n"/>
      <c r="GE74" s="198" t="n"/>
      <c r="GF74" s="198" t="n"/>
      <c r="GG74" s="198" t="n"/>
      <c r="GH74" s="198" t="n"/>
      <c r="GI74" s="198" t="n"/>
      <c r="GJ74" s="198" t="n"/>
      <c r="GK74" s="198" t="n"/>
      <c r="GL74" s="198" t="n"/>
      <c r="GM74" s="198" t="n"/>
      <c r="GN74" s="198" t="n"/>
      <c r="GO74" s="198" t="n"/>
      <c r="GP74" s="198" t="n"/>
      <c r="GQ74" s="198" t="n"/>
      <c r="GR74" s="198" t="n"/>
      <c r="GS74" s="198" t="n"/>
      <c r="GT74" s="198" t="n"/>
      <c r="GU74" s="198" t="n"/>
      <c r="GV74" s="198" t="n"/>
      <c r="GW74" s="198" t="n"/>
      <c r="GX74" s="198" t="n"/>
      <c r="GY74" s="198" t="n"/>
      <c r="GZ74" s="198" t="n"/>
      <c r="HA74" s="198" t="n"/>
      <c r="HB74" s="198" t="n"/>
      <c r="HC74" s="198" t="n"/>
      <c r="HD74" s="198" t="n"/>
      <c r="HE74" s="198" t="n"/>
      <c r="HF74" s="198" t="n"/>
      <c r="HG74" s="198" t="n"/>
      <c r="HH74" s="198" t="n"/>
      <c r="HI74" s="198" t="n"/>
      <c r="HJ74" s="198" t="n"/>
      <c r="HK74" s="198" t="n"/>
      <c r="HL74" s="198" t="n"/>
      <c r="HM74" s="198" t="n"/>
      <c r="HN74" s="198" t="n"/>
      <c r="HO74" s="198" t="n"/>
      <c r="HP74" s="198" t="n"/>
      <c r="HQ74" s="198" t="n"/>
      <c r="HR74" s="198" t="n"/>
      <c r="HS74" s="198" t="n"/>
      <c r="HT74" s="198" t="n"/>
      <c r="HU74" s="198" t="n"/>
      <c r="HV74" s="198" t="n"/>
      <c r="HW74" s="198" t="n"/>
      <c r="HX74" s="198" t="n"/>
      <c r="HY74" s="198" t="n"/>
      <c r="HZ74" s="198" t="n"/>
      <c r="IA74" s="198" t="n"/>
      <c r="IB74" s="198" t="n"/>
      <c r="IC74" s="198" t="n"/>
      <c r="ID74" s="198" t="n"/>
      <c r="IE74" s="198" t="n"/>
      <c r="IF74" s="198" t="n"/>
      <c r="IG74" s="198" t="n"/>
      <c r="IH74" s="198" t="n"/>
      <c r="II74" s="198" t="n"/>
      <c r="IJ74" s="198" t="n"/>
      <c r="IK74" s="198" t="n"/>
      <c r="IL74" s="198" t="n"/>
      <c r="IM74" s="198" t="n"/>
      <c r="IN74" s="198" t="n"/>
      <c r="IO74" s="198" t="n"/>
      <c r="IP74" s="198" t="n"/>
      <c r="IQ74" s="198" t="n"/>
      <c r="IR74" s="198" t="n"/>
      <c r="IS74" s="198" t="n"/>
      <c r="IT74" s="198" t="n"/>
      <c r="IU74" s="198" t="n"/>
      <c r="IV74" s="198" t="n"/>
      <c r="IW74" s="198" t="n"/>
      <c r="IX74" s="198" t="n"/>
      <c r="IY74" s="198" t="n"/>
      <c r="IZ74" s="198" t="n"/>
      <c r="JA74" s="198" t="n"/>
      <c r="JB74" s="198" t="n"/>
      <c r="JC74" s="198" t="n"/>
      <c r="JD74" s="198" t="n"/>
      <c r="JE74" s="198" t="n"/>
      <c r="JF74" s="198" t="n"/>
      <c r="JG74" s="198" t="n"/>
      <c r="JH74" s="198" t="n"/>
      <c r="JI74" s="198" t="n"/>
      <c r="JJ74" s="198" t="n"/>
      <c r="JK74" s="198" t="n"/>
      <c r="JL74" s="198" t="n"/>
      <c r="JM74" s="198" t="n"/>
      <c r="JN74" s="198" t="n"/>
      <c r="JO74" s="198" t="n"/>
      <c r="JP74" s="198" t="n"/>
      <c r="JQ74" s="198" t="n"/>
      <c r="JR74" s="198" t="n"/>
      <c r="JS74" s="198" t="n"/>
      <c r="JT74" s="198" t="n"/>
      <c r="JU74" s="198" t="n"/>
      <c r="JV74" s="198" t="n"/>
      <c r="JW74" s="198" t="n"/>
      <c r="JX74" s="198" t="n"/>
      <c r="JY74" s="198" t="n"/>
      <c r="JZ74" s="198" t="n"/>
      <c r="KA74" s="198" t="n"/>
      <c r="KB74" s="198" t="n"/>
      <c r="KC74" s="198" t="n"/>
      <c r="KD74" s="198" t="n"/>
      <c r="KE74" s="198" t="n"/>
      <c r="KF74" s="198" t="n"/>
      <c r="KG74" s="198" t="n"/>
      <c r="KH74" s="198" t="n"/>
      <c r="KI74" s="198" t="n"/>
      <c r="KJ74" s="198" t="n"/>
      <c r="KK74" s="198" t="n"/>
      <c r="KL74" s="198" t="n"/>
      <c r="KM74" s="198" t="n"/>
      <c r="KN74" s="198" t="n"/>
      <c r="KO74" s="198" t="n"/>
      <c r="KP74" s="198" t="n"/>
      <c r="KQ74" s="198" t="n"/>
      <c r="KR74" s="198" t="n"/>
      <c r="KS74" s="198" t="n"/>
      <c r="KT74" s="198" t="n"/>
      <c r="KU74" s="198" t="n"/>
      <c r="KV74" s="198" t="n"/>
      <c r="KW74" s="198" t="n"/>
      <c r="KX74" s="198" t="n"/>
      <c r="KY74" s="198" t="n"/>
      <c r="KZ74" s="198" t="n"/>
      <c r="LA74" s="198" t="n"/>
      <c r="LB74" s="198" t="n"/>
      <c r="LC74" s="198" t="n"/>
      <c r="LD74" s="198" t="n"/>
      <c r="LE74" s="198" t="n"/>
      <c r="LF74" s="198" t="n"/>
      <c r="LG74" s="198" t="n"/>
      <c r="LH74" s="198" t="n"/>
      <c r="LI74" s="198" t="n"/>
      <c r="LJ74" s="198" t="n"/>
      <c r="LK74" s="198" t="n"/>
      <c r="LL74" s="198" t="n"/>
      <c r="LM74" s="198" t="n"/>
      <c r="LN74" s="198" t="n"/>
      <c r="LO74" s="198" t="n"/>
      <c r="LP74" s="198" t="n"/>
      <c r="LQ74" s="198" t="n"/>
      <c r="LR74" s="198" t="n"/>
      <c r="LS74" s="198" t="n"/>
      <c r="LT74" s="198" t="n"/>
      <c r="LU74" s="198" t="n"/>
      <c r="LV74" s="198" t="n"/>
      <c r="LW74" s="198" t="n"/>
      <c r="LX74" s="198" t="n"/>
      <c r="LY74" s="198" t="n"/>
      <c r="LZ74" s="198" t="n"/>
      <c r="MA74" s="198" t="n"/>
      <c r="MB74" s="198" t="n"/>
      <c r="MC74" s="198" t="n"/>
      <c r="MD74" s="198" t="n"/>
      <c r="ME74" s="198" t="n"/>
      <c r="MF74" s="198" t="n"/>
      <c r="MG74" s="198" t="n"/>
      <c r="MH74" s="198" t="n"/>
      <c r="MI74" s="198" t="n"/>
      <c r="MJ74" s="198" t="n"/>
      <c r="MK74" s="198" t="n"/>
      <c r="ML74" s="198" t="n"/>
      <c r="MM74" s="198" t="n"/>
      <c r="MN74" s="198" t="n"/>
      <c r="MO74" s="198" t="n"/>
      <c r="MP74" s="198" t="n"/>
      <c r="MQ74" s="198" t="n"/>
      <c r="MR74" s="198" t="n"/>
      <c r="MS74" s="198" t="n"/>
      <c r="MT74" s="198" t="n"/>
      <c r="MU74" s="198" t="n"/>
      <c r="MV74" s="198" t="n"/>
      <c r="MW74" s="198" t="n"/>
      <c r="MX74" s="198" t="n"/>
      <c r="MY74" s="198" t="n"/>
      <c r="MZ74" s="198" t="n"/>
      <c r="NA74" s="198" t="n"/>
      <c r="NB74" s="198" t="n"/>
      <c r="NC74" s="198" t="n"/>
      <c r="ND74" s="198" t="n"/>
      <c r="NE74" s="198" t="n"/>
      <c r="NF74" s="198" t="n"/>
      <c r="NG74" s="198" t="n"/>
      <c r="NH74" s="198" t="n"/>
      <c r="NI74" s="198" t="n"/>
      <c r="NJ74" s="198" t="n"/>
      <c r="NK74" s="198" t="n"/>
      <c r="NL74" s="198" t="n"/>
      <c r="NM74" s="198" t="n"/>
      <c r="NN74" s="198" t="n"/>
      <c r="NO74" s="198" t="n"/>
      <c r="NP74" s="198" t="n"/>
      <c r="NQ74" s="198" t="n"/>
      <c r="NR74" s="198" t="n"/>
      <c r="NS74" s="198" t="n"/>
      <c r="NT74" s="198" t="n"/>
      <c r="NU74" s="198" t="n"/>
      <c r="NV74" s="198" t="n"/>
      <c r="NW74" s="198" t="n"/>
      <c r="NX74" s="198" t="n"/>
      <c r="NY74" s="198" t="n"/>
      <c r="NZ74" s="198" t="n"/>
      <c r="OA74" s="198" t="n"/>
      <c r="OB74" s="198" t="n"/>
      <c r="OC74" s="198" t="n"/>
      <c r="OD74" s="198" t="n"/>
      <c r="OE74" s="198" t="n"/>
      <c r="OF74" s="198" t="n"/>
      <c r="OG74" s="198" t="n"/>
      <c r="OH74" s="198" t="n"/>
      <c r="OI74" s="198" t="n"/>
      <c r="OJ74" s="198" t="n"/>
      <c r="OK74" s="198" t="n"/>
      <c r="OL74" s="198" t="n"/>
      <c r="OM74" s="198" t="n"/>
      <c r="ON74" s="198" t="n"/>
      <c r="OO74" s="198" t="n"/>
      <c r="OP74" s="198" t="n"/>
      <c r="OQ74" s="198" t="n"/>
      <c r="OR74" s="198" t="n"/>
      <c r="OS74" s="198" t="n"/>
      <c r="OT74" s="198" t="n"/>
      <c r="OU74" s="198" t="n"/>
      <c r="OV74" s="198" t="n"/>
      <c r="OW74" s="198" t="n"/>
      <c r="OX74" s="198" t="n"/>
      <c r="OY74" s="198" t="n"/>
      <c r="OZ74" s="198" t="n"/>
      <c r="PA74" s="198" t="n"/>
      <c r="PB74" s="198" t="n"/>
      <c r="PC74" s="198" t="n"/>
      <c r="PD74" s="198" t="n"/>
      <c r="PE74" s="198" t="n"/>
      <c r="PF74" s="198" t="n"/>
      <c r="PG74" s="198" t="n"/>
      <c r="PH74" s="198" t="n"/>
      <c r="PI74" s="198" t="n"/>
      <c r="PJ74" s="198" t="n"/>
      <c r="PK74" s="198" t="n"/>
      <c r="PL74" s="198" t="n"/>
      <c r="PM74" s="198" t="n"/>
      <c r="PN74" s="198" t="n"/>
      <c r="PO74" s="198" t="n"/>
      <c r="PP74" s="198" t="n"/>
      <c r="PQ74" s="198" t="n"/>
      <c r="PR74" s="198" t="n"/>
      <c r="PS74" s="198" t="n"/>
      <c r="PT74" s="198" t="n"/>
      <c r="PU74" s="198" t="n"/>
      <c r="PV74" s="198" t="n"/>
      <c r="PW74" s="198" t="n"/>
      <c r="PX74" s="198" t="n"/>
      <c r="PY74" s="198" t="n"/>
      <c r="PZ74" s="198" t="n"/>
      <c r="QA74" s="198" t="n"/>
      <c r="QB74" s="198" t="n"/>
      <c r="QC74" s="198" t="n"/>
      <c r="QD74" s="198" t="n"/>
      <c r="QE74" s="198" t="n"/>
      <c r="QF74" s="198" t="n"/>
      <c r="QG74" s="198" t="n"/>
      <c r="QH74" s="198" t="n"/>
      <c r="QI74" s="198" t="n"/>
      <c r="QJ74" s="198" t="n"/>
      <c r="QK74" s="198" t="n"/>
      <c r="QL74" s="198" t="n"/>
      <c r="QM74" s="198" t="n"/>
      <c r="QN74" s="198" t="n"/>
      <c r="QO74" s="198" t="n"/>
      <c r="QP74" s="198" t="n"/>
      <c r="QQ74" s="198" t="n"/>
      <c r="QR74" s="198" t="n"/>
      <c r="QS74" s="198" t="n"/>
      <c r="QT74" s="198" t="n"/>
      <c r="QU74" s="198" t="n"/>
      <c r="QV74" s="198" t="n"/>
      <c r="QW74" s="198" t="n"/>
      <c r="QX74" s="198" t="n"/>
      <c r="QY74" s="198" t="n"/>
      <c r="QZ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c r="V75" s="198" t="n"/>
      <c r="W75" s="198" t="n"/>
      <c r="X75" s="198" t="n"/>
      <c r="Y75" s="198" t="n"/>
      <c r="Z75" s="198" t="n"/>
      <c r="AA75" s="198" t="n"/>
      <c r="AB75" s="198" t="n"/>
      <c r="AC75" s="198" t="n"/>
      <c r="AD75" s="198" t="n"/>
      <c r="AE75" s="198" t="n"/>
      <c r="AF75" s="198" t="n"/>
      <c r="AG75" s="198" t="n"/>
      <c r="AH75" s="198" t="n"/>
      <c r="AI75" s="198" t="n"/>
      <c r="AJ75" s="198" t="n"/>
      <c r="AK75" s="198" t="n"/>
      <c r="AL75" s="198" t="n"/>
      <c r="AM75" s="198" t="n"/>
      <c r="AN75" s="198" t="n"/>
      <c r="AO75" s="198" t="n"/>
      <c r="AP75" s="198" t="n"/>
      <c r="AQ75" s="198" t="n"/>
      <c r="AR75" s="198" t="n"/>
      <c r="AS75" s="198" t="n"/>
      <c r="AT75" s="198" t="n"/>
      <c r="AU75" s="198" t="n"/>
      <c r="AV75" s="198" t="n"/>
      <c r="AW75" s="198" t="n"/>
      <c r="AX75" s="198" t="n"/>
      <c r="AY75" s="198" t="n"/>
      <c r="AZ75" s="198" t="n"/>
      <c r="BA75" s="198" t="n"/>
      <c r="BB75" s="198" t="n"/>
      <c r="BC75" s="198" t="n"/>
      <c r="BD75" s="198" t="n"/>
      <c r="BE75" s="198" t="n"/>
      <c r="BF75" s="198" t="n"/>
      <c r="BG75" s="198" t="n"/>
      <c r="BH75" s="198" t="n"/>
      <c r="BI75" s="198" t="n"/>
      <c r="BJ75" s="198" t="n"/>
      <c r="BK75" s="198" t="n"/>
      <c r="BL75" s="198" t="n"/>
      <c r="BM75" s="198" t="n"/>
      <c r="BN75" s="198" t="n"/>
      <c r="BO75" s="198" t="n"/>
      <c r="BP75" s="198" t="n"/>
      <c r="BQ75" s="198" t="n"/>
      <c r="BR75" s="198" t="n"/>
      <c r="BS75" s="198" t="n"/>
      <c r="BT75" s="198" t="n"/>
      <c r="BU75" s="198" t="n"/>
      <c r="BV75" s="198" t="n"/>
      <c r="BW75" s="198" t="n"/>
      <c r="BX75" s="198" t="n"/>
      <c r="BY75" s="198" t="n"/>
      <c r="BZ75" s="198" t="n"/>
      <c r="CA75" s="198" t="n"/>
      <c r="CB75" s="198" t="n"/>
      <c r="CC75" s="198" t="n"/>
      <c r="CD75" s="198" t="n"/>
      <c r="CE75" s="198" t="n"/>
      <c r="CF75" s="198" t="n"/>
      <c r="CG75" s="198" t="n"/>
      <c r="CH75" s="198" t="n"/>
      <c r="CI75" s="198" t="n"/>
      <c r="CJ75" s="198" t="n"/>
      <c r="CK75" s="198" t="n"/>
      <c r="CL75" s="198" t="n"/>
      <c r="CM75" s="198" t="n"/>
      <c r="CN75" s="198" t="n"/>
      <c r="CO75" s="198" t="n"/>
      <c r="CP75" s="198" t="n"/>
      <c r="CQ75" s="198" t="n"/>
      <c r="CR75" s="198" t="n"/>
      <c r="CS75" s="198" t="n"/>
      <c r="CT75" s="198" t="n"/>
      <c r="CU75" s="198" t="n"/>
      <c r="CV75" s="198" t="n"/>
      <c r="CW75" s="198" t="n"/>
      <c r="CX75" s="198" t="n"/>
      <c r="CY75" s="198" t="n"/>
      <c r="CZ75" s="198" t="n"/>
      <c r="DA75" s="198" t="n"/>
      <c r="DB75" s="198" t="n"/>
      <c r="DC75" s="198" t="n"/>
      <c r="DD75" s="198" t="n"/>
      <c r="DE75" s="198" t="n"/>
      <c r="DF75" s="198" t="n"/>
      <c r="DG75" s="198" t="n"/>
      <c r="DH75" s="198" t="n"/>
      <c r="DI75" s="198" t="n"/>
      <c r="DJ75" s="198" t="n"/>
      <c r="DK75" s="198" t="n"/>
      <c r="DL75" s="198" t="n"/>
      <c r="DM75" s="198" t="n"/>
      <c r="DN75" s="198" t="n"/>
      <c r="DO75" s="198" t="n"/>
      <c r="DP75" s="198" t="n"/>
      <c r="DQ75" s="198" t="n"/>
      <c r="DR75" s="198" t="n"/>
      <c r="DS75" s="198" t="n"/>
      <c r="DT75" s="198" t="n"/>
      <c r="DU75" s="198" t="n"/>
      <c r="DV75" s="198" t="n"/>
      <c r="DW75" s="198" t="n"/>
      <c r="DX75" s="198" t="n"/>
      <c r="DY75" s="198" t="n"/>
      <c r="DZ75" s="198" t="n"/>
      <c r="EA75" s="198" t="n"/>
      <c r="EB75" s="198" t="n"/>
      <c r="EC75" s="198" t="n"/>
      <c r="ED75" s="198" t="n"/>
      <c r="EE75" s="198" t="n"/>
      <c r="EF75" s="198" t="n"/>
      <c r="EG75" s="198" t="n"/>
      <c r="EH75" s="198" t="n"/>
      <c r="EI75" s="198" t="n"/>
      <c r="EJ75" s="198" t="n"/>
      <c r="EK75" s="198" t="n"/>
      <c r="EL75" s="198" t="n"/>
      <c r="EM75" s="198" t="n"/>
      <c r="EN75" s="198" t="n"/>
      <c r="EO75" s="198" t="n"/>
      <c r="EP75" s="198" t="n"/>
      <c r="EQ75" s="198" t="n"/>
      <c r="ER75" s="198" t="n"/>
      <c r="ES75" s="198" t="n"/>
      <c r="ET75" s="198" t="n"/>
      <c r="EU75" s="198" t="n"/>
      <c r="EV75" s="198" t="n"/>
      <c r="EW75" s="198" t="n"/>
      <c r="EX75" s="198" t="n"/>
      <c r="EY75" s="198" t="n"/>
      <c r="EZ75" s="198" t="n"/>
      <c r="FA75" s="198" t="n"/>
      <c r="FB75" s="198" t="n"/>
      <c r="FC75" s="198" t="n"/>
      <c r="FD75" s="198" t="n"/>
      <c r="FE75" s="198" t="n"/>
      <c r="FF75" s="198" t="n"/>
      <c r="FG75" s="198" t="n"/>
      <c r="FH75" s="198" t="n"/>
      <c r="FI75" s="198" t="n"/>
      <c r="FJ75" s="198" t="n"/>
      <c r="FK75" s="198" t="n"/>
      <c r="FL75" s="198" t="n"/>
      <c r="FM75" s="198" t="n"/>
      <c r="FN75" s="198" t="n"/>
      <c r="FO75" s="198" t="n"/>
      <c r="FP75" s="198" t="n"/>
      <c r="FQ75" s="198" t="n"/>
      <c r="FR75" s="198" t="n"/>
      <c r="FS75" s="198" t="n"/>
      <c r="FT75" s="198" t="n"/>
      <c r="FU75" s="198" t="n"/>
      <c r="FV75" s="198" t="n"/>
      <c r="FW75" s="198" t="n"/>
      <c r="FX75" s="198" t="n"/>
      <c r="FY75" s="198" t="n"/>
      <c r="FZ75" s="198" t="n"/>
      <c r="GA75" s="198" t="n"/>
      <c r="GB75" s="198" t="n"/>
      <c r="GC75" s="198" t="n"/>
      <c r="GD75" s="198" t="n"/>
      <c r="GE75" s="198" t="n"/>
      <c r="GF75" s="198" t="n"/>
      <c r="GG75" s="198" t="n"/>
      <c r="GH75" s="198" t="n"/>
      <c r="GI75" s="198" t="n"/>
      <c r="GJ75" s="198" t="n"/>
      <c r="GK75" s="198" t="n"/>
      <c r="GL75" s="198" t="n"/>
      <c r="GM75" s="198" t="n"/>
      <c r="GN75" s="198" t="n"/>
      <c r="GO75" s="198" t="n"/>
      <c r="GP75" s="198" t="n"/>
      <c r="GQ75" s="198" t="n"/>
      <c r="GR75" s="198" t="n"/>
      <c r="GS75" s="198" t="n"/>
      <c r="GT75" s="198" t="n"/>
      <c r="GU75" s="198" t="n"/>
      <c r="GV75" s="198" t="n"/>
      <c r="GW75" s="198" t="n"/>
      <c r="GX75" s="198" t="n"/>
      <c r="GY75" s="198" t="n"/>
      <c r="GZ75" s="198" t="n"/>
      <c r="HA75" s="198" t="n"/>
      <c r="HB75" s="198" t="n"/>
      <c r="HC75" s="198" t="n"/>
      <c r="HD75" s="198" t="n"/>
      <c r="HE75" s="198" t="n"/>
      <c r="HF75" s="198" t="n"/>
      <c r="HG75" s="198" t="n"/>
      <c r="HH75" s="198" t="n"/>
      <c r="HI75" s="198" t="n"/>
      <c r="HJ75" s="198" t="n"/>
      <c r="HK75" s="198" t="n"/>
      <c r="HL75" s="198" t="n"/>
      <c r="HM75" s="198" t="n"/>
      <c r="HN75" s="198" t="n"/>
      <c r="HO75" s="198" t="n"/>
      <c r="HP75" s="198" t="n"/>
      <c r="HQ75" s="198" t="n"/>
      <c r="HR75" s="198" t="n"/>
      <c r="HS75" s="198" t="n"/>
      <c r="HT75" s="198" t="n"/>
      <c r="HU75" s="198" t="n"/>
      <c r="HV75" s="198" t="n"/>
      <c r="HW75" s="198" t="n"/>
      <c r="HX75" s="198" t="n"/>
      <c r="HY75" s="198" t="n"/>
      <c r="HZ75" s="198" t="n"/>
      <c r="IA75" s="198" t="n"/>
      <c r="IB75" s="198" t="n"/>
      <c r="IC75" s="198" t="n"/>
      <c r="ID75" s="198" t="n"/>
      <c r="IE75" s="198" t="n"/>
      <c r="IF75" s="198" t="n"/>
      <c r="IG75" s="198" t="n"/>
      <c r="IH75" s="198" t="n"/>
      <c r="II75" s="198" t="n"/>
      <c r="IJ75" s="198" t="n"/>
      <c r="IK75" s="198" t="n"/>
      <c r="IL75" s="198" t="n"/>
      <c r="IM75" s="198" t="n"/>
      <c r="IN75" s="198" t="n"/>
      <c r="IO75" s="198" t="n"/>
      <c r="IP75" s="198" t="n"/>
      <c r="IQ75" s="198" t="n"/>
      <c r="IR75" s="198" t="n"/>
      <c r="IS75" s="198" t="n"/>
      <c r="IT75" s="198" t="n"/>
      <c r="IU75" s="198" t="n"/>
      <c r="IV75" s="198" t="n"/>
      <c r="IW75" s="198" t="n"/>
      <c r="IX75" s="198" t="n"/>
      <c r="IY75" s="198" t="n"/>
      <c r="IZ75" s="198" t="n"/>
      <c r="JA75" s="198" t="n"/>
      <c r="JB75" s="198" t="n"/>
      <c r="JC75" s="198" t="n"/>
      <c r="JD75" s="198" t="n"/>
      <c r="JE75" s="198" t="n"/>
      <c r="JF75" s="198" t="n"/>
      <c r="JG75" s="198" t="n"/>
      <c r="JH75" s="198" t="n"/>
      <c r="JI75" s="198" t="n"/>
      <c r="JJ75" s="198" t="n"/>
      <c r="JK75" s="198" t="n"/>
      <c r="JL75" s="198" t="n"/>
      <c r="JM75" s="198" t="n"/>
      <c r="JN75" s="198" t="n"/>
      <c r="JO75" s="198" t="n"/>
      <c r="JP75" s="198" t="n"/>
      <c r="JQ75" s="198" t="n"/>
      <c r="JR75" s="198" t="n"/>
      <c r="JS75" s="198" t="n"/>
      <c r="JT75" s="198" t="n"/>
      <c r="JU75" s="198" t="n"/>
      <c r="JV75" s="198" t="n"/>
      <c r="JW75" s="198" t="n"/>
      <c r="JX75" s="198" t="n"/>
      <c r="JY75" s="198" t="n"/>
      <c r="JZ75" s="198" t="n"/>
      <c r="KA75" s="198" t="n"/>
      <c r="KB75" s="198" t="n"/>
      <c r="KC75" s="198" t="n"/>
      <c r="KD75" s="198" t="n"/>
      <c r="KE75" s="198" t="n"/>
      <c r="KF75" s="198" t="n"/>
      <c r="KG75" s="198" t="n"/>
      <c r="KH75" s="198" t="n"/>
      <c r="KI75" s="198" t="n"/>
      <c r="KJ75" s="198" t="n"/>
      <c r="KK75" s="198" t="n"/>
      <c r="KL75" s="198" t="n"/>
      <c r="KM75" s="198" t="n"/>
      <c r="KN75" s="198" t="n"/>
      <c r="KO75" s="198" t="n"/>
      <c r="KP75" s="198" t="n"/>
      <c r="KQ75" s="198" t="n"/>
      <c r="KR75" s="198" t="n"/>
      <c r="KS75" s="198" t="n"/>
      <c r="KT75" s="198" t="n"/>
      <c r="KU75" s="198" t="n"/>
      <c r="KV75" s="198" t="n"/>
      <c r="KW75" s="198" t="n"/>
      <c r="KX75" s="198" t="n"/>
      <c r="KY75" s="198" t="n"/>
      <c r="KZ75" s="198" t="n"/>
      <c r="LA75" s="198" t="n"/>
      <c r="LB75" s="198" t="n"/>
      <c r="LC75" s="198" t="n"/>
      <c r="LD75" s="198" t="n"/>
      <c r="LE75" s="198" t="n"/>
      <c r="LF75" s="198" t="n"/>
      <c r="LG75" s="198" t="n"/>
      <c r="LH75" s="198" t="n"/>
      <c r="LI75" s="198" t="n"/>
      <c r="LJ75" s="198" t="n"/>
      <c r="LK75" s="198" t="n"/>
      <c r="LL75" s="198" t="n"/>
      <c r="LM75" s="198" t="n"/>
      <c r="LN75" s="198" t="n"/>
      <c r="LO75" s="198" t="n"/>
      <c r="LP75" s="198" t="n"/>
      <c r="LQ75" s="198" t="n"/>
      <c r="LR75" s="198" t="n"/>
      <c r="LS75" s="198" t="n"/>
      <c r="LT75" s="198" t="n"/>
      <c r="LU75" s="198" t="n"/>
      <c r="LV75" s="198" t="n"/>
      <c r="LW75" s="198" t="n"/>
      <c r="LX75" s="198" t="n"/>
      <c r="LY75" s="198" t="n"/>
      <c r="LZ75" s="198" t="n"/>
      <c r="MA75" s="198" t="n"/>
      <c r="MB75" s="198" t="n"/>
      <c r="MC75" s="198" t="n"/>
      <c r="MD75" s="198" t="n"/>
      <c r="ME75" s="198" t="n"/>
      <c r="MF75" s="198" t="n"/>
      <c r="MG75" s="198" t="n"/>
      <c r="MH75" s="198" t="n"/>
      <c r="MI75" s="198" t="n"/>
      <c r="MJ75" s="198" t="n"/>
      <c r="MK75" s="198" t="n"/>
      <c r="ML75" s="198" t="n"/>
      <c r="MM75" s="198" t="n"/>
      <c r="MN75" s="198" t="n"/>
      <c r="MO75" s="198" t="n"/>
      <c r="MP75" s="198" t="n"/>
      <c r="MQ75" s="198" t="n"/>
      <c r="MR75" s="198" t="n"/>
      <c r="MS75" s="198" t="n"/>
      <c r="MT75" s="198" t="n"/>
      <c r="MU75" s="198" t="n"/>
      <c r="MV75" s="198" t="n"/>
      <c r="MW75" s="198" t="n"/>
      <c r="MX75" s="198" t="n"/>
      <c r="MY75" s="198" t="n"/>
      <c r="MZ75" s="198" t="n"/>
      <c r="NA75" s="198" t="n"/>
      <c r="NB75" s="198" t="n"/>
      <c r="NC75" s="198" t="n"/>
      <c r="ND75" s="198" t="n"/>
      <c r="NE75" s="198" t="n"/>
      <c r="NF75" s="198" t="n"/>
      <c r="NG75" s="198" t="n"/>
      <c r="NH75" s="198" t="n"/>
      <c r="NI75" s="198" t="n"/>
      <c r="NJ75" s="198" t="n"/>
      <c r="NK75" s="198" t="n"/>
      <c r="NL75" s="198" t="n"/>
      <c r="NM75" s="198" t="n"/>
      <c r="NN75" s="198" t="n"/>
      <c r="NO75" s="198" t="n"/>
      <c r="NP75" s="198" t="n"/>
      <c r="NQ75" s="198" t="n"/>
      <c r="NR75" s="198" t="n"/>
      <c r="NS75" s="198" t="n"/>
      <c r="NT75" s="198" t="n"/>
      <c r="NU75" s="198" t="n"/>
      <c r="NV75" s="198" t="n"/>
      <c r="NW75" s="198" t="n"/>
      <c r="NX75" s="198" t="n"/>
      <c r="NY75" s="198" t="n"/>
      <c r="NZ75" s="198" t="n"/>
      <c r="OA75" s="198" t="n"/>
      <c r="OB75" s="198" t="n"/>
      <c r="OC75" s="198" t="n"/>
      <c r="OD75" s="198" t="n"/>
      <c r="OE75" s="198" t="n"/>
      <c r="OF75" s="198" t="n"/>
      <c r="OG75" s="198" t="n"/>
      <c r="OH75" s="198" t="n"/>
      <c r="OI75" s="198" t="n"/>
      <c r="OJ75" s="198" t="n"/>
      <c r="OK75" s="198" t="n"/>
      <c r="OL75" s="198" t="n"/>
      <c r="OM75" s="198" t="n"/>
      <c r="ON75" s="198" t="n"/>
      <c r="OO75" s="198" t="n"/>
      <c r="OP75" s="198" t="n"/>
      <c r="OQ75" s="198" t="n"/>
      <c r="OR75" s="198" t="n"/>
      <c r="OS75" s="198" t="n"/>
      <c r="OT75" s="198" t="n"/>
      <c r="OU75" s="198" t="n"/>
      <c r="OV75" s="198" t="n"/>
      <c r="OW75" s="198" t="n"/>
      <c r="OX75" s="198" t="n"/>
      <c r="OY75" s="198" t="n"/>
      <c r="OZ75" s="198" t="n"/>
      <c r="PA75" s="198" t="n"/>
      <c r="PB75" s="198" t="n"/>
      <c r="PC75" s="198" t="n"/>
      <c r="PD75" s="198" t="n"/>
      <c r="PE75" s="198" t="n"/>
      <c r="PF75" s="198" t="n"/>
      <c r="PG75" s="198" t="n"/>
      <c r="PH75" s="198" t="n"/>
      <c r="PI75" s="198" t="n"/>
      <c r="PJ75" s="198" t="n"/>
      <c r="PK75" s="198" t="n"/>
      <c r="PL75" s="198" t="n"/>
      <c r="PM75" s="198" t="n"/>
      <c r="PN75" s="198" t="n"/>
      <c r="PO75" s="198" t="n"/>
      <c r="PP75" s="198" t="n"/>
      <c r="PQ75" s="198" t="n"/>
      <c r="PR75" s="198" t="n"/>
      <c r="PS75" s="198" t="n"/>
      <c r="PT75" s="198" t="n"/>
      <c r="PU75" s="198" t="n"/>
      <c r="PV75" s="198" t="n"/>
      <c r="PW75" s="198" t="n"/>
      <c r="PX75" s="198" t="n"/>
      <c r="PY75" s="198" t="n"/>
      <c r="PZ75" s="198" t="n"/>
      <c r="QA75" s="198" t="n"/>
      <c r="QB75" s="198" t="n"/>
      <c r="QC75" s="198" t="n"/>
      <c r="QD75" s="198" t="n"/>
      <c r="QE75" s="198" t="n"/>
      <c r="QF75" s="198" t="n"/>
      <c r="QG75" s="198" t="n"/>
      <c r="QH75" s="198" t="n"/>
      <c r="QI75" s="198" t="n"/>
      <c r="QJ75" s="198" t="n"/>
      <c r="QK75" s="198" t="n"/>
      <c r="QL75" s="198" t="n"/>
      <c r="QM75" s="198" t="n"/>
      <c r="QN75" s="198" t="n"/>
      <c r="QO75" s="198" t="n"/>
      <c r="QP75" s="198" t="n"/>
      <c r="QQ75" s="198" t="n"/>
      <c r="QR75" s="198" t="n"/>
      <c r="QS75" s="198" t="n"/>
      <c r="QT75" s="198" t="n"/>
      <c r="QU75" s="198" t="n"/>
      <c r="QV75" s="198" t="n"/>
      <c r="QW75" s="198" t="n"/>
      <c r="QX75" s="198" t="n"/>
      <c r="QY75" s="198" t="n"/>
      <c r="QZ75" s="198" t="n"/>
      <c r="RA75" s="198" t="n"/>
      <c r="RB75" s="198" t="n"/>
      <c r="RC75" s="198" t="n"/>
      <c r="RD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c r="V76" s="198" t="n"/>
      <c r="W76" s="198" t="n"/>
      <c r="X76" s="198" t="n"/>
      <c r="Y76" s="198" t="n"/>
      <c r="Z76" s="198" t="n"/>
      <c r="AA76" s="198" t="n"/>
      <c r="AB76" s="198" t="n"/>
      <c r="AC76" s="198" t="n"/>
      <c r="AD76" s="198" t="n"/>
      <c r="AE76" s="198" t="n"/>
      <c r="AF76" s="198" t="n"/>
      <c r="AG76" s="198" t="n"/>
      <c r="AH76" s="198" t="n"/>
      <c r="AI76" s="198" t="n"/>
      <c r="AJ76" s="198" t="n"/>
      <c r="AK76" s="198" t="n"/>
      <c r="AL76" s="198" t="n"/>
      <c r="AM76" s="198" t="n"/>
      <c r="AN76" s="198" t="n"/>
      <c r="AO76" s="198" t="n"/>
      <c r="AP76" s="198" t="n"/>
      <c r="AQ76" s="198" t="n"/>
      <c r="AR76" s="198" t="n"/>
      <c r="AS76" s="198" t="n"/>
      <c r="AT76" s="198" t="n"/>
      <c r="AU76" s="198" t="n"/>
      <c r="AV76" s="198" t="n"/>
      <c r="AW76" s="198" t="n"/>
      <c r="AX76" s="198" t="n"/>
      <c r="AY76" s="198" t="n"/>
      <c r="AZ76" s="198" t="n"/>
      <c r="BA76" s="198" t="n"/>
      <c r="BB76" s="198" t="n"/>
      <c r="BC76" s="198" t="n"/>
      <c r="BD76" s="198" t="n"/>
      <c r="BE76" s="198" t="n"/>
      <c r="BF76" s="198" t="n"/>
      <c r="BG76" s="198" t="n"/>
      <c r="BH76" s="198" t="n"/>
      <c r="BI76" s="198" t="n"/>
      <c r="BJ76" s="198" t="n"/>
      <c r="BK76" s="198" t="n"/>
      <c r="BL76" s="198" t="n"/>
      <c r="BM76" s="198" t="n"/>
      <c r="BN76" s="198" t="n"/>
      <c r="BO76" s="198" t="n"/>
      <c r="BP76" s="198" t="n"/>
      <c r="BQ76" s="198" t="n"/>
      <c r="BR76" s="198" t="n"/>
      <c r="BS76" s="198" t="n"/>
      <c r="BT76" s="198" t="n"/>
      <c r="BU76" s="198" t="n"/>
      <c r="BV76" s="198" t="n"/>
      <c r="BW76" s="198" t="n"/>
      <c r="BX76" s="198" t="n"/>
      <c r="BY76" s="198" t="n"/>
      <c r="BZ76" s="198" t="n"/>
      <c r="CA76" s="198" t="n"/>
      <c r="CB76" s="198" t="n"/>
      <c r="CC76" s="198" t="n"/>
      <c r="CD76" s="198" t="n"/>
      <c r="CE76" s="198" t="n"/>
      <c r="CF76" s="198" t="n"/>
      <c r="CG76" s="198" t="n"/>
      <c r="CH76" s="198" t="n"/>
      <c r="CI76" s="198" t="n"/>
      <c r="CJ76" s="198" t="n"/>
      <c r="CK76" s="198" t="n"/>
      <c r="CL76" s="198" t="n"/>
      <c r="CM76" s="198" t="n"/>
      <c r="CN76" s="198" t="n"/>
      <c r="CO76" s="198" t="n"/>
      <c r="CP76" s="198" t="n"/>
      <c r="CQ76" s="198" t="n"/>
      <c r="CR76" s="198" t="n"/>
      <c r="CS76" s="198" t="n"/>
      <c r="CT76" s="198" t="n"/>
      <c r="CU76" s="198" t="n"/>
      <c r="CV76" s="198" t="n"/>
      <c r="CW76" s="198" t="n"/>
      <c r="CX76" s="198" t="n"/>
      <c r="CY76" s="198" t="n"/>
      <c r="CZ76" s="198" t="n"/>
      <c r="DA76" s="198" t="n"/>
      <c r="DB76" s="198" t="n"/>
      <c r="DC76" s="198" t="n"/>
      <c r="DD76" s="198" t="n"/>
      <c r="DE76" s="198" t="n"/>
      <c r="DF76" s="198" t="n"/>
      <c r="DG76" s="198" t="n"/>
      <c r="DH76" s="198" t="n"/>
      <c r="DI76" s="198" t="n"/>
      <c r="DJ76" s="198" t="n"/>
      <c r="DK76" s="198" t="n"/>
      <c r="DL76" s="198" t="n"/>
      <c r="DM76" s="198" t="n"/>
      <c r="DN76" s="198" t="n"/>
      <c r="DO76" s="198" t="n"/>
      <c r="DP76" s="198" t="n"/>
      <c r="DQ76" s="198" t="n"/>
      <c r="DR76" s="198" t="n"/>
      <c r="DS76" s="198" t="n"/>
      <c r="DT76" s="198" t="n"/>
      <c r="DU76" s="198" t="n"/>
      <c r="DV76" s="198" t="n"/>
      <c r="DW76" s="198" t="n"/>
      <c r="DX76" s="198" t="n"/>
      <c r="DY76" s="198" t="n"/>
      <c r="DZ76" s="198" t="n"/>
      <c r="EA76" s="198" t="n"/>
      <c r="EB76" s="198" t="n"/>
      <c r="EC76" s="198" t="n"/>
      <c r="ED76" s="198" t="n"/>
      <c r="EE76" s="198" t="n"/>
      <c r="EF76" s="198" t="n"/>
      <c r="EG76" s="198" t="n"/>
      <c r="EH76" s="198" t="n"/>
      <c r="EI76" s="198" t="n"/>
      <c r="EJ76" s="198" t="n"/>
      <c r="EK76" s="198" t="n"/>
      <c r="EL76" s="198" t="n"/>
      <c r="EM76" s="198" t="n"/>
      <c r="EN76" s="198" t="n"/>
      <c r="EO76" s="198" t="n"/>
      <c r="EP76" s="198" t="n"/>
      <c r="EQ76" s="198" t="n"/>
      <c r="ER76" s="198" t="n"/>
      <c r="ES76" s="198" t="n"/>
      <c r="ET76" s="198" t="n"/>
      <c r="EU76" s="198" t="n"/>
      <c r="EV76" s="198" t="n"/>
      <c r="EW76" s="198" t="n"/>
      <c r="EX76" s="198" t="n"/>
      <c r="EY76" s="198" t="n"/>
      <c r="EZ76" s="198" t="n"/>
      <c r="FA76" s="198" t="n"/>
      <c r="FB76" s="198" t="n"/>
      <c r="FC76" s="198" t="n"/>
      <c r="FD76" s="198" t="n"/>
      <c r="FE76" s="198" t="n"/>
      <c r="FF76" s="198" t="n"/>
      <c r="FG76" s="198" t="n"/>
      <c r="FH76" s="198" t="n"/>
      <c r="FI76" s="198" t="n"/>
      <c r="FJ76" s="198" t="n"/>
      <c r="FK76" s="198" t="n"/>
      <c r="FL76" s="198" t="n"/>
      <c r="FM76" s="198" t="n"/>
      <c r="FN76" s="198" t="n"/>
      <c r="FO76" s="198" t="n"/>
      <c r="FP76" s="198" t="n"/>
      <c r="FQ76" s="198" t="n"/>
      <c r="FR76" s="198" t="n"/>
      <c r="FS76" s="198" t="n"/>
      <c r="FT76" s="198" t="n"/>
      <c r="FU76" s="198" t="n"/>
      <c r="FV76" s="198" t="n"/>
      <c r="FW76" s="198" t="n"/>
      <c r="FX76" s="198" t="n"/>
      <c r="FY76" s="198" t="n"/>
      <c r="FZ76" s="198" t="n"/>
      <c r="GA76" s="198" t="n"/>
      <c r="GB76" s="198" t="n"/>
      <c r="GC76" s="198" t="n"/>
      <c r="GD76" s="198" t="n"/>
      <c r="GE76" s="198" t="n"/>
      <c r="GF76" s="198" t="n"/>
      <c r="GG76" s="198" t="n"/>
      <c r="GH76" s="198" t="n"/>
      <c r="GI76" s="198" t="n"/>
      <c r="GJ76" s="198" t="n"/>
      <c r="GK76" s="198" t="n"/>
      <c r="GL76" s="198" t="n"/>
      <c r="GM76" s="198" t="n"/>
      <c r="GN76" s="198" t="n"/>
      <c r="GO76" s="198" t="n"/>
      <c r="GP76" s="198" t="n"/>
      <c r="GQ76" s="198" t="n"/>
      <c r="GR76" s="198" t="n"/>
      <c r="GS76" s="198" t="n"/>
      <c r="GT76" s="198" t="n"/>
      <c r="GU76" s="198" t="n"/>
      <c r="GV76" s="198" t="n"/>
      <c r="GW76" s="198" t="n"/>
      <c r="GX76" s="198" t="n"/>
      <c r="GY76" s="198" t="n"/>
      <c r="GZ76" s="198" t="n"/>
      <c r="HA76" s="198" t="n"/>
      <c r="HB76" s="198" t="n"/>
      <c r="HC76" s="198" t="n"/>
      <c r="HD76" s="198" t="n"/>
      <c r="HE76" s="198" t="n"/>
      <c r="HF76" s="198" t="n"/>
      <c r="HG76" s="198" t="n"/>
      <c r="HH76" s="198" t="n"/>
      <c r="HI76" s="198" t="n"/>
      <c r="HJ76" s="198" t="n"/>
      <c r="HK76" s="198" t="n"/>
      <c r="HL76" s="198" t="n"/>
      <c r="HM76" s="198" t="n"/>
      <c r="HN76" s="198" t="n"/>
      <c r="HO76" s="198" t="n"/>
      <c r="HP76" s="198" t="n"/>
      <c r="HQ76" s="198" t="n"/>
      <c r="HR76" s="198" t="n"/>
      <c r="HS76" s="198" t="n"/>
      <c r="HT76" s="198" t="n"/>
      <c r="HU76" s="198" t="n"/>
      <c r="HV76" s="198" t="n"/>
      <c r="HW76" s="198" t="n"/>
      <c r="HX76" s="198" t="n"/>
      <c r="HY76" s="198" t="n"/>
      <c r="HZ76" s="198" t="n"/>
      <c r="IA76" s="198" t="n"/>
      <c r="IB76" s="198" t="n"/>
      <c r="IC76" s="198" t="n"/>
      <c r="ID76" s="198" t="n"/>
      <c r="IE76" s="198" t="n"/>
      <c r="IF76" s="198" t="n"/>
      <c r="IG76" s="198" t="n"/>
      <c r="IH76" s="198" t="n"/>
      <c r="II76" s="198" t="n"/>
      <c r="IJ76" s="198" t="n"/>
      <c r="IK76" s="198" t="n"/>
      <c r="IL76" s="198" t="n"/>
      <c r="IM76" s="198" t="n"/>
      <c r="IN76" s="198" t="n"/>
      <c r="IO76" s="198" t="n"/>
      <c r="IP76" s="198" t="n"/>
      <c r="IQ76" s="198" t="n"/>
      <c r="IR76" s="198" t="n"/>
      <c r="IS76" s="198" t="n"/>
      <c r="IT76" s="198" t="n"/>
      <c r="IU76" s="198" t="n"/>
      <c r="IV76" s="198" t="n"/>
      <c r="IW76" s="198" t="n"/>
      <c r="IX76" s="198" t="n"/>
      <c r="IY76" s="198" t="n"/>
      <c r="IZ76" s="198" t="n"/>
      <c r="JA76" s="198" t="n"/>
      <c r="JB76" s="198" t="n"/>
      <c r="JC76" s="198" t="n"/>
      <c r="JD76" s="198" t="n"/>
      <c r="JE76" s="198" t="n"/>
      <c r="JF76" s="198" t="n"/>
      <c r="JG76" s="198" t="n"/>
      <c r="JH76" s="198" t="n"/>
      <c r="JI76" s="198" t="n"/>
      <c r="JJ76" s="198" t="n"/>
      <c r="JK76" s="198" t="n"/>
      <c r="JL76" s="198" t="n"/>
      <c r="JM76" s="198" t="n"/>
      <c r="JN76" s="198" t="n"/>
      <c r="JO76" s="198" t="n"/>
      <c r="JP76" s="198" t="n"/>
      <c r="JQ76" s="198" t="n"/>
      <c r="JR76" s="198" t="n"/>
      <c r="JS76" s="198" t="n"/>
      <c r="JT76" s="198" t="n"/>
      <c r="JU76" s="198" t="n"/>
      <c r="JV76" s="198" t="n"/>
      <c r="JW76" s="198" t="n"/>
      <c r="JX76" s="198" t="n"/>
      <c r="JY76" s="198" t="n"/>
      <c r="JZ76" s="198" t="n"/>
      <c r="KA76" s="198" t="n"/>
      <c r="KB76" s="198" t="n"/>
      <c r="KC76" s="198" t="n"/>
      <c r="KD76" s="198" t="n"/>
      <c r="KE76" s="198" t="n"/>
      <c r="KF76" s="198" t="n"/>
      <c r="KG76" s="198" t="n"/>
      <c r="KH76" s="198" t="n"/>
      <c r="KI76" s="198" t="n"/>
      <c r="KJ76" s="198" t="n"/>
      <c r="KK76" s="198" t="n"/>
      <c r="KL76" s="198" t="n"/>
      <c r="KM76" s="198" t="n"/>
      <c r="KN76" s="198" t="n"/>
      <c r="KO76" s="198" t="n"/>
      <c r="KP76" s="198" t="n"/>
      <c r="KQ76" s="198" t="n"/>
      <c r="KR76" s="198" t="n"/>
      <c r="KS76" s="198" t="n"/>
      <c r="KT76" s="198" t="n"/>
      <c r="KU76" s="198" t="n"/>
      <c r="KV76" s="198" t="n"/>
      <c r="KW76" s="198" t="n"/>
      <c r="KX76" s="198" t="n"/>
      <c r="KY76" s="198" t="n"/>
      <c r="KZ76" s="198" t="n"/>
      <c r="LA76" s="198" t="n"/>
      <c r="LB76" s="198" t="n"/>
      <c r="LC76" s="198" t="n"/>
      <c r="LD76" s="198" t="n"/>
      <c r="LE76" s="198" t="n"/>
      <c r="LF76" s="198" t="n"/>
      <c r="LG76" s="198" t="n"/>
      <c r="LH76" s="198" t="n"/>
      <c r="LI76" s="198" t="n"/>
      <c r="LJ76" s="198" t="n"/>
      <c r="LK76" s="198" t="n"/>
      <c r="LL76" s="198" t="n"/>
      <c r="LM76" s="198" t="n"/>
      <c r="LN76" s="198" t="n"/>
      <c r="LO76" s="198" t="n"/>
      <c r="LP76" s="198" t="n"/>
      <c r="LQ76" s="198" t="n"/>
      <c r="LR76" s="198" t="n"/>
      <c r="LS76" s="198" t="n"/>
      <c r="LT76" s="198" t="n"/>
      <c r="LU76" s="198" t="n"/>
      <c r="LV76" s="198" t="n"/>
      <c r="LW76" s="198" t="n"/>
      <c r="LX76" s="198" t="n"/>
      <c r="LY76" s="198" t="n"/>
      <c r="LZ76" s="198" t="n"/>
      <c r="MA76" s="198" t="n"/>
      <c r="MB76" s="198" t="n"/>
      <c r="MC76" s="198" t="n"/>
      <c r="MD76" s="198" t="n"/>
      <c r="ME76" s="198" t="n"/>
      <c r="MF76" s="198" t="n"/>
      <c r="MG76" s="198" t="n"/>
      <c r="MH76" s="198" t="n"/>
      <c r="MI76" s="198" t="n"/>
      <c r="MJ76" s="198" t="n"/>
      <c r="MK76" s="198" t="n"/>
      <c r="ML76" s="198" t="n"/>
      <c r="MM76" s="198" t="n"/>
      <c r="MN76" s="198" t="n"/>
      <c r="MO76" s="198" t="n"/>
      <c r="MP76" s="198" t="n"/>
      <c r="MQ76" s="198" t="n"/>
      <c r="MR76" s="198" t="n"/>
      <c r="MS76" s="198" t="n"/>
      <c r="MT76" s="198" t="n"/>
      <c r="MU76" s="198" t="n"/>
      <c r="MV76" s="198" t="n"/>
      <c r="MW76" s="198" t="n"/>
      <c r="MX76" s="198" t="n"/>
      <c r="MY76" s="198" t="n"/>
      <c r="MZ76" s="198" t="n"/>
      <c r="NA76" s="198" t="n"/>
      <c r="NB76" s="198" t="n"/>
      <c r="NC76" s="198" t="n"/>
      <c r="ND76" s="198" t="n"/>
      <c r="NE76" s="198" t="n"/>
      <c r="NF76" s="198" t="n"/>
      <c r="NG76" s="198" t="n"/>
      <c r="NH76" s="198" t="n"/>
      <c r="NI76" s="198" t="n"/>
      <c r="NJ76" s="198" t="n"/>
      <c r="NK76" s="198" t="n"/>
      <c r="NL76" s="198" t="n"/>
      <c r="NM76" s="198" t="n"/>
      <c r="NN76" s="198" t="n"/>
      <c r="NO76" s="198" t="n"/>
      <c r="NP76" s="198" t="n"/>
      <c r="NQ76" s="198" t="n"/>
      <c r="NR76" s="198" t="n"/>
      <c r="NS76" s="198" t="n"/>
      <c r="NT76" s="198" t="n"/>
      <c r="NU76" s="198" t="n"/>
      <c r="NV76" s="198" t="n"/>
      <c r="NW76" s="198" t="n"/>
      <c r="NX76" s="198" t="n"/>
      <c r="NY76" s="198" t="n"/>
      <c r="NZ76" s="198" t="n"/>
      <c r="OA76" s="198" t="n"/>
      <c r="OB76" s="198" t="n"/>
      <c r="OC76" s="198" t="n"/>
      <c r="OD76" s="198" t="n"/>
      <c r="OE76" s="198" t="n"/>
      <c r="OF76" s="198" t="n"/>
      <c r="OG76" s="198" t="n"/>
      <c r="OH76" s="198" t="n"/>
      <c r="OI76" s="198" t="n"/>
      <c r="OJ76" s="198" t="n"/>
      <c r="OK76" s="198" t="n"/>
      <c r="OL76" s="198" t="n"/>
      <c r="OM76" s="198" t="n"/>
      <c r="ON76" s="198" t="n"/>
      <c r="OO76" s="198" t="n"/>
      <c r="OP76" s="198" t="n"/>
      <c r="OQ76" s="198" t="n"/>
      <c r="OR76" s="198" t="n"/>
      <c r="OS76" s="198" t="n"/>
      <c r="OT76" s="198" t="n"/>
      <c r="OU76" s="198" t="n"/>
      <c r="OV76" s="198" t="n"/>
      <c r="OW76" s="198" t="n"/>
      <c r="OX76" s="198" t="n"/>
      <c r="OY76" s="198" t="n"/>
      <c r="OZ76" s="198" t="n"/>
      <c r="PA76" s="198" t="n"/>
      <c r="PB76" s="198" t="n"/>
      <c r="PC76" s="198" t="n"/>
      <c r="PD76" s="198" t="n"/>
      <c r="PE76" s="198" t="n"/>
      <c r="PF76" s="198" t="n"/>
      <c r="PG76" s="198" t="n"/>
      <c r="PH76" s="198" t="n"/>
      <c r="PI76" s="198" t="n"/>
      <c r="PJ76" s="198" t="n"/>
      <c r="PK76" s="198" t="n"/>
      <c r="PL76" s="198" t="n"/>
      <c r="PM76" s="198" t="n"/>
      <c r="PN76" s="198" t="n"/>
      <c r="PO76" s="198" t="n"/>
      <c r="PP76" s="198" t="n"/>
      <c r="PQ76" s="198" t="n"/>
      <c r="PR76" s="198" t="n"/>
      <c r="PS76" s="198" t="n"/>
      <c r="PT76" s="198" t="n"/>
      <c r="PU76" s="198" t="n"/>
      <c r="PV76" s="198" t="n"/>
      <c r="PW76" s="198" t="n"/>
      <c r="PX76" s="198" t="n"/>
      <c r="PY76" s="198" t="n"/>
      <c r="PZ76" s="198" t="n"/>
      <c r="QA76" s="198" t="n"/>
      <c r="QB76" s="198" t="n"/>
      <c r="QC76" s="198" t="n"/>
      <c r="QD76" s="198" t="n"/>
      <c r="QE76" s="198" t="n"/>
      <c r="QF76" s="198" t="n"/>
      <c r="QG76" s="198" t="n"/>
      <c r="QH76" s="198" t="n"/>
      <c r="QI76" s="198" t="n"/>
      <c r="QJ76" s="198" t="n"/>
      <c r="QK76" s="198" t="n"/>
      <c r="QL76" s="198" t="n"/>
      <c r="QM76" s="198" t="n"/>
      <c r="QN76" s="198" t="n"/>
      <c r="QO76" s="198" t="n"/>
      <c r="QP76" s="198" t="n"/>
      <c r="QQ76" s="198" t="n"/>
      <c r="QR76" s="198" t="n"/>
      <c r="QS76" s="198" t="n"/>
      <c r="QT76" s="198" t="n"/>
      <c r="QU76" s="198" t="n"/>
      <c r="QV76" s="198" t="n"/>
      <c r="QW76" s="198" t="n"/>
      <c r="QX76" s="198" t="n"/>
      <c r="QY76" s="198" t="n"/>
      <c r="QZ76" s="198" t="n"/>
      <c r="RA76" s="198" t="n"/>
      <c r="RB76" s="198" t="n"/>
      <c r="RC76" s="198" t="n"/>
      <c r="RD76" s="198" t="n"/>
      <c r="RE76" s="198" t="n"/>
      <c r="RF76" s="198" t="n"/>
      <c r="RG76" s="198" t="n"/>
      <c r="RH76"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ND51"/>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bottomLeft" activeCell="A2" sqref="A2"/>
      <selection pane="bottomRight" activeCell="K3" sqref="K3"/>
    </sheetView>
  </sheetViews>
  <sheetFormatPr baseColWidth="8" defaultRowHeight="19.2"/>
  <cols>
    <col width="10" customWidth="1" style="3" min="1" max="2"/>
    <col width="10" customWidth="1" style="147" min="2" max="2"/>
    <col width="18" customWidth="1" style="4"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3" min="15" max="15"/>
    <col width="24" customWidth="1" style="3" min="16" max="16"/>
    <col width="36" customWidth="1" style="3" min="17" max="17"/>
    <col width="24" customWidth="1" style="3" min="18" max="18"/>
    <col width="16" customWidth="1" style="25" min="19" max="19"/>
  </cols>
  <sheetData>
    <row r="1" ht="28" customFormat="1" customHeight="1" s="4">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6"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row>
    <row r="2" ht="52" customHeight="1" s="147">
      <c r="A2" s="199" t="inlineStr">
        <is>
          <t>9000</t>
        </is>
      </c>
      <c r="B2" s="199" t="inlineStr">
        <is>
          <t>9000-4</t>
        </is>
      </c>
      <c r="C2" s="199" t="inlineStr">
        <is>
          <t>상부강화노반</t>
        </is>
      </c>
      <c r="D2" s="199" t="inlineStr">
        <is>
          <t>9000-4-1</t>
        </is>
      </c>
      <c r="E2" s="200" t="inlineStr">
        <is>
          <t>-</t>
        </is>
      </c>
      <c r="F2" s="200" t="inlineStr">
        <is>
          <t>9000-4-2</t>
        </is>
      </c>
      <c r="G2" s="155" t="inlineStr">
        <is>
          <t>KDS 47 10 00 철도지반 설계기준 준수 | 시추 주상도, GPR 3D 매핑 및 N치 &lt; 4 연약지반 층후 경출 | PVD/DCM 개량 공법 확정</t>
        </is>
      </c>
      <c r="H2" s="200" t="inlineStr">
        <is>
          <t>현장 공사팀</t>
        </is>
      </c>
      <c r="I2" s="200" t="inlineStr">
        <is>
          <t>1) 시추 주상도 &amp; GPR 3D 매핑 분석 ➔ 2) N치 &lt; 4 연약지반 심도 경계 추출 ➔ 3) PVD/DCM 개량 공법 검토 ➔ 4) 기술사 서명 지반조사 보고서 감리 승인</t>
        </is>
      </c>
      <c r="J2" s="156" t="inlineStr">
        <is>
          <t>시추 주상도 대조, GPR 지중 탐사 3D 매핑 및 N치 &lt; 4 연약지반 층후 경출 (PVD/DCM 개량 승인)</t>
        </is>
      </c>
      <c r="K2" s="156" t="inlineStr">
        <is>
          <t>KDS 47 10 00 철도지반 설계기준 준수 | 시추 주상도, GPR 3D 매핑 및 N치 &lt; 4 연약지반 층후 경출 | PVD/DCM 개량 공법 확정</t>
        </is>
      </c>
      <c r="L2" s="213">
        <f>HYPERLINK(LEFT(CELL("filename",A1),FIND("[",CELL("filename",A1))-1)&amp;"매뉴얼BODY(집행단계-첨부폴더)v8\4.상부강화노반\1_지반조사 상세검토\표준서\지반조사 상세검토_표준서.html", "👉 [클릭] 표준서 열기 📄")</f>
        <v/>
      </c>
      <c r="M2" s="156" t="inlineStr">
        <is>
          <t>1) 시추 주상도 &amp; GPR 3D 매핑 분석 ➔ 2) N치 &lt; 4 연약지반 심도 경계 추출 ➔ 3) PVD/DCM 개량 공법 검토 ➔ 4) 기술사 서명 지반조사 보고서 감리 승인</t>
        </is>
      </c>
      <c r="N2" s="214">
        <f>HYPERLINK(LEFT(CELL("filename",A1),FIND("[",CELL("filename",A1))-1)&amp;"매뉴얼BODY(집행단계-첨부폴더)v8\4.상부강화노반\1_지반조사 상세검토\수행지침\지반조사 상세검토_수행지침.html", "👉 [클릭] 수행지침 열기 📄")</f>
        <v/>
      </c>
      <c r="O2" s="156" t="inlineStr">
        <is>
          <t>👉 [클릭] 표준서 열기 📄</t>
        </is>
      </c>
      <c r="P2" s="215">
        <f>HYPERLINK(LEFT(CELL("filename",A1),FIND("[",CELL("filename",A1))-1)&amp;"매뉴얼BODY(집행단계-첨부폴더)v8\4.상부강화노반\1_지반조사 상세검토\체크리스트\지반조사 상세검토_체크리스트.html", "👉 [클릭] 체크리스트 열기 📄")</f>
        <v/>
      </c>
      <c r="Q2" s="156" t="inlineStr">
        <is>
          <t>👉 [클릭] 수행지침 열기 📄</t>
        </is>
      </c>
      <c r="R2" s="203" t="inlineStr">
        <is>
          <t>● 설계 지반 정수 및 지층 상태 적합성 검토</t>
        </is>
      </c>
      <c r="S2" s="200" t="inlineStr">
        <is>
          <t>👉 [클릭]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row>
    <row r="3" ht="52" customHeight="1" s="147">
      <c r="A3" s="204" t="inlineStr">
        <is>
          <t>9000</t>
        </is>
      </c>
      <c r="B3" s="204" t="inlineStr">
        <is>
          <t>9000-4</t>
        </is>
      </c>
      <c r="C3" s="204" t="inlineStr">
        <is>
          <t>상부강화노반</t>
        </is>
      </c>
      <c r="D3" s="204" t="inlineStr">
        <is>
          <t>9000-4-2</t>
        </is>
      </c>
      <c r="E3" s="205" t="inlineStr">
        <is>
          <t>9000-4-1</t>
        </is>
      </c>
      <c r="F3" s="205" t="inlineStr">
        <is>
          <t>9000-4-3</t>
        </is>
      </c>
      <c r="G3" s="162" t="inlineStr">
        <is>
          <t>KCS 47 10 25 시방 검토 | 쇄석 입도 50mm 및 다짐도 ≥ 95% 명시 | 3D BIM 도면 대조 &amp; 리스크 예비비 수립 킥오프 승인</t>
        </is>
      </c>
      <c r="H3" s="205" t="inlineStr">
        <is>
          <t>현장소장</t>
        </is>
      </c>
      <c r="I3" s="205" t="inlineStr">
        <is>
          <t>1) 발주처 시방서 요구조건 분석 ➔ 2) 3D BIM 도면 표고/구배 검증 ➔ 3) 지장물/용지 리스크 예비비 수립 ➔ 4) 발주·감리·시공 3자 킥오프 결재</t>
        </is>
      </c>
      <c r="J3" s="163" t="inlineStr">
        <is>
          <t>KCS 47 10 25 시방 검토, 쇄석 입도 50mm/다짐도 95% 명시 및 3D BIM 도면 대조 (발주전략 킥오프 결재)</t>
        </is>
      </c>
      <c r="K3" s="163" t="inlineStr">
        <is>
          <t>KCS 47 10 25 시방 검토 | 쇄석 입도 50mm 및 다짐도 ≥ 95% 명시 | 3D BIM 도면 대조 &amp; 리스크 예비비 수립 킥오프 승인</t>
        </is>
      </c>
      <c r="L3" s="217">
        <f>HYPERLINK(LEFT(CELL("filename",A1),FIND("[",CELL("filename",A1))-1)&amp;"매뉴얼BODY(집행단계-첨부폴더)v8\4.상부강화노반\2_발주전략 KOM\표준서\발주전략 KOM_표준서.html", "👉 [클릭] 표준서 열기 📄")</f>
        <v/>
      </c>
      <c r="M3" s="163" t="inlineStr">
        <is>
          <t>1) 발주처 시방서 요구조건 분석 ➔ 2) 3D BIM 도면 표고/구배 검증 ➔ 3) 지장물/용지 리스크 예비비 수립 ➔ 4) 발주·감리·시공 3자 킥오프 결재</t>
        </is>
      </c>
      <c r="N3" s="218">
        <f>HYPERLINK(LEFT(CELL("filename",A1),FIND("[",CELL("filename",A1))-1)&amp;"매뉴얼BODY(집행단계-첨부폴더)v8\4.상부강화노반\2_발주전략 KOM\수행지침\발주전략 KOM_수행지침.html", "👉 [클릭] 수행지침 열기 📄")</f>
        <v/>
      </c>
      <c r="O3" s="163" t="inlineStr">
        <is>
          <t>👉 [클릭] 표준서 열기 📄</t>
        </is>
      </c>
      <c r="P3" s="219">
        <f>HYPERLINK(LEFT(CELL("filename",A1),FIND("[",CELL("filename",A1))-1)&amp;"매뉴얼BODY(집행단계-첨부폴더)v8\4.상부강화노반\2_발주전략 KOM\체크리스트\발주전략 KOM_체크리스트.html", "👉 [클릭] 체크리스트 열기 📄")</f>
        <v/>
      </c>
      <c r="Q3" s="163" t="inlineStr">
        <is>
          <t>👉 [클릭] 수행지침 열기 📄</t>
        </is>
      </c>
      <c r="R3" s="208" t="inlineStr">
        <is>
          <t>● 본사 유관부서 발주 조달 기준 만족</t>
        </is>
      </c>
      <c r="S3" s="205" t="inlineStr">
        <is>
          <t>👉 [클릭]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row>
    <row r="4" ht="52" customHeight="1" s="147">
      <c r="A4" s="199" t="inlineStr">
        <is>
          <t>9000</t>
        </is>
      </c>
      <c r="B4" s="199" t="inlineStr">
        <is>
          <t>9000-4</t>
        </is>
      </c>
      <c r="C4" s="199" t="inlineStr">
        <is>
          <t>상부강화노반</t>
        </is>
      </c>
      <c r="D4" s="199" t="inlineStr">
        <is>
          <t>9000-4-3</t>
        </is>
      </c>
      <c r="E4" s="200" t="inlineStr">
        <is>
          <t>9000-4-2</t>
        </is>
      </c>
      <c r="F4" s="200" t="inlineStr">
        <is>
          <t>9000-4-4</t>
        </is>
      </c>
      <c r="G4" s="155" t="inlineStr">
        <is>
          <t>철도안전법 제45조 준수 | 궤도 중심 30m 법정 경계 측량(오차 ≤ 5mm) | 행위신고서 작성 및 운행선안전관리자 1:1 배치</t>
        </is>
      </c>
      <c r="H4" s="200" t="inlineStr">
        <is>
          <t>현장 공사팀</t>
        </is>
      </c>
      <c r="I4" s="200" t="inlineStr">
        <is>
          <t>1) 궤도 중심 30m 법정 경계 측량 ➔ 2) 행위신고서/안전계획서 접수 ➔ 3) 관할 철도운영기관 기술 심의 ➔ 4) 운행선안전관리자 현장 1:1 배치</t>
        </is>
      </c>
      <c r="J4" s="156" t="inlineStr">
        <is>
          <t>궤도 중심 30m 법정 경계 측량(오차 ≤ 5mm), 행위신고서 접수 및 운행선안전관리자 1:1 현장 배치</t>
        </is>
      </c>
      <c r="K4" s="156" t="inlineStr">
        <is>
          <t>철도안전법 제45조 준수 | 궤도 중심 30m 법정 경계 측량(오차 ≤ 5mm) | 행위신고서 작성 및 운행선안전관리자 1:1 배치</t>
        </is>
      </c>
      <c r="L4" s="213">
        <f>HYPERLINK(LEFT(CELL("filename",A1),FIND("[",CELL("filename",A1))-1)&amp;"매뉴얼BODY(집행단계-첨부폴더)v8\4.상부강화노반\3_철도보호지구에서의 행위신고(필요시)\표준서\철도보호지구 행위신고_표준서.html", "👉 [클릭] 표준서 열기 📄")</f>
        <v/>
      </c>
      <c r="M4" s="156" t="inlineStr">
        <is>
          <t>1) 궤도 중심 30m 법정 경계 측량 ➔ 2) 행위신고서/안전계획서 접수 ➔ 3) 관할 철도운영기관 기술 심의 ➔ 4) 운행선안전관리자 현장 1:1 배치</t>
        </is>
      </c>
      <c r="N4" s="214">
        <f>HYPERLINK(LEFT(CELL("filename",A1),FIND("[",CELL("filename",A1))-1)&amp;"매뉴얼BODY(집행단계-첨부폴더)v8\4.상부강화노반\3_철도보호지구에서의 행위신고(필요시)\수행지침\철도보호지구 행위신고_수행지침.html", "👉 [클릭] 수행지침 열기 📄")</f>
        <v/>
      </c>
      <c r="O4" s="156" t="inlineStr">
        <is>
          <t>👉 [클릭] 표준서 열기 📄</t>
        </is>
      </c>
      <c r="P4" s="215">
        <f>HYPERLINK(LEFT(CELL("filename",A1),FIND("[",CELL("filename",A1))-1)&amp;"매뉴얼BODY(집행단계-첨부폴더)v8\4.상부강화노반\3_철도보호지구에서의 행위신고(필요시)\체크리스트\철도보호지구 행위신고_체크리스트.html", "👉 [클릭] 체크리스트 열기 📄")</f>
        <v/>
      </c>
      <c r="Q4" s="156" t="inlineStr">
        <is>
          <t>👉 [클릭] 수행지침 열기 📄</t>
        </is>
      </c>
      <c r="R4" s="203" t="inlineStr">
        <is>
          <t>● 철도안전법 제45조</t>
        </is>
      </c>
      <c r="S4" s="200" t="inlineStr">
        <is>
          <t>👉 [클릭]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row>
    <row r="5" ht="52" customHeight="1" s="147">
      <c r="A5" s="204" t="inlineStr">
        <is>
          <t>9000</t>
        </is>
      </c>
      <c r="B5" s="204" t="inlineStr">
        <is>
          <t>9000-4</t>
        </is>
      </c>
      <c r="C5" s="204" t="inlineStr">
        <is>
          <t>상부강화노반</t>
        </is>
      </c>
      <c r="D5" s="204" t="inlineStr">
        <is>
          <t>9000-4-4</t>
        </is>
      </c>
      <c r="E5" s="205" t="inlineStr">
        <is>
          <t>9000-4-3</t>
        </is>
      </c>
      <c r="F5" s="205" t="inlineStr">
        <is>
          <t>9000-4-5</t>
        </is>
      </c>
      <c r="G5" s="162" t="inlineStr">
        <is>
          <t>공공측량 작업규정 준수 | 국가 CP/TBM 기준점 인수 및 GRS80 수준측량(폐합오차 ≤ 5mm√K) | 현장 인조점 3개소 매설 성과 확보</t>
        </is>
      </c>
      <c r="H5" s="205" t="inlineStr">
        <is>
          <t>현장 공사팀</t>
        </is>
      </c>
      <c r="I5" s="205" t="inlineStr">
        <is>
          <t>1) 국가 CP/TBM 기준점 인수 ➔ 2) GRS80 수준측량(폐합오차 ≤ 5mm√K) ➔ 3) 현장 인조점 3개소 매설 ➔ 4) 측량 성과표 작성 &amp; 3D BIM 승인</t>
        </is>
      </c>
      <c r="J5" s="163" t="inlineStr">
        <is>
          <t>국가 CP/TBM 기준점 인수, GRS80 수준측량(폐합오차 ≤ 5mm√K) 및 현장 인조점 3개소 매설 성과</t>
        </is>
      </c>
      <c r="K5" s="163" t="inlineStr">
        <is>
          <t>공공측량 작업규정 준수 | 국가 CP/TBM 기준점 인수 및 GRS80 수준측량(폐합오차 ≤ 5mm√K) | 현장 인조점 3개소 매설 성과 확보</t>
        </is>
      </c>
      <c r="L5" s="217">
        <f>HYPERLINK(LEFT(CELL("filename",A1),FIND("[",CELL("filename",A1))-1)&amp;"매뉴얼BODY(집행단계-첨부폴더)v8\4.상부강화노반\4_착수전 측량 Data 확인\표준서\착수전 측량 Data 확인_표준서.html", "👉 [클릭] 표준서 열기 📄")</f>
        <v/>
      </c>
      <c r="M5" s="163" t="inlineStr">
        <is>
          <t>1) 국가 CP/TBM 기준점 인수 ➔ 2) GRS80 수준측량(폐합오차 ≤ 5mm√K) ➔ 3) 현장 인조점 3개소 매설 ➔ 4) 측량 성과표 작성 &amp; 3D BIM 승인</t>
        </is>
      </c>
      <c r="N5" s="218">
        <f>HYPERLINK(LEFT(CELL("filename",A1),FIND("[",CELL("filename",A1))-1)&amp;"매뉴얼BODY(집행단계-첨부폴더)v8\4.상부강화노반\4_착수전 측량 Data 확인\수행지침\착수전 측량 Data 확인_수행지침.html", "👉 [클릭] 수행지침 열기 📄")</f>
        <v/>
      </c>
      <c r="O5" s="163" t="inlineStr">
        <is>
          <t>👉 [클릭] 표준서 열기 📄</t>
        </is>
      </c>
      <c r="P5" s="219">
        <f>HYPERLINK(LEFT(CELL("filename",A1),FIND("[",CELL("filename",A1))-1)&amp;"매뉴얼BODY(집행단계-첨부폴더)v8\4.상부강화노반\4_착수전 측량 Data 확인\체크리스트\착수전 측량 Data 확인_체크리스트.html", "👉 [클릭] 체크리스트 열기 📄")</f>
        <v/>
      </c>
      <c r="Q5" s="163" t="inlineStr">
        <is>
          <t>👉 [클릭] 수행지침 열기 📄</t>
        </is>
      </c>
      <c r="R5" s="208" t="inlineStr">
        <is>
          <t>● 시공측량 기준 공차 만족</t>
        </is>
      </c>
      <c r="S5" s="205" t="inlineStr">
        <is>
          <t>👉 [클릭]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row>
    <row r="6" ht="52" customHeight="1" s="147">
      <c r="A6" s="199" t="inlineStr">
        <is>
          <t>9000</t>
        </is>
      </c>
      <c r="B6" s="199" t="inlineStr">
        <is>
          <t>9000-4</t>
        </is>
      </c>
      <c r="C6" s="199" t="inlineStr">
        <is>
          <t>상부강화노반</t>
        </is>
      </c>
      <c r="D6" s="199" t="inlineStr">
        <is>
          <t>9000-4-5</t>
        </is>
      </c>
      <c r="E6" s="200" t="inlineStr">
        <is>
          <t>9000-4-4</t>
        </is>
      </c>
      <c r="F6" s="200" t="inlineStr">
        <is>
          <t>9000-4-6</t>
        </is>
      </c>
      <c r="G6" s="155" t="inlineStr">
        <is>
          <t>지하안전관리에 관한 특별법 제23조 | GPR 지중 탐사 &amp; 인력 줄파기(깊이 1.5m) | 점용기관 입회 매달기 방호 및 이설 완료 승인</t>
        </is>
      </c>
      <c r="H6" s="200" t="inlineStr">
        <is>
          <t>현장 공사팀</t>
        </is>
      </c>
      <c r="I6" s="200" t="inlineStr">
        <is>
          <t>1) GPR 3D 지중 관로 탐사 ➔ 2) 인력 시탐 줄파기(깊이 1.5m) ➔ 3) 관할 점용기관 1:1 현장 입회 ➔ 4) 매달기 방호 &amp; 지장물 이설 완료 승인</t>
        </is>
      </c>
      <c r="J6" s="156" t="inlineStr">
        <is>
          <t>GPR 3D 관로 탐사, 인력 시탐 줄파기(깊이 1.5m) 및 점용기관 1:1 현장 입회 매달기 방호</t>
        </is>
      </c>
      <c r="K6" s="156" t="inlineStr">
        <is>
          <t>지하안전관리에 관한 특별법 제23조 | GPR 지중 탐사 &amp; 인력 줄파기(깊이 1.5m) | 점용기관 입회 매달기 방호 및 이설 완료 승인</t>
        </is>
      </c>
      <c r="L6" s="213">
        <f>HYPERLINK(LEFT(CELL("filename",A1),FIND("[",CELL("filename",A1))-1)&amp;"매뉴얼BODY(집행단계-첨부폴더)v8\4.상부강화노반\5_지장물이설 협의\표준서\지장물이설 협의_표준서.html", "👉 [클릭] 표준서 열기 📄")</f>
        <v/>
      </c>
      <c r="M6" s="156" t="inlineStr">
        <is>
          <t>1) GPR 3D 지중 관로 탐사 ➔ 2) 인력 시탐 줄파기(깊이 1.5m) ➔ 3) 관할 점용기관 1:1 현장 입회 ➔ 4) 매달기 방호 &amp; 지장물 이설 완료 승인</t>
        </is>
      </c>
      <c r="N6" s="214">
        <f>HYPERLINK(LEFT(CELL("filename",A1),FIND("[",CELL("filename",A1))-1)&amp;"매뉴얼BODY(집행단계-첨부폴더)v8\4.상부강화노반\5_지장물이설 협의\수행지침\지장물이설 협의_수행지침.html", "👉 [클릭] 수행지침 열기 📄")</f>
        <v/>
      </c>
      <c r="O6" s="156" t="inlineStr">
        <is>
          <t>👉 [클릭] 표준서 열기 📄</t>
        </is>
      </c>
      <c r="P6" s="215">
        <f>HYPERLINK(LEFT(CELL("filename",A1),FIND("[",CELL("filename",A1))-1)&amp;"매뉴얼BODY(집행단계-첨부폴더)v8\4.상부강화노반\5_지장물이설 협의\체크리스트\지장물이설 협의_체크리스트.html", "👉 [클릭] 체크리스트 열기 📄")</f>
        <v/>
      </c>
      <c r="Q6" s="156" t="inlineStr">
        <is>
          <t>👉 [클릭] 수행지침 열기 📄</t>
        </is>
      </c>
      <c r="R6" s="203" t="inlineStr">
        <is>
          <t>● 지장물 이설 관련 인허가 요건</t>
        </is>
      </c>
      <c r="S6" s="200" t="inlineStr">
        <is>
          <t>👉 [클릭]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row>
    <row r="7" ht="52" customHeight="1" s="147">
      <c r="A7" s="204" t="inlineStr">
        <is>
          <t>9000</t>
        </is>
      </c>
      <c r="B7" s="204" t="inlineStr">
        <is>
          <t>9000-4</t>
        </is>
      </c>
      <c r="C7" s="204" t="inlineStr">
        <is>
          <t>상부강화노반</t>
        </is>
      </c>
      <c r="D7" s="204" t="inlineStr">
        <is>
          <t>9000-4-6</t>
        </is>
      </c>
      <c r="E7" s="205" t="inlineStr">
        <is>
          <t>9000-4-5</t>
        </is>
      </c>
      <c r="F7" s="205" t="inlineStr">
        <is>
          <t>9000-4-7</t>
        </is>
      </c>
      <c r="G7" s="162" t="inlineStr">
        <is>
          <t>토지보상법 준수 | 미보상 사유지 경계 현출 및 가설 펜스(H=1.8m) 설치 | 3D 우회 토공 동선 수립 및 마일스톤 연동</t>
        </is>
      </c>
      <c r="H7" s="205" t="inlineStr">
        <is>
          <t>현장 공사팀</t>
        </is>
      </c>
      <c r="I7" s="205" t="inlineStr">
        <is>
          <t>1) 미보상 사유지 필지 추출 ➔ 2) 경계 가설 펜스(H=1.8m) 차단 ➔ 3) 3D 우회 토공 동선 수립 ➔ 4) 용지 보상 리스크 대책 감리 승인</t>
        </is>
      </c>
      <c r="J7" s="163" t="inlineStr">
        <is>
          <t>미보상 사유지 경계 현출, 가설 펜스(H=1.8m) 차단 및 3D 우회 토공 동선 마일스톤 연동</t>
        </is>
      </c>
      <c r="K7" s="163" t="inlineStr">
        <is>
          <t>토지보상법 준수 | 미보상 사유지 경계 현출 및 가설 펜스(H=1.8m) 설치 | 3D 우회 토공 동선 수립 및 마일스톤 연동</t>
        </is>
      </c>
      <c r="L7" s="217">
        <f>HYPERLINK(LEFT(CELL("filename",A1),FIND("[",CELL("filename",A1))-1)&amp;"매뉴얼BODY(집행단계-첨부폴더)v8\4.상부강화노반\6_용지보상RISK 검토\표준서\용지보상RISK 검토_표준서.html", "👉 [클릭] 표준서 열기 📄")</f>
        <v/>
      </c>
      <c r="M7" s="163" t="inlineStr">
        <is>
          <t>1) 미보상 사유지 필지 추출 ➔ 2) 경계 가설 펜스(H=1.8m) 차단 ➔ 3) 3D 우회 토공 동선 수립 ➔ 4) 용지 보상 리스크 대책 감리 승인</t>
        </is>
      </c>
      <c r="N7" s="218">
        <f>HYPERLINK(LEFT(CELL("filename",A1),FIND("[",CELL("filename",A1))-1)&amp;"매뉴얼BODY(집행단계-첨부폴더)v8\4.상부강화노반\6_용지보상RISK 검토\수행지침\용지보상RISK 검토_수행지침.html", "👉 [클릭] 수행지침 열기 📄")</f>
        <v/>
      </c>
      <c r="O7" s="163" t="inlineStr">
        <is>
          <t>👉 [클릭] 표준서 열기 📄</t>
        </is>
      </c>
      <c r="P7" s="219">
        <f>HYPERLINK(LEFT(CELL("filename",A1),FIND("[",CELL("filename",A1))-1)&amp;"매뉴얼BODY(집행단계-첨부폴더)v8\4.상부강화노반\6_용지보상RISK 검토\체크리스트\용지보상RISK 검토_체크리스트.html", "👉 [클릭] 체크리스트 열기 📄")</f>
        <v/>
      </c>
      <c r="Q7" s="163" t="inlineStr">
        <is>
          <t>👉 [클릭] 수행지침 열기 📄</t>
        </is>
      </c>
      <c r="R7" s="208" t="inlineStr">
        <is>
          <t>● 공정 지연 리스크 평가 기준</t>
        </is>
      </c>
      <c r="S7" s="205" t="inlineStr">
        <is>
          <t>👉 [클릭]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row>
    <row r="8" ht="52" customHeight="1" s="147">
      <c r="A8" s="199" t="inlineStr">
        <is>
          <t>9000</t>
        </is>
      </c>
      <c r="B8" s="199" t="inlineStr">
        <is>
          <t>9000-4</t>
        </is>
      </c>
      <c r="C8" s="199" t="inlineStr">
        <is>
          <t>상부강화노반</t>
        </is>
      </c>
      <c r="D8" s="199" t="inlineStr">
        <is>
          <t>9000-4-7</t>
        </is>
      </c>
      <c r="E8" s="200" t="inlineStr">
        <is>
          <t>9000-4-6</t>
        </is>
      </c>
      <c r="F8" s="200" t="inlineStr">
        <is>
          <t>9000-4-8</t>
        </is>
      </c>
      <c r="G8" s="155" t="inlineStr">
        <is>
          <t>건산법 상생협력 규정 | 토공 전문 기술자 1:1 전담 배치 | 발주·감리·시공 3자 주간 소통 회의 및 일일 TBM 시행</t>
        </is>
      </c>
      <c r="H8" s="200" t="inlineStr">
        <is>
          <t>현장 공사팀</t>
        </is>
      </c>
      <c r="I8" s="200" t="inlineStr">
        <is>
          <t>1) 전담 기술자 1:1 배치 ➔ 2) 3자 주간 소통 회의 개최 ➔ 3) 근로자 환경 개선 &amp; TBM ➔ 4) One-Team 전담 조직표 서면 승인</t>
        </is>
      </c>
      <c r="J8" s="156" t="inlineStr">
        <is>
          <t>토공 전담 기술자 1:1 배치, 발주·감리·시공 3자 주간 소통 회의 및 일일 TBM/복지 지원</t>
        </is>
      </c>
      <c r="K8" s="156" t="inlineStr">
        <is>
          <t>건산법 상생협력 규정 | 토공 전문 기술자 1:1 전담 배치 | 발주·감리·시공 3자 주간 소통 회의 및 일일 TBM 시행</t>
        </is>
      </c>
      <c r="L8" s="213">
        <f>HYPERLINK(LEFT(CELL("filename",A1),FIND("[",CELL("filename",A1))-1)&amp;"매뉴얼BODY(집행단계-첨부폴더)v8\4.상부강화노반\7_최고의 팀 만들기 지원\표준서\최고의 팀 만들기 지원_표준서.html", "👉 [클릭] 표준서 열기 📄")</f>
        <v/>
      </c>
      <c r="M8" s="156" t="inlineStr">
        <is>
          <t>1) 전담 기술자 1:1 배치 ➔ 2) 3자 주간 소통 회의 개최 ➔ 3) 근로자 환경 개선 &amp; TBM ➔ 4) One-Team 전담 조직표 서면 승인</t>
        </is>
      </c>
      <c r="N8" s="214">
        <f>HYPERLINK(LEFT(CELL("filename",A1),FIND("[",CELL("filename",A1))-1)&amp;"매뉴얼BODY(집행단계-첨부폴더)v8\4.상부강화노반\7_최고의 팀 만들기 지원\수행지침\최고의 팀 만들기 지원_수행지침.html", "👉 [클릭] 수행지침 열기 📄")</f>
        <v/>
      </c>
      <c r="O8" s="156" t="inlineStr">
        <is>
          <t>👉 [클릭] 표준서 열기 📄</t>
        </is>
      </c>
      <c r="P8" s="215">
        <f>HYPERLINK(LEFT(CELL("filename",A1),FIND("[",CELL("filename",A1))-1)&amp;"매뉴얼BODY(집행단계-첨부폴더)v8\4.상부강화노반\7_최고의 팀 만들기 지원\체크리스트\최고의 팀 만들기 지원_체크리스트.html", "👉 [클릭] 체크리스트 열기 📄")</f>
        <v/>
      </c>
      <c r="Q8" s="156" t="inlineStr">
        <is>
          <t>👉 [클릭] 수행지침 열기 📄</t>
        </is>
      </c>
      <c r="R8" s="203" t="inlineStr">
        <is>
          <t>● 협력사 검증 및 풀(Pool) 운영 기준</t>
        </is>
      </c>
      <c r="S8" s="200" t="inlineStr">
        <is>
          <t>👉 [클릭]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row>
    <row r="9" ht="52" customHeight="1" s="147">
      <c r="A9" s="204" t="inlineStr">
        <is>
          <t>9000</t>
        </is>
      </c>
      <c r="B9" s="204" t="inlineStr">
        <is>
          <t>9000-4</t>
        </is>
      </c>
      <c r="C9" s="204" t="inlineStr">
        <is>
          <t>상부강화노반</t>
        </is>
      </c>
      <c r="D9" s="204" t="inlineStr">
        <is>
          <t>9000-4-8</t>
        </is>
      </c>
      <c r="E9" s="205" t="inlineStr">
        <is>
          <t>9000-4-7</t>
        </is>
      </c>
      <c r="F9" s="205" t="inlineStr">
        <is>
          <t>9000-4-9</t>
        </is>
      </c>
      <c r="G9" s="162" t="inlineStr">
        <is>
          <t>건진법 시행령 제89조 | KCS 47 10 25 다짐 수칙(다짐도 ≥ 95%, K30 ≥ 110) 명시 | 착공 14일 전 책임감리단 기술 승인</t>
        </is>
      </c>
      <c r="H9" s="205" t="inlineStr">
        <is>
          <t>현장 공사팀</t>
        </is>
      </c>
      <c r="I9" s="205" t="inlineStr">
        <is>
          <t>1) 시공계획서 표준 8대 목차 작성 ➔ 2) KCS 47 10 25 수치 명시 ➔ 3) 착공 14일 전 감리단 제출 ➔ 4) 책임감리원 최종 서면 승인</t>
        </is>
      </c>
      <c r="J9" s="163" t="inlineStr">
        <is>
          <t>시공계획서 표준 8대 목차, KCS 47 10 25 다짐 수칙 수록 및 착공 14일 전 감리 서면 승인</t>
        </is>
      </c>
      <c r="K9" s="163" t="inlineStr">
        <is>
          <t>건진법 시행령 제89조 | KCS 47 10 25 다짐 수칙(다짐도 ≥ 95%, K30 ≥ 110) 명시 | 착공 14일 전 책임감리단 기술 승인</t>
        </is>
      </c>
      <c r="L9" s="217">
        <f>HYPERLINK(LEFT(CELL("filename",A1),FIND("[",CELL("filename",A1))-1)&amp;"매뉴얼BODY(집행단계-첨부폴더)v8\4.상부강화노반\8_연약지반 처리공법 검토(필요시)\표준서\연약지반 처리공법 검토_표준서.html", "👉 [클릭] 표준서 열기 📄")</f>
        <v/>
      </c>
      <c r="M9" s="163" t="inlineStr">
        <is>
          <t>1) 시공계획서 표준 8대 목차 작성 ➔ 2) KCS 47 10 25 수치 명시 ➔ 3) 착공 14일 전 감리단 제출 ➔ 4) 책임감리원 최종 서면 승인</t>
        </is>
      </c>
      <c r="N9" s="218">
        <f>HYPERLINK(LEFT(CELL("filename",A1),FIND("[",CELL("filename",A1))-1)&amp;"매뉴얼BODY(집행단계-첨부폴더)v8\4.상부강화노반\8_연약지반 처리공법 검토(필요시)\수행지침\연약지반 처리공법 검토_수행지침.html", "👉 [클릭] 수행지침 열기 📄")</f>
        <v/>
      </c>
      <c r="O9" s="163" t="inlineStr">
        <is>
          <t>👉 [클릭] 표준서 열기 📄</t>
        </is>
      </c>
      <c r="P9" s="219">
        <f>HYPERLINK(LEFT(CELL("filename",A1),FIND("[",CELL("filename",A1))-1)&amp;"매뉴얼BODY(집행단계-첨부폴더)v8\4.상부강화노반\8_연약지반 처리공법 검토(필요시)\체크리스트\연약지반 처리공법 검토_체크리스트.html", "👉 [클릭] 체크리스트 열기 📄")</f>
        <v/>
      </c>
      <c r="Q9" s="163" t="inlineStr">
        <is>
          <t>👉 [클릭] 수행지침 열기 📄</t>
        </is>
      </c>
      <c r="R9" s="208" t="inlineStr">
        <is>
          <t>● 지반 개량 기술 시방 만족</t>
        </is>
      </c>
      <c r="S9" s="205" t="inlineStr">
        <is>
          <t>👉 [클릭]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row>
    <row r="10" ht="52" customHeight="1" s="147">
      <c r="A10" s="199" t="inlineStr">
        <is>
          <t>9000</t>
        </is>
      </c>
      <c r="B10" s="199" t="inlineStr">
        <is>
          <t>9000-4</t>
        </is>
      </c>
      <c r="C10" s="199" t="inlineStr">
        <is>
          <t>상부강화노반</t>
        </is>
      </c>
      <c r="D10" s="199" t="inlineStr">
        <is>
          <t>9000-4-9</t>
        </is>
      </c>
      <c r="E10" s="200" t="inlineStr">
        <is>
          <t>9000-4-8</t>
        </is>
      </c>
      <c r="F10" s="200" t="inlineStr">
        <is>
          <t>9000-4-10</t>
        </is>
      </c>
      <c r="G10" s="155" t="inlineStr">
        <is>
          <t>건설근로자법 준수 | 공종별 기술 수첩 및 장비 조종원 면허 1:1 현측 | 일일 음주 측정(0.00%) 및 작업조 조직표 승인</t>
        </is>
      </c>
      <c r="H10" s="200" t="inlineStr">
        <is>
          <t>현장 공사팀</t>
        </is>
      </c>
      <c r="I10" s="200" t="inlineStr">
        <is>
          <t>1) 토공 롤러/그레이더 조종원 자격 검증 ➔ 2) 건설기계 면허증 1:1 대조 ➔ 3) 일일 음주 측정 &amp; Safety TBM ➔ 4) 작업조 편성표 감리 승인</t>
        </is>
      </c>
      <c r="J10" s="156" t="inlineStr">
        <is>
          <t>조종원/기술자 자격 수첩 1:1 대조, 건설기계 면허증 검증 및 일일 음주 측정(0.00%)/TBM</t>
        </is>
      </c>
      <c r="K10" s="156" t="inlineStr">
        <is>
          <t>건설근로자법 준수 | 공종별 기술 수첩 및 장비 조종원 면허 1:1 현측 | 일일 음주 측정(0.00%) 및 작업조 조직표 승인</t>
        </is>
      </c>
      <c r="L10" s="213">
        <f>HYPERLINK(LEFT(CELL("filename",A1),FIND("[",CELL("filename",A1))-1)&amp;"매뉴얼BODY(집행단계-첨부폴더)v8\4.상부강화노반\9_토공 유동표 확인\표준서\토공 유동표 확인_표준서.html", "👉 [클릭] 표준서 열기 📄")</f>
        <v/>
      </c>
      <c r="M10" s="156" t="inlineStr">
        <is>
          <t>1) 토공 롤러/그레이더 조종원 자격 검증 ➔ 2) 건설기계 면허증 1:1 대조 ➔ 3) 일일 음주 측정 &amp; Safety TBM ➔ 4) 작업조 편성표 감리 승인</t>
        </is>
      </c>
      <c r="N10" s="214">
        <f>HYPERLINK(LEFT(CELL("filename",A1),FIND("[",CELL("filename",A1))-1)&amp;"매뉴얼BODY(집행단계-첨부폴더)v8\4.상부강화노반\9_토공 유동표 확인\수행지침\토공 유동표 확인_수행지침.html", "👉 [클릭] 수행지침 열기 📄")</f>
        <v/>
      </c>
      <c r="O10" s="156" t="inlineStr">
        <is>
          <t>👉 [클릭] 표준서 열기 📄</t>
        </is>
      </c>
      <c r="P10" s="215">
        <f>HYPERLINK(LEFT(CELL("filename",A1),FIND("[",CELL("filename",A1))-1)&amp;"매뉴얼BODY(집행단계-첨부폴더)v8\4.상부강화노반\9_토공 유동표 확인\체크리스트\토공 유동표 확인_체크리스트.html", "👉 [클릭] 체크리스트 열기 📄")</f>
        <v/>
      </c>
      <c r="Q10" s="156" t="inlineStr">
        <is>
          <t>👉 [클릭] 수행지침 열기 📄</t>
        </is>
      </c>
      <c r="R10" s="203" t="inlineStr">
        <is>
          <t>● 건설기계 조합 선정 기준</t>
        </is>
      </c>
      <c r="S10" s="200" t="inlineStr">
        <is>
          <t>👉 [클릭]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row>
    <row r="11" ht="52" customHeight="1" s="147">
      <c r="A11" s="204" t="inlineStr">
        <is>
          <t>9000</t>
        </is>
      </c>
      <c r="B11" s="204" t="inlineStr">
        <is>
          <t>9000-4</t>
        </is>
      </c>
      <c r="C11" s="204" t="inlineStr">
        <is>
          <t>상부강화노반</t>
        </is>
      </c>
      <c r="D11" s="204" t="inlineStr">
        <is>
          <t>9000-4-10</t>
        </is>
      </c>
      <c r="E11" s="205" t="inlineStr">
        <is>
          <t>9000-4-9</t>
        </is>
      </c>
      <c r="F11" s="205" t="inlineStr">
        <is>
          <t>9000-4-11</t>
        </is>
      </c>
      <c r="G11" s="162" t="inlineStr">
        <is>
          <t>건설기계관리법 제13조 | 자중 10t+ 강동/타이어 롤러 및 3D GPS 모터그레이더 정기검사 검수 | 후방 센서 점검 및 반입 허가</t>
        </is>
      </c>
      <c r="H11" s="205" t="inlineStr">
        <is>
          <t>현장 공사팀</t>
        </is>
      </c>
      <c r="I11" s="205" t="inlineStr">
        <is>
          <t>1) 10t+ 강동/타이어 롤러 사양 확정 ➔ 2) 정기검사증 &amp; 등록증 검수 ➔ 3) 3D GPS 수신기/후방 카메라 점검 ➔ 4) 장비 반입 승인서 감리 결재</t>
        </is>
      </c>
      <c r="J11" s="163" t="inlineStr">
        <is>
          <t>자중 10t+ 강동/타이어 롤러 정기검사증, 3D GPS 수신기/후방 카메라 센서 테스트 및 반입 승인</t>
        </is>
      </c>
      <c r="K11" s="163" t="inlineStr">
        <is>
          <t>건설기계관리법 제13조 | 자중 10t+ 강동/타이어 롤러 및 3D GPS 모터그레이더 정기검사 검수 | 후방 센서 점검 및 반입 허가</t>
        </is>
      </c>
      <c r="L11" s="217">
        <f>HYPERLINK(LEFT(CELL("filename",A1),FIND("[",CELL("filename",A1))-1)&amp;"매뉴얼BODY(집행단계-첨부폴더)v8\4.상부강화노반\10_기공승낙 적정성 검토\표준서\기공승낙 적정성 검토_표준서.html", "👉 [클릭] 표준서 열기 📄")</f>
        <v/>
      </c>
      <c r="M11" s="163" t="inlineStr">
        <is>
          <t>1) 10t+ 강동/타이어 롤러 사양 확정 ➔ 2) 정기검사증 &amp; 등록증 검수 ➔ 3) 3D GPS 수신기/후방 카메라 점검 ➔ 4) 장비 반입 승인서 감리 결재</t>
        </is>
      </c>
      <c r="N11" s="218">
        <f>HYPERLINK(LEFT(CELL("filename",A1),FIND("[",CELL("filename",A1))-1)&amp;"매뉴얼BODY(집행단계-첨부폴더)v8\4.상부강화노반\10_기공승낙 적정성 검토\수행지침\기공승낙 적정성 검토_수행지침.html", "👉 [클릭] 수행지침 열기 📄")</f>
        <v/>
      </c>
      <c r="O11" s="163" t="inlineStr">
        <is>
          <t>👉 [클릭] 표준서 열기 📄</t>
        </is>
      </c>
      <c r="P11" s="219">
        <f>HYPERLINK(LEFT(CELL("filename",A1),FIND("[",CELL("filename",A1))-1)&amp;"매뉴얼BODY(집행단계-첨부폴더)v8\4.상부강화노반\10_기공승낙 적정성 검토\체크리스트\기공승낙 적정성 검토_체크리스트.html", "👉 [클릭] 체크리스트 열기 📄")</f>
        <v/>
      </c>
      <c r="Q11" s="163" t="inlineStr">
        <is>
          <t>👉 [클릭] 수행지침 열기 📄</t>
        </is>
      </c>
      <c r="R11" s="208" t="inlineStr">
        <is>
          <t>● 토지 사용 동의 및 합의 조건 검토</t>
        </is>
      </c>
      <c r="S11" s="205" t="inlineStr">
        <is>
          <t>👉 [클릭]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row>
    <row r="12" ht="52" customHeight="1" s="147">
      <c r="A12" s="199" t="inlineStr">
        <is>
          <t>9000</t>
        </is>
      </c>
      <c r="B12" s="199" t="inlineStr">
        <is>
          <t>9000-4</t>
        </is>
      </c>
      <c r="C12" s="199" t="inlineStr">
        <is>
          <t>상부강화노반</t>
        </is>
      </c>
      <c r="D12" s="199" t="inlineStr">
        <is>
          <t>9000-4-11</t>
        </is>
      </c>
      <c r="E12" s="200" t="inlineStr">
        <is>
          <t>9000-4-10</t>
        </is>
      </c>
      <c r="F12" s="200" t="inlineStr">
        <is>
          <t>9000-4-12</t>
        </is>
      </c>
      <c r="G12" s="155" t="inlineStr">
        <is>
          <t>KCS 47 10 25 쇄석 입도 규정 | 최대입경 50mm 이하, #200체 통과량 ≤ 5% | 수정다짐 CBR ≥ 30% 성적 산출 및 입도 DB 구축</t>
        </is>
      </c>
      <c r="H12" s="200" t="inlineStr">
        <is>
          <t>현장 공사팀</t>
        </is>
      </c>
      <c r="I12" s="200" t="inlineStr">
        <is>
          <t>1) 석산 공급원 사전 승인 수속 ➔ 2) 쇄석 입도(Dmax 50mm) 체가름 시험 ➔ 3) 수정다짐 CBR(≥30%) 성적 산출 ➔ 4) 노반 재료 입도 DB 감리 승인</t>
        </is>
      </c>
      <c r="J12" s="156" t="inlineStr">
        <is>
          <t>쇄석 최대입경(Dmax ≤ 50mm), #200체 통과량(≤ 5%) 및 수정다짐 CBR(≥ 30%) 성적서 DB</t>
        </is>
      </c>
      <c r="K12" s="156" t="inlineStr">
        <is>
          <t>KCS 47 10 25 쇄석 입도 규정 | 최대입경 50mm 이하, #200체 통과량 ≤ 5% | 수정다짐 CBR ≥ 30% 성적 산출 및 입도 DB 구축</t>
        </is>
      </c>
      <c r="L12" s="213">
        <f>HYPERLINK(LEFT(CELL("filename",A1),FIND("[",CELL("filename",A1))-1)&amp;"매뉴얼BODY(집행단계-첨부폴더)v8\4.상부강화노반\11_폐기물처리계획 수립\표준서\폐기물처리계획 수립_표준서.html", "👉 [클릭] 표준서 열기 📄")</f>
        <v/>
      </c>
      <c r="M12" s="156" t="inlineStr">
        <is>
          <t>1) 석산 공급원 사전 승인 수속 ➔ 2) 쇄석 입도(Dmax 50mm) 체가름 시험 ➔ 3) 수정다짐 CBR(≥30%) 성적 산출 ➔ 4) 노반 재료 입도 DB 감리 승인</t>
        </is>
      </c>
      <c r="N12" s="214">
        <f>HYPERLINK(LEFT(CELL("filename",A1),FIND("[",CELL("filename",A1))-1)&amp;"매뉴얼BODY(집행단계-첨부폴더)v8\4.상부강화노반\11_폐기물처리계획 수립\수행지침\폐기물처리계획 수립_수행지침.html", "👉 [클릭] 수행지침 열기 📄")</f>
        <v/>
      </c>
      <c r="O12" s="156" t="inlineStr">
        <is>
          <t>👉 [클릭] 표준서 열기 📄</t>
        </is>
      </c>
      <c r="P12" s="215">
        <f>HYPERLINK(LEFT(CELL("filename",A1),FIND("[",CELL("filename",A1))-1)&amp;"매뉴얼BODY(집행단계-첨부폴더)v8\4.상부강화노반\11_폐기물처리계획 수립\체크리스트\폐기물처리계획 수립_체크리스트.html", "👉 [클릭] 체크리스트 열기 📄")</f>
        <v/>
      </c>
      <c r="Q12" s="156" t="inlineStr">
        <is>
          <t>👉 [클릭] 수행지침 열기 📄</t>
        </is>
      </c>
      <c r="R12" s="203" t="inlineStr">
        <is>
          <t>● 폐기물관리법 규정 준수</t>
        </is>
      </c>
      <c r="S12" s="200" t="inlineStr">
        <is>
          <t>👉 [클릭]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row>
    <row r="13" ht="52" customHeight="1" s="147">
      <c r="A13" s="204" t="inlineStr">
        <is>
          <t>9000</t>
        </is>
      </c>
      <c r="B13" s="204" t="inlineStr">
        <is>
          <t>9000-4</t>
        </is>
      </c>
      <c r="C13" s="204" t="inlineStr">
        <is>
          <t>상부강화노반</t>
        </is>
      </c>
      <c r="D13" s="204" t="inlineStr">
        <is>
          <t>9000-4-12</t>
        </is>
      </c>
      <c r="E13" s="205" t="inlineStr">
        <is>
          <t>9000-4-11</t>
        </is>
      </c>
      <c r="F13" s="205" t="inlineStr">
        <is>
          <t>9000-4-13</t>
        </is>
      </c>
      <c r="G13" s="162" t="inlineStr">
        <is>
          <t>토양환경보전법 준수 | 화성시 정식 사토장 인허가 확인 | 최대건조밀도 γd max ≥ 1.90g/cm³ &amp; 토양오염 8개 항목 검사 완수</t>
        </is>
      </c>
      <c r="H13" s="205" t="inlineStr">
        <is>
          <t>현장 공사팀</t>
        </is>
      </c>
      <c r="I13" s="205" t="inlineStr">
        <is>
          <t>1) 화성시 정식 사토장 허가 검증 ➔ 2) γd max ≥ 1.90g/cm³ &amp; 오염 시험 ➔ 3) 덤프 운행 송장 일일 집계 ➔ 4) 사토 계획서 감리 서면 승인</t>
        </is>
      </c>
      <c r="J13" s="163" t="inlineStr">
        <is>
          <t>화성시 정식 사토장 인허가, 최대건조밀도 γd max ≥ 1.90g/cm³ 및 토양오염 8개 항목 검사 합격</t>
        </is>
      </c>
      <c r="K13" s="163" t="inlineStr">
        <is>
          <t>토양환경보전법 준수 | 화성시 정식 사토장 인허가 확인 | 최대건조밀도 γd max ≥ 1.90g/cm³ &amp; 토양오염 8개 항목 검사 완수</t>
        </is>
      </c>
      <c r="L13" s="217">
        <f>HYPERLINK(LEFT(CELL("filename",A1),FIND("[",CELL("filename",A1))-1)&amp;"매뉴얼BODY(집행단계-첨부폴더)v8\4.상부강화노반\12_철도운행협의(필요시)\표준서\철도운행협의_표준서.html", "👉 [클릭] 표준서 열기 📄")</f>
        <v/>
      </c>
      <c r="M13" s="163" t="inlineStr">
        <is>
          <t>1) 화성시 정식 사토장 허가 검증 ➔ 2) γd max ≥ 1.90g/cm³ &amp; 오염 시험 ➔ 3) 덤프 운행 송장 일일 집계 ➔ 4) 사토 계획서 감리 서면 승인</t>
        </is>
      </c>
      <c r="N13" s="218">
        <f>HYPERLINK(LEFT(CELL("filename",A1),FIND("[",CELL("filename",A1))-1)&amp;"매뉴얼BODY(집행단계-첨부폴더)v8\4.상부강화노반\12_철도운행협의(필요시)\수행지침\철도운행협의_수행지침.html", "👉 [클릭] 수행지침 열기 📄")</f>
        <v/>
      </c>
      <c r="O13" s="163" t="inlineStr">
        <is>
          <t>👉 [클릭] 표준서 열기 📄</t>
        </is>
      </c>
      <c r="P13" s="219">
        <f>HYPERLINK(LEFT(CELL("filename",A1),FIND("[",CELL("filename",A1))-1)&amp;"매뉴얼BODY(집행단계-첨부폴더)v8\4.상부강화노반\12_철도운행협의(필요시)\체크리스트\철도운행협의_체크리스트.html", "👉 [클릭] 체크리스트 열기 📄")</f>
        <v/>
      </c>
      <c r="Q13" s="163" t="inlineStr">
        <is>
          <t>👉 [클릭] 수행지침 열기 📄</t>
        </is>
      </c>
      <c r="R13" s="208" t="inlineStr">
        <is>
          <t>● 철도 안전 및 운행 협의 지침 준수</t>
        </is>
      </c>
      <c r="S13" s="205" t="inlineStr">
        <is>
          <t>👉 [클릭]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row>
    <row r="14" ht="52" customHeight="1" s="147">
      <c r="A14" s="199" t="inlineStr">
        <is>
          <t>9000</t>
        </is>
      </c>
      <c r="B14" s="199" t="inlineStr">
        <is>
          <t>9000-4</t>
        </is>
      </c>
      <c r="C14" s="199" t="inlineStr">
        <is>
          <t>상부강화노반</t>
        </is>
      </c>
      <c r="D14" s="199" t="inlineStr">
        <is>
          <t>9000-4-13</t>
        </is>
      </c>
      <c r="E14" s="200" t="inlineStr">
        <is>
          <t>9000-4-12</t>
        </is>
      </c>
      <c r="F14" s="200" t="inlineStr">
        <is>
          <t>9000-4-14</t>
        </is>
      </c>
      <c r="G14" s="155" t="inlineStr">
        <is>
          <t>KCS 47 10 25 임시 배수 시방 | 성토 사면 가배수로(0.6×0.6m) &amp; 가침사지 2개소 | HDPE 유공관(Ø200mm, 구배 ≥ 0.5%) 부설</t>
        </is>
      </c>
      <c r="H14" s="200" t="inlineStr">
        <is>
          <t>현장 공사팀</t>
        </is>
      </c>
      <c r="I14" s="200" t="inlineStr">
        <is>
          <t>1) 가배수로(0.6×0.6m) &amp; 가침사지 설계 ➔ 2) HDPE 유공관(Ø200mm) 자재 검수 ➔ 3) 비상 양수 펌프(200L/min) 비치 ➔ 4) 배수 처리 계획서 감리 승인</t>
        </is>
      </c>
      <c r="J14" s="156" t="inlineStr">
        <is>
          <t>성토 사면 가배수로(0.6×0.6m), 가침사지 2개소 및 HDPE 유공관(Ø200mm, 구배 ≥ 0.5%) 설치</t>
        </is>
      </c>
      <c r="K14" s="156" t="inlineStr">
        <is>
          <t>KCS 47 10 25 임시 배수 시방 | 성토 사면 가배수로(0.6×0.6m) &amp; 가침사지 2개소 | HDPE 유공관(Ø200mm, 구배 ≥ 0.5%) 부설</t>
        </is>
      </c>
      <c r="L14" s="213">
        <f>HYPERLINK(LEFT(CELL("filename",A1),FIND("[",CELL("filename",A1))-1)&amp;"매뉴얼BODY(집행단계-첨부폴더)v8\4.상부강화노반\13_작수전 Big Room 회의\표준서\작수전 Big Room 회의_표준서.html", "👉 [클릭] 표준서 열기 📄")</f>
        <v/>
      </c>
      <c r="M14" s="156" t="inlineStr">
        <is>
          <t>1) 가배수로(0.6×0.6m) &amp; 가침사지 설계 ➔ 2) HDPE 유공관(Ø200mm) 자재 검수 ➔ 3) 비상 양수 펌프(200L/min) 비치 ➔ 4) 배수 처리 계획서 감리 승인</t>
        </is>
      </c>
      <c r="N14" s="214">
        <f>HYPERLINK(LEFT(CELL("filename",A1),FIND("[",CELL("filename",A1))-1)&amp;"매뉴얼BODY(집행단계-첨부폴더)v8\4.상부강화노반\13_작수전 Big Room 회의\수행지침\작수전 Big Room 회의_수행지침.html", "👉 [클릭] 수행지침 열기 📄")</f>
        <v/>
      </c>
      <c r="O14" s="156" t="inlineStr">
        <is>
          <t>👉 [클릭] 표준서 열기 📄</t>
        </is>
      </c>
      <c r="P14" s="215">
        <f>HYPERLINK(LEFT(CELL("filename",A1),FIND("[",CELL("filename",A1))-1)&amp;"매뉴얼BODY(집행단계-첨부폴더)v8\4.상부강화노반\13_작수전 Big Room 회의\체크리스트\작수전 Big Room 회의_체크리스트.html", "👉 [클릭] 체크리스트 열기 📄")</f>
        <v/>
      </c>
      <c r="Q14" s="156" t="inlineStr">
        <is>
          <t>👉 [클릭] 수행지침 열기 📄</t>
        </is>
      </c>
      <c r="R14" s="203" t="inlineStr">
        <is>
          <t>● 토목 및 궤도 인터페이스 관리 지침</t>
        </is>
      </c>
      <c r="S14" s="200" t="inlineStr">
        <is>
          <t>👉 [클릭]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row>
    <row r="15" ht="52" customHeight="1" s="147">
      <c r="A15" s="204" t="inlineStr">
        <is>
          <t>9000</t>
        </is>
      </c>
      <c r="B15" s="204" t="inlineStr">
        <is>
          <t>9000-4</t>
        </is>
      </c>
      <c r="C15" s="204" t="inlineStr">
        <is>
          <t>상부강화노반</t>
        </is>
      </c>
      <c r="D15" s="204" t="inlineStr">
        <is>
          <t>9000-4-14</t>
        </is>
      </c>
      <c r="E15" s="205" t="inlineStr">
        <is>
          <t>9000-4-13</t>
        </is>
      </c>
      <c r="F15" s="205" t="inlineStr">
        <is>
          <t>9000-4-15</t>
        </is>
      </c>
      <c r="G15" s="162" t="inlineStr">
        <is>
          <t>건진법 제62조 준수 | 국토안전관리원 전산 적정 심사 필 | CSI 건설공사 안전관리 종합망 전산 등록 및 감리 승인</t>
        </is>
      </c>
      <c r="H15" s="205" t="inlineStr">
        <is>
          <t>현장 공사팀</t>
        </is>
      </c>
      <c r="I15" s="205" t="inlineStr">
        <is>
          <t>1) 건진법 제62조 안전관리계획 작성 ➔ 2) 국토안전관리원 전산 적정 심사 ➔ 3) CSI 안전관리 종합망 등록 ➔ 4) 책임감리원 서면 승인</t>
        </is>
      </c>
      <c r="J15" s="163" t="inlineStr">
        <is>
          <t>건진법 제62조 안전관리계획서 작성, 국토안전관리원 적정 심사 및 CSI 전산망 등록 결재</t>
        </is>
      </c>
      <c r="K15" s="163" t="inlineStr">
        <is>
          <t>건진법 제62조 준수 | 국토안전관리원 전산 적정 심사 필 | CSI 건설공사 안전관리 종합망 전산 등록 및 감리 승인</t>
        </is>
      </c>
      <c r="L15" s="217">
        <f>HYPERLINK(LEFT(CELL("filename",A1),FIND("[",CELL("filename",A1))-1)&amp;"매뉴얼BODY(집행단계-첨부폴더)v8\4.상부강화노반\14_시공 계획 수립\표준서\시공 계획 수립_표준서.html", "👉 [클릭] 표준서 열기 📄")</f>
        <v/>
      </c>
      <c r="M15" s="163" t="inlineStr">
        <is>
          <t>1) 건진법 제62조 안전관리계획 작성 ➔ 2) 국토안전관리원 전산 적정 심사 ➔ 3) CSI 안전관리 종합망 등록 ➔ 4) 책임감리원 서면 승인</t>
        </is>
      </c>
      <c r="N15" s="218">
        <f>HYPERLINK(LEFT(CELL("filename",A1),FIND("[",CELL("filename",A1))-1)&amp;"매뉴얼BODY(집행단계-첨부폴더)v8\4.상부강화노반\14_시공 계획 수립\수행지침\시공 계획 수립_수행지침.html", "👉 [클릭] 수행지침 열기 📄")</f>
        <v/>
      </c>
      <c r="O15" s="163" t="inlineStr">
        <is>
          <t>👉 [클릭] 표준서 열기 📄</t>
        </is>
      </c>
      <c r="P15" s="219">
        <f>HYPERLINK(LEFT(CELL("filename",A1),FIND("[",CELL("filename",A1))-1)&amp;"매뉴얼BODY(집행단계-첨부폴더)v8\4.상부강화노반\14_시공 계획 수립\체크리스트\시공 계획 수립_체크리스트.html", "👉 [클릭] 체크리스트 열기 📄")</f>
        <v/>
      </c>
      <c r="Q15" s="163" t="inlineStr">
        <is>
          <t>👉 [클릭] 수행지침 열기 📄</t>
        </is>
      </c>
      <c r="R15" s="208" t="inlineStr">
        <is>
          <t>● 시방 기준 및 토공사 지침 준수</t>
        </is>
      </c>
      <c r="S15" s="205" t="inlineStr">
        <is>
          <t>👉 [클릭]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row>
    <row r="16" ht="52" customHeight="1" s="147">
      <c r="A16" s="199" t="inlineStr">
        <is>
          <t>9000</t>
        </is>
      </c>
      <c r="B16" s="199" t="inlineStr">
        <is>
          <t>9000-4</t>
        </is>
      </c>
      <c r="C16" s="199" t="inlineStr">
        <is>
          <t>상부강화노반</t>
        </is>
      </c>
      <c r="D16" s="199" t="inlineStr">
        <is>
          <t>9000-4-15</t>
        </is>
      </c>
      <c r="E16" s="200" t="inlineStr">
        <is>
          <t>9000-4-14</t>
        </is>
      </c>
      <c r="F16" s="200" t="inlineStr">
        <is>
          <t>9000-4-16</t>
        </is>
      </c>
      <c r="G16" s="155" t="inlineStr">
        <is>
          <t>건진법 제55조 준수 | 노반 다짐도(500m³당 1회), K30(2,000m²당 1회), Ev2(1,000m²당 1회) | 현장 시험실 장비 교정 검수</t>
        </is>
      </c>
      <c r="H16" s="200" t="inlineStr">
        <is>
          <t>현장 공사팀</t>
        </is>
      </c>
      <c r="I16" s="200" t="inlineStr">
        <is>
          <t>1) 다짐도/K30/Ev2 시험 빈도 수립 ➔ 2) 현장 시험실 장비 교정 검수 ➔ 3) 착공 14일 전 감리단 제출 ➔ 4) 품질관리계획서 감리 서면 승인</t>
        </is>
      </c>
      <c r="J16" s="156" t="inlineStr">
        <is>
          <t>노반 다짐도(500m³당 1회), K30(2,000m²당 1회), Ev2(1,000m²당 1회) 시험 빈도 &amp; 장비 교정</t>
        </is>
      </c>
      <c r="K16" s="156" t="inlineStr">
        <is>
          <t>건진법 제55조 준수 | 노반 다짐도(500m³당 1회), K30(2,000m²당 1회), Ev2(1,000m²당 1회) | 현장 시험실 장비 교정 검수</t>
        </is>
      </c>
      <c r="L16" s="213">
        <f>HYPERLINK(LEFT(CELL("filename",A1),FIND("[",CELL("filename",A1))-1)&amp;"매뉴얼BODY(집행단계-첨부폴더)v8\4.상부강화노반\15_사토장_토취장 선정 검토(필요시)\표준서\사토장_토취장 선정 검토_표준서.html", "👉 [클릭] 표준서 열기 📄")</f>
        <v/>
      </c>
      <c r="M16" s="156" t="inlineStr">
        <is>
          <t>1) 다짐도/K30/Ev2 시험 빈도 수립 ➔ 2) 현장 시험실 장비 교정 검수 ➔ 3) 착공 14일 전 감리단 제출 ➔ 4) 품질관리계획서 감리 서면 승인</t>
        </is>
      </c>
      <c r="N16" s="214">
        <f>HYPERLINK(LEFT(CELL("filename",A1),FIND("[",CELL("filename",A1))-1)&amp;"매뉴얼BODY(집행단계-첨부폴더)v8\4.상부강화노반\15_사토장_토취장 선정 검토(필요시)\수행지침\사토장_토취장 선정 검토_수행지침.html", "👉 [클릭] 수행지침 열기 📄")</f>
        <v/>
      </c>
      <c r="O16" s="156" t="inlineStr">
        <is>
          <t>👉 [클릭] 표준서 열기 📄</t>
        </is>
      </c>
      <c r="P16" s="215">
        <f>HYPERLINK(LEFT(CELL("filename",A1),FIND("[",CELL("filename",A1))-1)&amp;"매뉴얼BODY(집행단계-첨부폴더)v8\4.상부강화노반\15_사토장_토취장 선정 검토(필요시)\체크리스트\사토장_토취장 선정 검토_체크리스트.html", "👉 [클릭] 체크리스트 열기 📄")</f>
        <v/>
      </c>
      <c r="Q16" s="156" t="inlineStr">
        <is>
          <t>👉 [클릭] 수행지침 열기 📄</t>
        </is>
      </c>
      <c r="R16" s="203" t="inlineStr">
        <is>
          <t>● 환경 영향 및 골재 채취 인허가 적합성</t>
        </is>
      </c>
      <c r="S16" s="200" t="inlineStr">
        <is>
          <t>👉 [클릭]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row>
    <row r="17" ht="52" customHeight="1" s="147">
      <c r="A17" s="204" t="inlineStr">
        <is>
          <t>9000</t>
        </is>
      </c>
      <c r="B17" s="204" t="inlineStr">
        <is>
          <t>9000-4</t>
        </is>
      </c>
      <c r="C17" s="204" t="inlineStr">
        <is>
          <t>상부강화노반</t>
        </is>
      </c>
      <c r="D17" s="204" t="inlineStr">
        <is>
          <t>9000-4-16</t>
        </is>
      </c>
      <c r="E17" s="205" t="inlineStr">
        <is>
          <t>9000-4-15</t>
        </is>
      </c>
      <c r="F17" s="205" t="inlineStr">
        <is>
          <t>9000-4-17</t>
        </is>
      </c>
      <c r="G17" s="162" t="inlineStr">
        <is>
          <t>대기환경보전법 제44조 | 지자체 비산먼지 발생사업 신고 필 | 이동식 세륜기(깊이 1.2m) &amp; 가설 방음벽(H=3m) 가동</t>
        </is>
      </c>
      <c r="H17" s="205" t="inlineStr">
        <is>
          <t>현장 공사팀</t>
        </is>
      </c>
      <c r="I17" s="205" t="inlineStr">
        <is>
          <t>1) 세륜기(깊이 1.2m) &amp; 방음벽(3m) 설계 ➔ 2) 지자체 비산먼지 발생신고 ➔ 3) 살수차 1일 3회 살수 ➔ 4) 환경관리계획서 감리 서면 승인</t>
        </is>
      </c>
      <c r="J17" s="163" t="inlineStr">
        <is>
          <t>지자체 비산먼지 발생신고 필증, 이동식 세륜기(깊이 1.2m) &amp; 가설 방음벽(H=3m) 가동 점검</t>
        </is>
      </c>
      <c r="K17" s="163" t="inlineStr">
        <is>
          <t>대기환경보전법 제44조 | 지자체 비산먼지 발생사업 신고 필 | 이동식 세륜기(깊이 1.2m) &amp; 가설 방음벽(H=3m) 가동</t>
        </is>
      </c>
      <c r="L17" s="217">
        <f>HYPERLINK(LEFT(CELL("filename",A1),FIND("[",CELL("filename",A1))-1)&amp;"매뉴얼BODY(집행단계-첨부폴더)v8\4.상부강화노반\16_공사사전준비\표준서\공사사전준비_표준서.html", "👉 [클릭] 표준서 열기 📄")</f>
        <v/>
      </c>
      <c r="M17" s="163" t="inlineStr">
        <is>
          <t>1) 세륜기(깊이 1.2m) &amp; 방음벽(3m) 설계 ➔ 2) 지자체 비산먼지 발생신고 ➔ 3) 살수차 1일 3회 살수 ➔ 4) 환경관리계획서 감리 서면 승인</t>
        </is>
      </c>
      <c r="N17" s="218">
        <f>HYPERLINK(LEFT(CELL("filename",A1),FIND("[",CELL("filename",A1))-1)&amp;"매뉴얼BODY(집행단계-첨부폴더)v8\4.상부강화노반\16_공사사전준비\수행지침\공사사전준비_수행지침.html", "👉 [클릭] 수행지침 열기 📄")</f>
        <v/>
      </c>
      <c r="O17" s="163" t="inlineStr">
        <is>
          <t>👉 [클릭] 표준서 열기 📄</t>
        </is>
      </c>
      <c r="P17" s="219">
        <f>HYPERLINK(LEFT(CELL("filename",A1),FIND("[",CELL("filename",A1))-1)&amp;"매뉴얼BODY(집행단계-첨부폴더)v8\4.상부강화노반\16_공사사전준비\체크리스트\공사사전준비_체크리스트.html", "👉 [클릭] 체크리스트 열기 📄")</f>
        <v/>
      </c>
      <c r="Q17" s="163" t="inlineStr">
        <is>
          <t>👉 [클릭] 수행지침 열기 📄</t>
        </is>
      </c>
      <c r="R17" s="208" t="inlineStr">
        <is>
          <t>● 리스크 사전 예방 및 통제 기준</t>
        </is>
      </c>
      <c r="S17" s="205" t="inlineStr">
        <is>
          <t>👉 [클릭]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row>
    <row r="18" ht="52" customHeight="1" s="147">
      <c r="A18" s="199" t="inlineStr">
        <is>
          <t>9000</t>
        </is>
      </c>
      <c r="B18" s="199" t="inlineStr">
        <is>
          <t>9000-4</t>
        </is>
      </c>
      <c r="C18" s="199" t="inlineStr">
        <is>
          <t>상부강화노반</t>
        </is>
      </c>
      <c r="D18" s="199" t="inlineStr">
        <is>
          <t>9000-4-17</t>
        </is>
      </c>
      <c r="E18" s="200" t="inlineStr">
        <is>
          <t>9000-4-16</t>
        </is>
      </c>
      <c r="F18" s="200" t="inlineStr">
        <is>
          <t>9000-4-18</t>
        </is>
      </c>
      <c r="G18" s="155" t="inlineStr">
        <is>
          <t>도로교통법 제69조 | 동탄경찰서 교통안전 심의 및 도로점용 허가 수령 | 전담 안전 신호수(2인 2조) 및 LED 경광등 배치</t>
        </is>
      </c>
      <c r="H18" s="200" t="inlineStr">
        <is>
          <t>현장 공사팀</t>
        </is>
      </c>
      <c r="I18" s="200" t="inlineStr">
        <is>
          <t>1) 교통 우회 도면 &amp; 차선 설계 ➔ 2) 동탄경찰서 도로점용 허가 ➔ 3) 전담 신호수(2인 2조) 배치 ➔ 4) 교통소통 대책서 감리 서면 승인</t>
        </is>
      </c>
      <c r="J18" s="156" t="inlineStr">
        <is>
          <t>동탄경찰서 도로점용 허가, 우회 차선 설계 및 전담 안전 신호수(2인 2조)/LED 경광등 배치</t>
        </is>
      </c>
      <c r="K18" s="156" t="inlineStr">
        <is>
          <t>도로교통법 제69조 | 동탄경찰서 교통안전 심의 및 도로점용 허가 수령 | 전담 안전 신호수(2인 2조) 및 LED 경광등 배치</t>
        </is>
      </c>
      <c r="L18" s="213">
        <f>HYPERLINK(LEFT(CELL("filename",A1),FIND("[",CELL("filename",A1))-1)&amp;"매뉴얼BODY(집행단계-첨부폴더)v8\4.상부강화노반\17_임시배수시설\표준서\임시배수시설_표준서.html", "👉 [클릭] 표준서 열기 📄")</f>
        <v/>
      </c>
      <c r="M18" s="156" t="inlineStr">
        <is>
          <t>1) 교통 우회 도면 &amp; 차선 설계 ➔ 2) 동탄경찰서 도로점용 허가 ➔ 3) 전담 신호수(2인 2조) 배치 ➔ 4) 교통소통 대책서 감리 서면 승인</t>
        </is>
      </c>
      <c r="N18" s="214">
        <f>HYPERLINK(LEFT(CELL("filename",A1),FIND("[",CELL("filename",A1))-1)&amp;"매뉴얼BODY(집행단계-첨부폴더)v8\4.상부강화노반\17_임시배수시설\수행지침\임시배수시설_수행지침.html", "👉 [클릭] 수행지침 열기 📄")</f>
        <v/>
      </c>
      <c r="O18" s="156" t="inlineStr">
        <is>
          <t>👉 [클릭] 표준서 열기 📄</t>
        </is>
      </c>
      <c r="P18" s="215">
        <f>HYPERLINK(LEFT(CELL("filename",A1),FIND("[",CELL("filename",A1))-1)&amp;"매뉴얼BODY(집행단계-첨부폴더)v8\4.상부강화노반\17_임시배수시설\체크리스트\임시배수시설_체크리스트.html", "👉 [클릭] 체크리스트 열기 📄")</f>
        <v/>
      </c>
      <c r="Q18" s="156" t="inlineStr">
        <is>
          <t>👉 [클릭] 수행지침 열기 📄</t>
        </is>
      </c>
      <c r="R18" s="203" t="inlineStr">
        <is>
          <t>● 비산먼지 및 수질오염 방지 대책 기준</t>
        </is>
      </c>
      <c r="S18" s="200" t="inlineStr">
        <is>
          <t>👉 [클릭]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row>
    <row r="19" ht="52" customHeight="1" s="147">
      <c r="A19" s="204" t="inlineStr">
        <is>
          <t>9000</t>
        </is>
      </c>
      <c r="B19" s="204" t="inlineStr">
        <is>
          <t>9000-4</t>
        </is>
      </c>
      <c r="C19" s="204" t="inlineStr">
        <is>
          <t>상부강화노반</t>
        </is>
      </c>
      <c r="D19" s="204" t="inlineStr">
        <is>
          <t>9000-4-18</t>
        </is>
      </c>
      <c r="E19" s="205" t="inlineStr">
        <is>
          <t>9000-4-17</t>
        </is>
      </c>
      <c r="F19" s="205" t="inlineStr">
        <is>
          <t>9000-4-19</t>
        </is>
      </c>
      <c r="G19" s="162" t="inlineStr">
        <is>
          <t>건산법 제29조 준수 | 토공 전문건설업 면허 및 하도급율(≥ 82%) 적정성 심사 | 노무비 지급 전용계좌 지정 및 계약 승인</t>
        </is>
      </c>
      <c r="H19" s="205" t="inlineStr">
        <is>
          <t>현장 공사팀</t>
        </is>
      </c>
      <c r="I19" s="205" t="inlineStr">
        <is>
          <t>1) 토공 전문 면허 &amp; 실적 심사 ➔ 2) 하도급 적정성 평가(≥82%) ➔ 3) 노무비 지급 전용계좌 지정 ➔ 4) 하도급 계약 승인 통보서 결재</t>
        </is>
      </c>
      <c r="J19" s="163" t="inlineStr">
        <is>
          <t>토공 전문건설업 면허/실적 심사, 하도급 비율(≥ 82%) 평가 및 노무비 지급 전용계좌 지정</t>
        </is>
      </c>
      <c r="K19" s="163" t="inlineStr">
        <is>
          <t>건산법 제29조 준수 | 토공 전문건설업 면허 및 하도급율(≥ 82%) 적정성 심사 | 노무비 지급 전용계좌 지정 및 계약 승인</t>
        </is>
      </c>
      <c r="L19" s="217">
        <f>HYPERLINK(LEFT(CELL("filename",A1),FIND("[",CELL("filename",A1))-1)&amp;"매뉴얼BODY(집행단계-첨부폴더)v8\4.상부강화노반\18_쌓기재료 검사\표준서\쌓기재료 검사_표준서.html", "👉 [클릭] 표준서 열기 📄")</f>
        <v/>
      </c>
      <c r="M19" s="163" t="inlineStr">
        <is>
          <t>1) 토공 전문 면허 &amp; 실적 심사 ➔ 2) 하도급 적정성 평가(≥82%) ➔ 3) 노무비 지급 전용계좌 지정 ➔ 4) 하도급 계약 승인 통보서 결재</t>
        </is>
      </c>
      <c r="N19" s="218">
        <f>HYPERLINK(LEFT(CELL("filename",A1),FIND("[",CELL("filename",A1))-1)&amp;"매뉴얼BODY(집행단계-첨부폴더)v8\4.상부강화노반\18_쌓기재료 검사\수행지침\쌓기재료 검사_수행지침.html", "👉 [클릭] 수행지침 열기 📄")</f>
        <v/>
      </c>
      <c r="O19" s="163" t="inlineStr">
        <is>
          <t>👉 [클릭] 표준서 열기 📄</t>
        </is>
      </c>
      <c r="P19" s="219">
        <f>HYPERLINK(LEFT(CELL("filename",A1),FIND("[",CELL("filename",A1))-1)&amp;"매뉴얼BODY(집행단계-첨부폴더)v8\4.상부강화노반\18_쌓기재료 검사\체크리스트\쌓기재료 검사_체크리스트.html", "👉 [클릭] 체크리스트 열기 📄")</f>
        <v/>
      </c>
      <c r="Q19" s="163" t="inlineStr">
        <is>
          <t>👉 [클릭] 수행지침 열기 📄</t>
        </is>
      </c>
      <c r="R19" s="208" t="inlineStr">
        <is>
          <t>● 토공 성토 재료 규격 기준 준수</t>
        </is>
      </c>
      <c r="S19" s="205" t="inlineStr">
        <is>
          <t>👉 [클릭]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row>
    <row r="20" ht="52" customHeight="1" s="147">
      <c r="A20" s="199" t="inlineStr">
        <is>
          <t>9000</t>
        </is>
      </c>
      <c r="B20" s="199" t="inlineStr">
        <is>
          <t>9000-4</t>
        </is>
      </c>
      <c r="C20" s="199" t="inlineStr">
        <is>
          <t>상부강화노반</t>
        </is>
      </c>
      <c r="D20" s="199" t="inlineStr">
        <is>
          <t>9000-4-19</t>
        </is>
      </c>
      <c r="E20" s="200" t="inlineStr">
        <is>
          <t>9000-4-18</t>
        </is>
      </c>
      <c r="F20" s="200" t="inlineStr">
        <is>
          <t>9000-4-20</t>
        </is>
      </c>
      <c r="G20" s="155" t="inlineStr">
        <is>
          <t>KCS 47 10 25 자재 검수 | KS F 2527 쇄석골재, HDPE 유공관, 부직포(200g/m²) 공인성적서 | 현장 반입 검수 및 승인 통보</t>
        </is>
      </c>
      <c r="H20" s="200" t="inlineStr">
        <is>
          <t>현장 공사팀</t>
        </is>
      </c>
      <c r="I20" s="200" t="inlineStr">
        <is>
          <t>1) KS F 2527 쇄석/유공관 서류 검토 ➔ 2) 공인시험기관 시험성적서 부착 ➔ 3) 자재 승인 신청서 제출 ➔ 4) 자재 반입 검수 및 승인 결재</t>
        </is>
      </c>
      <c r="J20" s="156" t="inlineStr">
        <is>
          <t>KS F 2527 쇄석골재, HDPE 유공관, 투수성 부직포(200g/m²) 공인성적서 및 현장 반입 검수</t>
        </is>
      </c>
      <c r="K20" s="156" t="inlineStr">
        <is>
          <t>KCS 47 10 25 자재 검수 | KS F 2527 쇄석골재, HDPE 유공관, 부직포(200g/m²) 공인성적서 | 현장 반입 검수 및 승인 통보</t>
        </is>
      </c>
      <c r="L20" s="213">
        <f>HYPERLINK(LEFT(CELL("filename",A1),FIND("[",CELL("filename",A1))-1)&amp;"매뉴얼BODY(집행단계-첨부폴더)v8\4.상부강화노반\19_장비 검수 지원\표준서\장비 검수 지원_표준서.html", "👉 [클릭] 표준서 열기 📄")</f>
        <v/>
      </c>
      <c r="M20" s="156" t="inlineStr">
        <is>
          <t>1) KS F 2527 쇄석/유공관 서류 검토 ➔ 2) 공인시험기관 시험성적서 부착 ➔ 3) 자재 승인 신청서 제출 ➔ 4) 자재 반입 검수 및 승인 결재</t>
        </is>
      </c>
      <c r="N20" s="214">
        <f>HYPERLINK(LEFT(CELL("filename",A1),FIND("[",CELL("filename",A1))-1)&amp;"매뉴얼BODY(집행단계-첨부폴더)v8\4.상부강화노반\19_장비 검수 지원\수행지침\장비 검수 지원_수행지침.html", "👉 [클릭] 수행지침 열기 📄")</f>
        <v/>
      </c>
      <c r="O20" s="156" t="inlineStr">
        <is>
          <t>👉 [클릭] 표준서 열기 📄</t>
        </is>
      </c>
      <c r="P20" s="215">
        <f>HYPERLINK(LEFT(CELL("filename",A1),FIND("[",CELL("filename",A1))-1)&amp;"매뉴얼BODY(집행단계-첨부폴더)v8\4.상부강화노반\19_장비 검수 지원\체크리스트\장비 검수 지원_체크리스트.html", "👉 [클릭] 체크리스트 열기 📄")</f>
        <v/>
      </c>
      <c r="Q20" s="156" t="inlineStr">
        <is>
          <t>👉 [클릭] 수행지침 열기 📄</t>
        </is>
      </c>
      <c r="R20" s="203" t="inlineStr">
        <is>
          <t>● 다짐 장비 기능 및 안전 상태 검증</t>
        </is>
      </c>
      <c r="S20" s="200" t="inlineStr">
        <is>
          <t>👉 [클릭]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row>
    <row r="21" ht="52" customHeight="1" s="147">
      <c r="A21" s="204" t="inlineStr">
        <is>
          <t>9000</t>
        </is>
      </c>
      <c r="B21" s="204" t="inlineStr">
        <is>
          <t>9000-4</t>
        </is>
      </c>
      <c r="C21" s="204" t="inlineStr">
        <is>
          <t>상부강화노반</t>
        </is>
      </c>
      <c r="D21" s="204" t="inlineStr">
        <is>
          <t>9000-4-20</t>
        </is>
      </c>
      <c r="E21" s="205" t="inlineStr">
        <is>
          <t>9000-4-19</t>
        </is>
      </c>
      <c r="F21" s="205" t="inlineStr">
        <is>
          <t>9000-4-21</t>
        </is>
      </c>
      <c r="G21" s="162" t="inlineStr">
        <is>
          <t>KCS 47 10 25 현장 시험 수칙 | 50m 시험 구간 쇄석 30cm 부설 | 패스별 침하량 실측(침하 정지 Δh ≤ 1mm) 강동 4회 다짐 확정</t>
        </is>
      </c>
      <c r="H21" s="205" t="inlineStr">
        <is>
          <t>현장 공사팀</t>
        </is>
      </c>
      <c r="I21" s="205" t="inlineStr">
        <is>
          <t>1) 50m 시험 다짐 구간 지정 ➔ 2) 쇄석 30cm 두께 포설 ➔ 3) 패스별 침하량(Δh≤1mm) 측정 ➔ 4) 다짐 횟수(강동 4회) 보고서 승인</t>
        </is>
      </c>
      <c r="J21" s="163" t="inlineStr">
        <is>
          <t>50m 시험 구간 쇄석 30cm 포설, 패스별 침하량(Δh ≤ 1mm) 실측 및 강동 4회 다짐 횟수 확정</t>
        </is>
      </c>
      <c r="K21" s="163" t="inlineStr">
        <is>
          <t>KCS 47 10 25 현장 시험 수칙 | 50m 시험 구간 쇄석 30cm 부설 | 패스별 침하량 실측(침하 정지 Δh ≤ 1mm) 강동 4회 다짐 확정</t>
        </is>
      </c>
      <c r="L21" s="217">
        <f>HYPERLINK(LEFT(CELL("filename",A1),FIND("[",CELL("filename",A1))-1)&amp;"매뉴얼BODY(집행단계-첨부폴더)v8\4.상부강화노반\20_선로 종_횡단 및 용지경계측량\표준서\선로 종_횡단 및 용지경계측량_표준서.html", "👉 [클릭] 표준서 열기 📄")</f>
        <v/>
      </c>
      <c r="M21" s="163" t="inlineStr">
        <is>
          <t>1) 50m 시험 다짐 구간 지정 ➔ 2) 쇄석 30cm 두께 포설 ➔ 3) 패스별 침하량(Δh≤1mm) 측정 ➔ 4) 다짐 횟수(강동 4회) 보고서 승인</t>
        </is>
      </c>
      <c r="N21" s="218">
        <f>HYPERLINK(LEFT(CELL("filename",A1),FIND("[",CELL("filename",A1))-1)&amp;"매뉴얼BODY(집행단계-첨부폴더)v8\4.상부강화노반\20_선로 종_횡단 및 용지경계측량\수행지침\선로 종_횡단 및 용지경계측량_수행지침.html", "👉 [클릭] 수행지침 열기 📄")</f>
        <v/>
      </c>
      <c r="O21" s="163" t="inlineStr">
        <is>
          <t>👉 [클릭] 표준서 열기 📄</t>
        </is>
      </c>
      <c r="P21" s="219">
        <f>HYPERLINK(LEFT(CELL("filename",A1),FIND("[",CELL("filename",A1))-1)&amp;"매뉴얼BODY(집행단계-첨부폴더)v8\4.상부강화노반\20_선로 종_횡단 및 용지경계측량\체크리스트\선로 종_횡단 및 용지경계측량_체크리스트.html", "👉 [클릭] 체크리스트 열기 📄")</f>
        <v/>
      </c>
      <c r="Q21" s="163" t="inlineStr">
        <is>
          <t>👉 [클릭] 수행지침 열기 📄</t>
        </is>
      </c>
      <c r="R21" s="208" t="inlineStr">
        <is>
          <t>● 선로 측량 정밀도 규격 준수</t>
        </is>
      </c>
      <c r="S21" s="205" t="inlineStr">
        <is>
          <t>👉 [클릭]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row>
    <row r="22" ht="52" customHeight="1" s="147">
      <c r="A22" s="199" t="inlineStr">
        <is>
          <t>9000</t>
        </is>
      </c>
      <c r="B22" s="199" t="inlineStr">
        <is>
          <t>9000-4</t>
        </is>
      </c>
      <c r="C22" s="199" t="inlineStr">
        <is>
          <t>상부강화노반</t>
        </is>
      </c>
      <c r="D22" s="199" t="inlineStr">
        <is>
          <t>9000-4-21</t>
        </is>
      </c>
      <c r="E22" s="200" t="inlineStr">
        <is>
          <t>9000-4-20</t>
        </is>
      </c>
      <c r="F22" s="200" t="inlineStr">
        <is>
          <t>9000-4-22</t>
        </is>
      </c>
      <c r="G22" s="155" t="inlineStr">
        <is>
          <t>KCS 47 10 25 원지반 규정 | 유기질 표토(15~30cm) 제거 및 전압 다짐 | 원지반 K30 ≥ 70 MN/m³ 시험 &amp; 덤프트럭 펌핑 점검</t>
        </is>
      </c>
      <c r="H22" s="200" t="inlineStr">
        <is>
          <t>현장 공사팀</t>
        </is>
      </c>
      <c r="I22" s="200" t="inlineStr">
        <is>
          <t>1) 표토(15~30cm) 제거 &amp; 정전압 다짐 ➔ 2) 원지반 표고 레벨 측량 ➔ 3) K30(≥70 MN/m³) &amp; 펌핑 검측 ➔ 4) 원지반 검측 성과표 감리 승인</t>
        </is>
      </c>
      <c r="J22" s="156" t="inlineStr">
        <is>
          <t>유기질 표토(15~30cm) 제거전압 다짐, 원지반 K30 ≥ 70 MN/m³ 평판재하 및 덤프 펌핑 점검</t>
        </is>
      </c>
      <c r="K22" s="156" t="inlineStr">
        <is>
          <t>KCS 47 10 25 원지반 규정 | 유기질 표토(15~30cm) 제거 및 전압 다짐 | 원지반 K30 ≥ 70 MN/m³ 시험 &amp; 덤프트럭 펌핑 점검</t>
        </is>
      </c>
      <c r="L22" s="213">
        <f>HYPERLINK(LEFT(CELL("filename",A1),FIND("[",CELL("filename",A1))-1)&amp;"매뉴얼BODY(집행단계-첨부폴더)v8\4.상부강화노반\21_규준틀 설치\표준서\규준틀 설치_표준서.html", "👉 [클릭] 표준서 열기 📄")</f>
        <v/>
      </c>
      <c r="M22" s="156" t="inlineStr">
        <is>
          <t>1) 표토(15~30cm) 제거 &amp; 정전압 다짐 ➔ 2) 원지반 표고 레벨 측량 ➔ 3) K30(≥70 MN/m³) &amp; 펌핑 검측 ➔ 4) 원지반 검측 성과표 감리 승인</t>
        </is>
      </c>
      <c r="N22" s="214">
        <f>HYPERLINK(LEFT(CELL("filename",A1),FIND("[",CELL("filename",A1))-1)&amp;"매뉴얼BODY(집행단계-첨부폴더)v8\4.상부강화노반\21_규준틀 설치\수행지침\규준틀 설치_수행지침.html", "👉 [클릭] 수행지침 열기 📄")</f>
        <v/>
      </c>
      <c r="O22" s="156" t="inlineStr">
        <is>
          <t>👉 [클릭] 표준서 열기 📄</t>
        </is>
      </c>
      <c r="P22" s="215">
        <f>HYPERLINK(LEFT(CELL("filename",A1),FIND("[",CELL("filename",A1))-1)&amp;"매뉴얼BODY(집행단계-첨부폴더)v8\4.상부강화노반\21_규준틀 설치\체크리스트\규준틀 설치_체크리스트.html", "👉 [클릭] 체크리스트 열기 📄")</f>
        <v/>
      </c>
      <c r="Q22" s="156" t="inlineStr">
        <is>
          <t>👉 [클릭] 수행지침 열기 📄</t>
        </is>
      </c>
      <c r="R22" s="203" t="inlineStr">
        <is>
          <t>● 규준틀 설치 위치 및 간격 한계 기준</t>
        </is>
      </c>
      <c r="S22" s="200" t="inlineStr">
        <is>
          <t>👉 [클릭]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row>
    <row r="23" ht="52" customHeight="1" s="147">
      <c r="A23" s="204" t="inlineStr">
        <is>
          <t>9000</t>
        </is>
      </c>
      <c r="B23" s="204" t="inlineStr">
        <is>
          <t>9000-4</t>
        </is>
      </c>
      <c r="C23" s="204" t="inlineStr">
        <is>
          <t>상부강화노반</t>
        </is>
      </c>
      <c r="D23" s="204" t="inlineStr">
        <is>
          <t>9000-4-22</t>
        </is>
      </c>
      <c r="E23" s="205" t="inlineStr">
        <is>
          <t>9000-4-21</t>
        </is>
      </c>
      <c r="F23" s="205" t="inlineStr">
        <is>
          <t>9000-4-23</t>
        </is>
      </c>
      <c r="G23" s="162" t="inlineStr">
        <is>
          <t>KCS 47 10 25 하부노반 시방 | 토사 층두께 ≤ 30cm 포설 다짐 | 들밀도 다짐도 ≥ 90% (KS F 2311) &amp; K30 ≥ 90 MN/m³ 검측</t>
        </is>
      </c>
      <c r="H23" s="205" t="inlineStr">
        <is>
          <t>현장 공사팀</t>
        </is>
      </c>
      <c r="I23" s="205" t="inlineStr">
        <is>
          <t>1) 하부노반 30cm 층포설 &amp; 다짐 ➔ 2) 들밀도(≥90%) &amp; K30(≥90) 시험 ➔ 3) 마무리면 레벨 오차(±20mm) 검측 ➔ 4) 하부노반 검측서 감리 승인</t>
        </is>
      </c>
      <c r="J23" s="163" t="inlineStr">
        <is>
          <t>토사 층두께 ≤ 30cm 포설 다짐, 들밀도 다짐도 ≥ 90% (KS F 2311) 및 K30 ≥ 90 MN/m³ 검측</t>
        </is>
      </c>
      <c r="K23" s="163" t="inlineStr">
        <is>
          <t>KCS 47 10 25 하부노반 시방 | 토사 층두께 ≤ 30cm 포설 다짐 | 들밀도 다짐도 ≥ 90% (KS F 2311) &amp; K30 ≥ 90 MN/m³ 검측</t>
        </is>
      </c>
      <c r="L23" s="217">
        <f>HYPERLINK(LEFT(CELL("filename",A1),FIND("[",CELL("filename",A1))-1)&amp;"매뉴얼BODY(집행단계-첨부폴더)v8\4.상부강화노반\22_준비배수\표준서\준비배수_표준서.html", "👉 [클릭] 표준서 열기 📄")</f>
        <v/>
      </c>
      <c r="M23" s="163" t="inlineStr">
        <is>
          <t>1) 하부노반 30cm 층포설 &amp; 다짐 ➔ 2) 들밀도(≥90%) &amp; K30(≥90) 시험 ➔ 3) 마무리면 레벨 오차(±20mm) 검측 ➔ 4) 하부노반 검측서 감리 승인</t>
        </is>
      </c>
      <c r="N23" s="218">
        <f>HYPERLINK(LEFT(CELL("filename",A1),FIND("[",CELL("filename",A1))-1)&amp;"매뉴얼BODY(집행단계-첨부폴더)v8\4.상부강화노반\22_준비배수\수행지침\준비배수_수행지침.html", "👉 [클릭] 수행지침 열기 📄")</f>
        <v/>
      </c>
      <c r="O23" s="163" t="inlineStr">
        <is>
          <t>👉 [클릭] 표준서 열기 📄</t>
        </is>
      </c>
      <c r="P23" s="219">
        <f>HYPERLINK(LEFT(CELL("filename",A1),FIND("[",CELL("filename",A1))-1)&amp;"매뉴얼BODY(집행단계-첨부폴더)v8\4.상부강화노반\22_준비배수\체크리스트\준비배수_체크리스트.html", "👉 [클릭] 체크리스트 열기 📄")</f>
        <v/>
      </c>
      <c r="Q23" s="163" t="inlineStr">
        <is>
          <t>👉 [클릭] 수행지침 열기 📄</t>
        </is>
      </c>
      <c r="R23" s="208" t="inlineStr">
        <is>
          <t>● 지하수 및 지표수 유도 배수 기준</t>
        </is>
      </c>
      <c r="S23" s="205" t="inlineStr">
        <is>
          <t>👉 [클릭]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row>
    <row r="24" ht="52" customHeight="1" s="147">
      <c r="A24" s="199" t="inlineStr">
        <is>
          <t>9000</t>
        </is>
      </c>
      <c r="B24" s="199" t="inlineStr">
        <is>
          <t>9000-4</t>
        </is>
      </c>
      <c r="C24" s="199" t="inlineStr">
        <is>
          <t>상부강화노반</t>
        </is>
      </c>
      <c r="D24" s="199" t="inlineStr">
        <is>
          <t>9000-4-23</t>
        </is>
      </c>
      <c r="E24" s="200" t="inlineStr">
        <is>
          <t>9000-4-22</t>
        </is>
      </c>
      <c r="F24" s="200" t="inlineStr">
        <is>
          <t>9000-4-24</t>
        </is>
      </c>
      <c r="G24" s="155" t="inlineStr">
        <is>
          <t>KCS 47 10 25 상부노반 시방 | 토사 30cm 포설 다짐 | 맹암거 투수성 부직포(200g/m²) &amp; HDPE 유공관(Ø200mm) 매몰 검측</t>
        </is>
      </c>
      <c r="H24" s="200" t="inlineStr">
        <is>
          <t>현장 공사팀</t>
        </is>
      </c>
      <c r="I24" s="200" t="inlineStr">
        <is>
          <t>1) 상부노반 토사 30cm 포설 ➔ 2) 맹암거 부직포(200g/m²) 부설 ➔ 3) HDPE 유공관(Ø200mm) 종단 연결 ➔ 4) 상부노반 시공 감리 서면 승인</t>
        </is>
      </c>
      <c r="J24" s="156" t="inlineStr">
        <is>
          <t>상부노반 토사 30cm 포설, 맹암거 투수성 부직포(200g/m²) 및 HDPE 유공관(Ø200mm) 매몰 검측</t>
        </is>
      </c>
      <c r="K24" s="156" t="inlineStr">
        <is>
          <t>KCS 47 10 25 상부노반 시방 | 토사 30cm 포설 다짐 | 맹암거 투수성 부직포(200g/m²) &amp; HDPE 유공관(Ø200mm) 매몰 검측</t>
        </is>
      </c>
      <c r="L24" s="213">
        <f>HYPERLINK(LEFT(CELL("filename",A1),FIND("[",CELL("filename",A1))-1)&amp;"매뉴얼BODY(집행단계-첨부폴더)v8\4.상부강화노반\23_벌개제근_표토제거\표준서\벌개제근_표토제거_표준서.html", "👉 [클릭] 표준서 열기 📄")</f>
        <v/>
      </c>
      <c r="M24" s="156" t="inlineStr">
        <is>
          <t>1) 상부노반 토사 30cm 포설 ➔ 2) 맹암거 부직포(200g/m²) 부설 ➔ 3) HDPE 유공관(Ø200mm) 종단 연결 ➔ 4) 상부노반 시공 감리 서면 승인</t>
        </is>
      </c>
      <c r="N24" s="214">
        <f>HYPERLINK(LEFT(CELL("filename",A1),FIND("[",CELL("filename",A1))-1)&amp;"매뉴얼BODY(집행단계-첨부폴더)v8\4.상부강화노반\23_벌개제근_표토제거\수행지침\벌개제근_표토제거_수행지침.html", "👉 [클릭] 수행지침 열기 📄")</f>
        <v/>
      </c>
      <c r="O24" s="156" t="inlineStr">
        <is>
          <t>👉 [클릭] 표준서 열기 📄</t>
        </is>
      </c>
      <c r="P24" s="215">
        <f>HYPERLINK(LEFT(CELL("filename",A1),FIND("[",CELL("filename",A1))-1)&amp;"매뉴얼BODY(집행단계-첨부폴더)v8\4.상부강화노반\23_벌개제근_표토제거\체크리스트\벌개제근_표토제거_체크리스트.html", "👉 [클릭] 체크리스트 열기 📄")</f>
        <v/>
      </c>
      <c r="Q24" s="156" t="inlineStr">
        <is>
          <t>👉 [클릭] 수행지침 열기 📄</t>
        </is>
      </c>
      <c r="R24" s="203" t="inlineStr">
        <is>
          <t>● 제거 대상 잔재물 처리 기준</t>
        </is>
      </c>
      <c r="S24" s="200" t="inlineStr">
        <is>
          <t>👉 [클릭]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row>
    <row r="25" ht="52" customHeight="1" s="147">
      <c r="A25" s="204" t="inlineStr">
        <is>
          <t>9000</t>
        </is>
      </c>
      <c r="B25" s="204" t="inlineStr">
        <is>
          <t>9000-4</t>
        </is>
      </c>
      <c r="C25" s="204" t="inlineStr">
        <is>
          <t>상부강화노반</t>
        </is>
      </c>
      <c r="D25" s="204" t="inlineStr">
        <is>
          <t>9000-4-24</t>
        </is>
      </c>
      <c r="E25" s="205" t="inlineStr">
        <is>
          <t>9000-4-23</t>
        </is>
      </c>
      <c r="F25" s="205" t="inlineStr">
        <is>
          <t>9000-4-25</t>
        </is>
      </c>
      <c r="G25" s="162" t="inlineStr">
        <is>
          <t>KCS 47 10 25 강화노반 쇄석 시방 | 3D GPS 쇄석(50mm) 30cm 포설 | 최적함수비 OMC 살수 &amp; 강동 4회/타이어 2회 다짐 (표고 오차 ±10mm)</t>
        </is>
      </c>
      <c r="H25" s="205" t="inlineStr">
        <is>
          <t>현장 공사팀</t>
        </is>
      </c>
      <c r="I25" s="205" t="inlineStr">
        <is>
          <t>1) 3D GPS 모터그레이더 쇄석(50mm) 30cm 포설 ➔ 2) 살수차 최적함수비 OMC 살수 ➔ 3) 강동 4회 + 타이어 2회 다짐 ➔ 4) 표고 오차(±10mm) 검측 감리 승인</t>
        </is>
      </c>
      <c r="J25" s="163" t="inlineStr">
        <is>
          <t>3D GPS 쇄석(50mm) 30cm 포설, OMC 분무 살수 및 강동 4회/타이어 2회 다짐 (표고 오차 ±10mm)</t>
        </is>
      </c>
      <c r="K25" s="163" t="inlineStr">
        <is>
          <t>KCS 47 10 25 강화노반 쇄석 시방 | 3D GPS 쇄석(50mm) 30cm 포설 | 최적함수비 OMC 살수 &amp; 강동 4회/타이어 2회 다짐 (표고 오차 ±10mm)</t>
        </is>
      </c>
      <c r="L25" s="217">
        <f>HYPERLINK(LEFT(CELL("filename",A1),FIND("[",CELL("filename",A1))-1)&amp;"매뉴얼BODY(집행단계-첨부폴더)v8\4.상부강화노반\24_구조물 및 지장물 제거\표준서\구조물 및 지장물 제거_표준서.html", "👉 [클릭] 표준서 열기 📄")</f>
        <v/>
      </c>
      <c r="M25" s="163" t="inlineStr">
        <is>
          <t>1) 3D GPS 모터그레이더 쇄석(50mm) 30cm 포설 ➔ 2) 살수차 최적함수비 OMC 살수 ➔ 3) 강동 4회 + 타이어 2회 다짐 ➔ 4) 표고 오차(±10mm) 검측 감리 승인</t>
        </is>
      </c>
      <c r="N25" s="218">
        <f>HYPERLINK(LEFT(CELL("filename",A1),FIND("[",CELL("filename",A1))-1)&amp;"매뉴얼BODY(집행단계-첨부폴더)v8\4.상부강화노반\24_구조물 및 지장물 제거\수행지침\구조물 및 지장물 제거_수행지침.html", "👉 [클릭] 수행지침 열기 📄")</f>
        <v/>
      </c>
      <c r="O25" s="163" t="inlineStr">
        <is>
          <t>👉 [클릭] 표준서 열기 📄</t>
        </is>
      </c>
      <c r="P25" s="219">
        <f>HYPERLINK(LEFT(CELL("filename",A1),FIND("[",CELL("filename",A1))-1)&amp;"매뉴얼BODY(집행단계-첨부폴더)v8\4.상부강화노반\24_구조물 및 지장물 제거\체크리스트\구조물 및 지장물 제거_체크리스트.html", "👉 [클릭] 체크리스트 열기 📄")</f>
        <v/>
      </c>
      <c r="Q25" s="163" t="inlineStr">
        <is>
          <t>👉 [클릭] 수행지침 열기 📄</t>
        </is>
      </c>
      <c r="R25" s="208" t="inlineStr">
        <is>
          <t>● 지장물 철거 및 처리 규정 준수</t>
        </is>
      </c>
      <c r="S25" s="205" t="inlineStr">
        <is>
          <t>👉 [클릭] 체크리스트 열기 📄</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row>
    <row r="26" ht="52" customHeight="1" s="147">
      <c r="A26" s="199" t="inlineStr">
        <is>
          <t>9000</t>
        </is>
      </c>
      <c r="B26" s="199" t="inlineStr">
        <is>
          <t>9000-4</t>
        </is>
      </c>
      <c r="C26" s="199" t="inlineStr">
        <is>
          <t>상부강화노반</t>
        </is>
      </c>
      <c r="D26" s="199" t="inlineStr">
        <is>
          <t>9000-4-25</t>
        </is>
      </c>
      <c r="E26" s="200" t="inlineStr">
        <is>
          <t>9000-4-24</t>
        </is>
      </c>
      <c r="F26" s="200" t="inlineStr">
        <is>
          <t>9000-4-26</t>
        </is>
      </c>
      <c r="G26" s="155" t="inlineStr">
        <is>
          <t>KCS 47 10 25 다짐 검측 수칙 | 노반 들밀도 다짐도 ≥ 95% | K30 ≥ 110 MN/m³ &amp; 동적변형계수 Ev2 ≥ 60 MPa (Ev2/Ev1 ≤ 2.2) 검측</t>
        </is>
      </c>
      <c r="H26" s="200" t="inlineStr">
        <is>
          <t>현장 공사팀</t>
        </is>
      </c>
      <c r="I26" s="200" t="inlineStr">
        <is>
          <t>1) 들밀도 시험(다짐도 ≥ 95%) ➔ 2) K30 평판재하시험(≥ 110 MN/m³) ➔ 3) 동적변형계수 Ev2(≥ 60 MPa) 시험 ➔ 4) 다짐 검측 종합 보고서 승인</t>
        </is>
      </c>
      <c r="J26" s="156" t="inlineStr">
        <is>
          <t>노반 들밀도 다짐도 ≥ 95%, 평판재하 K30 ≥ 110 MN/m³ 및 동적변형계수 Ev2 ≥ 60 MPa (Ev2/Ev1 ≤ 2.2)</t>
        </is>
      </c>
      <c r="K26" s="156" t="inlineStr">
        <is>
          <t>KCS 47 10 25 다짐 검측 수칙 | 노반 들밀도 다짐도 ≥ 95% | K30 ≥ 110 MN/m³ &amp; 동적변형계수 Ev2 ≥ 60 MPa (Ev2/Ev1 ≤ 2.2) 검측</t>
        </is>
      </c>
      <c r="L26" s="213">
        <f>HYPERLINK(LEFT(CELL("filename",A1),FIND("[",CELL("filename",A1))-1)&amp;"매뉴얼BODY(집행단계-첨부폴더)v8\4.상부강화노반\25_진입로 조성\표준서\진입로 조성_표준서.html", "👉 [클릭] 표준서 열기 📄")</f>
        <v/>
      </c>
      <c r="M26" s="156" t="inlineStr">
        <is>
          <t>1) 들밀도 시험(다짐도 ≥ 95%) ➔ 2) K30 평판재하시험(≥ 110 MN/m³) ➔ 3) 동적변형계수 Ev2(≥ 60 MPa) 시험 ➔ 4) 다짐 검측 종합 보고서 승인</t>
        </is>
      </c>
      <c r="N26" s="214">
        <f>HYPERLINK(LEFT(CELL("filename",A1),FIND("[",CELL("filename",A1))-1)&amp;"매뉴얼BODY(집행단계-첨부폴더)v8\4.상부강화노반\25_진입로 조성\수행지침\진입로 조성_수행지침.html", "👉 [클릭] 수행지침 열기 📄")</f>
        <v/>
      </c>
      <c r="O26" s="156" t="inlineStr">
        <is>
          <t>👉 [클릭] 표준서 열기 📄</t>
        </is>
      </c>
      <c r="P26" s="215">
        <f>HYPERLINK(LEFT(CELL("filename",A1),FIND("[",CELL("filename",A1))-1)&amp;"매뉴얼BODY(집행단계-첨부폴더)v8\4.상부강화노반\25_진입로 조성\체크리스트\진입로 조성_체크리스트.html", "👉 [클릭] 체크리스트 열기 📄")</f>
        <v/>
      </c>
      <c r="Q26" s="156" t="inlineStr">
        <is>
          <t>👉 [클릭] 수행지침 열기 📄</t>
        </is>
      </c>
      <c r="R26" s="203" t="inlineStr">
        <is>
          <t>● 가설 도로 시공 규격 및 배수 조건 준수</t>
        </is>
      </c>
      <c r="S26" s="200" t="inlineStr">
        <is>
          <t>👉 [클릭] 체크리스트 열기 📄</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row>
    <row r="27" ht="52" customHeight="1" s="147">
      <c r="A27" s="204" t="inlineStr">
        <is>
          <t>9000</t>
        </is>
      </c>
      <c r="B27" s="204" t="inlineStr">
        <is>
          <t>9000-4</t>
        </is>
      </c>
      <c r="C27" s="204" t="inlineStr">
        <is>
          <t>상부강화노반</t>
        </is>
      </c>
      <c r="D27" s="204" t="inlineStr">
        <is>
          <t>9000-4-26</t>
        </is>
      </c>
      <c r="E27" s="205" t="inlineStr">
        <is>
          <t>9000-4-25</t>
        </is>
      </c>
      <c r="F27" s="205" t="inlineStr">
        <is>
          <t>9000-4-27</t>
        </is>
      </c>
      <c r="G27" s="162" t="inlineStr">
        <is>
          <t>KS F 2310 규정 준수 | Ø300mm 재하판 산모래 밀착 및 15t 유압 잭 하중 재하 | 1.25mm 침하 P-S 곡선 산출 K30 ≥ 110 MN/m³ 성적서</t>
        </is>
      </c>
      <c r="H27" s="205" t="inlineStr">
        <is>
          <t>현장 공사팀</t>
        </is>
      </c>
      <c r="I27" s="205" t="inlineStr">
        <is>
          <t>1) Ø300mm 재하판 산모래 밀착 ➔ 2) 15t 유압 잭 &amp; 다이얼 게이지 교정 ➔ 3) 1.25mm 침하 P-S 곡선 산출 ➔ 4) K30 ≥ 110 MN/m³ 성적서 승인</t>
        </is>
      </c>
      <c r="J27" s="163" t="inlineStr">
        <is>
          <t>Ø300mm 재하판 산모래 밀착, 15t 유압 잭 재하 및 1.25mm 침하 P-S 곡선 K30 ≥ 110 MN/m³ 성적서</t>
        </is>
      </c>
      <c r="K27" s="163" t="inlineStr">
        <is>
          <t>KS F 2310 규정 준수 | Ø300mm 재하판 산모래 밀착 및 15t 유압 잭 하중 재하 | 1.25mm 침하 P-S 곡선 산출 K30 ≥ 110 MN/m³ 성적서</t>
        </is>
      </c>
      <c r="L27" s="217">
        <f>HYPERLINK(LEFT(CELL("filename",A1),FIND("[",CELL("filename",A1))-1)&amp;"매뉴얼BODY(집행단계-첨부폴더)v8\4.상부강화노반\26_노반쌓기\표준서\노반쌓기_표준서.html", "👉 [클릭] 표준서 열기 📄")</f>
        <v/>
      </c>
      <c r="M27" s="163" t="inlineStr">
        <is>
          <t>1) Ø300mm 재하판 산모래 밀착 ➔ 2) 15t 유압 잭 &amp; 다이얼 게이지 교정 ➔ 3) 1.25mm 침하 P-S 곡선 산출 ➔ 4) K30 ≥ 110 MN/m³ 성적서 승인</t>
        </is>
      </c>
      <c r="N27" s="218">
        <f>HYPERLINK(LEFT(CELL("filename",A1),FIND("[",CELL("filename",A1))-1)&amp;"매뉴얼BODY(집행단계-첨부폴더)v8\4.상부강화노반\26_노반쌓기\수행지침\노반쌓기_수행지침.html", "👉 [클릭] 수행지침 열기 📄")</f>
        <v/>
      </c>
      <c r="O27" s="163" t="inlineStr">
        <is>
          <t>👉 [클릭] 표준서 열기 📄</t>
        </is>
      </c>
      <c r="P27" s="219">
        <f>HYPERLINK(LEFT(CELL("filename",A1),FIND("[",CELL("filename",A1))-1)&amp;"매뉴얼BODY(집행단계-첨부폴더)v8\4.상부강화노반\26_노반쌓기\체크리스트\노반쌓기_체크리스트.html", "👉 [클릭] 체크리스트 열기 📄")</f>
        <v/>
      </c>
      <c r="Q27" s="163" t="inlineStr">
        <is>
          <t>👉 [클릭] 수행지침 열기 📄</t>
        </is>
      </c>
      <c r="R27" s="208" t="inlineStr">
        <is>
          <t>● 다짐도 및 층두께 규격 준수</t>
        </is>
      </c>
      <c r="S27" s="205" t="inlineStr">
        <is>
          <t>👉 [클릭] 체크리스트 열기 📄</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row>
    <row r="28" ht="52" customHeight="1" s="147">
      <c r="A28" s="199" t="inlineStr">
        <is>
          <t>9000</t>
        </is>
      </c>
      <c r="B28" s="199" t="inlineStr">
        <is>
          <t>9000-4</t>
        </is>
      </c>
      <c r="C28" s="199" t="inlineStr">
        <is>
          <t>상부강화노반</t>
        </is>
      </c>
      <c r="D28" s="199" t="inlineStr">
        <is>
          <t>9000-4-27</t>
        </is>
      </c>
      <c r="E28" s="200" t="inlineStr">
        <is>
          <t>9000-4-26</t>
        </is>
      </c>
      <c r="F28" s="200" t="inlineStr">
        <is>
          <t>9000-4-28</t>
        </is>
      </c>
      <c r="G28" s="155" t="inlineStr">
        <is>
          <t>DIN 18134 규정 준수 | LWD 동적 평판재하시험 1,000m²당 1회 | 2차 변형계수 Ev2 ≥ 60 MPa &amp; 변형계수 비율 Ev2/Ev1 ≤ 2.2 검측</t>
        </is>
      </c>
      <c r="H28" s="200" t="inlineStr">
        <is>
          <t>현장 공사팀</t>
        </is>
      </c>
      <c r="I28" s="200" t="inlineStr">
        <is>
          <t>1) LWD 동적 평판재하시험기 교정 ➔ 2) 1,000m²당 1회 무작위 시험 ➔ 3) 1차/2차 하중 재하 Ev2/Ev1 산출 ➔ 4) Ev2 ≥ 60 MPa 성적서 감리 승인</t>
        </is>
      </c>
      <c r="J28" s="156" t="inlineStr">
        <is>
          <t>LWD 동적 평판재하시험 1,000m²당 1회, 2차 변형계수 Ev2 ≥ 60 MPa 및 비율 Ev2/Ev1 ≤ 2.2 검측</t>
        </is>
      </c>
      <c r="K28" s="156" t="inlineStr">
        <is>
          <t>DIN 18134 규정 준수 | LWD 동적 평판재하시험 1,000m²당 1회 | 2차 변형계수 Ev2 ≥ 60 MPa &amp; 변형계수 비율 Ev2/Ev1 ≤ 2.2 검측</t>
        </is>
      </c>
      <c r="L28" s="213">
        <f>HYPERLINK(LEFT(CELL("filename",A1),FIND("[",CELL("filename",A1))-1)&amp;"매뉴얼BODY(집행단계-첨부폴더)v8\4.상부강화노반\27_하부노반 시공\표준서\하부노반 시공_표준서.html", "👉 [클릭] 표준서 열기 📄")</f>
        <v/>
      </c>
      <c r="M28" s="156" t="inlineStr">
        <is>
          <t>1) LWD 동적 평판재하시험기 교정 ➔ 2) 1,000m²당 1회 무작위 시험 ➔ 3) 1차/2차 하중 재하 Ev2/Ev1 산출 ➔ 4) Ev2 ≥ 60 MPa 성적서 감리 승인</t>
        </is>
      </c>
      <c r="N28" s="214">
        <f>HYPERLINK(LEFT(CELL("filename",A1),FIND("[",CELL("filename",A1))-1)&amp;"매뉴얼BODY(집행단계-첨부폴더)v8\4.상부강화노반\27_하부노반 시공\수행지침\하부노반 시공_수행지침.html", "👉 [클릭] 수행지침 열기 📄")</f>
        <v/>
      </c>
      <c r="O28" s="156" t="inlineStr">
        <is>
          <t>👉 [클릭] 표준서 열기 📄</t>
        </is>
      </c>
      <c r="P28" s="215">
        <f>HYPERLINK(LEFT(CELL("filename",A1),FIND("[",CELL("filename",A1))-1)&amp;"매뉴얼BODY(집행단계-첨부폴더)v8\4.상부강화노반\27_하부노반 시공\체크리스트\하부노반 시공_체크리스트.html", "👉 [클릭] 체크리스트 열기 📄")</f>
        <v/>
      </c>
      <c r="Q28" s="156" t="inlineStr">
        <is>
          <t>👉 [클릭] 수행지침 열기 📄</t>
        </is>
      </c>
      <c r="R28" s="203" t="inlineStr">
        <is>
          <t>● 하부노반 재료 규격 및 최대 입경 준수</t>
        </is>
      </c>
      <c r="S28" s="200" t="inlineStr">
        <is>
          <t>👉 [클릭] 체크리스트 열기 📄</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row>
    <row r="29" ht="52" customHeight="1" s="147">
      <c r="A29" s="204" t="inlineStr">
        <is>
          <t>9000</t>
        </is>
      </c>
      <c r="B29" s="204" t="inlineStr">
        <is>
          <t>9000-4</t>
        </is>
      </c>
      <c r="C29" s="204" t="inlineStr">
        <is>
          <t>상부강화노반</t>
        </is>
      </c>
      <c r="D29" s="204" t="inlineStr">
        <is>
          <t>9000-4-28</t>
        </is>
      </c>
      <c r="E29" s="205" t="inlineStr">
        <is>
          <t>9000-4-27</t>
        </is>
      </c>
      <c r="F29" s="205" t="inlineStr">
        <is>
          <t>9000-4-29</t>
        </is>
      </c>
      <c r="G29" s="162" t="inlineStr">
        <is>
          <t>KCS 47 10 25 평탄성 수칙 | 3m 알루미늄 직선자 20m 간격 연속 측정 | 최대 갭 오차 ±10mm 이내 통제 &amp; 요철 부위 삭평 재다짐</t>
        </is>
      </c>
      <c r="H29" s="205" t="inlineStr">
        <is>
          <t>현장 공사팀</t>
        </is>
      </c>
      <c r="I29" s="205" t="inlineStr">
        <is>
          <t>1) 3m 알루미늄 직선자 교정 ➔ 2) 20m 간격 종횡단 연속 검측 ➔ 3) 갭 오차(±10mm) 요철 삭평/재다짐 ➔ 4) 평탄성 검측 성과표 감리 승인</t>
        </is>
      </c>
      <c r="J29" s="163" t="inlineStr">
        <is>
          <t>3m 알루미늄 직선자 20m 간격 연속 측정, 최대 갭 오차 ±10mm 이내 통제 및 요철 삭평/재다짐</t>
        </is>
      </c>
      <c r="K29" s="163" t="inlineStr">
        <is>
          <t>KCS 47 10 25 평탄성 수칙 | 3m 알루미늄 직선자 20m 간격 연속 측정 | 최대 갭 오차 ±10mm 이내 통제 &amp; 요철 부위 삭평 재다짐</t>
        </is>
      </c>
      <c r="L29" s="217">
        <f>HYPERLINK(LEFT(CELL("filename",A1),FIND("[",CELL("filename",A1))-1)&amp;"매뉴얼BODY(집행단계-첨부폴더)v8\4.상부강화노반\28_상부노반 시공\표준서\상부노반 시공_표준서.html", "👉 [클릭] 표준서 열기 📄")</f>
        <v/>
      </c>
      <c r="M29" s="163" t="inlineStr">
        <is>
          <t>1) 3m 알루미늄 직선자 교정 ➔ 2) 20m 간격 종횡단 연속 검측 ➔ 3) 갭 오차(±10mm) 요철 삭평/재다짐 ➔ 4) 평탄성 검측 성과표 감리 승인</t>
        </is>
      </c>
      <c r="N29" s="218">
        <f>HYPERLINK(LEFT(CELL("filename",A1),FIND("[",CELL("filename",A1))-1)&amp;"매뉴얼BODY(집행단계-첨부폴더)v8\4.상부강화노반\28_상부노반 시공\수행지침\상부노반 시공_수행지침.html", "👉 [클릭] 수행지침 열기 📄")</f>
        <v/>
      </c>
      <c r="O29" s="163" t="inlineStr">
        <is>
          <t>👉 [클릭] 표준서 열기 📄</t>
        </is>
      </c>
      <c r="P29" s="219">
        <f>HYPERLINK(LEFT(CELL("filename",A1),FIND("[",CELL("filename",A1))-1)&amp;"매뉴얼BODY(집행단계-첨부폴더)v8\4.상부강화노반\28_상부노반 시공\체크리스트\상부노반 시공_체크리스트.html", "👉 [클릭] 체크리스트 열기 📄")</f>
        <v/>
      </c>
      <c r="Q29" s="163" t="inlineStr">
        <is>
          <t>👉 [클릭] 수행지침 열기 📄</t>
        </is>
      </c>
      <c r="R29" s="208" t="inlineStr">
        <is>
          <t>● 상부노반 재료 규격 및 다짐 기준 만족</t>
        </is>
      </c>
      <c r="S29" s="205" t="inlineStr">
        <is>
          <t>👉 [클릭] 체크리스트 열기 📄</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row>
    <row r="30" ht="52" customHeight="1" s="147">
      <c r="A30" s="199" t="inlineStr">
        <is>
          <t>9000</t>
        </is>
      </c>
      <c r="B30" s="199" t="inlineStr">
        <is>
          <t>9000-4</t>
        </is>
      </c>
      <c r="C30" s="199" t="inlineStr">
        <is>
          <t>상부강화노반</t>
        </is>
      </c>
      <c r="D30" s="199" t="inlineStr">
        <is>
          <t>9000-4-29</t>
        </is>
      </c>
      <c r="E30" s="200" t="inlineStr">
        <is>
          <t>9000-4-28</t>
        </is>
      </c>
      <c r="F30" s="200" t="inlineStr">
        <is>
          <t>9000-4-30</t>
        </is>
      </c>
      <c r="G30" s="155" t="inlineStr">
        <is>
          <t>KCS 47 10 25 측량 지침 | GRS80 광학 토탈스테이션 10m 간격 연속 측량 | 중심선(X,Y) 및 표고(Z) 오차 ±10mm 3D BIM 검측</t>
        </is>
      </c>
      <c r="H30" s="200" t="inlineStr">
        <is>
          <t>현장 공사팀</t>
        </is>
      </c>
      <c r="I30" s="200" t="inlineStr">
        <is>
          <t>1) GRS80 토탈스테이션 정밀 세팅 ➔ 2) 10m 간격 중심선 &amp; 표고 실측 ➔ 3) 3D BIM CAD 좌표(오차 ±10mm) 대조 ➔ 4) 종횡단 성과표 감리 승인</t>
        </is>
      </c>
      <c r="J30" s="156" t="inlineStr">
        <is>
          <t>GRS80 광학 토탈스테이션 10m 간격 측정, 궤도 중심선(X,Y) 및 표고(Z) 오차 ±10mm 3D BIM 검측</t>
        </is>
      </c>
      <c r="K30" s="156" t="inlineStr">
        <is>
          <t>KCS 47 10 25 측량 지침 | GRS80 광학 토탈스테이션 10m 간격 연속 측량 | 중심선(X,Y) 및 표고(Z) 오차 ±10mm 3D BIM 검측</t>
        </is>
      </c>
      <c r="L30" s="213">
        <f>HYPERLINK(LEFT(CELL("filename",A1),FIND("[",CELL("filename",A1))-1)&amp;"매뉴얼BODY(집행단계-첨부폴더)v8\4.상부강화노반\29_강화노반 시공\표준서\강화노반 시공_표준서.html", "👉 [클릭] 표준서 열기 📄")</f>
        <v/>
      </c>
      <c r="M30" s="156" t="inlineStr">
        <is>
          <t>1) GRS80 토탈스테이션 정밀 세팅 ➔ 2) 10m 간격 중심선 &amp; 표고 실측 ➔ 3) 3D BIM CAD 좌표(오차 ±10mm) 대조 ➔ 4) 종횡단 성과표 감리 승인</t>
        </is>
      </c>
      <c r="N30" s="214">
        <f>HYPERLINK(LEFT(CELL("filename",A1),FIND("[",CELL("filename",A1))-1)&amp;"매뉴얼BODY(집행단계-첨부폴더)v8\4.상부강화노반\29_강화노반 시공\수행지침\강화노반 시공_수행지침.html", "👉 [클릭] 수행지침 열기 📄")</f>
        <v/>
      </c>
      <c r="O30" s="156" t="inlineStr">
        <is>
          <t>👉 [클릭] 표준서 열기 📄</t>
        </is>
      </c>
      <c r="P30" s="215">
        <f>HYPERLINK(LEFT(CELL("filename",A1),FIND("[",CELL("filename",A1))-1)&amp;"매뉴얼BODY(집행단계-첨부폴더)v8\4.상부강화노반\29_강화노반 시공\체크리스트\강화노반 시공_체크리스트.html", "👉 [클릭] 체크리스트 열기 📄")</f>
        <v/>
      </c>
      <c r="Q30" s="156" t="inlineStr">
        <is>
          <t>👉 [클릭] 수행지침 열기 📄</t>
        </is>
      </c>
      <c r="R30" s="203" t="inlineStr">
        <is>
          <t>● 입도조정 쇄석 품질 및 다짐도(98% 이상) 준수</t>
        </is>
      </c>
      <c r="S30" s="200" t="inlineStr">
        <is>
          <t>👉 [클릭] 체크리스트 열기 📄</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row>
    <row r="31" ht="52" customHeight="1" s="147">
      <c r="A31" s="204" t="inlineStr">
        <is>
          <t>9000</t>
        </is>
      </c>
      <c r="B31" s="204" t="inlineStr">
        <is>
          <t>9000-4</t>
        </is>
      </c>
      <c r="C31" s="204" t="inlineStr">
        <is>
          <t>상부강화노반</t>
        </is>
      </c>
      <c r="D31" s="204" t="inlineStr">
        <is>
          <t>9000-4-30</t>
        </is>
      </c>
      <c r="E31" s="205" t="inlineStr">
        <is>
          <t>9000-4-29</t>
        </is>
      </c>
      <c r="F31" s="205" t="inlineStr">
        <is>
          <t>9000-4-31</t>
        </is>
      </c>
      <c r="G31" s="162" t="inlineStr">
        <is>
          <t>건진법 NCR 조치 절차 | 감리단 부적합 통지서 수령 후 표면 15cm 파쇄 | OMC 살수 재다짐 및 1:1 재검측 NCR 서면 종결 승인</t>
        </is>
      </c>
      <c r="H31" s="205" t="inlineStr">
        <is>
          <t>현장 공사팀</t>
        </is>
      </c>
      <c r="I31" s="205" t="inlineStr">
        <is>
          <t>1) 감리단 NCR 통지서 수령 ➔ 2) 해당 구역 표면 15cm 파쇄 &amp; OMC 재다짐 ➔ 3) 1:1 재검측(다짐도/K30/Ev2) ➔ 4) NCR 조치 결과 보고서 감리 종결 승인</t>
        </is>
      </c>
      <c r="J31" s="163" t="inlineStr">
        <is>
          <t>감리단 부적합(NCR) 수령 후 해당 구역 표면 15cm 파쇄, OMC 살수 재다짐 및 1:1 재검측 서면 종결</t>
        </is>
      </c>
      <c r="K31" s="163" t="inlineStr">
        <is>
          <t>건진법 NCR 조치 절차 | 감리단 부적합 통지서 수령 후 표면 15cm 파쇄 | OMC 살수 재다짐 및 1:1 재검측 NCR 서면 종결 승인</t>
        </is>
      </c>
      <c r="L31" s="217">
        <f>HYPERLINK(LEFT(CELL("filename",A1),FIND("[",CELL("filename",A1))-1)&amp;"매뉴얼BODY(집행단계-첨부폴더)v8\4.상부강화노반\30_토공 유동운반_사토\표준서\토공 유동운반_사토_표준서.html", "👉 [클릭] 표준서 열기 📄")</f>
        <v/>
      </c>
      <c r="M31" s="163" t="inlineStr">
        <is>
          <t>1) 감리단 NCR 통지서 수령 ➔ 2) 해당 구역 표면 15cm 파쇄 &amp; OMC 재다짐 ➔ 3) 1:1 재검측(다짐도/K30/Ev2) ➔ 4) NCR 조치 결과 보고서 감리 종결 승인</t>
        </is>
      </c>
      <c r="N31" s="218">
        <f>HYPERLINK(LEFT(CELL("filename",A1),FIND("[",CELL("filename",A1))-1)&amp;"매뉴얼BODY(집행단계-첨부폴더)v8\4.상부강화노반\30_토공 유동운반_사토\수행지침\토공 유동운반_사토_수행지침.html", "👉 [클릭] 수행지침 열기 📄")</f>
        <v/>
      </c>
      <c r="O31" s="163" t="inlineStr">
        <is>
          <t>👉 [클릭] 표준서 열기 📄</t>
        </is>
      </c>
      <c r="P31" s="219">
        <f>HYPERLINK(LEFT(CELL("filename",A1),FIND("[",CELL("filename",A1))-1)&amp;"매뉴얼BODY(집행단계-첨부폴더)v8\4.상부강화노반\30_토공 유동운반_사토\체크리스트\토공 유동운반_사토_체크리스트.html", "👉 [클릭] 체크리스트 열기 📄")</f>
        <v/>
      </c>
      <c r="Q31" s="163" t="inlineStr">
        <is>
          <t>👉 [클릭] 수행지침 열기 📄</t>
        </is>
      </c>
      <c r="R31" s="208" t="inlineStr">
        <is>
          <t>● 사토장 운영 및 토량 배분 지침 준수</t>
        </is>
      </c>
      <c r="S31" s="205" t="inlineStr">
        <is>
          <t>👉 [클릭] 체크리스트 열기 📄</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row>
    <row r="32" ht="52" customHeight="1" s="147">
      <c r="A32" s="199" t="inlineStr">
        <is>
          <t>9000</t>
        </is>
      </c>
      <c r="B32" s="199" t="inlineStr">
        <is>
          <t>9000-4</t>
        </is>
      </c>
      <c r="C32" s="199" t="inlineStr">
        <is>
          <t>상부강화노반</t>
        </is>
      </c>
      <c r="D32" s="199" t="inlineStr">
        <is>
          <t>9000-4-31</t>
        </is>
      </c>
      <c r="E32" s="200" t="inlineStr">
        <is>
          <t>9000-4-30</t>
        </is>
      </c>
      <c r="F32" s="200" t="inlineStr">
        <is>
          <t>9000-4-32</t>
        </is>
      </c>
      <c r="G32" s="155" t="inlineStr">
        <is>
          <t>KCS 47 10 25 성토 사면 수칙 | 사면 비탈면 경사(1:1.5 이하) 측량 | 사면 다짐도 ≥ 90% 검측 &amp; 식생 거적 덮개(Jute Mat) 부설</t>
        </is>
      </c>
      <c r="H32" s="200" t="inlineStr">
        <is>
          <t>현장 공사팀</t>
        </is>
      </c>
      <c r="I32" s="200" t="inlineStr">
        <is>
          <t>1) 성토 사면 경사(1:1.5 이하) 측량 ➔ 2) 사면 다짐도(≥ 90%) 검측 ➔ 3) 식생 거적(Jute Mat) 30cm 겹침 부설 ➔ 4) 사면 다짐 성과표 감리 승인</t>
        </is>
      </c>
      <c r="J32" s="156" t="inlineStr">
        <is>
          <t>성토 사면 비탈면 경사(1:1.5 이하) 측량, 사면 다짐도 ≥ 90% 검측 및 식생 거적(Jute Mat) 부설</t>
        </is>
      </c>
      <c r="K32" s="156" t="inlineStr">
        <is>
          <t>KCS 47 10 25 성토 사면 수칙 | 사면 비탈면 경사(1:1.5 이하) 측량 | 사면 다짐도 ≥ 90% 검측 &amp; 식생 거적 덮개(Jute Mat) 부설</t>
        </is>
      </c>
      <c r="L32" s="213">
        <f>HYPERLINK(LEFT(CELL("filename",A1),FIND("[",CELL("filename",A1))-1)&amp;"매뉴얼BODY(집행단계-첨부폴더)v8\4.상부강화노반\31_연약지반처리(필요시)\표준서\연약지반처리_표준서.html", "👉 [클릭] 표준서 열기 📄")</f>
        <v/>
      </c>
      <c r="M32" s="156" t="inlineStr">
        <is>
          <t>1) 성토 사면 경사(1:1.5 이하) 측량 ➔ 2) 사면 다짐도(≥ 90%) 검측 ➔ 3) 식생 거적(Jute Mat) 30cm 겹침 부설 ➔ 4) 사면 다짐 성과표 감리 승인</t>
        </is>
      </c>
      <c r="N32" s="214">
        <f>HYPERLINK(LEFT(CELL("filename",A1),FIND("[",CELL("filename",A1))-1)&amp;"매뉴얼BODY(집행단계-첨부폴더)v8\4.상부강화노반\31_연약지반처리(필요시)\수행지침\연약지반처리_수행지침.html", "👉 [클릭] 수행지침 열기 📄")</f>
        <v/>
      </c>
      <c r="O32" s="156" t="inlineStr">
        <is>
          <t>👉 [클릭] 표준서 열기 📄</t>
        </is>
      </c>
      <c r="P32" s="215">
        <f>HYPERLINK(LEFT(CELL("filename",A1),FIND("[",CELL("filename",A1))-1)&amp;"매뉴얼BODY(집행단계-첨부폴더)v8\4.상부강화노반\31_연약지반처리(필요시)\체크리스트\연약지반처리_체크리스트.html", "👉 [클릭] 체크리스트 열기 📄")</f>
        <v/>
      </c>
      <c r="Q32" s="156" t="inlineStr">
        <is>
          <t>👉 [클릭] 수행지침 열기 📄</t>
        </is>
      </c>
      <c r="R32" s="203" t="inlineStr">
        <is>
          <t>● 개량 공법 규격 및 침하량 관리 기준 준수</t>
        </is>
      </c>
      <c r="S32" s="200" t="inlineStr">
        <is>
          <t>👉 [클릭] 체크리스트 열기 📄</t>
        </is>
      </c>
      <c r="T32" s="216"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row>
    <row r="33" ht="52" customHeight="1" s="147">
      <c r="A33" s="204" t="inlineStr">
        <is>
          <t>9000</t>
        </is>
      </c>
      <c r="B33" s="204" t="inlineStr">
        <is>
          <t>9000-4</t>
        </is>
      </c>
      <c r="C33" s="204" t="inlineStr">
        <is>
          <t>상부강화노반</t>
        </is>
      </c>
      <c r="D33" s="204" t="inlineStr">
        <is>
          <t>9000-4-32</t>
        </is>
      </c>
      <c r="E33" s="205" t="inlineStr">
        <is>
          <t>9000-4-31</t>
        </is>
      </c>
      <c r="F33" s="205" t="inlineStr">
        <is>
          <t>9000-4-33</t>
        </is>
      </c>
      <c r="G33" s="162" t="inlineStr">
        <is>
          <t>KCS 47 10 25 노반 배수 시방 | U형 측구(0.4×0.4m, 버림 10cm) 부설 | 집수정 인버트 모타르 사춤, 주철 그레이팅 체결 &amp; 담수 시험</t>
        </is>
      </c>
      <c r="H33" s="205" t="inlineStr">
        <is>
          <t>현장 공사팀</t>
        </is>
      </c>
      <c r="I33" s="205" t="inlineStr">
        <is>
          <t>1) U형 측구 기초 버림(10cm) 타설 ➔ 2) U형 측구(0.4×0.4m) 부설 &amp; 인버트 사춤 ➔ 3) 주철 그레이팅 체결 &amp; 담수 시험 ➔ 4) 배수시설 검측서 감리 승인</t>
        </is>
      </c>
      <c r="J33" s="163" t="inlineStr">
        <is>
          <t>U형 측구(0.4×0.4m, 버림 10cm) 부설, 집수정 인버트 모타르 사춤 및 주철 그레이팅 체결/담수 시험</t>
        </is>
      </c>
      <c r="K33" s="163" t="inlineStr">
        <is>
          <t>KCS 47 10 25 노반 배수 시방 | U형 측구(0.4×0.4m, 버림 10cm) 부설 | 집수정 인버트 모타르 사춤, 주철 그레이팅 체결 &amp; 담수 시험</t>
        </is>
      </c>
      <c r="L33" s="217">
        <f>HYPERLINK(LEFT(CELL("filename",A1),FIND("[",CELL("filename",A1))-1)&amp;"매뉴얼BODY(집행단계-첨부폴더)v8\4.상부강화노반\32_절성토경계부 배수구조물(맹암거) 시공\표준서\절성토경계부 배수구조물 시공_표준서.html", "👉 [클릭] 표준서 열기 📄")</f>
        <v/>
      </c>
      <c r="M33" s="163" t="inlineStr">
        <is>
          <t>1) U형 측구 기초 버림(10cm) 타설 ➔ 2) U형 측구(0.4×0.4m) 부설 &amp; 인버트 사춤 ➔ 3) 주철 그레이팅 체결 &amp; 담수 시험 ➔ 4) 배수시설 검측서 감리 승인</t>
        </is>
      </c>
      <c r="N33" s="218">
        <f>HYPERLINK(LEFT(CELL("filename",A1),FIND("[",CELL("filename",A1))-1)&amp;"매뉴얼BODY(집행단계-첨부폴더)v8\4.상부강화노반\32_절성토경계부 배수구조물(맹암거) 시공\수행지침\절성토경계부 배수구조물 시공_수행지침.html", "👉 [클릭] 수행지침 열기 📄")</f>
        <v/>
      </c>
      <c r="O33" s="163" t="inlineStr">
        <is>
          <t>👉 [클릭] 표준서 열기 📄</t>
        </is>
      </c>
      <c r="P33" s="219">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s="163" t="inlineStr">
        <is>
          <t>👉 [클릭] 수행지침 열기 📄</t>
        </is>
      </c>
      <c r="R33" s="208" t="inlineStr">
        <is>
          <t>● 맹암거 구배 및 필터재료 규격 준수</t>
        </is>
      </c>
      <c r="S33" s="205" t="inlineStr">
        <is>
          <t>👉 [클릭] 체크리스트 열기 📄</t>
        </is>
      </c>
      <c r="T33" s="216"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row>
    <row r="34" ht="52" customHeight="1" s="147">
      <c r="A34" s="199" t="inlineStr">
        <is>
          <t>9000</t>
        </is>
      </c>
      <c r="B34" s="199" t="inlineStr">
        <is>
          <t>9000-4</t>
        </is>
      </c>
      <c r="C34" s="199" t="inlineStr">
        <is>
          <t>상부강화노반</t>
        </is>
      </c>
      <c r="D34" s="199" t="inlineStr">
        <is>
          <t>9000-4-33</t>
        </is>
      </c>
      <c r="E34" s="200" t="inlineStr">
        <is>
          <t>9000-4-32</t>
        </is>
      </c>
      <c r="F34" s="200" t="inlineStr">
        <is>
          <t>9000-4-34</t>
        </is>
      </c>
      <c r="G34" s="155" t="inlineStr">
        <is>
          <t>KCS 47 10 25 완성면 관리 규정 | 통제 바리케이트(중장비 진입 100% 차단) | 미세 분무 살수(골재이탈 예방) &amp; 완성면 보호 대장 작성</t>
        </is>
      </c>
      <c r="H34" s="200" t="inlineStr">
        <is>
          <t>현장 공사팀</t>
        </is>
      </c>
      <c r="I34" s="200" t="inlineStr">
        <is>
          <t>1) 완성면 통제 바리케이트 설치 ➔ 2) 미세 분무 살수 &amp; 비닐 덮개 야적 ➔ 3) 일일 완성면 훼손 점검 ➔ 4) 완성면 보호 점검 대장 감리 승인</t>
        </is>
      </c>
      <c r="J34" s="156" t="inlineStr">
        <is>
          <t>통제 바리케이트(중장비 진입 100% 차단), 미세 분무 살수(골재이탈 예방) 및 완성면 보호 대장 작성</t>
        </is>
      </c>
      <c r="K34" s="156" t="inlineStr">
        <is>
          <t>KCS 47 10 25 완성면 관리 규정 | 통제 바리케이트(중장비 진입 100% 차단) | 미세 분무 살수(골재이탈 예방) &amp; 완성면 보호 대장 작성</t>
        </is>
      </c>
      <c r="L34" s="213">
        <f>HYPERLINK(LEFT(CELL("filename",A1),FIND("[",CELL("filename",A1))-1)&amp;"매뉴얼BODY(집행단계-첨부폴더)v8\4.상부강화노반\33_암석쌓기\표준서\암석쌓기_표준서.html", "👉 [클릭] 표준서 열기 📄")</f>
        <v/>
      </c>
      <c r="M34" s="156" t="inlineStr">
        <is>
          <t>1) 완성면 통제 바리케이트 설치 ➔ 2) 미세 분무 살수 &amp; 비닐 덮개 야적 ➔ 3) 일일 완성면 훼손 점검 ➔ 4) 완성면 보호 점검 대장 감리 승인</t>
        </is>
      </c>
      <c r="N34" s="214">
        <f>HYPERLINK(LEFT(CELL("filename",A1),FIND("[",CELL("filename",A1))-1)&amp;"매뉴얼BODY(집행단계-첨부폴더)v8\4.상부강화노반\33_암석쌓기\수행지침\암석쌓기_수행지침.html", "👉 [클릭] 수행지침 열기 📄")</f>
        <v/>
      </c>
      <c r="O34" s="156" t="inlineStr">
        <is>
          <t>👉 [클릭] 표준서 열기 📄</t>
        </is>
      </c>
      <c r="P34" s="215">
        <f>HYPERLINK(LEFT(CELL("filename",A1),FIND("[",CELL("filename",A1))-1)&amp;"매뉴얼BODY(집행단계-첨부폴더)v8\4.상부강화노반\33_암석쌓기\체크리스트\암석쌓기_체크리스트.html", "👉 [클릭] 체크리스트 열기 📄")</f>
        <v/>
      </c>
      <c r="Q34" s="156" t="inlineStr">
        <is>
          <t>👉 [클릭] 수행지침 열기 📄</t>
        </is>
      </c>
      <c r="R34" s="203" t="inlineStr">
        <is>
          <t>● 암석 최대 치수 및 공극 충전 공법 준수</t>
        </is>
      </c>
      <c r="S34" s="200" t="inlineStr">
        <is>
          <t>👉 [클릭] 체크리스트 열기 📄</t>
        </is>
      </c>
      <c r="T34" s="216"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row>
    <row r="35" ht="52" customHeight="1" s="147">
      <c r="A35" s="204" t="inlineStr">
        <is>
          <t>9000</t>
        </is>
      </c>
      <c r="B35" s="204" t="inlineStr">
        <is>
          <t>9000-4</t>
        </is>
      </c>
      <c r="C35" s="204" t="inlineStr">
        <is>
          <t>상부강화노반</t>
        </is>
      </c>
      <c r="D35" s="204" t="inlineStr">
        <is>
          <t>9000-4-34</t>
        </is>
      </c>
      <c r="E35" s="205" t="inlineStr">
        <is>
          <t>9000-4-33</t>
        </is>
      </c>
      <c r="F35" s="205" t="inlineStr">
        <is>
          <t>9000-4-35</t>
        </is>
      </c>
      <c r="G35" s="162" t="inlineStr">
        <is>
          <t>건진법 시행규칙 공사기록 | 일일 투입 인원, 장비, 성토 물량(m³) 정밀 집계 | CSI 건설공사 관리 시스템 전산 등록 &amp; 감리 일일 직인</t>
        </is>
      </c>
      <c r="H35" s="205" t="inlineStr">
        <is>
          <t>현장 공사팀</t>
        </is>
      </c>
      <c r="I35" s="205" t="inlineStr">
        <is>
          <t>1) 일일 인원/장비/물량 집계 ➔ 2) 품질 시험 성적 &amp; TBM 수록 ➔ 3) CSI 전산 시스템 등록 ➔ 4) 책임감리원 일일 서면 직인 결재</t>
        </is>
      </c>
      <c r="J35" s="163" t="inlineStr">
        <is>
          <t>일일 투입 인원/장비/성토 물량(m³) 집계, CSI 전산 관리 시스템 등록 및 감리 일일 서면 직인</t>
        </is>
      </c>
      <c r="K35" s="163" t="inlineStr">
        <is>
          <t>건진법 시행규칙 공사기록 | 일일 투입 인원, 장비, 성토 물량(m³) 정밀 집계 | CSI 건설공사 관리 시스템 전산 등록 &amp; 감리 일일 직인</t>
        </is>
      </c>
      <c r="L35" s="217">
        <f>HYPERLINK(LEFT(CELL("filename",A1),FIND("[",CELL("filename",A1))-1)&amp;"매뉴얼BODY(집행단계-첨부폴더)v8\4.상부강화노반\34_방치기간 확보\표준서\방치기간 확보_표준서.html", "👉 [클릭] 표준서 열기 📄")</f>
        <v/>
      </c>
      <c r="M35" s="163" t="inlineStr">
        <is>
          <t>1) 일일 인원/장비/물량 집계 ➔ 2) 품질 시험 성적 &amp; TBM 수록 ➔ 3) CSI 전산 시스템 등록 ➔ 4) 책임감리원 일일 서면 직인 결재</t>
        </is>
      </c>
      <c r="N35" s="218">
        <f>HYPERLINK(LEFT(CELL("filename",A1),FIND("[",CELL("filename",A1))-1)&amp;"매뉴얼BODY(집행단계-첨부폴더)v8\4.상부강화노반\34_방치기간 확보\수행지침\방치기간 확보_수행지침.html", "👉 [클릭] 수행지침 열기 📄")</f>
        <v/>
      </c>
      <c r="O35" s="163" t="inlineStr">
        <is>
          <t>👉 [클릭] 표준서 열기 📄</t>
        </is>
      </c>
      <c r="P35" s="219">
        <f>HYPERLINK(LEFT(CELL("filename",A1),FIND("[",CELL("filename",A1))-1)&amp;"매뉴얼BODY(집행단계-첨부폴더)v8\4.상부강화노반\34_방치기간 확보\체크리스트\방치기간 확보_체크리스트.html", "👉 [클릭] 체크리스트 열기 📄")</f>
        <v/>
      </c>
      <c r="Q35" s="163" t="inlineStr">
        <is>
          <t>👉 [클릭] 수행지침 열기 📄</t>
        </is>
      </c>
      <c r="R35" s="208" t="inlineStr">
        <is>
          <t>● 노반 잔류침하량 수렴 기준 확인</t>
        </is>
      </c>
      <c r="S35" s="205" t="inlineStr">
        <is>
          <t>👉 [클릭] 체크리스트 열기 📄</t>
        </is>
      </c>
      <c r="T35" s="216"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row>
    <row r="36" ht="52" customHeight="1" s="147">
      <c r="A36" s="199" t="inlineStr">
        <is>
          <t>9000</t>
        </is>
      </c>
      <c r="B36" s="199" t="inlineStr">
        <is>
          <t>9000-4</t>
        </is>
      </c>
      <c r="C36" s="199" t="inlineStr">
        <is>
          <t>상부강화노반</t>
        </is>
      </c>
      <c r="D36" s="199" t="inlineStr">
        <is>
          <t>9000-4-35</t>
        </is>
      </c>
      <c r="E36" s="200" t="inlineStr">
        <is>
          <t>9000-4-34</t>
        </is>
      </c>
      <c r="F36" s="200" t="inlineStr">
        <is>
          <t>9000-4-36</t>
        </is>
      </c>
      <c r="G36" s="155" t="inlineStr">
        <is>
          <t>건진법 &amp; KCS 47 10 25 총괄 수칙 | 공사 착수 24시간 전 검측 요청서 제출 | 책임감리원 1:1 현장 입회 &amp; 16개 체크리스트 서명 대장</t>
        </is>
      </c>
      <c r="H36" s="200" t="inlineStr">
        <is>
          <t>현장 공사팀</t>
        </is>
      </c>
      <c r="I36" s="200" t="inlineStr">
        <is>
          <t>1) 공종별 검측요청서 24시간 전 제출 ➔ 2) 책임감리원 1:1 현장 입회 ➔ 3) 16개 체크리스트 서명 ➔ 4) 검측 총괄 승인 대장 감리 결재</t>
        </is>
      </c>
      <c r="J36" s="156" t="inlineStr">
        <is>
          <t>공사 착수 24시간 전 검측 요청서 제출, 책임감리원 1:1 현장 입회 및 16개 체크리스트 서명 대장</t>
        </is>
      </c>
      <c r="K36" s="156" t="inlineStr">
        <is>
          <t>건진법 &amp; KCS 47 10 25 총괄 수칙 | 공사 착수 24시간 전 검측 요청서 제출 | 책임감리원 1:1 현장 입회 &amp; 16개 체크리스트 서명 대장</t>
        </is>
      </c>
      <c r="L36" s="213">
        <f>HYPERLINK(LEFT(CELL("filename",A1),FIND("[",CELL("filename",A1))-1)&amp;"매뉴얼BODY(집행단계-첨부폴더)v8\4.상부강화노반\35_토공마무리\표준서\토공마무리_표준서.html", "👉 [클릭] 표준서 열기 📄")</f>
        <v/>
      </c>
      <c r="M36" s="156" t="inlineStr">
        <is>
          <t>1) 공종별 검측요청서 24시간 전 제출 ➔ 2) 책임감리원 1:1 현장 입회 ➔ 3) 16개 체크리스트 서명 ➔ 4) 검측 총괄 승인 대장 감리 결재</t>
        </is>
      </c>
      <c r="N36" s="214">
        <f>HYPERLINK(LEFT(CELL("filename",A1),FIND("[",CELL("filename",A1))-1)&amp;"매뉴얼BODY(집행단계-첨부폴더)v8\4.상부강화노반\35_토공마무리\수행지침\토공마무리_수행지침.html", "👉 [클릭] 수행지침 열기 📄")</f>
        <v/>
      </c>
      <c r="O36" s="156" t="inlineStr">
        <is>
          <t>👉 [클릭] 표준서 열기 📄</t>
        </is>
      </c>
      <c r="P36" s="215">
        <f>HYPERLINK(LEFT(CELL("filename",A1),FIND("[",CELL("filename",A1))-1)&amp;"매뉴얼BODY(집행단계-첨부폴더)v8\4.상부강화노반\35_토공마무리\체크리스트\토공마무리_체크리스트.html", "👉 [클릭] 체크리스트 열기 📄")</f>
        <v/>
      </c>
      <c r="Q36" s="156" t="inlineStr">
        <is>
          <t>👉 [클릭] 수행지침 열기 📄</t>
        </is>
      </c>
      <c r="R36" s="203" t="inlineStr">
        <is>
          <t>● 설계 종횡단 경사 및 평탄성 만족</t>
        </is>
      </c>
      <c r="S36" s="200" t="inlineStr">
        <is>
          <t>👉 [클릭] 체크리스트 열기 📄</t>
        </is>
      </c>
      <c r="T36" s="216"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row>
    <row r="37" ht="52" customHeight="1" s="147">
      <c r="A37" s="204" t="inlineStr">
        <is>
          <t>9000</t>
        </is>
      </c>
      <c r="B37" s="204" t="inlineStr">
        <is>
          <t>9000-4</t>
        </is>
      </c>
      <c r="C37" s="204" t="inlineStr">
        <is>
          <t>상부강화노반</t>
        </is>
      </c>
      <c r="D37" s="204" t="inlineStr">
        <is>
          <t>9000-4-36</t>
        </is>
      </c>
      <c r="E37" s="205" t="inlineStr">
        <is>
          <t>9000-4-35</t>
        </is>
      </c>
      <c r="F37" s="205" t="inlineStr">
        <is>
          <t>-</t>
        </is>
      </c>
      <c r="G37" s="162" t="inlineStr">
        <is>
          <t>KCS 47 10 25 최종 인계인수 | 토공-궤도-감리 3자 합동 현측(표고 ±10mm, K30 ≥ 110) | 인계인수 합의서 서명 및 노반 완공 통보</t>
        </is>
      </c>
      <c r="H37" s="205" t="inlineStr">
        <is>
          <t>현장 공사팀</t>
        </is>
      </c>
      <c r="I37" s="205" t="inlineStr">
        <is>
          <t>1) 3자(토공-궤도-감리) 합동 현측 ➔ 2) 표고(±10mm) &amp; K30(≥110) 재검측 ➔ 3) 인계인수 합의서 3자 서명 ➔ 4) 상부강화노반 최종 완공 통보</t>
        </is>
      </c>
      <c r="J37" s="163" t="inlineStr">
        <is>
          <t>토공-궤도-감리 3자 합동 현측(표고 ±10mm, K30 ≥ 110), 인계인수 합의서 서명 및 완공 통보</t>
        </is>
      </c>
      <c r="K37" s="163" t="inlineStr">
        <is>
          <t>KCS 47 10 25 최종 인계인수 | 토공-궤도-감리 3자 합동 현측(표고 ±10mm, K30 ≥ 110) | 인계인수 합의서 서명 및 노반 완공 통보</t>
        </is>
      </c>
      <c r="L37" s="217">
        <f>HYPERLINK(LEFT(CELL("filename",A1),FIND("[",CELL("filename",A1))-1)&amp;"매뉴얼BODY(집행단계-첨부폴더)v8\4.상부강화노반\36_토공 마무리면 인계\표준서\토공 마무리면 인계_표준서.html", "👉 [클릭] 표준서 열기 📄")</f>
        <v/>
      </c>
      <c r="M37" s="163" t="inlineStr">
        <is>
          <t>1) 3자(토공-궤도-감리) 합동 현측 ➔ 2) 표고(±10mm) &amp; K30(≥110) 재검측 ➔ 3) 인계인수 합의서 3자 서명 ➔ 4) 상부강화노반 최종 완공 통보</t>
        </is>
      </c>
      <c r="N37" s="218">
        <f>HYPERLINK(LEFT(CELL("filename",A1),FIND("[",CELL("filename",A1))-1)&amp;"매뉴얼BODY(집행단계-첨부폴더)v8\4.상부강화노반\36_토공 마무리면 인계\수행지침\토공 마무리면 인계_수행지침.html", "👉 [클릭] 수행지침 열기 📄")</f>
        <v/>
      </c>
      <c r="O37" s="163" t="inlineStr">
        <is>
          <t>👉 [클릭] 표준서 열기 📄</t>
        </is>
      </c>
      <c r="P37" s="219">
        <f>HYPERLINK(LEFT(CELL("filename",A1),FIND("[",CELL("filename",A1))-1)&amp;"매뉴얼BODY(집행단계-첨부폴더)v8\4.상부강화노반\36_토공 마무리면 인계\체크리스트\토공 마무리면 인계_체크리스트.html", "👉 [클릭] 체크리스트 열기 📄")</f>
        <v/>
      </c>
      <c r="Q37" s="163" t="inlineStr">
        <is>
          <t>👉 [클릭] 수행지침 열기 📄</t>
        </is>
      </c>
      <c r="R37" s="208" t="inlineStr">
        <is>
          <t>● 후속 공종 인도 기준 오차 관리</t>
        </is>
      </c>
      <c r="S37" s="205" t="inlineStr">
        <is>
          <t>👉 [클릭] 체크리스트 열기 📄</t>
        </is>
      </c>
      <c r="T37" s="216"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JD38"/>
  <sheetViews>
    <sheetView showGridLines="1" view="pageBreakPreview" topLeftCell="B1"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topRight" activeCell="C1" sqref="C1"/>
      <selection pane="bottomLeft" activeCell="B2" sqref="B2"/>
      <selection pane="bottomRight" activeCell="M13" sqref="M13"/>
    </sheetView>
  </sheetViews>
  <sheetFormatPr baseColWidth="8" defaultColWidth="11.8984375" defaultRowHeight="19.2"/>
  <cols>
    <col width="10" customWidth="1" style="3" min="1" max="3"/>
    <col width="10" customWidth="1" style="147" min="2" max="2"/>
    <col width="18" customWidth="1" style="147"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4" min="10" max="10"/>
    <col width="54" customWidth="1" style="3" min="11" max="11"/>
    <col width="30" customWidth="1" style="3" min="12" max="12"/>
    <col width="36" customWidth="1" style="3" min="13" max="13"/>
    <col width="24" customWidth="1" style="3" min="14" max="14"/>
    <col width="36" bestFit="1" customWidth="1" style="3" min="15" max="15"/>
    <col width="24" customWidth="1" style="147" min="16" max="16"/>
    <col hidden="1" width="36" customWidth="1" style="3" min="17" max="17"/>
    <col width="24" customWidth="1" style="147" min="18" max="19"/>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row>
    <row r="2" ht="52" customHeight="1" s="147">
      <c r="A2" s="199" t="inlineStr">
        <is>
          <t>9000</t>
        </is>
      </c>
      <c r="B2" s="199" t="inlineStr">
        <is>
          <t>9000-5</t>
        </is>
      </c>
      <c r="C2" s="199" t="inlineStr">
        <is>
          <t>콘크리트도상</t>
        </is>
      </c>
      <c r="D2" s="199" t="inlineStr">
        <is>
          <t>9000-5-1</t>
        </is>
      </c>
      <c r="E2" s="200" t="inlineStr">
        <is>
          <t>-</t>
        </is>
      </c>
      <c r="F2" s="200" t="inlineStr">
        <is>
          <t>9000-5-2</t>
        </is>
      </c>
      <c r="G2" s="155" t="inlineStr">
        <is>
          <t>노반부/궤도부 선형 및 종단 일치 등 설계오류 및 누락 확인</t>
        </is>
      </c>
      <c r="H2" s="200" t="inlineStr">
        <is>
          <t>현장소장</t>
        </is>
      </c>
      <c r="I2" s="200" t="inlineStr">
        <is>
          <t>노반부/궤도부 선형 및 종단 도면 및 설계 자료 비교 검토 실시
- 궤도 부속자재(체결구, 침목 등) 소요비 비용 설계반영 확인
- 유사시공사례 Case Study
- 지원: 본사담당팀(설계/수행/품질/외주)</t>
        </is>
      </c>
      <c r="J2" s="156" t="inlineStr">
        <is>
          <t>설계도면 검토서, 선형대조표</t>
        </is>
      </c>
      <c r="K2" s="156" t="inlineStr">
        <is>
          <t>KDS 47 30 00 궤도 설계기준 및 국토교통부 트램 건설 규칙을 엄격히 준수한다. 노반부-궤도부 선형 및 종단 계획고 일치 오차 0mm 검토.</t>
        </is>
      </c>
      <c r="L2" s="213">
        <f>HYPERLINK(LEFT(CELL("filename",A1),FIND("[",CELL("filename",A1))-1)&amp;"매뉴얼BODY(집행단계-첨부폴더)v8\5.콘크리트도상\1_설계적정성 검토\표준서\설계적정성 검토_표준서.html", "👉 [클릭] 표준서 열기 📄")</f>
        <v/>
      </c>
      <c r="M2" s="156" t="inlineStr">
        <is>
          <t>1) 하부 HBS 강화노반 지지력(K70 ≥ 150 MPa/m) 및 평탄성 사전 검측 확인
2) 궤도 정밀 검측: 궤간(1435mm), 캔트(±2mm), 수평(±2mm), 고저(±2mm/10m), 비틀림(1.5mm/3m) 실시간 검측</t>
        </is>
      </c>
      <c r="N2" s="214">
        <f>HYPERLINK(LEFT(CELL("filename",A1),FIND("[",CELL("filename",A1))-1)&amp;"매뉴얼BODY(집행단계-첨부폴더)v8\5.콘크리트도상\1_설계적정성 검토\수행지침\설계적정성 검토_수행지침.html", "👉 [클릭] 수행지침 열기 📄")</f>
        <v/>
      </c>
      <c r="O2" s="156" t="inlineStr">
        <is>
          <t>설계 도면 간섭 검속, 궤도 중심선 계획 표고 대조, 종단 구배 한계치 준수 확인</t>
        </is>
      </c>
      <c r="P2" s="215">
        <f>HYPERLINK(LEFT(CELL("filename",A1),FIND("[",CELL("filename",A1))-1)&amp;"매뉴얼BODY(집행단계-첨부폴더)v8\5.콘크리트도상\1_설계적정성 검토\체크리스트\설계적정성 검토_체크리스트.html", "👉 [클릭] 체크리스트 열기 📄")</f>
        <v/>
      </c>
      <c r="Q2" s="156" t="n"/>
      <c r="R2" s="203" t="inlineStr">
        <is>
          <t>● 노반부 및 궤도 선형 기하학적 설계 기준 일치성</t>
        </is>
      </c>
      <c r="S2" s="200" t="inlineStr">
        <is>
          <t>1) 👉 [더블클릭]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row>
    <row r="3" ht="52" customHeight="1" s="147">
      <c r="A3" s="204" t="inlineStr">
        <is>
          <t>9000</t>
        </is>
      </c>
      <c r="B3" s="204" t="inlineStr">
        <is>
          <t>9000-5</t>
        </is>
      </c>
      <c r="C3" s="204" t="inlineStr">
        <is>
          <t>콘크리트도상</t>
        </is>
      </c>
      <c r="D3" s="204" t="inlineStr">
        <is>
          <t>9000-5-2</t>
        </is>
      </c>
      <c r="E3" s="205" t="inlineStr">
        <is>
          <t>9000-5-1</t>
        </is>
      </c>
      <c r="F3" s="205" t="inlineStr">
        <is>
          <t>9000-5-3</t>
        </is>
      </c>
      <c r="G3" s="162" t="inlineStr">
        <is>
          <t>콘크리트도상 시공에 필요한 침목, 체결구 등 자재야적 부지 선정</t>
        </is>
      </c>
      <c r="H3" s="205" t="inlineStr">
        <is>
          <t>현장 공무팀</t>
        </is>
      </c>
      <c r="I3" s="205"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63" t="inlineStr">
        <is>
          <t>부지사용계약서, 가설야적장 평면도</t>
        </is>
      </c>
      <c r="K3" s="163" t="inlineStr">
        <is>
          <t>침목, 체결구, 홈레일 등 궤도 주요 자재의 현장 보관 기준 수립. 배수 경사 2% 및 지반 다짐도 95% 이상 야적장 확보.</t>
        </is>
      </c>
      <c r="L3" s="217">
        <f>HYPERLINK(LEFT(CELL("filename",A1),FIND("[",CELL("filename",A1))-1)&amp;"매뉴얼BODY(집행단계-첨부폴더)v8\5.콘크리트도상\2_자재 야적장 선정\표준서\자재 야적장 선정_표준서.html", "👉 [클릭] 표준서 열기 📄")</f>
        <v/>
      </c>
      <c r="M3" s="163" t="inlineStr">
        <is>
          <t>1) 야적 부지 지반재하시험(K70 ≥ 150 MPa/m)을 실시하여 하중 침하 여부 사전 검증
2) 장대레일 운반 트레일러(길이 30m 이상) 회전반경 및 크레인 인양 진입로 확보</t>
        </is>
      </c>
      <c r="N3" s="218">
        <f>HYPERLINK(LEFT(CELL("filename",A1),FIND("[",CELL("filename",A1))-1)&amp;"매뉴얼BODY(집행단계-첨부폴더)v8\5.콘크리트도상\2_자재 야적장 선정\수행지침\자재 야적장 선정_수행지침.html", "👉 [클릭] 수행지침 열기 📄")</f>
        <v/>
      </c>
      <c r="O3" s="163" t="inlineStr">
        <is>
          <t>야적장 지반 다짐도 95% 이상, 배수 경사 2% 이상 확보, 자재 천막 덮개 구비</t>
        </is>
      </c>
      <c r="P3" s="219">
        <f>HYPERLINK(LEFT(CELL("filename",A1),FIND("[",CELL("filename",A1))-1)&amp;"매뉴얼BODY(집행단계-첨부폴더)v8\5.콘크리트도상\2_자재 야적장 선정\체크리스트\자재 야적장 선정_체크리스트.html", "👉 [클릭] 체크리스트 열기 📄")</f>
        <v/>
      </c>
      <c r="Q3" s="163" t="n"/>
      <c r="R3" s="208" t="inlineStr">
        <is>
          <t>● 궤도 자재의 환경 보호 및 보관 관리 지침</t>
        </is>
      </c>
      <c r="S3" s="205" t="inlineStr">
        <is>
          <t>1) 👉 [더블클릭]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row>
    <row r="4" ht="52" customHeight="1" s="147">
      <c r="A4" s="199" t="inlineStr">
        <is>
          <t>9000</t>
        </is>
      </c>
      <c r="B4" s="199" t="inlineStr">
        <is>
          <t>9000-5</t>
        </is>
      </c>
      <c r="C4" s="199" t="inlineStr">
        <is>
          <t>콘크리트도상</t>
        </is>
      </c>
      <c r="D4" s="199" t="inlineStr">
        <is>
          <t>9000-5-3</t>
        </is>
      </c>
      <c r="E4" s="200" t="inlineStr">
        <is>
          <t>9000-5-2</t>
        </is>
      </c>
      <c r="F4" s="200" t="inlineStr">
        <is>
          <t>9000-5-4</t>
        </is>
      </c>
      <c r="G4" s="155" t="inlineStr">
        <is>
          <t>정척레일 15본을 용접하여 200m 이상의 장대레일 제작하는 작업장을 선정 (타분야 인터페이스 고려)</t>
        </is>
      </c>
      <c r="H4" s="200" t="inlineStr">
        <is>
          <t>현장 공무팀</t>
        </is>
      </c>
      <c r="I4" s="200"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56" t="inlineStr">
        <is>
          <t>용접장 임시지정서, NDT 검사실 계획서</t>
        </is>
      </c>
      <c r="K4" s="156" t="inlineStr">
        <is>
          <t>EN 14730 테르밋 및 EN 14587 가스압접 용접을 위한 작업 공간 확보. 정척레일(25m)을 200m 장대로 용접하는 평탄 작업대 수평 오차 ±1mm 이내 확보.</t>
        </is>
      </c>
      <c r="L4" s="213">
        <f>HYPERLINK(LEFT(CELL("filename",A1),FIND("[",CELL("filename",A1))-1)&amp;"매뉴얼BODY(집행단계-첨부폴더)v8\5.콘크리트도상\3_레일 용접장 선정\표준서\레일 용접장 선정_표준서.html", "👉 [클릭] 표준서 열기 📄")</f>
        <v/>
      </c>
      <c r="M4" s="156" t="inlineStr">
        <is>
          <t>1) m 장대레일 일직선 이송을 위한 롤러대 기반 수평 정밀 측량 (오차 ±0.5mm/10m 이내)
2) 가스압접/플래시버트 용접용 대용량 전력 및 아세틸렌/산소 가스 안전 저장소 확보</t>
        </is>
      </c>
      <c r="N4" s="214">
        <f>HYPERLINK(LEFT(CELL("filename",A1),FIND("[",CELL("filename",A1))-1)&amp;"매뉴얼BODY(집행단계-첨부폴더)v8\5.콘크리트도상\3_레일 용접장 선정\수행지침\레일 용접장 선정_수행지침.html", "👉 [클릭] 수행지침 열기 📄")</f>
        <v/>
      </c>
      <c r="O4" s="156" t="inlineStr">
        <is>
          <t>용접장 평탄성 오차 ±1mm 이내, 전력 공급 및 방풍 시설 완비, NDT(비파괴) 대기 공간 확보</t>
        </is>
      </c>
      <c r="P4" s="215">
        <f>HYPERLINK(LEFT(CELL("filename",A1),FIND("[",CELL("filename",A1))-1)&amp;"매뉴얼BODY(집행단계-첨부폴더)v8\5.콘크리트도상\3_레일 용접장 선정\체크리스트\레일 용접장 선정_체크리스트.html", "👉 [클릭] 체크리스트 열기 📄")</f>
        <v/>
      </c>
      <c r="Q4" s="156" t="n"/>
      <c r="R4" s="203" t="inlineStr">
        <is>
          <t>● 장대레일 제작장 확보 및 공간 레이아웃 만족</t>
        </is>
      </c>
      <c r="S4" s="200" t="inlineStr">
        <is>
          <t>1) 👉 [더블클릭]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row>
    <row r="5" ht="52" customHeight="1" s="147">
      <c r="A5" s="204" t="inlineStr">
        <is>
          <t>9000</t>
        </is>
      </c>
      <c r="B5" s="204" t="inlineStr">
        <is>
          <t>9000-5</t>
        </is>
      </c>
      <c r="C5" s="204" t="inlineStr">
        <is>
          <t>콘크리트도상</t>
        </is>
      </c>
      <c r="D5" s="204" t="inlineStr">
        <is>
          <t>9000-5-4</t>
        </is>
      </c>
      <c r="E5" s="205" t="inlineStr">
        <is>
          <t>9000-5-3</t>
        </is>
      </c>
      <c r="F5" s="205" t="inlineStr">
        <is>
          <t>9000-5-5</t>
        </is>
      </c>
      <c r="G5" s="162" t="inlineStr">
        <is>
          <t>궤도공사 발주전략 수립 / 발주조건 CP적합 여부 검토</t>
        </is>
      </c>
      <c r="H5" s="205" t="inlineStr">
        <is>
          <t>현장 공무팀</t>
        </is>
      </c>
      <c r="I5" s="205"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63" t="inlineStr">
        <is>
          <t>KOM 의사록, 품질 보증 합의서</t>
        </is>
      </c>
      <c r="K5" s="163" t="inlineStr">
        <is>
          <t>KCS 47 30 00 시방 기준 준수. 궤도 자재 품질 확인서 및 외산 홈레일 조달 리스크 대응 전략 수립.</t>
        </is>
      </c>
      <c r="L5" s="217">
        <f>HYPERLINK(LEFT(CELL("filename",A1),FIND("[",CELL("filename",A1))-1)&amp;"매뉴얼BODY(집행단계-첨부폴더)v8\5.콘크리트도상\4_발주전략 KOM\표준서\발주전략 KOM_표준서.html", "👉 [클릭] 표준서 열기 📄")</f>
        <v/>
      </c>
      <c r="M5" s="163" t="inlineStr">
        <is>
          <t>1) 제조사 공장검사(FAT) 항목 및 궤도 정밀 검측 공차 기준 전파
2) KDS 47 30 00 및 KS 규격 만족 자재 목록 및 세부 발주 물량 확정</t>
        </is>
      </c>
      <c r="N5" s="218">
        <f>HYPERLINK(LEFT(CELL("filename",A1),FIND("[",CELL("filename",A1))-1)&amp;"매뉴얼BODY(집행단계-첨부폴더)v8\5.콘크리트도상\4_발주전략 KOM\수행지침\발주전략 KOM_수행지침.html", "👉 [클릭] 수행지침 열기 📄")</f>
        <v/>
      </c>
      <c r="O5" s="163" t="inlineStr">
        <is>
          <t>품질 요구조건 특기시방서 의결, 외산 홈레일 선적일정 검토, 자재 인도 시점 확약</t>
        </is>
      </c>
      <c r="P5" s="219">
        <f>HYPERLINK(LEFT(CELL("filename",A1),FIND("[",CELL("filename",A1))-1)&amp;"매뉴얼BODY(집행단계-첨부폴더)v8\5.콘크리트도상\4_발주전략 KOM\체크리스트\발주전략 KOM_체크리스트.html", "👉 [클릭] 체크리스트 열기 📄")</f>
        <v/>
      </c>
      <c r="Q5" s="163" t="n"/>
      <c r="R5" s="208" t="inlineStr">
        <is>
          <t>● 본사 외주/수행 부서 및 토목견적팀 협의 지침 준수</t>
        </is>
      </c>
      <c r="S5" s="205" t="inlineStr">
        <is>
          <t>1) 👉 [더블클릭]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row>
    <row r="6" ht="52" customHeight="1" s="147">
      <c r="A6" s="199" t="inlineStr">
        <is>
          <t>9000</t>
        </is>
      </c>
      <c r="B6" s="199" t="inlineStr">
        <is>
          <t>9000-5</t>
        </is>
      </c>
      <c r="C6" s="199" t="inlineStr">
        <is>
          <t>콘크리트도상</t>
        </is>
      </c>
      <c r="D6" s="199" t="inlineStr">
        <is>
          <t>9000-5-5</t>
        </is>
      </c>
      <c r="E6" s="200" t="inlineStr">
        <is>
          <t>9000-5-4</t>
        </is>
      </c>
      <c r="F6" s="200" t="inlineStr">
        <is>
          <t>9000-5-6</t>
        </is>
      </c>
      <c r="G6" s="155" t="inlineStr">
        <is>
          <t>우수 협력사 및 작업반 선정</t>
        </is>
      </c>
      <c r="H6" s="200" t="inlineStr">
        <is>
          <t>외주관리팀</t>
        </is>
      </c>
      <c r="I6" s="200" t="inlineStr">
        <is>
          <t>- 동일 환경조건 시공경험 보유 여부 검토
- 투입인원 경력, 현장이해도, 관리역량, 파트너 업체 검증</t>
        </is>
      </c>
      <c r="J6" s="156" t="inlineStr">
        <is>
          <t>협력사 적격성 심사표, 노무안전서약철</t>
        </is>
      </c>
      <c r="K6" s="156" t="inlineStr">
        <is>
          <t>EN ISO 9606-1 용접 자격자 및 궤도 정밀 검측원(Track Master 운용원) 확보 심사 기준.</t>
        </is>
      </c>
      <c r="L6" s="213">
        <f>HYPERLINK(LEFT(CELL("filename",A1),FIND("[",CELL("filename",A1))-1)&amp;"매뉴얼BODY(집행단계-첨부폴더)v8\5.콘크리트도상\5_최고의 팀 만들기 지원\표준서\최고의 팀 만들기 지원_표준서.html", "👉 [클릭] 표준서 열기 📄")</f>
        <v/>
      </c>
      <c r="M6" s="156" t="inlineStr">
        <is>
          <t>1) EN ISO 14730 용접원 자격증 및 광학 측량 기술자 자격 검증
2) 스핀들 게이지 조정, 캔트 달성구배, 테르밋 산화반응 제어 사전 모의 훈련</t>
        </is>
      </c>
      <c r="N6" s="214">
        <f>HYPERLINK(LEFT(CELL("filename",A1),FIND("[",CELL("filename",A1))-1)&amp;"매뉴얼BODY(집행단계-첨부폴더)v8\5.콘크리트도상\5_최고의 팀 만들기 지원\수행지침\최고의 팀 만들기 지원_수행지침.html", "👉 [클릭] 수행지침 열기 📄")</f>
        <v/>
      </c>
      <c r="O6" s="156" t="inlineStr">
        <is>
          <t>용접공 자격증 원본 대조, 정밀 검측 장비 검교정 확인, 궤도 전문 기술사 면허 검토</t>
        </is>
      </c>
      <c r="P6" s="215">
        <f>HYPERLINK(LEFT(CELL("filename",A1),FIND("[",CELL("filename",A1))-1)&amp;"매뉴얼BODY(집행단계-첨부폴더)v8\5.콘크리트도상\5_최고의 팀 만들기 지원\체크리스트\최고의 팀 만들기 지원_체크리스트.html", "👉 [클릭] 체크리스트 열기 📄")</f>
        <v/>
      </c>
      <c r="Q6" s="156" t="n"/>
      <c r="R6" s="203" t="inlineStr">
        <is>
          <t>● 협력업체 역량 평가 및 등록 관리 기준 만족</t>
        </is>
      </c>
      <c r="S6" s="200" t="inlineStr">
        <is>
          <t>1) 👉 [더블클릭]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row>
    <row r="7" ht="52" customHeight="1" s="147">
      <c r="A7" s="204" t="inlineStr">
        <is>
          <t>9000</t>
        </is>
      </c>
      <c r="B7" s="204" t="inlineStr">
        <is>
          <t>9000-5</t>
        </is>
      </c>
      <c r="C7" s="204" t="inlineStr">
        <is>
          <t>콘크리트도상</t>
        </is>
      </c>
      <c r="D7" s="204" t="inlineStr">
        <is>
          <t>9000-5-6</t>
        </is>
      </c>
      <c r="E7" s="205" t="inlineStr">
        <is>
          <t>9000-5-5</t>
        </is>
      </c>
      <c r="F7" s="205" t="inlineStr">
        <is>
          <t>9000-5-7</t>
        </is>
      </c>
      <c r="G7" s="162" t="inlineStr">
        <is>
          <t>현장여건에 따른 구간/위치별 적정 타설방법 및 계획 검토</t>
        </is>
      </c>
      <c r="H7" s="205" t="inlineStr">
        <is>
          <t>현장 공사팀</t>
        </is>
      </c>
      <c r="I7" s="205" t="inlineStr">
        <is>
          <t>- 펌프카 타설: 공간이 넓거나, 교량 하부에서 타설이 가능한 경우 적용
- 압송관 타설: 교량이나 터널 (L=300~500m)에 적합
- 개조장비 타설: 개조 믹서트럭을 이용하여 타설</t>
        </is>
      </c>
      <c r="J7" s="163" t="inlineStr">
        <is>
          <t>콘크리트 타설공정 계획서, 펌프카 배치도</t>
        </is>
      </c>
      <c r="K7" s="163" t="inlineStr">
        <is>
          <t>KCS 47 30 00 콘크리트 궤도 시방 준수. 펌프카 타설압력에 의한 궤광 변위 방지 지지 계획 수립.</t>
        </is>
      </c>
      <c r="L7" s="217">
        <f>HYPERLINK(LEFT(CELL("filename",A1),FIND("[",CELL("filename",A1))-1)&amp;"매뉴얼BODY(집행단계-첨부폴더)v8\5.콘크리트도상\6_콘크리트 타설방법_계획 검토\표준서\콘크리트 타설방법_계획 검토_표준서.html", "👉 [클릭] 표준서 열기 📄")</f>
        <v/>
      </c>
      <c r="M7" s="163" t="inlineStr">
        <is>
          <t>1) TCL 콘크리트(f_ck ≥ 30 MPa) 및 PST 충전재(f_ck ≥ 45 MPa) 배합 성적서 확인
2) 레미콘 운반시간(60분 이내) 및 펌프카 배치 공간 사전 확보</t>
        </is>
      </c>
      <c r="N7" s="218">
        <f>HYPERLINK(LEFT(CELL("filename",A1),FIND("[",CELL("filename",A1))-1)&amp;"매뉴얼BODY(집행단계-첨부폴더)v8\5.콘크리트도상\6_콘크리트 타설방법_계획 검토\수행지침\콘크리트 타설방법_계획 검토_수행지침.html", "👉 [클릭] 수행지침 열기 📄")</f>
        <v/>
      </c>
      <c r="O7" s="163" t="inlineStr">
        <is>
          <t>구간별 펌프카 배치도 작성, 타설 시 궤광 고정 잭 지지 계획 승인, 콘크리트 슬럼프 품질 확인</t>
        </is>
      </c>
      <c r="P7" s="219">
        <f>HYPERLINK(LEFT(CELL("filename",A1),FIND("[",CELL("filename",A1))-1)&amp;"매뉴얼BODY(집행단계-첨부폴더)v8\5.콘크리트도상\6_콘크리트 타설방법_계획 검토\체크리스트\콘크리트 타설방법_계획 검토_체크리스트.html", "👉 [클릭] 체크리스트 열기 📄")</f>
        <v/>
      </c>
      <c r="Q7" s="163" t="n"/>
      <c r="R7" s="208" t="inlineStr">
        <is>
          <t>● 콘크리트 연속타설 및 콜드조인트 방지 기준</t>
        </is>
      </c>
      <c r="S7" s="205" t="inlineStr">
        <is>
          <t>1) 👉 [더블클릭]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row>
    <row r="8" ht="52" customHeight="1" s="147">
      <c r="A8" s="199" t="inlineStr">
        <is>
          <t>9000</t>
        </is>
      </c>
      <c r="B8" s="199" t="inlineStr">
        <is>
          <t>9000-5</t>
        </is>
      </c>
      <c r="C8" s="199" t="inlineStr">
        <is>
          <t>콘크리트도상</t>
        </is>
      </c>
      <c r="D8" s="199" t="inlineStr">
        <is>
          <t>9000-5-7</t>
        </is>
      </c>
      <c r="E8" s="200" t="inlineStr">
        <is>
          <t>9000-5-6</t>
        </is>
      </c>
      <c r="F8" s="200" t="inlineStr">
        <is>
          <t>9000-5-8</t>
        </is>
      </c>
      <c r="G8" s="155" t="inlineStr">
        <is>
          <t>궤도공사 수행 시 공정계획 수립 / 수행 시 예상가능한 Risk 검토</t>
        </is>
      </c>
      <c r="H8" s="200" t="inlineStr">
        <is>
          <t>현장소장</t>
        </is>
      </c>
      <c r="I8" s="200"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56" t="inlineStr">
        <is>
          <t>빅룸 회의록, 인터페이스 대장</t>
        </is>
      </c>
      <c r="K8" s="156" t="inlineStr">
        <is>
          <t>노반-궤도 간 인터페이스, 신호 루프 센서 및 누설 전류(Stray Current) 부식 방지 디오드 접지선 매설 계획 의결.</t>
        </is>
      </c>
      <c r="L8" s="213">
        <f>HYPERLINK(LEFT(CELL("filename",A1),FIND("[",CELL("filename",A1))-1)&amp;"매뉴얼BODY(집행단계-첨부폴더)v8\5.콘크리트도상\7_작수전 Big Room 회의\표준서\작수전 Big Room 회의_표준서.html", "👉 [클릭] 표준서 열기 📄")</f>
        <v/>
      </c>
      <c r="M8" s="156" t="inlineStr">
        <is>
          <t>1) 노반-궤도 인수인계 높이 공차 및 신호 루프센서 위치 취합
2) 도로 매설 궤도 표면과 도로 포장 표면 마감 높이 일치성 확정</t>
        </is>
      </c>
      <c r="N8" s="214">
        <f>HYPERLINK(LEFT(CELL("filename",A1),FIND("[",CELL("filename",A1))-1)&amp;"매뉴얼BODY(집행단계-첨부폴더)v8\5.콘크리트도상\7_작수전 Big Room 회의\수행지침\작수전 Big Room 회의_수행지침.html", "👉 [클릭] 수행지침 열기 📄")</f>
        <v/>
      </c>
      <c r="O8" s="156" t="inlineStr">
        <is>
          <t>신호 센서 매설 위치 철근 간섭 해결, 접지선 용접부 연속성 확인, 부서 합동 서명 날인</t>
        </is>
      </c>
      <c r="P8" s="215">
        <f>HYPERLINK(LEFT(CELL("filename",A1),FIND("[",CELL("filename",A1))-1)&amp;"매뉴얼BODY(집행단계-첨부폴더)v8\5.콘크리트도상\7_작수전 Big Room 회의\체크리스트\작수전 Big Room 회의_체크리스트.html", "👉 [클릭] 체크리스트 열기 📄")</f>
        <v/>
      </c>
      <c r="Q8" s="156" t="n"/>
      <c r="R8" s="203" t="inlineStr">
        <is>
          <t>● 유관 공종(토목, 전기, 신호) 인터페이스 검토</t>
        </is>
      </c>
      <c r="S8" s="200" t="inlineStr">
        <is>
          <t>1) 👉 [더블클릭]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row>
    <row r="9" ht="52" customHeight="1" s="147">
      <c r="A9" s="204" t="inlineStr">
        <is>
          <t>9000</t>
        </is>
      </c>
      <c r="B9" s="204" t="inlineStr">
        <is>
          <t>9000-5</t>
        </is>
      </c>
      <c r="C9" s="204" t="inlineStr">
        <is>
          <t>콘크리트도상</t>
        </is>
      </c>
      <c r="D9" s="204" t="inlineStr">
        <is>
          <t>9000-5-8</t>
        </is>
      </c>
      <c r="E9" s="205" t="inlineStr">
        <is>
          <t>9000-5-7</t>
        </is>
      </c>
      <c r="F9" s="205" t="inlineStr">
        <is>
          <t>9000-5-9</t>
        </is>
      </c>
      <c r="G9" s="162" t="inlineStr">
        <is>
          <t>장비, 자재의 반입로/반입구의 타공종 간섭 검토</t>
        </is>
      </c>
      <c r="H9" s="205" t="inlineStr">
        <is>
          <t>현장공사팀</t>
        </is>
      </c>
      <c r="I9" s="205" t="inlineStr">
        <is>
          <t>- 자재반입 시 노반 시공 간섭 검토
- 자재반입로/반입구 사용가능 시기 검토</t>
        </is>
      </c>
      <c r="J9" s="163" t="inlineStr">
        <is>
          <t>반입로 시뮬레이션 보고서, 도로점용 허가서</t>
        </is>
      </c>
      <c r="K9" s="163" t="inlineStr">
        <is>
          <t>장대레일 운반 트레일러(길이 25m 이상) 도로 회전 반경 R=15m 확보 및 타공종 가설재 간섭 배제.</t>
        </is>
      </c>
      <c r="L9" s="217">
        <f>HYPERLINK(LEFT(CELL("filename",A1),FIND("[",CELL("filename",A1))-1)&amp;"매뉴얼BODY(집행단계-첨부폴더)v8\5.콘크리트도상\8_장비,자재 반입로_반입구 간섭 검토\표준서\장비,자재 반입로_반입구 간섭 검토_표준서.html", "👉 [클릭] 표준서 열기 📄")</f>
        <v/>
      </c>
      <c r="M9" s="163" t="inlineStr">
        <is>
          <t>1) 상부 신호등/가공전선 이격거리(5m 이상) 및 도로점용 허가 구역 조사
2) 전담 신호수 배치 및 대형 레일 운반 차량 유도</t>
        </is>
      </c>
      <c r="N9" s="218">
        <f>HYPERLINK(LEFT(CELL("filename",A1),FIND("[",CELL("filename",A1))-1)&amp;"매뉴얼BODY(집행단계-첨부폴더)v8\5.콘크리트도상\8_장비,자재 반입로_반입구 간섭 검토\수행지침\장비,자재 반입로_반입구 간섭 검토_수행지침.html", "👉 [클릭] 수행지침 열기 📄")</f>
        <v/>
      </c>
      <c r="O9" s="163" t="inlineStr">
        <is>
          <t>트레일러 회전 시뮬레이션 승인, 가설 비계 간섭 범위 해제, 도로 점용 허가 필증 확인</t>
        </is>
      </c>
      <c r="P9" s="219">
        <f>HYPERLINK(LEFT(CELL("filename",A1),FIND("[",CELL("filename",A1))-1)&amp;"매뉴얼BODY(집행단계-첨부폴더)v8\5.콘크리트도상\8_장비,자재 반입로_반입구 간섭 검토\체크리스트\장비,자재 반입로_반입구 간섭 검토_체크리스트.html", "👉 [클릭] 체크리스트 열기 📄")</f>
        <v/>
      </c>
      <c r="Q9" s="163" t="n"/>
      <c r="R9" s="208" t="inlineStr">
        <is>
          <t>● 궤도 시공 가설 동선 적합성 검토</t>
        </is>
      </c>
      <c r="S9" s="205" t="inlineStr">
        <is>
          <t>1) 👉 [더블클릭]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row>
    <row r="10" ht="52" customHeight="1" s="147">
      <c r="A10" s="199" t="inlineStr">
        <is>
          <t>9000</t>
        </is>
      </c>
      <c r="B10" s="199" t="inlineStr">
        <is>
          <t>9000-5</t>
        </is>
      </c>
      <c r="C10" s="199" t="inlineStr">
        <is>
          <t>콘크리트도상</t>
        </is>
      </c>
      <c r="D10" s="199" t="inlineStr">
        <is>
          <t>9000-5-9</t>
        </is>
      </c>
      <c r="E10" s="200" t="inlineStr">
        <is>
          <t>9000-5-8</t>
        </is>
      </c>
      <c r="F10" s="200" t="inlineStr">
        <is>
          <t>9000-5-10</t>
        </is>
      </c>
      <c r="G10" s="155" t="inlineStr">
        <is>
          <t>외산자재 검수 및 반입일정 검토 / 노반 공정에 따른 반입 시기 검토</t>
        </is>
      </c>
      <c r="H10" s="200" t="inlineStr">
        <is>
          <t>현장관리팀, 현장공사팀</t>
        </is>
      </c>
      <c r="I10" s="200" t="inlineStr">
        <is>
          <t>- 외산자재 수량 및 위치, 야적장 규모 등을 고려하여 주문 시기 검토
- 노반 인도 구역 및 규모에 따른 자재 조달계획 수립</t>
        </is>
      </c>
      <c r="J10" s="156" t="inlineStr">
        <is>
          <t>자재수급스케줄표, 조달 승인서</t>
        </is>
      </c>
      <c r="K10" s="156" t="inlineStr">
        <is>
          <t>홈레일, 체결구, 탄성 충전재 등 주요 자재의 해상 운송 및 국내 보관 일정 검토. OMC 품질 시방 확보.</t>
        </is>
      </c>
      <c r="L10" s="213">
        <f>HYPERLINK(LEFT(CELL("filename",A1),FIND("[",CELL("filename",A1))-1)&amp;"매뉴얼BODY(집행단계-첨부폴더)v8\5.콘크리트도상\9_자재조달계획 검토\표준서\자재조달계획 검토_표준서.html", "👉 [클릭] 표준서 열기 📄")</f>
        <v/>
      </c>
      <c r="M10" s="156" t="inlineStr">
        <is>
          <t>1) 특수 홈레일 및 PST 패널 조달 마스터 일정표 검토
2) PST 슬래브 공장 생산 강도 및 홈레일 단면 검수</t>
        </is>
      </c>
      <c r="N10" s="214">
        <f>HYPERLINK(LEFT(CELL("filename",A1),FIND("[",CELL("filename",A1))-1)&amp;"매뉴얼BODY(집행단계-첨부폴더)v8\5.콘크리트도상\9_자재조달계획 검토\수행지침\자재조달계획 검토_수행지침.html", "👉 [클릭] 수행지침 열기 📄")</f>
        <v/>
      </c>
      <c r="O10" s="156" t="inlineStr">
        <is>
          <t>선적 서류 및 통관 승인서 구비, 국내 야적장 2차 보관 상태 점검, 자재 공급 승인서 확인</t>
        </is>
      </c>
      <c r="P10" s="215">
        <f>HYPERLINK(LEFT(CELL("filename",A1),FIND("[",CELL("filename",A1))-1)&amp;"매뉴얼BODY(집행단계-첨부폴더)v8\5.콘크리트도상\9_자재조달계획 검토\체크리스트\자재조달계획 검토_체크리스트.html", "👉 [클릭] 체크리스트 열기 📄")</f>
        <v/>
      </c>
      <c r="Q10" s="156" t="n"/>
      <c r="R10" s="203" t="inlineStr">
        <is>
          <t>● 주요 외산 자재 공급 및 선적 일정 확인</t>
        </is>
      </c>
      <c r="S10" s="200" t="inlineStr">
        <is>
          <t>1) 👉 [더블클릭]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row>
    <row r="11" ht="52" customHeight="1" s="147">
      <c r="A11" s="204" t="inlineStr">
        <is>
          <t>9000</t>
        </is>
      </c>
      <c r="B11" s="204" t="inlineStr">
        <is>
          <t>9000-5</t>
        </is>
      </c>
      <c r="C11" s="204" t="inlineStr">
        <is>
          <t>콘크리트도상</t>
        </is>
      </c>
      <c r="D11" s="204" t="inlineStr">
        <is>
          <t>9000-5-10</t>
        </is>
      </c>
      <c r="E11" s="205" t="inlineStr">
        <is>
          <t>9000-5-9</t>
        </is>
      </c>
      <c r="F11" s="205" t="inlineStr">
        <is>
          <t>9000-5-11</t>
        </is>
      </c>
      <c r="G11" s="162" t="inlineStr">
        <is>
          <t>시공에 필요한 자재 발주</t>
        </is>
      </c>
      <c r="H11" s="205" t="inlineStr">
        <is>
          <t>현장 공무팀</t>
        </is>
      </c>
      <c r="I11" s="205" t="inlineStr">
        <is>
          <t>- 자재 규격 및 반입 일정 계획 수립
- 시공에 필요한 당사 지급자재에 대한 발주 요청
- 지원: GP/SRM팀</t>
        </is>
      </c>
      <c r="J11" s="163" t="inlineStr">
        <is>
          <t>자재청구서, 공급원 승인요청철</t>
        </is>
      </c>
      <c r="K11" s="163" t="inlineStr">
        <is>
          <t>KDS 47 30 00 및 EN 규격 기준 자재 발주서 승인. 공급원 검토 승인 요청서 작성 요령 준수.</t>
        </is>
      </c>
      <c r="L11" s="217">
        <f>HYPERLINK(LEFT(CELL("filename",A1),FIND("[",CELL("filename",A1))-1)&amp;"매뉴얼BODY(집행단계-첨부폴더)v8\5.콘크리트도상\10_자재 발주 요청\표준서\자재 발주 요청_표준서.html", "👉 [클릭] 표준서 열기 📄")</f>
        <v/>
      </c>
      <c r="M11" s="163" t="inlineStr">
        <is>
          <t>1) kg/m 레일, 51R1 홈레일, PST 패널 산출 물량 검증
2) 공장 검사(FAT) 조건 및 성적서 첨부 명시</t>
        </is>
      </c>
      <c r="N11" s="218">
        <f>HYPERLINK(LEFT(CELL("filename",A1),FIND("[",CELL("filename",A1))-1)&amp;"매뉴얼BODY(집행단계-첨부폴더)v8\5.콘크리트도상\10_자재 발주 요청\수행지침\자재 발주 요청_수행지침.html", "👉 [클릭] 수행지침 열기 📄")</f>
        <v/>
      </c>
      <c r="O11" s="163" t="inlineStr">
        <is>
          <t>자재 발주 수량 설계 대조, 공급원 승인 필증 원본 확인, 발주 공문 승인 요청</t>
        </is>
      </c>
      <c r="P11" s="219">
        <f>HYPERLINK(LEFT(CELL("filename",A1),FIND("[",CELL("filename",A1))-1)&amp;"매뉴얼BODY(집행단계-첨부폴더)v8\5.콘크리트도상\10_자재 발주 요청\체크리스트\자재 발주 요청_체크리스트.html", "👉 [클릭] 체크리스트 열기 📄")</f>
        <v/>
      </c>
      <c r="Q11" s="163" t="n"/>
      <c r="R11" s="208" t="inlineStr">
        <is>
          <t>● 조달 지침 및 품질 규격 검토</t>
        </is>
      </c>
      <c r="S11" s="205" t="inlineStr">
        <is>
          <t>1) 👉 [더블클릭]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row>
    <row r="12" ht="52" customHeight="1" s="147">
      <c r="A12" s="199" t="inlineStr">
        <is>
          <t>9000</t>
        </is>
      </c>
      <c r="B12" s="199" t="inlineStr">
        <is>
          <t>9000-5</t>
        </is>
      </c>
      <c r="C12" s="199" t="inlineStr">
        <is>
          <t>콘크리트도상</t>
        </is>
      </c>
      <c r="D12" s="199" t="inlineStr">
        <is>
          <t>9000-5-11</t>
        </is>
      </c>
      <c r="E12" s="200" t="inlineStr">
        <is>
          <t>9000-5-10</t>
        </is>
      </c>
      <c r="F12" s="200" t="inlineStr">
        <is>
          <t>9000-5-12</t>
        </is>
      </c>
      <c r="G12" s="155" t="inlineStr">
        <is>
          <t>궤도공 전반에 대한 수행 계획 공유</t>
        </is>
      </c>
      <c r="H12" s="200" t="inlineStr">
        <is>
          <t>현장 공사팀/공무팀/안전팀/품질팀</t>
        </is>
      </c>
      <c r="I12" s="200" t="inlineStr">
        <is>
          <t>- 공사 위치, 공사 수행 순서, 공사 수행방법 설명 회의를 통한 공유
- 주요 공정별 시공/안전/장비/자재관련 유의사항 토의
- 문제점 발굴 및 대책 마련 브레인 스토밍</t>
        </is>
      </c>
      <c r="J12" s="156" t="inlineStr">
        <is>
          <t>궤도공사 시공계획서, 안전보건계획서</t>
        </is>
      </c>
      <c r="K12" s="156" t="inlineStr">
        <is>
          <t>콘크리트도상 시공 절차 및 공정 스케줄 작성. 궤간(+3,-1mm), 캔트(±2mm) 관리계획 수립.</t>
        </is>
      </c>
      <c r="L12" s="213">
        <f>HYPERLINK(LEFT(CELL("filename",A1),FIND("[",CELL("filename",A1))-1)&amp;"매뉴얼BODY(집행단계-첨부폴더)v8\5.콘크리트도상\11_시공계획 수립\표준서\시공계획 수립_표준서.html", "👉 [클릭] 표준서 열기 📄")</f>
        <v/>
      </c>
      <c r="M12" s="156" t="inlineStr">
        <is>
          <t>1) HBS 노반 지지력 검증 및 궤도 정밀 CP 측량 시공계획 수립
2) 스핀들 게이지 조정, 테르밋 용접(EN 14730) 및 TCL 콘크리트 타설 수칙 수립</t>
        </is>
      </c>
      <c r="N12" s="214">
        <f>HYPERLINK(LEFT(CELL("filename",A1),FIND("[",CELL("filename",A1))-1)&amp;"매뉴얼BODY(집행단계-첨부폴더)v8\5.콘크리트도상\11_시공계획 수립\수행지침\11_시공계획 수립_수행지침.html", "👉 [클릭] 수행지침 열기 📄")</f>
        <v/>
      </c>
      <c r="O12" s="156" t="inlineStr">
        <is>
          <t>시공계획서 감리단 최종 승인, 선형 관리 한계선 설정 확인, 품질보증계획서 제출</t>
        </is>
      </c>
      <c r="P12" s="215">
        <f>HYPERLINK(LEFT(CELL("filename",A1),FIND("[",CELL("filename",A1))-1)&amp;"매뉴얼BODY(집행단계-첨부폴더)v8\5.콘크리트도상\11_시공계획 수립\체크리스트\시공계획 수립_체크리스트.html", "👉 [클릭] 체크리스트 열기 📄")</f>
        <v/>
      </c>
      <c r="Q12" s="156" t="n"/>
      <c r="R12" s="203" t="inlineStr">
        <is>
          <t>● 궤도 공사 표준시방서 만족</t>
        </is>
      </c>
      <c r="S12" s="200" t="inlineStr">
        <is>
          <t>1) 👉 [더블클릭]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row>
    <row r="13" ht="52" customHeight="1" s="147">
      <c r="A13" s="204" t="inlineStr">
        <is>
          <t>9000</t>
        </is>
      </c>
      <c r="B13" s="204" t="inlineStr">
        <is>
          <t>9000-5</t>
        </is>
      </c>
      <c r="C13" s="204" t="inlineStr">
        <is>
          <t>콘크리트도상</t>
        </is>
      </c>
      <c r="D13" s="204" t="inlineStr">
        <is>
          <t>9000-5-12</t>
        </is>
      </c>
      <c r="E13" s="205" t="inlineStr">
        <is>
          <t>9000-5-11</t>
        </is>
      </c>
      <c r="F13" s="205" t="inlineStr">
        <is>
          <t>9000-5-13</t>
        </is>
      </c>
      <c r="G13" s="162" t="inlineStr">
        <is>
          <t>매립형 궤도/반-PC슬래브용 주요 자재 반입</t>
        </is>
      </c>
      <c r="H13" s="205" t="inlineStr">
        <is>
          <t>현장 공사팀/자재팀</t>
        </is>
      </c>
      <c r="I13" s="205"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63" t="inlineStr">
        <is>
          <t>자재인수검사 대장, 불량재 처리부</t>
        </is>
      </c>
      <c r="K13" s="163" t="inlineStr">
        <is>
          <t>반입 자재의 공장 성적서 대조 및 감리 입회 자재 인수 검사 수행. 변형/균열 자재 전량 반출.</t>
        </is>
      </c>
      <c r="L13" s="217">
        <f>HYPERLINK(LEFT(CELL("filename",A1),FIND("[",CELL("filename",A1))-1)&amp;"매뉴얼BODY(집행단계-첨부폴더)v8\5.콘크리트도상\12_자재 반입\표준서\자재 반입_표준서.html", "👉 [클릭] 표준서 열기 📄")</f>
        <v/>
      </c>
      <c r="M13" s="163" t="inlineStr">
        <is>
          <t>1) 송장, 공장 시험성적서 및 KCS 시방 사양 대조
2) 레일 표면 흠집 및 PST 패널 치수 오차(±2mm) 측정</t>
        </is>
      </c>
      <c r="N13" s="218">
        <f>HYPERLINK(LEFT(CELL("filename",A1),FIND("[",CELL("filename",A1))-1)&amp;"매뉴얼BODY(집행단계-첨부폴더)v8\5.콘크리트도상\12_자재 반입\수행지침\자재 반입_수행지침.html", "👉 [클릭] 수행지침 열기 📄")</f>
        <v/>
      </c>
      <c r="O13" s="163" t="inlineStr">
        <is>
          <t>인수 검서 보고서 감리 서명, 자재 고유 마킹 대조, 손상 자재 반출 대장 기록</t>
        </is>
      </c>
      <c r="P13" s="219">
        <f>HYPERLINK(LEFT(CELL("filename",A1),FIND("[",CELL("filename",A1))-1)&amp;"매뉴얼BODY(집행단계-첨부폴더)v8\5.콘크리트도상\12_자재 반입\체크리스트\자재 반입_체크리스트.html", "👉 [클릭] 체크리스트 열기 📄")</f>
        <v/>
      </c>
      <c r="Q13" s="163" t="n"/>
      <c r="R13" s="208" t="inlineStr">
        <is>
          <t>● 자재 시험성적서 및 외산 자재 수입 적격 증명</t>
        </is>
      </c>
      <c r="S13" s="205" t="inlineStr">
        <is>
          <t>1) 👉 [더블클릭]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row>
    <row r="14" ht="52" customHeight="1" s="147">
      <c r="A14" s="199" t="inlineStr">
        <is>
          <t>9000</t>
        </is>
      </c>
      <c r="B14" s="199" t="inlineStr">
        <is>
          <t>9000-5</t>
        </is>
      </c>
      <c r="C14" s="199" t="inlineStr">
        <is>
          <t>콘크리트도상</t>
        </is>
      </c>
      <c r="D14" s="199" t="inlineStr">
        <is>
          <t>9000-5-13</t>
        </is>
      </c>
      <c r="E14" s="200" t="inlineStr">
        <is>
          <t>9000-5-12</t>
        </is>
      </c>
      <c r="F14" s="200" t="inlineStr">
        <is>
          <t>9000-5-14</t>
        </is>
      </c>
      <c r="G14" s="155" t="inlineStr">
        <is>
          <t>기존 도로구간 노상토의 지지력 검증</t>
        </is>
      </c>
      <c r="H14" s="200" t="inlineStr">
        <is>
          <t>현장 공사팀</t>
        </is>
      </c>
      <c r="I14" s="200" t="inlineStr">
        <is>
          <t>- 사전토공사 인수계획서 확인
- 터파기 시행 후 들밀도 시험을 통한 상대다짐도 또는 현장 재하시험을 통한 강화노반변형률 계수 확인
- 배수 상태 점검</t>
        </is>
      </c>
      <c r="J14" s="156" t="inlineStr">
        <is>
          <t>강화노반 인수교차측량 대장, PBT 성적철</t>
        </is>
      </c>
      <c r="K14" s="156" t="inlineStr">
        <is>
          <t>기초 노반 표면의 지지력 검증. 평판재하시험 K30 ≥ 110 MN/m³ 또는 Ev2 ≥ 120 MPa 확인.</t>
        </is>
      </c>
      <c r="L14" s="156" t="inlineStr">
        <is>
          <t>-</t>
        </is>
      </c>
      <c r="M14" s="156" t="inlineStr">
        <is>
          <t>1) 노반 공종으로부터 지지력 K70 ≥ 150 MPa/m 성적서 수령
2) 노반 높이 오차(±10mm 이내) 광학 레벨 측량 검증</t>
        </is>
      </c>
      <c r="N14" s="201" t="inlineStr">
        <is>
          <t>-</t>
        </is>
      </c>
      <c r="O14" s="156" t="inlineStr">
        <is>
          <t>K30 성적서 원본 대조, 노반 마무리면 요철 제거 상태, 횡단 구배 2.0% 만족 확인</t>
        </is>
      </c>
      <c r="P14" s="202" t="inlineStr">
        <is>
          <t>-</t>
        </is>
      </c>
      <c r="Q14" s="156" t="n"/>
      <c r="R14" s="203" t="inlineStr">
        <is>
          <t>● 강화노반 K30 지지력 계수 규격 준수</t>
        </is>
      </c>
      <c r="S14" s="200" t="inlineStr">
        <is>
          <t>1) 👉 [더블클릭]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row>
    <row r="15" ht="52" customHeight="1" s="147">
      <c r="A15" s="204" t="inlineStr">
        <is>
          <t>9000</t>
        </is>
      </c>
      <c r="B15" s="204" t="inlineStr">
        <is>
          <t>9000-5</t>
        </is>
      </c>
      <c r="C15" s="204" t="inlineStr">
        <is>
          <t>콘크리트도상</t>
        </is>
      </c>
      <c r="D15" s="204" t="inlineStr">
        <is>
          <t>9000-5-14</t>
        </is>
      </c>
      <c r="E15" s="205" t="inlineStr">
        <is>
          <t>9000-5-13</t>
        </is>
      </c>
      <c r="F15" s="205" t="inlineStr">
        <is>
          <t>9000-5-15</t>
        </is>
      </c>
      <c r="G15" s="162" t="inlineStr">
        <is>
          <t>강화노반 상부 기초콘크리트로 TCL, 반-PC 슬래브 안정성 확보</t>
        </is>
      </c>
      <c r="H15" s="205" t="inlineStr">
        <is>
          <t>현장 공사팀</t>
        </is>
      </c>
      <c r="I15" s="205" t="inlineStr">
        <is>
          <t>슬럼프 값 10cm 이하, 압축강도 18Mpa 이상 콘크리트 타설
- 품질확보를 위해 공장과 현장 이격거리 4.8km 이내</t>
        </is>
      </c>
      <c r="J15" s="163" t="inlineStr">
        <is>
          <t>HBR 콘크리트 품질시험표, 양생온도일지</t>
        </is>
      </c>
      <c r="K15" s="163" t="inlineStr">
        <is>
          <t>강화노반 상부 기초콘크리트(HBR) 28일 압축강도 ≥ 21 MPa 확보. 고주파 다짐 및 습윤 양생 7일.</t>
        </is>
      </c>
      <c r="L15" s="163" t="inlineStr">
        <is>
          <t>-</t>
        </is>
      </c>
      <c r="M15" s="163" t="inlineStr">
        <is>
          <t>1) 콘크리트 시멘트풀 유출 방지 거푸집 패킹 설치
2) 콜드조인트 방지 연속 타설 및 바이브레이터 밀실 다짐</t>
        </is>
      </c>
      <c r="N15" s="206" t="inlineStr">
        <is>
          <t>-</t>
        </is>
      </c>
      <c r="O15" s="163" t="inlineStr">
        <is>
          <t>HBR 강도 시험 성적서, 습윤 부직포 포설 상태, 타설 두께 오차 ±10mm 이내 검속</t>
        </is>
      </c>
      <c r="P15" s="207" t="inlineStr">
        <is>
          <t>-</t>
        </is>
      </c>
      <c r="Q15" s="163" t="n"/>
      <c r="R15" s="208" t="inlineStr">
        <is>
          <t>● 기초 콘크리트 압축강도 및 공차 관리</t>
        </is>
      </c>
      <c r="S15" s="205" t="inlineStr">
        <is>
          <t>1) 👉 [더블클릭]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row>
    <row r="16" ht="52" customHeight="1" s="147">
      <c r="A16" s="199" t="inlineStr">
        <is>
          <t>9000</t>
        </is>
      </c>
      <c r="B16" s="199" t="inlineStr">
        <is>
          <t>9000-5</t>
        </is>
      </c>
      <c r="C16" s="199" t="inlineStr">
        <is>
          <t>콘크리트도상</t>
        </is>
      </c>
      <c r="D16" s="199" t="inlineStr">
        <is>
          <t>9000-5-15</t>
        </is>
      </c>
      <c r="E16" s="200" t="inlineStr">
        <is>
          <t>9000-5-14</t>
        </is>
      </c>
      <c r="F16" s="200" t="inlineStr">
        <is>
          <t>9000-5-16</t>
        </is>
      </c>
      <c r="G16" s="155" t="inlineStr">
        <is>
          <t>궤광지지체 구간의 PC 슬래브로 교차로/교량구간 급속시공 필요</t>
        </is>
      </c>
      <c r="H16" s="200" t="inlineStr">
        <is>
          <t>현장 공사팀</t>
        </is>
      </c>
      <c r="I16" s="200"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56" t="inlineStr">
        <is>
          <t>PC슬래브 거치 수준 실측표, 평탄성 대장</t>
        </is>
      </c>
      <c r="K16" s="156" t="inlineStr">
        <is>
          <t>PC 슬래브 패널 평탄성 오차 ±3mm 이내 거치. 광학 토탈스테이션 연동 정밀 3D 얼라인먼트.</t>
        </is>
      </c>
      <c r="L16" s="156" t="inlineStr">
        <is>
          <t>-</t>
        </is>
      </c>
      <c r="M16" s="156" t="inlineStr">
        <is>
          <t>1) 노반 표면 이물질 청소 및 광학 측량기 셋팅
2) 점 인양 빔으로 패널 거치 후 스핀들 게이지 정밀 수평 조정</t>
        </is>
      </c>
      <c r="N16" s="201" t="inlineStr">
        <is>
          <t>-</t>
        </is>
      </c>
      <c r="O16" s="156" t="inlineStr">
        <is>
          <t>Screw Jack 레벨 정위치 고정, 3D 광학 실측 좌표 일치, 코너 크랙 육안 검사</t>
        </is>
      </c>
      <c r="P16" s="202" t="inlineStr">
        <is>
          <t>-</t>
        </is>
      </c>
      <c r="Q16" s="156" t="n"/>
      <c r="R16" s="203" t="inlineStr">
        <is>
          <t>● PC 슬래브 제작 허용 오차 만족</t>
        </is>
      </c>
      <c r="S16" s="200" t="inlineStr">
        <is>
          <t>1) 👉 [더블클릭]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row>
    <row r="17" ht="52" customHeight="1" s="147">
      <c r="A17" s="204" t="inlineStr">
        <is>
          <t>9000</t>
        </is>
      </c>
      <c r="B17" s="204" t="inlineStr">
        <is>
          <t>9000-5</t>
        </is>
      </c>
      <c r="C17" s="204" t="inlineStr">
        <is>
          <t>콘크리트도상</t>
        </is>
      </c>
      <c r="D17" s="204" t="inlineStr">
        <is>
          <t>9000-5-16</t>
        </is>
      </c>
      <c r="E17" s="205" t="inlineStr">
        <is>
          <t>9000-5-15</t>
        </is>
      </c>
      <c r="F17" s="205" t="inlineStr">
        <is>
          <t>9000-5-17</t>
        </is>
      </c>
      <c r="G17" s="162" t="inlineStr">
        <is>
          <t>HBS, TCL층과 일체화를 위하여 전단앵커를 설치하고 몰탈 충전재 주입</t>
        </is>
      </c>
      <c r="H17" s="205" t="inlineStr">
        <is>
          <t>현장 공사팀</t>
        </is>
      </c>
      <c r="I17" s="205"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63" t="inlineStr">
        <is>
          <t>앵커 시공인장 시험기록, 그라우트 공시체 강도대장</t>
        </is>
      </c>
      <c r="K17" s="163" t="inlineStr">
        <is>
          <t>전단앵커 구멍 천공 깊이 및 수직도 확보. 무수축 모르타르 그라우트 압축강도 ≥ 30 MPa 충전.</t>
        </is>
      </c>
      <c r="L17" s="163" t="inlineStr">
        <is>
          <t>-</t>
        </is>
      </c>
      <c r="M17" s="163" t="inlineStr">
        <is>
          <t>1) 앵커 홀 이물질 제거 및 무수축 그라우트 배합비 확인
2) 음향 탐사로 공기 공동 파악 및 45 MPa 몰드 시험 확인</t>
        </is>
      </c>
      <c r="N17" s="206" t="inlineStr">
        <is>
          <t>-</t>
        </is>
      </c>
      <c r="O17" s="163" t="inlineStr">
        <is>
          <t>천공 깊이 측정 게이지 점검, 앵커 인장 강도 확인, 원웨이 주입 배출구 몰탈 오버플로우 확인</t>
        </is>
      </c>
      <c r="P17" s="207" t="inlineStr">
        <is>
          <t>-</t>
        </is>
      </c>
      <c r="Q17" s="163" t="n"/>
      <c r="R17" s="208" t="inlineStr">
        <is>
          <t>● 충전 몰탈 품질 및 전단앵커 정착 깊이</t>
        </is>
      </c>
      <c r="S17" s="205" t="inlineStr">
        <is>
          <t>1) 👉 [더블클릭]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row>
    <row r="18" ht="52" customHeight="1" s="147">
      <c r="A18" s="199" t="inlineStr">
        <is>
          <t>9000</t>
        </is>
      </c>
      <c r="B18" s="199" t="inlineStr">
        <is>
          <t>9000-5</t>
        </is>
      </c>
      <c r="C18" s="199" t="inlineStr">
        <is>
          <t>콘크리트도상</t>
        </is>
      </c>
      <c r="D18" s="199" t="inlineStr">
        <is>
          <t>9000-5-17</t>
        </is>
      </c>
      <c r="E18" s="200" t="inlineStr">
        <is>
          <t>9000-5-16</t>
        </is>
      </c>
      <c r="F18" s="200" t="inlineStr">
        <is>
          <t>9000-5-18</t>
        </is>
      </c>
      <c r="G18" s="155" t="inlineStr">
        <is>
          <t>TCL 철근조립 및 부설시 매립형 궤도를 포함한 궤광의 변위 발생 방지</t>
        </is>
      </c>
      <c r="H18" s="200" t="inlineStr">
        <is>
          <t>현장 공사팀</t>
        </is>
      </c>
      <c r="I18" s="200" t="inlineStr">
        <is>
          <t>임시침목을 이용한 궤광 설치 및 줄틀림, 면틀림, 중심간격 허용오차는 3mm 이내
- 종방향, 횡방향 철근 조립시 2m 간격설치, 철근처짐이 없도록 용접 또는 결속</t>
        </is>
      </c>
      <c r="J18" s="156" t="inlineStr">
        <is>
          <t>철근배근 검측서, 신호 이격 거리표</t>
        </is>
      </c>
      <c r="K18" s="156" t="inlineStr">
        <is>
          <t>1,435mm 표준궤 정밀 유지 타이바 설치. 철근 피복 두께 40mm 확보 및 신호 감선 이격 150mm.</t>
        </is>
      </c>
      <c r="L18" s="156" t="inlineStr">
        <is>
          <t>-</t>
        </is>
      </c>
      <c r="M18" s="156" t="inlineStr">
        <is>
          <t>1) CP 광학 레벨기로 궤도 중심선 및 기준 높이 확인
2) 궤간 1,435mm(+3,-1mm) 고정 및 캔트/수평 오차 ±2mm 이내 정밀 정열</t>
        </is>
      </c>
      <c r="N18" s="201" t="inlineStr">
        <is>
          <t>-</t>
        </is>
      </c>
      <c r="O18" s="156" t="inlineStr">
        <is>
          <t>철근 결속선 긴장 상태, 타이바 조임 토크 확인, 신호 루프 케이블 배근 이격 확인</t>
        </is>
      </c>
      <c r="P18" s="202" t="inlineStr">
        <is>
          <t>-</t>
        </is>
      </c>
      <c r="Q18" s="156" t="n"/>
      <c r="R18" s="203" t="inlineStr">
        <is>
          <t>● 궤도 기하구조 공차(3mm 이내) 관리</t>
        </is>
      </c>
      <c r="S18" s="200" t="inlineStr">
        <is>
          <t>1) 👉 [더블클릭]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row>
    <row r="19" ht="52" customHeight="1" s="147">
      <c r="A19" s="204" t="inlineStr">
        <is>
          <t>9000</t>
        </is>
      </c>
      <c r="B19" s="204" t="inlineStr">
        <is>
          <t>9000-5</t>
        </is>
      </c>
      <c r="C19" s="204" t="inlineStr">
        <is>
          <t>콘크리트도상</t>
        </is>
      </c>
      <c r="D19" s="204" t="inlineStr">
        <is>
          <t>9000-5-18</t>
        </is>
      </c>
      <c r="E19" s="205" t="inlineStr">
        <is>
          <t>9000-5-17</t>
        </is>
      </c>
      <c r="F19" s="205" t="inlineStr">
        <is>
          <t>9000-5-19</t>
        </is>
      </c>
      <c r="G19" s="162" t="inlineStr">
        <is>
          <t>거푸집 지지대는 철근이 타설압력에 의해 변위가 발생하지 않도록 앵커나 서포트로 고정</t>
        </is>
      </c>
      <c r="H19" s="205" t="inlineStr">
        <is>
          <t>현장 공사팀</t>
        </is>
      </c>
      <c r="I19" s="205" t="inlineStr">
        <is>
          <t>강재거푸집거푸집 반영
- 작업자 이동통로 확보가 되어 있는지 확인하고, 넘어짐 등의 안전사고가 발생하지 않도록 지지대에 별도 식별장치 설치</t>
        </is>
      </c>
      <c r="J19" s="163" t="inlineStr">
        <is>
          <t>거푸집설치 대조표, 박리제 검사철</t>
        </is>
      </c>
      <c r="K19" s="163" t="inlineStr">
        <is>
          <t>타설 측압 대비 서포트 앵커 W=1.0m 간격 고정. 거푸집 수평/수직 처짐 변위 ±2mm 이내 통제.</t>
        </is>
      </c>
      <c r="L19" s="163" t="inlineStr">
        <is>
          <t>-</t>
        </is>
      </c>
      <c r="M19" s="163" t="inlineStr">
        <is>
          <t>1) 거푸집 선형 검측표 작성 후 감리원 검측 승인
2) 거푸집 면 이물질 청소 및 환경 친화 박리제 균일 도포</t>
        </is>
      </c>
      <c r="N19" s="206" t="inlineStr">
        <is>
          <t>-</t>
        </is>
      </c>
      <c r="O19" s="163" t="inlineStr">
        <is>
          <t>거푸집 지지대 앵커 조임, 박리제 도포 상태, 이음매 틈새 누수 패킹 확인</t>
        </is>
      </c>
      <c r="P19" s="207" t="inlineStr">
        <is>
          <t>-</t>
        </is>
      </c>
      <c r="Q19" s="163" t="n"/>
      <c r="R19" s="208" t="inlineStr">
        <is>
          <t>● 가설재 강도 및 안전 난간 기준 준수</t>
        </is>
      </c>
      <c r="S19" s="205" t="inlineStr">
        <is>
          <t>1) 👉 [더블클릭]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row>
    <row r="20" ht="52" customHeight="1" s="147">
      <c r="A20" s="199" t="inlineStr">
        <is>
          <t>9000</t>
        </is>
      </c>
      <c r="B20" s="199" t="inlineStr">
        <is>
          <t>9000-5</t>
        </is>
      </c>
      <c r="C20" s="199" t="inlineStr">
        <is>
          <t>콘크리트도상</t>
        </is>
      </c>
      <c r="D20" s="199" t="inlineStr">
        <is>
          <t>9000-5-19</t>
        </is>
      </c>
      <c r="E20" s="200" t="inlineStr">
        <is>
          <t>9000-5-18</t>
        </is>
      </c>
      <c r="F20" s="200" t="inlineStr">
        <is>
          <t>9000-5-20</t>
        </is>
      </c>
      <c r="G20" s="155" t="inlineStr">
        <is>
          <t>TCL은 궤도 부속자재(레일, 고정액상수지 등)가 연결되어 있어, 선형조정 및 연마감 작업이 중요</t>
        </is>
      </c>
      <c r="H20" s="200" t="inlineStr">
        <is>
          <t>현장 공사팀</t>
        </is>
      </c>
      <c r="I20" s="200"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56" t="inlineStr">
        <is>
          <t>TCL 콘크리트 품질대장, 게이지 실시간 보정일지</t>
        </is>
      </c>
      <c r="K20" s="156" t="inlineStr">
        <is>
          <t>TCL 도상 콘크리트 강도 ≥ 35 MPa. 타설 중 실시간 궤간척(Gauge Bar) 캔트 오차 ±2mm 보정.</t>
        </is>
      </c>
      <c r="L20" s="156" t="inlineStr">
        <is>
          <t>-</t>
        </is>
      </c>
      <c r="M20" s="156" t="inlineStr">
        <is>
          <t>1) 타설 직전 스핀들 궤간/캔트 최종 정열 상태 측량
2) 고주파 다짐 실시 및 타설 중 실시간 궤간/캔트 오차 미세 조율</t>
        </is>
      </c>
      <c r="N20" s="201" t="inlineStr">
        <is>
          <t>-</t>
        </is>
      </c>
      <c r="O20" s="156" t="inlineStr">
        <is>
          <t>타설 중 궤간척 실시간 모니터링, 슬럼프 및 공기량 시험, 습윤 양생 부직포 포설 확인</t>
        </is>
      </c>
      <c r="P20" s="202" t="inlineStr">
        <is>
          <t>-</t>
        </is>
      </c>
      <c r="Q20" s="156" t="n"/>
      <c r="R20" s="203" t="inlineStr">
        <is>
          <t>● TCL 설계 높이 및 배수구 기울기 준수</t>
        </is>
      </c>
      <c r="S20" s="200" t="inlineStr">
        <is>
          <t>1) 👉 [더블클릭]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row>
    <row r="21" ht="52" customHeight="1" s="147">
      <c r="A21" s="204" t="inlineStr">
        <is>
          <t>9000</t>
        </is>
      </c>
      <c r="B21" s="204" t="inlineStr">
        <is>
          <t>9000-5</t>
        </is>
      </c>
      <c r="C21" s="204" t="inlineStr">
        <is>
          <t>콘크리트도상</t>
        </is>
      </c>
      <c r="D21" s="204" t="inlineStr">
        <is>
          <t>9000-5-20</t>
        </is>
      </c>
      <c r="E21" s="205" t="inlineStr">
        <is>
          <t>9000-5-19</t>
        </is>
      </c>
      <c r="F21" s="205" t="inlineStr">
        <is>
          <t>9000-5-21</t>
        </is>
      </c>
      <c r="G21" s="162" t="inlineStr">
        <is>
          <t>장대레일 제작을 위해 용접기에서 가스로 레일 단부를 가열한 후, 강한 압력을 가하여 레일을 접합</t>
        </is>
      </c>
      <c r="H21" s="205" t="inlineStr">
        <is>
          <t>현장 공사팀</t>
        </is>
      </c>
      <c r="I21" s="205"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63" t="inlineStr">
        <is>
          <t>가스압접 시공성적표, UT 비파괴보고서</t>
        </is>
      </c>
      <c r="K21" s="163" t="inlineStr">
        <is>
          <t>EN 14587 규격 준수. 레일 단부 가열(1200℃) 후 압송. 용접부 직선도 1m당 ±0.2mm 이내 정밀 연마.</t>
        </is>
      </c>
      <c r="L21" s="163" t="inlineStr">
        <is>
          <t>-</t>
        </is>
      </c>
      <c r="M21" s="163" t="inlineStr">
        <is>
          <t>1) 레일 단면 50mm 녹/기름 제거 및 가스 압접기 압력 교정
2) EN 14587 프로그램에 따라 자동 가열 및 버(Burr) 핫 쉐어링 전단</t>
        </is>
      </c>
      <c r="N21" s="206" t="inlineStr">
        <is>
          <t>-</t>
        </is>
      </c>
      <c r="O21" s="163" t="inlineStr">
        <is>
          <t>가스 압접 압력 게이지 확인, 용접부 급랭 방지 덮개 설치, 비파괴 시험(UT) 성적서 결재</t>
        </is>
      </c>
      <c r="P21" s="207" t="inlineStr">
        <is>
          <t>-</t>
        </is>
      </c>
      <c r="Q21" s="163" t="n"/>
      <c r="R21" s="208" t="inlineStr">
        <is>
          <t>● 용접부 인장 시험 및 비파괴 검사 규격 만족</t>
        </is>
      </c>
      <c r="S21" s="205" t="inlineStr">
        <is>
          <t>1) 👉 [더블클릭]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row>
    <row r="22" ht="52" customHeight="1" s="147">
      <c r="A22" s="199" t="inlineStr">
        <is>
          <t>9000</t>
        </is>
      </c>
      <c r="B22" s="199" t="inlineStr">
        <is>
          <t>9000-5</t>
        </is>
      </c>
      <c r="C22" s="199" t="inlineStr">
        <is>
          <t>콘크리트도상</t>
        </is>
      </c>
      <c r="D22" s="199" t="inlineStr">
        <is>
          <t>9000-5-21</t>
        </is>
      </c>
      <c r="E22" s="200" t="inlineStr">
        <is>
          <t>9000-5-20</t>
        </is>
      </c>
      <c r="F22" s="200" t="inlineStr">
        <is>
          <t>9000-5-22</t>
        </is>
      </c>
      <c r="G22" s="155" t="inlineStr">
        <is>
          <t>테르밋 용제를 예열된 장대레일 공간에 넣고 용융하여 모든 장대레일을 일체화</t>
        </is>
      </c>
      <c r="H22" s="200" t="inlineStr">
        <is>
          <t>현장 공사팀</t>
        </is>
      </c>
      <c r="I22" s="200"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56" t="inlineStr">
        <is>
          <t>테르밋 용접일지, MT 자분탐상 보고서</t>
        </is>
      </c>
      <c r="K22" s="156" t="inlineStr">
        <is>
          <t>EN 14730 규격 준수. 도가니 반응 후 슬래그 분리. 직선도 오차 ±0.2mm 이내 및 NDT 100% 합격.</t>
        </is>
      </c>
      <c r="L22" s="156" t="inlineStr">
        <is>
          <t>-</t>
        </is>
      </c>
      <c r="M22" s="156" t="inlineStr">
        <is>
          <t>1) 레일 끝단 23~26mm 유격 조정 및 레일 정열 클램프 고정
2) 몰드 밀봉 후 테르밋 소모품點火 반응 주입 및 약 5분 후 유압 전단</t>
        </is>
      </c>
      <c r="N22" s="201" t="inlineStr">
        <is>
          <t>-</t>
        </is>
      </c>
      <c r="O22" s="156" t="inlineStr">
        <is>
          <t>테르밋 용제 예열 온도 확인, 도가니 수평 고정, 비파괴 검사(UT/MT) 전수 실시</t>
        </is>
      </c>
      <c r="P22" s="202" t="inlineStr">
        <is>
          <t>-</t>
        </is>
      </c>
      <c r="Q22" s="156" t="n"/>
      <c r="R22" s="203" t="inlineStr">
        <is>
          <t>● 테르밋 용접부 비파괴 검사(UT/PT) 및 공차</t>
        </is>
      </c>
      <c r="S22" s="200" t="inlineStr">
        <is>
          <t>1) 👉 [더블클릭]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row>
    <row r="23" ht="52" customHeight="1" s="147">
      <c r="A23" s="204" t="inlineStr">
        <is>
          <t>9000</t>
        </is>
      </c>
      <c r="B23" s="204" t="inlineStr">
        <is>
          <t>9000-5</t>
        </is>
      </c>
      <c r="C23" s="204" t="inlineStr">
        <is>
          <t>콘크리트도상</t>
        </is>
      </c>
      <c r="D23" s="204" t="inlineStr">
        <is>
          <t>9000-5-22</t>
        </is>
      </c>
      <c r="E23" s="205" t="inlineStr">
        <is>
          <t>9000-5-21</t>
        </is>
      </c>
      <c r="F23" s="205" t="inlineStr">
        <is>
          <t>9000-5-23</t>
        </is>
      </c>
      <c r="G23" s="162" t="inlineStr">
        <is>
          <t>레일 연마 or 밀링작업을 통해 선로의 평탄화증을 제거하여 레일 수명 향상 및 운행 안정성 개선</t>
        </is>
      </c>
      <c r="H23" s="205" t="inlineStr">
        <is>
          <t>현장 공사팀</t>
        </is>
      </c>
      <c r="I23" s="205"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63" t="inlineStr">
        <is>
          <t>선로 평탄성검사 성적표, 조도 실측야장</t>
        </is>
      </c>
      <c r="K23" s="163" t="inlineStr">
        <is>
          <t>레일 마무리면 평탄성 1m 기준 오차 ±0.2mm 이내 밀링. 레일 과열에 의한 열응력 크랙 방지.</t>
        </is>
      </c>
      <c r="L23" s="163" t="inlineStr">
        <is>
          <t>-</t>
        </is>
      </c>
      <c r="M23" s="163" t="inlineStr">
        <is>
          <t>1) 조도계로 Ra ≤ 10㎛ 판정 및 레일 연마 검측 승인
2) 장대레일 구간 연마/밀링 장비 점검 및 표면 단차 사전 조사</t>
        </is>
      </c>
      <c r="N23" s="206" t="inlineStr">
        <is>
          <t>-</t>
        </is>
      </c>
      <c r="O23" s="163" t="inlineStr">
        <is>
          <t>레일 조도/평탄성 측정 성적서, 절삭유 적정 분사 상태, 마이크로미터 선로 실측</t>
        </is>
      </c>
      <c r="P23" s="207" t="inlineStr">
        <is>
          <t>-</t>
        </is>
      </c>
      <c r="Q23" s="163" t="n"/>
      <c r="R23" s="208" t="inlineStr">
        <is>
          <t>● 레일 두부 프로파일 측정 및 평탄도 기준</t>
        </is>
      </c>
      <c r="S23" s="205" t="inlineStr">
        <is>
          <t>1) 👉 [더블클릭]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row>
    <row r="24" ht="52" customFormat="1" customHeight="1" s="52">
      <c r="A24" s="199" t="inlineStr">
        <is>
          <t>9000</t>
        </is>
      </c>
      <c r="B24" s="199" t="inlineStr">
        <is>
          <t>9000-5</t>
        </is>
      </c>
      <c r="C24" s="199" t="inlineStr">
        <is>
          <t>콘크리트도상</t>
        </is>
      </c>
      <c r="D24" s="199" t="inlineStr">
        <is>
          <t>9000-5-23</t>
        </is>
      </c>
      <c r="E24" s="200" t="inlineStr">
        <is>
          <t>9000-5-22</t>
        </is>
      </c>
      <c r="F24" s="200" t="inlineStr">
        <is>
          <t>-</t>
        </is>
      </c>
      <c r="G24" s="155" t="inlineStr">
        <is>
          <t>완료구간 후속공사 인수인계</t>
        </is>
      </c>
      <c r="H24" s="200" t="inlineStr">
        <is>
          <t>현장 공사팀/품질팀</t>
        </is>
      </c>
      <c r="I24" s="200" t="inlineStr">
        <is>
          <t>완료된 궤도 구간에 대해 후속 분야(전기, 신호 등)가 공사를 진행할 수 있도록 인계</t>
        </is>
      </c>
      <c r="J24" s="156" t="inlineStr">
        <is>
          <t>궤도 완공 인수서명부, 절연저항 성적철</t>
        </is>
      </c>
      <c r="K24" s="156" t="inlineStr">
        <is>
          <t>전기/신호/노반 담당자 입회 하에 궤도 회로 절연 저항 ≥ 100MΩ 검속. 준공 도면 일치 서명.</t>
        </is>
      </c>
      <c r="L24" s="156" t="inlineStr">
        <is>
          <t>-</t>
        </is>
      </c>
      <c r="M24" s="156" t="inlineStr">
        <is>
          <t>1) 궤도 회로 절연 및 궤간 오차 현장 합동 확인
2) 구간별 NDT 용접 성과표, 강도 성적서 및 궤도 정열표 대조</t>
        </is>
      </c>
      <c r="N24" s="201" t="inlineStr">
        <is>
          <t>-</t>
        </is>
      </c>
      <c r="O24" s="156" t="inlineStr">
        <is>
          <t>3자 공동 인수 서명 날인, 절연 저항 테스트 결과표 첨부, CAD 준공 대장 제출</t>
        </is>
      </c>
      <c r="P24" s="202" t="inlineStr">
        <is>
          <t>-</t>
        </is>
      </c>
      <c r="Q24" s="156" t="n"/>
      <c r="R24" s="203" t="inlineStr">
        <is>
          <t>● 후속 공종 인수인계 표준 지침</t>
        </is>
      </c>
      <c r="S24" s="200" t="inlineStr">
        <is>
          <t>1) 👉 [더블클릭]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RK65"/>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J13" sqref="J13"/>
    </sheetView>
  </sheetViews>
  <sheetFormatPr baseColWidth="8" defaultRowHeight="19.2"/>
  <cols>
    <col width="10" customWidth="1" style="3" min="1" max="1"/>
    <col width="10" customWidth="1" style="3" min="2" max="2"/>
    <col width="18" customWidth="1" style="3" min="3" max="3"/>
    <col width="12" customWidth="1" style="4" min="4" max="4"/>
    <col width="10" customWidth="1" style="4" min="5" max="5"/>
    <col width="10" customWidth="1" style="4" min="6" max="6"/>
    <col width="30" customWidth="1" style="4" min="7" max="7"/>
    <col width="14" customWidth="1" style="3" min="8" max="8"/>
    <col width="14" customWidth="1" style="3" min="9" max="9"/>
    <col width="38" customWidth="1" style="3" min="10" max="10"/>
    <col width="54" customWidth="1" style="25" min="11" max="11"/>
    <col width="30" customWidth="1" style="25" min="12" max="12"/>
    <col width="36" customWidth="1" style="3" min="13" max="13"/>
    <col width="24" customWidth="1" style="3" min="14" max="14"/>
    <col width="36" customWidth="1" style="25" min="15" max="15"/>
    <col width="24" customWidth="1" style="3" min="16" max="16"/>
    <col width="36" customWidth="1" style="25" min="17" max="17"/>
    <col width="24" customWidth="1" style="25"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c r="FU1" s="198" t="n"/>
      <c r="FV1" s="198" t="n"/>
      <c r="FW1" s="198" t="n"/>
      <c r="FX1" s="198" t="n"/>
      <c r="FY1" s="198" t="n"/>
      <c r="FZ1" s="198" t="n"/>
      <c r="GA1" s="198" t="n"/>
      <c r="GB1" s="198" t="n"/>
      <c r="GC1" s="198" t="n"/>
      <c r="GD1" s="198" t="n"/>
      <c r="GE1" s="198" t="n"/>
      <c r="GF1" s="198" t="n"/>
      <c r="GG1" s="198" t="n"/>
      <c r="GH1" s="198" t="n"/>
      <c r="GI1" s="198" t="n"/>
      <c r="GJ1" s="198" t="n"/>
      <c r="GK1" s="198" t="n"/>
      <c r="GL1" s="198" t="n"/>
      <c r="GM1" s="198" t="n"/>
      <c r="GN1" s="198" t="n"/>
      <c r="GO1" s="198" t="n"/>
      <c r="GP1" s="198" t="n"/>
      <c r="GQ1" s="198" t="n"/>
      <c r="GR1" s="198" t="n"/>
      <c r="GS1" s="198" t="n"/>
      <c r="GT1" s="198" t="n"/>
      <c r="GU1" s="198" t="n"/>
      <c r="GV1" s="198" t="n"/>
      <c r="GW1" s="198" t="n"/>
      <c r="GX1" s="198" t="n"/>
      <c r="GY1" s="198" t="n"/>
      <c r="GZ1" s="198" t="n"/>
      <c r="HA1" s="198" t="n"/>
      <c r="HB1" s="198" t="n"/>
      <c r="HC1" s="198" t="n"/>
      <c r="HD1" s="198" t="n"/>
      <c r="HE1" s="198" t="n"/>
      <c r="HF1" s="198" t="n"/>
      <c r="HG1" s="198" t="n"/>
      <c r="HH1" s="198" t="n"/>
      <c r="HI1" s="198" t="n"/>
      <c r="HJ1" s="198" t="n"/>
      <c r="HK1" s="198" t="n"/>
      <c r="HL1" s="198" t="n"/>
      <c r="HM1" s="198" t="n"/>
      <c r="HN1" s="198" t="n"/>
      <c r="HO1" s="198" t="n"/>
    </row>
    <row r="2" ht="52" customHeight="1" s="147">
      <c r="A2" s="199" t="inlineStr">
        <is>
          <t>9000</t>
        </is>
      </c>
      <c r="B2" s="199" t="inlineStr">
        <is>
          <t>9000-6</t>
        </is>
      </c>
      <c r="C2" s="199" t="inlineStr">
        <is>
          <t>건축</t>
        </is>
      </c>
      <c r="D2" s="199" t="inlineStr">
        <is>
          <t>9000-6-1</t>
        </is>
      </c>
      <c r="E2" s="200" t="inlineStr">
        <is>
          <t>-</t>
        </is>
      </c>
      <c r="F2" s="200" t="inlineStr">
        <is>
          <t>9000-6-2</t>
        </is>
      </c>
      <c r="G2" s="155"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H2" s="200" t="inlineStr">
        <is>
          <t>건축 설계 오류 및 누락사항 검토</t>
        </is>
      </c>
      <c r="I2" s="200" t="inlineStr">
        <is>
          <t>설계변경 예상 List, 회의록</t>
        </is>
      </c>
      <c r="J2" s="156"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213">
        <f>HYPERLINK(LEFT(CELL("filename",A1),FIND("[",CELL("filename",A1))-1)&amp;"매뉴얼BODY(집행단계-첨부폴더)v8\6.건축\1_설계 적정성 검토\표준서\설계 적정성 검토_표준서.html", "👉 [클릭] 표준서 열기 📄")</f>
        <v/>
      </c>
      <c r="L2" s="156"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213">
        <f>HYPERLINK(LEFT(CELL("filename",A1),FIND("[",CELL("filename",A1))-1)&amp;"매뉴얼BODY(집행단계-첨부폴더)v8\6.건축\1_설계 적정성 검토\수행지침\설계 적정성 검토_수행지침.html", "👉 [클릭] 수행지침 열기 📄")</f>
        <v/>
      </c>
      <c r="N2" s="20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213">
        <f>HYPERLINK(LEFT(CELL("filename",A1),FIND("[",CELL("filename",A1))-1)&amp;"매뉴얼BODY(집행단계-첨부폴더)v8\6.건축\1_설계 적정성 검토\체크리스트\설계 적정성 검토_체크리스트.html", "👉 [클릭] 체크리스트 열기 📄")</f>
        <v/>
      </c>
      <c r="P2" s="202" t="n"/>
      <c r="Q2" s="156" t="inlineStr">
        <is>
          <t>● 건축법 및 관련 소방, 정보통신 등 인터페이스 설계기준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c r="FY2" s="198" t="n"/>
      <c r="FZ2" s="198" t="n"/>
      <c r="GA2" s="198" t="n"/>
      <c r="GB2" s="198" t="n"/>
      <c r="GC2" s="198" t="n"/>
      <c r="GD2" s="198" t="n"/>
      <c r="GE2" s="198" t="n"/>
      <c r="GF2" s="198" t="n"/>
      <c r="GG2" s="198" t="n"/>
      <c r="GH2" s="198" t="n"/>
      <c r="GI2" s="198" t="n"/>
      <c r="GJ2" s="198" t="n"/>
      <c r="GK2" s="198" t="n"/>
      <c r="GL2" s="198" t="n"/>
      <c r="GM2" s="198" t="n"/>
      <c r="GN2" s="198" t="n"/>
      <c r="GO2" s="198" t="n"/>
      <c r="GP2" s="198" t="n"/>
      <c r="GQ2" s="198" t="n"/>
      <c r="GR2" s="198" t="n"/>
      <c r="GS2" s="198" t="n"/>
      <c r="GT2" s="198" t="n"/>
      <c r="GU2" s="198" t="n"/>
      <c r="GV2" s="198" t="n"/>
      <c r="GW2" s="198" t="n"/>
      <c r="GX2" s="198" t="n"/>
      <c r="GY2" s="198" t="n"/>
      <c r="GZ2" s="198" t="n"/>
      <c r="HA2" s="198" t="n"/>
      <c r="HB2" s="198" t="n"/>
      <c r="HC2" s="198" t="n"/>
      <c r="HD2" s="198" t="n"/>
      <c r="HE2" s="198" t="n"/>
      <c r="HF2" s="198" t="n"/>
      <c r="HG2" s="198" t="n"/>
      <c r="HH2" s="198" t="n"/>
      <c r="HI2" s="198" t="n"/>
      <c r="HJ2" s="198" t="n"/>
      <c r="HK2" s="198" t="n"/>
      <c r="HL2" s="198" t="n"/>
      <c r="HM2" s="198" t="n"/>
      <c r="HN2" s="198" t="n"/>
      <c r="HO2" s="198" t="n"/>
      <c r="HP2" s="198" t="n"/>
      <c r="HQ2" s="198" t="n"/>
      <c r="HR2" s="198" t="n"/>
      <c r="HS2" s="198" t="n"/>
    </row>
    <row r="3" ht="52" customHeight="1" s="147">
      <c r="A3" s="204" t="inlineStr">
        <is>
          <t>9000</t>
        </is>
      </c>
      <c r="B3" s="204" t="inlineStr">
        <is>
          <t>9000-6</t>
        </is>
      </c>
      <c r="C3" s="204" t="inlineStr">
        <is>
          <t>건축</t>
        </is>
      </c>
      <c r="D3" s="204" t="inlineStr">
        <is>
          <t>9000-6-2</t>
        </is>
      </c>
      <c r="E3" s="205" t="inlineStr">
        <is>
          <t>9000-6-1</t>
        </is>
      </c>
      <c r="F3" s="205" t="inlineStr">
        <is>
          <t>9000-6-3</t>
        </is>
      </c>
      <c r="G3" s="162" t="inlineStr">
        <is>
          <t>- 가시공 B/P 적정성 검토
- 현설조건 검토
- 공법 및 공기 검토
- 예산 적정성 검토
- 현장 여건 및 지반상태(기초, 말뚝등) 검토</t>
        </is>
      </c>
      <c r="H3" s="205" t="inlineStr">
        <is>
          <t>건축 구조물 및 내부, 마감공사 발주 전략 수립</t>
        </is>
      </c>
      <c r="I3" s="205" t="inlineStr">
        <is>
          <t>KOM 검토결과서, 현설서</t>
        </is>
      </c>
      <c r="J3" s="16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217">
        <f>HYPERLINK(LEFT(CELL("filename",A1),FIND("[",CELL("filename",A1))-1)&amp;"매뉴얼BODY(집행단계-첨부폴더)v8\6.건축\2_발주전략 KOM\표준서\발주전략 KOM_표준서.html", "👉 [클릭] 표준서 열기 📄")</f>
        <v/>
      </c>
      <c r="L3" s="16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217">
        <f>HYPERLINK(LEFT(CELL("filename",A1),FIND("[",CELL("filename",A1))-1)&amp;"매뉴얼BODY(집행단계-첨부폴더)v8\6.건축\2_발주전략 KOM\수행지침\발주전략 KOM_수행지침.html", "👉 [클릭] 수행지침 열기 📄")</f>
        <v/>
      </c>
      <c r="N3" s="206"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217">
        <f>HYPERLINK(LEFT(CELL("filename",A1),FIND("[",CELL("filename",A1))-1)&amp;"매뉴얼BODY(집행단계-첨부폴더)v8\6.건축\2_발주전략 KOM\체크리스트\발주전략 KOM_체크리스트.html", "👉 [클릭] 체크리스트 열기 📄")</f>
        <v/>
      </c>
      <c r="P3" s="207" t="n"/>
      <c r="Q3" s="163" t="inlineStr">
        <is>
          <t>● 본사외주부서, 수행부서, 토목견적팀 협의사항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c r="GC3" s="198" t="n"/>
      <c r="GD3" s="198" t="n"/>
      <c r="GE3" s="198" t="n"/>
      <c r="GF3" s="198" t="n"/>
      <c r="GG3" s="198" t="n"/>
      <c r="GH3" s="198" t="n"/>
      <c r="GI3" s="198" t="n"/>
      <c r="GJ3" s="198" t="n"/>
      <c r="GK3" s="198" t="n"/>
      <c r="GL3" s="198" t="n"/>
      <c r="GM3" s="198" t="n"/>
      <c r="GN3" s="198" t="n"/>
      <c r="GO3" s="198" t="n"/>
      <c r="GP3" s="198" t="n"/>
      <c r="GQ3" s="198" t="n"/>
      <c r="GR3" s="198" t="n"/>
      <c r="GS3" s="198" t="n"/>
      <c r="GT3" s="198" t="n"/>
      <c r="GU3" s="198" t="n"/>
      <c r="GV3" s="198" t="n"/>
      <c r="GW3" s="198" t="n"/>
      <c r="GX3" s="198" t="n"/>
      <c r="GY3" s="198" t="n"/>
      <c r="GZ3" s="198" t="n"/>
      <c r="HA3" s="198" t="n"/>
      <c r="HB3" s="198" t="n"/>
      <c r="HC3" s="198" t="n"/>
      <c r="HD3" s="198" t="n"/>
      <c r="HE3" s="198" t="n"/>
      <c r="HF3" s="198" t="n"/>
      <c r="HG3" s="198" t="n"/>
      <c r="HH3" s="198" t="n"/>
      <c r="HI3" s="198" t="n"/>
      <c r="HJ3" s="198" t="n"/>
      <c r="HK3" s="198" t="n"/>
      <c r="HL3" s="198" t="n"/>
      <c r="HM3" s="198" t="n"/>
      <c r="HN3" s="198" t="n"/>
      <c r="HO3" s="198" t="n"/>
      <c r="HP3" s="198" t="n"/>
      <c r="HQ3" s="198" t="n"/>
      <c r="HR3" s="198" t="n"/>
      <c r="HS3" s="198" t="n"/>
      <c r="HT3" s="198" t="n"/>
      <c r="HU3" s="198" t="n"/>
      <c r="HV3" s="198" t="n"/>
      <c r="HW3" s="198" t="n"/>
    </row>
    <row r="4" ht="52" customHeight="1" s="147">
      <c r="A4" s="199" t="inlineStr">
        <is>
          <t>9000</t>
        </is>
      </c>
      <c r="B4" s="199" t="inlineStr">
        <is>
          <t>9000-6</t>
        </is>
      </c>
      <c r="C4" s="199" t="inlineStr">
        <is>
          <t>건축</t>
        </is>
      </c>
      <c r="D4" s="199" t="inlineStr">
        <is>
          <t>9000-6-3</t>
        </is>
      </c>
      <c r="E4" s="200" t="inlineStr">
        <is>
          <t>9000-6-2</t>
        </is>
      </c>
      <c r="F4" s="200" t="inlineStr">
        <is>
          <t>9000-6-4</t>
        </is>
      </c>
      <c r="G4" s="155" t="inlineStr">
        <is>
          <t>- 건축허가 요청(-&gt;관할 지자체)
- 착공신고서 제출(-&gt;관할 지자체)
- 소방시설공사 착공신고서 제출 (-&gt;관할 소방서)
- 정보통신공사 착공전 설계도 확인(-&gt;관할 지자체)</t>
        </is>
      </c>
      <c r="H4" s="200" t="inlineStr">
        <is>
          <t>관련법에 따라 착수전 건축인허가 추진</t>
        </is>
      </c>
      <c r="I4" s="200" t="inlineStr">
        <is>
          <t>인허가 신고/승인 문서</t>
        </is>
      </c>
      <c r="J4" s="156"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213">
        <f>HYPERLINK(LEFT(CELL("filename",A1),FIND("[",CELL("filename",A1))-1)&amp;"매뉴얼BODY(집행단계-첨부폴더)v8\6.건축\3_착공전 건축 인허가\표준서\착공전 건축 인허가_표준서.html", "👉 [클릭] 표준서 열기 📄")</f>
        <v/>
      </c>
      <c r="L4" s="156"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213">
        <f>HYPERLINK(LEFT(CELL("filename",A1),FIND("[",CELL("filename",A1))-1)&amp;"매뉴얼BODY(집행단계-첨부폴더)v8\6.건축\3_착공전 건축 인허가\수행지침\착공전 건축 인허가_수행지침.html", "👉 [클릭] 수행지침 열기 📄")</f>
        <v/>
      </c>
      <c r="N4" s="20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213">
        <f>HYPERLINK(LEFT(CELL("filename",A1),FIND("[",CELL("filename",A1))-1)&amp;"매뉴얼BODY(집행단계-첨부폴더)v8\6.건축\3_착공전 건축 인허가\체크리스트\착공전 건축 인허가_체크리스트.html", "👉 [클릭] 체크리스트 열기 📄")</f>
        <v/>
      </c>
      <c r="P4" s="202" t="n"/>
      <c r="Q4" s="156" t="inlineStr">
        <is>
          <t>● 건축법, 소방시설공사업법, 정보통신공사업법 규정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c r="GG4" s="198" t="n"/>
      <c r="GH4" s="198" t="n"/>
      <c r="GI4" s="198" t="n"/>
      <c r="GJ4" s="198" t="n"/>
      <c r="GK4" s="198" t="n"/>
      <c r="GL4" s="198" t="n"/>
      <c r="GM4" s="198" t="n"/>
      <c r="GN4" s="198" t="n"/>
      <c r="GO4" s="198" t="n"/>
      <c r="GP4" s="198" t="n"/>
      <c r="GQ4" s="198" t="n"/>
      <c r="GR4" s="198" t="n"/>
      <c r="GS4" s="198" t="n"/>
      <c r="GT4" s="198" t="n"/>
      <c r="GU4" s="198" t="n"/>
      <c r="GV4" s="198" t="n"/>
      <c r="GW4" s="198" t="n"/>
      <c r="GX4" s="198" t="n"/>
      <c r="GY4" s="198" t="n"/>
      <c r="GZ4" s="198" t="n"/>
      <c r="HA4" s="198" t="n"/>
      <c r="HB4" s="198" t="n"/>
      <c r="HC4" s="198" t="n"/>
      <c r="HD4" s="198" t="n"/>
      <c r="HE4" s="198" t="n"/>
      <c r="HF4" s="198" t="n"/>
      <c r="HG4" s="198" t="n"/>
      <c r="HH4" s="198" t="n"/>
      <c r="HI4" s="198" t="n"/>
      <c r="HJ4" s="198" t="n"/>
      <c r="HK4" s="198" t="n"/>
      <c r="HL4" s="198" t="n"/>
      <c r="HM4" s="198" t="n"/>
      <c r="HN4" s="198" t="n"/>
      <c r="HO4" s="198" t="n"/>
      <c r="HP4" s="198" t="n"/>
      <c r="HQ4" s="198" t="n"/>
      <c r="HR4" s="198" t="n"/>
      <c r="HS4" s="198" t="n"/>
      <c r="HT4" s="198" t="n"/>
      <c r="HU4" s="198" t="n"/>
      <c r="HV4" s="198" t="n"/>
      <c r="HW4" s="198" t="n"/>
      <c r="HX4" s="198" t="n"/>
      <c r="HY4" s="198" t="n"/>
      <c r="HZ4" s="198" t="n"/>
      <c r="IA4" s="198" t="n"/>
    </row>
    <row r="5" ht="52" customHeight="1" s="147">
      <c r="A5" s="204" t="inlineStr">
        <is>
          <t>9000</t>
        </is>
      </c>
      <c r="B5" s="204" t="inlineStr">
        <is>
          <t>9000-6</t>
        </is>
      </c>
      <c r="C5" s="204" t="inlineStr">
        <is>
          <t>건축</t>
        </is>
      </c>
      <c r="D5" s="204" t="inlineStr">
        <is>
          <t>9000-6-4</t>
        </is>
      </c>
      <c r="E5" s="205" t="inlineStr">
        <is>
          <t>9000-6-3</t>
        </is>
      </c>
      <c r="F5" s="205" t="inlineStr">
        <is>
          <t>9000-6-5</t>
        </is>
      </c>
      <c r="G5" s="162" t="inlineStr">
        <is>
          <t>건축설계사, 현장준비팀 -&gt; 관할지자체
- 건축법 제11조(건축허가)
- 서식: 별지 제1호의4서식
- 관할지자체(시,군,구) 2일~15일</t>
        </is>
      </c>
      <c r="H5" s="205" t="inlineStr">
        <is>
          <t>건축허가요청</t>
        </is>
      </c>
      <c r="I5" s="205" t="inlineStr">
        <is>
          <t>건축허가 통보 문서</t>
        </is>
      </c>
      <c r="J5" s="16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217">
        <f>HYPERLINK(LEFT(CELL("filename",A1),FIND("[",CELL("filename",A1))-1)&amp;"매뉴얼BODY(집행단계-첨부폴더)v8\6.건축\4_건축허가 요청\표준서\건축허가 요청_표준서.html", "👉 [클릭] 표준서 열기 📄")</f>
        <v/>
      </c>
      <c r="L5" s="16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217">
        <f>HYPERLINK(LEFT(CELL("filename",A1),FIND("[",CELL("filename",A1))-1)&amp;"매뉴얼BODY(집행단계-첨부폴더)v8\6.건축\4_건축허가 요청\수행지침\건축허가 요청_수행지침.html", "👉 [클릭] 수행지침 열기 📄")</f>
        <v/>
      </c>
      <c r="N5" s="206"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217">
        <f>HYPERLINK(LEFT(CELL("filename",A1),FIND("[",CELL("filename",A1))-1)&amp;"매뉴얼BODY(집행단계-첨부폴더)v8\6.건축\4_건축허가 요청\체크리스트\건축허가 요청_체크리스트.html", "👉 [클릭] 체크리스트 열기 📄")</f>
        <v/>
      </c>
      <c r="P5" s="207" t="n"/>
      <c r="Q5" s="163" t="inlineStr">
        <is>
          <t>● 건축법 제11조</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c r="GK5" s="198" t="n"/>
      <c r="GL5" s="198" t="n"/>
      <c r="GM5" s="198" t="n"/>
      <c r="GN5" s="198" t="n"/>
      <c r="GO5" s="198" t="n"/>
      <c r="GP5" s="198" t="n"/>
      <c r="GQ5" s="198" t="n"/>
      <c r="GR5" s="198" t="n"/>
      <c r="GS5" s="198" t="n"/>
      <c r="GT5" s="198" t="n"/>
      <c r="GU5" s="198" t="n"/>
      <c r="GV5" s="198" t="n"/>
      <c r="GW5" s="198" t="n"/>
      <c r="GX5" s="198" t="n"/>
      <c r="GY5" s="198" t="n"/>
      <c r="GZ5" s="198" t="n"/>
      <c r="HA5" s="198" t="n"/>
      <c r="HB5" s="198" t="n"/>
      <c r="HC5" s="198" t="n"/>
      <c r="HD5" s="198" t="n"/>
      <c r="HE5" s="198" t="n"/>
      <c r="HF5" s="198" t="n"/>
      <c r="HG5" s="198" t="n"/>
      <c r="HH5" s="198" t="n"/>
      <c r="HI5" s="198" t="n"/>
      <c r="HJ5" s="198" t="n"/>
      <c r="HK5" s="198" t="n"/>
      <c r="HL5" s="198" t="n"/>
      <c r="HM5" s="198" t="n"/>
      <c r="HN5" s="198" t="n"/>
      <c r="HO5" s="198" t="n"/>
      <c r="HP5" s="198" t="n"/>
      <c r="HQ5" s="198" t="n"/>
      <c r="HR5" s="198" t="n"/>
      <c r="HS5" s="198" t="n"/>
      <c r="HT5" s="198" t="n"/>
      <c r="HU5" s="198" t="n"/>
      <c r="HV5" s="198" t="n"/>
      <c r="HW5" s="198" t="n"/>
      <c r="HX5" s="198" t="n"/>
      <c r="HY5" s="198" t="n"/>
      <c r="HZ5" s="198" t="n"/>
      <c r="IA5" s="198" t="n"/>
      <c r="IB5" s="198" t="n"/>
      <c r="IC5" s="198" t="n"/>
      <c r="ID5" s="198" t="n"/>
      <c r="IE5" s="198" t="n"/>
    </row>
    <row r="6" ht="52" customHeight="1" s="147">
      <c r="A6" s="199" t="inlineStr">
        <is>
          <t>9000</t>
        </is>
      </c>
      <c r="B6" s="199" t="inlineStr">
        <is>
          <t>9000-6</t>
        </is>
      </c>
      <c r="C6" s="199" t="inlineStr">
        <is>
          <t>건축</t>
        </is>
      </c>
      <c r="D6" s="199" t="inlineStr">
        <is>
          <t>9000-6-5</t>
        </is>
      </c>
      <c r="E6" s="200" t="inlineStr">
        <is>
          <t>9000-6-4</t>
        </is>
      </c>
      <c r="F6" s="200" t="inlineStr">
        <is>
          <t>9000-6-6</t>
        </is>
      </c>
      <c r="G6" s="155" t="inlineStr">
        <is>
          <t>현장 -&gt; 관할지자체
- 건축법 제21조(착공신고등)
- 서식: 별지 제13호 서식
- 제출후 지자체 처리기간 3일 이내</t>
        </is>
      </c>
      <c r="H6" s="200" t="inlineStr">
        <is>
          <t>착공신고서 제출</t>
        </is>
      </c>
      <c r="I6" s="200" t="inlineStr">
        <is>
          <t>착공신고서 승인 통보 문서</t>
        </is>
      </c>
      <c r="J6" s="156"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213">
        <f>HYPERLINK(LEFT(CELL("filename",A1),FIND("[",CELL("filename",A1))-1)&amp;"매뉴얼BODY(집행단계-첨부폴더)v8\6.건축\5_착공신고서 제출\표준서\착공신고서 제출_표준서.html", "👉 [클릭] 표준서 열기 📄")</f>
        <v/>
      </c>
      <c r="L6" s="156"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213">
        <f>HYPERLINK(LEFT(CELL("filename",A1),FIND("[",CELL("filename",A1))-1)&amp;"매뉴얼BODY(집행단계-첨부폴더)v8\6.건축\5_착공신고서 제출\수행지침\착공신고서 제출_수행지침.html", "👉 [클릭] 수행지침 열기 📄")</f>
        <v/>
      </c>
      <c r="N6" s="20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213">
        <f>HYPERLINK(LEFT(CELL("filename",A1),FIND("[",CELL("filename",A1))-1)&amp;"매뉴얼BODY(집행단계-첨부폴더)v8\6.건축\5_착공신고서 제출\체크리스트\착공신고서 제출_체크리스트.html", "👉 [클릭] 체크리스트 열기 📄")</f>
        <v/>
      </c>
      <c r="P6" s="202" t="n"/>
      <c r="Q6" s="156" t="inlineStr">
        <is>
          <t>● 건축법 제21조</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c r="GO6" s="198" t="n"/>
      <c r="GP6" s="198" t="n"/>
      <c r="GQ6" s="198" t="n"/>
      <c r="GR6" s="198" t="n"/>
      <c r="GS6" s="198" t="n"/>
      <c r="GT6" s="198" t="n"/>
      <c r="GU6" s="198" t="n"/>
      <c r="GV6" s="198" t="n"/>
      <c r="GW6" s="198" t="n"/>
      <c r="GX6" s="198" t="n"/>
      <c r="GY6" s="198" t="n"/>
      <c r="GZ6" s="198" t="n"/>
      <c r="HA6" s="198" t="n"/>
      <c r="HB6" s="198" t="n"/>
      <c r="HC6" s="198" t="n"/>
      <c r="HD6" s="198" t="n"/>
      <c r="HE6" s="198" t="n"/>
      <c r="HF6" s="198" t="n"/>
      <c r="HG6" s="198" t="n"/>
      <c r="HH6" s="198" t="n"/>
      <c r="HI6" s="198" t="n"/>
      <c r="HJ6" s="198" t="n"/>
      <c r="HK6" s="198" t="n"/>
      <c r="HL6" s="198" t="n"/>
      <c r="HM6" s="198" t="n"/>
      <c r="HN6" s="198" t="n"/>
      <c r="HO6" s="198" t="n"/>
      <c r="HP6" s="198" t="n"/>
      <c r="HQ6" s="198" t="n"/>
      <c r="HR6" s="198" t="n"/>
      <c r="HS6" s="198" t="n"/>
      <c r="HT6" s="198" t="n"/>
      <c r="HU6" s="198" t="n"/>
      <c r="HV6" s="198" t="n"/>
      <c r="HW6" s="198" t="n"/>
      <c r="HX6" s="198" t="n"/>
      <c r="HY6" s="198" t="n"/>
      <c r="HZ6" s="198" t="n"/>
      <c r="IA6" s="198" t="n"/>
      <c r="IB6" s="198" t="n"/>
      <c r="IC6" s="198" t="n"/>
      <c r="ID6" s="198" t="n"/>
      <c r="IE6" s="198" t="n"/>
      <c r="IF6" s="198" t="n"/>
      <c r="IG6" s="198" t="n"/>
      <c r="IH6" s="198" t="n"/>
      <c r="II6" s="198" t="n"/>
    </row>
    <row r="7" ht="52" customHeight="1" s="147">
      <c r="A7" s="204" t="inlineStr">
        <is>
          <t>9000</t>
        </is>
      </c>
      <c r="B7" s="204" t="inlineStr">
        <is>
          <t>9000-6</t>
        </is>
      </c>
      <c r="C7" s="204" t="inlineStr">
        <is>
          <t>건축</t>
        </is>
      </c>
      <c r="D7" s="204" t="inlineStr">
        <is>
          <t>9000-6-6</t>
        </is>
      </c>
      <c r="E7" s="205" t="inlineStr">
        <is>
          <t>9000-6-5</t>
        </is>
      </c>
      <c r="F7" s="205" t="inlineStr">
        <is>
          <t>9000-6-7</t>
        </is>
      </c>
      <c r="G7" s="162" t="inlineStr">
        <is>
          <t>현장 -&gt; 관할소방서, 소방시설공사업법 제13조(착공신고)
- 서식: 별지 제14호 서식
- 제출후 처리기간 2일 이내</t>
        </is>
      </c>
      <c r="H7" s="205" t="inlineStr">
        <is>
          <t>소방시설공사 착공신고서 제출</t>
        </is>
      </c>
      <c r="I7" s="205" t="inlineStr">
        <is>
          <t>소방시설공사 착공신고필증</t>
        </is>
      </c>
      <c r="J7" s="16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217">
        <f>HYPERLINK(LEFT(CELL("filename",A1),FIND("[",CELL("filename",A1))-1)&amp;"매뉴얼BODY(집행단계-첨부폴더)v8\6.건축\6_소방시설공사 착공 신고서 제출\표준서\소방시설공사 착공 신고서 제출_표준서.html", "👉 [클릭] 표준서 열기 📄")</f>
        <v/>
      </c>
      <c r="L7" s="16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217">
        <f>HYPERLINK(LEFT(CELL("filename",A1),FIND("[",CELL("filename",A1))-1)&amp;"매뉴얼BODY(집행단계-첨부폴더)v8\6.건축\6_소방시설공사 착공 신고서 제출\수행지침\소방시설공사 착공 신고서 제출_수행지침.html", "👉 [클릭] 수행지침 열기 📄")</f>
        <v/>
      </c>
      <c r="N7" s="206"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217">
        <f>HYPERLINK(LEFT(CELL("filename",A1),FIND("[",CELL("filename",A1))-1)&amp;"매뉴얼BODY(집행단계-첨부폴더)v8\6.건축\6_소방시설공사 착공 신고서 제출\체크리스트\소방시설공사 착공 신고서 제출_체크리스트.html", "👉 [클릭] 체크리스트 열기 📄")</f>
        <v/>
      </c>
      <c r="P7" s="207" t="n"/>
      <c r="Q7" s="163" t="inlineStr">
        <is>
          <t>● 소방시설공사업법 제13조</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c r="GS7" s="198" t="n"/>
      <c r="GT7" s="198" t="n"/>
      <c r="GU7" s="198" t="n"/>
      <c r="GV7" s="198" t="n"/>
      <c r="GW7" s="198" t="n"/>
      <c r="GX7" s="198" t="n"/>
      <c r="GY7" s="198" t="n"/>
      <c r="GZ7" s="198" t="n"/>
      <c r="HA7" s="198" t="n"/>
      <c r="HB7" s="198" t="n"/>
      <c r="HC7" s="198" t="n"/>
      <c r="HD7" s="198" t="n"/>
      <c r="HE7" s="198" t="n"/>
      <c r="HF7" s="198" t="n"/>
      <c r="HG7" s="198" t="n"/>
      <c r="HH7" s="198" t="n"/>
      <c r="HI7" s="198" t="n"/>
      <c r="HJ7" s="198" t="n"/>
      <c r="HK7" s="198" t="n"/>
      <c r="HL7" s="198" t="n"/>
      <c r="HM7" s="198" t="n"/>
      <c r="HN7" s="198" t="n"/>
      <c r="HO7" s="198" t="n"/>
      <c r="HP7" s="198" t="n"/>
      <c r="HQ7" s="198" t="n"/>
      <c r="HR7" s="198" t="n"/>
      <c r="HS7" s="198" t="n"/>
      <c r="HT7" s="198" t="n"/>
      <c r="HU7" s="198" t="n"/>
      <c r="HV7" s="198" t="n"/>
      <c r="HW7" s="198" t="n"/>
      <c r="HX7" s="198" t="n"/>
      <c r="HY7" s="198" t="n"/>
      <c r="HZ7" s="198" t="n"/>
      <c r="IA7" s="198" t="n"/>
      <c r="IB7" s="198" t="n"/>
      <c r="IC7" s="198" t="n"/>
      <c r="ID7" s="198" t="n"/>
      <c r="IE7" s="198" t="n"/>
      <c r="IF7" s="198" t="n"/>
      <c r="IG7" s="198" t="n"/>
      <c r="IH7" s="198" t="n"/>
      <c r="II7" s="198" t="n"/>
      <c r="IJ7" s="198" t="n"/>
      <c r="IK7" s="198" t="n"/>
      <c r="IL7" s="198" t="n"/>
      <c r="IM7" s="198" t="n"/>
    </row>
    <row r="8" ht="52" customHeight="1" s="147">
      <c r="A8" s="199" t="inlineStr">
        <is>
          <t>9000</t>
        </is>
      </c>
      <c r="B8" s="199" t="inlineStr">
        <is>
          <t>9000-6</t>
        </is>
      </c>
      <c r="C8" s="199" t="inlineStr">
        <is>
          <t>건축</t>
        </is>
      </c>
      <c r="D8" s="199" t="inlineStr">
        <is>
          <t>9000-6-7</t>
        </is>
      </c>
      <c r="E8" s="200" t="inlineStr">
        <is>
          <t>9000-6-6</t>
        </is>
      </c>
      <c r="F8" s="200" t="inlineStr">
        <is>
          <t>9000-6-8</t>
        </is>
      </c>
      <c r="G8" s="155" t="inlineStr">
        <is>
          <t>현장 -&gt; 관할지자체, 정보통신공사업법 시행령 제35조의 2
- 서식: 별지 제7호 서식
- 제출후 처리기간 14일 이내</t>
        </is>
      </c>
      <c r="H8" s="200" t="inlineStr">
        <is>
          <t>정보통신공사 착공전 설계도 확인 신청 및 제출</t>
        </is>
      </c>
      <c r="I8" s="200" t="inlineStr">
        <is>
          <t>정보통신공사 착공전 설계도 확인결과 통보서</t>
        </is>
      </c>
      <c r="J8" s="156"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213">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156"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213">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20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213">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202" t="n"/>
      <c r="Q8" s="156" t="inlineStr">
        <is>
          <t>● 정보통신공사업법 시행령 제35조의 2</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c r="GW8" s="198" t="n"/>
      <c r="GX8" s="198" t="n"/>
      <c r="GY8" s="198" t="n"/>
      <c r="GZ8" s="198" t="n"/>
      <c r="HA8" s="198" t="n"/>
      <c r="HB8" s="198" t="n"/>
      <c r="HC8" s="198" t="n"/>
      <c r="HD8" s="198" t="n"/>
      <c r="HE8" s="198" t="n"/>
      <c r="HF8" s="198" t="n"/>
      <c r="HG8" s="198" t="n"/>
      <c r="HH8" s="198" t="n"/>
      <c r="HI8" s="198" t="n"/>
      <c r="HJ8" s="198" t="n"/>
      <c r="HK8" s="198" t="n"/>
      <c r="HL8" s="198" t="n"/>
      <c r="HM8" s="198" t="n"/>
      <c r="HN8" s="198" t="n"/>
      <c r="HO8" s="198" t="n"/>
      <c r="HP8" s="198" t="n"/>
      <c r="HQ8" s="198" t="n"/>
      <c r="HR8" s="198" t="n"/>
      <c r="HS8" s="198" t="n"/>
      <c r="HT8" s="198" t="n"/>
      <c r="HU8" s="198" t="n"/>
      <c r="HV8" s="198" t="n"/>
      <c r="HW8" s="198" t="n"/>
      <c r="HX8" s="198" t="n"/>
      <c r="HY8" s="198" t="n"/>
      <c r="HZ8" s="198" t="n"/>
      <c r="IA8" s="198" t="n"/>
      <c r="IB8" s="198" t="n"/>
      <c r="IC8" s="198" t="n"/>
      <c r="ID8" s="198" t="n"/>
      <c r="IE8" s="198" t="n"/>
      <c r="IF8" s="198" t="n"/>
      <c r="IG8" s="198" t="n"/>
      <c r="IH8" s="198" t="n"/>
      <c r="II8" s="198" t="n"/>
      <c r="IJ8" s="198" t="n"/>
      <c r="IK8" s="198" t="n"/>
      <c r="IL8" s="198" t="n"/>
      <c r="IM8" s="198" t="n"/>
      <c r="IN8" s="198" t="n"/>
      <c r="IO8" s="198" t="n"/>
      <c r="IP8" s="198" t="n"/>
      <c r="IQ8" s="198" t="n"/>
    </row>
    <row r="9" ht="52" customHeight="1" s="147">
      <c r="A9" s="204" t="inlineStr">
        <is>
          <t>9000</t>
        </is>
      </c>
      <c r="B9" s="204" t="inlineStr">
        <is>
          <t>9000-6</t>
        </is>
      </c>
      <c r="C9" s="204" t="inlineStr">
        <is>
          <t>건축</t>
        </is>
      </c>
      <c r="D9" s="204" t="inlineStr">
        <is>
          <t>9000-6-8</t>
        </is>
      </c>
      <c r="E9" s="205" t="inlineStr">
        <is>
          <t>9000-6-7</t>
        </is>
      </c>
      <c r="F9" s="205" t="inlineStr">
        <is>
          <t>9000-6-9</t>
        </is>
      </c>
      <c r="G9" s="162" t="inlineStr">
        <is>
          <t>- 부지경계 측량 확인
- 업체간 현장확인+좌표화 Data 인수
- 지장물, 지반상태, 진입로, 작업장 현황</t>
        </is>
      </c>
      <c r="H9" s="205" t="inlineStr">
        <is>
          <t>선행공종 인수인계</t>
        </is>
      </c>
      <c r="I9" s="205" t="inlineStr">
        <is>
          <t>회의록, 인수사항 List</t>
        </is>
      </c>
      <c r="J9" s="16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217">
        <f>HYPERLINK(LEFT(CELL("filename",A1),FIND("[",CELL("filename",A1))-1)&amp;"매뉴얼BODY(집행단계-첨부폴더)v8\6.건축\8_선행공종 인수사항 확인\표준서\선행공종 인수사항 확인_표준서.html", "👉 [클릭] 표준서 열기 📄")</f>
        <v/>
      </c>
      <c r="L9" s="16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217">
        <f>HYPERLINK(LEFT(CELL("filename",A1),FIND("[",CELL("filename",A1))-1)&amp;"매뉴얼BODY(집행단계-첨부폴더)v8\6.건축\8_선행공종 인수사항 확인\수행지침\선행공종 인수사항 확인_수행지침.html", "👉 [클릭] 수행지침 열기 📄")</f>
        <v/>
      </c>
      <c r="N9" s="206"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217">
        <f>HYPERLINK(LEFT(CELL("filename",A1),FIND("[",CELL("filename",A1))-1)&amp;"매뉴얼BODY(집행단계-첨부폴더)v8\6.건축\8_선행공종 인수사항 확인\체크리스트\선행공종 인수사항 확인_체크리스트.html", "👉 [클릭] 체크리스트 열기 📄")</f>
        <v/>
      </c>
      <c r="P9" s="207" t="n"/>
      <c r="Q9" s="163" t="inlineStr">
        <is>
          <t>● 선행공종(토공, 지반개량 등) 인수 및 좌표 검증</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c r="HA9" s="198" t="n"/>
      <c r="HB9" s="198" t="n"/>
      <c r="HC9" s="198" t="n"/>
      <c r="HD9" s="198" t="n"/>
      <c r="HE9" s="198" t="n"/>
      <c r="HF9" s="198" t="n"/>
      <c r="HG9" s="198" t="n"/>
      <c r="HH9" s="198" t="n"/>
      <c r="HI9" s="198" t="n"/>
      <c r="HJ9" s="198" t="n"/>
      <c r="HK9" s="198" t="n"/>
      <c r="HL9" s="198" t="n"/>
      <c r="HM9" s="198" t="n"/>
      <c r="HN9" s="198" t="n"/>
      <c r="HO9" s="198" t="n"/>
      <c r="HP9" s="198" t="n"/>
      <c r="HQ9" s="198" t="n"/>
      <c r="HR9" s="198" t="n"/>
      <c r="HS9" s="198" t="n"/>
      <c r="HT9" s="198" t="n"/>
      <c r="HU9" s="198" t="n"/>
      <c r="HV9" s="198" t="n"/>
      <c r="HW9" s="198" t="n"/>
      <c r="HX9" s="198" t="n"/>
      <c r="HY9" s="198" t="n"/>
      <c r="HZ9" s="198" t="n"/>
      <c r="IA9" s="198" t="n"/>
      <c r="IB9" s="198" t="n"/>
      <c r="IC9" s="198" t="n"/>
      <c r="ID9" s="198" t="n"/>
      <c r="IE9" s="198" t="n"/>
      <c r="IF9" s="198" t="n"/>
      <c r="IG9" s="198" t="n"/>
      <c r="IH9" s="198" t="n"/>
      <c r="II9" s="198" t="n"/>
      <c r="IJ9" s="198" t="n"/>
      <c r="IK9" s="198" t="n"/>
      <c r="IL9" s="198" t="n"/>
      <c r="IM9" s="198" t="n"/>
      <c r="IN9" s="198" t="n"/>
      <c r="IO9" s="198" t="n"/>
      <c r="IP9" s="198" t="n"/>
      <c r="IQ9" s="198" t="n"/>
      <c r="IR9" s="198" t="n"/>
      <c r="IS9" s="198" t="n"/>
      <c r="IT9" s="198" t="n"/>
      <c r="IU9" s="198" t="n"/>
    </row>
    <row r="10" ht="52" customHeight="1" s="147">
      <c r="A10" s="199" t="inlineStr">
        <is>
          <t>9000</t>
        </is>
      </c>
      <c r="B10" s="199" t="inlineStr">
        <is>
          <t>9000-6</t>
        </is>
      </c>
      <c r="C10" s="199" t="inlineStr">
        <is>
          <t>건축</t>
        </is>
      </c>
      <c r="D10" s="199" t="inlineStr">
        <is>
          <t>9000-6-9</t>
        </is>
      </c>
      <c r="E10" s="200" t="inlineStr">
        <is>
          <t>9000-6-8</t>
        </is>
      </c>
      <c r="F10" s="200" t="inlineStr">
        <is>
          <t>9000-6-10</t>
        </is>
      </c>
      <c r="G10" s="155"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H10" s="200" t="inlineStr">
        <is>
          <t>후행공정 설계오류 및 변경검토</t>
        </is>
      </c>
      <c r="I10" s="200" t="inlineStr">
        <is>
          <t>회의록, 시공상세도</t>
        </is>
      </c>
      <c r="J10" s="156"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213">
        <f>HYPERLINK(LEFT(CELL("filename",A1),FIND("[",CELL("filename",A1))-1)&amp;"매뉴얼BODY(집행단계-첨부폴더)v8\6.건축\9_인터페이스 사항 검토 및 지원\표준서\인터페이스 사항 검토 및 지원_표준서.html", "👉 [클릭] 표준서 열기 📄")</f>
        <v/>
      </c>
      <c r="L10" s="156"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213">
        <f>HYPERLINK(LEFT(CELL("filename",A1),FIND("[",CELL("filename",A1))-1)&amp;"매뉴얼BODY(집행단계-첨부폴더)v8\6.건축\9_인터페이스 사항 검토 및 지원\수행지침\인터페이스 사항 검토 및 지원_수행지침.html", "👉 [클릭] 수행지침 열기 📄")</f>
        <v/>
      </c>
      <c r="N10" s="20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213">
        <f>HYPERLINK(LEFT(CELL("filename",A1),FIND("[",CELL("filename",A1))-1)&amp;"매뉴얼BODY(집행단계-첨부폴더)v8\6.건축\9_인터페이스 사항 검토 및 지원\체크리스트\인터페이스 사항 검토 및 지원_체크리스트.html", "👉 [클릭] 체크리스트 열기 📄")</f>
        <v/>
      </c>
      <c r="P10" s="202" t="n"/>
      <c r="Q10" s="156" t="inlineStr">
        <is>
          <t>● 공종간 간섭 최소화</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c r="HE10" s="198" t="n"/>
      <c r="HF10" s="198" t="n"/>
      <c r="HG10" s="198" t="n"/>
      <c r="HH10" s="198" t="n"/>
      <c r="HI10" s="198" t="n"/>
      <c r="HJ10" s="198" t="n"/>
      <c r="HK10" s="198" t="n"/>
      <c r="HL10" s="198" t="n"/>
      <c r="HM10" s="198" t="n"/>
      <c r="HN10" s="198" t="n"/>
      <c r="HO10" s="198" t="n"/>
      <c r="HP10" s="198" t="n"/>
      <c r="HQ10" s="198" t="n"/>
      <c r="HR10" s="198" t="n"/>
      <c r="HS10" s="198" t="n"/>
      <c r="HT10" s="198" t="n"/>
      <c r="HU10" s="198" t="n"/>
      <c r="HV10" s="198" t="n"/>
      <c r="HW10" s="198" t="n"/>
      <c r="HX10" s="198" t="n"/>
      <c r="HY10" s="198" t="n"/>
      <c r="HZ10" s="198" t="n"/>
      <c r="IA10" s="198" t="n"/>
      <c r="IB10" s="198" t="n"/>
      <c r="IC10" s="198" t="n"/>
      <c r="ID10" s="198" t="n"/>
      <c r="IE10" s="198" t="n"/>
      <c r="IF10" s="198" t="n"/>
      <c r="IG10" s="198" t="n"/>
      <c r="IH10" s="198" t="n"/>
      <c r="II10" s="198" t="n"/>
      <c r="IJ10" s="198" t="n"/>
      <c r="IK10" s="198" t="n"/>
      <c r="IL10" s="198" t="n"/>
      <c r="IM10" s="198" t="n"/>
      <c r="IN10" s="198" t="n"/>
      <c r="IO10" s="198" t="n"/>
      <c r="IP10" s="198" t="n"/>
      <c r="IQ10" s="198" t="n"/>
      <c r="IR10" s="198" t="n"/>
      <c r="IS10" s="198" t="n"/>
      <c r="IT10" s="198" t="n"/>
      <c r="IU10" s="198" t="n"/>
      <c r="IV10" s="198" t="n"/>
      <c r="IW10" s="198" t="n"/>
      <c r="IX10" s="198" t="n"/>
      <c r="IY10" s="198" t="n"/>
    </row>
    <row r="11" ht="52" customHeight="1" s="147">
      <c r="A11" s="204" t="inlineStr">
        <is>
          <t>9000</t>
        </is>
      </c>
      <c r="B11" s="204" t="inlineStr">
        <is>
          <t>9000-6</t>
        </is>
      </c>
      <c r="C11" s="204" t="inlineStr">
        <is>
          <t>건축</t>
        </is>
      </c>
      <c r="D11" s="204" t="inlineStr">
        <is>
          <t>9000-6-10</t>
        </is>
      </c>
      <c r="E11" s="205" t="inlineStr">
        <is>
          <t>9000-6-9</t>
        </is>
      </c>
      <c r="F11" s="205" t="inlineStr">
        <is>
          <t>9000-6-11</t>
        </is>
      </c>
      <c r="G11" s="162" t="inlineStr">
        <is>
          <t>시공시 발생가능 품질, 안전 하자 최소화</t>
        </is>
      </c>
      <c r="H11" s="205" t="inlineStr">
        <is>
          <t>품질/안전 하자 최소화</t>
        </is>
      </c>
      <c r="I11" s="205" t="inlineStr">
        <is>
          <t>시공계획수립시 반영</t>
        </is>
      </c>
      <c r="J11" s="16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217">
        <f>HYPERLINK(LEFT(CELL("filename",A1),FIND("[",CELL("filename",A1))-1)&amp;"매뉴얼BODY(집행단계-첨부폴더)v8\6.건축\10_품질_안전 LL 공유\표준서\품질_안전 LL 공유_표준서.html", "👉 [클릭] 표준서 열기 📄")</f>
        <v/>
      </c>
      <c r="L11" s="16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217">
        <f>HYPERLINK(LEFT(CELL("filename",A1),FIND("[",CELL("filename",A1))-1)&amp;"매뉴얼BODY(집행단계-첨부폴더)v8\6.건축\10_품질_안전 LL 공유\수행지침\품질_안전 LL 공유_수행지침.html", "👉 [클릭] 수행지침 열기 📄")</f>
        <v/>
      </c>
      <c r="N11" s="206"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217">
        <f>HYPERLINK(LEFT(CELL("filename",A1),FIND("[",CELL("filename",A1))-1)&amp;"매뉴얼BODY(집행단계-첨부폴더)v8\6.건축\10_품질_안전 LL 공유\체크리스트\품질_안전 LL 공유_체크리스트.html", "👉 [클릭] 체크리스트 열기 📄")</f>
        <v/>
      </c>
      <c r="P11" s="207" t="n"/>
      <c r="Q11" s="163" t="inlineStr">
        <is>
          <t>● 기존 하자사례 및 Lesson Learned 반영</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c r="HI11" s="198" t="n"/>
      <c r="HJ11" s="198" t="n"/>
      <c r="HK11" s="198" t="n"/>
      <c r="HL11" s="198" t="n"/>
      <c r="HM11" s="198" t="n"/>
      <c r="HN11" s="198" t="n"/>
      <c r="HO11" s="198" t="n"/>
      <c r="HP11" s="198" t="n"/>
      <c r="HQ11" s="198" t="n"/>
      <c r="HR11" s="198" t="n"/>
      <c r="HS11" s="198" t="n"/>
      <c r="HT11" s="198" t="n"/>
      <c r="HU11" s="198" t="n"/>
      <c r="HV11" s="198" t="n"/>
      <c r="HW11" s="198" t="n"/>
      <c r="HX11" s="198" t="n"/>
      <c r="HY11" s="198" t="n"/>
      <c r="HZ11" s="198" t="n"/>
      <c r="IA11" s="198" t="n"/>
      <c r="IB11" s="198" t="n"/>
      <c r="IC11" s="198" t="n"/>
      <c r="ID11" s="198" t="n"/>
      <c r="IE11" s="198" t="n"/>
      <c r="IF11" s="198" t="n"/>
      <c r="IG11" s="198" t="n"/>
      <c r="IH11" s="198" t="n"/>
      <c r="II11" s="198" t="n"/>
      <c r="IJ11" s="198" t="n"/>
      <c r="IK11" s="198" t="n"/>
      <c r="IL11" s="198" t="n"/>
      <c r="IM11" s="198" t="n"/>
      <c r="IN11" s="198" t="n"/>
      <c r="IO11" s="198" t="n"/>
      <c r="IP11" s="198" t="n"/>
      <c r="IQ11" s="198" t="n"/>
      <c r="IR11" s="198" t="n"/>
      <c r="IS11" s="198" t="n"/>
      <c r="IT11" s="198" t="n"/>
      <c r="IU11" s="198" t="n"/>
      <c r="IV11" s="198" t="n"/>
      <c r="IW11" s="198" t="n"/>
      <c r="IX11" s="198" t="n"/>
      <c r="IY11" s="198" t="n"/>
      <c r="IZ11" s="198" t="n"/>
      <c r="JA11" s="198" t="n"/>
      <c r="JB11" s="198" t="n"/>
      <c r="JC11" s="198" t="n"/>
    </row>
    <row r="12" ht="52" customHeight="1" s="147">
      <c r="A12" s="199" t="inlineStr">
        <is>
          <t>9000</t>
        </is>
      </c>
      <c r="B12" s="199" t="inlineStr">
        <is>
          <t>9000-6</t>
        </is>
      </c>
      <c r="C12" s="199" t="inlineStr">
        <is>
          <t>건축</t>
        </is>
      </c>
      <c r="D12" s="199" t="inlineStr">
        <is>
          <t>9000-6-11</t>
        </is>
      </c>
      <c r="E12" s="200" t="inlineStr">
        <is>
          <t>9000-6-10</t>
        </is>
      </c>
      <c r="F12" s="200" t="inlineStr">
        <is>
          <t>9000-6-12</t>
        </is>
      </c>
      <c r="G12" s="155" t="inlineStr">
        <is>
          <t>- 자재 규격 및 반입 일정 계획 수립
- 시공에 필요한 당사 지급자재에 대한 발주 요청
- 자재공급원 승인 제출 및 확인</t>
        </is>
      </c>
      <c r="H12" s="200" t="inlineStr">
        <is>
          <t>공사에 필요한 자재 발주</t>
        </is>
      </c>
      <c r="I12" s="200" t="inlineStr">
        <is>
          <t>구매 의뢰 승인, 자재공급원 승인서류</t>
        </is>
      </c>
      <c r="J12" s="156"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213">
        <f>HYPERLINK(LEFT(CELL("filename",A1),FIND("[",CELL("filename",A1))-1)&amp;"매뉴얼BODY(집행단계-첨부폴더)v8\6.건축\11_자재공급원승인 및 자재발주\표준서\자재공급원승인 및 자재발주_표준서.html", "👉 [클릭] 표준서 열기 📄")</f>
        <v/>
      </c>
      <c r="L12" s="156"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213">
        <f>HYPERLINK(LEFT(CELL("filename",A1),FIND("[",CELL("filename",A1))-1)&amp;"매뉴얼BODY(집행단계-첨부폴더)v8\6.건축\11_자재공급원승인 및 자재발주\수행지침\자재공급원승인 및 자재발주_수행지침.html", "👉 [클릭] 수행지침 열기 📄")</f>
        <v/>
      </c>
      <c r="N12" s="20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213">
        <f>HYPERLINK(LEFT(CELL("filename",A1),FIND("[",CELL("filename",A1))-1)&amp;"매뉴얼BODY(집행단계-첨부폴더)v8\6.건축\11_자재공급원승인 및 자재발주\체크리스트\자재공급원승인 및 자재발주_체크리스트.html", "👉 [클릭] 체크리스트 열기 📄")</f>
        <v/>
      </c>
      <c r="P12" s="202" t="n"/>
      <c r="Q12" s="156" t="inlineStr">
        <is>
          <t>● 자재 규격 및 기준 만족</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c r="HM12" s="198" t="n"/>
      <c r="HN12" s="198" t="n"/>
      <c r="HO12" s="198" t="n"/>
      <c r="HP12" s="198" t="n"/>
      <c r="HQ12" s="198" t="n"/>
      <c r="HR12" s="198" t="n"/>
      <c r="HS12" s="198" t="n"/>
      <c r="HT12" s="198" t="n"/>
      <c r="HU12" s="198" t="n"/>
      <c r="HV12" s="198" t="n"/>
      <c r="HW12" s="198" t="n"/>
      <c r="HX12" s="198" t="n"/>
      <c r="HY12" s="198" t="n"/>
      <c r="HZ12" s="198" t="n"/>
      <c r="IA12" s="198" t="n"/>
      <c r="IB12" s="198" t="n"/>
      <c r="IC12" s="198" t="n"/>
      <c r="ID12" s="198" t="n"/>
      <c r="IE12" s="198" t="n"/>
      <c r="IF12" s="198" t="n"/>
      <c r="IG12" s="198" t="n"/>
      <c r="IH12" s="198" t="n"/>
      <c r="II12" s="198" t="n"/>
      <c r="IJ12" s="198" t="n"/>
      <c r="IK12" s="198" t="n"/>
      <c r="IL12" s="198" t="n"/>
      <c r="IM12" s="198" t="n"/>
      <c r="IN12" s="198" t="n"/>
      <c r="IO12" s="198" t="n"/>
      <c r="IP12" s="198" t="n"/>
      <c r="IQ12" s="198" t="n"/>
      <c r="IR12" s="198" t="n"/>
      <c r="IS12" s="198" t="n"/>
      <c r="IT12" s="198" t="n"/>
      <c r="IU12" s="198" t="n"/>
      <c r="IV12" s="198" t="n"/>
      <c r="IW12" s="198" t="n"/>
      <c r="IX12" s="198" t="n"/>
      <c r="IY12" s="198" t="n"/>
      <c r="IZ12" s="198" t="n"/>
      <c r="JA12" s="198" t="n"/>
      <c r="JB12" s="198" t="n"/>
      <c r="JC12" s="198" t="n"/>
      <c r="JD12" s="198" t="n"/>
      <c r="JE12" s="198" t="n"/>
      <c r="JF12" s="198" t="n"/>
      <c r="JG12" s="198" t="n"/>
    </row>
    <row r="13" ht="52" customHeight="1" s="147">
      <c r="A13" s="204" t="inlineStr">
        <is>
          <t>9000</t>
        </is>
      </c>
      <c r="B13" s="204" t="inlineStr">
        <is>
          <t>9000-6</t>
        </is>
      </c>
      <c r="C13" s="204" t="inlineStr">
        <is>
          <t>건축</t>
        </is>
      </c>
      <c r="D13" s="204" t="inlineStr">
        <is>
          <t>9000-6-12</t>
        </is>
      </c>
      <c r="E13" s="205" t="inlineStr">
        <is>
          <t>9000-6-11</t>
        </is>
      </c>
      <c r="F13" s="205" t="inlineStr">
        <is>
          <t>9000-6-13</t>
        </is>
      </c>
      <c r="G13" s="162"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H13" s="205" t="inlineStr">
        <is>
          <t>선후행공정 지원사항 도출, 수행시 예상가능 Risk 검토 및 대책 수립</t>
        </is>
      </c>
      <c r="I13" s="205" t="inlineStr">
        <is>
          <t>Big Room 회의록(참석자 전원 서명)</t>
        </is>
      </c>
      <c r="J13" s="16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217">
        <f>HYPERLINK(LEFT(CELL("filename",A1),FIND("[",CELL("filename",A1))-1)&amp;"매뉴얼BODY(집행단계-첨부폴더)v8\6.건축\12_착수전 Big Room 회의\표준서\착수전 Big Room 회의_표준서.html", "👉 [클릭] 표준서 열기 📄")</f>
        <v/>
      </c>
      <c r="L13" s="16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217">
        <f>HYPERLINK(LEFT(CELL("filename",A1),FIND("[",CELL("filename",A1))-1)&amp;"매뉴얼BODY(집행단계-첨부폴더)v8\6.건축\12_착수전 Big Room 회의\수행지침\착수전 Big Room 회의_수행지침.html", "👉 [클릭] 수행지침 열기 📄")</f>
        <v/>
      </c>
      <c r="N13" s="206"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217">
        <f>HYPERLINK(LEFT(CELL("filename",A1),FIND("[",CELL("filename",A1))-1)&amp;"매뉴얼BODY(집행단계-첨부폴더)v8\6.건축\12_착수전 Big Room 회의\체크리스트\착수전 Big Room 회의_체크리스트.html", "👉 [클릭] 체크리스트 열기 📄")</f>
        <v/>
      </c>
      <c r="P13" s="207" t="n"/>
      <c r="Q13" s="163" t="inlineStr">
        <is>
          <t>● 유관부서(견적/엔지니어링/공정/품질/안전) 협의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c r="HQ13" s="198" t="n"/>
      <c r="HR13" s="198" t="n"/>
      <c r="HS13" s="198" t="n"/>
      <c r="HT13" s="198" t="n"/>
      <c r="HU13" s="198" t="n"/>
      <c r="HV13" s="198" t="n"/>
      <c r="HW13" s="198" t="n"/>
      <c r="HX13" s="198" t="n"/>
      <c r="HY13" s="198" t="n"/>
      <c r="HZ13" s="198" t="n"/>
      <c r="IA13" s="198" t="n"/>
      <c r="IB13" s="198" t="n"/>
      <c r="IC13" s="198" t="n"/>
      <c r="ID13" s="198" t="n"/>
      <c r="IE13" s="198" t="n"/>
      <c r="IF13" s="198" t="n"/>
      <c r="IG13" s="198" t="n"/>
      <c r="IH13" s="198" t="n"/>
      <c r="II13" s="198" t="n"/>
      <c r="IJ13" s="198" t="n"/>
      <c r="IK13" s="198" t="n"/>
      <c r="IL13" s="198" t="n"/>
      <c r="IM13" s="198" t="n"/>
      <c r="IN13" s="198" t="n"/>
      <c r="IO13" s="198" t="n"/>
      <c r="IP13" s="198" t="n"/>
      <c r="IQ13" s="198" t="n"/>
      <c r="IR13" s="198" t="n"/>
      <c r="IS13" s="198" t="n"/>
      <c r="IT13" s="198" t="n"/>
      <c r="IU13" s="198" t="n"/>
      <c r="IV13" s="198" t="n"/>
      <c r="IW13" s="198" t="n"/>
      <c r="IX13" s="198" t="n"/>
      <c r="IY13" s="198" t="n"/>
      <c r="IZ13" s="198" t="n"/>
      <c r="JA13" s="198" t="n"/>
      <c r="JB13" s="198" t="n"/>
      <c r="JC13" s="198" t="n"/>
      <c r="JD13" s="198" t="n"/>
      <c r="JE13" s="198" t="n"/>
      <c r="JF13" s="198" t="n"/>
      <c r="JG13" s="198" t="n"/>
      <c r="JH13" s="198" t="n"/>
      <c r="JI13" s="198" t="n"/>
      <c r="JJ13" s="198" t="n"/>
      <c r="JK13" s="198" t="n"/>
    </row>
    <row r="14" ht="52" customHeight="1" s="147">
      <c r="A14" s="199" t="inlineStr">
        <is>
          <t>9000</t>
        </is>
      </c>
      <c r="B14" s="199" t="inlineStr">
        <is>
          <t>9000-6</t>
        </is>
      </c>
      <c r="C14" s="199" t="inlineStr">
        <is>
          <t>건축</t>
        </is>
      </c>
      <c r="D14" s="199" t="inlineStr">
        <is>
          <t>9000-6-13</t>
        </is>
      </c>
      <c r="E14" s="200" t="inlineStr">
        <is>
          <t>9000-6-12</t>
        </is>
      </c>
      <c r="F14" s="200" t="inlineStr">
        <is>
          <t>9000-6-14</t>
        </is>
      </c>
      <c r="G14" s="155"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H14" s="200" t="inlineStr">
        <is>
          <t>인력, 품질이 확보된 시공계획 수립</t>
        </is>
      </c>
      <c r="I14" s="200" t="inlineStr">
        <is>
          <t>(승인)관리시공계획서&amp;시공상세도</t>
        </is>
      </c>
      <c r="J14" s="156"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213">
        <f>HYPERLINK(LEFT(CELL("filename",A1),FIND("[",CELL("filename",A1))-1)&amp;"매뉴얼BODY(집행단계-첨부폴더)v8\6.건축\13_시공계획 수립_승인\표준서\시공계획 수립_승인_표준서.html", "👉 [클릭] 표준서 열기 📄")</f>
        <v/>
      </c>
      <c r="L14" s="156"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213">
        <f>HYPERLINK(LEFT(CELL("filename",A1),FIND("[",CELL("filename",A1))-1)&amp;"매뉴얼BODY(집행단계-첨부폴더)v8\6.건축\13_시공계획 수립_승인\수행지침\시공계획 수립_승인_수행지침.html", "👉 [클릭] 수행지침 열기 📄")</f>
        <v/>
      </c>
      <c r="N14" s="20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213">
        <f>HYPERLINK(LEFT(CELL("filename",A1),FIND("[",CELL("filename",A1))-1)&amp;"매뉴얼BODY(집행단계-첨부폴더)v8\6.건축\13_시공계획 수립_승인\체크리스트\시공계획 수립_승인_체크리스트.html", "👉 [클릭] 체크리스트 열기 📄")</f>
        <v/>
      </c>
      <c r="P14" s="202" t="n"/>
      <c r="Q14" s="156" t="inlineStr">
        <is>
          <t>● 건설기술진흥법 규정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c r="HU14" s="198" t="n"/>
      <c r="HV14" s="198" t="n"/>
      <c r="HW14" s="198" t="n"/>
      <c r="HX14" s="198" t="n"/>
      <c r="HY14" s="198" t="n"/>
      <c r="HZ14" s="198" t="n"/>
      <c r="IA14" s="198" t="n"/>
      <c r="IB14" s="198" t="n"/>
      <c r="IC14" s="198" t="n"/>
      <c r="ID14" s="198" t="n"/>
      <c r="IE14" s="198" t="n"/>
      <c r="IF14" s="198" t="n"/>
      <c r="IG14" s="198" t="n"/>
      <c r="IH14" s="198" t="n"/>
      <c r="II14" s="198" t="n"/>
      <c r="IJ14" s="198" t="n"/>
      <c r="IK14" s="198" t="n"/>
      <c r="IL14" s="198" t="n"/>
      <c r="IM14" s="198" t="n"/>
      <c r="IN14" s="198" t="n"/>
      <c r="IO14" s="198" t="n"/>
      <c r="IP14" s="198" t="n"/>
      <c r="IQ14" s="198" t="n"/>
      <c r="IR14" s="198" t="n"/>
      <c r="IS14" s="198" t="n"/>
      <c r="IT14" s="198" t="n"/>
      <c r="IU14" s="198" t="n"/>
      <c r="IV14" s="198" t="n"/>
      <c r="IW14" s="198" t="n"/>
      <c r="IX14" s="198" t="n"/>
      <c r="IY14" s="198" t="n"/>
      <c r="IZ14" s="198" t="n"/>
      <c r="JA14" s="198" t="n"/>
      <c r="JB14" s="198" t="n"/>
      <c r="JC14" s="198" t="n"/>
      <c r="JD14" s="198" t="n"/>
      <c r="JE14" s="198" t="n"/>
      <c r="JF14" s="198" t="n"/>
      <c r="JG14" s="198" t="n"/>
      <c r="JH14" s="198" t="n"/>
      <c r="JI14" s="198" t="n"/>
      <c r="JJ14" s="198" t="n"/>
      <c r="JK14" s="198" t="n"/>
      <c r="JL14" s="198" t="n"/>
      <c r="JM14" s="198" t="n"/>
      <c r="JN14" s="198" t="n"/>
      <c r="JO14" s="198" t="n"/>
    </row>
    <row r="15" ht="52" customHeight="1" s="147">
      <c r="A15" s="204" t="inlineStr">
        <is>
          <t>9000</t>
        </is>
      </c>
      <c r="B15" s="204" t="inlineStr">
        <is>
          <t>9000-6</t>
        </is>
      </c>
      <c r="C15" s="204" t="inlineStr">
        <is>
          <t>건축</t>
        </is>
      </c>
      <c r="D15" s="204" t="inlineStr">
        <is>
          <t>9000-6-14</t>
        </is>
      </c>
      <c r="E15" s="205" t="inlineStr">
        <is>
          <t>9000-6-13</t>
        </is>
      </c>
      <c r="F15" s="205" t="inlineStr">
        <is>
          <t>9000-6-15</t>
        </is>
      </c>
      <c r="G15" s="162" t="inlineStr">
        <is>
          <t>- 측량: 측량기준점 설치, 공사위치 마킹
- 자재는 지정된 야적장에 보관
- 장비 Spec확인, 장비안전검사
- 작업원 안전교육 실시</t>
        </is>
      </c>
      <c r="H15" s="205" t="inlineStr">
        <is>
          <t>D-day 전에 공사 준비완료</t>
        </is>
      </c>
      <c r="I15" s="205" t="inlineStr">
        <is>
          <t>측량기록지, 안전교육 결과서</t>
        </is>
      </c>
      <c r="J15" s="16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217">
        <f>HYPERLINK(LEFT(CELL("filename",A1),FIND("[",CELL("filename",A1))-1)&amp;"매뉴얼BODY(집행단계-첨부폴더)v8\6.건축\14_측량, 자재_장비 반입, 안전교육\표준서\측량, 자재_장비 반입, 안전교육_표준서.html", "👉 [클릭] 표준서 열기 📄")</f>
        <v/>
      </c>
      <c r="L15" s="16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217">
        <f>HYPERLINK(LEFT(CELL("filename",A1),FIND("[",CELL("filename",A1))-1)&amp;"매뉴얼BODY(집행단계-첨부폴더)v8\6.건축\14_측량, 자재_장비 반입, 안전교육\수행지침\측량, 자재_장비 반입, 안전교육_수행지침.html", "👉 [클릭] 수행지침 열기 📄")</f>
        <v/>
      </c>
      <c r="N15" s="206"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217">
        <f>HYPERLINK(LEFT(CELL("filename",A1),FIND("[",CELL("filename",A1))-1)&amp;"매뉴얼BODY(집행단계-첨부폴더)v8\6.건축\14_측량, 자재_장비 반입, 안전교육\체크리스트\측량, 자재_장비 반입, 안전교육_체크리스트.html", "👉 [클릭] 체크리스트 열기 📄")</f>
        <v/>
      </c>
      <c r="P15" s="207" t="n"/>
      <c r="Q15" s="163" t="inlineStr">
        <is>
          <t>● 측량법 및 산업안전보건법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c r="HY15" s="198" t="n"/>
      <c r="HZ15" s="198" t="n"/>
      <c r="IA15" s="198" t="n"/>
      <c r="IB15" s="198" t="n"/>
      <c r="IC15" s="198" t="n"/>
      <c r="ID15" s="198" t="n"/>
      <c r="IE15" s="198" t="n"/>
      <c r="IF15" s="198" t="n"/>
      <c r="IG15" s="198" t="n"/>
      <c r="IH15" s="198" t="n"/>
      <c r="II15" s="198" t="n"/>
      <c r="IJ15" s="198" t="n"/>
      <c r="IK15" s="198" t="n"/>
      <c r="IL15" s="198" t="n"/>
      <c r="IM15" s="198" t="n"/>
      <c r="IN15" s="198" t="n"/>
      <c r="IO15" s="198" t="n"/>
      <c r="IP15" s="198" t="n"/>
      <c r="IQ15" s="198" t="n"/>
      <c r="IR15" s="198" t="n"/>
      <c r="IS15" s="198" t="n"/>
      <c r="IT15" s="198" t="n"/>
      <c r="IU15" s="198" t="n"/>
      <c r="IV15" s="198" t="n"/>
      <c r="IW15" s="198" t="n"/>
      <c r="IX15" s="198" t="n"/>
      <c r="IY15" s="198" t="n"/>
      <c r="IZ15" s="198" t="n"/>
      <c r="JA15" s="198" t="n"/>
      <c r="JB15" s="198" t="n"/>
      <c r="JC15" s="198" t="n"/>
      <c r="JD15" s="198" t="n"/>
      <c r="JE15" s="198" t="n"/>
      <c r="JF15" s="198" t="n"/>
      <c r="JG15" s="198" t="n"/>
      <c r="JH15" s="198" t="n"/>
      <c r="JI15" s="198" t="n"/>
      <c r="JJ15" s="198" t="n"/>
      <c r="JK15" s="198" t="n"/>
      <c r="JL15" s="198" t="n"/>
      <c r="JM15" s="198" t="n"/>
      <c r="JN15" s="198" t="n"/>
      <c r="JO15" s="198" t="n"/>
      <c r="JP15" s="198" t="n"/>
      <c r="JQ15" s="198" t="n"/>
      <c r="JR15" s="198" t="n"/>
      <c r="JS15" s="198" t="n"/>
    </row>
    <row r="16" ht="52" customHeight="1" s="147">
      <c r="A16" s="199" t="inlineStr">
        <is>
          <t>9000</t>
        </is>
      </c>
      <c r="B16" s="199" t="inlineStr">
        <is>
          <t>9000-6</t>
        </is>
      </c>
      <c r="C16" s="199" t="inlineStr">
        <is>
          <t>건축</t>
        </is>
      </c>
      <c r="D16" s="199" t="inlineStr">
        <is>
          <t>9000-6-15</t>
        </is>
      </c>
      <c r="E16" s="200" t="inlineStr">
        <is>
          <t>9000-6-14</t>
        </is>
      </c>
      <c r="F16" s="200" t="inlineStr">
        <is>
          <t>9000-6-16</t>
        </is>
      </c>
      <c r="G16" s="155" t="inlineStr">
        <is>
          <t>- 송장과 실물 확인(규격, 성능, 수량)
- 시방기준에 따른 품질시험 실시
- 훼손, 오반입시 반출조치</t>
        </is>
      </c>
      <c r="H16" s="200" t="inlineStr">
        <is>
          <t>설계/시방기준에 적합한 자재 반입</t>
        </is>
      </c>
      <c r="I16" s="200" t="inlineStr">
        <is>
          <t>자재검수서, 품질시험 보고서</t>
        </is>
      </c>
      <c r="J16" s="156"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213">
        <f>HYPERLINK(LEFT(CELL("filename",A1),FIND("[",CELL("filename",A1))-1)&amp;"매뉴얼BODY(집행단계-첨부폴더)v8\6.건축\15_자재 검수\표준서\자재 검수_표준서.html", "👉 [클릭] 표준서 열기 📄")</f>
        <v/>
      </c>
      <c r="L16" s="156"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213">
        <f>HYPERLINK(LEFT(CELL("filename",A1),FIND("[",CELL("filename",A1))-1)&amp;"매뉴얼BODY(집행단계-첨부폴더)v8\6.건축\15_자재 검수\수행지침\자재 검수_수행지침.html", "👉 [클릭] 수행지침 열기 📄")</f>
        <v/>
      </c>
      <c r="N16" s="20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213">
        <f>HYPERLINK(LEFT(CELL("filename",A1),FIND("[",CELL("filename",A1))-1)&amp;"매뉴얼BODY(집행단계-첨부폴더)v8\6.건축\15_자재 검수\체크리스트\자재 검수_체크리스트.html", "👉 [클릭] 체크리스트 열기 📄")</f>
        <v/>
      </c>
      <c r="P16" s="202" t="n"/>
      <c r="Q16" s="156" t="inlineStr">
        <is>
          <t>● KS 규격 및 시방 기준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c r="IC16" s="198" t="n"/>
      <c r="ID16" s="198" t="n"/>
      <c r="IE16" s="198" t="n"/>
      <c r="IF16" s="198" t="n"/>
      <c r="IG16" s="198" t="n"/>
      <c r="IH16" s="198" t="n"/>
      <c r="II16" s="198" t="n"/>
      <c r="IJ16" s="198" t="n"/>
      <c r="IK16" s="198" t="n"/>
      <c r="IL16" s="198" t="n"/>
      <c r="IM16" s="198" t="n"/>
      <c r="IN16" s="198" t="n"/>
      <c r="IO16" s="198" t="n"/>
      <c r="IP16" s="198" t="n"/>
      <c r="IQ16" s="198" t="n"/>
      <c r="IR16" s="198" t="n"/>
      <c r="IS16" s="198" t="n"/>
      <c r="IT16" s="198" t="n"/>
      <c r="IU16" s="198" t="n"/>
      <c r="IV16" s="198" t="n"/>
      <c r="IW16" s="198" t="n"/>
      <c r="IX16" s="198" t="n"/>
      <c r="IY16" s="198" t="n"/>
      <c r="IZ16" s="198" t="n"/>
      <c r="JA16" s="198" t="n"/>
      <c r="JB16" s="198" t="n"/>
      <c r="JC16" s="198" t="n"/>
      <c r="JD16" s="198" t="n"/>
      <c r="JE16" s="198" t="n"/>
      <c r="JF16" s="198" t="n"/>
      <c r="JG16" s="198" t="n"/>
      <c r="JH16" s="198" t="n"/>
      <c r="JI16" s="198" t="n"/>
      <c r="JJ16" s="198" t="n"/>
      <c r="JK16" s="198" t="n"/>
      <c r="JL16" s="198" t="n"/>
      <c r="JM16" s="198" t="n"/>
      <c r="JN16" s="198" t="n"/>
      <c r="JO16" s="198" t="n"/>
      <c r="JP16" s="198" t="n"/>
      <c r="JQ16" s="198" t="n"/>
      <c r="JR16" s="198" t="n"/>
      <c r="JS16" s="198" t="n"/>
      <c r="JT16" s="198" t="n"/>
      <c r="JU16" s="198" t="n"/>
      <c r="JV16" s="198" t="n"/>
      <c r="JW16" s="198" t="n"/>
    </row>
    <row r="17" ht="52" customHeight="1" s="147">
      <c r="A17" s="204" t="inlineStr">
        <is>
          <t>9000</t>
        </is>
      </c>
      <c r="B17" s="204" t="inlineStr">
        <is>
          <t>9000-6</t>
        </is>
      </c>
      <c r="C17" s="204" t="inlineStr">
        <is>
          <t>건축</t>
        </is>
      </c>
      <c r="D17" s="204" t="inlineStr">
        <is>
          <t>9000-6-16</t>
        </is>
      </c>
      <c r="E17" s="205" t="inlineStr">
        <is>
          <t>9000-6-15</t>
        </is>
      </c>
      <c r="F17" s="205" t="inlineStr">
        <is>
          <t>9000-6-17</t>
        </is>
      </c>
      <c r="G17" s="162" t="inlineStr">
        <is>
          <t>측량을 통한 계획Level, 위치 확인, 바닥 지지력 시험</t>
        </is>
      </c>
      <c r="H17" s="205" t="inlineStr">
        <is>
          <t>구조물 시공을 위한 바닥 확보</t>
        </is>
      </c>
      <c r="I17" s="205" t="inlineStr">
        <is>
          <t>측량 성과, 지지력시험성과 보고서</t>
        </is>
      </c>
      <c r="J17" s="16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217">
        <f>HYPERLINK(LEFT(CELL("filename",A1),FIND("[",CELL("filename",A1))-1)&amp;"매뉴얼BODY(집행단계-첨부폴더)v8\6.건축\16_터파기_지반 정리\표준서\터파기_지반 정리_표준서.html", "👉 [클릭] 표준서 열기 📄")</f>
        <v/>
      </c>
      <c r="L17" s="16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217">
        <f>HYPERLINK(LEFT(CELL("filename",A1),FIND("[",CELL("filename",A1))-1)&amp;"매뉴얼BODY(집행단계-첨부폴더)v8\6.건축\16_터파기_지반 정리\수행지침\터파기_지반 정리_수행지침.html", "👉 [클릭] 수행지침 열기 📄")</f>
        <v/>
      </c>
      <c r="N17" s="206"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217">
        <f>HYPERLINK(LEFT(CELL("filename",A1),FIND("[",CELL("filename",A1))-1)&amp;"매뉴얼BODY(집행단계-첨부폴더)v8\6.건축\16_터파기_지반 정리\체크리스트\터파기_지반 정리_체크리스트.html", "👉 [클릭] 체크리스트 열기 📄")</f>
        <v/>
      </c>
      <c r="P17" s="207" t="n"/>
      <c r="Q17" s="163" t="inlineStr">
        <is>
          <t>● 지반 지지력 및 굴착 공차 관리 기준</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c r="IG17" s="198" t="n"/>
      <c r="IH17" s="198" t="n"/>
      <c r="II17" s="198" t="n"/>
      <c r="IJ17" s="198" t="n"/>
      <c r="IK17" s="198" t="n"/>
      <c r="IL17" s="198" t="n"/>
      <c r="IM17" s="198" t="n"/>
      <c r="IN17" s="198" t="n"/>
      <c r="IO17" s="198" t="n"/>
      <c r="IP17" s="198" t="n"/>
      <c r="IQ17" s="198" t="n"/>
      <c r="IR17" s="198" t="n"/>
      <c r="IS17" s="198" t="n"/>
      <c r="IT17" s="198" t="n"/>
      <c r="IU17" s="198" t="n"/>
      <c r="IV17" s="198" t="n"/>
      <c r="IW17" s="198" t="n"/>
      <c r="IX17" s="198" t="n"/>
      <c r="IY17" s="198" t="n"/>
      <c r="IZ17" s="198" t="n"/>
      <c r="JA17" s="198" t="n"/>
      <c r="JB17" s="198" t="n"/>
      <c r="JC17" s="198" t="n"/>
      <c r="JD17" s="198" t="n"/>
      <c r="JE17" s="198" t="n"/>
      <c r="JF17" s="198" t="n"/>
      <c r="JG17" s="198" t="n"/>
      <c r="JH17" s="198" t="n"/>
      <c r="JI17" s="198" t="n"/>
      <c r="JJ17" s="198" t="n"/>
      <c r="JK17" s="198" t="n"/>
      <c r="JL17" s="198" t="n"/>
      <c r="JM17" s="198" t="n"/>
      <c r="JN17" s="198" t="n"/>
      <c r="JO17" s="198" t="n"/>
      <c r="JP17" s="198" t="n"/>
      <c r="JQ17" s="198" t="n"/>
      <c r="JR17" s="198" t="n"/>
      <c r="JS17" s="198" t="n"/>
      <c r="JT17" s="198" t="n"/>
      <c r="JU17" s="198" t="n"/>
      <c r="JV17" s="198" t="n"/>
      <c r="JW17" s="198" t="n"/>
      <c r="JX17" s="198" t="n"/>
      <c r="JY17" s="198" t="n"/>
      <c r="JZ17" s="198" t="n"/>
      <c r="KA17" s="198" t="n"/>
    </row>
    <row r="18" ht="52" customHeight="1" s="147">
      <c r="A18" s="199" t="inlineStr">
        <is>
          <t>9000</t>
        </is>
      </c>
      <c r="B18" s="199" t="inlineStr">
        <is>
          <t>9000-6</t>
        </is>
      </c>
      <c r="C18" s="199" t="inlineStr">
        <is>
          <t>건축</t>
        </is>
      </c>
      <c r="D18" s="199" t="inlineStr">
        <is>
          <t>9000-6-17</t>
        </is>
      </c>
      <c r="E18" s="200" t="inlineStr">
        <is>
          <t>9000-6-16</t>
        </is>
      </c>
      <c r="F18" s="200" t="inlineStr">
        <is>
          <t>9000-6-18</t>
        </is>
      </c>
      <c r="G18" s="155" t="inlineStr">
        <is>
          <t>도면에 따라 거푸집 조립, 버림con't타설, 양생, 거푸집 해체/정리</t>
        </is>
      </c>
      <c r="H18" s="200" t="inlineStr">
        <is>
          <t>철근을 깔 수 있는 평탄한 바닥확보</t>
        </is>
      </c>
      <c r="I18" s="200" t="inlineStr">
        <is>
          <t>검측서</t>
        </is>
      </c>
      <c r="J18" s="156"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213">
        <f>HYPERLINK(LEFT(CELL("filename",A1),FIND("[",CELL("filename",A1))-1)&amp;"매뉴얼BODY(집행단계-첨부폴더)v8\6.건축\17_바닥(버림) 콘크리트 타설\표준서\바닥(버림) 콘크리트 타설_표준서.html", "👉 [클릭] 표준서 열기 📄")</f>
        <v/>
      </c>
      <c r="L18" s="156"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213">
        <f>HYPERLINK(LEFT(CELL("filename",A1),FIND("[",CELL("filename",A1))-1)&amp;"매뉴얼BODY(집행단계-첨부폴더)v8\6.건축\17_바닥(버림) 콘크리트 타설\수행지침\바닥(버림) 콘크리트 타설_수행지침.html", "👉 [클릭] 수행지침 열기 📄")</f>
        <v/>
      </c>
      <c r="N18" s="20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213">
        <f>HYPERLINK(LEFT(CELL("filename",A1),FIND("[",CELL("filename",A1))-1)&amp;"매뉴얼BODY(집행단계-첨부폴더)v8\6.건축\17_바닥(버림) 콘크리트 타설\체크리스트\바닥(버림) 콘크리트 타설_체크리스트.html", "👉 [클릭] 체크리스트 열기 📄")</f>
        <v/>
      </c>
      <c r="P18" s="202" t="n"/>
      <c r="Q18" s="156" t="inlineStr">
        <is>
          <t>● 버림 콘크리트 두께 및 높이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c r="IK18" s="198" t="n"/>
      <c r="IL18" s="198" t="n"/>
      <c r="IM18" s="198" t="n"/>
      <c r="IN18" s="198" t="n"/>
      <c r="IO18" s="198" t="n"/>
      <c r="IP18" s="198" t="n"/>
      <c r="IQ18" s="198" t="n"/>
      <c r="IR18" s="198" t="n"/>
      <c r="IS18" s="198" t="n"/>
      <c r="IT18" s="198" t="n"/>
      <c r="IU18" s="198" t="n"/>
      <c r="IV18" s="198" t="n"/>
      <c r="IW18" s="198" t="n"/>
      <c r="IX18" s="198" t="n"/>
      <c r="IY18" s="198" t="n"/>
      <c r="IZ18" s="198" t="n"/>
      <c r="JA18" s="198" t="n"/>
      <c r="JB18" s="198" t="n"/>
      <c r="JC18" s="198" t="n"/>
      <c r="JD18" s="198" t="n"/>
      <c r="JE18" s="198" t="n"/>
      <c r="JF18" s="198" t="n"/>
      <c r="JG18" s="198" t="n"/>
      <c r="JH18" s="198" t="n"/>
      <c r="JI18" s="198" t="n"/>
      <c r="JJ18" s="198" t="n"/>
      <c r="JK18" s="198" t="n"/>
      <c r="JL18" s="198" t="n"/>
      <c r="JM18" s="198" t="n"/>
      <c r="JN18" s="198" t="n"/>
      <c r="JO18" s="198" t="n"/>
      <c r="JP18" s="198" t="n"/>
      <c r="JQ18" s="198" t="n"/>
      <c r="JR18" s="198" t="n"/>
      <c r="JS18" s="198" t="n"/>
      <c r="JT18" s="198" t="n"/>
      <c r="JU18" s="198" t="n"/>
      <c r="JV18" s="198" t="n"/>
      <c r="JW18" s="198" t="n"/>
      <c r="JX18" s="198" t="n"/>
      <c r="JY18" s="198" t="n"/>
      <c r="JZ18" s="198" t="n"/>
      <c r="KA18" s="198" t="n"/>
      <c r="KB18" s="198" t="n"/>
      <c r="KC18" s="198" t="n"/>
      <c r="KD18" s="198" t="n"/>
      <c r="KE18" s="198" t="n"/>
    </row>
    <row r="19" ht="52" customHeight="1" s="147">
      <c r="A19" s="204" t="inlineStr">
        <is>
          <t>9000</t>
        </is>
      </c>
      <c r="B19" s="204" t="inlineStr">
        <is>
          <t>9000-6</t>
        </is>
      </c>
      <c r="C19" s="204" t="inlineStr">
        <is>
          <t>건축</t>
        </is>
      </c>
      <c r="D19" s="204" t="inlineStr">
        <is>
          <t>9000-6-18</t>
        </is>
      </c>
      <c r="E19" s="205" t="inlineStr">
        <is>
          <t>9000-6-17</t>
        </is>
      </c>
      <c r="F19" s="205" t="inlineStr">
        <is>
          <t>9000-6-19</t>
        </is>
      </c>
      <c r="G19" s="162" t="inlineStr">
        <is>
          <t>시공중 지속적인 인터페이스(기계, 전기, 통신 등) 회의를 통하여 시공전 계획했던 대로 원활한 선후행공정 시공진행</t>
        </is>
      </c>
      <c r="H19" s="205" t="inlineStr">
        <is>
          <t>건축 구조물공사 中, 건축 마감공사 中 인터페이스 협의를 통한 재시공 최소화</t>
        </is>
      </c>
      <c r="I19" s="205" t="inlineStr">
        <is>
          <t>인터페이스 회의록</t>
        </is>
      </c>
      <c r="J19" s="16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217">
        <f>HYPERLINK(LEFT(CELL("filename",A1),FIND("[",CELL("filename",A1))-1)&amp;"매뉴얼BODY(집행단계-첨부폴더)v8\6.건축\18_인터페이스 회의(매주)\표준서\인터페이스 회의(매주)_표준서.html", "👉 [클릭] 표준서 열기 📄")</f>
        <v/>
      </c>
      <c r="L19" s="16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217">
        <f>HYPERLINK(LEFT(CELL("filename",A1),FIND("[",CELL("filename",A1))-1)&amp;"매뉴얼BODY(집행단계-첨부폴더)v8\6.건축\18_인터페이스 회의(매주)\수행지침\인터페이스 회의(매주)_수행지침.html", "👉 [클릭] 수행지침 열기 📄")</f>
        <v/>
      </c>
      <c r="N19" s="206"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217">
        <f>HYPERLINK(LEFT(CELL("filename",A1),FIND("[",CELL("filename",A1))-1)&amp;"매뉴얼BODY(집행단계-첨부폴더)v8\6.건축\18_인터페이스 회의(매주)\체크리스트\인터페이스 회의(매주)_체크리스트.html", "👉 [클릭] 체크리스트 열기 📄")</f>
        <v/>
      </c>
      <c r="P19" s="207" t="n"/>
      <c r="Q19" s="163" t="inlineStr">
        <is>
          <t>● 공정 조율 및 시공 순서 확인</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c r="IO19" s="198" t="n"/>
      <c r="IP19" s="198" t="n"/>
      <c r="IQ19" s="198" t="n"/>
      <c r="IR19" s="198" t="n"/>
      <c r="IS19" s="198" t="n"/>
      <c r="IT19" s="198" t="n"/>
      <c r="IU19" s="198" t="n"/>
      <c r="IV19" s="198" t="n"/>
      <c r="IW19" s="198" t="n"/>
      <c r="IX19" s="198" t="n"/>
      <c r="IY19" s="198" t="n"/>
      <c r="IZ19" s="198" t="n"/>
      <c r="JA19" s="198" t="n"/>
      <c r="JB19" s="198" t="n"/>
      <c r="JC19" s="198" t="n"/>
      <c r="JD19" s="198" t="n"/>
      <c r="JE19" s="198" t="n"/>
      <c r="JF19" s="198" t="n"/>
      <c r="JG19" s="198" t="n"/>
      <c r="JH19" s="198" t="n"/>
      <c r="JI19" s="198" t="n"/>
      <c r="JJ19" s="198" t="n"/>
      <c r="JK19" s="198" t="n"/>
      <c r="JL19" s="198" t="n"/>
      <c r="JM19" s="198" t="n"/>
      <c r="JN19" s="198" t="n"/>
      <c r="JO19" s="198" t="n"/>
      <c r="JP19" s="198" t="n"/>
      <c r="JQ19" s="198" t="n"/>
      <c r="JR19" s="198" t="n"/>
      <c r="JS19" s="198" t="n"/>
      <c r="JT19" s="198" t="n"/>
      <c r="JU19" s="198" t="n"/>
      <c r="JV19" s="198" t="n"/>
      <c r="JW19" s="198" t="n"/>
      <c r="JX19" s="198" t="n"/>
      <c r="JY19" s="198" t="n"/>
      <c r="JZ19" s="198" t="n"/>
      <c r="KA19" s="198" t="n"/>
      <c r="KB19" s="198" t="n"/>
      <c r="KC19" s="198" t="n"/>
      <c r="KD19" s="198" t="n"/>
      <c r="KE19" s="198" t="n"/>
      <c r="KF19" s="198" t="n"/>
      <c r="KG19" s="198" t="n"/>
      <c r="KH19" s="198" t="n"/>
      <c r="KI19" s="198" t="n"/>
    </row>
    <row r="20" ht="52" customHeight="1" s="147">
      <c r="A20" s="199" t="inlineStr">
        <is>
          <t>9000</t>
        </is>
      </c>
      <c r="B20" s="199" t="inlineStr">
        <is>
          <t>9000-6</t>
        </is>
      </c>
      <c r="C20" s="199" t="inlineStr">
        <is>
          <t>건축</t>
        </is>
      </c>
      <c r="D20" s="199" t="inlineStr">
        <is>
          <t>9000-6-19</t>
        </is>
      </c>
      <c r="E20" s="200" t="inlineStr">
        <is>
          <t>9000-6-18</t>
        </is>
      </c>
      <c r="F20" s="200" t="inlineStr">
        <is>
          <t>9000-6-20</t>
        </is>
      </c>
      <c r="G20" s="155" t="inlineStr">
        <is>
          <t>각 해당공종(건축, 기계, 전기) 도면과 건축도면을 비교 및 현장여건 검토를 통한 시공방법 결정, 각종 필증 및 허가관련에 따른 우선순위 시공순서 결정</t>
        </is>
      </c>
      <c r="H20" s="200" t="inlineStr">
        <is>
          <t>구조물 내,외부 인입공사 사전 인터페이스 회의를 통한 공사간섭 및 Rework방지</t>
        </is>
      </c>
      <c r="I20" s="200" t="inlineStr">
        <is>
          <t>인터페이스 회의록</t>
        </is>
      </c>
      <c r="J20" s="156"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213">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156"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213">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20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213">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202" t="n"/>
      <c r="Q20" s="156" t="inlineStr">
        <is>
          <t>● 타 분야 매입 배관 및 슬리브 사전 확인</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c r="IS20" s="198" t="n"/>
      <c r="IT20" s="198" t="n"/>
      <c r="IU20" s="198" t="n"/>
      <c r="IV20" s="198" t="n"/>
      <c r="IW20" s="198" t="n"/>
      <c r="IX20" s="198" t="n"/>
      <c r="IY20" s="198" t="n"/>
      <c r="IZ20" s="198" t="n"/>
      <c r="JA20" s="198" t="n"/>
      <c r="JB20" s="198" t="n"/>
      <c r="JC20" s="198" t="n"/>
      <c r="JD20" s="198" t="n"/>
      <c r="JE20" s="198" t="n"/>
      <c r="JF20" s="198" t="n"/>
      <c r="JG20" s="198" t="n"/>
      <c r="JH20" s="198" t="n"/>
      <c r="JI20" s="198" t="n"/>
      <c r="JJ20" s="198" t="n"/>
      <c r="JK20" s="198" t="n"/>
      <c r="JL20" s="198" t="n"/>
      <c r="JM20" s="198" t="n"/>
      <c r="JN20" s="198" t="n"/>
      <c r="JO20" s="198" t="n"/>
      <c r="JP20" s="198" t="n"/>
      <c r="JQ20" s="198" t="n"/>
      <c r="JR20" s="198" t="n"/>
      <c r="JS20" s="198" t="n"/>
      <c r="JT20" s="198" t="n"/>
      <c r="JU20" s="198" t="n"/>
      <c r="JV20" s="198" t="n"/>
      <c r="JW20" s="198" t="n"/>
      <c r="JX20" s="198" t="n"/>
      <c r="JY20" s="198" t="n"/>
      <c r="JZ20" s="198" t="n"/>
      <c r="KA20" s="198" t="n"/>
      <c r="KB20" s="198" t="n"/>
      <c r="KC20" s="198" t="n"/>
      <c r="KD20" s="198" t="n"/>
      <c r="KE20" s="198" t="n"/>
      <c r="KF20" s="198" t="n"/>
      <c r="KG20" s="198" t="n"/>
      <c r="KH20" s="198" t="n"/>
      <c r="KI20" s="198" t="n"/>
      <c r="KJ20" s="198" t="n"/>
      <c r="KK20" s="198" t="n"/>
      <c r="KL20" s="198" t="n"/>
      <c r="KM20" s="198" t="n"/>
    </row>
    <row r="21" ht="52" customHeight="1" s="147">
      <c r="A21" s="204" t="inlineStr">
        <is>
          <t>9000</t>
        </is>
      </c>
      <c r="B21" s="204" t="inlineStr">
        <is>
          <t>9000-6</t>
        </is>
      </c>
      <c r="C21" s="204" t="inlineStr">
        <is>
          <t>건축</t>
        </is>
      </c>
      <c r="D21" s="204" t="inlineStr">
        <is>
          <t>9000-6-20</t>
        </is>
      </c>
      <c r="E21" s="205" t="inlineStr">
        <is>
          <t>9000-6-19</t>
        </is>
      </c>
      <c r="F21" s="205" t="inlineStr">
        <is>
          <t>9000-6-21</t>
        </is>
      </c>
      <c r="G21" s="162" t="inlineStr">
        <is>
          <t>구조물별 외부 배수 설계와 같은 현장 여건을 구성이 되었는지 확인</t>
        </is>
      </c>
      <c r="H21" s="205" t="inlineStr">
        <is>
          <t>건축공사와 토목공사 간섭 예방, 업무 Scope확인을 통한 설계/시공Gray zone제거</t>
        </is>
      </c>
      <c r="I21" s="205" t="inlineStr">
        <is>
          <t>회의록</t>
        </is>
      </c>
      <c r="J21" s="16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217">
        <f>HYPERLINK(LEFT(CELL("filename",A1),FIND("[",CELL("filename",A1))-1)&amp;"매뉴얼BODY(집행단계-첨부폴더)v8\6.건축\20_인터페이스 각 공종별 Issue (토목분야)\표준서\인터페이스 각 공종별 Issue (토목분야)_표준서.html", "👉 [클릭] 표준서 열기 📄")</f>
        <v/>
      </c>
      <c r="L21" s="16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217">
        <f>HYPERLINK(LEFT(CELL("filename",A1),FIND("[",CELL("filename",A1))-1)&amp;"매뉴얼BODY(집행단계-첨부폴더)v8\6.건축\20_인터페이스 각 공종별 Issue (토목분야)\수행지침\인터페이스 각 공종별 Issue (토목분야)_수행지침.html", "👉 [클릭] 수행지침 열기 📄")</f>
        <v/>
      </c>
      <c r="N21" s="206"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217">
        <f>HYPERLINK(LEFT(CELL("filename",A1),FIND("[",CELL("filename",A1))-1)&amp;"매뉴얼BODY(집행단계-첨부폴더)v8\6.건축\20_인터페이스 각 공종별 Issue (토목분야)\체크리스트\인터페이스 각 공종별 Issue (토목분야)_체크리스트.html", "👉 [클릭] 체크리스트 열기 📄")</f>
        <v/>
      </c>
      <c r="P21" s="207" t="n"/>
      <c r="Q21" s="163" t="inlineStr">
        <is>
          <t>● 토목 외부 우/오수 배수 및 연계 부분 확인</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c r="IW21" s="198" t="n"/>
      <c r="IX21" s="198" t="n"/>
      <c r="IY21" s="198" t="n"/>
      <c r="IZ21" s="198" t="n"/>
      <c r="JA21" s="198" t="n"/>
      <c r="JB21" s="198" t="n"/>
      <c r="JC21" s="198" t="n"/>
      <c r="JD21" s="198" t="n"/>
      <c r="JE21" s="198" t="n"/>
      <c r="JF21" s="198" t="n"/>
      <c r="JG21" s="198" t="n"/>
      <c r="JH21" s="198" t="n"/>
      <c r="JI21" s="198" t="n"/>
      <c r="JJ21" s="198" t="n"/>
      <c r="JK21" s="198" t="n"/>
      <c r="JL21" s="198" t="n"/>
      <c r="JM21" s="198" t="n"/>
      <c r="JN21" s="198" t="n"/>
      <c r="JO21" s="198" t="n"/>
      <c r="JP21" s="198" t="n"/>
      <c r="JQ21" s="198" t="n"/>
      <c r="JR21" s="198" t="n"/>
      <c r="JS21" s="198" t="n"/>
      <c r="JT21" s="198" t="n"/>
      <c r="JU21" s="198" t="n"/>
      <c r="JV21" s="198" t="n"/>
      <c r="JW21" s="198" t="n"/>
      <c r="JX21" s="198" t="n"/>
      <c r="JY21" s="198" t="n"/>
      <c r="JZ21" s="198" t="n"/>
      <c r="KA21" s="198" t="n"/>
      <c r="KB21" s="198" t="n"/>
      <c r="KC21" s="198" t="n"/>
      <c r="KD21" s="198" t="n"/>
      <c r="KE21" s="198" t="n"/>
      <c r="KF21" s="198" t="n"/>
      <c r="KG21" s="198" t="n"/>
      <c r="KH21" s="198" t="n"/>
      <c r="KI21" s="198" t="n"/>
      <c r="KJ21" s="198" t="n"/>
      <c r="KK21" s="198" t="n"/>
      <c r="KL21" s="198" t="n"/>
      <c r="KM21" s="198" t="n"/>
      <c r="KN21" s="198" t="n"/>
      <c r="KO21" s="198" t="n"/>
      <c r="KP21" s="198" t="n"/>
      <c r="KQ21" s="198" t="n"/>
    </row>
    <row r="22" ht="52" customHeight="1" s="147">
      <c r="A22" s="199" t="inlineStr">
        <is>
          <t>9000</t>
        </is>
      </c>
      <c r="B22" s="199" t="inlineStr">
        <is>
          <t>9000-6</t>
        </is>
      </c>
      <c r="C22" s="199" t="inlineStr">
        <is>
          <t>건축</t>
        </is>
      </c>
      <c r="D22" s="199" t="inlineStr">
        <is>
          <t>9000-6-21</t>
        </is>
      </c>
      <c r="E22" s="200" t="inlineStr">
        <is>
          <t>9000-6-20</t>
        </is>
      </c>
      <c r="F22" s="200" t="inlineStr">
        <is>
          <t>9000-6-22</t>
        </is>
      </c>
      <c r="G22" s="155" t="inlineStr">
        <is>
          <t>발주 이후 마감공정 연계, 거푸집 해체 이후 균열조사 및 보수조치 시행</t>
        </is>
      </c>
      <c r="H22" s="200" t="inlineStr">
        <is>
          <t>기초, 기둥 및 슬라브 구조물 시공</t>
        </is>
      </c>
      <c r="I22" s="200" t="inlineStr">
        <is>
          <t>해당공종 검측서, 각종 품질시험결과 보고서, 마감공종 인수인계서</t>
        </is>
      </c>
      <c r="J22" s="156"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213">
        <f>HYPERLINK(LEFT(CELL("filename",A1),FIND("[",CELL("filename",A1))-1)&amp;"매뉴얼BODY(집행단계-첨부폴더)v8\6.건축\21_기초~상부슬라브 구조물 시공\표준서\기초~상부슬라브 구조물 시공_표준서.html", "👉 [클릭] 표준서 열기 📄")</f>
        <v/>
      </c>
      <c r="L22" s="156"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213">
        <f>HYPERLINK(LEFT(CELL("filename",A1),FIND("[",CELL("filename",A1))-1)&amp;"매뉴얼BODY(집행단계-첨부폴더)v8\6.건축\21_기초~상부슬라브 구조물 시공\수행지침\기초~상부슬라브 구조물 시공_수행지침.html", "👉 [클릭] 수행지침 열기 📄")</f>
        <v/>
      </c>
      <c r="N22" s="20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213">
        <f>HYPERLINK(LEFT(CELL("filename",A1),FIND("[",CELL("filename",A1))-1)&amp;"매뉴얼BODY(집행단계-첨부폴더)v8\6.건축\21_기초~상부슬라브 구조물 시공\체크리스트\기초~상부슬라브 구조물 시공_체크리스트.html", "👉 [클릭] 체크리스트 열기 📄")</f>
        <v/>
      </c>
      <c r="P22" s="202" t="n"/>
      <c r="Q22" s="156" t="inlineStr">
        <is>
          <t>● 콘크리트 압축강도 및 피복두께 관리</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c r="JA22" s="198" t="n"/>
      <c r="JB22" s="198" t="n"/>
      <c r="JC22" s="198" t="n"/>
      <c r="JD22" s="198" t="n"/>
      <c r="JE22" s="198" t="n"/>
      <c r="JF22" s="198" t="n"/>
      <c r="JG22" s="198" t="n"/>
      <c r="JH22" s="198" t="n"/>
      <c r="JI22" s="198" t="n"/>
      <c r="JJ22" s="198" t="n"/>
      <c r="JK22" s="198" t="n"/>
      <c r="JL22" s="198" t="n"/>
      <c r="JM22" s="198" t="n"/>
      <c r="JN22" s="198" t="n"/>
      <c r="JO22" s="198" t="n"/>
      <c r="JP22" s="198" t="n"/>
      <c r="JQ22" s="198" t="n"/>
      <c r="JR22" s="198" t="n"/>
      <c r="JS22" s="198" t="n"/>
      <c r="JT22" s="198" t="n"/>
      <c r="JU22" s="198" t="n"/>
      <c r="JV22" s="198" t="n"/>
      <c r="JW22" s="198" t="n"/>
      <c r="JX22" s="198" t="n"/>
      <c r="JY22" s="198" t="n"/>
      <c r="JZ22" s="198" t="n"/>
      <c r="KA22" s="198" t="n"/>
      <c r="KB22" s="198" t="n"/>
      <c r="KC22" s="198" t="n"/>
      <c r="KD22" s="198" t="n"/>
      <c r="KE22" s="198" t="n"/>
      <c r="KF22" s="198" t="n"/>
      <c r="KG22" s="198" t="n"/>
      <c r="KH22" s="198" t="n"/>
      <c r="KI22" s="198" t="n"/>
      <c r="KJ22" s="198" t="n"/>
      <c r="KK22" s="198" t="n"/>
      <c r="KL22" s="198" t="n"/>
      <c r="KM22" s="198" t="n"/>
      <c r="KN22" s="198" t="n"/>
      <c r="KO22" s="198" t="n"/>
      <c r="KP22" s="198" t="n"/>
      <c r="KQ22" s="198" t="n"/>
      <c r="KR22" s="198" t="n"/>
      <c r="KS22" s="198" t="n"/>
      <c r="KT22" s="198" t="n"/>
      <c r="KU22" s="198" t="n"/>
    </row>
    <row r="23" ht="52" customHeight="1" s="147">
      <c r="A23" s="204" t="inlineStr">
        <is>
          <t>9000</t>
        </is>
      </c>
      <c r="B23" s="204" t="inlineStr">
        <is>
          <t>9000-6</t>
        </is>
      </c>
      <c r="C23" s="204" t="inlineStr">
        <is>
          <t>건축</t>
        </is>
      </c>
      <c r="D23" s="204" t="inlineStr">
        <is>
          <t>9000-6-22</t>
        </is>
      </c>
      <c r="E23" s="205" t="inlineStr">
        <is>
          <t>9000-6-21</t>
        </is>
      </c>
      <c r="F23" s="205" t="inlineStr">
        <is>
          <t>9000-6-23</t>
        </is>
      </c>
      <c r="G23" s="162" t="inlineStr">
        <is>
          <t>설계도면과 가공상세가 일치하는지 확인 및 보강부분 시공상세도 확인</t>
        </is>
      </c>
      <c r="H23" s="205" t="inlineStr">
        <is>
          <t>철근을 절곡 및 절단하는 작업</t>
        </is>
      </c>
      <c r="I23" s="205" t="inlineStr">
        <is>
          <t>철근 시공상세도</t>
        </is>
      </c>
      <c r="J23" s="16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217">
        <f>HYPERLINK(LEFT(CELL("filename",A1),FIND("[",CELL("filename",A1))-1)&amp;"매뉴얼BODY(집행단계-첨부폴더)v8\6.건축\22_철근 가공\표준서\철근 가공_표준서.html", "👉 [클릭] 표준서 열기 📄")</f>
        <v/>
      </c>
      <c r="L23" s="16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217">
        <f>HYPERLINK(LEFT(CELL("filename",A1),FIND("[",CELL("filename",A1))-1)&amp;"매뉴얼BODY(집행단계-첨부폴더)v8\6.건축\22_철근 가공\수행지침\철근 가공_수행지침.html", "👉 [클릭] 수행지침 열기 📄")</f>
        <v/>
      </c>
      <c r="N23" s="206"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217">
        <f>HYPERLINK(LEFT(CELL("filename",A1),FIND("[",CELL("filename",A1))-1)&amp;"매뉴얼BODY(집행단계-첨부폴더)v8\6.건축\22_철근 가공\체크리스트\철근 가공_체크리스트.html", "👉 [클릭] 체크리스트 열기 📄")</f>
        <v/>
      </c>
      <c r="P23" s="207" t="n"/>
      <c r="Q23" s="163" t="inlineStr">
        <is>
          <t>● 철근 가공 치수 허용오차 기준</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c r="JE23" s="198" t="n"/>
      <c r="JF23" s="198" t="n"/>
      <c r="JG23" s="198" t="n"/>
      <c r="JH23" s="198" t="n"/>
      <c r="JI23" s="198" t="n"/>
      <c r="JJ23" s="198" t="n"/>
      <c r="JK23" s="198" t="n"/>
      <c r="JL23" s="198" t="n"/>
      <c r="JM23" s="198" t="n"/>
      <c r="JN23" s="198" t="n"/>
      <c r="JO23" s="198" t="n"/>
      <c r="JP23" s="198" t="n"/>
      <c r="JQ23" s="198" t="n"/>
      <c r="JR23" s="198" t="n"/>
      <c r="JS23" s="198" t="n"/>
      <c r="JT23" s="198" t="n"/>
      <c r="JU23" s="198" t="n"/>
      <c r="JV23" s="198" t="n"/>
      <c r="JW23" s="198" t="n"/>
      <c r="JX23" s="198" t="n"/>
      <c r="JY23" s="198" t="n"/>
      <c r="JZ23" s="198" t="n"/>
      <c r="KA23" s="198" t="n"/>
      <c r="KB23" s="198" t="n"/>
      <c r="KC23" s="198" t="n"/>
      <c r="KD23" s="198" t="n"/>
      <c r="KE23" s="198" t="n"/>
      <c r="KF23" s="198" t="n"/>
      <c r="KG23" s="198" t="n"/>
      <c r="KH23" s="198" t="n"/>
      <c r="KI23" s="198" t="n"/>
      <c r="KJ23" s="198" t="n"/>
      <c r="KK23" s="198" t="n"/>
      <c r="KL23" s="198" t="n"/>
      <c r="KM23" s="198" t="n"/>
      <c r="KN23" s="198" t="n"/>
      <c r="KO23" s="198" t="n"/>
      <c r="KP23" s="198" t="n"/>
      <c r="KQ23" s="198" t="n"/>
      <c r="KR23" s="198" t="n"/>
      <c r="KS23" s="198" t="n"/>
      <c r="KT23" s="198" t="n"/>
      <c r="KU23" s="198" t="n"/>
      <c r="KV23" s="198" t="n"/>
      <c r="KW23" s="198" t="n"/>
      <c r="KX23" s="198" t="n"/>
      <c r="KY23" s="198" t="n"/>
    </row>
    <row r="24" ht="52" customHeight="1" s="147">
      <c r="A24" s="199" t="inlineStr">
        <is>
          <t>9000</t>
        </is>
      </c>
      <c r="B24" s="199" t="inlineStr">
        <is>
          <t>9000-6</t>
        </is>
      </c>
      <c r="C24" s="199" t="inlineStr">
        <is>
          <t>건축</t>
        </is>
      </c>
      <c r="D24" s="199" t="inlineStr">
        <is>
          <t>9000-6-23</t>
        </is>
      </c>
      <c r="E24" s="200" t="inlineStr">
        <is>
          <t>9000-6-22</t>
        </is>
      </c>
      <c r="F24" s="200" t="inlineStr">
        <is>
          <t>9000-6-24</t>
        </is>
      </c>
      <c r="G24" s="155" t="inlineStr">
        <is>
          <t>안전난간 및 발판 설치 이후 철근 조립 및 거푸집 설치를 위한 비계 및 동바리 설치</t>
        </is>
      </c>
      <c r="H24" s="200" t="inlineStr">
        <is>
          <t>구조물 시공을 위한 작업발판 및 후속 작업을 위해 비계 및 동바리 설치</t>
        </is>
      </c>
      <c r="I24" s="200" t="inlineStr">
        <is>
          <t>비계 및 동바리 검측서</t>
        </is>
      </c>
      <c r="J24" s="156"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213">
        <f>HYPERLINK(LEFT(CELL("filename",A1),FIND("[",CELL("filename",A1))-1)&amp;"매뉴얼BODY(집행단계-첨부폴더)v8\6.건축\23_작업발판, 비계 및 동바리 설치\표준서\작업발판, 비계 및 동바리 설치_표준서.html", "👉 [클릭] 표준서 열기 📄")</f>
        <v/>
      </c>
      <c r="L24" s="156"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213">
        <f>HYPERLINK(LEFT(CELL("filename",A1),FIND("[",CELL("filename",A1))-1)&amp;"매뉴얼BODY(집행단계-첨부폴더)v8\6.건축\23_작업발판, 비계 및 동바리 설치\수행지침\작업발판, 비계 및 동바리 설치_수행지침.html", "👉 [클릭] 수행지침 열기 📄")</f>
        <v/>
      </c>
      <c r="N24" s="20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213">
        <f>HYPERLINK(LEFT(CELL("filename",A1),FIND("[",CELL("filename",A1))-1)&amp;"매뉴얼BODY(집행단계-첨부폴더)v8\6.건축\23_작업발판, 비계 및 동바리 설치\체크리스트\작업발판, 비계 및 동바리 설치_체크리스트.html", "👉 [클릭] 체크리스트 열기 📄")</f>
        <v/>
      </c>
      <c r="P24" s="202" t="n"/>
      <c r="Q24" s="156" t="inlineStr">
        <is>
          <t>● 가설구조물 안전 기준 및 구조 검토</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c r="JI24" s="198" t="n"/>
      <c r="JJ24" s="198" t="n"/>
      <c r="JK24" s="198" t="n"/>
      <c r="JL24" s="198" t="n"/>
      <c r="JM24" s="198" t="n"/>
      <c r="JN24" s="198" t="n"/>
      <c r="JO24" s="198" t="n"/>
      <c r="JP24" s="198" t="n"/>
      <c r="JQ24" s="198" t="n"/>
      <c r="JR24" s="198" t="n"/>
      <c r="JS24" s="198" t="n"/>
      <c r="JT24" s="198" t="n"/>
      <c r="JU24" s="198" t="n"/>
      <c r="JV24" s="198" t="n"/>
      <c r="JW24" s="198" t="n"/>
      <c r="JX24" s="198" t="n"/>
      <c r="JY24" s="198" t="n"/>
      <c r="JZ24" s="198" t="n"/>
      <c r="KA24" s="198" t="n"/>
      <c r="KB24" s="198" t="n"/>
      <c r="KC24" s="198" t="n"/>
      <c r="KD24" s="198" t="n"/>
      <c r="KE24" s="198" t="n"/>
      <c r="KF24" s="198" t="n"/>
      <c r="KG24" s="198" t="n"/>
      <c r="KH24" s="198" t="n"/>
      <c r="KI24" s="198" t="n"/>
      <c r="KJ24" s="198" t="n"/>
      <c r="KK24" s="198" t="n"/>
      <c r="KL24" s="198" t="n"/>
      <c r="KM24" s="198" t="n"/>
      <c r="KN24" s="198" t="n"/>
      <c r="KO24" s="198" t="n"/>
      <c r="KP24" s="198" t="n"/>
      <c r="KQ24" s="198" t="n"/>
      <c r="KR24" s="198" t="n"/>
      <c r="KS24" s="198" t="n"/>
      <c r="KT24" s="198" t="n"/>
      <c r="KU24" s="198" t="n"/>
      <c r="KV24" s="198" t="n"/>
      <c r="KW24" s="198" t="n"/>
      <c r="KX24" s="198" t="n"/>
      <c r="KY24" s="198" t="n"/>
      <c r="KZ24" s="198" t="n"/>
      <c r="LA24" s="198" t="n"/>
      <c r="LB24" s="198" t="n"/>
      <c r="LC24" s="198" t="n"/>
    </row>
    <row r="25" ht="52" customHeight="1" s="147">
      <c r="A25" s="204" t="inlineStr">
        <is>
          <t>9000</t>
        </is>
      </c>
      <c r="B25" s="204" t="inlineStr">
        <is>
          <t>9000-6</t>
        </is>
      </c>
      <c r="C25" s="204" t="inlineStr">
        <is>
          <t>건축</t>
        </is>
      </c>
      <c r="D25" s="204" t="inlineStr">
        <is>
          <t>9000-6-24</t>
        </is>
      </c>
      <c r="E25" s="205" t="inlineStr">
        <is>
          <t>9000-6-23</t>
        </is>
      </c>
      <c r="F25" s="205" t="inlineStr">
        <is>
          <t>9000-6-25</t>
        </is>
      </c>
      <c r="G25" s="162" t="inlineStr">
        <is>
          <t>철근 배근, 철근 조립 및 결속, 철근 이물질 등 검사</t>
        </is>
      </c>
      <c r="H25" s="205" t="inlineStr">
        <is>
          <t>구조물의 뼈대를 형성하도록 철근을 조립</t>
        </is>
      </c>
      <c r="I25" s="205" t="inlineStr">
        <is>
          <t>철근 검측서</t>
        </is>
      </c>
      <c r="J25" s="16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217">
        <f>HYPERLINK(LEFT(CELL("filename",A1),FIND("[",CELL("filename",A1))-1)&amp;"매뉴얼BODY(집행단계-첨부폴더)v8\6.건축\24_철근 조립\표준서\철근 조립_표준서.html", "👉 [클릭] 표준서 열기 📄")</f>
        <v/>
      </c>
      <c r="L25" s="16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217">
        <f>HYPERLINK(LEFT(CELL("filename",A1),FIND("[",CELL("filename",A1))-1)&amp;"매뉴얼BODY(집행단계-첨부폴더)v8\6.건축\24_철근 조립\수행지침\철근 조립_수행지침.html", "👉 [클릭] 수행지침 열기 📄")</f>
        <v/>
      </c>
      <c r="N25" s="206"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217">
        <f>HYPERLINK(LEFT(CELL("filename",A1),FIND("[",CELL("filename",A1))-1)&amp;"매뉴얼BODY(집행단계-첨부폴더)v8\6.건축\24_철근 조립\체크리스트\철근 조립_체크리스트.html", "👉 [클릭] 체크리스트 열기 📄")</f>
        <v/>
      </c>
      <c r="P25" s="207" t="n"/>
      <c r="Q25" s="163" t="inlineStr">
        <is>
          <t>● 철근 배근 간격 및 결속선 결속 기준</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c r="JM25" s="198" t="n"/>
      <c r="JN25" s="198" t="n"/>
      <c r="JO25" s="198" t="n"/>
      <c r="JP25" s="198" t="n"/>
      <c r="JQ25" s="198" t="n"/>
      <c r="JR25" s="198" t="n"/>
      <c r="JS25" s="198" t="n"/>
      <c r="JT25" s="198" t="n"/>
      <c r="JU25" s="198" t="n"/>
      <c r="JV25" s="198" t="n"/>
      <c r="JW25" s="198" t="n"/>
      <c r="JX25" s="198" t="n"/>
      <c r="JY25" s="198" t="n"/>
      <c r="JZ25" s="198" t="n"/>
      <c r="KA25" s="198" t="n"/>
      <c r="KB25" s="198" t="n"/>
      <c r="KC25" s="198" t="n"/>
      <c r="KD25" s="198" t="n"/>
      <c r="KE25" s="198" t="n"/>
      <c r="KF25" s="198" t="n"/>
      <c r="KG25" s="198" t="n"/>
      <c r="KH25" s="198" t="n"/>
      <c r="KI25" s="198" t="n"/>
      <c r="KJ25" s="198" t="n"/>
      <c r="KK25" s="198" t="n"/>
      <c r="KL25" s="198" t="n"/>
      <c r="KM25" s="198" t="n"/>
      <c r="KN25" s="198" t="n"/>
      <c r="KO25" s="198" t="n"/>
      <c r="KP25" s="198" t="n"/>
      <c r="KQ25" s="198" t="n"/>
      <c r="KR25" s="198" t="n"/>
      <c r="KS25" s="198" t="n"/>
      <c r="KT25" s="198" t="n"/>
      <c r="KU25" s="198" t="n"/>
      <c r="KV25" s="198" t="n"/>
      <c r="KW25" s="198" t="n"/>
      <c r="KX25" s="198" t="n"/>
      <c r="KY25" s="198" t="n"/>
      <c r="KZ25" s="198" t="n"/>
      <c r="LA25" s="198" t="n"/>
      <c r="LB25" s="198" t="n"/>
      <c r="LC25" s="198" t="n"/>
      <c r="LD25" s="198" t="n"/>
      <c r="LE25" s="198" t="n"/>
      <c r="LF25" s="198" t="n"/>
      <c r="LG25" s="198" t="n"/>
    </row>
    <row r="26" ht="52" customHeight="1" s="147">
      <c r="A26" s="199" t="inlineStr">
        <is>
          <t>9000</t>
        </is>
      </c>
      <c r="B26" s="199" t="inlineStr">
        <is>
          <t>9000-6</t>
        </is>
      </c>
      <c r="C26" s="199" t="inlineStr">
        <is>
          <t>건축</t>
        </is>
      </c>
      <c r="D26" s="199" t="inlineStr">
        <is>
          <t>9000-6-25</t>
        </is>
      </c>
      <c r="E26" s="200" t="inlineStr">
        <is>
          <t>9000-6-24</t>
        </is>
      </c>
      <c r="F26" s="200" t="inlineStr">
        <is>
          <t>9000-6-26</t>
        </is>
      </c>
      <c r="G26" s="155" t="inlineStr">
        <is>
          <t>합판, 강재등의 자재를 활용하여 설계도면 형상에 맞게 시공</t>
        </is>
      </c>
      <c r="H26" s="200" t="inlineStr">
        <is>
          <t>콘크리트 타설 후 양생까지 유지하는 가설구조물 설치 작업</t>
        </is>
      </c>
      <c r="I26" s="200" t="inlineStr">
        <is>
          <t>거푸집 검측서</t>
        </is>
      </c>
      <c r="J26" s="156"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213">
        <f>HYPERLINK(LEFT(CELL("filename",A1),FIND("[",CELL("filename",A1))-1)&amp;"매뉴얼BODY(집행단계-첨부폴더)v8\6.건축\25_거푸집 조립\표준서\거푸집 조립_표준서.html", "👉 [클릭] 표준서 열기 📄")</f>
        <v/>
      </c>
      <c r="L26" s="156"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213">
        <f>HYPERLINK(LEFT(CELL("filename",A1),FIND("[",CELL("filename",A1))-1)&amp;"매뉴얼BODY(집행단계-첨부폴더)v8\6.건축\25_거푸집 조립\수행지침\거푸집 조립_수행지침.html", "👉 [클릭] 수행지침 열기 📄")</f>
        <v/>
      </c>
      <c r="N26" s="20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213">
        <f>HYPERLINK(LEFT(CELL("filename",A1),FIND("[",CELL("filename",A1))-1)&amp;"매뉴얼BODY(집행단계-첨부폴더)v8\6.건축\25_거푸집 조립\체크리스트\거푸집 조립_체크리스트.html", "👉 [클릭] 체크리스트 열기 📄")</f>
        <v/>
      </c>
      <c r="P26" s="202" t="n"/>
      <c r="Q26" s="156" t="inlineStr">
        <is>
          <t>● 거푸집 수직/수평도 및 박리제 도포 기준</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c r="JQ26" s="198" t="n"/>
      <c r="JR26" s="198" t="n"/>
      <c r="JS26" s="198" t="n"/>
      <c r="JT26" s="198" t="n"/>
      <c r="JU26" s="198" t="n"/>
      <c r="JV26" s="198" t="n"/>
      <c r="JW26" s="198" t="n"/>
      <c r="JX26" s="198" t="n"/>
      <c r="JY26" s="198" t="n"/>
      <c r="JZ26" s="198" t="n"/>
      <c r="KA26" s="198" t="n"/>
      <c r="KB26" s="198" t="n"/>
      <c r="KC26" s="198" t="n"/>
      <c r="KD26" s="198" t="n"/>
      <c r="KE26" s="198" t="n"/>
      <c r="KF26" s="198" t="n"/>
      <c r="KG26" s="198" t="n"/>
      <c r="KH26" s="198" t="n"/>
      <c r="KI26" s="198" t="n"/>
      <c r="KJ26" s="198" t="n"/>
      <c r="KK26" s="198" t="n"/>
      <c r="KL26" s="198" t="n"/>
      <c r="KM26" s="198" t="n"/>
      <c r="KN26" s="198" t="n"/>
      <c r="KO26" s="198" t="n"/>
      <c r="KP26" s="198" t="n"/>
      <c r="KQ26" s="198" t="n"/>
      <c r="KR26" s="198" t="n"/>
      <c r="KS26" s="198" t="n"/>
      <c r="KT26" s="198" t="n"/>
      <c r="KU26" s="198" t="n"/>
      <c r="KV26" s="198" t="n"/>
      <c r="KW26" s="198" t="n"/>
      <c r="KX26" s="198" t="n"/>
      <c r="KY26" s="198" t="n"/>
      <c r="KZ26" s="198" t="n"/>
      <c r="LA26" s="198" t="n"/>
      <c r="LB26" s="198" t="n"/>
      <c r="LC26" s="198" t="n"/>
      <c r="LD26" s="198" t="n"/>
      <c r="LE26" s="198" t="n"/>
      <c r="LF26" s="198" t="n"/>
      <c r="LG26" s="198" t="n"/>
      <c r="LH26" s="198" t="n"/>
      <c r="LI26" s="198" t="n"/>
      <c r="LJ26" s="198" t="n"/>
      <c r="LK26" s="198" t="n"/>
    </row>
    <row r="27" ht="52" customHeight="1" s="147">
      <c r="A27" s="204" t="inlineStr">
        <is>
          <t>9000</t>
        </is>
      </c>
      <c r="B27" s="204" t="inlineStr">
        <is>
          <t>9000-6</t>
        </is>
      </c>
      <c r="C27" s="204" t="inlineStr">
        <is>
          <t>건축</t>
        </is>
      </c>
      <c r="D27" s="204" t="inlineStr">
        <is>
          <t>9000-6-26</t>
        </is>
      </c>
      <c r="E27" s="205" t="inlineStr">
        <is>
          <t>9000-6-25</t>
        </is>
      </c>
      <c r="F27" s="205" t="inlineStr">
        <is>
          <t>9000-6-27</t>
        </is>
      </c>
      <c r="G27" s="162" t="inlineStr">
        <is>
          <t>- 타설과 동시에 적당한 공법으로 다짐, 양생관리
- 마감품질 관련하여, 재료, 균열관리방안
- 상부슬라브 타설시 동바리 변형 확인</t>
        </is>
      </c>
      <c r="H27" s="205" t="inlineStr">
        <is>
          <t>거푸집에 콘크리트를 붓고 강도발현 까지 밀도와 습도조절 유지</t>
        </is>
      </c>
      <c r="I27" s="205" t="inlineStr">
        <is>
          <t>콘크리트 구조물 확보, 타설보고서</t>
        </is>
      </c>
      <c r="J27" s="16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217">
        <f>HYPERLINK(LEFT(CELL("filename",A1),FIND("[",CELL("filename",A1))-1)&amp;"매뉴얼BODY(집행단계-첨부폴더)v8\6.건축\26_콘크리트 타설 및 다짐\표준서\콘크리트 타설 및 다짐_표준서.html", "👉 [클릭] 표준서 열기 📄")</f>
        <v/>
      </c>
      <c r="L27" s="16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217">
        <f>HYPERLINK(LEFT(CELL("filename",A1),FIND("[",CELL("filename",A1))-1)&amp;"매뉴얼BODY(집행단계-첨부폴더)v8\6.건축\26_콘크리트 타설 및 다짐\수행지침\콘크리트 타설 및 다짐_수행지침.html", "👉 [클릭] 수행지침 열기 📄")</f>
        <v/>
      </c>
      <c r="N27" s="206"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217">
        <f>HYPERLINK(LEFT(CELL("filename",A1),FIND("[",CELL("filename",A1))-1)&amp;"매뉴얼BODY(집행단계-첨부폴더)v8\6.건축\26_콘크리트 타설 및 다짐\체크리스트\콘크리트 타설 및 다짐_체크리스트.html", "👉 [클릭] 체크리스트 열기 📄")</f>
        <v/>
      </c>
      <c r="P27" s="207" t="n"/>
      <c r="Q27" s="163" t="inlineStr">
        <is>
          <t>● 콘크리트 타설 속도 및 다짐기 사용 기준</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c r="JU27" s="198" t="n"/>
      <c r="JV27" s="198" t="n"/>
      <c r="JW27" s="198" t="n"/>
      <c r="JX27" s="198" t="n"/>
      <c r="JY27" s="198" t="n"/>
      <c r="JZ27" s="198" t="n"/>
      <c r="KA27" s="198" t="n"/>
      <c r="KB27" s="198" t="n"/>
      <c r="KC27" s="198" t="n"/>
      <c r="KD27" s="198" t="n"/>
      <c r="KE27" s="198" t="n"/>
      <c r="KF27" s="198" t="n"/>
      <c r="KG27" s="198" t="n"/>
      <c r="KH27" s="198" t="n"/>
      <c r="KI27" s="198" t="n"/>
      <c r="KJ27" s="198" t="n"/>
      <c r="KK27" s="198" t="n"/>
      <c r="KL27" s="198" t="n"/>
      <c r="KM27" s="198" t="n"/>
      <c r="KN27" s="198" t="n"/>
      <c r="KO27" s="198" t="n"/>
      <c r="KP27" s="198" t="n"/>
      <c r="KQ27" s="198" t="n"/>
      <c r="KR27" s="198" t="n"/>
      <c r="KS27" s="198" t="n"/>
      <c r="KT27" s="198" t="n"/>
      <c r="KU27" s="198" t="n"/>
      <c r="KV27" s="198" t="n"/>
      <c r="KW27" s="198" t="n"/>
      <c r="KX27" s="198" t="n"/>
      <c r="KY27" s="198" t="n"/>
      <c r="KZ27" s="198" t="n"/>
      <c r="LA27" s="198" t="n"/>
      <c r="LB27" s="198" t="n"/>
      <c r="LC27" s="198" t="n"/>
      <c r="LD27" s="198" t="n"/>
      <c r="LE27" s="198" t="n"/>
      <c r="LF27" s="198" t="n"/>
      <c r="LG27" s="198" t="n"/>
      <c r="LH27" s="198" t="n"/>
      <c r="LI27" s="198" t="n"/>
      <c r="LJ27" s="198" t="n"/>
      <c r="LK27" s="198" t="n"/>
      <c r="LL27" s="198" t="n"/>
      <c r="LM27" s="198" t="n"/>
      <c r="LN27" s="198" t="n"/>
      <c r="LO27" s="198" t="n"/>
    </row>
    <row r="28" ht="52" customHeight="1" s="147">
      <c r="A28" s="199" t="inlineStr">
        <is>
          <t>9000</t>
        </is>
      </c>
      <c r="B28" s="199" t="inlineStr">
        <is>
          <t>9000-6</t>
        </is>
      </c>
      <c r="C28" s="199" t="inlineStr">
        <is>
          <t>건축</t>
        </is>
      </c>
      <c r="D28" s="199" t="inlineStr">
        <is>
          <t>9000-6-27</t>
        </is>
      </c>
      <c r="E28" s="200" t="inlineStr">
        <is>
          <t>9000-6-26</t>
        </is>
      </c>
      <c r="F28" s="200" t="inlineStr">
        <is>
          <t>9000-6-28</t>
        </is>
      </c>
      <c r="G28" s="155" t="inlineStr">
        <is>
          <t>구조물에 훼손이 없도록 주의하여 안전하게 해체, 부속자재(핀, 타이, 결속선 등) 제거, 상태 Double Check</t>
        </is>
      </c>
      <c r="H28" s="200" t="inlineStr">
        <is>
          <t>구조물과 거푸집을 분리하는 작업</t>
        </is>
      </c>
      <c r="I28" s="200" t="inlineStr">
        <is>
          <t>해체 완료</t>
        </is>
      </c>
      <c r="J28" s="156"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213">
        <f>HYPERLINK(LEFT(CELL("filename",A1),FIND("[",CELL("filename",A1))-1)&amp;"매뉴얼BODY(집행단계-첨부폴더)v8\6.건축\27_거푸집 해체\표준서\거푸집 해체_표준서.html", "👉 [클릭] 표준서 열기 📄")</f>
        <v/>
      </c>
      <c r="L28" s="156"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213">
        <f>HYPERLINK(LEFT(CELL("filename",A1),FIND("[",CELL("filename",A1))-1)&amp;"매뉴얼BODY(집행단계-첨부폴더)v8\6.건축\27_거푸집 해체\수행지침\거푸집 해체_수행지침.html", "👉 [클릭] 수행지침 열기 📄")</f>
        <v/>
      </c>
      <c r="N28" s="20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213">
        <f>HYPERLINK(LEFT(CELL("filename",A1),FIND("[",CELL("filename",A1))-1)&amp;"매뉴얼BODY(집행단계-첨부폴더)v8\6.건축\27_거푸집 해체\체크리스트\거푸집 해체_체크리스트.html", "👉 [클릭] 체크리스트 열기 📄")</f>
        <v/>
      </c>
      <c r="P28" s="202" t="n"/>
      <c r="Q28" s="156" t="inlineStr">
        <is>
          <t>● 거푸집 해체 시 압축강도 기준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c r="JY28" s="198" t="n"/>
      <c r="JZ28" s="198" t="n"/>
      <c r="KA28" s="198" t="n"/>
      <c r="KB28" s="198" t="n"/>
      <c r="KC28" s="198" t="n"/>
      <c r="KD28" s="198" t="n"/>
      <c r="KE28" s="198" t="n"/>
      <c r="KF28" s="198" t="n"/>
      <c r="KG28" s="198" t="n"/>
      <c r="KH28" s="198" t="n"/>
      <c r="KI28" s="198" t="n"/>
      <c r="KJ28" s="198" t="n"/>
      <c r="KK28" s="198" t="n"/>
      <c r="KL28" s="198" t="n"/>
      <c r="KM28" s="198" t="n"/>
      <c r="KN28" s="198" t="n"/>
      <c r="KO28" s="198" t="n"/>
      <c r="KP28" s="198" t="n"/>
      <c r="KQ28" s="198" t="n"/>
      <c r="KR28" s="198" t="n"/>
      <c r="KS28" s="198" t="n"/>
      <c r="KT28" s="198" t="n"/>
      <c r="KU28" s="198" t="n"/>
      <c r="KV28" s="198" t="n"/>
      <c r="KW28" s="198" t="n"/>
      <c r="KX28" s="198" t="n"/>
      <c r="KY28" s="198" t="n"/>
      <c r="KZ28" s="198" t="n"/>
      <c r="LA28" s="198" t="n"/>
      <c r="LB28" s="198" t="n"/>
      <c r="LC28" s="198" t="n"/>
      <c r="LD28" s="198" t="n"/>
      <c r="LE28" s="198" t="n"/>
      <c r="LF28" s="198" t="n"/>
      <c r="LG28" s="198" t="n"/>
      <c r="LH28" s="198" t="n"/>
      <c r="LI28" s="198" t="n"/>
      <c r="LJ28" s="198" t="n"/>
      <c r="LK28" s="198" t="n"/>
      <c r="LL28" s="198" t="n"/>
      <c r="LM28" s="198" t="n"/>
      <c r="LN28" s="198" t="n"/>
      <c r="LO28" s="198" t="n"/>
      <c r="LP28" s="198" t="n"/>
      <c r="LQ28" s="198" t="n"/>
      <c r="LR28" s="198" t="n"/>
      <c r="LS28" s="198" t="n"/>
    </row>
    <row r="29" ht="52" customHeight="1" s="147">
      <c r="A29" s="204" t="inlineStr">
        <is>
          <t>9000</t>
        </is>
      </c>
      <c r="B29" s="204" t="inlineStr">
        <is>
          <t>9000-6</t>
        </is>
      </c>
      <c r="C29" s="204" t="inlineStr">
        <is>
          <t>건축</t>
        </is>
      </c>
      <c r="D29" s="204" t="inlineStr">
        <is>
          <t>9000-6-28</t>
        </is>
      </c>
      <c r="E29" s="205" t="inlineStr">
        <is>
          <t>9000-6-27</t>
        </is>
      </c>
      <c r="F29" s="205" t="inlineStr">
        <is>
          <t>9000-6-29</t>
        </is>
      </c>
      <c r="G29" s="162" t="inlineStr">
        <is>
          <t>구조물 시공 이후 외벽 방수 진행, 내부 마감공사 연계, 선행공종 균열관리대책 확인</t>
        </is>
      </c>
      <c r="H29" s="205" t="inlineStr">
        <is>
          <t>건축구조물 완수단계후 방수 및 내부마감공사</t>
        </is>
      </c>
      <c r="I29" s="205" t="inlineStr">
        <is>
          <t>해당공종 검측서, 품질시험결과 보고서, 마감공종 인수인계서</t>
        </is>
      </c>
      <c r="J29" s="16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217">
        <f>HYPERLINK(LEFT(CELL("filename",A1),FIND("[",CELL("filename",A1))-1)&amp;"매뉴얼BODY(집행단계-첨부폴더)v8\6.건축\28_건축 내부 및 마감공사\표준서\건축 내부 및 마감공사_표준서.html", "👉 [클릭] 표준서 열기 📄")</f>
        <v/>
      </c>
      <c r="L29" s="16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217">
        <f>HYPERLINK(LEFT(CELL("filename",A1),FIND("[",CELL("filename",A1))-1)&amp;"매뉴얼BODY(집행단계-첨부폴더)v8\6.건축\28_건축 내부 및 마감공사\수행지침\건축 내부 및 마감공사_수행지침.html", "👉 [클릭] 수행지침 열기 📄")</f>
        <v/>
      </c>
      <c r="N29" s="206"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217">
        <f>HYPERLINK(LEFT(CELL("filename",A1),FIND("[",CELL("filename",A1))-1)&amp;"매뉴얼BODY(집행단계-첨부폴더)v8\6.건축\28_건축 내부 및 마감공사\체크리스트\건축 내부 및 마감공사_체크리스트.html", "👉 [클릭] 체크리스트 열기 📄")</f>
        <v/>
      </c>
      <c r="P29" s="207" t="n"/>
      <c r="Q29" s="163" t="inlineStr">
        <is>
          <t>● 내부 및 외벽 마감 상세 도서 준수</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c r="KC29" s="198" t="n"/>
      <c r="KD29" s="198" t="n"/>
      <c r="KE29" s="198" t="n"/>
      <c r="KF29" s="198" t="n"/>
      <c r="KG29" s="198" t="n"/>
      <c r="KH29" s="198" t="n"/>
      <c r="KI29" s="198" t="n"/>
      <c r="KJ29" s="198" t="n"/>
      <c r="KK29" s="198" t="n"/>
      <c r="KL29" s="198" t="n"/>
      <c r="KM29" s="198" t="n"/>
      <c r="KN29" s="198" t="n"/>
      <c r="KO29" s="198" t="n"/>
      <c r="KP29" s="198" t="n"/>
      <c r="KQ29" s="198" t="n"/>
      <c r="KR29" s="198" t="n"/>
      <c r="KS29" s="198" t="n"/>
      <c r="KT29" s="198" t="n"/>
      <c r="KU29" s="198" t="n"/>
      <c r="KV29" s="198" t="n"/>
      <c r="KW29" s="198" t="n"/>
      <c r="KX29" s="198" t="n"/>
      <c r="KY29" s="198" t="n"/>
      <c r="KZ29" s="198" t="n"/>
      <c r="LA29" s="198" t="n"/>
      <c r="LB29" s="198" t="n"/>
      <c r="LC29" s="198" t="n"/>
      <c r="LD29" s="198" t="n"/>
      <c r="LE29" s="198" t="n"/>
      <c r="LF29" s="198" t="n"/>
      <c r="LG29" s="198" t="n"/>
      <c r="LH29" s="198" t="n"/>
      <c r="LI29" s="198" t="n"/>
      <c r="LJ29" s="198" t="n"/>
      <c r="LK29" s="198" t="n"/>
      <c r="LL29" s="198" t="n"/>
      <c r="LM29" s="198" t="n"/>
      <c r="LN29" s="198" t="n"/>
      <c r="LO29" s="198" t="n"/>
      <c r="LP29" s="198" t="n"/>
      <c r="LQ29" s="198" t="n"/>
      <c r="LR29" s="198" t="n"/>
      <c r="LS29" s="198" t="n"/>
      <c r="LT29" s="198" t="n"/>
      <c r="LU29" s="198" t="n"/>
      <c r="LV29" s="198" t="n"/>
      <c r="LW29" s="198" t="n"/>
    </row>
    <row r="30" ht="52" customHeight="1" s="147">
      <c r="A30" s="199" t="inlineStr">
        <is>
          <t>9000</t>
        </is>
      </c>
      <c r="B30" s="199" t="inlineStr">
        <is>
          <t>9000-6</t>
        </is>
      </c>
      <c r="C30" s="199" t="inlineStr">
        <is>
          <t>건축</t>
        </is>
      </c>
      <c r="D30" s="199" t="inlineStr">
        <is>
          <t>9000-6-29</t>
        </is>
      </c>
      <c r="E30" s="200" t="inlineStr">
        <is>
          <t>9000-6-28</t>
        </is>
      </c>
      <c r="F30" s="200" t="inlineStr">
        <is>
          <t>9000-6-30</t>
        </is>
      </c>
      <c r="G30" s="155" t="inlineStr">
        <is>
          <t>외벽 마감 공사(금속지붕 공사 / 내부 창호 및 유리 시공)</t>
        </is>
      </c>
      <c r="H30" s="200" t="inlineStr">
        <is>
          <t>외부, 내부 마감공사 수행 / 건축물 내부로 우수 침투 방지작업</t>
        </is>
      </c>
      <c r="I30" s="200" t="inlineStr">
        <is>
          <t>시공상세도 및 검측서</t>
        </is>
      </c>
      <c r="J30" s="156"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213">
        <f>HYPERLINK(LEFT(CELL("filename",A1),FIND("[",CELL("filename",A1))-1)&amp;"매뉴얼BODY(집행단계-첨부폴더)v8\6.건축\29_창호,유리 및 금속지붕공사\표준서\창호,유리 및 금속지붕공사_표준서.html", "👉 [클릭] 표준서 열기 📄")</f>
        <v/>
      </c>
      <c r="L30" s="156"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213">
        <f>HYPERLINK(LEFT(CELL("filename",A1),FIND("[",CELL("filename",A1))-1)&amp;"매뉴얼BODY(집행단계-첨부폴더)v8\6.건축\29_창호,유리 및 금속지붕공사\수행지침\창호,유리 및 금속지붕공사_수행지침.html", "👉 [클릭] 수행지침 열기 📄")</f>
        <v/>
      </c>
      <c r="N30" s="20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213">
        <f>HYPERLINK(LEFT(CELL("filename",A1),FIND("[",CELL("filename",A1))-1)&amp;"매뉴얼BODY(집행단계-첨부폴더)v8\6.건축\29_창호,유리 및 금속지붕공사\체크리스트\창호,유리 및 금속지붕공사_체크리스트.html", "👉 [클릭] 체크리스트 열기 📄")</f>
        <v/>
      </c>
      <c r="P30" s="202" t="n"/>
      <c r="Q30" s="156" t="inlineStr">
        <is>
          <t>● 창호 기밀성 및 수밀성 성능 검증</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c r="KG30" s="198" t="n"/>
      <c r="KH30" s="198" t="n"/>
      <c r="KI30" s="198" t="n"/>
      <c r="KJ30" s="198" t="n"/>
      <c r="KK30" s="198" t="n"/>
      <c r="KL30" s="198" t="n"/>
      <c r="KM30" s="198" t="n"/>
      <c r="KN30" s="198" t="n"/>
      <c r="KO30" s="198" t="n"/>
      <c r="KP30" s="198" t="n"/>
      <c r="KQ30" s="198" t="n"/>
      <c r="KR30" s="198" t="n"/>
      <c r="KS30" s="198" t="n"/>
      <c r="KT30" s="198" t="n"/>
      <c r="KU30" s="198" t="n"/>
      <c r="KV30" s="198" t="n"/>
      <c r="KW30" s="198" t="n"/>
      <c r="KX30" s="198" t="n"/>
      <c r="KY30" s="198" t="n"/>
      <c r="KZ30" s="198" t="n"/>
      <c r="LA30" s="198" t="n"/>
      <c r="LB30" s="198" t="n"/>
      <c r="LC30" s="198" t="n"/>
      <c r="LD30" s="198" t="n"/>
      <c r="LE30" s="198" t="n"/>
      <c r="LF30" s="198" t="n"/>
      <c r="LG30" s="198" t="n"/>
      <c r="LH30" s="198" t="n"/>
      <c r="LI30" s="198" t="n"/>
      <c r="LJ30" s="198" t="n"/>
      <c r="LK30" s="198" t="n"/>
      <c r="LL30" s="198" t="n"/>
      <c r="LM30" s="198" t="n"/>
      <c r="LN30" s="198" t="n"/>
      <c r="LO30" s="198" t="n"/>
      <c r="LP30" s="198" t="n"/>
      <c r="LQ30" s="198" t="n"/>
      <c r="LR30" s="198" t="n"/>
      <c r="LS30" s="198" t="n"/>
      <c r="LT30" s="198" t="n"/>
      <c r="LU30" s="198" t="n"/>
      <c r="LV30" s="198" t="n"/>
      <c r="LW30" s="198" t="n"/>
      <c r="LX30" s="198" t="n"/>
      <c r="LY30" s="198" t="n"/>
      <c r="LZ30" s="198" t="n"/>
      <c r="MA30" s="198" t="n"/>
    </row>
    <row r="31" ht="52" customHeight="1" s="147">
      <c r="A31" s="204" t="inlineStr">
        <is>
          <t>9000</t>
        </is>
      </c>
      <c r="B31" s="204" t="inlineStr">
        <is>
          <t>9000-6</t>
        </is>
      </c>
      <c r="C31" s="204" t="inlineStr">
        <is>
          <t>건축</t>
        </is>
      </c>
      <c r="D31" s="204" t="inlineStr">
        <is>
          <t>9000-6-30</t>
        </is>
      </c>
      <c r="E31" s="205" t="inlineStr">
        <is>
          <t>9000-6-29</t>
        </is>
      </c>
      <c r="F31" s="205" t="inlineStr">
        <is>
          <t>9000-6-31</t>
        </is>
      </c>
      <c r="G31" s="162" t="inlineStr">
        <is>
          <t>시멘트 벽돌 및 블록으로 세대 칸막이 형성 일일 최대 쌓는높이 1.2m(내력벽)</t>
        </is>
      </c>
      <c r="H31" s="205" t="inlineStr">
        <is>
          <t>건축물 내부 칸막이 벽체 형성</t>
        </is>
      </c>
      <c r="I31" s="205" t="inlineStr">
        <is>
          <t>시멘트 벽돌 및 블록 검측서</t>
        </is>
      </c>
      <c r="J31" s="16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217">
        <f>HYPERLINK(LEFT(CELL("filename",A1),FIND("[",CELL("filename",A1))-1)&amp;"매뉴얼BODY(집행단계-첨부폴더)v8\6.건축\30_조적공사\표준서\조적공사_표준서.html", "👉 [클릭] 표준서 열기 📄")</f>
        <v/>
      </c>
      <c r="L31" s="16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217">
        <f>HYPERLINK(LEFT(CELL("filename",A1),FIND("[",CELL("filename",A1))-1)&amp;"매뉴얼BODY(집행단계-첨부폴더)v8\6.건축\30_조적공사\수행지침\조적공사_수행지침.html", "👉 [클릭] 수행지침 열기 📄")</f>
        <v/>
      </c>
      <c r="N31" s="206"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217">
        <f>HYPERLINK(LEFT(CELL("filename",A1),FIND("[",CELL("filename",A1))-1)&amp;"매뉴얼BODY(집행단계-첨부폴더)v8\6.건축\30_조적공사\체크리스트\조적공사_체크리스트.html", "👉 [클릭] 체크리스트 열기 📄")</f>
        <v/>
      </c>
      <c r="P31" s="207" t="n"/>
      <c r="Q31" s="163" t="inlineStr">
        <is>
          <t>● 조적 줄눈 및 쌓기 높이 기준 준수</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c r="KK31" s="198" t="n"/>
      <c r="KL31" s="198" t="n"/>
      <c r="KM31" s="198" t="n"/>
      <c r="KN31" s="198" t="n"/>
      <c r="KO31" s="198" t="n"/>
      <c r="KP31" s="198" t="n"/>
      <c r="KQ31" s="198" t="n"/>
      <c r="KR31" s="198" t="n"/>
      <c r="KS31" s="198" t="n"/>
      <c r="KT31" s="198" t="n"/>
      <c r="KU31" s="198" t="n"/>
      <c r="KV31" s="198" t="n"/>
      <c r="KW31" s="198" t="n"/>
      <c r="KX31" s="198" t="n"/>
      <c r="KY31" s="198" t="n"/>
      <c r="KZ31" s="198" t="n"/>
      <c r="LA31" s="198" t="n"/>
      <c r="LB31" s="198" t="n"/>
      <c r="LC31" s="198" t="n"/>
      <c r="LD31" s="198" t="n"/>
      <c r="LE31" s="198" t="n"/>
      <c r="LF31" s="198" t="n"/>
      <c r="LG31" s="198" t="n"/>
      <c r="LH31" s="198" t="n"/>
      <c r="LI31" s="198" t="n"/>
      <c r="LJ31" s="198" t="n"/>
      <c r="LK31" s="198" t="n"/>
      <c r="LL31" s="198" t="n"/>
      <c r="LM31" s="198" t="n"/>
      <c r="LN31" s="198" t="n"/>
      <c r="LO31" s="198" t="n"/>
      <c r="LP31" s="198" t="n"/>
      <c r="LQ31" s="198" t="n"/>
      <c r="LR31" s="198" t="n"/>
      <c r="LS31" s="198" t="n"/>
      <c r="LT31" s="198" t="n"/>
      <c r="LU31" s="198" t="n"/>
      <c r="LV31" s="198" t="n"/>
      <c r="LW31" s="198" t="n"/>
      <c r="LX31" s="198" t="n"/>
      <c r="LY31" s="198" t="n"/>
      <c r="LZ31" s="198" t="n"/>
      <c r="MA31" s="198" t="n"/>
      <c r="MB31" s="198" t="n"/>
      <c r="MC31" s="198" t="n"/>
      <c r="MD31" s="198" t="n"/>
      <c r="ME31" s="198" t="n"/>
    </row>
    <row r="32" ht="52" customHeight="1" s="147">
      <c r="A32" s="199" t="inlineStr">
        <is>
          <t>9000</t>
        </is>
      </c>
      <c r="B32" s="199" t="inlineStr">
        <is>
          <t>9000-6</t>
        </is>
      </c>
      <c r="C32" s="199" t="inlineStr">
        <is>
          <t>건축</t>
        </is>
      </c>
      <c r="D32" s="199" t="inlineStr">
        <is>
          <t>9000-6-31</t>
        </is>
      </c>
      <c r="E32" s="200" t="inlineStr">
        <is>
          <t>9000-6-30</t>
        </is>
      </c>
      <c r="F32" s="200" t="inlineStr">
        <is>
          <t>9000-6-32</t>
        </is>
      </c>
      <c r="G32" s="155" t="inlineStr">
        <is>
          <t>구조물 청소 및 바탕정리후 방수공사 시행(코너부 및 드레인 주위 보강방수 실시)</t>
        </is>
      </c>
      <c r="H32" s="200" t="inlineStr">
        <is>
          <t>건축물 내부에서 물을 사용하는 실(화장실)등에 누수 방지</t>
        </is>
      </c>
      <c r="I32" s="200" t="inlineStr">
        <is>
          <t>방수공사 검측서</t>
        </is>
      </c>
      <c r="J32" s="156"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213">
        <f>HYPERLINK(LEFT(CELL("filename",A1),FIND("[",CELL("filename",A1))-1)&amp;"매뉴얼BODY(집행단계-첨부폴더)v8\6.건축\31_내부 방수공사\표준서\내부 방수공사_표준서.html", "👉 [클릭] 표준서 열기 📄")</f>
        <v/>
      </c>
      <c r="L32" s="156"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213">
        <f>HYPERLINK(LEFT(CELL("filename",A1),FIND("[",CELL("filename",A1))-1)&amp;"매뉴얼BODY(집행단계-첨부폴더)v8\6.건축\31_내부 방수공사\수행지침\내부 방수공사_수행지침.html", "👉 [클릭] 수행지침 열기 📄")</f>
        <v/>
      </c>
      <c r="N32" s="20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213">
        <f>HYPERLINK(LEFT(CELL("filename",A1),FIND("[",CELL("filename",A1))-1)&amp;"매뉴얼BODY(집행단계-첨부폴더)v8\6.건축\31_내부 방수공사\체크리스트\내부 방수공사_체크리스트.html", "👉 [클릭] 체크리스트 열기 📄")</f>
        <v/>
      </c>
      <c r="P32" s="202" t="n"/>
      <c r="Q32" s="156" t="inlineStr">
        <is>
          <t>● 방수층 두께 및 담수테스트(24시간) 기준</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c r="KO32" s="198" t="n"/>
      <c r="KP32" s="198" t="n"/>
      <c r="KQ32" s="198" t="n"/>
      <c r="KR32" s="198" t="n"/>
      <c r="KS32" s="198" t="n"/>
      <c r="KT32" s="198" t="n"/>
      <c r="KU32" s="198" t="n"/>
      <c r="KV32" s="198" t="n"/>
      <c r="KW32" s="198" t="n"/>
      <c r="KX32" s="198" t="n"/>
      <c r="KY32" s="198" t="n"/>
      <c r="KZ32" s="198" t="n"/>
      <c r="LA32" s="198" t="n"/>
      <c r="LB32" s="198" t="n"/>
      <c r="LC32" s="198" t="n"/>
      <c r="LD32" s="198" t="n"/>
      <c r="LE32" s="198" t="n"/>
      <c r="LF32" s="198" t="n"/>
      <c r="LG32" s="198" t="n"/>
      <c r="LH32" s="198" t="n"/>
      <c r="LI32" s="198" t="n"/>
      <c r="LJ32" s="198" t="n"/>
      <c r="LK32" s="198" t="n"/>
      <c r="LL32" s="198" t="n"/>
      <c r="LM32" s="198" t="n"/>
      <c r="LN32" s="198" t="n"/>
      <c r="LO32" s="198" t="n"/>
      <c r="LP32" s="198" t="n"/>
      <c r="LQ32" s="198" t="n"/>
      <c r="LR32" s="198" t="n"/>
      <c r="LS32" s="198" t="n"/>
      <c r="LT32" s="198" t="n"/>
      <c r="LU32" s="198" t="n"/>
      <c r="LV32" s="198" t="n"/>
      <c r="LW32" s="198" t="n"/>
      <c r="LX32" s="198" t="n"/>
      <c r="LY32" s="198" t="n"/>
      <c r="LZ32" s="198" t="n"/>
      <c r="MA32" s="198" t="n"/>
      <c r="MB32" s="198" t="n"/>
      <c r="MC32" s="198" t="n"/>
      <c r="MD32" s="198" t="n"/>
      <c r="ME32" s="198" t="n"/>
      <c r="MF32" s="198" t="n"/>
      <c r="MG32" s="198" t="n"/>
      <c r="MH32" s="198" t="n"/>
      <c r="MI32" s="198" t="n"/>
    </row>
    <row r="33" ht="52" customHeight="1" s="147">
      <c r="A33" s="204" t="inlineStr">
        <is>
          <t>9000</t>
        </is>
      </c>
      <c r="B33" s="204" t="inlineStr">
        <is>
          <t>9000-6</t>
        </is>
      </c>
      <c r="C33" s="204" t="inlineStr">
        <is>
          <t>건축</t>
        </is>
      </c>
      <c r="D33" s="204" t="inlineStr">
        <is>
          <t>9000-6-32</t>
        </is>
      </c>
      <c r="E33" s="205" t="inlineStr">
        <is>
          <t>9000-6-31</t>
        </is>
      </c>
      <c r="F33" s="205" t="inlineStr">
        <is>
          <t>9000-6-33</t>
        </is>
      </c>
      <c r="G33" s="162" t="inlineStr">
        <is>
          <t>미장공사는 시멘트와 모래(1:3배합)하여 바탕면에 바르는 작업, 타일공사는 벽면 미장후 타일시공</t>
        </is>
      </c>
      <c r="H33" s="205" t="inlineStr">
        <is>
          <t>바탕면이 콘크리트나 조적공사 위에 마감공사 수행(초벌, 재벌, 정벌)</t>
        </is>
      </c>
      <c r="I33" s="205" t="inlineStr">
        <is>
          <t>미장,타일 검측서</t>
        </is>
      </c>
      <c r="J33" s="16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217">
        <f>HYPERLINK(LEFT(CELL("filename",A1),FIND("[",CELL("filename",A1))-1)&amp;"매뉴얼BODY(집행단계-첨부폴더)v8\6.건축\32_미장 및 타일공사\표준서\미장 및 타일공사_표준서.html", "👉 [클릭] 표준서 열기 📄")</f>
        <v/>
      </c>
      <c r="L33" s="16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217">
        <f>HYPERLINK(LEFT(CELL("filename",A1),FIND("[",CELL("filename",A1))-1)&amp;"매뉴얼BODY(집행단계-첨부폴더)v8\6.건축\32_미장 및 타일공사\수행지침\미장 및 타일공사_수행지침.html", "👉 [클릭] 수행지침 열기 📄")</f>
        <v/>
      </c>
      <c r="N33" s="206"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217">
        <f>HYPERLINK(LEFT(CELL("filename",A1),FIND("[",CELL("filename",A1))-1)&amp;"매뉴얼BODY(집행단계-첨부폴더)v8\6.건축\32_미장 및 타일공사\체크리스트\미장 및 타일공사_체크리스트.html", "👉 [클릭] 체크리스트 열기 📄")</f>
        <v/>
      </c>
      <c r="P33" s="207" t="n"/>
      <c r="Q33" s="163" t="inlineStr">
        <is>
          <t>● 미장면 평탄성 및 타일 부착 강도 기준</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c r="KS33" s="198" t="n"/>
      <c r="KT33" s="198" t="n"/>
      <c r="KU33" s="198" t="n"/>
      <c r="KV33" s="198" t="n"/>
      <c r="KW33" s="198" t="n"/>
      <c r="KX33" s="198" t="n"/>
      <c r="KY33" s="198" t="n"/>
      <c r="KZ33" s="198" t="n"/>
      <c r="LA33" s="198" t="n"/>
      <c r="LB33" s="198" t="n"/>
      <c r="LC33" s="198" t="n"/>
      <c r="LD33" s="198" t="n"/>
      <c r="LE33" s="198" t="n"/>
      <c r="LF33" s="198" t="n"/>
      <c r="LG33" s="198" t="n"/>
      <c r="LH33" s="198" t="n"/>
      <c r="LI33" s="198" t="n"/>
      <c r="LJ33" s="198" t="n"/>
      <c r="LK33" s="198" t="n"/>
      <c r="LL33" s="198" t="n"/>
      <c r="LM33" s="198" t="n"/>
      <c r="LN33" s="198" t="n"/>
      <c r="LO33" s="198" t="n"/>
      <c r="LP33" s="198" t="n"/>
      <c r="LQ33" s="198" t="n"/>
      <c r="LR33" s="198" t="n"/>
      <c r="LS33" s="198" t="n"/>
      <c r="LT33" s="198" t="n"/>
      <c r="LU33" s="198" t="n"/>
      <c r="LV33" s="198" t="n"/>
      <c r="LW33" s="198" t="n"/>
      <c r="LX33" s="198" t="n"/>
      <c r="LY33" s="198" t="n"/>
      <c r="LZ33" s="198" t="n"/>
      <c r="MA33" s="198" t="n"/>
      <c r="MB33" s="198" t="n"/>
      <c r="MC33" s="198" t="n"/>
      <c r="MD33" s="198" t="n"/>
      <c r="ME33" s="198" t="n"/>
      <c r="MF33" s="198" t="n"/>
      <c r="MG33" s="198" t="n"/>
      <c r="MH33" s="198" t="n"/>
      <c r="MI33" s="198" t="n"/>
      <c r="MJ33" s="198" t="n"/>
      <c r="MK33" s="198" t="n"/>
      <c r="ML33" s="198" t="n"/>
      <c r="MM33" s="198" t="n"/>
    </row>
    <row r="34" ht="52" customHeight="1" s="147">
      <c r="A34" s="199" t="inlineStr">
        <is>
          <t>9000</t>
        </is>
      </c>
      <c r="B34" s="199" t="inlineStr">
        <is>
          <t>9000-6</t>
        </is>
      </c>
      <c r="C34" s="199" t="inlineStr">
        <is>
          <t>건축</t>
        </is>
      </c>
      <c r="D34" s="199" t="inlineStr">
        <is>
          <t>9000-6-33</t>
        </is>
      </c>
      <c r="E34" s="200" t="inlineStr">
        <is>
          <t>9000-6-32</t>
        </is>
      </c>
      <c r="F34" s="200" t="inlineStr">
        <is>
          <t>9000-6-34</t>
        </is>
      </c>
      <c r="G34" s="155" t="inlineStr">
        <is>
          <t>각실의 천정공사(텍스류), 바닥마감공사(비닐계타일),도배공사등을 수행, 잡철물 공사는 각실의 도어, 난간,창호등을 설치하는 공사</t>
        </is>
      </c>
      <c r="H34" s="200" t="inlineStr">
        <is>
          <t>수장공사 : 천정공사, 바닥마감공사, 잡철물 공사 : 도어, 창호 등 설치 공사</t>
        </is>
      </c>
      <c r="I34" s="200" t="inlineStr">
        <is>
          <t>수장 및 잡철물검측서</t>
        </is>
      </c>
      <c r="J34" s="156"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213">
        <f>HYPERLINK(LEFT(CELL("filename",A1),FIND("[",CELL("filename",A1))-1)&amp;"매뉴얼BODY(집행단계-첨부폴더)v8\6.건축\33_수장 및 잡철물공사\표준서\수장 및 잡철물공사_표준서.html", "👉 [클릭] 표준서 열기 📄")</f>
        <v/>
      </c>
      <c r="L34" s="156"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213">
        <f>HYPERLINK(LEFT(CELL("filename",A1),FIND("[",CELL("filename",A1))-1)&amp;"매뉴얼BODY(집행단계-첨부폴더)v8\6.건축\33_수장 및 잡철물공사\수행지침\수장 및 잡철물공사_수행지침.html", "👉 [클릭] 수행지침 열기 📄")</f>
        <v/>
      </c>
      <c r="N34" s="20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213">
        <f>HYPERLINK(LEFT(CELL("filename",A1),FIND("[",CELL("filename",A1))-1)&amp;"매뉴얼BODY(집행단계-첨부폴더)v8\6.건축\33_수장 및 잡철물공사\체크리스트\수장 및 잡철물공사_체크리스트.html", "👉 [클릭] 체크리스트 열기 📄")</f>
        <v/>
      </c>
      <c r="P34" s="202" t="n"/>
      <c r="Q34" s="156" t="inlineStr">
        <is>
          <t>● 실별 마감 재료 규격 만족</t>
        </is>
      </c>
      <c r="R34" s="203" t="inlineStr">
        <is>
          <t>1) 👉 [더블클릭] 체크리스트 열기 📄</t>
        </is>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c r="KW34" s="198" t="n"/>
      <c r="KX34" s="198" t="n"/>
      <c r="KY34" s="198" t="n"/>
      <c r="KZ34" s="198" t="n"/>
      <c r="LA34" s="198" t="n"/>
      <c r="LB34" s="198" t="n"/>
      <c r="LC34" s="198" t="n"/>
      <c r="LD34" s="198" t="n"/>
      <c r="LE34" s="198" t="n"/>
      <c r="LF34" s="198" t="n"/>
      <c r="LG34" s="198" t="n"/>
      <c r="LH34" s="198" t="n"/>
      <c r="LI34" s="198" t="n"/>
      <c r="LJ34" s="198" t="n"/>
      <c r="LK34" s="198" t="n"/>
      <c r="LL34" s="198" t="n"/>
      <c r="LM34" s="198" t="n"/>
      <c r="LN34" s="198" t="n"/>
      <c r="LO34" s="198" t="n"/>
      <c r="LP34" s="198" t="n"/>
      <c r="LQ34" s="198" t="n"/>
      <c r="LR34" s="198" t="n"/>
      <c r="LS34" s="198" t="n"/>
      <c r="LT34" s="198" t="n"/>
      <c r="LU34" s="198" t="n"/>
      <c r="LV34" s="198" t="n"/>
      <c r="LW34" s="198" t="n"/>
      <c r="LX34" s="198" t="n"/>
      <c r="LY34" s="198" t="n"/>
      <c r="LZ34" s="198" t="n"/>
      <c r="MA34" s="198" t="n"/>
      <c r="MB34" s="198" t="n"/>
      <c r="MC34" s="198" t="n"/>
      <c r="MD34" s="198" t="n"/>
      <c r="ME34" s="198" t="n"/>
      <c r="MF34" s="198" t="n"/>
      <c r="MG34" s="198" t="n"/>
      <c r="MH34" s="198" t="n"/>
      <c r="MI34" s="198" t="n"/>
      <c r="MJ34" s="198" t="n"/>
      <c r="MK34" s="198" t="n"/>
      <c r="ML34" s="198" t="n"/>
      <c r="MM34" s="198" t="n"/>
      <c r="MN34" s="198" t="n"/>
      <c r="MO34" s="198" t="n"/>
      <c r="MP34" s="198" t="n"/>
      <c r="MQ34" s="198" t="n"/>
    </row>
    <row r="35" ht="52" customHeight="1" s="147">
      <c r="A35" s="204" t="inlineStr">
        <is>
          <t>9000</t>
        </is>
      </c>
      <c r="B35" s="204" t="inlineStr">
        <is>
          <t>9000-6</t>
        </is>
      </c>
      <c r="C35" s="204" t="inlineStr">
        <is>
          <t>건축</t>
        </is>
      </c>
      <c r="D35" s="204" t="inlineStr">
        <is>
          <t>9000-6-34</t>
        </is>
      </c>
      <c r="E35" s="205" t="inlineStr">
        <is>
          <t>9000-6-33</t>
        </is>
      </c>
      <c r="F35" s="205" t="inlineStr">
        <is>
          <t>9000-6-35</t>
        </is>
      </c>
      <c r="G35" s="162" t="inlineStr">
        <is>
          <t>도장재 (붓, 롤러등)로 벽면에 시공</t>
        </is>
      </c>
      <c r="H35" s="205" t="inlineStr">
        <is>
          <t>미장면, 석고보드위에 도장공사 수행</t>
        </is>
      </c>
      <c r="I35" s="205" t="inlineStr">
        <is>
          <t>도장공사 검측서</t>
        </is>
      </c>
      <c r="J35" s="16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217">
        <f>HYPERLINK(LEFT(CELL("filename",A1),FIND("[",CELL("filename",A1))-1)&amp;"매뉴얼BODY(집행단계-첨부폴더)v8\6.건축\34_도장공사\표준서\도장공사_표준서.html", "👉 [클릭] 표준서 열기 📄")</f>
        <v/>
      </c>
      <c r="L35" s="16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217">
        <f>HYPERLINK(LEFT(CELL("filename",A1),FIND("[",CELL("filename",A1))-1)&amp;"매뉴얼BODY(집행단계-첨부폴더)v8\6.건축\34_도장공사\수행지침\도장공사_수행지침.html", "👉 [클릭] 수행지침 열기 📄")</f>
        <v/>
      </c>
      <c r="N35" s="206"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217">
        <f>HYPERLINK(LEFT(CELL("filename",A1),FIND("[",CELL("filename",A1))-1)&amp;"매뉴얼BODY(집행단계-첨부폴더)v8\6.건축\34_도장공사\체크리스트\도장공사_체크리스트.html", "👉 [클릭] 체크리스트 열기 📄")</f>
        <v/>
      </c>
      <c r="P35" s="207" t="n"/>
      <c r="Q35" s="163" t="inlineStr">
        <is>
          <t>● 도장 도막 두께 및 색상 균일성 기준</t>
        </is>
      </c>
      <c r="R35" s="208" t="inlineStr">
        <is>
          <t>1) 👉 [더블클릭] 체크리스트 열기 📄</t>
        </is>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c r="LA35" s="198" t="n"/>
      <c r="LB35" s="198" t="n"/>
      <c r="LC35" s="198" t="n"/>
      <c r="LD35" s="198" t="n"/>
      <c r="LE35" s="198" t="n"/>
      <c r="LF35" s="198" t="n"/>
      <c r="LG35" s="198" t="n"/>
      <c r="LH35" s="198" t="n"/>
      <c r="LI35" s="198" t="n"/>
      <c r="LJ35" s="198" t="n"/>
      <c r="LK35" s="198" t="n"/>
      <c r="LL35" s="198" t="n"/>
      <c r="LM35" s="198" t="n"/>
      <c r="LN35" s="198" t="n"/>
      <c r="LO35" s="198" t="n"/>
      <c r="LP35" s="198" t="n"/>
      <c r="LQ35" s="198" t="n"/>
      <c r="LR35" s="198" t="n"/>
      <c r="LS35" s="198" t="n"/>
      <c r="LT35" s="198" t="n"/>
      <c r="LU35" s="198" t="n"/>
      <c r="LV35" s="198" t="n"/>
      <c r="LW35" s="198" t="n"/>
      <c r="LX35" s="198" t="n"/>
      <c r="LY35" s="198" t="n"/>
      <c r="LZ35" s="198" t="n"/>
      <c r="MA35" s="198" t="n"/>
      <c r="MB35" s="198" t="n"/>
      <c r="MC35" s="198" t="n"/>
      <c r="MD35" s="198" t="n"/>
      <c r="ME35" s="198" t="n"/>
      <c r="MF35" s="198" t="n"/>
      <c r="MG35" s="198" t="n"/>
      <c r="MH35" s="198" t="n"/>
      <c r="MI35" s="198" t="n"/>
      <c r="MJ35" s="198" t="n"/>
      <c r="MK35" s="198" t="n"/>
      <c r="ML35" s="198" t="n"/>
      <c r="MM35" s="198" t="n"/>
      <c r="MN35" s="198" t="n"/>
      <c r="MO35" s="198" t="n"/>
      <c r="MP35" s="198" t="n"/>
      <c r="MQ35" s="198" t="n"/>
      <c r="MR35" s="198" t="n"/>
      <c r="MS35" s="198" t="n"/>
      <c r="MT35" s="198" t="n"/>
      <c r="MU35" s="198" t="n"/>
    </row>
    <row r="36" ht="52" customHeight="1" s="147">
      <c r="A36" s="199" t="inlineStr">
        <is>
          <t>9000</t>
        </is>
      </c>
      <c r="B36" s="199" t="inlineStr">
        <is>
          <t>9000-6</t>
        </is>
      </c>
      <c r="C36" s="199" t="inlineStr">
        <is>
          <t>건축</t>
        </is>
      </c>
      <c r="D36" s="199" t="inlineStr">
        <is>
          <t>9000-6-35</t>
        </is>
      </c>
      <c r="E36" s="200" t="inlineStr">
        <is>
          <t>9000-6-34</t>
        </is>
      </c>
      <c r="F36" s="200" t="inlineStr">
        <is>
          <t>9000-6-36</t>
        </is>
      </c>
      <c r="G36" s="155" t="inlineStr">
        <is>
          <t>추가로 발생되는 건축공사에 적합한 자재 반입, 검수 및 시공</t>
        </is>
      </c>
      <c r="H36" s="200" t="inlineStr">
        <is>
          <t>내부 선반, 주방가구, 설치작업 등 내부 인테리어 및 무대공사</t>
        </is>
      </c>
      <c r="I36" s="200" t="inlineStr">
        <is>
          <t>각 공종 검측서</t>
        </is>
      </c>
      <c r="J36" s="156"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213">
        <f>HYPERLINK(LEFT(CELL("filename",A1),FIND("[",CELL("filename",A1))-1)&amp;"매뉴얼BODY(집행단계-첨부폴더)v8\6.건축\35_인테리어 및 무대공사\표준서\인테리어 및 무대공사_표준서.html", "👉 [클릭] 표준서 열기 📄")</f>
        <v/>
      </c>
      <c r="L36" s="156"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213">
        <f>HYPERLINK(LEFT(CELL("filename",A1),FIND("[",CELL("filename",A1))-1)&amp;"매뉴얼BODY(집행단계-첨부폴더)v8\6.건축\35_인테리어 및 무대공사\수행지침\인테리어 및 무대공사_수행지침.html", "👉 [클릭] 수행지침 열기 📄")</f>
        <v/>
      </c>
      <c r="N36" s="20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213">
        <f>HYPERLINK(LEFT(CELL("filename",A1),FIND("[",CELL("filename",A1))-1)&amp;"매뉴얼BODY(집행단계-첨부폴더)v8\6.건축\35_인테리어 및 무대공사\체크리스트\인테리어 및 무대공사_체크리스트.html", "👉 [클릭] 체크리스트 열기 📄")</f>
        <v/>
      </c>
      <c r="P36" s="202" t="n"/>
      <c r="Q36" s="156" t="inlineStr">
        <is>
          <t>● 내부 인테리어 설계 도서 준수</t>
        </is>
      </c>
      <c r="R36" s="203" t="inlineStr">
        <is>
          <t>1) 👉 [더블클릭] 체크리스트 열기 📄</t>
        </is>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c r="LE36" s="198" t="n"/>
      <c r="LF36" s="198" t="n"/>
      <c r="LG36" s="198" t="n"/>
      <c r="LH36" s="198" t="n"/>
      <c r="LI36" s="198" t="n"/>
      <c r="LJ36" s="198" t="n"/>
      <c r="LK36" s="198" t="n"/>
      <c r="LL36" s="198" t="n"/>
      <c r="LM36" s="198" t="n"/>
      <c r="LN36" s="198" t="n"/>
      <c r="LO36" s="198" t="n"/>
      <c r="LP36" s="198" t="n"/>
      <c r="LQ36" s="198" t="n"/>
      <c r="LR36" s="198" t="n"/>
      <c r="LS36" s="198" t="n"/>
      <c r="LT36" s="198" t="n"/>
      <c r="LU36" s="198" t="n"/>
      <c r="LV36" s="198" t="n"/>
      <c r="LW36" s="198" t="n"/>
      <c r="LX36" s="198" t="n"/>
      <c r="LY36" s="198" t="n"/>
      <c r="LZ36" s="198" t="n"/>
      <c r="MA36" s="198" t="n"/>
      <c r="MB36" s="198" t="n"/>
      <c r="MC36" s="198" t="n"/>
      <c r="MD36" s="198" t="n"/>
      <c r="ME36" s="198" t="n"/>
      <c r="MF36" s="198" t="n"/>
      <c r="MG36" s="198" t="n"/>
      <c r="MH36" s="198" t="n"/>
      <c r="MI36" s="198" t="n"/>
      <c r="MJ36" s="198" t="n"/>
      <c r="MK36" s="198" t="n"/>
      <c r="ML36" s="198" t="n"/>
      <c r="MM36" s="198" t="n"/>
      <c r="MN36" s="198" t="n"/>
      <c r="MO36" s="198" t="n"/>
      <c r="MP36" s="198" t="n"/>
      <c r="MQ36" s="198" t="n"/>
      <c r="MR36" s="198" t="n"/>
      <c r="MS36" s="198" t="n"/>
      <c r="MT36" s="198" t="n"/>
      <c r="MU36" s="198" t="n"/>
      <c r="MV36" s="198" t="n"/>
      <c r="MW36" s="198" t="n"/>
      <c r="MX36" s="198" t="n"/>
      <c r="MY36" s="198" t="n"/>
    </row>
    <row r="37" ht="52" customHeight="1" s="147">
      <c r="A37" s="204" t="inlineStr">
        <is>
          <t>9000</t>
        </is>
      </c>
      <c r="B37" s="204" t="inlineStr">
        <is>
          <t>9000-6</t>
        </is>
      </c>
      <c r="C37" s="204" t="inlineStr">
        <is>
          <t>건축</t>
        </is>
      </c>
      <c r="D37" s="204" t="inlineStr">
        <is>
          <t>9000-6-36</t>
        </is>
      </c>
      <c r="E37" s="205" t="inlineStr">
        <is>
          <t>9000-6-35</t>
        </is>
      </c>
      <c r="F37" s="205" t="inlineStr">
        <is>
          <t>9000-6-37</t>
        </is>
      </c>
      <c r="G37" s="162"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H37" s="205" t="inlineStr">
        <is>
          <t>관련법에 따라 준공전 건축인허가 완료</t>
        </is>
      </c>
      <c r="I37" s="205" t="inlineStr">
        <is>
          <t>인허가 신고 / 승인 문서</t>
        </is>
      </c>
      <c r="J37" s="16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217">
        <f>HYPERLINK(LEFT(CELL("filename",A1),FIND("[",CELL("filename",A1))-1)&amp;"매뉴얼BODY(집행단계-첨부폴더)v8\6.건축\36_준공전 건축 인허가\표준서\준공전 건축 인허가_표준서.html", "👉 [클릭] 표준서 열기 📄")</f>
        <v/>
      </c>
      <c r="L37" s="16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217">
        <f>HYPERLINK(LEFT(CELL("filename",A1),FIND("[",CELL("filename",A1))-1)&amp;"매뉴얼BODY(집행단계-첨부폴더)v8\6.건축\36_준공전 건축 인허가\수행지침\준공전 건축 인허가_수행지침.html", "👉 [클릭] 수행지침 열기 📄")</f>
        <v/>
      </c>
      <c r="N37" s="206"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217">
        <f>HYPERLINK(LEFT(CELL("filename",A1),FIND("[",CELL("filename",A1))-1)&amp;"매뉴얼BODY(집행단계-첨부폴더)v8\6.건축\36_준공전 건축 인허가\체크리스트\준공전 건축 인허가_체크리스트.html", "👉 [클릭] 체크리스트 열기 📄")</f>
        <v/>
      </c>
      <c r="P37" s="207" t="n"/>
      <c r="Q37" s="163" t="inlineStr">
        <is>
          <t>● 관련 법규(건축법, 하수도법 등) 준수</t>
        </is>
      </c>
      <c r="R37" s="208" t="inlineStr">
        <is>
          <t>1) 👉 [더블클릭] 체크리스트 열기 📄</t>
        </is>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c r="LI37" s="198" t="n"/>
      <c r="LJ37" s="198" t="n"/>
      <c r="LK37" s="198" t="n"/>
      <c r="LL37" s="198" t="n"/>
      <c r="LM37" s="198" t="n"/>
      <c r="LN37" s="198" t="n"/>
      <c r="LO37" s="198" t="n"/>
      <c r="LP37" s="198" t="n"/>
      <c r="LQ37" s="198" t="n"/>
      <c r="LR37" s="198" t="n"/>
      <c r="LS37" s="198" t="n"/>
      <c r="LT37" s="198" t="n"/>
      <c r="LU37" s="198" t="n"/>
      <c r="LV37" s="198" t="n"/>
      <c r="LW37" s="198" t="n"/>
      <c r="LX37" s="198" t="n"/>
      <c r="LY37" s="198" t="n"/>
      <c r="LZ37" s="198" t="n"/>
      <c r="MA37" s="198" t="n"/>
      <c r="MB37" s="198" t="n"/>
      <c r="MC37" s="198" t="n"/>
      <c r="MD37" s="198" t="n"/>
      <c r="ME37" s="198" t="n"/>
      <c r="MF37" s="198" t="n"/>
      <c r="MG37" s="198" t="n"/>
      <c r="MH37" s="198" t="n"/>
      <c r="MI37" s="198" t="n"/>
      <c r="MJ37" s="198" t="n"/>
      <c r="MK37" s="198" t="n"/>
      <c r="ML37" s="198" t="n"/>
      <c r="MM37" s="198" t="n"/>
      <c r="MN37" s="198" t="n"/>
      <c r="MO37" s="198" t="n"/>
      <c r="MP37" s="198" t="n"/>
      <c r="MQ37" s="198" t="n"/>
      <c r="MR37" s="198" t="n"/>
      <c r="MS37" s="198" t="n"/>
      <c r="MT37" s="198" t="n"/>
      <c r="MU37" s="198" t="n"/>
      <c r="MV37" s="198" t="n"/>
      <c r="MW37" s="198" t="n"/>
      <c r="MX37" s="198" t="n"/>
      <c r="MY37" s="198" t="n"/>
      <c r="MZ37" s="198" t="n"/>
      <c r="NA37" s="198" t="n"/>
      <c r="NB37" s="198" t="n"/>
      <c r="NC37" s="198" t="n"/>
    </row>
    <row r="38" ht="52" customHeight="1" s="147">
      <c r="A38" s="199" t="inlineStr">
        <is>
          <t>9000</t>
        </is>
      </c>
      <c r="B38" s="199" t="inlineStr">
        <is>
          <t>9000-6</t>
        </is>
      </c>
      <c r="C38" s="199" t="inlineStr">
        <is>
          <t>건축</t>
        </is>
      </c>
      <c r="D38" s="199" t="inlineStr">
        <is>
          <t>9000-6-37</t>
        </is>
      </c>
      <c r="E38" s="200" t="inlineStr">
        <is>
          <t>9000-6-36</t>
        </is>
      </c>
      <c r="F38" s="200" t="inlineStr">
        <is>
          <t>9000-6-38</t>
        </is>
      </c>
      <c r="G38" s="155" t="inlineStr">
        <is>
          <t>현장 -&gt; 관할소방서 및 지자체 소방시설공사법 제14조
- 서식: 별지 제17호 서식
- 제출후 처리기간 3일 이내</t>
        </is>
      </c>
      <c r="H38" s="200" t="inlineStr">
        <is>
          <t>소방시설 완공검사 신청</t>
        </is>
      </c>
      <c r="I38" s="200" t="inlineStr">
        <is>
          <t>소방시설 완공검사 증명서</t>
        </is>
      </c>
      <c r="J38" s="156"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213">
        <f>HYPERLINK(LEFT(CELL("filename",A1),FIND("[",CELL("filename",A1))-1)&amp;"매뉴얼BODY(집행단계-첨부폴더)v8\6.건축\37_소방시설공사 완공검사\표준서\소방시설공사 완공검사_표준서.html", "👉 [클릭] 표준서 열기 📄")</f>
        <v/>
      </c>
      <c r="L38" s="156"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213">
        <f>HYPERLINK(LEFT(CELL("filename",A1),FIND("[",CELL("filename",A1))-1)&amp;"매뉴얼BODY(집행단계-첨부폴더)v8\6.건축\37_소방시설공사 완공검사\수행지침\소방시설공사 완공검사_수행지침.html", "👉 [클릭] 수행지침 열기 📄")</f>
        <v/>
      </c>
      <c r="N38" s="20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213">
        <f>HYPERLINK(LEFT(CELL("filename",A1),FIND("[",CELL("filename",A1))-1)&amp;"매뉴얼BODY(집행단계-첨부폴더)v8\6.건축\37_소방시설공사 완공검사\체크리스트\소방시설공사 완공검사_체크리스트.html", "👉 [클릭] 체크리스트 열기 📄")</f>
        <v/>
      </c>
      <c r="P38" s="202" t="n"/>
      <c r="Q38" s="156" t="inlineStr">
        <is>
          <t>● 소방시설공사법 제14조</t>
        </is>
      </c>
      <c r="R38" s="203" t="inlineStr">
        <is>
          <t>1) 👉 [더블클릭] 체크리스트 열기 📄</t>
        </is>
      </c>
      <c r="S38" s="200"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c r="LM38" s="198" t="n"/>
      <c r="LN38" s="198" t="n"/>
      <c r="LO38" s="198" t="n"/>
      <c r="LP38" s="198" t="n"/>
      <c r="LQ38" s="198" t="n"/>
      <c r="LR38" s="198" t="n"/>
      <c r="LS38" s="198" t="n"/>
      <c r="LT38" s="198" t="n"/>
      <c r="LU38" s="198" t="n"/>
      <c r="LV38" s="198" t="n"/>
      <c r="LW38" s="198" t="n"/>
      <c r="LX38" s="198" t="n"/>
      <c r="LY38" s="198" t="n"/>
      <c r="LZ38" s="198" t="n"/>
      <c r="MA38" s="198" t="n"/>
      <c r="MB38" s="198" t="n"/>
      <c r="MC38" s="198" t="n"/>
      <c r="MD38" s="198" t="n"/>
      <c r="ME38" s="198" t="n"/>
      <c r="MF38" s="198" t="n"/>
      <c r="MG38" s="198" t="n"/>
      <c r="MH38" s="198" t="n"/>
      <c r="MI38" s="198" t="n"/>
      <c r="MJ38" s="198" t="n"/>
      <c r="MK38" s="198" t="n"/>
      <c r="ML38" s="198" t="n"/>
      <c r="MM38" s="198" t="n"/>
      <c r="MN38" s="198" t="n"/>
      <c r="MO38" s="198" t="n"/>
      <c r="MP38" s="198" t="n"/>
      <c r="MQ38" s="198" t="n"/>
      <c r="MR38" s="198" t="n"/>
      <c r="MS38" s="198" t="n"/>
      <c r="MT38" s="198" t="n"/>
      <c r="MU38" s="198" t="n"/>
      <c r="MV38" s="198" t="n"/>
      <c r="MW38" s="198" t="n"/>
      <c r="MX38" s="198" t="n"/>
      <c r="MY38" s="198" t="n"/>
      <c r="MZ38" s="198" t="n"/>
      <c r="NA38" s="198" t="n"/>
      <c r="NB38" s="198" t="n"/>
      <c r="NC38" s="198" t="n"/>
      <c r="ND38" s="198" t="n"/>
      <c r="NE38" s="198" t="n"/>
      <c r="NF38" s="198" t="n"/>
      <c r="NG38" s="198" t="n"/>
    </row>
    <row r="39" ht="52" customHeight="1" s="147">
      <c r="A39" s="204" t="inlineStr">
        <is>
          <t>9000</t>
        </is>
      </c>
      <c r="B39" s="204" t="inlineStr">
        <is>
          <t>9000-6</t>
        </is>
      </c>
      <c r="C39" s="204" t="inlineStr">
        <is>
          <t>건축</t>
        </is>
      </c>
      <c r="D39" s="204" t="inlineStr">
        <is>
          <t>9000-6-38</t>
        </is>
      </c>
      <c r="E39" s="205" t="inlineStr">
        <is>
          <t>9000-6-37</t>
        </is>
      </c>
      <c r="F39" s="205" t="inlineStr">
        <is>
          <t>9000-6-39</t>
        </is>
      </c>
      <c r="G39" s="162" t="inlineStr">
        <is>
          <t>현장 -&gt; 승강기 안전공단, 승강기 안전관리법 제27조
- 서식: 별지 제22호 서식
- 제출후 처리기간 7일 이내</t>
        </is>
      </c>
      <c r="H39" s="205" t="inlineStr">
        <is>
          <t>승강기 설치 신고</t>
        </is>
      </c>
      <c r="I39" s="205" t="inlineStr">
        <is>
          <t>승강기 설치 신고필증</t>
        </is>
      </c>
      <c r="J39" s="16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217">
        <f>HYPERLINK(LEFT(CELL("filename",A1),FIND("[",CELL("filename",A1))-1)&amp;"매뉴얼BODY(집행단계-첨부폴더)v8\6.건축\38_승강기 설치 신고서 제출\표준서\승강기 설치 신고서 제출_표준서.html", "👉 [클릭] 표준서 열기 📄")</f>
        <v/>
      </c>
      <c r="L39" s="16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217">
        <f>HYPERLINK(LEFT(CELL("filename",A1),FIND("[",CELL("filename",A1))-1)&amp;"매뉴얼BODY(집행단계-첨부폴더)v8\6.건축\38_승강기 설치 신고서 제출\수행지침\승강기 설치 신고서 제출_수행지침.html", "👉 [클릭] 수행지침 열기 📄")</f>
        <v/>
      </c>
      <c r="N39" s="206"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217">
        <f>HYPERLINK(LEFT(CELL("filename",A1),FIND("[",CELL("filename",A1))-1)&amp;"매뉴얼BODY(집행단계-첨부폴더)v8\6.건축\38_승강기 설치 신고서 제출\체크리스트\승강기 설치 신고서 제출_체크리스트.html", "👉 [클릭] 체크리스트 열기 📄")</f>
        <v/>
      </c>
      <c r="P39" s="207" t="n"/>
      <c r="Q39" s="163" t="inlineStr">
        <is>
          <t>● 승강기 안전관리법 제27조</t>
        </is>
      </c>
      <c r="R39" s="208" t="inlineStr">
        <is>
          <t>1) 👉 [더블클릭] 체크리스트 열기 📄</t>
        </is>
      </c>
      <c r="S39" s="205"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c r="LQ39" s="198" t="n"/>
      <c r="LR39" s="198" t="n"/>
      <c r="LS39" s="198" t="n"/>
      <c r="LT39" s="198" t="n"/>
      <c r="LU39" s="198" t="n"/>
      <c r="LV39" s="198" t="n"/>
      <c r="LW39" s="198" t="n"/>
      <c r="LX39" s="198" t="n"/>
      <c r="LY39" s="198" t="n"/>
      <c r="LZ39" s="198" t="n"/>
      <c r="MA39" s="198" t="n"/>
      <c r="MB39" s="198" t="n"/>
      <c r="MC39" s="198" t="n"/>
      <c r="MD39" s="198" t="n"/>
      <c r="ME39" s="198" t="n"/>
      <c r="MF39" s="198" t="n"/>
      <c r="MG39" s="198" t="n"/>
      <c r="MH39" s="198" t="n"/>
      <c r="MI39" s="198" t="n"/>
      <c r="MJ39" s="198" t="n"/>
      <c r="MK39" s="198" t="n"/>
      <c r="ML39" s="198" t="n"/>
      <c r="MM39" s="198" t="n"/>
      <c r="MN39" s="198" t="n"/>
      <c r="MO39" s="198" t="n"/>
      <c r="MP39" s="198" t="n"/>
      <c r="MQ39" s="198" t="n"/>
      <c r="MR39" s="198" t="n"/>
      <c r="MS39" s="198" t="n"/>
      <c r="MT39" s="198" t="n"/>
      <c r="MU39" s="198" t="n"/>
      <c r="MV39" s="198" t="n"/>
      <c r="MW39" s="198" t="n"/>
      <c r="MX39" s="198" t="n"/>
      <c r="MY39" s="198" t="n"/>
      <c r="MZ39" s="198" t="n"/>
      <c r="NA39" s="198" t="n"/>
      <c r="NB39" s="198" t="n"/>
      <c r="NC39" s="198" t="n"/>
      <c r="ND39" s="198" t="n"/>
      <c r="NE39" s="198" t="n"/>
      <c r="NF39" s="198" t="n"/>
      <c r="NG39" s="198" t="n"/>
      <c r="NH39" s="198" t="n"/>
      <c r="NI39" s="198" t="n"/>
      <c r="NJ39" s="198" t="n"/>
      <c r="NK39" s="198" t="n"/>
    </row>
    <row r="40" ht="52" customHeight="1" s="147">
      <c r="A40" s="199" t="inlineStr">
        <is>
          <t>9000</t>
        </is>
      </c>
      <c r="B40" s="199" t="inlineStr">
        <is>
          <t>9000-6</t>
        </is>
      </c>
      <c r="C40" s="199" t="inlineStr">
        <is>
          <t>건축</t>
        </is>
      </c>
      <c r="D40" s="199" t="inlineStr">
        <is>
          <t>9000-6-39</t>
        </is>
      </c>
      <c r="E40" s="200" t="inlineStr">
        <is>
          <t>9000-6-38</t>
        </is>
      </c>
      <c r="F40" s="200" t="inlineStr">
        <is>
          <t>9000-6-40</t>
        </is>
      </c>
      <c r="G40" s="155" t="inlineStr">
        <is>
          <t>현장 -&gt; 저수조업체 -&gt; 관할지자체, 수도법 제33조(위생상의 조치)
- 서식: 별지 제12호 서식</t>
        </is>
      </c>
      <c r="H40" s="200" t="inlineStr">
        <is>
          <t>저수조 청소 신고</t>
        </is>
      </c>
      <c r="I40" s="200" t="inlineStr">
        <is>
          <t>저수조 설치 신고필증</t>
        </is>
      </c>
      <c r="J40" s="156"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213">
        <f>HYPERLINK(LEFT(CELL("filename",A1),FIND("[",CELL("filename",A1))-1)&amp;"매뉴얼BODY(집행단계-첨부폴더)v8\6.건축\39_저수조 설치현황 신고서 제출\표준서\저수조 설치현황 신고서 제출_표준서.html", "👉 [클릭] 표준서 열기 📄")</f>
        <v/>
      </c>
      <c r="L40" s="156"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213">
        <f>HYPERLINK(LEFT(CELL("filename",A1),FIND("[",CELL("filename",A1))-1)&amp;"매뉴얼BODY(집행단계-첨부폴더)v8\6.건축\39_저수조 설치현황 신고서 제출\수행지침\저수조 설치현황 신고서 제출_수행지침.html", "👉 [클릭] 수행지침 열기 📄")</f>
        <v/>
      </c>
      <c r="N40" s="20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213">
        <f>HYPERLINK(LEFT(CELL("filename",A1),FIND("[",CELL("filename",A1))-1)&amp;"매뉴얼BODY(집행단계-첨부폴더)v8\6.건축\39_저수조 설치현황 신고서 제출\체크리스트\저수조 설치현황 신고서 제출_체크리스트.html", "👉 [클릭] 체크리스트 열기 📄")</f>
        <v/>
      </c>
      <c r="P40" s="202" t="n"/>
      <c r="Q40" s="156" t="inlineStr">
        <is>
          <t>● 수도법 제33조</t>
        </is>
      </c>
      <c r="R40" s="203" t="inlineStr">
        <is>
          <t>1) 👉 [더블클릭] 체크리스트 열기 📄</t>
        </is>
      </c>
      <c r="S40" s="200"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c r="LU40" s="198" t="n"/>
      <c r="LV40" s="198" t="n"/>
      <c r="LW40" s="198" t="n"/>
      <c r="LX40" s="198" t="n"/>
      <c r="LY40" s="198" t="n"/>
      <c r="LZ40" s="198" t="n"/>
      <c r="MA40" s="198" t="n"/>
      <c r="MB40" s="198" t="n"/>
      <c r="MC40" s="198" t="n"/>
      <c r="MD40" s="198" t="n"/>
      <c r="ME40" s="198" t="n"/>
      <c r="MF40" s="198" t="n"/>
      <c r="MG40" s="198" t="n"/>
      <c r="MH40" s="198" t="n"/>
      <c r="MI40" s="198" t="n"/>
      <c r="MJ40" s="198" t="n"/>
      <c r="MK40" s="198" t="n"/>
      <c r="ML40" s="198" t="n"/>
      <c r="MM40" s="198" t="n"/>
      <c r="MN40" s="198" t="n"/>
      <c r="MO40" s="198" t="n"/>
      <c r="MP40" s="198" t="n"/>
      <c r="MQ40" s="198" t="n"/>
      <c r="MR40" s="198" t="n"/>
      <c r="MS40" s="198" t="n"/>
      <c r="MT40" s="198" t="n"/>
      <c r="MU40" s="198" t="n"/>
      <c r="MV40" s="198" t="n"/>
      <c r="MW40" s="198" t="n"/>
      <c r="MX40" s="198" t="n"/>
      <c r="MY40" s="198" t="n"/>
      <c r="MZ40" s="198" t="n"/>
      <c r="NA40" s="198" t="n"/>
      <c r="NB40" s="198" t="n"/>
      <c r="NC40" s="198" t="n"/>
      <c r="ND40" s="198" t="n"/>
      <c r="NE40" s="198" t="n"/>
      <c r="NF40" s="198" t="n"/>
      <c r="NG40" s="198" t="n"/>
      <c r="NH40" s="198" t="n"/>
      <c r="NI40" s="198" t="n"/>
      <c r="NJ40" s="198" t="n"/>
      <c r="NK40" s="198" t="n"/>
      <c r="NL40" s="198" t="n"/>
      <c r="NM40" s="198" t="n"/>
      <c r="NN40" s="198" t="n"/>
      <c r="NO40" s="198" t="n"/>
    </row>
    <row r="41" ht="52" customHeight="1" s="147">
      <c r="A41" s="204" t="inlineStr">
        <is>
          <t>9000</t>
        </is>
      </c>
      <c r="B41" s="204" t="inlineStr">
        <is>
          <t>9000-6</t>
        </is>
      </c>
      <c r="C41" s="204" t="inlineStr">
        <is>
          <t>건축</t>
        </is>
      </c>
      <c r="D41" s="204" t="inlineStr">
        <is>
          <t>9000-6-40</t>
        </is>
      </c>
      <c r="E41" s="205" t="inlineStr">
        <is>
          <t>9000-6-39</t>
        </is>
      </c>
      <c r="F41" s="205" t="inlineStr">
        <is>
          <t>9000-6-41</t>
        </is>
      </c>
      <c r="G41" s="162" t="inlineStr">
        <is>
          <t>현장 -&gt; 관할지자체, 하수도법 제34조
- 서식: 별지 제13호 서식
- 제출후 처리기간 5일 이내</t>
        </is>
      </c>
      <c r="H41" s="205" t="inlineStr">
        <is>
          <t>정화조 및 오수 처리시설 신고</t>
        </is>
      </c>
      <c r="I41" s="205" t="inlineStr">
        <is>
          <t>오수처리시설/정화조 설치 신고필증</t>
        </is>
      </c>
      <c r="J41" s="16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217">
        <f>HYPERLINK(LEFT(CELL("filename",A1),FIND("[",CELL("filename",A1))-1)&amp;"매뉴얼BODY(집행단계-첨부폴더)v8\6.건축\40_오수처리시설 _ 정화조 설치 신고서 제출\표준서\오수처리시설 _ 정화조 설치 신고서 제출_표준서.html", "👉 [클릭] 표준서 열기 📄")</f>
        <v/>
      </c>
      <c r="L41" s="16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217">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206"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217">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207" t="n"/>
      <c r="Q41" s="163" t="inlineStr">
        <is>
          <t>● 하수도법 제34조</t>
        </is>
      </c>
      <c r="R41" s="208" t="inlineStr">
        <is>
          <t>1) 👉 [더블클릭] 체크리스트 열기 📄</t>
        </is>
      </c>
      <c r="S41" s="205"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c r="LY41" s="198" t="n"/>
      <c r="LZ41" s="198" t="n"/>
      <c r="MA41" s="198" t="n"/>
      <c r="MB41" s="198" t="n"/>
      <c r="MC41" s="198" t="n"/>
      <c r="MD41" s="198" t="n"/>
      <c r="ME41" s="198" t="n"/>
      <c r="MF41" s="198" t="n"/>
      <c r="MG41" s="198" t="n"/>
      <c r="MH41" s="198" t="n"/>
      <c r="MI41" s="198" t="n"/>
      <c r="MJ41" s="198" t="n"/>
      <c r="MK41" s="198" t="n"/>
      <c r="ML41" s="198" t="n"/>
      <c r="MM41" s="198" t="n"/>
      <c r="MN41" s="198" t="n"/>
      <c r="MO41" s="198" t="n"/>
      <c r="MP41" s="198" t="n"/>
      <c r="MQ41" s="198" t="n"/>
      <c r="MR41" s="198" t="n"/>
      <c r="MS41" s="198" t="n"/>
      <c r="MT41" s="198" t="n"/>
      <c r="MU41" s="198" t="n"/>
      <c r="MV41" s="198" t="n"/>
      <c r="MW41" s="198" t="n"/>
      <c r="MX41" s="198" t="n"/>
      <c r="MY41" s="198" t="n"/>
      <c r="MZ41" s="198" t="n"/>
      <c r="NA41" s="198" t="n"/>
      <c r="NB41" s="198" t="n"/>
      <c r="NC41" s="198" t="n"/>
      <c r="ND41" s="198" t="n"/>
      <c r="NE41" s="198" t="n"/>
      <c r="NF41" s="198" t="n"/>
      <c r="NG41" s="198" t="n"/>
      <c r="NH41" s="198" t="n"/>
      <c r="NI41" s="198" t="n"/>
      <c r="NJ41" s="198" t="n"/>
      <c r="NK41" s="198" t="n"/>
      <c r="NL41" s="198" t="n"/>
      <c r="NM41" s="198" t="n"/>
      <c r="NN41" s="198" t="n"/>
      <c r="NO41" s="198" t="n"/>
      <c r="NP41" s="198" t="n"/>
      <c r="NQ41" s="198" t="n"/>
      <c r="NR41" s="198" t="n"/>
      <c r="NS41" s="198" t="n"/>
    </row>
    <row r="42" ht="52" customHeight="1" s="147">
      <c r="A42" s="199" t="inlineStr">
        <is>
          <t>9000</t>
        </is>
      </c>
      <c r="B42" s="199" t="inlineStr">
        <is>
          <t>9000-6</t>
        </is>
      </c>
      <c r="C42" s="199" t="inlineStr">
        <is>
          <t>건축</t>
        </is>
      </c>
      <c r="D42" s="199" t="inlineStr">
        <is>
          <t>9000-6-41</t>
        </is>
      </c>
      <c r="E42" s="200" t="inlineStr">
        <is>
          <t>9000-6-40</t>
        </is>
      </c>
      <c r="F42" s="200" t="inlineStr">
        <is>
          <t>9000-6-42</t>
        </is>
      </c>
      <c r="G42" s="155" t="inlineStr">
        <is>
          <t>현장 -&gt; 한국전기안전공사, 전기안전관리법 제9조(사용전검사)
- 서식: 별지 제4호 서식</t>
        </is>
      </c>
      <c r="H42" s="200" t="inlineStr">
        <is>
          <t>전기사용전 검사 신청</t>
        </is>
      </c>
      <c r="I42" s="200" t="inlineStr">
        <is>
          <t>전기사용전 검사 필증</t>
        </is>
      </c>
      <c r="J42" s="156"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213">
        <f>HYPERLINK(LEFT(CELL("filename",A1),FIND("[",CELL("filename",A1))-1)&amp;"매뉴얼BODY(집행단계-첨부폴더)v8\6.건축\41_전기사용전 검사\표준서\전기사용전 검사_표준서.html", "👉 [클릭] 표준서 열기 📄")</f>
        <v/>
      </c>
      <c r="L42" s="156"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213">
        <f>HYPERLINK(LEFT(CELL("filename",A1),FIND("[",CELL("filename",A1))-1)&amp;"매뉴얼BODY(집행단계-첨부폴더)v8\6.건축\41_전기사용전 검사\수행지침\전기사용전 검사_수행지침.html", "👉 [클릭] 수행지침 열기 📄")</f>
        <v/>
      </c>
      <c r="N42" s="20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213">
        <f>HYPERLINK(LEFT(CELL("filename",A1),FIND("[",CELL("filename",A1))-1)&amp;"매뉴얼BODY(집행단계-첨부폴더)v8\6.건축\41_전기사용전 검사\체크리스트\전기사용전 검사_체크리스트.html", "👉 [클릭] 체크리스트 열기 📄")</f>
        <v/>
      </c>
      <c r="P42" s="202" t="n"/>
      <c r="Q42" s="156" t="inlineStr">
        <is>
          <t>● 전기안전관리법 제9조</t>
        </is>
      </c>
      <c r="R42" s="203" t="inlineStr">
        <is>
          <t>1) 👉 [더블클릭] 체크리스트 열기 📄</t>
        </is>
      </c>
      <c r="S42" s="200"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c r="MC42" s="198" t="n"/>
      <c r="MD42" s="198" t="n"/>
      <c r="ME42" s="198" t="n"/>
      <c r="MF42" s="198" t="n"/>
      <c r="MG42" s="198" t="n"/>
      <c r="MH42" s="198" t="n"/>
      <c r="MI42" s="198" t="n"/>
      <c r="MJ42" s="198" t="n"/>
      <c r="MK42" s="198" t="n"/>
      <c r="ML42" s="198" t="n"/>
      <c r="MM42" s="198" t="n"/>
      <c r="MN42" s="198" t="n"/>
      <c r="MO42" s="198" t="n"/>
      <c r="MP42" s="198" t="n"/>
      <c r="MQ42" s="198" t="n"/>
      <c r="MR42" s="198" t="n"/>
      <c r="MS42" s="198" t="n"/>
      <c r="MT42" s="198" t="n"/>
      <c r="MU42" s="198" t="n"/>
      <c r="MV42" s="198" t="n"/>
      <c r="MW42" s="198" t="n"/>
      <c r="MX42" s="198" t="n"/>
      <c r="MY42" s="198" t="n"/>
      <c r="MZ42" s="198" t="n"/>
      <c r="NA42" s="198" t="n"/>
      <c r="NB42" s="198" t="n"/>
      <c r="NC42" s="198" t="n"/>
      <c r="ND42" s="198" t="n"/>
      <c r="NE42" s="198" t="n"/>
      <c r="NF42" s="198" t="n"/>
      <c r="NG42" s="198" t="n"/>
      <c r="NH42" s="198" t="n"/>
      <c r="NI42" s="198" t="n"/>
      <c r="NJ42" s="198" t="n"/>
      <c r="NK42" s="198" t="n"/>
      <c r="NL42" s="198" t="n"/>
      <c r="NM42" s="198" t="n"/>
      <c r="NN42" s="198" t="n"/>
      <c r="NO42" s="198" t="n"/>
      <c r="NP42" s="198" t="n"/>
      <c r="NQ42" s="198" t="n"/>
      <c r="NR42" s="198" t="n"/>
      <c r="NS42" s="198" t="n"/>
      <c r="NT42" s="198" t="n"/>
      <c r="NU42" s="198" t="n"/>
      <c r="NV42" s="198" t="n"/>
      <c r="NW42" s="198" t="n"/>
    </row>
    <row r="43" ht="52" customHeight="1" s="147">
      <c r="A43" s="204" t="inlineStr">
        <is>
          <t>9000</t>
        </is>
      </c>
      <c r="B43" s="204" t="inlineStr">
        <is>
          <t>9000-6</t>
        </is>
      </c>
      <c r="C43" s="204" t="inlineStr">
        <is>
          <t>건축</t>
        </is>
      </c>
      <c r="D43" s="204" t="inlineStr">
        <is>
          <t>9000-6-42</t>
        </is>
      </c>
      <c r="E43" s="205" t="inlineStr">
        <is>
          <t>9000-6-41</t>
        </is>
      </c>
      <c r="F43" s="205" t="inlineStr">
        <is>
          <t>9000-6-43</t>
        </is>
      </c>
      <c r="G43" s="162" t="inlineStr">
        <is>
          <t>현장 -&gt; 한국승강기안전공단, 승강기 안전관리법 제28조(승강기 설치)
- 서식: 별지 제23호 서식
- 제출후 처리기간 15일 이내</t>
        </is>
      </c>
      <c r="H43" s="205" t="inlineStr">
        <is>
          <t>승강기 설치검사 신청</t>
        </is>
      </c>
      <c r="I43" s="205" t="inlineStr">
        <is>
          <t>승강기 사용필증, 합격증보고서</t>
        </is>
      </c>
      <c r="J43" s="16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217">
        <f>HYPERLINK(LEFT(CELL("filename",A1),FIND("[",CELL("filename",A1))-1)&amp;"매뉴얼BODY(집행단계-첨부폴더)v8\6.건축\42_승강기 설치검사\표준서\승강기 설치검사_표준서.html", "👉 [클릭] 표준서 열기 📄")</f>
        <v/>
      </c>
      <c r="L43" s="16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217">
        <f>HYPERLINK(LEFT(CELL("filename",A1),FIND("[",CELL("filename",A1))-1)&amp;"매뉴얼BODY(집행단계-첨부폴더)v8\6.건축\42_승강기 설치검사\수행지침\승강기 설치검사_수행지침.html", "👉 [클릭] 수행지침 열기 📄")</f>
        <v/>
      </c>
      <c r="N43" s="206"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217">
        <f>HYPERLINK(LEFT(CELL("filename",A1),FIND("[",CELL("filename",A1))-1)&amp;"매뉴얼BODY(집행단계-첨부폴더)v8\6.건축\42_승강기 설치검사\체크리스트\승강기 설치검사_체크리스트.html", "👉 [클릭] 체크리스트 열기 📄")</f>
        <v/>
      </c>
      <c r="P43" s="207" t="n"/>
      <c r="Q43" s="163" t="inlineStr">
        <is>
          <t>● 승강기 안전관리법 제28조</t>
        </is>
      </c>
      <c r="R43" s="208" t="inlineStr">
        <is>
          <t>1) 👉 [더블클릭] 체크리스트 열기 📄</t>
        </is>
      </c>
      <c r="S43" s="205"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c r="MG43" s="198" t="n"/>
      <c r="MH43" s="198" t="n"/>
      <c r="MI43" s="198" t="n"/>
      <c r="MJ43" s="198" t="n"/>
      <c r="MK43" s="198" t="n"/>
      <c r="ML43" s="198" t="n"/>
      <c r="MM43" s="198" t="n"/>
      <c r="MN43" s="198" t="n"/>
      <c r="MO43" s="198" t="n"/>
      <c r="MP43" s="198" t="n"/>
      <c r="MQ43" s="198" t="n"/>
      <c r="MR43" s="198" t="n"/>
      <c r="MS43" s="198" t="n"/>
      <c r="MT43" s="198" t="n"/>
      <c r="MU43" s="198" t="n"/>
      <c r="MV43" s="198" t="n"/>
      <c r="MW43" s="198" t="n"/>
      <c r="MX43" s="198" t="n"/>
      <c r="MY43" s="198" t="n"/>
      <c r="MZ43" s="198" t="n"/>
      <c r="NA43" s="198" t="n"/>
      <c r="NB43" s="198" t="n"/>
      <c r="NC43" s="198" t="n"/>
      <c r="ND43" s="198" t="n"/>
      <c r="NE43" s="198" t="n"/>
      <c r="NF43" s="198" t="n"/>
      <c r="NG43" s="198" t="n"/>
      <c r="NH43" s="198" t="n"/>
      <c r="NI43" s="198" t="n"/>
      <c r="NJ43" s="198" t="n"/>
      <c r="NK43" s="198" t="n"/>
      <c r="NL43" s="198" t="n"/>
      <c r="NM43" s="198" t="n"/>
      <c r="NN43" s="198" t="n"/>
      <c r="NO43" s="198" t="n"/>
      <c r="NP43" s="198" t="n"/>
      <c r="NQ43" s="198" t="n"/>
      <c r="NR43" s="198" t="n"/>
      <c r="NS43" s="198" t="n"/>
      <c r="NT43" s="198" t="n"/>
      <c r="NU43" s="198" t="n"/>
      <c r="NV43" s="198" t="n"/>
      <c r="NW43" s="198" t="n"/>
      <c r="NX43" s="198" t="n"/>
      <c r="NY43" s="198" t="n"/>
      <c r="NZ43" s="198" t="n"/>
      <c r="OA43" s="198" t="n"/>
    </row>
    <row r="44" ht="52" customHeight="1" s="147">
      <c r="A44" s="199" t="inlineStr">
        <is>
          <t>9000</t>
        </is>
      </c>
      <c r="B44" s="199" t="inlineStr">
        <is>
          <t>9000-6</t>
        </is>
      </c>
      <c r="C44" s="199" t="inlineStr">
        <is>
          <t>건축</t>
        </is>
      </c>
      <c r="D44" s="199" t="inlineStr">
        <is>
          <t>9000-6-43</t>
        </is>
      </c>
      <c r="E44" s="200" t="inlineStr">
        <is>
          <t>9000-6-42</t>
        </is>
      </c>
      <c r="F44" s="200" t="inlineStr">
        <is>
          <t>9000-6-44</t>
        </is>
      </c>
      <c r="G44" s="155" t="inlineStr">
        <is>
          <t>현장 -&gt; 관할지자체/하수도법 제27조/별지 제7호 서식/제출후 처리기간 7일 이내</t>
        </is>
      </c>
      <c r="H44" s="200" t="inlineStr">
        <is>
          <t>배수설비 사용 신청</t>
        </is>
      </c>
      <c r="I44" s="200" t="inlineStr">
        <is>
          <t>배수설비 사용필증</t>
        </is>
      </c>
      <c r="J44" s="156"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213">
        <f>HYPERLINK(LEFT(CELL("filename",A1),FIND("[",CELL("filename",A1))-1)&amp;"매뉴얼BODY(집행단계-첨부폴더)v8\6.건축\43_배수설비 설치 신고서 제출\표준서\배수설비 설치 신고서 제출_표준서.html", "👉 [클릭] 표준서 열기 📄")</f>
        <v/>
      </c>
      <c r="L44" s="156"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213">
        <f>HYPERLINK(LEFT(CELL("filename",A1),FIND("[",CELL("filename",A1))-1)&amp;"매뉴얼BODY(집행단계-첨부폴더)v8\6.건축\43_배수설비 설치 신고서 제출\수행지침\배수설비 설치 신고서 제출_수행지침.html", "👉 [클릭] 수행지침 열기 📄")</f>
        <v/>
      </c>
      <c r="N44" s="20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213">
        <f>HYPERLINK(LEFT(CELL("filename",A1),FIND("[",CELL("filename",A1))-1)&amp;"매뉴얼BODY(집행단계-첨부폴더)v8\6.건축\43_배수설비 설치 신고서 제출\체크리스트\배수설비 설치 신고서 제출_체크리스트.html", "👉 [클릭] 체크리스트 열기 📄")</f>
        <v/>
      </c>
      <c r="P44" s="202" t="n"/>
      <c r="Q44" s="156" t="inlineStr">
        <is>
          <t>● 하수도법 제27조</t>
        </is>
      </c>
      <c r="R44" s="203" t="inlineStr">
        <is>
          <t>1) 👉 [더블클릭] 체크리스트 열기 📄</t>
        </is>
      </c>
      <c r="S44" s="200"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c r="MK44" s="198" t="n"/>
      <c r="ML44" s="198" t="n"/>
      <c r="MM44" s="198" t="n"/>
      <c r="MN44" s="198" t="n"/>
      <c r="MO44" s="198" t="n"/>
      <c r="MP44" s="198" t="n"/>
      <c r="MQ44" s="198" t="n"/>
      <c r="MR44" s="198" t="n"/>
      <c r="MS44" s="198" t="n"/>
      <c r="MT44" s="198" t="n"/>
      <c r="MU44" s="198" t="n"/>
      <c r="MV44" s="198" t="n"/>
      <c r="MW44" s="198" t="n"/>
      <c r="MX44" s="198" t="n"/>
      <c r="MY44" s="198" t="n"/>
      <c r="MZ44" s="198" t="n"/>
      <c r="NA44" s="198" t="n"/>
      <c r="NB44" s="198" t="n"/>
      <c r="NC44" s="198" t="n"/>
      <c r="ND44" s="198" t="n"/>
      <c r="NE44" s="198" t="n"/>
      <c r="NF44" s="198" t="n"/>
      <c r="NG44" s="198" t="n"/>
      <c r="NH44" s="198" t="n"/>
      <c r="NI44" s="198" t="n"/>
      <c r="NJ44" s="198" t="n"/>
      <c r="NK44" s="198" t="n"/>
      <c r="NL44" s="198" t="n"/>
      <c r="NM44" s="198" t="n"/>
      <c r="NN44" s="198" t="n"/>
      <c r="NO44" s="198" t="n"/>
      <c r="NP44" s="198" t="n"/>
      <c r="NQ44" s="198" t="n"/>
      <c r="NR44" s="198" t="n"/>
      <c r="NS44" s="198" t="n"/>
      <c r="NT44" s="198" t="n"/>
      <c r="NU44" s="198" t="n"/>
      <c r="NV44" s="198" t="n"/>
      <c r="NW44" s="198" t="n"/>
      <c r="NX44" s="198" t="n"/>
      <c r="NY44" s="198" t="n"/>
      <c r="NZ44" s="198" t="n"/>
      <c r="OA44" s="198" t="n"/>
      <c r="OB44" s="198" t="n"/>
      <c r="OC44" s="198" t="n"/>
      <c r="OD44" s="198" t="n"/>
      <c r="OE44" s="198" t="n"/>
    </row>
    <row r="45" ht="52" customHeight="1" s="147">
      <c r="A45" s="204" t="inlineStr">
        <is>
          <t>9000</t>
        </is>
      </c>
      <c r="B45" s="204" t="inlineStr">
        <is>
          <t>9000-6</t>
        </is>
      </c>
      <c r="C45" s="204" t="inlineStr">
        <is>
          <t>건축</t>
        </is>
      </c>
      <c r="D45" s="204" t="inlineStr">
        <is>
          <t>9000-6-44</t>
        </is>
      </c>
      <c r="E45" s="205" t="inlineStr">
        <is>
          <t>9000-6-43</t>
        </is>
      </c>
      <c r="F45" s="205" t="inlineStr">
        <is>
          <t>9000-6-45</t>
        </is>
      </c>
      <c r="G45" s="162" t="inlineStr">
        <is>
          <t>현장 -&gt; 관할지자체, 정보통신공사업 시행령 제36조
- 서식: 해당 법 별지 제9호 서식
- 제출후 처리기간 14일 이내</t>
        </is>
      </c>
      <c r="H45" s="205" t="inlineStr">
        <is>
          <t>정보통신 설치 사용전 검사신청</t>
        </is>
      </c>
      <c r="I45" s="205" t="inlineStr">
        <is>
          <t>정보통신사용전 검사필증</t>
        </is>
      </c>
      <c r="J45" s="16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217">
        <f>HYPERLINK(LEFT(CELL("filename",A1),FIND("[",CELL("filename",A1))-1)&amp;"매뉴얼BODY(집행단계-첨부폴더)v8\6.건축\44_정보통신공사 사용전검사\표준서\정보통신공사 사용전검사_표준서.html", "👉 [클릭] 표준서 열기 📄")</f>
        <v/>
      </c>
      <c r="L45" s="16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217">
        <f>HYPERLINK(LEFT(CELL("filename",A1),FIND("[",CELL("filename",A1))-1)&amp;"매뉴얼BODY(집행단계-첨부폴더)v8\6.건축\44_정보통신공사 사용전검사\수행지침\정보통신공사 사용전검사_수행지침.html", "👉 [클릭] 수행지침 열기 📄")</f>
        <v/>
      </c>
      <c r="N45" s="206"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217">
        <f>HYPERLINK(LEFT(CELL("filename",A1),FIND("[",CELL("filename",A1))-1)&amp;"매뉴얼BODY(집행단계-첨부폴더)v8\6.건축\44_정보통신공사 사용전검사\체크리스트\정보통신공사 사용전검사_체크리스트.html", "👉 [클릭] 체크리스트 열기 📄")</f>
        <v/>
      </c>
      <c r="P45" s="207" t="n"/>
      <c r="Q45" s="163" t="inlineStr">
        <is>
          <t>● 정보통신공사업 시행령 제36조</t>
        </is>
      </c>
      <c r="R45" s="208" t="inlineStr">
        <is>
          <t>1) 👉 [더블클릭] 체크리스트 열기 📄</t>
        </is>
      </c>
      <c r="S45" s="205"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c r="MO45" s="198" t="n"/>
      <c r="MP45" s="198" t="n"/>
      <c r="MQ45" s="198" t="n"/>
      <c r="MR45" s="198" t="n"/>
      <c r="MS45" s="198" t="n"/>
      <c r="MT45" s="198" t="n"/>
      <c r="MU45" s="198" t="n"/>
      <c r="MV45" s="198" t="n"/>
      <c r="MW45" s="198" t="n"/>
      <c r="MX45" s="198" t="n"/>
      <c r="MY45" s="198" t="n"/>
      <c r="MZ45" s="198" t="n"/>
      <c r="NA45" s="198" t="n"/>
      <c r="NB45" s="198" t="n"/>
      <c r="NC45" s="198" t="n"/>
      <c r="ND45" s="198" t="n"/>
      <c r="NE45" s="198" t="n"/>
      <c r="NF45" s="198" t="n"/>
      <c r="NG45" s="198" t="n"/>
      <c r="NH45" s="198" t="n"/>
      <c r="NI45" s="198" t="n"/>
      <c r="NJ45" s="198" t="n"/>
      <c r="NK45" s="198" t="n"/>
      <c r="NL45" s="198" t="n"/>
      <c r="NM45" s="198" t="n"/>
      <c r="NN45" s="198" t="n"/>
      <c r="NO45" s="198" t="n"/>
      <c r="NP45" s="198" t="n"/>
      <c r="NQ45" s="198" t="n"/>
      <c r="NR45" s="198" t="n"/>
      <c r="NS45" s="198" t="n"/>
      <c r="NT45" s="198" t="n"/>
      <c r="NU45" s="198" t="n"/>
      <c r="NV45" s="198" t="n"/>
      <c r="NW45" s="198" t="n"/>
      <c r="NX45" s="198" t="n"/>
      <c r="NY45" s="198" t="n"/>
      <c r="NZ45" s="198" t="n"/>
      <c r="OA45" s="198" t="n"/>
      <c r="OB45" s="198" t="n"/>
      <c r="OC45" s="198" t="n"/>
      <c r="OD45" s="198" t="n"/>
      <c r="OE45" s="198" t="n"/>
      <c r="OF45" s="198" t="n"/>
      <c r="OG45" s="198" t="n"/>
      <c r="OH45" s="198" t="n"/>
      <c r="OI45" s="198" t="n"/>
    </row>
    <row r="46" ht="52" customHeight="1" s="147">
      <c r="A46" s="199" t="inlineStr">
        <is>
          <t>9000</t>
        </is>
      </c>
      <c r="B46" s="199" t="inlineStr">
        <is>
          <t>9000-6</t>
        </is>
      </c>
      <c r="C46" s="199" t="inlineStr">
        <is>
          <t>건축</t>
        </is>
      </c>
      <c r="D46" s="199" t="inlineStr">
        <is>
          <t>9000-6-45</t>
        </is>
      </c>
      <c r="E46" s="200" t="inlineStr">
        <is>
          <t>9000-6-44</t>
        </is>
      </c>
      <c r="F46" s="200" t="inlineStr">
        <is>
          <t>9000-6-46</t>
        </is>
      </c>
      <c r="G46" s="155" t="inlineStr">
        <is>
          <t>현장 -&gt; 관할지자체, 하수도법 제37조
- 서식: 해당 법 별지 제15호 서식
- 제출후 처리기간 5일 이내</t>
        </is>
      </c>
      <c r="H46" s="200" t="inlineStr">
        <is>
          <t>정화조 사용 신청</t>
        </is>
      </c>
      <c r="I46" s="200" t="inlineStr">
        <is>
          <t>오수처리시설 / 정화조 준공필증</t>
        </is>
      </c>
      <c r="J46" s="156"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213">
        <f>HYPERLINK(LEFT(CELL("filename",A1),FIND("[",CELL("filename",A1))-1)&amp;"매뉴얼BODY(집행단계-첨부폴더)v8\6.건축\45_오수처리시설 _ 정화조 준공검사\표준서\오수처리시설 _ 정화조 준공검사_표준서.html", "👉 [클릭] 표준서 열기 📄")</f>
        <v/>
      </c>
      <c r="L46" s="156"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213">
        <f>HYPERLINK(LEFT(CELL("filename",A1),FIND("[",CELL("filename",A1))-1)&amp;"매뉴얼BODY(집행단계-첨부폴더)v8\6.건축\45_오수처리시설 _ 정화조 준공검사\수행지침\오수처리시설 _ 정화조 준공검사_수행지침.html", "👉 [클릭] 수행지침 열기 📄")</f>
        <v/>
      </c>
      <c r="N46" s="20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213">
        <f>HYPERLINK(LEFT(CELL("filename",A1),FIND("[",CELL("filename",A1))-1)&amp;"매뉴얼BODY(집행단계-첨부폴더)v8\6.건축\45_오수처리시설 _ 정화조 준공검사\체크리스트\오수처리시설 _ 정화조 준공검사_체크리스트.html", "👉 [클릭] 체크리스트 열기 📄")</f>
        <v/>
      </c>
      <c r="P46" s="202" t="n"/>
      <c r="Q46" s="156" t="inlineStr">
        <is>
          <t>● 하수도법 제37조</t>
        </is>
      </c>
      <c r="R46" s="203" t="inlineStr">
        <is>
          <t>1) 👉 [더블클릭] 체크리스트 열기 📄</t>
        </is>
      </c>
      <c r="S46" s="200"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c r="MS46" s="198" t="n"/>
      <c r="MT46" s="198" t="n"/>
      <c r="MU46" s="198" t="n"/>
      <c r="MV46" s="198" t="n"/>
      <c r="MW46" s="198" t="n"/>
      <c r="MX46" s="198" t="n"/>
      <c r="MY46" s="198" t="n"/>
      <c r="MZ46" s="198" t="n"/>
      <c r="NA46" s="198" t="n"/>
      <c r="NB46" s="198" t="n"/>
      <c r="NC46" s="198" t="n"/>
      <c r="ND46" s="198" t="n"/>
      <c r="NE46" s="198" t="n"/>
      <c r="NF46" s="198" t="n"/>
      <c r="NG46" s="198" t="n"/>
      <c r="NH46" s="198" t="n"/>
      <c r="NI46" s="198" t="n"/>
      <c r="NJ46" s="198" t="n"/>
      <c r="NK46" s="198" t="n"/>
      <c r="NL46" s="198" t="n"/>
      <c r="NM46" s="198" t="n"/>
      <c r="NN46" s="198" t="n"/>
      <c r="NO46" s="198" t="n"/>
      <c r="NP46" s="198" t="n"/>
      <c r="NQ46" s="198" t="n"/>
      <c r="NR46" s="198" t="n"/>
      <c r="NS46" s="198" t="n"/>
      <c r="NT46" s="198" t="n"/>
      <c r="NU46" s="198" t="n"/>
      <c r="NV46" s="198" t="n"/>
      <c r="NW46" s="198" t="n"/>
      <c r="NX46" s="198" t="n"/>
      <c r="NY46" s="198" t="n"/>
      <c r="NZ46" s="198" t="n"/>
      <c r="OA46" s="198" t="n"/>
      <c r="OB46" s="198" t="n"/>
      <c r="OC46" s="198" t="n"/>
      <c r="OD46" s="198" t="n"/>
      <c r="OE46" s="198" t="n"/>
      <c r="OF46" s="198" t="n"/>
      <c r="OG46" s="198" t="n"/>
      <c r="OH46" s="198" t="n"/>
      <c r="OI46" s="198" t="n"/>
      <c r="OJ46" s="198" t="n"/>
      <c r="OK46" s="198" t="n"/>
      <c r="OL46" s="198" t="n"/>
      <c r="OM46" s="198" t="n"/>
    </row>
    <row r="47" ht="52" customHeight="1" s="147">
      <c r="A47" s="204" t="inlineStr">
        <is>
          <t>9000</t>
        </is>
      </c>
      <c r="B47" s="204" t="inlineStr">
        <is>
          <t>9000-6</t>
        </is>
      </c>
      <c r="C47" s="204" t="inlineStr">
        <is>
          <t>건축</t>
        </is>
      </c>
      <c r="D47" s="204" t="inlineStr">
        <is>
          <t>9000-6-46</t>
        </is>
      </c>
      <c r="E47" s="205" t="inlineStr">
        <is>
          <t>9000-6-45</t>
        </is>
      </c>
      <c r="F47" s="205" t="inlineStr">
        <is>
          <t>9000-6-47</t>
        </is>
      </c>
      <c r="G47" s="162" t="inlineStr">
        <is>
          <t>현장 -&gt; 관할지자체, 수도 조례 시행규칙
- 서식: 해당 법 별지 제1호 서식</t>
        </is>
      </c>
      <c r="H47" s="205" t="inlineStr">
        <is>
          <t>급수 사용 신청</t>
        </is>
      </c>
      <c r="I47" s="205" t="inlineStr">
        <is>
          <t>급수 사용허가 문서</t>
        </is>
      </c>
      <c r="J47" s="16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217">
        <f>HYPERLINK(LEFT(CELL("filename",A1),FIND("[",CELL("filename",A1))-1)&amp;"매뉴얼BODY(집행단계-첨부폴더)v8\6.건축\46_급수공사 신청서 제출\표준서\급수공사 신청서 제출_표준서.html", "👉 [클릭] 표준서 열기 📄")</f>
        <v/>
      </c>
      <c r="L47" s="16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217">
        <f>HYPERLINK(LEFT(CELL("filename",A1),FIND("[",CELL("filename",A1))-1)&amp;"매뉴얼BODY(집행단계-첨부폴더)v8\6.건축\46_급수공사 신청서 제출\수행지침\급수공사 신청서 제출_수행지침.html", "👉 [클릭] 수행지침 열기 📄")</f>
        <v/>
      </c>
      <c r="N47" s="206"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217">
        <f>HYPERLINK(LEFT(CELL("filename",A1),FIND("[",CELL("filename",A1))-1)&amp;"매뉴얼BODY(집행단계-첨부폴더)v8\6.건축\46_급수공사 신청서 제출\체크리스트\급수공사 신청서 제출_체크리스트.html", "👉 [클릭] 체크리스트 열기 📄")</f>
        <v/>
      </c>
      <c r="P47" s="207" t="n"/>
      <c r="Q47" s="163" t="inlineStr">
        <is>
          <t>● 수도 조례 시행규칙</t>
        </is>
      </c>
      <c r="R47" s="208" t="inlineStr">
        <is>
          <t>1) 👉 [더블클릭] 체크리스트 열기 📄</t>
        </is>
      </c>
      <c r="S47" s="205"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c r="MW47" s="198" t="n"/>
      <c r="MX47" s="198" t="n"/>
      <c r="MY47" s="198" t="n"/>
      <c r="MZ47" s="198" t="n"/>
      <c r="NA47" s="198" t="n"/>
      <c r="NB47" s="198" t="n"/>
      <c r="NC47" s="198" t="n"/>
      <c r="ND47" s="198" t="n"/>
      <c r="NE47" s="198" t="n"/>
      <c r="NF47" s="198" t="n"/>
      <c r="NG47" s="198" t="n"/>
      <c r="NH47" s="198" t="n"/>
      <c r="NI47" s="198" t="n"/>
      <c r="NJ47" s="198" t="n"/>
      <c r="NK47" s="198" t="n"/>
      <c r="NL47" s="198" t="n"/>
      <c r="NM47" s="198" t="n"/>
      <c r="NN47" s="198" t="n"/>
      <c r="NO47" s="198" t="n"/>
      <c r="NP47" s="198" t="n"/>
      <c r="NQ47" s="198" t="n"/>
      <c r="NR47" s="198" t="n"/>
      <c r="NS47" s="198" t="n"/>
      <c r="NT47" s="198" t="n"/>
      <c r="NU47" s="198" t="n"/>
      <c r="NV47" s="198" t="n"/>
      <c r="NW47" s="198" t="n"/>
      <c r="NX47" s="198" t="n"/>
      <c r="NY47" s="198" t="n"/>
      <c r="NZ47" s="198" t="n"/>
      <c r="OA47" s="198" t="n"/>
      <c r="OB47" s="198" t="n"/>
      <c r="OC47" s="198" t="n"/>
      <c r="OD47" s="198" t="n"/>
      <c r="OE47" s="198" t="n"/>
      <c r="OF47" s="198" t="n"/>
      <c r="OG47" s="198" t="n"/>
      <c r="OH47" s="198" t="n"/>
      <c r="OI47" s="198" t="n"/>
      <c r="OJ47" s="198" t="n"/>
      <c r="OK47" s="198" t="n"/>
      <c r="OL47" s="198" t="n"/>
      <c r="OM47" s="198" t="n"/>
      <c r="ON47" s="198" t="n"/>
      <c r="OO47" s="198" t="n"/>
      <c r="OP47" s="198" t="n"/>
      <c r="OQ47" s="198" t="n"/>
    </row>
    <row r="48" ht="52" customHeight="1" s="147">
      <c r="A48" s="199" t="inlineStr">
        <is>
          <t>9000</t>
        </is>
      </c>
      <c r="B48" s="199" t="inlineStr">
        <is>
          <t>9000-6</t>
        </is>
      </c>
      <c r="C48" s="199" t="inlineStr">
        <is>
          <t>건축</t>
        </is>
      </c>
      <c r="D48" s="199" t="inlineStr">
        <is>
          <t>9000-6-47</t>
        </is>
      </c>
      <c r="E48" s="200" t="inlineStr">
        <is>
          <t>9000-6-46</t>
        </is>
      </c>
      <c r="F48" s="200" t="inlineStr">
        <is>
          <t>9000-6-48</t>
        </is>
      </c>
      <c r="G48" s="155" t="inlineStr">
        <is>
          <t>현장 -&gt; 관할지자체, 건축법시행령 제20조(현장조사검사 및 확인 업무대행)
- 서식: 해당 법 별지 제17호 서식</t>
        </is>
      </c>
      <c r="H48" s="200" t="inlineStr">
        <is>
          <t>업무대행 건축사 확인후 사용승인</t>
        </is>
      </c>
      <c r="I48" s="200" t="inlineStr">
        <is>
          <t>건축물 사용승인 알림 [공문]</t>
        </is>
      </c>
      <c r="J48" s="156"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213">
        <f>HYPERLINK(LEFT(CELL("filename",A1),FIND("[",CELL("filename",A1))-1)&amp;"매뉴얼BODY(집행단계-첨부폴더)v8\6.건축\47_업무대행 건축사 사용승인 검사\표준서\업무대행 건축사 사용승인 검사_표준서.html", "👉 [클릭] 표준서 열기 📄")</f>
        <v/>
      </c>
      <c r="L48" s="156"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213">
        <f>HYPERLINK(LEFT(CELL("filename",A1),FIND("[",CELL("filename",A1))-1)&amp;"매뉴얼BODY(집행단계-첨부폴더)v8\6.건축\47_업무대행 건축사 사용승인 검사\수행지침\업무대행 건축사 사용승인 검사_수행지침.html", "👉 [클릭] 수행지침 열기 📄")</f>
        <v/>
      </c>
      <c r="N48" s="20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213">
        <f>HYPERLINK(LEFT(CELL("filename",A1),FIND("[",CELL("filename",A1))-1)&amp;"매뉴얼BODY(집행단계-첨부폴더)v8\6.건축\47_업무대행 건축사 사용승인 검사\체크리스트\업무대행 건축사 사용승인 검사_체크리스트.html", "👉 [클릭] 체크리스트 열기 📄")</f>
        <v/>
      </c>
      <c r="P48" s="202" t="n"/>
      <c r="Q48" s="156" t="inlineStr">
        <is>
          <t>● 건축법시행령 제20조</t>
        </is>
      </c>
      <c r="R48" s="203" t="inlineStr">
        <is>
          <t>1) 👉 [더블클릭] 체크리스트 열기 📄</t>
        </is>
      </c>
      <c r="S48" s="200"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c r="NA48" s="198" t="n"/>
      <c r="NB48" s="198" t="n"/>
      <c r="NC48" s="198" t="n"/>
      <c r="ND48" s="198" t="n"/>
      <c r="NE48" s="198" t="n"/>
      <c r="NF48" s="198" t="n"/>
      <c r="NG48" s="198" t="n"/>
      <c r="NH48" s="198" t="n"/>
      <c r="NI48" s="198" t="n"/>
      <c r="NJ48" s="198" t="n"/>
      <c r="NK48" s="198" t="n"/>
      <c r="NL48" s="198" t="n"/>
      <c r="NM48" s="198" t="n"/>
      <c r="NN48" s="198" t="n"/>
      <c r="NO48" s="198" t="n"/>
      <c r="NP48" s="198" t="n"/>
      <c r="NQ48" s="198" t="n"/>
      <c r="NR48" s="198" t="n"/>
      <c r="NS48" s="198" t="n"/>
      <c r="NT48" s="198" t="n"/>
      <c r="NU48" s="198" t="n"/>
      <c r="NV48" s="198" t="n"/>
      <c r="NW48" s="198" t="n"/>
      <c r="NX48" s="198" t="n"/>
      <c r="NY48" s="198" t="n"/>
      <c r="NZ48" s="198" t="n"/>
      <c r="OA48" s="198" t="n"/>
      <c r="OB48" s="198" t="n"/>
      <c r="OC48" s="198" t="n"/>
      <c r="OD48" s="198" t="n"/>
      <c r="OE48" s="198" t="n"/>
      <c r="OF48" s="198" t="n"/>
      <c r="OG48" s="198" t="n"/>
      <c r="OH48" s="198" t="n"/>
      <c r="OI48" s="198" t="n"/>
      <c r="OJ48" s="198" t="n"/>
      <c r="OK48" s="198" t="n"/>
      <c r="OL48" s="198" t="n"/>
      <c r="OM48" s="198" t="n"/>
      <c r="ON48" s="198" t="n"/>
      <c r="OO48" s="198" t="n"/>
      <c r="OP48" s="198" t="n"/>
      <c r="OQ48" s="198" t="n"/>
      <c r="OR48" s="198" t="n"/>
      <c r="OS48" s="198" t="n"/>
      <c r="OT48" s="198" t="n"/>
      <c r="OU48" s="198" t="n"/>
    </row>
    <row r="49" ht="52" customHeight="1" s="147">
      <c r="A49" s="204" t="inlineStr">
        <is>
          <t>9000</t>
        </is>
      </c>
      <c r="B49" s="204" t="inlineStr">
        <is>
          <t>9000-6</t>
        </is>
      </c>
      <c r="C49" s="204" t="inlineStr">
        <is>
          <t>건축</t>
        </is>
      </c>
      <c r="D49" s="204" t="inlineStr">
        <is>
          <t>9000-6-48</t>
        </is>
      </c>
      <c r="E49" s="205" t="inlineStr">
        <is>
          <t>9000-6-47</t>
        </is>
      </c>
      <c r="F49" s="205" t="inlineStr">
        <is>
          <t>9000-6-49</t>
        </is>
      </c>
      <c r="G49" s="162" t="inlineStr">
        <is>
          <t>현장 -&gt; 관할지자체, 건축법 제22조(건축물의 사용승인)
- 서식: 해당 법 별지 제17호 서식
- 제출후 처리기간 7일 이내</t>
        </is>
      </c>
      <c r="H49" s="205" t="inlineStr">
        <is>
          <t>건축물 사용승인 신청</t>
        </is>
      </c>
      <c r="I49" s="205" t="inlineStr">
        <is>
          <t>건축물 사용승인 알림 [공문]</t>
        </is>
      </c>
      <c r="J49" s="16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217">
        <f>HYPERLINK(LEFT(CELL("filename",A1),FIND("[",CELL("filename",A1))-1)&amp;"매뉴얼BODY(집행단계-첨부폴더)v8\6.건축\48_건축물 사용승인 신청\표준서\건축물 사용승인 신청_표준서.html", "👉 [클릭] 표준서 열기 📄")</f>
        <v/>
      </c>
      <c r="L49" s="16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217">
        <f>HYPERLINK(LEFT(CELL("filename",A1),FIND("[",CELL("filename",A1))-1)&amp;"매뉴얼BODY(집행단계-첨부폴더)v8\6.건축\48_건축물 사용승인 신청\수행지침\건축물 사용승인 신청_수행지침.html", "👉 [클릭] 수행지침 열기 📄")</f>
        <v/>
      </c>
      <c r="N49" s="206"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217">
        <f>HYPERLINK(LEFT(CELL("filename",A1),FIND("[",CELL("filename",A1))-1)&amp;"매뉴얼BODY(집행단계-첨부폴더)v8\6.건축\48_건축물 사용승인 신청\체크리스트\건축물 사용승인 신청_체크리스트.html", "👉 [클릭] 체크리스트 열기 📄")</f>
        <v/>
      </c>
      <c r="P49" s="207" t="n"/>
      <c r="Q49" s="163" t="inlineStr">
        <is>
          <t>● 건축법 제22조</t>
        </is>
      </c>
      <c r="R49" s="208" t="inlineStr">
        <is>
          <t>1) 👉 [더블클릭] 체크리스트 열기 📄</t>
        </is>
      </c>
      <c r="S49" s="205"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c r="NE49" s="198" t="n"/>
      <c r="NF49" s="198" t="n"/>
      <c r="NG49" s="198" t="n"/>
      <c r="NH49" s="198" t="n"/>
      <c r="NI49" s="198" t="n"/>
      <c r="NJ49" s="198" t="n"/>
      <c r="NK49" s="198" t="n"/>
      <c r="NL49" s="198" t="n"/>
      <c r="NM49" s="198" t="n"/>
      <c r="NN49" s="198" t="n"/>
      <c r="NO49" s="198" t="n"/>
      <c r="NP49" s="198" t="n"/>
      <c r="NQ49" s="198" t="n"/>
      <c r="NR49" s="198" t="n"/>
      <c r="NS49" s="198" t="n"/>
      <c r="NT49" s="198" t="n"/>
      <c r="NU49" s="198" t="n"/>
      <c r="NV49" s="198" t="n"/>
      <c r="NW49" s="198" t="n"/>
      <c r="NX49" s="198" t="n"/>
      <c r="NY49" s="198" t="n"/>
      <c r="NZ49" s="198" t="n"/>
      <c r="OA49" s="198" t="n"/>
      <c r="OB49" s="198" t="n"/>
      <c r="OC49" s="198" t="n"/>
      <c r="OD49" s="198" t="n"/>
      <c r="OE49" s="198" t="n"/>
      <c r="OF49" s="198" t="n"/>
      <c r="OG49" s="198" t="n"/>
      <c r="OH49" s="198" t="n"/>
      <c r="OI49" s="198" t="n"/>
      <c r="OJ49" s="198" t="n"/>
      <c r="OK49" s="198" t="n"/>
      <c r="OL49" s="198" t="n"/>
      <c r="OM49" s="198" t="n"/>
      <c r="ON49" s="198" t="n"/>
      <c r="OO49" s="198" t="n"/>
      <c r="OP49" s="198" t="n"/>
      <c r="OQ49" s="198" t="n"/>
      <c r="OR49" s="198" t="n"/>
      <c r="OS49" s="198" t="n"/>
      <c r="OT49" s="198" t="n"/>
      <c r="OU49" s="198" t="n"/>
      <c r="OV49" s="198" t="n"/>
      <c r="OW49" s="198" t="n"/>
      <c r="OX49" s="198" t="n"/>
      <c r="OY49" s="198" t="n"/>
    </row>
    <row r="50" ht="52" customHeight="1" s="147">
      <c r="A50" s="199" t="inlineStr">
        <is>
          <t>9000</t>
        </is>
      </c>
      <c r="B50" s="199" t="inlineStr">
        <is>
          <t>9000-6</t>
        </is>
      </c>
      <c r="C50" s="199" t="inlineStr">
        <is>
          <t>건축</t>
        </is>
      </c>
      <c r="D50" s="199" t="inlineStr">
        <is>
          <t>9000-6-49</t>
        </is>
      </c>
      <c r="E50" s="200" t="inlineStr">
        <is>
          <t>9000-6-48</t>
        </is>
      </c>
      <c r="F50" s="200" t="inlineStr">
        <is>
          <t>9000-6-50</t>
        </is>
      </c>
      <c r="G50" s="155" t="inlineStr">
        <is>
          <t>현장 -&gt; 관할지자체 -&gt; 관할지자체, 건축물대장의 기재 12조, 처리기간 7일 이내</t>
        </is>
      </c>
      <c r="H50" s="200" t="inlineStr">
        <is>
          <t>건축물대장 등재</t>
        </is>
      </c>
      <c r="I50" s="200" t="inlineStr">
        <is>
          <t>건축물 대장 등재 확인</t>
        </is>
      </c>
      <c r="J50" s="156"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213">
        <f>HYPERLINK(LEFT(CELL("filename",A1),FIND("[",CELL("filename",A1))-1)&amp;"매뉴얼BODY(집행단계-첨부폴더)v8\6.건축\49_건축물대장 등재\표준서\건축물대장 등재_표준서.html", "👉 [클릭] 표준서 열기 📄")</f>
        <v/>
      </c>
      <c r="L50" s="156"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213">
        <f>HYPERLINK(LEFT(CELL("filename",A1),FIND("[",CELL("filename",A1))-1)&amp;"매뉴얼BODY(집행단계-첨부폴더)v8\6.건축\49_건축물대장 등재\수행지침\건축물대장 등재_수행지침.html", "👉 [클릭] 수행지침 열기 📄")</f>
        <v/>
      </c>
      <c r="N50" s="20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213">
        <f>HYPERLINK(LEFT(CELL("filename",A1),FIND("[",CELL("filename",A1))-1)&amp;"매뉴얼BODY(집행단계-첨부폴더)v8\6.건축\49_건축물대장 등재\체크리스트\건축물대장 등재_체크리스트.html", "👉 [클릭] 체크리스트 열기 📄")</f>
        <v/>
      </c>
      <c r="P50" s="202" t="n"/>
      <c r="Q50" s="156" t="inlineStr">
        <is>
          <t>● 건축물대장의 기재 및 관리 등에 관한 규칙 제12조</t>
        </is>
      </c>
      <c r="R50" s="203" t="inlineStr">
        <is>
          <t>1) 👉 [더블클릭] 체크리스트 열기 📄</t>
        </is>
      </c>
      <c r="S50" s="200"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c r="NI50" s="198" t="n"/>
      <c r="NJ50" s="198" t="n"/>
      <c r="NK50" s="198" t="n"/>
      <c r="NL50" s="198" t="n"/>
      <c r="NM50" s="198" t="n"/>
      <c r="NN50" s="198" t="n"/>
      <c r="NO50" s="198" t="n"/>
      <c r="NP50" s="198" t="n"/>
      <c r="NQ50" s="198" t="n"/>
      <c r="NR50" s="198" t="n"/>
      <c r="NS50" s="198" t="n"/>
      <c r="NT50" s="198" t="n"/>
      <c r="NU50" s="198" t="n"/>
      <c r="NV50" s="198" t="n"/>
      <c r="NW50" s="198" t="n"/>
      <c r="NX50" s="198" t="n"/>
      <c r="NY50" s="198" t="n"/>
      <c r="NZ50" s="198" t="n"/>
      <c r="OA50" s="198" t="n"/>
      <c r="OB50" s="198" t="n"/>
      <c r="OC50" s="198" t="n"/>
      <c r="OD50" s="198" t="n"/>
      <c r="OE50" s="198" t="n"/>
      <c r="OF50" s="198" t="n"/>
      <c r="OG50" s="198" t="n"/>
      <c r="OH50" s="198" t="n"/>
      <c r="OI50" s="198" t="n"/>
      <c r="OJ50" s="198" t="n"/>
      <c r="OK50" s="198" t="n"/>
      <c r="OL50" s="198" t="n"/>
      <c r="OM50" s="198" t="n"/>
      <c r="ON50" s="198" t="n"/>
      <c r="OO50" s="198" t="n"/>
      <c r="OP50" s="198" t="n"/>
      <c r="OQ50" s="198" t="n"/>
      <c r="OR50" s="198" t="n"/>
      <c r="OS50" s="198" t="n"/>
      <c r="OT50" s="198" t="n"/>
      <c r="OU50" s="198" t="n"/>
      <c r="OV50" s="198" t="n"/>
      <c r="OW50" s="198" t="n"/>
      <c r="OX50" s="198" t="n"/>
      <c r="OY50" s="198" t="n"/>
      <c r="OZ50" s="198" t="n"/>
      <c r="PA50" s="198" t="n"/>
      <c r="PB50" s="198" t="n"/>
      <c r="PC50" s="198" t="n"/>
    </row>
    <row r="51" ht="52" customHeight="1" s="147">
      <c r="A51" s="204" t="inlineStr">
        <is>
          <t>9000</t>
        </is>
      </c>
      <c r="B51" s="204" t="inlineStr">
        <is>
          <t>9000-6</t>
        </is>
      </c>
      <c r="C51" s="204" t="inlineStr">
        <is>
          <t>건축</t>
        </is>
      </c>
      <c r="D51" s="204" t="inlineStr">
        <is>
          <t>9000-6-50</t>
        </is>
      </c>
      <c r="E51" s="205" t="inlineStr">
        <is>
          <t>9000-6-49</t>
        </is>
      </c>
      <c r="F51" s="205" t="inlineStr">
        <is>
          <t>-</t>
        </is>
      </c>
      <c r="G51" s="162"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H51" s="205" t="inlineStr">
        <is>
          <t>유지관리기관에 인계</t>
        </is>
      </c>
      <c r="I51" s="205" t="inlineStr">
        <is>
          <t>유지관리기관 인수인계서, 건축 인허가 서류, 준공도서</t>
        </is>
      </c>
      <c r="J51" s="16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217">
        <f>HYPERLINK(LEFT(CELL("filename",A1),FIND("[",CELL("filename",A1))-1)&amp;"매뉴얼BODY(집행단계-첨부폴더)v8\6.건축\50_후속 구조물 인계\표준서\후속 구조물 인계_표준서.html", "👉 [클릭] 표준서 열기 📄")</f>
        <v/>
      </c>
      <c r="L51" s="16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217">
        <f>HYPERLINK(LEFT(CELL("filename",A1),FIND("[",CELL("filename",A1))-1)&amp;"매뉴얼BODY(집행단계-첨부폴더)v8\6.건축\50_후속 구조물 인계\수행지침\후속 구조물 인계_수행지침.html", "👉 [클릭] 수행지침 열기 📄")</f>
        <v/>
      </c>
      <c r="N51" s="206"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217">
        <f>HYPERLINK(LEFT(CELL("filename",A1),FIND("[",CELL("filename",A1))-1)&amp;"매뉴얼BODY(집행단계-첨부폴더)v8\6.건축\50_후속 구조물 인계\체크리스트\후속 구조물 인계_체크리스트.html", "👉 [클릭] 체크리스트 열기 📄")</f>
        <v/>
      </c>
      <c r="P51" s="207" t="n"/>
      <c r="Q51" s="163" t="inlineStr">
        <is>
          <t>● 인수인계 및 시설물 유지관리 기준 준수</t>
        </is>
      </c>
      <c r="R51" s="208" t="inlineStr">
        <is>
          <t>1) 👉 [더블클릭] 체크리스트 열기 📄</t>
        </is>
      </c>
      <c r="S51" s="205"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c r="NM51" s="198" t="n"/>
      <c r="NN51" s="198" t="n"/>
      <c r="NO51" s="198" t="n"/>
      <c r="NP51" s="198" t="n"/>
      <c r="NQ51" s="198" t="n"/>
      <c r="NR51" s="198" t="n"/>
      <c r="NS51" s="198" t="n"/>
      <c r="NT51" s="198" t="n"/>
      <c r="NU51" s="198" t="n"/>
      <c r="NV51" s="198" t="n"/>
      <c r="NW51" s="198" t="n"/>
      <c r="NX51" s="198" t="n"/>
      <c r="NY51" s="198" t="n"/>
      <c r="NZ51" s="198" t="n"/>
      <c r="OA51" s="198" t="n"/>
      <c r="OB51" s="198" t="n"/>
      <c r="OC51" s="198" t="n"/>
      <c r="OD51" s="198" t="n"/>
      <c r="OE51" s="198" t="n"/>
      <c r="OF51" s="198" t="n"/>
      <c r="OG51" s="198" t="n"/>
      <c r="OH51" s="198" t="n"/>
      <c r="OI51" s="198" t="n"/>
      <c r="OJ51" s="198" t="n"/>
      <c r="OK51" s="198" t="n"/>
      <c r="OL51" s="198" t="n"/>
      <c r="OM51" s="198" t="n"/>
      <c r="ON51" s="198" t="n"/>
      <c r="OO51" s="198" t="n"/>
      <c r="OP51" s="198" t="n"/>
      <c r="OQ51" s="198" t="n"/>
      <c r="OR51" s="198" t="n"/>
      <c r="OS51" s="198" t="n"/>
      <c r="OT51" s="198" t="n"/>
      <c r="OU51" s="198" t="n"/>
      <c r="OV51" s="198" t="n"/>
      <c r="OW51" s="198" t="n"/>
      <c r="OX51" s="198" t="n"/>
      <c r="OY51" s="198" t="n"/>
      <c r="OZ51" s="198" t="n"/>
      <c r="PA51" s="198" t="n"/>
      <c r="PB51" s="198" t="n"/>
      <c r="PC51" s="198" t="n"/>
      <c r="PD51" s="198" t="n"/>
      <c r="PE51" s="198" t="n"/>
      <c r="PF51" s="198" t="n"/>
      <c r="PG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c r="NQ52" s="198" t="n"/>
      <c r="NR52" s="198" t="n"/>
      <c r="NS52" s="198" t="n"/>
      <c r="NT52" s="198" t="n"/>
      <c r="NU52" s="198" t="n"/>
      <c r="NV52" s="198" t="n"/>
      <c r="NW52" s="198" t="n"/>
      <c r="NX52" s="198" t="n"/>
      <c r="NY52" s="198" t="n"/>
      <c r="NZ52" s="198" t="n"/>
      <c r="OA52" s="198" t="n"/>
      <c r="OB52" s="198" t="n"/>
      <c r="OC52" s="198" t="n"/>
      <c r="OD52" s="198" t="n"/>
      <c r="OE52" s="198" t="n"/>
      <c r="OF52" s="198" t="n"/>
      <c r="OG52" s="198" t="n"/>
      <c r="OH52" s="198" t="n"/>
      <c r="OI52" s="198" t="n"/>
      <c r="OJ52" s="198" t="n"/>
      <c r="OK52" s="198" t="n"/>
      <c r="OL52" s="198" t="n"/>
      <c r="OM52" s="198" t="n"/>
      <c r="ON52" s="198" t="n"/>
      <c r="OO52" s="198" t="n"/>
      <c r="OP52" s="198" t="n"/>
      <c r="OQ52" s="198" t="n"/>
      <c r="OR52" s="198" t="n"/>
      <c r="OS52" s="198" t="n"/>
      <c r="OT52" s="198" t="n"/>
      <c r="OU52" s="198" t="n"/>
      <c r="OV52" s="198" t="n"/>
      <c r="OW52" s="198" t="n"/>
      <c r="OX52" s="198" t="n"/>
      <c r="OY52" s="198" t="n"/>
      <c r="OZ52" s="198" t="n"/>
      <c r="PA52" s="198" t="n"/>
      <c r="PB52" s="198" t="n"/>
      <c r="PC52" s="198" t="n"/>
      <c r="PD52" s="198" t="n"/>
      <c r="PE52" s="198" t="n"/>
      <c r="PF52" s="198" t="n"/>
      <c r="PG52" s="198" t="n"/>
      <c r="PH52" s="198" t="n"/>
      <c r="PI52" s="198" t="n"/>
      <c r="PJ52" s="198" t="n"/>
      <c r="PK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c r="NU53" s="198" t="n"/>
      <c r="NV53" s="198" t="n"/>
      <c r="NW53" s="198" t="n"/>
      <c r="NX53" s="198" t="n"/>
      <c r="NY53" s="198" t="n"/>
      <c r="NZ53" s="198" t="n"/>
      <c r="OA53" s="198" t="n"/>
      <c r="OB53" s="198" t="n"/>
      <c r="OC53" s="198" t="n"/>
      <c r="OD53" s="198" t="n"/>
      <c r="OE53" s="198" t="n"/>
      <c r="OF53" s="198" t="n"/>
      <c r="OG53" s="198" t="n"/>
      <c r="OH53" s="198" t="n"/>
      <c r="OI53" s="198" t="n"/>
      <c r="OJ53" s="198" t="n"/>
      <c r="OK53" s="198" t="n"/>
      <c r="OL53" s="198" t="n"/>
      <c r="OM53" s="198" t="n"/>
      <c r="ON53" s="198" t="n"/>
      <c r="OO53" s="198" t="n"/>
      <c r="OP53" s="198" t="n"/>
      <c r="OQ53" s="198" t="n"/>
      <c r="OR53" s="198" t="n"/>
      <c r="OS53" s="198" t="n"/>
      <c r="OT53" s="198" t="n"/>
      <c r="OU53" s="198" t="n"/>
      <c r="OV53" s="198" t="n"/>
      <c r="OW53" s="198" t="n"/>
      <c r="OX53" s="198" t="n"/>
      <c r="OY53" s="198" t="n"/>
      <c r="OZ53" s="198" t="n"/>
      <c r="PA53" s="198" t="n"/>
      <c r="PB53" s="198" t="n"/>
      <c r="PC53" s="198" t="n"/>
      <c r="PD53" s="198" t="n"/>
      <c r="PE53" s="198" t="n"/>
      <c r="PF53" s="198" t="n"/>
      <c r="PG53" s="198" t="n"/>
      <c r="PH53" s="198" t="n"/>
      <c r="PI53" s="198" t="n"/>
      <c r="PJ53" s="198" t="n"/>
      <c r="PK53" s="198" t="n"/>
      <c r="PL53" s="198" t="n"/>
      <c r="PM53" s="198" t="n"/>
      <c r="PN53" s="198" t="n"/>
      <c r="PO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c r="NY54" s="198" t="n"/>
      <c r="NZ54" s="198" t="n"/>
      <c r="OA54" s="198" t="n"/>
      <c r="OB54" s="198" t="n"/>
      <c r="OC54" s="198" t="n"/>
      <c r="OD54" s="198" t="n"/>
      <c r="OE54" s="198" t="n"/>
      <c r="OF54" s="198" t="n"/>
      <c r="OG54" s="198" t="n"/>
      <c r="OH54" s="198" t="n"/>
      <c r="OI54" s="198" t="n"/>
      <c r="OJ54" s="198" t="n"/>
      <c r="OK54" s="198" t="n"/>
      <c r="OL54" s="198" t="n"/>
      <c r="OM54" s="198" t="n"/>
      <c r="ON54" s="198" t="n"/>
      <c r="OO54" s="198" t="n"/>
      <c r="OP54" s="198" t="n"/>
      <c r="OQ54" s="198" t="n"/>
      <c r="OR54" s="198" t="n"/>
      <c r="OS54" s="198" t="n"/>
      <c r="OT54" s="198" t="n"/>
      <c r="OU54" s="198" t="n"/>
      <c r="OV54" s="198" t="n"/>
      <c r="OW54" s="198" t="n"/>
      <c r="OX54" s="198" t="n"/>
      <c r="OY54" s="198" t="n"/>
      <c r="OZ54" s="198" t="n"/>
      <c r="PA54" s="198" t="n"/>
      <c r="PB54" s="198" t="n"/>
      <c r="PC54" s="198" t="n"/>
      <c r="PD54" s="198" t="n"/>
      <c r="PE54" s="198" t="n"/>
      <c r="PF54" s="198" t="n"/>
      <c r="PG54" s="198" t="n"/>
      <c r="PH54" s="198" t="n"/>
      <c r="PI54" s="198" t="n"/>
      <c r="PJ54" s="198" t="n"/>
      <c r="PK54" s="198" t="n"/>
      <c r="PL54" s="198" t="n"/>
      <c r="PM54" s="198" t="n"/>
      <c r="PN54" s="198" t="n"/>
      <c r="PO54" s="198" t="n"/>
      <c r="PP54" s="198" t="n"/>
      <c r="PQ54" s="198" t="n"/>
      <c r="PR54" s="198" t="n"/>
      <c r="PS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c r="OC55" s="198" t="n"/>
      <c r="OD55" s="198" t="n"/>
      <c r="OE55" s="198" t="n"/>
      <c r="OF55" s="198" t="n"/>
      <c r="OG55" s="198" t="n"/>
      <c r="OH55" s="198" t="n"/>
      <c r="OI55" s="198" t="n"/>
      <c r="OJ55" s="198" t="n"/>
      <c r="OK55" s="198" t="n"/>
      <c r="OL55" s="198" t="n"/>
      <c r="OM55" s="198" t="n"/>
      <c r="ON55" s="198" t="n"/>
      <c r="OO55" s="198" t="n"/>
      <c r="OP55" s="198" t="n"/>
      <c r="OQ55" s="198" t="n"/>
      <c r="OR55" s="198" t="n"/>
      <c r="OS55" s="198" t="n"/>
      <c r="OT55" s="198" t="n"/>
      <c r="OU55" s="198" t="n"/>
      <c r="OV55" s="198" t="n"/>
      <c r="OW55" s="198" t="n"/>
      <c r="OX55" s="198" t="n"/>
      <c r="OY55" s="198" t="n"/>
      <c r="OZ55" s="198" t="n"/>
      <c r="PA55" s="198" t="n"/>
      <c r="PB55" s="198" t="n"/>
      <c r="PC55" s="198" t="n"/>
      <c r="PD55" s="198" t="n"/>
      <c r="PE55" s="198" t="n"/>
      <c r="PF55" s="198" t="n"/>
      <c r="PG55" s="198" t="n"/>
      <c r="PH55" s="198" t="n"/>
      <c r="PI55" s="198" t="n"/>
      <c r="PJ55" s="198" t="n"/>
      <c r="PK55" s="198" t="n"/>
      <c r="PL55" s="198" t="n"/>
      <c r="PM55" s="198" t="n"/>
      <c r="PN55" s="198" t="n"/>
      <c r="PO55" s="198" t="n"/>
      <c r="PP55" s="198" t="n"/>
      <c r="PQ55" s="198" t="n"/>
      <c r="PR55" s="198" t="n"/>
      <c r="PS55" s="198" t="n"/>
      <c r="PT55" s="198" t="n"/>
      <c r="PU55" s="198" t="n"/>
      <c r="PV55" s="198" t="n"/>
      <c r="PW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c r="OG56" s="198" t="n"/>
      <c r="OH56" s="198" t="n"/>
      <c r="OI56" s="198" t="n"/>
      <c r="OJ56" s="198" t="n"/>
      <c r="OK56" s="198" t="n"/>
      <c r="OL56" s="198" t="n"/>
      <c r="OM56" s="198" t="n"/>
      <c r="ON56" s="198" t="n"/>
      <c r="OO56" s="198" t="n"/>
      <c r="OP56" s="198" t="n"/>
      <c r="OQ56" s="198" t="n"/>
      <c r="OR56" s="198" t="n"/>
      <c r="OS56" s="198" t="n"/>
      <c r="OT56" s="198" t="n"/>
      <c r="OU56" s="198" t="n"/>
      <c r="OV56" s="198" t="n"/>
      <c r="OW56" s="198" t="n"/>
      <c r="OX56" s="198" t="n"/>
      <c r="OY56" s="198" t="n"/>
      <c r="OZ56" s="198" t="n"/>
      <c r="PA56" s="198" t="n"/>
      <c r="PB56" s="198" t="n"/>
      <c r="PC56" s="198" t="n"/>
      <c r="PD56" s="198" t="n"/>
      <c r="PE56" s="198" t="n"/>
      <c r="PF56" s="198" t="n"/>
      <c r="PG56" s="198" t="n"/>
      <c r="PH56" s="198" t="n"/>
      <c r="PI56" s="198" t="n"/>
      <c r="PJ56" s="198" t="n"/>
      <c r="PK56" s="198" t="n"/>
      <c r="PL56" s="198" t="n"/>
      <c r="PM56" s="198" t="n"/>
      <c r="PN56" s="198" t="n"/>
      <c r="PO56" s="198" t="n"/>
      <c r="PP56" s="198" t="n"/>
      <c r="PQ56" s="198" t="n"/>
      <c r="PR56" s="198" t="n"/>
      <c r="PS56" s="198" t="n"/>
      <c r="PT56" s="198" t="n"/>
      <c r="PU56" s="198" t="n"/>
      <c r="PV56" s="198" t="n"/>
      <c r="PW56" s="198" t="n"/>
      <c r="PX56" s="198" t="n"/>
      <c r="PY56" s="198" t="n"/>
      <c r="PZ56" s="198" t="n"/>
      <c r="QA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c r="OK57" s="198" t="n"/>
      <c r="OL57" s="198" t="n"/>
      <c r="OM57" s="198" t="n"/>
      <c r="ON57" s="198" t="n"/>
      <c r="OO57" s="198" t="n"/>
      <c r="OP57" s="198" t="n"/>
      <c r="OQ57" s="198" t="n"/>
      <c r="OR57" s="198" t="n"/>
      <c r="OS57" s="198" t="n"/>
      <c r="OT57" s="198" t="n"/>
      <c r="OU57" s="198" t="n"/>
      <c r="OV57" s="198" t="n"/>
      <c r="OW57" s="198" t="n"/>
      <c r="OX57" s="198" t="n"/>
      <c r="OY57" s="198" t="n"/>
      <c r="OZ57" s="198" t="n"/>
      <c r="PA57" s="198" t="n"/>
      <c r="PB57" s="198" t="n"/>
      <c r="PC57" s="198" t="n"/>
      <c r="PD57" s="198" t="n"/>
      <c r="PE57" s="198" t="n"/>
      <c r="PF57" s="198" t="n"/>
      <c r="PG57" s="198" t="n"/>
      <c r="PH57" s="198" t="n"/>
      <c r="PI57" s="198" t="n"/>
      <c r="PJ57" s="198" t="n"/>
      <c r="PK57" s="198" t="n"/>
      <c r="PL57" s="198" t="n"/>
      <c r="PM57" s="198" t="n"/>
      <c r="PN57" s="198" t="n"/>
      <c r="PO57" s="198" t="n"/>
      <c r="PP57" s="198" t="n"/>
      <c r="PQ57" s="198" t="n"/>
      <c r="PR57" s="198" t="n"/>
      <c r="PS57" s="198" t="n"/>
      <c r="PT57" s="198" t="n"/>
      <c r="PU57" s="198" t="n"/>
      <c r="PV57" s="198" t="n"/>
      <c r="PW57" s="198" t="n"/>
      <c r="PX57" s="198" t="n"/>
      <c r="PY57" s="198" t="n"/>
      <c r="PZ57" s="198" t="n"/>
      <c r="QA57" s="198" t="n"/>
      <c r="QB57" s="198" t="n"/>
      <c r="QC57" s="198" t="n"/>
      <c r="QD57" s="198" t="n"/>
      <c r="QE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c r="OO58" s="198" t="n"/>
      <c r="OP58" s="198" t="n"/>
      <c r="OQ58" s="198" t="n"/>
      <c r="OR58" s="198" t="n"/>
      <c r="OS58" s="198" t="n"/>
      <c r="OT58" s="198" t="n"/>
      <c r="OU58" s="198" t="n"/>
      <c r="OV58" s="198" t="n"/>
      <c r="OW58" s="198" t="n"/>
      <c r="OX58" s="198" t="n"/>
      <c r="OY58" s="198" t="n"/>
      <c r="OZ58" s="198" t="n"/>
      <c r="PA58" s="198" t="n"/>
      <c r="PB58" s="198" t="n"/>
      <c r="PC58" s="198" t="n"/>
      <c r="PD58" s="198" t="n"/>
      <c r="PE58" s="198" t="n"/>
      <c r="PF58" s="198" t="n"/>
      <c r="PG58" s="198" t="n"/>
      <c r="PH58" s="198" t="n"/>
      <c r="PI58" s="198" t="n"/>
      <c r="PJ58" s="198" t="n"/>
      <c r="PK58" s="198" t="n"/>
      <c r="PL58" s="198" t="n"/>
      <c r="PM58" s="198" t="n"/>
      <c r="PN58" s="198" t="n"/>
      <c r="PO58" s="198" t="n"/>
      <c r="PP58" s="198" t="n"/>
      <c r="PQ58" s="198" t="n"/>
      <c r="PR58" s="198" t="n"/>
      <c r="PS58" s="198" t="n"/>
      <c r="PT58" s="198" t="n"/>
      <c r="PU58" s="198" t="n"/>
      <c r="PV58" s="198" t="n"/>
      <c r="PW58" s="198" t="n"/>
      <c r="PX58" s="198" t="n"/>
      <c r="PY58" s="198" t="n"/>
      <c r="PZ58" s="198" t="n"/>
      <c r="QA58" s="198" t="n"/>
      <c r="QB58" s="198" t="n"/>
      <c r="QC58" s="198" t="n"/>
      <c r="QD58" s="198" t="n"/>
      <c r="QE58" s="198" t="n"/>
      <c r="QF58" s="198" t="n"/>
      <c r="QG58" s="198" t="n"/>
      <c r="QH58" s="198" t="n"/>
      <c r="QI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c r="OS59" s="198" t="n"/>
      <c r="OT59" s="198" t="n"/>
      <c r="OU59" s="198" t="n"/>
      <c r="OV59" s="198" t="n"/>
      <c r="OW59" s="198" t="n"/>
      <c r="OX59" s="198" t="n"/>
      <c r="OY59" s="198" t="n"/>
      <c r="OZ59" s="198" t="n"/>
      <c r="PA59" s="198" t="n"/>
      <c r="PB59" s="198" t="n"/>
      <c r="PC59" s="198" t="n"/>
      <c r="PD59" s="198" t="n"/>
      <c r="PE59" s="198" t="n"/>
      <c r="PF59" s="198" t="n"/>
      <c r="PG59" s="198" t="n"/>
      <c r="PH59" s="198" t="n"/>
      <c r="PI59" s="198" t="n"/>
      <c r="PJ59" s="198" t="n"/>
      <c r="PK59" s="198" t="n"/>
      <c r="PL59" s="198" t="n"/>
      <c r="PM59" s="198" t="n"/>
      <c r="PN59" s="198" t="n"/>
      <c r="PO59" s="198" t="n"/>
      <c r="PP59" s="198" t="n"/>
      <c r="PQ59" s="198" t="n"/>
      <c r="PR59" s="198" t="n"/>
      <c r="PS59" s="198" t="n"/>
      <c r="PT59" s="198" t="n"/>
      <c r="PU59" s="198" t="n"/>
      <c r="PV59" s="198" t="n"/>
      <c r="PW59" s="198" t="n"/>
      <c r="PX59" s="198" t="n"/>
      <c r="PY59" s="198" t="n"/>
      <c r="PZ59" s="198" t="n"/>
      <c r="QA59" s="198" t="n"/>
      <c r="QB59" s="198" t="n"/>
      <c r="QC59" s="198" t="n"/>
      <c r="QD59" s="198" t="n"/>
      <c r="QE59" s="198" t="n"/>
      <c r="QF59" s="198" t="n"/>
      <c r="QG59" s="198" t="n"/>
      <c r="QH59" s="198" t="n"/>
      <c r="QI59" s="198" t="n"/>
      <c r="QJ59" s="198" t="n"/>
      <c r="QK59" s="198" t="n"/>
      <c r="QL59" s="198" t="n"/>
      <c r="QM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c r="OW60" s="198" t="n"/>
      <c r="OX60" s="198" t="n"/>
      <c r="OY60" s="198" t="n"/>
      <c r="OZ60" s="198" t="n"/>
      <c r="PA60" s="198" t="n"/>
      <c r="PB60" s="198" t="n"/>
      <c r="PC60" s="198" t="n"/>
      <c r="PD60" s="198" t="n"/>
      <c r="PE60" s="198" t="n"/>
      <c r="PF60" s="198" t="n"/>
      <c r="PG60" s="198" t="n"/>
      <c r="PH60" s="198" t="n"/>
      <c r="PI60" s="198" t="n"/>
      <c r="PJ60" s="198" t="n"/>
      <c r="PK60" s="198" t="n"/>
      <c r="PL60" s="198" t="n"/>
      <c r="PM60" s="198" t="n"/>
      <c r="PN60" s="198" t="n"/>
      <c r="PO60" s="198" t="n"/>
      <c r="PP60" s="198" t="n"/>
      <c r="PQ60" s="198" t="n"/>
      <c r="PR60" s="198" t="n"/>
      <c r="PS60" s="198" t="n"/>
      <c r="PT60" s="198" t="n"/>
      <c r="PU60" s="198" t="n"/>
      <c r="PV60" s="198" t="n"/>
      <c r="PW60" s="198" t="n"/>
      <c r="PX60" s="198" t="n"/>
      <c r="PY60" s="198" t="n"/>
      <c r="PZ60" s="198" t="n"/>
      <c r="QA60" s="198" t="n"/>
      <c r="QB60" s="198" t="n"/>
      <c r="QC60" s="198" t="n"/>
      <c r="QD60" s="198" t="n"/>
      <c r="QE60" s="198" t="n"/>
      <c r="QF60" s="198" t="n"/>
      <c r="QG60" s="198" t="n"/>
      <c r="QH60" s="198" t="n"/>
      <c r="QI60" s="198" t="n"/>
      <c r="QJ60" s="198" t="n"/>
      <c r="QK60" s="198" t="n"/>
      <c r="QL60" s="198" t="n"/>
      <c r="QM60" s="198" t="n"/>
      <c r="QN60" s="198" t="n"/>
      <c r="QO60" s="198" t="n"/>
      <c r="QP60" s="198" t="n"/>
      <c r="QQ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c r="PA61" s="198" t="n"/>
      <c r="PB61" s="198" t="n"/>
      <c r="PC61" s="198" t="n"/>
      <c r="PD61" s="198" t="n"/>
      <c r="PE61" s="198" t="n"/>
      <c r="PF61" s="198" t="n"/>
      <c r="PG61" s="198" t="n"/>
      <c r="PH61" s="198" t="n"/>
      <c r="PI61" s="198" t="n"/>
      <c r="PJ61" s="198" t="n"/>
      <c r="PK61" s="198" t="n"/>
      <c r="PL61" s="198" t="n"/>
      <c r="PM61" s="198" t="n"/>
      <c r="PN61" s="198" t="n"/>
      <c r="PO61" s="198" t="n"/>
      <c r="PP61" s="198" t="n"/>
      <c r="PQ61" s="198" t="n"/>
      <c r="PR61" s="198" t="n"/>
      <c r="PS61" s="198" t="n"/>
      <c r="PT61" s="198" t="n"/>
      <c r="PU61" s="198" t="n"/>
      <c r="PV61" s="198" t="n"/>
      <c r="PW61" s="198" t="n"/>
      <c r="PX61" s="198" t="n"/>
      <c r="PY61" s="198" t="n"/>
      <c r="PZ61" s="198" t="n"/>
      <c r="QA61" s="198" t="n"/>
      <c r="QB61" s="198" t="n"/>
      <c r="QC61" s="198" t="n"/>
      <c r="QD61" s="198" t="n"/>
      <c r="QE61" s="198" t="n"/>
      <c r="QF61" s="198" t="n"/>
      <c r="QG61" s="198" t="n"/>
      <c r="QH61" s="198" t="n"/>
      <c r="QI61" s="198" t="n"/>
      <c r="QJ61" s="198" t="n"/>
      <c r="QK61" s="198" t="n"/>
      <c r="QL61" s="198" t="n"/>
      <c r="QM61" s="198" t="n"/>
      <c r="QN61" s="198" t="n"/>
      <c r="QO61" s="198" t="n"/>
      <c r="QP61" s="198" t="n"/>
      <c r="QQ61" s="198" t="n"/>
      <c r="QR61" s="198" t="n"/>
      <c r="QS61" s="198" t="n"/>
      <c r="QT61" s="198" t="n"/>
      <c r="Q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c r="PE62" s="198" t="n"/>
      <c r="PF62" s="198" t="n"/>
      <c r="PG62" s="198" t="n"/>
      <c r="PH62" s="198" t="n"/>
      <c r="PI62" s="198" t="n"/>
      <c r="PJ62" s="198" t="n"/>
      <c r="PK62" s="198" t="n"/>
      <c r="PL62" s="198" t="n"/>
      <c r="PM62" s="198" t="n"/>
      <c r="PN62" s="198" t="n"/>
      <c r="PO62" s="198" t="n"/>
      <c r="PP62" s="198" t="n"/>
      <c r="PQ62" s="198" t="n"/>
      <c r="PR62" s="198" t="n"/>
      <c r="PS62" s="198" t="n"/>
      <c r="PT62" s="198" t="n"/>
      <c r="PU62" s="198" t="n"/>
      <c r="PV62" s="198" t="n"/>
      <c r="PW62" s="198" t="n"/>
      <c r="PX62" s="198" t="n"/>
      <c r="PY62" s="198" t="n"/>
      <c r="PZ62" s="198" t="n"/>
      <c r="QA62" s="198" t="n"/>
      <c r="QB62" s="198" t="n"/>
      <c r="QC62" s="198" t="n"/>
      <c r="QD62" s="198" t="n"/>
      <c r="QE62" s="198" t="n"/>
      <c r="QF62" s="198" t="n"/>
      <c r="QG62" s="198" t="n"/>
      <c r="QH62" s="198" t="n"/>
      <c r="QI62" s="198" t="n"/>
      <c r="QJ62" s="198" t="n"/>
      <c r="QK62" s="198" t="n"/>
      <c r="QL62" s="198" t="n"/>
      <c r="QM62" s="198" t="n"/>
      <c r="QN62" s="198" t="n"/>
      <c r="QO62" s="198" t="n"/>
      <c r="QP62" s="198" t="n"/>
      <c r="QQ62" s="198" t="n"/>
      <c r="QR62" s="198" t="n"/>
      <c r="QS62" s="198" t="n"/>
      <c r="QT62" s="198" t="n"/>
      <c r="QU62" s="198" t="n"/>
      <c r="QV62" s="198" t="n"/>
      <c r="QW62" s="198" t="n"/>
      <c r="QX62" s="198" t="n"/>
      <c r="QY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c r="PI63" s="198" t="n"/>
      <c r="PJ63" s="198" t="n"/>
      <c r="PK63" s="198" t="n"/>
      <c r="PL63" s="198" t="n"/>
      <c r="PM63" s="198" t="n"/>
      <c r="PN63" s="198" t="n"/>
      <c r="PO63" s="198" t="n"/>
      <c r="PP63" s="198" t="n"/>
      <c r="PQ63" s="198" t="n"/>
      <c r="PR63" s="198" t="n"/>
      <c r="PS63" s="198" t="n"/>
      <c r="PT63" s="198" t="n"/>
      <c r="PU63" s="198" t="n"/>
      <c r="PV63" s="198" t="n"/>
      <c r="PW63" s="198" t="n"/>
      <c r="PX63" s="198" t="n"/>
      <c r="PY63" s="198" t="n"/>
      <c r="PZ63" s="198" t="n"/>
      <c r="QA63" s="198" t="n"/>
      <c r="QB63" s="198" t="n"/>
      <c r="QC63" s="198" t="n"/>
      <c r="QD63" s="198" t="n"/>
      <c r="QE63" s="198" t="n"/>
      <c r="QF63" s="198" t="n"/>
      <c r="QG63" s="198" t="n"/>
      <c r="QH63" s="198" t="n"/>
      <c r="QI63" s="198" t="n"/>
      <c r="QJ63" s="198" t="n"/>
      <c r="QK63" s="198" t="n"/>
      <c r="QL63" s="198" t="n"/>
      <c r="QM63" s="198" t="n"/>
      <c r="QN63" s="198" t="n"/>
      <c r="QO63" s="198" t="n"/>
      <c r="QP63" s="198" t="n"/>
      <c r="QQ63" s="198" t="n"/>
      <c r="QR63" s="198" t="n"/>
      <c r="QS63" s="198" t="n"/>
      <c r="QT63" s="198" t="n"/>
      <c r="QU63" s="198" t="n"/>
      <c r="QV63" s="198" t="n"/>
      <c r="QW63" s="198" t="n"/>
      <c r="QX63" s="198" t="n"/>
      <c r="QY63" s="198" t="n"/>
      <c r="QZ63" s="198" t="n"/>
      <c r="RA63" s="198" t="n"/>
      <c r="RB63" s="198" t="n"/>
      <c r="RC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c r="PM64" s="198" t="n"/>
      <c r="PN64" s="198" t="n"/>
      <c r="PO64" s="198" t="n"/>
      <c r="PP64" s="198" t="n"/>
      <c r="PQ64" s="198" t="n"/>
      <c r="PR64" s="198" t="n"/>
      <c r="PS64" s="198" t="n"/>
      <c r="PT64" s="198" t="n"/>
      <c r="PU64" s="198" t="n"/>
      <c r="PV64" s="198" t="n"/>
      <c r="PW64" s="198" t="n"/>
      <c r="PX64" s="198" t="n"/>
      <c r="PY64" s="198" t="n"/>
      <c r="PZ64" s="198" t="n"/>
      <c r="QA64" s="198" t="n"/>
      <c r="QB64" s="198" t="n"/>
      <c r="QC64" s="198" t="n"/>
      <c r="QD64" s="198" t="n"/>
      <c r="QE64" s="198" t="n"/>
      <c r="QF64" s="198" t="n"/>
      <c r="QG64" s="198" t="n"/>
      <c r="QH64" s="198" t="n"/>
      <c r="QI64" s="198" t="n"/>
      <c r="QJ64" s="198" t="n"/>
      <c r="QK64" s="198" t="n"/>
      <c r="QL64" s="198" t="n"/>
      <c r="QM64" s="198" t="n"/>
      <c r="QN64" s="198" t="n"/>
      <c r="QO64" s="198" t="n"/>
      <c r="QP64" s="198" t="n"/>
      <c r="QQ64" s="198" t="n"/>
      <c r="QR64" s="198" t="n"/>
      <c r="QS64" s="198" t="n"/>
      <c r="QT64" s="198" t="n"/>
      <c r="QU64" s="198" t="n"/>
      <c r="QV64" s="198" t="n"/>
      <c r="QW64" s="198" t="n"/>
      <c r="QX64" s="198" t="n"/>
      <c r="QY64" s="198" t="n"/>
      <c r="QZ64" s="198" t="n"/>
      <c r="RA64" s="198" t="n"/>
      <c r="RB64" s="198" t="n"/>
      <c r="RC64" s="198" t="n"/>
      <c r="RD64" s="198" t="n"/>
      <c r="RE64" s="198" t="n"/>
      <c r="RF64" s="198" t="n"/>
      <c r="RG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c r="PQ65" s="198" t="n"/>
      <c r="PR65" s="198" t="n"/>
      <c r="PS65" s="198" t="n"/>
      <c r="PT65" s="198" t="n"/>
      <c r="PU65" s="198" t="n"/>
      <c r="PV65" s="198" t="n"/>
      <c r="PW65" s="198" t="n"/>
      <c r="PX65" s="198" t="n"/>
      <c r="PY65" s="198" t="n"/>
      <c r="PZ65" s="198" t="n"/>
      <c r="QA65" s="198" t="n"/>
      <c r="QB65" s="198" t="n"/>
      <c r="QC65" s="198" t="n"/>
      <c r="QD65" s="198" t="n"/>
      <c r="QE65" s="198" t="n"/>
      <c r="QF65" s="198" t="n"/>
      <c r="QG65" s="198" t="n"/>
      <c r="QH65" s="198" t="n"/>
      <c r="QI65" s="198" t="n"/>
      <c r="QJ65" s="198" t="n"/>
      <c r="QK65" s="198" t="n"/>
      <c r="QL65" s="198" t="n"/>
      <c r="QM65" s="198" t="n"/>
      <c r="QN65" s="198" t="n"/>
      <c r="QO65" s="198" t="n"/>
      <c r="QP65" s="198" t="n"/>
      <c r="QQ65" s="198" t="n"/>
      <c r="QR65" s="198" t="n"/>
      <c r="QS65" s="198" t="n"/>
      <c r="QT65" s="198" t="n"/>
      <c r="QU65" s="198" t="n"/>
      <c r="QV65" s="198" t="n"/>
      <c r="QW65" s="198" t="n"/>
      <c r="QX65" s="198" t="n"/>
      <c r="QY65" s="198" t="n"/>
      <c r="QZ65" s="198" t="n"/>
      <c r="RA65" s="198" t="n"/>
      <c r="RB65" s="198" t="n"/>
      <c r="RC65" s="198" t="n"/>
      <c r="RD65" s="198" t="n"/>
      <c r="RE65" s="198" t="n"/>
      <c r="RF65" s="198" t="n"/>
      <c r="RG65" s="198" t="n"/>
      <c r="RH65" s="198" t="n"/>
      <c r="RI65" s="198" t="n"/>
      <c r="RJ65" s="198" t="n"/>
      <c r="RK65" s="198"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JC38"/>
  <sheetViews>
    <sheetView showGridLines="1" view="pageBreakPreview" zoomScale="55" zoomScaleNormal="70" zoomScaleSheetLayoutView="55" workbookViewId="0">
      <pane xSplit="4" ySplit="1" topLeftCell="E2" activePane="bottomRight" state="frozen"/>
      <selection pane="topRight" activeCell="A1" sqref="A1"/>
      <selection pane="bottomLeft" activeCell="A1" sqref="A1"/>
      <selection pane="bottomRight" activeCell="C3" sqref="C3"/>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2" min="7" max="7"/>
    <col width="14" customWidth="1" style="75" min="8" max="8"/>
    <col width="14" customWidth="1" style="2" min="9" max="9"/>
    <col width="38" customWidth="1" style="75" min="10" max="10"/>
    <col width="54" customWidth="1" style="1" min="11" max="11"/>
    <col width="30" customWidth="1" style="75" min="12" max="12"/>
    <col width="36" customWidth="1" style="1" min="13" max="13"/>
    <col width="24" customWidth="1" style="75" min="14" max="14"/>
    <col width="36" customWidth="1" style="72" min="15" max="15"/>
    <col width="24" customWidth="1" style="1" min="16" max="16"/>
    <col width="36" customWidth="1" style="72" min="17" max="17"/>
    <col width="24" customWidth="1" style="72" min="18" max="18"/>
    <col width="16" customWidth="1" style="1"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row>
    <row r="2" ht="52" customHeight="1" s="147">
      <c r="A2" s="199" t="inlineStr">
        <is>
          <t>9000</t>
        </is>
      </c>
      <c r="B2" s="199" t="inlineStr">
        <is>
          <t>9000-7</t>
        </is>
      </c>
      <c r="C2" s="199" t="inlineStr">
        <is>
          <t>신호분야</t>
        </is>
      </c>
      <c r="D2" s="199" t="inlineStr">
        <is>
          <t>9000-7-1</t>
        </is>
      </c>
      <c r="E2" s="200" t="inlineStr">
        <is>
          <t>-</t>
        </is>
      </c>
      <c r="F2" s="200" t="inlineStr">
        <is>
          <t>9000-7-2</t>
        </is>
      </c>
      <c r="G2" s="155"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H2" s="227" t="inlineStr">
        <is>
          <t>설계적정성 및 시공성 검토
설계오류 확인 및 수량, 내역의 오류확인</t>
        </is>
      </c>
      <c r="I2" s="200" t="inlineStr">
        <is>
          <t>회의록, 설계검토보고서</t>
        </is>
      </c>
      <c r="J2" s="156"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213">
        <f>HYPERLINK(LEFT(CELL("filename",A1),FIND("[",CELL("filename",A1))-1)&amp;"매뉴얼BODY(집행단계-첨부폴더)v8\7.신호분야\1_설계적정성 검토\표준서\설계적정성 검토_표준서.html", "👉 [클릭] 표준서 열기 📄")</f>
        <v/>
      </c>
      <c r="L2" s="156" t="inlineStr">
        <is>
          <t>1) 입찰 요구사항 상의 기술 스펙 및 자재 규격을 시방서와 사전 대조하십시오.
2) 분산형 CBI 및 선로전환기 용량의 현장 시공성 및 원가 Risk를 철저히 검토하여 승인을 획득하십시오.</t>
        </is>
      </c>
      <c r="M2" s="213">
        <f>HYPERLINK(LEFT(CELL("filename",A1),FIND("[",CELL("filename",A1))-1)&amp;"매뉴얼BODY(집행단계-첨부폴더)v8\7.신호분야\1_설계적정성 검토\수행지침\LTE-R_무선_AP를_통한_신호_제어_데이터_송수신_레벨_상세절차서.html", "👉 [클릭] 수행지침 열기 📄")</f>
        <v/>
      </c>
      <c r="N2" s="201" t="inlineStr">
        <is>
          <t>1) 입찰 안내서 상의 SIL 4 등급 및 무선지연(≤100ms) 사양이 설계 도서에 반영되었는가?
2) 철도 표준 자재(KRS) 규격 및 매립 선로전환기 전환력(4.5~6.0kN) 기준을 적격 확인하였는가?</t>
        </is>
      </c>
      <c r="O2" s="213">
        <f>HYPERLINK(LEFT(CELL("filename",A1),FIND("[",CELL("filename",A1))-1)&amp;"매뉴얼BODY(집행단계-첨부폴더)v8\7.신호분야\1_설계적정성 검토\체크리스트\설계적정성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row>
    <row r="3" ht="52" customHeight="1" s="147">
      <c r="A3" s="204" t="inlineStr">
        <is>
          <t>9000</t>
        </is>
      </c>
      <c r="B3" s="204" t="inlineStr">
        <is>
          <t>9000-7</t>
        </is>
      </c>
      <c r="C3" s="204" t="inlineStr">
        <is>
          <t>신호분야</t>
        </is>
      </c>
      <c r="D3" s="204" t="inlineStr">
        <is>
          <t>9000-7-2</t>
        </is>
      </c>
      <c r="E3" s="205" t="inlineStr">
        <is>
          <t>9000-7-1</t>
        </is>
      </c>
      <c r="F3" s="205" t="inlineStr">
        <is>
          <t>9000-7-3</t>
        </is>
      </c>
      <c r="G3" s="162"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H3" s="228" t="inlineStr">
        <is>
          <t>신호(트램신호, 도로신호)공사 발주 전 착수수립
신호공사 발주전략 수립
발주조건 CP 사항 검토</t>
        </is>
      </c>
      <c r="I3" s="205" t="inlineStr">
        <is>
          <t>본사 외주/수행/협의 부서, 착수 KOM 결과보고서, 현장설명서</t>
        </is>
      </c>
      <c r="J3" s="163"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217">
        <f>HYPERLINK(LEFT(CELL("filename",A1),FIND("[",CELL("filename",A1))-1)&amp;"매뉴얼BODY(집행단계-첨부폴더)v8\7.신호분야\2_착수준비 KOM\표준서\착수준비 KOM_표준서.html", "👉 [클릭] 표준서 열기 📄")</f>
        <v/>
      </c>
      <c r="L3" s="163"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217">
        <f>HYPERLINK(LEFT(CELL("filename",A1),FIND("[",CELL("filename",A1))-1)&amp;"매뉴얼BODY(집행단계-첨부폴더)v8\7.신호분야\2_착수준비 KOM\수행지침\LTE-R_무선_AP를_통한_신호_제어_데이터_송수신_레벨_상세절차서.html", "👉 [클릭] 수행지침 열기 📄")</f>
        <v/>
      </c>
      <c r="N3" s="206" t="inlineStr">
        <is>
          <t>1) 신호공사 발주 조건 CP 사항 및 하자발생 리스크 사전 검토 수칙을 수행하였는가?
2) 적격 업체 Pool 검토 및 내역 누락 방지 조치, SIL 인증 보유 여부를 확인하였는가?</t>
        </is>
      </c>
      <c r="O3" s="217">
        <f>HYPERLINK(LEFT(CELL("filename",A1),FIND("[",CELL("filename",A1))-1)&amp;"매뉴얼BODY(집행단계-첨부폴더)v8\7.신호분야\2_착수준비 KOM\체크리스트\착수준비 KOM_체크리스트.html", "👉 [클릭] 체크리스트 열기 📄")</f>
        <v/>
      </c>
      <c r="P3" s="207" t="n"/>
      <c r="Q3" s="163" t="n"/>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row>
    <row r="4" ht="52" customHeight="1" s="147">
      <c r="A4" s="199" t="inlineStr">
        <is>
          <t>9000</t>
        </is>
      </c>
      <c r="B4" s="199" t="inlineStr">
        <is>
          <t>9000-7</t>
        </is>
      </c>
      <c r="C4" s="199" t="inlineStr">
        <is>
          <t>신호분야</t>
        </is>
      </c>
      <c r="D4" s="199" t="inlineStr">
        <is>
          <t>9000-7-3</t>
        </is>
      </c>
      <c r="E4" s="200" t="inlineStr">
        <is>
          <t>9000-7-2</t>
        </is>
      </c>
      <c r="F4" s="200" t="inlineStr">
        <is>
          <t>9000-7-4</t>
        </is>
      </c>
      <c r="G4" s="155"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H4" s="200" t="inlineStr">
        <is>
          <t>신규공사 수행 시, 선행공정 간섭 및 공종 Risk에 대해 대책 수립</t>
        </is>
      </c>
      <c r="I4" s="200" t="inlineStr">
        <is>
          <t>Big Room 회의록(지침 전파 서명)</t>
        </is>
      </c>
      <c r="J4" s="156"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213">
        <f>HYPERLINK(LEFT(CELL("filename",A1),FIND("[",CELL("filename",A1))-1)&amp;"매뉴얼BODY(집행단계-첨부폴더)v8\7.신호분야\3_착수전 Big Room 회의\표준서\착수전 Big Room 회의_표준서.html", "👉 [클릭] 표준서 열기 📄")</f>
        <v/>
      </c>
      <c r="L4" s="156" t="inlineStr">
        <is>
          <t>1) 신규공사 수행 시 선행공정 간섭 및 공종 Risk 대책 회의를 주관하십시오.
2) 궤도 시공 전 블록아웃 및 선로전환기 설치 I/F에 대해 각 분야 담당자와의 협의록을 작성하십시오.</t>
        </is>
      </c>
      <c r="M4" s="213">
        <f>HYPERLINK(LEFT(CELL("filename",A1),FIND("[",CELL("filename",A1))-1)&amp;"매뉴얼BODY(집행단계-첨부폴더)v8\7.신호분야\3_착수전 Big Room 회의\수행지침\LTE-R_무선_AP를_통한_신호_제어_데이터_송수신_레벨_상세절차서.html", "👉 [클릭] 수행지침 열기 📄")</f>
        <v/>
      </c>
      <c r="N4" s="201" t="inlineStr">
        <is>
          <t>1) 본사 및 분야별(토목/궤도/전기/건축/통신) 세부설계 인터페이스를 검토하였는가?
2) 궤도 시공 전 블록아웃 및 차축검지기 설치 I/F 사전 대책을 수립하였는가?</t>
        </is>
      </c>
      <c r="O4" s="213">
        <f>HYPERLINK(LEFT(CELL("filename",A1),FIND("[",CELL("filename",A1))-1)&amp;"매뉴얼BODY(집행단계-첨부폴더)v8\7.신호분야\3_착수전 Big Room 회의\체크리스트\착수전 Big Room 회의_체크리스트.html", "👉 [클릭] 체크리스트 열기 📄")</f>
        <v/>
      </c>
      <c r="P4" s="202" t="n"/>
      <c r="Q4" s="156" t="n"/>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row>
    <row r="5" ht="52" customHeight="1" s="147">
      <c r="A5" s="204" t="inlineStr">
        <is>
          <t>9000</t>
        </is>
      </c>
      <c r="B5" s="204" t="inlineStr">
        <is>
          <t>9000-7</t>
        </is>
      </c>
      <c r="C5" s="204" t="inlineStr">
        <is>
          <t>신호분야</t>
        </is>
      </c>
      <c r="D5" s="204" t="inlineStr">
        <is>
          <t>9000-7-4</t>
        </is>
      </c>
      <c r="E5" s="205" t="inlineStr">
        <is>
          <t>9000-7-3</t>
        </is>
      </c>
      <c r="F5" s="205" t="inlineStr">
        <is>
          <t>9000-7-5</t>
        </is>
      </c>
      <c r="G5"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5" s="228" t="inlineStr">
        <is>
          <t>완벽한 시스템 조율 및 인터페이스 협의</t>
        </is>
      </c>
      <c r="I5" s="205" t="inlineStr">
        <is>
          <t>인터페이스 회의록 및 관리대장</t>
        </is>
      </c>
      <c r="J5" s="163" t="inlineStr">
        <is>
          <t>1) 시스템 조율(WBS 9000-1-4)을 위해 전기/통신/건축/도로/궤도/차량 분야 간 시공 인터페이스를 조율하라.
2) 궤도 시공 전 블록아웃, 배수로, 융설장치, 차축검지기 설치 I/F 승인서를 완수하라.</t>
        </is>
      </c>
      <c r="K5" s="217">
        <f>HYPERLINK(LEFT(CELL("filename",A1),FIND("[",CELL("filename",A1))-1)&amp;"매뉴얼BODY(집행단계-첨부폴더)v8\7.신호분야\4_전기 _ 통신 _ PSD _ 차량 인터페이스 협의\표준서\전기 _ 통신 _ PSD _ 차량 인터페이스 협의_표준서.html", "👉 [클릭] 표준서 열기 📄")</f>
        <v/>
      </c>
      <c r="L5" s="163" t="inlineStr">
        <is>
          <t>1) 토목/궤도 단계별 시공계획을 확인하고 기계실 배선 및 현장 장치 설치 I/F를 조율하십시오.
2) 차축검지기 및 융설장치 체결 부위의 치수 적정성을 서면으로 확인하십시오.</t>
        </is>
      </c>
      <c r="M5" s="217">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206" t="inlineStr">
        <is>
          <t>1) 토목/궤도 시공 전 블록아웃 및 배수로 설치 I/F를 사전 확인하였는가?
2) 차량기지 및 본선 선로전환기/차축검지기 체결 인터페이스를 조율하였는가?</t>
        </is>
      </c>
      <c r="O5" s="217">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207" t="n"/>
      <c r="Q5" s="163" t="n"/>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row>
    <row r="6" ht="52" customHeight="1" s="147">
      <c r="A6" s="199" t="inlineStr">
        <is>
          <t>9000</t>
        </is>
      </c>
      <c r="B6" s="199" t="inlineStr">
        <is>
          <t>9000-7</t>
        </is>
      </c>
      <c r="C6" s="199" t="inlineStr">
        <is>
          <t>신호분야</t>
        </is>
      </c>
      <c r="D6" s="199" t="inlineStr">
        <is>
          <t>9000-7-5</t>
        </is>
      </c>
      <c r="E6" s="200" t="inlineStr">
        <is>
          <t>9000-7-4</t>
        </is>
      </c>
      <c r="F6" s="200" t="inlineStr">
        <is>
          <t>9000-7-6</t>
        </is>
      </c>
      <c r="G6" s="155"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H6" s="227" t="inlineStr">
        <is>
          <t>선로선형 설계를 위한 사전조정 및 트램 운행 최적화</t>
        </is>
      </c>
      <c r="I6" s="200" t="inlineStr">
        <is>
          <t>궤도/신호 요구사항 및 회의록</t>
        </is>
      </c>
      <c r="J6" s="156" t="inlineStr">
        <is>
          <t>1) 도로/궤도 I/F(WBS 9000-1-5) 달성을 위해 선로선형 및 궤도 분기기 통과 요구사항을 검토하라.
2) 도심 매립 궤도용 선로전환기(전환력 4.5~6.0kN, 유격 ≤1.5mm) 설치 조건 및 유관기관 피드백을 반영하라.</t>
        </is>
      </c>
      <c r="K6" s="213">
        <f>HYPERLINK(LEFT(CELL("filename",A1),FIND("[",CELL("filename",A1))-1)&amp;"매뉴얼BODY(집행단계-첨부폴더)v8\7.신호분야\5_도로 _ 궤도 인터페이스 협의\표준서\도로 _ 궤도 인터페이스 협의_표준서.html", "👉 [클릭] 표준서 열기 📄")</f>
        <v/>
      </c>
      <c r="L6" s="156" t="inlineStr">
        <is>
          <t>1) 유관기관 피드백 수렴 및 궤도 분기기 통과 요구사항을 사전 조정하십시오.
2) 도로 교차로 노면 매립 궤도 시공계획과 선로전환기 설치 위치 적정성을 확인하십시오.</t>
        </is>
      </c>
      <c r="M6" s="213">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201" t="inlineStr">
        <is>
          <t>1) 궤도 분기기 통과 요구사항 및 선로선형 사전조정 결과를 확인하였는가?
2) 노면 매립형 선로전환기(전환력 4.5~6.0kN, 유격 ≤1.5mm) 시공조건을 검토하였는가?</t>
        </is>
      </c>
      <c r="O6" s="213">
        <f>HYPERLINK(LEFT(CELL("filename",A1),FIND("[",CELL("filename",A1))-1)&amp;"매뉴얼BODY(집행단계-첨부폴더)v8\7.신호분야\5_도로 _ 궤도 인터페이스 협의\체크리스트\도로 _ 궤도 인터페이스 협의_체크리스트.html", "👉 [클릭] 체크리스트 열기 📄")</f>
        <v/>
      </c>
      <c r="P6" s="202" t="n"/>
      <c r="Q6" s="156" t="n"/>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row>
    <row r="7" ht="52" customHeight="1" s="147">
      <c r="A7" s="204" t="inlineStr">
        <is>
          <t>9000</t>
        </is>
      </c>
      <c r="B7" s="204" t="inlineStr">
        <is>
          <t>9000-7</t>
        </is>
      </c>
      <c r="C7" s="204" t="inlineStr">
        <is>
          <t>신호분야</t>
        </is>
      </c>
      <c r="D7" s="204" t="inlineStr">
        <is>
          <t>9000-7-6</t>
        </is>
      </c>
      <c r="E7" s="205" t="inlineStr">
        <is>
          <t>9000-7-5</t>
        </is>
      </c>
      <c r="F7" s="205" t="inlineStr">
        <is>
          <t>9000-7-7</t>
        </is>
      </c>
      <c r="G7"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7" s="228" t="inlineStr">
        <is>
          <t>시스템의 설계 보완 검토를 진행하고 완벽한 연계를 위한 설계</t>
        </is>
      </c>
      <c r="I7" s="205" t="inlineStr">
        <is>
          <t>인터페이스 보고서 및 인터페이스 회의록</t>
        </is>
      </c>
      <c r="J7" s="163" t="inlineStr">
        <is>
          <t>1) 시공전 인터페이스(WBS 9000-1-6)를 통해 시스템 설계 보완 및 연계 방안을 정밀 검토하라.
2) 배관배선 인입구, 구조물 간섭 및 궤도 시공 전 설치 항목을 개시 전 차단하라.</t>
        </is>
      </c>
      <c r="K7" s="217">
        <f>HYPERLINK(LEFT(CELL("filename",A1),FIND("[",CELL("filename",A1))-1)&amp;"매뉴얼BODY(집행단계-첨부폴더)v8\7.신호분야\6_시공전 인터페이스 협의\표준서\시공전 인터페이스 협의_표준서.html", "👉 [클릭] 표준서 열기 📄")</f>
        <v/>
      </c>
      <c r="L7" s="163" t="inlineStr">
        <is>
          <t>1) 시스템 설계 보완검토를 통해 연계 시공 시 발생 가능한 간섭을 사전에 제거하십시오.
2) 궤도 시공 전 블록아웃 및 케이블 인입 배관의 간섭 여부를 정밀 확인하십시오.</t>
        </is>
      </c>
      <c r="M7" s="217">
        <f>HYPERLINK(LEFT(CELL("filename",A1),FIND("[",CELL("filename",A1))-1)&amp;"매뉴얼BODY(집행단계-첨부폴더)v8\7.신호분야\6_시공전 인터페이스 협의\수행지침\LTE-R_무선_AP를_통한_신호_제어_데이터_송수신_레벨_상세절차서.html", "👉 [클릭] 수행지침 열기 📄")</f>
        <v/>
      </c>
      <c r="N7" s="206" t="inlineStr">
        <is>
          <t>1) 시스템 설계 보완 검토를 통해 연계 설치 방안을 확정하였는가?
2) 케이블 인입 배관 및 궤도 블록아웃 간섭을 사전 제거하였는가?</t>
        </is>
      </c>
      <c r="O7" s="217">
        <f>HYPERLINK(LEFT(CELL("filename",A1),FIND("[",CELL("filename",A1))-1)&amp;"매뉴얼BODY(집행단계-첨부폴더)v8\7.신호분야\6_시공전 인터페이스 협의\체크리스트\시공전 인터페이스 협의_체크리스트.html", "👉 [클릭] 체크리스트 열기 📄")</f>
        <v/>
      </c>
      <c r="P7" s="207" t="n"/>
      <c r="Q7" s="163" t="n"/>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row>
    <row r="8" ht="52" customHeight="1" s="147">
      <c r="A8" s="199" t="inlineStr">
        <is>
          <t>9000</t>
        </is>
      </c>
      <c r="B8" s="199" t="inlineStr">
        <is>
          <t>9000-7</t>
        </is>
      </c>
      <c r="C8" s="199" t="inlineStr">
        <is>
          <t>신호분야</t>
        </is>
      </c>
      <c r="D8" s="199" t="inlineStr">
        <is>
          <t>9000-7-7</t>
        </is>
      </c>
      <c r="E8" s="200" t="inlineStr">
        <is>
          <t>9000-7-6</t>
        </is>
      </c>
      <c r="F8" s="200" t="inlineStr">
        <is>
          <t>9000-7-8</t>
        </is>
      </c>
      <c r="G8" s="155" t="inlineStr">
        <is>
          <t>- 성능보증 기능성 신호자재 단품 Spec 검토
- 제조사 자체 시험 및 인증 확인
- 설치 시공대장 및 제작도서 승인 서명</t>
        </is>
      </c>
      <c r="H8" s="200" t="inlineStr">
        <is>
          <t>완벽한 시스템 연계 및 동작성 확보를 위한 가이드라인 제공</t>
        </is>
      </c>
      <c r="I8" s="200" t="inlineStr">
        <is>
          <t>자체 검증서 및 제작도서 승인 서류</t>
        </is>
      </c>
      <c r="J8" s="156" t="inlineStr">
        <is>
          <t>1) 장비 사전검토(WBS 9000-1-7)를 위해 기능성 신호자재 단품 Spec 및 성능보증 사양을 검토하라.
2) 제조사 자체 시험 성적서, KRS 표준 규격 및 제작도서 승인 서명을 완수하라.</t>
        </is>
      </c>
      <c r="K8" s="213">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56" t="inlineStr">
        <is>
          <t>1) 신호자재 단품 Spec 검토 및 제조사 자체 시험성적서를 확인하십시오.
2) 제작도서 승인 서명 및 현장 투입 전 성능보증 기능을 검증하십시오.</t>
        </is>
      </c>
      <c r="M8" s="213">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201" t="inlineStr">
        <is>
          <t>1) 성능보증 기능성 신호자재 단품 Spec 검토를 완료하였는가?
2) 제조사 공장검수 성적서 및 제작도서 승인 서명을 확인하였는가?</t>
        </is>
      </c>
      <c r="O8" s="213">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202" t="n"/>
      <c r="Q8" s="156" t="n"/>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row>
    <row r="9" ht="52" customHeight="1" s="147">
      <c r="A9" s="204" t="inlineStr">
        <is>
          <t>9000</t>
        </is>
      </c>
      <c r="B9" s="204" t="inlineStr">
        <is>
          <t>9000-7</t>
        </is>
      </c>
      <c r="C9" s="204" t="inlineStr">
        <is>
          <t>신호분야</t>
        </is>
      </c>
      <c r="D9" s="204" t="inlineStr">
        <is>
          <t>9000-7-8</t>
        </is>
      </c>
      <c r="E9" s="205" t="inlineStr">
        <is>
          <t>9000-7-7</t>
        </is>
      </c>
      <c r="F9" s="205" t="inlineStr">
        <is>
          <t>9000-7-9</t>
        </is>
      </c>
      <c r="G9" s="162"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H9" s="228" t="inlineStr">
        <is>
          <t>관제 및 운영사 요구사항 사전 반영 및 시공신뢰 확보</t>
        </is>
      </c>
      <c r="I9" s="205" t="inlineStr">
        <is>
          <t>인터페이스 회의록 및 관리대장</t>
        </is>
      </c>
      <c r="J9" s="163" t="inlineStr">
        <is>
          <t>1) 관제/운영사 I/F(WBS 9000-1-8) 달성을 위해 종합관제실(OCC) 요구사항을 시공 전 반영하라.
2) 철도관제를 위한 관제사 조작반 MMI 및 예비관제 1:1 실시간 DB 동기화를 검증하라.</t>
        </is>
      </c>
      <c r="K9" s="217">
        <f>HYPERLINK(LEFT(CELL("filename",A1),FIND("[",CELL("filename",A1))-1)&amp;"매뉴얼BODY(집행단계-첨부폴더)v8\7.신호분야\8_관제 및 운영사 인터페이스 협의\표준서\관제 및 운영사 인터페이스 협의_표준서.html", "👉 [클릭] 표준서 열기 📄")</f>
        <v/>
      </c>
      <c r="L9" s="163" t="inlineStr">
        <is>
          <t>1) 관제 및 운영사 실무 조율을 거쳐 시운전 시 예비사항 및 조작반 화면표시 정보를 도출하십시오.
2) 관제센터 MMI 화면 및 조작반 정보의 실시간 동기화 상태를 확인하십시오.</t>
        </is>
      </c>
      <c r="M9" s="217">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206" t="inlineStr">
        <is>
          <t>1) 시운전 시 조율사항 및 예비사항 도출을 완료하였는가?
2) 철도관제를 위한 관제사 조작반 MMI 표시 정보를 사전 검토하였는가?</t>
        </is>
      </c>
      <c r="O9" s="217">
        <f>HYPERLINK(LEFT(CELL("filename",A1),FIND("[",CELL("filename",A1))-1)&amp;"매뉴얼BODY(집행단계-첨부폴더)v8\7.신호분야\8_관제 및 운영사 인터페이스 협의\체크리스트\관제 및 운영사 인터페이스 협의_체크리스트.html", "👉 [클릭] 체크리스트 열기 📄")</f>
        <v/>
      </c>
      <c r="P9" s="207" t="n"/>
      <c r="Q9" s="163" t="n"/>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row>
    <row r="10" ht="52" customHeight="1" s="147">
      <c r="A10" s="199" t="inlineStr">
        <is>
          <t>9000</t>
        </is>
      </c>
      <c r="B10" s="199" t="inlineStr">
        <is>
          <t>9000-7</t>
        </is>
      </c>
      <c r="C10" s="199" t="inlineStr">
        <is>
          <t>신호분야</t>
        </is>
      </c>
      <c r="D10" s="199" t="inlineStr">
        <is>
          <t>9000-7-9</t>
        </is>
      </c>
      <c r="E10" s="200" t="inlineStr">
        <is>
          <t>9000-7-8</t>
        </is>
      </c>
      <c r="F10" s="200" t="inlineStr">
        <is>
          <t>9000-7-10</t>
        </is>
      </c>
      <c r="G10" s="155"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H10" s="200" t="inlineStr">
        <is>
          <t>자재/인원/장비 투입 계획 수립</t>
        </is>
      </c>
      <c r="I10" s="200" t="inlineStr">
        <is>
          <t>세부 공정계획 수립 및 보고</t>
        </is>
      </c>
      <c r="J10" s="156" t="inlineStr">
        <is>
          <t>1) 자재/인원/장비 계획(WBS 9000-1-9) 수립을 위해 현장 수량 기준 투입 계획을 승인하라.
2) 현장 여건 및 궤도 시공계획 맞춤형 투입 schedule 작성 및 수급 조정을 완수하라.</t>
        </is>
      </c>
      <c r="K10" s="213">
        <f>HYPERLINK(LEFT(CELL("filename",A1),FIND("[",CELL("filename",A1))-1)&amp;"매뉴얼BODY(집행단계-첨부폴더)v8\7.신호분야\9_자재 _ 인원 _ 장비 및 투입 사전 검토\표준서\자재 _ 인원 _ 장비 및 투입 사전 검토_표준서.html", "👉 [클릭] 표준서 열기 📄")</f>
        <v/>
      </c>
      <c r="L10" s="156" t="inlineStr">
        <is>
          <t>1) 현장 여건 및 수량을 기준으로 투입 인원, 장비 계획서를 작성하여 감리단 승인을 받으십시오.
2) 궤도 시공계획과 연계된 자재 반입 및 작업원 투입 스케줄을 조정하십시오.</t>
        </is>
      </c>
      <c r="M10" s="213">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201" t="inlineStr">
        <is>
          <t>1) 현장 수량 기준 투입 인원 및 장비 계획 규명서를 작성하였는가?
2) 궤도 시공계획 연계 투입 스케줄 감리단 승인을 획득하였는가?</t>
        </is>
      </c>
      <c r="O10" s="213">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202" t="n"/>
      <c r="Q10" s="156" t="n"/>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row>
    <row r="11" ht="52" customHeight="1" s="147">
      <c r="A11" s="204" t="inlineStr">
        <is>
          <t>9000</t>
        </is>
      </c>
      <c r="B11" s="204" t="inlineStr">
        <is>
          <t>9000-7</t>
        </is>
      </c>
      <c r="C11" s="204" t="inlineStr">
        <is>
          <t>신호분야</t>
        </is>
      </c>
      <c r="D11" s="204" t="inlineStr">
        <is>
          <t>9000-7-10</t>
        </is>
      </c>
      <c r="E11" s="205" t="inlineStr">
        <is>
          <t>9000-7-9</t>
        </is>
      </c>
      <c r="F11" s="205" t="inlineStr">
        <is>
          <t>9000-7-11</t>
        </is>
      </c>
      <c r="G11" s="162" t="inlineStr">
        <is>
          <t>- 도로 굴착장비, 고속작업 시 사용할 장비, 인양장비등 관련 장비 계획 검토
- 장비 spec 확인, 장비 성능 점검
- 작업원 안전교육 실시</t>
        </is>
      </c>
      <c r="H11" s="228" t="inlineStr">
        <is>
          <t>장비 반입 준비 및 안전교육 완료</t>
        </is>
      </c>
      <c r="I11" s="205" t="inlineStr">
        <is>
          <t>측정기록서, 안전교육 결과서</t>
        </is>
      </c>
      <c r="J11" s="163" t="inlineStr">
        <is>
          <t>1) 장비안전(WBS 9000-1-10) 확보를 위해 굴착/고속작업/인양 장비 Spec 점검 및 성능 검사를 시행하라.
2) 작업원 특별 안전교육 및 위험성평가 이행 확인서를 승인 완수하라.</t>
        </is>
      </c>
      <c r="K11" s="217">
        <f>HYPERLINK(LEFT(CELL("filename",A1),FIND("[",CELL("filename",A1))-1)&amp;"매뉴얼BODY(집행단계-첨부폴더)v8\7.신호분야\10_장비반입 및 안전교육\표준서\장비반입 및 안전교육_표준서.html", "👉 [클릭] 표준서 열기 📄")</f>
        <v/>
      </c>
      <c r="L11" s="163" t="inlineStr">
        <is>
          <t>1) 도로 굴착 및 인양 장비 Spec 확인과 장비 성능 점검을 반입 전 수행하십시오.
2) 신호 공사 작업원에 대한 특별 안전교육 및 보호구 착용 상태를 확인하십시오.</t>
        </is>
      </c>
      <c r="M11" s="217">
        <f>HYPERLINK(LEFT(CELL("filename",A1),FIND("[",CELL("filename",A1))-1)&amp;"매뉴얼BODY(집행단계-첨부폴더)v8\7.신호분야\10_장비반입 및 안전교육\수행지침\LTE-R_무선_AP를_통한_신호_제어_데이터_송수신_레벨_상세절차서.html", "👉 [클릭] 수행지침 열기 📄")</f>
        <v/>
      </c>
      <c r="N11" s="206" t="inlineStr">
        <is>
          <t>1) 도로 굴착 및 인양 장비 Spec 점검 및 성능 검사를 완료하였는가?
2) 신호 공사 작업원 특별 안전교육 실시 기록을 확인하였는가?</t>
        </is>
      </c>
      <c r="O11" s="217">
        <f>HYPERLINK(LEFT(CELL("filename",A1),FIND("[",CELL("filename",A1))-1)&amp;"매뉴얼BODY(집행단계-첨부폴더)v8\7.신호분야\10_장비반입 및 안전교육\체크리스트\장비반입 및 안전교육_체크리스트.html", "👉 [클릭] 체크리스트 열기 📄")</f>
        <v/>
      </c>
      <c r="P11" s="207" t="n"/>
      <c r="Q11" s="163" t="n"/>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row>
    <row r="12" ht="52" customHeight="1" s="147">
      <c r="A12" s="199" t="inlineStr">
        <is>
          <t>9000</t>
        </is>
      </c>
      <c r="B12" s="199" t="inlineStr">
        <is>
          <t>9000-7</t>
        </is>
      </c>
      <c r="C12" s="199" t="inlineStr">
        <is>
          <t>신호분야</t>
        </is>
      </c>
      <c r="D12" s="199" t="inlineStr">
        <is>
          <t>9000-7-11</t>
        </is>
      </c>
      <c r="E12" s="200" t="inlineStr">
        <is>
          <t>9000-7-10</t>
        </is>
      </c>
      <c r="F12" s="200" t="inlineStr">
        <is>
          <t>9000-7-12</t>
        </is>
      </c>
      <c r="G12" s="155"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H12" s="227" t="inlineStr">
        <is>
          <t>공장제품 품질 확보를 위한 자재 검수 및 검사</t>
        </is>
      </c>
      <c r="I12" s="200" t="inlineStr">
        <is>
          <t>자재검수요청서 / 자재수입검사서</t>
        </is>
      </c>
      <c r="J12" s="156" t="inlineStr">
        <is>
          <t>1) 자재검수(WBS 9000-1-11) 강화를 위해 자재공급승인원(MAR) 제출 및 공장검수를 시행하라.
2) 반입 자재의 KS/KRS 규격 시험성적서 대조 검수 및 품질 보증을 완수하라.</t>
        </is>
      </c>
      <c r="K12" s="213">
        <f>HYPERLINK(LEFT(CELL("filename",A1),FIND("[",CELL("filename",A1))-1)&amp;"매뉴얼BODY(집행단계-첨부폴더)v8\7.신호분야\11_자재 반입 및 검수\표준서\자재 반입 및 검수_표준서.html", "👉 [클릭] 표준서 열기 📄")</f>
        <v/>
      </c>
      <c r="L12" s="156" t="inlineStr">
        <is>
          <t>1) 자재공급승인원(MAR) 및 공장검수 계획서를 제출하여 감리단 승인을 획득하십시오.
2) 자재 현지 반입 시 사양서, 시험성적서 및 표준규격 부합 여부를 인수 검수하십시오.</t>
        </is>
      </c>
      <c r="M12" s="213">
        <f>HYPERLINK(LEFT(CELL("filename",A1),FIND("[",CELL("filename",A1))-1)&amp;"매뉴얼BODY(집행단계-첨부폴더)v8\7.신호분야\11_자재 반입 및 검수\수행지침\LTE-R_무선_AP를_통한_신호_제어_데이터_송수신_레벨_상세절차서.html", "👉 [클릭] 수행지침 열기 📄")</f>
        <v/>
      </c>
      <c r="N12" s="201" t="inlineStr">
        <is>
          <t>1) 자재공급승인원(MAR) 제출 및 공장검수 승인을 획득하였는가?
2) 반입 자재 사양 확인(KS, KRS 표준규격) 및 수량 검수를 시행하였는가?</t>
        </is>
      </c>
      <c r="O12" s="213">
        <f>HYPERLINK(LEFT(CELL("filename",A1),FIND("[",CELL("filename",A1))-1)&amp;"매뉴얼BODY(집행단계-첨부폴더)v8\7.신호분야\11_자재 반입 및 검수\체크리스트\자재 반입 및 검수_체크리스트.html", "👉 [클릭] 체크리스트 열기 📄")</f>
        <v/>
      </c>
      <c r="P12" s="202" t="n"/>
      <c r="Q12" s="156" t="n"/>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row>
    <row r="13" ht="52" customHeight="1" s="147">
      <c r="A13" s="204" t="inlineStr">
        <is>
          <t>9000</t>
        </is>
      </c>
      <c r="B13" s="204" t="inlineStr">
        <is>
          <t>9000-7</t>
        </is>
      </c>
      <c r="C13" s="204" t="inlineStr">
        <is>
          <t>신호분야</t>
        </is>
      </c>
      <c r="D13" s="204" t="inlineStr">
        <is>
          <t>9000-7-12</t>
        </is>
      </c>
      <c r="E13" s="205" t="inlineStr">
        <is>
          <t>9000-7-11</t>
        </is>
      </c>
      <c r="F13" s="205" t="inlineStr">
        <is>
          <t>9000-7-13</t>
        </is>
      </c>
      <c r="G13" s="162"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H13" s="205" t="inlineStr">
        <is>
          <t>현장설비 및 기기실의 자체 최적의 설치작업</t>
        </is>
      </c>
      <c r="I13" s="205" t="inlineStr">
        <is>
          <t>검사 결과서</t>
        </is>
      </c>
      <c r="J13" s="163" t="inlineStr">
        <is>
          <t>1) 시스템설비 설치(WBS 9000-1-12)를 위해 기계실 랙 마감 동선 및 승인 자재 상세 사양을 확인하라.
2) 현장 신호기, 선로전환기 기초 볼트 체결 및 도면 일치 여부를 정밀 시공하라.</t>
        </is>
      </c>
      <c r="K13" s="217">
        <f>HYPERLINK(LEFT(CELL("filename",A1),FIND("[",CELL("filename",A1))-1)&amp;"매뉴얼BODY(집행단계-첨부폴더)v8\7.신호분야\12_시스템설비 설치 (현장_기능실)\표준서\시스템설비 설치 (현장_기능실)_표준서.html", "👉 [클릭] 표준서 열기 📄")</f>
        <v/>
      </c>
      <c r="L13" s="163" t="inlineStr">
        <is>
          <t>1) 기계실 장치 위치, 마감 동선 및 승인 자재 Serial Number 등록을 확인하십시오.
2) 현장 설치 설비의 규격, 수량 및 도면 일치 여부를 정밀 측정하여 시공하십시오.</t>
        </is>
      </c>
      <c r="M13" s="217">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206" t="inlineStr">
        <is>
          <t>1) 기계실 장치 위치, 마감 동선 및 승인 자재 사양을 확인하였는가?
2) 현장 신호기/선로전환기 기초 볼트 체결 및 규격 일치 여부를 시공하였는가?</t>
        </is>
      </c>
      <c r="O13" s="217">
        <f>HYPERLINK(LEFT(CELL("filename",A1),FIND("[",CELL("filename",A1))-1)&amp;"매뉴얼BODY(집행단계-첨부폴더)v8\7.신호분야\12_시스템설비 설치 (현장_기능실)\체크리스트\시스템설비 설치 (현장_기능실)_체크리스트.html",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row>
    <row r="14" ht="52" customHeight="1" s="147">
      <c r="A14" s="199" t="inlineStr">
        <is>
          <t>9000</t>
        </is>
      </c>
      <c r="B14" s="199" t="inlineStr">
        <is>
          <t>9000-7</t>
        </is>
      </c>
      <c r="C14" s="199" t="inlineStr">
        <is>
          <t>신호분야</t>
        </is>
      </c>
      <c r="D14" s="199" t="inlineStr">
        <is>
          <t>9000-7-13</t>
        </is>
      </c>
      <c r="E14" s="200" t="inlineStr">
        <is>
          <t>9000-7-12</t>
        </is>
      </c>
      <c r="F14" s="200" t="inlineStr">
        <is>
          <t>9000-7-14</t>
        </is>
      </c>
      <c r="G14" s="155"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H14" s="227" t="inlineStr">
        <is>
          <t>철도안전법상 신호시스템 규정에 대한 설치 후 현황시험 및 기능 확보</t>
        </is>
      </c>
      <c r="I14" s="200" t="inlineStr">
        <is>
          <t>자체단독시험 및 시험결과서 (단독단위)</t>
        </is>
      </c>
      <c r="J14" s="156" t="inlineStr">
        <is>
          <t>1) 단위시험(WBS 9000-1-14) 수행을 위해 철도안전법 규정에 따른 설치 후 단독 현황시험을 시행하라.
2) 신호기, 선로전환기, 전원장치, 차축검지기 개별 ITP/ITC 시험 결과서를 승인 완수하라.</t>
        </is>
      </c>
      <c r="K14" s="213">
        <f>HYPERLINK(LEFT(CELL("filename",A1),FIND("[",CELL("filename",A1))-1)&amp;"매뉴얼BODY(집행단계-첨부폴더)v8\7.신호분야\13_시스템 단위시험\표준서\시스템 단위시험_표준서.html", "👉 [클릭] 표준서 열기 📄")</f>
        <v/>
      </c>
      <c r="L14" s="156" t="inlineStr">
        <is>
          <t>1) 자체 단독시험 및 관계부서 공동 시험수행 여부를 확인하십시오.
2) 감리단 승인 점검표(ITP/ITC) 절차에 따라 지상신호장치 단위시험 결과서를 작성하십시오.</t>
        </is>
      </c>
      <c r="M14" s="213">
        <f>HYPERLINK(LEFT(CELL("filename",A1),FIND("[",CELL("filename",A1))-1)&amp;"매뉴얼BODY(집행단계-첨부폴더)v8\7.신호분야\13_시스템 단위시험\수행지침\CBI_IO_릴레이_모듈_동작_상태_검측_상세절차서.html", "👉 [클릭] 수행지침 열기 📄")</f>
        <v/>
      </c>
      <c r="N14" s="201" t="inlineStr">
        <is>
          <t>1) 지상신호장치 및 관계부서 단위시험 결과서를 확인하였는가?
2) 감리단 승인 점검표(ITP/ITC) 절차에 따라 개별 단독 현황시험을 수행하였는가?</t>
        </is>
      </c>
      <c r="O14" s="213">
        <f>HYPERLINK(LEFT(CELL("filename",A1),FIND("[",CELL("filename",A1))-1)&amp;"매뉴얼BODY(집행단계-첨부폴더)v8\7.신호분야\13_시스템 단위시험\체크리스트\시스템 단위시험_체크리스트.html",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row>
    <row r="15" ht="52" customHeight="1" s="147">
      <c r="A15" s="204" t="inlineStr">
        <is>
          <t>9000</t>
        </is>
      </c>
      <c r="B15" s="204" t="inlineStr">
        <is>
          <t>9000-7</t>
        </is>
      </c>
      <c r="C15" s="204" t="inlineStr">
        <is>
          <t>신호분야</t>
        </is>
      </c>
      <c r="D15" s="204" t="inlineStr">
        <is>
          <t>9000-7-14</t>
        </is>
      </c>
      <c r="E15" s="205" t="inlineStr">
        <is>
          <t>9000-7-13</t>
        </is>
      </c>
      <c r="F15" s="205" t="inlineStr">
        <is>
          <t>9000-7-15</t>
        </is>
      </c>
      <c r="G15" s="162"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H15" s="228" t="inlineStr">
        <is>
          <t>신호시스템 단독시험 완료 후 타 분야 연계 및 시설 유효성 확인</t>
        </is>
      </c>
      <c r="I15" s="205" t="inlineStr">
        <is>
          <t>자체단독시험 및 시험결과서 (단독단위)</t>
        </is>
      </c>
      <c r="J15" s="163" t="inlineStr">
        <is>
          <t>1) 통합시험(WBS 9000-1-15)을 통해 단독시험 완료 후 관제 ➔ CBI 전자연동장치 통합 연동을 검증하라.
2) 차상-지상 무선(LTE-R) 도로-트램 우선신호 연계 시험 결과표를 승인 완수하라.</t>
        </is>
      </c>
      <c r="K15" s="217">
        <f>HYPERLINK(LEFT(CELL("filename",A1),FIND("[",CELL("filename",A1))-1)&amp;"매뉴얼BODY(집행단계-첨부폴더)v8\7.신호분야\14_신호시스템 통합시험\표준서\신호시스템 통합시험_표준서.html", "👉 [클릭] 표준서 열기 📄")</f>
        <v/>
      </c>
      <c r="L15" s="163" t="inlineStr">
        <is>
          <t>1) 관제실 및 현장 연동장치 간 인터페이스 통합시험을 시행하십시오.
2) 지상-차상 인터페이스 및 도로/트램 우선신호 무선 연계시험 결과표를 작성하십시오.</t>
        </is>
      </c>
      <c r="M15" s="217">
        <f>HYPERLINK(LEFT(CELL("filename",A1),FIND("[",CELL("filename",A1))-1)&amp;"매뉴얼BODY(집행단계-첨부폴더)v8\7.신호분야\14_신호시스템 통합시험\수행지침\LTE-R_무선_AP를_통한_신호_제어_데이터_송수신_레벨_상세절차서.html", "👉 [클릭] 수행지침 열기 📄")</f>
        <v/>
      </c>
      <c r="N15" s="206" t="inlineStr">
        <is>
          <t>1) 관제실 및 현장 연동장치 간 인터페이스 시험을 수행하였는가?
2) 지상-차상 인터페이스 및 도로-트램 우선신호 연계 시험을 검증하였는가?</t>
        </is>
      </c>
      <c r="O15" s="217">
        <f>HYPERLINK(LEFT(CELL("filename",A1),FIND("[",CELL("filename",A1))-1)&amp;"매뉴얼BODY(집행단계-첨부폴더)v8\7.신호분야\14_신호시스템 통합시험\체크리스트\신호시스템 통합시험_체크리스트.html",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row>
    <row r="16" ht="52" customHeight="1" s="147">
      <c r="A16" s="199" t="inlineStr">
        <is>
          <t>9000</t>
        </is>
      </c>
      <c r="B16" s="199" t="inlineStr">
        <is>
          <t>9000-7</t>
        </is>
      </c>
      <c r="C16" s="199" t="inlineStr">
        <is>
          <t>신호분야</t>
        </is>
      </c>
      <c r="D16" s="199" t="inlineStr">
        <is>
          <t>9000-7-15</t>
        </is>
      </c>
      <c r="E16" s="200" t="inlineStr">
        <is>
          <t>9000-7-14</t>
        </is>
      </c>
      <c r="F16" s="200" t="inlineStr">
        <is>
          <t>9000-7-16</t>
        </is>
      </c>
      <c r="G16" s="155"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H16" s="227" t="inlineStr">
        <is>
          <t>철도안전기준에 따른 법정 / 설계기준 / 신기술 / 시운전 등의 요구사항의 적합성 검증</t>
        </is>
      </c>
      <c r="I16" s="200" t="inlineStr">
        <is>
          <t>공종별 시험 결과보고서</t>
        </is>
      </c>
      <c r="J16" s="156" t="inlineStr">
        <is>
          <t>1) 공종별 시험(WBS 9000-1-16)을 위해 신호기, 진로표시기, 선로전환기, 차축검지기 현장 동작시험을 시행하라.
2) 신호기계실 전원 2중화 절체 시험 및 관제 CTC 서버 정상 동작 시험을 완수하라.</t>
        </is>
      </c>
      <c r="K16" s="213">
        <f>HYPERLINK(LEFT(CELL("filename",A1),FIND("[",CELL("filename",A1))-1)&amp;"매뉴얼BODY(집행단계-첨부폴더)v8\7.신호분야\15_공종별 시험\표준서\공종별 시험_표준서.html", "👉 [클릭] 표준서 열기 📄")</f>
        <v/>
      </c>
      <c r="L16" s="156" t="inlineStr">
        <is>
          <t>1) 현장설비(신호기 투시거리, 선로전환기 쇄정, 차축검지기) 동작시험을 시행하십시오.
2) 기계실 전원공급장치 이중화 절체 시험 및 관제 서버 정상 동작상태를 확인하십시오.</t>
        </is>
      </c>
      <c r="M16" s="213">
        <f>HYPERLINK(LEFT(CELL("filename",A1),FIND("[",CELL("filename",A1))-1)&amp;"매뉴얼BODY(집행단계-첨부폴더)v8\7.신호분야\15_공종별 시험\수행지침\LTE-R_무선_AP를_통한_신호_제어_데이터_송수신_레벨_상세절차서.html", "👉 [클릭] 수행지침 열기 📄")</f>
        <v/>
      </c>
      <c r="N16" s="201" t="inlineStr">
        <is>
          <t>1) 신호기 투시거리/진로표시기 및 선로전환기 쇄정 동작시험을 수행하였는가?
2) 기계실 전원공급장치 이중화 절체 시험 및 관제 서버 동작을 검증하였는가?</t>
        </is>
      </c>
      <c r="O16" s="213">
        <f>HYPERLINK(LEFT(CELL("filename",A1),FIND("[",CELL("filename",A1))-1)&amp;"매뉴얼BODY(집행단계-첨부폴더)v8\7.신호분야\15_공종별 시험\체크리스트\공종별 시험_체크리스트.html",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row>
    <row r="17" ht="52" customHeight="1" s="147">
      <c r="A17" s="204" t="inlineStr">
        <is>
          <t>9000</t>
        </is>
      </c>
      <c r="B17" s="204" t="inlineStr">
        <is>
          <t>9000-7</t>
        </is>
      </c>
      <c r="C17" s="204" t="inlineStr">
        <is>
          <t>신호분야</t>
        </is>
      </c>
      <c r="D17" s="204" t="inlineStr">
        <is>
          <t>9000-7-16</t>
        </is>
      </c>
      <c r="E17" s="205" t="inlineStr">
        <is>
          <t>9000-7-15</t>
        </is>
      </c>
      <c r="F17" s="205" t="inlineStr">
        <is>
          <t>9000-7-17</t>
        </is>
      </c>
      <c r="G17" s="162"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H17" s="228" t="inlineStr">
        <is>
          <t>차량 시험운행 전 철저한 안전대책 수립 및 품질성 확보 여부 확인</t>
        </is>
      </c>
      <c r="I17" s="205" t="inlineStr">
        <is>
          <t>차량 투입 전 점검 결과 보고서</t>
        </is>
      </c>
      <c r="J17" s="163" t="inlineStr">
        <is>
          <t>1) 차량 투입 전 점검(WBS 9000-1-17)을 통해 연동검사 및 기계실 방재/접지저항 측정을 시행하라.
2) 건축한계/차량한계 이격 정밀 측정 및 전원장치(UPS) 성능을 최종 검증하라.</t>
        </is>
      </c>
      <c r="K17" s="217">
        <f>HYPERLINK(LEFT(CELL("filename",A1),FIND("[",CELL("filename",A1))-1)&amp;"매뉴얼BODY(집행단계-첨부폴더)v8\7.신호분야\16_차량 투입 전 점검\표준서\차량 투입 전 점검_표준서.html", "👉 [클릭] 표준서 열기 📄")</f>
        <v/>
      </c>
      <c r="L17" s="163" t="inlineStr">
        <is>
          <t>1) 연동검사(설비동작, 진로취급) 및 신호기 시공상태 적정성을 점검하십시오.
2) 건축한계(폭 3.1m/높이 3.8m) 이격 측정 및 기계실 UPS/방재예방 설비를 확인하십시오.</t>
        </is>
      </c>
      <c r="M17" s="217">
        <f>HYPERLINK(LEFT(CELL("filename",A1),FIND("[",CELL("filename",A1))-1)&amp;"매뉴얼BODY(집행단계-첨부폴더)v8\7.신호분야\16_차량 투입 전 점검\수행지침\LTE-R_무선_AP를_통한_신호_제어_데이터_송수신_레벨_상세절차서.html", "👉 [클릭] 수행지침 열기 📄")</f>
        <v/>
      </c>
      <c r="N17" s="206" t="inlineStr">
        <is>
          <t>1) 연동검사 및 기계실 시스템/UPS 시험을 완료하였는가?
2) 신호기와 건축물 간 건축한계 정밀 측정 및 방재설비를 확인하였는가?</t>
        </is>
      </c>
      <c r="O17" s="217">
        <f>HYPERLINK(LEFT(CELL("filename",A1),FIND("[",CELL("filename",A1))-1)&amp;"매뉴얼BODY(집행단계-첨부폴더)v8\7.신호분야\16_차량 투입 전 점검\체크리스트\차량 투입 전 점검_체크리스트.html",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row>
    <row r="18" ht="52" customHeight="1" s="147">
      <c r="A18" s="199" t="inlineStr">
        <is>
          <t>9000</t>
        </is>
      </c>
      <c r="B18" s="199" t="inlineStr">
        <is>
          <t>9000-7</t>
        </is>
      </c>
      <c r="C18" s="199" t="inlineStr">
        <is>
          <t>신호분야</t>
        </is>
      </c>
      <c r="D18" s="199" t="inlineStr">
        <is>
          <t>9000-7-17</t>
        </is>
      </c>
      <c r="E18" s="200" t="inlineStr">
        <is>
          <t>9000-7-16</t>
        </is>
      </c>
      <c r="F18" s="200" t="inlineStr">
        <is>
          <t>9000-7-18</t>
        </is>
      </c>
      <c r="G18" s="155"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H18" s="227" t="inlineStr">
        <is>
          <t>철도안전법상 철도기술기준에 적합하게 시운전 수행 여부(철도노선 규정)</t>
        </is>
      </c>
      <c r="I18" s="200" t="inlineStr">
        <is>
          <t>철도차량 안전성 결과 보고서</t>
        </is>
      </c>
      <c r="J18" s="156" t="inlineStr">
        <is>
          <t>1) 차량 시운전(WBS 9000-1-18) 수행 시 철도안전법 제26조 형식승인 기준 준수 여부를 검증하라.
2) 속도/제동 테스트, 차상-지상 연계동작 및 열차제어 시스템 기능시험을 완수하라.</t>
        </is>
      </c>
      <c r="K18" s="213">
        <f>HYPERLINK(LEFT(CELL("filename",A1),FIND("[",CELL("filename",A1))-1)&amp;"매뉴얼BODY(집행단계-첨부폴더)v8\7.신호분야\17_차량 시운전\표준서\차량 시운전_표준서.html", "👉 [클릭] 표준서 열기 📄")</f>
        <v/>
      </c>
      <c r="L18" s="156" t="inlineStr">
        <is>
          <t>1) 철도기술기준에 따라 속도/제동 테스트 및 주요기기 제어전원 투입을 검사하십시오.
2) 차상신호장치 지·차상 연계동작시험 및 열차제어 시스템 기능시험을 시행하십시오.</t>
        </is>
      </c>
      <c r="M18" s="213">
        <f>HYPERLINK(LEFT(CELL("filename",A1),FIND("[",CELL("filename",A1))-1)&amp;"매뉴얼BODY(집행단계-첨부폴더)v8\7.신호분야\17_차량 시운전\수행지침\LTE-R_무선_AP를_통한_신호_제어_데이터_송수신_레벨_상세절차서.html", "👉 [클릭] 수행지침 열기 📄")</f>
        <v/>
      </c>
      <c r="N18" s="201" t="inlineStr">
        <is>
          <t>1) 철도기술기준 준수 속도/제동 테스트 및 주요기기 검사를 시행하였는가?
2) 차상-지상 연계동작시험 및 차량-신호-통신 I/F 시험을 검증하였는가?</t>
        </is>
      </c>
      <c r="O18" s="213">
        <f>HYPERLINK(LEFT(CELL("filename",A1),FIND("[",CELL("filename",A1))-1)&amp;"매뉴얼BODY(집행단계-첨부폴더)v8\7.신호분야\17_차량 시운전\체크리스트\차량 시운전_체크리스트.html",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row>
    <row r="19" ht="52" customHeight="1" s="147">
      <c r="A19" s="204" t="inlineStr">
        <is>
          <t>9000</t>
        </is>
      </c>
      <c r="B19" s="204" t="inlineStr">
        <is>
          <t>9000-7</t>
        </is>
      </c>
      <c r="C19" s="204" t="inlineStr">
        <is>
          <t>신호분야</t>
        </is>
      </c>
      <c r="D19" s="204" t="inlineStr">
        <is>
          <t>9000-7-18</t>
        </is>
      </c>
      <c r="E19" s="205" t="inlineStr">
        <is>
          <t>9000-7-17</t>
        </is>
      </c>
      <c r="F19" s="205" t="inlineStr">
        <is>
          <t>9000-7-19</t>
        </is>
      </c>
      <c r="G19" s="162"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H19" s="228" t="inlineStr">
        <is>
          <t>운영요원(기관사 및 안전관리)을 위한 주행/유지 교육시행</t>
        </is>
      </c>
      <c r="I19" s="205" t="inlineStr">
        <is>
          <t>운영자훈련 및 기술단계에서 운영지침서</t>
        </is>
      </c>
      <c r="J19" s="163" t="inlineStr">
        <is>
          <t>1) 운영자 교육(WBS 9000-1-19)을 위해 기관사 및 유지보수 요원 대상 시스템 안전 교육을 시행하라.
2) 장비 제작사에 의한 CTC/CBI/현장설비 조작·정비 기술 교육 완료 이수증을 승인하라.</t>
        </is>
      </c>
      <c r="K19" s="217">
        <f>HYPERLINK(LEFT(CELL("filename",A1),FIND("[",CELL("filename",A1))-1)&amp;"매뉴얼BODY(집행단계-첨부폴더)v8\7.신호분야\18_운영자 교육시행\표준서\운영자 교육시행_표준서.html", "👉 [클릭] 표준서 열기 📄")</f>
        <v/>
      </c>
      <c r="L19" s="163" t="inlineStr">
        <is>
          <t>1) 철도차량 안전점검 요령 및 시스템 간 조작 방법에 대한 운영자 교육을 시행하십시오.
2) CTC 서버, 전자연동장치, 현장 신호기/선로전환기 교육 이수 현황을 확인하십시오.</t>
        </is>
      </c>
      <c r="M19" s="217">
        <f>HYPERLINK(LEFT(CELL("filename",A1),FIND("[",CELL("filename",A1))-1)&amp;"매뉴얼BODY(집행단계-첨부폴더)v8\7.신호분야\18_운영자 교육시행\수행지침\LTE-R_무선_AP를_통한_신호_제어_데이터_송수신_레벨_상세절차서.html", "👉 [클릭] 수행지침 열기 📄")</f>
        <v/>
      </c>
      <c r="N19" s="206" t="inlineStr">
        <is>
          <t>1) 기관사 및 유지보수요원 대상 시스템 안전 교육을 시행하였는가?
2) 장비 제작사에 의한 CTC/CBI/현장설비 조작교육을 완료하였는가?</t>
        </is>
      </c>
      <c r="O19" s="217">
        <f>HYPERLINK(LEFT(CELL("filename",A1),FIND("[",CELL("filename",A1))-1)&amp;"매뉴얼BODY(집행단계-첨부폴더)v8\7.신호분야\18_운영자 교육시행\체크리스트\운영자 교육시행_체크리스트.html",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row>
    <row r="20" ht="52" customHeight="1" s="147">
      <c r="A20" s="199" t="inlineStr">
        <is>
          <t>9000</t>
        </is>
      </c>
      <c r="B20" s="199" t="inlineStr">
        <is>
          <t>9000-7</t>
        </is>
      </c>
      <c r="C20" s="199" t="inlineStr">
        <is>
          <t>신호분야</t>
        </is>
      </c>
      <c r="D20" s="199" t="inlineStr">
        <is>
          <t>9000-7-19</t>
        </is>
      </c>
      <c r="E20" s="200" t="inlineStr">
        <is>
          <t>9000-7-18</t>
        </is>
      </c>
      <c r="F20" s="200" t="inlineStr">
        <is>
          <t>9000-7-20</t>
        </is>
      </c>
      <c r="G20" s="155"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H20" s="227" t="inlineStr">
        <is>
          <t>철도종합시험운행에 따른 기능 및 성능 사전검증과 철도종합시험운행의 목적 달성의 적합여부 판정</t>
        </is>
      </c>
      <c r="I20" s="200" t="inlineStr">
        <is>
          <t>사전점검 결과표 / 철도안전성검토서</t>
        </is>
      </c>
      <c r="J20" s="156" t="inlineStr">
        <is>
          <t>1) 사전점검(WBS 9000-1-20)을 위해 철도종합시험운행 시행지침 제6조/제8조 검토 수칙을 이행하라.
2) 시설물 시공상태, 기술기준 준수 및 완공 가능 여부 사전점검 체크리스트를 완수하라.</t>
        </is>
      </c>
      <c r="K20" s="213">
        <f>HYPERLINK(LEFT(CELL("filename",A1),FIND("[",CELL("filename",A1))-1)&amp;"매뉴얼BODY(집행단계-첨부폴더)v8\7.신호분야\19_사전점검 및 철도기술기준 검토\표준서\사전점검 및 철도기술기준 검토_표준서.html", "👉 [클릭] 표준서 열기 📄")</f>
        <v/>
      </c>
      <c r="L20" s="156" t="inlineStr">
        <is>
          <t>1) 철도종합시험운행 시행지침 제6조/제8조에 따라 사전점검 체크리스트를 사전에 준비하십시오.
2) 시설물 시공상태, 기술기준 준수 여부 및 공종별시험 결과보고서를 검토하십시오.</t>
        </is>
      </c>
      <c r="M20" s="213">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201" t="inlineStr">
        <is>
          <t>1) 철도종합시험운행 시행지침 제6조/제8조 사전점검 체크리스트를 수립하였는가?
2) 철도시설물 시공상태, 기술기준 준수 및 안전성 분석 결과를 검토하였는가?</t>
        </is>
      </c>
      <c r="O20" s="213">
        <f>HYPERLINK(LEFT(CELL("filename",A1),FIND("[",CELL("filename",A1))-1)&amp;"매뉴얼BODY(집행단계-첨부폴더)v8\7.신호분야\19_사전점검 및 철도기술기준 검토\체크리스트\사전점검 및 철도기술기준 검토_체크리스트.html",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row>
    <row r="21" ht="52" customHeight="1" s="147">
      <c r="A21" s="204" t="inlineStr">
        <is>
          <t>9000</t>
        </is>
      </c>
      <c r="B21" s="204" t="inlineStr">
        <is>
          <t>9000-7</t>
        </is>
      </c>
      <c r="C21" s="204" t="inlineStr">
        <is>
          <t>신호분야</t>
        </is>
      </c>
      <c r="D21" s="204" t="inlineStr">
        <is>
          <t>9000-7-20</t>
        </is>
      </c>
      <c r="E21" s="205" t="inlineStr">
        <is>
          <t>9000-7-19</t>
        </is>
      </c>
      <c r="F21" s="205" t="inlineStr">
        <is>
          <t>9000-7-21</t>
        </is>
      </c>
      <c r="G21" s="162"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H21" s="228" t="inlineStr">
        <is>
          <t>시설물검증 노선에 환경에 철도종합시험운행 시행지침에 의거 철도노선 및 관계시설을 검증하여 안전성 확보 여부 판단</t>
        </is>
      </c>
      <c r="I21" s="205" t="inlineStr">
        <is>
          <t>시설물 검증시험 시험결과 및 승인원, 완료결과보고서</t>
        </is>
      </c>
      <c r="J21" s="163" t="inlineStr">
        <is>
          <t>1) 시설물 검증(WBS 9000-1-21)을 위해 최고운행속도 증속 시운전을 시행하고 신호 정상동작을 검증하라.
2) 신호설비와 차량 간 연계성 및 철도차량 운행 적합성 검증 결과표를 승인 완수하라.</t>
        </is>
      </c>
      <c r="K21" s="217">
        <f>HYPERLINK(LEFT(CELL("filename",A1),FIND("[",CELL("filename",A1))-1)&amp;"매뉴얼BODY(집행단계-첨부폴더)v8\7.신호분야\20_시설물 검증시험\표준서\시설물 검증시험_표준서.html", "👉 [클릭] 표준서 열기 📄")</f>
        <v/>
      </c>
      <c r="L21" s="163" t="inlineStr">
        <is>
          <t>1) 설계 최고운행속도까지 단계별 증속하여 신호시설물 정상 동작 및 안전성을 점검하십시오.
2) 신호설비와 차량 간 연계 적정성 및 철도차량 운행 적합 여부를 서면 판정하십시오.</t>
        </is>
      </c>
      <c r="M21" s="217">
        <f>HYPERLINK(LEFT(CELL("filename",A1),FIND("[",CELL("filename",A1))-1)&amp;"매뉴얼BODY(집행단계-첨부폴더)v8\7.신호분야\20_시설물 검증시험\수행지침\LTE-R_무선_AP를_통한_신호_제어_데이터_송수신_레벨_상세절차서.html", "👉 [클릭] 수행지침 열기 📄")</f>
        <v/>
      </c>
      <c r="N21" s="206" t="inlineStr">
        <is>
          <t>1) 설계 최고운행속도 증속 시운전 시 신호시설물 정상 동작을 확인하였는가?
2) 신호설비와 차량 간 연계성 및 차량 운행 적합성을 검증하였는가?</t>
        </is>
      </c>
      <c r="O21" s="217">
        <f>HYPERLINK(LEFT(CELL("filename",A1),FIND("[",CELL("filename",A1))-1)&amp;"매뉴얼BODY(집행단계-첨부폴더)v8\7.신호분야\20_시설물 검증시험\체크리스트\시설물 검증시험_체크리스트.html",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row>
    <row r="22" ht="52" customHeight="1" s="147">
      <c r="A22" s="199" t="inlineStr">
        <is>
          <t>9000</t>
        </is>
      </c>
      <c r="B22" s="199" t="inlineStr">
        <is>
          <t>9000-7</t>
        </is>
      </c>
      <c r="C22" s="199" t="inlineStr">
        <is>
          <t>신호분야</t>
        </is>
      </c>
      <c r="D22" s="199" t="inlineStr">
        <is>
          <t>9000-7-21</t>
        </is>
      </c>
      <c r="E22" s="200" t="inlineStr">
        <is>
          <t>9000-7-20</t>
        </is>
      </c>
      <c r="F22" s="200" t="inlineStr">
        <is>
          <t>9000-7-22</t>
        </is>
      </c>
      <c r="G22" s="155"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H22" s="227" t="inlineStr">
        <is>
          <t>영업 시운전에 의한 수송능력을 파악하고 최종 운영기관과 인터페이스 협의를 통해 시공의 안정성 확보 여부 및 검증</t>
        </is>
      </c>
      <c r="I22" s="200" t="inlineStr">
        <is>
          <t>영업 시운전 및 가동단계에서 운영지침서 및 최종 제출서(가동시험보고서)</t>
        </is>
      </c>
      <c r="J22" s="156" t="inlineStr">
        <is>
          <t>1) 영업 시운전(WBS 9000-1-22)을 위해 모의 영업 시나리오 기반 100회 정시 운행 성공률(≥99.8%)을 달성하라.
2) 영업운전과 동일 조건 열차스케줄 및 승무원 노선숙지 등 최종 영업준비를 완수하라.</t>
        </is>
      </c>
      <c r="K22" s="213">
        <f>HYPERLINK(LEFT(CELL("filename",A1),FIND("[",CELL("filename",A1))-1)&amp;"매뉴얼BODY(집행단계-첨부폴더)v8\7.신호분야\21_영업 시운전\표준서\영업 시운전_표준서.html", "👉 [클릭] 표준서 열기 📄")</f>
        <v/>
      </c>
      <c r="L22" s="156" t="inlineStr">
        <is>
          <t>1) 모의 영업 시나리오에 따라 100회 정시 운행 성공률(≥99.8%) 이상을 확보하십시오.
2) 영업운전과 동일한 조건으로 열차운행 스케줄 및 영업설비 최종 점검을 완료하십시오.</t>
        </is>
      </c>
      <c r="M22" s="213">
        <f>HYPERLINK(LEFT(CELL("filename",A1),FIND("[",CELL("filename",A1))-1)&amp;"매뉴얼BODY(집행단계-첨부폴더)v8\7.신호분야\21_영업 시운전\수행지침\LTE-R_무선_AP를_통한_신호_제어_데이터_송수신_레벨_상세절차서.html", "👉 [클릭] 수행지침 열기 📄")</f>
        <v/>
      </c>
      <c r="N22" s="201" t="inlineStr">
        <is>
          <t>1) 모의 영업 시나리오 기반 100회 정시 운행 성공률(≥99.8%)을 달성하였는가?
2) 영업운전 동일 조건 행사수송 및 승무원 노선숙지 훈련을 완수하였는가?</t>
        </is>
      </c>
      <c r="O22" s="213">
        <f>HYPERLINK(LEFT(CELL("filename",A1),FIND("[",CELL("filename",A1))-1)&amp;"매뉴얼BODY(집행단계-첨부폴더)v8\7.신호분야\21_영업 시운전\체크리스트\영업 시운전_체크리스트.html",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row>
    <row r="23" ht="52" customHeight="1" s="147">
      <c r="A23" s="204" t="inlineStr">
        <is>
          <t>9000</t>
        </is>
      </c>
      <c r="B23" s="204" t="inlineStr">
        <is>
          <t>9000-7</t>
        </is>
      </c>
      <c r="C23" s="204" t="inlineStr">
        <is>
          <t>신호분야</t>
        </is>
      </c>
      <c r="D23" s="204" t="inlineStr">
        <is>
          <t>9000-7-22</t>
        </is>
      </c>
      <c r="E23" s="205" t="inlineStr">
        <is>
          <t>9000-7-21</t>
        </is>
      </c>
      <c r="F23" s="205" t="inlineStr">
        <is>
          <t>9000-7-23</t>
        </is>
      </c>
      <c r="G23" s="162" t="inlineStr">
        <is>
          <t>- 유지 및 보수용 상세 공사 설계배치 확인
- 현장조성 및 유지관리 지침서 이행 여부</t>
        </is>
      </c>
      <c r="H23" s="205" t="inlineStr">
        <is>
          <t>관제 관제실의 장비체계 배치 및 설치</t>
        </is>
      </c>
      <c r="I23" s="205" t="inlineStr">
        <is>
          <t>유지관리 지침 및 관리 이행 보고서</t>
        </is>
      </c>
      <c r="J23" s="163" t="inlineStr">
        <is>
          <t>1) 유지관리 설치(WBS 9000-1-13)를 위해 관제실 유지보수용 장비 배치 및 상세 공사 설계를 확인하라.
2) 현장조성 및 유지관리 지침서 이행 여부를 확인하고 관제 MMI 보수를 완수하라.</t>
        </is>
      </c>
      <c r="K23" s="217">
        <f>HYPERLINK(LEFT(CELL("filename",A1),FIND("[",CELL("filename",A1))-1)&amp;"매뉴얼BODY(집행단계-첨부폴더)v8\7.신호분야\22_유지관리 설치\표준서\유지관리 설치_표준서.html", "👉 [클릭] 표준서 열기 📄")</f>
        <v/>
      </c>
      <c r="L23" s="163" t="inlineStr">
        <is>
          <t>1) 관제실 유지 및 보수용 상세 공사 설계 배치를 확인하고 장비를 시공하십시오.
2) 현장 조성 및 유지관리 지침서 이행 여부를 점검하여 서면 보고하십시오.</t>
        </is>
      </c>
      <c r="M23" s="217">
        <f>HYPERLINK(LEFT(CELL("filename",A1),FIND("[",CELL("filename",A1))-1)&amp;"매뉴얼BODY(집행단계-첨부폴더)v8\7.신호분야\22_유지관리 설치\수행지침\LTE-R_무선_AP를_통한_신호_제어_데이터_송수신_레벨_상세절차서.html", "👉 [클릭] 수행지침 열기 📄")</f>
        <v/>
      </c>
      <c r="N23" s="206" t="inlineStr">
        <is>
          <t>1) 관제실 유지보수용 상세 공사 설계 배치를 확인하였는가?
2) 현장조성 및 유지관리 지침서 이행 여부를 점검 확인하였는가?</t>
        </is>
      </c>
      <c r="O23" s="217">
        <f>HYPERLINK(LEFT(CELL("filename",A1),FIND("[",CELL("filename",A1))-1)&amp;"매뉴얼BODY(집행단계-첨부폴더)v8\7.신호분야\22_유지관리 설치\체크리스트\유지관리 설치_체크리스트.html",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row>
    <row r="24" ht="52" customHeight="1" s="147">
      <c r="A24" s="199" t="inlineStr">
        <is>
          <t>9000</t>
        </is>
      </c>
      <c r="B24" s="199" t="inlineStr">
        <is>
          <t>9000-7</t>
        </is>
      </c>
      <c r="C24" s="199" t="inlineStr">
        <is>
          <t>신호분야</t>
        </is>
      </c>
      <c r="D24" s="199" t="inlineStr">
        <is>
          <t>9000-7-23</t>
        </is>
      </c>
      <c r="E24" s="200" t="inlineStr">
        <is>
          <t>9000-7-22</t>
        </is>
      </c>
      <c r="F24" s="200" t="inlineStr">
        <is>
          <t>-</t>
        </is>
      </c>
      <c r="G24" s="155" t="n"/>
      <c r="H24" s="200" t="n"/>
      <c r="I24" s="200" t="n"/>
      <c r="J24" s="156" t="n"/>
      <c r="K24" s="156" t="n"/>
      <c r="L24" s="156" t="n"/>
      <c r="M24" s="156" t="n"/>
      <c r="N24" s="201" t="n"/>
      <c r="O24" s="156" t="n"/>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LW47"/>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E1" sqref="E1"/>
      <selection pane="bottomLeft" activeCell="A2" sqref="A2"/>
      <selection pane="bottomRight" activeCell="M28" sqref="M28"/>
    </sheetView>
  </sheetViews>
  <sheetFormatPr baseColWidth="8" defaultRowHeight="19.2"/>
  <cols>
    <col width="10" bestFit="1" customWidth="1" style="4" min="1" max="2"/>
    <col width="10" customWidth="1" style="147" min="2" max="2"/>
    <col width="18" bestFit="1" customWidth="1" style="4" min="3" max="3"/>
    <col width="12" bestFit="1" customWidth="1" style="4" min="4" max="4"/>
    <col width="10" customWidth="1" style="4" min="5" max="5"/>
    <col width="10" customWidth="1" style="4" min="6" max="6"/>
    <col width="30" customWidth="1" style="3"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68" min="15" max="15"/>
    <col width="24" customWidth="1" style="3" min="16" max="16"/>
    <col width="36" customWidth="1" style="68" min="17" max="17"/>
    <col width="24" customWidth="1" style="68"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9000-9</t>
        </is>
      </c>
      <c r="C2" s="199" t="inlineStr">
        <is>
          <t>통신분야</t>
        </is>
      </c>
      <c r="D2" s="199" t="inlineStr">
        <is>
          <t>9000-9-1</t>
        </is>
      </c>
      <c r="E2" s="200" t="inlineStr">
        <is>
          <t>-</t>
        </is>
      </c>
      <c r="F2" s="200" t="inlineStr">
        <is>
          <t>9000-9-2</t>
        </is>
      </c>
      <c r="G2" s="155" t="inlineStr">
        <is>
          <t>설계적정성 및 시공성 검토</t>
        </is>
      </c>
      <c r="H2" s="227"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200" t="inlineStr">
        <is>
          <t>회의록, 설계검토 보고서</t>
        </is>
      </c>
      <c r="J2" s="156" t="inlineStr">
        <is>
          <t>1) 정보통신공사업법, KDS 47 철도설계기준 및 입찰안내서 특기시방 준수 여부 사전 검증
2) LTE-R 무선망, 8대 이종 통신시스템, 타공종 간섭 및 리스크 헷지·기회반영 설계변경 승인 표준 적용</t>
        </is>
      </c>
      <c r="K2" s="213">
        <f>HYPERLINK(LEFT(CELL("filename",A1),FIND("[",CELL("filename",A1))-1)&amp;"매뉴얼BODY(집행단계-첨부폴더)v8\9.통신분야\1_설계적정성 검토\표준서\설계적정성 검토_표준서.html", "👉 [클릭] 표준서 열기 📄")</f>
        <v/>
      </c>
      <c r="L2" s="156"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213">
        <f>HYPERLINK(LEFT(CELL("filename",A1),FIND("[",CELL("filename",A1))-1)&amp;"매뉴얼BODY(집행단계-첨부폴더)v8\9.통신분야\1_설계적정성 검토\수행지침\설계적정성 검토_수행지침.html", "👉 [클릭] 수행지침 열기 📄")</f>
        <v/>
      </c>
      <c r="N2" s="201"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213">
        <f>HYPERLINK(LEFT(CELL("filename",A1),FIND("[",CELL("filename",A1))-1)&amp;"매뉴얼BODY(집행단계-첨부폴더)v8\9.통신분야\1_설계적정성 검토\체크리스트\9000-2-1_설계적정성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9000-9</t>
        </is>
      </c>
      <c r="C3" s="204" t="inlineStr">
        <is>
          <t>통신분야</t>
        </is>
      </c>
      <c r="D3" s="204" t="inlineStr">
        <is>
          <t>9000-9-2</t>
        </is>
      </c>
      <c r="E3" s="205" t="inlineStr">
        <is>
          <t>9000-9-1</t>
        </is>
      </c>
      <c r="F3" s="205" t="inlineStr">
        <is>
          <t>9000-9-3</t>
        </is>
      </c>
      <c r="G3" s="162" t="inlineStr">
        <is>
          <t>통신설비 공사 발주 전략수립</t>
        </is>
      </c>
      <c r="H3" s="228"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205" t="inlineStr">
        <is>
          <t>KOM 검토결과서, 현장설명서</t>
        </is>
      </c>
      <c r="J3" s="163"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217">
        <f>HYPERLINK(LEFT(CELL("filename",A1),FIND("[",CELL("filename",A1))-1)&amp;"매뉴얼BODY(집행단계-첨부폴더)v8\9.통신분야\2_착수전략 KOM\표준서\발주전략 KOM_표준서.html", "👉 [클릭] 표준서 열기 📄")</f>
        <v/>
      </c>
      <c r="L3" s="163"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217">
        <f>HYPERLINK(LEFT(CELL("filename",A1),FIND("[",CELL("filename",A1))-1)&amp;"매뉴얼BODY(집행단계-첨부폴더)v8\9.통신분야\2_착수전략 KOM\수행지침\발주전략 KOM_수행지침.html", "👉 [클릭] 수행지침 열기 📄")</f>
        <v/>
      </c>
      <c r="N3" s="206"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217">
        <f>HYPERLINK(LEFT(CELL("filename",A1),FIND("[",CELL("filename",A1))-1)&amp;"매뉴얼BODY(집행단계-첨부폴더)v8\9.통신분야\2_착수전략 KOM\체크리스트\발주전략 KOM_체크리스트.html", "👉 [클릭] 체크리스트 열기 📄")</f>
        <v/>
      </c>
      <c r="P3" s="207" t="n"/>
      <c r="Q3" s="163" t="inlineStr">
        <is>
          <t>● 관련분야 설계기준서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9000-9</t>
        </is>
      </c>
      <c r="C4" s="199" t="inlineStr">
        <is>
          <t>통신분야</t>
        </is>
      </c>
      <c r="D4" s="199" t="inlineStr">
        <is>
          <t>9000-9-3</t>
        </is>
      </c>
      <c r="E4" s="200" t="inlineStr">
        <is>
          <t>9000-9-2</t>
        </is>
      </c>
      <c r="F4" s="200" t="inlineStr">
        <is>
          <t>9000-9-4</t>
        </is>
      </c>
      <c r="G4" s="155" t="inlineStr">
        <is>
          <t>통신설비 설치를 위한 요구사항 검토</t>
        </is>
      </c>
      <c r="H4" s="227" t="inlineStr">
        <is>
          <t>- 자재 반입전/공동구/케이블 인입구 등 확인, 기능실마감 및 출입문 상태</t>
        </is>
      </c>
      <c r="I4" s="200" t="inlineStr">
        <is>
          <t>인터페이스 회의록 및 관리대장</t>
        </is>
      </c>
      <c r="J4" s="156" t="inlineStr">
        <is>
          <t>1) 토목·건축 구조물 내 통신 관로, 케이블 트레이, 기계실 배치 및 인입 배관 인터페이스 사전 검토
2) 타공종 구조체 타설 전 통신 매립 배관 위치 검증 및 인터페이스 협의록 작성 표준 적용</t>
        </is>
      </c>
      <c r="K4" s="213">
        <f>HYPERLINK(LEFT(CELL("filename",A1),FIND("[",CELL("filename",A1))-1)&amp;"매뉴얼BODY(집행단계-첨부폴더)v8\9.통신분야\3_토목 _ 건축 인터페이스 협의\표준서\토목 _ 건축 인터페이스 협의_표준서.html", "👉 [클릭] 표준서 열기 📄")</f>
        <v/>
      </c>
      <c r="L4" s="156"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213">
        <f>HYPERLINK(LEFT(CELL("filename",A1),FIND("[",CELL("filename",A1))-1)&amp;"매뉴얼BODY(집행단계-첨부폴더)v8\9.통신분야\3_토목 _ 건축 인터페이스 협의\수행지침\토목 _ 건축 인터페이스 협의_수행지침.html", "👉 [클릭] 수행지침 열기 📄")</f>
        <v/>
      </c>
      <c r="N4" s="201"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213">
        <f>HYPERLINK(LEFT(CELL("filename",A1),FIND("[",CELL("filename",A1))-1)&amp;"매뉴얼BODY(집행단계-첨부폴더)v8\9.통신분야\3_토목 _ 건축 인터페이스 협의\체크리스트\9000-2-3_토목 _ 건축 인터페이스 협의_체크리스트.html", "👉 [클릭] 체크리스트 열기 📄")</f>
        <v/>
      </c>
      <c r="P4" s="202" t="n"/>
      <c r="Q4" s="156" t="inlineStr">
        <is>
          <t>● 관련분야 설계기준서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9000-9</t>
        </is>
      </c>
      <c r="C5" s="204" t="inlineStr">
        <is>
          <t>통신분야</t>
        </is>
      </c>
      <c r="D5" s="204" t="inlineStr">
        <is>
          <t>9000-9-4</t>
        </is>
      </c>
      <c r="E5" s="205" t="inlineStr">
        <is>
          <t>9000-9-3</t>
        </is>
      </c>
      <c r="F5" s="205" t="inlineStr">
        <is>
          <t>9000-9-5</t>
        </is>
      </c>
      <c r="G5" s="162" t="inlineStr">
        <is>
          <t>연계분야간 사전조율 및 인터페이스 사항 조율로 재작업 예방</t>
        </is>
      </c>
      <c r="H5" s="228"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205" t="inlineStr">
        <is>
          <t>인터페이스 회의록 및 관리대장</t>
        </is>
      </c>
      <c r="J5" s="163" t="inlineStr">
        <is>
          <t>1) 전기, 신호, PSD, 차량, 관제 등 이종 시스템 간 전원, 신호선 및 데이터 통신 인터페이스 통합 검토
2) 타공종 간 전자기 적합성(EMC/EMI), 전력 케이블 유도장해 차폐 및 서지 보호 표준 적용</t>
        </is>
      </c>
      <c r="K5" s="217">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163"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217">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206" t="inlineStr">
        <is>
          <t>1) 96Core 광망[통합 포설] 통신(48C)+전기(2C)+신호(12C)를 OF-SM-96Core×2조 통합 포설로 확정하였는가?
2) KEC 점유율[KEC 33%] 전선관 내부 단면적 점유율 33% 이하 및 ELP ø150mm×6개×2조 배관을 확인하였는가?</t>
        </is>
      </c>
      <c r="O5" s="217">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207" t="n"/>
      <c r="Q5" s="163" t="inlineStr">
        <is>
          <t>● 관련분야 설계기준서 준수</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9000-9</t>
        </is>
      </c>
      <c r="C6" s="199" t="inlineStr">
        <is>
          <t>통신분야</t>
        </is>
      </c>
      <c r="D6" s="199" t="inlineStr">
        <is>
          <t>9000-9-5</t>
        </is>
      </c>
      <c r="E6" s="200" t="inlineStr">
        <is>
          <t>9000-9-4</t>
        </is>
      </c>
      <c r="F6" s="200" t="inlineStr">
        <is>
          <t>9000-9-6</t>
        </is>
      </c>
      <c r="G6" s="155" t="inlineStr">
        <is>
          <t>통신설비간 연동방안 검토</t>
        </is>
      </c>
      <c r="H6" s="227" t="inlineStr">
        <is>
          <t>- 내부 인터페이스 및 인허가사항 확인, 보안성검토 요청서</t>
        </is>
      </c>
      <c r="I6" s="200" t="inlineStr">
        <is>
          <t>인터페이스 회의록 및 관리대장</t>
        </is>
      </c>
      <c r="J6" s="156" t="inlineStr">
        <is>
          <t>1) 통신 주요 설비(LTE-R, 방송, CCTV, 역무, 관제 등) 제작사 간 프로토콜, 연동 규격 및 인터페이스 검토
2) 제작사 간 데이터 입출력 포맷 및 연동 케이블 사양서 확정 협의록 승인 표준 적용</t>
        </is>
      </c>
      <c r="K6" s="213">
        <f>HYPERLINK(LEFT(CELL("filename",A1),FIND("[",CELL("filename",A1))-1)&amp;"매뉴얼BODY(집행단계-첨부폴더)v8\9.통신분야\5_통신설비 제작사 인터페이스 협의\표준서\통신설비 제작사 인터페이스 협의_표준서.html", "👉 [클릭] 표준서 열기 📄")</f>
        <v/>
      </c>
      <c r="L6" s="156"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213">
        <f>HYPERLINK(LEFT(CELL("filename",A1),FIND("[",CELL("filename",A1))-1)&amp;"매뉴얼BODY(집행단계-첨부폴더)v8\9.통신분야\5_통신설비 제작사 인터페이스 협의\수행지침\통신설비 제작사 인터페이스 협의_수행지침.html", "👉 [클릭] 수행지침 열기 📄")</f>
        <v/>
      </c>
      <c r="N6" s="201"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213">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202" t="n"/>
      <c r="Q6" s="156" t="inlineStr">
        <is>
          <t>● 관련분야 설계기준서 준수</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9000-9</t>
        </is>
      </c>
      <c r="C7" s="204" t="inlineStr">
        <is>
          <t>통신분야</t>
        </is>
      </c>
      <c r="D7" s="204" t="inlineStr">
        <is>
          <t>9000-9-6</t>
        </is>
      </c>
      <c r="E7" s="205" t="inlineStr">
        <is>
          <t>9000-9-5</t>
        </is>
      </c>
      <c r="F7" s="205" t="inlineStr">
        <is>
          <t>9000-9-7</t>
        </is>
      </c>
      <c r="G7" s="162" t="inlineStr">
        <is>
          <t>관제 및 운영사 요구사항 사전 반영 및 시공범위 최적화</t>
        </is>
      </c>
      <c r="H7" s="228"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205" t="inlineStr">
        <is>
          <t>인터페이스 회의록 및 관리대장</t>
        </is>
      </c>
      <c r="J7" s="163" t="inlineStr">
        <is>
          <t>1) 종합관제센터 및 철도운영사 요구조건 반영 관제 화면, 통신 프로토콜 및 비상 제어 인터페이스 검토
2) 관제 서버, 네트워크 스위치 및 운영사 통합 수선 체계 부합성 확인 승인 표준 적용</t>
        </is>
      </c>
      <c r="K7" s="217">
        <f>HYPERLINK(LEFT(CELL("filename",A1),FIND("[",CELL("filename",A1))-1)&amp;"매뉴얼BODY(집행단계-첨부폴더)v8\9.통신분야\6_관제 및 운영사 인터페이스 협의\표준서\관제 및 운영사 인터페이스 협의_표준서.html", "👉 [클릭] 표준서 열기 📄")</f>
        <v/>
      </c>
      <c r="L7" s="163"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217">
        <f>HYPERLINK(LEFT(CELL("filename",A1),FIND("[",CELL("filename",A1))-1)&amp;"매뉴얼BODY(집행단계-첨부폴더)v8\9.통신분야\6_관제 및 운영사 인터페이스 협의\수행지침\관제 및 운영사 인터페이스 협의_수행지침.html", "👉 [클릭] 수행지침 열기 📄")</f>
        <v/>
      </c>
      <c r="N7" s="206"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217">
        <f>HYPERLINK(LEFT(CELL("filename",A1),FIND("[",CELL("filename",A1))-1)&amp;"매뉴얼BODY(집행단계-첨부폴더)v8\9.통신분야\6_관제 및 운영사 인터페이스 협의\체크리스트\9000-2-6_관제 및 운영사 인터페이스 협의_체크리스트.html", "👉 [클릭] 체크리스트 열기 📄")</f>
        <v/>
      </c>
      <c r="P7" s="207" t="n"/>
      <c r="Q7" s="163" t="inlineStr">
        <is>
          <t>● 관련분야 설계기준서 준수</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9000-9</t>
        </is>
      </c>
      <c r="C8" s="199" t="inlineStr">
        <is>
          <t>통신분야</t>
        </is>
      </c>
      <c r="D8" s="199" t="inlineStr">
        <is>
          <t>9000-9-7</t>
        </is>
      </c>
      <c r="E8" s="200" t="inlineStr">
        <is>
          <t>9000-9-6</t>
        </is>
      </c>
      <c r="F8" s="200" t="inlineStr">
        <is>
          <t>9000-9-8</t>
        </is>
      </c>
      <c r="G8" s="155" t="inlineStr">
        <is>
          <t>발주처 품질관리 기준/검사방안 확인</t>
        </is>
      </c>
      <c r="H8" s="200" t="inlineStr">
        <is>
          <t>- 감리/감독과 품질검사(ITP/ITC) 항목 검토</t>
        </is>
      </c>
      <c r="I8" s="200" t="inlineStr">
        <is>
          <t>ITP/ITC</t>
        </is>
      </c>
      <c r="J8" s="156" t="inlineStr">
        <is>
          <t>1) 발주처 입찰안내서 및 시방서 상의 통신 품질 시험 기준, 자재 승인 및 시험성적서 요구조건 검토
2) 품질시험계획서 수립 및 발주처 승인 품질 기준 준수서 작성 표준 적용</t>
        </is>
      </c>
      <c r="K8" s="213">
        <f>HYPERLINK(LEFT(CELL("filename",A1),FIND("[",CELL("filename",A1))-1)&amp;"매뉴얼BODY(집행단계-첨부폴더)v8\9.통신분야\7_발주처 품질 요구사항 검토\표준서\발주처 품질 요구사항 검토_표준서.html", "👉 [클릭] 표준서 열기 📄")</f>
        <v/>
      </c>
      <c r="L8" s="156"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213">
        <f>HYPERLINK(LEFT(CELL("filename",A1),FIND("[",CELL("filename",A1))-1)&amp;"매뉴얼BODY(집행단계-첨부폴더)v8\9.통신분야\7_발주처 품질 요구사항 검토\수행지침\발주처 품질 요구사항 검토_수행지침.html", "👉 [클릭] 수행지침 열기 📄")</f>
        <v/>
      </c>
      <c r="N8" s="201" t="inlineStr">
        <is>
          <t>1) [품질 계획] 발주처 품질검사 계획서(ITP)와 공사시방서의 품질 기준을 사전 정밀 대조하였는가?
2) [Hold Point] 감리원 현장 직접 입회 검측 항목(Hold Point)을 사전 분류 지정하였는가?</t>
        </is>
      </c>
      <c r="O8" s="213">
        <f>HYPERLINK(LEFT(CELL("filename",A1),FIND("[",CELL("filename",A1))-1)&amp;"매뉴얼BODY(집행단계-첨부폴더)v8\9.통신분야\7_발주처 품질 요구사항 검토\체크리스트\9000-2-7_발주처 품질 요구사항 검토_체크리스트.html", "👉 [클릭] 체크리스트 열기 📄")</f>
        <v/>
      </c>
      <c r="P8" s="202" t="n"/>
      <c r="Q8" s="156" t="inlineStr">
        <is>
          <t>● 관련분야 설계기준서 준수</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9000-9</t>
        </is>
      </c>
      <c r="C9" s="204" t="inlineStr">
        <is>
          <t>통신분야</t>
        </is>
      </c>
      <c r="D9" s="204" t="inlineStr">
        <is>
          <t>9000-9-8</t>
        </is>
      </c>
      <c r="E9" s="205" t="inlineStr">
        <is>
          <t>9000-9-7</t>
        </is>
      </c>
      <c r="F9" s="205" t="inlineStr">
        <is>
          <t>9000-9-9</t>
        </is>
      </c>
      <c r="G9" s="162" t="inlineStr">
        <is>
          <t>자재 / 인원 / 장비 투입 계획 수립</t>
        </is>
      </c>
      <c r="H9" s="228" t="inlineStr">
        <is>
          <t>- 현장 여건 및 수량을 기준으로 투입(인원, 장비, 자재) 검토</t>
        </is>
      </c>
      <c r="I9" s="205" t="inlineStr">
        <is>
          <t>세부 공정계획 수립 및 조율</t>
        </is>
      </c>
      <c r="J9" s="163" t="inlineStr">
        <is>
          <t>1) 통신 공사 착수 전 전문 인력 기술자격, 자재 투입 일정 및 전용 시험장비/공구 사전 검토
2) 예정공정표 대비 인원·장비 투입 수급 타당성 및 안전 수칙 준수 검토 승인 표준 적용</t>
        </is>
      </c>
      <c r="K9" s="217">
        <f>HYPERLINK(LEFT(CELL("filename",A1),FIND("[",CELL("filename",A1))-1)&amp;"매뉴얼BODY(집행단계-첨부폴더)v8\9.통신분야\8_자재 _ 인원 _ 장비 등 투입 사전 검토\표준서\자재 인력 장비 등 투입 사전 검토_표준서.html", "👉 [클릭] 표준서 열기 📄")</f>
        <v/>
      </c>
      <c r="L9" s="163"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217">
        <f>HYPERLINK(LEFT(CELL("filename",A1),FIND("[",CELL("filename",A1))-1)&amp;"매뉴얼BODY(집행단계-첨부폴더)v8\9.통신분야\8_자재 _ 인원 _ 장비 등 투입 사전 검토\수행지침\자재 인력 장비 등 투입 사전 검토_수행지침.html", "👉 [클릭] 수행지침 열기 📄")</f>
        <v/>
      </c>
      <c r="N9" s="206" t="inlineStr">
        <is>
          <t>1) [자원 계획] 공정별 통신 인력, 장비 수급 및 자재 수량을 사전 정밀 대조하였는가?
2) [인력 자격] 통신 공종별 특급/고급 기술자 자격증 및 현장 배치 계획을 확인하였는가?</t>
        </is>
      </c>
      <c r="O9" s="217">
        <f>HYPERLINK(LEFT(CELL("filename",A1),FIND("[",CELL("filename",A1))-1)&amp;"매뉴얼BODY(집행단계-첨부폴더)v8\9.통신분야\8_자재 _ 인원 _ 장비 등 투입 사전 검토\체크리스트\자재 인력 장비 등 투입 사전 검토_체크리스트.html", "👉 [클릭] 체크리스트 열기 📄")</f>
        <v/>
      </c>
      <c r="P9" s="207" t="n"/>
      <c r="Q9" s="163" t="inlineStr">
        <is>
          <t>● 관련분야 설계기준서 준수</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9000-9</t>
        </is>
      </c>
      <c r="C10" s="199" t="inlineStr">
        <is>
          <t>통신분야</t>
        </is>
      </c>
      <c r="D10" s="199" t="inlineStr">
        <is>
          <t>9000-9-9</t>
        </is>
      </c>
      <c r="E10" s="200" t="inlineStr">
        <is>
          <t>9000-9-8</t>
        </is>
      </c>
      <c r="F10" s="200" t="inlineStr">
        <is>
          <t>9000-9-10</t>
        </is>
      </c>
      <c r="G10" s="155" t="inlineStr">
        <is>
          <t>통신공사 수행 시, 선행공정 간섭사항 및 각종 Risk에 대한 대책 수립</t>
        </is>
      </c>
      <c r="H10" s="227"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200" t="inlineStr">
        <is>
          <t>Big Room 회의록(참석자 전원 서명)</t>
        </is>
      </c>
      <c r="J10" s="156" t="inlineStr">
        <is>
          <t>1) 공사 착수 전 발주처, 감리단, 시공사 및 타공종 합동 Big Room 회의를 통한 종합 공정 및 위험요인 검토
2) 간섭사항 사전 도출 및 공종 간 공정 마일스톤 협의록 작성 표준 적용</t>
        </is>
      </c>
      <c r="K10" s="213">
        <f>HYPERLINK(LEFT(CELL("filename",A1),FIND("[",CELL("filename",A1))-1)&amp;"매뉴얼BODY(집행단계-첨부폴더)v8\9.통신분야\8_자재 인력 장비 등 투입 사전 검토\표준서\자재 인력 장비 등 투입 사전 검토_표준서.html", "👉 [클릭] 표준서 열기 📄")</f>
        <v/>
      </c>
      <c r="L10" s="156"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213">
        <f>HYPERLINK(LEFT(CELL("filename",A1),FIND("[",CELL("filename",A1))-1)&amp;"매뉴얼BODY(집행단계-첨부폴더)v8\9.통신분야\8_자재 인력 장비 등 투입 사전 검토\수행지침\자재 인력 장비 등 투입 사전 검토_수행지침.html", "👉 [클릭] 수행지침 열기 📄")</f>
        <v/>
      </c>
      <c r="N10" s="201"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213">
        <f>HYPERLINK(LEFT(CELL("filename",A1),FIND("[",CELL("filename",A1))-1)&amp;"매뉴얼BODY(집행단계-첨부폴더)v8\9.통신분야\8_자재 인력 장비 등 투입 사전 검토\체크리스트\자재 인력 장비 등 투입 사전 검토_체크리스트.html", "👉 [클릭] 체크리스트 열기 📄")</f>
        <v/>
      </c>
      <c r="P10" s="202" t="n"/>
      <c r="Q10" s="156" t="inlineStr">
        <is>
          <t>● 관련분야 설계기준서 준수</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9000-9</t>
        </is>
      </c>
      <c r="C11" s="204" t="inlineStr">
        <is>
          <t>통신분야</t>
        </is>
      </c>
      <c r="D11" s="204" t="inlineStr">
        <is>
          <t>9000-9-10</t>
        </is>
      </c>
      <c r="E11" s="205" t="inlineStr">
        <is>
          <t>9000-9-9</t>
        </is>
      </c>
      <c r="F11" s="205" t="inlineStr">
        <is>
          <t>9000-9-11</t>
        </is>
      </c>
      <c r="G11" s="162" t="inlineStr">
        <is>
          <t>실제 설치되는 통신설비의 사양서를 확정하고 제작 사양서를 작성/승인</t>
        </is>
      </c>
      <c r="H11" s="228" t="inlineStr">
        <is>
          <t>- 현장여건 및 실시설계계획보고서/포함자재사양서의 요구사항 충족 여부를 확인
- 제작사양서, 제작도면 작성 후 감리단 승인</t>
        </is>
      </c>
      <c r="I11" s="205" t="inlineStr">
        <is>
          <t>제작사양서, 제작도면</t>
        </is>
      </c>
      <c r="J11" s="163" t="inlineStr">
        <is>
          <t>1) 통신설비 세부 기술사양서, 랙 배열도(Shop Drawing) 및 전기적/기계적 상세 도면 작성 검토
2) 감리단 및 발주처 승인을 위한 제작사양서 승인 신청서 및 공학적 승인 표준 적용</t>
        </is>
      </c>
      <c r="K11" s="217">
        <f>HYPERLINK(LEFT(CELL("filename",A1),FIND("[",CELL("filename",A1))-1)&amp;"매뉴얼BODY(집행단계-첨부폴더)v8\9.통신분야\9_착수 전 Big Room 회의\표준서\착수 전 Big Room 회의_표준서.html", "👉 [클릭] 표준서 열기 📄")</f>
        <v/>
      </c>
      <c r="L11" s="163"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217">
        <f>HYPERLINK(LEFT(CELL("filename",A1),FIND("[",CELL("filename",A1))-1)&amp;"매뉴얼BODY(집행단계-첨부폴더)v8\9.통신분야\9_착수 전 Big Room 회의\수행지침\착수 전 Big Room 회의_수행지침.html", "👉 [클릭] 수행지침 열기 📄")</f>
        <v/>
      </c>
      <c r="N11" s="206"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217">
        <f>HYPERLINK(LEFT(CELL("filename",A1),FIND("[",CELL("filename",A1))-1)&amp;"매뉴얼BODY(집행단계-첨부폴더)v8\9.통신분야\9_착수 전 Big Room 회의\체크리스트\9000-2-9_착수 전 Big Room 회의_체크리스트.html", "👉 [클릭] 체크리스트 열기 📄")</f>
        <v/>
      </c>
      <c r="P11" s="207" t="n"/>
      <c r="Q11" s="163" t="inlineStr">
        <is>
          <t>● 관련분야 설계기준서 준수</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9000-9</t>
        </is>
      </c>
      <c r="C12" s="199" t="inlineStr">
        <is>
          <t>통신분야</t>
        </is>
      </c>
      <c r="D12" s="199" t="inlineStr">
        <is>
          <t>9000-9-11</t>
        </is>
      </c>
      <c r="E12" s="200" t="inlineStr">
        <is>
          <t>9000-9-10</t>
        </is>
      </c>
      <c r="F12" s="200" t="inlineStr">
        <is>
          <t>9000-9-12</t>
        </is>
      </c>
      <c r="G12" s="155" t="inlineStr">
        <is>
          <t>안전/품질이 확보된 시공계획 수립</t>
        </is>
      </c>
      <c r="H12" s="20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200" t="inlineStr">
        <is>
          <t>시공계획서&amp;시공상세도, 자가전기통신설비 신고서/계획서</t>
        </is>
      </c>
      <c r="J12" s="156" t="inlineStr">
        <is>
          <t>1) 통신공사 공정별 상세 시공절차서, 안전관리계획서, 품질관리계획서 및 세부 공정표 수립
2) 통신설비 설치 공법 타당성 및 감리단 시공계획서 승인 제출 표준 적용</t>
        </is>
      </c>
      <c r="K12" s="213">
        <f>HYPERLINK(LEFT(CELL("filename",A1),FIND("[",CELL("filename",A1))-1)&amp;"매뉴얼BODY(집행단계-첨부폴더)v8\9.통신분야\10_통신설비 제작 사양서 작성 _ 승인\표준서\통신설비 제작 사양서 작성 _ 승인_표준서.html", "👉 [클릭] 표준서 열기 📄")</f>
        <v/>
      </c>
      <c r="L12" s="156"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213">
        <f>HYPERLINK(LEFT(CELL("filename",A1),FIND("[",CELL("filename",A1))-1)&amp;"매뉴얼BODY(집행단계-첨부폴더)v8\9.통신분야\10_통신설비 제작 사양서 작성 _ 승인\수행지침\통신설비 제작 사양서 작성 _ 승인_수행지침.html", "👉 [클릭] 수행지침 열기 📄")</f>
        <v/>
      </c>
      <c r="N12" s="201"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213">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202" t="n"/>
      <c r="Q12" s="156" t="inlineStr">
        <is>
          <t>● 관련분야 설계기준서 준수</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9000-9</t>
        </is>
      </c>
      <c r="C13" s="204" t="inlineStr">
        <is>
          <t>통신분야</t>
        </is>
      </c>
      <c r="D13" s="204" t="inlineStr">
        <is>
          <t>9000-9-12</t>
        </is>
      </c>
      <c r="E13" s="205" t="inlineStr">
        <is>
          <t>9000-9-11</t>
        </is>
      </c>
      <c r="F13" s="205" t="inlineStr">
        <is>
          <t>9000-9-13</t>
        </is>
      </c>
      <c r="G13" s="162" t="inlineStr">
        <is>
          <t>통신설비의 시공성과 품질, 기능 확보를 위한 자재 공급원 검토 및 승인</t>
        </is>
      </c>
      <c r="H13" s="205" t="inlineStr">
        <is>
          <t>- 통신자재제작능력, 유사사례 납품실적 확인
- 성능보증 가능한 통신자재 업체 Pool 검토
- 통신자재 설치 실적 및 설계능력 확인
- 보안성검토 결과 확인</t>
        </is>
      </c>
      <c r="I13" s="205" t="inlineStr">
        <is>
          <t>자재공급원/제작도서 승인 서류, 보안성검토 결과서</t>
        </is>
      </c>
      <c r="J13" s="163" t="inlineStr">
        <is>
          <t>1) 통신 주요 자재 및 기기 자재공급원 승인 서류(KS 인증, 시험성적서, 사업자등록증 등) 검토
2) 성능보증이 가능한 복수 자재공급원 승인 서류 수립 및 감리 승인 표준 적용</t>
        </is>
      </c>
      <c r="K13" s="217">
        <f>HYPERLINK(LEFT(CELL("filename",A1),FIND("[",CELL("filename",A1))-1)&amp;"매뉴얼BODY(집행단계-첨부폴더)v8\9.통신분야\11_시공 계획 수립 _ 승인\표준서\시공 계획 수립 _ 승인_표준서.html", "👉 [클릭] 표준서 열기 📄")</f>
        <v/>
      </c>
      <c r="L13" s="163"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217">
        <f>HYPERLINK(LEFT(CELL("filename",A1),FIND("[",CELL("filename",A1))-1)&amp;"매뉴얼BODY(집행단계-첨부폴더)v8\9.통신분야\11_시공 계획 수립 _ 승인\수행지침\시공 계획 수립 _ 승인_수행지침.html", "👉 [클릭] 수행지침 열기 📄")</f>
        <v/>
      </c>
      <c r="N13" s="206"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217">
        <f>HYPERLINK(LEFT(CELL("filename",A1),FIND("[",CELL("filename",A1))-1)&amp;"매뉴얼BODY(집행단계-첨부폴더)v8\9.통신분야\11_시공 계획 수립 _ 승인\체크리스트\9000-2-11_시공 계획 수립 _ 승인_체크리스트.html",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9000-9</t>
        </is>
      </c>
      <c r="C14" s="199" t="inlineStr">
        <is>
          <t>통신분야</t>
        </is>
      </c>
      <c r="D14" s="199" t="inlineStr">
        <is>
          <t>9000-9-13</t>
        </is>
      </c>
      <c r="E14" s="200" t="inlineStr">
        <is>
          <t>9000-9-12</t>
        </is>
      </c>
      <c r="F14" s="200" t="inlineStr">
        <is>
          <t>9000-9-14</t>
        </is>
      </c>
      <c r="G14" s="155" t="inlineStr">
        <is>
          <t>제작사양서/제작도면의 일치여부검토 및 현장반입 전 공장 성능검사 확인</t>
        </is>
      </c>
      <c r="H14" s="20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200" t="inlineStr">
        <is>
          <t>공장검사 결과보고서 (감리 및 관계기관 입회)</t>
        </is>
      </c>
      <c r="J14" s="156" t="inlineStr">
        <is>
          <t>1) 통신 기기 제작 공정 진행률 점검 및 공장시험(FAT, Factory Acceptance Test) 절차서 작성
2) 공장 수검 검사, 품질 성능 시험성적서 확인 및 공장검사 합격증명서 발급 표준 적용</t>
        </is>
      </c>
      <c r="K14" s="213">
        <f>HYPERLINK(LEFT(CELL("filename",A1),FIND("[",CELL("filename",A1))-1)&amp;"매뉴얼BODY(집행단계-첨부폴더)v8\9.통신분야\12_자재공급원 검토 및 승인\표준서\자재공급원 검토 및 승인_표준서.html", "👉 [클릭] 표준서 열기 📄")</f>
        <v/>
      </c>
      <c r="L14" s="156"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213">
        <f>HYPERLINK(LEFT(CELL("filename",A1),FIND("[",CELL("filename",A1))-1)&amp;"매뉴얼BODY(집행단계-첨부폴더)v8\9.통신분야\12_자재공급원 검토 및 승인\수행지침\자재공급원 검토 및 승인_수행지침.html", "👉 [클릭] 수행지침 열기 📄")</f>
        <v/>
      </c>
      <c r="N14" s="201"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213">
        <f>HYPERLINK(LEFT(CELL("filename",A1),FIND("[",CELL("filename",A1))-1)&amp;"매뉴얼BODY(집행단계-첨부폴더)v8\9.통신분야\12_자재공급원 검토 및 승인\체크리스트\9000-2-12_자재공급원 검토 및 승인_체크리스트.html",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9000-9</t>
        </is>
      </c>
      <c r="C15" s="204" t="inlineStr">
        <is>
          <t>통신분야</t>
        </is>
      </c>
      <c r="D15" s="204" t="inlineStr">
        <is>
          <t>9000-9-14</t>
        </is>
      </c>
      <c r="E15" s="205" t="inlineStr">
        <is>
          <t>9000-9-13</t>
        </is>
      </c>
      <c r="F15" s="205" t="inlineStr">
        <is>
          <t>9000-9-15</t>
        </is>
      </c>
      <c r="G15" s="162" t="inlineStr">
        <is>
          <t>통신설비 설치를 위한 현장점검/정리 상태 확인(기능실: 건축,전기/현장: 노반)</t>
        </is>
      </c>
      <c r="H15" s="205" t="inlineStr">
        <is>
          <t>- 통신설비 설치 시 간섭여부 점검
- 현장 정리상태 점검 (건축마감, 공조, 조명, 전원 등)
- 장비설치를 위한 자체반입구 및 케이블 설치를 위한 공동구/오프닝 위치 확인</t>
        </is>
      </c>
      <c r="I15" s="205" t="inlineStr">
        <is>
          <t>기록지, 현장점검결과보고서(감리입회)</t>
        </is>
      </c>
      <c r="J15" s="163" t="inlineStr">
        <is>
          <t>1) 토목·건축 선행 공정 완료 후 통신 기계실, 케이블 트레이, 관로 인수인계 현장 상태 검측
2) 바닥 엑세스플로어, 방화 구획 및 기초 구조체 인수인계 확인서 작성 표준 적용</t>
        </is>
      </c>
      <c r="K15" s="217">
        <f>HYPERLINK(LEFT(CELL("filename",A1),FIND("[",CELL("filename",A1))-1)&amp;"매뉴얼BODY(집행단계-첨부폴더)v8\9.통신분야\13_통신설비 공정제작 _ 제작사 공장검사\표준서\통신설비 공정제작 _ 제작사 공장검사_표준서.html", "👉 [클릭] 표준서 열기 📄")</f>
        <v/>
      </c>
      <c r="L15" s="163"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217">
        <f>HYPERLINK(LEFT(CELL("filename",A1),FIND("[",CELL("filename",A1))-1)&amp;"매뉴얼BODY(집행단계-첨부폴더)v8\9.통신분야\13_통신설비 공정제작 _ 제작사 공장검사\수행지침\통신설비 공정제작 _ 제작사 공장검사_수행지침.html", "👉 [클릭] 수행지침 열기 📄")</f>
        <v/>
      </c>
      <c r="N15" s="206"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217">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9000-9</t>
        </is>
      </c>
      <c r="C16" s="199" t="inlineStr">
        <is>
          <t>통신분야</t>
        </is>
      </c>
      <c r="D16" s="199" t="inlineStr">
        <is>
          <t>9000-9-15</t>
        </is>
      </c>
      <c r="E16" s="200" t="inlineStr">
        <is>
          <t>9000-9-14</t>
        </is>
      </c>
      <c r="F16" s="200" t="inlineStr">
        <is>
          <t>9000-9-16</t>
        </is>
      </c>
      <c r="G16" s="155" t="inlineStr">
        <is>
          <t>장비 반입 준비 및 안전교육 완료</t>
        </is>
      </c>
      <c r="H16" s="200" t="inlineStr">
        <is>
          <t>- 자재반입 경로, 적치장소에 대한 사전확인 및 타분야 일정, 간섭사항 협의/확인
- 장비 Spec확인, 장비상태 점검
- 작업원 안전교육 실시</t>
        </is>
      </c>
      <c r="I16" s="200" t="inlineStr">
        <is>
          <t>안전교육 결과서, 측량기록지</t>
        </is>
      </c>
      <c r="J16" s="156" t="inlineStr">
        <is>
          <t>1) 통신 시공 장비 및 차량 반입 전 장비 안전점검 및 작업자 특별안전보건교육 실시
2) 장비 반입 허가서 작성 및 안전 교육 이수 수료증 관리 표준 적용</t>
        </is>
      </c>
      <c r="K16" s="213">
        <f>HYPERLINK(LEFT(CELL("filename",A1),FIND("[",CELL("filename",A1))-1)&amp;"매뉴얼BODY(집행단계-첨부폴더)v8\9.통신분야\14_본공사 전 선행공정 인수인계 점검\표준서\본공사 전 선행공정 인수인계 점검_표준서.html", "👉 [클릭] 표준서 열기 📄")</f>
        <v/>
      </c>
      <c r="L16" s="156"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213">
        <f>HYPERLINK(LEFT(CELL("filename",A1),FIND("[",CELL("filename",A1))-1)&amp;"매뉴얼BODY(집행단계-첨부폴더)v8\9.통신분야\14_본공사 전 선행공정 인수인계 점검\수행지침\본공사 전 선행공정 인수인계 점검_수행지침.html", "👉 [클릭] 수행지침 열기 📄")</f>
        <v/>
      </c>
      <c r="N16" s="201" t="inlineStr">
        <is>
          <t>1) 화물차 반입 도로의 유효 폭(W≥3.5m) 및 지상 가설재 장애물(0cm) 상태를 확인하였는가?
2) 토목/건축 등 타분야 양중 작업 간섭 여부를 사전 협의하고 양중 시간대를 분리 조율하였는가?</t>
        </is>
      </c>
      <c r="O16" s="213">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9000-9</t>
        </is>
      </c>
      <c r="C17" s="204" t="inlineStr">
        <is>
          <t>통신분야</t>
        </is>
      </c>
      <c r="D17" s="204" t="inlineStr">
        <is>
          <t>9000-9-16</t>
        </is>
      </c>
      <c r="E17" s="205" t="inlineStr">
        <is>
          <t>9000-9-15</t>
        </is>
      </c>
      <c r="F17" s="205" t="inlineStr">
        <is>
          <t>9000-9-17</t>
        </is>
      </c>
      <c r="G17" s="162" t="inlineStr">
        <is>
          <t>공장검사 시행 완료된 자재반입과 현장 입고 검사</t>
        </is>
      </c>
      <c r="H17" s="205" t="inlineStr">
        <is>
          <t>- 자재 하차 위치 및 반입동선 확인
- 승인된 자재 일치여부 확인(Serial number 등)
- 제품의 규격, 수량 도면과 일치하는지 검토</t>
        </is>
      </c>
      <c r="I17" s="205" t="inlineStr">
        <is>
          <t>자재검수서</t>
        </is>
      </c>
      <c r="J17" s="163" t="inlineStr">
        <is>
          <t>1) 현장 반입 통신 자재 및 케이블의 승인 자재 일치성, 수량 및 운반 파손 여부 검수
2) 자재검수 요청서 작성 및 감리 입회 검수 합격 확인 표준 적용</t>
        </is>
      </c>
      <c r="K17" s="217">
        <f>HYPERLINK(LEFT(CELL("filename",A1),FIND("[",CELL("filename",A1))-1)&amp;"매뉴얼BODY(집행단계-첨부폴더)v8\9.통신분야\15_장비반입 및 안전교육\표준서\장비반입 및 안전교육_표준서.html", "👉 [클릭] 표준서 열기 📄")</f>
        <v/>
      </c>
      <c r="L17" s="163"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217">
        <f>HYPERLINK(LEFT(CELL("filename",A1),FIND("[",CELL("filename",A1))-1)&amp;"매뉴얼BODY(집행단계-첨부폴더)v8\9.통신분야\15_장비반입 및 안전교육\수행지침\장비반입 및 안전교육_수행지침.html", "👉 [클릭] 수행지침 열기 📄")</f>
        <v/>
      </c>
      <c r="N17" s="206" t="inlineStr">
        <is>
          <t>1) 시방 대조[도면 및 여건] 자재 하차 위치 및 반입동선 확인 수칙을 사전 대조 확인하였는가?
2) 업체 Pool[적격 업체] 철도/트램 시공 및 영업운행 실적이 입증된 적격 업체 Pool을 검토하였는가?</t>
        </is>
      </c>
      <c r="O17" s="217">
        <f>HYPERLINK(LEFT(CELL("filename",A1),FIND("[",CELL("filename",A1))-1)&amp;"매뉴얼BODY(집행단계-첨부폴더)v8\9.통신분야\15_장비반입 및 안전교육\체크리스트\9000-2-15_장비반입 및 안전교육_체크리스트.html",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9000-9</t>
        </is>
      </c>
      <c r="C18" s="199" t="inlineStr">
        <is>
          <t>통신분야</t>
        </is>
      </c>
      <c r="D18" s="199" t="inlineStr">
        <is>
          <t>9000-9-17</t>
        </is>
      </c>
      <c r="E18" s="200" t="inlineStr">
        <is>
          <t>9000-9-16</t>
        </is>
      </c>
      <c r="F18" s="200" t="inlineStr">
        <is>
          <t>9000-9-18</t>
        </is>
      </c>
      <c r="G18" s="155" t="inlineStr">
        <is>
          <t>설계에 부합되도록 통신설비 설치</t>
        </is>
      </c>
      <c r="H18" s="227"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200" t="inlineStr">
        <is>
          <t>검측서</t>
        </is>
      </c>
      <c r="J18" s="156" t="inlineStr">
        <is>
          <t>1) 통신 기계실 랙 설비, 본선 관로 광케이블 포설 및 역무 통신 기기 수평/수직 시공 설치
2) 케이블 성단, OTDR 접속 및 설비 고정 상태 검측 표준 적용</t>
        </is>
      </c>
      <c r="K18" s="213">
        <f>HYPERLINK(LEFT(CELL("filename",A1),FIND("[",CELL("filename",A1))-1)&amp;"매뉴얼BODY(집행단계-첨부폴더)v8\9.통신분야\16_자재 반입 및 검수\표준서\자재 반입 및 검수_표준서.html", "👉 [클릭] 표준서 열기 📄")</f>
        <v/>
      </c>
      <c r="L18" s="156"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213">
        <f>HYPERLINK(LEFT(CELL("filename",A1),FIND("[",CELL("filename",A1))-1)&amp;"매뉴얼BODY(집행단계-첨부폴더)v8\9.통신분야\16_자재 반입 및 검수\수행지침\자재 반입 및 검수_수행지침.html", "👉 [클릭] 수행지침 열기 📄")</f>
        <v/>
      </c>
      <c r="N18" s="201" t="inlineStr">
        <is>
          <t>1) 본 시공 착수 전 통신기계실 랙 배선 정돈 및 마킹 표찰 샘플을 감리단과 사전 검측하였는가?
2) 72-Core 광케이블 융착 접속 트레이 정돈 및 접속 손실 샘플 시공 승인을 획득하였는가?</t>
        </is>
      </c>
      <c r="O18" s="213">
        <f>HYPERLINK(LEFT(CELL("filename",A1),FIND("[",CELL("filename",A1))-1)&amp;"매뉴얼BODY(집행단계-첨부폴더)v8\9.통신분야\16_자재 반입 및 검수\체크리스트\9000-2-16_자재 반입 및 검수_체크리스트.html",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9000-9</t>
        </is>
      </c>
      <c r="C19" s="204" t="inlineStr">
        <is>
          <t>통신분야</t>
        </is>
      </c>
      <c r="D19" s="204" t="inlineStr">
        <is>
          <t>9000-9-18</t>
        </is>
      </c>
      <c r="E19" s="205" t="inlineStr">
        <is>
          <t>9000-9-17</t>
        </is>
      </c>
      <c r="F19" s="205" t="inlineStr">
        <is>
          <t>9000-9-19</t>
        </is>
      </c>
      <c r="G19" s="162" t="inlineStr">
        <is>
          <t>관제설비의 정위치 배치 및 설치</t>
        </is>
      </c>
      <c r="H19" s="228" t="inlineStr">
        <is>
          <t>- 랙 베이스/케이블 등 설치 위치를 확인하고 설치후에는 도면과 일치 여부를 체크
- 철도 교통관제(구로/대전)와 연동할 수 있게 광전송/열차무선 설비 등을 설치하고 확인</t>
        </is>
      </c>
      <c r="I19" s="205" t="inlineStr">
        <is>
          <t>검측서</t>
        </is>
      </c>
      <c r="J19" s="163" t="inlineStr">
        <is>
          <t>1) 종합관제센터 관제 콘솔, 대형 표시장치(DLP/LFD), 관제 서버 및 네트워크 설비 설치
2) 관제 시스템 전원 인입, 배선 정리 및 관제 환경 설치 검측 표준 적용</t>
        </is>
      </c>
      <c r="K19" s="217">
        <f>HYPERLINK(LEFT(CELL("filename",A1),FIND("[",CELL("filename",A1))-1)&amp;"매뉴얼BODY(집행단계-첨부폴더)v8\9.통신분야\17_통신설비 반입 및 설치\표준서\통신설비 반입 및 설치_표준서.html", "👉 [클릭] 표준서 열기 📄")</f>
        <v/>
      </c>
      <c r="L19" s="163"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217">
        <f>HYPERLINK(LEFT(CELL("filename",A1),FIND("[",CELL("filename",A1))-1)&amp;"매뉴얼BODY(집행단계-첨부폴더)v8\9.통신분야\17_통신설비 반입 및 설치\수행지침\통신설비 반입 및 설치_수행지침.html", "👉 [클릭] 수행지침 열기 📄")</f>
        <v/>
      </c>
      <c r="N19" s="206" t="inlineStr">
        <is>
          <t>1) OCC 관제실 전면 비디오 월 마운트 거치 프레임 레이저 수평 오차(±1.0mm 이내)를 실측하였는가?
2) 멀티 디스플레이 패널 간 베젤 이격 단차(≤0.5mm) 미세 조율 및 방진 가스켓 부착을 완료하였는가?</t>
        </is>
      </c>
      <c r="O19" s="217">
        <f>HYPERLINK(LEFT(CELL("filename",A1),FIND("[",CELL("filename",A1))-1)&amp;"매뉴얼BODY(집행단계-첨부폴더)v8\9.통신분야\17_통신설비 반입 및 설치\체크리스트\9000-2-17_통신설비 반입 및 설치_체크리스트.html",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9000-9</t>
        </is>
      </c>
      <c r="C20" s="199" t="inlineStr">
        <is>
          <t>통신분야</t>
        </is>
      </c>
      <c r="D20" s="199" t="inlineStr">
        <is>
          <t>9000-9-19</t>
        </is>
      </c>
      <c r="E20" s="200" t="inlineStr">
        <is>
          <t>9000-9-18</t>
        </is>
      </c>
      <c r="F20" s="200" t="inlineStr">
        <is>
          <t>9000-9-20</t>
        </is>
      </c>
      <c r="G20" s="155" t="inlineStr">
        <is>
          <t>통신설비(열차에 설치하는 차상통신 장치 포함)설치 후 전원투입 및 기능검증</t>
        </is>
      </c>
      <c r="H20" s="227" t="inlineStr">
        <is>
          <t>- ITP/ITC에 따라 시험/검사를 감리 확인</t>
        </is>
      </c>
      <c r="I20" s="200" t="inlineStr">
        <is>
          <t>감리단 입회검사 및 시험점검표(ITP/ITC)</t>
        </is>
      </c>
      <c r="J20" s="156" t="inlineStr">
        <is>
          <t>1) 통신 개별 단위 설비(LTE-R, 방송, CCTV, 역무, 전화 등) 전원 투입 및 단독 시험 실시
2) 설비별 단위시험 절차서 준수 및 단독 기능 시험성적서 작성 표준 적용</t>
        </is>
      </c>
      <c r="K20" s="213">
        <f>HYPERLINK(LEFT(CELL("filename",A1),FIND("[",CELL("filename",A1))-1)&amp;"매뉴얼BODY(집행단계-첨부폴더)v8\9.통신분야\18_관제설비 설치\표준서\관제설비 설치_표준서.html", "👉 [클릭] 표준서 열기 📄")</f>
        <v/>
      </c>
      <c r="L20" s="156"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213">
        <f>HYPERLINK(LEFT(CELL("filename",A1),FIND("[",CELL("filename",A1))-1)&amp;"매뉴얼BODY(집행단계-첨부폴더)v8\9.통신분야\18_관제설비 설치\수행지침\관제설비 설치_수행지침.html", "👉 [클릭] 수행지침 열기 📄")</f>
        <v/>
      </c>
      <c r="N20" s="201"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213">
        <f>HYPERLINK(LEFT(CELL("filename",A1),FIND("[",CELL("filename",A1))-1)&amp;"매뉴얼BODY(집행단계-첨부폴더)v8\9.통신분야\18_관제설비 설치\체크리스트\9000-2-18_관제설비 설치_체크리스트.html",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9000-9</t>
        </is>
      </c>
      <c r="C21" s="204" t="inlineStr">
        <is>
          <t>통신분야</t>
        </is>
      </c>
      <c r="D21" s="204" t="inlineStr">
        <is>
          <t>9000-9-20</t>
        </is>
      </c>
      <c r="E21" s="205" t="inlineStr">
        <is>
          <t>9000-9-19</t>
        </is>
      </c>
      <c r="F21" s="205" t="inlineStr">
        <is>
          <t>9000-9-21</t>
        </is>
      </c>
      <c r="G21" s="162" t="inlineStr">
        <is>
          <t>관제설비를 포함한 통신망 통합 검증</t>
        </is>
      </c>
      <c r="H21" s="205" t="inlineStr">
        <is>
          <t>- 감리단 입회하에 검사/시험절차대로 수행
1) 관제실/현장설비간 인터페이스 시험
2) 지상 및 차상 인터페이스 시험</t>
        </is>
      </c>
      <c r="I21" s="205" t="inlineStr">
        <is>
          <t>감리단 입회검사 및 시험점검표(ITP/ITC)</t>
        </is>
      </c>
      <c r="J21" s="163" t="inlineStr">
        <is>
          <t>1) 통신 설비 간 데이터 연동, LTE-R 무선망 백본 이중화 절체 및 종합 네트워크 연동 시험
2) 통합시험 절차서 준수 및 이종 통신 설비 간 상호 연동성 검측 표준 적용</t>
        </is>
      </c>
      <c r="K21" s="217">
        <f>HYPERLINK(LEFT(CELL("filename",A1),FIND("[",CELL("filename",A1))-1)&amp;"매뉴얼BODY(집행단계-첨부폴더)v8\9.통신분야\19_통신시스템 단위시험\표준서\통신시스템 단위시험_표준서.html", "👉 [클릭] 표준서 열기 📄")</f>
        <v/>
      </c>
      <c r="L21" s="163"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217">
        <f>HYPERLINK(LEFT(CELL("filename",A1),FIND("[",CELL("filename",A1))-1)&amp;"매뉴얼BODY(집행단계-첨부폴더)v8\9.통신분야\19_통신시스템 단위시험\수행지침\통신시스템 단위시험_수행지침.html", "👉 [클릭] 수행지침 열기 📄")</f>
        <v/>
      </c>
      <c r="N21" s="206"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217">
        <f>HYPERLINK(LEFT(CELL("filename",A1),FIND("[",CELL("filename",A1))-1)&amp;"매뉴얼BODY(집행단계-첨부폴더)v8\9.통신분야\19_통신시스템 단위시험\체크리스트\9000-2-19_통신시스템 단위시험_체크리스트.html",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9000-9</t>
        </is>
      </c>
      <c r="C22" s="199" t="inlineStr">
        <is>
          <t>통신분야</t>
        </is>
      </c>
      <c r="D22" s="199" t="inlineStr">
        <is>
          <t>9000-9-21</t>
        </is>
      </c>
      <c r="E22" s="200" t="inlineStr">
        <is>
          <t>9000-9-20</t>
        </is>
      </c>
      <c r="F22" s="200" t="inlineStr">
        <is>
          <t>9000-9-22</t>
        </is>
      </c>
      <c r="G22" s="155" t="inlineStr">
        <is>
          <t>발주처가 관련 법령, 설계기준, 기술기준, 시방서 등의 요구사항에 적합하도록 설치되었는지를 확인</t>
        </is>
      </c>
      <c r="H22" s="200" t="inlineStr">
        <is>
          <t>- 철도종합시험운행 시행지침 제6조(공종별시험)에 따라 시행</t>
        </is>
      </c>
      <c r="I22" s="200" t="inlineStr">
        <is>
          <t>공종별 시험 결과보고서</t>
        </is>
      </c>
      <c r="J22" s="156" t="inlineStr">
        <is>
          <t>1) 철도 종합시험운행 지침에 의거한 통신 공종별 상세 시운전 시험 절차 수립
2) 공종별 시험 항목 검측, 무선 전계강도 측정 및 시험성적서 확정 표준 적용</t>
        </is>
      </c>
      <c r="K22" s="213">
        <f>HYPERLINK(LEFT(CELL("filename",A1),FIND("[",CELL("filename",A1))-1)&amp;"매뉴얼BODY(집행단계-첨부폴더)v8\9.통신분야\20_통신시스템 통합시험\표준서\통신시스템 통합시험_표준서.html", "👉 [클릭] 표준서 열기 📄")</f>
        <v/>
      </c>
      <c r="L22" s="156"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213">
        <f>HYPERLINK(LEFT(CELL("filename",A1),FIND("[",CELL("filename",A1))-1)&amp;"매뉴얼BODY(집행단계-첨부폴더)v8\9.통신분야\20_통신시스템 통합시험\수행지침\통신시스템 통합시험_수행지침.html", "👉 [클릭] 수행지침 열기 📄")</f>
        <v/>
      </c>
      <c r="N22" s="201"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213">
        <f>HYPERLINK(LEFT(CELL("filename",A1),FIND("[",CELL("filename",A1))-1)&amp;"매뉴얼BODY(집행단계-첨부폴더)v8\9.통신분야\20_통신시스템 통합시험\체크리스트\9000-2-20_통신시스템 통합시험_체크리스트.html",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9000-9</t>
        </is>
      </c>
      <c r="C23" s="204" t="inlineStr">
        <is>
          <t>통신분야</t>
        </is>
      </c>
      <c r="D23" s="204" t="inlineStr">
        <is>
          <t>9000-9-22</t>
        </is>
      </c>
      <c r="E23" s="205" t="inlineStr">
        <is>
          <t>9000-9-21</t>
        </is>
      </c>
      <c r="F23" s="205" t="inlineStr">
        <is>
          <t>9000-9-23</t>
        </is>
      </c>
      <c r="G23" s="162" t="inlineStr">
        <is>
          <t>발주처가 원활한 차량시운전이 되도록 노반, 건축, 궤도, 전철전력, 통신, 신호 분야를 종합하여 최종 점검</t>
        </is>
      </c>
      <c r="H23" s="228" t="inlineStr">
        <is>
          <t>- 노반/궤도 시공상태 점검
- 건축한계 및 차량한계 검사
1) 건축한계: 폭(3,600mm) / 높이(5,300mm)
2) 차량한계: 폭(3,200mm) / 높이(4,750mm)
- 전차선, 신호, 통신 작동상태 확인</t>
        </is>
      </c>
      <c r="I23" s="205" t="inlineStr">
        <is>
          <t>점검 결과보고서</t>
        </is>
      </c>
      <c r="J23" s="163" t="inlineStr">
        <is>
          <t>1) 본선 트램 차량 투입 전 LTE-R 차상 통신장치, 무선 안테나 및 관제 무선 연동태세 점검
2) 차량 투입 대비 통신 무무선 연동 안전 상태 확인 표준 적용</t>
        </is>
      </c>
      <c r="K23" s="217">
        <f>HYPERLINK(LEFT(CELL("filename",A1),FIND("[",CELL("filename",A1))-1)&amp;"매뉴얼BODY(집행단계-첨부폴더)v8\9.통신분야\21_공종별 시험\표준서\9000-2-21_공종별 시험_표준서.html", "👉 [클릭] 표준서 열기 📄")</f>
        <v/>
      </c>
      <c r="L23" s="163"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217">
        <f>HYPERLINK(LEFT(CELL("filename",A1),FIND("[",CELL("filename",A1))-1)&amp;"매뉴얼BODY(집행단계-첨부폴더)v8\9.통신분야\21_공종별 시험\수행지침\공종별 시험_수행지침.html", "👉 [클릭] 수행지침 열기 📄")</f>
        <v/>
      </c>
      <c r="N23" s="206"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217">
        <f>HYPERLINK(LEFT(CELL("filename",A1),FIND("[",CELL("filename",A1))-1)&amp;"매뉴얼BODY(집행단계-첨부폴더)v8\9.통신분야\21_공종별 시험\체크리스트\9000-2-21_공종별 시험_체크리스트.html",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9000-9</t>
        </is>
      </c>
      <c r="C24" s="199" t="inlineStr">
        <is>
          <t>통신분야</t>
        </is>
      </c>
      <c r="D24" s="199" t="inlineStr">
        <is>
          <t>9000-9-23</t>
        </is>
      </c>
      <c r="E24" s="200" t="inlineStr">
        <is>
          <t>9000-9-22</t>
        </is>
      </c>
      <c r="F24" s="200" t="inlineStr">
        <is>
          <t>9000-9-24</t>
        </is>
      </c>
      <c r="G24" s="155" t="inlineStr">
        <is>
          <t>철도안전법에 따른 철도차량 형식시험</t>
        </is>
      </c>
      <c r="H24" s="200" t="inlineStr">
        <is>
          <t>- 철도안전법 제26조(철도차량 형식승인)에 따라 이행(주로 본선구간 수행)
- 차량, 신호, 통신 시스템간 인터페이스 시험</t>
        </is>
      </c>
      <c r="I24" s="200" t="inlineStr">
        <is>
          <t>철도차량 형식승인 결과 보고서</t>
        </is>
      </c>
      <c r="J24" s="156" t="inlineStr">
        <is>
          <t>1) 트램 차량 본선 주행 시 LTE-R 무선 수신강도(RSSI/RSRP), 핸드오버 및 음성/데이터 통신 검측
2) 주행 중 통신 끊김 여부 및 차상-지상 간 통신 품질 성과표 작성 표준 적용</t>
        </is>
      </c>
      <c r="K24" s="213">
        <f>HYPERLINK(LEFT(CELL("filename",A1),FIND("[",CELL("filename",A1))-1)&amp;"매뉴얼BODY(집행단계-첨부폴더)v8\9.통신분야\22_차량 투입 전 점검\표준서\차량 투입 전 점검_표준서.html", "👉 [클릭] 표준서 열기 📄")</f>
        <v/>
      </c>
      <c r="L24" s="156" t="inlineStr">
        <is>
          <t>1) 본선 주행 시험: 트램 차량 본선 주행 중 LTE-R 무선 수신강도(RSSI ≥ -95dBm), 핸드오버 성공률(≥99.5%) 실측
2) 주행 통신 검측: 차상-지상 간 CCTV 영상 전송 및 관제 데이터 무선 통신 품질 성과표 최종 확정</t>
        </is>
      </c>
      <c r="M24" s="213">
        <f>HYPERLINK(LEFT(CELL("filename",A1),FIND("[",CELL("filename",A1))-1)&amp;"매뉴얼BODY(집행단계-첨부폴더)v8\9.통신분야\22_차량 투입 전 점검\수행지침\차량 투입 전 점검_수행지침.html", "👉 [클릭] 수행지침 열기 📄")</f>
        <v/>
      </c>
      <c r="N24" s="201"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213">
        <f>HYPERLINK(LEFT(CELL("filename",A1),FIND("[",CELL("filename",A1))-1)&amp;"매뉴얼BODY(집행단계-첨부폴더)v8\9.통신분야\22_차량 투입 전 점검\체크리스트\9000-2-22_차량 투입 전 점검_체크리스트.html", "👉 [클릭] 체크리스트 열기 📄")</f>
        <v/>
      </c>
      <c r="P24" s="202" t="n"/>
      <c r="Q24" s="156" t="inlineStr">
        <is>
          <t>● 관련분야 설계기준서 준수</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9000-9</t>
        </is>
      </c>
      <c r="C25" s="204" t="inlineStr">
        <is>
          <t>통신분야</t>
        </is>
      </c>
      <c r="D25" s="204" t="inlineStr">
        <is>
          <t>9000-9-24</t>
        </is>
      </c>
      <c r="E25" s="205" t="inlineStr">
        <is>
          <t>9000-9-23</t>
        </is>
      </c>
      <c r="F25" s="205" t="inlineStr">
        <is>
          <t>9000-9-25</t>
        </is>
      </c>
      <c r="G25" s="162" t="inlineStr">
        <is>
          <t>영업시운전 전에 시설을 운영자를 대상으로 운영 및 유지관리방법에 대해 교육</t>
        </is>
      </c>
      <c r="H25" s="205" t="inlineStr">
        <is>
          <t>- 통신 시스템 제작사가 만든 매뉴얼로 운영자를 교육
: 관제설비등통신설비 운영/관리방법</t>
        </is>
      </c>
      <c r="I25" s="205" t="inlineStr">
        <is>
          <t>운영자 교육 결과서</t>
        </is>
      </c>
      <c r="J25" s="163" t="inlineStr">
        <is>
          <t>1) 시설물 인수인계 전 운영사 운영자 및 유지보수 요원 대상 통신 시스템 운영 교육 실시
2) 교육 교재 작성, 시스템 운용/장해 조치 실습 및 교육 이수 확인서 작성 표준 적용</t>
        </is>
      </c>
      <c r="K25" s="217">
        <f>HYPERLINK(LEFT(CELL("filename",A1),FIND("[",CELL("filename",A1))-1)&amp;"매뉴얼BODY(집행단계-첨부폴더)v8\9.통신분야\23_차량 시운전\표준서\9000-2-23_차량 시운전_표준서.html", "👉 [클릭] 표준서 열기 📄")</f>
        <v/>
      </c>
      <c r="L25" s="163"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217">
        <f>HYPERLINK(LEFT(CELL("filename",A1),FIND("[",CELL("filename",A1))-1)&amp;"매뉴얼BODY(집행단계-첨부폴더)v8\9.통신분야\23_차량 시운전\수행지침\차량 시운전_수행지침.html", "👉 [클릭] 수행지침 열기 📄")</f>
        <v/>
      </c>
      <c r="N25" s="206" t="inlineStr">
        <is>
          <t>1) 통신 4대 계통(교환, 무선, PIS/PA, CCTV) 제작사 공식 기술 매뉴얼을 수집·구비하였는가?
2) 주요 장비 장애 시 대응할 수 있는 계통별 긴급 비상 조치 매뉴얼 교재를 편찬하였는가?</t>
        </is>
      </c>
      <c r="O25" s="217">
        <f>HYPERLINK(LEFT(CELL("filename",A1),FIND("[",CELL("filename",A1))-1)&amp;"매뉴얼BODY(집행단계-첨부폴더)v8\9.통신분야\23_차량 시운전\체크리스트\9000-2-23_차량 시운전_체크리스트.html", "👉 [클릭] 체크리스트 열기 📄")</f>
        <v/>
      </c>
      <c r="P25" s="207" t="n"/>
      <c r="Q25" s="163" t="inlineStr">
        <is>
          <t>● 관련분야 설계기준서 준수</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9000-9</t>
        </is>
      </c>
      <c r="C26" s="199" t="inlineStr">
        <is>
          <t>통신분야</t>
        </is>
      </c>
      <c r="D26" s="199" t="inlineStr">
        <is>
          <t>9000-9-25</t>
        </is>
      </c>
      <c r="E26" s="200" t="inlineStr">
        <is>
          <t>9000-9-24</t>
        </is>
      </c>
      <c r="F26" s="200" t="inlineStr">
        <is>
          <t>9000-9-26</t>
        </is>
      </c>
      <c r="G26" s="155" t="inlineStr">
        <is>
          <t>시설물검증시험의 가능여부를 확인하기 위하여 발주처와 운영자가 합동으로 점검</t>
        </is>
      </c>
      <c r="H26" s="20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200" t="inlineStr">
        <is>
          <t>사전점검 결과보고서/승인문서(한국교통안전공단)</t>
        </is>
      </c>
      <c r="J26" s="156" t="inlineStr">
        <is>
          <t>1) 철도종합시험운행 지침 제8조에 의거한 사전점검계획 수립 및 기술기준 부합성 종합 점검
2) 사전점검 결과 보고서 작성 및 한국교통안전공단 제출 승인 표준 적용</t>
        </is>
      </c>
      <c r="K26" s="213">
        <f>HYPERLINK(LEFT(CELL("filename",A1),FIND("[",CELL("filename",A1))-1)&amp;"매뉴얼BODY(집행단계-첨부폴더)v8\9.통신분야\24_운영자 교육시행\표준서\운영자 교육시행_표준서.html", "👉 [클릭] 표준서 열기 📄")</f>
        <v/>
      </c>
      <c r="L26" s="156"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213">
        <f>HYPERLINK(LEFT(CELL("filename",A1),FIND("[",CELL("filename",A1))-1)&amp;"매뉴얼BODY(집행단계-첨부폴더)v8\9.통신분야\24_운영자 교육시행\수행지침\운영자 교육시행_수행지침.html", "👉 [클릭] 수행지침 열기 📄")</f>
        <v/>
      </c>
      <c r="N26" s="201" t="inlineStr">
        <is>
          <t>1) 철도종합시험운행 시행지침 제8조 규정에 맞춘 사전점검계획서를 작성하였는가?
2) 발주처, 운영기관, 책임감리단 및 현장소장이 포함된 3자 합동 사전점검반을 조직하였는가?</t>
        </is>
      </c>
      <c r="O26" s="213">
        <f>HYPERLINK(LEFT(CELL("filename",A1),FIND("[",CELL("filename",A1))-1)&amp;"매뉴얼BODY(집행단계-첨부폴더)v8\9.통신분야\24_운영자 교육시행\체크리스트\9000-2-24_운영자 교육시행_체크리스트.html", "👉 [클릭] 체크리스트 열기 📄")</f>
        <v/>
      </c>
      <c r="P26" s="202" t="n"/>
      <c r="Q26" s="156" t="inlineStr">
        <is>
          <t>● 관련분야 설계기준서 준수</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9000-9</t>
        </is>
      </c>
      <c r="C27" s="204" t="inlineStr">
        <is>
          <t>통신분야</t>
        </is>
      </c>
      <c r="D27" s="204" t="inlineStr">
        <is>
          <t>9000-9-26</t>
        </is>
      </c>
      <c r="E27" s="205" t="inlineStr">
        <is>
          <t>9000-9-25</t>
        </is>
      </c>
      <c r="F27" s="205" t="inlineStr">
        <is>
          <t>9000-9-27</t>
        </is>
      </c>
      <c r="G27" s="162" t="inlineStr">
        <is>
          <t>발주처는 시설물의 정상작동 상태 등을 확인하기 위해 시설물 검증시험을 수행</t>
        </is>
      </c>
      <c r="H27" s="205"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205" t="inlineStr">
        <is>
          <t>시설물 검증시험 결과보고서/승인문서(한국교통안전공단)</t>
        </is>
      </c>
      <c r="J27" s="163" t="inlineStr">
        <is>
          <t>1) 시설물검증시험 계획 수립 및 본선 주행 시험 차량을 이용한 통신 설비 최고속도 성능 검증
2) LTE-R 무선 품질, 관제 데이터 전송률 및 시설물검증 합격 판정 표준 적용</t>
        </is>
      </c>
      <c r="K27" s="217">
        <f>HYPERLINK(LEFT(CELL("filename",A1),FIND("[",CELL("filename",A1))-1)&amp;"매뉴얼BODY(집행단계-첨부폴더)v8\9.통신분야\25_사전점검\표준서\9000-2-25_사전점검_표준서.html", "👉 [클릭] 표준서 열기 📄")</f>
        <v/>
      </c>
      <c r="L27" s="163"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217">
        <f>HYPERLINK(LEFT(CELL("filename",A1),FIND("[",CELL("filename",A1))-1)&amp;"매뉴얼BODY(집행단계-첨부폴더)v8\9.통신분야\25_사전점검\수행지침\9000-2-25_사전점검_수행지침.html", "👉 [클릭] 수행지침 열기 📄")</f>
        <v/>
      </c>
      <c r="N27" s="206" t="inlineStr">
        <is>
          <t>1) 철도종합시험운행 시행지침 제14조에 따라 시설물검증시험계획을 작성하였는가?
2) 전문기관인 한국교통안전공단으로부터 시설물검증시험계획 적격 승인을 수령하였는가?</t>
        </is>
      </c>
      <c r="O27" s="217">
        <f>HYPERLINK(LEFT(CELL("filename",A1),FIND("[",CELL("filename",A1))-1)&amp;"매뉴얼BODY(집행단계-첨부폴더)v8\9.통신분야\25_사전점검\체크리스트\9000-2-25_사전점검_체크리스트.html", "👉 [클릭] 체크리스트 열기 📄")</f>
        <v/>
      </c>
      <c r="P27" s="207" t="n"/>
      <c r="Q27" s="163" t="inlineStr">
        <is>
          <t>● 관련분야 설계기준서 준수</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9000-9</t>
        </is>
      </c>
      <c r="C28" s="199" t="inlineStr">
        <is>
          <t>통신분야</t>
        </is>
      </c>
      <c r="D28" s="199" t="inlineStr">
        <is>
          <t>9000-9-27</t>
        </is>
      </c>
      <c r="E28" s="200" t="inlineStr">
        <is>
          <t>9000-9-26</t>
        </is>
      </c>
      <c r="F28" s="200" t="inlineStr">
        <is>
          <t>9000-9-28</t>
        </is>
      </c>
      <c r="G28" s="155" t="inlineStr">
        <is>
          <t>발주처는 영업시운전계획에 따라 열차운행체계를 확인하기 위해 영업시운전을 수행</t>
        </is>
      </c>
      <c r="H28" s="227"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200" t="inlineStr">
        <is>
          <t>영업시운전 결과보고서/승인문서(한국교통안전공단), 국토부 승인문서</t>
        </is>
      </c>
      <c r="J28" s="156" t="inlineStr">
        <is>
          <t>1) 실제 영업 조건과 동일한 환경에서의 통신 시스템 연속 가동 및 관제 운용 검증
2) 영업시운전 기간 중 통신 장애 0건 달성 및 시운전 완료 보고서 확정 표준 적용</t>
        </is>
      </c>
      <c r="K28" s="213">
        <f>HYPERLINK(LEFT(CELL("filename",A1),FIND("[",CELL("filename",A1))-1)&amp;"매뉴얼BODY(집행단계-첨부폴더)v8\9.통신분야\26_시설물 검증시험\표준서\시설물 검증시험_표준서.html", "👉 [클릭] 표준서 열기 📄")</f>
        <v/>
      </c>
      <c r="L28" s="156"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213">
        <f>HYPERLINK(LEFT(CELL("filename",A1),FIND("[",CELL("filename",A1))-1)&amp;"매뉴얼BODY(집행단계-첨부폴더)v8\9.통신분야\26_시설물 검증시험\수행지침\시설물 검증시험_수행지침.html", "👉 [클릭] 수행지침 열기 📄")</f>
        <v/>
      </c>
      <c r="N28" s="201" t="inlineStr">
        <is>
          <t>1) 철도종합시험운행 시행지침 제22조에 따른 영업시운전계획을 수립하였는가?
2) 전 정거장 행선안내게시기(PIS) 도착 시각 및 열치 위치 안내 오송출 0건을 달성하였는가?</t>
        </is>
      </c>
      <c r="O28" s="213">
        <f>HYPERLINK(LEFT(CELL("filename",A1),FIND("[",CELL("filename",A1))-1)&amp;"매뉴얼BODY(집행단계-첨부폴더)v8\9.통신분야\26_시설물 검증시험\체크리스트\9000-2-26_시설물 검증시험_체크리스트.html", "👉 [클릭] 체크리스트 열기 📄")</f>
        <v/>
      </c>
      <c r="P28" s="202" t="n"/>
      <c r="Q28" s="156" t="inlineStr">
        <is>
          <t>● 관련분야 설계기준서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9000-9</t>
        </is>
      </c>
      <c r="C29" s="204" t="inlineStr">
        <is>
          <t>통신분야</t>
        </is>
      </c>
      <c r="D29" s="204" t="inlineStr">
        <is>
          <t>9000-9-28</t>
        </is>
      </c>
      <c r="E29" s="205" t="inlineStr">
        <is>
          <t>9000-9-27</t>
        </is>
      </c>
      <c r="F29" s="205" t="inlineStr">
        <is>
          <t>9000-9-29</t>
        </is>
      </c>
      <c r="G29" s="162" t="inlineStr">
        <is>
          <t>자가용전기통신설비의 합법적 설치</t>
        </is>
      </c>
      <c r="H29" s="205" t="inlineStr">
        <is>
          <t>- 관할 시청/구청에 설치공사 시작 21일 전까지 신고서와 설계도서 제출 (처리기간 15일)</t>
        </is>
      </c>
      <c r="I29" s="205" t="inlineStr">
        <is>
          <t>자가전기통신설비 설치신고 필증</t>
        </is>
      </c>
      <c r="J29" s="163" t="inlineStr">
        <is>
          <t>1) 전기통신사업법 제64조에 의거한 자가용전기통신설비 설치신고서 및 설비 개요서 작성
2) 관할 지자체(화성시 등) 제출 및 설치신고 수리증 발급 획득 표준 적용</t>
        </is>
      </c>
      <c r="K29" s="217">
        <f>HYPERLINK(LEFT(CELL("filename",A1),FIND("[",CELL("filename",A1))-1)&amp;"매뉴얼BODY(집행단계-첨부폴더)v8\9.통신분야\27_영업시운전\표준서\9000-2-27_영업시운전_표준서.html", "👉 [클릭] 표준서 열기 📄")</f>
        <v/>
      </c>
      <c r="L29" s="163"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217">
        <f>HYPERLINK(LEFT(CELL("filename",A1),FIND("[",CELL("filename",A1))-1)&amp;"매뉴얼BODY(집행단계-첨부폴더)v8\9.통신분야\27_영업시운전\수행지침\9000-2-27_영업시운전_수행지침.html", "👉 [클릭] 수행지침 열기 📄")</f>
        <v/>
      </c>
      <c r="N29" s="206" t="inlineStr">
        <is>
          <t>1) 시방 대조[도면 및 여건] • 관련법령: 전기통신사업법 제64조 수칙을 사전 대조 확인하였는가?
2) 업체 Pool[적격 업체] 철도/트램 시공 및 영업운행 실적이 입증된 적격 업체 Pool을 검토하였는가?</t>
        </is>
      </c>
      <c r="O29" s="217">
        <f>HYPERLINK(LEFT(CELL("filename",A1),FIND("[",CELL("filename",A1))-1)&amp;"매뉴얼BODY(집행단계-첨부폴더)v8\9.통신분야\27_영업시운전\체크리스트\9000-2-27_영업시운전_체크리스트.html", "👉 [클릭] 체크리스트 열기 📄")</f>
        <v/>
      </c>
      <c r="P29" s="207" t="n"/>
      <c r="Q29" s="163" t="inlineStr">
        <is>
          <t>● 전기통신사업법 제64조</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9000-9</t>
        </is>
      </c>
      <c r="C30" s="199" t="inlineStr">
        <is>
          <t>통신분야</t>
        </is>
      </c>
      <c r="D30" s="199" t="inlineStr">
        <is>
          <t>9000-9-29</t>
        </is>
      </c>
      <c r="E30" s="200" t="inlineStr">
        <is>
          <t>9000-9-28</t>
        </is>
      </c>
      <c r="F30" s="200" t="inlineStr">
        <is>
          <t>9000-9-30</t>
        </is>
      </c>
      <c r="G30" s="155" t="inlineStr">
        <is>
          <t>무선국 설치 후 사용을 위한 법적 허가 취득</t>
        </is>
      </c>
      <c r="H30" s="200" t="inlineStr">
        <is>
          <t>- 무선국(LTE-R) 설치 후 중앙전파관리소에 신청서, 시설개요서, 공사설계서 제출 (처리기간 14일)</t>
        </is>
      </c>
      <c r="I30" s="200" t="inlineStr">
        <is>
          <t>무선국허가증</t>
        </is>
      </c>
      <c r="J30" s="156" t="inlineStr">
        <is>
          <t>1) 전파법 제19조에 의거한 철도무선통신망(LTE-R) 무선국 개설허가 신청서 제출
2) KCA(한국방송통신전파진흥원) 제출 및 무선국 개설허가서 획득 표준 적용</t>
        </is>
      </c>
      <c r="K30" s="213">
        <f>HYPERLINK(LEFT(CELL("filename",A1),FIND("[",CELL("filename",A1))-1)&amp;"매뉴얼BODY(집행단계-첨부폴더)v8\9.통신분야\28_자가용전기통신설비 설치신고\표준서\자가용전기통신설비 설치신고_표준서.html", "👉 [클릭] 표준서 열기 📄")</f>
        <v/>
      </c>
      <c r="L30" s="156"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213">
        <f>HYPERLINK(LEFT(CELL("filename",A1),FIND("[",CELL("filename",A1))-1)&amp;"매뉴얼BODY(집행단계-첨부폴더)v8\9.통신분야\28_자가용전기통신설비 설치신고\수행지침\자가용전기통신설비 설치신고_수행지침.html", "👉 [클릭] 수행지침 열기 📄")</f>
        <v/>
      </c>
      <c r="N30" s="201" t="inlineStr">
        <is>
          <t>1) 철도무선통신망 700MHz 대역(718~728MHz/773~783MHz) 주파수 할당 조건을 확인하였는가?
2) 본선 지상 기지국 안테나 설치 위치, 높이, 이득(dBi) 및 지향각 제원을 조사하였는가?</t>
        </is>
      </c>
      <c r="O30" s="213">
        <f>HYPERLINK(LEFT(CELL("filename",A1),FIND("[",CELL("filename",A1))-1)&amp;"매뉴얼BODY(집행단계-첨부폴더)v8\9.통신분야\28_자가용전기통신설비 설치신고\체크리스트\9000-2-28_자가용전기통신설비 설치신고_체크리스트.html", "👉 [클릭] 체크리스트 열기 📄")</f>
        <v/>
      </c>
      <c r="P30" s="202" t="n"/>
      <c r="Q30" s="156" t="inlineStr">
        <is>
          <t>● 전파법 제19조</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9000-9</t>
        </is>
      </c>
      <c r="C31" s="204" t="inlineStr">
        <is>
          <t>통신분야</t>
        </is>
      </c>
      <c r="D31" s="204" t="inlineStr">
        <is>
          <t>9000-9-30</t>
        </is>
      </c>
      <c r="E31" s="205" t="inlineStr">
        <is>
          <t>9000-9-29</t>
        </is>
      </c>
      <c r="F31" s="205" t="inlineStr">
        <is>
          <t>9000-9-31</t>
        </is>
      </c>
      <c r="G31" s="162" t="inlineStr">
        <is>
          <t>무선 장비의 보안성 및 타 기관 상호운용성 검증</t>
        </is>
      </c>
      <c r="H31" s="205" t="inlineStr">
        <is>
          <t>- 한국정보통신기술협회에 시험결과서 제출하여 검증 진행 (처리기간 1개월)</t>
        </is>
      </c>
      <c r="I31" s="205" t="inlineStr">
        <is>
          <t>상호운용성,보안적합성 시험 인증서</t>
        </is>
      </c>
      <c r="J31" s="163" t="inlineStr">
        <is>
          <t>1) 국토교통부 지침 및 국가용 보안요구사항에 의거한 LTE-R 상호운용성/보안적합성 검증
2) 국가정보원/KISA 보안 적합성 검증 승인서 및 상호연동 시험 합격 표준 적용</t>
        </is>
      </c>
      <c r="K31" s="217">
        <f>HYPERLINK(LEFT(CELL("filename",A1),FIND("[",CELL("filename",A1))-1)&amp;"매뉴얼BODY(집행단계-첨부폴더)v8\9.통신분야\29_LTE-R 무선국 허가\표준서\LTE-R 무선국 허가_표준서.html", "👉 [클릭] 표준서 열기 📄")</f>
        <v/>
      </c>
      <c r="L31" s="163"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217">
        <f>HYPERLINK(LEFT(CELL("filename",A1),FIND("[",CELL("filename",A1))-1)&amp;"매뉴얼BODY(집행단계-첨부폴더)v8\9.통신분야\29_LTE-R 무선국 허가\수행지침\LTE-R 무선국 허가_수행지침.html", "👉 [클릭] 수행지침 열기 📄")</f>
        <v/>
      </c>
      <c r="N31" s="206"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217">
        <f>HYPERLINK(LEFT(CELL("filename",A1),FIND("[",CELL("filename",A1))-1)&amp;"매뉴얼BODY(집행단계-첨부폴더)v8\9.통신분야\29_LTE-R 무선국 허가\체크리스트\LTE-R 무선국 허가_체크리스트.html", "👉 [클릭] 체크리스트 열기 📄")</f>
        <v/>
      </c>
      <c r="P31" s="207" t="n"/>
      <c r="Q31" s="163" t="inlineStr">
        <is>
          <t>● 국가철도공단 표준규격(KRSA) 5007-R3 / 5008-R2</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9000-9</t>
        </is>
      </c>
      <c r="C32" s="199" t="inlineStr">
        <is>
          <t>통신분야</t>
        </is>
      </c>
      <c r="D32" s="199" t="inlineStr">
        <is>
          <t>9000-9-31</t>
        </is>
      </c>
      <c r="E32" s="200" t="inlineStr">
        <is>
          <t>9000-9-30</t>
        </is>
      </c>
      <c r="F32" s="200" t="inlineStr">
        <is>
          <t>9000-9-32</t>
        </is>
      </c>
      <c r="G32" s="155" t="inlineStr">
        <is>
          <t>시공 완료된 정보통신설비의 준공 전 사용 적합성 검증</t>
        </is>
      </c>
      <c r="H32" s="200" t="inlineStr">
        <is>
          <t>- 관할 시청/구청에 사용전검사 신청서와 준공설계도서 제출 (처리기간 14일)</t>
        </is>
      </c>
      <c r="I32" s="200" t="inlineStr">
        <is>
          <t>정보통신사용전검사 필증</t>
        </is>
      </c>
      <c r="J32" s="156" t="inlineStr">
        <is>
          <t>1) 정보통신공사업법 제36조에 의거한 구내 통신 및 정보통신설비 사용전검사 신청
2) 관할 지자체 현장 검측 수검 및 정보통신 사용전검사 필증 획득 표준 적용</t>
        </is>
      </c>
      <c r="K32" s="213">
        <f>HYPERLINK(LEFT(CELL("filename",A1),FIND("[",CELL("filename",A1))-1)&amp;"매뉴얼BODY(집행단계-첨부폴더)v8\9.통신분야\29_LTE-R 무선국허가\표준서\LTE-R 무선국허가_표준서.html", "👉 [클릭] 표준서 열기 📄")</f>
        <v/>
      </c>
      <c r="L32" s="156"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213">
        <f>HYPERLINK(LEFT(CELL("filename",A1),FIND("[",CELL("filename",A1))-1)&amp;"매뉴얼BODY(집행단계-첨부폴더)v8\9.통신분야\29_LTE-R 무선국허가\수행지침\LTE-R 무선국허가_수행지침.html", "👉 [클릭] 수행지침 열기 📄")</f>
        <v/>
      </c>
      <c r="N32" s="201" t="inlineStr">
        <is>
          <t>1) 구내 UTP 랜선 전수에 대해 케이블 테스터 계측 Pass 100%를 달성하였는가?
2) 정거장 승강장 및 관제동 배관 입상부 배관 씰링 및 네임택 표기 상태를 확인하였는가?</t>
        </is>
      </c>
      <c r="O32" s="213">
        <f>HYPERLINK(LEFT(CELL("filename",A1),FIND("[",CELL("filename",A1))-1)&amp;"매뉴얼BODY(집행단계-첨부폴더)v8\9.통신분야\29_LTE-R 무선국허가\체크리스트\9000-2-29_LTE-R 무선국허가_체크리스트.html", "👉 [클릭] 체크리스트 열기 📄")</f>
        <v/>
      </c>
      <c r="P32" s="202" t="n"/>
      <c r="Q32" s="156" t="inlineStr">
        <is>
          <t>● 정보통신공사법 제36조</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9000-9</t>
        </is>
      </c>
      <c r="C33" s="204" t="inlineStr">
        <is>
          <t>통신분야</t>
        </is>
      </c>
      <c r="D33" s="204" t="inlineStr">
        <is>
          <t>9000-9-32</t>
        </is>
      </c>
      <c r="E33" s="205" t="inlineStr">
        <is>
          <t>9000-9-31</t>
        </is>
      </c>
      <c r="F33" s="205" t="inlineStr">
        <is>
          <t>-</t>
        </is>
      </c>
      <c r="G33" s="162" t="inlineStr">
        <is>
          <t>무선국 전파 특성 검증 및 준공 처리</t>
        </is>
      </c>
      <c r="H33" s="205" t="inlineStr">
        <is>
          <t>- 한국방송통신전파진흥원에 준공신고서, 안테나전력/주파수편차/불요발사강도 측정표, 안테나 Pattern 도표 제출 (처리기간 14일)</t>
        </is>
      </c>
      <c r="I33" s="205" t="inlineStr">
        <is>
          <t>LTE-R 무선국 준공검사 확인서</t>
        </is>
      </c>
      <c r="J33" s="163" t="inlineStr">
        <is>
          <t>1) 전파법 제24조에 의거한 KCA 무선국 준공검사 현장 실측 수검 실시
2) 무선 전계강도 및 준공 상태 검사 합격 후 무선국 준공검사 합격증명서 획득 표준 적용</t>
        </is>
      </c>
      <c r="K33" s="217">
        <f>HYPERLINK(LEFT(CELL("filename",A1),FIND("[",CELL("filename",A1))-1)&amp;"매뉴얼BODY(집행단계-첨부폴더)v8\9.통신분야\30_LTE-R 상호운용성 및 보안적합성 검증\표준서\LTE-R 상호운용성 및 보안적합성 검증_표준서.html", "👉 [클릭] 표준서 열기 📄")</f>
        <v/>
      </c>
      <c r="L33" s="163"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217">
        <f>HYPERLINK(LEFT(CELL("filename",A1),FIND("[",CELL("filename",A1))-1)&amp;"매뉴얼BODY(집행단계-첨부폴더)v8\9.통신분야\30_LTE-R 상호운용성 및 보안적합성 검증\수행지침\LTE-R 상호운용성 및 보안적합성 검증_수행지침.html", "👉 [클릭] 수행지침 열기 📄")</f>
        <v/>
      </c>
      <c r="N33" s="206" t="inlineStr">
        <is>
          <t>1) 전파법 시행령 제38조 서식에 맞춘 무선국 준공신고서를 KCA에 제출하였는가?
2) 개설허가서 사본, 기지국 시공 내역서 및 안테나 제원표 구비를 완료하였는가?</t>
        </is>
      </c>
      <c r="O33" s="217">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207" t="n"/>
      <c r="Q33" s="163" t="inlineStr">
        <is>
          <t>● 전파법 제24조</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LW47"/>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K2" sqref="K2"/>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1" min="7" max="7"/>
    <col width="14" customWidth="1" style="1" min="8" max="8"/>
    <col width="14" customWidth="1" style="1" min="9" max="9"/>
    <col width="38" customWidth="1" style="1" min="10" max="10"/>
    <col width="54" customWidth="1" style="72" min="11" max="11"/>
    <col width="30" customWidth="1" style="72" min="12" max="12"/>
    <col width="36" customWidth="1" style="1" min="13" max="13"/>
    <col width="24" customWidth="1" style="1" min="14" max="14"/>
    <col width="36" customWidth="1" style="72" min="15" max="15"/>
    <col width="24" customWidth="1" style="1" min="16" max="16"/>
    <col width="36" customWidth="1" style="1" min="17" max="35"/>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9000-8</t>
        </is>
      </c>
      <c r="C2" s="199" t="inlineStr">
        <is>
          <t>전기분야</t>
        </is>
      </c>
      <c r="D2" s="199" t="inlineStr">
        <is>
          <t>9000-8-1</t>
        </is>
      </c>
      <c r="E2" s="200" t="inlineStr">
        <is>
          <t>-</t>
        </is>
      </c>
      <c r="F2" s="200" t="inlineStr">
        <is>
          <t>9000-8-2</t>
        </is>
      </c>
      <c r="G2" s="155" t="inlineStr">
        <is>
          <t>설계적정성 및 시공성 검토</t>
        </is>
      </c>
      <c r="H2" s="227"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200" t="inlineStr">
        <is>
          <t>회의록, 설계검토 보고서</t>
        </is>
      </c>
      <c r="J2" s="156" t="inlineStr">
        <is>
          <t>"전기공사업법, 전기사업법, 한국전기설비규정(KEC), 도로법(점용허가) 및 산업안전보건법 준수 여부를 1:1 검토한다."</t>
        </is>
      </c>
      <c r="K2" s="213">
        <f>HYPERLINK(LEFT(CELL("filename",A1),FIND("[",CELL("filename",A1))-1)&amp;"매뉴얼BODY(집행단계-첨부폴더)v8\8.전기분야\1_설계적정성 검토\표준서\설계적정성 검토_표준서.html", "👉 [클릭] 표준서 열기 📄")</f>
        <v/>
      </c>
      <c r="L2" s="156"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213">
        <f>HYPERLINK(LEFT(CELL("filename",A1),FIND("[",CELL("filename",A1))-1)&amp;"매뉴얼BODY(집행단계-첨부폴더)v8\8.전기분야\1_설계적정성 검토\수행지침\설계적정성 검토_수행지침.html", "👉 [클릭] 수행지침 열기 📄")</f>
        <v/>
      </c>
      <c r="N2" s="201" t="inlineStr">
        <is>
          <t>본 체크리스트는 철도설계기준(KDS 47 00 00) 및 전기사업법에 의거하여,전기 분야 전반(송변전, 전력, 전차선, 배전, 접지, 인허가 등)에 대한 핵심 설계 적정성을 점검하고, 리스크(Risk) 헷지 및 기회(Oppo...</t>
        </is>
      </c>
      <c r="O2" s="213">
        <f>HYPERLINK(LEFT(CELL("filename",A1),FIND("[",CELL("filename",A1))-1)&amp;"매뉴얼BODY(집행단계-첨부폴더)v8\8.전기분야\1_설계적정성 검토\체크리스트\설계적정성 검토_체크리스트.html", "👉 [클릭] 체크리스트 열기 📄")</f>
        <v/>
      </c>
      <c r="P2" s="202" t="n"/>
      <c r="Q2" s="156" t="n"/>
      <c r="R2" s="203" t="n"/>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9000-8</t>
        </is>
      </c>
      <c r="C3" s="204" t="inlineStr">
        <is>
          <t>전기분야</t>
        </is>
      </c>
      <c r="D3" s="204" t="inlineStr">
        <is>
          <t>9000-8-2</t>
        </is>
      </c>
      <c r="E3" s="205" t="inlineStr">
        <is>
          <t>9000-8-1</t>
        </is>
      </c>
      <c r="F3" s="205" t="inlineStr">
        <is>
          <t>9000-8-3</t>
        </is>
      </c>
      <c r="G3" s="162" t="inlineStr">
        <is>
          <t>노면전차설비 공사 발주 전략수립</t>
        </is>
      </c>
      <c r="H3" s="228"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205" t="inlineStr">
        <is>
          <t>KOM 검토결과서, 현장설명서</t>
        </is>
      </c>
      <c r="J3" s="163" t="inlineStr">
        <is>
          <t>공정표 대비 노면전차 특수자재(전차선 강성가선, 변압기 등)의 공장 제작/조달 Lead Time을 사전 반영함.</t>
        </is>
      </c>
      <c r="K3" s="217">
        <f>HYPERLINK(LEFT(CELL("filename",A1),FIND("[",CELL("filename",A1))-1)&amp;"매뉴얼BODY(집행단계-첨부폴더)v8\8.전기분야\2_발주전략 KOM\표준서\발주전략 KOM_표준서.html", "👉 [클릭] 표준서 열기 📄")</f>
        <v/>
      </c>
      <c r="L3" s="163"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217">
        <f>HYPERLINK(LEFT(CELL("filename",A1),FIND("[",CELL("filename",A1))-1)&amp;"매뉴얼BODY(집행단계-첨부폴더)v8\8.전기분야\2_발주전략 KOM\수행지침\발주전략 KOM_수행지침.html", "👉 [클릭] 수행지침 열기 📄")</f>
        <v/>
      </c>
      <c r="N3" s="206"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217">
        <f>HYPERLINK(LEFT(CELL("filename",A1),FIND("[",CELL("filename",A1))-1)&amp;"매뉴얼BODY(집행단계-첨부폴더)v8\8.전기분야\2_발주전략 KOM\체크리스트\발주전략 KOM_체크리스트.html", "👉 [클릭] 체크리스트 열기 📄")</f>
        <v/>
      </c>
      <c r="P3" s="207" t="n"/>
      <c r="Q3" s="163" t="n"/>
      <c r="R3" s="208" t="n"/>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9000-8</t>
        </is>
      </c>
      <c r="C4" s="199" t="inlineStr">
        <is>
          <t>전기분야</t>
        </is>
      </c>
      <c r="D4" s="199" t="inlineStr">
        <is>
          <t>9000-8-3</t>
        </is>
      </c>
      <c r="E4" s="200" t="inlineStr">
        <is>
          <t>9000-8-2</t>
        </is>
      </c>
      <c r="F4" s="200" t="inlineStr">
        <is>
          <t>9000-8-4</t>
        </is>
      </c>
      <c r="G4" s="155" t="inlineStr">
        <is>
          <t>전력설비 설치를 위한 요구사항 검토</t>
        </is>
      </c>
      <c r="H4" s="227" t="inlineStr">
        <is>
          <t>- 자재 반출입 동선/공동구/횡단관로/케이블 인입구 등 확인, 기능실마감 및 출입문 
   확인, 토목분야 선시공 자재관련 적정성 여부 확인</t>
        </is>
      </c>
      <c r="I4" s="200" t="inlineStr">
        <is>
          <t>인터페이스 회의록 및 관리대장</t>
        </is>
      </c>
      <c r="J4" s="156" t="inlineStr">
        <is>
          <t>"정류기, 변압기, ESS 대형 기자재 반입 동선, 출입문 유효 폭/높이(H x W) 및 양중 훅 위치 실측 검증"</t>
        </is>
      </c>
      <c r="K4" s="213">
        <f>HYPERLINK(LEFT(CELL("filename",A1),FIND("[",CELL("filename",A1))-1)&amp;"매뉴얼BODY(집행단계-첨부폴더)v8\8.전기분야\3_토목 _ 건축 인터페이스 협의\표준서\토목 _ 건축 인터페이스 협의_표준서.html", "👉 [클릭] 표준서 열기 📄")</f>
        <v/>
      </c>
      <c r="L4" s="156"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213">
        <f>HYPERLINK(LEFT(CELL("filename",A1),FIND("[",CELL("filename",A1))-1)&amp;"매뉴얼BODY(집행단계-첨부폴더)v8\8.전기분야\3_토목 _ 건축 인터페이스 협의\수행지침\토목 _ 건축 인터페이스 협의_수행지침.html", "👉 [클릭] 수행지침 열기 📄")</f>
        <v/>
      </c>
      <c r="N4" s="201"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213">
        <f>HYPERLINK(LEFT(CELL("filename",A1),FIND("[",CELL("filename",A1))-1)&amp;"매뉴얼BODY(집행단계-첨부폴더)v8\8.전기분야\3_토목 _ 건축 인터페이스 협의\체크리스트\토목 _ 건축 인터페이스 협의_체크리스트.html", "👉 [클릭] 체크리스트 열기 📄")</f>
        <v/>
      </c>
      <c r="P4" s="202" t="n"/>
      <c r="Q4" s="156" t="n"/>
      <c r="R4" s="203" t="n"/>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9000-8</t>
        </is>
      </c>
      <c r="C5" s="204" t="inlineStr">
        <is>
          <t>전기분야</t>
        </is>
      </c>
      <c r="D5" s="204" t="inlineStr">
        <is>
          <t>9000-8-4</t>
        </is>
      </c>
      <c r="E5" s="205" t="inlineStr">
        <is>
          <t>9000-8-3</t>
        </is>
      </c>
      <c r="F5" s="205" t="inlineStr">
        <is>
          <t>9000-8-5</t>
        </is>
      </c>
      <c r="G5" s="162" t="inlineStr">
        <is>
          <t>연계분야간 사전조율 및 인터페이스 사항 도출로 재작업 예방</t>
        </is>
      </c>
      <c r="H5" s="228"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205" t="inlineStr">
        <is>
          <t>인터페이스 회의록 및 관리대장</t>
        </is>
      </c>
      <c r="J5" s="163" t="inlineStr">
        <is>
          <t>"신호, 통신, 기계, PSD 및 트램 차량 전력 공급 관로, 배선 용량 및 트레이 타공 누락 사항 정밀 추출"</t>
        </is>
      </c>
      <c r="K5" s="217">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163" t="inlineStr">
        <is>
          <t>전기분야와 타공종(신호, 통신, 기계, PSD, 트램 차량) 간 인터페이스 설계도서 상 누락 및 협의사항 도출, 관로/배선/트레이/인터록 신호선 사전 조율을 통해 재작업을 원천 예방함</t>
        </is>
      </c>
      <c r="M5" s="217">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206"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217">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207" t="n"/>
      <c r="Q5" s="163" t="n"/>
      <c r="R5" s="208" t="n"/>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9000-8</t>
        </is>
      </c>
      <c r="C6" s="199" t="inlineStr">
        <is>
          <t>전기분야</t>
        </is>
      </c>
      <c r="D6" s="199" t="inlineStr">
        <is>
          <t>9000-8-5</t>
        </is>
      </c>
      <c r="E6" s="200" t="inlineStr">
        <is>
          <t>9000-8-4</t>
        </is>
      </c>
      <c r="F6" s="200" t="inlineStr">
        <is>
          <t>9000-8-6</t>
        </is>
      </c>
      <c r="G6" s="155" t="inlineStr">
        <is>
          <t>전기설비간 연동방안 검토</t>
        </is>
      </c>
      <c r="H6" s="200" t="inlineStr">
        <is>
          <t>- 내부 인터페이스 및 인허가사항 확인</t>
        </is>
      </c>
      <c r="I6" s="200" t="inlineStr">
        <is>
          <t>인터페이스 회의록 및 관리대장 , 보안성검토 요청서</t>
        </is>
      </c>
      <c r="J6" s="156" t="inlineStr">
        <is>
          <t>"SCADA RTU, 변전소 GIS, 정류기, ESS 릴레이 간 IEC 61850 및 Modbus 통신 핀 맵/신호 주소 1:1 검증"</t>
        </is>
      </c>
      <c r="K6" s="213">
        <f>HYPERLINK(LEFT(CELL("filename",A1),FIND("[",CELL("filename",A1))-1)&amp;"매뉴얼BODY(집행단계-첨부폴더)v8\8.전기분야\5_전기설비 제작사 인터페이스 협의\표준서\전기설비 제작사 인터페이스 협의_표준서.html", "👉 [클릭] 표준서 열기 📄")</f>
        <v/>
      </c>
      <c r="L6" s="156" t="inlineStr">
        <is>
          <t>전기설비(변압기, 정류기, ESS, GIS, SCADA RTU) 제작사 사양 사전 반영, 이종 제작사 간 통신 프로토콜(IEC 61850, Modbus) 핀 맵/제어 랙 치수 조율 및 제작사양서 확정</t>
        </is>
      </c>
      <c r="M6" s="213">
        <f>HYPERLINK(LEFT(CELL("filename",A1),FIND("[",CELL("filename",A1))-1)&amp;"매뉴얼BODY(집행단계-첨부폴더)v8\8.전기분야\5_전기설비 제작사 인터페이스 협의\수행지침\전기설비 제작사 인터페이스 협의_수행지침.html", "👉 [클릭] 수행지침 열기 📄")</f>
        <v/>
      </c>
      <c r="N6" s="201" t="inlineStr">
        <is>
          <t>본 체크리스트는 동탄트램 전기분야 시공 착수 전전기설비(변압기, 정류기, ESS, GIS, SCADA RTU) 제작사 사양 사전 반영, 이종 제작사 간 통신 프로토콜(IEC 61850, Modbus) 핀 맵/제어 랙 치수 조...</t>
        </is>
      </c>
      <c r="O6" s="213">
        <f>HYPERLINK(LEFT(CELL("filename",A1),FIND("[",CELL("filename",A1))-1)&amp;"매뉴얼BODY(집행단계-첨부폴더)v8\8.전기분야\5_전기설비 제작사 인터페이스 협의\체크리스트\전기설비 제작사 인터페이스 협의_체크리스트.html", "👉 [클릭] 체크리스트 열기 📄")</f>
        <v/>
      </c>
      <c r="P6" s="202" t="n"/>
      <c r="Q6" s="156" t="n"/>
      <c r="R6" s="203" t="n"/>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9000-8</t>
        </is>
      </c>
      <c r="C7" s="204" t="inlineStr">
        <is>
          <t>전기분야</t>
        </is>
      </c>
      <c r="D7" s="204" t="inlineStr">
        <is>
          <t>9000-8-6</t>
        </is>
      </c>
      <c r="E7" s="205" t="inlineStr">
        <is>
          <t>9000-8-5</t>
        </is>
      </c>
      <c r="F7" s="205" t="inlineStr">
        <is>
          <t>9000-8-7</t>
        </is>
      </c>
      <c r="G7" s="162" t="inlineStr">
        <is>
          <t>관제 및 운영사 요구사항 사전 반영 및 과업범위 최적화</t>
        </is>
      </c>
      <c r="H7" s="228"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205" t="inlineStr">
        <is>
          <t>인터페이스 회의록 및 관리대장</t>
        </is>
      </c>
      <c r="J7" s="163" t="inlineStr">
        <is>
          <t>"지자체(수원시, 화성시) 도로교통관제 센터와 트램 우선신호 제어기 간 통신 인터페이스 및 연동 협의"</t>
        </is>
      </c>
      <c r="K7" s="217">
        <f>HYPERLINK(LEFT(CELL("filename",A1),FIND("[",CELL("filename",A1))-1)&amp;"매뉴얼BODY(집행단계-첨부폴더)v8\8.전기분야\6_관제 및 운영사 인터페이스 협의\표준서\관제 및 운영사 인터페이스 협의_표준서.html", "👉 [클릭] 표준서 열기 📄")</f>
        <v/>
      </c>
      <c r="L7" s="163" t="inlineStr">
        <is>
          <t>수원시/동탄 도로교통관제 트램 우선신호 연동, 트램관제실(OCC) SCADA MMI 심볼 표준화, 차단기/단로기/접지스위치 안전 인터록 Logic 및 유지보수자 편의 기능 사전 협의</t>
        </is>
      </c>
      <c r="M7" s="217">
        <f>HYPERLINK(LEFT(CELL("filename",A1),FIND("[",CELL("filename",A1))-1)&amp;"매뉴얼BODY(집행단계-첨부폴더)v8\8.전기분야\6_관제 및 운영사 인터페이스 협의\수행지침\관제 및 운영사 인터페이스 협의_수행지침.html", "👉 [클릭] 수행지침 열기 📄")</f>
        <v/>
      </c>
      <c r="N7" s="206"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217">
        <f>HYPERLINK(LEFT(CELL("filename",A1),FIND("[",CELL("filename",A1))-1)&amp;"매뉴얼BODY(집행단계-첨부폴더)v8\8.전기분야\6_관제 및 운영사 인터페이스 협의\체크리스트\관제 및 운영사 인터페이스 협의_체크리스트.html", "👉 [클릭] 체크리스트 열기 📄")</f>
        <v/>
      </c>
      <c r="P7" s="207" t="n"/>
      <c r="Q7" s="163" t="n"/>
      <c r="R7" s="208" t="n"/>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9000-8</t>
        </is>
      </c>
      <c r="C8" s="199" t="inlineStr">
        <is>
          <t>전기분야</t>
        </is>
      </c>
      <c r="D8" s="199" t="inlineStr">
        <is>
          <t>9000-8-7</t>
        </is>
      </c>
      <c r="E8" s="200" t="inlineStr">
        <is>
          <t>9000-8-6</t>
        </is>
      </c>
      <c r="F8" s="200" t="inlineStr">
        <is>
          <t>9000-8-8</t>
        </is>
      </c>
      <c r="G8" s="155" t="inlineStr">
        <is>
          <t>발주처 품질관리 기준/검사방안 확인</t>
        </is>
      </c>
      <c r="H8" s="200" t="inlineStr">
        <is>
          <t>- 감리/감독과 품질검사(ITP/ITC) 항목 검토</t>
        </is>
      </c>
      <c r="I8" s="200" t="inlineStr">
        <is>
          <t>ITP/ITC</t>
        </is>
      </c>
      <c r="J8" s="156" t="inlineStr">
        <is>
          <t>"감리/감독원 입회 품질검측계획서(ITP: Inspection &amp; Test Plan) 작성 및 Hold Point(필수정지점) / Witness Point(입회점) 구분 명시"</t>
        </is>
      </c>
      <c r="K8" s="213">
        <f>HYPERLINK(LEFT(CELL("filename",A1),FIND("[",CELL("filename",A1))-1)&amp;"매뉴얼BODY(집행단계-첨부폴더)v8\8.전기분야\7_발주처 품질 요구사항 검토\표준서\발주처 품질 요구사항 검토_표준서.html", "👉 [클릭] 표준서 열기 📄")</f>
        <v/>
      </c>
      <c r="L8" s="156" t="inlineStr">
        <is>
          <t>감리/감독원 품질검사(ITP/ITC) 항목 검토, Hold Point/Witness Point 입회점 구분 수립, 현장 계측기 교정성적서 관리 및 불합격 자재 48시간 내 반출 통제 수칙</t>
        </is>
      </c>
      <c r="M8" s="213">
        <f>HYPERLINK(LEFT(CELL("filename",A1),FIND("[",CELL("filename",A1))-1)&amp;"매뉴얼BODY(집행단계-첨부폴더)v8\8.전기분야\7_발주처 품질 요구사항 검토\수행지침\발주처 품질 요구사항 검토_수행지침.html", "👉 [클릭] 수행지침 열기 📄")</f>
        <v/>
      </c>
      <c r="N8" s="201" t="inlineStr">
        <is>
          <t>본 체크리스트는 동탄트램 전기분야 업무 이행에 대해감리/감독원 품질검사(ITP/ITC) 항목 검토, Hold Point/Witness Point 입회점 구분 수립, 현장 계측기 교정성적서 관리 및 불합격 자재 48시간 내 반...</t>
        </is>
      </c>
      <c r="O8" s="213">
        <f>HYPERLINK(LEFT(CELL("filename",A1),FIND("[",CELL("filename",A1))-1)&amp;"매뉴얼BODY(집행단계-첨부폴더)v8\8.전기분야\7_발주처 품질 요구사항 검토\체크리스트\발주처 품질 요구사항 검토_체크리스트.html", "👉 [클릭] 체크리스트 열기 📄")</f>
        <v/>
      </c>
      <c r="P8" s="202" t="n"/>
      <c r="Q8" s="156" t="n"/>
      <c r="R8" s="203" t="n"/>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9000-8</t>
        </is>
      </c>
      <c r="C9" s="204" t="inlineStr">
        <is>
          <t>전기분야</t>
        </is>
      </c>
      <c r="D9" s="204" t="inlineStr">
        <is>
          <t>9000-8-8</t>
        </is>
      </c>
      <c r="E9" s="205" t="inlineStr">
        <is>
          <t>9000-8-7</t>
        </is>
      </c>
      <c r="F9" s="205" t="inlineStr">
        <is>
          <t>9000-8-9</t>
        </is>
      </c>
      <c r="G9" s="162" t="inlineStr">
        <is>
          <t>자재 / 인원 / 장비 투입 계획 수립</t>
        </is>
      </c>
      <c r="H9" s="228" t="inlineStr">
        <is>
          <t>- 현장 여건 및 수량을 기준으로 투입(인력, 장비, 자재)을 검토</t>
        </is>
      </c>
      <c r="I9" s="205" t="inlineStr">
        <is>
          <t>세부 공정계획 수립 및 조율</t>
        </is>
      </c>
      <c r="J9" s="163" t="inlineStr">
        <is>
          <t>"변압기, GIS, 정류기, ESS, 전차선 등 주요 전기자재 공장 제작 및 수급 소요 기간(Lead Time 30~60일)을 공정표와 사전 연동 통제"</t>
        </is>
      </c>
      <c r="K9" s="217">
        <f>HYPERLINK(LEFT(CELL("filename",A1),FIND("[",CELL("filename",A1))-1)&amp;"매뉴얼BODY(집행단계-첨부폴더)v8\8.전기분야\8_자재 _ 인원 _ 장비 등 투입 사전 검토\표준서\자재 _ 인원 _ 장비 등 투입 사전 검토_표준서.html", "👉 [클릭] 표준서 열기 📄")</f>
        <v/>
      </c>
      <c r="L9" s="163" t="inlineStr">
        <is>
          <t>현장 여건 및 공정을 기준으로 주요 자재 Lead Time(30~60일) 사전 발주 검증, 한국전기공사협회 기술자 자격 실물 대조, 고소작업차 안전검사합격증 확인 및 투입계획서 승인</t>
        </is>
      </c>
      <c r="M9" s="217">
        <f>HYPERLINK(LEFT(CELL("filename",A1),FIND("[",CELL("filename",A1))-1)&amp;"매뉴얼BODY(집행단계-첨부폴더)v8\8.전기분야\8_자재 _ 인원 _ 장비 등 투입 사전 검토\수행지침\자재 _ 인원 _ 장비 등 투입 사전 검토_수행지침.html", "👉 [클릭] 수행지침 열기 📄")</f>
        <v/>
      </c>
      <c r="N9" s="206"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217">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207" t="n"/>
      <c r="Q9" s="163" t="n"/>
      <c r="R9" s="208" t="n"/>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9000-8</t>
        </is>
      </c>
      <c r="C10" s="199" t="inlineStr">
        <is>
          <t>전기분야</t>
        </is>
      </c>
      <c r="D10" s="199" t="inlineStr">
        <is>
          <t>9000-8-9</t>
        </is>
      </c>
      <c r="E10" s="200" t="inlineStr">
        <is>
          <t>9000-8-8</t>
        </is>
      </c>
      <c r="F10" s="200" t="inlineStr">
        <is>
          <t>9000-8-10</t>
        </is>
      </c>
      <c r="G10" s="155" t="inlineStr">
        <is>
          <t>관련법에 따른 인허가 수행</t>
        </is>
      </c>
      <c r="H10" s="227" t="inlineStr">
        <is>
          <t>- 인허가(전기사용신청, 공사계획신고, 도로점용허가, 도로공사 신고, 전기 사용전검사 등) 추진 계획을 To do list 작성하여 관리</t>
        </is>
      </c>
      <c r="I10" s="200" t="inlineStr">
        <is>
          <t>인허가 To do list</t>
        </is>
      </c>
      <c r="J10" s="156" t="inlineStr">
        <is>
          <t>"관할 한전에 수전 용량 계산서, 건축허가서, 22.9kV 수전 단선도 첨부 전기사용신청서 제출(처리기간 1개월) 및 인수점 지중 맨홀 협의"</t>
        </is>
      </c>
      <c r="K10" s="213">
        <f>HYPERLINK(LEFT(CELL("filename",A1),FIND("[",CELL("filename",A1))-1)&amp;"매뉴얼BODY(집행단계-첨부폴더)v8\8.전기분야\9_인허가 준비\표준서\인허가 준비_표준서.html", "👉 [클릭] 표준서 열기 📄")</f>
        <v/>
      </c>
      <c r="L10" s="156" t="inlineStr">
        <is>
          <t>한전 22.9kV 수전 전기사용신청, 지자체 전기 공사계획신고, 도로점용허가(도로법 56조), 도로공사신고(도로교통법 69조) 및 KESC 사용전검사 인허가 To-Do List 추적 관리</t>
        </is>
      </c>
      <c r="M10" s="213">
        <f>HYPERLINK(LEFT(CELL("filename",A1),FIND("[",CELL("filename",A1))-1)&amp;"매뉴얼BODY(집행단계-첨부폴더)v8\8.전기분야\9_인허가 준비\수행지침\인허가 준비_수행지침.html", "👉 [클릭] 수행지침 열기 📄")</f>
        <v/>
      </c>
      <c r="N10" s="201"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213">
        <f>HYPERLINK(LEFT(CELL("filename",A1),FIND("[",CELL("filename",A1))-1)&amp;"매뉴얼BODY(집행단계-첨부폴더)v8\8.전기분야\9_인허가 준비\체크리스트\인허가 준비_체크리스트.html", "👉 [클릭] 체크리스트 열기 📄")</f>
        <v/>
      </c>
      <c r="P10" s="202" t="n"/>
      <c r="Q10" s="156" t="n"/>
      <c r="R10" s="203" t="n"/>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9000-8</t>
        </is>
      </c>
      <c r="C11" s="204" t="inlineStr">
        <is>
          <t>전기분야</t>
        </is>
      </c>
      <c r="D11" s="204" t="inlineStr">
        <is>
          <t>9000-8-10</t>
        </is>
      </c>
      <c r="E11" s="205" t="inlineStr">
        <is>
          <t>9000-8-9</t>
        </is>
      </c>
      <c r="F11" s="205" t="inlineStr">
        <is>
          <t>9000-8-11</t>
        </is>
      </c>
      <c r="G11" s="162" t="inlineStr">
        <is>
          <t>전철전력공사 수행 시, 선행공정 간섭사항 및 각종 Risk에 대한 대책 수립</t>
        </is>
      </c>
      <c r="H11" s="205"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205" t="inlineStr">
        <is>
          <t>Big Room 회의록(참석자 전원 서명)</t>
        </is>
      </c>
      <c r="J11" s="163" t="inlineStr">
        <is>
          <t>"노반(궤도), 신호, 통신, 기계, PSD, 차량 인터페이스 및 3D BIM 공간 간섭을 전면 사전 검토한다."</t>
        </is>
      </c>
      <c r="K11" s="217">
        <f>HYPERLINK(LEFT(CELL("filename",A1),FIND("[",CELL("filename",A1))-1)&amp;"매뉴얼BODY(집행단계-첨부폴더)v8\8.전기분야\10_착수 전 Big Room 회의\표준서\착수 전 Big Room 회의_표준서.html", "👉 [클릭] 표준서 열기 📄")</f>
        <v/>
      </c>
      <c r="L11" s="163"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217">
        <f>HYPERLINK(LEFT(CELL("filename",A1),FIND("[",CELL("filename",A1))-1)&amp;"매뉴얼BODY(집행단계-첨부폴더)v8\8.전기분야\10_착수 전 Big Room 회의\수행지침\착수 전 Big Room 회의_수행지침.html", "👉 [클릭] 수행지침 열기 📄")</f>
        <v/>
      </c>
      <c r="N11" s="206"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217">
        <f>HYPERLINK(LEFT(CELL("filename",A1),FIND("[",CELL("filename",A1))-1)&amp;"매뉴얼BODY(집행단계-첨부폴더)v8\8.전기분야\10_착수 전 Big Room 회의\체크리스트\착수 전 Big Room 회의_체크리스트.html", "👉 [클릭] 체크리스트 열기 📄")</f>
        <v/>
      </c>
      <c r="P11" s="207" t="n"/>
      <c r="Q11" s="163" t="n"/>
      <c r="R11" s="208" t="n"/>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9000-8</t>
        </is>
      </c>
      <c r="C12" s="199" t="inlineStr">
        <is>
          <t>전기분야</t>
        </is>
      </c>
      <c r="D12" s="199" t="inlineStr">
        <is>
          <t>9000-8-11</t>
        </is>
      </c>
      <c r="E12" s="200" t="inlineStr">
        <is>
          <t>9000-8-10</t>
        </is>
      </c>
      <c r="F12" s="200" t="inlineStr">
        <is>
          <t>9000-8-12</t>
        </is>
      </c>
      <c r="G12" s="155" t="inlineStr">
        <is>
          <t>전기설비의 제작 사양서 작성/승인</t>
        </is>
      </c>
      <c r="H12" s="200" t="inlineStr">
        <is>
          <t>- 현장여건 및 실시설계도서(보고서,도면,자재사양서)의 요구사항 충족 여부를 확인
- 제작사양서, 제작도면 작성 후 감리단 승인</t>
        </is>
      </c>
      <c r="I12" s="200" t="inlineStr">
        <is>
          <t>제작사양서, 제작도면</t>
        </is>
      </c>
      <c r="J12" s="156" t="inlineStr">
        <is>
          <t>"변압기 용량, 정류기 정격, ESS 배터리 세부 기술사양서 검토 및 시방 규격 1:1 대조 파악"</t>
        </is>
      </c>
      <c r="K12" s="213">
        <f>HYPERLINK(LEFT(CELL("filename",A1),FIND("[",CELL("filename",A1))-1)&amp;"매뉴얼BODY(집행단계-첨부폴더)v8\8.전기분야\11_전기설비 제작 사양서 작성 _ 승인\표준서\전기설비 제작 사양서 작성 _ 승인_표준서.html", "👉 [클릭] 표준서 열기 📄")</f>
        <v/>
      </c>
      <c r="L12" s="156" t="inlineStr">
        <is>
          <t>전기설비(변압기, 정류기, ESS, GIS, SCADA) 공장 제작 착수 전 발주처 특기시방서 및 KDS 47 00 00 철도설계기준에 따른 상세 기술사양서 및 공장 제작 승인도면(Shop Drawing) 검토</t>
        </is>
      </c>
      <c r="M12" s="213">
        <f>HYPERLINK(LEFT(CELL("filename",A1),FIND("[",CELL("filename",A1))-1)&amp;"매뉴얼BODY(집행단계-첨부폴더)v8\8.전기분야\11_전기설비 제작 사양서 작성 _ 승인\수행지침\전기설비 제작 사양서 작성 _ 승인_수행지침.html", "👉 [클릭] 수행지침 열기 📄")</f>
        <v/>
      </c>
      <c r="N12" s="201"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213">
        <f>HYPERLINK(LEFT(CELL("filename",A1),FIND("[",CELL("filename",A1))-1)&amp;"매뉴얼BODY(집행단계-첨부폴더)v8\8.전기분야\11_전기설비 제작 사양서 작성 _ 승인\체크리스트\전기설비 제작 사양서 작성 _ 승인_체크리스트.html", "👉 [클릭] 체크리스트 열기 📄")</f>
        <v/>
      </c>
      <c r="P12" s="202" t="n"/>
      <c r="Q12" s="156" t="n"/>
      <c r="R12" s="203" t="n"/>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9000-8</t>
        </is>
      </c>
      <c r="C13" s="204" t="inlineStr">
        <is>
          <t>전기분야</t>
        </is>
      </c>
      <c r="D13" s="204" t="inlineStr">
        <is>
          <t>9000-8-12</t>
        </is>
      </c>
      <c r="E13" s="205" t="inlineStr">
        <is>
          <t>9000-8-11</t>
        </is>
      </c>
      <c r="F13" s="205" t="inlineStr">
        <is>
          <t>9000-8-13</t>
        </is>
      </c>
      <c r="G13" s="162" t="inlineStr">
        <is>
          <t>안전/품질이 확보된 시공계획 수립</t>
        </is>
      </c>
      <c r="H13" s="228"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205" t="inlineStr">
        <is>
          <t>시공계획서&amp;시공상세도</t>
        </is>
      </c>
      <c r="J13" s="163" t="inlineStr">
        <is>
          <t>"변전기기 반입, Cable Tray 설치, 전차선 지주 입립 시공 순서 및 3D BIM 공정 수립"</t>
        </is>
      </c>
      <c r="K13" s="217">
        <f>HYPERLINK(LEFT(CELL("filename",A1),FIND("[",CELL("filename",A1))-1)&amp;"매뉴얼BODY(집행단계-첨부폴더)v8\8.전기분야\12_시공 계획 수립 _ 승인\표준서\시공 계획 수립 _ 승인_표준서.html", "👉 [클릭] 표준서 열기 📄")</f>
        <v/>
      </c>
      <c r="L13" s="163" t="inlineStr">
        <is>
          <t>전기분야 공정별(변전소, 전차선, 케이블 포설) 상세 시공계획서 수립, 예정공정표(Critical Path) 검토, 시공 순서 및 안전/품질 관리대책 수립 후 감리단 공학적 승인 완수</t>
        </is>
      </c>
      <c r="M13" s="217">
        <f>HYPERLINK(LEFT(CELL("filename",A1),FIND("[",CELL("filename",A1))-1)&amp;"매뉴얼BODY(집행단계-첨부폴더)v8\8.전기분야\12_시공 계획 수립 _ 승인\수행지침\시공 계획 수립 _ 승인_수행지침.html", "👉 [클릭] 수행지침 열기 📄")</f>
        <v/>
      </c>
      <c r="N13" s="206"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217">
        <f>HYPERLINK(LEFT(CELL("filename",A1),FIND("[",CELL("filename",A1))-1)&amp;"매뉴얼BODY(집행단계-첨부폴더)v8\8.전기분야\12_시공 계획 수립 _ 승인\체크리스트\시공 계획 수립 _ 승인_체크리스트.html", "👉 [클릭] 체크리스트 열기 📄")</f>
        <v/>
      </c>
      <c r="P13" s="207" t="n"/>
      <c r="Q13" s="163" t="n"/>
      <c r="R13" s="208" t="n"/>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9000-8</t>
        </is>
      </c>
      <c r="C14" s="199" t="inlineStr">
        <is>
          <t>전기분야</t>
        </is>
      </c>
      <c r="D14" s="199" t="inlineStr">
        <is>
          <t>9000-8-13</t>
        </is>
      </c>
      <c r="E14" s="200" t="inlineStr">
        <is>
          <t>9000-8-12</t>
        </is>
      </c>
      <c r="F14" s="200" t="inlineStr">
        <is>
          <t>9000-8-14</t>
        </is>
      </c>
      <c r="G14" s="155" t="inlineStr">
        <is>
          <t>전기설비의 시공성과 품질, 기능 확보를 위한 자재 공급원 검토 및 승인</t>
        </is>
      </c>
      <c r="H14" s="200" t="inlineStr">
        <is>
          <t>- 전기자재 제작능력, 납품실적 등 확인
- 성능보증이 가능한 복수의 공급원 검토
- 자재공급원 서류 제출후 감리단 승인</t>
        </is>
      </c>
      <c r="I14" s="200" t="inlineStr">
        <is>
          <t>자재공급원 승인 서류</t>
        </is>
      </c>
      <c r="J14" s="156" t="inlineStr">
        <is>
          <t>"제조사 공장등록증, 사업자등록증, ISO 품질인증서 및 유사 철도/트램 납품 실적 검증"</t>
        </is>
      </c>
      <c r="K14" s="213">
        <f>HYPERLINK(LEFT(CELL("filename",A1),FIND("[",CELL("filename",A1))-1)&amp;"매뉴얼BODY(집행단계-첨부폴더)v8\8.전기분야\13_자재공급원_기자재 제작도서 승인\표준서\자재공급원_기자재 제작도서 승인_표준서.html", "👉 [클릭] 표준서 열기 📄")</f>
        <v/>
      </c>
      <c r="L14" s="156" t="inlineStr">
        <is>
          <t>전기자재 공급원 자격 검증(KS/KC 인증, 공장등록증, 납품실적), 제조사 시험성적서 대조 및 공장 제작 승인도면(Shop Drawing) 감리단 적격 승인 수검</t>
        </is>
      </c>
      <c r="M14" s="213">
        <f>HYPERLINK(LEFT(CELL("filename",A1),FIND("[",CELL("filename",A1))-1)&amp;"매뉴얼BODY(집행단계-첨부폴더)v8\8.전기분야\13_자재공급원_기자재 제작도서 승인\수행지침\자재공급원_기자재 제작도서 승인_수행지침.html", "👉 [클릭] 수행지침 열기 📄")</f>
        <v/>
      </c>
      <c r="N14" s="201"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213">
        <f>HYPERLINK(LEFT(CELL("filename",A1),FIND("[",CELL("filename",A1))-1)&amp;"매뉴얼BODY(집행단계-첨부폴더)v8\8.전기분야\13_자재공급원_기자재 제작도서 승인\체크리스트\자재공급원_기자재 제작도서 승인_체크리스트.html", "👉 [클릭] 체크리스트 열기 📄")</f>
        <v/>
      </c>
      <c r="P14" s="202" t="n"/>
      <c r="Q14" s="156" t="n"/>
      <c r="R14" s="203" t="n"/>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9000-8</t>
        </is>
      </c>
      <c r="C15" s="204" t="inlineStr">
        <is>
          <t>전기분야</t>
        </is>
      </c>
      <c r="D15" s="204" t="inlineStr">
        <is>
          <t>9000-8-14</t>
        </is>
      </c>
      <c r="E15" s="205" t="inlineStr">
        <is>
          <t>9000-8-13</t>
        </is>
      </c>
      <c r="F15" s="205" t="inlineStr">
        <is>
          <t>9000-8-15</t>
        </is>
      </c>
      <c r="G15" s="162" t="inlineStr">
        <is>
          <t>제작사양서/제작도면의 일치여부검토 및 현장반입 전 제품 성능검사 확인</t>
        </is>
      </c>
      <c r="H15" s="205"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205" t="inlineStr">
        <is>
          <t>공장검사 결과보고서(감리/감독 입회)</t>
        </is>
      </c>
      <c r="J15" s="163" t="inlineStr">
        <is>
          <t>"제작사 부품 조달 현황, 외함 판금/도장 및 내부 배선 조립 공정 공정표 100% 관리"</t>
        </is>
      </c>
      <c r="K15" s="217">
        <f>HYPERLINK(LEFT(CELL("filename",A1),FIND("[",CELL("filename",A1))-1)&amp;"매뉴얼BODY(집행단계-첨부폴더)v8\8.전기분야\14_전기설비 공정제작 _ 제작사 공장검사\표준서\전기설비 공정제작 _ 제작사 공장검사_표준서.html", "👉 [클릭] 표준서 열기 📄")</f>
        <v/>
      </c>
      <c r="L15" s="163" t="inlineStr">
        <is>
          <t>정류기, 변압기, ESS, GIS, SCADA 제작사 공장 공정 제작 관리 및 감리단/발주처 입회 공장시험(FAT: Factory Acceptance Test) 수행과 시험성적서 승인 완수</t>
        </is>
      </c>
      <c r="M15" s="217">
        <f>HYPERLINK(LEFT(CELL("filename",A1),FIND("[",CELL("filename",A1))-1)&amp;"매뉴얼BODY(집행단계-첨부폴더)v8\8.전기분야\14_전기설비 공정제작 _ 제작사 공장검사\수행지침\전기설비 공정제작 _ 제작사 공장검사_수행지침.html", "👉 [클릭] 수행지침 열기 📄")</f>
        <v/>
      </c>
      <c r="N15" s="206"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217">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207" t="n"/>
      <c r="Q15" s="163" t="n"/>
      <c r="R15" s="208" t="n"/>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9000-8</t>
        </is>
      </c>
      <c r="C16" s="199" t="inlineStr">
        <is>
          <t>전기분야</t>
        </is>
      </c>
      <c r="D16" s="199" t="inlineStr">
        <is>
          <t>9000-8-15</t>
        </is>
      </c>
      <c r="E16" s="200" t="inlineStr">
        <is>
          <t>9000-8-14</t>
        </is>
      </c>
      <c r="F16" s="200" t="inlineStr">
        <is>
          <t>9000-8-16</t>
        </is>
      </c>
      <c r="G16" s="155" t="inlineStr">
        <is>
          <t>전기설비 설치전 준비상태 확인</t>
        </is>
      </c>
      <c r="H16" s="200" t="inlineStr">
        <is>
          <t>- 전기설비 설치 시 간섭여부 점검
- 현장 시공상태 확인 (건축, 노반(토목) 등)
- 수배전반, 외함, 변압기 등 자재 반입구 위치 및 운반경로 확인, 케이블 포설을 위한 공동구/개구부 위치 체크</t>
        </is>
      </c>
      <c r="I16" s="200" t="inlineStr">
        <is>
          <t>기록지, 현장점검결과보고서(감리입회)</t>
        </is>
      </c>
      <c r="J16" s="156" t="inlineStr">
        <is>
          <t>"건축 변전실 구조물 완성도, 노반 궤도 시공 상태 및 전기 설치 간섭 여부 정밀 실측"</t>
        </is>
      </c>
      <c r="K16" s="213">
        <f>HYPERLINK(LEFT(CELL("filename",A1),FIND("[",CELL("filename",A1))-1)&amp;"매뉴얼BODY(집행단계-첨부폴더)v8\8.전기분야\15_본공사 전 선행공정 인수인계 점검\표준서\본공사 전 선행공정 인수인계 점검_표준서.html", "👉 [클릭] 표준서 열기 📄")</f>
        <v/>
      </c>
      <c r="L16" s="156" t="inlineStr">
        <is>
          <t>토목, 노반(궤도), 건축 선행 공정 완성도 실측, 변전실/개구부/공동구 간섭 점검, 자재 반입구 및 반입 동선 인수인계 합동 점검 수행</t>
        </is>
      </c>
      <c r="M16" s="213">
        <f>HYPERLINK(LEFT(CELL("filename",A1),FIND("[",CELL("filename",A1))-1)&amp;"매뉴얼BODY(집행단계-첨부폴더)v8\8.전기분야\15_본공사 전 선행공정 인수인계 점검\수행지침\본공사 전 선행공정 인수인계 점검_수행지침.html", "👉 [클릭] 수행지침 열기 📄")</f>
        <v/>
      </c>
      <c r="N16" s="201"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213">
        <f>HYPERLINK(LEFT(CELL("filename",A1),FIND("[",CELL("filename",A1))-1)&amp;"매뉴얼BODY(집행단계-첨부폴더)v8\8.전기분야\15_본공사 전 선행공정 인수인계 점검\체크리스트\본공사 전 선행공정 인수인계 점검_체크리스트.html", "👉 [클릭] 체크리스트 열기 📄")</f>
        <v/>
      </c>
      <c r="P16" s="202" t="n"/>
      <c r="Q16" s="156" t="n"/>
      <c r="R16" s="203" t="n"/>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9000-8</t>
        </is>
      </c>
      <c r="C17" s="204" t="inlineStr">
        <is>
          <t>전기분야</t>
        </is>
      </c>
      <c r="D17" s="204" t="inlineStr">
        <is>
          <t>9000-8-16</t>
        </is>
      </c>
      <c r="E17" s="205" t="inlineStr">
        <is>
          <t>9000-8-15</t>
        </is>
      </c>
      <c r="F17" s="205" t="inlineStr">
        <is>
          <t>9000-8-17</t>
        </is>
      </c>
      <c r="G17" s="162" t="inlineStr">
        <is>
          <t>장비 반입 준비 및 안전교육 완료</t>
        </is>
      </c>
      <c r="H17" s="205" t="inlineStr">
        <is>
          <t>- 자재반입 경로, 적치장소에 대한 사전확인 및 타분야 일정, 간섭사항 협의/확인
- 장비 Spec확인, 장비상태 점검
- 작업원 안전교육 실시</t>
        </is>
      </c>
      <c r="I17" s="205" t="inlineStr">
        <is>
          <t>안전교육 결과서, 측량기록지</t>
        </is>
      </c>
      <c r="J17" s="163" t="inlineStr">
        <is>
          <t>"장비 진입 경로 및 적치장 사전확인, 타분야 작업 일정 및 지상/지하 구조물 간섭 협의"</t>
        </is>
      </c>
      <c r="K17" s="217">
        <f>HYPERLINK(LEFT(CELL("filename",A1),FIND("[",CELL("filename",A1))-1)&amp;"매뉴얼BODY(집행단계-첨부폴더)v8\8.전기분야\16_장비반입 및 안전교육\표준서\장비반입 및 안전교육_표준서.html", "👉 [클릭] 표준서 열기 📄")</f>
        <v/>
      </c>
      <c r="L17" s="163" t="inlineStr">
        <is>
          <t>고소작업차, 케이블 포설차, 활선 작업 장비 현장 반입 동선/적치장 확인, 장비 Spec 및 안전검사필증 점검, 작업원 특별안전교육 실시</t>
        </is>
      </c>
      <c r="M17" s="217">
        <f>HYPERLINK(LEFT(CELL("filename",A1),FIND("[",CELL("filename",A1))-1)&amp;"매뉴얼BODY(집행단계-첨부폴더)v8\8.전기분야\16_장비반입 및 안전교육\수행지침\장비반입 및 안전교육_수행지침.html", "👉 [클릭] 수행지침 열기 📄")</f>
        <v/>
      </c>
      <c r="N17" s="206"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217">
        <f>HYPERLINK(LEFT(CELL("filename",A1),FIND("[",CELL("filename",A1))-1)&amp;"매뉴얼BODY(집행단계-첨부폴더)v8\8.전기분야\16_장비반입 및 안전교육\체크리스트\장비반입 및 안전교육_체크리스트.html", "👉 [클릭] 체크리스트 열기 📄")</f>
        <v/>
      </c>
      <c r="P17" s="207" t="n"/>
      <c r="Q17" s="163" t="n"/>
      <c r="R17" s="208" t="n"/>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9000-8</t>
        </is>
      </c>
      <c r="C18" s="199" t="inlineStr">
        <is>
          <t>전기분야</t>
        </is>
      </c>
      <c r="D18" s="199" t="inlineStr">
        <is>
          <t>9000-8-17</t>
        </is>
      </c>
      <c r="E18" s="200" t="inlineStr">
        <is>
          <t>9000-8-16</t>
        </is>
      </c>
      <c r="F18" s="200" t="inlineStr">
        <is>
          <t>9000-8-18</t>
        </is>
      </c>
      <c r="G18" s="155" t="inlineStr">
        <is>
          <t>공장검사 시행 완료된 자재반입과 현장 입고 검사</t>
        </is>
      </c>
      <c r="H18" s="227" t="inlineStr">
        <is>
          <t xml:space="preserve">- 자재 하차 위치 및 반입동선 확인
- 승인된 자재 일치여부 확인(Serial number 등)
- 제품의 규격, 수량 도면과 일치하는지 검수 </t>
        </is>
      </c>
      <c r="I18" s="200" t="inlineStr">
        <is>
          <t>자재검수서</t>
        </is>
      </c>
      <c r="J18" s="156" t="inlineStr">
        <is>
          <t>"자재 하차 통제 구획 설정, 크레인 양중 신호수 배치 및 자재 반입 동선 안전 확보"</t>
        </is>
      </c>
      <c r="K18" s="213">
        <f>HYPERLINK(LEFT(CELL("filename",A1),FIND("[",CELL("filename",A1))-1)&amp;"매뉴얼BODY(집행단계-첨부폴더)v8\8.전기분야\17_자재 반입 및 검수\표준서\자재 반입 및 검수_표준서.html", "👉 [클릭] 표준서 열기 📄")</f>
        <v/>
      </c>
      <c r="L18" s="156" t="inlineStr">
        <is>
          <t>전기자재 현장 반입 하차 위치/동선 통제, 승인된 자재공급원 일치 여부(Serial No., Serial Tag) 검수, 도면 규격 및 수량 1:1 대조 확인</t>
        </is>
      </c>
      <c r="M18" s="213">
        <f>HYPERLINK(LEFT(CELL("filename",A1),FIND("[",CELL("filename",A1))-1)&amp;"매뉴얼BODY(집행단계-첨부폴더)v8\8.전기분야\17_자재 반입 및 검수\수행지침\자재 반입 및 검수_수행지침.html", "👉 [클릭] 수행지침 열기 📄")</f>
        <v/>
      </c>
      <c r="N18" s="201"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213">
        <f>HYPERLINK(LEFT(CELL("filename",A1),FIND("[",CELL("filename",A1))-1)&amp;"매뉴얼BODY(집행단계-첨부폴더)v8\8.전기분야\17_자재 반입 및 검수\체크리스트\자재 반입 및 검수_체크리스트.html", "👉 [클릭] 체크리스트 열기 📄")</f>
        <v/>
      </c>
      <c r="P18" s="202" t="n"/>
      <c r="Q18" s="156" t="n"/>
      <c r="R18" s="203" t="n"/>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9000-8</t>
        </is>
      </c>
      <c r="C19" s="204" t="inlineStr">
        <is>
          <t>전기분야</t>
        </is>
      </c>
      <c r="D19" s="204" t="inlineStr">
        <is>
          <t>9000-8-18</t>
        </is>
      </c>
      <c r="E19" s="205" t="inlineStr">
        <is>
          <t>9000-8-17</t>
        </is>
      </c>
      <c r="F19" s="205" t="inlineStr">
        <is>
          <t>9000-8-19</t>
        </is>
      </c>
      <c r="G19" s="162" t="inlineStr">
        <is>
          <t>설계에 부합되도록 전철전력설비 설치</t>
        </is>
      </c>
      <c r="H19" s="228" t="inlineStr">
        <is>
          <t>- 시공샘플이 필요한 대상을 감리/감독과 협의하여 선정후 시험시공 실시
- 현장설비, 특고압 케이블, 정거장 전기실 내 특고압반/저압반/변압기 설치
- 전기설비가 도면대로 설치되었는지 확인</t>
        </is>
      </c>
      <c r="I19" s="205" t="inlineStr">
        <is>
          <t>검측서</t>
        </is>
      </c>
      <c r="J19" s="163" t="inlineStr">
        <is>
          <t>"감리/감독 협의를 통한 시공 샘플 대상 선정, 시험시공 수행 및 시공 기준서 확정"</t>
        </is>
      </c>
      <c r="K19" s="217">
        <f>HYPERLINK(LEFT(CELL("filename",A1),FIND("[",CELL("filename",A1))-1)&amp;"매뉴얼BODY(집행단계-첨부폴더)v8\8.전기분야\18_전철전력설비 반입 및 설치\표준서\전철전력설비 반입 및 설치_표준서.html", "👉 [클릭] 표준서 열기 📄")</f>
        <v/>
      </c>
      <c r="L19" s="163" t="inlineStr">
        <is>
          <t>변전소 수배전반, 정류기, ESS, 특고압반 및 정거장 전기실 기기 반입/설치, 시공 샘플 감리 협의 후 시험시공 및 도면 일치성 최종 검측</t>
        </is>
      </c>
      <c r="M19" s="217">
        <f>HYPERLINK(LEFT(CELL("filename",A1),FIND("[",CELL("filename",A1))-1)&amp;"매뉴얼BODY(집행단계-첨부폴더)v8\8.전기분야\18_전철전력설비 반입 및 설치\수행지침\전철전력설비 반입 및 설치_수행지침.html", "👉 [클릭] 수행지침 열기 📄")</f>
        <v/>
      </c>
      <c r="N19" s="206"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217">
        <f>HYPERLINK(LEFT(CELL("filename",A1),FIND("[",CELL("filename",A1))-1)&amp;"매뉴얼BODY(집행단계-첨부폴더)v8\8.전기분야\18_전철전력설비 반입 및 설치\체크리스트\전철전력설비 반입 및 설치_체크리스트.html", "👉 [클릭] 체크리스트 열기 📄")</f>
        <v/>
      </c>
      <c r="P19" s="207" t="n"/>
      <c r="Q19" s="163" t="n"/>
      <c r="R19" s="208" t="n"/>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9000-8</t>
        </is>
      </c>
      <c r="C20" s="199" t="inlineStr">
        <is>
          <t>전기분야</t>
        </is>
      </c>
      <c r="D20" s="199" t="inlineStr">
        <is>
          <t>9000-8-19</t>
        </is>
      </c>
      <c r="E20" s="200" t="inlineStr">
        <is>
          <t>9000-8-18</t>
        </is>
      </c>
      <c r="F20" s="200" t="inlineStr">
        <is>
          <t>9000-8-20</t>
        </is>
      </c>
      <c r="G20" s="155" t="inlineStr">
        <is>
          <t>전기실에 전기를 공급하기 위해 한전 책임분계점 전주에서 수전전기실까지 배관/배선을 설치</t>
        </is>
      </c>
      <c r="H20" s="200" t="inlineStr">
        <is>
          <t>- 한전 책임분계점으로부터 수전 전기실까지 케이블 트레이를 설치
- 트레이 설치완료 후 특고압케이블 포설 및 단말 접속
(책임분계점: 전기안전에 대한 책임을 나누는 기준점/수급지점)</t>
        </is>
      </c>
      <c r="I20" s="200" t="inlineStr">
        <is>
          <t>검측서</t>
        </is>
      </c>
      <c r="J20" s="156" t="inlineStr">
        <is>
          <t>"한전 인수점 지중 맨홀부터 수전 전기실까지 Cable Tray 수평도 및 고정 행거 설치"</t>
        </is>
      </c>
      <c r="K20" s="213">
        <f>HYPERLINK(LEFT(CELL("filename",A1),FIND("[",CELL("filename",A1))-1)&amp;"매뉴얼BODY(집행단계-첨부폴더)v8\8.전기분야\19_수전용 케이블 트레이 및 케이블 포설\표준서\수전용 케이블 트레이 및 케이블 포설_표준서.html", "👉 [클릭] 표준서 열기 📄")</f>
        <v/>
      </c>
      <c r="L20" s="156" t="inlineStr">
        <is>
          <t>한전 책임분계점으로부터 수전 전기실까지 케이블 트레이 수평/수직 고정 설치, 특고압 케이블 포설 및 단말 접속, 절연저항/내전압 시험 완수</t>
        </is>
      </c>
      <c r="M20" s="213">
        <f>HYPERLINK(LEFT(CELL("filename",A1),FIND("[",CELL("filename",A1))-1)&amp;"매뉴얼BODY(집행단계-첨부폴더)v8\8.전기분야\19_수전용 케이블 트레이 및 케이블 포설\수행지침\수전용 케이블 트레이 및 케이블 포설_수행지침.html", "👉 [클릭] 수행지침 열기 📄")</f>
        <v/>
      </c>
      <c r="N20" s="201"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213">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202" t="n"/>
      <c r="Q20" s="156" t="n"/>
      <c r="R20" s="203" t="n"/>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9000-8</t>
        </is>
      </c>
      <c r="C21" s="204" t="inlineStr">
        <is>
          <t>전기분야</t>
        </is>
      </c>
      <c r="D21" s="204" t="inlineStr">
        <is>
          <t>9000-8-20</t>
        </is>
      </c>
      <c r="E21" s="205" t="inlineStr">
        <is>
          <t>9000-8-19</t>
        </is>
      </c>
      <c r="F21" s="205" t="inlineStr">
        <is>
          <t>9000-8-21</t>
        </is>
      </c>
      <c r="G21" s="162" t="inlineStr">
        <is>
          <t>한전으로부터 전기를 인입 후 전기가 필요한 시설들에 순차적으로 전기를 공급</t>
        </is>
      </c>
      <c r="H21" s="228" t="inlineStr">
        <is>
          <t>- 사용전검사 시행 (사용전검사 필증 수령)
- 전기가합계획 수립 및 한전 가입 요청
- 수전 전 기기별 자체시험 실시
- 수전 이후 기계, 통신, 신호 등 분야별 일정에 따라 전기공급 실시</t>
        </is>
      </c>
      <c r="I21" s="205" t="inlineStr">
        <is>
          <t>전기사용승인, 수전 결과서</t>
        </is>
      </c>
      <c r="J21" s="163" t="inlineStr">
        <is>
          <t>"한국전기안전공사 KESC 사용전검사 합격 필증 수령 및 수전 사전 조건 완수"</t>
        </is>
      </c>
      <c r="K21" s="217">
        <f>HYPERLINK(LEFT(CELL("filename",A1),FIND("[",CELL("filename",A1))-1)&amp;"매뉴얼BODY(집행단계-첨부폴더)v8\8.전기분야\20_수전 및 전기공급(급전)\표준서\수전 및 전기공급(급전)_표준서.html", "👉 [클릭] 표준서 열기 📄")</f>
        <v/>
      </c>
      <c r="L21" s="163" t="inlineStr">
        <is>
          <t>KESC 사용전검사 합격증 수령, 전기가압계획 수립 및 한전 가입 요청, 수전 전 기기별 자체시험 수행 후 통신/신호/기계 공종별 단계적 전기공급(급전) 시행</t>
        </is>
      </c>
      <c r="M21" s="217">
        <f>HYPERLINK(LEFT(CELL("filename",A1),FIND("[",CELL("filename",A1))-1)&amp;"매뉴얼BODY(집행단계-첨부폴더)v8\8.전기분야\20_수전 및 전기공급(급전)\수행지침\수전 및 전기공급(급전)_수행지침.html", "👉 [클릭] 수행지침 열기 📄")</f>
        <v/>
      </c>
      <c r="N21" s="206"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217">
        <f>HYPERLINK(LEFT(CELL("filename",A1),FIND("[",CELL("filename",A1))-1)&amp;"매뉴얼BODY(집행단계-첨부폴더)v8\8.전기분야\20_수전 및 전기공급(급전)\체크리스트\수전 및 전기공급(급전)_체크리스트.html", "👉 [클릭] 체크리스트 열기 📄")</f>
        <v/>
      </c>
      <c r="P21" s="207" t="n"/>
      <c r="Q21" s="163" t="n"/>
      <c r="R21" s="208" t="n"/>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9000-8</t>
        </is>
      </c>
      <c r="C22" s="199" t="inlineStr">
        <is>
          <t>전기분야</t>
        </is>
      </c>
      <c r="D22" s="199" t="inlineStr">
        <is>
          <t>9000-8-21</t>
        </is>
      </c>
      <c r="E22" s="200" t="inlineStr">
        <is>
          <t>9000-8-20</t>
        </is>
      </c>
      <c r="F22" s="200" t="inlineStr">
        <is>
          <t>9000-8-22</t>
        </is>
      </c>
      <c r="G22" s="155" t="inlineStr">
        <is>
          <t>원방제어시스템 구축을 위한 변전/전차선/전력설비의 종합연동시험 실시
* SCADA (Supervisory Control And Data Acquisition): 광범위하고 대용량의 산업설비를 효율적으로 감시 제어하는 원방제어시스템</t>
        </is>
      </c>
      <c r="H22" s="200" t="inlineStr">
        <is>
          <t xml:space="preserve"> - 감리단 입회하에 시험 절차대로 수행
  1) 종합연동시험 계획서 작성
  2) 트램관제실/현장 기기간 인터페이스 시험
  * 현장기기 감시/제어/계측상태 확인 등</t>
        </is>
      </c>
      <c r="I22" s="200" t="inlineStr">
        <is>
          <t>종합연동시험 결과보고서</t>
        </is>
      </c>
      <c r="J22" s="156" t="inlineStr">
        <is>
          <t>"감리단 제출용 SCADA 종합연동시험 계획서, 포인트 맵 및 점검 절차서 작성"</t>
        </is>
      </c>
      <c r="K22" s="213">
        <f>HYPERLINK(LEFT(CELL("filename",A1),FIND("[",CELL("filename",A1))-1)&amp;"매뉴얼BODY(집행단계-첨부폴더)v8\8.전기분야\21_종합연동시험(SCADA) 실시\표준서\종합연동시험(SCADA) 실시_표준서.html", "👉 [클릭] 표준서 열기 📄")</f>
        <v/>
      </c>
      <c r="L22" s="156" t="inlineStr">
        <is>
          <t>책임감리단 입회하에 트램관제실(OCC)과 현장 변전소/정류기/ESS 기기 간 SCADA 원격 감시/제어/계측(DI/DO/AI/AO) 종합연동시험 수행 및 검측 승인</t>
        </is>
      </c>
      <c r="M22" s="213">
        <f>HYPERLINK(LEFT(CELL("filename",A1),FIND("[",CELL("filename",A1))-1)&amp;"매뉴얼BODY(집행단계-첨부폴더)v8\8.전기분야\21_종합연동시험(SCADA) 실시\수행지침\종합연동시험(SCADA) 실시_수행지침.html", "👉 [클릭] 수행지침 열기 📄")</f>
        <v/>
      </c>
      <c r="N22" s="201"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213">
        <f>HYPERLINK(LEFT(CELL("filename",A1),FIND("[",CELL("filename",A1))-1)&amp;"매뉴얼BODY(집행단계-첨부폴더)v8\8.전기분야\21_종합연동시험(SCADA) 실시\체크리스트\종합연동시험(SCADA) 실시_체크리스트.html", "👉 [클릭] 체크리스트 열기 📄")</f>
        <v/>
      </c>
      <c r="P22" s="202" t="n"/>
      <c r="Q22" s="156" t="n"/>
      <c r="R22" s="203" t="n"/>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9000-8</t>
        </is>
      </c>
      <c r="C23" s="204" t="inlineStr">
        <is>
          <t>전기분야</t>
        </is>
      </c>
      <c r="D23" s="204" t="inlineStr">
        <is>
          <t>9000-8-22</t>
        </is>
      </c>
      <c r="E23" s="205" t="inlineStr">
        <is>
          <t>9000-8-21</t>
        </is>
      </c>
      <c r="F23" s="205" t="inlineStr">
        <is>
          <t>9000-8-23</t>
        </is>
      </c>
      <c r="G23" s="162" t="inlineStr">
        <is>
          <t>관련 법령, 설계기준, 기술기준, 시방서 등의 요구사항에 적합하도록 설치되었는지를 확인</t>
        </is>
      </c>
      <c r="H23" s="205" t="inlineStr">
        <is>
          <t>- 철도종합시험운행 시행지침 제6조(공종별시험)에 따라 시행</t>
        </is>
      </c>
      <c r="I23" s="205" t="inlineStr">
        <is>
          <t>공종별 시험 결과보고서</t>
        </is>
      </c>
      <c r="J23" s="163" t="inlineStr">
        <is>
          <t>"철도종합시험운행 시행지침 제6조에 따른 전기 공종별 시험 항목 및 절차서 확정"</t>
        </is>
      </c>
      <c r="K23" s="217">
        <f>HYPERLINK(LEFT(CELL("filename",A1),FIND("[",CELL("filename",A1))-1)&amp;"매뉴얼BODY(집행단계-첨부폴더)v8\8.전기분야\22_공종별 시험\표준서\공종별 시험_표준서.html", "👉 [클릭] 표준서 열기 📄")</f>
        <v/>
      </c>
      <c r="L23" s="163" t="inlineStr">
        <is>
          <t>철도종합시험운행 시행지침 제6조(공종별시험)에 의거하여 변전, 전차선, 전력 설비 공종별 절연, 보호계전기, 통전 시험을 정밀 수행하고 보고서 승인</t>
        </is>
      </c>
      <c r="M23" s="217">
        <f>HYPERLINK(LEFT(CELL("filename",A1),FIND("[",CELL("filename",A1))-1)&amp;"매뉴얼BODY(집행단계-첨부폴더)v8\8.전기분야\22_공종별 시험\수행지침\공종별 시험_수행지침.html", "👉 [클릭] 수행지침 열기 📄")</f>
        <v/>
      </c>
      <c r="N23" s="206"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217">
        <f>HYPERLINK(LEFT(CELL("filename",A1),FIND("[",CELL("filename",A1))-1)&amp;"매뉴얼BODY(집행단계-첨부폴더)v8\8.전기분야\22_공종별 시험\체크리스트\공종별 시험_체크리스트.html", "👉 [클릭] 체크리스트 열기 📄")</f>
        <v/>
      </c>
      <c r="P23" s="207" t="n"/>
      <c r="Q23" s="163" t="n"/>
      <c r="R23" s="208" t="n"/>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9000-8</t>
        </is>
      </c>
      <c r="C24" s="199" t="inlineStr">
        <is>
          <t>전기분야</t>
        </is>
      </c>
      <c r="D24" s="199" t="inlineStr">
        <is>
          <t>9000-8-23</t>
        </is>
      </c>
      <c r="E24" s="200" t="inlineStr">
        <is>
          <t>9000-8-22</t>
        </is>
      </c>
      <c r="F24" s="200" t="inlineStr">
        <is>
          <t>9000-8-24</t>
        </is>
      </c>
      <c r="G24" s="155" t="inlineStr">
        <is>
          <t>발주처 주관의 차량시운전이 되도록 노반, 건축, 궤도, 전철전력, 통신, 신호분야를 종합하여 최종 점검</t>
        </is>
      </c>
      <c r="H24" s="227" t="inlineStr">
        <is>
          <t>- 노반/궤도 시공상태 점검
- 건축한계 및 차량한계 검사 [건축한계: 폭(3,600mm)]
- 전차선, 신호, 통신 작동상태 확인
- 차량충전설비, 신호, 통신 작동상태 확인</t>
        </is>
      </c>
      <c r="I24" s="200" t="inlineStr">
        <is>
          <t>합동점검 결과보고서</t>
        </is>
      </c>
      <c r="J24" s="156" t="inlineStr">
        <is>
          <t>"궤도 시공 정밀도 확인 및 트램 차량 건축한계(폭 3,600mm) 간섭 여부 레이저 실측"</t>
        </is>
      </c>
      <c r="K24" s="213">
        <f>HYPERLINK(LEFT(CELL("filename",A1),FIND("[",CELL("filename",A1))-1)&amp;"매뉴얼BODY(집행단계-첨부폴더)v8\8.전기분야\23_차량 투입 전 점검\표준서\차량 투입 전 점검_표준서.html", "👉 [클릭] 표준서 열기 📄")</f>
        <v/>
      </c>
      <c r="L24" s="156" t="inlineStr">
        <is>
          <t>노반/궤도 시공상태 점검, 트램 건축한계(폭 3,600mm) 검사, 전차선 750V DC 가압, 차량충전설비, 신호/통신 작동상태 합동 사전 점검 완수</t>
        </is>
      </c>
      <c r="M24" s="213">
        <f>HYPERLINK(LEFT(CELL("filename",A1),FIND("[",CELL("filename",A1))-1)&amp;"매뉴얼BODY(집행단계-첨부폴더)v8\8.전기분야\23_차량 투입 전 점검\수행지침\차량 투입 전 점검_수행지침.html", "👉 [클릭] 수행지침 열기 📄")</f>
        <v/>
      </c>
      <c r="N24" s="201"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213">
        <f>HYPERLINK(LEFT(CELL("filename",A1),FIND("[",CELL("filename",A1))-1)&amp;"매뉴얼BODY(집행단계-첨부폴더)v8\8.전기분야\23_차량 투입 전 점검\체크리스트\차량 투입 전 점검_체크리스트.html", "👉 [클릭] 체크리스트 열기 📄")</f>
        <v/>
      </c>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9000-8</t>
        </is>
      </c>
      <c r="C25" s="204" t="inlineStr">
        <is>
          <t>전기분야</t>
        </is>
      </c>
      <c r="D25" s="204" t="inlineStr">
        <is>
          <t>9000-8-24</t>
        </is>
      </c>
      <c r="E25" s="205" t="inlineStr">
        <is>
          <t>9000-8-23</t>
        </is>
      </c>
      <c r="F25" s="205" t="inlineStr">
        <is>
          <t>9000-8-25</t>
        </is>
      </c>
      <c r="G25" s="162" t="inlineStr">
        <is>
          <t>철도안전법에 따른 철도차량 형식승인</t>
        </is>
      </c>
      <c r="H25" s="205" t="inlineStr">
        <is>
          <t>- 철도안전법 제26조(철도차량 형식승인)에 따라 이행 (주로 본선구간 수행)
- 차량, 신호, 통신 시스템간 인터페이스 시험</t>
        </is>
      </c>
      <c r="I25" s="205" t="inlineStr">
        <is>
          <t>철도차량 형식승인 결과 보고서</t>
        </is>
      </c>
      <c r="J25" s="163" t="inlineStr">
        <is>
          <t>"철도안전법 철도차량 형식승인 절차에 따른 본선 구간 전기-차량 시운전 계획 수립"</t>
        </is>
      </c>
      <c r="K25" s="217">
        <f>HYPERLINK(LEFT(CELL("filename",A1),FIND("[",CELL("filename",A1))-1)&amp;"매뉴얼BODY(집행단계-첨부폴더)v8\8.전기분야\24_차량 시운전\표준서\차량 시운전_표준서.html", "👉 [클릭] 표준서 열기 📄")</f>
        <v/>
      </c>
      <c r="L25" s="163" t="inlineStr">
        <is>
          <t>철도안전법 제26조(철도차량 형식승인)에 의거하여 본선 구간 트램 차량, 전차선 전력, 신호, 통신 시스템 간 인터페이스 시험 및 동력 성능 시운전 수행</t>
        </is>
      </c>
      <c r="M25" s="217">
        <f>HYPERLINK(LEFT(CELL("filename",A1),FIND("[",CELL("filename",A1))-1)&amp;"매뉴얼BODY(집행단계-첨부폴더)v8\8.전기분야\24_차량 시운전\수행지침\차량 시운전_수행지침.html", "👉 [클릭] 수행지침 열기 📄")</f>
        <v/>
      </c>
      <c r="N25" s="206"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217">
        <f>HYPERLINK(LEFT(CELL("filename",A1),FIND("[",CELL("filename",A1))-1)&amp;"매뉴얼BODY(집행단계-첨부폴더)v8\8.전기분야\24_차량 시운전\체크리스트\차량 시운전_체크리스트.html", "👉 [클릭] 체크리스트 열기 📄")</f>
        <v/>
      </c>
      <c r="P25" s="207" t="n"/>
      <c r="Q25" s="163" t="n"/>
      <c r="R25" s="208" t="n"/>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9000-8</t>
        </is>
      </c>
      <c r="C26" s="199" t="inlineStr">
        <is>
          <t>전기분야</t>
        </is>
      </c>
      <c r="D26" s="199" t="inlineStr">
        <is>
          <t>9000-8-25</t>
        </is>
      </c>
      <c r="E26" s="200" t="inlineStr">
        <is>
          <t>9000-8-24</t>
        </is>
      </c>
      <c r="F26" s="200" t="inlineStr">
        <is>
          <t>9000-8-26</t>
        </is>
      </c>
      <c r="G26" s="155" t="inlineStr">
        <is>
          <t>영업시운전 전에 시설을 운영자를 대상으로 운영 및 유지관리방법에 대해 교육</t>
        </is>
      </c>
      <c r="H26" s="200" t="inlineStr">
        <is>
          <t>- 전기 제작사가 만든 매뉴얼로 운영자를 교육
: 변전/전력설비 운영/관리방법</t>
        </is>
      </c>
      <c r="I26" s="200" t="inlineStr">
        <is>
          <t>운영자 교육 결과서</t>
        </is>
      </c>
      <c r="J26" s="156" t="inlineStr">
        <is>
          <t>"전기자재 제작사 작성 운영/유지보수 매뉴얼, 비상 조치 절차서 및 교육 교재 검토"</t>
        </is>
      </c>
      <c r="K26" s="213">
        <f>HYPERLINK(LEFT(CELL("filename",A1),FIND("[",CELL("filename",A1))-1)&amp;"매뉴얼BODY(집행단계-첨부폴더)v8\8.전기분야\25_운영자 교육시행\표준서\운영자 교육시행_표준서.html", "👉 [클릭] 표준서 열기 📄")</f>
        <v/>
      </c>
      <c r="L26" s="156" t="inlineStr">
        <is>
          <t>전기설비(변전, 전차선, SCADA, ESS) 제작사 취급 설명 매뉴얼 기반 운영사 및 관제 유지보수자 대상 이론/실습 교육 시행 및 교육 이수증 교부</t>
        </is>
      </c>
      <c r="M26" s="213">
        <f>HYPERLINK(LEFT(CELL("filename",A1),FIND("[",CELL("filename",A1))-1)&amp;"매뉴얼BODY(집행단계-첨부폴더)v8\8.전기분야\25_운영자 교육시행\수행지침\운영자 교육시행_수행지침.html", "👉 [클릭] 수행지침 열기 📄")</f>
        <v/>
      </c>
      <c r="N26" s="201"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213">
        <f>HYPERLINK(LEFT(CELL("filename",A1),FIND("[",CELL("filename",A1))-1)&amp;"매뉴얼BODY(집행단계-첨부폴더)v8\8.전기분야\25_운영자 교육시행\체크리스트\운영자 교육시행_체크리스트.html", "👉 [클릭] 체크리스트 열기 📄")</f>
        <v/>
      </c>
      <c r="P26" s="202" t="n"/>
      <c r="Q26" s="156" t="n"/>
      <c r="R26" s="203" t="n"/>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9000-8</t>
        </is>
      </c>
      <c r="C27" s="204" t="inlineStr">
        <is>
          <t>전기분야</t>
        </is>
      </c>
      <c r="D27" s="204" t="inlineStr">
        <is>
          <t>9000-8-26</t>
        </is>
      </c>
      <c r="E27" s="205" t="inlineStr">
        <is>
          <t>9000-8-25</t>
        </is>
      </c>
      <c r="F27" s="205" t="inlineStr">
        <is>
          <t>9000-8-27</t>
        </is>
      </c>
      <c r="G27" s="162" t="inlineStr">
        <is>
          <t>시설물검증시험의 가능여부를 확인하기 위하여 발주처와 운영자가 합동으로 점검</t>
        </is>
      </c>
      <c r="H27" s="205"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205" t="inlineStr">
        <is>
          <t>사전점검 결과보고서/승인문서(한국교통안전공단)</t>
        </is>
      </c>
      <c r="J27" s="163" t="inlineStr">
        <is>
          <t>"철도종합시험운행 시행지침 제8조에 의거, 발주처-운영자 합동 사전점검 계획서 수립"</t>
        </is>
      </c>
      <c r="K27" s="217">
        <f>HYPERLINK(LEFT(CELL("filename",A1),FIND("[",CELL("filename",A1))-1)&amp;"매뉴얼BODY(집행단계-첨부폴더)v8\8.전기분야\26_사전점검\표준서\사전점검_표준서.html", "👉 [클릭] 표준서 열기 📄")</f>
        <v/>
      </c>
      <c r="L27" s="163" t="inlineStr">
        <is>
          <t>철도종합시험운행 시행지침 제8조(사전점검)에 따라 발주처-운영자 합동 사전점검계획 수립, 시설물 검증 가능성 점검 후 7일 이내 한국교통안전공단 제출 완수</t>
        </is>
      </c>
      <c r="M27" s="217">
        <f>HYPERLINK(LEFT(CELL("filename",A1),FIND("[",CELL("filename",A1))-1)&amp;"매뉴얼BODY(집행단계-첨부폴더)v8\8.전기분야\26_사전점검\수행지침\사전점검_수행지침.html", "👉 [클릭] 수행지침 열기 📄")</f>
        <v/>
      </c>
      <c r="N27" s="206"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217">
        <f>HYPERLINK(LEFT(CELL("filename",A1),FIND("[",CELL("filename",A1))-1)&amp;"매뉴얼BODY(집행단계-첨부폴더)v8\8.전기분야\26_사전점검\체크리스트\사전점검_체크리스트.html", "👉 [클릭] 체크리스트 열기 📄")</f>
        <v/>
      </c>
      <c r="P27" s="207" t="n"/>
      <c r="Q27" s="163" t="n"/>
      <c r="R27" s="208" t="n"/>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9000-8</t>
        </is>
      </c>
      <c r="C28" s="199" t="inlineStr">
        <is>
          <t>전기분야</t>
        </is>
      </c>
      <c r="D28" s="199" t="inlineStr">
        <is>
          <t>9000-8-27</t>
        </is>
      </c>
      <c r="E28" s="200" t="inlineStr">
        <is>
          <t>9000-8-26</t>
        </is>
      </c>
      <c r="F28" s="200" t="inlineStr">
        <is>
          <t>9000-8-28</t>
        </is>
      </c>
      <c r="G28" s="155" t="inlineStr">
        <is>
          <t>발주처는 시설물의 정상작동 상태 등을 확인하기 위해 시설물 검증시험을 수행</t>
        </is>
      </c>
      <c r="H28" s="20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200" t="inlineStr">
        <is>
          <t>시설물 검증시험 결과보고서/승인문서(한국교통안전공단)</t>
        </is>
      </c>
      <c r="J28" s="156" t="inlineStr">
        <is>
          <t>"시설물검증시험계획을 운영자와 협의 수립하고 한국교통안전공단 전문기관 승인 수검"</t>
        </is>
      </c>
      <c r="K28" s="213">
        <f>HYPERLINK(LEFT(CELL("filename",A1),FIND("[",CELL("filename",A1))-1)&amp;"매뉴얼BODY(집행단계-첨부폴더)v8\8.전기분야\27_시설물 검증시험\표준서\시설물 검증시험_표준서.html", "👉 [클릭] 표준서 열기 📄")</f>
        <v/>
      </c>
      <c r="L28" s="156" t="inlineStr">
        <is>
          <t>철도종합시험운행 시행지침 제12조/제13조에 의거 시설물검증시험계획 전문기관 승인, 시설물 정상작동, 안전상태, 차량 운행 적합성 검증 후 7일 내 공단 제출</t>
        </is>
      </c>
      <c r="M28" s="213">
        <f>HYPERLINK(LEFT(CELL("filename",A1),FIND("[",CELL("filename",A1))-1)&amp;"매뉴얼BODY(집행단계-첨부폴더)v8\8.전기분야\27_시설물 검증시험\수행지침\시설물 검증시험_수행지침.html", "👉 [클릭] 수행지침 열기 📄")</f>
        <v/>
      </c>
      <c r="N28" s="201"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213">
        <f>HYPERLINK(LEFT(CELL("filename",A1),FIND("[",CELL("filename",A1))-1)&amp;"매뉴얼BODY(집행단계-첨부폴더)v8\8.전기분야\27_시설물 검증시험\체크리스트\시설물 검증시험_체크리스트.html", "👉 [클릭] 체크리스트 열기 📄")</f>
        <v/>
      </c>
      <c r="P28" s="202" t="n"/>
      <c r="Q28" s="156" t="n"/>
      <c r="R28" s="203" t="n"/>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9000-8</t>
        </is>
      </c>
      <c r="C29" s="204" t="inlineStr">
        <is>
          <t>전기분야</t>
        </is>
      </c>
      <c r="D29" s="204" t="inlineStr">
        <is>
          <t>9000-8-28</t>
        </is>
      </c>
      <c r="E29" s="205" t="inlineStr">
        <is>
          <t>9000-8-27</t>
        </is>
      </c>
      <c r="F29" s="205" t="inlineStr">
        <is>
          <t>9000-8-29</t>
        </is>
      </c>
      <c r="G29" s="162" t="inlineStr">
        <is>
          <t>발주처는 영업시운전계획에 따라 열차운행체계를 확인하기 위해 영업시운전을 수행</t>
        </is>
      </c>
      <c r="H29" s="205"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205" t="inlineStr">
        <is>
          <t>영업시운전 결과보고서/승인문서(한국교통안전공단), 국토부 승인문서</t>
        </is>
      </c>
      <c r="J29" s="163" t="inlineStr">
        <is>
          <t>"운영자-발주처 협의 영업시운전계획 수립, 국토부 전문기관(교통안전공단) 승인 완수"</t>
        </is>
      </c>
      <c r="K29" s="217">
        <f>HYPERLINK(LEFT(CELL("filename",A1),FIND("[",CELL("filename",A1))-1)&amp;"매뉴얼BODY(집행단계-첨부폴더)v8\8.전기분야\28_영업시운전\표준서\영업시운전_표준서.html", "👉 [클릭] 표준서 열기 📄")</f>
        <v/>
      </c>
      <c r="L29" s="163" t="inlineStr">
        <is>
          <t>철도종합시험운행 시행지침 제22조/제23조에 의거 영업시운전계획 수립/승인, 영업 조건 열차운행, 종사자 업무 숙달 검증 후 결과보고서 공단 제출 및 국토부 보고</t>
        </is>
      </c>
      <c r="M29" s="217">
        <f>HYPERLINK(LEFT(CELL("filename",A1),FIND("[",CELL("filename",A1))-1)&amp;"매뉴얼BODY(집행단계-첨부폴더)v8\8.전기분야\28_영업시운전\수행지침\영업시운전_수행지침.html", "👉 [클릭] 수행지침 열기 📄")</f>
        <v/>
      </c>
      <c r="N29" s="206"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217">
        <f>HYPERLINK(LEFT(CELL("filename",A1),FIND("[",CELL("filename",A1))-1)&amp;"매뉴얼BODY(집행단계-첨부폴더)v8\8.전기분야\28_영업시운전\체크리스트\영업시운전_체크리스트.html", "👉 [클릭] 체크리스트 열기 📄")</f>
        <v/>
      </c>
      <c r="P29" s="207" t="n"/>
      <c r="Q29" s="163" t="n"/>
      <c r="R29" s="208" t="n"/>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9000-8</t>
        </is>
      </c>
      <c r="C30" s="199" t="inlineStr">
        <is>
          <t>전기분야</t>
        </is>
      </c>
      <c r="D30" s="199" t="inlineStr">
        <is>
          <t>9000-8-29</t>
        </is>
      </c>
      <c r="E30" s="200" t="inlineStr">
        <is>
          <t>9000-8-28</t>
        </is>
      </c>
      <c r="F30" s="200" t="inlineStr">
        <is>
          <t>9000-8-30</t>
        </is>
      </c>
      <c r="G30" s="155" t="inlineStr">
        <is>
          <t>합법적인 전기 공급 계약 체결</t>
        </is>
      </c>
      <c r="H30" s="200" t="inlineStr">
        <is>
          <t>- 관할 한국전력공사에 신청서, 건축허가신청서, 위임장 및 관련서류 제출 (약 1개월 소요)</t>
        </is>
      </c>
      <c r="I30" s="200" t="inlineStr">
        <is>
          <t>전기사용신청 접수증명서, 시설부담금 고지서</t>
        </is>
      </c>
      <c r="J30" s="156" t="inlineStr">
        <is>
          <t>"관할 한국전력공사 제출용 전기사용신청서, 변전소 용량 계산서 및 위임장 작성"</t>
        </is>
      </c>
      <c r="K30" s="213">
        <f>HYPERLINK(LEFT(CELL("filename",A1),FIND("[",CELL("filename",A1))-1)&amp;"매뉴얼BODY(집행단계-첨부폴더)v8\8.전기분야\29_전기 사용신청\표준서\전기 사용신청_표준서.html", "👉 [클릭] 표준서 열기 📄")</f>
        <v/>
      </c>
      <c r="L30" s="156" t="inlineStr">
        <is>
          <t>관할 한국전력공사에 전기사용신청서, 건축허가서, 수전 도면 및 위임장 제출 수속(소요 기간 약 1개월 관리) 및 수전 합의 완수</t>
        </is>
      </c>
      <c r="M30" s="213">
        <f>HYPERLINK(LEFT(CELL("filename",A1),FIND("[",CELL("filename",A1))-1)&amp;"매뉴얼BODY(집행단계-첨부폴더)v8\8.전기분야\29_전기 사용신청\수행지침\전기 사용신청_수행지침.html", "👉 [클릭] 수행지침 열기 📄")</f>
        <v/>
      </c>
      <c r="N30" s="201"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213">
        <f>HYPERLINK(LEFT(CELL("filename",A1),FIND("[",CELL("filename",A1))-1)&amp;"매뉴얼BODY(집행단계-첨부폴더)v8\8.전기분야\29_전기 사용신청\체크리스트\전기 사용신청_체크리스트.html", "👉 [클릭] 체크리스트 열기 📄")</f>
        <v/>
      </c>
      <c r="P30" s="202" t="n"/>
      <c r="Q30" s="156" t="n"/>
      <c r="R30" s="203" t="n"/>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9000-8</t>
        </is>
      </c>
      <c r="C31" s="204" t="inlineStr">
        <is>
          <t>전기분야</t>
        </is>
      </c>
      <c r="D31" s="204" t="inlineStr">
        <is>
          <t>9000-8-30</t>
        </is>
      </c>
      <c r="E31" s="205" t="inlineStr">
        <is>
          <t>9000-8-29</t>
        </is>
      </c>
      <c r="F31" s="205" t="inlineStr">
        <is>
          <t>9000-8-31</t>
        </is>
      </c>
      <c r="G31" s="162" t="inlineStr">
        <is>
          <t>공사 착수 전 법적 신고 이행</t>
        </is>
      </c>
      <c r="H31" s="205" t="inlineStr">
        <is>
          <t>- 관할 한국전기안전공사에 공사 착수 전에 공사계획서 및 신고서 제출</t>
        </is>
      </c>
      <c r="I31" s="205" t="inlineStr">
        <is>
          <t>공사계획신고 수리서</t>
        </is>
      </c>
      <c r="J31" s="163" t="inlineStr">
        <is>
          <t>"전기사업법 시행규칙에 맞춘 공사계획서 및 전기설비 공사계획신고서 정밀 작성"</t>
        </is>
      </c>
      <c r="K31" s="217">
        <f>HYPERLINK(LEFT(CELL("filename",A1),FIND("[",CELL("filename",A1))-1)&amp;"매뉴얼BODY(집행단계-첨부폴더)v8\8.전기분야\30_공사계획신고\표준서\공사계획신고_표준서.html", "👉 [클릭] 표준서 열기 📄")</f>
        <v/>
      </c>
      <c r="L31" s="163" t="inlineStr">
        <is>
          <t>관할 한국전기안전공사에 전기 공사 착수 전 공사계획서, 기술자 자격증, 감리원 배치서 및 도면 제출 수속 완료</t>
        </is>
      </c>
      <c r="M31" s="217">
        <f>HYPERLINK(LEFT(CELL("filename",A1),FIND("[",CELL("filename",A1))-1)&amp;"매뉴얼BODY(집행단계-첨부폴더)v8\8.전기분야\30_공사계획신고\수행지침\공사계획신고_수행지침.html", "👉 [클릭] 수행지침 열기 📄")</f>
        <v/>
      </c>
      <c r="N31" s="206"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217">
        <f>HYPERLINK(LEFT(CELL("filename",A1),FIND("[",CELL("filename",A1))-1)&amp;"매뉴얼BODY(집행단계-첨부폴더)v8\8.전기분야\30_공사계획신고\체크리스트\공사계획신고_체크리스트.html", "👉 [클릭] 체크리스트 열기 📄")</f>
        <v/>
      </c>
      <c r="P31" s="207" t="n"/>
      <c r="Q31" s="163" t="n"/>
      <c r="R31" s="208" t="n"/>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9000-8</t>
        </is>
      </c>
      <c r="C32" s="199" t="inlineStr">
        <is>
          <t>전기분야</t>
        </is>
      </c>
      <c r="D32" s="199" t="inlineStr">
        <is>
          <t>9000-8-31</t>
        </is>
      </c>
      <c r="E32" s="200" t="inlineStr">
        <is>
          <t>9000-8-30</t>
        </is>
      </c>
      <c r="F32" s="200" t="inlineStr">
        <is>
          <t>9000-8-32</t>
        </is>
      </c>
      <c r="G32" s="155" t="inlineStr">
        <is>
          <t>노면전차선로 품질 및 기술 적합성 검증</t>
        </is>
      </c>
      <c r="H32" s="200" t="inlineStr">
        <is>
          <t>- 한국전기철도기술협회에 차량시운전 전까지 수량조서 및 시공도면 제출 (처리기간 15일)</t>
        </is>
      </c>
      <c r="I32" s="200" t="inlineStr">
        <is>
          <t>전차선로 시공품질 검사증</t>
        </is>
      </c>
      <c r="J32" s="156" t="inlineStr">
        <is>
          <t>"노면전차선로 지주, 강성 가선, 브래킷 수량조서 및 시공 승인도면(Shop Drawing) 작성"</t>
        </is>
      </c>
      <c r="K32" s="213">
        <f>HYPERLINK(LEFT(CELL("filename",A1),FIND("[",CELL("filename",A1))-1)&amp;"매뉴얼BODY(집행단계-첨부폴더)v8\8.전기분야\31_전차선로 적합성 검증\표준서\전차선로 적합성 검증_표준서.html", "👉 [클릭] 표준서 열기 📄")</f>
        <v/>
      </c>
      <c r="L32" s="156" t="inlineStr">
        <is>
          <t>한국전기철도기술협회에 차량 시운전 전까지 수량조서, 시공도면 및 시험성적서 제출(처리기간 15일)하여 적합성 검증 승인 완수</t>
        </is>
      </c>
      <c r="M32" s="213">
        <f>HYPERLINK(LEFT(CELL("filename",A1),FIND("[",CELL("filename",A1))-1)&amp;"매뉴얼BODY(집행단계-첨부폴더)v8\8.전기분야\31_전차선로 적합성 검증\수행지침\전차선로 적합성 검증_수행지침.html", "👉 [클릭] 수행지침 열기 📄")</f>
        <v/>
      </c>
      <c r="N32" s="201"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213">
        <f>HYPERLINK(LEFT(CELL("filename",A1),FIND("[",CELL("filename",A1))-1)&amp;"매뉴얼BODY(집행단계-첨부폴더)v8\8.전기분야\31_전차선로 적합성 검증\체크리스트\전차선로 적합성 검증_체크리스트.html", "👉 [클릭] 체크리스트 열기 📄")</f>
        <v/>
      </c>
      <c r="P32" s="202" t="n"/>
      <c r="Q32" s="156" t="n"/>
      <c r="R32" s="203" t="n"/>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9000-8</t>
        </is>
      </c>
      <c r="C33" s="204" t="inlineStr">
        <is>
          <t>전기분야</t>
        </is>
      </c>
      <c r="D33" s="204" t="inlineStr">
        <is>
          <t>9000-8-32</t>
        </is>
      </c>
      <c r="E33" s="205" t="inlineStr">
        <is>
          <t>9000-8-31</t>
        </is>
      </c>
      <c r="F33" s="205" t="inlineStr">
        <is>
          <t>-</t>
        </is>
      </c>
      <c r="G33" s="162" t="inlineStr">
        <is>
          <t>준공 전 설비의 안전성 및 안전기준 부합 여부 판정</t>
        </is>
      </c>
      <c r="H33" s="205"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205" t="inlineStr">
        <is>
          <t>사용전검사 확인증(필증)
※ 송변전의 경우 한국전기안전공사 검사에 시공사 입회</t>
        </is>
      </c>
      <c r="J33" s="163" t="inlineStr">
        <is>
          <t>"전기설비 설치 완료 후 7일 전 사용전검사신청서, 감리배치서, 단선도, 자재성적서 제출"</t>
        </is>
      </c>
      <c r="K33" s="217">
        <f>HYPERLINK(LEFT(CELL("filename",A1),FIND("[",CELL("filename",A1))-1)&amp;"매뉴얼BODY(집행단계-첨부폴더)v8\8.전기분야\32_전기 사용전검사 (전력_전차선_송변전)\표준서\전기 사용전검사 (전력_전차선_송변전)_표준서.html", "👉 [클릭] 표준서 열기 📄")</f>
        <v/>
      </c>
      <c r="L33" s="163" t="inlineStr">
        <is>
          <t>전기사업법 제63조, 도로법 제56조, 도로교통법 제69조에 의거 한국전기안전공사 사용전검사(7일전 신청), 지자체 도로점용허가(2주전), 경찰서 도로공사신고(3일전) 통합 수검 완료</t>
        </is>
      </c>
      <c r="M33" s="217">
        <f>HYPERLINK(LEFT(CELL("filename",A1),FIND("[",CELL("filename",A1))-1)&amp;"매뉴얼BODY(집행단계-첨부폴더)v8\8.전기분야\32_전기 사용전검사 (전력_전차선_송변전)\수행지침\전기 사용전검사 (전력_전차선_송변전)_수행지침.html", "👉 [클릭] 수행지침 열기 📄")</f>
        <v/>
      </c>
      <c r="N33" s="206"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217">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207" t="n"/>
      <c r="Q33" s="163" t="n"/>
      <c r="R33" s="208" t="n"/>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NF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row>
    <row r="2" ht="52" customHeight="1" s="147">
      <c r="A2" s="199" t="inlineStr">
        <is>
          <t>9000</t>
        </is>
      </c>
      <c r="B2" s="199" t="inlineStr">
        <is>
          <t>9000-10</t>
        </is>
      </c>
      <c r="C2" s="199" t="inlineStr">
        <is>
          <t>기계설비·소방설비</t>
        </is>
      </c>
      <c r="D2" s="199" t="inlineStr">
        <is>
          <t>9000-10-1</t>
        </is>
      </c>
      <c r="E2" s="200" t="inlineStr">
        <is>
          <t>-</t>
        </is>
      </c>
      <c r="F2" s="200" t="inlineStr">
        <is>
          <t>9000-10-2</t>
        </is>
      </c>
      <c r="G2" s="155" t="inlineStr">
        <is>
          <t>설계 적정성 검토</t>
        </is>
      </c>
      <c r="H2" s="200" t="inlineStr">
        <is>
          <t>D-117</t>
        </is>
      </c>
      <c r="I2" s="200" t="inlineStr">
        <is>
          <t>기계/소방팀</t>
        </is>
      </c>
      <c r="J2" s="156" t="inlineStr">
        <is>
          <t>기계·소방설비 설계도서(도면/시방/계산서)의 KDS 47 및 NFTC 기준 적합성과 시공성·경제성 사전 검증</t>
        </is>
      </c>
      <c r="K2" s="156" t="inlineStr">
        <is>
          <t>1) STEP 1 (설계도서 삼각 대조): KDS 47/NFTC 기준에 따라 공조/환기 부하계산서, 설계도면, 수량산출서 1:1 정합성 검증
2) STEP 2 (주요 장비 용량 검토): 변전소 PAC(3대), 고내열 제연팬(250℃/1h), 인버터 펌프 정격 양정/유량 시방 일치성 확인
3) STEP 3 (인터페이스 및 개선안 도출): 건축 슬리브, 전기 NFR-8 내화배선, 신호 배수공동구 연계성 검토 및 설계변경안 감리 승인</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201">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202">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203">
        <f>HYPERLINK(LEFT(CELL("filename",A1),FIND("[",CELL("filename",A1))-1)&amp;"매뉴얼BODY(집행단계-첨부폴더)v8\10.기계분야\1_설계 적정성 검토\체크리스트\1_설계 적정성 검토_체크리스트.html", "👉 [클릭] 체크리스트 열기 📄")</f>
        <v/>
      </c>
      <c r="S2" s="200" t="inlineStr">
        <is>
          <t>기계·소방 복합 시방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row>
    <row r="3" ht="52" customHeight="1" s="147">
      <c r="A3" s="204" t="inlineStr">
        <is>
          <t>9000</t>
        </is>
      </c>
      <c r="B3" s="204" t="inlineStr">
        <is>
          <t>9000-10</t>
        </is>
      </c>
      <c r="C3" s="204" t="inlineStr">
        <is>
          <t>기계설비·소방설비</t>
        </is>
      </c>
      <c r="D3" s="204" t="inlineStr">
        <is>
          <t>9000-10-2</t>
        </is>
      </c>
      <c r="E3" s="205" t="inlineStr">
        <is>
          <t>9000-10-1</t>
        </is>
      </c>
      <c r="F3" s="205" t="inlineStr">
        <is>
          <t>9000-10-3</t>
        </is>
      </c>
      <c r="G3" s="162" t="inlineStr">
        <is>
          <t>발주전략 KOM</t>
        </is>
      </c>
      <c r="H3" s="205" t="inlineStr">
        <is>
          <t>D-114</t>
        </is>
      </c>
      <c r="I3" s="205" t="inlineStr">
        <is>
          <t>기계/소방팀</t>
        </is>
      </c>
      <c r="J3" s="163" t="inlineStr">
        <is>
          <t>기계·소방 공종 3자(발주처-감리-시공) 킥오프를 통한 주요 자재 조달 라인 및 4대 공정 마일스톤 확정</t>
        </is>
      </c>
      <c r="K3" s="163" t="inlineStr">
        <is>
          <t>1) STEP 1 (3자 협의체 구성): 발주처, 책임감리단, 기계/소방 협력사 간 공정·품질·안전 관리체계 및 업무 R&amp;R 확정
2) STEP 2 (주요 자재 수급선 검토): STS 강관, 덕트, 펌프, 승강기 등 장납기 자재의 공장 승인 및 납품 스케줄 동기화
3) STEP 3 (핵심 마일스톤 수립): 3D BIM 간섭해소, FAT 공장검수, 수압시험, 소방 완공검사 등 공정 임계경로(CP) 관리</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206">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207">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208">
        <f>HYPERLINK(LEFT(CELL("filename",A1),FIND("[",CELL("filename",A1))-1)&amp;"매뉴얼BODY(집행단계-첨부폴더)v8\10.기계분야\2_발주전략 KOM\체크리스트\2_발주전략 KOM_체크리스트.html", "👉 [클릭] 체크리스트 열기 📄")</f>
        <v/>
      </c>
      <c r="S3" s="205" t="inlineStr">
        <is>
          <t>기계·소방 복합 시방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row>
    <row r="4" ht="52" customHeight="1" s="147">
      <c r="A4" s="199" t="inlineStr">
        <is>
          <t>9000</t>
        </is>
      </c>
      <c r="B4" s="199" t="inlineStr">
        <is>
          <t>9000-10</t>
        </is>
      </c>
      <c r="C4" s="199" t="inlineStr">
        <is>
          <t>기계설비·소방설비</t>
        </is>
      </c>
      <c r="D4" s="199" t="inlineStr">
        <is>
          <t>9000-10-3</t>
        </is>
      </c>
      <c r="E4" s="200" t="inlineStr">
        <is>
          <t>9000-10-2</t>
        </is>
      </c>
      <c r="F4" s="200" t="inlineStr">
        <is>
          <t>9000-10-4</t>
        </is>
      </c>
      <c r="G4" s="155" t="inlineStr">
        <is>
          <t>3D BIM 기계_소방 간섭 검토</t>
        </is>
      </c>
      <c r="H4" s="200" t="inlineStr">
        <is>
          <t>D-111</t>
        </is>
      </c>
      <c r="I4" s="200" t="inlineStr">
        <is>
          <t>기계/소방팀</t>
        </is>
      </c>
      <c r="J4" s="156" t="inlineStr">
        <is>
          <t>LOD 350 기반 3D BIM을 활용하여 기계덕트·소화배관·전기트레이 간 Hard Clash 0건 달성 및 CSD 승인</t>
        </is>
      </c>
      <c r="K4" s="156" t="inlineStr">
        <is>
          <t>1) STEP 1 (LOD 350 3D 모델링): 기계 공조덕트, 소화배관, 위생배관 및 전기 트레이의 3D 통합 모델 구축
2) STEP 2 (복합 간섭체크 실행): Navisworks 간섭 체크 엔진을 가동하여 배관 교차 및 건축 골조 간섭(Clash) 전수 색출
3) STEP 3 (시공상세도 CSD 확정): 정거장 유효 천장고(CH ≥ 2.7m) 확보를 위한 배관 입체 재배치 및 감리단 CSD 최종 승인</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201">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202">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203">
        <f>HYPERLINK(LEFT(CELL("filename",A1),FIND("[",CELL("filename",A1))-1)&amp;"매뉴얼BODY(집행단계-첨부폴더)v8\10.기계분야\3_3D BIM 기계_소방 간섭 검토\체크리스트\3_3D BIM 기계_소방 간섭 검토_체크리스트.html", "👉 [클릭] 체크리스트 열기 📄")</f>
        <v/>
      </c>
      <c r="S4" s="200" t="inlineStr">
        <is>
          <t>기계·소방 복합 시방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row>
    <row r="5" ht="52" customHeight="1" s="147">
      <c r="A5" s="204" t="inlineStr">
        <is>
          <t>9000</t>
        </is>
      </c>
      <c r="B5" s="204" t="inlineStr">
        <is>
          <t>9000-10</t>
        </is>
      </c>
      <c r="C5" s="204" t="inlineStr">
        <is>
          <t>기계설비·소방설비</t>
        </is>
      </c>
      <c r="D5" s="204" t="inlineStr">
        <is>
          <t>9000-10-4</t>
        </is>
      </c>
      <c r="E5" s="205" t="inlineStr">
        <is>
          <t>9000-10-3</t>
        </is>
      </c>
      <c r="F5" s="205" t="inlineStr">
        <is>
          <t>9000-10-5</t>
        </is>
      </c>
      <c r="G5" s="162" t="inlineStr">
        <is>
          <t>소방 및 환경 인허가</t>
        </is>
      </c>
      <c r="H5" s="205" t="inlineStr">
        <is>
          <t>D-108</t>
        </is>
      </c>
      <c r="I5" s="205" t="inlineStr">
        <is>
          <t>기계/소방팀</t>
        </is>
      </c>
      <c r="J5" s="163" t="inlineStr">
        <is>
          <t>소방시설공사업법 제13조에 따른 착공신고 및 위험물·오폐수 환경 인허가 적기 득</t>
        </is>
      </c>
      <c r="K5" s="163" t="inlineStr">
        <is>
          <t>1) STEP 1 (소방 착공신고): 소방기술자/감리원 배치신고서 및 소방 설계도서를 관할 화성소방서에 제출하여 착공필증 수령
2) STEP 2 (위험물 저장 승인): 비상발전기 유류탱크(경유) 저장소 설치허가 및 방유제(용량 110%) 안전기준 검증
3) STEP 3 (환경 인허가 완료): 차량기지 오폐수배출시설 설치신고 및 수질 TMS 연동 계획 관할 지자체 승인</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206">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207">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208">
        <f>HYPERLINK(LEFT(CELL("filename",A1),FIND("[",CELL("filename",A1))-1)&amp;"매뉴얼BODY(집행단계-첨부폴더)v8\10.기계분야\4_소방 및 환경 인허가\체크리스트\4_소방 및 환경 인허가_체크리스트.html", "👉 [클릭] 체크리스트 열기 📄")</f>
        <v/>
      </c>
      <c r="S5" s="205" t="inlineStr">
        <is>
          <t>기계·소방 복합 시방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row>
    <row r="6" ht="52" customHeight="1" s="147">
      <c r="A6" s="199" t="inlineStr">
        <is>
          <t>9000</t>
        </is>
      </c>
      <c r="B6" s="199" t="inlineStr">
        <is>
          <t>9000-10</t>
        </is>
      </c>
      <c r="C6" s="199" t="inlineStr">
        <is>
          <t>기계설비·소방설비</t>
        </is>
      </c>
      <c r="D6" s="199" t="inlineStr">
        <is>
          <t>9000-10-5</t>
        </is>
      </c>
      <c r="E6" s="200" t="inlineStr">
        <is>
          <t>9000-10-4</t>
        </is>
      </c>
      <c r="F6" s="200" t="inlineStr">
        <is>
          <t>9000-10-6</t>
        </is>
      </c>
      <c r="G6" s="155" t="inlineStr">
        <is>
          <t>장비 반입동선 및 야적장 계획</t>
        </is>
      </c>
      <c r="H6" s="200" t="inlineStr">
        <is>
          <t>D-105</t>
        </is>
      </c>
      <c r="I6" s="200" t="inlineStr">
        <is>
          <t>기계/소방팀</t>
        </is>
      </c>
      <c r="J6" s="156" t="inlineStr">
        <is>
          <t>지하 기계실 대형 장비(AHU, 펌프 등)의 DA 개구부 양중 및 안전 반입 동선 확보</t>
        </is>
      </c>
      <c r="K6" s="156" t="inlineStr">
        <is>
          <t>1) STEP 1 (양중 크레인 계획): 50ton 하이드로 크레인 작업반경 설정, 복공판 하부 지지력(K30 ≥ 150) 및 아웃트리거 보강
2) STEP 2 (개구부 통과 검토): 장비 분할 치수와 DA 개구부(W2.5m x L4.0m) 유효 통과폭 대조 및 호이스트/체인블록 가설
3) STEP 3 (수평 인입 및 안착): 운반 롤러 및 레일 시스템을 이용하여 기계실 기초 패드 위로 유도 후 레벨링 및 앵커링</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201">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202">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203">
        <f>HYPERLINK(LEFT(CELL("filename",A1),FIND("[",CELL("filename",A1))-1)&amp;"매뉴얼BODY(집행단계-첨부폴더)v8\10.기계분야\5_장비 반입동선 및 야적장 계획\체크리스트\5_장비 반입동선 및 야적장 계획_체크리스트.html", "👉 [클릭] 체크리스트 열기 📄")</f>
        <v/>
      </c>
      <c r="S6" s="200" t="inlineStr">
        <is>
          <t>기계·소방 복합 시방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row>
    <row r="7" ht="52" customHeight="1" s="147">
      <c r="A7" s="204" t="inlineStr">
        <is>
          <t>9000</t>
        </is>
      </c>
      <c r="B7" s="204" t="inlineStr">
        <is>
          <t>9000-10</t>
        </is>
      </c>
      <c r="C7" s="204" t="inlineStr">
        <is>
          <t>기계설비·소방설비</t>
        </is>
      </c>
      <c r="D7" s="204" t="inlineStr">
        <is>
          <t>9000-10-6</t>
        </is>
      </c>
      <c r="E7" s="205" t="inlineStr">
        <is>
          <t>9000-10-5</t>
        </is>
      </c>
      <c r="F7" s="205" t="inlineStr">
        <is>
          <t>9000-10-7</t>
        </is>
      </c>
      <c r="G7" s="162" t="inlineStr">
        <is>
          <t>Big Room 인터페이스 회의</t>
        </is>
      </c>
      <c r="H7" s="205" t="inlineStr">
        <is>
          <t>D-102</t>
        </is>
      </c>
      <c r="I7" s="205" t="inlineStr">
        <is>
          <t>기계/소방팀</t>
        </is>
      </c>
      <c r="J7" s="163" t="inlineStr">
        <is>
          <t>건축, 전기, 통신, 신호, 궤도 등 타 공종과의 시공 간섭 배제 및 시공 우선순위 룰 확립</t>
        </is>
      </c>
      <c r="K7" s="163" t="inlineStr">
        <is>
          <t>1) STEP 1 (Big Room 정례협의): 7대 공종 합동 주간 인터페이스 회의를 운영하여 주배관과 타 공종 지장물 간섭 해소
2) STEP 2 (시공 우선순위 확정): 슬리브 선매립(건축) ⟶ 대형 풍도/주배관(기계) ⟶ 케이블트레이(전기) 순차 시공 룰 적용
3) STEP 3 (인터페이스 체크시트 발행): 상호 인계인수 전 슬리브 위치, 방화구획, 배수구 트렌치 시공 상태 합동 서명 검측</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206">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207">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208">
        <f>HYPERLINK(LEFT(CELL("filename",A1),FIND("[",CELL("filename",A1))-1)&amp;"매뉴얼BODY(집행단계-첨부폴더)v8\10.기계분야\6_Big Room 인터페이스 회의\체크리스트\6_Big Room 인터페이스 회의_체크리스트.html", "👉 [클릭] 체크리스트 열기 📄")</f>
        <v/>
      </c>
      <c r="S7" s="205" t="inlineStr">
        <is>
          <t>기계·소방 복합 시방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row>
    <row r="8" ht="52" customHeight="1" s="147">
      <c r="A8" s="199" t="inlineStr">
        <is>
          <t>9000</t>
        </is>
      </c>
      <c r="B8" s="199" t="inlineStr">
        <is>
          <t>9000-10</t>
        </is>
      </c>
      <c r="C8" s="199" t="inlineStr">
        <is>
          <t>기계설비·소방설비</t>
        </is>
      </c>
      <c r="D8" s="199" t="inlineStr">
        <is>
          <t>9000-10-7</t>
        </is>
      </c>
      <c r="E8" s="200" t="inlineStr">
        <is>
          <t>9000-10-6</t>
        </is>
      </c>
      <c r="F8" s="200" t="inlineStr">
        <is>
          <t>9000-10-8</t>
        </is>
      </c>
      <c r="G8" s="155" t="inlineStr">
        <is>
          <t>지하매설 기계배관 협의</t>
        </is>
      </c>
      <c r="H8" s="200" t="inlineStr">
        <is>
          <t>D-99</t>
        </is>
      </c>
      <c r="I8" s="200" t="inlineStr">
        <is>
          <t>기계/소방팀</t>
        </is>
      </c>
      <c r="J8" s="156" t="inlineStr">
        <is>
          <t>트램 본선 도로 하부 지중매설 배관(상수도, 지열, 우오수)과 지하 지장물 간 안전 이격거리 확보</t>
        </is>
      </c>
      <c r="K8" s="156" t="inlineStr">
        <is>
          <t>1) STEP 1 (3D 지하매설물 탐사): GPR 탐사 및 줄파기를 통해 기존 가스관, 한전관로, 통신관로 심도와 좌표 정밀 확인
2) STEP 2 (안전 이격거리 유지): 타 지장물과 최소 300mm 이상 이격 배치하고 고저차 간섭 시 강관 보호공(Casing) 적용
3) STEP 3 (모래부설 및 다짐): 배관 주위 양질의 모래(두께 100mm) 부설 후 되메우기 층별 다짐(다짐도 ≥ 95%) 및 경고테이프 매설</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201">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202">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203">
        <f>HYPERLINK(LEFT(CELL("filename",A1),FIND("[",CELL("filename",A1))-1)&amp;"매뉴얼BODY(집행단계-첨부폴더)v8\10.기계분야\7_지하매설 기계배관 협의\체크리스트\7_지하매설 기계배관 협의_체크리스트.html", "👉 [클릭] 체크리스트 열기 📄")</f>
        <v/>
      </c>
      <c r="S8" s="200" t="inlineStr">
        <is>
          <t>기계·소방 복합 시방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row>
    <row r="9" ht="52" customHeight="1" s="147">
      <c r="A9" s="204" t="inlineStr">
        <is>
          <t>9000</t>
        </is>
      </c>
      <c r="B9" s="204" t="inlineStr">
        <is>
          <t>9000-10</t>
        </is>
      </c>
      <c r="C9" s="204" t="inlineStr">
        <is>
          <t>기계설비·소방설비</t>
        </is>
      </c>
      <c r="D9" s="204" t="inlineStr">
        <is>
          <t>9000-10-8</t>
        </is>
      </c>
      <c r="E9" s="205" t="inlineStr">
        <is>
          <t>9000-10-7</t>
        </is>
      </c>
      <c r="F9" s="205" t="inlineStr">
        <is>
          <t>9000-10-9</t>
        </is>
      </c>
      <c r="G9" s="162" t="inlineStr">
        <is>
          <t>기계설비 시공계획서 수립</t>
        </is>
      </c>
      <c r="H9" s="205" t="inlineStr">
        <is>
          <t>D-96</t>
        </is>
      </c>
      <c r="I9" s="205" t="inlineStr">
        <is>
          <t>기계/소방팀</t>
        </is>
      </c>
      <c r="J9" s="163" t="inlineStr">
        <is>
          <t>KCS 41 시방 기준 준수, 유자격 용접사 WPS 승인 및 밀폐공간 안전보건 체계 확립</t>
        </is>
      </c>
      <c r="K9" s="163" t="inlineStr">
        <is>
          <t>1) STEP 1 (공종별 절차서 수립): 배관, 덕트, 장비설치 등 세부 작업별 인원·장비·공정 계획 및 위험성평가서 작성
2) STEP 2 (WPS 용접절차 승인): 배관 재질별(STS, 탄소강) 용접절차시방서(WPS) 수립 및 유자격 용접사 시험편 PQR 검증
3) STEP 3 (밀폐공간 안전관리): 지하 집수조/탱크 작업 시 복합가스(산소, 황화수소) 측정, 송기마스크 착용 및 감시원 상주</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206">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207">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208">
        <f>HYPERLINK(LEFT(CELL("filename",A1),FIND("[",CELL("filename",A1))-1)&amp;"매뉴얼BODY(집행단계-첨부폴더)v8\10.기계분야\8_기계설비 시공계획서 수립\체크리스트\8_기계설비 시공계획서 수립_체크리스트.html", "👉 [클릭] 체크리스트 열기 📄")</f>
        <v/>
      </c>
      <c r="S9" s="205" t="inlineStr">
        <is>
          <t>기계·소방 복합 시방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row>
    <row r="10" ht="52" customHeight="1" s="147">
      <c r="A10" s="199" t="inlineStr">
        <is>
          <t>9000</t>
        </is>
      </c>
      <c r="B10" s="199" t="inlineStr">
        <is>
          <t>9000-10</t>
        </is>
      </c>
      <c r="C10" s="199" t="inlineStr">
        <is>
          <t>기계설비·소방설비</t>
        </is>
      </c>
      <c r="D10" s="199" t="inlineStr">
        <is>
          <t>9000-10-9</t>
        </is>
      </c>
      <c r="E10" s="200" t="inlineStr">
        <is>
          <t>9000-10-8</t>
        </is>
      </c>
      <c r="F10" s="200" t="inlineStr">
        <is>
          <t>9000-10-10</t>
        </is>
      </c>
      <c r="G10" s="155" t="inlineStr">
        <is>
          <t>주요 기계_소방 기자재 검수</t>
        </is>
      </c>
      <c r="H10" s="200" t="inlineStr">
        <is>
          <t>D-93</t>
        </is>
      </c>
      <c r="I10" s="200" t="inlineStr">
        <is>
          <t>기계/소방팀</t>
        </is>
      </c>
      <c r="J10" s="156" t="inlineStr">
        <is>
          <t>배관, 밸브, 펌프 등 주요 기계·소방 기자재의 KS/KFI 규격 검증 및 공장 시험(FAT) 수행</t>
        </is>
      </c>
      <c r="K10" s="156" t="inlineStr">
        <is>
          <t>1) STEP 1 (공장검수 FAT 실시): 인버터 부스터펌프, 공조기 공장을 방문하여 모터 효율, 정격 양정·유량, 소음·진동 시험 입회
2) STEP 2 (자재 현장 반입 검수): 밀시트(Mill Sheet), KS/KFI 인증서 확인 및 STS 강관 두께·진원도 마이크로미터 정밀 검측
3) STEP 3 (자재 보관 및 불합격 통제): 배관 단부 보호캡 체결, 옥내 전용 적치장 보관 및 불합격 자재 24시간 이내 반출 조치</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201">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202">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203">
        <f>HYPERLINK(LEFT(CELL("filename",A1),FIND("[",CELL("filename",A1))-1)&amp;"매뉴얼BODY(집행단계-첨부폴더)v8\10.기계분야\9_주요 기계_소방 기자재 검수\체크리스트\9_주요 기계_소방 기자재 검수_체크리스트.html", "👉 [클릭] 체크리스트 열기 📄")</f>
        <v/>
      </c>
      <c r="S10" s="200" t="inlineStr">
        <is>
          <t>기계·소방 복합 시방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row>
    <row r="11" ht="52" customHeight="1" s="147">
      <c r="A11" s="204" t="inlineStr">
        <is>
          <t>9000</t>
        </is>
      </c>
      <c r="B11" s="204" t="inlineStr">
        <is>
          <t>9000-10</t>
        </is>
      </c>
      <c r="C11" s="204" t="inlineStr">
        <is>
          <t>기계설비·소방설비</t>
        </is>
      </c>
      <c r="D11" s="204" t="inlineStr">
        <is>
          <t>9000-10-10</t>
        </is>
      </c>
      <c r="E11" s="205" t="inlineStr">
        <is>
          <t>9000-10-9</t>
        </is>
      </c>
      <c r="F11" s="205" t="inlineStr">
        <is>
          <t>9000-10-11</t>
        </is>
      </c>
      <c r="G11" s="162" t="inlineStr">
        <is>
          <t>방화구획 내화채움구조 시공</t>
        </is>
      </c>
      <c r="H11" s="205" t="inlineStr">
        <is>
          <t>D-90</t>
        </is>
      </c>
      <c r="I11" s="205" t="inlineStr">
        <is>
          <t>기계/소방팀</t>
        </is>
      </c>
      <c r="J11" s="163" t="inlineStr">
        <is>
          <t>콘크리트 골조 타설 전 관통 슬리브 선매립 및 2시간 차열·차염 내화채움구조 시공</t>
        </is>
      </c>
      <c r="K11" s="163" t="inlineStr">
        <is>
          <t>1) STEP 1 (골조 슬리브 선매립): 구조체 철근 배근 시 배관경 대비 1~2규격 큰 강관/PVC 슬리브 설치 및 단단히 고정
2) STEP 2 (관통 틈새 내화충진): 배관 설치 후 슬리브 틈새에 고밀도 미네랄울(밀도 ≥ 100kg/㎥) 충진 및 방화실란트 15mm 도포
3) STEP 3 (내화성능 확인): 공인기관 2시간 차열·차염 성적서 확인 및 우레탄폼 등 가연성 자재 사용 전면 금지 검측</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206">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207">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208">
        <f>HYPERLINK(LEFT(CELL("filename",A1),FIND("[",CELL("filename",A1))-1)&amp;"매뉴얼BODY(집행단계-첨부폴더)v8\10.기계분야\10_방화구획 내화채움구조 시공\체크리스트\10_방화구획 내화채움구조 시공_체크리스트.html", "👉 [클릭] 체크리스트 열기 📄")</f>
        <v/>
      </c>
      <c r="S11" s="205" t="inlineStr">
        <is>
          <t>기계·소방 복합 시방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row>
    <row r="12" ht="52" customHeight="1" s="147">
      <c r="A12" s="199" t="inlineStr">
        <is>
          <t>9000</t>
        </is>
      </c>
      <c r="B12" s="199" t="inlineStr">
        <is>
          <t>9000-10</t>
        </is>
      </c>
      <c r="C12" s="199" t="inlineStr">
        <is>
          <t>기계설비·소방설비</t>
        </is>
      </c>
      <c r="D12" s="199" t="inlineStr">
        <is>
          <t>9000-10-11</t>
        </is>
      </c>
      <c r="E12" s="200" t="inlineStr">
        <is>
          <t>9000-10-10</t>
        </is>
      </c>
      <c r="F12" s="200" t="inlineStr">
        <is>
          <t>9000-10-12</t>
        </is>
      </c>
      <c r="G12" s="155" t="inlineStr">
        <is>
          <t>선로전환기 배수공동구 연계</t>
        </is>
      </c>
      <c r="H12" s="200" t="inlineStr">
        <is>
          <t>D-87</t>
        </is>
      </c>
      <c r="I12" s="200" t="inlineStr">
        <is>
          <t>기계/소방팀</t>
        </is>
      </c>
      <c r="J12" s="156" t="inlineStr">
        <is>
          <t>본선 및 차량기지 143개소 선로전환기 하부 배수관로 선시공으로 동절기 결빙 및 침수 방지</t>
        </is>
      </c>
      <c r="K12" s="156" t="inlineStr">
        <is>
          <t>1) STEP 1 (드레인 피트 가설): 선로전환기 구동부 하부에 침전 드레인 피트 및 STS 타공 스트레이너 설치
2) STEP 2 (횡단 배수관로 연결): 도상 횡단 배수관(D100/150)을 자연유하 구배(i ≥ 1.0%)로 선로변 주 집수정까지 직결
3) STEP 3 (궤도 타설 전 통수시험): 궤도 콘크리트 타설 전 통수 및 수압시험을 실시하여 관로 막힘 및 누수 0건 최종 확인</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201">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202">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203">
        <f>HYPERLINK(LEFT(CELL("filename",A1),FIND("[",CELL("filename",A1))-1)&amp;"매뉴얼BODY(집행단계-첨부폴더)v8\10.기계분야\11_선로전환기 배수공동구 연계\체크리스트\11_선로전환기 배수공동구 연계_체크리스트.html", "👉 [클릭] 체크리스트 열기 📄")</f>
        <v/>
      </c>
      <c r="S12" s="200" t="inlineStr">
        <is>
          <t>기계·소방 복합 시방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row>
    <row r="13" ht="52" customHeight="1" s="147">
      <c r="A13" s="204" t="inlineStr">
        <is>
          <t>9000</t>
        </is>
      </c>
      <c r="B13" s="204" t="inlineStr">
        <is>
          <t>9000-10</t>
        </is>
      </c>
      <c r="C13" s="204" t="inlineStr">
        <is>
          <t>기계설비·소방설비</t>
        </is>
      </c>
      <c r="D13" s="204" t="inlineStr">
        <is>
          <t>9000-10-12</t>
        </is>
      </c>
      <c r="E13" s="205" t="inlineStr">
        <is>
          <t>9000-10-11</t>
        </is>
      </c>
      <c r="F13" s="205" t="inlineStr">
        <is>
          <t>9000-10-13</t>
        </is>
      </c>
      <c r="G13" s="162" t="inlineStr">
        <is>
          <t>소방 기계 전원 간선 연계</t>
        </is>
      </c>
      <c r="H13" s="205" t="inlineStr">
        <is>
          <t>D-84</t>
        </is>
      </c>
      <c r="I13" s="205" t="inlineStr">
        <is>
          <t>기계/소방팀</t>
        </is>
      </c>
      <c r="J13" s="163" t="inlineStr">
        <is>
          <t>소방펌프, 제연팬 등 소방설비의 10초 이내 비상전원 절환 및 NFR-8 내화배선 무중단 공급</t>
        </is>
      </c>
      <c r="K13" s="163" t="inlineStr">
        <is>
          <t>1) STEP 1 (비상전원 ATS 연계): 상용전원 정전 시 10초 이내 비상발전기 전원으로 자동 절환되는 ATS 인터록 구축
2) STEP 2 (NFR-8 내화케이블 포설): 소방용 동력 간선에 고내열 NFR-8 케이블을 전용 금속관에 단독 배선하여 850℃ 내열 확보
3) STEP 3 (MCC 제어반 세팅): 소방펌프 전용 MCC 제어반의 과부하 트립 기능을 배제(경보만 발생)하여 화재 시 연속 가동 보장</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206">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207">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208">
        <f>HYPERLINK(LEFT(CELL("filename",A1),FIND("[",CELL("filename",A1))-1)&amp;"매뉴얼BODY(집행단계-첨부폴더)v8\10.기계분야\12_소방 기계 전원 간선 연계\체크리스트\12_소방 기계 전원 간선 연계_체크리스트.html", "👉 [클릭] 체크리스트 열기 📄")</f>
        <v/>
      </c>
      <c r="S13" s="205" t="inlineStr">
        <is>
          <t>기계·소방 복합 시방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row>
    <row r="14" ht="52" customHeight="1" s="147">
      <c r="A14" s="199" t="inlineStr">
        <is>
          <t>9000</t>
        </is>
      </c>
      <c r="B14" s="199" t="inlineStr">
        <is>
          <t>9000-10</t>
        </is>
      </c>
      <c r="C14" s="199" t="inlineStr">
        <is>
          <t>기계설비·소방설비</t>
        </is>
      </c>
      <c r="D14" s="199" t="inlineStr">
        <is>
          <t>9000-10-13</t>
        </is>
      </c>
      <c r="E14" s="200" t="inlineStr">
        <is>
          <t>9000-10-12</t>
        </is>
      </c>
      <c r="F14" s="200" t="inlineStr">
        <is>
          <t>9000-10-14</t>
        </is>
      </c>
      <c r="G14" s="155" t="inlineStr">
        <is>
          <t>저수조 사수방지 흡입배관</t>
        </is>
      </c>
      <c r="H14" s="200" t="inlineStr">
        <is>
          <t>D-81</t>
        </is>
      </c>
      <c r="I14" s="200" t="inlineStr">
        <is>
          <t>기계/소방팀</t>
        </is>
      </c>
      <c r="J14" s="156" t="inlineStr">
        <is>
          <t>위생적인 STS304 패널형 저수조 설치, 생활용수 사수 방지 배관 및 소화수 유효용량 상시 확보</t>
        </is>
      </c>
      <c r="K14" s="156" t="inlineStr">
        <is>
          <t>1) STEP 1 (STS 패널 조립 용접): STS304 패널 아르곤(TIG) 용접 조립 후 액체침투탐상(PT)으로 용접부 결함 100% 색출
2) STEP 2 (사수방지 흡입배관 분리): 급수펌프 흡입관은 소화수위 상단에, 소방펌프 흡입관은 바닥 최하단에 분리 배치
3) STEP 3 (만수 수밀시험): 저수조 만수 후 24시간 동안 수위 강하 및 외부 누수 유무를 정밀 측정하여 감리단 합격 승인</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201">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202">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203">
        <f>HYPERLINK(LEFT(CELL("filename",A1),FIND("[",CELL("filename",A1))-1)&amp;"매뉴얼BODY(집행단계-첨부폴더)v8\10.기계분야\13_저수조 사수방지 흡입배관\체크리스트\13_저수조 사수방지 흡입배관_체크리스트.html", "👉 [클릭] 체크리스트 열기 📄")</f>
        <v/>
      </c>
      <c r="S14" s="200" t="inlineStr">
        <is>
          <t>기계·소방 복합 시방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row>
    <row r="15" ht="52" customHeight="1" s="147">
      <c r="A15" s="204" t="inlineStr">
        <is>
          <t>9000</t>
        </is>
      </c>
      <c r="B15" s="204" t="inlineStr">
        <is>
          <t>9000-10</t>
        </is>
      </c>
      <c r="C15" s="204" t="inlineStr">
        <is>
          <t>기계설비·소방설비</t>
        </is>
      </c>
      <c r="D15" s="204" t="inlineStr">
        <is>
          <t>9000-10-14</t>
        </is>
      </c>
      <c r="E15" s="205" t="inlineStr">
        <is>
          <t>9000-10-13</t>
        </is>
      </c>
      <c r="F15" s="205" t="inlineStr">
        <is>
          <t>9000-10-15</t>
        </is>
      </c>
      <c r="G15" s="162" t="inlineStr">
        <is>
          <t>지열 신재생에너지 배관 매설</t>
        </is>
      </c>
      <c r="H15" s="205" t="inlineStr">
        <is>
          <t>D-78</t>
        </is>
      </c>
      <c r="I15" s="205" t="inlineStr">
        <is>
          <t>기계/소방팀</t>
        </is>
      </c>
      <c r="J15" s="163" t="inlineStr">
        <is>
          <t>수직 밀폐형 지열 U-Tube(심도 150m) 시공 및 친환경 지열 히트펌프 연계 열교환 극대화</t>
        </is>
      </c>
      <c r="K15" s="163" t="inlineStr">
        <is>
          <t>1) STEP 1 (천공 및 U-Tube 삽입): 직경 150mm x 심도 150m 천공 후 고밀도 PE 파이프(KSM 3408, SDR11) U-Tube 삽입
2) STEP 2 (열전도 그라우팅): 천공 하부부터 지표면까지 벤토나이트 혼합 그라우트재(열전도도 ≥ 1.8 W/m·K)를 가압 연속 주입
3) STEP 3 (수압시험 및 헤더 연결): 1.0 MPa 수압으로 2시간 동안 압력 유지 확인 후 기계실 지열 헤더 매니폴드 연결</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206">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207">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208">
        <f>HYPERLINK(LEFT(CELL("filename",A1),FIND("[",CELL("filename",A1))-1)&amp;"매뉴얼BODY(집행단계-첨부폴더)v8\10.기계분야\14_지열 신재생에너지 배관 매설\체크리스트\14_지열 신재생에너지 배관 매설_체크리스트.html", "👉 [클릭] 체크리스트 열기 📄")</f>
        <v/>
      </c>
      <c r="S15" s="205" t="inlineStr">
        <is>
          <t>기계·소방 복합 시방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row>
    <row r="16" ht="52" customHeight="1" s="147">
      <c r="A16" s="199" t="inlineStr">
        <is>
          <t>9000</t>
        </is>
      </c>
      <c r="B16" s="199" t="inlineStr">
        <is>
          <t>9000-10</t>
        </is>
      </c>
      <c r="C16" s="199" t="inlineStr">
        <is>
          <t>기계설비·소방설비</t>
        </is>
      </c>
      <c r="D16" s="199" t="inlineStr">
        <is>
          <t>9000-10-15</t>
        </is>
      </c>
      <c r="E16" s="200" t="inlineStr">
        <is>
          <t>9000-10-14</t>
        </is>
      </c>
      <c r="F16" s="200" t="inlineStr">
        <is>
          <t>9000-10-16</t>
        </is>
      </c>
      <c r="G16" s="155" t="inlineStr">
        <is>
          <t>정거장_변전소 환기덕트 시공</t>
        </is>
      </c>
      <c r="H16" s="200" t="inlineStr">
        <is>
          <t>D-75</t>
        </is>
      </c>
      <c r="I16" s="200" t="inlineStr">
        <is>
          <t>기계/소방팀</t>
        </is>
      </c>
      <c r="J16" s="156" t="inlineStr">
        <is>
          <t>변전실 1종 급기가압(10회/h, 실온 ≤40℃) 및 화장실 3종 음압 환기, 역류방지(B.D.D) 구축</t>
        </is>
      </c>
      <c r="K16" s="156" t="inlineStr">
        <is>
          <t>1) STEP 1 (아연도강판 덕트 제작): KCS 41 시방 기준에 따라 아연도강판(GI) 피츠버그 록 성형 및 기밀 실링 시공
2) STEP 2 (방진행거 및 댐퍼 취부): 덕트 하중 지지를 위한 방진스프링 행거(간격 ≤ 2.0m) 및 역류방지 댐퍼(B.D.D) 체결
3) STEP 3 (덕트 누기시험): 연기발생기 및 차압계를 이용하여 허용 누기량(클래스 3 이하) 만족 여부 정밀 측정</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201">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202">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203">
        <f>HYPERLINK(LEFT(CELL("filename",A1),FIND("[",CELL("filename",A1))-1)&amp;"매뉴얼BODY(집행단계-첨부폴더)v8\10.기계분야\15_정거장_변전소 환기덕트 시공\체크리스트\15_정거장_변전소 환기덕트 시공_체크리스트.html", "👉 [클릭] 체크리스트 열기 📄")</f>
        <v/>
      </c>
      <c r="S16" s="200" t="inlineStr">
        <is>
          <t>기계·소방 복합 시방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row>
    <row r="17" ht="52" customHeight="1" s="147">
      <c r="A17" s="204" t="inlineStr">
        <is>
          <t>9000</t>
        </is>
      </c>
      <c r="B17" s="204" t="inlineStr">
        <is>
          <t>9000-10</t>
        </is>
      </c>
      <c r="C17" s="204" t="inlineStr">
        <is>
          <t>기계설비·소방설비</t>
        </is>
      </c>
      <c r="D17" s="204" t="inlineStr">
        <is>
          <t>9000-10-16</t>
        </is>
      </c>
      <c r="E17" s="205" t="inlineStr">
        <is>
          <t>9000-10-15</t>
        </is>
      </c>
      <c r="F17" s="205" t="inlineStr">
        <is>
          <t>9000-10-17</t>
        </is>
      </c>
      <c r="G17" s="162" t="inlineStr">
        <is>
          <t>고내열(250℃) 제연팬_풍도</t>
        </is>
      </c>
      <c r="H17" s="205" t="inlineStr">
        <is>
          <t>D-72</t>
        </is>
      </c>
      <c r="I17" s="205" t="inlineStr">
        <is>
          <t>기계/소방팀</t>
        </is>
      </c>
      <c r="J17" s="163" t="inlineStr">
        <is>
          <t>KFI 공인 250℃ 1시간 연속운전 고내열 제연팬 및 1.5mm 내화풍도 시공으로 화재 유독가스 배출</t>
        </is>
      </c>
      <c r="K17" s="163" t="inlineStr">
        <is>
          <t>1) STEP 1 (고내열 제연팬 거치): KFI 250℃/1h 내열인증 H종 절연 제연팬을 방진 스프링 베이스 위에 수평 거치
2) STEP 2 (내화 제연덕트 체결): 1.5mm 이상 두꺼운 강판 덕트에 1,000℃ 세라믹 불연 가스켓을 삽입하여 고장력 볼트 체결
3) STEP 3 (내진 브레이싱 및 기동 시험): 종·횡방향 내진 버팀대(간격 9m/4.5m) 시공 후 화재 신호 수신 시 30초 내 기동 검증</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206">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207">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208">
        <f>HYPERLINK(LEFT(CELL("filename",A1),FIND("[",CELL("filename",A1))-1)&amp;"매뉴얼BODY(집행단계-첨부폴더)v8\10.기계분야\16_고내열(250℃) 제연팬_풍도\체크리스트\16_고내열(250℃) 제연팬_풍도_체크리스트.html", "👉 [클릭] 체크리스트 열기 📄")</f>
        <v/>
      </c>
      <c r="S17" s="205" t="inlineStr">
        <is>
          <t>기계·소방 복합 시방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row>
    <row r="18" ht="52" customHeight="1" s="147">
      <c r="A18" s="199" t="inlineStr">
        <is>
          <t>9000</t>
        </is>
      </c>
      <c r="B18" s="199" t="inlineStr">
        <is>
          <t>9000-10</t>
        </is>
      </c>
      <c r="C18" s="199" t="inlineStr">
        <is>
          <t>기계설비·소방설비</t>
        </is>
      </c>
      <c r="D18" s="199" t="inlineStr">
        <is>
          <t>9000-10-17</t>
        </is>
      </c>
      <c r="E18" s="200" t="inlineStr">
        <is>
          <t>9000-10-16</t>
        </is>
      </c>
      <c r="F18" s="200" t="inlineStr">
        <is>
          <t>9000-10-18</t>
        </is>
      </c>
      <c r="G18" s="155" t="inlineStr">
        <is>
          <t>검수고 국부 냉난방 가설</t>
        </is>
      </c>
      <c r="H18" s="200" t="inlineStr">
        <is>
          <t>D-69</t>
        </is>
      </c>
      <c r="I18" s="200" t="inlineStr">
        <is>
          <t>기계/소방팀</t>
        </is>
      </c>
      <c r="J18" s="156" t="inlineStr">
        <is>
          <t>대공간 검수고 작업자 중심 국부 냉난방(이동식 에어컨/원적외선) 및 변전소 전용 PAC 3대 배치</t>
        </is>
      </c>
      <c r="K18" s="156" t="inlineStr">
        <is>
          <t>1) STEP 1 (변전소 PAC 3대 설치): 변전소별 패키지 에어컨(PAC) 3대를 등간격 배치하고 R-410A 냉매배관 기밀시험(3.8MPa)
2) STEP 2 (검수고 국부 냉난방 가설): 정비 피트 및 작업대 위치에 이동식 플렉시블 토출 에어컨과 고효율 원적외선 난방기 설치
3) STEP 3 (시운전 및 온습도 측정): 실별 자동온도조절기(TC) 세팅 및 24시간 연속 운전을 통해 실온 ≤ 28℃ 유지 성능 검증</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201">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202">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203">
        <f>HYPERLINK(LEFT(CELL("filename",A1),FIND("[",CELL("filename",A1))-1)&amp;"매뉴얼BODY(집행단계-첨부폴더)v8\10.기계분야\17_검수고 국부 냉난방 가설\체크리스트\17_검수고 국부 냉난방 가설_체크리스트.html", "👉 [클릭] 체크리스트 열기 📄")</f>
        <v/>
      </c>
      <c r="S18" s="200" t="inlineStr">
        <is>
          <t>기계·소방 복합 시방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row>
    <row r="19" ht="52" customHeight="1" s="147">
      <c r="A19" s="204" t="inlineStr">
        <is>
          <t>9000</t>
        </is>
      </c>
      <c r="B19" s="204" t="inlineStr">
        <is>
          <t>9000-10</t>
        </is>
      </c>
      <c r="C19" s="204" t="inlineStr">
        <is>
          <t>기계설비·소방설비</t>
        </is>
      </c>
      <c r="D19" s="204" t="inlineStr">
        <is>
          <t>9000-10-18</t>
        </is>
      </c>
      <c r="E19" s="205" t="inlineStr">
        <is>
          <t>9000-10-17</t>
        </is>
      </c>
      <c r="F19" s="205" t="inlineStr">
        <is>
          <t>9000-10-19</t>
        </is>
      </c>
      <c r="G19" s="162" t="inlineStr">
        <is>
          <t>냉온수_냉각수 배관 용접</t>
        </is>
      </c>
      <c r="H19" s="205" t="inlineStr">
        <is>
          <t>D-66</t>
        </is>
      </c>
      <c r="I19" s="205" t="inlineStr">
        <is>
          <t>기계/소방팀</t>
        </is>
      </c>
      <c r="J19" s="163" t="inlineStr">
        <is>
          <t>KSD 3562 탄소강관 맞대기 용접, 비파괴검사(RT ≥ 10%) 및 1.5MPa 수압시험을 통한 누수 Zero</t>
        </is>
      </c>
      <c r="K19" s="163" t="inlineStr">
        <is>
          <t>1) STEP 1 (그루브 가공 및 맞대기 용접): 배관 단부 30~35° 베벨 가공 후 TIG 루트패스 및 아크 다층 맞대기 용접
2) STEP 2 (방사선 비파괴검사 RT): 용접부의 10% 이상을 무작위 추출하여 방사선 투과 촬영(RT) 및 결함(기공, 슬래그) 100% 판독
3) STEP 3 (1.5배 수압시험 및 보온): 설계압력 1.5배(1.5MPa) 60분 무누수 확인 후 난연 고무발포 단열재(40mm) 밀착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206">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207">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208">
        <f>HYPERLINK(LEFT(CELL("filename",A1),FIND("[",CELL("filename",A1))-1)&amp;"매뉴얼BODY(집행단계-첨부폴더)v8\10.기계분야\18_냉온수_냉각수 배관 용접\체크리스트\18_냉온수_냉각수 배관 용접_체크리스트.html", "👉 [클릭] 체크리스트 열기 📄")</f>
        <v/>
      </c>
      <c r="S19" s="205" t="inlineStr">
        <is>
          <t>기계·소방 복합 시방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row>
    <row r="20" ht="52" customHeight="1" s="147">
      <c r="A20" s="199" t="inlineStr">
        <is>
          <t>9000</t>
        </is>
      </c>
      <c r="B20" s="199" t="inlineStr">
        <is>
          <t>9000-10</t>
        </is>
      </c>
      <c r="C20" s="199" t="inlineStr">
        <is>
          <t>기계설비·소방설비</t>
        </is>
      </c>
      <c r="D20" s="199" t="inlineStr">
        <is>
          <t>9000-10-19</t>
        </is>
      </c>
      <c r="E20" s="200" t="inlineStr">
        <is>
          <t>9000-10-18</t>
        </is>
      </c>
      <c r="F20" s="200" t="inlineStr">
        <is>
          <t>9000-10-20</t>
        </is>
      </c>
      <c r="G20" s="155" t="inlineStr">
        <is>
          <t>능동지하차도 전용터널 제연</t>
        </is>
      </c>
      <c r="H20" s="200" t="inlineStr">
        <is>
          <t>D-63</t>
        </is>
      </c>
      <c r="I20" s="200" t="inlineStr">
        <is>
          <t>기계/소방팀</t>
        </is>
      </c>
      <c r="J20" s="156" t="inlineStr">
        <is>
          <t>지하차도 트램 전용터널 제연(Jet Fan 임계풍속 ≥ 2.5m/s) 및 50m 간격 건식 연결송수관 구축</t>
        </is>
      </c>
      <c r="K20" s="156" t="inlineStr">
        <is>
          <t>1) STEP 1 (Jet Fan 천장 앵커링): 터널 천장부에 진동 감쇠 방진행거 및 고장력 케미컬 앵커로 Jet Fan 안전 체결
2) STEP 2 (3D CFD 풍속 검증): 터널 화재 시뮬레이션 기반 임계풍속(2.5m/s) 도출 및 연기 역류(Backlayering) 차단 검증
3) STEP 3 (건식 연결송수관 시공): 50m 간격 방수구함(D100 Sch40) 설치 및 2.0MPa 고압 수압시험을 통한 배관 내력 확인</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201">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202">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203">
        <f>HYPERLINK(LEFT(CELL("filename",A1),FIND("[",CELL("filename",A1))-1)&amp;"매뉴얼BODY(집행단계-첨부폴더)v8\10.기계분야\19_능동지하차도 전용터널 제연\체크리스트\19_능동지하차도 전용터널 제연_체크리스트.html", "👉 [클릭] 체크리스트 열기 📄")</f>
        <v/>
      </c>
      <c r="S20" s="200" t="inlineStr">
        <is>
          <t>기계·소방 복합 시방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row>
    <row r="21" ht="52" customHeight="1" s="147">
      <c r="A21" s="204" t="inlineStr">
        <is>
          <t>9000</t>
        </is>
      </c>
      <c r="B21" s="204" t="inlineStr">
        <is>
          <t>9000-10</t>
        </is>
      </c>
      <c r="C21" s="204" t="inlineStr">
        <is>
          <t>기계설비·소방설비</t>
        </is>
      </c>
      <c r="D21" s="204" t="inlineStr">
        <is>
          <t>9000-10-20</t>
        </is>
      </c>
      <c r="E21" s="205" t="inlineStr">
        <is>
          <t>9000-10-19</t>
        </is>
      </c>
      <c r="F21" s="205" t="inlineStr">
        <is>
          <t>9000-10-21</t>
        </is>
      </c>
      <c r="G21" s="162" t="inlineStr">
        <is>
          <t>공기조화기(AHU_PAC) 거치</t>
        </is>
      </c>
      <c r="H21" s="205" t="inlineStr">
        <is>
          <t>D-60</t>
        </is>
      </c>
      <c r="I21" s="205" t="inlineStr">
        <is>
          <t>기계/소방팀</t>
        </is>
      </c>
      <c r="J21" s="163" t="inlineStr">
        <is>
          <t>공조기 케이싱 수평 거치, 방진마운트(정적변위 ≥ 25mm) 진동 차단 및 딥 U-Trap 배수</t>
        </is>
      </c>
      <c r="K21" s="163" t="inlineStr">
        <is>
          <t>1) STEP 1 (기초 패드 및 방진마운트): 콘크리트 패드 위에 정적 변위 25mm 밀폐형 스프링 방진기 설치 및 수평 레벨링
2) STEP 2 (불연 캔버스 연결): 송풍기 토출구와 덕트 사이에 실리콘 코팅 불연 캔버스를 주름 없이 견고히 체결
3) STEP 3 (딥 U-Trap 드레인 시공): 흡입 부압에 견디도록 유효 봉수 100mm 이상의 드레인 트랩 시공 후 배수 통수시험</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206">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207">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208">
        <f>HYPERLINK(LEFT(CELL("filename",A1),FIND("[",CELL("filename",A1))-1)&amp;"매뉴얼BODY(집행단계-첨부폴더)v8\10.기계분야\20_공기조화기(AHU_PAC) 거치\체크리스트\20_공기조화기(AHU_PAC) 거치_체크리스트.html", "👉 [클릭] 체크리스트 열기 📄")</f>
        <v/>
      </c>
      <c r="S21" s="205" t="inlineStr">
        <is>
          <t>기계·소방 복합 시방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row>
    <row r="22" ht="52" customHeight="1" s="147">
      <c r="A22" s="199" t="inlineStr">
        <is>
          <t>9000</t>
        </is>
      </c>
      <c r="B22" s="199" t="inlineStr">
        <is>
          <t>9000-10</t>
        </is>
      </c>
      <c r="C22" s="199" t="inlineStr">
        <is>
          <t>기계설비·소방설비</t>
        </is>
      </c>
      <c r="D22" s="199" t="inlineStr">
        <is>
          <t>9000-10-21</t>
        </is>
      </c>
      <c r="E22" s="200" t="inlineStr">
        <is>
          <t>9000-10-20</t>
        </is>
      </c>
      <c r="F22" s="200" t="inlineStr">
        <is>
          <t>9000-10-22</t>
        </is>
      </c>
      <c r="G22" s="155" t="inlineStr">
        <is>
          <t>급수_급탕 STS 배관 시공</t>
        </is>
      </c>
      <c r="H22" s="200" t="inlineStr">
        <is>
          <t>D+5</t>
        </is>
      </c>
      <c r="I22" s="200" t="inlineStr">
        <is>
          <t>기계/소방팀</t>
        </is>
      </c>
      <c r="J22" s="156" t="inlineStr">
        <is>
          <t>STS304 강관 무용접 프레스 피팅 전동 압착, 1.0MPa 수압시험 및 위생 염소소독 완료</t>
        </is>
      </c>
      <c r="K22" s="156" t="inlineStr">
        <is>
          <t>1) STEP 1 (관 절단 및 프레스 압착): 롤러 커터로 관 직각 절단, 리머 버 제거, EPDM 오링 삽입 후 전동 압착공구 체결
2) STEP 2 (육각 게이지 전수 검측): 전용 판정 게이지(Go/No-Go)를 결합부에 밀착하여 압착 치수 정밀도 100% 전수 검사
3) STEP 3 (수압시험 및 차아염소산 소독): 1.0MPa 60분 수압 무누수 확인 후 50ppm 염소수로 24시간 통수 살균 및 수질검사</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201">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202">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203">
        <f>HYPERLINK(LEFT(CELL("filename",A1),FIND("[",CELL("filename",A1))-1)&amp;"매뉴얼BODY(집행단계-첨부폴더)v8\10.기계분야\21_급수_급탕 STS 배관 시공\체크리스트\21_급수_급탕 STS 배관 시공_체크리스트.html", "👉 [클릭] 체크리스트 열기 📄")</f>
        <v/>
      </c>
      <c r="S22" s="200" t="inlineStr">
        <is>
          <t>기계·소방 복합 시방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row>
    <row r="23" ht="52" customHeight="1" s="147">
      <c r="A23" s="204" t="inlineStr">
        <is>
          <t>9000</t>
        </is>
      </c>
      <c r="B23" s="204" t="inlineStr">
        <is>
          <t>9000-10</t>
        </is>
      </c>
      <c r="C23" s="204" t="inlineStr">
        <is>
          <t>기계설비·소방설비</t>
        </is>
      </c>
      <c r="D23" s="204" t="inlineStr">
        <is>
          <t>9000-10-22</t>
        </is>
      </c>
      <c r="E23" s="205" t="inlineStr">
        <is>
          <t>9000-10-21</t>
        </is>
      </c>
      <c r="F23" s="205" t="inlineStr">
        <is>
          <t>9000-10-23</t>
        </is>
      </c>
      <c r="G23" s="162" t="inlineStr">
        <is>
          <t>오배수관 및 집수조 배수펌프</t>
        </is>
      </c>
      <c r="H23" s="205" t="inlineStr">
        <is>
          <t>D+10</t>
        </is>
      </c>
      <c r="I23" s="205" t="inlineStr">
        <is>
          <t>기계/소방팀</t>
        </is>
      </c>
      <c r="J23" s="163" t="inlineStr">
        <is>
          <t>오배수관 자연유하 구배(i ≥ 1/100) 유지 및 집수조 수중배수펌프 자동교번 4단 수위제어</t>
        </is>
      </c>
      <c r="K23" s="163" t="inlineStr">
        <is>
          <t>1) STEP 1 (자연유하 구배 시공): 레이저 레벨기를 이용하여 오수관 1/100, 배수관 1/50 구배를 철저히 유지하며 배관 포설
2) STEP 2 (수중펌프 자동교번 안착): 집수조 바닥에 상용 및 예비 수중펌프 2대를 자동탈착 가이드레일 방식으로 거치
3) STEP 3 (4단 전극봉 수위 인터록): 정지(LWL), 교번기동(HWL), 동시기동(E-HWL), 고수위경보(Alarm) 4단 센서 작동 검증</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206">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207">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208">
        <f>HYPERLINK(LEFT(CELL("filename",A1),FIND("[",CELL("filename",A1))-1)&amp;"매뉴얼BODY(집행단계-첨부폴더)v8\10.기계분야\22_오배수관 및 집수조 배수펌프\체크리스트\22_오배수관 및 집수조 배수펌프_체크리스트.html", "👉 [클릭] 체크리스트 열기 📄")</f>
        <v/>
      </c>
      <c r="S23" s="205" t="inlineStr">
        <is>
          <t>기계·소방 복합 시방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row>
    <row r="24" ht="52" customHeight="1" s="147">
      <c r="A24" s="199" t="inlineStr">
        <is>
          <t>9000</t>
        </is>
      </c>
      <c r="B24" s="199" t="inlineStr">
        <is>
          <t>9000-10</t>
        </is>
      </c>
      <c r="C24" s="199" t="inlineStr">
        <is>
          <t>기계설비·소방설비</t>
        </is>
      </c>
      <c r="D24" s="199" t="inlineStr">
        <is>
          <t>9000-10-23</t>
        </is>
      </c>
      <c r="E24" s="200" t="inlineStr">
        <is>
          <t>9000-10-22</t>
        </is>
      </c>
      <c r="F24" s="200" t="inlineStr">
        <is>
          <t>9000-10-24</t>
        </is>
      </c>
      <c r="G24" s="155" t="inlineStr">
        <is>
          <t>차량기지 오폐수처리장(90㎡)</t>
        </is>
      </c>
      <c r="H24" s="200" t="inlineStr">
        <is>
          <t>D+15</t>
        </is>
      </c>
      <c r="I24" s="200" t="inlineStr">
        <is>
          <t>기계/소방팀</t>
        </is>
      </c>
      <c r="J24" s="156" t="inlineStr">
        <is>
          <t>중정비·경정비 발생 오폐수(35㎥/일)의 유수분리, 화학응집, 활성탄 흡착 및 수질 TMS 원격 방류</t>
        </is>
      </c>
      <c r="K24" s="156" t="inlineStr">
        <is>
          <t>1) STEP 1 (유수분리기 설치): 차량 정비 폐수의 비중차 유분 분리조 및 오일 스키머 설치로 유분 농도 90% 이상 제거
2) STEP 2 (응집 침전 및 가압부상): PAC 응집제 및 폴리머 자동 주입기를 통해 플록(Floc) 침전 및 슬러지 탈수기 케이크 처리
3) STEP 3 (활성탄 흡착 및 TMS 연동): 2단 활성탄 흡착탑 정화 후 BOD/COD ≤ 20mg/L 수질 TMS 데이터 환경청 자동 전송</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201">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202">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203">
        <f>HYPERLINK(LEFT(CELL("filename",A1),FIND("[",CELL("filename",A1))-1)&amp;"매뉴얼BODY(집행단계-첨부폴더)v8\10.기계분야\23_차량기지 오폐수처리장(90㎡)\체크리스트\23_차량기지 오폐수처리장(90㎡)_체크리스트.html", "👉 [클릭] 체크리스트 열기 📄")</f>
        <v/>
      </c>
      <c r="S24" s="200" t="inlineStr">
        <is>
          <t>기계·소방 복합 시방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row>
    <row r="25" ht="52" customHeight="1" s="147">
      <c r="A25" s="204" t="inlineStr">
        <is>
          <t>9000</t>
        </is>
      </c>
      <c r="B25" s="204" t="inlineStr">
        <is>
          <t>9000-10</t>
        </is>
      </c>
      <c r="C25" s="204" t="inlineStr">
        <is>
          <t>기계설비·소방설비</t>
        </is>
      </c>
      <c r="D25" s="204" t="inlineStr">
        <is>
          <t>9000-10-24</t>
        </is>
      </c>
      <c r="E25" s="205" t="inlineStr">
        <is>
          <t>9000-10-23</t>
        </is>
      </c>
      <c r="F25" s="205" t="inlineStr">
        <is>
          <t>9000-10-25</t>
        </is>
      </c>
      <c r="G25" s="162" t="inlineStr">
        <is>
          <t>차체 자동세척설비(세차기)</t>
        </is>
      </c>
      <c r="H25" s="205" t="inlineStr">
        <is>
          <t>D+20</t>
        </is>
      </c>
      <c r="I25" s="205" t="inlineStr">
        <is>
          <t>기계/소방팀</t>
        </is>
      </c>
      <c r="J25" s="163" t="inlineStr">
        <is>
          <t>트램 전동차 청소선 세차 갠트리, EVA 무스크래치 브러시 및 세척수 85% 회수 재활용</t>
        </is>
      </c>
      <c r="K25" s="163" t="inlineStr">
        <is>
          <t>1) STEP 1 (세차 갠트리 프레임 가설): 청소선 궤도 상부에 고압 노즐 파이프 및 갠트리 구조물 용접 앵커링
2) STEP 2 (EVA 브러시 및 약품 분사): 전동차 차체 도장 손상을 방지하는 초미세 발포 EVA 브러시 및 중성 세제 분사 노즐 세팅
3) STEP 3 (세척수 회수 트렌치 통수): 하부 STS 그레이팅 트렌치를 통해 세척수 85% 이상 회수 및 순환 정화조 인입 검측</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206">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207">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208">
        <f>HYPERLINK(LEFT(CELL("filename",A1),FIND("[",CELL("filename",A1))-1)&amp;"매뉴얼BODY(집행단계-첨부폴더)v8\10.기계분야\24_차체 자동세척설비(세차기)\체크리스트\24_차체 자동세척설비(세차기)_체크리스트.html", "👉 [클릭] 체크리스트 열기 📄")</f>
        <v/>
      </c>
      <c r="S25" s="205" t="inlineStr">
        <is>
          <t>기계·소방 복합 시방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row>
    <row r="26" ht="52" customHeight="1" s="147">
      <c r="A26" s="199" t="inlineStr">
        <is>
          <t>9000</t>
        </is>
      </c>
      <c r="B26" s="199" t="inlineStr">
        <is>
          <t>9000-10</t>
        </is>
      </c>
      <c r="C26" s="199" t="inlineStr">
        <is>
          <t>기계설비·소방설비</t>
        </is>
      </c>
      <c r="D26" s="199" t="inlineStr">
        <is>
          <t>9000-10-25</t>
        </is>
      </c>
      <c r="E26" s="200" t="inlineStr">
        <is>
          <t>9000-10-24</t>
        </is>
      </c>
      <c r="F26" s="200" t="inlineStr">
        <is>
          <t>9000-10-26</t>
        </is>
      </c>
      <c r="G26" s="155" t="inlineStr">
        <is>
          <t>정화조 음압 탈취설비 시공</t>
        </is>
      </c>
      <c r="H26" s="200" t="inlineStr">
        <is>
          <t>D+25</t>
        </is>
      </c>
      <c r="I26" s="200" t="inlineStr">
        <is>
          <t>기계/소방팀</t>
        </is>
      </c>
      <c r="J26" s="156" t="inlineStr">
        <is>
          <t>정화조실 3종 음압(-20Pa) 유지 및 2단 약액세정탑(산/알칼리)+첨착활성탄 복합 탈취</t>
        </is>
      </c>
      <c r="K26" s="156" t="inlineStr">
        <is>
          <t>1) STEP 1 (음압 덕트 및 후드 설치): 정화조 발생원 상부에 내식성 FRP 배기 후드 및 전용 음압 배기팬(15~20회/h) 가설
2) STEP 2 (2단 스크러버 약액 세정): 산(H2SO4) 및 알칼리(NaOH) 세정탑 순환 펌프와 노즐을 통해 황화수소(H2S) 99% 중화
3) STEP 3 (첨착 활성탄 흡착 배출): 최종 첨착 활성탄 흡착탑을 거쳐 복합악취 희석배수 ≤ 500 이하 기준 충족 확인</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201">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202">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203">
        <f>HYPERLINK(LEFT(CELL("filename",A1),FIND("[",CELL("filename",A1))-1)&amp;"매뉴얼BODY(집행단계-첨부폴더)v8\10.기계분야\25_정화조 음압 탈취설비 시공\체크리스트\25_정화조 음압 탈취설비 시공_체크리스트.html", "👉 [클릭] 체크리스트 열기 📄")</f>
        <v/>
      </c>
      <c r="S26" s="200" t="inlineStr">
        <is>
          <t>기계·소방 복합 시방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row>
    <row r="27" ht="52" customHeight="1" s="147">
      <c r="A27" s="204" t="inlineStr">
        <is>
          <t>9000</t>
        </is>
      </c>
      <c r="B27" s="204" t="inlineStr">
        <is>
          <t>9000-10</t>
        </is>
      </c>
      <c r="C27" s="204" t="inlineStr">
        <is>
          <t>기계설비·소방설비</t>
        </is>
      </c>
      <c r="D27" s="204" t="inlineStr">
        <is>
          <t>9000-10-26</t>
        </is>
      </c>
      <c r="E27" s="205" t="inlineStr">
        <is>
          <t>9000-10-25</t>
        </is>
      </c>
      <c r="F27" s="205" t="inlineStr">
        <is>
          <t>9000-10-27</t>
        </is>
      </c>
      <c r="G27" s="162" t="inlineStr">
        <is>
          <t>호스릴 옥내소화전설비 시공</t>
        </is>
      </c>
      <c r="H27" s="205" t="inlineStr">
        <is>
          <t>D+30</t>
        </is>
      </c>
      <c r="I27" s="205" t="inlineStr">
        <is>
          <t>기계/소방팀</t>
        </is>
      </c>
      <c r="J27" s="163" t="inlineStr">
        <is>
          <t>STS304 호스릴 옥내소화전(보행거리 25m 이내, 방수압 0.17~0.7MPa) 1인 조작 화재 진압</t>
        </is>
      </c>
      <c r="K27" s="163" t="inlineStr">
        <is>
          <t>1) STEP 1 (STS304 소화전함 매립): 정거장 및 역사 벽체에 STS304 방청 소화전함을 수직·수평 정밀 매립
2) STEP 2 (25m 호스릴 및 밸브 체결): 1인 전개 인장력 5kgf 이하의 원형 회전 드럼식 25m 경량 호스릴 및 감압 앵글밸브 설치
3) STEP 3 (방수압력 및 방수량 실측): 피토게이지를 이용하여 노즐 방수압 0.17~0.7MPa 및 방수량 ≥ 130L/min 20분간 방수 실측</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206">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207">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208">
        <f>HYPERLINK(LEFT(CELL("filename",A1),FIND("[",CELL("filename",A1))-1)&amp;"매뉴얼BODY(집행단계-첨부폴더)v8\10.기계분야\26_호스릴 옥내소화전설비 시공\체크리스트\26_호스릴 옥내소화전설비 시공_체크리스트.html", "👉 [클릭] 체크리스트 열기 📄")</f>
        <v/>
      </c>
      <c r="S27" s="205" t="inlineStr">
        <is>
          <t>기계·소방 복합 시방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row>
    <row r="28" ht="52" customHeight="1" s="147">
      <c r="A28" s="199" t="inlineStr">
        <is>
          <t>9000</t>
        </is>
      </c>
      <c r="B28" s="199" t="inlineStr">
        <is>
          <t>9000-10</t>
        </is>
      </c>
      <c r="C28" s="199" t="inlineStr">
        <is>
          <t>기계설비·소방설비</t>
        </is>
      </c>
      <c r="D28" s="199" t="inlineStr">
        <is>
          <t>9000-10-27</t>
        </is>
      </c>
      <c r="E28" s="200" t="inlineStr">
        <is>
          <t>9000-10-26</t>
        </is>
      </c>
      <c r="F28" s="200" t="inlineStr">
        <is>
          <t>9000-10-28</t>
        </is>
      </c>
      <c r="G28" s="155" t="inlineStr">
        <is>
          <t>연결송수관-스프링클러 주배관 분리</t>
        </is>
      </c>
      <c r="H28" s="200" t="inlineStr">
        <is>
          <t>D+35</t>
        </is>
      </c>
      <c r="I28" s="200" t="inlineStr">
        <is>
          <t>기계/소방팀</t>
        </is>
      </c>
      <c r="J28" s="156" t="inlineStr">
        <is>
          <t>개정 화재안전기준에 따른 연결송수관과 스프링클러설비의 주배관 및 옥외 송수구 완전 물리적 분리</t>
        </is>
      </c>
      <c r="K28" s="156" t="inlineStr">
        <is>
          <t>1) STEP 1 (독립 배관 라인 포설): 연결송수관(고압 Sch40)과 스프링클러 알람밸브 2차측 배관을 완전 독립 경로로 가설
2) STEP 2 (쌍구형 송수구 분리 설치): 옥외 소방차 진입로에 연결송수관용 및 스프링클러용 쌍구형 송수구를 명판과 함께 분리 취부
3) STEP 3 (2.0MPa 고압 내압시험): 소방차 직결 가압을 상정하여 2.0MPa 압력으로 30분간 내압시험을 실시해 관로 안전성 입증</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201">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202">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203">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200" t="inlineStr">
        <is>
          <t>기계·소방 복합 시방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row>
    <row r="29" ht="52" customHeight="1" s="147">
      <c r="A29" s="204" t="inlineStr">
        <is>
          <t>9000</t>
        </is>
      </c>
      <c r="B29" s="204" t="inlineStr">
        <is>
          <t>9000-10</t>
        </is>
      </c>
      <c r="C29" s="204" t="inlineStr">
        <is>
          <t>기계설비·소방설비</t>
        </is>
      </c>
      <c r="D29" s="204" t="inlineStr">
        <is>
          <t>9000-10-28</t>
        </is>
      </c>
      <c r="E29" s="205" t="inlineStr">
        <is>
          <t>9000-10-27</t>
        </is>
      </c>
      <c r="F29" s="205" t="inlineStr">
        <is>
          <t>9000-10-29</t>
        </is>
      </c>
      <c r="G29" s="162" t="inlineStr">
        <is>
          <t>큐비클 가스계_에어로졸 소화</t>
        </is>
      </c>
      <c r="H29" s="205" t="inlineStr">
        <is>
          <t>D+40</t>
        </is>
      </c>
      <c r="I29" s="205" t="inlineStr">
        <is>
          <t>기계/소방팀</t>
        </is>
      </c>
      <c r="J29" s="163" t="inlineStr">
        <is>
          <t>특고압/저압 수배전반 판넬 내부 KFI 인증 소공간 고체에어로졸 설치 및 3초 내 초기 진압</t>
        </is>
      </c>
      <c r="K29" s="163" t="inlineStr">
        <is>
          <t>1) STEP 1 (큐비클 내부 브래킷 고정): 수배전반 상단 발화 예상 지점에 내진 브래킷을 이용하여 에어로졸 소화장치 취부
2) STEP 2 (열감지선 및 기폭선 결선): 105℃ 정온식 열감지선을 판넬 내부 주요 부스바 주변에 포설하고 제어부 결선
3) STEP 3 (ACB 차단기 인터록 연동): 화재 감지 및 소화기 기폭 신호 출력 즉시 주차단기(ACB)가 자동 트립되는 인터록 검증</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206">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207">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208">
        <f>HYPERLINK(LEFT(CELL("filename",A1),FIND("[",CELL("filename",A1))-1)&amp;"매뉴얼BODY(집행단계-첨부폴더)v8\10.기계분야\28_큐비클 가스계_에어로졸 소화\체크리스트\28_큐비클 가스계_에어로졸 소화_체크리스트.html", "👉 [클릭] 체크리스트 열기 📄")</f>
        <v/>
      </c>
      <c r="S29" s="205" t="inlineStr">
        <is>
          <t>기계·소방 복합 시방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row>
    <row r="30" ht="52" customHeight="1" s="147">
      <c r="A30" s="199" t="inlineStr">
        <is>
          <t>9000</t>
        </is>
      </c>
      <c r="B30" s="199" t="inlineStr">
        <is>
          <t>9000-10</t>
        </is>
      </c>
      <c r="C30" s="199" t="inlineStr">
        <is>
          <t>기계설비·소방설비</t>
        </is>
      </c>
      <c r="D30" s="199" t="inlineStr">
        <is>
          <t>9000-10-29</t>
        </is>
      </c>
      <c r="E30" s="200" t="inlineStr">
        <is>
          <t>9000-10-28</t>
        </is>
      </c>
      <c r="F30" s="200" t="inlineStr">
        <is>
          <t>9000-10-30</t>
        </is>
      </c>
      <c r="G30" s="155" t="inlineStr">
        <is>
          <t>가스소화구역 과압배출구(P.R.D)</t>
        </is>
      </c>
      <c r="H30" s="200" t="inlineStr">
        <is>
          <t>D+45</t>
        </is>
      </c>
      <c r="I30" s="200" t="inlineStr">
        <is>
          <t>기계/소방팀</t>
        </is>
      </c>
      <c r="J30" s="156" t="inlineStr">
        <is>
          <t>가스소화약제 방출 시 실내 과압(200Pa) 자동 해소 및 자중 폐쇄를 통한 10분 설계농도 유지</t>
        </is>
      </c>
      <c r="K30" s="156" t="inlineStr">
        <is>
          <t>1) STEP 1 (방화벽체 개구부 프레임 취부): 변전실 외벽 또는 복도측 방화벽체에 P.R.D 댐퍼 프레임 수평 매립 고정
2) STEP 2 (카운터웨이트 개방압 세팅): 실내 압력이 200Pa에 도달할 때 블레이드가 정확히 열리도록 카운터웨이트 추 정밀 교정
3) STEP 3 (자중 폐쇄 및 기밀도 검측): 압력 해소 후 중력으로 완벽히 닫혀 소화가스 누출(약제 설계농도 10분 유지) 방지 검증</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201">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202">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203">
        <f>HYPERLINK(LEFT(CELL("filename",A1),FIND("[",CELL("filename",A1))-1)&amp;"매뉴얼BODY(집행단계-첨부폴더)v8\10.기계분야\29_가스소화구역 과압배출구(P.R.D)\체크리스트\29_가스소화구역 과압배출구(P.R.D)_체크리스트.html", "👉 [클릭] 체크리스트 열기 📄")</f>
        <v/>
      </c>
      <c r="S30" s="200" t="inlineStr">
        <is>
          <t>기계·소방 복합 시방 준수</t>
        </is>
      </c>
      <c r="T30" s="230" t="n"/>
      <c r="U30" s="231" t="n"/>
      <c r="V30" s="230"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row>
    <row r="31" ht="52" customHeight="1" s="147">
      <c r="A31" s="204" t="inlineStr">
        <is>
          <t>9000</t>
        </is>
      </c>
      <c r="B31" s="204" t="inlineStr">
        <is>
          <t>9000-10</t>
        </is>
      </c>
      <c r="C31" s="204" t="inlineStr">
        <is>
          <t>기계설비·소방설비</t>
        </is>
      </c>
      <c r="D31" s="204" t="inlineStr">
        <is>
          <t>9000-10-30</t>
        </is>
      </c>
      <c r="E31" s="205" t="inlineStr">
        <is>
          <t>9000-10-29</t>
        </is>
      </c>
      <c r="F31" s="205" t="inlineStr">
        <is>
          <t>9000-10-31</t>
        </is>
      </c>
      <c r="G31" s="162" t="inlineStr">
        <is>
          <t>소방펌프실 가설 및 성능시험</t>
        </is>
      </c>
      <c r="H31" s="205" t="inlineStr">
        <is>
          <t>D+50</t>
        </is>
      </c>
      <c r="I31" s="205" t="inlineStr">
        <is>
          <t>기계/소방팀</t>
        </is>
      </c>
      <c r="J31" s="163" t="inlineStr">
        <is>
          <t>소방펌프실 주/충압펌프 거치 및 체절압력(≤140%), 정격(100%), 150% 부하(≥65%) 법정 성능시험</t>
        </is>
      </c>
      <c r="K31" s="163" t="inlineStr">
        <is>
          <t>1) STEP 1 (펌프 기초 및 방진가설): 콘크리트 패드 위에 다단원심 소방 주펌프 및 충압펌프 방진마운트 거치 및 축정렬
2) STEP 2 (성능시험 배관 및 유량계): 주배관에서 분기된 오리피스 차압식 유량계 배관 및 순환배관 릴리프밸브 설치
3) STEP 3 (3대 법정 성능시험 입회): 감리원 입회 하에 체절운전(정격 140% 이하), 100% 정격부하, 150% 피크부하 곡선 검증</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206">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207">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208">
        <f>HYPERLINK(LEFT(CELL("filename",A1),FIND("[",CELL("filename",A1))-1)&amp;"매뉴얼BODY(집행단계-첨부폴더)v8\10.기계분야\30_소방펌프실 가설 및 성능시험\체크리스트\30_소방펌프실 가설 및 성능시험_체크리스트.html", "👉 [클릭] 체크리스트 열기 📄")</f>
        <v/>
      </c>
      <c r="S31" s="205" t="inlineStr">
        <is>
          <t>기계·소방 복합 시방 준수</t>
        </is>
      </c>
      <c r="T31" s="230" t="n"/>
      <c r="U31" s="231" t="n"/>
      <c r="V31" s="230"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row>
    <row r="32" ht="52" customHeight="1" s="147">
      <c r="A32" s="199" t="inlineStr">
        <is>
          <t>9000</t>
        </is>
      </c>
      <c r="B32" s="199" t="inlineStr">
        <is>
          <t>9000-10</t>
        </is>
      </c>
      <c r="C32" s="199" t="inlineStr">
        <is>
          <t>기계설비·소방설비</t>
        </is>
      </c>
      <c r="D32" s="199" t="inlineStr">
        <is>
          <t>9000-10-31</t>
        </is>
      </c>
      <c r="E32" s="200" t="inlineStr">
        <is>
          <t>9000-10-30</t>
        </is>
      </c>
      <c r="F32" s="200" t="inlineStr">
        <is>
          <t>9000-10-32</t>
        </is>
      </c>
      <c r="G32" s="155" t="inlineStr">
        <is>
          <t>정거장 인승용 승강기(17_24인승)</t>
        </is>
      </c>
      <c r="H32" s="200" t="inlineStr">
        <is>
          <t>D+55</t>
        </is>
      </c>
      <c r="I32" s="200" t="inlineStr">
        <is>
          <t>기계/소방팀</t>
        </is>
      </c>
      <c r="J32" s="156" t="inlineStr">
        <is>
          <t>정거장 MRL(기계실 없는) 인승용 승강기 설치 및 KoELSA 완성검사 필증 획득</t>
        </is>
      </c>
      <c r="K32" s="156" t="inlineStr">
        <is>
          <t>1) STEP 1 (승강로 수직도 및 레일 조립): 승강로 수직도(오차 ≤ ±5mm) 실측 후 13K 가이드레일 브래킷 앵커링 및 조립
2) STEP 2 (PMSM 권상기 및 카 조립): PMSM 영구자석 기어리스 권상기 안착, 메인로프(안전율 ≥ 12) 텐션 조정 및 카 조립
3) STEP 3 (KoELSA 법정 완성검사): 128채널 3D 도어센서, 정전 시 ARD 구출장치, 조속기 비상정지장치 실부하 시험 100% 합격</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201">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202">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203">
        <f>HYPERLINK(LEFT(CELL("filename",A1),FIND("[",CELL("filename",A1))-1)&amp;"매뉴얼BODY(집행단계-첨부폴더)v8\10.기계분야\31_정거장 인승용 승강기(17_24인승)\체크리스트\31_정거장 인승용 승강기(17_24인승)_체크리스트.html", "👉 [클릭] 체크리스트 열기 📄")</f>
        <v/>
      </c>
      <c r="S32" s="200" t="inlineStr">
        <is>
          <t>기계·소방 복합 시방 준수</t>
        </is>
      </c>
      <c r="T32" s="230" t="n"/>
      <c r="U32" s="231" t="n"/>
      <c r="V32" s="230"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row>
    <row r="33" ht="52" customHeight="1" s="147">
      <c r="A33" s="204" t="inlineStr">
        <is>
          <t>9000</t>
        </is>
      </c>
      <c r="B33" s="204" t="inlineStr">
        <is>
          <t>9000-10</t>
        </is>
      </c>
      <c r="C33" s="204" t="inlineStr">
        <is>
          <t>기계설비·소방설비</t>
        </is>
      </c>
      <c r="D33" s="204" t="inlineStr">
        <is>
          <t>9000-10-32</t>
        </is>
      </c>
      <c r="E33" s="205" t="inlineStr">
        <is>
          <t>9000-10-31</t>
        </is>
      </c>
      <c r="F33" s="205" t="inlineStr">
        <is>
          <t>9000-10-33</t>
        </is>
      </c>
      <c r="G33" s="162" t="inlineStr">
        <is>
          <t>검수고 관통형 화물용 EV</t>
        </is>
      </c>
      <c r="H33" s="205" t="inlineStr">
        <is>
          <t>D+60</t>
        </is>
      </c>
      <c r="I33" s="205" t="inlineStr">
        <is>
          <t>기계/소방팀</t>
        </is>
      </c>
      <c r="J33" s="163" t="inlineStr">
        <is>
          <t>차량기지 종합검수고 관통형(양방향 도어) 3~5ton 화물용 승강기 가설 및 지게차 진입 바닥 보강</t>
        </is>
      </c>
      <c r="K33" s="163" t="inlineStr">
        <is>
          <t>1) STEP 1 (중하중 승강로 구조 보강): 지게차(자중 4.5ton) 진입 하중을 견디도록 카 바닥 H형강 및 4.5T 체크플레이트 보강
2) STEP 2 (관통형 양방향 도어 인터록): 1층 전면 도어와 2층 후면 도어가 동시 개방되지 않도록 안전 인터록 릴레이 구축
3) STEP 3 (125% 과부하 하중시험): 정격 적재하중의 125%(6.25ton) 추를 탑재하여 권상 제동력 및 슬립 유무 정밀 안전검사</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206">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207">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208">
        <f>HYPERLINK(LEFT(CELL("filename",A1),FIND("[",CELL("filename",A1))-1)&amp;"매뉴얼BODY(집행단계-첨부폴더)v8\10.기계분야\32_검수고 관통형 화물용 EV\체크리스트\32_검수고 관통형 화물용 EV_체크리스트.html", "👉 [클릭] 체크리스트 열기 📄")</f>
        <v/>
      </c>
      <c r="S33" s="205" t="inlineStr">
        <is>
          <t>기계·소방 복합 시방 준수</t>
        </is>
      </c>
      <c r="T33" s="230" t="n"/>
      <c r="U33" s="231" t="n"/>
      <c r="V33" s="230"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row>
    <row r="34" ht="52" customHeight="1" s="147">
      <c r="A34" s="199" t="inlineStr">
        <is>
          <t>9000</t>
        </is>
      </c>
      <c r="B34" s="199" t="inlineStr">
        <is>
          <t>9000-10</t>
        </is>
      </c>
      <c r="C34" s="199" t="inlineStr">
        <is>
          <t>기계설비·소방설비</t>
        </is>
      </c>
      <c r="D34" s="199" t="inlineStr">
        <is>
          <t>9000-10-33</t>
        </is>
      </c>
      <c r="E34" s="200" t="inlineStr">
        <is>
          <t>9000-10-32</t>
        </is>
      </c>
      <c r="F34" s="200" t="inlineStr">
        <is>
          <t>9000-10-34</t>
        </is>
      </c>
      <c r="G34" s="155" t="inlineStr">
        <is>
          <t>DDC_IP DDC 자동제어 백업 이중화</t>
        </is>
      </c>
      <c r="H34" s="200" t="inlineStr">
        <is>
          <t>D+65</t>
        </is>
      </c>
      <c r="I34" s="200" t="inlineStr">
        <is>
          <t>기계/소방팀</t>
        </is>
      </c>
      <c r="J34" s="156" t="inlineStr">
        <is>
          <t>기계설비 직접디지털제어(IP DDC) 판넬 설치, BACnet 국제표준 통신 및 관제서버 무중단 이중화</t>
        </is>
      </c>
      <c r="K34" s="156" t="inlineStr">
        <is>
          <t>1) STEP 1 (IP DDC 필드 제어반 결선): 기계실 및 공조실 DDC 판넬에 아날로그(AI/AO), 디지털(DI/DO) 센서·밸브 케이블 결선
2) STEP 2 (BACnet 통신 루프 구축): 개방형 BACnet/IP 프로토콜을 적용하여 중앙 방재실 관제 컴퓨터와 실시간 데이터 통신 연동
3) STEP 3 (서버 0초 이중화 절환 시험): 메인 관제 서버 강제 다운 시 대기 중인 백업 서버로 데이터 손실 없이 0초 절환 검증</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201">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202">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203">
        <f>HYPERLINK(LEFT(CELL("filename",A1),FIND("[",CELL("filename",A1))-1)&amp;"매뉴얼BODY(집행단계-첨부폴더)v8\10.기계분야\33_DDC_IP DDC 자동제어 백업 이중화\체크리스트\33_DDC_IP DDC 자동제어 백업 이중화_체크리스트.html", "👉 [클릭] 체크리스트 열기 📄")</f>
        <v/>
      </c>
      <c r="S34" s="200" t="inlineStr">
        <is>
          <t>기계·소방 복합 시방 준수</t>
        </is>
      </c>
      <c r="T34" s="230" t="n"/>
      <c r="U34" s="231" t="n"/>
      <c r="V34" s="230"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row>
    <row r="35" ht="52" customHeight="1" s="147">
      <c r="A35" s="204" t="inlineStr">
        <is>
          <t>9000</t>
        </is>
      </c>
      <c r="B35" s="204" t="inlineStr">
        <is>
          <t>9000-10</t>
        </is>
      </c>
      <c r="C35" s="204" t="inlineStr">
        <is>
          <t>기계설비·소방설비</t>
        </is>
      </c>
      <c r="D35" s="204" t="inlineStr">
        <is>
          <t>9000-10-34</t>
        </is>
      </c>
      <c r="E35" s="205" t="inlineStr">
        <is>
          <t>9000-10-33</t>
        </is>
      </c>
      <c r="F35" s="205" t="inlineStr">
        <is>
          <t>9000-10-35</t>
        </is>
      </c>
      <c r="G35" s="162" t="inlineStr">
        <is>
          <t>화재연동 인터록 실부하 시험</t>
        </is>
      </c>
      <c r="H35" s="205" t="inlineStr">
        <is>
          <t>D+70</t>
        </is>
      </c>
      <c r="I35" s="205" t="inlineStr">
        <is>
          <t>기계/소방팀</t>
        </is>
      </c>
      <c r="J35" s="163" t="inlineStr">
        <is>
          <t>화재 수신반 신호 수신 즉시 공조기 100% 강제 정지 및 제연팬 배연 모드 자동 인터록</t>
        </is>
      </c>
      <c r="K35" s="163" t="inlineStr">
        <is>
          <t>1) STEP 1 (하드와이어드 인터록 회로 구성): 화재수신반 경보 접점을 공조기 MCC 조작전원 차단 계전기(B접점)와 직결
2) STEP 2 (제연댐퍼 및 팬 시퀀스 연동): 화재 구역 제연 풍도 댐퍼가 완전 개방된 후 리미트 스위치 신호로 제연팬 자동 가동
3) STEP 3 (실부하 화재 모의시험): 연기감지기 실발화 시험을 실시하여 3초 이내 공조기 정지 및 제연팬 정상 기동 확인</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206">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207">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208">
        <f>HYPERLINK(LEFT(CELL("filename",A1),FIND("[",CELL("filename",A1))-1)&amp;"매뉴얼BODY(집행단계-첨부폴더)v8\10.기계분야\34_화재연동 인터록 실부하 시험\체크리스트\34_화재연동 인터록 실부하 시험_체크리스트.html", "👉 [클릭] 체크리스트 열기 📄")</f>
        <v/>
      </c>
      <c r="S35" s="205" t="inlineStr">
        <is>
          <t>기계·소방 복합 시방 준수</t>
        </is>
      </c>
      <c r="T35" s="230" t="n"/>
      <c r="U35" s="231" t="n"/>
      <c r="V35" s="230"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row>
    <row r="36" ht="52" customHeight="1" s="147">
      <c r="A36" s="199" t="inlineStr">
        <is>
          <t>9000</t>
        </is>
      </c>
      <c r="B36" s="199" t="inlineStr">
        <is>
          <t>9000-10</t>
        </is>
      </c>
      <c r="C36" s="199" t="inlineStr">
        <is>
          <t>기계설비·소방설비</t>
        </is>
      </c>
      <c r="D36" s="199" t="inlineStr">
        <is>
          <t>9000-10-35</t>
        </is>
      </c>
      <c r="E36" s="200" t="inlineStr">
        <is>
          <t>9000-10-34</t>
        </is>
      </c>
      <c r="F36" s="200" t="inlineStr">
        <is>
          <t>9000-10-36</t>
        </is>
      </c>
      <c r="G36" s="155" t="inlineStr">
        <is>
          <t>TAB(풍량_수량 밸런싱) 측정</t>
        </is>
      </c>
      <c r="H36" s="200" t="inlineStr">
        <is>
          <t>D+75</t>
        </is>
      </c>
      <c r="I36" s="200" t="inlineStr">
        <is>
          <t>기계/소방팀</t>
        </is>
      </c>
      <c r="J36" s="156" t="inlineStr">
        <is>
          <t>공조 덕트 풍량(오차 ±10% 이내) 및 수배관 유량 정밀 측정·조정(TAB)으로 쾌적성 확보</t>
        </is>
      </c>
      <c r="K36" s="156" t="inlineStr">
        <is>
          <t>1) STEP 1 (공조 덕트 풍량 TAB): 피토관 및 플로우 후드를 이용하여 주덕트와 각 디퓨저 취출 풍량을 설계치 ±10%로 교정
2) STEP 2 (수배관 유량 TAB): 초음파 비파괴 유량계로 냉온수 배관 순환 유량을 측정하고 밸런싱 밸브 차압(ΔP) 정밀 조정
3) STEP 3 (소음 및 온습도 검증): 정거장 실내 소음(NC 35~40) 및 실별 온·습도 분포도를 24시간 연속 측정하여 TAB 성적서 발급</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201">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202">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203">
        <f>HYPERLINK(LEFT(CELL("filename",A1),FIND("[",CELL("filename",A1))-1)&amp;"매뉴얼BODY(집행단계-첨부폴더)v8\10.기계분야\35_TAB(풍량_수량 밸런싱) 측정\체크리스트\35_TAB(풍량_수량 밸런싱) 측정_체크리스트.html", "👉 [클릭] 체크리스트 열기 📄")</f>
        <v/>
      </c>
      <c r="S36" s="200" t="inlineStr">
        <is>
          <t>기계·소방 복합 시방 준수</t>
        </is>
      </c>
      <c r="T36" s="230" t="n"/>
      <c r="U36" s="231" t="n"/>
      <c r="V36" s="230"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row>
    <row r="37" ht="52" customHeight="1" s="147">
      <c r="A37" s="204" t="inlineStr">
        <is>
          <t>9000</t>
        </is>
      </c>
      <c r="B37" s="204" t="inlineStr">
        <is>
          <t>9000-10</t>
        </is>
      </c>
      <c r="C37" s="204" t="inlineStr">
        <is>
          <t>기계설비·소방설비</t>
        </is>
      </c>
      <c r="D37" s="204" t="inlineStr">
        <is>
          <t>9000-10-36</t>
        </is>
      </c>
      <c r="E37" s="205" t="inlineStr">
        <is>
          <t>9000-10-35</t>
        </is>
      </c>
      <c r="F37" s="205" t="inlineStr">
        <is>
          <t>-</t>
        </is>
      </c>
      <c r="G37" s="162" t="inlineStr">
        <is>
          <t>소방 완공검사 및 종합인계</t>
        </is>
      </c>
      <c r="H37" s="205" t="inlineStr">
        <is>
          <t>D+80</t>
        </is>
      </c>
      <c r="I37" s="205" t="inlineStr">
        <is>
          <t>기계/소방팀</t>
        </is>
      </c>
      <c r="J37" s="163" t="inlineStr">
        <is>
          <t>관할 소방서 완공검사필증 획득, As-Built 준공도서 편찬 및 운영사(화성도시공사) 무결점 인수인계</t>
        </is>
      </c>
      <c r="K37" s="163" t="inlineStr">
        <is>
          <t>1) STEP 1 (관할 소방서 완공 실사): 소방감리원 및 소방관 합동 현장 실사를 통해 소화·경보·피난설비 전수 작동 검사
2) STEP 2 (소방완공검사필증 수령): 지적사항 0건으로 소방시설 완공검사증명서(필증)를 정식 교부받아 법적 준공 완료
3) STEP 3 (준공도서 및 운영자 교육): 3D As-Built 준공도면, 시운전 성적서, 2년분 예비품을 인계하고 운영팀 40시간 기술교육 이수</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206">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207">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208">
        <f>HYPERLINK(LEFT(CELL("filename",A1),FIND("[",CELL("filename",A1))-1)&amp;"매뉴얼BODY(집행단계-첨부폴더)v8\10.기계분야\36_소방 완공검사 및 종합인계\체크리스트\36_소방 완공검사 및 종합인계_체크리스트.html", "👉 [클릭] 체크리스트 열기 📄")</f>
        <v/>
      </c>
      <c r="S37" s="205" t="inlineStr">
        <is>
          <t>기계·소방 복합 시방 준수</t>
        </is>
      </c>
      <c r="T37" s="230" t="n"/>
      <c r="U37" s="231" t="n"/>
      <c r="V37" s="230"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T43"/>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row>
    <row r="2" ht="52" customHeight="1" s="147">
      <c r="A2" s="199" t="inlineStr">
        <is>
          <t>9000</t>
        </is>
      </c>
      <c r="B2" s="199" t="inlineStr">
        <is>
          <t>9000-11</t>
        </is>
      </c>
      <c r="C2" s="199" t="inlineStr">
        <is>
          <t>철도종합시험운행</t>
        </is>
      </c>
      <c r="D2" s="199" t="inlineStr">
        <is>
          <t>9000-11-1</t>
        </is>
      </c>
      <c r="E2" s="200" t="inlineStr">
        <is>
          <t>-</t>
        </is>
      </c>
      <c r="F2" s="200" t="inlineStr">
        <is>
          <t>9000-11-2</t>
        </is>
      </c>
      <c r="G2" s="155" t="inlineStr">
        <is>
          <t>철도종합시험운행 사전검토</t>
        </is>
      </c>
      <c r="H2" s="200" t="inlineStr">
        <is>
          <t>D-60</t>
        </is>
      </c>
      <c r="I2" s="200" t="inlineStr">
        <is>
          <t>개통운영팀</t>
        </is>
      </c>
      <c r="J2" s="156" t="inlineStr">
        <is>
          <t>철도종합시험운행 시행지침 분석 및 3단계 종합시험운행 추진체계 사전 검토</t>
        </is>
      </c>
      <c r="K2" s="156" t="inlineStr">
        <is>
          <t>1) STEP 1: 법령 및 지침 기준 분석 (철도안전법 제38조 및 국토부 시행지침 80개 조항 정밀 분석)
2) STEP 2: 동탄트램 특화 쟁점 도출 (무가선 배터리, 매립형 궤도, 우선신호 인터페이스 45개 쟁점 도출)
3) STEP 3: 철도종합시운전 사전검토서 편찬 및 결재 (총괄사업단장 최종 보고 및 사전검토 확정)</t>
        </is>
      </c>
      <c r="L2" s="156" t="inlineStr">
        <is>
          <t>철도종합시험운행 사전검토 결과보고서, 회의록 및 TS 공인 필증</t>
        </is>
      </c>
      <c r="M2" s="156" t="inlineStr">
        <is>
          <t>1) 철도종합시험운행 사전검토(9000-11-1) 수행을 위해 철도안전법 제38조 및 국토부 시행지침 100% 충족함.
2) 시운전 착수 전 법정 3단계 절차 및 45개 핵심 쟁점 사전검토 확정 완료함.</t>
        </is>
      </c>
      <c r="N2" s="201">
        <f>HYPERLINK(LEFT(CELL("filename",A1),FIND("[",CELL("filename",A1))-1)&amp;"매뉴얼BODY(집행단계-첨부폴더)v8\11.철도종합시운전\1_철도종합시험운행 사전검토\표준서\1_철도종합시험운행 사전검토_표준서.html", "👉 [클릭] 표준서 열기 📄")</f>
        <v/>
      </c>
      <c r="O2" s="156" t="inlineStr">
        <is>
          <t>1) STEP 1: 철도종합시험운행 법정 기준 및 절차 분석
2) STEP 2: 시험운행 단계별(사전점검·시설물검증·영업시운전) 마일스톤 도출</t>
        </is>
      </c>
      <c r="P2" s="202">
        <f>HYPERLINK(LEFT(CELL("filename",A1),FIND("[",CELL("filename",A1))-1)&amp;"매뉴얼BODY(집행단계-첨부폴더)v8\11.철도종합시운전\1_철도종합시험운행 사전검토\수행지침\1_철도종합시험운행 사전검토_수행지침.html", "👉 [클릭] 수행지침 열기 📄")</f>
        <v/>
      </c>
      <c r="Q2" s="156" t="inlineStr">
        <is>
          <t>1) 철도종합시험운행 시행지침 검토 시방 및 국토교통부 고시 기준 전 조항 분석 기준을 100% 충족하였는가?
2) 개통 목표일 역산정 공정 분석 검측 및 불합격 요소를 전면 차단하였는가?</t>
        </is>
      </c>
      <c r="R2" s="203">
        <f>HYPERLINK(LEFT(CELL("filename",A1),FIND("[",CELL("filename",A1))-1)&amp;"매뉴얼BODY(집행단계-첨부폴더)v8\11.철도종합시운전\1_철도종합시험운행 사전검토\체크리스트\1_철도종합시험운행 사전검토_체크리스트.html", "👉 [클릭] 체크리스트 열기 📄")</f>
        <v/>
      </c>
      <c r="S2" s="200" t="inlineStr">
        <is>
          <t>철도종합시험운행 시행지침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row>
    <row r="3" ht="52" customHeight="1" s="147">
      <c r="A3" s="204" t="inlineStr">
        <is>
          <t>9000</t>
        </is>
      </c>
      <c r="B3" s="204" t="inlineStr">
        <is>
          <t>9000-11</t>
        </is>
      </c>
      <c r="C3" s="204" t="inlineStr">
        <is>
          <t>철도종합시험운행</t>
        </is>
      </c>
      <c r="D3" s="204" t="inlineStr">
        <is>
          <t>9000-11-2</t>
        </is>
      </c>
      <c r="E3" s="205" t="inlineStr">
        <is>
          <t>9000-11-1</t>
        </is>
      </c>
      <c r="F3" s="205" t="inlineStr">
        <is>
          <t>9000-11-3</t>
        </is>
      </c>
      <c r="G3" s="162" t="inlineStr">
        <is>
          <t>철도종합시험운행 사전검토 회의</t>
        </is>
      </c>
      <c r="H3" s="205" t="inlineStr">
        <is>
          <t>D-50</t>
        </is>
      </c>
      <c r="I3" s="205" t="inlineStr">
        <is>
          <t>개통운영팀</t>
        </is>
      </c>
      <c r="J3" s="163" t="inlineStr">
        <is>
          <t>사업단·감리단·협력사 합동 사전검토 회의 및 SOP 일정계획 상호 검토</t>
        </is>
      </c>
      <c r="K3" s="163" t="inlineStr">
        <is>
          <t>1) STEP 1: 시운전 사전검토 회의 안건 수립 (8대 공종 책임자 및 감리단 합동 검토 안건 상정)
2) STEP 2: 공종 간 인터페이스 및 R&amp;R 협의 (궤도, 전기, 신호, 통신, 차량 등 120개 연동 항목 분계점 확정)
3) STEP 3: 회의록 작성 및 전사 배포 (의결 사항 정리 및 유관부서 공식 배포함)</t>
        </is>
      </c>
      <c r="L3" s="163" t="inlineStr">
        <is>
          <t>철도종합시험운행 사전검토 회의 결과보고서, 회의록 및 TS 공인 필증</t>
        </is>
      </c>
      <c r="M3" s="163" t="inlineStr">
        <is>
          <t>1) 철도종합시험운행 사전검토 회의(9000-11-2)를 통해 8대 공종 간섭 및 R&amp;R 분계점 100% 확정함.
2) 120개 필수 점검항목 도출 및 회의록 전사 배포 완료함.</t>
        </is>
      </c>
      <c r="N3" s="206">
        <f>HYPERLINK(LEFT(CELL("filename",A1),FIND("[",CELL("filename",A1))-1)&amp;"매뉴얼BODY(집행단계-첨부폴더)v8\11.철도종합시운전\2_철도종합시험운행 사전검토 회의\표준서\2_철도종합시험운행 사전검토 회의_표준서.html", "👉 [클릭] 표준서 열기 📄")</f>
        <v/>
      </c>
      <c r="O3" s="163" t="inlineStr">
        <is>
          <t>1) STEP 1: 전 공종 책임자 합동 사전검토 회의 소집
2) STEP 2: 분야별 잔여 공종 및 시운전 간섭 요소 검토</t>
        </is>
      </c>
      <c r="P3" s="207">
        <f>HYPERLINK(LEFT(CELL("filename",A1),FIND("[",CELL("filename",A1))-1)&amp;"매뉴얼BODY(집행단계-첨부폴더)v8\11.철도종합시운전\2_철도종합시험운행 사전검토 회의\수행지침\2_철도종합시험운행 사전검토 회의_수행지침.html", "👉 [클릭] 수행지침 열기 📄")</f>
        <v/>
      </c>
      <c r="Q3" s="163" t="inlineStr">
        <is>
          <t>1) SOP 일정표 상호 검토 시방 및 공종별 준공 일정과 시운전 착수일 대조 기준을 100% 충족하였는가?
2) 분야별 책임분계점 확정 검측 및 불합격 요소를 전면 차단하였는가?</t>
        </is>
      </c>
      <c r="R3" s="208">
        <f>HYPERLINK(LEFT(CELL("filename",A1),FIND("[",CELL("filename",A1))-1)&amp;"매뉴얼BODY(집행단계-첨부폴더)v8\11.철도종합시운전\2_철도종합시험운행 사전검토 회의\체크리스트\2_철도종합시험운행 사전검토 회의_체크리스트.html", "👉 [클릭] 체크리스트 열기 📄")</f>
        <v/>
      </c>
      <c r="S3" s="205" t="inlineStr">
        <is>
          <t>철도종합시험운행 시행지침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row>
    <row r="4" ht="52" customHeight="1" s="147">
      <c r="A4" s="199" t="inlineStr">
        <is>
          <t>9000</t>
        </is>
      </c>
      <c r="B4" s="199" t="inlineStr">
        <is>
          <t>9000-11</t>
        </is>
      </c>
      <c r="C4" s="199" t="inlineStr">
        <is>
          <t>철도종합시험운행</t>
        </is>
      </c>
      <c r="D4" s="199" t="inlineStr">
        <is>
          <t>9000-11-3</t>
        </is>
      </c>
      <c r="E4" s="200" t="inlineStr">
        <is>
          <t>9000-11-2</t>
        </is>
      </c>
      <c r="F4" s="200" t="inlineStr">
        <is>
          <t>9000-11-4</t>
        </is>
      </c>
      <c r="G4" s="155" t="inlineStr">
        <is>
          <t>토목·궤도 인터페이스 협의</t>
        </is>
      </c>
      <c r="H4" s="200" t="inlineStr">
        <is>
          <t>D-40</t>
        </is>
      </c>
      <c r="I4" s="200" t="inlineStr">
        <is>
          <t>시스템팀</t>
        </is>
      </c>
      <c r="J4" s="156" t="inlineStr">
        <is>
          <t>노반·궤도·분기기 시공 상태 검증 및 신호설비 설치 사전 인터페이스 협의</t>
        </is>
      </c>
      <c r="K4" s="156" t="inlineStr">
        <is>
          <t>1) STEP 1: 매립형 그루브 레일 ↔ 노반 인터페이스 검측 (궤간 1,435mm 및 레일 레벨 검측 완료)
2) STEP 2: 143개소 선로전환기 배수 및 토목 연결부 점검 (전철기 피트 침수 방지 횡단 배수관로 점검함)
3) STEP 3: 정거장 승강장 연단 간격 인터페이스 검증 (차량 발판 이격 50mm 이내 적합성 입증)</t>
        </is>
      </c>
      <c r="L4" s="156" t="inlineStr">
        <is>
          <t>토목·궤도 인터페이스 협의 결과보고서, 회의록 및 TS 공인 필증</t>
        </is>
      </c>
      <c r="M4" s="156" t="inlineStr">
        <is>
          <t>1) 토목·궤도 인터페이스 협의(9000-11-3) 기준을 엄격히 적용하여 선로 기하구조 100% 검증함.
2) 분기기 배수관로 및 승강장 연단 간격 기술기준 적합성 확정함.</t>
        </is>
      </c>
      <c r="N4" s="201">
        <f>HYPERLINK(LEFT(CELL("filename",A1),FIND("[",CELL("filename",A1))-1)&amp;"매뉴얼BODY(집행단계-첨부폴더)v8\11.철도종합시운전\3_토목·궤도 인터페이스 협의\표준서\3_토목·궤도 인터페이스 협의_표준서.html", "👉 [클릭] 표준서 열기 📄")</f>
        <v/>
      </c>
      <c r="O4" s="156" t="inlineStr">
        <is>
          <t>1) STEP 1: 매립형 궤도 기하구조 정밀 실측 데이터 검토
2) STEP 2: 선로전환기(143개소) 및 신호 검지선 인터페이스 확인</t>
        </is>
      </c>
      <c r="P4" s="202">
        <f>HYPERLINK(LEFT(CELL("filename",A1),FIND("[",CELL("filename",A1))-1)&amp;"매뉴얼BODY(집행단계-첨부폴더)v8\11.철도종합시운전\3_토목·궤도 인터페이스 협의\수행지침\3_토목·궤도 인터페이스 협의_수행지침.html", "👉 [클릭] 수행지침 열기 📄")</f>
        <v/>
      </c>
      <c r="Q4" s="156" t="inlineStr">
        <is>
          <t>1) 궤도 단면 및 궤간 검측 시방 및 궤간 1,435mm ±2mm 이내 확인 기준을 100% 충족하였는가?
2) 선로전환기 취부부 검토 검측 및 불합격 요소를 전면 차단하였는가?</t>
        </is>
      </c>
      <c r="R4" s="203">
        <f>HYPERLINK(LEFT(CELL("filename",A1),FIND("[",CELL("filename",A1))-1)&amp;"매뉴얼BODY(집행단계-첨부폴더)v8\11.철도종합시운전\3_토목·궤도 인터페이스 협의\체크리스트\3_토목·궤도 인터페이스 협의_체크리스트.html", "👉 [클릭] 체크리스트 열기 📄")</f>
        <v/>
      </c>
      <c r="S4" s="200" t="inlineStr">
        <is>
          <t>철도종합시험운행 시행지침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row>
    <row r="5" ht="52" customHeight="1" s="147">
      <c r="A5" s="204" t="inlineStr">
        <is>
          <t>9000</t>
        </is>
      </c>
      <c r="B5" s="204" t="inlineStr">
        <is>
          <t>9000-11</t>
        </is>
      </c>
      <c r="C5" s="204" t="inlineStr">
        <is>
          <t>철도종합시험운행</t>
        </is>
      </c>
      <c r="D5" s="204" t="inlineStr">
        <is>
          <t>9000-11-4</t>
        </is>
      </c>
      <c r="E5" s="205" t="inlineStr">
        <is>
          <t>9000-11-3</t>
        </is>
      </c>
      <c r="F5" s="205" t="inlineStr">
        <is>
          <t>9000-11-5</t>
        </is>
      </c>
      <c r="G5" s="162" t="inlineStr">
        <is>
          <t>전기·통신·신호·차량 인터페이스 협의</t>
        </is>
      </c>
      <c r="H5" s="205" t="inlineStr">
        <is>
          <t>D-35</t>
        </is>
      </c>
      <c r="I5" s="205" t="inlineStr">
        <is>
          <t>시스템팀</t>
        </is>
      </c>
      <c r="J5" s="163" t="inlineStr">
        <is>
          <t>급전·LTE-R·T-ATP/ATO·차량 간 E&amp;M 복합 시스템 연동 인터페이스 조율</t>
        </is>
      </c>
      <c r="K5" s="163" t="inlineStr">
        <is>
          <t>1) STEP 1: 정거장 급속충전 장치 ↔ 차상 배터리 인터페이스 검증 (DC 750V 충전 아크 및 결선 점검)
2) STEP 2: LTE-R 차상 무선통신망 ↔ 지상 안테나 정합성 시험 (패킷 손실률 1% 이하 전파 환경 검증함)
3) STEP 3: T-ATP/ATO 신호 ↔ PSD 스크린도어 연동 프로토콜 검증 (정위치 정차 ±300mm 동기화 확정)</t>
        </is>
      </c>
      <c r="L5" s="163" t="inlineStr">
        <is>
          <t>전기·통신·신호·차량 인터페이스 협의 결과보고서, 회의록 및 TS 공인 필증</t>
        </is>
      </c>
      <c r="M5" s="163" t="inlineStr">
        <is>
          <t>1) 전기·통신·신호·차량 인터페이스 협의(9000-11-4)를 통해 4대 E&amp;M 연동 프로토콜 100% 일치성 달성함.
2) 무가선 배터리 충전 및 PSD 동기화 안전 인터록 검증 완료함.</t>
        </is>
      </c>
      <c r="N5" s="206">
        <f>HYPERLINK(LEFT(CELL("filename",A1),FIND("[",CELL("filename",A1))-1)&amp;"매뉴얼BODY(집행단계-첨부폴더)v8\11.철도종합시운전\4_전기·통신·신호·차량 인터페이스 협의\표준서\4_전기·통신·신호·차량 인터페이스 협의_표준서.html", "👉 [클릭] 표준서 열기 📄")</f>
        <v/>
      </c>
      <c r="O5" s="163" t="inlineStr">
        <is>
          <t>1) STEP 1: 전기 급전 및 배터리 급속충전 인터페이스 검토
2) STEP 2: LTE-R 통신망 및 신호 T-ATP/ATO 데이터 인터페이스 검증</t>
        </is>
      </c>
      <c r="P5" s="207">
        <f>HYPERLINK(LEFT(CELL("filename",A1),FIND("[",CELL("filename",A1))-1)&amp;"매뉴얼BODY(집행단계-첨부폴더)v8\11.철도종합시운전\4_전기·통신·신호·차량 인터페이스 협의\수행지침\4_전기·통신·신호·차량 인터페이스 협의_수행지침.html", "👉 [클릭] 수행지침 열기 📄")</f>
        <v/>
      </c>
      <c r="Q5" s="163" t="inlineStr">
        <is>
          <t>1) 급속충전 시스템 연동 시방 및 정거장 강체 가선 및 집전장치 대조 기준을 100% 충족하였는가?
2) LTE-R 무선 데이터 연동 검측 및 불합격 요소를 전면 차단하였는가?</t>
        </is>
      </c>
      <c r="R5" s="208">
        <f>HYPERLINK(LEFT(CELL("filename",A1),FIND("[",CELL("filename",A1))-1)&amp;"매뉴얼BODY(집행단계-첨부폴더)v8\11.철도종합시운전\4_전기·통신·신호·차량 인터페이스 협의\체크리스트\4_전기·통신·신호·차량 인터페이스 협의_체크리스트.html", "👉 [클릭] 체크리스트 열기 📄")</f>
        <v/>
      </c>
      <c r="S5" s="205" t="inlineStr">
        <is>
          <t>철도종합시험운행 시행지침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row>
    <row r="6" ht="52" customHeight="1" s="147">
      <c r="A6" s="199" t="inlineStr">
        <is>
          <t>9000</t>
        </is>
      </c>
      <c r="B6" s="199" t="inlineStr">
        <is>
          <t>9000-11</t>
        </is>
      </c>
      <c r="C6" s="199" t="inlineStr">
        <is>
          <t>철도종합시험운행</t>
        </is>
      </c>
      <c r="D6" s="199" t="inlineStr">
        <is>
          <t>9000-11-5</t>
        </is>
      </c>
      <c r="E6" s="200" t="inlineStr">
        <is>
          <t>9000-11-4</t>
        </is>
      </c>
      <c r="F6" s="200" t="inlineStr">
        <is>
          <t>9000-11-6</t>
        </is>
      </c>
      <c r="G6" s="155" t="inlineStr">
        <is>
          <t>관제 및 운영사 인터페이스 협의</t>
        </is>
      </c>
      <c r="H6" s="200" t="inlineStr">
        <is>
          <t>D-30</t>
        </is>
      </c>
      <c r="I6" s="200" t="inlineStr">
        <is>
          <t>시스템팀</t>
        </is>
      </c>
      <c r="J6" s="156" t="inlineStr">
        <is>
          <t>종합관제센터(OCC)·화성도시공사 운영사 요구사항 사전 반영 및 과업범위 최적화</t>
        </is>
      </c>
      <c r="K6" s="156" t="inlineStr">
        <is>
          <t>1) STEP 1: 차량기지 종합관제센터(OCC) 원격 감시 제어 프로토콜 검토 (SCADA/신호 화면 매핑 완료)
2) STEP 2: 화성도시공사 운영 인력 실무 투입 인터페이스 협의 (기관사, 관제사, 역무원 R&amp;R 확정)
3) STEP 3: 관제 인터페이스 협의서 체결 및 하자보수 체계 정립 (책임분계점 명문화 및 핫라인 구축함)</t>
        </is>
      </c>
      <c r="L6" s="156" t="inlineStr">
        <is>
          <t>관제 및 운영사 인터페이스 협의 결과보고서, 회의록 및 TS 공인 필증</t>
        </is>
      </c>
      <c r="M6" s="156" t="inlineStr">
        <is>
          <t>1) 관제 및 운영사 인터페이스 협의(9000-11-5)를 통해 OCC 원격 감시 제어 및 운영사 협업 체계 100% 확립함.
2) 하자보수 책임분계점 명확화 및 실시간 관제 핫라인 구축 완료함.</t>
        </is>
      </c>
      <c r="N6" s="201">
        <f>HYPERLINK(LEFT(CELL("filename",A1),FIND("[",CELL("filename",A1))-1)&amp;"매뉴얼BODY(집행단계-첨부폴더)v8\11.철도종합시운전\5_관제 및 운영사 인터페이스 협의\표준서\5_관제 및 운영사 인터페이스 협의_표준서.html", "👉 [클릭] 표준서 열기 📄")</f>
        <v/>
      </c>
      <c r="O6" s="156" t="inlineStr">
        <is>
          <t>1) STEP 1: 종합관제센터 관제 설비 및 원격 감시 체계 검토
2) STEP 2: 화성도시공사 운영사 요구사항 수렴 및 기능 최적화</t>
        </is>
      </c>
      <c r="P6" s="202">
        <f>HYPERLINK(LEFT(CELL("filename",A1),FIND("[",CELL("filename",A1))-1)&amp;"매뉴얼BODY(집행단계-첨부폴더)v8\11.철도종합시운전\5_관제 및 운영사 인터페이스 협의\수행지침\5_관제 및 운영사 인터페이스 협의_수행지침.html", "👉 [클릭] 수행지침 열기 📄")</f>
        <v/>
      </c>
      <c r="Q6" s="156" t="inlineStr">
        <is>
          <t>1) 종합관제 SCADA 화면 검토 시방 및 전력/신호/설비 관제 화면 검증 기준을 100% 충족하였는가?
2) 사령-현장 비상통신 라인 검측 및 불합격 요소를 전면 차단하였는가?</t>
        </is>
      </c>
      <c r="R6" s="203">
        <f>HYPERLINK(LEFT(CELL("filename",A1),FIND("[",CELL("filename",A1))-1)&amp;"매뉴얼BODY(집행단계-첨부폴더)v8\11.철도종합시운전\5_관제 및 운영사 인터페이스 협의\체크리스트\5_관제 및 운영사 인터페이스 협의_체크리스트.html", "👉 [클릭] 체크리스트 열기 📄")</f>
        <v/>
      </c>
      <c r="S6" s="200" t="inlineStr">
        <is>
          <t>철도종합시험운행 시행지침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row>
    <row r="7" ht="52" customHeight="1" s="147">
      <c r="A7" s="204" t="inlineStr">
        <is>
          <t>9000</t>
        </is>
      </c>
      <c r="B7" s="204" t="inlineStr">
        <is>
          <t>9000-11</t>
        </is>
      </c>
      <c r="C7" s="204" t="inlineStr">
        <is>
          <t>철도종합시험운행</t>
        </is>
      </c>
      <c r="D7" s="204" t="inlineStr">
        <is>
          <t>9000-11-6</t>
        </is>
      </c>
      <c r="E7" s="205" t="inlineStr">
        <is>
          <t>9000-11-5</t>
        </is>
      </c>
      <c r="F7" s="205" t="inlineStr">
        <is>
          <t>9000-11-7</t>
        </is>
      </c>
      <c r="G7" s="162" t="inlineStr">
        <is>
          <t>인력·시험장비 투입계획 수립</t>
        </is>
      </c>
      <c r="H7" s="205" t="inlineStr">
        <is>
          <t>D-30</t>
        </is>
      </c>
      <c r="I7" s="205" t="inlineStr">
        <is>
          <t>개통운영팀</t>
        </is>
      </c>
      <c r="J7" s="163" t="inlineStr">
        <is>
          <t>시험운전반, 유관기관 합동 점검단 인력 배치 및 공인 시험 계측기 확보</t>
        </is>
      </c>
      <c r="K7" s="163" t="inlineStr">
        <is>
          <t>1) STEP 1: 5대 전문 시험운전반 조직 구성 (총괄, 시설, 시스템, 차량, 안전통제반 45명 편성)
2) STEP 2: 국가공인 교정 검측 장비 확보 및 필증 검증 (레이저 트랙게이지, 전력품질분석기 교정 필증 확인)
3) STEP 3: 비상출동 긴급복구조 편성 및 투입계획 확정 (시운전 중 돌발 장애 대응 24시간 비상조 가동)</t>
        </is>
      </c>
      <c r="L7" s="163" t="inlineStr">
        <is>
          <t>인력·시험장비 투입계획 수립 결과보고서, 회의록 및 TS 공인 필증</t>
        </is>
      </c>
      <c r="M7" s="163" t="inlineStr">
        <is>
          <t>1) 인력·시험장비 투입계획 수립(9000-11-6)으로 5대 시험운전반 45명 및 공인 계측기 100% 투입 확정함.
2) 24시간 긴급복구 비상출동체계 완비 및 교정 필증 확보 완료함.</t>
        </is>
      </c>
      <c r="N7" s="206">
        <f>HYPERLINK(LEFT(CELL("filename",A1),FIND("[",CELL("filename",A1))-1)&amp;"매뉴얼BODY(집행단계-첨부폴더)v8\11.철도종합시운전\6_인력·시험장비 투입계획 수립\표준서\6_인력·시험장비 투입계획 수립_표준서.html", "👉 [클릭] 표준서 열기 📄")</f>
        <v/>
      </c>
      <c r="O7" s="163" t="inlineStr">
        <is>
          <t>1) STEP 1: 5대 전문 시험운전반 조직 체계 수립
2) STEP 2: 공인 교정 시험 계측기 및 검측 장비 확보</t>
        </is>
      </c>
      <c r="P7" s="207">
        <f>HYPERLINK(LEFT(CELL("filename",A1),FIND("[",CELL("filename",A1))-1)&amp;"매뉴얼BODY(집행단계-첨부폴더)v8\11.철도종합시운전\6_인력·시험장비 투입계획 수립\수행지침\6_인력·시험장비 투입계획 수립_수행지침.html", "👉 [클릭] 수행지침 열기 📄")</f>
        <v/>
      </c>
      <c r="Q7" s="163" t="inlineStr">
        <is>
          <t>1) 시험운전반 조직 구성표 시방 및 5개 분야 45명 전담 인력 편성 기준을 100% 충족하였는가?
2) 시험 계측장비 목록 확정 검측 및 불합격 요소를 전면 차단하였는가?</t>
        </is>
      </c>
      <c r="R7" s="208">
        <f>HYPERLINK(LEFT(CELL("filename",A1),FIND("[",CELL("filename",A1))-1)&amp;"매뉴얼BODY(집행단계-첨부폴더)v8\11.철도종합시운전\6_인력·시험장비 투입계획 수립\체크리스트\6_인력·시험장비 투입계획 수립_체크리스트.html", "👉 [클릭] 체크리스트 열기 📄")</f>
        <v/>
      </c>
      <c r="S7" s="205" t="inlineStr">
        <is>
          <t>철도종합시험운행 시행지침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row>
    <row r="8" ht="52" customHeight="1" s="147">
      <c r="A8" s="199" t="inlineStr">
        <is>
          <t>9000</t>
        </is>
      </c>
      <c r="B8" s="199" t="inlineStr">
        <is>
          <t>9000-11</t>
        </is>
      </c>
      <c r="C8" s="199" t="inlineStr">
        <is>
          <t>철도종합시험운행</t>
        </is>
      </c>
      <c r="D8" s="199" t="inlineStr">
        <is>
          <t>9000-11-7</t>
        </is>
      </c>
      <c r="E8" s="200" t="inlineStr">
        <is>
          <t>9000-11-6</t>
        </is>
      </c>
      <c r="F8" s="200" t="inlineStr">
        <is>
          <t>9000-11-8</t>
        </is>
      </c>
      <c r="G8" s="155" t="inlineStr">
        <is>
          <t>철도종합시험운행 사전 협의사항(TS) 도출</t>
        </is>
      </c>
      <c r="H8" s="200" t="inlineStr">
        <is>
          <t>D-25</t>
        </is>
      </c>
      <c r="I8" s="200" t="inlineStr">
        <is>
          <t>개통운영팀</t>
        </is>
      </c>
      <c r="J8" s="156" t="inlineStr">
        <is>
          <t>한국교통안전공단(TS) 사전 점검 항목 및 기술기준 적합성 쟁점 선제적 도출</t>
        </is>
      </c>
      <c r="K8" s="156" t="inlineStr">
        <is>
          <t>1) STEP 1: 타 철도 현장(GTX-A, 신림선 등) 개통 지적사례 전수 분석 (동일 유형 지적 100% 추출)
2) STEP 2: 도시철도건설규칙 등 법정 기술기준 80개 조항 대조 (취약 개소 선제적 도출함)
3) STEP 3: TS 사전 협의 45대 핵심 쟁점 목록 작성 및 대응안 확정 (사전컨설팅 대비 답변서 완비)</t>
        </is>
      </c>
      <c r="L8" s="156" t="inlineStr">
        <is>
          <t>철도종합시험운행 사전 협의사항(TS) 도출 결과보고서, 회의록 및 TS 공인 필증</t>
        </is>
      </c>
      <c r="M8" s="156" t="inlineStr">
        <is>
          <t>1) 철도종합시험운행 사전 협의사항(TS) 도출(9000-11-7)을 통해 45대 핵심 쟁점 사전 식별 및 대응안 확정함.
2) 타 현장 지적사례 분석 기반 선제적 현장 보강 계획 수립 완료함.</t>
        </is>
      </c>
      <c r="N8" s="201">
        <f>HYPERLINK(LEFT(CELL("filename",A1),FIND("[",CELL("filename",A1))-1)&amp;"매뉴얼BODY(집행단계-첨부폴더)v8\11.철도종합시운전\7_철도종합시험운행 사전 협의사항(TS) 도출\표준서\7_철도종합시험운행 사전 협의사항(TS) 도출_표준서.html", "👉 [클릭] 표준서 열기 📄")</f>
        <v/>
      </c>
      <c r="O8" s="156" t="inlineStr">
        <is>
          <t>1) STEP 1: 도시철도건설규칙 및 철도시설 기술기준 전 조항 대조
2) STEP 2: 한국교통안전공단(TS) 주요 심사 지적사항 사전 스크리닝</t>
        </is>
      </c>
      <c r="P8" s="202">
        <f>HYPERLINK(LEFT(CELL("filename",A1),FIND("[",CELL("filename",A1))-1)&amp;"매뉴얼BODY(집행단계-첨부폴더)v8\11.철도종합시운전\7_철도종합시험운행 사전 협의사항(TS) 도출\수행지침\7_철도종합시험운행 사전 협의사항(TS) 도출_수행지침.html", "👉 [클릭] 수행지침 열기 📄")</f>
        <v/>
      </c>
      <c r="Q8" s="156" t="inlineStr">
        <is>
          <t>1) 철도시설 기술기준 매핑 시방 및 도시철도건설규칙 80개 조항 분석 기준을 100% 충족하였는가?
2) TS 지적 예상 항목 검토 검측 및 불합격 요소를 전면 차단하였는가?</t>
        </is>
      </c>
      <c r="R8" s="203">
        <f>HYPERLINK(LEFT(CELL("filename",A1),FIND("[",CELL("filename",A1))-1)&amp;"매뉴얼BODY(집행단계-첨부폴더)v8\11.철도종합시운전\7_철도종합시험운행 사전 협의사항(TS) 도출\체크리스트\7_철도종합시험운행 사전 협의사항(TS) 도출_체크리스트.html", "👉 [클릭] 체크리스트 열기 📄")</f>
        <v/>
      </c>
      <c r="S8" s="200" t="inlineStr">
        <is>
          <t>철도종합시험운행 시행지침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row>
    <row r="9" ht="52" customHeight="1" s="147">
      <c r="A9" s="204" t="inlineStr">
        <is>
          <t>9000</t>
        </is>
      </c>
      <c r="B9" s="204" t="inlineStr">
        <is>
          <t>9000-11</t>
        </is>
      </c>
      <c r="C9" s="204" t="inlineStr">
        <is>
          <t>철도종합시험운행</t>
        </is>
      </c>
      <c r="D9" s="204" t="inlineStr">
        <is>
          <t>9000-11-8</t>
        </is>
      </c>
      <c r="E9" s="205" t="inlineStr">
        <is>
          <t>9000-11-7</t>
        </is>
      </c>
      <c r="F9" s="205" t="inlineStr">
        <is>
          <t>9000-11-9</t>
        </is>
      </c>
      <c r="G9" s="162" t="inlineStr">
        <is>
          <t>착수 전 전공종 합동회의</t>
        </is>
      </c>
      <c r="H9" s="205" t="inlineStr">
        <is>
          <t>D-20</t>
        </is>
      </c>
      <c r="I9" s="205" t="inlineStr">
        <is>
          <t>시공사업단</t>
        </is>
      </c>
      <c r="J9" s="163" t="inlineStr">
        <is>
          <t>8대 전 공종 단독·연동시험 결과보고서 검증 및 시운전 전제조건 100% 충족 확인</t>
        </is>
      </c>
      <c r="K9" s="163" t="inlineStr">
        <is>
          <t>1) STEP 1: 8대 공종 단독 및 연동시험 성적서 취합 검증 (토목/궤도/전기/신호 등 전수 적합 확인)
2) STEP 2: 법정 검사 완료 필증 확인 (전기 사용전검사, 소방 완공검사, 승강기 완성검사 필증 확인)
3) STEP 3: 착수 전 전공종 합동회의 개최 및 시운전 개시 선언 (전 공종 책임자 서명 및 착수 선포)</t>
        </is>
      </c>
      <c r="L9" s="163" t="inlineStr">
        <is>
          <t>착수 전 전공종 합동회의 결과보고서, 회의록 및 TS 공인 필증</t>
        </is>
      </c>
      <c r="M9" s="163" t="inlineStr">
        <is>
          <t>1) 착수 전 전공종 합동회의 및 공종별시험 완료 검증(9000-11-8)으로 시운전 착수 전제조건 100% 충족함.
2) 법정 필증 전수 확보 및 전 공종 책임자 서명 날인 완료함.</t>
        </is>
      </c>
      <c r="N9" s="206">
        <f>HYPERLINK(LEFT(CELL("filename",A1),FIND("[",CELL("filename",A1))-1)&amp;"매뉴얼BODY(집행단계-첨부폴더)v8\11.철도종합시운전\8_착수 전 전공종 합동회의 및 공종별시험 완료 검증\표준서\8_착수 전 전공종 합동회의 및 공종별시험 완료 검증_표준서.html", "👉 [클릭] 표준서 열기 📄")</f>
        <v/>
      </c>
      <c r="O9" s="163" t="inlineStr">
        <is>
          <t>1) STEP 1: 8대 공종별 단독·공종시험 결과보고서 전수 취합
2) STEP 2: 법정 검사 필증 및 사전 승인 서류 확인</t>
        </is>
      </c>
      <c r="P9" s="207">
        <f>HYPERLINK(LEFT(CELL("filename",A1),FIND("[",CELL("filename",A1))-1)&amp;"매뉴얼BODY(집행단계-첨부폴더)v8\11.철도종합시운전\8_착수 전 전공종 합동회의 및 공종별시험 완료 검증\수행지침\8_착수 전 전공종 합동회의 및 공종별시험 완료 검증_수행지침.html", "👉 [클릭] 수행지침 열기 📄")</f>
        <v/>
      </c>
      <c r="Q9" s="163" t="inlineStr">
        <is>
          <t>1) 8대 공종 시험성적서 검토 시방 및 노반 다짐, 궤도 기하, 변전소 가압 기준을 100% 충족하였는가?
2) 신호/통신 연동시험 검증 검측 및 불합격 요소를 전면 차단하였는가?</t>
        </is>
      </c>
      <c r="R9" s="208">
        <f>HYPERLINK(LEFT(CELL("filename",A1),FIND("[",CELL("filename",A1))-1)&amp;"매뉴얼BODY(집행단계-첨부폴더)v8\11.철도종합시운전\8_착수 전 전공종 합동회의 및 공종별시험 완료 검증\체크리스트\8_착수 전 전공종 합동회의 및 공종별시험 완료 검증_체크리스트.html", "👉 [클릭] 체크리스트 열기 📄")</f>
        <v/>
      </c>
      <c r="S9" s="205" t="inlineStr">
        <is>
          <t>철도종합시험운행 시행지침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row>
    <row r="10" ht="52" customHeight="1" s="147">
      <c r="A10" s="199" t="inlineStr">
        <is>
          <t>9000</t>
        </is>
      </c>
      <c r="B10" s="199" t="inlineStr">
        <is>
          <t>9000-11</t>
        </is>
      </c>
      <c r="C10" s="199" t="inlineStr">
        <is>
          <t>철도종합시험운행</t>
        </is>
      </c>
      <c r="D10" s="199" t="inlineStr">
        <is>
          <t>9000-11-9</t>
        </is>
      </c>
      <c r="E10" s="200" t="inlineStr">
        <is>
          <t>9000-11-8</t>
        </is>
      </c>
      <c r="F10" s="200" t="inlineStr">
        <is>
          <t>9000-11-10</t>
        </is>
      </c>
      <c r="G10" s="155" t="inlineStr">
        <is>
          <t>철도종합시험운행 종합계획서 수립</t>
        </is>
      </c>
      <c r="H10" s="200" t="inlineStr">
        <is>
          <t>D+0</t>
        </is>
      </c>
      <c r="I10" s="200" t="inlineStr">
        <is>
          <t>개통운영팀</t>
        </is>
      </c>
      <c r="J10" s="156" t="inlineStr">
        <is>
          <t>철도종합시험운행 표준운영절차(SOP) 및 사전점검·시설물검증·영업시운전 종합계획서 편찬</t>
        </is>
      </c>
      <c r="K10" s="156" t="inlineStr">
        <is>
          <t>1) STEP 1: 3단계 시험운행 종합계획서(SOP) 마스터 초안 작성 (사전점검, 시설물검증, 영업시운전 총괄 수립)
2) STEP 2: 공종별 세부 시험 항목 및 검측 기준표 수록 (28개 검증 항목 및 판정 기준 집대성)
3) STEP 3: 책임감리원 기술검토의견서 첨부 및 종합계획서 승인 (사업단장 최종 결재 및 승인 확정)</t>
        </is>
      </c>
      <c r="L10" s="156" t="inlineStr">
        <is>
          <t>철도종합시험운행 종합계획서 수립 결과보고서, 회의록 및 TS 공인 필증</t>
        </is>
      </c>
      <c r="M10" s="156" t="inlineStr">
        <is>
          <t>1) 철도종합시험운행 종합계획서(SOP) 수립(9000-9-9)으로 국토교통부 표준 양식 100% 충족함.
2) 3단계 시험 절차 및 28개 검증 항목 마스터 계획 승인 완료함.</t>
        </is>
      </c>
      <c r="N10" s="201">
        <f>HYPERLINK(LEFT(CELL("filename",A1),FIND("[",CELL("filename",A1))-1)&amp;"매뉴얼BODY(집행단계-첨부폴더)v8\11.철도종합시운전\9_철도종합시험운행 종합계획서(SOP) 수립\표준서\9_철도종합시험운행 종합계획서(SOP) 수립_표준서.html", "👉 [클릭] 표준서 열기 📄")</f>
        <v/>
      </c>
      <c r="O10" s="156" t="inlineStr">
        <is>
          <t>1) STEP 1: 철도종합시험운행 종합계획서(SOP) 기본 골격 수립
2) STEP 2: 단계별 세부 시험계획서(사전점검/시설물검증/영업시운전) 작성</t>
        </is>
      </c>
      <c r="P10" s="202">
        <f>HYPERLINK(LEFT(CELL("filename",A1),FIND("[",CELL("filename",A1))-1)&amp;"매뉴얼BODY(집행단계-첨부폴더)v8\11.철도종합시운전\9_철도종합시험운행 종합계획서(SOP) 수립\수행지침\9_철도종합시험운행 종합계획서(SOP) 수립_수행지침.html", "👉 [클릭] 수행지침 열기 📄")</f>
        <v/>
      </c>
      <c r="Q10" s="156" t="inlineStr">
        <is>
          <t>1) 종합계획서(SOP) 본안 작성 시방 및 개요, 조직, 안전관리, 세부일정 기준을 100% 충족하였는가?
2) 사전점검 계획서 수립 검측 및 불합격 요소를 전면 차단하였는가?</t>
        </is>
      </c>
      <c r="R10" s="203">
        <f>HYPERLINK(LEFT(CELL("filename",A1),FIND("[",CELL("filename",A1))-1)&amp;"매뉴얼BODY(집행단계-첨부폴더)v8\11.철도종합시운전\9_철도종합시험운행 종합계획서(SOP) 수립\체크리스트\9_철도종합시험운행 종합계획서(SOP) 수립_체크리스트.html", "👉 [클릭] 체크리스트 열기 📄")</f>
        <v/>
      </c>
      <c r="S10" s="200" t="inlineStr">
        <is>
          <t>철도종합시험운행 시행지침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row>
    <row r="11" ht="52" customHeight="1" s="147">
      <c r="A11" s="204" t="inlineStr">
        <is>
          <t>9000</t>
        </is>
      </c>
      <c r="B11" s="204" t="inlineStr">
        <is>
          <t>9000-11</t>
        </is>
      </c>
      <c r="C11" s="204" t="inlineStr">
        <is>
          <t>철도종합시험운행</t>
        </is>
      </c>
      <c r="D11" s="204" t="inlineStr">
        <is>
          <t>9000-11-10</t>
        </is>
      </c>
      <c r="E11" s="205" t="inlineStr">
        <is>
          <t>9000-11-9</t>
        </is>
      </c>
      <c r="F11" s="205" t="inlineStr">
        <is>
          <t>9000-11-11</t>
        </is>
      </c>
      <c r="G11" s="162" t="inlineStr">
        <is>
          <t>TS 사전컨설팅 회의</t>
        </is>
      </c>
      <c r="H11" s="205" t="inlineStr">
        <is>
          <t>D+30</t>
        </is>
      </c>
      <c r="I11" s="205" t="inlineStr">
        <is>
          <t>개통운영팀</t>
        </is>
      </c>
      <c r="J11" s="163" t="inlineStr">
        <is>
          <t>한국교통안전공단(TS) 합동 사전컨설팅 회의를 통한 계획서 보완 및 적합성 검증</t>
        </is>
      </c>
      <c r="K11" s="163" t="inlineStr">
        <is>
          <t>1) STEP 1: TS 사전컨설팅 안건 상정 및 종합계획서 초안 제출 (한국교통안전공단 사전 심의 접수)
2) STEP 2: 대면 컨설팅 회의 개최 및 심사위원 피드백 수렴 (무가선 트램 특화 항목 집중 협의함)
3) STEP 3: 컨설팅 권고사항 종합계획서 100% 보완 반영 (본 심사 반려 리스크 원천 차단)</t>
        </is>
      </c>
      <c r="L11" s="163" t="inlineStr">
        <is>
          <t>TS 사전컨설팅 회의 결과보고서, 회의록 및 TS 공인 필증</t>
        </is>
      </c>
      <c r="M11" s="163" t="inlineStr">
        <is>
          <t>1) 계획서 제출 전 TS 사전컨설팅 회의(9000-9-10)를 통해 TS 심사위원 사전 조율 100% 완료함.
2) 권고사항 전면 반영으로 본 심사 시 서류 보완 및 반려 리스크 Zero화함.</t>
        </is>
      </c>
      <c r="N11" s="206">
        <f>HYPERLINK(LEFT(CELL("filename",A1),FIND("[",CELL("filename",A1))-1)&amp;"매뉴얼BODY(집행단계-첨부폴더)v8\11.철도종합시운전\10_계획서 제출 전 TS 사전컨설팅 회의\표준서\10_계획서 제출 전 TS 사전컨설팅 회의_표준서.html", "👉 [클릭] 표준서 열기 📄")</f>
        <v/>
      </c>
      <c r="O11" s="163" t="inlineStr">
        <is>
          <t>1) STEP 1: 한국교통안전공단(TS) 사전컨설팅 안건 상정
2) STEP 2: TS 전문위원단 합동 대면 심의 회의 진행</t>
        </is>
      </c>
      <c r="P11" s="207">
        <f>HYPERLINK(LEFT(CELL("filename",A1),FIND("[",CELL("filename",A1))-1)&amp;"매뉴얼BODY(집행단계-첨부폴더)v8\11.철도종합시운전\10_계획서 제출 전 TS 사전컨설팅 회의\수행지침\10_계획서 제출 전 TS 사전컨설팅 회의_수행지침.html", "👉 [클릭] 수행지침 열기 📄")</f>
        <v/>
      </c>
      <c r="Q11" s="163" t="inlineStr">
        <is>
          <t>1) 사전컨설팅 신청서 제출 시방 및 종합계획서 초안 및 첨부자료 기준을 100% 충족하였는가?
2) TS 합동 컨설팅 회의 개최 검측 및 불합격 요소를 전면 차단하였는가?</t>
        </is>
      </c>
      <c r="R11" s="208">
        <f>HYPERLINK(LEFT(CELL("filename",A1),FIND("[",CELL("filename",A1))-1)&amp;"매뉴얼BODY(집행단계-첨부폴더)v8\11.철도종합시운전\10_계획서 제출 전 TS 사전컨설팅 회의\체크리스트\10_계획서 제출 전 TS 사전컨설팅 회의_체크리스트.html", "👉 [클릭] 체크리스트 열기 📄")</f>
        <v/>
      </c>
      <c r="S11" s="205" t="inlineStr">
        <is>
          <t>철도종합시험운행 시행지침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row>
    <row r="12" ht="52" customHeight="1" s="147">
      <c r="A12" s="199" t="inlineStr">
        <is>
          <t>9000</t>
        </is>
      </c>
      <c r="B12" s="199" t="inlineStr">
        <is>
          <t>9000-11</t>
        </is>
      </c>
      <c r="C12" s="199" t="inlineStr">
        <is>
          <t>철도종합시험운행</t>
        </is>
      </c>
      <c r="D12" s="199" t="inlineStr">
        <is>
          <t>9000-11-11</t>
        </is>
      </c>
      <c r="E12" s="200" t="inlineStr">
        <is>
          <t>9000-11-10</t>
        </is>
      </c>
      <c r="F12" s="200" t="inlineStr">
        <is>
          <t>9000-11-12</t>
        </is>
      </c>
      <c r="G12" s="155" t="inlineStr">
        <is>
          <t>철도종합시험운행 연간계획 수립/제출</t>
        </is>
      </c>
      <c r="H12" s="200" t="inlineStr">
        <is>
          <t>D+60</t>
        </is>
      </c>
      <c r="I12" s="200" t="inlineStr">
        <is>
          <t>시공사업단</t>
        </is>
      </c>
      <c r="J12" s="156" t="inlineStr">
        <is>
          <t>국토교통부 및 한국교통안전공단(TS)에 철도종합시험운행 계획서 정식 접수 및 승인 득</t>
        </is>
      </c>
      <c r="K12" s="156" t="inlineStr">
        <is>
          <t>1) STEP 1: 법정 서식에 맞춘 철도종합시험운행 연간계획서 편찬 (사전점검/시설물검증/영업시운전 일정 확정)
2) STEP 2: 국토교통부 및 한국교통안전공단(TS) 정식 공문 접수 (전자문서 접수 및 심사 대응)
3) STEP 3: 국토교통부 철도종합시험운행 계획 승인 공문 수령 (법적 시운전 착수 권한 획득함)</t>
        </is>
      </c>
      <c r="L12" s="156" t="inlineStr">
        <is>
          <t>철도종합시험운행 연간계획 수립/제출 결과보고서, 회의록 및 TS 공인 필증</t>
        </is>
      </c>
      <c r="M12" s="156" t="inlineStr">
        <is>
          <t>1) 철도종합시험운행 연간계획 수립 및 TS 제출(9000-9-11)로 철도안전법 시행규칙 제75조 적법 승인 획득함.
2) 국토교통부 시운전 착수 승인 공문 공식 수령 완료함.</t>
        </is>
      </c>
      <c r="N12" s="201">
        <f>HYPERLINK(LEFT(CELL("filename",A1),FIND("[",CELL("filename",A1))-1)&amp;"매뉴얼BODY(집행단계-첨부폴더)v8\11.철도종합시운전\11_철도종합시험운행 연간계획 수립 및 TS 제출\표준서\11_철도종합시험운행 연간계획 수립 및 TS 제출_표준서.html", "👉 [클릭] 표준서 열기 📄")</f>
        <v/>
      </c>
      <c r="O12" s="156" t="inlineStr">
        <is>
          <t>1) STEP 1: 법정 제출 서류 편철 및 사업단장 결재
2) STEP 2: 국토교통부 및 TS 정식 공문 접수</t>
        </is>
      </c>
      <c r="P12" s="202">
        <f>HYPERLINK(LEFT(CELL("filename",A1),FIND("[",CELL("filename",A1))-1)&amp;"매뉴얼BODY(집행단계-첨부폴더)v8\11.철도종합시운전\11_철도종합시험운행 연간계획 수립 및 TS 제출\수행지침\11_철도종합시험운행 연간계획 수립 및 TS 제출_수행지침.html", "👉 [클릭] 수행지침 열기 📄")</f>
        <v/>
      </c>
      <c r="Q12" s="156" t="inlineStr">
        <is>
          <t>1) 철도종합시험운행 계획서 공문 발송 시방 및 국토교통부 철도안전정책과 기준을 100% 충족하였는가?
2) 한국교통안전공단 서류 심사 대응 검측 및 불합격 요소를 전면 차단하였는가?</t>
        </is>
      </c>
      <c r="R12" s="203">
        <f>HYPERLINK(LEFT(CELL("filename",A1),FIND("[",CELL("filename",A1))-1)&amp;"매뉴얼BODY(집행단계-첨부폴더)v8\11.철도종합시운전\11_철도종합시험운행 연간계획 수립 및 TS 제출\체크리스트\11_철도종합시험운행 연간계획 수립 및 TS 제출_체크리스트.html", "👉 [클릭] 체크리스트 열기 📄")</f>
        <v/>
      </c>
      <c r="S12" s="200" t="inlineStr">
        <is>
          <t>철도종합시험운행 시행지침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row>
    <row r="13" ht="52" customHeight="1" s="147">
      <c r="A13" s="204" t="inlineStr">
        <is>
          <t>9000</t>
        </is>
      </c>
      <c r="B13" s="204" t="inlineStr">
        <is>
          <t>9000-11</t>
        </is>
      </c>
      <c r="C13" s="204" t="inlineStr">
        <is>
          <t>철도종합시험운행</t>
        </is>
      </c>
      <c r="D13" s="204" t="inlineStr">
        <is>
          <t>9000-11-12</t>
        </is>
      </c>
      <c r="E13" s="205" t="inlineStr">
        <is>
          <t>9000-11-11</t>
        </is>
      </c>
      <c r="F13" s="205" t="inlineStr">
        <is>
          <t>9000-11-13</t>
        </is>
      </c>
      <c r="G13" s="162" t="inlineStr">
        <is>
          <t>안전관리계획서 수립 및 비상대응체계</t>
        </is>
      </c>
      <c r="H13" s="205" t="inlineStr">
        <is>
          <t>D+80</t>
        </is>
      </c>
      <c r="I13" s="205" t="inlineStr">
        <is>
          <t>안전품질팀</t>
        </is>
      </c>
      <c r="J13" s="163" t="inlineStr">
        <is>
          <t>시운전 전 구간 선로 출입통제, 시험열차 안전통제관 탑승 및 관할 소방·경찰 비상연락망</t>
        </is>
      </c>
      <c r="K13" s="163" t="inlineStr">
        <is>
          <t>1) STEP 1: 34.4km 본선 선로 출입통제 및 물리적 방호벽 설치 (시건장치 및 출입 승인 절차 규정)
2) STEP 2: 시험열차 2인 1조 운행 및 안전통제관 탑승 체계 수립 (무선 교신 및 비상제동 권한 부여함)
3) STEP 3: 관할 소방서·경찰서 24시간 비상 핫라인 구축 (사고 발생 시 5분 이내 골든타임 확보)</t>
        </is>
      </c>
      <c r="L13" s="163" t="inlineStr">
        <is>
          <t>안전관리계획서 수립 및 비상대응체계 결과보고서, 회의록 및 TS 공인 필증</t>
        </is>
      </c>
      <c r="M13" s="163" t="inlineStr">
        <is>
          <t>1) 시험운행 안전관리계획서 수립 및 비상대응체계(9000-9-12)로 시운전 전 기간 중대재해 Zero 체계 구축함.
2) 선로 출입통제 및 소방/경찰 24시간 긴급구조 핫라인 완비함.</t>
        </is>
      </c>
      <c r="N13" s="206">
        <f>HYPERLINK(LEFT(CELL("filename",A1),FIND("[",CELL("filename",A1))-1)&amp;"매뉴얼BODY(집행단계-첨부폴더)v8\11.철도종합시운전\12_시험운행 안전관리계획서 수립 및 비상대응체계\표준서\12_시험운행 안전관리계획서 수립 및 비상대응체계_표준서.html", "👉 [클릭] 표준서 열기 📄")</f>
        <v/>
      </c>
      <c r="O13" s="163" t="inlineStr">
        <is>
          <t>1) STEP 1: 철도종합시험운행 안전관리계획서 수립 및 위험성평가
2) STEP 2: 선로 출입 통제 시스템 및 안전통제관 지정</t>
        </is>
      </c>
      <c r="P13" s="207">
        <f>HYPERLINK(LEFT(CELL("filename",A1),FIND("[",CELL("filename",A1))-1)&amp;"매뉴얼BODY(집행단계-첨부폴더)v8\11.철도종합시운전\12_시험운행 안전관리계획서 수립 및 비상대응체계\수행지침\12_시험운행 안전관리계획서 수립 및 비상대응체계_수행지침.html", "👉 [클릭] 수행지침 열기 📄")</f>
        <v/>
      </c>
      <c r="Q13" s="163" t="inlineStr">
        <is>
          <t>1) 시운전 안전관리계획서 작성 시방 및 위험성평가 및 비상대응 매뉴얼 기준을 100% 충족하였는가?
2) 선로 무단침입 방지 시설 점검 검측 및 불합격 요소를 전면 차단하였는가?</t>
        </is>
      </c>
      <c r="R13" s="208">
        <f>HYPERLINK(LEFT(CELL("filename",A1),FIND("[",CELL("filename",A1))-1)&amp;"매뉴얼BODY(집행단계-첨부폴더)v8\11.철도종합시운전\12_시험운행 안전관리계획서 수립 및 비상대응체계\체크리스트\12_시험운행 안전관리계획서 수립 및 비상대응체계_체크리스트.html", "👉 [클릭] 체크리스트 열기 📄")</f>
        <v/>
      </c>
      <c r="S13" s="205" t="inlineStr">
        <is>
          <t>철도종합시험운행 시행지침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row>
    <row r="14" ht="52" customHeight="1" s="147">
      <c r="A14" s="199" t="inlineStr">
        <is>
          <t>9000</t>
        </is>
      </c>
      <c r="B14" s="199" t="inlineStr">
        <is>
          <t>9000-11</t>
        </is>
      </c>
      <c r="C14" s="199" t="inlineStr">
        <is>
          <t>철도종합시험운행</t>
        </is>
      </c>
      <c r="D14" s="199" t="inlineStr">
        <is>
          <t>9000-11-13</t>
        </is>
      </c>
      <c r="E14" s="200" t="inlineStr">
        <is>
          <t>9000-11-12</t>
        </is>
      </c>
      <c r="F14" s="200" t="inlineStr">
        <is>
          <t>9000-11-14</t>
        </is>
      </c>
      <c r="G14" s="155" t="inlineStr">
        <is>
          <t>사전점검 착수보고</t>
        </is>
      </c>
      <c r="H14" s="200" t="inlineStr">
        <is>
          <t>D+120</t>
        </is>
      </c>
      <c r="I14" s="200" t="inlineStr">
        <is>
          <t>시공사업단</t>
        </is>
      </c>
      <c r="J14" s="156" t="inlineStr">
        <is>
          <t>사전점검 착수보고회(TS) 개최, 12개 분야별 정부 합동점검단 현장 정밀점검 개시</t>
        </is>
      </c>
      <c r="K14" s="156" t="inlineStr">
        <is>
          <t>1) STEP 1: 한국교통안전공단(TS) 합동 사전점검 착수보고회 개최 (12개 분야 점검 일정 및 점검단 확정)
2) STEP 2: 12개 전문 분야별 현장 전수 실사 수검 (노반, 궤도, 건축, 전기, 신호, 통신, 소방 현장 점검함)
3) STEP 3: 일일 점검 회의 및 지적사항 실시간 취합 (지적사항 일일 등록 및 분야별 공유)</t>
        </is>
      </c>
      <c r="L14" s="156" t="inlineStr">
        <is>
          <t>사전점검 착수보고 결과보고서, 회의록 및 TS 공인 필증</t>
        </is>
      </c>
      <c r="M14" s="156" t="inlineStr">
        <is>
          <t>1) 사전점검 착수보고 및 분야별 점검단 가동(9000-9-13)으로 34.4km 전 구간 12개 분야 현장 실사 가동함.
2) TS 합동점검단 100% 현장 검측 및 일일 조치 피드백 체계 확립함.</t>
        </is>
      </c>
      <c r="N14" s="201">
        <f>HYPERLINK(LEFT(CELL("filename",A1),FIND("[",CELL("filename",A1))-1)&amp;"매뉴얼BODY(집행단계-첨부폴더)v8\11.철도종합시운전\13_사전점검 착수보고 및 분야별 점검단 가동\표준서\13_사전점검 착수보고 및 분야별 점검단 가동_표준서.html", "👉 [클릭] 표준서 열기 📄")</f>
        <v/>
      </c>
      <c r="O14" s="156" t="inlineStr">
        <is>
          <t>1) STEP 1: 사전점검 착수보고회(TS) 개최 및 현장 브리핑
2) STEP 2: 12개 분야별 합동점검단 현장 정밀 실사 수행</t>
        </is>
      </c>
      <c r="P14" s="202">
        <f>HYPERLINK(LEFT(CELL("filename",A1),FIND("[",CELL("filename",A1))-1)&amp;"매뉴얼BODY(집행단계-첨부폴더)v8\11.철도종합시운전\13_사전점검 착수보고 및 분야별 점검단 가동\수행지침\13_사전점검 착수보고 및 분야별 점검단 가동_수행지침.html", "👉 [클릭] 수행지침 열기 📄")</f>
        <v/>
      </c>
      <c r="Q14" s="156" t="inlineStr">
        <is>
          <t>1) 사전점검 착수회의 개최 시방 및 TS 주관 착수보고 및 점검일정 확정 기준을 100% 충족하였는가?
2) 12개 분야 합동 현장 점검 검측 및 불합격 요소를 전면 차단하였는가?</t>
        </is>
      </c>
      <c r="R14" s="203">
        <f>HYPERLINK(LEFT(CELL("filename",A1),FIND("[",CELL("filename",A1))-1)&amp;"매뉴얼BODY(집행단계-첨부폴더)v8\11.철도종합시운전\13_사전점검 착수보고 및 분야별 점검단 가동\체크리스트\13_사전점검 착수보고 및 분야별 점검단 가동_체크리스트.html", "👉 [클릭] 체크리스트 열기 📄")</f>
        <v/>
      </c>
      <c r="S14" s="200" t="inlineStr">
        <is>
          <t>철도종합시험운행 시행지침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row>
    <row r="15" ht="52" customHeight="1" s="147">
      <c r="A15" s="204" t="inlineStr">
        <is>
          <t>9000</t>
        </is>
      </c>
      <c r="B15" s="204" t="inlineStr">
        <is>
          <t>9000-11</t>
        </is>
      </c>
      <c r="C15" s="204" t="inlineStr">
        <is>
          <t>철도종합시험운행</t>
        </is>
      </c>
      <c r="D15" s="204" t="inlineStr">
        <is>
          <t>9000-11-14</t>
        </is>
      </c>
      <c r="E15" s="205" t="inlineStr">
        <is>
          <t>9000-11-13</t>
        </is>
      </c>
      <c r="F15" s="205" t="inlineStr">
        <is>
          <t>9000-11-15</t>
        </is>
      </c>
      <c r="G15" s="162" t="inlineStr">
        <is>
          <t>철도시설 기술기준 검토 및 조치계획</t>
        </is>
      </c>
      <c r="H15" s="205" t="inlineStr">
        <is>
          <t>D+130</t>
        </is>
      </c>
      <c r="I15" s="205" t="inlineStr">
        <is>
          <t>시공사업단</t>
        </is>
      </c>
      <c r="J15" s="163" t="inlineStr">
        <is>
          <t>도시철도건설규칙 전 조항 대조, 사전점검 지적사항 1:1 조치계획서 수립</t>
        </is>
      </c>
      <c r="K15" s="163" t="inlineStr">
        <is>
          <t>1) STEP 1: TS 사전점검 지적사항 전수 등록 및 분류 (위험도별 긴급/일반 과제 구분함)
2) STEP 2: 지적사항별 공학적 원인 분석 및 재시공 도면 작성 (설계사·시공사 합동 보강안 도출)
3) STEP 3: 사전점검 지적사항 조치계획서 국토부/TS 제출 (조치 기한 및 책임감리원 검토의견 첨부)</t>
        </is>
      </c>
      <c r="L15" s="163" t="inlineStr">
        <is>
          <t>철도시설 기술기준 검토 및 조치계획 결과보고서, 회의록 및 TS 공인 필증</t>
        </is>
      </c>
      <c r="M15" s="163" t="inlineStr">
        <is>
          <t>1) 철도시설의 기술기준 검토 및 지적사항 조치계획(9000-9-14)으로 지적사항 100% 공학적 원인 규명 완료함.
2) 재시공 및 보강 조치계획서 국토부/TS 정식 제출 완료함.</t>
        </is>
      </c>
      <c r="N15" s="206">
        <f>HYPERLINK(LEFT(CELL("filename",A1),FIND("[",CELL("filename",A1))-1)&amp;"매뉴얼BODY(집행단계-첨부폴더)v8\11.철도종합시운전\14_철도시설의 기술기준 검토 및 지적사항 조치계획\표준서\14_철도시설의 기술기준 검토 및 지적사항 조치계획_표준서.html", "👉 [클릭] 표준서 열기 📄")</f>
        <v/>
      </c>
      <c r="O15" s="163" t="inlineStr">
        <is>
          <t>1) STEP 1: 사전점검 지적사항 전수 등록 및 위험도 분류
2) STEP 2: 공학적 원인 분석 및 재시공/보강 기술 대책 수립</t>
        </is>
      </c>
      <c r="P15" s="207">
        <f>HYPERLINK(LEFT(CELL("filename",A1),FIND("[",CELL("filename",A1))-1)&amp;"매뉴얼BODY(집행단계-첨부폴더)v8\11.철도종합시운전\14_철도시설의 기술기준 검토 및 지적사항 조치계획\수행지침\14_철도시설의 기술기준 검토 및 지적사항 조치계획_수행지침.html", "👉 [클릭] 수행지침 열기 📄")</f>
        <v/>
      </c>
      <c r="Q15" s="163" t="inlineStr">
        <is>
          <t>1) 지적사항 목록 전수 분류 시방 및 구조안전, 전기절연, 신호인터록 등 기준을 100% 충족하였는가?
2) 분야별 원인분석 및 보강안 설계 검측 및 불합격 요소를 전면 차단하였는가?</t>
        </is>
      </c>
      <c r="R15" s="208">
        <f>HYPERLINK(LEFT(CELL("filename",A1),FIND("[",CELL("filename",A1))-1)&amp;"매뉴얼BODY(집행단계-첨부폴더)v8\11.철도종합시운전\14_철도시설의 기술기준 검토 및 지적사항 조치계획\체크리스트\14_철도시설의 기술기준 검토 및 지적사항 조치계획_체크리스트.html", "👉 [클릭] 체크리스트 열기 📄")</f>
        <v/>
      </c>
      <c r="S15" s="205" t="inlineStr">
        <is>
          <t>철도종합시험운행 시행지침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row>
    <row r="16" ht="52" customHeight="1" s="147">
      <c r="A16" s="199" t="inlineStr">
        <is>
          <t>9000</t>
        </is>
      </c>
      <c r="B16" s="199" t="inlineStr">
        <is>
          <t>9000-11</t>
        </is>
      </c>
      <c r="C16" s="199" t="inlineStr">
        <is>
          <t>철도종합시험운행</t>
        </is>
      </c>
      <c r="D16" s="199" t="inlineStr">
        <is>
          <t>9000-11-15</t>
        </is>
      </c>
      <c r="E16" s="200" t="inlineStr">
        <is>
          <t>9000-11-14</t>
        </is>
      </c>
      <c r="F16" s="200" t="inlineStr">
        <is>
          <t>9000-11-16</t>
        </is>
      </c>
      <c r="G16" s="155" t="inlineStr">
        <is>
          <t>사전점검 보완조치 및 국토부 승인</t>
        </is>
      </c>
      <c r="H16" s="200" t="inlineStr">
        <is>
          <t>D+175</t>
        </is>
      </c>
      <c r="I16" s="200" t="inlineStr">
        <is>
          <t>시공사업단</t>
        </is>
      </c>
      <c r="J16" s="156" t="inlineStr">
        <is>
          <t>지적사항 100% 현장 보강 조치 완료, 조치결과보고서 제출 및 국토교통부 적합 승인</t>
        </is>
      </c>
      <c r="K16" s="156" t="inlineStr">
        <is>
          <t>1) STEP 1: 분야별 사전점검 지적사항 현장 보강 공사 완료 (궤도 선형 교정, 정거장 마감 보완 전수 완료)
2) STEP 2: 책임감리원 전수 입회 검측 및 결과보고서 편찬 (전·중·후 사진 및 공인 성적서 편철함)
3) STEP 3: 국토교통부 및 TS 최종 심사 대응 및 승인 공문 접수 (기술기준 적합 및 시설물검증 착수 승인 획득)</t>
        </is>
      </c>
      <c r="L16" s="156" t="inlineStr">
        <is>
          <t>사전점검 보완조치 및 국토부 승인 결과보고서, 회의록 및 TS 공인 필증</t>
        </is>
      </c>
      <c r="M16" s="156" t="inlineStr">
        <is>
          <t>1) 사전점검 보완조치 및 조치결과 국토부 승인(9000-9-15)으로 지적사항 100% 현장 재시공 완결함.
2) 국토교통부 정식 '철도시설 기술기준 적합 승인' 공문 수령 완료함.</t>
        </is>
      </c>
      <c r="N16" s="201">
        <f>HYPERLINK(LEFT(CELL("filename",A1),FIND("[",CELL("filename",A1))-1)&amp;"매뉴얼BODY(집행단계-첨부폴더)v8\11.철도종합시운전\15_사전점검 보완조치 및 조치결과 국토부 승인\표준서\15_사전점검 보완조치 및 조치결과 국토부 승인_표준서.html", "👉 [클릭] 표준서 열기 📄")</f>
        <v/>
      </c>
      <c r="O16" s="156" t="inlineStr">
        <is>
          <t>1) STEP 1: 분야별 사전점검 지적사항 현장 보강 공사 완료
2) STEP 2: 책임감리원 전수 입회 검측 및 결과보고서 편찬</t>
        </is>
      </c>
      <c r="P16" s="202">
        <f>HYPERLINK(LEFT(CELL("filename",A1),FIND("[",CELL("filename",A1))-1)&amp;"매뉴얼BODY(집행단계-첨부폴더)v8\11.철도종합시운전\15_사전점검 보완조치 및 조치결과 국토부 승인\수행지침\15_사전점검 보완조치 및 조치결과 국토부 승인_수행지침.html", "👉 [클릭] 수행지침 열기 📄")</f>
        <v/>
      </c>
      <c r="Q16" s="156" t="inlineStr">
        <is>
          <t>1) 현장 재시공 및 보강 공사 시방 및 설계 변경 및 현장 보강 완료 기준을 100% 충족하였는가?
2) 감리단 합동 검측 및 사진대지 검측 및 불합격 요소를 전면 차단하였는가?</t>
        </is>
      </c>
      <c r="R16" s="203">
        <f>HYPERLINK(LEFT(CELL("filename",A1),FIND("[",CELL("filename",A1))-1)&amp;"매뉴얼BODY(집행단계-첨부폴더)v8\11.철도종합시운전\15_사전점검 보완조치 및 조치결과 국토부 승인\체크리스트\15_사전점검 보완조치 및 조치결과 국토부 승인_체크리스트.html", "👉 [클릭] 체크리스트 열기 📄")</f>
        <v/>
      </c>
      <c r="S16" s="200" t="inlineStr">
        <is>
          <t>철도종합시험운행 시행지침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row>
    <row r="17" ht="52" customHeight="1" s="147">
      <c r="A17" s="204" t="inlineStr">
        <is>
          <t>9000</t>
        </is>
      </c>
      <c r="B17" s="204" t="inlineStr">
        <is>
          <t>9000-11</t>
        </is>
      </c>
      <c r="C17" s="204" t="inlineStr">
        <is>
          <t>철도종합시험운행</t>
        </is>
      </c>
      <c r="D17" s="204" t="inlineStr">
        <is>
          <t>9000-11-16</t>
        </is>
      </c>
      <c r="E17" s="205" t="inlineStr">
        <is>
          <t>9000-11-15</t>
        </is>
      </c>
      <c r="F17" s="205" t="inlineStr">
        <is>
          <t>9000-11-17</t>
        </is>
      </c>
      <c r="G17" s="162" t="inlineStr">
        <is>
          <t>사전점검 종결회의 및 결과보고서 승인</t>
        </is>
      </c>
      <c r="H17" s="205" t="inlineStr">
        <is>
          <t>D+180</t>
        </is>
      </c>
      <c r="I17" s="205" t="inlineStr">
        <is>
          <t>시공사업단</t>
        </is>
      </c>
      <c r="J17" s="163" t="inlineStr">
        <is>
          <t>사전점검 종결보고회(TS) 개최 및 1단계 사전점검 공식 종결 선언</t>
        </is>
      </c>
      <c r="K17" s="163" t="inlineStr">
        <is>
          <t>1) STEP 1: 사전점검 종결회의 안건 브리핑 및 조치 실적 보고 (지적 조치 완료 및 승인 공문 보고함)
2) STEP 2: 점검단 최종 의견 수렴 및 사전점검 합격 판정 (점검단 전원 일치로 적합 판정 의결)
3) STEP 3: 사전점검 종결 서명 날인 및 다음 단계 선언 (종합결과보고서 서명 및 시설물검증 개시 선포)</t>
        </is>
      </c>
      <c r="L17" s="163" t="inlineStr">
        <is>
          <t>사전점검 종결회의 및 결과보고서 승인 결과보고서, 회의록 및 TS 공인 필증</t>
        </is>
      </c>
      <c r="M17" s="163" t="inlineStr">
        <is>
          <t>1) 사전점검 종결회의 및 결과보고서 승인(9000-9-16)으로 1단계 사전점검 공식 종결 및 합격 판정 획득함.
2) TS 점검단 전원 서명 날인 및 2단계 시설물검증시험 개시 선포함.</t>
        </is>
      </c>
      <c r="N17" s="206">
        <f>HYPERLINK(LEFT(CELL("filename",A1),FIND("[",CELL("filename",A1))-1)&amp;"매뉴얼BODY(집행단계-첨부폴더)v8\11.철도종합시운전\16_사전점검 종결회의 및 결과보고서 승인\표준서\16_사전점검 종결회의 및 결과보고서 승인_표준서.html", "👉 [클릭] 표준서 열기 📄")</f>
        <v/>
      </c>
      <c r="O17" s="163" t="inlineStr">
        <is>
          <t>1) STEP 1: 사전점검 종결회의 안건 브리핑 및 조치 실적 보고
2) STEP 2: 점검단 최종 의견 수렴 및 사전점검 합격 판정</t>
        </is>
      </c>
      <c r="P17" s="207">
        <f>HYPERLINK(LEFT(CELL("filename",A1),FIND("[",CELL("filename",A1))-1)&amp;"매뉴얼BODY(집행단계-첨부폴더)v8\11.철도종합시운전\16_사전점검 종결회의 및 결과보고서 승인\수행지침\16_사전점검 종결회의 및 결과보고서 승인_수행지침.html", "👉 [클릭] 수행지침 열기 📄")</f>
        <v/>
      </c>
      <c r="Q17" s="163" t="inlineStr">
        <is>
          <t>1) 사전점검 종결회의 개최 시방 및 TS 주관 종합 결과 브리핑 기준을 100% 충족하였는가?
2) 사전점검 종합보고서 서명 검측 및 불합격 요소를 전면 차단하였는가?</t>
        </is>
      </c>
      <c r="R17" s="208">
        <f>HYPERLINK(LEFT(CELL("filename",A1),FIND("[",CELL("filename",A1))-1)&amp;"매뉴얼BODY(집행단계-첨부폴더)v8\11.철도종합시운전\16_사전점검 종결회의 및 결과보고서 승인\체크리스트\16_사전점검 종결회의 및 결과보고서 승인_체크리스트.html", "👉 [클릭] 체크리스트 열기 📄")</f>
        <v/>
      </c>
      <c r="S17" s="205" t="inlineStr">
        <is>
          <t>철도종합시험운행 시행지침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row>
    <row r="18" ht="52" customHeight="1" s="147">
      <c r="A18" s="199" t="inlineStr">
        <is>
          <t>9000</t>
        </is>
      </c>
      <c r="B18" s="199" t="inlineStr">
        <is>
          <t>9000-11</t>
        </is>
      </c>
      <c r="C18" s="199" t="inlineStr">
        <is>
          <t>철도종합시험운행</t>
        </is>
      </c>
      <c r="D18" s="199" t="inlineStr">
        <is>
          <t>9000-11-17</t>
        </is>
      </c>
      <c r="E18" s="200" t="inlineStr">
        <is>
          <t>9000-11-16</t>
        </is>
      </c>
      <c r="F18" s="200" t="inlineStr">
        <is>
          <t>9000-11-18</t>
        </is>
      </c>
      <c r="G18" s="155" t="inlineStr">
        <is>
          <t>시설물검증시험 착수보고 및 안전교육</t>
        </is>
      </c>
      <c r="H18" s="200" t="inlineStr">
        <is>
          <t>D+185</t>
        </is>
      </c>
      <c r="I18" s="200" t="inlineStr">
        <is>
          <t>개통운영팀</t>
        </is>
      </c>
      <c r="J18" s="156" t="inlineStr">
        <is>
          <t>2단계 시설물검증시험 착수보고회(TS) 및 시험참여자 전원 특별안전교육</t>
        </is>
      </c>
      <c r="K18" s="156" t="inlineStr">
        <is>
          <t>1) STEP 1: 시설물검증시험 착수보고회(TS) 개최 (28개 검증 항목 및 30일간의 시험 스케줄 브리핑)
2) STEP 2: 시험 참여 기관사 및 기술요원 특별 안전교육 (선로 통제, 제한속도, 비상제동 수칙 4시간 교육 이수함)
3) STEP 3: 시설물검증시험 종합상황실 운영 개시 (차량기지 관제실 내 24시간 실시간 모니터링 가동)</t>
        </is>
      </c>
      <c r="L18" s="156" t="inlineStr">
        <is>
          <t>시설물검증시험 착수보고 및 안전교육 결과보고서, 회의록 및 TS 공인 필증</t>
        </is>
      </c>
      <c r="M18" s="156" t="inlineStr">
        <is>
          <t>1) 시설물검증시험 착수보고 및 시험참여자 안전교육(9000-9-17)으로 2단계 시운전 공식 착수함.
2) 시험 참여자 전원 안전교육 100% 이수 및 24시간 시운전 종합상황실 가동 완료함.</t>
        </is>
      </c>
      <c r="N18" s="201">
        <f>HYPERLINK(LEFT(CELL("filename",A1),FIND("[",CELL("filename",A1))-1)&amp;"매뉴얼BODY(집행단계-첨부폴더)v8\11.철도종합시운전\17_시설물검증시험 착수보고 및 시험참여자 안전교육\표준서\17_시설물검증시험 착수보고 및 시험참여자 안전교육_표준서.html", "👉 [클릭] 표준서 열기 📄")</f>
        <v/>
      </c>
      <c r="O18" s="156" t="inlineStr">
        <is>
          <t>1) STEP 1: 시설물검증시험 착수보고회(TS) 개최
2) STEP 2: 시험 참여 기관사 및 기술요원 특별 안전교육</t>
        </is>
      </c>
      <c r="P18" s="202">
        <f>HYPERLINK(LEFT(CELL("filename",A1),FIND("[",CELL("filename",A1))-1)&amp;"매뉴얼BODY(집행단계-첨부폴더)v8\11.철도종합시운전\17_시설물검증시험 착수보고 및 시험참여자 안전교육\수행지침\17_시설물검증시험 착수보고 및 시험참여자 안전교육_수행지침.html", "👉 [클릭] 수행지침 열기 📄")</f>
        <v/>
      </c>
      <c r="Q18" s="156" t="inlineStr">
        <is>
          <t>1) 시설물검증 착수보고회 시방 및 시험 항목, 일정, 조직 보고 기준을 100% 충족하였는가?
2) 시험 참여자 안전교육 검측 및 불합격 요소를 전면 차단하였는가?</t>
        </is>
      </c>
      <c r="R18" s="203">
        <f>HYPERLINK(LEFT(CELL("filename",A1),FIND("[",CELL("filename",A1))-1)&amp;"매뉴얼BODY(집행단계-첨부폴더)v8\11.철도종합시운전\17_시설물검증시험 착수보고 및 시험참여자 안전교육\체크리스트\17_시설물검증시험 착수보고 및 시험참여자 안전교육_체크리스트.html", "👉 [클릭] 체크리스트 열기 📄")</f>
        <v/>
      </c>
      <c r="S18" s="200" t="inlineStr">
        <is>
          <t>철도종합시험운행 시행지침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row>
    <row r="19" ht="52" customHeight="1" s="147">
      <c r="A19" s="204" t="inlineStr">
        <is>
          <t>9000</t>
        </is>
      </c>
      <c r="B19" s="204" t="inlineStr">
        <is>
          <t>9000-11</t>
        </is>
      </c>
      <c r="C19" s="204" t="inlineStr">
        <is>
          <t>철도종합시험운행</t>
        </is>
      </c>
      <c r="D19" s="204" t="inlineStr">
        <is>
          <t>9000-11-18</t>
        </is>
      </c>
      <c r="E19" s="205" t="inlineStr">
        <is>
          <t>9000-11-17</t>
        </is>
      </c>
      <c r="F19" s="205" t="inlineStr">
        <is>
          <t>9000-11-19</t>
        </is>
      </c>
      <c r="G19" s="162" t="inlineStr">
        <is>
          <t>시험열차 투입 및 속도별 연동시험</t>
        </is>
      </c>
      <c r="H19" s="205" t="inlineStr">
        <is>
          <t>D+190</t>
        </is>
      </c>
      <c r="I19" s="205" t="inlineStr">
        <is>
          <t>개통운영팀</t>
        </is>
      </c>
      <c r="J19" s="163" t="inlineStr">
        <is>
          <t>본선 34.4km 시험열차 투입, 속도별(10~70km/h) 28개 항목 시설물 연동 성능 검증</t>
        </is>
      </c>
      <c r="K19" s="163" t="inlineStr">
        <is>
          <t>1) STEP 1: 속도 단계별 주행시험 계획 및 열차 편성 (10km/h 저속부터 최고 70km/h까지 단계별 증속 주행)
2) STEP 2: 28개 핵심 검증 항목 실시간 계측 데이터 취득 (윤중/횡압, 급속충전 아크, ATP, 승차감 수집함)
3) STEP 3: 비상제동 거리 및 정위치 정차 정밀도 검증 (70km/h 제동거리 160m 이내 및 정위치 ±300mm 입증)</t>
        </is>
      </c>
      <c r="L19" s="163" t="inlineStr">
        <is>
          <t>시험열차 투입 및 속도별 연동시험 결과보고서, 회의록 및 TS 공인 필증</t>
        </is>
      </c>
      <c r="M19" s="163" t="inlineStr">
        <is>
          <t>1) 시험열차 투입계획 및 본선 속도별 연동 주행시험(9000-9-18)으로 28개 E&amp;M 연동 항목 100% 적합 입증함.
2) 법정 비상제동거리(≤160m) 및 승강장 정위치 정차(±300mm) 완벽 충족함.</t>
        </is>
      </c>
      <c r="N19" s="206">
        <f>HYPERLINK(LEFT(CELL("filename",A1),FIND("[",CELL("filename",A1))-1)&amp;"매뉴얼BODY(집행단계-첨부폴더)v8\11.철도종합시운전\18_시험열차 투입계획 및 본선 속도별 연동 주행시험\표준서\18_시험열차 투입계획 및 본선 속도별 연동 주행시험_표준서.html", "👉 [클릭] 표준서 열기 📄")</f>
        <v/>
      </c>
      <c r="O19" s="163" t="inlineStr">
        <is>
          <t>1) STEP 1: 속도 단계별 주행시험 계획 및 열차 편성
2) STEP 2: 28개 핵심 검증 항목 실시간 계측 데이터 취득</t>
        </is>
      </c>
      <c r="P19" s="207">
        <f>HYPERLINK(LEFT(CELL("filename",A1),FIND("[",CELL("filename",A1))-1)&amp;"매뉴얼BODY(집행단계-첨부폴더)v8\11.철도종합시운전\18_시험열차 투입계획 및 본선 속도별 연동 주행시험\수행지침\18_시험열차 투입계획 및 본선 속도별 연동 주행시험_수행지침.html", "👉 [클릭] 수행지침 열기 📄")</f>
        <v/>
      </c>
      <c r="Q19" s="163" t="inlineStr">
        <is>
          <t>1) 저속 주행시험(10~30km/h) 시방 및 건축한계, 레일 조인트 통과 기준을 100% 충족하였는가?
2) 중속 주행시험(30~50km/h) 검측 및 불합격 요소를 전면 차단하였는가?</t>
        </is>
      </c>
      <c r="R19" s="208">
        <f>HYPERLINK(LEFT(CELL("filename",A1),FIND("[",CELL("filename",A1))-1)&amp;"매뉴얼BODY(집행단계-첨부폴더)v8\11.철도종합시운전\18_시험열차 투입계획 및 본선 속도별 연동 주행시험\체크리스트\18_시험열차 투입계획 및 본선 속도별 연동 주행시험_체크리스트.html", "👉 [클릭] 체크리스트 열기 📄")</f>
        <v/>
      </c>
      <c r="S19" s="205" t="inlineStr">
        <is>
          <t>철도종합시험운행 시행지침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row>
    <row r="20" ht="52" customHeight="1" s="147">
      <c r="A20" s="199" t="inlineStr">
        <is>
          <t>9000</t>
        </is>
      </c>
      <c r="B20" s="199" t="inlineStr">
        <is>
          <t>9000-11</t>
        </is>
      </c>
      <c r="C20" s="199" t="inlineStr">
        <is>
          <t>철도종합시험운행</t>
        </is>
      </c>
      <c r="D20" s="199" t="inlineStr">
        <is>
          <t>9000-11-19</t>
        </is>
      </c>
      <c r="E20" s="200" t="inlineStr">
        <is>
          <t>9000-11-18</t>
        </is>
      </c>
      <c r="F20" s="200" t="inlineStr">
        <is>
          <t>9000-11-20</t>
        </is>
      </c>
      <c r="G20" s="155" t="inlineStr">
        <is>
          <t>시설물검증시험 중간점검 및 장애조치</t>
        </is>
      </c>
      <c r="H20" s="200" t="inlineStr">
        <is>
          <t>D+195</t>
        </is>
      </c>
      <c r="I20" s="200" t="inlineStr">
        <is>
          <t>개통운영팀</t>
        </is>
      </c>
      <c r="J20" s="156" t="inlineStr">
        <is>
          <t>시설물검증시험 50% 시점 중간점검, 주행 중 발생 결함 및 데이터 오차 완벽 조치</t>
        </is>
      </c>
      <c r="K20" s="156" t="inlineStr">
        <is>
          <t>1) STEP 1: 시설물검증시험 전반부 계측 데이터 종합 평가 (10~50km/h 계측 센서 데이터 정밀 분석)
2) STEP 2: 도출된 미비점 및 장애 원인 공학적 분석 (곡선부 레일 연마, LTE-R 지향각 및 SW 파라미터 튜닝함)
3) STEP 3: 보완 항목 재시험 실시 및 중간보고서 승인 (70km/h 재주행 시험 무결점 확인 및 중간 승인 획득)</t>
        </is>
      </c>
      <c r="L20" s="156" t="inlineStr">
        <is>
          <t>시설물검증시험 중간점검 및 장애조치 결과보고서, 회의록 및 TS 공인 필증</t>
        </is>
      </c>
      <c r="M20" s="156" t="inlineStr">
        <is>
          <t>1) 시설물검증시험 중간점검 및 장애조치 회의(9000-9-19)로 전반부 계측 데이터 오차 100% 튜닝 완결함.
2) 보완 항목 재시험 합격 및 공기 지연 리스크 Zero 달성함.</t>
        </is>
      </c>
      <c r="N20" s="201">
        <f>HYPERLINK(LEFT(CELL("filename",A1),FIND("[",CELL("filename",A1))-1)&amp;"매뉴얼BODY(집행단계-첨부폴더)v8\11.철도종합시운전\19_시설물검증시험 중간점검 및 장애조치 회의\표준서\19_시설물검증시험 중간점검 및 장애조치 회의_표준서.html", "👉 [클릭] 표준서 열기 📄")</f>
        <v/>
      </c>
      <c r="O20" s="156" t="inlineStr">
        <is>
          <t>1) STEP 1: 시설물검증시험 전반부 계측 데이터 종합 평가
2) STEP 2: 도출된 미비점 및 장애 원인 공학적 분석</t>
        </is>
      </c>
      <c r="P20" s="202">
        <f>HYPERLINK(LEFT(CELL("filename",A1),FIND("[",CELL("filename",A1))-1)&amp;"매뉴얼BODY(집행단계-첨부폴더)v8\11.철도종합시운전\19_시설물검증시험 중간점검 및 장애조치 회의\수행지침\19_시설물검증시험 중간점검 및 장애조치 회의_수행지침.html", "👉 [클릭] 수행지침 열기 📄")</f>
        <v/>
      </c>
      <c r="Q20" s="156" t="inlineStr">
        <is>
          <t>1) 중간 계측 데이터 종합 분석 시방 및 속도별 28개 항목 데이터 검증 기준을 100% 충족하였는가?
2) 결함 및 이상 징후 분석 검측 및 불합격 요소를 전면 차단하였는가?</t>
        </is>
      </c>
      <c r="R20" s="203">
        <f>HYPERLINK(LEFT(CELL("filename",A1),FIND("[",CELL("filename",A1))-1)&amp;"매뉴얼BODY(집행단계-첨부폴더)v8\11.철도종합시운전\19_시설물검증시험 중간점검 및 장애조치 회의\체크리스트\19_시설물검증시험 중간점검 및 장애조치 회의_체크리스트.html", "👉 [클릭] 체크리스트 열기 📄")</f>
        <v/>
      </c>
      <c r="S20" s="200" t="inlineStr">
        <is>
          <t>철도종합시험운행 시행지침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row>
    <row r="21" ht="52" customHeight="1" s="147">
      <c r="A21" s="204" t="inlineStr">
        <is>
          <t>9000</t>
        </is>
      </c>
      <c r="B21" s="204" t="inlineStr">
        <is>
          <t>9000-11</t>
        </is>
      </c>
      <c r="C21" s="204" t="inlineStr">
        <is>
          <t>철도종합시험운행</t>
        </is>
      </c>
      <c r="D21" s="204" t="inlineStr">
        <is>
          <t>9000-11-20</t>
        </is>
      </c>
      <c r="E21" s="205" t="inlineStr">
        <is>
          <t>9000-11-19</t>
        </is>
      </c>
      <c r="F21" s="205" t="inlineStr">
        <is>
          <t>9000-11-21</t>
        </is>
      </c>
      <c r="G21" s="162" t="inlineStr">
        <is>
          <t>시설물검증시험 종결회의 및 결과 승인</t>
        </is>
      </c>
      <c r="H21" s="205" t="inlineStr">
        <is>
          <t>D+205</t>
        </is>
      </c>
      <c r="I21" s="205" t="inlineStr">
        <is>
          <t>시공사업단</t>
        </is>
      </c>
      <c r="J21" s="163" t="inlineStr">
        <is>
          <t>시설물검증시험 종결보고회(TS), 28개 항목 전수 합격 판정 및 결과보고서 승인 획득</t>
        </is>
      </c>
      <c r="K21" s="163" t="inlineStr">
        <is>
          <t>1) STEP 1: 시설물검증시험 28개 항목 최종 성적서 집대성 (궤도, 전력, 신호, 통신, PSD 전 성적서 편철)
2) STEP 2: TS 주관 시설물검증시험 종결 심의 회의 대응 (심사위원단 질의응답 거쳐 전 항목 적합 판정 도출함)
3) STEP 3: 시설물검증시험 결과보고서 정식 획득 및 다음 단계 진입 (TS 결과보고서 및 영업시운전 착수 승인 수령)</t>
        </is>
      </c>
      <c r="L21" s="163" t="inlineStr">
        <is>
          <t>시설물검증시험 종결회의 및 결과 승인 결과보고서, 회의록 및 TS 공인 필증</t>
        </is>
      </c>
      <c r="M21" s="163" t="inlineStr">
        <is>
          <t>1) 시설물검증시험 종결회의 및 결과보고서 획득(9000-9-20)으로 2단계 시설물검증 전 항목 100% 공인 합격함.
2) TS 공인 결과보고서 교부 및 3단계 영업시운전 진입 승인 완료함.</t>
        </is>
      </c>
      <c r="N21" s="206">
        <f>HYPERLINK(LEFT(CELL("filename",A1),FIND("[",CELL("filename",A1))-1)&amp;"매뉴얼BODY(집행단계-첨부폴더)v8\11.철도종합시운전\20_시설물검증시험 종결회의 및 결과보고서 획득\표준서\20_시설물검증시험 종결회의 및 결과보고서 획득_표준서.html", "👉 [클릭] 표준서 열기 📄")</f>
        <v/>
      </c>
      <c r="O21" s="163" t="inlineStr">
        <is>
          <t>1) STEP 1: 시설물검증시험 28개 항목 최종 성적서 집대성
2) STEP 2: TS 주관 시설물검증시험 종결 심의 회의 대응</t>
        </is>
      </c>
      <c r="P21" s="207">
        <f>HYPERLINK(LEFT(CELL("filename",A1),FIND("[",CELL("filename",A1))-1)&amp;"매뉴얼BODY(집행단계-첨부폴더)v8\11.철도종합시운전\20_시설물검증시험 종결회의 및 결과보고서 획득\수행지침\20_시설물검증시험 종결회의 및 결과보고서 획득_수행지침.html", "👉 [클릭] 수행지침 열기 📄")</f>
        <v/>
      </c>
      <c r="Q21" s="163" t="inlineStr">
        <is>
          <t>1) 시설물검증시험 종결회의 시방 및 TS 주관 최종 결과 심의 기준을 100% 충족하였는가?
2) 공인 결과보고서 편찬 검측 및 불합격 요소를 전면 차단하였는가?</t>
        </is>
      </c>
      <c r="R21" s="208">
        <f>HYPERLINK(LEFT(CELL("filename",A1),FIND("[",CELL("filename",A1))-1)&amp;"매뉴얼BODY(집행단계-첨부폴더)v8\11.철도종합시운전\20_시설물검증시험 종결회의 및 결과보고서 획득\체크리스트\20_시설물검증시험 종결회의 및 결과보고서 획득_체크리스트.html", "👉 [클릭] 체크리스트 열기 📄")</f>
        <v/>
      </c>
      <c r="S21" s="205" t="inlineStr">
        <is>
          <t>철도종합시험운행 시행지침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row>
    <row r="22" ht="52" customHeight="1" s="147">
      <c r="A22" s="199" t="inlineStr">
        <is>
          <t>9000</t>
        </is>
      </c>
      <c r="B22" s="199" t="inlineStr">
        <is>
          <t>9000-11</t>
        </is>
      </c>
      <c r="C22" s="199" t="inlineStr">
        <is>
          <t>철도종합시험운행</t>
        </is>
      </c>
      <c r="D22" s="199" t="inlineStr">
        <is>
          <t>9000-11-21</t>
        </is>
      </c>
      <c r="E22" s="200" t="inlineStr">
        <is>
          <t>9000-11-20</t>
        </is>
      </c>
      <c r="F22" s="200" t="inlineStr">
        <is>
          <t>9000-11-22</t>
        </is>
      </c>
      <c r="G22" s="155" t="inlineStr">
        <is>
          <t>영업시운전 계획 수립 및 착수보고</t>
        </is>
      </c>
      <c r="H22" s="200" t="inlineStr">
        <is>
          <t>D+210</t>
        </is>
      </c>
      <c r="I22" s="200" t="inlineStr">
        <is>
          <t>개통운영팀</t>
        </is>
      </c>
      <c r="J22" s="156" t="inlineStr">
        <is>
          <t>3단계 영업시운전 계획서 수립, TS 착수보고회 개최 및 실제 영업 다이아 운행 체계 개시</t>
        </is>
      </c>
      <c r="K22" s="156" t="inlineStr">
        <is>
          <t>1) STEP 1: 실제 영업 다이아(시각표) 및 배차간격 편성 (첨두 RH 4분, 평시 NH 8분, 1일 120회 다이아 확정)
2) STEP 2: 운영사(화성도시공사) 종사자 실전 투입 및 숙달 계획 (기관사, 관제사, 역무원 실제 교대조 전면 투입함)
3) STEP 3: 영업시운전 착수보고회(TS) 개최 및 시험 개시 (TS 및 지자체 합동 착수보고 후 30일 시운전 개시)</t>
        </is>
      </c>
      <c r="L22" s="156" t="inlineStr">
        <is>
          <t>영업시운전 계획 수립 및 착수보고 결과보고서, 회의록 및 TS 공인 필증</t>
        </is>
      </c>
      <c r="M22" s="156" t="inlineStr">
        <is>
          <t>1) 영업시운전 계획 수립 및 착수보고(TS)(9000-9-21)로 실제 개통 다이아(120회/일) 및 인력 투입 확정함.
2) TS 착수보고회 완료 및 30일간의 실전 영업시운전 본격 개시함.</t>
        </is>
      </c>
      <c r="N22" s="201">
        <f>HYPERLINK(LEFT(CELL("filename",A1),FIND("[",CELL("filename",A1))-1)&amp;"매뉴얼BODY(집행단계-첨부폴더)v8\11.철도종합시운전\21_영업시운전 계획 수립 및 착수보고(TS)\표준서\21_영업시운전 계획 수립 및 착수보고(TS)_표준서.html", "👉 [클릭] 표준서 열기 📄")</f>
        <v/>
      </c>
      <c r="O22" s="156" t="inlineStr">
        <is>
          <t>1) STEP 1: 실제 영업 다이아(시각표) 및 배차간격 편성
2) STEP 2: 운영사(화성도시공사) 종사자 실전 투입 및 숙달 계획</t>
        </is>
      </c>
      <c r="P22" s="202">
        <f>HYPERLINK(LEFT(CELL("filename",A1),FIND("[",CELL("filename",A1))-1)&amp;"매뉴얼BODY(집행단계-첨부폴더)v8\11.철도종합시운전\21_영업시운전 계획 수립 및 착수보고(TS)\수행지침\21_영업시운전 계획 수립 및 착수보고(TS)_수행지침.html", "👉 [클릭] 수행지침 열기 📄")</f>
        <v/>
      </c>
      <c r="Q22" s="156" t="inlineStr">
        <is>
          <t>1) 영업시운전 종합계획서 편찬 시방 및 열차다이아, 인력배치, 비상훈련 기준을 100% 충족하였는가?
2) 영업시운전 착수보고회 개최 검측 및 불합격 요소를 전면 차단하였는가?</t>
        </is>
      </c>
      <c r="R22" s="203">
        <f>HYPERLINK(LEFT(CELL("filename",A1),FIND("[",CELL("filename",A1))-1)&amp;"매뉴얼BODY(집행단계-첨부폴더)v8\11.철도종합시운전\21_영업시운전 계획 수립 및 착수보고(TS)\체크리스트\21_영업시운전 계획 수립 및 착수보고(TS)_체크리스트.html", "👉 [클릭] 체크리스트 열기 📄")</f>
        <v/>
      </c>
      <c r="S22" s="200" t="inlineStr">
        <is>
          <t>철도종합시험운행 시행지침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row>
    <row r="23" ht="52" customHeight="1" s="147">
      <c r="A23" s="204" t="inlineStr">
        <is>
          <t>9000</t>
        </is>
      </c>
      <c r="B23" s="204" t="inlineStr">
        <is>
          <t>9000-11</t>
        </is>
      </c>
      <c r="C23" s="204" t="inlineStr">
        <is>
          <t>철도종합시험운행</t>
        </is>
      </c>
      <c r="D23" s="204" t="inlineStr">
        <is>
          <t>9000-11-22</t>
        </is>
      </c>
      <c r="E23" s="205" t="inlineStr">
        <is>
          <t>9000-11-21</t>
        </is>
      </c>
      <c r="F23" s="205" t="inlineStr">
        <is>
          <t>9000-11-23</t>
        </is>
      </c>
      <c r="G23" s="162" t="inlineStr">
        <is>
          <t>영업 다이아 운행 및 비상대응훈련</t>
        </is>
      </c>
      <c r="H23" s="205" t="inlineStr">
        <is>
          <t>D+215</t>
        </is>
      </c>
      <c r="I23" s="205" t="inlineStr">
        <is>
          <t>화성도시공사</t>
        </is>
      </c>
      <c r="J23" s="163" t="inlineStr">
        <is>
          <t>30일간 무사고 영업 다이아 주행(정시율 ≥ 99%), 화재·탈선·단전 8대 비상대응훈련</t>
        </is>
      </c>
      <c r="K23" s="163" t="inlineStr">
        <is>
          <t>1) STEP 1: 30일간 실전 영업 다이아 연속 무사고 운행 (매일 05:30 첫차~익일 00:30 막차 실제 다이아 주행)
2) STEP 2: 열차 운행 정시율(≥ 99%) 및 고장률(Zero) 관리 (출발/도착 1초 단위 기록 및 정시율 99.8% 달성함)
3) STEP 3: 소방·경찰·지자체 합동 8대 비상대응 실전 훈련 (차내 화재, 탈선, 정전 등 5분 골든타임 입증)</t>
        </is>
      </c>
      <c r="L23" s="163" t="inlineStr">
        <is>
          <t>영업 다이아 운행 및 비상대응훈련 결과보고서, 회의록 및 TS 공인 필증</t>
        </is>
      </c>
      <c r="M23" s="163" t="inlineStr">
        <is>
          <t>1) 실제 열차운행 다이아 기반 영업시운전 및 비상훈련(9000-9-22)으로 운행 정시율 99.8% 달성함.
2) 총 3,600회 무사고 주행 완수 및 8대 비상대응 실전훈련 100% 합격함.</t>
        </is>
      </c>
      <c r="N23" s="206">
        <f>HYPERLINK(LEFT(CELL("filename",A1),FIND("[",CELL("filename",A1))-1)&amp;"매뉴얼BODY(집행단계-첨부폴더)v8\11.철도종합시운전\22_실제 열차운행 다이아 기반 영업시운전 및 비상훈련\표준서\22_실제 열차운행 다이아 기반 영업시운전 및 비상훈련_표준서.html", "👉 [클릭] 표준서 열기 📄")</f>
        <v/>
      </c>
      <c r="O23" s="163" t="inlineStr">
        <is>
          <t>1) STEP 1: 30일간 실전 영업 다이아 연속 무사고 운행
2) STEP 2: 열차 운행 정시율(≥ 99%) 및 고장률(Zero) 관리</t>
        </is>
      </c>
      <c r="P23" s="207">
        <f>HYPERLINK(LEFT(CELL("filename",A1),FIND("[",CELL("filename",A1))-1)&amp;"매뉴얼BODY(집행단계-첨부폴더)v8\11.철도종합시운전\22_실제 열차운행 다이아 기반 영업시운전 및 비상훈련\수행지침\22_실제 열차운행 다이아 기반 영업시운전 및 비상훈련_수행지침.html", "👉 [클릭] 수행지침 열기 📄")</f>
        <v/>
      </c>
      <c r="Q23" s="163" t="inlineStr">
        <is>
          <t>1) 영업 다이아 연속 운행 시방 및 1일 120회, 30일간 3,600회 주행 기준을 100% 충족하였는가?
2) 열차 정시율 및 지연 분석 검측 및 불합격 요소를 전면 차단하였는가?</t>
        </is>
      </c>
      <c r="R23" s="208">
        <f>HYPERLINK(LEFT(CELL("filename",A1),FIND("[",CELL("filename",A1))-1)&amp;"매뉴얼BODY(집행단계-첨부폴더)v8\11.철도종합시운전\22_실제 열차운행 다이아 기반 영업시운전 및 비상훈련\체크리스트\22_실제 열차운행 다이아 기반 영업시운전 및 비상훈련_체크리스트.html", "👉 [클릭] 체크리스트 열기 📄")</f>
        <v/>
      </c>
      <c r="S23" s="205" t="inlineStr">
        <is>
          <t>철도종합시험운행 시행지침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row>
    <row r="24" ht="52" customHeight="1" s="147">
      <c r="A24" s="199" t="inlineStr">
        <is>
          <t>9000</t>
        </is>
      </c>
      <c r="B24" s="199" t="inlineStr">
        <is>
          <t>9000-11</t>
        </is>
      </c>
      <c r="C24" s="199" t="inlineStr">
        <is>
          <t>철도종합시험운행</t>
        </is>
      </c>
      <c r="D24" s="199" t="inlineStr">
        <is>
          <t>9000-11-23</t>
        </is>
      </c>
      <c r="E24" s="200" t="inlineStr">
        <is>
          <t>9000-11-22</t>
        </is>
      </c>
      <c r="F24" s="200" t="inlineStr">
        <is>
          <t>9000-11-24</t>
        </is>
      </c>
      <c r="G24" s="155" t="inlineStr">
        <is>
          <t>영업시운전 중간점검 및 조치</t>
        </is>
      </c>
      <c r="H24" s="200" t="inlineStr">
        <is>
          <t>D+220</t>
        </is>
      </c>
      <c r="I24" s="200" t="inlineStr">
        <is>
          <t>개통운영팀</t>
        </is>
      </c>
      <c r="J24" s="156" t="inlineStr">
        <is>
          <t>영업시운전 15일 차 중간점검 회의, 운행 중 발생 이례상황 및 설비 오작동 100% 조치</t>
        </is>
      </c>
      <c r="K24" s="156" t="inlineStr">
        <is>
          <t>1) STEP 1: 15일간 누적 영업시운전 데이터 종합 분석 (총 1,800회 주행 데이터 및 승강장 정차 시간 분석)
2) STEP 2: 운전 취급 및 승강장 설비 미세 이상 징후 조치 (도어 센서 민감도, 안내방송 음압, 교차로 신호 최적화함)
3) STEP 3: 영업시운전 중간점검 보고서 편찬 및 승인 (조치 결과 포함 중간보고서 제출 및 TS 승인 획득)</t>
        </is>
      </c>
      <c r="L24" s="156" t="inlineStr">
        <is>
          <t>영업시운전 중간점검 및 조치 결과보고서, 회의록 및 TS 공인 필증</t>
        </is>
      </c>
      <c r="M24" s="156" t="inlineStr">
        <is>
          <t>1) 영업시운전 중간점검 및 조치(9000-9-23)로 15일간 누적 운행 데이터 분석 및 미세 결함 100% 조치 완료함.
2) TS 중간 평가 적합 판정 획득 및 후반부 영업 운행 연속성 확보함.</t>
        </is>
      </c>
      <c r="N24" s="201">
        <f>HYPERLINK(LEFT(CELL("filename",A1),FIND("[",CELL("filename",A1))-1)&amp;"매뉴얼BODY(집행단계-첨부폴더)v8\11.철도종합시운전\23_영업시운전 중간점검 및 이례상황 조치결과 검토\표준서\23_영업시운전 중간점검 및 이례상황 조치결과 검토_표준서.html", "👉 [클릭] 표준서 열기 📄")</f>
        <v/>
      </c>
      <c r="O24" s="156" t="inlineStr">
        <is>
          <t>1) STEP 1: 15일간 누적 영업시운전 데이터 종합 분석
2) STEP 2: 운전 취급 및 승강장 설비 미세 이상 징후 조치</t>
        </is>
      </c>
      <c r="P24" s="202">
        <f>HYPERLINK(LEFT(CELL("filename",A1),FIND("[",CELL("filename",A1))-1)&amp;"매뉴얼BODY(집행단계-첨부폴더)v8\11.철도종합시운전\23_영업시운전 중간점검 및 이례상황 조치결과 검토\수행지침\23_영업시운전 중간점검 및 이례상황 조치결과 검토_수행지침.html", "👉 [클릭] 수행지침 열기 📄")</f>
        <v/>
      </c>
      <c r="Q24" s="156" t="inlineStr">
        <is>
          <t>1) 영업시운전 15일 누적 데이터 분석 시방 및 운행 횟수, 정시율, 전력소비량 기준을 100% 충족하였는가?
2) 이례상황 및 미세 오류 분석 검측 및 불합격 요소를 전면 차단하였는가?</t>
        </is>
      </c>
      <c r="R24" s="203">
        <f>HYPERLINK(LEFT(CELL("filename",A1),FIND("[",CELL("filename",A1))-1)&amp;"매뉴얼BODY(집행단계-첨부폴더)v8\11.철도종합시운전\23_영업시운전 중간점검 및 이례상황 조치결과 검토\체크리스트\23_영업시운전 중간점검 및 이례상황 조치결과 검토_체크리스트.html", "👉 [클릭] 체크리스트 열기 📄")</f>
        <v/>
      </c>
      <c r="S24" s="200" t="inlineStr">
        <is>
          <t>철도종합시험운행 시행지침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row>
    <row r="25" ht="52" customHeight="1" s="147">
      <c r="A25" s="204" t="inlineStr">
        <is>
          <t>9000</t>
        </is>
      </c>
      <c r="B25" s="204" t="inlineStr">
        <is>
          <t>9000-11</t>
        </is>
      </c>
      <c r="C25" s="204" t="inlineStr">
        <is>
          <t>철도종합시험운행</t>
        </is>
      </c>
      <c r="D25" s="204" t="inlineStr">
        <is>
          <t>9000-11-24</t>
        </is>
      </c>
      <c r="E25" s="205" t="inlineStr">
        <is>
          <t>9000-11-23</t>
        </is>
      </c>
      <c r="F25" s="205" t="inlineStr">
        <is>
          <t>9000-11-25</t>
        </is>
      </c>
      <c r="G25" s="162" t="inlineStr">
        <is>
          <t>영업시운전 종결회의 및 결과보고서 승인</t>
        </is>
      </c>
      <c r="H25" s="205" t="inlineStr">
        <is>
          <t>D+225</t>
        </is>
      </c>
      <c r="I25" s="205" t="inlineStr">
        <is>
          <t>시공사업단</t>
        </is>
      </c>
      <c r="J25" s="163" t="inlineStr">
        <is>
          <t>영업시운전 최종 종결보고회(TS), 3단계 종합시험운행 전 과정 완벽 합격 판정</t>
        </is>
      </c>
      <c r="K25" s="163" t="inlineStr">
        <is>
          <t>1) STEP 1: 영업시운전 30일간 전 운행 실적 종합 집계 (총 주행거리, 정시 운행률, 비상훈련 성과 결과보고서 편찬)
2) STEP 2: TS 합동 영업시운전 종결 심의 회의 대응 (심사위원단 최종 심의 거쳐 무결점 합격 의결함)
3) STEP 3: 영업시운전 결과보고서 승인 및 종결 선언 (공인 결과보고서 수령 및 3단계 종합시험운행 완결 선포)</t>
        </is>
      </c>
      <c r="L25" s="163" t="inlineStr">
        <is>
          <t>영업시운전 종결회의 및 결과보고서 승인 결과보고서, 회의록 및 TS 공인 필증</t>
        </is>
      </c>
      <c r="M25" s="163" t="inlineStr">
        <is>
          <t>1) 영업시운전 종결회의 및 결과보고서 승인(9000-9-24)으로 3단계 철도종합시험운행 전 과정 100% 합격 판정 획득함.
2) TS 공인 결과보고서 승인 완료 및 국토부 영업개통 승인 신청 준비 완료함.</t>
        </is>
      </c>
      <c r="N25" s="206">
        <f>HYPERLINK(LEFT(CELL("filename",A1),FIND("[",CELL("filename",A1))-1)&amp;"매뉴얼BODY(집행단계-첨부폴더)v8\11.철도종합시운전\24_영업시운전 종결회의 및 결과보고서 승인\표준서\24_영업시운전 종결회의 및 결과보고서 승인_표준서.html", "👉 [클릭] 표준서 열기 📄")</f>
        <v/>
      </c>
      <c r="O25" s="163" t="inlineStr">
        <is>
          <t>1) STEP 1: 영업시운전 30일간 전 운행 실적 종합 집계
2) STEP 2: TS 합동 영업시운전 종결 심의 회의 대응</t>
        </is>
      </c>
      <c r="P25" s="207">
        <f>HYPERLINK(LEFT(CELL("filename",A1),FIND("[",CELL("filename",A1))-1)&amp;"매뉴얼BODY(집행단계-첨부폴더)v8\11.철도종합시운전\24_영업시운전 종결회의 및 결과보고서 승인\수행지침\24_영업시운전 종결회의 및 결과보고서 승인_수행지침.html", "👉 [클릭] 수행지침 열기 📄")</f>
        <v/>
      </c>
      <c r="Q25" s="163" t="inlineStr">
        <is>
          <t>1) 영업시운전 종결회의 개최 시방 및 TS 주관 종합 평가 보고 기준을 100% 충족하였는가?
2) 영업시운전 결과보고서 편찬 검측 및 불합격 요소를 전면 차단하였는가?</t>
        </is>
      </c>
      <c r="R25" s="208">
        <f>HYPERLINK(LEFT(CELL("filename",A1),FIND("[",CELL("filename",A1))-1)&amp;"매뉴얼BODY(집행단계-첨부폴더)v8\11.철도종합시운전\24_영업시운전 종결회의 및 결과보고서 승인\체크리스트\24_영업시운전 종결회의 및 결과보고서 승인_체크리스트.html", "👉 [클릭] 체크리스트 열기 📄")</f>
        <v/>
      </c>
      <c r="S25" s="205" t="inlineStr">
        <is>
          <t>철도종합시험운행 시행지침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row>
    <row r="26" ht="52" customHeight="1" s="147">
      <c r="A26" s="199" t="inlineStr">
        <is>
          <t>9000</t>
        </is>
      </c>
      <c r="B26" s="199" t="inlineStr">
        <is>
          <t>9000-11</t>
        </is>
      </c>
      <c r="C26" s="199" t="inlineStr">
        <is>
          <t>철도종합시험운행</t>
        </is>
      </c>
      <c r="D26" s="199" t="inlineStr">
        <is>
          <t>9000-11-25</t>
        </is>
      </c>
      <c r="E26" s="200" t="inlineStr">
        <is>
          <t>9000-11-24</t>
        </is>
      </c>
      <c r="F26" s="200" t="inlineStr">
        <is>
          <t>9000-11-26</t>
        </is>
      </c>
      <c r="G26" s="155" t="inlineStr">
        <is>
          <t>철도종합시험운행 종합결과보고서 제출</t>
        </is>
      </c>
      <c r="H26" s="200" t="inlineStr">
        <is>
          <t>D+230</t>
        </is>
      </c>
      <c r="I26" s="200" t="inlineStr">
        <is>
          <t>시공사업단</t>
        </is>
      </c>
      <c r="J26" s="156" t="inlineStr">
        <is>
          <t>사전점검·시설물검증·영업시운전 3단계 총괄 종합결과보고서 국토교통부 제출</t>
        </is>
      </c>
      <c r="K26" s="156" t="inlineStr">
        <is>
          <t>1) STEP 1: 사전점검·시설물검증·영업시운전 성과 종합 편철 (3단계 전 시험 과정 측정 데이터 및 성적서 마스터 바인딩)
2) STEP 2: 총괄사업단장 및 책임감리원 최종 서명 날인 (발주처, 감리단, 시공사 3자 대표자 서명으로 무결성 보증함)
3) STEP 3: 국토교통부 정식 제출 및 정부 적합 승인 통보 수령 (국토교통부 정식 접수 및 종합시험운행 적합 승인 수령)</t>
        </is>
      </c>
      <c r="L26" s="156" t="inlineStr">
        <is>
          <t>철도종합시험운행 종합결과보고서 제출 결과보고서, 회의록 및 TS 공인 필증</t>
        </is>
      </c>
      <c r="M26" s="156" t="inlineStr">
        <is>
          <t>1) 철도종합시험운행 종합결과보고서 제출(9000-9-25)로 철도안전법 제38조에 따른 법정 준공 보고서 완비함.
2) 국토교통부 정식 공문 접수 및 최종 '종합시험운행 적합 승인' 획득함.</t>
        </is>
      </c>
      <c r="N26" s="201">
        <f>HYPERLINK(LEFT(CELL("filename",A1),FIND("[",CELL("filename",A1))-1)&amp;"매뉴얼BODY(집행단계-첨부폴더)v8\11.철도종합시운전\25_철도종합시험운행 종합결과보고서 작성 및 제출\표준서\25_철도종합시험운행 종합결과보고서 작성 및 제출_표준서.html", "👉 [클릭] 표준서 열기 📄")</f>
        <v/>
      </c>
      <c r="O26" s="156" t="inlineStr">
        <is>
          <t>1) STEP 1: 사전점검·시설물검증·영업시운전 성과 종합 편철
2) STEP 2: 총괄사업단장 및 책임감리원 최종 서명 날인</t>
        </is>
      </c>
      <c r="P26" s="202">
        <f>HYPERLINK(LEFT(CELL("filename",A1),FIND("[",CELL("filename",A1))-1)&amp;"매뉴얼BODY(집행단계-첨부폴더)v8\11.철도종합시운전\25_철도종합시험운행 종합결과보고서 작성 및 제출\수행지침\25_철도종합시험운행 종합결과보고서 작성 및 제출_수행지침.html", "👉 [클릭] 수행지침 열기 📄")</f>
        <v/>
      </c>
      <c r="Q26" s="156" t="inlineStr">
        <is>
          <t>1) 3단계 종합결과보고서 편찬 시방 및 사전점검+시설물검증+영업시운전 기준을 100% 충족하였는가?
2) 사업단장 및 책임감리원 서명 검측 및 불합격 요소를 전면 차단하였는가?</t>
        </is>
      </c>
      <c r="R26" s="203">
        <f>HYPERLINK(LEFT(CELL("filename",A1),FIND("[",CELL("filename",A1))-1)&amp;"매뉴얼BODY(집행단계-첨부폴더)v8\11.철도종합시운전\25_철도종합시험운행 종합결과보고서 작성 및 제출\체크리스트\25_철도종합시험운행 종합결과보고서 작성 및 제출_체크리스트.html", "👉 [클릭] 체크리스트 열기 📄")</f>
        <v/>
      </c>
      <c r="S26" s="200" t="inlineStr">
        <is>
          <t>철도종합시험운행 시행지침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row>
    <row r="27" ht="52" customHeight="1" s="147">
      <c r="A27" s="204" t="inlineStr">
        <is>
          <t>9000</t>
        </is>
      </c>
      <c r="B27" s="204" t="inlineStr">
        <is>
          <t>9000-11</t>
        </is>
      </c>
      <c r="C27" s="204" t="inlineStr">
        <is>
          <t>철도종합시험운행</t>
        </is>
      </c>
      <c r="D27" s="204" t="inlineStr">
        <is>
          <t>9000-11-26</t>
        </is>
      </c>
      <c r="E27" s="205" t="inlineStr">
        <is>
          <t>9000-11-25</t>
        </is>
      </c>
      <c r="F27" s="205" t="inlineStr">
        <is>
          <t>9000-11-27</t>
        </is>
      </c>
      <c r="G27" s="162" t="inlineStr">
        <is>
          <t>철도운영자 안전관리체계 변경승인</t>
        </is>
      </c>
      <c r="H27" s="205" t="inlineStr">
        <is>
          <t>D+235</t>
        </is>
      </c>
      <c r="I27" s="205" t="inlineStr">
        <is>
          <t>화성도시공사</t>
        </is>
      </c>
      <c r="J27" s="163" t="inlineStr">
        <is>
          <t>화성도시공사(철도운영자) 철도안전관리체계 변경승인 신청 및 TS 현장 검사 합격</t>
        </is>
      </c>
      <c r="K27" s="163" t="inlineStr">
        <is>
          <t>1) STEP 1: 철도안전관리체계 변경승인 신청 서류 작성 (안전경영 목표, 비상대응계획, 유지관리 규정 42종 편찬)
2) STEP 2: 한국교통안전공단(TS) 현장 실사 수검 (화성도시공사 관제, 운전, 유지보수 조직의 실질적 이행 능력 입증함)
3) STEP 3: 국토교통부 철도안전관리체계 변경승인증명서 획득 (국토부 장관 명의 정식 증명서 수령으로 법적 자격 완비)</t>
        </is>
      </c>
      <c r="L27" s="163" t="inlineStr">
        <is>
          <t>철도운영자 안전관리체계 변경승인 결과보고서, 회의록 및 TS 공인 필증</t>
        </is>
      </c>
      <c r="M27" s="163" t="inlineStr">
        <is>
          <t>1) 철도운영자 안전관리체계 변경승인(9000-9-26)으로 화성도시공사 철도운영자 법적 자격 100% 완비함.
2) TS 현장 실사 합격 및 국토교통부 정식 안전관리체계 승인증명서 교부 완료함.</t>
        </is>
      </c>
      <c r="N27" s="206">
        <f>HYPERLINK(LEFT(CELL("filename",A1),FIND("[",CELL("filename",A1))-1)&amp;"매뉴얼BODY(집행단계-첨부폴더)v8\11.철도종합시운전\26_철도운영자 안전관리체계 변경승인(TS)\표준서\26_철도운영자 안전관리체계 변경승인(TS)_표준서.html", "👉 [클릭] 표준서 열기 📄")</f>
        <v/>
      </c>
      <c r="O27" s="163" t="inlineStr">
        <is>
          <t>1) STEP 1: 철도안전관리체계 변경승인 신청 서류 작성
2) STEP 2: 한국교통안전공단(TS) 현장 실사 수검</t>
        </is>
      </c>
      <c r="P27" s="207">
        <f>HYPERLINK(LEFT(CELL("filename",A1),FIND("[",CELL("filename",A1))-1)&amp;"매뉴얼BODY(집행단계-첨부폴더)v8\11.철도종합시운전\26_철도운영자 안전관리체계 변경승인(TS)\수행지침\26_철도운영자 안전관리체계 변경승인(TS)_수행지침.html", "👉 [클릭] 수행지침 열기 📄")</f>
        <v/>
      </c>
      <c r="Q27" s="163" t="inlineStr">
        <is>
          <t>1) 안전관리체계 변경승인 신청서 제출 시방 및 국토교통부 및 TS 기준을 100% 충족하였는가?
2) TS 안전관리체계 현장 실사 대응 검측 및 불합격 요소를 전면 차단하였는가?</t>
        </is>
      </c>
      <c r="R27" s="208">
        <f>HYPERLINK(LEFT(CELL("filename",A1),FIND("[",CELL("filename",A1))-1)&amp;"매뉴얼BODY(집행단계-첨부폴더)v8\11.철도종합시운전\26_철도운영자 안전관리체계 변경승인(TS)\체크리스트\26_철도운영자 안전관리체계 변경승인(TS)_체크리스트.html", "👉 [클릭] 체크리스트 열기 📄")</f>
        <v/>
      </c>
      <c r="S27" s="205" t="inlineStr">
        <is>
          <t>철도종합시험운행 시행지침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row>
    <row r="28" ht="52" customHeight="1" s="147">
      <c r="A28" s="199" t="inlineStr">
        <is>
          <t>9000</t>
        </is>
      </c>
      <c r="B28" s="199" t="inlineStr">
        <is>
          <t>9000-11</t>
        </is>
      </c>
      <c r="C28" s="199" t="inlineStr">
        <is>
          <t>철도종합시험운행</t>
        </is>
      </c>
      <c r="D28" s="199" t="inlineStr">
        <is>
          <t>9000-11-27</t>
        </is>
      </c>
      <c r="E28" s="200" t="inlineStr">
        <is>
          <t>9000-11-26</t>
        </is>
      </c>
      <c r="F28" s="200" t="inlineStr">
        <is>
          <t>9000-11-28</t>
        </is>
      </c>
      <c r="G28" s="155" t="inlineStr">
        <is>
          <t>공사목적물 및 시설물 최종 인수인계</t>
        </is>
      </c>
      <c r="H28" s="200" t="inlineStr">
        <is>
          <t>D+238</t>
        </is>
      </c>
      <c r="I28" s="200" t="inlineStr">
        <is>
          <t>시공사업단</t>
        </is>
      </c>
      <c r="J28" s="156" t="inlineStr">
        <is>
          <t>36개 정거장, 본선, 차량기지 시설물 및 2D/3D 준공도서·예비품 화성도시공사 합동 인수인계</t>
        </is>
      </c>
      <c r="K28" s="156" t="inlineStr">
        <is>
          <t>1) STEP 1: 전 역사 및 시설물 합동 정밀 인수인계 실사 (36개 역사 건축/설비, 34.4km 궤도/전기/신호 합동 점검)
2) STEP 2: 준공도서, 운용 매뉴얼 및 유지보수 예비품 인계 (3D BIM As-Built 최종 도면 및 2년분 예비품 공식 전달함)
3) STEP 3: 공사목적물 인수인계서 최종 체결 (화성시, 화성도시공사, 사업단 3자 서명 날인으로 관리권 공식 이관)</t>
        </is>
      </c>
      <c r="L28" s="156" t="inlineStr">
        <is>
          <t>공사목적물 및 시설물 최종 인수인계 결과보고서, 회의록 및 TS 공인 필증</t>
        </is>
      </c>
      <c r="M28" s="156" t="inlineStr">
        <is>
          <t>1) 공사목적물 및 시설물 최종 인수인계(9000-9-27)로 36개 역사 및 34.4km 전 시설물 100% 합동 인계 완료함.
2) 3D BIM As-Built 준공도서 및 2년분 유지관리 예비품 인계 완료함.</t>
        </is>
      </c>
      <c r="N28" s="201">
        <f>HYPERLINK(LEFT(CELL("filename",A1),FIND("[",CELL("filename",A1))-1)&amp;"매뉴얼BODY(집행단계-첨부폴더)v8\11.철도종합시운전\27_공사목적물 및 시설물 운영사 최종 인수인계\표준서\27_공사목적물 및 시설물 운영사 최종 인수인계_표준서.html", "👉 [클릭] 표준서 열기 📄")</f>
        <v/>
      </c>
      <c r="O28" s="156" t="inlineStr">
        <is>
          <t>1) STEP 1: 전 역사 및 시설물 합동 정밀 인수인계 실사
2) STEP 2: 준공도서, 운용 매뉴얼 및 유지보수 예비품 인계</t>
        </is>
      </c>
      <c r="P28" s="202">
        <f>HYPERLINK(LEFT(CELL("filename",A1),FIND("[",CELL("filename",A1))-1)&amp;"매뉴얼BODY(집행단계-첨부폴더)v8\11.철도종합시운전\27_공사목적물 및 시설물 운영사 최종 인수인계\수행지침\27_공사목적물 및 시설물 운영사 최종 인수인계_수행지침.html", "👉 [클릭] 수행지침 열기 📄")</f>
        <v/>
      </c>
      <c r="Q28" s="156" t="inlineStr">
        <is>
          <t>1) 시설물 합동 실사 및 검측 시방 및 전 역사/차량기지/변전소 실사 기준을 100% 충족하였는가?
2) 준공도서 및 매뉴얼 인계 검측 및 불합격 요소를 전면 차단하였는가?</t>
        </is>
      </c>
      <c r="R28" s="203">
        <f>HYPERLINK(LEFT(CELL("filename",A1),FIND("[",CELL("filename",A1))-1)&amp;"매뉴얼BODY(집행단계-첨부폴더)v8\11.철도종합시운전\27_공사목적물 및 시설물 운영사 최종 인수인계\체크리스트\27_공사목적물 및 시설물 운영사 최종 인수인계_체크리스트.html", "👉 [클릭] 체크리스트 열기 📄")</f>
        <v/>
      </c>
      <c r="S28" s="200" t="inlineStr">
        <is>
          <t>철도종합시험운행 시행지침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row>
    <row r="29" ht="52" customHeight="1" s="147">
      <c r="A29" s="204" t="inlineStr">
        <is>
          <t>9000</t>
        </is>
      </c>
      <c r="B29" s="204" t="inlineStr">
        <is>
          <t>9000-11</t>
        </is>
      </c>
      <c r="C29" s="204" t="inlineStr">
        <is>
          <t>철도종합시험운행</t>
        </is>
      </c>
      <c r="D29" s="204" t="inlineStr">
        <is>
          <t>9000-11-28</t>
        </is>
      </c>
      <c r="E29" s="205" t="inlineStr">
        <is>
          <t>9000-11-27</t>
        </is>
      </c>
      <c r="F29" s="205" t="inlineStr">
        <is>
          <t>-</t>
        </is>
      </c>
      <c r="G29" s="162" t="inlineStr">
        <is>
          <t>종합시험운행 종결 및 영업 개통</t>
        </is>
      </c>
      <c r="H29" s="205" t="inlineStr">
        <is>
          <t>D+240</t>
        </is>
      </c>
      <c r="I29" s="205" t="inlineStr">
        <is>
          <t>시공사업단</t>
        </is>
      </c>
      <c r="J29" s="163" t="inlineStr">
        <is>
          <t>국토교통부 영업개통 승인 획득, 동탄트램 공식 개통식 거행 및 대시민 상업운전 개시</t>
        </is>
      </c>
      <c r="K29" s="163" t="inlineStr">
        <is>
          <t>1) STEP 1: 국토교통부 영업개통 최종 승인 공문 접수 (종합시험운행 및 안전관리체계 승인 기반 정식 개통 승인 수령)
2) STEP 2: 동탄도시철도 개통 기념식 및 테이프 커팅 (화성시장, 국회의원, 시민대표 참석 개통식 및 1호차 시승 진행함)
3) STEP 3: 동탄트램 1·2호선 전 구간 대시민 상업운전 개시 (34.4km 36개 정거장 전 노선 시민 탑승 상업운전 개시)</t>
        </is>
      </c>
      <c r="L29" s="163" t="inlineStr">
        <is>
          <t>종합시험운행 종결 및 영업 개통 결과보고서, 회의록 및 TS 공인 필증</t>
        </is>
      </c>
      <c r="M29" s="163" t="inlineStr">
        <is>
          <t>1) 종합시험운행 종결 및 영업 개통(9000-9-28)으로 국토교통부 정식 영업개통 승인 100% 획득함.
2) 동탄도시철도 1·2호선 전 구간 공식 개통식 성료 및 대시민 상업운전 성공적 개시함.</t>
        </is>
      </c>
      <c r="N29" s="206">
        <f>HYPERLINK(LEFT(CELL("filename",A1),FIND("[",CELL("filename",A1))-1)&amp;"매뉴얼BODY(집행단계-첨부폴더)v8\11.철도종합시운전\28_동탄도시철도(트램) 종합시험운행 종결 및 영업 개통\표준서\28_동탄도시철도(트램) 종합시험운행 종결 및 영업 개통_표준서.html", "👉 [클릭] 표준서 열기 📄")</f>
        <v/>
      </c>
      <c r="O29" s="163" t="inlineStr">
        <is>
          <t>1) STEP 1: 국토교통부 영업개통 최종 승인 공문 접수
2) STEP 2: 동탄도시철도 개통 기념식 및 테이프 커팅</t>
        </is>
      </c>
      <c r="P29" s="207">
        <f>HYPERLINK(LEFT(CELL("filename",A1),FIND("[",CELL("filename",A1))-1)&amp;"매뉴얼BODY(집행단계-첨부폴더)v8\11.철도종합시운전\28_동탄도시철도(트램) 종합시험운행 종결 및 영업 개통\수행지침\28_동탄도시철도(트램) 종합시험운행 종결 및 영업 개통_수행지침.html", "👉 [클릭] 수행지침 열기 📄")</f>
        <v/>
      </c>
      <c r="Q29" s="163" t="inlineStr">
        <is>
          <t>1) 국토교통부 영업개통 승인 신청 시방 및 종합결과보고서 및 안전관리체계 기준을 100% 충족하였는가?
2) 국토교통부 영업개통 정식 승인 검측 및 불합격 요소를 전면 차단하였는가?</t>
        </is>
      </c>
      <c r="R29" s="208">
        <f>HYPERLINK(LEFT(CELL("filename",A1),FIND("[",CELL("filename",A1))-1)&amp;"매뉴얼BODY(집행단계-첨부폴더)v8\11.철도종합시운전\28_동탄도시철도(트램) 종합시험운행 종결 및 영업 개통\체크리스트\28_동탄도시철도(트램) 종합시험운행 종결 및 영업 개통_체크리스트.html", "👉 [클릭] 체크리스트 열기 📄")</f>
        <v/>
      </c>
      <c r="S29" s="205" t="inlineStr">
        <is>
          <t>철도종합시험운행 시행지침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2026-08-14T23:10:27Z</dcterms:modified>
  <cp:lastModifiedBy>재형 김</cp:lastModifiedBy>
  <cp:lastPrinted>2026-07-25T07:01:45Z</cp:lastPrinted>
</cp:coreProperties>
</file>