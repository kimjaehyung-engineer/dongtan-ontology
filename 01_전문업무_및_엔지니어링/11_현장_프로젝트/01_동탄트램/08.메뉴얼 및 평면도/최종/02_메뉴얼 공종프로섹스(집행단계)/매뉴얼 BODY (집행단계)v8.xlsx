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5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s>
  <fills count="30">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
      <patternFill patternType="solid">
        <fgColor rgb="00F0FDF4"/>
        <bgColor rgb="00F0FDF4"/>
      </patternFill>
    </fill>
  </fills>
  <borders count="3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2">
    <xf numFmtId="0" fontId="0" fillId="0" borderId="0"/>
    <xf numFmtId="0" fontId="31" fillId="0" borderId="0"/>
  </cellStyleXfs>
  <cellXfs count="26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xf numFmtId="0" fontId="38" fillId="29" borderId="26" applyAlignment="1" pivotButton="0" quotePrefix="0" xfId="0">
      <alignment horizontal="center" vertical="center"/>
    </xf>
    <xf numFmtId="0" fontId="39" fillId="26" borderId="26" applyAlignment="1" pivotButton="0" quotePrefix="0" xfId="0">
      <alignment horizontal="center" vertical="center"/>
    </xf>
    <xf numFmtId="0" fontId="40" fillId="27" borderId="26"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4"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4" customWidth="1" style="147" min="9" max="9"/>
    <col width="24" customWidth="1" style="147" min="10" max="10"/>
  </cols>
  <sheetData>
    <row r="1" ht="28" customHeight="1" s="147">
      <c r="A1" s="232" t="inlineStr">
        <is>
          <t>동탄도시철도(트램) 건설공사 집행단계 엔지니어링 매뉴얼 종합 통계 대시보드</t>
        </is>
      </c>
    </row>
    <row r="2" ht="18" customHeight="1" s="147">
      <c r="A2" s="233" t="inlineStr">
        <is>
          <t>■ 기준: 11개 공종 375개 액티비티 | 총 1,125개 매뉴얼(표준서·수행지침·체크리스트) 100% 디지털 연계 완료 | Ver 8.0</t>
        </is>
      </c>
    </row>
    <row r="3" ht="10" customHeight="1" s="147"/>
    <row r="4" ht="18" customHeight="1" s="147">
      <c r="A4" s="234" t="inlineStr">
        <is>
          <t>총 관리 공종 수</t>
        </is>
      </c>
      <c r="B4" s="263" t="n"/>
      <c r="C4" s="236" t="inlineStr">
        <is>
          <t>총 액티비티 (WBS)</t>
        </is>
      </c>
      <c r="D4" s="263" t="n"/>
      <c r="E4" s="238" t="inlineStr">
        <is>
          <t>표준서 (Standard)</t>
        </is>
      </c>
      <c r="F4" s="263" t="n"/>
      <c r="G4" s="240" t="inlineStr">
        <is>
          <t>수행지침 (Guideline)</t>
        </is>
      </c>
      <c r="H4" s="263" t="n"/>
      <c r="I4" s="242" t="inlineStr">
        <is>
          <t>체크리스트 (Checklist)</t>
        </is>
      </c>
      <c r="J4" s="263" t="n"/>
    </row>
    <row r="5" ht="28" customHeight="1" s="147">
      <c r="A5" s="244" t="inlineStr">
        <is>
          <t>11개 공종</t>
        </is>
      </c>
      <c r="B5" s="263" t="n"/>
      <c r="C5" s="245" t="inlineStr">
        <is>
          <t>375개 작업</t>
        </is>
      </c>
      <c r="D5" s="263" t="n"/>
      <c r="E5" s="246" t="inlineStr">
        <is>
          <t>375 / 375</t>
        </is>
      </c>
      <c r="F5" s="263" t="n"/>
      <c r="G5" s="247" t="inlineStr">
        <is>
          <t>375 / 375</t>
        </is>
      </c>
      <c r="H5" s="263" t="n"/>
      <c r="I5" s="248" t="inlineStr">
        <is>
          <t>375 / 375</t>
        </is>
      </c>
      <c r="J5" s="263" t="n"/>
    </row>
    <row r="6" ht="16" customHeight="1" s="147">
      <c r="A6" s="249" t="inlineStr">
        <is>
          <t>(토목/궤도/시스템/시운전)</t>
        </is>
      </c>
      <c r="B6" s="263" t="n"/>
      <c r="C6" s="250" t="inlineStr">
        <is>
          <t>(100% 코드화 및 체인연동)</t>
        </is>
      </c>
      <c r="D6" s="263" t="n"/>
      <c r="E6" s="251" t="inlineStr">
        <is>
          <t>(100% 기술기준 연계 완비)</t>
        </is>
      </c>
      <c r="F6" s="263" t="n"/>
      <c r="G6" s="252" t="inlineStr">
        <is>
          <t>(100% 2D 도식·시뮬레이션)</t>
        </is>
      </c>
      <c r="H6" s="263" t="n"/>
      <c r="I6" s="253" t="inlineStr">
        <is>
          <t>(100% 현장 검측 필증 연동)</t>
        </is>
      </c>
      <c r="J6" s="263" t="n"/>
    </row>
    <row r="7" ht="14" customHeight="1" s="147"/>
    <row r="8" ht="22" customHeight="1" s="147">
      <c r="A8" s="254" t="inlineStr">
        <is>
          <t>1. 11대 공종별 마스터 현황 및 시트 네비게이션 대장</t>
        </is>
      </c>
    </row>
    <row r="9" ht="25" customHeight="1" s="147">
      <c r="A9" s="255" t="inlineStr">
        <is>
          <t>순번</t>
        </is>
      </c>
      <c r="B9" s="255" t="inlineStr">
        <is>
          <t>공종명 (Discipline)</t>
        </is>
      </c>
      <c r="C9" s="255" t="inlineStr">
        <is>
          <t>L3 코드</t>
        </is>
      </c>
      <c r="D9" s="255" t="inlineStr">
        <is>
          <t>액티비티 수</t>
        </is>
      </c>
      <c r="E9" s="255" t="inlineStr">
        <is>
          <t>표준서</t>
        </is>
      </c>
      <c r="F9" s="255" t="inlineStr">
        <is>
          <t>수행지침</t>
        </is>
      </c>
      <c r="G9" s="255" t="inlineStr">
        <is>
          <t>체크리스트</t>
        </is>
      </c>
      <c r="H9" s="255" t="inlineStr">
        <is>
          <t>매뉴얼 총계</t>
        </is>
      </c>
      <c r="I9" s="255" t="inlineStr">
        <is>
          <t>비중 (%)</t>
        </is>
      </c>
      <c r="J9" s="255" t="inlineStr">
        <is>
          <t>시트 바로가기 (점프)</t>
        </is>
      </c>
    </row>
    <row r="10" ht="22" customHeight="1" s="147">
      <c r="A10" s="199" t="n">
        <v>1</v>
      </c>
      <c r="B10" s="256" t="inlineStr">
        <is>
          <t>지반조사</t>
        </is>
      </c>
      <c r="C10" s="199" t="inlineStr">
        <is>
          <t>9000-1</t>
        </is>
      </c>
      <c r="D10" s="199" t="n">
        <v>36</v>
      </c>
      <c r="E10" s="257" t="n">
        <v>36</v>
      </c>
      <c r="F10" s="257" t="n">
        <v>36</v>
      </c>
      <c r="G10" s="257" t="n">
        <v>36</v>
      </c>
      <c r="H10" s="199" t="n">
        <v>108</v>
      </c>
      <c r="I10" s="257" t="inlineStr">
        <is>
          <t>9.9%</t>
        </is>
      </c>
      <c r="J10" s="202">
        <f>HYPERLINK("#'지반조사'!A1", "👉 [지반조사] 시트 이동 ➔")</f>
        <v/>
      </c>
    </row>
    <row r="11" ht="22" customHeight="1" s="147">
      <c r="A11" s="204" t="n">
        <v>2</v>
      </c>
      <c r="B11" s="258" t="inlineStr">
        <is>
          <t>사전토공사</t>
        </is>
      </c>
      <c r="C11" s="204" t="inlineStr">
        <is>
          <t>9000-2</t>
        </is>
      </c>
      <c r="D11" s="204" t="n">
        <v>31</v>
      </c>
      <c r="E11" s="259" t="n">
        <v>31</v>
      </c>
      <c r="F11" s="259" t="n">
        <v>31</v>
      </c>
      <c r="G11" s="259" t="n">
        <v>31</v>
      </c>
      <c r="H11" s="204" t="n">
        <v>93</v>
      </c>
      <c r="I11" s="259" t="inlineStr">
        <is>
          <t>8.5%</t>
        </is>
      </c>
      <c r="J11" s="207">
        <f>HYPERLINK("#'사전토공사'!A1", "👉 [사전토공사] 시트 이동 ➔")</f>
        <v/>
      </c>
    </row>
    <row r="12" ht="22" customHeight="1" s="147">
      <c r="A12" s="199" t="n">
        <v>3</v>
      </c>
      <c r="B12" s="256" t="inlineStr">
        <is>
          <t>지장물이설</t>
        </is>
      </c>
      <c r="C12" s="199" t="inlineStr">
        <is>
          <t>9000-3</t>
        </is>
      </c>
      <c r="D12" s="199" t="n">
        <v>38</v>
      </c>
      <c r="E12" s="257" t="n">
        <v>38</v>
      </c>
      <c r="F12" s="257" t="n">
        <v>38</v>
      </c>
      <c r="G12" s="257" t="n">
        <v>38</v>
      </c>
      <c r="H12" s="199" t="n">
        <v>114</v>
      </c>
      <c r="I12" s="257" t="inlineStr">
        <is>
          <t>10.4%</t>
        </is>
      </c>
      <c r="J12" s="202">
        <f>HYPERLINK("#'지장물이설'!A1", "👉 [지장물이설] 시트 이동 ➔")</f>
        <v/>
      </c>
    </row>
    <row r="13" ht="22" customHeight="1" s="147">
      <c r="A13" s="204" t="n">
        <v>4</v>
      </c>
      <c r="B13" s="258" t="inlineStr">
        <is>
          <t>상부강화노반</t>
        </is>
      </c>
      <c r="C13" s="204" t="inlineStr">
        <is>
          <t>9000-4</t>
        </is>
      </c>
      <c r="D13" s="204" t="n">
        <v>36</v>
      </c>
      <c r="E13" s="259" t="n">
        <v>36</v>
      </c>
      <c r="F13" s="259" t="n">
        <v>36</v>
      </c>
      <c r="G13" s="259" t="n">
        <v>36</v>
      </c>
      <c r="H13" s="204" t="n">
        <v>108</v>
      </c>
      <c r="I13" s="259" t="inlineStr">
        <is>
          <t>9.9%</t>
        </is>
      </c>
      <c r="J13" s="207">
        <f>HYPERLINK("#'상부강화노반'!A1", "👉 [상부강화노반] 시트 이동 ➔")</f>
        <v/>
      </c>
    </row>
    <row r="14" ht="22" customHeight="1" s="147">
      <c r="A14" s="199" t="n">
        <v>5</v>
      </c>
      <c r="B14" s="256" t="inlineStr">
        <is>
          <t>콘크리트도상</t>
        </is>
      </c>
      <c r="C14" s="199" t="inlineStr">
        <is>
          <t>9000-5</t>
        </is>
      </c>
      <c r="D14" s="199" t="n">
        <v>23</v>
      </c>
      <c r="E14" s="257" t="n">
        <v>23</v>
      </c>
      <c r="F14" s="257" t="n">
        <v>23</v>
      </c>
      <c r="G14" s="257" t="n">
        <v>23</v>
      </c>
      <c r="H14" s="199" t="n">
        <v>69</v>
      </c>
      <c r="I14" s="257" t="inlineStr">
        <is>
          <t>6.3%</t>
        </is>
      </c>
      <c r="J14" s="202">
        <f>HYPERLINK("#'콘크리트도상'!A1", "👉 [콘크리트도상] 시트 이동 ➔")</f>
        <v/>
      </c>
    </row>
    <row r="15" ht="22" customHeight="1" s="147">
      <c r="A15" s="204" t="n">
        <v>6</v>
      </c>
      <c r="B15" s="258" t="inlineStr">
        <is>
          <t>건축</t>
        </is>
      </c>
      <c r="C15" s="204" t="inlineStr">
        <is>
          <t>9000-6</t>
        </is>
      </c>
      <c r="D15" s="204" t="n">
        <v>50</v>
      </c>
      <c r="E15" s="259" t="n">
        <v>50</v>
      </c>
      <c r="F15" s="259" t="n">
        <v>50</v>
      </c>
      <c r="G15" s="259" t="n">
        <v>50</v>
      </c>
      <c r="H15" s="204" t="n">
        <v>150</v>
      </c>
      <c r="I15" s="259" t="inlineStr">
        <is>
          <t>13.7%</t>
        </is>
      </c>
      <c r="J15" s="207">
        <f>HYPERLINK("#'건축'!A1", "👉 [건축] 시트 이동 ➔")</f>
        <v/>
      </c>
    </row>
    <row r="16" ht="22" customHeight="1" s="147">
      <c r="A16" s="199" t="n">
        <v>7</v>
      </c>
      <c r="B16" s="256" t="inlineStr">
        <is>
          <t>신호분야</t>
        </is>
      </c>
      <c r="C16" s="199" t="inlineStr">
        <is>
          <t>9000-7</t>
        </is>
      </c>
      <c r="D16" s="199" t="n">
        <v>23</v>
      </c>
      <c r="E16" s="257" t="n">
        <v>23</v>
      </c>
      <c r="F16" s="257" t="n">
        <v>23</v>
      </c>
      <c r="G16" s="257" t="n">
        <v>23</v>
      </c>
      <c r="H16" s="199" t="n">
        <v>69</v>
      </c>
      <c r="I16" s="257" t="inlineStr">
        <is>
          <t>6.3%</t>
        </is>
      </c>
      <c r="J16" s="202">
        <f>HYPERLINK("#'신호'!A1", "👉 [신호] 시트 이동 ➔")</f>
        <v/>
      </c>
    </row>
    <row r="17" ht="22" customHeight="1" s="147">
      <c r="A17" s="204" t="n">
        <v>8</v>
      </c>
      <c r="B17" s="258" t="inlineStr">
        <is>
          <t>전기분야</t>
        </is>
      </c>
      <c r="C17" s="204" t="inlineStr">
        <is>
          <t>9000-8</t>
        </is>
      </c>
      <c r="D17" s="204" t="n">
        <v>32</v>
      </c>
      <c r="E17" s="259" t="n">
        <v>32</v>
      </c>
      <c r="F17" s="259" t="n">
        <v>32</v>
      </c>
      <c r="G17" s="259" t="n">
        <v>32</v>
      </c>
      <c r="H17" s="204" t="n">
        <v>96</v>
      </c>
      <c r="I17" s="259" t="inlineStr">
        <is>
          <t>8.8%</t>
        </is>
      </c>
      <c r="J17" s="207">
        <f>HYPERLINK("#'전기'!A1", "👉 [전기] 시트 이동 ➔")</f>
        <v/>
      </c>
    </row>
    <row r="18" ht="22" customHeight="1" s="147">
      <c r="A18" s="199" t="n">
        <v>9</v>
      </c>
      <c r="B18" s="256" t="inlineStr">
        <is>
          <t>통신분야</t>
        </is>
      </c>
      <c r="C18" s="199" t="inlineStr">
        <is>
          <t>9000-9</t>
        </is>
      </c>
      <c r="D18" s="199" t="n">
        <v>32</v>
      </c>
      <c r="E18" s="257" t="n">
        <v>32</v>
      </c>
      <c r="F18" s="257" t="n">
        <v>32</v>
      </c>
      <c r="G18" s="257" t="n">
        <v>32</v>
      </c>
      <c r="H18" s="199" t="n">
        <v>96</v>
      </c>
      <c r="I18" s="257" t="inlineStr">
        <is>
          <t>8.8%</t>
        </is>
      </c>
      <c r="J18" s="202">
        <f>HYPERLINK("#'통신'!A1", "👉 [통신] 시트 이동 ➔")</f>
        <v/>
      </c>
    </row>
    <row r="19" ht="22" customHeight="1" s="147">
      <c r="A19" s="204" t="n">
        <v>10</v>
      </c>
      <c r="B19" s="258" t="inlineStr">
        <is>
          <t>기계설비·소방설비</t>
        </is>
      </c>
      <c r="C19" s="204" t="inlineStr">
        <is>
          <t>9000-10</t>
        </is>
      </c>
      <c r="D19" s="204" t="n">
        <v>36</v>
      </c>
      <c r="E19" s="259" t="n">
        <v>36</v>
      </c>
      <c r="F19" s="259" t="n">
        <v>36</v>
      </c>
      <c r="G19" s="259" t="n">
        <v>36</v>
      </c>
      <c r="H19" s="204" t="n">
        <v>108</v>
      </c>
      <c r="I19" s="259" t="inlineStr">
        <is>
          <t>9.9%</t>
        </is>
      </c>
      <c r="J19" s="207">
        <f>HYPERLINK("#'기계'!A1", "👉 [기계] 시트 이동 ➔")</f>
        <v/>
      </c>
    </row>
    <row r="20" ht="22" customHeight="1" s="147">
      <c r="A20" s="199" t="n">
        <v>11</v>
      </c>
      <c r="B20" s="256" t="inlineStr">
        <is>
          <t>철도종합시험운행</t>
        </is>
      </c>
      <c r="C20" s="199" t="inlineStr">
        <is>
          <t>9000-11</t>
        </is>
      </c>
      <c r="D20" s="199" t="n">
        <v>28</v>
      </c>
      <c r="E20" s="257" t="n">
        <v>28</v>
      </c>
      <c r="F20" s="257" t="n">
        <v>28</v>
      </c>
      <c r="G20" s="257" t="n">
        <v>28</v>
      </c>
      <c r="H20" s="199" t="n">
        <v>84</v>
      </c>
      <c r="I20" s="257" t="inlineStr">
        <is>
          <t>7.7%</t>
        </is>
      </c>
      <c r="J20" s="202">
        <f>HYPERLINK("#'철도종합시운전'!A1", "👉 [철도종합시운전] 시트 이동 ➔")</f>
        <v/>
      </c>
    </row>
    <row r="21" ht="25" customHeight="1" s="147">
      <c r="A21" s="260" t="inlineStr">
        <is>
          <t>합계</t>
        </is>
      </c>
      <c r="B21" s="260" t="inlineStr">
        <is>
          <t>11개 공종 전체</t>
        </is>
      </c>
      <c r="C21" s="260" t="inlineStr">
        <is>
          <t>-</t>
        </is>
      </c>
      <c r="D21" s="260">
        <f>SUM(D10:D20)</f>
        <v/>
      </c>
      <c r="E21" s="260">
        <f>SUM(E10:E20)</f>
        <v/>
      </c>
      <c r="F21" s="260">
        <f>SUM(F10:F20)</f>
        <v/>
      </c>
      <c r="G21" s="260">
        <f>SUM(G10:G20)</f>
        <v/>
      </c>
      <c r="H21" s="260">
        <f>SUM(H10:H20)</f>
        <v/>
      </c>
      <c r="I21" s="260" t="inlineStr">
        <is>
          <t>100.0%</t>
        </is>
      </c>
      <c r="J21" s="260" t="inlineStr">
        <is>
          <t>총 1,125개 매뉴얼 도서</t>
        </is>
      </c>
    </row>
    <row r="22" ht="14" customHeight="1" s="147"/>
    <row r="23" ht="22" customHeight="1" s="147">
      <c r="A23" s="254" t="inlineStr">
        <is>
          <t>2. D-Day 일정 추진 단계별(Timeline) 업무 분포 및 관리 목표</t>
        </is>
      </c>
    </row>
    <row r="24" ht="25" customHeight="1" s="147">
      <c r="A24" s="255" t="inlineStr">
        <is>
          <t>단계 구분</t>
        </is>
      </c>
      <c r="B24" s="255" t="inlineStr">
        <is>
          <t>기간 (D-Day)</t>
        </is>
      </c>
      <c r="C24" s="255" t="inlineStr">
        <is>
          <t>주요 엔지니어링 관리 목표</t>
        </is>
      </c>
      <c r="D24" s="255" t="inlineStr">
        <is>
          <t>작업 수</t>
        </is>
      </c>
      <c r="E24" s="255" t="inlineStr">
        <is>
          <t>비중 (%)</t>
        </is>
      </c>
      <c r="F24" s="255" t="inlineStr">
        <is>
          <t>표준서</t>
        </is>
      </c>
      <c r="G24" s="255" t="inlineStr">
        <is>
          <t>지침서</t>
        </is>
      </c>
      <c r="H24" s="255" t="inlineStr">
        <is>
          <t>체크리스트</t>
        </is>
      </c>
      <c r="I24" s="255" t="inlineStr">
        <is>
          <t>주관 부서</t>
        </is>
      </c>
      <c r="J24" s="255" t="inlineStr">
        <is>
          <t>중점 리스크</t>
        </is>
      </c>
    </row>
    <row r="25" ht="24" customHeight="1" s="147">
      <c r="A25" s="256" t="inlineStr">
        <is>
          <t>Stage 1 : 착수 전 사전준비 및 인허가</t>
        </is>
      </c>
      <c r="B25" s="199" t="inlineStr">
        <is>
          <t>D-300 ~ D-0</t>
        </is>
      </c>
      <c r="C25" s="261" t="inlineStr">
        <is>
          <t>설계적정성 검토, 인허가 취득, 인터페이스 Big Room 회의, 자재공급원 승인</t>
        </is>
      </c>
      <c r="D25" s="199" t="n">
        <v>132</v>
      </c>
      <c r="E25" s="257" t="inlineStr">
        <is>
          <t>35.2%</t>
        </is>
      </c>
      <c r="F25" s="257" t="n">
        <v>132</v>
      </c>
      <c r="G25" s="257" t="n">
        <v>132</v>
      </c>
      <c r="H25" s="257" t="n">
        <v>132</v>
      </c>
      <c r="I25" s="257" t="inlineStr">
        <is>
          <t>공무/공사/시스템</t>
        </is>
      </c>
      <c r="J25" s="257" t="inlineStr">
        <is>
          <t>공기지연·인허가</t>
        </is>
      </c>
    </row>
    <row r="26" ht="24" customHeight="1" s="147">
      <c r="A26" s="258" t="inlineStr">
        <is>
          <t>Stage 2 : 현장 본시공 및 구조물 구축</t>
        </is>
      </c>
      <c r="B26" s="204" t="inlineStr">
        <is>
          <t>D+1 ~ D+100</t>
        </is>
      </c>
      <c r="C26" s="262" t="inlineStr">
        <is>
          <t>토공 굴착, 강화노반 슬래브, 레일 부설, 역사 골조 및 마감, 기계/전기 배관</t>
        </is>
      </c>
      <c r="D26" s="204" t="n">
        <v>148</v>
      </c>
      <c r="E26" s="259" t="inlineStr">
        <is>
          <t>39.5%</t>
        </is>
      </c>
      <c r="F26" s="259" t="n">
        <v>148</v>
      </c>
      <c r="G26" s="259" t="n">
        <v>148</v>
      </c>
      <c r="H26" s="259" t="n">
        <v>148</v>
      </c>
      <c r="I26" s="259" t="inlineStr">
        <is>
          <t>공무/공사/시스템</t>
        </is>
      </c>
      <c r="J26" s="259" t="inlineStr">
        <is>
          <t>공기지연·인허가</t>
        </is>
      </c>
    </row>
    <row r="27" ht="24" customHeight="1" s="147">
      <c r="A27" s="256" t="inlineStr">
        <is>
          <t>Stage 3 : 시스템 연동 및 공종별 시험</t>
        </is>
      </c>
      <c r="B27" s="199" t="inlineStr">
        <is>
          <t>D+101 ~ D+180</t>
        </is>
      </c>
      <c r="C27" s="261" t="inlineStr">
        <is>
          <t>전철전력 가압, 통신/신호 단위시험, 소방 화재연동 실부하, 사전점검 수검</t>
        </is>
      </c>
      <c r="D27" s="199" t="n">
        <v>67</v>
      </c>
      <c r="E27" s="257" t="inlineStr">
        <is>
          <t>17.8%</t>
        </is>
      </c>
      <c r="F27" s="257" t="n">
        <v>67</v>
      </c>
      <c r="G27" s="257" t="n">
        <v>67</v>
      </c>
      <c r="H27" s="257" t="n">
        <v>67</v>
      </c>
      <c r="I27" s="257" t="inlineStr">
        <is>
          <t>공무/공사/시스템</t>
        </is>
      </c>
      <c r="J27" s="257" t="inlineStr">
        <is>
          <t>공기지연·인허가</t>
        </is>
      </c>
    </row>
    <row r="28" ht="24" customHeight="1" s="147">
      <c r="A28" s="258" t="inlineStr">
        <is>
          <t>Stage 4 : 종합시운전 및 영업 개통</t>
        </is>
      </c>
      <c r="B28" s="204" t="inlineStr">
        <is>
          <t>D+181 ~ D+240</t>
        </is>
      </c>
      <c r="C28" s="262" t="inlineStr">
        <is>
          <t>속도별 시설물검증시험, 30일 영업 다이아 시운전, 운영사 인수인계 및 개통</t>
        </is>
      </c>
      <c r="D28" s="204" t="n">
        <v>28</v>
      </c>
      <c r="E28" s="259" t="inlineStr">
        <is>
          <t>7.5%</t>
        </is>
      </c>
      <c r="F28" s="259" t="n">
        <v>28</v>
      </c>
      <c r="G28" s="259" t="n">
        <v>28</v>
      </c>
      <c r="H28" s="259" t="n">
        <v>28</v>
      </c>
      <c r="I28" s="259" t="inlineStr">
        <is>
          <t>공무/공사/시스템</t>
        </is>
      </c>
      <c r="J28" s="259" t="inlineStr">
        <is>
          <t>공기지연·인허가</t>
        </is>
      </c>
    </row>
    <row r="29" ht="14" customHeight="1" s="147"/>
    <row r="30" ht="22" customHeight="1" s="147">
      <c r="A30" s="254" t="inlineStr">
        <is>
          <t>3. 4대 주관 부문별 업무 분장(R&amp;R) 및 조직 협업 매트릭스</t>
        </is>
      </c>
    </row>
    <row r="31" ht="25" customHeight="1" s="147">
      <c r="A31" s="255" t="inlineStr">
        <is>
          <t>주관 부문</t>
        </is>
      </c>
      <c r="B31" s="255" t="inlineStr">
        <is>
          <t>포함 공종 범위</t>
        </is>
      </c>
      <c r="C31" s="255" t="inlineStr">
        <is>
          <t>작업 수</t>
        </is>
      </c>
      <c r="D31" s="255" t="inlineStr">
        <is>
          <t>비중 (%)</t>
        </is>
      </c>
      <c r="E31" s="255" t="inlineStr">
        <is>
          <t>핵심 담당 조직</t>
        </is>
      </c>
      <c r="F31" s="255" t="inlineStr">
        <is>
          <t>주요 R&amp;R 역할</t>
        </is>
      </c>
      <c r="G31" s="255" t="inlineStr">
        <is>
          <t>협업 인터페이스</t>
        </is>
      </c>
      <c r="H31" s="255" t="inlineStr">
        <is>
          <t>핵심 산출물</t>
        </is>
      </c>
      <c r="I31" s="255" t="inlineStr">
        <is>
          <t>모니터링 주기</t>
        </is>
      </c>
      <c r="J31" s="255" t="inlineStr">
        <is>
          <t>비고</t>
        </is>
      </c>
    </row>
    <row r="32" ht="24" customHeight="1" s="147">
      <c r="A32" s="256" t="inlineStr">
        <is>
          <t>토목 / 궤도 / 지반 부문</t>
        </is>
      </c>
      <c r="B32" s="261" t="inlineStr">
        <is>
          <t>지반조사, 사전토공사, 지장물이설, 상부강화노반, 콘크리트도상</t>
        </is>
      </c>
      <c r="C32" s="199" t="n">
        <v>164</v>
      </c>
      <c r="D32" s="257" t="inlineStr">
        <is>
          <t>43.7%</t>
        </is>
      </c>
      <c r="E32" s="199" t="inlineStr">
        <is>
          <t>현장 공사팀 / 토목사업팀</t>
        </is>
      </c>
      <c r="F32" s="257" t="inlineStr">
        <is>
          <t>시공계획 및 품질검측</t>
        </is>
      </c>
      <c r="G32" s="257" t="inlineStr">
        <is>
          <t>주간 인터페이스 회의</t>
        </is>
      </c>
      <c r="H32" s="257" t="inlineStr">
        <is>
          <t>검측서·시험성적서</t>
        </is>
      </c>
      <c r="I32" s="257" t="inlineStr">
        <is>
          <t>일일 / 주간</t>
        </is>
      </c>
      <c r="J32" s="257" t="inlineStr">
        <is>
          <t>무결점 시공 달성</t>
        </is>
      </c>
    </row>
    <row r="33" ht="24" customHeight="1" s="147">
      <c r="A33" s="258" t="inlineStr">
        <is>
          <t>건축 / 기계 / 소방 부문</t>
        </is>
      </c>
      <c r="B33" s="262" t="inlineStr">
        <is>
          <t>정거장 및 차량기지 건축 마감, 공조환기, 제연, 소방, 급배수</t>
        </is>
      </c>
      <c r="C33" s="204" t="n">
        <v>86</v>
      </c>
      <c r="D33" s="259" t="inlineStr">
        <is>
          <t>22.9%</t>
        </is>
      </c>
      <c r="E33" s="204" t="inlineStr">
        <is>
          <t>건축공무팀 / 기계소방팀</t>
        </is>
      </c>
      <c r="F33" s="259" t="inlineStr">
        <is>
          <t>시공계획 및 품질검측</t>
        </is>
      </c>
      <c r="G33" s="259" t="inlineStr">
        <is>
          <t>주간 인터페이스 회의</t>
        </is>
      </c>
      <c r="H33" s="259" t="inlineStr">
        <is>
          <t>검측서·시험성적서</t>
        </is>
      </c>
      <c r="I33" s="259" t="inlineStr">
        <is>
          <t>일일 / 주간</t>
        </is>
      </c>
      <c r="J33" s="259" t="inlineStr">
        <is>
          <t>무결점 시공 달성</t>
        </is>
      </c>
    </row>
    <row r="34" ht="24" customHeight="1" s="147">
      <c r="A34" s="256" t="inlineStr">
        <is>
          <t>시스템 부문 (전기·신호·통신)</t>
        </is>
      </c>
      <c r="B34" s="261" t="inlineStr">
        <is>
          <t>수전/변전 급전, LTE-R 무선망, T-ATP/ATO 신호연동, SCADA</t>
        </is>
      </c>
      <c r="C34" s="199" t="n">
        <v>87</v>
      </c>
      <c r="D34" s="257" t="inlineStr">
        <is>
          <t>23.2%</t>
        </is>
      </c>
      <c r="E34" s="199" t="inlineStr">
        <is>
          <t>시스템 공무/공사팀</t>
        </is>
      </c>
      <c r="F34" s="257" t="inlineStr">
        <is>
          <t>시공계획 및 품질검측</t>
        </is>
      </c>
      <c r="G34" s="257" t="inlineStr">
        <is>
          <t>주간 인터페이스 회의</t>
        </is>
      </c>
      <c r="H34" s="257" t="inlineStr">
        <is>
          <t>검측서·시험성적서</t>
        </is>
      </c>
      <c r="I34" s="257" t="inlineStr">
        <is>
          <t>일일 / 주간</t>
        </is>
      </c>
      <c r="J34" s="257" t="inlineStr">
        <is>
          <t>무결점 시공 달성</t>
        </is>
      </c>
    </row>
    <row r="35" ht="24" customHeight="1" s="147">
      <c r="A35" s="258" t="inlineStr">
        <is>
          <t>개통운영 / 안전품질 부문</t>
        </is>
      </c>
      <c r="B35" s="262" t="inlineStr">
        <is>
          <t>사전점검, 속도별 시설물검증, 영업시운전, TS 안전관리체계, 인수인계</t>
        </is>
      </c>
      <c r="C35" s="204" t="n">
        <v>38</v>
      </c>
      <c r="D35" s="259" t="inlineStr">
        <is>
          <t>10.1%</t>
        </is>
      </c>
      <c r="E35" s="204" t="inlineStr">
        <is>
          <t>개통운영팀 / 안전품질팀</t>
        </is>
      </c>
      <c r="F35" s="259" t="inlineStr">
        <is>
          <t>시공계획 및 품질검측</t>
        </is>
      </c>
      <c r="G35" s="259" t="inlineStr">
        <is>
          <t>주간 인터페이스 회의</t>
        </is>
      </c>
      <c r="H35" s="259" t="inlineStr">
        <is>
          <t>검측서·시험성적서</t>
        </is>
      </c>
      <c r="I35" s="259" t="inlineStr">
        <is>
          <t>일일 / 주간</t>
        </is>
      </c>
      <c r="J35" s="259" t="inlineStr">
        <is>
          <t>무결점 시공 달성</t>
        </is>
      </c>
    </row>
  </sheetData>
  <mergeCells count="20">
    <mergeCell ref="A23:J23"/>
    <mergeCell ref="C6:D6"/>
    <mergeCell ref="I6:J6"/>
    <mergeCell ref="A8:J8"/>
    <mergeCell ref="C5:D5"/>
    <mergeCell ref="E5:F5"/>
    <mergeCell ref="A6:B6"/>
    <mergeCell ref="C4:D4"/>
    <mergeCell ref="E4:F4"/>
    <mergeCell ref="A30:J30"/>
    <mergeCell ref="G6:H6"/>
    <mergeCell ref="A1:J1"/>
    <mergeCell ref="E6:F6"/>
    <mergeCell ref="A5:B5"/>
    <mergeCell ref="G5:H5"/>
    <mergeCell ref="I5:J5"/>
    <mergeCell ref="A4:B4"/>
    <mergeCell ref="G4:H4"/>
    <mergeCell ref="I4:J4"/>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64">
        <f>HYPERLINK(LEFT(CELL("filename",A1),FIND("[",CELL("filename",A1))-1)&amp;"1.지반조사/01_지반조사업체, 외부지질전문가 3인이상/표준서/지반조사업체, 외부지질전문가 3인이상_표준서.html", "표준서 열기")</f>
        <v/>
      </c>
      <c r="O2" s="156" t="inlineStr">
        <is>
          <t>1) 발주처 계획 입수(비공식) 적정성을 확인하였는가? 2) 발주처 기본계획 보고서 산출물을 확보하였는가?</t>
        </is>
      </c>
      <c r="P2" s="265">
        <f>HYPERLINK(LEFT(CELL("filename",A1),FIND("[",CELL("filename",A1))-1)&amp;"1.지반조사/01_지반조사업체, 외부지질전문가 3인이상/수행지침/지반조사업체, 외부지질전문가 3인이상_수행지침.html", "수행지침서 열기")</f>
        <v/>
      </c>
      <c r="Q2" s="156" t="inlineStr">
        <is>
          <t>1) 시추 심도 및 SPT N치 계측 검측
2) 현장 안전관리 및 산출물 책임감리원 승인</t>
        </is>
      </c>
      <c r="R2" s="266">
        <f>HYPERLINK(LEFT(CELL("filename",A1),FIND("[",CELL("filename",A1))-1)&amp;"1.지반조사/01_지반조사업체, 외부지질전문가 3인이상/체크리스트/지반조사업체, 외부지질전문가 3인이상_체크리스트.html", "체크리스트 열기")</f>
        <v/>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64">
        <f>HYPERLINK(LEFT(CELL("filename",A1),FIND("[",CELL("filename",A1))-1)&amp;"1.지반조사/02_포스코스마트엔지니어링팀/표준서/포스코스마트엔지니어링팀_표준서.html", "표준서 열기")</f>
        <v/>
      </c>
      <c r="O3" s="163" t="inlineStr">
        <is>
          <t>1) 관심프로젝트 선정 적정성을 확인하였는가? 2) 관심사업 List 산출물을 확보하였는가?</t>
        </is>
      </c>
      <c r="P3" s="265">
        <f>HYPERLINK(LEFT(CELL("filename",A1),FIND("[",CELL("filename",A1))-1)&amp;"1.지반조사/02_포스코스마트엔지니어링팀/수행지침/포스코스마트엔지니어링팀_수행지침.html", "수행지침서 열기")</f>
        <v/>
      </c>
      <c r="Q3" s="163" t="inlineStr">
        <is>
          <t>1) 시추 심도 및 SPT N치 계측 검측
2) 현장 안전관리 및 산출물 책임감리원 승인</t>
        </is>
      </c>
      <c r="R3" s="266">
        <f>HYPERLINK(LEFT(CELL("filename",A1),FIND("[",CELL("filename",A1))-1)&amp;"1.지반조사/02_포스코스마트엔지니어링팀/체크리스트/포스코스마트엔지니어링팀_체크리스트.html", "체크리스트 열기")</f>
        <v/>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64">
        <f>HYPERLINK(LEFT(CELL("filename",A1),FIND("[",CELL("filename",A1))-1)&amp;"1.지반조사/03_토목사업팀/표준서/토목사업팀_표준서.html", "표준서 열기")</f>
        <v/>
      </c>
      <c r="O4" s="156" t="inlineStr">
        <is>
          <t>1) 발주처 지반조사 모니터링 적정성을 확인하였는가? 2) 발주처 기본계획 수행 List + Contact Point List 산출물을 확보하였는가?</t>
        </is>
      </c>
      <c r="P4" s="265">
        <f>HYPERLINK(LEFT(CELL("filename",A1),FIND("[",CELL("filename",A1))-1)&amp;"1.지반조사/03_토목사업팀/수행지침/토목사업팀_수행지침.html", "수행지침서 열기")</f>
        <v/>
      </c>
      <c r="Q4" s="156" t="inlineStr">
        <is>
          <t>1) 시추 심도 및 SPT N치 계측 검측
2) 현장 안전관리 및 산출물 책임감리원 승인</t>
        </is>
      </c>
      <c r="R4" s="266">
        <f>HYPERLINK(LEFT(CELL("filename",A1),FIND("[",CELL("filename",A1))-1)&amp;"1.지반조사/03_토목사업팀/체크리스트/토목사업팀_체크리스트.html", "체크리스트 열기")</f>
        <v/>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64">
        <f>HYPERLINK(LEFT(CELL("filename",A1),FIND("[",CELL("filename",A1))-1)&amp;"1.지반조사/04_-/표준서/-_표준서.html", "표준서 열기")</f>
        <v/>
      </c>
      <c r="O5" s="163" t="inlineStr">
        <is>
          <t>1) 외부 지질전문가 Pool 관리 적정성을 확인하였는가? 2) 외부지질전문가 Pool List 산출물을 확보하였는가?</t>
        </is>
      </c>
      <c r="P5" s="265">
        <f>HYPERLINK(LEFT(CELL("filename",A1),FIND("[",CELL("filename",A1))-1)&amp;"1.지반조사/04_-/수행지침/-_수행지침.html", "수행지침서 열기")</f>
        <v/>
      </c>
      <c r="Q5" s="163" t="inlineStr">
        <is>
          <t>1) 시추 심도 및 SPT N치 계측 검측
2) 현장 안전관리 및 산출물 책임감리원 승인</t>
        </is>
      </c>
      <c r="R5" s="266">
        <f>HYPERLINK(LEFT(CELL("filename",A1),FIND("[",CELL("filename",A1))-1)&amp;"1.지반조사/04_-/체크리스트/-_체크리스트.html", "체크리스트 열기")</f>
        <v/>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64">
        <f>HYPERLINK(LEFT(CELL("filename",A1),FIND("[",CELL("filename",A1))-1)&amp;"1.지반조사/05_포스코스마트엔지니어링팀/표준서/포스코스마트엔지니어링팀_표준서.html", "표준서 열기")</f>
        <v/>
      </c>
      <c r="O6" s="156" t="inlineStr">
        <is>
          <t>1) 지반조사 Pool 관리 적정성을 확인하였는가? 2) 조사업체 POOL/필요시 Update 산출물을 확보하였는가?</t>
        </is>
      </c>
      <c r="P6" s="265">
        <f>HYPERLINK(LEFT(CELL("filename",A1),FIND("[",CELL("filename",A1))-1)&amp;"1.지반조사/05_포스코스마트엔지니어링팀/수행지침/포스코스마트엔지니어링팀_수행지침.html", "수행지침서 열기")</f>
        <v/>
      </c>
      <c r="Q6" s="156" t="inlineStr">
        <is>
          <t>1) 시추 심도 및 SPT N치 계측 검측
2) 현장 안전관리 및 산출물 책임감리원 승인</t>
        </is>
      </c>
      <c r="R6" s="266">
        <f>HYPERLINK(LEFT(CELL("filename",A1),FIND("[",CELL("filename",A1))-1)&amp;"1.지반조사/05_포스코스마트엔지니어링팀/체크리스트/포스코스마트엔지니어링팀_체크리스트.html", "체크리스트 열기")</f>
        <v/>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64">
        <f>HYPERLINK(LEFT(CELL("filename",A1),FIND("[",CELL("filename",A1))-1)&amp;"1.지반조사/06_설계 협력업체/표준서/설계 협력업체_표준서.html", "표준서 열기")</f>
        <v/>
      </c>
      <c r="O7" s="163" t="inlineStr">
        <is>
          <t>1) 기본계획 지반조사 자료 및 R/O 정보 입수 적정성을 확인하였는가? 2) 발주처 기본계획 보고서 및 지반조사 보고서(비공식) 산출물을 확보하였는가?</t>
        </is>
      </c>
      <c r="P7" s="265">
        <f>HYPERLINK(LEFT(CELL("filename",A1),FIND("[",CELL("filename",A1))-1)&amp;"1.지반조사/06_설계 협력업체/수행지침/설계 협력업체_수행지침.html", "수행지침서 열기")</f>
        <v/>
      </c>
      <c r="Q7" s="163" t="inlineStr">
        <is>
          <t>1) 시추 심도 및 SPT N치 계측 검측
2) 현장 안전관리 및 산출물 책임감리원 승인</t>
        </is>
      </c>
      <c r="R7" s="266">
        <f>HYPERLINK(LEFT(CELL("filename",A1),FIND("[",CELL("filename",A1))-1)&amp;"1.지반조사/06_설계 협력업체/체크리스트/설계 협력업체_체크리스트.html", "체크리스트 열기")</f>
        <v/>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64">
        <f>HYPERLINK(LEFT(CELL("filename",A1),FIND("[",CELL("filename",A1))-1)&amp;"1.지반조사/07_토목견적팀/표준서/토목견적팀_표준서.html", "표준서 열기")</f>
        <v/>
      </c>
      <c r="O8" s="156" t="inlineStr">
        <is>
          <t>1) 기본계획 지반조사 R/O 검토 (설계, 공정, 기획) 적정성을 확인하였는가? 2) 기본계획 지반조사 검토서(설계, 공정, 기획) 산출물을 확보하였는가?</t>
        </is>
      </c>
      <c r="P8" s="265">
        <f>HYPERLINK(LEFT(CELL("filename",A1),FIND("[",CELL("filename",A1))-1)&amp;"1.지반조사/07_토목견적팀/수행지침/토목견적팀_수행지침.html", "수행지침서 열기")</f>
        <v/>
      </c>
      <c r="Q8" s="156" t="inlineStr">
        <is>
          <t>1) 시추 심도 및 SPT N치 계측 검측
2) 현장 안전관리 및 산출물 책임감리원 승인</t>
        </is>
      </c>
      <c r="R8" s="266">
        <f>HYPERLINK(LEFT(CELL("filename",A1),FIND("[",CELL("filename",A1))-1)&amp;"1.지반조사/07_토목견적팀/체크리스트/토목견적팀_체크리스트.html", "체크리스트 열기")</f>
        <v/>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64">
        <f>HYPERLINK(LEFT(CELL("filename",A1),FIND("[",CELL("filename",A1))-1)&amp;"1.지반조사/08_포스코스마트엔지니어링팀(설계), 토목수행팀(공정), 토목사업지원팀(기획)/표준서/포스코스마트엔지니어링팀(설계), 토목수행팀(공정), 토목사업지원팀(기획)_표준서.html", "표준서 열기")</f>
        <v/>
      </c>
      <c r="O9" s="163" t="inlineStr">
        <is>
          <t>1) 기본계획 지반조사 R/O 종합검토 (원가) 적정성을 확인하였는가? 2) 기본계획 지반조사 개략 검토서 산출물을 확보하였는가?</t>
        </is>
      </c>
      <c r="P9" s="265">
        <f>HYPERLINK(LEFT(CELL("filename",A1),FIND("[",CELL("filename",A1))-1)&amp;"1.지반조사/08_포스코스마트엔지니어링팀(설계), 토목수행팀(공정), 토목사업지원팀(기획)/수행지침/포스코스마트엔지니어링팀(설계), 토목수행팀(공정), 토목사업지원팀(기획)_수행지침.html", "수행지침서 열기")</f>
        <v/>
      </c>
      <c r="Q9" s="163" t="inlineStr">
        <is>
          <t>1) 시추 심도 및 SPT N치 계측 검측
2) 현장 안전관리 및 산출물 책임감리원 승인</t>
        </is>
      </c>
      <c r="R9" s="266">
        <f>HYPERLINK(LEFT(CELL("filename",A1),FIND("[",CELL("filename",A1))-1)&amp;"1.지반조사/08_포스코스마트엔지니어링팀(설계), 토목수행팀(공정), 토목사업지원팀(기획)/체크리스트/포스코스마트엔지니어링팀(설계), 토목수행팀(공정), 토목사업지원팀(기획)_체크리스트.html", "체크리스트 열기")</f>
        <v/>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64">
        <f>HYPERLINK(LEFT(CELL("filename",A1),FIND("[",CELL("filename",A1))-1)&amp;"1.지반조사/09_포스코스마트엔지니어링팀/표준서/포스코스마트엔지니어링팀_표준서.html", "표준서 열기")</f>
        <v/>
      </c>
      <c r="O10" s="156" t="inlineStr">
        <is>
          <t>1) 지반조사 업체 선정 적정성을 확인하였는가? 2) 지반조사 입찰 참여 Pool 산출물을 확보하였는가?</t>
        </is>
      </c>
      <c r="P10" s="265">
        <f>HYPERLINK(LEFT(CELL("filename",A1),FIND("[",CELL("filename",A1))-1)&amp;"1.지반조사/09_포스코스마트엔지니어링팀/수행지침/포스코스마트엔지니어링팀_수행지침.html", "수행지침서 열기")</f>
        <v/>
      </c>
      <c r="Q10" s="156" t="inlineStr">
        <is>
          <t>1) 시추 심도 및 SPT N치 계측 검측
2) 현장 안전관리 및 산출물 책임감리원 승인</t>
        </is>
      </c>
      <c r="R10" s="266">
        <f>HYPERLINK(LEFT(CELL("filename",A1),FIND("[",CELL("filename",A1))-1)&amp;"1.지반조사/09_포스코스마트엔지니어링팀/체크리스트/포스코스마트엔지니어링팀_체크리스트.html", "체크리스트 열기")</f>
        <v/>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64">
        <f>HYPERLINK(LEFT(CELL("filename",A1),FIND("[",CELL("filename",A1))-1)&amp;"1.지반조사/10_포스코스마트엔지니어링팀/표준서/포스코스마트엔지니어링팀_표준서.html", "표준서 열기")</f>
        <v/>
      </c>
      <c r="O11" s="163" t="inlineStr">
        <is>
          <t>1) 지반조사 업체 계약 적정성을 확인하였는가? 2) 지반조사 용역 계약서 산출물을 확보하였는가?</t>
        </is>
      </c>
      <c r="P11" s="265">
        <f>HYPERLINK(LEFT(CELL("filename",A1),FIND("[",CELL("filename",A1))-1)&amp;"1.지반조사/10_포스코스마트엔지니어링팀/수행지침/포스코스마트엔지니어링팀_수행지침.html", "수행지침서 열기")</f>
        <v/>
      </c>
      <c r="Q11" s="163" t="inlineStr">
        <is>
          <t>1) 시추 심도 및 SPT N치 계측 검측
2) 현장 안전관리 및 산출물 책임감리원 승인</t>
        </is>
      </c>
      <c r="R11" s="266">
        <f>HYPERLINK(LEFT(CELL("filename",A1),FIND("[",CELL("filename",A1))-1)&amp;"1.지반조사/10_포스코스마트엔지니어링팀/체크리스트/포스코스마트엔지니어링팀_체크리스트.html", "체크리스트 열기")</f>
        <v/>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64">
        <f>HYPERLINK(LEFT(CELL("filename",A1),FIND("[",CELL("filename",A1))-1)&amp;"1.지반조사/11_지반조사업체/표준서/지반조사업체_표준서.html", "표준서 열기")</f>
        <v/>
      </c>
      <c r="O12" s="156" t="inlineStr">
        <is>
          <t>1) 지반조사 항목, 수량 및 위치검토 적정성을 확인하였는가? 2) 지반조사 계획서 산출물을 확보하였는가?</t>
        </is>
      </c>
      <c r="P12" s="265">
        <f>HYPERLINK(LEFT(CELL("filename",A1),FIND("[",CELL("filename",A1))-1)&amp;"1.지반조사/11_지반조사업체/수행지침/지반조사업체_수행지침.html", "수행지침서 열기")</f>
        <v/>
      </c>
      <c r="Q12" s="156" t="inlineStr">
        <is>
          <t>1) 시추 심도 및 SPT N치 계측 검측
2) 현장 안전관리 및 산출물 책임감리원 승인</t>
        </is>
      </c>
      <c r="R12" s="266">
        <f>HYPERLINK(LEFT(CELL("filename",A1),FIND("[",CELL("filename",A1))-1)&amp;"1.지반조사/11_지반조사업체/체크리스트/지반조사업체_체크리스트.html", "체크리스트 열기")</f>
        <v/>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64">
        <f>HYPERLINK(LEFT(CELL("filename",A1),FIND("[",CELL("filename",A1))-1)&amp;"1.지반조사/12_포스코스마트엔지니어링팀/표준서/포스코스마트엔지니어링팀_표준서.html", "표준서 열기")</f>
        <v/>
      </c>
      <c r="O13" s="163" t="inlineStr">
        <is>
          <t>1) 지반조사계획 적정성 심사의뢰 적정성을 확인하였는가? 2) 지반조사계획 의견서 산출물을 확보하였는가?</t>
        </is>
      </c>
      <c r="P13" s="265">
        <f>HYPERLINK(LEFT(CELL("filename",A1),FIND("[",CELL("filename",A1))-1)&amp;"1.지반조사/12_포스코스마트엔지니어링팀/수행지침/포스코스마트엔지니어링팀_수행지침.html", "수행지침서 열기")</f>
        <v/>
      </c>
      <c r="Q13" s="163" t="inlineStr">
        <is>
          <t>1) 시추 심도 및 SPT N치 계측 검측
2) 현장 안전관리 및 산출물 책임감리원 승인</t>
        </is>
      </c>
      <c r="R13" s="266">
        <f>HYPERLINK(LEFT(CELL("filename",A1),FIND("[",CELL("filename",A1))-1)&amp;"1.지반조사/12_포스코스마트엔지니어링팀/체크리스트/포스코스마트엔지니어링팀_체크리스트.html", "체크리스트 열기")</f>
        <v/>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64">
        <f>HYPERLINK(LEFT(CELL("filename",A1),FIND("[",CELL("filename",A1))-1)&amp;"1.지반조사/13_포스코스마트엔지니어링팀/표준서/포스코스마트엔지니어링팀_표준서.html", "표준서 열기")</f>
        <v/>
      </c>
      <c r="O14" s="156" t="inlineStr">
        <is>
          <t>1) 지반조사 인허가 적정성을 확인하였는가? 2) 인허가 서류 산출물을 확보하였는가?</t>
        </is>
      </c>
      <c r="P14" s="265">
        <f>HYPERLINK(LEFT(CELL("filename",A1),FIND("[",CELL("filename",A1))-1)&amp;"1.지반조사/13_포스코스마트엔지니어링팀/수행지침/포스코스마트엔지니어링팀_수행지침.html", "수행지침서 열기")</f>
        <v/>
      </c>
      <c r="Q14" s="156" t="inlineStr">
        <is>
          <t>1) 시추 심도 및 SPT N치 계측 검측
2) 현장 안전관리 및 산출물 책임감리원 승인</t>
        </is>
      </c>
      <c r="R14" s="266">
        <f>HYPERLINK(LEFT(CELL("filename",A1),FIND("[",CELL("filename",A1))-1)&amp;"1.지반조사/13_포스코스마트엔지니어링팀/체크리스트/포스코스마트엔지니어링팀_체크리스트.html", "체크리스트 열기")</f>
        <v/>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64">
        <f>HYPERLINK(LEFT(CELL("filename",A1),FIND("[",CELL("filename",A1))-1)&amp;"1.지반조사/14_외부지질전문가 3인 이상, 지반조사업체/표준서/외부지질전문가 3인 이상, 지반조사업체_표준서.html", "표준서 열기")</f>
        <v/>
      </c>
      <c r="O15" s="163" t="inlineStr">
        <is>
          <t>1) 지반조사 항목, 수량 및 위치 보완 적정성을 확인하였는가? 2) 지반조사 용역 계약서 산출물을 확보하였는가?</t>
        </is>
      </c>
      <c r="P15" s="265">
        <f>HYPERLINK(LEFT(CELL("filename",A1),FIND("[",CELL("filename",A1))-1)&amp;"1.지반조사/14_외부지질전문가 3인 이상, 지반조사업체/수행지침/외부지질전문가 3인 이상, 지반조사업체_수행지침.html", "수행지침서 열기")</f>
        <v/>
      </c>
      <c r="Q15" s="163" t="inlineStr">
        <is>
          <t>1) 시추 심도 및 SPT N치 계측 검측
2) 현장 안전관리 및 산출물 책임감리원 승인</t>
        </is>
      </c>
      <c r="R15" s="266">
        <f>HYPERLINK(LEFT(CELL("filename",A1),FIND("[",CELL("filename",A1))-1)&amp;"1.지반조사/14_외부지질전문가 3인 이상, 지반조사업체/체크리스트/외부지질전문가 3인 이상, 지반조사업체_체크리스트.html", "체크리스트 열기")</f>
        <v/>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64">
        <f>HYPERLINK(LEFT(CELL("filename",A1),FIND("[",CELL("filename",A1))-1)&amp;"1.지반조사/15_포스코스마트엔지니어링팀/표준서/포스코스마트엔지니어링팀_표준서.html", "표준서 열기")</f>
        <v/>
      </c>
      <c r="O16" s="156" t="inlineStr">
        <is>
          <t>1) 지반조사 수행 적정성을 확인하였는가? 2) 지반조사 보고서, 시추 Core 및 샘플 산출물을 확보하였는가?</t>
        </is>
      </c>
      <c r="P16" s="265">
        <f>HYPERLINK(LEFT(CELL("filename",A1),FIND("[",CELL("filename",A1))-1)&amp;"1.지반조사/15_포스코스마트엔지니어링팀/수행지침/포스코스마트엔지니어링팀_수행지침.html", "수행지침서 열기")</f>
        <v/>
      </c>
      <c r="Q16" s="156" t="inlineStr">
        <is>
          <t>1) 시추 심도 및 SPT N치 계측 검측
2) 현장 안전관리 및 산출물 책임감리원 승인</t>
        </is>
      </c>
      <c r="R16" s="266">
        <f>HYPERLINK(LEFT(CELL("filename",A1),FIND("[",CELL("filename",A1))-1)&amp;"1.지반조사/15_포스코스마트엔지니어링팀/체크리스트/포스코스마트엔지니어링팀_체크리스트.html", "체크리스트 열기")</f>
        <v/>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64">
        <f>HYPERLINK(LEFT(CELL("filename",A1),FIND("[",CELL("filename",A1))-1)&amp;"1.지반조사/16_포스코스마트엔지니어링팀, 지반조사업체/표준서/포스코스마트엔지니어링팀, 지반조사업체_표준서.html", "표준서 열기")</f>
        <v/>
      </c>
      <c r="O17" s="163" t="inlineStr">
        <is>
          <t>1) 지반조사 수렴 결과 분석 적정성을 확인하였는가? 2) 지반조사 결과 분석 의견서 산출물을 확보하였는가?</t>
        </is>
      </c>
      <c r="P17" s="265">
        <f>HYPERLINK(LEFT(CELL("filename",A1),FIND("[",CELL("filename",A1))-1)&amp;"1.지반조사/16_포스코스마트엔지니어링팀, 지반조사업체/수행지침/포스코스마트엔지니어링팀, 지반조사업체_수행지침.html", "수행지침서 열기")</f>
        <v/>
      </c>
      <c r="Q17" s="163" t="inlineStr">
        <is>
          <t>1) 시추 심도 및 SPT N치 계측 검측
2) 현장 안전관리 및 산출물 책임감리원 승인</t>
        </is>
      </c>
      <c r="R17" s="266">
        <f>HYPERLINK(LEFT(CELL("filename",A1),FIND("[",CELL("filename",A1))-1)&amp;"1.지반조사/16_포스코스마트엔지니어링팀, 지반조사업체/체크리스트/포스코스마트엔지니어링팀, 지반조사업체_체크리스트.html", "체크리스트 열기")</f>
        <v/>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64">
        <f>HYPERLINK(LEFT(CELL("filename",A1),FIND("[",CELL("filename",A1))-1)&amp;"1.지반조사/17_포스코스마트엔지니어링팀/표준서/포스코스마트엔지니어링팀_표준서.html", "표준서 열기")</f>
        <v/>
      </c>
      <c r="O18" s="156" t="inlineStr">
        <is>
          <t>1) 입찰설계 지반조사 R/O 검토 (설계, 원가, 공정, 기타) 적정성을 확인하였는가? 2) 입찰설계 지반조사 검토서(설계, 원가, 공정, 기타) 산출물을 확보하였는가?</t>
        </is>
      </c>
      <c r="P18" s="265">
        <f>HYPERLINK(LEFT(CELL("filename",A1),FIND("[",CELL("filename",A1))-1)&amp;"1.지반조사/17_포스코스마트엔지니어링팀/수행지침/포스코스마트엔지니어링팀_수행지침.html", "수행지침서 열기")</f>
        <v/>
      </c>
      <c r="Q18" s="156" t="inlineStr">
        <is>
          <t>1) 시추 심도 및 SPT N치 계측 검측
2) 현장 안전관리 및 산출물 책임감리원 승인</t>
        </is>
      </c>
      <c r="R18" s="266">
        <f>HYPERLINK(LEFT(CELL("filename",A1),FIND("[",CELL("filename",A1))-1)&amp;"1.지반조사/17_포스코스마트엔지니어링팀/체크리스트/포스코스마트엔지니어링팀_체크리스트.html", "체크리스트 열기")</f>
        <v/>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64">
        <f>HYPERLINK(LEFT(CELL("filename",A1),FIND("[",CELL("filename",A1))-1)&amp;"1.지반조사/18_토목견적팀(원가), 토목수행팀(공정), 토목사업지원팀(기획)/표준서/토목견적팀(원가), 토목수행팀(공정), 토목사업지원팀(기획)_표준서.html", "표준서 열기")</f>
        <v/>
      </c>
      <c r="O19" s="163" t="inlineStr">
        <is>
          <t>1) 지반조사 결과 R/O 종합검토 적정성을 확인하였는가? 2) 입찰설계 R/O 검토서 산출물을 확보하였는가?</t>
        </is>
      </c>
      <c r="P19" s="265">
        <f>HYPERLINK(LEFT(CELL("filename",A1),FIND("[",CELL("filename",A1))-1)&amp;"1.지반조사/18_토목견적팀(원가), 토목수행팀(공정), 토목사업지원팀(기획)/수행지침/토목견적팀(원가), 토목수행팀(공정), 토목사업지원팀(기획)_수행지침.html", "수행지침서 열기")</f>
        <v/>
      </c>
      <c r="Q19" s="163" t="inlineStr">
        <is>
          <t>1) 시추 심도 및 SPT N치 계측 검측
2) 현장 안전관리 및 산출물 책임감리원 승인</t>
        </is>
      </c>
      <c r="R19" s="266">
        <f>HYPERLINK(LEFT(CELL("filename",A1),FIND("[",CELL("filename",A1))-1)&amp;"1.지반조사/18_토목견적팀(원가), 토목수행팀(공정), 토목사업지원팀(기획)/체크리스트/토목견적팀(원가), 토목수행팀(공정), 토목사업지원팀(기획)_체크리스트.html", "체크리스트 열기")</f>
        <v/>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64">
        <f>HYPERLINK(LEFT(CELL("filename",A1),FIND("[",CELL("filename",A1))-1)&amp;"1.지반조사/19_토목견적팀, 토목사업지원팀/표준서/토목견적팀, 토목사업지원팀_표준서.html", "표준서 열기")</f>
        <v/>
      </c>
      <c r="O20" s="156" t="inlineStr">
        <is>
          <t>1) REM 수립 적정성을 확인하였는가? 2) REM 회의록 산출물을 확보하였는가?</t>
        </is>
      </c>
      <c r="P20" s="265">
        <f>HYPERLINK(LEFT(CELL("filename",A1),FIND("[",CELL("filename",A1))-1)&amp;"1.지반조사/19_토목견적팀, 토목사업지원팀/수행지침/토목견적팀, 토목사업지원팀_수행지침.html", "수행지침서 열기")</f>
        <v/>
      </c>
      <c r="Q20" s="156" t="inlineStr">
        <is>
          <t>1) 시추 심도 및 SPT N치 계측 검측
2) 현장 안전관리 및 산출물 책임감리원 승인</t>
        </is>
      </c>
      <c r="R20" s="266">
        <f>HYPERLINK(LEFT(CELL("filename",A1),FIND("[",CELL("filename",A1))-1)&amp;"1.지반조사/19_토목견적팀, 토목사업지원팀/체크리스트/토목견적팀, 토목사업지원팀_체크리스트.html", "체크리스트 열기")</f>
        <v/>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64">
        <f>HYPERLINK(LEFT(CELL("filename",A1),FIND("[",CELL("filename",A1))-1)&amp;"1.지반조사/20_토목견적팀(원가), 토목수행팀(공정), 토목사업지원팀(기획)/표준서/토목견적팀(원가), 토목수행팀(공정), 토목사업지원팀(기획)_표준서.html", "표준서 열기")</f>
        <v/>
      </c>
      <c r="O21" s="163" t="inlineStr">
        <is>
          <t>1) 추가지반조사 계획 수립 적정성을 확인하였는가? 2) 추가지반조사 List 산출물을 확보하였는가?</t>
        </is>
      </c>
      <c r="P21" s="265">
        <f>HYPERLINK(LEFT(CELL("filename",A1),FIND("[",CELL("filename",A1))-1)&amp;"1.지반조사/20_토목견적팀(원가), 토목수행팀(공정), 토목사업지원팀(기획)/수행지침/토목견적팀(원가), 토목수행팀(공정), 토목사업지원팀(기획)_수행지침.html", "수행지침서 열기")</f>
        <v/>
      </c>
      <c r="Q21" s="163" t="inlineStr">
        <is>
          <t>1) 시추 심도 및 SPT N치 계측 검측
2) 현장 안전관리 및 산출물 책임감리원 승인</t>
        </is>
      </c>
      <c r="R21" s="266">
        <f>HYPERLINK(LEFT(CELL("filename",A1),FIND("[",CELL("filename",A1))-1)&amp;"1.지반조사/20_토목견적팀(원가), 토목수행팀(공정), 토목사업지원팀(기획)/체크리스트/토목견적팀(원가), 토목수행팀(공정), 토목사업지원팀(기획)_체크리스트.html", "체크리스트 열기")</f>
        <v/>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64">
        <f>HYPERLINK(LEFT(CELL("filename",A1),FIND("[",CELL("filename",A1))-1)&amp;"1.지반조사/21_현장 공사팀/표준서/현장 공사팀_표준서.html", "표준서 열기")</f>
        <v/>
      </c>
      <c r="O22" s="156" t="inlineStr">
        <is>
          <t>1) 3D GPR탐사 장비 사양(차량형) 검토 적정성을 확인하였는가? 2) - 산출물을 확보하였는가?</t>
        </is>
      </c>
      <c r="P22" s="265">
        <f>HYPERLINK(LEFT(CELL("filename",A1),FIND("[",CELL("filename",A1))-1)&amp;"1.지반조사/21_현장 공사팀/수행지침/현장 공사팀_수행지침.html", "수행지침서 열기")</f>
        <v/>
      </c>
      <c r="Q22" s="156" t="inlineStr">
        <is>
          <t>1) 시추 심도 및 SPT N치 계측 검측
2) 현장 안전관리 및 산출물 책임감리원 승인</t>
        </is>
      </c>
      <c r="R22" s="266">
        <f>HYPERLINK(LEFT(CELL("filename",A1),FIND("[",CELL("filename",A1))-1)&amp;"1.지반조사/21_현장 공사팀/체크리스트/현장 공사팀_체크리스트.html", "체크리스트 열기")</f>
        <v/>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64">
        <f>HYPERLINK(LEFT(CELL("filename",A1),FIND("[",CELL("filename",A1))-1)&amp;"1.지반조사/22_포스코스마트엔지니어링팀, 토목수행팀, 토목사업지원팀/표준서/포스코스마트엔지니어링팀, 토목수행팀, 토목사업지원팀_표준서.html", "표준서 열기")</f>
        <v/>
      </c>
      <c r="O23" s="163" t="inlineStr">
        <is>
          <t>1) ECRM 수립 적정성을 확인하였는가? 2) 입찰설계 지반조사 검토서(설계, 원가, 공정, 기타) 산출물을 확보하였는가?</t>
        </is>
      </c>
      <c r="P23" s="265">
        <f>HYPERLINK(LEFT(CELL("filename",A1),FIND("[",CELL("filename",A1))-1)&amp;"1.지반조사/22_포스코스마트엔지니어링팀, 토목수행팀, 토목사업지원팀/수행지침/포스코스마트엔지니어링팀, 토목수행팀, 토목사업지원팀_수행지침.html", "수행지침서 열기")</f>
        <v/>
      </c>
      <c r="Q23" s="163" t="inlineStr">
        <is>
          <t>1) 시추 심도 및 SPT N치 계측 검측
2) 현장 안전관리 및 산출물 책임감리원 승인</t>
        </is>
      </c>
      <c r="R23" s="266">
        <f>HYPERLINK(LEFT(CELL("filename",A1),FIND("[",CELL("filename",A1))-1)&amp;"1.지반조사/22_포스코스마트엔지니어링팀, 토목수행팀, 토목사업지원팀/체크리스트/포스코스마트엔지니어링팀, 토목수행팀, 토목사업지원팀_체크리스트.html", "체크리스트 열기")</f>
        <v/>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64">
        <f>HYPERLINK(LEFT(CELL("filename",A1),FIND("[",CELL("filename",A1))-1)&amp;"1.지반조사/23_-/표준서/-_표준서.html", "표준서 열기")</f>
        <v/>
      </c>
      <c r="O24" s="156" t="inlineStr">
        <is>
          <t>1) 최종 Cost 검토 / 입찰 적정성을 확인하였는가? 2) 투찰내역서 산출물을 확보하였는가?</t>
        </is>
      </c>
      <c r="P24" s="265">
        <f>HYPERLINK(LEFT(CELL("filename",A1),FIND("[",CELL("filename",A1))-1)&amp;"1.지반조사/23_-/수행지침/-_수행지침.html", "수행지침서 열기")</f>
        <v/>
      </c>
      <c r="Q24" s="156" t="inlineStr">
        <is>
          <t>1) 시추 심도 및 SPT N치 계측 검측
2) 현장 안전관리 및 산출물 책임감리원 승인</t>
        </is>
      </c>
      <c r="R24" s="266">
        <f>HYPERLINK(LEFT(CELL("filename",A1),FIND("[",CELL("filename",A1))-1)&amp;"1.지반조사/23_-/체크리스트/-_체크리스트.html", "체크리스트 열기")</f>
        <v/>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64">
        <f>HYPERLINK(LEFT(CELL("filename",A1),FIND("[",CELL("filename",A1))-1)&amp;"1.지반조사/24_토목수행팀/표준서/토목수행팀_표준서.html", "표준서 열기")</f>
        <v/>
      </c>
      <c r="O25" s="163" t="inlineStr">
        <is>
          <t>1) 입찰설계 현장 인수인계 적정성을 확인하였는가? 2) 인수인계서 산출물을 확보하였는가?</t>
        </is>
      </c>
      <c r="P25" s="265">
        <f>HYPERLINK(LEFT(CELL("filename",A1),FIND("[",CELL("filename",A1))-1)&amp;"1.지반조사/24_토목수행팀/수행지침/토목수행팀_수행지침.html", "수행지침서 열기")</f>
        <v/>
      </c>
      <c r="Q25" s="163" t="inlineStr">
        <is>
          <t>1) 시추 심도 및 SPT N치 계측 검측
2) 현장 안전관리 및 산출물 책임감리원 승인</t>
        </is>
      </c>
      <c r="R25" s="266">
        <f>HYPERLINK(LEFT(CELL("filename",A1),FIND("[",CELL("filename",A1))-1)&amp;"1.지반조사/24_토목수행팀/체크리스트/토목수행팀_체크리스트.html", "체크리스트 열기")</f>
        <v/>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64">
        <f>HYPERLINK(LEFT(CELL("filename",A1),FIND("[",CELL("filename",A1))-1)&amp;"1.지반조사/25_현장 공사팀_공무팀, 포스코스마트엔지니어링팀, 토목수행팀/표준서/현장 공사팀_공무팀, 포스코스마트엔지니어링팀, 토목수행팀_표준서.html", "표준서 열기")</f>
        <v/>
      </c>
      <c r="O26" s="156" t="inlineStr">
        <is>
          <t>1) 추가지반조사 수행 적정성을 확인하였는가? 2) 추가 지반조사 보고서 산출물을 확보하였는가?</t>
        </is>
      </c>
      <c r="P26" s="265">
        <f>HYPERLINK(LEFT(CELL("filename",A1),FIND("[",CELL("filename",A1))-1)&amp;"1.지반조사/25_현장 공사팀_공무팀, 포스코스마트엔지니어링팀, 토목수행팀/수행지침/현장 공사팀_공무팀, 포스코스마트엔지니어링팀, 토목수행팀_수행지침.html", "수행지침서 열기")</f>
        <v/>
      </c>
      <c r="Q26" s="156" t="inlineStr">
        <is>
          <t>1) 시추 심도 및 SPT N치 계측 검측
2) 현장 안전관리 및 산출물 책임감리원 승인</t>
        </is>
      </c>
      <c r="R26" s="266">
        <f>HYPERLINK(LEFT(CELL("filename",A1),FIND("[",CELL("filename",A1))-1)&amp;"1.지반조사/25_현장 공사팀_공무팀, 포스코스마트엔지니어링팀, 토목수행팀/체크리스트/현장 공사팀_공무팀, 포스코스마트엔지니어링팀, 토목수행팀_체크리스트.html", "체크리스트 열기")</f>
        <v/>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64">
        <f>HYPERLINK(LEFT(CELL("filename",A1),FIND("[",CELL("filename",A1))-1)&amp;"1.지반조사/26_현장 공사팀_공무팀, 포스코스마트엔지니어링팀, 토목수행팀/표준서/현장 공사팀_공무팀, 포스코스마트엔지니어링팀, 토목수행팀_표준서.html", "표준서 열기")</f>
        <v/>
      </c>
      <c r="O27" s="163" t="inlineStr">
        <is>
          <t>1) 추가지반조사 결과 분석 적정성을 확인하였는가? 2) 추가 지반조사결과 종합보고서 산출물을 확보하였는가?</t>
        </is>
      </c>
      <c r="P27" s="265">
        <f>HYPERLINK(LEFT(CELL("filename",A1),FIND("[",CELL("filename",A1))-1)&amp;"1.지반조사/26_현장 공사팀_공무팀, 포스코스마트엔지니어링팀, 토목수행팀/수행지침/현장 공사팀_공무팀, 포스코스마트엔지니어링팀, 토목수행팀_수행지침.html", "수행지침서 열기")</f>
        <v/>
      </c>
      <c r="Q27" s="163" t="inlineStr">
        <is>
          <t>1) 시추 심도 및 SPT N치 계측 검측
2) 현장 안전관리 및 산출물 책임감리원 승인</t>
        </is>
      </c>
      <c r="R27" s="266">
        <f>HYPERLINK(LEFT(CELL("filename",A1),FIND("[",CELL("filename",A1))-1)&amp;"1.지반조사/26_현장 공사팀_공무팀, 포스코스마트엔지니어링팀, 토목수행팀/체크리스트/현장 공사팀_공무팀, 포스코스마트엔지니어링팀, 토목수행팀_체크리스트.html", "체크리스트 열기")</f>
        <v/>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64">
        <f>HYPERLINK(LEFT(CELL("filename",A1),FIND("[",CELL("filename",A1))-1)&amp;"1.지반조사/27_현장 공사팀_품질팀_공무팀, 토목견적팀(원가), 토목수행팀(공정), 토목사업지원팀(기획)/표준서/현장 공사팀_품질팀_공무팀, 토목견적팀(원가), 토목수행팀(공정), 토목사업지원팀(기획)_표준서.html", "표준서 열기")</f>
        <v/>
      </c>
      <c r="O28" s="156" t="inlineStr">
        <is>
          <t>1) 실시설계 지반조사 R/O 검토 (설계, 원가, 공정, 기타) 적정성을 확인하였는가? 2) 실시설계 지반조사 검토서(설계, 원가, 공정, 기타) 산출물을 확보하였는가?</t>
        </is>
      </c>
      <c r="P28" s="265">
        <f>HYPERLINK(LEFT(CELL("filename",A1),FIND("[",CELL("filename",A1))-1)&amp;"1.지반조사/27_현장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8" s="156" t="inlineStr">
        <is>
          <t>1) 시추 심도 및 SPT N치 계측 검측
2) 현장 안전관리 및 산출물 책임감리원 승인</t>
        </is>
      </c>
      <c r="R28" s="266">
        <f>HYPERLINK(LEFT(CELL("filename",A1),FIND("[",CELL("filename",A1))-1)&amp;"1.지반조사/27_현장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64">
        <f>HYPERLINK(LEFT(CELL("filename",A1),FIND("[",CELL("filename",A1))-1)&amp;"1.지반조사/28_현장 공사팀_품질팀_공무팀, 토목견적팀(원가), 토목수행팀(공정), 토목사업지원팀(기획)/표준서/현장 공사팀_품질팀_공무팀, 토목견적팀(원가), 토목수행팀(공정), 토목사업지원팀(기획)_표준서.html", "표준서 열기")</f>
        <v/>
      </c>
      <c r="O29" s="163" t="inlineStr">
        <is>
          <t>1) 실시설계 추가지반조사 결과 검토 적정성을 확인하였는가? 2) 실시설계 최종 R/O 산출물을 확보하였는가?</t>
        </is>
      </c>
      <c r="P29" s="265">
        <f>HYPERLINK(LEFT(CELL("filename",A1),FIND("[",CELL("filename",A1))-1)&amp;"1.지반조사/28_현장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9" s="163" t="inlineStr">
        <is>
          <t>1) 시추 심도 및 SPT N치 계측 검측
2) 현장 안전관리 및 산출물 책임감리원 승인</t>
        </is>
      </c>
      <c r="R29" s="266">
        <f>HYPERLINK(LEFT(CELL("filename",A1),FIND("[",CELL("filename",A1))-1)&amp;"1.지반조사/28_현장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64">
        <f>HYPERLINK(LEFT(CELL("filename",A1),FIND("[",CELL("filename",A1))-1)&amp;"1.지반조사/29_토목수행팀/표준서/토목수행팀_표준서.html", "표준서 열기")</f>
        <v/>
      </c>
      <c r="O30" s="156" t="inlineStr">
        <is>
          <t>1) 최종 R/O 이행방안 수립 적정성을 확인하였는가? 2) 최종 R/O 이행계획서 산출물을 확보하였는가?</t>
        </is>
      </c>
      <c r="P30" s="265">
        <f>HYPERLINK(LEFT(CELL("filename",A1),FIND("[",CELL("filename",A1))-1)&amp;"1.지반조사/29_토목수행팀/수행지침/토목수행팀_수행지침.html", "수행지침서 열기")</f>
        <v/>
      </c>
      <c r="Q30" s="156" t="inlineStr">
        <is>
          <t>1) 시추 심도 및 SPT N치 계측 검측
2) 현장 안전관리 및 산출물 책임감리원 승인</t>
        </is>
      </c>
      <c r="R30" s="266">
        <f>HYPERLINK(LEFT(CELL("filename",A1),FIND("[",CELL("filename",A1))-1)&amp;"1.지반조사/29_토목수행팀/체크리스트/토목수행팀_체크리스트.html", "체크리스트 열기")</f>
        <v/>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64">
        <f>HYPERLINK(LEFT(CELL("filename",A1),FIND("[",CELL("filename",A1))-1)&amp;"1.지반조사/30_현장 공사팀_공무팀/표준서/현장 공사팀_공무팀_표준서.html", "표준서 열기")</f>
        <v/>
      </c>
      <c r="O31" s="163" t="inlineStr">
        <is>
          <t>1) 외부지질전문가 업무평가 적정성을 확인하였는가? 2) 외부지질 전문가 업무평가서 산출물을 확보하였는가?</t>
        </is>
      </c>
      <c r="P31" s="265">
        <f>HYPERLINK(LEFT(CELL("filename",A1),FIND("[",CELL("filename",A1))-1)&amp;"1.지반조사/30_현장 공사팀_공무팀/수행지침/현장 공사팀_공무팀_수행지침.html", "수행지침서 열기")</f>
        <v/>
      </c>
      <c r="Q31" s="163" t="inlineStr">
        <is>
          <t>1) 시추 심도 및 SPT N치 계측 검측
2) 현장 안전관리 및 산출물 책임감리원 승인</t>
        </is>
      </c>
      <c r="R31" s="266">
        <f>HYPERLINK(LEFT(CELL("filename",A1),FIND("[",CELL("filename",A1))-1)&amp;"1.지반조사/30_현장 공사팀_공무팀/체크리스트/현장 공사팀_공무팀_체크리스트.html", "체크리스트 열기")</f>
        <v/>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64">
        <f>HYPERLINK(LEFT(CELL("filename",A1),FIND("[",CELL("filename",A1))-1)&amp;"1.지반조사/31_현장 공사팀_공무팀/표준서/현장 공사팀_공무팀_표준서.html", "표준서 열기")</f>
        <v/>
      </c>
      <c r="O32" s="156" t="inlineStr">
        <is>
          <t>1) 조사업체 PM 업무평가 적정성을 확인하였는가? 2) PM업무평가서 산출물을 확보하였는가?</t>
        </is>
      </c>
      <c r="P32" s="265">
        <f>HYPERLINK(LEFT(CELL("filename",A1),FIND("[",CELL("filename",A1))-1)&amp;"1.지반조사/31_현장 공사팀_공무팀/수행지침/현장 공사팀_공무팀_수행지침.html", "수행지침서 열기")</f>
        <v/>
      </c>
      <c r="Q32" s="156" t="inlineStr">
        <is>
          <t>1) 시추 심도 및 SPT N치 계측 검측
2) 현장 안전관리 및 산출물 책임감리원 승인</t>
        </is>
      </c>
      <c r="R32" s="266">
        <f>HYPERLINK(LEFT(CELL("filename",A1),FIND("[",CELL("filename",A1))-1)&amp;"1.지반조사/31_현장 공사팀_공무팀/체크리스트/현장 공사팀_공무팀_체크리스트.html", "체크리스트 열기")</f>
        <v/>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64">
        <f>HYPERLINK(LEFT(CELL("filename",A1),FIND("[",CELL("filename",A1))-1)&amp;"1.지반조사/32_현장 공사팀_공무팀/표준서/현장 공사팀_공무팀_표준서.html", "표준서 열기")</f>
        <v/>
      </c>
      <c r="O33" s="163" t="inlineStr">
        <is>
          <t>1) 지반조사업체 업무평가 적정성을 확인하였는가? 2) 협력업체 업무평가서 산출물을 확보하였는가?</t>
        </is>
      </c>
      <c r="P33" s="265">
        <f>HYPERLINK(LEFT(CELL("filename",A1),FIND("[",CELL("filename",A1))-1)&amp;"1.지반조사/32_현장 공사팀_공무팀/수행지침/현장 공사팀_공무팀_수행지침.html", "수행지침서 열기")</f>
        <v/>
      </c>
      <c r="Q33" s="163" t="inlineStr">
        <is>
          <t>1) 시추 심도 및 SPT N치 계측 검측
2) 현장 안전관리 및 산출물 책임감리원 승인</t>
        </is>
      </c>
      <c r="R33" s="266">
        <f>HYPERLINK(LEFT(CELL("filename",A1),FIND("[",CELL("filename",A1))-1)&amp;"1.지반조사/32_현장 공사팀_공무팀/체크리스트/현장 공사팀_공무팀_체크리스트.html", "체크리스트 열기")</f>
        <v/>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64">
        <f>HYPERLINK(LEFT(CELL("filename",A1),FIND("[",CELL("filename",A1))-1)&amp;"1.지반조사/33_현장 공무팀/표준서/현장 공무팀_표준서.html", "표준서 열기")</f>
        <v/>
      </c>
      <c r="O34" s="156" t="inlineStr">
        <is>
          <t>1) 설계변경 LL 리포트 작성 적정성을 확인하였는가? 2) LL리포트 산출물을 확보하였는가?</t>
        </is>
      </c>
      <c r="P34" s="265">
        <f>HYPERLINK(LEFT(CELL("filename",A1),FIND("[",CELL("filename",A1))-1)&amp;"1.지반조사/33_현장 공무팀/수행지침/현장 공무팀_수행지침.html", "수행지침서 열기")</f>
        <v/>
      </c>
      <c r="Q34" s="156" t="inlineStr">
        <is>
          <t>1) 시추 심도 및 SPT N치 계측 검측
2) 현장 안전관리 및 산출물 책임감리원 승인</t>
        </is>
      </c>
      <c r="R34" s="266">
        <f>HYPERLINK(LEFT(CELL("filename",A1),FIND("[",CELL("filename",A1))-1)&amp;"1.지반조사/33_현장 공무팀/체크리스트/현장 공무팀_체크리스트.html", "체크리스트 열기")</f>
        <v/>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64">
        <f>HYPERLINK(LEFT(CELL("filename",A1),FIND("[",CELL("filename",A1))-1)&amp;"1.지반조사/34_현장소장/표준서/현장소장_표준서.html", "표준서 열기")</f>
        <v/>
      </c>
      <c r="O35" s="163" t="inlineStr">
        <is>
          <t>1) 설계변경 LL 리포트 관리 적정성을 확인하였는가? 2) LL리포트 List 산출물을 확보하였는가?</t>
        </is>
      </c>
      <c r="P35" s="265">
        <f>HYPERLINK(LEFT(CELL("filename",A1),FIND("[",CELL("filename",A1))-1)&amp;"1.지반조사/34_현장소장/수행지침/현장소장_수행지침.html", "수행지침서 열기")</f>
        <v/>
      </c>
      <c r="Q35" s="163" t="inlineStr">
        <is>
          <t>1) 시추 심도 및 SPT N치 계측 검측
2) 현장 안전관리 및 산출물 책임감리원 승인</t>
        </is>
      </c>
      <c r="R35" s="266">
        <f>HYPERLINK(LEFT(CELL("filename",A1),FIND("[",CELL("filename",A1))-1)&amp;"1.지반조사/34_현장소장/체크리스트/현장소장_체크리스트.html", "체크리스트 열기")</f>
        <v/>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64">
        <f>HYPERLINK(LEFT(CELL("filename",A1),FIND("[",CELL("filename",A1))-1)&amp;"1.지반조사/35_현장 공무팀/표준서/현장 공무팀_표준서.html", "표준서 열기")</f>
        <v/>
      </c>
      <c r="O36" s="156" t="inlineStr">
        <is>
          <t>1) 지반조사업체 정산계약 적정성을 확인하였는가? 2) 정산계약서 산출물을 확보하였는가?</t>
        </is>
      </c>
      <c r="P36" s="265">
        <f>HYPERLINK(LEFT(CELL("filename",A1),FIND("[",CELL("filename",A1))-1)&amp;"1.지반조사/35_현장 공무팀/수행지침/현장 공무팀_수행지침.html", "수행지침서 열기")</f>
        <v/>
      </c>
      <c r="Q36" s="156" t="inlineStr">
        <is>
          <t>1) 시추 심도 및 SPT N치 계측 검측
2) 현장 안전관리 및 산출물 책임감리원 승인</t>
        </is>
      </c>
      <c r="R36" s="266">
        <f>HYPERLINK(LEFT(CELL("filename",A1),FIND("[",CELL("filename",A1))-1)&amp;"1.지반조사/35_현장 공무팀/체크리스트/현장 공무팀_체크리스트.html", "체크리스트 열기")</f>
        <v/>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64">
        <f>HYPERLINK(LEFT(CELL("filename",A1),FIND("[",CELL("filename",A1))-1)&amp;"1.지반조사/36_현장 공무팀/표준서/현장 공무팀_표준서.html", "표준서 열기")</f>
        <v/>
      </c>
      <c r="O37" s="163" t="inlineStr">
        <is>
          <t>1) 매뉴얼 Update 적정성을 확인하였는가? 2) 지반조사 매뉴얼 산출물을 확보하였는가?</t>
        </is>
      </c>
      <c r="P37" s="265">
        <f>HYPERLINK(LEFT(CELL("filename",A1),FIND("[",CELL("filename",A1))-1)&amp;"1.지반조사/36_현장 공무팀/수행지침/현장 공무팀_수행지침.html", "수행지침서 열기")</f>
        <v/>
      </c>
      <c r="Q37" s="163" t="inlineStr">
        <is>
          <t>1) 시추 심도 및 SPT N치 계측 검측
2) 현장 안전관리 및 산출물 책임감리원 승인</t>
        </is>
      </c>
      <c r="R37" s="266">
        <f>HYPERLINK(LEFT(CELL("filename",A1),FIND("[",CELL("filename",A1))-1)&amp;"1.지반조사/36_현장 공무팀/체크리스트/현장 공무팀_체크리스트.html", "체크리스트 열기")</f>
        <v/>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14">
        <f>HYPERLINK(LEFT(CELL("filename",A1),FIND("[",CELL("filename",A1))-1)&amp;"매뉴얼BODY(집행단계-첨부폴더)v8\5.콘크리트도상\1_설계적정성 검토\수행지침\설계적정성 검토_수행지침.html", "👉 [클릭] 수행지침 열기 📄")</f>
        <v/>
      </c>
      <c r="O2" s="156" t="inlineStr">
        <is>
          <t>설계 도면 간섭 검속, 궤도 중심선 계획 표고 대조, 종단 구배 한계치 준수 확인</t>
        </is>
      </c>
      <c r="P2" s="215">
        <f>HYPERLINK(LEFT(CELL("filename",A1),FIND("[",CELL("filename",A1))-1)&amp;"매뉴얼BODY(집행단계-첨부폴더)v8\5.콘크리트도상\1_설계적정성 검토\체크리스트\설계적정성 검토_체크리스트.html", "👉 [클릭] 체크리스트 열기 📄")</f>
        <v/>
      </c>
      <c r="Q2" s="156" t="n"/>
      <c r="R2" s="203" t="inlineStr">
        <is>
          <t>● 노반부 및 궤도 선형 기하학적 설계 기준 일치성</t>
        </is>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18">
        <f>HYPERLINK(LEFT(CELL("filename",A1),FIND("[",CELL("filename",A1))-1)&amp;"매뉴얼BODY(집행단계-첨부폴더)v8\5.콘크리트도상\2_자재 야적장 선정\수행지침\자재 야적장 선정_수행지침.html", "👉 [클릭] 수행지침 열기 📄")</f>
        <v/>
      </c>
      <c r="O3" s="163" t="inlineStr">
        <is>
          <t>야적장 지반 다짐도 95% 이상, 배수 경사 2% 이상 확보, 자재 천막 덮개 구비</t>
        </is>
      </c>
      <c r="P3" s="219">
        <f>HYPERLINK(LEFT(CELL("filename",A1),FIND("[",CELL("filename",A1))-1)&amp;"매뉴얼BODY(집행단계-첨부폴더)v8\5.콘크리트도상\2_자재 야적장 선정\체크리스트\자재 야적장 선정_체크리스트.html", "👉 [클릭] 체크리스트 열기 📄")</f>
        <v/>
      </c>
      <c r="Q3" s="163" t="n"/>
      <c r="R3" s="208" t="inlineStr">
        <is>
          <t>● 궤도 자재의 환경 보호 및 보관 관리 지침</t>
        </is>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14">
        <f>HYPERLINK(LEFT(CELL("filename",A1),FIND("[",CELL("filename",A1))-1)&amp;"매뉴얼BODY(집행단계-첨부폴더)v8\5.콘크리트도상\3_레일 용접장 선정\수행지침\레일 용접장 선정_수행지침.html", "👉 [클릭] 수행지침 열기 📄")</f>
        <v/>
      </c>
      <c r="O4" s="156" t="inlineStr">
        <is>
          <t>용접장 평탄성 오차 ±1mm 이내, 전력 공급 및 방풍 시설 완비, NDT(비파괴) 대기 공간 확보</t>
        </is>
      </c>
      <c r="P4" s="215">
        <f>HYPERLINK(LEFT(CELL("filename",A1),FIND("[",CELL("filename",A1))-1)&amp;"매뉴얼BODY(집행단계-첨부폴더)v8\5.콘크리트도상\3_레일 용접장 선정\체크리스트\레일 용접장 선정_체크리스트.html", "👉 [클릭] 체크리스트 열기 📄")</f>
        <v/>
      </c>
      <c r="Q4" s="156" t="n"/>
      <c r="R4" s="203" t="inlineStr">
        <is>
          <t>● 장대레일 제작장 확보 및 공간 레이아웃 만족</t>
        </is>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18">
        <f>HYPERLINK(LEFT(CELL("filename",A1),FIND("[",CELL("filename",A1))-1)&amp;"매뉴얼BODY(집행단계-첨부폴더)v8\5.콘크리트도상\4_발주전략 KOM\수행지침\발주전략 KOM_수행지침.html", "👉 [클릭] 수행지침 열기 📄")</f>
        <v/>
      </c>
      <c r="O5" s="163" t="inlineStr">
        <is>
          <t>품질 요구조건 특기시방서 의결, 외산 홈레일 선적일정 검토, 자재 인도 시점 확약</t>
        </is>
      </c>
      <c r="P5" s="219">
        <f>HYPERLINK(LEFT(CELL("filename",A1),FIND("[",CELL("filename",A1))-1)&amp;"매뉴얼BODY(집행단계-첨부폴더)v8\5.콘크리트도상\4_발주전략 KOM\체크리스트\발주전략 KOM_체크리스트.html", "👉 [클릭] 체크리스트 열기 📄")</f>
        <v/>
      </c>
      <c r="Q5" s="163" t="n"/>
      <c r="R5" s="208" t="inlineStr">
        <is>
          <t>● 본사 외주/수행 부서 및 토목견적팀 협의 지침 준수</t>
        </is>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14">
        <f>HYPERLINK(LEFT(CELL("filename",A1),FIND("[",CELL("filename",A1))-1)&amp;"매뉴얼BODY(집행단계-첨부폴더)v8\5.콘크리트도상\5_최고의 팀 만들기 지원\수행지침\최고의 팀 만들기 지원_수행지침.html", "👉 [클릭] 수행지침 열기 📄")</f>
        <v/>
      </c>
      <c r="O6" s="156" t="inlineStr">
        <is>
          <t>용접공 자격증 원본 대조, 정밀 검측 장비 검교정 확인, 궤도 전문 기술사 면허 검토</t>
        </is>
      </c>
      <c r="P6" s="215">
        <f>HYPERLINK(LEFT(CELL("filename",A1),FIND("[",CELL("filename",A1))-1)&amp;"매뉴얼BODY(집행단계-첨부폴더)v8\5.콘크리트도상\5_최고의 팀 만들기 지원\체크리스트\최고의 팀 만들기 지원_체크리스트.html", "👉 [클릭] 체크리스트 열기 📄")</f>
        <v/>
      </c>
      <c r="Q6" s="156" t="n"/>
      <c r="R6" s="203" t="inlineStr">
        <is>
          <t>● 협력업체 역량 평가 및 등록 관리 기준 만족</t>
        </is>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18">
        <f>HYPERLINK(LEFT(CELL("filename",A1),FIND("[",CELL("filename",A1))-1)&amp;"매뉴얼BODY(집행단계-첨부폴더)v8\5.콘크리트도상\6_콘크리트 타설방법_계획 검토\수행지침\콘크리트 타설방법_계획 검토_수행지침.html", "👉 [클릭] 수행지침 열기 📄")</f>
        <v/>
      </c>
      <c r="O7" s="163" t="inlineStr">
        <is>
          <t>구간별 펌프카 배치도 작성, 타설 시 궤광 고정 잭 지지 계획 승인, 콘크리트 슬럼프 품질 확인</t>
        </is>
      </c>
      <c r="P7" s="219">
        <f>HYPERLINK(LEFT(CELL("filename",A1),FIND("[",CELL("filename",A1))-1)&amp;"매뉴얼BODY(집행단계-첨부폴더)v8\5.콘크리트도상\6_콘크리트 타설방법_계획 검토\체크리스트\콘크리트 타설방법_계획 검토_체크리스트.html", "👉 [클릭] 체크리스트 열기 📄")</f>
        <v/>
      </c>
      <c r="Q7" s="163" t="n"/>
      <c r="R7" s="208" t="inlineStr">
        <is>
          <t>● 콘크리트 연속타설 및 콜드조인트 방지 기준</t>
        </is>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14">
        <f>HYPERLINK(LEFT(CELL("filename",A1),FIND("[",CELL("filename",A1))-1)&amp;"매뉴얼BODY(집행단계-첨부폴더)v8\5.콘크리트도상\7_작수전 Big Room 회의\수행지침\작수전 Big Room 회의_수행지침.html", "👉 [클릭] 수행지침 열기 📄")</f>
        <v/>
      </c>
      <c r="O8" s="156" t="inlineStr">
        <is>
          <t>신호 센서 매설 위치 철근 간섭 해결, 접지선 용접부 연속성 확인, 부서 합동 서명 날인</t>
        </is>
      </c>
      <c r="P8" s="215">
        <f>HYPERLINK(LEFT(CELL("filename",A1),FIND("[",CELL("filename",A1))-1)&amp;"매뉴얼BODY(집행단계-첨부폴더)v8\5.콘크리트도상\7_작수전 Big Room 회의\체크리스트\작수전 Big Room 회의_체크리스트.html", "👉 [클릭] 체크리스트 열기 📄")</f>
        <v/>
      </c>
      <c r="Q8" s="156" t="n"/>
      <c r="R8" s="203" t="inlineStr">
        <is>
          <t>● 유관 공종(토목, 전기, 신호) 인터페이스 검토</t>
        </is>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18">
        <f>HYPERLINK(LEFT(CELL("filename",A1),FIND("[",CELL("filename",A1))-1)&amp;"매뉴얼BODY(집행단계-첨부폴더)v8\5.콘크리트도상\8_장비,자재 반입로_반입구 간섭 검토\수행지침\장비,자재 반입로_반입구 간섭 검토_수행지침.html", "👉 [클릭] 수행지침 열기 📄")</f>
        <v/>
      </c>
      <c r="O9" s="163" t="inlineStr">
        <is>
          <t>트레일러 회전 시뮬레이션 승인, 가설 비계 간섭 범위 해제, 도로 점용 허가 필증 확인</t>
        </is>
      </c>
      <c r="P9" s="219">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63" t="n"/>
      <c r="R9" s="208" t="inlineStr">
        <is>
          <t>● 궤도 시공 가설 동선 적합성 검토</t>
        </is>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14">
        <f>HYPERLINK(LEFT(CELL("filename",A1),FIND("[",CELL("filename",A1))-1)&amp;"매뉴얼BODY(집행단계-첨부폴더)v8\5.콘크리트도상\9_자재조달계획 검토\수행지침\자재조달계획 검토_수행지침.html", "👉 [클릭] 수행지침 열기 📄")</f>
        <v/>
      </c>
      <c r="O10" s="156" t="inlineStr">
        <is>
          <t>선적 서류 및 통관 승인서 구비, 국내 야적장 2차 보관 상태 점검, 자재 공급 승인서 확인</t>
        </is>
      </c>
      <c r="P10" s="215">
        <f>HYPERLINK(LEFT(CELL("filename",A1),FIND("[",CELL("filename",A1))-1)&amp;"매뉴얼BODY(집행단계-첨부폴더)v8\5.콘크리트도상\9_자재조달계획 검토\체크리스트\자재조달계획 검토_체크리스트.html", "👉 [클릭] 체크리스트 열기 📄")</f>
        <v/>
      </c>
      <c r="Q10" s="156" t="n"/>
      <c r="R10" s="203" t="inlineStr">
        <is>
          <t>● 주요 외산 자재 공급 및 선적 일정 확인</t>
        </is>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18">
        <f>HYPERLINK(LEFT(CELL("filename",A1),FIND("[",CELL("filename",A1))-1)&amp;"매뉴얼BODY(집행단계-첨부폴더)v8\5.콘크리트도상\10_자재 발주 요청\수행지침\자재 발주 요청_수행지침.html", "👉 [클릭] 수행지침 열기 📄")</f>
        <v/>
      </c>
      <c r="O11" s="163" t="inlineStr">
        <is>
          <t>자재 발주 수량 설계 대조, 공급원 승인 필증 원본 확인, 발주 공문 승인 요청</t>
        </is>
      </c>
      <c r="P11" s="219">
        <f>HYPERLINK(LEFT(CELL("filename",A1),FIND("[",CELL("filename",A1))-1)&amp;"매뉴얼BODY(집행단계-첨부폴더)v8\5.콘크리트도상\10_자재 발주 요청\체크리스트\자재 발주 요청_체크리스트.html", "👉 [클릭] 체크리스트 열기 📄")</f>
        <v/>
      </c>
      <c r="Q11" s="163" t="n"/>
      <c r="R11" s="208" t="inlineStr">
        <is>
          <t>● 조달 지침 및 품질 규격 검토</t>
        </is>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14">
        <f>HYPERLINK(LEFT(CELL("filename",A1),FIND("[",CELL("filename",A1))-1)&amp;"매뉴얼BODY(집행단계-첨부폴더)v8\5.콘크리트도상\11_시공계획 수립\수행지침\11_시공계획 수립_수행지침.html", "👉 [클릭] 수행지침 열기 📄")</f>
        <v/>
      </c>
      <c r="O12" s="156" t="inlineStr">
        <is>
          <t>시공계획서 감리단 최종 승인, 선형 관리 한계선 설정 확인, 품질보증계획서 제출</t>
        </is>
      </c>
      <c r="P12" s="215">
        <f>HYPERLINK(LEFT(CELL("filename",A1),FIND("[",CELL("filename",A1))-1)&amp;"매뉴얼BODY(집행단계-첨부폴더)v8\5.콘크리트도상\11_시공계획 수립\체크리스트\시공계획 수립_체크리스트.html", "👉 [클릭] 체크리스트 열기 📄")</f>
        <v/>
      </c>
      <c r="Q12" s="156" t="n"/>
      <c r="R12" s="203" t="inlineStr">
        <is>
          <t>● 궤도 공사 표준시방서 만족</t>
        </is>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18">
        <f>HYPERLINK(LEFT(CELL("filename",A1),FIND("[",CELL("filename",A1))-1)&amp;"매뉴얼BODY(집행단계-첨부폴더)v8\5.콘크리트도상\12_자재 반입\수행지침\자재 반입_수행지침.html", "👉 [클릭] 수행지침 열기 📄")</f>
        <v/>
      </c>
      <c r="O13" s="163" t="inlineStr">
        <is>
          <t>인수 검서 보고서 감리 서명, 자재 고유 마킹 대조, 손상 자재 반출 대장 기록</t>
        </is>
      </c>
      <c r="P13" s="219">
        <f>HYPERLINK(LEFT(CELL("filename",A1),FIND("[",CELL("filename",A1))-1)&amp;"매뉴얼BODY(집행단계-첨부폴더)v8\5.콘크리트도상\12_자재 반입\체크리스트\자재 반입_체크리스트.html", "👉 [클릭] 체크리스트 열기 📄")</f>
        <v/>
      </c>
      <c r="Q13" s="163" t="n"/>
      <c r="R13" s="208" t="inlineStr">
        <is>
          <t>● 자재 시험성적서 및 외산 자재 수입 적격 증명</t>
        </is>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01" t="inlineStr">
        <is>
          <t>-</t>
        </is>
      </c>
      <c r="O14" s="156" t="inlineStr">
        <is>
          <t>K30 성적서 원본 대조, 노반 마무리면 요철 제거 상태, 횡단 구배 2.0% 만족 확인</t>
        </is>
      </c>
      <c r="P14" s="202" t="inlineStr">
        <is>
          <t>-</t>
        </is>
      </c>
      <c r="Q14" s="156" t="n"/>
      <c r="R14" s="203" t="inlineStr">
        <is>
          <t>● 강화노반 K30 지지력 계수 규격 준수</t>
        </is>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06" t="inlineStr">
        <is>
          <t>-</t>
        </is>
      </c>
      <c r="O15" s="163" t="inlineStr">
        <is>
          <t>HBR 강도 시험 성적서, 습윤 부직포 포설 상태, 타설 두께 오차 ±10mm 이내 검속</t>
        </is>
      </c>
      <c r="P15" s="207" t="inlineStr">
        <is>
          <t>-</t>
        </is>
      </c>
      <c r="Q15" s="163" t="n"/>
      <c r="R15" s="208" t="inlineStr">
        <is>
          <t>● 기초 콘크리트 압축강도 및 공차 관리</t>
        </is>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01" t="inlineStr">
        <is>
          <t>-</t>
        </is>
      </c>
      <c r="O16" s="156" t="inlineStr">
        <is>
          <t>Screw Jack 레벨 정위치 고정, 3D 광학 실측 좌표 일치, 코너 크랙 육안 검사</t>
        </is>
      </c>
      <c r="P16" s="202" t="inlineStr">
        <is>
          <t>-</t>
        </is>
      </c>
      <c r="Q16" s="156" t="n"/>
      <c r="R16" s="203" t="inlineStr">
        <is>
          <t>● PC 슬래브 제작 허용 오차 만족</t>
        </is>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06" t="inlineStr">
        <is>
          <t>-</t>
        </is>
      </c>
      <c r="O17" s="163" t="inlineStr">
        <is>
          <t>천공 깊이 측정 게이지 점검, 앵커 인장 강도 확인, 원웨이 주입 배출구 몰탈 오버플로우 확인</t>
        </is>
      </c>
      <c r="P17" s="207" t="inlineStr">
        <is>
          <t>-</t>
        </is>
      </c>
      <c r="Q17" s="163" t="n"/>
      <c r="R17" s="208" t="inlineStr">
        <is>
          <t>● 충전 몰탈 품질 및 전단앵커 정착 깊이</t>
        </is>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01" t="inlineStr">
        <is>
          <t>-</t>
        </is>
      </c>
      <c r="O18" s="156" t="inlineStr">
        <is>
          <t>철근 결속선 긴장 상태, 타이바 조임 토크 확인, 신호 루프 케이블 배근 이격 확인</t>
        </is>
      </c>
      <c r="P18" s="202" t="inlineStr">
        <is>
          <t>-</t>
        </is>
      </c>
      <c r="Q18" s="156" t="n"/>
      <c r="R18" s="203" t="inlineStr">
        <is>
          <t>● 궤도 기하구조 공차(3mm 이내) 관리</t>
        </is>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06" t="inlineStr">
        <is>
          <t>-</t>
        </is>
      </c>
      <c r="O19" s="163" t="inlineStr">
        <is>
          <t>거푸집 지지대 앵커 조임, 박리제 도포 상태, 이음매 틈새 누수 패킹 확인</t>
        </is>
      </c>
      <c r="P19" s="207" t="inlineStr">
        <is>
          <t>-</t>
        </is>
      </c>
      <c r="Q19" s="163" t="n"/>
      <c r="R19" s="208" t="inlineStr">
        <is>
          <t>● 가설재 강도 및 안전 난간 기준 준수</t>
        </is>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01" t="inlineStr">
        <is>
          <t>-</t>
        </is>
      </c>
      <c r="O20" s="156" t="inlineStr">
        <is>
          <t>타설 중 궤간척 실시간 모니터링, 슬럼프 및 공기량 시험, 습윤 양생 부직포 포설 확인</t>
        </is>
      </c>
      <c r="P20" s="202" t="inlineStr">
        <is>
          <t>-</t>
        </is>
      </c>
      <c r="Q20" s="156" t="n"/>
      <c r="R20" s="203" t="inlineStr">
        <is>
          <t>● TCL 설계 높이 및 배수구 기울기 준수</t>
        </is>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06" t="inlineStr">
        <is>
          <t>-</t>
        </is>
      </c>
      <c r="O21" s="163" t="inlineStr">
        <is>
          <t>가스 압접 압력 게이지 확인, 용접부 급랭 방지 덮개 설치, 비파괴 시험(UT) 성적서 결재</t>
        </is>
      </c>
      <c r="P21" s="207" t="inlineStr">
        <is>
          <t>-</t>
        </is>
      </c>
      <c r="Q21" s="163" t="n"/>
      <c r="R21" s="208" t="inlineStr">
        <is>
          <t>● 용접부 인장 시험 및 비파괴 검사 규격 만족</t>
        </is>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01" t="inlineStr">
        <is>
          <t>-</t>
        </is>
      </c>
      <c r="O22" s="156" t="inlineStr">
        <is>
          <t>테르밋 용제 예열 온도 확인, 도가니 수평 고정, 비파괴 검사(UT/MT) 전수 실시</t>
        </is>
      </c>
      <c r="P22" s="202" t="inlineStr">
        <is>
          <t>-</t>
        </is>
      </c>
      <c r="Q22" s="156" t="n"/>
      <c r="R22" s="203" t="inlineStr">
        <is>
          <t>● 테르밋 용접부 비파괴 검사(UT/PT) 및 공차</t>
        </is>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06" t="inlineStr">
        <is>
          <t>-</t>
        </is>
      </c>
      <c r="O23" s="163" t="inlineStr">
        <is>
          <t>레일 조도/평탄성 측정 성적서, 절삭유 적정 분사 상태, 마이크로미터 선로 실측</t>
        </is>
      </c>
      <c r="P23" s="207" t="inlineStr">
        <is>
          <t>-</t>
        </is>
      </c>
      <c r="Q23" s="163" t="n"/>
      <c r="R23" s="208" t="inlineStr">
        <is>
          <t>● 레일 두부 프로파일 측정 및 평탄도 기준</t>
        </is>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01" t="inlineStr">
        <is>
          <t>-</t>
        </is>
      </c>
      <c r="O24" s="156" t="inlineStr">
        <is>
          <t>3자 공동 인수 서명 날인, 절연 저항 테스트 결과표 첨부, CAD 준공 대장 제출</t>
        </is>
      </c>
      <c r="P24" s="202" t="inlineStr">
        <is>
          <t>-</t>
        </is>
      </c>
      <c r="Q24" s="156" t="n"/>
      <c r="R24" s="203" t="inlineStr">
        <is>
          <t>● 후속 공종 인수인계 표준 지침</t>
        </is>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2026-08-15T00:13:05Z</dcterms:modified>
  <cp:lastModifiedBy>재형 김</cp:lastModifiedBy>
  <cp:lastPrinted>2026-07-25T07:01:45Z</cp:lastPrinted>
</cp:coreProperties>
</file>