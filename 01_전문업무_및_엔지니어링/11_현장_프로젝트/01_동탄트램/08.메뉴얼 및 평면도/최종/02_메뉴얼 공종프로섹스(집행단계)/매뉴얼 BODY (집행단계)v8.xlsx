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41">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s>
  <fills count="22">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s>
  <borders count="2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s>
  <cellStyleXfs count="2">
    <xf numFmtId="0" fontId="0" fillId="0" borderId="0"/>
    <xf numFmtId="0" fontId="31" fillId="0" borderId="0"/>
  </cellStyleXfs>
  <cellXfs count="167">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1">
    <outlinePr summaryBelow="1" summaryRight="1"/>
    <pageSetUpPr/>
  </sheetPr>
  <dimension ref="B2:M36"/>
  <sheetViews>
    <sheetView tabSelected="1" workbookViewId="0">
      <selection activeCell="H7" sqref="H7:I7"/>
    </sheetView>
  </sheetViews>
  <sheetFormatPr baseColWidth="8" defaultRowHeight="17.4"/>
  <cols>
    <col width="4" customWidth="1" style="147" min="1" max="1"/>
    <col width="10" customWidth="1" style="147" min="2" max="2"/>
    <col width="14" customWidth="1" style="147" min="3" max="3"/>
    <col width="22" customWidth="1" style="147" min="4" max="4"/>
    <col width="14" customWidth="1" style="147" min="5" max="5"/>
    <col width="16" customWidth="1" style="147" min="6" max="10"/>
    <col width="14" customWidth="1" style="147" min="11" max="11"/>
    <col width="22" customWidth="1" style="147" min="12" max="12"/>
    <col width="4" customWidth="1" style="147" min="13" max="13"/>
  </cols>
  <sheetData>
    <row r="2" ht="42" customHeight="1" s="147">
      <c r="B2" s="135" t="inlineStr">
        <is>
          <t>동탄트램 집행단계 실무 매뉴얼 &amp; 지식 DB 작성 현황 대시보드</t>
        </is>
      </c>
      <c r="C2" s="136" t="n"/>
      <c r="D2" s="136" t="n"/>
      <c r="E2" s="136" t="n"/>
      <c r="F2" s="136" t="n"/>
      <c r="G2" s="136" t="n"/>
      <c r="H2" s="136" t="n"/>
      <c r="I2" s="136" t="n"/>
      <c r="J2" s="136" t="n"/>
      <c r="K2" s="136" t="n"/>
      <c r="L2" s="136" t="n"/>
      <c r="M2" s="134" t="n"/>
    </row>
    <row r="4">
      <c r="B4" s="81" t="inlineStr">
        <is>
          <t>❚ [집행단계 v6] 8대 공종(토목·궤도·건축·신호·통신·전기) 263개 작업단위별 작성 및 DB 연동 현황</t>
        </is>
      </c>
    </row>
    <row r="6" ht="22.05" customHeight="1" s="147">
      <c r="B6" s="141" t="inlineStr">
        <is>
          <t>전체 액티비티</t>
        </is>
      </c>
      <c r="C6" s="134" t="n"/>
      <c r="D6" s="141" t="inlineStr">
        <is>
          <t>표준서 작성</t>
        </is>
      </c>
      <c r="E6" s="134" t="n"/>
      <c r="F6" s="141" t="inlineStr">
        <is>
          <t>수행지침 작성</t>
        </is>
      </c>
      <c r="G6" s="134" t="n"/>
      <c r="H6" s="141" t="inlineStr">
        <is>
          <t>체크리스트 작성</t>
        </is>
      </c>
      <c r="I6" s="134" t="n"/>
      <c r="J6" s="141" t="inlineStr">
        <is>
          <t>상세절차서(HTML) 연동</t>
        </is>
      </c>
      <c r="K6" s="134" t="n"/>
      <c r="L6" s="141" t="inlineStr">
        <is>
          <t>현장 리스크 DB</t>
        </is>
      </c>
      <c r="M6" s="134" t="n"/>
    </row>
    <row r="7" ht="28.05" customHeight="1" s="147">
      <c r="B7" s="139">
        <f>E21&amp;" 개"</f>
        <v/>
      </c>
      <c r="C7" s="134" t="n"/>
      <c r="D7" s="139">
        <f>F21&amp;" 개 (100%)"</f>
        <v/>
      </c>
      <c r="E7" s="134" t="n"/>
      <c r="F7" s="139">
        <f>G21&amp;" 개 (100%)"</f>
        <v/>
      </c>
      <c r="G7" s="134" t="n"/>
      <c r="H7" s="139">
        <f>H21&amp;" 개 (100%)"</f>
        <v/>
      </c>
      <c r="I7" s="134" t="n"/>
      <c r="J7" s="139">
        <f>I21&amp;" 개 (100%)"</f>
        <v/>
      </c>
      <c r="K7" s="134" t="n"/>
      <c r="L7" s="139">
        <f>J21&amp;" 개 (87.8%)"</f>
        <v/>
      </c>
      <c r="M7" s="134" t="n"/>
    </row>
    <row r="10" ht="19.2" customHeight="1" s="147">
      <c r="B10" s="82" t="inlineStr">
        <is>
          <t>❚ 1. 공종별 매뉴얼 및 리스크 DB 작성 현황</t>
        </is>
      </c>
    </row>
    <row r="12" ht="28.05" customHeight="1" s="147">
      <c r="B12" s="140" t="inlineStr">
        <is>
          <t>순번</t>
        </is>
      </c>
      <c r="C12" s="140" t="inlineStr">
        <is>
          <t>구분</t>
        </is>
      </c>
      <c r="D12" s="140" t="inlineStr">
        <is>
          <t>대공종</t>
        </is>
      </c>
      <c r="E12" s="140" t="inlineStr">
        <is>
          <t>작업수 (L4)</t>
        </is>
      </c>
      <c r="F12" s="140" t="inlineStr">
        <is>
          <t>표준서</t>
        </is>
      </c>
      <c r="G12" s="140" t="inlineStr">
        <is>
          <t>수행지침</t>
        </is>
      </c>
      <c r="H12" s="140" t="inlineStr">
        <is>
          <t>체크리스트</t>
        </is>
      </c>
      <c r="I12" s="140" t="inlineStr">
        <is>
          <t>HTML 연동</t>
        </is>
      </c>
      <c r="J12" s="140" t="inlineStr">
        <is>
          <t>리스크 DB</t>
        </is>
      </c>
      <c r="K12" s="140" t="inlineStr">
        <is>
          <t>달성률</t>
        </is>
      </c>
      <c r="L12" s="140" t="inlineStr">
        <is>
          <t>진행 상태</t>
        </is>
      </c>
    </row>
    <row r="13" ht="24" customHeight="1" s="147">
      <c r="B13" s="84" t="n">
        <v>1</v>
      </c>
      <c r="C13" s="84" t="inlineStr">
        <is>
          <t>토목공사</t>
        </is>
      </c>
      <c r="D13" s="137"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49">
        <f>IF(E13&gt;0, F13/E13, 1)</f>
        <v/>
      </c>
      <c r="L13" s="84" t="inlineStr">
        <is>
          <t>작성 완료</t>
        </is>
      </c>
    </row>
    <row r="14" ht="24" customHeight="1" s="147">
      <c r="B14" s="87" t="n">
        <v>2</v>
      </c>
      <c r="C14" s="87" t="inlineStr">
        <is>
          <t>토목공사</t>
        </is>
      </c>
      <c r="D14" s="138"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0">
        <f>IF(E14&gt;0, F14/E14, 1)</f>
        <v/>
      </c>
      <c r="L14" s="87" t="inlineStr">
        <is>
          <t>작성 완료</t>
        </is>
      </c>
    </row>
    <row r="15" ht="24" customHeight="1" s="147">
      <c r="B15" s="84" t="n">
        <v>3</v>
      </c>
      <c r="C15" s="84" t="inlineStr">
        <is>
          <t>토목공사</t>
        </is>
      </c>
      <c r="D15" s="137"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49">
        <f>IF(E15&gt;0, F15/E15, 1)</f>
        <v/>
      </c>
      <c r="L15" s="84" t="inlineStr">
        <is>
          <t>작성 완료</t>
        </is>
      </c>
    </row>
    <row r="16" ht="24" customHeight="1" s="147">
      <c r="B16" s="87" t="n">
        <v>4</v>
      </c>
      <c r="C16" s="87" t="inlineStr">
        <is>
          <t>궤도공사</t>
        </is>
      </c>
      <c r="D16" s="138"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0">
        <f>IF(E16&gt;0, F16/E16, 1)</f>
        <v/>
      </c>
      <c r="L16" s="87" t="inlineStr">
        <is>
          <t>작성 완료</t>
        </is>
      </c>
    </row>
    <row r="17" ht="24" customHeight="1" s="147">
      <c r="B17" s="84" t="n">
        <v>5</v>
      </c>
      <c r="C17" s="84" t="inlineStr">
        <is>
          <t>건축공사</t>
        </is>
      </c>
      <c r="D17" s="137" t="inlineStr">
        <is>
          <t>건축</t>
        </is>
      </c>
      <c r="E17" s="84">
        <f>COUNTA(건축!E2:E51)</f>
        <v/>
      </c>
      <c r="F17" s="84">
        <f>COUNTA(건축!J2:J51)</f>
        <v/>
      </c>
      <c r="G17" s="84">
        <f>COUNTA(건축!L2:L51)</f>
        <v/>
      </c>
      <c r="H17" s="84">
        <f>COUNTA(건축!N2:N51)</f>
        <v/>
      </c>
      <c r="I17" s="84">
        <f>COUNTA(건축!E2:E51)</f>
        <v/>
      </c>
      <c r="J17" s="84">
        <f>COUNTA(건축!R2:R51)</f>
        <v/>
      </c>
      <c r="K17" s="149">
        <f>IF(E17&gt;0, F17/E17, 1)</f>
        <v/>
      </c>
      <c r="L17" s="84" t="inlineStr">
        <is>
          <t>작성 완료</t>
        </is>
      </c>
    </row>
    <row r="18" ht="24" customHeight="1" s="147">
      <c r="B18" s="87" t="n">
        <v>6</v>
      </c>
      <c r="C18" s="87" t="inlineStr">
        <is>
          <t>시스템공사</t>
        </is>
      </c>
      <c r="D18" s="138" t="inlineStr">
        <is>
          <t>신호</t>
        </is>
      </c>
      <c r="E18" s="87">
        <f>COUNTA(신호!E2:E23)</f>
        <v/>
      </c>
      <c r="F18" s="87">
        <f>COUNTA(신호!J2:J23)</f>
        <v/>
      </c>
      <c r="G18" s="87">
        <f>COUNTA(신호!L2:L23)</f>
        <v/>
      </c>
      <c r="H18" s="87">
        <f>COUNTA(신호!N2:N23)</f>
        <v/>
      </c>
      <c r="I18" s="87">
        <f>COUNTA(신호!E2:E23)</f>
        <v/>
      </c>
      <c r="J18" s="87">
        <f>COUNTA(신호!R2:R23)</f>
        <v/>
      </c>
      <c r="K18" s="150">
        <f>IF(E18&gt;0, F18/E18, 1)</f>
        <v/>
      </c>
      <c r="L18" s="87" t="inlineStr">
        <is>
          <t>작성 완료</t>
        </is>
      </c>
    </row>
    <row r="19" ht="24" customHeight="1" s="147">
      <c r="B19" s="84" t="n">
        <v>7</v>
      </c>
      <c r="C19" s="84" t="inlineStr">
        <is>
          <t>시스템공사</t>
        </is>
      </c>
      <c r="D19" s="137" t="inlineStr">
        <is>
          <t>통신</t>
        </is>
      </c>
      <c r="E19" s="84">
        <f>COUNTA(통신!E2:E33)</f>
        <v/>
      </c>
      <c r="F19" s="84">
        <f>COUNTA(통신!J2:J33)</f>
        <v/>
      </c>
      <c r="G19" s="84">
        <f>COUNTA(통신!L2:L33)</f>
        <v/>
      </c>
      <c r="H19" s="84">
        <f>COUNTA(통신!N2:N33)</f>
        <v/>
      </c>
      <c r="I19" s="84">
        <f>COUNTA(통신!E2:E33)</f>
        <v/>
      </c>
      <c r="J19" s="84">
        <f>COUNTA(통신!R2:R33)</f>
        <v/>
      </c>
      <c r="K19" s="149">
        <f>IF(E19&gt;0, F19/E19, 1)</f>
        <v/>
      </c>
      <c r="L19" s="84" t="inlineStr">
        <is>
          <t>작성 완료</t>
        </is>
      </c>
    </row>
    <row r="20" ht="24" customHeight="1" s="147">
      <c r="B20" s="87" t="n">
        <v>8</v>
      </c>
      <c r="C20" s="87" t="inlineStr">
        <is>
          <t>시스템공사</t>
        </is>
      </c>
      <c r="D20" s="138" t="inlineStr">
        <is>
          <t>전기</t>
        </is>
      </c>
      <c r="E20" s="87">
        <f>COUNTA(전기!E2:E33)</f>
        <v/>
      </c>
      <c r="F20" s="87">
        <f>COUNTA(전기!J2:J33)</f>
        <v/>
      </c>
      <c r="G20" s="87">
        <f>COUNTA(전기!L2:L33)</f>
        <v/>
      </c>
      <c r="H20" s="87">
        <f>COUNTA(전기!N2:N33)</f>
        <v/>
      </c>
      <c r="I20" s="87">
        <f>COUNTA(전기!E2:E33)</f>
        <v/>
      </c>
      <c r="J20" s="87">
        <f>COUNTA(전기!R2:R33)</f>
        <v/>
      </c>
      <c r="K20" s="150">
        <f>IF(E20&gt;0, F20/E20, 1)</f>
        <v/>
      </c>
      <c r="L20" s="87" t="inlineStr">
        <is>
          <t>매뉴얼 완료 (리스크 작성중)</t>
        </is>
      </c>
    </row>
    <row r="21" ht="25.95" customHeight="1" s="147">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1">
        <f>AVERAGE(K13:K20)</f>
        <v/>
      </c>
      <c r="L21" s="90" t="inlineStr">
        <is>
          <t>전 공종 완료</t>
        </is>
      </c>
    </row>
    <row r="23" ht="19.2" customHeight="1" s="147">
      <c r="B23" s="82" t="inlineStr">
        <is>
          <t>❚ 2. 동적 매뉴얼 주요 기능 구현 현황</t>
        </is>
      </c>
    </row>
    <row r="25" ht="25.95" customHeight="1" s="147">
      <c r="B25" s="140" t="inlineStr">
        <is>
          <t>주요 기능</t>
        </is>
      </c>
      <c r="C25" s="134" t="n"/>
      <c r="D25" s="140" t="inlineStr">
        <is>
          <t>핵심 내용 및 구현 현황</t>
        </is>
      </c>
      <c r="E25" s="136" t="n"/>
      <c r="F25" s="136" t="n"/>
      <c r="G25" s="136" t="n"/>
      <c r="H25" s="136" t="n"/>
      <c r="I25" s="136" t="n"/>
      <c r="J25" s="136" t="n"/>
      <c r="K25" s="134" t="n"/>
      <c r="L25" s="140" t="inlineStr">
        <is>
          <t>적용 상태</t>
        </is>
      </c>
    </row>
    <row r="26" ht="24" customHeight="1" s="147">
      <c r="B26" s="143" t="inlineStr">
        <is>
          <t>시공 사진·영상 시각화</t>
        </is>
      </c>
      <c r="C26" s="134" t="n"/>
      <c r="D26" s="138" t="inlineStr">
        <is>
          <t>공종별 현장 시공 사진, 3D BIM 모델 및 품질 시험 동영상 1:1 매핑 완료 (263개 전 작업)</t>
        </is>
      </c>
      <c r="E26" s="136" t="n"/>
      <c r="F26" s="136" t="n"/>
      <c r="G26" s="136" t="n"/>
      <c r="H26" s="136" t="n"/>
      <c r="I26" s="136" t="n"/>
      <c r="J26" s="136" t="n"/>
      <c r="K26" s="134" t="n"/>
      <c r="L26" s="92" t="inlineStr">
        <is>
          <t>구현 완료</t>
        </is>
      </c>
    </row>
    <row r="27" ht="24" customHeight="1" s="147">
      <c r="B27" s="142" t="inlineStr">
        <is>
          <t>전문시방서(KCS) 원문 연동</t>
        </is>
      </c>
      <c r="C27" s="134" t="n"/>
      <c r="D27" s="137" t="inlineStr">
        <is>
          <t>국토교통부 KCS 전문시방서 PDF(1페이지 원문) 및 관련 법령 링크 바로 열기 구현</t>
        </is>
      </c>
      <c r="E27" s="136" t="n"/>
      <c r="F27" s="136" t="n"/>
      <c r="G27" s="136" t="n"/>
      <c r="H27" s="136" t="n"/>
      <c r="I27" s="136" t="n"/>
      <c r="J27" s="136" t="n"/>
      <c r="K27" s="134" t="n"/>
      <c r="L27" s="93" t="inlineStr">
        <is>
          <t>구현 완료</t>
        </is>
      </c>
    </row>
    <row r="28" ht="24" customHeight="1" s="147">
      <c r="B28" s="143" t="inlineStr">
        <is>
          <t>문장별 상세절차서(HTML) 연동</t>
        </is>
      </c>
      <c r="C28" s="134" t="n"/>
      <c r="D28" s="138" t="inlineStr">
        <is>
          <t>체크리스트 각 항목 클릭 시 해당 작업의 1:1 독자 상세절차서(HTML) 즉시 연동</t>
        </is>
      </c>
      <c r="E28" s="136" t="n"/>
      <c r="F28" s="136" t="n"/>
      <c r="G28" s="136" t="n"/>
      <c r="H28" s="136" t="n"/>
      <c r="I28" s="136" t="n"/>
      <c r="J28" s="136" t="n"/>
      <c r="K28" s="134" t="n"/>
      <c r="L28" s="92" t="inlineStr">
        <is>
          <t>구현 완료</t>
        </is>
      </c>
    </row>
    <row r="29" ht="24" customHeight="1" s="147">
      <c r="B29" s="142" t="inlineStr">
        <is>
          <t>단일 화면 패키지 구성</t>
        </is>
      </c>
      <c r="C29" s="134" t="n"/>
      <c r="D29" s="137" t="inlineStr">
        <is>
          <t>1개 작업 단위에 표준서, 수행지침, 체크리스트, 상세절차서를 한 화면에 통합 제공</t>
        </is>
      </c>
      <c r="E29" s="136" t="n"/>
      <c r="F29" s="136" t="n"/>
      <c r="G29" s="136" t="n"/>
      <c r="H29" s="136" t="n"/>
      <c r="I29" s="136" t="n"/>
      <c r="J29" s="136" t="n"/>
      <c r="K29" s="134" t="n"/>
      <c r="L29" s="93" t="inlineStr">
        <is>
          <t>구현 완료</t>
        </is>
      </c>
    </row>
    <row r="30" ht="24" customHeight="1" s="147">
      <c r="B30" s="143" t="inlineStr">
        <is>
          <t>현장 시공 데이터 누적 관리</t>
        </is>
      </c>
      <c r="C30" s="134" t="n"/>
      <c r="D30" s="138" t="inlineStr">
        <is>
          <t>동탄 현장에서 발생하는 시험 성적서, 사진 데이터(v6)를 실시간 누적·업데이트</t>
        </is>
      </c>
      <c r="E30" s="136" t="n"/>
      <c r="F30" s="136" t="n"/>
      <c r="G30" s="136" t="n"/>
      <c r="H30" s="136" t="n"/>
      <c r="I30" s="136" t="n"/>
      <c r="J30" s="136" t="n"/>
      <c r="K30" s="134" t="n"/>
      <c r="L30" s="92" t="inlineStr">
        <is>
          <t>구현 완료</t>
        </is>
      </c>
    </row>
    <row r="32" ht="19.2" customHeight="1" s="147">
      <c r="B32" s="82" t="inlineStr">
        <is>
          <t>❚ 3. 주요 보고 및 향후 추진 계획</t>
        </is>
      </c>
    </row>
    <row r="34" ht="25.95" customHeight="1" s="147">
      <c r="B34" s="133" t="inlineStr">
        <is>
          <t>구분</t>
        </is>
      </c>
      <c r="C34" s="133" t="inlineStr">
        <is>
          <t>보고 안건</t>
        </is>
      </c>
      <c r="D34" s="134" t="n"/>
      <c r="E34" s="133" t="inlineStr">
        <is>
          <t>주요 내용</t>
        </is>
      </c>
      <c r="F34" s="136" t="n"/>
      <c r="G34" s="136" t="n"/>
      <c r="H34" s="136" t="n"/>
      <c r="I34" s="136" t="n"/>
      <c r="J34" s="136" t="n"/>
      <c r="K34" s="134" t="n"/>
      <c r="L34" s="133" t="inlineStr">
        <is>
          <t>진행 상황</t>
        </is>
      </c>
    </row>
    <row r="35" ht="25.95" customHeight="1" s="147">
      <c r="B35" s="93" t="inlineStr">
        <is>
          <t>안건 1</t>
        </is>
      </c>
      <c r="C35" s="142" t="inlineStr">
        <is>
          <t>동탄 현장 기반 매뉴얼 연속 업데이트 승인</t>
        </is>
      </c>
      <c r="D35" s="134" t="n"/>
      <c r="E35" s="137" t="inlineStr">
        <is>
          <t>동탄 현장 실무 데이터를 바탕으로 매뉴얼(v6 ➔ v7)을 지속 보완·운영하는 체계 승인</t>
        </is>
      </c>
      <c r="F35" s="136" t="n"/>
      <c r="G35" s="136" t="n"/>
      <c r="H35" s="136" t="n"/>
      <c r="I35" s="136" t="n"/>
      <c r="J35" s="136" t="n"/>
      <c r="K35" s="134" t="n"/>
      <c r="L35" s="93" t="inlineStr">
        <is>
          <t>승인 완료</t>
        </is>
      </c>
    </row>
    <row r="36" ht="25.95" customHeight="1" s="147">
      <c r="B36" s="93" t="inlineStr">
        <is>
          <t>안건 2</t>
        </is>
      </c>
      <c r="C36" s="142" t="inlineStr">
        <is>
          <t>사내 매뉴얼 시스템 통합 및 자산화</t>
        </is>
      </c>
      <c r="D36" s="134" t="n"/>
      <c r="E36" s="137" t="inlineStr">
        <is>
          <t>완성된 매뉴얼을 사내 표준 시스템에 탑재하여 향후 신규 트램 사업 수주 시 재활용</t>
        </is>
      </c>
      <c r="F36" s="136" t="n"/>
      <c r="G36" s="136" t="n"/>
      <c r="H36" s="136" t="n"/>
      <c r="I36" s="136" t="n"/>
      <c r="J36" s="136" t="n"/>
      <c r="K36" s="134" t="n"/>
      <c r="L36" s="93" t="inlineStr">
        <is>
          <t>추진 중</t>
        </is>
      </c>
    </row>
  </sheetData>
  <mergeCells count="31">
    <mergeCell ref="C34:D34"/>
    <mergeCell ref="B2:M2"/>
    <mergeCell ref="E36:K36"/>
    <mergeCell ref="D26:K26"/>
    <mergeCell ref="L7:M7"/>
    <mergeCell ref="B7:C7"/>
    <mergeCell ref="B25:C25"/>
    <mergeCell ref="F6:G6"/>
    <mergeCell ref="B27:C27"/>
    <mergeCell ref="C35:D35"/>
    <mergeCell ref="F7:G7"/>
    <mergeCell ref="D6:E6"/>
    <mergeCell ref="H6:I6"/>
    <mergeCell ref="J6:K6"/>
    <mergeCell ref="D27:K27"/>
    <mergeCell ref="B29:C29"/>
    <mergeCell ref="D7:E7"/>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cols>
    <col width="10" customWidth="1" style="147" min="1" max="2"/>
    <col width="16" customWidth="1" style="147" min="3" max="3"/>
    <col width="12" customWidth="1" style="147" min="4" max="4"/>
    <col width="16" customWidth="1" style="147" min="5" max="5"/>
    <col width="28" customWidth="1" style="147" min="6" max="6"/>
    <col width="24" customWidth="1" style="147" min="7" max="7"/>
    <col width="26" customWidth="1" style="147" min="8" max="8"/>
    <col width="32" customWidth="1" style="147" min="9" max="9"/>
    <col width="55" customWidth="1" style="147" min="10" max="10"/>
    <col width="32" customWidth="1" style="147" min="11" max="11"/>
    <col width="35" customWidth="1" style="147" min="12" max="12"/>
    <col width="22" customWidth="1" style="147" min="13" max="13"/>
    <col width="40" customWidth="1" style="147" min="14" max="14"/>
    <col width="22" customWidth="1" style="147" min="15" max="15"/>
    <col width="40" customWidth="1" style="147" min="16" max="16"/>
    <col width="22" customWidth="1" style="147" min="17" max="17"/>
  </cols>
  <sheetData>
    <row r="1" ht="28.05" customHeight="1" s="147">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47">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47">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47">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47">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47">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47">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47">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47">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47">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47">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47">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47">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47">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47">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47">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47">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47">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47">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47">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47">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47">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47">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47">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47">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47">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47">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47">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47">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47">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47">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47">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47">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47">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47">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47">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47">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51"/>
  <sheetViews>
    <sheetView view="pageBreakPreview" topLeftCell="M1" zoomScale="55" zoomScaleNormal="55" zoomScaleSheetLayoutView="55" workbookViewId="0">
      <selection activeCell="P5" sqref="P5"/>
    </sheetView>
  </sheetViews>
  <sheetFormatPr baseColWidth="8" defaultRowHeight="19.2"/>
  <cols>
    <col width="10" customWidth="1" style="3" min="1" max="1"/>
    <col width="12" customWidth="1" style="147"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8"/>
    <col width="20.296875" customWidth="1" style="3" min="19" max="19"/>
    <col width="15" customWidth="1" style="3" min="20" max="20"/>
    <col width="30" customWidth="1" style="147" min="21" max="21"/>
    <col width="28" customWidth="1" style="147" min="22" max="22"/>
    <col width="25" customWidth="1" style="147" min="23" max="23"/>
    <col width="15" customWidth="1" style="3" min="24" max="35"/>
    <col width="8.796875" customWidth="1" style="3" min="36" max="71"/>
    <col width="8.796875" customWidth="1" style="3" min="72" max="16384"/>
  </cols>
  <sheetData>
    <row r="1" ht="46.8" customHeight="1" s="147">
      <c r="A1" s="121" t="inlineStr">
        <is>
          <t>L2 코드</t>
        </is>
      </c>
      <c r="B1" s="121" t="inlineStr">
        <is>
          <t>L3 코드</t>
        </is>
      </c>
      <c r="C1" s="121" t="inlineStr">
        <is>
          <t>L3 대공종명</t>
        </is>
      </c>
      <c r="D1" s="121" t="inlineStr">
        <is>
          <t>L4 코드</t>
        </is>
      </c>
      <c r="E1" s="121" t="inlineStr">
        <is>
          <t>선행</t>
        </is>
      </c>
      <c r="F1" s="121" t="inlineStr">
        <is>
          <t>후행</t>
        </is>
      </c>
      <c r="G1" s="121" t="inlineStr">
        <is>
          <t>일정 (D-Day)</t>
        </is>
      </c>
      <c r="H1" s="121" t="inlineStr">
        <is>
          <t>작업단위 (Level 4 Task/Activity)</t>
        </is>
      </c>
      <c r="I1" s="121" t="inlineStr">
        <is>
          <t>주관</t>
        </is>
      </c>
      <c r="J1" s="121" t="inlineStr">
        <is>
          <t>목적</t>
        </is>
      </c>
      <c r="K1" s="121" t="inlineStr">
        <is>
          <t>방법</t>
        </is>
      </c>
      <c r="L1" s="121" t="inlineStr">
        <is>
          <t>참석</t>
        </is>
      </c>
      <c r="M1" s="121" t="inlineStr">
        <is>
          <t>산출물(결과)</t>
        </is>
      </c>
      <c r="N1" s="121" t="inlineStr">
        <is>
          <t>표준서 (Standard) 요약</t>
        </is>
      </c>
      <c r="O1" s="121" t="inlineStr">
        <is>
          <t>표준서 파일 (HTML)</t>
        </is>
      </c>
      <c r="P1" s="121" t="inlineStr">
        <is>
          <t>수행지침 (Guideline) 요약</t>
        </is>
      </c>
      <c r="Q1" s="121" t="inlineStr">
        <is>
          <t>수행지침 파일 (HTML)</t>
        </is>
      </c>
      <c r="R1" s="121" t="inlineStr">
        <is>
          <t>체크리스트 (Checklist) 요약</t>
        </is>
      </c>
      <c r="S1" s="121" t="inlineStr">
        <is>
          <t>체크리스트 파일 (HTML)</t>
        </is>
      </c>
      <c r="T1" s="121" t="inlineStr">
        <is>
          <t>비고</t>
        </is>
      </c>
      <c r="U1" s="121" t="inlineStr">
        <is>
          <t>첨부서류 연계 상세 설계기준</t>
        </is>
      </c>
      <c r="V1" s="121" t="inlineStr">
        <is>
          <t>집행단계 리스크 체크리스트</t>
        </is>
      </c>
      <c r="W1" s="121" t="inlineStr">
        <is>
          <t>협력사 시공/공사관리 자문</t>
        </is>
      </c>
    </row>
    <row r="2" ht="90" customHeight="1" s="147">
      <c r="A2" s="122" t="inlineStr">
        <is>
          <t>9000</t>
        </is>
      </c>
      <c r="B2" s="122" t="inlineStr">
        <is>
          <t>9000-5</t>
        </is>
      </c>
      <c r="C2" s="122" t="inlineStr">
        <is>
          <t>사전토공사</t>
        </is>
      </c>
      <c r="D2" s="122" t="inlineStr">
        <is>
          <t>9000-5-1</t>
        </is>
      </c>
      <c r="E2" s="122" t="n"/>
      <c r="F2" s="122" t="n"/>
      <c r="G2" s="122" t="inlineStr">
        <is>
          <t>D-90 (D-120~D-90)</t>
        </is>
      </c>
      <c r="H2" s="123" t="inlineStr">
        <is>
          <t>Site Survey</t>
        </is>
      </c>
      <c r="I2" s="122" t="inlineStr">
        <is>
          <t>현장 공사팀</t>
        </is>
      </c>
      <c r="J2" s="123" t="inlineStr">
        <is>
          <t>KDS 47 10 00 철도지반 설계기준 | 현장 가설 둔차선, 용지 경계 및 원지반 고저차 3D 레벨 현측 | 토공사 사전 현장 조사 보고서</t>
        </is>
      </c>
      <c r="K2" s="123" t="inlineStr">
        <is>
          <t>1) 현장 가설 도로 및 용지 경계 현측 ➔ 2) 광학 레벨 원지반 고저차 측정 ➔ 3) 진입 도로 장애 요소 매핑 ➔ 4) 현장 조사 보고서 감리 제출</t>
        </is>
      </c>
      <c r="L2" s="123" t="n"/>
      <c r="M2" s="123" t="inlineStr">
        <is>
          <t>가설 도로 폭/구배 현측, 원지반 고저차 레벨 측량 및 3D BIM 도면 오차 점검 (현장 조사 보고서)</t>
        </is>
      </c>
      <c r="N2" s="123" t="inlineStr">
        <is>
          <t>KDS 47 10 00 철도지반 설계기준 | 현장 가설 둔차선, 용지 경계 및 원지반 고저차 3D 레벨 현측 | 토공사 사전 현장 조사 보고서</t>
        </is>
      </c>
      <c r="O2" s="123">
        <f>HYPERLINK(LEFT(CELL("filename",A1),FIND("[",CELL("filename",A1))-1)&amp;"매뉴얼BODY(집행단계-첨부폴더)v8\2.사전토공사\1_Site Survey\표준서\Site Survey_표준서.html", "👉 [클릭] 표준서 열기 📄")</f>
        <v/>
      </c>
      <c r="P2" s="123" t="inlineStr">
        <is>
          <t>1) 현장 가설 도로 및 용지 경계 현측 ➔ 2) 광학 레벨 원지반 고저차 측정 ➔ 3) 진입 도로 장애 요소 매핑 ➔ 4) 현장 조사 보고서 감리 제출</t>
        </is>
      </c>
      <c r="Q2" s="123">
        <f>HYPERLINK(LEFT(CELL("filename",A1),FIND("[",CELL("filename",A1))-1)&amp;"매뉴얼BODY(집행단계-첨부폴더)v8\2.사전토공사\1_Site Survey\수행지침\Site Survey_수행지침.html", "👉 [클릭] 수행지침 열기 📄")</f>
        <v/>
      </c>
      <c r="R2" s="123" t="inlineStr">
        <is>
          <t>가설 도로 폭/구배 현측, 원지반 고저차 레벨 측량 및 3D BIM 도면 오차 점검 (현장 조사 보고서)</t>
        </is>
      </c>
      <c r="S2" s="123">
        <f>HYPERLINK(LEFT(CELL("filename",A1),FIND("[",CELL("filename",A1))-1)&amp;"매뉴얼BODY(집행단계-첨부폴더)v8\2.사전토공사\1_Site Survey\체크리스트\Site Survey_체크리스트.html", "👉 [클릭] 체크리스트 열기 📄")</f>
        <v/>
      </c>
      <c r="T2" s="123" t="n"/>
      <c r="U2" s="123" t="inlineStr">
        <is>
          <t>● 설계도면 및 지적 경계 기준 준수</t>
        </is>
      </c>
      <c r="V2" s="122" t="inlineStr">
        <is>
          <t>1) 👉 [더블클릭] 체크리스트 열기 📄</t>
        </is>
      </c>
      <c r="W2" s="123" t="n"/>
    </row>
    <row r="3" ht="125.4" customHeight="1" s="147">
      <c r="A3" s="122" t="inlineStr">
        <is>
          <t>9000</t>
        </is>
      </c>
      <c r="B3" s="122" t="inlineStr">
        <is>
          <t>9000-5</t>
        </is>
      </c>
      <c r="C3" s="122" t="inlineStr">
        <is>
          <t>사전토공사</t>
        </is>
      </c>
      <c r="D3" s="122" t="inlineStr">
        <is>
          <t>9000-5-2</t>
        </is>
      </c>
      <c r="E3" s="122" t="n"/>
      <c r="F3" s="122" t="n"/>
      <c r="G3" s="122" t="inlineStr">
        <is>
          <t>D-80 (D-120~D-80)</t>
        </is>
      </c>
      <c r="H3" s="123" t="inlineStr">
        <is>
          <t>발주전략 KOM</t>
        </is>
      </c>
      <c r="I3" s="122" t="inlineStr">
        <is>
          <t>현장소장</t>
        </is>
      </c>
      <c r="J3" s="123" t="inlineStr">
        <is>
          <t>KCS 47 10 25 시방 검토 | 사전 토공 토사/암석 깎기 및 성토 시방 규정 | 발주처·감리·시공 3자 킥오프 결재</t>
        </is>
      </c>
      <c r="K3" s="123" t="inlineStr">
        <is>
          <t>1) 사전 토공 시방 요구조건 분석 ➔ 2) 3D BIM 도면 깎기/성토 수량 검증 ➔ 3) 토공 리스크 예비비 수립 ➔ 4) 발주·감리·시공 3자 킥오프 결재</t>
        </is>
      </c>
      <c r="L3" s="123" t="n"/>
      <c r="M3" s="123" t="inlineStr">
        <is>
          <t>KCS 47 10 25 사전 토공 시방 검토, 토사/암석 깎기 수량 산출 및 3D BIM 간섭 zero (3자 킥오프 결재)</t>
        </is>
      </c>
      <c r="N3" s="123" t="inlineStr">
        <is>
          <t>KCS 47 10 25 시방 검토 | 사전 토공 토사/암석 깎기 및 성토 시방 규정 | 발주처·감리·시공 3자 킥오프 결재</t>
        </is>
      </c>
      <c r="O3" s="123">
        <f>HYPERLINK(LEFT(CELL("filename",A1),FIND("[",CELL("filename",A1))-1)&amp;"매뉴얼BODY(집행단계-첨부폴더)v8\2.사전토공사\2_발주전략 KOM\표준서\2_발주전략 KOM_표준서.html", "👉 [클릭] 표준서 열기 📄")</f>
        <v/>
      </c>
      <c r="P3" s="123" t="inlineStr">
        <is>
          <t>1) 사전 토공 시방 요구조건 분석 ➔ 2) 3D BIM 도면 깎기/성토 수량 검증 ➔ 3) 토공 리스크 예비비 수립 ➔ 4) 발주·감리·시공 3자 킥오프 결재</t>
        </is>
      </c>
      <c r="Q3" s="123">
        <f>HYPERLINK(LEFT(CELL("filename",A1),FIND("[",CELL("filename",A1))-1)&amp;"매뉴얼BODY(집행단계-첨부폴더)v8\2.사전토공사\2_발주전략 KOM\수행지침\2_발주전략 KOM_수행지침.html", "👉 [클릭] 수행지침 열기 📄")</f>
        <v/>
      </c>
      <c r="R3" s="123" t="inlineStr">
        <is>
          <t>KCS 47 10 25 사전 토공 시방 검토, 토사/암석 깎기 수량 산출 및 3D BIM 간섭 zero (3자 킥오프 결재)</t>
        </is>
      </c>
      <c r="S3" s="123">
        <f>HYPERLINK(LEFT(CELL("filename",A1),FIND("[",CELL("filename",A1))-1)&amp;"매뉴얼BODY(집행단계-첨부폴더)v8\2.사전토공사\2_발주전략 KOM\체크리스트\2_발주전략 KOM_체크리스트.html", "👉 [클릭] 체크리스트 열기 📄")</f>
        <v/>
      </c>
      <c r="T3" s="123" t="n"/>
      <c r="U3" s="123" t="inlineStr">
        <is>
          <t>● 본사외주부서, 수행부서, 토목국내견적팀, 컴플라이언스RM팀, 토목사업지원팀 협의</t>
        </is>
      </c>
      <c r="V3" s="122" t="inlineStr">
        <is>
          <t>1) 👉 [더블클릭] 체크리스트 열기 📄</t>
        </is>
      </c>
      <c r="W3" s="123" t="n"/>
    </row>
    <row r="4" ht="110.4" customHeight="1" s="147">
      <c r="A4" s="122" t="inlineStr">
        <is>
          <t>9000</t>
        </is>
      </c>
      <c r="B4" s="122" t="inlineStr">
        <is>
          <t>9000-5</t>
        </is>
      </c>
      <c r="C4" s="122" t="inlineStr">
        <is>
          <t>사전토공사</t>
        </is>
      </c>
      <c r="D4" s="122" t="inlineStr">
        <is>
          <t>9000-5-3</t>
        </is>
      </c>
      <c r="E4" s="122" t="n"/>
      <c r="F4" s="122" t="n"/>
      <c r="G4" s="122" t="inlineStr">
        <is>
          <t>D-60 (D-70~D-60)</t>
        </is>
      </c>
      <c r="H4" s="123" t="inlineStr">
        <is>
          <t>Site Survey Risk 검토</t>
        </is>
      </c>
      <c r="I4" s="122" t="inlineStr">
        <is>
          <t>토목국내견적팀</t>
        </is>
      </c>
      <c r="J4" s="123" t="inlineStr">
        <is>
          <t>지하안전법 제23조 | 현장 지장물, 연약 지반 층후 및 사면 붕괴 위험 요소 추출 | 사전 토공 리스크 대책 승인</t>
        </is>
      </c>
      <c r="K4" s="123" t="inlineStr">
        <is>
          <t>1) 지하 매설 지장물 &amp; 연약지반 현출 ➔ 2) 사면 붕괴 위험 구간 추출 ➔ 3) 흙막이 가설재 보강 수립 ➔ 4) 토공 리스크 대책서 감리 승인</t>
        </is>
      </c>
      <c r="L4" s="123" t="n"/>
      <c r="M4" s="123" t="inlineStr">
        <is>
          <t>지중 매설물 탐사, 연약 지반 층후 분석 및 사면 붕괴 위험 구간 흙막이 가설재 보강 수립</t>
        </is>
      </c>
      <c r="N4" s="123" t="inlineStr">
        <is>
          <t>지하안전법 제23조 | 현장 지장물, 연약 지반 층후 및 사면 붕괴 위험 요소 추출 | 사전 토공 리스크 대책 승인</t>
        </is>
      </c>
      <c r="O4" s="123">
        <f>HYPERLINK(LEFT(CELL("filename",A1),FIND("[",CELL("filename",A1))-1)&amp;"매뉴얼BODY(집행단계-첨부폴더)v8\2.사전토공사\3_Site Survey Risk 검토\표준서\Site Survey Risk 검토_표준서.html", "👉 [클릭] 표준서 열기 📄")</f>
        <v/>
      </c>
      <c r="P4" s="123" t="inlineStr">
        <is>
          <t>1) 지하 매설 지장물 &amp; 연약지반 현출 ➔ 2) 사면 붕괴 위험 구간 추출 ➔ 3) 흙막이 가설재 보강 수립 ➔ 4) 토공 리스크 대책서 감리 승인</t>
        </is>
      </c>
      <c r="Q4" s="123">
        <f>HYPERLINK(LEFT(CELL("filename",A1),FIND("[",CELL("filename",A1))-1)&amp;"매뉴얼BODY(집행단계-첨부폴더)v8\2.사전토공사\3_Site Survey Risk 검토\수행지침\Site Survey Risk 검토_수행지침.html", "👉 [클릭] 수행지침 열기 📄")</f>
        <v/>
      </c>
      <c r="R4" s="123" t="inlineStr">
        <is>
          <t>지중 매설물 탐사, 연약 지반 층후 분석 및 사면 붕괴 위험 구간 흙막이 가설재 보강 수립</t>
        </is>
      </c>
      <c r="S4" s="123">
        <f>HYPERLINK(LEFT(CELL("filename",A1),FIND("[",CELL("filename",A1))-1)&amp;"매뉴얼BODY(집행단계-첨부폴더)v8\2.사전토공사\3_Site Survey Risk 검토\체크리스트\Site Survey Risk 검토_체크리스트.html", "👉 [클릭] 체크리스트 열기 📄")</f>
        <v/>
      </c>
      <c r="T4" s="123" t="n"/>
      <c r="U4" s="123" t="inlineStr">
        <is>
          <t>● 실행예산 검토 및 공사 수행 리스크 분석</t>
        </is>
      </c>
      <c r="V4" s="122" t="inlineStr">
        <is>
          <t>1) 👉 [더블클릭] 체크리스트 열기 📄</t>
        </is>
      </c>
      <c r="W4" s="123" t="n"/>
    </row>
    <row r="5" ht="96" customHeight="1" s="147">
      <c r="A5" s="122" t="inlineStr">
        <is>
          <t>9000</t>
        </is>
      </c>
      <c r="B5" s="122" t="inlineStr">
        <is>
          <t>9000-5</t>
        </is>
      </c>
      <c r="C5" s="122" t="inlineStr">
        <is>
          <t>사전토공사</t>
        </is>
      </c>
      <c r="D5" s="122" t="inlineStr">
        <is>
          <t>9000-5-4</t>
        </is>
      </c>
      <c r="E5" s="122" t="n"/>
      <c r="F5" s="122" t="n"/>
      <c r="G5" s="122" t="inlineStr">
        <is>
          <t>D-50 (D-60~D-50)</t>
        </is>
      </c>
      <c r="H5" s="123" t="inlineStr">
        <is>
          <t>최고의 팀 만들기 지원</t>
        </is>
      </c>
      <c r="I5" s="122" t="inlineStr">
        <is>
          <t>외주관리팀</t>
        </is>
      </c>
      <c r="J5" s="123" t="inlineStr">
        <is>
          <t>건산법 상생협력 수칙 | 토공 전문 기술자 1:1 전담 배치 &amp; 3자 주간 소통 회의 | 일일 Safety TBM 100% 이행</t>
        </is>
      </c>
      <c r="K5" s="123" t="inlineStr">
        <is>
          <t>1) 토공 전담 기술자 1:1 배치 ➔ 2) 3자 주간 소통 회의 개최 ➔ 3) 근로자 복지 지원 &amp; Safety TBM ➔ 4) One-Team 조직표 감리 서면 승인</t>
        </is>
      </c>
      <c r="L5" s="123" t="n"/>
      <c r="M5" s="123" t="inlineStr">
        <is>
          <t>토공 전담 기술자 1:1 현장 배치, 발주·감리·시공 3자 주간 소통 회의 및 일일 Safety TBM/음주 측정</t>
        </is>
      </c>
      <c r="N5" s="123" t="inlineStr">
        <is>
          <t>건산법 상생협력 수칙 | 토공 전문 기술자 1:1 전담 배치 &amp; 3자 주간 소통 회의 | 일일 Safety TBM 100% 이행</t>
        </is>
      </c>
      <c r="O5" s="123">
        <f>HYPERLINK(LEFT(CELL("filename",A1),FIND("[",CELL("filename",A1))-1)&amp;"매뉴얼BODY(집행단계-첨부폴더)v8\2.사전토공사\4_최고의 팀 만들기 지원\표준서\최고의 팀 만들기 지원_표준서.html", "👉 [클릭] 표준서 열기 📄")</f>
        <v/>
      </c>
      <c r="P5" s="123" t="inlineStr">
        <is>
          <t>1) 토공 전담 기술자 1:1 배치 ➔ 2) 3자 주간 소통 회의 개최 ➔ 3) 근로자 복지 지원 &amp; Safety TBM ➔ 4) One-Team 조직표 감리 서면 승인</t>
        </is>
      </c>
      <c r="Q5" s="123">
        <f>HYPERLINK(LEFT(CELL("filename",A1),FIND("[",CELL("filename",A1))-1)&amp;"매뉴얼BODY(집행단계-첨부폴더)v8\2.사전토공사\4_최고의 팀 만들기 지원\수행지침\최고의 팀 만들기 지원_수행지침.html", "👉 [클릭] 수행지침 열기 📄")</f>
        <v/>
      </c>
      <c r="R5" s="123" t="inlineStr">
        <is>
          <t>토공 전담 기술자 1:1 현장 배치, 발주·감리·시공 3자 주간 소통 회의 및 일일 Safety TBM/음주 측정</t>
        </is>
      </c>
      <c r="S5" s="123">
        <f>HYPERLINK(LEFT(CELL("filename",A1),FIND("[",CELL("filename",A1))-1)&amp;"매뉴얼BODY(집행단계-첨부폴더)v8\2.사전토공사\4_최고의 팀 만들기 지원\체크리스트\최고의 팀 만들기 지원_체크리스트.html", "👉 [클릭] 체크리스트 열기 📄")</f>
        <v/>
      </c>
      <c r="T5" s="123" t="n"/>
      <c r="U5" s="123" t="inlineStr">
        <is>
          <t>● 외주관리 협력업체 평가 및 선정 기준</t>
        </is>
      </c>
      <c r="V5" s="122" t="inlineStr">
        <is>
          <t>1) 👉 [더블클릭] 체크리스트 열기 📄</t>
        </is>
      </c>
      <c r="W5" s="123" t="n"/>
    </row>
    <row r="6" ht="134.4" customHeight="1" s="147">
      <c r="A6" s="122" t="inlineStr">
        <is>
          <t>9000</t>
        </is>
      </c>
      <c r="B6" s="122" t="inlineStr">
        <is>
          <t>9000-5</t>
        </is>
      </c>
      <c r="C6" s="122" t="inlineStr">
        <is>
          <t>사전토공사</t>
        </is>
      </c>
      <c r="D6" s="122" t="inlineStr">
        <is>
          <t>9000-5-5</t>
        </is>
      </c>
      <c r="E6" s="122" t="n"/>
      <c r="F6" s="122" t="n"/>
      <c r="G6" s="122" t="inlineStr">
        <is>
          <t>D-60 (D-80~D-60)</t>
        </is>
      </c>
      <c r="H6" s="123" t="inlineStr">
        <is>
          <t>공사중 교통처리계획</t>
        </is>
      </c>
      <c r="I6" s="122" t="inlineStr">
        <is>
          <t>현장 공사팀</t>
        </is>
      </c>
      <c r="J6" s="123" t="inlineStr">
        <is>
          <t>도로교통법 제69조 | 동탄경찰서 교통안전 심의 및 우회 차선 설계 | 전담 신호수(2인 2조) &amp; LED 경광등 배치</t>
        </is>
      </c>
      <c r="K6" s="123" t="inlineStr">
        <is>
          <t>1) 교통 우회 차선 &amp; 둔차선 도면 설계 ➔ 2) 동탄경찰서 도로점용 허가 ➔ 3) 전담 신호수(2인 2조) 배치 ➔ 4) 교통소통 대책서 감리 서면 승인</t>
        </is>
      </c>
      <c r="L6" s="123" t="n"/>
      <c r="M6" s="123" t="inlineStr">
        <is>
          <t>동탄경찰서 도로점용 허가, 가설 우회 차선 설계 및 전담 안전 신호수(2인 2조)/LED 경광등 배치</t>
        </is>
      </c>
      <c r="N6" s="123" t="inlineStr">
        <is>
          <t>도로교통법 제69조 | 동탄경찰서 교통안전 심의 및 우회 차선 설계 | 전담 신호수(2인 2조) &amp; LED 경광등 배치</t>
        </is>
      </c>
      <c r="O6" s="123">
        <f>HYPERLINK(LEFT(CELL("filename",A1),FIND("[",CELL("filename",A1))-1)&amp;"매뉴얼BODY(집행단계-첨부폴더)v8\2.사전토공사\5_공사중 교통처리계획\표준서\공사중 교통처리계획_표준서.html", "👉 [클릭] 표준서 열기 📄")</f>
        <v/>
      </c>
      <c r="P6" s="123" t="inlineStr">
        <is>
          <t>1) 교통 우회 차선 &amp; 둔차선 도면 설계 ➔ 2) 동탄경찰서 도로점용 허가 ➔ 3) 전담 신호수(2인 2조) 배치 ➔ 4) 교통소통 대책서 감리 서면 승인</t>
        </is>
      </c>
      <c r="Q6" s="123">
        <f>HYPERLINK(LEFT(CELL("filename",A1),FIND("[",CELL("filename",A1))-1)&amp;"매뉴얼BODY(집행단계-첨부폴더)v8\2.사전토공사\5_공사중 교통처리계획\수행지침\공사중 교통처리계획_수행지침.html", "👉 [클릭] 수행지침 열기 📄")</f>
        <v/>
      </c>
      <c r="R6" s="123" t="inlineStr">
        <is>
          <t>동탄경찰서 도로점용 허가, 가설 우회 차선 설계 및 전담 안전 신호수(2인 2조)/LED 경광등 배치</t>
        </is>
      </c>
      <c r="S6" s="123">
        <f>HYPERLINK(LEFT(CELL("filename",A1),FIND("[",CELL("filename",A1))-1)&amp;"매뉴얼BODY(집행단계-첨부폴더)v8\2.사전토공사\5_공사중 교통처리계획\체크리스트\공사중 교통처리계획_체크리스트.html", "👉 [클릭] 체크리스트 열기 📄")</f>
        <v/>
      </c>
      <c r="T6" s="123" t="n"/>
      <c r="U6" s="123" t="inlineStr">
        <is>
          <t>● 도로교통법 및 관할 지자체 교통 지침 준수</t>
        </is>
      </c>
      <c r="V6" s="122" t="inlineStr">
        <is>
          <t>1) 👉 [더블클릭] 체크리스트 열기 📄</t>
        </is>
      </c>
      <c r="W6" s="123" t="n"/>
    </row>
    <row r="7" ht="96" customHeight="1" s="147">
      <c r="A7" s="122" t="inlineStr">
        <is>
          <t>9000</t>
        </is>
      </c>
      <c r="B7" s="122" t="inlineStr">
        <is>
          <t>9000-5</t>
        </is>
      </c>
      <c r="C7" s="122" t="inlineStr">
        <is>
          <t>사전토공사</t>
        </is>
      </c>
      <c r="D7" s="122" t="inlineStr">
        <is>
          <t>9000-5-6</t>
        </is>
      </c>
      <c r="E7" s="122" t="n"/>
      <c r="F7" s="122" t="n"/>
      <c r="G7" s="122" t="inlineStr">
        <is>
          <t>D-65 (D-65~D-55)</t>
        </is>
      </c>
      <c r="H7" s="123" t="inlineStr">
        <is>
          <t>자재발주 요청</t>
        </is>
      </c>
      <c r="I7" s="122" t="inlineStr">
        <is>
          <t>현장 공무팀</t>
        </is>
      </c>
      <c r="J7" s="123" t="inlineStr">
        <is>
          <t>KCS 47 10 25 자재 시방 | 굴착 장비, 가설 펜스 및 배수관 자재 발주 승인 | 공인시험기관 성적표 수속</t>
        </is>
      </c>
      <c r="K7" s="123" t="inlineStr">
        <is>
          <t>1) 굴착 장비 및 가설 펜스 자재 선정 ➔ 2) 공인시험기관 시험성적서 검수 ➔ 3) 자재 발주 신청서 제출 ➔ 4) 자재 반입 검수 통보서 결재</t>
        </is>
      </c>
      <c r="L7" s="123" t="n"/>
      <c r="M7" s="123" t="inlineStr">
        <is>
          <t>KCS 47 10 25 굴착 장비/가설재 자재 승인, 공인시험기관 시험성적서 검수 및 자재 반입 통보</t>
        </is>
      </c>
      <c r="N7" s="123" t="inlineStr">
        <is>
          <t>KCS 47 10 25 자재 시방 | 굴착 장비, 가설 펜스 및 배수관 자재 발주 승인 | 공인시험기관 성적표 수속</t>
        </is>
      </c>
      <c r="O7" s="123">
        <f>HYPERLINK(LEFT(CELL("filename",A1),FIND("[",CELL("filename",A1))-1)&amp;"매뉴얼BODY(집행단계-첨부폴더)v8\2.사전토공사\6_자재발주 요청\표준서\자재발주 요청_표준서.html", "👉 [클릭] 표준서 열기 📄")</f>
        <v/>
      </c>
      <c r="P7" s="123" t="inlineStr">
        <is>
          <t>1) 굴착 장비 및 가설 펜스 자재 선정 ➔ 2) 공인시험기관 시험성적서 검수 ➔ 3) 자재 발주 신청서 제출 ➔ 4) 자재 반입 검수 통보서 결재</t>
        </is>
      </c>
      <c r="Q7" s="123">
        <f>HYPERLINK(LEFT(CELL("filename",A1),FIND("[",CELL("filename",A1))-1)&amp;"매뉴얼BODY(집행단계-첨부폴더)v8\2.사전토공사\6_자재발주 요청\수행지침\착수전 Big Room 회의_수행지침.html", "👉 [클릭] 수행지침 열기 📄")</f>
        <v/>
      </c>
      <c r="R7" s="123" t="inlineStr">
        <is>
          <t>KCS 47 10 25 굴착 장비/가설재 자재 승인, 공인시험기관 시험성적서 검수 및 자재 반입 통보</t>
        </is>
      </c>
      <c r="S7" s="123">
        <f>HYPERLINK(LEFT(CELL("filename",A1),FIND("[",CELL("filename",A1))-1)&amp;"매뉴얼BODY(집행단계-첨부폴더)v8\2.사전토공사\6_자재발주 요청\체크리스트\착수전 Big Room 회의_체크리스트.html", "👉 [클릭] 체크리스트 열기 📄")</f>
        <v/>
      </c>
      <c r="T7" s="123" t="n"/>
      <c r="U7" s="123" t="n"/>
      <c r="V7" s="122" t="inlineStr">
        <is>
          <t>1) 👉 [더블클릭] 체크리스트 열기 📄</t>
        </is>
      </c>
      <c r="W7" s="123" t="n"/>
    </row>
    <row r="8" ht="115.2" customHeight="1" s="147">
      <c r="A8" s="122" t="inlineStr">
        <is>
          <t>9000</t>
        </is>
      </c>
      <c r="B8" s="122" t="inlineStr">
        <is>
          <t>9000-5</t>
        </is>
      </c>
      <c r="C8" s="122" t="inlineStr">
        <is>
          <t>사전토공사</t>
        </is>
      </c>
      <c r="D8" s="122" t="inlineStr">
        <is>
          <t>9000-5-7</t>
        </is>
      </c>
      <c r="E8" s="122" t="n"/>
      <c r="F8" s="122" t="n"/>
      <c r="G8" s="122" t="inlineStr">
        <is>
          <t>D-40 (D-60~D-40)</t>
        </is>
      </c>
      <c r="H8" s="123" t="inlineStr">
        <is>
          <t>용지 사용 Risk 검토</t>
        </is>
      </c>
      <c r="I8" s="122" t="inlineStr">
        <is>
          <t>토목계약관리팀</t>
        </is>
      </c>
      <c r="J8" s="123" t="inlineStr">
        <is>
          <t>토지보상법 준수 | 미보상 사유지 경계 현출 및 가설 펜스(H=1.8m) 차단 | 3D 우회 토공 동선 마일스톤 연동</t>
        </is>
      </c>
      <c r="K8" s="123" t="inlineStr">
        <is>
          <t>1) 미보상 사유지 경계 현출 ➔ 2) 가설 펜스(H=1.8m) 차단 ➔ 3) 3D 우회 토공 동선 수립 ➔ 4) 용지 보상 리스크 대책 감리 승인</t>
        </is>
      </c>
      <c r="L8" s="123" t="n"/>
      <c r="M8" s="123" t="inlineStr">
        <is>
          <t>미보상 사유지 경계 현출, 가설 펜스(H=1.8m) 차단 및 3D 우회 토공 동선 마일스톤 연동</t>
        </is>
      </c>
      <c r="N8" s="123" t="inlineStr">
        <is>
          <t>토지보상법 준수 | 미보상 사유지 경계 현출 및 가설 펜스(H=1.8m) 차단 | 3D 우회 토공 동선 마일스톤 연동</t>
        </is>
      </c>
      <c r="O8" s="123">
        <f>HYPERLINK(LEFT(CELL("filename",A1),FIND("[",CELL("filename",A1))-1)&amp;"매뉴얼BODY(집행단계-첨부폴더)v8\2.사전토공사\7_용지 사용 Risk 검토\표준서\용지 사용 Risk 검토_표준서.html", "👉 [클릭] 표준서 열기 📄")</f>
        <v/>
      </c>
      <c r="P8" s="123" t="inlineStr">
        <is>
          <t>1) 미보상 사유지 경계 현출 ➔ 2) 가설 펜스(H=1.8m) 차단 ➔ 3) 3D 우회 토공 동선 수립 ➔ 4) 용지 보상 리스크 대책 감리 승인</t>
        </is>
      </c>
      <c r="Q8" s="123">
        <f>HYPERLINK(LEFT(CELL("filename",A1),FIND("[",CELL("filename",A1))-1)&amp;"매뉴얼BODY(집행단계-첨부폴더)v8\2.사전토공사\7_용지 사용 Risk 검토\수행지침\용지 사용 Risk 검토_수행지침.html", "👉 [클릭] 수행지침 열기 📄")</f>
        <v/>
      </c>
      <c r="R8" s="123" t="inlineStr">
        <is>
          <t>미보상 사유지 경계 현출, 가설 펜스(H=1.8m) 차단 및 3D 우회 토공 동선 마일스톤 연동</t>
        </is>
      </c>
      <c r="S8" s="123">
        <f>HYPERLINK(LEFT(CELL("filename",A1),FIND("[",CELL("filename",A1))-1)&amp;"매뉴얼BODY(집행단계-첨부폴더)v8\2.사전토공사\7_용지 사용 Risk 검토\체크리스트\용지 사용 Risk 검토_체크리스트.html", "👉 [클릭] 체크리스트 열기 📄")</f>
        <v/>
      </c>
      <c r="T8" s="123" t="n"/>
      <c r="U8" s="123" t="inlineStr">
        <is>
          <t>● 계약 리스크 방지 및 현장 부지 확보 요건 검토</t>
        </is>
      </c>
      <c r="V8" s="122" t="inlineStr">
        <is>
          <t>1) 👉 [더블클릭] 체크리스트 열기 📄</t>
        </is>
      </c>
      <c r="W8" s="123" t="n"/>
    </row>
    <row r="9" ht="172.8" customHeight="1" s="147">
      <c r="A9" s="122" t="inlineStr">
        <is>
          <t>9000</t>
        </is>
      </c>
      <c r="B9" s="122" t="inlineStr">
        <is>
          <t>9000-5</t>
        </is>
      </c>
      <c r="C9" s="122" t="inlineStr">
        <is>
          <t>사전토공사</t>
        </is>
      </c>
      <c r="D9" s="122" t="inlineStr">
        <is>
          <t>9000-5-8</t>
        </is>
      </c>
      <c r="E9" s="122" t="n"/>
      <c r="F9" s="122" t="n"/>
      <c r="G9" s="122" t="inlineStr">
        <is>
          <t>D-40</t>
        </is>
      </c>
      <c r="H9" s="123" t="inlineStr">
        <is>
          <t>착수전 Big Room 회의</t>
        </is>
      </c>
      <c r="I9" s="122" t="inlineStr">
        <is>
          <t>현장소장</t>
        </is>
      </c>
      <c r="J9" s="123" t="inlineStr">
        <is>
          <t>현장 통합 관리 지침 | 발주처·감리·지자체·시공사 4자 빅룸 회의 | 사전 토공 마일스톤 서명 결재</t>
        </is>
      </c>
      <c r="K9" s="123" t="inlineStr">
        <is>
          <t>1) 4자(발주·감리·지자체·시공) 빅룸 결성 ➔ 2) 사전 토공 마일스톤 연동 ➔ 3) 간섭 리스크 즉시 해소 ➔ 4) 빅룸 회의록 4자 서명 완수</t>
        </is>
      </c>
      <c r="L9" s="123" t="n"/>
      <c r="M9" s="123" t="inlineStr">
        <is>
          <t>4자(발주·감리·지자체·시공) 빅룸 회의 결성, 사전 토공 마일스톤 연동 및 간섭 리스크 서명</t>
        </is>
      </c>
      <c r="N9" s="123" t="inlineStr">
        <is>
          <t>현장 통합 관리 지침 | 발주처·감리·지자체·시공사 4자 빅룸 회의 | 사전 토공 마일스톤 서명 결재</t>
        </is>
      </c>
      <c r="O9" s="123">
        <f>HYPERLINK(LEFT(CELL("filename",A1),FIND("[",CELL("filename",A1))-1)&amp;"매뉴얼BODY(집행단계-첨부폴더)v8\2.사전토공사\8_착수전 Big Room 회의\표준서\착수전 Big Room 회의_표준서.html", "👉 [클릭] 표준서 열기 📄")</f>
        <v/>
      </c>
      <c r="P9" s="123" t="inlineStr">
        <is>
          <t>1) 4자(발주·감리·지자체·시공) 빅룸 결성 ➔ 2) 사전 토공 마일스톤 연동 ➔ 3) 간섭 리스크 즉시 해소 ➔ 4) 빅룸 회의록 4자 서명 완수</t>
        </is>
      </c>
      <c r="Q9" s="123">
        <f>HYPERLINK(LEFT(CELL("filename",A1),FIND("[",CELL("filename",A1))-1)&amp;"매뉴얼BODY(집행단계-첨부폴더)v8\2.사전토공사\8_착수전 Big Room 회의\수행지침\착수전 Big Room 회의_수행지침.html", "👉 [클릭] 수행지침 열기 📄")</f>
        <v/>
      </c>
      <c r="R9" s="123" t="inlineStr">
        <is>
          <t>4자(발주·감리·지자체·시공) 빅룸 회의 결성, 사전 토공 마일스톤 연동 및 간섭 리스크 서명</t>
        </is>
      </c>
      <c r="S9" s="123">
        <f>HYPERLINK(LEFT(CELL("filename",A1),FIND("[",CELL("filename",A1))-1)&amp;"매뉴얼BODY(집행단계-첨부폴더)v8\2.사전토공사\8_착수전 Big Room 회의\체크리스트\착수전 Big Room 회의_체크리스트.html", "👉 [클릭] 체크리스트 열기 📄")</f>
        <v/>
      </c>
      <c r="T9" s="123" t="n"/>
      <c r="U9" s="123" t="inlineStr">
        <is>
          <t>● 본사 유관부서(견적/엔지니어링/공정/품질/안전) 조율</t>
        </is>
      </c>
      <c r="V9" s="122" t="inlineStr">
        <is>
          <t>1) 👉 [더블클릭] 체크리스트 열기 📄</t>
        </is>
      </c>
      <c r="W9" s="123" t="n"/>
    </row>
    <row r="10" ht="115.2" customHeight="1" s="147">
      <c r="A10" s="122" t="inlineStr">
        <is>
          <t>9000</t>
        </is>
      </c>
      <c r="B10" s="122" t="inlineStr">
        <is>
          <t>9000-5</t>
        </is>
      </c>
      <c r="C10" s="122" t="inlineStr">
        <is>
          <t>사전토공사</t>
        </is>
      </c>
      <c r="D10" s="122" t="inlineStr">
        <is>
          <t>9000-5-9</t>
        </is>
      </c>
      <c r="E10" s="122" t="n"/>
      <c r="F10" s="122" t="n"/>
      <c r="G10" s="122" t="inlineStr">
        <is>
          <t>D-30</t>
        </is>
      </c>
      <c r="H10" s="123" t="inlineStr">
        <is>
          <t>인허가 절차 진행</t>
        </is>
      </c>
      <c r="I10" s="122" t="inlineStr">
        <is>
          <t>현장 공무팀</t>
        </is>
      </c>
      <c r="J10" s="123" t="inlineStr">
        <is>
          <t>도로법 및 환경영향평가법 | 지자체 도로점용 허가 및 비산먼지 발생신고 수속 | 법정 인허가 필증 수속</t>
        </is>
      </c>
      <c r="K10" s="123" t="inlineStr">
        <is>
          <t>1) 지자체 도로/하천점용 허가서 작성 ➔ 2) 관련 부서 서류 제출 &amp; 심의 ➔ 3) 보증보험 증권 부착 ➔ 4) 법정 인허가 필증 감리 수속</t>
        </is>
      </c>
      <c r="L10" s="123" t="n"/>
      <c r="M10" s="123" t="inlineStr">
        <is>
          <t>지자체 도로/하천점용 허가서 접수, 비산먼지 발생사업 신고 필증 수속 및 보증보험 제출</t>
        </is>
      </c>
      <c r="N10" s="123" t="inlineStr">
        <is>
          <t>도로법 및 환경영향평가법 | 지자체 도로점용 허가 및 비산먼지 발생신고 수속 | 법정 인허가 필증 수속</t>
        </is>
      </c>
      <c r="O10" s="123">
        <f>HYPERLINK(LEFT(CELL("filename",A1),FIND("[",CELL("filename",A1))-1)&amp;"매뉴얼BODY(집행단계-첨부폴더)v8\2.사전토공사\9_인허가 절차 진행\표준서\인허가 절차 진행_표준서.html", "👉 [클릭] 표준서 열기 📄")</f>
        <v/>
      </c>
      <c r="P10" s="123" t="inlineStr">
        <is>
          <t>1) 지자체 도로/하천점용 허가서 작성 ➔ 2) 관련 부서 서류 제출 &amp; 심의 ➔ 3) 보증보험 증권 부착 ➔ 4) 법정 인허가 필증 감리 수속</t>
        </is>
      </c>
      <c r="Q10" s="123">
        <f>HYPERLINK(LEFT(CELL("filename",A1),FIND("[",CELL("filename",A1))-1)&amp;"매뉴얼BODY(집행단계-첨부폴더)v8\2.사전토공사\9_인허가 절차 진행\수행지침\인허가 절차 진행_수행지침.html", "👉 [클릭] 수행지침 열기 📄")</f>
        <v/>
      </c>
      <c r="R10" s="123" t="inlineStr">
        <is>
          <t>지자체 도로/하천점용 허가서 접수, 비산먼지 발생사업 신고 필증 수속 및 보증보험 제출</t>
        </is>
      </c>
      <c r="S10" s="123">
        <f>HYPERLINK(LEFT(CELL("filename",A1),FIND("[",CELL("filename",A1))-1)&amp;"매뉴얼BODY(집행단계-첨부폴더)v8\2.사전토공사\9_인허가 절차 진행\체크리스트\인허가 절차 진행_체크리스트.html", "👉 [클릭] 체크리스트 열기 📄")</f>
        <v/>
      </c>
      <c r="T10" s="123" t="n"/>
      <c r="U10" s="123" t="inlineStr">
        <is>
          <t>● 관련 인허가 법령 검토</t>
        </is>
      </c>
      <c r="V10" s="122" t="inlineStr">
        <is>
          <t>1) 👉 [더블클릭] 체크리스트 열기 📄</t>
        </is>
      </c>
      <c r="W10" s="123" t="n"/>
    </row>
    <row r="11" ht="96" customHeight="1" s="147">
      <c r="A11" s="122" t="inlineStr">
        <is>
          <t>9000</t>
        </is>
      </c>
      <c r="B11" s="122" t="inlineStr">
        <is>
          <t>9000-5</t>
        </is>
      </c>
      <c r="C11" s="122" t="inlineStr">
        <is>
          <t>사전토공사</t>
        </is>
      </c>
      <c r="D11" s="122" t="inlineStr">
        <is>
          <t>9000-5-10</t>
        </is>
      </c>
      <c r="E11" s="122" t="n"/>
      <c r="F11" s="122" t="n"/>
      <c r="G11" s="122" t="inlineStr">
        <is>
          <t>D-30</t>
        </is>
      </c>
      <c r="H11" s="123" t="inlineStr">
        <is>
          <t>교통처리대책 협의 및 승인</t>
        </is>
      </c>
      <c r="I11" s="122" t="inlineStr">
        <is>
          <t>현장 공무팀</t>
        </is>
      </c>
      <c r="J11" s="123" t="inlineStr">
        <is>
          <t>도로교통법 안전 수칙 | 경찰서 차선 점용 허가 및 가설 둔차선 도로 복구 이행 보증보험 | 교통대책 감리 승인</t>
        </is>
      </c>
      <c r="K11" s="123" t="inlineStr">
        <is>
          <t>1) 경찰서 차선 점용 허가증 수령 ➔ 2) 도로 복구 보증보험 증권 제출 ➔ 3) 전담 신호수 &amp; LED 경광등 배치 ➔ 4) 교통대책서 감리 서면 승인</t>
        </is>
      </c>
      <c r="L11" s="123" t="n"/>
      <c r="M11" s="123" t="inlineStr">
        <is>
          <t>동탄경찰서 차선 점용 허가, 도로 복구 이행 보증보험 제출 및 전담 신호수(2인 2조) 100% 배치</t>
        </is>
      </c>
      <c r="N11" s="123" t="inlineStr">
        <is>
          <t>도로교통법 안전 수칙 | 경찰서 차선 점용 허가 및 가설 둔차선 도로 복구 이행 보증보험 | 교통대책 감리 승인</t>
        </is>
      </c>
      <c r="O11" s="123">
        <f>HYPERLINK(LEFT(CELL("filename",A1),FIND("[",CELL("filename",A1))-1)&amp;"매뉴얼BODY(집행단계-첨부폴더)v8\2.사전토공사\10_교통처리대책 협의 및 승인\표준서\교통처리대책 협의 및 승인_표준서.html", "👉 [클릭] 표준서 열기 📄")</f>
        <v/>
      </c>
      <c r="P11" s="123" t="inlineStr">
        <is>
          <t>1) 경찰서 차선 점용 허가증 수령 ➔ 2) 도로 복구 보증보험 증권 제출 ➔ 3) 전담 신호수 &amp; LED 경광등 배치 ➔ 4) 교통대책서 감리 서면 승인</t>
        </is>
      </c>
      <c r="Q11" s="123">
        <f>HYPERLINK(LEFT(CELL("filename",A1),FIND("[",CELL("filename",A1))-1)&amp;"매뉴얼BODY(집행단계-첨부폴더)v8\2.사전토공사\10_교통처리대책 협의 및 승인\수행지침\교통처리대책 협의 및 승인_수행지침.html", "👉 [클릭] 수행지침 열기 📄")</f>
        <v/>
      </c>
      <c r="R11" s="123" t="inlineStr">
        <is>
          <t>동탄경찰서 차선 점용 허가, 도로 복구 이행 보증보험 제출 및 전담 신호수(2인 2조) 100% 배치</t>
        </is>
      </c>
      <c r="S11" s="123">
        <f>HYPERLINK(LEFT(CELL("filename",A1),FIND("[",CELL("filename",A1))-1)&amp;"매뉴얼BODY(집행단계-첨부폴더)v8\2.사전토공사\10_교통처리대책 협의 및 승인\체크리스트\교통처리대책 협의 및 승인_체크리스트.html", "👉 [클릭] 체크리스트 열기 📄")</f>
        <v/>
      </c>
      <c r="T11" s="123" t="n"/>
      <c r="U11" s="123" t="inlineStr">
        <is>
          <t>● 사토/토취장 인허가 요건 준수</t>
        </is>
      </c>
      <c r="V11" s="122" t="inlineStr">
        <is>
          <t>1) 👉 [더블클릭] 체크리스트 열기 📄</t>
        </is>
      </c>
      <c r="W11" s="123" t="n"/>
    </row>
    <row r="12" ht="115.2" customHeight="1" s="147">
      <c r="A12" s="122" t="inlineStr">
        <is>
          <t>9000</t>
        </is>
      </c>
      <c r="B12" s="122" t="inlineStr">
        <is>
          <t>9000-5</t>
        </is>
      </c>
      <c r="C12" s="122" t="inlineStr">
        <is>
          <t>사전토공사</t>
        </is>
      </c>
      <c r="D12" s="122" t="inlineStr">
        <is>
          <t>9000-5-11</t>
        </is>
      </c>
      <c r="E12" s="122" t="n"/>
      <c r="F12" s="122" t="n"/>
      <c r="G12" s="122" t="inlineStr">
        <is>
          <t>D-30</t>
        </is>
      </c>
      <c r="H12" s="123" t="inlineStr">
        <is>
          <t>지장물 검토 및 협의</t>
        </is>
      </c>
      <c r="I12" s="122" t="inlineStr">
        <is>
          <t>현장 공무팀/공사팀</t>
        </is>
      </c>
      <c r="J12" s="123" t="inlineStr">
        <is>
          <t>지하안전관리에 관한 특별법 | GPR 3D 관로 탐사 &amp; 인력 시탐 줄파기(깊이 1.5m) | 점용기관 현장 입회 이설 방호</t>
        </is>
      </c>
      <c r="K12" s="123" t="inlineStr">
        <is>
          <t>1) GPR 3D 지중 관로 탐사 ➔ 2) 인력 시탐 줄파기(깊이 1.5m) ➔ 3) 관할 점용기관 1:1 현장 입회 ➔ 4) 매달기 방호 &amp; 지장물 서면 승인</t>
        </is>
      </c>
      <c r="L12" s="123" t="n"/>
      <c r="M12" s="123" t="inlineStr">
        <is>
          <t>GPR 3D 관로 탐사, 인력 시탐 줄파기(폭 0.5m, 깊이 1.5m) 및 점용기관 1:1 현장 입회 매달기 방호</t>
        </is>
      </c>
      <c r="N12" s="123" t="inlineStr">
        <is>
          <t>지하안전관리에 관한 특별법 | GPR 3D 관로 탐사 &amp; 인력 시탐 줄파기(깊이 1.5m) | 점용기관 현장 입회 이설 방호</t>
        </is>
      </c>
      <c r="O12" s="123">
        <f>HYPERLINK(LEFT(CELL("filename",A1),FIND("[",CELL("filename",A1))-1)&amp;"매뉴얼BODY(집행단계-첨부폴더)v8\2.사전토공사\11_지장물 검토 및 협의\표준서\지장물 검토 및 협의_표준서.html", "👉 [클릭] 표준서 열기 📄")</f>
        <v/>
      </c>
      <c r="P12" s="123" t="inlineStr">
        <is>
          <t>1) GPR 3D 지중 관로 탐사 ➔ 2) 인력 시탐 줄파기(깊이 1.5m) ➔ 3) 관할 점용기관 1:1 현장 입회 ➔ 4) 매달기 방호 &amp; 지장물 서면 승인</t>
        </is>
      </c>
      <c r="Q12" s="123">
        <f>HYPERLINK(LEFT(CELL("filename",A1),FIND("[",CELL("filename",A1))-1)&amp;"매뉴얼BODY(집행단계-첨부폴더)v8\2.사전토공사\11_지장물 검토 및 협의\수행지침\지장물 검토 및 협의_수행지침.html", "👉 [클릭] 수행지침 열기 📄")</f>
        <v/>
      </c>
      <c r="R12" s="123" t="inlineStr">
        <is>
          <t>GPR 3D 관로 탐사, 인력 시탐 줄파기(폭 0.5m, 깊이 1.5m) 및 점용기관 1:1 현장 입회 매달기 방호</t>
        </is>
      </c>
      <c r="S12" s="123">
        <f>HYPERLINK(LEFT(CELL("filename",A1),FIND("[",CELL("filename",A1))-1)&amp;"매뉴얼BODY(집행단계-첨부폴더)v8\2.사전토공사\11_지장물 검토 및 협의\체크리스트\지장물 검토 및 협의_체크리스트.html", "👉 [클릭] 체크리스트 열기 📄")</f>
        <v/>
      </c>
      <c r="T12" s="123" t="n"/>
      <c r="U12" s="123" t="inlineStr">
        <is>
          <t>● 도로점용 및 지장물 이설 규정 준수</t>
        </is>
      </c>
      <c r="V12" s="122" t="inlineStr">
        <is>
          <t>1) 👉 [더블클릭] 체크리스트 열기 📄</t>
        </is>
      </c>
      <c r="W12" s="123" t="n"/>
    </row>
    <row r="13" ht="96" customHeight="1" s="147">
      <c r="A13" s="122" t="inlineStr">
        <is>
          <t>9000</t>
        </is>
      </c>
      <c r="B13" s="122" t="inlineStr">
        <is>
          <t>9000-5</t>
        </is>
      </c>
      <c r="C13" s="122" t="inlineStr">
        <is>
          <t>사전토공사</t>
        </is>
      </c>
      <c r="D13" s="122" t="inlineStr">
        <is>
          <t>9000-5-12</t>
        </is>
      </c>
      <c r="E13" s="122" t="n"/>
      <c r="F13" s="122" t="n"/>
      <c r="G13" s="122" t="inlineStr">
        <is>
          <t>D-30</t>
        </is>
      </c>
      <c r="H13" s="123" t="inlineStr">
        <is>
          <t>기공승낙 적정성 검토</t>
        </is>
      </c>
      <c r="I13" s="122" t="inlineStr">
        <is>
          <t>현장 공무팀</t>
        </is>
      </c>
      <c r="J13" s="123" t="inlineStr">
        <is>
          <t>국유재산법 및 공유재산법 | 토지 기공승낙서 인허가 확인 및 진입로 점용 범위 실측 | 토지 사용 승인서 결재</t>
        </is>
      </c>
      <c r="K13" s="123" t="inlineStr">
        <is>
          <t>1) 국유지/공유지 기공승낙서 수속 ➔ 2) 진입 도로 점용 범위 실측 ➔ 3) 토지 소유주 사용 협의 ➔ 4) 기공승낙서 감리 서면 승인</t>
        </is>
      </c>
      <c r="L13" s="123" t="n"/>
      <c r="M13" s="123" t="inlineStr">
        <is>
          <t>국유지/공유지 기공승낙서 인허가 검증, 진입 도로 점용 범위 실측 및 토지 사용 승인서 결재</t>
        </is>
      </c>
      <c r="N13" s="123" t="inlineStr">
        <is>
          <t>국유재산법 및 공유재산법 | 토지 기공승낙서 인허가 확인 및 진입로 점용 범위 실측 | 토지 사용 승인서 결재</t>
        </is>
      </c>
      <c r="O13" s="123">
        <f>HYPERLINK(LEFT(CELL("filename",A1),FIND("[",CELL("filename",A1))-1)&amp;"매뉴얼BODY(집행단계-첨부폴더)v8\2.사전토공사\12_기공승낙 적정성 검토\표준서\기공승낙 적정성 검토_표준서.html", "👉 [클릭] 표준서 열기 📄")</f>
        <v/>
      </c>
      <c r="P13" s="123" t="inlineStr">
        <is>
          <t>1) 국유지/공유지 기공승낙서 수속 ➔ 2) 진입 도로 점용 범위 실측 ➔ 3) 토지 소유주 사용 협의 ➔ 4) 기공승낙서 감리 서면 승인</t>
        </is>
      </c>
      <c r="Q13" s="123">
        <f>HYPERLINK(LEFT(CELL("filename",A1),FIND("[",CELL("filename",A1))-1)&amp;"매뉴얼BODY(집행단계-첨부폴더)v8\2.사전토공사\12_기공승낙 적정성 검토\수행지침\기공승낙 적정성 검토_수행지침.html", "👉 [클릭] 수행지침 열기 📄")</f>
        <v/>
      </c>
      <c r="R13" s="123" t="inlineStr">
        <is>
          <t>국유지/공유지 기공승낙서 인허가 검증, 진입 도로 점용 범위 실측 및 토지 사용 승인서 결재</t>
        </is>
      </c>
      <c r="S13" s="123">
        <f>HYPERLINK(LEFT(CELL("filename",A1),FIND("[",CELL("filename",A1))-1)&amp;"매뉴얼BODY(집행단계-첨부폴더)v8\2.사전토공사\12_기공승낙 적정성 검토\체크리스트\기공승낙 적정성 검토_체크리스트.html", "👉 [클릭] 체크리스트 열기 📄")</f>
        <v/>
      </c>
      <c r="T13" s="123" t="n"/>
      <c r="U13" s="123" t="inlineStr">
        <is>
          <t>● 용지 취득 및 기공승낙 법적 검토</t>
        </is>
      </c>
      <c r="V13" s="122" t="inlineStr">
        <is>
          <t>1) 👉 [더블클릭] 체크리스트 열기 📄</t>
        </is>
      </c>
      <c r="W13" s="123" t="n"/>
    </row>
    <row r="14" ht="96" customHeight="1" s="147">
      <c r="A14" s="122" t="inlineStr">
        <is>
          <t>9000</t>
        </is>
      </c>
      <c r="B14" s="122" t="inlineStr">
        <is>
          <t>9000-5</t>
        </is>
      </c>
      <c r="C14" s="122" t="inlineStr">
        <is>
          <t>사전토공사</t>
        </is>
      </c>
      <c r="D14" s="122" t="inlineStr">
        <is>
          <t>9000-5-13</t>
        </is>
      </c>
      <c r="E14" s="122" t="n"/>
      <c r="F14" s="122" t="n"/>
      <c r="G14" s="122" t="inlineStr">
        <is>
          <t>D-30</t>
        </is>
      </c>
      <c r="H14" s="123" t="inlineStr">
        <is>
          <t>민원 저감 대책 수립</t>
        </is>
      </c>
      <c r="I14" s="122" t="inlineStr">
        <is>
          <t>현장 안전팀/공무팀</t>
        </is>
      </c>
      <c r="J14" s="123" t="inlineStr">
        <is>
          <t>소음진동관리법 준수 | 야간 공사 소음 방음벽(H=3m) 및 세륜기(깊이 1.2m) 가동 | 단수/단전 주민 사전 안내</t>
        </is>
      </c>
      <c r="K14" s="123" t="inlineStr">
        <is>
          <t>1) 야간 공사 소음 방음벽(H=3m) 설치 ➔ 2) 세륜기 가동 &amp; 분무 살수 ➔ 3) 단수/단전 사전 주민 공지 ➔ 4) 민원 대응반 서면 승인</t>
        </is>
      </c>
      <c r="L14" s="123" t="n"/>
      <c r="M14" s="123" t="inlineStr">
        <is>
          <t>야간 공사 소음 방음벽(H=3m) 가동, 세륜기(깊이 1.2m) 가동 및 단수/단전 주민 사전 고지</t>
        </is>
      </c>
      <c r="N14" s="123" t="inlineStr">
        <is>
          <t>소음진동관리법 준수 | 야간 공사 소음 방음벽(H=3m) 및 세륜기(깊이 1.2m) 가동 | 단수/단전 주민 사전 안내</t>
        </is>
      </c>
      <c r="O14" s="123">
        <f>HYPERLINK(LEFT(CELL("filename",A1),FIND("[",CELL("filename",A1))-1)&amp;"매뉴얼BODY(집행단계-첨부폴더)v8\2.사전토공사\13_민원 저감 대책 수립\표준서\민원 저감 대책 수립_표준서.html", "👉 [클릭] 표준서 열기 📄")</f>
        <v/>
      </c>
      <c r="P14" s="123" t="inlineStr">
        <is>
          <t>1) 야간 공사 소음 방음벽(H=3m) 설치 ➔ 2) 세륜기 가동 &amp; 분무 살수 ➔ 3) 단수/단전 사전 주민 공지 ➔ 4) 민원 대응반 서면 승인</t>
        </is>
      </c>
      <c r="Q14" s="123">
        <f>HYPERLINK(LEFT(CELL("filename",A1),FIND("[",CELL("filename",A1))-1)&amp;"매뉴얼BODY(집행단계-첨부폴더)v8\2.사전토공사\13_민원 저감 대책 수립\수행지침\민원 저감 대책 수립_수행지침.html", "👉 [클릭] 수행지침 열기 📄")</f>
        <v/>
      </c>
      <c r="R14" s="123" t="inlineStr">
        <is>
          <t>야간 공사 소음 방음벽(H=3m) 가동, 세륜기(깊이 1.2m) 가동 및 단수/단전 주민 사전 고지</t>
        </is>
      </c>
      <c r="S14" s="123">
        <f>HYPERLINK(LEFT(CELL("filename",A1),FIND("[",CELL("filename",A1))-1)&amp;"매뉴얼BODY(집행단계-첨부폴더)v8\2.사전토공사\13_민원 저감 대책 수립\체크리스트\민원 저감 대책 수립_체크리스트.html", "👉 [클릭] 체크리스트 열기 📄")</f>
        <v/>
      </c>
      <c r="T14" s="123" t="n"/>
      <c r="U14" s="123" t="inlineStr">
        <is>
          <t>● 민원 관리 지침 준수</t>
        </is>
      </c>
      <c r="V14" s="122" t="inlineStr">
        <is>
          <t>1) 👉 [더블클릭] 체크리스트 열기 📄</t>
        </is>
      </c>
      <c r="W14" s="123" t="n"/>
    </row>
    <row r="15" ht="96" customHeight="1" s="147">
      <c r="A15" s="122" t="inlineStr">
        <is>
          <t>9000</t>
        </is>
      </c>
      <c r="B15" s="122" t="inlineStr">
        <is>
          <t>9000-5</t>
        </is>
      </c>
      <c r="C15" s="122" t="inlineStr">
        <is>
          <t>사전토공사</t>
        </is>
      </c>
      <c r="D15" s="122" t="inlineStr">
        <is>
          <t>9000-5-14</t>
        </is>
      </c>
      <c r="E15" s="122" t="n"/>
      <c r="F15" s="122" t="n"/>
      <c r="G15" s="122" t="inlineStr">
        <is>
          <t>D-30</t>
        </is>
      </c>
      <c r="H15" s="123" t="inlineStr">
        <is>
          <t>용지보상 Risk 파악</t>
        </is>
      </c>
      <c r="I15" s="122" t="inlineStr">
        <is>
          <t>현장 공무팀</t>
        </is>
      </c>
      <c r="J15" s="123" t="inlineStr">
        <is>
          <t>토지보상법 준수 | 지장물 이설 부지 용지보상 현황 및 점용 경계 실측 | 미보상 사유지 가설 펜스 차단</t>
        </is>
      </c>
      <c r="K15" s="123" t="inlineStr">
        <is>
          <t>1) 미보상 필지 현출 &amp; 지적 대조 ➔ 2) 가설 펜스(H=1.8m) 차단 ➔ 3) 우회 토공 동선 수립 ➔ 4) 용지 보상 대책서 감리 승인</t>
        </is>
      </c>
      <c r="L15" s="123" t="n"/>
      <c r="M15" s="123" t="inlineStr">
        <is>
          <t>미보상 필지 지적 대조, 경계 가설 펜스(H=1.8m) 차단 및 우회 토공 동선 서면 승인</t>
        </is>
      </c>
      <c r="N15" s="123" t="inlineStr">
        <is>
          <t>토지보상법 준수 | 지장물 이설 부지 용지보상 현황 및 점용 경계 실측 | 미보상 사유지 가설 펜스 차단</t>
        </is>
      </c>
      <c r="O15" s="123">
        <f>HYPERLINK(LEFT(CELL("filename",A1),FIND("[",CELL("filename",A1))-1)&amp;"매뉴얼BODY(집행단계-첨부폴더)v8\2.사전토공사\14_용지보상 Risk 파악\표준서\용지보상 Risk 파악_표준서.html", "👉 [클릭] 표준서 열기 📄")</f>
        <v/>
      </c>
      <c r="P15" s="123" t="inlineStr">
        <is>
          <t>1) 미보상 필지 현출 &amp; 지적 대조 ➔ 2) 가설 펜스(H=1.8m) 차단 ➔ 3) 우회 토공 동선 수립 ➔ 4) 용지 보상 대책서 감리 승인</t>
        </is>
      </c>
      <c r="Q15" s="123">
        <f>HYPERLINK(LEFT(CELL("filename",A1),FIND("[",CELL("filename",A1))-1)&amp;"매뉴얼BODY(집행단계-첨부폴더)v8\2.사전토공사\14_용지보상 Risk 파악\수행지침\용지보상 Risk 파악_수행지침.html", "👉 [클릭] 수행지침 열기 📄")</f>
        <v/>
      </c>
      <c r="R15" s="123" t="inlineStr">
        <is>
          <t>미보상 필지 지적 대조, 경계 가설 펜스(H=1.8m) 차단 및 우회 토공 동선 서면 승인</t>
        </is>
      </c>
      <c r="S15" s="123">
        <f>HYPERLINK(LEFT(CELL("filename",A1),FIND("[",CELL("filename",A1))-1)&amp;"매뉴얼BODY(집행단계-첨부폴더)v8\2.사전토공사\14_용지보상 Risk 파악\체크리스트\용지보상 Risk 파악_체크리스트.html", "👉 [클릭] 체크리스트 열기 📄")</f>
        <v/>
      </c>
      <c r="T15" s="123" t="n"/>
      <c r="U15" s="123" t="inlineStr">
        <is>
          <t>● 토지보상법 및 공정 영향 분석</t>
        </is>
      </c>
      <c r="V15" s="122" t="inlineStr">
        <is>
          <t>1) 👉 [더블클릭] 체크리스트 열기 📄</t>
        </is>
      </c>
      <c r="W15" s="123" t="n"/>
    </row>
    <row r="16" ht="96" customHeight="1" s="147">
      <c r="A16" s="122" t="inlineStr">
        <is>
          <t>9000</t>
        </is>
      </c>
      <c r="B16" s="122" t="inlineStr">
        <is>
          <t>9000-5</t>
        </is>
      </c>
      <c r="C16" s="122" t="inlineStr">
        <is>
          <t>사전토공사</t>
        </is>
      </c>
      <c r="D16" s="122" t="inlineStr">
        <is>
          <t>9000-5-15</t>
        </is>
      </c>
      <c r="E16" s="122" t="n"/>
      <c r="F16" s="122" t="n"/>
      <c r="G16" s="122" t="inlineStr">
        <is>
          <t>D-30</t>
        </is>
      </c>
      <c r="H16" s="123" t="inlineStr">
        <is>
          <t>시공계획서 검토 지원</t>
        </is>
      </c>
      <c r="I16" s="122" t="inlineStr">
        <is>
          <t>토목품질팀</t>
        </is>
      </c>
      <c r="J16" s="123" t="inlineStr">
        <is>
          <t>건진법 시행령 제89조 | 사전 토공 시공계획서 표준 8대 목차 검토 | 착공 14일 전 감리 서면 승인</t>
        </is>
      </c>
      <c r="K16" s="123" t="inlineStr">
        <is>
          <t>1) 사전 토공 시공계획서 작성 ➔ 2) 8대 목차 &amp; KCS 수치 명시 ➔ 3) 착공 14일 전 감리단 제출 ➔ 4) 시공계획서 감리 서면 승인</t>
        </is>
      </c>
      <c r="L16" s="123" t="n"/>
      <c r="M16" s="123" t="inlineStr">
        <is>
          <t>사전 토공 시공계획서 표준 8대 목차, KCS 수치 수록 및 착공 14일 전 감리 서면 승인</t>
        </is>
      </c>
      <c r="N16" s="123" t="inlineStr">
        <is>
          <t>건진법 시행령 제89조 | 사전 토공 시공계획서 표준 8대 목차 검토 | 착공 14일 전 감리 서면 승인</t>
        </is>
      </c>
      <c r="O16" s="123">
        <f>HYPERLINK(LEFT(CELL("filename",A1),FIND("[",CELL("filename",A1))-1)&amp;"매뉴얼BODY(집행단계-첨부폴더)v8\2.사전토공사\15_시공계획서 검토 지원\표준서\시공계획서 검토 지원_표준서.html", "👉 [클릭] 표준서 열기 📄")</f>
        <v/>
      </c>
      <c r="P16" s="123" t="inlineStr">
        <is>
          <t>1) 사전 토공 시공계획서 작성 ➔ 2) 8대 목차 &amp; KCS 수치 명시 ➔ 3) 착공 14일 전 감리단 제출 ➔ 4) 시공계획서 감리 서면 승인</t>
        </is>
      </c>
      <c r="Q16" s="123">
        <f>HYPERLINK(LEFT(CELL("filename",A1),FIND("[",CELL("filename",A1))-1)&amp;"매뉴얼BODY(집행단계-첨부폴더)v8\2.사전토공사\15_시공계획서 검토 지원\수행지침\시공계획서 검토 지원_수행지침.html", "👉 [클릭] 수행지침 열기 📄")</f>
        <v/>
      </c>
      <c r="R16" s="123" t="inlineStr">
        <is>
          <t>사전 토공 시공계획서 표준 8대 목차, KCS 수치 수록 및 착공 14일 전 감리 서면 승인</t>
        </is>
      </c>
      <c r="S16" s="123">
        <f>HYPERLINK(LEFT(CELL("filename",A1),FIND("[",CELL("filename",A1))-1)&amp;"매뉴얼BODY(집행단계-첨부폴더)v8\2.사전토공사\15_시공계획서 검토 지원\체크리스트\시공계획서 검토 지원_체크리스트.html", "👉 [클릭] 체크리스트 열기 📄")</f>
        <v/>
      </c>
      <c r="T16" s="123" t="n"/>
      <c r="U16" s="123" t="inlineStr">
        <is>
          <t>● 품질경영 매뉴얼 기준</t>
        </is>
      </c>
      <c r="V16" s="122" t="inlineStr">
        <is>
          <t>1) 👉 [더블클릭] 체크리스트 열기 📄</t>
        </is>
      </c>
      <c r="W16" s="123" t="n"/>
    </row>
    <row r="17" ht="96" customHeight="1" s="147">
      <c r="A17" s="122" t="inlineStr">
        <is>
          <t>9000</t>
        </is>
      </c>
      <c r="B17" s="122" t="inlineStr">
        <is>
          <t>9000-5</t>
        </is>
      </c>
      <c r="C17" s="122" t="inlineStr">
        <is>
          <t>사전토공사</t>
        </is>
      </c>
      <c r="D17" s="122" t="inlineStr">
        <is>
          <t>9000-5-16</t>
        </is>
      </c>
      <c r="E17" s="122" t="n"/>
      <c r="F17" s="122" t="n"/>
      <c r="G17" s="122" t="inlineStr">
        <is>
          <t>D-30</t>
        </is>
      </c>
      <c r="H17" s="123" t="inlineStr">
        <is>
          <t>시공계획 수립</t>
        </is>
      </c>
      <c r="I17" s="122" t="inlineStr">
        <is>
          <t>현장 공사팀</t>
        </is>
      </c>
      <c r="J17" s="123" t="inlineStr">
        <is>
          <t>KCS 47 10 25 토공 시방 | 깎기/성토 토공 유동표 작성 및 3D BIM 도면 대조 | 책임감리원 최종 승인</t>
        </is>
      </c>
      <c r="K17" s="123" t="inlineStr">
        <is>
          <t>1) 토공 깎기/성토 유동표 작성 ➔ 2) 3D BIM 모델 표고 대조 ➔ 3) 사면 안성성 계산서 부착 ➔ 4) 토공 시공계획서 감리 최종 결재</t>
        </is>
      </c>
      <c r="L17" s="123" t="n"/>
      <c r="M17" s="123" t="inlineStr">
        <is>
          <t>토공 깎기/성토 유동표 작성, 3D BIM 모델 표고 대조 및 사면 안전성 계산서 감리 결재</t>
        </is>
      </c>
      <c r="N17" s="123" t="inlineStr">
        <is>
          <t>KCS 47 10 25 토공 시방 | 깎기/성토 토공 유동표 작성 및 3D BIM 도면 대조 | 책임감리원 최종 승인</t>
        </is>
      </c>
      <c r="O17" s="123">
        <f>HYPERLINK(LEFT(CELL("filename",A1),FIND("[",CELL("filename",A1))-1)&amp;"매뉴얼BODY(집행단계-첨부폴더)v8\2.사전토공사\16_시공계획 수립\표준서\설계변경 (착수전)_표준서.html", "👉 [클릭] 표준서 열기 📄")</f>
        <v/>
      </c>
      <c r="P17" s="123" t="inlineStr">
        <is>
          <t>1) 토공 깎기/성토 유동표 작성 ➔ 2) 3D BIM 모델 표고 대조 ➔ 3) 사면 안성성 계산서 부착 ➔ 4) 토공 시공계획서 감리 최종 결재</t>
        </is>
      </c>
      <c r="Q17" s="123">
        <f>HYPERLINK(LEFT(CELL("filename",A1),FIND("[",CELL("filename",A1))-1)&amp;"매뉴얼BODY(집행단계-첨부폴더)v8\2.사전토공사\16_시공계획 수립\수행지침\설계변경 (착수전)_수행지침.html", "👉 [클릭] 수행지침 열기 📄")</f>
        <v/>
      </c>
      <c r="R17" s="123" t="inlineStr">
        <is>
          <t>토공 깎기/성토 유동표 작성, 3D BIM 모델 표고 대조 및 사면 안전성 계산서 감리 결재</t>
        </is>
      </c>
      <c r="S17" s="123">
        <f>HYPERLINK(LEFT(CELL("filename",A1),FIND("[",CELL("filename",A1))-1)&amp;"매뉴얼BODY(집행단계-첨부폴더)v8\2.사전토공사\16_시공계획 수립\체크리스트\설계변경 (착수전)_체크리스트.html", "👉 [클릭] 체크리스트 열기 📄")</f>
        <v/>
      </c>
      <c r="T17" s="123" t="n"/>
      <c r="U17" s="123" t="inlineStr">
        <is>
          <t>● 토공사 표준시방서 준수</t>
        </is>
      </c>
      <c r="V17" s="122" t="inlineStr">
        <is>
          <t>1) 👉 [더블클릭] 체크리스트 열기 📄</t>
        </is>
      </c>
      <c r="W17" s="123" t="n"/>
    </row>
    <row r="18" ht="96" customHeight="1" s="147">
      <c r="A18" s="122" t="inlineStr">
        <is>
          <t>9000</t>
        </is>
      </c>
      <c r="B18" s="122" t="inlineStr">
        <is>
          <t>9000-5</t>
        </is>
      </c>
      <c r="C18" s="122" t="inlineStr">
        <is>
          <t>사전토공사</t>
        </is>
      </c>
      <c r="D18" s="122" t="inlineStr">
        <is>
          <t>9000-5-17</t>
        </is>
      </c>
      <c r="E18" s="122" t="n"/>
      <c r="F18" s="122" t="n"/>
      <c r="G18" s="122" t="inlineStr">
        <is>
          <t>D-30</t>
        </is>
      </c>
      <c r="H18" s="123" t="inlineStr">
        <is>
          <t>후행공종 요구조건 반영 설계변경 검토</t>
        </is>
      </c>
      <c r="I18" s="122" t="inlineStr">
        <is>
          <t>현장 공무팀/공사팀</t>
        </is>
      </c>
      <c r="J18" s="123" t="inlineStr">
        <is>
          <t>건진법 설계변경 수칙 | 궤도/구조물 후행 공종 요구 표고 오차(±10mm) 반영 | 설계변경 실정보고서 작성</t>
        </is>
      </c>
      <c r="K18" s="123" t="inlineStr">
        <is>
          <t>1) 궤도/구조물 후행 요구 조건 수집 ➔ 2) 마무리면 표고 오차(±10mm) 반영 ➔ 3) 설계변경 실정보고서 작성 ➔ 4) 책임감리원 기술 승인</t>
        </is>
      </c>
      <c r="L18" s="123" t="n"/>
      <c r="M18" s="123" t="inlineStr">
        <is>
          <t>궤도/구조물 후행 요구 조건 반영, 마무리면 표고 오차(±10mm) 반영 및 설계변경 실정보고</t>
        </is>
      </c>
      <c r="N18" s="123" t="inlineStr">
        <is>
          <t>건진법 설계변경 수칙 | 궤도/구조물 후행 공종 요구 표고 오차(±10mm) 반영 | 설계변경 실정보고서 작성</t>
        </is>
      </c>
      <c r="O18" s="123">
        <f>HYPERLINK(LEFT(CELL("filename",A1),FIND("[",CELL("filename",A1))-1)&amp;"매뉴얼BODY(집행단계-첨부폴더)v8\2.사전토공사\17_후행공종 요구조건 반영 설계변경 검토\표준서\후행공종 요구조건 반영 설계변경 검토_표준서.html", "👉 [클릭] 표준서 열기 📄")</f>
        <v/>
      </c>
      <c r="P18" s="123" t="inlineStr">
        <is>
          <t>1) 궤도/구조물 후행 요구 조건 수집 ➔ 2) 마무리면 표고 오차(±10mm) 반영 ➔ 3) 설계변경 실정보고서 작성 ➔ 4) 책임감리원 기술 승인</t>
        </is>
      </c>
      <c r="Q18" s="123">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123" t="inlineStr">
        <is>
          <t>궤도/구조물 후행 요구 조건 반영, 마무리면 표고 오차(±10mm) 반영 및 설계변경 실정보고</t>
        </is>
      </c>
      <c r="S18" s="123">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123" t="n"/>
      <c r="U18" s="123" t="inlineStr">
        <is>
          <t>● 인터페이스 조건 만족</t>
        </is>
      </c>
      <c r="V18" s="122" t="inlineStr">
        <is>
          <t>1) 👉 [더블클릭] 체크리스트 열기 📄</t>
        </is>
      </c>
      <c r="W18" s="123" t="n"/>
    </row>
    <row r="19" ht="96" customHeight="1" s="147">
      <c r="A19" s="122" t="inlineStr">
        <is>
          <t>9000</t>
        </is>
      </c>
      <c r="B19" s="122" t="inlineStr">
        <is>
          <t>9000-5</t>
        </is>
      </c>
      <c r="C19" s="122" t="inlineStr">
        <is>
          <t>사전토공사</t>
        </is>
      </c>
      <c r="D19" s="122" t="inlineStr">
        <is>
          <t>9000-5-18</t>
        </is>
      </c>
      <c r="E19" s="122" t="n"/>
      <c r="F19" s="122" t="n"/>
      <c r="G19" s="122" t="inlineStr">
        <is>
          <t>D-30</t>
        </is>
      </c>
      <c r="H19" s="123" t="inlineStr">
        <is>
          <t>설계변경 (착수전)</t>
        </is>
      </c>
      <c r="I19" s="122" t="inlineStr">
        <is>
          <t>현장 공무팀/공사팀</t>
        </is>
      </c>
      <c r="J19" s="123" t="inlineStr">
        <is>
          <t>지방계약법 정산 수칙 | 착수 전 토종 변경 및 수량 증감 실정보고 작성 | 총사업비 변경 승인 수속</t>
        </is>
      </c>
      <c r="K19" s="123" t="inlineStr">
        <is>
          <t>1) 토질 변경 &amp; 수량 증감 실정보고 작성 ➔ 2) 단가 비교표 작성 ➔ 3) 설계변경 도서 제출 ➔ 4) 총사업비 변경 승인 결재</t>
        </is>
      </c>
      <c r="L19" s="123" t="n"/>
      <c r="M19" s="123" t="inlineStr">
        <is>
          <t>토질 변경 &amp; 수량 증감 실정보고서 작성, 단가 비교표 작성 및 총사업비 변경 승인 결재</t>
        </is>
      </c>
      <c r="N19" s="123" t="inlineStr">
        <is>
          <t>지방계약법 정산 수칙 | 착수 전 토종 변경 및 수량 증감 실정보고 작성 | 총사업비 변경 승인 수속</t>
        </is>
      </c>
      <c r="O19" s="123">
        <f>HYPERLINK(LEFT(CELL("filename",A1),FIND("[",CELL("filename",A1))-1)&amp;"매뉴얼BODY(집행단계-첨부폴더)v8\2.사전토공사\18_설계변경 (착수전)\표준서\설계변경 (착수전)_표준서.html", "👉 [클릭] 표준서 열기 📄")</f>
        <v/>
      </c>
      <c r="P19" s="123" t="inlineStr">
        <is>
          <t>1) 토질 변경 &amp; 수량 증감 실정보고 작성 ➔ 2) 단가 비교표 작성 ➔ 3) 설계변경 도서 제출 ➔ 4) 총사업비 변경 승인 결재</t>
        </is>
      </c>
      <c r="Q19" s="123">
        <f>HYPERLINK(LEFT(CELL("filename",A1),FIND("[",CELL("filename",A1))-1)&amp;"매뉴얼BODY(집행단계-첨부폴더)v8\2.사전토공사\18_설계변경 (착수전)\수행지침\설계변경 (착수전)_수행지침.html", "👉 [클릭] 수행지침 열기 📄")</f>
        <v/>
      </c>
      <c r="R19" s="123" t="inlineStr">
        <is>
          <t>토질 변경 &amp; 수량 증감 실정보고서 작성, 단가 비교표 작성 및 총사업비 변경 승인 결재</t>
        </is>
      </c>
      <c r="S19" s="123">
        <f>HYPERLINK(LEFT(CELL("filename",A1),FIND("[",CELL("filename",A1))-1)&amp;"매뉴얼BODY(집행단계-첨부폴더)v8\2.사전토공사\18_설계변경 (착수전)\체크리스트\설계변경 (착수전)_체크리스트.html", "👉 [클릭] 체크리스트 열기 📄")</f>
        <v/>
      </c>
      <c r="T19" s="123" t="n"/>
      <c r="U19" s="123" t="inlineStr">
        <is>
          <t>● 설계변경 절차 규정 준수</t>
        </is>
      </c>
      <c r="V19" s="122" t="inlineStr">
        <is>
          <t>1) 👉 [더블클릭] 체크리스트 열기 📄</t>
        </is>
      </c>
      <c r="W19" s="123" t="n"/>
    </row>
    <row r="20" ht="96" customHeight="1" s="147">
      <c r="A20" s="122" t="inlineStr">
        <is>
          <t>9000</t>
        </is>
      </c>
      <c r="B20" s="122" t="inlineStr">
        <is>
          <t>9000-5</t>
        </is>
      </c>
      <c r="C20" s="122" t="inlineStr">
        <is>
          <t>사전토공사</t>
        </is>
      </c>
      <c r="D20" s="122" t="inlineStr">
        <is>
          <t>9000-5-19</t>
        </is>
      </c>
      <c r="E20" s="122" t="n"/>
      <c r="F20" s="122" t="n"/>
      <c r="G20" s="122" t="inlineStr">
        <is>
          <t>D-30</t>
        </is>
      </c>
      <c r="H20" s="123" t="inlineStr">
        <is>
          <t>설계변경 지원</t>
        </is>
      </c>
      <c r="I20" s="122" t="inlineStr">
        <is>
          <t>토목수행팀</t>
        </is>
      </c>
      <c r="J20" s="123" t="inlineStr">
        <is>
          <t>건진법 설계변경 규정 | 수량 산출서 및 단가 비교표 작성 | 책임감리원 기술 검토 의견서 첨부</t>
        </is>
      </c>
      <c r="K20" s="123" t="inlineStr">
        <is>
          <t>1) 변경 수량 산출서 정밀 집계 ➔ 2) 신규 단가 산정 서류 부착 ➔ 3) 감리단 기술 검토 수속 ➔ 4) 설계변경 제출 서면 결재</t>
        </is>
      </c>
      <c r="L20" s="123" t="n"/>
      <c r="M20" s="123" t="inlineStr">
        <is>
          <t>변경 수량 산출서 정밀 집계, 신규 단가 산정 서류 첨부 및 책임감리원 기술 검토 수속</t>
        </is>
      </c>
      <c r="N20" s="123" t="inlineStr">
        <is>
          <t>건진법 설계변경 규정 | 수량 산출서 및 단가 비교표 작성 | 책임감리원 기술 검토 의견서 첨부</t>
        </is>
      </c>
      <c r="O20" s="123">
        <f>HYPERLINK(LEFT(CELL("filename",A1),FIND("[",CELL("filename",A1))-1)&amp;"매뉴얼BODY(집행단계-첨부폴더)v8\2.사전토공사\18_설계변경_착수전\표준서\후행공종 요구조건 반영 설계변경 검토_표준서.html", "👉 [클릭] 표준서 열기 📄")</f>
        <v/>
      </c>
      <c r="P20" s="123" t="inlineStr">
        <is>
          <t>1) 변경 수량 산출서 정밀 집계 ➔ 2) 신규 단가 산정 서류 부착 ➔ 3) 감리단 기술 검토 수속 ➔ 4) 설계변경 제출 서면 결재</t>
        </is>
      </c>
      <c r="Q20" s="123">
        <f>HYPERLINK(LEFT(CELL("filename",A1),FIND("[",CELL("filename",A1))-1)&amp;"매뉴얼BODY(집행단계-첨부폴더)v8\2.사전토공사\18_설계변경_착수전\수행지침\후행공종 요구조건 반영 설계변경 검토_수행지침.html", "👉 [클릭] 수행지침 열기 📄")</f>
        <v/>
      </c>
      <c r="R20" s="123" t="inlineStr">
        <is>
          <t>변경 수량 산출서 정밀 집계, 신규 단가 산정 서류 첨부 및 책임감리원 기술 검토 수속</t>
        </is>
      </c>
      <c r="S20" s="123">
        <f>HYPERLINK(LEFT(CELL("filename",A1),FIND("[",CELL("filename",A1))-1)&amp;"매뉴얼BODY(집행단계-첨부폴더)v8\2.사전토공사\18_설계변경_착수전\체크리스트\후행공종 요구조건 반영 설계변경 검토_체크리스트.html", "👉 [클릭] 체크리스트 열기 📄")</f>
        <v/>
      </c>
      <c r="T20" s="123" t="n"/>
      <c r="U20" s="123" t="inlineStr">
        <is>
          <t>● 기술 검증 규격 확인</t>
        </is>
      </c>
      <c r="V20" s="122" t="inlineStr">
        <is>
          <t>1) 👉 [더블클릭] 체크리스트 열기 📄</t>
        </is>
      </c>
      <c r="W20" s="123" t="n"/>
    </row>
    <row r="21" ht="96" customHeight="1" s="147">
      <c r="A21" s="122" t="inlineStr">
        <is>
          <t>9000</t>
        </is>
      </c>
      <c r="B21" s="122" t="inlineStr">
        <is>
          <t>9000-5</t>
        </is>
      </c>
      <c r="C21" s="122" t="inlineStr">
        <is>
          <t>사전토공사</t>
        </is>
      </c>
      <c r="D21" s="122" t="inlineStr">
        <is>
          <t>9000-5-20</t>
        </is>
      </c>
      <c r="E21" s="122" t="n"/>
      <c r="F21" s="122" t="n"/>
      <c r="G21" s="122" t="inlineStr">
        <is>
          <t>D-20</t>
        </is>
      </c>
      <c r="H21" s="123" t="inlineStr">
        <is>
          <t>교통관리 및 교통안전시설 설치</t>
        </is>
      </c>
      <c r="I21" s="122" t="inlineStr">
        <is>
          <t>현장 공사팀</t>
        </is>
      </c>
      <c r="J21" s="123" t="inlineStr">
        <is>
          <t>도로교통법 안전 수칙 | 게이트 바리케이트, 야간 LED 경광등 부설 | 전담 안전 신호수(2인 2조) 100% 배치</t>
        </is>
      </c>
      <c r="K21" s="123" t="inlineStr">
        <is>
          <t>1) 게이트 바리케이트 &amp; 경광등 부설 ➔ 2) 우회 차선 표지판 설치 ➔ 3) 전담 신호수(2인 2조) 배치 ➔ 4) 교통 안전 점검 대장 결재</t>
        </is>
      </c>
      <c r="L21" s="123" t="n"/>
      <c r="M21" s="123" t="inlineStr">
        <is>
          <t>게이트 바리케이트/LED 경광등 설치, 우회 차선 표지판 검측 및 전담 신호수(2인 2조) 배치</t>
        </is>
      </c>
      <c r="N21" s="123" t="inlineStr">
        <is>
          <t>도로교통법 안전 수칙 | 게이트 바리케이트, 야간 LED 경광등 부설 | 전담 안전 신호수(2인 2조) 100% 배치</t>
        </is>
      </c>
      <c r="O21" s="123">
        <f>HYPERLINK(LEFT(CELL("filename",A1),FIND("[",CELL("filename",A1))-1)&amp;"매뉴얼BODY(집행단계-첨부폴더)v8\2.사전토공사\19_설계변경 지원\표준서\설계변경 지원_표준서.html", "👉 [클릭] 표준서 열기 📄")</f>
        <v/>
      </c>
      <c r="P21" s="123" t="inlineStr">
        <is>
          <t>1) 게이트 바리케이트 &amp; 경광등 부설 ➔ 2) 우회 차선 표지판 설치 ➔ 3) 전담 신호수(2인 2조) 배치 ➔ 4) 교통 안전 점검 대장 결재</t>
        </is>
      </c>
      <c r="Q21" s="123">
        <f>HYPERLINK(LEFT(CELL("filename",A1),FIND("[",CELL("filename",A1))-1)&amp;"매뉴얼BODY(집행단계-첨부폴더)v8\2.사전토공사\19_설계변경 지원\수행지침\설계변경 지원_수행지침.html", "👉 [클릭] 수행지침 열기 📄")</f>
        <v/>
      </c>
      <c r="R21" s="123" t="inlineStr">
        <is>
          <t>게이트 바리케이트/LED 경광등 설치, 우회 차선 표지판 검측 및 전담 신호수(2인 2조) 배치</t>
        </is>
      </c>
      <c r="S21" s="123">
        <f>HYPERLINK(LEFT(CELL("filename",A1),FIND("[",CELL("filename",A1))-1)&amp;"매뉴얼BODY(집행단계-첨부폴더)v8\2.사전토공사\19_설계변경 지원\체크리스트\설계변경 지원_체크리스트.html", "👉 [클릭] 체크리스트 열기 📄")</f>
        <v/>
      </c>
      <c r="T21" s="123" t="n"/>
      <c r="U21" s="123" t="inlineStr">
        <is>
          <t>● 경찰청 협의사항 및 교통안전시설 설치기준 준수</t>
        </is>
      </c>
      <c r="V21" s="122" t="inlineStr">
        <is>
          <t>1) 👉 [더블클릭] 체크리스트 열기 📄</t>
        </is>
      </c>
      <c r="W21" s="123" t="n"/>
    </row>
    <row r="22" ht="96" customHeight="1" s="147">
      <c r="A22" s="122" t="inlineStr">
        <is>
          <t>9000</t>
        </is>
      </c>
      <c r="B22" s="122" t="inlineStr">
        <is>
          <t>9000-5</t>
        </is>
      </c>
      <c r="C22" s="122" t="inlineStr">
        <is>
          <t>사전토공사</t>
        </is>
      </c>
      <c r="D22" s="122" t="inlineStr">
        <is>
          <t>9000-5-21</t>
        </is>
      </c>
      <c r="E22" s="122" t="n"/>
      <c r="F22" s="122" t="n"/>
      <c r="G22" s="122" t="inlineStr">
        <is>
          <t>D-10</t>
        </is>
      </c>
      <c r="H22" s="123" t="inlineStr">
        <is>
          <t>장비 검수 지원</t>
        </is>
      </c>
      <c r="I22" s="122" t="inlineStr">
        <is>
          <t>기술안전팀</t>
        </is>
      </c>
      <c r="J22" s="123" t="inlineStr">
        <is>
          <t>건설기계관리법 제13조 | 자중 10t+ 굴착기, 덤프 정기검사증 검수 | 후방 센서 점검 및 반입 허가</t>
        </is>
      </c>
      <c r="K22" s="123" t="inlineStr">
        <is>
          <t>1) 10t+ 굴착기/덤프 사양 검수 ➔ 2) 건설기계 정기검사증 점검 ➔ 3) 후방 카메라/경보음 시동 점검 ➔ 4) 장비 반입 승인서 감리 결재</t>
        </is>
      </c>
      <c r="L22" s="123" t="n"/>
      <c r="M22" s="123" t="inlineStr">
        <is>
          <t>자중 10t+ 굴착기/덤프 정기검사증, 후방 카메라/경보음 시동 점검 및 반입 허가 결재</t>
        </is>
      </c>
      <c r="N22" s="123" t="inlineStr">
        <is>
          <t>건설기계관리법 제13조 | 자중 10t+ 굴착기, 덤프 정기검사증 검수 | 후방 센서 점검 및 반입 허가</t>
        </is>
      </c>
      <c r="O22" s="123">
        <f>HYPERLINK(LEFT(CELL("filename",A1),FIND("[",CELL("filename",A1))-1)&amp;"매뉴얼BODY(집행단계-첨부폴더)v8\2.사전토공사\20_교통관리 및 교통안전시설 설치\표준서\교통관리 및 교통안전시설 설치_표준서.html", "👉 [클릭] 표준서 열기 📄")</f>
        <v/>
      </c>
      <c r="P22" s="123" t="inlineStr">
        <is>
          <t>1) 10t+ 굴착기/덤프 사양 검수 ➔ 2) 건설기계 정기검사증 점검 ➔ 3) 후방 카메라/경보음 시동 점검 ➔ 4) 장비 반입 승인서 감리 결재</t>
        </is>
      </c>
      <c r="Q22" s="123">
        <f>HYPERLINK(LEFT(CELL("filename",A1),FIND("[",CELL("filename",A1))-1)&amp;"매뉴얼BODY(집행단계-첨부폴더)v8\2.사전토공사\20_교통관리 및 교통안전시설 설치\수행지침\교통관리 및 교통안전시설 설치_수행지침.html", "👉 [클릭] 수행지침 열기 📄")</f>
        <v/>
      </c>
      <c r="R22" s="123" t="inlineStr">
        <is>
          <t>자중 10t+ 굴착기/덤프 정기검사증, 후방 카메라/경보음 시동 점검 및 반입 허가 결재</t>
        </is>
      </c>
      <c r="S22" s="123">
        <f>HYPERLINK(LEFT(CELL("filename",A1),FIND("[",CELL("filename",A1))-1)&amp;"매뉴얼BODY(집행단계-첨부폴더)v8\2.사전토공사\20_교통관리 및 교통안전시설 설치\체크리스트\교통관리 및 교통안전시설 설치_체크리스트.html", "👉 [클릭] 체크리스트 열기 📄")</f>
        <v/>
      </c>
      <c r="T22" s="123" t="n"/>
      <c r="U22" s="123" t="inlineStr">
        <is>
          <t>● 산업안전보건법 및 건설기계관리법 준수</t>
        </is>
      </c>
      <c r="V22" s="122" t="inlineStr">
        <is>
          <t>1) 👉 [더블클릭] 체크리스트 열기 📄</t>
        </is>
      </c>
      <c r="W22" s="123" t="n"/>
    </row>
    <row r="23" ht="96" customHeight="1" s="147">
      <c r="A23" s="122" t="inlineStr">
        <is>
          <t>9000</t>
        </is>
      </c>
      <c r="B23" s="122" t="inlineStr">
        <is>
          <t>9000-5</t>
        </is>
      </c>
      <c r="C23" s="122" t="inlineStr">
        <is>
          <t>사전토공사</t>
        </is>
      </c>
      <c r="D23" s="122" t="inlineStr">
        <is>
          <t>9000-5-22</t>
        </is>
      </c>
      <c r="E23" s="122" t="n"/>
      <c r="F23" s="122" t="n"/>
      <c r="G23" s="122" t="inlineStr">
        <is>
          <t>D+10~30</t>
        </is>
      </c>
      <c r="H23" s="123" t="inlineStr">
        <is>
          <t>벌목/벌근제거</t>
        </is>
      </c>
      <c r="I23" s="122" t="inlineStr">
        <is>
          <t>현장 공사팀</t>
        </is>
      </c>
      <c r="J23" s="123" t="inlineStr">
        <is>
          <t>KCS 47 10 25 산림 벌목 시방 | 수목 벌목 및 뿌리 제거(벌근) 깊이 30cm 이상 | 임목 폐기물 수속 처리</t>
        </is>
      </c>
      <c r="K23" s="123" t="inlineStr">
        <is>
          <t>1) 현장 지반 수목 벌목 시행 ➔ 2) 뿌리 제거(벌근) 깊이 30cm 굴착 ➔ 3) 임목 폐기물 수속 처리 ➔ 4) 벌목 벌근 성과표 감리 승인</t>
        </is>
      </c>
      <c r="L23" s="123" t="n"/>
      <c r="M23" s="123" t="inlineStr">
        <is>
          <t>현장 수목 벌목 시행, 뿌리 제거(벌근) 깊이 30cm 이상 굴착 및 임목 폐기물 수속 처리</t>
        </is>
      </c>
      <c r="N23" s="123" t="inlineStr">
        <is>
          <t>KCS 47 10 25 산림 벌목 시방 | 수목 벌목 및 뿌리 제거(벌근) 깊이 30cm 이상 | 임목 폐기물 수속 처리</t>
        </is>
      </c>
      <c r="O23" s="123">
        <f>HYPERLINK(LEFT(CELL("filename",A1),FIND("[",CELL("filename",A1))-1)&amp;"매뉴얼BODY(집행단계-첨부폴더)v8\2.사전토공사\21_장비 검수 지원\표준서\장비 검수 지원_표준서.html", "👉 [클릭] 표준서 열기 📄")</f>
        <v/>
      </c>
      <c r="P23" s="123" t="inlineStr">
        <is>
          <t>1) 현장 지반 수목 벌목 시행 ➔ 2) 뿌리 제거(벌근) 깊이 30cm 굴착 ➔ 3) 임목 폐기물 수속 처리 ➔ 4) 벌목 벌근 성과표 감리 승인</t>
        </is>
      </c>
      <c r="Q23" s="123">
        <f>HYPERLINK(LEFT(CELL("filename",A1),FIND("[",CELL("filename",A1))-1)&amp;"매뉴얼BODY(집행단계-첨부폴더)v8\2.사전토공사\21_장비 검수 지원\수행지침\장비 검수 지원_수행지침.html", "👉 [클릭] 수행지침 열기 📄")</f>
        <v/>
      </c>
      <c r="R23" s="123" t="inlineStr">
        <is>
          <t>현장 수목 벌목 시행, 뿌리 제거(벌근) 깊이 30cm 이상 굴착 및 임목 폐기물 수속 처리</t>
        </is>
      </c>
      <c r="S23" s="123">
        <f>HYPERLINK(LEFT(CELL("filename",A1),FIND("[",CELL("filename",A1))-1)&amp;"매뉴얼BODY(집행단계-첨부폴더)v8\2.사전토공사\21_장비 검수 지원\체크리스트\장비 검수 지원_체크리스트.html", "👉 [클릭] 체크리스트 열기 📄")</f>
        <v/>
      </c>
      <c r="T23" s="123" t="n"/>
      <c r="U23" s="123" t="inlineStr">
        <is>
          <t>● 산림자원법 및 환경 기준 준수</t>
        </is>
      </c>
      <c r="V23" s="122" t="inlineStr">
        <is>
          <t>1) 👉 [더블클릭] 체크리스트 열기 📄</t>
        </is>
      </c>
      <c r="W23" s="123" t="n"/>
    </row>
    <row r="24" ht="96" customHeight="1" s="147">
      <c r="A24" s="122" t="inlineStr">
        <is>
          <t>9000</t>
        </is>
      </c>
      <c r="B24" s="122" t="inlineStr">
        <is>
          <t>9000-5</t>
        </is>
      </c>
      <c r="C24" s="122" t="inlineStr">
        <is>
          <t>사전토공사</t>
        </is>
      </c>
      <c r="D24" s="122" t="inlineStr">
        <is>
          <t>9000-5-23</t>
        </is>
      </c>
      <c r="E24" s="122" t="n"/>
      <c r="F24" s="122" t="n"/>
      <c r="G24" s="122" t="inlineStr">
        <is>
          <t>D+10~25</t>
        </is>
      </c>
      <c r="H24" s="123" t="inlineStr">
        <is>
          <t>기존구조물 / 지장물 처리</t>
        </is>
      </c>
      <c r="I24" s="122" t="inlineStr">
        <is>
          <t>현장 공사팀 / 공무팀</t>
        </is>
      </c>
      <c r="J24" s="123" t="inlineStr">
        <is>
          <t>폐기물관리법 준수 | 기존 아스콘/콘크리트 구조물 안전 삭평 철거 | 건설 폐기물 성적표 수속</t>
        </is>
      </c>
      <c r="K24" s="123" t="inlineStr">
        <is>
          <t>1) 기존 아스콘/콘크리트 삭평 철거 ➔ 2) 폐기물 분리 수거 &amp; 적재 ➔ 3) 건설 폐기물 위탁 처리 ➔ 4) 지장물 처리 성과표 감리 승인</t>
        </is>
      </c>
      <c r="L24" s="123" t="n"/>
      <c r="M24" s="123" t="inlineStr">
        <is>
          <t>기존 아스콘/콘크리트 삭평 철거, 건설 폐기물 분리 수거 적재 및 폐기물 성적서 수속</t>
        </is>
      </c>
      <c r="N24" s="123" t="inlineStr">
        <is>
          <t>폐기물관리법 준수 | 기존 아스콘/콘크리트 구조물 안전 삭평 철거 | 건설 폐기물 성적표 수속</t>
        </is>
      </c>
      <c r="O24" s="123">
        <f>HYPERLINK(LEFT(CELL("filename",A1),FIND("[",CELL("filename",A1))-1)&amp;"매뉴얼BODY(집행단계-첨부폴더)v8\2.사전토공사\22_벌목_벌근제거\표준서\벌목_벌근제거_표준서.html", "👉 [클릭] 표준서 열기 📄")</f>
        <v/>
      </c>
      <c r="P24" s="123" t="inlineStr">
        <is>
          <t>1) 기존 아스콘/콘크리트 삭평 철거 ➔ 2) 폐기물 분리 수거 &amp; 적재 ➔ 3) 건설 폐기물 위탁 처리 ➔ 4) 지장물 처리 성과표 감리 승인</t>
        </is>
      </c>
      <c r="Q24" s="123">
        <f>HYPERLINK(LEFT(CELL("filename",A1),FIND("[",CELL("filename",A1))-1)&amp;"매뉴얼BODY(집행단계-첨부폴더)v8\2.사전토공사\22_벌목_벌근제거\수행지침\벌목_벌근제거_수행지침.html", "👉 [클릭] 수행지침 열기 📄")</f>
        <v/>
      </c>
      <c r="R24" s="123" t="inlineStr">
        <is>
          <t>기존 아스콘/콘크리트 삭평 철거, 건설 폐기물 분리 수거 적재 및 폐기물 성적서 수속</t>
        </is>
      </c>
      <c r="S24" s="123">
        <f>HYPERLINK(LEFT(CELL("filename",A1),FIND("[",CELL("filename",A1))-1)&amp;"매뉴얼BODY(집행단계-첨부폴더)v8\2.사전토공사\22_벌목_벌근제거\체크리스트\벌목_벌근제거_체크리스트.html", "👉 [클릭] 체크리스트 열기 📄")</f>
        <v/>
      </c>
      <c r="T24" s="123" t="n"/>
      <c r="U24" s="123" t="inlineStr">
        <is>
          <t>● 지장물 이설 및 철거 규정 준수</t>
        </is>
      </c>
      <c r="V24" s="122" t="inlineStr">
        <is>
          <t>1) 👉 [더블클릭] 체크리스트 열기 📄</t>
        </is>
      </c>
      <c r="W24" s="123" t="n"/>
    </row>
    <row r="25" ht="96" customHeight="1" s="147">
      <c r="A25" s="122" t="inlineStr">
        <is>
          <t>9000</t>
        </is>
      </c>
      <c r="B25" s="122" t="inlineStr">
        <is>
          <t>9000-5</t>
        </is>
      </c>
      <c r="C25" s="122" t="inlineStr">
        <is>
          <t>사전토공사</t>
        </is>
      </c>
      <c r="D25" s="122" t="inlineStr">
        <is>
          <t>9000-5-24</t>
        </is>
      </c>
      <c r="E25" s="122" t="n"/>
      <c r="F25" s="122" t="n"/>
      <c r="G25" s="122" t="inlineStr">
        <is>
          <t>D+10~30</t>
        </is>
      </c>
      <c r="H25" s="123" t="inlineStr">
        <is>
          <t>진입로 조성</t>
        </is>
      </c>
      <c r="I25" s="122" t="inlineStr">
        <is>
          <t>현장 공사팀</t>
        </is>
      </c>
      <c r="J25" s="123" t="inlineStr">
        <is>
          <t>KCS 47 10 25 가설 도로 | 덤프트럭 진입 가설 도로 폭 6m 포설 | 쇄석 골재(두께 20cm) 부설 &amp; 살수</t>
        </is>
      </c>
      <c r="K25" s="123" t="inlineStr">
        <is>
          <t>1) 가설 도로 폭 6m 성토 굴착 ➔ 2) 쇄석 골재(두께 20cm) 부설 ➔ 3) 10t 롤러 다짐 &amp; 살수 ➔ 4) 진입로 조성 성과표 감리 승인</t>
        </is>
      </c>
      <c r="L25" s="123" t="n"/>
      <c r="M25" s="123" t="inlineStr">
        <is>
          <t>가설 도로 폭 6m 성토 굴착, 쇄석 골재(두께 20cm) 부설, 10t 롤러 다짐 및 살수 점검</t>
        </is>
      </c>
      <c r="N25" s="123" t="inlineStr">
        <is>
          <t>KCS 47 10 25 가설 도로 | 덤프트럭 진입 가설 도로 폭 6m 포설 | 쇄석 골재(두께 20cm) 부설 &amp; 살수</t>
        </is>
      </c>
      <c r="O25" s="123">
        <f>HYPERLINK(LEFT(CELL("filename",A1),FIND("[",CELL("filename",A1))-1)&amp;"매뉴얼BODY(집행단계-첨부폴더)v8\2.사전토공사\23_기존구조물 _ 지장물 처리\표준서\기존구조물 _ 지장물 처리_표준서.html", "👉 [클릭] 표준서 열기 📄")</f>
        <v/>
      </c>
      <c r="P25" s="123" t="inlineStr">
        <is>
          <t>1) 가설 도로 폭 6m 성토 굴착 ➔ 2) 쇄석 골재(두께 20cm) 부설 ➔ 3) 10t 롤러 다짐 &amp; 살수 ➔ 4) 진입로 조성 성과표 감리 승인</t>
        </is>
      </c>
      <c r="Q25" s="123">
        <f>HYPERLINK(LEFT(CELL("filename",A1),FIND("[",CELL("filename",A1))-1)&amp;"매뉴얼BODY(집행단계-첨부폴더)v8\2.사전토공사\23_기존구조물 _ 지장물 처리\수행지침\기존구조물 _ 지장물 처리_수행지침.html", "👉 [클릭] 수행지침 열기 📄")</f>
        <v/>
      </c>
      <c r="R25" s="123" t="inlineStr">
        <is>
          <t>가설 도로 폭 6m 성토 굴착, 쇄석 골재(두께 20cm) 부설, 10t 롤러 다짐 및 살수 점검</t>
        </is>
      </c>
      <c r="S25" s="123">
        <f>HYPERLINK(LEFT(CELL("filename",A1),FIND("[",CELL("filename",A1))-1)&amp;"매뉴얼BODY(집행단계-첨부폴더)v8\2.사전토공사\23_기존구조물 _ 지장물 처리\체크리스트\기존구조물 _ 지장물 처리_체크리스트.html", "👉 [클릭] 체크리스트 열기 📄")</f>
        <v/>
      </c>
      <c r="T25" s="123" t="n"/>
      <c r="U25" s="123" t="inlineStr">
        <is>
          <t>● 진입로 종단구배 및 가로 폭 규격 만족</t>
        </is>
      </c>
      <c r="V25" s="122" t="inlineStr">
        <is>
          <t>1) 👉 [더블클릭] 체크리스트 열기 📄</t>
        </is>
      </c>
      <c r="W25" s="123" t="n"/>
    </row>
    <row r="26" ht="96" customHeight="1" s="147">
      <c r="A26" s="122" t="inlineStr">
        <is>
          <t>9000</t>
        </is>
      </c>
      <c r="B26" s="122" t="inlineStr">
        <is>
          <t>9000-5</t>
        </is>
      </c>
      <c r="C26" s="122" t="inlineStr">
        <is>
          <t>사전토공사</t>
        </is>
      </c>
      <c r="D26" s="122" t="inlineStr">
        <is>
          <t>9000-5-25</t>
        </is>
      </c>
      <c r="E26" s="122" t="n"/>
      <c r="F26" s="122" t="n"/>
      <c r="G26" s="122" t="inlineStr">
        <is>
          <t>D+10~30</t>
        </is>
      </c>
      <c r="H26" s="123" t="inlineStr">
        <is>
          <t>배수/환경시설 설치</t>
        </is>
      </c>
      <c r="I26" s="122" t="inlineStr">
        <is>
          <t>현장 공사팀</t>
        </is>
      </c>
      <c r="J26" s="123" t="inlineStr">
        <is>
          <t>KCS 47 10 25 배수 시방 | 가배수로(0.6×0.6m) &amp; 가침사지 설치 | 세륜기(깊이 1.2m) 가동 및 배수 검측</t>
        </is>
      </c>
      <c r="K26" s="123" t="inlineStr">
        <is>
          <t>1) 가배수로(0.6×0.6m) &amp; 가침사지 터파기 ➔ 2) 세륜기(깊이 1.2m) 부설 ➔ 3) 양수 펌프 비치 ➔ 4) 배수 환경 시설 감리 서면 승인</t>
        </is>
      </c>
      <c r="L26" s="123" t="n"/>
      <c r="M26" s="123" t="inlineStr">
        <is>
          <t>가배수로(0.6×0.6m) &amp; 가침사지 설치, 세륜기(깊이 1.2m) 가동 및 수중 양수 펌프 비치</t>
        </is>
      </c>
      <c r="N26" s="123" t="inlineStr">
        <is>
          <t>KCS 47 10 25 배수 시방 | 가배수로(0.6×0.6m) &amp; 가침사지 설치 | 세륜기(깊이 1.2m) 가동 및 배수 검측</t>
        </is>
      </c>
      <c r="O26" s="123">
        <f>HYPERLINK(LEFT(CELL("filename",A1),FIND("[",CELL("filename",A1))-1)&amp;"매뉴얼BODY(집행단계-첨부폴더)v8\2.사전토공사\23_기존구조물_지장물 처리\표준서\기존구조물 _ 지장물 처리_표준서.html", "👉 [클릭] 표준서 열기 📄")</f>
        <v/>
      </c>
      <c r="P26" s="123" t="inlineStr">
        <is>
          <t>1) 가배수로(0.6×0.6m) &amp; 가침사지 터파기 ➔ 2) 세륜기(깊이 1.2m) 부설 ➔ 3) 양수 펌프 비치 ➔ 4) 배수 환경 시설 감리 서면 승인</t>
        </is>
      </c>
      <c r="Q26" s="123">
        <f>HYPERLINK(LEFT(CELL("filename",A1),FIND("[",CELL("filename",A1))-1)&amp;"매뉴얼BODY(집행단계-첨부폴더)v8\2.사전토공사\23_기존구조물_지장물 처리\수행지침\기존구조물 _ 지장물 처리_수행지침.html", "👉 [클릭] 수행지침 열기 📄")</f>
        <v/>
      </c>
      <c r="R26" s="123" t="inlineStr">
        <is>
          <t>가배수로(0.6×0.6m) &amp; 가침사지 설치, 세륜기(깊이 1.2m) 가동 및 수중 양수 펌프 비치</t>
        </is>
      </c>
      <c r="S26" s="123">
        <f>HYPERLINK(LEFT(CELL("filename",A1),FIND("[",CELL("filename",A1))-1)&amp;"매뉴얼BODY(집행단계-첨부폴더)v8\2.사전토공사\23_기존구조물_지장물 처리\체크리스트\기존구조물 _ 지장물 처리_체크리스트.html", "👉 [클릭] 체크리스트 열기 📄")</f>
        <v/>
      </c>
      <c r="T26" s="123" t="n"/>
      <c r="U26" s="123" t="inlineStr">
        <is>
          <t>● 환경보존법 및 비산먼지/침사지 규정 준수</t>
        </is>
      </c>
      <c r="V26" s="122" t="inlineStr">
        <is>
          <t>1) 👉 [더블클릭] 체크리스트 열기 📄</t>
        </is>
      </c>
      <c r="W26" s="123" t="n"/>
    </row>
    <row r="27" ht="96" customHeight="1" s="147">
      <c r="A27" s="122" t="inlineStr">
        <is>
          <t>9000</t>
        </is>
      </c>
      <c r="B27" s="122" t="inlineStr">
        <is>
          <t>9000-5</t>
        </is>
      </c>
      <c r="C27" s="122" t="inlineStr">
        <is>
          <t>사전토공사</t>
        </is>
      </c>
      <c r="D27" s="122" t="inlineStr">
        <is>
          <t>9000-5-26</t>
        </is>
      </c>
      <c r="E27" s="122" t="n"/>
      <c r="F27" s="122" t="n"/>
      <c r="G27" s="122" t="inlineStr">
        <is>
          <t>D+10~30</t>
        </is>
      </c>
      <c r="H27" s="123" t="inlineStr">
        <is>
          <t>토공 굴착</t>
        </is>
      </c>
      <c r="I27" s="122" t="inlineStr">
        <is>
          <t>현장 공사팀</t>
        </is>
      </c>
      <c r="J27" s="123" t="inlineStr">
        <is>
          <t>KCS 47 10 25 굴착 규정 | 3D GPS 굴착기 표고 오차 ±20mm 통제 | 사면 비탈면 경사(1:1.5) 준수</t>
        </is>
      </c>
      <c r="K27" s="123" t="inlineStr">
        <is>
          <t>1) 3D GPS 굴착기 정밀 세팅 ➔ 2) 토사 깎기 &amp; 사면 비탈면(1:1.5) 굴착 ➔ 3) 표고 오차(±20mm) 검측 ➔ 4) 토공 굴착 성과표 감리 승인</t>
        </is>
      </c>
      <c r="L27" s="123" t="n"/>
      <c r="M27" s="123" t="inlineStr">
        <is>
          <t>3D GPS 굴착기 표고 오차 ±20mm 통제, 사면 비탈면 경사(1:1.5 이하) 준수 및 굴착 검측</t>
        </is>
      </c>
      <c r="N27" s="123" t="inlineStr">
        <is>
          <t>KCS 47 10 25 굴착 규정 | 3D GPS 굴착기 표고 오차 ±20mm 통제 | 사면 비탈면 경사(1:1.5) 준수</t>
        </is>
      </c>
      <c r="O27" s="123">
        <f>HYPERLINK(LEFT(CELL("filename",A1),FIND("[",CELL("filename",A1))-1)&amp;"매뉴얼BODY(집행단계-첨부폴더)v8\2.사전토공사\24_진입로 조성\표준서\진입로 조성_표준서.html", "👉 [클릭] 표준서 열기 📄")</f>
        <v/>
      </c>
      <c r="P27" s="123" t="inlineStr">
        <is>
          <t>1) 3D GPS 굴착기 정밀 세팅 ➔ 2) 토사 깎기 &amp; 사면 비탈면(1:1.5) 굴착 ➔ 3) 표고 오차(±20mm) 검측 ➔ 4) 토공 굴착 성과표 감리 승인</t>
        </is>
      </c>
      <c r="Q27" s="123">
        <f>HYPERLINK(LEFT(CELL("filename",A1),FIND("[",CELL("filename",A1))-1)&amp;"매뉴얼BODY(집행단계-첨부폴더)v8\2.사전토공사\24_진입로 조성\수행지침\진입로 조성_수행지침.html", "👉 [클릭] 수행지침 열기 📄")</f>
        <v/>
      </c>
      <c r="R27" s="123" t="inlineStr">
        <is>
          <t>3D GPS 굴착기 표고 오차 ±20mm 통제, 사면 비탈면 경사(1:1.5 이하) 준수 및 굴착 검측</t>
        </is>
      </c>
      <c r="S27" s="123">
        <f>HYPERLINK(LEFT(CELL("filename",A1),FIND("[",CELL("filename",A1))-1)&amp;"매뉴얼BODY(집행단계-첨부폴더)v8\2.사전토공사\24_진입로 조성\체크리스트\진입로 조성_체크리스트.html", "👉 [클릭] 체크리스트 열기 📄")</f>
        <v/>
      </c>
      <c r="T27" s="123" t="n"/>
      <c r="U27" s="123" t="inlineStr">
        <is>
          <t>● 굴착 사면 기울기 및 굴착 공차 한계 준수</t>
        </is>
      </c>
      <c r="V27" s="122" t="inlineStr">
        <is>
          <t>1) 👉 [더블클릭] 체크리스트 열기 📄</t>
        </is>
      </c>
      <c r="W27" s="123" t="n"/>
    </row>
    <row r="28" ht="96" customHeight="1" s="147">
      <c r="A28" s="122" t="inlineStr">
        <is>
          <t>9000</t>
        </is>
      </c>
      <c r="B28" s="122" t="inlineStr">
        <is>
          <t>9000-5</t>
        </is>
      </c>
      <c r="C28" s="122" t="inlineStr">
        <is>
          <t>사전토공사</t>
        </is>
      </c>
      <c r="D28" s="122" t="inlineStr">
        <is>
          <t>9000-5-27</t>
        </is>
      </c>
      <c r="E28" s="122" t="n"/>
      <c r="F28" s="122" t="n"/>
      <c r="G28" s="122" t="inlineStr">
        <is>
          <t>D+10~30</t>
        </is>
      </c>
      <c r="H28" s="123" t="inlineStr">
        <is>
          <t>노상토 지지력 확인</t>
        </is>
      </c>
      <c r="I28" s="122" t="inlineStr">
        <is>
          <t>현장 품질팀</t>
        </is>
      </c>
      <c r="J28" s="123" t="inlineStr">
        <is>
          <t>KS F 2310 규정 준수 | 굴착 바닥 원지반 평판재하시험 K30 ≥ 70 MN/m³ | 덤프트럭 펌핑 연약 지반 점검</t>
        </is>
      </c>
      <c r="K28" s="123" t="inlineStr">
        <is>
          <t>1) 굴착 바닥 원지반 수평 정리 ➔ 2) K30 평판재하시험(≥70 MN/m³) ➔ 3) 덤프트럭 펌핑 연약 지반 점검 ➔ 4) 노상토 지지력 성과표 승인</t>
        </is>
      </c>
      <c r="L28" s="123" t="n"/>
      <c r="M28" s="123" t="inlineStr">
        <is>
          <t>굴착 바닥 평판재하시험 K30 ≥ 70 MN/m³, 덤프트럭 펌핑 연약 지반 점검 및 노상토 승인</t>
        </is>
      </c>
      <c r="N28" s="123" t="inlineStr">
        <is>
          <t>KS F 2310 규정 준수 | 굴착 바닥 원지반 평판재하시험 K30 ≥ 70 MN/m³ | 덤프트럭 펌핑 연약 지반 점검</t>
        </is>
      </c>
      <c r="O28" s="123">
        <f>HYPERLINK(LEFT(CELL("filename",A1),FIND("[",CELL("filename",A1))-1)&amp;"매뉴얼BODY(집행단계-첨부폴더)v8\2.사전토공사\25_배수_환경시설 설치\표준서\배수_환경시설 설치_표준서.html", "👉 [클릭] 표준서 열기 📄")</f>
        <v/>
      </c>
      <c r="P28" s="123" t="inlineStr">
        <is>
          <t>1) 굴착 바닥 원지반 수평 정리 ➔ 2) K30 평판재하시험(≥70 MN/m³) ➔ 3) 덤프트럭 펌핑 연약 지반 점검 ➔ 4) 노상토 지지력 성과표 승인</t>
        </is>
      </c>
      <c r="Q28" s="123">
        <f>HYPERLINK(LEFT(CELL("filename",A1),FIND("[",CELL("filename",A1))-1)&amp;"매뉴얼BODY(집행단계-첨부폴더)v8\2.사전토공사\25_배수_환경시설 설치\수행지침\배수_환경시설 설치_수행지침.html", "👉 [클릭] 수행지침 열기 📄")</f>
        <v/>
      </c>
      <c r="R28" s="123" t="inlineStr">
        <is>
          <t>굴착 바닥 평판재하시험 K30 ≥ 70 MN/m³, 덤프트럭 펌핑 연약 지반 점검 및 노상토 승인</t>
        </is>
      </c>
      <c r="S28" s="123">
        <f>HYPERLINK(LEFT(CELL("filename",A1),FIND("[",CELL("filename",A1))-1)&amp;"매뉴얼BODY(집행단계-첨부폴더)v8\2.사전토공사\25_배수_환경시설 설치\체크리스트\배수_환경시설 설치_체크리스트.html", "👉 [클릭] 체크리스트 열기 📄")</f>
        <v/>
      </c>
      <c r="T28" s="123" t="n"/>
      <c r="U28" s="123" t="inlineStr">
        <is>
          <t>● 강화노반 필요 지지력 규격 만족</t>
        </is>
      </c>
      <c r="V28" s="122" t="inlineStr">
        <is>
          <t>1) 👉 [더블클릭] 체크리스트 열기 📄</t>
        </is>
      </c>
      <c r="W28" s="123" t="n"/>
    </row>
    <row r="29" ht="96" customHeight="1" s="147">
      <c r="A29" s="122" t="inlineStr">
        <is>
          <t>9000</t>
        </is>
      </c>
      <c r="B29" s="122" t="inlineStr">
        <is>
          <t>9000-5</t>
        </is>
      </c>
      <c r="C29" s="122" t="inlineStr">
        <is>
          <t>사전토공사</t>
        </is>
      </c>
      <c r="D29" s="122" t="inlineStr">
        <is>
          <t>9000-5-28</t>
        </is>
      </c>
      <c r="E29" s="122" t="n"/>
      <c r="F29" s="122" t="n"/>
      <c r="G29" s="122" t="inlineStr">
        <is>
          <t>D+10~30</t>
        </is>
      </c>
      <c r="H29" s="123" t="inlineStr">
        <is>
          <t>쌓기 및 다짐(필요시)</t>
        </is>
      </c>
      <c r="I29" s="122" t="inlineStr">
        <is>
          <t>현장 공사팀</t>
        </is>
      </c>
      <c r="J29" s="123" t="inlineStr">
        <is>
          <t>KCS 47 10 25 성토 시방 | 층두께 ≤ 30cm 토사 포설 | 10t 강동 롤러 다짐(들밀도 다짐도 ≥ 90%)</t>
        </is>
      </c>
      <c r="K29" s="123" t="inlineStr">
        <is>
          <t>1) 성토 토사 30cm 층포설 ➔ 2) 살수차 최적함수비 살수 ➔ 3) 10t 강동 롤러 다짐(다짐도≥90%) ➔ 4) 성토 다짐 성과표 감리 승인</t>
        </is>
      </c>
      <c r="L29" s="123" t="n"/>
      <c r="M29" s="123" t="inlineStr">
        <is>
          <t>성토 토사 30cm 층포설, 살수차 최적함수비 OMC 살수 및 10t 롤러 다짐(다짐도 ≥ 90%)</t>
        </is>
      </c>
      <c r="N29" s="123" t="inlineStr">
        <is>
          <t>KCS 47 10 25 성토 시방 | 층두께 ≤ 30cm 토사 포설 | 10t 강동 롤러 다짐(들밀도 다짐도 ≥ 90%)</t>
        </is>
      </c>
      <c r="O29" s="123">
        <f>HYPERLINK(LEFT(CELL("filename",A1),FIND("[",CELL("filename",A1))-1)&amp;"매뉴얼BODY(집행단계-첨부폴더)v8\2.사전토공사\26_토공 굴착\표준서\토공 굴착_표준서.html", "👉 [클릭] 표준서 열기 📄")</f>
        <v/>
      </c>
      <c r="P29" s="123" t="inlineStr">
        <is>
          <t>1) 성토 토사 30cm 층포설 ➔ 2) 살수차 최적함수비 살수 ➔ 3) 10t 강동 롤러 다짐(다짐도≥90%) ➔ 4) 성토 다짐 성과표 감리 승인</t>
        </is>
      </c>
      <c r="Q29" s="123">
        <f>HYPERLINK(LEFT(CELL("filename",A1),FIND("[",CELL("filename",A1))-1)&amp;"매뉴얼BODY(집행단계-첨부폴더)v8\2.사전토공사\26_토공 굴착\수행지침\토공 굴착_수행지침.html", "👉 [클릭] 수행지침 열기 📄")</f>
        <v/>
      </c>
      <c r="R29" s="123" t="inlineStr">
        <is>
          <t>성토 토사 30cm 층포설, 살수차 최적함수비 OMC 살수 및 10t 롤러 다짐(다짐도 ≥ 90%)</t>
        </is>
      </c>
      <c r="S29" s="123">
        <f>HYPERLINK(LEFT(CELL("filename",A1),FIND("[",CELL("filename",A1))-1)&amp;"매뉴얼BODY(집행단계-첨부폴더)v8\2.사전토공사\26_토공 굴착\체크리스트\토공 굴착_체크리스트.html", "👉 [클릭] 체크리스트 열기 📄")</f>
        <v/>
      </c>
      <c r="T29" s="123" t="n"/>
      <c r="U29" s="123" t="inlineStr">
        <is>
          <t>● 다짐도(95% 이상) 규격 준수</t>
        </is>
      </c>
      <c r="V29" s="122" t="inlineStr">
        <is>
          <t>1) 👉 [더블클릭] 체크리스트 열기 📄</t>
        </is>
      </c>
      <c r="W29" s="123" t="n"/>
    </row>
    <row r="30" ht="96" customHeight="1" s="147">
      <c r="A30" s="122" t="inlineStr">
        <is>
          <t>9000</t>
        </is>
      </c>
      <c r="B30" s="122" t="inlineStr">
        <is>
          <t>9000-5</t>
        </is>
      </c>
      <c r="C30" s="122" t="inlineStr">
        <is>
          <t>사전토공사</t>
        </is>
      </c>
      <c r="D30" s="122" t="inlineStr">
        <is>
          <t>9000-5-29</t>
        </is>
      </c>
      <c r="E30" s="122" t="n"/>
      <c r="F30" s="122" t="n"/>
      <c r="G30" s="122" t="inlineStr">
        <is>
          <t>D+75일 이후</t>
        </is>
      </c>
      <c r="H30" s="123" t="inlineStr">
        <is>
          <t>현장지원</t>
        </is>
      </c>
      <c r="I30" s="122" t="inlineStr">
        <is>
          <t>토목수행팀, 토목품질팀, 토목안전팀</t>
        </is>
      </c>
      <c r="J30" s="123" t="inlineStr">
        <is>
          <t>현장 통합 소통 수칙 | 일일 TBM 및 품질/안전 지원 대장 수록 | 감리 입회 검측 서면 승인</t>
        </is>
      </c>
      <c r="K30" s="123" t="inlineStr">
        <is>
          <t>1) 일일 현장 품질/안전 지원 ➔ 2) TBM 및 근로자 교육 ➔ 3) 공정 장애 요소 해소 ➔ 4) 현장 지원 대장 서면 승인</t>
        </is>
      </c>
      <c r="L30" s="123" t="n"/>
      <c r="M30" s="123" t="inlineStr">
        <is>
          <t>일일 현장 품질/안전 지원 대장, TBM 및 근로자 교육 시행 서면 승인</t>
        </is>
      </c>
      <c r="N30" s="123" t="inlineStr">
        <is>
          <t>현장 통합 소통 수칙 | 일일 TBM 및 품질/안전 지원 대장 수록 | 감리 입회 검측 서면 승인</t>
        </is>
      </c>
      <c r="O30" s="123">
        <f>HYPERLINK(LEFT(CELL("filename",A1),FIND("[",CELL("filename",A1))-1)&amp;"매뉴얼BODY(집행단계-첨부폴더)v8\2.사전토공사\27_노상토 지지력 확인\표준서\노상토 지지력 확인_표준서.html", "👉 [클릭] 표준서 열기 📄")</f>
        <v/>
      </c>
      <c r="P30" s="123" t="inlineStr">
        <is>
          <t>1) 일일 현장 품질/안전 지원 ➔ 2) TBM 및 근로자 교육 ➔ 3) 공정 장애 요소 해소 ➔ 4) 현장 지원 대장 서면 승인</t>
        </is>
      </c>
      <c r="Q30" s="123">
        <f>HYPERLINK(LEFT(CELL("filename",A1),FIND("[",CELL("filename",A1))-1)&amp;"매뉴얼BODY(집행단계-첨부폴더)v8\2.사전토공사\27_노상토 지지력 확인\수행지침\노상토 지지력 확인_수행지침.html", "👉 [클릭] 수행지침 열기 📄")</f>
        <v/>
      </c>
      <c r="R30" s="123" t="inlineStr">
        <is>
          <t>일일 현장 품질/안전 지원 대장, TBM 및 근로자 교육 시행 서면 승인</t>
        </is>
      </c>
      <c r="S30" s="123">
        <f>HYPERLINK(LEFT(CELL("filename",A1),FIND("[",CELL("filename",A1))-1)&amp;"매뉴얼BODY(집행단계-첨부폴더)v8\2.사전토공사\27_노상토 지지력 확인\체크리스트\노상토 지지력 확인_체크리스트.html", "👉 [클릭] 체크리스트 열기 📄")</f>
        <v/>
      </c>
      <c r="T30" s="123" t="n"/>
      <c r="U30" s="123" t="inlineStr">
        <is>
          <t>● 본사 정기현장점검 지침 준수</t>
        </is>
      </c>
      <c r="V30" s="122" t="inlineStr">
        <is>
          <t>1) 👉 [더블클릭] 체크리스트 열기 📄</t>
        </is>
      </c>
      <c r="W30" s="123" t="n"/>
    </row>
    <row r="31" ht="96" customHeight="1" s="147">
      <c r="A31" s="122" t="inlineStr">
        <is>
          <t>9000</t>
        </is>
      </c>
      <c r="B31" s="122" t="inlineStr">
        <is>
          <t>9000-5</t>
        </is>
      </c>
      <c r="C31" s="122" t="inlineStr">
        <is>
          <t>사전토공사</t>
        </is>
      </c>
      <c r="D31" s="122" t="inlineStr">
        <is>
          <t>9000-5-30</t>
        </is>
      </c>
      <c r="E31" s="122" t="n"/>
      <c r="F31" s="122" t="n"/>
      <c r="G31" s="122" t="inlineStr">
        <is>
          <t>D+75일 이후</t>
        </is>
      </c>
      <c r="H31" s="123" t="inlineStr">
        <is>
          <t>강화노반 인계</t>
        </is>
      </c>
      <c r="I31" s="122" t="inlineStr">
        <is>
          <t>현장 공사팀 / 품질팀</t>
        </is>
      </c>
      <c r="J31" s="123" t="inlineStr">
        <is>
          <t>KCS 47 10 25 인계인수 수칙 | 토공-강화노반 시공팀 3자 합동 레벨 측량 | 마무리면 인계인수서 서명</t>
        </is>
      </c>
      <c r="K31" s="123" t="inlineStr">
        <is>
          <t>1) 토공-강화노반 시공팀 3자 합동 현측 ➔ 2) 마무리면 레벨 오차(±10mm) 확인 ➔ 3) 인계인수 합의서 서명 ➔ 4) 토공 마무리면 인계 완료</t>
        </is>
      </c>
      <c r="L31" s="123" t="n"/>
      <c r="M31" s="123" t="inlineStr">
        <is>
          <t>토공-강화노반 시공팀 3자 합동 레벨 측량, 마무리면 레벨 오차(±10mm) 인계인수서 서명</t>
        </is>
      </c>
      <c r="N31" s="123" t="inlineStr">
        <is>
          <t>KCS 47 10 25 인계인수 수칙 | 토공-강화노반 시공팀 3자 합동 레벨 측량 | 마무리면 인계인수서 서명</t>
        </is>
      </c>
      <c r="O31" s="123">
        <f>HYPERLINK(LEFT(CELL("filename",A1),FIND("[",CELL("filename",A1))-1)&amp;"매뉴얼BODY(집행단계-첨부폴더)v8\2.사전토공사\28_쌓기 및 다짐_필요시\표준서\쌓기 및 다짐(필요시)_표준서.html", "👉 [클릭] 표준서 열기 📄")</f>
        <v/>
      </c>
      <c r="P31" s="123" t="inlineStr">
        <is>
          <t>1) 토공-강화노반 시공팀 3자 합동 현측 ➔ 2) 마무리면 레벨 오차(±10mm) 확인 ➔ 3) 인계인수 합의서 서명 ➔ 4) 토공 마무리면 인계 완료</t>
        </is>
      </c>
      <c r="Q31" s="123">
        <f>HYPERLINK(LEFT(CELL("filename",A1),FIND("[",CELL("filename",A1))-1)&amp;"매뉴얼BODY(집행단계-첨부폴더)v8\2.사전토공사\28_쌓기 및 다짐_필요시\수행지침\쌓기 및 다짐(필요시)_수행지침.html", "👉 [클릭] 수행지침 열기 📄")</f>
        <v/>
      </c>
      <c r="R31" s="123" t="inlineStr">
        <is>
          <t>토공-강화노반 시공팀 3자 합동 레벨 측량, 마무리면 레벨 오차(±10mm) 인계인수서 서명</t>
        </is>
      </c>
      <c r="S31" s="123">
        <f>HYPERLINK(LEFT(CELL("filename",A1),FIND("[",CELL("filename",A1))-1)&amp;"매뉴얼BODY(집행단계-첨부폴더)v8\2.사전토공사\28_쌓기 및 다짐_필요시\체크리스트\쌓기 및 다짐(필요시)_체크리스트.html", "👉 [클릭] 체크리스트 열기 📄")</f>
        <v/>
      </c>
      <c r="T31" s="123" t="n"/>
      <c r="U31" s="123" t="inlineStr">
        <is>
          <t>● 궤도 부설 구간 허용 오차 한계 확인</t>
        </is>
      </c>
      <c r="V31" s="122" t="inlineStr">
        <is>
          <t>1) 👉 [더블클릭] 체크리스트 열기 📄</t>
        </is>
      </c>
      <c r="W31" s="123" t="n"/>
    </row>
    <row r="32">
      <c r="A32" s="122" t="n"/>
      <c r="B32" s="122" t="n"/>
      <c r="C32" s="122" t="n"/>
      <c r="D32" s="122" t="n"/>
      <c r="E32" s="122" t="n"/>
      <c r="F32" s="122" t="n"/>
      <c r="G32" s="122" t="n"/>
      <c r="H32" s="123" t="n"/>
      <c r="I32" s="122" t="n"/>
      <c r="J32" s="123" t="n"/>
      <c r="K32" s="123" t="n"/>
      <c r="L32" s="123" t="n"/>
      <c r="M32" s="123" t="n"/>
      <c r="N32" s="123" t="n"/>
      <c r="O32" s="123">
        <f>HYPERLINK(LEFT(CELL("filename",A1),FIND("[",CELL("filename",A1))-1)&amp;"매뉴얼BODY(집행단계-첨부폴더)v8\2.사전토공사\29_현장지원\표준서\현장지원_표준서.html", "👉 [클릭] 표준서 열기 📄")</f>
        <v/>
      </c>
      <c r="P32" s="123" t="n"/>
      <c r="Q32" s="123">
        <f>HYPERLINK(LEFT(CELL("filename",A1),FIND("[",CELL("filename",A1))-1)&amp;"매뉴얼BODY(집행단계-첨부폴더)v8\2.사전토공사\29_현장지원\수행지침\현장지원_수행지침.html", "👉 [클릭] 수행지침 열기 📄")</f>
        <v/>
      </c>
      <c r="R32" s="123" t="n"/>
      <c r="S32" s="123">
        <f>HYPERLINK(LEFT(CELL("filename",A1),FIND("[",CELL("filename",A1))-1)&amp;"매뉴얼BODY(집행단계-첨부폴더)v8\2.사전토공사\29_현장지원\체크리스트\현장지원_체크리스트.html", "👉 [클릭] 체크리스트 열기 📄")</f>
        <v/>
      </c>
      <c r="T32" s="123" t="n"/>
      <c r="U32" s="123" t="n"/>
      <c r="V32" s="122" t="n"/>
      <c r="W32" s="123" t="n"/>
    </row>
    <row r="33">
      <c r="A33" s="122" t="n"/>
      <c r="B33" s="122" t="n"/>
      <c r="C33" s="122" t="n"/>
      <c r="D33" s="122" t="n"/>
      <c r="E33" s="122" t="n"/>
      <c r="F33" s="122" t="n"/>
      <c r="G33" s="122" t="n"/>
      <c r="H33" s="123" t="n"/>
      <c r="I33" s="122" t="n"/>
      <c r="J33" s="123" t="n"/>
      <c r="K33" s="123" t="n"/>
      <c r="L33" s="123" t="n"/>
      <c r="M33" s="123" t="n"/>
      <c r="N33" s="123" t="n"/>
      <c r="O33" s="123">
        <f>HYPERLINK(LEFT(CELL("filename",A1),FIND("[",CELL("filename",A1))-1)&amp;"매뉴얼BODY(집행단계-첨부폴더)v8\2.사전토공사\30_강화노반 인계\표준서\강화노반 인계_표준서.html", "👉 [클릭] 표준서 열기 📄")</f>
        <v/>
      </c>
      <c r="P33" s="123" t="n"/>
      <c r="Q33" s="123">
        <f>HYPERLINK(LEFT(CELL("filename",A1),FIND("[",CELL("filename",A1))-1)&amp;"매뉴얼BODY(집행단계-첨부폴더)v8\2.사전토공사\30_강화노반 인계\수행지침\강화노반 인계_수행지침.html", "👉 [클릭] 수행지침 열기 📄")</f>
        <v/>
      </c>
      <c r="R33" s="123" t="n"/>
      <c r="S33" s="123">
        <f>HYPERLINK(LEFT(CELL("filename",A1),FIND("[",CELL("filename",A1))-1)&amp;"매뉴얼BODY(집행단계-첨부폴더)v8\2.사전토공사\30_강화노반 인계\체크리스트\강화노반 인계_체크리스트.html", "👉 [클릭] 체크리스트 열기 📄")</f>
        <v/>
      </c>
      <c r="T33" s="123" t="n"/>
      <c r="U33" s="123" t="n"/>
      <c r="V33" s="122" t="n"/>
      <c r="W33" s="123" t="n"/>
    </row>
    <row r="34">
      <c r="A34" s="122" t="n"/>
      <c r="B34" s="122" t="n"/>
      <c r="C34" s="122" t="n"/>
      <c r="D34" s="122" t="n"/>
      <c r="E34" s="122" t="n"/>
      <c r="F34" s="122" t="n"/>
      <c r="G34" s="122" t="n"/>
      <c r="H34" s="123" t="n"/>
      <c r="I34" s="122" t="n"/>
      <c r="J34" s="123" t="n"/>
      <c r="K34" s="123" t="n"/>
      <c r="L34" s="123" t="n"/>
      <c r="M34" s="123" t="n"/>
      <c r="N34" s="123" t="n"/>
      <c r="O34" s="123">
        <f>HYPERLINK(LEFT(CELL("filename",A1),FIND("[",CELL("filename",A1))-1)&amp;"매뉴얼BODY(집행단계-첨부폴더)v8\2.사전토공사\32_Task_32\표준서\Task_32_표준서.html", "👉 [클릭] 표준서 열기 📄")</f>
        <v/>
      </c>
      <c r="P34" s="123" t="n"/>
      <c r="Q34" s="123">
        <f>HYPERLINK(LEFT(CELL("filename",A1),FIND("[",CELL("filename",A1))-1)&amp;"매뉴얼BODY(집행단계-첨부폴더)v8\2.사전토공사\32_Task_32\수행지침\Task_32_수행지침.html", "👉 [클릭] 수행지침 열기 📄")</f>
        <v/>
      </c>
      <c r="R34" s="123" t="n"/>
      <c r="S34" s="123">
        <f>HYPERLINK(LEFT(CELL("filename",A1),FIND("[",CELL("filename",A1))-1)&amp;"매뉴얼BODY(집행단계-첨부폴더)v8\2.사전토공사\32_Task_32\체크리스트\Task_32_체크리스트.html", "👉 [클릭] 체크리스트 열기 📄")</f>
        <v/>
      </c>
      <c r="T34" s="123" t="n"/>
      <c r="U34" s="123" t="n"/>
      <c r="V34" s="122" t="n"/>
      <c r="W34" s="123" t="n"/>
    </row>
    <row r="35">
      <c r="A35" s="122" t="n"/>
      <c r="B35" s="122" t="n"/>
      <c r="C35" s="122" t="n"/>
      <c r="D35" s="122" t="n"/>
      <c r="E35" s="122" t="n"/>
      <c r="F35" s="122" t="n"/>
      <c r="G35" s="122" t="n"/>
      <c r="H35" s="123" t="n"/>
      <c r="I35" s="122" t="n"/>
      <c r="J35" s="123" t="n"/>
      <c r="K35" s="123" t="n"/>
      <c r="L35" s="123" t="n"/>
      <c r="M35" s="123" t="n"/>
      <c r="N35" s="123" t="n"/>
      <c r="O35" s="123" t="inlineStr">
        <is>
          <t>👉 [클릭] 표준서 열기 📄</t>
        </is>
      </c>
      <c r="P35" s="123" t="n"/>
      <c r="Q35" s="123" t="inlineStr">
        <is>
          <t>👉 [클릭] 수행지침 열기 📄</t>
        </is>
      </c>
      <c r="R35" s="123" t="n"/>
      <c r="S35" s="123" t="inlineStr">
        <is>
          <t>👉 [클릭] 체크리스트 열기 📄</t>
        </is>
      </c>
      <c r="T35" s="123" t="n"/>
      <c r="U35" s="123" t="n"/>
      <c r="V35" s="122" t="n"/>
      <c r="W35" s="123" t="n"/>
    </row>
    <row r="36">
      <c r="A36" s="122" t="n"/>
      <c r="B36" s="122" t="n"/>
      <c r="C36" s="122" t="n"/>
      <c r="D36" s="122" t="n"/>
      <c r="E36" s="122" t="n"/>
      <c r="F36" s="122" t="n"/>
      <c r="G36" s="122" t="n"/>
      <c r="H36" s="123" t="n"/>
      <c r="I36" s="122" t="n"/>
      <c r="J36" s="123" t="n"/>
      <c r="K36" s="123" t="n"/>
      <c r="L36" s="123" t="n"/>
      <c r="M36" s="123" t="n"/>
      <c r="N36" s="123" t="n"/>
      <c r="O36" s="123" t="inlineStr">
        <is>
          <t>👉 [클릭] 표준서 열기 📄</t>
        </is>
      </c>
      <c r="P36" s="123" t="n"/>
      <c r="Q36" s="123" t="inlineStr">
        <is>
          <t>👉 [클릭] 수행지침 열기 📄</t>
        </is>
      </c>
      <c r="R36" s="123" t="n"/>
      <c r="S36" s="123" t="inlineStr">
        <is>
          <t>👉 [클릭] 체크리스트 열기 📄</t>
        </is>
      </c>
      <c r="T36" s="123" t="n"/>
      <c r="U36" s="123" t="n"/>
      <c r="V36" s="122" t="n"/>
      <c r="W36" s="123" t="n"/>
    </row>
    <row r="37">
      <c r="A37" s="122" t="n"/>
      <c r="B37" s="122" t="n"/>
      <c r="C37" s="122" t="n"/>
      <c r="D37" s="122" t="n"/>
      <c r="E37" s="122" t="n"/>
      <c r="F37" s="122" t="n"/>
      <c r="G37" s="122" t="n"/>
      <c r="H37" s="123" t="n"/>
      <c r="I37" s="122" t="n"/>
      <c r="J37" s="123" t="n"/>
      <c r="K37" s="123" t="n"/>
      <c r="L37" s="123" t="n"/>
      <c r="M37" s="123" t="n"/>
      <c r="N37" s="123" t="n"/>
      <c r="O37" s="123" t="inlineStr">
        <is>
          <t>👉 [클릭] 표준서 열기 📄</t>
        </is>
      </c>
      <c r="P37" s="123" t="n"/>
      <c r="Q37" s="123" t="inlineStr">
        <is>
          <t>👉 [클릭] 수행지침 열기 📄</t>
        </is>
      </c>
      <c r="R37" s="123" t="n"/>
      <c r="S37" s="123" t="inlineStr">
        <is>
          <t>👉 [클릭] 체크리스트 열기 📄</t>
        </is>
      </c>
      <c r="T37" s="123" t="n"/>
      <c r="U37" s="123" t="n"/>
      <c r="V37" s="122" t="n"/>
      <c r="W37" s="123" t="n"/>
    </row>
    <row r="38">
      <c r="A38" s="122" t="n"/>
      <c r="B38" s="122" t="n"/>
      <c r="C38" s="122" t="n"/>
      <c r="D38" s="122" t="n"/>
      <c r="E38" s="122" t="n"/>
      <c r="F38" s="122" t="n"/>
      <c r="G38" s="122" t="n"/>
      <c r="H38" s="123" t="n"/>
      <c r="I38" s="122" t="n"/>
      <c r="J38" s="123" t="n"/>
      <c r="K38" s="123" t="n"/>
      <c r="L38" s="123" t="n"/>
      <c r="M38" s="123" t="n"/>
      <c r="N38" s="123" t="n"/>
      <c r="O38" s="123" t="inlineStr">
        <is>
          <t>👉 [클릭] 표준서 열기 📄</t>
        </is>
      </c>
      <c r="P38" s="123" t="n"/>
      <c r="Q38" s="123" t="inlineStr">
        <is>
          <t>👉 [클릭] 수행지침 열기 📄</t>
        </is>
      </c>
      <c r="R38" s="123" t="n"/>
      <c r="S38" s="123" t="inlineStr">
        <is>
          <t>👉 [클릭] 체크리스트 열기 📄</t>
        </is>
      </c>
      <c r="T38" s="123" t="n"/>
      <c r="U38" s="123" t="n"/>
      <c r="V38" s="122" t="n"/>
      <c r="W38" s="123" t="n"/>
    </row>
    <row r="39">
      <c r="A39" s="122" t="n"/>
      <c r="B39" s="122" t="n"/>
      <c r="C39" s="122" t="n"/>
      <c r="D39" s="122" t="n"/>
      <c r="E39" s="122" t="n"/>
      <c r="F39" s="122" t="n"/>
      <c r="G39" s="122" t="n"/>
      <c r="H39" s="123" t="n"/>
      <c r="I39" s="122" t="n"/>
      <c r="J39" s="123" t="n"/>
      <c r="K39" s="123" t="n"/>
      <c r="L39" s="123" t="n"/>
      <c r="M39" s="123" t="n"/>
      <c r="N39" s="123" t="n"/>
      <c r="O39" s="123" t="inlineStr">
        <is>
          <t>👉 [클릭] 표준서 열기 📄</t>
        </is>
      </c>
      <c r="P39" s="123" t="n"/>
      <c r="Q39" s="123" t="inlineStr">
        <is>
          <t>👉 [클릭] 수행지침 열기 📄</t>
        </is>
      </c>
      <c r="R39" s="123" t="n"/>
      <c r="S39" s="123" t="inlineStr">
        <is>
          <t>👉 [클릭] 체크리스트 열기 📄</t>
        </is>
      </c>
      <c r="T39" s="123" t="n"/>
      <c r="U39" s="123" t="n"/>
      <c r="V39" s="122" t="n"/>
      <c r="W39" s="123" t="n"/>
    </row>
    <row r="40">
      <c r="A40" s="122" t="n"/>
      <c r="B40" s="122" t="n"/>
      <c r="C40" s="122" t="n"/>
      <c r="D40" s="122" t="n"/>
      <c r="E40" s="122" t="n"/>
      <c r="F40" s="122" t="n"/>
      <c r="G40" s="122" t="n"/>
      <c r="H40" s="123" t="n"/>
      <c r="I40" s="122" t="n"/>
      <c r="J40" s="123" t="n"/>
      <c r="K40" s="123" t="n"/>
      <c r="L40" s="123" t="n"/>
      <c r="M40" s="123" t="n"/>
      <c r="N40" s="123" t="n"/>
      <c r="O40" s="123" t="inlineStr">
        <is>
          <t>👉 [클릭] 표준서 열기 📄</t>
        </is>
      </c>
      <c r="P40" s="123" t="n"/>
      <c r="Q40" s="123" t="inlineStr">
        <is>
          <t>👉 [클릭] 수행지침 열기 📄</t>
        </is>
      </c>
      <c r="R40" s="123" t="n"/>
      <c r="S40" s="123" t="inlineStr">
        <is>
          <t>👉 [클릭] 체크리스트 열기 📄</t>
        </is>
      </c>
      <c r="T40" s="123" t="n"/>
      <c r="U40" s="123" t="n"/>
      <c r="V40" s="122" t="n"/>
      <c r="W40" s="123" t="n"/>
    </row>
    <row r="41">
      <c r="A41" s="122" t="n"/>
      <c r="B41" s="122" t="n"/>
      <c r="C41" s="122" t="n"/>
      <c r="D41" s="122" t="n"/>
      <c r="E41" s="122" t="n"/>
      <c r="F41" s="122" t="n"/>
      <c r="G41" s="122" t="n"/>
      <c r="H41" s="123" t="n"/>
      <c r="I41" s="122" t="n"/>
      <c r="J41" s="123" t="n"/>
      <c r="K41" s="123" t="n"/>
      <c r="L41" s="123" t="n"/>
      <c r="M41" s="123" t="n"/>
      <c r="N41" s="123" t="n"/>
      <c r="O41" s="123" t="inlineStr">
        <is>
          <t>👉 [클릭] 표준서 열기 📄</t>
        </is>
      </c>
      <c r="P41" s="123" t="n"/>
      <c r="Q41" s="123" t="inlineStr">
        <is>
          <t>👉 [클릭] 수행지침 열기 📄</t>
        </is>
      </c>
      <c r="R41" s="123" t="n"/>
      <c r="S41" s="123" t="inlineStr">
        <is>
          <t>👉 [클릭] 체크리스트 열기 📄</t>
        </is>
      </c>
      <c r="T41" s="123" t="n"/>
      <c r="U41" s="123" t="n"/>
      <c r="V41" s="122" t="n"/>
      <c r="W41" s="123" t="n"/>
    </row>
    <row r="42">
      <c r="A42" s="122" t="n"/>
      <c r="B42" s="122" t="n"/>
      <c r="C42" s="122" t="n"/>
      <c r="D42" s="122" t="n"/>
      <c r="E42" s="122" t="n"/>
      <c r="F42" s="122" t="n"/>
      <c r="G42" s="122" t="n"/>
      <c r="H42" s="123" t="n"/>
      <c r="I42" s="122" t="n"/>
      <c r="J42" s="123" t="n"/>
      <c r="K42" s="123" t="n"/>
      <c r="L42" s="123" t="n"/>
      <c r="M42" s="123" t="n"/>
      <c r="N42" s="123" t="n"/>
      <c r="O42" s="123" t="inlineStr">
        <is>
          <t>👉 [클릭] 표준서 열기 📄</t>
        </is>
      </c>
      <c r="P42" s="123" t="n"/>
      <c r="Q42" s="123" t="inlineStr">
        <is>
          <t>👉 [클릭] 수행지침 열기 📄</t>
        </is>
      </c>
      <c r="R42" s="123" t="n"/>
      <c r="S42" s="123" t="inlineStr">
        <is>
          <t>👉 [클릭] 체크리스트 열기 📄</t>
        </is>
      </c>
      <c r="T42" s="123" t="n"/>
      <c r="U42" s="123" t="n"/>
      <c r="V42" s="122" t="n"/>
      <c r="W42" s="123" t="n"/>
    </row>
    <row r="43">
      <c r="A43" s="122" t="n"/>
      <c r="B43" s="122" t="n"/>
      <c r="C43" s="122" t="n"/>
      <c r="D43" s="122" t="n"/>
      <c r="E43" s="122" t="n"/>
      <c r="F43" s="122" t="n"/>
      <c r="G43" s="122" t="n"/>
      <c r="H43" s="123" t="n"/>
      <c r="I43" s="122" t="n"/>
      <c r="J43" s="123" t="n"/>
      <c r="K43" s="123" t="n"/>
      <c r="L43" s="123" t="n"/>
      <c r="M43" s="123" t="n"/>
      <c r="N43" s="123" t="n"/>
      <c r="O43" s="123" t="inlineStr">
        <is>
          <t>👉 [클릭] 표준서 열기 📄</t>
        </is>
      </c>
      <c r="P43" s="123" t="n"/>
      <c r="Q43" s="123" t="inlineStr">
        <is>
          <t>👉 [클릭] 수행지침 열기 📄</t>
        </is>
      </c>
      <c r="R43" s="123" t="n"/>
      <c r="S43" s="123" t="inlineStr">
        <is>
          <t>👉 [클릭] 체크리스트 열기 📄</t>
        </is>
      </c>
      <c r="T43" s="123" t="n"/>
      <c r="U43" s="123" t="n"/>
      <c r="V43" s="122" t="n"/>
      <c r="W43" s="123" t="n"/>
    </row>
    <row r="44">
      <c r="A44" s="122" t="n"/>
      <c r="B44" s="122" t="n"/>
      <c r="C44" s="122" t="n"/>
      <c r="D44" s="122" t="n"/>
      <c r="E44" s="122" t="n"/>
      <c r="F44" s="122" t="n"/>
      <c r="G44" s="122" t="n"/>
      <c r="H44" s="123" t="n"/>
      <c r="I44" s="122" t="n"/>
      <c r="J44" s="123" t="n"/>
      <c r="K44" s="123" t="n"/>
      <c r="L44" s="123" t="n"/>
      <c r="M44" s="123" t="n"/>
      <c r="N44" s="123" t="n"/>
      <c r="O44" s="123" t="inlineStr">
        <is>
          <t>👉 [클릭] 표준서 열기 📄</t>
        </is>
      </c>
      <c r="P44" s="123" t="n"/>
      <c r="Q44" s="123" t="inlineStr">
        <is>
          <t>👉 [클릭] 수행지침 열기 📄</t>
        </is>
      </c>
      <c r="R44" s="123" t="n"/>
      <c r="S44" s="123" t="inlineStr">
        <is>
          <t>👉 [클릭] 체크리스트 열기 📄</t>
        </is>
      </c>
      <c r="T44" s="123" t="n"/>
      <c r="U44" s="123" t="n"/>
      <c r="V44" s="122" t="n"/>
      <c r="W44" s="123" t="n"/>
    </row>
    <row r="45">
      <c r="A45" s="122" t="n"/>
      <c r="B45" s="122" t="n"/>
      <c r="C45" s="122" t="n"/>
      <c r="D45" s="122" t="n"/>
      <c r="E45" s="122" t="n"/>
      <c r="F45" s="122" t="n"/>
      <c r="G45" s="122" t="n"/>
      <c r="H45" s="123" t="n"/>
      <c r="I45" s="122" t="n"/>
      <c r="J45" s="123" t="n"/>
      <c r="K45" s="123" t="n"/>
      <c r="L45" s="123" t="n"/>
      <c r="M45" s="123" t="n"/>
      <c r="N45" s="123" t="n"/>
      <c r="O45" s="123" t="inlineStr">
        <is>
          <t>👉 [클릭] 표준서 열기 📄</t>
        </is>
      </c>
      <c r="P45" s="123" t="n"/>
      <c r="Q45" s="123" t="inlineStr">
        <is>
          <t>👉 [클릭] 수행지침 열기 📄</t>
        </is>
      </c>
      <c r="R45" s="123" t="n"/>
      <c r="S45" s="123" t="inlineStr">
        <is>
          <t>👉 [클릭] 체크리스트 열기 📄</t>
        </is>
      </c>
      <c r="T45" s="123" t="n"/>
      <c r="U45" s="123" t="n"/>
      <c r="V45" s="122" t="n"/>
      <c r="W45" s="123" t="n"/>
    </row>
    <row r="46">
      <c r="A46" s="122" t="n"/>
      <c r="B46" s="122" t="n"/>
      <c r="C46" s="122" t="n"/>
      <c r="D46" s="122" t="n"/>
      <c r="E46" s="122" t="n"/>
      <c r="F46" s="122" t="n"/>
      <c r="G46" s="122" t="n"/>
      <c r="H46" s="123" t="n"/>
      <c r="I46" s="122" t="n"/>
      <c r="J46" s="123" t="n"/>
      <c r="K46" s="123" t="n"/>
      <c r="L46" s="123" t="n"/>
      <c r="M46" s="123" t="n"/>
      <c r="N46" s="123" t="n"/>
      <c r="O46" s="123" t="inlineStr">
        <is>
          <t>👉 [클릭] 표준서 열기 📄</t>
        </is>
      </c>
      <c r="P46" s="123" t="n"/>
      <c r="Q46" s="123" t="inlineStr">
        <is>
          <t>👉 [클릭] 수행지침 열기 📄</t>
        </is>
      </c>
      <c r="R46" s="123" t="n"/>
      <c r="S46" s="123" t="inlineStr">
        <is>
          <t>👉 [클릭] 체크리스트 열기 📄</t>
        </is>
      </c>
      <c r="T46" s="123" t="n"/>
      <c r="U46" s="123" t="n"/>
      <c r="V46" s="122" t="n"/>
      <c r="W46" s="123" t="n"/>
    </row>
    <row r="47">
      <c r="A47" s="122" t="n"/>
      <c r="B47" s="122" t="n"/>
      <c r="C47" s="122" t="n"/>
      <c r="D47" s="122" t="n"/>
      <c r="E47" s="122" t="n"/>
      <c r="F47" s="122" t="n"/>
      <c r="G47" s="122" t="n"/>
      <c r="H47" s="123" t="n"/>
      <c r="I47" s="122" t="n"/>
      <c r="J47" s="123" t="n"/>
      <c r="K47" s="123" t="n"/>
      <c r="L47" s="123" t="n"/>
      <c r="M47" s="123" t="n"/>
      <c r="N47" s="123" t="n"/>
      <c r="O47" s="123" t="inlineStr">
        <is>
          <t>👉 [클릭] 표준서 열기 📄</t>
        </is>
      </c>
      <c r="P47" s="123" t="n"/>
      <c r="Q47" s="123" t="inlineStr">
        <is>
          <t>👉 [클릭] 수행지침 열기 📄</t>
        </is>
      </c>
      <c r="R47" s="123" t="n"/>
      <c r="S47" s="123" t="inlineStr">
        <is>
          <t>👉 [클릭] 체크리스트 열기 📄</t>
        </is>
      </c>
      <c r="T47" s="123" t="n"/>
      <c r="U47" s="123" t="n"/>
      <c r="V47" s="122" t="n"/>
      <c r="W47" s="123" t="n"/>
    </row>
    <row r="48">
      <c r="A48" s="122" t="n"/>
      <c r="B48" s="122" t="n"/>
      <c r="C48" s="122" t="n"/>
      <c r="D48" s="122" t="n"/>
      <c r="E48" s="122" t="n"/>
      <c r="F48" s="122" t="n"/>
      <c r="G48" s="122" t="n"/>
      <c r="H48" s="123" t="n"/>
      <c r="I48" s="122" t="n"/>
      <c r="J48" s="123" t="n"/>
      <c r="K48" s="123" t="n"/>
      <c r="L48" s="123" t="n"/>
      <c r="M48" s="123" t="n"/>
      <c r="N48" s="123" t="n"/>
      <c r="O48" s="123" t="inlineStr">
        <is>
          <t>👉 [클릭] 표준서 열기 📄</t>
        </is>
      </c>
      <c r="P48" s="123" t="n"/>
      <c r="Q48" s="123" t="inlineStr">
        <is>
          <t>👉 [클릭] 수행지침 열기 📄</t>
        </is>
      </c>
      <c r="R48" s="123" t="n"/>
      <c r="S48" s="123" t="inlineStr">
        <is>
          <t>👉 [클릭] 체크리스트 열기 📄</t>
        </is>
      </c>
      <c r="T48" s="123" t="n"/>
      <c r="U48" s="123" t="n"/>
      <c r="V48" s="122" t="n"/>
      <c r="W48" s="123" t="n"/>
    </row>
    <row r="49">
      <c r="A49" s="122" t="n"/>
      <c r="B49" s="122" t="n"/>
      <c r="C49" s="122" t="n"/>
      <c r="D49" s="122" t="n"/>
      <c r="E49" s="122" t="n"/>
      <c r="F49" s="122" t="n"/>
      <c r="G49" s="122" t="n"/>
      <c r="H49" s="123" t="n"/>
      <c r="I49" s="122" t="n"/>
      <c r="J49" s="123" t="n"/>
      <c r="K49" s="123" t="n"/>
      <c r="L49" s="123" t="n"/>
      <c r="M49" s="123" t="n"/>
      <c r="N49" s="123" t="n"/>
      <c r="O49" s="123" t="inlineStr">
        <is>
          <t>👉 [클릭] 표준서 열기 📄</t>
        </is>
      </c>
      <c r="P49" s="123" t="n"/>
      <c r="Q49" s="123" t="inlineStr">
        <is>
          <t>👉 [클릭] 수행지침 열기 📄</t>
        </is>
      </c>
      <c r="R49" s="123" t="n"/>
      <c r="S49" s="123" t="inlineStr">
        <is>
          <t>👉 [클릭] 체크리스트 열기 📄</t>
        </is>
      </c>
      <c r="T49" s="123" t="n"/>
      <c r="U49" s="123" t="n"/>
      <c r="V49" s="122" t="n"/>
      <c r="W49" s="123" t="n"/>
    </row>
    <row r="50">
      <c r="A50" s="122" t="n"/>
      <c r="B50" s="122" t="n"/>
      <c r="C50" s="122" t="n"/>
      <c r="D50" s="122" t="n"/>
      <c r="E50" s="122" t="n"/>
      <c r="F50" s="122" t="n"/>
      <c r="G50" s="122" t="n"/>
      <c r="H50" s="123" t="n"/>
      <c r="I50" s="122" t="n"/>
      <c r="J50" s="123" t="n"/>
      <c r="K50" s="123" t="n"/>
      <c r="L50" s="123" t="n"/>
      <c r="M50" s="123" t="n"/>
      <c r="N50" s="123" t="n"/>
      <c r="O50" s="123" t="inlineStr">
        <is>
          <t>👉 [클릭] 표준서 열기 📄</t>
        </is>
      </c>
      <c r="P50" s="123" t="n"/>
      <c r="Q50" s="123" t="inlineStr">
        <is>
          <t>👉 [클릭] 수행지침 열기 📄</t>
        </is>
      </c>
      <c r="R50" s="123" t="n"/>
      <c r="S50" s="123" t="inlineStr">
        <is>
          <t>👉 [클릭] 체크리스트 열기 📄</t>
        </is>
      </c>
      <c r="T50" s="123" t="n"/>
      <c r="U50" s="123" t="n"/>
      <c r="V50" s="122" t="n"/>
      <c r="W50" s="123" t="n"/>
    </row>
    <row r="51">
      <c r="A51" s="122" t="n"/>
      <c r="B51" s="122" t="n"/>
      <c r="C51" s="122" t="n"/>
      <c r="D51" s="122" t="n"/>
      <c r="E51" s="122" t="n"/>
      <c r="F51" s="122" t="n"/>
      <c r="G51" s="122" t="n"/>
      <c r="H51" s="123" t="n"/>
      <c r="I51" s="122" t="n"/>
      <c r="J51" s="123" t="n"/>
      <c r="K51" s="123" t="n"/>
      <c r="L51" s="123" t="n"/>
      <c r="M51" s="123" t="n"/>
      <c r="N51" s="123" t="n"/>
      <c r="O51" s="123" t="inlineStr">
        <is>
          <t>👉 [클릭] 표준서 열기 📄</t>
        </is>
      </c>
      <c r="P51" s="123" t="n"/>
      <c r="Q51" s="123" t="inlineStr">
        <is>
          <t>👉 [클릭] 수행지침 열기 📄</t>
        </is>
      </c>
      <c r="R51" s="123" t="n"/>
      <c r="S51" s="123" t="inlineStr">
        <is>
          <t>👉 [클릭] 체크리스트 열기 📄</t>
        </is>
      </c>
      <c r="T51" s="123" t="n"/>
      <c r="U51" s="123" t="n"/>
      <c r="V51" s="122" t="n"/>
      <c r="W51" s="123"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6" zoomScale="55" zoomScaleNormal="55" zoomScaleSheetLayoutView="55" workbookViewId="0">
      <selection activeCell="L13" sqref="L13"/>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47" min="16" max="16"/>
    <col width="16.5" customWidth="1" style="3" min="17" max="17"/>
    <col width="45" customWidth="1" style="147" min="18" max="18"/>
    <col width="22" customWidth="1" style="147" min="19" max="19"/>
    <col width="22" customWidth="1" style="3" min="20" max="35"/>
    <col width="8.796875" customWidth="1" style="3" min="36" max="64"/>
    <col width="8.796875" customWidth="1" style="3" min="65"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47">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26">
        <f>HYPERLINK(LEFT(CELL("filename",A1),FIND("[",CELL("filename",A1))-1)&amp;"매뉴얼BODY(집행단계-첨부폴더)v8\3.지장물이설\1_Site Survey Risk 검토\표준서\1_Site Survey Risk 검토_표준서.html", "👉 [클릭] 표준서 열기 📄")</f>
        <v/>
      </c>
      <c r="M2" s="16" t="inlineStr">
        <is>
          <t>1) 지반 조사 주상도 &amp; GPR 데이터 대조 ➔ 2) 신설 궤도 구조물 간섭 관로 추출 ➔ 3) 기관별 이설 우선순위 수립 ➔ 4) 지장물 리스크 보고서 결재</t>
        </is>
      </c>
      <c r="N2" s="126">
        <f>HYPERLINK(LEFT(CELL("filename",A1),FIND("[",CELL("filename",A1))-1)&amp;"매뉴얼BODY(집행단계-첨부폴더)v8\3.지장물이설\1_Site Survey Risk 검토\수행지침\1_Site Survey Risk 검토_수행지침.html", "👉 [클릭] 수행지침 열기 📄")</f>
        <v/>
      </c>
      <c r="O2" s="40" t="inlineStr">
        <is>
          <t>지반 시추 주상도, GPR 3D 지중 관로 탐사 데이터 대조 및 신설 궤도 구조물 간섭 관로 사전 현출 점검</t>
        </is>
      </c>
      <c r="P2" s="126">
        <f>HYPERLINK(LEFT(CELL("filename",A1),FIND("[",CELL("filename",A1))-1)&amp;"매뉴얼BODY(집행단계-첨부폴더)v8\3.지장물이설\1_Site Survey Risk 검토\체크리스트\1_Site Survey Risk 검토_체크리스트.html", "👉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47">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26">
        <f>HYPERLINK(LEFT(CELL("filename",A1),FIND("[",CELL("filename",A1))-1)&amp;"매뉴얼BODY(집행단계-첨부폴더)v8\3.지장물이설\2_발주전략 KOM (도급지분)\표준서\2_발주전략 KOM (도급지분)_표준서.html", "👉 [클릭] 표준서 열기 📄")</f>
        <v/>
      </c>
      <c r="M3" s="14" t="inlineStr">
        <is>
          <t>1) 도급분 이설 시방서 요구조건 검토 ➔ 2) 3D BIM 도면 관로 좌표 대조 ➔ 3) 공기 지연 예비비 수립 ➔ 4) 발주·감리·시공 3자 킥오프 결재</t>
        </is>
      </c>
      <c r="N3" s="126">
        <f>HYPERLINK(LEFT(CELL("filename",A1),FIND("[",CELL("filename",A1))-1)&amp;"매뉴얼BODY(집행단계-첨부폴더)v8\3.지장물이설\2_발주전략 KOM (도급지분)\수행지침\2_발주전략 KOM (도급지분)_수행지침.html", "👉 [클릭] 수행지침 열기 📄")</f>
        <v/>
      </c>
      <c r="O3" s="41" t="inlineStr">
        <is>
          <t>KCS 47 10 25 시방 요구조건, 도급분 지장물 이설 수량 및 3D BIM 도면 간섭 zero 검증</t>
        </is>
      </c>
      <c r="P3" s="126">
        <f>HYPERLINK(LEFT(CELL("filename",A1),FIND("[",CELL("filename",A1))-1)&amp;"매뉴얼BODY(집행단계-첨부폴더)v8\3.지장물이설\2_발주전략 KOM (도급지분)\체크리스트\2_발주전략 KOM (도급지분)_체크리스트.html", "👉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47">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26">
        <f>HYPERLINK(LEFT(CELL("filename",A1),FIND("[",CELL("filename",A1))-1)&amp;"매뉴얼BODY(집행단계-첨부폴더)v8\3.지장물이설\2_발주전적 KOM (도급지분)\표준서\발주전적 KOM (도급지분)_표준서.html", "👉 [클릭] 표준서 열기 📄")</f>
        <v/>
      </c>
      <c r="M4" s="14" t="inlineStr">
        <is>
          <t>1) 관할 점용기관 이설 요청 공문 작성 ➔ 2) 이설 협약서 정산 조건 수속 ➔ 3) 기관별 이설 소요 기간 협의 ➔ 4) 위수탁 이설 확약 공문 수령</t>
        </is>
      </c>
      <c r="N4" s="126">
        <f>HYPERLINK(LEFT(CELL("filename",A1),FIND("[",CELL("filename",A1))-1)&amp;"매뉴얼BODY(집행단계-첨부폴더)v8\3.지장물이설\2_발주전적 KOM (도급지분)\수행지침\발주전적 KOM (도급지분)_수행지침.html", "👉 [클릭] 수행지침 열기 📄")</f>
        <v/>
      </c>
      <c r="O4" s="41" t="inlineStr">
        <is>
          <t>위수탁 이설 요청 공문 부착, 점용기관 협약 조건 수속 및 이설 예비비 계상 서약</t>
        </is>
      </c>
      <c r="P4" s="126">
        <f>HYPERLINK(LEFT(CELL("filename",A1),FIND("[",CELL("filename",A1))-1)&amp;"매뉴얼BODY(집행단계-첨부폴더)v8\3.지장물이설\2_발주전적 KOM (도급지분)\체크리스트\발주전적 KOM (도급지분)_체크리스트.html", "👉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47">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26">
        <f>HYPERLINK(LEFT(CELL("filename",A1),FIND("[",CELL("filename",A1))-1)&amp;"매뉴얼BODY(집행단계-첨부폴더)v8\3.지장물이설\3_지장물 이설 요청 (위수탁고)\표준서\3_지장물 이설 요청 (위수탁고)_표준서.html", "👉 [클릭] 표준서 열기 📄")</f>
        <v/>
      </c>
      <c r="M5" s="14" t="inlineStr">
        <is>
          <t>1) 상하수도 전문건설업 면허 심사 ➔ 2) 하도급 적정성(≥ 82%) 평가 ➔ 3) 노무비 전용계좌 개설 ➔ 4) 하도급 계약 승인 통보서 결재</t>
        </is>
      </c>
      <c r="N5" s="126">
        <f>HYPERLINK(LEFT(CELL("filename",A1),FIND("[",CELL("filename",A1))-1)&amp;"매뉴얼BODY(집행단계-첨부폴더)v8\3.지장물이설\3_지장물 이설 요청 (위수탁고)\수행지침\3_지장물 이설 요청 (위수탁고)_수행지침.html", "👉 [클릭] 수행지침 열기 📄")</f>
        <v/>
      </c>
      <c r="O5" s="41" t="inlineStr">
        <is>
          <t>상하수도 전문건설업 면허/실적 심사, 하도급 적정성 평가(≥ 82%) 및 노무비 전용계좌 지정</t>
        </is>
      </c>
      <c r="P5" s="126">
        <f>HYPERLINK(LEFT(CELL("filename",A1),FIND("[",CELL("filename",A1))-1)&amp;"매뉴얼BODY(집행단계-첨부폴더)v8\3.지장물이설\3_지장물 이설 요청 (위수탁고)\체크리스트\3_지장물 이설 요청 (위수탁고)_체크리스트.html", "👉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47">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26">
        <f>HYPERLINK(LEFT(CELL("filename",A1),FIND("[",CELL("filename",A1))-1)&amp;"매뉴얼BODY(집행단계-첨부폴더)v8\3.지장물이설\4_도급자분 이설업체 선정(상_하수)\표준서\4_도급자분 이설업체 선정(상_하수)_표준서.html", "👉 [클릭] 표준서 열기 📄")</f>
        <v/>
      </c>
      <c r="M6" s="14" t="inlineStr">
        <is>
          <t>1) 한전/가스/수자원공사 1:1 현장 입회 ➔ 2) 관로 위치, 관경(mm), 깊이 현측 ➔ 3) 3D BIM 매설 관로 매핑 ➔ 4) 지장물 조사서 감리 서면 승인</t>
        </is>
      </c>
      <c r="N6" s="126">
        <f>HYPERLINK(LEFT(CELL("filename",A1),FIND("[",CELL("filename",A1))-1)&amp;"매뉴얼BODY(집행단계-첨부폴더)v8\3.지장물이설\4_도급자분 이설업체 선정(상_하수)\수행지침\4_도급자분 이설업체 선정(상_하수)_수행지침.html", "👉 [클릭] 수행지침 열기 📄")</f>
        <v/>
      </c>
      <c r="O6" s="41" t="inlineStr">
        <is>
          <t>한국전력, 도시가스, 수자원공사 1:1 현장 입회 및 지하 매설물 관경(mm), 심도 깊이 3D BIM 매핑</t>
        </is>
      </c>
      <c r="P6" s="126">
        <f>HYPERLINK(LEFT(CELL("filename",A1),FIND("[",CELL("filename",A1))-1)&amp;"매뉴얼BODY(집행단계-첨부폴더)v8\3.지장물이설\4_도급자분 이설업체 선정(상_하수)\체크리스트\4_도급자분 이설업체 선정(상_하수)_체크리스트.html", "👉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47">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26">
        <f>HYPERLINK(LEFT(CELL("filename",A1),FIND("[",CELL("filename",A1))-1)&amp;"매뉴얼BODY(집행단계-첨부폴더)v8\3.지장물이설\4_최고의 팀 만들기 지원\표준서\최고의 팀 만들기 지원_표준서.html", "👉 [클릭] 표준서 열기 📄")</f>
        <v/>
      </c>
      <c r="M7" s="14" t="inlineStr">
        <is>
          <t>1) 지장물 이설 공정표 수립 ➔ 2) 가설 매달기 방호 &amp; 우회 차선 설계 ➔ 3) 착공 14일 전 감리단 제출 ➔ 4) 이설 계획서 책임감리원 승인</t>
        </is>
      </c>
      <c r="N7" s="126">
        <f>HYPERLINK(LEFT(CELL("filename",A1),FIND("[",CELL("filename",A1))-1)&amp;"매뉴얼BODY(집행단계-첨부폴더)v8\3.지장물이설\4_최고의 팀 만들기 지원\수행지침\수행지침.html", "👉 [클릭] 수행지침 열기 📄")</f>
        <v/>
      </c>
      <c r="O7" s="41" t="inlineStr">
        <is>
          <t>지장물 이설 공정표 수립, 가설 매달기 방호/우회 차선 설계 및 착공 14일 전 감리 서면 승인</t>
        </is>
      </c>
      <c r="P7" s="126">
        <f>HYPERLINK(LEFT(CELL("filename",A1),FIND("[",CELL("filename",A1))-1)&amp;"매뉴얼BODY(집행단계-첨부폴더)v8\3.지장물이설\4_최고의 팀 만들기 지원\체크리스트\최고의 팀 만들기 지원_체크리스트.html", "👉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47">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26">
        <f>HYPERLINK(LEFT(CELL("filename",A1),FIND("[",CELL("filename",A1))-1)&amp;"매뉴얼BODY(집행단계-첨부폴더)v8\3.지장물이설\5_지장물 조사 (위탁기관 합동)\표준서\5_지장물 조사 (위탁기관 합동)_표준서.html", "👉 [클릭] 표준서 열기 📄")</f>
        <v/>
      </c>
      <c r="M8" s="14" t="inlineStr">
        <is>
          <t>1) 지장물 전담 기술자 1:1 배치 ➔ 2) 3자 주간 소통 회의 개최 ➔ 3) 근로자 환경 개선 &amp; TBM ➔ 4) One-Team 조직표 감리 서면 승인</t>
        </is>
      </c>
      <c r="N8" s="126">
        <f>HYPERLINK(LEFT(CELL("filename",A1),FIND("[",CELL("filename",A1))-1)&amp;"매뉴얼BODY(집행단계-첨부폴더)v8\3.지장물이설\5_지장물 조사 (위탁기관 합동)\수행지침\5_지장물 조사 (위탁기관 합동)_수행지침.html", "👉 [클릭] 수행지침 열기 📄")</f>
        <v/>
      </c>
      <c r="O8" s="41" t="inlineStr">
        <is>
          <t>지장물 전담 기술자 1:1 현장 배치, 발주·감리·시공 3자 주간 소통 회의 및 일일 TBM/음주 측정(0.00%)</t>
        </is>
      </c>
      <c r="P8" s="126">
        <f>HYPERLINK(LEFT(CELL("filename",A1),FIND("[",CELL("filename",A1))-1)&amp;"매뉴얼BODY(집행단계-첨부폴더)v8\3.지장물이설\5_지장물 조사 (위탁기관 합동)\체크리스트\5_지장물 조사 (위탁기관 합동)_체크리스트.html", "👉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47">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26">
        <f>HYPERLINK(LEFT(CELL("filename",A1),FIND("[",CELL("filename",A1))-1)&amp;"매뉴얼BODY(집행단계-첨부폴더)v8\3.지장물이설\5_착수전 Big Room 회의\표준서\착수전 Big Room 회의_표준서.html", "👉 [클릭] 표준서 열기 📄")</f>
        <v/>
      </c>
      <c r="M9" s="14" t="inlineStr">
        <is>
          <t>1) 4자(발주·감리·지자체·시공) 빅룸 결성 ➔ 2) 지장물 이설 마일스톤 연동 ➔ 3) 간섭 리스크 즉시 해소 ➔ 4) 빅룸 회의록 4자 서명 완수</t>
        </is>
      </c>
      <c r="N9" s="126">
        <f>HYPERLINK(LEFT(CELL("filename",A1),FIND("[",CELL("filename",A1))-1)&amp;"매뉴얼BODY(집행단계-첨부폴더)v8\3.지장물이설\5_착수전 Big Room 회의\수행지침\수행지침.html", "👉 [클릭] 수행지침 열기 📄")</f>
        <v/>
      </c>
      <c r="O9" s="41" t="inlineStr">
        <is>
          <t>4자(발주·감리·지자체·시공) 빅룸 회의 결성, 지장물 간섭 Zero 및 마일스톤 연동 회의록 서명</t>
        </is>
      </c>
      <c r="P9" s="126">
        <f>HYPERLINK(LEFT(CELL("filename",A1),FIND("[",CELL("filename",A1))-1)&amp;"매뉴얼BODY(집행단계-첨부폴더)v8\3.지장물이설\5_착수전 Big Room 회의\체크리스트\착수전 Big Room 회의_체크리스트.html", "👉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47">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26">
        <f>HYPERLINK(LEFT(CELL("filename",A1),FIND("[",CELL("filename",A1))-1)&amp;"매뉴얼BODY(집행단계-첨부폴더)v8\3.지장물이설\6_관리기관(맑은물사업소) 협의\표준서\관리기관(맑은물사업소) 협의_표준서.html", "👉 [클릭] 표준서 열기 📄")</f>
        <v/>
      </c>
      <c r="M10" s="14" t="inlineStr">
        <is>
          <t>1) 지자체 도로/하천점용 허가서 작성 ➔ 2) 관련 부서 서류 제출 &amp; 심의 ➔ 3) 보증보험 증권 부착 ➔ 4) 법정 인허가 필증 감리 수속</t>
        </is>
      </c>
      <c r="N10" s="126">
        <f>HYPERLINK(LEFT(CELL("filename",A1),FIND("[",CELL("filename",A1))-1)&amp;"매뉴얼BODY(집행단계-첨부폴더)v8\3.지장물이설\6_관리기관(맑은물사업소) 협의\수행지침\관리기관(맑은물사업소) 협의_수행지침.html", "👉 [클릭] 수행지침 열기 📄")</f>
        <v/>
      </c>
      <c r="O10" s="41" t="inlineStr">
        <is>
          <t>지자체 도로점용 허가 &amp; 하천점용 허가서 수속, 보증보험 증권 제출 및 법정 인허가 필증 검수</t>
        </is>
      </c>
      <c r="P10" s="126">
        <f>HYPERLINK(LEFT(CELL("filename",A1),FIND("[",CELL("filename",A1))-1)&amp;"매뉴얼BODY(집행단계-첨부폴더)v8\3.지장물이설\6_관리기관(맑은물사업소) 협의\체크리스트\관리기관(맑은물사업소) 협의_체크리스트.html", "👉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47">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26">
        <f>HYPERLINK(LEFT(CELL("filename",A1),FIND("[",CELL("filename",A1))-1)&amp;"매뉴얼BODY(집행단계-첨부폴더)v8\3.지장물이설\6_지장물 이설 계획 수립\표준서\지장물 이설 계획 수립_표준서.html", "👉 [클릭] 표준서 열기 📄")</f>
        <v/>
      </c>
      <c r="M11" s="14" t="inlineStr">
        <is>
          <t>1) 교통 우회 도면 &amp; 차선 설계 ➔ 2) 동탄경찰서 도로점용 허가 ➔ 3) 전담 신호수(2인 2조) 배치 ➔ 4) 교통소통 대책서 감리 서면 승인</t>
        </is>
      </c>
      <c r="N11" s="126">
        <f>HYPERLINK(LEFT(CELL("filename",A1),FIND("[",CELL("filename",A1))-1)&amp;"매뉴얼BODY(집행단계-첨부폴더)v8\3.지장물이설\6_지장물 이설 계획 수립\수행지침\수행지침.html", "👉 [클릭] 수행지침 열기 📄")</f>
        <v/>
      </c>
      <c r="O11" s="41" t="inlineStr">
        <is>
          <t>동탄경찰서 도로점용 허가, 우회 차선 설계 및 전담 안전 신호수(2인 2조)/LED 경광등 배치</t>
        </is>
      </c>
      <c r="P11" s="126">
        <f>HYPERLINK(LEFT(CELL("filename",A1),FIND("[",CELL("filename",A1))-1)&amp;"매뉴얼BODY(집행단계-첨부폴더)v8\3.지장물이설\6_지장물 이설 계획 수립\체크리스트\지장물 이설 계획 수립_체크리스트.html", "👉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47">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26">
        <f>HYPERLINK(LEFT(CELL("filename",A1),FIND("[",CELL("filename",A1))-1)&amp;"매뉴얼BODY(집행단계-첨부폴더)v8\3.지장물이설\7_위수탁 지장물 이설 설계\표준서\위수탁 지장물 이설 설계_표준서.html", "👉 [클릭] 표준서 열기 📄")</f>
        <v/>
      </c>
      <c r="M12" s="14" t="inlineStr">
        <is>
          <t>1) 야간 공사 소음 방음벽(H=3m) 설치 ➔ 2) 세륜기 가동 &amp; 분무 살수 ➔ 3) 단수/단전 사전 주민 공지 ➔ 4) 민원 대응반 서면 승인</t>
        </is>
      </c>
      <c r="N12" s="126">
        <f>HYPERLINK(LEFT(CELL("filename",A1),FIND("[",CELL("filename",A1))-1)&amp;"매뉴얼BODY(집행단계-첨부폴더)v8\3.지장물이설\7_위수탁 지장물 이설 설계\수행지침\수행지침.html", "👉 [클릭] 수행지침 열기 📄")</f>
        <v/>
      </c>
      <c r="O12" s="41" t="inlineStr">
        <is>
          <t>야간 공사 소음 방음벽(H=3m) 가동, 이동식 세륜기(깊이 1.2m) 가동 및 단수 사전 주민 알림</t>
        </is>
      </c>
      <c r="P12" s="126">
        <f>HYPERLINK(LEFT(CELL("filename",A1),FIND("[",CELL("filename",A1))-1)&amp;"매뉴얼BODY(집행단계-첨부폴더)v8\3.지장물이설\7_위수탁 지장물 이설 설계\체크리스트\위수탁 지장물 이설 설계_체크리스트.html", "👉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47">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26">
        <f>HYPERLINK(LEFT(CELL("filename",A1),FIND("[",CELL("filename",A1))-1)&amp;"매뉴얼BODY(집행단계-첨부폴더)v8\3.지장물이설\7_최고의 팀 만들기 지원\표준서\7_최고의 팀 만들기 지원_표준서.html", "👉 [클릭] 표준서 열기 📄")</f>
        <v/>
      </c>
      <c r="M13" s="14" t="inlineStr">
        <is>
          <t>1) 미보상 사유지 경계 현출 ➔ 2) 가설 펜스(H=1.8m) 차단 ➔ 3) 3D 우회 토공 동선 수립 ➔ 4) 용지 보상 리스크 대책 승인</t>
        </is>
      </c>
      <c r="N13" s="126">
        <f>HYPERLINK(LEFT(CELL("filename",A1),FIND("[",CELL("filename",A1))-1)&amp;"매뉴얼BODY(집행단계-첨부폴더)v8\3.지장물이설\7_최고의 팀 만들기 지원\수행지침\7_최고의 팀 만들기 지원_수행지침.html", "👉 [클릭] 수행지침 열기 📄")</f>
        <v/>
      </c>
      <c r="O13" s="41" t="inlineStr">
        <is>
          <t>미보상 사유지 경계 현출, 가설 펜스(H=1.8m) 차단 및 3D 우회 토공 동선 마일스톤 연동</t>
        </is>
      </c>
      <c r="P13" s="126">
        <f>HYPERLINK(LEFT(CELL("filename",A1),FIND("[",CELL("filename",A1))-1)&amp;"매뉴얼BODY(집행단계-첨부폴더)v8\3.지장물이설\7_최고의 팀 만들기 지원\체크리스트\7_최고의 팀 만들기 지원_체크리스트.html", "👉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47">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26">
        <f>HYPERLINK(LEFT(CELL("filename",A1),FIND("[",CELL("filename",A1))-1)&amp;"매뉴얼BODY(집행단계-첨부폴더)v8\3.지장물이설\8_상하수도 이설계획 실정보고\표준서\상하수도 이설계획 실정보고_표준서.html", "👉 [클릭] 표준서 열기 📄")</f>
        <v/>
      </c>
      <c r="M14" s="14" t="inlineStr">
        <is>
          <t>1) 맑은물사업소 이설 위치 현측 ➔ 2) 단수 일정(최대 6시간) 협의 ➔ 3) 신구관 접속 도면 검토 ➔ 4) 이설 승인 공문 수령</t>
        </is>
      </c>
      <c r="N14" s="126">
        <f>HYPERLINK(LEFT(CELL("filename",A1),FIND("[",CELL("filename",A1))-1)&amp;"매뉴얼BODY(집행단계-첨부폴더)v8\3.지장물이설\8_상하수도 이설계획 실정보고\수행지침\상하수도 이설계획 실정보고_수행지침.html", "👉 [클릭] 수행지침 열기 📄")</f>
        <v/>
      </c>
      <c r="O14" s="41" t="inlineStr">
        <is>
          <t>맑은물사업소 합동 이설 위치 검토, 수돗물 단수 일정(최대 6h) 수협 및 신구관 접속 도면 결재</t>
        </is>
      </c>
      <c r="P14" s="126">
        <f>HYPERLINK(LEFT(CELL("filename",A1),FIND("[",CELL("filename",A1))-1)&amp;"매뉴얼BODY(집행단계-첨부폴더)v8\3.지장물이설\8_상하수도 이설계획 실정보고\체크리스트\상하수도 이설계획 실정보고_체크리스트.html", "👉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47">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26">
        <f>HYPERLINK(LEFT(CELL("filename",A1),FIND("[",CELL("filename",A1))-1)&amp;"매뉴얼BODY(집행단계-첨부폴더)v8\3.지장물이설\8_착수전 Big Room 회의\표준서\8_착수전 Big Room 회의_표준서.html", "👉 [클릭] 표준서 열기 📄")</f>
        <v/>
      </c>
      <c r="M15" s="14" t="inlineStr">
        <is>
          <t>1) 위수탁 기관 설계도서 수속 ➔ 2) 3D BIM 간섭 리스크 점검 ➔ 3) 총사업비 변경 수량 검증 ➔ 4) 위수탁 설계도서 감리 승인</t>
        </is>
      </c>
      <c r="N15" s="126">
        <f>HYPERLINK(LEFT(CELL("filename",A1),FIND("[",CELL("filename",A1))-1)&amp;"매뉴얼BODY(집행단계-첨부폴더)v8\3.지장물이설\8_착수전 Big Room 회의\수행지침\8_착수전 Big Room 회의_수행지침.html", "👉 [클릭] 수행지침 열기 📄")</f>
        <v/>
      </c>
      <c r="O15" s="41" t="inlineStr">
        <is>
          <t>위수탁 기관 설계도서 기술 검토, 3D BIM 간섭 리스크 점검 및 총사업비 변경 수량 승인</t>
        </is>
      </c>
      <c r="P15" s="126">
        <f>HYPERLINK(LEFT(CELL("filename",A1),FIND("[",CELL("filename",A1))-1)&amp;"매뉴얼BODY(집행단계-첨부폴더)v8\3.지장물이설\8_착수전 Big Room 회의\체크리스트\8_착수전 Big Room 회의_체크리스트.html", "👉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47">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26">
        <f>HYPERLINK(LEFT(CELL("filename",A1),FIND("[",CELL("filename",A1))-1)&amp;"매뉴얼BODY(집행단계-첨부폴더)v8\3.지장물이설\9_위수탁 계약 체결\표준서\위수탁 계약 체결_표준서.html", "👉 [클릭] 표준서 열기 📄")</f>
        <v/>
      </c>
      <c r="M16" s="14" t="inlineStr">
        <is>
          <t>1) 현장 지장물 현출 실정보고 작성 ➔ 2) 공법 변경 &amp; 수량 증감 산출 ➔ 3) 기술 검토 의견서 첨부 ➔ 4) 실정보고서 감리 서면 승인</t>
        </is>
      </c>
      <c r="N16" s="126">
        <f>HYPERLINK(LEFT(CELL("filename",A1),FIND("[",CELL("filename",A1))-1)&amp;"매뉴얼BODY(집행단계-첨부폴더)v8\3.지장물이설\9_위수탁 계약 체결\수행지침\수행지침.html", "👉 [클릭] 수행지침 열기 📄")</f>
        <v/>
      </c>
      <c r="O16" s="41" t="inlineStr">
        <is>
          <t>현장 지장물 현출 실정보고서 작성, 공법 변경 및 수량 증감 산출 책임감리원 승인</t>
        </is>
      </c>
      <c r="P16" s="126">
        <f>HYPERLINK(LEFT(CELL("filename",A1),FIND("[",CELL("filename",A1))-1)&amp;"매뉴얼BODY(집행단계-첨부폴더)v8\3.지장물이설\9_위수탁 계약 체결\체크리스트\위수탁 계약 체결_체크리스트.html", "👉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47">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26">
        <f>HYPERLINK(LEFT(CELL("filename",A1),FIND("[",CELL("filename",A1))-1)&amp;"매뉴얼BODY(집행단계-첨부폴더)v8\3.지장물이설\9_인허가 절차 진행\표준서\9_인허가 절차 진행_표준서.html", "👉 [클릭] 표준서 열기 📄")</f>
        <v/>
      </c>
      <c r="M17" s="14" t="inlineStr">
        <is>
          <t>1) 관할 점용기관 협약 조건 수속 ➔ 2) 정산 분담금 &amp; 예비비 협의 ➔ 3) 위수탁 계약서 작성 ➔ 4) 위수탁 이설 계약 체결 승인</t>
        </is>
      </c>
      <c r="N17" s="126">
        <f>HYPERLINK(LEFT(CELL("filename",A1),FIND("[",CELL("filename",A1))-1)&amp;"매뉴얼BODY(집행단계-첨부폴더)v8\3.지장물이설\9_인허가 절차 진행\수행지침\9_인허가 절차 진행_수행지침.html", "👉 [클릭] 수행지침 열기 📄")</f>
        <v/>
      </c>
      <c r="O17" s="41" t="inlineStr">
        <is>
          <t>관할 점용기관 위수탁 이설 협약서 체결, 공사비 분담금 및 예비비 계상 합의 서약</t>
        </is>
      </c>
      <c r="P17" s="126">
        <f>HYPERLINK(LEFT(CELL("filename",A1),FIND("[",CELL("filename",A1))-1)&amp;"매뉴얼BODY(집행단계-첨부폴더)v8\3.지장물이설\9_인허가 절차 진행\체크리스트\9_인허가 절차 진행_체크리스트.html", "👉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47">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26">
        <f>HYPERLINK(LEFT(CELL("filename",A1),FIND("[",CELL("filename",A1))-1)&amp;"매뉴얼BODY(집행단계-첨부폴더)v8\3.지장물이설\10_교통처리대책 협의 및 승인\표준서\10_교통처리대책 협의 및 승인_표준서.html", "👉 [클릭] 표준서 열기 📄")</f>
        <v/>
      </c>
      <c r="M18" s="14" t="inlineStr">
        <is>
          <t>1) 도로 굴착 허가 신청서 작성 ➔ 2) 지자체 도로굴착 심의 필 ➔ 3) 복구 보증보험 증권 제출 ➔ 4) 도로 굴착 허가증 감리 결재</t>
        </is>
      </c>
      <c r="N18" s="126">
        <f>HYPERLINK(LEFT(CELL("filename",A1),FIND("[",CELL("filename",A1))-1)&amp;"매뉴얼BODY(집행단계-첨부폴더)v8\3.지장물이설\10_교통처리대책 협의 및 승인\수행지침\10_교통처리대책 협의 및 승인_수행지침.html", "👉 [클릭] 수행지침 열기 📄")</f>
        <v/>
      </c>
      <c r="O18" s="41" t="inlineStr">
        <is>
          <t>지자체 도로 굴착 허가 신청서 접수, 심의 필증 수령 및 도로 복구 보증보험 증권 제출</t>
        </is>
      </c>
      <c r="P18" s="126">
        <f>HYPERLINK(LEFT(CELL("filename",A1),FIND("[",CELL("filename",A1))-1)&amp;"매뉴얼BODY(집행단계-첨부폴더)v8\3.지장물이설\10_교통처리대책 협의 및 승인\체크리스트\10_교통처리대책 협의 및 승인_체크리스트.html", "👉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47">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26">
        <f>HYPERLINK(LEFT(CELL("filename",A1),FIND("[",CELL("filename",A1))-1)&amp;"매뉴얼BODY(집행단계-첨부폴더)v8\3.지장물이설\10_도로점용_굴착행위 인허가\표준서\도로점용_굴착행위 인허가_표준서.html", "👉 [클릭] 표준서 열기 📄")</f>
        <v/>
      </c>
      <c r="M19" s="14" t="inlineStr">
        <is>
          <t>1) 굴착 구간 안전 바리케이트 부설 ➔ 2) 야간 LED 경광등 &amp; 표지판 설치 ➔ 3) 전담 신호수(2인 2조) 배치 ➔ 4) 교통 안전 점검 대장 결재</t>
        </is>
      </c>
      <c r="N19" s="126">
        <f>HYPERLINK(LEFT(CELL("filename",A1),FIND("[",CELL("filename",A1))-1)&amp;"매뉴얼BODY(집행단계-첨부폴더)v8\3.지장물이설\10_도로점용_굴착행위 인허가\수행지침\도로점용_굴착행위 인허가_수행지침.html", "👉 [클릭] 수행지침 열기 📄")</f>
        <v/>
      </c>
      <c r="O19" s="41" t="inlineStr">
        <is>
          <t>굴착 구간 안전 바리케이트 부설, 야간 LED 경광등 설치 및 전담 신호수(2인 2조) 배치</t>
        </is>
      </c>
      <c r="P19" s="126">
        <f>HYPERLINK(LEFT(CELL("filename",A1),FIND("[",CELL("filename",A1))-1)&amp;"매뉴얼BODY(집행단계-첨부폴더)v8\3.지장물이설\10_도로점용_굴착행위 인허가\체크리스트\도로점용_굴착행위 인허가_체크리스트.html", "👉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47">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26">
        <f>HYPERLINK(LEFT(CELL("filename",A1),FIND("[",CELL("filename",A1))-1)&amp;"매뉴얼BODY(집행단계-첨부폴더)v8\3.지장물이설\11_교통통제 및 교통안전시설 설치\표준서\교통통제 및 교통안전시설 설치_표준서.html", "👉 [클릭] 표준서 열기 📄")</f>
        <v/>
      </c>
      <c r="M20" s="14" t="inlineStr">
        <is>
          <t>1) GPR 3D 지중 관로 탐사 ➔ 2) 인력 시탐 줄파기(깊이 1.5m) ➔ 3) 실체 관로 노출 &amp; 위치 매핑 ➔ 4) 지장물 현측표 감리 서면 승인</t>
        </is>
      </c>
      <c r="N20" s="126">
        <f>HYPERLINK(LEFT(CELL("filename",A1),FIND("[",CELL("filename",A1))-1)&amp;"매뉴얼BODY(집행단계-첨부폴더)v8\3.지장물이설\11_교통통제 및 교통안전시설 설치\수행지침\교통통제 및 교통안전시설 설치_수행지침.html", "👉 [클릭] 수행지침 열기 📄")</f>
        <v/>
      </c>
      <c r="O20" s="41" t="inlineStr">
        <is>
          <t>GPR 3D 지중 관로 탐사, 인력 시탐 줄파기(폭 0.5m, 깊이 1.5m) 및 실체 관로 노출 매핑</t>
        </is>
      </c>
      <c r="P20" s="126">
        <f>HYPERLINK(LEFT(CELL("filename",A1),FIND("[",CELL("filename",A1))-1)&amp;"매뉴얼BODY(집행단계-첨부폴더)v8\3.지장물이설\11_교통통제 및 교통안전시설 설치\체크리스트\교통통제 및 교통안전시설 설치_체크리스트.html", "👉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47">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26">
        <f>HYPERLINK(LEFT(CELL("filename",A1),FIND("[",CELL("filename",A1))-1)&amp;"매뉴얼BODY(집행단계-첨부폴더)v8\3.지장물이설\11_민원 저감 대책 수립\표준서\11_민원 저감 대책 수립_표준서.html", "👉 [클릭] 표준서 열기 📄")</f>
        <v/>
      </c>
      <c r="M21" s="14" t="inlineStr">
        <is>
          <t>1) 굴착 비탈면 경사(1:1.5) 측량 ➔ 2) 굴착 &amp; 흙막이 가설재 부설 ➔ 3) 바닥 원지반 K30(≥70) 검측 ➔ 4) 굴착 완료 성과표 감리 승인</t>
        </is>
      </c>
      <c r="N21" s="126">
        <f>HYPERLINK(LEFT(CELL("filename",A1),FIND("[",CELL("filename",A1))-1)&amp;"매뉴얼BODY(집행단계-첨부폴더)v8\3.지장물이설\11_민원 저감 대책 수립\수행지침\11_민원 저감 대책 수립_수행지침.html", "👉 [클릭] 수행지침 열기 📄")</f>
        <v/>
      </c>
      <c r="O21" s="41" t="inlineStr">
        <is>
          <t>굴착 비탈면 경사(1:1.5 이하) 측량, 흙막이 가설재 부설 및 바닥 원지반 K30 ≥ 70 지비력 검측</t>
        </is>
      </c>
      <c r="P21" s="126">
        <f>HYPERLINK(LEFT(CELL("filename",A1),FIND("[",CELL("filename",A1))-1)&amp;"매뉴얼BODY(집행단계-첨부폴더)v8\3.지장물이설\11_민원 저감 대책 수립\체크리스트\11_민원 저감 대책 수립_체크리스트.html", "👉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47">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26">
        <f>HYPERLINK(LEFT(CELL("filename",A1),FIND("[",CELL("filename",A1))-1)&amp;"매뉴얼BODY(집행단계-첨부폴더)v8\3.지장물이설\12_용지보상 Risk 파악\표준서\12_용지보상 Risk 파악_표준서.html", "👉 [클릭] 표준서 열기 📄")</f>
        <v/>
      </c>
      <c r="M22" s="14" t="inlineStr">
        <is>
          <t>1) 관로 모래 기초(10cm) 부설 ➔ 2) 신규 상하수도관/가스관 부설 ➔ 3) 관로 종단 구배(≥0.5%) 검측 ➔ 4) 신규 관로 부설 감리 서면 승인</t>
        </is>
      </c>
      <c r="N22" s="126">
        <f>HYPERLINK(LEFT(CELL("filename",A1),FIND("[",CELL("filename",A1))-1)&amp;"매뉴얼BODY(집행단계-첨부폴더)v8\3.지장물이설\12_용지보상 Risk 파악\수행지침\12_용지보상 Risk 파악_수행지침.html", "👉 [클릭] 수행지침 열기 📄")</f>
        <v/>
      </c>
      <c r="O22" s="41" t="inlineStr">
        <is>
          <t>관로 모래 기초(두께 10cm) 부설, 신규 상하수도관/가스관 부설 및 종단 구배(≥ 0.5%) 검측</t>
        </is>
      </c>
      <c r="P22" s="126">
        <f>HYPERLINK(LEFT(CELL("filename",A1),FIND("[",CELL("filename",A1))-1)&amp;"매뉴얼BODY(집행단계-첨부폴더)v8\3.지장물이설\12_용지보상 Risk 파악\체크리스트\12_용지보상 Risk 파악_체크리스트.html", "👉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47">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26">
        <f>HYPERLINK(LEFT(CELL("filename",A1),FIND("[",CELL("filename",A1))-1)&amp;"매뉴얼BODY(집행단계-첨부폴더)v8\3.지장물이설\12_줄따기(GPR)를 통한 기존 지장물 매설 확인\표준서\줄따기(GPR)를 통한 기존 지장물 매설 확인_표준서.html", "👉 [클릭] 표준서 열기 📄")</f>
        <v/>
      </c>
      <c r="M23" s="14" t="inlineStr">
        <is>
          <t>1) 무단수 천공기 정밀 세팅 ➔ 2) 차단 밸브 &amp; 챔버 설치 ➔ 3) 수압 시험 및 가동 시운전 ➔ 4) 무단수 시설 검측 감리 승인</t>
        </is>
      </c>
      <c r="N23" s="126">
        <f>HYPERLINK(LEFT(CELL("filename",A1),FIND("[",CELL("filename",A1))-1)&amp;"매뉴얼BODY(집행단계-첨부폴더)v8\3.지장물이설\12_줄따기(GPR)를 통한 기존 지장물 매설 확인\수행지침\수행지침.html", "👉 [클릭] 수행지침 열기 📄")</f>
        <v/>
      </c>
      <c r="O23" s="41" t="inlineStr">
        <is>
          <t>무단수 천공기 정밀 세팅, 차단 밸브 &amp; 챔버 설치 및 수압 시험/가동 시운전 검측</t>
        </is>
      </c>
      <c r="P23" s="126">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47">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26">
        <f>HYPERLINK(LEFT(CELL("filename",A1),FIND("[",CELL("filename",A1))-1)&amp;"매뉴얼BODY(집행단계-첨부폴더)v8\3.지장물이설\13_관리기관(맑은물사업소) 협의\표준서\13_관리기관(맑은물사업소) 협의_표준서.html", "👉 [클릭] 표준서 열기 📄")</f>
        <v/>
      </c>
      <c r="M24" s="14" t="inlineStr">
        <is>
          <t>1) 신구 관로 접속 부위 부설 ➔ 2) 수압 시험(10kgf/cm², 1h 유지) ➔ 3) 부식 방지 피복 랩핑 시행 ➔ 4) 관로 접속 검측 성과표 승인</t>
        </is>
      </c>
      <c r="N24" s="126">
        <f>HYPERLINK(LEFT(CELL("filename",A1),FIND("[",CELL("filename",A1))-1)&amp;"매뉴얼BODY(집행단계-첨부폴더)v8\3.지장물이설\13_관리기관(맑은물사업소) 협의\수행지침\관리기관(맑은물사업소) 협의_수행지침.html", "👉 [클릭] 수행지침 열기 📄")</f>
        <v/>
      </c>
      <c r="O24" s="41" t="inlineStr">
        <is>
          <t>신구 관로 접속 부위 부설, 수압 시험(10kgf/cm², 1h 유지) 및 부식 방지 피복 랩핑 검측</t>
        </is>
      </c>
      <c r="P24" s="126">
        <f>HYPERLINK(LEFT(CELL("filename",A1),FIND("[",CELL("filename",A1))-1)&amp;"매뉴얼BODY(집행단계-첨부폴더)v8\3.지장물이설\13_관리기관(맑은물사업소) 협의\체크리스트\관리기관(맑은물사업소) 협의_체크리스트.html", "👉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47">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26">
        <f>HYPERLINK(LEFT(CELL("filename",A1),FIND("[",CELL("filename",A1))-1)&amp;"매뉴얼BODY(집행단계-첨부폴더)v8\3.지장물이설\13_이설 위치 토공 굴착\표준서\이설 위치 토공 굴착_표준서.html", "👉 [클릭] 표준서 열기 📄")</f>
        <v/>
      </c>
      <c r="M25" s="14" t="inlineStr">
        <is>
          <t>1) 기존 폐관로 안전 철거/수거 ➔ 2) 토사 30cm 층다짐(다짐도≥95%) ➔ 3) 아스콘 가포설 &amp; 평탄성 검측 ➔ 4) 원상복구 성과표 감리 승인</t>
        </is>
      </c>
      <c r="N25" s="126">
        <f>HYPERLINK(LEFT(CELL("filename",A1),FIND("[",CELL("filename",A1))-1)&amp;"매뉴얼BODY(집행단계-첨부폴더)v8\3.지장물이설\13_이설 위치 토공 굴착\수행지침\수행지침.html", "👉 [클릭] 수행지침 열기 📄")</f>
        <v/>
      </c>
      <c r="O25" s="41" t="inlineStr">
        <is>
          <t>기존 폐관로 안전 철거/수거, 토사 30cm 층다짐(다짐도 ≥ 95%) 원상복구 및 아스콘 가포설</t>
        </is>
      </c>
      <c r="P25" s="126">
        <f>HYPERLINK(LEFT(CELL("filename",A1),FIND("[",CELL("filename",A1))-1)&amp;"매뉴얼BODY(집행단계-첨부폴더)v8\3.지장물이설\13_이설 위치 토공 굴착\체크리스트\이설 위치 토공 굴착_체크리스트.html", "👉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47">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26">
        <f>HYPERLINK(LEFT(CELL("filename",A1),FIND("[",CELL("filename",A1))-1)&amp;"매뉴얼BODY(집행단계-첨부폴더)v8\3.지장물이설\14_신규관로 매설 및 설치\표준서\신규관로 매설 및 설치_표준서.html", "👉 [클릭] 표준서 열기 📄")</f>
        <v/>
      </c>
      <c r="M26" s="14" t="inlineStr">
        <is>
          <t>1) 광역상수관(Ø500mm+) 부설 ➔ 2) 수압 시험 &amp; 수질 검사 시행 ➔ 3) 한국수자원공사 현장 입회 ➔ 4) 광역상수관 이설 완료 승인</t>
        </is>
      </c>
      <c r="N26" s="126">
        <f>HYPERLINK(LEFT(CELL("filename",A1),FIND("[",CELL("filename",A1))-1)&amp;"매뉴얼BODY(집행단계-첨부폴더)v8\3.지장물이설\14_신규관로 매설 및 설치\수행지침\수행지침.html", "👉 [클릭] 수행지침 열기 📄")</f>
        <v/>
      </c>
      <c r="O26" s="41" t="inlineStr">
        <is>
          <t>광역상수관(Ø500mm+) 부설, 수압 시험 및 수질 검사 합격 (한국수자원공사 1:1 입회 검측)</t>
        </is>
      </c>
      <c r="P26" s="126">
        <f>HYPERLINK(LEFT(CELL("filename",A1),FIND("[",CELL("filename",A1))-1)&amp;"매뉴얼BODY(집행단계-첨부폴더)v8\3.지장물이설\14_신규관로 매설 및 설치\체크리스트\신규관로 매설 및 설치_체크리스트.html", "👉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47">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26">
        <f>HYPERLINK(LEFT(CELL("filename",A1),FIND("[",CELL("filename",A1))-1)&amp;"매뉴얼BODY(집행단계-첨부폴더)v8\3.지장물이설\14_위수탁 지장물 이설 설계\표준서\14_위수탁 지장물 이설 설계_표준서.html", "👉 [클릭] 표준서 열기 📄")</f>
        <v/>
      </c>
      <c r="M27" s="14" t="inlineStr">
        <is>
          <t>1) 배수관(Ø200~300mm) 이설 부설 ➔ 2) 탁수 퇴수 &amp; 잔류염소 시험 ➔ 3) 맑은물사업소 합동 현측 ➔ 4) 상수도 관로 이설 감리 승인</t>
        </is>
      </c>
      <c r="N27" s="126">
        <f>HYPERLINK(LEFT(CELL("filename",A1),FIND("[",CELL("filename",A1))-1)&amp;"매뉴얼BODY(집행단계-첨부폴더)v8\3.지장물이설\14_위수탁 지장물 이설 설계\수행지침\수행지침.html", "👉 [클릭] 수행지침 열기 📄")</f>
        <v/>
      </c>
      <c r="O27" s="41" t="inlineStr">
        <is>
          <t>배수관(Ø200~300mm) 이설, 탁수 퇴수 작업 및 잔류염소 시험 합격 (맑은물사업소 현측)</t>
        </is>
      </c>
      <c r="P27" s="126">
        <f>HYPERLINK(LEFT(CELL("filename",A1),FIND("[",CELL("filename",A1))-1)&amp;"매뉴얼BODY(집행단계-첨부폴더)v8\3.지장물이설\14_위수탁 지장물 이설 설계\체크리스트\위수탁 지장물 이설 설계_체크리스트.html", "👉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47">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26">
        <f>HYPERLINK(LEFT(CELL("filename",A1),FIND("[",CELL("filename",A1))-1)&amp;"매뉴얼BODY(집행단계-첨부폴더)v8\3.지장물이설\15_무단수 연결을 위한 시설 설치\표준서\무단수 연결을 위한 시설 설치_표준서.html", "👉 [클릭] 표준서 열기 📄")</f>
        <v/>
      </c>
      <c r="M28" s="14" t="inlineStr">
        <is>
          <t>1) 하수관(Ø400mm+) 연결 부설 ➔ 2) CCTV 관로 내부 검사 시행 ➔ 3) 통수 담수 시험 완료 ➔ 4) 하수도 관로 이설 감리 승인</t>
        </is>
      </c>
      <c r="N28" s="126">
        <f>HYPERLINK(LEFT(CELL("filename",A1),FIND("[",CELL("filename",A1))-1)&amp;"매뉴얼BODY(집행단계-첨부폴더)v8\3.지장물이설\15_무단수 연결을 위한 시설 설치\수행지침\무단수 연결을 위한 시설 설치_수행지침.html", "👉 [클릭] 수행지침 열기 📄")</f>
        <v/>
      </c>
      <c r="O28" s="41" t="inlineStr">
        <is>
          <t>하수관(Ø400mm+) 연결 부설, CCTV 관로 내부 검사 &amp; 통수 담수 시험 합격 (하수도사업소 인수)</t>
        </is>
      </c>
      <c r="P28" s="126">
        <f>HYPERLINK(LEFT(CELL("filename",A1),FIND("[",CELL("filename",A1))-1)&amp;"매뉴얼BODY(집행단계-첨부폴더)v8\3.지장물이설\15_무단수 연결을 위한 시설 설치\체크리스트\무단수 연결을 위한 시설 설치_체크리스트.html", "👉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47">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26">
        <f>HYPERLINK(LEFT(CELL("filename",A1),FIND("[",CELL("filename",A1))-1)&amp;"매뉴얼BODY(집행단계-첨부폴더)v8\3.지장물이설\15_상하수도 이설계획 실정보고\표준서\15_상하수도 이설계획 실정보고_표준서.html", "👉 [클릭] 표준서 열기 📄")</f>
        <v/>
      </c>
      <c r="M29" s="14" t="inlineStr">
        <is>
          <t>1) 도시가스관 매설 &amp; 용접 ➔ 2) 비파괴검사(RT 100%) &amp; 기밀 시험 ➔ 3) 도시가스사 1:1 입회 검측 ➔ 4) 가스관 이설 완료 승인</t>
        </is>
      </c>
      <c r="N29" s="126">
        <f>HYPERLINK(LEFT(CELL("filename",A1),FIND("[",CELL("filename",A1))-1)&amp;"매뉴얼BODY(집행단계-첨부폴더)v8\3.지장물이설\15_상하수도 이설계획 실정보고\수행지침\상하수도 이설계획 실정보고_수행지침.html", "👉 [클릭] 수행지침 열기 📄")</f>
        <v/>
      </c>
      <c r="O29" s="41" t="inlineStr">
        <is>
          <t>도시가스관 매설 &amp; 용접, 비파괴검사(RT 100%) 및 기밀 시험 합격 (도시가스사 1:1 입회)</t>
        </is>
      </c>
      <c r="P29" s="126">
        <f>HYPERLINK(LEFT(CELL("filename",A1),FIND("[",CELL("filename",A1))-1)&amp;"매뉴얼BODY(집행단계-첨부폴더)v8\3.지장물이설\15_상하수도 이설계획 실정보고\체크리스트\상하수도 이설계획 실정보고_체크리스트.html", "👉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47">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26">
        <f>HYPERLINK(LEFT(CELL("filename",A1),FIND("[",CELL("filename",A1))-1)&amp;"매뉴얼BODY(집행단계-첨부폴더)v8\3.지장물이설\16_신규관로 및 연결관로 접속\표준서\신규관로 및 연결관로 접속_표준서.html", "👉 [클릭] 표준서 열기 📄")</f>
        <v/>
      </c>
      <c r="M30" s="14" t="inlineStr">
        <is>
          <t>1) 난방 수송관 매설 &amp; 용접 ➔ 2) 100% 비파괴검사 &amp; 피복 랩핑 ➔ 3) 지역난방공사 시운전 인수 ➔ 4) 지역난방관 이설 감리 승인</t>
        </is>
      </c>
      <c r="N30" s="126">
        <f>HYPERLINK(LEFT(CELL("filename",A1),FIND("[",CELL("filename",A1))-1)&amp;"매뉴얼BODY(집행단계-첨부폴더)v8\3.지장물이설\16_신규관로 및 연결관로 접속\수행지침\수행지침.html", "👉 [클릭] 수행지침 열기 📄")</f>
        <v/>
      </c>
      <c r="O30" s="41" t="inlineStr">
        <is>
          <t>난방 수송관 매설 &amp; 용접, 100% 비파괴검사 및 피복 랩핑 검수 (지역난방공사 인수)</t>
        </is>
      </c>
      <c r="P30" s="126">
        <f>HYPERLINK(LEFT(CELL("filename",A1),FIND("[",CELL("filename",A1))-1)&amp;"매뉴얼BODY(집행단계-첨부폴더)v8\3.지장물이설\16_신규관로 및 연결관로 접속\체크리스트\신규관로 및 연결관로 접속_체크리스트.html", "👉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47">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26">
        <f>HYPERLINK(LEFT(CELL("filename",A1),FIND("[",CELL("filename",A1))-1)&amp;"매뉴얼BODY(집행단계-첨부폴더)v8\3.지장물이설\16_위수탁 계약 체결\표준서\16_위수탁 계약 체결_표준서.html", "👉 [클릭] 표준서 열기 📄")</f>
        <v/>
      </c>
      <c r="M31" s="14" t="inlineStr">
        <is>
          <t>1) 통신 광케이블 관로 부설 ➔ 2) 광케이블 포설 &amp; 접속 ➔ 3) 절연저항 &amp; 광손실 시험 ➔ 4) KT/SKT 통신사 광신호 승인</t>
        </is>
      </c>
      <c r="N31" s="126">
        <f>HYPERLINK(LEFT(CELL("filename",A1),FIND("[",CELL("filename",A1))-1)&amp;"매뉴얼BODY(집행단계-첨부폴더)v8\3.지장물이설\16_위수탁 계약 체결\수행지침\수행지침.html", "👉 [클릭] 수행지침 열기 📄")</f>
        <v/>
      </c>
      <c r="O31" s="41" t="inlineStr">
        <is>
          <t>통신 광케이블 관로 부설, 절연 저항 &amp; 광손실 실측 합격 (KT/SKT 광신호 승인)</t>
        </is>
      </c>
      <c r="P31" s="126">
        <f>HYPERLINK(LEFT(CELL("filename",A1),FIND("[",CELL("filename",A1))-1)&amp;"매뉴얼BODY(집행단계-첨부폴더)v8\3.지장물이설\16_위수탁 계약 체결\체크리스트\위수탁 계약 체결_체크리스트.html", "👉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47">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26">
        <f>HYPERLINK(LEFT(CELL("filename",A1),FIND("[",CELL("filename",A1))-1)&amp;"매뉴얼BODY(집행단계-첨부폴더)v8\3.지장물이설\17_기존관로 철거 및 원상복구\표준서\기존관로 철거 및 원상복구_표준서.html", "👉 [클릭] 표준서 열기 📄")</f>
        <v/>
      </c>
      <c r="M32" s="47" t="inlineStr">
        <is>
          <t>1) 22.9kV 특고압 관로/맨홀 부설 ➔ 2) 전력 케이블 인입 &amp; 내력 시험 ➔ 3) 한전 입회 휴전 Cut-over ➔ 4) 전력관로 이설 완료 승인</t>
        </is>
      </c>
      <c r="N32" s="126">
        <f>HYPERLINK(LEFT(CELL("filename",A1),FIND("[",CELL("filename",A1))-1)&amp;"매뉴얼BODY(집행단계-첨부폴더)v8\3.지장물이설\17_기존관로 철거 및 원상복구\수행지침\기존관로 철거 및 원상복구_수행지침.html", "👉 [클릭] 수행지침 열기 📄")</f>
        <v/>
      </c>
      <c r="O32" s="48" t="inlineStr">
        <is>
          <t>22.9kV 특고압 관로/맨홀 부설, 절연내력 시험 합격 (한전 KEPCO 입회 휴전 Cut-over)</t>
        </is>
      </c>
      <c r="P32" s="126">
        <f>HYPERLINK(LEFT(CELL("filename",A1),FIND("[",CELL("filename",A1))-1)&amp;"매뉴얼BODY(집행단계-첨부폴더)v8\3.지장물이설\17_기존관로 철거 및 원상복구\체크리스트\기존관로 철거 및 원상복구_체크리스트.html", "👉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47">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26">
        <f>HYPERLINK(LEFT(CELL("filename",A1),FIND("[",CELL("filename",A1))-1)&amp;"매뉴얼BODY(집행단계-첨부폴더)v8\3.지장물이설\17_도로점용_굴착행위 인허가\표준서\17_도로점용_굴착행위 인허가_표준서.html", "👉 [클릭] 표준서 열기 📄")</f>
        <v/>
      </c>
      <c r="M33" s="47" t="inlineStr">
        <is>
          <t>1) 송유관 용접 부설 ➔ 2) NDT 비파괴검사 &amp; 초음파 탐상 ➔ 3) 송유관공사 안전 점검 ➔ 4) 송유관 이설 완료 서면 승인</t>
        </is>
      </c>
      <c r="N33" s="126">
        <f>HYPERLINK(LEFT(CELL("filename",A1),FIND("[",CELL("filename",A1))-1)&amp;"매뉴얼BODY(집행단계-첨부폴더)v8\3.지장물이설\17_도로점용_굴착행위 인허가\수행지침\도로점용_굴착행위 인허가_수행지침.html", "👉 [클릭] 수행지침 열기 📄")</f>
        <v/>
      </c>
      <c r="O33" s="48" t="inlineStr">
        <is>
          <t>송유관 용접 부설, NDT 비파괴검사 및 초음파 탐상 시험 100% 합격 (대한송유관공사 인수)</t>
        </is>
      </c>
      <c r="P33" s="126">
        <f>HYPERLINK(LEFT(CELL("filename",A1),FIND("[",CELL("filename",A1))-1)&amp;"매뉴얼BODY(집행단계-첨부폴더)v8\3.지장물이설\17_도로점용_굴착행위 인허가\체크리스트\도로점용_굴착행위 인허가_체크리스트.html", "👉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47">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26">
        <f>HYPERLINK(LEFT(CELL("filename",A1),FIND("[",CELL("filename",A1))-1)&amp;"매뉴얼BODY(집행단계-첨부폴더)v8\3.지장물이설\18_광역상수관 이설 공사\표준서\광역상수관 이설 공사_표준서.html", "👉 [클릭] 표준서 열기 📄")</f>
        <v/>
      </c>
      <c r="M34" s="47" t="inlineStr">
        <is>
          <t>1) 신설 관로 종합 현측 ➔ 2) 수압/수질/CCTV 검사 종합 ➔ 3) 지자체 3자 합동 점검 ➔ 4) 상하수도 최종 점검 대장 승인</t>
        </is>
      </c>
      <c r="N34" s="126">
        <f>HYPERLINK(LEFT(CELL("filename",A1),FIND("[",CELL("filename",A1))-1)&amp;"매뉴얼BODY(집행단계-첨부폴더)v8\3.지장물이설\18_광역상수관 이설 공사\수행지침\광역상수관 이설 공사_수행지침.html", "👉 [클릭] 수행지침 열기 📄")</f>
        <v/>
      </c>
      <c r="O34" s="48" t="inlineStr">
        <is>
          <t>신설 관로 종합 현측, 수압/수질/CCTV 검사 종합 대장 작성 및 지자체 3자 합동 점검</t>
        </is>
      </c>
      <c r="P34" s="126">
        <f>HYPERLINK(LEFT(CELL("filename",A1),FIND("[",CELL("filename",A1))-1)&amp;"매뉴얼BODY(집행단계-첨부폴더)v8\3.지장물이설\18_광역상수관 이설 공사\체크리스트\광역상수관 이설 공사_체크리스트.html", "👉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47">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26">
        <f>HYPERLINK(LEFT(CELL("filename",A1),FIND("[",CELL("filename",A1))-1)&amp;"매뉴얼BODY(집행단계-첨부폴더)v8\3.지장물이설\18_교통통제 및 교통안전시설 설치\표준서\18_교통통제 및 교통안전시설 설치_표준서.html", "👉 [클릭] 표준서 열기 📄")</f>
        <v/>
      </c>
      <c r="M35" s="47" t="inlineStr">
        <is>
          <t>1) 위탁기관 1:1 인수 검측 ➔ 2) 3D BIM 준공 도면 대조 ➔ 3) 이설 완료 현장 서명 ➔ 4) 준공 보고서 감리 서면 승인</t>
        </is>
      </c>
      <c r="N35" s="126">
        <f>HYPERLINK(LEFT(CELL("filename",A1),FIND("[",CELL("filename",A1))-1)&amp;"매뉴얼BODY(집행단계-첨부폴더)v8\3.지장물이설\18_교통통제 및 교통안전시설 설치\수행지침\교통통제 및 교통안전시설 설치_수행지침.html", "👉 [클릭] 수행지침 열기 📄")</f>
        <v/>
      </c>
      <c r="O35" s="48" t="inlineStr">
        <is>
          <t>위탁기관 1:1 인수 검측, 3D BIM 준공 도면 대조 및 이설 준공 보고서 감리 서면 승인</t>
        </is>
      </c>
      <c r="P35" s="126">
        <f>HYPERLINK(LEFT(CELL("filename",A1),FIND("[",CELL("filename",A1))-1)&amp;"매뉴얼BODY(집행단계-첨부폴더)v8\3.지장물이설\18_교통통제 및 교통안전시설 설치\체크리스트\교통통제 및 교통안전시설 설치_체크리스트.html", "👉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47">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26">
        <f>HYPERLINK(LEFT(CELL("filename",A1),FIND("[",CELL("filename",A1))-1)&amp;"매뉴얼BODY(집행단계-첨부폴더)v8\3.지장물이설\19_상수도 관로 이설 공사\표준서\상수도 관로 이설 공사_표준서.html", "👉 [클릭] 표준서 열기 📄")</f>
        <v/>
      </c>
      <c r="M36" s="47" t="inlineStr">
        <is>
          <t>1) 실정보고 투입 물량 집계 ➔ 2) 정산 단가 산정 서류 작성 ➔ 3) 정산서 감리 기술 검토 ➔ 4) 정산 금액 최종 서면 승인</t>
        </is>
      </c>
      <c r="N36" s="126">
        <f>HYPERLINK(LEFT(CELL("filename",A1),FIND("[",CELL("filename",A1))-1)&amp;"매뉴얼BODY(집행단계-첨부폴더)v8\3.지장물이설\19_상수도 관로 이설 공사\수행지침\상수도 관로 이설 공사_수행지침.html", "👉 [클릭] 수행지침 열기 📄")</f>
        <v/>
      </c>
      <c r="O36" s="48" t="inlineStr">
        <is>
          <t>실정보고 투입 물량 집계, 정산 단가 산정 서류 작성 및 책임감리원 정산 금액 서면 승인</t>
        </is>
      </c>
      <c r="P36" s="126">
        <f>HYPERLINK(LEFT(CELL("filename",A1),FIND("[",CELL("filename",A1))-1)&amp;"매뉴얼BODY(집행단계-첨부폴더)v8\3.지장물이설\19_상수도 관로 이설 공사\체크리스트\상수도 관로 이설 공사_체크리스트.html", "👉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47">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26">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47" t="inlineStr">
        <is>
          <t>1) 위탁기관 정산 청구서 작성 ➔ 2) 증빙 영수증 &amp; 성과표 첨부 ➔ 3) 정산금 지급 수속 ➔ 4) 이설 정산금 집행 완료</t>
        </is>
      </c>
      <c r="N37" s="126">
        <f>HYPERLINK(LEFT(CELL("filename",A1),FIND("[",CELL("filename",A1))-1)&amp;"매뉴얼BODY(집행단계-첨부폴더)v8\3.지장물이설\19_줄따기(GPR)를 통한 기존 지장물 매설 확인\수행지침\수행지침.html", "👉 [클릭] 수행지침 열기 📄")</f>
        <v/>
      </c>
      <c r="O37" s="48" t="inlineStr">
        <is>
          <t>위탁기관 정산 청구서 작성, 증빙 영수증 &amp; 성과표 부착 및 이설 정산금 집행 완료</t>
        </is>
      </c>
      <c r="P37" s="126">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47">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26">
        <f>HYPERLINK(LEFT(CELL("filename",A1),FIND("[",CELL("filename",A1))-1)&amp;"매뉴얼BODY(집행단계-첨부폴더)v8\3.지장물이설\20_이설 위치 토공 굴착\표준서\20_이설 위치 토공 굴착_표준서.html", "👉 [클릭] 표준서 열기 📄")</f>
        <v/>
      </c>
      <c r="M38" s="47" t="inlineStr">
        <is>
          <t>1) 설계변경 총사업비 산정 ➔ 2) 도급/위수탁 변경 변경 수속 ➔ 3) 발주처 변경 공문 수령 ➔ 4) 설계변경 정산 최종 승인</t>
        </is>
      </c>
      <c r="N38" s="126">
        <f>HYPERLINK(LEFT(CELL("filename",A1),FIND("[",CELL("filename",A1))-1)&amp;"매뉴얼BODY(집행단계-첨부폴더)v8\3.지장물이설\20_이설 위치 토공 굴착\수행지침\수행지침.html", "👉 [클릭] 수행지침 열기 📄")</f>
        <v/>
      </c>
      <c r="O38" s="48" t="inlineStr">
        <is>
          <t>설계변경 총사업비 산정, 도급/위수탁 변경 변경 수속 및 발주처 변경 공문 수령</t>
        </is>
      </c>
      <c r="P38" s="126">
        <f>HYPERLINK(LEFT(CELL("filename",A1),FIND("[",CELL("filename",A1))-1)&amp;"매뉴얼BODY(집행단계-첨부폴더)v8\3.지장물이설\20_이설 위치 토공 굴착\체크리스트\이설 위치 토공 굴착_체크리스트.html", "👉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47">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26">
        <f>HYPERLINK(LEFT(CELL("filename",A1),FIND("[",CELL("filename",A1))-1)&amp;"매뉴얼BODY(집행단계-첨부폴더)v8\3.지장물이설\20_하수도 관로 이설 공사\표준서\하수도 관로 이설 공사_표준서.html", "👉 [클릭] 표준서 열기 📄")</f>
        <v/>
      </c>
      <c r="M39" s="47" t="inlineStr">
        <is>
          <t>1) 선행 토공 &amp; 측량 성과 인수 ➔ 2) 현장 지장물 인계인수 ➔ 3) 3자 합동 현측 실시 ➔ 4) 인계인수서 3자 서명 완료</t>
        </is>
      </c>
      <c r="N39" s="126">
        <f>HYPERLINK(LEFT(CELL("filename",A1),FIND("[",CELL("filename",A1))-1)&amp;"매뉴얼BODY(집행단계-첨부폴더)v8\3.지장물이설\20_하수도 관로 이설 공사\수행지침\수행지침.html", "👉 [클릭] 수행지침 열기 📄")</f>
        <v/>
      </c>
      <c r="O39" s="48" t="inlineStr">
        <is>
          <t>선행 토공 및 측량 성과 인수 대장 작성, 3자 합동 현측 및 인계인수서 서명 완료</t>
        </is>
      </c>
      <c r="P39" s="126">
        <f>HYPERLINK(LEFT(CELL("filename",A1),FIND("[",CELL("filename",A1))-1)&amp;"매뉴얼BODY(집행단계-첨부폴더)v8\3.지장물이설\20_하수도 관로 이설 공사\체크리스트\하수도 관로 이설 공사_체크리스트.html", "👉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c r="L40" s="126">
        <f>HYPERLINK(LEFT(CELL("filename",A1),FIND("[",CELL("filename",A1))-1)&amp;"매뉴얼BODY(집행단계-첨부폴더)v8\3.지장물이설\21_도시가스관 이설 공사\표준서\도시가스관 이설 공사_표준서.html", "👉 [클릭] 표준서 열기 📄")</f>
        <v/>
      </c>
      <c r="N40" s="126">
        <f>HYPERLINK(LEFT(CELL("filename",A1),FIND("[",CELL("filename",A1))-1)&amp;"매뉴얼BODY(집행단계-첨부폴더)v8\3.지장물이설\21_도시가스관 이설 공사\수행지침\도시가스관 이설 공사_수행지침.html", "👉 [클릭] 수행지침 열기 📄")</f>
        <v/>
      </c>
      <c r="P40" s="126">
        <f>HYPERLINK(LEFT(CELL("filename",A1),FIND("[",CELL("filename",A1))-1)&amp;"매뉴얼BODY(집행단계-첨부폴더)v8\3.지장물이설\21_도시가스관 이설 공사\체크리스트\도시가스관 이설 공사_체크리스트.html", "👉 [클릭] 체크리스트 열기 📄")</f>
        <v/>
      </c>
    </row>
    <row r="41">
      <c r="L41" s="126">
        <f>HYPERLINK(LEFT(CELL("filename",A1),FIND("[",CELL("filename",A1))-1)&amp;"매뉴얼BODY(집행단계-첨부폴더)v8\3.지장물이설\21_신규관로 매설 및 설치\표준서\21_신규관로 매설 및 설치_표준서.html", "👉 [클릭] 표준서 열기 📄")</f>
        <v/>
      </c>
      <c r="N41" s="126">
        <f>HYPERLINK(LEFT(CELL("filename",A1),FIND("[",CELL("filename",A1))-1)&amp;"매뉴얼BODY(집행단계-첨부폴더)v8\3.지장물이설\21_신규관로 매설 및 설치\수행지침\수행지침.html", "👉 [클릭] 수행지침 열기 📄")</f>
        <v/>
      </c>
      <c r="P41" s="126">
        <f>HYPERLINK(LEFT(CELL("filename",A1),FIND("[",CELL("filename",A1))-1)&amp;"매뉴얼BODY(집행단계-첨부폴더)v8\3.지장물이설\21_신규관로 매설 및 설치\체크리스트\신규관로 매설 및 설치_체크리스트.html", "👉 [클릭] 체크리스트 열기 📄")</f>
        <v/>
      </c>
    </row>
    <row r="42">
      <c r="L42" s="126">
        <f>HYPERLINK(LEFT(CELL("filename",A1),FIND("[",CELL("filename",A1))-1)&amp;"매뉴얼BODY(집행단계-첨부폴더)v8\3.지장물이설\22_무단수 연결을 위한 시설 설치\표준서\22_무단수 연결을 위한 시설 설치_표준서.html", "👉 [클릭] 표준서 열기 📄")</f>
        <v/>
      </c>
      <c r="N42" s="126">
        <f>HYPERLINK(LEFT(CELL("filename",A1),FIND("[",CELL("filename",A1))-1)&amp;"매뉴얼BODY(집행단계-첨부폴더)v8\3.지장물이설\22_무단수 연결을 위한 시설 설치\수행지침\무단수 연결을 위한 시설 설치_수행지침.html", "👉 [클릭] 수행지침 열기 📄")</f>
        <v/>
      </c>
      <c r="P42" s="126">
        <f>HYPERLINK(LEFT(CELL("filename",A1),FIND("[",CELL("filename",A1))-1)&amp;"매뉴얼BODY(집행단계-첨부폴더)v8\3.지장물이설\22_무단수 연결을 위한 시설 설치\체크리스트\무단수 연결을 위한 시설 설치_체크리스트.html", "👉 [클릭] 체크리스트 열기 📄")</f>
        <v/>
      </c>
    </row>
    <row r="43">
      <c r="G43" s="42" t="n"/>
      <c r="L43" s="126">
        <f>HYPERLINK(LEFT(CELL("filename",A1),FIND("[",CELL("filename",A1))-1)&amp;"매뉴얼BODY(집행단계-첨부폴더)v8\3.지장물이설\22_지역난방관 이설 공사\표준서\지역난방관 이설 공사_표준서.html", "👉 [클릭] 표준서 열기 📄")</f>
        <v/>
      </c>
      <c r="N43" s="126">
        <f>HYPERLINK(LEFT(CELL("filename",A1),FIND("[",CELL("filename",A1))-1)&amp;"매뉴얼BODY(집행단계-첨부폴더)v8\3.지장물이설\22_지역난방관 이설 공사\수행지침\수행지침.html", "👉 [클릭] 수행지침 열기 📄")</f>
        <v/>
      </c>
      <c r="P43" s="126">
        <f>HYPERLINK(LEFT(CELL("filename",A1),FIND("[",CELL("filename",A1))-1)&amp;"매뉴얼BODY(집행단계-첨부폴더)v8\3.지장물이설\22_지역난방관 이설 공사\체크리스트\지역난방관 이설 공사_체크리스트.html", "👉 [클릭] 체크리스트 열기 📄")</f>
        <v/>
      </c>
    </row>
    <row r="44">
      <c r="G44" s="42" t="n"/>
      <c r="L44" s="126">
        <f>HYPERLINK(LEFT(CELL("filename",A1),FIND("[",CELL("filename",A1))-1)&amp;"매뉴얼BODY(집행단계-첨부폴더)v8\3.지장물이설\23_신규관로 및 연결관로 접속\표준서\23_신규관로 및 연결관로 접속_표준서.html", "👉 [클릭] 표준서 열기 📄")</f>
        <v/>
      </c>
      <c r="N44" s="126">
        <f>HYPERLINK(LEFT(CELL("filename",A1),FIND("[",CELL("filename",A1))-1)&amp;"매뉴얼BODY(집행단계-첨부폴더)v8\3.지장물이설\23_신규관로 및 연결관로 접속\수행지침\수행지침.html", "👉 [클릭] 수행지침 열기 📄")</f>
        <v/>
      </c>
      <c r="P44" s="126">
        <f>HYPERLINK(LEFT(CELL("filename",A1),FIND("[",CELL("filename",A1))-1)&amp;"매뉴얼BODY(집행단계-첨부폴더)v8\3.지장물이설\23_신규관로 및 연결관로 접속\체크리스트\신규관로 및 연결관로 접속_체크리스트.html", "👉 [클릭] 체크리스트 열기 📄")</f>
        <v/>
      </c>
    </row>
    <row r="45" ht="22.8" customHeight="1" s="147">
      <c r="G45" s="43" t="n"/>
      <c r="L45" s="126">
        <f>HYPERLINK(LEFT(CELL("filename",A1),FIND("[",CELL("filename",A1))-1)&amp;"매뉴얼BODY(집행단계-첨부폴더)v8\3.지장물이설\23_통신관로 및 케이블 이설 공사\표준서\통신관로 및 케이블 이설 공사_표준서.html", "👉 [클릭] 표준서 열기 📄")</f>
        <v/>
      </c>
      <c r="N45" s="126">
        <f>HYPERLINK(LEFT(CELL("filename",A1),FIND("[",CELL("filename",A1))-1)&amp;"매뉴얼BODY(집행단계-첨부폴더)v8\3.지장물이설\23_통신관로 및 케이블 이설 공사\수행지침\수행지침.html", "👉 [클릭] 수행지침 열기 📄")</f>
        <v/>
      </c>
      <c r="P45" s="126">
        <f>HYPERLINK(LEFT(CELL("filename",A1),FIND("[",CELL("filename",A1))-1)&amp;"매뉴얼BODY(집행단계-첨부폴더)v8\3.지장물이설\23_통신관로 및 케이블 이설 공사\체크리스트\통신관로 및 케이블 이설 공사_체크리스트.html", "👉 [클릭] 체크리스트 열기 📄")</f>
        <v/>
      </c>
    </row>
    <row r="46">
      <c r="G46" s="42" t="n"/>
      <c r="L46" s="126">
        <f>HYPERLINK(LEFT(CELL("filename",A1),FIND("[",CELL("filename",A1))-1)&amp;"매뉴얼BODY(집행단계-첨부폴더)v8\3.지장물이설\24_기존관로 철거 및 원상복구\표준서\24_기존관로 철거 및 원상복구_표준서.html", "👉 [클릭] 표준서 열기 📄")</f>
        <v/>
      </c>
      <c r="N46" s="126">
        <f>HYPERLINK(LEFT(CELL("filename",A1),FIND("[",CELL("filename",A1))-1)&amp;"매뉴얼BODY(집행단계-첨부폴더)v8\3.지장물이설\24_기존관로 철거 및 원상복구\수행지침\기존관로 철거 및 원상복구_수행지침.html", "👉 [클릭] 수행지침 열기 📄")</f>
        <v/>
      </c>
      <c r="P46" s="126">
        <f>HYPERLINK(LEFT(CELL("filename",A1),FIND("[",CELL("filename",A1))-1)&amp;"매뉴얼BODY(집행단계-첨부폴더)v8\3.지장물이설\24_기존관로 철거 및 원상복구\체크리스트\기존관로 철거 및 원상복구_체크리스트.html", "👉 [클릭] 체크리스트 열기 📄")</f>
        <v/>
      </c>
    </row>
    <row r="47">
      <c r="G47" s="44" t="n"/>
      <c r="L47" s="126">
        <f>HYPERLINK(LEFT(CELL("filename",A1),FIND("[",CELL("filename",A1))-1)&amp;"매뉴얼BODY(집행단계-첨부폴더)v8\3.지장물이설\24_특고압 전력관로 이설 공사\표준서\특고압 전력관로 이설 공사_표준서.html", "👉 [클릭] 표준서 열기 📄")</f>
        <v/>
      </c>
      <c r="N47" s="126">
        <f>HYPERLINK(LEFT(CELL("filename",A1),FIND("[",CELL("filename",A1))-1)&amp;"매뉴얼BODY(집행단계-첨부폴더)v8\3.지장물이설\24_특고압 전력관로 이설 공사\수행지침\수행지침.html", "👉 [클릭] 수행지침 열기 📄")</f>
        <v/>
      </c>
      <c r="P47" s="126">
        <f>HYPERLINK(LEFT(CELL("filename",A1),FIND("[",CELL("filename",A1))-1)&amp;"매뉴얼BODY(집행단계-첨부폴더)v8\3.지장물이설\24_특고압 전력관로 이설 공사\체크리스트\특고압 전력관로 이설 공사_체크리스트.html", "👉 [클릭] 체크리스트 열기 📄")</f>
        <v/>
      </c>
    </row>
    <row r="48">
      <c r="G48" s="44" t="n"/>
      <c r="L48" s="126">
        <f>HYPERLINK(LEFT(CELL("filename",A1),FIND("[",CELL("filename",A1))-1)&amp;"매뉴얼BODY(집행단계-첨부폴더)v8\3.지장물이설\25_광역상수관 이설 공사\표준서\25_광역상수관 이설 공사_표준서.html", "👉 [클릭] 표준서 열기 📄")</f>
        <v/>
      </c>
      <c r="N48" s="126">
        <f>HYPERLINK(LEFT(CELL("filename",A1),FIND("[",CELL("filename",A1))-1)&amp;"매뉴얼BODY(집행단계-첨부폴더)v8\3.지장물이설\25_광역상수관 이설 공사\수행지침\광역상수관 이설 공사_수행지침.html", "👉 [클릭] 수행지침 열기 📄")</f>
        <v/>
      </c>
      <c r="P48" s="126">
        <f>HYPERLINK(LEFT(CELL("filename",A1),FIND("[",CELL("filename",A1))-1)&amp;"매뉴얼BODY(집행단계-첨부폴더)v8\3.지장물이설\25_광역상수관 이설 공사\체크리스트\광역상수관 이설 공사_체크리스트.html", "👉 [클릭] 체크리스트 열기 📄")</f>
        <v/>
      </c>
    </row>
    <row r="49" ht="22.8" customHeight="1" s="147">
      <c r="G49" s="43" t="n"/>
      <c r="L49" s="126">
        <f>HYPERLINK(LEFT(CELL("filename",A1),FIND("[",CELL("filename",A1))-1)&amp;"매뉴얼BODY(집행단계-첨부폴더)v8\3.지장물이설\25_송유관 이설 공사\표준서\송유관 이설 공사_표준서.html", "👉 [클릭] 표준서 열기 📄")</f>
        <v/>
      </c>
      <c r="N49" s="126">
        <f>HYPERLINK(LEFT(CELL("filename",A1),FIND("[",CELL("filename",A1))-1)&amp;"매뉴얼BODY(집행단계-첨부폴더)v8\3.지장물이설\25_송유관 이설 공사\수행지침\송유관 이설 공사_수행지침.html", "👉 [클릭] 수행지침 열기 📄")</f>
        <v/>
      </c>
      <c r="P49" s="126">
        <f>HYPERLINK(LEFT(CELL("filename",A1),FIND("[",CELL("filename",A1))-1)&amp;"매뉴얼BODY(집행단계-첨부폴더)v8\3.지장물이설\25_송유관 이설 공사\체크리스트\송유관 이설 공사_체크리스트.html", "👉 [클릭] 체크리스트 열기 📄")</f>
        <v/>
      </c>
    </row>
    <row r="50">
      <c r="G50" s="42" t="n"/>
      <c r="L50" s="126">
        <f>HYPERLINK(LEFT(CELL("filename",A1),FIND("[",CELL("filename",A1))-1)&amp;"매뉴얼BODY(집행단계-첨부폴더)v8\3.지장물이설\26_상수도 관로 이설 공사\표준서\26_상수도 관로 이설 공사_표준서.html", "👉 [클릭] 표준서 열기 📄")</f>
        <v/>
      </c>
      <c r="N50" s="126">
        <f>HYPERLINK(LEFT(CELL("filename",A1),FIND("[",CELL("filename",A1))-1)&amp;"매뉴얼BODY(집행단계-첨부폴더)v8\3.지장물이설\26_상수도 관로 이설 공사\수행지침\상수도 관로 이설 공사_수행지침.html", "👉 [클릭] 수행지침 열기 📄")</f>
        <v/>
      </c>
      <c r="P50" s="126">
        <f>HYPERLINK(LEFT(CELL("filename",A1),FIND("[",CELL("filename",A1))-1)&amp;"매뉴얼BODY(집행단계-첨부폴더)v8\3.지장물이설\26_상수도 관로 이설 공사\체크리스트\상수도 관로 이설 공사_체크리스트.html", "👉 [클릭] 체크리스트 열기 📄")</f>
        <v/>
      </c>
    </row>
    <row r="51">
      <c r="G51" s="44" t="n"/>
      <c r="L51" s="126">
        <f>HYPERLINK(LEFT(CELL("filename",A1),FIND("[",CELL("filename",A1))-1)&amp;"매뉴얼BODY(집행단계-첨부폴더)v8\3.지장물이설\26_상하수도 이설 시공 최종 점검\표준서\상하수도 이설 시공 최종 점검_표준서.html", "👉 [클릭] 표준서 열기 📄")</f>
        <v/>
      </c>
      <c r="N51" s="126">
        <f>HYPERLINK(LEFT(CELL("filename",A1),FIND("[",CELL("filename",A1))-1)&amp;"매뉴얼BODY(집행단계-첨부폴더)v8\3.지장물이설\26_상하수도 이설 시공 최종 점검\수행지침\상하수도 이설 시공 최종 점검_수행지침.html", "👉 [클릭] 수행지침 열기 📄")</f>
        <v/>
      </c>
      <c r="P51" s="126">
        <f>HYPERLINK(LEFT(CELL("filename",A1),FIND("[",CELL("filename",A1))-1)&amp;"매뉴얼BODY(집행단계-첨부폴더)v8\3.지장물이설\26_상하수도 이설 시공 최종 점검\체크리스트\상하수도 이설 시공 최종 점검_체크리스트.html", "👉 [클릭] 체크리스트 열기 📄")</f>
        <v/>
      </c>
    </row>
    <row r="52">
      <c r="G52" s="44" t="n"/>
      <c r="L52" s="126">
        <f>HYPERLINK(LEFT(CELL("filename",A1),FIND("[",CELL("filename",A1))-1)&amp;"매뉴얼BODY(집행단계-첨부폴더)v8\3.지장물이설\27_위수탁 지하지장물 이설 최종 점검\표준서\위수탁 지하지장물 이설 최종 점검_표준서.html", "👉 [클릭] 표준서 열기 📄")</f>
        <v/>
      </c>
      <c r="N52" s="126">
        <f>HYPERLINK(LEFT(CELL("filename",A1),FIND("[",CELL("filename",A1))-1)&amp;"매뉴얼BODY(집행단계-첨부폴더)v8\3.지장물이설\27_위수탁 지하지장물 이설 최종 점검\수행지침\수행지침.html", "👉 [클릭] 수행지침 열기 📄")</f>
        <v/>
      </c>
      <c r="P52" s="126">
        <f>HYPERLINK(LEFT(CELL("filename",A1),FIND("[",CELL("filename",A1))-1)&amp;"매뉴얼BODY(집행단계-첨부폴더)v8\3.지장물이설\27_위수탁 지하지장물 이설 최종 점검\체크리스트\위수탁 지하지장물 이설 최종 점검_체크리스트.html", "👉 [클릭] 체크리스트 열기 📄")</f>
        <v/>
      </c>
    </row>
    <row r="53" ht="22.8" customHeight="1" s="147">
      <c r="G53" s="43" t="n"/>
      <c r="L53" s="126">
        <f>HYPERLINK(LEFT(CELL("filename",A1),FIND("[",CELL("filename",A1))-1)&amp;"매뉴얼BODY(집행단계-첨부폴더)v8\3.지장물이설\27_하수도 관로 이설 공사\표준서\27_하수도 관로 이설 공사_표준서.html", "👉 [클릭] 표준서 열기 📄")</f>
        <v/>
      </c>
      <c r="N53" s="126">
        <f>HYPERLINK(LEFT(CELL("filename",A1),FIND("[",CELL("filename",A1))-1)&amp;"매뉴얼BODY(집행단계-첨부폴더)v8\3.지장물이설\27_하수도 관로 이설 공사\수행지침\수행지침.html", "👉 [클릭] 수행지침 열기 📄")</f>
        <v/>
      </c>
      <c r="P53" s="126">
        <f>HYPERLINK(LEFT(CELL("filename",A1),FIND("[",CELL("filename",A1))-1)&amp;"매뉴얼BODY(집행단계-첨부폴더)v8\3.지장물이설\27_하수도 관로 이설 공사\체크리스트\하수도 관로 이설 공사_체크리스트.html", "👉 [클릭] 체크리스트 열기 📄")</f>
        <v/>
      </c>
    </row>
    <row r="54">
      <c r="G54" s="42" t="n"/>
      <c r="L54" s="126">
        <f>HYPERLINK(LEFT(CELL("filename",A1),FIND("[",CELL("filename",A1))-1)&amp;"매뉴얼BODY(집행단계-첨부폴더)v8\3.지장물이설\28_도시가스관 이설 공사\표준서\28_도시가스관 이설 공사_표준서.html", "👉 [클릭] 표준서 열기 📄")</f>
        <v/>
      </c>
      <c r="N54" s="126">
        <f>HYPERLINK(LEFT(CELL("filename",A1),FIND("[",CELL("filename",A1))-1)&amp;"매뉴얼BODY(집행단계-첨부폴더)v8\3.지장물이설\28_도시가스관 이설 공사\수행지침\도시가스관 이설 공사_수행지침.html", "👉 [클릭] 수행지침 열기 📄")</f>
        <v/>
      </c>
      <c r="P54" s="126">
        <f>HYPERLINK(LEFT(CELL("filename",A1),FIND("[",CELL("filename",A1))-1)&amp;"매뉴얼BODY(집행단계-첨부폴더)v8\3.지장물이설\28_도시가스관 이설 공사\체크리스트\도시가스관 이설 공사_체크리스트.html", "👉 [클릭] 체크리스트 열기 📄")</f>
        <v/>
      </c>
    </row>
    <row r="55">
      <c r="G55" s="44" t="n"/>
      <c r="L55" s="126">
        <f>HYPERLINK(LEFT(CELL("filename",A1),FIND("[",CELL("filename",A1))-1)&amp;"매뉴얼BODY(집행단계-첨부폴더)v8\3.지장물이설\28_상하수도 이설 정산 금액 검토\표준서\상하수도 이설 정산 금액 검토_표준서.html", "👉 [클릭] 표준서 열기 📄")</f>
        <v/>
      </c>
      <c r="N55" s="126">
        <f>HYPERLINK(LEFT(CELL("filename",A1),FIND("[",CELL("filename",A1))-1)&amp;"매뉴얼BODY(집행단계-첨부폴더)v8\3.지장물이설\28_상하수도 이설 정산 금액 검토\수행지침\상하수도 이설 정산 금액 검토_수행지침.html", "👉 [클릭] 수행지침 열기 📄")</f>
        <v/>
      </c>
      <c r="P55" s="126">
        <f>HYPERLINK(LEFT(CELL("filename",A1),FIND("[",CELL("filename",A1))-1)&amp;"매뉴얼BODY(집행단계-첨부폴더)v8\3.지장물이설\28_상하수도 이설 정산 금액 검토\체크리스트\상하수도 이설 정산 금액 검토_체크리스트.html", "👉 [클릭] 체크리스트 열기 📄")</f>
        <v/>
      </c>
    </row>
    <row r="56">
      <c r="G56" s="44" t="n"/>
      <c r="L56" s="126">
        <f>HYPERLINK(LEFT(CELL("filename",A1),FIND("[",CELL("filename",A1))-1)&amp;"매뉴얼BODY(집행단계-첨부폴더)v8\3.지장물이설\29_위수탁 처리 정산금액 지급\표준서\위수탁 처리 정산금액 지급_표준서.html", "👉 [클릭] 표준서 열기 📄")</f>
        <v/>
      </c>
      <c r="N56" s="126">
        <f>HYPERLINK(LEFT(CELL("filename",A1),FIND("[",CELL("filename",A1))-1)&amp;"매뉴얼BODY(집행단계-첨부폴더)v8\3.지장물이설\29_위수탁 처리 정산금액 지급\수행지침\수행지침.html", "👉 [클릭] 수행지침 열기 📄")</f>
        <v/>
      </c>
      <c r="P56" s="126">
        <f>HYPERLINK(LEFT(CELL("filename",A1),FIND("[",CELL("filename",A1))-1)&amp;"매뉴얼BODY(집행단계-첨부폴더)v8\3.지장물이설\29_위수탁 처리 정산금액 지급\체크리스트\위수탁 처리 정산금액 지급_체크리스트.html", "👉 [클릭] 체크리스트 열기 📄")</f>
        <v/>
      </c>
    </row>
    <row r="57" ht="22.8" customHeight="1" s="147">
      <c r="G57" s="43" t="n"/>
      <c r="L57" s="126">
        <f>HYPERLINK(LEFT(CELL("filename",A1),FIND("[",CELL("filename",A1))-1)&amp;"매뉴얼BODY(집행단계-첨부폴더)v8\3.지장물이설\29_지역난방관 이설 공사\표준서\29_지역난방관 이설 공사_표준서.html", "👉 [클릭] 표준서 열기 📄")</f>
        <v/>
      </c>
      <c r="N57" s="126">
        <f>HYPERLINK(LEFT(CELL("filename",A1),FIND("[",CELL("filename",A1))-1)&amp;"매뉴얼BODY(집행단계-첨부폴더)v8\3.지장물이설\29_지역난방관 이설 공사\수행지침\수행지침.html", "👉 [클릭] 수행지침 열기 📄")</f>
        <v/>
      </c>
      <c r="P57" s="126">
        <f>HYPERLINK(LEFT(CELL("filename",A1),FIND("[",CELL("filename",A1))-1)&amp;"매뉴얼BODY(집행단계-첨부폴더)v8\3.지장물이설\29_지역난방관 이설 공사\체크리스트\지역난방관 이설 공사_체크리스트.html", "👉 [클릭] 체크리스트 열기 📄")</f>
        <v/>
      </c>
    </row>
    <row r="58">
      <c r="G58" s="42" t="n"/>
      <c r="L58" s="126">
        <f>HYPERLINK(LEFT(CELL("filename",A1),FIND("[",CELL("filename",A1))-1)&amp;"매뉴얼BODY(집행단계-첨부폴더)v8\3.지장물이설\30_도급자분_위수탁분 설계변경 정산\표준서\도급자분_위수탁분 설계변경 정산_표준서.html", "👉 [클릭] 표준서 열기 📄")</f>
        <v/>
      </c>
      <c r="N58" s="126">
        <f>HYPERLINK(LEFT(CELL("filename",A1),FIND("[",CELL("filename",A1))-1)&amp;"매뉴얼BODY(집행단계-첨부폴더)v8\3.지장물이설\30_도급자분_위수탁분 설계변경 정산\수행지침\도급자분 이설업체 선정(상_하수)_수행지침.html", "👉 [클릭] 수행지침 열기 📄")</f>
        <v/>
      </c>
      <c r="P58" s="126">
        <f>HYPERLINK(LEFT(CELL("filename",A1),FIND("[",CELL("filename",A1))-1)&amp;"매뉴얼BODY(집행단계-첨부폴더)v8\3.지장물이설\30_도급자분_위수탁분 설계변경 정산\체크리스트\도급자분_위수탁분 설계변경 정산_체크리스트.html", "👉 [클릭] 체크리스트 열기 📄")</f>
        <v/>
      </c>
    </row>
    <row r="59">
      <c r="G59" s="44" t="n"/>
      <c r="L59" s="126">
        <f>HYPERLINK(LEFT(CELL("filename",A1),FIND("[",CELL("filename",A1))-1)&amp;"매뉴얼BODY(집행단계-첨부폴더)v8\3.지장물이설\30_통신관로 및 케이블 이설 공사\표준서\30_통신관로 및 케이블 이설 공사_표준서.html", "👉 [클릭] 표준서 열기 📄")</f>
        <v/>
      </c>
      <c r="N59" s="126">
        <f>HYPERLINK(LEFT(CELL("filename",A1),FIND("[",CELL("filename",A1))-1)&amp;"매뉴얼BODY(집행단계-첨부폴더)v8\3.지장물이설\30_통신관로 및 케이블 이설 공사\수행지침\수행지침.html", "👉 [클릭] 수행지침 열기 📄")</f>
        <v/>
      </c>
      <c r="P59" s="126">
        <f>HYPERLINK(LEFT(CELL("filename",A1),FIND("[",CELL("filename",A1))-1)&amp;"매뉴얼BODY(집행단계-첨부폴더)v8\3.지장물이설\30_통신관로 및 케이블 이설 공사\체크리스트\통신관로 및 케이블 이설 공사_체크리스트.html", "👉 [클릭] 체크리스트 열기 📄")</f>
        <v/>
      </c>
    </row>
    <row r="60">
      <c r="G60" s="44" t="n"/>
      <c r="L60" s="126">
        <f>HYPERLINK(LEFT(CELL("filename",A1),FIND("[",CELL("filename",A1))-1)&amp;"매뉴얼BODY(집행단계-첨부폴더)v8\3.지장물이설\31_특고압 전력관로 이설 공사\표준서\31_특고압 전력관로 이설 공사_표준서.html", "👉 [클릭] 표준서 열기 📄")</f>
        <v/>
      </c>
      <c r="N60" s="126">
        <f>HYPERLINK(LEFT(CELL("filename",A1),FIND("[",CELL("filename",A1))-1)&amp;"매뉴얼BODY(집행단계-첨부폴더)v8\3.지장물이설\31_특고압 전력관로 이설 공사\수행지침\수행지침.html", "👉 [클릭] 수행지침 열기 📄")</f>
        <v/>
      </c>
      <c r="P60" s="126">
        <f>HYPERLINK(LEFT(CELL("filename",A1),FIND("[",CELL("filename",A1))-1)&amp;"매뉴얼BODY(집행단계-첨부폴더)v8\3.지장물이설\31_특고압 전력관로 이설 공사\체크리스트\특고압 전력관로 이설 공사_체크리스트.html", "👉 [클릭] 체크리스트 열기 📄")</f>
        <v/>
      </c>
    </row>
    <row r="61">
      <c r="G61" s="44" t="n"/>
      <c r="L61" s="126">
        <f>HYPERLINK(LEFT(CELL("filename",A1),FIND("[",CELL("filename",A1))-1)&amp;"매뉴얼BODY(집행단계-첨부폴더)v8\3.지장물이설\32_송유관 이설 공사\표준서\32_송유관 이설 공사_표준서.html", "👉 [클릭] 표준서 열기 📄")</f>
        <v/>
      </c>
      <c r="N61" s="126">
        <f>HYPERLINK(LEFT(CELL("filename",A1),FIND("[",CELL("filename",A1))-1)&amp;"매뉴얼BODY(집행단계-첨부폴더)v8\3.지장물이설\32_송유관 이설 공사\수행지침\상하수도 이설 시공 최종 점검_수행지침.html", "👉 [클릭] 수행지침 열기 📄")</f>
        <v/>
      </c>
      <c r="P61" s="126">
        <f>HYPERLINK(LEFT(CELL("filename",A1),FIND("[",CELL("filename",A1))-1)&amp;"매뉴얼BODY(집행단계-첨부폴더)v8\3.지장물이설\32_송유관 이설 공사\체크리스트\상하수도 이설 시공 최종 점검_체크리스트.html", "👉 [클릭] 체크리스트 열기 📄")</f>
        <v/>
      </c>
    </row>
    <row r="62">
      <c r="G62" s="45" t="n"/>
      <c r="L62" s="126">
        <f>HYPERLINK(LEFT(CELL("filename",A1),FIND("[",CELL("filename",A1))-1)&amp;"매뉴얼BODY(집행단계-첨부폴더)v8\3.지장물이설\33_상하수도 이설 시공 최종 점검\표준서\33_상하수도 이설 시공 최종 점검_표준서.html", "👉 [클릭] 표준서 열기 📄")</f>
        <v/>
      </c>
      <c r="N62" s="126">
        <f>HYPERLINK(LEFT(CELL("filename",A1),FIND("[",CELL("filename",A1))-1)&amp;"매뉴얼BODY(집행단계-첨부폴더)v8\3.지장물이설\33_상하수도 이설 시공 최종 점검\수행지침\상하수도 이설 시공 최종 점검_수행지침.html", "👉 [클릭] 수행지침 열기 📄")</f>
        <v/>
      </c>
      <c r="P62" s="126">
        <f>HYPERLINK(LEFT(CELL("filename",A1),FIND("[",CELL("filename",A1))-1)&amp;"매뉴얼BODY(집행단계-첨부폴더)v8\3.지장물이설\33_상하수도 이설 시공 최종 점검\체크리스트\위수탁 지하지장물 이설 최종 점검_체크리스트.html", "👉 [클릭] 체크리스트 열기 📄")</f>
        <v/>
      </c>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24" customWidth="1" style="3" min="15" max="15"/>
    <col width="11.8984375" customWidth="1" style="3" min="16" max="16"/>
    <col width="24" customWidth="1" style="3" min="17" max="17"/>
    <col width="45" customWidth="1" style="3" min="18" max="18"/>
    <col width="24" customWidth="1" style="25" min="19" max="19"/>
    <col width="45" customWidth="1" style="3" min="20" max="35"/>
    <col width="8.796875" customWidth="1" style="3" min="36" max="71"/>
    <col width="8.796875" customWidth="1" style="3" min="72"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24" t="inlineStr">
        <is>
          <t>체크리스트 (Checklist) 요약</t>
        </is>
      </c>
      <c r="P1" s="19" t="inlineStr">
        <is>
          <t>체크리스트 파일 (HTML)</t>
        </is>
      </c>
      <c r="Q1" s="124" t="inlineStr">
        <is>
          <t>비고</t>
        </is>
      </c>
      <c r="R1" s="20" t="inlineStr">
        <is>
          <t>첨부서류 연계 상세 설계기준</t>
        </is>
      </c>
      <c r="S1" s="125" t="inlineStr">
        <is>
          <t>집행단계 리스크 체크리스트</t>
        </is>
      </c>
      <c r="T1" s="20" t="inlineStr">
        <is>
          <t>협력사 시공/공사관리 자문</t>
        </is>
      </c>
    </row>
    <row r="2" ht="118.8" customHeight="1" s="147">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26">
        <f>HYPERLINK(LEFT(CELL("filename",A1),FIND("[",CELL("filename",A1))-1)&amp;"매뉴얼BODY(집행단계-첨부폴더)v8\4.상부강화노반\1_지반조사 상세검토\표준서\지반조사 상세검토_표준서.html", "👉 [클릭] 표준서 열기 📄")</f>
        <v/>
      </c>
      <c r="M2" s="22" t="inlineStr">
        <is>
          <t>1) 시추 주상도 &amp; GPR 3D 매핑 분석 ➔ 2) N치 &lt; 4 연약지반 심도 경계 추출 ➔ 3) PVD/DCM 개량 공법 검토 ➔ 4) 기술사 서명 지반조사 보고서 감리 승인</t>
        </is>
      </c>
      <c r="N2" s="126">
        <f>HYPERLINK(LEFT(CELL("filename",A1),FIND("[",CELL("filename",A1))-1)&amp;"매뉴얼BODY(집행단계-첨부폴더)v8\4.상부강화노반\1_지반조사 상세검토\수행지침\지반조사 상세검토_수행지침.html", "👉 [클릭] 수행지침 열기 📄")</f>
        <v/>
      </c>
      <c r="O2" t="inlineStr">
        <is>
          <t>👉 [클릭] 표준서 열기 📄</t>
        </is>
      </c>
      <c r="P2" s="126">
        <f>HYPERLINK(LEFT(CELL("filename",A1),FIND("[",CELL("filename",A1))-1)&amp;"매뉴얼BODY(집행단계-첨부폴더)v8\4.상부강화노반\1_지반조사 상세검토\체크리스트\지반조사 상세검토_체크리스트.html", "👉 [클릭] 체크리스트 열기 📄")</f>
        <v/>
      </c>
      <c r="Q2" t="inlineStr">
        <is>
          <t>👉 [클릭] 수행지침 열기 📄</t>
        </is>
      </c>
      <c r="R2" s="23" t="inlineStr">
        <is>
          <t>● 설계 지반 정수 및 지층 상태 적합성 검토</t>
        </is>
      </c>
      <c r="S2" t="inlineStr">
        <is>
          <t>👉 [클릭] 체크리스트 열기 📄</t>
        </is>
      </c>
      <c r="T2" s="14" t="n"/>
    </row>
    <row r="3" ht="166.2" customHeight="1" s="147">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26">
        <f>HYPERLINK(LEFT(CELL("filename",A1),FIND("[",CELL("filename",A1))-1)&amp;"매뉴얼BODY(집행단계-첨부폴더)v8\4.상부강화노반\2_발주전략 KOM\표준서\발주전략 KOM_표준서.html", "👉 [클릭] 표준서 열기 📄")</f>
        <v/>
      </c>
      <c r="M3" s="22" t="inlineStr">
        <is>
          <t>1) 발주처 시방서 요구조건 분석 ➔ 2) 3D BIM 도면 표고/구배 검증 ➔ 3) 지장물/용지 리스크 예비비 수립 ➔ 4) 발주·감리·시공 3자 킥오프 결재</t>
        </is>
      </c>
      <c r="N3" s="126">
        <f>HYPERLINK(LEFT(CELL("filename",A1),FIND("[",CELL("filename",A1))-1)&amp;"매뉴얼BODY(집행단계-첨부폴더)v8\4.상부강화노반\2_발주전략 KOM\수행지침\발주전략 KOM_수행지침.html", "👉 [클릭] 수행지침 열기 📄")</f>
        <v/>
      </c>
      <c r="O3" t="inlineStr">
        <is>
          <t>👉 [클릭] 표준서 열기 📄</t>
        </is>
      </c>
      <c r="P3" s="126">
        <f>HYPERLINK(LEFT(CELL("filename",A1),FIND("[",CELL("filename",A1))-1)&amp;"매뉴얼BODY(집행단계-첨부폴더)v8\4.상부강화노반\2_발주전략 KOM\체크리스트\발주전략 KOM_체크리스트.html", "👉 [클릭] 체크리스트 열기 📄")</f>
        <v/>
      </c>
      <c r="Q3" t="inlineStr">
        <is>
          <t>👉 [클릭] 수행지침 열기 📄</t>
        </is>
      </c>
      <c r="R3" s="23" t="inlineStr">
        <is>
          <t>● 본사 유관부서 발주 조달 기준 만족</t>
        </is>
      </c>
      <c r="S3" t="inlineStr">
        <is>
          <t>👉 [클릭] 체크리스트 열기 📄</t>
        </is>
      </c>
      <c r="T3" s="14" t="n"/>
    </row>
    <row r="4" ht="96" customHeight="1" s="147">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26">
        <f>HYPERLINK(LEFT(CELL("filename",A1),FIND("[",CELL("filename",A1))-1)&amp;"매뉴얼BODY(집행단계-첨부폴더)v8\4.상부강화노반\3_철도보호지구에서의 행위신고(필요시)\표준서\철도보호지구 행위신고_표준서.html", "👉 [클릭] 표준서 열기 📄")</f>
        <v/>
      </c>
      <c r="M4" s="22" t="inlineStr">
        <is>
          <t>1) 궤도 중심 30m 법정 경계 측량 ➔ 2) 행위신고서/안전계획서 접수 ➔ 3) 관할 철도운영기관 기술 심의 ➔ 4) 운행선안전관리자 현장 1:1 배치</t>
        </is>
      </c>
      <c r="N4" s="126">
        <f>HYPERLINK(LEFT(CELL("filename",A1),FIND("[",CELL("filename",A1))-1)&amp;"매뉴얼BODY(집행단계-첨부폴더)v8\4.상부강화노반\3_철도보호지구에서의 행위신고(필요시)\수행지침\철도보호지구 행위신고_수행지침.html", "👉 [클릭] 수행지침 열기 📄")</f>
        <v/>
      </c>
      <c r="O4" t="inlineStr">
        <is>
          <t>👉 [클릭] 표준서 열기 📄</t>
        </is>
      </c>
      <c r="P4" s="126">
        <f>HYPERLINK(LEFT(CELL("filename",A1),FIND("[",CELL("filename",A1))-1)&amp;"매뉴얼BODY(집행단계-첨부폴더)v8\4.상부강화노반\3_철도보호지구에서의 행위신고(필요시)\체크리스트\철도보호지구 행위신고_체크리스트.html", "👉 [클릭] 체크리스트 열기 📄")</f>
        <v/>
      </c>
      <c r="Q4" t="inlineStr">
        <is>
          <t>👉 [클릭] 수행지침 열기 📄</t>
        </is>
      </c>
      <c r="R4" s="23" t="inlineStr">
        <is>
          <t>● 철도안전법 제45조</t>
        </is>
      </c>
      <c r="S4" t="inlineStr">
        <is>
          <t>👉 [클릭] 체크리스트 열기 📄</t>
        </is>
      </c>
      <c r="T4" s="14" t="n"/>
    </row>
    <row r="5" ht="96" customHeight="1" s="147">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26">
        <f>HYPERLINK(LEFT(CELL("filename",A1),FIND("[",CELL("filename",A1))-1)&amp;"매뉴얼BODY(집행단계-첨부폴더)v8\4.상부강화노반\4_착수전 측량 Data 확인\표준서\착수전 측량 Data 확인_표준서.html", "👉 [클릭] 표준서 열기 📄")</f>
        <v/>
      </c>
      <c r="M5" s="22" t="inlineStr">
        <is>
          <t>1) 국가 CP/TBM 기준점 인수 ➔ 2) GRS80 수준측량(폐합오차 ≤ 5mm√K) ➔ 3) 현장 인조점 3개소 매설 ➔ 4) 측량 성과표 작성 &amp; 3D BIM 승인</t>
        </is>
      </c>
      <c r="N5" s="126">
        <f>HYPERLINK(LEFT(CELL("filename",A1),FIND("[",CELL("filename",A1))-1)&amp;"매뉴얼BODY(집행단계-첨부폴더)v8\4.상부강화노반\4_착수전 측량 Data 확인\수행지침\착수전 측량 Data 확인_수행지침.html", "👉 [클릭] 수행지침 열기 📄")</f>
        <v/>
      </c>
      <c r="O5" t="inlineStr">
        <is>
          <t>👉 [클릭] 표준서 열기 📄</t>
        </is>
      </c>
      <c r="P5" s="126">
        <f>HYPERLINK(LEFT(CELL("filename",A1),FIND("[",CELL("filename",A1))-1)&amp;"매뉴얼BODY(집행단계-첨부폴더)v8\4.상부강화노반\4_착수전 측량 Data 확인\체크리스트\착수전 측량 Data 확인_체크리스트.html", "👉 [클릭] 체크리스트 열기 📄")</f>
        <v/>
      </c>
      <c r="Q5" t="inlineStr">
        <is>
          <t>👉 [클릭] 수행지침 열기 📄</t>
        </is>
      </c>
      <c r="R5" s="23" t="inlineStr">
        <is>
          <t>● 시공측량 기준 공차 만족</t>
        </is>
      </c>
      <c r="S5" t="inlineStr">
        <is>
          <t>👉 [클릭] 체크리스트 열기 📄</t>
        </is>
      </c>
      <c r="T5" s="14" t="n"/>
    </row>
    <row r="6" ht="96" customHeight="1" s="147">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26">
        <f>HYPERLINK(LEFT(CELL("filename",A1),FIND("[",CELL("filename",A1))-1)&amp;"매뉴얼BODY(집행단계-첨부폴더)v8\4.상부강화노반\5_지장물이설 협의\표준서\지장물이설 협의_표준서.html", "👉 [클릭] 표준서 열기 📄")</f>
        <v/>
      </c>
      <c r="M6" s="22" t="inlineStr">
        <is>
          <t>1) GPR 3D 지중 관로 탐사 ➔ 2) 인력 시탐 줄파기(깊이 1.5m) ➔ 3) 관할 점용기관 1:1 현장 입회 ➔ 4) 매달기 방호 &amp; 지장물 이설 완료 승인</t>
        </is>
      </c>
      <c r="N6" s="126">
        <f>HYPERLINK(LEFT(CELL("filename",A1),FIND("[",CELL("filename",A1))-1)&amp;"매뉴얼BODY(집행단계-첨부폴더)v8\4.상부강화노반\5_지장물이설 협의\수행지침\지장물이설 협의_수행지침.html", "👉 [클릭] 수행지침 열기 📄")</f>
        <v/>
      </c>
      <c r="O6" t="inlineStr">
        <is>
          <t>👉 [클릭] 표준서 열기 📄</t>
        </is>
      </c>
      <c r="P6" s="126">
        <f>HYPERLINK(LEFT(CELL("filename",A1),FIND("[",CELL("filename",A1))-1)&amp;"매뉴얼BODY(집행단계-첨부폴더)v8\4.상부강화노반\5_지장물이설 협의\체크리스트\지장물이설 협의_체크리스트.html", "👉 [클릭] 체크리스트 열기 📄")</f>
        <v/>
      </c>
      <c r="Q6" t="inlineStr">
        <is>
          <t>👉 [클릭] 수행지침 열기 📄</t>
        </is>
      </c>
      <c r="R6" s="23" t="inlineStr">
        <is>
          <t>● 지장물 이설 관련 인허가 요건</t>
        </is>
      </c>
      <c r="S6" t="inlineStr">
        <is>
          <t>👉 [클릭] 체크리스트 열기 📄</t>
        </is>
      </c>
      <c r="T6" s="14" t="n"/>
    </row>
    <row r="7" ht="96" customHeight="1" s="147">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26">
        <f>HYPERLINK(LEFT(CELL("filename",A1),FIND("[",CELL("filename",A1))-1)&amp;"매뉴얼BODY(집행단계-첨부폴더)v8\4.상부강화노반\6_용지보상RISK 검토\표준서\용지보상RISK 검토_표준서.html", "👉 [클릭] 표준서 열기 📄")</f>
        <v/>
      </c>
      <c r="M7" s="22" t="inlineStr">
        <is>
          <t>1) 미보상 사유지 필지 추출 ➔ 2) 경계 가설 펜스(H=1.8m) 차단 ➔ 3) 3D 우회 토공 동선 수립 ➔ 4) 용지 보상 리스크 대책 감리 승인</t>
        </is>
      </c>
      <c r="N7" s="126">
        <f>HYPERLINK(LEFT(CELL("filename",A1),FIND("[",CELL("filename",A1))-1)&amp;"매뉴얼BODY(집행단계-첨부폴더)v8\4.상부강화노반\6_용지보상RISK 검토\수행지침\용지보상RISK 검토_수행지침.html", "👉 [클릭] 수행지침 열기 📄")</f>
        <v/>
      </c>
      <c r="O7" t="inlineStr">
        <is>
          <t>👉 [클릭] 표준서 열기 📄</t>
        </is>
      </c>
      <c r="P7" s="126">
        <f>HYPERLINK(LEFT(CELL("filename",A1),FIND("[",CELL("filename",A1))-1)&amp;"매뉴얼BODY(집행단계-첨부폴더)v8\4.상부강화노반\6_용지보상RISK 검토\체크리스트\용지보상RISK 검토_체크리스트.html", "👉 [클릭] 체크리스트 열기 📄")</f>
        <v/>
      </c>
      <c r="Q7" t="inlineStr">
        <is>
          <t>👉 [클릭] 수행지침 열기 📄</t>
        </is>
      </c>
      <c r="R7" s="23" t="inlineStr">
        <is>
          <t>● 공정 지연 리스크 평가 기준</t>
        </is>
      </c>
      <c r="S7" t="inlineStr">
        <is>
          <t>👉 [클릭] 체크리스트 열기 📄</t>
        </is>
      </c>
      <c r="T7" s="14" t="n"/>
    </row>
    <row r="8" ht="96" customHeight="1" s="147">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26">
        <f>HYPERLINK(LEFT(CELL("filename",A1),FIND("[",CELL("filename",A1))-1)&amp;"매뉴얼BODY(집행단계-첨부폴더)v8\4.상부강화노반\7_최고의 팀 만들기 지원\표준서\최고의 팀 만들기 지원_표준서.html", "👉 [클릭] 표준서 열기 📄")</f>
        <v/>
      </c>
      <c r="M8" s="22" t="inlineStr">
        <is>
          <t>1) 전담 기술자 1:1 배치 ➔ 2) 3자 주간 소통 회의 개최 ➔ 3) 근로자 환경 개선 &amp; TBM ➔ 4) One-Team 전담 조직표 서면 승인</t>
        </is>
      </c>
      <c r="N8" s="126">
        <f>HYPERLINK(LEFT(CELL("filename",A1),FIND("[",CELL("filename",A1))-1)&amp;"매뉴얼BODY(집행단계-첨부폴더)v8\4.상부강화노반\7_최고의 팀 만들기 지원\수행지침\최고의 팀 만들기 지원_수행지침.html", "👉 [클릭] 수행지침 열기 📄")</f>
        <v/>
      </c>
      <c r="O8" t="inlineStr">
        <is>
          <t>👉 [클릭] 표준서 열기 📄</t>
        </is>
      </c>
      <c r="P8" s="126">
        <f>HYPERLINK(LEFT(CELL("filename",A1),FIND("[",CELL("filename",A1))-1)&amp;"매뉴얼BODY(집행단계-첨부폴더)v8\4.상부강화노반\7_최고의 팀 만들기 지원\체크리스트\최고의 팀 만들기 지원_체크리스트.html", "👉 [클릭] 체크리스트 열기 📄")</f>
        <v/>
      </c>
      <c r="Q8" t="inlineStr">
        <is>
          <t>👉 [클릭] 수행지침 열기 📄</t>
        </is>
      </c>
      <c r="R8" s="23" t="inlineStr">
        <is>
          <t>● 협력사 검증 및 풀(Pool) 운영 기준</t>
        </is>
      </c>
      <c r="S8" t="inlineStr">
        <is>
          <t>👉 [클릭] 체크리스트 열기 📄</t>
        </is>
      </c>
      <c r="T8" s="14" t="n"/>
    </row>
    <row r="9" ht="96" customHeight="1" s="147">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26">
        <f>HYPERLINK(LEFT(CELL("filename",A1),FIND("[",CELL("filename",A1))-1)&amp;"매뉴얼BODY(집행단계-첨부폴더)v8\4.상부강화노반\8_연약지반 처리공법 검토(필요시)\표준서\연약지반 처리공법 검토_표준서.html", "👉 [클릭] 표준서 열기 📄")</f>
        <v/>
      </c>
      <c r="M9" s="22" t="inlineStr">
        <is>
          <t>1) 시공계획서 표준 8대 목차 작성 ➔ 2) KCS 47 10 25 수치 명시 ➔ 3) 착공 14일 전 감리단 제출 ➔ 4) 책임감리원 최종 서면 승인</t>
        </is>
      </c>
      <c r="N9" s="126">
        <f>HYPERLINK(LEFT(CELL("filename",A1),FIND("[",CELL("filename",A1))-1)&amp;"매뉴얼BODY(집행단계-첨부폴더)v8\4.상부강화노반\8_연약지반 처리공법 검토(필요시)\수행지침\연약지반 처리공법 검토_수행지침.html", "👉 [클릭] 수행지침 열기 📄")</f>
        <v/>
      </c>
      <c r="O9" t="inlineStr">
        <is>
          <t>👉 [클릭] 표준서 열기 📄</t>
        </is>
      </c>
      <c r="P9" s="126">
        <f>HYPERLINK(LEFT(CELL("filename",A1),FIND("[",CELL("filename",A1))-1)&amp;"매뉴얼BODY(집행단계-첨부폴더)v8\4.상부강화노반\8_연약지반 처리공법 검토(필요시)\체크리스트\연약지반 처리공법 검토_체크리스트.html", "👉 [클릭] 체크리스트 열기 📄")</f>
        <v/>
      </c>
      <c r="Q9" t="inlineStr">
        <is>
          <t>👉 [클릭] 수행지침 열기 📄</t>
        </is>
      </c>
      <c r="R9" s="23" t="inlineStr">
        <is>
          <t>● 지반 개량 기술 시방 만족</t>
        </is>
      </c>
      <c r="S9" t="inlineStr">
        <is>
          <t>👉 [클릭] 체크리스트 열기 📄</t>
        </is>
      </c>
      <c r="T9" s="14" t="n"/>
    </row>
    <row r="10" ht="96" customHeight="1" s="147">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26">
        <f>HYPERLINK(LEFT(CELL("filename",A1),FIND("[",CELL("filename",A1))-1)&amp;"매뉴얼BODY(집행단계-첨부폴더)v8\4.상부강화노반\9_토공 유동표 확인\표준서\토공 유동표 확인_표준서.html", "👉 [클릭] 표준서 열기 📄")</f>
        <v/>
      </c>
      <c r="M10" s="22" t="inlineStr">
        <is>
          <t>1) 토공 롤러/그레이더 조종원 자격 검증 ➔ 2) 건설기계 면허증 1:1 대조 ➔ 3) 일일 음주 측정 &amp; Safety TBM ➔ 4) 작업조 편성표 감리 승인</t>
        </is>
      </c>
      <c r="N10" s="126">
        <f>HYPERLINK(LEFT(CELL("filename",A1),FIND("[",CELL("filename",A1))-1)&amp;"매뉴얼BODY(집행단계-첨부폴더)v8\4.상부강화노반\9_토공 유동표 확인\수행지침\토공 유동표 확인_수행지침.html", "👉 [클릭] 수행지침 열기 📄")</f>
        <v/>
      </c>
      <c r="O10" t="inlineStr">
        <is>
          <t>👉 [클릭] 표준서 열기 📄</t>
        </is>
      </c>
      <c r="P10" s="126">
        <f>HYPERLINK(LEFT(CELL("filename",A1),FIND("[",CELL("filename",A1))-1)&amp;"매뉴얼BODY(집행단계-첨부폴더)v8\4.상부강화노반\9_토공 유동표 확인\체크리스트\토공 유동표 확인_체크리스트.html", "👉 [클릭] 체크리스트 열기 📄")</f>
        <v/>
      </c>
      <c r="Q10" t="inlineStr">
        <is>
          <t>👉 [클릭] 수행지침 열기 📄</t>
        </is>
      </c>
      <c r="R10" s="23" t="inlineStr">
        <is>
          <t>● 건설기계 조합 선정 기준</t>
        </is>
      </c>
      <c r="S10" t="inlineStr">
        <is>
          <t>👉 [클릭] 체크리스트 열기 📄</t>
        </is>
      </c>
      <c r="T10" s="14" t="n"/>
    </row>
    <row r="11" ht="96" customHeight="1" s="147">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26">
        <f>HYPERLINK(LEFT(CELL("filename",A1),FIND("[",CELL("filename",A1))-1)&amp;"매뉴얼BODY(집행단계-첨부폴더)v8\4.상부강화노반\10_기공승낙 적정성 검토\표준서\기공승낙 적정성 검토_표준서.html", "👉 [클릭] 표준서 열기 📄")</f>
        <v/>
      </c>
      <c r="M11" s="22" t="inlineStr">
        <is>
          <t>1) 10t+ 강동/타이어 롤러 사양 확정 ➔ 2) 정기검사증 &amp; 등록증 검수 ➔ 3) 3D GPS 수신기/후방 카메라 점검 ➔ 4) 장비 반입 승인서 감리 결재</t>
        </is>
      </c>
      <c r="N11" s="126">
        <f>HYPERLINK(LEFT(CELL("filename",A1),FIND("[",CELL("filename",A1))-1)&amp;"매뉴얼BODY(집행단계-첨부폴더)v8\4.상부강화노반\10_기공승낙 적정성 검토\수행지침\기공승낙 적정성 검토_수행지침.html", "👉 [클릭] 수행지침 열기 📄")</f>
        <v/>
      </c>
      <c r="O11" t="inlineStr">
        <is>
          <t>👉 [클릭] 표준서 열기 📄</t>
        </is>
      </c>
      <c r="P11" s="126">
        <f>HYPERLINK(LEFT(CELL("filename",A1),FIND("[",CELL("filename",A1))-1)&amp;"매뉴얼BODY(집행단계-첨부폴더)v8\4.상부강화노반\10_기공승낙 적정성 검토\체크리스트\기공승낙 적정성 검토_체크리스트.html", "👉 [클릭] 체크리스트 열기 📄")</f>
        <v/>
      </c>
      <c r="Q11" t="inlineStr">
        <is>
          <t>👉 [클릭] 수행지침 열기 📄</t>
        </is>
      </c>
      <c r="R11" s="23" t="inlineStr">
        <is>
          <t>● 토지 사용 동의 및 합의 조건 검토</t>
        </is>
      </c>
      <c r="S11" t="inlineStr">
        <is>
          <t>👉 [클릭] 체크리스트 열기 📄</t>
        </is>
      </c>
      <c r="T11" s="14" t="n"/>
    </row>
    <row r="12" ht="96" customHeight="1" s="147">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26">
        <f>HYPERLINK(LEFT(CELL("filename",A1),FIND("[",CELL("filename",A1))-1)&amp;"매뉴얼BODY(집행단계-첨부폴더)v8\4.상부강화노반\11_폐기물처리계획 수립\표준서\폐기물처리계획 수립_표준서.html", "👉 [클릭] 표준서 열기 📄")</f>
        <v/>
      </c>
      <c r="M12" s="22" t="inlineStr">
        <is>
          <t>1) 석산 공급원 사전 승인 수속 ➔ 2) 쇄석 입도(Dmax 50mm) 체가름 시험 ➔ 3) 수정다짐 CBR(≥30%) 성적 산출 ➔ 4) 노반 재료 입도 DB 감리 승인</t>
        </is>
      </c>
      <c r="N12" s="126">
        <f>HYPERLINK(LEFT(CELL("filename",A1),FIND("[",CELL("filename",A1))-1)&amp;"매뉴얼BODY(집행단계-첨부폴더)v8\4.상부강화노반\11_폐기물처리계획 수립\수행지침\폐기물처리계획 수립_수행지침.html", "👉 [클릭] 수행지침 열기 📄")</f>
        <v/>
      </c>
      <c r="O12" t="inlineStr">
        <is>
          <t>👉 [클릭] 표준서 열기 📄</t>
        </is>
      </c>
      <c r="P12" s="126">
        <f>HYPERLINK(LEFT(CELL("filename",A1),FIND("[",CELL("filename",A1))-1)&amp;"매뉴얼BODY(집행단계-첨부폴더)v8\4.상부강화노반\11_폐기물처리계획 수립\체크리스트\폐기물처리계획 수립_체크리스트.html", "👉 [클릭] 체크리스트 열기 📄")</f>
        <v/>
      </c>
      <c r="Q12" t="inlineStr">
        <is>
          <t>👉 [클릭] 수행지침 열기 📄</t>
        </is>
      </c>
      <c r="R12" s="23" t="inlineStr">
        <is>
          <t>● 폐기물관리법 규정 준수</t>
        </is>
      </c>
      <c r="S12" t="inlineStr">
        <is>
          <t>👉 [클릭] 체크리스트 열기 📄</t>
        </is>
      </c>
      <c r="T12" s="14" t="n"/>
    </row>
    <row r="13" ht="96" customHeight="1" s="147">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26">
        <f>HYPERLINK(LEFT(CELL("filename",A1),FIND("[",CELL("filename",A1))-1)&amp;"매뉴얼BODY(집행단계-첨부폴더)v8\4.상부강화노반\12_철도운행협의(필요시)\표준서\철도운행협의_표준서.html", "👉 [클릭] 표준서 열기 📄")</f>
        <v/>
      </c>
      <c r="M13" s="22" t="inlineStr">
        <is>
          <t>1) 화성시 정식 사토장 허가 검증 ➔ 2) γd max ≥ 1.90g/cm³ &amp; 오염 시험 ➔ 3) 덤프 운행 송장 일일 집계 ➔ 4) 사토 계획서 감리 서면 승인</t>
        </is>
      </c>
      <c r="N13" s="126">
        <f>HYPERLINK(LEFT(CELL("filename",A1),FIND("[",CELL("filename",A1))-1)&amp;"매뉴얼BODY(집행단계-첨부폴더)v8\4.상부강화노반\12_철도운행협의(필요시)\수행지침\철도운행협의_수행지침.html", "👉 [클릭] 수행지침 열기 📄")</f>
        <v/>
      </c>
      <c r="O13" t="inlineStr">
        <is>
          <t>👉 [클릭] 표준서 열기 📄</t>
        </is>
      </c>
      <c r="P13" s="126">
        <f>HYPERLINK(LEFT(CELL("filename",A1),FIND("[",CELL("filename",A1))-1)&amp;"매뉴얼BODY(집행단계-첨부폴더)v8\4.상부강화노반\12_철도운행협의(필요시)\체크리스트\철도운행협의_체크리스트.html", "👉 [클릭] 체크리스트 열기 📄")</f>
        <v/>
      </c>
      <c r="Q13" t="inlineStr">
        <is>
          <t>👉 [클릭] 수행지침 열기 📄</t>
        </is>
      </c>
      <c r="R13" s="23" t="inlineStr">
        <is>
          <t>● 철도 안전 및 운행 협의 지침 준수</t>
        </is>
      </c>
      <c r="S13" t="inlineStr">
        <is>
          <t>👉 [클릭] 체크리스트 열기 📄</t>
        </is>
      </c>
      <c r="T13" s="14" t="n"/>
    </row>
    <row r="14" ht="134.4" customHeight="1" s="147">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26">
        <f>HYPERLINK(LEFT(CELL("filename",A1),FIND("[",CELL("filename",A1))-1)&amp;"매뉴얼BODY(집행단계-첨부폴더)v8\4.상부강화노반\13_작수전 Big Room 회의\표준서\작수전 Big Room 회의_표준서.html", "👉 [클릭] 표준서 열기 📄")</f>
        <v/>
      </c>
      <c r="M14" s="22" t="inlineStr">
        <is>
          <t>1) 가배수로(0.6×0.6m) &amp; 가침사지 설계 ➔ 2) HDPE 유공관(Ø200mm) 자재 검수 ➔ 3) 비상 양수 펌프(200L/min) 비치 ➔ 4) 배수 처리 계획서 감리 승인</t>
        </is>
      </c>
      <c r="N14" s="126">
        <f>HYPERLINK(LEFT(CELL("filename",A1),FIND("[",CELL("filename",A1))-1)&amp;"매뉴얼BODY(집행단계-첨부폴더)v8\4.상부강화노반\13_작수전 Big Room 회의\수행지침\작수전 Big Room 회의_수행지침.html", "👉 [클릭] 수행지침 열기 📄")</f>
        <v/>
      </c>
      <c r="O14" t="inlineStr">
        <is>
          <t>👉 [클릭] 표준서 열기 📄</t>
        </is>
      </c>
      <c r="P14" s="126">
        <f>HYPERLINK(LEFT(CELL("filename",A1),FIND("[",CELL("filename",A1))-1)&amp;"매뉴얼BODY(집행단계-첨부폴더)v8\4.상부강화노반\13_작수전 Big Room 회의\체크리스트\작수전 Big Room 회의_체크리스트.html", "👉 [클릭] 체크리스트 열기 📄")</f>
        <v/>
      </c>
      <c r="Q14" t="inlineStr">
        <is>
          <t>👉 [클릭] 수행지침 열기 📄</t>
        </is>
      </c>
      <c r="R14" s="23" t="inlineStr">
        <is>
          <t>● 토목 및 궤도 인터페이스 관리 지침</t>
        </is>
      </c>
      <c r="S14" t="inlineStr">
        <is>
          <t>👉 [클릭] 체크리스트 열기 📄</t>
        </is>
      </c>
      <c r="T14" s="14" t="n"/>
    </row>
    <row r="15" ht="96" customHeight="1" s="147">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26">
        <f>HYPERLINK(LEFT(CELL("filename",A1),FIND("[",CELL("filename",A1))-1)&amp;"매뉴얼BODY(집행단계-첨부폴더)v8\4.상부강화노반\14_시공 계획 수립\표준서\시공 계획 수립_표준서.html", "👉 [클릭] 표준서 열기 📄")</f>
        <v/>
      </c>
      <c r="M15" s="22" t="inlineStr">
        <is>
          <t>1) 건진법 제62조 안전관리계획 작성 ➔ 2) 국토안전관리원 전산 적정 심사 ➔ 3) CSI 안전관리 종합망 등록 ➔ 4) 책임감리원 서면 승인</t>
        </is>
      </c>
      <c r="N15" s="126">
        <f>HYPERLINK(LEFT(CELL("filename",A1),FIND("[",CELL("filename",A1))-1)&amp;"매뉴얼BODY(집행단계-첨부폴더)v8\4.상부강화노반\14_시공 계획 수립\수행지침\시공 계획 수립_수행지침.html", "👉 [클릭] 수행지침 열기 📄")</f>
        <v/>
      </c>
      <c r="O15" t="inlineStr">
        <is>
          <t>👉 [클릭] 표준서 열기 📄</t>
        </is>
      </c>
      <c r="P15" s="126">
        <f>HYPERLINK(LEFT(CELL("filename",A1),FIND("[",CELL("filename",A1))-1)&amp;"매뉴얼BODY(집행단계-첨부폴더)v8\4.상부강화노반\14_시공 계획 수립\체크리스트\시공 계획 수립_체크리스트.html", "👉 [클릭] 체크리스트 열기 📄")</f>
        <v/>
      </c>
      <c r="Q15" t="inlineStr">
        <is>
          <t>👉 [클릭] 수행지침 열기 📄</t>
        </is>
      </c>
      <c r="R15" s="23" t="inlineStr">
        <is>
          <t>● 시방 기준 및 토공사 지침 준수</t>
        </is>
      </c>
      <c r="S15" t="inlineStr">
        <is>
          <t>👉 [클릭] 체크리스트 열기 📄</t>
        </is>
      </c>
      <c r="T15" s="14" t="n"/>
    </row>
    <row r="16" ht="96" customHeight="1" s="147">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26">
        <f>HYPERLINK(LEFT(CELL("filename",A1),FIND("[",CELL("filename",A1))-1)&amp;"매뉴얼BODY(집행단계-첨부폴더)v8\4.상부강화노반\15_사토장_토취장 선정 검토(필요시)\표준서\사토장_토취장 선정 검토_표준서.html", "👉 [클릭] 표준서 열기 📄")</f>
        <v/>
      </c>
      <c r="M16" s="22" t="inlineStr">
        <is>
          <t>1) 다짐도/K30/Ev2 시험 빈도 수립 ➔ 2) 현장 시험실 장비 교정 검수 ➔ 3) 착공 14일 전 감리단 제출 ➔ 4) 품질관리계획서 감리 서면 승인</t>
        </is>
      </c>
      <c r="N16" s="126">
        <f>HYPERLINK(LEFT(CELL("filename",A1),FIND("[",CELL("filename",A1))-1)&amp;"매뉴얼BODY(집행단계-첨부폴더)v8\4.상부강화노반\15_사토장_토취장 선정 검토(필요시)\수행지침\사토장_토취장 선정 검토_수행지침.html", "👉 [클릭] 수행지침 열기 📄")</f>
        <v/>
      </c>
      <c r="O16" t="inlineStr">
        <is>
          <t>👉 [클릭] 표준서 열기 📄</t>
        </is>
      </c>
      <c r="P16" s="126">
        <f>HYPERLINK(LEFT(CELL("filename",A1),FIND("[",CELL("filename",A1))-1)&amp;"매뉴얼BODY(집행단계-첨부폴더)v8\4.상부강화노반\15_사토장_토취장 선정 검토(필요시)\체크리스트\사토장_토취장 선정 검토_체크리스트.html", "👉 [클릭] 체크리스트 열기 📄")</f>
        <v/>
      </c>
      <c r="Q16" t="inlineStr">
        <is>
          <t>👉 [클릭] 수행지침 열기 📄</t>
        </is>
      </c>
      <c r="R16" s="23" t="inlineStr">
        <is>
          <t>● 환경 영향 및 골재 채취 인허가 적합성</t>
        </is>
      </c>
      <c r="S16" t="inlineStr">
        <is>
          <t>👉 [클릭] 체크리스트 열기 📄</t>
        </is>
      </c>
      <c r="T16" s="14" t="n"/>
    </row>
    <row r="17" ht="96" customHeight="1" s="147">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26">
        <f>HYPERLINK(LEFT(CELL("filename",A1),FIND("[",CELL("filename",A1))-1)&amp;"매뉴얼BODY(집행단계-첨부폴더)v8\4.상부강화노반\16_공사사전준비\표준서\공사사전준비_표준서.html", "👉 [클릭] 표준서 열기 📄")</f>
        <v/>
      </c>
      <c r="M17" s="22" t="inlineStr">
        <is>
          <t>1) 세륜기(깊이 1.2m) &amp; 방음벽(3m) 설계 ➔ 2) 지자체 비산먼지 발생신고 ➔ 3) 살수차 1일 3회 살수 ➔ 4) 환경관리계획서 감리 서면 승인</t>
        </is>
      </c>
      <c r="N17" s="126">
        <f>HYPERLINK(LEFT(CELL("filename",A1),FIND("[",CELL("filename",A1))-1)&amp;"매뉴얼BODY(집행단계-첨부폴더)v8\4.상부강화노반\16_공사사전준비\수행지침\공사사전준비_수행지침.html", "👉 [클릭] 수행지침 열기 📄")</f>
        <v/>
      </c>
      <c r="O17" t="inlineStr">
        <is>
          <t>👉 [클릭] 표준서 열기 📄</t>
        </is>
      </c>
      <c r="P17" s="126">
        <f>HYPERLINK(LEFT(CELL("filename",A1),FIND("[",CELL("filename",A1))-1)&amp;"매뉴얼BODY(집행단계-첨부폴더)v8\4.상부강화노반\16_공사사전준비\체크리스트\공사사전준비_체크리스트.html", "👉 [클릭] 체크리스트 열기 📄")</f>
        <v/>
      </c>
      <c r="Q17" t="inlineStr">
        <is>
          <t>👉 [클릭] 수행지침 열기 📄</t>
        </is>
      </c>
      <c r="R17" s="23" t="inlineStr">
        <is>
          <t>● 리스크 사전 예방 및 통제 기준</t>
        </is>
      </c>
      <c r="S17" t="inlineStr">
        <is>
          <t>👉 [클릭] 체크리스트 열기 📄</t>
        </is>
      </c>
      <c r="T17" s="14" t="n"/>
    </row>
    <row r="18" ht="96" customHeight="1" s="147">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26">
        <f>HYPERLINK(LEFT(CELL("filename",A1),FIND("[",CELL("filename",A1))-1)&amp;"매뉴얼BODY(집행단계-첨부폴더)v8\4.상부강화노반\17_임시배수시설\표준서\임시배수시설_표준서.html", "👉 [클릭] 표준서 열기 📄")</f>
        <v/>
      </c>
      <c r="M18" s="22" t="inlineStr">
        <is>
          <t>1) 교통 우회 도면 &amp; 차선 설계 ➔ 2) 동탄경찰서 도로점용 허가 ➔ 3) 전담 신호수(2인 2조) 배치 ➔ 4) 교통소통 대책서 감리 서면 승인</t>
        </is>
      </c>
      <c r="N18" s="126">
        <f>HYPERLINK(LEFT(CELL("filename",A1),FIND("[",CELL("filename",A1))-1)&amp;"매뉴얼BODY(집행단계-첨부폴더)v8\4.상부강화노반\17_임시배수시설\수행지침\임시배수시설_수행지침.html", "👉 [클릭] 수행지침 열기 📄")</f>
        <v/>
      </c>
      <c r="O18" t="inlineStr">
        <is>
          <t>👉 [클릭] 표준서 열기 📄</t>
        </is>
      </c>
      <c r="P18" s="126">
        <f>HYPERLINK(LEFT(CELL("filename",A1),FIND("[",CELL("filename",A1))-1)&amp;"매뉴얼BODY(집행단계-첨부폴더)v8\4.상부강화노반\17_임시배수시설\체크리스트\임시배수시설_체크리스트.html", "👉 [클릭] 체크리스트 열기 📄")</f>
        <v/>
      </c>
      <c r="Q18" t="inlineStr">
        <is>
          <t>👉 [클릭] 수행지침 열기 📄</t>
        </is>
      </c>
      <c r="R18" s="23" t="inlineStr">
        <is>
          <t>● 비산먼지 및 수질오염 방지 대책 기준</t>
        </is>
      </c>
      <c r="S18" t="inlineStr">
        <is>
          <t>👉 [클릭] 체크리스트 열기 📄</t>
        </is>
      </c>
      <c r="T18" s="14" t="n"/>
    </row>
    <row r="19" ht="96" customHeight="1" s="147">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26">
        <f>HYPERLINK(LEFT(CELL("filename",A1),FIND("[",CELL("filename",A1))-1)&amp;"매뉴얼BODY(집행단계-첨부폴더)v8\4.상부강화노반\18_쌓기재료 검사\표준서\쌓기재료 검사_표준서.html", "👉 [클릭] 표준서 열기 📄")</f>
        <v/>
      </c>
      <c r="M19" s="22" t="inlineStr">
        <is>
          <t>1) 토공 전문 면허 &amp; 실적 심사 ➔ 2) 하도급 적정성 평가(≥82%) ➔ 3) 노무비 지급 전용계좌 지정 ➔ 4) 하도급 계약 승인 통보서 결재</t>
        </is>
      </c>
      <c r="N19" s="126">
        <f>HYPERLINK(LEFT(CELL("filename",A1),FIND("[",CELL("filename",A1))-1)&amp;"매뉴얼BODY(집행단계-첨부폴더)v8\4.상부강화노반\18_쌓기재료 검사\수행지침\쌓기재료 검사_수행지침.html", "👉 [클릭] 수행지침 열기 📄")</f>
        <v/>
      </c>
      <c r="O19" t="inlineStr">
        <is>
          <t>👉 [클릭] 표준서 열기 📄</t>
        </is>
      </c>
      <c r="P19" s="126">
        <f>HYPERLINK(LEFT(CELL("filename",A1),FIND("[",CELL("filename",A1))-1)&amp;"매뉴얼BODY(집행단계-첨부폴더)v8\4.상부강화노반\18_쌓기재료 검사\체크리스트\쌓기재료 검사_체크리스트.html", "👉 [클릭] 체크리스트 열기 📄")</f>
        <v/>
      </c>
      <c r="Q19" t="inlineStr">
        <is>
          <t>👉 [클릭] 수행지침 열기 📄</t>
        </is>
      </c>
      <c r="R19" s="23" t="inlineStr">
        <is>
          <t>● 토공 성토 재료 규격 기준 준수</t>
        </is>
      </c>
      <c r="S19" t="inlineStr">
        <is>
          <t>👉 [클릭] 체크리스트 열기 📄</t>
        </is>
      </c>
      <c r="T19" s="14" t="n"/>
    </row>
    <row r="20" ht="96" customHeight="1" s="147">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26">
        <f>HYPERLINK(LEFT(CELL("filename",A1),FIND("[",CELL("filename",A1))-1)&amp;"매뉴얼BODY(집행단계-첨부폴더)v8\4.상부강화노반\19_장비 검수 지원\표준서\장비 검수 지원_표준서.html", "👉 [클릭] 표준서 열기 📄")</f>
        <v/>
      </c>
      <c r="M20" s="22" t="inlineStr">
        <is>
          <t>1) KS F 2527 쇄석/유공관 서류 검토 ➔ 2) 공인시험기관 시험성적서 부착 ➔ 3) 자재 승인 신청서 제출 ➔ 4) 자재 반입 검수 및 승인 결재</t>
        </is>
      </c>
      <c r="N20" s="126">
        <f>HYPERLINK(LEFT(CELL("filename",A1),FIND("[",CELL("filename",A1))-1)&amp;"매뉴얼BODY(집행단계-첨부폴더)v8\4.상부강화노반\19_장비 검수 지원\수행지침\장비 검수 지원_수행지침.html", "👉 [클릭] 수행지침 열기 📄")</f>
        <v/>
      </c>
      <c r="O20" t="inlineStr">
        <is>
          <t>👉 [클릭] 표준서 열기 📄</t>
        </is>
      </c>
      <c r="P20" s="126">
        <f>HYPERLINK(LEFT(CELL("filename",A1),FIND("[",CELL("filename",A1))-1)&amp;"매뉴얼BODY(집행단계-첨부폴더)v8\4.상부강화노반\19_장비 검수 지원\체크리스트\장비 검수 지원_체크리스트.html", "👉 [클릭] 체크리스트 열기 📄")</f>
        <v/>
      </c>
      <c r="Q20" t="inlineStr">
        <is>
          <t>👉 [클릭] 수행지침 열기 📄</t>
        </is>
      </c>
      <c r="R20" s="23" t="inlineStr">
        <is>
          <t>● 다짐 장비 기능 및 안전 상태 검증</t>
        </is>
      </c>
      <c r="S20" t="inlineStr">
        <is>
          <t>👉 [클릭] 체크리스트 열기 📄</t>
        </is>
      </c>
      <c r="T20" s="14" t="n"/>
    </row>
    <row r="21" ht="96" customHeight="1" s="147">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26">
        <f>HYPERLINK(LEFT(CELL("filename",A1),FIND("[",CELL("filename",A1))-1)&amp;"매뉴얼BODY(집행단계-첨부폴더)v8\4.상부강화노반\20_선로 종_횡단 및 용지경계측량\표준서\선로 종_횡단 및 용지경계측량_표준서.html", "👉 [클릭] 표준서 열기 📄")</f>
        <v/>
      </c>
      <c r="M21" s="22" t="inlineStr">
        <is>
          <t>1) 50m 시험 다짐 구간 지정 ➔ 2) 쇄석 30cm 두께 포설 ➔ 3) 패스별 침하량(Δh≤1mm) 측정 ➔ 4) 다짐 횟수(강동 4회) 보고서 승인</t>
        </is>
      </c>
      <c r="N21" s="126">
        <f>HYPERLINK(LEFT(CELL("filename",A1),FIND("[",CELL("filename",A1))-1)&amp;"매뉴얼BODY(집행단계-첨부폴더)v8\4.상부강화노반\20_선로 종_횡단 및 용지경계측량\수행지침\선로 종_횡단 및 용지경계측량_수행지침.html", "👉 [클릭] 수행지침 열기 📄")</f>
        <v/>
      </c>
      <c r="O21" t="inlineStr">
        <is>
          <t>👉 [클릭] 표준서 열기 📄</t>
        </is>
      </c>
      <c r="P21" s="126">
        <f>HYPERLINK(LEFT(CELL("filename",A1),FIND("[",CELL("filename",A1))-1)&amp;"매뉴얼BODY(집행단계-첨부폴더)v8\4.상부강화노반\20_선로 종_횡단 및 용지경계측량\체크리스트\선로 종_횡단 및 용지경계측량_체크리스트.html", "👉 [클릭] 체크리스트 열기 📄")</f>
        <v/>
      </c>
      <c r="Q21" t="inlineStr">
        <is>
          <t>👉 [클릭] 수행지침 열기 📄</t>
        </is>
      </c>
      <c r="R21" s="23" t="inlineStr">
        <is>
          <t>● 선로 측량 정밀도 규격 준수</t>
        </is>
      </c>
      <c r="S21" t="inlineStr">
        <is>
          <t>👉 [클릭] 체크리스트 열기 📄</t>
        </is>
      </c>
      <c r="T21" s="14" t="n"/>
    </row>
    <row r="22" ht="115.2" customHeight="1" s="147">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26">
        <f>HYPERLINK(LEFT(CELL("filename",A1),FIND("[",CELL("filename",A1))-1)&amp;"매뉴얼BODY(집행단계-첨부폴더)v8\4.상부강화노반\21_규준틀 설치\표준서\규준틀 설치_표준서.html", "👉 [클릭] 표준서 열기 📄")</f>
        <v/>
      </c>
      <c r="M22" s="22" t="inlineStr">
        <is>
          <t>1) 표토(15~30cm) 제거 &amp; 정전압 다짐 ➔ 2) 원지반 표고 레벨 측량 ➔ 3) K30(≥70 MN/m³) &amp; 펌핑 검측 ➔ 4) 원지반 검측 성과표 감리 승인</t>
        </is>
      </c>
      <c r="N22" s="126">
        <f>HYPERLINK(LEFT(CELL("filename",A1),FIND("[",CELL("filename",A1))-1)&amp;"매뉴얼BODY(집행단계-첨부폴더)v8\4.상부강화노반\21_규준틀 설치\수행지침\규준틀 설치_수행지침.html", "👉 [클릭] 수행지침 열기 📄")</f>
        <v/>
      </c>
      <c r="O22" t="inlineStr">
        <is>
          <t>👉 [클릭] 표준서 열기 📄</t>
        </is>
      </c>
      <c r="P22" s="126">
        <f>HYPERLINK(LEFT(CELL("filename",A1),FIND("[",CELL("filename",A1))-1)&amp;"매뉴얼BODY(집행단계-첨부폴더)v8\4.상부강화노반\21_규준틀 설치\체크리스트\규준틀 설치_체크리스트.html", "👉 [클릭] 체크리스트 열기 📄")</f>
        <v/>
      </c>
      <c r="Q22" t="inlineStr">
        <is>
          <t>👉 [클릭] 수행지침 열기 📄</t>
        </is>
      </c>
      <c r="R22" s="23" t="inlineStr">
        <is>
          <t>● 규준틀 설치 위치 및 간격 한계 기준</t>
        </is>
      </c>
      <c r="S22" t="inlineStr">
        <is>
          <t>👉 [클릭] 체크리스트 열기 📄</t>
        </is>
      </c>
      <c r="T22" s="14" t="n"/>
    </row>
    <row r="23" ht="115.2" customHeight="1" s="147">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26">
        <f>HYPERLINK(LEFT(CELL("filename",A1),FIND("[",CELL("filename",A1))-1)&amp;"매뉴얼BODY(집행단계-첨부폴더)v8\4.상부강화노반\22_준비배수\표준서\준비배수_표준서.html", "👉 [클릭] 표준서 열기 📄")</f>
        <v/>
      </c>
      <c r="M23" s="22" t="inlineStr">
        <is>
          <t>1) 하부노반 30cm 층포설 &amp; 다짐 ➔ 2) 들밀도(≥90%) &amp; K30(≥90) 시험 ➔ 3) 마무리면 레벨 오차(±20mm) 검측 ➔ 4) 하부노반 검측서 감리 승인</t>
        </is>
      </c>
      <c r="N23" s="126">
        <f>HYPERLINK(LEFT(CELL("filename",A1),FIND("[",CELL("filename",A1))-1)&amp;"매뉴얼BODY(집행단계-첨부폴더)v8\4.상부강화노반\22_준비배수\수행지침\준비배수_수행지침.html", "👉 [클릭] 수행지침 열기 📄")</f>
        <v/>
      </c>
      <c r="O23" t="inlineStr">
        <is>
          <t>👉 [클릭] 표준서 열기 📄</t>
        </is>
      </c>
      <c r="P23" s="126">
        <f>HYPERLINK(LEFT(CELL("filename",A1),FIND("[",CELL("filename",A1))-1)&amp;"매뉴얼BODY(집행단계-첨부폴더)v8\4.상부강화노반\22_준비배수\체크리스트\준비배수_체크리스트.html", "👉 [클릭] 체크리스트 열기 📄")</f>
        <v/>
      </c>
      <c r="Q23" t="inlineStr">
        <is>
          <t>👉 [클릭] 수행지침 열기 📄</t>
        </is>
      </c>
      <c r="R23" s="23" t="inlineStr">
        <is>
          <t>● 지하수 및 지표수 유도 배수 기준</t>
        </is>
      </c>
      <c r="S23" t="inlineStr">
        <is>
          <t>👉 [클릭] 체크리스트 열기 📄</t>
        </is>
      </c>
      <c r="T23" s="14" t="n"/>
    </row>
    <row r="24" ht="115.2" customHeight="1" s="147">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26">
        <f>HYPERLINK(LEFT(CELL("filename",A1),FIND("[",CELL("filename",A1))-1)&amp;"매뉴얼BODY(집행단계-첨부폴더)v8\4.상부강화노반\23_벌개제근_표토제거\표준서\벌개제근_표토제거_표준서.html", "👉 [클릭] 표준서 열기 📄")</f>
        <v/>
      </c>
      <c r="M24" s="22" t="inlineStr">
        <is>
          <t>1) 상부노반 토사 30cm 포설 ➔ 2) 맹암거 부직포(200g/m²) 부설 ➔ 3) HDPE 유공관(Ø200mm) 종단 연결 ➔ 4) 상부노반 시공 감리 서면 승인</t>
        </is>
      </c>
      <c r="N24" s="126">
        <f>HYPERLINK(LEFT(CELL("filename",A1),FIND("[",CELL("filename",A1))-1)&amp;"매뉴얼BODY(집행단계-첨부폴더)v8\4.상부강화노반\23_벌개제근_표토제거\수행지침\벌개제근_표토제거_수행지침.html", "👉 [클릭] 수행지침 열기 📄")</f>
        <v/>
      </c>
      <c r="O24" t="inlineStr">
        <is>
          <t>👉 [클릭] 표준서 열기 📄</t>
        </is>
      </c>
      <c r="P24" s="126">
        <f>HYPERLINK(LEFT(CELL("filename",A1),FIND("[",CELL("filename",A1))-1)&amp;"매뉴얼BODY(집행단계-첨부폴더)v8\4.상부강화노반\23_벌개제근_표토제거\체크리스트\벌개제근_표토제거_체크리스트.html", "👉 [클릭] 체크리스트 열기 📄")</f>
        <v/>
      </c>
      <c r="Q24" t="inlineStr">
        <is>
          <t>👉 [클릭] 수행지침 열기 📄</t>
        </is>
      </c>
      <c r="R24" s="23" t="inlineStr">
        <is>
          <t>● 제거 대상 잔재물 처리 기준</t>
        </is>
      </c>
      <c r="S24" t="inlineStr">
        <is>
          <t>👉 [클릭] 체크리스트 열기 📄</t>
        </is>
      </c>
      <c r="T24" s="14" t="n"/>
    </row>
    <row r="25" ht="115.2" customHeight="1" s="147">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26">
        <f>HYPERLINK(LEFT(CELL("filename",A1),FIND("[",CELL("filename",A1))-1)&amp;"매뉴얼BODY(집행단계-첨부폴더)v8\4.상부강화노반\24_구조물 및 지장물 제거\표준서\구조물 및 지장물 제거_표준서.html", "👉 [클릭] 표준서 열기 📄")</f>
        <v/>
      </c>
      <c r="M25" s="22" t="inlineStr">
        <is>
          <t>1) 3D GPS 모터그레이더 쇄석(50mm) 30cm 포설 ➔ 2) 살수차 최적함수비 OMC 살수 ➔ 3) 강동 4회 + 타이어 2회 다짐 ➔ 4) 표고 오차(±10mm) 검측 감리 승인</t>
        </is>
      </c>
      <c r="N25" s="126">
        <f>HYPERLINK(LEFT(CELL("filename",A1),FIND("[",CELL("filename",A1))-1)&amp;"매뉴얼BODY(집행단계-첨부폴더)v8\4.상부강화노반\24_구조물 및 지장물 제거\수행지침\구조물 및 지장물 제거_수행지침.html", "👉 [클릭] 수행지침 열기 📄")</f>
        <v/>
      </c>
      <c r="O25" t="inlineStr">
        <is>
          <t>👉 [클릭] 표준서 열기 📄</t>
        </is>
      </c>
      <c r="P25" s="126">
        <f>HYPERLINK(LEFT(CELL("filename",A1),FIND("[",CELL("filename",A1))-1)&amp;"매뉴얼BODY(집행단계-첨부폴더)v8\4.상부강화노반\24_구조물 및 지장물 제거\체크리스트\구조물 및 지장물 제거_체크리스트.html", "👉 [클릭] 체크리스트 열기 📄")</f>
        <v/>
      </c>
      <c r="Q25" t="inlineStr">
        <is>
          <t>👉 [클릭] 수행지침 열기 📄</t>
        </is>
      </c>
      <c r="R25" s="23" t="inlineStr">
        <is>
          <t>● 지장물 철거 및 처리 규정 준수</t>
        </is>
      </c>
      <c r="S25" t="inlineStr">
        <is>
          <t>👉 [클릭] 체크리스트 열기 📄</t>
        </is>
      </c>
      <c r="T25" s="14" t="n"/>
    </row>
    <row r="26" ht="115.2" customHeight="1" s="147">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26">
        <f>HYPERLINK(LEFT(CELL("filename",A1),FIND("[",CELL("filename",A1))-1)&amp;"매뉴얼BODY(집행단계-첨부폴더)v8\4.상부강화노반\25_진입로 조성\표준서\진입로 조성_표준서.html", "👉 [클릭] 표준서 열기 📄")</f>
        <v/>
      </c>
      <c r="M26" s="22" t="inlineStr">
        <is>
          <t>1) 들밀도 시험(다짐도 ≥ 95%) ➔ 2) K30 평판재하시험(≥ 110 MN/m³) ➔ 3) 동적변형계수 Ev2(≥ 60 MPa) 시험 ➔ 4) 다짐 검측 종합 보고서 승인</t>
        </is>
      </c>
      <c r="N26" s="126">
        <f>HYPERLINK(LEFT(CELL("filename",A1),FIND("[",CELL("filename",A1))-1)&amp;"매뉴얼BODY(집행단계-첨부폴더)v8\4.상부강화노반\25_진입로 조성\수행지침\진입로 조성_수행지침.html", "👉 [클릭] 수행지침 열기 📄")</f>
        <v/>
      </c>
      <c r="O26" t="inlineStr">
        <is>
          <t>👉 [클릭] 표준서 열기 📄</t>
        </is>
      </c>
      <c r="P26" s="126">
        <f>HYPERLINK(LEFT(CELL("filename",A1),FIND("[",CELL("filename",A1))-1)&amp;"매뉴얼BODY(집행단계-첨부폴더)v8\4.상부강화노반\25_진입로 조성\체크리스트\진입로 조성_체크리스트.html", "👉 [클릭] 체크리스트 열기 📄")</f>
        <v/>
      </c>
      <c r="Q26" t="inlineStr">
        <is>
          <t>👉 [클릭] 수행지침 열기 📄</t>
        </is>
      </c>
      <c r="R26" s="23" t="inlineStr">
        <is>
          <t>● 가설 도로 시공 규격 및 배수 조건 준수</t>
        </is>
      </c>
      <c r="S26" t="inlineStr">
        <is>
          <t>👉 [클릭] 체크리스트 열기 📄</t>
        </is>
      </c>
      <c r="T26" s="14" t="n"/>
    </row>
    <row r="27" ht="115.2" customHeight="1" s="147">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26">
        <f>HYPERLINK(LEFT(CELL("filename",A1),FIND("[",CELL("filename",A1))-1)&amp;"매뉴얼BODY(집행단계-첨부폴더)v8\4.상부강화노반\26_노반쌓기\표준서\노반쌓기_표준서.html", "👉 [클릭] 표준서 열기 📄")</f>
        <v/>
      </c>
      <c r="M27" s="22" t="inlineStr">
        <is>
          <t>1) Ø300mm 재하판 산모래 밀착 ➔ 2) 15t 유압 잭 &amp; 다이얼 게이지 교정 ➔ 3) 1.25mm 침하 P-S 곡선 산출 ➔ 4) K30 ≥ 110 MN/m³ 성적서 승인</t>
        </is>
      </c>
      <c r="N27" s="126">
        <f>HYPERLINK(LEFT(CELL("filename",A1),FIND("[",CELL("filename",A1))-1)&amp;"매뉴얼BODY(집행단계-첨부폴더)v8\4.상부강화노반\26_노반쌓기\수행지침\노반쌓기_수행지침.html", "👉 [클릭] 수행지침 열기 📄")</f>
        <v/>
      </c>
      <c r="O27" t="inlineStr">
        <is>
          <t>👉 [클릭] 표준서 열기 📄</t>
        </is>
      </c>
      <c r="P27" s="126">
        <f>HYPERLINK(LEFT(CELL("filename",A1),FIND("[",CELL("filename",A1))-1)&amp;"매뉴얼BODY(집행단계-첨부폴더)v8\4.상부강화노반\26_노반쌓기\체크리스트\노반쌓기_체크리스트.html", "👉 [클릭] 체크리스트 열기 📄")</f>
        <v/>
      </c>
      <c r="Q27" t="inlineStr">
        <is>
          <t>👉 [클릭] 수행지침 열기 📄</t>
        </is>
      </c>
      <c r="R27" s="23" t="inlineStr">
        <is>
          <t>● 다짐도 및 층두께 규격 준수</t>
        </is>
      </c>
      <c r="S27" t="inlineStr">
        <is>
          <t>👉 [클릭] 체크리스트 열기 📄</t>
        </is>
      </c>
      <c r="T27" s="14" t="n"/>
    </row>
    <row r="28" ht="115.2" customHeight="1" s="147">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26">
        <f>HYPERLINK(LEFT(CELL("filename",A1),FIND("[",CELL("filename",A1))-1)&amp;"매뉴얼BODY(집행단계-첨부폴더)v8\4.상부강화노반\27_하부노반 시공\표준서\하부노반 시공_표준서.html", "👉 [클릭] 표준서 열기 📄")</f>
        <v/>
      </c>
      <c r="M28" s="22" t="inlineStr">
        <is>
          <t>1) LWD 동적 평판재하시험기 교정 ➔ 2) 1,000m²당 1회 무작위 시험 ➔ 3) 1차/2차 하중 재하 Ev2/Ev1 산출 ➔ 4) Ev2 ≥ 60 MPa 성적서 감리 승인</t>
        </is>
      </c>
      <c r="N28" s="126">
        <f>HYPERLINK(LEFT(CELL("filename",A1),FIND("[",CELL("filename",A1))-1)&amp;"매뉴얼BODY(집행단계-첨부폴더)v8\4.상부강화노반\27_하부노반 시공\수행지침\하부노반 시공_수행지침.html", "👉 [클릭] 수행지침 열기 📄")</f>
        <v/>
      </c>
      <c r="O28" t="inlineStr">
        <is>
          <t>👉 [클릭] 표준서 열기 📄</t>
        </is>
      </c>
      <c r="P28" s="126">
        <f>HYPERLINK(LEFT(CELL("filename",A1),FIND("[",CELL("filename",A1))-1)&amp;"매뉴얼BODY(집행단계-첨부폴더)v8\4.상부강화노반\27_하부노반 시공\체크리스트\하부노반 시공_체크리스트.html", "👉 [클릭] 체크리스트 열기 📄")</f>
        <v/>
      </c>
      <c r="Q28" t="inlineStr">
        <is>
          <t>👉 [클릭] 수행지침 열기 📄</t>
        </is>
      </c>
      <c r="R28" s="23" t="inlineStr">
        <is>
          <t>● 하부노반 재료 규격 및 최대 입경 준수</t>
        </is>
      </c>
      <c r="S28" t="inlineStr">
        <is>
          <t>👉 [클릭] 체크리스트 열기 📄</t>
        </is>
      </c>
      <c r="T28" s="14" t="n"/>
    </row>
    <row r="29" ht="115.2" customHeight="1" s="147">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26">
        <f>HYPERLINK(LEFT(CELL("filename",A1),FIND("[",CELL("filename",A1))-1)&amp;"매뉴얼BODY(집행단계-첨부폴더)v8\4.상부강화노반\28_상부노반 시공\표준서\상부노반 시공_표준서.html", "👉 [클릭] 표준서 열기 📄")</f>
        <v/>
      </c>
      <c r="M29" s="22" t="inlineStr">
        <is>
          <t>1) 3m 알루미늄 직선자 교정 ➔ 2) 20m 간격 종횡단 연속 검측 ➔ 3) 갭 오차(±10mm) 요철 삭평/재다짐 ➔ 4) 평탄성 검측 성과표 감리 승인</t>
        </is>
      </c>
      <c r="N29" s="126">
        <f>HYPERLINK(LEFT(CELL("filename",A1),FIND("[",CELL("filename",A1))-1)&amp;"매뉴얼BODY(집행단계-첨부폴더)v8\4.상부강화노반\28_상부노반 시공\수행지침\상부노반 시공_수행지침.html", "👉 [클릭] 수행지침 열기 📄")</f>
        <v/>
      </c>
      <c r="O29" t="inlineStr">
        <is>
          <t>👉 [클릭] 표준서 열기 📄</t>
        </is>
      </c>
      <c r="P29" s="126">
        <f>HYPERLINK(LEFT(CELL("filename",A1),FIND("[",CELL("filename",A1))-1)&amp;"매뉴얼BODY(집행단계-첨부폴더)v8\4.상부강화노반\28_상부노반 시공\체크리스트\상부노반 시공_체크리스트.html", "👉 [클릭] 체크리스트 열기 📄")</f>
        <v/>
      </c>
      <c r="Q29" t="inlineStr">
        <is>
          <t>👉 [클릭] 수행지침 열기 📄</t>
        </is>
      </c>
      <c r="R29" s="23" t="inlineStr">
        <is>
          <t>● 상부노반 재료 규격 및 다짐 기준 만족</t>
        </is>
      </c>
      <c r="S29" t="inlineStr">
        <is>
          <t>👉 [클릭] 체크리스트 열기 📄</t>
        </is>
      </c>
      <c r="T29" s="14" t="n"/>
    </row>
    <row r="30" ht="115.2" customHeight="1" s="147">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26">
        <f>HYPERLINK(LEFT(CELL("filename",A1),FIND("[",CELL("filename",A1))-1)&amp;"매뉴얼BODY(집행단계-첨부폴더)v8\4.상부강화노반\29_강화노반 시공\표준서\강화노반 시공_표준서.html", "👉 [클릭] 표준서 열기 📄")</f>
        <v/>
      </c>
      <c r="M30" s="22" t="inlineStr">
        <is>
          <t>1) GRS80 토탈스테이션 정밀 세팅 ➔ 2) 10m 간격 중심선 &amp; 표고 실측 ➔ 3) 3D BIM CAD 좌표(오차 ±10mm) 대조 ➔ 4) 종횡단 성과표 감리 승인</t>
        </is>
      </c>
      <c r="N30" s="126">
        <f>HYPERLINK(LEFT(CELL("filename",A1),FIND("[",CELL("filename",A1))-1)&amp;"매뉴얼BODY(집행단계-첨부폴더)v8\4.상부강화노반\29_강화노반 시공\수행지침\강화노반 시공_수행지침.html", "👉 [클릭] 수행지침 열기 📄")</f>
        <v/>
      </c>
      <c r="O30" t="inlineStr">
        <is>
          <t>👉 [클릭] 표준서 열기 📄</t>
        </is>
      </c>
      <c r="P30" s="126">
        <f>HYPERLINK(LEFT(CELL("filename",A1),FIND("[",CELL("filename",A1))-1)&amp;"매뉴얼BODY(집행단계-첨부폴더)v8\4.상부강화노반\29_강화노반 시공\체크리스트\강화노반 시공_체크리스트.html", "👉 [클릭] 체크리스트 열기 📄")</f>
        <v/>
      </c>
      <c r="Q30" t="inlineStr">
        <is>
          <t>👉 [클릭] 수행지침 열기 📄</t>
        </is>
      </c>
      <c r="R30" s="23" t="inlineStr">
        <is>
          <t>● 입도조정 쇄석 품질 및 다짐도(98% 이상) 준수</t>
        </is>
      </c>
      <c r="S30" t="inlineStr">
        <is>
          <t>👉 [클릭] 체크리스트 열기 📄</t>
        </is>
      </c>
      <c r="T30" s="14" t="n"/>
    </row>
    <row r="31" ht="115.2" customHeight="1" s="147">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26">
        <f>HYPERLINK(LEFT(CELL("filename",A1),FIND("[",CELL("filename",A1))-1)&amp;"매뉴얼BODY(집행단계-첨부폴더)v8\4.상부강화노반\30_토공 유동운반_사토\표준서\토공 유동운반_사토_표준서.html", "👉 [클릭] 표준서 열기 📄")</f>
        <v/>
      </c>
      <c r="M31" s="22" t="inlineStr">
        <is>
          <t>1) 감리단 NCR 통지서 수령 ➔ 2) 해당 구역 표면 15cm 파쇄 &amp; OMC 재다짐 ➔ 3) 1:1 재검측(다짐도/K30/Ev2) ➔ 4) NCR 조치 결과 보고서 감리 종결 승인</t>
        </is>
      </c>
      <c r="N31" s="126">
        <f>HYPERLINK(LEFT(CELL("filename",A1),FIND("[",CELL("filename",A1))-1)&amp;"매뉴얼BODY(집행단계-첨부폴더)v8\4.상부강화노반\30_토공 유동운반_사토\수행지침\토공 유동운반_사토_수행지침.html", "👉 [클릭] 수행지침 열기 📄")</f>
        <v/>
      </c>
      <c r="O31" t="inlineStr">
        <is>
          <t>👉 [클릭] 표준서 열기 📄</t>
        </is>
      </c>
      <c r="P31" s="126">
        <f>HYPERLINK(LEFT(CELL("filename",A1),FIND("[",CELL("filename",A1))-1)&amp;"매뉴얼BODY(집행단계-첨부폴더)v8\4.상부강화노반\30_토공 유동운반_사토\체크리스트\토공 유동운반_사토_체크리스트.html", "👉 [클릭] 체크리스트 열기 📄")</f>
        <v/>
      </c>
      <c r="Q31" t="inlineStr">
        <is>
          <t>👉 [클릭] 수행지침 열기 📄</t>
        </is>
      </c>
      <c r="R31" s="23" t="inlineStr">
        <is>
          <t>● 사토장 운영 및 토량 배분 지침 준수</t>
        </is>
      </c>
      <c r="S31" t="inlineStr">
        <is>
          <t>👉 [클릭] 체크리스트 열기 📄</t>
        </is>
      </c>
      <c r="T31" s="14" t="n"/>
    </row>
    <row r="32" ht="115.2" customHeight="1" s="147">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26">
        <f>HYPERLINK(LEFT(CELL("filename",A1),FIND("[",CELL("filename",A1))-1)&amp;"매뉴얼BODY(집행단계-첨부폴더)v8\4.상부강화노반\31_연약지반처리(필요시)\표준서\연약지반처리_표준서.html", "👉 [클릭] 표준서 열기 📄")</f>
        <v/>
      </c>
      <c r="M32" s="22" t="inlineStr">
        <is>
          <t>1) 성토 사면 경사(1:1.5 이하) 측량 ➔ 2) 사면 다짐도(≥ 90%) 검측 ➔ 3) 식생 거적(Jute Mat) 30cm 겹침 부설 ➔ 4) 사면 다짐 성과표 감리 승인</t>
        </is>
      </c>
      <c r="N32" s="126">
        <f>HYPERLINK(LEFT(CELL("filename",A1),FIND("[",CELL("filename",A1))-1)&amp;"매뉴얼BODY(집행단계-첨부폴더)v8\4.상부강화노반\31_연약지반처리(필요시)\수행지침\연약지반처리_수행지침.html", "👉 [클릭] 수행지침 열기 📄")</f>
        <v/>
      </c>
      <c r="O32" t="inlineStr">
        <is>
          <t>👉 [클릭] 표준서 열기 📄</t>
        </is>
      </c>
      <c r="P32" s="126">
        <f>HYPERLINK(LEFT(CELL("filename",A1),FIND("[",CELL("filename",A1))-1)&amp;"매뉴얼BODY(집행단계-첨부폴더)v8\4.상부강화노반\31_연약지반처리(필요시)\체크리스트\연약지반처리_체크리스트.html", "👉 [클릭] 체크리스트 열기 📄")</f>
        <v/>
      </c>
      <c r="Q32" t="inlineStr">
        <is>
          <t>👉 [클릭] 수행지침 열기 📄</t>
        </is>
      </c>
      <c r="R32" s="23" t="inlineStr">
        <is>
          <t>● 개량 공법 규격 및 침하량 관리 기준 준수</t>
        </is>
      </c>
      <c r="S32" t="inlineStr">
        <is>
          <t>👉 [클릭] 체크리스트 열기 📄</t>
        </is>
      </c>
      <c r="T32" s="14" t="n"/>
    </row>
    <row r="33" ht="115.2" customHeight="1" s="147">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26">
        <f>HYPERLINK(LEFT(CELL("filename",A1),FIND("[",CELL("filename",A1))-1)&amp;"매뉴얼BODY(집행단계-첨부폴더)v8\4.상부강화노반\32_절성토경계부 배수구조물(맹암거) 시공\표준서\절성토경계부 배수구조물 시공_표준서.html", "👉 [클릭] 표준서 열기 📄")</f>
        <v/>
      </c>
      <c r="M33" s="22" t="inlineStr">
        <is>
          <t>1) U형 측구 기초 버림(10cm) 타설 ➔ 2) U형 측구(0.4×0.4m) 부설 &amp; 인버트 사춤 ➔ 3) 주철 그레이팅 체결 &amp; 담수 시험 ➔ 4) 배수시설 검측서 감리 승인</t>
        </is>
      </c>
      <c r="N33" s="126">
        <f>HYPERLINK(LEFT(CELL("filename",A1),FIND("[",CELL("filename",A1))-1)&amp;"매뉴얼BODY(집행단계-첨부폴더)v8\4.상부강화노반\32_절성토경계부 배수구조물(맹암거) 시공\수행지침\절성토경계부 배수구조물 시공_수행지침.html", "👉 [클릭] 수행지침 열기 📄")</f>
        <v/>
      </c>
      <c r="O33" t="inlineStr">
        <is>
          <t>👉 [클릭] 표준서 열기 📄</t>
        </is>
      </c>
      <c r="P33" s="126">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t="inlineStr">
        <is>
          <t>👉 [클릭] 수행지침 열기 📄</t>
        </is>
      </c>
      <c r="R33" s="23" t="inlineStr">
        <is>
          <t>● 맹암거 구배 및 필터재료 규격 준수</t>
        </is>
      </c>
      <c r="S33" t="inlineStr">
        <is>
          <t>👉 [클릭] 체크리스트 열기 📄</t>
        </is>
      </c>
      <c r="T33" s="14" t="n"/>
    </row>
    <row r="34" ht="115.2" customHeight="1" s="147">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26">
        <f>HYPERLINK(LEFT(CELL("filename",A1),FIND("[",CELL("filename",A1))-1)&amp;"매뉴얼BODY(집행단계-첨부폴더)v8\4.상부강화노반\33_암석쌓기\표준서\암석쌓기_표준서.html", "👉 [클릭] 표준서 열기 📄")</f>
        <v/>
      </c>
      <c r="M34" s="22" t="inlineStr">
        <is>
          <t>1) 완성면 통제 바리케이트 설치 ➔ 2) 미세 분무 살수 &amp; 비닐 덮개 야적 ➔ 3) 일일 완성면 훼손 점검 ➔ 4) 완성면 보호 점검 대장 감리 승인</t>
        </is>
      </c>
      <c r="N34" s="126">
        <f>HYPERLINK(LEFT(CELL("filename",A1),FIND("[",CELL("filename",A1))-1)&amp;"매뉴얼BODY(집행단계-첨부폴더)v8\4.상부강화노반\33_암석쌓기\수행지침\암석쌓기_수행지침.html", "👉 [클릭] 수행지침 열기 📄")</f>
        <v/>
      </c>
      <c r="O34" t="inlineStr">
        <is>
          <t>👉 [클릭] 표준서 열기 📄</t>
        </is>
      </c>
      <c r="P34" s="126">
        <f>HYPERLINK(LEFT(CELL("filename",A1),FIND("[",CELL("filename",A1))-1)&amp;"매뉴얼BODY(집행단계-첨부폴더)v8\4.상부강화노반\33_암석쌓기\체크리스트\암석쌓기_체크리스트.html", "👉 [클릭] 체크리스트 열기 📄")</f>
        <v/>
      </c>
      <c r="Q34" t="inlineStr">
        <is>
          <t>👉 [클릭] 수행지침 열기 📄</t>
        </is>
      </c>
      <c r="R34" s="23" t="inlineStr">
        <is>
          <t>● 암석 최대 치수 및 공극 충전 공법 준수</t>
        </is>
      </c>
      <c r="S34" t="inlineStr">
        <is>
          <t>👉 [클릭] 체크리스트 열기 📄</t>
        </is>
      </c>
      <c r="T34" s="14" t="n"/>
    </row>
    <row r="35" ht="115.2" customHeight="1" s="147">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26">
        <f>HYPERLINK(LEFT(CELL("filename",A1),FIND("[",CELL("filename",A1))-1)&amp;"매뉴얼BODY(집행단계-첨부폴더)v8\4.상부강화노반\34_방치기간 확보\표준서\방치기간 확보_표준서.html", "👉 [클릭] 표준서 열기 📄")</f>
        <v/>
      </c>
      <c r="M35" s="22" t="inlineStr">
        <is>
          <t>1) 일일 인원/장비/물량 집계 ➔ 2) 품질 시험 성적 &amp; TBM 수록 ➔ 3) CSI 전산 시스템 등록 ➔ 4) 책임감리원 일일 서면 직인 결재</t>
        </is>
      </c>
      <c r="N35" s="126">
        <f>HYPERLINK(LEFT(CELL("filename",A1),FIND("[",CELL("filename",A1))-1)&amp;"매뉴얼BODY(집행단계-첨부폴더)v8\4.상부강화노반\34_방치기간 확보\수행지침\방치기간 확보_수행지침.html", "👉 [클릭] 수행지침 열기 📄")</f>
        <v/>
      </c>
      <c r="O35" t="inlineStr">
        <is>
          <t>👉 [클릭] 표준서 열기 📄</t>
        </is>
      </c>
      <c r="P35" s="126">
        <f>HYPERLINK(LEFT(CELL("filename",A1),FIND("[",CELL("filename",A1))-1)&amp;"매뉴얼BODY(집행단계-첨부폴더)v8\4.상부강화노반\34_방치기간 확보\체크리스트\방치기간 확보_체크리스트.html", "👉 [클릭] 체크리스트 열기 📄")</f>
        <v/>
      </c>
      <c r="Q35" t="inlineStr">
        <is>
          <t>👉 [클릭] 수행지침 열기 📄</t>
        </is>
      </c>
      <c r="R35" s="23" t="inlineStr">
        <is>
          <t>● 노반 잔류침하량 수렴 기준 확인</t>
        </is>
      </c>
      <c r="S35" t="inlineStr">
        <is>
          <t>👉 [클릭] 체크리스트 열기 📄</t>
        </is>
      </c>
      <c r="T35" s="14" t="n"/>
    </row>
    <row r="36" ht="115.2" customHeight="1" s="147">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26">
        <f>HYPERLINK(LEFT(CELL("filename",A1),FIND("[",CELL("filename",A1))-1)&amp;"매뉴얼BODY(집행단계-첨부폴더)v8\4.상부강화노반\35_토공마무리\표준서\토공마무리_표준서.html", "👉 [클릭] 표준서 열기 📄")</f>
        <v/>
      </c>
      <c r="M36" s="22" t="inlineStr">
        <is>
          <t>1) 공종별 검측요청서 24시간 전 제출 ➔ 2) 책임감리원 1:1 현장 입회 ➔ 3) 16개 체크리스트 서명 ➔ 4) 검측 총괄 승인 대장 감리 결재</t>
        </is>
      </c>
      <c r="N36" s="126">
        <f>HYPERLINK(LEFT(CELL("filename",A1),FIND("[",CELL("filename",A1))-1)&amp;"매뉴얼BODY(집행단계-첨부폴더)v8\4.상부강화노반\35_토공마무리\수행지침\토공마무리_수행지침.html", "👉 [클릭] 수행지침 열기 📄")</f>
        <v/>
      </c>
      <c r="O36" t="inlineStr">
        <is>
          <t>👉 [클릭] 표준서 열기 📄</t>
        </is>
      </c>
      <c r="P36" s="126">
        <f>HYPERLINK(LEFT(CELL("filename",A1),FIND("[",CELL("filename",A1))-1)&amp;"매뉴얼BODY(집행단계-첨부폴더)v8\4.상부강화노반\35_토공마무리\체크리스트\토공마무리_체크리스트.html", "👉 [클릭] 체크리스트 열기 📄")</f>
        <v/>
      </c>
      <c r="Q36" t="inlineStr">
        <is>
          <t>👉 [클릭] 수행지침 열기 📄</t>
        </is>
      </c>
      <c r="R36" s="23" t="inlineStr">
        <is>
          <t>● 설계 종횡단 경사 및 평탄성 만족</t>
        </is>
      </c>
      <c r="S36" t="inlineStr">
        <is>
          <t>👉 [클릭] 체크리스트 열기 📄</t>
        </is>
      </c>
      <c r="T36" s="14" t="n"/>
    </row>
    <row r="37" ht="96" customHeight="1" s="147">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26">
        <f>HYPERLINK(LEFT(CELL("filename",A1),FIND("[",CELL("filename",A1))-1)&amp;"매뉴얼BODY(집행단계-첨부폴더)v8\4.상부강화노반\36_토공 마무리면 인계\표준서\토공 마무리면 인계_표준서.html", "👉 [클릭] 표준서 열기 📄")</f>
        <v/>
      </c>
      <c r="M37" s="22" t="inlineStr">
        <is>
          <t>1) 3자(토공-궤도-감리) 합동 현측 ➔ 2) 표고(±10mm) &amp; K30(≥110) 재검측 ➔ 3) 인계인수 합의서 3자 서명 ➔ 4) 상부강화노반 최종 완공 통보</t>
        </is>
      </c>
      <c r="N37" s="126">
        <f>HYPERLINK(LEFT(CELL("filename",A1),FIND("[",CELL("filename",A1))-1)&amp;"매뉴얼BODY(집행단계-첨부폴더)v8\4.상부강화노반\36_토공 마무리면 인계\수행지침\토공 마무리면 인계_수행지침.html", "👉 [클릭] 수행지침 열기 📄")</f>
        <v/>
      </c>
      <c r="O37" t="inlineStr">
        <is>
          <t>👉 [클릭] 표준서 열기 📄</t>
        </is>
      </c>
      <c r="P37" s="126">
        <f>HYPERLINK(LEFT(CELL("filename",A1),FIND("[",CELL("filename",A1))-1)&amp;"매뉴얼BODY(집행단계-첨부폴더)v8\4.상부강화노반\36_토공 마무리면 인계\체크리스트\토공 마무리면 인계_체크리스트.html", "👉 [클릭] 체크리스트 열기 📄")</f>
        <v/>
      </c>
      <c r="Q37" t="inlineStr">
        <is>
          <t>👉 [클릭] 수행지침 열기 📄</t>
        </is>
      </c>
      <c r="R37" s="23" t="inlineStr">
        <is>
          <t>● 후속 공종 인도 기준 오차 관리</t>
        </is>
      </c>
      <c r="S37" t="inlineStr">
        <is>
          <t>👉 [클릭]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47" min="16" max="16"/>
    <col hidden="1" width="11.8984375" customWidth="1" style="3" min="17" max="17"/>
    <col width="11.8984375" customWidth="1" style="147" min="18" max="19"/>
    <col width="11.8984375" customWidth="1" style="3" min="20" max="53"/>
    <col width="11.8984375" customWidth="1" style="3" min="54"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47">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26">
        <f>HYPERLINK(LEFT(CELL("filename",A1),FIND("[",CELL("filename",A1))-1)&amp;"매뉴얼BODY(집행단계-첨부폴더)v8\5.콘크리트도상\1_설계적정성 검토\표준서\설계적정성 검토_표준서.html", "👉 [클릭] 표준서 열기 📄")</f>
        <v/>
      </c>
      <c r="M2" s="14" t="inlineStr">
        <is>
          <t>1) 하부 HBS 강화노반 지지력(K70 ≥ 150 MPa/m) 및 평탄성 사전 검측 확인
2) 궤도 정밀 검측: 궤간(1435mm), 캔트(±2mm), 수평(±2mm), 고저(±2mm/10m), 비틀림(1.5mm/3m) 실시간 검측</t>
        </is>
      </c>
      <c r="N2" s="126">
        <f>HYPERLINK(LEFT(CELL("filename",A1),FIND("[",CELL("filename",A1))-1)&amp;"매뉴얼BODY(집행단계-첨부폴더)v8\5.콘크리트도상\1_설계적정성 검토\수행지침\설계적정성 검토_수행지침.html", "👉 [클릭] 수행지침 열기 📄")</f>
        <v/>
      </c>
      <c r="O2" s="14" t="inlineStr">
        <is>
          <t>설계 도면 간섭 검속, 궤도 중심선 계획 표고 대조, 종단 구배 한계치 준수 확인</t>
        </is>
      </c>
      <c r="P2" s="126">
        <f>HYPERLINK(LEFT(CELL("filename",A1),FIND("[",CELL("filename",A1))-1)&amp;"매뉴얼BODY(집행단계-첨부폴더)v8\5.콘크리트도상\1_설계적정성 검토\체크리스트\설계적정성 검토_체크리스트.html", "👉 [클릭] 체크리스트 열기 📄")</f>
        <v/>
      </c>
      <c r="Q2" s="13" t="n"/>
      <c r="R2" s="14" t="inlineStr">
        <is>
          <t>● 노반부 및 궤도 선형 기하학적 설계 기준 일치성</t>
        </is>
      </c>
      <c r="S2" s="17" t="inlineStr">
        <is>
          <t>1) 👉 [더블클릭] 체크리스트 열기 📄</t>
        </is>
      </c>
      <c r="T2" s="14" t="n"/>
    </row>
    <row r="3" ht="96" customHeight="1" s="147">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26">
        <f>HYPERLINK(LEFT(CELL("filename",A1),FIND("[",CELL("filename",A1))-1)&amp;"매뉴얼BODY(집행단계-첨부폴더)v8\5.콘크리트도상\2_자재 야적장 선정\표준서\자재 야적장 선정_표준서.html", "👉 [클릭] 표준서 열기 📄")</f>
        <v/>
      </c>
      <c r="M3" s="14" t="inlineStr">
        <is>
          <t>1) 야적 부지 지반재하시험(K70 ≥ 150 MPa/m)을 실시하여 하중 침하 여부 사전 검증
2) 장대레일 운반 트레일러(길이 30m 이상) 회전반경 및 크레인 인양 진입로 확보</t>
        </is>
      </c>
      <c r="N3" s="126">
        <f>HYPERLINK(LEFT(CELL("filename",A1),FIND("[",CELL("filename",A1))-1)&amp;"매뉴얼BODY(집행단계-첨부폴더)v8\5.콘크리트도상\2_자재 야적장 선정\수행지침\자재 야적장 선정_수행지침.html", "👉 [클릭] 수행지침 열기 📄")</f>
        <v/>
      </c>
      <c r="O3" s="14" t="inlineStr">
        <is>
          <t>야적장 지반 다짐도 95% 이상, 배수 경사 2% 이상 확보, 자재 천막 덮개 구비</t>
        </is>
      </c>
      <c r="P3" s="126">
        <f>HYPERLINK(LEFT(CELL("filename",A1),FIND("[",CELL("filename",A1))-1)&amp;"매뉴얼BODY(집행단계-첨부폴더)v8\5.콘크리트도상\2_자재 야적장 선정\체크리스트\자재 야적장 선정_체크리스트.html", "👉 [클릭] 체크리스트 열기 📄")</f>
        <v/>
      </c>
      <c r="Q3" s="13" t="n"/>
      <c r="R3" s="14" t="inlineStr">
        <is>
          <t>● 궤도 자재의 환경 보호 및 보관 관리 지침</t>
        </is>
      </c>
      <c r="S3" s="17" t="inlineStr">
        <is>
          <t>1) 👉 [더블클릭] 체크리스트 열기 📄</t>
        </is>
      </c>
      <c r="T3" s="14" t="n"/>
    </row>
    <row r="4" ht="96" customHeight="1" s="147">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26">
        <f>HYPERLINK(LEFT(CELL("filename",A1),FIND("[",CELL("filename",A1))-1)&amp;"매뉴얼BODY(집행단계-첨부폴더)v8\5.콘크리트도상\3_레일 용접장 선정\표준서\레일 용접장 선정_표준서.html", "👉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26">
        <f>HYPERLINK(LEFT(CELL("filename",A1),FIND("[",CELL("filename",A1))-1)&amp;"매뉴얼BODY(집행단계-첨부폴더)v8\5.콘크리트도상\3_레일 용접장 선정\수행지침\레일 용접장 선정_수행지침.html", "👉 [클릭] 수행지침 열기 📄")</f>
        <v/>
      </c>
      <c r="O4" s="14" t="inlineStr">
        <is>
          <t>용접장 평탄성 오차 ±1mm 이내, 전력 공급 및 방풍 시설 완비, NDT(비파괴) 대기 공간 확보</t>
        </is>
      </c>
      <c r="P4" s="126">
        <f>HYPERLINK(LEFT(CELL("filename",A1),FIND("[",CELL("filename",A1))-1)&amp;"매뉴얼BODY(집행단계-첨부폴더)v8\5.콘크리트도상\3_레일 용접장 선정\체크리스트\레일 용접장 선정_체크리스트.html", "👉 [클릭] 체크리스트 열기 📄")</f>
        <v/>
      </c>
      <c r="Q4" s="13" t="n"/>
      <c r="R4" s="14" t="inlineStr">
        <is>
          <t>● 장대레일 제작장 확보 및 공간 레이아웃 만족</t>
        </is>
      </c>
      <c r="S4" s="17" t="inlineStr">
        <is>
          <t>1) 👉 [더블클릭] 체크리스트 열기 📄</t>
        </is>
      </c>
      <c r="T4" s="14" t="n"/>
    </row>
    <row r="5" ht="134.4" customHeight="1" s="147">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26">
        <f>HYPERLINK(LEFT(CELL("filename",A1),FIND("[",CELL("filename",A1))-1)&amp;"매뉴얼BODY(집행단계-첨부폴더)v8\5.콘크리트도상\4_발주전략 KOM\표준서\발주전략 KOM_표준서.html", "👉 [클릭] 표준서 열기 📄")</f>
        <v/>
      </c>
      <c r="M5" s="14" t="inlineStr">
        <is>
          <t>1) 제조사 공장검사(FAT) 항목 및 궤도 정밀 검측 공차 기준 전파
2) KDS 47 30 00 및 KS 규격 만족 자재 목록 및 세부 발주 물량 확정</t>
        </is>
      </c>
      <c r="N5" s="126">
        <f>HYPERLINK(LEFT(CELL("filename",A1),FIND("[",CELL("filename",A1))-1)&amp;"매뉴얼BODY(집행단계-첨부폴더)v8\5.콘크리트도상\4_발주전략 KOM\수행지침\발주전략 KOM_수행지침.html", "👉 [클릭] 수행지침 열기 📄")</f>
        <v/>
      </c>
      <c r="O5" s="14" t="inlineStr">
        <is>
          <t>품질 요구조건 특기시방서 의결, 외산 홈레일 선적일정 검토, 자재 인도 시점 확약</t>
        </is>
      </c>
      <c r="P5" s="126">
        <f>HYPERLINK(LEFT(CELL("filename",A1),FIND("[",CELL("filename",A1))-1)&amp;"매뉴얼BODY(집행단계-첨부폴더)v8\5.콘크리트도상\4_발주전략 KOM\체크리스트\발주전략 KOM_체크리스트.html", "👉 [클릭] 체크리스트 열기 📄")</f>
        <v/>
      </c>
      <c r="Q5" s="13" t="n"/>
      <c r="R5" s="14" t="inlineStr">
        <is>
          <t>● 본사 외주/수행 부서 및 토목견적팀 협의 지침 준수</t>
        </is>
      </c>
      <c r="S5" s="17" t="inlineStr">
        <is>
          <t>1) 👉 [더블클릭] 체크리스트 열기 📄</t>
        </is>
      </c>
      <c r="T5" s="14" t="n"/>
    </row>
    <row r="6" ht="96" customHeight="1" s="147">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26">
        <f>HYPERLINK(LEFT(CELL("filename",A1),FIND("[",CELL("filename",A1))-1)&amp;"매뉴얼BODY(집행단계-첨부폴더)v8\5.콘크리트도상\5_최고의 팀 만들기 지원\표준서\최고의 팀 만들기 지원_표준서.html", "👉 [클릭] 표준서 열기 📄")</f>
        <v/>
      </c>
      <c r="M6" s="14" t="inlineStr">
        <is>
          <t>1) EN ISO 14730 용접원 자격증 및 광학 측량 기술자 자격 검증
2) 스핀들 게이지 조정, 캔트 달성구배, 테르밋 산화반응 제어 사전 모의 훈련</t>
        </is>
      </c>
      <c r="N6" s="126">
        <f>HYPERLINK(LEFT(CELL("filename",A1),FIND("[",CELL("filename",A1))-1)&amp;"매뉴얼BODY(집행단계-첨부폴더)v8\5.콘크리트도상\5_최고의 팀 만들기 지원\수행지침\최고의 팀 만들기 지원_수행지침.html", "👉 [클릭] 수행지침 열기 📄")</f>
        <v/>
      </c>
      <c r="O6" s="14" t="inlineStr">
        <is>
          <t>용접공 자격증 원본 대조, 정밀 검측 장비 검교정 확인, 궤도 전문 기술사 면허 검토</t>
        </is>
      </c>
      <c r="P6" s="126">
        <f>HYPERLINK(LEFT(CELL("filename",A1),FIND("[",CELL("filename",A1))-1)&amp;"매뉴얼BODY(집행단계-첨부폴더)v8\5.콘크리트도상\5_최고의 팀 만들기 지원\체크리스트\최고의 팀 만들기 지원_체크리스트.html", "👉 [클릭] 체크리스트 열기 📄")</f>
        <v/>
      </c>
      <c r="Q6" s="13" t="n"/>
      <c r="R6" s="14" t="inlineStr">
        <is>
          <t>● 협력업체 역량 평가 및 등록 관리 기준 만족</t>
        </is>
      </c>
      <c r="S6" s="17" t="inlineStr">
        <is>
          <t>1) 👉 [더블클릭] 체크리스트 열기 📄</t>
        </is>
      </c>
      <c r="T6" s="14" t="n"/>
    </row>
    <row r="7" ht="76.8" customHeight="1" s="147">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26">
        <f>HYPERLINK(LEFT(CELL("filename",A1),FIND("[",CELL("filename",A1))-1)&amp;"매뉴얼BODY(집행단계-첨부폴더)v8\5.콘크리트도상\6_콘크리트 타설방법_계획 검토\표준서\콘크리트 타설방법_계획 검토_표준서.html", "👉 [클릭] 표준서 열기 📄")</f>
        <v/>
      </c>
      <c r="M7" s="14" t="inlineStr">
        <is>
          <t>1) TCL 콘크리트(f_ck ≥ 30 MPa) 및 PST 충전재(f_ck ≥ 45 MPa) 배합 성적서 확인
2) 레미콘 운반시간(60분 이내) 및 펌프카 배치 공간 사전 확보</t>
        </is>
      </c>
      <c r="N7" s="126">
        <f>HYPERLINK(LEFT(CELL("filename",A1),FIND("[",CELL("filename",A1))-1)&amp;"매뉴얼BODY(집행단계-첨부폴더)v8\5.콘크리트도상\6_콘크리트 타설방법_계획 검토\수행지침\콘크리트 타설방법_계획 검토_수행지침.html", "👉 [클릭] 수행지침 열기 📄")</f>
        <v/>
      </c>
      <c r="O7" s="14" t="inlineStr">
        <is>
          <t>구간별 펌프카 배치도 작성, 타설 시 궤광 고정 잭 지지 계획 승인, 콘크리트 슬럼프 품질 확인</t>
        </is>
      </c>
      <c r="P7" s="126">
        <f>HYPERLINK(LEFT(CELL("filename",A1),FIND("[",CELL("filename",A1))-1)&amp;"매뉴얼BODY(집행단계-첨부폴더)v8\5.콘크리트도상\6_콘크리트 타설방법_계획 검토\체크리스트\콘크리트 타설방법_계획 검토_체크리스트.html", "👉 [클릭] 체크리스트 열기 📄")</f>
        <v/>
      </c>
      <c r="Q7" s="13" t="n"/>
      <c r="R7" s="14" t="inlineStr">
        <is>
          <t>● 콘크리트 연속타설 및 콜드조인트 방지 기준</t>
        </is>
      </c>
      <c r="S7" s="17" t="inlineStr">
        <is>
          <t>1) 👉 [더블클릭] 체크리스트 열기 📄</t>
        </is>
      </c>
      <c r="T7" s="14" t="n"/>
    </row>
    <row r="8" ht="219.6" customHeight="1" s="147">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26">
        <f>HYPERLINK(LEFT(CELL("filename",A1),FIND("[",CELL("filename",A1))-1)&amp;"매뉴얼BODY(집행단계-첨부폴더)v8\5.콘크리트도상\7_작수전 Big Room 회의\표준서\작수전 Big Room 회의_표준서.html", "👉 [클릭] 표준서 열기 📄")</f>
        <v/>
      </c>
      <c r="M8" s="14" t="inlineStr">
        <is>
          <t>1) 노반-궤도 인수인계 높이 공차 및 신호 루프센서 위치 취합
2) 도로 매설 궤도 표면과 도로 포장 표면 마감 높이 일치성 확정</t>
        </is>
      </c>
      <c r="N8" s="126">
        <f>HYPERLINK(LEFT(CELL("filename",A1),FIND("[",CELL("filename",A1))-1)&amp;"매뉴얼BODY(집행단계-첨부폴더)v8\5.콘크리트도상\7_작수전 Big Room 회의\수행지침\작수전 Big Room 회의_수행지침.html", "👉 [클릭] 수행지침 열기 📄")</f>
        <v/>
      </c>
      <c r="O8" s="14" t="inlineStr">
        <is>
          <t>신호 센서 매설 위치 철근 간섭 해결, 접지선 용접부 연속성 확인, 부서 합동 서명 날인</t>
        </is>
      </c>
      <c r="P8" s="126">
        <f>HYPERLINK(LEFT(CELL("filename",A1),FIND("[",CELL("filename",A1))-1)&amp;"매뉴얼BODY(집행단계-첨부폴더)v8\5.콘크리트도상\7_작수전 Big Room 회의\체크리스트\작수전 Big Room 회의_체크리스트.html", "👉 [클릭] 체크리스트 열기 📄")</f>
        <v/>
      </c>
      <c r="Q8" s="13" t="n"/>
      <c r="R8" s="14" t="inlineStr">
        <is>
          <t>● 유관 공종(토목, 전기, 신호) 인터페이스 검토</t>
        </is>
      </c>
      <c r="S8" s="17" t="inlineStr">
        <is>
          <t>1) 👉 [더블클릭] 체크리스트 열기 📄</t>
        </is>
      </c>
      <c r="T8" s="14" t="n"/>
    </row>
    <row r="9" ht="76.8" customHeight="1" s="147">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26">
        <f>HYPERLINK(LEFT(CELL("filename",A1),FIND("[",CELL("filename",A1))-1)&amp;"매뉴얼BODY(집행단계-첨부폴더)v8\5.콘크리트도상\8_장비,자재 반입로_반입구 간섭 검토\표준서\장비,자재 반입로_반입구 간섭 검토_표준서.html", "👉 [클릭] 표준서 열기 📄")</f>
        <v/>
      </c>
      <c r="M9" s="14" t="inlineStr">
        <is>
          <t>1) 상부 신호등/가공전선 이격거리(5m 이상) 및 도로점용 허가 구역 조사
2) 전담 신호수 배치 및 대형 레일 운반 차량 유도</t>
        </is>
      </c>
      <c r="N9" s="126">
        <f>HYPERLINK(LEFT(CELL("filename",A1),FIND("[",CELL("filename",A1))-1)&amp;"매뉴얼BODY(집행단계-첨부폴더)v8\5.콘크리트도상\8_장비,자재 반입로_반입구 간섭 검토\수행지침\장비,자재 반입로_반입구 간섭 검토_수행지침.html", "👉 [클릭] 수행지침 열기 📄")</f>
        <v/>
      </c>
      <c r="O9" s="14" t="inlineStr">
        <is>
          <t>트레일러 회전 시뮬레이션 승인, 가설 비계 간섭 범위 해제, 도로 점용 허가 필증 확인</t>
        </is>
      </c>
      <c r="P9" s="126">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3" t="n"/>
      <c r="R9" s="14" t="inlineStr">
        <is>
          <t>● 궤도 시공 가설 동선 적합성 검토</t>
        </is>
      </c>
      <c r="S9" s="17" t="inlineStr">
        <is>
          <t>1) 👉 [더블클릭] 체크리스트 열기 📄</t>
        </is>
      </c>
      <c r="T9" s="14" t="n"/>
    </row>
    <row r="10" ht="76.8" customHeight="1" s="147">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26">
        <f>HYPERLINK(LEFT(CELL("filename",A1),FIND("[",CELL("filename",A1))-1)&amp;"매뉴얼BODY(집행단계-첨부폴더)v8\5.콘크리트도상\9_자재조달계획 검토\표준서\자재조달계획 검토_표준서.html", "👉 [클릭] 표준서 열기 📄")</f>
        <v/>
      </c>
      <c r="M10" s="14" t="inlineStr">
        <is>
          <t>1) 특수 홈레일 및 PST 패널 조달 마스터 일정표 검토
2) PST 슬래브 공장 생산 강도 및 홈레일 단면 검수</t>
        </is>
      </c>
      <c r="N10" s="126">
        <f>HYPERLINK(LEFT(CELL("filename",A1),FIND("[",CELL("filename",A1))-1)&amp;"매뉴얼BODY(집행단계-첨부폴더)v8\5.콘크리트도상\9_자재조달계획 검토\수행지침\자재조달계획 검토_수행지침.html", "👉 [클릭] 수행지침 열기 📄")</f>
        <v/>
      </c>
      <c r="O10" s="14" t="inlineStr">
        <is>
          <t>선적 서류 및 통관 승인서 구비, 국내 야적장 2차 보관 상태 점검, 자재 공급 승인서 확인</t>
        </is>
      </c>
      <c r="P10" s="126">
        <f>HYPERLINK(LEFT(CELL("filename",A1),FIND("[",CELL("filename",A1))-1)&amp;"매뉴얼BODY(집행단계-첨부폴더)v8\5.콘크리트도상\9_자재조달계획 검토\체크리스트\자재조달계획 검토_체크리스트.html", "👉 [클릭] 체크리스트 열기 📄")</f>
        <v/>
      </c>
      <c r="Q10" s="13" t="n"/>
      <c r="R10" s="14" t="inlineStr">
        <is>
          <t>● 주요 외산 자재 공급 및 선적 일정 확인</t>
        </is>
      </c>
      <c r="S10" s="17" t="inlineStr">
        <is>
          <t>1) 👉 [더블클릭] 체크리스트 열기 📄</t>
        </is>
      </c>
      <c r="T10" s="14" t="n"/>
    </row>
    <row r="11" ht="57.6" customHeight="1" s="147">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26">
        <f>HYPERLINK(LEFT(CELL("filename",A1),FIND("[",CELL("filename",A1))-1)&amp;"매뉴얼BODY(집행단계-첨부폴더)v8\5.콘크리트도상\10_자재 발주 요청\표준서\자재 발주 요청_표준서.html", "👉 [클릭] 표준서 열기 📄")</f>
        <v/>
      </c>
      <c r="M11" s="14" t="inlineStr">
        <is>
          <t>1) kg/m 레일, 51R1 홈레일, PST 패널 산출 물량 검증
2) 공장 검사(FAT) 조건 및 성적서 첨부 명시</t>
        </is>
      </c>
      <c r="N11" s="126">
        <f>HYPERLINK(LEFT(CELL("filename",A1),FIND("[",CELL("filename",A1))-1)&amp;"매뉴얼BODY(집행단계-첨부폴더)v8\5.콘크리트도상\10_자재 발주 요청\수행지침\자재 발주 요청_수행지침.html", "👉 [클릭] 수행지침 열기 📄")</f>
        <v/>
      </c>
      <c r="O11" s="14" t="inlineStr">
        <is>
          <t>자재 발주 수량 설계 대조, 공급원 승인 필증 원본 확인, 발주 공문 승인 요청</t>
        </is>
      </c>
      <c r="P11" s="126">
        <f>HYPERLINK(LEFT(CELL("filename",A1),FIND("[",CELL("filename",A1))-1)&amp;"매뉴얼BODY(집행단계-첨부폴더)v8\5.콘크리트도상\10_자재 발주 요청\체크리스트\자재 발주 요청_체크리스트.html", "👉 [클릭] 체크리스트 열기 📄")</f>
        <v/>
      </c>
      <c r="Q11" s="13" t="n"/>
      <c r="R11" s="14" t="inlineStr">
        <is>
          <t>● 조달 지침 및 품질 규격 검토</t>
        </is>
      </c>
      <c r="S11" s="17" t="inlineStr">
        <is>
          <t>1) 👉 [더블클릭] 체크리스트 열기 📄</t>
        </is>
      </c>
      <c r="T11" s="14" t="n"/>
    </row>
    <row r="12" ht="88.8" customHeight="1" s="147">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26">
        <f>HYPERLINK(LEFT(CELL("filename",A1),FIND("[",CELL("filename",A1))-1)&amp;"매뉴얼BODY(집행단계-첨부폴더)v8\5.콘크리트도상\11_시공계획 수립\표준서\시공계획 수립_표준서.html", "👉 [클릭] 표준서 열기 📄")</f>
        <v/>
      </c>
      <c r="M12" s="14" t="inlineStr">
        <is>
          <t>1) HBS 노반 지지력 검증 및 궤도 정밀 CP 측량 시공계획 수립
2) 스핀들 게이지 조정, 테르밋 용접(EN 14730) 및 TCL 콘크리트 타설 수칙 수립</t>
        </is>
      </c>
      <c r="N12" s="126">
        <f>HYPERLINK(LEFT(CELL("filename",A1),FIND("[",CELL("filename",A1))-1)&amp;"매뉴얼BODY(집행단계-첨부폴더)v8\5.콘크리트도상\11_시공계획 수립\수행지침\11_시공계획 수립_수행지침.html", "👉 [클릭] 수행지침 열기 📄")</f>
        <v/>
      </c>
      <c r="O12" s="14" t="inlineStr">
        <is>
          <t>시공계획서 감리단 최종 승인, 선형 관리 한계선 설정 확인, 품질보증계획서 제출</t>
        </is>
      </c>
      <c r="P12" s="126">
        <f>HYPERLINK(LEFT(CELL("filename",A1),FIND("[",CELL("filename",A1))-1)&amp;"매뉴얼BODY(집행단계-첨부폴더)v8\5.콘크리트도상\11_시공계획 수립\체크리스트\시공계획 수립_체크리스트.html", "👉 [클릭] 체크리스트 열기 📄")</f>
        <v/>
      </c>
      <c r="Q12" s="13" t="n"/>
      <c r="R12" s="14" t="inlineStr">
        <is>
          <t>● 궤도 공사 표준시방서 만족</t>
        </is>
      </c>
      <c r="S12" s="17" t="inlineStr">
        <is>
          <t>1) 👉 [더블클릭] 체크리스트 열기 📄</t>
        </is>
      </c>
      <c r="T12" s="14" t="n"/>
    </row>
    <row r="13" ht="110.4" customHeight="1" s="147">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26">
        <f>HYPERLINK(LEFT(CELL("filename",A1),FIND("[",CELL("filename",A1))-1)&amp;"매뉴얼BODY(집행단계-첨부폴더)v8\5.콘크리트도상\12_자재 반입\표준서\자재 반입_표준서.html", "👉 [클릭] 표준서 열기 📄")</f>
        <v/>
      </c>
      <c r="M13" s="14" t="inlineStr">
        <is>
          <t>1) 송장, 공장 시험성적서 및 KCS 시방 사양 대조
2) 레일 표면 흠집 및 PST 패널 치수 오차(±2mm) 측정</t>
        </is>
      </c>
      <c r="N13" s="126">
        <f>HYPERLINK(LEFT(CELL("filename",A1),FIND("[",CELL("filename",A1))-1)&amp;"매뉴얼BODY(집행단계-첨부폴더)v8\5.콘크리트도상\12_자재 반입\수행지침\자재 반입_수행지침.html", "👉 [클릭] 수행지침 열기 📄")</f>
        <v/>
      </c>
      <c r="O13" s="14" t="inlineStr">
        <is>
          <t>인수 검서 보고서 감리 서명, 자재 고유 마킹 대조, 손상 자재 반출 대장 기록</t>
        </is>
      </c>
      <c r="P13" s="126">
        <f>HYPERLINK(LEFT(CELL("filename",A1),FIND("[",CELL("filename",A1))-1)&amp;"매뉴얼BODY(집행단계-첨부폴더)v8\5.콘크리트도상\12_자재 반입\체크리스트\자재 반입_체크리스트.html", "👉 [클릭] 체크리스트 열기 📄")</f>
        <v/>
      </c>
      <c r="Q13" s="13" t="n"/>
      <c r="R13" s="14" t="inlineStr">
        <is>
          <t>● 자재 시험성적서 및 외산 자재 수입 적격 증명</t>
        </is>
      </c>
      <c r="S13" s="17" t="inlineStr">
        <is>
          <t>1) 👉 [더블클릭] 체크리스트 열기 📄</t>
        </is>
      </c>
      <c r="T13" s="14" t="n"/>
    </row>
    <row r="14" ht="86.40000000000001" customHeight="1" s="147">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t="inlineStr">
        <is>
          <t>-</t>
        </is>
      </c>
      <c r="M14" s="14" t="inlineStr">
        <is>
          <t>1) 노반 공종으로부터 지지력 K70 ≥ 150 MPa/m 성적서 수령
2) 노반 높이 오차(±10mm 이내) 광학 레벨 측량 검증</t>
        </is>
      </c>
      <c r="N14" t="inlineStr">
        <is>
          <t>-</t>
        </is>
      </c>
      <c r="O14" s="14" t="inlineStr">
        <is>
          <t>K30 성적서 원본 대조, 노반 마무리면 요철 제거 상태, 횡단 구배 2.0% 만족 확인</t>
        </is>
      </c>
      <c r="P14" t="inlineStr">
        <is>
          <t>-</t>
        </is>
      </c>
      <c r="Q14" s="13" t="n"/>
      <c r="R14" s="14" t="inlineStr">
        <is>
          <t>● 강화노반 K30 지지력 계수 규격 준수</t>
        </is>
      </c>
      <c r="S14" s="17" t="inlineStr">
        <is>
          <t>1) 👉 [더블클릭] 체크리스트 열기 📄</t>
        </is>
      </c>
      <c r="T14" s="14" t="n"/>
    </row>
    <row r="15" ht="76.8" customHeight="1" s="147">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t="inlineStr">
        <is>
          <t>-</t>
        </is>
      </c>
      <c r="M15" s="14" t="inlineStr">
        <is>
          <t>1) 콘크리트 시멘트풀 유출 방지 거푸집 패킹 설치
2) 콜드조인트 방지 연속 타설 및 바이브레이터 밀실 다짐</t>
        </is>
      </c>
      <c r="N15" t="inlineStr">
        <is>
          <t>-</t>
        </is>
      </c>
      <c r="O15" s="14" t="inlineStr">
        <is>
          <t>HBR 강도 시험 성적서, 습윤 부직포 포설 상태, 타설 두께 오차 ±10mm 이내 검속</t>
        </is>
      </c>
      <c r="P15" t="inlineStr">
        <is>
          <t>-</t>
        </is>
      </c>
      <c r="Q15" s="13" t="n"/>
      <c r="R15" s="14" t="inlineStr">
        <is>
          <t>● 기초 콘크리트 압축강도 및 공차 관리</t>
        </is>
      </c>
      <c r="S15" s="17" t="inlineStr">
        <is>
          <t>1) 👉 [더블클릭] 체크리스트 열기 📄</t>
        </is>
      </c>
      <c r="T15" s="14" t="n"/>
    </row>
    <row r="16" ht="76.8" customHeight="1" s="147">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t="inlineStr">
        <is>
          <t>-</t>
        </is>
      </c>
      <c r="M16" s="14" t="inlineStr">
        <is>
          <t>1) 노반 표면 이물질 청소 및 광학 측량기 셋팅
2) 점 인양 빔으로 패널 거치 후 스핀들 게이지 정밀 수평 조정</t>
        </is>
      </c>
      <c r="N16" t="inlineStr">
        <is>
          <t>-</t>
        </is>
      </c>
      <c r="O16" s="14" t="inlineStr">
        <is>
          <t>Screw Jack 레벨 정위치 고정, 3D 광학 실측 좌표 일치, 코너 크랙 육안 검사</t>
        </is>
      </c>
      <c r="P16" t="inlineStr">
        <is>
          <t>-</t>
        </is>
      </c>
      <c r="Q16" s="13" t="n"/>
      <c r="R16" s="14" t="inlineStr">
        <is>
          <t>● PC 슬래브 제작 허용 오차 만족</t>
        </is>
      </c>
      <c r="S16" s="17" t="inlineStr">
        <is>
          <t>1) 👉 [더블클릭] 체크리스트 열기 📄</t>
        </is>
      </c>
      <c r="T16" s="14" t="n"/>
    </row>
    <row r="17" ht="76.8" customHeight="1" s="147">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t="inlineStr">
        <is>
          <t>-</t>
        </is>
      </c>
      <c r="M17" s="14" t="inlineStr">
        <is>
          <t>1) 앵커 홀 이물질 제거 및 무수축 그라우트 배합비 확인
2) 음향 탐사로 공기 공동 파악 및 45 MPa 몰드 시험 확인</t>
        </is>
      </c>
      <c r="N17" t="inlineStr">
        <is>
          <t>-</t>
        </is>
      </c>
      <c r="O17" s="14" t="inlineStr">
        <is>
          <t>천공 깊이 측정 게이지 점검, 앵커 인장 강도 확인, 원웨이 주입 배출구 몰탈 오버플로우 확인</t>
        </is>
      </c>
      <c r="P17" t="inlineStr">
        <is>
          <t>-</t>
        </is>
      </c>
      <c r="Q17" s="13" t="n"/>
      <c r="R17" s="14" t="inlineStr">
        <is>
          <t>● 충전 몰탈 품질 및 전단앵커 정착 깊이</t>
        </is>
      </c>
      <c r="S17" s="17" t="inlineStr">
        <is>
          <t>1) 👉 [더블클릭] 체크리스트 열기 📄</t>
        </is>
      </c>
      <c r="T17" s="14" t="n"/>
    </row>
    <row r="18" ht="76.8" customHeight="1" s="147">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t="inlineStr">
        <is>
          <t>-</t>
        </is>
      </c>
      <c r="M18" s="14" t="inlineStr">
        <is>
          <t>1) CP 광학 레벨기로 궤도 중심선 및 기준 높이 확인
2) 궤간 1,435mm(+3,-1mm) 고정 및 캔트/수평 오차 ±2mm 이내 정밀 정열</t>
        </is>
      </c>
      <c r="N18" t="inlineStr">
        <is>
          <t>-</t>
        </is>
      </c>
      <c r="O18" s="14" t="inlineStr">
        <is>
          <t>철근 결속선 긴장 상태, 타이바 조임 토크 확인, 신호 루프 케이블 배근 이격 확인</t>
        </is>
      </c>
      <c r="P18" t="inlineStr">
        <is>
          <t>-</t>
        </is>
      </c>
      <c r="Q18" s="13" t="n"/>
      <c r="R18" s="14" t="inlineStr">
        <is>
          <t>● 궤도 기하구조 공차(3mm 이내) 관리</t>
        </is>
      </c>
      <c r="S18" s="17" t="inlineStr">
        <is>
          <t>1) 👉 [더블클릭] 체크리스트 열기 📄</t>
        </is>
      </c>
      <c r="T18" s="14" t="n"/>
    </row>
    <row r="19" ht="76.8" customHeight="1" s="147">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t="inlineStr">
        <is>
          <t>-</t>
        </is>
      </c>
      <c r="M19" s="14" t="inlineStr">
        <is>
          <t>1) 거푸집 선형 검측표 작성 후 감리원 검측 승인
2) 거푸집 면 이물질 청소 및 환경 친화 박리제 균일 도포</t>
        </is>
      </c>
      <c r="N19" t="inlineStr">
        <is>
          <t>-</t>
        </is>
      </c>
      <c r="O19" s="14" t="inlineStr">
        <is>
          <t>거푸집 지지대 앵커 조임, 박리제 도포 상태, 이음매 틈새 누수 패킹 확인</t>
        </is>
      </c>
      <c r="P19" t="inlineStr">
        <is>
          <t>-</t>
        </is>
      </c>
      <c r="Q19" s="13" t="n"/>
      <c r="R19" s="14" t="inlineStr">
        <is>
          <t>● 가설재 강도 및 안전 난간 기준 준수</t>
        </is>
      </c>
      <c r="S19" s="17" t="inlineStr">
        <is>
          <t>1) 👉 [더블클릭] 체크리스트 열기 📄</t>
        </is>
      </c>
      <c r="T19" s="14" t="n"/>
    </row>
    <row r="20" ht="96" customHeight="1" s="147">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t="inlineStr">
        <is>
          <t>-</t>
        </is>
      </c>
      <c r="M20" s="14" t="inlineStr">
        <is>
          <t>1) 타설 직전 스핀들 궤간/캔트 최종 정열 상태 측량
2) 고주파 다짐 실시 및 타설 중 실시간 궤간/캔트 오차 미세 조율</t>
        </is>
      </c>
      <c r="N20" t="inlineStr">
        <is>
          <t>-</t>
        </is>
      </c>
      <c r="O20" s="14" t="inlineStr">
        <is>
          <t>타설 중 궤간척 실시간 모니터링, 슬럼프 및 공기량 시험, 습윤 양생 부직포 포설 확인</t>
        </is>
      </c>
      <c r="P20" t="inlineStr">
        <is>
          <t>-</t>
        </is>
      </c>
      <c r="Q20" s="13" t="n"/>
      <c r="R20" s="14" t="inlineStr">
        <is>
          <t>● TCL 설계 높이 및 배수구 기울기 준수</t>
        </is>
      </c>
      <c r="S20" s="17" t="inlineStr">
        <is>
          <t>1) 👉 [더블클릭] 체크리스트 열기 📄</t>
        </is>
      </c>
      <c r="T20" s="14" t="n"/>
    </row>
    <row r="21" ht="96" customHeight="1" s="147">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t="inlineStr">
        <is>
          <t>-</t>
        </is>
      </c>
      <c r="M21" s="14" t="inlineStr">
        <is>
          <t>1) 레일 단면 50mm 녹/기름 제거 및 가스 압접기 압력 교정
2) EN 14587 프로그램에 따라 자동 가열 및 버(Burr) 핫 쉐어링 전단</t>
        </is>
      </c>
      <c r="N21" t="inlineStr">
        <is>
          <t>-</t>
        </is>
      </c>
      <c r="O21" s="14" t="inlineStr">
        <is>
          <t>가스 압접 압력 게이지 확인, 용접부 급랭 방지 덮개 설치, 비파괴 시험(UT) 성적서 결재</t>
        </is>
      </c>
      <c r="P21" t="inlineStr">
        <is>
          <t>-</t>
        </is>
      </c>
      <c r="Q21" s="13" t="n"/>
      <c r="R21" s="14" t="inlineStr">
        <is>
          <t>● 용접부 인장 시험 및 비파괴 검사 규격 만족</t>
        </is>
      </c>
      <c r="S21" s="17" t="inlineStr">
        <is>
          <t>1) 👉 [더블클릭] 체크리스트 열기 📄</t>
        </is>
      </c>
      <c r="T21" s="14" t="n"/>
    </row>
    <row r="22" ht="96" customHeight="1" s="147">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t="inlineStr">
        <is>
          <t>-</t>
        </is>
      </c>
      <c r="M22" s="14" t="inlineStr">
        <is>
          <t>1) 레일 끝단 23~26mm 유격 조정 및 레일 정열 클램프 고정
2) 몰드 밀봉 후 테르밋 소모품點火 반응 주입 및 약 5분 후 유압 전단</t>
        </is>
      </c>
      <c r="N22" t="inlineStr">
        <is>
          <t>-</t>
        </is>
      </c>
      <c r="O22" s="14" t="inlineStr">
        <is>
          <t>테르밋 용제 예열 온도 확인, 도가니 수평 고정, 비파괴 검사(UT/MT) 전수 실시</t>
        </is>
      </c>
      <c r="P22" t="inlineStr">
        <is>
          <t>-</t>
        </is>
      </c>
      <c r="Q22" s="13" t="n"/>
      <c r="R22" s="14" t="inlineStr">
        <is>
          <t>● 테르밋 용접부 비파괴 검사(UT/PT) 및 공차</t>
        </is>
      </c>
      <c r="S22" s="17" t="inlineStr">
        <is>
          <t>1) 👉 [더블클릭] 체크리스트 열기 📄</t>
        </is>
      </c>
      <c r="T22" s="14" t="n"/>
    </row>
    <row r="23" ht="96" customHeight="1" s="147">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t="inlineStr">
        <is>
          <t>-</t>
        </is>
      </c>
      <c r="M23" s="14" t="inlineStr">
        <is>
          <t>1) 조도계로 Ra ≤ 10㎛ 판정 및 레일 연마 검측 승인
2) 장대레일 구간 연마/밀링 장비 점검 및 표면 단차 사전 조사</t>
        </is>
      </c>
      <c r="N23" t="inlineStr">
        <is>
          <t>-</t>
        </is>
      </c>
      <c r="O23" s="14" t="inlineStr">
        <is>
          <t>레일 조도/평탄성 측정 성적서, 절삭유 적정 분사 상태, 마이크로미터 선로 실측</t>
        </is>
      </c>
      <c r="P23" t="inlineStr">
        <is>
          <t>-</t>
        </is>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t="inlineStr">
        <is>
          <t>-</t>
        </is>
      </c>
      <c r="M24" s="15" t="inlineStr">
        <is>
          <t>1) 궤도 회로 절연 및 궤간 오차 현장 합동 확인
2) 구간별 NDT 용접 성과표, 강도 성적서 및 궤도 정열표 대조</t>
        </is>
      </c>
      <c r="N24" t="inlineStr">
        <is>
          <t>-</t>
        </is>
      </c>
      <c r="O24" s="15" t="inlineStr">
        <is>
          <t>3자 공동 인수 서명 날인, 절연 저항 테스트 결과표 첨부, CAD 준공 대장 제출</t>
        </is>
      </c>
      <c r="P24" t="inlineStr">
        <is>
          <t>-</t>
        </is>
      </c>
      <c r="Q24" s="50" t="n"/>
      <c r="R24" s="15" t="inlineStr">
        <is>
          <t>● 후속 공종 인수인계 표준 지침</t>
        </is>
      </c>
      <c r="S24" s="51"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71"/>
    <col width="8.796875" customWidth="1" style="3" min="72" max="16384"/>
  </cols>
  <sheetData>
    <row r="1" ht="38.4"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47">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26">
        <f>HYPERLINK(LEFT(CELL("filename",A1),FIND("[",CELL("filename",A1))-1)&amp;"매뉴얼BODY(집행단계-첨부폴더)v8\6.건축\1_설계 적정성 검토\표준서\설계 적정성 검토_표준서.html", "👉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26">
        <f>HYPERLINK(LEFT(CELL("filename",A1),FIND("[",CELL("filename",A1))-1)&amp;"매뉴얼BODY(집행단계-첨부폴더)v8\6.건축\1_설계 적정성 검토\수행지침\설계 적정성 검토_수행지침.html", "👉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26">
        <f>HYPERLINK(LEFT(CELL("filename",A1),FIND("[",CELL("filename",A1))-1)&amp;"매뉴얼BODY(집행단계-첨부폴더)v8\6.건축\1_설계 적정성 검토\체크리스트\설계 적정성 검토_체크리스트.html", "👉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47">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26">
        <f>HYPERLINK(LEFT(CELL("filename",A1),FIND("[",CELL("filename",A1))-1)&amp;"매뉴얼BODY(집행단계-첨부폴더)v8\6.건축\2_발주전략 KOM\표준서\발주전략 KOM_표준서.html", "👉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26">
        <f>HYPERLINK(LEFT(CELL("filename",A1),FIND("[",CELL("filename",A1))-1)&amp;"매뉴얼BODY(집행단계-첨부폴더)v8\6.건축\2_발주전략 KOM\수행지침\발주전략 KOM_수행지침.html", "👉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26">
        <f>HYPERLINK(LEFT(CELL("filename",A1),FIND("[",CELL("filename",A1))-1)&amp;"매뉴얼BODY(집행단계-첨부폴더)v8\6.건축\2_발주전략 KOM\체크리스트\발주전략 KOM_체크리스트.html", "👉 [클릭] 체크리스트 열기 📄")</f>
        <v/>
      </c>
      <c r="P3" s="30" t="n"/>
      <c r="Q3" s="31" t="inlineStr">
        <is>
          <t>● 본사외주부서, 수행부서, 토목견적팀 협의사항 준수</t>
        </is>
      </c>
      <c r="R3" s="24" t="inlineStr">
        <is>
          <t>1) 👉 [더블클릭] 체크리스트 열기 📄</t>
        </is>
      </c>
      <c r="S3" s="31" t="n"/>
    </row>
    <row r="4" ht="115.2" customHeight="1" s="147">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26">
        <f>HYPERLINK(LEFT(CELL("filename",A1),FIND("[",CELL("filename",A1))-1)&amp;"매뉴얼BODY(집행단계-첨부폴더)v8\6.건축\3_착공전 건축 인허가\표준서\착공전 건축 인허가_표준서.html", "👉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26">
        <f>HYPERLINK(LEFT(CELL("filename",A1),FIND("[",CELL("filename",A1))-1)&amp;"매뉴얼BODY(집행단계-첨부폴더)v8\6.건축\3_착공전 건축 인허가\수행지침\착공전 건축 인허가_수행지침.html", "👉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26">
        <f>HYPERLINK(LEFT(CELL("filename",A1),FIND("[",CELL("filename",A1))-1)&amp;"매뉴얼BODY(집행단계-첨부폴더)v8\6.건축\3_착공전 건축 인허가\체크리스트\착공전 건축 인허가_체크리스트.html", "👉 [클릭] 체크리스트 열기 📄")</f>
        <v/>
      </c>
      <c r="P4" s="30" t="n"/>
      <c r="Q4" s="31" t="inlineStr">
        <is>
          <t>● 건축법, 소방시설공사업법, 정보통신공사업법 규정 준수</t>
        </is>
      </c>
      <c r="R4" s="24" t="inlineStr">
        <is>
          <t>1) 👉 [더블클릭] 체크리스트 열기 📄</t>
        </is>
      </c>
      <c r="S4" s="31" t="n"/>
    </row>
    <row r="5" ht="112.2" customHeight="1" s="147">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26">
        <f>HYPERLINK(LEFT(CELL("filename",A1),FIND("[",CELL("filename",A1))-1)&amp;"매뉴얼BODY(집행단계-첨부폴더)v8\6.건축\4_건축허가 요청\표준서\건축허가 요청_표준서.html", "👉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26">
        <f>HYPERLINK(LEFT(CELL("filename",A1),FIND("[",CELL("filename",A1))-1)&amp;"매뉴얼BODY(집행단계-첨부폴더)v8\6.건축\4_건축허가 요청\수행지침\건축허가 요청_수행지침.html", "👉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26">
        <f>HYPERLINK(LEFT(CELL("filename",A1),FIND("[",CELL("filename",A1))-1)&amp;"매뉴얼BODY(집행단계-첨부폴더)v8\6.건축\4_건축허가 요청\체크리스트\건축허가 요청_체크리스트.html", "👉 [클릭] 체크리스트 열기 📄")</f>
        <v/>
      </c>
      <c r="P5" s="30" t="n"/>
      <c r="Q5" s="31" t="inlineStr">
        <is>
          <t>● 건축법 제11조</t>
        </is>
      </c>
      <c r="R5" s="24" t="inlineStr">
        <is>
          <t>1) 👉 [더블클릭] 체크리스트 열기 📄</t>
        </is>
      </c>
      <c r="S5" s="31" t="n"/>
    </row>
    <row r="6" ht="115.2" customHeight="1" s="147">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26">
        <f>HYPERLINK(LEFT(CELL("filename",A1),FIND("[",CELL("filename",A1))-1)&amp;"매뉴얼BODY(집행단계-첨부폴더)v8\6.건축\5_착공신고서 제출\표준서\착공신고서 제출_표준서.html", "👉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26">
        <f>HYPERLINK(LEFT(CELL("filename",A1),FIND("[",CELL("filename",A1))-1)&amp;"매뉴얼BODY(집행단계-첨부폴더)v8\6.건축\5_착공신고서 제출\수행지침\착공신고서 제출_수행지침.html", "👉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26">
        <f>HYPERLINK(LEFT(CELL("filename",A1),FIND("[",CELL("filename",A1))-1)&amp;"매뉴얼BODY(집행단계-첨부폴더)v8\6.건축\5_착공신고서 제출\체크리스트\착공신고서 제출_체크리스트.html", "👉 [클릭] 체크리스트 열기 📄")</f>
        <v/>
      </c>
      <c r="P6" s="30" t="n"/>
      <c r="Q6" s="31" t="inlineStr">
        <is>
          <t>● 건축법 제21조</t>
        </is>
      </c>
      <c r="R6" s="24" t="inlineStr">
        <is>
          <t>1) 👉 [더블클릭] 체크리스트 열기 📄</t>
        </is>
      </c>
      <c r="S6" s="31" t="n"/>
    </row>
    <row r="7" ht="115.2" customHeight="1" s="147">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26">
        <f>HYPERLINK(LEFT(CELL("filename",A1),FIND("[",CELL("filename",A1))-1)&amp;"매뉴얼BODY(집행단계-첨부폴더)v8\6.건축\6_소방시설공사 착공 신고서 제출\표준서\소방시설공사 착공 신고서 제출_표준서.html", "👉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26">
        <f>HYPERLINK(LEFT(CELL("filename",A1),FIND("[",CELL("filename",A1))-1)&amp;"매뉴얼BODY(집행단계-첨부폴더)v8\6.건축\6_소방시설공사 착공 신고서 제출\수행지침\소방시설공사 착공 신고서 제출_수행지침.html", "👉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26">
        <f>HYPERLINK(LEFT(CELL("filename",A1),FIND("[",CELL("filename",A1))-1)&amp;"매뉴얼BODY(집행단계-첨부폴더)v8\6.건축\6_소방시설공사 착공 신고서 제출\체크리스트\소방시설공사 착공 신고서 제출_체크리스트.html", "👉 [클릭] 체크리스트 열기 📄")</f>
        <v/>
      </c>
      <c r="P7" s="30" t="n"/>
      <c r="Q7" s="31" t="inlineStr">
        <is>
          <t>● 소방시설공사업법 제13조</t>
        </is>
      </c>
      <c r="R7" s="24" t="inlineStr">
        <is>
          <t>1) 👉 [더블클릭] 체크리스트 열기 📄</t>
        </is>
      </c>
      <c r="S7" s="31" t="n"/>
    </row>
    <row r="8" ht="115.2" customHeight="1" s="147">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26">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26">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26">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30" t="n"/>
      <c r="Q8" s="31" t="inlineStr">
        <is>
          <t>● 정보통신공사업법 시행령 제35조의 2</t>
        </is>
      </c>
      <c r="R8" s="24" t="inlineStr">
        <is>
          <t>1) 👉 [더블클릭] 체크리스트 열기 📄</t>
        </is>
      </c>
      <c r="S8" s="31" t="n"/>
    </row>
    <row r="9" ht="96" customHeight="1" s="147">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26">
        <f>HYPERLINK(LEFT(CELL("filename",A1),FIND("[",CELL("filename",A1))-1)&amp;"매뉴얼BODY(집행단계-첨부폴더)v8\6.건축\8_선행공종 인수사항 확인\표준서\선행공종 인수사항 확인_표준서.html", "👉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26">
        <f>HYPERLINK(LEFT(CELL("filename",A1),FIND("[",CELL("filename",A1))-1)&amp;"매뉴얼BODY(집행단계-첨부폴더)v8\6.건축\8_선행공종 인수사항 확인\수행지침\선행공종 인수사항 확인_수행지침.html", "👉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26">
        <f>HYPERLINK(LEFT(CELL("filename",A1),FIND("[",CELL("filename",A1))-1)&amp;"매뉴얼BODY(집행단계-첨부폴더)v8\6.건축\8_선행공종 인수사항 확인\체크리스트\선행공종 인수사항 확인_체크리스트.html", "👉 [클릭] 체크리스트 열기 📄")</f>
        <v/>
      </c>
      <c r="P9" s="30" t="n"/>
      <c r="Q9" s="31" t="inlineStr">
        <is>
          <t>● 선행공종(토공, 지반개량 등) 인수 및 좌표 검증</t>
        </is>
      </c>
      <c r="R9" s="24" t="inlineStr">
        <is>
          <t>1) 👉 [더블클릭] 체크리스트 열기 📄</t>
        </is>
      </c>
      <c r="S9" s="31" t="n"/>
    </row>
    <row r="10" ht="96" customHeight="1" s="147">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26">
        <f>HYPERLINK(LEFT(CELL("filename",A1),FIND("[",CELL("filename",A1))-1)&amp;"매뉴얼BODY(집행단계-첨부폴더)v8\6.건축\9_인터페이스 사항 검토 및 지원\표준서\인터페이스 사항 검토 및 지원_표준서.html", "👉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26">
        <f>HYPERLINK(LEFT(CELL("filename",A1),FIND("[",CELL("filename",A1))-1)&amp;"매뉴얼BODY(집행단계-첨부폴더)v8\6.건축\9_인터페이스 사항 검토 및 지원\수행지침\인터페이스 사항 검토 및 지원_수행지침.html", "👉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26">
        <f>HYPERLINK(LEFT(CELL("filename",A1),FIND("[",CELL("filename",A1))-1)&amp;"매뉴얼BODY(집행단계-첨부폴더)v8\6.건축\9_인터페이스 사항 검토 및 지원\체크리스트\인터페이스 사항 검토 및 지원_체크리스트.html", "👉 [클릭] 체크리스트 열기 📄")</f>
        <v/>
      </c>
      <c r="P10" s="30" t="n"/>
      <c r="Q10" s="31" t="inlineStr">
        <is>
          <t>● 공종간 간섭 최소화</t>
        </is>
      </c>
      <c r="R10" s="24" t="inlineStr">
        <is>
          <t>1) 👉 [더블클릭] 체크리스트 열기 📄</t>
        </is>
      </c>
      <c r="S10" s="31" t="n"/>
    </row>
    <row r="11" ht="115.2" customHeight="1" s="147">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26">
        <f>HYPERLINK(LEFT(CELL("filename",A1),FIND("[",CELL("filename",A1))-1)&amp;"매뉴얼BODY(집행단계-첨부폴더)v8\6.건축\10_품질_안전 LL 공유\표준서\품질_안전 LL 공유_표준서.html", "👉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26">
        <f>HYPERLINK(LEFT(CELL("filename",A1),FIND("[",CELL("filename",A1))-1)&amp;"매뉴얼BODY(집행단계-첨부폴더)v8\6.건축\10_품질_안전 LL 공유\수행지침\품질_안전 LL 공유_수행지침.html", "👉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26">
        <f>HYPERLINK(LEFT(CELL("filename",A1),FIND("[",CELL("filename",A1))-1)&amp;"매뉴얼BODY(집행단계-첨부폴더)v8\6.건축\10_품질_안전 LL 공유\체크리스트\품질_안전 LL 공유_체크리스트.html", "👉 [클릭] 체크리스트 열기 📄")</f>
        <v/>
      </c>
      <c r="P11" s="30" t="n"/>
      <c r="Q11" s="31" t="inlineStr">
        <is>
          <t>● 기존 하자사례 및 Lesson Learned 반영</t>
        </is>
      </c>
      <c r="R11" s="24" t="inlineStr">
        <is>
          <t>1) 👉 [더블클릭] 체크리스트 열기 📄</t>
        </is>
      </c>
      <c r="S11" s="31" t="n"/>
    </row>
    <row r="12" ht="175.2" customHeight="1" s="147">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26">
        <f>HYPERLINK(LEFT(CELL("filename",A1),FIND("[",CELL("filename",A1))-1)&amp;"매뉴얼BODY(집행단계-첨부폴더)v8\6.건축\11_자재공급원승인 및 자재발주\표준서\자재공급원승인 및 자재발주_표준서.html", "👉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26">
        <f>HYPERLINK(LEFT(CELL("filename",A1),FIND("[",CELL("filename",A1))-1)&amp;"매뉴얼BODY(집행단계-첨부폴더)v8\6.건축\11_자재공급원승인 및 자재발주\수행지침\자재공급원승인 및 자재발주_수행지침.html", "👉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26">
        <f>HYPERLINK(LEFT(CELL("filename",A1),FIND("[",CELL("filename",A1))-1)&amp;"매뉴얼BODY(집행단계-첨부폴더)v8\6.건축\11_자재공급원승인 및 자재발주\체크리스트\자재공급원승인 및 자재발주_체크리스트.html", "👉 [클릭] 체크리스트 열기 📄")</f>
        <v/>
      </c>
      <c r="P12" s="30" t="n"/>
      <c r="Q12" s="31" t="inlineStr">
        <is>
          <t>● 자재 규격 및 기준 만족</t>
        </is>
      </c>
      <c r="R12" s="24" t="inlineStr">
        <is>
          <t>1) 👉 [더블클릭] 체크리스트 열기 📄</t>
        </is>
      </c>
      <c r="S12" s="31" t="n"/>
    </row>
    <row r="13" ht="211.2" customHeight="1" s="147">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26">
        <f>HYPERLINK(LEFT(CELL("filename",A1),FIND("[",CELL("filename",A1))-1)&amp;"매뉴얼BODY(집행단계-첨부폴더)v8\6.건축\12_착수전 Big Room 회의\표준서\착수전 Big Room 회의_표준서.html", "👉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26">
        <f>HYPERLINK(LEFT(CELL("filename",A1),FIND("[",CELL("filename",A1))-1)&amp;"매뉴얼BODY(집행단계-첨부폴더)v8\6.건축\12_착수전 Big Room 회의\수행지침\착수전 Big Room 회의_수행지침.html", "👉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26">
        <f>HYPERLINK(LEFT(CELL("filename",A1),FIND("[",CELL("filename",A1))-1)&amp;"매뉴얼BODY(집행단계-첨부폴더)v8\6.건축\12_착수전 Big Room 회의\체크리스트\착수전 Big Room 회의_체크리스트.html", "👉 [클릭] 체크리스트 열기 📄")</f>
        <v/>
      </c>
      <c r="P13" s="30" t="n"/>
      <c r="Q13" s="31" t="inlineStr">
        <is>
          <t>● 유관부서(견적/엔지니어링/공정/품질/안전) 협의</t>
        </is>
      </c>
      <c r="R13" s="24" t="inlineStr">
        <is>
          <t>1) 👉 [더블클릭] 체크리스트 열기 📄</t>
        </is>
      </c>
      <c r="S13" s="31" t="n"/>
    </row>
    <row r="14" ht="115.2" customHeight="1" s="147">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26">
        <f>HYPERLINK(LEFT(CELL("filename",A1),FIND("[",CELL("filename",A1))-1)&amp;"매뉴얼BODY(집행단계-첨부폴더)v8\6.건축\13_시공계획 수립_승인\표준서\시공계획 수립_승인_표준서.html", "👉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26">
        <f>HYPERLINK(LEFT(CELL("filename",A1),FIND("[",CELL("filename",A1))-1)&amp;"매뉴얼BODY(집행단계-첨부폴더)v8\6.건축\13_시공계획 수립_승인\수행지침\시공계획 수립_승인_수행지침.html", "👉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26">
        <f>HYPERLINK(LEFT(CELL("filename",A1),FIND("[",CELL("filename",A1))-1)&amp;"매뉴얼BODY(집행단계-첨부폴더)v8\6.건축\13_시공계획 수립_승인\체크리스트\시공계획 수립_승인_체크리스트.html", "👉 [클릭] 체크리스트 열기 📄")</f>
        <v/>
      </c>
      <c r="P14" s="30" t="n"/>
      <c r="Q14" s="31" t="inlineStr">
        <is>
          <t>● 건설기술진흥법 규정 준수</t>
        </is>
      </c>
      <c r="R14" s="24" t="inlineStr">
        <is>
          <t>1) 👉 [더블클릭] 체크리스트 열기 📄</t>
        </is>
      </c>
      <c r="S14" s="31" t="n"/>
    </row>
    <row r="15" ht="115.2" customHeight="1" s="147">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26">
        <f>HYPERLINK(LEFT(CELL("filename",A1),FIND("[",CELL("filename",A1))-1)&amp;"매뉴얼BODY(집행단계-첨부폴더)v8\6.건축\14_측량, 자재_장비 반입, 안전교육\표준서\측량, 자재_장비 반입, 안전교육_표준서.html", "👉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26">
        <f>HYPERLINK(LEFT(CELL("filename",A1),FIND("[",CELL("filename",A1))-1)&amp;"매뉴얼BODY(집행단계-첨부폴더)v8\6.건축\14_측량, 자재_장비 반입, 안전교육\수행지침\측량, 자재_장비 반입, 안전교육_수행지침.html", "👉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26">
        <f>HYPERLINK(LEFT(CELL("filename",A1),FIND("[",CELL("filename",A1))-1)&amp;"매뉴얼BODY(집행단계-첨부폴더)v8\6.건축\14_측량, 자재_장비 반입, 안전교육\체크리스트\측량, 자재_장비 반입, 안전교육_체크리스트.html", "👉 [클릭] 체크리스트 열기 📄")</f>
        <v/>
      </c>
      <c r="P15" s="30" t="n"/>
      <c r="Q15" s="31" t="inlineStr">
        <is>
          <t>● 측량법 및 산업안전보건법 준수</t>
        </is>
      </c>
      <c r="R15" s="24" t="inlineStr">
        <is>
          <t>1) 👉 [더블클릭] 체크리스트 열기 📄</t>
        </is>
      </c>
      <c r="S15" s="31" t="n"/>
    </row>
    <row r="16" ht="115.2" customHeight="1" s="147">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26">
        <f>HYPERLINK(LEFT(CELL("filename",A1),FIND("[",CELL("filename",A1))-1)&amp;"매뉴얼BODY(집행단계-첨부폴더)v8\6.건축\15_자재 검수\표준서\자재 검수_표준서.html", "👉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26">
        <f>HYPERLINK(LEFT(CELL("filename",A1),FIND("[",CELL("filename",A1))-1)&amp;"매뉴얼BODY(집행단계-첨부폴더)v8\6.건축\15_자재 검수\수행지침\자재 검수_수행지침.html", "👉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26">
        <f>HYPERLINK(LEFT(CELL("filename",A1),FIND("[",CELL("filename",A1))-1)&amp;"매뉴얼BODY(집행단계-첨부폴더)v8\6.건축\15_자재 검수\체크리스트\자재 검수_체크리스트.html", "👉 [클릭] 체크리스트 열기 📄")</f>
        <v/>
      </c>
      <c r="P16" s="30" t="n"/>
      <c r="Q16" s="31" t="inlineStr">
        <is>
          <t>● KS 규격 및 시방 기준 준수</t>
        </is>
      </c>
      <c r="R16" s="24" t="inlineStr">
        <is>
          <t>1) 👉 [더블클릭] 체크리스트 열기 📄</t>
        </is>
      </c>
      <c r="S16" s="31" t="n"/>
    </row>
    <row r="17" ht="96" customHeight="1" s="147">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26">
        <f>HYPERLINK(LEFT(CELL("filename",A1),FIND("[",CELL("filename",A1))-1)&amp;"매뉴얼BODY(집행단계-첨부폴더)v8\6.건축\16_터파기_지반 정리\표준서\터파기_지반 정리_표준서.html", "👉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26">
        <f>HYPERLINK(LEFT(CELL("filename",A1),FIND("[",CELL("filename",A1))-1)&amp;"매뉴얼BODY(집행단계-첨부폴더)v8\6.건축\16_터파기_지반 정리\수행지침\터파기_지반 정리_수행지침.html", "👉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26">
        <f>HYPERLINK(LEFT(CELL("filename",A1),FIND("[",CELL("filename",A1))-1)&amp;"매뉴얼BODY(집행단계-첨부폴더)v8\6.건축\16_터파기_지반 정리\체크리스트\터파기_지반 정리_체크리스트.html", "👉 [클릭] 체크리스트 열기 📄")</f>
        <v/>
      </c>
      <c r="P17" s="30" t="n"/>
      <c r="Q17" s="31" t="inlineStr">
        <is>
          <t>● 지반 지지력 및 굴착 공차 관리 기준</t>
        </is>
      </c>
      <c r="R17" s="24" t="inlineStr">
        <is>
          <t>1) 👉 [더블클릭] 체크리스트 열기 📄</t>
        </is>
      </c>
      <c r="S17" s="31" t="n"/>
    </row>
    <row r="18" ht="115.2" customHeight="1" s="147">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26">
        <f>HYPERLINK(LEFT(CELL("filename",A1),FIND("[",CELL("filename",A1))-1)&amp;"매뉴얼BODY(집행단계-첨부폴더)v8\6.건축\17_바닥(버림) 콘크리트 타설\표준서\바닥(버림) 콘크리트 타설_표준서.html", "👉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26">
        <f>HYPERLINK(LEFT(CELL("filename",A1),FIND("[",CELL("filename",A1))-1)&amp;"매뉴얼BODY(집행단계-첨부폴더)v8\6.건축\17_바닥(버림) 콘크리트 타설\수행지침\바닥(버림) 콘크리트 타설_수행지침.html", "👉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26">
        <f>HYPERLINK(LEFT(CELL("filename",A1),FIND("[",CELL("filename",A1))-1)&amp;"매뉴얼BODY(집행단계-첨부폴더)v8\6.건축\17_바닥(버림) 콘크리트 타설\체크리스트\바닥(버림) 콘크리트 타설_체크리스트.html", "👉 [클릭] 체크리스트 열기 📄")</f>
        <v/>
      </c>
      <c r="P18" s="30" t="n"/>
      <c r="Q18" s="31" t="inlineStr">
        <is>
          <t>● 버림 콘크리트 두께 및 높이 준수</t>
        </is>
      </c>
      <c r="R18" s="24" t="inlineStr">
        <is>
          <t>1) 👉 [더블클릭] 체크리스트 열기 📄</t>
        </is>
      </c>
      <c r="S18" s="31" t="n"/>
    </row>
    <row r="19" ht="115.2" customHeight="1" s="147">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26">
        <f>HYPERLINK(LEFT(CELL("filename",A1),FIND("[",CELL("filename",A1))-1)&amp;"매뉴얼BODY(집행단계-첨부폴더)v8\6.건축\18_인터페이스 회의(매주)\표준서\인터페이스 회의(매주)_표준서.html", "👉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26">
        <f>HYPERLINK(LEFT(CELL("filename",A1),FIND("[",CELL("filename",A1))-1)&amp;"매뉴얼BODY(집행단계-첨부폴더)v8\6.건축\18_인터페이스 회의(매주)\수행지침\인터페이스 회의(매주)_수행지침.html", "👉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26">
        <f>HYPERLINK(LEFT(CELL("filename",A1),FIND("[",CELL("filename",A1))-1)&amp;"매뉴얼BODY(집행단계-첨부폴더)v8\6.건축\18_인터페이스 회의(매주)\체크리스트\인터페이스 회의(매주)_체크리스트.html", "👉 [클릭] 체크리스트 열기 📄")</f>
        <v/>
      </c>
      <c r="P19" s="30" t="n"/>
      <c r="Q19" s="31" t="inlineStr">
        <is>
          <t>● 공정 조율 및 시공 순서 확인</t>
        </is>
      </c>
      <c r="R19" s="24" t="inlineStr">
        <is>
          <t>1) 👉 [더블클릭] 체크리스트 열기 📄</t>
        </is>
      </c>
      <c r="S19" s="31" t="n"/>
    </row>
    <row r="20" ht="115.2" customHeight="1" s="147">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26">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26">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26">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30" t="n"/>
      <c r="Q20" s="31" t="inlineStr">
        <is>
          <t>● 타 분야 매입 배관 및 슬리브 사전 확인</t>
        </is>
      </c>
      <c r="R20" s="24" t="inlineStr">
        <is>
          <t>1) 👉 [더블클릭] 체크리스트 열기 📄</t>
        </is>
      </c>
      <c r="S20" s="31" t="n"/>
    </row>
    <row r="21" ht="115.2" customHeight="1" s="147">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26">
        <f>HYPERLINK(LEFT(CELL("filename",A1),FIND("[",CELL("filename",A1))-1)&amp;"매뉴얼BODY(집행단계-첨부폴더)v8\6.건축\20_인터페이스 각 공종별 Issue (토목분야)\표준서\인터페이스 각 공종별 Issue (토목분야)_표준서.html", "👉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26">
        <f>HYPERLINK(LEFT(CELL("filename",A1),FIND("[",CELL("filename",A1))-1)&amp;"매뉴얼BODY(집행단계-첨부폴더)v8\6.건축\20_인터페이스 각 공종별 Issue (토목분야)\수행지침\인터페이스 각 공종별 Issue (토목분야)_수행지침.html", "👉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26">
        <f>HYPERLINK(LEFT(CELL("filename",A1),FIND("[",CELL("filename",A1))-1)&amp;"매뉴얼BODY(집행단계-첨부폴더)v8\6.건축\20_인터페이스 각 공종별 Issue (토목분야)\체크리스트\인터페이스 각 공종별 Issue (토목분야)_체크리스트.html", "👉 [클릭] 체크리스트 열기 📄")</f>
        <v/>
      </c>
      <c r="P21" s="30" t="n"/>
      <c r="Q21" s="31" t="inlineStr">
        <is>
          <t>● 토목 외부 우/오수 배수 및 연계 부분 확인</t>
        </is>
      </c>
      <c r="R21" s="24" t="inlineStr">
        <is>
          <t>1) 👉 [더블클릭] 체크리스트 열기 📄</t>
        </is>
      </c>
      <c r="S21" s="31" t="n"/>
    </row>
    <row r="22" ht="96" customHeight="1" s="147">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26">
        <f>HYPERLINK(LEFT(CELL("filename",A1),FIND("[",CELL("filename",A1))-1)&amp;"매뉴얼BODY(집행단계-첨부폴더)v8\6.건축\21_기초~상부슬라브 구조물 시공\표준서\기초~상부슬라브 구조물 시공_표준서.html", "👉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26">
        <f>HYPERLINK(LEFT(CELL("filename",A1),FIND("[",CELL("filename",A1))-1)&amp;"매뉴얼BODY(집행단계-첨부폴더)v8\6.건축\21_기초~상부슬라브 구조물 시공\수행지침\기초~상부슬라브 구조물 시공_수행지침.html", "👉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26">
        <f>HYPERLINK(LEFT(CELL("filename",A1),FIND("[",CELL("filename",A1))-1)&amp;"매뉴얼BODY(집행단계-첨부폴더)v8\6.건축\21_기초~상부슬라브 구조물 시공\체크리스트\기초~상부슬라브 구조물 시공_체크리스트.html", "👉 [클릭] 체크리스트 열기 📄")</f>
        <v/>
      </c>
      <c r="P22" s="30" t="n"/>
      <c r="Q22" s="31" t="inlineStr">
        <is>
          <t>● 콘크리트 압축강도 및 피복두께 관리</t>
        </is>
      </c>
      <c r="R22" s="24" t="inlineStr">
        <is>
          <t>1) 👉 [더블클릭] 체크리스트 열기 📄</t>
        </is>
      </c>
      <c r="S22" s="31" t="n"/>
    </row>
    <row r="23" ht="96" customHeight="1" s="147">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26">
        <f>HYPERLINK(LEFT(CELL("filename",A1),FIND("[",CELL("filename",A1))-1)&amp;"매뉴얼BODY(집행단계-첨부폴더)v8\6.건축\22_철근 가공\표준서\철근 가공_표준서.html", "👉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26">
        <f>HYPERLINK(LEFT(CELL("filename",A1),FIND("[",CELL("filename",A1))-1)&amp;"매뉴얼BODY(집행단계-첨부폴더)v8\6.건축\22_철근 가공\수행지침\철근 가공_수행지침.html", "👉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26">
        <f>HYPERLINK(LEFT(CELL("filename",A1),FIND("[",CELL("filename",A1))-1)&amp;"매뉴얼BODY(집행단계-첨부폴더)v8\6.건축\22_철근 가공\체크리스트\철근 가공_체크리스트.html", "👉 [클릭] 체크리스트 열기 📄")</f>
        <v/>
      </c>
      <c r="P23" s="30" t="n"/>
      <c r="Q23" s="31" t="inlineStr">
        <is>
          <t>● 철근 가공 치수 허용오차 기준</t>
        </is>
      </c>
      <c r="R23" s="24" t="inlineStr">
        <is>
          <t>1) 👉 [더블클릭] 체크리스트 열기 📄</t>
        </is>
      </c>
      <c r="S23" s="31" t="n"/>
    </row>
    <row r="24" ht="96" customHeight="1" s="147">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26">
        <f>HYPERLINK(LEFT(CELL("filename",A1),FIND("[",CELL("filename",A1))-1)&amp;"매뉴얼BODY(집행단계-첨부폴더)v8\6.건축\23_작업발판, 비계 및 동바리 설치\표준서\작업발판, 비계 및 동바리 설치_표준서.html", "👉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26">
        <f>HYPERLINK(LEFT(CELL("filename",A1),FIND("[",CELL("filename",A1))-1)&amp;"매뉴얼BODY(집행단계-첨부폴더)v8\6.건축\23_작업발판, 비계 및 동바리 설치\수행지침\작업발판, 비계 및 동바리 설치_수행지침.html", "👉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26">
        <f>HYPERLINK(LEFT(CELL("filename",A1),FIND("[",CELL("filename",A1))-1)&amp;"매뉴얼BODY(집행단계-첨부폴더)v8\6.건축\23_작업발판, 비계 및 동바리 설치\체크리스트\작업발판, 비계 및 동바리 설치_체크리스트.html", "👉 [클릭] 체크리스트 열기 📄")</f>
        <v/>
      </c>
      <c r="P24" s="30" t="n"/>
      <c r="Q24" s="31" t="inlineStr">
        <is>
          <t>● 가설구조물 안전 기준 및 구조 검토</t>
        </is>
      </c>
      <c r="R24" s="24" t="inlineStr">
        <is>
          <t>1) 👉 [더블클릭] 체크리스트 열기 📄</t>
        </is>
      </c>
      <c r="S24" s="31" t="n"/>
    </row>
    <row r="25" ht="96" customHeight="1" s="147">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26">
        <f>HYPERLINK(LEFT(CELL("filename",A1),FIND("[",CELL("filename",A1))-1)&amp;"매뉴얼BODY(집행단계-첨부폴더)v8\6.건축\24_철근 조립\표준서\철근 조립_표준서.html", "👉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26">
        <f>HYPERLINK(LEFT(CELL("filename",A1),FIND("[",CELL("filename",A1))-1)&amp;"매뉴얼BODY(집행단계-첨부폴더)v8\6.건축\24_철근 조립\수행지침\철근 조립_수행지침.html", "👉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26">
        <f>HYPERLINK(LEFT(CELL("filename",A1),FIND("[",CELL("filename",A1))-1)&amp;"매뉴얼BODY(집행단계-첨부폴더)v8\6.건축\24_철근 조립\체크리스트\철근 조립_체크리스트.html", "👉 [클릭] 체크리스트 열기 📄")</f>
        <v/>
      </c>
      <c r="P25" s="30" t="n"/>
      <c r="Q25" s="31" t="inlineStr">
        <is>
          <t>● 철근 배근 간격 및 결속선 결속 기준</t>
        </is>
      </c>
      <c r="R25" s="24" t="inlineStr">
        <is>
          <t>1) 👉 [더블클릭] 체크리스트 열기 📄</t>
        </is>
      </c>
      <c r="S25" s="31" t="n"/>
    </row>
    <row r="26" ht="96" customHeight="1" s="147">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26">
        <f>HYPERLINK(LEFT(CELL("filename",A1),FIND("[",CELL("filename",A1))-1)&amp;"매뉴얼BODY(집행단계-첨부폴더)v8\6.건축\25_거푸집 조립\표준서\거푸집 조립_표준서.html", "👉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26">
        <f>HYPERLINK(LEFT(CELL("filename",A1),FIND("[",CELL("filename",A1))-1)&amp;"매뉴얼BODY(집행단계-첨부폴더)v8\6.건축\25_거푸집 조립\수행지침\거푸집 조립_수행지침.html", "👉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26">
        <f>HYPERLINK(LEFT(CELL("filename",A1),FIND("[",CELL("filename",A1))-1)&amp;"매뉴얼BODY(집행단계-첨부폴더)v8\6.건축\25_거푸집 조립\체크리스트\거푸집 조립_체크리스트.html", "👉 [클릭] 체크리스트 열기 📄")</f>
        <v/>
      </c>
      <c r="P26" s="30" t="n"/>
      <c r="Q26" s="31" t="inlineStr">
        <is>
          <t>● 거푸집 수직/수평도 및 박리제 도포 기준</t>
        </is>
      </c>
      <c r="R26" s="24" t="inlineStr">
        <is>
          <t>1) 👉 [더블클릭] 체크리스트 열기 📄</t>
        </is>
      </c>
      <c r="S26" s="31" t="n"/>
    </row>
    <row r="27" ht="96" customHeight="1" s="147">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26">
        <f>HYPERLINK(LEFT(CELL("filename",A1),FIND("[",CELL("filename",A1))-1)&amp;"매뉴얼BODY(집행단계-첨부폴더)v8\6.건축\26_콘크리트 타설 및 다짐\표준서\콘크리트 타설 및 다짐_표준서.html", "👉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26">
        <f>HYPERLINK(LEFT(CELL("filename",A1),FIND("[",CELL("filename",A1))-1)&amp;"매뉴얼BODY(집행단계-첨부폴더)v8\6.건축\26_콘크리트 타설 및 다짐\수행지침\콘크리트 타설 및 다짐_수행지침.html", "👉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26">
        <f>HYPERLINK(LEFT(CELL("filename",A1),FIND("[",CELL("filename",A1))-1)&amp;"매뉴얼BODY(집행단계-첨부폴더)v8\6.건축\26_콘크리트 타설 및 다짐\체크리스트\콘크리트 타설 및 다짐_체크리스트.html", "👉 [클릭] 체크리스트 열기 📄")</f>
        <v/>
      </c>
      <c r="P27" s="30" t="n"/>
      <c r="Q27" s="31" t="inlineStr">
        <is>
          <t>● 콘크리트 타설 속도 및 다짐기 사용 기준</t>
        </is>
      </c>
      <c r="R27" s="24" t="inlineStr">
        <is>
          <t>1) 👉 [더블클릭] 체크리스트 열기 📄</t>
        </is>
      </c>
      <c r="S27" s="31" t="n"/>
    </row>
    <row r="28" ht="115.2" customHeight="1" s="147">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26">
        <f>HYPERLINK(LEFT(CELL("filename",A1),FIND("[",CELL("filename",A1))-1)&amp;"매뉴얼BODY(집행단계-첨부폴더)v8\6.건축\27_거푸집 해체\표준서\거푸집 해체_표준서.html", "👉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26">
        <f>HYPERLINK(LEFT(CELL("filename",A1),FIND("[",CELL("filename",A1))-1)&amp;"매뉴얼BODY(집행단계-첨부폴더)v8\6.건축\27_거푸집 해체\수행지침\거푸집 해체_수행지침.html", "👉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26">
        <f>HYPERLINK(LEFT(CELL("filename",A1),FIND("[",CELL("filename",A1))-1)&amp;"매뉴얼BODY(집행단계-첨부폴더)v8\6.건축\27_거푸집 해체\체크리스트\거푸집 해체_체크리스트.html", "👉 [클릭] 체크리스트 열기 📄")</f>
        <v/>
      </c>
      <c r="P28" s="30" t="n"/>
      <c r="Q28" s="31" t="inlineStr">
        <is>
          <t>● 거푸집 해체 시 압축강도 기준 준수</t>
        </is>
      </c>
      <c r="R28" s="24" t="inlineStr">
        <is>
          <t>1) 👉 [더블클릭] 체크리스트 열기 📄</t>
        </is>
      </c>
      <c r="S28" s="31" t="n"/>
    </row>
    <row r="29" ht="115.2" customHeight="1" s="147">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26">
        <f>HYPERLINK(LEFT(CELL("filename",A1),FIND("[",CELL("filename",A1))-1)&amp;"매뉴얼BODY(집행단계-첨부폴더)v8\6.건축\28_건축 내부 및 마감공사\표준서\건축 내부 및 마감공사_표준서.html", "👉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26">
        <f>HYPERLINK(LEFT(CELL("filename",A1),FIND("[",CELL("filename",A1))-1)&amp;"매뉴얼BODY(집행단계-첨부폴더)v8\6.건축\28_건축 내부 및 마감공사\수행지침\건축 내부 및 마감공사_수행지침.html", "👉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26">
        <f>HYPERLINK(LEFT(CELL("filename",A1),FIND("[",CELL("filename",A1))-1)&amp;"매뉴얼BODY(집행단계-첨부폴더)v8\6.건축\28_건축 내부 및 마감공사\체크리스트\건축 내부 및 마감공사_체크리스트.html", "👉 [클릭] 체크리스트 열기 📄")</f>
        <v/>
      </c>
      <c r="P29" s="30" t="n"/>
      <c r="Q29" s="31" t="inlineStr">
        <is>
          <t>● 내부 및 외벽 마감 상세 도서 준수</t>
        </is>
      </c>
      <c r="R29" s="24" t="inlineStr">
        <is>
          <t>1) 👉 [더블클릭] 체크리스트 열기 📄</t>
        </is>
      </c>
      <c r="S29" s="31" t="n"/>
    </row>
    <row r="30" ht="115.2" customHeight="1" s="147">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26">
        <f>HYPERLINK(LEFT(CELL("filename",A1),FIND("[",CELL("filename",A1))-1)&amp;"매뉴얼BODY(집행단계-첨부폴더)v8\6.건축\29_창호,유리 및 금속지붕공사\표준서\창호,유리 및 금속지붕공사_표준서.html", "👉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26">
        <f>HYPERLINK(LEFT(CELL("filename",A1),FIND("[",CELL("filename",A1))-1)&amp;"매뉴얼BODY(집행단계-첨부폴더)v8\6.건축\29_창호,유리 및 금속지붕공사\수행지침\창호,유리 및 금속지붕공사_수행지침.html", "👉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26">
        <f>HYPERLINK(LEFT(CELL("filename",A1),FIND("[",CELL("filename",A1))-1)&amp;"매뉴얼BODY(집행단계-첨부폴더)v8\6.건축\29_창호,유리 및 금속지붕공사\체크리스트\창호,유리 및 금속지붕공사_체크리스트.html", "👉 [클릭] 체크리스트 열기 📄")</f>
        <v/>
      </c>
      <c r="P30" s="30" t="n"/>
      <c r="Q30" s="31" t="inlineStr">
        <is>
          <t>● 창호 기밀성 및 수밀성 성능 검증</t>
        </is>
      </c>
      <c r="R30" s="24" t="inlineStr">
        <is>
          <t>1) 👉 [더블클릭] 체크리스트 열기 📄</t>
        </is>
      </c>
      <c r="S30" s="31" t="n"/>
    </row>
    <row r="31" ht="96" customHeight="1" s="147">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26">
        <f>HYPERLINK(LEFT(CELL("filename",A1),FIND("[",CELL("filename",A1))-1)&amp;"매뉴얼BODY(집행단계-첨부폴더)v8\6.건축\30_조적공사\표준서\조적공사_표준서.html", "👉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26">
        <f>HYPERLINK(LEFT(CELL("filename",A1),FIND("[",CELL("filename",A1))-1)&amp;"매뉴얼BODY(집행단계-첨부폴더)v8\6.건축\30_조적공사\수행지침\조적공사_수행지침.html", "👉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26">
        <f>HYPERLINK(LEFT(CELL("filename",A1),FIND("[",CELL("filename",A1))-1)&amp;"매뉴얼BODY(집행단계-첨부폴더)v8\6.건축\30_조적공사\체크리스트\조적공사_체크리스트.html", "👉 [클릭] 체크리스트 열기 📄")</f>
        <v/>
      </c>
      <c r="P31" s="30" t="n"/>
      <c r="Q31" s="31" t="inlineStr">
        <is>
          <t>● 조적 줄눈 및 쌓기 높이 기준 준수</t>
        </is>
      </c>
      <c r="R31" s="24" t="inlineStr">
        <is>
          <t>1) 👉 [더블클릭] 체크리스트 열기 📄</t>
        </is>
      </c>
      <c r="S31" s="31" t="n"/>
    </row>
    <row r="32" ht="115.2" customHeight="1" s="147">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26">
        <f>HYPERLINK(LEFT(CELL("filename",A1),FIND("[",CELL("filename",A1))-1)&amp;"매뉴얼BODY(집행단계-첨부폴더)v8\6.건축\31_내부 방수공사\표준서\내부 방수공사_표준서.html", "👉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26">
        <f>HYPERLINK(LEFT(CELL("filename",A1),FIND("[",CELL("filename",A1))-1)&amp;"매뉴얼BODY(집행단계-첨부폴더)v8\6.건축\31_내부 방수공사\수행지침\내부 방수공사_수행지침.html", "👉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26">
        <f>HYPERLINK(LEFT(CELL("filename",A1),FIND("[",CELL("filename",A1))-1)&amp;"매뉴얼BODY(집행단계-첨부폴더)v8\6.건축\31_내부 방수공사\체크리스트\내부 방수공사_체크리스트.html", "👉 [클릭] 체크리스트 열기 📄")</f>
        <v/>
      </c>
      <c r="P32" s="30" t="n"/>
      <c r="Q32" s="31" t="inlineStr">
        <is>
          <t>● 방수층 두께 및 담수테스트(24시간) 기준</t>
        </is>
      </c>
      <c r="R32" s="24" t="inlineStr">
        <is>
          <t>1) 👉 [더블클릭] 체크리스트 열기 📄</t>
        </is>
      </c>
      <c r="S32" s="31" t="n"/>
    </row>
    <row r="33" ht="96" customHeight="1" s="147">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26">
        <f>HYPERLINK(LEFT(CELL("filename",A1),FIND("[",CELL("filename",A1))-1)&amp;"매뉴얼BODY(집행단계-첨부폴더)v8\6.건축\32_미장 및 타일공사\표준서\미장 및 타일공사_표준서.html", "👉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26">
        <f>HYPERLINK(LEFT(CELL("filename",A1),FIND("[",CELL("filename",A1))-1)&amp;"매뉴얼BODY(집행단계-첨부폴더)v8\6.건축\32_미장 및 타일공사\수행지침\미장 및 타일공사_수행지침.html", "👉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26">
        <f>HYPERLINK(LEFT(CELL("filename",A1),FIND("[",CELL("filename",A1))-1)&amp;"매뉴얼BODY(집행단계-첨부폴더)v8\6.건축\32_미장 및 타일공사\체크리스트\미장 및 타일공사_체크리스트.html", "👉 [클릭] 체크리스트 열기 📄")</f>
        <v/>
      </c>
      <c r="P33" s="30" t="n"/>
      <c r="Q33" s="31" t="inlineStr">
        <is>
          <t>● 미장면 평탄성 및 타일 부착 강도 기준</t>
        </is>
      </c>
      <c r="R33" s="24" t="inlineStr">
        <is>
          <t>1) 👉 [더블클릭] 체크리스트 열기 📄</t>
        </is>
      </c>
      <c r="S33" s="31" t="n"/>
    </row>
    <row r="34" ht="96" customHeight="1" s="147">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26">
        <f>HYPERLINK(LEFT(CELL("filename",A1),FIND("[",CELL("filename",A1))-1)&amp;"매뉴얼BODY(집행단계-첨부폴더)v8\6.건축\33_수장 및 잡철물공사\표준서\수장 및 잡철물공사_표준서.html", "👉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26">
        <f>HYPERLINK(LEFT(CELL("filename",A1),FIND("[",CELL("filename",A1))-1)&amp;"매뉴얼BODY(집행단계-첨부폴더)v8\6.건축\33_수장 및 잡철물공사\수행지침\수장 및 잡철물공사_수행지침.html", "👉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26">
        <f>HYPERLINK(LEFT(CELL("filename",A1),FIND("[",CELL("filename",A1))-1)&amp;"매뉴얼BODY(집행단계-첨부폴더)v8\6.건축\33_수장 및 잡철물공사\체크리스트\수장 및 잡철물공사_체크리스트.html", "👉 [클릭] 체크리스트 열기 📄")</f>
        <v/>
      </c>
      <c r="P34" s="30" t="n"/>
      <c r="Q34" s="31" t="inlineStr">
        <is>
          <t>● 실별 마감 재료 규격 만족</t>
        </is>
      </c>
      <c r="R34" s="24" t="inlineStr">
        <is>
          <t>1) 👉 [더블클릭] 체크리스트 열기 📄</t>
        </is>
      </c>
      <c r="S34" s="31" t="n"/>
    </row>
    <row r="35" ht="115.2" customHeight="1" s="147">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26">
        <f>HYPERLINK(LEFT(CELL("filename",A1),FIND("[",CELL("filename",A1))-1)&amp;"매뉴얼BODY(집행단계-첨부폴더)v8\6.건축\34_도장공사\표준서\도장공사_표준서.html", "👉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26">
        <f>HYPERLINK(LEFT(CELL("filename",A1),FIND("[",CELL("filename",A1))-1)&amp;"매뉴얼BODY(집행단계-첨부폴더)v8\6.건축\34_도장공사\수행지침\도장공사_수행지침.html", "👉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26">
        <f>HYPERLINK(LEFT(CELL("filename",A1),FIND("[",CELL("filename",A1))-1)&amp;"매뉴얼BODY(집행단계-첨부폴더)v8\6.건축\34_도장공사\체크리스트\도장공사_체크리스트.html", "👉 [클릭] 체크리스트 열기 📄")</f>
        <v/>
      </c>
      <c r="P35" s="30" t="n"/>
      <c r="Q35" s="31" t="inlineStr">
        <is>
          <t>● 도장 도막 두께 및 색상 균일성 기준</t>
        </is>
      </c>
      <c r="R35" s="24" t="inlineStr">
        <is>
          <t>1) 👉 [더블클릭] 체크리스트 열기 📄</t>
        </is>
      </c>
      <c r="S35" s="31" t="n"/>
    </row>
    <row r="36" ht="115.2" customHeight="1" s="147">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26">
        <f>HYPERLINK(LEFT(CELL("filename",A1),FIND("[",CELL("filename",A1))-1)&amp;"매뉴얼BODY(집행단계-첨부폴더)v8\6.건축\35_인테리어 및 무대공사\표준서\인테리어 및 무대공사_표준서.html", "👉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26">
        <f>HYPERLINK(LEFT(CELL("filename",A1),FIND("[",CELL("filename",A1))-1)&amp;"매뉴얼BODY(집행단계-첨부폴더)v8\6.건축\35_인테리어 및 무대공사\수행지침\인테리어 및 무대공사_수행지침.html", "👉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26">
        <f>HYPERLINK(LEFT(CELL("filename",A1),FIND("[",CELL("filename",A1))-1)&amp;"매뉴얼BODY(집행단계-첨부폴더)v8\6.건축\35_인테리어 및 무대공사\체크리스트\인테리어 및 무대공사_체크리스트.html", "👉 [클릭] 체크리스트 열기 📄")</f>
        <v/>
      </c>
      <c r="P36" s="30" t="n"/>
      <c r="Q36" s="31" t="inlineStr">
        <is>
          <t>● 내부 인테리어 설계 도서 준수</t>
        </is>
      </c>
      <c r="R36" s="24" t="inlineStr">
        <is>
          <t>1) 👉 [더블클릭] 체크리스트 열기 📄</t>
        </is>
      </c>
      <c r="S36" s="31" t="n"/>
    </row>
    <row r="37" ht="115.2" customHeight="1" s="147">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26">
        <f>HYPERLINK(LEFT(CELL("filename",A1),FIND("[",CELL("filename",A1))-1)&amp;"매뉴얼BODY(집행단계-첨부폴더)v8\6.건축\36_준공전 건축 인허가\표준서\준공전 건축 인허가_표준서.html", "👉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26">
        <f>HYPERLINK(LEFT(CELL("filename",A1),FIND("[",CELL("filename",A1))-1)&amp;"매뉴얼BODY(집행단계-첨부폴더)v8\6.건축\36_준공전 건축 인허가\수행지침\준공전 건축 인허가_수행지침.html", "👉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26">
        <f>HYPERLINK(LEFT(CELL("filename",A1),FIND("[",CELL("filename",A1))-1)&amp;"매뉴얼BODY(집행단계-첨부폴더)v8\6.건축\36_준공전 건축 인허가\체크리스트\준공전 건축 인허가_체크리스트.html", "👉 [클릭] 체크리스트 열기 📄")</f>
        <v/>
      </c>
      <c r="P37" s="30" t="n"/>
      <c r="Q37" s="31" t="inlineStr">
        <is>
          <t>● 관련 법규(건축법, 하수도법 등) 준수</t>
        </is>
      </c>
      <c r="R37" s="24" t="inlineStr">
        <is>
          <t>1) 👉 [더블클릭] 체크리스트 열기 📄</t>
        </is>
      </c>
      <c r="S37" s="31" t="n"/>
    </row>
    <row r="38" ht="134.4" customHeight="1" s="147">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26">
        <f>HYPERLINK(LEFT(CELL("filename",A1),FIND("[",CELL("filename",A1))-1)&amp;"매뉴얼BODY(집행단계-첨부폴더)v8\6.건축\37_소방시설공사 완공검사\표준서\소방시설공사 완공검사_표준서.html", "👉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26">
        <f>HYPERLINK(LEFT(CELL("filename",A1),FIND("[",CELL("filename",A1))-1)&amp;"매뉴얼BODY(집행단계-첨부폴더)v8\6.건축\37_소방시설공사 완공검사\수행지침\소방시설공사 완공검사_수행지침.html", "👉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26">
        <f>HYPERLINK(LEFT(CELL("filename",A1),FIND("[",CELL("filename",A1))-1)&amp;"매뉴얼BODY(집행단계-첨부폴더)v8\6.건축\37_소방시설공사 완공검사\체크리스트\소방시설공사 완공검사_체크리스트.html", "👉 [클릭] 체크리스트 열기 📄")</f>
        <v/>
      </c>
      <c r="P38" s="30" t="n"/>
      <c r="Q38" s="31" t="inlineStr">
        <is>
          <t>● 소방시설공사법 제14조</t>
        </is>
      </c>
      <c r="R38" s="24" t="inlineStr">
        <is>
          <t>1) 👉 [더블클릭] 체크리스트 열기 📄</t>
        </is>
      </c>
      <c r="S38" s="31" t="n"/>
    </row>
    <row r="39" ht="115.2" customHeight="1" s="147">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26">
        <f>HYPERLINK(LEFT(CELL("filename",A1),FIND("[",CELL("filename",A1))-1)&amp;"매뉴얼BODY(집행단계-첨부폴더)v8\6.건축\38_승강기 설치 신고서 제출\표준서\승강기 설치 신고서 제출_표준서.html", "👉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26">
        <f>HYPERLINK(LEFT(CELL("filename",A1),FIND("[",CELL("filename",A1))-1)&amp;"매뉴얼BODY(집행단계-첨부폴더)v8\6.건축\38_승강기 설치 신고서 제출\수행지침\승강기 설치 신고서 제출_수행지침.html", "👉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26">
        <f>HYPERLINK(LEFT(CELL("filename",A1),FIND("[",CELL("filename",A1))-1)&amp;"매뉴얼BODY(집행단계-첨부폴더)v8\6.건축\38_승강기 설치 신고서 제출\체크리스트\승강기 설치 신고서 제출_체크리스트.html", "👉 [클릭] 체크리스트 열기 📄")</f>
        <v/>
      </c>
      <c r="P39" s="30" t="n"/>
      <c r="Q39" s="31" t="inlineStr">
        <is>
          <t>● 승강기 안전관리법 제27조</t>
        </is>
      </c>
      <c r="R39" s="24" t="inlineStr">
        <is>
          <t>1) 👉 [더블클릭] 체크리스트 열기 📄</t>
        </is>
      </c>
      <c r="S39" s="31" t="n"/>
    </row>
    <row r="40" ht="115.2" customHeight="1" s="147">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26">
        <f>HYPERLINK(LEFT(CELL("filename",A1),FIND("[",CELL("filename",A1))-1)&amp;"매뉴얼BODY(집행단계-첨부폴더)v8\6.건축\39_저수조 설치현황 신고서 제출\표준서\저수조 설치현황 신고서 제출_표준서.html", "👉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26">
        <f>HYPERLINK(LEFT(CELL("filename",A1),FIND("[",CELL("filename",A1))-1)&amp;"매뉴얼BODY(집행단계-첨부폴더)v8\6.건축\39_저수조 설치현황 신고서 제출\수행지침\저수조 설치현황 신고서 제출_수행지침.html", "👉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26">
        <f>HYPERLINK(LEFT(CELL("filename",A1),FIND("[",CELL("filename",A1))-1)&amp;"매뉴얼BODY(집행단계-첨부폴더)v8\6.건축\39_저수조 설치현황 신고서 제출\체크리스트\저수조 설치현황 신고서 제출_체크리스트.html", "👉 [클릭] 체크리스트 열기 📄")</f>
        <v/>
      </c>
      <c r="P40" s="30" t="n"/>
      <c r="Q40" s="31" t="inlineStr">
        <is>
          <t>● 수도법 제33조</t>
        </is>
      </c>
      <c r="R40" s="24" t="inlineStr">
        <is>
          <t>1) 👉 [더블클릭] 체크리스트 열기 📄</t>
        </is>
      </c>
      <c r="S40" s="31" t="n"/>
    </row>
    <row r="41" ht="115.2" customHeight="1" s="147">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26">
        <f>HYPERLINK(LEFT(CELL("filename",A1),FIND("[",CELL("filename",A1))-1)&amp;"매뉴얼BODY(집행단계-첨부폴더)v8\6.건축\40_오수처리시설 _ 정화조 설치 신고서 제출\표준서\오수처리시설 _ 정화조 설치 신고서 제출_표준서.html", "👉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26">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26">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30" t="n"/>
      <c r="Q41" s="31" t="inlineStr">
        <is>
          <t>● 하수도법 제34조</t>
        </is>
      </c>
      <c r="R41" s="24" t="inlineStr">
        <is>
          <t>1) 👉 [더블클릭] 체크리스트 열기 📄</t>
        </is>
      </c>
      <c r="S41" s="31" t="n"/>
    </row>
    <row r="42" ht="115.2" customHeight="1" s="147">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26">
        <f>HYPERLINK(LEFT(CELL("filename",A1),FIND("[",CELL("filename",A1))-1)&amp;"매뉴얼BODY(집행단계-첨부폴더)v8\6.건축\41_전기사용전 검사\표준서\전기사용전 검사_표준서.html", "👉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26">
        <f>HYPERLINK(LEFT(CELL("filename",A1),FIND("[",CELL("filename",A1))-1)&amp;"매뉴얼BODY(집행단계-첨부폴더)v8\6.건축\41_전기사용전 검사\수행지침\전기사용전 검사_수행지침.html", "👉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26">
        <f>HYPERLINK(LEFT(CELL("filename",A1),FIND("[",CELL("filename",A1))-1)&amp;"매뉴얼BODY(집행단계-첨부폴더)v8\6.건축\41_전기사용전 검사\체크리스트\전기사용전 검사_체크리스트.html", "👉 [클릭] 체크리스트 열기 📄")</f>
        <v/>
      </c>
      <c r="P42" s="30" t="n"/>
      <c r="Q42" s="31" t="inlineStr">
        <is>
          <t>● 전기안전관리법 제9조</t>
        </is>
      </c>
      <c r="R42" s="24" t="inlineStr">
        <is>
          <t>1) 👉 [더블클릭] 체크리스트 열기 📄</t>
        </is>
      </c>
      <c r="S42" s="31" t="n"/>
    </row>
    <row r="43" ht="115.2" customHeight="1" s="147">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26">
        <f>HYPERLINK(LEFT(CELL("filename",A1),FIND("[",CELL("filename",A1))-1)&amp;"매뉴얼BODY(집행단계-첨부폴더)v8\6.건축\42_승강기 설치검사\표준서\승강기 설치검사_표준서.html", "👉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26">
        <f>HYPERLINK(LEFT(CELL("filename",A1),FIND("[",CELL("filename",A1))-1)&amp;"매뉴얼BODY(집행단계-첨부폴더)v8\6.건축\42_승강기 설치검사\수행지침\승강기 설치검사_수행지침.html", "👉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26">
        <f>HYPERLINK(LEFT(CELL("filename",A1),FIND("[",CELL("filename",A1))-1)&amp;"매뉴얼BODY(집행단계-첨부폴더)v8\6.건축\42_승강기 설치검사\체크리스트\승강기 설치검사_체크리스트.html", "👉 [클릭] 체크리스트 열기 📄")</f>
        <v/>
      </c>
      <c r="P43" s="30" t="n"/>
      <c r="Q43" s="31" t="inlineStr">
        <is>
          <t>● 승강기 안전관리법 제28조</t>
        </is>
      </c>
      <c r="R43" s="24" t="inlineStr">
        <is>
          <t>1) 👉 [더블클릭] 체크리스트 열기 📄</t>
        </is>
      </c>
      <c r="S43" s="31" t="n"/>
    </row>
    <row r="44" ht="115.2" customHeight="1" s="147">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26">
        <f>HYPERLINK(LEFT(CELL("filename",A1),FIND("[",CELL("filename",A1))-1)&amp;"매뉴얼BODY(집행단계-첨부폴더)v8\6.건축\43_배수설비 설치 신고서 제출\표준서\배수설비 설치 신고서 제출_표준서.html", "👉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26">
        <f>HYPERLINK(LEFT(CELL("filename",A1),FIND("[",CELL("filename",A1))-1)&amp;"매뉴얼BODY(집행단계-첨부폴더)v8\6.건축\43_배수설비 설치 신고서 제출\수행지침\배수설비 설치 신고서 제출_수행지침.html", "👉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26">
        <f>HYPERLINK(LEFT(CELL("filename",A1),FIND("[",CELL("filename",A1))-1)&amp;"매뉴얼BODY(집행단계-첨부폴더)v8\6.건축\43_배수설비 설치 신고서 제출\체크리스트\배수설비 설치 신고서 제출_체크리스트.html", "👉 [클릭] 체크리스트 열기 📄")</f>
        <v/>
      </c>
      <c r="P44" s="30" t="n"/>
      <c r="Q44" s="31" t="inlineStr">
        <is>
          <t>● 하수도법 제27조</t>
        </is>
      </c>
      <c r="R44" s="24" t="inlineStr">
        <is>
          <t>1) 👉 [더블클릭] 체크리스트 열기 📄</t>
        </is>
      </c>
      <c r="S44" s="31" t="n"/>
    </row>
    <row r="45" ht="96" customHeight="1" s="147">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26">
        <f>HYPERLINK(LEFT(CELL("filename",A1),FIND("[",CELL("filename",A1))-1)&amp;"매뉴얼BODY(집행단계-첨부폴더)v8\6.건축\44_정보통신공사 사용전검사\표준서\정보통신공사 사용전검사_표준서.html", "👉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26">
        <f>HYPERLINK(LEFT(CELL("filename",A1),FIND("[",CELL("filename",A1))-1)&amp;"매뉴얼BODY(집행단계-첨부폴더)v8\6.건축\44_정보통신공사 사용전검사\수행지침\정보통신공사 사용전검사_수행지침.html", "👉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26">
        <f>HYPERLINK(LEFT(CELL("filename",A1),FIND("[",CELL("filename",A1))-1)&amp;"매뉴얼BODY(집행단계-첨부폴더)v8\6.건축\44_정보통신공사 사용전검사\체크리스트\정보통신공사 사용전검사_체크리스트.html", "👉 [클릭] 체크리스트 열기 📄")</f>
        <v/>
      </c>
      <c r="P45" s="30" t="n"/>
      <c r="Q45" s="31" t="inlineStr">
        <is>
          <t>● 정보통신공사업 시행령 제36조</t>
        </is>
      </c>
      <c r="R45" s="24" t="inlineStr">
        <is>
          <t>1) 👉 [더블클릭] 체크리스트 열기 📄</t>
        </is>
      </c>
      <c r="S45" s="31" t="n"/>
    </row>
    <row r="46" ht="115.2" customHeight="1" s="147">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26">
        <f>HYPERLINK(LEFT(CELL("filename",A1),FIND("[",CELL("filename",A1))-1)&amp;"매뉴얼BODY(집행단계-첨부폴더)v8\6.건축\45_오수처리시설 _ 정화조 준공검사\표준서\오수처리시설 _ 정화조 준공검사_표준서.html", "👉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26">
        <f>HYPERLINK(LEFT(CELL("filename",A1),FIND("[",CELL("filename",A1))-1)&amp;"매뉴얼BODY(집행단계-첨부폴더)v8\6.건축\45_오수처리시설 _ 정화조 준공검사\수행지침\오수처리시설 _ 정화조 준공검사_수행지침.html", "👉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26">
        <f>HYPERLINK(LEFT(CELL("filename",A1),FIND("[",CELL("filename",A1))-1)&amp;"매뉴얼BODY(집행단계-첨부폴더)v8\6.건축\45_오수처리시설 _ 정화조 준공검사\체크리스트\오수처리시설 _ 정화조 준공검사_체크리스트.html", "👉 [클릭] 체크리스트 열기 📄")</f>
        <v/>
      </c>
      <c r="P46" s="30" t="n"/>
      <c r="Q46" s="31" t="inlineStr">
        <is>
          <t>● 하수도법 제37조</t>
        </is>
      </c>
      <c r="R46" s="24" t="inlineStr">
        <is>
          <t>1) 👉 [더블클릭] 체크리스트 열기 📄</t>
        </is>
      </c>
      <c r="S46" s="31" t="n"/>
    </row>
    <row r="47" ht="115.2" customHeight="1" s="147">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26">
        <f>HYPERLINK(LEFT(CELL("filename",A1),FIND("[",CELL("filename",A1))-1)&amp;"매뉴얼BODY(집행단계-첨부폴더)v8\6.건축\46_급수공사 신청서 제출\표준서\급수공사 신청서 제출_표준서.html", "👉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26">
        <f>HYPERLINK(LEFT(CELL("filename",A1),FIND("[",CELL("filename",A1))-1)&amp;"매뉴얼BODY(집행단계-첨부폴더)v8\6.건축\46_급수공사 신청서 제출\수행지침\급수공사 신청서 제출_수행지침.html", "👉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26">
        <f>HYPERLINK(LEFT(CELL("filename",A1),FIND("[",CELL("filename",A1))-1)&amp;"매뉴얼BODY(집행단계-첨부폴더)v8\6.건축\46_급수공사 신청서 제출\체크리스트\급수공사 신청서 제출_체크리스트.html", "👉 [클릭] 체크리스트 열기 📄")</f>
        <v/>
      </c>
      <c r="P47" s="30" t="n"/>
      <c r="Q47" s="31" t="inlineStr">
        <is>
          <t>● 수도 조례 시행규칙</t>
        </is>
      </c>
      <c r="R47" s="24" t="inlineStr">
        <is>
          <t>1) 👉 [더블클릭] 체크리스트 열기 📄</t>
        </is>
      </c>
      <c r="S47" s="31" t="n"/>
    </row>
    <row r="48" ht="115.2" customHeight="1" s="147">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26">
        <f>HYPERLINK(LEFT(CELL("filename",A1),FIND("[",CELL("filename",A1))-1)&amp;"매뉴얼BODY(집행단계-첨부폴더)v8\6.건축\47_업무대행 건축사 사용승인 검사\표준서\업무대행 건축사 사용승인 검사_표준서.html", "👉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26">
        <f>HYPERLINK(LEFT(CELL("filename",A1),FIND("[",CELL("filename",A1))-1)&amp;"매뉴얼BODY(집행단계-첨부폴더)v8\6.건축\47_업무대행 건축사 사용승인 검사\수행지침\업무대행 건축사 사용승인 검사_수행지침.html", "👉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26">
        <f>HYPERLINK(LEFT(CELL("filename",A1),FIND("[",CELL("filename",A1))-1)&amp;"매뉴얼BODY(집행단계-첨부폴더)v8\6.건축\47_업무대행 건축사 사용승인 검사\체크리스트\업무대행 건축사 사용승인 검사_체크리스트.html", "👉 [클릭] 체크리스트 열기 📄")</f>
        <v/>
      </c>
      <c r="P48" s="30" t="n"/>
      <c r="Q48" s="31" t="inlineStr">
        <is>
          <t>● 건축법시행령 제20조</t>
        </is>
      </c>
      <c r="R48" s="24" t="inlineStr">
        <is>
          <t>1) 👉 [더블클릭] 체크리스트 열기 📄</t>
        </is>
      </c>
      <c r="S48" s="31" t="n"/>
    </row>
    <row r="49" ht="115.2" customHeight="1" s="147">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26">
        <f>HYPERLINK(LEFT(CELL("filename",A1),FIND("[",CELL("filename",A1))-1)&amp;"매뉴얼BODY(집행단계-첨부폴더)v8\6.건축\48_건축물 사용승인 신청\표준서\건축물 사용승인 신청_표준서.html", "👉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26">
        <f>HYPERLINK(LEFT(CELL("filename",A1),FIND("[",CELL("filename",A1))-1)&amp;"매뉴얼BODY(집행단계-첨부폴더)v8\6.건축\48_건축물 사용승인 신청\수행지침\건축물 사용승인 신청_수행지침.html", "👉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26">
        <f>HYPERLINK(LEFT(CELL("filename",A1),FIND("[",CELL("filename",A1))-1)&amp;"매뉴얼BODY(집행단계-첨부폴더)v8\6.건축\48_건축물 사용승인 신청\체크리스트\건축물 사용승인 신청_체크리스트.html", "👉 [클릭] 체크리스트 열기 📄")</f>
        <v/>
      </c>
      <c r="P49" s="30" t="n"/>
      <c r="Q49" s="31" t="inlineStr">
        <is>
          <t>● 건축법 제22조</t>
        </is>
      </c>
      <c r="R49" s="24" t="inlineStr">
        <is>
          <t>1) 👉 [더블클릭] 체크리스트 열기 📄</t>
        </is>
      </c>
      <c r="S49" s="31" t="n"/>
    </row>
    <row r="50" ht="115.2" customHeight="1" s="147">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26">
        <f>HYPERLINK(LEFT(CELL("filename",A1),FIND("[",CELL("filename",A1))-1)&amp;"매뉴얼BODY(집행단계-첨부폴더)v8\6.건축\49_건축물대장 등재\표준서\건축물대장 등재_표준서.html", "👉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26">
        <f>HYPERLINK(LEFT(CELL("filename",A1),FIND("[",CELL("filename",A1))-1)&amp;"매뉴얼BODY(집행단계-첨부폴더)v8\6.건축\49_건축물대장 등재\수행지침\건축물대장 등재_수행지침.html", "👉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26">
        <f>HYPERLINK(LEFT(CELL("filename",A1),FIND("[",CELL("filename",A1))-1)&amp;"매뉴얼BODY(집행단계-첨부폴더)v8\6.건축\49_건축물대장 등재\체크리스트\건축물대장 등재_체크리스트.html", "👉 [클릭] 체크리스트 열기 📄")</f>
        <v/>
      </c>
      <c r="P50" s="30" t="n"/>
      <c r="Q50" s="31" t="inlineStr">
        <is>
          <t>● 건축물대장의 기재 및 관리 등에 관한 규칙 제12조</t>
        </is>
      </c>
      <c r="R50" s="24" t="inlineStr">
        <is>
          <t>1) 👉 [더블클릭] 체크리스트 열기 📄</t>
        </is>
      </c>
      <c r="S50" s="31" t="n"/>
    </row>
    <row r="51" ht="134.4" customHeight="1" s="147">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26">
        <f>HYPERLINK(LEFT(CELL("filename",A1),FIND("[",CELL("filename",A1))-1)&amp;"매뉴얼BODY(집행단계-첨부폴더)v8\6.건축\50_후속 구조물 인계\표준서\후속 구조물 인계_표준서.html", "👉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26">
        <f>HYPERLINK(LEFT(CELL("filename",A1),FIND("[",CELL("filename",A1))-1)&amp;"매뉴얼BODY(집행단계-첨부폴더)v8\6.건축\50_후속 구조물 인계\수행지침\후속 구조물 인계_수행지침.html", "👉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26">
        <f>HYPERLINK(LEFT(CELL("filename",A1),FIND("[",CELL("filename",A1))-1)&amp;"매뉴얼BODY(집행단계-첨부폴더)v8\6.건축\50_후속 구조물 인계\체크리스트\후속 구조물 인계_체크리스트.html", "👉 [클릭] 체크리스트 열기 📄")</f>
        <v/>
      </c>
      <c r="P51" s="30" t="n"/>
      <c r="Q51" s="31" t="inlineStr">
        <is>
          <t>● 인수인계 및 시설물 유지관리 기준 준수</t>
        </is>
      </c>
      <c r="R51" s="24" t="inlineStr">
        <is>
          <t>1) 👉 [더블클릭] 체크리스트 열기 📄</t>
        </is>
      </c>
      <c r="S51" s="31"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47">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26">
        <f>HYPERLINK(LEFT(CELL("filename",A1),FIND("[",CELL("filename",A1))-1)&amp;"매뉴얼BODY(집행단계-첨부폴더)v8\7.신호분야\1_설계적정성 검토\표준서\설계적정성 검토_표준서.html", "👉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26">
        <f>HYPERLINK(LEFT(CELL("filename",A1),FIND("[",CELL("filename",A1))-1)&amp;"매뉴얼BODY(집행단계-첨부폴더)v8\7.신호분야\1_설계적정성 검토\수행지침\LTE-R_무선_AP를_통한_신호_제어_데이터_송수신_레벨_상세절차서.html", "👉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26">
        <f>HYPERLINK(LEFT(CELL("filename",A1),FIND("[",CELL("filename",A1))-1)&amp;"매뉴얼BODY(집행단계-첨부폴더)v8\7.신호분야\1_설계적정성 검토\체크리스트\설계적정성 검토_체크리스트.html", "👉 [클릭] 체크리스트 열기 📄")</f>
        <v/>
      </c>
      <c r="P2" s="10" t="n"/>
      <c r="Q2" s="71" t="inlineStr">
        <is>
          <t>● 관련분야 설계기준서 준수</t>
        </is>
      </c>
      <c r="R2" s="73" t="inlineStr">
        <is>
          <t>1) 👉 [더블클릭] 체크리스트 열기 📄</t>
        </is>
      </c>
      <c r="S2" s="71" t="n"/>
    </row>
    <row r="3" ht="139.8" customHeight="1" s="147">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26">
        <f>HYPERLINK(LEFT(CELL("filename",A1),FIND("[",CELL("filename",A1))-1)&amp;"매뉴얼BODY(집행단계-첨부폴더)v8\7.신호분야\2_착수준비 KOM\표준서\착수준비 KOM_표준서.html", "👉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26">
        <f>HYPERLINK(LEFT(CELL("filename",A1),FIND("[",CELL("filename",A1))-1)&amp;"매뉴얼BODY(집행단계-첨부폴더)v8\7.신호분야\2_착수준비 KOM\수행지침\LTE-R_무선_AP를_통한_신호_제어_데이터_송수신_레벨_상세절차서.html", "👉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26">
        <f>HYPERLINK(LEFT(CELL("filename",A1),FIND("[",CELL("filename",A1))-1)&amp;"매뉴얼BODY(집행단계-첨부폴더)v8\7.신호분야\2_착수준비 KOM\체크리스트\착수준비 KOM_체크리스트.html", "👉 [클릭] 체크리스트 열기 📄")</f>
        <v/>
      </c>
      <c r="P3" s="10" t="n"/>
      <c r="Q3" s="71" t="n"/>
      <c r="R3" s="73" t="inlineStr">
        <is>
          <t>1) 👉 [더블클릭] 체크리스트 열기 📄</t>
        </is>
      </c>
      <c r="S3" s="71" t="n"/>
    </row>
    <row r="4" ht="221.4" customHeight="1" s="147">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26">
        <f>HYPERLINK(LEFT(CELL("filename",A1),FIND("[",CELL("filename",A1))-1)&amp;"매뉴얼BODY(집행단계-첨부폴더)v8\7.신호분야\3_착수전 Big Room 회의\표준서\착수전 Big Room 회의_표준서.html", "👉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26">
        <f>HYPERLINK(LEFT(CELL("filename",A1),FIND("[",CELL("filename",A1))-1)&amp;"매뉴얼BODY(집행단계-첨부폴더)v8\7.신호분야\3_착수전 Big Room 회의\수행지침\LTE-R_무선_AP를_통한_신호_제어_데이터_송수신_레벨_상세절차서.html", "👉 [클릭] 수행지침 열기 📄")</f>
        <v/>
      </c>
      <c r="N4" s="11" t="inlineStr">
        <is>
          <t>1) 본사 및 분야별(토목/궤도/전기/건축/통신) 세부설계 인터페이스를 검토하였는가?
2) 궤도 시공 전 블록아웃 및 차축검지기 설치 I/F 사전 대책을 수립하였는가?</t>
        </is>
      </c>
      <c r="O4" s="126">
        <f>HYPERLINK(LEFT(CELL("filename",A1),FIND("[",CELL("filename",A1))-1)&amp;"매뉴얼BODY(집행단계-첨부폴더)v8\7.신호분야\3_착수전 Big Room 회의\체크리스트\착수전 Big Room 회의_체크리스트.html", "👉 [클릭] 체크리스트 열기 📄")</f>
        <v/>
      </c>
      <c r="P4" s="10" t="n"/>
      <c r="Q4" s="71" t="n"/>
      <c r="R4" s="73" t="inlineStr">
        <is>
          <t>1) 👉 [더블클릭] 체크리스트 열기 📄</t>
        </is>
      </c>
      <c r="S4" s="71" t="n"/>
    </row>
    <row r="5" ht="187.2" customHeight="1" s="147">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26">
        <f>HYPERLINK(LEFT(CELL("filename",A1),FIND("[",CELL("filename",A1))-1)&amp;"매뉴얼BODY(집행단계-첨부폴더)v8\7.신호분야\4_전기 _ 통신 _ PSD _ 차량 인터페이스 협의\표준서\전기 _ 통신 _ PSD _ 차량 인터페이스 협의_표준서.html", "👉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26">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11" t="inlineStr">
        <is>
          <t>1) 토목/궤도 시공 전 블록아웃 및 배수로 설치 I/F를 사전 확인하였는가?
2) 차량기지 및 본선 선로전환기/차축검지기 체결 인터페이스를 조율하였는가?</t>
        </is>
      </c>
      <c r="O5" s="126">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10" t="n"/>
      <c r="Q5" s="71" t="n"/>
      <c r="R5" s="73" t="inlineStr">
        <is>
          <t>1) 👉 [더블클릭] 체크리스트 열기 📄</t>
        </is>
      </c>
      <c r="S5" s="71" t="n"/>
    </row>
    <row r="6" ht="104.4" customHeight="1" s="147">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26">
        <f>HYPERLINK(LEFT(CELL("filename",A1),FIND("[",CELL("filename",A1))-1)&amp;"매뉴얼BODY(집행단계-첨부폴더)v8\7.신호분야\5_도로 _ 궤도 인터페이스 협의\표준서\도로 _ 궤도 인터페이스 협의_표준서.html", "👉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26">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11" t="inlineStr">
        <is>
          <t>1) 궤도 분기기 통과 요구사항 및 선로선형 사전조정 결과를 확인하였는가?
2) 노면 매립형 선로전환기(전환력 4.5~6.0kN, 유격 ≤1.5mm) 시공조건을 검토하였는가?</t>
        </is>
      </c>
      <c r="O6" s="126">
        <f>HYPERLINK(LEFT(CELL("filename",A1),FIND("[",CELL("filename",A1))-1)&amp;"매뉴얼BODY(집행단계-첨부폴더)v8\7.신호분야\5_도로 _ 궤도 인터페이스 협의\체크리스트\도로 _ 궤도 인터페이스 협의_체크리스트.html", "👉 [클릭] 체크리스트 열기 📄")</f>
        <v/>
      </c>
      <c r="P6" s="10" t="n"/>
      <c r="Q6" s="71" t="n"/>
      <c r="R6" s="73" t="inlineStr">
        <is>
          <t>1) 👉 [더블클릭] 체크리스트 열기 📄</t>
        </is>
      </c>
      <c r="S6" s="71" t="n"/>
    </row>
    <row r="7" ht="133.8" customHeight="1" s="147">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26">
        <f>HYPERLINK(LEFT(CELL("filename",A1),FIND("[",CELL("filename",A1))-1)&amp;"매뉴얼BODY(집행단계-첨부폴더)v8\7.신호분야\6_시공전 인터페이스 협의\표준서\시공전 인터페이스 협의_표준서.html", "👉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26">
        <f>HYPERLINK(LEFT(CELL("filename",A1),FIND("[",CELL("filename",A1))-1)&amp;"매뉴얼BODY(집행단계-첨부폴더)v8\7.신호분야\6_시공전 인터페이스 협의\수행지침\LTE-R_무선_AP를_통한_신호_제어_데이터_송수신_레벨_상세절차서.html", "👉 [클릭] 수행지침 열기 📄")</f>
        <v/>
      </c>
      <c r="N7" s="11" t="inlineStr">
        <is>
          <t>1) 시스템 설계 보완 검토를 통해 연계 설치 방안을 확정하였는가?
2) 케이블 인입 배관 및 궤도 블록아웃 간섭을 사전 제거하였는가?</t>
        </is>
      </c>
      <c r="O7" s="126">
        <f>HYPERLINK(LEFT(CELL("filename",A1),FIND("[",CELL("filename",A1))-1)&amp;"매뉴얼BODY(집행단계-첨부폴더)v8\7.신호분야\6_시공전 인터페이스 협의\체크리스트\시공전 인터페이스 협의_체크리스트.html", "👉 [클릭] 체크리스트 열기 📄")</f>
        <v/>
      </c>
      <c r="P7" s="10" t="n"/>
      <c r="Q7" s="71" t="n"/>
      <c r="R7" s="73" t="inlineStr">
        <is>
          <t>1) 👉 [더블클릭] 체크리스트 열기 📄</t>
        </is>
      </c>
      <c r="S7" s="71" t="n"/>
    </row>
    <row r="8" ht="127.8" customHeight="1" s="147">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26">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1" t="inlineStr">
        <is>
          <t>1) 신호자재 단품 Spec 검토 및 제조사 자체 시험성적서를 확인하십시오.
2) 제작도서 승인 서명 및 현장 투입 전 성능보증 기능을 검증하십시오.</t>
        </is>
      </c>
      <c r="M8" s="126">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11" t="inlineStr">
        <is>
          <t>1) 성능보증 기능성 신호자재 단품 Spec 검토를 완료하였는가?
2) 제조사 공장검수 성적서 및 제작도서 승인 서명을 확인하였는가?</t>
        </is>
      </c>
      <c r="O8" s="126">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10" t="n"/>
      <c r="Q8" s="71" t="n"/>
      <c r="R8" s="73" t="inlineStr">
        <is>
          <t>1) 👉 [더블클릭] 체크리스트 열기 📄</t>
        </is>
      </c>
      <c r="S8" s="71" t="n"/>
    </row>
    <row r="9" ht="104.4" customHeight="1" s="147">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26">
        <f>HYPERLINK(LEFT(CELL("filename",A1),FIND("[",CELL("filename",A1))-1)&amp;"매뉴얼BODY(집행단계-첨부폴더)v8\7.신호분야\8_관제 및 운영사 인터페이스 협의\표준서\관제 및 운영사 인터페이스 협의_표준서.html", "👉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26">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11" t="inlineStr">
        <is>
          <t>1) 시운전 시 조율사항 및 예비사항 도출을 완료하였는가?
2) 철도관제를 위한 관제사 조작반 MMI 표시 정보를 사전 검토하였는가?</t>
        </is>
      </c>
      <c r="O9" s="126">
        <f>HYPERLINK(LEFT(CELL("filename",A1),FIND("[",CELL("filename",A1))-1)&amp;"매뉴얼BODY(집행단계-첨부폴더)v8\7.신호분야\8_관제 및 운영사 인터페이스 협의\체크리스트\관제 및 운영사 인터페이스 협의_체크리스트.html", "👉 [클릭] 체크리스트 열기 📄")</f>
        <v/>
      </c>
      <c r="P9" s="10" t="n"/>
      <c r="Q9" s="71" t="n"/>
      <c r="R9" s="73" t="inlineStr">
        <is>
          <t>1) 👉 [더블클릭] 체크리스트 열기 📄</t>
        </is>
      </c>
      <c r="S9" s="71" t="n"/>
    </row>
    <row r="10" ht="104.4" customHeight="1" s="147">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26">
        <f>HYPERLINK(LEFT(CELL("filename",A1),FIND("[",CELL("filename",A1))-1)&amp;"매뉴얼BODY(집행단계-첨부폴더)v8\7.신호분야\9_자재 _ 인원 _ 장비 및 투입 사전 검토\표준서\자재 _ 인원 _ 장비 및 투입 사전 검토_표준서.html", "👉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26">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11" t="inlineStr">
        <is>
          <t>1) 현장 수량 기준 투입 인원 및 장비 계획 규명서를 작성하였는가?
2) 궤도 시공계획 연계 투입 스케줄 감리단 승인을 획득하였는가?</t>
        </is>
      </c>
      <c r="O10" s="126">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10" t="n"/>
      <c r="Q10" s="71" t="n"/>
      <c r="R10" s="73" t="inlineStr">
        <is>
          <t>1) 👉 [더블클릭] 체크리스트 열기 📄</t>
        </is>
      </c>
      <c r="S10" s="71" t="n"/>
    </row>
    <row r="11" ht="104.4" customHeight="1" s="147">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26">
        <f>HYPERLINK(LEFT(CELL("filename",A1),FIND("[",CELL("filename",A1))-1)&amp;"매뉴얼BODY(집행단계-첨부폴더)v8\7.신호분야\10_장비반입 및 안전교육\표준서\장비반입 및 안전교육_표준서.html", "👉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26">
        <f>HYPERLINK(LEFT(CELL("filename",A1),FIND("[",CELL("filename",A1))-1)&amp;"매뉴얼BODY(집행단계-첨부폴더)v8\7.신호분야\10_장비반입 및 안전교육\수행지침\LTE-R_무선_AP를_통한_신호_제어_데이터_송수신_레벨_상세절차서.html", "👉 [클릭] 수행지침 열기 📄")</f>
        <v/>
      </c>
      <c r="N11" s="11" t="inlineStr">
        <is>
          <t>1) 도로 굴착 및 인양 장비 Spec 점검 및 성능 검사를 완료하였는가?
2) 신호 공사 작업원 특별 안전교육 실시 기록을 확인하였는가?</t>
        </is>
      </c>
      <c r="O11" s="126">
        <f>HYPERLINK(LEFT(CELL("filename",A1),FIND("[",CELL("filename",A1))-1)&amp;"매뉴얼BODY(집행단계-첨부폴더)v8\7.신호분야\10_장비반입 및 안전교육\체크리스트\장비반입 및 안전교육_체크리스트.html", "👉 [클릭] 체크리스트 열기 📄")</f>
        <v/>
      </c>
      <c r="P11" s="10" t="n"/>
      <c r="Q11" s="71" t="n"/>
      <c r="R11" s="73" t="inlineStr">
        <is>
          <t>1) 👉 [더블클릭] 체크리스트 열기 📄</t>
        </is>
      </c>
      <c r="S11" s="71" t="n"/>
    </row>
    <row r="12" ht="104.4" customHeight="1" s="147">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26">
        <f>HYPERLINK(LEFT(CELL("filename",A1),FIND("[",CELL("filename",A1))-1)&amp;"매뉴얼BODY(집행단계-첨부폴더)v8\7.신호분야\11_자재 반입 및 검수\표준서\자재 반입 및 검수_표준서.html", "👉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26">
        <f>HYPERLINK(LEFT(CELL("filename",A1),FIND("[",CELL("filename",A1))-1)&amp;"매뉴얼BODY(집행단계-첨부폴더)v8\7.신호분야\11_자재 반입 및 검수\수행지침\LTE-R_무선_AP를_통한_신호_제어_데이터_송수신_레벨_상세절차서.html", "👉 [클릭] 수행지침 열기 📄")</f>
        <v/>
      </c>
      <c r="N12" s="11" t="inlineStr">
        <is>
          <t>1) 자재공급승인원(MAR) 제출 및 공장검수 승인을 획득하였는가?
2) 반입 자재 사양 확인(KS, KRS 표준규격) 및 수량 검수를 시행하였는가?</t>
        </is>
      </c>
      <c r="O12" s="126">
        <f>HYPERLINK(LEFT(CELL("filename",A1),FIND("[",CELL("filename",A1))-1)&amp;"매뉴얼BODY(집행단계-첨부폴더)v8\7.신호분야\11_자재 반입 및 검수\체크리스트\자재 반입 및 검수_체크리스트.html", "👉 [클릭] 체크리스트 열기 📄")</f>
        <v/>
      </c>
      <c r="P12" s="10" t="n"/>
      <c r="Q12" s="71" t="n"/>
      <c r="R12" s="73" t="inlineStr">
        <is>
          <t>1) 👉 [더블클릭] 체크리스트 열기 📄</t>
        </is>
      </c>
      <c r="S12" s="71" t="n"/>
    </row>
    <row r="13" ht="104.4" customHeight="1" s="147">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26">
        <f>HYPERLINK(LEFT(CELL("filename",A1),FIND("[",CELL("filename",A1))-1)&amp;"매뉴얼BODY(집행단계-첨부폴더)v8\7.신호분야\12_시스템설비 설치 (현장_기능실)\표준서\시스템설비 설치 (현장_기능실)_표준서.html", "👉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26">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11" t="inlineStr">
        <is>
          <t>1) 기계실 장치 위치, 마감 동선 및 승인 자재 사양을 확인하였는가?
2) 현장 신호기/선로전환기 기초 볼트 체결 및 규격 일치 여부를 시공하였는가?</t>
        </is>
      </c>
      <c r="O13" s="126">
        <f>HYPERLINK(LEFT(CELL("filename",A1),FIND("[",CELL("filename",A1))-1)&amp;"매뉴얼BODY(집행단계-첨부폴더)v8\7.신호분야\12_시스템설비 설치 (현장_기능실)\체크리스트\시스템설비 설치 (현장_기능실)_체크리스트.html", "👉 [클릭] 체크리스트 열기 📄")</f>
        <v/>
      </c>
      <c r="P13" s="10" t="n"/>
      <c r="Q13" s="71" t="inlineStr">
        <is>
          <t>● 관련분야 설계기준서 준수</t>
        </is>
      </c>
      <c r="R13" s="73" t="inlineStr">
        <is>
          <t>1) 👉 [더블클릭] 체크리스트 열기 📄</t>
        </is>
      </c>
      <c r="S13" s="71" t="n"/>
    </row>
    <row r="14" ht="104.4" customHeight="1" s="147">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26">
        <f>HYPERLINK(LEFT(CELL("filename",A1),FIND("[",CELL("filename",A1))-1)&amp;"매뉴얼BODY(집행단계-첨부폴더)v8\7.신호분야\13_시스템 단위시험\표준서\시스템 단위시험_표준서.html", "👉 [클릭] 표준서 열기 📄")</f>
        <v/>
      </c>
      <c r="L14" s="11" t="inlineStr">
        <is>
          <t>1) 자체 단독시험 및 관계부서 공동 시험수행 여부를 확인하십시오.
2) 감리단 승인 점검표(ITP/ITC) 절차에 따라 지상신호장치 단위시험 결과서를 작성하십시오.</t>
        </is>
      </c>
      <c r="M14" s="126">
        <f>HYPERLINK(LEFT(CELL("filename",A1),FIND("[",CELL("filename",A1))-1)&amp;"매뉴얼BODY(집행단계-첨부폴더)v8\7.신호분야\13_시스템 단위시험\수행지침\CBI_IO_릴레이_모듈_동작_상태_검측_상세절차서.html", "👉 [클릭] 수행지침 열기 📄")</f>
        <v/>
      </c>
      <c r="N14" s="11" t="inlineStr">
        <is>
          <t>1) 지상신호장치 및 관계부서 단위시험 결과서를 확인하였는가?
2) 감리단 승인 점검표(ITP/ITC) 절차에 따라 개별 단독 현황시험을 수행하였는가?</t>
        </is>
      </c>
      <c r="O14" s="126">
        <f>HYPERLINK(LEFT(CELL("filename",A1),FIND("[",CELL("filename",A1))-1)&amp;"매뉴얼BODY(집행단계-첨부폴더)v8\7.신호분야\13_시스템 단위시험\체크리스트\시스템 단위시험_체크리스트.html", "👉 [클릭] 체크리스트 열기 📄")</f>
        <v/>
      </c>
      <c r="P14" s="10" t="n"/>
      <c r="Q14" s="71" t="inlineStr">
        <is>
          <t>● 관련분야 설계기준서 준수</t>
        </is>
      </c>
      <c r="R14" s="73" t="inlineStr">
        <is>
          <t>1) 👉 [더블클릭] 체크리스트 열기 📄</t>
        </is>
      </c>
      <c r="S14" s="71" t="n"/>
    </row>
    <row r="15" ht="104.4" customHeight="1" s="147">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26">
        <f>HYPERLINK(LEFT(CELL("filename",A1),FIND("[",CELL("filename",A1))-1)&amp;"매뉴얼BODY(집행단계-첨부폴더)v8\7.신호분야\14_신호시스템 통합시험\표준서\신호시스템 통합시험_표준서.html", "👉 [클릭] 표준서 열기 📄")</f>
        <v/>
      </c>
      <c r="L15" s="11" t="inlineStr">
        <is>
          <t>1) 관제실 및 현장 연동장치 간 인터페이스 통합시험을 시행하십시오.
2) 지상-차상 인터페이스 및 도로/트램 우선신호 무선 연계시험 결과표를 작성하십시오.</t>
        </is>
      </c>
      <c r="M15" s="126">
        <f>HYPERLINK(LEFT(CELL("filename",A1),FIND("[",CELL("filename",A1))-1)&amp;"매뉴얼BODY(집행단계-첨부폴더)v8\7.신호분야\14_신호시스템 통합시험\수행지침\LTE-R_무선_AP를_통한_신호_제어_데이터_송수신_레벨_상세절차서.html", "👉 [클릭] 수행지침 열기 📄")</f>
        <v/>
      </c>
      <c r="N15" s="11" t="inlineStr">
        <is>
          <t>1) 관제실 및 현장 연동장치 간 인터페이스 시험을 수행하였는가?
2) 지상-차상 인터페이스 및 도로-트램 우선신호 연계 시험을 검증하였는가?</t>
        </is>
      </c>
      <c r="O15" s="126">
        <f>HYPERLINK(LEFT(CELL("filename",A1),FIND("[",CELL("filename",A1))-1)&amp;"매뉴얼BODY(집행단계-첨부폴더)v8\7.신호분야\14_신호시스템 통합시험\체크리스트\신호시스템 통합시험_체크리스트.html", "👉 [클릭] 체크리스트 열기 📄")</f>
        <v/>
      </c>
      <c r="P15" s="10" t="n"/>
      <c r="Q15" s="71" t="inlineStr">
        <is>
          <t>● 관련분야 설계기준서 준수</t>
        </is>
      </c>
      <c r="R15" s="73" t="inlineStr">
        <is>
          <t>1) 👉 [더블클릭] 체크리스트 열기 📄</t>
        </is>
      </c>
      <c r="S15" s="71" t="n"/>
    </row>
    <row r="16" ht="104.4" customHeight="1" s="147">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26">
        <f>HYPERLINK(LEFT(CELL("filename",A1),FIND("[",CELL("filename",A1))-1)&amp;"매뉴얼BODY(집행단계-첨부폴더)v8\7.신호분야\15_공종별 시험\표준서\공종별 시험_표준서.html", "👉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26">
        <f>HYPERLINK(LEFT(CELL("filename",A1),FIND("[",CELL("filename",A1))-1)&amp;"매뉴얼BODY(집행단계-첨부폴더)v8\7.신호분야\15_공종별 시험\수행지침\LTE-R_무선_AP를_통한_신호_제어_데이터_송수신_레벨_상세절차서.html", "👉 [클릭] 수행지침 열기 📄")</f>
        <v/>
      </c>
      <c r="N16" s="11" t="inlineStr">
        <is>
          <t>1) 신호기 투시거리/진로표시기 및 선로전환기 쇄정 동작시험을 수행하였는가?
2) 기계실 전원공급장치 이중화 절체 시험 및 관제 서버 동작을 검증하였는가?</t>
        </is>
      </c>
      <c r="O16" s="126">
        <f>HYPERLINK(LEFT(CELL("filename",A1),FIND("[",CELL("filename",A1))-1)&amp;"매뉴얼BODY(집행단계-첨부폴더)v8\7.신호분야\15_공종별 시험\체크리스트\공종별 시험_체크리스트.html", "👉 [클릭] 체크리스트 열기 📄")</f>
        <v/>
      </c>
      <c r="P16" s="10" t="n"/>
      <c r="Q16" s="71" t="inlineStr">
        <is>
          <t>● 관련분야 설계기준서 준수</t>
        </is>
      </c>
      <c r="R16" s="73" t="inlineStr">
        <is>
          <t>1) 👉 [더블클릭] 체크리스트 열기 📄</t>
        </is>
      </c>
      <c r="S16" s="71" t="n"/>
    </row>
    <row r="17" ht="104.4" customHeight="1" s="147">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26">
        <f>HYPERLINK(LEFT(CELL("filename",A1),FIND("[",CELL("filename",A1))-1)&amp;"매뉴얼BODY(집행단계-첨부폴더)v8\7.신호분야\16_차량 투입 전 점검\표준서\차량 투입 전 점검_표준서.html", "👉 [클릭] 표준서 열기 📄")</f>
        <v/>
      </c>
      <c r="L17" s="11" t="inlineStr">
        <is>
          <t>1) 연동검사(설비동작, 진로취급) 및 신호기 시공상태 적정성을 점검하십시오.
2) 건축한계(폭 3.1m/높이 3.8m) 이격 측정 및 기계실 UPS/방재예방 설비를 확인하십시오.</t>
        </is>
      </c>
      <c r="M17" s="126">
        <f>HYPERLINK(LEFT(CELL("filename",A1),FIND("[",CELL("filename",A1))-1)&amp;"매뉴얼BODY(집행단계-첨부폴더)v8\7.신호분야\16_차량 투입 전 점검\수행지침\LTE-R_무선_AP를_통한_신호_제어_데이터_송수신_레벨_상세절차서.html", "👉 [클릭] 수행지침 열기 📄")</f>
        <v/>
      </c>
      <c r="N17" s="11" t="inlineStr">
        <is>
          <t>1) 연동검사 및 기계실 시스템/UPS 시험을 완료하였는가?
2) 신호기와 건축물 간 건축한계 정밀 측정 및 방재설비를 확인하였는가?</t>
        </is>
      </c>
      <c r="O17" s="126">
        <f>HYPERLINK(LEFT(CELL("filename",A1),FIND("[",CELL("filename",A1))-1)&amp;"매뉴얼BODY(집행단계-첨부폴더)v8\7.신호분야\16_차량 투입 전 점검\체크리스트\차량 투입 전 점검_체크리스트.html", "👉 [클릭] 체크리스트 열기 📄")</f>
        <v/>
      </c>
      <c r="P17" s="10" t="n"/>
      <c r="Q17" s="71" t="inlineStr">
        <is>
          <t>● 관련분야 설계기준서 준수</t>
        </is>
      </c>
      <c r="R17" s="73" t="inlineStr">
        <is>
          <t>1) 👉 [더블클릭] 체크리스트 열기 📄</t>
        </is>
      </c>
      <c r="S17" s="71" t="n"/>
    </row>
    <row r="18" ht="104.4" customHeight="1" s="147">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26">
        <f>HYPERLINK(LEFT(CELL("filename",A1),FIND("[",CELL("filename",A1))-1)&amp;"매뉴얼BODY(집행단계-첨부폴더)v8\7.신호분야\17_차량 시운전\표준서\차량 시운전_표준서.html", "👉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26">
        <f>HYPERLINK(LEFT(CELL("filename",A1),FIND("[",CELL("filename",A1))-1)&amp;"매뉴얼BODY(집행단계-첨부폴더)v8\7.신호분야\17_차량 시운전\수행지침\LTE-R_무선_AP를_통한_신호_제어_데이터_송수신_레벨_상세절차서.html", "👉 [클릭] 수행지침 열기 📄")</f>
        <v/>
      </c>
      <c r="N18" s="11" t="inlineStr">
        <is>
          <t>1) 철도기술기준 준수 속도/제동 테스트 및 주요기기 검사를 시행하였는가?
2) 차상-지상 연계동작시험 및 차량-신호-통신 I/F 시험을 검증하였는가?</t>
        </is>
      </c>
      <c r="O18" s="126">
        <f>HYPERLINK(LEFT(CELL("filename",A1),FIND("[",CELL("filename",A1))-1)&amp;"매뉴얼BODY(집행단계-첨부폴더)v8\7.신호분야\17_차량 시운전\체크리스트\차량 시운전_체크리스트.html", "👉 [클릭] 체크리스트 열기 📄")</f>
        <v/>
      </c>
      <c r="P18" s="10" t="n"/>
      <c r="Q18" s="71" t="inlineStr">
        <is>
          <t>● 관련분야 설계기준서 준수</t>
        </is>
      </c>
      <c r="R18" s="73" t="inlineStr">
        <is>
          <t>1) 👉 [더블클릭] 체크리스트 열기 📄</t>
        </is>
      </c>
      <c r="S18" s="71" t="n"/>
    </row>
    <row r="19" ht="104.4" customHeight="1" s="147">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26">
        <f>HYPERLINK(LEFT(CELL("filename",A1),FIND("[",CELL("filename",A1))-1)&amp;"매뉴얼BODY(집행단계-첨부폴더)v8\7.신호분야\18_운영자 교육시행\표준서\운영자 교육시행_표준서.html", "👉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26">
        <f>HYPERLINK(LEFT(CELL("filename",A1),FIND("[",CELL("filename",A1))-1)&amp;"매뉴얼BODY(집행단계-첨부폴더)v8\7.신호분야\18_운영자 교육시행\수행지침\LTE-R_무선_AP를_통한_신호_제어_데이터_송수신_레벨_상세절차서.html", "👉 [클릭] 수행지침 열기 📄")</f>
        <v/>
      </c>
      <c r="N19" s="11" t="inlineStr">
        <is>
          <t>1) 기관사 및 유지보수요원 대상 시스템 안전 교육을 시행하였는가?
2) 장비 제작사에 의한 CTC/CBI/현장설비 조작교육을 완료하였는가?</t>
        </is>
      </c>
      <c r="O19" s="126">
        <f>HYPERLINK(LEFT(CELL("filename",A1),FIND("[",CELL("filename",A1))-1)&amp;"매뉴얼BODY(집행단계-첨부폴더)v8\7.신호분야\18_운영자 교육시행\체크리스트\운영자 교육시행_체크리스트.html", "👉 [클릭] 체크리스트 열기 📄")</f>
        <v/>
      </c>
      <c r="P19" s="10" t="n"/>
      <c r="Q19" s="71" t="inlineStr">
        <is>
          <t>● 관련분야 설계기준서 준수</t>
        </is>
      </c>
      <c r="R19" s="73" t="inlineStr">
        <is>
          <t>1) 👉 [더블클릭] 체크리스트 열기 📄</t>
        </is>
      </c>
      <c r="S19" s="71" t="n"/>
    </row>
    <row r="20" ht="104.4" customHeight="1" s="147">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26">
        <f>HYPERLINK(LEFT(CELL("filename",A1),FIND("[",CELL("filename",A1))-1)&amp;"매뉴얼BODY(집행단계-첨부폴더)v8\7.신호분야\19_사전점검 및 철도기술기준 검토\표준서\사전점검 및 철도기술기준 검토_표준서.html", "👉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26">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26">
        <f>HYPERLINK(LEFT(CELL("filename",A1),FIND("[",CELL("filename",A1))-1)&amp;"매뉴얼BODY(집행단계-첨부폴더)v8\7.신호분야\19_사전점검 및 철도기술기준 검토\체크리스트\사전점검 및 철도기술기준 검토_체크리스트.html", "👉 [클릭] 체크리스트 열기 📄")</f>
        <v/>
      </c>
      <c r="P20" s="10" t="n"/>
      <c r="Q20" s="71" t="inlineStr">
        <is>
          <t>● 관련분야 설계기준서 준수</t>
        </is>
      </c>
      <c r="R20" s="73" t="inlineStr">
        <is>
          <t>1) 👉 [더블클릭] 체크리스트 열기 📄</t>
        </is>
      </c>
      <c r="S20" s="71" t="n"/>
    </row>
    <row r="21" ht="104.4" customHeight="1" s="147">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26">
        <f>HYPERLINK(LEFT(CELL("filename",A1),FIND("[",CELL("filename",A1))-1)&amp;"매뉴얼BODY(집행단계-첨부폴더)v8\7.신호분야\20_시설물 검증시험\표준서\시설물 검증시험_표준서.html", "👉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26">
        <f>HYPERLINK(LEFT(CELL("filename",A1),FIND("[",CELL("filename",A1))-1)&amp;"매뉴얼BODY(집행단계-첨부폴더)v8\7.신호분야\20_시설물 검증시험\수행지침\LTE-R_무선_AP를_통한_신호_제어_데이터_송수신_레벨_상세절차서.html", "👉 [클릭] 수행지침 열기 📄")</f>
        <v/>
      </c>
      <c r="N21" s="11" t="inlineStr">
        <is>
          <t>1) 설계 최고운행속도 증속 시운전 시 신호시설물 정상 동작을 확인하였는가?
2) 신호설비와 차량 간 연계성 및 차량 운행 적합성을 검증하였는가?</t>
        </is>
      </c>
      <c r="O21" s="126">
        <f>HYPERLINK(LEFT(CELL("filename",A1),FIND("[",CELL("filename",A1))-1)&amp;"매뉴얼BODY(집행단계-첨부폴더)v8\7.신호분야\20_시설물 검증시험\체크리스트\시설물 검증시험_체크리스트.html", "👉 [클릭] 체크리스트 열기 📄")</f>
        <v/>
      </c>
      <c r="P21" s="10" t="n"/>
      <c r="Q21" s="71" t="inlineStr">
        <is>
          <t>● 관련분야 설계기준서 준수</t>
        </is>
      </c>
      <c r="R21" s="73" t="inlineStr">
        <is>
          <t>1) 👉 [더블클릭] 체크리스트 열기 📄</t>
        </is>
      </c>
      <c r="S21" s="71" t="n"/>
    </row>
    <row r="22" ht="104.4" customHeight="1" s="147">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26">
        <f>HYPERLINK(LEFT(CELL("filename",A1),FIND("[",CELL("filename",A1))-1)&amp;"매뉴얼BODY(집행단계-첨부폴더)v8\7.신호분야\21_영업 시운전\표준서\영업 시운전_표준서.html", "👉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26">
        <f>HYPERLINK(LEFT(CELL("filename",A1),FIND("[",CELL("filename",A1))-1)&amp;"매뉴얼BODY(집행단계-첨부폴더)v8\7.신호분야\21_영업 시운전\수행지침\LTE-R_무선_AP를_통한_신호_제어_데이터_송수신_레벨_상세절차서.html", "👉 [클릭] 수행지침 열기 📄")</f>
        <v/>
      </c>
      <c r="N22" s="11" t="inlineStr">
        <is>
          <t>1) 모의 영업 시나리오 기반 100회 정시 운행 성공률(≥99.8%)을 달성하였는가?
2) 영업운전 동일 조건 행사수송 및 승무원 노선숙지 훈련을 완수하였는가?</t>
        </is>
      </c>
      <c r="O22" s="126">
        <f>HYPERLINK(LEFT(CELL("filename",A1),FIND("[",CELL("filename",A1))-1)&amp;"매뉴얼BODY(집행단계-첨부폴더)v8\7.신호분야\21_영업 시운전\체크리스트\영업 시운전_체크리스트.html", "👉 [클릭] 체크리스트 열기 📄")</f>
        <v/>
      </c>
      <c r="P22" s="10" t="n"/>
      <c r="Q22" s="71" t="inlineStr">
        <is>
          <t>● 관련분야 설계기준서 준수</t>
        </is>
      </c>
      <c r="R22" s="73" t="inlineStr">
        <is>
          <t>1) 👉 [더블클릭] 체크리스트 열기 📄</t>
        </is>
      </c>
      <c r="S22" s="71" t="n"/>
    </row>
    <row r="23" ht="104.4" customHeight="1" s="147">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26">
        <f>HYPERLINK(LEFT(CELL("filename",A1),FIND("[",CELL("filename",A1))-1)&amp;"매뉴얼BODY(집행단계-첨부폴더)v8\7.신호분야\22_유지관리 설치\표준서\유지관리 설치_표준서.html", "👉 [클릭] 표준서 열기 📄")</f>
        <v/>
      </c>
      <c r="L23" s="11" t="inlineStr">
        <is>
          <t>1) 관제실 유지 및 보수용 상세 공사 설계 배치를 확인하고 장비를 시공하십시오.
2) 현장 조성 및 유지관리 지침서 이행 여부를 점검하여 서면 보고하십시오.</t>
        </is>
      </c>
      <c r="M23" s="126">
        <f>HYPERLINK(LEFT(CELL("filename",A1),FIND("[",CELL("filename",A1))-1)&amp;"매뉴얼BODY(집행단계-첨부폴더)v8\7.신호분야\22_유지관리 설치\수행지침\LTE-R_무선_AP를_통한_신호_제어_데이터_송수신_레벨_상세절차서.html", "👉 [클릭] 수행지침 열기 📄")</f>
        <v/>
      </c>
      <c r="N23" s="11" t="inlineStr">
        <is>
          <t>1) 관제실 유지보수용 상세 공사 설계 배치를 확인하였는가?
2) 현장조성 및 유지관리 지침서 이행 여부를 점검 확인하였는가?</t>
        </is>
      </c>
      <c r="O23" s="126">
        <f>HYPERLINK(LEFT(CELL("filename",A1),FIND("[",CELL("filename",A1))-1)&amp;"매뉴얼BODY(집행단계-첨부폴더)v8\7.신호분야\22_유지관리 설치\체크리스트\유지관리 설치_체크리스트.html", "👉 [클릭] 체크리스트 열기 📄")</f>
        <v/>
      </c>
      <c r="P23" s="10" t="n"/>
      <c r="Q23" s="71" t="inlineStr">
        <is>
          <t>● 관련분야 설계기준서 준수</t>
        </is>
      </c>
      <c r="R23" s="73" t="inlineStr">
        <is>
          <t>1) 👉 [더블클릭] 체크리스트 열기 📄</t>
        </is>
      </c>
      <c r="S23" s="71"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71"/>
    <col width="8.796875" customWidth="1" style="3" min="72" max="16384"/>
  </cols>
  <sheetData>
    <row r="1" ht="57.6"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47">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26">
        <f>HYPERLINK(LEFT(CELL("filename",A1),FIND("[",CELL("filename",A1))-1)&amp;"매뉴얼BODY(집행단계-첨부폴더)v8\9.통신분야\1_설계적정성 검토\표준서\설계적정성 검토_표준서.html", "👉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26">
        <f>HYPERLINK(LEFT(CELL("filename",A1),FIND("[",CELL("filename",A1))-1)&amp;"매뉴얼BODY(집행단계-첨부폴더)v8\9.통신분야\1_설계적정성 검토\수행지침\설계적정성 검토_수행지침.html", "👉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26">
        <f>HYPERLINK(LEFT(CELL("filename",A1),FIND("[",CELL("filename",A1))-1)&amp;"매뉴얼BODY(집행단계-첨부폴더)v8\9.통신분야\1_설계적정성 검토\체크리스트\9000-2-1_설계적정성 검토_체크리스트.html", "👉 [클릭] 체크리스트 열기 📄")</f>
        <v/>
      </c>
      <c r="P2" s="61" t="n"/>
      <c r="Q2" s="66" t="inlineStr">
        <is>
          <t>● 관련분야 설계기준서 준수</t>
        </is>
      </c>
      <c r="R2" s="67" t="inlineStr">
        <is>
          <t>1) 👉 [더블클릭] 체크리스트 열기 📄</t>
        </is>
      </c>
      <c r="S2" s="64" t="n"/>
    </row>
    <row r="3" ht="219.6" customHeight="1" s="147">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26">
        <f>HYPERLINK(LEFT(CELL("filename",A1),FIND("[",CELL("filename",A1))-1)&amp;"매뉴얼BODY(집행단계-첨부폴더)v8\9.통신분야\2_착수전략 KOM\표준서\발주전략 KOM_표준서.html", "👉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26">
        <f>HYPERLINK(LEFT(CELL("filename",A1),FIND("[",CELL("filename",A1))-1)&amp;"매뉴얼BODY(집행단계-첨부폴더)v8\9.통신분야\2_착수전략 KOM\수행지침\발주전략 KOM_수행지침.html", "👉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26">
        <f>HYPERLINK(LEFT(CELL("filename",A1),FIND("[",CELL("filename",A1))-1)&amp;"매뉴얼BODY(집행단계-첨부폴더)v8\9.통신분야\2_착수전략 KOM\체크리스트\발주전략 KOM_체크리스트.html", "👉 [클릭] 체크리스트 열기 📄")</f>
        <v/>
      </c>
      <c r="P3" s="61" t="n"/>
      <c r="Q3" s="66" t="inlineStr">
        <is>
          <t>● 관련분야 설계기준서 준수</t>
        </is>
      </c>
      <c r="R3" s="67" t="inlineStr">
        <is>
          <t>1) 👉 [더블클릭] 체크리스트 열기 📄</t>
        </is>
      </c>
      <c r="S3" s="64" t="n"/>
    </row>
    <row r="4" ht="133.8" customHeight="1" s="147">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26">
        <f>HYPERLINK(LEFT(CELL("filename",A1),FIND("[",CELL("filename",A1))-1)&amp;"매뉴얼BODY(집행단계-첨부폴더)v8\9.통신분야\3_토목 _ 건축 인터페이스 협의\표준서\토목 _ 건축 인터페이스 협의_표준서.html", "👉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26">
        <f>HYPERLINK(LEFT(CELL("filename",A1),FIND("[",CELL("filename",A1))-1)&amp;"매뉴얼BODY(집행단계-첨부폴더)v8\9.통신분야\3_토목 _ 건축 인터페이스 협의\수행지침\토목 _ 건축 인터페이스 협의_수행지침.html", "👉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26">
        <f>HYPERLINK(LEFT(CELL("filename",A1),FIND("[",CELL("filename",A1))-1)&amp;"매뉴얼BODY(집행단계-첨부폴더)v8\9.통신분야\3_토목 _ 건축 인터페이스 협의\체크리스트\9000-2-3_토목 _ 건축 인터페이스 협의_체크리스트.html", "👉 [클릭] 체크리스트 열기 📄")</f>
        <v/>
      </c>
      <c r="P4" s="61" t="n"/>
      <c r="Q4" s="66" t="inlineStr">
        <is>
          <t>● 관련분야 설계기준서 준수</t>
        </is>
      </c>
      <c r="R4" s="67" t="inlineStr">
        <is>
          <t>1) 👉 [더블클릭] 체크리스트 열기 📄</t>
        </is>
      </c>
      <c r="S4" s="64" t="n"/>
    </row>
    <row r="5" ht="133.8" customHeight="1" s="147">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26">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26">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26">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61" t="n"/>
      <c r="Q5" s="66" t="inlineStr">
        <is>
          <t>● 관련분야 설계기준서 준수</t>
        </is>
      </c>
      <c r="R5" s="67" t="inlineStr">
        <is>
          <t>1) 👉 [더블클릭] 체크리스트 열기 📄</t>
        </is>
      </c>
      <c r="S5" s="64" t="n"/>
    </row>
    <row r="6" ht="133.8" customHeight="1" s="147">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26">
        <f>HYPERLINK(LEFT(CELL("filename",A1),FIND("[",CELL("filename",A1))-1)&amp;"매뉴얼BODY(집행단계-첨부폴더)v8\9.통신분야\5_통신설비 제작사 인터페이스 협의\표준서\통신설비 제작사 인터페이스 협의_표준서.html", "👉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26">
        <f>HYPERLINK(LEFT(CELL("filename",A1),FIND("[",CELL("filename",A1))-1)&amp;"매뉴얼BODY(집행단계-첨부폴더)v8\9.통신분야\5_통신설비 제작사 인터페이스 협의\수행지침\통신설비 제작사 인터페이스 협의_수행지침.html", "👉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26">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61" t="n"/>
      <c r="Q6" s="66" t="inlineStr">
        <is>
          <t>● 관련분야 설계기준서 준수</t>
        </is>
      </c>
      <c r="R6" s="67" t="inlineStr">
        <is>
          <t>1) 👉 [더블클릭] 체크리스트 열기 📄</t>
        </is>
      </c>
      <c r="S6" s="64" t="n"/>
    </row>
    <row r="7" ht="145.2" customHeight="1" s="147">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26">
        <f>HYPERLINK(LEFT(CELL("filename",A1),FIND("[",CELL("filename",A1))-1)&amp;"매뉴얼BODY(집행단계-첨부폴더)v8\9.통신분야\6_관제 및 운영사 인터페이스 협의\표준서\관제 및 운영사 인터페이스 협의_표준서.html", "👉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26">
        <f>HYPERLINK(LEFT(CELL("filename",A1),FIND("[",CELL("filename",A1))-1)&amp;"매뉴얼BODY(집행단계-첨부폴더)v8\9.통신분야\6_관제 및 운영사 인터페이스 협의\수행지침\관제 및 운영사 인터페이스 협의_수행지침.html", "👉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26">
        <f>HYPERLINK(LEFT(CELL("filename",A1),FIND("[",CELL("filename",A1))-1)&amp;"매뉴얼BODY(집행단계-첨부폴더)v8\9.통신분야\6_관제 및 운영사 인터페이스 협의\체크리스트\9000-2-6_관제 및 운영사 인터페이스 협의_체크리스트.html", "👉 [클릭] 체크리스트 열기 📄")</f>
        <v/>
      </c>
      <c r="P7" s="61" t="n"/>
      <c r="Q7" s="66" t="inlineStr">
        <is>
          <t>● 관련분야 설계기준서 준수</t>
        </is>
      </c>
      <c r="R7" s="67" t="inlineStr">
        <is>
          <t>1) 👉 [더블클릭] 체크리스트 열기 📄</t>
        </is>
      </c>
      <c r="S7" s="64" t="n"/>
    </row>
    <row r="8" ht="115.2" customHeight="1" s="147">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26">
        <f>HYPERLINK(LEFT(CELL("filename",A1),FIND("[",CELL("filename",A1))-1)&amp;"매뉴얼BODY(집행단계-첨부폴더)v8\9.통신분야\7_발주처 품질 요구사항 검토\표준서\발주처 품질 요구사항 검토_표준서.html", "👉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26">
        <f>HYPERLINK(LEFT(CELL("filename",A1),FIND("[",CELL("filename",A1))-1)&amp;"매뉴얼BODY(집행단계-첨부폴더)v8\9.통신분야\7_발주처 품질 요구사항 검토\수행지침\발주처 품질 요구사항 검토_수행지침.html", "👉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26">
        <f>HYPERLINK(LEFT(CELL("filename",A1),FIND("[",CELL("filename",A1))-1)&amp;"매뉴얼BODY(집행단계-첨부폴더)v8\9.통신분야\7_발주처 품질 요구사항 검토\체크리스트\9000-2-7_발주처 품질 요구사항 검토_체크리스트.html", "👉 [클릭] 체크리스트 열기 📄")</f>
        <v/>
      </c>
      <c r="P8" s="61" t="n"/>
      <c r="Q8" s="66" t="inlineStr">
        <is>
          <t>● 관련분야 설계기준서 준수</t>
        </is>
      </c>
      <c r="R8" s="67" t="inlineStr">
        <is>
          <t>1) 👉 [더블클릭] 체크리스트 열기 📄</t>
        </is>
      </c>
      <c r="S8" s="64" t="n"/>
    </row>
    <row r="9" ht="115.2" customHeight="1" s="147">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26">
        <f>HYPERLINK(LEFT(CELL("filename",A1),FIND("[",CELL("filename",A1))-1)&amp;"매뉴얼BODY(집행단계-첨부폴더)v8\9.통신분야\8_자재 _ 인원 _ 장비 등 투입 사전 검토\표준서\자재 인력 장비 등 투입 사전 검토_표준서.html", "👉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26">
        <f>HYPERLINK(LEFT(CELL("filename",A1),FIND("[",CELL("filename",A1))-1)&amp;"매뉴얼BODY(집행단계-첨부폴더)v8\9.통신분야\8_자재 _ 인원 _ 장비 등 투입 사전 검토\수행지침\자재 인력 장비 등 투입 사전 검토_수행지침.html", "👉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26">
        <f>HYPERLINK(LEFT(CELL("filename",A1),FIND("[",CELL("filename",A1))-1)&amp;"매뉴얼BODY(집행단계-첨부폴더)v8\9.통신분야\8_자재 _ 인원 _ 장비 등 투입 사전 검토\체크리스트\자재 인력 장비 등 투입 사전 검토_체크리스트.html", "👉 [클릭] 체크리스트 열기 📄")</f>
        <v/>
      </c>
      <c r="P9" s="61" t="n"/>
      <c r="Q9" s="66" t="inlineStr">
        <is>
          <t>● 관련분야 설계기준서 준수</t>
        </is>
      </c>
      <c r="R9" s="67" t="inlineStr">
        <is>
          <t>1) 👉 [더블클릭] 체크리스트 열기 📄</t>
        </is>
      </c>
      <c r="S9" s="64" t="n"/>
    </row>
    <row r="10" ht="210.6" customHeight="1" s="147">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26">
        <f>HYPERLINK(LEFT(CELL("filename",A1),FIND("[",CELL("filename",A1))-1)&amp;"매뉴얼BODY(집행단계-첨부폴더)v8\9.통신분야\8_자재 인력 장비 등 투입 사전 검토\표준서\자재 인력 장비 등 투입 사전 검토_표준서.html", "👉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26">
        <f>HYPERLINK(LEFT(CELL("filename",A1),FIND("[",CELL("filename",A1))-1)&amp;"매뉴얼BODY(집행단계-첨부폴더)v8\9.통신분야\8_자재 인력 장비 등 투입 사전 검토\수행지침\자재 인력 장비 등 투입 사전 검토_수행지침.html", "👉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26">
        <f>HYPERLINK(LEFT(CELL("filename",A1),FIND("[",CELL("filename",A1))-1)&amp;"매뉴얼BODY(집행단계-첨부폴더)v8\9.통신분야\8_자재 인력 장비 등 투입 사전 검토\체크리스트\자재 인력 장비 등 투입 사전 검토_체크리스트.html", "👉 [클릭] 체크리스트 열기 📄")</f>
        <v/>
      </c>
      <c r="P10" s="61" t="n"/>
      <c r="Q10" s="66" t="inlineStr">
        <is>
          <t>● 관련분야 설계기준서 준수</t>
        </is>
      </c>
      <c r="R10" s="67" t="inlineStr">
        <is>
          <t>1) 👉 [더블클릭] 체크리스트 열기 📄</t>
        </is>
      </c>
      <c r="S10" s="64" t="n"/>
    </row>
    <row r="11" ht="115.2" customHeight="1" s="147">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26">
        <f>HYPERLINK(LEFT(CELL("filename",A1),FIND("[",CELL("filename",A1))-1)&amp;"매뉴얼BODY(집행단계-첨부폴더)v8\9.통신분야\9_착수 전 Big Room 회의\표준서\착수 전 Big Room 회의_표준서.html", "👉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26">
        <f>HYPERLINK(LEFT(CELL("filename",A1),FIND("[",CELL("filename",A1))-1)&amp;"매뉴얼BODY(집행단계-첨부폴더)v8\9.통신분야\9_착수 전 Big Room 회의\수행지침\착수 전 Big Room 회의_수행지침.html", "👉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26">
        <f>HYPERLINK(LEFT(CELL("filename",A1),FIND("[",CELL("filename",A1))-1)&amp;"매뉴얼BODY(집행단계-첨부폴더)v8\9.통신분야\9_착수 전 Big Room 회의\체크리스트\9000-2-9_착수 전 Big Room 회의_체크리스트.html", "👉 [클릭] 체크리스트 열기 📄")</f>
        <v/>
      </c>
      <c r="P11" s="61" t="n"/>
      <c r="Q11" s="66" t="inlineStr">
        <is>
          <t>● 관련분야 설계기준서 준수</t>
        </is>
      </c>
      <c r="R11" s="67" t="inlineStr">
        <is>
          <t>1) 👉 [더블클릭] 체크리스트 열기 📄</t>
        </is>
      </c>
      <c r="S11" s="64" t="n"/>
    </row>
    <row r="12" ht="115.2" customHeight="1" s="147">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26">
        <f>HYPERLINK(LEFT(CELL("filename",A1),FIND("[",CELL("filename",A1))-1)&amp;"매뉴얼BODY(집행단계-첨부폴더)v8\9.통신분야\10_통신설비 제작 사양서 작성 _ 승인\표준서\통신설비 제작 사양서 작성 _ 승인_표준서.html", "👉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26">
        <f>HYPERLINK(LEFT(CELL("filename",A1),FIND("[",CELL("filename",A1))-1)&amp;"매뉴얼BODY(집행단계-첨부폴더)v8\9.통신분야\10_통신설비 제작 사양서 작성 _ 승인\수행지침\통신설비 제작 사양서 작성 _ 승인_수행지침.html", "👉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26">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61" t="n"/>
      <c r="Q12" s="66" t="inlineStr">
        <is>
          <t>● 관련분야 설계기준서 준수</t>
        </is>
      </c>
      <c r="R12" s="67" t="inlineStr">
        <is>
          <t>1) 👉 [더블클릭] 체크리스트 열기 📄</t>
        </is>
      </c>
      <c r="S12" s="64" t="n"/>
    </row>
    <row r="13" ht="115.2" customHeight="1" s="147">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26">
        <f>HYPERLINK(LEFT(CELL("filename",A1),FIND("[",CELL("filename",A1))-1)&amp;"매뉴얼BODY(집행단계-첨부폴더)v8\9.통신분야\11_시공 계획 수립 _ 승인\표준서\시공 계획 수립 _ 승인_표준서.html", "👉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26">
        <f>HYPERLINK(LEFT(CELL("filename",A1),FIND("[",CELL("filename",A1))-1)&amp;"매뉴얼BODY(집행단계-첨부폴더)v8\9.통신분야\11_시공 계획 수립 _ 승인\수행지침\시공 계획 수립 _ 승인_수행지침.html", "👉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26">
        <f>HYPERLINK(LEFT(CELL("filename",A1),FIND("[",CELL("filename",A1))-1)&amp;"매뉴얼BODY(집행단계-첨부폴더)v8\9.통신분야\11_시공 계획 수립 _ 승인\체크리스트\9000-2-11_시공 계획 수립 _ 승인_체크리스트.html", "👉 [클릭] 체크리스트 열기 📄")</f>
        <v/>
      </c>
      <c r="P13" s="61" t="n"/>
      <c r="Q13" s="66" t="inlineStr">
        <is>
          <t>● 관련분야 설계기준서 준수</t>
        </is>
      </c>
      <c r="R13" s="67" t="inlineStr">
        <is>
          <t>1) 👉 [더블클릭] 체크리스트 열기 📄</t>
        </is>
      </c>
      <c r="S13" s="64" t="n"/>
    </row>
    <row r="14" ht="192" customHeight="1" s="147">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26">
        <f>HYPERLINK(LEFT(CELL("filename",A1),FIND("[",CELL("filename",A1))-1)&amp;"매뉴얼BODY(집행단계-첨부폴더)v8\9.통신분야\12_자재공급원 검토 및 승인\표준서\자재공급원 검토 및 승인_표준서.html", "👉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26">
        <f>HYPERLINK(LEFT(CELL("filename",A1),FIND("[",CELL("filename",A1))-1)&amp;"매뉴얼BODY(집행단계-첨부폴더)v8\9.통신분야\12_자재공급원 검토 및 승인\수행지침\자재공급원 검토 및 승인_수행지침.html", "👉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26">
        <f>HYPERLINK(LEFT(CELL("filename",A1),FIND("[",CELL("filename",A1))-1)&amp;"매뉴얼BODY(집행단계-첨부폴더)v8\9.통신분야\12_자재공급원 검토 및 승인\체크리스트\9000-2-12_자재공급원 검토 및 승인_체크리스트.html", "👉 [클릭] 체크리스트 열기 📄")</f>
        <v/>
      </c>
      <c r="P14" s="61" t="n"/>
      <c r="Q14" s="66" t="inlineStr">
        <is>
          <t>● 관련분야 설계기준서 준수</t>
        </is>
      </c>
      <c r="R14" s="67" t="inlineStr">
        <is>
          <t>1) 👉 [더블클릭] 체크리스트 열기 📄</t>
        </is>
      </c>
      <c r="S14" s="64" t="n"/>
    </row>
    <row r="15" ht="115.2" customHeight="1" s="147">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26">
        <f>HYPERLINK(LEFT(CELL("filename",A1),FIND("[",CELL("filename",A1))-1)&amp;"매뉴얼BODY(집행단계-첨부폴더)v8\9.통신분야\13_통신설비 공정제작 _ 제작사 공장검사\표준서\통신설비 공정제작 _ 제작사 공장검사_표준서.html", "👉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26">
        <f>HYPERLINK(LEFT(CELL("filename",A1),FIND("[",CELL("filename",A1))-1)&amp;"매뉴얼BODY(집행단계-첨부폴더)v8\9.통신분야\13_통신설비 공정제작 _ 제작사 공장검사\수행지침\통신설비 공정제작 _ 제작사 공장검사_수행지침.html", "👉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26">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61" t="n"/>
      <c r="Q15" s="66" t="inlineStr">
        <is>
          <t>● 관련분야 설계기준서 준수</t>
        </is>
      </c>
      <c r="R15" s="67" t="inlineStr">
        <is>
          <t>1) 👉 [더블클릭] 체크리스트 열기 📄</t>
        </is>
      </c>
      <c r="S15" s="64" t="n"/>
    </row>
    <row r="16" ht="115.2" customHeight="1" s="147">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26">
        <f>HYPERLINK(LEFT(CELL("filename",A1),FIND("[",CELL("filename",A1))-1)&amp;"매뉴얼BODY(집행단계-첨부폴더)v8\9.통신분야\14_본공사 전 선행공정 인수인계 점검\표준서\본공사 전 선행공정 인수인계 점검_표준서.html", "👉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26">
        <f>HYPERLINK(LEFT(CELL("filename",A1),FIND("[",CELL("filename",A1))-1)&amp;"매뉴얼BODY(집행단계-첨부폴더)v8\9.통신분야\14_본공사 전 선행공정 인수인계 점검\수행지침\본공사 전 선행공정 인수인계 점검_수행지침.html", "👉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26">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61" t="n"/>
      <c r="Q16" s="66" t="inlineStr">
        <is>
          <t>● 관련분야 설계기준서 준수</t>
        </is>
      </c>
      <c r="R16" s="67" t="inlineStr">
        <is>
          <t>1) 👉 [더블클릭] 체크리스트 열기 📄</t>
        </is>
      </c>
      <c r="S16" s="64" t="n"/>
    </row>
    <row r="17" ht="115.2" customHeight="1" s="147">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26">
        <f>HYPERLINK(LEFT(CELL("filename",A1),FIND("[",CELL("filename",A1))-1)&amp;"매뉴얼BODY(집행단계-첨부폴더)v8\9.통신분야\15_장비반입 및 안전교육\표준서\장비반입 및 안전교육_표준서.html", "👉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26">
        <f>HYPERLINK(LEFT(CELL("filename",A1),FIND("[",CELL("filename",A1))-1)&amp;"매뉴얼BODY(집행단계-첨부폴더)v8\9.통신분야\15_장비반입 및 안전교육\수행지침\장비반입 및 안전교육_수행지침.html", "👉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26">
        <f>HYPERLINK(LEFT(CELL("filename",A1),FIND("[",CELL("filename",A1))-1)&amp;"매뉴얼BODY(집행단계-첨부폴더)v8\9.통신분야\15_장비반입 및 안전교육\체크리스트\9000-2-15_장비반입 및 안전교육_체크리스트.html", "👉 [클릭] 체크리스트 열기 📄")</f>
        <v/>
      </c>
      <c r="P17" s="61" t="n"/>
      <c r="Q17" s="66" t="inlineStr">
        <is>
          <t>● 관련분야 설계기준서 준수</t>
        </is>
      </c>
      <c r="R17" s="67" t="inlineStr">
        <is>
          <t>1) 👉 [더블클릭] 체크리스트 열기 📄</t>
        </is>
      </c>
      <c r="S17" s="64" t="n"/>
    </row>
    <row r="18" ht="115.2" customHeight="1" s="147">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26">
        <f>HYPERLINK(LEFT(CELL("filename",A1),FIND("[",CELL("filename",A1))-1)&amp;"매뉴얼BODY(집행단계-첨부폴더)v8\9.통신분야\16_자재 반입 및 검수\표준서\자재 반입 및 검수_표준서.html", "👉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26">
        <f>HYPERLINK(LEFT(CELL("filename",A1),FIND("[",CELL("filename",A1))-1)&amp;"매뉴얼BODY(집행단계-첨부폴더)v8\9.통신분야\16_자재 반입 및 검수\수행지침\자재 반입 및 검수_수행지침.html", "👉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26">
        <f>HYPERLINK(LEFT(CELL("filename",A1),FIND("[",CELL("filename",A1))-1)&amp;"매뉴얼BODY(집행단계-첨부폴더)v8\9.통신분야\16_자재 반입 및 검수\체크리스트\9000-2-16_자재 반입 및 검수_체크리스트.html", "👉 [클릭] 체크리스트 열기 📄")</f>
        <v/>
      </c>
      <c r="P18" s="61" t="n"/>
      <c r="Q18" s="66" t="inlineStr">
        <is>
          <t>● 관련분야 설계기준서 준수</t>
        </is>
      </c>
      <c r="R18" s="67" t="inlineStr">
        <is>
          <t>1) 👉 [더블클릭] 체크리스트 열기 📄</t>
        </is>
      </c>
      <c r="S18" s="64" t="n"/>
    </row>
    <row r="19" ht="115.2" customHeight="1" s="147">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26">
        <f>HYPERLINK(LEFT(CELL("filename",A1),FIND("[",CELL("filename",A1))-1)&amp;"매뉴얼BODY(집행단계-첨부폴더)v8\9.통신분야\17_통신설비 반입 및 설치\표준서\통신설비 반입 및 설치_표준서.html", "👉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26">
        <f>HYPERLINK(LEFT(CELL("filename",A1),FIND("[",CELL("filename",A1))-1)&amp;"매뉴얼BODY(집행단계-첨부폴더)v8\9.통신분야\17_통신설비 반입 및 설치\수행지침\통신설비 반입 및 설치_수행지침.html", "👉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26">
        <f>HYPERLINK(LEFT(CELL("filename",A1),FIND("[",CELL("filename",A1))-1)&amp;"매뉴얼BODY(집행단계-첨부폴더)v8\9.통신분야\17_통신설비 반입 및 설치\체크리스트\9000-2-17_통신설비 반입 및 설치_체크리스트.html", "👉 [클릭] 체크리스트 열기 📄")</f>
        <v/>
      </c>
      <c r="P19" s="61" t="n"/>
      <c r="Q19" s="66" t="inlineStr">
        <is>
          <t>● 관련분야 설계기준서 준수</t>
        </is>
      </c>
      <c r="R19" s="67" t="inlineStr">
        <is>
          <t>1) 👉 [더블클릭] 체크리스트 열기 📄</t>
        </is>
      </c>
      <c r="S19" s="64" t="n"/>
    </row>
    <row r="20" ht="115.2" customHeight="1" s="147">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26">
        <f>HYPERLINK(LEFT(CELL("filename",A1),FIND("[",CELL("filename",A1))-1)&amp;"매뉴얼BODY(집행단계-첨부폴더)v8\9.통신분야\18_관제설비 설치\표준서\관제설비 설치_표준서.html", "👉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26">
        <f>HYPERLINK(LEFT(CELL("filename",A1),FIND("[",CELL("filename",A1))-1)&amp;"매뉴얼BODY(집행단계-첨부폴더)v8\9.통신분야\18_관제설비 설치\수행지침\관제설비 설치_수행지침.html", "👉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26">
        <f>HYPERLINK(LEFT(CELL("filename",A1),FIND("[",CELL("filename",A1))-1)&amp;"매뉴얼BODY(집행단계-첨부폴더)v8\9.통신분야\18_관제설비 설치\체크리스트\9000-2-18_관제설비 설치_체크리스트.html", "👉 [클릭] 체크리스트 열기 📄")</f>
        <v/>
      </c>
      <c r="P20" s="61" t="n"/>
      <c r="Q20" s="66" t="inlineStr">
        <is>
          <t>● 관련분야 설계기준서 준수</t>
        </is>
      </c>
      <c r="R20" s="67" t="inlineStr">
        <is>
          <t>1) 👉 [더블클릭] 체크리스트 열기 📄</t>
        </is>
      </c>
      <c r="S20" s="64" t="n"/>
    </row>
    <row r="21" ht="115.2" customHeight="1" s="147">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26">
        <f>HYPERLINK(LEFT(CELL("filename",A1),FIND("[",CELL("filename",A1))-1)&amp;"매뉴얼BODY(집행단계-첨부폴더)v8\9.통신분야\19_통신시스템 단위시험\표준서\통신시스템 단위시험_표준서.html", "👉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26">
        <f>HYPERLINK(LEFT(CELL("filename",A1),FIND("[",CELL("filename",A1))-1)&amp;"매뉴얼BODY(집행단계-첨부폴더)v8\9.통신분야\19_통신시스템 단위시험\수행지침\통신시스템 단위시험_수행지침.html", "👉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26">
        <f>HYPERLINK(LEFT(CELL("filename",A1),FIND("[",CELL("filename",A1))-1)&amp;"매뉴얼BODY(집행단계-첨부폴더)v8\9.통신분야\19_통신시스템 단위시험\체크리스트\9000-2-19_통신시스템 단위시험_체크리스트.html", "👉 [클릭] 체크리스트 열기 📄")</f>
        <v/>
      </c>
      <c r="P21" s="61" t="n"/>
      <c r="Q21" s="66" t="inlineStr">
        <is>
          <t>● 관련분야 설계기준서 준수</t>
        </is>
      </c>
      <c r="R21" s="67" t="inlineStr">
        <is>
          <t>1) 👉 [더블클릭] 체크리스트 열기 📄</t>
        </is>
      </c>
      <c r="S21" s="64" t="n"/>
    </row>
    <row r="22" ht="115.2" customHeight="1" s="147">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26">
        <f>HYPERLINK(LEFT(CELL("filename",A1),FIND("[",CELL("filename",A1))-1)&amp;"매뉴얼BODY(집행단계-첨부폴더)v8\9.통신분야\20_통신시스템 통합시험\표준서\통신시스템 통합시험_표준서.html", "👉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26">
        <f>HYPERLINK(LEFT(CELL("filename",A1),FIND("[",CELL("filename",A1))-1)&amp;"매뉴얼BODY(집행단계-첨부폴더)v8\9.통신분야\20_통신시스템 통합시험\수행지침\통신시스템 통합시험_수행지침.html", "👉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26">
        <f>HYPERLINK(LEFT(CELL("filename",A1),FIND("[",CELL("filename",A1))-1)&amp;"매뉴얼BODY(집행단계-첨부폴더)v8\9.통신분야\20_통신시스템 통합시험\체크리스트\9000-2-20_통신시스템 통합시험_체크리스트.html", "👉 [클릭] 체크리스트 열기 📄")</f>
        <v/>
      </c>
      <c r="P22" s="61" t="n"/>
      <c r="Q22" s="66" t="inlineStr">
        <is>
          <t>● 관련분야 설계기준서 준수</t>
        </is>
      </c>
      <c r="R22" s="67" t="inlineStr">
        <is>
          <t>1) 👉 [더블클릭] 체크리스트 열기 📄</t>
        </is>
      </c>
      <c r="S22" s="64" t="n"/>
    </row>
    <row r="23" ht="115.2" customHeight="1" s="147">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26">
        <f>HYPERLINK(LEFT(CELL("filename",A1),FIND("[",CELL("filename",A1))-1)&amp;"매뉴얼BODY(집행단계-첨부폴더)v8\9.통신분야\21_공종별 시험\표준서\9000-2-21_공종별 시험_표준서.html", "👉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26">
        <f>HYPERLINK(LEFT(CELL("filename",A1),FIND("[",CELL("filename",A1))-1)&amp;"매뉴얼BODY(집행단계-첨부폴더)v8\9.통신분야\21_공종별 시험\수행지침\공종별 시험_수행지침.html", "👉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26">
        <f>HYPERLINK(LEFT(CELL("filename",A1),FIND("[",CELL("filename",A1))-1)&amp;"매뉴얼BODY(집행단계-첨부폴더)v8\9.통신분야\21_공종별 시험\체크리스트\9000-2-21_공종별 시험_체크리스트.html", "👉 [클릭] 체크리스트 열기 📄")</f>
        <v/>
      </c>
      <c r="P23" s="61" t="n"/>
      <c r="Q23" s="66" t="inlineStr">
        <is>
          <t>● 관련분야 설계기준서 준수</t>
        </is>
      </c>
      <c r="R23" s="67" t="inlineStr">
        <is>
          <t>1) 👉 [더블클릭] 체크리스트 열기 📄</t>
        </is>
      </c>
      <c r="S23" s="64" t="n"/>
    </row>
    <row r="24" ht="115.2" customHeight="1" s="147">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26">
        <f>HYPERLINK(LEFT(CELL("filename",A1),FIND("[",CELL("filename",A1))-1)&amp;"매뉴얼BODY(집행단계-첨부폴더)v8\9.통신분야\22_차량 투입 전 점검\표준서\차량 투입 전 점검_표준서.html", "👉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26">
        <f>HYPERLINK(LEFT(CELL("filename",A1),FIND("[",CELL("filename",A1))-1)&amp;"매뉴얼BODY(집행단계-첨부폴더)v8\9.통신분야\22_차량 투입 전 점검\수행지침\차량 투입 전 점검_수행지침.html", "👉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26">
        <f>HYPERLINK(LEFT(CELL("filename",A1),FIND("[",CELL("filename",A1))-1)&amp;"매뉴얼BODY(집행단계-첨부폴더)v8\9.통신분야\22_차량 투입 전 점검\체크리스트\9000-2-22_차량 투입 전 점검_체크리스트.html", "👉 [클릭] 체크리스트 열기 📄")</f>
        <v/>
      </c>
      <c r="P24" s="61" t="n"/>
      <c r="Q24" s="66" t="inlineStr">
        <is>
          <t>● 관련분야 설계기준서 준수</t>
        </is>
      </c>
      <c r="R24" s="67" t="inlineStr">
        <is>
          <t>1) 👉 [더블클릭] 체크리스트 열기 📄</t>
        </is>
      </c>
      <c r="S24" s="64" t="n"/>
    </row>
    <row r="25" ht="115.2" customHeight="1" s="147">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26">
        <f>HYPERLINK(LEFT(CELL("filename",A1),FIND("[",CELL("filename",A1))-1)&amp;"매뉴얼BODY(집행단계-첨부폴더)v8\9.통신분야\23_차량 시운전\표준서\9000-2-23_차량 시운전_표준서.html", "👉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26">
        <f>HYPERLINK(LEFT(CELL("filename",A1),FIND("[",CELL("filename",A1))-1)&amp;"매뉴얼BODY(집행단계-첨부폴더)v8\9.통신분야\23_차량 시운전\수행지침\차량 시운전_수행지침.html", "👉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26">
        <f>HYPERLINK(LEFT(CELL("filename",A1),FIND("[",CELL("filename",A1))-1)&amp;"매뉴얼BODY(집행단계-첨부폴더)v8\9.통신분야\23_차량 시운전\체크리스트\9000-2-23_차량 시운전_체크리스트.html", "👉 [클릭] 체크리스트 열기 📄")</f>
        <v/>
      </c>
      <c r="P25" s="61" t="n"/>
      <c r="Q25" s="66" t="inlineStr">
        <is>
          <t>● 관련분야 설계기준서 준수</t>
        </is>
      </c>
      <c r="R25" s="67" t="inlineStr">
        <is>
          <t>1) 👉 [더블클릭] 체크리스트 열기 📄</t>
        </is>
      </c>
      <c r="S25" s="64" t="n"/>
    </row>
    <row r="26" ht="115.2" customHeight="1" s="147">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26">
        <f>HYPERLINK(LEFT(CELL("filename",A1),FIND("[",CELL("filename",A1))-1)&amp;"매뉴얼BODY(집행단계-첨부폴더)v8\9.통신분야\24_운영자 교육시행\표준서\운영자 교육시행_표준서.html", "👉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26">
        <f>HYPERLINK(LEFT(CELL("filename",A1),FIND("[",CELL("filename",A1))-1)&amp;"매뉴얼BODY(집행단계-첨부폴더)v8\9.통신분야\24_운영자 교육시행\수행지침\운영자 교육시행_수행지침.html", "👉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26">
        <f>HYPERLINK(LEFT(CELL("filename",A1),FIND("[",CELL("filename",A1))-1)&amp;"매뉴얼BODY(집행단계-첨부폴더)v8\9.통신분야\24_운영자 교육시행\체크리스트\9000-2-24_운영자 교육시행_체크리스트.html", "👉 [클릭] 체크리스트 열기 📄")</f>
        <v/>
      </c>
      <c r="P26" s="61" t="n"/>
      <c r="Q26" s="66" t="inlineStr">
        <is>
          <t>● 관련분야 설계기준서 준수</t>
        </is>
      </c>
      <c r="R26" s="67" t="inlineStr">
        <is>
          <t>1) 👉 [더블클릭] 체크리스트 열기 📄</t>
        </is>
      </c>
      <c r="S26" s="64" t="n"/>
    </row>
    <row r="27" ht="153.6" customHeight="1" s="147">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26">
        <f>HYPERLINK(LEFT(CELL("filename",A1),FIND("[",CELL("filename",A1))-1)&amp;"매뉴얼BODY(집행단계-첨부폴더)v8\9.통신분야\25_사전점검\표준서\9000-2-25_사전점검_표준서.html", "👉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26">
        <f>HYPERLINK(LEFT(CELL("filename",A1),FIND("[",CELL("filename",A1))-1)&amp;"매뉴얼BODY(집행단계-첨부폴더)v8\9.통신분야\25_사전점검\수행지침\9000-2-25_사전점검_수행지침.html", "👉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26">
        <f>HYPERLINK(LEFT(CELL("filename",A1),FIND("[",CELL("filename",A1))-1)&amp;"매뉴얼BODY(집행단계-첨부폴더)v8\9.통신분야\25_사전점검\체크리스트\9000-2-25_사전점검_체크리스트.html", "👉 [클릭] 체크리스트 열기 📄")</f>
        <v/>
      </c>
      <c r="P27" s="61" t="n"/>
      <c r="Q27" s="66" t="inlineStr">
        <is>
          <t>● 관련분야 설계기준서 준수</t>
        </is>
      </c>
      <c r="R27" s="67" t="inlineStr">
        <is>
          <t>1) 👉 [더블클릭] 체크리스트 열기 📄</t>
        </is>
      </c>
      <c r="S27" s="64" t="n"/>
    </row>
    <row r="28" ht="211.2" customHeight="1" s="147">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26">
        <f>HYPERLINK(LEFT(CELL("filename",A1),FIND("[",CELL("filename",A1))-1)&amp;"매뉴얼BODY(집행단계-첨부폴더)v8\9.통신분야\26_시설물 검증시험\표준서\시설물 검증시험_표준서.html", "👉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26">
        <f>HYPERLINK(LEFT(CELL("filename",A1),FIND("[",CELL("filename",A1))-1)&amp;"매뉴얼BODY(집행단계-첨부폴더)v8\9.통신분야\26_시설물 검증시험\수행지침\시설물 검증시험_수행지침.html", "👉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26">
        <f>HYPERLINK(LEFT(CELL("filename",A1),FIND("[",CELL("filename",A1))-1)&amp;"매뉴얼BODY(집행단계-첨부폴더)v8\9.통신분야\26_시설물 검증시험\체크리스트\9000-2-26_시설물 검증시험_체크리스트.html", "👉 [클릭] 체크리스트 열기 📄")</f>
        <v/>
      </c>
      <c r="P28" s="61" t="n"/>
      <c r="Q28" s="66" t="inlineStr">
        <is>
          <t>● 관련분야 설계기준서 준수</t>
        </is>
      </c>
      <c r="R28" s="67" t="inlineStr">
        <is>
          <t>1) 👉 [더블클릭] 체크리스트 열기 📄</t>
        </is>
      </c>
      <c r="S28" s="64" t="n"/>
    </row>
    <row r="29" ht="115.2" customHeight="1" s="147">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26">
        <f>HYPERLINK(LEFT(CELL("filename",A1),FIND("[",CELL("filename",A1))-1)&amp;"매뉴얼BODY(집행단계-첨부폴더)v8\9.통신분야\27_영업시운전\표준서\9000-2-27_영업시운전_표준서.html", "👉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26">
        <f>HYPERLINK(LEFT(CELL("filename",A1),FIND("[",CELL("filename",A1))-1)&amp;"매뉴얼BODY(집행단계-첨부폴더)v8\9.통신분야\27_영업시운전\수행지침\9000-2-27_영업시운전_수행지침.html", "👉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26">
        <f>HYPERLINK(LEFT(CELL("filename",A1),FIND("[",CELL("filename",A1))-1)&amp;"매뉴얼BODY(집행단계-첨부폴더)v8\9.통신분야\27_영업시운전\체크리스트\9000-2-27_영업시운전_체크리스트.html", "👉 [클릭] 체크리스트 열기 📄")</f>
        <v/>
      </c>
      <c r="P29" s="61" t="n"/>
      <c r="Q29" s="66" t="inlineStr">
        <is>
          <t>● 전기통신사업법 제64조</t>
        </is>
      </c>
      <c r="R29" s="67" t="inlineStr">
        <is>
          <t>1) 👉 [더블클릭] 체크리스트 열기 📄</t>
        </is>
      </c>
      <c r="S29" s="64" t="n"/>
    </row>
    <row r="30" ht="115.2" customHeight="1" s="147">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26">
        <f>HYPERLINK(LEFT(CELL("filename",A1),FIND("[",CELL("filename",A1))-1)&amp;"매뉴얼BODY(집행단계-첨부폴더)v8\9.통신분야\28_자가용전기통신설비 설치신고\표준서\자가용전기통신설비 설치신고_표준서.html", "👉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26">
        <f>HYPERLINK(LEFT(CELL("filename",A1),FIND("[",CELL("filename",A1))-1)&amp;"매뉴얼BODY(집행단계-첨부폴더)v8\9.통신분야\28_자가용전기통신설비 설치신고\수행지침\자가용전기통신설비 설치신고_수행지침.html", "👉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26">
        <f>HYPERLINK(LEFT(CELL("filename",A1),FIND("[",CELL("filename",A1))-1)&amp;"매뉴얼BODY(집행단계-첨부폴더)v8\9.통신분야\28_자가용전기통신설비 설치신고\체크리스트\9000-2-28_자가용전기통신설비 설치신고_체크리스트.html", "👉 [클릭] 체크리스트 열기 📄")</f>
        <v/>
      </c>
      <c r="P30" s="61" t="n"/>
      <c r="Q30" s="66" t="inlineStr">
        <is>
          <t>● 전파법 제19조</t>
        </is>
      </c>
      <c r="R30" s="67" t="inlineStr">
        <is>
          <t>1) 👉 [더블클릭] 체크리스트 열기 📄</t>
        </is>
      </c>
      <c r="S30" s="64" t="n"/>
    </row>
    <row r="31" ht="115.2" customHeight="1" s="147">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26">
        <f>HYPERLINK(LEFT(CELL("filename",A1),FIND("[",CELL("filename",A1))-1)&amp;"매뉴얼BODY(집행단계-첨부폴더)v8\9.통신분야\29_LTE-R 무선국 허가\표준서\LTE-R 무선국 허가_표준서.html", "👉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26">
        <f>HYPERLINK(LEFT(CELL("filename",A1),FIND("[",CELL("filename",A1))-1)&amp;"매뉴얼BODY(집행단계-첨부폴더)v8\9.통신분야\29_LTE-R 무선국 허가\수행지침\LTE-R 무선국 허가_수행지침.html", "👉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26">
        <f>HYPERLINK(LEFT(CELL("filename",A1),FIND("[",CELL("filename",A1))-1)&amp;"매뉴얼BODY(집행단계-첨부폴더)v8\9.통신분야\29_LTE-R 무선국 허가\체크리스트\LTE-R 무선국 허가_체크리스트.html", "👉 [클릭] 체크리스트 열기 📄")</f>
        <v/>
      </c>
      <c r="P31" s="61" t="n"/>
      <c r="Q31" s="66" t="inlineStr">
        <is>
          <t>● 국가철도공단 표준규격(KRSA) 5007-R3 / 5008-R2</t>
        </is>
      </c>
      <c r="R31" s="67" t="inlineStr">
        <is>
          <t>1) 👉 [더블클릭] 체크리스트 열기 📄</t>
        </is>
      </c>
      <c r="S31" s="64" t="n"/>
    </row>
    <row r="32" ht="115.2" customHeight="1" s="147">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26">
        <f>HYPERLINK(LEFT(CELL("filename",A1),FIND("[",CELL("filename",A1))-1)&amp;"매뉴얼BODY(집행단계-첨부폴더)v8\9.통신분야\29_LTE-R 무선국허가\표준서\LTE-R 무선국허가_표준서.html", "👉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26">
        <f>HYPERLINK(LEFT(CELL("filename",A1),FIND("[",CELL("filename",A1))-1)&amp;"매뉴얼BODY(집행단계-첨부폴더)v8\9.통신분야\29_LTE-R 무선국허가\수행지침\LTE-R 무선국허가_수행지침.html", "👉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26">
        <f>HYPERLINK(LEFT(CELL("filename",A1),FIND("[",CELL("filename",A1))-1)&amp;"매뉴얼BODY(집행단계-첨부폴더)v8\9.통신분야\29_LTE-R 무선국허가\체크리스트\9000-2-29_LTE-R 무선국허가_체크리스트.html", "👉 [클릭] 체크리스트 열기 📄")</f>
        <v/>
      </c>
      <c r="P32" s="61" t="n"/>
      <c r="Q32" s="66" t="inlineStr">
        <is>
          <t>● 정보통신공사법 제36조</t>
        </is>
      </c>
      <c r="R32" s="67" t="inlineStr">
        <is>
          <t>1) 👉 [더블클릭] 체크리스트 열기 📄</t>
        </is>
      </c>
      <c r="S32" s="64" t="n"/>
    </row>
    <row r="33" ht="115.2" customHeight="1" s="147">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26">
        <f>HYPERLINK(LEFT(CELL("filename",A1),FIND("[",CELL("filename",A1))-1)&amp;"매뉴얼BODY(집행단계-첨부폴더)v8\9.통신분야\30_LTE-R 상호운용성 및 보안적합성 검증\표준서\LTE-R 상호운용성 및 보안적합성 검증_표준서.html", "👉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26">
        <f>HYPERLINK(LEFT(CELL("filename",A1),FIND("[",CELL("filename",A1))-1)&amp;"매뉴얼BODY(집행단계-첨부폴더)v8\9.통신분야\30_LTE-R 상호운용성 및 보안적합성 검증\수행지침\LTE-R 상호운용성 및 보안적합성 검증_수행지침.html", "👉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26">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61" t="n"/>
      <c r="Q33" s="66" t="inlineStr">
        <is>
          <t>● 전파법 제24조</t>
        </is>
      </c>
      <c r="R33" s="67" t="inlineStr">
        <is>
          <t>1) 👉 [더블클릭] 체크리스트 열기 📄</t>
        </is>
      </c>
      <c r="S33" s="64"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K2" sqref="K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47">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26">
        <f>HYPERLINK(LEFT(CELL("filename",A1),FIND("[",CELL("filename",A1))-1)&amp;"매뉴얼BODY(집행단계-첨부폴더)v8\8.전기분야\1_설계적정성 검토\표준서\설계적정성 검토_표준서.html", "👉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26">
        <f>HYPERLINK(LEFT(CELL("filename",A1),FIND("[",CELL("filename",A1))-1)&amp;"매뉴얼BODY(집행단계-첨부폴더)v8\8.전기분야\1_설계적정성 검토\수행지침\설계적정성 검토_수행지침.html", "👉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26">
        <f>HYPERLINK(LEFT(CELL("filename",A1),FIND("[",CELL("filename",A1))-1)&amp;"매뉴얼BODY(집행단계-첨부폴더)v8\8.전기분야\1_설계적정성 검토\체크리스트\설계적정성 검토_체크리스트.html", "👉 [클릭] 체크리스트 열기 📄")</f>
        <v/>
      </c>
      <c r="P2" s="10" t="n"/>
      <c r="Q2" s="71" t="n"/>
      <c r="R2" s="71" t="n"/>
      <c r="S2" s="71" t="n"/>
    </row>
    <row r="3" ht="245.4" customHeight="1" s="147">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26">
        <f>HYPERLINK(LEFT(CELL("filename",A1),FIND("[",CELL("filename",A1))-1)&amp;"매뉴얼BODY(집행단계-첨부폴더)v8\8.전기분야\2_발주전략 KOM\표준서\발주전략 KOM_표준서.html", "👉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26">
        <f>HYPERLINK(LEFT(CELL("filename",A1),FIND("[",CELL("filename",A1))-1)&amp;"매뉴얼BODY(집행단계-첨부폴더)v8\8.전기분야\2_발주전략 KOM\수행지침\발주전략 KOM_수행지침.html", "👉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26">
        <f>HYPERLINK(LEFT(CELL("filename",A1),FIND("[",CELL("filename",A1))-1)&amp;"매뉴얼BODY(집행단계-첨부폴더)v8\8.전기분야\2_발주전략 KOM\체크리스트\발주전략 KOM_체크리스트.html", "👉 [클릭] 체크리스트 열기 📄")</f>
        <v/>
      </c>
      <c r="P3" s="10" t="n"/>
      <c r="Q3" s="71" t="n"/>
      <c r="R3" s="71" t="n"/>
      <c r="S3" s="71" t="n"/>
    </row>
    <row r="4" ht="163.8" customHeight="1" s="147">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26">
        <f>HYPERLINK(LEFT(CELL("filename",A1),FIND("[",CELL("filename",A1))-1)&amp;"매뉴얼BODY(집행단계-첨부폴더)v8\8.전기분야\3_토목 _ 건축 인터페이스 협의\표준서\토목 _ 건축 인터페이스 협의_표준서.html", "👉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26">
        <f>HYPERLINK(LEFT(CELL("filename",A1),FIND("[",CELL("filename",A1))-1)&amp;"매뉴얼BODY(집행단계-첨부폴더)v8\8.전기분야\3_토목 _ 건축 인터페이스 협의\수행지침\토목 _ 건축 인터페이스 협의_수행지침.html", "👉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26">
        <f>HYPERLINK(LEFT(CELL("filename",A1),FIND("[",CELL("filename",A1))-1)&amp;"매뉴얼BODY(집행단계-첨부폴더)v8\8.전기분야\3_토목 _ 건축 인터페이스 협의\체크리스트\토목 _ 건축 인터페이스 협의_체크리스트.html", "👉 [클릭] 체크리스트 열기 📄")</f>
        <v/>
      </c>
      <c r="P4" s="10" t="n"/>
      <c r="Q4" s="71" t="n"/>
      <c r="R4" s="71" t="n"/>
      <c r="S4" s="71" t="n"/>
    </row>
    <row r="5" ht="139.2" customHeight="1" s="147">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26">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26">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26">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10" t="n"/>
      <c r="Q5" s="71" t="n"/>
      <c r="R5" s="71" t="n"/>
      <c r="S5" s="71" t="n"/>
    </row>
    <row r="6" ht="139.2" customHeight="1" s="147">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26">
        <f>HYPERLINK(LEFT(CELL("filename",A1),FIND("[",CELL("filename",A1))-1)&amp;"매뉴얼BODY(집행단계-첨부폴더)v8\8.전기분야\5_전기설비 제작사 인터페이스 협의\표준서\전기설비 제작사 인터페이스 협의_표준서.html", "👉 [클릭] 표준서 열기 📄")</f>
        <v/>
      </c>
      <c r="L6" s="70" t="inlineStr">
        <is>
          <t>전기설비(변압기, 정류기, ESS, GIS, SCADA RTU) 제작사 사양 사전 반영, 이종 제작사 간 통신 프로토콜(IEC 61850, Modbus) 핀 맵/제어 랙 치수 조율 및 제작사양서 확정</t>
        </is>
      </c>
      <c r="M6" s="126">
        <f>HYPERLINK(LEFT(CELL("filename",A1),FIND("[",CELL("filename",A1))-1)&amp;"매뉴얼BODY(집행단계-첨부폴더)v8\8.전기분야\5_전기설비 제작사 인터페이스 협의\수행지침\전기설비 제작사 인터페이스 협의_수행지침.html", "👉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26">
        <f>HYPERLINK(LEFT(CELL("filename",A1),FIND("[",CELL("filename",A1))-1)&amp;"매뉴얼BODY(집행단계-첨부폴더)v8\8.전기분야\5_전기설비 제작사 인터페이스 협의\체크리스트\전기설비 제작사 인터페이스 협의_체크리스트.html", "👉 [클릭] 체크리스트 열기 📄")</f>
        <v/>
      </c>
      <c r="P6" s="10" t="n"/>
      <c r="Q6" s="71" t="n"/>
      <c r="R6" s="71" t="n"/>
      <c r="S6" s="71" t="n"/>
    </row>
    <row r="7" ht="139.2" customHeight="1" s="147">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26">
        <f>HYPERLINK(LEFT(CELL("filename",A1),FIND("[",CELL("filename",A1))-1)&amp;"매뉴얼BODY(집행단계-첨부폴더)v8\8.전기분야\6_관제 및 운영사 인터페이스 협의\표준서\관제 및 운영사 인터페이스 협의_표준서.html", "👉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26">
        <f>HYPERLINK(LEFT(CELL("filename",A1),FIND("[",CELL("filename",A1))-1)&amp;"매뉴얼BODY(집행단계-첨부폴더)v8\8.전기분야\6_관제 및 운영사 인터페이스 협의\수행지침\관제 및 운영사 인터페이스 협의_수행지침.html", "👉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26">
        <f>HYPERLINK(LEFT(CELL("filename",A1),FIND("[",CELL("filename",A1))-1)&amp;"매뉴얼BODY(집행단계-첨부폴더)v8\8.전기분야\6_관제 및 운영사 인터페이스 협의\체크리스트\관제 및 운영사 인터페이스 협의_체크리스트.html", "👉 [클릭] 체크리스트 열기 📄")</f>
        <v/>
      </c>
      <c r="P7" s="10" t="n"/>
      <c r="Q7" s="71" t="n"/>
      <c r="R7" s="71" t="n"/>
      <c r="S7" s="71" t="n"/>
    </row>
    <row r="8" ht="139.2" customHeight="1" s="147">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26">
        <f>HYPERLINK(LEFT(CELL("filename",A1),FIND("[",CELL("filename",A1))-1)&amp;"매뉴얼BODY(집행단계-첨부폴더)v8\8.전기분야\7_발주처 품질 요구사항 검토\표준서\발주처 품질 요구사항 검토_표준서.html", "👉 [클릭] 표준서 열기 📄")</f>
        <v/>
      </c>
      <c r="L8" s="70" t="inlineStr">
        <is>
          <t>감리/감독원 품질검사(ITP/ITC) 항목 검토, Hold Point/Witness Point 입회점 구분 수립, 현장 계측기 교정성적서 관리 및 불합격 자재 48시간 내 반출 통제 수칙</t>
        </is>
      </c>
      <c r="M8" s="126">
        <f>HYPERLINK(LEFT(CELL("filename",A1),FIND("[",CELL("filename",A1))-1)&amp;"매뉴얼BODY(집행단계-첨부폴더)v8\8.전기분야\7_발주처 품질 요구사항 검토\수행지침\발주처 품질 요구사항 검토_수행지침.html", "👉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26">
        <f>HYPERLINK(LEFT(CELL("filename",A1),FIND("[",CELL("filename",A1))-1)&amp;"매뉴얼BODY(집행단계-첨부폴더)v8\8.전기분야\7_발주처 품질 요구사항 검토\체크리스트\발주처 품질 요구사항 검토_체크리스트.html", "👉 [클릭] 체크리스트 열기 📄")</f>
        <v/>
      </c>
      <c r="P8" s="10" t="n"/>
      <c r="Q8" s="71" t="n"/>
      <c r="R8" s="71" t="n"/>
      <c r="S8" s="71" t="n"/>
    </row>
    <row r="9" ht="139.2" customHeight="1" s="147">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26">
        <f>HYPERLINK(LEFT(CELL("filename",A1),FIND("[",CELL("filename",A1))-1)&amp;"매뉴얼BODY(집행단계-첨부폴더)v8\8.전기분야\8_자재 _ 인원 _ 장비 등 투입 사전 검토\표준서\자재 _ 인원 _ 장비 등 투입 사전 검토_표준서.html", "👉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26">
        <f>HYPERLINK(LEFT(CELL("filename",A1),FIND("[",CELL("filename",A1))-1)&amp;"매뉴얼BODY(집행단계-첨부폴더)v8\8.전기분야\8_자재 _ 인원 _ 장비 등 투입 사전 검토\수행지침\자재 _ 인원 _ 장비 등 투입 사전 검토_수행지침.html", "👉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26">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10" t="n"/>
      <c r="Q9" s="71" t="n"/>
      <c r="R9" s="71" t="n"/>
      <c r="S9" s="71" t="n"/>
    </row>
    <row r="10" ht="139.2" customHeight="1" s="147">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26">
        <f>HYPERLINK(LEFT(CELL("filename",A1),FIND("[",CELL("filename",A1))-1)&amp;"매뉴얼BODY(집행단계-첨부폴더)v8\8.전기분야\9_인허가 준비\표준서\인허가 준비_표준서.html", "👉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26">
        <f>HYPERLINK(LEFT(CELL("filename",A1),FIND("[",CELL("filename",A1))-1)&amp;"매뉴얼BODY(집행단계-첨부폴더)v8\8.전기분야\9_인허가 준비\수행지침\인허가 준비_수행지침.html", "👉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26">
        <f>HYPERLINK(LEFT(CELL("filename",A1),FIND("[",CELL("filename",A1))-1)&amp;"매뉴얼BODY(집행단계-첨부폴더)v8\8.전기분야\9_인허가 준비\체크리스트\인허가 준비_체크리스트.html", "👉 [클릭] 체크리스트 열기 📄")</f>
        <v/>
      </c>
      <c r="P10" s="10" t="n"/>
      <c r="Q10" s="71" t="n"/>
      <c r="R10" s="71" t="n"/>
      <c r="S10" s="71" t="n"/>
    </row>
    <row r="11" ht="226.2" customHeight="1" s="147">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26">
        <f>HYPERLINK(LEFT(CELL("filename",A1),FIND("[",CELL("filename",A1))-1)&amp;"매뉴얼BODY(집행단계-첨부폴더)v8\8.전기분야\10_착수 전 Big Room 회의\표준서\착수 전 Big Room 회의_표준서.html", "👉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26">
        <f>HYPERLINK(LEFT(CELL("filename",A1),FIND("[",CELL("filename",A1))-1)&amp;"매뉴얼BODY(집행단계-첨부폴더)v8\8.전기분야\10_착수 전 Big Room 회의\수행지침\착수 전 Big Room 회의_수행지침.html", "👉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26">
        <f>HYPERLINK(LEFT(CELL("filename",A1),FIND("[",CELL("filename",A1))-1)&amp;"매뉴얼BODY(집행단계-첨부폴더)v8\8.전기분야\10_착수 전 Big Room 회의\체크리스트\착수 전 Big Room 회의_체크리스트.html", "👉 [클릭] 체크리스트 열기 📄")</f>
        <v/>
      </c>
      <c r="P11" s="10" t="n"/>
      <c r="Q11" s="71" t="n"/>
      <c r="R11" s="71" t="n"/>
      <c r="S11" s="71" t="n"/>
    </row>
    <row r="12" ht="121.8" customHeight="1" s="147">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26">
        <f>HYPERLINK(LEFT(CELL("filename",A1),FIND("[",CELL("filename",A1))-1)&amp;"매뉴얼BODY(집행단계-첨부폴더)v8\8.전기분야\11_전기설비 제작 사양서 작성 _ 승인\표준서\전기설비 제작 사양서 작성 _ 승인_표준서.html", "👉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26">
        <f>HYPERLINK(LEFT(CELL("filename",A1),FIND("[",CELL("filename",A1))-1)&amp;"매뉴얼BODY(집행단계-첨부폴더)v8\8.전기분야\11_전기설비 제작 사양서 작성 _ 승인\수행지침\전기설비 제작 사양서 작성 _ 승인_수행지침.html", "👉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26">
        <f>HYPERLINK(LEFT(CELL("filename",A1),FIND("[",CELL("filename",A1))-1)&amp;"매뉴얼BODY(집행단계-첨부폴더)v8\8.전기분야\11_전기설비 제작 사양서 작성 _ 승인\체크리스트\전기설비 제작 사양서 작성 _ 승인_체크리스트.html", "👉 [클릭] 체크리스트 열기 📄")</f>
        <v/>
      </c>
      <c r="P12" s="10" t="n"/>
      <c r="Q12" s="71" t="n"/>
      <c r="R12" s="71" t="n"/>
      <c r="S12" s="71" t="n"/>
    </row>
    <row r="13" ht="104.4" customHeight="1" s="147">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26">
        <f>HYPERLINK(LEFT(CELL("filename",A1),FIND("[",CELL("filename",A1))-1)&amp;"매뉴얼BODY(집행단계-첨부폴더)v8\8.전기분야\12_시공 계획 수립 _ 승인\표준서\시공 계획 수립 _ 승인_표준서.html", "👉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26">
        <f>HYPERLINK(LEFT(CELL("filename",A1),FIND("[",CELL("filename",A1))-1)&amp;"매뉴얼BODY(집행단계-첨부폴더)v8\8.전기분야\12_시공 계획 수립 _ 승인\수행지침\시공 계획 수립 _ 승인_수행지침.html", "👉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26">
        <f>HYPERLINK(LEFT(CELL("filename",A1),FIND("[",CELL("filename",A1))-1)&amp;"매뉴얼BODY(집행단계-첨부폴더)v8\8.전기분야\12_시공 계획 수립 _ 승인\체크리스트\시공 계획 수립 _ 승인_체크리스트.html", "👉 [클릭] 체크리스트 열기 📄")</f>
        <v/>
      </c>
      <c r="P13" s="10" t="n"/>
      <c r="Q13" s="71" t="n"/>
      <c r="R13" s="71" t="n"/>
      <c r="S13" s="71" t="n"/>
    </row>
    <row r="14" ht="69.59999999999999" customHeight="1" s="147">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26">
        <f>HYPERLINK(LEFT(CELL("filename",A1),FIND("[",CELL("filename",A1))-1)&amp;"매뉴얼BODY(집행단계-첨부폴더)v8\8.전기분야\13_자재공급원_기자재 제작도서 승인\표준서\자재공급원_기자재 제작도서 승인_표준서.html", "👉 [클릭] 표준서 열기 📄")</f>
        <v/>
      </c>
      <c r="L14" s="70" t="inlineStr">
        <is>
          <t>전기자재 공급원 자격 검증(KS/KC 인증, 공장등록증, 납품실적), 제조사 시험성적서 대조 및 공장 제작 승인도면(Shop Drawing) 감리단 적격 승인 수검</t>
        </is>
      </c>
      <c r="M14" s="126">
        <f>HYPERLINK(LEFT(CELL("filename",A1),FIND("[",CELL("filename",A1))-1)&amp;"매뉴얼BODY(집행단계-첨부폴더)v8\8.전기분야\13_자재공급원_기자재 제작도서 승인\수행지침\자재공급원_기자재 제작도서 승인_수행지침.html", "👉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26">
        <f>HYPERLINK(LEFT(CELL("filename",A1),FIND("[",CELL("filename",A1))-1)&amp;"매뉴얼BODY(집행단계-첨부폴더)v8\8.전기분야\13_자재공급원_기자재 제작도서 승인\체크리스트\자재공급원_기자재 제작도서 승인_체크리스트.html", "👉 [클릭] 체크리스트 열기 📄")</f>
        <v/>
      </c>
      <c r="P14" s="10" t="n"/>
      <c r="Q14" s="71" t="n"/>
      <c r="R14" s="71" t="n"/>
      <c r="S14" s="71" t="n"/>
    </row>
    <row r="15" ht="191.4" customHeight="1" s="147">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26">
        <f>HYPERLINK(LEFT(CELL("filename",A1),FIND("[",CELL("filename",A1))-1)&amp;"매뉴얼BODY(집행단계-첨부폴더)v8\8.전기분야\14_전기설비 공정제작 _ 제작사 공장검사\표준서\전기설비 공정제작 _ 제작사 공장검사_표준서.html", "👉 [클릭] 표준서 열기 📄")</f>
        <v/>
      </c>
      <c r="L15" s="70" t="inlineStr">
        <is>
          <t>정류기, 변압기, ESS, GIS, SCADA 제작사 공장 공정 제작 관리 및 감리단/발주처 입회 공장시험(FAT: Factory Acceptance Test) 수행과 시험성적서 승인 완수</t>
        </is>
      </c>
      <c r="M15" s="126">
        <f>HYPERLINK(LEFT(CELL("filename",A1),FIND("[",CELL("filename",A1))-1)&amp;"매뉴얼BODY(집행단계-첨부폴더)v8\8.전기분야\14_전기설비 공정제작 _ 제작사 공장검사\수행지침\전기설비 공정제작 _ 제작사 공장검사_수행지침.html", "👉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26">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10" t="n"/>
      <c r="Q15" s="71" t="n"/>
      <c r="R15" s="71" t="n"/>
      <c r="S15" s="71" t="n"/>
    </row>
    <row r="16" ht="69.59999999999999" customHeight="1" s="147">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26">
        <f>HYPERLINK(LEFT(CELL("filename",A1),FIND("[",CELL("filename",A1))-1)&amp;"매뉴얼BODY(집행단계-첨부폴더)v8\8.전기분야\15_본공사 전 선행공정 인수인계 점검\표준서\본공사 전 선행공정 인수인계 점검_표준서.html", "👉 [클릭] 표준서 열기 📄")</f>
        <v/>
      </c>
      <c r="L16" s="70" t="inlineStr">
        <is>
          <t>토목, 노반(궤도), 건축 선행 공정 완성도 실측, 변전실/개구부/공동구 간섭 점검, 자재 반입구 및 반입 동선 인수인계 합동 점검 수행</t>
        </is>
      </c>
      <c r="M16" s="126">
        <f>HYPERLINK(LEFT(CELL("filename",A1),FIND("[",CELL("filename",A1))-1)&amp;"매뉴얼BODY(집행단계-첨부폴더)v8\8.전기분야\15_본공사 전 선행공정 인수인계 점검\수행지침\본공사 전 선행공정 인수인계 점검_수행지침.html", "👉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26">
        <f>HYPERLINK(LEFT(CELL("filename",A1),FIND("[",CELL("filename",A1))-1)&amp;"매뉴얼BODY(집행단계-첨부폴더)v8\8.전기분야\15_본공사 전 선행공정 인수인계 점검\체크리스트\본공사 전 선행공정 인수인계 점검_체크리스트.html", "👉 [클릭] 체크리스트 열기 📄")</f>
        <v/>
      </c>
      <c r="P16" s="10" t="n"/>
      <c r="Q16" s="71" t="n"/>
      <c r="R16" s="71" t="n"/>
      <c r="S16" s="71" t="n"/>
    </row>
    <row r="17" ht="69.59999999999999" customHeight="1" s="147">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26">
        <f>HYPERLINK(LEFT(CELL("filename",A1),FIND("[",CELL("filename",A1))-1)&amp;"매뉴얼BODY(집행단계-첨부폴더)v8\8.전기분야\16_장비반입 및 안전교육\표준서\장비반입 및 안전교육_표준서.html", "👉 [클릭] 표준서 열기 📄")</f>
        <v/>
      </c>
      <c r="L17" s="70" t="inlineStr">
        <is>
          <t>고소작업차, 케이블 포설차, 활선 작업 장비 현장 반입 동선/적치장 확인, 장비 Spec 및 안전검사필증 점검, 작업원 특별안전교육 실시</t>
        </is>
      </c>
      <c r="M17" s="126">
        <f>HYPERLINK(LEFT(CELL("filename",A1),FIND("[",CELL("filename",A1))-1)&amp;"매뉴얼BODY(집행단계-첨부폴더)v8\8.전기분야\16_장비반입 및 안전교육\수행지침\장비반입 및 안전교육_수행지침.html", "👉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26">
        <f>HYPERLINK(LEFT(CELL("filename",A1),FIND("[",CELL("filename",A1))-1)&amp;"매뉴얼BODY(집행단계-첨부폴더)v8\8.전기분야\16_장비반입 및 안전교육\체크리스트\장비반입 및 안전교육_체크리스트.html", "👉 [클릭] 체크리스트 열기 📄")</f>
        <v/>
      </c>
      <c r="P17" s="10" t="n"/>
      <c r="Q17" s="71" t="n"/>
      <c r="R17" s="71" t="n"/>
      <c r="S17" s="71" t="n"/>
    </row>
    <row r="18" ht="69.59999999999999" customHeight="1" s="147">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26">
        <f>HYPERLINK(LEFT(CELL("filename",A1),FIND("[",CELL("filename",A1))-1)&amp;"매뉴얼BODY(집행단계-첨부폴더)v8\8.전기분야\17_자재 반입 및 검수\표준서\자재 반입 및 검수_표준서.html", "👉 [클릭] 표준서 열기 📄")</f>
        <v/>
      </c>
      <c r="L18" s="70" t="inlineStr">
        <is>
          <t>전기자재 현장 반입 하차 위치/동선 통제, 승인된 자재공급원 일치 여부(Serial No., Serial Tag) 검수, 도면 규격 및 수량 1:1 대조 확인</t>
        </is>
      </c>
      <c r="M18" s="126">
        <f>HYPERLINK(LEFT(CELL("filename",A1),FIND("[",CELL("filename",A1))-1)&amp;"매뉴얼BODY(집행단계-첨부폴더)v8\8.전기분야\17_자재 반입 및 검수\수행지침\자재 반입 및 검수_수행지침.html", "👉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26">
        <f>HYPERLINK(LEFT(CELL("filename",A1),FIND("[",CELL("filename",A1))-1)&amp;"매뉴얼BODY(집행단계-첨부폴더)v8\8.전기분야\17_자재 반입 및 검수\체크리스트\자재 반입 및 검수_체크리스트.html", "👉 [클릭] 체크리스트 열기 📄")</f>
        <v/>
      </c>
      <c r="P18" s="10" t="n"/>
      <c r="Q18" s="71" t="n"/>
      <c r="R18" s="71" t="n"/>
      <c r="S18" s="71" t="n"/>
    </row>
    <row r="19" ht="69.59999999999999" customHeight="1" s="147">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26">
        <f>HYPERLINK(LEFT(CELL("filename",A1),FIND("[",CELL("filename",A1))-1)&amp;"매뉴얼BODY(집행단계-첨부폴더)v8\8.전기분야\18_전철전력설비 반입 및 설치\표준서\전철전력설비 반입 및 설치_표준서.html", "👉 [클릭] 표준서 열기 📄")</f>
        <v/>
      </c>
      <c r="L19" s="70" t="inlineStr">
        <is>
          <t>변전소 수배전반, 정류기, ESS, 특고압반 및 정거장 전기실 기기 반입/설치, 시공 샘플 감리 협의 후 시험시공 및 도면 일치성 최종 검측</t>
        </is>
      </c>
      <c r="M19" s="126">
        <f>HYPERLINK(LEFT(CELL("filename",A1),FIND("[",CELL("filename",A1))-1)&amp;"매뉴얼BODY(집행단계-첨부폴더)v8\8.전기분야\18_전철전력설비 반입 및 설치\수행지침\전철전력설비 반입 및 설치_수행지침.html", "👉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26">
        <f>HYPERLINK(LEFT(CELL("filename",A1),FIND("[",CELL("filename",A1))-1)&amp;"매뉴얼BODY(집행단계-첨부폴더)v8\8.전기분야\18_전철전력설비 반입 및 설치\체크리스트\전철전력설비 반입 및 설치_체크리스트.html", "👉 [클릭] 체크리스트 열기 📄")</f>
        <v/>
      </c>
      <c r="P19" s="10" t="n"/>
      <c r="Q19" s="71" t="n"/>
      <c r="R19" s="71" t="n"/>
      <c r="S19" s="71" t="n"/>
    </row>
    <row r="20" ht="69.59999999999999" customHeight="1" s="147">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26">
        <f>HYPERLINK(LEFT(CELL("filename",A1),FIND("[",CELL("filename",A1))-1)&amp;"매뉴얼BODY(집행단계-첨부폴더)v8\8.전기분야\19_수전용 케이블 트레이 및 케이블 포설\표준서\수전용 케이블 트레이 및 케이블 포설_표준서.html", "👉 [클릭] 표준서 열기 📄")</f>
        <v/>
      </c>
      <c r="L20" s="70" t="inlineStr">
        <is>
          <t>한전 책임분계점으로부터 수전 전기실까지 케이블 트레이 수평/수직 고정 설치, 특고압 케이블 포설 및 단말 접속, 절연저항/내전압 시험 완수</t>
        </is>
      </c>
      <c r="M20" s="126">
        <f>HYPERLINK(LEFT(CELL("filename",A1),FIND("[",CELL("filename",A1))-1)&amp;"매뉴얼BODY(집행단계-첨부폴더)v8\8.전기분야\19_수전용 케이블 트레이 및 케이블 포설\수행지침\수전용 케이블 트레이 및 케이블 포설_수행지침.html", "👉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26">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10" t="n"/>
      <c r="Q20" s="71" t="n"/>
      <c r="R20" s="71" t="n"/>
      <c r="S20" s="71" t="n"/>
    </row>
    <row r="21" ht="69.59999999999999" customHeight="1" s="147">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26">
        <f>HYPERLINK(LEFT(CELL("filename",A1),FIND("[",CELL("filename",A1))-1)&amp;"매뉴얼BODY(집행단계-첨부폴더)v8\8.전기분야\20_수전 및 전기공급(급전)\표준서\수전 및 전기공급(급전)_표준서.html", "👉 [클릭] 표준서 열기 📄")</f>
        <v/>
      </c>
      <c r="L21" s="70" t="inlineStr">
        <is>
          <t>KESC 사용전검사 합격증 수령, 전기가압계획 수립 및 한전 가입 요청, 수전 전 기기별 자체시험 수행 후 통신/신호/기계 공종별 단계적 전기공급(급전) 시행</t>
        </is>
      </c>
      <c r="M21" s="126">
        <f>HYPERLINK(LEFT(CELL("filename",A1),FIND("[",CELL("filename",A1))-1)&amp;"매뉴얼BODY(집행단계-첨부폴더)v8\8.전기분야\20_수전 및 전기공급(급전)\수행지침\수전 및 전기공급(급전)_수행지침.html", "👉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26">
        <f>HYPERLINK(LEFT(CELL("filename",A1),FIND("[",CELL("filename",A1))-1)&amp;"매뉴얼BODY(집행단계-첨부폴더)v8\8.전기분야\20_수전 및 전기공급(급전)\체크리스트\수전 및 전기공급(급전)_체크리스트.html", "👉 [클릭] 체크리스트 열기 📄")</f>
        <v/>
      </c>
      <c r="P21" s="10" t="n"/>
      <c r="Q21" s="71" t="n"/>
      <c r="R21" s="71" t="n"/>
      <c r="S21" s="71" t="n"/>
    </row>
    <row r="22" ht="69.59999999999999" customHeight="1" s="147">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26">
        <f>HYPERLINK(LEFT(CELL("filename",A1),FIND("[",CELL("filename",A1))-1)&amp;"매뉴얼BODY(집행단계-첨부폴더)v8\8.전기분야\21_종합연동시험(SCADA) 실시\표준서\종합연동시험(SCADA) 실시_표준서.html", "👉 [클릭] 표준서 열기 📄")</f>
        <v/>
      </c>
      <c r="L22" s="70" t="inlineStr">
        <is>
          <t>책임감리단 입회하에 트램관제실(OCC)과 현장 변전소/정류기/ESS 기기 간 SCADA 원격 감시/제어/계측(DI/DO/AI/AO) 종합연동시험 수행 및 검측 승인</t>
        </is>
      </c>
      <c r="M22" s="126">
        <f>HYPERLINK(LEFT(CELL("filename",A1),FIND("[",CELL("filename",A1))-1)&amp;"매뉴얼BODY(집행단계-첨부폴더)v8\8.전기분야\21_종합연동시험(SCADA) 실시\수행지침\종합연동시험(SCADA) 실시_수행지침.html", "👉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26">
        <f>HYPERLINK(LEFT(CELL("filename",A1),FIND("[",CELL("filename",A1))-1)&amp;"매뉴얼BODY(집행단계-첨부폴더)v8\8.전기분야\21_종합연동시험(SCADA) 실시\체크리스트\종합연동시험(SCADA) 실시_체크리스트.html", "👉 [클릭] 체크리스트 열기 📄")</f>
        <v/>
      </c>
      <c r="P22" s="10" t="n"/>
      <c r="Q22" s="71" t="n"/>
      <c r="R22" s="71" t="n"/>
      <c r="S22" s="71" t="n"/>
    </row>
    <row r="23" ht="69.59999999999999" customHeight="1" s="147">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26">
        <f>HYPERLINK(LEFT(CELL("filename",A1),FIND("[",CELL("filename",A1))-1)&amp;"매뉴얼BODY(집행단계-첨부폴더)v8\8.전기분야\22_공종별 시험\표준서\공종별 시험_표준서.html", "👉 [클릭] 표준서 열기 📄")</f>
        <v/>
      </c>
      <c r="L23" s="70" t="inlineStr">
        <is>
          <t>철도종합시험운행 시행지침 제6조(공종별시험)에 의거하여 변전, 전차선, 전력 설비 공종별 절연, 보호계전기, 통전 시험을 정밀 수행하고 보고서 승인</t>
        </is>
      </c>
      <c r="M23" s="126">
        <f>HYPERLINK(LEFT(CELL("filename",A1),FIND("[",CELL("filename",A1))-1)&amp;"매뉴얼BODY(집행단계-첨부폴더)v8\8.전기분야\22_공종별 시험\수행지침\공종별 시험_수행지침.html", "👉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26">
        <f>HYPERLINK(LEFT(CELL("filename",A1),FIND("[",CELL("filename",A1))-1)&amp;"매뉴얼BODY(집행단계-첨부폴더)v8\8.전기분야\22_공종별 시험\체크리스트\공종별 시험_체크리스트.html", "👉 [클릭] 체크리스트 열기 📄")</f>
        <v/>
      </c>
      <c r="P23" s="10" t="n"/>
      <c r="Q23" s="71" t="n"/>
      <c r="R23" s="71" t="n"/>
      <c r="S23" s="71" t="n"/>
    </row>
    <row r="24" ht="69.59999999999999" customHeight="1" s="147">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26">
        <f>HYPERLINK(LEFT(CELL("filename",A1),FIND("[",CELL("filename",A1))-1)&amp;"매뉴얼BODY(집행단계-첨부폴더)v8\8.전기분야\23_차량 투입 전 점검\표준서\차량 투입 전 점검_표준서.html", "👉 [클릭] 표준서 열기 📄")</f>
        <v/>
      </c>
      <c r="L24" s="70" t="inlineStr">
        <is>
          <t>노반/궤도 시공상태 점검, 트램 건축한계(폭 3,600mm) 검사, 전차선 750V DC 가압, 차량충전설비, 신호/통신 작동상태 합동 사전 점검 완수</t>
        </is>
      </c>
      <c r="M24" s="126">
        <f>HYPERLINK(LEFT(CELL("filename",A1),FIND("[",CELL("filename",A1))-1)&amp;"매뉴얼BODY(집행단계-첨부폴더)v8\8.전기분야\23_차량 투입 전 점검\수행지침\차량 투입 전 점검_수행지침.html", "👉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26">
        <f>HYPERLINK(LEFT(CELL("filename",A1),FIND("[",CELL("filename",A1))-1)&amp;"매뉴얼BODY(집행단계-첨부폴더)v8\8.전기분야\23_차량 투입 전 점검\체크리스트\차량 투입 전 점검_체크리스트.html", "👉 [클릭] 체크리스트 열기 📄")</f>
        <v/>
      </c>
      <c r="P24" s="10" t="n"/>
      <c r="Q24" s="71" t="n"/>
      <c r="R24" s="71" t="n"/>
      <c r="S24" s="71" t="n"/>
    </row>
    <row r="25" ht="69.59999999999999" customHeight="1" s="147">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26">
        <f>HYPERLINK(LEFT(CELL("filename",A1),FIND("[",CELL("filename",A1))-1)&amp;"매뉴얼BODY(집행단계-첨부폴더)v8\8.전기분야\24_차량 시운전\표준서\차량 시운전_표준서.html", "👉 [클릭] 표준서 열기 📄")</f>
        <v/>
      </c>
      <c r="L25" s="70" t="inlineStr">
        <is>
          <t>철도안전법 제26조(철도차량 형식승인)에 의거하여 본선 구간 트램 차량, 전차선 전력, 신호, 통신 시스템 간 인터페이스 시험 및 동력 성능 시운전 수행</t>
        </is>
      </c>
      <c r="M25" s="126">
        <f>HYPERLINK(LEFT(CELL("filename",A1),FIND("[",CELL("filename",A1))-1)&amp;"매뉴얼BODY(집행단계-첨부폴더)v8\8.전기분야\24_차량 시운전\수행지침\차량 시운전_수행지침.html", "👉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26">
        <f>HYPERLINK(LEFT(CELL("filename",A1),FIND("[",CELL("filename",A1))-1)&amp;"매뉴얼BODY(집행단계-첨부폴더)v8\8.전기분야\24_차량 시운전\체크리스트\차량 시운전_체크리스트.html", "👉 [클릭] 체크리스트 열기 📄")</f>
        <v/>
      </c>
      <c r="P25" s="10" t="n"/>
      <c r="Q25" s="71" t="n"/>
      <c r="R25" s="71" t="n"/>
      <c r="S25" s="71" t="n"/>
    </row>
    <row r="26" ht="69.59999999999999" customHeight="1" s="147">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26">
        <f>HYPERLINK(LEFT(CELL("filename",A1),FIND("[",CELL("filename",A1))-1)&amp;"매뉴얼BODY(집행단계-첨부폴더)v8\8.전기분야\25_운영자 교육시행\표준서\운영자 교육시행_표준서.html", "👉 [클릭] 표준서 열기 📄")</f>
        <v/>
      </c>
      <c r="L26" s="70" t="inlineStr">
        <is>
          <t>전기설비(변전, 전차선, SCADA, ESS) 제작사 취급 설명 매뉴얼 기반 운영사 및 관제 유지보수자 대상 이론/실습 교육 시행 및 교육 이수증 교부</t>
        </is>
      </c>
      <c r="M26" s="126">
        <f>HYPERLINK(LEFT(CELL("filename",A1),FIND("[",CELL("filename",A1))-1)&amp;"매뉴얼BODY(집행단계-첨부폴더)v8\8.전기분야\25_운영자 교육시행\수행지침\운영자 교육시행_수행지침.html", "👉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26">
        <f>HYPERLINK(LEFT(CELL("filename",A1),FIND("[",CELL("filename",A1))-1)&amp;"매뉴얼BODY(집행단계-첨부폴더)v8\8.전기분야\25_운영자 교육시행\체크리스트\운영자 교육시행_체크리스트.html", "👉 [클릭] 체크리스트 열기 📄")</f>
        <v/>
      </c>
      <c r="P26" s="10" t="n"/>
      <c r="Q26" s="71" t="n"/>
      <c r="R26" s="71" t="n"/>
      <c r="S26" s="71" t="n"/>
    </row>
    <row r="27" ht="87" customHeight="1" s="147">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26">
        <f>HYPERLINK(LEFT(CELL("filename",A1),FIND("[",CELL("filename",A1))-1)&amp;"매뉴얼BODY(집행단계-첨부폴더)v8\8.전기분야\26_사전점검\표준서\사전점검_표준서.html", "👉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26">
        <f>HYPERLINK(LEFT(CELL("filename",A1),FIND("[",CELL("filename",A1))-1)&amp;"매뉴얼BODY(집행단계-첨부폴더)v8\8.전기분야\26_사전점검\수행지침\사전점검_수행지침.html", "👉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26">
        <f>HYPERLINK(LEFT(CELL("filename",A1),FIND("[",CELL("filename",A1))-1)&amp;"매뉴얼BODY(집행단계-첨부폴더)v8\8.전기분야\26_사전점검\체크리스트\사전점검_체크리스트.html", "👉 [클릭] 체크리스트 열기 📄")</f>
        <v/>
      </c>
      <c r="P27" s="10" t="n"/>
      <c r="Q27" s="71" t="n"/>
      <c r="R27" s="71" t="n"/>
      <c r="S27" s="71" t="n"/>
    </row>
    <row r="28" ht="139.2" customHeight="1" s="147">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26">
        <f>HYPERLINK(LEFT(CELL("filename",A1),FIND("[",CELL("filename",A1))-1)&amp;"매뉴얼BODY(집행단계-첨부폴더)v8\8.전기분야\27_시설물 검증시험\표준서\시설물 검증시험_표준서.html", "👉 [클릭] 표준서 열기 📄")</f>
        <v/>
      </c>
      <c r="L28" s="70" t="inlineStr">
        <is>
          <t>철도종합시험운행 시행지침 제12조/제13조에 의거 시설물검증시험계획 전문기관 승인, 시설물 정상작동, 안전상태, 차량 운행 적합성 검증 후 7일 내 공단 제출</t>
        </is>
      </c>
      <c r="M28" s="126">
        <f>HYPERLINK(LEFT(CELL("filename",A1),FIND("[",CELL("filename",A1))-1)&amp;"매뉴얼BODY(집행단계-첨부폴더)v8\8.전기분야\27_시설물 검증시험\수행지침\시설물 검증시험_수행지침.html", "👉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26">
        <f>HYPERLINK(LEFT(CELL("filename",A1),FIND("[",CELL("filename",A1))-1)&amp;"매뉴얼BODY(집행단계-첨부폴더)v8\8.전기분야\27_시설물 검증시험\체크리스트\시설물 검증시험_체크리스트.html", "👉 [클릭] 체크리스트 열기 📄")</f>
        <v/>
      </c>
      <c r="P28" s="10" t="n"/>
      <c r="Q28" s="71" t="n"/>
      <c r="R28" s="71" t="n"/>
      <c r="S28" s="71" t="n"/>
    </row>
    <row r="29" ht="159.6" customHeight="1" s="147">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26">
        <f>HYPERLINK(LEFT(CELL("filename",A1),FIND("[",CELL("filename",A1))-1)&amp;"매뉴얼BODY(집행단계-첨부폴더)v8\8.전기분야\28_영업시운전\표준서\영업시운전_표준서.html", "👉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26">
        <f>HYPERLINK(LEFT(CELL("filename",A1),FIND("[",CELL("filename",A1))-1)&amp;"매뉴얼BODY(집행단계-첨부폴더)v8\8.전기분야\28_영업시운전\수행지침\영업시운전_수행지침.html", "👉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26">
        <f>HYPERLINK(LEFT(CELL("filename",A1),FIND("[",CELL("filename",A1))-1)&amp;"매뉴얼BODY(집행단계-첨부폴더)v8\8.전기분야\28_영업시운전\체크리스트\영업시운전_체크리스트.html", "👉 [클릭] 체크리스트 열기 📄")</f>
        <v/>
      </c>
      <c r="P29" s="10" t="n"/>
      <c r="Q29" s="71" t="n"/>
      <c r="R29" s="71" t="n"/>
      <c r="S29" s="71" t="n"/>
    </row>
    <row r="30" ht="69.59999999999999" customHeight="1" s="147">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26">
        <f>HYPERLINK(LEFT(CELL("filename",A1),FIND("[",CELL("filename",A1))-1)&amp;"매뉴얼BODY(집행단계-첨부폴더)v8\8.전기분야\29_전기 사용신청\표준서\전기 사용신청_표준서.html", "👉 [클릭] 표준서 열기 📄")</f>
        <v/>
      </c>
      <c r="L30" s="70" t="inlineStr">
        <is>
          <t>관할 한국전력공사에 전기사용신청서, 건축허가서, 수전 도면 및 위임장 제출 수속(소요 기간 약 1개월 관리) 및 수전 합의 완수</t>
        </is>
      </c>
      <c r="M30" s="126">
        <f>HYPERLINK(LEFT(CELL("filename",A1),FIND("[",CELL("filename",A1))-1)&amp;"매뉴얼BODY(집행단계-첨부폴더)v8\8.전기분야\29_전기 사용신청\수행지침\전기 사용신청_수행지침.html", "👉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26">
        <f>HYPERLINK(LEFT(CELL("filename",A1),FIND("[",CELL("filename",A1))-1)&amp;"매뉴얼BODY(집행단계-첨부폴더)v8\8.전기분야\29_전기 사용신청\체크리스트\전기 사용신청_체크리스트.html", "👉 [클릭] 체크리스트 열기 📄")</f>
        <v/>
      </c>
      <c r="P30" s="10" t="n"/>
      <c r="Q30" s="71" t="n"/>
      <c r="R30" s="71" t="n"/>
      <c r="S30" s="71" t="n"/>
    </row>
    <row r="31" ht="69.59999999999999" customHeight="1" s="147">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26">
        <f>HYPERLINK(LEFT(CELL("filename",A1),FIND("[",CELL("filename",A1))-1)&amp;"매뉴얼BODY(집행단계-첨부폴더)v8\8.전기분야\30_공사계획신고\표준서\공사계획신고_표준서.html", "👉 [클릭] 표준서 열기 📄")</f>
        <v/>
      </c>
      <c r="L31" s="70" t="inlineStr">
        <is>
          <t>관할 한국전기안전공사에 전기 공사 착수 전 공사계획서, 기술자 자격증, 감리원 배치서 및 도면 제출 수속 완료</t>
        </is>
      </c>
      <c r="M31" s="126">
        <f>HYPERLINK(LEFT(CELL("filename",A1),FIND("[",CELL("filename",A1))-1)&amp;"매뉴얼BODY(집행단계-첨부폴더)v8\8.전기분야\30_공사계획신고\수행지침\공사계획신고_수행지침.html", "👉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26">
        <f>HYPERLINK(LEFT(CELL("filename",A1),FIND("[",CELL("filename",A1))-1)&amp;"매뉴얼BODY(집행단계-첨부폴더)v8\8.전기분야\30_공사계획신고\체크리스트\공사계획신고_체크리스트.html", "👉 [클릭] 체크리스트 열기 📄")</f>
        <v/>
      </c>
      <c r="P31" s="10" t="n"/>
      <c r="Q31" s="71" t="n"/>
      <c r="R31" s="71" t="n"/>
      <c r="S31" s="71" t="n"/>
    </row>
    <row r="32" ht="69.59999999999999" customHeight="1" s="147">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26">
        <f>HYPERLINK(LEFT(CELL("filename",A1),FIND("[",CELL("filename",A1))-1)&amp;"매뉴얼BODY(집행단계-첨부폴더)v8\8.전기분야\31_전차선로 적합성 검증\표준서\전차선로 적합성 검증_표준서.html", "👉 [클릭] 표준서 열기 📄")</f>
        <v/>
      </c>
      <c r="L32" s="70" t="inlineStr">
        <is>
          <t>한국전기철도기술협회에 차량 시운전 전까지 수량조서, 시공도면 및 시험성적서 제출(처리기간 15일)하여 적합성 검증 승인 완수</t>
        </is>
      </c>
      <c r="M32" s="126">
        <f>HYPERLINK(LEFT(CELL("filename",A1),FIND("[",CELL("filename",A1))-1)&amp;"매뉴얼BODY(집행단계-첨부폴더)v8\8.전기분야\31_전차선로 적합성 검증\수행지침\전차선로 적합성 검증_수행지침.html", "👉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26">
        <f>HYPERLINK(LEFT(CELL("filename",A1),FIND("[",CELL("filename",A1))-1)&amp;"매뉴얼BODY(집행단계-첨부폴더)v8\8.전기분야\31_전차선로 적합성 검증\체크리스트\전차선로 적합성 검증_체크리스트.html", "👉 [클릭] 체크리스트 열기 📄")</f>
        <v/>
      </c>
      <c r="P32" s="10" t="n"/>
      <c r="Q32" s="71" t="n"/>
      <c r="R32" s="71" t="n"/>
      <c r="S32" s="71" t="n"/>
    </row>
    <row r="33" ht="268.2" customHeight="1" s="147">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26">
        <f>HYPERLINK(LEFT(CELL("filename",A1),FIND("[",CELL("filename",A1))-1)&amp;"매뉴얼BODY(집행단계-첨부폴더)v8\8.전기분야\32_전기 사용전검사 (전력_전차선_송변전)\표준서\전기 사용전검사 (전력_전차선_송변전)_표준서.html", "👉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26">
        <f>HYPERLINK(LEFT(CELL("filename",A1),FIND("[",CELL("filename",A1))-1)&amp;"매뉴얼BODY(집행단계-첨부폴더)v8\8.전기분야\32_전기 사용전검사 (전력_전차선_송변전)\수행지침\전기 사용전검사 (전력_전차선_송변전)_수행지침.html", "👉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26">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10" t="n"/>
      <c r="Q33" s="71" t="n"/>
      <c r="R33" s="71" t="n"/>
      <c r="S33" s="71"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V37"/>
  <sheetViews>
    <sheetView showGridLines="1" workbookViewId="0">
      <selection activeCell="A1" sqref="A1"/>
    </sheetView>
  </sheetViews>
  <sheetFormatPr baseColWidth="8" defaultRowHeight="15"/>
  <cols>
    <col width="10" customWidth="1" style="147" min="1" max="1"/>
    <col width="10" customWidth="1" style="147" min="2" max="2"/>
    <col width="16" customWidth="1" style="147" min="3" max="3"/>
    <col width="12" customWidth="1" style="147" min="4" max="4"/>
    <col width="10" customWidth="1" style="147" min="5" max="5"/>
    <col width="10" customWidth="1" style="147" min="6" max="6"/>
    <col width="28" customWidth="1" style="147" min="7" max="7"/>
    <col width="12" customWidth="1" style="147" min="8" max="8"/>
    <col width="12" customWidth="1" style="147" min="9" max="9"/>
    <col width="36" customWidth="1" style="147" min="10" max="10"/>
    <col width="32" customWidth="1" style="147" min="11" max="11"/>
    <col width="28"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 width="32" customWidth="1" style="147" min="20" max="20"/>
    <col width="24" customWidth="1" style="147" min="21" max="21"/>
    <col width="30" customWidth="1" style="147" min="22" max="22"/>
  </cols>
  <sheetData>
    <row r="1" ht="28" customHeight="1" s="147">
      <c r="A1" s="152" t="inlineStr">
        <is>
          <t>L2 코드</t>
        </is>
      </c>
      <c r="B1" s="152" t="inlineStr">
        <is>
          <t>L3 코드</t>
        </is>
      </c>
      <c r="C1" s="152" t="inlineStr">
        <is>
          <t>L3 대공종명</t>
        </is>
      </c>
      <c r="D1" s="152" t="inlineStr">
        <is>
          <t>L4 코드</t>
        </is>
      </c>
      <c r="E1" s="152" t="inlineStr">
        <is>
          <t>선행</t>
        </is>
      </c>
      <c r="F1" s="152" t="inlineStr">
        <is>
          <t>후행</t>
        </is>
      </c>
      <c r="G1" s="152" t="inlineStr">
        <is>
          <t>작업단위 (Level 4 Task/Activity)</t>
        </is>
      </c>
      <c r="H1" s="152" t="inlineStr">
        <is>
          <t>일정 (D-Day)</t>
        </is>
      </c>
      <c r="I1" s="152" t="inlineStr">
        <is>
          <t>주관</t>
        </is>
      </c>
      <c r="J1" s="152" t="inlineStr">
        <is>
          <t>목적</t>
        </is>
      </c>
      <c r="K1" s="152" t="inlineStr">
        <is>
          <t>방법</t>
        </is>
      </c>
      <c r="L1" s="152" t="inlineStr">
        <is>
          <t>산출물(결과)</t>
        </is>
      </c>
      <c r="M1" s="152" t="inlineStr">
        <is>
          <t>표준서 (Standard) 요약</t>
        </is>
      </c>
      <c r="N1" s="152" t="inlineStr">
        <is>
          <t>표준서 파일 (HTML)</t>
        </is>
      </c>
      <c r="O1" s="152" t="inlineStr">
        <is>
          <t>수행지침 (Guideline) 요약</t>
        </is>
      </c>
      <c r="P1" s="152" t="inlineStr">
        <is>
          <t>수행지침 파일 (HTML)</t>
        </is>
      </c>
      <c r="Q1" s="152" t="inlineStr">
        <is>
          <t>체크리스트 (Checklist) 요약</t>
        </is>
      </c>
      <c r="R1" s="152" t="inlineStr">
        <is>
          <t>체크리스트 파일 (HTML)</t>
        </is>
      </c>
      <c r="S1" s="152" t="inlineStr">
        <is>
          <t>비고</t>
        </is>
      </c>
      <c r="T1" s="152" t="inlineStr">
        <is>
          <t>첨부서류 연계 상세 설계기준</t>
        </is>
      </c>
      <c r="U1" s="152" t="inlineStr">
        <is>
          <t>집행단계 리스크 체크리스트</t>
        </is>
      </c>
      <c r="V1" s="152" t="inlineStr">
        <is>
          <t>협력사 시공/공사관리 자문</t>
        </is>
      </c>
    </row>
    <row r="2" ht="36" customHeight="1" s="147">
      <c r="A2" s="153" t="inlineStr">
        <is>
          <t>9000</t>
        </is>
      </c>
      <c r="B2" s="153" t="inlineStr">
        <is>
          <t>9000-8</t>
        </is>
      </c>
      <c r="C2" s="153" t="inlineStr">
        <is>
          <t>기계설비·소방설비</t>
        </is>
      </c>
      <c r="D2" s="153" t="inlineStr">
        <is>
          <t>9000-8-1</t>
        </is>
      </c>
      <c r="E2" s="154" t="inlineStr">
        <is>
          <t>-</t>
        </is>
      </c>
      <c r="F2" s="154" t="inlineStr">
        <is>
          <t>9000-8-2</t>
        </is>
      </c>
      <c r="G2" s="155" t="inlineStr">
        <is>
          <t>설계 적정성 검토</t>
        </is>
      </c>
      <c r="H2" s="154" t="inlineStr">
        <is>
          <t>D-117</t>
        </is>
      </c>
      <c r="I2" s="154" t="inlineStr">
        <is>
          <t>기계/소방팀</t>
        </is>
      </c>
      <c r="J2" s="156" t="inlineStr">
        <is>
          <t>동탄도시철도(트램) 기계설비(HVAC, 급배수, 위생, 오폐수, 승강기) 및 소방설비(소화, 제연, 경보)의 착공 전 설계도서(도면·시방서·수량산출서·내역서)의 적격성을 검토하고, 지하 및 지상 정거장, 변전소, 차량기지 내 법적 기준 충족 및 시공성을 사전 확보한다.</t>
        </is>
      </c>
      <c r="K2" s="156" t="inlineStr">
        <is>
          <t>KCS 41 시방 기준 및 STEP 1: 설계도서 및 계산서 총괄 수집, STEP 2: 삼각 교차 대조 및 물량 정합성 검증 절차서 준수 시공</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157">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158">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159">
        <f>HYPERLINK(LEFT(CELL("filename",A1),FIND("[",CELL("filename",A1))-1)&amp;"매뉴얼BODY(집행단계-첨부폴더)v8\10.기계분야\1_설계 적정성 검토\체크리스트\1_설계 적정성 검토_체크리스트.html", "👉 [클릭] 체크리스트 열기 📄")</f>
        <v/>
      </c>
      <c r="S2" s="154" t="inlineStr">
        <is>
          <t>기계·소방 복합 시방 준수</t>
        </is>
      </c>
      <c r="T2" s="156" t="inlineStr">
        <is>
          <t>● KDS 47 철도설계기준, KCS 41 건축기계시방 및 NFTC/NFPC 화재안전기술기준 100% 준수</t>
        </is>
      </c>
      <c r="U2" s="153" t="inlineStr">
        <is>
          <t>1) 👉 [더블클릭] 체크리스트 열기 📄</t>
        </is>
      </c>
      <c r="V2" s="156" t="inlineStr">
        <is>
          <t>기계설비·소방 전문 감리 및 시공 기술자문단 상시 운영</t>
        </is>
      </c>
    </row>
    <row r="3" ht="36" customHeight="1" s="147">
      <c r="A3" s="160" t="inlineStr">
        <is>
          <t>9000</t>
        </is>
      </c>
      <c r="B3" s="160" t="inlineStr">
        <is>
          <t>9000-8</t>
        </is>
      </c>
      <c r="C3" s="160" t="inlineStr">
        <is>
          <t>기계설비·소방설비</t>
        </is>
      </c>
      <c r="D3" s="160" t="inlineStr">
        <is>
          <t>9000-8-2</t>
        </is>
      </c>
      <c r="E3" s="161" t="inlineStr">
        <is>
          <t>9000-8-1</t>
        </is>
      </c>
      <c r="F3" s="161" t="inlineStr">
        <is>
          <t>9000-8-3</t>
        </is>
      </c>
      <c r="G3" s="162" t="inlineStr">
        <is>
          <t>발주전략 KOM</t>
        </is>
      </c>
      <c r="H3" s="161" t="inlineStr">
        <is>
          <t>D-114</t>
        </is>
      </c>
      <c r="I3" s="161" t="inlineStr">
        <is>
          <t>기계/소방팀</t>
        </is>
      </c>
      <c r="J3" s="163" t="inlineStr">
        <is>
          <t>기계 및 소방공사의 성공적인 수행을 위해 발주처, 책임감리단, 원도급사, 전문협력업체가 참여하는 Kick-Off Meeting을 개최하여 중점 품질관리 항목, 법적 인허가 일정, 장비 제작납기 및 자재 승인 프로세스를 일괄 확정한다.</t>
        </is>
      </c>
      <c r="K3" s="163" t="inlineStr">
        <is>
          <t>KCS 41 시방 기준 및 STEP 1: KOM 킥오프 회의 소집 및 R&amp;R 확정, STEP 2: 주요 장비 제작 및 조달 계획 수립 절차서 준수 시공</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164">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165">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166">
        <f>HYPERLINK(LEFT(CELL("filename",A1),FIND("[",CELL("filename",A1))-1)&amp;"매뉴얼BODY(집행단계-첨부폴더)v8\10.기계분야\2_발주전략 KOM\체크리스트\2_발주전략 KOM_체크리스트.html", "👉 [클릭] 체크리스트 열기 📄")</f>
        <v/>
      </c>
      <c r="S3" s="161" t="inlineStr">
        <is>
          <t>기계·소방 복합 시방 준수</t>
        </is>
      </c>
      <c r="T3" s="163" t="inlineStr">
        <is>
          <t>● KDS 47 철도설계기준, KCS 41 건축기계시방 및 NFTC/NFPC 화재안전기술기준 100% 준수</t>
        </is>
      </c>
      <c r="U3" s="160" t="inlineStr">
        <is>
          <t>1) 👉 [더블클릭] 체크리스트 열기 📄</t>
        </is>
      </c>
      <c r="V3" s="163" t="inlineStr">
        <is>
          <t>기계설비·소방 전문 감리 및 시공 기술자문단 상시 운영</t>
        </is>
      </c>
    </row>
    <row r="4" ht="36" customHeight="1" s="147">
      <c r="A4" s="153" t="inlineStr">
        <is>
          <t>9000</t>
        </is>
      </c>
      <c r="B4" s="153" t="inlineStr">
        <is>
          <t>9000-8</t>
        </is>
      </c>
      <c r="C4" s="153" t="inlineStr">
        <is>
          <t>기계설비·소방설비</t>
        </is>
      </c>
      <c r="D4" s="153" t="inlineStr">
        <is>
          <t>9000-8-3</t>
        </is>
      </c>
      <c r="E4" s="154" t="inlineStr">
        <is>
          <t>9000-8-2</t>
        </is>
      </c>
      <c r="F4" s="154" t="inlineStr">
        <is>
          <t>9000-8-4</t>
        </is>
      </c>
      <c r="G4" s="155" t="inlineStr">
        <is>
          <t>3D BIM 기계_소방 간섭 검토</t>
        </is>
      </c>
      <c r="H4" s="154" t="inlineStr">
        <is>
          <t>D-111</t>
        </is>
      </c>
      <c r="I4" s="154" t="inlineStr">
        <is>
          <t>기계/소방팀</t>
        </is>
      </c>
      <c r="J4" s="156" t="inlineStr">
        <is>
          <t>지하 정거장 천장 및 기계실, 차량기지 검수고 등 배관·덕트 밀집 구역에 대해 3D BIM(LOD 350) 통합 모델링을 수행하여 타 공종(건축, 전기, 신호, 궤도)과의 물리적 간섭을 착공 전 100% 제거하고 최적의 시공 동선을 도출한다.</t>
        </is>
      </c>
      <c r="K4" s="156" t="inlineStr">
        <is>
          <t>KCS 41 시방 기준 및 STEP 1: 3D BIM 기계/소방 상세 모델링 (LOD 350), STEP 2: 다공종 통합 모델 합성 및 간섭 체크 절차서 준수 시공</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157">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158">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159">
        <f>HYPERLINK(LEFT(CELL("filename",A1),FIND("[",CELL("filename",A1))-1)&amp;"매뉴얼BODY(집행단계-첨부폴더)v8\10.기계분야\3_3D BIM 기계_소방 간섭 검토\체크리스트\3_3D BIM 기계_소방 간섭 검토_체크리스트.html", "👉 [클릭] 체크리스트 열기 📄")</f>
        <v/>
      </c>
      <c r="S4" s="154" t="inlineStr">
        <is>
          <t>기계·소방 복합 시방 준수</t>
        </is>
      </c>
      <c r="T4" s="156" t="inlineStr">
        <is>
          <t>● KDS 47 철도설계기준, KCS 41 건축기계시방 및 NFTC/NFPC 화재안전기술기준 100% 준수</t>
        </is>
      </c>
      <c r="U4" s="153" t="inlineStr">
        <is>
          <t>1) 👉 [더블클릭] 체크리스트 열기 📄</t>
        </is>
      </c>
      <c r="V4" s="156" t="inlineStr">
        <is>
          <t>기계설비·소방 전문 감리 및 시공 기술자문단 상시 운영</t>
        </is>
      </c>
    </row>
    <row r="5" ht="36" customHeight="1" s="147">
      <c r="A5" s="160" t="inlineStr">
        <is>
          <t>9000</t>
        </is>
      </c>
      <c r="B5" s="160" t="inlineStr">
        <is>
          <t>9000-8</t>
        </is>
      </c>
      <c r="C5" s="160" t="inlineStr">
        <is>
          <t>기계설비·소방설비</t>
        </is>
      </c>
      <c r="D5" s="160" t="inlineStr">
        <is>
          <t>9000-8-4</t>
        </is>
      </c>
      <c r="E5" s="161" t="inlineStr">
        <is>
          <t>9000-8-3</t>
        </is>
      </c>
      <c r="F5" s="161" t="inlineStr">
        <is>
          <t>9000-8-5</t>
        </is>
      </c>
      <c r="G5" s="162" t="inlineStr">
        <is>
          <t>소방 및 환경 인허가</t>
        </is>
      </c>
      <c r="H5" s="161" t="inlineStr">
        <is>
          <t>D-108</t>
        </is>
      </c>
      <c r="I5" s="161" t="inlineStr">
        <is>
          <t>기계/소방팀</t>
        </is>
      </c>
      <c r="J5" s="163" t="inlineStr">
        <is>
          <t>소방시설공사업법 및 물환경보전법에 따라 공사 착공 전 관할 소방서로부터 소방시설 시공 동의 및 착공신고를 득하고, 차량기지 위험물 저장소, 비상발전기 유류탱크, 오수처리시설 인허가를 적기에 완료하여 법적 리스크를 제거한다.</t>
        </is>
      </c>
      <c r="K5" s="163" t="inlineStr">
        <is>
          <t>KCS 41 시방 기준 및 STEP 1: 소방시설 착공신고서 작성 및 도서 구비, STEP 2: 소방시설 건축동의 및 기술 검토 보완 절차서 준수 시공</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164">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165">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166">
        <f>HYPERLINK(LEFT(CELL("filename",A1),FIND("[",CELL("filename",A1))-1)&amp;"매뉴얼BODY(집행단계-첨부폴더)v8\10.기계분야\4_소방 및 환경 인허가\체크리스트\4_소방 및 환경 인허가_체크리스트.html", "👉 [클릭] 체크리스트 열기 📄")</f>
        <v/>
      </c>
      <c r="S5" s="161" t="inlineStr">
        <is>
          <t>기계·소방 복합 시방 준수</t>
        </is>
      </c>
      <c r="T5" s="163" t="inlineStr">
        <is>
          <t>● KDS 47 철도설계기준, KCS 41 건축기계시방 및 NFTC/NFPC 화재안전기술기준 100% 준수</t>
        </is>
      </c>
      <c r="U5" s="160" t="inlineStr">
        <is>
          <t>1) 👉 [더블클릭] 체크리스트 열기 📄</t>
        </is>
      </c>
      <c r="V5" s="163" t="inlineStr">
        <is>
          <t>기계설비·소방 전문 감리 및 시공 기술자문단 상시 운영</t>
        </is>
      </c>
    </row>
    <row r="6" ht="36" customHeight="1" s="147">
      <c r="A6" s="153" t="inlineStr">
        <is>
          <t>9000</t>
        </is>
      </c>
      <c r="B6" s="153" t="inlineStr">
        <is>
          <t>9000-8</t>
        </is>
      </c>
      <c r="C6" s="153" t="inlineStr">
        <is>
          <t>기계설비·소방설비</t>
        </is>
      </c>
      <c r="D6" s="153" t="inlineStr">
        <is>
          <t>9000-8-5</t>
        </is>
      </c>
      <c r="E6" s="154" t="inlineStr">
        <is>
          <t>9000-8-4</t>
        </is>
      </c>
      <c r="F6" s="154" t="inlineStr">
        <is>
          <t>9000-8-6</t>
        </is>
      </c>
      <c r="G6" s="155" t="inlineStr">
        <is>
          <t>장비 반입동선 및 야적장 계획</t>
        </is>
      </c>
      <c r="H6" s="154" t="inlineStr">
        <is>
          <t>D-105</t>
        </is>
      </c>
      <c r="I6" s="154" t="inlineStr">
        <is>
          <t>기계/소방팀</t>
        </is>
      </c>
      <c r="J6" s="156" t="inlineStr">
        <is>
          <t>지하 정거장 기계실 및 차량기지 종합검수동에 설치되는 대형 중량물(공기조화기, 냉동기, 소방펌프, 열교환기)의 반입 개구부, 수직 인양 동선, 양중 크레인 작업 반경 및 현장 자재 야적장 보관 관리 계획을 수립한다.</t>
        </is>
      </c>
      <c r="K6" s="156" t="inlineStr">
        <is>
          <t>KCS 41 시방 기준 및 STEP 1: 중량 장비 제원 및 반입 경로 실측, STEP 2: 양중 크레인 작업 계획 및 안전성 검토 절차서 준수 시공</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157">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158">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159">
        <f>HYPERLINK(LEFT(CELL("filename",A1),FIND("[",CELL("filename",A1))-1)&amp;"매뉴얼BODY(집행단계-첨부폴더)v8\10.기계분야\5_장비 반입동선 및 야적장 계획\체크리스트\5_장비 반입동선 및 야적장 계획_체크리스트.html", "👉 [클릭] 체크리스트 열기 📄")</f>
        <v/>
      </c>
      <c r="S6" s="154" t="inlineStr">
        <is>
          <t>기계·소방 복합 시방 준수</t>
        </is>
      </c>
      <c r="T6" s="156" t="inlineStr">
        <is>
          <t>● KDS 47 철도설계기준, KCS 41 건축기계시방 및 NFTC/NFPC 화재안전기술기준 100% 준수</t>
        </is>
      </c>
      <c r="U6" s="153" t="inlineStr">
        <is>
          <t>1) 👉 [더블클릭] 체크리스트 열기 📄</t>
        </is>
      </c>
      <c r="V6" s="156" t="inlineStr">
        <is>
          <t>기계설비·소방 전문 감리 및 시공 기술자문단 상시 운영</t>
        </is>
      </c>
    </row>
    <row r="7" ht="36" customHeight="1" s="147">
      <c r="A7" s="160" t="inlineStr">
        <is>
          <t>9000</t>
        </is>
      </c>
      <c r="B7" s="160" t="inlineStr">
        <is>
          <t>9000-8</t>
        </is>
      </c>
      <c r="C7" s="160" t="inlineStr">
        <is>
          <t>기계설비·소방설비</t>
        </is>
      </c>
      <c r="D7" s="160" t="inlineStr">
        <is>
          <t>9000-8-6</t>
        </is>
      </c>
      <c r="E7" s="161" t="inlineStr">
        <is>
          <t>9000-8-5</t>
        </is>
      </c>
      <c r="F7" s="161" t="inlineStr">
        <is>
          <t>9000-8-7</t>
        </is>
      </c>
      <c r="G7" s="162" t="inlineStr">
        <is>
          <t>Big Room 인터페이스 회의</t>
        </is>
      </c>
      <c r="H7" s="161" t="inlineStr">
        <is>
          <t>D-102</t>
        </is>
      </c>
      <c r="I7" s="161" t="inlineStr">
        <is>
          <t>기계/소방팀</t>
        </is>
      </c>
      <c r="J7" s="163" t="inlineStr">
        <is>
          <t>동탄트램 복합 공정의 성공을 위해 기계·소방 분야와 6대 연관 공종(토목 노반, 궤도 콘크리트도상, 건축 구조/마감, 전기 수변전, 신호 연동, 통신 LTE-R) 간의 주간 Big Room 합동 회의를 운영하여 시공 오차 및 인터페이스 누락을 원천 차단한다.</t>
        </is>
      </c>
      <c r="K7" s="163" t="inlineStr">
        <is>
          <t>KCS 41 시방 기준 및 STEP 1: Big Room 합동 회의 안건 도출 및 3D 모델 준비, STEP 2: 7대 공종 합동 기술 조율 및 대안 확정 절차서 준수 시공</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164">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165">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166">
        <f>HYPERLINK(LEFT(CELL("filename",A1),FIND("[",CELL("filename",A1))-1)&amp;"매뉴얼BODY(집행단계-첨부폴더)v8\10.기계분야\6_Big Room 인터페이스 회의\체크리스트\6_Big Room 인터페이스 회의_체크리스트.html", "👉 [클릭] 체크리스트 열기 📄")</f>
        <v/>
      </c>
      <c r="S7" s="161" t="inlineStr">
        <is>
          <t>기계·소방 복합 시방 준수</t>
        </is>
      </c>
      <c r="T7" s="163" t="inlineStr">
        <is>
          <t>● KDS 47 철도설계기준, KCS 41 건축기계시방 및 NFTC/NFPC 화재안전기술기준 100% 준수</t>
        </is>
      </c>
      <c r="U7" s="160" t="inlineStr">
        <is>
          <t>1) 👉 [더블클릭] 체크리스트 열기 📄</t>
        </is>
      </c>
      <c r="V7" s="163" t="inlineStr">
        <is>
          <t>기계설비·소방 전문 감리 및 시공 기술자문단 상시 운영</t>
        </is>
      </c>
    </row>
    <row r="8" ht="36" customHeight="1" s="147">
      <c r="A8" s="153" t="inlineStr">
        <is>
          <t>9000</t>
        </is>
      </c>
      <c r="B8" s="153" t="inlineStr">
        <is>
          <t>9000-8</t>
        </is>
      </c>
      <c r="C8" s="153" t="inlineStr">
        <is>
          <t>기계설비·소방설비</t>
        </is>
      </c>
      <c r="D8" s="153" t="inlineStr">
        <is>
          <t>9000-8-7</t>
        </is>
      </c>
      <c r="E8" s="154" t="inlineStr">
        <is>
          <t>9000-8-6</t>
        </is>
      </c>
      <c r="F8" s="154" t="inlineStr">
        <is>
          <t>9000-8-8</t>
        </is>
      </c>
      <c r="G8" s="155" t="inlineStr">
        <is>
          <t>지하매설 기계배관 협의</t>
        </is>
      </c>
      <c r="H8" s="154" t="inlineStr">
        <is>
          <t>D-99</t>
        </is>
      </c>
      <c r="I8" s="154" t="inlineStr">
        <is>
          <t>기계/소방팀</t>
        </is>
      </c>
      <c r="J8" s="156" t="inlineStr">
        <is>
          <t>트램 본선 도로 하부 및 정거장 외부 인입 구역에 매설되는 기계배관(상수도 급수관, 지열 집열관, 오배수 연결관)에 대해 지자체(화성시), 도로관리청 및 한국전력·가스·통신 유관기관과 지장물 이설 및 도로굴착 점용 협의를 수행한다.</t>
        </is>
      </c>
      <c r="K8" s="156" t="inlineStr">
        <is>
          <t>KCS 41 시방 기준 및 STEP 1: 지하 지장물 매설도 수집 및 3D GPR 탐사, STEP 2: 유관기관 협의 및 도로굴착점용 허가 획득 절차서 준수 시공</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157">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158">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159">
        <f>HYPERLINK(LEFT(CELL("filename",A1),FIND("[",CELL("filename",A1))-1)&amp;"매뉴얼BODY(집행단계-첨부폴더)v8\10.기계분야\7_지하매설 기계배관 협의\체크리스트\7_지하매설 기계배관 협의_체크리스트.html", "👉 [클릭] 체크리스트 열기 📄")</f>
        <v/>
      </c>
      <c r="S8" s="154" t="inlineStr">
        <is>
          <t>기계·소방 복합 시방 준수</t>
        </is>
      </c>
      <c r="T8" s="156" t="inlineStr">
        <is>
          <t>● KDS 47 철도설계기준, KCS 41 건축기계시방 및 NFTC/NFPC 화재안전기술기준 100% 준수</t>
        </is>
      </c>
      <c r="U8" s="153" t="inlineStr">
        <is>
          <t>1) 👉 [더블클릭] 체크리스트 열기 📄</t>
        </is>
      </c>
      <c r="V8" s="156" t="inlineStr">
        <is>
          <t>기계설비·소방 전문 감리 및 시공 기술자문단 상시 운영</t>
        </is>
      </c>
    </row>
    <row r="9" ht="36" customHeight="1" s="147">
      <c r="A9" s="160" t="inlineStr">
        <is>
          <t>9000</t>
        </is>
      </c>
      <c r="B9" s="160" t="inlineStr">
        <is>
          <t>9000-8</t>
        </is>
      </c>
      <c r="C9" s="160" t="inlineStr">
        <is>
          <t>기계설비·소방설비</t>
        </is>
      </c>
      <c r="D9" s="160" t="inlineStr">
        <is>
          <t>9000-8-8</t>
        </is>
      </c>
      <c r="E9" s="161" t="inlineStr">
        <is>
          <t>9000-8-7</t>
        </is>
      </c>
      <c r="F9" s="161" t="inlineStr">
        <is>
          <t>9000-8-9</t>
        </is>
      </c>
      <c r="G9" s="162" t="inlineStr">
        <is>
          <t>기계설비 시공계획서 수립</t>
        </is>
      </c>
      <c r="H9" s="161" t="inlineStr">
        <is>
          <t>D-96</t>
        </is>
      </c>
      <c r="I9" s="161" t="inlineStr">
        <is>
          <t>기계/소방팀</t>
        </is>
      </c>
      <c r="J9" s="163" t="inlineStr">
        <is>
          <t>KCS 41(건축기계설비공사 표준시방서) 및 KDS 47(철도설계기준)에 의거하여 기계·소방설비의 단계별 세부 시공 방법, 동원 인원 및 장비 계획, 용접 절차서(WPS), 비파괴검사(NDT), 수압시험 및 품질·안전관리 종합 시공계획서를 작성하여 감리단 승인을 득한다.</t>
        </is>
      </c>
      <c r="K9" s="163" t="inlineStr">
        <is>
          <t>KCS 41 시방 기준 및 STEP 1: 공종별 세부 시공 방법 및 절차서 작성, STEP 2: 자재 시험 및 품질관리 계획서 수립 절차서 준수 시공</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164">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165">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166">
        <f>HYPERLINK(LEFT(CELL("filename",A1),FIND("[",CELL("filename",A1))-1)&amp;"매뉴얼BODY(집행단계-첨부폴더)v8\10.기계분야\8_기계설비 시공계획서 수립\체크리스트\8_기계설비 시공계획서 수립_체크리스트.html", "👉 [클릭] 체크리스트 열기 📄")</f>
        <v/>
      </c>
      <c r="S9" s="161" t="inlineStr">
        <is>
          <t>기계·소방 복합 시방 준수</t>
        </is>
      </c>
      <c r="T9" s="163" t="inlineStr">
        <is>
          <t>● KDS 47 철도설계기준, KCS 41 건축기계시방 및 NFTC/NFPC 화재안전기술기준 100% 준수</t>
        </is>
      </c>
      <c r="U9" s="160" t="inlineStr">
        <is>
          <t>1) 👉 [더블클릭] 체크리스트 열기 📄</t>
        </is>
      </c>
      <c r="V9" s="163" t="inlineStr">
        <is>
          <t>기계설비·소방 전문 감리 및 시공 기술자문단 상시 운영</t>
        </is>
      </c>
    </row>
    <row r="10" ht="36" customHeight="1" s="147">
      <c r="A10" s="153" t="inlineStr">
        <is>
          <t>9000</t>
        </is>
      </c>
      <c r="B10" s="153" t="inlineStr">
        <is>
          <t>9000-8</t>
        </is>
      </c>
      <c r="C10" s="153" t="inlineStr">
        <is>
          <t>기계설비·소방설비</t>
        </is>
      </c>
      <c r="D10" s="153" t="inlineStr">
        <is>
          <t>9000-8-9</t>
        </is>
      </c>
      <c r="E10" s="154" t="inlineStr">
        <is>
          <t>9000-8-8</t>
        </is>
      </c>
      <c r="F10" s="154" t="inlineStr">
        <is>
          <t>9000-8-10</t>
        </is>
      </c>
      <c r="G10" s="155" t="inlineStr">
        <is>
          <t>주요 기계_소방 기자재 검수</t>
        </is>
      </c>
      <c r="H10" s="154" t="inlineStr">
        <is>
          <t>D-93</t>
        </is>
      </c>
      <c r="I10" s="154" t="inlineStr">
        <is>
          <t>기계/소방팀</t>
        </is>
      </c>
      <c r="J10" s="156" t="inlineStr">
        <is>
          <t>현장에 반입되는 배관용 스테인리스 강관, 인버터 가압 부스터펌프, 옥내소화전함, 밸브류, 공조기 등 주요 기자재에 대해 KS 인증서, 공인기관 시험성적서(밀시트), 공장검수(FAT) 성적을 1:1 대조하여 불량 자재의 현장 반입을 원천 차단한다.</t>
        </is>
      </c>
      <c r="K10" s="156" t="inlineStr">
        <is>
          <t>KCS 41 시방 기준 및 STEP 1: 자재 공급원 승인 요청서(MAR) 접수 및 검토, STEP 2: 주요 대형 장비 공장검수(FAT) 수행 절차서 준수 시공</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157">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158">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159">
        <f>HYPERLINK(LEFT(CELL("filename",A1),FIND("[",CELL("filename",A1))-1)&amp;"매뉴얼BODY(집행단계-첨부폴더)v8\10.기계분야\9_주요 기계_소방 기자재 검수\체크리스트\9_주요 기계_소방 기자재 검수_체크리스트.html", "👉 [클릭] 체크리스트 열기 📄")</f>
        <v/>
      </c>
      <c r="S10" s="154" t="inlineStr">
        <is>
          <t>기계·소방 복합 시방 준수</t>
        </is>
      </c>
      <c r="T10" s="156" t="inlineStr">
        <is>
          <t>● KDS 47 철도설계기준, KCS 41 건축기계시방 및 NFTC/NFPC 화재안전기술기준 100% 준수</t>
        </is>
      </c>
      <c r="U10" s="153" t="inlineStr">
        <is>
          <t>1) 👉 [더블클릭] 체크리스트 열기 📄</t>
        </is>
      </c>
      <c r="V10" s="156" t="inlineStr">
        <is>
          <t>기계설비·소방 전문 감리 및 시공 기술자문단 상시 운영</t>
        </is>
      </c>
    </row>
    <row r="11" ht="36" customHeight="1" s="147">
      <c r="A11" s="160" t="inlineStr">
        <is>
          <t>9000</t>
        </is>
      </c>
      <c r="B11" s="160" t="inlineStr">
        <is>
          <t>9000-8</t>
        </is>
      </c>
      <c r="C11" s="160" t="inlineStr">
        <is>
          <t>기계설비·소방설비</t>
        </is>
      </c>
      <c r="D11" s="160" t="inlineStr">
        <is>
          <t>9000-8-10</t>
        </is>
      </c>
      <c r="E11" s="161" t="inlineStr">
        <is>
          <t>9000-8-9</t>
        </is>
      </c>
      <c r="F11" s="161" t="inlineStr">
        <is>
          <t>9000-8-11</t>
        </is>
      </c>
      <c r="G11" s="162" t="inlineStr">
        <is>
          <t>방화구획 내화채움구조 시공</t>
        </is>
      </c>
      <c r="H11" s="161" t="inlineStr">
        <is>
          <t>D-90</t>
        </is>
      </c>
      <c r="I11" s="161" t="inlineStr">
        <is>
          <t>기계/소방팀</t>
        </is>
      </c>
      <c r="J11" s="163" t="inlineStr">
        <is>
          <t>건축물의 피난·방화구조 등의 기준에 관한 규칙에 따라 방화벽, 바닥 슬래브를 관통하는 기계 배관, 냉매관, 공조 덕트 주변의 관통 틈새에 대해 화재안전연구원 공인 인증을 득한 내화채움재(내화패드, 방화실란트, 차염/차열재)를 100% 밀폐 시공하여 화염 및 유독가스 층간 전파를 원천 차단한다.</t>
        </is>
      </c>
      <c r="K11" s="163" t="inlineStr">
        <is>
          <t>KCS 41 시방 기준 및 STEP 1: 관통부 틈새 청소 및 공인 내화구조 매핑, STEP 2: 내부 불연재(미네랄울) 고밀도 충진 절차서 준수 시공</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164">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165">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166">
        <f>HYPERLINK(LEFT(CELL("filename",A1),FIND("[",CELL("filename",A1))-1)&amp;"매뉴얼BODY(집행단계-첨부폴더)v8\10.기계분야\10_방화구획 내화채움구조 시공\체크리스트\10_방화구획 내화채움구조 시공_체크리스트.html", "👉 [클릭] 체크리스트 열기 📄")</f>
        <v/>
      </c>
      <c r="S11" s="161" t="inlineStr">
        <is>
          <t>기계·소방 복합 시방 준수</t>
        </is>
      </c>
      <c r="T11" s="163" t="inlineStr">
        <is>
          <t>● KDS 47 철도설계기준, KCS 41 건축기계시방 및 NFTC/NFPC 화재안전기술기준 100% 준수</t>
        </is>
      </c>
      <c r="U11" s="160" t="inlineStr">
        <is>
          <t>1) 👉 [더블클릭] 체크리스트 열기 📄</t>
        </is>
      </c>
      <c r="V11" s="163" t="inlineStr">
        <is>
          <t>기계설비·소방 전문 감리 및 시공 기술자문단 상시 운영</t>
        </is>
      </c>
    </row>
    <row r="12" ht="36" customHeight="1" s="147">
      <c r="A12" s="153" t="inlineStr">
        <is>
          <t>9000</t>
        </is>
      </c>
      <c r="B12" s="153" t="inlineStr">
        <is>
          <t>9000-8</t>
        </is>
      </c>
      <c r="C12" s="153" t="inlineStr">
        <is>
          <t>기계설비·소방설비</t>
        </is>
      </c>
      <c r="D12" s="153" t="inlineStr">
        <is>
          <t>9000-8-11</t>
        </is>
      </c>
      <c r="E12" s="154" t="inlineStr">
        <is>
          <t>9000-8-10</t>
        </is>
      </c>
      <c r="F12" s="154" t="inlineStr">
        <is>
          <t>9000-8-12</t>
        </is>
      </c>
      <c r="G12" s="155" t="inlineStr">
        <is>
          <t>선로전환기 배수공동구 연계</t>
        </is>
      </c>
      <c r="H12" s="154" t="inlineStr">
        <is>
          <t>D-87</t>
        </is>
      </c>
      <c r="I12" s="154" t="inlineStr">
        <is>
          <t>기계/소방팀</t>
        </is>
      </c>
      <c r="J12" s="156" t="inlineStr">
        <is>
          <t>트램 본선 궤도 분기부 및 차량기지 내 총 143개소의 핵심 선로전환기(Point Machine)와 열차 위치 검지용 차축검지기(Axle Counter) 구역의 침수 불량 및 동절기 결빙 사고를 원천 방지하기 위하여 궤도 콘크리트 타설 전 하부 횡단 배수용 파이프 및 전선관로 공동구를 정밀 선시공한다.</t>
        </is>
      </c>
      <c r="K12" s="156" t="inlineStr">
        <is>
          <t>KCS 41 시방 기준 및 STEP 1: 신호·궤도팀 합동 분기기 143개소 좌표 실측, STEP 2: 횡단 배수관로 매설 및 지지틀 고정 절차서 준수 시공</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157">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158">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159">
        <f>HYPERLINK(LEFT(CELL("filename",A1),FIND("[",CELL("filename",A1))-1)&amp;"매뉴얼BODY(집행단계-첨부폴더)v8\10.기계분야\11_선로전환기 배수공동구 연계\체크리스트\11_선로전환기 배수공동구 연계_체크리스트.html", "👉 [클릭] 체크리스트 열기 📄")</f>
        <v/>
      </c>
      <c r="S12" s="154" t="inlineStr">
        <is>
          <t>기계·소방 복합 시방 준수</t>
        </is>
      </c>
      <c r="T12" s="156" t="inlineStr">
        <is>
          <t>● KDS 47 철도설계기준, KCS 41 건축기계시방 및 NFTC/NFPC 화재안전기술기준 100% 준수</t>
        </is>
      </c>
      <c r="U12" s="153" t="inlineStr">
        <is>
          <t>1) 👉 [더블클릭] 체크리스트 열기 📄</t>
        </is>
      </c>
      <c r="V12" s="156" t="inlineStr">
        <is>
          <t>기계설비·소방 전문 감리 및 시공 기술자문단 상시 운영</t>
        </is>
      </c>
    </row>
    <row r="13" ht="36" customHeight="1" s="147">
      <c r="A13" s="160" t="inlineStr">
        <is>
          <t>9000</t>
        </is>
      </c>
      <c r="B13" s="160" t="inlineStr">
        <is>
          <t>9000-8</t>
        </is>
      </c>
      <c r="C13" s="160" t="inlineStr">
        <is>
          <t>기계설비·소방설비</t>
        </is>
      </c>
      <c r="D13" s="160" t="inlineStr">
        <is>
          <t>9000-8-12</t>
        </is>
      </c>
      <c r="E13" s="161" t="inlineStr">
        <is>
          <t>9000-8-11</t>
        </is>
      </c>
      <c r="F13" s="161" t="inlineStr">
        <is>
          <t>9000-8-13</t>
        </is>
      </c>
      <c r="G13" s="162" t="inlineStr">
        <is>
          <t>소방 기계 전원 간선 연계</t>
        </is>
      </c>
      <c r="H13" s="161" t="inlineStr">
        <is>
          <t>D-84</t>
        </is>
      </c>
      <c r="I13" s="161" t="inlineStr">
        <is>
          <t>기계/소방팀</t>
        </is>
      </c>
      <c r="J13" s="163" t="inlineStr">
        <is>
          <t>화재안전기술기준(NFTC) 및 전기설비기술기준에 따라 소방펌프실 주펌프, 충압펌프, 지하차도 및 역사 제연팬에 공급되는 비상 전원 간선에 대해 최고 수준의 고내열 내화성능을 갖춘 NFR-8(또는 F-FR-8) 내화케이블을 전용 배관으로 포설하고, 전기분야 비상발전기·MCC반과 무결점 인터페이스를 완료한다.</t>
        </is>
      </c>
      <c r="K13" s="163" t="inlineStr">
        <is>
          <t>KCS 41 시방 기준 및 STEP 1: 소방 기계 부하 용량(kW) 산정 및 전기팀 통보, STEP 2: NFR-8 고내열 내화케이블 전용 관로 시공 절차서 준수 시공</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164">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165">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166">
        <f>HYPERLINK(LEFT(CELL("filename",A1),FIND("[",CELL("filename",A1))-1)&amp;"매뉴얼BODY(집행단계-첨부폴더)v8\10.기계분야\12_소방 기계 전원 간선 연계\체크리스트\12_소방 기계 전원 간선 연계_체크리스트.html", "👉 [클릭] 체크리스트 열기 📄")</f>
        <v/>
      </c>
      <c r="S13" s="161" t="inlineStr">
        <is>
          <t>기계·소방 복합 시방 준수</t>
        </is>
      </c>
      <c r="T13" s="163" t="inlineStr">
        <is>
          <t>● KDS 47 철도설계기준, KCS 41 건축기계시방 및 NFTC/NFPC 화재안전기술기준 100% 준수</t>
        </is>
      </c>
      <c r="U13" s="160" t="inlineStr">
        <is>
          <t>1) 👉 [더블클릭] 체크리스트 열기 📄</t>
        </is>
      </c>
      <c r="V13" s="163" t="inlineStr">
        <is>
          <t>기계설비·소방 전문 감리 및 시공 기술자문단 상시 운영</t>
        </is>
      </c>
    </row>
    <row r="14" ht="36" customHeight="1" s="147">
      <c r="A14" s="153" t="inlineStr">
        <is>
          <t>9000</t>
        </is>
      </c>
      <c r="B14" s="153" t="inlineStr">
        <is>
          <t>9000-8</t>
        </is>
      </c>
      <c r="C14" s="153" t="inlineStr">
        <is>
          <t>기계설비·소방설비</t>
        </is>
      </c>
      <c r="D14" s="153" t="inlineStr">
        <is>
          <t>9000-8-13</t>
        </is>
      </c>
      <c r="E14" s="154" t="inlineStr">
        <is>
          <t>9000-8-12</t>
        </is>
      </c>
      <c r="F14" s="154" t="inlineStr">
        <is>
          <t>9000-8-14</t>
        </is>
      </c>
      <c r="G14" s="155" t="inlineStr">
        <is>
          <t>저수조 사수방지 흡입배관</t>
        </is>
      </c>
      <c r="H14" s="154" t="inlineStr">
        <is>
          <t>D-81</t>
        </is>
      </c>
      <c r="I14" s="154" t="inlineStr">
        <is>
          <t>기계/소방팀</t>
        </is>
      </c>
      <c r="J14" s="156" t="inlineStr">
        <is>
          <t>정거장 및 차량기지 지하 저수조 내에서 생활위생용수와 소화용수가 장기간 정체되어 발생하는 사수(死水, 물고임 부패) 현상을 방지하기 위하여, 급수펌프 흡입배관의 최저점을 소화용수 유효수위 상향으로 확보하고, 저수조 내부에 유지관리용 칸막이 1개소를 설치하는 고도화 수배관 시스템을 시공한다.</t>
        </is>
      </c>
      <c r="K14" s="156" t="inlineStr">
        <is>
          <t>KCS 41 시방 기준 및 STEP 1: 저수조 용량 및 소화수 유효수위 계산, STEP 2: STS 패널형 저수조 조립 및 칸막이 가설 절차서 준수 시공</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157">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158">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159">
        <f>HYPERLINK(LEFT(CELL("filename",A1),FIND("[",CELL("filename",A1))-1)&amp;"매뉴얼BODY(집행단계-첨부폴더)v8\10.기계분야\13_저수조 사수방지 흡입배관\체크리스트\13_저수조 사수방지 흡입배관_체크리스트.html", "👉 [클릭] 체크리스트 열기 📄")</f>
        <v/>
      </c>
      <c r="S14" s="154" t="inlineStr">
        <is>
          <t>기계·소방 복합 시방 준수</t>
        </is>
      </c>
      <c r="T14" s="156" t="inlineStr">
        <is>
          <t>● KDS 47 철도설계기준, KCS 41 건축기계시방 및 NFTC/NFPC 화재안전기술기준 100% 준수</t>
        </is>
      </c>
      <c r="U14" s="153" t="inlineStr">
        <is>
          <t>1) 👉 [더블클릭] 체크리스트 열기 📄</t>
        </is>
      </c>
      <c r="V14" s="156" t="inlineStr">
        <is>
          <t>기계설비·소방 전문 감리 및 시공 기술자문단 상시 운영</t>
        </is>
      </c>
    </row>
    <row r="15" ht="36" customHeight="1" s="147">
      <c r="A15" s="160" t="inlineStr">
        <is>
          <t>9000</t>
        </is>
      </c>
      <c r="B15" s="160" t="inlineStr">
        <is>
          <t>9000-8</t>
        </is>
      </c>
      <c r="C15" s="160" t="inlineStr">
        <is>
          <t>기계설비·소방설비</t>
        </is>
      </c>
      <c r="D15" s="160" t="inlineStr">
        <is>
          <t>9000-8-14</t>
        </is>
      </c>
      <c r="E15" s="161" t="inlineStr">
        <is>
          <t>9000-8-13</t>
        </is>
      </c>
      <c r="F15" s="161" t="inlineStr">
        <is>
          <t>9000-8-15</t>
        </is>
      </c>
      <c r="G15" s="162" t="inlineStr">
        <is>
          <t>지열 신재생에너지 배관 매설</t>
        </is>
      </c>
      <c r="H15" s="161" t="inlineStr">
        <is>
          <t>D-78</t>
        </is>
      </c>
      <c r="I15" s="161" t="inlineStr">
        <is>
          <t>기계/소방팀</t>
        </is>
      </c>
      <c r="J15" s="163" t="inlineStr">
        <is>
          <t>신에너지 및 재생에너지 개발·이용·보급 촉진법 및 친환경 녹색건축물 인증 기준에 따라 차량기지 및 정거장에 지중 열교환용 고밀도 폴리에틸렌관(HDPE, KSM 3408)을 지하 150~200m 깊이로 천공 매설하고, 전기융착(EF) 접합 및 1.0MPa 수압시험, 친환경 벤토나이트 그라우팅을 완벽 시공한다.</t>
        </is>
      </c>
      <c r="K15" s="163" t="inlineStr">
        <is>
          <t>KCS 41 시방 기준 및 STEP 1: 지열 천공 지점 측량 및 천공기 가설, STEP 2: U-Tube PE 열교환관 조립 및 1차 수압시험 절차서 준수 시공</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164">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165">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166">
        <f>HYPERLINK(LEFT(CELL("filename",A1),FIND("[",CELL("filename",A1))-1)&amp;"매뉴얼BODY(집행단계-첨부폴더)v8\10.기계분야\14_지열 신재생에너지 배관 매설\체크리스트\14_지열 신재생에너지 배관 매설_체크리스트.html", "👉 [클릭] 체크리스트 열기 📄")</f>
        <v/>
      </c>
      <c r="S15" s="161" t="inlineStr">
        <is>
          <t>기계·소방 복합 시방 준수</t>
        </is>
      </c>
      <c r="T15" s="163" t="inlineStr">
        <is>
          <t>● KDS 47 철도설계기준, KCS 41 건축기계시방 및 NFTC/NFPC 화재안전기술기준 100% 준수</t>
        </is>
      </c>
      <c r="U15" s="160" t="inlineStr">
        <is>
          <t>1) 👉 [더블클릭] 체크리스트 열기 📄</t>
        </is>
      </c>
      <c r="V15" s="163" t="inlineStr">
        <is>
          <t>기계설비·소방 전문 감리 및 시공 기술자문단 상시 운영</t>
        </is>
      </c>
    </row>
    <row r="16" ht="36" customHeight="1" s="147">
      <c r="A16" s="153" t="inlineStr">
        <is>
          <t>9000</t>
        </is>
      </c>
      <c r="B16" s="153" t="inlineStr">
        <is>
          <t>9000-8</t>
        </is>
      </c>
      <c r="C16" s="153" t="inlineStr">
        <is>
          <t>기계설비·소방설비</t>
        </is>
      </c>
      <c r="D16" s="153" t="inlineStr">
        <is>
          <t>9000-8-15</t>
        </is>
      </c>
      <c r="E16" s="154" t="inlineStr">
        <is>
          <t>9000-8-14</t>
        </is>
      </c>
      <c r="F16" s="154" t="inlineStr">
        <is>
          <t>9000-8-16</t>
        </is>
      </c>
      <c r="G16" s="155" t="inlineStr">
        <is>
          <t>정거장_변전소 환기덕트 시공</t>
        </is>
      </c>
      <c r="H16" s="154" t="inlineStr">
        <is>
          <t>D-75</t>
        </is>
      </c>
      <c r="I16" s="154" t="inlineStr">
        <is>
          <t>기계/소방팀</t>
        </is>
      </c>
      <c r="J16" s="156" t="inlineStr">
        <is>
          <t>지하 정거장 대합실/승강장 및 변전실·전기실의 쾌적한 실내 환경 유지와 전기기기 발열 배출을 위해 KCS 41 시방서에 맞춰 아연도금강판(GI) 공조덕트를 시공하며, 변전실 시간당 10회 환기, 화장실 15~20회 음압 배기 및 동절기 외기 역류 방지용 B.D.D(기류역류방지댐퍼)를 완벽 가설한다.</t>
        </is>
      </c>
      <c r="K16" s="156" t="inlineStr">
        <is>
          <t>KCS 41 시방 기준 및 STEP 1: 덕트 제작 치수 검수 및 아연도금강판 가공, STEP 2: 풍도 댐퍼 및 B.D.D 기류역류방지댐퍼 조립 절차서 준수 시공</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157">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158">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159">
        <f>HYPERLINK(LEFT(CELL("filename",A1),FIND("[",CELL("filename",A1))-1)&amp;"매뉴얼BODY(집행단계-첨부폴더)v8\10.기계분야\15_정거장_변전소 환기덕트 시공\체크리스트\15_정거장_변전소 환기덕트 시공_체크리스트.html", "👉 [클릭] 체크리스트 열기 📄")</f>
        <v/>
      </c>
      <c r="S16" s="154" t="inlineStr">
        <is>
          <t>기계·소방 복합 시방 준수</t>
        </is>
      </c>
      <c r="T16" s="156" t="inlineStr">
        <is>
          <t>● KDS 47 철도설계기준, KCS 41 건축기계시방 및 NFTC/NFPC 화재안전기술기준 100% 준수</t>
        </is>
      </c>
      <c r="U16" s="153" t="inlineStr">
        <is>
          <t>1) 👉 [더블클릭] 체크리스트 열기 📄</t>
        </is>
      </c>
      <c r="V16" s="156" t="inlineStr">
        <is>
          <t>기계설비·소방 전문 감리 및 시공 기술자문단 상시 운영</t>
        </is>
      </c>
    </row>
    <row r="17" ht="36" customHeight="1" s="147">
      <c r="A17" s="160" t="inlineStr">
        <is>
          <t>9000</t>
        </is>
      </c>
      <c r="B17" s="160" t="inlineStr">
        <is>
          <t>9000-8</t>
        </is>
      </c>
      <c r="C17" s="160" t="inlineStr">
        <is>
          <t>기계설비·소방설비</t>
        </is>
      </c>
      <c r="D17" s="160" t="inlineStr">
        <is>
          <t>9000-8-16</t>
        </is>
      </c>
      <c r="E17" s="161" t="inlineStr">
        <is>
          <t>9000-8-15</t>
        </is>
      </c>
      <c r="F17" s="161" t="inlineStr">
        <is>
          <t>9000-8-17</t>
        </is>
      </c>
      <c r="G17" s="162" t="inlineStr">
        <is>
          <t>고내열(250℃) 제연팬_풍도</t>
        </is>
      </c>
      <c r="H17" s="161" t="inlineStr">
        <is>
          <t>D-72</t>
        </is>
      </c>
      <c r="I17" s="161" t="inlineStr">
        <is>
          <t>기계/소방팀</t>
        </is>
      </c>
      <c r="J17" s="163" t="inlineStr">
        <is>
          <t>도시철도건설규칙 및 화재안전기준(NFTC 501)에 따라 화재 시 발생하는 고온의 유독가스를 신속히 배출하기 위해, 250℃ 고온에서 1시간 이상 연속 운전이 가능한 공인 시험기관 인증 제연팬(Axial Fan), 내화 풍도, 1.5mm 아연도 강판 덕트 및 불연 내열 캔버스를 완벽 시공한다.</t>
        </is>
      </c>
      <c r="K17" s="163" t="inlineStr">
        <is>
          <t>KCS 41 시방 기준 및 STEP 1: 250℃ 고내열 제연팬 사양 검토 및 반입 검수, STEP 2: 1.5mm 이상 고강도 제연 풍도 및 내진 지지대 시공 절차서 준수 시공</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164">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165">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166">
        <f>HYPERLINK(LEFT(CELL("filename",A1),FIND("[",CELL("filename",A1))-1)&amp;"매뉴얼BODY(집행단계-첨부폴더)v8\10.기계분야\16_고내열(250℃) 제연팬_풍도\체크리스트\16_고내열(250℃) 제연팬_풍도_체크리스트.html", "👉 [클릭] 체크리스트 열기 📄")</f>
        <v/>
      </c>
      <c r="S17" s="161" t="inlineStr">
        <is>
          <t>기계·소방 복합 시방 준수</t>
        </is>
      </c>
      <c r="T17" s="163" t="inlineStr">
        <is>
          <t>● KDS 47 철도설계기준, KCS 41 건축기계시방 및 NFTC/NFPC 화재안전기술기준 100% 준수</t>
        </is>
      </c>
      <c r="U17" s="160" t="inlineStr">
        <is>
          <t>1) 👉 [더블클릭] 체크리스트 열기 📄</t>
        </is>
      </c>
      <c r="V17" s="163" t="inlineStr">
        <is>
          <t>기계설비·소방 전문 감리 및 시공 기술자문단 상시 운영</t>
        </is>
      </c>
    </row>
    <row r="18" ht="36" customHeight="1" s="147">
      <c r="A18" s="153" t="inlineStr">
        <is>
          <t>9000</t>
        </is>
      </c>
      <c r="B18" s="153" t="inlineStr">
        <is>
          <t>9000-8</t>
        </is>
      </c>
      <c r="C18" s="153" t="inlineStr">
        <is>
          <t>기계설비·소방설비</t>
        </is>
      </c>
      <c r="D18" s="153" t="inlineStr">
        <is>
          <t>9000-8-17</t>
        </is>
      </c>
      <c r="E18" s="154" t="inlineStr">
        <is>
          <t>9000-8-16</t>
        </is>
      </c>
      <c r="F18" s="154" t="inlineStr">
        <is>
          <t>9000-8-18</t>
        </is>
      </c>
      <c r="G18" s="155" t="inlineStr">
        <is>
          <t>검수고 국부 냉난방 가설</t>
        </is>
      </c>
      <c r="H18" s="154" t="inlineStr">
        <is>
          <t>D-69</t>
        </is>
      </c>
      <c r="I18" s="154" t="inlineStr">
        <is>
          <t>기계/소방팀</t>
        </is>
      </c>
      <c r="J18" s="156" t="inlineStr">
        <is>
          <t>차량기지 종합검수고동 등 층고가 높고 체적이 거대한 대공간을 전면 냉난방하는 에너지 비효율성을 방지하기 위하여, 정비원이 실제 작업하는 핏트(Pit) 및 차체 검수 구역에 이동식 에어컨과 원적외선 전기히터를 국부 배치하고, 변전소 전기실에는 패키지 에어컨(PAC)을 정밀 가설한다.</t>
        </is>
      </c>
      <c r="K18" s="156" t="inlineStr">
        <is>
          <t>KCS 41 시방 기준 및 STEP 1: 대공간 국부 작업 구역 부하 분석 및 장비 선정, STEP 2: 변전실 패키지 에어컨(PAC) 3대 정합성 가설 절차서 준수 시공</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157">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158">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159">
        <f>HYPERLINK(LEFT(CELL("filename",A1),FIND("[",CELL("filename",A1))-1)&amp;"매뉴얼BODY(집행단계-첨부폴더)v8\10.기계분야\17_검수고 국부 냉난방 가설\체크리스트\17_검수고 국부 냉난방 가설_체크리스트.html", "👉 [클릭] 체크리스트 열기 📄")</f>
        <v/>
      </c>
      <c r="S18" s="154" t="inlineStr">
        <is>
          <t>기계·소방 복합 시방 준수</t>
        </is>
      </c>
      <c r="T18" s="156" t="inlineStr">
        <is>
          <t>● KDS 47 철도설계기준, KCS 41 건축기계시방 및 NFTC/NFPC 화재안전기술기준 100% 준수</t>
        </is>
      </c>
      <c r="U18" s="153" t="inlineStr">
        <is>
          <t>1) 👉 [더블클릭] 체크리스트 열기 📄</t>
        </is>
      </c>
      <c r="V18" s="156" t="inlineStr">
        <is>
          <t>기계설비·소방 전문 감리 및 시공 기술자문단 상시 운영</t>
        </is>
      </c>
    </row>
    <row r="19" ht="36" customHeight="1" s="147">
      <c r="A19" s="160" t="inlineStr">
        <is>
          <t>9000</t>
        </is>
      </c>
      <c r="B19" s="160" t="inlineStr">
        <is>
          <t>9000-8</t>
        </is>
      </c>
      <c r="C19" s="160" t="inlineStr">
        <is>
          <t>기계설비·소방설비</t>
        </is>
      </c>
      <c r="D19" s="160" t="inlineStr">
        <is>
          <t>9000-8-18</t>
        </is>
      </c>
      <c r="E19" s="161" t="inlineStr">
        <is>
          <t>9000-8-17</t>
        </is>
      </c>
      <c r="F19" s="161" t="inlineStr">
        <is>
          <t>9000-8-19</t>
        </is>
      </c>
      <c r="G19" s="162" t="inlineStr">
        <is>
          <t>냉온수_냉각수 배관 용접</t>
        </is>
      </c>
      <c r="H19" s="161" t="inlineStr">
        <is>
          <t>D-66</t>
        </is>
      </c>
      <c r="I19" s="161" t="inlineStr">
        <is>
          <t>기계/소방팀</t>
        </is>
      </c>
      <c r="J19" s="163" t="inlineStr">
        <is>
          <t>중앙 기계실 냉동기, 열교환기, 펌프와 공조기를 연결하는 냉온수 및 냉각수 주배관에 대해 KCS 41 시방 기준에 따라 숙련된 유자격 용접사가 맞대기 아크용접 및 TIG 용접을 수행하고, 용접부 비파괴검사(RT ≥ 10%), 설계압력 1.5배 수압시험, 방청 도장 및 보온 단열재를 완벽 시공한다.</t>
        </is>
      </c>
      <c r="K19" s="163" t="inlineStr">
        <is>
          <t>KCS 41 시방 기준 및 STEP 1: 배관 절단 및 개선(Beveling) 가공, STEP 2: 가접 및 다층 맞대기 용접(WPS 준수) 절차서 준수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164">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165">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166">
        <f>HYPERLINK(LEFT(CELL("filename",A1),FIND("[",CELL("filename",A1))-1)&amp;"매뉴얼BODY(집행단계-첨부폴더)v8\10.기계분야\18_냉온수_냉각수 배관 용접\체크리스트\18_냉온수_냉각수 배관 용접_체크리스트.html", "👉 [클릭] 체크리스트 열기 📄")</f>
        <v/>
      </c>
      <c r="S19" s="161" t="inlineStr">
        <is>
          <t>기계·소방 복합 시방 준수</t>
        </is>
      </c>
      <c r="T19" s="163" t="inlineStr">
        <is>
          <t>● KDS 47 철도설계기준, KCS 41 건축기계시방 및 NFTC/NFPC 화재안전기술기준 100% 준수</t>
        </is>
      </c>
      <c r="U19" s="160" t="inlineStr">
        <is>
          <t>1) 👉 [더블클릭] 체크리스트 열기 📄</t>
        </is>
      </c>
      <c r="V19" s="163" t="inlineStr">
        <is>
          <t>기계설비·소방 전문 감리 및 시공 기술자문단 상시 운영</t>
        </is>
      </c>
    </row>
    <row r="20" ht="36" customHeight="1" s="147">
      <c r="A20" s="153" t="inlineStr">
        <is>
          <t>9000</t>
        </is>
      </c>
      <c r="B20" s="153" t="inlineStr">
        <is>
          <t>9000-8</t>
        </is>
      </c>
      <c r="C20" s="153" t="inlineStr">
        <is>
          <t>기계설비·소방설비</t>
        </is>
      </c>
      <c r="D20" s="153" t="inlineStr">
        <is>
          <t>9000-8-19</t>
        </is>
      </c>
      <c r="E20" s="154" t="inlineStr">
        <is>
          <t>9000-8-18</t>
        </is>
      </c>
      <c r="F20" s="154" t="inlineStr">
        <is>
          <t>9000-8-20</t>
        </is>
      </c>
      <c r="G20" s="155" t="inlineStr">
        <is>
          <t>능동지하차도 전용터널 제연</t>
        </is>
      </c>
      <c r="H20" s="154" t="inlineStr">
        <is>
          <t>D-63</t>
        </is>
      </c>
      <c r="I20" s="154" t="inlineStr">
        <is>
          <t>기계/소방팀</t>
        </is>
      </c>
      <c r="J20" s="156" t="inlineStr">
        <is>
          <t>도시철도건설규칙 제67조에 따라 능동지하차도 트램 전용터널 통과 구간에 화재 발생 시 승객의 안전 피난 방향으로 연기 유동을 제어(임계풍속 ≥ 2.5m/s 확보)하는 제연설비, 건식 연결송수관 및 CFD 컴퓨터 화재 수치해석 시뮬레이션을 완벽 시공·검증한다.</t>
        </is>
      </c>
      <c r="K20" s="156" t="inlineStr">
        <is>
          <t>KCS 41 시방 기준 및 STEP 1: 3D CFD 화재 및 피난 시뮬레이션 모델링, STEP 2: 터널 천장 제연팬(Jet Fan) 앵커링 및 내진 시공 절차서 준수 시공</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157">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158">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159">
        <f>HYPERLINK(LEFT(CELL("filename",A1),FIND("[",CELL("filename",A1))-1)&amp;"매뉴얼BODY(집행단계-첨부폴더)v8\10.기계분야\19_능동지하차도 전용터널 제연\체크리스트\19_능동지하차도 전용터널 제연_체크리스트.html", "👉 [클릭] 체크리스트 열기 📄")</f>
        <v/>
      </c>
      <c r="S20" s="154" t="inlineStr">
        <is>
          <t>기계·소방 복합 시방 준수</t>
        </is>
      </c>
      <c r="T20" s="156" t="inlineStr">
        <is>
          <t>● KDS 47 철도설계기준, KCS 41 건축기계시방 및 NFTC/NFPC 화재안전기술기준 100% 준수</t>
        </is>
      </c>
      <c r="U20" s="153" t="inlineStr">
        <is>
          <t>1) 👉 [더블클릭] 체크리스트 열기 📄</t>
        </is>
      </c>
      <c r="V20" s="156" t="inlineStr">
        <is>
          <t>기계설비·소방 전문 감리 및 시공 기술자문단 상시 운영</t>
        </is>
      </c>
    </row>
    <row r="21" ht="36" customHeight="1" s="147">
      <c r="A21" s="160" t="inlineStr">
        <is>
          <t>9000</t>
        </is>
      </c>
      <c r="B21" s="160" t="inlineStr">
        <is>
          <t>9000-8</t>
        </is>
      </c>
      <c r="C21" s="160" t="inlineStr">
        <is>
          <t>기계설비·소방설비</t>
        </is>
      </c>
      <c r="D21" s="160" t="inlineStr">
        <is>
          <t>9000-8-20</t>
        </is>
      </c>
      <c r="E21" s="161" t="inlineStr">
        <is>
          <t>9000-8-19</t>
        </is>
      </c>
      <c r="F21" s="161" t="inlineStr">
        <is>
          <t>9000-8-21</t>
        </is>
      </c>
      <c r="G21" s="162" t="inlineStr">
        <is>
          <t>공기조화기(AHU_PAC) 거치</t>
        </is>
      </c>
      <c r="H21" s="161" t="inlineStr">
        <is>
          <t>D-60</t>
        </is>
      </c>
      <c r="I21" s="161" t="inlineStr">
        <is>
          <t>기계/소방팀</t>
        </is>
      </c>
      <c r="J21" s="163" t="inlineStr">
        <is>
          <t>지하 정거장 공조기계실 및 전기실에 대형 공기조화기(AHU)와 항온항습기(PAC)를 반입하여 기초 콘크리트 패드 위에 거치하고, 기계 가동 진동이 건축 구조물로 전파되는 것을 차단하는 방진스프링 마운트(정적변위 25~50mm), 드레인 트랩 및 수평도(±1mm)를 완벽 시공한다.</t>
        </is>
      </c>
      <c r="K21" s="163" t="inlineStr">
        <is>
          <t>KCS 41 시방 기준 및 STEP 1: 기초 콘크리트 패드 검측 및 기준선 마킹, STEP 2: AHU 분할 반입 및 블록 조립 결속 절차서 준수 시공</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164">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165">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166">
        <f>HYPERLINK(LEFT(CELL("filename",A1),FIND("[",CELL("filename",A1))-1)&amp;"매뉴얼BODY(집행단계-첨부폴더)v8\10.기계분야\20_공기조화기(AHU_PAC) 거치\체크리스트\20_공기조화기(AHU_PAC) 거치_체크리스트.html", "👉 [클릭] 체크리스트 열기 📄")</f>
        <v/>
      </c>
      <c r="S21" s="161" t="inlineStr">
        <is>
          <t>기계·소방 복합 시방 준수</t>
        </is>
      </c>
      <c r="T21" s="163" t="inlineStr">
        <is>
          <t>● KDS 47 철도설계기준, KCS 41 건축기계시방 및 NFTC/NFPC 화재안전기술기준 100% 준수</t>
        </is>
      </c>
      <c r="U21" s="160" t="inlineStr">
        <is>
          <t>1) 👉 [더블클릭] 체크리스트 열기 📄</t>
        </is>
      </c>
      <c r="V21" s="163" t="inlineStr">
        <is>
          <t>기계설비·소방 전문 감리 및 시공 기술자문단 상시 운영</t>
        </is>
      </c>
    </row>
    <row r="22" ht="36" customHeight="1" s="147">
      <c r="A22" s="153" t="inlineStr">
        <is>
          <t>9000</t>
        </is>
      </c>
      <c r="B22" s="153" t="inlineStr">
        <is>
          <t>9000-8</t>
        </is>
      </c>
      <c r="C22" s="153" t="inlineStr">
        <is>
          <t>기계설비·소방설비</t>
        </is>
      </c>
      <c r="D22" s="153" t="inlineStr">
        <is>
          <t>9000-8-21</t>
        </is>
      </c>
      <c r="E22" s="154" t="inlineStr">
        <is>
          <t>9000-8-20</t>
        </is>
      </c>
      <c r="F22" s="154" t="inlineStr">
        <is>
          <t>9000-8-22</t>
        </is>
      </c>
      <c r="G22" s="155" t="inlineStr">
        <is>
          <t>급수_급탕 STS 배관 시공</t>
        </is>
      </c>
      <c r="H22" s="154" t="inlineStr">
        <is>
          <t>D+5</t>
        </is>
      </c>
      <c r="I22" s="154" t="inlineStr">
        <is>
          <t>기계/소방팀</t>
        </is>
      </c>
      <c r="J22" s="156" t="inlineStr">
        <is>
          <t>정거장 및 차량기지 관리동의 위생적인 음용수 및 급탕 공급을 위하여 KSD 3595(일반배관용 스테인리스 강관) 및 KSD 3576(배관용 스테인리스 강관)을 적용하고, 전용 전동 압착공구를 사용한 무용접 프레스 조인트 시공, 1.0MPa 수압시험, 배관 내부 염소 소독 세척을 완벽 수행한다.</t>
        </is>
      </c>
      <c r="K22" s="156" t="inlineStr">
        <is>
          <t>KCS 41 시방 기준 및 STEP 1: STS 파이프 정밀 절단 및 단부 버(Burr) 제거, STEP 2: 피팅 삽입 깊이 마킹 및 전동 압착 체결 절차서 준수 시공</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157">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158">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159">
        <f>HYPERLINK(LEFT(CELL("filename",A1),FIND("[",CELL("filename",A1))-1)&amp;"매뉴얼BODY(집행단계-첨부폴더)v8\10.기계분야\21_급수_급탕 STS 배관 시공\체크리스트\21_급수_급탕 STS 배관 시공_체크리스트.html", "👉 [클릭] 체크리스트 열기 📄")</f>
        <v/>
      </c>
      <c r="S22" s="154" t="inlineStr">
        <is>
          <t>기계·소방 복합 시방 준수</t>
        </is>
      </c>
      <c r="T22" s="156" t="inlineStr">
        <is>
          <t>● KDS 47 철도설계기준, KCS 41 건축기계시방 및 NFTC/NFPC 화재안전기술기준 100% 준수</t>
        </is>
      </c>
      <c r="U22" s="153" t="inlineStr">
        <is>
          <t>1) 👉 [더블클릭] 체크리스트 열기 📄</t>
        </is>
      </c>
      <c r="V22" s="156" t="inlineStr">
        <is>
          <t>기계설비·소방 전문 감리 및 시공 기술자문단 상시 운영</t>
        </is>
      </c>
    </row>
    <row r="23" ht="36" customHeight="1" s="147">
      <c r="A23" s="160" t="inlineStr">
        <is>
          <t>9000</t>
        </is>
      </c>
      <c r="B23" s="160" t="inlineStr">
        <is>
          <t>9000-8</t>
        </is>
      </c>
      <c r="C23" s="160" t="inlineStr">
        <is>
          <t>기계설비·소방설비</t>
        </is>
      </c>
      <c r="D23" s="160" t="inlineStr">
        <is>
          <t>9000-8-22</t>
        </is>
      </c>
      <c r="E23" s="161" t="inlineStr">
        <is>
          <t>9000-8-21</t>
        </is>
      </c>
      <c r="F23" s="161" t="inlineStr">
        <is>
          <t>9000-8-23</t>
        </is>
      </c>
      <c r="G23" s="162" t="inlineStr">
        <is>
          <t>오배수관 및 집수조 배수펌프</t>
        </is>
      </c>
      <c r="H23" s="161" t="inlineStr">
        <is>
          <t>D+10</t>
        </is>
      </c>
      <c r="I23" s="161" t="inlineStr">
        <is>
          <t>기계/소방팀</t>
        </is>
      </c>
      <c r="J23" s="163" t="inlineStr">
        <is>
          <t>정거장 화장실 오수, 바닥 잡배수 및 지하 침출수를 신속하고 안전하게 배출하기 위해, 오배수 배관의 자연유하 구배(1/50~1/100)를 확보하고, 지하 최하층 집수조에 고효율 수중 카터/오수 배수펌프 2대(1대 상용, 1대 예비)와 수위센서 연동 자동 교번 운전 제어반을 완벽 시공한다.</t>
        </is>
      </c>
      <c r="K23" s="163" t="inlineStr">
        <is>
          <t>KCS 41 시방 기준 및 STEP 1: 오배수 배관 라인 먹매김 및 구배 계획, STEP 2: 주철관/PVC관 포설 및 배관 행거 고정 절차서 준수 시공</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164">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165">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166">
        <f>HYPERLINK(LEFT(CELL("filename",A1),FIND("[",CELL("filename",A1))-1)&amp;"매뉴얼BODY(집행단계-첨부폴더)v8\10.기계분야\22_오배수관 및 집수조 배수펌프\체크리스트\22_오배수관 및 집수조 배수펌프_체크리스트.html", "👉 [클릭] 체크리스트 열기 📄")</f>
        <v/>
      </c>
      <c r="S23" s="161" t="inlineStr">
        <is>
          <t>기계·소방 복합 시방 준수</t>
        </is>
      </c>
      <c r="T23" s="163" t="inlineStr">
        <is>
          <t>● KDS 47 철도설계기준, KCS 41 건축기계시방 및 NFTC/NFPC 화재안전기술기준 100% 준수</t>
        </is>
      </c>
      <c r="U23" s="160" t="inlineStr">
        <is>
          <t>1) 👉 [더블클릭] 체크리스트 열기 📄</t>
        </is>
      </c>
      <c r="V23" s="163" t="inlineStr">
        <is>
          <t>기계설비·소방 전문 감리 및 시공 기술자문단 상시 운영</t>
        </is>
      </c>
    </row>
    <row r="24" ht="36" customHeight="1" s="147">
      <c r="A24" s="153" t="inlineStr">
        <is>
          <t>9000</t>
        </is>
      </c>
      <c r="B24" s="153" t="inlineStr">
        <is>
          <t>9000-8</t>
        </is>
      </c>
      <c r="C24" s="153" t="inlineStr">
        <is>
          <t>기계설비·소방설비</t>
        </is>
      </c>
      <c r="D24" s="153" t="inlineStr">
        <is>
          <t>9000-8-23</t>
        </is>
      </c>
      <c r="E24" s="154" t="inlineStr">
        <is>
          <t>9000-8-22</t>
        </is>
      </c>
      <c r="F24" s="154" t="inlineStr">
        <is>
          <t>9000-8-24</t>
        </is>
      </c>
      <c r="G24" s="155" t="inlineStr">
        <is>
          <t>차량기지 오폐수처리장(90㎡)</t>
        </is>
      </c>
      <c r="H24" s="154" t="inlineStr">
        <is>
          <t>D+15</t>
        </is>
      </c>
      <c r="I24" s="154" t="inlineStr">
        <is>
          <t>기계/소방팀</t>
        </is>
      </c>
      <c r="J24" s="156" t="inlineStr">
        <is>
          <t>차량기지 중정비 공장(대차도장, 대차세척, 부품세척 등 23.314 ㎥/일), 경정비 공장(4.054 ㎥/일) 및 청소선에서 발생하는 고농도 유기계·유류 폐수를 법정 환경 기준 이하로 정화 배출하기 위해 기지 외곽에 연면적 90㎡ 규모의 전용 가설 폐수처리장, 유수분리기, 화학응집침전조 및 활성탄 흡착탑을 완벽 시공한다.</t>
        </is>
      </c>
      <c r="K24" s="156" t="inlineStr">
        <is>
          <t>KCS 41 시방 기준 및 STEP 1: 폐수처리장(90㎡) 토목 구조물 및 방수 검측, STEP 2: 유수분리기 및 원수 수집조 설비 설치 절차서 준수 시공</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157">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158">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159">
        <f>HYPERLINK(LEFT(CELL("filename",A1),FIND("[",CELL("filename",A1))-1)&amp;"매뉴얼BODY(집행단계-첨부폴더)v8\10.기계분야\23_차량기지 오폐수처리장(90㎡)\체크리스트\23_차량기지 오폐수처리장(90㎡)_체크리스트.html", "👉 [클릭] 체크리스트 열기 📄")</f>
        <v/>
      </c>
      <c r="S24" s="154" t="inlineStr">
        <is>
          <t>기계·소방 복합 시방 준수</t>
        </is>
      </c>
      <c r="T24" s="156" t="inlineStr">
        <is>
          <t>● KDS 47 철도설계기준, KCS 41 건축기계시방 및 NFTC/NFPC 화재안전기술기준 100% 준수</t>
        </is>
      </c>
      <c r="U24" s="153" t="inlineStr">
        <is>
          <t>1) 👉 [더블클릭] 체크리스트 열기 📄</t>
        </is>
      </c>
      <c r="V24" s="156" t="inlineStr">
        <is>
          <t>기계설비·소방 전문 감리 및 시공 기술자문단 상시 운영</t>
        </is>
      </c>
    </row>
    <row r="25" ht="36" customHeight="1" s="147">
      <c r="A25" s="160" t="inlineStr">
        <is>
          <t>9000</t>
        </is>
      </c>
      <c r="B25" s="160" t="inlineStr">
        <is>
          <t>9000-8</t>
        </is>
      </c>
      <c r="C25" s="160" t="inlineStr">
        <is>
          <t>기계설비·소방설비</t>
        </is>
      </c>
      <c r="D25" s="160" t="inlineStr">
        <is>
          <t>9000-8-24</t>
        </is>
      </c>
      <c r="E25" s="161" t="inlineStr">
        <is>
          <t>9000-8-23</t>
        </is>
      </c>
      <c r="F25" s="161" t="inlineStr">
        <is>
          <t>9000-8-25</t>
        </is>
      </c>
      <c r="G25" s="162" t="inlineStr">
        <is>
          <t>차체 자동세척설비(세차기)</t>
        </is>
      </c>
      <c r="H25" s="161" t="inlineStr">
        <is>
          <t>D+20</t>
        </is>
      </c>
      <c r="I25" s="161" t="inlineStr">
        <is>
          <t>기계/소방팀</t>
        </is>
      </c>
      <c r="J25" s="163" t="inlineStr">
        <is>
          <t>동탄트램 차량의 청결 상태를 유지하기 위해 차량기지 청소선에 트램 전용 갠트리식 자동세척설비(차체 전·측·후면 브러시, 세제 분사 펌프, 린스 노즐, 윈드 블로워 송풍 건조기, 폐수 회수 집수 트렌치)를 시공하고, 열차 진입 감지 센서 연동 100% 자동 세척 시퀀스를 완성한다.</t>
        </is>
      </c>
      <c r="K25" s="163" t="inlineStr">
        <is>
          <t>KCS 41 시방 기준 및 STEP 1: 청소선 궤도 건축한계 대조 및 기초 앵커 시공, STEP 2: 세차기 메인 갠트리 프레임 및 브러시 조립 절차서 준수 시공</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164">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165">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166">
        <f>HYPERLINK(LEFT(CELL("filename",A1),FIND("[",CELL("filename",A1))-1)&amp;"매뉴얼BODY(집행단계-첨부폴더)v8\10.기계분야\24_차체 자동세척설비(세차기)\체크리스트\24_차체 자동세척설비(세차기)_체크리스트.html", "👉 [클릭] 체크리스트 열기 📄")</f>
        <v/>
      </c>
      <c r="S25" s="161" t="inlineStr">
        <is>
          <t>기계·소방 복합 시방 준수</t>
        </is>
      </c>
      <c r="T25" s="163" t="inlineStr">
        <is>
          <t>● KDS 47 철도설계기준, KCS 41 건축기계시방 및 NFTC/NFPC 화재안전기술기준 100% 준수</t>
        </is>
      </c>
      <c r="U25" s="160" t="inlineStr">
        <is>
          <t>1) 👉 [더블클릭] 체크리스트 열기 📄</t>
        </is>
      </c>
      <c r="V25" s="163" t="inlineStr">
        <is>
          <t>기계설비·소방 전문 감리 및 시공 기술자문단 상시 운영</t>
        </is>
      </c>
    </row>
    <row r="26" ht="36" customHeight="1" s="147">
      <c r="A26" s="153" t="inlineStr">
        <is>
          <t>9000</t>
        </is>
      </c>
      <c r="B26" s="153" t="inlineStr">
        <is>
          <t>9000-8</t>
        </is>
      </c>
      <c r="C26" s="153" t="inlineStr">
        <is>
          <t>기계설비·소방설비</t>
        </is>
      </c>
      <c r="D26" s="153" t="inlineStr">
        <is>
          <t>9000-8-25</t>
        </is>
      </c>
      <c r="E26" s="154" t="inlineStr">
        <is>
          <t>9000-8-24</t>
        </is>
      </c>
      <c r="F26" s="154" t="inlineStr">
        <is>
          <t>9000-8-26</t>
        </is>
      </c>
      <c r="G26" s="155" t="inlineStr">
        <is>
          <t>정화조 음압 탈취설비 시공</t>
        </is>
      </c>
      <c r="H26" s="154" t="inlineStr">
        <is>
          <t>D+25</t>
        </is>
      </c>
      <c r="I26" s="154" t="inlineStr">
        <is>
          <t>기계/소방팀</t>
        </is>
      </c>
      <c r="J26" s="156" t="inlineStr">
        <is>
          <t>차량기지 종합관리동 및 정거장 정화조 수조에서 발생하는 황화수소(H2S), 암모니아(NH3), 메탄(CH4) 등 유해·악취 가스가 지상 역사 및 근무 공간으로 확산되는 것을 원천 차단하기 위해, 정화조실 내부를 3종 음압으로 유지하는 내식성 FRP 탈취 덕트, 약액세정식 2단 탈취탑 및 복합가스 감지 센서를 시공한다.</t>
        </is>
      </c>
      <c r="K26" s="156" t="inlineStr">
        <is>
          <t>KCS 41 시방 기준 및 STEP 1: 정화조실 음압 환기량 및 유해가스 농도 계산, STEP 2: 내식성 FRP 탈취 덕트 및 배기팬 가설 절차서 준수 시공</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157">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158">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159">
        <f>HYPERLINK(LEFT(CELL("filename",A1),FIND("[",CELL("filename",A1))-1)&amp;"매뉴얼BODY(집행단계-첨부폴더)v8\10.기계분야\25_정화조 음압 탈취설비 시공\체크리스트\25_정화조 음압 탈취설비 시공_체크리스트.html", "👉 [클릭] 체크리스트 열기 📄")</f>
        <v/>
      </c>
      <c r="S26" s="154" t="inlineStr">
        <is>
          <t>기계·소방 복합 시방 준수</t>
        </is>
      </c>
      <c r="T26" s="156" t="inlineStr">
        <is>
          <t>● KDS 47 철도설계기준, KCS 41 건축기계시방 및 NFTC/NFPC 화재안전기술기준 100% 준수</t>
        </is>
      </c>
      <c r="U26" s="153" t="inlineStr">
        <is>
          <t>1) 👉 [더블클릭] 체크리스트 열기 📄</t>
        </is>
      </c>
      <c r="V26" s="156" t="inlineStr">
        <is>
          <t>기계설비·소방 전문 감리 및 시공 기술자문단 상시 운영</t>
        </is>
      </c>
    </row>
    <row r="27" ht="36" customHeight="1" s="147">
      <c r="A27" s="160" t="inlineStr">
        <is>
          <t>9000</t>
        </is>
      </c>
      <c r="B27" s="160" t="inlineStr">
        <is>
          <t>9000-8</t>
        </is>
      </c>
      <c r="C27" s="160" t="inlineStr">
        <is>
          <t>기계설비·소방설비</t>
        </is>
      </c>
      <c r="D27" s="160" t="inlineStr">
        <is>
          <t>9000-8-26</t>
        </is>
      </c>
      <c r="E27" s="161" t="inlineStr">
        <is>
          <t>9000-8-25</t>
        </is>
      </c>
      <c r="F27" s="161" t="inlineStr">
        <is>
          <t>9000-8-27</t>
        </is>
      </c>
      <c r="G27" s="162" t="inlineStr">
        <is>
          <t>호스릴 옥내소화전설비 시공</t>
        </is>
      </c>
      <c r="H27" s="161" t="inlineStr">
        <is>
          <t>D+30</t>
        </is>
      </c>
      <c r="I27" s="161" t="inlineStr">
        <is>
          <t>기계/소방팀</t>
        </is>
      </c>
      <c r="J27" s="163" t="inlineStr">
        <is>
          <t>화재안전기술기준(NFTC 102) 및 시방서 개선 사항에 따라 일반인이 혼자서도 손쉽게 당겨서 방수할 수 있는 고성능 '호스릴 옥내소화전(STS304 외함, 25mm 고무호스 릴, 분말소화기 3.3kg 2대 내장형)'을 정거장 및 차량기지 전 구역에 보행거리 25m 이내로 배치하고, 방수압력(0.17~0.7MPa) 및 방수량(130L/min)을 완벽 시공한다.</t>
        </is>
      </c>
      <c r="K27" s="163" t="inlineStr">
        <is>
          <t>KCS 41 시방 기준 및 STEP 1: 소화전함 설치 위치 먹매김 및 배관 인입선 실측, STEP 2: 배관 가설 및 그루브 조인트(Grooved Joint) 체결 절차서 준수 시공</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164">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165">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166">
        <f>HYPERLINK(LEFT(CELL("filename",A1),FIND("[",CELL("filename",A1))-1)&amp;"매뉴얼BODY(집행단계-첨부폴더)v8\10.기계분야\26_호스릴 옥내소화전설비 시공\체크리스트\26_호스릴 옥내소화전설비 시공_체크리스트.html", "👉 [클릭] 체크리스트 열기 📄")</f>
        <v/>
      </c>
      <c r="S27" s="161" t="inlineStr">
        <is>
          <t>기계·소방 복합 시방 준수</t>
        </is>
      </c>
      <c r="T27" s="163" t="inlineStr">
        <is>
          <t>● KDS 47 철도설계기준, KCS 41 건축기계시방 및 NFTC/NFPC 화재안전기술기준 100% 준수</t>
        </is>
      </c>
      <c r="U27" s="160" t="inlineStr">
        <is>
          <t>1) 👉 [더블클릭] 체크리스트 열기 📄</t>
        </is>
      </c>
      <c r="V27" s="163" t="inlineStr">
        <is>
          <t>기계설비·소방 전문 감리 및 시공 기술자문단 상시 운영</t>
        </is>
      </c>
    </row>
    <row r="28" ht="36" customHeight="1" s="147">
      <c r="A28" s="153" t="inlineStr">
        <is>
          <t>9000</t>
        </is>
      </c>
      <c r="B28" s="153" t="inlineStr">
        <is>
          <t>9000-8</t>
        </is>
      </c>
      <c r="C28" s="153" t="inlineStr">
        <is>
          <t>기계설비·소방설비</t>
        </is>
      </c>
      <c r="D28" s="153" t="inlineStr">
        <is>
          <t>9000-8-27</t>
        </is>
      </c>
      <c r="E28" s="154" t="inlineStr">
        <is>
          <t>9000-8-26</t>
        </is>
      </c>
      <c r="F28" s="154" t="inlineStr">
        <is>
          <t>9000-8-28</t>
        </is>
      </c>
      <c r="G28" s="155" t="inlineStr">
        <is>
          <t>연결송수관-스프링클러 주배관 분리</t>
        </is>
      </c>
      <c r="H28" s="154" t="inlineStr">
        <is>
          <t>D+35</t>
        </is>
      </c>
      <c r="I28" s="154" t="inlineStr">
        <is>
          <t>기계/소방팀</t>
        </is>
      </c>
      <c r="J28" s="156" t="inlineStr">
        <is>
          <t>화재안전기술기준(NFTC 103, 502) 개정 법령에 따라 과거 겸용으로 시공되던 '연결송수관설비'와 '스프링클러설비'의 수직 주배관 및 옥외 소방차 연결 송수구를 물리적으로 각각 100% 완전 분리 시공하여, 화재 시 소방차 고압 가압에 따른 스프링클러 배관 파손을 막고 소화 수압 안정성을 극대화한다.</t>
        </is>
      </c>
      <c r="K28" s="156" t="inlineStr">
        <is>
          <t>KCS 41 시방 기준 및 STEP 1: 개정 화재안전기술기준 설계도서 대조 및 입상 경로 분리, STEP 2: 연결송수관 전용 고압 배관 시공 절차서 준수 시공</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157">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158">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159">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154" t="inlineStr">
        <is>
          <t>기계·소방 복합 시방 준수</t>
        </is>
      </c>
      <c r="T28" s="156" t="inlineStr">
        <is>
          <t>● KDS 47 철도설계기준, KCS 41 건축기계시방 및 NFTC/NFPC 화재안전기술기준 100% 준수</t>
        </is>
      </c>
      <c r="U28" s="153" t="inlineStr">
        <is>
          <t>1) 👉 [더블클릭] 체크리스트 열기 📄</t>
        </is>
      </c>
      <c r="V28" s="156" t="inlineStr">
        <is>
          <t>기계설비·소방 전문 감리 및 시공 기술자문단 상시 운영</t>
        </is>
      </c>
    </row>
    <row r="29" ht="36" customHeight="1" s="147">
      <c r="A29" s="160" t="inlineStr">
        <is>
          <t>9000</t>
        </is>
      </c>
      <c r="B29" s="160" t="inlineStr">
        <is>
          <t>9000-8</t>
        </is>
      </c>
      <c r="C29" s="160" t="inlineStr">
        <is>
          <t>기계설비·소방설비</t>
        </is>
      </c>
      <c r="D29" s="160" t="inlineStr">
        <is>
          <t>9000-8-28</t>
        </is>
      </c>
      <c r="E29" s="161" t="inlineStr">
        <is>
          <t>9000-8-27</t>
        </is>
      </c>
      <c r="F29" s="161" t="inlineStr">
        <is>
          <t>9000-8-29</t>
        </is>
      </c>
      <c r="G29" s="162" t="inlineStr">
        <is>
          <t>큐비클 가스계_에어로졸 소화</t>
        </is>
      </c>
      <c r="H29" s="161" t="inlineStr">
        <is>
          <t>D+40</t>
        </is>
      </c>
      <c r="I29" s="161" t="inlineStr">
        <is>
          <t>기계/소방팀</t>
        </is>
      </c>
      <c r="J29" s="163" t="inlineStr">
        <is>
          <t>전기 스파크 및 과부하로 인한 전기화재 위험이 높은 차량기지 변전소, 트램 배터리 충전 전기실, 종합관리동 및 본선 31개소 정거장의 특고압/저압 수배전반 큐비클(Cubicle) 내부에 KFI 형식승인을 득한 소공간용 고체에어로졸 자동소화장치를 1:1 취부하여 판넬 내부 화재를 3초 이내에 국부 진압한다.</t>
        </is>
      </c>
      <c r="K29" s="163" t="inlineStr">
        <is>
          <t>KCS 41 시방 기준 및 STEP 1: 수배전반 큐비클 체적(㎥) 및 소화약제량 산정, STEP 2: 고체에어로졸 소화장치 브라켓 고정 절차서 준수 시공</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164">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165">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166">
        <f>HYPERLINK(LEFT(CELL("filename",A1),FIND("[",CELL("filename",A1))-1)&amp;"매뉴얼BODY(집행단계-첨부폴더)v8\10.기계분야\28_큐비클 가스계_에어로졸 소화\체크리스트\28_큐비클 가스계_에어로졸 소화_체크리스트.html", "👉 [클릭] 체크리스트 열기 📄")</f>
        <v/>
      </c>
      <c r="S29" s="161" t="inlineStr">
        <is>
          <t>기계·소방 복합 시방 준수</t>
        </is>
      </c>
      <c r="T29" s="163" t="inlineStr">
        <is>
          <t>● KDS 47 철도설계기준, KCS 41 건축기계시방 및 NFTC/NFPC 화재안전기술기준 100% 준수</t>
        </is>
      </c>
      <c r="U29" s="160" t="inlineStr">
        <is>
          <t>1) 👉 [더블클릭] 체크리스트 열기 📄</t>
        </is>
      </c>
      <c r="V29" s="163" t="inlineStr">
        <is>
          <t>기계설비·소방 전문 감리 및 시공 기술자문단 상시 운영</t>
        </is>
      </c>
    </row>
    <row r="30" ht="36" customHeight="1" s="147">
      <c r="A30" s="153" t="inlineStr">
        <is>
          <t>9000</t>
        </is>
      </c>
      <c r="B30" s="153" t="inlineStr">
        <is>
          <t>9000-8</t>
        </is>
      </c>
      <c r="C30" s="153" t="inlineStr">
        <is>
          <t>기계설비·소방설비</t>
        </is>
      </c>
      <c r="D30" s="153" t="inlineStr">
        <is>
          <t>9000-8-29</t>
        </is>
      </c>
      <c r="E30" s="154" t="inlineStr">
        <is>
          <t>9000-8-28</t>
        </is>
      </c>
      <c r="F30" s="154" t="inlineStr">
        <is>
          <t>9000-8-30</t>
        </is>
      </c>
      <c r="G30" s="155" t="inlineStr">
        <is>
          <t>가스소화구역 과압배출구(P.R.D)</t>
        </is>
      </c>
      <c r="H30" s="154" t="inlineStr">
        <is>
          <t>D+45</t>
        </is>
      </c>
      <c r="I30" s="154" t="inlineStr">
        <is>
          <t>기계/소방팀</t>
        </is>
      </c>
      <c r="J30" s="156" t="inlineStr">
        <is>
          <t>차량기지 주변전소, 정거장 변전실 등 가스계 소화설비(HFC-125, Novec 1230 등)가 적용된 밀폐 방호구역에 소화가스 방출 시 순간적인 압력 상승으로 인한 방화벽체, 출입문 및 유리창의 파손을 방지하기 위하여, 설정 압력(150~300Pa) 이상에서 자동으로 개방되는 과압배출구(P.R.D, Pressure Relief Damper)를 벽체에 완벽 가설한다.</t>
        </is>
      </c>
      <c r="K30" s="156" t="inlineStr">
        <is>
          <t>KCS 41 시방 기준 및 STEP 1: 가스 방출 압력 상승치 및 P.R.D 배출 면적 계산, STEP 2: 방화벽체 개구부 타공 및 STS 프레임 가설 절차서 준수 시공</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157">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158">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159">
        <f>HYPERLINK(LEFT(CELL("filename",A1),FIND("[",CELL("filename",A1))-1)&amp;"매뉴얼BODY(집행단계-첨부폴더)v8\10.기계분야\29_가스소화구역 과압배출구(P.R.D)\체크리스트\29_가스소화구역 과압배출구(P.R.D)_체크리스트.html", "👉 [클릭] 체크리스트 열기 📄")</f>
        <v/>
      </c>
      <c r="S30" s="154" t="inlineStr">
        <is>
          <t>기계·소방 복합 시방 준수</t>
        </is>
      </c>
      <c r="T30" s="156" t="inlineStr">
        <is>
          <t>● KDS 47 철도설계기준, KCS 41 건축기계시방 및 NFTC/NFPC 화재안전기술기준 100% 준수</t>
        </is>
      </c>
      <c r="U30" s="153" t="inlineStr">
        <is>
          <t>1) 👉 [더블클릭] 체크리스트 열기 📄</t>
        </is>
      </c>
      <c r="V30" s="156" t="inlineStr">
        <is>
          <t>기계설비·소방 전문 감리 및 시공 기술자문단 상시 운영</t>
        </is>
      </c>
    </row>
    <row r="31" ht="36" customHeight="1" s="147">
      <c r="A31" s="160" t="inlineStr">
        <is>
          <t>9000</t>
        </is>
      </c>
      <c r="B31" s="160" t="inlineStr">
        <is>
          <t>9000-8</t>
        </is>
      </c>
      <c r="C31" s="160" t="inlineStr">
        <is>
          <t>기계설비·소방설비</t>
        </is>
      </c>
      <c r="D31" s="160" t="inlineStr">
        <is>
          <t>9000-8-30</t>
        </is>
      </c>
      <c r="E31" s="161" t="inlineStr">
        <is>
          <t>9000-8-29</t>
        </is>
      </c>
      <c r="F31" s="161" t="inlineStr">
        <is>
          <t>9000-8-31</t>
        </is>
      </c>
      <c r="G31" s="162" t="inlineStr">
        <is>
          <t>소방펌프실 가설 및 성능시험</t>
        </is>
      </c>
      <c r="H31" s="161" t="inlineStr">
        <is>
          <t>D+50</t>
        </is>
      </c>
      <c r="I31" s="161" t="inlineStr">
        <is>
          <t>기계/소방팀</t>
        </is>
      </c>
      <c r="J31" s="163" t="inlineStr">
        <is>
          <t>화재안전기술기준(NFTC 102, 103)에 따라 정거장 및 차량기지 지하 소방펌프실에 주펌프(전기모터 구동), 보조 충압펌프, 성능시험배관, 압력챔버(또는 전자식 압력스위치), 순환배관 및 릴리프밸브를 가설하고, 3대 필수 성능시험(체절운전 시험, 정격부하 시험, 150% 최대부하 시험)을 완벽 수행한다.</t>
        </is>
      </c>
      <c r="K31" s="163" t="inlineStr">
        <is>
          <t>KCS 41 시방 기준 및 STEP 1: 소방펌프 콘크리트 기초 패드 및 방진가대 시공, STEP 2: 흡입·토출 배관, 플렉시블 조인트 및 밸브류 체결 절차서 준수 시공</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164">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165">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166">
        <f>HYPERLINK(LEFT(CELL("filename",A1),FIND("[",CELL("filename",A1))-1)&amp;"매뉴얼BODY(집행단계-첨부폴더)v8\10.기계분야\30_소방펌프실 가설 및 성능시험\체크리스트\30_소방펌프실 가설 및 성능시험_체크리스트.html", "👉 [클릭] 체크리스트 열기 📄")</f>
        <v/>
      </c>
      <c r="S31" s="161" t="inlineStr">
        <is>
          <t>기계·소방 복합 시방 준수</t>
        </is>
      </c>
      <c r="T31" s="163" t="inlineStr">
        <is>
          <t>● KDS 47 철도설계기준, KCS 41 건축기계시방 및 NFTC/NFPC 화재안전기술기준 100% 준수</t>
        </is>
      </c>
      <c r="U31" s="160" t="inlineStr">
        <is>
          <t>1) 👉 [더블클릭] 체크리스트 열기 📄</t>
        </is>
      </c>
      <c r="V31" s="163" t="inlineStr">
        <is>
          <t>기계설비·소방 전문 감리 및 시공 기술자문단 상시 운영</t>
        </is>
      </c>
    </row>
    <row r="32" ht="36" customHeight="1" s="147">
      <c r="A32" s="153" t="inlineStr">
        <is>
          <t>9000</t>
        </is>
      </c>
      <c r="B32" s="153" t="inlineStr">
        <is>
          <t>9000-8</t>
        </is>
      </c>
      <c r="C32" s="153" t="inlineStr">
        <is>
          <t>기계설비·소방설비</t>
        </is>
      </c>
      <c r="D32" s="153" t="inlineStr">
        <is>
          <t>9000-8-31</t>
        </is>
      </c>
      <c r="E32" s="154" t="inlineStr">
        <is>
          <t>9000-8-30</t>
        </is>
      </c>
      <c r="F32" s="154" t="inlineStr">
        <is>
          <t>9000-8-32</t>
        </is>
      </c>
      <c r="G32" s="155" t="inlineStr">
        <is>
          <t>정거장 인승용 승강기(17_24인승)</t>
        </is>
      </c>
      <c r="H32" s="154" t="inlineStr">
        <is>
          <t>D+55</t>
        </is>
      </c>
      <c r="I32" s="154" t="inlineStr">
        <is>
          <t>기계/소방팀</t>
        </is>
      </c>
      <c r="J32" s="156" t="inlineStr">
        <is>
          <t>교통약자의 수직 이동권 및 환승 편의를 보장하기 위해 정거장 외부 환승 동선에 17인승/24인승 MRL(기계실 없는) 인승용 엘리베이터를 설치하고, 승강로 수직도(±5mm), 가이드레일 브라켓, 도어 다점 적외선 안전센서, 비상통화장치 및 한국승강기안전공단 완성검사를 100% 합격 완료한다.</t>
        </is>
      </c>
      <c r="K32" s="156" t="inlineStr">
        <is>
          <t>KCS 41 시방 기준 및 STEP 1: 승강로 골조 치수, 피트 깊이 및 수직도 실측, STEP 2: 가이드레일 브라켓 및 T형 레일 조립 절차서 준수 시공</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157">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158">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159">
        <f>HYPERLINK(LEFT(CELL("filename",A1),FIND("[",CELL("filename",A1))-1)&amp;"매뉴얼BODY(집행단계-첨부폴더)v8\10.기계분야\31_정거장 인승용 승강기(17_24인승)\체크리스트\31_정거장 인승용 승강기(17_24인승)_체크리스트.html", "👉 [클릭] 체크리스트 열기 📄")</f>
        <v/>
      </c>
      <c r="S32" s="154" t="inlineStr">
        <is>
          <t>기계·소방 복합 시방 준수</t>
        </is>
      </c>
      <c r="T32" s="156" t="inlineStr">
        <is>
          <t>● KDS 47 철도설계기준, KCS 41 건축기계시방 및 NFTC/NFPC 화재안전기술기준 100% 준수</t>
        </is>
      </c>
      <c r="U32" s="153" t="inlineStr">
        <is>
          <t>1) 👉 [더블클릭] 체크리스트 열기 📄</t>
        </is>
      </c>
      <c r="V32" s="156" t="inlineStr">
        <is>
          <t>기계설비·소방 전문 감리 및 시공 기술자문단 상시 운영</t>
        </is>
      </c>
    </row>
    <row r="33" ht="36" customHeight="1" s="147">
      <c r="A33" s="160" t="inlineStr">
        <is>
          <t>9000</t>
        </is>
      </c>
      <c r="B33" s="160" t="inlineStr">
        <is>
          <t>9000-8</t>
        </is>
      </c>
      <c r="C33" s="160" t="inlineStr">
        <is>
          <t>기계설비·소방설비</t>
        </is>
      </c>
      <c r="D33" s="160" t="inlineStr">
        <is>
          <t>9000-8-32</t>
        </is>
      </c>
      <c r="E33" s="161" t="inlineStr">
        <is>
          <t>9000-8-31</t>
        </is>
      </c>
      <c r="F33" s="161" t="inlineStr">
        <is>
          <t>9000-8-33</t>
        </is>
      </c>
      <c r="G33" s="162" t="inlineStr">
        <is>
          <t>검수고 관통형 화물용 EV</t>
        </is>
      </c>
      <c r="H33" s="161" t="inlineStr">
        <is>
          <t>D+60</t>
        </is>
      </c>
      <c r="I33" s="161" t="inlineStr">
        <is>
          <t>기계/소방팀</t>
        </is>
      </c>
      <c r="J33" s="163" t="inlineStr">
        <is>
          <t>차량기지 종합검수고동 내 무거운 트램 부품, 대차 예비품 및 정비 공구의 층간 수직 이동을 전담하기 위해 3~5ton급 대용량 '관통형(양방향 도어 개폐형) 화물용 엘리베이터'를 설치하고, 지게차 진입 충격에 견디는 바닥 하중 보강, 도어 씰(Sill) 보강 및 화물 전용 안전장치를 완벽 시공한다.</t>
        </is>
      </c>
      <c r="K33" s="163" t="inlineStr">
        <is>
          <t>KCS 41 시방 기준 및 STEP 1: 대형 화물용 승강로 구조 및 지게차 동선 검토, STEP 2: 대형 H형강 카 프레임 및 중량 레일 가설 절차서 준수 시공</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164">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165">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166">
        <f>HYPERLINK(LEFT(CELL("filename",A1),FIND("[",CELL("filename",A1))-1)&amp;"매뉴얼BODY(집행단계-첨부폴더)v8\10.기계분야\32_검수고 관통형 화물용 EV\체크리스트\32_검수고 관통형 화물용 EV_체크리스트.html", "👉 [클릭] 체크리스트 열기 📄")</f>
        <v/>
      </c>
      <c r="S33" s="161" t="inlineStr">
        <is>
          <t>기계·소방 복합 시방 준수</t>
        </is>
      </c>
      <c r="T33" s="163" t="inlineStr">
        <is>
          <t>● KDS 47 철도설계기준, KCS 41 건축기계시방 및 NFTC/NFPC 화재안전기술기준 100% 준수</t>
        </is>
      </c>
      <c r="U33" s="160" t="inlineStr">
        <is>
          <t>1) 👉 [더블클릭] 체크리스트 열기 📄</t>
        </is>
      </c>
      <c r="V33" s="163" t="inlineStr">
        <is>
          <t>기계설비·소방 전문 감리 및 시공 기술자문단 상시 운영</t>
        </is>
      </c>
    </row>
    <row r="34" ht="36" customHeight="1" s="147">
      <c r="A34" s="153" t="inlineStr">
        <is>
          <t>9000</t>
        </is>
      </c>
      <c r="B34" s="153" t="inlineStr">
        <is>
          <t>9000-8</t>
        </is>
      </c>
      <c r="C34" s="153" t="inlineStr">
        <is>
          <t>기계설비·소방설비</t>
        </is>
      </c>
      <c r="D34" s="153" t="inlineStr">
        <is>
          <t>9000-8-33</t>
        </is>
      </c>
      <c r="E34" s="154" t="inlineStr">
        <is>
          <t>9000-8-32</t>
        </is>
      </c>
      <c r="F34" s="154" t="inlineStr">
        <is>
          <t>9000-8-34</t>
        </is>
      </c>
      <c r="G34" s="155" t="inlineStr">
        <is>
          <t>DDC_IP DDC 자동제어 백업 이중화</t>
        </is>
      </c>
      <c r="H34" s="154" t="inlineStr">
        <is>
          <t>D+65</t>
        </is>
      </c>
      <c r="I34" s="154" t="inlineStr">
        <is>
          <t>기계/소방팀</t>
        </is>
      </c>
      <c r="J34" s="156" t="inlineStr">
        <is>
          <t>정거장 및 차량기지 내 모든 기계설비(공조기, 환기팬, 펌프, 댐퍼, 밸브, 저수조, 전력계)의 실시간 원격 감시 및 에너지 최적 제어를 위해 직접디지털제어(DDC/IP DDC) 패널을 가설하고, 개방형 BACnet/Modbus 프로토콜 적용 및 메인 서버 장애 시 0초 무중단 자동 절환되는 Backup Server 이중화 시스템을 완벽 구축한다.</t>
        </is>
      </c>
      <c r="K34" s="156" t="inlineStr">
        <is>
          <t>KCS 41 시방 기준 및 STEP 1: 자동제어 I/O 포인트 일람표 및 통신 선로 설계 대조, STEP 2: 기계실 IP DDC 패널 가설 및 필드 센서/밸브 배선 절차서 준수 시공</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157">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158">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159">
        <f>HYPERLINK(LEFT(CELL("filename",A1),FIND("[",CELL("filename",A1))-1)&amp;"매뉴얼BODY(집행단계-첨부폴더)v8\10.기계분야\33_DDC_IP DDC 자동제어 백업 이중화\체크리스트\33_DDC_IP DDC 자동제어 백업 이중화_체크리스트.html", "👉 [클릭] 체크리스트 열기 📄")</f>
        <v/>
      </c>
      <c r="S34" s="154" t="inlineStr">
        <is>
          <t>기계·소방 복합 시방 준수</t>
        </is>
      </c>
      <c r="T34" s="156" t="inlineStr">
        <is>
          <t>● KDS 47 철도설계기준, KCS 41 건축기계시방 및 NFTC/NFPC 화재안전기술기준 100% 준수</t>
        </is>
      </c>
      <c r="U34" s="153" t="inlineStr">
        <is>
          <t>1) 👉 [더블클릭] 체크리스트 열기 📄</t>
        </is>
      </c>
      <c r="V34" s="156" t="inlineStr">
        <is>
          <t>기계설비·소방 전문 감리 및 시공 기술자문단 상시 운영</t>
        </is>
      </c>
    </row>
    <row r="35" ht="36" customHeight="1" s="147">
      <c r="A35" s="160" t="inlineStr">
        <is>
          <t>9000</t>
        </is>
      </c>
      <c r="B35" s="160" t="inlineStr">
        <is>
          <t>9000-8</t>
        </is>
      </c>
      <c r="C35" s="160" t="inlineStr">
        <is>
          <t>기계설비·소방설비</t>
        </is>
      </c>
      <c r="D35" s="160" t="inlineStr">
        <is>
          <t>9000-8-34</t>
        </is>
      </c>
      <c r="E35" s="161" t="inlineStr">
        <is>
          <t>9000-8-33</t>
        </is>
      </c>
      <c r="F35" s="161" t="inlineStr">
        <is>
          <t>9000-8-35</t>
        </is>
      </c>
      <c r="G35" s="162" t="inlineStr">
        <is>
          <t>화재연동 인터록 실부하 시험</t>
        </is>
      </c>
      <c r="H35" s="161" t="inlineStr">
        <is>
          <t>D+70</t>
        </is>
      </c>
      <c r="I35" s="161" t="inlineStr">
        <is>
          <t>기계/소방팀</t>
        </is>
      </c>
      <c r="J35" s="163" t="inlineStr">
        <is>
          <t>화재안전기술기준 및 철도 방재 매뉴얼에 따라 화재 발생 시 연기가 공조 덕트를 타고 다른 구역으로 확산되는 대형 참사를 막기 위해, 화재수신반 경보 발생 즉시 공조기·냉난방기 마그네틱 전원을 100% 강제 차단하고, 해당 제연구역의 제연팬을 비상 배연 모드로 가동하는 방재 인터록 실부하 시험을 수행한다.</t>
        </is>
      </c>
      <c r="K35" s="163" t="inlineStr">
        <is>
          <t>KCS 41 시방 기준 및 STEP 1: 화재 연동 방재 매트릭스(Cause &amp; Effect) 수립, STEP 2: 공조기 MCC 정지 접점 및 제연팬 기동 결선 점검 절차서 준수 시공</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164">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165">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166">
        <f>HYPERLINK(LEFT(CELL("filename",A1),FIND("[",CELL("filename",A1))-1)&amp;"매뉴얼BODY(집행단계-첨부폴더)v8\10.기계분야\34_화재연동 인터록 실부하 시험\체크리스트\34_화재연동 인터록 실부하 시험_체크리스트.html", "👉 [클릭] 체크리스트 열기 📄")</f>
        <v/>
      </c>
      <c r="S35" s="161" t="inlineStr">
        <is>
          <t>기계·소방 복합 시방 준수</t>
        </is>
      </c>
      <c r="T35" s="163" t="inlineStr">
        <is>
          <t>● KDS 47 철도설계기준, KCS 41 건축기계시방 및 NFTC/NFPC 화재안전기술기준 100% 준수</t>
        </is>
      </c>
      <c r="U35" s="160" t="inlineStr">
        <is>
          <t>1) 👉 [더블클릭] 체크리스트 열기 📄</t>
        </is>
      </c>
      <c r="V35" s="163" t="inlineStr">
        <is>
          <t>기계설비·소방 전문 감리 및 시공 기술자문단 상시 운영</t>
        </is>
      </c>
    </row>
    <row r="36" ht="36" customHeight="1" s="147">
      <c r="A36" s="153" t="inlineStr">
        <is>
          <t>9000</t>
        </is>
      </c>
      <c r="B36" s="153" t="inlineStr">
        <is>
          <t>9000-8</t>
        </is>
      </c>
      <c r="C36" s="153" t="inlineStr">
        <is>
          <t>기계설비·소방설비</t>
        </is>
      </c>
      <c r="D36" s="153" t="inlineStr">
        <is>
          <t>9000-8-35</t>
        </is>
      </c>
      <c r="E36" s="154" t="inlineStr">
        <is>
          <t>9000-8-34</t>
        </is>
      </c>
      <c r="F36" s="154" t="inlineStr">
        <is>
          <t>9000-8-36</t>
        </is>
      </c>
      <c r="G36" s="155" t="inlineStr">
        <is>
          <t>TAB(풍량_수량 밸런싱) 측정</t>
        </is>
      </c>
      <c r="H36" s="154" t="inlineStr">
        <is>
          <t>D+75</t>
        </is>
      </c>
      <c r="I36" s="154" t="inlineStr">
        <is>
          <t>기계/소방팀</t>
        </is>
      </c>
      <c r="J36" s="156" t="inlineStr">
        <is>
          <t>공조 및 배관 시스템의 완성도를 입증하고 실내 쾌적 환경과 에너지를 최적화하기 위해, 국가공인 TAB(Testing, Adjusting, Balancing) 전문기관에 의뢰하여 정거장 및 차량기지 전 구역의 공조 덕트 풍량, 디퓨저 취출 기류, 냉온수 배관 유량 및 실내 소음·차압을 정밀 측정하고 설계치 대비 오차 ±10% 이내로 균일 밸런싱한다.</t>
        </is>
      </c>
      <c r="K36" s="156" t="inlineStr">
        <is>
          <t>KCS 41 시방 기준 및 STEP 1: TAB 사전 검토 및 측정 계획서 수립, STEP 2: 공조 덕트 주풍량 및 디퓨저 풍량 측정·조정 절차서 준수 시공</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157">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158">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159">
        <f>HYPERLINK(LEFT(CELL("filename",A1),FIND("[",CELL("filename",A1))-1)&amp;"매뉴얼BODY(집행단계-첨부폴더)v8\10.기계분야\35_TAB(풍량_수량 밸런싱) 측정\체크리스트\35_TAB(풍량_수량 밸런싱) 측정_체크리스트.html", "👉 [클릭] 체크리스트 열기 📄")</f>
        <v/>
      </c>
      <c r="S36" s="154" t="inlineStr">
        <is>
          <t>기계·소방 복합 시방 준수</t>
        </is>
      </c>
      <c r="T36" s="156" t="inlineStr">
        <is>
          <t>● KDS 47 철도설계기준, KCS 41 건축기계시방 및 NFTC/NFPC 화재안전기술기준 100% 준수</t>
        </is>
      </c>
      <c r="U36" s="153" t="inlineStr">
        <is>
          <t>1) 👉 [더블클릭] 체크리스트 열기 📄</t>
        </is>
      </c>
      <c r="V36" s="156" t="inlineStr">
        <is>
          <t>기계설비·소방 전문 감리 및 시공 기술자문단 상시 운영</t>
        </is>
      </c>
    </row>
    <row r="37" ht="36" customHeight="1" s="147">
      <c r="A37" s="160" t="inlineStr">
        <is>
          <t>9000</t>
        </is>
      </c>
      <c r="B37" s="160" t="inlineStr">
        <is>
          <t>9000-8</t>
        </is>
      </c>
      <c r="C37" s="160" t="inlineStr">
        <is>
          <t>기계설비·소방설비</t>
        </is>
      </c>
      <c r="D37" s="160" t="inlineStr">
        <is>
          <t>9000-8-36</t>
        </is>
      </c>
      <c r="E37" s="161" t="inlineStr">
        <is>
          <t>9000-8-35</t>
        </is>
      </c>
      <c r="F37" s="161" t="inlineStr">
        <is>
          <t>-</t>
        </is>
      </c>
      <c r="G37" s="162" t="inlineStr">
        <is>
          <t>소방 완공검사 및 종합인계</t>
        </is>
      </c>
      <c r="H37" s="161" t="inlineStr">
        <is>
          <t>D+80</t>
        </is>
      </c>
      <c r="I37" s="161" t="inlineStr">
        <is>
          <t>기계/소방팀</t>
        </is>
      </c>
      <c r="J37" s="163" t="inlineStr">
        <is>
          <t>동탄트램 기계설비 및 소방공사의 최종 마무리를 위해 관할 소방서(화성소방서 등)의 엄격한 현장 실사를 통해 '소방시설 완공검사증명서(소방필증)'를 획득하고, 준공도면(As-Built), 장비 매뉴얼, 예비품 목록, 종합시운전 성적서를 완비하여 화성도시공사 기계·소방 운영유지관리팀에 무결점 종합 인수인계를 완료한다.</t>
        </is>
      </c>
      <c r="K37" s="163" t="inlineStr">
        <is>
          <t>KCS 41 시방 기준 및 STEP 1: 소방시설 완공검사 신청서 제출 및 사전 자체 점검, STEP 2: 관할 소방서 합동 현장 실사 및 성능 시연 절차서 준수 시공</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164">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165">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166">
        <f>HYPERLINK(LEFT(CELL("filename",A1),FIND("[",CELL("filename",A1))-1)&amp;"매뉴얼BODY(집행단계-첨부폴더)v8\10.기계분야\36_소방 완공검사 및 종합인계\체크리스트\36_소방 완공검사 및 종합인계_체크리스트.html", "👉 [클릭] 체크리스트 열기 📄")</f>
        <v/>
      </c>
      <c r="S37" s="161" t="inlineStr">
        <is>
          <t>기계·소방 복합 시방 준수</t>
        </is>
      </c>
      <c r="T37" s="163" t="inlineStr">
        <is>
          <t>● KDS 47 철도설계기준, KCS 41 건축기계시방 및 NFTC/NFPC 화재안전기술기준 100% 준수</t>
        </is>
      </c>
      <c r="U37" s="160" t="inlineStr">
        <is>
          <t>1) 👉 [더블클릭] 체크리스트 열기 📄</t>
        </is>
      </c>
      <c r="V37" s="163" t="inlineStr">
        <is>
          <t>기계설비·소방 전문 감리 및 시공 기술자문단 상시 운영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2026-08-14T14:01:26Z</dcterms:modified>
  <cp:lastModifiedBy>재형 김</cp:lastModifiedBy>
  <cp:lastPrinted>2026-07-25T07:01:45Z</cp:lastPrinted>
</cp:coreProperties>
</file>