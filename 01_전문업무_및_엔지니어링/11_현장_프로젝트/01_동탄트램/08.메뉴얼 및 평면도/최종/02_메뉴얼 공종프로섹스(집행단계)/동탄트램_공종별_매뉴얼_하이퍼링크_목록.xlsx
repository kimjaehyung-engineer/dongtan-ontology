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부강화노반" sheetId="1" state="visible" r:id="rId1"/>
    <sheet xmlns:r="http://schemas.openxmlformats.org/officeDocument/2006/relationships" name="사전토공사" sheetId="2" state="visible" r:id="rId2"/>
    <sheet xmlns:r="http://schemas.openxmlformats.org/officeDocument/2006/relationships" name="지장물이설" sheetId="3" state="visible" r:id="rId3"/>
    <sheet xmlns:r="http://schemas.openxmlformats.org/officeDocument/2006/relationships" name="콘크리트도상" sheetId="4" state="visible" r:id="rId4"/>
    <sheet xmlns:r="http://schemas.openxmlformats.org/officeDocument/2006/relationships" name="건축" sheetId="5" state="visible" r:id="rId5"/>
    <sheet xmlns:r="http://schemas.openxmlformats.org/officeDocument/2006/relationships" name="신호" sheetId="6" state="visible" r:id="rId6"/>
    <sheet xmlns:r="http://schemas.openxmlformats.org/officeDocument/2006/relationships" name="전기" sheetId="7" state="visible" r:id="rId7"/>
    <sheet xmlns:r="http://schemas.openxmlformats.org/officeDocument/2006/relationships" name="통신" sheetId="8" state="visible" r:id="rId8"/>
    <sheet xmlns:r="http://schemas.openxmlformats.org/officeDocument/2006/relationships" name="기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1E293B"/>
      <sz val="14"/>
    </font>
    <font>
      <name val="맑은 고딕"/>
      <b val="1"/>
      <color rgb="00FFFFFF"/>
      <sz val="11"/>
    </font>
    <font>
      <name val="맑은 고딕"/>
      <b val="1"/>
      <color rgb="000F172A"/>
      <sz val="10"/>
    </font>
    <font>
      <name val="맑은 고딕"/>
      <b val="1"/>
      <color rgb="00047857"/>
      <sz val="10"/>
      <u val="single"/>
    </font>
    <font>
      <name val="맑은 고딕"/>
      <b val="1"/>
      <color rgb="000284C7"/>
      <sz val="10"/>
      <u val="single"/>
    </font>
    <font>
      <name val="맑은 고딕"/>
      <b val="1"/>
      <color rgb="00D97706"/>
      <sz val="10"/>
      <u val="single"/>
    </font>
    <font>
      <name val="맑은 고딕"/>
      <color rgb="000F172A"/>
      <sz val="10"/>
    </font>
    <font>
      <name val="맑은 고딕"/>
      <b val="1"/>
      <color rgb="00FFFFFF"/>
      <sz val="10"/>
    </font>
    <font>
      <name val="맑은 고딕"/>
      <b val="1"/>
      <color rgb="000F172A"/>
      <sz val="9"/>
    </font>
    <font>
      <name val="맑은 고딕"/>
      <b val="1"/>
      <color rgb="00047857"/>
      <sz val="9"/>
      <u val="single"/>
    </font>
    <font>
      <name val="맑은 고딕"/>
      <b val="1"/>
      <color rgb="000284C7"/>
      <sz val="9"/>
      <u val="single"/>
    </font>
    <font>
      <name val="맑은 고딕"/>
      <b val="1"/>
      <color rgb="00D97706"/>
      <sz val="9"/>
      <u val="single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22" customWidth="1" min="4" max="4"/>
    <col width="22" customWidth="1" min="5" max="5"/>
  </cols>
  <sheetData>
    <row r="1" ht="35" customHeight="1">
      <c r="A1" s="1" t="inlineStr">
        <is>
          <t>동탄도시철도(트램) 상부강화노반 엔지니어링 매뉴얼 링크 대장</t>
        </is>
      </c>
    </row>
    <row r="2" ht="28" customHeight="1">
      <c r="A2" s="2" t="inlineStr">
        <is>
          <t>순번</t>
        </is>
      </c>
      <c r="B2" s="2" t="inlineStr">
        <is>
          <t>액티비티명 (Activity)</t>
        </is>
      </c>
      <c r="C2" s="2" t="inlineStr">
        <is>
          <t>표준서 (Standard)</t>
        </is>
      </c>
      <c r="D2" s="2" t="inlineStr">
        <is>
          <t>수행지침 (Guideline)</t>
        </is>
      </c>
      <c r="E2" s="2" t="inlineStr">
        <is>
          <t>체크리스트 (Checklist)</t>
        </is>
      </c>
    </row>
    <row r="3" ht="24" customHeight="1">
      <c r="A3" s="3" t="n">
        <v>1</v>
      </c>
      <c r="B3" s="4" t="inlineStr">
        <is>
          <t>지반조사 상세검토</t>
        </is>
      </c>
      <c r="C3" s="5">
        <f>HYPERLINK(LEFT(CELL("filename",A1),FIND("[",CELL("filename",A1))-1)&amp;"매뉴얼BODY(집행단계-첨부폴더)v8\4.상부강화노반\1_지반조사 상세검토\표준서\지반조사 상세검토_표준서.html", "📄 표준서 열기")</f>
        <v/>
      </c>
      <c r="D3" s="6">
        <f>HYPERLINK(LEFT(CELL("filename",A1),FIND("[",CELL("filename",A1))-1)&amp;"매뉴얼BODY(집행단계-첨부폴더)v8\4.상부강화노반\1_지반조사 상세검토\수행지침\지반조사 상세검토_수행지침.html", "📘 수행지침 열기")</f>
        <v/>
      </c>
      <c r="E3" s="7">
        <f>HYPERLINK(LEFT(CELL("filename",A1),FIND("[",CELL("filename",A1))-1)&amp;"매뉴얼BODY(집행단계-첨부폴더)v8\4.상부강화노반\1_지반조사 상세검토\체크리스트\지반조사 상세검토_체크리스트.html", "📋 체크리스트 열기")</f>
        <v/>
      </c>
    </row>
    <row r="4" ht="24" customHeight="1">
      <c r="A4" s="8" t="n">
        <v>2</v>
      </c>
      <c r="B4" s="9" t="inlineStr">
        <is>
          <t>발주전략 KOM</t>
        </is>
      </c>
      <c r="C4" s="10">
        <f>HYPERLINK(LEFT(CELL("filename",A1),FIND("[",CELL("filename",A1))-1)&amp;"매뉴얼BODY(집행단계-첨부폴더)v8\4.상부강화노반\2_발주전략 KOM\표준서\발주전략 KOM_표준서.html", "📄 표준서 열기")</f>
        <v/>
      </c>
      <c r="D4" s="11">
        <f>HYPERLINK(LEFT(CELL("filename",A1),FIND("[",CELL("filename",A1))-1)&amp;"매뉴얼BODY(집행단계-첨부폴더)v8\4.상부강화노반\2_발주전략 KOM\수행지침\발주전략 KOM_수행지침.html", "📘 수행지침 열기")</f>
        <v/>
      </c>
      <c r="E4" s="12">
        <f>HYPERLINK(LEFT(CELL("filename",A1),FIND("[",CELL("filename",A1))-1)&amp;"매뉴얼BODY(집행단계-첨부폴더)v8\4.상부강화노반\2_발주전략 KOM\체크리스트\발주전략 KOM_체크리스트.html", "📋 체크리스트 열기")</f>
        <v/>
      </c>
    </row>
    <row r="5" ht="24" customHeight="1">
      <c r="A5" s="3" t="n">
        <v>3</v>
      </c>
      <c r="B5" s="4" t="inlineStr">
        <is>
          <t>철도보호지구에서의 행위신고(필요시)</t>
        </is>
      </c>
      <c r="C5" s="5">
        <f>HYPERLINK(LEFT(CELL("filename",A1),FIND("[",CELL("filename",A1))-1)&amp;"매뉴얼BODY(집행단계-첨부폴더)v8\4.상부강화노반\3_철도보호지구에서의 행위신고(필요시)\표준서\철도보호지구 행위신고_표준서.html", "📄 표준서 열기")</f>
        <v/>
      </c>
      <c r="D5" s="6">
        <f>HYPERLINK(LEFT(CELL("filename",A1),FIND("[",CELL("filename",A1))-1)&amp;"매뉴얼BODY(집행단계-첨부폴더)v8\4.상부강화노반\3_철도보호지구에서의 행위신고(필요시)\수행지침\철도보호지구 행위신고_수행지침.html", "📘 수행지침 열기")</f>
        <v/>
      </c>
      <c r="E5" s="7">
        <f>HYPERLINK(LEFT(CELL("filename",A1),FIND("[",CELL("filename",A1))-1)&amp;"매뉴얼BODY(집행단계-첨부폴더)v8\4.상부강화노반\3_철도보호지구에서의 행위신고(필요시)\체크리스트\철도보호지구 행위신고_체크리스트.html", "📋 체크리스트 열기")</f>
        <v/>
      </c>
    </row>
    <row r="6" ht="24" customHeight="1">
      <c r="A6" s="8" t="n">
        <v>4</v>
      </c>
      <c r="B6" s="9" t="inlineStr">
        <is>
          <t>착수전 측량 Data 확인</t>
        </is>
      </c>
      <c r="C6" s="10">
        <f>HYPERLINK(LEFT(CELL("filename",A1),FIND("[",CELL("filename",A1))-1)&amp;"매뉴얼BODY(집행단계-첨부폴더)v8\4.상부강화노반\4_착수전 측량 Data 확인\표준서\착수전 측량 Data 확인_표준서.html", "📄 표준서 열기")</f>
        <v/>
      </c>
      <c r="D6" s="11">
        <f>HYPERLINK(LEFT(CELL("filename",A1),FIND("[",CELL("filename",A1))-1)&amp;"매뉴얼BODY(집행단계-첨부폴더)v8\4.상부강화노반\4_착수전 측량 Data 확인\수행지침\착수전 측량 Data 확인_수행지침.html", "📘 수행지침 열기")</f>
        <v/>
      </c>
      <c r="E6" s="12">
        <f>HYPERLINK(LEFT(CELL("filename",A1),FIND("[",CELL("filename",A1))-1)&amp;"매뉴얼BODY(집행단계-첨부폴더)v8\4.상부강화노반\4_착수전 측량 Data 확인\체크리스트\착수전 측량 Data 확인_체크리스트.html", "📋 체크리스트 열기")</f>
        <v/>
      </c>
    </row>
    <row r="7" ht="24" customHeight="1">
      <c r="A7" s="3" t="n">
        <v>5</v>
      </c>
      <c r="B7" s="4" t="inlineStr">
        <is>
          <t>지장물이설 협의</t>
        </is>
      </c>
      <c r="C7" s="5">
        <f>HYPERLINK(LEFT(CELL("filename",A1),FIND("[",CELL("filename",A1))-1)&amp;"매뉴얼BODY(집행단계-첨부폴더)v8\4.상부강화노반\5_지장물이설 협의\표준서\지장물이설 협의_표준서.html", "📄 표준서 열기")</f>
        <v/>
      </c>
      <c r="D7" s="6">
        <f>HYPERLINK(LEFT(CELL("filename",A1),FIND("[",CELL("filename",A1))-1)&amp;"매뉴얼BODY(집행단계-첨부폴더)v8\4.상부강화노반\5_지장물이설 협의\수행지침\지장물이설 협의_수행지침.html", "📘 수행지침 열기")</f>
        <v/>
      </c>
      <c r="E7" s="7">
        <f>HYPERLINK(LEFT(CELL("filename",A1),FIND("[",CELL("filename",A1))-1)&amp;"매뉴얼BODY(집행단계-첨부폴더)v8\4.상부강화노반\5_지장물이설 협의\체크리스트\지장물이설 협의_체크리스트.html", "📋 체크리스트 열기")</f>
        <v/>
      </c>
    </row>
    <row r="8" ht="24" customHeight="1">
      <c r="A8" s="8" t="n">
        <v>6</v>
      </c>
      <c r="B8" s="9" t="inlineStr">
        <is>
          <t>용지보상RISK 검토</t>
        </is>
      </c>
      <c r="C8" s="10">
        <f>HYPERLINK(LEFT(CELL("filename",A1),FIND("[",CELL("filename",A1))-1)&amp;"매뉴얼BODY(집행단계-첨부폴더)v8\4.상부강화노반\6_용지보상RISK 검토\표준서\용지보상RISK 검토_표준서.html", "📄 표준서 열기")</f>
        <v/>
      </c>
      <c r="D8" s="11">
        <f>HYPERLINK(LEFT(CELL("filename",A1),FIND("[",CELL("filename",A1))-1)&amp;"매뉴얼BODY(집행단계-첨부폴더)v8\4.상부강화노반\6_용지보상RISK 검토\수행지침\용지보상RISK 검토_수행지침.html", "📘 수행지침 열기")</f>
        <v/>
      </c>
      <c r="E8" s="12">
        <f>HYPERLINK(LEFT(CELL("filename",A1),FIND("[",CELL("filename",A1))-1)&amp;"매뉴얼BODY(집행단계-첨부폴더)v8\4.상부강화노반\6_용지보상RISK 검토\체크리스트\용지보상RISK 검토_체크리스트.html", "📋 체크리스트 열기")</f>
        <v/>
      </c>
    </row>
    <row r="9" ht="24" customHeight="1">
      <c r="A9" s="3" t="n">
        <v>7</v>
      </c>
      <c r="B9" s="4" t="inlineStr">
        <is>
          <t>최고의 팀 만들기 지원</t>
        </is>
      </c>
      <c r="C9" s="5">
        <f>HYPERLINK(LEFT(CELL("filename",A1),FIND("[",CELL("filename",A1))-1)&amp;"매뉴얼BODY(집행단계-첨부폴더)v8\4.상부강화노반\7_최고의 팀 만들기 지원\표준서\최고의 팀 만들기 지원_표준서.html", "📄 표준서 열기")</f>
        <v/>
      </c>
      <c r="D9" s="6">
        <f>HYPERLINK(LEFT(CELL("filename",A1),FIND("[",CELL("filename",A1))-1)&amp;"매뉴얼BODY(집행단계-첨부폴더)v8\4.상부강화노반\7_최고의 팀 만들기 지원\수행지침\최고의 팀 만들기 지원_수행지침.html", "📘 수행지침 열기")</f>
        <v/>
      </c>
      <c r="E9" s="7">
        <f>HYPERLINK(LEFT(CELL("filename",A1),FIND("[",CELL("filename",A1))-1)&amp;"매뉴얼BODY(집행단계-첨부폴더)v8\4.상부강화노반\7_최고의 팀 만들기 지원\체크리스트\최고의 팀 만들기 지원_체크리스트.html", "📋 체크리스트 열기")</f>
        <v/>
      </c>
    </row>
    <row r="10" ht="24" customHeight="1">
      <c r="A10" s="8" t="n">
        <v>8</v>
      </c>
      <c r="B10" s="9" t="inlineStr">
        <is>
          <t>연약지반 처리공법 검토(필요시)</t>
        </is>
      </c>
      <c r="C10" s="10">
        <f>HYPERLINK(LEFT(CELL("filename",A1),FIND("[",CELL("filename",A1))-1)&amp;"매뉴얼BODY(집행단계-첨부폴더)v8\4.상부강화노반\8_연약지반 처리공법 검토(필요시)\표준서\연약지반 처리공법 검토_표준서.html", "📄 표준서 열기")</f>
        <v/>
      </c>
      <c r="D10" s="11">
        <f>HYPERLINK(LEFT(CELL("filename",A1),FIND("[",CELL("filename",A1))-1)&amp;"매뉴얼BODY(집행단계-첨부폴더)v8\4.상부강화노반\8_연약지반 처리공법 검토(필요시)\수행지침\연약지반 처리공법 검토_수행지침.html", "📘 수행지침 열기")</f>
        <v/>
      </c>
      <c r="E10" s="12">
        <f>HYPERLINK(LEFT(CELL("filename",A1),FIND("[",CELL("filename",A1))-1)&amp;"매뉴얼BODY(집행단계-첨부폴더)v8\4.상부강화노반\8_연약지반 처리공법 검토(필요시)\체크리스트\연약지반 처리공법 검토_체크리스트.html", "📋 체크리스트 열기")</f>
        <v/>
      </c>
    </row>
    <row r="11" ht="24" customHeight="1">
      <c r="A11" s="3" t="n">
        <v>9</v>
      </c>
      <c r="B11" s="4" t="inlineStr">
        <is>
          <t>토공 유동표 확인</t>
        </is>
      </c>
      <c r="C11" s="5">
        <f>HYPERLINK(LEFT(CELL("filename",A1),FIND("[",CELL("filename",A1))-1)&amp;"매뉴얼BODY(집행단계-첨부폴더)v8\4.상부강화노반\9_토공 유동표 확인\표준서\토공 유동표 확인_표준서.html", "📄 표준서 열기")</f>
        <v/>
      </c>
      <c r="D11" s="6">
        <f>HYPERLINK(LEFT(CELL("filename",A1),FIND("[",CELL("filename",A1))-1)&amp;"매뉴얼BODY(집행단계-첨부폴더)v8\4.상부강화노반\9_토공 유동표 확인\수행지침\토공 유동표 확인_수행지침.html", "📘 수행지침 열기")</f>
        <v/>
      </c>
      <c r="E11" s="7">
        <f>HYPERLINK(LEFT(CELL("filename",A1),FIND("[",CELL("filename",A1))-1)&amp;"매뉴얼BODY(집행단계-첨부폴더)v8\4.상부강화노반\9_토공 유동표 확인\체크리스트\토공 유동표 확인_체크리스트.html", "📋 체크리스트 열기")</f>
        <v/>
      </c>
    </row>
    <row r="12" ht="24" customHeight="1">
      <c r="A12" s="8" t="n">
        <v>10</v>
      </c>
      <c r="B12" s="9" t="inlineStr">
        <is>
          <t>기공승낙 적정성 검토</t>
        </is>
      </c>
      <c r="C12" s="10">
        <f>HYPERLINK(LEFT(CELL("filename",A1),FIND("[",CELL("filename",A1))-1)&amp;"매뉴얼BODY(집행단계-첨부폴더)v8\4.상부강화노반\10_기공승낙 적정성 검토\표준서\기공승낙 적정성 검토_표준서.html", "📄 표준서 열기")</f>
        <v/>
      </c>
      <c r="D12" s="11">
        <f>HYPERLINK(LEFT(CELL("filename",A1),FIND("[",CELL("filename",A1))-1)&amp;"매뉴얼BODY(집행단계-첨부폴더)v8\4.상부강화노반\10_기공승낙 적정성 검토\수행지침\기공승낙 적정성 검토_수행지침.html", "📘 수행지침 열기")</f>
        <v/>
      </c>
      <c r="E12" s="12">
        <f>HYPERLINK(LEFT(CELL("filename",A1),FIND("[",CELL("filename",A1))-1)&amp;"매뉴얼BODY(집행단계-첨부폴더)v8\4.상부강화노반\10_기공승낙 적정성 검토\체크리스트\기공승낙 적정성 검토_체크리스트.html", "📋 체크리스트 열기")</f>
        <v/>
      </c>
    </row>
    <row r="13" ht="24" customHeight="1">
      <c r="A13" s="3" t="n">
        <v>11</v>
      </c>
      <c r="B13" s="4" t="inlineStr">
        <is>
          <t>폐기물처리계획 수립</t>
        </is>
      </c>
      <c r="C13" s="5">
        <f>HYPERLINK(LEFT(CELL("filename",A1),FIND("[",CELL("filename",A1))-1)&amp;"매뉴얼BODY(집행단계-첨부폴더)v8\4.상부강화노반\11_폐기물처리계획 수립\표준서\폐기물처리계획 수립_표준서.html", "📄 표준서 열기")</f>
        <v/>
      </c>
      <c r="D13" s="6">
        <f>HYPERLINK(LEFT(CELL("filename",A1),FIND("[",CELL("filename",A1))-1)&amp;"매뉴얼BODY(집행단계-첨부폴더)v8\4.상부강화노반\11_폐기물처리계획 수립\수행지침\폐기물처리계획 수립_수행지침.html", "📘 수행지침 열기")</f>
        <v/>
      </c>
      <c r="E13" s="7">
        <f>HYPERLINK(LEFT(CELL("filename",A1),FIND("[",CELL("filename",A1))-1)&amp;"매뉴얼BODY(집행단계-첨부폴더)v8\4.상부강화노반\11_폐기물처리계획 수립\체크리스트\폐기물처리계획 수립_체크리스트.html", "📋 체크리스트 열기")</f>
        <v/>
      </c>
    </row>
    <row r="14" ht="24" customHeight="1">
      <c r="A14" s="8" t="n">
        <v>12</v>
      </c>
      <c r="B14" s="9" t="inlineStr">
        <is>
          <t>철도운행협의(필요시)</t>
        </is>
      </c>
      <c r="C14" s="10">
        <f>HYPERLINK(LEFT(CELL("filename",A1),FIND("[",CELL("filename",A1))-1)&amp;"매뉴얼BODY(집행단계-첨부폴더)v8\4.상부강화노반\12_철도운행협의(필요시)\표준서\철도운행협의_표준서.html", "📄 표준서 열기")</f>
        <v/>
      </c>
      <c r="D14" s="11">
        <f>HYPERLINK(LEFT(CELL("filename",A1),FIND("[",CELL("filename",A1))-1)&amp;"매뉴얼BODY(집행단계-첨부폴더)v8\4.상부강화노반\12_철도운행협의(필요시)\수행지침\철도운행협의_수행지침.html", "📘 수행지침 열기")</f>
        <v/>
      </c>
      <c r="E14" s="12">
        <f>HYPERLINK(LEFT(CELL("filename",A1),FIND("[",CELL("filename",A1))-1)&amp;"매뉴얼BODY(집행단계-첨부폴더)v8\4.상부강화노반\12_철도운행협의(필요시)\체크리스트\철도운행협의_체크리스트.html", "📋 체크리스트 열기")</f>
        <v/>
      </c>
    </row>
    <row r="15" ht="24" customHeight="1">
      <c r="A15" s="3" t="n">
        <v>13</v>
      </c>
      <c r="B15" s="4" t="inlineStr">
        <is>
          <t>작수전 Big Room 회의</t>
        </is>
      </c>
      <c r="C15" s="5">
        <f>HYPERLINK(LEFT(CELL("filename",A1),FIND("[",CELL("filename",A1))-1)&amp;"매뉴얼BODY(집행단계-첨부폴더)v8\4.상부강화노반\13_작수전 Big Room 회의\표준서\작수전 Big Room 회의_표준서.html", "📄 표준서 열기")</f>
        <v/>
      </c>
      <c r="D15" s="6">
        <f>HYPERLINK(LEFT(CELL("filename",A1),FIND("[",CELL("filename",A1))-1)&amp;"매뉴얼BODY(집행단계-첨부폴더)v8\4.상부강화노반\13_작수전 Big Room 회의\수행지침\작수전 Big Room 회의_수행지침.html", "📘 수행지침 열기")</f>
        <v/>
      </c>
      <c r="E15" s="7">
        <f>HYPERLINK(LEFT(CELL("filename",A1),FIND("[",CELL("filename",A1))-1)&amp;"매뉴얼BODY(집행단계-첨부폴더)v8\4.상부강화노반\13_작수전 Big Room 회의\체크리스트\작수전 Big Room 회의_체크리스트.html", "📋 체크리스트 열기")</f>
        <v/>
      </c>
    </row>
    <row r="16" ht="24" customHeight="1">
      <c r="A16" s="8" t="n">
        <v>14</v>
      </c>
      <c r="B16" s="9" t="inlineStr">
        <is>
          <t>시공 계획 수립</t>
        </is>
      </c>
      <c r="C16" s="10">
        <f>HYPERLINK(LEFT(CELL("filename",A1),FIND("[",CELL("filename",A1))-1)&amp;"매뉴얼BODY(집행단계-첨부폴더)v8\4.상부강화노반\14_시공 계획 수립\표준서\시공 계획 수립_표준서.html", "📄 표준서 열기")</f>
        <v/>
      </c>
      <c r="D16" s="11">
        <f>HYPERLINK(LEFT(CELL("filename",A1),FIND("[",CELL("filename",A1))-1)&amp;"매뉴얼BODY(집행단계-첨부폴더)v8\4.상부강화노반\14_시공 계획 수립\수행지침\시공 계획 수립_수행지침.html", "📘 수행지침 열기")</f>
        <v/>
      </c>
      <c r="E16" s="12">
        <f>HYPERLINK(LEFT(CELL("filename",A1),FIND("[",CELL("filename",A1))-1)&amp;"매뉴얼BODY(집행단계-첨부폴더)v8\4.상부강화노반\14_시공 계획 수립\체크리스트\시공 계획 수립_체크리스트.html", "📋 체크리스트 열기")</f>
        <v/>
      </c>
    </row>
    <row r="17" ht="24" customHeight="1">
      <c r="A17" s="3" t="n">
        <v>15</v>
      </c>
      <c r="B17" s="4" t="inlineStr">
        <is>
          <t>사토장_토취장 선정 검토(필요시)</t>
        </is>
      </c>
      <c r="C17" s="5">
        <f>HYPERLINK(LEFT(CELL("filename",A1),FIND("[",CELL("filename",A1))-1)&amp;"매뉴얼BODY(집행단계-첨부폴더)v8\4.상부강화노반\15_사토장_토취장 선정 검토(필요시)\표준서\사토장_토취장 선정 검토_표준서.html", "📄 표준서 열기")</f>
        <v/>
      </c>
      <c r="D17" s="6">
        <f>HYPERLINK(LEFT(CELL("filename",A1),FIND("[",CELL("filename",A1))-1)&amp;"매뉴얼BODY(집행단계-첨부폴더)v8\4.상부강화노반\15_사토장_토취장 선정 검토(필요시)\수행지침\사토장_토취장 선정 검토_수행지침.html", "📘 수행지침 열기")</f>
        <v/>
      </c>
      <c r="E17" s="7">
        <f>HYPERLINK(LEFT(CELL("filename",A1),FIND("[",CELL("filename",A1))-1)&amp;"매뉴얼BODY(집행단계-첨부폴더)v8\4.상부강화노반\15_사토장_토취장 선정 검토(필요시)\체크리스트\사토장_토취장 선정 검토_체크리스트.html", "📋 체크리스트 열기")</f>
        <v/>
      </c>
    </row>
    <row r="18" ht="24" customHeight="1">
      <c r="A18" s="8" t="n">
        <v>16</v>
      </c>
      <c r="B18" s="9" t="inlineStr">
        <is>
          <t>공사사전준비</t>
        </is>
      </c>
      <c r="C18" s="10">
        <f>HYPERLINK(LEFT(CELL("filename",A1),FIND("[",CELL("filename",A1))-1)&amp;"매뉴얼BODY(집행단계-첨부폴더)v8\4.상부강화노반\16_공사사전준비\표준서\공사사전준비_표준서.html", "📄 표준서 열기")</f>
        <v/>
      </c>
      <c r="D18" s="11">
        <f>HYPERLINK(LEFT(CELL("filename",A1),FIND("[",CELL("filename",A1))-1)&amp;"매뉴얼BODY(집행단계-첨부폴더)v8\4.상부강화노반\16_공사사전준비\수행지침\공사사전준비_수행지침.html", "📘 수행지침 열기")</f>
        <v/>
      </c>
      <c r="E18" s="12">
        <f>HYPERLINK(LEFT(CELL("filename",A1),FIND("[",CELL("filename",A1))-1)&amp;"매뉴얼BODY(집행단계-첨부폴더)v8\4.상부강화노반\16_공사사전준비\체크리스트\공사사전준비_체크리스트.html", "📋 체크리스트 열기")</f>
        <v/>
      </c>
    </row>
    <row r="19" ht="24" customHeight="1">
      <c r="A19" s="3" t="n">
        <v>17</v>
      </c>
      <c r="B19" s="4" t="inlineStr">
        <is>
          <t>임시배수시설</t>
        </is>
      </c>
      <c r="C19" s="5">
        <f>HYPERLINK(LEFT(CELL("filename",A1),FIND("[",CELL("filename",A1))-1)&amp;"매뉴얼BODY(집행단계-첨부폴더)v8\4.상부강화노반\17_임시배수시설\표준서\임시배수시설_표준서.html", "📄 표준서 열기")</f>
        <v/>
      </c>
      <c r="D19" s="6">
        <f>HYPERLINK(LEFT(CELL("filename",A1),FIND("[",CELL("filename",A1))-1)&amp;"매뉴얼BODY(집행단계-첨부폴더)v8\4.상부강화노반\17_임시배수시설\수행지침\임시배수시설_수행지침.html", "📘 수행지침 열기")</f>
        <v/>
      </c>
      <c r="E19" s="7">
        <f>HYPERLINK(LEFT(CELL("filename",A1),FIND("[",CELL("filename",A1))-1)&amp;"매뉴얼BODY(집행단계-첨부폴더)v8\4.상부강화노반\17_임시배수시설\체크리스트\임시배수시설_체크리스트.html", "📋 체크리스트 열기")</f>
        <v/>
      </c>
    </row>
    <row r="20" ht="24" customHeight="1">
      <c r="A20" s="8" t="n">
        <v>18</v>
      </c>
      <c r="B20" s="9" t="inlineStr">
        <is>
          <t>쌓기재료 검사</t>
        </is>
      </c>
      <c r="C20" s="10">
        <f>HYPERLINK(LEFT(CELL("filename",A1),FIND("[",CELL("filename",A1))-1)&amp;"매뉴얼BODY(집행단계-첨부폴더)v8\4.상부강화노반\18_쌓기재료 검사\표준서\쌓기재료 검사_표준서.html", "📄 표준서 열기")</f>
        <v/>
      </c>
      <c r="D20" s="11">
        <f>HYPERLINK(LEFT(CELL("filename",A1),FIND("[",CELL("filename",A1))-1)&amp;"매뉴얼BODY(집행단계-첨부폴더)v8\4.상부강화노반\18_쌓기재료 검사\수행지침\쌓기재료 검사_수행지침.html", "📘 수행지침 열기")</f>
        <v/>
      </c>
      <c r="E20" s="12">
        <f>HYPERLINK(LEFT(CELL("filename",A1),FIND("[",CELL("filename",A1))-1)&amp;"매뉴얼BODY(집행단계-첨부폴더)v8\4.상부강화노반\18_쌓기재료 검사\체크리스트\쌓기재료 검사_체크리스트.html", "📋 체크리스트 열기")</f>
        <v/>
      </c>
    </row>
    <row r="21" ht="24" customHeight="1">
      <c r="A21" s="3" t="n">
        <v>19</v>
      </c>
      <c r="B21" s="4" t="inlineStr">
        <is>
          <t>장비 검수 지원</t>
        </is>
      </c>
      <c r="C21" s="5">
        <f>HYPERLINK(LEFT(CELL("filename",A1),FIND("[",CELL("filename",A1))-1)&amp;"매뉴얼BODY(집행단계-첨부폴더)v8\4.상부강화노반\19_장비 검수 지원\표준서\장비 검수 지원_표준서.html", "📄 표준서 열기")</f>
        <v/>
      </c>
      <c r="D21" s="6">
        <f>HYPERLINK(LEFT(CELL("filename",A1),FIND("[",CELL("filename",A1))-1)&amp;"매뉴얼BODY(집행단계-첨부폴더)v8\4.상부강화노반\19_장비 검수 지원\수행지침\장비 검수 지원_수행지침.html", "📘 수행지침 열기")</f>
        <v/>
      </c>
      <c r="E21" s="7">
        <f>HYPERLINK(LEFT(CELL("filename",A1),FIND("[",CELL("filename",A1))-1)&amp;"매뉴얼BODY(집행단계-첨부폴더)v8\4.상부강화노반\19_장비 검수 지원\체크리스트\장비 검수 지원_체크리스트.html", "📋 체크리스트 열기")</f>
        <v/>
      </c>
    </row>
    <row r="22" ht="24" customHeight="1">
      <c r="A22" s="8" t="n">
        <v>20</v>
      </c>
      <c r="B22" s="9" t="inlineStr">
        <is>
          <t>선로 종_횡단 및 용지경계측량</t>
        </is>
      </c>
      <c r="C22" s="10">
        <f>HYPERLINK(LEFT(CELL("filename",A1),FIND("[",CELL("filename",A1))-1)&amp;"매뉴얼BODY(집행단계-첨부폴더)v8\4.상부강화노반\20_선로 종_횡단 및 용지경계측량\표준서\선로 종_횡단 및 용지경계측량_표준서.html", "📄 표준서 열기")</f>
        <v/>
      </c>
      <c r="D22" s="11">
        <f>HYPERLINK(LEFT(CELL("filename",A1),FIND("[",CELL("filename",A1))-1)&amp;"매뉴얼BODY(집행단계-첨부폴더)v8\4.상부강화노반\20_선로 종_횡단 및 용지경계측량\수행지침\선로 종_횡단 및 용지경계측량_수행지침.html", "📘 수행지침 열기")</f>
        <v/>
      </c>
      <c r="E22" s="12">
        <f>HYPERLINK(LEFT(CELL("filename",A1),FIND("[",CELL("filename",A1))-1)&amp;"매뉴얼BODY(집행단계-첨부폴더)v8\4.상부강화노반\20_선로 종_횡단 및 용지경계측량\체크리스트\선로 종_횡단 및 용지경계측량_체크리스트.html", "📋 체크리스트 열기")</f>
        <v/>
      </c>
    </row>
    <row r="23" ht="24" customHeight="1">
      <c r="A23" s="3" t="n">
        <v>21</v>
      </c>
      <c r="B23" s="4" t="inlineStr">
        <is>
          <t>규준틀 설치</t>
        </is>
      </c>
      <c r="C23" s="5">
        <f>HYPERLINK(LEFT(CELL("filename",A1),FIND("[",CELL("filename",A1))-1)&amp;"매뉴얼BODY(집행단계-첨부폴더)v8\4.상부강화노반\21_규준틀 설치\표준서\규준틀 설치_표준서.html", "📄 표준서 열기")</f>
        <v/>
      </c>
      <c r="D23" s="6">
        <f>HYPERLINK(LEFT(CELL("filename",A1),FIND("[",CELL("filename",A1))-1)&amp;"매뉴얼BODY(집행단계-첨부폴더)v8\4.상부강화노반\21_규준틀 설치\수행지침\규준틀 설치_수행지침.html", "📘 수행지침 열기")</f>
        <v/>
      </c>
      <c r="E23" s="7">
        <f>HYPERLINK(LEFT(CELL("filename",A1),FIND("[",CELL("filename",A1))-1)&amp;"매뉴얼BODY(집행단계-첨부폴더)v8\4.상부강화노반\21_규준틀 설치\체크리스트\규준틀 설치_체크리스트.html", "📋 체크리스트 열기")</f>
        <v/>
      </c>
    </row>
    <row r="24" ht="24" customHeight="1">
      <c r="A24" s="8" t="n">
        <v>22</v>
      </c>
      <c r="B24" s="9" t="inlineStr">
        <is>
          <t>준비배수</t>
        </is>
      </c>
      <c r="C24" s="10">
        <f>HYPERLINK(LEFT(CELL("filename",A1),FIND("[",CELL("filename",A1))-1)&amp;"매뉴얼BODY(집행단계-첨부폴더)v8\4.상부강화노반\22_준비배수\표준서\준비배수_표준서.html", "📄 표준서 열기")</f>
        <v/>
      </c>
      <c r="D24" s="11">
        <f>HYPERLINK(LEFT(CELL("filename",A1),FIND("[",CELL("filename",A1))-1)&amp;"매뉴얼BODY(집행단계-첨부폴더)v8\4.상부강화노반\22_준비배수\수행지침\준비배수_수행지침.html", "📘 수행지침 열기")</f>
        <v/>
      </c>
      <c r="E24" s="12">
        <f>HYPERLINK(LEFT(CELL("filename",A1),FIND("[",CELL("filename",A1))-1)&amp;"매뉴얼BODY(집행단계-첨부폴더)v8\4.상부강화노반\22_준비배수\체크리스트\준비배수_체크리스트.html", "📋 체크리스트 열기")</f>
        <v/>
      </c>
    </row>
    <row r="25" ht="24" customHeight="1">
      <c r="A25" s="3" t="n">
        <v>23</v>
      </c>
      <c r="B25" s="4" t="inlineStr">
        <is>
          <t>벌개제근_표토제거</t>
        </is>
      </c>
      <c r="C25" s="5">
        <f>HYPERLINK(LEFT(CELL("filename",A1),FIND("[",CELL("filename",A1))-1)&amp;"매뉴얼BODY(집행단계-첨부폴더)v8\4.상부강화노반\23_벌개제근_표토제거\표준서\벌개제근_표토제거_표준서.html", "📄 표준서 열기")</f>
        <v/>
      </c>
      <c r="D25" s="6">
        <f>HYPERLINK(LEFT(CELL("filename",A1),FIND("[",CELL("filename",A1))-1)&amp;"매뉴얼BODY(집행단계-첨부폴더)v8\4.상부강화노반\23_벌개제근_표토제거\수행지침\벌개제근_표토제거_수행지침.html", "📘 수행지침 열기")</f>
        <v/>
      </c>
      <c r="E25" s="7">
        <f>HYPERLINK(LEFT(CELL("filename",A1),FIND("[",CELL("filename",A1))-1)&amp;"매뉴얼BODY(집행단계-첨부폴더)v8\4.상부강화노반\23_벌개제근_표토제거\체크리스트\벌개제근_표토제거_체크리스트.html", "📋 체크리스트 열기")</f>
        <v/>
      </c>
    </row>
    <row r="26" ht="24" customHeight="1">
      <c r="A26" s="8" t="n">
        <v>24</v>
      </c>
      <c r="B26" s="9" t="inlineStr">
        <is>
          <t>구조물 및 지장물 제거</t>
        </is>
      </c>
      <c r="C26" s="10">
        <f>HYPERLINK(LEFT(CELL("filename",A1),FIND("[",CELL("filename",A1))-1)&amp;"매뉴얼BODY(집행단계-첨부폴더)v8\4.상부강화노반\24_구조물 및 지장물 제거\표준서\구조물 및 지장물 제거_표준서.html", "📄 표준서 열기")</f>
        <v/>
      </c>
      <c r="D26" s="11">
        <f>HYPERLINK(LEFT(CELL("filename",A1),FIND("[",CELL("filename",A1))-1)&amp;"매뉴얼BODY(집행단계-첨부폴더)v8\4.상부강화노반\24_구조물 및 지장물 제거\수행지침\구조물 및 지장물 제거_수행지침.html", "📘 수행지침 열기")</f>
        <v/>
      </c>
      <c r="E26" s="12">
        <f>HYPERLINK(LEFT(CELL("filename",A1),FIND("[",CELL("filename",A1))-1)&amp;"매뉴얼BODY(집행단계-첨부폴더)v8\4.상부강화노반\24_구조물 및 지장물 제거\체크리스트\구조물 및 지장물 제거_체크리스트.html", "📋 체크리스트 열기")</f>
        <v/>
      </c>
    </row>
    <row r="27" ht="24" customHeight="1">
      <c r="A27" s="3" t="n">
        <v>25</v>
      </c>
      <c r="B27" s="4" t="inlineStr">
        <is>
          <t>진입로 조성</t>
        </is>
      </c>
      <c r="C27" s="5">
        <f>HYPERLINK(LEFT(CELL("filename",A1),FIND("[",CELL("filename",A1))-1)&amp;"매뉴얼BODY(집행단계-첨부폴더)v8\4.상부강화노반\25_진입로 조성\표준서\진입로 조성_표준서.html", "📄 표준서 열기")</f>
        <v/>
      </c>
      <c r="D27" s="6">
        <f>HYPERLINK(LEFT(CELL("filename",A1),FIND("[",CELL("filename",A1))-1)&amp;"매뉴얼BODY(집행단계-첨부폴더)v8\4.상부강화노반\25_진입로 조성\수행지침\진입로 조성_수행지침.html", "📘 수행지침 열기")</f>
        <v/>
      </c>
      <c r="E27" s="7">
        <f>HYPERLINK(LEFT(CELL("filename",A1),FIND("[",CELL("filename",A1))-1)&amp;"매뉴얼BODY(집행단계-첨부폴더)v8\4.상부강화노반\25_진입로 조성\체크리스트\진입로 조성_체크리스트.html", "📋 체크리스트 열기")</f>
        <v/>
      </c>
    </row>
    <row r="28" ht="24" customHeight="1">
      <c r="A28" s="8" t="n">
        <v>26</v>
      </c>
      <c r="B28" s="9" t="inlineStr">
        <is>
          <t>노반쌓기</t>
        </is>
      </c>
      <c r="C28" s="10">
        <f>HYPERLINK(LEFT(CELL("filename",A1),FIND("[",CELL("filename",A1))-1)&amp;"매뉴얼BODY(집행단계-첨부폴더)v8\4.상부강화노반\26_노반쌓기\표준서\노반쌓기_표준서.html", "📄 표준서 열기")</f>
        <v/>
      </c>
      <c r="D28" s="11">
        <f>HYPERLINK(LEFT(CELL("filename",A1),FIND("[",CELL("filename",A1))-1)&amp;"매뉴얼BODY(집행단계-첨부폴더)v8\4.상부강화노반\26_노반쌓기\수행지침\노반쌓기_수행지침.html", "📘 수행지침 열기")</f>
        <v/>
      </c>
      <c r="E28" s="12">
        <f>HYPERLINK(LEFT(CELL("filename",A1),FIND("[",CELL("filename",A1))-1)&amp;"매뉴얼BODY(집행단계-첨부폴더)v8\4.상부강화노반\26_노반쌓기\체크리스트\노반쌓기_체크리스트.html", "📋 체크리스트 열기")</f>
        <v/>
      </c>
    </row>
    <row r="29" ht="24" customHeight="1">
      <c r="A29" s="3" t="n">
        <v>27</v>
      </c>
      <c r="B29" s="4" t="inlineStr">
        <is>
          <t>하부노반 시공</t>
        </is>
      </c>
      <c r="C29" s="5">
        <f>HYPERLINK(LEFT(CELL("filename",A1),FIND("[",CELL("filename",A1))-1)&amp;"매뉴얼BODY(집행단계-첨부폴더)v8\4.상부강화노반\27_하부노반 시공\표준서\하부노반 시공_표준서.html", "📄 표준서 열기")</f>
        <v/>
      </c>
      <c r="D29" s="6">
        <f>HYPERLINK(LEFT(CELL("filename",A1),FIND("[",CELL("filename",A1))-1)&amp;"매뉴얼BODY(집행단계-첨부폴더)v8\4.상부강화노반\27_하부노반 시공\수행지침\하부노반 시공_수행지침.html", "📘 수행지침 열기")</f>
        <v/>
      </c>
      <c r="E29" s="7">
        <f>HYPERLINK(LEFT(CELL("filename",A1),FIND("[",CELL("filename",A1))-1)&amp;"매뉴얼BODY(집행단계-첨부폴더)v8\4.상부강화노반\27_하부노반 시공\체크리스트\하부노반 시공_체크리스트.html", "📋 체크리스트 열기")</f>
        <v/>
      </c>
    </row>
    <row r="30" ht="24" customHeight="1">
      <c r="A30" s="8" t="n">
        <v>28</v>
      </c>
      <c r="B30" s="9" t="inlineStr">
        <is>
          <t>상부노반 시공</t>
        </is>
      </c>
      <c r="C30" s="10">
        <f>HYPERLINK(LEFT(CELL("filename",A1),FIND("[",CELL("filename",A1))-1)&amp;"매뉴얼BODY(집행단계-첨부폴더)v8\4.상부강화노반\28_상부노반 시공\표준서\상부노반 시공_표준서.html", "📄 표준서 열기")</f>
        <v/>
      </c>
      <c r="D30" s="11">
        <f>HYPERLINK(LEFT(CELL("filename",A1),FIND("[",CELL("filename",A1))-1)&amp;"매뉴얼BODY(집행단계-첨부폴더)v8\4.상부강화노반\28_상부노반 시공\수행지침\상부노반 시공_수행지침.html", "📘 수행지침 열기")</f>
        <v/>
      </c>
      <c r="E30" s="12">
        <f>HYPERLINK(LEFT(CELL("filename",A1),FIND("[",CELL("filename",A1))-1)&amp;"매뉴얼BODY(집행단계-첨부폴더)v8\4.상부강화노반\28_상부노반 시공\체크리스트\상부노반 시공_체크리스트.html", "📋 체크리스트 열기")</f>
        <v/>
      </c>
    </row>
    <row r="31" ht="24" customHeight="1">
      <c r="A31" s="3" t="n">
        <v>29</v>
      </c>
      <c r="B31" s="4" t="inlineStr">
        <is>
          <t>강화노반 시공</t>
        </is>
      </c>
      <c r="C31" s="5">
        <f>HYPERLINK(LEFT(CELL("filename",A1),FIND("[",CELL("filename",A1))-1)&amp;"매뉴얼BODY(집행단계-첨부폴더)v8\4.상부강화노반\29_강화노반 시공\표준서\강화노반 시공_표준서.html", "📄 표준서 열기")</f>
        <v/>
      </c>
      <c r="D31" s="6">
        <f>HYPERLINK(LEFT(CELL("filename",A1),FIND("[",CELL("filename",A1))-1)&amp;"매뉴얼BODY(집행단계-첨부폴더)v8\4.상부강화노반\29_강화노반 시공\수행지침\강화노반 시공_수행지침.html", "📘 수행지침 열기")</f>
        <v/>
      </c>
      <c r="E31" s="7">
        <f>HYPERLINK(LEFT(CELL("filename",A1),FIND("[",CELL("filename",A1))-1)&amp;"매뉴얼BODY(집행단계-첨부폴더)v8\4.상부강화노반\29_강화노반 시공\체크리스트\강화노반 시공_체크리스트.html", "📋 체크리스트 열기")</f>
        <v/>
      </c>
    </row>
    <row r="32" ht="24" customHeight="1">
      <c r="A32" s="8" t="n">
        <v>30</v>
      </c>
      <c r="B32" s="9" t="inlineStr">
        <is>
          <t>토공 유동운반_사토</t>
        </is>
      </c>
      <c r="C32" s="10">
        <f>HYPERLINK(LEFT(CELL("filename",A1),FIND("[",CELL("filename",A1))-1)&amp;"매뉴얼BODY(집행단계-첨부폴더)v8\4.상부강화노반\30_토공 유동운반_사토\표준서\토공 유동운반_사토_표준서.html", "📄 표준서 열기")</f>
        <v/>
      </c>
      <c r="D32" s="11">
        <f>HYPERLINK(LEFT(CELL("filename",A1),FIND("[",CELL("filename",A1))-1)&amp;"매뉴얼BODY(집행단계-첨부폴더)v8\4.상부강화노반\30_토공 유동운반_사토\수행지침\토공 유동운반_사토_수행지침.html", "📘 수행지침 열기")</f>
        <v/>
      </c>
      <c r="E32" s="12">
        <f>HYPERLINK(LEFT(CELL("filename",A1),FIND("[",CELL("filename",A1))-1)&amp;"매뉴얼BODY(집행단계-첨부폴더)v8\4.상부강화노반\30_토공 유동운반_사토\체크리스트\토공 유동운반_사토_체크리스트.html", "📋 체크리스트 열기")</f>
        <v/>
      </c>
    </row>
    <row r="33" ht="24" customHeight="1">
      <c r="A33" s="3" t="n">
        <v>31</v>
      </c>
      <c r="B33" s="4" t="inlineStr">
        <is>
          <t>연약지반처리(필요시)</t>
        </is>
      </c>
      <c r="C33" s="5">
        <f>HYPERLINK(LEFT(CELL("filename",A1),FIND("[",CELL("filename",A1))-1)&amp;"매뉴얼BODY(집행단계-첨부폴더)v8\4.상부강화노반\31_연약지반처리(필요시)\표준서\연약지반처리_표준서.html", "📄 표준서 열기")</f>
        <v/>
      </c>
      <c r="D33" s="6">
        <f>HYPERLINK(LEFT(CELL("filename",A1),FIND("[",CELL("filename",A1))-1)&amp;"매뉴얼BODY(집행단계-첨부폴더)v8\4.상부강화노반\31_연약지반처리(필요시)\수행지침\연약지반처리_수행지침.html", "📘 수행지침 열기")</f>
        <v/>
      </c>
      <c r="E33" s="7">
        <f>HYPERLINK(LEFT(CELL("filename",A1),FIND("[",CELL("filename",A1))-1)&amp;"매뉴얼BODY(집행단계-첨부폴더)v8\4.상부강화노반\31_연약지반처리(필요시)\체크리스트\연약지반처리_체크리스트.html", "📋 체크리스트 열기")</f>
        <v/>
      </c>
    </row>
    <row r="34" ht="24" customHeight="1">
      <c r="A34" s="8" t="n">
        <v>32</v>
      </c>
      <c r="B34" s="9" t="inlineStr">
        <is>
          <t>절성토경계부 배수구조물(맹암거) 시공</t>
        </is>
      </c>
      <c r="C34" s="10">
        <f>HYPERLINK(LEFT(CELL("filename",A1),FIND("[",CELL("filename",A1))-1)&amp;"매뉴얼BODY(집행단계-첨부폴더)v8\4.상부강화노반\32_절성토경계부 배수구조물(맹암거) 시공\표준서\절성토경계부 배수구조물 시공_표준서.html", "📄 표준서 열기")</f>
        <v/>
      </c>
      <c r="D34" s="11">
        <f>HYPERLINK(LEFT(CELL("filename",A1),FIND("[",CELL("filename",A1))-1)&amp;"매뉴얼BODY(집행단계-첨부폴더)v8\4.상부강화노반\32_절성토경계부 배수구조물(맹암거) 시공\수행지침\절성토경계부 배수구조물 시공_수행지침.html", "📘 수행지침 열기")</f>
        <v/>
      </c>
      <c r="E34" s="12">
        <f>HYPERLINK(LEFT(CELL("filename",A1),FIND("[",CELL("filename",A1))-1)&amp;"매뉴얼BODY(집행단계-첨부폴더)v8\4.상부강화노반\32_절성토경계부 배수구조물(맹암거) 시공\체크리스트\절성토경계부 배수구조물 시공_체크리스트.html", "📋 체크리스트 열기")</f>
        <v/>
      </c>
    </row>
    <row r="35" ht="24" customHeight="1">
      <c r="A35" s="3" t="n">
        <v>33</v>
      </c>
      <c r="B35" s="4" t="inlineStr">
        <is>
          <t>암석쌓기</t>
        </is>
      </c>
      <c r="C35" s="5">
        <f>HYPERLINK(LEFT(CELL("filename",A1),FIND("[",CELL("filename",A1))-1)&amp;"매뉴얼BODY(집행단계-첨부폴더)v8\4.상부강화노반\33_암석쌓기\표준서\암석쌓기_표준서.html", "📄 표준서 열기")</f>
        <v/>
      </c>
      <c r="D35" s="6">
        <f>HYPERLINK(LEFT(CELL("filename",A1),FIND("[",CELL("filename",A1))-1)&amp;"매뉴얼BODY(집행단계-첨부폴더)v8\4.상부강화노반\33_암석쌓기\수행지침\암석쌓기_수행지침.html", "📘 수행지침 열기")</f>
        <v/>
      </c>
      <c r="E35" s="7">
        <f>HYPERLINK(LEFT(CELL("filename",A1),FIND("[",CELL("filename",A1))-1)&amp;"매뉴얼BODY(집행단계-첨부폴더)v8\4.상부강화노반\33_암석쌓기\체크리스트\암석쌓기_체크리스트.html", "📋 체크리스트 열기")</f>
        <v/>
      </c>
    </row>
    <row r="36" ht="24" customHeight="1">
      <c r="A36" s="8" t="n">
        <v>34</v>
      </c>
      <c r="B36" s="9" t="inlineStr">
        <is>
          <t>방치기간 확보</t>
        </is>
      </c>
      <c r="C36" s="10">
        <f>HYPERLINK(LEFT(CELL("filename",A1),FIND("[",CELL("filename",A1))-1)&amp;"매뉴얼BODY(집행단계-첨부폴더)v8\4.상부강화노반\34_방치기간 확보\표준서\방치기간 확보_표준서.html", "📄 표준서 열기")</f>
        <v/>
      </c>
      <c r="D36" s="11">
        <f>HYPERLINK(LEFT(CELL("filename",A1),FIND("[",CELL("filename",A1))-1)&amp;"매뉴얼BODY(집행단계-첨부폴더)v8\4.상부강화노반\34_방치기간 확보\수행지침\방치기간 확보_수행지침.html", "📘 수행지침 열기")</f>
        <v/>
      </c>
      <c r="E36" s="12">
        <f>HYPERLINK(LEFT(CELL("filename",A1),FIND("[",CELL("filename",A1))-1)&amp;"매뉴얼BODY(집행단계-첨부폴더)v8\4.상부강화노반\34_방치기간 확보\체크리스트\방치기간 확보_체크리스트.html", "📋 체크리스트 열기")</f>
        <v/>
      </c>
    </row>
    <row r="37" ht="24" customHeight="1">
      <c r="A37" s="3" t="n">
        <v>35</v>
      </c>
      <c r="B37" s="4" t="inlineStr">
        <is>
          <t>토공마무리</t>
        </is>
      </c>
      <c r="C37" s="5">
        <f>HYPERLINK(LEFT(CELL("filename",A1),FIND("[",CELL("filename",A1))-1)&amp;"매뉴얼BODY(집행단계-첨부폴더)v8\4.상부강화노반\35_토공마무리\표준서\토공마무리_표준서.html", "📄 표준서 열기")</f>
        <v/>
      </c>
      <c r="D37" s="6">
        <f>HYPERLINK(LEFT(CELL("filename",A1),FIND("[",CELL("filename",A1))-1)&amp;"매뉴얼BODY(집행단계-첨부폴더)v8\4.상부강화노반\35_토공마무리\수행지침\토공마무리_수행지침.html", "📘 수행지침 열기")</f>
        <v/>
      </c>
      <c r="E37" s="7">
        <f>HYPERLINK(LEFT(CELL("filename",A1),FIND("[",CELL("filename",A1))-1)&amp;"매뉴얼BODY(집행단계-첨부폴더)v8\4.상부강화노반\35_토공마무리\체크리스트\토공마무리_체크리스트.html", "📋 체크리스트 열기")</f>
        <v/>
      </c>
    </row>
    <row r="38" ht="24" customHeight="1">
      <c r="A38" s="8" t="n">
        <v>36</v>
      </c>
      <c r="B38" s="9" t="inlineStr">
        <is>
          <t>토공 마무리면 인계</t>
        </is>
      </c>
      <c r="C38" s="10">
        <f>HYPERLINK(LEFT(CELL("filename",A1),FIND("[",CELL("filename",A1))-1)&amp;"매뉴얼BODY(집행단계-첨부폴더)v8\4.상부강화노반\36_토공 마무리면 인계\표준서\토공 마무리면 인계_표준서.html", "📄 표준서 열기")</f>
        <v/>
      </c>
      <c r="D38" s="11">
        <f>HYPERLINK(LEFT(CELL("filename",A1),FIND("[",CELL("filename",A1))-1)&amp;"매뉴얼BODY(집행단계-첨부폴더)v8\4.상부강화노반\36_토공 마무리면 인계\수행지침\토공 마무리면 인계_수행지침.html", "📘 수행지침 열기")</f>
        <v/>
      </c>
      <c r="E38" s="12">
        <f>HYPERLINK(LEFT(CELL("filename",A1),FIND("[",CELL("filename",A1))-1)&amp;"매뉴얼BODY(집행단계-첨부폴더)v8\4.상부강화노반\36_토공 마무리면 인계\체크리스트\토공 마무리면 인계_체크리스트.html", "📋 체크리스트 열기")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22" customWidth="1" min="4" max="4"/>
    <col width="22" customWidth="1" min="5" max="5"/>
  </cols>
  <sheetData>
    <row r="1" ht="35" customHeight="1">
      <c r="A1" s="1" t="inlineStr">
        <is>
          <t>동탄도시철도(트램) 사전토공사 엔지니어링 매뉴얼 링크 대장</t>
        </is>
      </c>
    </row>
    <row r="2" ht="28" customHeight="1">
      <c r="A2" s="2" t="inlineStr">
        <is>
          <t>순번</t>
        </is>
      </c>
      <c r="B2" s="2" t="inlineStr">
        <is>
          <t>액티비티명 (Activity)</t>
        </is>
      </c>
      <c r="C2" s="2" t="inlineStr">
        <is>
          <t>표준서 (Standard)</t>
        </is>
      </c>
      <c r="D2" s="2" t="inlineStr">
        <is>
          <t>수행지침 (Guideline)</t>
        </is>
      </c>
      <c r="E2" s="2" t="inlineStr">
        <is>
          <t>체크리스트 (Checklist)</t>
        </is>
      </c>
    </row>
    <row r="3" ht="24" customHeight="1">
      <c r="A3" s="3" t="n">
        <v>1</v>
      </c>
      <c r="B3" s="4" t="inlineStr">
        <is>
          <t>Site Survey</t>
        </is>
      </c>
      <c r="C3" s="5">
        <f>HYPERLINK(LEFT(CELL("filename",A1),FIND("[",CELL("filename",A1))-1)&amp;"매뉴얼BODY(집행단계-첨부폴더)v8\2.사전토공사\1_Site Survey\표준서\Site Survey_표준서.html", "📄 표준서 열기")</f>
        <v/>
      </c>
      <c r="D3" s="6">
        <f>HYPERLINK(LEFT(CELL("filename",A1),FIND("[",CELL("filename",A1))-1)&amp;"매뉴얼BODY(집행단계-첨부폴더)v8\2.사전토공사\1_Site Survey\수행지침\Site Survey_수행지침.html", "📘 수행지침 열기")</f>
        <v/>
      </c>
      <c r="E3" s="7">
        <f>HYPERLINK(LEFT(CELL("filename",A1),FIND("[",CELL("filename",A1))-1)&amp;"매뉴얼BODY(집행단계-첨부폴더)v8\2.사전토공사\1_Site Survey\체크리스트\Site Survey_체크리스트.html", "📋 체크리스트 열기")</f>
        <v/>
      </c>
    </row>
    <row r="4" ht="24" customHeight="1">
      <c r="A4" s="8" t="n">
        <v>2</v>
      </c>
      <c r="B4" s="9" t="inlineStr">
        <is>
          <t>발주전략 KOM</t>
        </is>
      </c>
      <c r="C4" s="10">
        <f>HYPERLINK(LEFT(CELL("filename",A1),FIND("[",CELL("filename",A1))-1)&amp;"매뉴얼BODY(집행단계-첨부폴더)v8\2.사전토공사\2_발주전략 KOM\표준서\2_발주전략 KOM_표준서.html", "📄 표준서 열기")</f>
        <v/>
      </c>
      <c r="D4" s="11">
        <f>HYPERLINK(LEFT(CELL("filename",A1),FIND("[",CELL("filename",A1))-1)&amp;"매뉴얼BODY(집행단계-첨부폴더)v8\2.사전토공사\2_발주전략 KOM\수행지침\2_발주전략 KOM_수행지침.html", "📘 수행지침 열기")</f>
        <v/>
      </c>
      <c r="E4" s="12">
        <f>HYPERLINK(LEFT(CELL("filename",A1),FIND("[",CELL("filename",A1))-1)&amp;"매뉴얼BODY(집행단계-첨부폴더)v8\2.사전토공사\2_발주전략 KOM\체크리스트\2_발주전략 KOM_체크리스트.html", "📋 체크리스트 열기")</f>
        <v/>
      </c>
    </row>
    <row r="5" ht="24" customHeight="1">
      <c r="A5" s="3" t="n">
        <v>3</v>
      </c>
      <c r="B5" s="4" t="inlineStr">
        <is>
          <t>Site Survey Risk 검토</t>
        </is>
      </c>
      <c r="C5" s="5">
        <f>HYPERLINK(LEFT(CELL("filename",A1),FIND("[",CELL("filename",A1))-1)&amp;"매뉴얼BODY(집행단계-첨부폴더)v8\2.사전토공사\3_Site Survey Risk 검토\표준서\Site Survey Risk 검토_표준서.html", "📄 표준서 열기")</f>
        <v/>
      </c>
      <c r="D5" s="6">
        <f>HYPERLINK(LEFT(CELL("filename",A1),FIND("[",CELL("filename",A1))-1)&amp;"매뉴얼BODY(집행단계-첨부폴더)v8\2.사전토공사\3_Site Survey Risk 검토\수행지침\Site Survey Risk 검토_수행지침.html", "📘 수행지침 열기")</f>
        <v/>
      </c>
      <c r="E5" s="7">
        <f>HYPERLINK(LEFT(CELL("filename",A1),FIND("[",CELL("filename",A1))-1)&amp;"매뉴얼BODY(집행단계-첨부폴더)v8\2.사전토공사\3_Site Survey Risk 검토\체크리스트\Site Survey Risk 검토_체크리스트.html", "📋 체크리스트 열기")</f>
        <v/>
      </c>
    </row>
    <row r="6" ht="24" customHeight="1">
      <c r="A6" s="8" t="n">
        <v>4</v>
      </c>
      <c r="B6" s="9" t="inlineStr">
        <is>
          <t>최고의 팀 만들기 지원</t>
        </is>
      </c>
      <c r="C6" s="10">
        <f>HYPERLINK(LEFT(CELL("filename",A1),FIND("[",CELL("filename",A1))-1)&amp;"매뉴얼BODY(집행단계-첨부폴더)v8\2.사전토공사\4_최고의 팀 만들기 지원\표준서\최고의 팀 만들기 지원_표준서.html", "📄 표준서 열기")</f>
        <v/>
      </c>
      <c r="D6" s="11">
        <f>HYPERLINK(LEFT(CELL("filename",A1),FIND("[",CELL("filename",A1))-1)&amp;"매뉴얼BODY(집행단계-첨부폴더)v8\2.사전토공사\4_최고의 팀 만들기 지원\수행지침\최고의 팀 만들기 지원_수행지침.html", "📘 수행지침 열기")</f>
        <v/>
      </c>
      <c r="E6" s="12">
        <f>HYPERLINK(LEFT(CELL("filename",A1),FIND("[",CELL("filename",A1))-1)&amp;"매뉴얼BODY(집행단계-첨부폴더)v8\2.사전토공사\4_최고의 팀 만들기 지원\체크리스트\최고의 팀 만들기 지원_체크리스트.html", "📋 체크리스트 열기")</f>
        <v/>
      </c>
    </row>
    <row r="7" ht="24" customHeight="1">
      <c r="A7" s="3" t="n">
        <v>5</v>
      </c>
      <c r="B7" s="4" t="inlineStr">
        <is>
          <t>공사중 교통처리계획</t>
        </is>
      </c>
      <c r="C7" s="5">
        <f>HYPERLINK(LEFT(CELL("filename",A1),FIND("[",CELL("filename",A1))-1)&amp;"매뉴얼BODY(집행단계-첨부폴더)v8\2.사전토공사\5_공사중 교통처리계획\표준서\공사중 교통처리계획_표준서.html", "📄 표준서 열기")</f>
        <v/>
      </c>
      <c r="D7" s="6">
        <f>HYPERLINK(LEFT(CELL("filename",A1),FIND("[",CELL("filename",A1))-1)&amp;"매뉴얼BODY(집행단계-첨부폴더)v8\2.사전토공사\5_공사중 교통처리계획\수행지침\공사중 교통처리계획_수행지침.html", "📘 수행지침 열기")</f>
        <v/>
      </c>
      <c r="E7" s="7">
        <f>HYPERLINK(LEFT(CELL("filename",A1),FIND("[",CELL("filename",A1))-1)&amp;"매뉴얼BODY(집행단계-첨부폴더)v8\2.사전토공사\5_공사중 교통처리계획\체크리스트\공사중 교통처리계획_체크리스트.html", "📋 체크리스트 열기")</f>
        <v/>
      </c>
    </row>
    <row r="8" ht="24" customHeight="1">
      <c r="A8" s="8" t="n">
        <v>6</v>
      </c>
      <c r="B8" s="9" t="inlineStr">
        <is>
          <t>자재발주 요청</t>
        </is>
      </c>
      <c r="C8" s="10">
        <f>HYPERLINK(LEFT(CELL("filename",A1),FIND("[",CELL("filename",A1))-1)&amp;"매뉴얼BODY(집행단계-첨부폴더)v8\2.사전토공사\6_자재발주 요청\표준서\자재발주 요청_표준서.html", "📄 표준서 열기")</f>
        <v/>
      </c>
      <c r="D8" s="11">
        <f>HYPERLINK(LEFT(CELL("filename",A1),FIND("[",CELL("filename",A1))-1)&amp;"매뉴얼BODY(집행단계-첨부폴더)v8\2.사전토공사\6_자재발주 요청\수행지침\착수전 Big Room 회의_수행지침.html", "📘 수행지침 열기")</f>
        <v/>
      </c>
      <c r="E8" s="12">
        <f>HYPERLINK(LEFT(CELL("filename",A1),FIND("[",CELL("filename",A1))-1)&amp;"매뉴얼BODY(집행단계-첨부폴더)v8\2.사전토공사\6_자재발주 요청\체크리스트\착수전 Big Room 회의_체크리스트.html", "📋 체크리스트 열기")</f>
        <v/>
      </c>
    </row>
    <row r="9" ht="24" customHeight="1">
      <c r="A9" s="3" t="n">
        <v>7</v>
      </c>
      <c r="B9" s="4" t="inlineStr">
        <is>
          <t>용지 사용 Risk 검토</t>
        </is>
      </c>
      <c r="C9" s="5">
        <f>HYPERLINK(LEFT(CELL("filename",A1),FIND("[",CELL("filename",A1))-1)&amp;"매뉴얼BODY(집행단계-첨부폴더)v8\2.사전토공사\7_용지 사용 Risk 검토\표준서\용지 사용 Risk 검토_표준서.html", "📄 표준서 열기")</f>
        <v/>
      </c>
      <c r="D9" s="6">
        <f>HYPERLINK(LEFT(CELL("filename",A1),FIND("[",CELL("filename",A1))-1)&amp;"매뉴얼BODY(집행단계-첨부폴더)v8\2.사전토공사\7_용지 사용 Risk 검토\수행지침\용지 사용 Risk 검토_수행지침.html", "📘 수행지침 열기")</f>
        <v/>
      </c>
      <c r="E9" s="7">
        <f>HYPERLINK(LEFT(CELL("filename",A1),FIND("[",CELL("filename",A1))-1)&amp;"매뉴얼BODY(집행단계-첨부폴더)v8\2.사전토공사\7_용지 사용 Risk 검토\체크리스트\용지 사용 Risk 검토_체크리스트.html", "📋 체크리스트 열기")</f>
        <v/>
      </c>
    </row>
    <row r="10" ht="24" customHeight="1">
      <c r="A10" s="8" t="n">
        <v>8</v>
      </c>
      <c r="B10" s="9" t="inlineStr">
        <is>
          <t>착수전 Big Room 회의</t>
        </is>
      </c>
      <c r="C10" s="10">
        <f>HYPERLINK(LEFT(CELL("filename",A1),FIND("[",CELL("filename",A1))-1)&amp;"매뉴얼BODY(집행단계-첨부폴더)v8\2.사전토공사\8_착수전 Big Room 회의\표준서\착수전 Big Room 회의_표준서.html", "📄 표준서 열기")</f>
        <v/>
      </c>
      <c r="D10" s="11">
        <f>HYPERLINK(LEFT(CELL("filename",A1),FIND("[",CELL("filename",A1))-1)&amp;"매뉴얼BODY(집행단계-첨부폴더)v8\2.사전토공사\8_착수전 Big Room 회의\수행지침\착수전 Big Room 회의_수행지침.html", "📘 수행지침 열기")</f>
        <v/>
      </c>
      <c r="E10" s="12">
        <f>HYPERLINK(LEFT(CELL("filename",A1),FIND("[",CELL("filename",A1))-1)&amp;"매뉴얼BODY(집행단계-첨부폴더)v8\2.사전토공사\8_착수전 Big Room 회의\체크리스트\착수전 Big Room 회의_체크리스트.html", "📋 체크리스트 열기")</f>
        <v/>
      </c>
    </row>
    <row r="11" ht="24" customHeight="1">
      <c r="A11" s="3" t="n">
        <v>9</v>
      </c>
      <c r="B11" s="4" t="inlineStr">
        <is>
          <t>인허가 절차 진행</t>
        </is>
      </c>
      <c r="C11" s="5">
        <f>HYPERLINK(LEFT(CELL("filename",A1),FIND("[",CELL("filename",A1))-1)&amp;"매뉴얼BODY(집행단계-첨부폴더)v8\2.사전토공사\9_인허가 절차 진행\표준서\인허가 절차 진행_표준서.html", "📄 표준서 열기")</f>
        <v/>
      </c>
      <c r="D11" s="6">
        <f>HYPERLINK(LEFT(CELL("filename",A1),FIND("[",CELL("filename",A1))-1)&amp;"매뉴얼BODY(집행단계-첨부폴더)v8\2.사전토공사\9_인허가 절차 진행\수행지침\인허가 절차 진행_수행지침.html", "📘 수행지침 열기")</f>
        <v/>
      </c>
      <c r="E11" s="7">
        <f>HYPERLINK(LEFT(CELL("filename",A1),FIND("[",CELL("filename",A1))-1)&amp;"매뉴얼BODY(집행단계-첨부폴더)v8\2.사전토공사\9_인허가 절차 진행\체크리스트\인허가 절차 진행_체크리스트.html", "📋 체크리스트 열기")</f>
        <v/>
      </c>
    </row>
    <row r="12" ht="24" customHeight="1">
      <c r="A12" s="8" t="n">
        <v>10</v>
      </c>
      <c r="B12" s="9" t="inlineStr">
        <is>
          <t>교통처리대책 협의 및 승인</t>
        </is>
      </c>
      <c r="C12" s="10">
        <f>HYPERLINK(LEFT(CELL("filename",A1),FIND("[",CELL("filename",A1))-1)&amp;"매뉴얼BODY(집행단계-첨부폴더)v8\2.사전토공사\10_교통처리대책 협의 및 승인\표준서\교통처리대책 협의 및 승인_표준서.html", "📄 표준서 열기")</f>
        <v/>
      </c>
      <c r="D12" s="11">
        <f>HYPERLINK(LEFT(CELL("filename",A1),FIND("[",CELL("filename",A1))-1)&amp;"매뉴얼BODY(집행단계-첨부폴더)v8\2.사전토공사\10_교통처리대책 협의 및 승인\수행지침\교통처리대책 협의 및 승인_수행지침.html", "📘 수행지침 열기")</f>
        <v/>
      </c>
      <c r="E12" s="12">
        <f>HYPERLINK(LEFT(CELL("filename",A1),FIND("[",CELL("filename",A1))-1)&amp;"매뉴얼BODY(집행단계-첨부폴더)v8\2.사전토공사\10_교통처리대책 협의 및 승인\체크리스트\교통처리대책 협의 및 승인_체크리스트.html", "📋 체크리스트 열기")</f>
        <v/>
      </c>
    </row>
    <row r="13" ht="24" customHeight="1">
      <c r="A13" s="3" t="n">
        <v>11</v>
      </c>
      <c r="B13" s="4" t="inlineStr">
        <is>
          <t>지장물 검토 및 협의</t>
        </is>
      </c>
      <c r="C13" s="5">
        <f>HYPERLINK(LEFT(CELL("filename",A1),FIND("[",CELL("filename",A1))-1)&amp;"매뉴얼BODY(집행단계-첨부폴더)v8\2.사전토공사\11_지장물 검토 및 협의\표준서\지장물 검토 및 협의_표준서.html", "📄 표준서 열기")</f>
        <v/>
      </c>
      <c r="D13" s="6">
        <f>HYPERLINK(LEFT(CELL("filename",A1),FIND("[",CELL("filename",A1))-1)&amp;"매뉴얼BODY(집행단계-첨부폴더)v8\2.사전토공사\11_지장물 검토 및 협의\수행지침\지장물 검토 및 협의_수행지침.html", "📘 수행지침 열기")</f>
        <v/>
      </c>
      <c r="E13" s="7">
        <f>HYPERLINK(LEFT(CELL("filename",A1),FIND("[",CELL("filename",A1))-1)&amp;"매뉴얼BODY(집행단계-첨부폴더)v8\2.사전토공사\11_지장물 검토 및 협의\체크리스트\지장물 검토 및 협의_체크리스트.html", "📋 체크리스트 열기")</f>
        <v/>
      </c>
    </row>
    <row r="14" ht="24" customHeight="1">
      <c r="A14" s="8" t="n">
        <v>12</v>
      </c>
      <c r="B14" s="9" t="inlineStr">
        <is>
          <t>기공승낙 적정성 검토</t>
        </is>
      </c>
      <c r="C14" s="10">
        <f>HYPERLINK(LEFT(CELL("filename",A1),FIND("[",CELL("filename",A1))-1)&amp;"매뉴얼BODY(집행단계-첨부폴더)v8\2.사전토공사\12_기공승낙 적정성 검토\표준서\기공승낙 적정성 검토_표준서.html", "📄 표준서 열기")</f>
        <v/>
      </c>
      <c r="D14" s="11">
        <f>HYPERLINK(LEFT(CELL("filename",A1),FIND("[",CELL("filename",A1))-1)&amp;"매뉴얼BODY(집행단계-첨부폴더)v8\2.사전토공사\12_기공승낙 적정성 검토\수행지침\기공승낙 적정성 검토_수행지침.html", "📘 수행지침 열기")</f>
        <v/>
      </c>
      <c r="E14" s="12">
        <f>HYPERLINK(LEFT(CELL("filename",A1),FIND("[",CELL("filename",A1))-1)&amp;"매뉴얼BODY(집행단계-첨부폴더)v8\2.사전토공사\12_기공승낙 적정성 검토\체크리스트\기공승낙 적정성 검토_체크리스트.html", "📋 체크리스트 열기")</f>
        <v/>
      </c>
    </row>
    <row r="15" ht="24" customHeight="1">
      <c r="A15" s="3" t="n">
        <v>13</v>
      </c>
      <c r="B15" s="4" t="inlineStr">
        <is>
          <t>민원 저감 대책 수립</t>
        </is>
      </c>
      <c r="C15" s="5">
        <f>HYPERLINK(LEFT(CELL("filename",A1),FIND("[",CELL("filename",A1))-1)&amp;"매뉴얼BODY(집행단계-첨부폴더)v8\2.사전토공사\13_민원 저감 대책 수립\표준서\민원 저감 대책 수립_표준서.html", "📄 표준서 열기")</f>
        <v/>
      </c>
      <c r="D15" s="6">
        <f>HYPERLINK(LEFT(CELL("filename",A1),FIND("[",CELL("filename",A1))-1)&amp;"매뉴얼BODY(집행단계-첨부폴더)v8\2.사전토공사\13_민원 저감 대책 수립\수행지침\민원 저감 대책 수립_수행지침.html", "📘 수행지침 열기")</f>
        <v/>
      </c>
      <c r="E15" s="7">
        <f>HYPERLINK(LEFT(CELL("filename",A1),FIND("[",CELL("filename",A1))-1)&amp;"매뉴얼BODY(집행단계-첨부폴더)v8\2.사전토공사\13_민원 저감 대책 수립\체크리스트\민원 저감 대책 수립_체크리스트.html", "📋 체크리스트 열기")</f>
        <v/>
      </c>
    </row>
    <row r="16" ht="24" customHeight="1">
      <c r="A16" s="8" t="n">
        <v>14</v>
      </c>
      <c r="B16" s="9" t="inlineStr">
        <is>
          <t>용지보상 Risk 파악</t>
        </is>
      </c>
      <c r="C16" s="10">
        <f>HYPERLINK(LEFT(CELL("filename",A1),FIND("[",CELL("filename",A1))-1)&amp;"매뉴얼BODY(집행단계-첨부폴더)v8\2.사전토공사\14_용지보상 Risk 파악\표준서\용지보상 Risk 파악_표준서.html", "📄 표준서 열기")</f>
        <v/>
      </c>
      <c r="D16" s="11">
        <f>HYPERLINK(LEFT(CELL("filename",A1),FIND("[",CELL("filename",A1))-1)&amp;"매뉴얼BODY(집행단계-첨부폴더)v8\2.사전토공사\14_용지보상 Risk 파악\수행지침\용지보상 Risk 파악_수행지침.html", "📘 수행지침 열기")</f>
        <v/>
      </c>
      <c r="E16" s="12">
        <f>HYPERLINK(LEFT(CELL("filename",A1),FIND("[",CELL("filename",A1))-1)&amp;"매뉴얼BODY(집행단계-첨부폴더)v8\2.사전토공사\14_용지보상 Risk 파악\체크리스트\용지보상 Risk 파악_체크리스트.html", "📋 체크리스트 열기")</f>
        <v/>
      </c>
    </row>
    <row r="17" ht="24" customHeight="1">
      <c r="A17" s="3" t="n">
        <v>15</v>
      </c>
      <c r="B17" s="4" t="inlineStr">
        <is>
          <t>시공계획서 검토 지원</t>
        </is>
      </c>
      <c r="C17" s="5">
        <f>HYPERLINK(LEFT(CELL("filename",A1),FIND("[",CELL("filename",A1))-1)&amp;"매뉴얼BODY(집행단계-첨부폴더)v8\2.사전토공사\15_시공계획서 검토 지원\표준서\시공계획서 검토 지원_표준서.html", "📄 표준서 열기")</f>
        <v/>
      </c>
      <c r="D17" s="6">
        <f>HYPERLINK(LEFT(CELL("filename",A1),FIND("[",CELL("filename",A1))-1)&amp;"매뉴얼BODY(집행단계-첨부폴더)v8\2.사전토공사\15_시공계획서 검토 지원\수행지침\시공계획서 검토 지원_수행지침.html", "📘 수행지침 열기")</f>
        <v/>
      </c>
      <c r="E17" s="7">
        <f>HYPERLINK(LEFT(CELL("filename",A1),FIND("[",CELL("filename",A1))-1)&amp;"매뉴얼BODY(집행단계-첨부폴더)v8\2.사전토공사\15_시공계획서 검토 지원\체크리스트\시공계획서 검토 지원_체크리스트.html", "📋 체크리스트 열기")</f>
        <v/>
      </c>
    </row>
    <row r="18" ht="24" customHeight="1">
      <c r="A18" s="8" t="n">
        <v>16</v>
      </c>
      <c r="B18" s="9" t="inlineStr">
        <is>
          <t>시공계획 수립</t>
        </is>
      </c>
      <c r="C18" s="10">
        <f>HYPERLINK(LEFT(CELL("filename",A1),FIND("[",CELL("filename",A1))-1)&amp;"매뉴얼BODY(집행단계-첨부폴더)v8\2.사전토공사\16_시공계획 수립\표준서\설계변경 (착수전)_표준서.html", "📄 표준서 열기")</f>
        <v/>
      </c>
      <c r="D18" s="11">
        <f>HYPERLINK(LEFT(CELL("filename",A1),FIND("[",CELL("filename",A1))-1)&amp;"매뉴얼BODY(집행단계-첨부폴더)v8\2.사전토공사\16_시공계획 수립\수행지침\설계변경 (착수전)_수행지침.html", "📘 수행지침 열기")</f>
        <v/>
      </c>
      <c r="E18" s="12">
        <f>HYPERLINK(LEFT(CELL("filename",A1),FIND("[",CELL("filename",A1))-1)&amp;"매뉴얼BODY(집행단계-첨부폴더)v8\2.사전토공사\16_시공계획 수립\체크리스트\설계변경 (착수전)_체크리스트.html", "📋 체크리스트 열기")</f>
        <v/>
      </c>
    </row>
    <row r="19" ht="24" customHeight="1">
      <c r="A19" s="3" t="n">
        <v>17</v>
      </c>
      <c r="B19" s="4" t="inlineStr">
        <is>
          <t>후행공종 요구조건 반영 설계변경 검토</t>
        </is>
      </c>
      <c r="C19" s="5">
        <f>HYPERLINK(LEFT(CELL("filename",A1),FIND("[",CELL("filename",A1))-1)&amp;"매뉴얼BODY(집행단계-첨부폴더)v8\2.사전토공사\17_후행공종 요구조건 반영 설계변경 검토\표준서\후행공종 요구조건 반영 설계변경 검토_표준서.html", "📄 표준서 열기")</f>
        <v/>
      </c>
      <c r="D19" s="6">
        <f>HYPERLINK(LEFT(CELL("filename",A1),FIND("[",CELL("filename",A1))-1)&amp;"매뉴얼BODY(집행단계-첨부폴더)v8\2.사전토공사\17_후행공종 요구조건 반영 설계변경 검토\수행지침\후행공종 요구조건 반영 설계변경 검토_수행지침.html", "📘 수행지침 열기")</f>
        <v/>
      </c>
      <c r="E19" s="7">
        <f>HYPERLINK(LEFT(CELL("filename",A1),FIND("[",CELL("filename",A1))-1)&amp;"매뉴얼BODY(집행단계-첨부폴더)v8\2.사전토공사\17_후행공종 요구조건 반영 설계변경 검토\체크리스트\후행공종 요구조건 반영 설계변경 검토_체크리스트.html", "📋 체크리스트 열기")</f>
        <v/>
      </c>
    </row>
    <row r="20" ht="24" customHeight="1">
      <c r="A20" s="8" t="n">
        <v>18</v>
      </c>
      <c r="B20" s="9" t="inlineStr">
        <is>
          <t>설계변경 (착수전)</t>
        </is>
      </c>
      <c r="C20" s="10">
        <f>HYPERLINK(LEFT(CELL("filename",A1),FIND("[",CELL("filename",A1))-1)&amp;"매뉴얼BODY(집행단계-첨부폴더)v8\2.사전토공사\18_설계변경 (착수전)\표준서\설계변경 (착수전)_표준서.html", "📄 표준서 열기")</f>
        <v/>
      </c>
      <c r="D20" s="11">
        <f>HYPERLINK(LEFT(CELL("filename",A1),FIND("[",CELL("filename",A1))-1)&amp;"매뉴얼BODY(집행단계-첨부폴더)v8\2.사전토공사\18_설계변경 (착수전)\수행지침\설계변경 (착수전)_수행지침.html", "📘 수행지침 열기")</f>
        <v/>
      </c>
      <c r="E20" s="12">
        <f>HYPERLINK(LEFT(CELL("filename",A1),FIND("[",CELL("filename",A1))-1)&amp;"매뉴얼BODY(집행단계-첨부폴더)v8\2.사전토공사\18_설계변경 (착수전)\체크리스트\설계변경 (착수전)_체크리스트.html", "📋 체크리스트 열기")</f>
        <v/>
      </c>
    </row>
    <row r="21" ht="24" customHeight="1">
      <c r="A21" s="3" t="n">
        <v>19</v>
      </c>
      <c r="B21" s="4" t="inlineStr">
        <is>
          <t>설계변경_착수전</t>
        </is>
      </c>
      <c r="C21" s="5">
        <f>HYPERLINK(LEFT(CELL("filename",A1),FIND("[",CELL("filename",A1))-1)&amp;"매뉴얼BODY(집행단계-첨부폴더)v8\2.사전토공사\18_설계변경_착수전\표준서\후행공종 요구조건 반영 설계변경 검토_표준서.html", "📄 표준서 열기")</f>
        <v/>
      </c>
      <c r="D21" s="6">
        <f>HYPERLINK(LEFT(CELL("filename",A1),FIND("[",CELL("filename",A1))-1)&amp;"매뉴얼BODY(집행단계-첨부폴더)v8\2.사전토공사\18_설계변경_착수전\수행지침\후행공종 요구조건 반영 설계변경 검토_수행지침.html", "📘 수행지침 열기")</f>
        <v/>
      </c>
      <c r="E21" s="7">
        <f>HYPERLINK(LEFT(CELL("filename",A1),FIND("[",CELL("filename",A1))-1)&amp;"매뉴얼BODY(집행단계-첨부폴더)v8\2.사전토공사\18_설계변경_착수전\체크리스트\후행공종 요구조건 반영 설계변경 검토_체크리스트.html", "📋 체크리스트 열기")</f>
        <v/>
      </c>
    </row>
    <row r="22" ht="24" customHeight="1">
      <c r="A22" s="8" t="n">
        <v>20</v>
      </c>
      <c r="B22" s="9" t="inlineStr">
        <is>
          <t>설계변경 지원</t>
        </is>
      </c>
      <c r="C22" s="10">
        <f>HYPERLINK(LEFT(CELL("filename",A1),FIND("[",CELL("filename",A1))-1)&amp;"매뉴얼BODY(집행단계-첨부폴더)v8\2.사전토공사\19_설계변경 지원\표준서\설계변경 지원_표준서.html", "📄 표준서 열기")</f>
        <v/>
      </c>
      <c r="D22" s="11">
        <f>HYPERLINK(LEFT(CELL("filename",A1),FIND("[",CELL("filename",A1))-1)&amp;"매뉴얼BODY(집행단계-첨부폴더)v8\2.사전토공사\19_설계변경 지원\수행지침\설계변경 지원_수행지침.html", "📘 수행지침 열기")</f>
        <v/>
      </c>
      <c r="E22" s="12">
        <f>HYPERLINK(LEFT(CELL("filename",A1),FIND("[",CELL("filename",A1))-1)&amp;"매뉴얼BODY(집행단계-첨부폴더)v8\2.사전토공사\19_설계변경 지원\체크리스트\설계변경 지원_체크리스트.html", "📋 체크리스트 열기")</f>
        <v/>
      </c>
    </row>
    <row r="23" ht="24" customHeight="1">
      <c r="A23" s="3" t="n">
        <v>21</v>
      </c>
      <c r="B23" s="4" t="inlineStr">
        <is>
          <t>교통관리 및 교통안전시설 설치</t>
        </is>
      </c>
      <c r="C23" s="5">
        <f>HYPERLINK(LEFT(CELL("filename",A1),FIND("[",CELL("filename",A1))-1)&amp;"매뉴얼BODY(집행단계-첨부폴더)v8\2.사전토공사\20_교통관리 및 교통안전시설 설치\표준서\교통관리 및 교통안전시설 설치_표준서.html", "📄 표준서 열기")</f>
        <v/>
      </c>
      <c r="D23" s="6">
        <f>HYPERLINK(LEFT(CELL("filename",A1),FIND("[",CELL("filename",A1))-1)&amp;"매뉴얼BODY(집행단계-첨부폴더)v8\2.사전토공사\20_교통관리 및 교통안전시설 설치\수행지침\교통관리 및 교통안전시설 설치_수행지침.html", "📘 수행지침 열기")</f>
        <v/>
      </c>
      <c r="E23" s="7">
        <f>HYPERLINK(LEFT(CELL("filename",A1),FIND("[",CELL("filename",A1))-1)&amp;"매뉴얼BODY(집행단계-첨부폴더)v8\2.사전토공사\20_교통관리 및 교통안전시설 설치\체크리스트\교통관리 및 교통안전시설 설치_체크리스트.html", "📋 체크리스트 열기")</f>
        <v/>
      </c>
    </row>
    <row r="24" ht="24" customHeight="1">
      <c r="A24" s="8" t="n">
        <v>22</v>
      </c>
      <c r="B24" s="9" t="inlineStr">
        <is>
          <t>장비 검수 지원</t>
        </is>
      </c>
      <c r="C24" s="10">
        <f>HYPERLINK(LEFT(CELL("filename",A1),FIND("[",CELL("filename",A1))-1)&amp;"매뉴얼BODY(집행단계-첨부폴더)v8\2.사전토공사\21_장비 검수 지원\표준서\장비 검수 지원_표준서.html", "📄 표준서 열기")</f>
        <v/>
      </c>
      <c r="D24" s="11">
        <f>HYPERLINK(LEFT(CELL("filename",A1),FIND("[",CELL("filename",A1))-1)&amp;"매뉴얼BODY(집행단계-첨부폴더)v8\2.사전토공사\21_장비 검수 지원\수행지침\장비 검수 지원_수행지침.html", "📘 수행지침 열기")</f>
        <v/>
      </c>
      <c r="E24" s="12">
        <f>HYPERLINK(LEFT(CELL("filename",A1),FIND("[",CELL("filename",A1))-1)&amp;"매뉴얼BODY(집행단계-첨부폴더)v8\2.사전토공사\21_장비 검수 지원\체크리스트\장비 검수 지원_체크리스트.html", "📋 체크리스트 열기")</f>
        <v/>
      </c>
    </row>
    <row r="25" ht="24" customHeight="1">
      <c r="A25" s="3" t="n">
        <v>23</v>
      </c>
      <c r="B25" s="4" t="inlineStr">
        <is>
          <t>벌목_벌근제거</t>
        </is>
      </c>
      <c r="C25" s="5">
        <f>HYPERLINK(LEFT(CELL("filename",A1),FIND("[",CELL("filename",A1))-1)&amp;"매뉴얼BODY(집행단계-첨부폴더)v8\2.사전토공사\22_벌목_벌근제거\표준서\벌목_벌근제거_표준서.html", "📄 표준서 열기")</f>
        <v/>
      </c>
      <c r="D25" s="6">
        <f>HYPERLINK(LEFT(CELL("filename",A1),FIND("[",CELL("filename",A1))-1)&amp;"매뉴얼BODY(집행단계-첨부폴더)v8\2.사전토공사\22_벌목_벌근제거\수행지침\벌목_벌근제거_수행지침.html", "📘 수행지침 열기")</f>
        <v/>
      </c>
      <c r="E25" s="7">
        <f>HYPERLINK(LEFT(CELL("filename",A1),FIND("[",CELL("filename",A1))-1)&amp;"매뉴얼BODY(집행단계-첨부폴더)v8\2.사전토공사\22_벌목_벌근제거\체크리스트\벌목_벌근제거_체크리스트.html", "📋 체크리스트 열기")</f>
        <v/>
      </c>
    </row>
    <row r="26" ht="24" customHeight="1">
      <c r="A26" s="8" t="n">
        <v>24</v>
      </c>
      <c r="B26" s="9" t="inlineStr">
        <is>
          <t>기존구조물 _ 지장물 처리</t>
        </is>
      </c>
      <c r="C26" s="10">
        <f>HYPERLINK(LEFT(CELL("filename",A1),FIND("[",CELL("filename",A1))-1)&amp;"매뉴얼BODY(집행단계-첨부폴더)v8\2.사전토공사\23_기존구조물 _ 지장물 처리\표준서\기존구조물 _ 지장물 처리_표준서.html", "📄 표준서 열기")</f>
        <v/>
      </c>
      <c r="D26" s="11">
        <f>HYPERLINK(LEFT(CELL("filename",A1),FIND("[",CELL("filename",A1))-1)&amp;"매뉴얼BODY(집행단계-첨부폴더)v8\2.사전토공사\23_기존구조물 _ 지장물 처리\수행지침\기존구조물 _ 지장물 처리_수행지침.html", "📘 수행지침 열기")</f>
        <v/>
      </c>
      <c r="E26" s="12">
        <f>HYPERLINK(LEFT(CELL("filename",A1),FIND("[",CELL("filename",A1))-1)&amp;"매뉴얼BODY(집행단계-첨부폴더)v8\2.사전토공사\23_기존구조물 _ 지장물 처리\체크리스트\기존구조물 _ 지장물 처리_체크리스트.html", "📋 체크리스트 열기")</f>
        <v/>
      </c>
    </row>
    <row r="27" ht="24" customHeight="1">
      <c r="A27" s="3" t="n">
        <v>25</v>
      </c>
      <c r="B27" s="4" t="inlineStr">
        <is>
          <t>기존구조물_지장물 처리</t>
        </is>
      </c>
      <c r="C27" s="5">
        <f>HYPERLINK(LEFT(CELL("filename",A1),FIND("[",CELL("filename",A1))-1)&amp;"매뉴얼BODY(집행단계-첨부폴더)v8\2.사전토공사\23_기존구조물_지장물 처리\표준서\기존구조물 _ 지장물 처리_표준서.html", "📄 표준서 열기")</f>
        <v/>
      </c>
      <c r="D27" s="6">
        <f>HYPERLINK(LEFT(CELL("filename",A1),FIND("[",CELL("filename",A1))-1)&amp;"매뉴얼BODY(집행단계-첨부폴더)v8\2.사전토공사\23_기존구조물_지장물 처리\수행지침\기존구조물 _ 지장물 처리_수행지침.html", "📘 수행지침 열기")</f>
        <v/>
      </c>
      <c r="E27" s="7">
        <f>HYPERLINK(LEFT(CELL("filename",A1),FIND("[",CELL("filename",A1))-1)&amp;"매뉴얼BODY(집행단계-첨부폴더)v8\2.사전토공사\23_기존구조물_지장물 처리\체크리스트\기존구조물 _ 지장물 처리_체크리스트.html", "📋 체크리스트 열기")</f>
        <v/>
      </c>
    </row>
    <row r="28" ht="24" customHeight="1">
      <c r="A28" s="8" t="n">
        <v>26</v>
      </c>
      <c r="B28" s="9" t="inlineStr">
        <is>
          <t>진입로 조성</t>
        </is>
      </c>
      <c r="C28" s="10">
        <f>HYPERLINK(LEFT(CELL("filename",A1),FIND("[",CELL("filename",A1))-1)&amp;"매뉴얼BODY(집행단계-첨부폴더)v8\2.사전토공사\24_진입로 조성\표준서\진입로 조성_표준서.html", "📄 표준서 열기")</f>
        <v/>
      </c>
      <c r="D28" s="11">
        <f>HYPERLINK(LEFT(CELL("filename",A1),FIND("[",CELL("filename",A1))-1)&amp;"매뉴얼BODY(집행단계-첨부폴더)v8\2.사전토공사\24_진입로 조성\수행지침\진입로 조성_수행지침.html", "📘 수행지침 열기")</f>
        <v/>
      </c>
      <c r="E28" s="12">
        <f>HYPERLINK(LEFT(CELL("filename",A1),FIND("[",CELL("filename",A1))-1)&amp;"매뉴얼BODY(집행단계-첨부폴더)v8\2.사전토공사\24_진입로 조성\체크리스트\진입로 조성_체크리스트.html", "📋 체크리스트 열기")</f>
        <v/>
      </c>
    </row>
    <row r="29" ht="24" customHeight="1">
      <c r="A29" s="3" t="n">
        <v>27</v>
      </c>
      <c r="B29" s="4" t="inlineStr">
        <is>
          <t>배수_환경시설 설치</t>
        </is>
      </c>
      <c r="C29" s="5">
        <f>HYPERLINK(LEFT(CELL("filename",A1),FIND("[",CELL("filename",A1))-1)&amp;"매뉴얼BODY(집행단계-첨부폴더)v8\2.사전토공사\25_배수_환경시설 설치\표준서\배수_환경시설 설치_표준서.html", "📄 표준서 열기")</f>
        <v/>
      </c>
      <c r="D29" s="6">
        <f>HYPERLINK(LEFT(CELL("filename",A1),FIND("[",CELL("filename",A1))-1)&amp;"매뉴얼BODY(집행단계-첨부폴더)v8\2.사전토공사\25_배수_환경시설 설치\수행지침\배수_환경시설 설치_수행지침.html", "📘 수행지침 열기")</f>
        <v/>
      </c>
      <c r="E29" s="7">
        <f>HYPERLINK(LEFT(CELL("filename",A1),FIND("[",CELL("filename",A1))-1)&amp;"매뉴얼BODY(집행단계-첨부폴더)v8\2.사전토공사\25_배수_환경시설 설치\체크리스트\배수_환경시설 설치_체크리스트.html", "📋 체크리스트 열기")</f>
        <v/>
      </c>
    </row>
    <row r="30" ht="24" customHeight="1">
      <c r="A30" s="8" t="n">
        <v>28</v>
      </c>
      <c r="B30" s="9" t="inlineStr">
        <is>
          <t>토공 굴착</t>
        </is>
      </c>
      <c r="C30" s="10">
        <f>HYPERLINK(LEFT(CELL("filename",A1),FIND("[",CELL("filename",A1))-1)&amp;"매뉴얼BODY(집행단계-첨부폴더)v8\2.사전토공사\26_토공 굴착\표준서\토공 굴착_표준서.html", "📄 표준서 열기")</f>
        <v/>
      </c>
      <c r="D30" s="11">
        <f>HYPERLINK(LEFT(CELL("filename",A1),FIND("[",CELL("filename",A1))-1)&amp;"매뉴얼BODY(집행단계-첨부폴더)v8\2.사전토공사\26_토공 굴착\수행지침\토공 굴착_수행지침.html", "📘 수행지침 열기")</f>
        <v/>
      </c>
      <c r="E30" s="12">
        <f>HYPERLINK(LEFT(CELL("filename",A1),FIND("[",CELL("filename",A1))-1)&amp;"매뉴얼BODY(집행단계-첨부폴더)v8\2.사전토공사\26_토공 굴착\체크리스트\토공 굴착_체크리스트.html", "📋 체크리스트 열기")</f>
        <v/>
      </c>
    </row>
    <row r="31" ht="24" customHeight="1">
      <c r="A31" s="3" t="n">
        <v>29</v>
      </c>
      <c r="B31" s="4" t="inlineStr">
        <is>
          <t>노상토 지지력 확인</t>
        </is>
      </c>
      <c r="C31" s="5">
        <f>HYPERLINK(LEFT(CELL("filename",A1),FIND("[",CELL("filename",A1))-1)&amp;"매뉴얼BODY(집행단계-첨부폴더)v8\2.사전토공사\27_노상토 지지력 확인\표준서\노상토 지지력 확인_표준서.html", "📄 표준서 열기")</f>
        <v/>
      </c>
      <c r="D31" s="6">
        <f>HYPERLINK(LEFT(CELL("filename",A1),FIND("[",CELL("filename",A1))-1)&amp;"매뉴얼BODY(집행단계-첨부폴더)v8\2.사전토공사\27_노상토 지지력 확인\수행지침\노상토 지지력 확인_수행지침.html", "📘 수행지침 열기")</f>
        <v/>
      </c>
      <c r="E31" s="7">
        <f>HYPERLINK(LEFT(CELL("filename",A1),FIND("[",CELL("filename",A1))-1)&amp;"매뉴얼BODY(집행단계-첨부폴더)v8\2.사전토공사\27_노상토 지지력 확인\체크리스트\노상토 지지력 확인_체크리스트.html", "📋 체크리스트 열기")</f>
        <v/>
      </c>
    </row>
    <row r="32" ht="24" customHeight="1">
      <c r="A32" s="8" t="n">
        <v>30</v>
      </c>
      <c r="B32" s="9" t="inlineStr">
        <is>
          <t>쌓기 및 다짐_필요시</t>
        </is>
      </c>
      <c r="C32" s="10">
        <f>HYPERLINK(LEFT(CELL("filename",A1),FIND("[",CELL("filename",A1))-1)&amp;"매뉴얼BODY(집행단계-첨부폴더)v8\2.사전토공사\28_쌓기 및 다짐_필요시\표준서\쌓기 및 다짐(필요시)_표준서.html", "📄 표준서 열기")</f>
        <v/>
      </c>
      <c r="D32" s="11">
        <f>HYPERLINK(LEFT(CELL("filename",A1),FIND("[",CELL("filename",A1))-1)&amp;"매뉴얼BODY(집행단계-첨부폴더)v8\2.사전토공사\28_쌓기 및 다짐_필요시\수행지침\쌓기 및 다짐(필요시)_수행지침.html", "📘 수행지침 열기")</f>
        <v/>
      </c>
      <c r="E32" s="12">
        <f>HYPERLINK(LEFT(CELL("filename",A1),FIND("[",CELL("filename",A1))-1)&amp;"매뉴얼BODY(집행단계-첨부폴더)v8\2.사전토공사\28_쌓기 및 다짐_필요시\체크리스트\쌓기 및 다짐(필요시)_체크리스트.html", "📋 체크리스트 열기")</f>
        <v/>
      </c>
    </row>
    <row r="33" ht="24" customHeight="1">
      <c r="A33" s="3" t="n">
        <v>31</v>
      </c>
      <c r="B33" s="4" t="inlineStr">
        <is>
          <t>현장지원</t>
        </is>
      </c>
      <c r="C33" s="5">
        <f>HYPERLINK(LEFT(CELL("filename",A1),FIND("[",CELL("filename",A1))-1)&amp;"매뉴얼BODY(집행단계-첨부폴더)v8\2.사전토공사\29_현장지원\표준서\현장지원_표준서.html", "📄 표준서 열기")</f>
        <v/>
      </c>
      <c r="D33" s="6">
        <f>HYPERLINK(LEFT(CELL("filename",A1),FIND("[",CELL("filename",A1))-1)&amp;"매뉴얼BODY(집행단계-첨부폴더)v8\2.사전토공사\29_현장지원\수행지침\현장지원_수행지침.html", "📘 수행지침 열기")</f>
        <v/>
      </c>
      <c r="E33" s="7">
        <f>HYPERLINK(LEFT(CELL("filename",A1),FIND("[",CELL("filename",A1))-1)&amp;"매뉴얼BODY(집행단계-첨부폴더)v8\2.사전토공사\29_현장지원\체크리스트\현장지원_체크리스트.html", "📋 체크리스트 열기")</f>
        <v/>
      </c>
    </row>
    <row r="34" ht="24" customHeight="1">
      <c r="A34" s="8" t="n">
        <v>32</v>
      </c>
      <c r="B34" s="9" t="inlineStr">
        <is>
          <t>강화노반 인계</t>
        </is>
      </c>
      <c r="C34" s="10">
        <f>HYPERLINK(LEFT(CELL("filename",A1),FIND("[",CELL("filename",A1))-1)&amp;"매뉴얼BODY(집행단계-첨부폴더)v8\2.사전토공사\30_강화노반 인계\표준서\강화노반 인계_표준서.html", "📄 표준서 열기")</f>
        <v/>
      </c>
      <c r="D34" s="11">
        <f>HYPERLINK(LEFT(CELL("filename",A1),FIND("[",CELL("filename",A1))-1)&amp;"매뉴얼BODY(집행단계-첨부폴더)v8\2.사전토공사\30_강화노반 인계\수행지침\강화노반 인계_수행지침.html", "📘 수행지침 열기")</f>
        <v/>
      </c>
      <c r="E34" s="12">
        <f>HYPERLINK(LEFT(CELL("filename",A1),FIND("[",CELL("filename",A1))-1)&amp;"매뉴얼BODY(집행단계-첨부폴더)v8\2.사전토공사\30_강화노반 인계\체크리스트\강화노반 인계_체크리스트.html", "📋 체크리스트 열기")</f>
        <v/>
      </c>
    </row>
    <row r="35" ht="24" customHeight="1">
      <c r="A35" s="3" t="n">
        <v>33</v>
      </c>
      <c r="B35" s="4" t="inlineStr">
        <is>
          <t>Task_32</t>
        </is>
      </c>
      <c r="C35" s="5">
        <f>HYPERLINK(LEFT(CELL("filename",A1),FIND("[",CELL("filename",A1))-1)&amp;"매뉴얼BODY(집행단계-첨부폴더)v8\2.사전토공사\32_Task_32\표준서\Task_32_표준서.html", "📄 표준서 열기")</f>
        <v/>
      </c>
      <c r="D35" s="6">
        <f>HYPERLINK(LEFT(CELL("filename",A1),FIND("[",CELL("filename",A1))-1)&amp;"매뉴얼BODY(집행단계-첨부폴더)v8\2.사전토공사\32_Task_32\수행지침\Task_32_수행지침.html", "📘 수행지침 열기")</f>
        <v/>
      </c>
      <c r="E35" s="7">
        <f>HYPERLINK(LEFT(CELL("filename",A1),FIND("[",CELL("filename",A1))-1)&amp;"매뉴얼BODY(집행단계-첨부폴더)v8\2.사전토공사\32_Task_32\체크리스트\Task_32_체크리스트.html", "📋 체크리스트 열기")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22" customWidth="1" min="4" max="4"/>
    <col width="22" customWidth="1" min="5" max="5"/>
  </cols>
  <sheetData>
    <row r="1" ht="35" customHeight="1">
      <c r="A1" s="1" t="inlineStr">
        <is>
          <t>동탄도시철도(트램) 지장물이설 엔지니어링 매뉴얼 링크 대장</t>
        </is>
      </c>
    </row>
    <row r="2" ht="28" customHeight="1">
      <c r="A2" s="2" t="inlineStr">
        <is>
          <t>순번</t>
        </is>
      </c>
      <c r="B2" s="2" t="inlineStr">
        <is>
          <t>액티비티명 (Activity)</t>
        </is>
      </c>
      <c r="C2" s="2" t="inlineStr">
        <is>
          <t>표준서 (Standard)</t>
        </is>
      </c>
      <c r="D2" s="2" t="inlineStr">
        <is>
          <t>수행지침 (Guideline)</t>
        </is>
      </c>
      <c r="E2" s="2" t="inlineStr">
        <is>
          <t>체크리스트 (Checklist)</t>
        </is>
      </c>
    </row>
    <row r="3" ht="24" customHeight="1">
      <c r="A3" s="3" t="n">
        <v>1</v>
      </c>
      <c r="B3" s="4" t="inlineStr">
        <is>
          <t>Site Survey Risk 검토</t>
        </is>
      </c>
      <c r="C3" s="5">
        <f>HYPERLINK(LEFT(CELL("filename",A1),FIND("[",CELL("filename",A1))-1)&amp;"매뉴얼BODY(집행단계-첨부폴더)v8\3.지장물이설\1_Site Survey Risk 검토\표준서\1_Site Survey Risk 검토_표준서.html", "📄 표준서 열기")</f>
        <v/>
      </c>
      <c r="D3" s="6">
        <f>HYPERLINK(LEFT(CELL("filename",A1),FIND("[",CELL("filename",A1))-1)&amp;"매뉴얼BODY(집행단계-첨부폴더)v8\3.지장물이설\1_Site Survey Risk 검토\수행지침\1_Site Survey Risk 검토_수행지침.html", "📘 수행지침 열기")</f>
        <v/>
      </c>
      <c r="E3" s="7">
        <f>HYPERLINK(LEFT(CELL("filename",A1),FIND("[",CELL("filename",A1))-1)&amp;"매뉴얼BODY(집행단계-첨부폴더)v8\3.지장물이설\1_Site Survey Risk 검토\체크리스트\1_Site Survey Risk 검토_체크리스트.html", "📋 체크리스트 열기")</f>
        <v/>
      </c>
    </row>
    <row r="4" ht="24" customHeight="1">
      <c r="A4" s="8" t="n">
        <v>2</v>
      </c>
      <c r="B4" s="9" t="inlineStr">
        <is>
          <t>발주전략 KOM (도급지분)</t>
        </is>
      </c>
      <c r="C4" s="10">
        <f>HYPERLINK(LEFT(CELL("filename",A1),FIND("[",CELL("filename",A1))-1)&amp;"매뉴얼BODY(집행단계-첨부폴더)v8\3.지장물이설\2_발주전략 KOM (도급지분)\표준서\2_발주전략 KOM (도급지분)_표준서.html", "📄 표준서 열기")</f>
        <v/>
      </c>
      <c r="D4" s="11">
        <f>HYPERLINK(LEFT(CELL("filename",A1),FIND("[",CELL("filename",A1))-1)&amp;"매뉴얼BODY(집행단계-첨부폴더)v8\3.지장물이설\2_발주전략 KOM (도급지분)\수행지침\2_발주전략 KOM (도급지분)_수행지침.html", "📘 수행지침 열기")</f>
        <v/>
      </c>
      <c r="E4" s="12">
        <f>HYPERLINK(LEFT(CELL("filename",A1),FIND("[",CELL("filename",A1))-1)&amp;"매뉴얼BODY(집행단계-첨부폴더)v8\3.지장물이설\2_발주전략 KOM (도급지분)\체크리스트\2_발주전략 KOM (도급지분)_체크리스트.html", "📋 체크리스트 열기")</f>
        <v/>
      </c>
    </row>
    <row r="5" ht="24" customHeight="1">
      <c r="A5" s="3" t="n">
        <v>3</v>
      </c>
      <c r="B5" s="4" t="inlineStr">
        <is>
          <t>발주전적 KOM (도급지분)</t>
        </is>
      </c>
      <c r="C5" s="5">
        <f>HYPERLINK(LEFT(CELL("filename",A1),FIND("[",CELL("filename",A1))-1)&amp;"매뉴얼BODY(집행단계-첨부폴더)v8\3.지장물이설\2_발주전적 KOM (도급지분)\표준서\발주전적 KOM (도급지분)_표준서.html", "📄 표준서 열기")</f>
        <v/>
      </c>
      <c r="D5" s="6">
        <f>HYPERLINK(LEFT(CELL("filename",A1),FIND("[",CELL("filename",A1))-1)&amp;"매뉴얼BODY(집행단계-첨부폴더)v8\3.지장물이설\2_발주전적 KOM (도급지분)\수행지침\발주전적 KOM (도급지분)_수행지침.html", "📘 수행지침 열기")</f>
        <v/>
      </c>
      <c r="E5" s="7">
        <f>HYPERLINK(LEFT(CELL("filename",A1),FIND("[",CELL("filename",A1))-1)&amp;"매뉴얼BODY(집행단계-첨부폴더)v8\3.지장물이설\2_발주전적 KOM (도급지분)\체크리스트\발주전적 KOM (도급지분)_체크리스트.html", "📋 체크리스트 열기")</f>
        <v/>
      </c>
    </row>
    <row r="6" ht="24" customHeight="1">
      <c r="A6" s="8" t="n">
        <v>4</v>
      </c>
      <c r="B6" s="9" t="inlineStr">
        <is>
          <t>지장물 이설 요청 (위수탁고)</t>
        </is>
      </c>
      <c r="C6" s="10">
        <f>HYPERLINK(LEFT(CELL("filename",A1),FIND("[",CELL("filename",A1))-1)&amp;"매뉴얼BODY(집행단계-첨부폴더)v8\3.지장물이설\3_지장물 이설 요청 (위수탁고)\표준서\3_지장물 이설 요청 (위수탁고)_표준서.html", "📄 표준서 열기")</f>
        <v/>
      </c>
      <c r="D6" s="11">
        <f>HYPERLINK(LEFT(CELL("filename",A1),FIND("[",CELL("filename",A1))-1)&amp;"매뉴얼BODY(집행단계-첨부폴더)v8\3.지장물이설\3_지장물 이설 요청 (위수탁고)\수행지침\3_지장물 이설 요청 (위수탁고)_수행지침.html", "📘 수행지침 열기")</f>
        <v/>
      </c>
      <c r="E6" s="12">
        <f>HYPERLINK(LEFT(CELL("filename",A1),FIND("[",CELL("filename",A1))-1)&amp;"매뉴얼BODY(집행단계-첨부폴더)v8\3.지장물이설\3_지장물 이설 요청 (위수탁고)\체크리스트\3_지장물 이설 요청 (위수탁고)_체크리스트.html", "📋 체크리스트 열기")</f>
        <v/>
      </c>
    </row>
    <row r="7" ht="24" customHeight="1">
      <c r="A7" s="3" t="n">
        <v>5</v>
      </c>
      <c r="B7" s="4" t="inlineStr">
        <is>
          <t>도급자분 이설업체 선정(상_하수)</t>
        </is>
      </c>
      <c r="C7" s="5">
        <f>HYPERLINK(LEFT(CELL("filename",A1),FIND("[",CELL("filename",A1))-1)&amp;"매뉴얼BODY(집행단계-첨부폴더)v8\3.지장물이설\4_도급자분 이설업체 선정(상_하수)\표준서\4_도급자분 이설업체 선정(상_하수)_표준서.html", "📄 표준서 열기")</f>
        <v/>
      </c>
      <c r="D7" s="6">
        <f>HYPERLINK(LEFT(CELL("filename",A1),FIND("[",CELL("filename",A1))-1)&amp;"매뉴얼BODY(집행단계-첨부폴더)v8\3.지장물이설\4_도급자분 이설업체 선정(상_하수)\수행지침\4_도급자분 이설업체 선정(상_하수)_수행지침.html", "📘 수행지침 열기")</f>
        <v/>
      </c>
      <c r="E7" s="7">
        <f>HYPERLINK(LEFT(CELL("filename",A1),FIND("[",CELL("filename",A1))-1)&amp;"매뉴얼BODY(집행단계-첨부폴더)v8\3.지장물이설\4_도급자분 이설업체 선정(상_하수)\체크리스트\4_도급자분 이설업체 선정(상_하수)_체크리스트.html", "📋 체크리스트 열기")</f>
        <v/>
      </c>
    </row>
    <row r="8" ht="24" customHeight="1">
      <c r="A8" s="8" t="n">
        <v>6</v>
      </c>
      <c r="B8" s="9" t="inlineStr">
        <is>
          <t>최고의 팀 만들기 지원</t>
        </is>
      </c>
      <c r="C8" s="10">
        <f>HYPERLINK(LEFT(CELL("filename",A1),FIND("[",CELL("filename",A1))-1)&amp;"매뉴얼BODY(집행단계-첨부폴더)v8\3.지장물이설\4_최고의 팀 만들기 지원\표준서\최고의 팀 만들기 지원_표준서.html", "📄 표준서 열기")</f>
        <v/>
      </c>
      <c r="D8" s="11">
        <f>HYPERLINK(LEFT(CELL("filename",A1),FIND("[",CELL("filename",A1))-1)&amp;"매뉴얼BODY(집행단계-첨부폴더)v8\3.지장물이설\4_최고의 팀 만들기 지원\수행지침\수행지침.html", "📘 수행지침 열기")</f>
        <v/>
      </c>
      <c r="E8" s="12">
        <f>HYPERLINK(LEFT(CELL("filename",A1),FIND("[",CELL("filename",A1))-1)&amp;"매뉴얼BODY(집행단계-첨부폴더)v8\3.지장물이설\4_최고의 팀 만들기 지원\체크리스트\최고의 팀 만들기 지원_체크리스트.html", "📋 체크리스트 열기")</f>
        <v/>
      </c>
    </row>
    <row r="9" ht="24" customHeight="1">
      <c r="A9" s="3" t="n">
        <v>7</v>
      </c>
      <c r="B9" s="4" t="inlineStr">
        <is>
          <t>지장물 조사 (위탁기관 합동)</t>
        </is>
      </c>
      <c r="C9" s="5">
        <f>HYPERLINK(LEFT(CELL("filename",A1),FIND("[",CELL("filename",A1))-1)&amp;"매뉴얼BODY(집행단계-첨부폴더)v8\3.지장물이설\5_지장물 조사 (위탁기관 합동)\표준서\5_지장물 조사 (위탁기관 합동)_표준서.html", "📄 표준서 열기")</f>
        <v/>
      </c>
      <c r="D9" s="6">
        <f>HYPERLINK(LEFT(CELL("filename",A1),FIND("[",CELL("filename",A1))-1)&amp;"매뉴얼BODY(집행단계-첨부폴더)v8\3.지장물이설\5_지장물 조사 (위탁기관 합동)\수행지침\5_지장물 조사 (위탁기관 합동)_수행지침.html", "📘 수행지침 열기")</f>
        <v/>
      </c>
      <c r="E9" s="7">
        <f>HYPERLINK(LEFT(CELL("filename",A1),FIND("[",CELL("filename",A1))-1)&amp;"매뉴얼BODY(집행단계-첨부폴더)v8\3.지장물이설\5_지장물 조사 (위탁기관 합동)\체크리스트\5_지장물 조사 (위탁기관 합동)_체크리스트.html", "📋 체크리스트 열기")</f>
        <v/>
      </c>
    </row>
    <row r="10" ht="24" customHeight="1">
      <c r="A10" s="8" t="n">
        <v>8</v>
      </c>
      <c r="B10" s="9" t="inlineStr">
        <is>
          <t>착수전 Big Room 회의</t>
        </is>
      </c>
      <c r="C10" s="10">
        <f>HYPERLINK(LEFT(CELL("filename",A1),FIND("[",CELL("filename",A1))-1)&amp;"매뉴얼BODY(집행단계-첨부폴더)v8\3.지장물이설\5_착수전 Big Room 회의\표준서\착수전 Big Room 회의_표준서.html", "📄 표준서 열기")</f>
        <v/>
      </c>
      <c r="D10" s="11">
        <f>HYPERLINK(LEFT(CELL("filename",A1),FIND("[",CELL("filename",A1))-1)&amp;"매뉴얼BODY(집행단계-첨부폴더)v8\3.지장물이설\5_착수전 Big Room 회의\수행지침\수행지침.html", "📘 수행지침 열기")</f>
        <v/>
      </c>
      <c r="E10" s="12">
        <f>HYPERLINK(LEFT(CELL("filename",A1),FIND("[",CELL("filename",A1))-1)&amp;"매뉴얼BODY(집행단계-첨부폴더)v8\3.지장물이설\5_착수전 Big Room 회의\체크리스트\착수전 Big Room 회의_체크리스트.html", "📋 체크리스트 열기")</f>
        <v/>
      </c>
    </row>
    <row r="11" ht="24" customHeight="1">
      <c r="A11" s="3" t="n">
        <v>9</v>
      </c>
      <c r="B11" s="4" t="inlineStr">
        <is>
          <t>관리기관(맑은물사업소) 협의</t>
        </is>
      </c>
      <c r="C11" s="5">
        <f>HYPERLINK(LEFT(CELL("filename",A1),FIND("[",CELL("filename",A1))-1)&amp;"매뉴얼BODY(집행단계-첨부폴더)v8\3.지장물이설\6_관리기관(맑은물사업소) 협의\표준서\관리기관(맑은물사업소) 협의_표준서.html", "📄 표준서 열기")</f>
        <v/>
      </c>
      <c r="D11" s="6">
        <f>HYPERLINK(LEFT(CELL("filename",A1),FIND("[",CELL("filename",A1))-1)&amp;"매뉴얼BODY(집행단계-첨부폴더)v8\3.지장물이설\6_관리기관(맑은물사업소) 협의\수행지침\관리기관(맑은물사업소) 협의_수행지침.html", "📘 수행지침 열기")</f>
        <v/>
      </c>
      <c r="E11" s="7">
        <f>HYPERLINK(LEFT(CELL("filename",A1),FIND("[",CELL("filename",A1))-1)&amp;"매뉴얼BODY(집행단계-첨부폴더)v8\3.지장물이설\6_관리기관(맑은물사업소) 협의\체크리스트\관리기관(맑은물사업소) 협의_체크리스트.html", "📋 체크리스트 열기")</f>
        <v/>
      </c>
    </row>
    <row r="12" ht="24" customHeight="1">
      <c r="A12" s="8" t="n">
        <v>10</v>
      </c>
      <c r="B12" s="9" t="inlineStr">
        <is>
          <t>지장물 이설 계획 수립</t>
        </is>
      </c>
      <c r="C12" s="10">
        <f>HYPERLINK(LEFT(CELL("filename",A1),FIND("[",CELL("filename",A1))-1)&amp;"매뉴얼BODY(집행단계-첨부폴더)v8\3.지장물이설\6_지장물 이설 계획 수립\표준서\지장물 이설 계획 수립_표준서.html", "📄 표준서 열기")</f>
        <v/>
      </c>
      <c r="D12" s="11">
        <f>HYPERLINK(LEFT(CELL("filename",A1),FIND("[",CELL("filename",A1))-1)&amp;"매뉴얼BODY(집행단계-첨부폴더)v8\3.지장물이설\6_지장물 이설 계획 수립\수행지침\수행지침.html", "📘 수행지침 열기")</f>
        <v/>
      </c>
      <c r="E12" s="12">
        <f>HYPERLINK(LEFT(CELL("filename",A1),FIND("[",CELL("filename",A1))-1)&amp;"매뉴얼BODY(집행단계-첨부폴더)v8\3.지장물이설\6_지장물 이설 계획 수립\체크리스트\지장물 이설 계획 수립_체크리스트.html", "📋 체크리스트 열기")</f>
        <v/>
      </c>
    </row>
    <row r="13" ht="24" customHeight="1">
      <c r="A13" s="3" t="n">
        <v>11</v>
      </c>
      <c r="B13" s="4" t="inlineStr">
        <is>
          <t>위수탁 지장물 이설 설계</t>
        </is>
      </c>
      <c r="C13" s="5">
        <f>HYPERLINK(LEFT(CELL("filename",A1),FIND("[",CELL("filename",A1))-1)&amp;"매뉴얼BODY(집행단계-첨부폴더)v8\3.지장물이설\7_위수탁 지장물 이설 설계\표준서\위수탁 지장물 이설 설계_표준서.html", "📄 표준서 열기")</f>
        <v/>
      </c>
      <c r="D13" s="6">
        <f>HYPERLINK(LEFT(CELL("filename",A1),FIND("[",CELL("filename",A1))-1)&amp;"매뉴얼BODY(집행단계-첨부폴더)v8\3.지장물이설\7_위수탁 지장물 이설 설계\수행지침\수행지침.html", "📘 수행지침 열기")</f>
        <v/>
      </c>
      <c r="E13" s="7">
        <f>HYPERLINK(LEFT(CELL("filename",A1),FIND("[",CELL("filename",A1))-1)&amp;"매뉴얼BODY(집행단계-첨부폴더)v8\3.지장물이설\7_위수탁 지장물 이설 설계\체크리스트\위수탁 지장물 이설 설계_체크리스트.html", "📋 체크리스트 열기")</f>
        <v/>
      </c>
    </row>
    <row r="14" ht="24" customHeight="1">
      <c r="A14" s="8" t="n">
        <v>12</v>
      </c>
      <c r="B14" s="9" t="inlineStr">
        <is>
          <t>최고의 팀 만들기 지원</t>
        </is>
      </c>
      <c r="C14" s="10">
        <f>HYPERLINK(LEFT(CELL("filename",A1),FIND("[",CELL("filename",A1))-1)&amp;"매뉴얼BODY(집행단계-첨부폴더)v8\3.지장물이설\7_최고의 팀 만들기 지원\표준서\7_최고의 팀 만들기 지원_표준서.html", "📄 표준서 열기")</f>
        <v/>
      </c>
      <c r="D14" s="11">
        <f>HYPERLINK(LEFT(CELL("filename",A1),FIND("[",CELL("filename",A1))-1)&amp;"매뉴얼BODY(집행단계-첨부폴더)v8\3.지장물이설\7_최고의 팀 만들기 지원\수행지침\7_최고의 팀 만들기 지원_수행지침.html", "📘 수행지침 열기")</f>
        <v/>
      </c>
      <c r="E14" s="12">
        <f>HYPERLINK(LEFT(CELL("filename",A1),FIND("[",CELL("filename",A1))-1)&amp;"매뉴얼BODY(집행단계-첨부폴더)v8\3.지장물이설\7_최고의 팀 만들기 지원\체크리스트\7_최고의 팀 만들기 지원_체크리스트.html", "📋 체크리스트 열기")</f>
        <v/>
      </c>
    </row>
    <row r="15" ht="24" customHeight="1">
      <c r="A15" s="3" t="n">
        <v>13</v>
      </c>
      <c r="B15" s="4" t="inlineStr">
        <is>
          <t>상하수도 이설계획 실정보고</t>
        </is>
      </c>
      <c r="C15" s="5">
        <f>HYPERLINK(LEFT(CELL("filename",A1),FIND("[",CELL("filename",A1))-1)&amp;"매뉴얼BODY(집행단계-첨부폴더)v8\3.지장물이설\8_상하수도 이설계획 실정보고\표준서\상하수도 이설계획 실정보고_표준서.html", "📄 표준서 열기")</f>
        <v/>
      </c>
      <c r="D15" s="6">
        <f>HYPERLINK(LEFT(CELL("filename",A1),FIND("[",CELL("filename",A1))-1)&amp;"매뉴얼BODY(집행단계-첨부폴더)v8\3.지장물이설\8_상하수도 이설계획 실정보고\수행지침\상하수도 이설계획 실정보고_수행지침.html", "📘 수행지침 열기")</f>
        <v/>
      </c>
      <c r="E15" s="7">
        <f>HYPERLINK(LEFT(CELL("filename",A1),FIND("[",CELL("filename",A1))-1)&amp;"매뉴얼BODY(집행단계-첨부폴더)v8\3.지장물이설\8_상하수도 이설계획 실정보고\체크리스트\상하수도 이설계획 실정보고_체크리스트.html", "📋 체크리스트 열기")</f>
        <v/>
      </c>
    </row>
    <row r="16" ht="24" customHeight="1">
      <c r="A16" s="8" t="n">
        <v>14</v>
      </c>
      <c r="B16" s="9" t="inlineStr">
        <is>
          <t>착수전 Big Room 회의</t>
        </is>
      </c>
      <c r="C16" s="10">
        <f>HYPERLINK(LEFT(CELL("filename",A1),FIND("[",CELL("filename",A1))-1)&amp;"매뉴얼BODY(집행단계-첨부폴더)v8\3.지장물이설\8_착수전 Big Room 회의\표준서\8_착수전 Big Room 회의_표준서.html", "📄 표준서 열기")</f>
        <v/>
      </c>
      <c r="D16" s="11">
        <f>HYPERLINK(LEFT(CELL("filename",A1),FIND("[",CELL("filename",A1))-1)&amp;"매뉴얼BODY(집행단계-첨부폴더)v8\3.지장물이설\8_착수전 Big Room 회의\수행지침\8_착수전 Big Room 회의_수행지침.html", "📘 수행지침 열기")</f>
        <v/>
      </c>
      <c r="E16" s="12">
        <f>HYPERLINK(LEFT(CELL("filename",A1),FIND("[",CELL("filename",A1))-1)&amp;"매뉴얼BODY(집행단계-첨부폴더)v8\3.지장물이설\8_착수전 Big Room 회의\체크리스트\8_착수전 Big Room 회의_체크리스트.html", "📋 체크리스트 열기")</f>
        <v/>
      </c>
    </row>
    <row r="17" ht="24" customHeight="1">
      <c r="A17" s="3" t="n">
        <v>15</v>
      </c>
      <c r="B17" s="4" t="inlineStr">
        <is>
          <t>위수탁 계약 체결</t>
        </is>
      </c>
      <c r="C17" s="5">
        <f>HYPERLINK(LEFT(CELL("filename",A1),FIND("[",CELL("filename",A1))-1)&amp;"매뉴얼BODY(집행단계-첨부폴더)v8\3.지장물이설\9_위수탁 계약 체결\표준서\위수탁 계약 체결_표준서.html", "📄 표준서 열기")</f>
        <v/>
      </c>
      <c r="D17" s="6">
        <f>HYPERLINK(LEFT(CELL("filename",A1),FIND("[",CELL("filename",A1))-1)&amp;"매뉴얼BODY(집행단계-첨부폴더)v8\3.지장물이설\9_위수탁 계약 체결\수행지침\수행지침.html", "📘 수행지침 열기")</f>
        <v/>
      </c>
      <c r="E17" s="7">
        <f>HYPERLINK(LEFT(CELL("filename",A1),FIND("[",CELL("filename",A1))-1)&amp;"매뉴얼BODY(집행단계-첨부폴더)v8\3.지장물이설\9_위수탁 계약 체결\체크리스트\위수탁 계약 체결_체크리스트.html", "📋 체크리스트 열기")</f>
        <v/>
      </c>
    </row>
    <row r="18" ht="24" customHeight="1">
      <c r="A18" s="8" t="n">
        <v>16</v>
      </c>
      <c r="B18" s="9" t="inlineStr">
        <is>
          <t>인허가 절차 진행</t>
        </is>
      </c>
      <c r="C18" s="10">
        <f>HYPERLINK(LEFT(CELL("filename",A1),FIND("[",CELL("filename",A1))-1)&amp;"매뉴얼BODY(집행단계-첨부폴더)v8\3.지장물이설\9_인허가 절차 진행\표준서\9_인허가 절차 진행_표준서.html", "📄 표준서 열기")</f>
        <v/>
      </c>
      <c r="D18" s="11">
        <f>HYPERLINK(LEFT(CELL("filename",A1),FIND("[",CELL("filename",A1))-1)&amp;"매뉴얼BODY(집행단계-첨부폴더)v8\3.지장물이설\9_인허가 절차 진행\수행지침\9_인허가 절차 진행_수행지침.html", "📘 수행지침 열기")</f>
        <v/>
      </c>
      <c r="E18" s="12">
        <f>HYPERLINK(LEFT(CELL("filename",A1),FIND("[",CELL("filename",A1))-1)&amp;"매뉴얼BODY(집행단계-첨부폴더)v8\3.지장물이설\9_인허가 절차 진행\체크리스트\9_인허가 절차 진행_체크리스트.html", "📋 체크리스트 열기")</f>
        <v/>
      </c>
    </row>
    <row r="19" ht="24" customHeight="1">
      <c r="A19" s="3" t="n">
        <v>17</v>
      </c>
      <c r="B19" s="4" t="inlineStr">
        <is>
          <t>교통처리대책 협의 및 승인</t>
        </is>
      </c>
      <c r="C19" s="5">
        <f>HYPERLINK(LEFT(CELL("filename",A1),FIND("[",CELL("filename",A1))-1)&amp;"매뉴얼BODY(집행단계-첨부폴더)v8\3.지장물이설\10_교통처리대책 협의 및 승인\표준서\10_교통처리대책 협의 및 승인_표준서.html", "📄 표준서 열기")</f>
        <v/>
      </c>
      <c r="D19" s="6">
        <f>HYPERLINK(LEFT(CELL("filename",A1),FIND("[",CELL("filename",A1))-1)&amp;"매뉴얼BODY(집행단계-첨부폴더)v8\3.지장물이설\10_교통처리대책 협의 및 승인\수행지침\10_교통처리대책 협의 및 승인_수행지침.html", "📘 수행지침 열기")</f>
        <v/>
      </c>
      <c r="E19" s="7">
        <f>HYPERLINK(LEFT(CELL("filename",A1),FIND("[",CELL("filename",A1))-1)&amp;"매뉴얼BODY(집행단계-첨부폴더)v8\3.지장물이설\10_교통처리대책 협의 및 승인\체크리스트\10_교통처리대책 협의 및 승인_체크리스트.html", "📋 체크리스트 열기")</f>
        <v/>
      </c>
    </row>
    <row r="20" ht="24" customHeight="1">
      <c r="A20" s="8" t="n">
        <v>18</v>
      </c>
      <c r="B20" s="9" t="inlineStr">
        <is>
          <t>도로점용_굴착행위 인허가</t>
        </is>
      </c>
      <c r="C20" s="10">
        <f>HYPERLINK(LEFT(CELL("filename",A1),FIND("[",CELL("filename",A1))-1)&amp;"매뉴얼BODY(집행단계-첨부폴더)v8\3.지장물이설\10_도로점용_굴착행위 인허가\표준서\도로점용_굴착행위 인허가_표준서.html", "📄 표준서 열기")</f>
        <v/>
      </c>
      <c r="D20" s="11">
        <f>HYPERLINK(LEFT(CELL("filename",A1),FIND("[",CELL("filename",A1))-1)&amp;"매뉴얼BODY(집행단계-첨부폴더)v8\3.지장물이설\10_도로점용_굴착행위 인허가\수행지침\도로점용_굴착행위 인허가_수행지침.html", "📘 수행지침 열기")</f>
        <v/>
      </c>
      <c r="E20" s="12">
        <f>HYPERLINK(LEFT(CELL("filename",A1),FIND("[",CELL("filename",A1))-1)&amp;"매뉴얼BODY(집행단계-첨부폴더)v8\3.지장물이설\10_도로점용_굴착행위 인허가\체크리스트\도로점용_굴착행위 인허가_체크리스트.html", "📋 체크리스트 열기")</f>
        <v/>
      </c>
    </row>
    <row r="21" ht="24" customHeight="1">
      <c r="A21" s="3" t="n">
        <v>19</v>
      </c>
      <c r="B21" s="4" t="inlineStr">
        <is>
          <t>교통통제 및 교통안전시설 설치</t>
        </is>
      </c>
      <c r="C21" s="5">
        <f>HYPERLINK(LEFT(CELL("filename",A1),FIND("[",CELL("filename",A1))-1)&amp;"매뉴얼BODY(집행단계-첨부폴더)v8\3.지장물이설\11_교통통제 및 교통안전시설 설치\표준서\교통통제 및 교통안전시설 설치_표준서.html", "📄 표준서 열기")</f>
        <v/>
      </c>
      <c r="D21" s="6">
        <f>HYPERLINK(LEFT(CELL("filename",A1),FIND("[",CELL("filename",A1))-1)&amp;"매뉴얼BODY(집행단계-첨부폴더)v8\3.지장물이설\11_교통통제 및 교통안전시설 설치\수행지침\교통통제 및 교통안전시설 설치_수행지침.html", "📘 수행지침 열기")</f>
        <v/>
      </c>
      <c r="E21" s="7">
        <f>HYPERLINK(LEFT(CELL("filename",A1),FIND("[",CELL("filename",A1))-1)&amp;"매뉴얼BODY(집행단계-첨부폴더)v8\3.지장물이설\11_교통통제 및 교통안전시설 설치\체크리스트\교통통제 및 교통안전시설 설치_체크리스트.html", "📋 체크리스트 열기")</f>
        <v/>
      </c>
    </row>
    <row r="22" ht="24" customHeight="1">
      <c r="A22" s="8" t="n">
        <v>20</v>
      </c>
      <c r="B22" s="9" t="inlineStr">
        <is>
          <t>민원 저감 대책 수립</t>
        </is>
      </c>
      <c r="C22" s="10">
        <f>HYPERLINK(LEFT(CELL("filename",A1),FIND("[",CELL("filename",A1))-1)&amp;"매뉴얼BODY(집행단계-첨부폴더)v8\3.지장물이설\11_민원 저감 대책 수립\표준서\11_민원 저감 대책 수립_표준서.html", "📄 표준서 열기")</f>
        <v/>
      </c>
      <c r="D22" s="11">
        <f>HYPERLINK(LEFT(CELL("filename",A1),FIND("[",CELL("filename",A1))-1)&amp;"매뉴얼BODY(집행단계-첨부폴더)v8\3.지장물이설\11_민원 저감 대책 수립\수행지침\11_민원 저감 대책 수립_수행지침.html", "📘 수행지침 열기")</f>
        <v/>
      </c>
      <c r="E22" s="12">
        <f>HYPERLINK(LEFT(CELL("filename",A1),FIND("[",CELL("filename",A1))-1)&amp;"매뉴얼BODY(집행단계-첨부폴더)v8\3.지장물이설\11_민원 저감 대책 수립\체크리스트\11_민원 저감 대책 수립_체크리스트.html", "📋 체크리스트 열기")</f>
        <v/>
      </c>
    </row>
    <row r="23" ht="24" customHeight="1">
      <c r="A23" s="3" t="n">
        <v>21</v>
      </c>
      <c r="B23" s="4" t="inlineStr">
        <is>
          <t>용지보상 Risk 파악</t>
        </is>
      </c>
      <c r="C23" s="5">
        <f>HYPERLINK(LEFT(CELL("filename",A1),FIND("[",CELL("filename",A1))-1)&amp;"매뉴얼BODY(집행단계-첨부폴더)v8\3.지장물이설\12_용지보상 Risk 파악\표준서\12_용지보상 Risk 파악_표준서.html", "📄 표준서 열기")</f>
        <v/>
      </c>
      <c r="D23" s="6">
        <f>HYPERLINK(LEFT(CELL("filename",A1),FIND("[",CELL("filename",A1))-1)&amp;"매뉴얼BODY(집행단계-첨부폴더)v8\3.지장물이설\12_용지보상 Risk 파악\수행지침\12_용지보상 Risk 파악_수행지침.html", "📘 수행지침 열기")</f>
        <v/>
      </c>
      <c r="E23" s="7">
        <f>HYPERLINK(LEFT(CELL("filename",A1),FIND("[",CELL("filename",A1))-1)&amp;"매뉴얼BODY(집행단계-첨부폴더)v8\3.지장물이설\12_용지보상 Risk 파악\체크리스트\12_용지보상 Risk 파악_체크리스트.html", "📋 체크리스트 열기")</f>
        <v/>
      </c>
    </row>
    <row r="24" ht="24" customHeight="1">
      <c r="A24" s="8" t="n">
        <v>22</v>
      </c>
      <c r="B24" s="9" t="inlineStr">
        <is>
          <t>줄따기(GPR)를 통한 기존 지장물 매설 확인</t>
        </is>
      </c>
      <c r="C24" s="10">
        <f>HYPERLINK(LEFT(CELL("filename",A1),FIND("[",CELL("filename",A1))-1)&amp;"매뉴얼BODY(집행단계-첨부폴더)v8\3.지장물이설\12_줄따기(GPR)를 통한 기존 지장물 매설 확인\표준서\줄따기(GPR)를 통한 기존 지장물 매설 확인_표준서.html", "📄 표준서 열기")</f>
        <v/>
      </c>
      <c r="D24" s="11">
        <f>HYPERLINK(LEFT(CELL("filename",A1),FIND("[",CELL("filename",A1))-1)&amp;"매뉴얼BODY(집행단계-첨부폴더)v8\3.지장물이설\12_줄따기(GPR)를 통한 기존 지장물 매설 확인\수행지침\수행지침.html", "📘 수행지침 열기")</f>
        <v/>
      </c>
      <c r="E24" s="12">
        <f>HYPERLINK(LEFT(CELL("filename",A1),FIND("[",CELL("filename",A1))-1)&amp;"매뉴얼BODY(집행단계-첨부폴더)v8\3.지장물이설\12_줄따기(GPR)를 통한 기존 지장물 매설 확인\체크리스트\줄따기(GPR)를 통한 기존 지장물 매설 확인_체크리스트.html", "📋 체크리스트 열기")</f>
        <v/>
      </c>
    </row>
    <row r="25" ht="24" customHeight="1">
      <c r="A25" s="3" t="n">
        <v>23</v>
      </c>
      <c r="B25" s="4" t="inlineStr">
        <is>
          <t>관리기관(맑은물사업소) 협의</t>
        </is>
      </c>
      <c r="C25" s="5">
        <f>HYPERLINK(LEFT(CELL("filename",A1),FIND("[",CELL("filename",A1))-1)&amp;"매뉴얼BODY(집행단계-첨부폴더)v8\3.지장물이설\13_관리기관(맑은물사업소) 협의\표준서\13_관리기관(맑은물사업소) 협의_표준서.html", "📄 표준서 열기")</f>
        <v/>
      </c>
      <c r="D25" s="6">
        <f>HYPERLINK(LEFT(CELL("filename",A1),FIND("[",CELL("filename",A1))-1)&amp;"매뉴얼BODY(집행단계-첨부폴더)v8\3.지장물이설\13_관리기관(맑은물사업소) 협의\수행지침\관리기관(맑은물사업소) 협의_수행지침.html", "📘 수행지침 열기")</f>
        <v/>
      </c>
      <c r="E25" s="7">
        <f>HYPERLINK(LEFT(CELL("filename",A1),FIND("[",CELL("filename",A1))-1)&amp;"매뉴얼BODY(집행단계-첨부폴더)v8\3.지장물이설\13_관리기관(맑은물사업소) 협의\체크리스트\관리기관(맑은물사업소) 협의_체크리스트.html", "📋 체크리스트 열기")</f>
        <v/>
      </c>
    </row>
    <row r="26" ht="24" customHeight="1">
      <c r="A26" s="8" t="n">
        <v>24</v>
      </c>
      <c r="B26" s="9" t="inlineStr">
        <is>
          <t>이설 위치 토공 굴착</t>
        </is>
      </c>
      <c r="C26" s="10">
        <f>HYPERLINK(LEFT(CELL("filename",A1),FIND("[",CELL("filename",A1))-1)&amp;"매뉴얼BODY(집행단계-첨부폴더)v8\3.지장물이설\13_이설 위치 토공 굴착\표준서\이설 위치 토공 굴착_표준서.html", "📄 표준서 열기")</f>
        <v/>
      </c>
      <c r="D26" s="11">
        <f>HYPERLINK(LEFT(CELL("filename",A1),FIND("[",CELL("filename",A1))-1)&amp;"매뉴얼BODY(집행단계-첨부폴더)v8\3.지장물이설\13_이설 위치 토공 굴착\수행지침\수행지침.html", "📘 수행지침 열기")</f>
        <v/>
      </c>
      <c r="E26" s="12">
        <f>HYPERLINK(LEFT(CELL("filename",A1),FIND("[",CELL("filename",A1))-1)&amp;"매뉴얼BODY(집행단계-첨부폴더)v8\3.지장물이설\13_이설 위치 토공 굴착\체크리스트\이설 위치 토공 굴착_체크리스트.html", "📋 체크리스트 열기")</f>
        <v/>
      </c>
    </row>
    <row r="27" ht="24" customHeight="1">
      <c r="A27" s="3" t="n">
        <v>25</v>
      </c>
      <c r="B27" s="4" t="inlineStr">
        <is>
          <t>신규관로 매설 및 설치</t>
        </is>
      </c>
      <c r="C27" s="5">
        <f>HYPERLINK(LEFT(CELL("filename",A1),FIND("[",CELL("filename",A1))-1)&amp;"매뉴얼BODY(집행단계-첨부폴더)v8\3.지장물이설\14_신규관로 매설 및 설치\표준서\신규관로 매설 및 설치_표준서.html", "📄 표준서 열기")</f>
        <v/>
      </c>
      <c r="D27" s="6">
        <f>HYPERLINK(LEFT(CELL("filename",A1),FIND("[",CELL("filename",A1))-1)&amp;"매뉴얼BODY(집행단계-첨부폴더)v8\3.지장물이설\14_신규관로 매설 및 설치\수행지침\수행지침.html", "📘 수행지침 열기")</f>
        <v/>
      </c>
      <c r="E27" s="7">
        <f>HYPERLINK(LEFT(CELL("filename",A1),FIND("[",CELL("filename",A1))-1)&amp;"매뉴얼BODY(집행단계-첨부폴더)v8\3.지장물이설\14_신규관로 매설 및 설치\체크리스트\신규관로 매설 및 설치_체크리스트.html", "📋 체크리스트 열기")</f>
        <v/>
      </c>
    </row>
    <row r="28" ht="24" customHeight="1">
      <c r="A28" s="8" t="n">
        <v>26</v>
      </c>
      <c r="B28" s="9" t="inlineStr">
        <is>
          <t>위수탁 지장물 이설 설계</t>
        </is>
      </c>
      <c r="C28" s="10">
        <f>HYPERLINK(LEFT(CELL("filename",A1),FIND("[",CELL("filename",A1))-1)&amp;"매뉴얼BODY(집행단계-첨부폴더)v8\3.지장물이설\14_위수탁 지장물 이설 설계\표준서\14_위수탁 지장물 이설 설계_표준서.html", "📄 표준서 열기")</f>
        <v/>
      </c>
      <c r="D28" s="11">
        <f>HYPERLINK(LEFT(CELL("filename",A1),FIND("[",CELL("filename",A1))-1)&amp;"매뉴얼BODY(집행단계-첨부폴더)v8\3.지장물이설\14_위수탁 지장물 이설 설계\수행지침\수행지침.html", "📘 수행지침 열기")</f>
        <v/>
      </c>
      <c r="E28" s="12">
        <f>HYPERLINK(LEFT(CELL("filename",A1),FIND("[",CELL("filename",A1))-1)&amp;"매뉴얼BODY(집행단계-첨부폴더)v8\3.지장물이설\14_위수탁 지장물 이설 설계\체크리스트\위수탁 지장물 이설 설계_체크리스트.html", "📋 체크리스트 열기")</f>
        <v/>
      </c>
    </row>
    <row r="29" ht="24" customHeight="1">
      <c r="A29" s="3" t="n">
        <v>27</v>
      </c>
      <c r="B29" s="4" t="inlineStr">
        <is>
          <t>무단수 연결을 위한 시설 설치</t>
        </is>
      </c>
      <c r="C29" s="5">
        <f>HYPERLINK(LEFT(CELL("filename",A1),FIND("[",CELL("filename",A1))-1)&amp;"매뉴얼BODY(집행단계-첨부폴더)v8\3.지장물이설\15_무단수 연결을 위한 시설 설치\표준서\무단수 연결을 위한 시설 설치_표준서.html", "📄 표준서 열기")</f>
        <v/>
      </c>
      <c r="D29" s="6">
        <f>HYPERLINK(LEFT(CELL("filename",A1),FIND("[",CELL("filename",A1))-1)&amp;"매뉴얼BODY(집행단계-첨부폴더)v8\3.지장물이설\15_무단수 연결을 위한 시설 설치\수행지침\무단수 연결을 위한 시설 설치_수행지침.html", "📘 수행지침 열기")</f>
        <v/>
      </c>
      <c r="E29" s="7">
        <f>HYPERLINK(LEFT(CELL("filename",A1),FIND("[",CELL("filename",A1))-1)&amp;"매뉴얼BODY(집행단계-첨부폴더)v8\3.지장물이설\15_무단수 연결을 위한 시설 설치\체크리스트\무단수 연결을 위한 시설 설치_체크리스트.html", "📋 체크리스트 열기")</f>
        <v/>
      </c>
    </row>
    <row r="30" ht="24" customHeight="1">
      <c r="A30" s="8" t="n">
        <v>28</v>
      </c>
      <c r="B30" s="9" t="inlineStr">
        <is>
          <t>상하수도 이설계획 실정보고</t>
        </is>
      </c>
      <c r="C30" s="10">
        <f>HYPERLINK(LEFT(CELL("filename",A1),FIND("[",CELL("filename",A1))-1)&amp;"매뉴얼BODY(집행단계-첨부폴더)v8\3.지장물이설\15_상하수도 이설계획 실정보고\표준서\15_상하수도 이설계획 실정보고_표준서.html", "📄 표준서 열기")</f>
        <v/>
      </c>
      <c r="D30" s="11">
        <f>HYPERLINK(LEFT(CELL("filename",A1),FIND("[",CELL("filename",A1))-1)&amp;"매뉴얼BODY(집행단계-첨부폴더)v8\3.지장물이설\15_상하수도 이설계획 실정보고\수행지침\상하수도 이설계획 실정보고_수행지침.html", "📘 수행지침 열기")</f>
        <v/>
      </c>
      <c r="E30" s="12">
        <f>HYPERLINK(LEFT(CELL("filename",A1),FIND("[",CELL("filename",A1))-1)&amp;"매뉴얼BODY(집행단계-첨부폴더)v8\3.지장물이설\15_상하수도 이설계획 실정보고\체크리스트\상하수도 이설계획 실정보고_체크리스트.html", "📋 체크리스트 열기")</f>
        <v/>
      </c>
    </row>
    <row r="31" ht="24" customHeight="1">
      <c r="A31" s="3" t="n">
        <v>29</v>
      </c>
      <c r="B31" s="4" t="inlineStr">
        <is>
          <t>신규관로 및 연결관로 접속</t>
        </is>
      </c>
      <c r="C31" s="5">
        <f>HYPERLINK(LEFT(CELL("filename",A1),FIND("[",CELL("filename",A1))-1)&amp;"매뉴얼BODY(집행단계-첨부폴더)v8\3.지장물이설\16_신규관로 및 연결관로 접속\표준서\신규관로 및 연결관로 접속_표준서.html", "📄 표준서 열기")</f>
        <v/>
      </c>
      <c r="D31" s="6">
        <f>HYPERLINK(LEFT(CELL("filename",A1),FIND("[",CELL("filename",A1))-1)&amp;"매뉴얼BODY(집행단계-첨부폴더)v8\3.지장물이설\16_신규관로 및 연결관로 접속\수행지침\수행지침.html", "📘 수행지침 열기")</f>
        <v/>
      </c>
      <c r="E31" s="7">
        <f>HYPERLINK(LEFT(CELL("filename",A1),FIND("[",CELL("filename",A1))-1)&amp;"매뉴얼BODY(집행단계-첨부폴더)v8\3.지장물이설\16_신규관로 및 연결관로 접속\체크리스트\신규관로 및 연결관로 접속_체크리스트.html", "📋 체크리스트 열기")</f>
        <v/>
      </c>
    </row>
    <row r="32" ht="24" customHeight="1">
      <c r="A32" s="8" t="n">
        <v>30</v>
      </c>
      <c r="B32" s="9" t="inlineStr">
        <is>
          <t>위수탁 계약 체결</t>
        </is>
      </c>
      <c r="C32" s="10">
        <f>HYPERLINK(LEFT(CELL("filename",A1),FIND("[",CELL("filename",A1))-1)&amp;"매뉴얼BODY(집행단계-첨부폴더)v8\3.지장물이설\16_위수탁 계약 체결\표준서\16_위수탁 계약 체결_표준서.html", "📄 표준서 열기")</f>
        <v/>
      </c>
      <c r="D32" s="11">
        <f>HYPERLINK(LEFT(CELL("filename",A1),FIND("[",CELL("filename",A1))-1)&amp;"매뉴얼BODY(집행단계-첨부폴더)v8\3.지장물이설\16_위수탁 계약 체결\수행지침\수행지침.html", "📘 수행지침 열기")</f>
        <v/>
      </c>
      <c r="E32" s="12">
        <f>HYPERLINK(LEFT(CELL("filename",A1),FIND("[",CELL("filename",A1))-1)&amp;"매뉴얼BODY(집행단계-첨부폴더)v8\3.지장물이설\16_위수탁 계약 체결\체크리스트\위수탁 계약 체결_체크리스트.html", "📋 체크리스트 열기")</f>
        <v/>
      </c>
    </row>
    <row r="33" ht="24" customHeight="1">
      <c r="A33" s="3" t="n">
        <v>31</v>
      </c>
      <c r="B33" s="4" t="inlineStr">
        <is>
          <t>기존관로 철거 및 원상복구</t>
        </is>
      </c>
      <c r="C33" s="5">
        <f>HYPERLINK(LEFT(CELL("filename",A1),FIND("[",CELL("filename",A1))-1)&amp;"매뉴얼BODY(집행단계-첨부폴더)v8\3.지장물이설\17_기존관로 철거 및 원상복구\표준서\기존관로 철거 및 원상복구_표준서.html", "📄 표준서 열기")</f>
        <v/>
      </c>
      <c r="D33" s="6">
        <f>HYPERLINK(LEFT(CELL("filename",A1),FIND("[",CELL("filename",A1))-1)&amp;"매뉴얼BODY(집행단계-첨부폴더)v8\3.지장물이설\17_기존관로 철거 및 원상복구\수행지침\기존관로 철거 및 원상복구_수행지침.html", "📘 수행지침 열기")</f>
        <v/>
      </c>
      <c r="E33" s="7">
        <f>HYPERLINK(LEFT(CELL("filename",A1),FIND("[",CELL("filename",A1))-1)&amp;"매뉴얼BODY(집행단계-첨부폴더)v8\3.지장물이설\17_기존관로 철거 및 원상복구\체크리스트\기존관로 철거 및 원상복구_체크리스트.html", "📋 체크리스트 열기")</f>
        <v/>
      </c>
    </row>
    <row r="34" ht="24" customHeight="1">
      <c r="A34" s="8" t="n">
        <v>32</v>
      </c>
      <c r="B34" s="9" t="inlineStr">
        <is>
          <t>도로점용_굴착행위 인허가</t>
        </is>
      </c>
      <c r="C34" s="10">
        <f>HYPERLINK(LEFT(CELL("filename",A1),FIND("[",CELL("filename",A1))-1)&amp;"매뉴얼BODY(집행단계-첨부폴더)v8\3.지장물이설\17_도로점용_굴착행위 인허가\표준서\17_도로점용_굴착행위 인허가_표준서.html", "📄 표준서 열기")</f>
        <v/>
      </c>
      <c r="D34" s="11">
        <f>HYPERLINK(LEFT(CELL("filename",A1),FIND("[",CELL("filename",A1))-1)&amp;"매뉴얼BODY(집행단계-첨부폴더)v8\3.지장물이설\17_도로점용_굴착행위 인허가\수행지침\도로점용_굴착행위 인허가_수행지침.html", "📘 수행지침 열기")</f>
        <v/>
      </c>
      <c r="E34" s="12">
        <f>HYPERLINK(LEFT(CELL("filename",A1),FIND("[",CELL("filename",A1))-1)&amp;"매뉴얼BODY(집행단계-첨부폴더)v8\3.지장물이설\17_도로점용_굴착행위 인허가\체크리스트\도로점용_굴착행위 인허가_체크리스트.html", "📋 체크리스트 열기")</f>
        <v/>
      </c>
    </row>
    <row r="35" ht="24" customHeight="1">
      <c r="A35" s="3" t="n">
        <v>33</v>
      </c>
      <c r="B35" s="4" t="inlineStr">
        <is>
          <t>광역상수관 이설 공사</t>
        </is>
      </c>
      <c r="C35" s="5">
        <f>HYPERLINK(LEFT(CELL("filename",A1),FIND("[",CELL("filename",A1))-1)&amp;"매뉴얼BODY(집행단계-첨부폴더)v8\3.지장물이설\18_광역상수관 이설 공사\표준서\광역상수관 이설 공사_표준서.html", "📄 표준서 열기")</f>
        <v/>
      </c>
      <c r="D35" s="6">
        <f>HYPERLINK(LEFT(CELL("filename",A1),FIND("[",CELL("filename",A1))-1)&amp;"매뉴얼BODY(집행단계-첨부폴더)v8\3.지장물이설\18_광역상수관 이설 공사\수행지침\광역상수관 이설 공사_수행지침.html", "📘 수행지침 열기")</f>
        <v/>
      </c>
      <c r="E35" s="7">
        <f>HYPERLINK(LEFT(CELL("filename",A1),FIND("[",CELL("filename",A1))-1)&amp;"매뉴얼BODY(집행단계-첨부폴더)v8\3.지장물이설\18_광역상수관 이설 공사\체크리스트\광역상수관 이설 공사_체크리스트.html", "📋 체크리스트 열기")</f>
        <v/>
      </c>
    </row>
    <row r="36" ht="24" customHeight="1">
      <c r="A36" s="8" t="n">
        <v>34</v>
      </c>
      <c r="B36" s="9" t="inlineStr">
        <is>
          <t>교통통제 및 교통안전시설 설치</t>
        </is>
      </c>
      <c r="C36" s="10">
        <f>HYPERLINK(LEFT(CELL("filename",A1),FIND("[",CELL("filename",A1))-1)&amp;"매뉴얼BODY(집행단계-첨부폴더)v8\3.지장물이설\18_교통통제 및 교통안전시설 설치\표준서\18_교통통제 및 교통안전시설 설치_표준서.html", "📄 표준서 열기")</f>
        <v/>
      </c>
      <c r="D36" s="11">
        <f>HYPERLINK(LEFT(CELL("filename",A1),FIND("[",CELL("filename",A1))-1)&amp;"매뉴얼BODY(집행단계-첨부폴더)v8\3.지장물이설\18_교통통제 및 교통안전시설 설치\수행지침\교통통제 및 교통안전시설 설치_수행지침.html", "📘 수행지침 열기")</f>
        <v/>
      </c>
      <c r="E36" s="12">
        <f>HYPERLINK(LEFT(CELL("filename",A1),FIND("[",CELL("filename",A1))-1)&amp;"매뉴얼BODY(집행단계-첨부폴더)v8\3.지장물이설\18_교통통제 및 교통안전시설 설치\체크리스트\교통통제 및 교통안전시설 설치_체크리스트.html", "📋 체크리스트 열기")</f>
        <v/>
      </c>
    </row>
    <row r="37" ht="24" customHeight="1">
      <c r="A37" s="3" t="n">
        <v>35</v>
      </c>
      <c r="B37" s="4" t="inlineStr">
        <is>
          <t>상수도 관로 이설 공사</t>
        </is>
      </c>
      <c r="C37" s="5">
        <f>HYPERLINK(LEFT(CELL("filename",A1),FIND("[",CELL("filename",A1))-1)&amp;"매뉴얼BODY(집행단계-첨부폴더)v8\3.지장물이설\19_상수도 관로 이설 공사\표준서\상수도 관로 이설 공사_표준서.html", "📄 표준서 열기")</f>
        <v/>
      </c>
      <c r="D37" s="6">
        <f>HYPERLINK(LEFT(CELL("filename",A1),FIND("[",CELL("filename",A1))-1)&amp;"매뉴얼BODY(집행단계-첨부폴더)v8\3.지장물이설\19_상수도 관로 이설 공사\수행지침\상수도 관로 이설 공사_수행지침.html", "📘 수행지침 열기")</f>
        <v/>
      </c>
      <c r="E37" s="7">
        <f>HYPERLINK(LEFT(CELL("filename",A1),FIND("[",CELL("filename",A1))-1)&amp;"매뉴얼BODY(집행단계-첨부폴더)v8\3.지장물이설\19_상수도 관로 이설 공사\체크리스트\상수도 관로 이설 공사_체크리스트.html", "📋 체크리스트 열기")</f>
        <v/>
      </c>
    </row>
    <row r="38" ht="24" customHeight="1">
      <c r="A38" s="8" t="n">
        <v>36</v>
      </c>
      <c r="B38" s="9" t="inlineStr">
        <is>
          <t>줄따기(GPR)를 통한 기존 지장물 매설 확인</t>
        </is>
      </c>
      <c r="C38" s="10">
        <f>HYPERLINK(LEFT(CELL("filename",A1),FIND("[",CELL("filename",A1))-1)&amp;"매뉴얼BODY(집행단계-첨부폴더)v8\3.지장물이설\19_줄따기(GPR)를 통한 기존 지장물 매설 확인\표준서\19_줄따기(GPR)를 통한 기존 지장물 매설 확인_표준서.html", "📄 표준서 열기")</f>
        <v/>
      </c>
      <c r="D38" s="11">
        <f>HYPERLINK(LEFT(CELL("filename",A1),FIND("[",CELL("filename",A1))-1)&amp;"매뉴얼BODY(집행단계-첨부폴더)v8\3.지장물이설\19_줄따기(GPR)를 통한 기존 지장물 매설 확인\수행지침\수행지침.html", "📘 수행지침 열기")</f>
        <v/>
      </c>
      <c r="E38" s="12">
        <f>HYPERLINK(LEFT(CELL("filename",A1),FIND("[",CELL("filename",A1))-1)&amp;"매뉴얼BODY(집행단계-첨부폴더)v8\3.지장물이설\19_줄따기(GPR)를 통한 기존 지장물 매설 확인\체크리스트\줄따기(GPR)를 통한 기존 지장물 매설 확인_체크리스트.html", "📋 체크리스트 열기")</f>
        <v/>
      </c>
    </row>
    <row r="39" ht="24" customHeight="1">
      <c r="A39" s="3" t="n">
        <v>37</v>
      </c>
      <c r="B39" s="4" t="inlineStr">
        <is>
          <t>이설 위치 토공 굴착</t>
        </is>
      </c>
      <c r="C39" s="5">
        <f>HYPERLINK(LEFT(CELL("filename",A1),FIND("[",CELL("filename",A1))-1)&amp;"매뉴얼BODY(집행단계-첨부폴더)v8\3.지장물이설\20_이설 위치 토공 굴착\표준서\20_이설 위치 토공 굴착_표준서.html", "📄 표준서 열기")</f>
        <v/>
      </c>
      <c r="D39" s="6">
        <f>HYPERLINK(LEFT(CELL("filename",A1),FIND("[",CELL("filename",A1))-1)&amp;"매뉴얼BODY(집행단계-첨부폴더)v8\3.지장물이설\20_이설 위치 토공 굴착\수행지침\수행지침.html", "📘 수행지침 열기")</f>
        <v/>
      </c>
      <c r="E39" s="7">
        <f>HYPERLINK(LEFT(CELL("filename",A1),FIND("[",CELL("filename",A1))-1)&amp;"매뉴얼BODY(집행단계-첨부폴더)v8\3.지장물이설\20_이설 위치 토공 굴착\체크리스트\이설 위치 토공 굴착_체크리스트.html", "📋 체크리스트 열기")</f>
        <v/>
      </c>
    </row>
    <row r="40" ht="24" customHeight="1">
      <c r="A40" s="8" t="n">
        <v>38</v>
      </c>
      <c r="B40" s="9" t="inlineStr">
        <is>
          <t>하수도 관로 이설 공사</t>
        </is>
      </c>
      <c r="C40" s="10">
        <f>HYPERLINK(LEFT(CELL("filename",A1),FIND("[",CELL("filename",A1))-1)&amp;"매뉴얼BODY(집행단계-첨부폴더)v8\3.지장물이설\20_하수도 관로 이설 공사\표준서\하수도 관로 이설 공사_표준서.html", "📄 표준서 열기")</f>
        <v/>
      </c>
      <c r="D40" s="11">
        <f>HYPERLINK(LEFT(CELL("filename",A1),FIND("[",CELL("filename",A1))-1)&amp;"매뉴얼BODY(집행단계-첨부폴더)v8\3.지장물이설\20_하수도 관로 이설 공사\수행지침\수행지침.html", "📘 수행지침 열기")</f>
        <v/>
      </c>
      <c r="E40" s="12">
        <f>HYPERLINK(LEFT(CELL("filename",A1),FIND("[",CELL("filename",A1))-1)&amp;"매뉴얼BODY(집행단계-첨부폴더)v8\3.지장물이설\20_하수도 관로 이설 공사\체크리스트\하수도 관로 이설 공사_체크리스트.html", "📋 체크리스트 열기")</f>
        <v/>
      </c>
    </row>
    <row r="41" ht="24" customHeight="1">
      <c r="A41" s="3" t="n">
        <v>39</v>
      </c>
      <c r="B41" s="4" t="inlineStr">
        <is>
          <t>도시가스관 이설 공사</t>
        </is>
      </c>
      <c r="C41" s="5">
        <f>HYPERLINK(LEFT(CELL("filename",A1),FIND("[",CELL("filename",A1))-1)&amp;"매뉴얼BODY(집행단계-첨부폴더)v8\3.지장물이설\21_도시가스관 이설 공사\표준서\도시가스관 이설 공사_표준서.html", "📄 표준서 열기")</f>
        <v/>
      </c>
      <c r="D41" s="6">
        <f>HYPERLINK(LEFT(CELL("filename",A1),FIND("[",CELL("filename",A1))-1)&amp;"매뉴얼BODY(집행단계-첨부폴더)v8\3.지장물이설\21_도시가스관 이설 공사\수행지침\도시가스관 이설 공사_수행지침.html", "📘 수행지침 열기")</f>
        <v/>
      </c>
      <c r="E41" s="7">
        <f>HYPERLINK(LEFT(CELL("filename",A1),FIND("[",CELL("filename",A1))-1)&amp;"매뉴얼BODY(집행단계-첨부폴더)v8\3.지장물이설\21_도시가스관 이설 공사\체크리스트\도시가스관 이설 공사_체크리스트.html", "📋 체크리스트 열기")</f>
        <v/>
      </c>
    </row>
    <row r="42" ht="24" customHeight="1">
      <c r="A42" s="8" t="n">
        <v>40</v>
      </c>
      <c r="B42" s="9" t="inlineStr">
        <is>
          <t>신규관로 매설 및 설치</t>
        </is>
      </c>
      <c r="C42" s="10">
        <f>HYPERLINK(LEFT(CELL("filename",A1),FIND("[",CELL("filename",A1))-1)&amp;"매뉴얼BODY(집행단계-첨부폴더)v8\3.지장물이설\21_신규관로 매설 및 설치\표준서\21_신규관로 매설 및 설치_표준서.html", "📄 표준서 열기")</f>
        <v/>
      </c>
      <c r="D42" s="11">
        <f>HYPERLINK(LEFT(CELL("filename",A1),FIND("[",CELL("filename",A1))-1)&amp;"매뉴얼BODY(집행단계-첨부폴더)v8\3.지장물이설\21_신규관로 매설 및 설치\수행지침\수행지침.html", "📘 수행지침 열기")</f>
        <v/>
      </c>
      <c r="E42" s="12">
        <f>HYPERLINK(LEFT(CELL("filename",A1),FIND("[",CELL("filename",A1))-1)&amp;"매뉴얼BODY(집행단계-첨부폴더)v8\3.지장물이설\21_신규관로 매설 및 설치\체크리스트\신규관로 매설 및 설치_체크리스트.html", "📋 체크리스트 열기")</f>
        <v/>
      </c>
    </row>
    <row r="43" ht="24" customHeight="1">
      <c r="A43" s="3" t="n">
        <v>41</v>
      </c>
      <c r="B43" s="4" t="inlineStr">
        <is>
          <t>무단수 연결을 위한 시설 설치</t>
        </is>
      </c>
      <c r="C43" s="5">
        <f>HYPERLINK(LEFT(CELL("filename",A1),FIND("[",CELL("filename",A1))-1)&amp;"매뉴얼BODY(집행단계-첨부폴더)v8\3.지장물이설\22_무단수 연결을 위한 시설 설치\표준서\22_무단수 연결을 위한 시설 설치_표준서.html", "📄 표준서 열기")</f>
        <v/>
      </c>
      <c r="D43" s="6">
        <f>HYPERLINK(LEFT(CELL("filename",A1),FIND("[",CELL("filename",A1))-1)&amp;"매뉴얼BODY(집행단계-첨부폴더)v8\3.지장물이설\22_무단수 연결을 위한 시설 설치\수행지침\무단수 연결을 위한 시설 설치_수행지침.html", "📘 수행지침 열기")</f>
        <v/>
      </c>
      <c r="E43" s="7">
        <f>HYPERLINK(LEFT(CELL("filename",A1),FIND("[",CELL("filename",A1))-1)&amp;"매뉴얼BODY(집행단계-첨부폴더)v8\3.지장물이설\22_무단수 연결을 위한 시설 설치\체크리스트\무단수 연결을 위한 시설 설치_체크리스트.html", "📋 체크리스트 열기")</f>
        <v/>
      </c>
    </row>
    <row r="44" ht="24" customHeight="1">
      <c r="A44" s="8" t="n">
        <v>42</v>
      </c>
      <c r="B44" s="9" t="inlineStr">
        <is>
          <t>지역난방관 이설 공사</t>
        </is>
      </c>
      <c r="C44" s="10">
        <f>HYPERLINK(LEFT(CELL("filename",A1),FIND("[",CELL("filename",A1))-1)&amp;"매뉴얼BODY(집행단계-첨부폴더)v8\3.지장물이설\22_지역난방관 이설 공사\표준서\지역난방관 이설 공사_표준서.html", "📄 표준서 열기")</f>
        <v/>
      </c>
      <c r="D44" s="11">
        <f>HYPERLINK(LEFT(CELL("filename",A1),FIND("[",CELL("filename",A1))-1)&amp;"매뉴얼BODY(집행단계-첨부폴더)v8\3.지장물이설\22_지역난방관 이설 공사\수행지침\수행지침.html", "📘 수행지침 열기")</f>
        <v/>
      </c>
      <c r="E44" s="12">
        <f>HYPERLINK(LEFT(CELL("filename",A1),FIND("[",CELL("filename",A1))-1)&amp;"매뉴얼BODY(집행단계-첨부폴더)v8\3.지장물이설\22_지역난방관 이설 공사\체크리스트\지역난방관 이설 공사_체크리스트.html", "📋 체크리스트 열기")</f>
        <v/>
      </c>
    </row>
    <row r="45" ht="24" customHeight="1">
      <c r="A45" s="3" t="n">
        <v>43</v>
      </c>
      <c r="B45" s="4" t="inlineStr">
        <is>
          <t>신규관로 및 연결관로 접속</t>
        </is>
      </c>
      <c r="C45" s="5">
        <f>HYPERLINK(LEFT(CELL("filename",A1),FIND("[",CELL("filename",A1))-1)&amp;"매뉴얼BODY(집행단계-첨부폴더)v8\3.지장물이설\23_신규관로 및 연결관로 접속\표준서\23_신규관로 및 연결관로 접속_표준서.html", "📄 표준서 열기")</f>
        <v/>
      </c>
      <c r="D45" s="6">
        <f>HYPERLINK(LEFT(CELL("filename",A1),FIND("[",CELL("filename",A1))-1)&amp;"매뉴얼BODY(집행단계-첨부폴더)v8\3.지장물이설\23_신규관로 및 연결관로 접속\수행지침\수행지침.html", "📘 수행지침 열기")</f>
        <v/>
      </c>
      <c r="E45" s="7">
        <f>HYPERLINK(LEFT(CELL("filename",A1),FIND("[",CELL("filename",A1))-1)&amp;"매뉴얼BODY(집행단계-첨부폴더)v8\3.지장물이설\23_신규관로 및 연결관로 접속\체크리스트\신규관로 및 연결관로 접속_체크리스트.html", "📋 체크리스트 열기")</f>
        <v/>
      </c>
    </row>
    <row r="46" ht="24" customHeight="1">
      <c r="A46" s="8" t="n">
        <v>44</v>
      </c>
      <c r="B46" s="9" t="inlineStr">
        <is>
          <t>통신관로 및 케이블 이설 공사</t>
        </is>
      </c>
      <c r="C46" s="10">
        <f>HYPERLINK(LEFT(CELL("filename",A1),FIND("[",CELL("filename",A1))-1)&amp;"매뉴얼BODY(집행단계-첨부폴더)v8\3.지장물이설\23_통신관로 및 케이블 이설 공사\표준서\통신관로 및 케이블 이설 공사_표준서.html", "📄 표준서 열기")</f>
        <v/>
      </c>
      <c r="D46" s="11">
        <f>HYPERLINK(LEFT(CELL("filename",A1),FIND("[",CELL("filename",A1))-1)&amp;"매뉴얼BODY(집행단계-첨부폴더)v8\3.지장물이설\23_통신관로 및 케이블 이설 공사\수행지침\수행지침.html", "📘 수행지침 열기")</f>
        <v/>
      </c>
      <c r="E46" s="12">
        <f>HYPERLINK(LEFT(CELL("filename",A1),FIND("[",CELL("filename",A1))-1)&amp;"매뉴얼BODY(집행단계-첨부폴더)v8\3.지장물이설\23_통신관로 및 케이블 이설 공사\체크리스트\통신관로 및 케이블 이설 공사_체크리스트.html", "📋 체크리스트 열기")</f>
        <v/>
      </c>
    </row>
    <row r="47" ht="24" customHeight="1">
      <c r="A47" s="3" t="n">
        <v>45</v>
      </c>
      <c r="B47" s="4" t="inlineStr">
        <is>
          <t>기존관로 철거 및 원상복구</t>
        </is>
      </c>
      <c r="C47" s="5">
        <f>HYPERLINK(LEFT(CELL("filename",A1),FIND("[",CELL("filename",A1))-1)&amp;"매뉴얼BODY(집행단계-첨부폴더)v8\3.지장물이설\24_기존관로 철거 및 원상복구\표준서\24_기존관로 철거 및 원상복구_표준서.html", "📄 표준서 열기")</f>
        <v/>
      </c>
      <c r="D47" s="6">
        <f>HYPERLINK(LEFT(CELL("filename",A1),FIND("[",CELL("filename",A1))-1)&amp;"매뉴얼BODY(집행단계-첨부폴더)v8\3.지장물이설\24_기존관로 철거 및 원상복구\수행지침\기존관로 철거 및 원상복구_수행지침.html", "📘 수행지침 열기")</f>
        <v/>
      </c>
      <c r="E47" s="7">
        <f>HYPERLINK(LEFT(CELL("filename",A1),FIND("[",CELL("filename",A1))-1)&amp;"매뉴얼BODY(집행단계-첨부폴더)v8\3.지장물이설\24_기존관로 철거 및 원상복구\체크리스트\기존관로 철거 및 원상복구_체크리스트.html", "📋 체크리스트 열기")</f>
        <v/>
      </c>
    </row>
    <row r="48" ht="24" customHeight="1">
      <c r="A48" s="8" t="n">
        <v>46</v>
      </c>
      <c r="B48" s="9" t="inlineStr">
        <is>
          <t>특고압 전력관로 이설 공사</t>
        </is>
      </c>
      <c r="C48" s="10">
        <f>HYPERLINK(LEFT(CELL("filename",A1),FIND("[",CELL("filename",A1))-1)&amp;"매뉴얼BODY(집행단계-첨부폴더)v8\3.지장물이설\24_특고압 전력관로 이설 공사\표준서\특고압 전력관로 이설 공사_표준서.html", "📄 표준서 열기")</f>
        <v/>
      </c>
      <c r="D48" s="11">
        <f>HYPERLINK(LEFT(CELL("filename",A1),FIND("[",CELL("filename",A1))-1)&amp;"매뉴얼BODY(집행단계-첨부폴더)v8\3.지장물이설\24_특고압 전력관로 이설 공사\수행지침\수행지침.html", "📘 수행지침 열기")</f>
        <v/>
      </c>
      <c r="E48" s="12">
        <f>HYPERLINK(LEFT(CELL("filename",A1),FIND("[",CELL("filename",A1))-1)&amp;"매뉴얼BODY(집행단계-첨부폴더)v8\3.지장물이설\24_특고압 전력관로 이설 공사\체크리스트\특고압 전력관로 이설 공사_체크리스트.html", "📋 체크리스트 열기")</f>
        <v/>
      </c>
    </row>
    <row r="49" ht="24" customHeight="1">
      <c r="A49" s="3" t="n">
        <v>47</v>
      </c>
      <c r="B49" s="4" t="inlineStr">
        <is>
          <t>광역상수관 이설 공사</t>
        </is>
      </c>
      <c r="C49" s="5">
        <f>HYPERLINK(LEFT(CELL("filename",A1),FIND("[",CELL("filename",A1))-1)&amp;"매뉴얼BODY(집행단계-첨부폴더)v8\3.지장물이설\25_광역상수관 이설 공사\표준서\25_광역상수관 이설 공사_표준서.html", "📄 표준서 열기")</f>
        <v/>
      </c>
      <c r="D49" s="6">
        <f>HYPERLINK(LEFT(CELL("filename",A1),FIND("[",CELL("filename",A1))-1)&amp;"매뉴얼BODY(집행단계-첨부폴더)v8\3.지장물이설\25_광역상수관 이설 공사\수행지침\광역상수관 이설 공사_수행지침.html", "📘 수행지침 열기")</f>
        <v/>
      </c>
      <c r="E49" s="7">
        <f>HYPERLINK(LEFT(CELL("filename",A1),FIND("[",CELL("filename",A1))-1)&amp;"매뉴얼BODY(집행단계-첨부폴더)v8\3.지장물이설\25_광역상수관 이설 공사\체크리스트\광역상수관 이설 공사_체크리스트.html", "📋 체크리스트 열기")</f>
        <v/>
      </c>
    </row>
    <row r="50" ht="24" customHeight="1">
      <c r="A50" s="8" t="n">
        <v>48</v>
      </c>
      <c r="B50" s="9" t="inlineStr">
        <is>
          <t>송유관 이설 공사</t>
        </is>
      </c>
      <c r="C50" s="10">
        <f>HYPERLINK(LEFT(CELL("filename",A1),FIND("[",CELL("filename",A1))-1)&amp;"매뉴얼BODY(집행단계-첨부폴더)v8\3.지장물이설\25_송유관 이설 공사\표준서\송유관 이설 공사_표준서.html", "📄 표준서 열기")</f>
        <v/>
      </c>
      <c r="D50" s="11">
        <f>HYPERLINK(LEFT(CELL("filename",A1),FIND("[",CELL("filename",A1))-1)&amp;"매뉴얼BODY(집행단계-첨부폴더)v8\3.지장물이설\25_송유관 이설 공사\수행지침\송유관 이설 공사_수행지침.html", "📘 수행지침 열기")</f>
        <v/>
      </c>
      <c r="E50" s="12">
        <f>HYPERLINK(LEFT(CELL("filename",A1),FIND("[",CELL("filename",A1))-1)&amp;"매뉴얼BODY(집행단계-첨부폴더)v8\3.지장물이설\25_송유관 이설 공사\체크리스트\송유관 이설 공사_체크리스트.html", "📋 체크리스트 열기")</f>
        <v/>
      </c>
    </row>
    <row r="51" ht="24" customHeight="1">
      <c r="A51" s="3" t="n">
        <v>49</v>
      </c>
      <c r="B51" s="4" t="inlineStr">
        <is>
          <t>상수도 관로 이설 공사</t>
        </is>
      </c>
      <c r="C51" s="5">
        <f>HYPERLINK(LEFT(CELL("filename",A1),FIND("[",CELL("filename",A1))-1)&amp;"매뉴얼BODY(집행단계-첨부폴더)v8\3.지장물이설\26_상수도 관로 이설 공사\표준서\26_상수도 관로 이설 공사_표준서.html", "📄 표준서 열기")</f>
        <v/>
      </c>
      <c r="D51" s="6">
        <f>HYPERLINK(LEFT(CELL("filename",A1),FIND("[",CELL("filename",A1))-1)&amp;"매뉴얼BODY(집행단계-첨부폴더)v8\3.지장물이설\26_상수도 관로 이설 공사\수행지침\상수도 관로 이설 공사_수행지침.html", "📘 수행지침 열기")</f>
        <v/>
      </c>
      <c r="E51" s="7">
        <f>HYPERLINK(LEFT(CELL("filename",A1),FIND("[",CELL("filename",A1))-1)&amp;"매뉴얼BODY(집행단계-첨부폴더)v8\3.지장물이설\26_상수도 관로 이설 공사\체크리스트\상수도 관로 이설 공사_체크리스트.html", "📋 체크리스트 열기")</f>
        <v/>
      </c>
    </row>
    <row r="52" ht="24" customHeight="1">
      <c r="A52" s="8" t="n">
        <v>50</v>
      </c>
      <c r="B52" s="9" t="inlineStr">
        <is>
          <t>상하수도 이설 시공 최종 점검</t>
        </is>
      </c>
      <c r="C52" s="10">
        <f>HYPERLINK(LEFT(CELL("filename",A1),FIND("[",CELL("filename",A1))-1)&amp;"매뉴얼BODY(집행단계-첨부폴더)v8\3.지장물이설\26_상하수도 이설 시공 최종 점검\표준서\상하수도 이설 시공 최종 점검_표준서.html", "📄 표준서 열기")</f>
        <v/>
      </c>
      <c r="D52" s="11">
        <f>HYPERLINK(LEFT(CELL("filename",A1),FIND("[",CELL("filename",A1))-1)&amp;"매뉴얼BODY(집행단계-첨부폴더)v8\3.지장물이설\26_상하수도 이설 시공 최종 점검\수행지침\상하수도 이설 시공 최종 점검_수행지침.html", "📘 수행지침 열기")</f>
        <v/>
      </c>
      <c r="E52" s="12">
        <f>HYPERLINK(LEFT(CELL("filename",A1),FIND("[",CELL("filename",A1))-1)&amp;"매뉴얼BODY(집행단계-첨부폴더)v8\3.지장물이설\26_상하수도 이설 시공 최종 점검\체크리스트\상하수도 이설 시공 최종 점검_체크리스트.html", "📋 체크리스트 열기")</f>
        <v/>
      </c>
    </row>
    <row r="53" ht="24" customHeight="1">
      <c r="A53" s="3" t="n">
        <v>51</v>
      </c>
      <c r="B53" s="4" t="inlineStr">
        <is>
          <t>위수탁 지하지장물 이설 최종 점검</t>
        </is>
      </c>
      <c r="C53" s="5">
        <f>HYPERLINK(LEFT(CELL("filename",A1),FIND("[",CELL("filename",A1))-1)&amp;"매뉴얼BODY(집행단계-첨부폴더)v8\3.지장물이설\27_위수탁 지하지장물 이설 최종 점검\표준서\위수탁 지하지장물 이설 최종 점검_표준서.html", "📄 표준서 열기")</f>
        <v/>
      </c>
      <c r="D53" s="6">
        <f>HYPERLINK(LEFT(CELL("filename",A1),FIND("[",CELL("filename",A1))-1)&amp;"매뉴얼BODY(집행단계-첨부폴더)v8\3.지장물이설\27_위수탁 지하지장물 이설 최종 점검\수행지침\수행지침.html", "📘 수행지침 열기")</f>
        <v/>
      </c>
      <c r="E53" s="7">
        <f>HYPERLINK(LEFT(CELL("filename",A1),FIND("[",CELL("filename",A1))-1)&amp;"매뉴얼BODY(집행단계-첨부폴더)v8\3.지장물이설\27_위수탁 지하지장물 이설 최종 점검\체크리스트\위수탁 지하지장물 이설 최종 점검_체크리스트.html", "📋 체크리스트 열기")</f>
        <v/>
      </c>
    </row>
    <row r="54" ht="24" customHeight="1">
      <c r="A54" s="8" t="n">
        <v>52</v>
      </c>
      <c r="B54" s="9" t="inlineStr">
        <is>
          <t>하수도 관로 이설 공사</t>
        </is>
      </c>
      <c r="C54" s="10">
        <f>HYPERLINK(LEFT(CELL("filename",A1),FIND("[",CELL("filename",A1))-1)&amp;"매뉴얼BODY(집행단계-첨부폴더)v8\3.지장물이설\27_하수도 관로 이설 공사\표준서\27_하수도 관로 이설 공사_표준서.html", "📄 표준서 열기")</f>
        <v/>
      </c>
      <c r="D54" s="11">
        <f>HYPERLINK(LEFT(CELL("filename",A1),FIND("[",CELL("filename",A1))-1)&amp;"매뉴얼BODY(집행단계-첨부폴더)v8\3.지장물이설\27_하수도 관로 이설 공사\수행지침\수행지침.html", "📘 수행지침 열기")</f>
        <v/>
      </c>
      <c r="E54" s="12">
        <f>HYPERLINK(LEFT(CELL("filename",A1),FIND("[",CELL("filename",A1))-1)&amp;"매뉴얼BODY(집행단계-첨부폴더)v8\3.지장물이설\27_하수도 관로 이설 공사\체크리스트\하수도 관로 이설 공사_체크리스트.html", "📋 체크리스트 열기")</f>
        <v/>
      </c>
    </row>
    <row r="55" ht="24" customHeight="1">
      <c r="A55" s="3" t="n">
        <v>53</v>
      </c>
      <c r="B55" s="4" t="inlineStr">
        <is>
          <t>도시가스관 이설 공사</t>
        </is>
      </c>
      <c r="C55" s="5">
        <f>HYPERLINK(LEFT(CELL("filename",A1),FIND("[",CELL("filename",A1))-1)&amp;"매뉴얼BODY(집행단계-첨부폴더)v8\3.지장물이설\28_도시가스관 이설 공사\표준서\28_도시가스관 이설 공사_표준서.html", "📄 표준서 열기")</f>
        <v/>
      </c>
      <c r="D55" s="6">
        <f>HYPERLINK(LEFT(CELL("filename",A1),FIND("[",CELL("filename",A1))-1)&amp;"매뉴얼BODY(집행단계-첨부폴더)v8\3.지장물이설\28_도시가스관 이설 공사\수행지침\도시가스관 이설 공사_수행지침.html", "📘 수행지침 열기")</f>
        <v/>
      </c>
      <c r="E55" s="7">
        <f>HYPERLINK(LEFT(CELL("filename",A1),FIND("[",CELL("filename",A1))-1)&amp;"매뉴얼BODY(집행단계-첨부폴더)v8\3.지장물이설\28_도시가스관 이설 공사\체크리스트\도시가스관 이설 공사_체크리스트.html", "📋 체크리스트 열기")</f>
        <v/>
      </c>
    </row>
    <row r="56" ht="24" customHeight="1">
      <c r="A56" s="8" t="n">
        <v>54</v>
      </c>
      <c r="B56" s="9" t="inlineStr">
        <is>
          <t>상하수도 이설 정산 금액 검토</t>
        </is>
      </c>
      <c r="C56" s="10">
        <f>HYPERLINK(LEFT(CELL("filename",A1),FIND("[",CELL("filename",A1))-1)&amp;"매뉴얼BODY(집행단계-첨부폴더)v8\3.지장물이설\28_상하수도 이설 정산 금액 검토\표준서\상하수도 이설 정산 금액 검토_표준서.html", "📄 표준서 열기")</f>
        <v/>
      </c>
      <c r="D56" s="11">
        <f>HYPERLINK(LEFT(CELL("filename",A1),FIND("[",CELL("filename",A1))-1)&amp;"매뉴얼BODY(집행단계-첨부폴더)v8\3.지장물이설\28_상하수도 이설 정산 금액 검토\수행지침\상하수도 이설 정산 금액 검토_수행지침.html", "📘 수행지침 열기")</f>
        <v/>
      </c>
      <c r="E56" s="12">
        <f>HYPERLINK(LEFT(CELL("filename",A1),FIND("[",CELL("filename",A1))-1)&amp;"매뉴얼BODY(집행단계-첨부폴더)v8\3.지장물이설\28_상하수도 이설 정산 금액 검토\체크리스트\상하수도 이설 정산 금액 검토_체크리스트.html", "📋 체크리스트 열기")</f>
        <v/>
      </c>
    </row>
    <row r="57" ht="24" customHeight="1">
      <c r="A57" s="3" t="n">
        <v>55</v>
      </c>
      <c r="B57" s="4" t="inlineStr">
        <is>
          <t>위수탁 처리 정산금액 지급</t>
        </is>
      </c>
      <c r="C57" s="5">
        <f>HYPERLINK(LEFT(CELL("filename",A1),FIND("[",CELL("filename",A1))-1)&amp;"매뉴얼BODY(집행단계-첨부폴더)v8\3.지장물이설\29_위수탁 처리 정산금액 지급\표준서\위수탁 처리 정산금액 지급_표준서.html", "📄 표준서 열기")</f>
        <v/>
      </c>
      <c r="D57" s="6">
        <f>HYPERLINK(LEFT(CELL("filename",A1),FIND("[",CELL("filename",A1))-1)&amp;"매뉴얼BODY(집행단계-첨부폴더)v8\3.지장물이설\29_위수탁 처리 정산금액 지급\수행지침\수행지침.html", "📘 수행지침 열기")</f>
        <v/>
      </c>
      <c r="E57" s="7">
        <f>HYPERLINK(LEFT(CELL("filename",A1),FIND("[",CELL("filename",A1))-1)&amp;"매뉴얼BODY(집행단계-첨부폴더)v8\3.지장물이설\29_위수탁 처리 정산금액 지급\체크리스트\위수탁 처리 정산금액 지급_체크리스트.html", "📋 체크리스트 열기")</f>
        <v/>
      </c>
    </row>
    <row r="58" ht="24" customHeight="1">
      <c r="A58" s="8" t="n">
        <v>56</v>
      </c>
      <c r="B58" s="9" t="inlineStr">
        <is>
          <t>지역난방관 이설 공사</t>
        </is>
      </c>
      <c r="C58" s="10">
        <f>HYPERLINK(LEFT(CELL("filename",A1),FIND("[",CELL("filename",A1))-1)&amp;"매뉴얼BODY(집행단계-첨부폴더)v8\3.지장물이설\29_지역난방관 이설 공사\표준서\29_지역난방관 이설 공사_표준서.html", "📄 표준서 열기")</f>
        <v/>
      </c>
      <c r="D58" s="11">
        <f>HYPERLINK(LEFT(CELL("filename",A1),FIND("[",CELL("filename",A1))-1)&amp;"매뉴얼BODY(집행단계-첨부폴더)v8\3.지장물이설\29_지역난방관 이설 공사\수행지침\수행지침.html", "📘 수행지침 열기")</f>
        <v/>
      </c>
      <c r="E58" s="12">
        <f>HYPERLINK(LEFT(CELL("filename",A1),FIND("[",CELL("filename",A1))-1)&amp;"매뉴얼BODY(집행단계-첨부폴더)v8\3.지장물이설\29_지역난방관 이설 공사\체크리스트\지역난방관 이설 공사_체크리스트.html", "📋 체크리스트 열기")</f>
        <v/>
      </c>
    </row>
    <row r="59" ht="24" customHeight="1">
      <c r="A59" s="3" t="n">
        <v>57</v>
      </c>
      <c r="B59" s="4" t="inlineStr">
        <is>
          <t>도급자분_위수탁분 설계변경 정산</t>
        </is>
      </c>
      <c r="C59" s="5">
        <f>HYPERLINK(LEFT(CELL("filename",A1),FIND("[",CELL("filename",A1))-1)&amp;"매뉴얼BODY(집행단계-첨부폴더)v8\3.지장물이설\30_도급자분_위수탁분 설계변경 정산\표준서\도급자분_위수탁분 설계변경 정산_표준서.html", "📄 표준서 열기")</f>
        <v/>
      </c>
      <c r="D59" s="6">
        <f>HYPERLINK(LEFT(CELL("filename",A1),FIND("[",CELL("filename",A1))-1)&amp;"매뉴얼BODY(집행단계-첨부폴더)v8\3.지장물이설\30_도급자분_위수탁분 설계변경 정산\수행지침\도급자분 이설업체 선정(상_하수)_수행지침.html", "📘 수행지침 열기")</f>
        <v/>
      </c>
      <c r="E59" s="7">
        <f>HYPERLINK(LEFT(CELL("filename",A1),FIND("[",CELL("filename",A1))-1)&amp;"매뉴얼BODY(집행단계-첨부폴더)v8\3.지장물이설\30_도급자분_위수탁분 설계변경 정산\체크리스트\도급자분_위수탁분 설계변경 정산_체크리스트.html", "📋 체크리스트 열기")</f>
        <v/>
      </c>
    </row>
    <row r="60" ht="24" customHeight="1">
      <c r="A60" s="8" t="n">
        <v>58</v>
      </c>
      <c r="B60" s="9" t="inlineStr">
        <is>
          <t>통신관로 및 케이블 이설 공사</t>
        </is>
      </c>
      <c r="C60" s="10">
        <f>HYPERLINK(LEFT(CELL("filename",A1),FIND("[",CELL("filename",A1))-1)&amp;"매뉴얼BODY(집행단계-첨부폴더)v8\3.지장물이설\30_통신관로 및 케이블 이설 공사\표준서\30_통신관로 및 케이블 이설 공사_표준서.html", "📄 표준서 열기")</f>
        <v/>
      </c>
      <c r="D60" s="11">
        <f>HYPERLINK(LEFT(CELL("filename",A1),FIND("[",CELL("filename",A1))-1)&amp;"매뉴얼BODY(집행단계-첨부폴더)v8\3.지장물이설\30_통신관로 및 케이블 이설 공사\수행지침\수행지침.html", "📘 수행지침 열기")</f>
        <v/>
      </c>
      <c r="E60" s="12">
        <f>HYPERLINK(LEFT(CELL("filename",A1),FIND("[",CELL("filename",A1))-1)&amp;"매뉴얼BODY(집행단계-첨부폴더)v8\3.지장물이설\30_통신관로 및 케이블 이설 공사\체크리스트\통신관로 및 케이블 이설 공사_체크리스트.html", "📋 체크리스트 열기")</f>
        <v/>
      </c>
    </row>
    <row r="61" ht="24" customHeight="1">
      <c r="A61" s="3" t="n">
        <v>59</v>
      </c>
      <c r="B61" s="4" t="inlineStr">
        <is>
          <t>특고압 전력관로 이설 공사</t>
        </is>
      </c>
      <c r="C61" s="5">
        <f>HYPERLINK(LEFT(CELL("filename",A1),FIND("[",CELL("filename",A1))-1)&amp;"매뉴얼BODY(집행단계-첨부폴더)v8\3.지장물이설\31_특고압 전력관로 이설 공사\표준서\31_특고압 전력관로 이설 공사_표준서.html", "📄 표준서 열기")</f>
        <v/>
      </c>
      <c r="D61" s="6">
        <f>HYPERLINK(LEFT(CELL("filename",A1),FIND("[",CELL("filename",A1))-1)&amp;"매뉴얼BODY(집행단계-첨부폴더)v8\3.지장물이설\31_특고압 전력관로 이설 공사\수행지침\수행지침.html", "📘 수행지침 열기")</f>
        <v/>
      </c>
      <c r="E61" s="7">
        <f>HYPERLINK(LEFT(CELL("filename",A1),FIND("[",CELL("filename",A1))-1)&amp;"매뉴얼BODY(집행단계-첨부폴더)v8\3.지장물이설\31_특고압 전력관로 이설 공사\체크리스트\특고압 전력관로 이설 공사_체크리스트.html", "📋 체크리스트 열기")</f>
        <v/>
      </c>
    </row>
    <row r="62" ht="24" customHeight="1">
      <c r="A62" s="8" t="n">
        <v>60</v>
      </c>
      <c r="B62" s="9" t="inlineStr">
        <is>
          <t>송유관 이설 공사</t>
        </is>
      </c>
      <c r="C62" s="10">
        <f>HYPERLINK(LEFT(CELL("filename",A1),FIND("[",CELL("filename",A1))-1)&amp;"매뉴얼BODY(집행단계-첨부폴더)v8\3.지장물이설\32_송유관 이설 공사\표준서\32_송유관 이설 공사_표준서.html", "📄 표준서 열기")</f>
        <v/>
      </c>
      <c r="D62" s="11">
        <f>HYPERLINK(LEFT(CELL("filename",A1),FIND("[",CELL("filename",A1))-1)&amp;"매뉴얼BODY(집행단계-첨부폴더)v8\3.지장물이설\32_송유관 이설 공사\수행지침\상하수도 이설 시공 최종 점검_수행지침.html", "📘 수행지침 열기")</f>
        <v/>
      </c>
      <c r="E62" s="12">
        <f>HYPERLINK(LEFT(CELL("filename",A1),FIND("[",CELL("filename",A1))-1)&amp;"매뉴얼BODY(집행단계-첨부폴더)v8\3.지장물이설\32_송유관 이설 공사\체크리스트\상하수도 이설 시공 최종 점검_체크리스트.html", "📋 체크리스트 열기")</f>
        <v/>
      </c>
    </row>
    <row r="63" ht="24" customHeight="1">
      <c r="A63" s="3" t="n">
        <v>61</v>
      </c>
      <c r="B63" s="4" t="inlineStr">
        <is>
          <t>상하수도 이설 시공 최종 점검</t>
        </is>
      </c>
      <c r="C63" s="5">
        <f>HYPERLINK(LEFT(CELL("filename",A1),FIND("[",CELL("filename",A1))-1)&amp;"매뉴얼BODY(집행단계-첨부폴더)v8\3.지장물이설\33_상하수도 이설 시공 최종 점검\표준서\33_상하수도 이설 시공 최종 점검_표준서.html", "📄 표준서 열기")</f>
        <v/>
      </c>
      <c r="D63" s="6">
        <f>HYPERLINK(LEFT(CELL("filename",A1),FIND("[",CELL("filename",A1))-1)&amp;"매뉴얼BODY(집행단계-첨부폴더)v8\3.지장물이설\33_상하수도 이설 시공 최종 점검\수행지침\상하수도 이설 시공 최종 점검_수행지침.html", "📘 수행지침 열기")</f>
        <v/>
      </c>
      <c r="E63" s="7">
        <f>HYPERLINK(LEFT(CELL("filename",A1),FIND("[",CELL("filename",A1))-1)&amp;"매뉴얼BODY(집행단계-첨부폴더)v8\3.지장물이설\33_상하수도 이설 시공 최종 점검\체크리스트\위수탁 지하지장물 이설 최종 점검_체크리스트.html", "📋 체크리스트 열기")</f>
        <v/>
      </c>
    </row>
    <row r="64" ht="24" customHeight="1">
      <c r="A64" s="8" t="n">
        <v>62</v>
      </c>
      <c r="B64" s="9" t="inlineStr">
        <is>
          <t>위수탁 지하지장물 이설 최종 점검</t>
        </is>
      </c>
      <c r="C64" s="10">
        <f>HYPERLINK(LEFT(CELL("filename",A1),FIND("[",CELL("filename",A1))-1)&amp;"매뉴얼BODY(집행단계-첨부폴더)v8\3.지장물이설\34_위수탁 지하지장물 이설 최종 점검\표준서\34_위수탁 지하지장물 이설 최종 점검_표준서.html", "📄 표준서 열기")</f>
        <v/>
      </c>
      <c r="D64" s="11">
        <f>HYPERLINK(LEFT(CELL("filename",A1),FIND("[",CELL("filename",A1))-1)&amp;"매뉴얼BODY(집행단계-첨부폴더)v8\3.지장물이설\34_위수탁 지하지장물 이설 최종 점검\수행지침\상하수도 이설 정산 금액 검토_수행지침.html", "📘 수행지침 열기")</f>
        <v/>
      </c>
      <c r="E64" s="12">
        <f>HYPERLINK(LEFT(CELL("filename",A1),FIND("[",CELL("filename",A1))-1)&amp;"매뉴얼BODY(집행단계-첨부폴더)v8\3.지장물이설\34_위수탁 지하지장물 이설 최종 점검\체크리스트\상하수도 이설 정산 금액 검토_체크리스트.html", "📋 체크리스트 열기")</f>
        <v/>
      </c>
    </row>
    <row r="65" ht="24" customHeight="1">
      <c r="A65" s="3" t="n">
        <v>63</v>
      </c>
      <c r="B65" s="4" t="inlineStr">
        <is>
          <t>상하수도 이설 정산 금액 검토</t>
        </is>
      </c>
      <c r="C65" s="5">
        <f>HYPERLINK(LEFT(CELL("filename",A1),FIND("[",CELL("filename",A1))-1)&amp;"매뉴얼BODY(집행단계-첨부폴더)v8\3.지장물이설\35_상하수도 이설 정산 금액 검토\표준서\35_상하수도 이설 정산 금액 검토_표준서.html", "📄 표준서 열기")</f>
        <v/>
      </c>
      <c r="D65" s="6">
        <f>HYPERLINK(LEFT(CELL("filename",A1),FIND("[",CELL("filename",A1))-1)&amp;"매뉴얼BODY(집행단계-첨부폴더)v8\3.지장물이설\35_상하수도 이설 정산 금액 검토\수행지침\상하수도 이설 정산 금액 검토_수행지침.html", "📘 수행지침 열기")</f>
        <v/>
      </c>
      <c r="E65" s="7">
        <f>HYPERLINK(LEFT(CELL("filename",A1),FIND("[",CELL("filename",A1))-1)&amp;"매뉴얼BODY(집행단계-첨부폴더)v8\3.지장물이설\35_상하수도 이설 정산 금액 검토\체크리스트\위수탁 처리 정산금액 지급_체크리스트.html", "📋 체크리스트 열기")</f>
        <v/>
      </c>
    </row>
    <row r="66" ht="24" customHeight="1">
      <c r="A66" s="8" t="n">
        <v>64</v>
      </c>
      <c r="B66" s="9" t="inlineStr">
        <is>
          <t>위수탁 처리 정산금액 지급</t>
        </is>
      </c>
      <c r="C66" s="10">
        <f>HYPERLINK(LEFT(CELL("filename",A1),FIND("[",CELL("filename",A1))-1)&amp;"매뉴얼BODY(집행단계-첨부폴더)v8\3.지장물이설\36_위수탁 처리 정산금액 지급\표준서\36_위수탁 처리 정산금액 지급_표준서.html", "📄 표준서 열기")</f>
        <v/>
      </c>
      <c r="D66" s="11">
        <f>HYPERLINK(LEFT(CELL("filename",A1),FIND("[",CELL("filename",A1))-1)&amp;"매뉴얼BODY(집행단계-첨부폴더)v8\3.지장물이설\36_위수탁 처리 정산금액 지급\수행지침\도급자분_위수탁분 설계변경 정산_수행지침.html", "📘 수행지침 열기")</f>
        <v/>
      </c>
      <c r="E66" s="12">
        <f>HYPERLINK(LEFT(CELL("filename",A1),FIND("[",CELL("filename",A1))-1)&amp;"매뉴얼BODY(집행단계-첨부폴더)v8\3.지장물이설\36_위수탁 처리 정산금액 지급\체크리스트\도급자분_위수탁분 설계변경 정산_체크리스트.html", "📋 체크리스트 열기")</f>
        <v/>
      </c>
    </row>
    <row r="67" ht="24" customHeight="1">
      <c r="A67" s="3" t="n">
        <v>65</v>
      </c>
      <c r="B67" s="4" t="inlineStr">
        <is>
          <t>도급자분_위수탁분 설계변경 정산</t>
        </is>
      </c>
      <c r="C67" s="5">
        <f>HYPERLINK(LEFT(CELL("filename",A1),FIND("[",CELL("filename",A1))-1)&amp;"매뉴얼BODY(집행단계-첨부폴더)v8\3.지장물이설\37_도급자분_위수탁분 설계변경 정산\표준서\37_도급자분_위수탁분 설계변경 정산_표준서.html", "📄 표준서 열기")</f>
        <v/>
      </c>
      <c r="D67" s="6">
        <f>HYPERLINK(LEFT(CELL("filename",A1),FIND("[",CELL("filename",A1))-1)&amp;"매뉴얼BODY(집행단계-첨부폴더)v8\3.지장물이설\37_도급자분_위수탁분 설계변경 정산\수행지침\공사전 선행공종에서 인수받을 사항_수행지침.html", "📘 수행지침 열기")</f>
        <v/>
      </c>
      <c r="E67" s="7">
        <f>HYPERLINK(LEFT(CELL("filename",A1),FIND("[",CELL("filename",A1))-1)&amp;"매뉴얼BODY(집행단계-첨부폴더)v8\3.지장물이설\37_도급자분_위수탁분 설계변경 정산\체크리스트\공사전 선행공종에서 인수받을 사항_체크리스트.html", "📋 체크리스트 열기")</f>
        <v/>
      </c>
    </row>
    <row r="68" ht="24" customHeight="1">
      <c r="A68" s="8" t="n">
        <v>66</v>
      </c>
      <c r="B68" s="9" t="inlineStr">
        <is>
          <t>공사전 선행공종에서 인수받을 사항</t>
        </is>
      </c>
      <c r="C68" s="10">
        <f>HYPERLINK(LEFT(CELL("filename",A1),FIND("[",CELL("filename",A1))-1)&amp;"매뉴얼BODY(집행단계-첨부폴더)v8\3.지장물이설\38_공사전 선행공종에서 인수받을 사항\표준서\38_공사전 선행공종에서 인수받을 사항_표준서.html", "📄 표준서 열기")</f>
        <v/>
      </c>
      <c r="D68" s="11">
        <f>HYPERLINK(LEFT(CELL("filename",A1),FIND("[",CELL("filename",A1))-1)&amp;"매뉴얼BODY(집행단계-첨부폴더)v8\3.지장물이설\38_공사전 선행공종에서 인수받을 사항\수행지침\공사전 선행공종에서 인수받을 사항_수행지침.html", "📘 수행지침 열기")</f>
        <v/>
      </c>
      <c r="E68" s="12">
        <f>HYPERLINK(LEFT(CELL("filename",A1),FIND("[",CELL("filename",A1))-1)&amp;"매뉴얼BODY(집행단계-첨부폴더)v8\3.지장물이설\38_공사전 선행공종에서 인수받을 사항\체크리스트\공사중 챙겨야할 후행공종의 요구사항_체크리스트.html", "📋 체크리스트 열기")</f>
        <v/>
      </c>
    </row>
    <row r="69" ht="24" customHeight="1">
      <c r="A69" s="3" t="n">
        <v>67</v>
      </c>
      <c r="B69" s="4" t="inlineStr">
        <is>
          <t>공사중 챙겨야할 후행공종의 요구사항</t>
        </is>
      </c>
      <c r="C69" s="5">
        <f>HYPERLINK(LEFT(CELL("filename",A1),FIND("[",CELL("filename",A1))-1)&amp;"매뉴얼BODY(집행단계-첨부폴더)v8\3.지장물이설\39_공사중 챙겨야할 후행공종의 요구사항\표준서\39_공사중 챙겨야할 후행공종의 요구사항_표준서.html", "📄 표준서 열기")</f>
        <v/>
      </c>
      <c r="D69" s="6">
        <f>HYPERLINK(LEFT(CELL("filename",A1),FIND("[",CELL("filename",A1))-1)&amp;"매뉴얼BODY(집행단계-첨부폴더)v8\3.지장물이설\39_공사중 챙겨야할 후행공종의 요구사항\수행지침\39_공사중 챙겨야할 후행공종의 요구사항_수행지침.html", "📘 수행지침 열기")</f>
        <v/>
      </c>
      <c r="E69" s="7">
        <f>HYPERLINK(LEFT(CELL("filename",A1),FIND("[",CELL("filename",A1))-1)&amp;"매뉴얼BODY(집행단계-첨부폴더)v8\3.지장물이설\39_공사중 챙겨야할 후행공종의 요구사항\체크리스트\39_공사중 챙겨야할 후행공종의 요구사항_체크리스트.html", "📋 체크리스트 열기")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22" customWidth="1" min="4" max="4"/>
    <col width="22" customWidth="1" min="5" max="5"/>
  </cols>
  <sheetData>
    <row r="1" ht="35" customHeight="1">
      <c r="A1" s="1" t="inlineStr">
        <is>
          <t>동탄도시철도(트램) 콘크리트도상 엔지니어링 매뉴얼 링크 대장</t>
        </is>
      </c>
    </row>
    <row r="2" ht="28" customHeight="1">
      <c r="A2" s="2" t="inlineStr">
        <is>
          <t>순번</t>
        </is>
      </c>
      <c r="B2" s="2" t="inlineStr">
        <is>
          <t>액티비티명 (Activity)</t>
        </is>
      </c>
      <c r="C2" s="2" t="inlineStr">
        <is>
          <t>표준서 (Standard)</t>
        </is>
      </c>
      <c r="D2" s="2" t="inlineStr">
        <is>
          <t>수행지침 (Guideline)</t>
        </is>
      </c>
      <c r="E2" s="2" t="inlineStr">
        <is>
          <t>체크리스트 (Checklist)</t>
        </is>
      </c>
    </row>
    <row r="3" ht="24" customHeight="1">
      <c r="A3" s="3" t="n">
        <v>1</v>
      </c>
      <c r="B3" s="4" t="inlineStr">
        <is>
          <t>설계적정성 검토</t>
        </is>
      </c>
      <c r="C3" s="5">
        <f>HYPERLINK(LEFT(CELL("filename",A1),FIND("[",CELL("filename",A1))-1)&amp;"매뉴얼BODY(집행단계-첨부폴더)v8\5.콘크리트도상\1_설계적정성 검토\표준서\설계적정성 검토_표준서.html", "📄 표준서 열기")</f>
        <v/>
      </c>
      <c r="D3" s="6">
        <f>HYPERLINK(LEFT(CELL("filename",A1),FIND("[",CELL("filename",A1))-1)&amp;"매뉴얼BODY(집행단계-첨부폴더)v8\5.콘크리트도상\1_설계적정성 검토\수행지침\설계적정성 검토_수행지침.html", "📘 수행지침 열기")</f>
        <v/>
      </c>
      <c r="E3" s="7">
        <f>HYPERLINK(LEFT(CELL("filename",A1),FIND("[",CELL("filename",A1))-1)&amp;"매뉴얼BODY(집행단계-첨부폴더)v8\5.콘크리트도상\1_설계적정성 검토\체크리스트\설계적정성 검토_체크리스트.html", "📋 체크리스트 열기")</f>
        <v/>
      </c>
    </row>
    <row r="4" ht="24" customHeight="1">
      <c r="A4" s="8" t="n">
        <v>2</v>
      </c>
      <c r="B4" s="9" t="inlineStr">
        <is>
          <t>자재 야적장 선정</t>
        </is>
      </c>
      <c r="C4" s="10">
        <f>HYPERLINK(LEFT(CELL("filename",A1),FIND("[",CELL("filename",A1))-1)&amp;"매뉴얼BODY(집행단계-첨부폴더)v8\5.콘크리트도상\2_자재 야적장 선정\표준서\자재 야적장 선정_표준서.html", "📄 표준서 열기")</f>
        <v/>
      </c>
      <c r="D4" s="11">
        <f>HYPERLINK(LEFT(CELL("filename",A1),FIND("[",CELL("filename",A1))-1)&amp;"매뉴얼BODY(집행단계-첨부폴더)v8\5.콘크리트도상\2_자재 야적장 선정\수행지침\자재 야적장 선정_수행지침.html", "📘 수행지침 열기")</f>
        <v/>
      </c>
      <c r="E4" s="12">
        <f>HYPERLINK(LEFT(CELL("filename",A1),FIND("[",CELL("filename",A1))-1)&amp;"매뉴얼BODY(집행단계-첨부폴더)v8\5.콘크리트도상\2_자재 야적장 선정\체크리스트\자재 야적장 선정_체크리스트.html", "📋 체크리스트 열기")</f>
        <v/>
      </c>
    </row>
    <row r="5" ht="24" customHeight="1">
      <c r="A5" s="3" t="n">
        <v>3</v>
      </c>
      <c r="B5" s="4" t="inlineStr">
        <is>
          <t>레일 용접장 선정</t>
        </is>
      </c>
      <c r="C5" s="5">
        <f>HYPERLINK(LEFT(CELL("filename",A1),FIND("[",CELL("filename",A1))-1)&amp;"매뉴얼BODY(집행단계-첨부폴더)v8\5.콘크리트도상\3_레일 용접장 선정\표준서\레일 용접장 선정_표준서.html", "📄 표준서 열기")</f>
        <v/>
      </c>
      <c r="D5" s="6">
        <f>HYPERLINK(LEFT(CELL("filename",A1),FIND("[",CELL("filename",A1))-1)&amp;"매뉴얼BODY(집행단계-첨부폴더)v8\5.콘크리트도상\3_레일 용접장 선정\수행지침\레일 용접장 선정_수행지침.html", "📘 수행지침 열기")</f>
        <v/>
      </c>
      <c r="E5" s="7">
        <f>HYPERLINK(LEFT(CELL("filename",A1),FIND("[",CELL("filename",A1))-1)&amp;"매뉴얼BODY(집행단계-첨부폴더)v8\5.콘크리트도상\3_레일 용접장 선정\체크리스트\레일 용접장 선정_체크리스트.html", "📋 체크리스트 열기")</f>
        <v/>
      </c>
    </row>
    <row r="6" ht="24" customHeight="1">
      <c r="A6" s="8" t="n">
        <v>4</v>
      </c>
      <c r="B6" s="9" t="inlineStr">
        <is>
          <t>발주전략 KOM</t>
        </is>
      </c>
      <c r="C6" s="10">
        <f>HYPERLINK(LEFT(CELL("filename",A1),FIND("[",CELL("filename",A1))-1)&amp;"매뉴얼BODY(집행단계-첨부폴더)v8\5.콘크리트도상\4_발주전략 KOM\표준서\발주전략 KOM_표준서.html", "📄 표준서 열기")</f>
        <v/>
      </c>
      <c r="D6" s="11">
        <f>HYPERLINK(LEFT(CELL("filename",A1),FIND("[",CELL("filename",A1))-1)&amp;"매뉴얼BODY(집행단계-첨부폴더)v8\5.콘크리트도상\4_발주전략 KOM\수행지침\발주전략 KOM_수행지침.html", "📘 수행지침 열기")</f>
        <v/>
      </c>
      <c r="E6" s="12">
        <f>HYPERLINK(LEFT(CELL("filename",A1),FIND("[",CELL("filename",A1))-1)&amp;"매뉴얼BODY(집행단계-첨부폴더)v8\5.콘크리트도상\4_발주전략 KOM\체크리스트\발주전략 KOM_체크리스트.html", "📋 체크리스트 열기")</f>
        <v/>
      </c>
    </row>
    <row r="7" ht="24" customHeight="1">
      <c r="A7" s="3" t="n">
        <v>5</v>
      </c>
      <c r="B7" s="4" t="inlineStr">
        <is>
          <t>최고의 팀 만들기 지원</t>
        </is>
      </c>
      <c r="C7" s="5">
        <f>HYPERLINK(LEFT(CELL("filename",A1),FIND("[",CELL("filename",A1))-1)&amp;"매뉴얼BODY(집행단계-첨부폴더)v8\5.콘크리트도상\5_최고의 팀 만들기 지원\표준서\최고의 팀 만들기 지원_표준서.html", "📄 표준서 열기")</f>
        <v/>
      </c>
      <c r="D7" s="6">
        <f>HYPERLINK(LEFT(CELL("filename",A1),FIND("[",CELL("filename",A1))-1)&amp;"매뉴얼BODY(집행단계-첨부폴더)v8\5.콘크리트도상\5_최고의 팀 만들기 지원\수행지침\최고의 팀 만들기 지원_수행지침.html", "📘 수행지침 열기")</f>
        <v/>
      </c>
      <c r="E7" s="7">
        <f>HYPERLINK(LEFT(CELL("filename",A1),FIND("[",CELL("filename",A1))-1)&amp;"매뉴얼BODY(집행단계-첨부폴더)v8\5.콘크리트도상\5_최고의 팀 만들기 지원\체크리스트\최고의 팀 만들기 지원_체크리스트.html", "📋 체크리스트 열기")</f>
        <v/>
      </c>
    </row>
    <row r="8" ht="24" customHeight="1">
      <c r="A8" s="8" t="n">
        <v>6</v>
      </c>
      <c r="B8" s="9" t="inlineStr">
        <is>
          <t>콘크리트 타설방법_계획 검토</t>
        </is>
      </c>
      <c r="C8" s="10">
        <f>HYPERLINK(LEFT(CELL("filename",A1),FIND("[",CELL("filename",A1))-1)&amp;"매뉴얼BODY(집행단계-첨부폴더)v8\5.콘크리트도상\6_콘크리트 타설방법_계획 검토\표준서\콘크리트 타설방법_계획 검토_표준서.html", "📄 표준서 열기")</f>
        <v/>
      </c>
      <c r="D8" s="11">
        <f>HYPERLINK(LEFT(CELL("filename",A1),FIND("[",CELL("filename",A1))-1)&amp;"매뉴얼BODY(집행단계-첨부폴더)v8\5.콘크리트도상\6_콘크리트 타설방법_계획 검토\수행지침\콘크리트 타설방법_계획 검토_수행지침.html", "📘 수행지침 열기")</f>
        <v/>
      </c>
      <c r="E8" s="12">
        <f>HYPERLINK(LEFT(CELL("filename",A1),FIND("[",CELL("filename",A1))-1)&amp;"매뉴얼BODY(집행단계-첨부폴더)v8\5.콘크리트도상\6_콘크리트 타설방법_계획 검토\체크리스트\콘크리트 타설방법_계획 검토_체크리스트.html", "📋 체크리스트 열기")</f>
        <v/>
      </c>
    </row>
    <row r="9" ht="24" customHeight="1">
      <c r="A9" s="3" t="n">
        <v>7</v>
      </c>
      <c r="B9" s="4" t="inlineStr">
        <is>
          <t>작수전 Big Room 회의</t>
        </is>
      </c>
      <c r="C9" s="5">
        <f>HYPERLINK(LEFT(CELL("filename",A1),FIND("[",CELL("filename",A1))-1)&amp;"매뉴얼BODY(집행단계-첨부폴더)v8\5.콘크리트도상\7_작수전 Big Room 회의\표준서\작수전 Big Room 회의_표준서.html", "📄 표준서 열기")</f>
        <v/>
      </c>
      <c r="D9" s="6">
        <f>HYPERLINK(LEFT(CELL("filename",A1),FIND("[",CELL("filename",A1))-1)&amp;"매뉴얼BODY(집행단계-첨부폴더)v8\5.콘크리트도상\7_작수전 Big Room 회의\수행지침\작수전 Big Room 회의_수행지침.html", "📘 수행지침 열기")</f>
        <v/>
      </c>
      <c r="E9" s="7">
        <f>HYPERLINK(LEFT(CELL("filename",A1),FIND("[",CELL("filename",A1))-1)&amp;"매뉴얼BODY(집행단계-첨부폴더)v8\5.콘크리트도상\7_작수전 Big Room 회의\체크리스트\작수전 Big Room 회의_체크리스트.html", "📋 체크리스트 열기")</f>
        <v/>
      </c>
    </row>
    <row r="10" ht="24" customHeight="1">
      <c r="A10" s="8" t="n">
        <v>8</v>
      </c>
      <c r="B10" s="9" t="inlineStr">
        <is>
          <t>장비,자재 반입로_반입구 간섭 검토</t>
        </is>
      </c>
      <c r="C10" s="10">
        <f>HYPERLINK(LEFT(CELL("filename",A1),FIND("[",CELL("filename",A1))-1)&amp;"매뉴얼BODY(집행단계-첨부폴더)v8\5.콘크리트도상\8_장비,자재 반입로_반입구 간섭 검토\표준서\장비,자재 반입로_반입구 간섭 검토_표준서.html", "📄 표준서 열기")</f>
        <v/>
      </c>
      <c r="D10" s="11">
        <f>HYPERLINK(LEFT(CELL("filename",A1),FIND("[",CELL("filename",A1))-1)&amp;"매뉴얼BODY(집행단계-첨부폴더)v8\5.콘크리트도상\8_장비,자재 반입로_반입구 간섭 검토\수행지침\장비,자재 반입로_반입구 간섭 검토_수행지침.html", "📘 수행지침 열기")</f>
        <v/>
      </c>
      <c r="E10" s="12">
        <f>HYPERLINK(LEFT(CELL("filename",A1),FIND("[",CELL("filename",A1))-1)&amp;"매뉴얼BODY(집행단계-첨부폴더)v8\5.콘크리트도상\8_장비,자재 반입로_반입구 간섭 검토\체크리스트\장비,자재 반입로_반입구 간섭 검토_체크리스트.html", "📋 체크리스트 열기")</f>
        <v/>
      </c>
    </row>
    <row r="11" ht="24" customHeight="1">
      <c r="A11" s="3" t="n">
        <v>9</v>
      </c>
      <c r="B11" s="4" t="inlineStr">
        <is>
          <t>자재조달계획 검토</t>
        </is>
      </c>
      <c r="C11" s="5">
        <f>HYPERLINK(LEFT(CELL("filename",A1),FIND("[",CELL("filename",A1))-1)&amp;"매뉴얼BODY(집행단계-첨부폴더)v8\5.콘크리트도상\9_자재조달계획 검토\표준서\자재조달계획 검토_표준서.html", "📄 표준서 열기")</f>
        <v/>
      </c>
      <c r="D11" s="6">
        <f>HYPERLINK(LEFT(CELL("filename",A1),FIND("[",CELL("filename",A1))-1)&amp;"매뉴얼BODY(집행단계-첨부폴더)v8\5.콘크리트도상\9_자재조달계획 검토\수행지침\자재조달계획 검토_수행지침.html", "📘 수행지침 열기")</f>
        <v/>
      </c>
      <c r="E11" s="7">
        <f>HYPERLINK(LEFT(CELL("filename",A1),FIND("[",CELL("filename",A1))-1)&amp;"매뉴얼BODY(집행단계-첨부폴더)v8\5.콘크리트도상\9_자재조달계획 검토\체크리스트\자재조달계획 검토_체크리스트.html", "📋 체크리스트 열기")</f>
        <v/>
      </c>
    </row>
    <row r="12" ht="24" customHeight="1">
      <c r="A12" s="8" t="n">
        <v>10</v>
      </c>
      <c r="B12" s="9" t="inlineStr">
        <is>
          <t>자재 발주 요청</t>
        </is>
      </c>
      <c r="C12" s="10">
        <f>HYPERLINK(LEFT(CELL("filename",A1),FIND("[",CELL("filename",A1))-1)&amp;"매뉴얼BODY(집행단계-첨부폴더)v8\5.콘크리트도상\10_자재 발주 요청\표준서\자재 발주 요청_표준서.html", "📄 표준서 열기")</f>
        <v/>
      </c>
      <c r="D12" s="11">
        <f>HYPERLINK(LEFT(CELL("filename",A1),FIND("[",CELL("filename",A1))-1)&amp;"매뉴얼BODY(집행단계-첨부폴더)v8\5.콘크리트도상\10_자재 발주 요청\수행지침\자재 발주 요청_수행지침.html", "📘 수행지침 열기")</f>
        <v/>
      </c>
      <c r="E12" s="12">
        <f>HYPERLINK(LEFT(CELL("filename",A1),FIND("[",CELL("filename",A1))-1)&amp;"매뉴얼BODY(집행단계-첨부폴더)v8\5.콘크리트도상\10_자재 발주 요청\체크리스트\자재 발주 요청_체크리스트.html", "📋 체크리스트 열기")</f>
        <v/>
      </c>
    </row>
    <row r="13" ht="24" customHeight="1">
      <c r="A13" s="3" t="n">
        <v>11</v>
      </c>
      <c r="B13" s="4" t="inlineStr">
        <is>
          <t>시공계획 수립</t>
        </is>
      </c>
      <c r="C13" s="5">
        <f>HYPERLINK(LEFT(CELL("filename",A1),FIND("[",CELL("filename",A1))-1)&amp;"매뉴얼BODY(집행단계-첨부폴더)v8\5.콘크리트도상\11_시공계획 수립\표준서\시공계획 수립_표준서.html", "📄 표준서 열기")</f>
        <v/>
      </c>
      <c r="D13" s="6">
        <f>HYPERLINK(LEFT(CELL("filename",A1),FIND("[",CELL("filename",A1))-1)&amp;"매뉴얼BODY(집행단계-첨부폴더)v8\5.콘크리트도상\11_시공계획 수립\수행지침\11_시공계획 수립_수행지침.html", "📘 수행지침 열기")</f>
        <v/>
      </c>
      <c r="E13" s="7">
        <f>HYPERLINK(LEFT(CELL("filename",A1),FIND("[",CELL("filename",A1))-1)&amp;"매뉴얼BODY(집행단계-첨부폴더)v8\5.콘크리트도상\11_시공계획 수립\체크리스트\시공계획 수립_체크리스트.html", "📋 체크리스트 열기")</f>
        <v/>
      </c>
    </row>
    <row r="14" ht="24" customHeight="1">
      <c r="A14" s="8" t="n">
        <v>12</v>
      </c>
      <c r="B14" s="9" t="inlineStr">
        <is>
          <t>자재 반입</t>
        </is>
      </c>
      <c r="C14" s="10">
        <f>HYPERLINK(LEFT(CELL("filename",A1),FIND("[",CELL("filename",A1))-1)&amp;"매뉴얼BODY(집행단계-첨부폴더)v8\5.콘크리트도상\12_자재 반입\표준서\자재 반입_표준서.html", "📄 표준서 열기")</f>
        <v/>
      </c>
      <c r="D14" s="11">
        <f>HYPERLINK(LEFT(CELL("filename",A1),FIND("[",CELL("filename",A1))-1)&amp;"매뉴얼BODY(집행단계-첨부폴더)v8\5.콘크리트도상\12_자재 반입\수행지침\자재 반입_수행지침.html", "📘 수행지침 열기")</f>
        <v/>
      </c>
      <c r="E14" s="12">
        <f>HYPERLINK(LEFT(CELL("filename",A1),FIND("[",CELL("filename",A1))-1)&amp;"매뉴얼BODY(집행단계-첨부폴더)v8\5.콘크리트도상\12_자재 반입\체크리스트\자재 반입_체크리스트.html", "📋 체크리스트 열기")</f>
        <v/>
      </c>
    </row>
    <row r="15" ht="24" customHeight="1">
      <c r="A15" s="3" t="n">
        <v>13</v>
      </c>
      <c r="B15" s="4" t="inlineStr">
        <is>
          <t>[HBS] 강화노반 확인</t>
        </is>
      </c>
      <c r="C15" s="13" t="inlineStr">
        <is>
          <t>-</t>
        </is>
      </c>
      <c r="D15" s="13" t="inlineStr">
        <is>
          <t>-</t>
        </is>
      </c>
      <c r="E15" s="13" t="inlineStr">
        <is>
          <t>-</t>
        </is>
      </c>
    </row>
    <row r="16" ht="24" customHeight="1">
      <c r="A16" s="8" t="n">
        <v>14</v>
      </c>
      <c r="B16" s="9" t="inlineStr">
        <is>
          <t>[HBS] 콘크리트 타설 및 양생</t>
        </is>
      </c>
      <c r="C16" s="14" t="inlineStr">
        <is>
          <t>-</t>
        </is>
      </c>
      <c r="D16" s="14" t="inlineStr">
        <is>
          <t>-</t>
        </is>
      </c>
      <c r="E16" s="14" t="inlineStr">
        <is>
          <t>-</t>
        </is>
      </c>
    </row>
    <row r="17" ht="24" customHeight="1">
      <c r="A17" s="3" t="n">
        <v>15</v>
      </c>
      <c r="B17" s="4" t="inlineStr">
        <is>
          <t>[반-PC 슬래브] 패널반입 및 설치</t>
        </is>
      </c>
      <c r="C17" s="13" t="inlineStr">
        <is>
          <t>-</t>
        </is>
      </c>
      <c r="D17" s="13" t="inlineStr">
        <is>
          <t>-</t>
        </is>
      </c>
      <c r="E17" s="13" t="inlineStr">
        <is>
          <t>-</t>
        </is>
      </c>
    </row>
    <row r="18" ht="24" customHeight="1">
      <c r="A18" s="8" t="n">
        <v>16</v>
      </c>
      <c r="B18" s="9" t="inlineStr">
        <is>
          <t>[PST] 전단앵커설치 및 충전재 주입</t>
        </is>
      </c>
      <c r="C18" s="14" t="inlineStr">
        <is>
          <t>-</t>
        </is>
      </c>
      <c r="D18" s="14" t="inlineStr">
        <is>
          <t>-</t>
        </is>
      </c>
      <c r="E18" s="14" t="inlineStr">
        <is>
          <t>-</t>
        </is>
      </c>
    </row>
    <row r="19" ht="24" customHeight="1">
      <c r="A19" s="3" t="n">
        <v>17</v>
      </c>
      <c r="B19" s="4" t="inlineStr">
        <is>
          <t>[TCL] 궤광 및 철근 조립</t>
        </is>
      </c>
      <c r="C19" s="13" t="inlineStr">
        <is>
          <t>-</t>
        </is>
      </c>
      <c r="D19" s="13" t="inlineStr">
        <is>
          <t>-</t>
        </is>
      </c>
      <c r="E19" s="13" t="inlineStr">
        <is>
          <t>-</t>
        </is>
      </c>
    </row>
    <row r="20" ht="24" customHeight="1">
      <c r="A20" s="8" t="n">
        <v>18</v>
      </c>
      <c r="B20" s="9" t="inlineStr">
        <is>
          <t>[TCL] 궤광 및 철근조립</t>
        </is>
      </c>
      <c r="C20" s="14" t="inlineStr">
        <is>
          <t>-</t>
        </is>
      </c>
      <c r="D20" s="14" t="inlineStr">
        <is>
          <t>-</t>
        </is>
      </c>
      <c r="E20" s="14" t="inlineStr">
        <is>
          <t>-</t>
        </is>
      </c>
    </row>
    <row r="21" ht="24" customHeight="1">
      <c r="A21" s="3" t="n">
        <v>19</v>
      </c>
      <c r="B21" s="4" t="inlineStr">
        <is>
          <t>[TCL] 거푸집 설치</t>
        </is>
      </c>
      <c r="C21" s="13" t="inlineStr">
        <is>
          <t>-</t>
        </is>
      </c>
      <c r="D21" s="13" t="inlineStr">
        <is>
          <t>-</t>
        </is>
      </c>
      <c r="E21" s="13" t="inlineStr">
        <is>
          <t>-</t>
        </is>
      </c>
    </row>
    <row r="22" ht="24" customHeight="1">
      <c r="A22" s="8" t="n">
        <v>20</v>
      </c>
      <c r="B22" s="9" t="inlineStr">
        <is>
          <t>[TCL] 거푸집설치</t>
        </is>
      </c>
      <c r="C22" s="14" t="inlineStr">
        <is>
          <t>-</t>
        </is>
      </c>
      <c r="D22" s="14" t="inlineStr">
        <is>
          <t>-</t>
        </is>
      </c>
      <c r="E22" s="14" t="inlineStr">
        <is>
          <t>-</t>
        </is>
      </c>
    </row>
    <row r="23" ht="24" customHeight="1">
      <c r="A23" s="3" t="n">
        <v>21</v>
      </c>
      <c r="B23" s="4" t="inlineStr">
        <is>
          <t>[TCL] 콘크리트 타설 및 양생</t>
        </is>
      </c>
      <c r="C23" s="13" t="inlineStr">
        <is>
          <t>-</t>
        </is>
      </c>
      <c r="D23" s="13" t="inlineStr">
        <is>
          <t>-</t>
        </is>
      </c>
      <c r="E23" s="13" t="inlineStr">
        <is>
          <t>-</t>
        </is>
      </c>
    </row>
    <row r="24" ht="24" customHeight="1">
      <c r="A24" s="8" t="n">
        <v>22</v>
      </c>
      <c r="B24" s="9" t="inlineStr">
        <is>
          <t>[TCL] 콘크리트타설및양생</t>
        </is>
      </c>
      <c r="C24" s="14" t="inlineStr">
        <is>
          <t>-</t>
        </is>
      </c>
      <c r="D24" s="14" t="inlineStr">
        <is>
          <t>-</t>
        </is>
      </c>
      <c r="E24" s="14" t="inlineStr">
        <is>
          <t>-</t>
        </is>
      </c>
    </row>
    <row r="25" ht="24" customHeight="1">
      <c r="A25" s="3" t="n">
        <v>23</v>
      </c>
      <c r="B25" s="4" t="inlineStr">
        <is>
          <t>[레일용접] 가스 압접</t>
        </is>
      </c>
      <c r="C25" s="13" t="inlineStr">
        <is>
          <t>-</t>
        </is>
      </c>
      <c r="D25" s="13" t="inlineStr">
        <is>
          <t>-</t>
        </is>
      </c>
      <c r="E25" s="13" t="inlineStr">
        <is>
          <t>-</t>
        </is>
      </c>
    </row>
    <row r="26" ht="24" customHeight="1">
      <c r="A26" s="8" t="n">
        <v>24</v>
      </c>
      <c r="B26" s="9" t="inlineStr">
        <is>
          <t>[레일용접] 가스압접</t>
        </is>
      </c>
      <c r="C26" s="14" t="inlineStr">
        <is>
          <t>-</t>
        </is>
      </c>
      <c r="D26" s="14" t="inlineStr">
        <is>
          <t>-</t>
        </is>
      </c>
      <c r="E26" s="14" t="inlineStr">
        <is>
          <t>-</t>
        </is>
      </c>
    </row>
    <row r="27" ht="24" customHeight="1">
      <c r="A27" s="3" t="n">
        <v>25</v>
      </c>
      <c r="B27" s="4" t="inlineStr">
        <is>
          <t>[레일용접] 테르밋 용접</t>
        </is>
      </c>
      <c r="C27" s="13" t="inlineStr">
        <is>
          <t>-</t>
        </is>
      </c>
      <c r="D27" s="13" t="inlineStr">
        <is>
          <t>-</t>
        </is>
      </c>
      <c r="E27" s="13" t="inlineStr">
        <is>
          <t>-</t>
        </is>
      </c>
    </row>
    <row r="28" ht="24" customHeight="1">
      <c r="A28" s="8" t="n">
        <v>26</v>
      </c>
      <c r="B28" s="9" t="inlineStr">
        <is>
          <t>[레일용접] 테르밋용접</t>
        </is>
      </c>
      <c r="C28" s="14" t="inlineStr">
        <is>
          <t>-</t>
        </is>
      </c>
      <c r="D28" s="14" t="inlineStr">
        <is>
          <t>-</t>
        </is>
      </c>
      <c r="E28" s="14" t="inlineStr">
        <is>
          <t>-</t>
        </is>
      </c>
    </row>
    <row r="29" ht="24" customHeight="1">
      <c r="A29" s="3" t="n">
        <v>27</v>
      </c>
      <c r="B29" s="4" t="inlineStr">
        <is>
          <t>[레일연마] 레일연마 or 밀링</t>
        </is>
      </c>
      <c r="C29" s="13" t="inlineStr">
        <is>
          <t>-</t>
        </is>
      </c>
      <c r="D29" s="13" t="inlineStr">
        <is>
          <t>-</t>
        </is>
      </c>
      <c r="E29" s="13" t="inlineStr">
        <is>
          <t>-</t>
        </is>
      </c>
    </row>
    <row r="30" ht="24" customHeight="1">
      <c r="A30" s="8" t="n">
        <v>28</v>
      </c>
      <c r="B30" s="9" t="inlineStr">
        <is>
          <t>후속공사 인수인계</t>
        </is>
      </c>
      <c r="C30" s="10">
        <f>HYPERLINK(LEFT(CELL("filename",A1),FIND("[",CELL("filename",A1))-1)&amp;"매뉴얼BODY(집행단계-첨부폴더)v8\5.콘크리트도상\23_후속공사 인수인계\표준서\후속공사 인수인계_표준서.html", "📄 표준서 열기")</f>
        <v/>
      </c>
      <c r="D30" s="11">
        <f>HYPERLINK(LEFT(CELL("filename",A1),FIND("[",CELL("filename",A1))-1)&amp;"매뉴얼BODY(집행단계-첨부폴더)v8\5.콘크리트도상\23_후속공사 인수인계\수행지침\후속공사 인수인계_수행지침.html", "📘 수행지침 열기")</f>
        <v/>
      </c>
      <c r="E30" s="12">
        <f>HYPERLINK(LEFT(CELL("filename",A1),FIND("[",CELL("filename",A1))-1)&amp;"매뉴얼BODY(집행단계-첨부폴더)v8\5.콘크리트도상\23_후속공사 인수인계\체크리스트\후속공사 인수인계_체크리스트.html", "📋 체크리스트 열기")</f>
        <v/>
      </c>
    </row>
    <row r="31" ht="24" customHeight="1">
      <c r="A31" s="3" t="n">
        <v>29</v>
      </c>
      <c r="B31" s="4" t="inlineStr">
        <is>
          <t>Task_24</t>
        </is>
      </c>
      <c r="C31" s="5">
        <f>HYPERLINK(LEFT(CELL("filename",A1),FIND("[",CELL("filename",A1))-1)&amp;"매뉴얼BODY(집행단계-첨부폴더)v8\5.콘크리트도상\24_Task_24\표준서\Task_24_표준서.html", "📄 표준서 열기")</f>
        <v/>
      </c>
      <c r="D31" s="6">
        <f>HYPERLINK(LEFT(CELL("filename",A1),FIND("[",CELL("filename",A1))-1)&amp;"매뉴얼BODY(집행단계-첨부폴더)v8\5.콘크리트도상\24_Task_24\수행지침\Task_24_수행지침.html", "📘 수행지침 열기")</f>
        <v/>
      </c>
      <c r="E31" s="7">
        <f>HYPERLINK(LEFT(CELL("filename",A1),FIND("[",CELL("filename",A1))-1)&amp;"매뉴얼BODY(집행단계-첨부폴더)v8\5.콘크리트도상\24_Task_24\체크리스트\Task_24_체크리스트.html", "📋 체크리스트 열기")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22" customWidth="1" min="4" max="4"/>
    <col width="22" customWidth="1" min="5" max="5"/>
  </cols>
  <sheetData>
    <row r="1" ht="35" customHeight="1">
      <c r="A1" s="1" t="inlineStr">
        <is>
          <t>동탄도시철도(트램) 건축 엔지니어링 매뉴얼 링크 대장</t>
        </is>
      </c>
    </row>
    <row r="2" ht="28" customHeight="1">
      <c r="A2" s="2" t="inlineStr">
        <is>
          <t>순번</t>
        </is>
      </c>
      <c r="B2" s="2" t="inlineStr">
        <is>
          <t>액티비티명 (Activity)</t>
        </is>
      </c>
      <c r="C2" s="2" t="inlineStr">
        <is>
          <t>표준서 (Standard)</t>
        </is>
      </c>
      <c r="D2" s="2" t="inlineStr">
        <is>
          <t>수행지침 (Guideline)</t>
        </is>
      </c>
      <c r="E2" s="2" t="inlineStr">
        <is>
          <t>체크리스트 (Checklist)</t>
        </is>
      </c>
    </row>
    <row r="3" ht="24" customHeight="1">
      <c r="A3" s="3" t="n">
        <v>1</v>
      </c>
      <c r="B3" s="4" t="inlineStr">
        <is>
          <t>설계 적정성 검토</t>
        </is>
      </c>
      <c r="C3" s="5">
        <f>HYPERLINK(LEFT(CELL("filename",A1),FIND("[",CELL("filename",A1))-1)&amp;"매뉴얼BODY(집행단계-첨부폴더)v8\6.건축\1_설계 적정성 검토\표준서\설계 적정성 검토_표준서.html", "📄 표준서 열기")</f>
        <v/>
      </c>
      <c r="D3" s="6">
        <f>HYPERLINK(LEFT(CELL("filename",A1),FIND("[",CELL("filename",A1))-1)&amp;"매뉴얼BODY(집행단계-첨부폴더)v8\6.건축\1_설계 적정성 검토\수행지침\설계 적정성 검토_수행지침.html", "📘 수행지침 열기")</f>
        <v/>
      </c>
      <c r="E3" s="7">
        <f>HYPERLINK(LEFT(CELL("filename",A1),FIND("[",CELL("filename",A1))-1)&amp;"매뉴얼BODY(집행단계-첨부폴더)v8\6.건축\1_설계 적정성 검토\체크리스트\설계 적정성 검토_체크리스트.html", "📋 체크리스트 열기")</f>
        <v/>
      </c>
    </row>
    <row r="4" ht="24" customHeight="1">
      <c r="A4" s="8" t="n">
        <v>2</v>
      </c>
      <c r="B4" s="9" t="inlineStr">
        <is>
          <t>발주전략 KOM</t>
        </is>
      </c>
      <c r="C4" s="10">
        <f>HYPERLINK(LEFT(CELL("filename",A1),FIND("[",CELL("filename",A1))-1)&amp;"매뉴얼BODY(집행단계-첨부폴더)v8\6.건축\2_발주전략 KOM\표준서\발주전략 KOM_표준서.html", "📄 표준서 열기")</f>
        <v/>
      </c>
      <c r="D4" s="11">
        <f>HYPERLINK(LEFT(CELL("filename",A1),FIND("[",CELL("filename",A1))-1)&amp;"매뉴얼BODY(집행단계-첨부폴더)v8\6.건축\2_발주전략 KOM\수행지침\발주전략 KOM_수행지침.html", "📘 수행지침 열기")</f>
        <v/>
      </c>
      <c r="E4" s="12">
        <f>HYPERLINK(LEFT(CELL("filename",A1),FIND("[",CELL("filename",A1))-1)&amp;"매뉴얼BODY(집행단계-첨부폴더)v8\6.건축\2_발주전략 KOM\체크리스트\발주전략 KOM_체크리스트.html", "📋 체크리스트 열기")</f>
        <v/>
      </c>
    </row>
    <row r="5" ht="24" customHeight="1">
      <c r="A5" s="3" t="n">
        <v>3</v>
      </c>
      <c r="B5" s="4" t="inlineStr">
        <is>
          <t>착공전 건축 인허가</t>
        </is>
      </c>
      <c r="C5" s="5">
        <f>HYPERLINK(LEFT(CELL("filename",A1),FIND("[",CELL("filename",A1))-1)&amp;"매뉴얼BODY(집행단계-첨부폴더)v8\6.건축\3_착공전 건축 인허가\표준서\착공전 건축 인허가_표준서.html", "📄 표준서 열기")</f>
        <v/>
      </c>
      <c r="D5" s="6">
        <f>HYPERLINK(LEFT(CELL("filename",A1),FIND("[",CELL("filename",A1))-1)&amp;"매뉴얼BODY(집행단계-첨부폴더)v8\6.건축\3_착공전 건축 인허가\수행지침\착공전 건축 인허가_수행지침.html", "📘 수행지침 열기")</f>
        <v/>
      </c>
      <c r="E5" s="7">
        <f>HYPERLINK(LEFT(CELL("filename",A1),FIND("[",CELL("filename",A1))-1)&amp;"매뉴얼BODY(집행단계-첨부폴더)v8\6.건축\3_착공전 건축 인허가\체크리스트\착공전 건축 인허가_체크리스트.html", "📋 체크리스트 열기")</f>
        <v/>
      </c>
    </row>
    <row r="6" ht="24" customHeight="1">
      <c r="A6" s="8" t="n">
        <v>4</v>
      </c>
      <c r="B6" s="9" t="inlineStr">
        <is>
          <t>건축허가 요청</t>
        </is>
      </c>
      <c r="C6" s="10">
        <f>HYPERLINK(LEFT(CELL("filename",A1),FIND("[",CELL("filename",A1))-1)&amp;"매뉴얼BODY(집행단계-첨부폴더)v8\6.건축\4_건축허가 요청\표준서\건축허가 요청_표준서.html", "📄 표준서 열기")</f>
        <v/>
      </c>
      <c r="D6" s="11">
        <f>HYPERLINK(LEFT(CELL("filename",A1),FIND("[",CELL("filename",A1))-1)&amp;"매뉴얼BODY(집행단계-첨부폴더)v8\6.건축\4_건축허가 요청\수행지침\건축허가 요청_수행지침.html", "📘 수행지침 열기")</f>
        <v/>
      </c>
      <c r="E6" s="12">
        <f>HYPERLINK(LEFT(CELL("filename",A1),FIND("[",CELL("filename",A1))-1)&amp;"매뉴얼BODY(집행단계-첨부폴더)v8\6.건축\4_건축허가 요청\체크리스트\건축허가 요청_체크리스트.html", "📋 체크리스트 열기")</f>
        <v/>
      </c>
    </row>
    <row r="7" ht="24" customHeight="1">
      <c r="A7" s="3" t="n">
        <v>5</v>
      </c>
      <c r="B7" s="4" t="inlineStr">
        <is>
          <t>착공신고서 제출</t>
        </is>
      </c>
      <c r="C7" s="5">
        <f>HYPERLINK(LEFT(CELL("filename",A1),FIND("[",CELL("filename",A1))-1)&amp;"매뉴얼BODY(집행단계-첨부폴더)v8\6.건축\5_착공신고서 제출\표준서\착공신고서 제출_표준서.html", "📄 표준서 열기")</f>
        <v/>
      </c>
      <c r="D7" s="6">
        <f>HYPERLINK(LEFT(CELL("filename",A1),FIND("[",CELL("filename",A1))-1)&amp;"매뉴얼BODY(집행단계-첨부폴더)v8\6.건축\5_착공신고서 제출\수행지침\착공신고서 제출_수행지침.html", "📘 수행지침 열기")</f>
        <v/>
      </c>
      <c r="E7" s="7">
        <f>HYPERLINK(LEFT(CELL("filename",A1),FIND("[",CELL("filename",A1))-1)&amp;"매뉴얼BODY(집행단계-첨부폴더)v8\6.건축\5_착공신고서 제출\체크리스트\착공신고서 제출_체크리스트.html", "📋 체크리스트 열기")</f>
        <v/>
      </c>
    </row>
    <row r="8" ht="24" customHeight="1">
      <c r="A8" s="8" t="n">
        <v>6</v>
      </c>
      <c r="B8" s="9" t="inlineStr">
        <is>
          <t>소방시설공사 착공 신고서 제출</t>
        </is>
      </c>
      <c r="C8" s="10">
        <f>HYPERLINK(LEFT(CELL("filename",A1),FIND("[",CELL("filename",A1))-1)&amp;"매뉴얼BODY(집행단계-첨부폴더)v8\6.건축\6_소방시설공사 착공 신고서 제출\표준서\소방시설공사 착공 신고서 제출_표준서.html", "📄 표준서 열기")</f>
        <v/>
      </c>
      <c r="D8" s="11">
        <f>HYPERLINK(LEFT(CELL("filename",A1),FIND("[",CELL("filename",A1))-1)&amp;"매뉴얼BODY(집행단계-첨부폴더)v8\6.건축\6_소방시설공사 착공 신고서 제출\수행지침\소방시설공사 착공 신고서 제출_수행지침.html", "📘 수행지침 열기")</f>
        <v/>
      </c>
      <c r="E8" s="12">
        <f>HYPERLINK(LEFT(CELL("filename",A1),FIND("[",CELL("filename",A1))-1)&amp;"매뉴얼BODY(집행단계-첨부폴더)v8\6.건축\6_소방시설공사 착공 신고서 제출\체크리스트\소방시설공사 착공 신고서 제출_체크리스트.html", "📋 체크리스트 열기")</f>
        <v/>
      </c>
    </row>
    <row r="9" ht="24" customHeight="1">
      <c r="A9" s="3" t="n">
        <v>7</v>
      </c>
      <c r="B9" s="4" t="inlineStr">
        <is>
          <t>정보통신공사 착공전 설계도 확인 (신청서 제출 및 결과 접수)</t>
        </is>
      </c>
      <c r="C9" s="5">
        <f>HYPERLINK(LEFT(CELL("filename",A1),FIND("[",CELL("filename",A1))-1)&amp;"매뉴얼BODY(집행단계-첨부폴더)v8\6.건축\7_정보통신공사 착공전 설계도 확인 (신청서 제출 및 결과 접수)\표준서\정보통신공사 착공전 설계도 확인 (신청서 제출 및 결과 접수)_표준서.html", "📄 표준서 열기")</f>
        <v/>
      </c>
      <c r="D9" s="6">
        <f>HYPERLINK(LEFT(CELL("filename",A1),FIND("[",CELL("filename",A1))-1)&amp;"매뉴얼BODY(집행단계-첨부폴더)v8\6.건축\7_정보통신공사 착공전 설계도 확인 (신청서 제출 및 결과 접수)\수행지침\정보통신공사 착공전 설계도 확인 (신청서 제출 및 결과 접수)_수행지침.html", "📘 수행지침 열기")</f>
        <v/>
      </c>
      <c r="E9" s="7">
        <f>HYPERLINK(LEFT(CELL("filename",A1),FIND("[",CELL("filename",A1))-1)&amp;"매뉴얼BODY(집행단계-첨부폴더)v8\6.건축\7_정보통신공사 착공전 설계도 확인 (신청서 제출 및 결과 접수)\체크리스트\정보통신공사 착공전 설계도 확인 (신청서 제출 및 결과 접수)_체크리스트.html", "📋 체크리스트 열기")</f>
        <v/>
      </c>
    </row>
    <row r="10" ht="24" customHeight="1">
      <c r="A10" s="8" t="n">
        <v>8</v>
      </c>
      <c r="B10" s="9" t="inlineStr">
        <is>
          <t>선행공종 인수사항 확인</t>
        </is>
      </c>
      <c r="C10" s="10">
        <f>HYPERLINK(LEFT(CELL("filename",A1),FIND("[",CELL("filename",A1))-1)&amp;"매뉴얼BODY(집행단계-첨부폴더)v8\6.건축\8_선행공종 인수사항 확인\표준서\선행공종 인수사항 확인_표준서.html", "📄 표준서 열기")</f>
        <v/>
      </c>
      <c r="D10" s="11">
        <f>HYPERLINK(LEFT(CELL("filename",A1),FIND("[",CELL("filename",A1))-1)&amp;"매뉴얼BODY(집행단계-첨부폴더)v8\6.건축\8_선행공종 인수사항 확인\수행지침\선행공종 인수사항 확인_수행지침.html", "📘 수행지침 열기")</f>
        <v/>
      </c>
      <c r="E10" s="12">
        <f>HYPERLINK(LEFT(CELL("filename",A1),FIND("[",CELL("filename",A1))-1)&amp;"매뉴얼BODY(집행단계-첨부폴더)v8\6.건축\8_선행공종 인수사항 확인\체크리스트\선행공종 인수사항 확인_체크리스트.html", "📋 체크리스트 열기")</f>
        <v/>
      </c>
    </row>
    <row r="11" ht="24" customHeight="1">
      <c r="A11" s="3" t="n">
        <v>9</v>
      </c>
      <c r="B11" s="4" t="inlineStr">
        <is>
          <t>인터페이스 사항 검토 및 지원</t>
        </is>
      </c>
      <c r="C11" s="5">
        <f>HYPERLINK(LEFT(CELL("filename",A1),FIND("[",CELL("filename",A1))-1)&amp;"매뉴얼BODY(집행단계-첨부폴더)v8\6.건축\9_인터페이스 사항 검토 및 지원\표준서\인터페이스 사항 검토 및 지원_표준서.html", "📄 표준서 열기")</f>
        <v/>
      </c>
      <c r="D11" s="6">
        <f>HYPERLINK(LEFT(CELL("filename",A1),FIND("[",CELL("filename",A1))-1)&amp;"매뉴얼BODY(집행단계-첨부폴더)v8\6.건축\9_인터페이스 사항 검토 및 지원\수행지침\인터페이스 사항 검토 및 지원_수행지침.html", "📘 수행지침 열기")</f>
        <v/>
      </c>
      <c r="E11" s="7">
        <f>HYPERLINK(LEFT(CELL("filename",A1),FIND("[",CELL("filename",A1))-1)&amp;"매뉴얼BODY(집행단계-첨부폴더)v8\6.건축\9_인터페이스 사항 검토 및 지원\체크리스트\인터페이스 사항 검토 및 지원_체크리스트.html", "📋 체크리스트 열기")</f>
        <v/>
      </c>
    </row>
    <row r="12" ht="24" customHeight="1">
      <c r="A12" s="8" t="n">
        <v>10</v>
      </c>
      <c r="B12" s="9" t="inlineStr">
        <is>
          <t>품질_안전 LL 공유</t>
        </is>
      </c>
      <c r="C12" s="10">
        <f>HYPERLINK(LEFT(CELL("filename",A1),FIND("[",CELL("filename",A1))-1)&amp;"매뉴얼BODY(집행단계-첨부폴더)v8\6.건축\10_품질_안전 LL 공유\표준서\품질_안전 LL 공유_표준서.html", "📄 표준서 열기")</f>
        <v/>
      </c>
      <c r="D12" s="11">
        <f>HYPERLINK(LEFT(CELL("filename",A1),FIND("[",CELL("filename",A1))-1)&amp;"매뉴얼BODY(집행단계-첨부폴더)v8\6.건축\10_품질_안전 LL 공유\수행지침\품질_안전 LL 공유_수행지침.html", "📘 수행지침 열기")</f>
        <v/>
      </c>
      <c r="E12" s="12">
        <f>HYPERLINK(LEFT(CELL("filename",A1),FIND("[",CELL("filename",A1))-1)&amp;"매뉴얼BODY(집행단계-첨부폴더)v8\6.건축\10_품질_안전 LL 공유\체크리스트\품질_안전 LL 공유_체크리스트.html", "📋 체크리스트 열기")</f>
        <v/>
      </c>
    </row>
    <row r="13" ht="24" customHeight="1">
      <c r="A13" s="3" t="n">
        <v>11</v>
      </c>
      <c r="B13" s="4" t="inlineStr">
        <is>
          <t>자재공급원승인 및 자재발주</t>
        </is>
      </c>
      <c r="C13" s="5">
        <f>HYPERLINK(LEFT(CELL("filename",A1),FIND("[",CELL("filename",A1))-1)&amp;"매뉴얼BODY(집행단계-첨부폴더)v8\6.건축\11_자재공급원승인 및 자재발주\표준서\자재공급원승인 및 자재발주_표준서.html", "📄 표준서 열기")</f>
        <v/>
      </c>
      <c r="D13" s="6">
        <f>HYPERLINK(LEFT(CELL("filename",A1),FIND("[",CELL("filename",A1))-1)&amp;"매뉴얼BODY(집행단계-첨부폴더)v8\6.건축\11_자재공급원승인 및 자재발주\수행지침\자재공급원승인 및 자재발주_수행지침.html", "📘 수행지침 열기")</f>
        <v/>
      </c>
      <c r="E13" s="7">
        <f>HYPERLINK(LEFT(CELL("filename",A1),FIND("[",CELL("filename",A1))-1)&amp;"매뉴얼BODY(집행단계-첨부폴더)v8\6.건축\11_자재공급원승인 및 자재발주\체크리스트\자재공급원승인 및 자재발주_체크리스트.html", "📋 체크리스트 열기")</f>
        <v/>
      </c>
    </row>
    <row r="14" ht="24" customHeight="1">
      <c r="A14" s="8" t="n">
        <v>12</v>
      </c>
      <c r="B14" s="9" t="inlineStr">
        <is>
          <t>착수전 Big Room 회의</t>
        </is>
      </c>
      <c r="C14" s="10">
        <f>HYPERLINK(LEFT(CELL("filename",A1),FIND("[",CELL("filename",A1))-1)&amp;"매뉴얼BODY(집행단계-첨부폴더)v8\6.건축\12_착수전 Big Room 회의\표준서\착수전 Big Room 회의_표준서.html", "📄 표준서 열기")</f>
        <v/>
      </c>
      <c r="D14" s="11">
        <f>HYPERLINK(LEFT(CELL("filename",A1),FIND("[",CELL("filename",A1))-1)&amp;"매뉴얼BODY(집행단계-첨부폴더)v8\6.건축\12_착수전 Big Room 회의\수행지침\착수전 Big Room 회의_수행지침.html", "📘 수행지침 열기")</f>
        <v/>
      </c>
      <c r="E14" s="12">
        <f>HYPERLINK(LEFT(CELL("filename",A1),FIND("[",CELL("filename",A1))-1)&amp;"매뉴얼BODY(집행단계-첨부폴더)v8\6.건축\12_착수전 Big Room 회의\체크리스트\착수전 Big Room 회의_체크리스트.html", "📋 체크리스트 열기")</f>
        <v/>
      </c>
    </row>
    <row r="15" ht="24" customHeight="1">
      <c r="A15" s="3" t="n">
        <v>13</v>
      </c>
      <c r="B15" s="4" t="inlineStr">
        <is>
          <t>시공계획 수립_승인</t>
        </is>
      </c>
      <c r="C15" s="5">
        <f>HYPERLINK(LEFT(CELL("filename",A1),FIND("[",CELL("filename",A1))-1)&amp;"매뉴얼BODY(집행단계-첨부폴더)v8\6.건축\13_시공계획 수립_승인\표준서\시공계획 수립_승인_표준서.html", "📄 표준서 열기")</f>
        <v/>
      </c>
      <c r="D15" s="6">
        <f>HYPERLINK(LEFT(CELL("filename",A1),FIND("[",CELL("filename",A1))-1)&amp;"매뉴얼BODY(집행단계-첨부폴더)v8\6.건축\13_시공계획 수립_승인\수행지침\시공계획 수립_승인_수행지침.html", "📘 수행지침 열기")</f>
        <v/>
      </c>
      <c r="E15" s="7">
        <f>HYPERLINK(LEFT(CELL("filename",A1),FIND("[",CELL("filename",A1))-1)&amp;"매뉴얼BODY(집행단계-첨부폴더)v8\6.건축\13_시공계획 수립_승인\체크리스트\시공계획 수립_승인_체크리스트.html", "📋 체크리스트 열기")</f>
        <v/>
      </c>
    </row>
    <row r="16" ht="24" customHeight="1">
      <c r="A16" s="8" t="n">
        <v>14</v>
      </c>
      <c r="B16" s="9" t="inlineStr">
        <is>
          <t>측량, 자재_장비 반입, 안전교육</t>
        </is>
      </c>
      <c r="C16" s="10">
        <f>HYPERLINK(LEFT(CELL("filename",A1),FIND("[",CELL("filename",A1))-1)&amp;"매뉴얼BODY(집행단계-첨부폴더)v8\6.건축\14_측량, 자재_장비 반입, 안전교육\표준서\측량, 자재_장비 반입, 안전교육_표준서.html", "📄 표준서 열기")</f>
        <v/>
      </c>
      <c r="D16" s="11">
        <f>HYPERLINK(LEFT(CELL("filename",A1),FIND("[",CELL("filename",A1))-1)&amp;"매뉴얼BODY(집행단계-첨부폴더)v8\6.건축\14_측량, 자재_장비 반입, 안전교육\수행지침\측량, 자재_장비 반입, 안전교육_수행지침.html", "📘 수행지침 열기")</f>
        <v/>
      </c>
      <c r="E16" s="12">
        <f>HYPERLINK(LEFT(CELL("filename",A1),FIND("[",CELL("filename",A1))-1)&amp;"매뉴얼BODY(집행단계-첨부폴더)v8\6.건축\14_측량, 자재_장비 반입, 안전교육\체크리스트\측량, 자재_장비 반입, 안전교육_체크리스트.html", "📋 체크리스트 열기")</f>
        <v/>
      </c>
    </row>
    <row r="17" ht="24" customHeight="1">
      <c r="A17" s="3" t="n">
        <v>15</v>
      </c>
      <c r="B17" s="4" t="inlineStr">
        <is>
          <t>자재 검수</t>
        </is>
      </c>
      <c r="C17" s="5">
        <f>HYPERLINK(LEFT(CELL("filename",A1),FIND("[",CELL("filename",A1))-1)&amp;"매뉴얼BODY(집행단계-첨부폴더)v8\6.건축\15_자재 검수\표준서\자재 검수_표준서.html", "📄 표준서 열기")</f>
        <v/>
      </c>
      <c r="D17" s="6">
        <f>HYPERLINK(LEFT(CELL("filename",A1),FIND("[",CELL("filename",A1))-1)&amp;"매뉴얼BODY(집행단계-첨부폴더)v8\6.건축\15_자재 검수\수행지침\자재 검수_수행지침.html", "📘 수행지침 열기")</f>
        <v/>
      </c>
      <c r="E17" s="7">
        <f>HYPERLINK(LEFT(CELL("filename",A1),FIND("[",CELL("filename",A1))-1)&amp;"매뉴얼BODY(집행단계-첨부폴더)v8\6.건축\15_자재 검수\체크리스트\자재 검수_체크리스트.html", "📋 체크리스트 열기")</f>
        <v/>
      </c>
    </row>
    <row r="18" ht="24" customHeight="1">
      <c r="A18" s="8" t="n">
        <v>16</v>
      </c>
      <c r="B18" s="9" t="inlineStr">
        <is>
          <t>터파기_지반 정리</t>
        </is>
      </c>
      <c r="C18" s="10">
        <f>HYPERLINK(LEFT(CELL("filename",A1),FIND("[",CELL("filename",A1))-1)&amp;"매뉴얼BODY(집행단계-첨부폴더)v8\6.건축\16_터파기_지반 정리\표준서\터파기_지반 정리_표준서.html", "📄 표준서 열기")</f>
        <v/>
      </c>
      <c r="D18" s="11">
        <f>HYPERLINK(LEFT(CELL("filename",A1),FIND("[",CELL("filename",A1))-1)&amp;"매뉴얼BODY(집행단계-첨부폴더)v8\6.건축\16_터파기_지반 정리\수행지침\터파기_지반 정리_수행지침.html", "📘 수행지침 열기")</f>
        <v/>
      </c>
      <c r="E18" s="12">
        <f>HYPERLINK(LEFT(CELL("filename",A1),FIND("[",CELL("filename",A1))-1)&amp;"매뉴얼BODY(집행단계-첨부폴더)v8\6.건축\16_터파기_지반 정리\체크리스트\터파기_지반 정리_체크리스트.html", "📋 체크리스트 열기")</f>
        <v/>
      </c>
    </row>
    <row r="19" ht="24" customHeight="1">
      <c r="A19" s="3" t="n">
        <v>17</v>
      </c>
      <c r="B19" s="4" t="inlineStr">
        <is>
          <t>바닥(버림) 콘크리트 타설</t>
        </is>
      </c>
      <c r="C19" s="5">
        <f>HYPERLINK(LEFT(CELL("filename",A1),FIND("[",CELL("filename",A1))-1)&amp;"매뉴얼BODY(집행단계-첨부폴더)v8\6.건축\17_바닥(버림) 콘크리트 타설\표준서\바닥(버림) 콘크리트 타설_표준서.html", "📄 표준서 열기")</f>
        <v/>
      </c>
      <c r="D19" s="6">
        <f>HYPERLINK(LEFT(CELL("filename",A1),FIND("[",CELL("filename",A1))-1)&amp;"매뉴얼BODY(집행단계-첨부폴더)v8\6.건축\17_바닥(버림) 콘크리트 타설\수행지침\바닥(버림) 콘크리트 타설_수행지침.html", "📘 수행지침 열기")</f>
        <v/>
      </c>
      <c r="E19" s="7">
        <f>HYPERLINK(LEFT(CELL("filename",A1),FIND("[",CELL("filename",A1))-1)&amp;"매뉴얼BODY(집행단계-첨부폴더)v8\6.건축\17_바닥(버림) 콘크리트 타설\체크리스트\바닥(버림) 콘크리트 타설_체크리스트.html", "📋 체크리스트 열기")</f>
        <v/>
      </c>
    </row>
    <row r="20" ht="24" customHeight="1">
      <c r="A20" s="8" t="n">
        <v>18</v>
      </c>
      <c r="B20" s="9" t="inlineStr">
        <is>
          <t>인터페이스 회의(매주)</t>
        </is>
      </c>
      <c r="C20" s="10">
        <f>HYPERLINK(LEFT(CELL("filename",A1),FIND("[",CELL("filename",A1))-1)&amp;"매뉴얼BODY(집행단계-첨부폴더)v8\6.건축\18_인터페이스 회의(매주)\표준서\인터페이스 회의(매주)_표준서.html", "📄 표준서 열기")</f>
        <v/>
      </c>
      <c r="D20" s="11">
        <f>HYPERLINK(LEFT(CELL("filename",A1),FIND("[",CELL("filename",A1))-1)&amp;"매뉴얼BODY(집행단계-첨부폴더)v8\6.건축\18_인터페이스 회의(매주)\수행지침\인터페이스 회의(매주)_수행지침.html", "📘 수행지침 열기")</f>
        <v/>
      </c>
      <c r="E20" s="12">
        <f>HYPERLINK(LEFT(CELL("filename",A1),FIND("[",CELL("filename",A1))-1)&amp;"매뉴얼BODY(집행단계-첨부폴더)v8\6.건축\18_인터페이스 회의(매주)\체크리스트\인터페이스 회의(매주)_체크리스트.html", "📋 체크리스트 열기")</f>
        <v/>
      </c>
    </row>
    <row r="21" ht="24" customHeight="1">
      <c r="A21" s="3" t="n">
        <v>19</v>
      </c>
      <c r="B21" s="4" t="inlineStr">
        <is>
          <t>인터페이스 각 공종별 Issue (기계, 전기, 통신분야)</t>
        </is>
      </c>
      <c r="C21" s="5">
        <f>HYPERLINK(LEFT(CELL("filename",A1),FIND("[",CELL("filename",A1))-1)&amp;"매뉴얼BODY(집행단계-첨부폴더)v8\6.건축\19_인터페이스 각 공종별 Issue (기계, 전기, 통신분야)\표준서\인터페이스 각 공종별 Issue (기계, 전기, 통신분야)_표준서.html", "📄 표준서 열기")</f>
        <v/>
      </c>
      <c r="D21" s="6">
        <f>HYPERLINK(LEFT(CELL("filename",A1),FIND("[",CELL("filename",A1))-1)&amp;"매뉴얼BODY(집행단계-첨부폴더)v8\6.건축\19_인터페이스 각 공종별 Issue (기계, 전기, 통신분야)\수행지침\인터페이스 각 공종별 Issue (기계, 전기, 통신분야)_수행지침.html", "📘 수행지침 열기")</f>
        <v/>
      </c>
      <c r="E21" s="7">
        <f>HYPERLINK(LEFT(CELL("filename",A1),FIND("[",CELL("filename",A1))-1)&amp;"매뉴얼BODY(집행단계-첨부폴더)v8\6.건축\19_인터페이스 각 공종별 Issue (기계, 전기, 통신분야)\체크리스트\인터페이스 각 공종별 Issue (기계, 전기, 통신분야)_체크리스트.html", "📋 체크리스트 열기")</f>
        <v/>
      </c>
    </row>
    <row r="22" ht="24" customHeight="1">
      <c r="A22" s="8" t="n">
        <v>20</v>
      </c>
      <c r="B22" s="9" t="inlineStr">
        <is>
          <t>인터페이스 각 공종별 Issue (토목분야)</t>
        </is>
      </c>
      <c r="C22" s="10">
        <f>HYPERLINK(LEFT(CELL("filename",A1),FIND("[",CELL("filename",A1))-1)&amp;"매뉴얼BODY(집행단계-첨부폴더)v8\6.건축\20_인터페이스 각 공종별 Issue (토목분야)\표준서\인터페이스 각 공종별 Issue (토목분야)_표준서.html", "📄 표준서 열기")</f>
        <v/>
      </c>
      <c r="D22" s="11">
        <f>HYPERLINK(LEFT(CELL("filename",A1),FIND("[",CELL("filename",A1))-1)&amp;"매뉴얼BODY(집행단계-첨부폴더)v8\6.건축\20_인터페이스 각 공종별 Issue (토목분야)\수행지침\인터페이스 각 공종별 Issue (토목분야)_수행지침.html", "📘 수행지침 열기")</f>
        <v/>
      </c>
      <c r="E22" s="12">
        <f>HYPERLINK(LEFT(CELL("filename",A1),FIND("[",CELL("filename",A1))-1)&amp;"매뉴얼BODY(집행단계-첨부폴더)v8\6.건축\20_인터페이스 각 공종별 Issue (토목분야)\체크리스트\인터페이스 각 공종별 Issue (토목분야)_체크리스트.html", "📋 체크리스트 열기")</f>
        <v/>
      </c>
    </row>
    <row r="23" ht="24" customHeight="1">
      <c r="A23" s="3" t="n">
        <v>21</v>
      </c>
      <c r="B23" s="4" t="inlineStr">
        <is>
          <t>기초~상부슬라브 구조물 시공</t>
        </is>
      </c>
      <c r="C23" s="5">
        <f>HYPERLINK(LEFT(CELL("filename",A1),FIND("[",CELL("filename",A1))-1)&amp;"매뉴얼BODY(집행단계-첨부폴더)v8\6.건축\21_기초~상부슬라브 구조물 시공\표준서\기초~상부슬라브 구조물 시공_표준서.html", "📄 표준서 열기")</f>
        <v/>
      </c>
      <c r="D23" s="6">
        <f>HYPERLINK(LEFT(CELL("filename",A1),FIND("[",CELL("filename",A1))-1)&amp;"매뉴얼BODY(집행단계-첨부폴더)v8\6.건축\21_기초~상부슬라브 구조물 시공\수행지침\기초~상부슬라브 구조물 시공_수행지침.html", "📘 수행지침 열기")</f>
        <v/>
      </c>
      <c r="E23" s="7">
        <f>HYPERLINK(LEFT(CELL("filename",A1),FIND("[",CELL("filename",A1))-1)&amp;"매뉴얼BODY(집행단계-첨부폴더)v8\6.건축\21_기초~상부슬라브 구조물 시공\체크리스트\기초~상부슬라브 구조물 시공_체크리스트.html", "📋 체크리스트 열기")</f>
        <v/>
      </c>
    </row>
    <row r="24" ht="24" customHeight="1">
      <c r="A24" s="8" t="n">
        <v>22</v>
      </c>
      <c r="B24" s="9" t="inlineStr">
        <is>
          <t>철근 가공</t>
        </is>
      </c>
      <c r="C24" s="10">
        <f>HYPERLINK(LEFT(CELL("filename",A1),FIND("[",CELL("filename",A1))-1)&amp;"매뉴얼BODY(집행단계-첨부폴더)v8\6.건축\22_철근 가공\표준서\철근 가공_표준서.html", "📄 표준서 열기")</f>
        <v/>
      </c>
      <c r="D24" s="11">
        <f>HYPERLINK(LEFT(CELL("filename",A1),FIND("[",CELL("filename",A1))-1)&amp;"매뉴얼BODY(집행단계-첨부폴더)v8\6.건축\22_철근 가공\수행지침\철근 가공_수행지침.html", "📘 수행지침 열기")</f>
        <v/>
      </c>
      <c r="E24" s="12">
        <f>HYPERLINK(LEFT(CELL("filename",A1),FIND("[",CELL("filename",A1))-1)&amp;"매뉴얼BODY(집행단계-첨부폴더)v8\6.건축\22_철근 가공\체크리스트\철근 가공_체크리스트.html", "📋 체크리스트 열기")</f>
        <v/>
      </c>
    </row>
    <row r="25" ht="24" customHeight="1">
      <c r="A25" s="3" t="n">
        <v>23</v>
      </c>
      <c r="B25" s="4" t="inlineStr">
        <is>
          <t>작업발판, 비계 및 동바리 설치</t>
        </is>
      </c>
      <c r="C25" s="5">
        <f>HYPERLINK(LEFT(CELL("filename",A1),FIND("[",CELL("filename",A1))-1)&amp;"매뉴얼BODY(집행단계-첨부폴더)v8\6.건축\23_작업발판, 비계 및 동바리 설치\표준서\작업발판, 비계 및 동바리 설치_표준서.html", "📄 표준서 열기")</f>
        <v/>
      </c>
      <c r="D25" s="6">
        <f>HYPERLINK(LEFT(CELL("filename",A1),FIND("[",CELL("filename",A1))-1)&amp;"매뉴얼BODY(집행단계-첨부폴더)v8\6.건축\23_작업발판, 비계 및 동바리 설치\수행지침\작업발판, 비계 및 동바리 설치_수행지침.html", "📘 수행지침 열기")</f>
        <v/>
      </c>
      <c r="E25" s="7">
        <f>HYPERLINK(LEFT(CELL("filename",A1),FIND("[",CELL("filename",A1))-1)&amp;"매뉴얼BODY(집행단계-첨부폴더)v8\6.건축\23_작업발판, 비계 및 동바리 설치\체크리스트\작업발판, 비계 및 동바리 설치_체크리스트.html", "📋 체크리스트 열기")</f>
        <v/>
      </c>
    </row>
    <row r="26" ht="24" customHeight="1">
      <c r="A26" s="8" t="n">
        <v>24</v>
      </c>
      <c r="B26" s="9" t="inlineStr">
        <is>
          <t>철근 조립</t>
        </is>
      </c>
      <c r="C26" s="10">
        <f>HYPERLINK(LEFT(CELL("filename",A1),FIND("[",CELL("filename",A1))-1)&amp;"매뉴얼BODY(집행단계-첨부폴더)v8\6.건축\24_철근 조립\표준서\철근 조립_표준서.html", "📄 표준서 열기")</f>
        <v/>
      </c>
      <c r="D26" s="11">
        <f>HYPERLINK(LEFT(CELL("filename",A1),FIND("[",CELL("filename",A1))-1)&amp;"매뉴얼BODY(집행단계-첨부폴더)v8\6.건축\24_철근 조립\수행지침\철근 조립_수행지침.html", "📘 수행지침 열기")</f>
        <v/>
      </c>
      <c r="E26" s="12">
        <f>HYPERLINK(LEFT(CELL("filename",A1),FIND("[",CELL("filename",A1))-1)&amp;"매뉴얼BODY(집행단계-첨부폴더)v8\6.건축\24_철근 조립\체크리스트\철근 조립_체크리스트.html", "📋 체크리스트 열기")</f>
        <v/>
      </c>
    </row>
    <row r="27" ht="24" customHeight="1">
      <c r="A27" s="3" t="n">
        <v>25</v>
      </c>
      <c r="B27" s="4" t="inlineStr">
        <is>
          <t>거푸집 조립</t>
        </is>
      </c>
      <c r="C27" s="5">
        <f>HYPERLINK(LEFT(CELL("filename",A1),FIND("[",CELL("filename",A1))-1)&amp;"매뉴얼BODY(집행단계-첨부폴더)v8\6.건축\25_거푸집 조립\표준서\거푸집 조립_표준서.html", "📄 표준서 열기")</f>
        <v/>
      </c>
      <c r="D27" s="6">
        <f>HYPERLINK(LEFT(CELL("filename",A1),FIND("[",CELL("filename",A1))-1)&amp;"매뉴얼BODY(집행단계-첨부폴더)v8\6.건축\25_거푸집 조립\수행지침\거푸집 조립_수행지침.html", "📘 수행지침 열기")</f>
        <v/>
      </c>
      <c r="E27" s="7">
        <f>HYPERLINK(LEFT(CELL("filename",A1),FIND("[",CELL("filename",A1))-1)&amp;"매뉴얼BODY(집행단계-첨부폴더)v8\6.건축\25_거푸집 조립\체크리스트\거푸집 조립_체크리스트.html", "📋 체크리스트 열기")</f>
        <v/>
      </c>
    </row>
    <row r="28" ht="24" customHeight="1">
      <c r="A28" s="8" t="n">
        <v>26</v>
      </c>
      <c r="B28" s="9" t="inlineStr">
        <is>
          <t>콘크리트 타설 및 다짐</t>
        </is>
      </c>
      <c r="C28" s="10">
        <f>HYPERLINK(LEFT(CELL("filename",A1),FIND("[",CELL("filename",A1))-1)&amp;"매뉴얼BODY(집행단계-첨부폴더)v8\6.건축\26_콘크리트 타설 및 다짐\표준서\콘크리트 타설 및 다짐_표준서.html", "📄 표준서 열기")</f>
        <v/>
      </c>
      <c r="D28" s="11">
        <f>HYPERLINK(LEFT(CELL("filename",A1),FIND("[",CELL("filename",A1))-1)&amp;"매뉴얼BODY(집행단계-첨부폴더)v8\6.건축\26_콘크리트 타설 및 다짐\수행지침\콘크리트 타설 및 다짐_수행지침.html", "📘 수행지침 열기")</f>
        <v/>
      </c>
      <c r="E28" s="12">
        <f>HYPERLINK(LEFT(CELL("filename",A1),FIND("[",CELL("filename",A1))-1)&amp;"매뉴얼BODY(집행단계-첨부폴더)v8\6.건축\26_콘크리트 타설 및 다짐\체크리스트\콘크리트 타설 및 다짐_체크리스트.html", "📋 체크리스트 열기")</f>
        <v/>
      </c>
    </row>
    <row r="29" ht="24" customHeight="1">
      <c r="A29" s="3" t="n">
        <v>27</v>
      </c>
      <c r="B29" s="4" t="inlineStr">
        <is>
          <t>거푸집 해체</t>
        </is>
      </c>
      <c r="C29" s="5">
        <f>HYPERLINK(LEFT(CELL("filename",A1),FIND("[",CELL("filename",A1))-1)&amp;"매뉴얼BODY(집행단계-첨부폴더)v8\6.건축\27_거푸집 해체\표준서\거푸집 해체_표준서.html", "📄 표준서 열기")</f>
        <v/>
      </c>
      <c r="D29" s="6">
        <f>HYPERLINK(LEFT(CELL("filename",A1),FIND("[",CELL("filename",A1))-1)&amp;"매뉴얼BODY(집행단계-첨부폴더)v8\6.건축\27_거푸집 해체\수행지침\거푸집 해체_수행지침.html", "📘 수행지침 열기")</f>
        <v/>
      </c>
      <c r="E29" s="7">
        <f>HYPERLINK(LEFT(CELL("filename",A1),FIND("[",CELL("filename",A1))-1)&amp;"매뉴얼BODY(집행단계-첨부폴더)v8\6.건축\27_거푸집 해체\체크리스트\거푸집 해체_체크리스트.html", "📋 체크리스트 열기")</f>
        <v/>
      </c>
    </row>
    <row r="30" ht="24" customHeight="1">
      <c r="A30" s="8" t="n">
        <v>28</v>
      </c>
      <c r="B30" s="9" t="inlineStr">
        <is>
          <t>건축 내부 및 마감공사</t>
        </is>
      </c>
      <c r="C30" s="10">
        <f>HYPERLINK(LEFT(CELL("filename",A1),FIND("[",CELL("filename",A1))-1)&amp;"매뉴얼BODY(집행단계-첨부폴더)v8\6.건축\28_건축 내부 및 마감공사\표준서\건축 내부 및 마감공사_표준서.html", "📄 표준서 열기")</f>
        <v/>
      </c>
      <c r="D30" s="11">
        <f>HYPERLINK(LEFT(CELL("filename",A1),FIND("[",CELL("filename",A1))-1)&amp;"매뉴얼BODY(집행단계-첨부폴더)v8\6.건축\28_건축 내부 및 마감공사\수행지침\건축 내부 및 마감공사_수행지침.html", "📘 수행지침 열기")</f>
        <v/>
      </c>
      <c r="E30" s="12">
        <f>HYPERLINK(LEFT(CELL("filename",A1),FIND("[",CELL("filename",A1))-1)&amp;"매뉴얼BODY(집행단계-첨부폴더)v8\6.건축\28_건축 내부 및 마감공사\체크리스트\건축 내부 및 마감공사_체크리스트.html", "📋 체크리스트 열기")</f>
        <v/>
      </c>
    </row>
    <row r="31" ht="24" customHeight="1">
      <c r="A31" s="3" t="n">
        <v>29</v>
      </c>
      <c r="B31" s="4" t="inlineStr">
        <is>
          <t>창호,유리 및 금속지붕공사</t>
        </is>
      </c>
      <c r="C31" s="5">
        <f>HYPERLINK(LEFT(CELL("filename",A1),FIND("[",CELL("filename",A1))-1)&amp;"매뉴얼BODY(집행단계-첨부폴더)v8\6.건축\29_창호,유리 및 금속지붕공사\표준서\창호,유리 및 금속지붕공사_표준서.html", "📄 표준서 열기")</f>
        <v/>
      </c>
      <c r="D31" s="6">
        <f>HYPERLINK(LEFT(CELL("filename",A1),FIND("[",CELL("filename",A1))-1)&amp;"매뉴얼BODY(집행단계-첨부폴더)v8\6.건축\29_창호,유리 및 금속지붕공사\수행지침\창호,유리 및 금속지붕공사_수행지침.html", "📘 수행지침 열기")</f>
        <v/>
      </c>
      <c r="E31" s="7">
        <f>HYPERLINK(LEFT(CELL("filename",A1),FIND("[",CELL("filename",A1))-1)&amp;"매뉴얼BODY(집행단계-첨부폴더)v8\6.건축\29_창호,유리 및 금속지붕공사\체크리스트\창호,유리 및 금속지붕공사_체크리스트.html", "📋 체크리스트 열기")</f>
        <v/>
      </c>
    </row>
    <row r="32" ht="24" customHeight="1">
      <c r="A32" s="8" t="n">
        <v>30</v>
      </c>
      <c r="B32" s="9" t="inlineStr">
        <is>
          <t>조적공사</t>
        </is>
      </c>
      <c r="C32" s="10">
        <f>HYPERLINK(LEFT(CELL("filename",A1),FIND("[",CELL("filename",A1))-1)&amp;"매뉴얼BODY(집행단계-첨부폴더)v8\6.건축\30_조적공사\표준서\조적공사_표준서.html", "📄 표준서 열기")</f>
        <v/>
      </c>
      <c r="D32" s="11">
        <f>HYPERLINK(LEFT(CELL("filename",A1),FIND("[",CELL("filename",A1))-1)&amp;"매뉴얼BODY(집행단계-첨부폴더)v8\6.건축\30_조적공사\수행지침\조적공사_수행지침.html", "📘 수행지침 열기")</f>
        <v/>
      </c>
      <c r="E32" s="12">
        <f>HYPERLINK(LEFT(CELL("filename",A1),FIND("[",CELL("filename",A1))-1)&amp;"매뉴얼BODY(집행단계-첨부폴더)v8\6.건축\30_조적공사\체크리스트\조적공사_체크리스트.html", "📋 체크리스트 열기")</f>
        <v/>
      </c>
    </row>
    <row r="33" ht="24" customHeight="1">
      <c r="A33" s="3" t="n">
        <v>31</v>
      </c>
      <c r="B33" s="4" t="inlineStr">
        <is>
          <t>내부 방수공사</t>
        </is>
      </c>
      <c r="C33" s="5">
        <f>HYPERLINK(LEFT(CELL("filename",A1),FIND("[",CELL("filename",A1))-1)&amp;"매뉴얼BODY(집행단계-첨부폴더)v8\6.건축\31_내부 방수공사\표준서\내부 방수공사_표준서.html", "📄 표준서 열기")</f>
        <v/>
      </c>
      <c r="D33" s="6">
        <f>HYPERLINK(LEFT(CELL("filename",A1),FIND("[",CELL("filename",A1))-1)&amp;"매뉴얼BODY(집행단계-첨부폴더)v8\6.건축\31_내부 방수공사\수행지침\내부 방수공사_수행지침.html", "📘 수행지침 열기")</f>
        <v/>
      </c>
      <c r="E33" s="7">
        <f>HYPERLINK(LEFT(CELL("filename",A1),FIND("[",CELL("filename",A1))-1)&amp;"매뉴얼BODY(집행단계-첨부폴더)v8\6.건축\31_내부 방수공사\체크리스트\내부 방수공사_체크리스트.html", "📋 체크리스트 열기")</f>
        <v/>
      </c>
    </row>
    <row r="34" ht="24" customHeight="1">
      <c r="A34" s="8" t="n">
        <v>32</v>
      </c>
      <c r="B34" s="9" t="inlineStr">
        <is>
          <t>미장 및 타일공사</t>
        </is>
      </c>
      <c r="C34" s="10">
        <f>HYPERLINK(LEFT(CELL("filename",A1),FIND("[",CELL("filename",A1))-1)&amp;"매뉴얼BODY(집행단계-첨부폴더)v8\6.건축\32_미장 및 타일공사\표준서\미장 및 타일공사_표준서.html", "📄 표준서 열기")</f>
        <v/>
      </c>
      <c r="D34" s="11">
        <f>HYPERLINK(LEFT(CELL("filename",A1),FIND("[",CELL("filename",A1))-1)&amp;"매뉴얼BODY(집행단계-첨부폴더)v8\6.건축\32_미장 및 타일공사\수행지침\미장 및 타일공사_수행지침.html", "📘 수행지침 열기")</f>
        <v/>
      </c>
      <c r="E34" s="12">
        <f>HYPERLINK(LEFT(CELL("filename",A1),FIND("[",CELL("filename",A1))-1)&amp;"매뉴얼BODY(집행단계-첨부폴더)v8\6.건축\32_미장 및 타일공사\체크리스트\미장 및 타일공사_체크리스트.html", "📋 체크리스트 열기")</f>
        <v/>
      </c>
    </row>
    <row r="35" ht="24" customHeight="1">
      <c r="A35" s="3" t="n">
        <v>33</v>
      </c>
      <c r="B35" s="4" t="inlineStr">
        <is>
          <t>수장 및 잡철물공사</t>
        </is>
      </c>
      <c r="C35" s="5">
        <f>HYPERLINK(LEFT(CELL("filename",A1),FIND("[",CELL("filename",A1))-1)&amp;"매뉴얼BODY(집행단계-첨부폴더)v8\6.건축\33_수장 및 잡철물공사\표준서\수장 및 잡철물공사_표준서.html", "📄 표준서 열기")</f>
        <v/>
      </c>
      <c r="D35" s="6">
        <f>HYPERLINK(LEFT(CELL("filename",A1),FIND("[",CELL("filename",A1))-1)&amp;"매뉴얼BODY(집행단계-첨부폴더)v8\6.건축\33_수장 및 잡철물공사\수행지침\수장 및 잡철물공사_수행지침.html", "📘 수행지침 열기")</f>
        <v/>
      </c>
      <c r="E35" s="7">
        <f>HYPERLINK(LEFT(CELL("filename",A1),FIND("[",CELL("filename",A1))-1)&amp;"매뉴얼BODY(집행단계-첨부폴더)v8\6.건축\33_수장 및 잡철물공사\체크리스트\수장 및 잡철물공사_체크리스트.html", "📋 체크리스트 열기")</f>
        <v/>
      </c>
    </row>
    <row r="36" ht="24" customHeight="1">
      <c r="A36" s="8" t="n">
        <v>34</v>
      </c>
      <c r="B36" s="9" t="inlineStr">
        <is>
          <t>도장공사</t>
        </is>
      </c>
      <c r="C36" s="10">
        <f>HYPERLINK(LEFT(CELL("filename",A1),FIND("[",CELL("filename",A1))-1)&amp;"매뉴얼BODY(집행단계-첨부폴더)v8\6.건축\34_도장공사\표준서\도장공사_표준서.html", "📄 표준서 열기")</f>
        <v/>
      </c>
      <c r="D36" s="11">
        <f>HYPERLINK(LEFT(CELL("filename",A1),FIND("[",CELL("filename",A1))-1)&amp;"매뉴얼BODY(집행단계-첨부폴더)v8\6.건축\34_도장공사\수행지침\도장공사_수행지침.html", "📘 수행지침 열기")</f>
        <v/>
      </c>
      <c r="E36" s="12">
        <f>HYPERLINK(LEFT(CELL("filename",A1),FIND("[",CELL("filename",A1))-1)&amp;"매뉴얼BODY(집행단계-첨부폴더)v8\6.건축\34_도장공사\체크리스트\도장공사_체크리스트.html", "📋 체크리스트 열기")</f>
        <v/>
      </c>
    </row>
    <row r="37" ht="24" customHeight="1">
      <c r="A37" s="3" t="n">
        <v>35</v>
      </c>
      <c r="B37" s="4" t="inlineStr">
        <is>
          <t>인테리어 및 무대공사</t>
        </is>
      </c>
      <c r="C37" s="5">
        <f>HYPERLINK(LEFT(CELL("filename",A1),FIND("[",CELL("filename",A1))-1)&amp;"매뉴얼BODY(집행단계-첨부폴더)v8\6.건축\35_인테리어 및 무대공사\표준서\인테리어 및 무대공사_표준서.html", "📄 표준서 열기")</f>
        <v/>
      </c>
      <c r="D37" s="6">
        <f>HYPERLINK(LEFT(CELL("filename",A1),FIND("[",CELL("filename",A1))-1)&amp;"매뉴얼BODY(집행단계-첨부폴더)v8\6.건축\35_인테리어 및 무대공사\수행지침\인테리어 및 무대공사_수행지침.html", "📘 수행지침 열기")</f>
        <v/>
      </c>
      <c r="E37" s="7">
        <f>HYPERLINK(LEFT(CELL("filename",A1),FIND("[",CELL("filename",A1))-1)&amp;"매뉴얼BODY(집행단계-첨부폴더)v8\6.건축\35_인테리어 및 무대공사\체크리스트\인테리어 및 무대공사_체크리스트.html", "📋 체크리스트 열기")</f>
        <v/>
      </c>
    </row>
    <row r="38" ht="24" customHeight="1">
      <c r="A38" s="8" t="n">
        <v>36</v>
      </c>
      <c r="B38" s="9" t="inlineStr">
        <is>
          <t>준공전 건축 인허가</t>
        </is>
      </c>
      <c r="C38" s="10">
        <f>HYPERLINK(LEFT(CELL("filename",A1),FIND("[",CELL("filename",A1))-1)&amp;"매뉴얼BODY(집행단계-첨부폴더)v8\6.건축\36_준공전 건축 인허가\표준서\준공전 건축 인허가_표준서.html", "📄 표준서 열기")</f>
        <v/>
      </c>
      <c r="D38" s="11">
        <f>HYPERLINK(LEFT(CELL("filename",A1),FIND("[",CELL("filename",A1))-1)&amp;"매뉴얼BODY(집행단계-첨부폴더)v8\6.건축\36_준공전 건축 인허가\수행지침\준공전 건축 인허가_수행지침.html", "📘 수행지침 열기")</f>
        <v/>
      </c>
      <c r="E38" s="12">
        <f>HYPERLINK(LEFT(CELL("filename",A1),FIND("[",CELL("filename",A1))-1)&amp;"매뉴얼BODY(집행단계-첨부폴더)v8\6.건축\36_준공전 건축 인허가\체크리스트\준공전 건축 인허가_체크리스트.html", "📋 체크리스트 열기")</f>
        <v/>
      </c>
    </row>
    <row r="39" ht="24" customHeight="1">
      <c r="A39" s="3" t="n">
        <v>37</v>
      </c>
      <c r="B39" s="4" t="inlineStr">
        <is>
          <t>소방시설공사 완공검사</t>
        </is>
      </c>
      <c r="C39" s="5">
        <f>HYPERLINK(LEFT(CELL("filename",A1),FIND("[",CELL("filename",A1))-1)&amp;"매뉴얼BODY(집행단계-첨부폴더)v8\6.건축\37_소방시설공사 완공검사\표준서\소방시설공사 완공검사_표준서.html", "📄 표준서 열기")</f>
        <v/>
      </c>
      <c r="D39" s="6">
        <f>HYPERLINK(LEFT(CELL("filename",A1),FIND("[",CELL("filename",A1))-1)&amp;"매뉴얼BODY(집행단계-첨부폴더)v8\6.건축\37_소방시설공사 완공검사\수행지침\소방시설공사 완공검사_수행지침.html", "📘 수행지침 열기")</f>
        <v/>
      </c>
      <c r="E39" s="7">
        <f>HYPERLINK(LEFT(CELL("filename",A1),FIND("[",CELL("filename",A1))-1)&amp;"매뉴얼BODY(집행단계-첨부폴더)v8\6.건축\37_소방시설공사 완공검사\체크리스트\소방시설공사 완공검사_체크리스트.html", "📋 체크리스트 열기")</f>
        <v/>
      </c>
    </row>
    <row r="40" ht="24" customHeight="1">
      <c r="A40" s="8" t="n">
        <v>38</v>
      </c>
      <c r="B40" s="9" t="inlineStr">
        <is>
          <t>승강기 설치 신고서 제출</t>
        </is>
      </c>
      <c r="C40" s="10">
        <f>HYPERLINK(LEFT(CELL("filename",A1),FIND("[",CELL("filename",A1))-1)&amp;"매뉴얼BODY(집행단계-첨부폴더)v8\6.건축\38_승강기 설치 신고서 제출\표준서\승강기 설치 신고서 제출_표준서.html", "📄 표준서 열기")</f>
        <v/>
      </c>
      <c r="D40" s="11">
        <f>HYPERLINK(LEFT(CELL("filename",A1),FIND("[",CELL("filename",A1))-1)&amp;"매뉴얼BODY(집행단계-첨부폴더)v8\6.건축\38_승강기 설치 신고서 제출\수행지침\승강기 설치 신고서 제출_수행지침.html", "📘 수행지침 열기")</f>
        <v/>
      </c>
      <c r="E40" s="12">
        <f>HYPERLINK(LEFT(CELL("filename",A1),FIND("[",CELL("filename",A1))-1)&amp;"매뉴얼BODY(집행단계-첨부폴더)v8\6.건축\38_승강기 설치 신고서 제출\체크리스트\승강기 설치 신고서 제출_체크리스트.html", "📋 체크리스트 열기")</f>
        <v/>
      </c>
    </row>
    <row r="41" ht="24" customHeight="1">
      <c r="A41" s="3" t="n">
        <v>39</v>
      </c>
      <c r="B41" s="4" t="inlineStr">
        <is>
          <t>저수조 설치현황 신고서 제출</t>
        </is>
      </c>
      <c r="C41" s="5">
        <f>HYPERLINK(LEFT(CELL("filename",A1),FIND("[",CELL("filename",A1))-1)&amp;"매뉴얼BODY(집행단계-첨부폴더)v8\6.건축\39_저수조 설치현황 신고서 제출\표준서\저수조 설치현황 신고서 제출_표준서.html", "📄 표준서 열기")</f>
        <v/>
      </c>
      <c r="D41" s="6">
        <f>HYPERLINK(LEFT(CELL("filename",A1),FIND("[",CELL("filename",A1))-1)&amp;"매뉴얼BODY(집행단계-첨부폴더)v8\6.건축\39_저수조 설치현황 신고서 제출\수행지침\저수조 설치현황 신고서 제출_수행지침.html", "📘 수행지침 열기")</f>
        <v/>
      </c>
      <c r="E41" s="7">
        <f>HYPERLINK(LEFT(CELL("filename",A1),FIND("[",CELL("filename",A1))-1)&amp;"매뉴얼BODY(집행단계-첨부폴더)v8\6.건축\39_저수조 설치현황 신고서 제출\체크리스트\저수조 설치현황 신고서 제출_체크리스트.html", "📋 체크리스트 열기")</f>
        <v/>
      </c>
    </row>
    <row r="42" ht="24" customHeight="1">
      <c r="A42" s="8" t="n">
        <v>40</v>
      </c>
      <c r="B42" s="9" t="inlineStr">
        <is>
          <t>오수처리시설 _ 정화조 설치 신고서 제출</t>
        </is>
      </c>
      <c r="C42" s="10">
        <f>HYPERLINK(LEFT(CELL("filename",A1),FIND("[",CELL("filename",A1))-1)&amp;"매뉴얼BODY(집행단계-첨부폴더)v8\6.건축\40_오수처리시설 _ 정화조 설치 신고서 제출\표준서\오수처리시설 _ 정화조 설치 신고서 제출_표준서.html", "📄 표준서 열기")</f>
        <v/>
      </c>
      <c r="D42" s="11">
        <f>HYPERLINK(LEFT(CELL("filename",A1),FIND("[",CELL("filename",A1))-1)&amp;"매뉴얼BODY(집행단계-첨부폴더)v8\6.건축\40_오수처리시설 _ 정화조 설치 신고서 제출\수행지침\오수처리시설 _ 정화조 설치 신고서 제출_수행지침.html", "📘 수행지침 열기")</f>
        <v/>
      </c>
      <c r="E42" s="12">
        <f>HYPERLINK(LEFT(CELL("filename",A1),FIND("[",CELL("filename",A1))-1)&amp;"매뉴얼BODY(집행단계-첨부폴더)v8\6.건축\40_오수처리시설 _ 정화조 설치 신고서 제출\체크리스트\오수처리시설 _ 정화조 설치 신고서 제출_체크리스트.html", "📋 체크리스트 열기")</f>
        <v/>
      </c>
    </row>
    <row r="43" ht="24" customHeight="1">
      <c r="A43" s="3" t="n">
        <v>41</v>
      </c>
      <c r="B43" s="4" t="inlineStr">
        <is>
          <t>전기사용전 검사</t>
        </is>
      </c>
      <c r="C43" s="5">
        <f>HYPERLINK(LEFT(CELL("filename",A1),FIND("[",CELL("filename",A1))-1)&amp;"매뉴얼BODY(집행단계-첨부폴더)v8\6.건축\41_전기사용전 검사\표준서\전기사용전 검사_표준서.html", "📄 표준서 열기")</f>
        <v/>
      </c>
      <c r="D43" s="6">
        <f>HYPERLINK(LEFT(CELL("filename",A1),FIND("[",CELL("filename",A1))-1)&amp;"매뉴얼BODY(집행단계-첨부폴더)v8\6.건축\41_전기사용전 검사\수행지침\전기사용전 검사_수행지침.html", "📘 수행지침 열기")</f>
        <v/>
      </c>
      <c r="E43" s="7">
        <f>HYPERLINK(LEFT(CELL("filename",A1),FIND("[",CELL("filename",A1))-1)&amp;"매뉴얼BODY(집행단계-첨부폴더)v8\6.건축\41_전기사용전 검사\체크리스트\전기사용전 검사_체크리스트.html", "📋 체크리스트 열기")</f>
        <v/>
      </c>
    </row>
    <row r="44" ht="24" customHeight="1">
      <c r="A44" s="8" t="n">
        <v>42</v>
      </c>
      <c r="B44" s="9" t="inlineStr">
        <is>
          <t>승강기 설치검사</t>
        </is>
      </c>
      <c r="C44" s="10">
        <f>HYPERLINK(LEFT(CELL("filename",A1),FIND("[",CELL("filename",A1))-1)&amp;"매뉴얼BODY(집행단계-첨부폴더)v8\6.건축\42_승강기 설치검사\표준서\승강기 설치검사_표준서.html", "📄 표준서 열기")</f>
        <v/>
      </c>
      <c r="D44" s="11">
        <f>HYPERLINK(LEFT(CELL("filename",A1),FIND("[",CELL("filename",A1))-1)&amp;"매뉴얼BODY(집행단계-첨부폴더)v8\6.건축\42_승강기 설치검사\수행지침\승강기 설치검사_수행지침.html", "📘 수행지침 열기")</f>
        <v/>
      </c>
      <c r="E44" s="12">
        <f>HYPERLINK(LEFT(CELL("filename",A1),FIND("[",CELL("filename",A1))-1)&amp;"매뉴얼BODY(집행단계-첨부폴더)v8\6.건축\42_승강기 설치검사\체크리스트\승강기 설치검사_체크리스트.html", "📋 체크리스트 열기")</f>
        <v/>
      </c>
    </row>
    <row r="45" ht="24" customHeight="1">
      <c r="A45" s="3" t="n">
        <v>43</v>
      </c>
      <c r="B45" s="4" t="inlineStr">
        <is>
          <t>배수설비 설치 신고서 제출</t>
        </is>
      </c>
      <c r="C45" s="5">
        <f>HYPERLINK(LEFT(CELL("filename",A1),FIND("[",CELL("filename",A1))-1)&amp;"매뉴얼BODY(집행단계-첨부폴더)v8\6.건축\43_배수설비 설치 신고서 제출\표준서\배수설비 설치 신고서 제출_표준서.html", "📄 표준서 열기")</f>
        <v/>
      </c>
      <c r="D45" s="6">
        <f>HYPERLINK(LEFT(CELL("filename",A1),FIND("[",CELL("filename",A1))-1)&amp;"매뉴얼BODY(집행단계-첨부폴더)v8\6.건축\43_배수설비 설치 신고서 제출\수행지침\배수설비 설치 신고서 제출_수행지침.html", "📘 수행지침 열기")</f>
        <v/>
      </c>
      <c r="E45" s="7">
        <f>HYPERLINK(LEFT(CELL("filename",A1),FIND("[",CELL("filename",A1))-1)&amp;"매뉴얼BODY(집행단계-첨부폴더)v8\6.건축\43_배수설비 설치 신고서 제출\체크리스트\배수설비 설치 신고서 제출_체크리스트.html", "📋 체크리스트 열기")</f>
        <v/>
      </c>
    </row>
    <row r="46" ht="24" customHeight="1">
      <c r="A46" s="8" t="n">
        <v>44</v>
      </c>
      <c r="B46" s="9" t="inlineStr">
        <is>
          <t>정보통신공사 사용전검사</t>
        </is>
      </c>
      <c r="C46" s="10">
        <f>HYPERLINK(LEFT(CELL("filename",A1),FIND("[",CELL("filename",A1))-1)&amp;"매뉴얼BODY(집행단계-첨부폴더)v8\6.건축\44_정보통신공사 사용전검사\표준서\정보통신공사 사용전검사_표준서.html", "📄 표준서 열기")</f>
        <v/>
      </c>
      <c r="D46" s="11">
        <f>HYPERLINK(LEFT(CELL("filename",A1),FIND("[",CELL("filename",A1))-1)&amp;"매뉴얼BODY(집행단계-첨부폴더)v8\6.건축\44_정보통신공사 사용전검사\수행지침\정보통신공사 사용전검사_수행지침.html", "📘 수행지침 열기")</f>
        <v/>
      </c>
      <c r="E46" s="12">
        <f>HYPERLINK(LEFT(CELL("filename",A1),FIND("[",CELL("filename",A1))-1)&amp;"매뉴얼BODY(집행단계-첨부폴더)v8\6.건축\44_정보통신공사 사용전검사\체크리스트\정보통신공사 사용전검사_체크리스트.html", "📋 체크리스트 열기")</f>
        <v/>
      </c>
    </row>
    <row r="47" ht="24" customHeight="1">
      <c r="A47" s="3" t="n">
        <v>45</v>
      </c>
      <c r="B47" s="4" t="inlineStr">
        <is>
          <t>오수처리시설 _ 정화조 준공검사</t>
        </is>
      </c>
      <c r="C47" s="5">
        <f>HYPERLINK(LEFT(CELL("filename",A1),FIND("[",CELL("filename",A1))-1)&amp;"매뉴얼BODY(집행단계-첨부폴더)v8\6.건축\45_오수처리시설 _ 정화조 준공검사\표준서\오수처리시설 _ 정화조 준공검사_표준서.html", "📄 표준서 열기")</f>
        <v/>
      </c>
      <c r="D47" s="6">
        <f>HYPERLINK(LEFT(CELL("filename",A1),FIND("[",CELL("filename",A1))-1)&amp;"매뉴얼BODY(집행단계-첨부폴더)v8\6.건축\45_오수처리시설 _ 정화조 준공검사\수행지침\오수처리시설 _ 정화조 준공검사_수행지침.html", "📘 수행지침 열기")</f>
        <v/>
      </c>
      <c r="E47" s="7">
        <f>HYPERLINK(LEFT(CELL("filename",A1),FIND("[",CELL("filename",A1))-1)&amp;"매뉴얼BODY(집행단계-첨부폴더)v8\6.건축\45_오수처리시설 _ 정화조 준공검사\체크리스트\오수처리시설 _ 정화조 준공검사_체크리스트.html", "📋 체크리스트 열기")</f>
        <v/>
      </c>
    </row>
    <row r="48" ht="24" customHeight="1">
      <c r="A48" s="8" t="n">
        <v>46</v>
      </c>
      <c r="B48" s="9" t="inlineStr">
        <is>
          <t>급수공사 신청서 제출</t>
        </is>
      </c>
      <c r="C48" s="10">
        <f>HYPERLINK(LEFT(CELL("filename",A1),FIND("[",CELL("filename",A1))-1)&amp;"매뉴얼BODY(집행단계-첨부폴더)v8\6.건축\46_급수공사 신청서 제출\표준서\급수공사 신청서 제출_표준서.html", "📄 표준서 열기")</f>
        <v/>
      </c>
      <c r="D48" s="11">
        <f>HYPERLINK(LEFT(CELL("filename",A1),FIND("[",CELL("filename",A1))-1)&amp;"매뉴얼BODY(집행단계-첨부폴더)v8\6.건축\46_급수공사 신청서 제출\수행지침\급수공사 신청서 제출_수행지침.html", "📘 수행지침 열기")</f>
        <v/>
      </c>
      <c r="E48" s="12">
        <f>HYPERLINK(LEFT(CELL("filename",A1),FIND("[",CELL("filename",A1))-1)&amp;"매뉴얼BODY(집행단계-첨부폴더)v8\6.건축\46_급수공사 신청서 제출\체크리스트\급수공사 신청서 제출_체크리스트.html", "📋 체크리스트 열기")</f>
        <v/>
      </c>
    </row>
    <row r="49" ht="24" customHeight="1">
      <c r="A49" s="3" t="n">
        <v>47</v>
      </c>
      <c r="B49" s="4" t="inlineStr">
        <is>
          <t>업무대행 건축사 사용승인 검사</t>
        </is>
      </c>
      <c r="C49" s="5">
        <f>HYPERLINK(LEFT(CELL("filename",A1),FIND("[",CELL("filename",A1))-1)&amp;"매뉴얼BODY(집행단계-첨부폴더)v8\6.건축\47_업무대행 건축사 사용승인 검사\표준서\업무대행 건축사 사용승인 검사_표준서.html", "📄 표준서 열기")</f>
        <v/>
      </c>
      <c r="D49" s="6">
        <f>HYPERLINK(LEFT(CELL("filename",A1),FIND("[",CELL("filename",A1))-1)&amp;"매뉴얼BODY(집행단계-첨부폴더)v8\6.건축\47_업무대행 건축사 사용승인 검사\수행지침\업무대행 건축사 사용승인 검사_수행지침.html", "📘 수행지침 열기")</f>
        <v/>
      </c>
      <c r="E49" s="7">
        <f>HYPERLINK(LEFT(CELL("filename",A1),FIND("[",CELL("filename",A1))-1)&amp;"매뉴얼BODY(집행단계-첨부폴더)v8\6.건축\47_업무대행 건축사 사용승인 검사\체크리스트\업무대행 건축사 사용승인 검사_체크리스트.html", "📋 체크리스트 열기")</f>
        <v/>
      </c>
    </row>
    <row r="50" ht="24" customHeight="1">
      <c r="A50" s="8" t="n">
        <v>48</v>
      </c>
      <c r="B50" s="9" t="inlineStr">
        <is>
          <t>건축물 사용승인 신청</t>
        </is>
      </c>
      <c r="C50" s="10">
        <f>HYPERLINK(LEFT(CELL("filename",A1),FIND("[",CELL("filename",A1))-1)&amp;"매뉴얼BODY(집행단계-첨부폴더)v8\6.건축\48_건축물 사용승인 신청\표준서\건축물 사용승인 신청_표준서.html", "📄 표준서 열기")</f>
        <v/>
      </c>
      <c r="D50" s="11">
        <f>HYPERLINK(LEFT(CELL("filename",A1),FIND("[",CELL("filename",A1))-1)&amp;"매뉴얼BODY(집행단계-첨부폴더)v8\6.건축\48_건축물 사용승인 신청\수행지침\건축물 사용승인 신청_수행지침.html", "📘 수행지침 열기")</f>
        <v/>
      </c>
      <c r="E50" s="12">
        <f>HYPERLINK(LEFT(CELL("filename",A1),FIND("[",CELL("filename",A1))-1)&amp;"매뉴얼BODY(집행단계-첨부폴더)v8\6.건축\48_건축물 사용승인 신청\체크리스트\건축물 사용승인 신청_체크리스트.html", "📋 체크리스트 열기")</f>
        <v/>
      </c>
    </row>
    <row r="51" ht="24" customHeight="1">
      <c r="A51" s="3" t="n">
        <v>49</v>
      </c>
      <c r="B51" s="4" t="inlineStr">
        <is>
          <t>건축물대장 등재</t>
        </is>
      </c>
      <c r="C51" s="5">
        <f>HYPERLINK(LEFT(CELL("filename",A1),FIND("[",CELL("filename",A1))-1)&amp;"매뉴얼BODY(집행단계-첨부폴더)v8\6.건축\49_건축물대장 등재\표준서\건축물대장 등재_표준서.html", "📄 표준서 열기")</f>
        <v/>
      </c>
      <c r="D51" s="6">
        <f>HYPERLINK(LEFT(CELL("filename",A1),FIND("[",CELL("filename",A1))-1)&amp;"매뉴얼BODY(집행단계-첨부폴더)v8\6.건축\49_건축물대장 등재\수행지침\건축물대장 등재_수행지침.html", "📘 수행지침 열기")</f>
        <v/>
      </c>
      <c r="E51" s="7">
        <f>HYPERLINK(LEFT(CELL("filename",A1),FIND("[",CELL("filename",A1))-1)&amp;"매뉴얼BODY(집행단계-첨부폴더)v8\6.건축\49_건축물대장 등재\체크리스트\건축물대장 등재_체크리스트.html", "📋 체크리스트 열기")</f>
        <v/>
      </c>
    </row>
    <row r="52" ht="24" customHeight="1">
      <c r="A52" s="8" t="n">
        <v>50</v>
      </c>
      <c r="B52" s="9" t="inlineStr">
        <is>
          <t>후속 구조물 인계</t>
        </is>
      </c>
      <c r="C52" s="10">
        <f>HYPERLINK(LEFT(CELL("filename",A1),FIND("[",CELL("filename",A1))-1)&amp;"매뉴얼BODY(집행단계-첨부폴더)v8\6.건축\50_후속 구조물 인계\표준서\후속 구조물 인계_표준서.html", "📄 표준서 열기")</f>
        <v/>
      </c>
      <c r="D52" s="11">
        <f>HYPERLINK(LEFT(CELL("filename",A1),FIND("[",CELL("filename",A1))-1)&amp;"매뉴얼BODY(집행단계-첨부폴더)v8\6.건축\50_후속 구조물 인계\수행지침\후속 구조물 인계_수행지침.html", "📘 수행지침 열기")</f>
        <v/>
      </c>
      <c r="E52" s="12">
        <f>HYPERLINK(LEFT(CELL("filename",A1),FIND("[",CELL("filename",A1))-1)&amp;"매뉴얼BODY(집행단계-첨부폴더)v8\6.건축\50_후속 구조물 인계\체크리스트\후속 구조물 인계_체크리스트.html", "📋 체크리스트 열기")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22" customWidth="1" min="4" max="4"/>
    <col width="22" customWidth="1" min="5" max="5"/>
  </cols>
  <sheetData>
    <row r="1" ht="35" customHeight="1">
      <c r="A1" s="1" t="inlineStr">
        <is>
          <t>동탄도시철도(트램) 신호 엔지니어링 매뉴얼 링크 대장</t>
        </is>
      </c>
    </row>
    <row r="2" ht="28" customHeight="1">
      <c r="A2" s="2" t="inlineStr">
        <is>
          <t>순번</t>
        </is>
      </c>
      <c r="B2" s="2" t="inlineStr">
        <is>
          <t>액티비티명 (Activity)</t>
        </is>
      </c>
      <c r="C2" s="2" t="inlineStr">
        <is>
          <t>표준서 (Standard)</t>
        </is>
      </c>
      <c r="D2" s="2" t="inlineStr">
        <is>
          <t>수행지침 (Guideline)</t>
        </is>
      </c>
      <c r="E2" s="2" t="inlineStr">
        <is>
          <t>체크리스트 (Checklist)</t>
        </is>
      </c>
    </row>
    <row r="3" ht="24" customHeight="1">
      <c r="A3" s="3" t="n">
        <v>1</v>
      </c>
      <c r="B3" s="4" t="inlineStr">
        <is>
          <t>설계적정성 검토</t>
        </is>
      </c>
      <c r="C3" s="5">
        <f>HYPERLINK(LEFT(CELL("filename",A1),FIND("[",CELL("filename",A1))-1)&amp;"매뉴얼BODY(집행단계-첨부폴더)v8\7.신호분야\1_설계적정성 검토\표준서\설계적정성 검토_표준서.html", "📄 표준서 열기")</f>
        <v/>
      </c>
      <c r="D3" s="6">
        <f>HYPERLINK(LEFT(CELL("filename",A1),FIND("[",CELL("filename",A1))-1)&amp;"매뉴얼BODY(집행단계-첨부폴더)v8\7.신호분야\1_설계적정성 검토\수행지침\LTE-R_무선_AP를_통한_신호_제어_데이터_송수신_레벨_상세절차서.html", "📘 수행지침 열기")</f>
        <v/>
      </c>
      <c r="E3" s="7">
        <f>HYPERLINK(LEFT(CELL("filename",A1),FIND("[",CELL("filename",A1))-1)&amp;"매뉴얼BODY(집행단계-첨부폴더)v8\7.신호분야\1_설계적정성 검토\체크리스트\설계적정성 검토_체크리스트.html", "📋 체크리스트 열기")</f>
        <v/>
      </c>
    </row>
    <row r="4" ht="24" customHeight="1">
      <c r="A4" s="8" t="n">
        <v>2</v>
      </c>
      <c r="B4" s="9" t="inlineStr">
        <is>
          <t>착수준비 KOM</t>
        </is>
      </c>
      <c r="C4" s="10">
        <f>HYPERLINK(LEFT(CELL("filename",A1),FIND("[",CELL("filename",A1))-1)&amp;"매뉴얼BODY(집행단계-첨부폴더)v8\7.신호분야\2_착수준비 KOM\표준서\착수준비 KOM_표준서.html", "📄 표준서 열기")</f>
        <v/>
      </c>
      <c r="D4" s="11">
        <f>HYPERLINK(LEFT(CELL("filename",A1),FIND("[",CELL("filename",A1))-1)&amp;"매뉴얼BODY(집행단계-첨부폴더)v8\7.신호분야\2_착수준비 KOM\수행지침\LTE-R_무선_AP를_통한_신호_제어_데이터_송수신_레벨_상세절차서.html", "📘 수행지침 열기")</f>
        <v/>
      </c>
      <c r="E4" s="12">
        <f>HYPERLINK(LEFT(CELL("filename",A1),FIND("[",CELL("filename",A1))-1)&amp;"매뉴얼BODY(집행단계-첨부폴더)v8\7.신호분야\2_착수준비 KOM\체크리스트\착수준비 KOM_체크리스트.html", "📋 체크리스트 열기")</f>
        <v/>
      </c>
    </row>
    <row r="5" ht="24" customHeight="1">
      <c r="A5" s="3" t="n">
        <v>3</v>
      </c>
      <c r="B5" s="4" t="inlineStr">
        <is>
          <t>착수전 Big Room 회의</t>
        </is>
      </c>
      <c r="C5" s="5">
        <f>HYPERLINK(LEFT(CELL("filename",A1),FIND("[",CELL("filename",A1))-1)&amp;"매뉴얼BODY(집행단계-첨부폴더)v8\7.신호분야\3_착수전 Big Room 회의\표준서\착수전 Big Room 회의_표준서.html", "📄 표준서 열기")</f>
        <v/>
      </c>
      <c r="D5" s="6">
        <f>HYPERLINK(LEFT(CELL("filename",A1),FIND("[",CELL("filename",A1))-1)&amp;"매뉴얼BODY(집행단계-첨부폴더)v8\7.신호분야\3_착수전 Big Room 회의\수행지침\LTE-R_무선_AP를_통한_신호_제어_데이터_송수신_레벨_상세절차서.html", "📘 수행지침 열기")</f>
        <v/>
      </c>
      <c r="E5" s="7">
        <f>HYPERLINK(LEFT(CELL("filename",A1),FIND("[",CELL("filename",A1))-1)&amp;"매뉴얼BODY(집행단계-첨부폴더)v8\7.신호분야\3_착수전 Big Room 회의\체크리스트\착수전 Big Room 회의_체크리스트.html", "📋 체크리스트 열기")</f>
        <v/>
      </c>
    </row>
    <row r="6" ht="24" customHeight="1">
      <c r="A6" s="8" t="n">
        <v>4</v>
      </c>
      <c r="B6" s="9" t="inlineStr">
        <is>
          <t>전기 _ 통신 _ PSD _ 차량 인터페이스 협의</t>
        </is>
      </c>
      <c r="C6" s="10">
        <f>HYPERLINK(LEFT(CELL("filename",A1),FIND("[",CELL("filename",A1))-1)&amp;"매뉴얼BODY(집행단계-첨부폴더)v8\7.신호분야\4_전기 _ 통신 _ PSD _ 차량 인터페이스 협의\표준서\전기 _ 통신 _ PSD _ 차량 인터페이스 협의_표준서.html", "📄 표준서 열기")</f>
        <v/>
      </c>
      <c r="D6" s="11">
        <f>HYPERLINK(LEFT(CELL("filename",A1),FIND("[",CELL("filename",A1))-1)&amp;"매뉴얼BODY(집행단계-첨부폴더)v8\7.신호분야\4_전기 _ 통신 _ PSD _ 차량 인터페이스 협의\수행지침\LTE-R_무선_AP를_통한_신호_제어_데이터_송수신_레벨_상세절차서.html", "📘 수행지침 열기")</f>
        <v/>
      </c>
      <c r="E6" s="12">
        <f>HYPERLINK(LEFT(CELL("filename",A1),FIND("[",CELL("filename",A1))-1)&amp;"매뉴얼BODY(집행단계-첨부폴더)v8\7.신호분야\4_전기 _ 통신 _ PSD _ 차량 인터페이스 협의\체크리스트\전기 _ 통신 _ PSD _ 차량 인터페이스 협의_체크리스트.html", "📋 체크리스트 열기")</f>
        <v/>
      </c>
    </row>
    <row r="7" ht="24" customHeight="1">
      <c r="A7" s="3" t="n">
        <v>5</v>
      </c>
      <c r="B7" s="4" t="inlineStr">
        <is>
          <t>도로 _ 궤도 인터페이스 협의</t>
        </is>
      </c>
      <c r="C7" s="5">
        <f>HYPERLINK(LEFT(CELL("filename",A1),FIND("[",CELL("filename",A1))-1)&amp;"매뉴얼BODY(집행단계-첨부폴더)v8\7.신호분야\5_도로 _ 궤도 인터페이스 협의\표준서\도로 _ 궤도 인터페이스 협의_표준서.html", "📄 표준서 열기")</f>
        <v/>
      </c>
      <c r="D7" s="6">
        <f>HYPERLINK(LEFT(CELL("filename",A1),FIND("[",CELL("filename",A1))-1)&amp;"매뉴얼BODY(집행단계-첨부폴더)v8\7.신호분야\5_도로 _ 궤도 인터페이스 협의\수행지침\LTE-R_무선_AP를_통한_신호_제어_데이터_송수신_레벨_상세절차서.html", "📘 수행지침 열기")</f>
        <v/>
      </c>
      <c r="E7" s="7">
        <f>HYPERLINK(LEFT(CELL("filename",A1),FIND("[",CELL("filename",A1))-1)&amp;"매뉴얼BODY(집행단계-첨부폴더)v8\7.신호분야\5_도로 _ 궤도 인터페이스 협의\체크리스트\도로 _ 궤도 인터페이스 협의_체크리스트.html", "📋 체크리스트 열기")</f>
        <v/>
      </c>
    </row>
    <row r="8" ht="24" customHeight="1">
      <c r="A8" s="8" t="n">
        <v>6</v>
      </c>
      <c r="B8" s="9" t="inlineStr">
        <is>
          <t>시공전 인터페이스 협의</t>
        </is>
      </c>
      <c r="C8" s="10">
        <f>HYPERLINK(LEFT(CELL("filename",A1),FIND("[",CELL("filename",A1))-1)&amp;"매뉴얼BODY(집행단계-첨부폴더)v8\7.신호분야\6_시공전 인터페이스 협의\표준서\시공전 인터페이스 협의_표준서.html", "📄 표준서 열기")</f>
        <v/>
      </c>
      <c r="D8" s="11">
        <f>HYPERLINK(LEFT(CELL("filename",A1),FIND("[",CELL("filename",A1))-1)&amp;"매뉴얼BODY(집행단계-첨부폴더)v8\7.신호분야\6_시공전 인터페이스 협의\수행지침\LTE-R_무선_AP를_통한_신호_제어_데이터_송수신_레벨_상세절차서.html", "📘 수행지침 열기")</f>
        <v/>
      </c>
      <c r="E8" s="12">
        <f>HYPERLINK(LEFT(CELL("filename",A1),FIND("[",CELL("filename",A1))-1)&amp;"매뉴얼BODY(집행단계-첨부폴더)v8\7.신호분야\6_시공전 인터페이스 협의\체크리스트\시공전 인터페이스 협의_체크리스트.html", "📋 체크리스트 열기")</f>
        <v/>
      </c>
    </row>
    <row r="9" ht="24" customHeight="1">
      <c r="A9" s="3" t="n">
        <v>7</v>
      </c>
      <c r="B9" s="4" t="inlineStr">
        <is>
          <t>시스템 장비검토 사전 협의사항 도출 및 검토</t>
        </is>
      </c>
      <c r="C9" s="5">
        <f>HYPERLINK(LEFT(CELL("filename",A1),FIND("[",CELL("filename",A1))-1)&amp;"매뉴얼BODY(집행단계-첨부폴더)v8\7.신호분야\7_시스템 장비검토 사전 협의사항 도출 및 검토\표준서\시스템 장비검토 사전 협의사항 도출 및 검토_표준서.html", "📄 표준서 열기")</f>
        <v/>
      </c>
      <c r="D9" s="6">
        <f>HYPERLINK(LEFT(CELL("filename",A1),FIND("[",CELL("filename",A1))-1)&amp;"매뉴얼BODY(집행단계-첨부폴더)v8\7.신호분야\7_시스템 장비검토 사전 협의사항 도출 및 검토\수행지침\CBI_CPU_2중화_절체_반응_속도(≤0.5초)_검토_상세절차서.html", "📘 수행지침 열기")</f>
        <v/>
      </c>
      <c r="E9" s="7">
        <f>HYPERLINK(LEFT(CELL("filename",A1),FIND("[",CELL("filename",A1))-1)&amp;"매뉴얼BODY(집행단계-첨부폴더)v8\7.신호분야\7_시스템 장비검토 사전 협의사항 도출 및 검토\체크리스트\시스템 장비검토 사전 협의사항 도출 및 검토_체크리스트.html", "📋 체크리스트 열기")</f>
        <v/>
      </c>
    </row>
    <row r="10" ht="24" customHeight="1">
      <c r="A10" s="8" t="n">
        <v>8</v>
      </c>
      <c r="B10" s="9" t="inlineStr">
        <is>
          <t>관제 및 운영사 인터페이스 협의</t>
        </is>
      </c>
      <c r="C10" s="10">
        <f>HYPERLINK(LEFT(CELL("filename",A1),FIND("[",CELL("filename",A1))-1)&amp;"매뉴얼BODY(집행단계-첨부폴더)v8\7.신호분야\8_관제 및 운영사 인터페이스 협의\표준서\관제 및 운영사 인터페이스 협의_표준서.html", "📄 표준서 열기")</f>
        <v/>
      </c>
      <c r="D10" s="11">
        <f>HYPERLINK(LEFT(CELL("filename",A1),FIND("[",CELL("filename",A1))-1)&amp;"매뉴얼BODY(집행단계-첨부폴더)v8\7.신호분야\8_관제 및 운영사 인터페이스 협의\수행지침\LTE-R_무선_AP를_통한_신호_제어_데이터_송수신_레벨_상세절차서.html", "📘 수행지침 열기")</f>
        <v/>
      </c>
      <c r="E10" s="12">
        <f>HYPERLINK(LEFT(CELL("filename",A1),FIND("[",CELL("filename",A1))-1)&amp;"매뉴얼BODY(집행단계-첨부폴더)v8\7.신호분야\8_관제 및 운영사 인터페이스 협의\체크리스트\관제 및 운영사 인터페이스 협의_체크리스트.html", "📋 체크리스트 열기")</f>
        <v/>
      </c>
    </row>
    <row r="11" ht="24" customHeight="1">
      <c r="A11" s="3" t="n">
        <v>9</v>
      </c>
      <c r="B11" s="4" t="inlineStr">
        <is>
          <t>자재 _ 인원 _ 장비 및 투입 사전 검토</t>
        </is>
      </c>
      <c r="C11" s="5">
        <f>HYPERLINK(LEFT(CELL("filename",A1),FIND("[",CELL("filename",A1))-1)&amp;"매뉴얼BODY(집행단계-첨부폴더)v8\7.신호분야\9_자재 _ 인원 _ 장비 및 투입 사전 검토\표준서\자재 _ 인원 _ 장비 및 투입 사전 검토_표준서.html", "📄 표준서 열기")</f>
        <v/>
      </c>
      <c r="D11" s="6">
        <f>HYPERLINK(LEFT(CELL("filename",A1),FIND("[",CELL("filename",A1))-1)&amp;"매뉴얼BODY(집행단계-첨부폴더)v8\7.신호분야\9_자재 _ 인원 _ 장비 및 투입 사전 검토\수행지침\LTE-R_무선_AP를_통한_신호_제어_데이터_송수신_레벨_상세절차서.html", "📘 수행지침 열기")</f>
        <v/>
      </c>
      <c r="E11" s="7">
        <f>HYPERLINK(LEFT(CELL("filename",A1),FIND("[",CELL("filename",A1))-1)&amp;"매뉴얼BODY(집행단계-첨부폴더)v8\7.신호분야\9_자재 _ 인원 _ 장비 및 투입 사전 검토\체크리스트\자재 _ 인원 _ 장비 및 투입 사전 검토_체크리스트.html", "📋 체크리스트 열기")</f>
        <v/>
      </c>
    </row>
    <row r="12" ht="24" customHeight="1">
      <c r="A12" s="8" t="n">
        <v>10</v>
      </c>
      <c r="B12" s="9" t="inlineStr">
        <is>
          <t>장비반입 및 안전교육</t>
        </is>
      </c>
      <c r="C12" s="10">
        <f>HYPERLINK(LEFT(CELL("filename",A1),FIND("[",CELL("filename",A1))-1)&amp;"매뉴얼BODY(집행단계-첨부폴더)v8\7.신호분야\10_장비반입 및 안전교육\표준서\장비반입 및 안전교육_표준서.html", "📄 표준서 열기")</f>
        <v/>
      </c>
      <c r="D12" s="11">
        <f>HYPERLINK(LEFT(CELL("filename",A1),FIND("[",CELL("filename",A1))-1)&amp;"매뉴얼BODY(집행단계-첨부폴더)v8\7.신호분야\10_장비반입 및 안전교육\수행지침\LTE-R_무선_AP를_통한_신호_제어_데이터_송수신_레벨_상세절차서.html", "📘 수행지침 열기")</f>
        <v/>
      </c>
      <c r="E12" s="12">
        <f>HYPERLINK(LEFT(CELL("filename",A1),FIND("[",CELL("filename",A1))-1)&amp;"매뉴얼BODY(집행단계-첨부폴더)v8\7.신호분야\10_장비반입 및 안전교육\체크리스트\장비반입 및 안전교육_체크리스트.html", "📋 체크리스트 열기")</f>
        <v/>
      </c>
    </row>
    <row r="13" ht="24" customHeight="1">
      <c r="A13" s="3" t="n">
        <v>11</v>
      </c>
      <c r="B13" s="4" t="inlineStr">
        <is>
          <t>자재 반입 및 검수</t>
        </is>
      </c>
      <c r="C13" s="5">
        <f>HYPERLINK(LEFT(CELL("filename",A1),FIND("[",CELL("filename",A1))-1)&amp;"매뉴얼BODY(집행단계-첨부폴더)v8\7.신호분야\11_자재 반입 및 검수\표준서\자재 반입 및 검수_표준서.html", "📄 표준서 열기")</f>
        <v/>
      </c>
      <c r="D13" s="6">
        <f>HYPERLINK(LEFT(CELL("filename",A1),FIND("[",CELL("filename",A1))-1)&amp;"매뉴얼BODY(집행단계-첨부폴더)v8\7.신호분야\11_자재 반입 및 검수\수행지침\LTE-R_무선_AP를_통한_신호_제어_데이터_송수신_레벨_상세절차서.html", "📘 수행지침 열기")</f>
        <v/>
      </c>
      <c r="E13" s="7">
        <f>HYPERLINK(LEFT(CELL("filename",A1),FIND("[",CELL("filename",A1))-1)&amp;"매뉴얼BODY(집행단계-첨부폴더)v8\7.신호분야\11_자재 반입 및 검수\체크리스트\자재 반입 및 검수_체크리스트.html", "📋 체크리스트 열기")</f>
        <v/>
      </c>
    </row>
    <row r="14" ht="24" customHeight="1">
      <c r="A14" s="8" t="n">
        <v>12</v>
      </c>
      <c r="B14" s="9" t="inlineStr">
        <is>
          <t>시스템설비 설치 (현장_기능실)</t>
        </is>
      </c>
      <c r="C14" s="10">
        <f>HYPERLINK(LEFT(CELL("filename",A1),FIND("[",CELL("filename",A1))-1)&amp;"매뉴얼BODY(집행단계-첨부폴더)v8\7.신호분야\12_시스템설비 설치 (현장_기능실)\표준서\시스템설비 설치 (현장_기능실)_표준서.html", "📄 표준서 열기")</f>
        <v/>
      </c>
      <c r="D14" s="11">
        <f>HYPERLINK(LEFT(CELL("filename",A1),FIND("[",CELL("filename",A1))-1)&amp;"매뉴얼BODY(집행단계-첨부폴더)v8\7.신호분야\12_시스템설비 설치 (현장_기능실)\수행지침\LTE-R_무선_AP를_통한_신호_제어_데이터_송수신_레벨_상세절차서.html", "📘 수행지침 열기")</f>
        <v/>
      </c>
      <c r="E14" s="12">
        <f>HYPERLINK(LEFT(CELL("filename",A1),FIND("[",CELL("filename",A1))-1)&amp;"매뉴얼BODY(집행단계-첨부폴더)v8\7.신호분야\12_시스템설비 설치 (현장_기능실)\체크리스트\시스템설비 설치 (현장_기능실)_체크리스트.html", "📋 체크리스트 열기")</f>
        <v/>
      </c>
    </row>
    <row r="15" ht="24" customHeight="1">
      <c r="A15" s="3" t="n">
        <v>13</v>
      </c>
      <c r="B15" s="4" t="inlineStr">
        <is>
          <t>시스템 단위시험</t>
        </is>
      </c>
      <c r="C15" s="5">
        <f>HYPERLINK(LEFT(CELL("filename",A1),FIND("[",CELL("filename",A1))-1)&amp;"매뉴얼BODY(집행단계-첨부폴더)v8\7.신호분야\13_시스템 단위시험\표준서\시스템 단위시험_표준서.html", "📄 표준서 열기")</f>
        <v/>
      </c>
      <c r="D15" s="6">
        <f>HYPERLINK(LEFT(CELL("filename",A1),FIND("[",CELL("filename",A1))-1)&amp;"매뉴얼BODY(집행단계-첨부폴더)v8\7.신호분야\13_시스템 단위시험\수행지침\CBI_IO_릴레이_모듈_동작_상태_검측_상세절차서.html", "📘 수행지침 열기")</f>
        <v/>
      </c>
      <c r="E15" s="7">
        <f>HYPERLINK(LEFT(CELL("filename",A1),FIND("[",CELL("filename",A1))-1)&amp;"매뉴얼BODY(집행단계-첨부폴더)v8\7.신호분야\13_시스템 단위시험\체크리스트\시스템 단위시험_체크리스트.html", "📋 체크리스트 열기")</f>
        <v/>
      </c>
    </row>
    <row r="16" ht="24" customHeight="1">
      <c r="A16" s="8" t="n">
        <v>14</v>
      </c>
      <c r="B16" s="9" t="inlineStr">
        <is>
          <t>신호시스템 통합시험</t>
        </is>
      </c>
      <c r="C16" s="10">
        <f>HYPERLINK(LEFT(CELL("filename",A1),FIND("[",CELL("filename",A1))-1)&amp;"매뉴얼BODY(집행단계-첨부폴더)v8\7.신호분야\14_신호시스템 통합시험\표준서\신호시스템 통합시험_표준서.html", "📄 표준서 열기")</f>
        <v/>
      </c>
      <c r="D16" s="11">
        <f>HYPERLINK(LEFT(CELL("filename",A1),FIND("[",CELL("filename",A1))-1)&amp;"매뉴얼BODY(집행단계-첨부폴더)v8\7.신호분야\14_신호시스템 통합시험\수행지침\LTE-R_무선_AP를_통한_신호_제어_데이터_송수신_레벨_상세절차서.html", "📘 수행지침 열기")</f>
        <v/>
      </c>
      <c r="E16" s="12">
        <f>HYPERLINK(LEFT(CELL("filename",A1),FIND("[",CELL("filename",A1))-1)&amp;"매뉴얼BODY(집행단계-첨부폴더)v8\7.신호분야\14_신호시스템 통합시험\체크리스트\신호시스템 통합시험_체크리스트.html", "📋 체크리스트 열기")</f>
        <v/>
      </c>
    </row>
    <row r="17" ht="24" customHeight="1">
      <c r="A17" s="3" t="n">
        <v>15</v>
      </c>
      <c r="B17" s="4" t="inlineStr">
        <is>
          <t>공종별 시험</t>
        </is>
      </c>
      <c r="C17" s="5">
        <f>HYPERLINK(LEFT(CELL("filename",A1),FIND("[",CELL("filename",A1))-1)&amp;"매뉴얼BODY(집행단계-첨부폴더)v8\7.신호분야\15_공종별 시험\표준서\공종별 시험_표준서.html", "📄 표준서 열기")</f>
        <v/>
      </c>
      <c r="D17" s="6">
        <f>HYPERLINK(LEFT(CELL("filename",A1),FIND("[",CELL("filename",A1))-1)&amp;"매뉴얼BODY(집행단계-첨부폴더)v8\7.신호분야\15_공종별 시험\수행지침\LTE-R_무선_AP를_통한_신호_제어_데이터_송수신_레벨_상세절차서.html", "📘 수행지침 열기")</f>
        <v/>
      </c>
      <c r="E17" s="7">
        <f>HYPERLINK(LEFT(CELL("filename",A1),FIND("[",CELL("filename",A1))-1)&amp;"매뉴얼BODY(집행단계-첨부폴더)v8\7.신호분야\15_공종별 시험\체크리스트\공종별 시험_체크리스트.html", "📋 체크리스트 열기")</f>
        <v/>
      </c>
    </row>
    <row r="18" ht="24" customHeight="1">
      <c r="A18" s="8" t="n">
        <v>16</v>
      </c>
      <c r="B18" s="9" t="inlineStr">
        <is>
          <t>차량 투입 전 점검</t>
        </is>
      </c>
      <c r="C18" s="10">
        <f>HYPERLINK(LEFT(CELL("filename",A1),FIND("[",CELL("filename",A1))-1)&amp;"매뉴얼BODY(집행단계-첨부폴더)v8\7.신호분야\16_차량 투입 전 점검\표준서\차량 투입 전 점검_표준서.html", "📄 표준서 열기")</f>
        <v/>
      </c>
      <c r="D18" s="11">
        <f>HYPERLINK(LEFT(CELL("filename",A1),FIND("[",CELL("filename",A1))-1)&amp;"매뉴얼BODY(집행단계-첨부폴더)v8\7.신호분야\16_차량 투입 전 점검\수행지침\LTE-R_무선_AP를_통한_신호_제어_데이터_송수신_레벨_상세절차서.html", "📘 수행지침 열기")</f>
        <v/>
      </c>
      <c r="E18" s="12">
        <f>HYPERLINK(LEFT(CELL("filename",A1),FIND("[",CELL("filename",A1))-1)&amp;"매뉴얼BODY(집행단계-첨부폴더)v8\7.신호분야\16_차량 투입 전 점검\체크리스트\차량 투입 전 점검_체크리스트.html", "📋 체크리스트 열기")</f>
        <v/>
      </c>
    </row>
    <row r="19" ht="24" customHeight="1">
      <c r="A19" s="3" t="n">
        <v>17</v>
      </c>
      <c r="B19" s="4" t="inlineStr">
        <is>
          <t>차량 시운전</t>
        </is>
      </c>
      <c r="C19" s="5">
        <f>HYPERLINK(LEFT(CELL("filename",A1),FIND("[",CELL("filename",A1))-1)&amp;"매뉴얼BODY(집행단계-첨부폴더)v8\7.신호분야\17_차량 시운전\표준서\차량 시운전_표준서.html", "📄 표준서 열기")</f>
        <v/>
      </c>
      <c r="D19" s="6">
        <f>HYPERLINK(LEFT(CELL("filename",A1),FIND("[",CELL("filename",A1))-1)&amp;"매뉴얼BODY(집행단계-첨부폴더)v8\7.신호분야\17_차량 시운전\수행지침\LTE-R_무선_AP를_통한_신호_제어_데이터_송수신_레벨_상세절차서.html", "📘 수행지침 열기")</f>
        <v/>
      </c>
      <c r="E19" s="7">
        <f>HYPERLINK(LEFT(CELL("filename",A1),FIND("[",CELL("filename",A1))-1)&amp;"매뉴얼BODY(집행단계-첨부폴더)v8\7.신호분야\17_차량 시운전\체크리스트\차량 시운전_체크리스트.html", "📋 체크리스트 열기")</f>
        <v/>
      </c>
    </row>
    <row r="20" ht="24" customHeight="1">
      <c r="A20" s="8" t="n">
        <v>18</v>
      </c>
      <c r="B20" s="9" t="inlineStr">
        <is>
          <t>운영자 교육시행</t>
        </is>
      </c>
      <c r="C20" s="10">
        <f>HYPERLINK(LEFT(CELL("filename",A1),FIND("[",CELL("filename",A1))-1)&amp;"매뉴얼BODY(집행단계-첨부폴더)v8\7.신호분야\18_운영자 교육시행\표준서\운영자 교육시행_표준서.html", "📄 표준서 열기")</f>
        <v/>
      </c>
      <c r="D20" s="11">
        <f>HYPERLINK(LEFT(CELL("filename",A1),FIND("[",CELL("filename",A1))-1)&amp;"매뉴얼BODY(집행단계-첨부폴더)v8\7.신호분야\18_운영자 교육시행\수행지침\LTE-R_무선_AP를_통한_신호_제어_데이터_송수신_레벨_상세절차서.html", "📘 수행지침 열기")</f>
        <v/>
      </c>
      <c r="E20" s="12">
        <f>HYPERLINK(LEFT(CELL("filename",A1),FIND("[",CELL("filename",A1))-1)&amp;"매뉴얼BODY(집행단계-첨부폴더)v8\7.신호분야\18_운영자 교육시행\체크리스트\운영자 교육시행_체크리스트.html", "📋 체크리스트 열기")</f>
        <v/>
      </c>
    </row>
    <row r="21" ht="24" customHeight="1">
      <c r="A21" s="3" t="n">
        <v>19</v>
      </c>
      <c r="B21" s="4" t="inlineStr">
        <is>
          <t>사전점검 및 철도기술기준 검토</t>
        </is>
      </c>
      <c r="C21" s="5">
        <f>HYPERLINK(LEFT(CELL("filename",A1),FIND("[",CELL("filename",A1))-1)&amp;"매뉴얼BODY(집행단계-첨부폴더)v8\7.신호분야\19_사전점검 및 철도기술기준 검토\표준서\사전점검 및 철도기술기준 검토_표준서.html", "📄 표준서 열기")</f>
        <v/>
      </c>
      <c r="D21" s="6">
        <f>HYPERLINK(LEFT(CELL("filename",A1),FIND("[",CELL("filename",A1))-1)&amp;"매뉴얼BODY(집행단계-첨부폴더)v8\7.신호분야\19_사전점검 및 철도기술기준 검토\수행지침\LTE-R_무선_AP를_통한_신호_제어_데이터_송수신_레벨_상세절차서.html", "📘 수행지침 열기")</f>
        <v/>
      </c>
      <c r="E21" s="7">
        <f>HYPERLINK(LEFT(CELL("filename",A1),FIND("[",CELL("filename",A1))-1)&amp;"매뉴얼BODY(집행단계-첨부폴더)v8\7.신호분야\19_사전점검 및 철도기술기준 검토\체크리스트\사전점검 및 철도기술기준 검토_체크리스트.html", "📋 체크리스트 열기")</f>
        <v/>
      </c>
    </row>
    <row r="22" ht="24" customHeight="1">
      <c r="A22" s="8" t="n">
        <v>20</v>
      </c>
      <c r="B22" s="9" t="inlineStr">
        <is>
          <t>시설물 검증시험</t>
        </is>
      </c>
      <c r="C22" s="10">
        <f>HYPERLINK(LEFT(CELL("filename",A1),FIND("[",CELL("filename",A1))-1)&amp;"매뉴얼BODY(집행단계-첨부폴더)v8\7.신호분야\20_시설물 검증시험\표준서\시설물 검증시험_표준서.html", "📄 표준서 열기")</f>
        <v/>
      </c>
      <c r="D22" s="11">
        <f>HYPERLINK(LEFT(CELL("filename",A1),FIND("[",CELL("filename",A1))-1)&amp;"매뉴얼BODY(집행단계-첨부폴더)v8\7.신호분야\20_시설물 검증시험\수행지침\LTE-R_무선_AP를_통한_신호_제어_데이터_송수신_레벨_상세절차서.html", "📘 수행지침 열기")</f>
        <v/>
      </c>
      <c r="E22" s="12">
        <f>HYPERLINK(LEFT(CELL("filename",A1),FIND("[",CELL("filename",A1))-1)&amp;"매뉴얼BODY(집행단계-첨부폴더)v8\7.신호분야\20_시설물 검증시험\체크리스트\시설물 검증시험_체크리스트.html", "📋 체크리스트 열기")</f>
        <v/>
      </c>
    </row>
    <row r="23" ht="24" customHeight="1">
      <c r="A23" s="3" t="n">
        <v>21</v>
      </c>
      <c r="B23" s="4" t="inlineStr">
        <is>
          <t>영업 시운전</t>
        </is>
      </c>
      <c r="C23" s="5">
        <f>HYPERLINK(LEFT(CELL("filename",A1),FIND("[",CELL("filename",A1))-1)&amp;"매뉴얼BODY(집행단계-첨부폴더)v8\7.신호분야\21_영업 시운전\표준서\영업 시운전_표준서.html", "📄 표준서 열기")</f>
        <v/>
      </c>
      <c r="D23" s="6">
        <f>HYPERLINK(LEFT(CELL("filename",A1),FIND("[",CELL("filename",A1))-1)&amp;"매뉴얼BODY(집행단계-첨부폴더)v8\7.신호분야\21_영업 시운전\수행지침\LTE-R_무선_AP를_통한_신호_제어_데이터_송수신_레벨_상세절차서.html", "📘 수행지침 열기")</f>
        <v/>
      </c>
      <c r="E23" s="7">
        <f>HYPERLINK(LEFT(CELL("filename",A1),FIND("[",CELL("filename",A1))-1)&amp;"매뉴얼BODY(집행단계-첨부폴더)v8\7.신호분야\21_영업 시운전\체크리스트\영업 시운전_체크리스트.html", "📋 체크리스트 열기")</f>
        <v/>
      </c>
    </row>
    <row r="24" ht="24" customHeight="1">
      <c r="A24" s="8" t="n">
        <v>22</v>
      </c>
      <c r="B24" s="9" t="inlineStr">
        <is>
          <t>유지관리 설치</t>
        </is>
      </c>
      <c r="C24" s="10">
        <f>HYPERLINK(LEFT(CELL("filename",A1),FIND("[",CELL("filename",A1))-1)&amp;"매뉴얼BODY(집행단계-첨부폴더)v8\7.신호분야\22_유지관리 설치\표준서\유지관리 설치_표준서.html", "📄 표준서 열기")</f>
        <v/>
      </c>
      <c r="D24" s="11">
        <f>HYPERLINK(LEFT(CELL("filename",A1),FIND("[",CELL("filename",A1))-1)&amp;"매뉴얼BODY(집행단계-첨부폴더)v8\7.신호분야\22_유지관리 설치\수행지침\LTE-R_무선_AP를_통한_신호_제어_데이터_송수신_레벨_상세절차서.html", "📘 수행지침 열기")</f>
        <v/>
      </c>
      <c r="E24" s="12">
        <f>HYPERLINK(LEFT(CELL("filename",A1),FIND("[",CELL("filename",A1))-1)&amp;"매뉴얼BODY(집행단계-첨부폴더)v8\7.신호분야\22_유지관리 설치\체크리스트\유지관리 설치_체크리스트.html", "📋 체크리스트 열기")</f>
        <v/>
      </c>
    </row>
    <row r="25" ht="24" customHeight="1">
      <c r="A25" s="3" t="n">
        <v>23</v>
      </c>
      <c r="B25" s="4" t="inlineStr">
        <is>
          <t>Task_23</t>
        </is>
      </c>
      <c r="C25" s="5">
        <f>HYPERLINK(LEFT(CELL("filename",A1),FIND("[",CELL("filename",A1))-1)&amp;"매뉴얼BODY(집행단계-첨부폴더)v8\7.신호분야\23_Task_23\표준서\Task_23_표준서.html", "📄 표준서 열기")</f>
        <v/>
      </c>
      <c r="D25" s="6">
        <f>HYPERLINK(LEFT(CELL("filename",A1),FIND("[",CELL("filename",A1))-1)&amp;"매뉴얼BODY(집행단계-첨부폴더)v8\7.신호분야\23_Task_23\수행지침\Task_23_수행지침.html", "📘 수행지침 열기")</f>
        <v/>
      </c>
      <c r="E25" s="7">
        <f>HYPERLINK(LEFT(CELL("filename",A1),FIND("[",CELL("filename",A1))-1)&amp;"매뉴얼BODY(집행단계-첨부폴더)v8\7.신호분야\23_Task_23\체크리스트\Task_23_체크리스트.html", "📋 체크리스트 열기")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22" customWidth="1" min="4" max="4"/>
    <col width="22" customWidth="1" min="5" max="5"/>
  </cols>
  <sheetData>
    <row r="1" ht="35" customHeight="1">
      <c r="A1" s="1" t="inlineStr">
        <is>
          <t>동탄도시철도(트램) 전기 엔지니어링 매뉴얼 링크 대장</t>
        </is>
      </c>
    </row>
    <row r="2" ht="28" customHeight="1">
      <c r="A2" s="2" t="inlineStr">
        <is>
          <t>순번</t>
        </is>
      </c>
      <c r="B2" s="2" t="inlineStr">
        <is>
          <t>액티비티명 (Activity)</t>
        </is>
      </c>
      <c r="C2" s="2" t="inlineStr">
        <is>
          <t>표준서 (Standard)</t>
        </is>
      </c>
      <c r="D2" s="2" t="inlineStr">
        <is>
          <t>수행지침 (Guideline)</t>
        </is>
      </c>
      <c r="E2" s="2" t="inlineStr">
        <is>
          <t>체크리스트 (Checklist)</t>
        </is>
      </c>
    </row>
    <row r="3" ht="24" customHeight="1">
      <c r="A3" s="3" t="n">
        <v>1</v>
      </c>
      <c r="B3" s="4" t="inlineStr">
        <is>
          <t>설계적정성 검토</t>
        </is>
      </c>
      <c r="C3" s="5">
        <f>HYPERLINK(LEFT(CELL("filename",A1),FIND("[",CELL("filename",A1))-1)&amp;"매뉴얼BODY(집행단계-첨부폴더)v8\8.전기분야\1_설계적정성 검토\표준서\설계적정성 검토_표준서.html", "📄 표준서 열기")</f>
        <v/>
      </c>
      <c r="D3" s="6">
        <f>HYPERLINK(LEFT(CELL("filename",A1),FIND("[",CELL("filename",A1))-1)&amp;"매뉴얼BODY(집행단계-첨부폴더)v8\8.전기분야\1_설계적정성 검토\수행지침\설계적정성 검토_수행지침.html", "📘 수행지침 열기")</f>
        <v/>
      </c>
      <c r="E3" s="7">
        <f>HYPERLINK(LEFT(CELL("filename",A1),FIND("[",CELL("filename",A1))-1)&amp;"매뉴얼BODY(집행단계-첨부폴더)v8\8.전기분야\1_설계적정성 검토\체크리스트\설계적정성 검토_체크리스트.html", "📋 체크리스트 열기")</f>
        <v/>
      </c>
    </row>
    <row r="4" ht="24" customHeight="1">
      <c r="A4" s="8" t="n">
        <v>2</v>
      </c>
      <c r="B4" s="9" t="inlineStr">
        <is>
          <t>발주전략 KOM</t>
        </is>
      </c>
      <c r="C4" s="10">
        <f>HYPERLINK(LEFT(CELL("filename",A1),FIND("[",CELL("filename",A1))-1)&amp;"매뉴얼BODY(집행단계-첨부폴더)v8\8.전기분야\2_발주전략 KOM\표준서\발주전략 KOM_표준서.html", "📄 표준서 열기")</f>
        <v/>
      </c>
      <c r="D4" s="11">
        <f>HYPERLINK(LEFT(CELL("filename",A1),FIND("[",CELL("filename",A1))-1)&amp;"매뉴얼BODY(집행단계-첨부폴더)v8\8.전기분야\2_발주전략 KOM\수행지침\발주전략 KOM_수행지침.html", "📘 수행지침 열기")</f>
        <v/>
      </c>
      <c r="E4" s="12">
        <f>HYPERLINK(LEFT(CELL("filename",A1),FIND("[",CELL("filename",A1))-1)&amp;"매뉴얼BODY(집행단계-첨부폴더)v8\8.전기분야\2_발주전략 KOM\체크리스트\발주전략 KOM_체크리스트.html", "📋 체크리스트 열기")</f>
        <v/>
      </c>
    </row>
    <row r="5" ht="24" customHeight="1">
      <c r="A5" s="3" t="n">
        <v>3</v>
      </c>
      <c r="B5" s="4" t="inlineStr">
        <is>
          <t>토목 _ 건축 인터페이스 협의</t>
        </is>
      </c>
      <c r="C5" s="5">
        <f>HYPERLINK(LEFT(CELL("filename",A1),FIND("[",CELL("filename",A1))-1)&amp;"매뉴얼BODY(집행단계-첨부폴더)v8\8.전기분야\3_토목 _ 건축 인터페이스 협의\표준서\토목 _ 건축 인터페이스 협의_표준서.html", "📄 표준서 열기")</f>
        <v/>
      </c>
      <c r="D5" s="6">
        <f>HYPERLINK(LEFT(CELL("filename",A1),FIND("[",CELL("filename",A1))-1)&amp;"매뉴얼BODY(집행단계-첨부폴더)v8\8.전기분야\3_토목 _ 건축 인터페이스 협의\수행지침\토목 _ 건축 인터페이스 협의_수행지침.html", "📘 수행지침 열기")</f>
        <v/>
      </c>
      <c r="E5" s="7">
        <f>HYPERLINK(LEFT(CELL("filename",A1),FIND("[",CELL("filename",A1))-1)&amp;"매뉴얼BODY(집행단계-첨부폴더)v8\8.전기분야\3_토목 _ 건축 인터페이스 협의\체크리스트\토목 _ 건축 인터페이스 협의_체크리스트.html", "📋 체크리스트 열기")</f>
        <v/>
      </c>
    </row>
    <row r="6" ht="24" customHeight="1">
      <c r="A6" s="8" t="n">
        <v>4</v>
      </c>
      <c r="B6" s="9" t="inlineStr">
        <is>
          <t>신호 _ 통신 _ 기계 _ PSD _ 차량 인터페이스 협의</t>
        </is>
      </c>
      <c r="C6" s="10">
        <f>HYPERLINK(LEFT(CELL("filename",A1),FIND("[",CELL("filename",A1))-1)&amp;"매뉴얼BODY(집행단계-첨부폴더)v8\8.전기분야\4_신호 _ 통신 _ 기계 _ PSD _ 차량 인터페이스 협의\표준서\신호 _ 통신 _ 기계 _ PSD _ 차량 인터페이스 협의_표준서.html", "📄 표준서 열기")</f>
        <v/>
      </c>
      <c r="D6" s="11">
        <f>HYPERLINK(LEFT(CELL("filename",A1),FIND("[",CELL("filename",A1))-1)&amp;"매뉴얼BODY(집행단계-첨부폴더)v8\8.전기분야\4_신호 _ 통신 _ 기계 _ PSD _ 차량 인터페이스 협의\수행지침\신호 _ 통신 _ 기계 _ PSD _ 차량 인터페이스 협의_수행지침.html", "📘 수행지침 열기")</f>
        <v/>
      </c>
      <c r="E6" s="12">
        <f>HYPERLINK(LEFT(CELL("filename",A1),FIND("[",CELL("filename",A1))-1)&amp;"매뉴얼BODY(집행단계-첨부폴더)v8\8.전기분야\4_신호 _ 통신 _ 기계 _ PSD _ 차량 인터페이스 협의\체크리스트\신호 _ 통신 _ 기계 _ PSD _ 차량 인터페이스 협의_체크리스트.html", "📋 체크리스트 열기")</f>
        <v/>
      </c>
    </row>
    <row r="7" ht="24" customHeight="1">
      <c r="A7" s="3" t="n">
        <v>5</v>
      </c>
      <c r="B7" s="4" t="inlineStr">
        <is>
          <t>전기설비 제작사 인터페이스 협의</t>
        </is>
      </c>
      <c r="C7" s="5">
        <f>HYPERLINK(LEFT(CELL("filename",A1),FIND("[",CELL("filename",A1))-1)&amp;"매뉴얼BODY(집행단계-첨부폴더)v8\8.전기분야\5_전기설비 제작사 인터페이스 협의\표준서\전기설비 제작사 인터페이스 협의_표준서.html", "📄 표준서 열기")</f>
        <v/>
      </c>
      <c r="D7" s="6">
        <f>HYPERLINK(LEFT(CELL("filename",A1),FIND("[",CELL("filename",A1))-1)&amp;"매뉴얼BODY(집행단계-첨부폴더)v8\8.전기분야\5_전기설비 제작사 인터페이스 협의\수행지침\전기설비 제작사 인터페이스 협의_수행지침.html", "📘 수행지침 열기")</f>
        <v/>
      </c>
      <c r="E7" s="7">
        <f>HYPERLINK(LEFT(CELL("filename",A1),FIND("[",CELL("filename",A1))-1)&amp;"매뉴얼BODY(집행단계-첨부폴더)v8\8.전기분야\5_전기설비 제작사 인터페이스 협의\체크리스트\전기설비 제작사 인터페이스 협의_체크리스트.html", "📋 체크리스트 열기")</f>
        <v/>
      </c>
    </row>
    <row r="8" ht="24" customHeight="1">
      <c r="A8" s="8" t="n">
        <v>6</v>
      </c>
      <c r="B8" s="9" t="inlineStr">
        <is>
          <t>관제 및 운영사 인터페이스 협의</t>
        </is>
      </c>
      <c r="C8" s="10">
        <f>HYPERLINK(LEFT(CELL("filename",A1),FIND("[",CELL("filename",A1))-1)&amp;"매뉴얼BODY(집행단계-첨부폴더)v8\8.전기분야\6_관제 및 운영사 인터페이스 협의\표준서\관제 및 운영사 인터페이스 협의_표준서.html", "📄 표준서 열기")</f>
        <v/>
      </c>
      <c r="D8" s="11">
        <f>HYPERLINK(LEFT(CELL("filename",A1),FIND("[",CELL("filename",A1))-1)&amp;"매뉴얼BODY(집행단계-첨부폴더)v8\8.전기분야\6_관제 및 운영사 인터페이스 협의\수행지침\관제 및 운영사 인터페이스 협의_수행지침.html", "📘 수행지침 열기")</f>
        <v/>
      </c>
      <c r="E8" s="12">
        <f>HYPERLINK(LEFT(CELL("filename",A1),FIND("[",CELL("filename",A1))-1)&amp;"매뉴얼BODY(집행단계-첨부폴더)v8\8.전기분야\6_관제 및 운영사 인터페이스 협의\체크리스트\관제 및 운영사 인터페이스 협의_체크리스트.html", "📋 체크리스트 열기")</f>
        <v/>
      </c>
    </row>
    <row r="9" ht="24" customHeight="1">
      <c r="A9" s="3" t="n">
        <v>7</v>
      </c>
      <c r="B9" s="4" t="inlineStr">
        <is>
          <t>발주처 품질 요구사항 검토</t>
        </is>
      </c>
      <c r="C9" s="5">
        <f>HYPERLINK(LEFT(CELL("filename",A1),FIND("[",CELL("filename",A1))-1)&amp;"매뉴얼BODY(집행단계-첨부폴더)v8\8.전기분야\7_발주처 품질 요구사항 검토\표준서\발주처 품질 요구사항 검토_표준서.html", "📄 표준서 열기")</f>
        <v/>
      </c>
      <c r="D9" s="6">
        <f>HYPERLINK(LEFT(CELL("filename",A1),FIND("[",CELL("filename",A1))-1)&amp;"매뉴얼BODY(집행단계-첨부폴더)v8\8.전기분야\7_발주처 품질 요구사항 검토\수행지침\발주처 품질 요구사항 검토_수행지침.html", "📘 수행지침 열기")</f>
        <v/>
      </c>
      <c r="E9" s="7">
        <f>HYPERLINK(LEFT(CELL("filename",A1),FIND("[",CELL("filename",A1))-1)&amp;"매뉴얼BODY(집행단계-첨부폴더)v8\8.전기분야\7_발주처 품질 요구사항 검토\체크리스트\발주처 품질 요구사항 검토_체크리스트.html", "📋 체크리스트 열기")</f>
        <v/>
      </c>
    </row>
    <row r="10" ht="24" customHeight="1">
      <c r="A10" s="8" t="n">
        <v>8</v>
      </c>
      <c r="B10" s="9" t="inlineStr">
        <is>
          <t>자재 _ 인원 _ 장비 등 투입 사전 검토</t>
        </is>
      </c>
      <c r="C10" s="10">
        <f>HYPERLINK(LEFT(CELL("filename",A1),FIND("[",CELL("filename",A1))-1)&amp;"매뉴얼BODY(집행단계-첨부폴더)v8\8.전기분야\8_자재 _ 인원 _ 장비 등 투입 사전 검토\표준서\자재 _ 인원 _ 장비 등 투입 사전 검토_표준서.html", "📄 표준서 열기")</f>
        <v/>
      </c>
      <c r="D10" s="11">
        <f>HYPERLINK(LEFT(CELL("filename",A1),FIND("[",CELL("filename",A1))-1)&amp;"매뉴얼BODY(집행단계-첨부폴더)v8\8.전기분야\8_자재 _ 인원 _ 장비 등 투입 사전 검토\수행지침\자재 _ 인원 _ 장비 등 투입 사전 검토_수행지침.html", "📘 수행지침 열기")</f>
        <v/>
      </c>
      <c r="E10" s="12">
        <f>HYPERLINK(LEFT(CELL("filename",A1),FIND("[",CELL("filename",A1))-1)&amp;"매뉴얼BODY(집행단계-첨부폴더)v8\8.전기분야\8_자재 _ 인원 _ 장비 등 투입 사전 검토\체크리스트\자재 _ 인원 _ 장비 등 투입 사전 검토_체크리스트.html", "📋 체크리스트 열기")</f>
        <v/>
      </c>
    </row>
    <row r="11" ht="24" customHeight="1">
      <c r="A11" s="3" t="n">
        <v>9</v>
      </c>
      <c r="B11" s="4" t="inlineStr">
        <is>
          <t>인허가 준비</t>
        </is>
      </c>
      <c r="C11" s="5">
        <f>HYPERLINK(LEFT(CELL("filename",A1),FIND("[",CELL("filename",A1))-1)&amp;"매뉴얼BODY(집행단계-첨부폴더)v8\8.전기분야\9_인허가 준비\표준서\인허가 준비_표준서.html", "📄 표준서 열기")</f>
        <v/>
      </c>
      <c r="D11" s="6">
        <f>HYPERLINK(LEFT(CELL("filename",A1),FIND("[",CELL("filename",A1))-1)&amp;"매뉴얼BODY(집행단계-첨부폴더)v8\8.전기분야\9_인허가 준비\수행지침\인허가 준비_수행지침.html", "📘 수행지침 열기")</f>
        <v/>
      </c>
      <c r="E11" s="7">
        <f>HYPERLINK(LEFT(CELL("filename",A1),FIND("[",CELL("filename",A1))-1)&amp;"매뉴얼BODY(집행단계-첨부폴더)v8\8.전기분야\9_인허가 준비\체크리스트\인허가 준비_체크리스트.html", "📋 체크리스트 열기")</f>
        <v/>
      </c>
    </row>
    <row r="12" ht="24" customHeight="1">
      <c r="A12" s="8" t="n">
        <v>10</v>
      </c>
      <c r="B12" s="9" t="inlineStr">
        <is>
          <t>착수 전 Big Room 회의</t>
        </is>
      </c>
      <c r="C12" s="10">
        <f>HYPERLINK(LEFT(CELL("filename",A1),FIND("[",CELL("filename",A1))-1)&amp;"매뉴얼BODY(집행단계-첨부폴더)v8\8.전기분야\10_착수 전 Big Room 회의\표준서\착수 전 Big Room 회의_표준서.html", "📄 표준서 열기")</f>
        <v/>
      </c>
      <c r="D12" s="11">
        <f>HYPERLINK(LEFT(CELL("filename",A1),FIND("[",CELL("filename",A1))-1)&amp;"매뉴얼BODY(집행단계-첨부폴더)v8\8.전기분야\10_착수 전 Big Room 회의\수행지침\착수 전 Big Room 회의_수행지침.html", "📘 수행지침 열기")</f>
        <v/>
      </c>
      <c r="E12" s="12">
        <f>HYPERLINK(LEFT(CELL("filename",A1),FIND("[",CELL("filename",A1))-1)&amp;"매뉴얼BODY(집행단계-첨부폴더)v8\8.전기분야\10_착수 전 Big Room 회의\체크리스트\착수 전 Big Room 회의_체크리스트.html", "📋 체크리스트 열기")</f>
        <v/>
      </c>
    </row>
    <row r="13" ht="24" customHeight="1">
      <c r="A13" s="3" t="n">
        <v>11</v>
      </c>
      <c r="B13" s="4" t="inlineStr">
        <is>
          <t>전기설비 제작 사양서 작성 _ 승인</t>
        </is>
      </c>
      <c r="C13" s="5">
        <f>HYPERLINK(LEFT(CELL("filename",A1),FIND("[",CELL("filename",A1))-1)&amp;"매뉴얼BODY(집행단계-첨부폴더)v8\8.전기분야\11_전기설비 제작 사양서 작성 _ 승인\표준서\전기설비 제작 사양서 작성 _ 승인_표준서.html", "📄 표준서 열기")</f>
        <v/>
      </c>
      <c r="D13" s="6">
        <f>HYPERLINK(LEFT(CELL("filename",A1),FIND("[",CELL("filename",A1))-1)&amp;"매뉴얼BODY(집행단계-첨부폴더)v8\8.전기분야\11_전기설비 제작 사양서 작성 _ 승인\수행지침\전기설비 제작 사양서 작성 _ 승인_수행지침.html", "📘 수행지침 열기")</f>
        <v/>
      </c>
      <c r="E13" s="7">
        <f>HYPERLINK(LEFT(CELL("filename",A1),FIND("[",CELL("filename",A1))-1)&amp;"매뉴얼BODY(집행단계-첨부폴더)v8\8.전기분야\11_전기설비 제작 사양서 작성 _ 승인\체크리스트\전기설비 제작 사양서 작성 _ 승인_체크리스트.html", "📋 체크리스트 열기")</f>
        <v/>
      </c>
    </row>
    <row r="14" ht="24" customHeight="1">
      <c r="A14" s="8" t="n">
        <v>12</v>
      </c>
      <c r="B14" s="9" t="inlineStr">
        <is>
          <t>시공 계획 수립 _ 승인</t>
        </is>
      </c>
      <c r="C14" s="10">
        <f>HYPERLINK(LEFT(CELL("filename",A1),FIND("[",CELL("filename",A1))-1)&amp;"매뉴얼BODY(집행단계-첨부폴더)v8\8.전기분야\12_시공 계획 수립 _ 승인\표준서\시공 계획 수립 _ 승인_표준서.html", "📄 표준서 열기")</f>
        <v/>
      </c>
      <c r="D14" s="11">
        <f>HYPERLINK(LEFT(CELL("filename",A1),FIND("[",CELL("filename",A1))-1)&amp;"매뉴얼BODY(집행단계-첨부폴더)v8\8.전기분야\12_시공 계획 수립 _ 승인\수행지침\시공 계획 수립 _ 승인_수행지침.html", "📘 수행지침 열기")</f>
        <v/>
      </c>
      <c r="E14" s="12">
        <f>HYPERLINK(LEFT(CELL("filename",A1),FIND("[",CELL("filename",A1))-1)&amp;"매뉴얼BODY(집행단계-첨부폴더)v8\8.전기분야\12_시공 계획 수립 _ 승인\체크리스트\시공 계획 수립 _ 승인_체크리스트.html", "📋 체크리스트 열기")</f>
        <v/>
      </c>
    </row>
    <row r="15" ht="24" customHeight="1">
      <c r="A15" s="3" t="n">
        <v>13</v>
      </c>
      <c r="B15" s="4" t="inlineStr">
        <is>
          <t>자재공급원_기자재 제작도서 승인</t>
        </is>
      </c>
      <c r="C15" s="5">
        <f>HYPERLINK(LEFT(CELL("filename",A1),FIND("[",CELL("filename",A1))-1)&amp;"매뉴얼BODY(집행단계-첨부폴더)v8\8.전기분야\13_자재공급원_기자재 제작도서 승인\표준서\자재공급원_기자재 제작도서 승인_표준서.html", "📄 표준서 열기")</f>
        <v/>
      </c>
      <c r="D15" s="6">
        <f>HYPERLINK(LEFT(CELL("filename",A1),FIND("[",CELL("filename",A1))-1)&amp;"매뉴얼BODY(집행단계-첨부폴더)v8\8.전기분야\13_자재공급원_기자재 제작도서 승인\수행지침\자재공급원_기자재 제작도서 승인_수행지침.html", "📘 수행지침 열기")</f>
        <v/>
      </c>
      <c r="E15" s="7">
        <f>HYPERLINK(LEFT(CELL("filename",A1),FIND("[",CELL("filename",A1))-1)&amp;"매뉴얼BODY(집행단계-첨부폴더)v8\8.전기분야\13_자재공급원_기자재 제작도서 승인\체크리스트\자재공급원_기자재 제작도서 승인_체크리스트.html", "📋 체크리스트 열기")</f>
        <v/>
      </c>
    </row>
    <row r="16" ht="24" customHeight="1">
      <c r="A16" s="8" t="n">
        <v>14</v>
      </c>
      <c r="B16" s="9" t="inlineStr">
        <is>
          <t>전기설비 공정제작 _ 제작사 공장검사</t>
        </is>
      </c>
      <c r="C16" s="10">
        <f>HYPERLINK(LEFT(CELL("filename",A1),FIND("[",CELL("filename",A1))-1)&amp;"매뉴얼BODY(집행단계-첨부폴더)v8\8.전기분야\14_전기설비 공정제작 _ 제작사 공장검사\표준서\전기설비 공정제작 _ 제작사 공장검사_표준서.html", "📄 표준서 열기")</f>
        <v/>
      </c>
      <c r="D16" s="11">
        <f>HYPERLINK(LEFT(CELL("filename",A1),FIND("[",CELL("filename",A1))-1)&amp;"매뉴얼BODY(집행단계-첨부폴더)v8\8.전기분야\14_전기설비 공정제작 _ 제작사 공장검사\수행지침\전기설비 공정제작 _ 제작사 공장검사_수행지침.html", "📘 수행지침 열기")</f>
        <v/>
      </c>
      <c r="E16" s="12">
        <f>HYPERLINK(LEFT(CELL("filename",A1),FIND("[",CELL("filename",A1))-1)&amp;"매뉴얼BODY(집행단계-첨부폴더)v8\8.전기분야\14_전기설비 공정제작 _ 제작사 공장검사\체크리스트\전기설비 공정제작 _ 제작사 공장검사_체크리스트.html", "📋 체크리스트 열기")</f>
        <v/>
      </c>
    </row>
    <row r="17" ht="24" customHeight="1">
      <c r="A17" s="3" t="n">
        <v>15</v>
      </c>
      <c r="B17" s="4" t="inlineStr">
        <is>
          <t>본공사 전 선행공정 인수인계 점검</t>
        </is>
      </c>
      <c r="C17" s="5">
        <f>HYPERLINK(LEFT(CELL("filename",A1),FIND("[",CELL("filename",A1))-1)&amp;"매뉴얼BODY(집행단계-첨부폴더)v8\8.전기분야\15_본공사 전 선행공정 인수인계 점검\표준서\본공사 전 선행공정 인수인계 점검_표준서.html", "📄 표준서 열기")</f>
        <v/>
      </c>
      <c r="D17" s="6">
        <f>HYPERLINK(LEFT(CELL("filename",A1),FIND("[",CELL("filename",A1))-1)&amp;"매뉴얼BODY(집행단계-첨부폴더)v8\8.전기분야\15_본공사 전 선행공정 인수인계 점검\수행지침\본공사 전 선행공정 인수인계 점검_수행지침.html", "📘 수행지침 열기")</f>
        <v/>
      </c>
      <c r="E17" s="7">
        <f>HYPERLINK(LEFT(CELL("filename",A1),FIND("[",CELL("filename",A1))-1)&amp;"매뉴얼BODY(집행단계-첨부폴더)v8\8.전기분야\15_본공사 전 선행공정 인수인계 점검\체크리스트\본공사 전 선행공정 인수인계 점검_체크리스트.html", "📋 체크리스트 열기")</f>
        <v/>
      </c>
    </row>
    <row r="18" ht="24" customHeight="1">
      <c r="A18" s="8" t="n">
        <v>16</v>
      </c>
      <c r="B18" s="9" t="inlineStr">
        <is>
          <t>장비반입 및 안전교육</t>
        </is>
      </c>
      <c r="C18" s="10">
        <f>HYPERLINK(LEFT(CELL("filename",A1),FIND("[",CELL("filename",A1))-1)&amp;"매뉴얼BODY(집행단계-첨부폴더)v8\8.전기분야\16_장비반입 및 안전교육\표준서\장비반입 및 안전교육_표준서.html", "📄 표준서 열기")</f>
        <v/>
      </c>
      <c r="D18" s="11">
        <f>HYPERLINK(LEFT(CELL("filename",A1),FIND("[",CELL("filename",A1))-1)&amp;"매뉴얼BODY(집행단계-첨부폴더)v8\8.전기분야\16_장비반입 및 안전교육\수행지침\장비반입 및 안전교육_수행지침.html", "📘 수행지침 열기")</f>
        <v/>
      </c>
      <c r="E18" s="12">
        <f>HYPERLINK(LEFT(CELL("filename",A1),FIND("[",CELL("filename",A1))-1)&amp;"매뉴얼BODY(집행단계-첨부폴더)v8\8.전기분야\16_장비반입 및 안전교육\체크리스트\장비반입 및 안전교육_체크리스트.html", "📋 체크리스트 열기")</f>
        <v/>
      </c>
    </row>
    <row r="19" ht="24" customHeight="1">
      <c r="A19" s="3" t="n">
        <v>17</v>
      </c>
      <c r="B19" s="4" t="inlineStr">
        <is>
          <t>자재 반입 및 검수</t>
        </is>
      </c>
      <c r="C19" s="5">
        <f>HYPERLINK(LEFT(CELL("filename",A1),FIND("[",CELL("filename",A1))-1)&amp;"매뉴얼BODY(집행단계-첨부폴더)v8\8.전기분야\17_자재 반입 및 검수\표준서\자재 반입 및 검수_표준서.html", "📄 표준서 열기")</f>
        <v/>
      </c>
      <c r="D19" s="6">
        <f>HYPERLINK(LEFT(CELL("filename",A1),FIND("[",CELL("filename",A1))-1)&amp;"매뉴얼BODY(집행단계-첨부폴더)v8\8.전기분야\17_자재 반입 및 검수\수행지침\자재 반입 및 검수_수행지침.html", "📘 수행지침 열기")</f>
        <v/>
      </c>
      <c r="E19" s="7">
        <f>HYPERLINK(LEFT(CELL("filename",A1),FIND("[",CELL("filename",A1))-1)&amp;"매뉴얼BODY(집행단계-첨부폴더)v8\8.전기분야\17_자재 반입 및 검수\체크리스트\자재 반입 및 검수_체크리스트.html", "📋 체크리스트 열기")</f>
        <v/>
      </c>
    </row>
    <row r="20" ht="24" customHeight="1">
      <c r="A20" s="8" t="n">
        <v>18</v>
      </c>
      <c r="B20" s="9" t="inlineStr">
        <is>
          <t>전철전력설비 반입 및 설치</t>
        </is>
      </c>
      <c r="C20" s="10">
        <f>HYPERLINK(LEFT(CELL("filename",A1),FIND("[",CELL("filename",A1))-1)&amp;"매뉴얼BODY(집행단계-첨부폴더)v8\8.전기분야\18_전철전력설비 반입 및 설치\표준서\전철전력설비 반입 및 설치_표준서.html", "📄 표준서 열기")</f>
        <v/>
      </c>
      <c r="D20" s="11">
        <f>HYPERLINK(LEFT(CELL("filename",A1),FIND("[",CELL("filename",A1))-1)&amp;"매뉴얼BODY(집행단계-첨부폴더)v8\8.전기분야\18_전철전력설비 반입 및 설치\수행지침\전철전력설비 반입 및 설치_수행지침.html", "📘 수행지침 열기")</f>
        <v/>
      </c>
      <c r="E20" s="12">
        <f>HYPERLINK(LEFT(CELL("filename",A1),FIND("[",CELL("filename",A1))-1)&amp;"매뉴얼BODY(집행단계-첨부폴더)v8\8.전기분야\18_전철전력설비 반입 및 설치\체크리스트\전철전력설비 반입 및 설치_체크리스트.html", "📋 체크리스트 열기")</f>
        <v/>
      </c>
    </row>
    <row r="21" ht="24" customHeight="1">
      <c r="A21" s="3" t="n">
        <v>19</v>
      </c>
      <c r="B21" s="4" t="inlineStr">
        <is>
          <t>수전용 케이블 트레이 및 케이블 포설</t>
        </is>
      </c>
      <c r="C21" s="5">
        <f>HYPERLINK(LEFT(CELL("filename",A1),FIND("[",CELL("filename",A1))-1)&amp;"매뉴얼BODY(집행단계-첨부폴더)v8\8.전기분야\19_수전용 케이블 트레이 및 케이블 포설\표준서\수전용 케이블 트레이 및 케이블 포설_표준서.html", "📄 표준서 열기")</f>
        <v/>
      </c>
      <c r="D21" s="6">
        <f>HYPERLINK(LEFT(CELL("filename",A1),FIND("[",CELL("filename",A1))-1)&amp;"매뉴얼BODY(집행단계-첨부폴더)v8\8.전기분야\19_수전용 케이블 트레이 및 케이블 포설\수행지침\수전용 케이블 트레이 및 케이블 포설_수행지침.html", "📘 수행지침 열기")</f>
        <v/>
      </c>
      <c r="E21" s="7">
        <f>HYPERLINK(LEFT(CELL("filename",A1),FIND("[",CELL("filename",A1))-1)&amp;"매뉴얼BODY(집행단계-첨부폴더)v8\8.전기분야\19_수전용 케이블 트레이 및 케이블 포설\체크리스트\수전용 케이블 트레이 및 케이블 포설_체크리스트.html", "📋 체크리스트 열기")</f>
        <v/>
      </c>
    </row>
    <row r="22" ht="24" customHeight="1">
      <c r="A22" s="8" t="n">
        <v>20</v>
      </c>
      <c r="B22" s="9" t="inlineStr">
        <is>
          <t>수전 및 전기공급(급전)</t>
        </is>
      </c>
      <c r="C22" s="10">
        <f>HYPERLINK(LEFT(CELL("filename",A1),FIND("[",CELL("filename",A1))-1)&amp;"매뉴얼BODY(집행단계-첨부폴더)v8\8.전기분야\20_수전 및 전기공급(급전)\표준서\수전 및 전기공급(급전)_표준서.html", "📄 표준서 열기")</f>
        <v/>
      </c>
      <c r="D22" s="11">
        <f>HYPERLINK(LEFT(CELL("filename",A1),FIND("[",CELL("filename",A1))-1)&amp;"매뉴얼BODY(집행단계-첨부폴더)v8\8.전기분야\20_수전 및 전기공급(급전)\수행지침\수전 및 전기공급(급전)_수행지침.html", "📘 수행지침 열기")</f>
        <v/>
      </c>
      <c r="E22" s="12">
        <f>HYPERLINK(LEFT(CELL("filename",A1),FIND("[",CELL("filename",A1))-1)&amp;"매뉴얼BODY(집행단계-첨부폴더)v8\8.전기분야\20_수전 및 전기공급(급전)\체크리스트\수전 및 전기공급(급전)_체크리스트.html", "📋 체크리스트 열기")</f>
        <v/>
      </c>
    </row>
    <row r="23" ht="24" customHeight="1">
      <c r="A23" s="3" t="n">
        <v>21</v>
      </c>
      <c r="B23" s="4" t="inlineStr">
        <is>
          <t>종합연동시험(SCADA) 실시</t>
        </is>
      </c>
      <c r="C23" s="5">
        <f>HYPERLINK(LEFT(CELL("filename",A1),FIND("[",CELL("filename",A1))-1)&amp;"매뉴얼BODY(집행단계-첨부폴더)v8\8.전기분야\21_종합연동시험(SCADA) 실시\표준서\종합연동시험(SCADA) 실시_표준서.html", "📄 표준서 열기")</f>
        <v/>
      </c>
      <c r="D23" s="6">
        <f>HYPERLINK(LEFT(CELL("filename",A1),FIND("[",CELL("filename",A1))-1)&amp;"매뉴얼BODY(집행단계-첨부폴더)v8\8.전기분야\21_종합연동시험(SCADA) 실시\수행지침\종합연동시험(SCADA) 실시_수행지침.html", "📘 수행지침 열기")</f>
        <v/>
      </c>
      <c r="E23" s="7">
        <f>HYPERLINK(LEFT(CELL("filename",A1),FIND("[",CELL("filename",A1))-1)&amp;"매뉴얼BODY(집행단계-첨부폴더)v8\8.전기분야\21_종합연동시험(SCADA) 실시\체크리스트\종합연동시험(SCADA) 실시_체크리스트.html", "📋 체크리스트 열기")</f>
        <v/>
      </c>
    </row>
    <row r="24" ht="24" customHeight="1">
      <c r="A24" s="8" t="n">
        <v>22</v>
      </c>
      <c r="B24" s="9" t="inlineStr">
        <is>
          <t>공종별 시험</t>
        </is>
      </c>
      <c r="C24" s="10">
        <f>HYPERLINK(LEFT(CELL("filename",A1),FIND("[",CELL("filename",A1))-1)&amp;"매뉴얼BODY(집행단계-첨부폴더)v8\8.전기분야\22_공종별 시험\표준서\공종별 시험_표준서.html", "📄 표준서 열기")</f>
        <v/>
      </c>
      <c r="D24" s="11">
        <f>HYPERLINK(LEFT(CELL("filename",A1),FIND("[",CELL("filename",A1))-1)&amp;"매뉴얼BODY(집행단계-첨부폴더)v8\8.전기분야\22_공종별 시험\수행지침\공종별 시험_수행지침.html", "📘 수행지침 열기")</f>
        <v/>
      </c>
      <c r="E24" s="12">
        <f>HYPERLINK(LEFT(CELL("filename",A1),FIND("[",CELL("filename",A1))-1)&amp;"매뉴얼BODY(집행단계-첨부폴더)v8\8.전기분야\22_공종별 시험\체크리스트\공종별 시험_체크리스트.html", "📋 체크리스트 열기")</f>
        <v/>
      </c>
    </row>
    <row r="25" ht="24" customHeight="1">
      <c r="A25" s="3" t="n">
        <v>23</v>
      </c>
      <c r="B25" s="4" t="inlineStr">
        <is>
          <t>차량 투입 전 점검</t>
        </is>
      </c>
      <c r="C25" s="5">
        <f>HYPERLINK(LEFT(CELL("filename",A1),FIND("[",CELL("filename",A1))-1)&amp;"매뉴얼BODY(집행단계-첨부폴더)v8\8.전기분야\23_차량 투입 전 점검\표준서\차량 투입 전 점검_표준서.html", "📄 표준서 열기")</f>
        <v/>
      </c>
      <c r="D25" s="6">
        <f>HYPERLINK(LEFT(CELL("filename",A1),FIND("[",CELL("filename",A1))-1)&amp;"매뉴얼BODY(집행단계-첨부폴더)v8\8.전기분야\23_차량 투입 전 점검\수행지침\차량 투입 전 점검_수행지침.html", "📘 수행지침 열기")</f>
        <v/>
      </c>
      <c r="E25" s="7">
        <f>HYPERLINK(LEFT(CELL("filename",A1),FIND("[",CELL("filename",A1))-1)&amp;"매뉴얼BODY(집행단계-첨부폴더)v8\8.전기분야\23_차량 투입 전 점검\체크리스트\차량 투입 전 점검_체크리스트.html", "📋 체크리스트 열기")</f>
        <v/>
      </c>
    </row>
    <row r="26" ht="24" customHeight="1">
      <c r="A26" s="8" t="n">
        <v>24</v>
      </c>
      <c r="B26" s="9" t="inlineStr">
        <is>
          <t>차량 시운전</t>
        </is>
      </c>
      <c r="C26" s="10">
        <f>HYPERLINK(LEFT(CELL("filename",A1),FIND("[",CELL("filename",A1))-1)&amp;"매뉴얼BODY(집행단계-첨부폴더)v8\8.전기분야\24_차량 시운전\표준서\차량 시운전_표준서.html", "📄 표준서 열기")</f>
        <v/>
      </c>
      <c r="D26" s="11">
        <f>HYPERLINK(LEFT(CELL("filename",A1),FIND("[",CELL("filename",A1))-1)&amp;"매뉴얼BODY(집행단계-첨부폴더)v8\8.전기분야\24_차량 시운전\수행지침\차량 시운전_수행지침.html", "📘 수행지침 열기")</f>
        <v/>
      </c>
      <c r="E26" s="12">
        <f>HYPERLINK(LEFT(CELL("filename",A1),FIND("[",CELL("filename",A1))-1)&amp;"매뉴얼BODY(집행단계-첨부폴더)v8\8.전기분야\24_차량 시운전\체크리스트\차량 시운전_체크리스트.html", "📋 체크리스트 열기")</f>
        <v/>
      </c>
    </row>
    <row r="27" ht="24" customHeight="1">
      <c r="A27" s="3" t="n">
        <v>25</v>
      </c>
      <c r="B27" s="4" t="inlineStr">
        <is>
          <t>운영자 교육시행</t>
        </is>
      </c>
      <c r="C27" s="5">
        <f>HYPERLINK(LEFT(CELL("filename",A1),FIND("[",CELL("filename",A1))-1)&amp;"매뉴얼BODY(집행단계-첨부폴더)v8\8.전기분야\25_운영자 교육시행\표준서\운영자 교육시행_표준서.html", "📄 표준서 열기")</f>
        <v/>
      </c>
      <c r="D27" s="6">
        <f>HYPERLINK(LEFT(CELL("filename",A1),FIND("[",CELL("filename",A1))-1)&amp;"매뉴얼BODY(집행단계-첨부폴더)v8\8.전기분야\25_운영자 교육시행\수행지침\운영자 교육시행_수행지침.html", "📘 수행지침 열기")</f>
        <v/>
      </c>
      <c r="E27" s="7">
        <f>HYPERLINK(LEFT(CELL("filename",A1),FIND("[",CELL("filename",A1))-1)&amp;"매뉴얼BODY(집행단계-첨부폴더)v8\8.전기분야\25_운영자 교육시행\체크리스트\운영자 교육시행_체크리스트.html", "📋 체크리스트 열기")</f>
        <v/>
      </c>
    </row>
    <row r="28" ht="24" customHeight="1">
      <c r="A28" s="8" t="n">
        <v>26</v>
      </c>
      <c r="B28" s="9" t="inlineStr">
        <is>
          <t>사전점검</t>
        </is>
      </c>
      <c r="C28" s="10">
        <f>HYPERLINK(LEFT(CELL("filename",A1),FIND("[",CELL("filename",A1))-1)&amp;"매뉴얼BODY(집행단계-첨부폴더)v8\8.전기분야\26_사전점검\표준서\사전점검_표준서.html", "📄 표준서 열기")</f>
        <v/>
      </c>
      <c r="D28" s="11">
        <f>HYPERLINK(LEFT(CELL("filename",A1),FIND("[",CELL("filename",A1))-1)&amp;"매뉴얼BODY(집행단계-첨부폴더)v8\8.전기분야\26_사전점검\수행지침\사전점검_수행지침.html", "📘 수행지침 열기")</f>
        <v/>
      </c>
      <c r="E28" s="12">
        <f>HYPERLINK(LEFT(CELL("filename",A1),FIND("[",CELL("filename",A1))-1)&amp;"매뉴얼BODY(집행단계-첨부폴더)v8\8.전기분야\26_사전점검\체크리스트\사전점검_체크리스트.html", "📋 체크리스트 열기")</f>
        <v/>
      </c>
    </row>
    <row r="29" ht="24" customHeight="1">
      <c r="A29" s="3" t="n">
        <v>27</v>
      </c>
      <c r="B29" s="4" t="inlineStr">
        <is>
          <t>시설물 검증시험</t>
        </is>
      </c>
      <c r="C29" s="5">
        <f>HYPERLINK(LEFT(CELL("filename",A1),FIND("[",CELL("filename",A1))-1)&amp;"매뉴얼BODY(집행단계-첨부폴더)v8\8.전기분야\27_시설물 검증시험\표준서\시설물 검증시험_표준서.html", "📄 표준서 열기")</f>
        <v/>
      </c>
      <c r="D29" s="6">
        <f>HYPERLINK(LEFT(CELL("filename",A1),FIND("[",CELL("filename",A1))-1)&amp;"매뉴얼BODY(집행단계-첨부폴더)v8\8.전기분야\27_시설물 검증시험\수행지침\시설물 검증시험_수행지침.html", "📘 수행지침 열기")</f>
        <v/>
      </c>
      <c r="E29" s="7">
        <f>HYPERLINK(LEFT(CELL("filename",A1),FIND("[",CELL("filename",A1))-1)&amp;"매뉴얼BODY(집행단계-첨부폴더)v8\8.전기분야\27_시설물 검증시험\체크리스트\시설물 검증시험_체크리스트.html", "📋 체크리스트 열기")</f>
        <v/>
      </c>
    </row>
    <row r="30" ht="24" customHeight="1">
      <c r="A30" s="8" t="n">
        <v>28</v>
      </c>
      <c r="B30" s="9" t="inlineStr">
        <is>
          <t>영업시운전</t>
        </is>
      </c>
      <c r="C30" s="10">
        <f>HYPERLINK(LEFT(CELL("filename",A1),FIND("[",CELL("filename",A1))-1)&amp;"매뉴얼BODY(집행단계-첨부폴더)v8\8.전기분야\28_영업시운전\표준서\영업시운전_표준서.html", "📄 표준서 열기")</f>
        <v/>
      </c>
      <c r="D30" s="11">
        <f>HYPERLINK(LEFT(CELL("filename",A1),FIND("[",CELL("filename",A1))-1)&amp;"매뉴얼BODY(집행단계-첨부폴더)v8\8.전기분야\28_영업시운전\수행지침\영업시운전_수행지침.html", "📘 수행지침 열기")</f>
        <v/>
      </c>
      <c r="E30" s="12">
        <f>HYPERLINK(LEFT(CELL("filename",A1),FIND("[",CELL("filename",A1))-1)&amp;"매뉴얼BODY(집행단계-첨부폴더)v8\8.전기분야\28_영업시운전\체크리스트\영업시운전_체크리스트.html", "📋 체크리스트 열기")</f>
        <v/>
      </c>
    </row>
    <row r="31" ht="24" customHeight="1">
      <c r="A31" s="3" t="n">
        <v>29</v>
      </c>
      <c r="B31" s="4" t="inlineStr">
        <is>
          <t>전기 사용신청</t>
        </is>
      </c>
      <c r="C31" s="5">
        <f>HYPERLINK(LEFT(CELL("filename",A1),FIND("[",CELL("filename",A1))-1)&amp;"매뉴얼BODY(집행단계-첨부폴더)v8\8.전기분야\29_전기 사용신청\표준서\전기 사용신청_표준서.html", "📄 표준서 열기")</f>
        <v/>
      </c>
      <c r="D31" s="6">
        <f>HYPERLINK(LEFT(CELL("filename",A1),FIND("[",CELL("filename",A1))-1)&amp;"매뉴얼BODY(집행단계-첨부폴더)v8\8.전기분야\29_전기 사용신청\수행지침\전기 사용신청_수행지침.html", "📘 수행지침 열기")</f>
        <v/>
      </c>
      <c r="E31" s="7">
        <f>HYPERLINK(LEFT(CELL("filename",A1),FIND("[",CELL("filename",A1))-1)&amp;"매뉴얼BODY(집행단계-첨부폴더)v8\8.전기분야\29_전기 사용신청\체크리스트\전기 사용신청_체크리스트.html", "📋 체크리스트 열기")</f>
        <v/>
      </c>
    </row>
    <row r="32" ht="24" customHeight="1">
      <c r="A32" s="8" t="n">
        <v>30</v>
      </c>
      <c r="B32" s="9" t="inlineStr">
        <is>
          <t>공사계획신고</t>
        </is>
      </c>
      <c r="C32" s="10">
        <f>HYPERLINK(LEFT(CELL("filename",A1),FIND("[",CELL("filename",A1))-1)&amp;"매뉴얼BODY(집행단계-첨부폴더)v8\8.전기분야\30_공사계획신고\표준서\공사계획신고_표준서.html", "📄 표준서 열기")</f>
        <v/>
      </c>
      <c r="D32" s="11">
        <f>HYPERLINK(LEFT(CELL("filename",A1),FIND("[",CELL("filename",A1))-1)&amp;"매뉴얼BODY(집행단계-첨부폴더)v8\8.전기분야\30_공사계획신고\수행지침\공사계획신고_수행지침.html", "📘 수행지침 열기")</f>
        <v/>
      </c>
      <c r="E32" s="12">
        <f>HYPERLINK(LEFT(CELL("filename",A1),FIND("[",CELL("filename",A1))-1)&amp;"매뉴얼BODY(집행단계-첨부폴더)v8\8.전기분야\30_공사계획신고\체크리스트\공사계획신고_체크리스트.html", "📋 체크리스트 열기")</f>
        <v/>
      </c>
    </row>
    <row r="33" ht="24" customHeight="1">
      <c r="A33" s="3" t="n">
        <v>31</v>
      </c>
      <c r="B33" s="4" t="inlineStr">
        <is>
          <t>전차선로 적합성 검증</t>
        </is>
      </c>
      <c r="C33" s="5">
        <f>HYPERLINK(LEFT(CELL("filename",A1),FIND("[",CELL("filename",A1))-1)&amp;"매뉴얼BODY(집행단계-첨부폴더)v8\8.전기분야\31_전차선로 적합성 검증\표준서\전차선로 적합성 검증_표준서.html", "📄 표준서 열기")</f>
        <v/>
      </c>
      <c r="D33" s="6">
        <f>HYPERLINK(LEFT(CELL("filename",A1),FIND("[",CELL("filename",A1))-1)&amp;"매뉴얼BODY(집행단계-첨부폴더)v8\8.전기분야\31_전차선로 적합성 검증\수행지침\전차선로 적합성 검증_수행지침.html", "📘 수행지침 열기")</f>
        <v/>
      </c>
      <c r="E33" s="7">
        <f>HYPERLINK(LEFT(CELL("filename",A1),FIND("[",CELL("filename",A1))-1)&amp;"매뉴얼BODY(집행단계-첨부폴더)v8\8.전기분야\31_전차선로 적합성 검증\체크리스트\전차선로 적합성 검증_체크리스트.html", "📋 체크리스트 열기")</f>
        <v/>
      </c>
    </row>
    <row r="34" ht="24" customHeight="1">
      <c r="A34" s="8" t="n">
        <v>32</v>
      </c>
      <c r="B34" s="9" t="inlineStr">
        <is>
          <t>전기 사용전검사 (전력_전차선_송변전)</t>
        </is>
      </c>
      <c r="C34" s="10">
        <f>HYPERLINK(LEFT(CELL("filename",A1),FIND("[",CELL("filename",A1))-1)&amp;"매뉴얼BODY(집행단계-첨부폴더)v8\8.전기분야\32_전기 사용전검사 (전력_전차선_송변전)\표준서\전기 사용전검사 (전력_전차선_송변전)_표준서.html", "📄 표준서 열기")</f>
        <v/>
      </c>
      <c r="D34" s="11">
        <f>HYPERLINK(LEFT(CELL("filename",A1),FIND("[",CELL("filename",A1))-1)&amp;"매뉴얼BODY(집행단계-첨부폴더)v8\8.전기분야\32_전기 사용전검사 (전력_전차선_송변전)\수행지침\전기 사용전검사 (전력_전차선_송변전)_수행지침.html", "📘 수행지침 열기")</f>
        <v/>
      </c>
      <c r="E34" s="12">
        <f>HYPERLINK(LEFT(CELL("filename",A1),FIND("[",CELL("filename",A1))-1)&amp;"매뉴얼BODY(집행단계-첨부폴더)v8\8.전기분야\32_전기 사용전검사 (전력_전차선_송변전)\체크리스트\전기 사용전검사 (전력_전차선_송변전)_체크리스트.html", "📋 체크리스트 열기")</f>
        <v/>
      </c>
    </row>
    <row r="35" ht="24" customHeight="1">
      <c r="A35" s="3" t="n">
        <v>33</v>
      </c>
      <c r="B35" s="4" t="inlineStr">
        <is>
          <t>Task_33</t>
        </is>
      </c>
      <c r="C35" s="5">
        <f>HYPERLINK(LEFT(CELL("filename",A1),FIND("[",CELL("filename",A1))-1)&amp;"매뉴얼BODY(집행단계-첨부폴더)v8\8.전기분야\33_Task_33\표준서\Task_33_표준서.html", "📄 표준서 열기")</f>
        <v/>
      </c>
      <c r="D35" s="6">
        <f>HYPERLINK(LEFT(CELL("filename",A1),FIND("[",CELL("filename",A1))-1)&amp;"매뉴얼BODY(집행단계-첨부폴더)v8\8.전기분야\33_Task_33\수행지침\Task_33_수행지침.html", "📘 수행지침 열기")</f>
        <v/>
      </c>
      <c r="E35" s="7">
        <f>HYPERLINK(LEFT(CELL("filename",A1),FIND("[",CELL("filename",A1))-1)&amp;"매뉴얼BODY(집행단계-첨부폴더)v8\8.전기분야\33_Task_33\체크리스트\Task_33_체크리스트.html", "📋 체크리스트 열기")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22" customWidth="1" min="4" max="4"/>
    <col width="22" customWidth="1" min="5" max="5"/>
  </cols>
  <sheetData>
    <row r="1" ht="35" customHeight="1">
      <c r="A1" s="1" t="inlineStr">
        <is>
          <t>동탄도시철도(트램) 통신 엔지니어링 매뉴얼 링크 대장</t>
        </is>
      </c>
    </row>
    <row r="2" ht="28" customHeight="1">
      <c r="A2" s="2" t="inlineStr">
        <is>
          <t>순번</t>
        </is>
      </c>
      <c r="B2" s="2" t="inlineStr">
        <is>
          <t>액티비티명 (Activity)</t>
        </is>
      </c>
      <c r="C2" s="2" t="inlineStr">
        <is>
          <t>표준서 (Standard)</t>
        </is>
      </c>
      <c r="D2" s="2" t="inlineStr">
        <is>
          <t>수행지침 (Guideline)</t>
        </is>
      </c>
      <c r="E2" s="2" t="inlineStr">
        <is>
          <t>체크리스트 (Checklist)</t>
        </is>
      </c>
    </row>
    <row r="3" ht="24" customHeight="1">
      <c r="A3" s="3" t="n">
        <v>1</v>
      </c>
      <c r="B3" s="4" t="inlineStr">
        <is>
          <t>설계적정성 검토</t>
        </is>
      </c>
      <c r="C3" s="5">
        <f>HYPERLINK(LEFT(CELL("filename",A1),FIND("[",CELL("filename",A1))-1)&amp;"매뉴얼BODY(집행단계-첨부폴더)v8\9.통신분야\1_설계적정성 검토\표준서\설계적정성 검토_표준서.html", "📄 표준서 열기")</f>
        <v/>
      </c>
      <c r="D3" s="6">
        <f>HYPERLINK(LEFT(CELL("filename",A1),FIND("[",CELL("filename",A1))-1)&amp;"매뉴얼BODY(집행단계-첨부폴더)v8\9.통신분야\1_설계적정성 검토\수행지침\설계적정성 검토_수행지침.html", "📘 수행지침 열기")</f>
        <v/>
      </c>
      <c r="E3" s="7">
        <f>HYPERLINK(LEFT(CELL("filename",A1),FIND("[",CELL("filename",A1))-1)&amp;"매뉴얼BODY(집행단계-첨부폴더)v8\9.통신분야\1_설계적정성 검토\체크리스트\9000-2-1_설계적정성 검토_체크리스트.html", "📋 체크리스트 열기")</f>
        <v/>
      </c>
    </row>
    <row r="4" ht="24" customHeight="1">
      <c r="A4" s="8" t="n">
        <v>2</v>
      </c>
      <c r="B4" s="9" t="inlineStr">
        <is>
          <t>착수전략 KOM</t>
        </is>
      </c>
      <c r="C4" s="10">
        <f>HYPERLINK(LEFT(CELL("filename",A1),FIND("[",CELL("filename",A1))-1)&amp;"매뉴얼BODY(집행단계-첨부폴더)v8\9.통신분야\2_착수전략 KOM\표준서\발주전략 KOM_표준서.html", "📄 표준서 열기")</f>
        <v/>
      </c>
      <c r="D4" s="11">
        <f>HYPERLINK(LEFT(CELL("filename",A1),FIND("[",CELL("filename",A1))-1)&amp;"매뉴얼BODY(집행단계-첨부폴더)v8\9.통신분야\2_착수전략 KOM\수행지침\발주전략 KOM_수행지침.html", "📘 수행지침 열기")</f>
        <v/>
      </c>
      <c r="E4" s="12">
        <f>HYPERLINK(LEFT(CELL("filename",A1),FIND("[",CELL("filename",A1))-1)&amp;"매뉴얼BODY(집행단계-첨부폴더)v8\9.통신분야\2_착수전략 KOM\체크리스트\발주전략 KOM_체크리스트.html", "📋 체크리스트 열기")</f>
        <v/>
      </c>
    </row>
    <row r="5" ht="24" customHeight="1">
      <c r="A5" s="3" t="n">
        <v>3</v>
      </c>
      <c r="B5" s="4" t="inlineStr">
        <is>
          <t>토목 _ 건축 인터페이스 협의</t>
        </is>
      </c>
      <c r="C5" s="5">
        <f>HYPERLINK(LEFT(CELL("filename",A1),FIND("[",CELL("filename",A1))-1)&amp;"매뉴얼BODY(집행단계-첨부폴더)v8\9.통신분야\3_토목 _ 건축 인터페이스 협의\표준서\토목 _ 건축 인터페이스 협의_표준서.html", "📄 표준서 열기")</f>
        <v/>
      </c>
      <c r="D5" s="6">
        <f>HYPERLINK(LEFT(CELL("filename",A1),FIND("[",CELL("filename",A1))-1)&amp;"매뉴얼BODY(집행단계-첨부폴더)v8\9.통신분야\3_토목 _ 건축 인터페이스 협의\수행지침\토목 _ 건축 인터페이스 협의_수행지침.html", "📘 수행지침 열기")</f>
        <v/>
      </c>
      <c r="E5" s="7">
        <f>HYPERLINK(LEFT(CELL("filename",A1),FIND("[",CELL("filename",A1))-1)&amp;"매뉴얼BODY(집행단계-첨부폴더)v8\9.통신분야\3_토목 _ 건축 인터페이스 협의\체크리스트\9000-2-3_토목 _ 건축 인터페이스 협의_체크리스트.html", "📋 체크리스트 열기")</f>
        <v/>
      </c>
    </row>
    <row r="6" ht="24" customHeight="1">
      <c r="A6" s="8" t="n">
        <v>4</v>
      </c>
      <c r="B6" s="9" t="inlineStr">
        <is>
          <t>전기 _ 신호 _ 기계 _ PSD _ 차량 인터페이스 협의</t>
        </is>
      </c>
      <c r="C6" s="10">
        <f>HYPERLINK(LEFT(CELL("filename",A1),FIND("[",CELL("filename",A1))-1)&amp;"매뉴얼BODY(집행단계-첨부폴더)v8\9.통신분야\4_전기 _ 신호 _ 기계 _ PSD _ 차량 인터페이스 협의\표준서\전기 _ 신호 _ 기계 _ PSD _ 차량 인터페이스 협의_표준서.html", "📄 표준서 열기")</f>
        <v/>
      </c>
      <c r="D6" s="11">
        <f>HYPERLINK(LEFT(CELL("filename",A1),FIND("[",CELL("filename",A1))-1)&amp;"매뉴얼BODY(집행단계-첨부폴더)v8\9.통신분야\4_전기 _ 신호 _ 기계 _ PSD _ 차량 인터페이스 협의\수행지침\전기 _ 신호 _ 기계 _ PSD _ 차량 인터페이스 협의_수행지침.html", "📘 수행지침 열기")</f>
        <v/>
      </c>
      <c r="E6" s="12">
        <f>HYPERLINK(LEFT(CELL("filename",A1),FIND("[",CELL("filename",A1))-1)&amp;"매뉴얼BODY(집행단계-첨부폴더)v8\9.통신분야\4_전기 _ 신호 _ 기계 _ PSD _ 차량 인터페이스 협의\체크리스트\9000-2-4_전기 _ 신호 _ 기계 _ PSD _ 차량 인터페이스 협의_체크리스트.html", "📋 체크리스트 열기")</f>
        <v/>
      </c>
    </row>
    <row r="7" ht="24" customHeight="1">
      <c r="A7" s="3" t="n">
        <v>5</v>
      </c>
      <c r="B7" s="4" t="inlineStr">
        <is>
          <t>통신설비 제작사 인터페이스 협의</t>
        </is>
      </c>
      <c r="C7" s="5">
        <f>HYPERLINK(LEFT(CELL("filename",A1),FIND("[",CELL("filename",A1))-1)&amp;"매뉴얼BODY(집행단계-첨부폴더)v8\9.통신분야\5_통신설비 제작사 인터페이스 협의\표준서\통신설비 제작사 인터페이스 협의_표준서.html", "📄 표준서 열기")</f>
        <v/>
      </c>
      <c r="D7" s="6">
        <f>HYPERLINK(LEFT(CELL("filename",A1),FIND("[",CELL("filename",A1))-1)&amp;"매뉴얼BODY(집행단계-첨부폴더)v8\9.통신분야\5_통신설비 제작사 인터페이스 협의\수행지침\통신설비 제작사 인터페이스 협의_수행지침.html", "📘 수행지침 열기")</f>
        <v/>
      </c>
      <c r="E7" s="7">
        <f>HYPERLINK(LEFT(CELL("filename",A1),FIND("[",CELL("filename",A1))-1)&amp;"매뉴얼BODY(집행단계-첨부폴더)v8\9.통신분야\5_통신설비 제작사 인터페이스 협의\체크리스트\9000-2-5_통신설비 제작사 인터페이스 협의_체크리스트.html", "📋 체크리스트 열기")</f>
        <v/>
      </c>
    </row>
    <row r="8" ht="24" customHeight="1">
      <c r="A8" s="8" t="n">
        <v>6</v>
      </c>
      <c r="B8" s="9" t="inlineStr">
        <is>
          <t>관제 및 운영사 인터페이스 협의</t>
        </is>
      </c>
      <c r="C8" s="10">
        <f>HYPERLINK(LEFT(CELL("filename",A1),FIND("[",CELL("filename",A1))-1)&amp;"매뉴얼BODY(집행단계-첨부폴더)v8\9.통신분야\6_관제 및 운영사 인터페이스 협의\표준서\관제 및 운영사 인터페이스 협의_표준서.html", "📄 표준서 열기")</f>
        <v/>
      </c>
      <c r="D8" s="11">
        <f>HYPERLINK(LEFT(CELL("filename",A1),FIND("[",CELL("filename",A1))-1)&amp;"매뉴얼BODY(집행단계-첨부폴더)v8\9.통신분야\6_관제 및 운영사 인터페이스 협의\수행지침\관제 및 운영사 인터페이스 협의_수행지침.html", "📘 수행지침 열기")</f>
        <v/>
      </c>
      <c r="E8" s="12">
        <f>HYPERLINK(LEFT(CELL("filename",A1),FIND("[",CELL("filename",A1))-1)&amp;"매뉴얼BODY(집행단계-첨부폴더)v8\9.통신분야\6_관제 및 운영사 인터페이스 협의\체크리스트\9000-2-6_관제 및 운영사 인터페이스 협의_체크리스트.html", "📋 체크리스트 열기")</f>
        <v/>
      </c>
    </row>
    <row r="9" ht="24" customHeight="1">
      <c r="A9" s="3" t="n">
        <v>7</v>
      </c>
      <c r="B9" s="4" t="inlineStr">
        <is>
          <t>발주처 품질 요구사항 검토</t>
        </is>
      </c>
      <c r="C9" s="5">
        <f>HYPERLINK(LEFT(CELL("filename",A1),FIND("[",CELL("filename",A1))-1)&amp;"매뉴얼BODY(집행단계-첨부폴더)v8\9.통신분야\7_발주처 품질 요구사항 검토\표준서\발주처 품질 요구사항 검토_표준서.html", "📄 표준서 열기")</f>
        <v/>
      </c>
      <c r="D9" s="6">
        <f>HYPERLINK(LEFT(CELL("filename",A1),FIND("[",CELL("filename",A1))-1)&amp;"매뉴얼BODY(집행단계-첨부폴더)v8\9.통신분야\7_발주처 품질 요구사항 검토\수행지침\발주처 품질 요구사항 검토_수행지침.html", "📘 수행지침 열기")</f>
        <v/>
      </c>
      <c r="E9" s="7">
        <f>HYPERLINK(LEFT(CELL("filename",A1),FIND("[",CELL("filename",A1))-1)&amp;"매뉴얼BODY(집행단계-첨부폴더)v8\9.통신분야\7_발주처 품질 요구사항 검토\체크리스트\9000-2-7_발주처 품질 요구사항 검토_체크리스트.html", "📋 체크리스트 열기")</f>
        <v/>
      </c>
    </row>
    <row r="10" ht="24" customHeight="1">
      <c r="A10" s="8" t="n">
        <v>8</v>
      </c>
      <c r="B10" s="9" t="inlineStr">
        <is>
          <t>자재 _ 인원 _ 장비 등 투입 사전 검토</t>
        </is>
      </c>
      <c r="C10" s="10">
        <f>HYPERLINK(LEFT(CELL("filename",A1),FIND("[",CELL("filename",A1))-1)&amp;"매뉴얼BODY(집행단계-첨부폴더)v8\9.통신분야\8_자재 _ 인원 _ 장비 등 투입 사전 검토\표준서\자재 인력 장비 등 투입 사전 검토_표준서.html", "📄 표준서 열기")</f>
        <v/>
      </c>
      <c r="D10" s="11">
        <f>HYPERLINK(LEFT(CELL("filename",A1),FIND("[",CELL("filename",A1))-1)&amp;"매뉴얼BODY(집행단계-첨부폴더)v8\9.통신분야\8_자재 _ 인원 _ 장비 등 투입 사전 검토\수행지침\자재 인력 장비 등 투입 사전 검토_수행지침.html", "📘 수행지침 열기")</f>
        <v/>
      </c>
      <c r="E10" s="12">
        <f>HYPERLINK(LEFT(CELL("filename",A1),FIND("[",CELL("filename",A1))-1)&amp;"매뉴얼BODY(집행단계-첨부폴더)v8\9.통신분야\8_자재 _ 인원 _ 장비 등 투입 사전 검토\체크리스트\자재 인력 장비 등 투입 사전 검토_체크리스트.html", "📋 체크리스트 열기")</f>
        <v/>
      </c>
    </row>
    <row r="11" ht="24" customHeight="1">
      <c r="A11" s="3" t="n">
        <v>9</v>
      </c>
      <c r="B11" s="4" t="inlineStr">
        <is>
          <t>자재 인력 장비 등 투입 사전 검토</t>
        </is>
      </c>
      <c r="C11" s="5">
        <f>HYPERLINK(LEFT(CELL("filename",A1),FIND("[",CELL("filename",A1))-1)&amp;"매뉴얼BODY(집행단계-첨부폴더)v8\9.통신분야\8_자재 인력 장비 등 투입 사전 검토\표준서\자재 인력 장비 등 투입 사전 검토_표준서.html", "📄 표준서 열기")</f>
        <v/>
      </c>
      <c r="D11" s="6">
        <f>HYPERLINK(LEFT(CELL("filename",A1),FIND("[",CELL("filename",A1))-1)&amp;"매뉴얼BODY(집행단계-첨부폴더)v8\9.통신분야\8_자재 인력 장비 등 투입 사전 검토\수행지침\자재 인력 장비 등 투입 사전 검토_수행지침.html", "📘 수행지침 열기")</f>
        <v/>
      </c>
      <c r="E11" s="7">
        <f>HYPERLINK(LEFT(CELL("filename",A1),FIND("[",CELL("filename",A1))-1)&amp;"매뉴얼BODY(집행단계-첨부폴더)v8\9.통신분야\8_자재 인력 장비 등 투입 사전 검토\체크리스트\자재 인력 장비 등 투입 사전 검토_체크리스트.html", "📋 체크리스트 열기")</f>
        <v/>
      </c>
    </row>
    <row r="12" ht="24" customHeight="1">
      <c r="A12" s="8" t="n">
        <v>10</v>
      </c>
      <c r="B12" s="9" t="inlineStr">
        <is>
          <t>착수 전 Big Room 회의</t>
        </is>
      </c>
      <c r="C12" s="10">
        <f>HYPERLINK(LEFT(CELL("filename",A1),FIND("[",CELL("filename",A1))-1)&amp;"매뉴얼BODY(집행단계-첨부폴더)v8\9.통신분야\9_착수 전 Big Room 회의\표준서\착수 전 Big Room 회의_표준서.html", "📄 표준서 열기")</f>
        <v/>
      </c>
      <c r="D12" s="11">
        <f>HYPERLINK(LEFT(CELL("filename",A1),FIND("[",CELL("filename",A1))-1)&amp;"매뉴얼BODY(집행단계-첨부폴더)v8\9.통신분야\9_착수 전 Big Room 회의\수행지침\착수 전 Big Room 회의_수행지침.html", "📘 수행지침 열기")</f>
        <v/>
      </c>
      <c r="E12" s="12">
        <f>HYPERLINK(LEFT(CELL("filename",A1),FIND("[",CELL("filename",A1))-1)&amp;"매뉴얼BODY(집행단계-첨부폴더)v8\9.통신분야\9_착수 전 Big Room 회의\체크리스트\9000-2-9_착수 전 Big Room 회의_체크리스트.html", "📋 체크리스트 열기")</f>
        <v/>
      </c>
    </row>
    <row r="13" ht="24" customHeight="1">
      <c r="A13" s="3" t="n">
        <v>11</v>
      </c>
      <c r="B13" s="4" t="inlineStr">
        <is>
          <t>통신설비 제작 사양서 작성 _ 승인</t>
        </is>
      </c>
      <c r="C13" s="5">
        <f>HYPERLINK(LEFT(CELL("filename",A1),FIND("[",CELL("filename",A1))-1)&amp;"매뉴얼BODY(집행단계-첨부폴더)v8\9.통신분야\10_통신설비 제작 사양서 작성 _ 승인\표준서\통신설비 제작 사양서 작성 _ 승인_표준서.html", "📄 표준서 열기")</f>
        <v/>
      </c>
      <c r="D13" s="6">
        <f>HYPERLINK(LEFT(CELL("filename",A1),FIND("[",CELL("filename",A1))-1)&amp;"매뉴얼BODY(집행단계-첨부폴더)v8\9.통신분야\10_통신설비 제작 사양서 작성 _ 승인\수행지침\통신설비 제작 사양서 작성 _ 승인_수행지침.html", "📘 수행지침 열기")</f>
        <v/>
      </c>
      <c r="E13" s="7">
        <f>HYPERLINK(LEFT(CELL("filename",A1),FIND("[",CELL("filename",A1))-1)&amp;"매뉴얼BODY(집행단계-첨부폴더)v8\9.통신분야\10_통신설비 제작 사양서 작성 _ 승인\체크리스트\9000-2-10_통신설비 제작 사양서 작성 _ 승인_체크리스트.html", "📋 체크리스트 열기")</f>
        <v/>
      </c>
    </row>
    <row r="14" ht="24" customHeight="1">
      <c r="A14" s="8" t="n">
        <v>12</v>
      </c>
      <c r="B14" s="9" t="inlineStr">
        <is>
          <t>시공 계획 수립 _ 승인</t>
        </is>
      </c>
      <c r="C14" s="10">
        <f>HYPERLINK(LEFT(CELL("filename",A1),FIND("[",CELL("filename",A1))-1)&amp;"매뉴얼BODY(집행단계-첨부폴더)v8\9.통신분야\11_시공 계획 수립 _ 승인\표준서\시공 계획 수립 _ 승인_표준서.html", "📄 표준서 열기")</f>
        <v/>
      </c>
      <c r="D14" s="11">
        <f>HYPERLINK(LEFT(CELL("filename",A1),FIND("[",CELL("filename",A1))-1)&amp;"매뉴얼BODY(집행단계-첨부폴더)v8\9.통신분야\11_시공 계획 수립 _ 승인\수행지침\시공 계획 수립 _ 승인_수행지침.html", "📘 수행지침 열기")</f>
        <v/>
      </c>
      <c r="E14" s="12">
        <f>HYPERLINK(LEFT(CELL("filename",A1),FIND("[",CELL("filename",A1))-1)&amp;"매뉴얼BODY(집행단계-첨부폴더)v8\9.통신분야\11_시공 계획 수립 _ 승인\체크리스트\9000-2-11_시공 계획 수립 _ 승인_체크리스트.html", "📋 체크리스트 열기")</f>
        <v/>
      </c>
    </row>
    <row r="15" ht="24" customHeight="1">
      <c r="A15" s="3" t="n">
        <v>13</v>
      </c>
      <c r="B15" s="4" t="inlineStr">
        <is>
          <t>자재공급원 검토 및 승인</t>
        </is>
      </c>
      <c r="C15" s="5">
        <f>HYPERLINK(LEFT(CELL("filename",A1),FIND("[",CELL("filename",A1))-1)&amp;"매뉴얼BODY(집행단계-첨부폴더)v8\9.통신분야\12_자재공급원 검토 및 승인\표준서\자재공급원 검토 및 승인_표준서.html", "📄 표준서 열기")</f>
        <v/>
      </c>
      <c r="D15" s="6">
        <f>HYPERLINK(LEFT(CELL("filename",A1),FIND("[",CELL("filename",A1))-1)&amp;"매뉴얼BODY(집행단계-첨부폴더)v8\9.통신분야\12_자재공급원 검토 및 승인\수행지침\자재공급원 검토 및 승인_수행지침.html", "📘 수행지침 열기")</f>
        <v/>
      </c>
      <c r="E15" s="7">
        <f>HYPERLINK(LEFT(CELL("filename",A1),FIND("[",CELL("filename",A1))-1)&amp;"매뉴얼BODY(집행단계-첨부폴더)v8\9.통신분야\12_자재공급원 검토 및 승인\체크리스트\9000-2-12_자재공급원 검토 및 승인_체크리스트.html", "📋 체크리스트 열기")</f>
        <v/>
      </c>
    </row>
    <row r="16" ht="24" customHeight="1">
      <c r="A16" s="8" t="n">
        <v>14</v>
      </c>
      <c r="B16" s="9" t="inlineStr">
        <is>
          <t>통신설비 공정제작 _ 제작사 공장검사</t>
        </is>
      </c>
      <c r="C16" s="10">
        <f>HYPERLINK(LEFT(CELL("filename",A1),FIND("[",CELL("filename",A1))-1)&amp;"매뉴얼BODY(집행단계-첨부폴더)v8\9.통신분야\13_통신설비 공정제작 _ 제작사 공장검사\표준서\통신설비 공정제작 _ 제작사 공장검사_표준서.html", "📄 표준서 열기")</f>
        <v/>
      </c>
      <c r="D16" s="11">
        <f>HYPERLINK(LEFT(CELL("filename",A1),FIND("[",CELL("filename",A1))-1)&amp;"매뉴얼BODY(집행단계-첨부폴더)v8\9.통신분야\13_통신설비 공정제작 _ 제작사 공장검사\수행지침\통신설비 공정제작 _ 제작사 공장검사_수행지침.html", "📘 수행지침 열기")</f>
        <v/>
      </c>
      <c r="E16" s="12">
        <f>HYPERLINK(LEFT(CELL("filename",A1),FIND("[",CELL("filename",A1))-1)&amp;"매뉴얼BODY(집행단계-첨부폴더)v8\9.통신분야\13_통신설비 공정제작 _ 제작사 공장검사\체크리스트\9000-2-13_통신설비 공정제작 _ 제작사 공장검사_체크리스트.html", "📋 체크리스트 열기")</f>
        <v/>
      </c>
    </row>
    <row r="17" ht="24" customHeight="1">
      <c r="A17" s="3" t="n">
        <v>15</v>
      </c>
      <c r="B17" s="4" t="inlineStr">
        <is>
          <t>본공사 전 선행공정 인수인계 점검</t>
        </is>
      </c>
      <c r="C17" s="5">
        <f>HYPERLINK(LEFT(CELL("filename",A1),FIND("[",CELL("filename",A1))-1)&amp;"매뉴얼BODY(집행단계-첨부폴더)v8\9.통신분야\14_본공사 전 선행공정 인수인계 점검\표준서\본공사 전 선행공정 인수인계 점검_표준서.html", "📄 표준서 열기")</f>
        <v/>
      </c>
      <c r="D17" s="6">
        <f>HYPERLINK(LEFT(CELL("filename",A1),FIND("[",CELL("filename",A1))-1)&amp;"매뉴얼BODY(집행단계-첨부폴더)v8\9.통신분야\14_본공사 전 선행공정 인수인계 점검\수행지침\본공사 전 선행공정 인수인계 점검_수행지침.html", "📘 수행지침 열기")</f>
        <v/>
      </c>
      <c r="E17" s="7">
        <f>HYPERLINK(LEFT(CELL("filename",A1),FIND("[",CELL("filename",A1))-1)&amp;"매뉴얼BODY(집행단계-첨부폴더)v8\9.통신분야\14_본공사 전 선행공정 인수인계 점검\체크리스트\9000-2-14_본공사 전 선행공정 인수인계 점검_체크리스트.html", "📋 체크리스트 열기")</f>
        <v/>
      </c>
    </row>
    <row r="18" ht="24" customHeight="1">
      <c r="A18" s="8" t="n">
        <v>16</v>
      </c>
      <c r="B18" s="9" t="inlineStr">
        <is>
          <t>장비반입 및 안전교육</t>
        </is>
      </c>
      <c r="C18" s="10">
        <f>HYPERLINK(LEFT(CELL("filename",A1),FIND("[",CELL("filename",A1))-1)&amp;"매뉴얼BODY(집행단계-첨부폴더)v8\9.통신분야\15_장비반입 및 안전교육\표준서\장비반입 및 안전교육_표준서.html", "📄 표준서 열기")</f>
        <v/>
      </c>
      <c r="D18" s="11">
        <f>HYPERLINK(LEFT(CELL("filename",A1),FIND("[",CELL("filename",A1))-1)&amp;"매뉴얼BODY(집행단계-첨부폴더)v8\9.통신분야\15_장비반입 및 안전교육\수행지침\장비반입 및 안전교육_수행지침.html", "📘 수행지침 열기")</f>
        <v/>
      </c>
      <c r="E18" s="12">
        <f>HYPERLINK(LEFT(CELL("filename",A1),FIND("[",CELL("filename",A1))-1)&amp;"매뉴얼BODY(집행단계-첨부폴더)v8\9.통신분야\15_장비반입 및 안전교육\체크리스트\9000-2-15_장비반입 및 안전교육_체크리스트.html", "📋 체크리스트 열기")</f>
        <v/>
      </c>
    </row>
    <row r="19" ht="24" customHeight="1">
      <c r="A19" s="3" t="n">
        <v>17</v>
      </c>
      <c r="B19" s="4" t="inlineStr">
        <is>
          <t>자재 반입 및 검수</t>
        </is>
      </c>
      <c r="C19" s="5">
        <f>HYPERLINK(LEFT(CELL("filename",A1),FIND("[",CELL("filename",A1))-1)&amp;"매뉴얼BODY(집행단계-첨부폴더)v8\9.통신분야\16_자재 반입 및 검수\표준서\자재 반입 및 검수_표준서.html", "📄 표준서 열기")</f>
        <v/>
      </c>
      <c r="D19" s="6">
        <f>HYPERLINK(LEFT(CELL("filename",A1),FIND("[",CELL("filename",A1))-1)&amp;"매뉴얼BODY(집행단계-첨부폴더)v8\9.통신분야\16_자재 반입 및 검수\수행지침\자재 반입 및 검수_수행지침.html", "📘 수행지침 열기")</f>
        <v/>
      </c>
      <c r="E19" s="7">
        <f>HYPERLINK(LEFT(CELL("filename",A1),FIND("[",CELL("filename",A1))-1)&amp;"매뉴얼BODY(집행단계-첨부폴더)v8\9.통신분야\16_자재 반입 및 검수\체크리스트\9000-2-16_자재 반입 및 검수_체크리스트.html", "📋 체크리스트 열기")</f>
        <v/>
      </c>
    </row>
    <row r="20" ht="24" customHeight="1">
      <c r="A20" s="8" t="n">
        <v>18</v>
      </c>
      <c r="B20" s="9" t="inlineStr">
        <is>
          <t>통신설비 반입 및 설치</t>
        </is>
      </c>
      <c r="C20" s="10">
        <f>HYPERLINK(LEFT(CELL("filename",A1),FIND("[",CELL("filename",A1))-1)&amp;"매뉴얼BODY(집행단계-첨부폴더)v8\9.통신분야\17_통신설비 반입 및 설치\표준서\통신설비 반입 및 설치_표준서.html", "📄 표준서 열기")</f>
        <v/>
      </c>
      <c r="D20" s="11">
        <f>HYPERLINK(LEFT(CELL("filename",A1),FIND("[",CELL("filename",A1))-1)&amp;"매뉴얼BODY(집행단계-첨부폴더)v8\9.통신분야\17_통신설비 반입 및 설치\수행지침\통신설비 반입 및 설치_수행지침.html", "📘 수행지침 열기")</f>
        <v/>
      </c>
      <c r="E20" s="12">
        <f>HYPERLINK(LEFT(CELL("filename",A1),FIND("[",CELL("filename",A1))-1)&amp;"매뉴얼BODY(집행단계-첨부폴더)v8\9.통신분야\17_통신설비 반입 및 설치\체크리스트\9000-2-17_통신설비 반입 및 설치_체크리스트.html", "📋 체크리스트 열기")</f>
        <v/>
      </c>
    </row>
    <row r="21" ht="24" customHeight="1">
      <c r="A21" s="3" t="n">
        <v>19</v>
      </c>
      <c r="B21" s="4" t="inlineStr">
        <is>
          <t>관제설비 설치</t>
        </is>
      </c>
      <c r="C21" s="5">
        <f>HYPERLINK(LEFT(CELL("filename",A1),FIND("[",CELL("filename",A1))-1)&amp;"매뉴얼BODY(집행단계-첨부폴더)v8\9.통신분야\18_관제설비 설치\표준서\관제설비 설치_표준서.html", "📄 표준서 열기")</f>
        <v/>
      </c>
      <c r="D21" s="6">
        <f>HYPERLINK(LEFT(CELL("filename",A1),FIND("[",CELL("filename",A1))-1)&amp;"매뉴얼BODY(집행단계-첨부폴더)v8\9.통신분야\18_관제설비 설치\수행지침\관제설비 설치_수행지침.html", "📘 수행지침 열기")</f>
        <v/>
      </c>
      <c r="E21" s="7">
        <f>HYPERLINK(LEFT(CELL("filename",A1),FIND("[",CELL("filename",A1))-1)&amp;"매뉴얼BODY(집행단계-첨부폴더)v8\9.통신분야\18_관제설비 설치\체크리스트\9000-2-18_관제설비 설치_체크리스트.html", "📋 체크리스트 열기")</f>
        <v/>
      </c>
    </row>
    <row r="22" ht="24" customHeight="1">
      <c r="A22" s="8" t="n">
        <v>20</v>
      </c>
      <c r="B22" s="9" t="inlineStr">
        <is>
          <t>통신시스템 단위시험</t>
        </is>
      </c>
      <c r="C22" s="10">
        <f>HYPERLINK(LEFT(CELL("filename",A1),FIND("[",CELL("filename",A1))-1)&amp;"매뉴얼BODY(집행단계-첨부폴더)v8\9.통신분야\19_통신시스템 단위시험\표준서\통신시스템 단위시험_표준서.html", "📄 표준서 열기")</f>
        <v/>
      </c>
      <c r="D22" s="11">
        <f>HYPERLINK(LEFT(CELL("filename",A1),FIND("[",CELL("filename",A1))-1)&amp;"매뉴얼BODY(집행단계-첨부폴더)v8\9.통신분야\19_통신시스템 단위시험\수행지침\통신시스템 단위시험_수행지침.html", "📘 수행지침 열기")</f>
        <v/>
      </c>
      <c r="E22" s="12">
        <f>HYPERLINK(LEFT(CELL("filename",A1),FIND("[",CELL("filename",A1))-1)&amp;"매뉴얼BODY(집행단계-첨부폴더)v8\9.통신분야\19_통신시스템 단위시험\체크리스트\9000-2-19_통신시스템 단위시험_체크리스트.html", "📋 체크리스트 열기")</f>
        <v/>
      </c>
    </row>
    <row r="23" ht="24" customHeight="1">
      <c r="A23" s="3" t="n">
        <v>21</v>
      </c>
      <c r="B23" s="4" t="inlineStr">
        <is>
          <t>통신시스템 통합시험</t>
        </is>
      </c>
      <c r="C23" s="5">
        <f>HYPERLINK(LEFT(CELL("filename",A1),FIND("[",CELL("filename",A1))-1)&amp;"매뉴얼BODY(집행단계-첨부폴더)v8\9.통신분야\20_통신시스템 통합시험\표준서\통신시스템 통합시험_표준서.html", "📄 표준서 열기")</f>
        <v/>
      </c>
      <c r="D23" s="6">
        <f>HYPERLINK(LEFT(CELL("filename",A1),FIND("[",CELL("filename",A1))-1)&amp;"매뉴얼BODY(집행단계-첨부폴더)v8\9.통신분야\20_통신시스템 통합시험\수행지침\통신시스템 통합시험_수행지침.html", "📘 수행지침 열기")</f>
        <v/>
      </c>
      <c r="E23" s="7">
        <f>HYPERLINK(LEFT(CELL("filename",A1),FIND("[",CELL("filename",A1))-1)&amp;"매뉴얼BODY(집행단계-첨부폴더)v8\9.통신분야\20_통신시스템 통합시험\체크리스트\9000-2-20_통신시스템 통합시험_체크리스트.html", "📋 체크리스트 열기")</f>
        <v/>
      </c>
    </row>
    <row r="24" ht="24" customHeight="1">
      <c r="A24" s="8" t="n">
        <v>22</v>
      </c>
      <c r="B24" s="9" t="inlineStr">
        <is>
          <t>공종별 시험</t>
        </is>
      </c>
      <c r="C24" s="10">
        <f>HYPERLINK(LEFT(CELL("filename",A1),FIND("[",CELL("filename",A1))-1)&amp;"매뉴얼BODY(집행단계-첨부폴더)v8\9.통신분야\21_공종별 시험\표준서\9000-2-21_공종별 시험_표준서.html", "📄 표준서 열기")</f>
        <v/>
      </c>
      <c r="D24" s="11">
        <f>HYPERLINK(LEFT(CELL("filename",A1),FIND("[",CELL("filename",A1))-1)&amp;"매뉴얼BODY(집행단계-첨부폴더)v8\9.통신분야\21_공종별 시험\수행지침\공종별 시험_수행지침.html", "📘 수행지침 열기")</f>
        <v/>
      </c>
      <c r="E24" s="12">
        <f>HYPERLINK(LEFT(CELL("filename",A1),FIND("[",CELL("filename",A1))-1)&amp;"매뉴얼BODY(집행단계-첨부폴더)v8\9.통신분야\21_공종별 시험\체크리스트\9000-2-21_공종별 시험_체크리스트.html", "📋 체크리스트 열기")</f>
        <v/>
      </c>
    </row>
    <row r="25" ht="24" customHeight="1">
      <c r="A25" s="3" t="n">
        <v>23</v>
      </c>
      <c r="B25" s="4" t="inlineStr">
        <is>
          <t>차량 투입 전 점검</t>
        </is>
      </c>
      <c r="C25" s="5">
        <f>HYPERLINK(LEFT(CELL("filename",A1),FIND("[",CELL("filename",A1))-1)&amp;"매뉴얼BODY(집행단계-첨부폴더)v8\9.통신분야\22_차량 투입 전 점검\표준서\차량 투입 전 점검_표준서.html", "📄 표준서 열기")</f>
        <v/>
      </c>
      <c r="D25" s="6">
        <f>HYPERLINK(LEFT(CELL("filename",A1),FIND("[",CELL("filename",A1))-1)&amp;"매뉴얼BODY(집행단계-첨부폴더)v8\9.통신분야\22_차량 투입 전 점검\수행지침\차량 투입 전 점검_수행지침.html", "📘 수행지침 열기")</f>
        <v/>
      </c>
      <c r="E25" s="7">
        <f>HYPERLINK(LEFT(CELL("filename",A1),FIND("[",CELL("filename",A1))-1)&amp;"매뉴얼BODY(집행단계-첨부폴더)v8\9.통신분야\22_차량 투입 전 점검\체크리스트\9000-2-22_차량 투입 전 점검_체크리스트.html", "📋 체크리스트 열기")</f>
        <v/>
      </c>
    </row>
    <row r="26" ht="24" customHeight="1">
      <c r="A26" s="8" t="n">
        <v>24</v>
      </c>
      <c r="B26" s="9" t="inlineStr">
        <is>
          <t>차량 시운전</t>
        </is>
      </c>
      <c r="C26" s="10">
        <f>HYPERLINK(LEFT(CELL("filename",A1),FIND("[",CELL("filename",A1))-1)&amp;"매뉴얼BODY(집행단계-첨부폴더)v8\9.통신분야\23_차량 시운전\표준서\9000-2-23_차량 시운전_표준서.html", "📄 표준서 열기")</f>
        <v/>
      </c>
      <c r="D26" s="11">
        <f>HYPERLINK(LEFT(CELL("filename",A1),FIND("[",CELL("filename",A1))-1)&amp;"매뉴얼BODY(집행단계-첨부폴더)v8\9.통신분야\23_차량 시운전\수행지침\차량 시운전_수행지침.html", "📘 수행지침 열기")</f>
        <v/>
      </c>
      <c r="E26" s="12">
        <f>HYPERLINK(LEFT(CELL("filename",A1),FIND("[",CELL("filename",A1))-1)&amp;"매뉴얼BODY(집행단계-첨부폴더)v8\9.통신분야\23_차량 시운전\체크리스트\9000-2-23_차량 시운전_체크리스트.html", "📋 체크리스트 열기")</f>
        <v/>
      </c>
    </row>
    <row r="27" ht="24" customHeight="1">
      <c r="A27" s="3" t="n">
        <v>25</v>
      </c>
      <c r="B27" s="4" t="inlineStr">
        <is>
          <t>운영자 교육시행</t>
        </is>
      </c>
      <c r="C27" s="5">
        <f>HYPERLINK(LEFT(CELL("filename",A1),FIND("[",CELL("filename",A1))-1)&amp;"매뉴얼BODY(집행단계-첨부폴더)v8\9.통신분야\24_운영자 교육시행\표준서\운영자 교육시행_표준서.html", "📄 표준서 열기")</f>
        <v/>
      </c>
      <c r="D27" s="6">
        <f>HYPERLINK(LEFT(CELL("filename",A1),FIND("[",CELL("filename",A1))-1)&amp;"매뉴얼BODY(집행단계-첨부폴더)v8\9.통신분야\24_운영자 교육시행\수행지침\운영자 교육시행_수행지침.html", "📘 수행지침 열기")</f>
        <v/>
      </c>
      <c r="E27" s="7">
        <f>HYPERLINK(LEFT(CELL("filename",A1),FIND("[",CELL("filename",A1))-1)&amp;"매뉴얼BODY(집행단계-첨부폴더)v8\9.통신분야\24_운영자 교육시행\체크리스트\9000-2-24_운영자 교육시행_체크리스트.html", "📋 체크리스트 열기")</f>
        <v/>
      </c>
    </row>
    <row r="28" ht="24" customHeight="1">
      <c r="A28" s="8" t="n">
        <v>26</v>
      </c>
      <c r="B28" s="9" t="inlineStr">
        <is>
          <t>사전점검</t>
        </is>
      </c>
      <c r="C28" s="10">
        <f>HYPERLINK(LEFT(CELL("filename",A1),FIND("[",CELL("filename",A1))-1)&amp;"매뉴얼BODY(집행단계-첨부폴더)v8\9.통신분야\25_사전점검\표준서\9000-2-25_사전점검_표준서.html", "📄 표준서 열기")</f>
        <v/>
      </c>
      <c r="D28" s="11">
        <f>HYPERLINK(LEFT(CELL("filename",A1),FIND("[",CELL("filename",A1))-1)&amp;"매뉴얼BODY(집행단계-첨부폴더)v8\9.통신분야\25_사전점검\수행지침\9000-2-25_사전점검_수행지침.html", "📘 수행지침 열기")</f>
        <v/>
      </c>
      <c r="E28" s="12">
        <f>HYPERLINK(LEFT(CELL("filename",A1),FIND("[",CELL("filename",A1))-1)&amp;"매뉴얼BODY(집행단계-첨부폴더)v8\9.통신분야\25_사전점검\체크리스트\9000-2-25_사전점검_체크리스트.html", "📋 체크리스트 열기")</f>
        <v/>
      </c>
    </row>
    <row r="29" ht="24" customHeight="1">
      <c r="A29" s="3" t="n">
        <v>27</v>
      </c>
      <c r="B29" s="4" t="inlineStr">
        <is>
          <t>시설물 검증시험</t>
        </is>
      </c>
      <c r="C29" s="5">
        <f>HYPERLINK(LEFT(CELL("filename",A1),FIND("[",CELL("filename",A1))-1)&amp;"매뉴얼BODY(집행단계-첨부폴더)v8\9.통신분야\26_시설물 검증시험\표준서\시설물 검증시험_표준서.html", "📄 표준서 열기")</f>
        <v/>
      </c>
      <c r="D29" s="6">
        <f>HYPERLINK(LEFT(CELL("filename",A1),FIND("[",CELL("filename",A1))-1)&amp;"매뉴얼BODY(집행단계-첨부폴더)v8\9.통신분야\26_시설물 검증시험\수행지침\시설물 검증시험_수행지침.html", "📘 수행지침 열기")</f>
        <v/>
      </c>
      <c r="E29" s="7">
        <f>HYPERLINK(LEFT(CELL("filename",A1),FIND("[",CELL("filename",A1))-1)&amp;"매뉴얼BODY(집행단계-첨부폴더)v8\9.통신분야\26_시설물 검증시험\체크리스트\9000-2-26_시설물 검증시험_체크리스트.html", "📋 체크리스트 열기")</f>
        <v/>
      </c>
    </row>
    <row r="30" ht="24" customHeight="1">
      <c r="A30" s="8" t="n">
        <v>28</v>
      </c>
      <c r="B30" s="9" t="inlineStr">
        <is>
          <t>영업시운전</t>
        </is>
      </c>
      <c r="C30" s="10">
        <f>HYPERLINK(LEFT(CELL("filename",A1),FIND("[",CELL("filename",A1))-1)&amp;"매뉴얼BODY(집행단계-첨부폴더)v8\9.통신분야\27_영업시운전\표준서\9000-2-27_영업시운전_표준서.html", "📄 표준서 열기")</f>
        <v/>
      </c>
      <c r="D30" s="11">
        <f>HYPERLINK(LEFT(CELL("filename",A1),FIND("[",CELL("filename",A1))-1)&amp;"매뉴얼BODY(집행단계-첨부폴더)v8\9.통신분야\27_영업시운전\수행지침\9000-2-27_영업시운전_수행지침.html", "📘 수행지침 열기")</f>
        <v/>
      </c>
      <c r="E30" s="12">
        <f>HYPERLINK(LEFT(CELL("filename",A1),FIND("[",CELL("filename",A1))-1)&amp;"매뉴얼BODY(집행단계-첨부폴더)v8\9.통신분야\27_영업시운전\체크리스트\9000-2-27_영업시운전_체크리스트.html", "📋 체크리스트 열기")</f>
        <v/>
      </c>
    </row>
    <row r="31" ht="24" customHeight="1">
      <c r="A31" s="3" t="n">
        <v>29</v>
      </c>
      <c r="B31" s="4" t="inlineStr">
        <is>
          <t>자가용전기통신설비 설치신고</t>
        </is>
      </c>
      <c r="C31" s="5">
        <f>HYPERLINK(LEFT(CELL("filename",A1),FIND("[",CELL("filename",A1))-1)&amp;"매뉴얼BODY(집행단계-첨부폴더)v8\9.통신분야\28_자가용전기통신설비 설치신고\표준서\자가용전기통신설비 설치신고_표준서.html", "📄 표준서 열기")</f>
        <v/>
      </c>
      <c r="D31" s="6">
        <f>HYPERLINK(LEFT(CELL("filename",A1),FIND("[",CELL("filename",A1))-1)&amp;"매뉴얼BODY(집행단계-첨부폴더)v8\9.통신분야\28_자가용전기통신설비 설치신고\수행지침\자가용전기통신설비 설치신고_수행지침.html", "📘 수행지침 열기")</f>
        <v/>
      </c>
      <c r="E31" s="7">
        <f>HYPERLINK(LEFT(CELL("filename",A1),FIND("[",CELL("filename",A1))-1)&amp;"매뉴얼BODY(집행단계-첨부폴더)v8\9.통신분야\28_자가용전기통신설비 설치신고\체크리스트\9000-2-28_자가용전기통신설비 설치신고_체크리스트.html", "📋 체크리스트 열기")</f>
        <v/>
      </c>
    </row>
    <row r="32" ht="24" customHeight="1">
      <c r="A32" s="8" t="n">
        <v>30</v>
      </c>
      <c r="B32" s="9" t="inlineStr">
        <is>
          <t>LTE-R 무선국 허가</t>
        </is>
      </c>
      <c r="C32" s="10">
        <f>HYPERLINK(LEFT(CELL("filename",A1),FIND("[",CELL("filename",A1))-1)&amp;"매뉴얼BODY(집행단계-첨부폴더)v8\9.통신분야\29_LTE-R 무선국 허가\표준서\LTE-R 무선국 허가_표준서.html", "📄 표준서 열기")</f>
        <v/>
      </c>
      <c r="D32" s="11">
        <f>HYPERLINK(LEFT(CELL("filename",A1),FIND("[",CELL("filename",A1))-1)&amp;"매뉴얼BODY(집행단계-첨부폴더)v8\9.통신분야\29_LTE-R 무선국 허가\수행지침\LTE-R 무선국 허가_수행지침.html", "📘 수행지침 열기")</f>
        <v/>
      </c>
      <c r="E32" s="12">
        <f>HYPERLINK(LEFT(CELL("filename",A1),FIND("[",CELL("filename",A1))-1)&amp;"매뉴얼BODY(집행단계-첨부폴더)v8\9.통신분야\29_LTE-R 무선국 허가\체크리스트\LTE-R 무선국 허가_체크리스트.html", "📋 체크리스트 열기")</f>
        <v/>
      </c>
    </row>
    <row r="33" ht="24" customHeight="1">
      <c r="A33" s="3" t="n">
        <v>31</v>
      </c>
      <c r="B33" s="4" t="inlineStr">
        <is>
          <t>LTE-R 무선국허가</t>
        </is>
      </c>
      <c r="C33" s="5">
        <f>HYPERLINK(LEFT(CELL("filename",A1),FIND("[",CELL("filename",A1))-1)&amp;"매뉴얼BODY(집행단계-첨부폴더)v8\9.통신분야\29_LTE-R 무선국허가\표준서\LTE-R 무선국허가_표준서.html", "📄 표준서 열기")</f>
        <v/>
      </c>
      <c r="D33" s="6">
        <f>HYPERLINK(LEFT(CELL("filename",A1),FIND("[",CELL("filename",A1))-1)&amp;"매뉴얼BODY(집행단계-첨부폴더)v8\9.통신분야\29_LTE-R 무선국허가\수행지침\LTE-R 무선국허가_수행지침.html", "📘 수행지침 열기")</f>
        <v/>
      </c>
      <c r="E33" s="7">
        <f>HYPERLINK(LEFT(CELL("filename",A1),FIND("[",CELL("filename",A1))-1)&amp;"매뉴얼BODY(집행단계-첨부폴더)v8\9.통신분야\29_LTE-R 무선국허가\체크리스트\9000-2-29_LTE-R 무선국허가_체크리스트.html", "📋 체크리스트 열기")</f>
        <v/>
      </c>
    </row>
    <row r="34" ht="24" customHeight="1">
      <c r="A34" s="8" t="n">
        <v>32</v>
      </c>
      <c r="B34" s="9" t="inlineStr">
        <is>
          <t>LTE-R 상호운용성 및 보안적합성 검증</t>
        </is>
      </c>
      <c r="C34" s="10">
        <f>HYPERLINK(LEFT(CELL("filename",A1),FIND("[",CELL("filename",A1))-1)&amp;"매뉴얼BODY(집행단계-첨부폴더)v8\9.통신분야\30_LTE-R 상호운용성 및 보안적합성 검증\표준서\LTE-R 상호운용성 및 보안적합성 검증_표준서.html", "📄 표준서 열기")</f>
        <v/>
      </c>
      <c r="D34" s="11">
        <f>HYPERLINK(LEFT(CELL("filename",A1),FIND("[",CELL("filename",A1))-1)&amp;"매뉴얼BODY(집행단계-첨부폴더)v8\9.통신분야\30_LTE-R 상호운용성 및 보안적합성 검증\수행지침\LTE-R 상호운용성 및 보안적합성 검증_수행지침.html", "📘 수행지침 열기")</f>
        <v/>
      </c>
      <c r="E34" s="12">
        <f>HYPERLINK(LEFT(CELL("filename",A1),FIND("[",CELL("filename",A1))-1)&amp;"매뉴얼BODY(집행단계-첨부폴더)v8\9.통신분야\30_LTE-R 상호운용성 및 보안적합성 검증\체크리스트\9000-2-30_LTE-R 상호운용성 및 보안적합성 검증_체크리스트.html", "📋 체크리스트 열기")</f>
        <v/>
      </c>
    </row>
    <row r="35" ht="24" customHeight="1">
      <c r="A35" s="3" t="n">
        <v>33</v>
      </c>
      <c r="B35" s="4" t="inlineStr">
        <is>
          <t>LTE-R 상호운용성 및 상호연동성 검증</t>
        </is>
      </c>
      <c r="C35" s="5">
        <f>HYPERLINK(LEFT(CELL("filename",A1),FIND("[",CELL("filename",A1))-1)&amp;"매뉴얼BODY(집행단계-첨부폴더)v8\9.통신분야\30_LTE-R 상호운용성 및 상호연동성 검증\표준서\LTE-R 상호운용성 및 상호연동성 검증_표준서.html", "📄 표준서 열기")</f>
        <v/>
      </c>
      <c r="D35" s="6">
        <f>HYPERLINK(LEFT(CELL("filename",A1),FIND("[",CELL("filename",A1))-1)&amp;"매뉴얼BODY(집행단계-첨부폴더)v8\9.통신분야\30_LTE-R 상호운용성 및 상호연동성 검증\수행지침\LTE-R 상호운용성 및 상호연동성 검증_수행지침.html", "📘 수행지침 열기")</f>
        <v/>
      </c>
      <c r="E35" s="7">
        <f>HYPERLINK(LEFT(CELL("filename",A1),FIND("[",CELL("filename",A1))-1)&amp;"매뉴얼BODY(집행단계-첨부폴더)v8\9.통신분야\30_LTE-R 상호운용성 및 상호연동성 검증\체크리스트\LTE-R 상호운용성 및 상호연동성 검증_체크리스트.html", "📋 체크리스트 열기")</f>
        <v/>
      </c>
    </row>
    <row r="36" ht="24" customHeight="1">
      <c r="A36" s="8" t="n">
        <v>34</v>
      </c>
      <c r="B36" s="9" t="inlineStr">
        <is>
          <t>정보통신사용전검사</t>
        </is>
      </c>
      <c r="C36" s="10">
        <f>HYPERLINK(LEFT(CELL("filename",A1),FIND("[",CELL("filename",A1))-1)&amp;"매뉴얼BODY(집행단계-첨부폴더)v8\9.통신분야\31_정보통신사용전검사\표준서\정보통신사용전검사_표준서.html", "📄 표준서 열기")</f>
        <v/>
      </c>
      <c r="D36" s="11">
        <f>HYPERLINK(LEFT(CELL("filename",A1),FIND("[",CELL("filename",A1))-1)&amp;"매뉴얼BODY(집행단계-첨부폴더)v8\9.통신분야\31_정보통신사용전검사\수행지침\정보통신사용전검사_수행지침.html", "📘 수행지침 열기")</f>
        <v/>
      </c>
      <c r="E36" s="12">
        <f>HYPERLINK(LEFT(CELL("filename",A1),FIND("[",CELL("filename",A1))-1)&amp;"매뉴얼BODY(집행단계-첨부폴더)v8\9.통신분야\31_정보통신사용전검사\체크리스트\9000-2-31_정보통신사용전검사_체크리스트.html", "📋 체크리스트 열기")</f>
        <v/>
      </c>
    </row>
    <row r="37" ht="24" customHeight="1">
      <c r="A37" s="3" t="n">
        <v>35</v>
      </c>
      <c r="B37" s="4" t="inlineStr">
        <is>
          <t>LTE-R 무선국 준공검사</t>
        </is>
      </c>
      <c r="C37" s="5">
        <f>HYPERLINK(LEFT(CELL("filename",A1),FIND("[",CELL("filename",A1))-1)&amp;"매뉴얼BODY(집행단계-첨부폴더)v8\9.통신분야\32_LTE-R 무선국 준공검사\표준서\LTE-R 무선국 준공검사_표준서.html", "📄 표준서 열기")</f>
        <v/>
      </c>
      <c r="D37" s="6">
        <f>HYPERLINK(LEFT(CELL("filename",A1),FIND("[",CELL("filename",A1))-1)&amp;"매뉴얼BODY(집행단계-첨부폴더)v8\9.통신분야\32_LTE-R 무선국 준공검사\수행지침\LTE-R 무선국 준공검사_수행지침.html", "📘 수행지침 열기")</f>
        <v/>
      </c>
      <c r="E37" s="7">
        <f>HYPERLINK(LEFT(CELL("filename",A1),FIND("[",CELL("filename",A1))-1)&amp;"매뉴얼BODY(집행단계-첨부폴더)v8\9.통신분야\32_LTE-R 무선국 준공검사\체크리스트\9000-2-32_LTE-R 무선국 준공검사_체크리스트.html", "📋 체크리스트 열기")</f>
        <v/>
      </c>
    </row>
    <row r="38" ht="24" customHeight="1">
      <c r="A38" s="8" t="n">
        <v>36</v>
      </c>
      <c r="B38" s="9" t="inlineStr">
        <is>
          <t>Task_33</t>
        </is>
      </c>
      <c r="C38" s="10">
        <f>HYPERLINK(LEFT(CELL("filename",A1),FIND("[",CELL("filename",A1))-1)&amp;"매뉴얼BODY(집행단계-첨부폴더)v8\9.통신분야\33_Task_33\표준서\Task_33_표준서.html", "📄 표준서 열기")</f>
        <v/>
      </c>
      <c r="D38" s="11">
        <f>HYPERLINK(LEFT(CELL("filename",A1),FIND("[",CELL("filename",A1))-1)&amp;"매뉴얼BODY(집행단계-첨부폴더)v8\9.통신분야\33_Task_33\수행지침\Task_33_수행지침.html", "📘 수행지침 열기")</f>
        <v/>
      </c>
      <c r="E38" s="12">
        <f>HYPERLINK(LEFT(CELL("filename",A1),FIND("[",CELL("filename",A1))-1)&amp;"매뉴얼BODY(집행단계-첨부폴더)v8\9.통신분야\33_Task_33\체크리스트\Task_33_체크리스트.html", "📋 체크리스트 열기")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22" customWidth="1" min="4" max="4"/>
    <col width="22" customWidth="1" min="5" max="5"/>
  </cols>
  <sheetData>
    <row r="1" ht="35" customHeight="1">
      <c r="A1" s="1" t="inlineStr">
        <is>
          <t>동탄도시철도(트램) 기계설비·소방설비 엔지니어링 매뉴얼 링크 대장</t>
        </is>
      </c>
    </row>
    <row r="2" ht="28" customHeight="1">
      <c r="A2" s="15" t="inlineStr">
        <is>
          <t>순번</t>
        </is>
      </c>
      <c r="B2" s="15" t="inlineStr">
        <is>
          <t>액티비티명 (Activity)</t>
        </is>
      </c>
      <c r="C2" s="15" t="inlineStr">
        <is>
          <t>표준서 (Standard)</t>
        </is>
      </c>
      <c r="D2" s="15" t="inlineStr">
        <is>
          <t>수행지침 (Guideline)</t>
        </is>
      </c>
      <c r="E2" s="15" t="inlineStr">
        <is>
          <t>체크리스트 (Checklist)</t>
        </is>
      </c>
    </row>
    <row r="3" ht="24" customHeight="1">
      <c r="A3" s="16" t="n">
        <v>1</v>
      </c>
      <c r="B3" s="17" t="inlineStr">
        <is>
          <t>설계 적정성 검토</t>
        </is>
      </c>
      <c r="C3" s="18">
        <f>HYPERLINK(LEFT(CELL("filename",A1),FIND("[",CELL("filename",A1))-1)&amp;"매뉴얼BODY(집행단계-첨부폴더)v8\10.기계분야\1_설계 적정성 검토\표준서\1_설계 적정성 검토_표준서.html", "📄 표준서 열기")</f>
        <v/>
      </c>
      <c r="D3" s="19">
        <f>HYPERLINK(LEFT(CELL("filename",A1),FIND("[",CELL("filename",A1))-1)&amp;"매뉴얼BODY(집행단계-첨부폴더)v8\10.기계분야\1_설계 적정성 검토\수행지침\1_설계 적정성 검토_수행지침.html", "📘 수행지침 열기")</f>
        <v/>
      </c>
      <c r="E3" s="20">
        <f>HYPERLINK(LEFT(CELL("filename",A1),FIND("[",CELL("filename",A1))-1)&amp;"매뉴얼BODY(집행단계-첨부폴더)v8\10.기계분야\1_설계 적정성 검토\체크리스트\1_설계 적정성 검토_체크리스트.html", "📋 체크리스트 열기")</f>
        <v/>
      </c>
    </row>
    <row r="4" ht="24" customHeight="1">
      <c r="A4" s="21" t="n">
        <v>2</v>
      </c>
      <c r="B4" s="22" t="inlineStr">
        <is>
          <t>발주전략 KOM</t>
        </is>
      </c>
      <c r="C4" s="23">
        <f>HYPERLINK(LEFT(CELL("filename",A1),FIND("[",CELL("filename",A1))-1)&amp;"매뉴얼BODY(집행단계-첨부폴더)v8\10.기계분야\2_발주전략 KOM\표준서\2_발주전략 KOM_표준서.html", "📄 표준서 열기")</f>
        <v/>
      </c>
      <c r="D4" s="24">
        <f>HYPERLINK(LEFT(CELL("filename",A1),FIND("[",CELL("filename",A1))-1)&amp;"매뉴얼BODY(집행단계-첨부폴더)v8\10.기계분야\2_발주전략 KOM\수행지침\2_발주전략 KOM_수행지침.html", "📘 수행지침 열기")</f>
        <v/>
      </c>
      <c r="E4" s="25">
        <f>HYPERLINK(LEFT(CELL("filename",A1),FIND("[",CELL("filename",A1))-1)&amp;"매뉴얼BODY(집행단계-첨부폴더)v8\10.기계분야\2_발주전략 KOM\체크리스트\2_발주전략 KOM_체크리스트.html", "📋 체크리스트 열기")</f>
        <v/>
      </c>
    </row>
    <row r="5" ht="24" customHeight="1">
      <c r="A5" s="16" t="n">
        <v>3</v>
      </c>
      <c r="B5" s="17" t="inlineStr">
        <is>
          <t>3D BIM 기계_소방 간섭 검토</t>
        </is>
      </c>
      <c r="C5" s="18">
        <f>HYPERLINK(LEFT(CELL("filename",A1),FIND("[",CELL("filename",A1))-1)&amp;"매뉴얼BODY(집행단계-첨부폴더)v8\10.기계분야\3_3D BIM 기계_소방 간섭 검토\표준서\3_3D BIM 기계_소방 간섭 검토_표준서.html", "📄 표준서 열기")</f>
        <v/>
      </c>
      <c r="D5" s="19">
        <f>HYPERLINK(LEFT(CELL("filename",A1),FIND("[",CELL("filename",A1))-1)&amp;"매뉴얼BODY(집행단계-첨부폴더)v8\10.기계분야\3_3D BIM 기계_소방 간섭 검토\수행지침\3_3D BIM 기계_소방 간섭 검토_수행지침.html", "📘 수행지침 열기")</f>
        <v/>
      </c>
      <c r="E5" s="20">
        <f>HYPERLINK(LEFT(CELL("filename",A1),FIND("[",CELL("filename",A1))-1)&amp;"매뉴얼BODY(집행단계-첨부폴더)v8\10.기계분야\3_3D BIM 기계_소방 간섭 검토\체크리스트\3_3D BIM 기계_소방 간섭 검토_체크리스트.html", "📋 체크리스트 열기")</f>
        <v/>
      </c>
    </row>
    <row r="6" ht="24" customHeight="1">
      <c r="A6" s="21" t="n">
        <v>4</v>
      </c>
      <c r="B6" s="22" t="inlineStr">
        <is>
          <t>소방 및 환경 인허가</t>
        </is>
      </c>
      <c r="C6" s="23">
        <f>HYPERLINK(LEFT(CELL("filename",A1),FIND("[",CELL("filename",A1))-1)&amp;"매뉴얼BODY(집행단계-첨부폴더)v8\10.기계분야\4_소방 및 환경 인허가\표준서\4_소방 및 환경 인허가_표준서.html", "📄 표준서 열기")</f>
        <v/>
      </c>
      <c r="D6" s="24">
        <f>HYPERLINK(LEFT(CELL("filename",A1),FIND("[",CELL("filename",A1))-1)&amp;"매뉴얼BODY(집행단계-첨부폴더)v8\10.기계분야\4_소방 및 환경 인허가\수행지침\4_소방 및 환경 인허가_수행지침.html", "📘 수행지침 열기")</f>
        <v/>
      </c>
      <c r="E6" s="25">
        <f>HYPERLINK(LEFT(CELL("filename",A1),FIND("[",CELL("filename",A1))-1)&amp;"매뉴얼BODY(집행단계-첨부폴더)v8\10.기계분야\4_소방 및 환경 인허가\체크리스트\4_소방 및 환경 인허가_체크리스트.html", "📋 체크리스트 열기")</f>
        <v/>
      </c>
    </row>
    <row r="7" ht="24" customHeight="1">
      <c r="A7" s="16" t="n">
        <v>5</v>
      </c>
      <c r="B7" s="17" t="inlineStr">
        <is>
          <t>장비 반입동선 및 야적장 계획</t>
        </is>
      </c>
      <c r="C7" s="18">
        <f>HYPERLINK(LEFT(CELL("filename",A1),FIND("[",CELL("filename",A1))-1)&amp;"매뉴얼BODY(집행단계-첨부폴더)v8\10.기계분야\5_장비 반입동선 및 야적장 계획\표준서\5_장비 반입동선 및 야적장 계획_표준서.html", "📄 표준서 열기")</f>
        <v/>
      </c>
      <c r="D7" s="19">
        <f>HYPERLINK(LEFT(CELL("filename",A1),FIND("[",CELL("filename",A1))-1)&amp;"매뉴얼BODY(집행단계-첨부폴더)v8\10.기계분야\5_장비 반입동선 및 야적장 계획\수행지침\5_장비 반입동선 및 야적장 계획_수행지침.html", "📘 수행지침 열기")</f>
        <v/>
      </c>
      <c r="E7" s="20">
        <f>HYPERLINK(LEFT(CELL("filename",A1),FIND("[",CELL("filename",A1))-1)&amp;"매뉴얼BODY(집행단계-첨부폴더)v8\10.기계분야\5_장비 반입동선 및 야적장 계획\체크리스트\5_장비 반입동선 및 야적장 계획_체크리스트.html", "📋 체크리스트 열기")</f>
        <v/>
      </c>
    </row>
    <row r="8" ht="24" customHeight="1">
      <c r="A8" s="21" t="n">
        <v>6</v>
      </c>
      <c r="B8" s="22" t="inlineStr">
        <is>
          <t>Big Room 인터페이스 회의</t>
        </is>
      </c>
      <c r="C8" s="23">
        <f>HYPERLINK(LEFT(CELL("filename",A1),FIND("[",CELL("filename",A1))-1)&amp;"매뉴얼BODY(집행단계-첨부폴더)v8\10.기계분야\6_Big Room 인터페이스 회의\표준서\6_Big Room 인터페이스 회의_표준서.html", "📄 표준서 열기")</f>
        <v/>
      </c>
      <c r="D8" s="24">
        <f>HYPERLINK(LEFT(CELL("filename",A1),FIND("[",CELL("filename",A1))-1)&amp;"매뉴얼BODY(집행단계-첨부폴더)v8\10.기계분야\6_Big Room 인터페이스 회의\수행지침\6_Big Room 인터페이스 회의_수행지침.html", "📘 수행지침 열기")</f>
        <v/>
      </c>
      <c r="E8" s="25">
        <f>HYPERLINK(LEFT(CELL("filename",A1),FIND("[",CELL("filename",A1))-1)&amp;"매뉴얼BODY(집행단계-첨부폴더)v8\10.기계분야\6_Big Room 인터페이스 회의\체크리스트\6_Big Room 인터페이스 회의_체크리스트.html", "📋 체크리스트 열기")</f>
        <v/>
      </c>
    </row>
    <row r="9" ht="24" customHeight="1">
      <c r="A9" s="16" t="n">
        <v>7</v>
      </c>
      <c r="B9" s="17" t="inlineStr">
        <is>
          <t>지하매설 기계배관 협의</t>
        </is>
      </c>
      <c r="C9" s="18">
        <f>HYPERLINK(LEFT(CELL("filename",A1),FIND("[",CELL("filename",A1))-1)&amp;"매뉴얼BODY(집행단계-첨부폴더)v8\10.기계분야\7_지하매설 기계배관 협의\표준서\7_지하매설 기계배관 협의_표준서.html", "📄 표준서 열기")</f>
        <v/>
      </c>
      <c r="D9" s="19">
        <f>HYPERLINK(LEFT(CELL("filename",A1),FIND("[",CELL("filename",A1))-1)&amp;"매뉴얼BODY(집행단계-첨부폴더)v8\10.기계분야\7_지하매설 기계배관 협의\수행지침\7_지하매설 기계배관 협의_수행지침.html", "📘 수행지침 열기")</f>
        <v/>
      </c>
      <c r="E9" s="20">
        <f>HYPERLINK(LEFT(CELL("filename",A1),FIND("[",CELL("filename",A1))-1)&amp;"매뉴얼BODY(집행단계-첨부폴더)v8\10.기계분야\7_지하매설 기계배관 협의\체크리스트\7_지하매설 기계배관 협의_체크리스트.html", "📋 체크리스트 열기")</f>
        <v/>
      </c>
    </row>
    <row r="10" ht="24" customHeight="1">
      <c r="A10" s="21" t="n">
        <v>8</v>
      </c>
      <c r="B10" s="22" t="inlineStr">
        <is>
          <t>기계설비 시공계획서 수립</t>
        </is>
      </c>
      <c r="C10" s="23">
        <f>HYPERLINK(LEFT(CELL("filename",A1),FIND("[",CELL("filename",A1))-1)&amp;"매뉴얼BODY(집행단계-첨부폴더)v8\10.기계분야\8_기계설비 시공계획서 수립\표준서\8_기계설비 시공계획서 수립_표준서.html", "📄 표준서 열기")</f>
        <v/>
      </c>
      <c r="D10" s="24">
        <f>HYPERLINK(LEFT(CELL("filename",A1),FIND("[",CELL("filename",A1))-1)&amp;"매뉴얼BODY(집행단계-첨부폴더)v8\10.기계분야\8_기계설비 시공계획서 수립\수행지침\8_기계설비 시공계획서 수립_수행지침.html", "📘 수행지침 열기")</f>
        <v/>
      </c>
      <c r="E10" s="25">
        <f>HYPERLINK(LEFT(CELL("filename",A1),FIND("[",CELL("filename",A1))-1)&amp;"매뉴얼BODY(집행단계-첨부폴더)v8\10.기계분야\8_기계설비 시공계획서 수립\체크리스트\8_기계설비 시공계획서 수립_체크리스트.html", "📋 체크리스트 열기")</f>
        <v/>
      </c>
    </row>
    <row r="11" ht="24" customHeight="1">
      <c r="A11" s="16" t="n">
        <v>9</v>
      </c>
      <c r="B11" s="17" t="inlineStr">
        <is>
          <t>주요 기계_소방 기자재 검수</t>
        </is>
      </c>
      <c r="C11" s="18">
        <f>HYPERLINK(LEFT(CELL("filename",A1),FIND("[",CELL("filename",A1))-1)&amp;"매뉴얼BODY(집행단계-첨부폴더)v8\10.기계분야\9_주요 기계_소방 기자재 검수\표준서\9_주요 기계_소방 기자재 검수_표준서.html", "📄 표준서 열기")</f>
        <v/>
      </c>
      <c r="D11" s="19">
        <f>HYPERLINK(LEFT(CELL("filename",A1),FIND("[",CELL("filename",A1))-1)&amp;"매뉴얼BODY(집행단계-첨부폴더)v8\10.기계분야\9_주요 기계_소방 기자재 검수\수행지침\9_주요 기계_소방 기자재 검수_수행지침.html", "📘 수행지침 열기")</f>
        <v/>
      </c>
      <c r="E11" s="20">
        <f>HYPERLINK(LEFT(CELL("filename",A1),FIND("[",CELL("filename",A1))-1)&amp;"매뉴얼BODY(집행단계-첨부폴더)v8\10.기계분야\9_주요 기계_소방 기자재 검수\체크리스트\9_주요 기계_소방 기자재 검수_체크리스트.html", "📋 체크리스트 열기")</f>
        <v/>
      </c>
    </row>
    <row r="12" ht="24" customHeight="1">
      <c r="A12" s="21" t="n">
        <v>10</v>
      </c>
      <c r="B12" s="22" t="inlineStr">
        <is>
          <t>방화구획 내화채움구조 시공</t>
        </is>
      </c>
      <c r="C12" s="23">
        <f>HYPERLINK(LEFT(CELL("filename",A1),FIND("[",CELL("filename",A1))-1)&amp;"매뉴얼BODY(집행단계-첨부폴더)v8\10.기계분야\10_방화구획 내화채움구조 시공\표준서\10_방화구획 내화채움구조 시공_표준서.html", "📄 표준서 열기")</f>
        <v/>
      </c>
      <c r="D12" s="24">
        <f>HYPERLINK(LEFT(CELL("filename",A1),FIND("[",CELL("filename",A1))-1)&amp;"매뉴얼BODY(집행단계-첨부폴더)v8\10.기계분야\10_방화구획 내화채움구조 시공\수행지침\10_방화구획 내화채움구조 시공_수행지침.html", "📘 수행지침 열기")</f>
        <v/>
      </c>
      <c r="E12" s="25">
        <f>HYPERLINK(LEFT(CELL("filename",A1),FIND("[",CELL("filename",A1))-1)&amp;"매뉴얼BODY(집행단계-첨부폴더)v8\10.기계분야\10_방화구획 내화채움구조 시공\체크리스트\10_방화구획 내화채움구조 시공_체크리스트.html", "📋 체크리스트 열기")</f>
        <v/>
      </c>
    </row>
    <row r="13" ht="24" customHeight="1">
      <c r="A13" s="16" t="n">
        <v>11</v>
      </c>
      <c r="B13" s="17" t="inlineStr">
        <is>
          <t>선로전환기 배수공동구 연계</t>
        </is>
      </c>
      <c r="C13" s="18">
        <f>HYPERLINK(LEFT(CELL("filename",A1),FIND("[",CELL("filename",A1))-1)&amp;"매뉴얼BODY(집행단계-첨부폴더)v8\10.기계분야\11_선로전환기 배수공동구 연계\표준서\11_선로전환기 배수공동구 연계_표준서.html", "📄 표준서 열기")</f>
        <v/>
      </c>
      <c r="D13" s="19">
        <f>HYPERLINK(LEFT(CELL("filename",A1),FIND("[",CELL("filename",A1))-1)&amp;"매뉴얼BODY(집행단계-첨부폴더)v8\10.기계분야\11_선로전환기 배수공동구 연계\수행지침\11_선로전환기 배수공동구 연계_수행지침.html", "📘 수행지침 열기")</f>
        <v/>
      </c>
      <c r="E13" s="20">
        <f>HYPERLINK(LEFT(CELL("filename",A1),FIND("[",CELL("filename",A1))-1)&amp;"매뉴얼BODY(집행단계-첨부폴더)v8\10.기계분야\11_선로전환기 배수공동구 연계\체크리스트\11_선로전환기 배수공동구 연계_체크리스트.html", "📋 체크리스트 열기")</f>
        <v/>
      </c>
    </row>
    <row r="14" ht="24" customHeight="1">
      <c r="A14" s="21" t="n">
        <v>12</v>
      </c>
      <c r="B14" s="22" t="inlineStr">
        <is>
          <t>소방 기계 전원 간선 연계</t>
        </is>
      </c>
      <c r="C14" s="23">
        <f>HYPERLINK(LEFT(CELL("filename",A1),FIND("[",CELL("filename",A1))-1)&amp;"매뉴얼BODY(집행단계-첨부폴더)v8\10.기계분야\12_소방 기계 전원 간선 연계\표준서\12_소방 기계 전원 간선 연계_표준서.html", "📄 표준서 열기")</f>
        <v/>
      </c>
      <c r="D14" s="24">
        <f>HYPERLINK(LEFT(CELL("filename",A1),FIND("[",CELL("filename",A1))-1)&amp;"매뉴얼BODY(집행단계-첨부폴더)v8\10.기계분야\12_소방 기계 전원 간선 연계\수행지침\12_소방 기계 전원 간선 연계_수행지침.html", "📘 수행지침 열기")</f>
        <v/>
      </c>
      <c r="E14" s="25">
        <f>HYPERLINK(LEFT(CELL("filename",A1),FIND("[",CELL("filename",A1))-1)&amp;"매뉴얼BODY(집행단계-첨부폴더)v8\10.기계분야\12_소방 기계 전원 간선 연계\체크리스트\12_소방 기계 전원 간선 연계_체크리스트.html", "📋 체크리스트 열기")</f>
        <v/>
      </c>
    </row>
    <row r="15" ht="24" customHeight="1">
      <c r="A15" s="16" t="n">
        <v>13</v>
      </c>
      <c r="B15" s="17" t="inlineStr">
        <is>
          <t>저수조 사수방지 흡입배관</t>
        </is>
      </c>
      <c r="C15" s="18">
        <f>HYPERLINK(LEFT(CELL("filename",A1),FIND("[",CELL("filename",A1))-1)&amp;"매뉴얼BODY(집행단계-첨부폴더)v8\10.기계분야\13_저수조 사수방지 흡입배관\표준서\13_저수조 사수방지 흡입배관_표준서.html", "📄 표준서 열기")</f>
        <v/>
      </c>
      <c r="D15" s="19">
        <f>HYPERLINK(LEFT(CELL("filename",A1),FIND("[",CELL("filename",A1))-1)&amp;"매뉴얼BODY(집행단계-첨부폴더)v8\10.기계분야\13_저수조 사수방지 흡입배관\수행지침\13_저수조 사수방지 흡입배관_수행지침.html", "📘 수행지침 열기")</f>
        <v/>
      </c>
      <c r="E15" s="20">
        <f>HYPERLINK(LEFT(CELL("filename",A1),FIND("[",CELL("filename",A1))-1)&amp;"매뉴얼BODY(집행단계-첨부폴더)v8\10.기계분야\13_저수조 사수방지 흡입배관\체크리스트\13_저수조 사수방지 흡입배관_체크리스트.html", "📋 체크리스트 열기")</f>
        <v/>
      </c>
    </row>
    <row r="16" ht="24" customHeight="1">
      <c r="A16" s="21" t="n">
        <v>14</v>
      </c>
      <c r="B16" s="22" t="inlineStr">
        <is>
          <t>지열 신재생에너지 배관 매설</t>
        </is>
      </c>
      <c r="C16" s="23">
        <f>HYPERLINK(LEFT(CELL("filename",A1),FIND("[",CELL("filename",A1))-1)&amp;"매뉴얼BODY(집행단계-첨부폴더)v8\10.기계분야\14_지열 신재생에너지 배관 매설\표준서\14_지열 신재생에너지 배관 매설_표준서.html", "📄 표준서 열기")</f>
        <v/>
      </c>
      <c r="D16" s="24">
        <f>HYPERLINK(LEFT(CELL("filename",A1),FIND("[",CELL("filename",A1))-1)&amp;"매뉴얼BODY(집행단계-첨부폴더)v8\10.기계분야\14_지열 신재생에너지 배관 매설\수행지침\14_지열 신재생에너지 배관 매설_수행지침.html", "📘 수행지침 열기")</f>
        <v/>
      </c>
      <c r="E16" s="25">
        <f>HYPERLINK(LEFT(CELL("filename",A1),FIND("[",CELL("filename",A1))-1)&amp;"매뉴얼BODY(집행단계-첨부폴더)v8\10.기계분야\14_지열 신재생에너지 배관 매설\체크리스트\14_지열 신재생에너지 배관 매설_체크리스트.html", "📋 체크리스트 열기")</f>
        <v/>
      </c>
    </row>
    <row r="17" ht="24" customHeight="1">
      <c r="A17" s="16" t="n">
        <v>15</v>
      </c>
      <c r="B17" s="17" t="inlineStr">
        <is>
          <t>정거장_변전소 환기덕트 시공</t>
        </is>
      </c>
      <c r="C17" s="18">
        <f>HYPERLINK(LEFT(CELL("filename",A1),FIND("[",CELL("filename",A1))-1)&amp;"매뉴얼BODY(집행단계-첨부폴더)v8\10.기계분야\15_정거장_변전소 환기덕트 시공\표준서\15_정거장_변전소 환기덕트 시공_표준서.html", "📄 표준서 열기")</f>
        <v/>
      </c>
      <c r="D17" s="19">
        <f>HYPERLINK(LEFT(CELL("filename",A1),FIND("[",CELL("filename",A1))-1)&amp;"매뉴얼BODY(집행단계-첨부폴더)v8\10.기계분야\15_정거장_변전소 환기덕트 시공\수행지침\15_정거장_변전소 환기덕트 시공_수행지침.html", "📘 수행지침 열기")</f>
        <v/>
      </c>
      <c r="E17" s="20">
        <f>HYPERLINK(LEFT(CELL("filename",A1),FIND("[",CELL("filename",A1))-1)&amp;"매뉴얼BODY(집행단계-첨부폴더)v8\10.기계분야\15_정거장_변전소 환기덕트 시공\체크리스트\15_정거장_변전소 환기덕트 시공_체크리스트.html", "📋 체크리스트 열기")</f>
        <v/>
      </c>
    </row>
    <row r="18" ht="24" customHeight="1">
      <c r="A18" s="21" t="n">
        <v>16</v>
      </c>
      <c r="B18" s="22" t="inlineStr">
        <is>
          <t>고내열(250℃) 제연팬_풍도</t>
        </is>
      </c>
      <c r="C18" s="23">
        <f>HYPERLINK(LEFT(CELL("filename",A1),FIND("[",CELL("filename",A1))-1)&amp;"매뉴얼BODY(집행단계-첨부폴더)v8\10.기계분야\16_고내열(250℃) 제연팬_풍도\표준서\16_고내열(250℃) 제연팬_풍도_표준서.html", "📄 표준서 열기")</f>
        <v/>
      </c>
      <c r="D18" s="24">
        <f>HYPERLINK(LEFT(CELL("filename",A1),FIND("[",CELL("filename",A1))-1)&amp;"매뉴얼BODY(집행단계-첨부폴더)v8\10.기계분야\16_고내열(250℃) 제연팬_풍도\수행지침\16_고내열(250℃) 제연팬_풍도_수행지침.html", "📘 수행지침 열기")</f>
        <v/>
      </c>
      <c r="E18" s="25">
        <f>HYPERLINK(LEFT(CELL("filename",A1),FIND("[",CELL("filename",A1))-1)&amp;"매뉴얼BODY(집행단계-첨부폴더)v8\10.기계분야\16_고내열(250℃) 제연팬_풍도\체크리스트\16_고내열(250℃) 제연팬_풍도_체크리스트.html", "📋 체크리스트 열기")</f>
        <v/>
      </c>
    </row>
    <row r="19" ht="24" customHeight="1">
      <c r="A19" s="16" t="n">
        <v>17</v>
      </c>
      <c r="B19" s="17" t="inlineStr">
        <is>
          <t>검수고 국부 냉난방 가설</t>
        </is>
      </c>
      <c r="C19" s="18">
        <f>HYPERLINK(LEFT(CELL("filename",A1),FIND("[",CELL("filename",A1))-1)&amp;"매뉴얼BODY(집행단계-첨부폴더)v8\10.기계분야\17_검수고 국부 냉난방 가설\표준서\17_검수고 국부 냉난방 가설_표준서.html", "📄 표준서 열기")</f>
        <v/>
      </c>
      <c r="D19" s="19">
        <f>HYPERLINK(LEFT(CELL("filename",A1),FIND("[",CELL("filename",A1))-1)&amp;"매뉴얼BODY(집행단계-첨부폴더)v8\10.기계분야\17_검수고 국부 냉난방 가설\수행지침\17_검수고 국부 냉난방 가설_수행지침.html", "📘 수행지침 열기")</f>
        <v/>
      </c>
      <c r="E19" s="20">
        <f>HYPERLINK(LEFT(CELL("filename",A1),FIND("[",CELL("filename",A1))-1)&amp;"매뉴얼BODY(집행단계-첨부폴더)v8\10.기계분야\17_검수고 국부 냉난방 가설\체크리스트\17_검수고 국부 냉난방 가설_체크리스트.html", "📋 체크리스트 열기")</f>
        <v/>
      </c>
    </row>
    <row r="20" ht="24" customHeight="1">
      <c r="A20" s="21" t="n">
        <v>18</v>
      </c>
      <c r="B20" s="22" t="inlineStr">
        <is>
          <t>냉온수_냉각수 배관 용접</t>
        </is>
      </c>
      <c r="C20" s="23">
        <f>HYPERLINK(LEFT(CELL("filename",A1),FIND("[",CELL("filename",A1))-1)&amp;"매뉴얼BODY(집행단계-첨부폴더)v8\10.기계분야\18_냉온수_냉각수 배관 용접\표준서\18_냉온수_냉각수 배관 용접_표준서.html", "📄 표준서 열기")</f>
        <v/>
      </c>
      <c r="D20" s="24">
        <f>HYPERLINK(LEFT(CELL("filename",A1),FIND("[",CELL("filename",A1))-1)&amp;"매뉴얼BODY(집행단계-첨부폴더)v8\10.기계분야\18_냉온수_냉각수 배관 용접\수행지침\18_냉온수_냉각수 배관 용접_수행지침.html", "📘 수행지침 열기")</f>
        <v/>
      </c>
      <c r="E20" s="25">
        <f>HYPERLINK(LEFT(CELL("filename",A1),FIND("[",CELL("filename",A1))-1)&amp;"매뉴얼BODY(집행단계-첨부폴더)v8\10.기계분야\18_냉온수_냉각수 배관 용접\체크리스트\18_냉온수_냉각수 배관 용접_체크리스트.html", "📋 체크리스트 열기")</f>
        <v/>
      </c>
    </row>
    <row r="21" ht="24" customHeight="1">
      <c r="A21" s="16" t="n">
        <v>19</v>
      </c>
      <c r="B21" s="17" t="inlineStr">
        <is>
          <t>능동지하차도 전용터널 제연</t>
        </is>
      </c>
      <c r="C21" s="18">
        <f>HYPERLINK(LEFT(CELL("filename",A1),FIND("[",CELL("filename",A1))-1)&amp;"매뉴얼BODY(집행단계-첨부폴더)v8\10.기계분야\19_능동지하차도 전용터널 제연\표준서\19_능동지하차도 전용터널 제연_표준서.html", "📄 표준서 열기")</f>
        <v/>
      </c>
      <c r="D21" s="19">
        <f>HYPERLINK(LEFT(CELL("filename",A1),FIND("[",CELL("filename",A1))-1)&amp;"매뉴얼BODY(집행단계-첨부폴더)v8\10.기계분야\19_능동지하차도 전용터널 제연\수행지침\19_능동지하차도 전용터널 제연_수행지침.html", "📘 수행지침 열기")</f>
        <v/>
      </c>
      <c r="E21" s="20">
        <f>HYPERLINK(LEFT(CELL("filename",A1),FIND("[",CELL("filename",A1))-1)&amp;"매뉴얼BODY(집행단계-첨부폴더)v8\10.기계분야\19_능동지하차도 전용터널 제연\체크리스트\19_능동지하차도 전용터널 제연_체크리스트.html", "📋 체크리스트 열기")</f>
        <v/>
      </c>
    </row>
    <row r="22" ht="24" customHeight="1">
      <c r="A22" s="21" t="n">
        <v>20</v>
      </c>
      <c r="B22" s="22" t="inlineStr">
        <is>
          <t>공기조화기(AHU_PAC) 거치</t>
        </is>
      </c>
      <c r="C22" s="23">
        <f>HYPERLINK(LEFT(CELL("filename",A1),FIND("[",CELL("filename",A1))-1)&amp;"매뉴얼BODY(집행단계-첨부폴더)v8\10.기계분야\20_공기조화기(AHU_PAC) 거치\표준서\20_공기조화기(AHU_PAC) 거치_표준서.html", "📄 표준서 열기")</f>
        <v/>
      </c>
      <c r="D22" s="24">
        <f>HYPERLINK(LEFT(CELL("filename",A1),FIND("[",CELL("filename",A1))-1)&amp;"매뉴얼BODY(집행단계-첨부폴더)v8\10.기계분야\20_공기조화기(AHU_PAC) 거치\수행지침\20_공기조화기(AHU_PAC) 거치_수행지침.html", "📘 수행지침 열기")</f>
        <v/>
      </c>
      <c r="E22" s="25">
        <f>HYPERLINK(LEFT(CELL("filename",A1),FIND("[",CELL("filename",A1))-1)&amp;"매뉴얼BODY(집행단계-첨부폴더)v8\10.기계분야\20_공기조화기(AHU_PAC) 거치\체크리스트\20_공기조화기(AHU_PAC) 거치_체크리스트.html", "📋 체크리스트 열기")</f>
        <v/>
      </c>
    </row>
    <row r="23" ht="24" customHeight="1">
      <c r="A23" s="16" t="n">
        <v>21</v>
      </c>
      <c r="B23" s="17" t="inlineStr">
        <is>
          <t>급수_급탕 STS 배관 시공</t>
        </is>
      </c>
      <c r="C23" s="18">
        <f>HYPERLINK(LEFT(CELL("filename",A1),FIND("[",CELL("filename",A1))-1)&amp;"매뉴얼BODY(집행단계-첨부폴더)v8\10.기계분야\21_급수_급탕 STS 배관 시공\표준서\21_급수_급탕 STS 배관 시공_표준서.html", "📄 표준서 열기")</f>
        <v/>
      </c>
      <c r="D23" s="19">
        <f>HYPERLINK(LEFT(CELL("filename",A1),FIND("[",CELL("filename",A1))-1)&amp;"매뉴얼BODY(집행단계-첨부폴더)v8\10.기계분야\21_급수_급탕 STS 배관 시공\수행지침\21_급수_급탕 STS 배관 시공_수행지침.html", "📘 수행지침 열기")</f>
        <v/>
      </c>
      <c r="E23" s="20">
        <f>HYPERLINK(LEFT(CELL("filename",A1),FIND("[",CELL("filename",A1))-1)&amp;"매뉴얼BODY(집행단계-첨부폴더)v8\10.기계분야\21_급수_급탕 STS 배관 시공\체크리스트\21_급수_급탕 STS 배관 시공_체크리스트.html", "📋 체크리스트 열기")</f>
        <v/>
      </c>
    </row>
    <row r="24" ht="24" customHeight="1">
      <c r="A24" s="21" t="n">
        <v>22</v>
      </c>
      <c r="B24" s="22" t="inlineStr">
        <is>
          <t>오배수관 및 집수조 배수펌프</t>
        </is>
      </c>
      <c r="C24" s="23">
        <f>HYPERLINK(LEFT(CELL("filename",A1),FIND("[",CELL("filename",A1))-1)&amp;"매뉴얼BODY(집행단계-첨부폴더)v8\10.기계분야\22_오배수관 및 집수조 배수펌프\표준서\22_오배수관 및 집수조 배수펌프_표준서.html", "📄 표준서 열기")</f>
        <v/>
      </c>
      <c r="D24" s="24">
        <f>HYPERLINK(LEFT(CELL("filename",A1),FIND("[",CELL("filename",A1))-1)&amp;"매뉴얼BODY(집행단계-첨부폴더)v8\10.기계분야\22_오배수관 및 집수조 배수펌프\수행지침\22_오배수관 및 집수조 배수펌프_수행지침.html", "📘 수행지침 열기")</f>
        <v/>
      </c>
      <c r="E24" s="25">
        <f>HYPERLINK(LEFT(CELL("filename",A1),FIND("[",CELL("filename",A1))-1)&amp;"매뉴얼BODY(집행단계-첨부폴더)v8\10.기계분야\22_오배수관 및 집수조 배수펌프\체크리스트\22_오배수관 및 집수조 배수펌프_체크리스트.html", "📋 체크리스트 열기")</f>
        <v/>
      </c>
    </row>
    <row r="25" ht="24" customHeight="1">
      <c r="A25" s="16" t="n">
        <v>23</v>
      </c>
      <c r="B25" s="17" t="inlineStr">
        <is>
          <t>차량기지 오폐수처리장(90㎡)</t>
        </is>
      </c>
      <c r="C25" s="18">
        <f>HYPERLINK(LEFT(CELL("filename",A1),FIND("[",CELL("filename",A1))-1)&amp;"매뉴얼BODY(집행단계-첨부폴더)v8\10.기계분야\23_차량기지 오폐수처리장(90㎡)\표준서\23_차량기지 오폐수처리장(90㎡)_표준서.html", "📄 표준서 열기")</f>
        <v/>
      </c>
      <c r="D25" s="19">
        <f>HYPERLINK(LEFT(CELL("filename",A1),FIND("[",CELL("filename",A1))-1)&amp;"매뉴얼BODY(집행단계-첨부폴더)v8\10.기계분야\23_차량기지 오폐수처리장(90㎡)\수행지침\23_차량기지 오폐수처리장(90㎡)_수행지침.html", "📘 수행지침 열기")</f>
        <v/>
      </c>
      <c r="E25" s="20">
        <f>HYPERLINK(LEFT(CELL("filename",A1),FIND("[",CELL("filename",A1))-1)&amp;"매뉴얼BODY(집행단계-첨부폴더)v8\10.기계분야\23_차량기지 오폐수처리장(90㎡)\체크리스트\23_차량기지 오폐수처리장(90㎡)_체크리스트.html", "📋 체크리스트 열기")</f>
        <v/>
      </c>
    </row>
    <row r="26" ht="24" customHeight="1">
      <c r="A26" s="21" t="n">
        <v>24</v>
      </c>
      <c r="B26" s="22" t="inlineStr">
        <is>
          <t>차체 자동세척설비(세차기)</t>
        </is>
      </c>
      <c r="C26" s="23">
        <f>HYPERLINK(LEFT(CELL("filename",A1),FIND("[",CELL("filename",A1))-1)&amp;"매뉴얼BODY(집행단계-첨부폴더)v8\10.기계분야\24_차체 자동세척설비(세차기)\표준서\24_차체 자동세척설비(세차기)_표준서.html", "📄 표준서 열기")</f>
        <v/>
      </c>
      <c r="D26" s="24">
        <f>HYPERLINK(LEFT(CELL("filename",A1),FIND("[",CELL("filename",A1))-1)&amp;"매뉴얼BODY(집행단계-첨부폴더)v8\10.기계분야\24_차체 자동세척설비(세차기)\수행지침\24_차체 자동세척설비(세차기)_수행지침.html", "📘 수행지침 열기")</f>
        <v/>
      </c>
      <c r="E26" s="25">
        <f>HYPERLINK(LEFT(CELL("filename",A1),FIND("[",CELL("filename",A1))-1)&amp;"매뉴얼BODY(집행단계-첨부폴더)v8\10.기계분야\24_차체 자동세척설비(세차기)\체크리스트\24_차체 자동세척설비(세차기)_체크리스트.html", "📋 체크리스트 열기")</f>
        <v/>
      </c>
    </row>
    <row r="27" ht="24" customHeight="1">
      <c r="A27" s="16" t="n">
        <v>25</v>
      </c>
      <c r="B27" s="17" t="inlineStr">
        <is>
          <t>정화조 음압 탈취설비 시공</t>
        </is>
      </c>
      <c r="C27" s="18">
        <f>HYPERLINK(LEFT(CELL("filename",A1),FIND("[",CELL("filename",A1))-1)&amp;"매뉴얼BODY(집행단계-첨부폴더)v8\10.기계분야\25_정화조 음압 탈취설비 시공\표준서\25_정화조 음압 탈취설비 시공_표준서.html", "📄 표준서 열기")</f>
        <v/>
      </c>
      <c r="D27" s="19">
        <f>HYPERLINK(LEFT(CELL("filename",A1),FIND("[",CELL("filename",A1))-1)&amp;"매뉴얼BODY(집행단계-첨부폴더)v8\10.기계분야\25_정화조 음압 탈취설비 시공\수행지침\25_정화조 음압 탈취설비 시공_수행지침.html", "📘 수행지침 열기")</f>
        <v/>
      </c>
      <c r="E27" s="20">
        <f>HYPERLINK(LEFT(CELL("filename",A1),FIND("[",CELL("filename",A1))-1)&amp;"매뉴얼BODY(집행단계-첨부폴더)v8\10.기계분야\25_정화조 음압 탈취설비 시공\체크리스트\25_정화조 음압 탈취설비 시공_체크리스트.html", "📋 체크리스트 열기")</f>
        <v/>
      </c>
    </row>
    <row r="28" ht="24" customHeight="1">
      <c r="A28" s="21" t="n">
        <v>26</v>
      </c>
      <c r="B28" s="22" t="inlineStr">
        <is>
          <t>호스릴 옥내소화전설비 시공</t>
        </is>
      </c>
      <c r="C28" s="23">
        <f>HYPERLINK(LEFT(CELL("filename",A1),FIND("[",CELL("filename",A1))-1)&amp;"매뉴얼BODY(집행단계-첨부폴더)v8\10.기계분야\26_호스릴 옥내소화전설비 시공\표준서\26_호스릴 옥내소화전설비 시공_표준서.html", "📄 표준서 열기")</f>
        <v/>
      </c>
      <c r="D28" s="24">
        <f>HYPERLINK(LEFT(CELL("filename",A1),FIND("[",CELL("filename",A1))-1)&amp;"매뉴얼BODY(집행단계-첨부폴더)v8\10.기계분야\26_호스릴 옥내소화전설비 시공\수행지침\26_호스릴 옥내소화전설비 시공_수행지침.html", "📘 수행지침 열기")</f>
        <v/>
      </c>
      <c r="E28" s="25">
        <f>HYPERLINK(LEFT(CELL("filename",A1),FIND("[",CELL("filename",A1))-1)&amp;"매뉴얼BODY(집행단계-첨부폴더)v8\10.기계분야\26_호스릴 옥내소화전설비 시공\체크리스트\26_호스릴 옥내소화전설비 시공_체크리스트.html", "📋 체크리스트 열기")</f>
        <v/>
      </c>
    </row>
    <row r="29" ht="24" customHeight="1">
      <c r="A29" s="16" t="n">
        <v>27</v>
      </c>
      <c r="B29" s="17" t="inlineStr">
        <is>
          <t>연결송수관-스프링클러 주배관 분리</t>
        </is>
      </c>
      <c r="C29" s="18">
        <f>HYPERLINK(LEFT(CELL("filename",A1),FIND("[",CELL("filename",A1))-1)&amp;"매뉴얼BODY(집행단계-첨부폴더)v8\10.기계분야\27_연결송수관-스프링클러 주배관 분리\표준서\27_연결송수관-스프링클러 주배관 분리_표준서.html", "📄 표준서 열기")</f>
        <v/>
      </c>
      <c r="D29" s="19">
        <f>HYPERLINK(LEFT(CELL("filename",A1),FIND("[",CELL("filename",A1))-1)&amp;"매뉴얼BODY(집행단계-첨부폴더)v8\10.기계분야\27_연결송수관-스프링클러 주배관 분리\수행지침\27_연결송수관-스프링클러 주배관 분리_수행지침.html", "📘 수행지침 열기")</f>
        <v/>
      </c>
      <c r="E29" s="20">
        <f>HYPERLINK(LEFT(CELL("filename",A1),FIND("[",CELL("filename",A1))-1)&amp;"매뉴얼BODY(집행단계-첨부폴더)v8\10.기계분야\27_연결송수관-스프링클러 주배관 분리\체크리스트\27_연결송수관-스프링클러 주배관 분리_체크리스트.html", "📋 체크리스트 열기")</f>
        <v/>
      </c>
    </row>
    <row r="30" ht="24" customHeight="1">
      <c r="A30" s="21" t="n">
        <v>28</v>
      </c>
      <c r="B30" s="22" t="inlineStr">
        <is>
          <t>큐비클 가스계_에어로졸 소화</t>
        </is>
      </c>
      <c r="C30" s="23">
        <f>HYPERLINK(LEFT(CELL("filename",A1),FIND("[",CELL("filename",A1))-1)&amp;"매뉴얼BODY(집행단계-첨부폴더)v8\10.기계분야\28_큐비클 가스계_에어로졸 소화\표준서\28_큐비클 가스계_에어로졸 소화_표준서.html", "📄 표준서 열기")</f>
        <v/>
      </c>
      <c r="D30" s="24">
        <f>HYPERLINK(LEFT(CELL("filename",A1),FIND("[",CELL("filename",A1))-1)&amp;"매뉴얼BODY(집행단계-첨부폴더)v8\10.기계분야\28_큐비클 가스계_에어로졸 소화\수행지침\28_큐비클 가스계_에어로졸 소화_수행지침.html", "📘 수행지침 열기")</f>
        <v/>
      </c>
      <c r="E30" s="25">
        <f>HYPERLINK(LEFT(CELL("filename",A1),FIND("[",CELL("filename",A1))-1)&amp;"매뉴얼BODY(집행단계-첨부폴더)v8\10.기계분야\28_큐비클 가스계_에어로졸 소화\체크리스트\28_큐비클 가스계_에어로졸 소화_체크리스트.html", "📋 체크리스트 열기")</f>
        <v/>
      </c>
    </row>
    <row r="31" ht="24" customHeight="1">
      <c r="A31" s="16" t="n">
        <v>29</v>
      </c>
      <c r="B31" s="17" t="inlineStr">
        <is>
          <t>가스소화구역 과압배출구(P.R.D)</t>
        </is>
      </c>
      <c r="C31" s="18">
        <f>HYPERLINK(LEFT(CELL("filename",A1),FIND("[",CELL("filename",A1))-1)&amp;"매뉴얼BODY(집행단계-첨부폴더)v8\10.기계분야\29_가스소화구역 과압배출구(P.R.D)\표준서\29_가스소화구역 과압배출구(P.R.D)_표준서.html", "📄 표준서 열기")</f>
        <v/>
      </c>
      <c r="D31" s="19">
        <f>HYPERLINK(LEFT(CELL("filename",A1),FIND("[",CELL("filename",A1))-1)&amp;"매뉴얼BODY(집행단계-첨부폴더)v8\10.기계분야\29_가스소화구역 과압배출구(P.R.D)\수행지침\29_가스소화구역 과압배출구(P.R.D)_수행지침.html", "📘 수행지침 열기")</f>
        <v/>
      </c>
      <c r="E31" s="20">
        <f>HYPERLINK(LEFT(CELL("filename",A1),FIND("[",CELL("filename",A1))-1)&amp;"매뉴얼BODY(집행단계-첨부폴더)v8\10.기계분야\29_가스소화구역 과압배출구(P.R.D)\체크리스트\29_가스소화구역 과압배출구(P.R.D)_체크리스트.html", "📋 체크리스트 열기")</f>
        <v/>
      </c>
    </row>
    <row r="32" ht="24" customHeight="1">
      <c r="A32" s="21" t="n">
        <v>30</v>
      </c>
      <c r="B32" s="22" t="inlineStr">
        <is>
          <t>소방펌프실 가설 및 성능시험</t>
        </is>
      </c>
      <c r="C32" s="23">
        <f>HYPERLINK(LEFT(CELL("filename",A1),FIND("[",CELL("filename",A1))-1)&amp;"매뉴얼BODY(집행단계-첨부폴더)v8\10.기계분야\30_소방펌프실 가설 및 성능시험\표준서\30_소방펌프실 가설 및 성능시험_표준서.html", "📄 표준서 열기")</f>
        <v/>
      </c>
      <c r="D32" s="24">
        <f>HYPERLINK(LEFT(CELL("filename",A1),FIND("[",CELL("filename",A1))-1)&amp;"매뉴얼BODY(집행단계-첨부폴더)v8\10.기계분야\30_소방펌프실 가설 및 성능시험\수행지침\30_소방펌프실 가설 및 성능시험_수행지침.html", "📘 수행지침 열기")</f>
        <v/>
      </c>
      <c r="E32" s="25">
        <f>HYPERLINK(LEFT(CELL("filename",A1),FIND("[",CELL("filename",A1))-1)&amp;"매뉴얼BODY(집행단계-첨부폴더)v8\10.기계분야\30_소방펌프실 가설 및 성능시험\체크리스트\30_소방펌프실 가설 및 성능시험_체크리스트.html", "📋 체크리스트 열기")</f>
        <v/>
      </c>
    </row>
    <row r="33" ht="24" customHeight="1">
      <c r="A33" s="16" t="n">
        <v>31</v>
      </c>
      <c r="B33" s="17" t="inlineStr">
        <is>
          <t>정거장 인승용 승강기(17_24인승)</t>
        </is>
      </c>
      <c r="C33" s="18">
        <f>HYPERLINK(LEFT(CELL("filename",A1),FIND("[",CELL("filename",A1))-1)&amp;"매뉴얼BODY(집행단계-첨부폴더)v8\10.기계분야\31_정거장 인승용 승강기(17_24인승)\표준서\31_정거장 인승용 승강기(17_24인승)_표준서.html", "📄 표준서 열기")</f>
        <v/>
      </c>
      <c r="D33" s="19">
        <f>HYPERLINK(LEFT(CELL("filename",A1),FIND("[",CELL("filename",A1))-1)&amp;"매뉴얼BODY(집행단계-첨부폴더)v8\10.기계분야\31_정거장 인승용 승강기(17_24인승)\수행지침\31_정거장 인승용 승강기(17_24인승)_수행지침.html", "📘 수행지침 열기")</f>
        <v/>
      </c>
      <c r="E33" s="20">
        <f>HYPERLINK(LEFT(CELL("filename",A1),FIND("[",CELL("filename",A1))-1)&amp;"매뉴얼BODY(집행단계-첨부폴더)v8\10.기계분야\31_정거장 인승용 승강기(17_24인승)\체크리스트\31_정거장 인승용 승강기(17_24인승)_체크리스트.html", "📋 체크리스트 열기")</f>
        <v/>
      </c>
    </row>
    <row r="34" ht="24" customHeight="1">
      <c r="A34" s="21" t="n">
        <v>32</v>
      </c>
      <c r="B34" s="22" t="inlineStr">
        <is>
          <t>검수고 관통형 화물용 EV</t>
        </is>
      </c>
      <c r="C34" s="23">
        <f>HYPERLINK(LEFT(CELL("filename",A1),FIND("[",CELL("filename",A1))-1)&amp;"매뉴얼BODY(집행단계-첨부폴더)v8\10.기계분야\32_검수고 관통형 화물용 EV\표준서\32_검수고 관통형 화물용 EV_표준서.html", "📄 표준서 열기")</f>
        <v/>
      </c>
      <c r="D34" s="24">
        <f>HYPERLINK(LEFT(CELL("filename",A1),FIND("[",CELL("filename",A1))-1)&amp;"매뉴얼BODY(집행단계-첨부폴더)v8\10.기계분야\32_검수고 관통형 화물용 EV\수행지침\32_검수고 관통형 화물용 EV_수행지침.html", "📘 수행지침 열기")</f>
        <v/>
      </c>
      <c r="E34" s="25">
        <f>HYPERLINK(LEFT(CELL("filename",A1),FIND("[",CELL("filename",A1))-1)&amp;"매뉴얼BODY(집행단계-첨부폴더)v8\10.기계분야\32_검수고 관통형 화물용 EV\체크리스트\32_검수고 관통형 화물용 EV_체크리스트.html", "📋 체크리스트 열기")</f>
        <v/>
      </c>
    </row>
    <row r="35" ht="24" customHeight="1">
      <c r="A35" s="16" t="n">
        <v>33</v>
      </c>
      <c r="B35" s="17" t="inlineStr">
        <is>
          <t>DDC_IP DDC 자동제어 백업 이중화</t>
        </is>
      </c>
      <c r="C35" s="18">
        <f>HYPERLINK(LEFT(CELL("filename",A1),FIND("[",CELL("filename",A1))-1)&amp;"매뉴얼BODY(집행단계-첨부폴더)v8\10.기계분야\33_DDC_IP DDC 자동제어 백업 이중화\표준서\33_DDC_IP DDC 자동제어 백업 이중화_표준서.html", "📄 표준서 열기")</f>
        <v/>
      </c>
      <c r="D35" s="19">
        <f>HYPERLINK(LEFT(CELL("filename",A1),FIND("[",CELL("filename",A1))-1)&amp;"매뉴얼BODY(집행단계-첨부폴더)v8\10.기계분야\33_DDC_IP DDC 자동제어 백업 이중화\수행지침\33_DDC_IP DDC 자동제어 백업 이중화_수행지침.html", "📘 수행지침 열기")</f>
        <v/>
      </c>
      <c r="E35" s="20">
        <f>HYPERLINK(LEFT(CELL("filename",A1),FIND("[",CELL("filename",A1))-1)&amp;"매뉴얼BODY(집행단계-첨부폴더)v8\10.기계분야\33_DDC_IP DDC 자동제어 백업 이중화\체크리스트\33_DDC_IP DDC 자동제어 백업 이중화_체크리스트.html", "📋 체크리스트 열기")</f>
        <v/>
      </c>
    </row>
    <row r="36" ht="24" customHeight="1">
      <c r="A36" s="21" t="n">
        <v>34</v>
      </c>
      <c r="B36" s="22" t="inlineStr">
        <is>
          <t>화재연동 인터록 실부하 시험</t>
        </is>
      </c>
      <c r="C36" s="23">
        <f>HYPERLINK(LEFT(CELL("filename",A1),FIND("[",CELL("filename",A1))-1)&amp;"매뉴얼BODY(집행단계-첨부폴더)v8\10.기계분야\34_화재연동 인터록 실부하 시험\표준서\34_화재연동 인터록 실부하 시험_표준서.html", "📄 표준서 열기")</f>
        <v/>
      </c>
      <c r="D36" s="24">
        <f>HYPERLINK(LEFT(CELL("filename",A1),FIND("[",CELL("filename",A1))-1)&amp;"매뉴얼BODY(집행단계-첨부폴더)v8\10.기계분야\34_화재연동 인터록 실부하 시험\수행지침\34_화재연동 인터록 실부하 시험_수행지침.html", "📘 수행지침 열기")</f>
        <v/>
      </c>
      <c r="E36" s="25">
        <f>HYPERLINK(LEFT(CELL("filename",A1),FIND("[",CELL("filename",A1))-1)&amp;"매뉴얼BODY(집행단계-첨부폴더)v8\10.기계분야\34_화재연동 인터록 실부하 시험\체크리스트\34_화재연동 인터록 실부하 시험_체크리스트.html", "📋 체크리스트 열기")</f>
        <v/>
      </c>
    </row>
    <row r="37" ht="24" customHeight="1">
      <c r="A37" s="16" t="n">
        <v>35</v>
      </c>
      <c r="B37" s="17" t="inlineStr">
        <is>
          <t>TAB(풍량_수량 밸런싱) 측정</t>
        </is>
      </c>
      <c r="C37" s="18">
        <f>HYPERLINK(LEFT(CELL("filename",A1),FIND("[",CELL("filename",A1))-1)&amp;"매뉴얼BODY(집행단계-첨부폴더)v8\10.기계분야\35_TAB(풍량_수량 밸런싱) 측정\표준서\35_TAB(풍량_수량 밸런싱) 측정_표준서.html", "📄 표준서 열기")</f>
        <v/>
      </c>
      <c r="D37" s="19">
        <f>HYPERLINK(LEFT(CELL("filename",A1),FIND("[",CELL("filename",A1))-1)&amp;"매뉴얼BODY(집행단계-첨부폴더)v8\10.기계분야\35_TAB(풍량_수량 밸런싱) 측정\수행지침\35_TAB(풍량_수량 밸런싱) 측정_수행지침.html", "📘 수행지침 열기")</f>
        <v/>
      </c>
      <c r="E37" s="20">
        <f>HYPERLINK(LEFT(CELL("filename",A1),FIND("[",CELL("filename",A1))-1)&amp;"매뉴얼BODY(집행단계-첨부폴더)v8\10.기계분야\35_TAB(풍량_수량 밸런싱) 측정\체크리스트\35_TAB(풍량_수량 밸런싱) 측정_체크리스트.html", "📋 체크리스트 열기")</f>
        <v/>
      </c>
    </row>
    <row r="38" ht="24" customHeight="1">
      <c r="A38" s="21" t="n">
        <v>36</v>
      </c>
      <c r="B38" s="22" t="inlineStr">
        <is>
          <t>소방 완공검사 및 종합인계</t>
        </is>
      </c>
      <c r="C38" s="23">
        <f>HYPERLINK(LEFT(CELL("filename",A1),FIND("[",CELL("filename",A1))-1)&amp;"매뉴얼BODY(집행단계-첨부폴더)v8\10.기계분야\36_소방 완공검사 및 종합인계\표준서\36_소방 완공검사 및 종합인계_표준서.html", "📄 표준서 열기")</f>
        <v/>
      </c>
      <c r="D38" s="24">
        <f>HYPERLINK(LEFT(CELL("filename",A1),FIND("[",CELL("filename",A1))-1)&amp;"매뉴얼BODY(집행단계-첨부폴더)v8\10.기계분야\36_소방 완공검사 및 종합인계\수행지침\36_소방 완공검사 및 종합인계_수행지침.html", "📘 수행지침 열기")</f>
        <v/>
      </c>
      <c r="E38" s="25">
        <f>HYPERLINK(LEFT(CELL("filename",A1),FIND("[",CELL("filename",A1))-1)&amp;"매뉴얼BODY(집행단계-첨부폴더)v8\10.기계분야\36_소방 완공검사 및 종합인계\체크리스트\36_소방 완공검사 및 종합인계_체크리스트.html", "📋 체크리스트 열기")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2026-08-14T10:54:19Z</dcterms:created>
  <dcterms:modified xmlns:dcterms="http://purl.org/dc/terms/" xmlns:xsi="http://www.w3.org/2001/XMLSchema-instance" xsi:type="dcterms:W3CDTF">2026-08-14T14:01:27Z</dcterms:modified>
</cp:coreProperties>
</file>