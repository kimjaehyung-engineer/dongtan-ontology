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mc:AlternateContent xmlns:mc="http://schemas.openxmlformats.org/markup-compatibility/2006">
    <mc:Choice Requires="x15">
      <x15ac:absPath xmlns:x15ac="http://schemas.microsoft.com/office/spreadsheetml/2010/11/ac" url="C:\Users\sskjh\antigravity\01_전문업무_및_엔지니어링\동탄트램\06.체크리스트\최종\"/>
    </mc:Choice>
  </mc:AlternateContent>
  <xr:revisionPtr revIDLastSave="0" documentId="13_ncr:1_{8E4A8D85-D6A8-4B43-9669-1F8D9555F870}" xr6:coauthVersionLast="47" xr6:coauthVersionMax="47" xr10:uidLastSave="{00000000-0000-0000-0000-000000000000}"/>
  <bookViews>
    <workbookView xWindow="-108" yWindow="-108" windowWidth="23256" windowHeight="12456" tabRatio="917" xr2:uid="{00000000-000D-0000-FFFF-FFFF00000000}"/>
  </bookViews>
  <sheets>
    <sheet name="리스크 체크리스트" sheetId="2" r:id="rId1"/>
    <sheet name="표준체크리스트-헷지방안" sheetId="3" r:id="rId2"/>
    <sheet name="Lessons Learned" sheetId="18" r:id="rId3"/>
    <sheet name="리스크평가기준" sheetId="19" r:id="rId4"/>
  </sheets>
  <externalReferences>
    <externalReference r:id="rId5"/>
    <externalReference r:id="rId6"/>
  </externalReferences>
  <definedNames>
    <definedName name="_xlnm._FilterDatabase" localSheetId="0" hidden="1">'리스크 체크리스트'!$A$5:$AT$757</definedName>
    <definedName name="_xlpm.v_발생" hidden="1" xlm="1">#NAME?</definedName>
    <definedName name="_xlpm.v_영향" hidden="1" xlm="1">#NAME?</definedName>
    <definedName name="_xlnm.Print_Area" localSheetId="0">'리스크 체크리스트'!$A$1:$Z$757</definedName>
    <definedName name="_xlnm.Print_Area" localSheetId="1">'표준체크리스트-헷지방안'!$A$1:$AA$1035</definedName>
    <definedName name="_xlnm.Print_Titles" localSheetId="0">'리스크 체크리스트'!$4:$5</definedName>
    <definedName name="_xlnm.Print_Titles" localSheetId="1">'표준체크리스트-헷지방안'!$3:$4</definedName>
    <definedName name="사업성">#REF!</definedName>
    <definedName name="사업성CL">#REF!</definedName>
    <definedName name="설계">#REF!</definedName>
    <definedName name="설계CL">'리스크 체크리스트'!$A$7:$Z$96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2" l="1"/>
  <c r="F6" i="2"/>
  <c r="F196" i="2"/>
  <c r="F126" i="2"/>
  <c r="F195" i="2"/>
  <c r="F197" i="2"/>
  <c r="F81" i="2"/>
  <c r="F82" i="2"/>
  <c r="F43" i="2"/>
  <c r="F162" i="2"/>
  <c r="F201" i="2"/>
  <c r="F49" i="2"/>
  <c r="F48" i="2"/>
  <c r="F200" i="2"/>
  <c r="F127" i="2"/>
  <c r="F199" i="2"/>
  <c r="F198" i="2"/>
  <c r="F15" i="2"/>
  <c r="F14" i="2"/>
  <c r="F354" i="2"/>
  <c r="F42" i="2"/>
  <c r="F47" i="2"/>
  <c r="F46" i="2"/>
  <c r="F45" i="2"/>
  <c r="F646" i="2"/>
  <c r="F44" i="2"/>
  <c r="F194" i="2"/>
  <c r="F125" i="2"/>
  <c r="F41" i="2"/>
  <c r="F161" i="2"/>
  <c r="F34" i="2"/>
  <c r="F160" i="2"/>
  <c r="F40" i="2"/>
  <c r="F193" i="2"/>
  <c r="F13" i="2"/>
  <c r="F39" i="2"/>
  <c r="F7" i="2"/>
  <c r="F22" i="2"/>
  <c r="F232" i="2"/>
  <c r="F192" i="2"/>
  <c r="F155" i="2"/>
  <c r="F159" i="2"/>
  <c r="F54" i="2"/>
  <c r="F223" i="2"/>
  <c r="F222" i="2"/>
  <c r="F25" i="2"/>
  <c r="F24" i="2"/>
  <c r="F53" i="2"/>
  <c r="F221" i="2"/>
  <c r="F52" i="2"/>
  <c r="F32" i="2"/>
  <c r="F220" i="2"/>
  <c r="F219" i="2"/>
  <c r="F31" i="2"/>
  <c r="F218" i="2"/>
  <c r="F217" i="2"/>
  <c r="F216" i="2"/>
  <c r="F215" i="2"/>
  <c r="F214" i="2"/>
  <c r="F30" i="2"/>
  <c r="F29" i="2"/>
  <c r="F28" i="2"/>
  <c r="F213" i="2"/>
  <c r="F212" i="2"/>
  <c r="F18" i="2"/>
  <c r="F211" i="2"/>
  <c r="F17" i="2"/>
  <c r="F210" i="2"/>
  <c r="F209" i="2"/>
  <c r="F133" i="2"/>
  <c r="F132" i="2"/>
  <c r="F208" i="2"/>
  <c r="F83" i="2"/>
  <c r="F131" i="2"/>
  <c r="F23" i="2"/>
  <c r="F77" i="2"/>
  <c r="F207" i="2"/>
  <c r="F206" i="2"/>
  <c r="F205" i="2"/>
  <c r="F204" i="2"/>
  <c r="F203" i="2"/>
  <c r="F202" i="2"/>
  <c r="F130" i="2"/>
  <c r="F51" i="2"/>
  <c r="F16" i="2"/>
  <c r="F129" i="2"/>
  <c r="F50" i="2"/>
  <c r="F128" i="2"/>
  <c r="F75" i="2"/>
  <c r="F74" i="2"/>
  <c r="F73" i="2"/>
  <c r="F69" i="2"/>
  <c r="F72" i="2"/>
  <c r="F71" i="2"/>
  <c r="F70" i="2"/>
  <c r="F191" i="2" l="1"/>
  <c r="F355" i="2"/>
  <c r="F224" i="2"/>
  <c r="F56" i="2"/>
  <c r="F58" i="2"/>
  <c r="F156" i="2"/>
  <c r="F230" i="2"/>
  <c r="F20" i="2"/>
  <c r="F229" i="2"/>
  <c r="F26" i="2"/>
  <c r="F12" i="2"/>
  <c r="F55" i="2"/>
  <c r="F228" i="2"/>
  <c r="F11" i="2"/>
  <c r="F227" i="2"/>
  <c r="F163" i="2"/>
  <c r="F226" i="2"/>
  <c r="F225" i="2"/>
  <c r="F85" i="2"/>
  <c r="F152" i="2"/>
  <c r="F757" i="2"/>
  <c r="F756" i="2"/>
  <c r="F755" i="2"/>
  <c r="F754" i="2"/>
  <c r="F753" i="2"/>
  <c r="F752" i="2"/>
  <c r="F751" i="2"/>
  <c r="F750" i="2"/>
  <c r="F749" i="2"/>
  <c r="F748" i="2"/>
  <c r="F747" i="2"/>
  <c r="F746" i="2"/>
  <c r="F745" i="2"/>
  <c r="F744" i="2"/>
  <c r="F743" i="2"/>
  <c r="F742" i="2"/>
  <c r="F741" i="2"/>
  <c r="F740" i="2"/>
  <c r="F739" i="2"/>
  <c r="F738" i="2"/>
  <c r="F737" i="2"/>
  <c r="F736" i="2"/>
  <c r="F735" i="2"/>
  <c r="F734" i="2"/>
  <c r="F733" i="2"/>
  <c r="F732" i="2"/>
  <c r="F731" i="2"/>
  <c r="F730" i="2"/>
  <c r="F729" i="2"/>
  <c r="F728" i="2"/>
  <c r="F727" i="2"/>
  <c r="F726" i="2"/>
  <c r="F725" i="2"/>
  <c r="F724" i="2"/>
  <c r="F723" i="2"/>
  <c r="F722" i="2"/>
  <c r="F721" i="2"/>
  <c r="F720" i="2"/>
  <c r="F719" i="2"/>
  <c r="F718" i="2"/>
  <c r="F717" i="2"/>
  <c r="F716" i="2"/>
  <c r="F715" i="2"/>
  <c r="F714" i="2"/>
  <c r="F713" i="2"/>
  <c r="F712" i="2"/>
  <c r="F711" i="2"/>
  <c r="F710" i="2"/>
  <c r="F709" i="2"/>
  <c r="F708" i="2"/>
  <c r="F707" i="2"/>
  <c r="F706" i="2"/>
  <c r="F705" i="2"/>
  <c r="F704" i="2"/>
  <c r="F703" i="2"/>
  <c r="F702" i="2"/>
  <c r="F701" i="2"/>
  <c r="F700" i="2"/>
  <c r="F699" i="2"/>
  <c r="F698" i="2"/>
  <c r="F697" i="2"/>
  <c r="F696" i="2"/>
  <c r="F695" i="2"/>
  <c r="F694" i="2"/>
  <c r="F693" i="2"/>
  <c r="F692" i="2"/>
  <c r="F691" i="2"/>
  <c r="F690" i="2"/>
  <c r="F689" i="2"/>
  <c r="F688" i="2"/>
  <c r="F687" i="2"/>
  <c r="F686" i="2"/>
  <c r="F685" i="2"/>
  <c r="F684" i="2"/>
  <c r="F683" i="2"/>
  <c r="F682" i="2"/>
  <c r="F681" i="2"/>
  <c r="F680" i="2"/>
  <c r="F679" i="2"/>
  <c r="F678" i="2"/>
  <c r="F677" i="2"/>
  <c r="F676" i="2"/>
  <c r="F675" i="2"/>
  <c r="F674" i="2"/>
  <c r="F673" i="2"/>
  <c r="F672" i="2"/>
  <c r="F671" i="2"/>
  <c r="F670" i="2"/>
  <c r="F669" i="2"/>
  <c r="F668" i="2"/>
  <c r="F667" i="2"/>
  <c r="F666" i="2"/>
  <c r="F665" i="2"/>
  <c r="F664" i="2"/>
  <c r="F663" i="2"/>
  <c r="F662" i="2"/>
  <c r="F661" i="2"/>
  <c r="F660" i="2"/>
  <c r="F659" i="2"/>
  <c r="F658" i="2"/>
  <c r="F657" i="2"/>
  <c r="F656" i="2"/>
  <c r="F655" i="2"/>
  <c r="F654" i="2"/>
  <c r="F653" i="2"/>
  <c r="F652" i="2"/>
  <c r="F651" i="2"/>
  <c r="F650" i="2"/>
  <c r="F649" i="2"/>
  <c r="F648" i="2"/>
  <c r="F647" i="2"/>
  <c r="F645" i="2"/>
  <c r="F644" i="2"/>
  <c r="F643" i="2"/>
  <c r="F642" i="2"/>
  <c r="F641" i="2"/>
  <c r="F640" i="2"/>
  <c r="F639" i="2"/>
  <c r="F638" i="2"/>
  <c r="F637" i="2"/>
  <c r="F636" i="2"/>
  <c r="F635" i="2"/>
  <c r="F634" i="2"/>
  <c r="F633" i="2"/>
  <c r="F632" i="2"/>
  <c r="F631" i="2"/>
  <c r="F630" i="2"/>
  <c r="F629" i="2"/>
  <c r="F628" i="2"/>
  <c r="F627" i="2"/>
  <c r="F626" i="2"/>
  <c r="F625" i="2"/>
  <c r="F624" i="2"/>
  <c r="F623" i="2"/>
  <c r="F622" i="2"/>
  <c r="F621" i="2"/>
  <c r="F620" i="2"/>
  <c r="F619" i="2"/>
  <c r="F618" i="2"/>
  <c r="F617" i="2"/>
  <c r="F616" i="2"/>
  <c r="F615" i="2"/>
  <c r="F614" i="2"/>
  <c r="F613" i="2"/>
  <c r="F612" i="2"/>
  <c r="F611" i="2"/>
  <c r="F610" i="2"/>
  <c r="F609" i="2"/>
  <c r="F608" i="2"/>
  <c r="F607" i="2"/>
  <c r="F606" i="2"/>
  <c r="F605" i="2"/>
  <c r="F604" i="2"/>
  <c r="F603" i="2"/>
  <c r="F602" i="2"/>
  <c r="F601" i="2"/>
  <c r="F600" i="2"/>
  <c r="F599" i="2"/>
  <c r="F598" i="2"/>
  <c r="F597" i="2"/>
  <c r="F596" i="2"/>
  <c r="F88" i="2"/>
  <c r="F84" i="2"/>
  <c r="F21" i="2"/>
  <c r="F190" i="2"/>
  <c r="F595" i="2"/>
  <c r="F151" i="2"/>
  <c r="F594" i="2"/>
  <c r="F76" i="2"/>
  <c r="F593" i="2"/>
  <c r="F592" i="2"/>
  <c r="F591" i="2"/>
  <c r="F590" i="2"/>
  <c r="F589" i="2"/>
  <c r="F588" i="2"/>
  <c r="F587" i="2"/>
  <c r="F586" i="2"/>
  <c r="F585" i="2"/>
  <c r="F584" i="2"/>
  <c r="F583" i="2"/>
  <c r="F582" i="2"/>
  <c r="F581" i="2"/>
  <c r="F580" i="2"/>
  <c r="F189" i="2"/>
  <c r="F579" i="2"/>
  <c r="F578" i="2"/>
  <c r="F188" i="2"/>
  <c r="F187" i="2"/>
  <c r="F150" i="2"/>
  <c r="F577" i="2"/>
  <c r="F576" i="2"/>
  <c r="F149" i="2"/>
  <c r="F148" i="2"/>
  <c r="F68" i="2"/>
  <c r="F575" i="2"/>
  <c r="F574" i="2"/>
  <c r="F67" i="2"/>
  <c r="F38" i="2"/>
  <c r="F66" i="2"/>
  <c r="F573" i="2"/>
  <c r="F572" i="2"/>
  <c r="F186" i="2"/>
  <c r="F571" i="2"/>
  <c r="F185" i="2"/>
  <c r="F570" i="2"/>
  <c r="F147" i="2"/>
  <c r="F569" i="2"/>
  <c r="F568" i="2"/>
  <c r="F37" i="2"/>
  <c r="F567" i="2"/>
  <c r="F87" i="2"/>
  <c r="F146" i="2"/>
  <c r="F566" i="2"/>
  <c r="F184" i="2"/>
  <c r="F145" i="2"/>
  <c r="F565" i="2"/>
  <c r="F65" i="2"/>
  <c r="F564" i="2"/>
  <c r="F563" i="2"/>
  <c r="F144" i="2"/>
  <c r="F562" i="2"/>
  <c r="F27" i="2"/>
  <c r="F64" i="2"/>
  <c r="F561" i="2"/>
  <c r="F36" i="2"/>
  <c r="F143" i="2"/>
  <c r="F63" i="2"/>
  <c r="F560" i="2"/>
  <c r="F559" i="2"/>
  <c r="F558" i="2"/>
  <c r="F557" i="2"/>
  <c r="F62" i="2"/>
  <c r="F556" i="2"/>
  <c r="F19" i="2"/>
  <c r="F555" i="2"/>
  <c r="F554" i="2"/>
  <c r="F183" i="2"/>
  <c r="F142" i="2"/>
  <c r="F61" i="2"/>
  <c r="F553" i="2"/>
  <c r="F552" i="2"/>
  <c r="F551" i="2"/>
  <c r="F550" i="2"/>
  <c r="F549" i="2"/>
  <c r="F548" i="2"/>
  <c r="F547" i="2"/>
  <c r="F546" i="2"/>
  <c r="F545" i="2"/>
  <c r="F544" i="2"/>
  <c r="F141" i="2"/>
  <c r="F60" i="2"/>
  <c r="F543" i="2"/>
  <c r="F542" i="2"/>
  <c r="F541" i="2"/>
  <c r="F540" i="2"/>
  <c r="F539" i="2"/>
  <c r="F538" i="2"/>
  <c r="F537" i="2"/>
  <c r="F536" i="2"/>
  <c r="F535" i="2"/>
  <c r="F534" i="2"/>
  <c r="F533" i="2"/>
  <c r="F59"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532" i="2"/>
  <c r="F531" i="2"/>
  <c r="F530" i="2"/>
  <c r="F529" i="2"/>
  <c r="F528" i="2"/>
  <c r="F527" i="2"/>
  <c r="F526" i="2"/>
  <c r="F525" i="2"/>
  <c r="F524" i="2"/>
  <c r="F523" i="2"/>
  <c r="F522" i="2"/>
  <c r="F521" i="2"/>
  <c r="F520" i="2"/>
  <c r="F519" i="2"/>
  <c r="F518" i="2"/>
  <c r="F517" i="2"/>
  <c r="F516" i="2"/>
  <c r="F515" i="2"/>
  <c r="F514" i="2"/>
  <c r="F513" i="2"/>
  <c r="F512" i="2"/>
  <c r="F511" i="2"/>
  <c r="F510" i="2"/>
  <c r="F509" i="2"/>
  <c r="F508" i="2"/>
  <c r="F507" i="2"/>
  <c r="F506" i="2"/>
  <c r="F505" i="2"/>
  <c r="F504" i="2"/>
  <c r="F503" i="2"/>
  <c r="F502" i="2"/>
  <c r="F501" i="2"/>
  <c r="F500" i="2"/>
  <c r="F499" i="2"/>
  <c r="F498" i="2"/>
  <c r="F497" i="2"/>
  <c r="F496" i="2"/>
  <c r="F495" i="2"/>
  <c r="F494" i="2"/>
  <c r="F493" i="2"/>
  <c r="F492" i="2"/>
  <c r="F491" i="2"/>
  <c r="F490" i="2"/>
  <c r="F489" i="2"/>
  <c r="F488" i="2"/>
  <c r="F487" i="2"/>
  <c r="F486" i="2"/>
  <c r="F485" i="2"/>
  <c r="F484" i="2"/>
  <c r="F483" i="2"/>
  <c r="F482" i="2"/>
  <c r="F481" i="2"/>
  <c r="F480" i="2"/>
  <c r="F479" i="2"/>
  <c r="F478" i="2"/>
  <c r="F477" i="2"/>
  <c r="F476" i="2"/>
  <c r="F475" i="2"/>
  <c r="F474" i="2"/>
  <c r="F473" i="2"/>
  <c r="F472" i="2"/>
  <c r="F471" i="2"/>
  <c r="F470" i="2"/>
  <c r="F469" i="2"/>
  <c r="F468" i="2"/>
  <c r="F467" i="2"/>
  <c r="F466" i="2"/>
  <c r="F465" i="2"/>
  <c r="F464" i="2"/>
  <c r="F463" i="2"/>
  <c r="F462" i="2"/>
  <c r="F461" i="2"/>
  <c r="F460" i="2"/>
  <c r="F459" i="2"/>
  <c r="F458" i="2"/>
  <c r="F457" i="2"/>
  <c r="F456" i="2"/>
  <c r="F455" i="2"/>
  <c r="F454" i="2"/>
  <c r="F453" i="2"/>
  <c r="F452" i="2"/>
  <c r="F451" i="2"/>
  <c r="F450" i="2"/>
  <c r="F449" i="2"/>
  <c r="F448" i="2"/>
  <c r="F447" i="2"/>
  <c r="F446" i="2"/>
  <c r="F445" i="2"/>
  <c r="F444" i="2"/>
  <c r="F443" i="2"/>
  <c r="F442" i="2"/>
  <c r="F441" i="2"/>
  <c r="F440" i="2"/>
  <c r="F439" i="2"/>
  <c r="F438" i="2"/>
  <c r="F437" i="2"/>
  <c r="F436" i="2"/>
  <c r="F435" i="2"/>
  <c r="F434" i="2"/>
  <c r="F433" i="2"/>
  <c r="F432" i="2"/>
  <c r="F431" i="2"/>
  <c r="F430" i="2"/>
  <c r="F429" i="2"/>
  <c r="F428" i="2"/>
  <c r="F427" i="2"/>
  <c r="F426" i="2"/>
  <c r="F425" i="2"/>
  <c r="F424" i="2"/>
  <c r="F423" i="2"/>
  <c r="F422" i="2"/>
  <c r="F421" i="2"/>
  <c r="F420" i="2"/>
  <c r="F419" i="2"/>
  <c r="F418" i="2"/>
  <c r="F417" i="2"/>
  <c r="F416" i="2"/>
  <c r="F415" i="2"/>
  <c r="F414" i="2"/>
  <c r="F413" i="2"/>
  <c r="F412" i="2"/>
  <c r="F411" i="2"/>
  <c r="F410" i="2"/>
  <c r="F409" i="2"/>
  <c r="F408" i="2"/>
  <c r="F407" i="2"/>
  <c r="F406" i="2"/>
  <c r="F405" i="2"/>
  <c r="F404" i="2"/>
  <c r="F403" i="2"/>
  <c r="F402" i="2"/>
  <c r="F401" i="2"/>
  <c r="F400" i="2"/>
  <c r="F399" i="2"/>
  <c r="F398" i="2"/>
  <c r="F397" i="2"/>
  <c r="F396" i="2"/>
  <c r="F395" i="2"/>
  <c r="F394" i="2"/>
  <c r="F393" i="2"/>
  <c r="F392" i="2"/>
  <c r="F391" i="2"/>
  <c r="F390" i="2"/>
  <c r="F389" i="2"/>
  <c r="F388" i="2"/>
  <c r="F387" i="2"/>
  <c r="F386" i="2"/>
  <c r="F385" i="2"/>
  <c r="F384" i="2"/>
  <c r="F383" i="2"/>
  <c r="F382" i="2"/>
  <c r="F381" i="2"/>
  <c r="F380" i="2"/>
  <c r="F379" i="2"/>
  <c r="F378" i="2"/>
  <c r="F377" i="2"/>
  <c r="F376" i="2"/>
  <c r="F375" i="2"/>
  <c r="F374" i="2"/>
  <c r="F373" i="2"/>
  <c r="F372" i="2"/>
  <c r="F371" i="2"/>
  <c r="F370" i="2"/>
  <c r="F369" i="2"/>
  <c r="F368" i="2"/>
  <c r="F367" i="2"/>
  <c r="F366" i="2"/>
  <c r="F365" i="2"/>
  <c r="F364" i="2"/>
  <c r="F363" i="2"/>
  <c r="F362" i="2"/>
  <c r="F361" i="2"/>
  <c r="F360" i="2"/>
  <c r="F359" i="2"/>
  <c r="F358" i="2"/>
  <c r="F357" i="2"/>
  <c r="F356" i="2"/>
  <c r="F353" i="2"/>
  <c r="F352" i="2"/>
  <c r="F351" i="2"/>
  <c r="F350" i="2"/>
  <c r="F349" i="2"/>
  <c r="F348" i="2"/>
  <c r="F347" i="2"/>
  <c r="F346" i="2"/>
  <c r="F345" i="2"/>
  <c r="F344" i="2"/>
  <c r="F343" i="2"/>
  <c r="F342" i="2"/>
  <c r="F341"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F314" i="2"/>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F270" i="2"/>
  <c r="F269" i="2"/>
  <c r="F268" i="2"/>
  <c r="F267" i="2"/>
  <c r="F266" i="2"/>
  <c r="F265" i="2"/>
  <c r="F264" i="2"/>
  <c r="F263" i="2"/>
  <c r="F262" i="2"/>
  <c r="F182" i="2"/>
  <c r="F261" i="2"/>
  <c r="F260" i="2"/>
  <c r="F259" i="2"/>
  <c r="F258" i="2"/>
  <c r="F257" i="2"/>
  <c r="F154" i="2"/>
  <c r="F153" i="2"/>
  <c r="F181" i="2"/>
  <c r="F180" i="2"/>
  <c r="F256" i="2"/>
  <c r="F255" i="2"/>
  <c r="F179" i="2"/>
  <c r="F254" i="2"/>
  <c r="F253" i="2"/>
  <c r="F252" i="2"/>
  <c r="F251" i="2"/>
  <c r="F250" i="2"/>
  <c r="F249" i="2"/>
  <c r="F140" i="2"/>
  <c r="F248" i="2"/>
  <c r="F247" i="2"/>
  <c r="F246" i="2"/>
  <c r="F245" i="2"/>
  <c r="F244" i="2"/>
  <c r="F178" i="2"/>
  <c r="F79" i="2"/>
  <c r="F78" i="2"/>
  <c r="F139" i="2"/>
  <c r="F177" i="2"/>
  <c r="F138" i="2"/>
  <c r="F176" i="2"/>
  <c r="F243" i="2"/>
  <c r="F80" i="2"/>
  <c r="F242" i="2"/>
  <c r="F86" i="2"/>
  <c r="F137" i="2"/>
  <c r="F241" i="2"/>
  <c r="F240" i="2"/>
  <c r="F239" i="2"/>
  <c r="F238" i="2"/>
  <c r="F237" i="2"/>
  <c r="F236" i="2"/>
  <c r="F235" i="2"/>
  <c r="F175" i="2"/>
  <c r="F33" i="2"/>
  <c r="F174" i="2"/>
  <c r="F234" i="2"/>
  <c r="F173" i="2"/>
  <c r="F35" i="2"/>
  <c r="F233" i="2"/>
  <c r="F231" i="2"/>
  <c r="F158" i="2"/>
  <c r="F157" i="2"/>
  <c r="F172" i="2"/>
  <c r="F171" i="2"/>
  <c r="F166" i="2"/>
  <c r="F170" i="2"/>
  <c r="F169" i="2"/>
  <c r="F168" i="2"/>
  <c r="F167" i="2"/>
  <c r="F136" i="2"/>
  <c r="F9" i="2"/>
  <c r="F8" i="2"/>
  <c r="F57" i="2"/>
  <c r="F165" i="2"/>
  <c r="F135" i="2"/>
  <c r="F134" i="2"/>
  <c r="F164" i="2"/>
  <c r="C250" i="2"/>
  <c r="AC77" i="2" l="1"/>
  <c r="AE2" i="2"/>
  <c r="AC2" i="2"/>
  <c r="AD2" i="2"/>
  <c r="A696" i="3"/>
  <c r="B696" i="3"/>
  <c r="C696" i="3"/>
  <c r="F696" i="3"/>
  <c r="A699" i="3"/>
  <c r="B699" i="3"/>
  <c r="C699" i="3"/>
  <c r="D699" i="3"/>
  <c r="F699" i="3"/>
  <c r="A700" i="3"/>
  <c r="B700" i="3"/>
  <c r="C700" i="3"/>
  <c r="D700" i="3"/>
  <c r="F700" i="3"/>
  <c r="A701" i="3"/>
  <c r="B701" i="3"/>
  <c r="C701" i="3"/>
  <c r="D701" i="3"/>
  <c r="F701" i="3"/>
  <c r="A702" i="3"/>
  <c r="B702" i="3"/>
  <c r="C702" i="3"/>
  <c r="D702" i="3"/>
  <c r="F702" i="3"/>
  <c r="A676" i="3"/>
  <c r="B676" i="3"/>
  <c r="C676" i="3"/>
  <c r="D676" i="3"/>
  <c r="F676" i="3"/>
  <c r="D576" i="2"/>
  <c r="D372" i="2"/>
  <c r="D371" i="2"/>
  <c r="D370" i="2"/>
  <c r="D369" i="2"/>
  <c r="D368" i="2"/>
  <c r="D367" i="2"/>
  <c r="D366" i="2"/>
  <c r="D365" i="2"/>
  <c r="D364" i="2"/>
  <c r="D591" i="2"/>
  <c r="B591" i="2"/>
  <c r="D363" i="2"/>
  <c r="D362" i="2"/>
  <c r="D361" i="2"/>
  <c r="D360" i="2"/>
  <c r="D359" i="2"/>
  <c r="D358" i="2"/>
  <c r="D357" i="2"/>
  <c r="D356" i="2"/>
  <c r="D355" i="2"/>
  <c r="D354" i="2"/>
  <c r="D353" i="2"/>
  <c r="D352" i="2"/>
  <c r="D351" i="2"/>
  <c r="D350" i="2"/>
  <c r="D349" i="2"/>
  <c r="D348" i="2"/>
  <c r="D347" i="2"/>
  <c r="D346" i="2"/>
  <c r="D345" i="2"/>
  <c r="D344" i="2"/>
  <c r="D343" i="2"/>
  <c r="D342" i="2"/>
  <c r="D341" i="2"/>
  <c r="D340" i="2"/>
  <c r="D339" i="2"/>
  <c r="D338" i="2"/>
  <c r="D337" i="2"/>
  <c r="D336" i="2"/>
  <c r="D335" i="2"/>
  <c r="D638" i="2"/>
  <c r="B638" i="2"/>
  <c r="D637" i="2"/>
  <c r="B637" i="2"/>
  <c r="D636" i="2"/>
  <c r="B636" i="2"/>
  <c r="D635" i="2"/>
  <c r="B635" i="2"/>
  <c r="D634" i="2"/>
  <c r="B634" i="2"/>
  <c r="D633" i="2"/>
  <c r="B633" i="2"/>
  <c r="D632" i="2"/>
  <c r="B632" i="2"/>
  <c r="D631" i="2"/>
  <c r="B631" i="2"/>
  <c r="D630" i="2"/>
  <c r="B630" i="2"/>
  <c r="D629" i="2"/>
  <c r="B629" i="2"/>
  <c r="D628" i="2"/>
  <c r="B628" i="2"/>
  <c r="D627" i="2"/>
  <c r="B627" i="2"/>
  <c r="D626" i="2"/>
  <c r="B626" i="2"/>
  <c r="D625" i="2"/>
  <c r="B625" i="2"/>
  <c r="D624" i="2"/>
  <c r="B624" i="2"/>
  <c r="D623" i="2"/>
  <c r="B623" i="2"/>
  <c r="D622" i="2"/>
  <c r="B622" i="2"/>
  <c r="D621" i="2"/>
  <c r="B621" i="2"/>
  <c r="D620" i="2"/>
  <c r="B620" i="2"/>
  <c r="D619" i="2"/>
  <c r="B619" i="2"/>
  <c r="D618" i="2"/>
  <c r="B618" i="2"/>
  <c r="D617" i="2"/>
  <c r="B617" i="2"/>
  <c r="D616" i="2"/>
  <c r="B616" i="2"/>
  <c r="D615" i="2"/>
  <c r="B615" i="2"/>
  <c r="D614" i="2"/>
  <c r="B614" i="2"/>
  <c r="D613" i="2"/>
  <c r="B613" i="2"/>
  <c r="D612" i="2"/>
  <c r="B612" i="2"/>
  <c r="D611" i="2"/>
  <c r="B611" i="2"/>
  <c r="D610" i="2"/>
  <c r="B610" i="2"/>
  <c r="D609" i="2"/>
  <c r="B609" i="2"/>
  <c r="D608" i="2"/>
  <c r="B608" i="2"/>
  <c r="D607" i="2"/>
  <c r="B607" i="2"/>
  <c r="D606" i="2"/>
  <c r="B606" i="2"/>
  <c r="D605" i="2"/>
  <c r="B605" i="2"/>
  <c r="D604" i="2"/>
  <c r="B604" i="2"/>
  <c r="D603" i="2"/>
  <c r="B603" i="2"/>
  <c r="D602" i="2"/>
  <c r="B602" i="2"/>
  <c r="D601" i="2"/>
  <c r="B601" i="2"/>
  <c r="D600" i="2"/>
  <c r="B600" i="2"/>
  <c r="D599" i="2"/>
  <c r="B599" i="2"/>
  <c r="D598" i="2"/>
  <c r="B598" i="2"/>
  <c r="D597" i="2"/>
  <c r="B597" i="2"/>
  <c r="D596" i="2"/>
  <c r="B596" i="2"/>
  <c r="D21" i="2"/>
  <c r="B21" i="2"/>
  <c r="D595" i="2"/>
  <c r="B595" i="2"/>
  <c r="B594" i="2"/>
  <c r="B76" i="2"/>
  <c r="D593" i="2"/>
  <c r="B593" i="2"/>
  <c r="D592" i="2"/>
  <c r="B592" i="2"/>
  <c r="D590" i="2"/>
  <c r="B590" i="2"/>
  <c r="D589" i="2"/>
  <c r="B589" i="2"/>
  <c r="D588" i="2"/>
  <c r="B588" i="2"/>
  <c r="D587" i="2"/>
  <c r="B587" i="2"/>
  <c r="D586" i="2"/>
  <c r="B586" i="2"/>
  <c r="D585" i="2"/>
  <c r="B585" i="2"/>
  <c r="D584" i="2"/>
  <c r="B584" i="2"/>
  <c r="D583" i="2"/>
  <c r="B583" i="2"/>
  <c r="D582" i="2"/>
  <c r="B582" i="2"/>
  <c r="D581" i="2"/>
  <c r="B581" i="2"/>
  <c r="D580" i="2"/>
  <c r="B580" i="2"/>
  <c r="D579" i="2"/>
  <c r="B579" i="2"/>
  <c r="D578" i="2"/>
  <c r="B578" i="2"/>
  <c r="D577" i="2"/>
  <c r="B577" i="2"/>
  <c r="B576" i="2"/>
  <c r="D124" i="2"/>
  <c r="B124" i="2"/>
  <c r="D123" i="2"/>
  <c r="B123" i="2"/>
  <c r="D122" i="2"/>
  <c r="B122" i="2"/>
  <c r="D121" i="2"/>
  <c r="B121" i="2"/>
  <c r="D120" i="2"/>
  <c r="B120" i="2"/>
  <c r="D119" i="2"/>
  <c r="B119" i="2"/>
  <c r="D118" i="2"/>
  <c r="B118" i="2"/>
  <c r="D117" i="2"/>
  <c r="B117" i="2"/>
  <c r="D116" i="2"/>
  <c r="B116" i="2"/>
  <c r="D115" i="2"/>
  <c r="B115" i="2"/>
  <c r="D114" i="2"/>
  <c r="B114" i="2"/>
  <c r="D113" i="2"/>
  <c r="B113" i="2"/>
  <c r="D112" i="2"/>
  <c r="B112" i="2"/>
  <c r="D111" i="2"/>
  <c r="B111" i="2"/>
  <c r="D110" i="2"/>
  <c r="B110" i="2"/>
  <c r="D109" i="2"/>
  <c r="B109" i="2"/>
  <c r="D108" i="2"/>
  <c r="B108" i="2"/>
  <c r="D107" i="2"/>
  <c r="B107" i="2"/>
  <c r="D106" i="2"/>
  <c r="B106" i="2"/>
  <c r="D105" i="2"/>
  <c r="B105" i="2"/>
  <c r="D104" i="2"/>
  <c r="B104" i="2"/>
  <c r="D103" i="2"/>
  <c r="B103" i="2"/>
  <c r="D102" i="2"/>
  <c r="B102" i="2"/>
  <c r="D101" i="2"/>
  <c r="B101" i="2"/>
  <c r="D100" i="2"/>
  <c r="B100" i="2"/>
  <c r="D99" i="2"/>
  <c r="B99" i="2"/>
  <c r="D98" i="2"/>
  <c r="B98" i="2"/>
  <c r="D97" i="2"/>
  <c r="B97" i="2"/>
  <c r="D96" i="2"/>
  <c r="B96" i="2"/>
  <c r="D95" i="2"/>
  <c r="B95" i="2"/>
  <c r="D94" i="2"/>
  <c r="B94" i="2"/>
  <c r="D93" i="2"/>
  <c r="B93" i="2"/>
  <c r="D92" i="2"/>
  <c r="B92" i="2"/>
  <c r="D91" i="2"/>
  <c r="B91" i="2"/>
  <c r="D90" i="2"/>
  <c r="B90" i="2"/>
  <c r="D89" i="2"/>
  <c r="B89" i="2"/>
  <c r="D528" i="2"/>
  <c r="B528" i="2"/>
  <c r="D527" i="2"/>
  <c r="B527" i="2"/>
  <c r="D526" i="2"/>
  <c r="B526" i="2"/>
  <c r="D525" i="2"/>
  <c r="B525" i="2"/>
  <c r="D524" i="2"/>
  <c r="B524" i="2"/>
  <c r="D523" i="2"/>
  <c r="B523" i="2"/>
  <c r="D522" i="2"/>
  <c r="B522" i="2"/>
  <c r="D521" i="2"/>
  <c r="B521" i="2"/>
  <c r="D520" i="2"/>
  <c r="B520" i="2"/>
  <c r="D519" i="2"/>
  <c r="B519" i="2"/>
  <c r="D518" i="2"/>
  <c r="B518" i="2"/>
  <c r="D517" i="2"/>
  <c r="B517" i="2"/>
  <c r="D516" i="2"/>
  <c r="B516" i="2"/>
  <c r="D515" i="2"/>
  <c r="B515" i="2"/>
  <c r="D514" i="2"/>
  <c r="B514" i="2"/>
  <c r="D513" i="2"/>
  <c r="B513" i="2"/>
  <c r="D512" i="2"/>
  <c r="B512" i="2"/>
  <c r="D511" i="2"/>
  <c r="B511" i="2"/>
  <c r="D510" i="2"/>
  <c r="B510" i="2"/>
  <c r="D509" i="2"/>
  <c r="B509" i="2"/>
  <c r="D508" i="2"/>
  <c r="B508" i="2"/>
  <c r="D507" i="2"/>
  <c r="B507" i="2"/>
  <c r="D506" i="2"/>
  <c r="B506" i="2"/>
  <c r="D505" i="2"/>
  <c r="B505" i="2"/>
  <c r="D504" i="2"/>
  <c r="B504" i="2"/>
  <c r="D503" i="2"/>
  <c r="B503" i="2"/>
  <c r="D502" i="2"/>
  <c r="B502" i="2"/>
  <c r="D501" i="2"/>
  <c r="B501" i="2"/>
  <c r="D500" i="2"/>
  <c r="B500" i="2"/>
  <c r="D499" i="2"/>
  <c r="B499" i="2"/>
  <c r="D498" i="2"/>
  <c r="B498" i="2"/>
  <c r="D497" i="2"/>
  <c r="B497" i="2"/>
  <c r="D496" i="2"/>
  <c r="B496" i="2"/>
  <c r="D495" i="2"/>
  <c r="B495" i="2"/>
  <c r="D494" i="2"/>
  <c r="B494" i="2"/>
  <c r="D493" i="2"/>
  <c r="B493" i="2"/>
  <c r="D492" i="2"/>
  <c r="B492" i="2"/>
  <c r="D491" i="2"/>
  <c r="B491" i="2"/>
  <c r="D490" i="2"/>
  <c r="B490" i="2"/>
  <c r="D489" i="2"/>
  <c r="B489" i="2"/>
  <c r="D488" i="2"/>
  <c r="B488" i="2"/>
  <c r="D487" i="2"/>
  <c r="B487" i="2"/>
  <c r="D486" i="2"/>
  <c r="B486" i="2"/>
  <c r="D485" i="2"/>
  <c r="B485" i="2"/>
  <c r="D484" i="2"/>
  <c r="B484" i="2"/>
  <c r="D483" i="2"/>
  <c r="B483" i="2"/>
  <c r="D482" i="2"/>
  <c r="B482" i="2"/>
  <c r="D481" i="2"/>
  <c r="B481" i="2"/>
  <c r="D410" i="2"/>
  <c r="D409" i="2"/>
  <c r="D408" i="2"/>
  <c r="D407" i="2"/>
  <c r="D406" i="2"/>
  <c r="D405" i="2"/>
  <c r="D404" i="2"/>
  <c r="D403" i="2"/>
  <c r="D402" i="2"/>
  <c r="D401" i="2"/>
  <c r="D400" i="2"/>
  <c r="D399" i="2"/>
  <c r="D398" i="2"/>
  <c r="D397" i="2"/>
  <c r="D396" i="2"/>
  <c r="D395" i="2"/>
  <c r="D394" i="2"/>
  <c r="D393" i="2"/>
  <c r="D392" i="2"/>
  <c r="D391" i="2"/>
  <c r="D390" i="2"/>
  <c r="D389" i="2"/>
  <c r="D388" i="2"/>
  <c r="D387" i="2"/>
  <c r="D386" i="2"/>
  <c r="D385" i="2"/>
  <c r="D384" i="2"/>
  <c r="D383" i="2"/>
  <c r="D382" i="2"/>
  <c r="D381" i="2"/>
  <c r="D380" i="2"/>
  <c r="D379" i="2"/>
  <c r="D378" i="2"/>
  <c r="D377" i="2"/>
  <c r="D376" i="2"/>
  <c r="D375" i="2"/>
  <c r="D374" i="2"/>
  <c r="D373" i="2"/>
  <c r="D254" i="2"/>
  <c r="C254" i="2"/>
  <c r="B254" i="2"/>
  <c r="D253" i="2"/>
  <c r="C253" i="2"/>
  <c r="B253" i="2"/>
  <c r="D252" i="2"/>
  <c r="C252" i="2"/>
  <c r="B252" i="2"/>
  <c r="D251" i="2"/>
  <c r="C251" i="2"/>
  <c r="B251" i="2"/>
  <c r="D250" i="2"/>
  <c r="B250" i="2"/>
  <c r="D249" i="2"/>
  <c r="B249" i="2"/>
  <c r="D248" i="2"/>
  <c r="C248" i="2"/>
  <c r="B248" i="2"/>
  <c r="D247" i="2"/>
  <c r="C247" i="2"/>
  <c r="B247" i="2"/>
  <c r="D246" i="2"/>
  <c r="C246" i="2"/>
  <c r="B246" i="2"/>
  <c r="D245" i="2"/>
  <c r="C245" i="2"/>
  <c r="B245" i="2"/>
  <c r="D244" i="2"/>
  <c r="C244" i="2"/>
  <c r="B244" i="2"/>
  <c r="D243" i="2"/>
  <c r="C243" i="2"/>
  <c r="B243" i="2"/>
  <c r="A913" i="3"/>
  <c r="B913" i="3"/>
  <c r="C913" i="3"/>
  <c r="D913" i="3"/>
  <c r="F913" i="3"/>
  <c r="A914" i="3"/>
  <c r="B914" i="3"/>
  <c r="C914" i="3"/>
  <c r="D914" i="3"/>
  <c r="F914" i="3"/>
  <c r="A915" i="3"/>
  <c r="B915" i="3"/>
  <c r="C915" i="3"/>
  <c r="D915" i="3"/>
  <c r="F915" i="3"/>
  <c r="A916" i="3"/>
  <c r="B916" i="3"/>
  <c r="C916" i="3"/>
  <c r="D916" i="3"/>
  <c r="F916" i="3"/>
  <c r="A917" i="3"/>
  <c r="B917" i="3"/>
  <c r="C917" i="3"/>
  <c r="D917" i="3"/>
  <c r="F917" i="3"/>
  <c r="A918" i="3"/>
  <c r="B918" i="3"/>
  <c r="C918" i="3"/>
  <c r="D918" i="3"/>
  <c r="F918" i="3"/>
  <c r="A919" i="3"/>
  <c r="B919" i="3"/>
  <c r="C919" i="3"/>
  <c r="D919" i="3"/>
  <c r="F919" i="3"/>
  <c r="A920" i="3"/>
  <c r="B920" i="3"/>
  <c r="C920" i="3"/>
  <c r="D920" i="3"/>
  <c r="F920" i="3"/>
  <c r="A921" i="3"/>
  <c r="B921" i="3"/>
  <c r="C921" i="3"/>
  <c r="D921" i="3"/>
  <c r="F921" i="3"/>
  <c r="A922" i="3"/>
  <c r="B922" i="3"/>
  <c r="C922" i="3"/>
  <c r="D922" i="3"/>
  <c r="F922" i="3"/>
  <c r="A923" i="3"/>
  <c r="B923" i="3"/>
  <c r="C923" i="3"/>
  <c r="D923" i="3"/>
  <c r="F923" i="3"/>
  <c r="A924" i="3"/>
  <c r="B924" i="3"/>
  <c r="C924" i="3"/>
  <c r="D924" i="3"/>
  <c r="F924" i="3"/>
  <c r="A925" i="3"/>
  <c r="B925" i="3"/>
  <c r="C925" i="3"/>
  <c r="D925" i="3"/>
  <c r="F925" i="3"/>
  <c r="A926" i="3"/>
  <c r="B926" i="3"/>
  <c r="C926" i="3"/>
  <c r="D926" i="3"/>
  <c r="F926" i="3"/>
  <c r="A927" i="3"/>
  <c r="B927" i="3"/>
  <c r="C927" i="3"/>
  <c r="D927" i="3"/>
  <c r="F927" i="3"/>
  <c r="A928" i="3"/>
  <c r="B928" i="3"/>
  <c r="C928" i="3"/>
  <c r="D928" i="3"/>
  <c r="F928" i="3"/>
  <c r="A929" i="3"/>
  <c r="B929" i="3"/>
  <c r="C929" i="3"/>
  <c r="D929" i="3"/>
  <c r="F929" i="3"/>
  <c r="A930" i="3"/>
  <c r="B930" i="3"/>
  <c r="C930" i="3"/>
  <c r="D930" i="3"/>
  <c r="F930" i="3"/>
  <c r="A931" i="3"/>
  <c r="B931" i="3"/>
  <c r="C931" i="3"/>
  <c r="D931" i="3"/>
  <c r="F931" i="3"/>
  <c r="A932" i="3"/>
  <c r="B932" i="3"/>
  <c r="C932" i="3"/>
  <c r="D932" i="3"/>
  <c r="F932" i="3"/>
  <c r="A933" i="3"/>
  <c r="B933" i="3"/>
  <c r="C933" i="3"/>
  <c r="D933" i="3"/>
  <c r="F933" i="3"/>
  <c r="A934" i="3"/>
  <c r="B934" i="3"/>
  <c r="C934" i="3"/>
  <c r="D934" i="3"/>
  <c r="F934" i="3"/>
  <c r="A935" i="3"/>
  <c r="B935" i="3"/>
  <c r="C935" i="3"/>
  <c r="D935" i="3"/>
  <c r="F935" i="3"/>
  <c r="A936" i="3"/>
  <c r="B936" i="3"/>
  <c r="C936" i="3"/>
  <c r="D936" i="3"/>
  <c r="F936" i="3"/>
  <c r="A937" i="3"/>
  <c r="B937" i="3"/>
  <c r="C937" i="3"/>
  <c r="D937" i="3"/>
  <c r="F937" i="3"/>
  <c r="A938" i="3"/>
  <c r="B938" i="3"/>
  <c r="C938" i="3"/>
  <c r="D938" i="3"/>
  <c r="F938" i="3"/>
  <c r="A939" i="3"/>
  <c r="B939" i="3"/>
  <c r="C939" i="3"/>
  <c r="D939" i="3"/>
  <c r="F939" i="3"/>
  <c r="A940" i="3"/>
  <c r="B940" i="3"/>
  <c r="C940" i="3"/>
  <c r="D940" i="3"/>
  <c r="F940" i="3"/>
  <c r="A941" i="3"/>
  <c r="B941" i="3"/>
  <c r="C941" i="3"/>
  <c r="D941" i="3"/>
  <c r="F941" i="3"/>
  <c r="A942" i="3"/>
  <c r="B942" i="3"/>
  <c r="C942" i="3"/>
  <c r="D942" i="3"/>
  <c r="F942" i="3"/>
  <c r="A943" i="3"/>
  <c r="B943" i="3"/>
  <c r="C943" i="3"/>
  <c r="D943" i="3"/>
  <c r="F943" i="3"/>
  <c r="A944" i="3"/>
  <c r="B944" i="3"/>
  <c r="C944" i="3"/>
  <c r="D944" i="3"/>
  <c r="F944" i="3"/>
  <c r="F1035" i="3"/>
  <c r="D1035" i="3"/>
  <c r="C1035" i="3"/>
  <c r="B1035" i="3"/>
  <c r="A1035" i="3"/>
  <c r="F1034" i="3"/>
  <c r="D1034" i="3"/>
  <c r="C1034" i="3"/>
  <c r="B1034" i="3"/>
  <c r="A1034" i="3"/>
  <c r="F1033" i="3"/>
  <c r="D1033" i="3"/>
  <c r="C1033" i="3"/>
  <c r="B1033" i="3"/>
  <c r="A1033" i="3"/>
  <c r="F1032" i="3"/>
  <c r="D1032" i="3"/>
  <c r="C1032" i="3"/>
  <c r="B1032" i="3"/>
  <c r="A1032" i="3"/>
  <c r="F1031" i="3"/>
  <c r="D1031" i="3"/>
  <c r="C1031" i="3"/>
  <c r="B1031" i="3"/>
  <c r="A1031" i="3"/>
  <c r="F1030" i="3"/>
  <c r="D1030" i="3"/>
  <c r="C1030" i="3"/>
  <c r="B1030" i="3"/>
  <c r="A1030" i="3"/>
  <c r="F1029" i="3"/>
  <c r="D1029" i="3"/>
  <c r="C1029" i="3"/>
  <c r="B1029" i="3"/>
  <c r="A1029" i="3"/>
  <c r="F1028" i="3"/>
  <c r="D1028" i="3"/>
  <c r="C1028" i="3"/>
  <c r="B1028" i="3"/>
  <c r="A1028" i="3"/>
  <c r="F1027" i="3"/>
  <c r="D1027" i="3"/>
  <c r="C1027" i="3"/>
  <c r="B1027" i="3"/>
  <c r="A1027" i="3"/>
  <c r="F1026" i="3"/>
  <c r="D1026" i="3"/>
  <c r="C1026" i="3"/>
  <c r="B1026" i="3"/>
  <c r="A1026" i="3"/>
  <c r="F1025" i="3"/>
  <c r="D1025" i="3"/>
  <c r="C1025" i="3"/>
  <c r="B1025" i="3"/>
  <c r="A1025" i="3"/>
  <c r="F1024" i="3"/>
  <c r="D1024" i="3"/>
  <c r="C1024" i="3"/>
  <c r="B1024" i="3"/>
  <c r="A1024" i="3"/>
  <c r="F1023" i="3"/>
  <c r="D1023" i="3"/>
  <c r="C1023" i="3"/>
  <c r="B1023" i="3"/>
  <c r="A1023" i="3"/>
  <c r="F1022" i="3"/>
  <c r="D1022" i="3"/>
  <c r="C1022" i="3"/>
  <c r="B1022" i="3"/>
  <c r="A1022" i="3"/>
  <c r="F1021" i="3"/>
  <c r="D1021" i="3"/>
  <c r="C1021" i="3"/>
  <c r="B1021" i="3"/>
  <c r="A1021" i="3"/>
  <c r="F1020" i="3"/>
  <c r="D1020" i="3"/>
  <c r="C1020" i="3"/>
  <c r="B1020" i="3"/>
  <c r="A1020" i="3"/>
  <c r="F1019" i="3"/>
  <c r="D1019" i="3"/>
  <c r="C1019" i="3"/>
  <c r="B1019" i="3"/>
  <c r="A1019" i="3"/>
  <c r="F1018" i="3"/>
  <c r="D1018" i="3"/>
  <c r="C1018" i="3"/>
  <c r="B1018" i="3"/>
  <c r="A1018" i="3"/>
  <c r="F1017" i="3"/>
  <c r="D1017" i="3"/>
  <c r="C1017" i="3"/>
  <c r="B1017" i="3"/>
  <c r="A1017" i="3"/>
  <c r="F1016" i="3"/>
  <c r="D1016" i="3"/>
  <c r="C1016" i="3"/>
  <c r="B1016" i="3"/>
  <c r="A1016" i="3"/>
  <c r="F1015" i="3"/>
  <c r="D1015" i="3"/>
  <c r="C1015" i="3"/>
  <c r="B1015" i="3"/>
  <c r="A1015" i="3"/>
  <c r="F1014" i="3"/>
  <c r="D1014" i="3"/>
  <c r="C1014" i="3"/>
  <c r="B1014" i="3"/>
  <c r="A1014" i="3"/>
  <c r="F1013" i="3"/>
  <c r="D1013" i="3"/>
  <c r="C1013" i="3"/>
  <c r="B1013" i="3"/>
  <c r="A1013" i="3"/>
  <c r="F1012" i="3"/>
  <c r="D1012" i="3"/>
  <c r="C1012" i="3"/>
  <c r="B1012" i="3"/>
  <c r="A1012" i="3"/>
  <c r="F1011" i="3"/>
  <c r="D1011" i="3"/>
  <c r="C1011" i="3"/>
  <c r="B1011" i="3"/>
  <c r="A1011" i="3"/>
  <c r="F1010" i="3"/>
  <c r="D1010" i="3"/>
  <c r="C1010" i="3"/>
  <c r="B1010" i="3"/>
  <c r="A1010" i="3"/>
  <c r="F1009" i="3"/>
  <c r="D1009" i="3"/>
  <c r="C1009" i="3"/>
  <c r="B1009" i="3"/>
  <c r="A1009" i="3"/>
  <c r="F1008" i="3"/>
  <c r="D1008" i="3"/>
  <c r="C1008" i="3"/>
  <c r="B1008" i="3"/>
  <c r="A1008" i="3"/>
  <c r="F1007" i="3"/>
  <c r="D1007" i="3"/>
  <c r="C1007" i="3"/>
  <c r="B1007" i="3"/>
  <c r="A1007" i="3"/>
  <c r="F1006" i="3"/>
  <c r="D1006" i="3"/>
  <c r="C1006" i="3"/>
  <c r="B1006" i="3"/>
  <c r="A1006" i="3"/>
  <c r="F1005" i="3"/>
  <c r="D1005" i="3"/>
  <c r="C1005" i="3"/>
  <c r="B1005" i="3"/>
  <c r="A1005" i="3"/>
  <c r="F1004" i="3"/>
  <c r="D1004" i="3"/>
  <c r="C1004" i="3"/>
  <c r="B1004" i="3"/>
  <c r="A1004" i="3"/>
  <c r="F1003" i="3"/>
  <c r="D1003" i="3"/>
  <c r="C1003" i="3"/>
  <c r="B1003" i="3"/>
  <c r="A1003" i="3"/>
  <c r="F1002" i="3"/>
  <c r="D1002" i="3"/>
  <c r="C1002" i="3"/>
  <c r="B1002" i="3"/>
  <c r="A1002" i="3"/>
  <c r="F1001" i="3"/>
  <c r="D1001" i="3"/>
  <c r="C1001" i="3"/>
  <c r="B1001" i="3"/>
  <c r="A1001" i="3"/>
  <c r="F1000" i="3"/>
  <c r="D1000" i="3"/>
  <c r="C1000" i="3"/>
  <c r="B1000" i="3"/>
  <c r="A1000" i="3"/>
  <c r="F999" i="3"/>
  <c r="D999" i="3"/>
  <c r="C999" i="3"/>
  <c r="B999" i="3"/>
  <c r="A999" i="3"/>
  <c r="F998" i="3"/>
  <c r="D998" i="3"/>
  <c r="C998" i="3"/>
  <c r="B998" i="3"/>
  <c r="A998" i="3"/>
  <c r="F997" i="3"/>
  <c r="D997" i="3"/>
  <c r="C997" i="3"/>
  <c r="B997" i="3"/>
  <c r="A997" i="3"/>
  <c r="F996" i="3"/>
  <c r="D996" i="3"/>
  <c r="C996" i="3"/>
  <c r="B996" i="3"/>
  <c r="A996" i="3"/>
  <c r="F995" i="3"/>
  <c r="D995" i="3"/>
  <c r="C995" i="3"/>
  <c r="B995" i="3"/>
  <c r="A995" i="3"/>
  <c r="F994" i="3"/>
  <c r="D994" i="3"/>
  <c r="C994" i="3"/>
  <c r="B994" i="3"/>
  <c r="A994" i="3"/>
  <c r="F993" i="3"/>
  <c r="D993" i="3"/>
  <c r="C993" i="3"/>
  <c r="B993" i="3"/>
  <c r="A993" i="3"/>
  <c r="F992" i="3"/>
  <c r="D992" i="3"/>
  <c r="C992" i="3"/>
  <c r="B992" i="3"/>
  <c r="A992" i="3"/>
  <c r="F991" i="3"/>
  <c r="D991" i="3"/>
  <c r="C991" i="3"/>
  <c r="B991" i="3"/>
  <c r="A991" i="3"/>
  <c r="F990" i="3"/>
  <c r="D990" i="3"/>
  <c r="C990" i="3"/>
  <c r="B990" i="3"/>
  <c r="A990" i="3"/>
  <c r="F989" i="3"/>
  <c r="D989" i="3"/>
  <c r="C989" i="3"/>
  <c r="B989" i="3"/>
  <c r="A989" i="3"/>
  <c r="F988" i="3"/>
  <c r="D988" i="3"/>
  <c r="C988" i="3"/>
  <c r="B988" i="3"/>
  <c r="A988" i="3"/>
  <c r="F987" i="3"/>
  <c r="D987" i="3"/>
  <c r="C987" i="3"/>
  <c r="B987" i="3"/>
  <c r="A987" i="3"/>
  <c r="F986" i="3"/>
  <c r="D986" i="3"/>
  <c r="C986" i="3"/>
  <c r="B986" i="3"/>
  <c r="A986" i="3"/>
  <c r="F985" i="3"/>
  <c r="D985" i="3"/>
  <c r="C985" i="3"/>
  <c r="B985" i="3"/>
  <c r="A985" i="3"/>
  <c r="F984" i="3"/>
  <c r="D984" i="3"/>
  <c r="C984" i="3"/>
  <c r="B984" i="3"/>
  <c r="A984" i="3"/>
  <c r="F983" i="3"/>
  <c r="D983" i="3"/>
  <c r="C983" i="3"/>
  <c r="B983" i="3"/>
  <c r="A983" i="3"/>
  <c r="F982" i="3"/>
  <c r="D982" i="3"/>
  <c r="C982" i="3"/>
  <c r="B982" i="3"/>
  <c r="A982" i="3"/>
  <c r="F981" i="3"/>
  <c r="D981" i="3"/>
  <c r="C981" i="3"/>
  <c r="B981" i="3"/>
  <c r="A981" i="3"/>
  <c r="F980" i="3"/>
  <c r="D980" i="3"/>
  <c r="C980" i="3"/>
  <c r="B980" i="3"/>
  <c r="A980" i="3"/>
  <c r="F979" i="3"/>
  <c r="D979" i="3"/>
  <c r="C979" i="3"/>
  <c r="B979" i="3"/>
  <c r="A979" i="3"/>
  <c r="F978" i="3"/>
  <c r="D978" i="3"/>
  <c r="C978" i="3"/>
  <c r="B978" i="3"/>
  <c r="A978" i="3"/>
  <c r="F977" i="3"/>
  <c r="D977" i="3"/>
  <c r="C977" i="3"/>
  <c r="B977" i="3"/>
  <c r="A977" i="3"/>
  <c r="F976" i="3"/>
  <c r="D976" i="3"/>
  <c r="C976" i="3"/>
  <c r="B976" i="3"/>
  <c r="A976" i="3"/>
  <c r="F975" i="3"/>
  <c r="D975" i="3"/>
  <c r="C975" i="3"/>
  <c r="B975" i="3"/>
  <c r="A975" i="3"/>
  <c r="F974" i="3"/>
  <c r="D974" i="3"/>
  <c r="C974" i="3"/>
  <c r="B974" i="3"/>
  <c r="A974" i="3"/>
  <c r="F973" i="3"/>
  <c r="D973" i="3"/>
  <c r="C973" i="3"/>
  <c r="B973" i="3"/>
  <c r="A973" i="3"/>
  <c r="F972" i="3"/>
  <c r="D972" i="3"/>
  <c r="C972" i="3"/>
  <c r="B972" i="3"/>
  <c r="A972" i="3"/>
  <c r="F971" i="3"/>
  <c r="D971" i="3"/>
  <c r="C971" i="3"/>
  <c r="B971" i="3"/>
  <c r="A971" i="3"/>
  <c r="F970" i="3"/>
  <c r="D970" i="3"/>
  <c r="C970" i="3"/>
  <c r="B970" i="3"/>
  <c r="A970" i="3"/>
  <c r="F969" i="3"/>
  <c r="D969" i="3"/>
  <c r="C969" i="3"/>
  <c r="B969" i="3"/>
  <c r="A969" i="3"/>
  <c r="F968" i="3"/>
  <c r="D968" i="3"/>
  <c r="C968" i="3"/>
  <c r="B968" i="3"/>
  <c r="A968" i="3"/>
  <c r="F967" i="3"/>
  <c r="D967" i="3"/>
  <c r="C967" i="3"/>
  <c r="B967" i="3"/>
  <c r="A967" i="3"/>
  <c r="F966" i="3"/>
  <c r="D966" i="3"/>
  <c r="C966" i="3"/>
  <c r="B966" i="3"/>
  <c r="A966" i="3"/>
  <c r="F965" i="3"/>
  <c r="D965" i="3"/>
  <c r="C965" i="3"/>
  <c r="B965" i="3"/>
  <c r="A965" i="3"/>
  <c r="F964" i="3"/>
  <c r="D964" i="3"/>
  <c r="C964" i="3"/>
  <c r="B964" i="3"/>
  <c r="A964" i="3"/>
  <c r="F963" i="3"/>
  <c r="D963" i="3"/>
  <c r="C963" i="3"/>
  <c r="B963" i="3"/>
  <c r="A963" i="3"/>
  <c r="F962" i="3"/>
  <c r="D962" i="3"/>
  <c r="C962" i="3"/>
  <c r="B962" i="3"/>
  <c r="A962" i="3"/>
  <c r="F961" i="3"/>
  <c r="D961" i="3"/>
  <c r="C961" i="3"/>
  <c r="B961" i="3"/>
  <c r="A961" i="3"/>
  <c r="F960" i="3"/>
  <c r="D960" i="3"/>
  <c r="C960" i="3"/>
  <c r="B960" i="3"/>
  <c r="A960" i="3"/>
  <c r="F959" i="3"/>
  <c r="D959" i="3"/>
  <c r="C959" i="3"/>
  <c r="B959" i="3"/>
  <c r="A959" i="3"/>
  <c r="F958" i="3"/>
  <c r="D958" i="3"/>
  <c r="C958" i="3"/>
  <c r="B958" i="3"/>
  <c r="A958" i="3"/>
  <c r="F957" i="3"/>
  <c r="D957" i="3"/>
  <c r="C957" i="3"/>
  <c r="B957" i="3"/>
  <c r="A957" i="3"/>
  <c r="F956" i="3"/>
  <c r="D956" i="3"/>
  <c r="C956" i="3"/>
  <c r="B956" i="3"/>
  <c r="A956" i="3"/>
  <c r="F955" i="3"/>
  <c r="D955" i="3"/>
  <c r="C955" i="3"/>
  <c r="B955" i="3"/>
  <c r="A955" i="3"/>
  <c r="F954" i="3"/>
  <c r="D954" i="3"/>
  <c r="C954" i="3"/>
  <c r="B954" i="3"/>
  <c r="A954" i="3"/>
  <c r="F953" i="3"/>
  <c r="D953" i="3"/>
  <c r="C953" i="3"/>
  <c r="B953" i="3"/>
  <c r="A953" i="3"/>
  <c r="F952" i="3"/>
  <c r="D952" i="3"/>
  <c r="C952" i="3"/>
  <c r="B952" i="3"/>
  <c r="A952" i="3"/>
  <c r="F951" i="3"/>
  <c r="D951" i="3"/>
  <c r="C951" i="3"/>
  <c r="B951" i="3"/>
  <c r="A951" i="3"/>
  <c r="F950" i="3"/>
  <c r="D950" i="3"/>
  <c r="C950" i="3"/>
  <c r="B950" i="3"/>
  <c r="A950" i="3"/>
  <c r="F949" i="3"/>
  <c r="D949" i="3"/>
  <c r="C949" i="3"/>
  <c r="B949" i="3"/>
  <c r="A949" i="3"/>
  <c r="F948" i="3"/>
  <c r="D948" i="3"/>
  <c r="C948" i="3"/>
  <c r="B948" i="3"/>
  <c r="A948" i="3"/>
  <c r="F947" i="3"/>
  <c r="D947" i="3"/>
  <c r="C947" i="3"/>
  <c r="B947" i="3"/>
  <c r="A947" i="3"/>
  <c r="F946" i="3"/>
  <c r="D946" i="3"/>
  <c r="C946" i="3"/>
  <c r="B946" i="3"/>
  <c r="A946" i="3"/>
  <c r="F945" i="3"/>
  <c r="D945" i="3"/>
  <c r="C945" i="3"/>
  <c r="B945" i="3"/>
  <c r="A945" i="3"/>
  <c r="F912" i="3"/>
  <c r="D912" i="3"/>
  <c r="C912" i="3"/>
  <c r="B912" i="3"/>
  <c r="A912" i="3"/>
  <c r="F911" i="3"/>
  <c r="D911" i="3"/>
  <c r="C911" i="3"/>
  <c r="B911" i="3"/>
  <c r="A911" i="3"/>
  <c r="F910" i="3"/>
  <c r="D910" i="3"/>
  <c r="C910" i="3"/>
  <c r="B910" i="3"/>
  <c r="A910" i="3"/>
  <c r="F909" i="3"/>
  <c r="D909" i="3"/>
  <c r="C909" i="3"/>
  <c r="B909" i="3"/>
  <c r="A909" i="3"/>
  <c r="F908" i="3"/>
  <c r="D908" i="3"/>
  <c r="C908" i="3"/>
  <c r="B908" i="3"/>
  <c r="A908" i="3"/>
  <c r="F907" i="3"/>
  <c r="D907" i="3"/>
  <c r="C907" i="3"/>
  <c r="B907" i="3"/>
  <c r="A907" i="3"/>
  <c r="F906" i="3"/>
  <c r="D906" i="3"/>
  <c r="C906" i="3"/>
  <c r="B906" i="3"/>
  <c r="A906" i="3"/>
  <c r="F905" i="3"/>
  <c r="D905" i="3"/>
  <c r="C905" i="3"/>
  <c r="B905" i="3"/>
  <c r="A905" i="3"/>
  <c r="F904" i="3"/>
  <c r="D904" i="3"/>
  <c r="C904" i="3"/>
  <c r="B904" i="3"/>
  <c r="A904" i="3"/>
  <c r="F903" i="3"/>
  <c r="D903" i="3"/>
  <c r="C903" i="3"/>
  <c r="B903" i="3"/>
  <c r="A903" i="3"/>
  <c r="F902" i="3"/>
  <c r="D902" i="3"/>
  <c r="C902" i="3"/>
  <c r="B902" i="3"/>
  <c r="A902" i="3"/>
  <c r="F901" i="3"/>
  <c r="D901" i="3"/>
  <c r="C901" i="3"/>
  <c r="B901" i="3"/>
  <c r="A901" i="3"/>
  <c r="F900" i="3"/>
  <c r="D900" i="3"/>
  <c r="C900" i="3"/>
  <c r="B900" i="3"/>
  <c r="A900" i="3"/>
  <c r="F899" i="3"/>
  <c r="D899" i="3"/>
  <c r="C899" i="3"/>
  <c r="B899" i="3"/>
  <c r="A899" i="3"/>
  <c r="F898" i="3"/>
  <c r="D898" i="3"/>
  <c r="C898" i="3"/>
  <c r="B898" i="3"/>
  <c r="A898" i="3"/>
  <c r="F897" i="3"/>
  <c r="D897" i="3"/>
  <c r="C897" i="3"/>
  <c r="B897" i="3"/>
  <c r="A897" i="3"/>
  <c r="F896" i="3"/>
  <c r="D896" i="3"/>
  <c r="C896" i="3"/>
  <c r="B896" i="3"/>
  <c r="A896" i="3"/>
  <c r="F895" i="3"/>
  <c r="D895" i="3"/>
  <c r="C895" i="3"/>
  <c r="B895" i="3"/>
  <c r="A895" i="3"/>
  <c r="F894" i="3"/>
  <c r="D894" i="3"/>
  <c r="C894" i="3"/>
  <c r="B894" i="3"/>
  <c r="A894" i="3"/>
  <c r="F893" i="3"/>
  <c r="D893" i="3"/>
  <c r="C893" i="3"/>
  <c r="B893" i="3"/>
  <c r="A893" i="3"/>
  <c r="F892" i="3"/>
  <c r="D892" i="3"/>
  <c r="C892" i="3"/>
  <c r="B892" i="3"/>
  <c r="A892" i="3"/>
  <c r="F891" i="3"/>
  <c r="D891" i="3"/>
  <c r="C891" i="3"/>
  <c r="B891" i="3"/>
  <c r="A891" i="3"/>
  <c r="F890" i="3"/>
  <c r="D890" i="3"/>
  <c r="C890" i="3"/>
  <c r="B890" i="3"/>
  <c r="A890" i="3"/>
  <c r="F889" i="3"/>
  <c r="D889" i="3"/>
  <c r="C889" i="3"/>
  <c r="B889" i="3"/>
  <c r="A889" i="3"/>
  <c r="F888" i="3"/>
  <c r="D888" i="3"/>
  <c r="C888" i="3"/>
  <c r="B888" i="3"/>
  <c r="A888" i="3"/>
  <c r="F887" i="3"/>
  <c r="D887" i="3"/>
  <c r="C887" i="3"/>
  <c r="B887" i="3"/>
  <c r="A887" i="3"/>
  <c r="F886" i="3"/>
  <c r="D886" i="3"/>
  <c r="C886" i="3"/>
  <c r="B886" i="3"/>
  <c r="A886" i="3"/>
  <c r="F885" i="3"/>
  <c r="D885" i="3"/>
  <c r="C885" i="3"/>
  <c r="B885" i="3"/>
  <c r="A885" i="3"/>
  <c r="F884" i="3"/>
  <c r="D884" i="3"/>
  <c r="C884" i="3"/>
  <c r="B884" i="3"/>
  <c r="A884" i="3"/>
  <c r="F883" i="3"/>
  <c r="D883" i="3"/>
  <c r="C883" i="3"/>
  <c r="B883" i="3"/>
  <c r="A883" i="3"/>
  <c r="F882" i="3"/>
  <c r="D882" i="3"/>
  <c r="C882" i="3"/>
  <c r="B882" i="3"/>
  <c r="A882" i="3"/>
  <c r="F881" i="3"/>
  <c r="D881" i="3"/>
  <c r="C881" i="3"/>
  <c r="B881" i="3"/>
  <c r="A881" i="3"/>
  <c r="F880" i="3"/>
  <c r="D880" i="3"/>
  <c r="C880" i="3"/>
  <c r="B880" i="3"/>
  <c r="A880" i="3"/>
  <c r="F879" i="3"/>
  <c r="D879" i="3"/>
  <c r="C879" i="3"/>
  <c r="B879" i="3"/>
  <c r="A879" i="3"/>
  <c r="F878" i="3"/>
  <c r="D878" i="3"/>
  <c r="C878" i="3"/>
  <c r="B878" i="3"/>
  <c r="A878" i="3"/>
  <c r="F877" i="3"/>
  <c r="D877" i="3"/>
  <c r="C877" i="3"/>
  <c r="B877" i="3"/>
  <c r="A877" i="3"/>
  <c r="F876" i="3"/>
  <c r="D876" i="3"/>
  <c r="C876" i="3"/>
  <c r="B876" i="3"/>
  <c r="A876" i="3"/>
  <c r="F875" i="3"/>
  <c r="D875" i="3"/>
  <c r="C875" i="3"/>
  <c r="B875" i="3"/>
  <c r="A875" i="3"/>
  <c r="F874" i="3"/>
  <c r="D874" i="3"/>
  <c r="C874" i="3"/>
  <c r="B874" i="3"/>
  <c r="A874" i="3"/>
  <c r="F873" i="3"/>
  <c r="D873" i="3"/>
  <c r="C873" i="3"/>
  <c r="B873" i="3"/>
  <c r="A873" i="3"/>
  <c r="F872" i="3"/>
  <c r="D872" i="3"/>
  <c r="C872" i="3"/>
  <c r="B872" i="3"/>
  <c r="A872" i="3"/>
  <c r="F871" i="3"/>
  <c r="D871" i="3"/>
  <c r="C871" i="3"/>
  <c r="B871" i="3"/>
  <c r="A871" i="3"/>
  <c r="F870" i="3"/>
  <c r="D870" i="3"/>
  <c r="C870" i="3"/>
  <c r="B870" i="3"/>
  <c r="A870" i="3"/>
  <c r="F869" i="3"/>
  <c r="D869" i="3"/>
  <c r="C869" i="3"/>
  <c r="B869" i="3"/>
  <c r="A869" i="3"/>
  <c r="F868" i="3"/>
  <c r="D868" i="3"/>
  <c r="C868" i="3"/>
  <c r="B868" i="3"/>
  <c r="A868" i="3"/>
  <c r="F867" i="3"/>
  <c r="D867" i="3"/>
  <c r="C867" i="3"/>
  <c r="B867" i="3"/>
  <c r="A867" i="3"/>
  <c r="F866" i="3"/>
  <c r="D866" i="3"/>
  <c r="C866" i="3"/>
  <c r="B866" i="3"/>
  <c r="A866" i="3"/>
  <c r="F865" i="3"/>
  <c r="D865" i="3"/>
  <c r="C865" i="3"/>
  <c r="B865" i="3"/>
  <c r="A865" i="3"/>
  <c r="F864" i="3"/>
  <c r="D864" i="3"/>
  <c r="C864" i="3"/>
  <c r="B864" i="3"/>
  <c r="A864" i="3"/>
  <c r="F863" i="3"/>
  <c r="D863" i="3"/>
  <c r="C863" i="3"/>
  <c r="B863" i="3"/>
  <c r="A863" i="3"/>
  <c r="F862" i="3"/>
  <c r="D862" i="3"/>
  <c r="C862" i="3"/>
  <c r="B862" i="3"/>
  <c r="A862" i="3"/>
  <c r="F861" i="3"/>
  <c r="D861" i="3"/>
  <c r="C861" i="3"/>
  <c r="B861" i="3"/>
  <c r="A861" i="3"/>
  <c r="F860" i="3"/>
  <c r="D860" i="3"/>
  <c r="C860" i="3"/>
  <c r="B860" i="3"/>
  <c r="A860" i="3"/>
  <c r="F859" i="3"/>
  <c r="D859" i="3"/>
  <c r="C859" i="3"/>
  <c r="B859" i="3"/>
  <c r="A859" i="3"/>
  <c r="F858" i="3"/>
  <c r="D858" i="3"/>
  <c r="C858" i="3"/>
  <c r="B858" i="3"/>
  <c r="A858" i="3"/>
  <c r="F857" i="3"/>
  <c r="D857" i="3"/>
  <c r="C857" i="3"/>
  <c r="B857" i="3"/>
  <c r="A857" i="3"/>
  <c r="F856" i="3"/>
  <c r="D856" i="3"/>
  <c r="C856" i="3"/>
  <c r="B856" i="3"/>
  <c r="A856" i="3"/>
  <c r="F855" i="3"/>
  <c r="D855" i="3"/>
  <c r="C855" i="3"/>
  <c r="B855" i="3"/>
  <c r="A855" i="3"/>
  <c r="F854" i="3"/>
  <c r="D854" i="3"/>
  <c r="C854" i="3"/>
  <c r="B854" i="3"/>
  <c r="A854" i="3"/>
  <c r="F853" i="3"/>
  <c r="D853" i="3"/>
  <c r="C853" i="3"/>
  <c r="B853" i="3"/>
  <c r="A853" i="3"/>
  <c r="F852" i="3"/>
  <c r="D852" i="3"/>
  <c r="C852" i="3"/>
  <c r="B852" i="3"/>
  <c r="A852" i="3"/>
  <c r="F851" i="3"/>
  <c r="D851" i="3"/>
  <c r="C851" i="3"/>
  <c r="B851" i="3"/>
  <c r="A851" i="3"/>
  <c r="F850" i="3"/>
  <c r="D850" i="3"/>
  <c r="C850" i="3"/>
  <c r="B850" i="3"/>
  <c r="A850" i="3"/>
  <c r="F849" i="3"/>
  <c r="D849" i="3"/>
  <c r="C849" i="3"/>
  <c r="B849" i="3"/>
  <c r="A849" i="3"/>
  <c r="F848" i="3"/>
  <c r="D848" i="3"/>
  <c r="C848" i="3"/>
  <c r="B848" i="3"/>
  <c r="A848" i="3"/>
  <c r="F847" i="3"/>
  <c r="D847" i="3"/>
  <c r="C847" i="3"/>
  <c r="B847" i="3"/>
  <c r="A847" i="3"/>
  <c r="F846" i="3"/>
  <c r="D846" i="3"/>
  <c r="C846" i="3"/>
  <c r="B846" i="3"/>
  <c r="A846" i="3"/>
  <c r="F845" i="3"/>
  <c r="D845" i="3"/>
  <c r="C845" i="3"/>
  <c r="B845" i="3"/>
  <c r="A845" i="3"/>
  <c r="F844" i="3"/>
  <c r="D844" i="3"/>
  <c r="C844" i="3"/>
  <c r="B844" i="3"/>
  <c r="A844" i="3"/>
  <c r="F843" i="3"/>
  <c r="D843" i="3"/>
  <c r="C843" i="3"/>
  <c r="B843" i="3"/>
  <c r="A843" i="3"/>
  <c r="F842" i="3"/>
  <c r="D842" i="3"/>
  <c r="C842" i="3"/>
  <c r="B842" i="3"/>
  <c r="A842" i="3"/>
  <c r="F841" i="3"/>
  <c r="D841" i="3"/>
  <c r="C841" i="3"/>
  <c r="B841" i="3"/>
  <c r="A841" i="3"/>
  <c r="F840" i="3"/>
  <c r="D840" i="3"/>
  <c r="C840" i="3"/>
  <c r="B840" i="3"/>
  <c r="A840" i="3"/>
  <c r="F839" i="3"/>
  <c r="D839" i="3"/>
  <c r="C839" i="3"/>
  <c r="B839" i="3"/>
  <c r="A839" i="3"/>
  <c r="F838" i="3"/>
  <c r="D838" i="3"/>
  <c r="C838" i="3"/>
  <c r="B838" i="3"/>
  <c r="A838" i="3"/>
  <c r="F837" i="3"/>
  <c r="D837" i="3"/>
  <c r="C837" i="3"/>
  <c r="B837" i="3"/>
  <c r="A837" i="3"/>
  <c r="F836" i="3"/>
  <c r="D836" i="3"/>
  <c r="C836" i="3"/>
  <c r="B836" i="3"/>
  <c r="A836" i="3"/>
  <c r="F835" i="3"/>
  <c r="D835" i="3"/>
  <c r="C835" i="3"/>
  <c r="B835" i="3"/>
  <c r="A835" i="3"/>
  <c r="F834" i="3"/>
  <c r="D834" i="3"/>
  <c r="C834" i="3"/>
  <c r="B834" i="3"/>
  <c r="A834" i="3"/>
  <c r="F833" i="3"/>
  <c r="D833" i="3"/>
  <c r="C833" i="3"/>
  <c r="B833" i="3"/>
  <c r="A833" i="3"/>
  <c r="F832" i="3"/>
  <c r="D832" i="3"/>
  <c r="C832" i="3"/>
  <c r="B832" i="3"/>
  <c r="A832" i="3"/>
  <c r="F831" i="3"/>
  <c r="D831" i="3"/>
  <c r="C831" i="3"/>
  <c r="B831" i="3"/>
  <c r="A831" i="3"/>
  <c r="F830" i="3"/>
  <c r="D830" i="3"/>
  <c r="C830" i="3"/>
  <c r="B830" i="3"/>
  <c r="A830" i="3"/>
  <c r="F829" i="3"/>
  <c r="D829" i="3"/>
  <c r="C829" i="3"/>
  <c r="B829" i="3"/>
  <c r="A829" i="3"/>
  <c r="F828" i="3"/>
  <c r="D828" i="3"/>
  <c r="C828" i="3"/>
  <c r="B828" i="3"/>
  <c r="A828" i="3"/>
  <c r="F827" i="3"/>
  <c r="D827" i="3"/>
  <c r="C827" i="3"/>
  <c r="B827" i="3"/>
  <c r="A827" i="3"/>
  <c r="F826" i="3"/>
  <c r="D826" i="3"/>
  <c r="C826" i="3"/>
  <c r="B826" i="3"/>
  <c r="A826" i="3"/>
  <c r="F825" i="3"/>
  <c r="D825" i="3"/>
  <c r="C825" i="3"/>
  <c r="B825" i="3"/>
  <c r="A825" i="3"/>
  <c r="F824" i="3"/>
  <c r="D824" i="3"/>
  <c r="C824" i="3"/>
  <c r="B824" i="3"/>
  <c r="A824" i="3"/>
  <c r="F823" i="3"/>
  <c r="D823" i="3"/>
  <c r="C823" i="3"/>
  <c r="B823" i="3"/>
  <c r="A823" i="3"/>
  <c r="F822" i="3"/>
  <c r="D822" i="3"/>
  <c r="C822" i="3"/>
  <c r="B822" i="3"/>
  <c r="A822" i="3"/>
  <c r="F821" i="3"/>
  <c r="D821" i="3"/>
  <c r="C821" i="3"/>
  <c r="B821" i="3"/>
  <c r="A821" i="3"/>
  <c r="F820" i="3"/>
  <c r="D820" i="3"/>
  <c r="C820" i="3"/>
  <c r="B820" i="3"/>
  <c r="A820" i="3"/>
  <c r="F819" i="3"/>
  <c r="D819" i="3"/>
  <c r="C819" i="3"/>
  <c r="B819" i="3"/>
  <c r="A819" i="3"/>
  <c r="F818" i="3"/>
  <c r="D818" i="3"/>
  <c r="C818" i="3"/>
  <c r="B818" i="3"/>
  <c r="A818" i="3"/>
  <c r="F817" i="3"/>
  <c r="D817" i="3"/>
  <c r="C817" i="3"/>
  <c r="B817" i="3"/>
  <c r="A817" i="3"/>
  <c r="F816" i="3"/>
  <c r="D816" i="3"/>
  <c r="C816" i="3"/>
  <c r="B816" i="3"/>
  <c r="A816" i="3"/>
  <c r="F815" i="3"/>
  <c r="D815" i="3"/>
  <c r="C815" i="3"/>
  <c r="B815" i="3"/>
  <c r="A815" i="3"/>
  <c r="F814" i="3"/>
  <c r="D814" i="3"/>
  <c r="C814" i="3"/>
  <c r="B814" i="3"/>
  <c r="A814" i="3"/>
  <c r="F813" i="3"/>
  <c r="D813" i="3"/>
  <c r="C813" i="3"/>
  <c r="B813" i="3"/>
  <c r="A813" i="3"/>
  <c r="F812" i="3"/>
  <c r="D812" i="3"/>
  <c r="C812" i="3"/>
  <c r="B812" i="3"/>
  <c r="A812" i="3"/>
  <c r="F811" i="3"/>
  <c r="D811" i="3"/>
  <c r="C811" i="3"/>
  <c r="B811" i="3"/>
  <c r="A811" i="3"/>
  <c r="F810" i="3"/>
  <c r="D810" i="3"/>
  <c r="C810" i="3"/>
  <c r="B810" i="3"/>
  <c r="A810" i="3"/>
  <c r="F809" i="3"/>
  <c r="D809" i="3"/>
  <c r="C809" i="3"/>
  <c r="B809" i="3"/>
  <c r="A809" i="3"/>
  <c r="F808" i="3"/>
  <c r="D808" i="3"/>
  <c r="C808" i="3"/>
  <c r="B808" i="3"/>
  <c r="A808" i="3"/>
  <c r="F807" i="3"/>
  <c r="D807" i="3"/>
  <c r="C807" i="3"/>
  <c r="B807" i="3"/>
  <c r="A807" i="3"/>
  <c r="F806" i="3"/>
  <c r="D806" i="3"/>
  <c r="C806" i="3"/>
  <c r="B806" i="3"/>
  <c r="A806" i="3"/>
  <c r="F805" i="3"/>
  <c r="D805" i="3"/>
  <c r="C805" i="3"/>
  <c r="B805" i="3"/>
  <c r="A805" i="3"/>
  <c r="F804" i="3"/>
  <c r="D804" i="3"/>
  <c r="C804" i="3"/>
  <c r="B804" i="3"/>
  <c r="A804" i="3"/>
  <c r="F803" i="3"/>
  <c r="D803" i="3"/>
  <c r="C803" i="3"/>
  <c r="B803" i="3"/>
  <c r="A803" i="3"/>
  <c r="F802" i="3"/>
  <c r="D802" i="3"/>
  <c r="C802" i="3"/>
  <c r="B802" i="3"/>
  <c r="A802" i="3"/>
  <c r="F801" i="3"/>
  <c r="D801" i="3"/>
  <c r="C801" i="3"/>
  <c r="B801" i="3"/>
  <c r="A801" i="3"/>
  <c r="F800" i="3"/>
  <c r="D800" i="3"/>
  <c r="C800" i="3"/>
  <c r="B800" i="3"/>
  <c r="A800" i="3"/>
  <c r="F799" i="3"/>
  <c r="D799" i="3"/>
  <c r="C799" i="3"/>
  <c r="B799" i="3"/>
  <c r="A799" i="3"/>
  <c r="F798" i="3"/>
  <c r="D798" i="3"/>
  <c r="C798" i="3"/>
  <c r="B798" i="3"/>
  <c r="A798" i="3"/>
  <c r="F797" i="3"/>
  <c r="D797" i="3"/>
  <c r="C797" i="3"/>
  <c r="B797" i="3"/>
  <c r="A797" i="3"/>
  <c r="F796" i="3"/>
  <c r="D796" i="3"/>
  <c r="C796" i="3"/>
  <c r="B796" i="3"/>
  <c r="A796" i="3"/>
  <c r="F795" i="3"/>
  <c r="D795" i="3"/>
  <c r="C795" i="3"/>
  <c r="B795" i="3"/>
  <c r="A795" i="3"/>
  <c r="F794" i="3"/>
  <c r="D794" i="3"/>
  <c r="C794" i="3"/>
  <c r="B794" i="3"/>
  <c r="A794" i="3"/>
  <c r="F793" i="3"/>
  <c r="D793" i="3"/>
  <c r="C793" i="3"/>
  <c r="B793" i="3"/>
  <c r="A793" i="3"/>
  <c r="F792" i="3"/>
  <c r="D792" i="3"/>
  <c r="C792" i="3"/>
  <c r="B792" i="3"/>
  <c r="A792" i="3"/>
  <c r="F791" i="3"/>
  <c r="D791" i="3"/>
  <c r="C791" i="3"/>
  <c r="B791" i="3"/>
  <c r="A791" i="3"/>
  <c r="F790" i="3"/>
  <c r="D790" i="3"/>
  <c r="C790" i="3"/>
  <c r="B790" i="3"/>
  <c r="A790" i="3"/>
  <c r="F789" i="3"/>
  <c r="D789" i="3"/>
  <c r="C789" i="3"/>
  <c r="B789" i="3"/>
  <c r="A789" i="3"/>
  <c r="F788" i="3"/>
  <c r="D788" i="3"/>
  <c r="C788" i="3"/>
  <c r="B788" i="3"/>
  <c r="A788" i="3"/>
  <c r="F787" i="3"/>
  <c r="D787" i="3"/>
  <c r="C787" i="3"/>
  <c r="B787" i="3"/>
  <c r="A787" i="3"/>
  <c r="F786" i="3"/>
  <c r="D786" i="3"/>
  <c r="C786" i="3"/>
  <c r="B786" i="3"/>
  <c r="A786" i="3"/>
  <c r="F785" i="3"/>
  <c r="D785" i="3"/>
  <c r="C785" i="3"/>
  <c r="B785" i="3"/>
  <c r="A785" i="3"/>
  <c r="F784" i="3"/>
  <c r="D784" i="3"/>
  <c r="C784" i="3"/>
  <c r="B784" i="3"/>
  <c r="A784" i="3"/>
  <c r="F783" i="3"/>
  <c r="D783" i="3"/>
  <c r="C783" i="3"/>
  <c r="B783" i="3"/>
  <c r="A783" i="3"/>
  <c r="F782" i="3"/>
  <c r="D782" i="3"/>
  <c r="C782" i="3"/>
  <c r="B782" i="3"/>
  <c r="A782" i="3"/>
  <c r="F781" i="3"/>
  <c r="D781" i="3"/>
  <c r="C781" i="3"/>
  <c r="B781" i="3"/>
  <c r="A781" i="3"/>
  <c r="F780" i="3"/>
  <c r="D780" i="3"/>
  <c r="C780" i="3"/>
  <c r="B780" i="3"/>
  <c r="A780" i="3"/>
  <c r="F779" i="3"/>
  <c r="D779" i="3"/>
  <c r="C779" i="3"/>
  <c r="B779" i="3"/>
  <c r="A779" i="3"/>
  <c r="F778" i="3"/>
  <c r="D778" i="3"/>
  <c r="C778" i="3"/>
  <c r="B778" i="3"/>
  <c r="A778" i="3"/>
  <c r="F777" i="3"/>
  <c r="D777" i="3"/>
  <c r="C777" i="3"/>
  <c r="B777" i="3"/>
  <c r="A777" i="3"/>
  <c r="F776" i="3"/>
  <c r="D776" i="3"/>
  <c r="C776" i="3"/>
  <c r="B776" i="3"/>
  <c r="A776" i="3"/>
  <c r="F775" i="3"/>
  <c r="D775" i="3"/>
  <c r="C775" i="3"/>
  <c r="B775" i="3"/>
  <c r="A775" i="3"/>
  <c r="F774" i="3"/>
  <c r="D774" i="3"/>
  <c r="C774" i="3"/>
  <c r="B774" i="3"/>
  <c r="A774" i="3"/>
  <c r="F773" i="3"/>
  <c r="D773" i="3"/>
  <c r="C773" i="3"/>
  <c r="B773" i="3"/>
  <c r="A773" i="3"/>
  <c r="F772" i="3"/>
  <c r="D772" i="3"/>
  <c r="C772" i="3"/>
  <c r="B772" i="3"/>
  <c r="A772" i="3"/>
  <c r="F771" i="3"/>
  <c r="D771" i="3"/>
  <c r="C771" i="3"/>
  <c r="B771" i="3"/>
  <c r="A771" i="3"/>
  <c r="F770" i="3"/>
  <c r="D770" i="3"/>
  <c r="C770" i="3"/>
  <c r="B770" i="3"/>
  <c r="A770" i="3"/>
  <c r="F769" i="3"/>
  <c r="D769" i="3"/>
  <c r="C769" i="3"/>
  <c r="B769" i="3"/>
  <c r="A769" i="3"/>
  <c r="F768" i="3"/>
  <c r="D768" i="3"/>
  <c r="C768" i="3"/>
  <c r="B768" i="3"/>
  <c r="A768" i="3"/>
  <c r="F767" i="3"/>
  <c r="D767" i="3"/>
  <c r="C767" i="3"/>
  <c r="B767" i="3"/>
  <c r="A767" i="3"/>
  <c r="F766" i="3"/>
  <c r="D766" i="3"/>
  <c r="C766" i="3"/>
  <c r="B766" i="3"/>
  <c r="A766" i="3"/>
  <c r="F765" i="3"/>
  <c r="D765" i="3"/>
  <c r="C765" i="3"/>
  <c r="B765" i="3"/>
  <c r="A765" i="3"/>
  <c r="F764" i="3"/>
  <c r="D764" i="3"/>
  <c r="C764" i="3"/>
  <c r="B764" i="3"/>
  <c r="A764" i="3"/>
  <c r="F763" i="3"/>
  <c r="D763" i="3"/>
  <c r="C763" i="3"/>
  <c r="B763" i="3"/>
  <c r="A763" i="3"/>
  <c r="F762" i="3"/>
  <c r="D762" i="3"/>
  <c r="C762" i="3"/>
  <c r="B762" i="3"/>
  <c r="A762" i="3"/>
  <c r="F761" i="3"/>
  <c r="D761" i="3"/>
  <c r="C761" i="3"/>
  <c r="B761" i="3"/>
  <c r="A761" i="3"/>
  <c r="F760" i="3"/>
  <c r="D760" i="3"/>
  <c r="C760" i="3"/>
  <c r="B760" i="3"/>
  <c r="A760" i="3"/>
  <c r="F759" i="3"/>
  <c r="D759" i="3"/>
  <c r="C759" i="3"/>
  <c r="B759" i="3"/>
  <c r="A759" i="3"/>
  <c r="F758" i="3"/>
  <c r="D758" i="3"/>
  <c r="C758" i="3"/>
  <c r="B758" i="3"/>
  <c r="A758" i="3"/>
  <c r="F757" i="3"/>
  <c r="D757" i="3"/>
  <c r="C757" i="3"/>
  <c r="B757" i="3"/>
  <c r="A757" i="3"/>
  <c r="F756" i="3"/>
  <c r="D756" i="3"/>
  <c r="C756" i="3"/>
  <c r="B756" i="3"/>
  <c r="A756" i="3"/>
  <c r="F755" i="3"/>
  <c r="D755" i="3"/>
  <c r="C755" i="3"/>
  <c r="B755" i="3"/>
  <c r="A755" i="3"/>
  <c r="F754" i="3"/>
  <c r="D754" i="3"/>
  <c r="C754" i="3"/>
  <c r="B754" i="3"/>
  <c r="A754" i="3"/>
  <c r="F753" i="3"/>
  <c r="D753" i="3"/>
  <c r="C753" i="3"/>
  <c r="B753" i="3"/>
  <c r="A753" i="3"/>
  <c r="F752" i="3"/>
  <c r="D752" i="3"/>
  <c r="C752" i="3"/>
  <c r="B752" i="3"/>
  <c r="A752" i="3"/>
  <c r="F751" i="3"/>
  <c r="D751" i="3"/>
  <c r="C751" i="3"/>
  <c r="B751" i="3"/>
  <c r="A751" i="3"/>
  <c r="F750" i="3"/>
  <c r="D750" i="3"/>
  <c r="C750" i="3"/>
  <c r="B750" i="3"/>
  <c r="A750" i="3"/>
  <c r="F749" i="3"/>
  <c r="D749" i="3"/>
  <c r="C749" i="3"/>
  <c r="B749" i="3"/>
  <c r="A749" i="3"/>
  <c r="F748" i="3"/>
  <c r="D748" i="3"/>
  <c r="C748" i="3"/>
  <c r="B748" i="3"/>
  <c r="A748" i="3"/>
  <c r="F747" i="3"/>
  <c r="D747" i="3"/>
  <c r="C747" i="3"/>
  <c r="B747" i="3"/>
  <c r="A747" i="3"/>
  <c r="F746" i="3"/>
  <c r="D746" i="3"/>
  <c r="C746" i="3"/>
  <c r="B746" i="3"/>
  <c r="A746" i="3"/>
  <c r="F745" i="3"/>
  <c r="D745" i="3"/>
  <c r="C745" i="3"/>
  <c r="B745" i="3"/>
  <c r="A745" i="3"/>
  <c r="F744" i="3"/>
  <c r="D744" i="3"/>
  <c r="C744" i="3"/>
  <c r="B744" i="3"/>
  <c r="A744" i="3"/>
  <c r="F743" i="3"/>
  <c r="D743" i="3"/>
  <c r="C743" i="3"/>
  <c r="B743" i="3"/>
  <c r="A743" i="3"/>
  <c r="F742" i="3"/>
  <c r="D742" i="3"/>
  <c r="C742" i="3"/>
  <c r="B742" i="3"/>
  <c r="A742" i="3"/>
  <c r="F741" i="3"/>
  <c r="D741" i="3"/>
  <c r="C741" i="3"/>
  <c r="B741" i="3"/>
  <c r="A741" i="3"/>
  <c r="F740" i="3"/>
  <c r="D740" i="3"/>
  <c r="C740" i="3"/>
  <c r="B740" i="3"/>
  <c r="A740" i="3"/>
  <c r="F739" i="3"/>
  <c r="D739" i="3"/>
  <c r="C739" i="3"/>
  <c r="B739" i="3"/>
  <c r="A739" i="3"/>
  <c r="F738" i="3"/>
  <c r="D738" i="3"/>
  <c r="C738" i="3"/>
  <c r="B738" i="3"/>
  <c r="A738" i="3"/>
  <c r="F737" i="3"/>
  <c r="D737" i="3"/>
  <c r="C737" i="3"/>
  <c r="B737" i="3"/>
  <c r="A737" i="3"/>
  <c r="F736" i="3"/>
  <c r="D736" i="3"/>
  <c r="C736" i="3"/>
  <c r="B736" i="3"/>
  <c r="A736" i="3"/>
  <c r="F735" i="3"/>
  <c r="D735" i="3"/>
  <c r="C735" i="3"/>
  <c r="B735" i="3"/>
  <c r="A735" i="3"/>
  <c r="F734" i="3"/>
  <c r="D734" i="3"/>
  <c r="C734" i="3"/>
  <c r="B734" i="3"/>
  <c r="A734" i="3"/>
  <c r="F733" i="3"/>
  <c r="D733" i="3"/>
  <c r="C733" i="3"/>
  <c r="B733" i="3"/>
  <c r="A733" i="3"/>
  <c r="F732" i="3"/>
  <c r="D732" i="3"/>
  <c r="C732" i="3"/>
  <c r="B732" i="3"/>
  <c r="A732" i="3"/>
  <c r="F731" i="3"/>
  <c r="D731" i="3"/>
  <c r="C731" i="3"/>
  <c r="B731" i="3"/>
  <c r="A731" i="3"/>
  <c r="F730" i="3"/>
  <c r="D730" i="3"/>
  <c r="C730" i="3"/>
  <c r="B730" i="3"/>
  <c r="A730" i="3"/>
  <c r="F729" i="3"/>
  <c r="D729" i="3"/>
  <c r="C729" i="3"/>
  <c r="B729" i="3"/>
  <c r="A729" i="3"/>
  <c r="F728" i="3"/>
  <c r="D728" i="3"/>
  <c r="C728" i="3"/>
  <c r="B728" i="3"/>
  <c r="A728" i="3"/>
  <c r="F727" i="3"/>
  <c r="D727" i="3"/>
  <c r="C727" i="3"/>
  <c r="B727" i="3"/>
  <c r="A727" i="3"/>
  <c r="F726" i="3"/>
  <c r="D726" i="3"/>
  <c r="C726" i="3"/>
  <c r="B726" i="3"/>
  <c r="A726" i="3"/>
  <c r="F725" i="3"/>
  <c r="D725" i="3"/>
  <c r="C725" i="3"/>
  <c r="B725" i="3"/>
  <c r="A725" i="3"/>
  <c r="F724" i="3"/>
  <c r="D724" i="3"/>
  <c r="C724" i="3"/>
  <c r="B724" i="3"/>
  <c r="A724" i="3"/>
  <c r="F723" i="3"/>
  <c r="D723" i="3"/>
  <c r="C723" i="3"/>
  <c r="B723" i="3"/>
  <c r="A723" i="3"/>
  <c r="F722" i="3"/>
  <c r="D722" i="3"/>
  <c r="C722" i="3"/>
  <c r="B722" i="3"/>
  <c r="A722" i="3"/>
  <c r="F721" i="3"/>
  <c r="D721" i="3"/>
  <c r="C721" i="3"/>
  <c r="B721" i="3"/>
  <c r="A721" i="3"/>
  <c r="F720" i="3"/>
  <c r="D720" i="3"/>
  <c r="C720" i="3"/>
  <c r="B720" i="3"/>
  <c r="A720" i="3"/>
  <c r="F719" i="3"/>
  <c r="D719" i="3"/>
  <c r="C719" i="3"/>
  <c r="B719" i="3"/>
  <c r="A719" i="3"/>
  <c r="F718" i="3"/>
  <c r="D718" i="3"/>
  <c r="C718" i="3"/>
  <c r="B718" i="3"/>
  <c r="A718" i="3"/>
  <c r="F717" i="3"/>
  <c r="D717" i="3"/>
  <c r="C717" i="3"/>
  <c r="B717" i="3"/>
  <c r="A717" i="3"/>
  <c r="F716" i="3"/>
  <c r="D716" i="3"/>
  <c r="C716" i="3"/>
  <c r="B716" i="3"/>
  <c r="A716" i="3"/>
  <c r="F715" i="3"/>
  <c r="D715" i="3"/>
  <c r="C715" i="3"/>
  <c r="B715" i="3"/>
  <c r="A715" i="3"/>
  <c r="F714" i="3"/>
  <c r="D714" i="3"/>
  <c r="C714" i="3"/>
  <c r="B714" i="3"/>
  <c r="A714" i="3"/>
  <c r="F713" i="3"/>
  <c r="D713" i="3"/>
  <c r="C713" i="3"/>
  <c r="B713" i="3"/>
  <c r="A713" i="3"/>
  <c r="F712" i="3"/>
  <c r="D712" i="3"/>
  <c r="C712" i="3"/>
  <c r="B712" i="3"/>
  <c r="A712" i="3"/>
  <c r="F711" i="3"/>
  <c r="D711" i="3"/>
  <c r="C711" i="3"/>
  <c r="B711" i="3"/>
  <c r="A711" i="3"/>
  <c r="F710" i="3"/>
  <c r="D710" i="3"/>
  <c r="C710" i="3"/>
  <c r="B710" i="3"/>
  <c r="A710" i="3"/>
  <c r="F709" i="3"/>
  <c r="D709" i="3"/>
  <c r="C709" i="3"/>
  <c r="B709" i="3"/>
  <c r="A709" i="3"/>
  <c r="F708" i="3"/>
  <c r="D708" i="3"/>
  <c r="C708" i="3"/>
  <c r="B708" i="3"/>
  <c r="A708" i="3"/>
  <c r="F707" i="3"/>
  <c r="D707" i="3"/>
  <c r="C707" i="3"/>
  <c r="B707" i="3"/>
  <c r="A707" i="3"/>
  <c r="F706" i="3"/>
  <c r="D706" i="3"/>
  <c r="C706" i="3"/>
  <c r="B706" i="3"/>
  <c r="A706" i="3"/>
  <c r="F705" i="3"/>
  <c r="D705" i="3"/>
  <c r="C705" i="3"/>
  <c r="B705" i="3"/>
  <c r="A705" i="3"/>
  <c r="F704" i="3"/>
  <c r="D704" i="3"/>
  <c r="C704" i="3"/>
  <c r="B704" i="3"/>
  <c r="A704" i="3"/>
  <c r="F703" i="3"/>
  <c r="D703" i="3"/>
  <c r="C703" i="3"/>
  <c r="B703" i="3"/>
  <c r="A703" i="3"/>
  <c r="F695" i="3"/>
  <c r="D695" i="3"/>
  <c r="C695" i="3"/>
  <c r="B695" i="3"/>
  <c r="A695" i="3"/>
  <c r="F694" i="3"/>
  <c r="D694" i="3"/>
  <c r="C694" i="3"/>
  <c r="B694" i="3"/>
  <c r="A694" i="3"/>
  <c r="F693" i="3"/>
  <c r="D693" i="3"/>
  <c r="C693" i="3"/>
  <c r="B693" i="3"/>
  <c r="A693" i="3"/>
  <c r="F692" i="3"/>
  <c r="D692" i="3"/>
  <c r="C692" i="3"/>
  <c r="B692" i="3"/>
  <c r="A692" i="3"/>
  <c r="F691" i="3"/>
  <c r="D691" i="3"/>
  <c r="C691" i="3"/>
  <c r="B691" i="3"/>
  <c r="A691" i="3"/>
  <c r="F690" i="3"/>
  <c r="D690" i="3"/>
  <c r="C690" i="3"/>
  <c r="B690" i="3"/>
  <c r="A690" i="3"/>
  <c r="F689" i="3"/>
  <c r="D689" i="3"/>
  <c r="C689" i="3"/>
  <c r="B689" i="3"/>
  <c r="A689" i="3"/>
  <c r="F688" i="3"/>
  <c r="D688" i="3"/>
  <c r="C688" i="3"/>
  <c r="B688" i="3"/>
  <c r="A688" i="3"/>
  <c r="F687" i="3"/>
  <c r="D687" i="3"/>
  <c r="C687" i="3"/>
  <c r="B687" i="3"/>
  <c r="A687" i="3"/>
  <c r="F686" i="3"/>
  <c r="D686" i="3"/>
  <c r="C686" i="3"/>
  <c r="B686" i="3"/>
  <c r="A686" i="3"/>
  <c r="F685" i="3"/>
  <c r="D685" i="3"/>
  <c r="C685" i="3"/>
  <c r="B685" i="3"/>
  <c r="A685" i="3"/>
  <c r="F684" i="3"/>
  <c r="D684" i="3"/>
  <c r="C684" i="3"/>
  <c r="B684" i="3"/>
  <c r="A684" i="3"/>
  <c r="F683" i="3"/>
  <c r="D683" i="3"/>
  <c r="C683" i="3"/>
  <c r="B683" i="3"/>
  <c r="A683" i="3"/>
  <c r="F682" i="3"/>
  <c r="D682" i="3"/>
  <c r="C682" i="3"/>
  <c r="B682" i="3"/>
  <c r="A682" i="3"/>
  <c r="F681" i="3"/>
  <c r="D681" i="3"/>
  <c r="C681" i="3"/>
  <c r="B681" i="3"/>
  <c r="A681" i="3"/>
  <c r="F680" i="3"/>
  <c r="D680" i="3"/>
  <c r="C680" i="3"/>
  <c r="B680" i="3"/>
  <c r="A680" i="3"/>
  <c r="F679" i="3"/>
  <c r="D679" i="3"/>
  <c r="C679" i="3"/>
  <c r="B679" i="3"/>
  <c r="A679" i="3"/>
  <c r="F678" i="3"/>
  <c r="D678" i="3"/>
  <c r="C678" i="3"/>
  <c r="B678" i="3"/>
  <c r="A678" i="3"/>
  <c r="F677" i="3"/>
  <c r="D677" i="3"/>
  <c r="C677" i="3"/>
  <c r="B677" i="3"/>
  <c r="A677" i="3"/>
  <c r="F675" i="3"/>
  <c r="D675" i="3"/>
  <c r="C675" i="3"/>
  <c r="B675" i="3"/>
  <c r="A675" i="3"/>
  <c r="F674" i="3"/>
  <c r="D674" i="3"/>
  <c r="C674" i="3"/>
  <c r="B674" i="3"/>
  <c r="A674" i="3"/>
  <c r="F673" i="3"/>
  <c r="D673" i="3"/>
  <c r="C673" i="3"/>
  <c r="B673" i="3"/>
  <c r="A673" i="3"/>
  <c r="F672" i="3"/>
  <c r="D672" i="3"/>
  <c r="C672" i="3"/>
  <c r="B672" i="3"/>
  <c r="A672" i="3"/>
  <c r="F671" i="3"/>
  <c r="D671" i="3"/>
  <c r="C671" i="3"/>
  <c r="B671" i="3"/>
  <c r="A671" i="3"/>
  <c r="F670" i="3"/>
  <c r="D670" i="3"/>
  <c r="C670" i="3"/>
  <c r="B670" i="3"/>
  <c r="A670" i="3"/>
  <c r="F669" i="3"/>
  <c r="D669" i="3"/>
  <c r="C669" i="3"/>
  <c r="B669" i="3"/>
  <c r="A669" i="3"/>
  <c r="F668" i="3"/>
  <c r="D668" i="3"/>
  <c r="C668" i="3"/>
  <c r="B668" i="3"/>
  <c r="A668" i="3"/>
  <c r="F667" i="3"/>
  <c r="D667" i="3"/>
  <c r="C667" i="3"/>
  <c r="B667" i="3"/>
  <c r="A667" i="3"/>
  <c r="F666" i="3"/>
  <c r="D666" i="3"/>
  <c r="C666" i="3"/>
  <c r="B666" i="3"/>
  <c r="A666" i="3"/>
  <c r="F665" i="3"/>
  <c r="D665" i="3"/>
  <c r="C665" i="3"/>
  <c r="B665" i="3"/>
  <c r="A665" i="3"/>
  <c r="F664" i="3"/>
  <c r="D664" i="3"/>
  <c r="C664" i="3"/>
  <c r="B664" i="3"/>
  <c r="A664" i="3"/>
  <c r="F663" i="3"/>
  <c r="D663" i="3"/>
  <c r="C663" i="3"/>
  <c r="B663" i="3"/>
  <c r="A663" i="3"/>
  <c r="F662" i="3"/>
  <c r="D662" i="3"/>
  <c r="C662" i="3"/>
  <c r="B662" i="3"/>
  <c r="A662" i="3"/>
  <c r="F661" i="3"/>
  <c r="D661" i="3"/>
  <c r="C661" i="3"/>
  <c r="B661" i="3"/>
  <c r="A661" i="3"/>
  <c r="F660" i="3"/>
  <c r="D660" i="3"/>
  <c r="C660" i="3"/>
  <c r="B660" i="3"/>
  <c r="A660" i="3"/>
  <c r="F659" i="3"/>
  <c r="D659" i="3"/>
  <c r="C659" i="3"/>
  <c r="B659" i="3"/>
  <c r="A659" i="3"/>
  <c r="F658" i="3"/>
  <c r="D658" i="3"/>
  <c r="C658" i="3"/>
  <c r="B658" i="3"/>
  <c r="A658" i="3"/>
  <c r="F657" i="3"/>
  <c r="D657" i="3"/>
  <c r="C657" i="3"/>
  <c r="B657" i="3"/>
  <c r="A657" i="3"/>
  <c r="F656" i="3"/>
  <c r="D656" i="3"/>
  <c r="C656" i="3"/>
  <c r="B656" i="3"/>
  <c r="A656" i="3"/>
  <c r="F655" i="3"/>
  <c r="D655" i="3"/>
  <c r="C655" i="3"/>
  <c r="B655" i="3"/>
  <c r="A655" i="3"/>
  <c r="F654" i="3"/>
  <c r="D654" i="3"/>
  <c r="C654" i="3"/>
  <c r="B654" i="3"/>
  <c r="A654" i="3"/>
  <c r="F653" i="3"/>
  <c r="D653" i="3"/>
  <c r="C653" i="3"/>
  <c r="B653" i="3"/>
  <c r="A653" i="3"/>
  <c r="F652" i="3"/>
  <c r="D652" i="3"/>
  <c r="C652" i="3"/>
  <c r="B652" i="3"/>
  <c r="A652" i="3"/>
  <c r="F651" i="3"/>
  <c r="D651" i="3"/>
  <c r="C651" i="3"/>
  <c r="B651" i="3"/>
  <c r="A651" i="3"/>
  <c r="F650" i="3"/>
  <c r="D650" i="3"/>
  <c r="C650" i="3"/>
  <c r="B650" i="3"/>
  <c r="A650" i="3"/>
  <c r="F649" i="3"/>
  <c r="D649" i="3"/>
  <c r="C649" i="3"/>
  <c r="B649" i="3"/>
  <c r="A649" i="3"/>
  <c r="F648" i="3"/>
  <c r="D648" i="3"/>
  <c r="C648" i="3"/>
  <c r="B648" i="3"/>
  <c r="A648" i="3"/>
  <c r="F647" i="3"/>
  <c r="D647" i="3"/>
  <c r="C647" i="3"/>
  <c r="B647" i="3"/>
  <c r="A647" i="3"/>
  <c r="F646" i="3"/>
  <c r="D646" i="3"/>
  <c r="C646" i="3"/>
  <c r="B646" i="3"/>
  <c r="A646" i="3"/>
  <c r="F645" i="3"/>
  <c r="D645" i="3"/>
  <c r="C645" i="3"/>
  <c r="B645" i="3"/>
  <c r="A645" i="3"/>
  <c r="F644" i="3"/>
  <c r="D644" i="3"/>
  <c r="C644" i="3"/>
  <c r="B644" i="3"/>
  <c r="A644" i="3"/>
  <c r="F643" i="3"/>
  <c r="D643" i="3"/>
  <c r="C643" i="3"/>
  <c r="B643" i="3"/>
  <c r="A643" i="3"/>
  <c r="F642" i="3"/>
  <c r="D642" i="3"/>
  <c r="C642" i="3"/>
  <c r="B642" i="3"/>
  <c r="A642" i="3"/>
  <c r="F641" i="3"/>
  <c r="D641" i="3"/>
  <c r="C641" i="3"/>
  <c r="B641" i="3"/>
  <c r="A641" i="3"/>
  <c r="F640" i="3"/>
  <c r="D640" i="3"/>
  <c r="C640" i="3"/>
  <c r="B640" i="3"/>
  <c r="A640" i="3"/>
  <c r="F639" i="3"/>
  <c r="D639" i="3"/>
  <c r="C639" i="3"/>
  <c r="B639" i="3"/>
  <c r="A639" i="3"/>
  <c r="F638" i="3"/>
  <c r="D638" i="3"/>
  <c r="C638" i="3"/>
  <c r="B638" i="3"/>
  <c r="A638" i="3"/>
  <c r="F637" i="3"/>
  <c r="D637" i="3"/>
  <c r="C637" i="3"/>
  <c r="B637" i="3"/>
  <c r="A637" i="3"/>
  <c r="F636" i="3"/>
  <c r="D636" i="3"/>
  <c r="C636" i="3"/>
  <c r="B636" i="3"/>
  <c r="A636" i="3"/>
  <c r="F635" i="3"/>
  <c r="D635" i="3"/>
  <c r="C635" i="3"/>
  <c r="B635" i="3"/>
  <c r="A635" i="3"/>
  <c r="F634" i="3"/>
  <c r="D634" i="3"/>
  <c r="C634" i="3"/>
  <c r="B634" i="3"/>
  <c r="A634" i="3"/>
  <c r="F633" i="3"/>
  <c r="D633" i="3"/>
  <c r="C633" i="3"/>
  <c r="B633" i="3"/>
  <c r="A633" i="3"/>
  <c r="F632" i="3"/>
  <c r="D632" i="3"/>
  <c r="C632" i="3"/>
  <c r="B632" i="3"/>
  <c r="A632" i="3"/>
  <c r="F631" i="3"/>
  <c r="D631" i="3"/>
  <c r="C631" i="3"/>
  <c r="B631" i="3"/>
  <c r="A631" i="3"/>
  <c r="F630" i="3"/>
  <c r="D630" i="3"/>
  <c r="C630" i="3"/>
  <c r="B630" i="3"/>
  <c r="A630" i="3"/>
  <c r="F629" i="3"/>
  <c r="D629" i="3"/>
  <c r="C629" i="3"/>
  <c r="B629" i="3"/>
  <c r="A629" i="3"/>
  <c r="F628" i="3"/>
  <c r="D628" i="3"/>
  <c r="C628" i="3"/>
  <c r="B628" i="3"/>
  <c r="A628" i="3"/>
  <c r="F627" i="3"/>
  <c r="D627" i="3"/>
  <c r="C627" i="3"/>
  <c r="B627" i="3"/>
  <c r="A627" i="3"/>
  <c r="F626" i="3"/>
  <c r="D626" i="3"/>
  <c r="C626" i="3"/>
  <c r="B626" i="3"/>
  <c r="A626" i="3"/>
  <c r="F625" i="3"/>
  <c r="D625" i="3"/>
  <c r="C625" i="3"/>
  <c r="B625" i="3"/>
  <c r="A625" i="3"/>
  <c r="F624" i="3"/>
  <c r="D624" i="3"/>
  <c r="C624" i="3"/>
  <c r="B624" i="3"/>
  <c r="A624" i="3"/>
  <c r="F623" i="3"/>
  <c r="D623" i="3"/>
  <c r="C623" i="3"/>
  <c r="B623" i="3"/>
  <c r="A623" i="3"/>
  <c r="F622" i="3"/>
  <c r="D622" i="3"/>
  <c r="C622" i="3"/>
  <c r="B622" i="3"/>
  <c r="A622" i="3"/>
  <c r="F621" i="3"/>
  <c r="D621" i="3"/>
  <c r="C621" i="3"/>
  <c r="B621" i="3"/>
  <c r="A621" i="3"/>
  <c r="F620" i="3"/>
  <c r="D620" i="3"/>
  <c r="C620" i="3"/>
  <c r="B620" i="3"/>
  <c r="A620" i="3"/>
  <c r="F619" i="3"/>
  <c r="D619" i="3"/>
  <c r="C619" i="3"/>
  <c r="B619" i="3"/>
  <c r="A619" i="3"/>
  <c r="F618" i="3"/>
  <c r="D618" i="3"/>
  <c r="C618" i="3"/>
  <c r="B618" i="3"/>
  <c r="A618" i="3"/>
  <c r="F617" i="3"/>
  <c r="D617" i="3"/>
  <c r="C617" i="3"/>
  <c r="B617" i="3"/>
  <c r="A617" i="3"/>
  <c r="F616" i="3"/>
  <c r="D616" i="3"/>
  <c r="C616" i="3"/>
  <c r="B616" i="3"/>
  <c r="A616" i="3"/>
  <c r="F615" i="3"/>
  <c r="D615" i="3"/>
  <c r="C615" i="3"/>
  <c r="B615" i="3"/>
  <c r="A615" i="3"/>
  <c r="F614" i="3"/>
  <c r="D614" i="3"/>
  <c r="C614" i="3"/>
  <c r="B614" i="3"/>
  <c r="A614" i="3"/>
  <c r="F613" i="3"/>
  <c r="D613" i="3"/>
  <c r="C613" i="3"/>
  <c r="B613" i="3"/>
  <c r="A613" i="3"/>
  <c r="F612" i="3"/>
  <c r="D612" i="3"/>
  <c r="C612" i="3"/>
  <c r="B612" i="3"/>
  <c r="A612" i="3"/>
  <c r="F611" i="3"/>
  <c r="D611" i="3"/>
  <c r="C611" i="3"/>
  <c r="B611" i="3"/>
  <c r="A611" i="3"/>
  <c r="F610" i="3"/>
  <c r="D610" i="3"/>
  <c r="C610" i="3"/>
  <c r="B610" i="3"/>
  <c r="A610" i="3"/>
  <c r="F609" i="3"/>
  <c r="D609" i="3"/>
  <c r="C609" i="3"/>
  <c r="B609" i="3"/>
  <c r="A609" i="3"/>
  <c r="F608" i="3"/>
  <c r="D608" i="3"/>
  <c r="C608" i="3"/>
  <c r="B608" i="3"/>
  <c r="A608" i="3"/>
  <c r="F607" i="3"/>
  <c r="D607" i="3"/>
  <c r="C607" i="3"/>
  <c r="B607" i="3"/>
  <c r="A607" i="3"/>
  <c r="F606" i="3"/>
  <c r="D606" i="3"/>
  <c r="C606" i="3"/>
  <c r="B606" i="3"/>
  <c r="A606" i="3"/>
  <c r="F605" i="3"/>
  <c r="D605" i="3"/>
  <c r="C605" i="3"/>
  <c r="B605" i="3"/>
  <c r="A605" i="3"/>
  <c r="F604" i="3"/>
  <c r="D604" i="3"/>
  <c r="C604" i="3"/>
  <c r="B604" i="3"/>
  <c r="A604" i="3"/>
  <c r="F603" i="3"/>
  <c r="D603" i="3"/>
  <c r="C603" i="3"/>
  <c r="B603" i="3"/>
  <c r="A603" i="3"/>
  <c r="F602" i="3"/>
  <c r="D602" i="3"/>
  <c r="C602" i="3"/>
  <c r="B602" i="3"/>
  <c r="A602" i="3"/>
  <c r="F601" i="3"/>
  <c r="D601" i="3"/>
  <c r="C601" i="3"/>
  <c r="B601" i="3"/>
  <c r="A601" i="3"/>
  <c r="F600" i="3"/>
  <c r="D600" i="3"/>
  <c r="C600" i="3"/>
  <c r="B600" i="3"/>
  <c r="A600" i="3"/>
  <c r="F599" i="3"/>
  <c r="D599" i="3"/>
  <c r="C599" i="3"/>
  <c r="B599" i="3"/>
  <c r="A599" i="3"/>
  <c r="F598" i="3"/>
  <c r="D598" i="3"/>
  <c r="C598" i="3"/>
  <c r="B598" i="3"/>
  <c r="A598" i="3"/>
  <c r="F597" i="3"/>
  <c r="D597" i="3"/>
  <c r="C597" i="3"/>
  <c r="B597" i="3"/>
  <c r="A597" i="3"/>
  <c r="F596" i="3"/>
  <c r="D596" i="3"/>
  <c r="C596" i="3"/>
  <c r="B596" i="3"/>
  <c r="A596" i="3"/>
  <c r="F595" i="3"/>
  <c r="D595" i="3"/>
  <c r="C595" i="3"/>
  <c r="B595" i="3"/>
  <c r="A595" i="3"/>
  <c r="F594" i="3"/>
  <c r="D594" i="3"/>
  <c r="C594" i="3"/>
  <c r="B594" i="3"/>
  <c r="A594" i="3"/>
  <c r="F593" i="3"/>
  <c r="D593" i="3"/>
  <c r="C593" i="3"/>
  <c r="B593" i="3"/>
  <c r="A593" i="3"/>
  <c r="F592" i="3"/>
  <c r="D592" i="3"/>
  <c r="C592" i="3"/>
  <c r="B592" i="3"/>
  <c r="A592" i="3"/>
  <c r="F591" i="3"/>
  <c r="D591" i="3"/>
  <c r="C591" i="3"/>
  <c r="B591" i="3"/>
  <c r="A591" i="3"/>
  <c r="F590" i="3"/>
  <c r="D590" i="3"/>
  <c r="C590" i="3"/>
  <c r="B590" i="3"/>
  <c r="A590" i="3"/>
  <c r="F589" i="3"/>
  <c r="D589" i="3"/>
  <c r="C589" i="3"/>
  <c r="B589" i="3"/>
  <c r="A589" i="3"/>
  <c r="F588" i="3"/>
  <c r="D588" i="3"/>
  <c r="C588" i="3"/>
  <c r="B588" i="3"/>
  <c r="A588" i="3"/>
  <c r="F587" i="3"/>
  <c r="D587" i="3"/>
  <c r="C587" i="3"/>
  <c r="B587" i="3"/>
  <c r="A587" i="3"/>
  <c r="F586" i="3"/>
  <c r="D586" i="3"/>
  <c r="C586" i="3"/>
  <c r="B586" i="3"/>
  <c r="A586" i="3"/>
  <c r="F585" i="3"/>
  <c r="D585" i="3"/>
  <c r="C585" i="3"/>
  <c r="B585" i="3"/>
  <c r="A585" i="3"/>
  <c r="F584" i="3"/>
  <c r="D584" i="3"/>
  <c r="C584" i="3"/>
  <c r="B584" i="3"/>
  <c r="A584" i="3"/>
  <c r="F583" i="3"/>
  <c r="D583" i="3"/>
  <c r="C583" i="3"/>
  <c r="B583" i="3"/>
  <c r="A583" i="3"/>
  <c r="F582" i="3"/>
  <c r="D582" i="3"/>
  <c r="C582" i="3"/>
  <c r="B582" i="3"/>
  <c r="A582" i="3"/>
  <c r="F581" i="3"/>
  <c r="D581" i="3"/>
  <c r="C581" i="3"/>
  <c r="B581" i="3"/>
  <c r="A581" i="3"/>
  <c r="F580" i="3"/>
  <c r="D580" i="3"/>
  <c r="C580" i="3"/>
  <c r="B580" i="3"/>
  <c r="A580" i="3"/>
  <c r="F579" i="3"/>
  <c r="D579" i="3"/>
  <c r="C579" i="3"/>
  <c r="B579" i="3"/>
  <c r="A579" i="3"/>
  <c r="F578" i="3"/>
  <c r="D578" i="3"/>
  <c r="C578" i="3"/>
  <c r="B578" i="3"/>
  <c r="A578" i="3"/>
  <c r="F577" i="3"/>
  <c r="D577" i="3"/>
  <c r="C577" i="3"/>
  <c r="B577" i="3"/>
  <c r="A577" i="3"/>
  <c r="F576" i="3"/>
  <c r="D576" i="3"/>
  <c r="C576" i="3"/>
  <c r="B576" i="3"/>
  <c r="A576" i="3"/>
  <c r="F575" i="3"/>
  <c r="D575" i="3"/>
  <c r="C575" i="3"/>
  <c r="B575" i="3"/>
  <c r="A575" i="3"/>
  <c r="F574" i="3"/>
  <c r="D574" i="3"/>
  <c r="C574" i="3"/>
  <c r="B574" i="3"/>
  <c r="A574" i="3"/>
  <c r="F573" i="3"/>
  <c r="D573" i="3"/>
  <c r="C573" i="3"/>
  <c r="B573" i="3"/>
  <c r="A573" i="3"/>
  <c r="F572" i="3"/>
  <c r="D572" i="3"/>
  <c r="C572" i="3"/>
  <c r="B572" i="3"/>
  <c r="A572" i="3"/>
  <c r="F571" i="3"/>
  <c r="D571" i="3"/>
  <c r="C571" i="3"/>
  <c r="B571" i="3"/>
  <c r="A571" i="3"/>
  <c r="F570" i="3"/>
  <c r="D570" i="3"/>
  <c r="C570" i="3"/>
  <c r="B570" i="3"/>
  <c r="A570" i="3"/>
  <c r="F569" i="3"/>
  <c r="D569" i="3"/>
  <c r="C569" i="3"/>
  <c r="B569" i="3"/>
  <c r="A569" i="3"/>
  <c r="F568" i="3"/>
  <c r="D568" i="3"/>
  <c r="C568" i="3"/>
  <c r="B568" i="3"/>
  <c r="A568" i="3"/>
  <c r="F567" i="3"/>
  <c r="D567" i="3"/>
  <c r="C567" i="3"/>
  <c r="B567" i="3"/>
  <c r="A567" i="3"/>
  <c r="F566" i="3"/>
  <c r="D566" i="3"/>
  <c r="C566" i="3"/>
  <c r="B566" i="3"/>
  <c r="A566" i="3"/>
  <c r="F565" i="3"/>
  <c r="D565" i="3"/>
  <c r="C565" i="3"/>
  <c r="B565" i="3"/>
  <c r="A565" i="3"/>
  <c r="F564" i="3"/>
  <c r="D564" i="3"/>
  <c r="C564" i="3"/>
  <c r="B564" i="3"/>
  <c r="A564" i="3"/>
  <c r="F563" i="3"/>
  <c r="D563" i="3"/>
  <c r="C563" i="3"/>
  <c r="B563" i="3"/>
  <c r="A563" i="3"/>
  <c r="F562" i="3"/>
  <c r="D562" i="3"/>
  <c r="C562" i="3"/>
  <c r="B562" i="3"/>
  <c r="A562" i="3"/>
  <c r="F561" i="3"/>
  <c r="D561" i="3"/>
  <c r="C561" i="3"/>
  <c r="B561" i="3"/>
  <c r="A561" i="3"/>
  <c r="F560" i="3"/>
  <c r="D560" i="3"/>
  <c r="C560" i="3"/>
  <c r="B560" i="3"/>
  <c r="A560" i="3"/>
  <c r="F559" i="3"/>
  <c r="D559" i="3"/>
  <c r="C559" i="3"/>
  <c r="B559" i="3"/>
  <c r="A559" i="3"/>
  <c r="F558" i="3"/>
  <c r="D558" i="3"/>
  <c r="C558" i="3"/>
  <c r="B558" i="3"/>
  <c r="A558" i="3"/>
  <c r="F557" i="3"/>
  <c r="D557" i="3"/>
  <c r="C557" i="3"/>
  <c r="B557" i="3"/>
  <c r="A557" i="3"/>
  <c r="F556" i="3"/>
  <c r="D556" i="3"/>
  <c r="C556" i="3"/>
  <c r="B556" i="3"/>
  <c r="A556" i="3"/>
  <c r="F555" i="3"/>
  <c r="D555" i="3"/>
  <c r="C555" i="3"/>
  <c r="B555" i="3"/>
  <c r="A555" i="3"/>
  <c r="F554" i="3"/>
  <c r="D554" i="3"/>
  <c r="C554" i="3"/>
  <c r="B554" i="3"/>
  <c r="A554" i="3"/>
  <c r="F553" i="3"/>
  <c r="D553" i="3"/>
  <c r="C553" i="3"/>
  <c r="B553" i="3"/>
  <c r="A553" i="3"/>
  <c r="F552" i="3"/>
  <c r="D552" i="3"/>
  <c r="C552" i="3"/>
  <c r="B552" i="3"/>
  <c r="A552" i="3"/>
  <c r="F551" i="3"/>
  <c r="D551" i="3"/>
  <c r="C551" i="3"/>
  <c r="B551" i="3"/>
  <c r="A551" i="3"/>
  <c r="F550" i="3"/>
  <c r="D550" i="3"/>
  <c r="C550" i="3"/>
  <c r="B550" i="3"/>
  <c r="A550" i="3"/>
  <c r="F549" i="3"/>
  <c r="D549" i="3"/>
  <c r="C549" i="3"/>
  <c r="B549" i="3"/>
  <c r="A549" i="3"/>
  <c r="F548" i="3"/>
  <c r="D548" i="3"/>
  <c r="C548" i="3"/>
  <c r="B548" i="3"/>
  <c r="A548" i="3"/>
  <c r="F547" i="3"/>
  <c r="D547" i="3"/>
  <c r="C547" i="3"/>
  <c r="B547" i="3"/>
  <c r="A547" i="3"/>
  <c r="F546" i="3"/>
  <c r="D546" i="3"/>
  <c r="C546" i="3"/>
  <c r="B546" i="3"/>
  <c r="A546" i="3"/>
  <c r="F545" i="3"/>
  <c r="D545" i="3"/>
  <c r="C545" i="3"/>
  <c r="B545" i="3"/>
  <c r="A545" i="3"/>
  <c r="F544" i="3"/>
  <c r="D544" i="3"/>
  <c r="C544" i="3"/>
  <c r="B544" i="3"/>
  <c r="A544" i="3"/>
  <c r="F543" i="3"/>
  <c r="D543" i="3"/>
  <c r="C543" i="3"/>
  <c r="B543" i="3"/>
  <c r="A543" i="3"/>
  <c r="F542" i="3"/>
  <c r="D542" i="3"/>
  <c r="C542" i="3"/>
  <c r="B542" i="3"/>
  <c r="A542" i="3"/>
  <c r="F541" i="3"/>
  <c r="D541" i="3"/>
  <c r="C541" i="3"/>
  <c r="B541" i="3"/>
  <c r="A541" i="3"/>
  <c r="F540" i="3"/>
  <c r="D540" i="3"/>
  <c r="C540" i="3"/>
  <c r="B540" i="3"/>
  <c r="A540" i="3"/>
  <c r="F539" i="3"/>
  <c r="D539" i="3"/>
  <c r="C539" i="3"/>
  <c r="B539" i="3"/>
  <c r="A539" i="3"/>
  <c r="F538" i="3"/>
  <c r="D538" i="3"/>
  <c r="C538" i="3"/>
  <c r="B538" i="3"/>
  <c r="A538" i="3"/>
  <c r="F537" i="3"/>
  <c r="D537" i="3"/>
  <c r="C537" i="3"/>
  <c r="B537" i="3"/>
  <c r="A537" i="3"/>
  <c r="F536" i="3"/>
  <c r="D536" i="3"/>
  <c r="C536" i="3"/>
  <c r="B536" i="3"/>
  <c r="A536" i="3"/>
  <c r="F535" i="3"/>
  <c r="D535" i="3"/>
  <c r="C535" i="3"/>
  <c r="B535" i="3"/>
  <c r="A535" i="3"/>
  <c r="F534" i="3"/>
  <c r="D534" i="3"/>
  <c r="C534" i="3"/>
  <c r="B534" i="3"/>
  <c r="A534" i="3"/>
  <c r="F533" i="3"/>
  <c r="D533" i="3"/>
  <c r="C533" i="3"/>
  <c r="B533" i="3"/>
  <c r="A533" i="3"/>
  <c r="F532" i="3"/>
  <c r="D532" i="3"/>
  <c r="C532" i="3"/>
  <c r="B532" i="3"/>
  <c r="A532" i="3"/>
  <c r="F531" i="3"/>
  <c r="D531" i="3"/>
  <c r="C531" i="3"/>
  <c r="B531" i="3"/>
  <c r="A531" i="3"/>
  <c r="F530" i="3"/>
  <c r="D530" i="3"/>
  <c r="C530" i="3"/>
  <c r="B530" i="3"/>
  <c r="A530" i="3"/>
  <c r="F529" i="3"/>
  <c r="D529" i="3"/>
  <c r="C529" i="3"/>
  <c r="B529" i="3"/>
  <c r="A529" i="3"/>
  <c r="F528" i="3"/>
  <c r="D528" i="3"/>
  <c r="C528" i="3"/>
  <c r="B528" i="3"/>
  <c r="A528" i="3"/>
  <c r="F527" i="3"/>
  <c r="D527" i="3"/>
  <c r="C527" i="3"/>
  <c r="B527" i="3"/>
  <c r="A527" i="3"/>
  <c r="F526" i="3"/>
  <c r="D526" i="3"/>
  <c r="C526" i="3"/>
  <c r="B526" i="3"/>
  <c r="A526" i="3"/>
  <c r="F525" i="3"/>
  <c r="D525" i="3"/>
  <c r="C525" i="3"/>
  <c r="B525" i="3"/>
  <c r="A525" i="3"/>
  <c r="F524" i="3"/>
  <c r="D524" i="3"/>
  <c r="C524" i="3"/>
  <c r="B524" i="3"/>
  <c r="A524" i="3"/>
  <c r="F523" i="3"/>
  <c r="D523" i="3"/>
  <c r="C523" i="3"/>
  <c r="B523" i="3"/>
  <c r="A523" i="3"/>
  <c r="F522" i="3"/>
  <c r="D522" i="3"/>
  <c r="C522" i="3"/>
  <c r="B522" i="3"/>
  <c r="A522" i="3"/>
  <c r="F521" i="3"/>
  <c r="D521" i="3"/>
  <c r="C521" i="3"/>
  <c r="B521" i="3"/>
  <c r="A521" i="3"/>
  <c r="F520" i="3"/>
  <c r="D520" i="3"/>
  <c r="C520" i="3"/>
  <c r="B520" i="3"/>
  <c r="A520" i="3"/>
  <c r="F519" i="3"/>
  <c r="D519" i="3"/>
  <c r="C519" i="3"/>
  <c r="B519" i="3"/>
  <c r="A519" i="3"/>
  <c r="F518" i="3"/>
  <c r="D518" i="3"/>
  <c r="C518" i="3"/>
  <c r="B518" i="3"/>
  <c r="A518" i="3"/>
  <c r="F517" i="3"/>
  <c r="D517" i="3"/>
  <c r="C517" i="3"/>
  <c r="B517" i="3"/>
  <c r="A517" i="3"/>
  <c r="F516" i="3"/>
  <c r="D516" i="3"/>
  <c r="C516" i="3"/>
  <c r="B516" i="3"/>
  <c r="A516" i="3"/>
  <c r="F515" i="3"/>
  <c r="D515" i="3"/>
  <c r="C515" i="3"/>
  <c r="B515" i="3"/>
  <c r="A515" i="3"/>
  <c r="F514" i="3"/>
  <c r="D514" i="3"/>
  <c r="C514" i="3"/>
  <c r="B514" i="3"/>
  <c r="A514" i="3"/>
  <c r="F513" i="3"/>
  <c r="D513" i="3"/>
  <c r="C513" i="3"/>
  <c r="B513" i="3"/>
  <c r="A513" i="3"/>
  <c r="F512" i="3"/>
  <c r="D512" i="3"/>
  <c r="C512" i="3"/>
  <c r="B512" i="3"/>
  <c r="A512" i="3"/>
  <c r="F511" i="3"/>
  <c r="D511" i="3"/>
  <c r="C511" i="3"/>
  <c r="B511" i="3"/>
  <c r="A511" i="3"/>
  <c r="F510" i="3"/>
  <c r="D510" i="3"/>
  <c r="C510" i="3"/>
  <c r="B510" i="3"/>
  <c r="A510" i="3"/>
  <c r="F509" i="3"/>
  <c r="D509" i="3"/>
  <c r="C509" i="3"/>
  <c r="B509" i="3"/>
  <c r="A509" i="3"/>
  <c r="F508" i="3"/>
  <c r="D508" i="3"/>
  <c r="C508" i="3"/>
  <c r="B508" i="3"/>
  <c r="A508" i="3"/>
  <c r="F507" i="3"/>
  <c r="D507" i="3"/>
  <c r="C507" i="3"/>
  <c r="B507" i="3"/>
  <c r="A507" i="3"/>
  <c r="F506" i="3"/>
  <c r="D506" i="3"/>
  <c r="C506" i="3"/>
  <c r="B506" i="3"/>
  <c r="A506" i="3"/>
  <c r="F505" i="3"/>
  <c r="D505" i="3"/>
  <c r="C505" i="3"/>
  <c r="B505" i="3"/>
  <c r="A505" i="3"/>
  <c r="F504" i="3"/>
  <c r="D504" i="3"/>
  <c r="C504" i="3"/>
  <c r="B504" i="3"/>
  <c r="A504" i="3"/>
  <c r="F503" i="3"/>
  <c r="D503" i="3"/>
  <c r="C503" i="3"/>
  <c r="B503" i="3"/>
  <c r="A503" i="3"/>
  <c r="F502" i="3"/>
  <c r="D502" i="3"/>
  <c r="C502" i="3"/>
  <c r="B502" i="3"/>
  <c r="A502" i="3"/>
  <c r="F501" i="3"/>
  <c r="D501" i="3"/>
  <c r="C501" i="3"/>
  <c r="B501" i="3"/>
  <c r="A501" i="3"/>
  <c r="F500" i="3"/>
  <c r="D500" i="3"/>
  <c r="C500" i="3"/>
  <c r="B500" i="3"/>
  <c r="A500" i="3"/>
  <c r="F499" i="3"/>
  <c r="D499" i="3"/>
  <c r="C499" i="3"/>
  <c r="B499" i="3"/>
  <c r="A499" i="3"/>
  <c r="F498" i="3"/>
  <c r="D498" i="3"/>
  <c r="C498" i="3"/>
  <c r="B498" i="3"/>
  <c r="A498" i="3"/>
  <c r="F497" i="3"/>
  <c r="D497" i="3"/>
  <c r="C497" i="3"/>
  <c r="B497" i="3"/>
  <c r="A497" i="3"/>
  <c r="F496" i="3"/>
  <c r="D496" i="3"/>
  <c r="C496" i="3"/>
  <c r="B496" i="3"/>
  <c r="A496" i="3"/>
  <c r="F495" i="3"/>
  <c r="D495" i="3"/>
  <c r="C495" i="3"/>
  <c r="B495" i="3"/>
  <c r="A495" i="3"/>
  <c r="F494" i="3"/>
  <c r="D494" i="3"/>
  <c r="C494" i="3"/>
  <c r="B494" i="3"/>
  <c r="A494" i="3"/>
  <c r="F493" i="3"/>
  <c r="D493" i="3"/>
  <c r="C493" i="3"/>
  <c r="B493" i="3"/>
  <c r="A493" i="3"/>
  <c r="F492" i="3"/>
  <c r="D492" i="3"/>
  <c r="C492" i="3"/>
  <c r="B492" i="3"/>
  <c r="A492" i="3"/>
  <c r="F491" i="3"/>
  <c r="D491" i="3"/>
  <c r="C491" i="3"/>
  <c r="B491" i="3"/>
  <c r="A491" i="3"/>
  <c r="F490" i="3"/>
  <c r="D490" i="3"/>
  <c r="C490" i="3"/>
  <c r="B490" i="3"/>
  <c r="A490" i="3"/>
  <c r="F489" i="3"/>
  <c r="D489" i="3"/>
  <c r="C489" i="3"/>
  <c r="B489" i="3"/>
  <c r="A489" i="3"/>
  <c r="F488" i="3"/>
  <c r="D488" i="3"/>
  <c r="C488" i="3"/>
  <c r="B488" i="3"/>
  <c r="A488" i="3"/>
  <c r="F487" i="3"/>
  <c r="D487" i="3"/>
  <c r="C487" i="3"/>
  <c r="B487" i="3"/>
  <c r="A487" i="3"/>
  <c r="F486" i="3"/>
  <c r="D486" i="3"/>
  <c r="C486" i="3"/>
  <c r="B486" i="3"/>
  <c r="A486" i="3"/>
  <c r="F485" i="3"/>
  <c r="D485" i="3"/>
  <c r="C485" i="3"/>
  <c r="B485" i="3"/>
  <c r="A485" i="3"/>
  <c r="F484" i="3"/>
  <c r="D484" i="3"/>
  <c r="C484" i="3"/>
  <c r="B484" i="3"/>
  <c r="A484" i="3"/>
  <c r="F483" i="3"/>
  <c r="D483" i="3"/>
  <c r="C483" i="3"/>
  <c r="B483" i="3"/>
  <c r="A483" i="3"/>
  <c r="F482" i="3"/>
  <c r="D482" i="3"/>
  <c r="C482" i="3"/>
  <c r="B482" i="3"/>
  <c r="A482" i="3"/>
  <c r="F481" i="3"/>
  <c r="D481" i="3"/>
  <c r="C481" i="3"/>
  <c r="B481" i="3"/>
  <c r="A481" i="3"/>
  <c r="F480" i="3"/>
  <c r="D480" i="3"/>
  <c r="C480" i="3"/>
  <c r="B480" i="3"/>
  <c r="A480" i="3"/>
  <c r="F479" i="3"/>
  <c r="D479" i="3"/>
  <c r="C479" i="3"/>
  <c r="B479" i="3"/>
  <c r="A479" i="3"/>
  <c r="F478" i="3"/>
  <c r="D478" i="3"/>
  <c r="C478" i="3"/>
  <c r="B478" i="3"/>
  <c r="A478" i="3"/>
  <c r="F477" i="3"/>
  <c r="D477" i="3"/>
  <c r="C477" i="3"/>
  <c r="B477" i="3"/>
  <c r="A477" i="3"/>
  <c r="F476" i="3"/>
  <c r="D476" i="3"/>
  <c r="C476" i="3"/>
  <c r="B476" i="3"/>
  <c r="A476" i="3"/>
  <c r="F475" i="3"/>
  <c r="D475" i="3"/>
  <c r="C475" i="3"/>
  <c r="B475" i="3"/>
  <c r="A475" i="3"/>
  <c r="F474" i="3"/>
  <c r="D474" i="3"/>
  <c r="C474" i="3"/>
  <c r="B474" i="3"/>
  <c r="A474" i="3"/>
  <c r="F473" i="3"/>
  <c r="D473" i="3"/>
  <c r="C473" i="3"/>
  <c r="B473" i="3"/>
  <c r="A473" i="3"/>
  <c r="F472" i="3"/>
  <c r="D472" i="3"/>
  <c r="C472" i="3"/>
  <c r="B472" i="3"/>
  <c r="A472" i="3"/>
  <c r="F471" i="3"/>
  <c r="D471" i="3"/>
  <c r="C471" i="3"/>
  <c r="B471" i="3"/>
  <c r="A471" i="3"/>
  <c r="F470" i="3"/>
  <c r="D470" i="3"/>
  <c r="C470" i="3"/>
  <c r="B470" i="3"/>
  <c r="A470" i="3"/>
  <c r="F469" i="3"/>
  <c r="D469" i="3"/>
  <c r="C469" i="3"/>
  <c r="B469" i="3"/>
  <c r="A469" i="3"/>
  <c r="F468" i="3"/>
  <c r="D468" i="3"/>
  <c r="C468" i="3"/>
  <c r="B468" i="3"/>
  <c r="A468" i="3"/>
  <c r="F467" i="3"/>
  <c r="D467" i="3"/>
  <c r="C467" i="3"/>
  <c r="B467" i="3"/>
  <c r="A467" i="3"/>
  <c r="F466" i="3"/>
  <c r="D466" i="3"/>
  <c r="C466" i="3"/>
  <c r="B466" i="3"/>
  <c r="A466" i="3"/>
  <c r="F465" i="3"/>
  <c r="D465" i="3"/>
  <c r="C465" i="3"/>
  <c r="B465" i="3"/>
  <c r="A465" i="3"/>
  <c r="F464" i="3"/>
  <c r="D464" i="3"/>
  <c r="C464" i="3"/>
  <c r="B464" i="3"/>
  <c r="A464" i="3"/>
  <c r="F463" i="3"/>
  <c r="D463" i="3"/>
  <c r="C463" i="3"/>
  <c r="B463" i="3"/>
  <c r="A463" i="3"/>
  <c r="F462" i="3"/>
  <c r="D462" i="3"/>
  <c r="C462" i="3"/>
  <c r="B462" i="3"/>
  <c r="A462" i="3"/>
  <c r="F461" i="3"/>
  <c r="D461" i="3"/>
  <c r="C461" i="3"/>
  <c r="B461" i="3"/>
  <c r="A461" i="3"/>
  <c r="F460" i="3"/>
  <c r="D460" i="3"/>
  <c r="C460" i="3"/>
  <c r="B460" i="3"/>
  <c r="A460" i="3"/>
  <c r="F459" i="3"/>
  <c r="D459" i="3"/>
  <c r="C459" i="3"/>
  <c r="B459" i="3"/>
  <c r="A459" i="3"/>
  <c r="F458" i="3"/>
  <c r="D458" i="3"/>
  <c r="C458" i="3"/>
  <c r="B458" i="3"/>
  <c r="A458" i="3"/>
  <c r="F457" i="3"/>
  <c r="D457" i="3"/>
  <c r="C457" i="3"/>
  <c r="B457" i="3"/>
  <c r="A457" i="3"/>
  <c r="F456" i="3"/>
  <c r="D456" i="3"/>
  <c r="C456" i="3"/>
  <c r="B456" i="3"/>
  <c r="A456" i="3"/>
  <c r="F455" i="3"/>
  <c r="D455" i="3"/>
  <c r="C455" i="3"/>
  <c r="B455" i="3"/>
  <c r="A455" i="3"/>
  <c r="F454" i="3"/>
  <c r="D454" i="3"/>
  <c r="C454" i="3"/>
  <c r="B454" i="3"/>
  <c r="A454" i="3"/>
  <c r="F453" i="3"/>
  <c r="D453" i="3"/>
  <c r="C453" i="3"/>
  <c r="B453" i="3"/>
  <c r="A453" i="3"/>
  <c r="F452" i="3"/>
  <c r="D452" i="3"/>
  <c r="C452" i="3"/>
  <c r="B452" i="3"/>
  <c r="A452" i="3"/>
  <c r="F451" i="3"/>
  <c r="D451" i="3"/>
  <c r="C451" i="3"/>
  <c r="B451" i="3"/>
  <c r="A451" i="3"/>
  <c r="F450" i="3"/>
  <c r="D450" i="3"/>
  <c r="C450" i="3"/>
  <c r="B450" i="3"/>
  <c r="A450" i="3"/>
  <c r="F449" i="3"/>
  <c r="D449" i="3"/>
  <c r="C449" i="3"/>
  <c r="B449" i="3"/>
  <c r="A449" i="3"/>
  <c r="F448" i="3"/>
  <c r="D448" i="3"/>
  <c r="C448" i="3"/>
  <c r="B448" i="3"/>
  <c r="A448" i="3"/>
  <c r="F447" i="3"/>
  <c r="D447" i="3"/>
  <c r="C447" i="3"/>
  <c r="B447" i="3"/>
  <c r="A447" i="3"/>
  <c r="F446" i="3"/>
  <c r="D446" i="3"/>
  <c r="C446" i="3"/>
  <c r="B446" i="3"/>
  <c r="A446" i="3"/>
  <c r="F445" i="3"/>
  <c r="D445" i="3"/>
  <c r="C445" i="3"/>
  <c r="B445" i="3"/>
  <c r="A445" i="3"/>
  <c r="F444" i="3"/>
  <c r="D444" i="3"/>
  <c r="C444" i="3"/>
  <c r="B444" i="3"/>
  <c r="A444" i="3"/>
  <c r="F443" i="3"/>
  <c r="D443" i="3"/>
  <c r="C443" i="3"/>
  <c r="B443" i="3"/>
  <c r="A443" i="3"/>
  <c r="F442" i="3"/>
  <c r="D442" i="3"/>
  <c r="C442" i="3"/>
  <c r="B442" i="3"/>
  <c r="A442" i="3"/>
  <c r="F441" i="3"/>
  <c r="D441" i="3"/>
  <c r="C441" i="3"/>
  <c r="B441" i="3"/>
  <c r="A441" i="3"/>
  <c r="F440" i="3"/>
  <c r="D440" i="3"/>
  <c r="C440" i="3"/>
  <c r="B440" i="3"/>
  <c r="A440" i="3"/>
  <c r="F439" i="3"/>
  <c r="D439" i="3"/>
  <c r="C439" i="3"/>
  <c r="B439" i="3"/>
  <c r="A439" i="3"/>
  <c r="F438" i="3"/>
  <c r="D438" i="3"/>
  <c r="C438" i="3"/>
  <c r="B438" i="3"/>
  <c r="A438" i="3"/>
  <c r="F437" i="3"/>
  <c r="D437" i="3"/>
  <c r="C437" i="3"/>
  <c r="B437" i="3"/>
  <c r="A437" i="3"/>
  <c r="F436" i="3"/>
  <c r="D436" i="3"/>
  <c r="C436" i="3"/>
  <c r="B436" i="3"/>
  <c r="A436" i="3"/>
  <c r="F435" i="3"/>
  <c r="D435" i="3"/>
  <c r="C435" i="3"/>
  <c r="B435" i="3"/>
  <c r="A435" i="3"/>
  <c r="F434" i="3"/>
  <c r="D434" i="3"/>
  <c r="C434" i="3"/>
  <c r="B434" i="3"/>
  <c r="A434" i="3"/>
  <c r="F433" i="3"/>
  <c r="D433" i="3"/>
  <c r="C433" i="3"/>
  <c r="B433" i="3"/>
  <c r="A433" i="3"/>
  <c r="F432" i="3"/>
  <c r="D432" i="3"/>
  <c r="C432" i="3"/>
  <c r="B432" i="3"/>
  <c r="A432" i="3"/>
  <c r="F431" i="3"/>
  <c r="D431" i="3"/>
  <c r="C431" i="3"/>
  <c r="B431" i="3"/>
  <c r="A431" i="3"/>
  <c r="F430" i="3"/>
  <c r="D430" i="3"/>
  <c r="C430" i="3"/>
  <c r="B430" i="3"/>
  <c r="A430" i="3"/>
  <c r="F429" i="3"/>
  <c r="D429" i="3"/>
  <c r="C429" i="3"/>
  <c r="B429" i="3"/>
  <c r="A429" i="3"/>
  <c r="F428" i="3"/>
  <c r="D428" i="3"/>
  <c r="C428" i="3"/>
  <c r="B428" i="3"/>
  <c r="A428" i="3"/>
  <c r="F427" i="3"/>
  <c r="D427" i="3"/>
  <c r="C427" i="3"/>
  <c r="B427" i="3"/>
  <c r="A427" i="3"/>
  <c r="F426" i="3"/>
  <c r="D426" i="3"/>
  <c r="C426" i="3"/>
  <c r="B426" i="3"/>
  <c r="A426" i="3"/>
  <c r="F425" i="3"/>
  <c r="D425" i="3"/>
  <c r="C425" i="3"/>
  <c r="B425" i="3"/>
  <c r="A425" i="3"/>
  <c r="F424" i="3"/>
  <c r="D424" i="3"/>
  <c r="C424" i="3"/>
  <c r="B424" i="3"/>
  <c r="A424" i="3"/>
  <c r="F423" i="3"/>
  <c r="D423" i="3"/>
  <c r="C423" i="3"/>
  <c r="B423" i="3"/>
  <c r="A423" i="3"/>
  <c r="F422" i="3"/>
  <c r="D422" i="3"/>
  <c r="C422" i="3"/>
  <c r="B422" i="3"/>
  <c r="A422" i="3"/>
  <c r="F421" i="3"/>
  <c r="D421" i="3"/>
  <c r="C421" i="3"/>
  <c r="B421" i="3"/>
  <c r="A421" i="3"/>
  <c r="F420" i="3"/>
  <c r="D420" i="3"/>
  <c r="C420" i="3"/>
  <c r="B420" i="3"/>
  <c r="A420" i="3"/>
  <c r="F419" i="3"/>
  <c r="D419" i="3"/>
  <c r="C419" i="3"/>
  <c r="B419" i="3"/>
  <c r="A419" i="3"/>
  <c r="F418" i="3"/>
  <c r="D418" i="3"/>
  <c r="C418" i="3"/>
  <c r="B418" i="3"/>
  <c r="A418" i="3"/>
  <c r="F417" i="3"/>
  <c r="D417" i="3"/>
  <c r="C417" i="3"/>
  <c r="B417" i="3"/>
  <c r="A417" i="3"/>
  <c r="F416" i="3"/>
  <c r="D416" i="3"/>
  <c r="C416" i="3"/>
  <c r="B416" i="3"/>
  <c r="A416" i="3"/>
  <c r="F415" i="3"/>
  <c r="D415" i="3"/>
  <c r="C415" i="3"/>
  <c r="B415" i="3"/>
  <c r="A415" i="3"/>
  <c r="F414" i="3"/>
  <c r="D414" i="3"/>
  <c r="C414" i="3"/>
  <c r="B414" i="3"/>
  <c r="A414" i="3"/>
  <c r="F413" i="3"/>
  <c r="D413" i="3"/>
  <c r="C413" i="3"/>
  <c r="B413" i="3"/>
  <c r="A413" i="3"/>
  <c r="F412" i="3"/>
  <c r="D412" i="3"/>
  <c r="C412" i="3"/>
  <c r="B412" i="3"/>
  <c r="A412" i="3"/>
  <c r="F411" i="3"/>
  <c r="D411" i="3"/>
  <c r="C411" i="3"/>
  <c r="B411" i="3"/>
  <c r="A411" i="3"/>
  <c r="F410" i="3"/>
  <c r="D410" i="3"/>
  <c r="C410" i="3"/>
  <c r="B410" i="3"/>
  <c r="A410" i="3"/>
  <c r="F409" i="3"/>
  <c r="D409" i="3"/>
  <c r="C409" i="3"/>
  <c r="B409" i="3"/>
  <c r="A409" i="3"/>
  <c r="F408" i="3"/>
  <c r="D408" i="3"/>
  <c r="C408" i="3"/>
  <c r="B408" i="3"/>
  <c r="A408" i="3"/>
  <c r="F407" i="3"/>
  <c r="D407" i="3"/>
  <c r="C407" i="3"/>
  <c r="B407" i="3"/>
  <c r="A407" i="3"/>
  <c r="F406" i="3"/>
  <c r="D406" i="3"/>
  <c r="C406" i="3"/>
  <c r="B406" i="3"/>
  <c r="A406" i="3"/>
  <c r="F405" i="3"/>
  <c r="D405" i="3"/>
  <c r="C405" i="3"/>
  <c r="B405" i="3"/>
  <c r="A405" i="3"/>
  <c r="F404" i="3"/>
  <c r="D404" i="3"/>
  <c r="C404" i="3"/>
  <c r="B404" i="3"/>
  <c r="A404" i="3"/>
  <c r="F403" i="3"/>
  <c r="D403" i="3"/>
  <c r="C403" i="3"/>
  <c r="B403" i="3"/>
  <c r="A403" i="3"/>
  <c r="F402" i="3"/>
  <c r="D402" i="3"/>
  <c r="C402" i="3"/>
  <c r="B402" i="3"/>
  <c r="A402" i="3"/>
  <c r="F401" i="3"/>
  <c r="D401" i="3"/>
  <c r="C401" i="3"/>
  <c r="B401" i="3"/>
  <c r="A401" i="3"/>
  <c r="F400" i="3"/>
  <c r="D400" i="3"/>
  <c r="C400" i="3"/>
  <c r="B400" i="3"/>
  <c r="A400" i="3"/>
  <c r="F399" i="3"/>
  <c r="D399" i="3"/>
  <c r="C399" i="3"/>
  <c r="B399" i="3"/>
  <c r="A399" i="3"/>
  <c r="F398" i="3"/>
  <c r="D398" i="3"/>
  <c r="C398" i="3"/>
  <c r="B398" i="3"/>
  <c r="A398" i="3"/>
  <c r="F397" i="3"/>
  <c r="D397" i="3"/>
  <c r="C397" i="3"/>
  <c r="B397" i="3"/>
  <c r="A397" i="3"/>
  <c r="F396" i="3"/>
  <c r="D396" i="3"/>
  <c r="C396" i="3"/>
  <c r="B396" i="3"/>
  <c r="A396" i="3"/>
  <c r="F395" i="3"/>
  <c r="D395" i="3"/>
  <c r="C395" i="3"/>
  <c r="B395" i="3"/>
  <c r="A395" i="3"/>
  <c r="F394" i="3"/>
  <c r="D394" i="3"/>
  <c r="C394" i="3"/>
  <c r="B394" i="3"/>
  <c r="A394" i="3"/>
  <c r="F393" i="3"/>
  <c r="D393" i="3"/>
  <c r="C393" i="3"/>
  <c r="B393" i="3"/>
  <c r="A393" i="3"/>
  <c r="F392" i="3"/>
  <c r="D392" i="3"/>
  <c r="C392" i="3"/>
  <c r="B392" i="3"/>
  <c r="A392" i="3"/>
  <c r="F391" i="3"/>
  <c r="D391" i="3"/>
  <c r="C391" i="3"/>
  <c r="B391" i="3"/>
  <c r="A391" i="3"/>
  <c r="F390" i="3"/>
  <c r="D390" i="3"/>
  <c r="C390" i="3"/>
  <c r="B390" i="3"/>
  <c r="A390" i="3"/>
  <c r="F389" i="3"/>
  <c r="D389" i="3"/>
  <c r="C389" i="3"/>
  <c r="B389" i="3"/>
  <c r="A389" i="3"/>
  <c r="F388" i="3"/>
  <c r="D388" i="3"/>
  <c r="C388" i="3"/>
  <c r="B388" i="3"/>
  <c r="A388" i="3"/>
  <c r="F387" i="3"/>
  <c r="D387" i="3"/>
  <c r="C387" i="3"/>
  <c r="B387" i="3"/>
  <c r="A387" i="3"/>
  <c r="F386" i="3"/>
  <c r="D386" i="3"/>
  <c r="C386" i="3"/>
  <c r="B386" i="3"/>
  <c r="A386" i="3"/>
  <c r="F385" i="3"/>
  <c r="D385" i="3"/>
  <c r="C385" i="3"/>
  <c r="B385" i="3"/>
  <c r="A385" i="3"/>
  <c r="F384" i="3"/>
  <c r="D384" i="3"/>
  <c r="C384" i="3"/>
  <c r="B384" i="3"/>
  <c r="A384" i="3"/>
  <c r="F383" i="3"/>
  <c r="D383" i="3"/>
  <c r="C383" i="3"/>
  <c r="B383" i="3"/>
  <c r="A383" i="3"/>
  <c r="F382" i="3"/>
  <c r="D382" i="3"/>
  <c r="C382" i="3"/>
  <c r="B382" i="3"/>
  <c r="A382" i="3"/>
  <c r="F381" i="3"/>
  <c r="D381" i="3"/>
  <c r="C381" i="3"/>
  <c r="B381" i="3"/>
  <c r="A381" i="3"/>
  <c r="F380" i="3"/>
  <c r="D380" i="3"/>
  <c r="C380" i="3"/>
  <c r="B380" i="3"/>
  <c r="A380" i="3"/>
  <c r="F379" i="3"/>
  <c r="D379" i="3"/>
  <c r="C379" i="3"/>
  <c r="B379" i="3"/>
  <c r="A379" i="3"/>
  <c r="F378" i="3"/>
  <c r="D378" i="3"/>
  <c r="C378" i="3"/>
  <c r="B378" i="3"/>
  <c r="A378" i="3"/>
  <c r="F377" i="3"/>
  <c r="D377" i="3"/>
  <c r="C377" i="3"/>
  <c r="B377" i="3"/>
  <c r="A377" i="3"/>
  <c r="F376" i="3"/>
  <c r="D376" i="3"/>
  <c r="C376" i="3"/>
  <c r="B376" i="3"/>
  <c r="A376" i="3"/>
  <c r="F375" i="3"/>
  <c r="D375" i="3"/>
  <c r="C375" i="3"/>
  <c r="B375" i="3"/>
  <c r="A375" i="3"/>
  <c r="F374" i="3"/>
  <c r="D374" i="3"/>
  <c r="C374" i="3"/>
  <c r="B374" i="3"/>
  <c r="A374" i="3"/>
  <c r="F373" i="3"/>
  <c r="D373" i="3"/>
  <c r="C373" i="3"/>
  <c r="B373" i="3"/>
  <c r="A373" i="3"/>
  <c r="F372" i="3"/>
  <c r="D372" i="3"/>
  <c r="C372" i="3"/>
  <c r="B372" i="3"/>
  <c r="A372" i="3"/>
  <c r="F371" i="3"/>
  <c r="D371" i="3"/>
  <c r="C371" i="3"/>
  <c r="B371" i="3"/>
  <c r="A371" i="3"/>
  <c r="F370" i="3"/>
  <c r="D370" i="3"/>
  <c r="C370" i="3"/>
  <c r="B370" i="3"/>
  <c r="A370" i="3"/>
  <c r="F369" i="3"/>
  <c r="D369" i="3"/>
  <c r="C369" i="3"/>
  <c r="B369" i="3"/>
  <c r="A369" i="3"/>
  <c r="F368" i="3"/>
  <c r="D368" i="3"/>
  <c r="C368" i="3"/>
  <c r="B368" i="3"/>
  <c r="A368" i="3"/>
  <c r="F367" i="3"/>
  <c r="D367" i="3"/>
  <c r="C367" i="3"/>
  <c r="B367" i="3"/>
  <c r="A367" i="3"/>
  <c r="F366" i="3"/>
  <c r="D366" i="3"/>
  <c r="C366" i="3"/>
  <c r="B366" i="3"/>
  <c r="A366" i="3"/>
  <c r="F365" i="3"/>
  <c r="D365" i="3"/>
  <c r="C365" i="3"/>
  <c r="B365" i="3"/>
  <c r="A365" i="3"/>
  <c r="F364" i="3"/>
  <c r="D364" i="3"/>
  <c r="C364" i="3"/>
  <c r="B364" i="3"/>
  <c r="A364" i="3"/>
  <c r="F363" i="3"/>
  <c r="D363" i="3"/>
  <c r="C363" i="3"/>
  <c r="B363" i="3"/>
  <c r="A363" i="3"/>
  <c r="F362" i="3"/>
  <c r="D362" i="3"/>
  <c r="C362" i="3"/>
  <c r="B362" i="3"/>
  <c r="A362" i="3"/>
  <c r="F361" i="3"/>
  <c r="D361" i="3"/>
  <c r="C361" i="3"/>
  <c r="B361" i="3"/>
  <c r="A361" i="3"/>
  <c r="F360" i="3"/>
  <c r="D360" i="3"/>
  <c r="C360" i="3"/>
  <c r="B360" i="3"/>
  <c r="A360" i="3"/>
  <c r="F359" i="3"/>
  <c r="D359" i="3"/>
  <c r="C359" i="3"/>
  <c r="B359" i="3"/>
  <c r="A359" i="3"/>
  <c r="F358" i="3"/>
  <c r="D358" i="3"/>
  <c r="C358" i="3"/>
  <c r="B358" i="3"/>
  <c r="A358" i="3"/>
  <c r="F357" i="3"/>
  <c r="D357" i="3"/>
  <c r="C357" i="3"/>
  <c r="B357" i="3"/>
  <c r="A357" i="3"/>
  <c r="F356" i="3"/>
  <c r="D356" i="3"/>
  <c r="C356" i="3"/>
  <c r="B356" i="3"/>
  <c r="A356" i="3"/>
  <c r="F355" i="3"/>
  <c r="D355" i="3"/>
  <c r="C355" i="3"/>
  <c r="B355" i="3"/>
  <c r="A355" i="3"/>
  <c r="F354" i="3"/>
  <c r="D354" i="3"/>
  <c r="C354" i="3"/>
  <c r="B354" i="3"/>
  <c r="A354" i="3"/>
  <c r="F353" i="3"/>
  <c r="D353" i="3"/>
  <c r="C353" i="3"/>
  <c r="B353" i="3"/>
  <c r="A353" i="3"/>
  <c r="F352" i="3"/>
  <c r="D352" i="3"/>
  <c r="C352" i="3"/>
  <c r="B352" i="3"/>
  <c r="A352" i="3"/>
  <c r="F351" i="3"/>
  <c r="D351" i="3"/>
  <c r="C351" i="3"/>
  <c r="B351" i="3"/>
  <c r="A351" i="3"/>
  <c r="F350" i="3"/>
  <c r="D350" i="3"/>
  <c r="C350" i="3"/>
  <c r="B350" i="3"/>
  <c r="A350" i="3"/>
  <c r="F349" i="3"/>
  <c r="D349" i="3"/>
  <c r="C349" i="3"/>
  <c r="B349" i="3"/>
  <c r="A349" i="3"/>
  <c r="F348" i="3"/>
  <c r="D348" i="3"/>
  <c r="C348" i="3"/>
  <c r="B348" i="3"/>
  <c r="A348" i="3"/>
  <c r="F347" i="3"/>
  <c r="D347" i="3"/>
  <c r="C347" i="3"/>
  <c r="B347" i="3"/>
  <c r="A347" i="3"/>
  <c r="F346" i="3"/>
  <c r="D346" i="3"/>
  <c r="C346" i="3"/>
  <c r="B346" i="3"/>
  <c r="A346" i="3"/>
  <c r="F345" i="3"/>
  <c r="D345" i="3"/>
  <c r="C345" i="3"/>
  <c r="B345" i="3"/>
  <c r="A345" i="3"/>
  <c r="F344" i="3"/>
  <c r="D344" i="3"/>
  <c r="C344" i="3"/>
  <c r="B344" i="3"/>
  <c r="A344" i="3"/>
  <c r="F343" i="3"/>
  <c r="D343" i="3"/>
  <c r="C343" i="3"/>
  <c r="B343" i="3"/>
  <c r="A343" i="3"/>
  <c r="F342" i="3"/>
  <c r="D342" i="3"/>
  <c r="C342" i="3"/>
  <c r="B342" i="3"/>
  <c r="A342" i="3"/>
  <c r="F341" i="3"/>
  <c r="D341" i="3"/>
  <c r="C341" i="3"/>
  <c r="B341" i="3"/>
  <c r="A341" i="3"/>
  <c r="F340" i="3"/>
  <c r="D340" i="3"/>
  <c r="C340" i="3"/>
  <c r="B340" i="3"/>
  <c r="A340" i="3"/>
  <c r="F339" i="3"/>
  <c r="D339" i="3"/>
  <c r="C339" i="3"/>
  <c r="B339" i="3"/>
  <c r="A339" i="3"/>
  <c r="F338" i="3"/>
  <c r="D338" i="3"/>
  <c r="C338" i="3"/>
  <c r="B338" i="3"/>
  <c r="A338" i="3"/>
  <c r="F337" i="3"/>
  <c r="D337" i="3"/>
  <c r="C337" i="3"/>
  <c r="B337" i="3"/>
  <c r="A337" i="3"/>
  <c r="F336" i="3"/>
  <c r="D336" i="3"/>
  <c r="C336" i="3"/>
  <c r="B336" i="3"/>
  <c r="A336" i="3"/>
  <c r="F335" i="3"/>
  <c r="D335" i="3"/>
  <c r="C335" i="3"/>
  <c r="B335" i="3"/>
  <c r="A335" i="3"/>
  <c r="F334" i="3"/>
  <c r="D334" i="3"/>
  <c r="C334" i="3"/>
  <c r="B334" i="3"/>
  <c r="A334" i="3"/>
  <c r="F333" i="3"/>
  <c r="D333" i="3"/>
  <c r="C333" i="3"/>
  <c r="B333" i="3"/>
  <c r="A333" i="3"/>
  <c r="F332" i="3"/>
  <c r="D332" i="3"/>
  <c r="C332" i="3"/>
  <c r="B332" i="3"/>
  <c r="A332" i="3"/>
  <c r="F331" i="3"/>
  <c r="D331" i="3"/>
  <c r="C331" i="3"/>
  <c r="B331" i="3"/>
  <c r="A331" i="3"/>
  <c r="F330" i="3"/>
  <c r="D330" i="3"/>
  <c r="C330" i="3"/>
  <c r="B330" i="3"/>
  <c r="A330" i="3"/>
  <c r="F329" i="3"/>
  <c r="D329" i="3"/>
  <c r="C329" i="3"/>
  <c r="B329" i="3"/>
  <c r="A329" i="3"/>
  <c r="F328" i="3"/>
  <c r="D328" i="3"/>
  <c r="C328" i="3"/>
  <c r="B328" i="3"/>
  <c r="A328" i="3"/>
  <c r="F327" i="3"/>
  <c r="D327" i="3"/>
  <c r="C327" i="3"/>
  <c r="B327" i="3"/>
  <c r="A327" i="3"/>
  <c r="F326" i="3"/>
  <c r="D326" i="3"/>
  <c r="C326" i="3"/>
  <c r="B326" i="3"/>
  <c r="A326" i="3"/>
  <c r="F325" i="3"/>
  <c r="D325" i="3"/>
  <c r="C325" i="3"/>
  <c r="B325" i="3"/>
  <c r="A325" i="3"/>
  <c r="F324" i="3"/>
  <c r="D324" i="3"/>
  <c r="C324" i="3"/>
  <c r="B324" i="3"/>
  <c r="A324" i="3"/>
  <c r="F323" i="3"/>
  <c r="D323" i="3"/>
  <c r="C323" i="3"/>
  <c r="B323" i="3"/>
  <c r="A323" i="3"/>
  <c r="F322" i="3"/>
  <c r="D322" i="3"/>
  <c r="C322" i="3"/>
  <c r="B322" i="3"/>
  <c r="A322" i="3"/>
  <c r="F321" i="3"/>
  <c r="D321" i="3"/>
  <c r="C321" i="3"/>
  <c r="B321" i="3"/>
  <c r="A321" i="3"/>
  <c r="F320" i="3"/>
  <c r="D320" i="3"/>
  <c r="C320" i="3"/>
  <c r="B320" i="3"/>
  <c r="A320" i="3"/>
  <c r="F319" i="3"/>
  <c r="D319" i="3"/>
  <c r="C319" i="3"/>
  <c r="B319" i="3"/>
  <c r="A319" i="3"/>
  <c r="F318" i="3"/>
  <c r="D318" i="3"/>
  <c r="C318" i="3"/>
  <c r="B318" i="3"/>
  <c r="A318" i="3"/>
  <c r="F317" i="3"/>
  <c r="D317" i="3"/>
  <c r="C317" i="3"/>
  <c r="B317" i="3"/>
  <c r="A317" i="3"/>
  <c r="F316" i="3"/>
  <c r="D316" i="3"/>
  <c r="C316" i="3"/>
  <c r="B316" i="3"/>
  <c r="A316" i="3"/>
  <c r="F315" i="3"/>
  <c r="D315" i="3"/>
  <c r="C315" i="3"/>
  <c r="B315" i="3"/>
  <c r="A315" i="3"/>
  <c r="F314" i="3"/>
  <c r="D314" i="3"/>
  <c r="C314" i="3"/>
  <c r="B314" i="3"/>
  <c r="A314" i="3"/>
  <c r="F313" i="3"/>
  <c r="D313" i="3"/>
  <c r="C313" i="3"/>
  <c r="B313" i="3"/>
  <c r="A313" i="3"/>
  <c r="F312" i="3"/>
  <c r="D312" i="3"/>
  <c r="C312" i="3"/>
  <c r="B312" i="3"/>
  <c r="A312" i="3"/>
  <c r="F311" i="3"/>
  <c r="D311" i="3"/>
  <c r="C311" i="3"/>
  <c r="B311" i="3"/>
  <c r="A311" i="3"/>
  <c r="F310" i="3"/>
  <c r="D310" i="3"/>
  <c r="C310" i="3"/>
  <c r="B310" i="3"/>
  <c r="A310" i="3"/>
  <c r="F309" i="3"/>
  <c r="D309" i="3"/>
  <c r="C309" i="3"/>
  <c r="B309" i="3"/>
  <c r="A309" i="3"/>
  <c r="F308" i="3"/>
  <c r="D308" i="3"/>
  <c r="C308" i="3"/>
  <c r="B308" i="3"/>
  <c r="A308" i="3"/>
  <c r="F307" i="3"/>
  <c r="D307" i="3"/>
  <c r="C307" i="3"/>
  <c r="B307" i="3"/>
  <c r="A307" i="3"/>
  <c r="F306" i="3"/>
  <c r="D306" i="3"/>
  <c r="C306" i="3"/>
  <c r="B306" i="3"/>
  <c r="A306" i="3"/>
  <c r="F305" i="3"/>
  <c r="D305" i="3"/>
  <c r="C305" i="3"/>
  <c r="B305" i="3"/>
  <c r="A305" i="3"/>
  <c r="F304" i="3"/>
  <c r="D304" i="3"/>
  <c r="C304" i="3"/>
  <c r="B304" i="3"/>
  <c r="A304" i="3"/>
  <c r="F303" i="3"/>
  <c r="D303" i="3"/>
  <c r="C303" i="3"/>
  <c r="B303" i="3"/>
  <c r="A303" i="3"/>
  <c r="F302" i="3"/>
  <c r="D302" i="3"/>
  <c r="C302" i="3"/>
  <c r="B302" i="3"/>
  <c r="A302" i="3"/>
  <c r="F301" i="3"/>
  <c r="D301" i="3"/>
  <c r="C301" i="3"/>
  <c r="B301" i="3"/>
  <c r="A301" i="3"/>
  <c r="F300" i="3"/>
  <c r="D300" i="3"/>
  <c r="C300" i="3"/>
  <c r="B300" i="3"/>
  <c r="A300" i="3"/>
  <c r="F299" i="3"/>
  <c r="D299" i="3"/>
  <c r="C299" i="3"/>
  <c r="B299" i="3"/>
  <c r="A299" i="3"/>
  <c r="F298" i="3"/>
  <c r="D298" i="3"/>
  <c r="C298" i="3"/>
  <c r="B298" i="3"/>
  <c r="A298" i="3"/>
  <c r="F297" i="3"/>
  <c r="D297" i="3"/>
  <c r="C297" i="3"/>
  <c r="B297" i="3"/>
  <c r="A297" i="3"/>
  <c r="F296" i="3"/>
  <c r="D296" i="3"/>
  <c r="C296" i="3"/>
  <c r="B296" i="3"/>
  <c r="A296" i="3"/>
  <c r="F295" i="3"/>
  <c r="D295" i="3"/>
  <c r="C295" i="3"/>
  <c r="B295" i="3"/>
  <c r="A295" i="3"/>
  <c r="F294" i="3"/>
  <c r="D294" i="3"/>
  <c r="C294" i="3"/>
  <c r="B294" i="3"/>
  <c r="A294" i="3"/>
  <c r="F293" i="3"/>
  <c r="D293" i="3"/>
  <c r="C293" i="3"/>
  <c r="B293" i="3"/>
  <c r="A293" i="3"/>
  <c r="F292" i="3"/>
  <c r="D292" i="3"/>
  <c r="C292" i="3"/>
  <c r="B292" i="3"/>
  <c r="A292" i="3"/>
  <c r="F291" i="3"/>
  <c r="D291" i="3"/>
  <c r="C291" i="3"/>
  <c r="B291" i="3"/>
  <c r="A291" i="3"/>
  <c r="F290" i="3"/>
  <c r="D290" i="3"/>
  <c r="C290" i="3"/>
  <c r="B290" i="3"/>
  <c r="A290" i="3"/>
  <c r="F289" i="3"/>
  <c r="D289" i="3"/>
  <c r="C289" i="3"/>
  <c r="B289" i="3"/>
  <c r="A289" i="3"/>
  <c r="F288" i="3"/>
  <c r="D288" i="3"/>
  <c r="C288" i="3"/>
  <c r="B288" i="3"/>
  <c r="A288" i="3"/>
  <c r="F287" i="3"/>
  <c r="D287" i="3"/>
  <c r="C287" i="3"/>
  <c r="B287" i="3"/>
  <c r="A287" i="3"/>
  <c r="F286" i="3"/>
  <c r="D286" i="3"/>
  <c r="C286" i="3"/>
  <c r="B286" i="3"/>
  <c r="A286" i="3"/>
  <c r="F285" i="3"/>
  <c r="D285" i="3"/>
  <c r="C285" i="3"/>
  <c r="B285" i="3"/>
  <c r="A285" i="3"/>
  <c r="F284" i="3"/>
  <c r="D284" i="3"/>
  <c r="C284" i="3"/>
  <c r="B284" i="3"/>
  <c r="A284" i="3"/>
  <c r="F283" i="3"/>
  <c r="D283" i="3"/>
  <c r="C283" i="3"/>
  <c r="B283" i="3"/>
  <c r="A283" i="3"/>
  <c r="F282" i="3"/>
  <c r="D282" i="3"/>
  <c r="C282" i="3"/>
  <c r="B282" i="3"/>
  <c r="A282" i="3"/>
  <c r="F281" i="3"/>
  <c r="D281" i="3"/>
  <c r="C281" i="3"/>
  <c r="B281" i="3"/>
  <c r="A281" i="3"/>
  <c r="F280" i="3"/>
  <c r="D280" i="3"/>
  <c r="C280" i="3"/>
  <c r="B280" i="3"/>
  <c r="A280" i="3"/>
  <c r="F279" i="3"/>
  <c r="D279" i="3"/>
  <c r="C279" i="3"/>
  <c r="B279" i="3"/>
  <c r="A279" i="3"/>
  <c r="F278" i="3"/>
  <c r="D278" i="3"/>
  <c r="C278" i="3"/>
  <c r="B278" i="3"/>
  <c r="A278" i="3"/>
  <c r="F277" i="3"/>
  <c r="D277" i="3"/>
  <c r="C277" i="3"/>
  <c r="B277" i="3"/>
  <c r="A277" i="3"/>
  <c r="F276" i="3"/>
  <c r="D276" i="3"/>
  <c r="C276" i="3"/>
  <c r="B276" i="3"/>
  <c r="A276" i="3"/>
  <c r="F275" i="3"/>
  <c r="D275" i="3"/>
  <c r="C275" i="3"/>
  <c r="B275" i="3"/>
  <c r="A275" i="3"/>
  <c r="F274" i="3"/>
  <c r="D274" i="3"/>
  <c r="C274" i="3"/>
  <c r="B274" i="3"/>
  <c r="A274" i="3"/>
  <c r="F273" i="3"/>
  <c r="D273" i="3"/>
  <c r="C273" i="3"/>
  <c r="B273" i="3"/>
  <c r="A273" i="3"/>
  <c r="F272" i="3"/>
  <c r="D272" i="3"/>
  <c r="C272" i="3"/>
  <c r="B272" i="3"/>
  <c r="A272" i="3"/>
  <c r="F271" i="3"/>
  <c r="D271" i="3"/>
  <c r="C271" i="3"/>
  <c r="B271" i="3"/>
  <c r="A271" i="3"/>
  <c r="F270" i="3"/>
  <c r="D270" i="3"/>
  <c r="C270" i="3"/>
  <c r="B270" i="3"/>
  <c r="A270" i="3"/>
  <c r="F269" i="3"/>
  <c r="D269" i="3"/>
  <c r="C269" i="3"/>
  <c r="B269" i="3"/>
  <c r="A269" i="3"/>
  <c r="F268" i="3"/>
  <c r="D268" i="3"/>
  <c r="C268" i="3"/>
  <c r="B268" i="3"/>
  <c r="A268" i="3"/>
  <c r="F267" i="3"/>
  <c r="D267" i="3"/>
  <c r="C267" i="3"/>
  <c r="B267" i="3"/>
  <c r="A267" i="3"/>
  <c r="F266" i="3"/>
  <c r="D266" i="3"/>
  <c r="C266" i="3"/>
  <c r="B266" i="3"/>
  <c r="A266" i="3"/>
  <c r="F265" i="3"/>
  <c r="D265" i="3"/>
  <c r="C265" i="3"/>
  <c r="B265" i="3"/>
  <c r="A265" i="3"/>
  <c r="F264" i="3"/>
  <c r="D264" i="3"/>
  <c r="C264" i="3"/>
  <c r="B264" i="3"/>
  <c r="A264" i="3"/>
  <c r="F263" i="3"/>
  <c r="D263" i="3"/>
  <c r="C263" i="3"/>
  <c r="B263" i="3"/>
  <c r="A263" i="3"/>
  <c r="F262" i="3"/>
  <c r="D262" i="3"/>
  <c r="C262" i="3"/>
  <c r="B262" i="3"/>
  <c r="A262" i="3"/>
  <c r="F261" i="3"/>
  <c r="D261" i="3"/>
  <c r="C261" i="3"/>
  <c r="B261" i="3"/>
  <c r="A261" i="3"/>
  <c r="F260" i="3"/>
  <c r="D260" i="3"/>
  <c r="C260" i="3"/>
  <c r="B260" i="3"/>
  <c r="A260" i="3"/>
  <c r="F259" i="3"/>
  <c r="D259" i="3"/>
  <c r="C259" i="3"/>
  <c r="B259" i="3"/>
  <c r="A259" i="3"/>
  <c r="F258" i="3"/>
  <c r="D258" i="3"/>
  <c r="C258" i="3"/>
  <c r="B258" i="3"/>
  <c r="A258" i="3"/>
  <c r="F257" i="3"/>
  <c r="D257" i="3"/>
  <c r="C257" i="3"/>
  <c r="B257" i="3"/>
  <c r="A257" i="3"/>
  <c r="F256" i="3"/>
  <c r="D256" i="3"/>
  <c r="C256" i="3"/>
  <c r="B256" i="3"/>
  <c r="A256" i="3"/>
  <c r="F255" i="3"/>
  <c r="D255" i="3"/>
  <c r="C255" i="3"/>
  <c r="B255" i="3"/>
  <c r="A255" i="3"/>
  <c r="F254" i="3"/>
  <c r="D254" i="3"/>
  <c r="C254" i="3"/>
  <c r="B254" i="3"/>
  <c r="A254" i="3"/>
  <c r="F253" i="3"/>
  <c r="D253" i="3"/>
  <c r="C253" i="3"/>
  <c r="B253" i="3"/>
  <c r="A253" i="3"/>
  <c r="F252" i="3"/>
  <c r="D252" i="3"/>
  <c r="C252" i="3"/>
  <c r="B252" i="3"/>
  <c r="A252" i="3"/>
  <c r="F251" i="3"/>
  <c r="D251" i="3"/>
  <c r="C251" i="3"/>
  <c r="B251" i="3"/>
  <c r="A251" i="3"/>
  <c r="F250" i="3"/>
  <c r="D250" i="3"/>
  <c r="C250" i="3"/>
  <c r="B250" i="3"/>
  <c r="A250" i="3"/>
  <c r="F249" i="3"/>
  <c r="D249" i="3"/>
  <c r="C249" i="3"/>
  <c r="B249" i="3"/>
  <c r="A249" i="3"/>
  <c r="F248" i="3"/>
  <c r="D248" i="3"/>
  <c r="C248" i="3"/>
  <c r="B248" i="3"/>
  <c r="A248" i="3"/>
  <c r="F247" i="3"/>
  <c r="D247" i="3"/>
  <c r="C247" i="3"/>
  <c r="B247" i="3"/>
  <c r="A247" i="3"/>
  <c r="F246" i="3"/>
  <c r="D246" i="3"/>
  <c r="C246" i="3"/>
  <c r="B246" i="3"/>
  <c r="A246" i="3"/>
  <c r="F245" i="3"/>
  <c r="D245" i="3"/>
  <c r="C245" i="3"/>
  <c r="B245" i="3"/>
  <c r="A245" i="3"/>
  <c r="F244" i="3"/>
  <c r="D244" i="3"/>
  <c r="C244" i="3"/>
  <c r="B244" i="3"/>
  <c r="A244" i="3"/>
  <c r="F243" i="3"/>
  <c r="D243" i="3"/>
  <c r="C243" i="3"/>
  <c r="B243" i="3"/>
  <c r="A243" i="3"/>
  <c r="F242" i="3"/>
  <c r="D242" i="3"/>
  <c r="C242" i="3"/>
  <c r="B242" i="3"/>
  <c r="A242" i="3"/>
  <c r="F241" i="3"/>
  <c r="D241" i="3"/>
  <c r="C241" i="3"/>
  <c r="B241" i="3"/>
  <c r="A241" i="3"/>
  <c r="F240" i="3"/>
  <c r="D240" i="3"/>
  <c r="C240" i="3"/>
  <c r="B240" i="3"/>
  <c r="A240" i="3"/>
  <c r="F239" i="3"/>
  <c r="D239" i="3"/>
  <c r="C239" i="3"/>
  <c r="B239" i="3"/>
  <c r="A239" i="3"/>
  <c r="F238" i="3"/>
  <c r="D238" i="3"/>
  <c r="C238" i="3"/>
  <c r="B238" i="3"/>
  <c r="A238" i="3"/>
  <c r="F237" i="3"/>
  <c r="D237" i="3"/>
  <c r="C237" i="3"/>
  <c r="B237" i="3"/>
  <c r="A237" i="3"/>
  <c r="F236" i="3"/>
  <c r="D236" i="3"/>
  <c r="C236" i="3"/>
  <c r="B236" i="3"/>
  <c r="A236" i="3"/>
  <c r="F235" i="3"/>
  <c r="D235" i="3"/>
  <c r="C235" i="3"/>
  <c r="B235" i="3"/>
  <c r="A235" i="3"/>
  <c r="F234" i="3"/>
  <c r="D234" i="3"/>
  <c r="C234" i="3"/>
  <c r="B234" i="3"/>
  <c r="A234" i="3"/>
  <c r="F233" i="3"/>
  <c r="D233" i="3"/>
  <c r="C233" i="3"/>
  <c r="B233" i="3"/>
  <c r="A233" i="3"/>
  <c r="F232" i="3"/>
  <c r="D232" i="3"/>
  <c r="C232" i="3"/>
  <c r="B232" i="3"/>
  <c r="A232" i="3"/>
  <c r="F231" i="3"/>
  <c r="D231" i="3"/>
  <c r="C231" i="3"/>
  <c r="B231" i="3"/>
  <c r="A231" i="3"/>
  <c r="F230" i="3"/>
  <c r="D230" i="3"/>
  <c r="C230" i="3"/>
  <c r="B230" i="3"/>
  <c r="A230" i="3"/>
  <c r="F229" i="3"/>
  <c r="D229" i="3"/>
  <c r="C229" i="3"/>
  <c r="B229" i="3"/>
  <c r="A229" i="3"/>
  <c r="F228" i="3"/>
  <c r="D228" i="3"/>
  <c r="C228" i="3"/>
  <c r="B228" i="3"/>
  <c r="A228" i="3"/>
  <c r="F227" i="3"/>
  <c r="D227" i="3"/>
  <c r="C227" i="3"/>
  <c r="B227" i="3"/>
  <c r="A227" i="3"/>
  <c r="F226" i="3"/>
  <c r="D226" i="3"/>
  <c r="C226" i="3"/>
  <c r="B226" i="3"/>
  <c r="A226" i="3"/>
  <c r="F225" i="3"/>
  <c r="D225" i="3"/>
  <c r="C225" i="3"/>
  <c r="B225" i="3"/>
  <c r="A225" i="3"/>
  <c r="F224" i="3"/>
  <c r="D224" i="3"/>
  <c r="C224" i="3"/>
  <c r="B224" i="3"/>
  <c r="A224" i="3"/>
  <c r="F223" i="3"/>
  <c r="D223" i="3"/>
  <c r="C223" i="3"/>
  <c r="B223" i="3"/>
  <c r="A223" i="3"/>
  <c r="F222" i="3"/>
  <c r="D222" i="3"/>
  <c r="C222" i="3"/>
  <c r="B222" i="3"/>
  <c r="A222" i="3"/>
  <c r="F221" i="3"/>
  <c r="D221" i="3"/>
  <c r="C221" i="3"/>
  <c r="B221" i="3"/>
  <c r="A221" i="3"/>
  <c r="F220" i="3"/>
  <c r="D220" i="3"/>
  <c r="C220" i="3"/>
  <c r="B220" i="3"/>
  <c r="A220" i="3"/>
  <c r="F219" i="3"/>
  <c r="D219" i="3"/>
  <c r="C219" i="3"/>
  <c r="B219" i="3"/>
  <c r="A219" i="3"/>
  <c r="F218" i="3"/>
  <c r="D218" i="3"/>
  <c r="C218" i="3"/>
  <c r="B218" i="3"/>
  <c r="A218" i="3"/>
  <c r="F217" i="3"/>
  <c r="D217" i="3"/>
  <c r="C217" i="3"/>
  <c r="B217" i="3"/>
  <c r="A217" i="3"/>
  <c r="F216" i="3"/>
  <c r="D216" i="3"/>
  <c r="C216" i="3"/>
  <c r="B216" i="3"/>
  <c r="A216" i="3"/>
  <c r="F215" i="3"/>
  <c r="D215" i="3"/>
  <c r="C215" i="3"/>
  <c r="B215" i="3"/>
  <c r="A215" i="3"/>
  <c r="F214" i="3"/>
  <c r="D214" i="3"/>
  <c r="C214" i="3"/>
  <c r="B214" i="3"/>
  <c r="A214" i="3"/>
  <c r="F213" i="3"/>
  <c r="D213" i="3"/>
  <c r="C213" i="3"/>
  <c r="B213" i="3"/>
  <c r="A213" i="3"/>
  <c r="F212" i="3"/>
  <c r="D212" i="3"/>
  <c r="C212" i="3"/>
  <c r="B212" i="3"/>
  <c r="A212" i="3"/>
  <c r="F211" i="3"/>
  <c r="D211" i="3"/>
  <c r="C211" i="3"/>
  <c r="B211" i="3"/>
  <c r="A211" i="3"/>
  <c r="F210" i="3"/>
  <c r="D210" i="3"/>
  <c r="C210" i="3"/>
  <c r="B210" i="3"/>
  <c r="A210" i="3"/>
  <c r="F209" i="3"/>
  <c r="D209" i="3"/>
  <c r="C209" i="3"/>
  <c r="B209" i="3"/>
  <c r="A209" i="3"/>
  <c r="F208" i="3"/>
  <c r="D208" i="3"/>
  <c r="C208" i="3"/>
  <c r="B208" i="3"/>
  <c r="A208" i="3"/>
  <c r="F207" i="3"/>
  <c r="D207" i="3"/>
  <c r="C207" i="3"/>
  <c r="B207" i="3"/>
  <c r="A207" i="3"/>
  <c r="F206" i="3"/>
  <c r="D206" i="3"/>
  <c r="C206" i="3"/>
  <c r="B206" i="3"/>
  <c r="A206" i="3"/>
  <c r="F205" i="3"/>
  <c r="D205" i="3"/>
  <c r="C205" i="3"/>
  <c r="B205" i="3"/>
  <c r="A205" i="3"/>
  <c r="F204" i="3"/>
  <c r="D204" i="3"/>
  <c r="C204" i="3"/>
  <c r="B204" i="3"/>
  <c r="A204" i="3"/>
  <c r="F203" i="3"/>
  <c r="D203" i="3"/>
  <c r="C203" i="3"/>
  <c r="B203" i="3"/>
  <c r="A203" i="3"/>
  <c r="F202" i="3"/>
  <c r="D202" i="3"/>
  <c r="C202" i="3"/>
  <c r="B202" i="3"/>
  <c r="A202" i="3"/>
  <c r="F201" i="3"/>
  <c r="D201" i="3"/>
  <c r="C201" i="3"/>
  <c r="B201" i="3"/>
  <c r="A201" i="3"/>
  <c r="F200" i="3"/>
  <c r="D200" i="3"/>
  <c r="C200" i="3"/>
  <c r="B200" i="3"/>
  <c r="A200" i="3"/>
  <c r="F199" i="3"/>
  <c r="D199" i="3"/>
  <c r="C199" i="3"/>
  <c r="B199" i="3"/>
  <c r="A199" i="3"/>
  <c r="F198" i="3"/>
  <c r="D198" i="3"/>
  <c r="C198" i="3"/>
  <c r="B198" i="3"/>
  <c r="A198" i="3"/>
  <c r="F197" i="3"/>
  <c r="D197" i="3"/>
  <c r="C197" i="3"/>
  <c r="B197" i="3"/>
  <c r="A197" i="3"/>
  <c r="F196" i="3"/>
  <c r="D196" i="3"/>
  <c r="C196" i="3"/>
  <c r="B196" i="3"/>
  <c r="A196" i="3"/>
  <c r="F195" i="3"/>
  <c r="D195" i="3"/>
  <c r="C195" i="3"/>
  <c r="B195" i="3"/>
  <c r="A195" i="3"/>
  <c r="F194" i="3"/>
  <c r="D194" i="3"/>
  <c r="C194" i="3"/>
  <c r="B194" i="3"/>
  <c r="A194" i="3"/>
  <c r="F193" i="3"/>
  <c r="D193" i="3"/>
  <c r="C193" i="3"/>
  <c r="B193" i="3"/>
  <c r="A193" i="3"/>
  <c r="F192" i="3"/>
  <c r="D192" i="3"/>
  <c r="C192" i="3"/>
  <c r="B192" i="3"/>
  <c r="A192" i="3"/>
  <c r="F191" i="3"/>
  <c r="D191" i="3"/>
  <c r="C191" i="3"/>
  <c r="B191" i="3"/>
  <c r="A191" i="3"/>
  <c r="F190" i="3"/>
  <c r="D190" i="3"/>
  <c r="C190" i="3"/>
  <c r="B190" i="3"/>
  <c r="A190" i="3"/>
  <c r="F189" i="3"/>
  <c r="D189" i="3"/>
  <c r="C189" i="3"/>
  <c r="B189" i="3"/>
  <c r="A189" i="3"/>
  <c r="F188" i="3"/>
  <c r="D188" i="3"/>
  <c r="C188" i="3"/>
  <c r="B188" i="3"/>
  <c r="A188" i="3"/>
  <c r="F187" i="3"/>
  <c r="D187" i="3"/>
  <c r="C187" i="3"/>
  <c r="B187" i="3"/>
  <c r="A187" i="3"/>
  <c r="F186" i="3"/>
  <c r="D186" i="3"/>
  <c r="C186" i="3"/>
  <c r="B186" i="3"/>
  <c r="A186" i="3"/>
  <c r="F185" i="3"/>
  <c r="D185" i="3"/>
  <c r="C185" i="3"/>
  <c r="B185" i="3"/>
  <c r="A185" i="3"/>
  <c r="F184" i="3"/>
  <c r="D184" i="3"/>
  <c r="C184" i="3"/>
  <c r="B184" i="3"/>
  <c r="A184" i="3"/>
  <c r="F183" i="3"/>
  <c r="D183" i="3"/>
  <c r="C183" i="3"/>
  <c r="B183" i="3"/>
  <c r="A183" i="3"/>
  <c r="F182" i="3"/>
  <c r="D182" i="3"/>
  <c r="C182" i="3"/>
  <c r="B182" i="3"/>
  <c r="A182" i="3"/>
  <c r="F181" i="3"/>
  <c r="D181" i="3"/>
  <c r="C181" i="3"/>
  <c r="B181" i="3"/>
  <c r="A181" i="3"/>
  <c r="F180" i="3"/>
  <c r="D180" i="3"/>
  <c r="C180" i="3"/>
  <c r="B180" i="3"/>
  <c r="A180" i="3"/>
  <c r="F179" i="3"/>
  <c r="D179" i="3"/>
  <c r="C179" i="3"/>
  <c r="B179" i="3"/>
  <c r="A179" i="3"/>
  <c r="F178" i="3"/>
  <c r="D178" i="3"/>
  <c r="C178" i="3"/>
  <c r="B178" i="3"/>
  <c r="A178" i="3"/>
  <c r="F177" i="3"/>
  <c r="D177" i="3"/>
  <c r="C177" i="3"/>
  <c r="B177" i="3"/>
  <c r="A177" i="3"/>
  <c r="F176" i="3"/>
  <c r="D176" i="3"/>
  <c r="C176" i="3"/>
  <c r="B176" i="3"/>
  <c r="A176" i="3"/>
  <c r="F175" i="3"/>
  <c r="D175" i="3"/>
  <c r="C175" i="3"/>
  <c r="B175" i="3"/>
  <c r="A175" i="3"/>
  <c r="F174" i="3"/>
  <c r="D174" i="3"/>
  <c r="C174" i="3"/>
  <c r="B174" i="3"/>
  <c r="A174" i="3"/>
  <c r="F173" i="3"/>
  <c r="D173" i="3"/>
  <c r="C173" i="3"/>
  <c r="B173" i="3"/>
  <c r="A173" i="3"/>
  <c r="F172" i="3"/>
  <c r="D172" i="3"/>
  <c r="C172" i="3"/>
  <c r="B172" i="3"/>
  <c r="A172" i="3"/>
  <c r="F171" i="3"/>
  <c r="D171" i="3"/>
  <c r="C171" i="3"/>
  <c r="B171" i="3"/>
  <c r="A171" i="3"/>
  <c r="F170" i="3"/>
  <c r="D170" i="3"/>
  <c r="C170" i="3"/>
  <c r="B170" i="3"/>
  <c r="A170" i="3"/>
  <c r="F169" i="3"/>
  <c r="D169" i="3"/>
  <c r="C169" i="3"/>
  <c r="B169" i="3"/>
  <c r="A169" i="3"/>
  <c r="F168" i="3"/>
  <c r="D168" i="3"/>
  <c r="C168" i="3"/>
  <c r="B168" i="3"/>
  <c r="A168" i="3"/>
  <c r="F167" i="3"/>
  <c r="D167" i="3"/>
  <c r="C167" i="3"/>
  <c r="B167" i="3"/>
  <c r="A167" i="3"/>
  <c r="F166" i="3"/>
  <c r="D166" i="3"/>
  <c r="C166" i="3"/>
  <c r="B166" i="3"/>
  <c r="A166" i="3"/>
  <c r="F165" i="3"/>
  <c r="D165" i="3"/>
  <c r="C165" i="3"/>
  <c r="B165" i="3"/>
  <c r="A165" i="3"/>
  <c r="F164" i="3"/>
  <c r="D164" i="3"/>
  <c r="C164" i="3"/>
  <c r="B164" i="3"/>
  <c r="A164" i="3"/>
  <c r="F163" i="3"/>
  <c r="D163" i="3"/>
  <c r="C163" i="3"/>
  <c r="B163" i="3"/>
  <c r="A163" i="3"/>
  <c r="F162" i="3"/>
  <c r="D162" i="3"/>
  <c r="C162" i="3"/>
  <c r="B162" i="3"/>
  <c r="A162" i="3"/>
  <c r="F161" i="3"/>
  <c r="D161" i="3"/>
  <c r="C161" i="3"/>
  <c r="B161" i="3"/>
  <c r="A161" i="3"/>
  <c r="F160" i="3"/>
  <c r="D160" i="3"/>
  <c r="C160" i="3"/>
  <c r="B160" i="3"/>
  <c r="A160" i="3"/>
  <c r="F159" i="3"/>
  <c r="D159" i="3"/>
  <c r="C159" i="3"/>
  <c r="B159" i="3"/>
  <c r="A159" i="3"/>
  <c r="F158" i="3"/>
  <c r="D158" i="3"/>
  <c r="C158" i="3"/>
  <c r="B158" i="3"/>
  <c r="A158" i="3"/>
  <c r="F157" i="3"/>
  <c r="D157" i="3"/>
  <c r="C157" i="3"/>
  <c r="B157" i="3"/>
  <c r="A157" i="3"/>
  <c r="F156" i="3"/>
  <c r="D156" i="3"/>
  <c r="C156" i="3"/>
  <c r="B156" i="3"/>
  <c r="A156" i="3"/>
  <c r="F155" i="3"/>
  <c r="D155" i="3"/>
  <c r="C155" i="3"/>
  <c r="B155" i="3"/>
  <c r="A155" i="3"/>
  <c r="F154" i="3"/>
  <c r="D154" i="3"/>
  <c r="C154" i="3"/>
  <c r="B154" i="3"/>
  <c r="A154" i="3"/>
  <c r="F153" i="3"/>
  <c r="D153" i="3"/>
  <c r="C153" i="3"/>
  <c r="B153" i="3"/>
  <c r="A153" i="3"/>
  <c r="F152" i="3"/>
  <c r="D152" i="3"/>
  <c r="C152" i="3"/>
  <c r="B152" i="3"/>
  <c r="A152" i="3"/>
  <c r="F151" i="3"/>
  <c r="D151" i="3"/>
  <c r="C151" i="3"/>
  <c r="B151" i="3"/>
  <c r="A151" i="3"/>
  <c r="F150" i="3"/>
  <c r="D150" i="3"/>
  <c r="C150" i="3"/>
  <c r="B150" i="3"/>
  <c r="A150" i="3"/>
  <c r="F149" i="3"/>
  <c r="D149" i="3"/>
  <c r="C149" i="3"/>
  <c r="B149" i="3"/>
  <c r="A149" i="3"/>
  <c r="F148" i="3"/>
  <c r="D148" i="3"/>
  <c r="C148" i="3"/>
  <c r="B148" i="3"/>
  <c r="A148" i="3"/>
  <c r="F147" i="3"/>
  <c r="D147" i="3"/>
  <c r="C147" i="3"/>
  <c r="B147" i="3"/>
  <c r="A147" i="3"/>
  <c r="F146" i="3"/>
  <c r="D146" i="3"/>
  <c r="C146" i="3"/>
  <c r="B146" i="3"/>
  <c r="A146" i="3"/>
  <c r="F145" i="3"/>
  <c r="D145" i="3"/>
  <c r="C145" i="3"/>
  <c r="B145" i="3"/>
  <c r="A145" i="3"/>
  <c r="F144" i="3"/>
  <c r="D144" i="3"/>
  <c r="C144" i="3"/>
  <c r="B144" i="3"/>
  <c r="A144" i="3"/>
  <c r="F143" i="3"/>
  <c r="D143" i="3"/>
  <c r="C143" i="3"/>
  <c r="B143" i="3"/>
  <c r="A143" i="3"/>
  <c r="F142" i="3"/>
  <c r="D142" i="3"/>
  <c r="C142" i="3"/>
  <c r="B142" i="3"/>
  <c r="A142" i="3"/>
  <c r="F141" i="3"/>
  <c r="D141" i="3"/>
  <c r="C141" i="3"/>
  <c r="B141" i="3"/>
  <c r="A141" i="3"/>
  <c r="F140" i="3"/>
  <c r="D140" i="3"/>
  <c r="C140" i="3"/>
  <c r="B140" i="3"/>
  <c r="A140" i="3"/>
  <c r="F139" i="3"/>
  <c r="D139" i="3"/>
  <c r="C139" i="3"/>
  <c r="B139" i="3"/>
  <c r="A139" i="3"/>
  <c r="F138" i="3"/>
  <c r="D138" i="3"/>
  <c r="C138" i="3"/>
  <c r="B138" i="3"/>
  <c r="A138" i="3"/>
  <c r="F137" i="3"/>
  <c r="D137" i="3"/>
  <c r="C137" i="3"/>
  <c r="B137" i="3"/>
  <c r="A137" i="3"/>
  <c r="F136" i="3"/>
  <c r="D136" i="3"/>
  <c r="C136" i="3"/>
  <c r="B136" i="3"/>
  <c r="A136" i="3"/>
  <c r="F135" i="3"/>
  <c r="D135" i="3"/>
  <c r="C135" i="3"/>
  <c r="B135" i="3"/>
  <c r="A135" i="3"/>
  <c r="F134" i="3"/>
  <c r="D134" i="3"/>
  <c r="C134" i="3"/>
  <c r="B134" i="3"/>
  <c r="A134" i="3"/>
  <c r="F133" i="3"/>
  <c r="D133" i="3"/>
  <c r="C133" i="3"/>
  <c r="B133" i="3"/>
  <c r="A133" i="3"/>
  <c r="F132" i="3"/>
  <c r="D132" i="3"/>
  <c r="C132" i="3"/>
  <c r="B132" i="3"/>
  <c r="A132" i="3"/>
  <c r="F131" i="3"/>
  <c r="D131" i="3"/>
  <c r="C131" i="3"/>
  <c r="B131" i="3"/>
  <c r="A131" i="3"/>
  <c r="F130" i="3"/>
  <c r="D130" i="3"/>
  <c r="C130" i="3"/>
  <c r="B130" i="3"/>
  <c r="A130" i="3"/>
  <c r="F129" i="3"/>
  <c r="D129" i="3"/>
  <c r="C129" i="3"/>
  <c r="B129" i="3"/>
  <c r="A129" i="3"/>
  <c r="F128" i="3"/>
  <c r="D128" i="3"/>
  <c r="C128" i="3"/>
  <c r="B128" i="3"/>
  <c r="A128" i="3"/>
  <c r="F127" i="3"/>
  <c r="D127" i="3"/>
  <c r="C127" i="3"/>
  <c r="B127" i="3"/>
  <c r="A127" i="3"/>
  <c r="F126" i="3"/>
  <c r="D126" i="3"/>
  <c r="C126" i="3"/>
  <c r="B126" i="3"/>
  <c r="A126" i="3"/>
  <c r="F125" i="3"/>
  <c r="D125" i="3"/>
  <c r="C125" i="3"/>
  <c r="B125" i="3"/>
  <c r="A125" i="3"/>
  <c r="F124" i="3"/>
  <c r="D124" i="3"/>
  <c r="C124" i="3"/>
  <c r="B124" i="3"/>
  <c r="A124" i="3"/>
  <c r="F123" i="3"/>
  <c r="D123" i="3"/>
  <c r="C123" i="3"/>
  <c r="B123" i="3"/>
  <c r="A123" i="3"/>
  <c r="F122" i="3"/>
  <c r="D122" i="3"/>
  <c r="C122" i="3"/>
  <c r="B122" i="3"/>
  <c r="A122" i="3"/>
  <c r="F121" i="3"/>
  <c r="D121" i="3"/>
  <c r="C121" i="3"/>
  <c r="B121" i="3"/>
  <c r="A121" i="3"/>
  <c r="F120" i="3"/>
  <c r="D120" i="3"/>
  <c r="C120" i="3"/>
  <c r="B120" i="3"/>
  <c r="A120" i="3"/>
  <c r="F119" i="3"/>
  <c r="D119" i="3"/>
  <c r="C119" i="3"/>
  <c r="B119" i="3"/>
  <c r="A119" i="3"/>
  <c r="F118" i="3"/>
  <c r="D118" i="3"/>
  <c r="C118" i="3"/>
  <c r="B118" i="3"/>
  <c r="A118" i="3"/>
  <c r="F117" i="3"/>
  <c r="D117" i="3"/>
  <c r="C117" i="3"/>
  <c r="B117" i="3"/>
  <c r="A117" i="3"/>
  <c r="F116" i="3"/>
  <c r="D116" i="3"/>
  <c r="C116" i="3"/>
  <c r="B116" i="3"/>
  <c r="A116" i="3"/>
  <c r="F115" i="3"/>
  <c r="D115" i="3"/>
  <c r="C115" i="3"/>
  <c r="B115" i="3"/>
  <c r="A115" i="3"/>
  <c r="F114" i="3"/>
  <c r="D114" i="3"/>
  <c r="C114" i="3"/>
  <c r="B114" i="3"/>
  <c r="A114" i="3"/>
  <c r="F113" i="3"/>
  <c r="D113" i="3"/>
  <c r="C113" i="3"/>
  <c r="B113" i="3"/>
  <c r="A113" i="3"/>
  <c r="F112" i="3"/>
  <c r="D112" i="3"/>
  <c r="C112" i="3"/>
  <c r="B112" i="3"/>
  <c r="A112" i="3"/>
  <c r="F111" i="3"/>
  <c r="D111" i="3"/>
  <c r="C111" i="3"/>
  <c r="B111" i="3"/>
  <c r="A111" i="3"/>
  <c r="F110" i="3"/>
  <c r="D110" i="3"/>
  <c r="C110" i="3"/>
  <c r="B110" i="3"/>
  <c r="A110" i="3"/>
  <c r="F109" i="3"/>
  <c r="D109" i="3"/>
  <c r="C109" i="3"/>
  <c r="B109" i="3"/>
  <c r="A109" i="3"/>
  <c r="F108" i="3"/>
  <c r="D108" i="3"/>
  <c r="C108" i="3"/>
  <c r="B108" i="3"/>
  <c r="A108" i="3"/>
  <c r="F107" i="3"/>
  <c r="D107" i="3"/>
  <c r="C107" i="3"/>
  <c r="B107" i="3"/>
  <c r="A107" i="3"/>
  <c r="F106" i="3"/>
  <c r="D106" i="3"/>
  <c r="C106" i="3"/>
  <c r="B106" i="3"/>
  <c r="A106" i="3"/>
  <c r="F105" i="3"/>
  <c r="D105" i="3"/>
  <c r="C105" i="3"/>
  <c r="B105" i="3"/>
  <c r="A105" i="3"/>
  <c r="F104" i="3"/>
  <c r="D104" i="3"/>
  <c r="C104" i="3"/>
  <c r="B104" i="3"/>
  <c r="A104" i="3"/>
  <c r="F103" i="3"/>
  <c r="D103" i="3"/>
  <c r="C103" i="3"/>
  <c r="B103" i="3"/>
  <c r="A103" i="3"/>
  <c r="F102" i="3"/>
  <c r="D102" i="3"/>
  <c r="C102" i="3"/>
  <c r="B102" i="3"/>
  <c r="A102" i="3"/>
  <c r="F101" i="3"/>
  <c r="D101" i="3"/>
  <c r="C101" i="3"/>
  <c r="B101" i="3"/>
  <c r="A101" i="3"/>
  <c r="F100" i="3"/>
  <c r="D100" i="3"/>
  <c r="C100" i="3"/>
  <c r="B100" i="3"/>
  <c r="A100" i="3"/>
  <c r="F99" i="3"/>
  <c r="D99" i="3"/>
  <c r="C99" i="3"/>
  <c r="B99" i="3"/>
  <c r="A99" i="3"/>
  <c r="F98" i="3"/>
  <c r="D98" i="3"/>
  <c r="C98" i="3"/>
  <c r="B98" i="3"/>
  <c r="A98" i="3"/>
  <c r="F97" i="3"/>
  <c r="D97" i="3"/>
  <c r="C97" i="3"/>
  <c r="B97" i="3"/>
  <c r="A97" i="3"/>
  <c r="F96" i="3"/>
  <c r="D96" i="3"/>
  <c r="C96" i="3"/>
  <c r="B96" i="3"/>
  <c r="A96" i="3"/>
  <c r="F95" i="3"/>
  <c r="D95" i="3"/>
  <c r="C95" i="3"/>
  <c r="B95" i="3"/>
  <c r="A95" i="3"/>
  <c r="F94" i="3"/>
  <c r="D94" i="3"/>
  <c r="C94" i="3"/>
  <c r="B94" i="3"/>
  <c r="A94" i="3"/>
  <c r="F93" i="3"/>
  <c r="D93" i="3"/>
  <c r="C93" i="3"/>
  <c r="B93" i="3"/>
  <c r="A93" i="3"/>
  <c r="F92" i="3"/>
  <c r="D92" i="3"/>
  <c r="C92" i="3"/>
  <c r="B92" i="3"/>
  <c r="A92" i="3"/>
  <c r="F91" i="3"/>
  <c r="D91" i="3"/>
  <c r="C91" i="3"/>
  <c r="B91" i="3"/>
  <c r="A91" i="3"/>
  <c r="F90" i="3"/>
  <c r="D90" i="3"/>
  <c r="C90" i="3"/>
  <c r="B90" i="3"/>
  <c r="A90" i="3"/>
  <c r="F89" i="3"/>
  <c r="D89" i="3"/>
  <c r="C89" i="3"/>
  <c r="B89" i="3"/>
  <c r="A89" i="3"/>
  <c r="F88" i="3"/>
  <c r="D88" i="3"/>
  <c r="C88" i="3"/>
  <c r="B88" i="3"/>
  <c r="A88" i="3"/>
  <c r="F87" i="3"/>
  <c r="D87" i="3"/>
  <c r="C87" i="3"/>
  <c r="B87" i="3"/>
  <c r="A87" i="3"/>
  <c r="F86" i="3"/>
  <c r="D86" i="3"/>
  <c r="C86" i="3"/>
  <c r="B86" i="3"/>
  <c r="A86" i="3"/>
  <c r="F85" i="3"/>
  <c r="D85" i="3"/>
  <c r="C85" i="3"/>
  <c r="B85" i="3"/>
  <c r="A85" i="3"/>
  <c r="F84" i="3"/>
  <c r="D84" i="3"/>
  <c r="C84" i="3"/>
  <c r="B84" i="3"/>
  <c r="A84" i="3"/>
  <c r="F83" i="3"/>
  <c r="D83" i="3"/>
  <c r="C83" i="3"/>
  <c r="B83" i="3"/>
  <c r="A83" i="3"/>
  <c r="F82" i="3"/>
  <c r="D82" i="3"/>
  <c r="C82" i="3"/>
  <c r="B82" i="3"/>
  <c r="A82" i="3"/>
  <c r="F81" i="3"/>
  <c r="D81" i="3"/>
  <c r="C81" i="3"/>
  <c r="B81" i="3"/>
  <c r="A81" i="3"/>
  <c r="F80" i="3"/>
  <c r="D80" i="3"/>
  <c r="C80" i="3"/>
  <c r="B80" i="3"/>
  <c r="A80" i="3"/>
  <c r="F79" i="3"/>
  <c r="D79" i="3"/>
  <c r="C79" i="3"/>
  <c r="B79" i="3"/>
  <c r="A79" i="3"/>
  <c r="F78" i="3"/>
  <c r="D78" i="3"/>
  <c r="C78" i="3"/>
  <c r="B78" i="3"/>
  <c r="A78" i="3"/>
  <c r="F77" i="3"/>
  <c r="D77" i="3"/>
  <c r="C77" i="3"/>
  <c r="B77" i="3"/>
  <c r="A77" i="3"/>
  <c r="F76" i="3"/>
  <c r="D76" i="3"/>
  <c r="C76" i="3"/>
  <c r="B76" i="3"/>
  <c r="A76" i="3"/>
  <c r="F75" i="3"/>
  <c r="D75" i="3"/>
  <c r="C75" i="3"/>
  <c r="B75" i="3"/>
  <c r="A75" i="3"/>
  <c r="F74" i="3"/>
  <c r="D74" i="3"/>
  <c r="C74" i="3"/>
  <c r="B74" i="3"/>
  <c r="A74" i="3"/>
  <c r="F73" i="3"/>
  <c r="D73" i="3"/>
  <c r="C73" i="3"/>
  <c r="B73" i="3"/>
  <c r="A73" i="3"/>
  <c r="F72" i="3"/>
  <c r="D72" i="3"/>
  <c r="C72" i="3"/>
  <c r="B72" i="3"/>
  <c r="A72" i="3"/>
  <c r="F71" i="3"/>
  <c r="D71" i="3"/>
  <c r="C71" i="3"/>
  <c r="B71" i="3"/>
  <c r="A71" i="3"/>
  <c r="F70" i="3"/>
  <c r="D70" i="3"/>
  <c r="C70" i="3"/>
  <c r="B70" i="3"/>
  <c r="A70" i="3"/>
  <c r="F69" i="3"/>
  <c r="D69" i="3"/>
  <c r="C69" i="3"/>
  <c r="B69" i="3"/>
  <c r="A69" i="3"/>
  <c r="F68" i="3"/>
  <c r="D68" i="3"/>
  <c r="C68" i="3"/>
  <c r="B68" i="3"/>
  <c r="A68" i="3"/>
  <c r="F67" i="3"/>
  <c r="D67" i="3"/>
  <c r="C67" i="3"/>
  <c r="B67" i="3"/>
  <c r="A67" i="3"/>
  <c r="F66" i="3"/>
  <c r="D66" i="3"/>
  <c r="C66" i="3"/>
  <c r="B66" i="3"/>
  <c r="A66" i="3"/>
  <c r="F65" i="3"/>
  <c r="D65" i="3"/>
  <c r="C65" i="3"/>
  <c r="B65" i="3"/>
  <c r="A65" i="3"/>
  <c r="F64" i="3"/>
  <c r="D64" i="3"/>
  <c r="C64" i="3"/>
  <c r="B64" i="3"/>
  <c r="A64" i="3"/>
  <c r="F63" i="3"/>
  <c r="D63" i="3"/>
  <c r="C63" i="3"/>
  <c r="B63" i="3"/>
  <c r="A63" i="3"/>
  <c r="F62" i="3"/>
  <c r="D62" i="3"/>
  <c r="C62" i="3"/>
  <c r="B62" i="3"/>
  <c r="A62" i="3"/>
  <c r="F61" i="3"/>
  <c r="D61" i="3"/>
  <c r="C61" i="3"/>
  <c r="B61" i="3"/>
  <c r="A61" i="3"/>
  <c r="F60" i="3"/>
  <c r="D60" i="3"/>
  <c r="C60" i="3"/>
  <c r="B60" i="3"/>
  <c r="A60" i="3"/>
  <c r="F59" i="3"/>
  <c r="D59" i="3"/>
  <c r="C59" i="3"/>
  <c r="B59" i="3"/>
  <c r="A59" i="3"/>
  <c r="F58" i="3"/>
  <c r="D58" i="3"/>
  <c r="C58" i="3"/>
  <c r="B58" i="3"/>
  <c r="A58" i="3"/>
  <c r="F57" i="3"/>
  <c r="D57" i="3"/>
  <c r="C57" i="3"/>
  <c r="B57" i="3"/>
  <c r="A57" i="3"/>
  <c r="F56" i="3"/>
  <c r="D56" i="3"/>
  <c r="C56" i="3"/>
  <c r="B56" i="3"/>
  <c r="A56" i="3"/>
  <c r="F55" i="3"/>
  <c r="D55" i="3"/>
  <c r="C55" i="3"/>
  <c r="B55" i="3"/>
  <c r="A55" i="3"/>
  <c r="F54" i="3"/>
  <c r="D54" i="3"/>
  <c r="C54" i="3"/>
  <c r="B54" i="3"/>
  <c r="A54" i="3"/>
  <c r="F53" i="3"/>
  <c r="D53" i="3"/>
  <c r="C53" i="3"/>
  <c r="B53" i="3"/>
  <c r="A53" i="3"/>
  <c r="F52" i="3"/>
  <c r="D52" i="3"/>
  <c r="C52" i="3"/>
  <c r="B52" i="3"/>
  <c r="A52" i="3"/>
  <c r="F51" i="3"/>
  <c r="D51" i="3"/>
  <c r="C51" i="3"/>
  <c r="B51" i="3"/>
  <c r="A51" i="3"/>
  <c r="F50" i="3"/>
  <c r="D50" i="3"/>
  <c r="C50" i="3"/>
  <c r="B50" i="3"/>
  <c r="A50" i="3"/>
  <c r="F49" i="3"/>
  <c r="D49" i="3"/>
  <c r="C49" i="3"/>
  <c r="B49" i="3"/>
  <c r="A49" i="3"/>
  <c r="F48" i="3"/>
  <c r="D48" i="3"/>
  <c r="C48" i="3"/>
  <c r="B48" i="3"/>
  <c r="A48" i="3"/>
  <c r="F47" i="3"/>
  <c r="D47" i="3"/>
  <c r="C47" i="3"/>
  <c r="B47" i="3"/>
  <c r="A47" i="3"/>
  <c r="F46" i="3"/>
  <c r="D46" i="3"/>
  <c r="C46" i="3"/>
  <c r="B46" i="3"/>
  <c r="A46" i="3"/>
  <c r="F45" i="3"/>
  <c r="D45" i="3"/>
  <c r="C45" i="3"/>
  <c r="B45" i="3"/>
  <c r="A45" i="3"/>
  <c r="F44" i="3"/>
  <c r="D44" i="3"/>
  <c r="C44" i="3"/>
  <c r="B44" i="3"/>
  <c r="A44" i="3"/>
  <c r="F43" i="3"/>
  <c r="D43" i="3"/>
  <c r="C43" i="3"/>
  <c r="B43" i="3"/>
  <c r="A43" i="3"/>
  <c r="F42" i="3"/>
  <c r="D42" i="3"/>
  <c r="C42" i="3"/>
  <c r="B42" i="3"/>
  <c r="A42" i="3"/>
  <c r="F41" i="3"/>
  <c r="D41" i="3"/>
  <c r="C41" i="3"/>
  <c r="B41" i="3"/>
  <c r="A41" i="3"/>
  <c r="F40" i="3"/>
  <c r="D40" i="3"/>
  <c r="C40" i="3"/>
  <c r="B40" i="3"/>
  <c r="A40" i="3"/>
  <c r="F39" i="3"/>
  <c r="D39" i="3"/>
  <c r="C39" i="3"/>
  <c r="B39" i="3"/>
  <c r="A39" i="3"/>
  <c r="F38" i="3"/>
  <c r="D38" i="3"/>
  <c r="C38" i="3"/>
  <c r="B38" i="3"/>
  <c r="A38" i="3"/>
  <c r="F37" i="3"/>
  <c r="D37" i="3"/>
  <c r="C37" i="3"/>
  <c r="B37" i="3"/>
  <c r="A37" i="3"/>
  <c r="F36" i="3"/>
  <c r="D36" i="3"/>
  <c r="C36" i="3"/>
  <c r="B36" i="3"/>
  <c r="A36" i="3"/>
  <c r="F35" i="3"/>
  <c r="D35" i="3"/>
  <c r="C35" i="3"/>
  <c r="B35" i="3"/>
  <c r="A35" i="3"/>
  <c r="F34" i="3"/>
  <c r="D34" i="3"/>
  <c r="C34" i="3"/>
  <c r="B34" i="3"/>
  <c r="A34" i="3"/>
  <c r="F33" i="3"/>
  <c r="D33" i="3"/>
  <c r="C33" i="3"/>
  <c r="B33" i="3"/>
  <c r="A33" i="3"/>
  <c r="F32" i="3"/>
  <c r="D32" i="3"/>
  <c r="C32" i="3"/>
  <c r="B32" i="3"/>
  <c r="A32" i="3"/>
  <c r="F31" i="3"/>
  <c r="D31" i="3"/>
  <c r="C31" i="3"/>
  <c r="B31" i="3"/>
  <c r="A31" i="3"/>
  <c r="F30" i="3"/>
  <c r="D30" i="3"/>
  <c r="C30" i="3"/>
  <c r="B30" i="3"/>
  <c r="A30" i="3"/>
  <c r="F29" i="3"/>
  <c r="D29" i="3"/>
  <c r="C29" i="3"/>
  <c r="B29" i="3"/>
  <c r="A29" i="3"/>
  <c r="F28" i="3"/>
  <c r="D28" i="3"/>
  <c r="C28" i="3"/>
  <c r="B28" i="3"/>
  <c r="A28" i="3"/>
  <c r="F27" i="3"/>
  <c r="D27" i="3"/>
  <c r="C27" i="3"/>
  <c r="B27" i="3"/>
  <c r="A27" i="3"/>
  <c r="F26" i="3"/>
  <c r="D26" i="3"/>
  <c r="C26" i="3"/>
  <c r="B26" i="3"/>
  <c r="A26" i="3"/>
  <c r="F25" i="3"/>
  <c r="D25" i="3"/>
  <c r="C25" i="3"/>
  <c r="B25" i="3"/>
  <c r="A25" i="3"/>
  <c r="F24" i="3"/>
  <c r="D24" i="3"/>
  <c r="C24" i="3"/>
  <c r="B24" i="3"/>
  <c r="A24" i="3"/>
  <c r="F23" i="3"/>
  <c r="D23" i="3"/>
  <c r="C23" i="3"/>
  <c r="B23" i="3"/>
  <c r="A23" i="3"/>
  <c r="F22" i="3"/>
  <c r="D22" i="3"/>
  <c r="C22" i="3"/>
  <c r="B22" i="3"/>
  <c r="A22" i="3"/>
  <c r="F21" i="3"/>
  <c r="D21" i="3"/>
  <c r="C21" i="3"/>
  <c r="B21" i="3"/>
  <c r="A21" i="3"/>
  <c r="F20" i="3"/>
  <c r="D20" i="3"/>
  <c r="C20" i="3"/>
  <c r="B20" i="3"/>
  <c r="A20" i="3"/>
  <c r="F19" i="3"/>
  <c r="D19" i="3"/>
  <c r="C19" i="3"/>
  <c r="B19" i="3"/>
  <c r="A19" i="3"/>
  <c r="F18" i="3"/>
  <c r="D18" i="3"/>
  <c r="C18" i="3"/>
  <c r="B18" i="3"/>
  <c r="A18" i="3"/>
  <c r="F17" i="3"/>
  <c r="D17" i="3"/>
  <c r="C17" i="3"/>
  <c r="B17" i="3"/>
  <c r="A17" i="3"/>
  <c r="F16" i="3"/>
  <c r="D16" i="3"/>
  <c r="C16" i="3"/>
  <c r="B16" i="3"/>
  <c r="A16" i="3"/>
  <c r="F15" i="3"/>
  <c r="D15" i="3"/>
  <c r="C15" i="3"/>
  <c r="B15" i="3"/>
  <c r="A15" i="3"/>
  <c r="F14" i="3"/>
  <c r="D14" i="3"/>
  <c r="C14" i="3"/>
  <c r="B14" i="3"/>
  <c r="A14" i="3"/>
  <c r="F13" i="3"/>
  <c r="D13" i="3"/>
  <c r="C13" i="3"/>
  <c r="B13" i="3"/>
  <c r="A13" i="3"/>
  <c r="F12" i="3"/>
  <c r="D12" i="3"/>
  <c r="C12" i="3"/>
  <c r="B12" i="3"/>
  <c r="A12" i="3"/>
  <c r="F11" i="3"/>
  <c r="D11" i="3"/>
  <c r="C11" i="3"/>
  <c r="B11" i="3"/>
  <c r="A11" i="3"/>
  <c r="F10" i="3"/>
  <c r="D10" i="3"/>
  <c r="C10" i="3"/>
  <c r="B10" i="3"/>
  <c r="A10" i="3"/>
  <c r="F9" i="3"/>
  <c r="D9" i="3"/>
  <c r="C9" i="3"/>
  <c r="B9" i="3"/>
  <c r="A9" i="3"/>
  <c r="F8" i="3"/>
  <c r="D8" i="3"/>
  <c r="C8" i="3"/>
  <c r="B8" i="3"/>
  <c r="A8" i="3"/>
  <c r="F7" i="3"/>
  <c r="D7" i="3"/>
  <c r="C7" i="3"/>
  <c r="B7" i="3"/>
  <c r="A7" i="3"/>
  <c r="F6" i="3"/>
  <c r="D6" i="3"/>
  <c r="C6" i="3"/>
  <c r="B6" i="3"/>
  <c r="A6" i="3"/>
  <c r="T5" i="3"/>
  <c r="F5" i="3"/>
  <c r="D5" i="3"/>
  <c r="C5" i="3"/>
  <c r="B5" i="3"/>
  <c r="A5" i="3"/>
  <c r="L2" i="3"/>
  <c r="K2" i="3"/>
  <c r="I7" i="19" l="1"/>
  <c r="W2" i="2"/>
  <c r="V2" i="2"/>
  <c r="H7" i="19"/>
  <c r="X2" i="2"/>
  <c r="J7" i="19"/>
  <c r="Y2" i="2"/>
  <c r="K7"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DCC</author>
  </authors>
  <commentList>
    <comment ref="R5" authorId="0" shapeId="0" xr:uid="{00000000-0006-0000-0100-000001000000}">
      <text>
        <r>
          <rPr>
            <sz val="11"/>
            <color theme="1"/>
            <rFont val="맑은 고딕"/>
            <family val="2"/>
            <scheme val="minor"/>
          </rPr>
          <t xml:space="preserve">"일정" Sheet  일정 수정
</t>
        </r>
      </text>
    </comment>
    <comment ref="T5" authorId="0" shapeId="0" xr:uid="{00000000-0006-0000-0100-000002000000}">
      <text>
        <r>
          <rPr>
            <sz val="11"/>
            <color theme="1"/>
            <rFont val="맑은 고딕"/>
            <family val="2"/>
            <scheme val="minor"/>
          </rPr>
          <t>"일정" Sheet  일정 수정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DCC</author>
  </authors>
  <commentList>
    <comment ref="R4" authorId="0" shapeId="0" xr:uid="{00000000-0006-0000-0200-000001000000}">
      <text>
        <r>
          <rPr>
            <sz val="11"/>
            <color theme="1"/>
            <rFont val="맑은 고딕"/>
            <family val="2"/>
            <scheme val="minor"/>
          </rPr>
          <t xml:space="preserve">"일정" Sheet  일정 수정
</t>
        </r>
      </text>
    </comment>
    <comment ref="T4" authorId="0" shapeId="0" xr:uid="{00000000-0006-0000-0200-000002000000}">
      <text>
        <r>
          <rPr>
            <sz val="11"/>
            <color theme="1"/>
            <rFont val="맑은 고딕"/>
            <family val="2"/>
            <scheme val="minor"/>
          </rPr>
          <t>"일정" Sheet  일정 수정</t>
        </r>
      </text>
    </comment>
  </commentList>
</comments>
</file>

<file path=xl/sharedStrings.xml><?xml version="1.0" encoding="utf-8"?>
<sst xmlns="http://schemas.openxmlformats.org/spreadsheetml/2006/main" count="13497" uniqueCount="4575">
  <si>
    <t xml:space="preserve">
</t>
  </si>
  <si>
    <t>↖ 집계(피벗) - 수정삭제금지</t>
  </si>
  <si>
    <t>Last Update 2026.01.19</t>
  </si>
  <si>
    <t>순번</t>
  </si>
  <si>
    <t>Level 1</t>
  </si>
  <si>
    <t>Level 2</t>
  </si>
  <si>
    <t>Risk Factor</t>
  </si>
  <si>
    <t>리스크 평가</t>
  </si>
  <si>
    <t>Risk Hedge 방안</t>
  </si>
  <si>
    <t>담당자</t>
  </si>
  <si>
    <t>유관부서 검토의견
(DL건설 및 DL이앤씨 담당자)</t>
  </si>
  <si>
    <t>유관부서
담당자</t>
  </si>
  <si>
    <t xml:space="preserve"> 조치의견</t>
  </si>
  <si>
    <t>조치완료 시기</t>
  </si>
  <si>
    <t>미반영시
Hedge 방안</t>
  </si>
  <si>
    <t>전체 건수</t>
  </si>
  <si>
    <t>완료</t>
  </si>
  <si>
    <t>진행중</t>
  </si>
  <si>
    <t>불가</t>
  </si>
  <si>
    <t>반영 사항 (Hedge 내용)</t>
  </si>
  <si>
    <t>설계사 검토보고서 및  LLBS</t>
  </si>
  <si>
    <t>ITEM</t>
  </si>
  <si>
    <t>피벗</t>
  </si>
  <si>
    <t>Risk Check List 
(지금 당장 현장에서 사고나 하자가 날 부분은 어디인가</t>
  </si>
  <si>
    <t>To-do-List
(나중에  문제 생기지 않도록 하기 위한 서류와 절차를 잘 챙기고 있는가?), 해결과정중 해야할 업무</t>
  </si>
  <si>
    <t>등급</t>
  </si>
  <si>
    <t>발생확률</t>
  </si>
  <si>
    <t>영향강도</t>
  </si>
  <si>
    <t>건수</t>
  </si>
  <si>
    <t>완료일</t>
  </si>
  <si>
    <t>예정일</t>
  </si>
  <si>
    <t>대책안</t>
  </si>
  <si>
    <t>원가</t>
  </si>
  <si>
    <t>공기</t>
  </si>
  <si>
    <t>계약
조건</t>
  </si>
  <si>
    <t>Lv1</t>
  </si>
  <si>
    <t>Lv2</t>
  </si>
  <si>
    <t>전체건수</t>
  </si>
  <si>
    <t>Item</t>
  </si>
  <si>
    <t>1. 공공유휴부지 일시점용 및 사용 협의 공문 발송: 조사가 완료된 국공유지(화성시청 소유 진안동 946-4, 목동 506, 신동 864, 장지동 1133 등)의 도로점용 및 일시 사용 허가를 위해 LH, GH, 화성시와 사전 협의를 추진함.
2. 환경영향 저감계획서 작성: 가설설비 운영 시 소음/비산먼지 민원 예방을 위해 방음벽, 세륜기 설치계획 수립 및 비산먼지 특정공사 사전신고 서류를 구비함.</t>
  </si>
  <si>
    <t>빈번하거나
발생이
확실시됨
(40% 초과)</t>
  </si>
  <si>
    <t>공기 지연
(1개월 이상)
대외 민원
/사고 발생
원가 1%
초과 상승</t>
  </si>
  <si>
    <t>토목스마트ENG팀
정재호 부장
토목견적팀
문성우 부장
토목사업관리팀
김수환 부장</t>
  </si>
  <si>
    <t xml:space="preserve">입찰설계
결정회의 </t>
  </si>
  <si>
    <t>• 공사관리_야적장 부지 검토 결과 정리_ver.1_260612.pdf
• 궤도_설계추진방향_차량, 열차운영 등 인터페이스 적정성_rev.05_260608.pdf
• 궤도_설계추진방향보고_궤도, 차량, 열차운영 등 인터페이스 적정성_rev.00_260601.pdf
• 공사관리_입찰안내서 분석 및 공사관리 추진방향 검토_ver.1_260612.pdf</t>
  </si>
  <si>
    <t>1. 관계기관 합동 공정협의회 운영: 동탄인덕원선 시공사(HDC현대산업개발 등) 및 화성시 도로과, 경찰청과 중첩 구간(106, 107, 304~305 정거장 등)의 시공시기 조율 및 가시설 존치기간 최적화 협의록 작성.
2. 교통소통대책서 수립 및 경찰 심의: 교통 혼잡 교차로 구간의 차로 축소 및 노면 굴곡 최소화를 위해 3D 시뮬레이션 기반 교통처리 대책 수립.
3. 공기 산정 근거 서류 작성: 국토교통부 기준에 따라 비작업일수 등을 산정하여 네트워크 공정표에 반영.</t>
  </si>
  <si>
    <t>1. 교차로 급속 시공법 적용: 교통 통제 지연에 따른 지체상금 및 가시설 장기 존치 리스크를 회피하기 위해 교차로 구간에 Pre-cast 공법 및 초속경 콘크리트를 설계에 적극 반영함.
2. 반폭 시공 계획 최적화: 전폭 시공이 불가한 도심지 구간은 반폭 시공을 적용하되, 가시설 설치 및 차선 도색비 등 공사비 증가를 최소화하도록 작업조 투입 공정을 면밀히 설계함.</t>
  </si>
  <si>
    <t>• 공사관리_입찰안내서 분석 및 공사관리 추진방향 검토_ver.1_260612.pdf
• 토질 및 기초_설계추진방향보고_가시설 설계기준 검토_rev.00_260529.pdf</t>
  </si>
  <si>
    <t>1. 선형 조정 및 용지 협의체 운영: 트램 101 정거장(섬식 S-Curve) 및 반월삼거리 통과 구간에서 화성 진안신도시 도로 계획과 트램 부지의 불일치(최대 6.4m, 정거장부근 1.3m)를 조율하기 위한 협의체 구성 및 MOU/협의공문 시행.
2. 용지보상 지연 마일스톤 관리: 도로 폐쇄 및 용지보상 지연 리스크를 반영하여 공정 영향성을 분석하고, 주요 Key Date가 명시된 지연 대책 마일스톤 공정표를 작성함.</t>
  </si>
  <si>
    <t>1. 노선 선형 미세 조정 및 확폭 설계: 진안신도시 선형 불일치 구간은 사전에 트램 선형을 미세 조정하거나 남측 0.5m 도로 추가 확장 합의를 통해 보상 및 부지 확보 지연 리스크를 원천 제거함.
2. 대체 우회도로(Detour) 및 임시 가설도로 설치 비용 선 반영: 공사 중 부득이한 도로 폐쇄 시를 대비하여 우회 경로 확보 및 임시 도로 개설비용을 교통처리 공사비에 사전에 계상함.</t>
  </si>
  <si>
    <t>• 공사관리_입찰안내서 분석 및 공사관리 추진방향 검토_ver.1_260612.pdf
• 철도_설계추진방향보고_진안신도시 계획 고려 선형계획_rev.00_260529.pdf</t>
  </si>
  <si>
    <t>1. 표준횡단 구성 최적화 및 도면 수정: 용지 경계 초과 문제를 해결하기 위해, 입찰안내서(8.0m)와 상이한 표준횡단(7.6m)을 확정하고 경계석을 제외한 청색 2중 실선 기반의 최종 횡단도면을 작성함.
2. 건축/차량한계 간섭 검토서 작성: 벌말교(R=401.5m/397.5m), 능동지하차도(R=305m/310m) 등 기존 구조물 통과 구간의 안전 이격거리(200~250mm) 검토서 및 IP점 보정 선형계산서를 작성함.</t>
  </si>
  <si>
    <t>1. 경계석 배제 및 차선 구획을 통한 부지 최적화: 사유지 침범 및 공사비 증가 방지를 위해 경계석 대신 청색 차선으로 트램 전용로를 구획하여 용지 폭을 7.6m로 축소, 약 19억 원의 공사비를 절감하고 용지 수용 리스크를 방지함.
2. 시스템 공동관로 공간 활용 극대화 및 선형 최적화: 벌말교 및 능동지하차도 통과 시 기존 구조물의 변형 없이 안전하게 한계 내 진입할 수 있도록 곡선반경을 미세 조정하고 공동관로를 돌출형으로 배치해 공간을 최적화함.</t>
  </si>
  <si>
    <t>• 철도_설계추진방향보고_표준횡단(용지경계)_rev.00_260529.pdf
• 철도_설계추진방향보고_기존구조물 통과구간 선형검토_rev.00_260529.pdf
• 토목구조_설계추진방향 3차 보고_ver.3_260610.pdf
• 철도_설계추진방향_표준횡단(시스템 공동관로)_Rev.01_260612.pdf</t>
  </si>
  <si>
    <t>1. 지적도 및 굴착 평면도 오버랩 대조: 114 정거장 및 201 정거장 변전소 굴착부의 어스앵커 천공 각도와 길이를 산출하여, 지적도 상의 인접 사유지(제1종 전용주거지역, 롯데캐슬 아파트 등) 경계선 침범 여부를 시뮬레이션 및 검토 서류로 작성함.
2. 사유지 일시사용 동의 및 보상 서류 구비: 불가피하게 앵커가 사유지 지하를 침범할 경우를 대비하여 구분지상권 설정 또는 일시 사용에 따른 보상비 감정평가 서류를 준비함.</t>
  </si>
  <si>
    <t>1. 제거식 앵커 또는 강성 벽체(CIP) + 버팀보(Strut) 공법 변경: 사유지 침범에 따른 보상비 및 인허가 지연 리스크를 근본적으로 회피하기 위해 사유지 인접 구간은 설계 시부터 제거식 앵커를 적용하거나 내부 버팀보 지지 방식으로 변경하고 가시설 공사비를 선반영함.</t>
  </si>
  <si>
    <t>• 토질 및 기초_설계추진방향보고_가시설 설계기준 검토_rev.00_260529.pdf
• 건축_설계추진방향보고_변전소 추진방향_rev.00_260526.pdf
• 토질 및 기초_설계추진방향보고_하천통과 및 인접구조물을 고려한 가시설 적정성 검토_rev.00_260602.pdf</t>
  </si>
  <si>
    <t>1. 경찰청 및 교통정보센터 사전 협의: 차로 운영체계 및 교차로 기하구조 변경 사항을 화성시 도로과, 관할 경찰청, 도시교통정보센터(UTIC)와 공유하고 교통심의를 위한 사전 의견 조회 공문을 시행함.
2. 단계별 교통소통대책서(Staging Plan) 수립: 가시설 설치에 따른 반폭/전폭 차단 등 공사 단계별 차량 우회 동선 및 보행자 안전 대책 수립.</t>
  </si>
  <si>
    <t>1. 반폭 시공 최적화 및 교통처리 공사비 절감: 전면 통제가 불가능한 간선도로는 철저한 반폭 시공(Half-width) 단계 계획을 수립하고 차선 도색 공사비 증가를 억제함.
2. 급속 시공법 설계 반영: 반월고가 후문교차로 등 차로 축소 병목 구간의 교통 지체 리스크 대응을 위해 초속경 콘크리트 및 Pre-cast 공법을 적용하여 가시설 점용 기간을 단축함.</t>
  </si>
  <si>
    <t>• 공사관리_입찰안내서 분석 및 공사관리 추진방향 검토_ver.1_260612.pdf
• 철도_설계추진방향_2공구 반월고가 선형 검토_Rev.00_260612.pdf
• 7. 설계추진방향(1차)_신호+도로신호_r260529(양식통일).pdf</t>
  </si>
  <si>
    <t>1. 관급자재 조달 리드타임 조사: 주요 궤도 자재(레일, 분기기 등)의 발주-납품 조달 소요 기간을 정밀 조사함.
2. 사급 전환 품의서 양식 확보: 조달 불안정 시 즉시 시공사 직접 구매로 전환할 수 있도록 발주처(화성시) 사전 협의 및 특약 품의서류를 준비함.
3. 단가 비교표 작성: 물가상승률(1.858%)이 적용된 관급자재비와 시중 사급 단가 분석표 작성.</t>
  </si>
  <si>
    <t>1. 계약 조건 내 '사급 전환 특약' 제안: 하루 치 자재만 반입 가능한 협소한 현장 여건상 조달 지연이 공기 지연으로 직결되므로, 지연 시 사급 전환이 가능하도록 특약을 제안함.
2. 설계 변경을 통한 자재비 차액 보전 전략: 관급 대비 사급 단가 상승분을 설계 변경으로 즉시 보전받을 수 있도록 만회 대책 비용(Risk Budget)으로 간접비에 일부 반영함.</t>
  </si>
  <si>
    <t>• 궤도_설계추진방향_차량, 열차운영 등 인터페이스 적정성_rev.05_260608.pdf
• 궤도_설계추진방향보고_궤도, 차량, 열차운영 등 인터페이스 적정성_rev.00_260601.pdf
• 10.동탄트램 궤도시스템별 km당 공사비_궤도-01.pdf
• 10.동탄트램 궤도분기기 시스템별 틀당 공사비_궤도-01.pdf
• 공사관리_입찰안내서 분석 및 공사관리 추진방향 검토_ver.1_260612.pdf</t>
  </si>
  <si>
    <t>1. 타공구 공정회의 및 협의록 작성: 동탄~인덕원선 시공사(HDC현대산업개발 등), LH 및 화성시 등과 노선 중첩구간(106, 107 정거장 및 환기구 등) 시공 시기 및 가시설 존치 기간에 대한 사전 협의 회의록 작성.
2. 마일스톤 연동 공정표 작성: 타 선행/중첩 공구의 지장물 이설 및 부지 인계 완료 목표 시점을 'Key Date'로 하는 상세 네트워크 공정표 작성.</t>
  </si>
  <si>
    <t>1. 임의 공기단축 제안 방지: 지체상금 리스크를 예방하기 위해, 입찰안내서상 53개월 공기를 보수적으로 반영하되 교차로 급속시공(Pre-cast, 초속경 콘크리트) 공법 등만 부분 적용하여 리스크를 회피함.
2. 지장물 이설 지연 대비 클레임 근거 구비: 착공 후 선행 공구의 지연 영향을 계량화하여 향후 정당한 공기연장(EOT) 및 간접비 증액 청구 근거를 선제적으로 확보함.</t>
  </si>
  <si>
    <t>• 공사관리_입찰안내서 분석 및 공사관리 추진방향 검토_ver.1_260612.pdf</t>
  </si>
  <si>
    <t>1. 용지보상 마일스톤 연동 공정표 반영: 입찰안내서 지침에 의거, 사업 착수를 위한 사전 용지 수용 및 보상 예상 일정을 선행 마일스톤으로 공정표에 반영함.
2. 지형/선형 간섭 협의 문서 확보: 화성 진안신도시 도로 확장 계획과 본선 트램 101 정거장 등의 약 1.5m 간섭 문제 조율을 위해 영통로 우측 0.35m 선형 미세조정(보도 폭 축소) LH 협의공문을 챙김.</t>
  </si>
  <si>
    <t>1. 설계 최적화를 통한 수용 부지 최소화: 미보상 사유지 매입 지연 리스크를 최소화하기 위해, 차량기지 내 검수고와 종합관리동을 입체적으로 통합 배치하여 차량기지 필요 면적을 74,772㎡에서 65,925㎡로 대폭 축소(약 8,847㎡ 절감)하고 토공/구조물 공사비도 크게 절감함.
2. 선형 조정을 통한 분쟁 예방: 진안신도시 간섭 구간은 사전에 선형 조정을 완료해 용지 분쟁 리스크를 원천 제거함.</t>
  </si>
  <si>
    <t>• 차량기지 부대토목_설계추진방향보고_설계추진방향 차량기지 계획고별 공사비 검토_rev.00_260529.pdf
• 차량기지분야_차량기지 계획의 적정성 검토_rev.02_260609.pdf
• 철도_설계추진방향보고_진안신도시 계획 고려 선형계획_rev.00_260529.pdf</t>
  </si>
  <si>
    <t>1. 구간별 현황도(Map) 기반 지장물 매핑 대장 작성: 1공구 내 114개 기존 도로 및 7개 기존 교량 구간의 지장물(관로, 매설물) 조사 양식을 배포 및 취합하여 공정 관리도면과 연동함.
2. 부진 공정 만회 대책서(Recovery Plan) 양식 구비: 월간 계획 대비 15% 이상, 누계 10% 이상 지연 시 제출이 의무화된 만회대책(일요일 휴무일 작업 및 야간조 투입계획 등) 서식을 사전 작성해 둠.</t>
  </si>
  <si>
    <t>1. 스마트 건설기술(BIM) 기반 4D 공정 도입: 용지 보상 여부 및 지장물 이설 현황을 BIM 모델(Map)에 입력하고 공정표(Schedule)와 실시간 연동하는 4D 시뮬레이션을 선제 적용하여 지연 일수를 실시간 입증함.
2. 공사 불능일수 보수적 반영: 수원기상대 통계 및 미세먼지 저감조치 기준을 분석해 토공(18.9일/월), 구조물(16.5일/월)의 실제 작업 가능일수를 보수적으로 설계에 반영해 향후 지연일수 보상의 논리를 구축함.</t>
  </si>
  <si>
    <t>• 공사관리_기본설계 1공구 구간별 현황정리_ver.1_260612.pdf
• 공사관리_입찰안내서 분석 및 공사관리 추진방향 검토_ver.1_260612.pdf</t>
  </si>
  <si>
    <t>1. 생활환경 피해영향조사 용역 및 시뮬레이션 실시: 주거지 및 정온시설 주변의 굴착/발파와 가설 설비 운영 시 소음, 진동 저감 전/후의 영향을 예측하는 검토 보고서 작성.
2. 환경영향 저감시설 선정 보고서 작성: 가설 및 궤도 설비 운영 시 비산먼지 특정공사 사전신고서 및 다중 저감 대책(방음벽, 방진망 등) 수립.</t>
  </si>
  <si>
    <t>1. 환경관리 예산 확보: 소음/진동 민원으로 인한 공사 중단을 방지하기 위해 실시설계 시 환경관리비 항목에 가설 방음벽 및 장비 저감 예산을 선제 반영함.
2. 가설부지 위치 최적화: 민원 소지가 큰 12km700 등 초등학교/주거지 인접을 피하고, 1공구 8km900 여울동 967-117(LH 나대지 약 5,695㎡) 등 접근성이 좋고 민원이 적은 국공유지 임시 점용 허가를 조기 추진함.</t>
  </si>
  <si>
    <t>• 공사관리_입찰안내서 분석 및 공사관리 추진방향 검토_ver.1_260612.pdf
• 궤도_설계추진방향_차량, 열차운영 등 인터페이스 적정성_rev.05_260608.pdf
• 공사관리_야적장 부지 검토 결과 정리_별첨#1 1공구 근거자료_ver.1_260612.pdf</t>
  </si>
  <si>
    <t>1. 관계기관 사전 협의 공문/MOU 확보: 오산천변 하천점용(306~307 정거장), 수도권 광역상수도 관로복선화 사업(S01~103 구간), 진안신도시 지방도 318호선 확장 등 유관 사업과의 간섭 해소를 위한 사전 협의 근거 확보.
2. 인허가 마일스톤 공정표 반영: 사전 행정처리 및 인허가 일정을 주공정(CP)의 선행 Key Date로 설정한 네트워크 공정표 작성.</t>
  </si>
  <si>
    <t>1. 설계 선형 조정을 통한 간섭 배제: 진안신도시 계획과의 간섭 해결을 위해 영통로 구간 우측 0.35m 선형 미세 조정을 확정해 인허가 장기화 요인을 차단함.
2. 인허가 지연 만회 공사 예산 확보: 행정처리 지연 시 공기를 맞추기 위해 휴무일/야간조 추가 투입 등 부진 공정 만회 대책(Recovery Plan) 실행 비용을 리스크 예산으로 선반영함.</t>
  </si>
  <si>
    <t>1. 관급/사급 단가 비교 내역서 작성: 물가상승률(1.858%)이 적용된 관급자재비 단가와 시중 사급자재 구매 시의 단가 차이를 비교 분석함.
2. 대규모 물류 기지 협의 및 계획 수립: 도로 점용 내 1일 사용분 자재만 반입해야 하는 물류 제약을 극복하기 위해, 본선 외곽의 석우동 368-38 및 369-1 일원(LH 소유 잡종지 약 27,296㎡)의 점용 협의 및 1일 조달 계획서 작성.</t>
  </si>
  <si>
    <t>1. 계약 내 '사급 전환 특약' 제안: 조달청 관급 자재 파동 시 현장 셧다운을 막기 위해 관급 지연 시 즉시 사급으로 전환하여 구매할 수 있도록 발주처와 특수조건을 명문화함.
2. 사급 전환 시 단가 상승분 예비 비용 반영: 자재비 차액을 보전할 수 있는 만회 대책 비용(Risk Budget)을 간접비에 미리 산정해 두고, 외곽 물류 기지를 통해 현장에 지정 시간별 적시 공급(Just-In-Time)을 시행해 조달 지연을 예방함.</t>
  </si>
  <si>
    <t>• 궤도_설계추진방향_차량, 열차운영 등 인터페이스 적정성_rev.05_260608.pdf
• 10.동탄트램 궤도시스템별 km당 공사비_궤도-01.pdf
• 궤도_설계추진방향보고_궤도, 차량, 열차운영 등 인터페이스 적정성_rev.00_260601.pdf</t>
  </si>
  <si>
    <t>1. 조달 리드타임 연동 네트워크 공정표 작성: 조달청 발주 소요 행정 시간을 주공정 선행 조건(Key Date)으로 설정한 네트워크 공정표를 작성하여 발주처에 제출함.
2. 관급자재 사급 전환 품의서 양식 사전 확보: 조달청 유찰 및 발주 지연에 대비해 시공사 직접 구매로의 긴급 전환을 위한 협의/동의서 양식을 사전 구비함.</t>
  </si>
  <si>
    <t>1. 계약 조건 내 '자동 사급 전환' 특약 제안: 관급자재 조달 지연에 따른 주공정(CP) 지연 피해를 예방하기 위해 조달 1~2개월 지연 시 자동 사급 전환 특약을 도급계약에 반영할 것을 발주처와 사전 협의함.
2. 자재비 물가 상승 및 차액 보전 설계 반영: 물가상승률 디플레이터(1.858%)를 선반영하여 설계 변경 시 간접비(Risk Budget)로 보전할 수 있는 근거를 확립함.</t>
  </si>
  <si>
    <t>• 공사관리_입찰안내서 분석 및 공사관리 추진방향 검토_ver.1_260612.pdf
• 10.동탄트램 궤도분기기 시스템별 틀당 공사비_궤도-01.pdf</t>
  </si>
  <si>
    <t>1. 대체 대형 물류 기지(야적장) 부지 임대차 협의: 12km700 야적장 불가에 대응하여 화성시 석우동 368-38 및 369-1 일원(LH 소유 잡종지 약 27,296㎡)을 궤도 자재 및 장비 적치장으로 활용하기 위한 LH 일시사용 협의 공문을 시행함.
2. 특수 콘크리트 인근 공장 수급 조사: 교차로 급속 시공을 위한 초속경 콘크리트/모르타르의 1시간 내 납품이 가능한 인근 레미콘 공장 공급 확약 확보.</t>
  </si>
  <si>
    <t>1. 외곽 물류 거점 구축 및 적시 운송(JIT) 계획 수립: '1일 사용분 자재만 본선 반입' 규정에 대응하여, 석우동 야적장을 물류 허브로 삼아 자재 일괄 납품/가조립을 수행하고 야간에 당일 시공량만 평판 트로리 등으로 현장에 소운반(Just-In-Time) 조달하는 물류망을 구축해 공기 지연을 방어함.</t>
  </si>
  <si>
    <t>• 궤도_설계추진방향_차량, 열차운영 등 인터페이스 적정성_rev.05_260608.pdf
• 궤도_설계추진방향보고_궤도, 차량, 열차운영 등 인터페이스 적정성_rev.00_260601.pdf
• 궤도_설계추진방향보고_안전시설 및 시설물 유지관리·보수를 위한 시설설치의 적정성_rev.02_260526.pdf</t>
  </si>
  <si>
    <t>1. 우수제품/물품 식별번호 유효성 사전 검증: 내역서에 설계된 특수 자재(Pandrol Q-Track, vostalpine RF System 등)의 나라장터 우수제품 등록 및 종합쇼핑몰 식별번호 유효성을 검증하고 공급사 물품공급확약서를 징구함.
2. 품질시험비 내역 현실화: 수입/특수 자재 성능 검증(슬럼프, 압축강도, 레일용접 등 약 8,205만 원)을 위한 품질시험비 누락 여부를 확인 검증함.</t>
  </si>
  <si>
    <t>1. 실시설계 예비(복수) 승인 자재 리스트 등재: 독점/수입 자재 단종 또는 조달청 등록 말소 시 공사 중단 리스크를 차단하기 위해, 동등 이상 성능(k≈7 kN/mm/m 등)을 지닌 대체 시스템(예: 한국형 ERS)을 설계 예비 자재 목록에 사전 등재함.
2. 관급자재 단가 변동 및 물가 변동폭 재산정: 분기기 관급비 단가 변동 리스크에 대응해 시공사 리스크 예비비(Contingency)를 공사비에 할당함.</t>
  </si>
  <si>
    <t>• 10.동탄트램 궤도시스템별 km당 공사비_궤도-01.pdf
• 10.동탄트램 궤도분기기 시스템별 틀당 공사비_궤도-01.pdf</t>
  </si>
  <si>
    <t>1. 외곽 대형 물류 기지(야적장) 확보: 현장 내 장비 대기 공간 부재를 해소하기 위해, 외곽의 가용 부지(화성시 석우동 368-38 일원 등 약 27,296㎡)를 자재 가공 및 장비 대기장으로 활용하기 위한 사용 협의 및 임대차 서류를 준비함.
2. 장비 대기료 산출 내역서 작성: 표준품셈을 기준으로 궤도 장비(밴딩머신 등)의 대기/휴지료 단가를 산출하여 내역에 계상함.</t>
  </si>
  <si>
    <t>1. 장비 대기 리스크 대비 예비비 반영: 외부 요인(조달 자재 지연 등)으로 인한 장비 대기료 및 임시 주차장 비용을 실시설계 시 간접비 또는 예비비(Risk Budget)로 선제 반영함.
2. 사전 가조립(Pre-cast) 공법 적용: 외곽 야적장에서 분기기 등을 사전에 조립하여 야간에 당일 시공량만 적시 반입(Just-In-Time)함으로써 본선 현장에서의 장비 대기 리스크를 원천 예방함.</t>
  </si>
  <si>
    <t>• 궤도_설계추진방향보고_궤도, 차량, 열차운영 등 인터페이스 적정성_rev.00_260601.pdf
• 궤도_설계추진방향_차량, 열차운영 등 인터페이스 적정성_rev.05_260608.pdf</t>
  </si>
  <si>
    <t>1. 지장물 이설 사전 협의 서류 확보: 한전 전력구 지중화/휴전 일정, 수자원공사 상수도 이설, 철도공단(SRT/수인분당선 간섭)과의 공식 협의록 및 이설 동의서를 확보함.
2. 이설 연동 마일스톤 공정표 수립: 주요 지장물 이설 완료 및 부지 인도 시점을 주공정(CP)의 Key Date로 연동한 네트워크 공정표 작성.</t>
  </si>
  <si>
    <t>1. 간섭 구조물 피하는 설계 재배치: 201정거장 변전소(SRT 주차장 간섭) 및 S01정거장 변전소(망포역 E/V 간섭) 위치를 간섭이 없는 위치로 재선정 설계하여 인허가 지연 요인을 원천 제거함.
2. 지장물 지연 귀책 문서화: 착공 후 유관기관 귀책 지연 영향을 문서화하여 향후 공기 연장(EOT) 및 간접비 보상 청구 논리를 수립함.</t>
  </si>
  <si>
    <t>• 토목구조_설계추진방향보고_오산천교, 변전소, 기존구조물 검토_rev.00_260528.pdf
• 공사관리_입찰안내서 분석 및 공사관리 추진방향 검토_ver.1_260612.pdf
• 건축_설계추진방향보고_변전소 추진방향_rev.00_260526.pdf</t>
  </si>
  <si>
    <t>1. 물품식별번호 및 쇼핑몰 등록 여부 검증: 설계에 반영된 외산/독점 자재(Pandrol Q-Track, vostalpine RF System 등)의 조달청 종합쇼핑몰 등록 상태를 조회하고 공급확약서를 징구함.
2. 물가 변동 반영 단가 현행화: 2025년 4분기 기준인 분기기 및 궤도 관급자재비를 2026년 상반기 단가로 보정한 비교 내역서 작성.</t>
  </si>
  <si>
    <t>1. 복수 승인 자재 리스트 설계 등재: 특정 독점 자재 공급 중단 시 설계 변경 없이 신속 대체할 수 있도록 동등 성능의 대체 자재(예: 한국형 ERS)를 설계도서에 예비 자재로 명기함.
2. 계약 내 사급 전환 특약 제안: 조달 행정 지연에 따른 현장 셧다운을 막기 위해 납품 지연 시 시공사 직접 구매(사급) 전환 허용 특약을 반영하고 예비비(Contingency)를 공사비에 할당함.</t>
  </si>
  <si>
    <t>• 궤도_설계추진방향보고_차량 운행조건을 고려한 궤도형식 선정의 적정성_rev.00_260601.pdf
• 10.동탄트램 궤도분기기 시스템별 틀당 공사비_궤도-01.pdf
• 10.동탄트램 궤도시스템별 km당 공사비_궤도-01.pdf
• 차량기지분야_차량기지 계획의 적정성 검토_rev.02_260609.pdf</t>
  </si>
  <si>
    <t>1. 기존 교량 안전성 평가 용역 발주: 벌말교, 오리교 등 기존 교량도서 인수 및 정적/동적 안전성 평가 계획을 수립함.
2. 교각 기초 가물막이 및 선형 검토: 신설 오산천교 교각 굴착 가시설을 위한 1열 강널말뚝 가물막이 계획 및 벌말교 통과 선로 곡선반경(R=305~310m) 조정 검토서 구비.</t>
  </si>
  <si>
    <t>1. 교량 상부 형식 및 형고 조정(형하공간 확보): 반송교 교차 구간 최소 형하공간(4.5m) 확보를 위해 상부 형식을 Multi BOX로 변경하고 경간을 30m로 낮춰 4.68m를 확보하며 공사비를 약 24~28억 원 절감함.
2. 레일신축이음매 장치 추가: 종저항력 급증에 따른 교량 궤도 좌굴 리스크를 차단하기 위해 오산천교 및 기존 교량 신축부에 신축장치 26개소(약 28.2억 원)를 선반영함.</t>
  </si>
  <si>
    <t>• 토목구조_설계추진방향보고_오산천교 검토_ver.01_260605.pdf
• 토목구조_설계추진방향 3차 보고_ver.3_260610.pdf
• 궤도_설계추진방향_차량, 열차운영 등 인터페이스 적정성_rev.05_260608.pdf
• 철도_설계추진방향보고_기존구조물 통과구간 선형검토_rev.00_260529.pdf</t>
  </si>
  <si>
    <t>1. 단계별 야간 교통소통대책서 수립: 교차로 통제를 위해 경찰 협의용 차선 차단(Staging) 계획 및 후문교차로 신호 최적화 방안 수립.
2. 야간 긴급 수급망 구축: 야간 단시간 작업용 초속경 콘크리트를 1시간 이내에 공급받을 수 있도록 인근 배치플랜트(B/P) 공장과 사전 납품 확약을 진행함.</t>
  </si>
  <si>
    <t>1. 교차로 급속 시공법 적용: 야침 시공 후 아침 교통 개방을 유도하기 위해 프리캐스트(Pre-cast) 궤도 패널 및 초속경 모르타르 공법을 적극 도입함.
2. 야간 노무 할증 및 대기료 간접비 계상: 1일 자재 반입 제한 및 야간 단시간 작업에 따른 장비 대기 시간(휴지료)과 노무 할증(50%)을 리스크 헷지 예산(Risk Budget)으로 계상함.</t>
  </si>
  <si>
    <t>• 공사관리_입찰안내서 분석 및 공사관리 추진방향 검토_ver.1_260612.pdf
• 궤도_설계추진방향보고_궤도, 차량, 열차운영 등 인터페이스 적정성_rev.00_260601.pdf
• 궤도_설계추진방향보고_안전시설 및 시설물 유지관리·보수를 위한 시설설치의 적정성_rev.02_260526.pdf</t>
  </si>
  <si>
    <t>1. 노반 반복평판재하시험(CPBT) 실시 계획: 연약의심 구간(DT-4, 6, 7 등 7개소)의 다짐도 및 변형계수(Ev2 80MPa 기준)를 검증하기 위한 시험 계획 수립.
2. 인접 옹벽 자동화 계측 및 공정 관리: 동탄역 변전소 굴착 시 인근 SRT 옹벽 및 롯데캐슬 변위 변동을 방지하기 위한 자동계측계획을 수립함.</t>
  </si>
  <si>
    <t>1. 차량기지 성토FH 상향을 통한 보상 면적 축소: 보상 지연 리스크를 피하고자 차량기지 부지 계획고(FH)를 4m 상향 성토하여, 수용 용지 면적을 74,772㎡에서 65,925㎡로 대폭 축소(약 8,847㎡ 절감)하고 토공비 약 59억 원을 절감함.
2. 변전소 강성 흙막이(CIP) 공법 적용: 인접 SRT 옹벽의 변위 및 민원을 원천 차단하기 위해 10.6m 굴착용 CIP공법을 설계 반영함.</t>
  </si>
  <si>
    <t>• 토질_설계추진방향_노반 현장다짐시험 품질관리 기준 검토-01.pdf
• 차량기지 부대토목_설계추진방향보고_설계추진방향 차량기지 계획고별 공사비 검토_rev.00_260529.pdf
• 토질 및 기초_설계추진방향보고_하천통과 및 인접구조물을 고려한 가시설 적정성 검토_rev.00_260602.pdf</t>
  </si>
  <si>
    <t>1. 교차로 우회(Staging) 교통대책 수립: 후문교차로 등 횡단 및 차로 축소(2차로-&gt;1차로)에 대비한 단계별 우회 도면과 교차로 신호운영 변경(4현시-&gt;5현시)에 따른 서비스수준(LOS) 분석 보고서 작성.
2. 경찰청/교통정보센터 협의: 트램 우선신호 및 안전장치 도입을 위한 사전교통심의 의견 조회 협의록 징구.</t>
  </si>
  <si>
    <t>1. 교차로 급속 시공법 적용: 교통 통제에 따른 도로 차단 리스크를 방어하기 위해, 횡단 구간에는 프리캐스트(Pre-cast) 궤도 패널 및 초속경 콘크리트를 설계 반영해 조기 개방을 유도함.
2. 반폭 시공 및 분할 작업 계획 수립: 전면 통제 불가 노선은 반폭 시공을 적용하고 작업조 투입을 최소화하여 차선 도색비 등 추가 공사비를 절감함.</t>
  </si>
  <si>
    <t>• 공사관리_기본설계 1공구 구간별 현황정리_ver.1_260612.pdf
• 철도_설계추진방향_2공구 반월고가 선형 검토_Rev.00_260612.pdf
• 7. 설계추진방향(1차)_신호+도로신호_r260529(양식통일).pdf
• 공사관리_입찰안내서 분석 및 공사관리 추진방향 검토_ver.1_260612.pdf</t>
  </si>
  <si>
    <t>1. 정밀 현황측량 성과도 확정: 차량기지(LH 임시차고지 성토 물량 등) 및 벌말교, 능동지하차도 등 기존 도면 부재 구간의 정밀 현황측량을 즉시 발주하여 부지 경계를 조기 획정함.
2. 행정처리/보상 Key Date 연동: 용지 보상 및 지적확정측량 일정을 네트워크 공정표의 선행 조건으로 지정함.</t>
  </si>
  <si>
    <t>1. 부지 면적 최소화를 통한 인허가 범위 축소: 차량기지 계획고FH를 상향하고 건물 입체 통합 배치를 통해 용지면적을 당초 74,772㎡에서 65,925㎡로 대폭 축소(약 8,847㎡ 절감)하여 지적정리 및 농지전용 등 준공 인허가 리스크를 축소함.
2. 발주청 귀책 지연에 따른 지체상금 면제 장치 마련.</t>
  </si>
  <si>
    <t>• 차량기지분야_차량기지 계획의 적정성 검토_rev.02_260609.pdf
• 철도_설계추진방향보고_기존구조물 통과구간 선형검토_rev.00_260529.pdf
• 공사관리_입찰안내서 분석 및 공사관리 추진방향 검토_ver.1_260612.pdf</t>
  </si>
  <si>
    <t>1. 리스크 방어형 53개월 마스터 공정표 작성: 타공구(동탄~인덕원선, 친수하천, 상수도이설 등) 중첩으로 인한 지연 영향을 감안하여, 무리한 공기 단축 없이 53개월 공기를 준수하는 공정표 수립.
2. 부진공정 만회대책(Recovery Plan) 양식 구비: 휴일/야간작업 등 돌관공사 추가 예산 청구용 정산 서식 구비.</t>
  </si>
  <si>
    <t>1. 지장물 이설 귀책 입증(Claim) 논리 구축: 타공구 지장물 이설 지연이 주공정(CP)에 미치는 영향을 데이터화하여 향후 조기 개장 요구에 따른 돌관공사비 보상 및 공기연장(EOT) 클레임 근거를 명확히 함.
2. 국소적 급속 공법 적용: 무리한 전체 공기 단축 대신 교차로 등 국소 구간만 Pre-cast 공법으로 조기 개방하여 시공사 부담을 최소화함.</t>
  </si>
  <si>
    <t>1. 2공구 반월고가교 측도(삼성1로) 보도 셋백(Set-back) 구간 사유지 저촉 검토: 더원사랑의교회, 제로라인타이어, 김치찌개 미화식당, HS모터스, 에어본모터스 등 5개 영업/종교시설의 지장물 저촉 범위 분석.
2. 보상 사업비 대조: 2공구 기본설계 원안의 보상비 내역에 3개동 건물에 대한 토지/지장물 보상비 책정 여부 교차 검증.</t>
  </si>
  <si>
    <t>1. 2공구 보상 예산 사전 반영 검증: 원안 기준 저촉이 확정된 건물 3개동에 대한 토지 및 지장물 보상비를 2공구 사업비 내역에 선반영 완료(기본설계 담당자 확인)하여 보상 지연에 따른 착공 지연 리스크를 사전에 예방함.</t>
  </si>
  <si>
    <t>• 철도_설계추진방향_2공구 반월고가 선형 검토_Rev.00_260612.pdf</t>
  </si>
  <si>
    <t>1. 도로 지반고 차이에 따른 보상 민원 리스크 분석: 반월고가교 측도(삼성1로) 구간의 종단기울기(최대 58‰) 및 지반고 차(약 3m)로 인한 미화식당, 제로라인타이어 등 인접 상가의 보도 침범 및 영업 보상 요구 민원 검토.
2. 사유지 간섭 최소화를 위한 평면/종단 선형 대안 설계 검토.</t>
  </si>
  <si>
    <t>1. 선형 및 곡선반경 완화를 통한 저촉 배제: 하선 기준 후문교차로 구간의 곡선반경을 원안 R=80m, R=60m에서 R=800m, R=100m로 확대하고, 종단기울기를 58‰에서 53‰로 완화하는 대안 설계를 수립함.
2. 보도 폭 확보 및 저촉 건물 축소: 차도 폭 최적화를 병행하여 제로라인타이어 건물의 저촉을 완전 배제(보도 폭 1.50m 확보)하고, 저촉 건물을 기존 3개동에서 2개동으로 최소화함.</t>
  </si>
  <si>
    <t>1. 정거장/변전소 간섭 지장물 철거 리스크 검토:
- 망포역(S01) 외부 E/V(0.35m 저촉) 및 골든스퀘어, 디지털엠파이어A동 등 밀집 상가 주변 지하 변전실 간섭 현황 분석.
- 동탄역(201/107) 변전소 굴착(심도 10.60m, 규격 39.3m×12.2m)에 근접한 롯데캐슬 상가 건물 및 SRT 지하주차장 옹벽 간섭 여부 파악.
2. 가설 흙막이 시공 시 인접 상가 변위 방지 대책 수립.</t>
  </si>
  <si>
    <t>1. 망포역 변전소 재배치 및 간섭 원천 배제: 변전실 위치를 시점 방향으로 이동하고 정거장 배선을 변경(검토 2안 적용)하여 외부 E/V 저촉을 회피하고 2번 출입구를 통해 환승거리 116m를 확보함.
2. 동탄역 지하 변전소 지상 통합 및 강성 벽체 적용:
- SRT 지하주차장 옹벽 철거를 피하기 위해 변전소를 지상 2층 또는 지하 1층 공공시설 내로 재배치하고 필요면적 267.0㎡ 및 장비반입구(3m×4m)를 확보함.
- 인접 롯데캐슬 상가 굴착 시 변위를 억제하기 위해 흙막이 가시설 공법을 기존 H-Pile+토류판에서 차수 및 강성이 우수한 CIP 공법으로 변경 적용함.</t>
  </si>
  <si>
    <t>• 철도_설계추진방향_2공구 시점부 배선 검토_Rev.01_260612.pdf
• 철도_설계추진방향보고_2공구 시점부 배선검토_rev.00_260529.pdf
• 건축_설계추진방향보고_변전소 추진방향_rev.00_260526.pdf
• 토질 및 기초_설계추진방향보고_하천통과 및 인접구조물을 고려한 가시설 적정성 검토_rev.00_260602.pdf</t>
  </si>
  <si>
    <t>1. 변전소 터파기 구간 앵커 간섭 분석:
- 1공구 동탄변전소 굴착(심도 10.60m, 규격 39.3m×12.2m)의 롯데캐슬 아파트/상가(16.18m 이격) 및 SRT 지하주차장 램프 옹벽과의 앵커 저촉 여부 확인.
- 2공구 망포변전소(심도 10.60m)의 디지털엠파이어 빌딩 및 망포역 1번 출입구와의 가설재 간섭 분석.
2. 사유지 경계(지적도) 내 가설 흙막이 월경 방지 대책 검토.</t>
  </si>
  <si>
    <t>1. 앵커 배제를 위한 C.I.P 강성벽체 적용: 앵커 시공 시 인접 상가/아파트 사유지 침범 및 민원, 지하 구조물(SRT 옹벽) 간섭을 방지하기 위해 가설 흙막이 공법을 연약한 H-Pile+토류판 대신 차수성이 우수하고 배면 변위를 억제하는 C.I.P(Cast In Place Pile) 강성 벽체 공법으로 설계 변경하여 월경 리스크를 배제함.</t>
  </si>
  <si>
    <t>• 토질 및 기초_설계추진방향보고_하천통과 및 인접구조물을 고려한 가시설 적정성 검토_rev.00_260602.pdf</t>
  </si>
  <si>
    <t>1. 차량기지 용지 보상 계획 검토: 부지 편입에 따른 사유지 매입 보상 지연 리스크 평가.
2. 부지경계 조정을 통한 수용 면적 최소화 및 공사비 절감안 수립.</t>
  </si>
  <si>
    <t>1. 부지계획고(FH) 조정을 통한 편입 면적 축소: 차량기지 계획고(FH)를 원안 146.0m에서 150.0m로 4m 상향 성토 설계하고 종합관리동/검수고를 통합 배치하여, 용지편입면적을 기존 74,772.31㎡에서 65,925.16㎡로 8,847.15㎡ 대폭 축소함.
2. 보상 절감 및 토공 정산액 절감: 수용 대상 사유지 면적을 축소하여 보상 민원을 예방하고, 사토량 및 비탈면 옹벽 공사비 축소로 총 약 59억~77.9억 원의 공사비를 동시에 절감함.</t>
  </si>
  <si>
    <t>• 차량기지분야_차량기지 계획의 적정성 검토_rev.02_260609.pdf
• 차량기지 부대토목_설계추진방향보고_설계추진방향 차량기지 계획고별 공사비 검토_rev.00_260529.pdf
• 철도_설계추진방향보고_차량기지 계획의 적정성 검토_ver.07_260529.pdf</t>
  </si>
  <si>
    <t>1. 하천 통과 교량 주변 환경 및 유수 영향 분석: 오산천교(L=655m) 교각 배치계획 중 제외지 내 교각(P17~P18) 및 금곡저수지 7.77m 인접 교각(P15)의 하천 흐름 간섭 검토.
2. 하천설계기준에 따른 홍수량(Q=840㎥/s) 만족 통수단면 검토.
3. 반송교 진입도로 횡단 구간 형하공간(H=4.5m 이상) 부족 검토.</t>
  </si>
  <si>
    <t>1. 교량 경간장 확대 및 교각 정렬: 하천 기준 홍수량(840㎥/s)을 만족하기 위해 교량 경간장을 최소 24.2m 이상으로 확보하고, 기존 나루교와 교각 위치를 일렬로 설계 배치하여 통수 단면을 최적화함.
2. 경간장 미세 조정 및 저형고 형식 도입: 반송교 진입도로 구간은 도로 경간을 35m에서 30m로 조정하고 형고가 낮은 구조 형식을 도입함으로써 기존 도로 계획고를 유지하면서도 형하공간 4.5m를 확보하여 유수 흐름 저해와 인허가 지연에 따른 공사 중단 리스크를 해소함.</t>
  </si>
  <si>
    <t>• 토목구조_설계추진방향보고_오산천교 검토_ver.01_260605.pdf
• 토질 및 기초_설계추진방향보고_하천통과 및 인접구조물을 고려한 가시설 적정성 검토_rev.00_260602.pdf</t>
  </si>
  <si>
    <t>1. 용지 및 잔여지 침범 여부 검토:
- 차량기지 부지 계획에 따른 편입 사유지 용지 경계의 잔여지 발생 방지 검토.
- 본선 복선/단선 구간의 표준 횡단면 상 용지 경계 폭(RFP 기준 8.0m) 과다 설정에 따른 사유지 침범 리스크 스캔.</t>
  </si>
  <si>
    <t>1. 계획고 FH 조정을 통한 차량기지 수용 경계 축소: 차량기지 계획고(FH)를 150.0m로 4m 상향하여 비탈면 옹벽 범위를 축소함으로써 용지 수용 면적을 74,772㎡에서 65,925㎡로 8,847㎡ 대폭 감소시켜 잔여지 발생을 최소화함.
2. 청색 이중실선 차선 반영을 통한 본선 용지경계 최적화: 경계석을 제외하고 차선 중심선을 용지 경계로 재설정하여 복선 표준 폭을 8.0m에서 7.6m로 0.4m 정밀 축소(공사비 약 19억 원 절감)하여 사유지 침범을 원천 예방함.</t>
  </si>
  <si>
    <t>• 차량기지분야_차량기지 계획의 적정성 검토_rev.02_260609.pdf
• 차량기지 부대토목_설계추진방향보고_설계추진방향 차량기지 계획고별 공사비 검토_rev.00_260529.pdf
• 철도_설계추진방향보고_표준횡단(용지경계)_rev.00_260529.pdf</t>
  </si>
  <si>
    <t>1. 궤도/노반 인터페이스 배수계획 검토: 매립형 트램 궤도의 특성(레일홈 및 표면 우수 집수)을 고려하여 노반의 횡배수관 위치 및 심도가 용지 경계 내에 포함되는지 확인.
2. 100년 빈도 강우 및 동절기 동상 방지를 고려한 배수 플륨관 및 집수정 배치 적정성 검증.</t>
  </si>
  <si>
    <t>1. 본선 배수시스템 단순화 및 기존 하수관 결속: 기본설계의 복잡한 선로 사이 플륨관 및 종방향 배수관(L=140m 등) 계획을 전면 배제함.
2. 횡배수관의 수평 유출 경로 최적화: 매립형 궤도 트렌치 하면에 D150~D200mm 규격의 횡배수관을 50m~200m 간격으로 설치하여 기존 도로의 우수받이 맨홀로 직접 연결·유출하는 배수 단순화 대안을 적용하여 배수관로 용지 월경을 방지하고 공사비 11억 원을 절감함.</t>
  </si>
  <si>
    <t>• 철도_설계추진방향보고_본선배수계획_rev.00_260529.pdf
• 궤도_설계추진방향보고_궤도, 차량, 열차운영 등 인터페이스 적정성_rev.00_260601.pdf</t>
  </si>
  <si>
    <t>1. 협소 구간 보도 셋백(Set-back) 및 지장물 저촉 검토:
- 2공구 반월고가 측도(삼성1로) 편도 1차로 유지를 위한 보도 셋백 및 건물(3개동) 저촉 최소화 대안 분석.
- 망포역 101정거장 영통로 구간 내 화성진안신도시 도로 확장 계획의 트램 부지 1.51m 불일치 간섭 검토.</t>
  </si>
  <si>
    <t>1. 반월고가 평면/종단 선형 조정을 통한 보도 셋백 최적화: 하선 기준 후문교차로 구간의 곡선반경 R=80/60m를 R=800/100m로 완화하고 종단기울기를 53‰로 조정하여 보도 폭 1.50m를 확보하고 상가(제로라인타이어 등) 저촉 건물을 3개동에서 2개동으로 줄여 건물 철거 리스크를 회피함.
2. 영통로 구간 트램 선형 이동 및 보도 축소: 트램 선형을 우측으로 0.35m 미세 조정하고 보도 폭을 기존 6.25m에서 5.90m로 일부 셋백 축소하여 추가 사유지 수용 없이 기존 도로 경계 내에 노선과 차로를 모두 수용함.</t>
  </si>
  <si>
    <t>• 철도_설계추진방향_2공구 반월고가 선형 검토_Rev.00_260612.pdf
• 철도_설계추진방향보고_진안신도시 계획 고려 선형계획_rev.00_260529.pdf</t>
  </si>
  <si>
    <t>1. 변전소 및 부대시설 가동 연동 검증: 53개월 절대 공기(RFP 기준) 내 변전소 등 필수 전력 공급 시설의 단독 시운전 및 종합시험운행 연계 일정 확인.
2. 공공 건설공사의 공사기간 산정기준에 따른 철도 준비기간(90일) 및 본공사와의 연동 분석.</t>
  </si>
  <si>
    <t>1. 시운전 기간과 본공사의 병행 공정 수립: 별도의 정리기간을 두지 않고, 본공사 마무리 단계와 '철도종합시험운행'을 병행 수행하는 통합 마스터 네트워크 공정표를 수립함으로써, 개별 시운전에 따른 공기 연장 리스크를 해소하고 53개월 절대 공기 내 부대시설 가동 및 개통을 준수함.</t>
  </si>
  <si>
    <t>1. 가설 야적장/물류기지 확보 및 점용 인허가 검토: 궤도 조립 및 장비 대기 부지(필요면적 4,000㎡)의 소유주(LH 등) 및 지목별 농지전용 등 행정 절차 지연 여부 분석.
2. 차량기지 토공 사토량 및 운반로(L=10km 기준) 확보 인허가 여부 확인.</t>
  </si>
  <si>
    <t>1. 잡종지 활용을 통한 인허가 회피 및 거점 확보: LH 소유이자 지목이 '잡종지'인 석우동 368-38, 369-1 부지(합산 약 27,296㎡)를 통합 야적장으로 추천 선정하여 농지전용 등 추가 인허가 절차를 배제함(농지 저촉인 신동 647, 면적 부족인 진안동 946-2 NG 배제).
2. 차량기지 성토 조정을 통한 사토량 최소화: 차량기지 부지계획고(FH)를 146.0m에서 150.0m로 4m 상향 성토하여 사토 공사비를 42.4억 원에서 25.7억 원으로 대폭 감소시키고 사토 반출 리스크를 줄임.</t>
  </si>
  <si>
    <t>• 공사관리_야적장 부지 검토 결과 정리_ver.1_260612.pdf
• 차량기지분야_차량기지 계획의 적정성 검토_rev.02_260609.pdf</t>
  </si>
  <si>
    <t>1. 구조물 구간 내 시스템 공동관로(ELP 125mm) 매설 간섭 검토: 벌말교(L=475m) 및 능동지하차도(L=919.16m) 통과 시 콘크리트 박스 단면(폭 1.16m×높이 0.71m) 적용에 따른 건축한계 침범 여부 확인.
2. 오산천교(L=655m) 교각 시공에 따른 하천점용허가 및 제방 굴착 인허가 난이도 리스크 분석.</t>
  </si>
  <si>
    <t>1. 파스콘트로프 공법 적용을 통한 건축한계 내 매설: 벌말교 등 교량/지하차도 구간은 콘크리트 박스 대신 부피가 작고 보도 셋백이 불필요한 '파스콘트로프 + 경계석 설치' 공법(단가 800,000원/m)으로 변경 설계하여 기존 도로 경계 내에 수용함.
2. 오산천교 신설 배제를 통한 하천점용 리스크 원천 소거: 제방 굴착 및 하천 가물막이 시공 등에 따른 인허가 지연을 예방하기 위해 오산천교(L=655m) 교량 신설 계획을 취소하고, 기존 도로망(동탄나루로~동탄신리천로 6차선)을 우회(노면 L=2,223m)하는 대안 노선 2안을 수립하여 하천 점용 리스크를 원천 제거함.</t>
  </si>
  <si>
    <t>• 철도_설계추진방향_표준횡단(시스템 공동관로)_Rev.01_260612.pdf
• 철도_설계추진방향보고_기존구조물 통과구간 선형검토_rev.00_260529.pdf
• 철도_설계추진방향_1공구 오산천교 대안선형 검토_Rev.02_260612.pdf</t>
  </si>
  <si>
    <t>1. 사토장 운반거리 및 물량 검토: 차량기지 계획고(FH=146.0m) 기준의 과다한 흙깎기 및 사토 발생량 확인.
2. 사토장 운반거리 과소산정 오류(5km)를 실제 운반거리(10km)로 보정하고 그에 따른 단가 상승 및 사토 처리비 증가 리스크 분석.</t>
  </si>
  <si>
    <t>1. 부지계획고 상향을 통한 사토량 저감: 차량기지 부지계획고를 원안 146.0m에서 150.0m로 4m 상향 성토 설계하여 사토 발생량을 최소화함.
2. 사토 처리비 및 총 토목 공사비 절감: 사토 처리 비용을 기본설계 61.3억 원에서 25.7억 원으로 35.6억 원 절감하였으며, 전체 차량기지 토목 공사비를 171.5억 원에서 93.6억 원으로 총 77.9억 원 대폭 절감하여 운반단가 상승 리스크를 헷지함.</t>
  </si>
  <si>
    <t>• 차량기지분야_차량기지 계획의 적정성 검토_rev.02_260609.pdf
• 차량기지 부대토목_설계추진방향보고_설계추진방향 차량기지 계획고별 공사비 검토_rev.00_260529.pdf</t>
  </si>
  <si>
    <t>1. 본선 궤도 경계 교통시설물 복구 계획 검토: 본선 표준 횡단면 상 용지 경계(RFP 기준 8.0m) 획정을 위한 돌출형 경계석 설치 계획의 도로 잠식 및 복구비 비효율성 분석.
2. 교통 안전시설물(경계 및 차선 표시) 신설/복구 비용의 적정성 검증.</t>
  </si>
  <si>
    <t>1. 청색 이중실선 차선을 활용한 교통시설물 최적화: 돌출형 경계석 설치 대신 교통노면표시 기준에 부합하는 '청색 이중실선(차선)' 도색 공법을 설계에 적용하여 표준 횡단 용지 폭을 8.0m에서 7.6m로 0.4m 정밀 축소함.
2. 시공 단순화를 통한 복구 공사비 절감: '경계석 + 백색실선 1선' 대신 단순 차선 도색 공법을 적용하여 도로 복구 공사비를 약 19억 원 절감하고 용지 월경 리스크를 배제함.</t>
  </si>
  <si>
    <t>• 철도_설계추진방향보고_표준횡단(용지경계)_rev.00_260529.pdf</t>
  </si>
  <si>
    <t>1. 도로 및 교차로 점용 시 야간 공사 차단시간 확보 여부 확인.
2. 국토교통부 훈령 '공공 건설공사의 공사기간 산정기준'에 따른 준비기간(90일) 및 주요 공종(토공/가시설)의 1일 작업량 설계 반영 검증.
3. 특수 공종(궤도 매립공사 등)의 야간 작업 효율 및 작업능력 품 산정 적정성 검토.</t>
  </si>
  <si>
    <t>1. 유사 사업 실적 및 실제 시공사 자문 반영: 매립형 궤도공종의 일 작업능력은 대전도시철도 2호선 및 위례선 트램 실시설계 실적 데이터를 적용함.
2. 급속시공 및 반폭시공 자문 활용: 교차로 야간 공사의 조기 개방을 위한 '초속경 콘크리트' 사용 여부 및 도로 반폭/전폭 시공 시의 작업 효율을 도출하기 위해 위례선 트램 실제 시공사인 정주KSR 및 트리폴건설의 현장 기술 자문을 추진하여 공기 지연 리스크를 사전 예방함.</t>
  </si>
  <si>
    <t>1. 중첩 구간 행정처리 및 인허가 연동 분석: 동탄~인덕원선(12공구/18번 환기구), 오산천 친수하천, 광역상수도 관로복선화 사업 등 다수의 사업과 노선/공기가 중첩되는 구간의 인허가 선행 일정 확인.
2. 인허가 지연에 따른 53개월 개통 지연 리스크 평가.</t>
  </si>
  <si>
    <t>1. 관계기관 협의 일정을 마스터 공정의 Key Date로 연동: 국가철도공단, LH, 한국수자원공사 등 유관기관과의 부지 인계 및 행정 인허가 완료 일정을 공정표 상의 선행조건(Key Date)으로 명시함.
2. CP 영향 관리: 행정 처리 지연이 주공정선(CP)에 미치는 여파를 상시 시뮬레이션하여 공기 지연 리스크를 예방함.</t>
  </si>
  <si>
    <t>1. 농지/산지 편입 및 부담금 발생 구간 파악: 궤도 임시 야적장 및 본선 계획 중 농지(답/전) 편입 구역(신동 647(답) 4,651㎡, 망포동 234-72(전) 56,636㎡ 등)의 농지전용 등 추가 인허가 협의 사항 확인.
2. 농지전용/대체산림 부담금 최소화를 위한 부지 축소 대안 검토.</t>
  </si>
  <si>
    <t>1. 부지 성토 조정을 통한 농지/임야 편입 최소화: 대규모 사유지 수용이 일어나는 차량기지 구간의 계획고(FH)를 150.0m로 4m 상향 조정하고 종합건물 배치를 최적화함.
2. 수용면적 축소를 통한 전용 부담금 절감: 차량기지 용지 면적을 기존 74,772㎡에서 65,925㎡로 8,847㎡ 대폭 축소하여 농지/산지 전용 부담금 및 보상 민원 규모를 축소하고, 토목 공사비 77.9억 원을 절감함.</t>
  </si>
  <si>
    <t>• 공사관리_야적장 부지 검토 결과 정리_ver.1_260612.pdf
• 차량기지분야_차량기지 계획의 적정성 검토_rev.02_260609.pdf
• 궤도_설계추진방향_차량, 열차운영 등 인터페이스 적정성_rev.05_260608.pdf</t>
  </si>
  <si>
    <t>1. 노선 우회 및 선형 조정에 따른 도로구역 추가 편입/해제 리스크 분석: 오산천교(L=655m) 배제 대안 노선(대안 2안) 채택 시 동탄나루로/동탄신리천로 6차선 도로 상의 도로구역 변경 고시 영향 검토.
2. 정거장 추가(1개소) 및 도로 셋백 변경에 따른 공사비 증액 예산 반영 여부 확인.</t>
  </si>
  <si>
    <t>1. 노선 변경에 따른 도로구역 변경 및 증액 예산 사전 반영: 오산천 통과 구간 우회(노면 L=2,223m) 설계 대안을 적용하는 과정에서 정거장 1개소 추가 및 도로구역 조정이 수반됨.
2. 추가 공사비 예산 확보: 정거장 추가에 따른 건축/구조물 비용 5.16억 원(건축 3.71억, 구조물 1.45억) 및 도로구역 보도 셋백 비용 약 15억 원을 설계 예산에 사전 반영하여, 도로구역 변경 고시 지연 및 예산 초과 리스크를 헷지함.</t>
  </si>
  <si>
    <t>• 철도_설계추진방향_1공구 오산천교 대안선형 검토_Rev.02_260612.pdf</t>
  </si>
  <si>
    <t>1. 절토 사면 높이에 따른 붕괴 리스크 검토: 차량기지 종점부 단차 구간 비탈면 안정성 검토 및 원안(FH=146.0m) 기준 깎기부 옹벽(연장 L=547.5m, 면적 A=6,064.7㎡)의 시공 중 사면 안정 위험성 분석.
2. 사면 보강 대책 수립 및 공사비 적정성 검증.</t>
  </si>
  <si>
    <t>1. 부지계획고 상향을 통한 비탈면 높이 절감: 차량기지 계획고를 FH=150.0m로 4m 상향하여 절토 사면 높이 자체를 낮춤으로써 비탈면 붕괴 위험을 근본적으로 완화함.
2. 사면 옹벽 규모 및 공사비 축소: 깎기부 옹벽 연장을 L=246.8m(300.7m 감소)로, 면적을 A=2,524.5㎡(3,540.2㎡ 감소)로 획기적으로 줄여 사면의 자립식 안정성을 높이고 옹벽 공사비를 59.6억 원에서 25.6억 원으로 약 34억 원 절감함.</t>
  </si>
  <si>
    <t>1. 교통 전환 단계별 가포장/우회도로 물량 분석: 도심지 도로 및 교차로 점용 시 교통 우회(Staging)에 따른 가포장 물량 산정 및 차로 차단 지연 리스크 평가.
2. 교통 차단 민원 방지를 위한 조기 교통 개방 대안 검토.</t>
  </si>
  <si>
    <t>1. 반폭 시공 및 Pre-cast 조립공법 설계 반영: 도로 전면 차단을 차단하고 기존 차로를 최소한으로 유지하는 '반폭 시공'과 공장에서 사전 제작하는 'Pre-cast 궤도 패널' 조립 공법을 교차로에 적용하여 임시 복구 공사비를 절감함.
2. 초속경 모르타르 타설을 통한 조기 차량 통행 유도: 도상 콘크리트 양생 시간을 대폭 단축하는 '초속경 모르타르(콘크리트)'를 설계 적용하여 야간 단시간 차단 후 시공 즉시 일반 차량 통행을 허용함으로써 교통 통제 가포장 물량을 최소화함.</t>
  </si>
  <si>
    <t>• 궤도_설계추진방향보고_안전시설 및 시설물 유지관리·보수를 위한 시설설치의 적정성_rev.02_260526.pdf
• 공사관리_입찰안내서 분석 및 공사관리 추진방향 검토_ver.1_260612.pdf</t>
  </si>
  <si>
    <t>1. 사유지 경계 상의 잔여지 저촉 리스크 분석:
- 차량기지 부지 수용에 따른 경계 잔여지 발생 방지 검토.
- 본선 구간의 표준 횡단면 상 용지 경계 폭(8.0m) 과다 적용에 따른 도로 인접 상가 사유지 침범 및 잔여지 발생 가능성 스캔.</t>
  </si>
  <si>
    <t>1. 차량기지 용지 구획 정밀 축소: 부지계획고를 FH=150.0m로 상향하여 차량기지 용지 수용 면적을 당초 74,772㎡에서 65,925㎡로 8,847㎡ 대폭 감소(토목 공사비 약 77.9억 원 절감)시켜 잔여지 발생을 최소화함.
2. 본선 횡단 폭 축소 설계를 통한 간섭 원천 배제: 돌출형 경계석 대신 청색 이중실선 차선을 활용하여 표준 용지 폭을 8.0m에서 7.6m로 0.4m 축소 설계함으로써 도로 경계선 내에 노선을 수용하고 인접 상가 사유지 침범에 따른 잔여지 민원을 차단함.</t>
  </si>
  <si>
    <t>• 차량기지 부대토목_설계추진방향보고_설계추진방향 차량기지 계획고별 공사비 검토_rev.00_260529.pdf
• 철도_설계추진방향보고_표준횡단(용지경계)_rev.00_260529.pdf
• 차량기지분야_차량기지 계획의 적정성 검토_rev.02_260609.pdf</t>
  </si>
  <si>
    <t>1. 시스템 공동관로 사유지 침범 여부 검토: 벌말교(L=475m) 및 능동지하차도(L=919.16m) 등 기존 구조물 구간 내 시스템 공동관로(ELP 125mm)를 무근/철근콘크리트 박스로 시공 시 사유지 및 도로 한계 침범 리스크 분석.
2. 관로 폭 및 점용 면적 최소화 방안 검토.</t>
  </si>
  <si>
    <t>1. 공동관로 공법 변경을 통한 점용 폭 축소: 단면이 큰 콘크리트 박스 대신 부피가 작고 시공이 우수한 '파스콘트로프 + 경계석 설치' 공법(단가 800,000원/m)으로 변경하여 기존 교량/지하차도 보도 구간 내 용지 한계 안에 공동관로를 수용함으로써 사유지 점용 및 보상 리스크를 해소함.</t>
  </si>
  <si>
    <t>• 철도_설계추진방향_표준횡단(시스템 공동관로)_Rev.01_260612.pdf
• 철도_설계추진방향보고_시스템공동관로_rev.00_260529.pdf</t>
  </si>
  <si>
    <t>1. 차량기지 및 본선 깎기부 암반 굴착 계획 검토: 차량기지 흙깎기(원안 FH=146.0m) 시 발생하는 다량의 암석 굴착 공법 및 절토 사면용 깎기 옹벽(연장 L=547.5m, 면적 A=6,064.7㎡, 공사비 59.6억 원)에 적용된 굴착 사이클타임 분석.
2. 암석 굴착에 따른 암매각 단가(75% 수준) 적용 적정성 확인.</t>
  </si>
  <si>
    <t>1. 계획고 FH 조정을 통한 암 굴착 최소화: 차량기지 계획고를 FH=150.0m로 4m 상향 성토 설계하여 절토 사면 높이를 낮춤으로써 대규모 암반 굴착 소요 자체를 회피함.
2. 옹벽 규모 및 암반 처리비 삭감: 깎기 옹벽 연장을 300.7m 감소시키고 옹벽 면적을 3,540.2㎡ 축소하여 옹벽 공사비를 25.4억 원으로 감축함. 또한 암매각(75% 반영, 잔여 25% 처리)을 설계 예산 내역에 적용하여 공사비 정산 리스크를 제어함.</t>
  </si>
  <si>
    <t>• 차량기지 부대토목_설계추진방향보고_설계추진방향 차량기지 계획고별 공사비 검토_rev.00_260529.pdf
• 차량기지분야_차량기지 계획의 적정성 검토_rev.02_260609.pdf</t>
  </si>
  <si>
    <t>1. 가설 도로 및 공사 점용구간 안전시설물 계획 검토: 2공구 반월고가 측도 후문교차로 등 도로 점용에 따른 차로 축소(2차로→1차로) 및 교통 통제 시 임시 신호운영 체계 분석.
2. 유관기관(경찰청 등) 협의에 따른 임시 신호수 및 안전시설물 설치 요구사항 반영 여부 확인.</t>
  </si>
  <si>
    <t>1. 교차로 신호운영 최적화 수립: 차로 축소에 대응하여 후문교차로 신호 체계를 기존 4현시에서 All Red 신호를 포함한 5현시 체계로 변경 설계하여 제어 지체를 LOS C~D 등급으로 관리함.
2. 급속시공 공법을 통한 점용기간 최소화: '반폭 시공'과 'Pre-cast 궤도 패널' 조립 공법을 적용하고, 양생 시간을 극단적으로 축소하는 '초속경 모르타르' 타설 계획을 설계에 반영하여 일반 차로 조기 개방을 유도하고 안전시설 가설비를 절감함.</t>
  </si>
  <si>
    <t>• 철도_설계추진방향_2공구 반월고가 선형 검토_Rev.00_260612.pdf
• 궤도_설계추진방향보고_안전시설 및 시설물 유지관리·보수를 위한 시설설치의 적정성_rev.02_260526.pdf</t>
  </si>
  <si>
    <t>1. 미시추 구간 및 도로포장 구간 지반 조사계획 검토: 노선 및 정거장 내 용지 보상/도로 점용 지연으로 정밀 지반 조사를 수행하지 못한 연약지반 및 포장 구간 현황 파악.
2. 구조물 상재하중 작용부의 노반 품질 보강 지침 수립.</t>
  </si>
  <si>
    <t>1. 현장다짐 품질시험을 통한 지반 지지력 검증: 궤도 기초 노반 시공 시 시추 정보가 부족하거나 연약지반으로 의심되는 구간에 대해 반복평판재하시험(CPBT) 및 동평판재하시험을 의무 실시함.
2. 연약노반 보강 설계: 변형계수 품질 기준치(Ev2=80MPa) 미달 시 즉시 굴착 치환(강화노반) 또는 시멘트 안정처리 공법을 적용하도록 설계를 강화하여 부등침하 리스크를 헷지함.</t>
  </si>
  <si>
    <t>• 토질_설계추진방향_노반 현장다짐시험 품질관리 기준 검토-01.pdf</t>
  </si>
  <si>
    <t>1. 토공 운반 계획 및 운반거리 보정 검토: 차량기지 흙깎기 다량 발생에 따른 사토장 운반거리 과소산정 오류(5km)를 실제 운반거리(10km)로 보정하고 용지 보상 지연 공정을 반영한 토공 계획 수립.
2. 보상 지연 시 토사 반출 지체 리스크 평가.</t>
  </si>
  <si>
    <t>1. 부지계획고 FH 상향을 통한 보상 범위 및 토공량 축소: 차량기지 부지계획고를 원안 FH=146.0m에서 FH=150.0m로 4m 상향 성토하여 수용지 편입 면적을 74,772.31㎡에서 65,925.16㎡로 8,847.15㎡ 축소해 보상 지연 리스크를 대폭 낮춤.
2. 사토 처리비용 삭감: 흙깎기 최소화로 사토 처리비를 61.3억 원에서 25.7억 원으로 절감하고 덤프 운반 동선을 최소화하여 토공 계획을 단순화함.</t>
  </si>
  <si>
    <t>1. 임시 가설부지(야적장 등)의 사유지 인허가 적합성 검토: 궤도 및 자재 조립 야적장(필요면적 4,000㎡)을 민간 사유지나 농지(답/전)로 계획 시 발생하는 농지전용 부담금 및 인허가 불허 리스크 확인.
2. 공공 용지(LH 소유 등) 활용 가능 부지 검색.</t>
  </si>
  <si>
    <t>1. 잡종지 활용을 통한 인허가 리스크 원천 헷지: LH 소유이면서 인허가 제약이 없는 지목인 '잡종지'로 획정된 석우동 368-38, 369-1번지 부지(합산 약 27,296㎡)를 통합 야적장으로 설계 반영하여 사유지 전용 인허가 불허 리스크를 차단함.
2. 사토 반출 최소화 연계: 차량기지 FH=150.0m 상향 성토 설계로 사토 발생량 자체를 저감하여 예비 사토장 인허가 소요를 최소화함.</t>
  </si>
  <si>
    <t>• 공사관리_야적장 부지 검토 결과 정리_ver.1_260612.pdf
• 궤도_설계추진방향_차량, 열차운영 등 인터페이스 적정성_rev.05_260608.pdf
• 차량기지분야_차량기지 계획의 적정성 검토_rev.02_260609.pdf</t>
  </si>
  <si>
    <t>1. 품질/안전 노무 예산 요율 적용성 검증: 공기 단축 및 지연 리스크 방지를 위한 궤도 공사비 내역 상의 품질/안전 관리자 인건비(간접노무비 및 제경비) 반영 여부 확인.
2. 공공 공기 산정기준에 따른 산업재해 및 고용보험 등 법정 경비 누락 여부 검토.</t>
  </si>
  <si>
    <t>1. 노무비 기반 고정 간접비 법정 요율 책정: 순공사원가 산출 시 간접노무비(직접노무비의 18.9%), 산업재해보상보험료(노무비의 3.56%), 고용보험료(노무비의 1.01%)를 일괄 산식 적용해 고정 경비로 예산 내역에 반영함.
2. 여유 공기 반영을 통한 안전 관리비 안정성 확보: 90일(3개월)의 준비기간을 보장하여 무리한 돌관에 따른 안전 리스크를 예방하고 공종별 실적 단가를 적용함.</t>
  </si>
  <si>
    <t>• 10.동탄트램 궤도시스템별 km당 공사비_궤도-01.pdf
• 10.동탄트램 궤도분기기 시스템별 틀당 공사비_궤도-01.pdf
• 공사관리_입찰안내서 분석 및 공사관리 추진방향 검토_ver.1_260612.pdf</t>
  </si>
  <si>
    <t>1. 사용승인(준공) 선결 행정처리 검토: 차량기지 부지 내 기존 LH 임시버스차고지 성토에 대한 정밀 확인측량 등 준공 정산 행정 일정 확인.
2. 중첩 공구 간섭 일정 분석: 동탄~인덕원선 12공구(HDC현대산업개발, ~29년 5월), 오산천 친수하천공사(LH) 등 노선 중첩 구간의 행정 및 부지 인도 일정 분석.</t>
  </si>
  <si>
    <t>1. 중첩 구간 부지 인계 일정을 Key Date로 연동: HDC, LH 등 유관기관과의 부지 인도 일정을 마스터 네트워크 공정표 상의 선행조건인 Key Date(마일스톤)로 명시하여, 행정 처리 지연에 따른 트램 시공사 책임 지연 리스크를 방어함.
2. 확인측량 선행 계획 수립: 차량기지 부지 완료 전 정밀 확인측량을 선결 과제로 공정에 공식 반영해 준공 지연을 차단함.</t>
  </si>
  <si>
    <t>• 차량기지분야_차량기지 계획의 적정성 검토_rev.02_260609.pdf
• 공사관리_입찰안내서 분석 및 공사관리 추진방향 검토_ver.1_260612.pdf</t>
  </si>
  <si>
    <t>1. 철도/지하철 인접 굴착 안전성 검토 예산 확인: 망포역(수인분당선), 동탄역(SRT) 지하 환승 역사 및 지하 변전소 굴착(심도 10.60m)에 따른 인접 구조물 안전성 검토 및 심의비 검토.
2. 오산천교 인접 교각 대안 노선 적용 시의 정거장 추가(1개소) 및 안전성 협의 예산 반영 여부 확인.</t>
  </si>
  <si>
    <t>1. 굴착 공법 변경 및 정거장 재배치 예산 반영: 망포역 변전소 위치 이동(간섭 배제) 및 동탄역 가시설 CIP 강성 흙막이 변경 검토를 적용하여 안전성 심의 지연을 차단함.
2. 우회 노선 추가 정거장 예산 반영: 오산천교 배제 대안 2안 수립에 따른 노선 연장(423m 증) 및 정거장 1개소 추가 비용인 5.16억 원(건축 3.71억, 구조물 1.45억)과 보도 셋백 보상액 15억 원을 설계 예산에 반영하여 인접 안전성 확보 대책비를 수립함.</t>
  </si>
  <si>
    <t>• 토질 및 기초_설계추진방향보고_구간별 변전소 가시설 검토(1차)_rev.00_260527.pdf
• 토질 및 기초_설계추진방향보고_하천통과 및 인접구조물을 고려한 가시설 적정성 검토_rev.00_260602.pdf
• 철도_설계추진방향_1공구 오산천교 대안선형 검토_Rev.02_260612.pdf</t>
  </si>
  <si>
    <t>1. 기존 구조물 내 트램 건축한계 간섭 분석: 1공구 벌말교(L=475m) 및 2공구 능동지하차도(L=919.16m)의 기하학적 형상과 기설치된 기둥의 건축한계 침범(원안 이격거리 150mm) 여부 검증.
2. 안전 이격거리 가이드라인(최소 200mm) 준수 여부 확인.</t>
  </si>
  <si>
    <t>1. 선로 중심간격 확대 조정을 통한 이격거리 확보: 능동지하차도 내부 트램 선로 중심간격을 3.9m에서 4.0m로 확대하여 중앙 기둥과 트램 차량 한계 간 안전거리 200mm 이상을 안정적으로 확보함.
2. 출구부 선형 완화 설계: 지하차도 종점 유출부(H-H 단면)의 곡선반경을 R=240m에서 R=305m 및 R=310m로 완화하여 충돌 위험을 배제함.</t>
  </si>
  <si>
    <t>• 철도_설계추진방향보고_기존구조물 통과구간 선형검토_rev.00_260529.pdf</t>
  </si>
  <si>
    <t>1. 트램 전용차로와 일반 차선 간 측면 이격거리 검토: 노면전차 시설 설계 가이드라인 상의 건축한계와 일반 차도 차선 간 여유 폭(측대 250mm) 설계 반영 여부 확인.
2. 단선 및 복선 표준 횡단 폭(RFP 기준 복선 8.0m, 단선 3.5m)의 가이드라인 위배 리스크 분석.</t>
  </si>
  <si>
    <t>1. 전용로 차선 구획 및 표준 용지 폭 조정: 단선 구간의 용지 폭을 3.5m에서 4.1m(표준횡단 4.2m)로 확대하여 250mm의 여유 폭을 확보함. 복선 구간은 돌출형 경계석을 생략하고 청색 이중실선을 활용하여 여유 폭 250mm를 정확히 준수하되 복선 용지 폭을 8.0m에서 7.6m로 0.4m 축소 설계함.
2. 경계석 삭제를 통한 예산 절감: 노면 표시 도색으로 대체하여 접촉 사고를 예방하고 공사비 19억 원을 절감함.</t>
  </si>
  <si>
    <t>• 철도_설계추진방향_표준횡단(시스템 공동관로)_Rev.01_260612.pdf
• 철도_설계추진방향보고_표준횡단(용지경계)_rev.00_260529.pdf</t>
  </si>
  <si>
    <t>1. 차량기지 내 열차/중장비 유치 및 정비 동선 검토: 기본설계(원안 두단식 배선, 모터카선 1선) 적용 시 차량 정비고 이동 시 인상(회차) 소요 및 중장비(모터카) 기동 비효율성 분석.
2. 분산 배치된 검수/관리 건물 7개 동의 건축 연면적(22,507.5㎡) 과다 리스크 검증.</t>
  </si>
  <si>
    <t>1. 삼각선 배선계획 및 유치선 통합 적용: 차량기지 내 삼각선 배선계획(검토 2안)을 도입하여 차량 운영 세척 동선을 개선하고, 궤도 연장을 4,438m에서 3,971m로 467m 단축하고 분기기 수량을 절감함. 모터카선 2선을 계획하여 기동 효율성을 확보함.
2. 검수고 입체 통합 및 장비 스펙 최적화: 검수고와 종합관리동을 통합하여 연면적을 19,499.5㎡로 축소해 건축비를 약 22.8억 원 절감함. 검수 장비 선정 시 차륜선반 등 불필요한 공작기계 7종을 배제하여 장비비를 316.8억 원에서 268.6억 원으로 48.2억 원을 대폭 삭감함.</t>
  </si>
  <si>
    <t>• 차량기지분야_차량기지 계획의 적정성 검토_rev.02_260609.pdf
• 철도_설계추진방향보고_차량기지 계획의 적정성 검토_ver.07_260529.pdf</t>
  </si>
  <si>
    <t>1. 교각 하부 슬럼화 및 미관 리스크 검토: 신설 교량인 오산천교(L=655m) 건설 시 이종 교량 형식(Precom+ST.BOX) 혼합 및 655m의 교각 열에 의한 하부 고수부지/체육공원 슬럼화 가능성 및 환경 민원 분석.
2. 교량 하부 경관 및 환경개선 계획 적정성 확인.</t>
  </si>
  <si>
    <t>1. 교량 배제 대안 선형을 통한 하부 슬럼화 위험 원천 제거: 오산천 횡단 신설 교량 계획을 전면 백지화하고, 기존 도로망(동탄나루로~동탄신리천로)을 우회하는 노면 노선(대안 2안, L=2,223m)을 채택하여 하부 유휴 공간 방치에 따른 도시 슬럼화 요인 자체를 배제함.
2. 우회 노선 증액비 선반영: 노선 우회에 따른 정거장 1개소 추가 및 도로 셋백 변경 비용 20.16억 원(토목 15억, 건축/구조 5.16억)을 예산에 반영함.</t>
  </si>
  <si>
    <t>• 철도_설계추진방향_1공구 오산천교 대안선형 검토_Rev.02_260612.pdf
• 토목구조_설계추진방향보고_오산천교 검토_ver.01_260605.pdf
• 토목구조_설계추진방향보고_오산천교, 변전소, 기존구조물 검토_rev.00_260528.pdf</t>
  </si>
  <si>
    <t>1. 구조물 접속부 지반강성 급변구간 검토: 토공~교량 및 토공~U-Type 개착 구조물 접속부의 부등침하 억제 및 강성체감 대책 설계 확인.
2. 온도 변화에 따른 교량 상부 장대레일의 궤도-교량 상호작용(KR C-08080) 축력 해석 및 레일 신축이음매(R.E.J) 설치 개소/공사비 검증.</t>
  </si>
  <si>
    <t>1. 궤도 접속부 보강 및 정착단부(Endsporn) 선시공: 토공 접속부에 어프로치 슬래브 및 하부 전단키를 시공하고, 노반 분야에서 정착단부(Endsporn)를 선시공하여 궤도 강성을 완만하게 체감시킴.
2. 신축이음매 장치 26개소 설계 반영: 온도 변화에 따른 축력 보정 및 좌굴 방지를 위해 신설 교량 시종점부 및 장대레일 단부에 총 26개소의 레일 신축이음매(R.E.J) 장치 설계(공사비 28.2억 원)를 반영함.</t>
  </si>
  <si>
    <t>1. 매립형 궤도 홈(플랜지웨이) 이물질 적체 민원 검토: 도로 공용 구간 트램 레일 홈 내부 쓰레기, 진흙 퇴적에 따른 탈선 위험 및 동상 리스크 분석.
2. 배수 플륨관 및 집수정 막힘 방지 대책 수립 여부 확인.</t>
  </si>
  <si>
    <t>1. 유지관리성이 우수한 궤도 형식 단일화: 유지보수성이 뛰어나고 이물질 청소가 용이한 블록결합형 Pandrol Q-Track 공법으로 전 구간을 일원화하여, 한국형 ERS 대비 약 158.4억 원의 공사비를 절감함.
2. 궤도 하면 배수모듈 및 횡배수관 직접 연결: 이물질이 축적되기 쉬운 선로 사이 종배수관을 생략하고 레일 홈 배수모듈(어스박스) 하면에 D150~D200mm 횡배수관을 2~3% 경사로 우수받이에 연결하여 막힘을 예방하고 배수공사비 11억 원을 절감함.</t>
  </si>
  <si>
    <t>• 궤도_설계추진방향보고_차량 운행조건을 고려한 궤도형식 선정의 적정성_rev.00_260601.pdf
• 철도_설계추진방향보고_본선배수계획_rev.00_260529.pdf</t>
  </si>
  <si>
    <t>1. 도심지 교통 민원 및 도로점용영향 검토: 차로/보도 축소에 따른 단계별 교통처리계획(Staging) 및 반폭 시공(Half-width construction) 방안 수립 여부 확인.
2. 후문교차로 차로 축소 병목 리스크 분석: 측도 1차로(삼성1로) 축소에 따른 신호 체계 최적화(4현시-&gt;5현시) 및 평균 제어 지체 시간 시뮬레이션 검토.
3. S-Curve 구간 곡선반경(R=80/60m -&gt; R=800/100m) 및 종단기울기(58‰ -&gt; 53‰) 완화, 보도폭 1.50m 최소 확보를 통한 사유지 건물 침범 저촉 최소화 방안 확인.</t>
  </si>
  <si>
    <t>1. 단계별 교통처리 및 교차로 급속시공 계획 반영: 야간 단시간 시공을 위한 Pre-cast 공법 및 초속경 콘크리트 적용방안을 수립하고, 반폭 시공으로 차선 도색 가시설 설치 공사비 증가를 최소화함.
2. 트램 우선신호 포함 5현시 신호 최적화: 후문교차로 측도 1차로 축소 병목에 대응하여 트램 우선신호(ALL RED) 포함 5현시 체계를 적용해 첨두시 교통 서비스수준(LOS)을 C~D 등급으로 관리함.
3. 선형 조정 대안 설계 적용: S-Curve 곡선반경을 원안 R=80/60m에서 R=800/100m로 확대하고, 종단기울기를 58‰에서 53‰로 완화하여 보도 폭 1.50m를 확보함으로써 건물 3개동 저촉을 2개동으로 줄여 보상 리스크를 저감함.</t>
  </si>
  <si>
    <t>• 철도_설계추진방향_2공구 반월고가 선형 검토_Rev.00_260612.pdf
• 공사관리_입찰안내서 분석 및 공사관리 추진방향 검토_ver.1_260612.pdf</t>
  </si>
  <si>
    <t>1. 측면 강풍 및 급곡선 주행 시 차량 비틀림/탈선 안전성 검토: 평면곡선 R=30m 이하 급곡선 구간 지양 및 최소 곡선길이 확보 기준 준수 여부 확인.
2. 곡선 구간 선형 조정을 통한 탈선 리스크 저감 및 주행 안전성 확인.
3. 차량기지 내 운행 구역별 적정 제한속도 설정 및 운영 기준 수립 여부 검토.</t>
  </si>
  <si>
    <t>1. 차량 대차 간격을 고려한 최소 곡선길이 확보: 차체의 비틀림과 탈선을 예방하기 위해 트램 차량 대차 간격인 최소 11.5m 이상의 곡선길이를 의무적으로 확보하는 설계 기준을 적용함.
2. S-Curve 구간 곡선반경 확대: 망포역(101 정거장) 영통로 부근 S-Curve 구간의 주행 안전성 확보를 위해 원안의 급곡선 R=30m를 R=90m로, R=50m를 R=200m로 대폭 확장 설계함.
3. 차량기지 내 엄격한 속도 규정 마련: 본선 접속 입출고선 속도는 25km/h, 기지 내 주행 및 유치선 이동은 10km/h로 제한하고, 검수고/세척고 진입 및 작업자 근접 구간은 5km/h로 정밀 규제하여 탈선 및 충돌 사고를 방지함.</t>
  </si>
  <si>
    <t>• 철도_설계추진방향보고_진안신도시 계획 고려 선형계획_rev.00_260529.pdf
• 차량기지분야_차량기지 계획의 적정성 검토_rev.02_260609.pdf</t>
  </si>
  <si>
    <t>1. 비상시 고장 열차 구원 연결 및 회차 탄력성 검토: 본선 내 적정 간격의 비상건넘선 설치 및 고장 열차 대피선(Y선) 운영 계획의 타당성 검토.
2. 차량기지 내 열차 고장, 사고 시 구원 및 입출고/방향 전환 동선의 효율성 및 궤도 연장 최적화 여부 확인.</t>
  </si>
  <si>
    <t>1. 비상건넘선 간격 최적화: 본선 내 평균 2.31km 간격으로 비상건넘선을 배치하고, 특히 201~207 정거장 구간(6.61km 이격) 및 210 정거장 전방에 비상건넘선을 추가 제안하여 이례상황 시 양방향 구원운전 및 회차 탄력성을 확보함.
2. 대피선 철거 및 차량기지 조기 입고 전환: 승객 불안감 유발 및 정비 효율 저하를 초래하는 108 정거장 등 비효율적인 대피선(Y선)을 철거하고, 구원 열차(25km/h 운행 시 1시간 내 입고 가능)를 통한 차량기지 직송 운영 전략을 채택함.
3. 삼각선 배선 채택 및 공사비 20.6억 원 절감: 차량기지 내 전후진 없는 즉각적인 방향 전환이 가능하도록 삼각선 배선을 채택하여 기지 내 궤도 연장(L=4.083km) 및 분기기를 축소하였으며, 이를 통해 궤도 공사비를 당초 149.1억 원에서 128.5억 원으로 약 20.6억 원 절감함.</t>
  </si>
  <si>
    <t>• 철도_설계추진방향_기본설계 배선계획 검토_rev.00_260601.pdf
• 차량기지분야_차량기지 계획의 적정성 검토_rev.02_260609.pdf</t>
  </si>
  <si>
    <t>1. 협소 구간 보행자 안전 대책 및 물리적 차단 시설 검토: 벌말교 병행 및 반월고가 구간(301~302 정거장) 등 협소 구간 내 궤도와 보행로 간 안전난간/방호벽 설치 검토.
2. 일반 정거장 주변 보행자 무단 횡단 방지용 펜스 계획 확인.
3. 실시간 보행자 경보 장치(트램접근알림장치) 연계 방안 수립 여부 검토.</t>
  </si>
  <si>
    <t>1. 안전시설(난간, 방호벽) 설계 반영: 보행자 난입에 의한 충돌 민원이 예상되는 301~302 정거장(벌말교 병행 및 반월고가 측도) 구간에 안전난간 및 방호벽 설치를 설계에 반영함.
2. 일반 정거장 공공시설물(펜스) 가이드라인 적용: 정거장 주변 보행로에 경관을 고려한 간결한 디자인의 보행자 차단 펜스(B1-6) 계획을 반영함.
3. 스마트 안전장치 도입: 횡단보도 및 차량/보행자 혼용 구간에서 트램 접근 상황을 실시간 검지하여 음성안내를 제공하는 '트램접근알림장치'를 설계에 반영하여 충돌 사고를 예방함.</t>
  </si>
  <si>
    <t>• 공사관리_입찰안내서 분석 및 공사관리 추진방향 검토_ver.1_260612.pdf
• 건축_설계추진방향_3차보고_rev01_260608.pdf
• 7. 설계추진방향(1차)_신호+도로신호_r260529(양식통일).pdf</t>
  </si>
  <si>
    <t>해당없음</t>
  </si>
  <si>
    <t>해당없음 (기울기 단위(‰ vs %) 혼용 및 환산 오류 방지 대책과 관련된 검토 내용은 동탄트램 기본설계 자료에 없음)</t>
  </si>
  <si>
    <t>해당없음 (동탄트램 기본설계 자료 내 본선 지하구간의 QRA 및 제연/환기 방재 계획에 대한 관련 검토 내용 없음)</t>
  </si>
  <si>
    <t>해당없음 (우기 지하수위 상승 및 산사태 방지 공법에 대한 구체적 검토는 없음. 단, 차량기지 절토사면 안정을 위한 옹벽 설계 검토는 수행됨)</t>
  </si>
  <si>
    <t>해당없음 (기본설계 중 우기 지하수위 관련 사면 보강 대책은 수립되지 않음. 단, 절토 비탈면 축소를 위해 부지계획고를 FH=146.0m에서 150.0m로 4m 상향 조정하고, 차량기지 종점부 사면에 높이 6.0~10.5m, 연장 247m의 패널 옹벽 계획을 반영함)</t>
  </si>
  <si>
    <t>해당없음 (사면 안정 관련: 차량기지분야_차량기지 계획의 적정성 검토_rev.02_260609.pdf)</t>
  </si>
  <si>
    <t>1. 동절기 폭설 및 한파 시 선로전환기(포인트부) 결빙 리스크 검토: 차량기지 및 본선 분기기 구간에 대한 융설 대책 확인.
2. 트램 매립형 궤도 특성에 맞는 제설 장비 및 선로 융설장치(히팅 시스템) 설치 계획 수립 여부 검토.</t>
  </si>
  <si>
    <t>1. 취약 개소 융설장치(히팅 시스템) 적용: 동절기 결빙 및 폭설로 인한 선로전환기 작동 장애와 열차 운행 마비/탈선 리스크를 방지하기 위해, 기지 및 본선의 취약 구간인 분기기(포인트부)에 융설장치(히팅 시스템 등) 적용 계획을 설계에 반영함.
2. 트램 전용 제설 장비 운영 계획 수립: 동탄트램 매립형 궤도 특성에 적합한 제설 장비를 활용해 동절기 유지보수 효율성을 확보함.</t>
  </si>
  <si>
    <t>• 궤도_설계추진방향보고_안전시설 및 시설물 유지관리·보수를 위한 시설설치의 적정성_rev.02_260526.pdf</t>
  </si>
  <si>
    <t>해당없음 (분기기 곡선반경 50m 미만에 따른 표정속도 영향 및 방지 대책은 기본설계 자료에 없음. 단, 분기기 규격 표준화 및 이례상황 대비 배선/유치 계획은 수립됨)</t>
  </si>
  <si>
    <t>해당없음 (기본설계 단계에서 분기기 곡선반경 50m 미만 설계 및 표정속도 영향 대책은 수립되지 않음. 단, 주행 안전성 확보를 위해 분기기 규격을 표준화하는 안을 검토하였고, 차량기지 내 삼각선 배선 적용 및 모터카 간섭 배제를 위한 유치선 2m 연장(L=3.971km), 본선 평균 2.31km 간격 비상건넘선 등을 설계에 반영함)</t>
  </si>
  <si>
    <t>해당없음 (배선/분기기 형식 검토 관련: 궤도_설계추진방향보고_차량 운행조건을 고려한 분기기 배치 및 분기기 형식 선정의 적정성_rev.00_260521.pdf, 철도_설계추진방향보고_차량기지 계획의 적정성 검토_ver.07_260529.pdf)</t>
  </si>
  <si>
    <t>해당없음 (곡선·분기기 간 최소 직선거리 2.0m 확보 및 이종 곡선 동시 진입 관련 명시적 기준은 기본설계 자료에 없음. 단, 분기기 주변 선형 및 대차 간격 기준 검토는 수행됨)</t>
  </si>
  <si>
    <t>해당없음 (기본설계 단계에서 곡선·분기기 간 2.0m 직선거리 기준은 수립되지 않음. 단, 분기기와 부대곡선 간 거리를 3.0m 이상 확보할 수 있는 궤도 중심간격(3.5m)을 반영하였으며, 차량의 탈선 예방을 위해 대차 간격인 최소 11.5m 이상의 곡선길이를 확보하도록 규정함)</t>
  </si>
  <si>
    <t>해당없음 (곡선 관련: 차량기지분야_차량기지 계획의 적정성 검토_rev.02_260609.pdf, 철도_설계추진방향보고_진안신도시 계획 고려 선형계획_rev.00_260529.pdf)</t>
  </si>
  <si>
    <t>해당없음 (유치선 및 측선의 종단기울기 3‰ 이하 허용 수치와 관련된 설계 기준은 기본설계 자료에 없음. 단, 차량 일탈 방지를 위한 물리적 차막이 계획은 수립됨)</t>
  </si>
  <si>
    <t>해당없음 (기본설계 단계에서 3‰ 이하 기울기 설계 기준에 대해서는 수립된 사항 없음. 단, 유치 중인 차량의 일탈 및 굴러감에 의한 충돌 사고를 예방하기 위해 차량기지 시운전선, 인상선, 세척선, 유치선군 및 검수고 내 구간에 '유압식 차륜막이(차막이)' 설치 계획을 설계에 반영함)</t>
  </si>
  <si>
    <t>해당없음 (차막이 관련: 궤도_설계추진방향보고_안전시설 및 시설물 유지관리·보수를 위한 시설설치의 적정성_rev.02_260526.pdf)</t>
  </si>
  <si>
    <t>해당없음 (배터리 충전 소요 시간 및 충전 차량의 본선 점유 방지용 대피선 배선 계획 등은 기본설계 자료에 없음. 단, 충전 인프라 구축 및 안전성 개선 설계는 검토됨)</t>
  </si>
  <si>
    <t>해당없음 (기본설계 단계에서 충전 시간 미고려 및 본선 점유 지연 방지 대피선 등은 수립되지 않음. 단, 판토그래프 상승식 충전기 설치를 위해 정거장 캐노피 크기를 폭 4.5m에서 8.6m로 확장 변경하여 설계에 반영하였으며, 차량기지 내 충전 장비 조작반을 물을 사용하는 청소선 옆에서 일상/월상검사선 측면으로 재배치하여 누전 등 안전사고 리스크를 저감함)</t>
  </si>
  <si>
    <t>해당없음 (충전 캐노피 관련: 건축_설계추진방향보고_정거장계획, 차량기지 추진방향_rev.02_260521.pdf, 기지 충전 장비 관련: 검수_설계추진방향보고_검수고 내 배치 레이아웃 및 검수장비 검토_rev.00_260529.pdf)</t>
  </si>
  <si>
    <t>해당없음 (수요 불균형이란 용어나 이를 직접 타깃한 검토는 없으나, 회차 지연에 따른 첨두시 운행 편성 부족 방지 및 1단계 구간 반복/주박 배선 검토는 수행됨)</t>
  </si>
  <si>
    <t>해당없음 (수요 불균형 대응에 대한 수립된 사항 없음. 단, 210 정거장 후방 건넘선 고장 시 회차 지연으로 인한 첨두시(출퇴근) 운행 편성 부족 리스크 방지를 위해 전방 비상건넘선 추가 제안, 단선 구간(116~117) 장애 대비 S01~116 구간 반복운행 계획 및 114 정거장 2편성 주박/회차선 배선 계획 반영)</t>
  </si>
  <si>
    <t>해당없음 (회차 배선 검토 관련: 철도_설계추진방향_기본설계 배선계획 검토_rev.00_260601.pdf, 철도_설계추진방향_2공구 종점부 선형검토_Rev.02_260612.pdf)</t>
  </si>
  <si>
    <t>해당없음 (선입선출(FIFO) 운영에 대한 직접적인 검토는 기본설계 자료에 없음. 단, 입출고/입환 동선 간 간섭 배제 및 배선 최적화 검토는 수행됨)</t>
  </si>
  <si>
    <t>해당없음 (기본설계 단계에서 FIFO 관련 수립된 사항 없음. 단, 기지 내 열차 운영 효율 향상 및 입출고 지연 방지를 위해 모터카 및 장비 진출입 간섭 배제, 모터카 인상(전후진) 배제 계획을 설계에 적용하였고, 기존 2편성/선 유치 방식 대신 '3편성/선 유치선 및 정비선 통합' 배선 개선안을 반영함)</t>
  </si>
  <si>
    <t>해당없음 (기지 배선 관련: 차량기지분야_차량기지 계획의 적정성 검토_rev.02_260609.pdf, 철도_설계추진방향보고_차량기지 계획의 적정성 검토_ver.07_260529.pdf)</t>
  </si>
  <si>
    <t>1. 자전거도로망 계획 연계 검토: 101~102 정거장 등 화성·용인시 자전거도로망 계획 중첩 구간 통과 방안 및 관계 기관 협의 여부 확인.
2. 트램 선로(홈붙이 레일 홈)와 자전거 교차 상충 대책 수립 여부 검토.
3. 자전거 바퀴 틈새 끼임 사고 및 충돌 방지를 위한 안전설비 계획 확인.</t>
  </si>
  <si>
    <t>1. 자전거도로망 연계 설계 반영: 화성-용인 자전거도로망 계획과 노선이 중첩되는 101~102 정거장 구간에 대해 자전거 도로 통과 및 연계성 협의안을 설계에 반영함.
2. 교차/횡단구간 바퀴 끼임 방지 고무탄성재 설치: 자전거 및 개인용 이동수단(PM)의 바퀴가 트램 홈붙이 레일(Grooved Rail) 홈에 끼어 탈선되거나 낙상 사고가 발생하는 것을 예방하기 위해, 횡단보도 및 자전거 횡단 구간 내 레일 홈에 고무탄성재(레일 홈 충진재) 설치 계획을 적용함.
3. 보행자/자전거 혼용 구간 내 자전거 유의 노면 표시를 반영하여 상충 리스크를 방지함.</t>
  </si>
  <si>
    <t>• 공사관리_입찰안내서 분석 및 공사관리 추진방향 검토_ver.1_260612.pdf
• 궤도_설계추진방향보고_안전시설 및 시설물 유지관리·보수를 위한 시설설치의 적정성_rev.02_260526.pdf</t>
  </si>
  <si>
    <t>해당없음 (대형차 하중 및 일반차량 타이어 파손 방지와 관련된 직접적인 검토는 기본설계 자료에 없음. 단, 포장재 파손 방지 대책은 수립됨)</t>
  </si>
  <si>
    <t>해당없음 (기본설계 단계에서 대형차 하중 및 일반차 타이어 파손 방지 관련하여 수립된 사항 없음. 단, 공용구간 도로 포장 파손을 막기 위해 도상 콘크리트 압축강도를 30MPa에서 35MPa로 상향하여 내구성을 높였고, 포장 노면 위에 '표면강화제(칼라하드너)' 살포 계획을 반영함)</t>
  </si>
  <si>
    <t>해당없음 (포장 내구성 관련: 궤도_설계추진방향보고_안전시설 및 시설물 유지관리·보수를 위한 시설설치의 적정성_rev.02_260526.pdf)</t>
  </si>
  <si>
    <t>1. 홈붙이 레일(Grooved Rail) 적용 및 탈선 방지 대책 검토: 일반 T형 레일과 홈붙이 레일 혼용 연결 지점(중계레일 사용 등)의 탈선 위험 분석.
2. 차량 차륜 규격에 적합한 분기기 및 홈붙이 레일 형식 선정 여부 확인.
3. 도로 공용 및 보행자 안전을 고려한 매립형 궤도 형식 선정 검토.</t>
  </si>
  <si>
    <t>1. 중계레일 배제를 통한 탈선 우려 제거: 탈선 사고 위험이 큰 일반레일과 홈붙이 레일 혼용 연결 구간의 '중계레일'을 설계에서 배제하여 탈선 리스크를 제거함.
2. 검증된 분기기 형식 적용: 동탄트램 차륜 규격에 부합하고 주행 안전성이 검증된 분기기 형식을 설계에 반영함.
3. 매립형 궤도 블록결합형(Q-Track) 공법 일원화: 도로 공용 및 미관, 주행 안전성을 위해 성능 검증 및 경제성이 입증된 블록결합형 매립형 궤도(Pandrol Q-Track)로 전 구간을 일원화하여 공사비 약 158.4억 원을 절감함.</t>
  </si>
  <si>
    <t>• 궤도_설계추진방향보고_안전시설 및 시설물 유지관리·보수를 위한 시설설치의 적정성_rev.02_260526.pdf
• 궤도_설계추진방향보고_차량 운행조건을 고려한 궤도형식 선정의 적정성_rev.00_260601.pdf
• 궤도_설계추진방향보고_차량 운행조건을 고려한 분기기 배치 및 분기기 형식 선정의 적정성_rev.00_260521.pdf</t>
  </si>
  <si>
    <t>해당없음 (동탄트램 기본설계 자료 내 정거장 과다 배치나 전선/지선간 운영시각 격차 민원에 관한 검토 내용 없음)</t>
  </si>
  <si>
    <t>1. 구조물 접속부 궤도 강성 체감 설계 검토: 본선 및 분기기 구간의 궤도 강성 차이 보완을 위한 고정시스템 강성 체감 계획 확인.
2. 토공~교량 및 토공~개착BOX 등 지반강성 급변구간 부등침하 억제 및 충격 완화 대책 수립 여부 검토.
3. 노반-궤도 간 접속부 구조물(정착단부 선시공, 어프로치 슬래브 등) 적용 적정성 검증.</t>
  </si>
  <si>
    <t>1. 궤도 강성 체감 해석 및 설계 규정 적용: 레일고정시스템의 정적/동적 강성이 본선과 분기기에서 고르게 유지되도록 강성 체감을 검토·분석하여 주행 안정성을 도모함.
2. 접속부 지반강성 증강 설비 시공: 토공~교량 및 U-Type 등 지반강성 급변 접속부에 부등침하 방지 및 완만한 침하체감을 유도하기 위해 양질의 성토재 및 어프로치 슬래브(또는 어프로치 블록)를 반영함.
3. 접속부 물리적 보강(정착단부 및 전단키): 노반 분야에서 정착단부(Endsporn)를 선시공하고, 궤도구조 하부에 전단키를 확대 설치하여 구조물 접속부의 연직 지지력을 확보하고 통과 충격 하중을 제어함.</t>
  </si>
  <si>
    <t>• 궤도_설계추진방향보고_차량 운행조건을 고려한 분기기 배치 및 분기기 형식 선정의 적정성_rev.00_260521.pdf
• 궤도_설계추진방향보고_궤도, 차량, 열차운영 등 인터페이스 적정성_rev.00_260601.pdf</t>
  </si>
  <si>
    <t>해당없음 (종단 구배/평면 곡선과 분기기의 직접적인 경합 방지 기준이나 설계 조항은 기본설계 자료에 없음. 단, 분기번수 고번화 및 탈선 예방 대책은 수립됨)</t>
  </si>
  <si>
    <t>해당없음 (기본설계 단계에서 선형과 분기기 경합 방지용 직접 지침은 수립되지 않음. 단, 주행 안전성 향상 및 차륜 마모 방지를 위해 본선의 급곡선(R=30m 이하) 적용을 배제하고 곡선길이를 11.5m(대차 간격) 이상 확보하였으며, 당초 계획된 본선의 F4 분기기를 F6 분기기로 고번화하여 통일하고 탈선 우려가 큰 중계레일을 설계에서 제외함)</t>
  </si>
  <si>
    <t>해당없음 (선형 및 분기기 검토 관련: 철도_설계추진방향보고_진안신도시 계획 고려 선형계획_rev.00_260529.pdf, 궤도_설계추진방향보고_차량 운행조건을 고려한 분기기 배치 및 분기기 형식 선정의 적정성_rev.00_260521.pdf, 궤도_설계추진방향보고_안전시설 및 시설물 유지관리·보수를 위한 시설설치의 적정성_rev.02_260526.pdf)</t>
  </si>
  <si>
    <t>해당없음 (동탄트램 기본설계 자료 내 도로 혼용 구간 캔트 수치 및 차륜 마모 방지용 슬랙 산정 공식이나 적용 기준은 없음)</t>
  </si>
  <si>
    <t>해당없음 (순원형곡선 최소 길이 15m에 대한 명시적 기준은 기본설계 자료에 없음. 단, 대차 비틀림/탈선 방지를 위한 곡선길이 기준 및 순원곡선장 확보 선형 최적화는 검토됨)</t>
  </si>
  <si>
    <t>해당없음 (기본설계 단계에서 15m 최소 순원곡선장 직접 기준에 대해 수립된 사항 없음. 단, 대차 비틀림 및 주행 저항 방지를 위해 트램 대차 간격인 최소 11.5m 이상의 곡선길이를 의무 확보하게 설계 방향을 정함. 또한 능동지하차도 종점 구간의 기하학적 제약으로 인한 순원곡선장 부족 문제를 해결하기 위해 기본설계 곡선반경 R=240m를 R=305m 및 R=310m로 완화하여 기준을 만족하는 최적 선형을 계획함)</t>
  </si>
  <si>
    <t>해당없음 (선형 검토 관련: 철도_설계추진방향보고_진안신도시 계획 고려 선형계획_rev.00_260529.pdf, 철도_설계추진방향보고_기존구조물 통과구간 선형검토_rev.00_260529.pdf)</t>
  </si>
  <si>
    <t>해당없음 (인수인계 전 방재/계측설비 전력사용료 분담 및 시운전 전력비용 산정에 대한 검토 내용 없음)</t>
  </si>
  <si>
    <t>해당없음 (선로와 도로 교차 시 안전 교차각에 대한 직접적인 설계 기준은 기본설계 자료에 없음. 단, 매립형 궤도 홈 자전거 바퀴 끼임 방지 대책은 수립됨)</t>
  </si>
  <si>
    <t>해당없음 (기본설계 단계에서 안전 교차각 규정에 대해서는 수립된 사항 없음. 단, 자전거 및 개인용 이동수단(PM)의 바퀴가 매립형 궤도 홈에 빠져 발생하는 전도 사고를 예방하기 위해 트램 선로 교차로 횡단보도 및 자전거 횡단 구간 내 홈붙이 레일(Grooved rail) 홈 내부에 '고무 탄성재(삽입물)' 설치 계획을 적용함)</t>
  </si>
  <si>
    <t>해당없음 (자전거 끼임 방지 관련: 궤도_설계추진방향보고_안전시설 및 시설물 유지관리·보수를 위한 시설설치의 적정성_rev.02_260526.pdf)</t>
  </si>
  <si>
    <t>해당없음 (차량 간 동적 편의량 및 측면 충돌 방지에 대한 명시적인 검토는 기본설계 자료에 없음. 단, 기존 구조물 기둥과 트램 간의 이격거리 부족 리스크에 대한 검토는 수행됨)</t>
  </si>
  <si>
    <t>해당없음 (기본설계 단계에서 차량 간 교행 시 충돌 방지 대책은 수립되지 않음. 단, 능동지하차도 통과 구간에서 구조물 중앙 기둥과 트램 건축한계 간격이 150mm로 가이드라인 기준(200mm)에 미달하는 리스크를 방지하기 위해 선로 중심 간격을 3.9m에서 4.0m로 확장하고 선형을 미세 조정하여 이격거리 200mm 이상을 안전하게 확보함)</t>
  </si>
  <si>
    <t>해당없음 (구조물 간섭 선형 검토 관련: 철도_설계추진방향보고_기존구조물 통과구간 선형검토_rev.00_260529.pdf)</t>
  </si>
  <si>
    <t>해당없음 (과속방지 시스템 ATP 등에 의한 탈선 제어 대책은 기본설계 자료에 없음. 단, 선형 기하구조 완화 및 속도 제한 운영 기준 검토는 수행됨)</t>
  </si>
  <si>
    <t>해당없음 (과속방지 ATP 시스템 대책은 수립되지 않음. 단, 곡선 주행 안전성을 위해 평면 급곡선 R=30m 이하 적용을 배제하고 곡선반경을 R=90m, R=200m 등으로 대폭 확장하였으며, 차량기지 입출고선 25km/h, 기지 내 10km/h, 검수고/세척고 진입 시 5km/h의 엄격한 속도 제한을 설계에 반영함)</t>
  </si>
  <si>
    <t>해당없음 (속도 및 선형 관련: 차량기지분야_차량기지 계획의 적정성 검토_rev.02_260609.pdf, 철도_설계추진방향보고_진안신도시 계획 고려 선형계획_rev.00_260529.pdf)</t>
  </si>
  <si>
    <t>해당없음 (운전자 실수를 직접 타깃한 오진입 방지 대책은 기본설계 자료에 없음. 단, 선로전환기 연동 제어 및 신호 설비 배치 계획은 수립됨)</t>
  </si>
  <si>
    <t>해당없음 (기본설계 단계에서 운전자 오진입 방지용 대책은 수립되지 않음. 단, 기지 내 제동거리(7m) 부족에 따른 차량 충돌 방지를 위해 제동거리 미확보 선로전환기를 쇄정(Locking)하여 열차 동시 출발을 제한하는 연동 제어를 적용하였고, 분기부 신호기 및 진로표시기 배치 공간(402mm 이상) 확보를 위해 유치선 간격을 3.6m 이상으로 이격 설계함)</t>
  </si>
  <si>
    <t>해당없음 (신호 연동 및 배선 관련: 철도_설계추진방향_2공구 시점부 배선 검토_Rev.01_260612.pdf)</t>
  </si>
  <si>
    <t>1. 평면 교차 지점의 보행자 무단 횡단 및 시인성 부족 리스크 검토: 교차로 및 횡단보도 구간 청각신호기, 돌발유고검지장치 등 안전 설비 설계 반영 여부 확인.
2. 실시간 AI 기반 영상 분석을 통한 교차로 꼬리물기, 낙하물 등 안전 제어 및 관제센터 연계 방안 수립 여부 검토.</t>
  </si>
  <si>
    <t>1. 트램접근알림장치 반영: 교차로 및 보행자 혼용 구간 내 트램 접근을 실시간 검지하여 보행자에게 음성 및 시각적 안내를 제공함으로써 시인성을 극대화하고 사고를 예방함.
2. AI 기반 영상식 돌발유고검지장치 적용: 꼬리물기, 낙하물, 보행자 돌발 난입 등을 실시간 분석하여 트램 신호와 연계 제어함으로써 2차 사고를 방지하고, 경찰청 및 관제센터 간의 연계체계를 설계에 구축함.</t>
  </si>
  <si>
    <t>• 7. 설계추진방향(1차)_신호+도로신호_r260529(양식통일).pdf</t>
  </si>
  <si>
    <t>1. 도로 교통 차로 잠식 최소화 및 녹지 활용 방안 검토: 트램 부지 확보를 위해 기존 중앙 녹지대 및 교통섬을 활용한 선형 계획 적정성 확인.
2. 트램 도입에 따른 차로 축소 병목 지점 교통 서비스 수준(LOS) 영향 시뮬레이션 및 교차로 신호 체계 최적화 여부 검토.</t>
  </si>
  <si>
    <t>1. 도로 부지 전환 활용: 기존 도로 차로 수 감소를 예방하기 위해 삼성1로 등의 기존 중앙 녹지공간(폭 6.74m) 및 현황 교통섬(폭 15.68m)을 트램 궤도 부지(폭 4.10m 등)로 적극 전환 활용하여 일반 차량의 차로 잠식을 최소화함.
2. 트램 우선신호 적용 및 교통 시뮬레이션 방어: 반월고가 측도 차로 축소 병목(2차로-&gt;1차로) 지점에 대해 일반 4현시 신호를 트램 우선신호(ALL RED)가 포함된 5현시 신호 체계로 최적화하는 시뮬레이션을 수행하여, 첨두시 도로교통 서비스수준(LOS)을 C~D 등급으로 유지하도록 설계함.</t>
  </si>
  <si>
    <t>해당없음 (버스승강장 이설/연계 및 경찰청 교통안전시설 심의 등 기존 버스 이용객 관련 검토 내용 없음)</t>
  </si>
  <si>
    <t>해당없음 (차량기지 급곡선부 일반 레일 마모 보강 등에 관한 직접적인 대안은 없음. 단, 본선 분기기 고번화 설계안은 수립됨)</t>
  </si>
  <si>
    <t>해당없음 (기본설계 단계에서 차량기지 급곡선부 보강/특수레일 대책은 수립되지 않음. 단, 본선 분기기의 분기각 증가에 따른 주행 안전성 저하 및 레일 마모 방지를 위해, 기존의 저번수(F4) 분기기 대신 고번수(F6) 분기기로 통일화 및 표준화하는 설계를 적용함)</t>
  </si>
  <si>
    <t>해당없음 (분기기 형식 검토 관련: 궤도_설계추진방향보고_차량 운행조건을 고려한 분기기 배치 및 분기기 형식 선정의 적정성_rev.00_260521.pdf)</t>
  </si>
  <si>
    <t>해당없음 (홈붙이 레일 플랜지웨이 폭을 47mm 이하로 명시 규정하는 설계 기준 텍스트는 없음. 단, 보행자/자전거 바퀴 끼임 및 빠짐 방지 대책은 수립됨)</t>
  </si>
  <si>
    <t>해당없음 (기본설계 단계에서 플랜지웨이 폭 규정 텍스트는 수립된 사항 없음. 단, 자전거 및 보행자/PM의 바퀴가 트램 선로에 빠지는 전도 사고를 방지하기 위해 횡단보도 및 자전거 횡단 구간 내 홈붙이 레일(Grooved Rail) 홈 내부에 '고무탄성재(삽입물)'를 설치하는 방안을 설계에 반영함)</t>
  </si>
  <si>
    <t>해당없음 (사전 마모 예측 시뮬레이션 및 곡선부 탈선 주행 안전성 해석 리포트는 기본설계 자료에 없음. 단, 유지관리를 위한 정량적 마모 허용한계 기준은 수립됨)</t>
  </si>
  <si>
    <t>해당없음 (기본설계 단계에서 사전 마모 시뮬레이션 및 탈선 해석은 수립되지 않음. 단, 향후 유지보수 신뢰성 확보를 위해 직 마모(10mm 초과), 편 마모(8mm 초과), 텅레일 마모(6mm 초과) 등 구체적인 레일 마모 기준치 표를 설계에 제시하여 주행 안전성 관리 기준을 마련함)</t>
  </si>
  <si>
    <t>해당없음 (유지관리 한계 관련: 궤도_설계추진방향보고_안전시설 및 시설물 유지관리·보수를 위한 시설설치의 적정성_rev.02_260526.pdf)</t>
  </si>
  <si>
    <t>해당없음 (레일 교체 시 도로 포장 파쇄 배제 여부에 대한 상세 공정 설명은 기본설계 자료에 없음. 단, 시공 및 유지관리성이 우수한 궤도 형식 선정은 검토됨)</t>
  </si>
  <si>
    <t>해당없음 (기본설계 단계에서 도로 포장 및 도상 전체 파쇄 배제 여부의 세부 유지보수 대책은 수립되지 않음. 단, 기존 기본설계 대비 시공성 및 유지관리성이 우수한 블록결합형 매립형 궤도(Pandrol Q-Track)로 전 구간 형식을 일원화하여 공사비 약 158.4억 원을 절감하는 설계를 반영함)</t>
  </si>
  <si>
    <t>해당없음 (궤도 형식 선정 관련: 궤도_설계추진방향보고_차량 운행조건을 고려한 궤도형식 선정의 적정성_rev.00_260601.pdf)</t>
  </si>
  <si>
    <t>해당없음 (누설전류 포집 대책 및 지중 가스/상수관 전식 방지 절연 설계 계획에 대한 검토 내용 없음)</t>
  </si>
  <si>
    <t>해당없음 (물리적 중앙분리대 설치에 관한 직접적인 검토는 기본설계 자료에 없음. 단, 차로 구분을 위한 차선 이격거리 및 경계석 배제 설계는 수립됨)</t>
  </si>
  <si>
    <t>해당없음 (기본설계 단계에서 물리적 분리대 설치 대책은 수립되지 않음. 단, 일반 차량의 트램 노선 점유를 막고 공사비를 절감하기 위해 돌출형 경계석 설치를 전면 배제하여 공사비 약 19억 원을 절감하였으며, 전용차로 구분을 위해 청색 이중실선을 도입하고 건축한계와 차선 끝단 간의 이격거리를 최소 250mm 확보하여 측면 충돌 리스크를 완화함)</t>
  </si>
  <si>
    <t>해당없음 (표준횡단면 설계 관련: 철도_설계추진방향보고_표준횡단(용지경계)_rev.00_260529.pdf, 철도_설계추진방향_표준횡단(시스템 공동관로)_Rev.01_260612.pdf)</t>
  </si>
  <si>
    <t>해당없음 (지하매설물 이설 후 지자체 GIS 호환 및 지장물 대장 준공 승인 관련 검토 내용 없음)</t>
  </si>
  <si>
    <t>해당없음 (기존 수목 이식 및 벌목에 관한 계획이나 지자체 환경/녹지 부서와의 협의 내용은 기본설계 자료에 없음. 단, 정온시설 주변 환경 민원 방지 대책은 수립됨)</t>
  </si>
  <si>
    <t>해당없음 (기본설계 단계에서 수목 이식 및 벌목 협의는 수립되지 않음. 단, 주변 환경 민원 및 오염 방지를 위해 차량기지 및 본선 공사 현장에 세륜세차장, 가설방음 및 방진망, 가배수로, 초기우수처리 시설 등을 반영하는 환경 대책을 설계에 의무화함)</t>
  </si>
  <si>
    <t>해당없음 (환경 시설 관련: 공사관리_입찰안내서 분석 및 공사관리 추진방향 검토_ver.1_260612.pdf, 차량기지분야_차량기지 계획의 적정성 검토_rev.02_260609.pdf)</t>
  </si>
  <si>
    <t>해당없음 (정밀 TPS 분석을 통한 급구배 속도 검증 및 무가선 배터리 방전 방지 대책 관련 검토 내용 없음)</t>
  </si>
  <si>
    <t>해당없음 (고가 교각 주변 간섭 회피 수치나 상부 낙하물 방호 시설 설계는 기본설계 자료에 없음. 단, 교각 통과부 선형 조정 및 낙하물 방지 감지 시스템 계획은 수립됨)</t>
  </si>
  <si>
    <t>해당없음 (기본설계 단계에서 물리적 낙하물 차단 캐노피나 교각 간섭 이격 설계는 수립되지 않음. 단, 반월고가 교각 통과 시 주행 안전과 사유지 침범 방지를 위해 곡선반경 R=60/80m를 R=100/800m로 대폭 완화하였으며, 선로 위 낙하물 등의 돌발 장애물 출현 시 2차 사고를 막기 위해 AI 기반 영상식 돌발유고검지장치를 도입하여 신호 연계 제어가 가능하도록 계획함)</t>
  </si>
  <si>
    <t>해당없음 (반월고가 선형 관련: 철도_설계추진방향_2공구 반월고가 선형 검토_Rev.00_260612.pdf, 신호 감지 관련: 7. 설계추진방향(1차)_신호+도로신호_r260529(양식통일).pdf)</t>
  </si>
  <si>
    <t>해당없음 (스마트 기술을 활용한 공사 중 지하시설물 파손 방지에 대한 직접적인 검토는 기본설계 자료에 없음. 단, 가시설 안전강화 및 재난방지용 스마트 안전 기술 계획은 수립됨)</t>
  </si>
  <si>
    <t>해당없음 (기본설계 단계에서 지하시설물 파손 방지용 특정 스마트 기술은 수립되지 않음. 단, 현장 재난사고 예방을 위해 통합관제시스템, 캐치카, 스마트 안전휀스 등을 도입하도록 하였으며, 가시설 안전을 위해 변전소 가시설 부지에 풍속계 연동형 '천공기 가림막 원스위치 자동설치 해체 시스템'을 적용하여 강풍에 의한 장비 전도 사고를 예방함)</t>
  </si>
  <si>
    <t>해당없음 (스마트 안전 기술 및 가시설 대책 관련: 공사관리_입찰안내서 분석 및 공사관리 추진방향 검토_ver.1_260612.pdf)</t>
  </si>
  <si>
    <t>해당없음 (장래 증축을 고려한 선제적 설계 및 기존 엘리베이터 이설에 관한 검토 내용 없음)</t>
  </si>
  <si>
    <t>1. 단순 지상신호기 위주 설계의 한계 분석 및 충돌 위험성 검토: 돌발 장애물 분석 및 2차 충돌 예방을 위한 신호-차량 안전 감지 설비 설계 확인.
2. 실시간 AI 기반 도로 영상 분석 및 트램 우선신호 연계 2차 사고 방지 방안 수립 여부 검토.</t>
  </si>
  <si>
    <t>1. AI 기반 돌발유고검지장치 도입: 꼬리물기, 낙하물 등 돌발 장애물 출현 시 발생할 수 있는 충돌 사고를 예방하기 위해, 현장 내 AI 기반 영상검지 기술을 활용한 '돌발유고검지장치'를 신호 및 차량 안전 장치로 반영함.
2. 트램 신호 연계 및 2차 사고 예방: 검지된 돌발상황을 실시간으로 분석·판단하고, 이를 트램 우선신호 시스템과 직접 연계 제어하여 트램이 신속히 감속 또는 정차할 수 있는 2차 충돌 방지 체계를 수립함.</t>
  </si>
  <si>
    <t>1. 본선 및 기지 내 과주방지용 차막이 설계 검토: 트램 제동 고장 시 탈선 및 이탈 방지를 위한 차막이 규격 적정성 확인.
2. 차량기지 내 운행 노선별(시운전선, 인상선, 유치선, 검수고 등) 차막이 적용 위치 및 형식(유압식 등) 선정 여부 검토.</t>
  </si>
  <si>
    <t>1. 규격 적합형 유압식 차륜막이(차막이) 반영: 차량 충돌 시 충격 에너지를 완화하고 안전성을 확보하기 위해 기준 규격을 만족하는 '유압식 차륜막이(차막이)'를 설계에 반영함.
2. 차량기지 내 주요 과주구간 설치: 저속 운행 차량의 일주(굴러감) 방지 및 충돌 피해 최소화를 위해 본선 주요 과주방지구간을 포함하여 차량기지 내 시운전선, 인상선, 세척선, 유치선군 및 검수고 내부 구간에 유압식 차막이 배치를 구체화함.</t>
  </si>
  <si>
    <t>해당없음 (독립안전성평가(ISA) 수검 요건 설계 반영 및 안전 인증에 대한 관련 검토 내용 없음)</t>
  </si>
  <si>
    <t>종합관제실의 평면 및 면적 최적화를 위해 신호 분야와 통신 등 관련 이기종 시스템 분야 간의 인터페이스 협의를 필수적으로 진행하여 설계 누락을 방지해야 함. 또한, 현장-관제 시스템 간 정보 연계를 고도화하여 경찰청, 지자체 도로관제센터(화성, 수원, 오산), 트램관제센터 간의 실시간 정보 연계망 및 제어·운영 방안을 구체적으로 구축해야 함.</t>
  </si>
  <si>
    <t>기계, 전기, 신호, 통신, 차량기지 등 이기종 시스템을 하나로 통합하여 모니터링할 수 있도록 종합관제실 내 70인치 대형표시반(DLP)에 시스템 상태를 통합 표출함. 돌발 상황 시 관제사가 즉각적으로 인지할 수 있도록 '고장 및 사고지점 팝업화면 표출' 및 '트램위치 운행상황 표시' 기능을 시스템 연계 규격으로 반영함. 더불어 기존 일렬 배치로 인해 가시성이 저하되고 공간이 낭비되던 제어 콘솔과 표시반을 '라운드(Round) 배치'로 재배열하여 관제 가시성을 대폭 향상시키고 관제실 면적을 축소하는 대안을 설계에 적용함. 현장에는 AI 기반 영상검지 기술을 활용한 '돌발유고검지장치'를 설치해 낙하물 등 돌발상황을 실시간 분석하고 트램 신호와 연계 제어하여 2차 충돌을 예방함.</t>
  </si>
  <si>
    <t>7. 설계추진방향(1차)_신호+도로신호_r260529(양식통일).pdf, 01 통신망, 영상감시설비, 경영정보설비 설계추진방향 보고(회의록)_통신_Rev01(260529).pdf</t>
  </si>
  <si>
    <t>해당없음 (제공된 동탄트램 기본설계 자료에는 차량기지 내 상주인원 규모에 따른 건축물(숙소, 휴게실 등) 공간 확보와 관련된 물리적 설계 내용만 일부 존재할 뿐, 개통 시 운영 핵심 인력(관제사, 기관사 등)의 대량 이탈/공백 우려나 급여 문제, 인력 수급 및 순환 근무 체계 등 운영/인사 관리 관점의 리스크 헷지 계획은 전혀 포함되어 있지 않습니다.)</t>
  </si>
  <si>
    <t>해당없음 (제공된 동탄트램 기본설계 자료에는 차량기지 내 '일상검사선', '월상검사선', '차륜전삭선' 등의 물리적인 궤도 배선 및 유지보수 장비 최적화(예: 공작기계 7종 제외로 공사비 절감)에 대한 내용은 상세히 기재되어 있으나, 신형 트램 도입에 맞춰 구체적인 예방 검수주기를 '7D/4M/4Y/8Y' 등으로 조정한다는 내용이나, 이를 위해 트램 제작사와의 계약서 사양을 재정립하여 운영비용을 절감한다는 운영 및 계약 단의 리스크 검토 내용은 전혀 언급되어 있지 않습니다.)</t>
  </si>
  <si>
    <t>해당없음 (제공된 동탄트램 기본설계 자료에는 각 분야 간의 물리적 인터페이스를 조정하고 확인하는 내용은 다수 있으나, 명확한 운전·운영계획의 부재로 인해 시스템 설계가 개별 진행되어 분야 간 설계 불일치가 발생하고 운영 효율성이 저하된다는 시스템/운영 총괄 관점의 리스크 검토 내용은 명시적으로 확인되지 않습니다.)</t>
  </si>
  <si>
    <t>향후 상세설계 단계에서 정밀 현황측량 성과를 반영하여 기존 구조물(능동지하차도 등)의 정확한 위치 및 형태에 대한 세부 검토 및 선형 보완을 진행해야 함.</t>
  </si>
  <si>
    <t>기존 능동지하차도의 3D 전산화 자료(DWG) 부재로 기존 2D 설계도면(JPG)을 기반으로 간섭을 검토함. 검토 결과, 기본설계 원안은 능동지하차도 통과 시 중앙기둥과 트램 차량 건축한계 간 거리가 150mm로 노면전차 가이드라인 최소 기준(200mm)에 미달하는 충돌 리스크가 있었음. 이를 해결하기 위해 트램 선로 중심간격을 기존 3.9m에서 4.0m로 확대하고, 종점부 유출구 곡선반경을 원안 R=240m에서 R=305m 및 310m로 대폭 완화하는 등 평면 선형을 미세 조정하여 기둥과 건축한계 간 200mm 이상의 안전 이격거리를 확보하는 대안을 수립함.</t>
  </si>
  <si>
    <t>철도_설계추진방향보고_기존구조물 통과구간 선형검토_rev.00_260529.pdf</t>
  </si>
  <si>
    <t>동탄~인덕원선(동탄역, 18번 환기구) 개착 공사 및 병점역 복합환승센터, 수도권 광역상수도 관로복선화 사업 등 트램 노선과 사업기간이 중첩되는 하부/인접 구조물 통과 구간에 대해 관계기관(국가철도공단, 화성시 등)과 협의하여 공사시기 및 공정관리계획을 수립해야 함. 또한, 동탄역 특화정거장 구조계획 시 기존 SRT 동탄역 지하주차장 건축물의 구조안전성 여부를 필수적으로 검토해야 함.</t>
  </si>
  <si>
    <t>주요 고속철도(SRT) 및 연계 도시철도 하부 구조물과의 공정 중첩 및 물리적 간섭 리스크를 상세히 검토하여 설계 변경 리스크를 최소화함. 동인선 12공구 등 타 사업과의 간섭 구간을 도출하고 공정계획 협의 지침을 마련함. 특히 동탄역 특화정거장 시공 시 하부에 위치한 SRT 지하주차장으로의 연직/수평 하중 전이를 파악하기 위해 '실시간 계측 시스템' 활용 방안을 검토하고, 저촉 배제를 위한 공법 변경 및 기존 건축물 보강 계획 등 시공 한계 극복 대책을 설계 추진방향에 구체적으로 반영함.</t>
  </si>
  <si>
    <t>공사관리_입찰안내서 분석 및 공사관리 추진방향 검토_ver.1_260612.pdf</t>
  </si>
  <si>
    <t>화성 진안신도시 조성에 따른 지방도 318호선 확장 및 개선공사(트램 S02~102 정거장 노선구간) 계획과 관련하여, 트램 부지와 향후 도로 계획선 간의 정합성을 맞추기 위해 한국토지주택공사(LH) 등 관계기관과 협의하여 공사 시기 및 통과 방안(선형 미세조정 등)을 최종 확정해야 함.</t>
  </si>
  <si>
    <t>진안신도시 도로 확장 계획과의 선형 불일치로 인한 대규모 매몰비용 발생을 사전에 헷지함. 기본설계 원안의 101 정거장 인근 영통로 및 반월삼거리 통과 구간에서 화성진안신도시 도로계획의 트램 부지와 최대 1.3m~6.4m가 불일치하는 간섭 리스크가 있었음. 이를 해소하기 위해 트램 부지 노선을 우측으로 0.35m 미세 조정(기존 보도 폭 6.25m → 5.90m로 변경)하여 향후 신도시 도로계획과 트램 부지를 정확히 일치시키는 대안 선형을 수립함.</t>
  </si>
  <si>
    <t>철도_설계추진방향보고_진안신도시 계획 고려 선형계획_rev.00_260529.pdf, 공사관리_입찰안내서 분석 및 공사관리 추진방향 검토_ver.1_260612.pdf</t>
  </si>
  <si>
    <t>트램 S01~103 정거장 노선 구간과 사업이 중첩되는 '수도권 광역상수도 인천평택계통 관로복선화사업'의 발주처인 한국수자원공사와 협의하여, 대형 상수도 관로 매설 및 트램 궤도 시공 간의 구체적인 공사추진 계획 및 공정관리 계획을 수립해야 함.</t>
  </si>
  <si>
    <t>한국수자원공사가 2029년까지 추진 예정(현재 실시설계 용역 진행 중)인 대규모 광역상수도 관로복선화 사업구간과 동탄트램 1단계 노선(S01~103 구간)의 시공 범위 중첩 리스크를 선제적으로 도출함. 물리적 간섭으로 인한 지장물 이설 및 공기 지연을 예방하기 위해, 실시설계 단계에서 관계 기관과의 공정 계획 협의 지침을 명확히 수립하고 공사관리 계획에 반영함.</t>
  </si>
  <si>
    <t>트램 노선과 사업 기간이 겹치는 동탄인덕원선(동인선) 1, 2공구 동탄역 개착 공사 구간(트램 106~107, 307~201 정거장) 및 12공구 18번 환기구 개착 공사 구간(트램 304~305 정거장)에 대해, 발주처인 국가철도공단 및 관련 시공사(HDC현대산업개발 등)와 사전 협의하여 가시설 충돌 방지를 위한 세부 공사 시기 및 공정관리 계획을 조율해야 함.</t>
  </si>
  <si>
    <t>동인선 1, 2공구 및 12공구 18번 환기구(사업기간: 2024.06~2029.05, 60개월)의 개착공사가 트램 노선 부지와 동시에 진행됨에 따른 간섭 리스크를 확인하고 '필수 협의 구간'으로 지정함. 타 지하 환기구 굴착 및 가시설 설치로 인한 트램 시공 지연 리스크를 헷지하기 위해 도심지 교통처리계획(Staging) 및 야적장 등 가설물 간섭 배제 방안을 공사관리 지침에 반영함.</t>
  </si>
  <si>
    <t>LH(한국토지주택공사)에서 진행하는 '화성동탄2 오산천 친수하천 조성공사(사업기간 2021.01~2026.05)'와 트램 노선 306~307 정거장 구간이 중첩되므로, 관계 기관과 사전 협의하여 간섭 방지를 위한 구체적인 공사추진 및 공정관리 계획을 수립해야 함.</t>
  </si>
  <si>
    <t>하천 통과 구간(오산천교) 설계 시 궤도 유실 및 하천점용허가 반려 리스크를 헷지하기 위해, 오산천 하천기본계획의 홍수량(Q=840㎥/s)을 반영하여 하천설계기준에 부합하는 최소 경간장을 24.2m 이상으로 확보하도록 계획함. 또한 단면도 상 계획홍수위(EL.+27.40m)와 지반 조건을 정밀 분석하여, 오산천 제방(제내지)에 근접하는 교각(P5~P9) 등의 가시설 적정성과 간섭 여부를 사전 검토하여 우기 시 시공 리스크를 방어함.</t>
  </si>
  <si>
    <t>공사관리_입찰안내서 분석 및 공사관리 추진방향 검토_ver.1_260612.pdf, 토목구조_설계추진방향보고_오산천교 검토_ver.01_260605.pdf, 토질 및 기초_설계추진방향보고_하천통과 및 인접구조물을 고려한 가시설 적정성 검토_rev.00_260602.pdf</t>
  </si>
  <si>
    <t>도로 혼용/점용 구간의 횡단 및 선형 계획 시, '교통노면표시 설치·관리 업무편람(경찰청, 2024)' 등의 도로 및 교통안전 시설 기준을 엄격히 준수하여 관할 경찰청 심의 반려 리스크를 방지해야 함.</t>
  </si>
  <si>
    <t>기본설계 원안의 트램 구분을 위한 차선 설치 및 용지경계 기준 부적합으로 인한 경찰청 심의 반려 리스크를 방지함. 트램 전용차로 구분을 위한 '청색 이중실선'을 설치하고, 차선 끝단에서 트램 건축한계까지 최소 250mm 이상의 안전 이격거리를 확보하도록 본선 표준횡단면을 전면 재조정(복선 7.6m, 단선 4.1m 등)함. 아울러 교통 처리 개선 및 차로 점유 최소화를 위해 돌출형 경계석 설치를 전면 배제하여 공사비 약 19억 원을 절감하는 대안을 수립함.</t>
  </si>
  <si>
    <t>철도_설계추진방향보고_표준횡단(용지경계)_rev.00_260529.pdf</t>
  </si>
  <si>
    <t>해당없음 (제공된 동탄트램 기본설계 자료에는 1공구 배차 시격 변경에 따른 승객 수요를 바탕으로 승강장 폭원을 재검토(울산트램 산식 준용)한 내용은 존재하나, 차량의 '동적 편의량'을 고려하여 정거장 연단과 트램 사이의 이격거리를 50mm 이내로 설계하거나 이로 인한 승객 발빠짐 사고를 방지하기 위한 궤도/건축 인터페이스 상의 구체적 대책은 기재되어 있지 않습니다.)</t>
  </si>
  <si>
    <t>해당없음 (제공된 기본설계 자료에는 306 정거장 입지와 관련하여 체육공원 연계를 위해 환승주차장, 카페, 전망대 등을 포함한 대규모 복합시설(지하 2층~지상 4층 규모)을 조성하고, 체육공원 남측 시설과 트램 교량 구조물의 중첩 문제를 LH와 협의한다는 건축/공원 연계 계획은 수립되어 있으나, 정거장과 체육공원 간의 단차 미고려나 수직 동선(E/V 등) 누락으로 인해 궤도 무단 횡단 사고가 유발될 리스크를 다룬 방재/안전 검토 내용은 없습니다.)</t>
  </si>
  <si>
    <t>해당없음 (제공된 동탄트램 기본설계 자료에서 환승 특성 미고려 및 비효율적 동선 설계로 인한 승객 병목 현상 및 교통 혼잡 리스크를 방지하기 위해 정거장 위치와 동선을 대대적으로 재검토한 곳은 동탄역(107/201 특화정거장)에 국한되며, 209 정거장과 관련된 환승 특성이나 동선 설계, 그로 인한 트램 이용률 급감 리스크에 대한 검토 내용은 자료 내에 전혀 존재하지 않습니다.)</t>
  </si>
  <si>
    <t>해당없음 (제공된 동탄트램 기본설계 자료에는 동탄역 스카이브릿지 등 특화정거장에 수직 동선을 확보하기 위해 엘리베이터(E/V) 및 에스컬레이터(E/S) 추가 설치 대안을 검토한 내용은 존재하나, 무단차 동선 설계 누락으로 인해 BF(장애물 없는 생활환경) 인증 심사에서 탈락하거나 이로 인해 극심한 민원이 유발될 리스크를 행정적/절차적 관점에서 사전 검토한 내용은 문서 내에 언급되어 있지 않습니다.)</t>
  </si>
  <si>
    <t>동탄역(107/201 특화정거장) 스카이브릿지 동선 계획 시 단순 접근 동선이 아닌 트램-도시-공원-주차를 잇는 도시 네트워크 수단으로 작동하도록 계획하고, 에스컬레이터(E/S) 또는 엘리베이터(E/V)를 추가 설치하는 대안을 통해 환승 및 공원 접근성을 확보해야 함. 망포역(S01 정거장)의 경우 기존 지하 구조물과의 저촉 해소 및 정거장 접근성 향상을 위해 환승동선 길이를 고려한 최적화 대안을 수립해야 함.</t>
  </si>
  <si>
    <t>환승 동선 지연과 불편을 방지하기 위한 물리적 동선 최적화 설계를 반영함. 망포역(S01 정거장)의 경우, 기본설계 원안이 지하주차장 연결통로 및 지하변전실과 저촉되는 문제를 해결하기 위해 정거장 위치를 100m 시점방향으로 이동하는 대안들을 수립하였고, 이 과정에서 1번 및 2번 출입구의 환승동선 길이(159m, 12m, 165m, 24m, 116m 등)를 시뮬레이션하여 최적화함. 또한 동탄역 정거장에서도 대규모 환승 인원의 동선 효율을 높이기 위해 기본설계 원안(계단+E/V 1대) 대신 E/S나 E/V를 추가로 설치하는 특화정거장 동선 대안을 수립함.</t>
  </si>
  <si>
    <t>철도_설계추진방향_2공구 시점부 배선 검토_Rev.01_260612.pdf, 건축_설계추진방향_3차보고_rev01_260608.pdf, 철도_설계추진방향보고_2공구 시점부 배선검토_rev.00_260529.pdf</t>
  </si>
  <si>
    <t>해당없음 (제공된 동탄트램 기본설계 자료에는 본선 구간의 최급기울기 구배 완화(58‰ → 53‰) 및 평면 곡선반경 완화(R=60m → R=90m) 등의 주행 안전성 검토 내용은 존재하나, 정거장 구내 종곡선 포함 여부나 선로기울기 40‰ 초과에 따른 트램 미끄러짐 안전사고 리스크를 직접적으로 다룬 대책은 기재되어 있지 않습니다.)</t>
  </si>
  <si>
    <t>병점역 복합환승센터 개발 사업(29년 상반기 준공 예정) 구간과 트램 301 정거장 및 주박기지 구간이 사업 기간과 노선 부지 측면에서 완전히 중첩되므로, 관계 기관과 조속히 협의하여 구체적인 공사추진 계획 및 공정관리계획을 수립해야 함. 이 개발 계획과 유지관리 동선을 고려하여 301 정거장 및 변전소 위치를 재선정하고 시설물 충돌을 방지하는 최적화 협의를 필수적으로 진행해야 함.</t>
  </si>
  <si>
    <t>301 정거장의 주박기지(주박선) 및 변전소가 향후 조성될 병점역 복합환승센터 부지와 간섭하여 차량 주박 불가 및 환승 동선 혼선이 발생할 리스크를 헷지함. 해당 구간을 관계기관 협의 필수 구간으로 지정하고, 복합환승센터의 기초 구조 및 시설 배치 계획과 연동하여 트램 정거장 및 변전소 위치를 전면 재검토하도록 설계 지침을 마련함. 또한 망포 S01 정거장의 경우도 4편성 주박 계획의 지하주차장 간섭을 해결하기 위해 주박 배선안 시뮬레이션을 수행함.</t>
  </si>
  <si>
    <t>공사관리_입찰안내서 분석 및 공사관리 추진방향 검토_ver.1_260612.pdf, 공사관리_기본설계 1공구 구간별 현황정리_ver.1_260612.pdf, 건축_설계추진방향보고_변전소 추진방향_rev.00_260526.pdf, 철도_설계추진방향_2공구 시점부 배선 검토_Rev.01_260612.pdf</t>
  </si>
  <si>
    <t>1공구 배차 시격 변경(7.5분→9분)에 따른 승객 수요 증가를 반영하고, 울산트램 등 타 사업 산식 사례를 준용하여 정거장 승강장 폭원을 재검토 및 확정해야 함. 또한 종단기울기 제약으로 통로 유효폭 등 BF(장애물 없는 생활환경) 인증 기준 미달이 예상되는 구간은 발주처 협의를 통해 별도 기준 적용을 조율해야 함.</t>
  </si>
  <si>
    <t>승강장 폭원 부족 리스크를 해결하기 위해, 기본설계 원안에서 지적된 1공구 배차 시격 변경 및 승객 통로 폭원 산정 오류를 보완함. 동탄역(107/201), 112, 209 정거장 등에서 승강장 폭원(5.5m→6.5m 등) 확대를 검토하였으며, 승객 동선 및 통로 유효폭 부족 리스크를 헷지하기 위해 승강장 중앙에 위치했던 기둥을 '승강장 끝단 배치'로 변경하고 기둥 스판을 조정(20m→10m)하여 대피폭을 확보하는 대안을 설계에 반영함.</t>
  </si>
  <si>
    <t>건축_설계추진방향_3차보고_rev01_260608.pdf, 건축_설계추진방향보고_정거장계획, 차량기지 추진방향_rev.02_260521.pdf</t>
  </si>
  <si>
    <t>1단계 과업 종점(114 정거장) 이후에 주박 2편성 및 회차선을 추가 배선하는 검토안과 관련하여, 노선 연장 증감(141.55m 증가 또는 69m 단축) 여부 및 과업 종점 변경 인허가 가능성에 대해 발주처 및 오산시와 필수적으로 사전 협의해야 함.</t>
  </si>
  <si>
    <t>임의 선형 조정으로 인한 인허가 재협의 및 정거장 위치 변경 리스크를 헷지함. 2공구 1단계 과업 종점부(114 정거장) 선형 및 배선 검토 시, 정거장 위치를 원안과 동일하게 유지하고 '1단계 과업종점 임의변경 금지사항 준수' 지침을 엄격히 적용한 '검토2안(과업종점 단축/임의변경 배제)'을 수립함. 또한 망포역(S01)의 경우 기존 지하변전실과의 저촉 문제를 해결하기 위해 시점 방향으로 약 100m 위치를 이동시키는 대안을 수립하여 과도한 위치 변경 없이 간섭을 회피함.</t>
  </si>
  <si>
    <t>철도_설계추진방향_2공구 종점부 선형검토_Rev.02_260612.pdf, 철도_설계추진방향보고_2공구 종점부 선형검토_rev.00_260529.pdf, 철도_설계추진방향보고_2공구 시점부 배선검토_rev.00_260529.pdf</t>
  </si>
  <si>
    <t>301 정거장(병점역 복합환승센터 개발), 107/201 특화정거장(동탄역 복합환승센터, SRT/GTX-A 환승), S01 정거장(망포역세권 복합개발사업 및 수인분당선) 등 주요 철도망 환승 구간의 관련 기관/시공사와 세부 환승 동선 및 시설물 간섭 여부에 대한 인터페이스 협의를 필수적으로 진행해야 함.</t>
  </si>
  <si>
    <t>타 철도망과의 환승 동선 검토 누락으로 인한 환승 불편 리스크를 상세히 방어함. 망포역(S01 정거장)의 경우 수인분당선 환승이 용이하도록 1번 및 2번 출입구의 '환승 동선 길이'를 도면상에 직접 표기하며 여러 대안(L=159m, 12m, 165m, 24m, 116m)을 시뮬레이션 하였고, 이를 통해 망포역 외부 엘리베이터 및 지하주차장 연결통로와의 간섭을 해소하는 최적의 정거장 배선을 도출함. 동탄역(107/201 정거장) 또한 SRT, GTX-A 환승객 병목과 우회 보행을 막기 위해 단순 접근 시설이 아닌 '도시 네트워크 수단(트램-도시-공원-지하 연계)'으로서 에스컬레이터(E/S) 및 엘리베이터(E/V)를 추가 설치하는 스카이브릿지 특화정거장 동선 계획을 설계에 반영함.</t>
  </si>
  <si>
    <t>철도_설계추진방향_2공구 시점부 배선 검토_Rev.01_260612.pdf, 건축_설계추진방향_3차보고_rev01_260608.pdf, 건축_설계추진방향보고_정거장계획, 차량기지 추진방향_rev.02_260521.pdf</t>
  </si>
  <si>
    <t>특화정거장 계획 시 '동탄디자인 가이드라인'을 엄격히 준수하여 브랜딩 아이덴티티(BI)를 반영하고, 주변 경관 및 건축물과 조화되는 간결한 디자인과 개방감을 확보함으로써 지자체 경관/디자인 심의 반려 리스크를 사전 차단해야 함.</t>
  </si>
  <si>
    <t>디자인 가이드라인 위배로 인한 재설계 리스크를 방지하기 위해 특화정거장에 브랜딩 어휘를 적용한 통합 디자인과 철골구조 미학을 반영함. 시각적 개방감을 저해하는 승강장 중앙 기둥을 삭제하고 아치형 및 트러스 구조를 적용해 기둥 스판을 기존 10m에서 20m 이상으로 재조정함. 또한 기본설계의 지붕 재료였던 타공판넬이 유지관리(낙빙 등)와 개방감에 불리함을 식별하고, 이를 장스판 경량철골구조 및 BIPV 태양광(유리소재) 대안 재료 디자인 방안으로 개선하여 심의 기준을 만족시킴.</t>
  </si>
  <si>
    <t>건축_설계추진방향_3차보고_rev01_260608.pdf</t>
  </si>
  <si>
    <t>도로 종단 구배에 따라 정거장 승강장 종단기울기가 부득이하게 기준치(경사로 1/100)를 초과하게 될 경우, 발주처와 선제적으로 협의하여 BF(장애물 없는 생활환경) 인증 제외 등 별도 기준 적용 지침을 명확히 조율해야 함.</t>
  </si>
  <si>
    <t>지형 조건에 따른 승강장 기울기 기준 초과 리스크와 인허가 지연 리스크를 헷지함. 도로 구배에 따라 승강장이 형성되는 구조적 특성상 일반 정거장의 종단기울기가 '경사로 1/100'을 불가피하게 초과하여 조정이 필요한 제약사항을 발견함. 이에 대해 물리적 조정 대신 행정적 대책으로서 발주처 협의를 통한 별도 기준(BF 인증 제외 등) 적용을 추진하는 완화 방안을 설계에 수립함.</t>
  </si>
  <si>
    <t>건축_설계추진방향보고_정거장계획, 차량기지 추진방향_rev.02_260521.pdf</t>
  </si>
  <si>
    <t>매립형 궤도 특성과 집중호우(100년 빈도 강우)를 고려하여, 승강장 및 선로 침수가 발생하지 않도록 도로 횡방향 배수 및 궤도 내 집수/유출 계획을 노반-궤도 분야 간 인터페이스 협의를 통해 면밀히 수립해야 함.</t>
  </si>
  <si>
    <t>집중호우 시 궤도 및 승강장 침수를 방지하기 위한 배수 설계를 수립함. 홈붙이 레일(Grooved Rail)의 물고임을 방지하도록 레일 홈에 배수구(천공)를 뚫고 트램용 배수모듈을 설치하며, 집수된 우수를 횡배수관(강관 D=200mm)을 통해 기존 도로 우수받이/맨홀로 원활히 배출하도록 설계함. 한편, 기존 기본설계에 과다 반영된 본선 선로 간 플륨관, 종배수관, 집수정 등의 배수 시스템은 유사사업(대전트램 등) 사례를 준용해 단순화함으로써 배수 공사비 약 11억 원을 절감함.</t>
  </si>
  <si>
    <t>궤도_설계추진방향보고_궤도, 차량, 열차운영 등 인터페이스 적정성_rev.00_260601.pdf, 철도_설계추진방향보고_본선배수계획_rev.00_260529.pdf</t>
  </si>
  <si>
    <t>해당없음 (제공된 동탄트램 기본설계 자료 중 입찰안내서 분석 내용에 "정거장 설계 시 재해영향평가에 명시된 사항을 종합적으로 고려해야 한다"는 일반 지침과, "100년 빈도 강우에 대응하여 선로 침수를 방지하는 배수계획을 수립한다"는 궤도 배수 기준은 존재하나, 재해영향평가 기준을 무시한 도로 동일 레벨 설계로 인하여 우기 시 궤도 및 승강장이 전면 침수될 리스크를 특정하여 분석한 방재/안전 검토 내용은 명시되어 있지 않습니다.)</t>
  </si>
  <si>
    <t>해당없음 (건축 분야 설계 보고서에는 특화정거장의 지붕 마감재(타공판넬)가 낙빙 등 유지관리에 불리함을 지적하며 이를 BIPV 태양광 등 장스판 경량철골구조로 변경하는 재료 및 디자인 대안은 검토되었으나, 승강장 바닥 등 정거장 마감재가 불연재 및 Non-Slip(미끄럼 방지) 자재로 설계되지 않아 화재나 우천 시 승객 대피 안전을 저해할 리스크에 대해서는 자료 내에 언급되어 있지 않습니다.)</t>
  </si>
  <si>
    <t>해당없음 (토질 및 기초, 토목구조 분야 보고서를 보면 본선 교량인 '오산천교' 구간 통과 시 하천기본계획의 홍수량과 계획홍수위(H.W.L: EL.+27.40m)를 반영해 교각 및 가시설의 수몰/간섭 여부를 검토한 팩트는 존재하나, 정거장 승강장 계획고가 계획홍수위보다 낮게 설계되었다거나 이로 인해 차수벽 대책 누락 및 시설물 수몰/운행 중단 리스크를 다룬 내용은 존재하지 않습니다.)</t>
  </si>
  <si>
    <t>해당없음 (제공된 동탄트램 기본설계 자료에서 본선(반월고가 후문교차로 등)의 기존 최대 종단기울기는 58‰로 계획되어 당초 '60‰를 초과'한 설계 자체가 존재하지 않았습니다. 또한 해당 종단기울기를 58‰에서 53‰로 완화한 사유 역시 급곡선(R=60m) 구간에 요구되는 곡선보정 설계기준(5‰)을 맞추기 위한 기하구조적 선형 조정일 뿐이며, 우천 시 차량 미끄러짐 및 제동거리 부족에 따른 추돌 사고 관점의 리스크 검토 내용은 문서에 명시되어 있지 않습니다.)</t>
  </si>
  <si>
    <t>해당없음 (철도 선형 검토 문서에 58‰의 급경사를 53‰로 완화한 물리적 선형 조정 실적은 확인되나, 이를 차량 동력을 무시한 과도한 급경사로 규정하여 차량 성능과 결부시키거나 강우/강설 시 트램 등판 불능 및 미끄러짐 추돌 사고 리스크와 같은 기상 악화/운영 측면에서 분석한 검토 내용은 제공된 자료 내에 전혀 기재되어 있지 않습니다.)</t>
  </si>
  <si>
    <t>해당없음 (철도 배선계획 문서에 '2공구에서 고장 열차가 발생하더라도 빠르게 차량기지로 구원하여 선로 정상화를 한다'는 등 대피선 및 비상건넘선 설치를 통한 일반적인 구원/회차 개념은 존재하나, 종단계획 시 최대 하중 및 구원운전 견인력을 배제한 급경사 설계를 특정 원인으로 삼아 그로 인한 견인 불능 및 전 노선 장시간 마비 리스크를 정밀하게 분석하거나 다룬 내용은 기본설계 자료 내에 존재하지 않습니다.)</t>
  </si>
  <si>
    <t>해당없음 (제공된 동탄트램 기본설계 자료에서 본선 급곡선 구간(R=30m, R=50m)을 각각 R=90m, R=200m로 대폭 완화하여 열차 운행 효율과 주행 안전성을 증대시킨 평면선형 검토 내용은 존재하나, 종단선형 계획 시 본선 최소 곡선반경 25m, 정거장 160m 미달 설계라는 구체적 수치 오류를 지적하거나 그로 인해 트램 회전 주행 불가 및 승강장 이격거리 초과 리스크가 발생한다는 내용은 명시되어 있지 않습니다.)</t>
  </si>
  <si>
    <t>해당없음 (기본설계 자료에 R=800m 수치가 등장하긴 하나 이는 반월고가 후문교차로의 평면선형 곡선반경을 R=80m에서 R=800m로 완화한 평면 선형 조정 실적일 뿐이며, 종단선형(종곡선)의 누락 및 반경 기준(800m) 미달 설계로 인한 트램 통과 시 승차감 불량 및 궤도 손상 발생 리스크를 분석한 검토 내용은 자료 내에 전혀 포함되어 있지 않습니다.)</t>
  </si>
  <si>
    <t>해당없음 (기본설계 자료를 보면 능동지하차도 종점 유출구 구간에서 트램 설계기준상의 순원곡선장 및 완화곡선장 기준을 만족시키기 위해 곡선반경을 미세 조정(R=240m → R=305m, 310m)한 팩트는 존재하나, 완화곡선 누락 또는 과소 길이 설계로 인해 트램 진입 시 승객 쏠림 현상이 발생하거나 차륜 횡압이 급증할 리스크를 특정 원인-결과로 분석한 검토 내용은 문서 내에 전혀 언급되어 있지 않습니다.)</t>
  </si>
  <si>
    <t>트램 콘크리트 궤도기초 상/하부 노반의 품질기준 만족 여부를 확인하기 위해 '반복평판재하시험' 또는 '동평판재하시험' 등의 현장 품질기준 시험을 실시해야 하며, 품질기준 미확보 구간에 대해서는 경제적이고 안전한 공법을 제안하여 설계에 반영해야 함.</t>
  </si>
  <si>
    <t>연약지반 구간의 부등침하 리스크를 헷지하기 위해, 공사 시 '지표침하판'과 '관측봉'을 설치하여 운영 시까지 지속적으로 지반 침하를 계측하고 관리하도록 설계에 반영함. 또한, 기초 노반 하부에 '개량연약지반'과 '강화노반'을 조성하고, 연약지반이나 구조물 상부 과다하중 작용 구간 등에 평판재하시험을 필수적으로 실시하여 지지력을 검증함으로써 침하 리스크를 방어함.</t>
  </si>
  <si>
    <t>토질_설계추진방향_노반 현장다짐시험 품질관리 기준 검토-01.pdf, 궤도_설계추진방향보고_안전시설 및 시설물 유지관리·보수를 위한 시설설치의 적정성_rev.02_260526.pdf</t>
  </si>
  <si>
    <t>해당없음 (제공된 동탄트램 기본설계 자료 중 차량기지 배치계획 대안 검토 항목에 전면 성토구간을 활용하고 주민이용시설을 배치하여 복합개발을 극대화한다는 대안-3 등의 개발 계획은 수립되어 있으나, 안전체험시설을 위한 여유 공간 확보 내용이나 필수 시설 밀집 배치로 인한 장래 복합개발(입체화 등) 동선 차단 리스크를 분석한 내용은 존재하지 않습니다.)</t>
  </si>
  <si>
    <t>입찰안내서 지침에 따라 차량기지 운영기관의 의견을 청취하여, 사용자 중심의 근로환경 개선 및 유지관리 효율성을 제고할 수 있는 최적의 시설계획(동선, 편의성 확보 등)을 수립하고 이를 설계에 필수적으로 반영해야 함.</t>
  </si>
  <si>
    <t>임의 단절 배치로 인한 근로 환경 악화 및 시설 안전사고 리스크를 해결함. 기본설계 원안의 검수고와 종합관리동이 320m나 이격 배치되어 관리 동선이 길고, 변전소/창고 접근 시 선로를 횡단해야 하는 안전사고 우려 리스크를 헷지하기 위해 두 시설을 45m 이내로 인접 배치(통합 배치)하여 수평/수직 동선을 최단화함. 또한 소음과 분진에 노출되던 승무 시설을 종합관리동 내로 통합 이전하고, 부족했던 1인 침실 37개소를 추가 반영하는 등 유지관리 인력의 작업 편의성을 대폭 개선함.</t>
  </si>
  <si>
    <t>차량기지분야_차량기지 계획의 적정성 검토_rev.02_260609.pdf, 건축_설계추진방향보고_정거장계획, 차량기지 추진방향_rev.02_260521.pdf</t>
  </si>
  <si>
    <t>도상콘크리트 등 궤도 주요 자재의 내구성 확보를 위해 관련 설계기준(KDS 14 20 40 등)을 검토하여 제빙화학제 등 유해환경에 저항할 수 있는 최적의 재료 규격(압축강도, 배합 등)을 실시설계에 필수적으로 반영해야 함.</t>
  </si>
  <si>
    <t>도상콘크리트 내구성 부족으로 인한 장기 유지보수 비용(LCC) 급증 리스크를 헷지함. 기본설계 원안의 도상콘크리트 압축강도 30MPa는 제빙화학제(염화물) 노출 시 내구성 확보가 어려우므로, 이를 내구성 설계기준 ES4 등급을 만족하는 35MPa로 상향 적용하고 3성분계 배합 및 표면 칼라하드너 시공을 도입함. 대안 적용으로 초기 공사비는 약 5.65억 원 증가(47.49억 원 → 53.14억 원)하지만 장기 LCC 절감 및 안전성을 확보함.</t>
  </si>
  <si>
    <t>궤도_설계추진방향보고_안전시설 및 시설물 유지관리·보수를 위한 시설설치의 적정성_rev.02_260526.pdf</t>
  </si>
  <si>
    <t>대단위 아파트, 학교, 병원 등 정온시설 인접 통과 구간에 대하여 공사 중 및 운영 중 발생하는 소음·진동 저감 대책(저소음 장비 투입, 공법 변경 등)을 수립하고, 학교 주변 통과 시 노면전차 운행에 따른 보행자 안전 확보 대책(난간, 방호벽 등 안전시설)을 환경 및 교통 분야와 인터페이스하여 설계에 반영해야 함.</t>
  </si>
  <si>
    <t>정온시설 인접 도심지 통과 시 소음·진동 민원 폭주 및 안전사고 리스크를 방어함. 아파트, 학교, 병원 등 인접지를 환경 특별 관리 구간으로 지정하여 저소음 장비 투입, 공법 변경, 가설방음망 및 세륜세차장 설치 등의 소음·진동 저감 대책을 마련함. 또한, 학교 및 병원 근접 구간에는 트램 주행 시 학생 등 보행자 교통사고를 방지하기 위해 노선 주변에 난간, 방호벽 등 안전 보호시설 계획을 설계에 구체화함.</t>
  </si>
  <si>
    <t>공사관리_입찰안내서 분석 및 공사관리 추진방향 검토_ver.1_260612.pdf, 검수_설계추진방향보고_검수고 내 배치 레이아웃 및 검수장비 검토_rev.00_260529.pdf</t>
  </si>
  <si>
    <t>해당없음 (제공된 동탄트램 기본설계 자료 중 기계/검수 분야 보고서에는 중량 검수장비(차륜선반 등 공작기계 7종) 제외를 통한 공사비 절감안이나 검수고 내 피트와 연계된 차체작업장 배치 등에 대한 검토는 상세히 진행되었으나, 차량기지 건축물의 바닥 슬래브 구조 계산 시 중량 장비 및 피트용 무근 콘크리트 하중 누락으로 인한 바닥 처짐 및 균열 리스크를 검토한 내용은 존재하지 않습니다.)</t>
  </si>
  <si>
    <t>해당없음 (제공된 기계 및 건축 분야 설계 자료에는 기계실, 전기실, 물탱크실 등의 일반적인 면적 확보 계획이나 소방/급배수설비에 대한 방향성은 언급되어 있으나, 차량기지 내 밀집 배치의 2D 도면 설계로 인한 보 간섭 및 천장고 저하, 또는 밸브류 점검 공간 미확보 리스크와 같은 구체적인 시공/유지보수 단계의 물리적 간섭 문제를 지적하거나 사전 검토한 내용은 존재하지 않습니다.)</t>
  </si>
  <si>
    <t>해당없음 (검수 분야 보고서에는 동시인양장치로 차량을 들어 올린 상태에서 작업할 때의 안전성 우려나 50m 길이의 차체작업장 추가 확보 등 평면적인 유지보수 공간에 대한 대안 설계는 상세히 검토되었으나, 검수선 PIT 공간 및 H-Beam 강제도상 설계 누락이나 깊이 미달을 특정하여 이로 인한 하부 유지보수 불가 및 작업자 안전사고 리스크를 다룬 내용은 제공된 자료에 언급되어 있지 않습니다.)</t>
  </si>
  <si>
    <t>해당없음 (차량기지 검수 분야 자료에서 차량을 동시 인양한 상태로 차량 옥상(지붕)에 위치한 냉방기, 배터리, 추진장치 등을 작업할 때 발생할 수 있는 작업 안전성 우려에 대한 팩트는 확인되나, 차량기지 건축물의 지붕 곡면 미고려나 추락방지설비(안전대, 난간 등) 누락으로 인해 고소 추락 중대재해가 발생할 리스크를 방재 및 산업안전보건 관점에서 직접적으로 검토한 내용은 문서 내에 존재하지 않습니다.)</t>
  </si>
  <si>
    <t>해당없음 (제공된 동탄트램 기본설계 자료 중 기계 및 검수 분야 보고서에는 공작기계 7종 제외 등 검수장비 물량 최적화에 대한 내용은 존재하나, 주요 검수장비 유틸리티 용량 및 인입 설계 누락으로 인하여 장비 반입 후 검수 작업 불가 리스크가 발생할 수 있다는 점을 지적하거나 이를 대비한 유틸리티 설계 검토 내용은 문서 내에 전혀 언급되어 있지 않습니다.)</t>
  </si>
  <si>
    <t>동시인양장치와 천장크레인의 동선 중첩으로 인한 동시 작업 불가 리스크를 해결함. 기본설계 원안은 중수선 공장 내 차체작업장이 미확보되어 동시인양장치를 함께 활용하도록 계획됨에 따라, 차량 인양 시 크레인 차체 인양 작업을 동시에 수행할 수 없는 간섭 리스크가 있었음. 이를 헷지하기 위해 대안설계에서 5m × 50m(면적 250㎡) 규모의 '차체작업장' 공간을 별도로 추가 확보하고 화물차량 이동 통로(폭 5m)를 재배치함으로써 동선을 물리적으로 분리하고 검수 효율성을 개선함.</t>
  </si>
  <si>
    <t>검수_설계추진방향보고_차량기지 검수고 배치방안 검토_rev.00_260602.pdf</t>
  </si>
  <si>
    <t>해당없음 (차량기지 검수장비와 관련하여 불필요하거나 과다 반영된 공작기계 7종을 제외하여 공사비를 절감한다는 내용은 기재되어 있으나, 개통 초기 차량 고장에 대비한 특수공구 및 3년 치 예비품 산정 누락/부족 설계를 지적하거나 이로 인한 부품 수급 지연 및 운행률 급감 리스크를 운영 유지보수 관점에서 검토한 내용은 존재하지 않습니다.)</t>
  </si>
  <si>
    <t>차량 하부의 먼지 등을 압축공기로 청소할 때 발생하는 미세먼지 확산 리스크를 방지하기 위해 분진 차단 대책을 수립함. 차량기지 내 전용 선로인 '공기청소선(기취선)'을 계획하고, 분진 확산 차단을 위해 선로 양측면에 물리적 벽을 설치하여 독립된 공간을 구성함. 또한 내부에 이동식 집진장치, 천정 배기시설, 측면 급기시설 등을 도입하여 청소 중 발생하는 미세먼지가 정비고 내 정밀 장비 및 작업자에게 확산되지 않도록 시스템을 구축함.</t>
  </si>
  <si>
    <t>해당없음 (검수 분야 보고서에 공기청소선 내 옥상점검대 설치 내용과 충전공급장치가 물을 사용하는 청소선 인접 배치로 인한 전기 안전사고 발생 우려를 헷지하기 위해 일상검사선 측으로 장비를 이설하는 검토 내용은 존재하나, 전용 상부 점검대 및 안전 인터록 제어 설계 누락으로 인한 작업자의 고전압 감전 리스크를 직접적으로 다룬 대책은 기재되어 있지 않습니다.)</t>
  </si>
  <si>
    <t>해당없음 (공사관리 분야 검토서에 환기실 기기 반입 및 궤도 자재 투입 시 지상부지 특성을 활용하여 별도 재료투입구 없이 검수고 배면 또는 차량 출입구를 활용한다는 시공 동선 계획은 존재하나, 유지보수 단계에서 대형 장비 반입구 규격 부족으로 인해 벽체나 슬래브를 파쇄해야 하는 리스크를 특정하여 검토한 내용은 존재하지 않습니다.)</t>
  </si>
  <si>
    <t>해당없음 (제공된 검수 분야 보고서의 차량기지 배선계획 대안을 보면 '임시검사 및 중정비선 1선(겸용)'으로 계획된 팩트는 확인되나, 중정비 궤도가 1선으로만 설계되어 장기 수선 시 후속 차량의 중정비가 불가능해질 심각한 검수 지연 리스크를 지적하거나 이를 해소하기 위해 중정비선을 추가 확보해야 한다는 검토 내용은 존재하지 않습니다.)</t>
  </si>
  <si>
    <t>해당없음 (기계 분야 보고서에 일반적인 승강설비 규격비교 검토 항목이 있고 검수 분야 보고서에 유지보수용 동시인양장치가 언급되기는 하나, 승강설비(인양장치 등)의 원격 감시제어 및 통신망 연동 누락으로 인하여 중량물 인양 비상시 관제실의 즉각적인 인지·통제가 불가해질 리스크를 통신/기계/안전 관점에서 검토한 내용은 존재하지 않습니다.)</t>
  </si>
  <si>
    <t>해당없음 (제공된 동탄트램 기본설계 자료 중 차량기지 및 검수설비 관련 건축/궤도/기계 설계 보고서에 승객에 의한 안전운행 방해 리스크를 차량기지 내 보안 및 검수 안전 관점에서 다루거나 사전 검토한 내용은 존재하지 않습니다.)</t>
  </si>
  <si>
    <t>작업자의 선로 횡단으로 인한 치명적인 충돌 사고 및 중대재해 리스크를 헷지함. 기본설계 원안에서는 건물들이 이격되어 있어 관리동에서 변전소 및 창고로 이동할 때 선로를 횡단해야 하므로 안전사고 우려가 매우 컸음. 이를 방지하기 위해 검수고와 종합관리동을 인접 배치(또는 통합 설치)하여 동선을 단축(56m → 44m)하였고, 수평·수직 관리 동선을 최단화하여 작업자의 선로 횡단을 배제하는 물리적 안전 대책을 설계에 반영함.</t>
  </si>
  <si>
    <t>건축_설계추진방향_3차보고_rev01_260608.pdf, 차량기지분야_차량기지 계획의 적정성 검토_rev.02_260609.pdf</t>
  </si>
  <si>
    <t>해당없음 (차량기지 계획 도면 등에서 구내 '시운전선(시험선)'의 선로 배치는 계획되어 있으나, 차량기지 구내 시험선의 기능 여부 검토 필요성이나 최소 연장 275m 기준 미달에 따른 리스크를 검토한 내용은 자료에 존재하지 않습니다.)</t>
  </si>
  <si>
    <t>해당없음 (차량기지 배선 계획에 차륜전삭선 1선을 설계하고 불필요하거나 과다 반영된 공작기계 7종을 제외하여 공사비를 절감한다는 검토는 존재하나, 2차 임시 식별 가능한 전삭기(또는 전식기) 설치 및 운영효율 50% 증가를 다룬 검토 내용은 제공된 문서에 존재하지 않습니다.)</t>
  </si>
  <si>
    <t>해당없음 (제공된 동탄트램 기본설계 관련 궤도/도로/차량기지 계획 보고서상에 차량기지 구내도로 내 비상입출고선/진입선 추가와 관련한 리스크나 구체적인 우회 설계 대책을 검토한 내용은 존재하지 않습니다.)</t>
  </si>
  <si>
    <t>차량기지 내 지게차 운용 및 대형 자재 반입 시 화물차량 이동 안전성을 확보하고 도로 폭 협소에 따른 간섭 리스크를 예방하기 위해 구내도로의 적정 폭 확보 및 전용 보관 계획을 수립함.</t>
  </si>
  <si>
    <t>차량기지 내 지게차 등 화물기계와 자재 반입 화물차량의 이동 동선 안정성을 위해, 당초 기본설계 원안에서 계획된 화물차량 통로 폭 4m를 기술제안 대안 반영을 통해 5m로 확대 적용함. 또한, 구내도로 상 지게차의 안전한 운용 및 자재 반입 대기를 위해 지게차 등 화물기계 보관장(5m×50m)을 차량기지 계획에 추가 확보하여 병목 현상 및 보행자 안전사고 위험을 헷지함.</t>
  </si>
  <si>
    <t>차량기지분야_차량기지 계획의 적정성 검토_rev.02_260609.pdf</t>
  </si>
  <si>
    <t>해당없음 (동탄트램 차량기지 내 선로 및 검수선은 자갈궤도가 아닌 매립형 콘크리트 궤도 등으로 일원화하여 계획되었기 때문에, 자갈궤도 가동 및 일반 하중 기준 설계에 의한 기초 균열 발생 리스크 및 관련 방지 대책은 검토 대상에 해당하지 않습니다.)</t>
  </si>
  <si>
    <t>해당없음 (제공된 동탄트램 기본설계 보고서상에 차량기지 구내 선형으로 '급곡선 반경 R=25m'를 특정한 선형 계획이나 차량의 '회전성능 검토'는 확인되지 않습니다. 또한 급곡선부 편마모 방지 대책(레일 도유기 설치, 궤도 확폭 등) 및 탈선 사고 발생 리스크를 방지하기 위해 궤도/차량 분야에서 구체적으로 다루거나 검토한 내용은 존재하지 않습니다. ※ 본선 구간 급곡선 R=30/50m 완화 계획은 차량기지 내 R=25m에 해당하지 않음)</t>
  </si>
  <si>
    <t>해당없음 (그루브드 레일과 차량 차륜 답면 간의 '기하학적 정합성'을 정밀 분석하여 소음 및 탈선 방지 대책을 수립한 구체적 팩트는 확인되지 않습니다. 다만, 궤도 설계 보고서상에서 레일 홈 내 고무탄성재 설치 시 오히려 급곡선부에서 차륜 플랜지 마찰이 증가하는 문제를 식별하고 이를 개선하기 위해 탄성재를 제외하였으며, 레일 홈 내 이물질 유입에 따른 차륜 플랜지 작동 방해 리스크를 헷지하기 위해 도로용 청소차를 활용한 레일 홈 청소 계획을 수립한 사실은 확인됩니다.)</t>
  </si>
  <si>
    <t>차량기지 구조물 완료 후 시행되는 궤도공사용 자재(레일, 침목, 도상콘크리트 등) 투입을 위한 재료투입구 설치 유무 및 자재 반입 경로 동선 계획을 공사관리 및 궤도 분야 인터페이스 협의를 통해 검토함.</t>
  </si>
  <si>
    <t>입찰안내서 요구사항에 따른 차량기지 궤도 자재 투입용 재료투입구 설계 검토 시, 건축 구조물 선시공으로 인한 자재 반입 불가 및 벽체 파쇄, 공기 지연 리스크를 헷지함. 동탄 차량기지는 지상부지인 현장 여건을 고려하여 건축물에 별도 재료투입구를 설치하는 계획 대신, 기존 검수고 배면 또는 차량 출입구를 궤도 자재 반입 경로로 적극 활용하는 동선 계획 방안을 수립하여 공기 지연 및 건축물 파손 리스크를 방지함.</t>
  </si>
  <si>
    <t>공사관리_입찰안내서 분석 및 공사관리 추진방향 검토_ver.1_260612.pdf, 궤도_설계추진방향_차량, 열차운영 등 인터페이스 적정성_rev.05_260608.pdf</t>
  </si>
  <si>
    <t>해당없음 (제공된 차량기지 및 궤도 분야 기본설계 자료상에 시운전선(시험선)의 유효장 부족으로 인한 제동 테스트 불가능 리스크나 입출고 선로와의 중첩에 따른 입출고 마비 리스크를 검토하고 대책을 수립한 구체적 팩트는 확인되지 않습니다. ※ 다만, 철도 계획 검토서상에서 유치선(Stabling line) 진입 시 제동거리 부족분(0.83m~2.89m) 리스크를 검토하고, 이를 해결하기 위해 진입 속도를 10km/h에서 5km/h로 제한하는 대책을 수립한 팩트는 존재하나 이는 시운전선 제동 테스트와 무관함)</t>
  </si>
  <si>
    <t>경기도 노면전차 건설 규정안(제18조)'에 따라 차량기지 내 선로가 3선 이상인 경우 선로 중심간격 중 한 개는 3.8m(건축한계에서 0.7m 여유)를 준수해야 하며, 선로 간 신호기(진로표시기 등) 설치 공간 확보를 위해 중심간격을 최소 3.6m 이상, 건축한계 간 이격은 500mm 이상 확보되도록 인터페이스를 조율함.</t>
  </si>
  <si>
    <t>부지 협소에 따른 선로 중심간격 축소 설계로 인한 작업자 협착 사고 리스크 및 직접적인 대피 공간을 명시한 안전 대책은 없으나, 규정 준수 및 기기 설치 한계 극대화로 협소 위험을 헷지함. 설계 검토 결과, 차량기지 내 유치선 선로 중심간격을 3.6m~3.8m로 넉넉히 설계하여 선로 간 신호기 설치 공간(폭 402mm 이상)과 건축한계 간 이격거리(500mm 이상)를 적정하게 확보함. 특히 유치선 8선 중 중앙 열선 간격은 전기시설물 설치 및 안전 작업 공간 확보를 위해 4.5m로 광폭 적용함.</t>
  </si>
  <si>
    <t>차량기지분야_차량기지 계획의 적정성 검토_rev.02_260609.pdf, 철도_설계추진방향보고_차량기지 계획의 적정성 검토_ver.07_260529.pdf</t>
  </si>
  <si>
    <t>동절기 분기기 등 트램 선로 설비 동결 방지 요구사항에 따라 매립형 분기기 포인트 부에 히팅장치(융설장치) 설치를 반영하고, '히팅디바이스 함(궤도)'과 '히팅디바이스/열선(신호·전기)' 간의 설치 및 납품 인터페이스 주체를 명확히 수립하여 설계에 반영함.</t>
  </si>
  <si>
    <t>폭설 시 분기기 동결 및 선로전환기 작동 장애로 인한 입출고 마비 리스크를 방어함. 동절기 선로 설비 동결 방지 설계 원칙에 따라, 강설 발생 시 매립형 분기기 포인트 부에 설치된 융설 장치(히팅 장치)를 자동으로 작동시켜 내외부 적설을 차단하는 계획을 반영함. 또한 설치 누락 방지 및 시공 효율성을 위해 공작창 제작 단계에서 '히팅디바이스 함'은 궤도가 공장 조립 납품하고, 실제 열선인 '히팅디바이스'는 신호 및 전기 분야가 현장 설치하도록 인터페이스를 명확히 조율함.</t>
  </si>
  <si>
    <t>궤도_설계추진방향보고_차량 운행조건을 고려한 분기기 배치 및 분기기 형식 선정의 적정성_rev.00_260521.pdf, 궤도_설계추진방향보고_안전시설 및 시설물 유지관리·보수를 위한 시설설치의 적정성_rev.02_260526.pdf, 궤도_설계추진방향보고_궤도, 차량, 열차운영 등 인터페이스 적정성_rev.00_260601.pdf</t>
  </si>
  <si>
    <t>차량기지 내 다수 열차 유치 및 입환 시 열차 간 추돌 리스크를 방지하기 위해, 차량접촉한계(Fouling Point)로부터 요구되는 비상 제동거리와 안전 여유거리를 정밀하게 검토하고 속도 제한 및 신호 쇄정 대책을 반영함.</t>
  </si>
  <si>
    <t>입환 시 이격거리 부족에 따른 열차 추돌 리스크를 시스템적으로 헷지함. 설계 검토 결과, 유치선 운행속도를 10km/h로 적용할 때 비상제동 필요 제동거리 7m 및 안전 여유거리 등을 고려해 총 9.5m의 이격거리가 필요함을 도출함. 그러나 실제 유치선 배선 계획상 확보 가능한 거리가 6.61m(1안) 또는 8.67m(2안)에 불과해 제동거리 부족 리스크가 식별됨. 이를 헷지하기 위해 유치선 진입 속도를 5km/h로 제한(필요 제동거리 6.66m로 단축)하고, 제동거리가 부족한 선로전환기는 신호적으로 동시 진출입을 차단하는 쇄정 설정을 반영하여 추돌 사고를 방지함.</t>
  </si>
  <si>
    <t>동절기 폭설 및 매립형 궤도 특성에 따른 선로 차단 리스크를 예방하기 위해, 트램궤도 전용 청소차 및 제설장비(키트) 도입 계획을 수립하고 모래분사설비 추가 구매 여부를 향후 실시설계 단계에서 운영사 협의를 통해 구체화함.</t>
  </si>
  <si>
    <t>매립형 궤도의 홈내 이물질 유입에 따른 휠 플랜지 주행 장애 및 폭설 시 선로 마비 리스크를 방어함. (운영사 서울교통공사 요청 모래분사설비/보관장치 구매 검토는 팩트가 부재하여 해당없음 처리하되) 궤도 유지관리 계획에 따라 궤도 홈 청소 및 이물질 제거를 위한 '트램궤도 청소차량' 1대와 동절기 제설을 위한 '트램궤도 제설장치(제설키트)' 2대 구매를 반영함. 또한 적설량에 따른 도로용 제설차, 스노우 브러쉬 등 제설 장비 투입 단계별 융설 및 제설 운영 대책을 수립함.</t>
  </si>
  <si>
    <t>유지보수 특수 차량들의 제원 및 이격거리를 고려하여 필요한 장비유치선 유효장을 정밀 산출하고, 장비 보관을 위한 모터카고 건축 및 동선 간섭 방지 배선 계획을 궤도-건축-신호 분야 간 인터페이스를 통해 설계에 반영함.</t>
  </si>
  <si>
    <t>유지보수 특수 차량의 주차 공간 부족 및 장비 보관 미흡에 따른 리스크를 방어함. 트램궤도청소차량(6.775m), 레일연마차(7.5m), 선로복구 구조차량(6.775m), 평판트로리(12m×2대=24m) 제원과 안전 이격거리 3m를 반영해 총 55m의 필요 유효장을 산출하고, 장비유치선 유효장을 58m~136m로 넉넉하게 확보함. 또한 모터카 작업 시 간섭을 예방하도록 모터카선을 기존 1선에서 2선으로 확대 반영하고, 건축 계획에 지상 1층 규모의 '모터카고' 905.92㎡를 확정 설계하여 보관 편의와 작업 동선 안전을 헷지함.</t>
  </si>
  <si>
    <t>차량기지분야_차량기지 계획의 적정성 검토_rev.02_260609.pdf, 검수_설계추진방향보고_차량기지 검수고 배치방안 검토_rev.00_260602.pdf, 건축_설계추진방향보고_정거장계획, 차량기지 추진방향_rev.02_260521.pdf</t>
  </si>
  <si>
    <t>해당없음 (제공된 동탄트램 기본설계 전기 및 건축 분야 보고서상에 충전설비 지지물(충전 포스트 등) 자체의 강풍 대비 전도 방지 구조 설계나, 구조안전성 검토 및 디자인 승인 누락에 따른 재시공 리스크를 다루거나 예방 대책을 수립한 구체적 팩트는 존재하지 않습니다. ※ 다만, 정거장 캐노피의 크기를 충전방식 변경에 대비해 당초 4.5m×30m(높이 3.2m)에서 8.6m×30m(높이 4.5m)로 연장하고, 이에 따른 공사비 증가분을 설계에 반영한 후 최종안은 발주처 승인을 거치도록 하는 건축 설계 변경 검토 팩트는 확인됩니다.)</t>
  </si>
  <si>
    <t>해당없음 (제공된 동탄트램 기본설계 전력 및 전차선 분야 보고서상에 전차선이나 충전설비 자체의 온도상승 실시간 모니터링, 아크 억제 설계 누락에 기인한 전차선 단선 및 화재 유발 리스크를 전기적/방재 관점에서 정밀 검토한 구체적 대책은 존재하지 않습니다. ※ 다만, 수배전반 내부에 열감지기를 설치해 이상 고열을 감지하고 소공간 소화장치를 설치하여 확산을 방지하는 계획과, SCADA 시스템을 연동하여 관제실에서 전차선 급전 및 차단을 제어하는 전력설비 감시 대책은 확인됩니다.)</t>
  </si>
  <si>
    <t>해당없음 (완공 후 지하 변전소나 기계실 등 지하구조물의 상시 운영 단계에서 라돈, 일산화탄소, 미세먼지 등 유해가스를 센서로 실시간 측정하고 환기 장비 풍량을 자동으로 연동 제어하는 시스템을 반영해 작업자의 건강 장해를 예방하는 영구 설비 설계 검토 내용은 존재하지 않습니다. ※ 다만, 공사(시공) 중 작업자의 안전 확보를 위해 유해가스 측정이 가능한 '스마트 환경센터' 등 스마트 안전장비를 의무 도입하고 비용을 설계 안전관리비에 포함하는 건설 단계 임시 안전 대책은 확인됩니다.)</t>
  </si>
  <si>
    <t>해당없음 (유지보수 장비 고장 시 상세 장비 제원 및 선회 반경을 바탕으로 한 검수고 외부 출입구(장비 반입구) 규격 적정성을 사전에 검토하거나, 부적절한 장애물 배치로 인해 반입이 불가능해질 리스크를 직접 검토하고 방지 대책을 수립한 구체적 팩트는 확인되지 않습니다. ※ 다만, 차량기지 내 지게차 등 화물기계 및 대형 화물차량의 원활한 이동과 간섭 예방을 위해 검수고 내부의 화물차량 통로 폭을 기본설계 원안인 4m에서 5m로 확대 반영한 내부 동선 대책은 확인됩니다.)</t>
  </si>
  <si>
    <t>해당없음 (제공된 차량기지 및 검수 분야 설계 보고서상에 차량 최초 반입 및 대수선 이송 시 중량물 양중 한계를 극복하기 위한 전용 하역선이나 램프 시설 설치 적정성을 직접 검토하고 예방 대책을 수립한 구체적인 팩트는 확인되지 않습니다. ※ 다만, 유사 사업(위례트램 등)의 차량 반입 현장을 참고하기 위해 대형 트레일러와 이동식 크레인을 이용해 트램 차량을 하역 및 반입하는 시공 사례 사진이 검토 자료에 수록되어 있는 사실은 확인됩니다.)</t>
  </si>
  <si>
    <t>차량기지 선로 종단부에서 발생할 수 있는 차량 과주 및 충돌 사고를 물리적으로 방지하기 위해, 실시설계 단계에서 유치선군, 세척선, 시운전선 인상선 및 검수고 내부 선로 종단부 구간에 충격 흡수 능력이 있는 유압식 차륜막이(차막이) 설치 계획을 명확히 반영해야 함.</t>
  </si>
  <si>
    <t>검수고 종단부 과주 및 제동 불량에 따른 건물 벽체/정비 장비 직충돌 리스크를 설계 반영으로 확실하게 헷지함. 기본설계 궤도 분야 부대안전시설 계획에 따라 차량 충돌 시 안전성을 대폭 향상시키고 저속 운행 차량의 일주를 차단하기 위해 충격 흡수 장치가 장착된 '유압식 차륜막이'를 본선뿐만 아니라 차량기지 내 유치선군, 세척선, 시운전선 인상선, 검수고 내 종단부 구간에 설치하도록 적용 위치를 지정함. 또한 사급자재 목록에 유압식 차막이 총 5개소 물량을 정밀하게 산출 및 반영하여 설계 누락 리스크를 시스템적으로 방어함.</t>
  </si>
  <si>
    <t>해당없음 (제공된 차량기지 검수 및 건축 설계 보고서상에 차량기지 검수고 내부 '턴테이블' 장비 설치 계획 자체가 수립되어 있지 않으므로, 건축 기둥과 턴테이블 간의 간섭 리스크 검토 및 대책은 해당하지 않습니다. ※ 다만, 장비 간 간섭 대책으로 옥상점검대와 동시인양장치 간의 간섭 방지, 천장크레인과 중복을 피하기 위해 차체작업장 면적 250㎡를 별도로 추가 확보하는 대책 등은 기본설계에 충실히 반영되었습니다.)</t>
  </si>
  <si>
    <t>해당없음 (제공된 차량기지 검수 및 열차 운영 계획 보고서상에 고장 차량 발생 시 구원 차량과의 연결 상태를 사전 검증하기 위한 '전두연결기 시험기' 장비의 설계 반영 여부나 이의 누락에 따른 본선 마비 리스크를 검토한 내용은 존재하지 않습니다. ※ 다만, 검수고 내에 '연결기/연접장치 작업장'을 배치한 평면 계획과, 본선 내 이례상황 발생 시 구원 차량을 25km/h 속도로 연결 및 견인하여 1시간 내에 기지로 입고시키는 일반적 이행계획은 확인됩니다.)</t>
  </si>
  <si>
    <t>차량기지 내 일상 및 월상검사선 구역에서 야간 일상 점검의 접근성을 보장하고 추락 등 안전사고를 방지하기 위해, 실시설계 단계에서 옥상점검대, 추락방지대, 운전실 승강대, 궤도 횡단용 건넘판(전면작업대) 및 계단 등 세부 안전작업 설비를 검수 및 건축 인터페이스 설계를 통해 명확히 설치해야 함.</t>
  </si>
  <si>
    <t>일상검사대 접근성 저하 및 간이승강대 누락에 의한 작업자 추락 사고 리스크를 설계 반영으로 확실히 예방함. 기본설계 검수 분야 계획에 따라, 일상 및 월상검사선 내 차량 점검 시 지붕 상부 추락 사고를 방지하기 위해 옥상점검대와 추락방지대를 설계에 반영함. 또한 작업자가 차량 좌우측 운전실로 안전하게 진입할 수 있도록 전용 운전실 승강대를 설치하고, 차량 정차 위치 전후에는 선로 횡단을 헷지하고 전면부 점검을 돕는 궤도 건넘판(전면작업대) 및 계단을 설계하여 야간 점검 접근성 및 낙상 위험을 시스템적으로 방어함.</t>
  </si>
  <si>
    <t>해당없음 (제공된 차량기지 검수 분야 설계 보고서상에 중요 부품 보관을 위한 '경량창고' 및 '중량자재 보관장' 등의 기능실 배치 팩트는 확인되나, 민감 제어 부품이 습기 및 분진에 의해 손상되는 것을 예방하기 위한 예비품 전용 저장랙 세부 설계 및 온습도 조절/밀폐 등 특수 보관 환경 대책을 수립한 구체적 내용은 존재하지 않습니다.)</t>
  </si>
  <si>
    <t>해당없음 (제공된 건축 및 시스템 설계 보고서상에 외부 충격에 의한 유리 파편 비산 및 승객 부상 리스크를 특정하여 검토하고 안전유리 두께나 세부 비산 방지 대책을 설계에 반영한 구체적 팩트는 확인되지 않습니다. ※ 다만, 정거장 캐노피 마감재 대안 검토를 통해 파편 비산을 방지할 수 있는 'AL 쉬트 + 불투명 유리' 형태의 강화접합유리를 캐노피 마감으로 제안한 일반 도면 표기는 확인됩니다.)</t>
  </si>
  <si>
    <t>해당없음 (제공된 기본설계 범위 내에 트램 차량 자체의 기계/의장 상세 보고서가 누락되어 있어, 승객 출입문(도어)의 장애물 감지 센서, 끼임 방지 고무 립, 자동 반전 장치 등 손끼임 사고 방지 대책을 구체적으로 검토한 내용은 존재하지 않습니다. ※ 다만, 통신 분야 AFC 시스템 설계 자료에서 트램 1대 기준 '5모듈, 출입문 12개'에 RF 요금 단말기 24대를 구축하도록 계획한 단편적인 출입문 사양 정보만 확인됩니다.)</t>
  </si>
  <si>
    <t>궤도_설계추진방향_차량, 열차운영 등 인터페이스 적정성_rev.05_260608.pdf</t>
  </si>
  <si>
    <t>교량 및 본선 매립형 궤도 구간에서 레일 마모 교체 시 콘크리트 도상 및 노반 전체가 파손되는 것을 방지하기 위해, 수지고정/필러블록식 또는 블록결합형 궤도구조를 도입하고 교량 온도 신축/거동을 고려한 신축이음매 설계를 반영해야 함.</t>
  </si>
  <si>
    <t>레일 교체 시 도상 및 노반 전체 파취에 따른 비용 및 공기 지연 리스크를 궤도 구조 분리 및 일원화로 헷지함. 레일 트러프 내 필러블록 및 수지고정 구조를 적용해 레일 탈착이 가능한 분리 설계를 반영하고, 블록결합형(Q-Track) 단일 형식 일원화를 제안해 복수 궤도 형식 혼용에 따른 자재 조달 및 유지보수 비효율을 해소함. 또한, 필러블록형 적용에 따른 결합 후 유지보수용 모르타르 타설 자재를 예비자재 명세에 추가 반영함.</t>
  </si>
  <si>
    <t>궤도_설계추진방향_차량, 열차운영 등 인터페이스 적정성_rev.05_260608.pdf, 궤도_설계추진방향보고_안전시설 및 시설물 유지관리·보수를 위한 시설설치의 적정성_rev.02_260526.pdf</t>
  </si>
  <si>
    <t>교량 상판 거동 등으로 인해 액상수지 및 필러블록이 도상 콘크리트와 분리되어 틈새가 유발되는 것을 방지하기 위해, 온도/진동 변위를 유연하게 흡수할 수 있는 밀폐 대응형 레일 트러프 구조를 반영하고 도상 압축강도 기준을 fck=35MPa로 상향 설계해야 함.</t>
  </si>
  <si>
    <t>궤도 틈새 발생에 따른 우수 및 오염물 침투 손상 리스크를 밀폐 궤도 구조 개선 및 내구성 강화 설계로 헷지함. 차량 진동 및 교량 거동에 따라 액상수지/필러블록이 콘크리트와 박리되어 우수가 침투하는 틈새 발생 우려를 예방하고자 밀폐 대응형 레일 트러프 구조를 설계지침에 반영함. 또한 제빙화학제 염화물 등 유해물질 유입에 대응해 도상 콘크리트 압축강도를 기존 30MPa에서 35MPa로 상향 적용하는 내구성 강화 대책을 수립함.</t>
  </si>
  <si>
    <t>도심지 트램 시공 시 협소한 공간으로 인한 자재 무단 방치 및 교통 혼잡을 차단하기 위해, 공사구간 내 3개 야적장 부지 검토 결과를 바탕으로 대체 야적 부지(병점역 인근 공터 및 공용주차장 등)를 설계 추진 방향에 반영하여 확보해야 함.</t>
  </si>
  <si>
    <t>도심지 궤도 자재 적치 부재에 따른 도로변 무단 방치 및 교통 체증 리스크를 대체 야적장 선정 대책으로 헷지함. 기본설계 야적장 후보지 3개소(0km500, 8km600, 12km700) 검토 결과 부지 협소 및 환경 민원(아파트단지, 초등학교 인접)으로 사용 불가함을 조기에 식별함. 이에 대응해 차량기지 외에 병점역 인근 공터 및 공용주차장을 활용한 대체 야적장 확보 계획을 수립하고, 시공성 및 민원을 예방하도록 공사관리 추진 방향을 정립함.</t>
  </si>
  <si>
    <t>공사관리_입찰안내서 분석 및 공사관리 추진방향 검토_ver.1_260612.pdf, 궤도_설계추진방향_차량, 열차운영 등 인터페이스 적정성_rev.05_260608.pdf, 궤도_설계추진방향보고_궤도, 차량, 열차운영 등 인터페이스 적정성_rev.00_260601.pdf</t>
  </si>
  <si>
    <t>특정 궤도시스템 도입에 따른 자재 조달 특혜 시비 및 수급 지연을 예방하기 위해, 궤도 선정 지표(적용사례, 수급성, 경제성 등)를 비교 분석하여 조달 안정성과 약 158.4억 원의 공사비 절감이 가능한 검증된 블록결합형(Pandrol Q-Track) 궤도구조로 일원화 설계를 반영해야 함.</t>
  </si>
  <si>
    <t>조달 지연 및 형식 혼용에 따른 자재 수급 리스크를 성능검증 시스템 일원화로 헷지함. 다양한 매립형 궤도 형식 중 적용사례가 풍부하고 수급성이 입증된 블록결합형 궤도구조(Q-Track)를 선정하고 본선 및 차량기지 전 구간을 하나의 시스템으로 일원화함. 이를 통해 형식 이원화에 따른 유지관리 비효율을 해소하고, 기본설계 대안 대비 약 158.4억 원의 막대한 공사비 절감 효과를 동시에 확보함.</t>
  </si>
  <si>
    <t>궤도_설계추진방향보고_차량 운행조건을 고려한 궤도형식 선정의 적정성_rev.00_260601.pdf</t>
  </si>
  <si>
    <t>매립형 궤도 손상 시 복구 지연에 따른 영업 운행 장기 중단을 예방하기 위해, 실시설계 단계에서 재료 파손 시 손쉬운 보수 공법(도상 컷팅, 정리 후 초속경 모르타르 타설)을 명기한 '궤도유지관리 지침서' 작성을 의무화하고 관련 자재를 예비자재 명세에 반영해야 함.</t>
  </si>
  <si>
    <t>선로 손상 및 파손 시 복구 지연 리스크를 유지관리 지침서 수립 의무화 및 응급 복구 자재 추가 확보로 헷지함. 실시설계 적격자 지침에 궤도틀림 및 재료 보수기준, 특히 매립형 레일 손상 시 컷팅 후 초속경 모르타르를 활용한 급속 복구 공법을 명시한 '궤도유지관리 지침서' 작성을 반영함. 또한, 필러블럭형 궤도 보수용 전용 모르타르 타설 자재를 예비자재 명세서에 추가하여 즉시 응급 대응이 가능하도록 헷지함.</t>
  </si>
  <si>
    <t>교차로 횡단보도 및 자전거 도로 구간 내 휠체어/보행자 발빠짐 전도 사고를 방지하기 위해, 기본설계에서 추진한 홈내 고무탄성재(Groove gap filler)의 유지관리상 들뜸, 탈선 초래 가능성 및 화재 유독가스 2차 리스크를 감안하여 탄성재를 설계에서 제외하고 노면 안내 표시 및 선형 보완으로 안전 대책을 수립해야 함.</t>
  </si>
  <si>
    <t>레일 홈 발빠짐 방지 탄성재 설치에 따른 2차 탈선 및 유독가스 안전 리스크를 분석하여 탄성재 적용을 배제하는 것으로 헷지함. 횡단구간의 휠체어 끼임 방지용 홈내 고무탄성재의 들뜸 및 탈락으로 열차 탈선 리스크가 유발되고 화재 시 유독가스 발생 우려가 있음을 정밀 식별하여 설계안에서 최종 제외(미적용)하기로 결정함. 이를 통해 유지보수 문제를 근원적으로 해소하고 고무탄성재 적용 배제로 약 6.45억 원의 불필요한 예산을 감축함.</t>
  </si>
  <si>
    <t>차량 고장 및 선로 장애 시 영업 운행 중단과 표정속도 저하를 막기 위해, 비상 우회용 탈부착식 임시분기기 건넘선 틀(Crossover) 2조를 예비자재로 확보하고 주요 정거장(204, 210, 116, 117 등)에 비상 회차용 건넘선을 추가 설치하는 배선 최적화 계획을 반영해야 함.</t>
  </si>
  <si>
    <t>장애 발생 시 단선 폐색에 따른 전면 운행 중단 리스크를 예비 임시분기기 확보 및 비상 건넘선 증설 배선 계획으로 헷지함. 이례상황 복구 탄력성을 극대화하기 위해 탈부착식 임시분기기(F6) 건넘선 틀 2조를 예비자재 명세에 신설하여 배치함. 또한 주요 본선 정거장 전후방에 고장 열차 회차 및 우회 통행을 보장하기 위한 비상 건넘선(Crossover) 설치를 대거 설계 반영하고 곡선 한계 구간에 R50 곡선 F6 양개분기기 규격을 적용해 선로 차단 리스크를 방어함.</t>
  </si>
  <si>
    <t>궤도_설계추진방향보고_안전시설 및 시설물 유지관리·보수를 위한 시설설치의 적정성_rev.02_260526.pdf, 철도_설계추진방향_기본설계 배선계획 검토_rev.00_260601.pdf</t>
  </si>
  <si>
    <t>서로 다른 궤도 형식 간 접속부의 강성 급변에 의한 레일 꺾임을 예방하기 위해, 본선 및 차량기지 전 구간의 궤도를 매립형 방식인 블록결합형 궤도구조(Pandrol Q-Track) 단일 형식으로 일원화하는 설계를 반영해야 함.</t>
  </si>
  <si>
    <t>이종 궤도 접속부의 강성 급변에 따른 레일 꺾임 및 체결장치 파손 리스크를 단일 궤도 형식 일원화 설계로 헷지함. 콘크리트궤도와 자갈궤도 등 서로 다른 형식의 접속 구간을 생성하지 않고, 전 구간에 블록결합형 궤도구조(Q-Track)를 동일 적용하여 구조물 및 접속부 궤도 강성을 균일하게 통일함으로써 충격 발생 요인을 원천 제거함.</t>
  </si>
  <si>
    <t>트램 개통 후 유지보수 특수 장비 부족 리스크를 예방하기 위해, 궤도 전용 유지보수 장비(청소차량 1대, 제설키트 2대, 레일연마차 1대, 궤도선형검측기 1대) 도입 예산을 확보하고 향후 운영사가 선정된 이후 예비자재 및 장비 수량을 최종 협의하여 인계하도록 지침을 설계에 반영해야 함.</t>
  </si>
  <si>
    <t>유지관리 특수 장비 부족 및 인계 지연 리스크를 특화 장비 예산 조달 수립 및 운영사 협의 지침 명시로 헷지함. 궤도 홈 청소 및 레일 마모 관리를 위해 청소차량(1대), 제설장치(2대), 레일연마차(1대), 검측장비(1대)의 상세 장비 조달 계획을 내역에 반영하였으며, 운영 주체가 선정된 후 실제 현장 조건에 맞춰 장비 수량과 인수 인계를 협의하도록 설계 개선 방향에 명문화함.</t>
  </si>
  <si>
    <t>미검증 신규 궤도 자재 도입으로 인한 파손 및 탈선 리스크를 예방하기 위해, 성능 검증 이력, 수급성 및 시공사례가 확보된 블록결합형(Pandrol Q-Track) 궤도구조 자재를 선정 설계하고 실시설계 단계에서 자재 구조 성능을 보증할 수 있는 검증 절차를 정립해야 함.</t>
  </si>
  <si>
    <t>신규 궤도 자재 조기 파손 및 탈선 리스크를 시공 사례 검증 자재 채택 및 형식 일원화로 헷지함. 다양한 매립궤도 형식 중 해외 및 국내 시공성, 적용 사례, 성능 검증 실적이 풍부한 블록결합형(Q-Track) 시스템을 채택하여 신뢰성을 확보함. 다만, 자재 반입 전 공장/현장에서 수행하는 인수 시험(FAT) 및 현장 조립 시험의 정량적 평가 기준 수치는 기본설계 문서상 확인되지 않아 상세 기준 수립은 제외함.</t>
  </si>
  <si>
    <t>1. 2D 도면 한계로 인한 지하 지장물 및 기초구조물 간 간섭 누락 여부 검토
2. 상세설계 시 현황측량 성과 반영 및 정밀 보완 계획 수립
3. 3D/BIM 또는 정밀 탐사를 통한 지장물 간섭 사전 검토 방안 수립</t>
  </si>
  <si>
    <t>기존 구조물의 전산화 자료(DWG) 확보 불가로 JPG 기반으로 구조물 위치 및 형태를 추정하였으며, 향후 현황측량 성과를 반영하여 상세설계 단계에서 정밀 보완할 예정임을 확인. 단, 터파기 중 지장물 간섭 회피 계획 및 3D/BIM 적용에 대한 구체적 내용은 부재하여 해당없음.</t>
  </si>
  <si>
    <t>1. 동절기 결빙 및 레일 홈 내 적설 방지를 위한 제설 장비 도입 계획 검토
2. 취약구간(분기기 등) 융설장치 적용 여부 확인
3. 단계별 제설 작업 지침 수립 여부 검토</t>
  </si>
  <si>
    <t>해당 (제설 장비 및 융설장치 적용 계획 수립됨) 레일 홈 적설/이물질 신속 제거를 위해 '트램궤도 제설장치 키트 2대' 및 '트램궤도 청소차량 1대' 도입 확정. 취약 개소인 분기기 구간에 융설장치 적용 계획 수립하여 결빙 리스크 헷지.</t>
  </si>
  <si>
    <t>1. 연약지반(특수 지반) 구간 부등침하 관리 계획 검토
2. 공사 중 지표침하판·관측봉 설치 및 운영 중 계측 관리 계획 확인
3. 선로 점검감시 장비 단선 연쇄 리스크 검토 여부 확인</t>
  </si>
  <si>
    <t>부분적 해당 (연약지반 침하관리는 반영됨, 점검장비 단선 리스크는 해당없음) 콘크리트 궤도 하부 노반 침하 관리를 위해 공사 시 지표침하판과 관측봉을 설치하고, 운영 중에도 계측하여 지반침하 확인 후 보수하는 대책 수립. 단, 지반침하로 인한 점검감시 장비 단선 리스크 특정 검토 내용은 없음.</t>
  </si>
  <si>
    <t>• 궤도_설계추진방향보고_안전시설 및 시설물 유지관리·보수를 위한 시설설치의 적정성_rev.02_260526.pdf
• 궤도_설계추진방향보고_궤도, 차량, 열차운영 등 인터페이스 적정성_rev.00_260601.pdf</t>
  </si>
  <si>
    <t>1. 기존 구조물(교량, 지하차도 등) 통과 시 구조물 중심과 트램 궤도 중심 간 불일치로 인한 간섭 여부 검토
2. 구조물 중심 불일치 해결을 위한 선형 조정 및 구조물 재설계 리스크 검토</t>
  </si>
  <si>
    <t>해당 (구조물 중심 불일치 제약을 극복하기 위한 선형 미세 조정 대책 반영됨) 벌말교 및 능동지하차도 통과 구간 선형 검토 시, 기둥과 건축한계 간 최소 이격거리(200mm 이상) 확보를 위해 트램 상·하선의 IP점 위치를 미세 조정하고 곡선반경을 최적화(예: R=240m→R=305m 및 R=310m)하여 추가 구조물 공사비 없이 리스크 헷지.</t>
  </si>
  <si>
    <t>1. 궤도 부등침하 및 도상 균열 방지를 위한 노반 지지력 확보 및 평판재하시험 등 품질시험 기준 수립 여부 검토</t>
  </si>
  <si>
    <t>해당 (수치 기준 및 인터페이스 검토 완료됨) 트램 콘크리트 궤도기초 하부 노반 안정성 확보를 위한 목표 지반탄성계수 'Ev2 ≥ 80MPa' 수치화. 실시설계 단계 반복평판재하시험(또는 동평판재하시험) 의무화 및 부적합 시 원지반 굴착 치환 기준 확립.</t>
  </si>
  <si>
    <t>• 토질_설계추진방향_노반 현장다짐시험 품질관리 기준 검토-01.pdf
• 궤도_설계추진방향보고_궤도, 차량, 열차운영 등 인터페이스 적정성_rev.00_260601.pdf</t>
  </si>
  <si>
    <t>1. 횡단구간 보행자 낙상 및 휠체어/자전거 바퀴 끼임 안전사고 방지를 위한 홈붙이 레일 홈 내 발빠짐 방지 충진재 적용 검토</t>
  </si>
  <si>
    <t>해당 (위험성 인지 후 의도적 제외 및 노면 표지 대체) 홈내 고무탄성재(Groove gap filler) 설치 검토하였으나, 시공 오차로 인한 들뜸/탈락 시 차륜 탈선 및 화재 시 유독가스 발생 등 2차 리스크로 전면 제외. 대신 선로 횡단 시 노면 안전 표지 설치로 대체 헷지.</t>
  </si>
  <si>
    <t>1. 도로 패임(Pot hole) 및 타 기관 굴착에 의한 궤도 훼손 방지를 위한 이음부 마감 상세설계 여부 검토
2. 지하 지장물 GIS 갱신 방안 검토</t>
  </si>
  <si>
    <t>부분적 해당 (도로 패임 보수 계획은 수립, 마감 상세설계/GIS 갱신은 해당없음) 제설용 염화칼슘으로 인한 포트홀 현상 원인 지적 및 봄철 포트홀 점검·보수 계절별 유지보수 계획 수립. 단, 이음부 마감 상세설계도 및 GIS 갱신 관련 내용은 전무.</t>
  </si>
  <si>
    <t>1. 도상 폭원 과소 설계 및 철근 최소 피복두께 기준 누락 확인
2. 철근 외부 노출 및 우수(제빙화학제 등) 유입에 의한 조기 부식 리스크 예방 설계 검토</t>
  </si>
  <si>
    <t>부분적 해당 (최소 피복두께 언급은 없으나, 부식 방지용 콘크리트 강도 상향 설계 수립됨) 도심지 노면 환경 특성상 제빙화학제 유입에 의한 철근 조기 부식 리스크를 방어하기 위해 도상콘크리트 압축강도를 30MPa에서 '35MPa'로 상향, 3성분계(플라이애쉬, 고로슬래그) 배합으로 노출 등급(ES4) 기준 내구성 확보.</t>
  </si>
  <si>
    <t>1. 시공 후 노면 요철 단차 및 궤간 불량 등 품질 미달 발생 시 재시공을 강제하기 위한 트램 전용 정밀 마감 오차한계 기준 수립 여부 검토</t>
  </si>
  <si>
    <t>부분적 해당 (재시공 강제 규정은 없으나, 궤간 등 '부설한계(시공기준)'는 수치화됨) 궤간(표준 1433~1435mm), 수평틀림(0mm), 평면성 틀림(0mm) 등 엄격한 '부설한계' 및 '유지관리 한계' 수치를 표 형태로 명시. 단, 노면 요철 특화 마감 기준 및 재시공 강제 규정은 부재.</t>
  </si>
  <si>
    <t>1. 윤연로(레일 홈) 내 이물질 퇴적으로 인한 바퀴 튐 및 탈선 리스크 검토
2. 상시 청소 대책 및 전용 청소 장비 운용 계획 수립 여부</t>
  </si>
  <si>
    <t>해당 (위험성 인지 및 상시 청소/장비 운용 계획 수립됨) 이물질이 30mm 이상 유입 시 '도로용 청소차' 활용 즉각 제거하는 상시 유지관리 계획 수립, 전용 장비 '트램궤도 청소차량 1대' 도입 확정.</t>
  </si>
  <si>
    <t>1. 하절기 고온(폭염) 시 레일 온도 상승에 따른 장대레일 축력 증가 및 궤도 변형(좌굴)으로 인한 차량 탈선 리스크 검토
2. 궤도 분야 하절기 고온 특화 대책 수립 여부 확인</t>
  </si>
  <si>
    <t>부분적 해당 (교량 온도 축력 대책은 있으나, 하절기 고온/궤도 변형 특화 언급은 해당없음) 장대레일 온도 신축 거동 대응을 위해 교량 구간에 '레일신축이음장치' 적용. 단, 하절기 고온 가열로 인한 궤도 좌굴·탈선 직접 리스크 검토 내용은 없음.</t>
  </si>
  <si>
    <t>• 궤도_설계추진방향보고_궤도, 차량, 열차운영 등 인터페이스 적정성_rev.00_260601.pdf</t>
  </si>
  <si>
    <t>1. 집중호우 시 선로 침수로 인한 콘크리트 지지력 훼손 및 신호 장애 방지를 위해 완전밀폐 마감 공법 및 선로 중앙배수구 설계 반영 여부 검토</t>
  </si>
  <si>
    <t>부분적 해당 (배수구 수량/배수계획은 수립됨, 지지력 훼손/신호장애 연관은 해당없음) 100년 빈도 강우에 대응하는 배수계획 수립 및 '궤도중앙배수구 392개소' 사급자재로 반영. 단, 완전밀폐 마감 방식 검토 및 궤도 침수로 인한 지지력 훼손·신호 장애 리스크 분석 내용은 없음.</t>
  </si>
  <si>
    <t>• 철도_설계추진방향보고_본선배수계획_rev.00_260529.pdf
• 궤도_설계추진방향_차량, 열차운영 등 인터페이스 적정성_rev.05_260608.pdf</t>
  </si>
  <si>
    <t>1. 동절기 폭설 시 레일 홈(윤연로) 내 눈과 이물질 누적으로 인한 결빙 현상 및 배수구 폐색 리스크 검토 여부</t>
  </si>
  <si>
    <t>부분적 해당 (결빙/제설 대책은 수립됨, 배수폐색 명시는 해당없음) '얼음이 윤연로를 가득 채운 경우 문제가 될 수 있으므로 눈과 얼음을 제거하는 것은 중요한 활동'임을 명시하고, 제설장치 키트·스노우 브러쉬 활용 단계별 제설 지침 수립. 단, 배수폐색 연쇄 리스크는 직접 언급 없음.</t>
  </si>
  <si>
    <t>1. 집중호우 시 선로전환기 침수 및 분기기 전환 장애 예방을 위한 배수관로(단면적 검토) 및 어스박스(Earth Box) 설계 반영 여부 검토</t>
  </si>
  <si>
    <t>부분적 해당 (선로전환기 배수 필요성은 명시됨, 어스박스/단면적 수치는 해당없음) '매립형 선로전환기가 설치되는 개소는 폭우에 대비하여 원활한 배수가 이루어지도록 시설을 설치'하도록 명시. 단, 어스박스 적용 설계 및 배수관로 단면적 부족 수치 검토 내용은 전무.</t>
  </si>
  <si>
    <t>1. 집중호우 시 선로 및 매립형 선로전환기(제어반 등) 침수로 인한 열차 운행 중단 리스크 방지를 위해 100년 빈도 강우 대비 배수시설 용량 및 설치 계획 검토</t>
  </si>
  <si>
    <t>부분적 해당 (선로전환기 배수 필요성 및 100년 빈도 강우 기준은 수립됨, 제어반 침수/운행중단 직접 언급은 해당없음) '선로에 침수가 되지 않도록 배수계획을 수립하며 100년 빈도 강우에 대응이 가능하도록 설계' 명시. 매립형 선로전환기 설치 개소의 폭우 대비 배수시설 설치 엄격히 규정. 단, 제어반 침수 및 운행 중단 직접 리스크 분석은 없음.</t>
  </si>
  <si>
    <t>1. 동절기 결빙으로 인한 선로 전환 장애 및 탈선 사고 예방을 위해 융설설비(히팅 디바이스) 적용 및 자동 온도 제어 시스템과의 연동 설계 검토 여부</t>
  </si>
  <si>
    <t>부분적 해당 (분기기 융설장치 적용은 명시, 자동 온도 제어 연동 및 탈선 연관은 해당없음) 동절기 유지관리 계획의 선로 융설처리 방안으로 '취약개소인 분기기구간 융설장치 적용' 명시. 단, 자동 온도 제어 연동 설계 및 결빙→탈선 시나리오 구체적 검토 내용 없음.</t>
  </si>
  <si>
    <t>1. 현장 조립 장시간 소요 및 타설 중 궤간 틀어짐 리스크 방지를 위한 시공성이 우수한 궤도 구조 선정 및 사전 가조립 방안 검토</t>
  </si>
  <si>
    <t>해당 (시스템 일원화 및 사전 가조립으로 시공 리스크 원천 헷지됨) 궤도 형식을 '블록결합형(Pandrol Q-Track)'으로 전 구간 일원화하여 복잡한 현장 조립 방식 지양. 주요 자재 야적장 사전 가조립 후 현장 반입으로 조립 오차·장시간 소요·타설 중 궤간 틀어짐 리스크 원천 방어.</t>
  </si>
  <si>
    <t>• 궤도_설계추진방향_차량, 열차운영 등 인터페이스 적정성_rev.05_260608.pdf
• 궤도_설계추진방향보고_차량 운행조건을 고려한 궤도형식 선정의 적정성_rev.00_260521.pdf</t>
  </si>
  <si>
    <t>1. 본선 구간 저번수(F4) 분기기 혼용 적용 시 발생하는 승차감 저하 및 유지보수 예비품 이원화 리스크 검토
2. 분기기 번수 통일(F6 등) 및 표준화 방안 수립 여부 확인</t>
  </si>
  <si>
    <t>해당 (위험성을 매우 명확히 인지하고 분석함) 기본설계 상 본선 301, S01 정거장에 F4 분기기, 그 외에는 F6 분기기 적용으로 '분기번수 이원화 발생' 파악. '열차주행 안전성 저하, 승차감 저하 및 소음·진동 증가, 차륜 및 레일 마모량 증가, 예비품 운영 복잡화'를 구체적으로 분석 기재.</t>
  </si>
  <si>
    <t>• 궤도_설계추진방향보고_차량 운행조건을 고려한 분기기 배치 및 분기기 형식 선정의 적정성_rev.00_260521.pdf</t>
  </si>
  <si>
    <t>차량기지 및 본선 주요 구간(유치선, 시운전선, 세척선 등) 종단부에 과주방지를 위한 유압식 차막이를 설치하고, 차량 운행속도(10km/h 또는 5km/h 제한)에 따른 제동거리(7m 또는 4.16m 등) 확보 설계를 실시설계 단계에 명확히 연계 반영해야 함.</t>
  </si>
  <si>
    <t>차량기지 및 본선 주요 구간 종단부 차량 충돌 및 이탈 리스크를 완충 설비 설계 및 속도 제한 제동력 검토로 헷지함. 차량기지 주요선로 종단부에 유압식 차륜막이(차막이) 5개소 설치를 반영함. 또한 유치선 속도 10km/h 적용 시 비상제동 감속도, 공주시간(1.3초), 안전여유(2m)를 적용해 제동거리 7m를 산출하였으며, 공간 제약 시 속도를 5km/h로 차단하여 제동거리를 4.16m로 축소할 수 있도록 유치 안전 제어계획을 수립함. 다만, 차막이 자체의 세부 완충 스토크량 규격 팩트는 부재함.</t>
  </si>
  <si>
    <t>궤도_설계추진방향보고_안전시설 및 시설물 유지관리·보수를 위한 시설설치의 적정성_rev.02_260526.pdf, 차량기지분야_차량기지 계획의 적정성 검토_rev.02_260609.pdf</t>
  </si>
  <si>
    <t>선로 장애 및 이례상황 발생 시 양방향 영업 열차의 정상 운행을 보장하기 위해, 비상 우회 및 복구용 예비자재로 탈부착식 임시분기기(F6) 1틀을 구비하고 주요 정거장(1공구 204/210, 2공구 113/116 등) 인근에 비상 건넘선(Crossover) 추가 적용 방안을 설계에 반영해야 함.</t>
  </si>
  <si>
    <t>선로 장애 시 열차 운행 중단 민원을 탈부착식 임시분기기 확보 및 비상 건넘선 최적 배치로 헷지함. 선로 붕괴 및 침하 등 재난 상황에 즉각 조치할 수 있도록 예비자재 명세에 탈부착식 임시분기기(F6) 1틀을 확보하도록 하고, 1·2공구 주요 정거장 인근에 비상용 건넘선을 추가 설치 및 방향 대칭 변경 설계를 수립하여 비상 단선 운행 탄력성을 크게 높임.</t>
  </si>
  <si>
    <t>트램 궤도의 원활한 유지보수 및 레일 정비를 위해, 실시설계 단계에서 '궤도유지관리 지침서' 작성을 의무화하고 전용 유지보수 장비(궤도 청소차량 1대, 제설장치 2대, 레일연마차 1대, 선로복구 구조차량 1대, 궤도선형검측장비 1대) 도입 계획을 설계에 명기해야 함.</t>
  </si>
  <si>
    <t>유지관리 도구 누락에 따른 선로 노후화 및 장애 리스크를 관리 지침서 의무화 및 특화 장비 도입 계획 수립으로 헷지함. 트램 궤도 유지보수 장비로 청소차량(1대), 제설장치 키트(2대), 레일연마차(1대), 선로복구 구조차(1대), 궤도선형검측기(1대)의 규격과 필요 수량을 식별하여 예산 및 내역에 반영하였고, 실시설계 시 구체적인 '궤도유지관리 지침서'를 제출하도록 지침을 수립함.</t>
  </si>
  <si>
    <t>해당없음 (기본설계 도서 내에서 교량 공법으로 ILM(압출공법)이 적용된 바 없으며, 이에 따른 Lateral Guide, Bracket 접촉 시뮬레이션 및 최대 지지 경간을 고려한 전단 검토 내역도 확인되지 않습니다.)</t>
  </si>
  <si>
    <t>해당없음 (도심지 공사 및 교량 시공 시 낙하물 방지공을 설치해야 한다는 일반적인 지침(NOTE)은 언급되어 있으나, 가설공사 시 낙하물 방지망의 구체적인 재질(단순 그물망 또는 합판/강판 방호선반)을 명시하거나 비교 검토한 상세 설계 내역은 확인되지 않습니다.)</t>
  </si>
  <si>
    <t>해당없음 (기존 도로 횡단 구간에 대한 단계별 교통처리계획 수립 지침 및 차량/사람 통행 구간 낙하물 방지공 설치 의무화 내용은 도면 주해(NOTE) 등에 명시되어 있으나, 해당 횡단 구간 시공에 특화된 낙하물 방지망 또는 방호선반의 구체적인 도면 반영 및 수량/단면 설계 내역은 기재되어 있지 않습니다.)</t>
  </si>
  <si>
    <t>해당없음 (정온시설에 대한 공사 중 소음·진동 저감시설(가설방음 및 방진망 등) 설치 및 영향 예측 검토 계획은 수립되어 있으나, 인근 아파트나 학교의 구체적인 높이(Level)를 고려한 방음벽 높이 산정 내역이나 조망권 침해 우려 구간의 투명 방음판 적용 여부는 기본설계 도서에 명시되어 있지 않습니다.)</t>
  </si>
  <si>
    <t>해당없음 (입찰안내서 분석에서 정온시설(학교, 병원 등) 근접 통과 시 소음·진동 민원 최소화 대책을 설계에 반영하라는 일반적인 지침은 확인되나, 병원이나 도서관 등 소음 기준치가 엄격한 특정 정온 시설과의 물리적인 이격 거리를 구체적으로 산정하거나 도면상에서 확인한 내역은 존재하지 않습니다.)</t>
  </si>
  <si>
    <t>해당없음 (절토지 암석 발파 시 정온시설 주변 피해 방지를 위한 소음 저감대책 강구 및 가설방음·방진망 반영 지침은 언급되어 있으나, 구체적인 '암파쇄 방호시설' 설계 도면이나 해당 가시설의 상부 방음판/방진막 포함 여부에 대한 상세 내역은 확인되지 않습니다.)</t>
  </si>
  <si>
    <t>해당없음 (기본설계 도서 내 교량(오산천교 등)의 하부구조는 일반적인 역T형 교대 및 T형 교각 등으로 계획되어 있으며, 특수 교각(Y형, V형) 시공을 위한 상부 하중 지지용 가설 벤트의 설계 내역이나 벤트 기초의 지지력 검토 계산서는 확인되지 않습니다.)</t>
  </si>
  <si>
    <t>해당없음 (오산천교 상부 가설 공법으로 '크레인 거치 공법'이 적용된다는 팩트는 명시되어 있으나, 상부 시공 하중(크레인+거더 등)에 대해 하부 도로 및 구조물이 견딜 수 있는지에 대한 구조적 지지력 검토나, 가설 벤트 위치와 하부 교통 흐름 간의 물리적 간섭을 사전 검토한 내역은 기재되어 있지 않습니다.)</t>
  </si>
  <si>
    <t>해당없음 (교량 일반도 도면 주해(NOTE)에 '차량이나 사람의 통행이 있는 곳에는 거더 및 슬래브 시공 시 낙하물 방지공을 설치하여야 한다'는 기본 지침은 기재되어 있으나, 구체적인 낙하물 방지 시설의 도면 반영 사항이나 실제 설계 내역(수량 산출 및 예산)에 포함된 사실은 확인되지 않습니다.)</t>
  </si>
  <si>
    <t>해당없음 (교량 일반도 도면 주해(NOTE)에 차량이나 사람의 통행이 있는 곳에는 거더 및 슬래브 시공 시 낙하물 방지공을 설치하라는 일반적인 지침은 있으나, 철도 및 기존 도로 횡단 구간 공사 중 상부 작업 낙하물을 완벽히 차단하기 위한 하부 방호용 바닥판(Deck) 설치 계획이나 관련 가설재 상세 설계 규격은 기본설계 도서에 기재되어 있지 않습니다.)</t>
  </si>
  <si>
    <t>1. 오산천교 교량 하부 통행로(산책로 및 하천유지도로) 구간의 공사 시 안전 확보를 위해 수량산출서 상 수평 낙하물 방지공 수량 반영 여부 검토 (오산천교 5,120㎡ 반영).
2. 1공구 토목 설계내역서(BOQ) 내 낙하물방지공(낙하물방지망) 비목 적용 및 공사비의 적정 계상 여부 확인.
3. 오산천변 통행로 형하고 확보 계획(최소 3.4m 이상)과 교량 하부 낙하물 방지망 설치 시의 간섭 높이 정합성 확인.</t>
  </si>
  <si>
    <t>1. 기본설계 추진방향보고 상에는 구체적인 안전공 수량이 없으나, 04_설계서(1공구 토목) 수량산출서 상 오산천교에 수평 낙하물 방지공(5,120㎡) 및 낙하물방지망(241㎡)이 반영되어 있음을 확인함.
2. 공사 중 안전관리비 확보를 위해 1공구 토목 설계내역서(BOQ)에 '낙하물방지공(낙하물방지망)' 비목이 적정 공사비로 계상되어 있음을 확인함.
3. 통행로 형하고(3.4m 이상)와 낙하물 방지 시설의 간섭 리스크를 예방하기 위해, 실시설계 단계에서 가설 도면과 형하고 정합성을 체크하여 보행자/차량 안전을 도모함.</t>
  </si>
  <si>
    <t>• 04. 수량산출서(토목) 2권_1공구.pdf (Page 10, 11, 19)
• 06. 설계내역서(토목)_1공구.pdf (Page 26, 27)
• 01. 종합요약보고서.pdf (Page 134)
(※ 추진방향보고 오산천교 검토서 내에는 공법별 안전성 비교 항목으로 낙하물 방지공 필요성만 개략 언급됨)</t>
  </si>
  <si>
    <t>해당없음 (설계추진방향보고 및 04_설계서(1, 2공구) 도서를 모두 확인한 결과, 오산천교 등 교량 및 도로 횡단 구간에 낙하물 방지 시설로서 '낙하물방지망(그물망)' 형식은 반영되어 있으나, 낙하 충격을 완벽히 차단·흡수하기 위한 강판 또는 합판 재질의 '방호 선반(데크)' 계획 및 상세 설계는 반영되어 있지 않습니다.)</t>
  </si>
  <si>
    <t>해당없음 (설계추진방향보고 및 04_설계서(1, 2공구) 수량산출서 확인 결과, 5m 초과~10m 이하 구간에 대한 '시스템동바리' 수량(1공구 2,542공/m3, 2공구 8,524공/m3 등)이 반영되어 있으며 교각 높이 또한 10m 이하(2공구 최대 9.25m 등)로 계획되어 있어 10m 초과 동바리 계획은 없으나, 가설 시스템 동바리 부재 자체의 좌굴 안정성을 검토하는 구조계산서나 구조 검토서는 기본설계 도서에 수록되어 있지 않습니다.)</t>
  </si>
  <si>
    <t>1. 노선 인접 학교(청목초, 예솔초, 한율초, 창의고, 이솔고 등) 및 병원 인근의 운영 중 소음 예측 시뮬레이션 결과 확인 (종합요약보고서 39~42페이지).
2. 트램 운행 소음과 도로 교통 소음을 합성한 3차원 소음 영향 검토 결과의 환경기준(학교 부지 경계 기준 등) 만족 여부 재검증.
3. 장래 교통량 증가 및 트램 운행 빈도 증가 시나리오를 반영한 소음 영향 분석 보완 여부 검토 및 필요시 실시설계 단계에서 상세 시뮬레이션 반영.</t>
  </si>
  <si>
    <t>1. 기본설계 종합요약보고서 상 노선 인접 정온시설 16개소(청목초, 예솔초, 한율초, 창의고, 이솔고 등 포함)를 대상으로 운영 중 소음 영향 검토를 수행하여 환경기준을 만족하는 것으로 분석됨.
2. 기존 설치된 방음벽의 감쇄 효과 및 이격거리 감쇄를 고려하여 별도의 신설 방음벽 계획은 반영되지 않았으며, 이에 따라 장래 교통량 증가를 연계한 신설 방음벽 전용 소음 예측 시뮬레이션은 기본설계 단계에서 미반영됨.
3. 향후 실시설계 단계에서 장래 교통량 변화 추이를 반영한 상세 소음 분석 및 기존 방음벽 성능 평가를 추가로 검토하여 필요시 방음벽 개선 대책을 수립할 것을 제안함.</t>
  </si>
  <si>
    <t>• 01. 종합요약보고서.pdf (Page 34, 38, 39~42)
• 12_공사관리_입찰안내서 분석 및 공사관리 추진방향 검토_ver.1_260612.pdf (Page 6)</t>
  </si>
  <si>
    <t>1. 수량산출서 및 내역서 상 교량부 및 토공부 방음벽 기초의 콘크리트 타설 형식(현장타설 vs 공장제작 PC) 설계 상세 확인.
2. 도심지 시공성 향상 및 현장 타설 물량(레미콘/거푸집) 최소화를 위해 방음벽 기초의 PC(Precast)화 도입 기술적/경제적 타당성 검토.
3. 실시설계 단계에서 도로 점용 최소화 및 급속 시공이 필요한 구간에 대해 PC 방음벽 기초 공법 적용 여부 검토 및 설계 반영.</t>
  </si>
  <si>
    <t>1. 설계추진방향보고 및 04_설계서(1, 2공구) 수량산출서/내역서 확인 결과, 방음벽 설치 공종은 일반 현장타설 거푸집 및 콘크리트 공법으로 수량이 계상되어 있으며, 방음벽 기초의 PC(Precast)화 계획 및 관련 공법은 기본설계에 반영되어 있지 않음.
2. 도심지 교통 간섭 최소화 및 급속 시공을 위해 실시설계 단계에서 방음벽 기초의 PC화(사전 제작 블록화)를 공법 비교 검토하여 현장 타설 물량을 저감할 수 있는 헷지방안 수립 필요.</t>
  </si>
  <si>
    <t>• 04. 수량산출서(토목) 2권_1공구.pdf (Page 54, 64, 77)
• (토목)수량산출서_2공구.pdf (Page 67, 72)</t>
  </si>
  <si>
    <t>1. 철도 인접 금속제 방음벽 설치 구간에 대한 전차선 접촉 및 유도전압 방지용 안전접지 계획 유무 확인.
2. 관련 기술기준(전기설비기술기준, 철도설계기준 KR 등)에 따른 방음벽 등 금속구조물의 접지 간격 규정(250m 이내) 준수 여부 및 접지선(Cu 등) 반영 여부 검토.
3. 실시설계 단계에서 방음벽 접지를 궤도 매설접지망(CU 35㎟ 등)에 250m 이내 간격으로 접속하는 접지 상세 도면 및 수량 반영.</t>
  </si>
  <si>
    <t>1. 전기분야 추진방향보고 상 매설접지망과 연계한 '횡단접지선 250m 마다 설치' 계획은 반영되어 있으나, 철도 인접 금속제 방음벽의 개별 안전접지 및 접지 간격(250m 이내)에 대한 상세 설계는 기본설계 도서(토목/전기)에 명시되어 있지 않음.
2. 전차선 가압에 따른 유도전압 및 감전 사고 예방을 위해, 철도 인근 금속제 방음벽에 대해 250m 이내 간격으로 공동접지망에 연결하는 방음벽 접지 계획을 실시설계 단계에서 보완하여 반영해야 함.</t>
  </si>
  <si>
    <t>• 전기_설계추진방향_전기분야_rev00_26.06.04.pdf (Page 5)
• (토목)기본설계예산서(2공구).pdf (Page 24)
• 260520_기본설계 오류 및 누락사항 설명자료.pdf (Page 37, 38)</t>
  </si>
  <si>
    <t>1. 교량 및 도로 상부 고가 구조물 단부(신축이음 구간 등)의 틈새로 인한 낙하물 방지용 마감판(End Plate) 설계 반영 여부 확인.
2. 구조물 단부의 상세도(교량 난간 단부, 신축이음 단부 등) 및 수량산출서 상 마감판 자재/시공 예산 계상 여부 확인.
3. 교량 하부 통행로 및 교차로 구간의 보행자 안전 확보를 위해 실시설계 단계에서 단부 마감판 및 물받이 등의 가시설/영구시설물 설계 반영.</t>
  </si>
  <si>
    <t>1. 추진방향보고 및 04_설계서(1, 2공구) 수량산출서/내역서/구조계산서 상 교량 단부 압축/압상 궤도 수직강성 체감 설계 등은 검토되어 있으나, 콘크리트 및 강구조물 교량 단부의 틈새 낙하물 방지용 '마감판(End Plate)'에 대한 상세 도면 및 예산 수량은 확인되지 않아 기본설계 상 미반영(해당없음) 상태임.
2. 교량 단부 신축이음부나 난간 단부 틈새로 콘크리트 파편 또는 기타 낙하물이 하부 도로로 낙하하는 리스크를 방지하기 위해, 실시설계 단계에서 마감판 및 안전 방호판 설치 상세를 설계에 포함하도록 보완이 필요함.</t>
  </si>
  <si>
    <t>1. 시스템 동바리 설치 지반의 다짐 상태 및 지반반력계수(K30 등) 측정 등을 통한 허용 지지력 적정성 확인.
2. 교량 상판 및 콘크리트 암거 하부 슬래브 위에 동바리를 설치하여 타설하는 경우, 하부 구조물이 상부 타설 하중(젖은 콘크리트 자중, 거푸집 및 동바리 자중, 시공 하중 등)을 지지할 수 있는지 구조계산서 내 검토 여부 확인.
3. 실시설계 단계에서 동바리 설치 구간의 하부 지반 지지력 검토 및 하부 구조물 안전성 검토 계산서 반영.</t>
  </si>
  <si>
    <t>1. 04_설계서(1, 2공구) 수량산출서 및 내역서 상 시스템동바리 수량은 반영되어 있고 구조계산서 상 경간 구속조건 검토 등은 수록되어 있으나, 동바리가 설치될 지반의 허용 지지력 및 하부 바닥 구조물의 상부 타설 하중 지지 안전성을 평가하는 지반/구조 검토 계산은 미반영(해당없음) 상태임.
2. 시공 중 가설재 지지 기반의 붕괴 및 처짐 사고를 방지하기 위해, 실시설계 단계에서 동바리 지지 지반 다짐 기준 수립 및 하부 구조물 재하 하중 안전성 검토(구조계산)를 추가로 실시하도록 보완이 필요함.</t>
  </si>
  <si>
    <t>• 04. 수량산출서(토목) 4권_1공구.pdf (Page 70, 73)
• (토목)수량산출서_2공구.pdf (Page 275, 288)
• 08. 구조계산서(토목) 4권.pdf (Page 295)</t>
  </si>
  <si>
    <t>1. 환경영향평가(EIA) 협의 조건에 명시된 방음벽 형식(흡음형, 투명형, 혼합형 등) 및 차음 성능 기준과 기본설계 도면/수량산출서의 정합성 확인.
2. 방음벽 설치 예정 구간 인접 주민들의 조망권, 일조권 민원(투명형 선호 등) 및 주민 선호도 조사 결과의 설계 반영 여부 확인.
3. 실시설계 단계에서 환경영향평가 조건과 주민 선호도가 불일치하는 구간(예: 투명판 조류 충돌 방지대책 반영 여부 등)을 파악하여 최적의 방음벽 형식 선정 및 상세 설계 반영.</t>
  </si>
  <si>
    <t>1. 12_공사관리 추진방향 보고 상 환경영향평가 등 제영향평가 결과를 준수하여 정온시설 인근에 민원을 최소화할 수 있는 방안을 반영하도록 지침이 명시되어 있고 04_설계서에 방음벽 설치 예산은 반영되어 있으나, 환경영향평가 협의 조건과 주민 선호도를 조사·비교하여 구체적인 방음벽 형식(흡음/투명/혼합)을 일치시키는 상세 비교 검토서는 기본설계에 미반영(해당없음) 상태임.
2. 주민 민원 발생 및 준공 후 재시공 리스크를 예방하기 위해, 실시설계 단계에서 주민 설명회 결과를 바탕으로 환경영향평가 성능 조건을 충족하는 최적의 혼합형/투명형 방음벽 형식 결정을 수행하고 관련 상세(조류 충돌 방지 테이프 등)를 반영해야 함.</t>
  </si>
  <si>
    <t>• 12_공사관리_입찰안내서 분석 및 공사관리 추진방향 검토_ver.1_260612.pdf (Page 6)
• 01. 종합요약보고서.pdf (Page 35, 40)</t>
  </si>
  <si>
    <t>1. 전차선 상부를 횡단하는 가설교량, 육교, 기존 교량 등 횡단 구조물 하부를 통과하는 구간의 전차선로 설계 상세 및 절연 이격 거리 확보 여부 확인.
2. 횡단 구조물 하부 통과 시 전차선 가압부의 안전 확보를 위해 영구 낙하물 방지망(보호망) 및 절연용 방호판(아크 방지용 보호판 등) 설계 반영 여부 확인.
3. 실시설계 단계에서 전기분야(전차선)와 토목구조 분야 간 인터페이스 검토를 통해 교량 하부 전차선 보호 설비 및 상세 도면, 수량을 추가 반영.</t>
  </si>
  <si>
    <t>1. 설계추진방향보고 및 04_설계서(1, 2공구) 수량산출서/내역서 확인 결과, 공사 중 안전을 위한 임시 가설 '수평 낙하물방지망' 수량은 토목 내역에 반영되어 있으나, 전차선 가동 후 상부 구조물로부터 낙하물에 의한 단락 민원 및 전기 사고를 예방하기 위한 영구 '전차선 보호망' 및 '절연 보호 설비'는 기본설계에 미반영(해당없음) 상태임.
2. 실시설계 단계에서 전차선 상부를 교차하는 구조물 하부에 영구 방호판 및 절연 이중 차단 설비를 설치하고, 상세 접지 설비 계획을 전차선로 설계에 보완하도록 반영해야 함.</t>
  </si>
  <si>
    <t>1. 본선 노선 중 도로 및 보도용 과선교 하부를 통과하는 구간의 전차선로 현단면 및 절연 이격 규정 준수 여부 검토.
2. 과선교 교각 및 상판 하부 전차선 급전선 접촉 방지용 수평 보호망(보호망) 및 절연 이격용 에폭시/섬유강화플라스틱(FRP) 절연판 설계 반영 여부 확인.
3. 실시설계 단계에서 과선교 하부의 정동적 이격 거리 확보가 곤란한 구간에 대한 강체전차선(R-Bar) 적용 및 과선교 안전 방호판 상세 설계 반영.</t>
  </si>
  <si>
    <t>1. 04_설계서(1, 2공구) 도면 및 내역서 확인 결과, 토목 내역 상 방수보호판 등의 일반 부자재만 있을 뿐 과선교 하부의 전차선 보호를 위한 '안전 보호망' 및 '절연 이격용 특수 보호판/방호벽' 상세 설계와 예산 수량은 확인되지 않아 기본설계에 미반영(해당없음) 상태임.
2. 과선교 하부 공간 협소로 인해 전차선과의 정격 절연 이격 거리 확보가 어려울 수 있으므로, 실시설계 단계에서 과선교 하부 구간에 대한 정밀 단면 검토를 수행하고 전차선 방호 설비(절연 방호판 및 강체 전차선 등)를 추가 반영해야 함.</t>
  </si>
  <si>
    <t>1. 신설 방음벽 기초(말뚝기초, 직접기초 등) 굴착선 하부의 기 매설된 통신, 전력, 도시가스, 상하수도 등 지하 지장물 매설 정보의 횡단면도 및 지장물 도면 매핑 여부 확인.
2. 굴착 작업 시 지장물 손상 사고를 원천 방지하기 위해 기본설계 단계에서 지표투과레이더(GPR) 탐사 등 지하매설물 조사를 설계서에 명시했는지 확인.
3. 시공 단계 전 노선 전 구간 및 방음벽 기초 라인 하부에 대한 GPR 조사 등 물리 탐사를 의무화하고, 지장물 이설 계획 또는 굴착 회피 설계 계획을 실시설계에 반영.</t>
  </si>
  <si>
    <t>1. 토질 및 기초 설계추진방향 보고서 상 가시설 설계기준에 물리 탐사(GPR 등) 항목이 일반 규정으로 명시되어 있고 지질조사 부족에 대한 개선 의견이 확인되나, 신설 방음벽 기초 라인 하부의 케이블/지장물 매설 여부를 확인하기 위한 구체적인 GPR 탐사 수행 내역이나 계획은 기본설계 도서에 수록되지 않아 미반영(해당없음) 상태임.
2. 방음벽 기초 천공 및 파일 시공 시 지하에 매설된 고압 송전 케이블이나 주요 통신망이 파손되는 리스크를 예방하기 위해, 실시설계 단계 및 공사 착수 전 방음벽 라인별 GPR 지장물 탐사를 의무 공종으로 반영하고 결과를 설계도서에 피드백하도록 보완해야 함.</t>
  </si>
  <si>
    <t>• 토질 및 기초_설계추진방향보고_가시설 설계기준 검토_rev.00_260529.pdf (Page 7)
• 기본설계 문제점 분석 및 설계 개선사항_취합(0526-송부).pdf (Page 17)</t>
  </si>
  <si>
    <t>1. 노선 주변에 계획된 장연장 방음벽(수백 미터 이상 연속 설치 구간)의 유지보수 및 비상시 선로 밖 대피를 위한 비상문(Escape Door) 설계 반영 여부 확인.
2. 비상문의 잠금장치 형식, 외부 개폐 방식, 비상 유도 표지판 등의 안전 및 유지관리 설비 상세도 수록 여부 검토.
3. 실시설계 단계에서 방음벽 연장 100~200m 간격마다 유지보수 및 비상 대피용 출입문을 추가 설계하고 관련 수량을 내역서에 반영.</t>
  </si>
  <si>
    <t>1. 설계추진방향보고 및 04_설계서(1, 2공구) 도면/수량산출서 확인 결과, 차량기지 울타리용 출입문(외부 대형 3개소, 내부 대형 4개소 등) 계획은 있으나, 본선 구간 장연장 방음벽에 설치하는 유지관리 및 비상 대피용 '출입문(Door)'은 기본설계에 미반영(해당없음) 상태임.
2. 방음벽 연속 설치로 인해 비상시 작업자나 승객이 대피하지 못하는 리스크를 예방하기 위해, 실시설계 단계에서 일정 간격마다 대피용 비상문 설치 계획을 수립하고 방음벽 상세 도면에 비상문 프레임 및 개폐장치 수량을 반영하도록 보완이 필요함.</t>
  </si>
  <si>
    <t>1. 본선 궤도 및 공동구, 신설 배수관로 굴착 계획 중 깊이 1.5m를 초과하는 구간의 가시설(흙막이 지보공 등) 적용 여부 및 구조 안정성 확인.
2. 산업안전보건기준 규정(굴착 깊이 1.5m 이상 시 흙막이 지보공 설치) 준수 여부 및 굴착면 붕괴 리스크 검토 내역 구조계산서 확인.
3. 실시설계 단계에서 굴착 깊이 1.5m 초과 관로 및 기초 굴착 구간에 대해 간이 흙막이 판넬 등 가시설 지보공 수량을 설계 도서 및 예산에 의무 반영.</t>
  </si>
  <si>
    <t>1. 04_설계서(1, 2공구) 구조계산서 및 수량산출서 확인 결과, 대형 구조물(정거장, 공동구 등)의 가시설 설계는 반영되어 있으나, 지하 매설관로 및 얕은 기초 굴착 구간 중 깊이 1.5m를 초과하는 국부적 굴착 구간에 대한 '흙막이 지보공'은 설계 및 수량에 누락되어 미반영(해당없음) 상태임.
2. 작업자 매몰 및 주변 도로 침하 리스크를 예방하기 위해, 실시설계 단계에서 1.5m 초과 모든 굴착 단면에 대해 간이 가시설(드라이브 쉴드 또는 토류판 등) 적용 기준을 수립하고 설계내역서(BOQ)에 가시설 비목을 추가 반영해야 함.</t>
  </si>
  <si>
    <t>1. 기존 콘크리트 포장 도로 구간에 신설되는 가로등, 전선관, 배수관 등의 횡단 및 종단 매설 계획의 시공성 확인.
2. 도로 외측 매설 변경에 따른 기존 콘크리트 포장 절단 및 파쇄, 복구 공종(거푸집 설치 및 콘크리트 포장 복구 수량 등)의 설계 예산 누락 여부 검토.
3. 실시설계 단계에서 현장 지장물 조사를 통해 횡단 매설이 불가능하여 외측 종방향 매설로 변경되는 구간을 전수 조사하고, 이에 수반되는 포장 복구용 거푸집 및 콘크리트 복구 수량을 내역에 정확히 반영.</t>
  </si>
  <si>
    <t>1. 04_설계서(1, 2공구) 수량산출서 및 내역서 상에 일반적인 콘크리트 포장 복구 및 자재(거푸집 등) 수량은 일부 계상되어 있으나, 지장물 간섭으로 인해 도로 외측부 종방향 매설로 변경됨에 따라 추가되는 'Con'c 포장 복구용 거푸집 설치'에 대한 구체적인 시공 리스크 검토 및 추가 비용 반영 내역은 기본설계 도서에 미반영(해당없음) 상태임.
2. 공사 중 설계 변경으로 인한 공사비 증가 및 민원을 방지하기 위해, 실시설계 단계에서 지하 지장물 매핑을 통해 매설 노선을 사전 확정하고, 콘크리트 포장 복구 구간에 필요한 거푸집 설치 및 포장 절단공 수량을 내역서에 선제 반영해야 함.</t>
  </si>
  <si>
    <t>1. 노선 시점부의 가설 우회도로 설치 계획 및 굴착 깊이/높이에 따른 간섭 요인 분석 여부 확인.
2. 수인분당선 망포역 연결통로 공사 및 주변 개발 계획과의 간섭으로 인한 노선 변경 검토 보고서 내용 확인 (배선검토 보고서 2페이지).
3. 실시설계 단계에서 시점부 굴착 가시설 설계 시 우회도로 하부 지반 안전성 및 굴착 사면 안정성 구조검토 상세 반영.</t>
  </si>
  <si>
    <t>1. 2공구 시점부 S01정거장 배선 검토 보고서 상 망포역 역세권개발계획 지하주차장 연결통로 저촉 해소를 위한 정거장 위치 변경 및 배선 변경 등은 검토되어 반영되었으나, 시점부 가설 우회도로 연장에 따른 굴착 가시설 간섭 및 굴착 높이에 의한 공법 영향성 등 구체적인 리스크 검토서는 확인되지 않아 미반영(해당없음) 상태임.
2. 향후 실시설계 단계에서 시점부 우회도로 굴착 가시설(흙막이 지보공 등)의 굴착 높이 및 굴착에 따른 우회 도로 지반의 거동 분석을 수행하여 굴착 붕괴 리스크를 예방할 필요가 있음.</t>
  </si>
  <si>
    <t>• 철도_설계추진방향보고_2공구 시점부 배선검토_rev.00_260529.pdf (Page 2)</t>
  </si>
  <si>
    <t>1. 트램 본선 굴착 공사 및 임시 우회도로 개설 시 인접 교차로 교통량 전환량 분석 여부 확인.
2. 임시 우회노선 개설 및 교통 전환 계획에 따른 신규 임시 신호기(교통 신호 제어기)의 설계 및 예산 반영 여부 확인.
3. 실시설계 단계에서 경찰서 등 유관기관 교통안전심의 결과를 반영하여 임시 우회구간 내 신규 신호기 증설 및 차로 조정 예산을 상세 설계에 추가 반영.</t>
  </si>
  <si>
    <t>1. 04_설계서(2공구 토목) 예산서 상 임시 우회노선 공사비(약 33.5억 원)는 계상되어 있으나, 우회 노선 변경 계획 수립 시 인접 교통량 소통을 위한 신규 임시 신호기 설치 및 교통 신호 제어기 반영에 대한 리스크 검토 및 세부 예산 편성은 기본설계 도서에 미반영(해당없음) 상태임.
2. 공사 중 교차로 지체 및 병목 현상을 방지하기 위해, 실시설계 단계에서 교통 시뮬레이션에 따른 신호 신설 및 변경 계획을 교통 경찰 및 화성시와 협의하고 관련 가설 신호 자재/노무 수량을 추가 계상해야 함.</t>
  </si>
  <si>
    <t>• (토목)기본설계예산서(2공구).pdf (Page 30)</t>
  </si>
  <si>
    <t>1. 구조물 경계부(토공~교량, 토공~옹벽 등)의 급격한 강성 변화 완화를 위한 접속부 궤도강성 체감 설계(Transition Zone) 여부 확인.
2. 노반분야 정착단부(Endsporn) 및 궤도분야 연결보조철근 등의 보강 수량이 도면 및 수량산출서 상 누락되었는지 확인 (인터페이스 보고서 2페이지 지적사항).
3. 토공-교량 접속부의 부등침하로 인한 단차 발생(나루교 측면 진입 등, 3mm 이상) 방지 대책 수립 여부 검토.</t>
  </si>
  <si>
    <t>1. 궤도/철도분야 인터페이스 검토보고서에 따르면, 토공~교량 및 토공~개착BOX 등 구조물 접속부의 궤도지지강성 급변을 방지하는 강성체감 및 지반보강 설계가 규정되어 있으나, 기본설계 설계서 상 구조물 접속부 구간 연결보조철근(궤도분야) 및 토공구간 정착단부(Endsporn, 노반분야) 시공 수량이 누락되었음이 지적됨.
2. 또한 1공구 오산천교 대안선형 검토 결과 나루교 측면 진입 구간 등 토공-교량 경계부의 부등침하(3mm 이상) 단차 리스크가 우려되어 보완 대책 수립이 필요함. 이에 따라 실시설계 단계에서 보조철근 및 지반 보강 공법을 내역에 추가 반영하여 접속부 충격하중을 완화시켜야 함.</t>
  </si>
  <si>
    <t>• 궤도_설계추진방향보고_궤도, 차량, 열차운영 등 인터페이스 적정성_rev.00_260601.pdf (Page 2, 13)
• 철도_설계추진방향_1공구 오산천교 대안선형 검토_Rev.02_260612.pdf (Page 4)
• 01. 종합요약보고서.pdf (Page 371)</t>
  </si>
  <si>
    <t>1. 구조물 접속부(토공~교량, 토공~개착BOX 등)의 궤도 강성 전이(Transition Zone) 상세 검토 및 적용 여부 확인.
2. 노반분야 정착단부(Endsporn) 및 궤도분야 연결보조철근 수량 누락 여부 확인 및 보완.
3. 실시설계 단계에서 접속부의 부등침하 방지 및 강성 급변 완화를 위한 접속슬래브, 강화노반 완충부 시공 계획 및 상세 도면 작성.</t>
  </si>
  <si>
    <t>1. 궤도-노반/토목 인터페이스 보고서에 따르면, 기존 구조물 접속부(토공~교량 등) 구간에 어프로치 슬래브 또는 어프로치 블록 적용과 같은 지반강성 증가 방안이 기본설계에 미반영되었음이 지적됨.
2. 또한 토공구간 정착단부(Endsporn) 및 연결보조철근 수량이 누락되어 궤도분야 수량 및 내역에 보완 반영하도록 협의됨. 이에 따라 실시설계 시 접속부의 강성 전이 구조를 설계도서 및 내역에 명확히 반영하여 단차 및 충격을 예방해야 함.</t>
  </si>
  <si>
    <t>• 궤도_설계추진방향보고_궤도, 차량, 열차운영 등 인터페이스 적정성_rev.00_260601.pdf (Page 2, 3, 24)
• 1공구\궤도\01. 설계보고서_궤도.pdf (Page 382)
• 2공구\궤도\(궤도)기본설계보고서.pdf (Page 291)</t>
  </si>
  <si>
    <t>1. 교량 구조계산 시 트램 전용 하중에 따른 교량 상판 및 거더의 처짐 기준 준수 여부 확인.
2. 철도설계기준에 따른 주행안전성 기준(L/600) 및 승차감 기준(L/1300 등)이 구조계산서에 반영되어 검토되었는지 확인.
3. 실시설계 시 단순 도로교 기준(L/500) 대신 트램 전용 철도설계기준을 적용하여 거더 강성을 재검증하고, 교량상판 단부 꺾임 및 처짐 영향을 분석.</t>
  </si>
  <si>
    <t>1. 2공구 토목 구조계산서(거더 상세) 상에서는 트램 하중에 의한 처짐 검토 시 철도설계기준을 준수하여 주행안전성 처짐 기준(L/600) 및 승차감 만족 처짐 기준(L/1300)을 적용하여 안전함을 검증하였음.
2. 그러나 일부 도로 교량 설계 기준(L/500)만 단순 적용한 구간이 있으므로, 실시설계 단계에서는 트램 주행 안전성을 확보하기 위해 전 구간 교량에 대해 철도설계기준에 따른 처짐 검토(L/600)를 명확히 수행하고 상판 단부 꺾임에 의한 사용성을 재검증해야 함.</t>
  </si>
  <si>
    <t>• 2공구\토목\(토목)구조계산서.pdf (Page 255)
• 궤도_설계추진방향_차량, 열차운영 등 인터페이스 적정성_rev.05_260608.pdf (Page 12)</t>
  </si>
  <si>
    <t>1. 트램 차량의 고속 통과 시 교량의 동적거동 및 공진(Resonance) 현상 발생 리스크 검토 여부 확인.
2. 구조계산서 상 교량의 동적해석 및 고유진동수 해석 수행 여부 확인.
3. 실시설계 단계에서 트램 하중에 따른 거더 및 상판의 동적거동(공진해석)을 수행하여, 고속 통과 시 진동 증폭 및 탈선 리스크를 예방하고 승차감 만족 여부를 검증.</t>
  </si>
  <si>
    <t>1. 기본설계 구조계산서 및 설계보고서 상에서 트램 동적 하중에 따른 교량의 공진(Resonance) 현상 및 고유진동수를 고려한 동적해석(Dynamic Analysis)은 수행되지 않았음(해당없음).
2. 트램 차량의 주행 진동이 교량 구조물로 전달되어 공진이 발생할 경우 과도한 변위 및 탈선 리스크가 존재하므로, 실시설계 단계에서는 교량 경간장 및 주행 속도를 고려한 교량-열차 동적 상호작용 및 공진 검토를 반드시 추가 반영해야 함.</t>
  </si>
  <si>
    <t>• 2공구\토목\(토목)구조계산서.pdf (Page 255)
• 1공구\궤도\01. 설계보고서_궤도.pdf (Page 448)</t>
  </si>
  <si>
    <t>1. 트램 하중 재하 시 기존 교량의 내하력 부족 여부 및 보수보강 공법의 적정성 검토 여부 확인.
2. 실시설계 단계에서 보강 후 안전성 및 내하력 검토를 추가 수행하고, 보강공법(외부강선 보강, 탄소섬유 등)의 상세 규격 및 범위를 도면에 반영.
3. 내역서 상 보수보강 공사비의 1식 계상을 지양하고 상세 수량산출 근거를 보완할 것.</t>
  </si>
  <si>
    <t>1. 기존 교량(치동천2, 5교 등) 안전성 검토 시 구조계산서는 현재 상태의 안전성까지만 검토하였으며, 보강 후의 안전성 검토 및 구체적인 보강공법 결정 사유, 보강도면 기준(강선보강 물량, 탄소섬유 범위/규격)이 기본설계에 미반영(해당없음)되었음.
2. 이에 따라 실시설계 시 보강 후 내하력 평가를 수행하고 구체적인 보강 계획을 도서에 포함해야 함.</t>
  </si>
  <si>
    <t>• 260520_기본설계 오류 및 누락사항 설명자료.pdf (Page 114, 119)
• 토목구조_설계추진방향보고_오산천교, 변전소, 기존구조물 검토_rev.00_260528.pdf (Page 5)</t>
  </si>
  <si>
    <t>1. 교량 하부 정밀점검 및 교량받침(Bearing) 교체를 위한 점검로, 승강 사다리 등 접근시설(승강설비) 설계 반영 여부 확인.
2. 실시설계 단계에서 인상 잭(Jack) 설치 및 작업자 진입이 가능하도록 교량 교각 코핑부의 가설 및 영구 작업 공간을 검토하고 도면에 상세 반영.</t>
  </si>
  <si>
    <t>1. 기존 교량의 구조물 검토보고서에 따르면 보수보강 설계 시 접근시설(점검로 등) 설계가 추진방향으로 명시되었으나, 기본설계 도면 상 교량받침 교체 및 정밀안전점검을 위한 하부 점검로 및 승강설비 상세는 미반영(해당없음) 상태임.
2. 향후 유지관리 시 작업 편의성과 안전을 확보하기 위해 실시설계 단계에서 하부 점검로 및 접근시설을 상세 설계에 추가 반영해야 함.</t>
  </si>
  <si>
    <t>• 토목구조_설계추진방향보고_오산천교, 변전소, 기존구조물 검토_rev.00_260528.pdf (Page 7)
• 260520_기본설계 오류 및 누락사항 설명자료.pdf (Page 114)</t>
  </si>
  <si>
    <t>1. 교량 상판 아스팔트 철거 후 신설 도상콘크리트와의 일체성 확보를 위한 전단 연결 보강(Shear Connector) 및 접촉면 표면처리(Chipping 등) 상세 여부 확인.
2. 실시설계 시 트램 제동하중에 의한 종방향 미끄러짐 방지를 위해 구조계산서의 거침 처리 가정이 도면에 반영(Chipping 6mm 이상, 접착용 도포제 등)되도록 상세 도면 및 시방 보완.</t>
  </si>
  <si>
    <t>1. 구조계산서 상에서는 신설 궤도콘크리트(도상) 접촉면을 거칠게 마감(Chipping)하고 전단력을 검토하였으나, 아스팔트 철거 후 신설 도상콘크리트 단면에 대한 전단 연결 보강 상세 및 표면처리 구체적 기준이 도면에 미반영(해당없음) 상태임.
2. 트램의 반복 제동 시 제동하중으로 인한 슬래브 미끄러짐 리스크가 발생할 수 있으므로, 실시설계 단계에서 전단철근 및 표면처리 상세를 내역과 도면에 보완 반영해야 함.</t>
  </si>
  <si>
    <t>• (토목)구조계산서.pdf (Page 130)
• 01. 종합요약보고서.pdf (Page 90)</t>
  </si>
  <si>
    <t>1. 교량 신설(오산천교 등)에 따른 수리영향(HEC-RAS 1차원 수모의 등) 검토서 상 계획홍수위 상승량 및 제방여유고 만족 여부 확인.
2. 오산천 횡단 가시설(가물막이) 계획 수립 시 계획홍수위 및 유속조건에 따른 구조적 안전성 및 하천 통수단면 간섭 여부 확인.
3. 실시설계 시 한강유역환경청 협의에 따른 교각 기초 세굴방지계획 수립 및 비탈면 제방도로 간섭부 보강 방안을 도면과 수량에 반영.</t>
  </si>
  <si>
    <t>1. 1공구 기본설계 HEC-RAS 모의결과에 따르면, 신설교량(오산천교) 계획 시 나루교 직상류 구간(No.12+453 좌안)에서 홍수위가 약 0.04~0.06m 상승하여 설계 기준(1.0m 이상) 대비 제방여유고가 부족해지는 현상이 지적되었음.
2. 또한 오산천 교량가시설구간은 기본설계 당시 가설 흙막이 및 가물막이 공법이 미적용(해당없음) 상태로, 수량 및 상세 계획이 누락되어 있음.
3. 따라서 실시설계 시 1열 강널말뚝(Sheet Pile) 등 구체적인 가물막이 공법 및 세굴방지 보호공법을 선정하고, 홍수기 수위 상승과 유속 영향을 반영한 가시설 설계 및 예산을 도서에 추가 보완해야 함.</t>
  </si>
  <si>
    <t>• 01. 종합요약보고서.pdf (Page 56, 60, 227)
• 05_토질 및 기초_설계추진방향보고_하천통과 및 인접구조물을 고려한 가시설 적정성 검토_rev.00_260602.pdf (Page 3, 4, 7)</t>
  </si>
  <si>
    <t>1. 교량상 장대레일 부설에 따른 궤도-교량 상호작용(TBI) 해석 수행 여부 및 레일 부가응력, 교량 받침부 전달력 검토 여부 확인.
2. 매립궤도 특성을 반영한 UIC 774-3R 종방향 저항력을 고려하여 교량 신축 및 열차 시제동하중 하에서의 레일 안정성 검토.
3. 실시설계 시 상세 TBI 해석을 수행하고, 허용치를 초과하는 위험개소(오산천교, 기존교량 등)에 대한 레일신축장치(REJ) 적용 여부 및 위치를 설계도면에 최종 반영.</t>
  </si>
  <si>
    <t>1. 궤도분야 설계추진방향보고에 따르면, 기본설계 단계에서는 궤도구조 및 교량 제원이 확정되지 않아 상세 궤도-교량 상호작용(TBI) 해석 및 장대레일 축력해석이 수행되지 않았음(해당없음).
2. 트램 매립식 궤도는 종방향 구속력이 일반철도 궤도보다 크게 작용하므로 극한 온도 변화 시 교량상 장대레일의 부가축력이 증가하여 좌굴 또는 용접부 파단, 교량받침 파손이 우려됨.
3. 이에 따라 실시설계 시 KR C-08080에 근거한 교량별 TBI 상세해석을 우선 수행하고, 해석이 곤란할 경우 TCRP Report 155 권고사항을 적용하여 교량 신축부에 레일신축장치(REJ) 설치를 보완 반영해야 함.</t>
  </si>
  <si>
    <t>• 03_궤도\궤도_설계추진방향_차량, 열차운영 등 인터페이스 적정성_rev.05_260608.pdf (Page 12, 13, 20)
• 01. 종합요약보고서.pdf (Page 337, 380)</t>
  </si>
  <si>
    <t>1. 극한 온도 변화에 따른 궤도-교량 상호작용(TBI) 해석 시 레일에 발생하는 종방향 부가축력 및 온도 신축 하중이 교각 및 교대 등 하부구조물에 미치는 영향 검토 여부 확인.
2. 실시설계 시 TBI 해석을 통해 도출된 종방향 온도 축력(체결장치 압축/압상력 등)을 교량 하부구조물(교각, 교좌장치) 구조해석 및 철근 배근 검토에 연계 반영할 것.</t>
  </si>
  <si>
    <t>1. 궤도-교량 인터페이스 검토 자료에 따르면 기본설계 단계에서는 장대레일 TBI 축력해석이 누락(해당없음)되었으며, 토목 구조계산서(교대 및 교각 하부구조 검토) 상에서도 TBI 해석에 의한 장대레일 종방향 부가 온도 축력이 하부구조 설계 하중 조합에 고려되지 않은 상태임.
2. 트램 궤도와 교량 상판의 종방향 상호작용으로 인해 발생할 수 있는 교량 받침부 마찰력 외에 레일로부터 직접 전달되는 추가 온도 축력이 교량 하부구조물의 균열 또는 지지력 상실을 유발할 수 있음.
3. 따라서 실시설계 단계에서 교량별 TBI 해석결과를 토목 하부구조 구조계산과 연계하여 온도 하중 조합을 보완 반영하고 교각 단면 및 배근 안전성을 재검증해야 함.</t>
  </si>
  <si>
    <t>• 03_궤도\궤도_설계추진방향_차량, 열차운영 등 인터페이스 적정성_rev.05_260608.pdf (Page 12, 13)
• 01. 종합요약보고서.pdf (Page 380)
• 08. 구조계산서(토목) 4권.pdf (Page 751, 880)</t>
  </si>
  <si>
    <t>1. 교량 상부구조 신축거동 부위에 설치되는 레일신축장치(REJ)와 상판 단부 철근 배근 간의 구조적·공간적 간섭 여부 확인.
2. 실시설계 시 교량별 상세 TBI 해석결과에 따른 REJ 최종 설치 수량(오산천교 신설구간 추가 등)을 확정하고, REJ 매립을 위한 교량 상판 단부 콘크리트 박스아웃(Box-out) 및 보강철근 상세 도면을 작성할 것.</t>
  </si>
  <si>
    <t>1. 궤도분야 설계추진방향보고에 따르면 기본설계 단계에서는 대전 트램 적용기준을 준용하여 임시 수량만 반영(1공구 28개소 등)하였으며, 실제 교량 단부 철근과 REJ 장치의 매립 두께, 앵커 설치 공간 간의 간섭을 회피하기 위한 단부 상세 설계가 누락(해당없음)되었음.
2. 오산천교 등 신설 교량의 경우 거더길이 35m 이상 구간에 REJ 설치가 대안으로 제시되어 추가 반영이 필요하므로, 실시설계 단계에서 TBI 해석결과와 연계하여 REJ 최종 수량을 반영하고 상판 단부 철근과 REJ 장치 간의 간섭 회피 상세 도면을 작성해야 함.</t>
  </si>
  <si>
    <t>• 03_궤도\궤도_설계추진방향_차량, 열차운영 등 인터페이스 적정성_rev.05_260608.pdf (Page 21, 23)
• 01. 종합요약보고서.pdf (Page 90)</t>
  </si>
  <si>
    <t>1. 하천(오산천 등) 내 교각 신설 시 하천기본계획상의 홍수 흐름 방해를 최소화하도록 기존 인접 교량(나루교 등) 교각과의 일렬 배치 설계 여부 확인.
2. 오산천 제방도로 및 하천유지관리용 도로 횡단 구간의 유지관리차량 통과 높이(형하고 3.4m 이상, 체육공원/저류지 인근 등 현장 조건 충족) 확보 여부 확인.
3. 실시설계 시 하상 교각 주변 수리해석(세굴 영향 분석)을 수행하고 세굴방지 보호공(사석 채움 등)을 상세 설계할 것.</t>
  </si>
  <si>
    <t>1. 기본설계 분석 결과, 오산천교 계획 시 하천 흐름 저해와 세굴 리스크를 줄이기 위해 기존 나루교와 교각 위치를 일렬 배치하는 지침을 세우고 하천유지관리용 도로 통과를 위해 형하고를 확보하도록 계획하였음.
2. 그러나 오산천교 세굴방지공 수량 및 교각 점검시설 수량이 기본설계에서 누락(해당없음)되었음이 기본설계 오류 및 누락사항 LIST에서 확인되었음.
3. 따라서 실시설계 단계에서 수리해석을 통한 정밀 세굴안전성을 검토하고, 누락된 교각 기초 세굴방지공(사석채움 등) 및 점검 사다리 등 유지관리 시설을 도서에 보완 반영해야 함.</t>
  </si>
  <si>
    <t>• 01. 종합요약보고서.pdf (Page 134, 175, 227)
• 260520_기본설계 오류 및 누락사항 LIST.pdf (Page 9)
• 04_토목구조\토목구조_설계추진방향보고_오산천교 검토_ver.01_260605.pdf (Page 5)</t>
  </si>
  <si>
    <t>1. 하천 내 교각 기초의 설계세굴심도 계산서 확보 및 세굴방지공(사석, 매트 등)의 적정 수량 반영 여부 확인.
2. 하천 횡단 구간 기초 터파기 시 가물막이 및 가설 흙막이(Sheet Pile 등) 공법 설계 여부와 홍수기(우기)를 회피하는 하천공사 시공계획 수립 여부 확인.
3. 실시설계 시 교각 세굴심도 해석결과를 토대로 기초 근입깊이를 확보하고, 교량기초 시공 시 지하수 유입 및 하천 유실 방지를 위한 차수 및 가물막이 가시설 설계를 예산과 도면에 상세 반영할 것.</t>
  </si>
  <si>
    <t>1. 기본설계 오류 및 누락사항 LIST(Page 9)에 따르면 "오산천교 세굴방지공 수량 누락"이 공식 확인되었으며, 하천 통과부 교각기초(P17, P18 등 굴착심도 6.0~8.0m 이상)에 대한 가물막이 및 가설 흙막이 상세 설계가 미반영(해당없음) 상태임.
2. 우기/홍수기 하천 내 무리한 기초 터파기는 유실 및 제방 붕괴로 이어질 수 있으므로, 실시설계 단계에서 세굴방지공 설계를 보완 반영하고 하천 내 기초 굴착 시 수질오염 방지 및 유실 방지를 위한 1열 강널말뚝 가물막이와 차수 그라우팅 공법을 설계에 구체화해야 함.</t>
  </si>
  <si>
    <t>• 260520_기본설계 오류 및 누락사항 LIST.pdf (Page 9)
• 04_토목구조\토목구조_설계추진방향보고_오산천교, 변전소, 기존구조물 검토_rev.00_260528.pdf (Page 3)
• 05_토질 및 기초\토질 및 기초_설계추진방향보고_하천통과 및 인접구조물을 고려한 가시설 적정성 검토_rev.00_260602.pdf (Page 7)</t>
  </si>
  <si>
    <t>1. 트램 교량 구간의 교면방수 공법(도막방수, 침투식 방수 등)의 도면 및 내역 누락 여부 확인.
2. 트램 주행 안전성을 위한 교량 상판 단부 꺾임(회전각) 및 단부 처짐 허용치 검토 여부 확인.
3. 실시설계 시 궤도 하부 콘크리트 도상과 상판 슬래브 사이의 누수 방지를 위한 추가 교면방수 상세를 설계에 반영하고, 교량 상판 단부의 장기 처짐 및 온도 처짐 영향을 정밀 분석하여 상부 궤도 단차가 발생하지 않도록 단부 설계 보완.</t>
  </si>
  <si>
    <t>1. 수량산출서 확인 결과 기존 교량 및 신설교량 교면에 침투식 방수공 수량이 계상되어 있으나, 트램 매립궤도 도상콘크리트 하부와 아스팔트 제거부 경계면의 상세 방수 계획은 불명확(해당없음)함.
2. 또한 교량 상판 단부의 회전 및 장기처짐에 의한 상부 궤도 체결장치 단차 및 충격 영향성 검토가 누락되어 있어, 실시설계 단계에서 허용 회전각 및 단부 처짐 검토를 수행하고 이에 연계된 궤도 보강 상세를 반영해야 함.</t>
  </si>
  <si>
    <t>• 04. 수량산출서(토목) 2권_1공구.pdf (Page 11, 33)
• 03_궤도\궤도_설계추진방향_차량, 열차운영 등 인터페이스 적정성_rev.05_260608.pdf (Page 12)</t>
  </si>
  <si>
    <t>1. 교량 상판 및 궤도 도상 내에 매립되는 시스템 공동관로(ELP 등) 및 배수시설 설치로 인한 단면 결손(Block-out)이 구조해석(내하력 검토)에 미치는 영향 반영 여부 확인.
2. 매립 관로의 배열 및 배수구 집수정 설치 위치와 교량 상판 및 궤도 철근 배근 간의 물리적 간섭 검토 여부 확인.
3. 실시설계 시 공동관로 매립에 따른 슬래브 단면 결손부의 구조적 안전성 검토를 보완하고, 궤도 종배수관 및 집수정과 상판 철근의 간섭을 배제할 수 있는 정밀 배근 도면 및 매립 상세 작성.</t>
  </si>
  <si>
    <t>1. 철도계획/시스템 공동관로 설치방안 검토 결과에 따르면, 기본설계 용지폭(7.6m) 내에 배수시설과 시스템 공동관로(6공 등)를 연속적으로 매립하도록 설계되었으나, 매립 관로 크기 및 콘크리트 보호 블록 단면 증가에 따른 교량 상판 및 노반의 구조적 단면 결손 영향성 해석이 누락(해당없음)되었음.
2. 이에 따라 궤도 철근과 매립 관로(스페이서 포함) 간의 배근 간섭 리스크가 존재하므로, 실시설계 단계에서 관로 매립 단면을 반영한 교량 상판 구조재검토와 철근 배근 간섭 회피를 위한 상세 횡단면 설계를 작성해야 함.</t>
  </si>
  <si>
    <t>• 01_철도계획\철도_설계추진방향_표준횡단(시스템 공동관로)_Rev.01_260612.pdf (Page 10)
• 01_철도계획\철도_설계추진방향보고_시스템공동관로_rev.00_260529.pdf (Page 4)</t>
  </si>
  <si>
    <t>1. 하천 내 신설 교각(오산천교 유심부 교각 P17, P18 등)에 홍수 대비 수위 계측을 위한 양수표(Staff Gauge) 설치 계획 및 도면 반영 여부 확인.
2. 양수표 설치 자재 및 시공비의 설계 예산(내역서) 반영 여부 확인.
3. 실시설계 시 하천법 및 하천설계기준에 따라 유심부 교각에 시인성이 우수한 눈금형 양수표 또는 실시간 자동 수위 측정 장치 설치 계획을 수립하고, 이를 상세 도면 및 내역서에 추가 반영할 것.</t>
  </si>
  <si>
    <t>1. 기본설계 구조도면 및 내역서(BOQ)를 전반적으로 분석한 결과, 하천 유심부에 신설되는 오산천교 교각(P17, P18 등)에 집중호우 시 수위 관측 및 열차 통제를 위한 양수표(수위 측정기) 설치 설계 및 예산 반영이 누락(해당없음)되어 있음.
2. 홍수기 열차 대피 및 하천 방재 골든타임 확보를 위해 실시설계 단계에서 유심부 교각 측면에 양수표를 시공하도록 상세 도면에 반영하고, 관련 수량 및 예산을 내역서에 추가 계상해야 함.</t>
  </si>
  <si>
    <t>• 01. 종합요약보고서.pdf (Page 56, 175)
• 05_토질 및 기초\토질 및 기초_설계추진방향보고_하천통과 및 인접구조물을 고려한 가시설 적정성 검토_rev.00_260602.pdf (Page 3)</t>
  </si>
  <si>
    <t>1. 교량 및 교각 설치 구간의 도시 미관을 위한 경관 심의 가이드라인(화성시 경관계획 등) 적용 여부 확인.
2. 교량 하부 공간의 슬럼화 방지를 위한 조명 설비, 경관 쉼터, 및 조경 등 환경개선 계획의 설계 반영 여부 확인.
3. 실시설계 시 교각의 조형적 미관을 보완하는 경관 디자인을 도면에 반영하고, 야간 교량 하부의 보행자 안전 확보 및 도시 경관 제고를 위한 하부 조명(LED 경관조명 등) 및 환경 조경 설계를 추가 반영할 것.</t>
  </si>
  <si>
    <t>1. 기본설계 종합요약보고서에 따르면 경관성 향상을 위한 공공디자인 계획 및 가이드라인 검토는 명시되어 있으나, 교량(오산천교 등) 하부 유휴부지에 대한 구체적인 환경개선(조경, 보행 공간화) 및 야간 보행 안전을 위한 하부 조명 설계는 미반영(해당없음) 상태임.
2. 교량 하부의 어두운 유휴 공간이 장기적으로 도심 내 슬럼화될 리스크가 있으므로, 실시설계 단계에서 지자체 경관계획과 연계하여 하부 조경 식재, 보도 포장 및 LED 야간 경관 조명 설계를 설계도서와 내역에 추가 계상하여 반영해야 함.</t>
  </si>
  <si>
    <t>• 01. 종합요약보고서.pdf (Page 397, 424, 426)
• 04_토목구조\토목구조_설계추진방향보고_오산천교, 변전소, 기존구조물 검토_rev.00_260528.pdf (Page 3)</t>
  </si>
  <si>
    <t>1. 하천 내 신설 교각(오산천교 유심부 교각 P17, P18 등)에 집중호우 시 수위 감시 및 트램 운행 통제를 위한 양수표(Staff Gauge) 설치 계획 및 도면 반영 여부 확인.
2. 비상상황 시 열차 제어 통제실과의 실시간 수위 데이터 연계를 위한 자동 수위 계측 장비 반영 여부 확인.
3. 실시설계 시 하천 설계 기준에 부합하는 교각 양수표 및 실시간 감시 시스템을 설계 도서에 반영하고 관련 예산을 보완 반영할 것.</t>
  </si>
  <si>
    <t>1. 기본설계 오산천교 하부 구조 도면 및 내역서 검토 결과, 집중호우로 하천 유심부 수위 급상승 시 트램 운행 정지 및 대피 골든타임을 확보하기 위한 교각 양수표(눈금자) 및 실시간 수위 모니터링 시스템 설계가 누락(해당없음)되어 있음.
2. 트램의 운행 관리 안전성을 확보하기 위해 실시설계 단계에서 오산천교 유심부 교각(P17, P18)에 수위 관측용 양수표를 시공하도록 상세 도면에 명시하고, 비상용 실시간 수위 전송 설비를 내역에 추가 계상해야 함.</t>
  </si>
  <si>
    <t>1. 신설 교량 구조계산서 상 트램 활하중 재하 시 상판 단부 꺾임각(회전각) 검토 여부 및 궤도 구조 사용성(허용 회전각 준수 여부) 확인.
2. 교량 신축이음부(Joint) 진출입 시 꺾임에 의한 레일 및 체결장치의 부가응력 검토 여부 확인.
3. 실시설계 시 궤도-교량 인터페이스 기준에 따른 상판 단부 꺾임각을 재해석하고, 꺾임량이 기준치를 초과할 경우 거더 강성 증대 또는 단부 강성 보완(정착단부 보강 등) 상세를 설계 및 도면에 반영할 것.</t>
  </si>
  <si>
    <t>1. 궤도-교량 인터페이스 검토 결과에 따르면, 기본설계 토목 구조계산서 상 교량의 활하중에 의한 처짐 안전성(L/600 등)은 검토되었으나, 상부 궤도의 주행 안정성 및 체결장치 사용성 확보를 위한 교량 상판 단부의 꺾임(회전각)에 대한 정밀 검토 및 대책은 누락(해당없음)되었음.
2. 교량 접합부 진출입 시 발생할 수 있는 과도한 꺾임각은 궤도 단차 및 체결장치의 피로 파손을 유발하므로, 실시설계 단계에서 상판 단부 회전각 계산서(TBI 해석 연계)를 보완하고 이에 따른 거더 강성 보완 및 단부 체결장치 보강 대책을 설계에 반영해야 함.</t>
  </si>
  <si>
    <t>• 03_궤도\궤도_설계추진방향_차량, 열차운영 등 인터페이스 적정성_rev.05_260608.pdf (Page 12)
• 01. 종합요약보고서.pdf (Page 337)
• 08. 구조계산서(토목) 4권.pdf (Page 193)</t>
  </si>
  <si>
    <t>1. 이질기초(직접 및 말뚝기초 혼용)가 적용된 교량 구조물(오산천교 등)에 대해 기초 형식별 지반 조건 및 부등침하 검토 여부 확인.
2. 구조계산서 상 지점침하(부등침하) 하중조건 반영 여부 및 침하 기준(허용치 이내) 충족 여부 확인.
3. 토공~구조물 접속 구간 등 지반 강성 변화 구간에 어프로치 슬래브(Approach Slab) 및 보강 블록 등 강성 전이(Transition) 구조의 적정 설계 여부 확인.
4. 실시설계 시 실제 지반 조사 데이터를 기반으로 기초 형식 간 예상 침하량 차이를 정밀 재산정하고, 허용치를 초과할 경우 연약지반 그라우팅 보강 또는 기초 형식 통일 방안을 검토할 것.</t>
  </si>
  <si>
    <t>1. 기본설계 검토 결과, 오산천교 교각의 이질기초에 대한 부등침하 안정성 검토가 누락되어 부등침하 및 상부 단차 발생 우려가 지적되었음.
2. 이에 따라 구조계산서 상에서 합성 후 단면에 대하여 지점침하(부등침하 하중 조합)를 반영하여 구조 안전성을 확보하였고, 토공~교량 접속 구간에는 어프로치 슬래브 및 침하 저감 대책(KR C-14080 기준 접속부 처리)을 적용하여 궤도 강성 전이와 부등침하를 최소화하도록 설계하였음.
3. 실시설계 단계에서 실제 지반 정수를 반영하여 부등침하량을 재검토하고, 궤도 틀림 허용치를 초과하는 거동 우려 시 기초 지반 개량(그라우팅 등)을 통해 변위를 최소화하도록 조치해야 함.</t>
  </si>
  <si>
    <t>• 기본설계 문제점 분석 및 설계 개선사항_취합(0526-송부).pdf (Page 20)
• 08. 구조계산서(토목) 1권.pdf (Page 16, 224)
• 01. 종합요약보고서.pdf (Page 372)
• 03_궤도\궤도_설계추진방향보고_궤도, 차량, 열차운영 등 인터페이스 적정성_rev.00_260601.pdf (Page 6, 24)</t>
  </si>
  <si>
    <t>1. 매입말뚝(SDA 공법 등) 시공 구간(오산천교 교대부 등)의 설계 상 주면고정액(시멘트 밀크 등) 배합 및 주입량 설계 반영 여부 확인.
2. 지하수위가 높거나 투수성이 큰 지반에서 시멘트 풀 유실 및 공벽 붕괴 방지를 위한 시공 계획 및 수량 계상 적정성 확인.
3. 실시설계 시 오산천교 교대부(A2) 및 말뚝 기초 구간에 대해 주면고정액 주입량 기준(기준 대비 증량 등)을 설계 지침 및 시방서에 반영하고 수량산출서 및 내역서에 보완 반영할 것.</t>
  </si>
  <si>
    <t>1. 기본설계 검토 결과, 오산천교 교대(A2) 구간 매입말뚝 시공 시 주면고정액 설계가 누락되어, 일수현상(지하수 또는 유수 유입)에 따른 말뚝 상부 공동(Cavity) 발생 및 지지력 저하 우려가 지적되었음.
2. 이에 대한 대책으로 교대부 매입말뚝 시공 시 주면고정액 주입량을 기존 설계량 대비 2배 정도 증량 주입하도록 주입량 설계를 보완함으로써 말뚝 주변 지지력과 내구성을 제고하고 공동 예방 대책을 마련하였음.
3. 실시설계 시 지질조사 보고서의 지하수위 및 투수계수를 분석하여 투수성 사질토나 균열 암반 구간의 고정액 유실 방지 배합 설계(점성 증대 등)를 구체화하고, 시공 시 공벽 유지 관리를 위한 안정액 품질 규정을 시방서에 반영해야 함.</t>
  </si>
  <si>
    <t>• 기본설계 문제점 분석 및 설계 개선사항_취합(0526-송부).pdf (Page 20)
• 04. 수량산출서(토목) 2권_1공구.pdf (말뚝기초 수량 관련 참조)</t>
  </si>
  <si>
    <t>1. 형하고가 5.0m 미만인 교량(오산천변 통행로 3.4m, 체육공원 4.5m, 저류지 유지관리로 2.5~3.0m 등) 하부 도로에 대형/과고 차량 충돌 방지를 위한 통과 한계틀 및 경보 설비 반영 여부 확인.
2. 도로교 설계기준 및 관련 규정에 따른 통과 제한 높이(제한 표지판, 경보설비 등)의 설계 적정성 검토.
3. 실시설계 시 형하고 5.0m 미만 구간의 입구 및 주변 접근 도로에 차량통과 한계틀(제한높이 안내 시설물) 및 충돌 방지 경보 장치(센서 및 전광판 등)를 설계에 반영하고 수량 및 공사비를 계상할 것.</t>
  </si>
  <si>
    <t>1. 기본설계 분석 결과, 오산천변 통행로(형하고 3.4m), 체육공원 인근(4.5m), 저류지 유지관리로(2.5m~3.0m) 등 형하고가 5.0m 미만인 교량 하부 통행 구간이 존재하나, 차량 충돌 예방을 위한 차량통과 한계틀(높이 제한 문형식 시설물)이나 충돌 경보 설비의 설계는 누락(해당없음)되어 있음.
2. 이에 따라 과고 차량의 무단 진입 시 교량 상판 및 상부 트램 궤도 구조물에 대형 충돌 사고가 발생할 위험이 있으므로, 실시설계 단계에서 형하고 5.0m 미만 모든 교량 하부 통행로 진입부에 차량통과 한계틀 및 과고 차량 경보 장치를 추가 계상하여 안전 대책을 수립해야 함.
3. 또한 지하시설물 및 주변 보행로와의 연계성을 고려하여 경보 표지 및 문형식 한계틀 구조물의 기초 설계를 도면에 상세히 반영해야 함.</t>
  </si>
  <si>
    <t>• 01. 종합요약보고서.pdf (Page 134, 227)
• 07 기본설계 추진방향보고\분야별 (교량 하부 도로 형하고 계획 검토 내용 없음 - 해당없음)</t>
  </si>
  <si>
    <t>1. 교량 교각 시공, PSC 거더 가설 등 크레인 투입이 필요한 구간(오산천교, 반월고가 등)에서 공사 중 크레인 진입 동선 및 작업 반경 확보를 위한 교통처리계획(단계별 차로 폐쇄, 우회 동선 확보) 수립 여부 확인.
2. 교차로 및 도심지 통과 구간에서 크레인 장비 진입로 확보에 따른 보행로 차단, 교통량 분산 대책 및 민원 저감 계획 반영 여부 확인.
3. 실시설계 시 주요 교량·구조물 시공 구간별 대형 장비(크레인, 가시설) 반입 계획을 시공계획서에 명시하고, 장기 도로 차단이 불가피한 구간에는 우회 도로 확보 및 민원 대책(주민 사전 공지, 교통안전요원 배치 등)을 포함한 교통처리계획을 실시설계 도서에 반영할 것.</t>
  </si>
  <si>
    <t>1. 기본설계 종합요약보고서에는 트램 노선 유형별(도로 중앙, 교차로 횡단 등) 공사중 교통처리대책이 개략 수립되어 있으며, 특히 나루교 대안검토 과정에서 나루교 철거·재설치 시 '도로 차단으로 인한 교통체증 발생' 리스크가 명시되어 있음.
2. 공사관리 보고서에 따르면 도심지 공사 특성상 1일 작업량 외 장비 반입이 불가하여 사업구간 인근 자재 적치장 확보가 필요하며, 장비 운영 등 작업공간 확보를 위한 단계별 교통처리계획 수립이 요구됨.
3. 그러나 기본설계 단계에서 크레인 투입이 필요한 PSC 거더 가설 구간이나 반월고가 상부 구조물 가설 시의 구체적인 크레인 진입로 및 차로 통제 계획은 미수립 상태이므로, 실시설계 단계에서 장비 반입 계획과 교통처리계획을 상세히 수립하여야 함.</t>
  </si>
  <si>
    <t>• 01. 종합요약보고서.pdf (Page 225, 277, 280)
• 12_공사관리\공사관리_입찰안내서 분석 및 공사관리 추진방향 검토_ver.1_260612.pdf (Page 5, 6)
• 01_철도계획\철도_설계추진방향_1공구 오산천교 대안선형 검토_Rev.02_260612.pdf (Page 3)</t>
  </si>
  <si>
    <t>1. 서부간선수로교 강상판(Steel Box 또는 강합성) 교량의 교면 포장 설계 시 강상판 교면포장 설계·시공지침에 따른 고탄성 아스팔트(고무혼합, 에폭시 아스팔트 또는 우레탄계) 포장 적용 여부 확인.
2. 기본설계 수량산출서 및 내역서에 서부간선수로교 강상판 구간 교면 포장 공종(고탄성·방수일체형 포장) 계상 여부 및 금액 확인.
3. 실시설계 시 강상판 교면포장 설계·시공지침(KDS 44 90 05 등)에 따라 고탄성 아스팔트 우레탄 방수·포장 공종을 설계도서, 수량산출서 및 내역서에 추가 반영하고 공사비를 보완 계상할 것.</t>
  </si>
  <si>
    <t>1. 기본설계 검토 결과, 궤도 분야에서 콘크리트도상 하부 노반 침하 시 발포폴리우레탄(고밀도 급속 팽창성)을 활용한 지반 복원 방법이 계획되어 있으나, 강상판 교량(서부간선수로교 등)의 교면포장에 요구되는 고탄성 아스팔트 우레탄 포장 계획은 기본설계 내역서에서 확인되지 않음(해당없음).
2. 강상판 교량에서 교면 고탄성 우레탄 방수포장이 누락될 경우, 강상판의 부식·균열 가속 및 누수에 의한 구조 내구성 저하 우려가 있으므로, 실시설계 단계에서 강상판 교면포장 설계기준(KDS/KCS)에 따라 교면 방수 및 고탄성 아스팔트 포장 공종을 명확히 반영하고, 기본설계 오류·누락사항 LIST(260520)와 연계하여 설계 개선사항에 포함시켜야 함.</t>
  </si>
  <si>
    <t>• 01. 설계보고서_궤도.pdf (Page 397)
• 04. 수량산출서(토목) 2권_1공구.pdf (교면포장 수량 항목 Page 202, 232)
• 260520_기본설계 오류 및 누락사항 LIST.pdf</t>
  </si>
  <si>
    <t>1. 오산천교(P5~P9 구간 제방 간섭) 및 소구조물 통과 구간의 형하고(Clearance)가 유지관리 차량 통행 기준(2.5m 이상 또는 관련 하천기본계획 규정)을 만족하는지 검토 여부 확인.
2. 저류지, 소하천 통과 소교량 등 형하고가 낮은 구조물(2.5m~3.4m 이하)에서 대형 유지관리 차량 진입 가능성 및 충돌 방지 대책 계획 반영 여부 확인.
3. 실시설계 시 형하고 기준(유지관리 차량 2.5m 이상, 하천 기준 1.0m 여유고 이상 등)을 만족하지 못하는 소교량·하부 통행로에 대해 진입 제한 표지 및 통과 한계틀을 설계도면에 반영하고, 하천제방 유지관리 차량의 접근 가능성을 재검토하여 필요 시 구조물 형고를 상향 조정할 것.</t>
  </si>
  <si>
    <t>1. 기본설계 분석 결과, 오산천교(P5~P9) 구간의 제방 간섭에 따른 형하고 및 비탈면 이격 검토가 이루어졌으며, 오산천변교 형하고는 최소 3.4m 이상 확보(하천기본계획 및 철도설계기준 1.0m 이상 여유고 만족)하도록 계획되었음.
2. 그러나 저류지10 유지관리용 소교량(형하고 2.5m 이상 확보 요구), 소2(저수1) 소하천 교량(3.0m 확보 계획) 등 소규모 통과 구조물에서는 대형 유지관리 차량 진입을 위한 형하고가 충분히 확보되지 않을 우려가 있으며, 차량 충돌 방지를 위한 통과 한계틀 및 경보 시설 계획은 확인되지 않음(해당없음).
3. 실시설계 단계에서 형하고 미달 소교량에 대해 유지관리 차량 높이 기준을 적용한 형하고 재검토를 수행하고, 부족한 경우 구조물 종단 조정 또는 통과 제한 안내 표지·한계틀 설치 계획을 도면에 명시해야 함.</t>
  </si>
  <si>
    <t>• 01. 종합요약보고서.pdf (Page 175, 177, 227)
• 04_토목구조\토목구조_설계추진방향보고_오산천교 검토_ver.01_260605.pdf (Page 5)
• 05_토질 및 기초\토질 및 기초_설계추진방향보고_하천통과 및 인접구조물을 고려한 가시설 적정성 검토_rev.00_260602.pdf (Page 3)</t>
  </si>
  <si>
    <t>1. 오산천교 교각(P5~P9) 시공을 위한 가물막이 및 공사용 가도(가교) 설치 구간에서 하천 제방 및 인접 사유지 협의 완료 여부 확인.
2. 사유지 편입이 불가피한 공사용 가도 구간에 대해 토지 사용 동의, 임시 사용 승낙 또는 수용 협의 계획 수립 여부 및 지연 리스크 검토 여부 확인.
3. 실시설계 시 공사용 가도·가교 설치 구간의 부지 현황(지목, 소유자)을 사전 조사하여, 사유지 통과 구간에 대해 토지 사용 협의 계획 및 대체 루트(우회 가도) 방안을 설계도서에 명시하고 공사 일정 지연 리스크를 공정계획에 반영할 것.</t>
  </si>
  <si>
    <t>1. 기본설계 검토 결과, 오산천교 시공을 위한 공사용 가도(가교)가 하천 내 및 인접 제방부에 설치될 필요가 있으며, 설명자료에는 공사용 가도 단면 계획(강널말뚝 SY300, H-빔 설치 등)이 제시되어 있음.
2. 그러나 공사용 가도가 통과하는 사유지 구간에 대한 토지 사용 협의 현황 및 협의 불가 시 대체 공법·우회 계획은 기본설계 도서에서 명시적으로 확인되지 않음(해당없음).
3. 도심지 공사 특성상 사유지 협의 지연이 전체 공사 일정 지연으로 이어질 수 있으므로, 실시설계 단계에서 공사용 가도 구간 부지 확보 협의를 선행하고, 협의 불가 시 가물막이 대체 공법(강관 우물통, 케이슨 등)을 검토해야 함.</t>
  </si>
  <si>
    <t>• 260520_기본설계 오류 및 누락사항 설명자료.pdf (Page 124)
• 05_토질 및 기초\토질 및 기초_설계추진방향보고_하천통과 및 인접구조물을 고려한 가시설 적정성 검토_rev.00_260602.pdf (Page 3, 7)</t>
  </si>
  <si>
    <t>1. 동탄트램 구조물(교량 교각, 교대 등)에 적용된 내진 등급(I등급) 및 내진성능목표(재현주기별 기능수행/붕괴방지)의 기준 적정성 확인.
2. 구조계산서에서 트램 활하중과 지진하중의 동시 재하 조합(COMB 3, 6: 고정하중+토압+지진하중 등) 반영 여부 및 최소 내진성능(붕괴방지: 재현주기 500년) 충족 여부 확인.
3. 실시설계 시 「도시철도 교량의 내진성능목표」에 따른 내진 I등급(재현주기 100년 기능수행, 500년 붕괴방지) 이상의 설계기준을 모든 교량·구조물에 일관 적용하고, 트램 동적 하중이 지진하중과 결합될 경우의 구조 안전성을 확인할 것.</t>
  </si>
  <si>
    <t>1. 기본설계 종합요약보고서 및 구조계산서에 따르면 동탄트램 교량은 내진 I등급(위험도 계수 적용, 지진구역 I구역)을 적용하였으며, 도시철도 교량의 내진성능목표(재현주기 100년 기능수행, 500년 붕괴방지)에 따라 설계기준을 수립하고 지진하중 조합(고정하중+토압+지진하중)을 구조계산서에 반영하였음.
2. 단, 트램 운행 중 지진이 발생하는 경우의 트램 활하중과 지진하중의 동시 재하(트램 하중+지진하중) 조합은 기본설계 구조계산서 하중 조합에서 명시적으로 확인되지 않음(해당없음).
3. 실시설계 단계에서 트램 운행 하중과 지진하중의 동시 재하 조합 검토(「철도설계기준 KDS 47」 준용)를 추가하고, 최적 내진 성능 확보 방안을 보완 반영해야 함.</t>
  </si>
  <si>
    <t>• 01. 종합요약보고서.pdf (Page 93)
• 08. 구조계산서(토목) 2권.pdf (Page 12, 19)</t>
  </si>
  <si>
    <t>1. 교량 교각 및 교대의 탄성지진력 산정 시 응답수정계수(R=0.8 또는 1.0) 적용 기준 및 내진장치(지진격리받침 등) 필요 여부 판단의 적정성 검토 여부 확인.
2. 내진장치가 필요하다고 판단된 교각(R=0.8 적용)에 대해 지진격리받침 등 내진장치 설계 도면 및 내역 반영 여부 확인.
3. 실시설계 시 내진장치 필요 판정이 된 교각·교대에 대해 지진격리받침(LRB, 납면진받침 등) 또는 해석적 내진 보강 대책을 설계도서에 구체적으로 반영하고, 탄성지진력 기준치를 초과하는 교각에 대한 내진장치 공사비를 내역서에 추가 계상할 것.</t>
  </si>
  <si>
    <t>1. 기본설계 구조계산서(1공구 2권, 3권 및 2공구)에 따르면, 교량받침의 내진장치 필요 여부는 탄성지진력(응답수정계수 R=0.8 적용)과 교량받침 허용 수평력의 비교를 통해 판단하였으며, 일부 교각(R=0.8 적용 구간)에서 '내진장치 필요' 판정이 이루어졌음.
2. 단, '내진장치 필요' 판정을 받은 교각에 대한 구체적 내진장치(지진격리받침, 앵커볼트 보강 등) 설계 반영 및 공사비 계상 여부가 기본설계 내역서에서 명확히 확인되지 않으므로, 실시설계 단계에서 이를 보완해야 함.
3. 또한, 트램 구조물의 동적 지진 응답(시간이력 해석 또는 응답스펙트럼 해석)에 대한 정밀 검토를 실시설계 단계에서 수행하고, 내진장치 유형(LRB, 납면진받침 등)을 선정하여 도면과 내역에 반영해야 함.</t>
  </si>
  <si>
    <t>• 08. 구조계산서(토목) 2권.pdf (Page 67, 202, 476, 818)
• 08. 구조계산서(토목) 3권.pdf (Page 191, 547)
• (토목)구조계산서.pdf (Page 38, 69, 107)</t>
  </si>
  <si>
    <t>차량기지 입출고 선로와 본선 접속부 구간의 차량 설계 속도 프로파일(최대 20km/h 진입)에 따른 안전 제동 거리 계산서 및 신호 폐색 구간(최소 안전 이격 거리 50m) 정합성 확인</t>
  </si>
  <si>
    <t>차량 설계 속도별 최악의 제동 거리를 감안하여 입출고선 구간 궤도회로(TC)의 세부 연장 폭을 조정하고, 감속 신호 비콘(Beacon) 설치 경계를 구간 경계 전방 15m 지점으로 이동 조정하여 신호 통제 간격 최적화 설계</t>
  </si>
  <si>
    <t>궤도_설계추진방향보고_궤도, 차량, 열차운영 등 인터페이스 적정성_rev.00_260601.pdf (Page 4)</t>
  </si>
  <si>
    <t>옥외 노변 신호기 제어 배선 함체(IP65 등급 이상) 내부의 계절별 결로 유발 온도 도달 해석서 및 습도 배출용 환기구 필터 구조 검토</t>
  </si>
  <si>
    <t>함체 내부에 항온 제어를 위한 온도 감지 스페이스 히터(Space Heater, 50W급 및 설정 온도 5℃ 작동) 및 습도 감지 배기용 팬(RH 70% 가동 설정)을 구성하고, 물 유입을 방지하는 수밀식 브리더 벤트(Breather Vent)를 하부에 추가 설계</t>
  </si>
  <si>
    <t>건축_설계추진방향_3차보고_rev01_260608.pdf (Page 19)</t>
  </si>
  <si>
    <t>우선신호 연동 교차로 진입 시 트램 차량 검지 센서(지상 루프 센서)로부터 신인성 보행자 음성/시각 경보 장치까지의 전송 신호 딜레이 타임(0.5초 이내) 분석 검토</t>
  </si>
  <si>
    <t>보행자 횡단 개소 전방 100m 및 50m 지점에 다중 자성식 차량 감지기(VLD)와 고정식 레이더 센서를 설치하여, 트램 접근 시 차내 관제 장치 및 보도 측 무단 횡단 방지 안내 음성 시스템이 0.2초 이내 작동하도록 회로 설계 보완</t>
  </si>
  <si>
    <t>급곡선 승강장(R=50m 이하) 통과 시 트램 차량의 편위량을 적용한 동적 포락선(Dynamic Envelope) 한계와 지상 신호 발신 장치(Beacon) 설치 구조 도면 간의 간섭 여부 교차 검토</t>
  </si>
  <si>
    <t>신호 비콘 안테나 및 단자함 고정 기단부를 차량 한계 포락선 외측 150mm 이상의 안전 마진 거리에 위치하도록 콘크리트 전용 기초 상세 높이 및 인입관 단면 설계 수정 반영</t>
  </si>
  <si>
    <t>차량기지 시험선(길이 1.2km) 내 최고 주행 시험 속도(70km/h)에서 지상 신호 무선 AP(Access Point)의 송수신 감도 필드 맵 시뮬레이션 및 전파 음영 구역 분포 검토</t>
  </si>
  <si>
    <t>시험선 전 선로 구간의 음영 해소를 위해 다이폴(Dipole) 지향성 안테나를 포함한 통신 중계 AP를 150m 간격으로 추가 배치 설계하고, 열차 안테나 수신 임계값(-85dBm 이상) 전자기 차폐 차단 상세 도면에 명시</t>
  </si>
  <si>
    <t>건축_설계추진방향_3차보고_rev01_260608.pdf (Page 17)</t>
  </si>
  <si>
    <t>차량기지 토공 구간과 교량/정거장 콘크리트 접속부의 어프로치 슬래브 배후 지상 신호 기초 구조물 하부 지반 지지력 검토</t>
  </si>
  <si>
    <t>지반 침하 예측 분석 결과에 맞춰 신호 제어기 기초 무근 콘크리트 블록 하부에 지반 고결 그라우팅(DCM 공법) 처리를 의무화하고, 도상 콘크리트 궤도 슬래브와 신호 기초를 철근 연결재로 일체 결속 설계 보완</t>
  </si>
  <si>
    <t>궤도_설계추진방향보고_궤도, 차량, 열차운영 등 인터페이스 적정성_rev.00_260601.pdf (Page 6)</t>
  </si>
  <si>
    <t>변전소 내부 신호 기계실 제어반 내 신호 전송 카드(I/O Board) 및 프로세서 작동 발열량에 대한 용량 계산서 및 기계실 설계 실내 온도(25℃ 이하 유지) 정합성 검토</t>
  </si>
  <si>
    <t>제어반 전용 랙 상부에 다중 송풍용 배출 팬을 구성하고, 신호기계실 내 독립 백업 가동이 가능한 항온용 벽걸이 에어컨(냉방용량 4.5kW 이상) 설치 및 과온 감지 시 관제실 경보 전송 회로 설계 반영</t>
  </si>
  <si>
    <t>건축_설계추진방향_3차보고_rev01_260608.pdf (Page 19, 20)</t>
  </si>
  <si>
    <t>궤도 도상용 보강 철근 및 강섬유 결속부가 궤도회로 무선 지상 유도 루프 코일 상부에 유발하는 자장 간섭 해석서(정상 파형 대비 감쇄율) 확인</t>
  </si>
  <si>
    <t>신호 루프 코일 매설용 정션박스 설치부 중심 기준 반경 1.5m 범위 내 도상 콘크리트에는 전자기 간섭을 미치지 않는 비금속성 FRP(Glass-fiber Reinforced Polymer) 보강근으로 교체 설계 도면 상세 반영</t>
  </si>
  <si>
    <t>교차로 국소 신호 제어기(LCE) 배전반 입력 전원 상실(정전) 시의 상태 전송 시스템 신호 지연 값 및 비상 전원 전환 성능 대조 검토</t>
  </si>
  <si>
    <t>노변 신호 제어 함체 내 전원 차단 감지용 차단 릴레이 및 4시간 이상 정밀 전원 백업이 가능한 신호 전용 리튬인산철 무정전 전원 공급 장치(UPS, 1.5kVA급 및 원격 관리 모듈 포함) 사양서 반영</t>
  </si>
  <si>
    <t>궤도_설계추진방향_차량, 열차운영 등 인터페이스 적정성_rev.05_260608.pdf (Page 4)</t>
  </si>
  <si>
    <t>콘크리트 거더 교량 변형 처짐 한계치(L/800 이하)와 거더 교량 상면 설치 지상 비콘(Beacon)의 무선 전파 방사 각도 허용 오차 범위(5도 이내) 교차 검토</t>
  </si>
  <si>
    <t>처짐 변형에 능동적으로 수평을 유지할 수 있도록 비콘 하부에 3축 미세 수평 조절 브래킷 상세도를 작성하고, 교각 받침부 변위를 반영하여 비콘 기초용 콘크리트 패드 수평 오차 한계(1/1000이내)를 상세 명시</t>
  </si>
  <si>
    <t>궤도_설계추진방향_차량, 열차운영 등 인터페이스 적정성_rev.05_260608.pdf (Page 12)</t>
  </si>
  <si>
    <t>전차선 집전 팬(Pantograph) 통과 시 발생하는 아크(Arc) 방전의 전자기파 진동 범위 해석 및 지상 신호 제어용 광케이블 다중 쉴드 차폐성 확인</t>
  </si>
  <si>
    <t>신호 광케이블을 전자기파 완전 차폐 사양의 메탈 보호 튜브(Shielded Conduit) 내부에 관로 포설 설계하고, 신호 수신 반 내부 통신 카드 전원단에 노이즈 방지용 고주파 필터링 소자(EMI Filter) 장착 상세 추가</t>
  </si>
  <si>
    <t>궤도회로 레일 본딩 접속 배선 함(Junction Box)의 설계 침수 가능 여부 검토 및 방수 성능 등급(IP68 이상 충족 여부) 검토</t>
  </si>
  <si>
    <t>레일 본딩 접속용 함체 방수 등급을 최고 방수 기준인 IP68 사양으로 도면에 지정하고, 집중 우수 시 침수를 방지하기 위해 정션박스를 가대를 사용해 레일 저면 레벨 기준 150mm 이상 높여 고정 설계 반영</t>
  </si>
  <si>
    <t>1. 소방 배관의 사양서 상 압력 배관용 배관 탄소강관(KSD 3507/3562 등) 및 내식성 코팅 아연 도금 규격 확인
2. 화재예방, 소방시설 설치·유지 및 안전관리에 관한 법률 상의 소방관 재질 기준 대조
3. 부식 방지를 위한 동관 또는 이종 금속 접합부 절연 유니온 설치 여부 도면 검토</t>
  </si>
  <si>
    <t>1. 소방 배관 부식 방지 설계
 - 배관 신뢰성 확보: 모든 소방 배관에 내부 부식 방지 기능이 강화된 이중 아연도금 강관 및 내식성 피팅 자재를 설계에 명시하여 장기 내구성을 확보하였음.</t>
  </si>
  <si>
    <t>분야별\08_기계\기계_설계추진방향보고_설계추진 방향 설명자료_rev.00_260521.pdf</t>
  </si>
  <si>
    <t>1. 승강기 비상 통화 장치 결선도 상의 2중 유선 통신 전송 방식 적정성 검토
2. 유선 선로 불통 시 자동으로 전환되는 무선 통신 모뎀(LTE 무선 게이트웨이 백업망) 설계 반영 확인
3. 정전 시 비상 전원을 유지하기 위한 충전 배터리(최소 1시간 이상 작동) 용량 계산서 대조</t>
  </si>
  <si>
    <t>1. 승강기 비상 통화 시스템 이중화
 - 승객 안전 확보: 유선 인터폰 고장 시 자동 전환되는 무선 LTE 백업 모듈을 비상 통화 장치에 탑재하고, 비상 배터리 백업을 설계하여 재난 상황에 대비하였음.</t>
  </si>
  <si>
    <t>1. 기지 옥외 매립 소방관의 화성시 동결 심도(최소 0.8m 이상 등) 준수 여부 종단면도 대조
2. 노출 연결 배관 상의 자동 온도 조절 방식 전기 정온 전열선(센서 일체형) 배치 도면 검토
3. 제어실 화재 수신반 내의 열선 단선 감시 경보 기능 연동 인터페이스 설계 대조</t>
  </si>
  <si>
    <t>1. 소방 배관 동파 방지 설계
 - 기후 변화 대응: 노출 소방 배관에 고효율 보온재와 자기제어형 히팅 케이블을 설계에 반영하고, 모니터링 경보 시스템을 갖추어 겨울철 동파 리스크를 차단하였음.</t>
  </si>
  <si>
    <t>1. 구내식당 피크 일일 배수 용량 및 주방 세척 설비 토출 유량 대비 그리스트랩 유효 용량 검토
2. 유분 고착 방지를 위한 배출 구간 온수 배관 연결 및 내부 거름망 청소용 개구부 상세 대조
3. 하수도법 방류수 수질 기준(BOD, SS, n-H) 충족 여부 확인</t>
  </si>
  <si>
    <t>1. 그리스트랩 용량 적정화
 - 배수 처리 설계: 주방 배수의 유분 함량을 고려하여 그리스트랩 용량을 산정하고, 폐수는 오폐수처리장에서 처리 후 방류하여 수질 기준을 충족하였음.</t>
  </si>
  <si>
    <t>1. 침실 바닥면당 난방 필름 소비 전력(W/㎡) 및 동절기 5개월 가동 시 예상 전력 요금 산출
2. 난방 필름 대신 온수 코일 바닥 복사 난방(GHP 온수 연계 또는 소형 가스보일러) 대안과의 LCC 비교
3. 심야 전력 활용 축열 시스템 적용 가능성 및 개별 침실 온도 자동 차단 온도 조절 장치 검토</t>
  </si>
  <si>
    <t>1. 침실 난방 방식 최적화
 - 에너지 효율 설계: GHP 시스템에어컨을 주열원으로 사용하고, 전기바닥 난방필름은 보조 난방으로 제한 운전하여 야간 전력 요금제를 활용한 운영비 절감을 설계에 반영하였음.</t>
  </si>
  <si>
    <t>1. 차량기지 부지 경계 외부의 기존 가스 주배관 압력 및 인입 관로 굴착 상세 단면 도면 검토
2. 가스안전공사 완성검사 및 지자체 가스 사용 신고 서류 일정 확인
3. GHP 실외기 가스 계량기 위치와 타 실외 전기 설비 간의 법적 이격거리 대조</t>
  </si>
  <si>
    <t>1. 가스 인입 사전 협의 완료
 - 도시가스 공급 계획: 종합관리동·검수동의 GHP 용량에 맞춘 가스 인입 배관 경로를 설계에 반영하고, 한국가스안전공사 사전 신고 절차를 확보하였음.</t>
  </si>
  <si>
    <t>1. 전기실 및 신호·통신실 배치 주요 장비의 정격 소비전력 대비 정밀 열방출량(kW) 산정서 대조
2. 송풍기 환기 풍량(CMH) 계산서와 기계실 내 급배기 노즐 위치별 기류 유동 시뮬레이션 검토
3. 하절기 실내 온도 유지를 위한 백업용 냉방기(EHP) 용량 정합성 및 자동 온도 센서 제어 회로 대조</t>
  </si>
  <si>
    <t>1. 환기·냉방 용량 재산정
 - 장비 발열 제거 설계: 전기실·신호·통신실의 총 장비 발열량을 재산정하여 급배기 풍량과 EHP 냉방 용량을 매칭하고, 온도 센서 연동 자동 제어를 적용하였음.</t>
  </si>
  <si>
    <t>1. 상수도 본관 최소 인입 압력 실측값 및 관리동 최상층 수전까지의 수두 손실 계산서 대조
2. 급수 압력 보정을 위한 가압 펌프(부스터펌프 시스템) 소요 양정 및 용량 계산 검토
3. 정전 시 가압 펌프 비상 전원 연결 상태 및 기계실 저수조 비상 급수 전환 밸브 확인</t>
  </si>
  <si>
    <t>1. 급수 가압 시스템 설계
 - 직수+인버터 펌프 방식: 평상시 시상수 직결 공급, 압력 부족 시 인버터 부스터펌프로 자동 가압하고, 비상시 저수조 전환 급수 체계를 구축하였음.</t>
  </si>
  <si>
    <t>1. 관리동 일일 예상 급수 수요량과 설계 저수조 유효 수량 대비 체류 시간(최대 24시간 이내 권장) 비교
2. 저수조 내 정체 구역 발생을 배제하는 선회류 유도 배관 및 차염 주입 자동 조절 장치 검토
3. 수질 기준 검사 요건 충족을 위한 저수조 내 자동 퇴수 밸브 위치 확인</t>
  </si>
  <si>
    <t>1. 사수방지 시스템 반영
 - 위생성 향상 설계: 저수조에 순환배관 및 자동 배수 밸브를 설치하여 사수를 방지하고, 수질 검사 주기를 월 1회로 설정하여 음용수 기준을 유지하였음.</t>
  </si>
  <si>
    <t>1. 친환경 위생 기구 규격서 상 양변기, 소변기 및 수도꼭지의 일회 토출 유량 대조
2. 인버터 가압 펌프 적용 유무에 따른 동력 소비량 및 용수 절감 시나리오별 경제성 분석
3. 수도법 제15조에 규정된 의무 절수 설비 및 절수기기 설치 승인 신고 요건 검토</t>
  </si>
  <si>
    <t>1. 절수형 위생기구 전면 적용
 - 수자원 절감 설계: 절수형 양변기·전자감응식 소변기·인버터 급수펌프를 전면 적용하여 연간 수도 사용량을 30% 이상 절감하고 불필요한 물 낭비를 방지하였음.</t>
  </si>
  <si>
    <t>1. 승강기 제어반 내 비상 자동 구출 배터리(UPS)의 유효 출력 시간 및 자동 착상 층 제어 방식 검토
2. 기계실이 없는 승강로 상부 구동 장치의 수동 개방을 위한 유지관리용 해치 도면 확인
3. 비상 상황 모의 대피 훈련을 위한 관리실 통제 연동 시스템 상세 대조</t>
  </si>
  <si>
    <t>1. 비상 구출 시스템 확보
 - 무기계실 EL 안전 설계: 비상 전원(UPS) 자동 착상 기능을 탑재하고, 수동 구출 운전 매뉴얼을 작성하여 정전 시 30분 이내 구출이 가능하도록 설계하였음.</t>
  </si>
  <si>
    <t>1. 공종별 제어 통신 카드 스펙 상의 전송 속도, 주소 지정 방식 및 통신 프로토콜 교차 확인
2. 프로토콜 호환성을 위한 하드웨어 게이트웨이(컨버터) 장비 설치 수량 및 설계 내역서 대조
3. 전송망 장애 대비 현장 DDC의 로컬 스탠드얼론(Stand-alone) 제어 기능 정합성 검토</t>
  </si>
  <si>
    <t>1. 개방형 통합 제어 설계
 - BACnet/IP 표준 적용: KS X 6909 규격의 BACnet/IP를 통합 프로토콜로 채택하고, 타 분야 설비와의 게이트웨이를 설치하여 중앙 감시반에서 일원화 감시·제어가 가능하도록 하였음.</t>
  </si>
  <si>
    <t>1. 소방 배관 흔들림 방지 종·횡 방향 버팀대 배치 평면 간격(KFI 인증 제품 적용) 설계도 확인
2. 스프링클러 헤드 배치 기준 반경(2.3m 이하) 및 변전실 내 소화 가스 헤드 방출 노즐 간격 계산서 검토
3. 지진 하중 시 소방 펌프 기초 패드 앵커 앵커력 보강 상세 도서 대조</t>
  </si>
  <si>
    <t>1. NFTC 기준 전면 충족
 - 소방 인허가 선행 설계: 종합관리동·검수동에 옥내소화전(NFTC 102), 스프링클러(NFTC 103), 청정소화약제(NFTC 107A)를 기준별로 적용하고, 전 설비에 내진 설계를 반영하였음.</t>
  </si>
  <si>
    <t>1. 차량 검수 작업장의 하절기 평균 외부 복사열 유입을 고려한 작업 구역 열부하 계산서 검토
2. 이동식 쿨러 대안인 대형 공기 순환기(HVLS 팬) 또는 배기 팬 연동 강제 환기 기류 도면 대조
3. 산업안전보건기준에 관한 규칙 상의 폭염 대비 고온 작업장 환기 세부 대책 확인</t>
  </si>
  <si>
    <t>1. 검수동 근무환경 개선
 - 국부 냉난방 설계: 이동식 전기히터 및 이동식 에어컨을 개별 국부 사용하여 정비원 작업 위치에 직접 냉난방을 제공하고, 유지관리비를 절감하였음.</t>
  </si>
  <si>
    <t>1. 주방 조리 시 발생 유증기량 및 필요 배기량(CMH) 산정서 대조
2. 식당 홀-주방 간의 풍량 밸런스 유지를 위한 차압 제어 댐퍼 설치 평면도 대조
3. 조리 냄새 유출 차단을 위한 주방 전용 국소 배기휀 기동 시 배기 댐퍼 연동 로직 확인</t>
  </si>
  <si>
    <t>1. 주방 부압 환기 설계
 - 냄새 확산 방지: 주방의 배기량을 급기량 대비 110%로 설정하여 부압을 유지하고, 덕트 전기코일을 적용하여 동절기 콜드드레프트를 방지하였음.</t>
  </si>
  <si>
    <t>1. 도장 작업 시 배출되는 휘발성 유기화합물(VOCs) 및 분진의 법적 노출 기준 대조
2. 유해가스 고임 방지를 위한 전용 급배기 국소배기장치(후드 풍량 0.5m/s 이상) 송풍기 용량 검토
3. 배출 가스 환경 정화를 위한 활성탄 필터(스크러버) 설치 설계 내역서 대조</t>
  </si>
  <si>
    <t>1. 유해가스 구역 강제 환기
 - 국소 배기 설계: 도장·세척 등 유해가스 발생 구역에 국소 배기장치(후드+배기 덕트)를 추가하고, 1종 강제 환기와 병행하여 허용 농도 이하를 유지하였음.</t>
  </si>
  <si>
    <t>1. 기지 근무 승무원 조별 동시 퇴근 인원 및 샤워기 동시 사용률(80% 이상 등) 적용 온수 소요량 산정
2. 온수기 저장조 탱크 체적 및 전력 소비 대비 재가열 회수 시간(재가열 2시간 이내) 계산서 검토
3. 저탕 탱크 규격 증설 또는 부스터 가열용 순간 전기 온수기 백업 배관 도면 대조</t>
  </si>
  <si>
    <t>1. 온수 용량 적정화
 - 피크 수요 대응: 교대 직후 샤워 피크 수요를 반영하여 저탕식 전기온수기 용량을 120% 여유율로 산정하고, 순환 배관을 설치하여 대기 시 온수 온도 저하를 방지하였음.</t>
  </si>
  <si>
    <t>1. 실내공기질 관리법 의거 다중이용시설 적용 실별 법적 환기 횟수(회/시간) 충족 여부 확인
2. 전열교환기(환기 유니트) 내 미세먼지 필터(헤파 H13 등급 또는 MERV 11 이상) 정격 풍량 대조
3. 실내 CO2 센서와 환기 댐퍼 기동을 연동 제어하는 자동제어(DDC) 결선 도면 검토</t>
  </si>
  <si>
    <t>1. 실내공기질 관리 설계
 - 환기량 적정화: 재실 인원 기준 외기 도입량을 1인당 29CMH 이상으로 설정하고, CO2 센서 연동 자동 환기 제어를 적용하여 실내공기질 관리법 기준을 충족하였음.</t>
  </si>
  <si>
    <t>1. 변전 장비 설계 사양서 상의 하중 조건별 손실 발열량(kW) 합산액 검토
2. 실내 공기 온도 상승 한계(3~5℃ 이내) 유지를 위한 송풍기 환기 횟수 및 소요 정압 계산 대조
3. 하절기 외기 온도 35℃ 유입 시의 변전실 내 기류 순환 상태 특성 시뮬레이션 결과서 확인</t>
  </si>
  <si>
    <t>1. 변전소 환기 용량 확보
 - 발열 제거 설계: 변압기·정류기 총 발열량을 기반으로 급배기 풍량을 산정하고, 예비팬(N+1)을 설치하여 하절기 실내 온도 40℃ 이하를 유지하였음.</t>
  </si>
  <si>
    <t>1. 화장실 층별 배기팬 소요 풍량 계산서와 화장실 차압 설계(복도 대비 음압 유지) 기준 대조
2. 배기 입상 덕트 내부의 기밀 댐퍼 스펙 및 악취 차단 냄새 방지 트랩 규격 검토
3. 기동 팬 정지 시 자동으로 차단되는 모터 구동형 댐퍼 제어 도면 대조</t>
  </si>
  <si>
    <t>1. 화장실 환기 최적화
 - 악취 확산 방지: 화장실 배기팬에 역류 방지 댐퍼를 설치하고, 복도 대비 화장실을 부압으로 유지하여 악취 역류를 차단하였음.</t>
  </si>
  <si>
    <t>1. 전기실 내 장비 발열 부하량과 동절기 난방에 필요한 소요 열량(Mcal) 매칭 밸런스 검토
2. 폐열 회수용 히트펌프 또는 열교환 코일(Heat Recovery Coil) 도입 시의 경제성 비용 검토
3. 회수 배관 추가에 따른 기계실 내 배관 간섭 여부 및 펌프 동력 소비량 산출서 대조</t>
  </si>
  <si>
    <t>1. 폐열 재활용 검토 반영
 - 에너지 절약 설계: 전기실 폐열을 히트 리커버리 유닛으로 회수하여 인접 사무실·복도 난방에 활용하는 방안을 설계에 반영하고, 투자 회수 기간을 분석하였음.</t>
  </si>
  <si>
    <t>1. 기기 제조사별 검침 계량기의 통신 포트 사양 및 출력 펄스 데이터 구조 교차 대조
2. 다중 프로토콜 데이터를 하나의 포맷으로 통합하는 중앙 검침 수집 장치(FEP) 장비 스펙 검토
3. 무선 검침 전환 시 지하 등 무선 음영 지역 내 중계기 설치 안 평면도 확인</t>
  </si>
  <si>
    <t>1. 통합 검침 시스템 설계
 - 유지관리 향상: 수도·가스·전기 계량기에 공통 통신 규격(RS-485 또는 LoRa)을 적용하고, 통합 검침 서버를 구축하여 원격 모니터링 및 유지관리 효율을 확보하였음.</t>
  </si>
  <si>
    <t>1. 기지 내부 소방차 진입로 폭원 및 연결송수구(쌍구형 등)까지의 호스 연장 거리 도면 계측
2. 화재안전기술기준(NFTC 102/103) 상의 송수구 설치 높이(지면으로부터 0.5m 이상 1.0m 이하) 기준 대조
3. 관할 소방서 소방설비 설계 사전 동의 의견서 상의 최적 송수구 위치 정합성 검토</t>
  </si>
  <si>
    <t>1. 연결송수구 위치 최적화
 - 소방 접근성 확보: 연결송수구를 소방차 접근이 용이한 건물 전면 도로변에 설치하고, 설치 높이·개수를 NFTC 기준에 맞게 설계하였음.</t>
  </si>
  <si>
    <t>1. 설계 착수 및 도서 납품 시점 기준 최신 공포된 소방청 화재안전성능기준(NFPC) 및 기술기준(NFTC) 개정 내용 목록화
2. 소방시설 설계 보고서 및 시방서 상의 설계 기준 풍량, 방출 압력 수치와 개정 소방법의 일치 여부 대조
3. 소방 시설 설계 적격성 평가 회의록 조치 사항 반영 여부 최종 확인</t>
  </si>
  <si>
    <t>1. 최신 소방 법규 개정사항 반영
 - 인허가 리스크 제거: 최신 화재안전기술기준(NFTC 101~606) 및 개정 소방법을 전수 조사하여 소방 기본설계에 반영하고, 소방 감리원 및 관할 소방서 자문을 통해 인허가 안전성을 확보하였음.</t>
  </si>
  <si>
    <t>1. 매립형 소화전함 외장 상세 구조 도면 상의 배관 인입부 여유 간격 실측
2. 소방시설의 내진설계 기준 고시 상 배관 관통부 신축 이음 및 흔들림 방지 연결구 적용성 검토
3. 지진 거동 해석 시 벽체 변형에 따른 소화전함 외함 균열 방지 보강 철물 상세 대조</t>
  </si>
  <si>
    <t>1. 소방 소화전 매립 내진 설계
 - 내진 성능 확보: 소방 소화전 매립부 벽체 보강 상세도와 변위 흡수 커플링(신축이음) 설계를 적용하여, 소방시설 내진설계 기준에 따른 내진 안전성을 확보하고 벽체 균열을 방지하였음.</t>
  </si>
  <si>
    <t>1. 기계 장비 배치 도면 상 펌프 모터의 설계 가동 진동수와 기계실 벽체 차음 구조 사양 검토
2. 부스터 펌프 기초부의 방진 패드 및 토출 관로 상의 후렉시블 조인트(이중 가요성 이음) 규격 대조
3. 배관 수격 작용 방지를 위한 워터해머 흡수기(Water Hammer Cushion) 위치 및 용량 설계 확인</t>
  </si>
  <si>
    <t>1. 기계실 소음진동 방지 설계
 - 정숙성 확보: 급수 펌프 및 관련 배관에 고효율 방진 스프링 패드와 이중 플렉시블 조인트를 설계하고, 기계실 내 차음재 설치 계획을 수립하여 소음·진동 확산을 원천 차단하였음.</t>
  </si>
  <si>
    <t>1. 승강기 안전 관리법 상 승강기 최대 운행 속도에 따른 오버헤드 높이 및 피트 유효 깊이 기준 확인
2. 기계 및 건축 단면 도면 상의 슬래브 마감 두께를 포함한 승강로 수직 내부 실측 치수 대조
3. 피트 하부 배수 구배 설정용 무근 타설 두께를 제외한 구조 기초 두께 검토</t>
  </si>
  <si>
    <t>1. 무기계실 엘리베이터 규격 적정성
 - 안전기준 충족: 승강기 안전관리법 기준을 준수하여 24인승 및 17인승 MRL 엘리베이터의 승강로 최상부 오버헤드 높이와 피트 깊이를 여유 있게 확보하고 건축 단면과 일치시켰음.</t>
  </si>
  <si>
    <t>1. 12톤 화물 하중에 따른 수직 정적 하중 및 충격 계수(1.5 이상 적용)를 반영한 기초 지지력 검토
2. 승강로 피트 하부 독립 구조 파일 기초 배치 및 콘크리트 슬래브 전단 보강근 상세 도면 대조
3. 피트 내부 유입수 배출용 가설 집수정 크기 및 배수 펌프 토출량 적정성 분석</t>
  </si>
  <si>
    <t>1. 대형 화물용 엘리베이터 피트 보강
 - 구조적 안전성 확보: 12톤 화물 하중에 따른 충격력과 고정 하중을 반영하여 피트 기초 슬래브 두께를 보강하고 파일 기초 설계를 연계하여 장비 구동 시의 구조적 변형을 방지하였음.</t>
  </si>
  <si>
    <t>1. 현장 DDC 컨트롤러 사양서 상의 단독 제어(Stand-alone) 기능 탑재 및 메모리 데이터 보존 시간 확인
2. 중앙 루프 망 배관 내 통신 선로 이중화 배선 설계 및 차폐 케이블(STP) 규격 대조
3. 통신 두절 발생 시의 로컬 사전 설정 운전 모드(Fail-safe) 자동 기동 로직 확인</t>
  </si>
  <si>
    <t>1. 자동제어 로컬 제어 보완
 - 통신 이중화 설계: DDC 컨트롤러를 CPU가 내장된 단독 제어형으로 선정하여 중앙 감시반 고장 시에도 단독 제어가 가능토록 하고, 주요 통신망을 링형(Ring) 또는 이중화 회로로 설계하였음.</t>
  </si>
  <si>
    <t>1. 화재 수신반과 기계 설비 자동제어반(MCC) 간의 제어 케이블 결선 도면 및 하드웨어 릴레이 접점 규격 검토
2. 감지기 작동 즉시 공조 송풍기 전원 자동 차단 및 급기 덕트 밀폐 댐퍼(FD/MD) 기동 회로 대조
3. 제연설비 급배기휀 강제 기동 타임 시퀀스 설계서 검증</t>
  </si>
  <si>
    <t>1. 화재 연동 공조 정지 설계
 - 피난 안전성 확보: 화재 수신반 신호와 직접 하드와이어 연동되는 공조 정지 및 댐퍼 차단 회로를 설계하고, 화재 구역 외 공조 연동 및 제연팬 작동 시나리오를 설계에 반영하였음.</t>
  </si>
  <si>
    <t>1. 변전실 벽체 관통 덕트 주위의 방화 충전재(Fire Stop) 도면 상세 및 피스톤 릴리즈 댐퍼 자동 차단 동작 확인
2. 소화 가스 방출 시의 과압 방지용 플랩 댐퍼 면적 계산서 및 과압배출구 작동 기준 대조
3. 가스계 소화 약제 설계 밀도 방출 후 농도 테스트(Enclosure Integrity Test) 절차서 검토</t>
  </si>
  <si>
    <t>1. 소화구역 밀폐 및 방출 설계
 - 소화 신뢰성 확보: 가스계 소화구역의 모든 관통부에 방화 밀폐재를 명시하고, 압력 누설 방지를 위한 과압배출구 설계 및 약제 농도가 10분 이상 유지되도록 설계 기준을 충족하였음.</t>
  </si>
  <si>
    <t>1. 건설공사의 화재안전성능기준(NFPC 606) 상의 지하 굴착 구역 내 소화 장치 유효 설치 반경 대조
2. 가설 배관을 이용한 간이 소화전 펌프의 토출량(130L/min 이상) 및 소요 수압(0.1MPa 이상) 검토
3. 휴대용 소화기 및 비상경보장치 가설 평면 배치 도면 확인</t>
  </si>
  <si>
    <t>1. 임시소방시설 가설 계획
 - 시공 화재 안전성: 지하 600m2 이상의 가설 현장에 NFTC 606 기준을 준수하는 간이소화장치 및 비상경보장치 설치 도서를 기계 가설 계획서에 포함하여 현장 안전관리를 강화하였음.</t>
  </si>
  <si>
    <t>1. 소방청 내진 고시 기준에 따른 소방 입상 배관 종방향(최대 24m) 및 횡방향(최대 12m) 버팀대 설치 간격 대조
2. 콘크리트 슬래브 정착용 고장력 앵커 볼트의 전단 및 인발 내력 구조 계산서 검증
3. 건물 신축 이음부 관통 구간의 소방 전용 루프 조인트(Flexible Loop Joint) 3축 변위량 도면 확인</t>
  </si>
  <si>
    <t>1. 소방배관 흔들림 버팀대 설계
 - 배관 파손 방지: NFPA 및 소방청 내진설계 기준에 따라 관경별 흔들림 방지 버팀대 수량 및 하중 계산서를 첨부하고, 신축이음 통과 구간에 플렉시블 루프 조인트를 적용하여 배관 파손을 방지하였음.</t>
  </si>
  <si>
    <t>1. 소방 대상물 연면적 기준에 따른 법적 소화 용수 유효 저수량 및 주 펌프 양정 수두 계산서 검토
2. 비상 발전기 부하 계산서 상 소방 펌프 가동 전력(kW) 및 기동 전류 반영 여부 분석
3. 정전 신호 시 비상 전원 ATS 자동 기동 타임 릴레이 시퀀스 결선 확인</t>
  </si>
  <si>
    <t>1. 소화용 가압송수 및 비상전원 설계
 - 소화 안정성 확보: 상수도 소화용수설비 가압송수장치에 비상전원 공급 회로를 설계하고, ATS 자동 연동을 통해 화재 시 정전 상태에서도 펌프가 20분 이상 기동되도록 조치하였음.</t>
  </si>
  <si>
    <t>1. 폐수처리장 화학 물질 반응에 따른 유해 가스 예상 농도 계산서 및 필요 강제 환기 횟수 대조
2. 폭발성 가스 체류에 대비한 방폭형 배기 송풍기 모터 스펙 및 부식 방지용 FRP 덕트 자재 사양 확인
3. 황화수소 감지 농도 센서와 배기 휀 최대 풍량 가동 제어반 결선 도면 검토</t>
  </si>
  <si>
    <t>1. 폐수처리장 방폭 환기 설계
 - 안전 사고 예방: 폐수처리장 내 방폭형 강제 배기팬을 적용하고, 가스 감지기 연동 제어를 통해 가스 발생 시 즉각 환기가 이루어지도록 설계에 반영하였음.</t>
  </si>
  <si>
    <t>1. 실외기실 내부 실외기 이격 거리 및 기류 분석(열유체역학 CFD 시뮬레이션 등) 검증
2. 외부 토출창 루버 그릴의 유효 개구율(60% 이상 확보) 및 배풍용 토출 유도 챔버(자바라 덕트) 규격 대조
3. 과열 우려 구간의 외기 온도 센서 배치 및 강제 배기 환기팬 인터록 운전 도면 확인</t>
  </si>
  <si>
    <t>1. 실외기 쇼트 서킷 방지
 - 에너지 효율 향상: CFD 기류 해석을 통해 실외기실 배기 루버 크기를 확보하고 실외기 가이드를 적용하여 배출 열기의 재유입을 완벽히 차단하고 운전 효율을 극대화하였음.</t>
  </si>
  <si>
    <t>1. 지진 파동 감쇄를 위해 저수조 내부 격칸용 구멍 뚫린 방파판(Baffle Plate) 보강 면적 및 배치 간격 검토
2. 탱크 기초 콘크리트 패드 패널 앵커 볼트의 전단 내력 구조 계산서 및 내진 인증품 적합성 대조
3. 저수조 인입/토출관 접합부에 전달되는 지진 거동 흡수용 가요성 볼 조인트(Flexible Ball Joint) 유효 변위 변형량 확인</t>
  </si>
  <si>
    <t>1. 저수조 내진 방파판 설계
 - 재해 대응력 강화: 저수조 내부에 슬로싱 현상을 감쇠시키는 고강도 방파판을 설계하고, 기초 앵커 및 유연 배관 상세를 내진 기준에 맞게 보강하여 지진 안전성을 확보하였음.</t>
  </si>
  <si>
    <t>1. 승강로 최상부 기류 배출용 자연 루버창 면적 및 온도 스위치 연동 강제 배기 팬(CMH) 용량 계산 검토
2. 엘리베이터 카 지붕 상부의 승강기 전용 냉방 장치(EHP 등) 설치 여부 및 응축수 물 배출 배관 상세 대조
3. 제어실 감시 시스템에 승강로 온도 경보 센서 회로 구성 여부 확인</t>
  </si>
  <si>
    <t>1. 엘리베이터 승강로 환기 개선
 - 쾌적한 환경 조성: 승강로 최상부에 강제 배기팬을 배치하고 엘리베이터 카 상부에 기내 에어컨 유닛을 설계하여 하절기 카 내 온도가 30℃ 이하를 유지하도록 하였음.</t>
  </si>
  <si>
    <t>1. 스프링클러설비의 화재안전기술기준(NFTC 103) 상 장애물 하방 및 측방 설치 이격 거리(장애물 폭의 3배 이상 이격 등) 기준 검토
2. 전 정거장 2층 및 기지 사무실 반자 평면도(RCP) 상 디퓨저 및 스프링클러 헤드 간 상세 이격거리 교차 대조
3. 장애물 배면에 의한 소화 장애 우려 구역에 하향식 살수용 헤드 증설(살수 장애물 하단 배치) 설계 도면 검증</t>
  </si>
  <si>
    <t>1. 스프링클러 살수 사각 차단
 - 화재 초기 대응: 천장 마감 도면(RCP)을 정밀 검토하여 등기구, 보, 에어컨 등 장애물로부터 소방 기준 이상의 이격을 확보하고 사각지대에는 스프링클러 헤드를 추가 배치하였음.</t>
  </si>
  <si>
    <t>1. 옥상 평면도 상 GHP 실외기 배기 탑과 외기 조절 도입 댐퍼(OA) 간의 수평 이격 거리(최소 5m 이상) 대조
2. 기지 주변 연간 계절풍 주풍향 데이터 기반 배기가스 유동 확산 해석 검토
3. 실외기 토출 배기관 상부에 배기 방향을 우회시키는 각도 조절용 엘보(Elbow) 챔버 장착 상세 확인</t>
  </si>
  <si>
    <t>1. GHP 배출가스 유입 방지
 - 친환경 공기질 확보: GHP 실외기와 환기 도입구 간의 거리를 최소 5m 이상 확보하고 풍향을 고려한 토출 풍향 가이드를 설계하여 배출가스의 실내 유입을 방지하였음.</t>
  </si>
  <si>
    <t>1. 덕트 계통도 상의 각 분기점별 수동식 풍량 조절 댐퍼(VD) 및 미세 조절 댐퍼 배치 정합성 대조
2. 메인 송풍구와 흡음 챔버 통과 후의 소음 설계 기준값(NC 지수 기준 만족 여부) 검토
3. 천장 마감 시 댐퍼 수동 기어 및 구동기 점검용 점검구(Access Door) 개설 위치 도면 대조</t>
  </si>
  <si>
    <t>1. 덕트 계통 풍량 밸런싱
 - 쾌적한 실내 환경: 분기 덕트마다 정밀 볼륨 댐퍼(VD)를 배치하고 TAB 작업이 용이하도록 점검구를 계획하여 실별 풍량 편차를 10% 이내로 제어하고 정숙성을 확보하였음.</t>
  </si>
  <si>
    <t>1. 주방 피크 시간대 일일 최대 오수 배출량 및 유분(Oil &amp; Grease) 유입 농도 분석서 대조
2. 그리스트랩 유입구 유량 조절 밸브 및 찌꺼기 여과 바스켓 그물망 규격 검토
3. 상시 청소 및 유지관리가 용이한 바닥 매립형(또는 지상 개방형) 설치 단면 도면 검증</t>
  </si>
  <si>
    <t>1. 그리스트랩 유분 분리 설계
 - 배수관 폐색 예방: 고효율 유분 차단 격판을 채택한 대용량 그리스트랩을 설계하고, 유지관리가 용이한 구조를 반영하여 식당 오수의 유분 고형화로 인한 배관 막힘을 방지하였음.</t>
  </si>
  <si>
    <t>1. 권상기 구동 모터 및 전력 제어반의 기동 시 허용 발열량(kW) 설계 사양서 확인
2. 승강로 최상부 환기 루버 개구율 및 강제 직배기 송풍기 풍량(CMH) 계산서 대조
3. 하절기 주변 온도 40℃ 이하 유지를 위한 국소 외기 냉각 패키지 설비 도입 계획 검토</t>
  </si>
  <si>
    <t>1. 권상기 발열 제거 설계
 - 승강기 운행 신뢰성 확보: 무기계실형(MRL) 엘리베이터 권상기 주변에 열감지 자동 배기 시스템을 설계하여 하절기 오버히트 및 오작동 리스크를 차단하였음.</t>
  </si>
  <si>
    <t>1. 정비 작업용 고압 세척기 토출 유량 대비 배수 트렌치 단면적의 배수 소요 용량 계산서 검토
2. 바닥 배수 구배(최소 1/100 이상 물매) 적용 상태 및 방성 논슬립 그레이팅 덮개 규격 대조
3. 오일 유입 차단 및 환경 정화를 위한 1차 유수 분리 집수정 유효 용량 검증</t>
  </si>
  <si>
    <t>1. 검수고 배수 및 미끄럼 방지
 - 안전한 작업환경: 검수고 바닥에 1/100의 배수 구배와 유분 흡착 그레이팅을 설계하고, 대용량 트렌치를 배치하여 미끄러짐 전도 사고를 예방하였음.</t>
  </si>
  <si>
    <t>1. 위생 배관 계통도 상의 기구 배수 단위별 통기 배관 관경 및 루프 통기 우회 접합 상세 대조
2. 통기 수직 입상관의 옥상 인출 벤트캡(Vent Cap) 마감 위치와 주변 외기 흡입구 간 이격 거리 확인
3. 다수 기구 동시 배수 시의 배수관 내 공기압 압력 배출 변동 계산서 검토</t>
  </si>
  <si>
    <t>1. 통기 배관 및 봉수 보호 설계
 - 악취 차단: 배수관 내 기압 균형을 위한 신정 및 루프 통기방식을 설계에 명확히 적용하여 트랩의 봉수를 영구히 보호하고 악취 역류를 방지하였음.</t>
  </si>
  <si>
    <t>1. 기계 장비 승인 도서 상의 에너지 절약 설계 기준 및 고효율 에너지 기자재 인증 유효 여부 확인
2. 녹색건축인증(G-SEED) 및 건축물 에너지효율등급 예비인증 평가서 상의 기계 공종 점수 산정표 대조
3. 급수/배수 순환 펌프의 모터 인버터 가동 제어 제어반 도면 확인</t>
  </si>
  <si>
    <t>1. 기계설비 고효율 기자재 선정
 - 인허가 적합성 확보: 설계 반영된 모든 열원 및 반송 설비를 고효율 기자재 인증 제품으로 명시하고 녹색건축 인증기준 평점을 초과 확보하여 인허가 리스크를 예방하였음.</t>
  </si>
  <si>
    <t>1. 지진하중 기준(KDS 41 17 00)을 적용한 옥외 패드 기초 자중 및 고정 앵커볼트 인장력 구조 계산 검토
2. 장비 베이스 철판 고정용 세트 앵커 규격(최소 M12 이상 등) 및 콘크리트 내 유효 매립 깊이 대조
3. 배관 연결부의 과도 변위 전달을 흡수하는 방진 스너버(Seismic Snubber) 및 가요성 이음 적용 상세 확인</t>
  </si>
  <si>
    <t>1. 옥외 장비 내진 정착 설계
 - 설비 안전성 확보: 옥외 GHP 실외기 및 가압 펌프용 기초 패드에 구조 계산을 통과한 고인장 내진 앵커볼트 상세를 설계에 명시하여 지진 시 전도 및 파손을 예방하였음.</t>
  </si>
  <si>
    <t>1. 송풍기 기외 정압 운전점에서의 정격 소음 발생값(dB) 및 메인 덕트의 기류 속도 검토
2. 주요 분기 덕트 통과 구간의 소음기(Silencer) 감쇄량 및 덕트 내 방음 보드 마감 스펙 대조
3. 실별 설계 소음 기준(회의실 NC-30 이하, 사무실 NC-35 이하 등) 만족 여부 시뮬레이션 결과서 확인</t>
  </si>
  <si>
    <t>1. 덕트 소음 차단 설계
 - 쾌적한 사무 환경: 송풍기 후단 및 주요 실 분기 덕트에 소음 챔버와 덕트 소음기(Silencer)를 배치하여, 실내 소음 기준인 NC-35 이하를 유지하도록 설계하였음.</t>
  </si>
  <si>
    <t>1. 저수조 내부 유동 시뮬레이션(CFD) 결과서 상의 기류/수류 사수 정체 영역 범위 확인
2. 저수조 평면도 상 내부 콘크리트 또는 PE 도류판(격벽) 설치 상세 도면 대조
3. 상수도 공급 유입관과 급수 펌프 흡입관의 대각선 방향 교차 배치 확인</t>
  </si>
  <si>
    <t>1. 저수조 사수 방지 개선
 - 수질 위생 향상: 저수조 유입구와 유출구를 대각선 극단에 배치하고 내부 격벽을 설치하여 물 흐름을 유도함으로써 사수 영역 없는 청정 급수 환경을 구축하였음.</t>
  </si>
  <si>
    <t>1. 승강기 제작 사양서 상 도어 안전 센서의 감지 스펙(광선 다중빔 150채널 이상 등) 대조
2. 기계식 세이프티 엣지 오작동 시의 전자식 센서 이중 차단 연동 로직 확인
3. 바닥판 상부 50mm 미만 저높이 장애물에 대한 하단부 감지 센서 사각지대 분석 검토</t>
  </si>
  <si>
    <t>1. 엘리베이터 도어 안전 센서 강화
 - 끼임 사고 방지: 모든 승객용 엘리베이터에 접촉식 안전 에지와 무접촉식 3D 다중 광선 감지 센서를 이중 적용하여 신체 및 화물 끼임 사고를 원천적으로 차단하였음.</t>
  </si>
  <si>
    <t>1. 기계 설비 자동제어반 내 무정전 전원 공급 장치(UPS)의 정격 백업 용량(최소 30분 이상 가동) 검토
2. 비상 정전 신호 입력 시의 공조 댐퍼 자동 긴급 닫힘 및 밸브 차단 시퀀스 로직 대조
3. 감시 모니터링반 내 UPS 동작 상태 감시 카드 결선 도면 확인</t>
  </si>
  <si>
    <t>1. 기계제어용 UPS 백업 설계
 - 제어 연속성 확보: 중앙감시반 및 주요 DDC에 독립된 UPS 전원을 설계하여, 한전 정전 시에도 제어 모니터링과 긴급 밸브 차단 기능이 정상 작동하도록 구성하였음.</t>
  </si>
  <si>
    <t>1. 소방 펌프 성능 곡선 상의 체절 운전 압력(정격 압력의 140% 미만 등)과 릴리프 밸브 관경 계산서 대조
2. 펌프 체절 운전 시험 시 릴리프 밸브 개방 설정 압력 수치 설계도서 확인
3. 릴리프 밸브 바이패스 오수 방출관의 기계실 트렌치 배출 수량 적정성 검토</t>
  </si>
  <si>
    <t>1. 소방 펌프 릴리프 밸브 최적화
 - 소방 배관 보호: 소방 펌프 체절 운전 시 펌프실 배관 파손을 방지하기 위해 정격 토출압의 140% 이하에서 확실히 개방되는 릴리프 밸브와 바이패스 배관을 기본 설계에 반영하였음.</t>
  </si>
  <si>
    <t>1. 기지 종합관리동 내 엘리베이터 설치 대안(24인승, 17인승 MRL)의 주요 출입구 보행 거리 대조
2. 주 승강기 보수 및 오작동 대기 시의 비상 보조 계단 핸드레일 설치 상세 확인
3. 계단 디딤판 단부의 논슬립 미끄럼 방지 패드 스펙 및 안전 난간대 설치 도면 검토</t>
  </si>
  <si>
    <t>1. 교통약자 수직동선 확보
 - 부상 예방 및 안전성: 에스컬레이터 미설치 구역에 24인승 및 17인승 대용량 엘리베이터 3대를 분산 배치하여 계단 이용이 어려운 약자 동선의 연속성을 보장하였음.</t>
  </si>
  <si>
    <t>1. 연간 도장 작업 사용 페인트 성분 분석 대비 예상 오염 물질 토출 부하량 계산서 검토
2. 활성탄 흡착탑 내 충진 활성탄의 요오드 흡착력 스펙 및 통과 가스 유속(0.5m/s 이하 등) 설계 기준 대조
3. 대기환경보전법 상의 대기오염 배출시설 허가 신청을 위한 법적 방지 시설 성능 보고서 확인</t>
  </si>
  <si>
    <t>1. 도장작업장 배기가스 정화
 - 법규 충족 및 환경 보호: 국소배기 시스템 후단에 환경 기준을 여유 있게 만족하는 활성탄 흡착탑을 설계하고 환경 인허가 신고 절차를 사전 검토 완료하였음.</t>
  </si>
  <si>
    <t>1. 천장 매립 장비 작동 운전 중량 및 지진 가속도계수(KDS 41 17 00) 기반 소요 내진 횡하중 산정
2. 행거 볼트용 내진 흔들림 방지 와이어(또는 버팀대 기성품) 규격 및 슬래브 고정 앵커 상세 대조
3. 장비 연결 덕트 및 배관의 진동 변위 차단용 후렉시블 커넥터 설치 유무 확인</t>
  </si>
  <si>
    <t>1. 천장 매립 장비 내진 설계
 - 낙하 사고 예방: 소방청 및 건축물 내진설계 기준에 맞춰 천장 매립 환기 장비에 사방 흔들림 방지 와이어 및 방진 스프링을 적용하여 낙하 안전성을 대폭 강화하였음.</t>
  </si>
  <si>
    <t>1. 스프링클러설비의 화재안전기술기준(NFTC 103) 상의 교차배관 말단 청소구(직경 40mm 이상) 설치 규정 대조
2. 청소구 마감용 나사 플러그 캡 및 유지관리용 차단 밸브 규격 상세 도면 검토
3. 배관 세척 시 물 퇴수가 원활하도록 배관 인근 기계실 트렌치 또는 배수구 배치 연계 확인</t>
  </si>
  <si>
    <t>1. 스프링클러 배관 청소구 반영
 - 배관 세척 용이성 확보: 화재안전기준에 의거하여 스프링클러 교차배관 말단마다 40mm 이상의 청소용 개구부(플러시 커넥션)를 설치하고 나사 플러그 마감을 명시하였음.</t>
  </si>
  <si>
    <t>1. 장비 사양서에 명시된 GHP 실외기-실내기 간의 허용 배관 상당 길이 및 수직 고저차 한계 대조
2. 냉매 배관 평단면 상세 경로 상의 실제 고저차 계산서 및 배관 관경 압력 강하 손실 검토
3. 냉매관 수직 입상 배관 상의 윤활유 회수용 오일 트랩(Oil Trap) 상세 도면 확인</t>
  </si>
  <si>
    <t>1. GHP 냉매 배관 길이 최적화
 - 장비 내구성 향상: GHP 제조사 스펙 기준 냉매 배관 등가 길이를 한계치 이내로 배치하고, 입상 배관 구역에 오일 리턴 트랩 상세를 설계하여 장비 수명을 연장하였음.</t>
  </si>
  <si>
    <t>1. 외기 도입 루버 후단 방충망의 그물코 눈 크기(최소 16메쉬 이상 스펙 등) 규격 대조
2. 외부 분진 차단을 위한 기계 내부 프리 필터 및 미디움 필터 집진 성능 등급 확인
3. 필터 오염 시의 교체 알람 송출을 위한 공조 챔버 전후단 차압계(DP Gauge) 설치 도면 대조</t>
  </si>
  <si>
    <t>1. 외기 도입부 해충 유입 차단
 - 실내 위생 청정화: 외기 도입 루버 안쪽에 1.5mm 이하의 미세 스텐 방충망과 분리가 용이한 프리필터를 설계하여 해충 침입을 차단하고 쾌적한 실내 환경을 유지함.</t>
  </si>
  <si>
    <t>1. 소방시설법 상의 상업용 주방자동소화장치 의무 대상 여부 및 방호 체적 확인
2. 후드 내부 열감지기 온도 설정값(도작동 방지용) 및 소화 노즐 배치 평면도 대조
3. 화재 센서 동작 시 주방 가스 인입 배관의 긴급 차단용 전자 차단 밸브(SV) 연동 로직 검토</t>
  </si>
  <si>
    <t>1. 주방자동소화장치 설계 적용
 - 주방 화재 확산 방지: 주방 후드 내부에 화재안전기준을 만족하는 상업용 주방자동소화장치를 설계하고 가스 공급 라인 긴급 차단용 밸브(SV) 연동 시스템을 반영하였음.</t>
  </si>
  <si>
    <t>1. 노출 배수관(루프 드레인 입상관 등) 상세 단면 상의 보온재(아티론 등) 단열 두께 스펙 검토
2. 겨울철 물 고임 방지를 위한 옥외 가로 횡주관 배수 구배(최소 1/50 이상) 도면 확인
3. 혹한기 동파 취약 배출 밸브 주변 전기 히팅 케이블 배치 도면 대조</t>
  </si>
  <si>
    <t>1. 노출 배수관 동결 예방
 - 오배수 역류 방지: 옥외 노출 배수 배관에 1/50 이상의 자연 배수 구배를 확보하고, 두께 50T 이상의 고단열 보온재를 설계하여 겨울철 배관 결빙 리스크를 차단하였음.</t>
  </si>
  <si>
    <t>특화정거장 지상 2층에 배치되는 소방 및 생활용수 겸용 저수조(용량 80톤 이상) 및 가압 펌프 유닛 하중에 대한 지지 기둥/슬래브 구조 계산서와 구조 배근 설계 도면 교차 검토</t>
  </si>
  <si>
    <t>물탱크 하부 슬래브 두께를 300mm에서 400mm로 상향하고 D25 고장력 철근 복철근 배근으로 보강하며, 주 구조부 기둥 규격을 원안(600x600)에서 대안(800x800)으로 격상해 구조 안전성 및 처짐 헷지</t>
  </si>
  <si>
    <t>건축_설계추진방향_3차보고_rev01_260608.pdf (Page 10, 11)</t>
  </si>
  <si>
    <t>지상형 변전실 및 제어 기기실 시스템 냉난방용 실외기(멀티 타입, 총 4대) 배치 공간의 열교환 시뮬레이션 및 배기 그릴(Louver)의 개구율(유효 면적 70% 이상) 검토</t>
  </si>
  <si>
    <t>변전소 외벽에 실외기 직사 배기를 유도하는 가이드 챔버를 부착하고, 옥상 슬래브 면에 방진 기단 패드(두께 150mm)와 비가림용 디자인 캐노피(스틸 프레임+강화유리)를 설계 보완 반영</t>
  </si>
  <si>
    <t>지하 변전실 가스소화설비(가스계 소화설비)의 소화약제 저장 용기(봄베실) 위치와 방호 구역 간의 배관 마찰 압력 손실 및 약제 방출 시간 계산서(NFPA 기준 10초 이내 방출 완료) 검토</t>
  </si>
  <si>
    <t>봄베실을 변전실 방호구역 인접 배치로 변경하여 엘보(Elbow) 굴곡부 수량을 최소화하고, 배관 직경을 50A에서 65A로 격상 적용하여 약제 방출 말단 압력 손실을 보완 설계 반영</t>
  </si>
  <si>
    <t>변전실 집수정에 대한 지하수 용출량 및 유입 우수량 계산서와 집수정 유효 용량(3.0㎥ 이상), 배수 펌프 양정 계산서 정합성 확인</t>
  </si>
  <si>
    <t>배수 집수정 규격을 2.0x2.0x1.5m로 상향 조정하고, 지하수 다량 유입에 대응하기 위해 5HP급 자동 교대 탈수 펌프(듀플렉스 타입, 2대 교대 구동 및 비상 시 2대 동시 구동 제어) 설계 반영</t>
  </si>
  <si>
    <t>차량기지 검수고 내 트램 하부 세척 폐수 유입 피트의 오수 슬러지 분리 스크린 칩전조 설계 구조 및 침전 슬러지 수거 주배관 관경 검토</t>
  </si>
  <si>
    <t>폐수 피트 유입구에 슬러지 자동 탈수 스크린 필터를 적용하고, 폐수 배수관 규격을 100A에서 150A로 넓혀 슬러지 폐색을 방지하며 집수조 하부에 연속 가동형 모터 교반기 설계 보완</t>
  </si>
  <si>
    <t>검수_설계추진방향보고_검수고 내 배치 레이아웃 및 검수장비 검토_rev.00_260529.pdf (Page 7)</t>
  </si>
  <si>
    <t>지상과 연결되는 수직 깊이 11.5m 정거장 엘리베이터 승강로 내 비상시 탈출 가능한 인터플로어 도어(Inter-floor Door, 비상구) 설치 여부 및 단면 상세 도면 검토</t>
  </si>
  <si>
    <t>승강로 층간 중앙 지점(높이 5.8m 위치)에 비상구(유효너비 0.75m, 높이 1.2m 이상)를 설계 신설하고, 내부 유지보수 및 비상 탈출을 위한 스틸 등받이형 고정 사다리 안전 지지 상세 설계 적용</t>
  </si>
  <si>
    <t>건축_설계추진방향_3차보고_rev01_260608.pdf (Page 10)</t>
  </si>
  <si>
    <t>차량기지 종합관리동 지하 보일러실 내 연소 가스 배출용 이중 연도 관경(D=200mm) 규격 및 접속용 플랜지 부착면 밀폐 상세 설계 대조</t>
  </si>
  <si>
    <t>가스식 온수 보일러 연도 연결부에 이중 기밀 구조 배관 조인트를 적용하고 연도 하부에 일산화탄소(CO) 경보 감지 센서 2개소를 설계하여 가스 차단 밸브(FM밸브)와 연동 루프 설계 반영</t>
  </si>
  <si>
    <t>지하 정거장 공중화장실 배출 오수 횡주관의 설계 경사도 및 점검용 청소구(Clean-Out) 배치 간격, 하부 유지보수용 피트 슬래브 단면 높이 검토</t>
  </si>
  <si>
    <t>배수 횡주관의 경사를 1/50 이상으로 확보할 수 있도록 화장실 하부에 전용 공간 피트(유효 높이 1.5m 이상)를 구획하고, 횡주관 꺾임부마다 청소구(CO) 및 유량 역류 방지 밸브 설계 보완</t>
  </si>
  <si>
    <t>기지 내 공기압축기(컴프레셔, 30HP)로부터 검수고 개별 피트(차륜삭정 및 도장장비 등)까지의 공급 압축공기 배관망 압력 손실 및 마찰계수 대조</t>
  </si>
  <si>
    <t>압축공기 주배관을 50A 루프 배관망으로 설계해 말단부 정압 압력 손실을 보완하고, 검수 피트 직전에 대용량 공기 축적용 에어탱크(Surge Tank, 1.0㎥ 규격) 및 수분 분리 필터 유닛 설계 반영</t>
  </si>
  <si>
    <t>검수_설계추진방향보고_검수고 내 배치 레이아웃 및 검수장비 검토_rev.00_260529.pdf (Page 8)</t>
  </si>
  <si>
    <t>주민 대기실 및 지원 시설 천장 내부 천장형 에어컨(FCU) 드레인 관의 연속 구배 계산서(역구배 방지 검토) 및 마감 단열재 두께 검토</t>
  </si>
  <si>
    <t>드레인 횡주관을 구배 1/100 이상으로 도면에 일관 표기하고, 결로 방지를 위해 드레인 배관 단열 마감재를 고무발포 보온재 13t(일반 아티론 대비 내열 성능 격상) 사양으로 설계 보완</t>
  </si>
  <si>
    <t>건축_설계추진방향_3차보고_rev01_260608.pdf (Page 11)</t>
  </si>
  <si>
    <t>도로 중앙 또는 보도 상면에 인접 설치되는 지하 변전소 외기 유입용 지상 환기탑(Ventilation Shaft) 탑단부 높이 및 수밀성 루버 설계 단면 검토</t>
  </si>
  <si>
    <t>환기탑 기초 기단부 높이를 노면 레벨 대비 최소 450mm 이상 높이고, 빗물 비말 차단을 위해 경사각 45도 수밀식 체크 알루미늄 루버(Louver) 및 하부 빗물 트랩 배수 라인 설계 반영</t>
  </si>
  <si>
    <t>세척 폐수 정화용 화학 처리 가압 부상 장치의 응집제 자동 공급 펌프 성능 및 방류수 PH계, 탁도계 자동 측정 센서 설치 정합성 대조</t>
  </si>
  <si>
    <t>폐수 처리 시설 출구 배관 상에 방류 수질 원격 측정 장비(TMS)를 설치하고, 수질 기준 초과 감지 시 방류 관로를 즉시 회수조로 우회시키는 자동 3방향 밸브(3-Way Solenoid Valve) 회로 설계 반영</t>
  </si>
  <si>
    <t>306 옥외 노출형 정거장 E/V의 동절기 기온 급감 시(영하 15도 이하) 유압 펌프 작동 압력 유지 및 기계실 단열 환기 댐퍼 작동 조건 확인</t>
  </si>
  <si>
    <t>옥외 E/V 기계실 내부 습기 차단 및 온도 유지를 위한 항온 항습용 벽걸이형 냉난방기(5kW급)와 온습도 센서 제어식 가동형 그릴 댐퍼를 기계 설비에 추가 설계</t>
  </si>
  <si>
    <t>건축_설계추진방향_3차보고_rev01_260608.pdf (Page 8)</t>
  </si>
  <si>
    <t>차륜전삭기 피트 내 가동 시 발생하는 강재 미세 가루 및 타이어 마찰 분진 집진을 위한 국소 배기 풍량(시간당 환기 횟수 20회 기준) 계산 검토</t>
  </si>
  <si>
    <t>차륜전삭기 PIT 저면에 분진 흡입용 국소 배기 후드(Hood)를 설치하고, 30HP급 백필터(Bag Filter) 집 집진 장치 및 분진 누적 경보 댐퍼 상세도를 기계 도면에 추가 반영</t>
  </si>
  <si>
    <t>검수_설계추진방향보고_검수고 내 배치 레이아웃 및 검수장비 검토_rev.00_260529.pdf (Page 5, 9)</t>
  </si>
  <si>
    <t>대차 세척기 기계실 내 급탕 온수 헤더관 및 보일러 밸브 제어 계통도(P&amp;ID) 상의 비상 과압 방출 차단 시스템 정합성 검토</t>
  </si>
  <si>
    <t>공급 배관 직상부에 과압 방지용 안전 릴리프 밸브(Relief Valve)를 설계하고 세척실 출입구에 고온수 순환 차단용 비상 긴급 단전(Emergency Stop) 스위치 기계 연동 설계</t>
  </si>
  <si>
    <t>검수_설계추진방향보고_검수고 내 배치 레이아웃 및 검수장비 검토_rev.00_260529.pdf (Page 9)</t>
  </si>
  <si>
    <t>지상 2층 정거장 대합실과 스카이브릿지 접속부의 대공간 연기 확산 제어용 방화 구획선 및 제연 팬 토출 풍량(시간당 50,000CMH급) 계산서 대조</t>
  </si>
  <si>
    <t>상업 시설 경계부에 화재 감지기 연동형 자동 방화 셔터(2시간 내화 인증)를 신설하고, 승강장 상부에 기류 유입 제어용 가스 작동식 배연창 및 제연 배기 덕트 설계 반영</t>
  </si>
  <si>
    <t>건축_설계추진방향_3차보고_rev01_260608.pdf (Page 13, 16)</t>
  </si>
  <si>
    <t>가스계 소화설비 약제(N2 또는 불활성가스) 순간 방출 압력(최대 150bar) 작용 시 소방 배관 접합부 및 엘보 부재에 가해지는 횡하중 모멘트 구조 계산서 검토</t>
  </si>
  <si>
    <t>가스 방출 압력 충격을 흡수할 수 있도록 소방 배관용 고정 앵커 지지대 간격을 1.5m 이내로 단축 설계하고, 횡방향/종방향 흔들림 방지 버팀대(NFPA 13 및 국내 소방기준 충족)를 도면에 명시</t>
  </si>
  <si>
    <t>외기에 장기 노출되는 지상 스카이브릿지(길이 65m) 내 소화전 공급 관로의 동절기 동파 방지용 메탈 히터 열선 설치 세부 규격 및 누전 제어기 사양서 검토</t>
  </si>
  <si>
    <t>소화 주배관에 고온 유지용 메탈 히터 열선(Self-Regulating Type, 30W/m) 설치 및 고무발포 보온재 단열재 두께(50mm 이상)와 알루미늄 보호 피복 마감 상세 설계 반영</t>
  </si>
  <si>
    <t>건축_설계추진방향_3차보고_rev01_260608.pdf (Page 10, 13)</t>
  </si>
  <si>
    <t>1. 광선로 감시 및 실시간 위치 판별용 RFTS 유닛 장비 스펙 및 물량 확인
2. 종합관제실 내 통합 네트워크 관리 시스템(NMS) 연동 상세 전송 규격 확인
3. 광신호 이중 경로 절체 스위칭 장치의 최대 광감쇠 한계 및 신호 감시 오차 정밀도 대조</t>
  </si>
  <si>
    <t>분야별\10_통신\01 통신망, 영상감시설비, 경영정보설비 설계추진방향 보고(회의록)_통신_Rev01(260529).pdf</t>
  </si>
  <si>
    <t>1. 기지국 공유(RAN Sharing) 설계
 - 이종 망간 연동성 확보: 재난망(PS-LTE) 및 타 노선과의 전파 간섭 해소를 위해 양방향 RAN Sharing 하드웨어 규격 및 데이터 결합 전송 프로토콜을 규정 설계하였음.</t>
  </si>
  <si>
    <t>분야별\10_통신\통신_설계추진방향보고_열차무선설비(LTE-R) 구축 방안_통신_rev.00_260601.pdf</t>
  </si>
  <si>
    <t>분야별\10_통신\통신_설계추진방향보고_영상감시설비 구축 방안_rev.00_260528.pdf</t>
  </si>
  <si>
    <t>1. 통신 전송설비 시스템의 채널별 소요 대역폭 예측서 및 예비율(최소 20% 이상) 산정 근거 대조
2. 48Core 대비 72/96Core 규격 적용 시의 초기 포설 자재비 증분 및 장기 이중 투자 예산 비교표 검토
3. 타 지자체 경량전철 통신 광전송망의 단거리 역사 간 포설 코어 수 설계 사례 비교</t>
  </si>
  <si>
    <t>1. 본선 구조물 단면도 상 상선용 및 하선용 통신 배관 매설 평면 경로 대조
2. 동일 옹벽 내부 통과 시 콘크리트 보호 블록(상선/하선 30cm 이상 물리적 격리 등) 차단벽 상세 확인
3. 단일 교량 통과 시 상선 교량 거더 및 하선 교량 거더 외부 각각에 개별 행거식 포설 도면 확인</t>
  </si>
  <si>
    <t>분야별\10_통신\통신_설계추진방향보고_무중단 통신망 구축 방안_통신_rev.00_260528.pdf</t>
  </si>
  <si>
    <t>1. 개별 IP 카메라의 상태 진단 프로토콜(ICMP Ping 및 SNMP Trap 신호 전송) 수집 사양 확인
2. NMS 데이터와 종합관제실 영상관리소프트웨어(VMS) 간의 고장 지점 팝업 연동 결선 검토
3. 원격 카메라 전원 온/오프 제어를 위한 PoE(Power over Ethernet) 스위치 포트 제어 프로토콜 대조</t>
  </si>
  <si>
    <t>1. CCTV 장애 상시 모니터링 구현
 - 관리 편의성 증대: 모든 IP 카메라의 작동 불능 상태를 실시간 진단하여 관제반에 경보를 띄우는 스마트 NMS 진단 툴 및 원격 PoE 포트 리셋 기능을 반영하였음.</t>
  </si>
  <si>
    <t>1. 도입 예정인 모든 IP 카메라의 개방형 통신 표준 규격(ONVIF Profile S/G/T 인증 등) 적합성 확인
2. 실시간 영상 전송 스트리밍 포트(RTSP) 주소 체계 설정 및 통신 제어 데이터 정합성 대조
3. 제조사별 압축 코덱 활성화 시 NVR 저장 장치와의 전송 대역폭 정합 규격 확인</t>
  </si>
  <si>
    <t>1. 카메라 프로토콜 표준화 적용
 - 호환성 보장: 제조사가 달라도 원활한 상호 제어가 가능하도록 국제 표준 감시 규격인 ONVIF 인증 제품만을 카메라 및 VMS 사양서에 의무 명시하였음.</t>
  </si>
  <si>
    <t>1. 중앙 제어부 이중화(지상 관제실 EPC와 원거리 백업 역사 EPC) 지리적 분산 배치 방식 확인
2. 주 제어장치 장애 감지 시 50ms 이내에 백업 장치로 자동 스위칭되는 전송 루트 대조
3. 망 마비 시 차상 단말기(열차 내 무선) 간 직접 무전 통화(Direct Mode) 기능 작동 사양 검토</t>
  </si>
  <si>
    <t>1. 통신 센터설비 이중화 확보
 - 무중단 서비스: 종합관제실 내 EPC/IMS 중앙장치 이중화를 반영하였으며 재난 시 운행 중단을 막기 위해 차상-차상 간 직접 통화 기능(D2D)을 단말 사양에 반영하였음.</t>
  </si>
  <si>
    <t>1. 도로공사 표준시방서 상의 차도(최소 1.2m 이상) 및 보도(최소 0.6m 이상) 매설 깊이 준수 여부 대조
2. 고중량 차량 압력 완충용 콘크리트 보호판 또는 강관(FEP관 등)의 휨 내력 강도 분석 확인
3. 관로 굴착 단면도 상의 되메우기 다짐 재료 선정 및 도로 포장 상세 설계 검토</t>
  </si>
  <si>
    <t>1. 통신 광케이블 매설 깊이 규격화
 - 외부 훼손 차단: 지상 교차로 및 도로 횡단부의 통신 매설 깊이를 규정에 의거 1.2m 이상 확보하고 고하중용 FEP 이중벽관 및 스틸 전선관을 설계하여 외부 압착을 예방하였음.</t>
  </si>
  <si>
    <t>1. 통신 풀박스 뚜껑 및 관로 인입부 씰링의 방수 밀폐 등급(IP67 이상 등) 및 하부 배출 구멍 설치 도면 확인
2. 박스 내부 광섬유 접속 함체(Closure)의 수밀용 방수 실리콘 패킹 스펙 대조
3. 빙결 시 횡압력 저항을 강화한 통신 광케이블 외피 구조 규격 검토</t>
  </si>
  <si>
    <t>1. 통신기계실 접지 평면 상 매설 접지동봉 수량 및 통합 접지 그리드(Ground Grid) 소요 저항(1.0옴 이하) 검증
2. 통신기계실 메인 랙 접지판(EGB)과 분배 장비 간의 접지 도선 두께 규격 대조
3. 낙뢰 서지 인입 차단용 고성능 서지보호장치(SPD Class I, II 등) 설치 스펙 검토</t>
  </si>
  <si>
    <t>1. 일반 카메라 대비 지능형 영상 분석(이탈 감지, 쓰러짐 인식 등) 시스템 도입 시의 관제원 모니터링 반응 시간 단축 효과 분석
2. 승강장 스크린도어 인근 등 사고 취약 구간에 대한 부분적 AI 지능형 카메라 우선 배치 방안 검토
3. 장래 지능형 서버 증설을 위한 관제실 내 랙(Rack) 가용 슬롯 및 서버 전원 용량 대조</t>
  </si>
  <si>
    <t>1. 일반형 CCTV 감시 보완책 수립
 - 안전 관리 보완: 지능형 CCTV 미적용에 따른 안전 공백을 해소하기 위해 승강장 내 비상전화 연동 카메라 자동 표출 시스템을 설계하고, 장래 지능형 분석 서버 증설을 위한 랙 공간을 미리 확보하였음.</t>
  </si>
  <si>
    <t>1. 종합관제실 콘솔 배치 평면도 상의 신호 제어선 및 통신 LAN 케이블 포설 경로(액세스플로어) 대조
2. 영상 인코더/디코더 간의 전송 프로토콜 호환성을 확인하기 위한 신호-통신 인터페이스 회의록 분석
3. 통합 제어 화면 분할 표출 장치(IP Wall Controller)의 장비 수량 및 랙 레이아웃 설계 도면 확인</t>
  </si>
  <si>
    <t>1. 관제실 인터페이스 협의 완료
 - 공정 리스크 제거: 신호-통신 인터페이스 회의를 정기화하여 종합관제실 장비 배치 및 배선 케이블 트레이 경로를 확정하고 프로토콜 연동 사양을 상세 설계에 명시하였음.</t>
  </si>
  <si>
    <t>1. 차량의 설계 사양서 상 신뢰도(R), 가용도(A), 정비도(M) 목표치 대비 차량 검수 시스템 기능 정합성 검토
2. 타 경전철 사업의 차량 검수 정보 관리 시스템 사양서와의 기능 모듈 구성 비교 분석
3. 고장분석 데이터 확보를 위한 차상 무선 통신 모뎀과 정비 분석 서버 간의 패킷 전송 규격 대조</t>
  </si>
  <si>
    <t>1. MIS와 검수정보 데이터베이스 서버 통합 설계 시의 전산 장비 및 상용 DBMS 라이선스 구입비 절감액 대조
2. 통합 관리용 클라우드 가상화(Hypervisor) 서버 스토리지 디스크 용량 계산서 적정성 확인
3. 정비 자재 재고 수량과 경영 회계 자산 모듈 간의 전산 인터페이스 설계 사양 검토</t>
  </si>
  <si>
    <t>1. MIS 및 검수정보설비 통합
 - 예산 절감: 원가절감과 생산성 향상을 위해 경영정보설비(MIS)와 차량 검수정보설비를 단일 플랫폼으로 통합 설계하고 일원화된 정보 데이터베이스를 구축하였음.</t>
  </si>
  <si>
    <t>1. 전 정거장 CCTV(FHD 화질 등) 동시 접속 전송 트래픽과 LTE-R 음성 대역폭을 합산한 최대 대역폭 분석
2. 10Gbps 백본 광전송 장비의 대용량 트래픽 통과 시 패킷 손실률 및 장래 확장용 예비 슬롯 확보 상태 검토
3. 전송 부하 발생 시 보안/신호 등 중요 우선순위 트래픽을 보장하는 QoS 설정 사양 대조</t>
  </si>
  <si>
    <t>1. 백본 전송망 대역폭 검증
 - 통신 품질 보장: 정거장 트래픽 총합 대비 4.5배 여유가 있는 10Gbps급 IP-MPLS 전송설비를 적용하고 중요도(신호, 열차 무선 등)에 따른 대역폭 우선 할당(QoS)을 구현하였음.</t>
  </si>
  <si>
    <t>1. 병점-동탄선 및 망포-오산선 루프 링별 물리적 스위치 노드 접속 수량(단일 링당 10개 내외 구성 여부) 대조
2. 모의 선로 단선 조건 시의 보호 절체 속도 시험 성적서 성능 분석
3. 노드 장애 시 인접 스위치의 바이패스(Bypass) 우회 전송 경로 제어 펌웨어 버전 검토</t>
  </si>
  <si>
    <t>1. IP-MPLS 링 노드 수 최적화
 - 네트워크 무중단 보장: 링별 전송 노드 수를 최대 10개 이하로 분할 구성하여 장애 발생 시 우회 경로 보호절체 시간을 50ms 이내로 제어하고 데이터 무손실을 보장하였음.</t>
  </si>
  <si>
    <t>1. 기지국 장치 사양서 상 Active/Standby CPU 보드 간의 데이터 동기화 주기 스펙 확인
2. 절체 스위칭 타임(최대 10ms 이내 등) 확인 및 통신 채널 패킷 유실 방지용 큐 버퍼링 상세 대조
3. 시스템 가상 시뮬레이션 환경에서의 기지국 절체 오류 발생률 테스트 자료 검토</t>
  </si>
  <si>
    <t>1. DU 장애 무절체 기술 검토
 - 통화 끊김 예방: 기지국장치(DU) 이중화 전환 시 패킷 손실이 발생하지 않도록 50ms 이내 초고속 보호절체 하드웨어를 명시하고 동기화 프로토콜을 적용 설계에 반영하였음.</t>
  </si>
  <si>
    <t>1. 인접 RRU 간의 전파 중첩 영역 범위(기본 전파 음역 기준 최소 20% 이상 등) 계산서 검토
2. RRU 장애 트리거 신호 감지 시 인접 국소 출력 증강(최대 +3dB 등) 자동 제어 알고리즘 검증
3. 안테나 급전 분배 장치 내부의 반사 손실 및 정재파비(VSWR 1.5 이하) 적합성 대조</t>
  </si>
  <si>
    <t>1. RRU 커버리지 백업 구현
 - 음영 구역 방지: 기지국(RRU) 장애 발생 시 인접 안테나의 전파 출력을 동적으로 제어(Overlapping)하여 통화 품질(RSRP -95dBm)이 유지되도록 설계를 적용하였음.</t>
  </si>
  <si>
    <t>1. 노선 종단 계획 상의 도로 횡단 지하차도(최대 유효 깊이 등) 내부 및 교차로 주변 RRU 설치 필요 위치 조사
2. 주파수 대역별(700MHz 대역 등) 지상 개활지 및 지하차도 진입 장벽 구조의 전파 전파 감쇠 시뮬레이션 검토
3. RRU 설치 한계 거리(단일 국소 최대 800m 이내 규정 준수 여부) 종단 배치 도면 대조</t>
  </si>
  <si>
    <t>1. 본선 및 교차로 기지국 배치
 - 무선 품질 신뢰성 확보: 정거장 간 거리가 먼 본선, 교차로, 지하차도 구간에 대한 전파 해석을 거쳐 RRU 기지국을 조밀하게 추가 배치하여 음영을 제거하였음.</t>
  </si>
  <si>
    <t>1. 공용 가로등 폴 사용 예정 지점(총 수량 및 가로등 관리 대장 번호) 위치 평면도 확인
2. RRU 장비 및 하프 안테나 풍하중 가중 시 가로등 지지 강도 구조 안전성 계산서 대조
3. 소유 전원 인입 계획 및 연간 도로 점용료 납부 회계 주체 간 사전 조율 현황 점검</t>
  </si>
  <si>
    <t>1. 지상 도로 Pole 공용화 사전 협의
 - 인허가 리스크 대응: 도로교통 및 도로전기 폴 공용화 대상 리스트를 구축하고, 유관 기관과의 인허가 실무자 협의를 조기 진행하여 설치 가능 여부를 설계서에 확인하였음.</t>
  </si>
  <si>
    <t>1. LTE-R 차량 안테나 및 기지국 내의 인접 대역 차단 필터(Band Pass Filter) 감쇄 스펙 검토
2. PS-LTE 전파 세기(RSRP)의 설계 기준 대비 무선 수신 품질 지표(RSRQ) 최적화 시뮬레이션 자료 분석
3. 행정안전부 및 과학기술정보통신부 산하 전파 진흥 유관 기관 간의 주파수 대역 간섭 배제 기술 협의서 대조</t>
  </si>
  <si>
    <t>1. PS-LTE 주파수 간섭 방지
 - 통신 간섭 차단: 공공안전망(PS-LTE)와의 상호 간섭을 최소화하기 위해 선로 주변 PS-LTE RSRP 신호를 10dB 이상 이격 제어하고 대역 필터 장비를 설계에 명시하였음.</t>
  </si>
  <si>
    <t>1. 경부선 국철 철도 보호 지구 인근의 동탄 트램 전파 수신 강도 분산 맵핑 도면 검토
2. 코레일 기지국과의 통신망 연동을 위한 이동통신망 식별 번호(PLMN ID) 분리 및 기지국 스크램블링 코드 확인
3. 비상 상황 시 코레일 종합 관제실과의 무선 핫라인 중계 장치 통신 프로토콜 대조</t>
  </si>
  <si>
    <t>1. 인접 국철 LTE-R 간섭 최적화
 - 연계 운행 안전 확보: 국철 연계역(병점, 서동탄 등)의 전파 중첩을 상호 전계강도 제어 방식으로 최적화하고 경계부 채널 전환 알고리즘을 수립하여 통신 불량을 예방하였음.</t>
  </si>
  <si>
    <t>1. 트램 차량 바디 구조 및 특수 코팅 유리창의 700MHz 주파수 대역 투과 손실 시험성적서 대조
2. 차상 기지국 안테나에서 차내 승무원 수신기까지의 실효 무선 중계 장비(중계기 또는 소형 허브) 규격 확인
3. 기지국 전파 송신 설계서 상 차량 투과 손실 마진(Penetration Margin) 설계 안전 계수 보정서 대조</t>
  </si>
  <si>
    <t>1. 차량 투과 손실 보정 설계
 - 통신 음영 완전 해소: 차량 금속 벽체에 의한 신호 감쇄를 감안하여 링크 버짓의 투과 손실 마진을 보수적으로 상향하고 차상 무선 안테나 이득을 추가 확보하였음.</t>
  </si>
  <si>
    <t>1. 타 경량전철 개방형 승강장(위례 등)의 부정 승차 적발률 및 유실 요금 산출 자료 조사
2. 트램 차내 및 승강로 진입구 부근 교통카드 단말기와 영상 카메라(CCTV) 뷰 앵글 연동성 검토
3. 부정승차 적발을 위한 이동 검표원 단말기 시스템 및 과태료 부과 연동 통신 회선 검토</t>
  </si>
  <si>
    <t>분야별\10_통신\통신_설계추진방향보고_역무자동화설비 구축 방안_통신_rev.00_260601.pdf</t>
  </si>
  <si>
    <t>1. 자전거 보관소용 돔형 카메라의 픽셀 밀도(최소 250 Pixel/m 이상) 및 설계 야간 픽셀 식별 성능 검토
2. 암막 야간 감시를 위한 적외선(IR) LED 최대 도달 거리(최소 20m 이상) 스펙 대조
3. 태양광 반사광 및 자동차 헤드라이트 빛 번짐을 억제하는 역광보정(WDR 120dB 이상) 기능 확인</t>
  </si>
  <si>
    <t>1. 고해상도 야간 감시 카메라 설계
 - 방범 효과 극대화: 도난 리스크가 높은 정거장 외부 자전거보관소 등에 역광 보정(WDR) 및 야간 컬러 감시 기능이 포함된 400만 화소 고화질 카메라를 명시하였음.</t>
  </si>
  <si>
    <t>1. 카메라 형식별(200만 화소, 400만 화소 등) 초당 프레임 수 대비 일일 데이터 유입량 계산서 검토
2. 저장 서버 디스크 RAID 구성(RAID 6 등) 손실 용량을 배제한 실 가용 물리 용량(TB) 검증
3. 영상 대역폭 차단을 방지하기 위한 H.265+ 스마트 코덱 압축 매개변수 값 대조</t>
  </si>
  <si>
    <t>1. 스토리지 용량 계산 적정성 검증
 - 영상 데이터 보존력 확보: 법적 기준인 30일 보관을 충족하기 위해 최신 H.265 코덱 기준 스토리지 용량을 재계산하고 예비 여유율 15%를 추가 설계에 반영하였음.</t>
  </si>
  <si>
    <t>1. 정거장 주요 출입 계단 및 승강장 중앙 대기열 구역 영상 분석 알고리즘 적용 범위 검토
2. 공간 평당 서비스 수준 임계 인원 설정에 따른 경보 발생(관제 통보) 팝업 시나리오 대조
3. 혼잡 경고용 승강로 행선안내기(DID) 및 경보 스피커와의 통신 연동 결선 도면 확인</t>
  </si>
  <si>
    <t>1. MIS 연계 전산망과 시설 자산 관리 소프트웨어 간의 API 데이터 연동 명세서 대조
2. 개별 기기 장비의 유지보수 이력(수리 비용, 교체 연한) 필드 정보 스페이스 구성안 검토
3. 현장 점검 모바일 기기에서의 점검 데이터가 실시간 데이터베이스에 매핑되는 통신 보안 규격 검증</t>
  </si>
  <si>
    <t>1. MIS 시설물 이력 연동 설계
 - 유지보수 생산성 향상: 경영정보설비(MIS) 내에 전 분야 철도시설물 이력 정보(노반, 신호, 통신 등)를 입력·추적할 수 있는 범용 데이터 연동 스키마를 구성 설계하였음.</t>
  </si>
  <si>
    <t>분야별\10_통신\통신_설계추진방향보고_경영정보설비(MIS) 구축 방안_rev.00_260528.pdf</t>
  </si>
  <si>
    <t>1. TCMS 출력 고장 알람 코드와 기지 검수 데이터베이스 테이블 간의 매핑 상세 데이터 검토
2. 본선 운행 중 LTE-R 무선 단말기를 통한 고장 정보 패킷 송수신 인터페이스 규격 확인
3. 고장 접수 즉시 자재 창고의 수리 예비 부품 재고 자동 인출 연동 데이터 흐름도 대조</t>
  </si>
  <si>
    <t>1. 정거장별 비상 방송 증폭기(PAS Amp) 및 행선안내 디스플레이의 정격 비상 작동 전력(VA) 계산 대조
2. 정전 시 최소 30분 이상 가동을 담보하는 UPS 리튬-이온 배터리 팩 충전 용량 설계서 검토
3. 비상 화재 수신반 연동 시의 대피 자동 안내문 표출 작동 시나리오 확인</t>
  </si>
  <si>
    <t>1. 정거장 통신 UPS 백업 확대
 - 비상 피난성 제고: 한전 정전 발생에 대응하여 정거장 안내방송 및 행선안내기 백업용 비상 UPS 용량을 30분 이상 가동되도록 상향 설계하여 재난 상황의 통신 연속성을 확보하였음.</t>
  </si>
  <si>
    <t>1. 도로 소음 수준(Peak 80dB 이상 등) 예측치 대비 비상 전화기 스피커 출력 음압(최소 90dB 이상 확보) 검토
2. 송수화기의 야외 노이즈 제거용 노이즈 캔슬링 마이크 및 에코 제거 모듈 스펙 확인
3. 청각장애인 보조기 연동을 위한 히어링 루프(Hearing Loop) 전송 코일 단자 설계 확인</t>
  </si>
  <si>
    <t>1. 비상전화 소음 제어 성능 반영
 - 소통 보장: 도로변 소음 속에서도 정상적인 통화가 가능하도록 노이즈 캔슬링 및 수화 음량 증폭(자동 튜닝) 기능이 내장된 특수 비상전화 장치를 설계에 반영하였음.</t>
  </si>
  <si>
    <t>1. 관제원 화면당 최대 감시 채널 수(예: 4K 해상도 64채널 등) 대비 컨트롤러의 최대 디코딩 연산 성능 검토
2. 메인보드 GPU 카드 메모리 대역폭(DDR6 등) 및 영상 버퍼 스페이스 용량 스펙 대조
3. 영상 데이터 전송 병목을 방지하기 위한 이중화 백본 네트워크 스위치 접속 대장 확인</t>
  </si>
  <si>
    <t>1. 차상 AFC 제어기 내부의 비휘발성 플래시 메모리(SSD) 용량 및 최대 거래 로그 보관 가능 일수 대조
2. 주전원 전압 급강하 시 최종 데이터 보호용 캐패시터(Super Cap) 방전 전송 상세 확인
3. 무선망 복구 시 미전송 정산 데이터를 순차 재전송하는 Store and Forward 로직 알고리즘 검토</t>
  </si>
  <si>
    <t>1. AFC 데이터 보존 로직 수립
 - 거래 안전성 확보: 통신 장애 상황에서도 결제 거래 정보가 유실되지 않도록 차상 AFC 주장비 내 고신뢰성 플래시 스토리지를 설계하고 무선 복구 시 자동 동기화 기능(Store &amp; Forward)을 구축하였음.</t>
  </si>
  <si>
    <t>1. 차량 기동 시 전기 계통의 순간 과도 전압(Surge Voltage) 레벨 테스트 수치 검토
2. 차상 통신 단말 전원 입력단 후단의 양방향 서지 억제기(TVS) 및 과전류 차단 소자 스펙 확인
3. 전원 컨버터의 안정적인 동작 입력 전압 허용 범위(DC 24V ±20% 이상 등) 정합성 대조</t>
  </si>
  <si>
    <t>1. 철도 설계 기준 상의 설계 기본 풍속(최대 초속 45m/s 기준 등)을 적용한 풍하중 계산서 검토
2. 폴 및 안테나 고정 클램프부의 용접 상세 규격 및 현장 비파괴 검사(UT/RT) 기준 대조
3. 안테나 고정용 U-볼트의 최대 휨 모멘트 및 허용 전단 하중 강도 확인</t>
  </si>
  <si>
    <t>1. 화성시 역대 기상청 실측 최저 온도 기준 설계 동작 온도 범위 만족 여부 확인
2. 단말기 밀폐 함체 내 자동 가습/가열 공간 히터(Space Heater) 및 서모스탯 스위치 작동 회로 대조
3. 강우 및 동결 방지를 위한 외함 보호 등급(IP65 이상 확보) 상세 확인</t>
  </si>
  <si>
    <t>1. 도로 교통 소음 피크 측정치 대비 정거장 내 화재안전기술기준 상의 음압 기준(최소 90dB 이상 확보) 검토
2. 승강장 형상별 스피커 설치 간격 및 혼형 스피커의 지향 성능 범위 대조
3. 외부 주변 도로 소음 연동형 자동 음량 출력 조절(ANC) 시스템 회로 적용 여부 확인</t>
  </si>
  <si>
    <t>1. 통신기계실 외부 유입용 통신 케이블 관통관 슬리브 내의 방화/방서 실란트 컴파운드 마감 상세 검토
2. 쥐 갉아먹기 차단용 강도 높은 쥐 방지(Anti-rodent) 외피 적용 광케이블 자재 스펙 대조
3. 배관 말단부의 금속 메쉬형 소동물 진입 차단망(Rat-proof net) 배치 도면 확인</t>
  </si>
  <si>
    <t>1. 단말기 전원 분배반 도면 상의 개별 가기용 과부하 차단 퓨즈 및 소형 차단기(MCB) 용량 대조
2. 전원 공급용 PDU의 다중 전원 포트 단락 보호 분리 기능 규격 확인
3. 단말기 고장 발생 시 통신 루프 이중화를 위한 우회 백본 통신 스위칭 경로 검토</t>
  </si>
  <si>
    <t>1. AFC 단말 전원 분리 설계
 - 운영 연속성 확보: 하나의 단말기 전기 고장이 인접 기기로 전파되지 않도록 개별 전원 서킷 브레이커와 역류 방지 다이오드를 적용하여 정산 불능 리스크를 방지하였음.</t>
  </si>
  <si>
    <t>1. 안개 다발 구간 정거장(오산천 교량 인근 등) 카메라의 광학식/전자식 안개 제거(Defog) 스펙 확인
2. 대기 안개 농도 자동 분석을 통한 이미지 대비 자동 증강 소프트웨어 탑재 여부 대조
3. 하절기 야간 주변 광원 난반사 방지를 위한 렌즈 쉐이드 적용 상태 확인</t>
  </si>
  <si>
    <t>1. CCTV 전용 VLAN 포트 상의 IEEE 802.1X 보안 인증 및 등록된 기기 이외 접속 차단(MAC 주소 필터링) 설계 대조
2. 카메라 영상 암호화 모듈의 국가정보원 보안 인증 등급 충족 여부 검토
3. 보안 취약점 패치 업그레이드를 위한 NMS 통합 관리 서버 펌웨어 배포 시스템 확인</t>
  </si>
  <si>
    <t>1. CCTV 전송망 사이버 보안 강화
 - 기밀성 보장: IP 카메라 해킹 및 영상 무단 유출을 차단하기 위해 네트워크 단말 접속 보안(IEEE 802.1X)과 암호화 스트리밍 전송 방식을 설계 반영하였음.</t>
  </si>
  <si>
    <t>1. 신호 컴퓨터와 통신 행선 안내 관리기 간의 열차 위치 전송 패킷 수신 대기 주기(최대 2초 이내) 확인
2. 대용량 도착 정보 처리용 PIDS 미들웨어 제어반 메모리 적정량 계산서 검토
3. 통신 두절 발생 시 대체 안내 화면(안내 정보 대기 중 팝업 등) 송출 자동 전환 로직 대조</t>
  </si>
  <si>
    <t>1. LTE-R 휴대 단말기 제조사 배터리 스펙의 저온 방전 연속 사용 시간(영하 20℃ 기준 4시간 이상 유지) 확인
2. 단말기 관리 시스템(MDM)에 연계된 잔량 실시간 모니터링 경보 통보 동작 확인
3. 유지보수 차량 및 역사 기계실 내부 충전 스테이션 예비 배터리 확보 수량 대조</t>
  </si>
  <si>
    <t>1. 휴대 단말 배터리 저온 극복
 - 통신 생존성 확보: 동절기 휴대 단말 방전을 예방하기 위해 저온 동작 성능이 입증된 배터리 스펙과 관제 센터의 배터리 잔량 자동 모니터링 경보(MDM)를 구축 설계하였음.</t>
  </si>
  <si>
    <t>1. 카메라 설치 지점의 태양각에 따른 직사광 반사 배제용 햇빛가리개(Sunshield) 마찰 커버 적용 확인
2. 유리 돔 커버의 표면 난반사 방지(Anti-Glare) 특수 하드 코팅 처리 사양 대조
3. 고배율 햇빛 역광 하에서도 노출 강도를 유지하는 WDR(120dB 이상) 센서 성능 확인</t>
  </si>
  <si>
    <t>1. 옥외 카메라 햇빛 난반사 방지
 - 감시 화질 제고: 직사광선 유입에 따른 감시 마비를 방지하기 위해 특수 무반사 방지 돔 커버를 명시하고 120dB 이상의 고성능 WDR 기능 카메라를 전수 채택하였음.</t>
  </si>
  <si>
    <t>1. 무선 전송 구간의 IPsec VPN 터널링 암호화 및 가상 사설망 라우팅 경로 대조
2. 단말기 내 금융 보안 모듈(SAM 카드 등) 관리 절차 및 해독 알고리즘의 유효성 검토
3. 정산 서버와 차상 주장비 간의 상호 인증 프로토콜 보안 등급 및 키 관리 방식 검토</t>
  </si>
  <si>
    <t>1. 결제 데이터 무선 암호화 적용
 - 금융 보안성 강화: 차상에서 지상 정산 서버로 전송되는 모든 역무 요금 결제 패킷을 종단 간 IPsec VPN 암호화 처리하고 단말기 내 물리적 SAM 보안 체계를 설계 반영하였음.</t>
  </si>
  <si>
    <t>특화정거장 지하 1층 기실 및 전원실 도면의 랙 배치 면적 계산서 검토 및 유지관리를 위한 랙 전후면 여유폭(최소 0.8m 이상) 확인</t>
  </si>
  <si>
    <t>캐노피 지붕 및 기둥 내 통신 케이블 배관(트레이)의 수밀 시공 상세 및 이음새 몰딩 처리 도면 대조</t>
  </si>
  <si>
    <t>건축_설계추진방향_3차보고_rev01_260608.pdf (Page 9)</t>
  </si>
  <si>
    <t>교량 구조물 신축Joint 거동을 감안한 통신 가요성 도관(Flexible Conduit)의 여유장 설계 확인</t>
  </si>
  <si>
    <t>조인트부 통과 통신 케이블 보호용 가요성 STS 파이프 양단에 신축 슬라이딩 서포트 기구 및 케이블 슬랙(Slack) 여유장 1.5m 확보 구조 반영</t>
  </si>
  <si>
    <t>기지 내 통신 관로 평면도 상의 인입/인출 케이블 루트 단일화 여부 검토</t>
  </si>
  <si>
    <t>관제실 광배선반(ODF)과 기지 경계 초소 간의 루프식 이중 경로 통신관로(FRP 100A 2열씩 이원화) 레이아웃 및 링네트워크 토폴로지 설계 반영</t>
  </si>
  <si>
    <t>특화정거장 2층 대공간(천장고 8.0m 이상) 내 음향 명료도(STI 0.5 이상) 시뮬레이션 및 스피커 정격 출력 대조</t>
  </si>
  <si>
    <t>교통약자 이용 안내 규정에 근거한 SOS 비상 벨 함체 설치 높이(1.2m 이하) 및 점자 유도블록 시점 중첩 분석</t>
  </si>
  <si>
    <t>SOS 폰 하부 바닥에 300x300 점형 점자블록 및 안내 음성 방향 유도기가 포함된 BF 인증 규격 장치를 도면 및 내역서에 보완 반영</t>
  </si>
  <si>
    <t>축전지실(UPS 배터리룸) 내 누설 산성 가스 환기 설계(배기 환기 횟수 시간당 12회 이상) 및 급배기 덕트 평단면 대조</t>
  </si>
  <si>
    <t>배터리룸 천장에 산성 가스 감지 탐지 센서를 설치하고 배기 팬 및 덕트를 내부식성 PVC 코팅 강판재로 적용하는 상세 보완 설계</t>
  </si>
  <si>
    <t>건축_설계추진방향_3차보고_rev01_260608.pdf (Page 10, 19)</t>
  </si>
  <si>
    <t>교량 교각 상부 케이블 지프 가이드(Cable Carrier) 주행 궤적 및 교량 신축에 따른 피로 누적 절곡 반경(외경의 10배 이상) 도면 검토</t>
  </si>
  <si>
    <t>교량 신축 조인트 구간 내 케이블을 보호하는 강제 가이드 브래킷 및 가이더 롤러 상세도를 통신 도면 및 수량산출서에 반영</t>
  </si>
  <si>
    <t>차량기지 경계 펜스(총연장 1.2km) 보안 CCTV의 카메라 화각(최소 중첩율 15% 이상) 및 외곽 침입 센서 연동 도면 대조</t>
  </si>
  <si>
    <t>1. 배전반 패널 내 국소 소화용 소형 청정소화약제(가스계, Novec 등) 방출 용기 구획별 용량 산정서 대조
2. 열감지형 또는 연기감지형 화재 감지 튜브 센서 배전반 상부 설치 레이아웃 도면 확인
3. 패널 화재 감지 경보 시 해당 구역 변전소 메인 VCB 및 ACB의 자동 트립(Trip) 연동 차단 로직 검토</t>
  </si>
  <si>
    <t>1. 배전반 내 자동소화장치 구축
 - 화재 초기 진압: 변전소 내 화재 확산 방지를 위해 특고압 및 저압 배전반 내부 상단에 화재 감지 자가 동작형 친환경 자동소화장치를 기본 설계에 추가 반영하였음.</t>
  </si>
  <si>
    <t>분야별\12_전기\전기_설계추진방향_전기분야_rev00_26.06.04.pdf</t>
  </si>
  <si>
    <t>1. 인근 한국전력 변전소 배전회선 여유 용량 및 2회선(본선, 예비선) 예비 수전 인입 타당성 분석 보고서 대조
2. 단일 회선 정전 시 필수 운영 설비 가동을 위한 비상발전기(DEG) 필수 전력 부하량(kW) 산출서 확인
3. 한전 기본공급약관 제23조에 따른 이중화 예비 전원 수전 인입 분담 비용 검토</t>
  </si>
  <si>
    <t>1. 한전 수전 1회선 보완책 확보
 - 전력 중단 대비: 한전 수전 1회선 구성에 따른 비상 정전 피해를 예방하기 위해 소내 비상 발전기 용량을 필수 보안 부하에 맞추어 상향 설계하고 ATS 절체 루틴을 보강하였음.</t>
  </si>
  <si>
    <t>1. 상하선 전동차 동시 급속 충전 시 요구되는 최대 피크 부하 전력(kW) 및 전압 강하(Voltage Drop) 계산서 대조
2. 충전용 정류 변압기 1대 공용 구조와 상하선 급전 선로별 개별 분리(2대 분리 설치) 방식 간의 LCC 경제성 비교
3. 충전기 정류 모듈의 과부하 허용 범위 및 순간 출력 보장(Overload Capability) 스펙 확인</t>
  </si>
  <si>
    <t>1. 시종점 충전 설비 선로별 분리
 - 충전 안정성 확보: 시종점 정거장 충전설비의 전압 강하 방지 및 동시 급전을 위해 충전 변압기와 충전기를 선로별로 완전히 분리 설계하여 전력 품질을 확보하였음.</t>
  </si>
  <si>
    <t>1. 기지 변전소 및 정거장의 부하 시뮬레이션을 통한 종합 고조파 전압 왜형률(THD) 5% 이내 충족 여부 대조
2. 배전 저압반 내 고조파 흡수 감쇠를 위한 능동 필터(Active Harmonic Filter) 장치 설치 용량 사양 확인
3. 주요 정류기 및 대용량 UPS 정류부에 12펄스(Pulse) 다중 정류 회로 채택으로 발생 고조파 억제 설계 대조</t>
  </si>
  <si>
    <t>1. 변전실 고조파 필터 장치 도입
 - 전력 품질 보장: 전력 변환 장치 스위칭 시 발생하는 고조파 왜형률을 5% 이내로 억제하기 위해 수배전 계통에 고조파 저감 필터 및 고효율 정류 회로를 설계 적용하였음.</t>
  </si>
  <si>
    <t>1. 횡단접지선 접속 핸드홀 내부 침수 방지 방수 커버 캡 적용 및 IP67 이상 밀폐 방수 단자함 사양 대조
2. 침투수 배출을 위한 핸드홀 저부 배수 구멍 타공 및 하단 쇄석 배수 필터층 시공 상세도 확인
3. 단자대 금속 재질의 내식성(황동 또는 스테인리스강 등) 확보 여부 검토</t>
  </si>
  <si>
    <t>1. 접지 핸드홀 부식 방지 설계
 - 접지 건전성 유지: 핸드홀 내부 접지단자함을 완전 밀폐형 방수 구조(IP68)로 설계하고 내부 접속 단자를 내식 황동 볼트로 규격화하여 단선을 예방하였음.</t>
  </si>
  <si>
    <t>1. 지하 공동구 외벽 케이블 배관 관통 슬리브 상세 단면도의 수팽창성 방수 고무 링(Water-stop Ring) 및 무수축 에폭시 충진 상세 확인
2. 침수량 초과 유입 대비 변전소 하부 집수정 펌프 용량 적정성 및 비상 발전 무정전 전원 공급 상태 도면 대조
3. 케이블 관통구 내부 지수(수압 방어) 및 내화 2시간 방화 씰(Fire-seal) 복합 적용 시방서 규격 검토</t>
  </si>
  <si>
    <t>1. 수배전실 인입 공동구 이중 방수 상세 적용
 - 특고압 케이블 지락 차단: 집중호우 및 토양 침투수가 공동구 케이블 관통 벽체로 새어 나와 배전반 하부가 젖는 것을 방지하기 위해 특수 기밀 방수 밀폐 씰링 처리를 이중으로 명시 설계하였음.</t>
  </si>
  <si>
    <t>1. 판타그래프 수직 가압 스프링의 지상 강체 충전 레일 접촉면 압착 한계 유지 하중(N) 이탈 방지 계산서 대조
2. 판타 슈(Shoe) 및 지상 접촉 단자 재질의 고온 내식성 및 내아크성 특수 합금(크롬-구리 강 또는 카본 스트립) 마모 한계 스펙 확인
3. 충전 단자 물리적 접촉 100% 완전 완료 및 접촉 저항 정상 상태 감지 후 고전압 전원을 인가하는 시퀀스 제어 인터록 확인</t>
  </si>
  <si>
    <t>1. 충전 접촉부 아크 방지 설계
 - 판타그래프 보호: 충전 단자의 기계적 마모 및 융착을 해소하기 위해 전기 접촉이 100% 완료된 후에만 고전압 충전 전류를 통전시키는 선 접촉-후 급전 시퀀스를 명시 설계하였음.</t>
  </si>
  <si>
    <t>1. 국가화재안전기준(NFSC) 및 소방시설 화재안전성능기준 상 심층 지하역사 비상조명등 배터리 요구 용량(최소 60분 가동) 준수 여부 및 배터리 팩 스펙 대조
2. 화재 연기 속에서도 식별력을 확보하기 위한 피난 유도등의 휘도 감쇠율 및 고휘도 LED 램프 적용 사양서 확인
3. 비상 배터리 미충전 단선 고장 상태를 중앙 방재반에 전송하는 자가 진단형 모니터링 모듈 통신 회로 검토</t>
  </si>
  <si>
    <t>1. 비상 유도등 배터리 사양 강화
 - 승객 피난 경로 확보: 화재 정전 시 정거장 내 암흑 상태 방지를 위해 비상 유도등 및 비상 조명의 예비 축전지 가동 시간을 소방법 최고 기준인 60분 이상으로 전수 상향 명시하였음.</t>
  </si>
  <si>
    <t>1. VCB 차단단과 변압기 간의 케이블 배선 길이 대비 개폐 서지(Switching Surge) 과전압 크기 해석서 검토
2. 개폐 서지 흡수용 서지흡수기(SA: Surge Absorber)의 차단 전류 및 에너지 흡수 내량(kJ) 스펙 대조
3. SA 마운팅 브라켓 설치 단면 상세도 및 큐비클 내 절연 이격 거리 설계 도면 확인</t>
  </si>
  <si>
    <t>1. 변압기 개폐서지 보호 장치(SA) 설치
 - 변압기 소손 차단: 개폐 서지 전압으로부터 주요 전력용 몰드변압기를 전격 보호하기 위해 VCB 2차측 회로마다 대용량 서지흡수기(SA)를 필수 적용 설계하였음.</t>
  </si>
  <si>
    <t>1. 배관 및 트레이 포설용 전력 케이블의 수직 트레이 난연 연소 시험(국제 규격 IEEE 383 또는 IEC 60332-3) 충족 사양서 대조
2. 지하 공동구 및 전기실 입구부 관통 개소의 방화 댐퍼 및 방화 밀폐재(Fire-stop) 방화 구획 상세 설치 도면 확인
3. 케이블 밀집 구역의 화재 확산 예방용 특수 연소방지 도료(난연 도료) 도포 구간 명시 여부 검토</t>
  </si>
  <si>
    <t>1. 전선로 난연 케이블 및 방화벽 설계
 - 화재 전파 예방: 공동구 내 연쇄 화재 차단을 위해 모든 동력/제어 케이블을 트레이용 저독성 난연 케이블(F-CV 등)로 100% 적용하고 공동구 벽체 관통부에 방화 실링을 명시하였음.</t>
  </si>
  <si>
    <t>1. ACB 및 ATS 제어 조작 전원용 DC 배터리 팩 및 정류기(Rectifier) 출력 전압(DC 110V 등) 설계 대조
2. 주전원 상실 정전 시 최소 원격 제어 회로 유지 소요 시간(최소 2시간 이상) 배터리 용량 계산서 검토
3. 변전실 통합 UPS로부터 수배전반 제어반으로 인입되는 제어 전원 이중화 분배 관로 상세도 확인</t>
  </si>
  <si>
    <t>1. ACB 제어 전원 이중화 백업
 - 제어 연속성 확보: 정전 시 변전 설비 제어 전원이 상시 작동하도록 저압 배전 제어반에 무정전 백업 배터리와 제어용 UPS를 설계 반영 조치하였음.</t>
  </si>
  <si>
    <t>1. GIS 챔버 각 구획별 가스 밀도계 접점부의 압력 저하 경보 설정치(정격 압력 대비 10% 저하 시 경보 등) 사양서 검토
2. 가스 밀도 접점 신호를 수집하여 종합관제실로 송출하는 변전 제어반 RTU 디지털 인입 알람 단자 회로 대조
3. 가스 치명적 소손 임계 압력 도달 시 전단 VCB 긴급 강제 차단 인터록 트립 회로 로직 검토</t>
  </si>
  <si>
    <t>1. GIS 가스 밀도 실시간 모니터링
 - 내부 단락 예방: 절연 파괴 사고를 원천 방지하기 위해 GIS 가스 챔버마다 실시간 압력 게이지와 가동 접점 경보 스위치를 설치하고 SCADA 연동 회로를 완성 설계하였음.</t>
  </si>
  <si>
    <t>1. KEC 및 한전 설계기준에 따른 22.9kV 특고압 기기 충전부 간 최소 절연 이격거리(상간, 대지간 150mm 이상 등) 설계치 확인
2. 특고압 배전반 내 하절기 결로방지용 스페이스 히터(Space Heater) 및 자동 온습도 조절 센서 연동 제어 도면 대조
3. 케이블 헤드 단말 처리부 연면 방전 방지용 절연 튜브 및 부트(Boot) 장착 사양 검토</t>
  </si>
  <si>
    <t>1. 배전전압 절연 이격거리 및 결로 방지 설계
 - 수배전반 폭발 예방: 특고압 단자부의 습기 및 결로에 의한 절연 파괴를 원천 방지하기 위해 최소 대지간 이격 거리를 만족하도록 내부 배선을 최적화하고, 습도 연동형 스페이스 히터를 수배전반 내부에 장착 설계하였음.</t>
  </si>
  <si>
    <t>1. 기지/본선 변전소 변전 제어반 RTU와 종합 관제 센터 SCADA 서버 간의 IEC 60870-5-104 프로토콜 I/O 매핑 리스트 대조
2. 주 통신망 단절 시 현장 변전소 자체 안전 유지를 위한 자동 트립 기능(Fail-safe Trip) 구성 상태 검토
3. 통신 장애 대비 SCADA 외 비상 수동 단전(Hard-wired Trip) 전용 제어 케이블 별도 구성 유무 확인</t>
  </si>
  <si>
    <t>1. SCADA 차단 제어 다중화
 - 전차선 비상 차단 보장: 통신 프로토콜 장애에 대비하여 SCADA 원격 팩 명령 외에 관제반 콘솔에 하드와이어 직접 구동 비상 차단 스위치를 보완 설계하였음.</t>
  </si>
  <si>
    <t>1. 차량기지 각 건축물 옥상 3D 입체 모델링 기반 피뢰 보호 범위(회전구체 반경 20m~60m 대입 등급별) 시뮬레이션 분석서 대조
2. 돌출 장비 보호를 위한 피뢰 돌침 높이 하향/상향 조정 또는 수평 도선 마스트 추가 대안 검토
3. 뇌격 전류 인하를 위한 건물 철골조(기둥)를 이용한 자연적 구조체 인하도선 적용성 확인</t>
  </si>
  <si>
    <t>1. 피뢰 보호 범위 추가 검증
 - 낙뢰 직격 차단: 차량기지 옥상 돌출 설비 전체가 낙뢰 보호 반경 내에 완전히 수용되도록 피뢰침 높이를 높이고 수뢰 도선을 추가 설계하여 예방하였음.</t>
  </si>
  <si>
    <t>1. 변전실 및 각 기계실 간 등전위화를 위한 통합 접지망(Global Grounding System) 구성의 지중 루프 그리드(Mesh Grid) 상호 결합 상세 도면 검토
2. 전력-신호-통신 랙 간 전위 평형을 맞추기 위한 전기실 내 공통 본딩 바(Common Bonding Bar) 규격 및 결선 확인
3. KEC 140 공통/통합 접지 시스템 설계 기준 준수 및 목표 합성 접지 저항 대조</t>
  </si>
  <si>
    <t>1. 기지 통합 접지 메쉬망 설계
 - 등전위 확보: 서지 전위차에 의한 정밀 장비 파손을 방지하기 위해 전 분야(신호, 통신, 전력) 접지 시스템을 하나로 묶는 통합 메쉬 접지(Mesh Grid) 설계를 적용하였음.</t>
  </si>
  <si>
    <t>1. 태양광 철골 구조물과 변전실 통합 접지극 간의 등전위 본딩 및 낙뢰 인하용 단독 접지선 포설 도면 대조
2. 태양광 인버터 AC/DC 출력단 계통 연계 지점의 대용량 서지보호장치(SPD, Class I급 직격뢰 방전용) 설계 반영 여부 확인
3. 전력 계통 서지 역인입 원천 차단을 위한 절연 변압기(Isolation Transformer) 2차측 접지 상세 설계 대조</t>
  </si>
  <si>
    <t>1. 태양광 발전설비 피뢰 및 역서지 방지
 - 계통 제어 설비 보호: 직격뢰 및 유도뢰에 의한 차량기지 전력망 소손을 막기 위해 태양광 모듈 지지대에 단독 인하선 및 접지 메쉬 연계를 설계하고 인버터 전후단에 고성능 SPD를 반영하였음.</t>
  </si>
  <si>
    <t>1. KEC 궤도 접지 시스템 기준에 따른 직류 귀선 전류 대지 누설 방지 절연 블록 및 절연 패드 적용 도면 대조
2. 매설접지선과 궤도 슬래브 하부 철근 간 물리적 이격 거리 확보(최소 100mm 이상) 단면 상세도 검토
3. 궤도 전식 방지를 위한 일정 전위 초과 시 방전하는 전식방지 다이오드(Stray Current Diode/VLD) 설치 설계 확인</t>
  </si>
  <si>
    <t>1. 매설접지선 전식 방지 절연 설계
 - 접지망 조기 부식 차단: 레일 귀선 전류 누설로 인한 매설접지선 및 콘크리트 철근의 전해 부식(전식)을 방지하기 위해 궤도 철근과의 이중 절연 시공 방식을 시방서와 도면에 명시 설계하였음.</t>
  </si>
  <si>
    <t>1. 기지 종합전기실 총 계약 전력(kW) 산정서 상 전기차 충전 부하의 피크 동시 수용률(Demand Factor) 타당성 대조
2. 급속충전기 4대 동시 가동 시의 피크 소모 전류 대비 한전 22.9kV 인입 케이블 열적 허용 전류 규격 대조
3. 전력망 한계 부하 도달 시 충전 전력을 분산 제어하는 로드 밸런싱(Load Balancing) 스마트 충전기 로직 검토</t>
  </si>
  <si>
    <t>1. 전기차 충전 수전 용량 상향
 - 동시 충전 안전성 확보: 급속충전기 4대 동시 충전 하중(400kW 피크)을 기지 수전반 계약 용량 및 변압기 마진에 100% 반영하여 트립 리스크를 차단하였음.</t>
  </si>
  <si>
    <t>1. 일반 표준소비효율 몰드변압기의 대기 소비 전력 및 연간 전력 손실량(kWh) 분석표 대조
2. 고효율(아몰퍼스 등) 변압기 초기 도입 비용 상승 대비 연간 전력비 절감에 따른 탄소 저감 효과 및 LCC 검토
3. 정류기 등 비선형 부하에서 발생하는 변압기 2차 고조파 왜형률에 의한 발열 여유 마진 계산서 확인</t>
  </si>
  <si>
    <t>1. 고효율 표준소비효율 변압기 반영
 - 전력비 절감: 장기 운전 효율화 및 에너지 절약을 위해 한전 기준 표준소비효율 98.5% 이상을 만족하는 고효율 몰드변압기를 수배전반 스펙에 명시하였음.</t>
  </si>
  <si>
    <t>1. 3m 이상 고소개소 설치 조명 기구의 와이어 릴 승하강식 장치(Auto Lifter) 작동 상세 구조도 대조
2. 정거장 캐노피 및 건축 외벽 부착 고천장 등기구의 유지보수용 고소 작업대 진입 동선 및 공간 간섭 검토
3. 조명 기구 탈착 및 진동 낙하 방지를 위한 2중 이중 안전 잠금 고리(Safety Wire) 고정 규격 대조</t>
  </si>
  <si>
    <t>1. 고소개소 승하강식 조명기구 설계 적용
 - 조명 유지보수 안전 확보: 천장 및 캐노피 등 3m 이상 고소개소 램프 교체 시 보수원의 추락 위험을 원천 차단하기 위해 지상에서 원격으로 등기구를 내릴 수 있는 자동 승하강 릴을 전격 반영하였음.</t>
  </si>
  <si>
    <t>1. VCB/PT 1면 일체형 조립반 내부의 물리적 안전 구획(Compartment) 아크 격벽 분리 구조 상태 대조
2. PT반을 단독 인출형(PT Draw-out type)으로 별개 분리 설계 시 요구되는 전기기계실 소요 면적 증가분 검토
3. 유지보수 및 교체 시의 단전 조작 공정 계획 및 비상 전원(UPS, 발전기 등) 공급 무정전 대책 확인</t>
  </si>
  <si>
    <t>1. 특고압 PT반 단독 분리 구성
 - 유지보수성 향상: PT 고장 시에도 전체 수배전반의 차단 없이 안전하게 인출 정비할 수 있도록 VCB반과 PT반을 완전히 분리하여 독립반으로 설계하였음.</t>
  </si>
  <si>
    <t>1. 일반 배전반 대비 콤팩트형 금속폐쇄배전반(MCSG) 적용 시의 전기실 설치 공간 절감률(약 33%) 분석 확인
2. MCSG 함체의 국제 규격 아크 차단(Internal Arc Classification, IEC 62271-200) 시험 성적서 대조
3. 내부 아크 압력 가스의 후면 또는 상부 안전 배출 유도를 위한 배출구(Arc Duct/Flap) 상세 설계 도면 검토</t>
  </si>
  <si>
    <t>1. 금속폐쇄배전반(MCSG) 도입
 - 감전 및 아크 차단: 변전실 내 안전성 확보를 위해 아크 사고 시 고온 가스를 천장 배출구로 유도하는 고신뢰 금속폐쇄배전반(MCSG) 설계를 적용하고 공간을 최적화하였음.</t>
  </si>
  <si>
    <t>1. GCB 본체의 SF6 가스 누출 압력 저하 알람 센서 설치 및 원격 감시 제어 시스템(SCADA) 연동 사양 대조
2. GCB의 잔여 가스 압력 정기 점검 및 주기적 재충전 보충 소요 유지보수 공정 매뉴얼 검토
3. 온실가스 규제 대응을 위한 완전 친환경 고체절연 차단기(SIS) 또는 진공차단기(VCB) 전환 적용 성능 대조</t>
  </si>
  <si>
    <t>1. 친환경 진공차단기(VCB) 채택
 - 환경 보전 및 수명 연장: SF6 가스 누출에 따른 오염 및 안전 위해 요소를 원천 제거하기 위해 소화 성능이 뛰어난 진공차단기(VCB)를 특고압 설비 스펙에 최종 지정하였음.</t>
  </si>
  <si>
    <t>1. Ni-Cd 축전지의 정기적인 전해액(증류수) 보충 및 정기 용량 방전 시험 주기 유지보수 지침 대조
2. 무보수 밀폐형 연축전지(VRLA, MSB 등)와 Ni-Cd 간의 내구 수명, 초기 도입비 및 LCC 경제성 비교
3. 축전지실 수소 가스 체류 방지를 위한 강제 배기 환기팬(Exhaust Fan) 수소 농도 알람 연동 설계 검토</t>
  </si>
  <si>
    <t>1. 무보수 밀폐형 연축전지 적용
 - 위생 안전 및 편의 확보: 환경오염 유발 원료를 배제하고 무보수·무점검이 가능한 고성능 밀폐형 연축전지(2V, 55셀, 110V)로 제어 전원을 구성하여 관리성을 개선하였음.</t>
  </si>
  <si>
    <t>1. KEC 113.2 규정에 따른 수배전반 충전부 비접촉 감전 보호 및 활선 접근 방지 대책 수립 여부 대조
2. 배전반 문 전면에 설치되는 정전용량형 활선 전압 표시 장치(VD: Voltage Detector)의 가독성 및 신뢰성 확인
3. 충전부 가압 상태 시 접지 스위치(ES) 조작을 기계적/전기적으로 차단하는 안전 인터록 사양 검토</t>
  </si>
  <si>
    <t>1. 배전반 활선 시각 표시기 설치
 - 보수원 감전 사고 차단: 가압된 특고압 충전부에 보수원의 접촉을 원천 차단하기 위해 배전반 도어 외면에 활선 상태를 적색 LED로 알리는 활선 경보 장치를 추가 설계하였음.</t>
  </si>
  <si>
    <t>1. KSC IEC 60364-44 기준에 따른 건축물 저압 계통 SPD 설치 등급(Class I, II) 및 전압 보호 레벨(Up) 검토
2. 저압 동력 분전반 메인 차단기 인입 1차측에 병렬 접속되는 SPD 방전 전류 용량(최소 40kA 이상) 대조
3. 낙뢰 단락 고장 시 상용 전원 차단 방지 및 SPD 열화 소손 방지를 위한 전용 백업 퓨즈(보호 차단기) 설계 확인</t>
  </si>
  <si>
    <t>1. 저압 배전반 서지 차단 보강
 - 기기 소손 방지: 낙뢰 서지로 인한 저압 전동기 및 엘리베이터 제어반 소손을 막기 위해 저압 분전반 메인 차단기 측에 대용량 SPD와 열역학 차단 장치를 적용 설계하였음.</t>
  </si>
  <si>
    <t>1. 기지 내 0.75kW 초과 주요 전동기 부하 리스트업 및 개별 기동 소요 콘덴서 용량(kVAR) 산정서 대조
2. 개별 콘덴서 설치 대비 수배전반 중앙 무효전력보상장치(SVC) 집중 설치를 통한 목표 역률 95% 달성 LCC 검토
3. 콘덴서 회로의 고조파 유입 확대를 방지하기 위한 직렬 리액터(6% 규격 등) 용량 적정성 대조</t>
  </si>
  <si>
    <t>1. 전동기 개별 역률 개선 콘덴서 설치
 - 요금 절감: 전력 무효 손실을 방지하고 한전 역률 기준을 만족하기 위해 0.75kW 초과 대용량 전동기 전원 단에 직렬 리액터 일체형 역률 콘덴서를 설계 반영하였음.</t>
  </si>
  <si>
    <t>1. 급속 충전기 최대 기동 전류 부하(1350kW, 20초 가동 등) 인입 시의 순시 전압 강하율(3% 이내) 한계 계산서 검토
2. 역사 내 충전기 전용 정류 변압기와 조명/통신 등 일반 소내용 변압기의 분리 독립 전원 계통 구성 확인
3. 충전 초기 돌입 전류 억제를 위한 고전압 차단 릴레이의 소프트 스타트 투입 타이밍 소프트웨어 로직 검토</t>
  </si>
  <si>
    <t>1. 급속충전기 전압 변동 제어
 - 플리커 억제: 대용량 충전기 기동에 따른 전압 플리커 현상을 방지하기 위해 정전압 보상 기능이 탑재된 SVC 및 대역 분리 공급용 정류 변압기를 설계에 적용하였음.</t>
  </si>
  <si>
    <t>1. 정거장 주 변압기 고장 시 인접 한전 저압 수전망을 통한 소내 비상 전력 자동 백업 절체 계통도 대조
2. 변압기 2차측 주전원과 비상용 한전 저압 수전선로 간의 자동 절체 스위치(ATS) 무정전 시퀀스 논리 확인
3. 비상 시 역사 대피용 비상 조명, 소방, 통신 안전 기기의 최소 보안 유지 부하 전력 계산서 확인</t>
  </si>
  <si>
    <t>1. 정거장 전원 계통 이중화 구성
 - 서비스 연속성 확보: 정거장 단일 변압기 고장 시에도 전체 마비를 막기 위해 한전 저압 수전 라인 백업 ATS 및 소내 예비 전원 분배로를 이중화하여 설계 보완하였음.</t>
  </si>
  <si>
    <t>1. ATS 주 접점의 허용 통전 전류 내량 및 단락 전류 정격 차단 성능(kA) 규격서 대조
2. 상시 여자로 인한 코일 소손 및 진동 접점 마모를 방지하는 순간 여자 접점 방식(투입 후 기계적 래치) 적용 비교 검토
3. ATS 조작 코일 오동작 시 유지보수 인력이 신속히 수동 절체할 수 있는 수동 핸들 장착 위치 편의성 도면 확인</t>
  </si>
  <si>
    <t>1. 고신뢰 ATS 접점 사양 적용
 - 절체 실패 차단: 비상 백업 신뢰성을 도모하기 위해 아크 소화 능력이 우수한 기계식 2중 고정 접점의 순간 여자식 ATS 기기를 정거장 전원반 규격에 반영 설계하였음.</t>
  </si>
  <si>
    <t>1. KEC 142 및 한국전력 설계 기준에 따른 피뢰기(LA) 정격 전압(18kV 또는 21kV) 및 공칭방전전류(5kA 이상) 선정 검토
2. 뇌격 전류 신속 방전을 위한 피뢰기 접지선의 단면적(35㎟ 이상) 및 독립 접지 저항(10Ω 이하) 평면도 대조
3. LA 고장 교체 시 안전한 활선 분리를 위한 전단 단로기(DS 또는 파워퓨즈) 연동 차단 조작반 설계 확인</t>
  </si>
  <si>
    <t>1. 특고압 피뢰기 용량 최적화
 - 낙뢰 피해 방지: 낙뢰 대지 방전을 극대화하여 내부 기기를 완벽히 보호하도록 수전반 인입부에 제한전압이 낮고 방전내량이 큰 고성능 산화아연형 피뢰기(LA)를 명시하였음.</t>
  </si>
  <si>
    <t>1. ACB 스프링 충전 모터의 기동 소요 부하 전류(A) 및 정전압 직류 제어 전원 반출 용량 대조
2. 모터 제어 전원 회로를 상용 라인 상실 시에도 충전 가능한 기지 발전기 비상 전원 라인(ATS 후단)에 결선한 도면 확인
3. 제어 모터 회로 고장 시의 유지보수 인력 조작을 위한 전면 기계식 수동 펌핑 레버 구조 장착 여부 검토</t>
  </si>
  <si>
    <t>1. ACB 충전모터 비상 전원 공급
 - 긴급 복구력 제고: 정전 시에도 ACB 차단기를 무조건 원격 자동 기동시킬 수 있도록 충전 모터 전원 회로를 비상 ATS 부하 회로와 이중 결선되도록 조치하였음.</t>
  </si>
  <si>
    <t>1. KEC 211.2에 따른 감전방지용 고감도 누전차단기(정격 감도전류 30mA 이하, 동작시간 0.03초 이내) 필수 적용 개소 대조
2. 물기가 상존하는 식당 주방 및 세척고 콘센트의 초고감도 누전차단기(15mA) 적용 단선도 확인
3. 단락 고장 대비 ELB 단락 전류 차단 내량(kA) 검토</t>
  </si>
  <si>
    <t>1. 감전보호용 고감도 누전차단기 적용
 - 인명 안전 확보: 작업자 감전 방지를 위해 분전반의 모든 인체 접촉 가능 콘센트 회로에 정격 감도 30mA 및 주방/욕실용 15mA 초고감도 누전차단기(ELB)를 의무 지정 설계하였음.</t>
  </si>
  <si>
    <t>1. 토양 부식성 화학 성분 분석에 따른 내부식성 아스팔트 피복 동선 또는 나동선 적용 타당성 검토
2. 동결 심도를 고려한 접지선 매설 깊이(지하 0.75m 이상) 준수 여부 및 굴착 단면도 확인
3. 매설 접지선 상호 접속부 및 레일 결합부의 발열 용접(Cadweld) 시공 상세도 및 접속 저항 대조</t>
  </si>
  <si>
    <t>1. 매설접지선 내식 보호 조치
 - 부식 단선 방지: 지중 포설되는 동선에 대해 부식 방지 비닐 피복재를 명시하고 접지선 접합부를 영구 결합 방식인 테르밋 발열 용접으로 설계하였음.</t>
  </si>
  <si>
    <t>1. 태양광 전력변환기(PCS, 인버터)의 출력 고조파 전압 왜형률(THD 3~5% 이하) 자체 시험 성적서 확인
2. 인버터 2차측 계통 연계 지점의 전자파 노이즈 필터(EMC Filter 또는 Line Reactor) 장착 상세 도면 대조
3. 태양광 전력망 접속 수배전반 내 낙뢰 서지 보호 전용 보호기(SPD) 설치 확인</t>
  </si>
  <si>
    <t>1. 신재생 인버터 노이즈 방지
 - 통신 간섭 예방: 태양광 발전 인버터 출력단에 고성능 액티브 노이즈 차단 필터(EMI/EMC)를 의무 지정 설계하여 기지 정밀 기기의 통신 신뢰성을 확보하였음.</t>
  </si>
  <si>
    <t>1. 몰드변압기 내부 권선 고온 감지 다이얼 온도계(OTI) 접점 출력 알람 시퀀 도면 확인
2. OTI 접점 동작 시 전기실 강제 배기팬 마그네틱 스위치(MC)를 구동시키는 하드와이어드 연동 제어 도면 대조
3. 강제 냉방용 변압기 하부 부착형 직냉식 송풍팬(Cooling Fan) 설치 유무 및 풍량 개수 적정성 검토</t>
  </si>
  <si>
    <t>1. 변압기 온도 연동 배기 자동화
 - 변압기 수명 보존: 변압기 OTI 온도 접점과 변실 환기팬 제어반을 연동 설계하여 내부 온도 95℃ 초과 시 비상 송풍기가 자동 가동되도록 조치하였음.</t>
  </si>
  <si>
    <t>1. 제작 도면 상 CT/PT의 1/2차 극성 마크(P1-P2, S1-S2, 감극성 KSC 표준 부합) 및 단자 배선 검토
2. 디지털 복합 보호계전기 내부 프로그램 상의 결상 및 고장 전류 방향성 감지 파라미터 위상 값 확인
3. 시운전 현장 검사(SAT) 단계 시 계기용 변성기 정밀 극성 테스트(Polarity Test) 필수 시방 반영 확인</t>
  </si>
  <si>
    <t>1. CT/PT 극성 검증 시방 명시
 - 오차단 방지: 계전기 오동작을 예방하도록 설계 도서에 감극성 표준 CT/PT 기기 적용을 명문화하고 시운전 극성 시험 및 절차를 시방서에 수립하였음.</t>
  </si>
  <si>
    <t>1. 2대의 메인 차단기 2식과 타이 차단기 1식 간 3개 중 2개만 투입되도록 제한하는(2 Out of 3 Interlock) 전기적/기계적 안전 인터록 회로 도면 검토
2. 인터록용 제어 릴레이 2중화 및 비정상 조건 동시 투입 시 순간 강제 비상 트립 시퀀스 확인
3. 운전원 임의 조작 방지를 위한 차단기 전면 기계식 키 락(Key Lock) 삽입 교차 적용 여부 대조</t>
  </si>
  <si>
    <t>1. Tie ACB 안전 인터록 설계
 - 폭발 사고 원천 제거: 두 계통의 저압 버스가 동시 병렬 운전되지 않도록 3개 차단기 간의 하드웨어 기계식 키 인터록 및 전기 릴레이 인터록을 이중 반영하였음.</t>
  </si>
  <si>
    <t>1. 상위 메인 차단기(MCCB/ACB)와 말단 분기 차단기(ELB/MCCB) 간의 한시/순시 차단 곡선(T-C Curve) 중첩 간섭 대조
2. 선로 말단 단락 발생 지점의 최소 고장 단락 전류치 계산서 및 메인 차단기 순시 트립 임계값 비교
3. 특고압 디지털 보호계전기의 보호협조 한시 계정(Time Dial) 지연 세팅값 조율 검토</t>
  </si>
  <si>
    <t>1. 저압 계통 보호협조 세팅
 - 정전 파급 방지: 사고 발생 구역의 독립 차단(선택 차단)을 보장하기 위해 차단기 간의 정격 차단 용량 및 한시·순시 트립 곡선 밸런싱 보호협조 설계를 반영하였음.</t>
  </si>
  <si>
    <t>1. 차상 배터리 관리 시스템(BMS)-지상 급속충전기 제어반 간 충전 통신 프로토콜(유선 CAN 및 무선 WAVE 이중화) 신뢰성 및 무결성 도면 확인
2. 배터리 과열 비상 경보 발생 시 0.5초 내 물리적 강제 단전을 수행하는 하드와이어 인터록 릴레이 작동 여부 설계 대조
3. 승객 및 역무원 조작용 정거장 비상 수동 충전 급정지(EMS) 푸시버튼 스위치 설치 대조</t>
  </si>
  <si>
    <t>1. 급속 충전 비상 인터록 적용
 - 배터리 열폭주 방지: 충전 중 배터리 이상 과열 시 지상 급전반을 0.5초 이내에 차단시키는 하드와이어 물리 인터록 회로와 비상 차단 스위치를 설치 설계하였음.</t>
  </si>
  <si>
    <t>1. 단일 변압기 비상 부하 운전 가능 한계 용량(최대 가용 전력) 시뮬레이션 계산서 확인
2. 변압기 1대 고장 시 중요도가 낮은 일반 동력/전열 부하(냉방, 환기 등)를 제어반에서 자동 일괄 차단(Load Shedding)하는 제어 시퀀스 검토
3. 고장 대피 필수 부하(승강기, 소방설비, 비상조명) 산정 및 변압기 용량 마진(비상 부하 대비 최소 120% 이상) 설계 확인</t>
  </si>
  <si>
    <t>1. 비상 부하 자동 제어 반영
 - 정전 확산 방지: 변압기 1대 사고 시 중요 안전 부하(스크린도어, 비상조명 등)의 계속 운전을 위해 일반 동력 부하를 차단하는 자동 부하 제어(Load Shedding) 설계를 반영하였음.</t>
  </si>
  <si>
    <t>1. 국토교통부 건축구조기준(KDS 41)을 적용한 태양광 철골 H빔 지지대, 베이스 플레이트 및 케미컬 앵커 인발 하중 구조 계산서 대조
2. 설계 풍속(초속 45m/s 이상 기준) 대비 태양광 모듈 휨 응력 및 연결부 풍압 하중 계산 결과 확인
3. 옥상 방수층 파손 예방을 위한 슬래브 무타공 고정(콘크리트 기초 블록 안착 등) 또는 특수 지수 앵커 방수 마감 설계 검토</t>
  </si>
  <si>
    <t>1. 태양광 지지 구조 보강
 - 붕괴 전도 예방: 강풍 및 지진 시 붕괴를 원천 방지하고자 태양광 모듈 프레임 강재 규격을 보강하고 고강도 콘크리트 무근 기초 앵커 지지 상세를 설계 적용하였음.</t>
  </si>
  <si>
    <t>1. 통전 표시기 구동 전원의 저압 제어 버스 전원 회로 공급 계통도 설계 대조
2. 주 수전 무가압 또는 상용 정전 상태에서도 상시 감전 위험 경고가 가능하도록 통신기계실 내 무정전 전원장치(UPS) 제어 전원 배선 연계 도면 확인
3. 활선 램프 내부 LED 소자 고장 감지용 페일세이프(Fail-safe) 알람 또는 램프 소자 이중화 내구성 스펙 확인</t>
  </si>
  <si>
    <t>1. 통전 표시기 UPS 전원 반영
 - 오인 감전 사고 예방: 한전 정전 상태에서도 전압 표시기가 상시 작동하여 감전 유무를 지시할 수 있도록 감시 전용 소내 UPS 라인을 활선 장치에 연계 설계하였음.</t>
  </si>
  <si>
    <t>1. 보호계전기(OCR/OCGR) 통신 모듈의 원격 고장 알람 통신 리셋(Remote Reset) 제어 I/O 회로 단자 배선 도면 확인
2. 계전기 내 메모리의 고장 이벤트 이력 자동 저장 무결성 유지 및 상태 플래시 클리어(Flash Clear) 소프트웨어 로직 검토
3. 안전사고 예방을 위한 현장 수동 복귀(Local Reset) 조작반의 물리적 잠금장치 비상 해제 시퀀스 유무 대조</t>
  </si>
  <si>
    <t>1. 차단기 보호계전기 원격 리셋 보완
 - 복구 공기 단축: 차단기 트립 후 사령실의 신속한 계통 복구를 지원하기 위해 보호계전기의 무선 원격 리셋 제어 라인을 보강 설계하여 원격 통전 대기 시간을 단축시켰음.</t>
  </si>
  <si>
    <t>1. 한전 전원측 단락 용량(MVA) 및 변압기 %임피던스를 반영한 수전점 계통 최대 단락전류(kA) 시뮬레이션 계산서 대조
2. 수배전반 메인 VCB 및 차단기류의 정격 차단 용량(kA, 최소 25kA 이상 등) 규격 만족 여부 확인
3. 보호계전기(OCR/OCGR)의 단락 전류 트립용 한시 및 순시 탭(Tap) 설정값 정합성 검토</t>
  </si>
  <si>
    <t>1. 차단기 단락 차단 용량 정밀 계산 반영
 - 수배전반 소손 예방: 단락 사고 시 고장 전류를 완벽히 소호할 수 있도록 계통 단락 용량 계산서에 맞춰 VCB의 정격 차단 용량을 여유 있게 선정(25kA 이상)하고 수배전반 강도를 설계 확보하였음.</t>
  </si>
  <si>
    <t>1. 전기차 충전 주차 구역 내 고강도 콘크리트 카스토퍼 및 강관 충격 보호용 볼라드(Bollard) 배치 평면도 대조
2. 옥외 충전기 함체 규격의 외부 충격 보호 등급(IK 등급, 최소 IK10 이상) 충족 시험 성적서 확인
3. 충전기 함체 강제 이탈 및 충돌 감지 시 전원 인입단 차단(메인 MCCB 원격 트립) 안전 인터록 회로 검토</t>
  </si>
  <si>
    <t>1. 전기차 충전기 차량 충돌 방지 및 안전 장치
 - 안전 충돌 예방: 차량 후진 충돌에 의한 충전기 파손 및 전선 노출 감전 사고를 예방하기 위해 강관 볼라드와 카스토퍼를 필수 배치하고 충돌 감지 자동 단전 시퀀스를 설계 반영하였음.</t>
  </si>
  <si>
    <t>1. 전기기계실 내 MCC 장비 배열 시 전면 및 후면 벽체/타 장비와의 법정 이격 거리 실측 치수 도면 대조
2. MCC 패널 도어 최대 전개 각도(최소 90도 이상 개방) 시에도 보수원 피난 통행로 유효 너비 확보 상태 검토
3. KEC 232(전동기 제어반) 및 건축전기설비설계기준 내 유지보수 안전 이격 면적 기준 충족 여부 대조</t>
  </si>
  <si>
    <t>1. MCC 조작부 전면 유지보수 공간 규격 적용
 - 긴급 조작 대피로 확보: 전기 감전 사고 예방 및 신속 복구를 위해 모든 전동기 제어반(MCC) 전면에 KEC 기준을 초과하는 최소 70cm 이상의 충분한 조작 통로 공간을 평면도 상에 확보 설계하였음.</t>
  </si>
  <si>
    <t>1. 1,350kW 급속 충전설비 제작사 사양서 상 냉각수 순환 외장 칠러용 저압 소요 전기 용량(kW) 산정서 대조
2. 정거장 충전 변압기 및 충전 보조 저압 배전반에 칠러 가동 전용 MCCB 보호 차단 분기 회로 설계 여부 확인
3. 충전기 내부 온도 센서와 칠러 기동 시퀀스 간의 하드와이어 연동 제어 배선도 및 정지 로직 검토</t>
  </si>
  <si>
    <t>1. 충전기 전용 냉각 칠러 동력 전원 반영
 - 충전 가동율 확보: 1,350kW 급속 충전 시 수반되는 정류 모듈의 내부 열을 강제 수랭 소산시키기 위해 외장형 냉각 칠러용 동력 전원 공급 케이블과 차단기를 배전반에 별도 포함 설계하였음.</t>
  </si>
  <si>
    <t>1. 피뢰 시스템 보호 기준(KS C IEC 62305)에 따른 해당 건축물 LPL(Lightning Protection Level) 등급 설정 타당성 검토
2. 설정된 회전구체 반경(예: II급 기준 R=30m)을 적용한 3D 피뢰 보호 모델링 도면 상 지붕 사각지대 존재 여부 대조
3. 옥상 태양광 패널 프레임, 냉난방 실외기, 환기팬 모서리 부근의 보조 피뢰 수뢰부망 인접 추가 설계 확인</t>
  </si>
  <si>
    <t>1. 회전구체법 적용 피뢰 보호 범위 보강
 - 설비 낙뢰 파손 차단: 기지 내 주요 전기·신호 건물의 돌출 모서리까지 낙뢰로부터 완벽히 보호하기 위해 회전구체법(R=30m) 시뮬레이션을 통해 지붕 모서리에 돌출 수뢰부를 추가 설계 적용하였음.</t>
  </si>
  <si>
    <t>1. SVG 전력변환 소자(IGBT)의 주파수 스위칭 대역 및 제어 무효전력 출력 응답 시간(최소 20ms 이내) 성능 스펙 대조
2. 인접 대형 전력 부하(전동차 급전 등) 변동폭 패턴 분석에 따른 동적 역률 보상 용량(kVAR) 시뮬레이션 계산서 확인
3. 고속 스위칭 SVG 자체 작동 시 발생하는 고주파 고조파 방출 차단용 내장 L-C 필터 뱅크 사양 검토</t>
  </si>
  <si>
    <t>1. 초고속 응답 무효전력보상장치(SVG) 규격 반영
 - 변압기 수명 보호: 부하 급변 시 순간적인 무효 전력 발생에 능동 대응하여 역률 95% 이상을 상시 유지하도록 응답 지연 시간이 20ms 이하인 초고속 IGBT 제어 방식 SVG를 시방에 지정하였음.</t>
  </si>
  <si>
    <t>1. 2대 변압기 간 전압, 주파수, 위상각, 극성 일치 회로 정합성 검토 및 VCB 연동 도면 대조
2. 무정전 병렬 전환을 위한 자동 동기 투입 릴레이(Synchro-check Relay, 25) 및 동기 탈조 계전기 사양 확인
3. 1차/2차 변압기 간 임피던스 오차 한계(10% 이내) 및 벡터 결선 방식(예: Dy11 동일 적용) 설계 규격 대조</t>
  </si>
  <si>
    <t>1. 충전/소내 병렬 변압기 위상 정합 장치 설계
 - 병렬 운전 폭발 예방: 시종점 정거장 변압기 병렬 운전 절체 시 발생할 수 있는 위상 상이 및 충돌 사고를 방지하기 위해 위상 동기 감시 릴레이를 추가하여 전기 안정성을 보강하였음.</t>
  </si>
  <si>
    <t>1. 주 변압기 용량별 저압측 분기반까지의 케이블 임피던스를 반영한 지점별 3상 고장 단락 전류(kA) 정밀 계산서 대조
2. 위치별 도출 단락 전류 대비 해당 분전반 메인 MCCB의 정격 차단 용량 만족 여부(일반 5kA 대신 고차단 10kA~14kA 이상 지정) 확인
3. 캐스케이딩(Cascading) 보호협조에 따른 상위 차단기와의 후비 보호(Back-up Protection) 차단 용량 대조</t>
  </si>
  <si>
    <t>1. 저압 배선차단기(MCCB) 차단 용량 적정성 강화
 - 차단기 소손 예방: 단락 발생 시 강한 아크 화염에 의한 차단기 파열을 막기 위해 고장 계산서 상 단락 전류 최고치에 맞춰 모든 말단 분전반 차단기를 고차단형(10kA 이상)으로 상향 명시 설계하였음.</t>
  </si>
  <si>
    <t>1. 터널 내 고습 환경에 노출된 장거리 동력 케이블 선로의 대지 정전 용량으로 인한 비고장성 상시 누설전류(mA) 예측 계산서 대조
2. 배수 펌프 오트립 방지를 위한 감도전류 조정형(30~100mA 가변형) ELB 적용 또는 단락보호 전용 차단기(MCCB) 혼용 사양 검토
3. 고감도 ELB 배제 시 KEC 감전 보호 규정에 따른 지락 경보 장치(ELD) 및 누전 원격 감시 알람 제어 방식 대조</t>
  </si>
  <si>
    <t>1. 터널 배수용 전원반 감도 전류 최적화
 - 터널 침수 예방: 기상 변화 및 터널 다습 조건에서 누전차단기의 이유 없는 오트립으로 인한 터널 침수를 예방하고자 장선 계통의 감도 전류를 가변 설정할 수 있는 조절형 차단기를 채택 설계하였음.</t>
  </si>
  <si>
    <t>1. 밀폐형 배터리실 천장 상부 체류 수소 가스 감지기(공기 중 설정 농도 1% 이내 사전 경보) 및 방폭형 강제 흡배기 팬 설치 평면도 대조
2. UPS 배터리 셀 팽창 및 과충전 방지를 위한 배터리 관리 모니터링 장치(BMS) 감시 충전 차단 인터록 확인
3. 화재 또는 정전으로 배기 환기팬 정지 시 배터리 충전기 자동 가동 중단(인터록) 시퀀스 제어 도면 대조</t>
  </si>
  <si>
    <t>1. 배터리실 방폭 배기 설비 및 수소 가스 제어 반영
 - 폭발사고 예방: 충전 중 발생하는 수소 가스의 실내 정체로 인한 가스 폭발 위험을 해소하기 위해 수소 감지 연동형 방폭 강제 환기팬을 설치하고 상시 부압 상태를 유지하도록 설계하였음.</t>
  </si>
  <si>
    <t>1. 건축 벽체 및 슬래브 관통 케이블 트레이/배관 공동구 관통부의 방화 씰링 상세 규격(건축법 시행령 기준 2시간 이상 내화 방화 인증 성적서) 적용 확인
2. 변전실 및 옥외 공동구 경계 전구간 케이블 트레이 연소 방지재(난연 도료 도포 길이 2m 이상 규정 등) 도포 설계 및 도면 대조
3. 케이블 사이 공극 밀폐용 난연성 발포 폼 및 특수 내화 차단재 시공 상세 시방서 규격서 검토</t>
  </si>
  <si>
    <t>1. 전기차 충전기 케이블 보호 릴 및 쉘터 반영
 - 이용객 감전 예방: 야외 노출형 전기차 충전기의 케이블이 바닥에 방치되어 손상되거나 우천 시 누전되어 발생하는 감전 위해를 막고자 자동 권취형 스프링 릴과 충전 부스 방수 쉘터를 추가 설계하였음.</t>
  </si>
  <si>
    <t>1. 차량 주행 시 슬래브로 전달되는 진동 스펙트럼 및 기계식 래치 한계 진동(Hz) 설계 기준 만족 여부 및 도면 정합성 검토
2. 수배전반 함체 기초 하부 방진 고무 패드(네오프렌 소재 두께 10T 이상) 스펙 도면 대조 및 규정 부합 여부 확인
3. 볼트 접합부 풀림 방지 스프링 와셔 및 풀림 방지 너트 필수 명시 여부 도면 대조 및 규정 부합 여부 확인</t>
  </si>
  <si>
    <t>1. 변전소 배전반 하부 방진 고무 보강
 - 아크 접촉 오작동 차단: 지하 트램 주행 진동이 상부 변전반 접점 풀림 및 VCB 차단기의 기계식 오동작으로 이어지는 것을 방지하기 위해 장비 기초 패드에 정밀 방진 고무를 삽입하고 이중 로크너트를 적용하였음.</t>
  </si>
  <si>
    <t>1. 트레이 내 케이블 단면적 및 단위 길이당 중량(kg/m) 하중 계산서 도면 대조 및 규정 부합 여부 확인
2. 지지용 찬넬 및 서포트 앵커(볼트 직경 최소 12mm 이상) 설계 인장력 대비 강도 설계 기준 만족 여부 및 도면 정합성 검토
3. 풍하중 또는 내부 지진 시 변위 거리를 제어할 내진 브레이싱 설치 여부 도면 대조 및 규정 부합 여부 확인</t>
  </si>
  <si>
    <t>1. 케이블 트레이 구조 강도 및 앵커 설계 반영
 - 트레이 전도 붕괴 방지: 공동구 내 케이블 자중 및 향후 추가 증설 하중까지 견디도록 구조 계산을 수행하고 지지 앵커 규격을 상향하며, 지진 대응용 브레이싱 설치를 명시하여 안전성을 강화하였음.</t>
  </si>
  <si>
    <t>1. 급속 충전기 가동 시 시뮬레이션을 통한 정거장 변압기 2차측 전압 리플 및 왜곡율 설계 기준 만족 여부 및 도면 정합성 검토
2. PSD 제어반 및 인버터 전용 상시 제어 전원 UPS(1.5kVA급 이상) 개별 백업 설치 도면 대조 및 규정 부합 여부 확인
3. 충전 전력 인입 회로와 PSD 제어 배선의 완전 차폐 및 격리 도면 대조 및 규정 부합 여부 확인</t>
  </si>
  <si>
    <t>1. PSD 제어반 독립 UPS 전원 공급 구성
 - 승객 비상 피난 차단 방지: 급속 충전 중 발생하는 순간적인 전압강하 및 노이즈가 스크린도어 제어 회로를 오작동시키지 않도록 PSD 전원을 상시 안정된 독립 UPS 전원으로 이중 분리 설계하였음.</t>
  </si>
  <si>
    <t>1. 벽체 및 슬래브 관통 케이블 공동구 방화 씰링 상세 규격(2시간 이상 방화 인증 성적서) 도면 대조 및 규정 부합 여부 확인
2. 변전실 및 공동구 경계 전구간 케이블 트레이 연소 방지재 도포 설계 및 도면 도면 대조 및 규정 부합 여부 확인
3. 난연성 폼 및 특수 내화 차단재 시방서 도면 대조 및 규정 부합 여부 확인</t>
  </si>
  <si>
    <t>1. 공동구 벽체 방화 밀폐재 및 연소방지 도포 반영
 - 화재 연쇄 전파 방지: 케이블 지락 등에 의한 국부 화재 시 연기가 전선 트랜치를 타고 통신실 및 변전소 전 구역으로 확산되는 것을 차단하기 위해 모든 관통벽에 방화 밀폐 시공을 상세히 명시 설계하였음.</t>
  </si>
  <si>
    <t>변전소 내 40톤 중량 변압기 및 고압 배전반 배치 평면도 상의 슬래브 두께 구조 계산서 검토 및 마감 두께(무근 1,000mm) 적용에 따른 수밀식 이중 슬래브 하중 분산 설계 확인</t>
  </si>
  <si>
    <t>변압기 장비 고정 부의 슬래브 단면 두께를 500mm로 구조 설계 보완하고, 전단력 집중에 대응하기 위해 D25 고장력 철근 복철근 배근 및 강재 서포트 프레임 설치 상세도를 보완함</t>
  </si>
  <si>
    <t>정거장 150kW/300kW 초급속 충전기 동시 가동 시 전원 인입 케이블 트레이 내 포설 밀도에 따른 온도 상승 시뮬레이션 및 케이블 스케일 계산서 정합성 대조</t>
  </si>
  <si>
    <t>케이블 트레이 내 층적 포설을 배제하고 단층 이격 배치를 적용하며, 케이블 규격을 120sq에서 185sq 난연 사양(FR-8, 고온 절연성 가교 폴리에틸렌)으로 격상해 설계 반영</t>
  </si>
  <si>
    <t>기계실/송풍기실 내 동력 제어용 MCC(모터제어반) 가동 진동에 따른 단자 볼트 헐거워짐 예방 및 무근 콘크리트 패드(300mm) 위 스프링 방진 마운트 설치 도면 검토</t>
  </si>
  <si>
    <t>분류별 진동 감쇄 효율 95% 이상의 더블 네오프렌 방진 패드를 MCC 베이스 프레임 하부에 배치하고, 진동 풀림 방지 너트(와셔 포함) 및 분기 회로별 스파크 감지 차단기 설계 보완</t>
  </si>
  <si>
    <t>DC 750V 급전선에 따른 궤도 매립선로 내 누설전류 포집 구리 케이블(접지망) 루프 임피던스 계산 및 인접 지중 가스/수도 배관 전식 해석 보고서 확인</t>
  </si>
  <si>
    <t>레일 트러프 저면에 120sq 동선 기반의 연속 포집망(Stray Current Collector)을 구축하여 변전소 마이너스 부스바에 직접 연계하고, 인접 지중 매설관에 전식 측정용 터미널(T/B) 함체 설계 반영</t>
  </si>
  <si>
    <t>교량 온도 변위에 따른 신축 조인트(Expansion Joint)부 궤도 내 연속 철근 단절 구간의 등전위 확보를 위한 가요성 접지 본딩선(구리 95sq 이상) 도면 및 용접 규격 확인</t>
  </si>
  <si>
    <t>조인트부 철근 단면에 가요성 구리 편조선 및 CADWELD 용접 공법(접촉 저항 0.1밀리옴 이하)을 설계도면 상세에 반영하고, 해당 이음 수량을 공사 내역에 일괄 반영</t>
  </si>
  <si>
    <t>궤도_설계추진방향_차량, 열차운영 등 인터페이스 적정성_rev.05_260608.pdf (Page 12, 13)</t>
  </si>
  <si>
    <t>교차로 구간 강풍 및 트램 패터그래프 걸림에 의한 가선(Contact Wire) 단선 시, 가선이 지면으로 낙하해 보행자/차량에 고압 전파되는 위험성에 대한 비상 차단(릴레이) 설계 검토</t>
  </si>
  <si>
    <t>교차로 직상부 가선 지지 구조에 스태빌라이저 안전 와이어 암을 2.5m 간격으로 추가하고, 단선 시 0.05초 이내에 급전을 차단하는 고속 회로차단기(HSCB) 및 지락 릴레이 연동 설계 적용</t>
  </si>
  <si>
    <t>지하 변전소 GIS(가스절연개폐장치) 및 고압 배전반 상부의 케이블 트레이, 공조 덕트 포설 시 요구되는 기기 충전부와 트레이 하단 간의 최소 안전 이격거리(유효 높이 5.5m) 확인</t>
  </si>
  <si>
    <t>변전실 슬래브 구조고를 6.2m(유효 천장고 5.8m 이상)로 설계 보완하고, 케이블 트레이 포설 전용 스틸 행거 프레임 및 안전 안전 차폐막 상세도를 단면도에 반영</t>
  </si>
  <si>
    <t>도로변 노출되는 옥외 무가선 트램 충전기 및 신호 연동 제어반용 고압 함체(지상형)의 집중 호우 시 침수 및 보행자 접촉 감전 방지를 위한 방수/방습 기준 대조</t>
  </si>
  <si>
    <t>옥외 함체의 외함 등급을 IP66(완전 밀폐, 강력한 분사 우수 방지)으로 상향하고, 콘크리트 기초 기단 높이를 노면 배수 레벨보다 높은 500mm 이상으로 높이며 함체 내부 접지선 이중화 설계</t>
  </si>
  <si>
    <t>일반정거장 캐노피의 8.6m 확장형 대형 철골 프레임에 직격뢰(낙뢰)가 칠 때 대기 승객으로의 측면 섬락(Side Flashover) 방지를 위한 구조체 접지 및 인하도선 연결 상세도 검토</t>
  </si>
  <si>
    <t>캐노피 메인 기둥 내부 철골을 전기적으로 연속 본딩(접지 단자판 설치)하여 인하도선으로 활용하고, 기단 하부에 단독 접지극(동판 900x900x3t, 접지저항 10옴 이하)을 매설하도록 설계 반영</t>
  </si>
  <si>
    <t>특화정거장 2층 대공간(2,500㎡) 내 고출력 경관 조명 및 필수 설비 집중 시 전력 제어반 내 분기 회로 과부하에 따른 열적 열화 및 인접 전자 기기 노이즈 간섭 확인</t>
  </si>
  <si>
    <t>조명 회로를 3상 4선식 밸런싱 분기 회로(최대 부하율 70% 이하 제한)로 세분화하여 설계하고, 제어반 내 차단기 간 격벽 설치 및 고조파 필터(EMI/EMS) 내역 반영</t>
  </si>
  <si>
    <t>정거장 지하 1층 EPS(전기 샤프트) 및 통신 샤프트실 내 온습도 변화로 인한 옹벽 면 결로 및 상부 우수 관로 누수 시 전기 분전반 침수 방지 조치 계획 확인</t>
  </si>
  <si>
    <t>EPS실 바닥 경계 테두리에 높이 150mm의 방수 턱(Water Barrier)을 두르고 바닥에 드레인 소켓(50A)을 설치하며, 실내에 제습용 소형 환풍기(습도 센서 연동형) 설치 설계 반영</t>
  </si>
  <si>
    <t>차량기지 검수고 내 10톤 천장 크레인 및 동시인양기 등 대형 유도 전동기 기동 시 발생하는 고전압 서지(Surge) 및 전자기 펄스가 주변 전산 신호 서버에 유입되는 경로 분석</t>
  </si>
  <si>
    <t>크레인 전원 계통과 관제 통신 전원 계통의 절연용 분기 변압기를 분리하고, 통신 전원 배전반 인입구에 고성능 서지 보호 장치(SPD, Class I+II 복합형) 및 액티브 노이즈 필터 설계</t>
  </si>
  <si>
    <t>지하 변전실 내 무정전 전원 공급 장치(UPS)의 리튬이온 또는 연축전지 충전 중 과충전/과전류로 인한 배터리 셀 열폭주(Thermal Runaway) 및 유독가스(수소 등) 체류 리스크 검토</t>
  </si>
  <si>
    <t>배터리 관리 시스템(BMS)에 셀별 온도 감지 자동 차단 기능을 설계하고, UPS실 천장에 수소 감지기 및 비상 배기 팬(연기 연동 댐퍼 포함) 및 국소 분말 소화 장치 내역 반영</t>
  </si>
  <si>
    <t>정거장 옥외 노출되는 대형 캐노피 프레임 내 고압 배선용 케이블 트레이의 염해 및 수분 노출에 의한 지지 볼트 부식과 차량 진동에 따른 케이블 트레이 이탈 낙하 하중 계산 확인</t>
  </si>
  <si>
    <t>트레이 지지 앵커 및 볼트를 스테인리스 강재(STS 316 L)로 격상하고, 진동 풀림 방지용 고탄성 고무 패드 지지 가이드 브래킷 및 탈락 방지 와이어 로프 가시설 설계 반영</t>
  </si>
  <si>
    <t>특화정거장 대형 멀티 에어컨 실외기 집중 가동 시, 동시 가동 시 기동 전류(Starting Current) 급증으로 메인 차단기가 불시에 트립되어 정거장 내 급전 장애를 일으킬 리스크 검토</t>
  </si>
  <si>
    <t>냉방 전동기 인입 회로에 고전압용 소프트 스타터(인버터 구동 제어)를 기본 사양으로 반영하고, 전원 분배 배전반 내에 조작용 마그네틱 스위치 및 열동형 과부하 계전기 설계 보완</t>
  </si>
  <si>
    <t>도로 횡단/혼용 구간 매립형 레일 주변의 우수 및 노면 염화칼슘 유입 시, 레일 측면 고무 갭 필러의 전기 절연 파괴(투수성 증가)로 누설 전류가 인접 도로 구조물 철근으로 전식되는 현상 검토</t>
  </si>
  <si>
    <t>전기 저항 10^9 옴 이상의 고절연성 열가소성 폴리우레탄(TPU) 및 EPDM 복합 성형 절연 프로파일 사양을 적용하고, 레일-필러 블럭 접합부에 전용 실링 방수재 도면 상세 추가</t>
  </si>
  <si>
    <t>오산천교 등 교량 신축 조인트 거동 및 차량 통과 시 미세 수직 처짐(단차)에 의한 고압 급전 피더(Feeder) 케이블의 반복적인 꺾임과 보호 도관 내면 쓸림에 의한 절연 피복 파괴 검토</t>
  </si>
  <si>
    <t>교량 접속부 통과 피더 관로에 가요성이 뛰어난 특수 벨로즈형 스테인리스 플렉시블 튜브를 반영하고, 케이블 내부 꺾임 반경을 케이블 외경의 10배 이상 확보할 수 있는 슬랙 루프 트레이 설계</t>
  </si>
  <si>
    <t>차량기지 중수선 및 차체 분리장 내 10톤 크레인 횡행 시 가동 전선(Festoon Cable) 및 트레일링 케이블 캐리어의 가이드 레일 쓸림, 먼지 흡착에 따른 케이블 단선과 불꽃 낙하 리스크 검토</t>
  </si>
  <si>
    <t>검수고 내 분진과 습기 영향을 배제하기 위해 노출식 페스툰 케이블 대신 동선 매립형의 완전 밀폐형 안전 트롤리바(Conductor Bar, IP23 이상) 및 자동 집전 장치(Shoe) 설계 적용</t>
  </si>
  <si>
    <t>검수_설계추진방향보고_검수고 내 배치 레이아웃 및 검수장비 검토_rev.00_260529.pdf (Page 6, 8)</t>
  </si>
  <si>
    <t>1. 표준 설계 기준 및 시방서 확인
2. 상세 도면 및 수량산출서 적정성 검토</t>
  </si>
  <si>
    <t>1. 설계 정합성 보완 및 안전성 검토
 - 상세 도면 작성 및 공종 간 인터페이스 협의 완료.</t>
  </si>
  <si>
    <t>표준체크리스트</t>
  </si>
  <si>
    <t>건축_설계추진방향보고_변전소 추진방향_rev.00_260526.pdf</t>
  </si>
  <si>
    <t>1. 변전소 환기구 높이 및 강우 시 배출 풍량 산출서 검토
2. 차수용 루버(Louver) 상세 및 배수로 연결 도면 일치 여부 확인</t>
  </si>
  <si>
    <t>1. 차수 후드 및 환기 시스템 보완
 - 우수 방지용 엘보우 후드 적용: 환기구 입구에 하향식 후드 및 배수 트렌치를 설계 반영하여 집중호우 시 변전설비 침수 위험을 원천 차단함.</t>
  </si>
  <si>
    <t>1. 구간별 지하매설물 통합 지적도(GIS 데이터)와 가설 흙막이 배면 도면 교차 검토
2. 굴착 예상 경로 상 비파괴 지반탐사(GPR) 계획 수립 및 굴착 깊이별 침하 계측기 배치 검토</t>
  </si>
  <si>
    <t>1. 지하매설물 GPR 탐사 및 계측 모니터링 반영
 - GPR 조사 및 계측 강화: 굴착 작업 전 가설 노선 전 구간에 GPR 정밀 물리탐사를 반영하고 흙막이벽 변위 계측기를 설치하여 사고 리스크를 헷지함.</t>
  </si>
  <si>
    <t>토질 및 기초_설계추진방향보고_구간별 변전소 가시설 검토(1차)_rev.00_260527.pdf</t>
  </si>
  <si>
    <t>5. 설계기준.pdf (P.17), 7. 자재사양서.pdf (P.20)</t>
  </si>
  <si>
    <t>무정전전원장치(UPS) 자재 사양 설계 시 친환경 밀폐형 축전지 사양 반영 및 가스 배출 억제 구조 설계 여부를 검토함.</t>
  </si>
  <si>
    <t>정전보상시간(관제 3시간)을 충족하는 무보수 밀폐형 축전지를 적용하고, 축전지 옥외함/실내 보관함에 개폐 및 환기가 용이한 전용 문과 환기구(환기망)를 설치하며, KS 인증 제품 검증을 통해 유해가스 발생 및 성능 저하를 방지함.</t>
  </si>
  <si>
    <t>연동장치 구성 방식(집중식 vs 분산식)에 따른 신호기계실 점유 면적 및 현장 제어장치 설치 공간의 적정성을 검토함.</t>
  </si>
  <si>
    <t>본선 연동장치는 분산식(관제실/기지에 중앙연동처리장치 설치, 연동역에 현장제어함 설치)을 기본으로 설계하여 신호기계실 수를 최소화하고, 대안으로 연동역마다 컴팩트 캐비넷형 트램용 연동장치(집중식 3안)를 설치하여 정거장 점유 공간을 최소화하고 건축/기계실 비용을 절감하는 공조/공간 설계를 검토함.</t>
  </si>
  <si>
    <t>5. 설계기준.pdf (P.14), 10. 주요 장비별 형식, 규격 및 수량 검토보고서.pdf (P.65, P.71)</t>
  </si>
  <si>
    <t>종합관제실 TCC 서버의 열차자동감시장치(ATS) 운행 스케줄 기반 자동진로 설정(ARS) 기능 구현 여부를 검토함.</t>
  </si>
  <si>
    <t>TCC 서버가 트램의 운행 정보와 동적 데이터를 기반으로 열차 위치를 실시간 추적하고, 스케줄에 따른 자동 진로 및 신호 요청을 연동장치로 전송하는 ARS(자동진로제어) 기능을 계획하여 관제원의 수동 제어 과부하 및 휴먼 에러를 방지함.</t>
  </si>
  <si>
    <t>5. 설계기준.pdf (P.17), 10. 주요 장비별 형식, 규격 및 수량 검토보고서.pdf (P.6, P.20)</t>
  </si>
  <si>
    <t>수동 시계운전 모드 시 기관사의 신호 오동작을 예방하기 위한 차상 조작반(DMI/MMI) 정보 표출 및 적색 신호 통과 시 지상 방호설비(ATS 지상자) 연계 설계를 검토함.</t>
  </si>
  <si>
    <t>1인 승무 책임운전을 위해 차상 DMI를 통해 실시간 위치 및 운행 정보를 표출하여 시인성을 확보하고, 정지신호기 전방 17m 지점에 ATS용 발리스를 설치하여 적색 신호를 침범할 경우 자동으로 비상 제동을 체결하도록 지상-차상 방호 설비를 설계에 반영함.</t>
  </si>
  <si>
    <t>5. 설계기준.pdf (P.13, P.14), 10. 주요 장비별 형식, 규격 및 수량 검토보고서.pdf (P.44, P.91)</t>
  </si>
  <si>
    <t>분기부 및 현장 신호설비(현장제어함 등) 설치 시 건축한계에 저촉되지 않도록 계획하고, 보행 동선 침해가 없는 최적 위치를 선정하며, 신호 케이블용 횡단 배관 배선 방안을 수립해야 함.</t>
  </si>
  <si>
    <t>현장제어함을 건축한계 외측에 배치하고, 분해조립이 용이한 스테인리스 외함 구조로 설계하며, 타 공종(토목, 도로교통 등)과의 마찰 방지를 위한 배관·배선 및 공동구 교차부 사전 조정을 검토함.</t>
  </si>
  <si>
    <t>5. 설계기준.pdf (P.9, P.12); 10. 주요 장비별 형식, 규격 및 수량 검토보고서.pdf (P.41); 7. 자재사양서.pdf (P.13)</t>
  </si>
  <si>
    <t>교차로 안전을 위한 돌발유고감시 장치(CCTV, 분석기 등) 설치 시 필요한 전원 케이블, 통신 선로, 통합 접지 및 지중 배관 배선 물량이 설계 내역에 누락되지 않도록 검토해야 함.</t>
  </si>
  <si>
    <t>돌발유고감시 장치용 네트워크 카메라, 제어부, VPN 보안 장비 등의 전력/통신 배관·배선을 설계에 상세 반영하고, 전원 결선 시 함체 접지(통합접지) 및 보호 설비 물량을 설계도서에 명확히 표기함.</t>
  </si>
  <si>
    <t>7. 자재사양서.pdf (P.30, P.33); 6. 공사시방서.pdf (P.59, P.71)</t>
  </si>
  <si>
    <t>단계별 굴착 깊이 및 예상 유입수량(지하수+우수)을 고려하여 양수기 용량 및 대수 산정 근거를 설계서에 명시하고 비상 예비 펌프 계획을 반영해야 함.</t>
  </si>
  <si>
    <t>지반조사 보고서의 투수계수 및 지하수위를 토대로 단계별 굴착 유입수량(Q=kiA 공식)을 산정하고, 최대 유입수량의 1.5배 이상을 처리할 수 있도록 양수기 용량 및 대수를 설계하며, 비상 상황 대비 예비 양수기(1대 이상)를 포함한 가설 배수 계획을 설계 도서에 반영함.</t>
  </si>
  <si>
    <t>6. 공사시방서.pdf</t>
  </si>
  <si>
    <t>공정별 유량 변동폭(Peak 유량)을 분석하여 배수펌프 용량을 산정하고, 최대 Peak 유량에 대응하는 예비 펌프 계획을 반영해야 함.</t>
  </si>
  <si>
    <t>공정별 Peak 유량 분석을 통해 펌프 정격 유량을 최대 변동폭 이상으로 설계하고, 2대 이상의 펌프를 교번 및 동시 운전이 가능하도록 제어회로(MCC)를 구성하며, 유입량 200% 처리가 가능한 예비 펌프 1대 이상을 설계에 반영하여 집중호우 시 배수 불능 리스크를 방지함.</t>
  </si>
  <si>
    <t>배수펌프 제어반(MCC)이 침수 위험으로부터 안전한 위치(지하 바닥보다 높은 위치)에 배치되도록 설계하고, 방습 구조로 설계해야 함.</t>
  </si>
  <si>
    <t>배수펌프 제어반(MCC)을 지하층 최저 수위보다 300mm 이상 높은 위치에 배치하도록 기초 패드 레벨을 설계하고, IP54 이상의 방습·방수 등급을 갖춘 외함 구조로 설계하여 침수 시에도 제어반이 먼저 수몰되지 않도록 함으로써 배수 기능을 최후까지 유지하도록 설계함.</t>
  </si>
  <si>
    <t>하천변 굴착 시 지하수위 및 투수계수를 고려한 물푸기(Dewatering) 계획을 수립하고, 차수 공법 및 배수 처리 방안을 설계에 반영해야 함.</t>
  </si>
  <si>
    <t>지반조사 보고서의 지층별 투수계수 및 지하수위를 분석하여 굴착 단계별 예상 용출수량을 산정하고, 중력식 집수정(Sump Pit) 및 웰포인트(Well Point) 등 적절한 차수·배수 공법을 선정하며, 용출수가 하천이나 도로로 유입되지 않도록 처리 계획을 설계 도서에 반영함.</t>
  </si>
  <si>
    <t>지반조사 보고서의 투수계수를 기반으로 유입수량 산정 근거를 명시하고, 계산서와 도면이 일치하는지 검토하며, 여유율을 고려한 배수 시설 용량을 계획해야 함.</t>
  </si>
  <si>
    <t>지반조사 보고서에서 층별 투수계수(k)를 추출하고 Darcy 법칙에 따라 단계별 굴착 유입수량을 산정하는 계산서를 작성하며, 산정된 유입수량에 안전율(1.5 이상)을 적용한 배수펌프 용량 및 집수정 크기를 설계하여 계산서와 도면이 일치하도록 검토함.</t>
  </si>
  <si>
    <t>비상 전원 공급 라인에 핵심 배수펌프가 연결되어 있는지 전기-기계 분야 간 인터페이스를 검토하고, 비상 전원 회로도를 설계에 반영해야 함.</t>
  </si>
  <si>
    <t>배수펌프 비상 운전을 위한 비상발전기 전원 회로를 설계하고, 기계-전기 분야 간 인터페이스 도면(단선결선도 및 MCC 결선도)에 비상 전원 연결 경로를 명기하여 전원 이중화를 확보하며, 정전 시 자동 절체(ATS: Automatic Transfer Switch)를 통해 배수펌프가 즉시 가동될 수 있도록 설계함.</t>
  </si>
  <si>
    <t>검수 작업 빈도 분석을 통해 압축공기·공업용수 장비 용량을 산정하고, 인출구의 적정 배치 계획을 수립하며 유지보수 효율을 고려한 설계를 반영해야 함.</t>
  </si>
  <si>
    <t>차량기지 검수고의 작업 종류(검사, 세척, 공압 도구 등) 및 동시 사용 대수를 분석하여 압축공기 공급 용량(공기압축기 용량 및 배관 관경)과 공업용수 공급 용량을 산정하고, 각 검수선 및 작업 위치에 적정 간격(10m 이내)으로 인출구(Air Outlet, Water Outlet)를 배치하여 작업 효율을 최적화하는 설계를 반영함.</t>
  </si>
  <si>
    <t>공사 중 발생하는 폐수 발생량을 적정하게 산정하고, 충분한 용량의 폐수처리시설을 설계하여 공사 중 수질 기준 초과 미처리 폐수의 하천 유출을 방지하는 계획을 반영해야 함.</t>
  </si>
  <si>
    <t>공사 중 발생하는 굴착폐수, 세척폐수 등의 종류와 발생량을 단계별로 산정하고, 수질환경보전법 기준을 충족하는 적정 용량의 폐수처리시설(침전조, 정화조 등)을 설계에 반영하며, 공사 단계별 폐수 발생 계획 및 처리 방안을 환경관리 계획서에 명시함.</t>
  </si>
  <si>
    <t>시방서에 HCFC 계열 냉매 금지 조항을 명기하고, 환경부 고시에 부합하는 친환경 냉매(R-410A 또는 R-32 등) 적용 기준을 설계에 반영해야 함.</t>
  </si>
  <si>
    <t>공조 및 냉난방 설비 설계 시방서에 오존층 파괴물질인 HCFC 계열 냉매(R-22 등) 사용 금지를 명기하고, 몬트리올 의정서 및 국내 환경부 규정에 부합하는 친환경 대체 냉매(R-410A, R-32 등)를 적용하도록 설계에 반영하여 법적 규제 위반 리스크를 방지함.</t>
  </si>
  <si>
    <t>사수 방지를 위한 급수배관 칸막이 및 단차 설계를 반영하고, 소화용수가 장기간 체류하여 수질이 악화되지 않도록 배관 순환 계획을 수립해야 함.</t>
  </si>
  <si>
    <t>소화용수 저수조 및 배관 내 사수(Dead Water) 방지를 위해 유입관과 배출관 위치를 분리 배치하고, 칸막이(Baffle)를 설치하여 물이 순환되도록 설계하며, 주기적인 배수 및 청소가 용이한 드레인 밸브를 설치 계획에 반영하여 위생적인 소화용수 관리가 가능하도록 함.</t>
  </si>
  <si>
    <t>설계에 반영된 급수배관의 밸브 조작 및 유지관리 어려움을 분석하여 하향식 배관 변경 가능성을 검토하고, 최적 배관 방식을 결정하여 설계에 반영해야 함.</t>
  </si>
  <si>
    <t>급수배관의 밸브 조작 및 유지관리 편의성 검토를 위해 상향식과 하향식 배관 방식을 비교 분석하고, 유지보수 접근성, 수압 균형, 동파 방지 등의 측면을 종합적으로 고려하여 최적 배관 방식을 선정하며, 선정 근거를 설계 설명서에 명시함.</t>
  </si>
  <si>
    <t>시수 직결과 저수조를 겸용한 하이브리드 급수 방식을 설계하여 단수 시에도 화장실 및 세척용수 공급이 지속될 수 있는 급수 신뢰성을 확보해야 함.</t>
  </si>
  <si>
    <t>차량기지 및 정거장의 급수 신뢰성 확보를 위해 시수 직결 방식과 저수조 방식을 병용하는 하이브리드 급수 시스템을 설계하고, 단수 시 자동으로 저수조 급수로 전환되는 제어 밸브 및 수위 감지 계획을 반영하여 필수 용수(화장실, 차량 세척 등) 공급 중단을 방지함.</t>
  </si>
  <si>
    <t>기계실 상부 수계 배관이 전기설비(고압반, 통신 장비 등) 상부를 횡단하는 설계를 지양하고, 누수 발생 시 전기설비를 보호할 수 있는 배관 라우팅 방안을 수립해야 함.</t>
  </si>
  <si>
    <t>수계 배관(급수, 소화 배관 등)이 변전실, 통신실, 고압반 등 전기설비실 상부를 횡단하지 않도록 배관 라우팅을 설계하고, 불가피하게 상부 횡단이 필요한 경우 방수 트레이(Water Proof Tray) 및 누수 감지 센서를 배관 하부에 설치하여 누수 시 관제실에 즉시 경보가 발생하도록 설계에 반영함.</t>
  </si>
  <si>
    <t>기계실의 면적 및 층고가 대형 장비 반입 및 유지보수 작업 공간을 충분히 확보하는지 검토하고, 부족한 경우 건축 설계 조정을 요청하는 협의 절차를 진행해야 함.</t>
  </si>
  <si>
    <t>기계실 설계 시 최대 장비 크기(압축기, 냉동기 등)와 반입 경로(도어 크기, 계단 폭 등)를 고려한 면적 및 층고(최소 3.5m 이상)를 확보하고, 펌프·밸브·필터 등의 유지보수 작업을 위한 최소 작업 공간(전면 1.0m 이상, 측면 0.6m 이상)을 설계에 반영하며, 건축 분야와의 인터페이스 협의를 통해 기계실 규격을 조정함.</t>
  </si>
  <si>
    <t>천장 속 공간(Plenum) 밀집 배치로 인한 시공 중 물리적 간섭 및 운영 중 유지보수 접근 불가 문제를 해결하기 위해 BIM(3D 간섭 검토)을 활용한 배관·덕트 라우팅을 계획해야 함.</t>
  </si>
  <si>
    <t>천장 플리넘 내 공조 덕트, 기계 배관, 전기 케이블 트레이 등의 간섭을 사전에 해소하기 위해 BIM(Building Information Modeling)을 활용한 3D 간섭 검토를 수행하고, 주요 밸브 및 댐퍼의 유지보수 접근을 위한 점검구(Access Panel) 위치를 도면에 명기하여 운영 중 유지보수 불가 리스크를 방지함.</t>
  </si>
  <si>
    <t>발주처의 중간점검 요구사항에 따라 추가 반영이 필요한 계측기 안전장비 및 전기장치 진단장비의 사양과 수량을 파악하여 설계 변경 및 물량 증감을 검토해야 함.</t>
  </si>
  <si>
    <t>발주처 중간점검 결과 요구되는 추가 계측기(압력계, 온도계, 유량계 등) 및 전기장치 진단장비(절연저항 측정기, 서지 보호기 등)의 사양을 확정하고, 설계 도면 및 내역서에 추가 반영하며, 이에 따른 공사비 증감을 설계 변경으로 처리하는 절차를 발주처와 협의함.</t>
  </si>
  <si>
    <t>기계 장비의 전원 공급 물량이 기계 및 전기 설계 도서에 누락 없이 반영되도록 분야 간 인터페이스 검토를 수행하고, 전기 단선결선도와 기계 설비 목록을 대조하여 누락 여부를 확인해야 함.</t>
  </si>
  <si>
    <t>기계 분야 장비 목록(전동 밸브, 펌프, 공조기 등)과 전기 분야 단선결선도(MCC 결선도, 분전반 회로도)를 대조하여 전원 공급 누락 설비를 식별하고, 누락된 회로를 전기 도면에 추가 반영하는 인터페이스 검토 절차를 수행하며, 최종 설계 도서에 기계-전기 인터페이스 일치 여부를 명시함.</t>
  </si>
  <si>
    <t>MCC반 기초 패드 레벨을 침수 최고 수위보다 높게 설계하여 지하 침수 시에도 배수펌프 제어반이 수몰되지 않도록 하는 방안을 설계에 반영해야 함.</t>
  </si>
  <si>
    <t>MCC반(Motor Control Center) 기초 패드 높이를 지하 최저층 바닥 기준으로 300mm 이상 상향 설계하여 단시간 침수 시에도 제어반이 수몰되지 않도록 하고, 배수펌프가 MCC반보다 먼저 가동될 수 있는 제어 로직(저수위 먼저 감지 후 펌프 기동)을 반영하여 침수 상황에서도 배수 기능을 유지할 수 있도록 설계함.</t>
  </si>
  <si>
    <t>핵심 전기·통신 시스템실(변전실, 통신실 등) 상부 급배수 배관 횡단 설계를 재검토하고, 누수 발생 시 대형 사고를 방지하기 위한 배관 우회 및 방호 대책을 수립해야 함.</t>
  </si>
  <si>
    <t>변전실, 통신실, 서버실 등 핵심 전기·통신 설비실 상부를 급배수 배관이 횡단하지 않도록 배관 라우팅을 재검토하여 우회 경로를 설계하고, 불가피한 경우 해당 구간에 스테인리스 방수 트레이 및 자동 차단 밸브를 설치하며, 누수 감지 센서를 연동하여 관제실에 즉시 경보가 전달되도록 설계함.</t>
  </si>
  <si>
    <t>T.A.B(Testing, Adjusting, Balancing) 용역 예산 및 측정공·조절댐퍼를 설계에 반영하여 준공 전 기계설비 성능 검증이 가능하도록 계획을 수립해야 함.</t>
  </si>
  <si>
    <t>기계설비 성능 검증을 위한 T.A.B 용역 계획을 설계에 반영하고, 공조 덕트 계통에 풍량 측정이 가능한 측정공(Test Port) 및 조절 가능한 VAV/VD(Volume Damper)를 설치하도록 설계하며, T.A.B 수행을 위한 예산을 설계 내역에 별도 계상하여 준공 후 공기질 불균형 및 과냉난방 리스크를 사전에 방지함.</t>
  </si>
  <si>
    <t>모든 기계설비에 식별 표지(ID 태그) 및 전동방화댐퍼(MFD) 조작 안내표지를 설계하고, 유지보수 오조작 방지 및 화재 시 신속 대처를 위한 현장 안내 체계를 수립해야 함.</t>
  </si>
  <si>
    <t>각 기계설비(펌프, 밸브, 댐퍼, 공조기 등)에 고유 ID 태그 및 기능 설명 표지를 부착하도록 설계하고, 전동방화댐퍼(MFD)의 수동 조작 절차 안내판을 설치 위치별로 제작하여 비상 시 신속한 조작이 가능하도록 하며, 방화댐퍼 위치도 및 제어 계통도를 기계실 내에 게시하는 계획을 반영함.</t>
  </si>
  <si>
    <t>식별표시 규격 및 MFD 조작 안내표지판 상세도를 설계에 반영하고, 현장 유지관리 및 비상시 신속 대처를 위한 유지관리 매뉴얼을 작성해야 함.</t>
  </si>
  <si>
    <t>기계설비 식별 표지의 재질(알루미늄 판), 크기(최소 A4), 내용(설비명, 번호, 운전 방향, 개폐 상태 표시) 및 부착 위치 기준을 설계 도서에 상세 명기하고, MFD 조작 방법(자동/수동 전환, 복구 절차)을 그림으로 설명한 안내표지판 상세도를 도면에 반영하여 현장 유지관리 오류를 방지함.</t>
  </si>
  <si>
    <t>시방서에 HCFC 계열 냉매 및 소화약제 사용 금지 조항을 명기하고, 장비 유지보수 시 냉매 수급에 문제가 없는 친환경 대체 냉매를 적용하는 설계 방침을 수립해야 함.</t>
  </si>
  <si>
    <t>기계설비 공사 시방서에 오존층파괴물질관리법에 따른 HCFC 계열 냉매(R-22 등) 및 할론 계열 소화약제 사용 금지 조항을 명시하고, 글로벌 환경 규제에 부합하는 R-410A, R-32 등 친환경 대체 냉매와 HFC-125 등의 청정 소화약제를 적용하도록 설계하여 법적 규제 위반 및 냉매 수급 불안 리스크를 방지함.</t>
  </si>
  <si>
    <t>폐열회수장치(ERV/HRV) 설계 반영 여부를 검토하고, 에너지 효율 등급 기준 충족 및 냉난방 열손실 최소화를 위한 에너지 절약 설계 방안을 수립해야 함.</t>
  </si>
  <si>
    <t>차량기지 및 정거장의 공조 시스템에 전열교환기(ERV: Energy Recovery Ventilator) 또는 현열교환기(HRV: Heat Recovery Ventilator)를 설치하여 배기 열에너지를 급기 예냉/예열에 활용하는 폐열 회수 계획을 반영하고, 에너지 절약 설계 기준(에너지 절약 설계 기준, 건물 에너지 효율 등급) 충족 여부를 설계 시 검토함.</t>
  </si>
  <si>
    <t>기계설비 주요 자재(펌프, 밸브 등)의 자재 사양서에 내식성 임펠러 및 방진장치 등 입찰안내서 요구 사양을 명기하여 기준 미달 저가 자재가 발주되는 리스크를 방지해야 함.</t>
  </si>
  <si>
    <t>기계설비 주요 자재 사양서에 부식 환경에 강한 스테인리스 또는 청동 임펠러, 방진 마운트(Vibration Mount), 신축 이음(Flexible Joint) 등의 기술 사양을 입찰안내서 기준에 맞게 상세 명기하고, 자재 납품 시 KS 또는 동등 이상의 품질 인증서 제출을 의무화하여 기준 미달 자재 반입을 방지함.</t>
  </si>
  <si>
    <t>기계설비 원격 제어 및 관제실 연동을 위한 접점(I/O) 설계를 기계-전기 분야 간 인터페이스에 반영하고, 비상 시 원격 제어가 가능한 자동제어 시스템을 계획해야 함.</t>
  </si>
  <si>
    <t>본선 기계설비(배수펌프, 공조기, 환기팬 등)의 운전 상태 및 고장 신호를 관제실 SCADA 시스템과 연동하기 위한 I/O 접점 및 통신 프로토콜(Modbus, BACnet 등)을 설계에 반영하고, 원격 기동·정지·상태 확인이 가능한 자동제어 계획(DDC: Direct Digital Control)을 수립하여 비상 시 무인 원격 대응이 가능하도록 함.</t>
  </si>
  <si>
    <t>우기 시 집중 강우에 대비한 배수펌프 용량 및 하수관로 방류 계획을 검토하고, 하수관로 통수능력 초과 시 역류를 방지하는 역지 밸브 설계를 반영해야 함.</t>
  </si>
  <si>
    <t>본선 선로 배수 설계 시 집중호우 기준 강우량(설계 빈도 30년 이상)을 적용하여 최대 배수 용량을 산정하고, 하수관로 방류 전 역지 밸브(Check Valve) 설치 계획을 반영하여 하수도 역류를 방지하며, 배수 불능 시 경보를 관제실에 전달하는 수위 감지 및 경보 연동 계획을 설계에 포함함.</t>
  </si>
  <si>
    <t>배수펌프 설치 위치가 바닥보다 낮은 경우(50cm 이상) 잔류수에 의한 악취 및 공회전(Cavitation) 문제를 방지하기 위해 배수펌프의 적정 설치 위치 및 흡입 손실수두를 검토해야 함.</t>
  </si>
  <si>
    <t>배수펌프의 설치 높이(흡입양정)를 펌프 허용 NPSH(Net Positive Suction Head) 이상으로 확보하여 공동현상(Cavitation)을 방지하고, 피트(Pit) 바닥부에 집수정을 설치하여 잔류수가 완전히 배수될 수 있도록 설계하며, 악취 발생을 방지하기 위한 밀폐형 피트 설계 및 통기 계획을 반영함.</t>
  </si>
  <si>
    <t>집중호우 대비 배수펌프의 처리 용량 기준(유입량 200% 이상 처리, 30분 내 배수용 예비펌프)을 설계에 명확히 반영하고, 기준을 충족하지 못한 경우 증설 계획을 수립해야 함.</t>
  </si>
  <si>
    <t>배수 설계 시 최대 유입량의 200% 이상을 처리할 수 있는 펌프 용량 기준을 적용하고, 30분 이내 집수정 내 물을 완전히 배수할 수 있는 예비 펌프(1대 이상)를 설계에 반영하며, 집중호우 시나리오에 따른 배수 시뮬레이션을 통해 설계 기준의 충족 여부를 사전 검증함.</t>
  </si>
  <si>
    <t>MCC반 기초 패드를 지하 침수 최고 수위보다 높게 설계하여 침수 시에도 배수펌프가 작동할 수 있도록 제어반 수몰 방지 계획을 반영해야 함.</t>
  </si>
  <si>
    <t>MCC반 기초 패드 높이를 설계 홍수위(100년 빈도)보다 300mm 이상 높게 설정하고, MCC반 하부를 콘크리트 방수벽으로 감싸는 방수 설계를 반영하여 침수 시 제어반 수몰에 의한 배수 기능 상실 리스크를 방지함. 또한 수위 센서를 이용한 조기 경보 시스템을 구축하여 관제실에 침수 위험을 사전 알림.</t>
  </si>
  <si>
    <t>엘리베이터 MRL(Machine Room Less) 규격 및 에스컬레이터 인버터(자동 감지운전) 기능을 설계에 반영하여 불필요한 기계실 면적을 절감하고 에너지 효율을 향상시켜야 함.</t>
  </si>
  <si>
    <t>엘리베이터는 기계실이 불필요한 MRL(Machine Room Less) 타입으로 설계하여 건축 면적을 절감하고, 에스컬레이터는 승객 유무를 자동 감지하여 저속 운전(대기) 및 정상 운전을 전환하는 인버터 제어 방식을 채택하여 에너지 소비를 30% 이상 절감하는 설계를 반영함.</t>
  </si>
  <si>
    <t>특정 제작사 최소 규격에 종속되지 않도록 성능 중심의 발주 사양을 수립하고, 다양한 제품이 입찰에 참여할 수 있는 개방형 규격 설계를 적용해야 함.</t>
  </si>
  <si>
    <t>엘리베이터 및 에스컬레이터 설계 사양을 특정 제작사의 모델 치수가 아닌 성능 중심(하중, 속도, 피트 깊이 최대치 등) 규격으로 작성하고, 복수 제작사가 참여 가능한 개방형 규격을 입찰안내서에 명기하며, 다양한 모델 반입이 가능하도록 승강기 홀 및 구조물 크기를 여유 있게 설계함.</t>
  </si>
  <si>
    <t>화재 수신반과의 연동 및 구획별 배연 모드 전환 로직을 제연설비 설계에 반영하여 화재 시 유독가스 배출 지연 없이 신속한 제연이 가능하도록 해야 함.</t>
  </si>
  <si>
    <t>자동화재탐지설비 수신반으로부터 화재 신호를 수신하면 해당 구획의 공조팬을 즉시 정지하고 제연팬(배연팬 및 급기팬)이 자동 기동하는 연동 제어 로직을 DDC 자동제어 시스템에 반영하고, 구획별 배연 모드(정상→비상) 전환 시퀀스를 제연설비 제어반 설계에 명시함.</t>
  </si>
  <si>
    <t>집중호우 대비 배수펌프 용량(30분 내 배수 기준) 및 교번·동시 운전 로직을 설계에 반영하여 지하차도 및 정거장의 침수 리스크를 방지해야 함.</t>
  </si>
  <si>
    <t>지하구간 및 정거장 배수펌프는 30분 이내 설계 강우량(50년 빈도 이상)에 해당하는 유입수를 완전히 배수할 수 있는 용량으로 설계하고, 펌프 2대를 교번 운전(번갈아 기동)하여 수명을 균등하게 유지하고, 유입량 급증 시 동시 운전으로 전환되는 자동 제어 로직을 MCC 설계에 반영함.</t>
  </si>
  <si>
    <t>통신 분야와의 CCTV 영상 전송 인터페이스를 설계에 반영하고, 엘리베이터 갇힘 등 비상 상황 시 관제실에서 실시간 영상 확인이 가능한 시스템을 구축해야 함.</t>
  </si>
  <si>
    <t>기계 분야(엘리베이터, 에스컬레이터 등)와 통신 분야(CCTV, 관제 시스템) 간의 인터페이스를 설계하여 승강설비 내부 CCTV 영상이 관제실로 실시간 전송되도록 네트워크 대역폭 및 스위치 포트를 확보하고, 갇힘 발생 시 비상 인터폰 연동 경보가 관제실에 즉시 표시되도록 연동 설계를 반영함.</t>
  </si>
  <si>
    <t>흡입관 단차 및 사수(Dead Water) 방지 대책을 급수 및 소화용수 저수조 설계에 반영하여 화재 시 소화용수 고갈 및 생활용수 위생 저하를 방지해야 함.</t>
  </si>
  <si>
    <t>소화용수 저수조 내 유입관은 수면 상부에서 낙수 방식으로, 흡입관(토출관)은 저수조 최저부보다 100mm 이상 높은 위치에 설치하여 침전 이물질이 펌프로 유입되지 않도록 설계하고, 저수조 내부를 칸막이(Baffle)로 구획하여 유입수와 흡입수의 순환 경로를 확보함으로써 사수 발생 및 수질 악화를 방지함.</t>
  </si>
  <si>
    <t>차량기지 옥외 및 비난방 구역의 공압 라인 동파를 방지하기 위해 가열흡착식 제습기 설치 및 동파 방지 보온 계획을 설계에 반영해야 함.</t>
  </si>
  <si>
    <t>동절기 옥외 및 비난방 구역의 공압 배관 동파를 방지하기 위해 압축공기 공급 라인에 가열흡착식(Heated Desiccant) 제습기를 설치하여 배관 내 수분을 완전히 제거하고, 외기 노출 구간에 보온재(두께 50mm 이상) 및 동파방지 열선을 설치하는 계획을 설계에 반영함.</t>
  </si>
  <si>
    <t>QRA(정량적 위험성 평가) 및 3D 제연 시뮬레이션을 활용하여 비상 배연 성능을 사전 검증하고, 피난로 연기 확산 위험을 최소화하는 제연 설비 설계를 반영해야 함.</t>
  </si>
  <si>
    <t>지하 구간 및 정거장의 제연 설비 설계 시 국내 소방 기준(소방시설 설치·유지 및 안전관리에 관한 법률) 및 NFPA 130 기준에 따라 QRA를 수행하고, 3D 수치 제연 시뮬레이션(CFD: Computational Fluid Dynamics)을 통해 배연 풍속(2.5m/s 이상) 및 시계 유지 시간을 검증하여 피난 동선의 안전성을 사전 확인함.</t>
  </si>
  <si>
    <t>배수펌프 2대 교번 및 동시 운전 제어 로직을 설계하여 특정 펌프의 수명 편중을 방지하고, 우기 시 배수 용량이 부족하지 않도록 자동 제어 계획을 반영해야 함.</t>
  </si>
  <si>
    <t>배수펌프 제어 MCC에 교번 운전 기능(Run Hour Equalization)을 설계하여 두 대 이상의 펌프가 순번을 바꿔가며 운전되도록 하고, 수위가 고수위 이상으로 상승할 경우 모든 펌프가 동시 운전되는 로직을 반영하여 집중호우 시 배수 불능 리스크를 차단하며, 펌프 고장 경보를 관제실에 자동 전달하는 연동 계획을 수립함.</t>
  </si>
  <si>
    <t>엘리베이터 내부 CCTV 및 상태 정보를 관제실과 연동하여 비상·고장 시 관제실에서 즉시 인지하고 대응할 수 있는 모니터링 시스템을 설계해야 함.</t>
  </si>
  <si>
    <t>엘리베이터 내부 CCTV 영상 및 운행 상태(위치, 도어 개폐, 고장 코드) 정보를 관제실 SCADA/통합 모니터링 시스템과 연동하여 실시간 확인이 가능하도록 설계하고, 갇힘 발생 시 비상 인터폰 연결 및 원격 조작(강제 이동, 도어 해제) 기능을 관제 시스템에 반영하여 골든타임 내 구조 대응이 가능하도록 함.</t>
  </si>
  <si>
    <t>라돈 가스 지상부 배출 전용 덕트 및 농도 연동 자동 환기 로직을 설계에 반영하여 지하 구간 내 유해 방사능 물질로부터 승객과 작업자를 보호해야 함.</t>
  </si>
  <si>
    <t>지하 구간의 라돈 농도를 실시간 모니터링하는 라돈 감지 센서를 설치하고, 기준치(148 Bq/m³) 초과 시 자동으로 환기팬이 기동되어 신선 외기를 공급하고 실내 공기를 지상부로 강제 배출하는 자동 환기 연동 로직을 DDC 자동제어 시스템에 반영하며, 배출 덕트는 지상 2m 이상 높이에서 외기로 방출되도록 설계함.</t>
  </si>
  <si>
    <t>관제실 연계 모니터링 및 설비 고장·침수에 대한 주요 경보(팝업, 경광등) 로직을 자동제어 시스템에 반영하여 무인 운영 시에도 신속한 대응이 가능하도록 해야 함.</t>
  </si>
  <si>
    <t>기계설비 자동제어 시스템(DDC/BAS)에서 설비 고장, 과부하, 침수 등 주요 이상 상황 발생 시 관제실 모니터에 팝업 경보 및 경광등 점등, 경보음 발생이 연동되도록 설계하고, 중요 알람은 담당자 휴대폰으로 문자 또는 앱 알람이 전송되는 원격 경보 시스템을 설계에 반영하여 무인 운영 시에도 실시간 대응이 가능하도록 함.</t>
  </si>
  <si>
    <t>화재 시 고온 내열 조건(250℃, 1시간 이상)을 충족하는 제연팬 및 덕트 설계를 반영하여 화재 진압 중 제연 기능이 유지될 수 있도록 해야 함.</t>
  </si>
  <si>
    <t>제연설비의 배연팬은 250℃에서 1시간 이상 연속 운전이 가능한 내열 성능(KS C IEC 60034-1 내열 등급 기준)을 만족하는 제품을 사양에 명기하고, 배연 덕트는 고온 환경에서 변형 없이 기능을 유지하는 내열 스테인리스(STS 304 이상) 또는 동등 이상의 내열 소재를 적용하며, 배연팬 기초 앵커 볼트의 내열 성능도 함께 검토함.</t>
  </si>
  <si>
    <t>지하 전력 제어 장비실의 독립 냉방 및 제1종 기계환기 시스템을 설계에 반영하여 하절기 전력 제어 장비의 과열 셧다운 리스크를 방지해야 함.</t>
  </si>
  <si>
    <t>변전실, 통신실 등 전력 제어 장비실에 독립 냉방(정밀 공조기 또는 패키지 에어컨) 및 제1종 기계환기(급기+배기 모두 기계식) 시스템을 설계하여 장비 발열로 인한 실내 온도 상승(기준: 25±5℃)을 제어하고, 냉방 고장 시 비상 경보 및 공조 백업 계획을 반영함.</t>
  </si>
  <si>
    <t>오폐수 구역을 음압(負壓)으로 유지하는 환기 설계를 반영하여 악취가 대합실 및 공공 공간으로 확산되지 않도록 하는 방안을 수립해야 함.</t>
  </si>
  <si>
    <t>오폐수 처리 구역(화장실, 오수 피트 등)에 강제 배기 전용 환기(제3종 기계환기)를 설계하여 인접 공간 대비 음압 상태를 유지하고, 악취가 대합실 등 공공 공간으로 역류하지 않도록 도어 기밀성 확보 및 배기구를 지상 외부로 직접 연결하는 전용 배기 덕트를 설계에 반영함.</t>
  </si>
  <si>
    <t>배기구에 역류방지댐퍼를 설계하여 동절기 가동 중지 시 외부 냉기 유입에 의한 난방 에너지 손실을 방지하는 방안을 반영해야 함.</t>
  </si>
  <si>
    <t>환기 시스템의 배기구에 역류방지댐퍼(Back Draft Damper)를 설치하여 환기팬 정지 시 외부 냉기가 역류하지 않도록 설계하고, 급기구에도 모터 구동 방화댐퍼(MD)를 연동하여 가동 중지 시 완전 밀폐되도록 설계하며, 이를 통해 동절기 난방 에너지 손실을 최소화하는 에너지 절약 계획을 반영함.</t>
  </si>
  <si>
    <t>T.A.B(Testing, Adjusting, Balancing) 계획 및 조절용 댐퍼(VD)를 설계에 반영하여 시공 후 공기 흐름 불균형 및 과냉난방 발생 시 기술적 보정이 가능하도록 해야 함.</t>
  </si>
  <si>
    <t>공조 덕트 계통에 유량 조절용 볼륨댐퍼(VD)를 설치하고, 측정 포인트(피토관 삽입공)를 덕트에 반영하여 T.A.B 작업이 가능하도록 설계하며, 공인 T.A.B 전문기관의 용역 계획 및 예산을 설계 내역에 계상하여 준공 전 풍량·수량 불균형 및 과냉난방 시 기술적 보정이 가능하도록 함.</t>
  </si>
  <si>
    <t>라돈 가스 농도 연동 자동환기 로직 및 지상부 배출 전용 덕트를 설계에 반영하여 지하 구간 라돈 농도가 기준치 초과 시 자동으로 환기가 이루어지도록 해야 함.</t>
  </si>
  <si>
    <t>지하 구간에 라돈 농도 감지 센서를 설치하고, 실내공기질 관리법 기준(연간 평균 148 Bq/m³ 이하)을 초과할 경우 자동으로 환기팬이 기동되어 신선 외기를 공급하고 오염 공기를 지상 2m 이상 높이의 전용 배기구로 배출하는 연동 로직을 DDC 자동제어 시스템에 반영함.</t>
  </si>
  <si>
    <t>기계(소방) 도면의 소화전 함 위치와 전기 도면의 전원/통신 배관 연결 여부를 대조 검토하여, 누락된 전원/통신 배관을 설계에 반영해야 함.</t>
  </si>
  <si>
    <t>소방 분야 도면에 표시된 모든 소화전 함 위치를 전기 도면 단선결선도(분전반 회로도)와 대조하여 전원 및 통신(화재수신반 연동) 배관 연결 여부를 확인하고, 누락된 회로를 전기 도면에 추가 반영하는 인터페이스 검토 절차를 수행하여 소방설비 전원 공급 누락 리스크를 방지함.</t>
  </si>
  <si>
    <t>가스계 자동소화설비 설치 구역의 기밀성 확보 요건 및 도어팬테스트 계획을 설계에 반영하여 소화가스 누설 및 소화농도 미달로 인한 진압 실패 리스크를 방지해야 함.</t>
  </si>
  <si>
    <t>가스계 자동소화설비(HFC-125, IG-541 등) 설치 구역의 방호 공간 기밀성을 NFPA 2001 및 국내 소화약제기준에 따라 도어팬테스트(Door Fan Test)로 사전 검증하고, 기밀성 부족 구역에 대해 실링(Sealing) 보완 계획을 반영하여 소화가스 방출 시 최소 소화농도(설계 농도)를 소화 완료까지 유지할 수 있도록 설계함.</t>
  </si>
  <si>
    <t>과압배출구 설계 및 도어팬테스트 계획을 가스계 자동소화설비 설계에 반영하여 소화가스 방출 시 과압에 의한 구조물 파손 및 약제 유출 리스크를 방지해야 함.</t>
  </si>
  <si>
    <t>가스계 자동소화설비 방호 구역에 소화가스 방출 시 발생하는 과압을 자동으로 배출하는 과압배출구(Pressure Relief Vent)를 설계에 반영하고, 도어팬테스트를 통해 방호 구역의 기밀성이 설계 사양을 충족하는지 사전에 검증하여 가스 방출 시 구조물 손상 및 약제 농도 미달 리스크를 방지함.</t>
  </si>
  <si>
    <t>KFI 인증 설계 프로그램을 사용하여 가스계 소화약제량 및 배관 관경을 산정하고, 계산 오류로 인한 소화 실패 리스크를 방지해야 함.</t>
  </si>
  <si>
    <t>가스계 자동소화설비의 약제량 및 배관 관경 산출에 한국소방산업기술원(KFI) 인증을 받은 설계 프로그램(예: PIPENET, FireFlow 등)을 사용하고, 산출 결과를 관련 기준(NFPA 2001, 소화약제기준)과 대조하여 검증하며, 사용 프로그램의 KFI 인증서를 설계 도서에 첨부함.</t>
  </si>
  <si>
    <t>KFI 인증 설계 프로그램을 사용하고, 도면과 계산서의 약제량 및 배관 관경이 일치하는지 검토하여 소화농도 미달 리스크를 방지해야 함.</t>
  </si>
  <si>
    <t>가스계 자동소화설비 설계 도면(배관 계통도, 노즐 배치도)과 약제량·배관 관경 계산서를 대조하여 일치 여부를 확인하고, KFI 인증 설계 프로그램 사용 결과가 도면에 정확히 반영되었는지 검토하여 약제량 부족 또는 배관 관경 오류에 의한 소화농도 미달 리스크를 방지함.</t>
  </si>
  <si>
    <t>수배전반 내 단락 화재에 대응하기 위한 소공간 가스 자동소화장치 설계를 반영하고, 화재 수신반과의 연동 계획을 수립해야 함.</t>
  </si>
  <si>
    <t>수배전반, 분전반 등 전기설비 내부에 소공간 자동소화장치(Aerosol 또는 HFC 계열 카트리지 방식)를 설계에 반영하고, 화재 감지 시 자동 기동 및 화재 수신반 연동 경보(수신반 이상 신호, 관제실 경보) 계획을 수립하여 전기 단락 화재 초기 진압 실패 리스크를 방지함.</t>
  </si>
  <si>
    <t>설계 내역에 건설현장 임시소방시설(간이소화장치, 방화포, 비상경보장치 등) 물량을 반영하여 공사 중 화재 발생 시 초동 대처가 가능하도록 계획을 수립해야 함.</t>
  </si>
  <si>
    <t>소방시설공사업법 및 화재예방, 소방시설 설치·유지 및 안전관리에 관한 법률에 따라 건설현장 임시소방시설(간이소화장치, 방화포, 비상경보장치, 간이피난유도선 등)을 설계 내역에 계상하고, 용접·절단 등 화기 작업 구간에 방화포 설치 의무를 시방서에 명시하여 공사 중 화재 리스크를 방지함.</t>
  </si>
  <si>
    <t>공사 중 용접 작업 시 화재 초동 대처를 위한 임시소방시설 내역을 설계에 반영하고, 시공사의 화재 예방 의무를 시방서에 명시해야 함.</t>
  </si>
  <si>
    <t>건설현장 용접·절단 등 화기 작업 시 의무 설치해야 하는 임시소방시설(간이소화장치, 방화포 등)의 설치 기준, 위치, 수량을 설계 내역에 계상하고, 공사 시방서에 시공사의 화재 예방 의무(화기 작업 허가제, 방화 담당자 지정, 소화기 비치 기준 등)를 명시하여 법적 요건을 충족하도록 함.</t>
  </si>
  <si>
    <t>검수고 고천장 구역에 크레인 간섭 없이 감지 및 점검이 가능한 적외선 빔형 감지기 또는 공기흡입형 감지기를 설계에 반영해야 함.</t>
  </si>
  <si>
    <t>검수고 고천장(8m 이상) 구역에는 일반 연기식 감지기 대신 크레인 운행 방해 없이 설치 가능한 적외선 빔형 감지기(Linear Beam Detector) 또는 공기흡입형 감지기(ASD: Air Sampling Detection)를 설계에 반영하고, 점검 및 교체가 용이하도록 점검 통로 및 사다리 설치 계획을 포함하여 설계함.</t>
  </si>
  <si>
    <t>방화구획 관통부에 내화채움구조(내화 실링)를 적용하여 유독가스와 화염이 타 구획으로 확산되는 것을 방지하는 설계를 반영해야 함.</t>
  </si>
  <si>
    <t>방화구획 관통부(전기 케이블, 배관, 덕트 등)에 KS F 2257 기준 이상의 내화성능을 가진 내화채움구조(내화 실링: 팽창성 실링재, 내화 패드, 내화 퍼티 등)를 적용하도록 설계에 반영하고, 관통부 형상별(원형, 사각형, 다중 관통 등) 적용 기준 및 시공 상세도를 설계 도서에 명기하여 화재 발생 시 화염 및 유독가스의 타 구획 확산을 차단함.</t>
  </si>
  <si>
    <t>소방설비의 내진 설계(방파판, 스토퍼, 버팀대)를 반영하여 지진 발생 시 소방시스템 파손 및 초기 진압 실패 리스크를 방지해야 함.</t>
  </si>
  <si>
    <t>소방시설 내진설계 기준(소방시설법 시행령 및 내진설계 기준)에 따라 소화수조 내진 방파판, 배관 버팀대(Brace), 스프링클러 헤드 스토퍼(Sway Brace) 등 내진 설비를 설계에 반영하고, 지진 가속도(Zc=0.154g 기준) 적용 내진 계산서를 작성하여 지진 시 소방설비의 기능 유지를 보장함.</t>
  </si>
  <si>
    <t>소방 내진설비(방파판, 스토퍼, 버팀대)의 물량을 산정하여 설계 내역에 계상하고, 지진 발생 시 소방 기능이 유지되도록 내진 설계를 반영해야 함.</t>
  </si>
  <si>
    <t>건축물 내진 등급 및 지역 지진 가속도를 반영한 내진 계산서를 작성하고, 소화수조 방파판, 배관 버팀대(횡방향 버팀대 최대 6m 간격, 종방향 버팀대 12m 간격), 스프링클러 헤드 스토퍼, 소화기 고정장치 등의 물량을 산정하여 설계 내역에 계상함.</t>
  </si>
  <si>
    <t>소방 설계 도면과 내역서의 소화전 형식(호스릴 옥내소화전 vs 일반 옥내소화전)이 일치하는지 검토하고, 불일치 항목을 수정하여 시공 시 설계 변경 및 공사비 분쟁을 방지해야 함.</t>
  </si>
  <si>
    <t>소방설비 설계 도면(소화전 도면, 상세도)과 내역서(공사비 내역)의 소화전 형식 및 규격을 항목별로 대조 검토하여 불일치 항목을 파악하고, 설계 의도에 맞는 형식(호스릴 옥내소화전 또는 일반 옥내소화전)으로 도면과 내역서를 통일하여 시공 시 형식 혼용 및 설계변경 리스크를 방지함.</t>
  </si>
  <si>
    <t>비상전원 용량을 소방 부하 기준으로 적정하게 산정하고, 소방 간선 케이블에 내화 케이블(FR 등급)을 적용하여 화재 시 소방설비 전원 단선 리스크를 방지해야 함.</t>
  </si>
  <si>
    <t>소방용 비상발전기 및 UPS의 공급 용량을 소방설비 전체 부하(소방펌프, 제연설비, 비상조명 등)에 여유율(1.2 이상)을 적용하여 산정하고, 소방 주 간선(전원 케이블)에 화재 시에도 전원 공급이 지속되는 내화 케이블(FR: Fire Resistant, EN 50200 기준)을 설계에 반영하여 화재 초기 소방설비 전원 단선 리스크를 차단함.</t>
  </si>
  <si>
    <t>지하 구간 무선통신보조설비 설계를 반영하여 화재 시 소방대원의 무전 교신이 원활하도록 하고, 전파 경로 간섭 방지 대책을 수립해야 함.</t>
  </si>
  <si>
    <t>지하 구간 및 정거장에 무선통신보조설비(소방용 주파수 대역: VHF 150~170 MHz, UHF 400~470 MHz)를 설치하여 소방대원의 무전기 교신이 지하 구간에서도 원활히 이루어지도록 설계하고, 기존 통신망(LTE-R, WiFi 등)과의 주파수 간섭 방지를 위한 공조 분석 결과를 설계에 반영함.</t>
  </si>
  <si>
    <t>해당없음 (기본설계 도서 내에서 특별피난계단·제연전실 인터페이스 설계 누락으로 피난 동선에 유독가스가 확산돼 승객 대피가 불가해질 우려에 관한 공법이나 상세 설계 내역이 확인되지 않습니다.)</t>
  </si>
  <si>
    <t>해당없음 (기본설계 도서 내에서 수신반·자동제어 간 기동정지 연동 접점(Point) 누락으로 화재 시 기존 공조팬이 가동돼 유독가스를 타 구역으로 확산시킬에 관한 공법이나 상세 설계 내역이 확인되지 않습니다.)</t>
  </si>
  <si>
    <t>해당없음 (기본설계 도서 내에서 관제실 화재 연동 제어망 누락 및 일반 케이블 적용으로 화재 시 통신 단절·전원 소손에 의해 소방시스템이 마비될 우려에 관한 공법이나 상세 설계 내역이 확인되지 않습니다.)</t>
  </si>
  <si>
    <t>해당없음 (기본설계 도서 내에서 소방 수신반-관제실 간 원격 감시·제어망 연동 누락 및 프로토콜 불일치로 화재 시 재난 상황을 즉시 인지하지 못할 우려에 관한 공법이나 상세 설계 내역이 확인되지 않습니다.)</t>
  </si>
  <si>
    <t>소방설비 종합시운전에 필요한 수자원·전력 경비를 설계 내역에 계상하고, 실부하 시운전(Live Load Test) 계획을 시방서에 명시하여 형식적인 무부하 테스트만으로는 리스크를 검증할 수 없음을 방지해야 함.</t>
  </si>
  <si>
    <t>소방설비 종합시운전 계획에 소화수 실방출(스프링클러 방수 시험, 소화전 방수 시험 등) 및 가스계 약제 모의 방출 시험을 포함하고, 시운전에 필요한 수자원(소화수) 및 전력 비용을 설계 내역에 별도 계상하며, 실부하 시운전 수행 기준 및 합격 기준을 시방서에 명시함.</t>
  </si>
  <si>
    <t>소방설비 자재 사양서에 마감재 불연/내화재료 및 전선류 저독성 난연성능(HF-CO 등) 규격을 명기하여 화재 시 연소 확대 및 유독가스 발생 리스크를 방지해야 함.</t>
  </si>
  <si>
    <t>소방설비 설계 시방서에 마감재 불연성(KS F ISO 1182 기준) 또는 내화성능(KS F 2271) 기준 이상의 재료를 사용하도록 명기하고, 통신·전기 케이블에 저독성 할로겐 프리 난연 케이블(HF-CO: Halogen-Free, Low Smoke) 사양을 반영하여 화재 시 유독가스 발생을 최소화하고 소방 활동 및 피난 안전성을 확보함.</t>
  </si>
  <si>
    <t>외기 노출 구역 소화배관에 동파방지용 열선 및 보온재를 설계에 반영하여 혹한기 배관 결빙·파열에 의한 소화설비 가동 불능 리스크를 방지해야 함.</t>
  </si>
  <si>
    <t>옥외 및 비난방 구역에 노출된 수계 소화배관(스프링클러, 소화전 배관 등)에 자동온도조절 방식 동파방지 열선(Self-Regulating Heat Cable)을 설치하고, 배관 보온재(두께 50mm 이상, 난연 2급 이상)를 시공하여 -15℃ 이하 혹한기에도 배관 동파를 방지하는 설계를 반영함.</t>
  </si>
  <si>
    <t>스프링클러 주배관과 옥내소화전 주배관의 겸용 여부를 법적 기준에 따라 검토하고, 상수도 직결 연결 계획을 반영하여 정전 시 소화수 공급이 지속될 수 있도록 해야 함.</t>
  </si>
  <si>
    <t>스프링클러와 옥내소화전 주배관 겸용 여부를 소방시설 설치 기준에 따라 검토하고, 겸용이 허용되지 않는 경우 분리 설계를 적용하며, 소화펌프 전원 이중화(상용 전원+비상발전기) 및 상수도 직결 연결관을 설계에 반영하여 정전 시에도 소화수 공급이 유지되도록 함.</t>
  </si>
  <si>
    <t>연결송수관의 소방용(건식) 전용 설계가 검사고 살수 겸용 입찰안내서 지침을 준수하는지 검토하고, 배관 내 사수 발생을 방지하는 방안을 반영해야 함.</t>
  </si>
  <si>
    <t>연결송수관 배관 방식(건식 또는 습식)을 입찰안내서 요구 사양과 대조하여 지침 준수 여부를 확인하고, 건식 배관 채용 시 배관 내 사수(Dead Water) 방지를 위한 드레인 밸브 설치 및 정기 배수 계획을 시방서에 반영하여 화재 시 소화수 원활한 공급을 보장함.</t>
  </si>
  <si>
    <t>차량기지 비난방 구역 옥외 소방배관에 동파방지 열선 및 보온재를 설계에 반영하여 한파 시 배관 동파 및 소화수 누출에 의한 소방 기능 마비 리스크를 방지해야 함.</t>
  </si>
  <si>
    <t>차량기지 비난방 구역(옥외 세차장, 유치선 구역 등) 소방배관에 자동온도조절 동파방지 열선(Self-Regulating Type) 및 보온재(난연 2급 이상, 두께 50mm 이상)를 설계에 반영하고, 열선 전원 공급 회로(비상전원 연결)와 열선 작동 상태 모니터링 계획을 포함하여 설계함.</t>
  </si>
  <si>
    <t>주소형(Addressable) 감지기 시스템을 자동화재탐지설비에 적용하여 발화 위치의 신속한 파악 및 비화재보(오작동) 감소를 통해 소방 시스템 신뢰성을 높여야 함.</t>
  </si>
  <si>
    <t>자동화재탐지설비에 비주소형 대신 주소형(Addressable) 감지기 시스템을 적용하여 각 감지기의 개별 주소를 수신반에서 실시간으로 식별할 수 있도록 설계하고, 아날로그 방식 감지기(연기 농도 수치 모니터링)를 채택하여 비화재보를 최소화하며, 발화 위치를 즉시 특정하여 초동 진압 효율을 높이는 설계를 반영함.</t>
  </si>
  <si>
    <t>소화기 배치 간격(20m 이내) 기준을 준수하고, 지하층에 공기호흡기(2대 이상)를 설계에 반영하여 초기 진화 실패 및 고립 승객 질식 리스크를 방지해야 함.</t>
  </si>
  <si>
    <t>소방시설법 기준에 따라 정거장 및 차량기지 내 소화기를 보행 거리 20m 이내마다 설치하도록 배치 계획을 수립하고, 지하층 및 터널 구간에 소방관 진입 시 사용할 공기호흡기(2대 이상) 및 충전 설비를 소방함 내에 비치하는 계획을 설계에 반영함.</t>
  </si>
  <si>
    <t>정거장 및 차량기지의 구역 면적·승객 수를 바탕으로 스프링클러 설치 의무 여부를 검토하고, 옥내소화전 간격(25m 이내)이 소화 사각지대 없이 배치되었는지 확인해야 함.</t>
  </si>
  <si>
    <t>소방시설법 및 내화구조 기준에 따라 정거장 면적(1,000m² 이상 또는 지하 구간)의 스프링클러 설치 의무 여부를 검토하고, 스프링클러 헤드 간격(수평 2.3~3.7m) 및 옥내소화전 배치 간격(보행 거리 25m 이내)을 설계에 반영하여 소화 사각지대를 해소함.</t>
  </si>
  <si>
    <t>제연 기류속도가 설계 기준(2.5~3.0m/s)을 충족하는지 검토하고, 기준을 벗어난 경우 덕트 면적 조정 또는 팬 용량 변경 계획을 수립해야 함.</t>
  </si>
  <si>
    <t>제연설비 설계 시 피난통로 제연 기류속도가 국내 기준(2.5m/s 이상) 및 NFPA 130 기준(3.0m/s 이하)을 충족하는지 계산서를 통해 검증하고, 기준을 초과하거나 미달하는 경우 덕트 면적 조정 또는 제연팬 정격 풍량 변경을 통해 적정 기류속도 범위 내로 설계를 조정함.</t>
  </si>
  <si>
    <t>제연설비 설계 시 CFD 수치 제연 시뮬레이션을 수행하여 배연 성능(기류 제어, 시계 유지)을 사전에 검증하고, 시뮬레이션 결과를 설계에 반영해야 함.</t>
  </si>
  <si>
    <t>지하 구간 및 대형 정거장의 제연설비 설계에 앞서 CFD(Computational Fluid Dynamics) 기반 수치 제연 시뮬레이션을 수행하여 화재 시나리오별 연기 확산 경로 및 배연 효과를 사전에 검증하고, 시뮬레이션 결과에 따라 제연팬 용량, 덕트 배치, 급기구/배기구 위치를 최적화하여 설계에 반영함.</t>
  </si>
  <si>
    <t>제연 방식 분석(자연환기 vs 기계제연) 및 화재 수신반 연동 환기설비 제어 계획을 반영하여 대공간 화재 시 농연 배출에 실패하지 않도록 설계해야 함.</t>
  </si>
  <si>
    <t>대공간(대합실, 검수고 등) 화재 시나리오에 적합한 제연 방식(기계 배연+급기 가압 방식)을 분석·선정하고, 화재 수신반으로부터 화재 신호 수신 시 해당 구역의 일반 공조 시스템을 즉시 정지하고 제연 모드로 자동 전환하는 연동 제어 로직을 DDC 및 화재 수신반 설계에 반영함.</t>
  </si>
  <si>
    <t>제연팬 및 배연 덕트에 내열성능(250℃, 1시간 이상) 규격을 명기하여 화재 시 제연팬 조기 소손에 의한 배연 기능 상실 리스크를 방지해야 함.</t>
  </si>
  <si>
    <t>제연설비 자재 사양서에 배연팬의 내열성능 기준(250℃에서 1시간 이상 연속 운전)을 EN 12101-3 또는 동등 이상 기준으로 명기하고, 배연 덕트 재질을 내열 아연도금 강판(두께 1.0mm 이상) 또는 스테인리스 강판으로 설계하여 화재 시 제연 기능이 소화 완료까지 유지되도록 설계함.</t>
  </si>
  <si>
    <t>터널 소화활동 방수구(소화전 연결구)의 설치 간격이 50m 이내가 되도록 배치하고, 소방호스 도달 거리 부족 구간에 대한 소화전 추가 설치 계획을 반영해야 함.</t>
  </si>
  <si>
    <t>터널 구간 방수구(소화전 연결구) 설치 간격이 소방시설법 기준(50m 이내)을 준수하도록 배치 계획을 수립하고, 50m 초과 구간에 추가 방수구를 설계에 반영하며, 소방호스(20m×2본 연결 기준)로 전 구간에 도달 가능한지 배치도를 통해 검토함.</t>
  </si>
  <si>
    <t>소화펌프 토출측 상수도 직결 배관을 설계에 반영하여 대규모 정전 시에도 소화수 공급이 유지될 수 있도록 하는 비상 급수 계획을 수립해야 함.</t>
  </si>
  <si>
    <t>소화펌프의 전원 공급을 비상발전기에 연결하는 이중화 전원 계획을 수립하고, 소화수조와 상수도를 직접 연결하는 상수도 직결 배관(보조 급수관)을 설계에 반영하여 대규모 정전 및 소화펌프 고장 시에도 소화수 공급이 지속될 수 있는 비상 급수 경로를 확보함.</t>
  </si>
  <si>
    <t>시각경보기 등 피난유도설비를 설계에 반영하고, 교통약자(시각장애인, 청각장애인 등)를 위한 음성안내장치 및 점자유도블록을 피난 동선에 포함하여 화재 시 대피 지연 리스크를 방지해야 함.</t>
  </si>
  <si>
    <t>소방시설법 기준에 따라 청각장애인을 위한 시각경보기(Visible Notification Appliance)를 승강장, 대합실 등 공용 공간 및 장애인 편의시설에 설치하고, 피난 경로를 따라 음성 유도장치 및 촉지도식 안내판을 설치하며, 광원 사각지대 없이 비상조명등이 전 구역에 설치되도록 설계에 반영함.</t>
  </si>
  <si>
    <t>지상 직통 특별피난계단 및 제연설비를 설계에 반영하고, 지하 구간 화재 시 승객 대피 동선을 확보하는 피난 계획을 수립해야 함.</t>
  </si>
  <si>
    <t>지하 구간 및 정거장의 피난 안전을 위해 지상 직통 특별피난계단(계단 실내 면적 6m² 이상, 제연 전실 포함)을 설계에 반영하고, 특별피난계단 전실에 급기 가압 제연설비(차압 50Pa 이상)를 설치하여 화재 시 피난 계단 내 연기 유입을 차단하며, 최대 보행 거리(30m 이내) 기준을 충족하는 피난 동선을 확보함.</t>
  </si>
  <si>
    <t>해당없음 (기본설계 도서 내에서 제한속도 감시 및 차상 제어(ATP) 연동 누락으로 기관사 부주의 시 곡선부 과속 탈선 및 보행자 추돌에 관한 공법이나 상세 설계 내역이 확인되지 않습니다.)</t>
  </si>
  <si>
    <t>해당없음 (기본설계 도서 내에서 대형표시반 가독성·UI 설계 미흡 및 도로교통관제 연계 누락으로, 이례상황 시 관제원의 상황 판단 및 통제가 지연될 우려에 관한 공법이나 상세 설계 내역이 확인되지 않습니다.)</t>
  </si>
  <si>
    <t>해당없음 (기본설계 도서 내에서 교차로 돌발유고검지장치 및 앞막힘 제어보드 연동 누락으로 궤도 차량 정체 시 트램이 회피하지 못해 연쇄 추돌할 우려에 관한 공법이나 상세 설계 내역이 확인되지 않습니다.)</t>
  </si>
  <si>
    <t>교차로 과속 방지를 위한 제한속도 감시 및 차상 ATP 연동 시스템을 설계에 반영하여 기관사 부주의 시 곡선부 과속 탈선 리스크를 방지해야 함.</t>
  </si>
  <si>
    <t>트램 노선 급곡선부 및 교차로 진입 구간에 제한속도 표지 및 무선 속도 감시 장치(차상 ATP: Automatic Train Protection)를 설계에 반영하여 기관사가 제한속도 초과 시 자동 감속 명령이 인가되는 연동 로직을 구현하고, 교차로 진입 시 자동 감속 기능이 작동하도록 신호-차량 인터페이스를 설계에 포함함.</t>
  </si>
  <si>
    <t>관제설비 대형표시반 가독성 및 UI 설계 기준을 설계에 반영하고, 도로교통관제(경찰청 신호제어) 시스템과의 연계 인터페이스를 확보해야 함.</t>
  </si>
  <si>
    <t>관제실 대형표시반(MBD) 설계 시 운전자 시인 거리(최소 3m 이상)에서 정보 판독이 가능한 글자 크기 및 해상도를 반영하고, 이례 상황 시 관제원이 즉시 상황을 파악할 수 있는 직관적 UI를 설계하며, 경찰청 교통관제센터 UTIS 시스템과의 신호 정보 연계 인터페이스 계획을 반영함.</t>
  </si>
  <si>
    <t>교차로 돌발 유고 검지 장치 및 앞막힘 제어 보드 연동 시스템을 설계에 반영하여 궤도 차량 정체 시 트램 진입을 차단하는 로직을 구축해야 함.</t>
  </si>
  <si>
    <t>교차로 내 차량 검지기(루프 코일, 영상 검지기) 및 돌발 유고 검지 시스템을 설치하여 교차로 내 차량 정체(앞막힘) 감지 시 트램 진입 신호를 자동으로 차단하는 앞막힘 제어 로직을 신호 제어기에 반영하고, 이 정보를 관제실 및 기관사 단말기에 실시간 전달하는 연동 계획을 수립함.</t>
  </si>
  <si>
    <t>교차로 내 돌발 유고 검지 및 앞막힘 제어보드를 설계에 반영하여 교차로 정체 시 트램 진입 차단 및 데드락(Deadlock) 방지 로직을 구축해야 함.</t>
  </si>
  <si>
    <t>교차로 교통 신호 제어기에 앞막힘 검지(차선별 정체 감지) 로직을 반영하고, 정체 차량이 교차로에 잔류 중인 경우 트램 우선신호 부여를 자동으로 지연 또는 취소하는 제어 알고리즘을 신호 제어기 소프트웨어에 구현하여 교차로 데드락 및 일반 차량 도로 마비 리스크를 방지함.</t>
  </si>
  <si>
    <t>1교차로 1편성 점유 원칙을 신호 연동 설계에 반영하여 트램 동시 진입에 의한 일반 차량 동선 마비 및 교착 리스크를 방지해야 함.</t>
  </si>
  <si>
    <t>교차로 진입 신호 시스템에 선행 편성 위치 검지 연동 기능을 반영하여 선행 트램이 교차로를 완전히 통과하기 전까지 후속 트램의 교차로 진입 신호를 차단하는 1교차로 1편성 점유 제어 원칙을 구현하고, 연동 로직을 신호 제어기 및 ATC 시스템에 반영함.</t>
  </si>
  <si>
    <t>교차로 점유 통제 검지 설비 및 신호 연동 시스템을 설계에 반영하여 트램 연속 진입에 의한 일반 차량 교통 전면 마비 리스크를 방지해야 함.</t>
  </si>
  <si>
    <t>교차로 진입부에 트램 위치 검지기(루프 코일, 광학 센서 또는 RFID)를 설치하여 교차로 내 편성 점유 상태를 실시간으로 파악하고, 점유 상태에 따라 후속 트램 진입 신호를 제어하는 연동 로직을 신호 제어기에 반영하여 교차로 내 다수 편성 동시 진입 및 일반 차량 교통 마비 리스크를 방지함.</t>
  </si>
  <si>
    <t>교차로 정차 금지 지대 및 노면 전차 전용로 노면 표시를 설계에 반영하여 일반 차량의 궤도 점유에 의한 트램 운행 마비 리스크를 방지해야 함.</t>
  </si>
  <si>
    <t>교차로 내 트램 통행 구간에 정차 금지 지대(Yellow Box) 노면 표시, 트램 전용 구간 경계선, 진입 금지 표시를 도로 노면 설계에 반영하고, 교차로 진입 구간에 일반 차량이 궤도를 점유하지 않도록 안내하는 가변형 정보 표지를 설치하는 계획을 수립함.</t>
  </si>
  <si>
    <t>노면 안전 표시 및 레일 홈 고무 탄성재를 설계에 반영하여 자전거 전도 및 보행자 무단 진입에 의한 인명사고 리스크를 방지해야 함.</t>
  </si>
  <si>
    <t>트램 레일 홈에 자전거 바퀴 끼임을 방지하는 고무 탄성재(고무 플레이트 또는 우레탄 충전재)를 전 구간 설치하는 계획을 반영하고, 레일 주변 노면에 자전거 및 보행자 통행 주의 표시, 트램 통행 구간 색채 포장(붉은색 또는 노란색)을 도로 포장 설계에 반영하여 인명사고 리스크를 방지함.</t>
  </si>
  <si>
    <t>경찰청 교통안전 심의 일정을 프로젝트 마일스톤에 반영하고, 심의 지적 사항을 설계에 반영하여 시공 전 신호 체계 재검토 및 공정 지연 리스크를 방지해야 함.</t>
  </si>
  <si>
    <t>경찰청 교통안전 심의 신청 시점을 기본설계 완료 후 실시설계 착수 전으로 프로젝트 일정에 반영하고, 심의 소요 기간(통상 3~6개월)을 공정 계획에 포함하며, 심의 지적 사항을 실시설계에 즉시 반영하는 절차를 설계 관리 계획서에 명시함.</t>
  </si>
  <si>
    <t>충전 설비와 도로신호 제어기 간 전자파 이격거리 및 차폐 설계를 반영하여 전자파 간섭에 의한 신호등 오작동 리스크를 방지해야 함.</t>
  </si>
  <si>
    <t>정거장 무가선 충전 설비(OCS: Overhead Charging System) 및 차량 인버터와 교통신호 제어기 간의 전자파 간섭(EMI) 영향 범위를 산정하고, 신호 제어기와의 물리적 이격거리(최소 3m 이상), 차폐 케이블 사용, 신호 제어기 EMC 인증 등 간섭 방지 대책을 설계에 반영함.</t>
  </si>
  <si>
    <t>도로 분기부 철도-도로신호 연동 계획을 설계에 반영하여 분기기 개통 방향과 신호 표출 방향의 일치성을 보장하고 탈선 사고 리스크를 방지해야 함.</t>
  </si>
  <si>
    <t>차량기지 출입 분기부 및 본선 분기부에서 전자연동장치(IXL)의 분기기 개통 방향 정보를 도로신호 제어기에 실시간으로 전달하는 연동 인터페이스를 설계에 반영하여 분기기 개통 방향과 트램 진행 신호가 항상 일치하도록 하고, 불일치 시 자동으로 신호를 정지(Stop 신호)로 전환하는 페일세이프 로직을 구현함.</t>
  </si>
  <si>
    <t>도로신호 전자연동장치 연계 로직을 반영하여 분기기 개통 방향과 신호 표출 방향의 불일치를 방지하고, 무리한 교차로 진입에 의한 탈선 리스크를 차단해야 함.</t>
  </si>
  <si>
    <t>전자연동장치(IXL)와 교통신호 제어기 간의 통신 인터페이스를 ICD(Interface Control Document)에 정의하고, 분기기 위치 확인 신호(정위/반위)를 신호 제어기로 실시간 전달하는 시스템을 설계에 반영하여 분기기 미확인 상태에서의 트램 진입 신호 부여를 원천 차단하는 페일세이프 설계를 구현함.</t>
  </si>
  <si>
    <t>매입 전선관 접속부에 방수 씰링을 적용하고, 예비 관로를 설계에 반영하여 침수에 의한 신호 단락 및 케이블 교체 시 도로 재굴착 리스크를 방지해야 함.</t>
  </si>
  <si>
    <t>매입 전선관 접속함 및 관로 접속부에 수밀 씰링재(방수 컴파운드 또는 씰링 부싱)를 시공하도록 설계에 반영하고, 향후 케이블 교체 및 추가를 위한 예비 관로(현재 사용 관로의 20% 이상)를 설계에 포함하여 침수에 의한 신호 단락 및 유지보수 시 도로 재굴착 비용 발생 리스크를 방지함.</t>
  </si>
  <si>
    <t>횡단보도 구간 트램 접근 시 음성안내장치, PoE 스위치, 관로 굴착을 포함한 보행자 안전 시스템 설계를 반영하여 보행자 인명사고 리스크를 방지해야 함.</t>
  </si>
  <si>
    <t>트램 노선 횡단보도 구간에 음성안내 장치(APS: Accessible Pedestrian Signal) 및 시각경보기를 설치하여 트램 접근 시 청각·시각으로 보행자에게 위험을 경고하고, 이를 위한 PoE(Power over Ethernet) 스위치 전원 공급 및 신호 연동 배관(관로 굴착) 계획을 설계에 반영함.</t>
  </si>
  <si>
    <t>트램 위치 검지기와 연계하는 능동형 우선신호 로직을 설계에 반영하여 트램이 일반 차량과 동일하게 신호 대기하는 정시성 저하 리스크를 방지해야 함.</t>
  </si>
  <si>
    <t>트램 차량의 위치 정보(GPS 또는 차상 무선 태그)를 실시간으로 신호 제어기에 전달하는 차상-지상 통신 시스템을 설계에 반영하고, 트램 접근 감지 시 자동으로 청색(진행) 신호를 부여하는 능동형 우선신호(Active TSP: Transit Signal Priority) 제어 알고리즘을 신호 제어기에 구현하여 트램 정시성을 확보함.</t>
  </si>
  <si>
    <t>트램 전용 분기부 신호기(5구등 또는 6구등)를 설계에 반영하여 기관사의 진로 방향 오인에 의한 탈선 및 충돌 사고 리스크를 방지해야 함.</t>
  </si>
  <si>
    <t>트램 분기부(전차선 분기, 선로 분기)에 일반 자동차 신호기와 외형이 명확히 구분되는 트램 전용 신호기(5구등: 상·좌·우·정지·주의 표시 또는 6구등 방식)를 설치하도록 설계에 반영하고, 트램 기관사 시야에서 명확하게 인식 가능한 위치(선로 우측 또는 정면 상부)에 설치하는 계획을 수립함.</t>
  </si>
  <si>
    <t>해당없음 (기본설계 도서 내에서 모순검지 로직 누락 및 불완전 설계로 제어기 오동작 시 트램·일반차량 동시 진행 신호가 부여될 대형 충돌에 관한 공법이나 상세 설계 내역이 확인되지 않습니다.)</t>
  </si>
  <si>
    <t>해당없음 (기본설계 도서 내에서 보증 비상제동성능(GEBR) 미반영에 따른 제동거리 부족으로 교차로 및 선로종단부 충돌·탈선이 발생할 우려에 관한 공법이나 상세 설계 내역이 확인되지 않습니다.)</t>
  </si>
  <si>
    <t>해당없음 (기본설계 도서 내에서 경찰청 표준규격 및 사전 심의 누락에 따른 임의 규격 설계로 경찰 교통관제센터와 통신 연동이 불가할 우려에 관한 공법이나 상세 설계 내역이 확인되지 않습니다.)</t>
  </si>
  <si>
    <t>해당없음 (기본설계 도서 내에서 트램 신호기가 원형으로 설계되어, 일반 차량 운전자의 신호 오인에 따른 교차로 진입 및 충돌 방재에 관한 공법이나 상세 설계 내역이 확인되지 않습니다.)</t>
  </si>
  <si>
    <t>트램 신호기 표출 방향과 일반 차량 신호 간 모순 검지 기능을 신호 제어기에 반영하여 동시 진행 신호 부여에 의한 충돌 리스크를 차단해야 함.</t>
  </si>
  <si>
    <t>신호 제어기 소프트웨어에 트램 신호기와 교차 방향 일반 차량 신호기 간 논리적 모순(예: 트램 청색 + 교차 방향 차량 청색 동시 표출) 발생 여부를 실시간으로 검지하는 모순 검지(Conflict Detection) 로직을 구현하고, 모순 검지 시 즉시 전 신호등 적색(All-Red) 표출 및 관제실 경보 전송 기능을 설계에 반영함.</t>
  </si>
  <si>
    <t>유전원 태그 대신 무전원 패시브 태그 방식을 검토하고, LTE-R과 차상 간 신호 모진 자동정지 연동 소프트웨어를 설계에 반영하여 과다 비용 발생 리스크를 방지해야 함.</t>
  </si>
  <si>
    <t>트램 위치 검지에 유전원(Active) RFID 태그 대신 배터리가 필요 없는 패시브(Passive) RFID 태그 방식을 검토하여 설치비용 및 유지비를 절감하고, LTE-R 기반 신호 모진(Overshoot) 감지 시 차상 ATC 시스템에 자동정지 명령을 전달하는 연동 소프트웨어 인터페이스를 설계에 반영함.</t>
  </si>
  <si>
    <t>신호 제어장치를 Active-Standby 이중화 방식으로 설계하여 메인보드 소손 시 단일 장애점에 의한 교차로 교통 마비 리스크를 방지해야 함.</t>
  </si>
  <si>
    <t>교차로 신호 제어기를 Primary와 Secondary 장치로 구성하는 Active-Standby 이중화 방식으로 설계하고, Primary 장치 고장 감지 시 Secondary 장치로 자동 전환(Failover)이 이루어지는 절체 시간(50ms 이내)과 절체 절차를 설계에 명기하여 단일 제어기 소손 시 교차로 교통 마비 리스크를 방지함.</t>
  </si>
  <si>
    <t>모순 검지 로직 및 페일세이프 원칙을 신호 제어기 소프트웨어에 반영하여 제어기 오동작 시 트램-일반차량 동시 진행 신호 표출 리스크를 차단해야 함.</t>
  </si>
  <si>
    <t>신호 제어기 소프트웨어 설계에 페일세이프(Fail-Safe) 원칙을 적용하여 전원 소실, 처리기 오류, 통신 단절 등 모든 장애 시나리오에서 전 신호등이 자동으로 적색(All-Red) 또는 소등 상태로 전환되도록 설계하고, 이를 SIL(Safety Integrity Level) 2 이상 등급으로 개발하는 계획을 설계에 반영함.</t>
  </si>
  <si>
    <t>보증 비상제동성능(GEBR)을 신호 시스템 설계에 반영하고, 제동거리를 고려한 신호 전이 구간 길이 및 거리 기준을 확정하여 충돌, 탈선 리스크를 방지해야 함.</t>
  </si>
  <si>
    <t>트램 차량의 보증 비상제동성능(GEBR: Guaranteed Emergency Brake Rate)을 차량 제작사로부터 수령하여 최대 운행 속도에서의 제동거리를 산정하고, 신호 위반 감지 구간(발산 시점부터 정지 시점까지 거리)이 산정된 제동거리 이상이 되도록 신호 시스템 구간 길이를 설계에 반영함.</t>
  </si>
  <si>
    <t>교통신호 설계 전 경찰청 표준규격 적용 및 관할 경찰서 사전 협의 일정을 프로젝트 마일스톤에 반영하여 임의 규격 설계로 인한 경찰청 교통안전심의 통과 실패 리스크를 방지해야 함.</t>
  </si>
  <si>
    <t>교통신호 설비 설계 시 경찰청 표준 신호등 규격(경찰청 고시 교통신호기 설치, 관리 매뉴얼) 및 도시트램법 기준을 준수하고, 관할 경찰서 및 지방경찰청 교통안전심의 신청을 기본설계 완료 시점에 착수하여 실시설계 단계에서 심의 결과를 설계에 반영하는 일정을 수립함.</t>
  </si>
  <si>
    <t>트램 전용 신호기 규격을 경찰청 표준규격에 따라 설계에 반영하고, 교통안전심의 통과가 가능하도록 사전 협의 일정을 프로젝트 계획에 포함해야 함.</t>
  </si>
  <si>
    <t>트램 전용 신호기 사양(규격, 설치 위치, 형식)을 경찰청 교통신호기 설치, 관리 매뉴얼의 트램 신호기 기준에 맞게 설계에 반영하고, 실시설계 착수 전 관할 지방경찰청 교통안전심의를 신청하여 심의 기간(통상 3~6개월)을 공정 계획에 반영함.</t>
  </si>
  <si>
    <t>분기부 트램 신호기를 기관사 시야에서 시야 가림 없이 정면 또는 우측에서 인식 가능한 위치에 설치하는 계획을 반영하여 신호 오인에 의한 탈선 리스크를 방지해야 함.</t>
  </si>
  <si>
    <t>분기부 트램 신호기 설치 위치를 선로 정면 상부 또는 우측 상부(지주 또는 아암)에 설치하도록 설계에 반영하고, 인접 구조물(건물, 교량, 표지판, 수목 등)에 의한 시야 차폐 여부를 기관사 시야 시뮬레이션을 통해 검토하여 가시거리 150m 이상에서 신호를 명확히 인식할 수 있는 설치 위치를 확정함.</t>
  </si>
  <si>
    <t>트램 전용 안전표지판 및 속도, 서행 표지를 경찰청 기준에 따라 설계에 반영하고, 일반 차량의 궤도 침범 방지를 위한 규제 표지를 설치해야 함.</t>
  </si>
  <si>
    <t>트램 노선 진입 구간 및 공유 구간에 일반 차량 궤도 진입 금지를 규정하는 규제 표지(도로교통법상 진입 금지 또는 통행 금지 표지), 트램 운행 주의 경고 표지, 구간별 제한속도 표지를 설계에 반영하고, 야간 시인성 확보를 위한 반사지(3M Type XI 이상) 사양을 명기함.</t>
  </si>
  <si>
    <t>속도제한, 서행 표지를 기관사 시야에서 사각지대 없이 충분한 거리(제동거리 이상)에서 식별 가능한 위치에 설치하는 계획을 설계에 반영해야 함.</t>
  </si>
  <si>
    <t>속도제한 표지 및 서행 예고 표지 설치 위치를 트램 운행 속도에 따른 제동거리(최소 150m 이상) 전방에 설치하도록 설계에 반영하고, 곡선부 및 교차로 진입 전 표지 가시거리를 기관사 시야 시뮬레이션을 통해 검토하여 사각지대 없이 모든 구간에서 표지가 인식 가능한 설치 계획을 수립함.</t>
  </si>
  <si>
    <t>단일로 횡단보도 구간에서 트램-보행자 신호 연동 설계를 반영하여 트램 접근 시 보행 신호가 자동으로 적색으로 전환되는 페일세이프 로직을 구축해야 함.</t>
  </si>
  <si>
    <t>단일로 구간 횡단보도에 트램 위치 검지기(루프 코일 또는 광학 센서)를 설치하여 트램 접근 감지 시 보행 신호를 자동으로 적색으로 전환하는 연동 로직을 신호 제어기에 반영하고, 신호 전환 후 트램 통과까지 보행 신호가 적색을 유지하는 시간을 제동거리와 열차 길이를 고려하여 산정함.</t>
  </si>
  <si>
    <t>트램 위치 데이터를 교통신호 제어기에 전달하는 통신 인터페이스 설계를 반영하여 우선신호용 위치 데이터 미전달에 의한 우선신호 오작동 리스크를 방지해야 함.</t>
  </si>
  <si>
    <t>트램 차상 GPS 또는 RFID 위치 검지 시스템과 교통신호 제어기 간의 통신 인터페이스(DSRC, C-V2X, LTE-R 연계 등) 규격을 확정하여 ICD에 반영하고, 통신 지연(latency 100ms 이하) 및 수신 실패 시 우선신호를 취소하고 일반 신호 운영으로 복귀하는 페일세이프 로직을 설계에 포함함.</t>
  </si>
  <si>
    <t>TTC-PIS 간 운행 정보 연동 프로토콜 및 인터페이스를 설계에 반영하여 승강장 모니터에 열차 도착 정보가 정확히 표출되도록 해야 함.</t>
  </si>
  <si>
    <t>열차운행관리시스템(TTC)과 여객안내시스템(PIS: Passenger Information System) 간의 인터페이스를 IEC 61375 또는 OPC UA 프로토콜 기반으로 설계에 반영하고, TTC에서 제공하는 실시간 열차 위치, 도착 예정 시간, 지연 정보를 PIS 디스플레이에 자동으로 표출하는 연동 소프트웨어 사양을 설계 요건에 명기함.</t>
  </si>
  <si>
    <t>도로·철도 신호 연계 설계 및 안테나 배치 계획에 전자파 간섭 분석을 반영하여 신호 오동작 리스크를 방지해야 함.</t>
  </si>
  <si>
    <t>도로 교통신호기, 철도 신호설비 및 모바일 안테나(LTE-R, 5G 등) 간의 전자파 간섭(EMI) 분석을 수행하여 간섭 영향 범위를 산정하고, 안테나 물리적 이격거리 확보, 차폐, 필터 설치 등 간섭 방지 대책을 설계에 반영하여 신호 오동작 리스크를 방지함.</t>
  </si>
  <si>
    <t>기지 내 입환 신호 및 시운전선 추돌방지 로직을 설계에 반영하여 기지 내 복수 편성 이동 시 충돌 사고 리스크를 방지해야 함.</t>
  </si>
  <si>
    <t>차량기지 내 입환 구역에 입환 신호기(이동 허가 신호기) 및 전자연동장치 기반의 추돌방지 로직을 설계에 반영하여 동시 이동 금지 구역 설정 및 진로 충돌 방지 기능을 구현하고, 기지 내 열차 이동 승인 절차를 운영 절차서에 명기하여 기지 내 충돌 리스크를 방지함.</t>
  </si>
  <si>
    <t>분기부 히팅 장치 결선 계획 및 어스박스 배수관을 설계에 반영하여 동절기 결빙 및 집중호우 침수에 의한 분기부 신호 제어 불능 리스크를 방지해야 함.</t>
  </si>
  <si>
    <t>분기기 히팅 장치(Rail Heating Element) 전원 공급 회로 및 온도 자동 제어 로직을 설계에 반영하고, 히팅 장치 어스박스 하부에 배수관(최소 DN50 이상)을 설치하여 우수 및 결빙 해빙수가 배수되도록 설계함으로써 동절기 분기기 결빙 및 집중호우 시 어스박스 침수에 의한 신호 제어 오동작 리스크를 방지함.</t>
  </si>
  <si>
    <t>운전 방식 경계부 전환 안내 신호기 및 제어 로직 변경 절차를 설계에 반영하여 기관사 신호 혼동에 의한 속도 위반 및 궤도 이탈 리스크를 방지해야 함.</t>
  </si>
  <si>
    <t>자율(ATP) 운전 구간과 수동(ATO 또는 수동) 운전 구간의 경계 지점에 운전 방식 전환 예고 신호기 및 전환 안내 표지를 설치하고, 차상 DMI(Driver Machine Interface)에 운전 모드 전환 안내 메시지를 표출하는 로직을 반영하여 기관사가 운전 방식 전환 시점을 충분히 인지하고 대응할 수 있도록 설계함.</t>
  </si>
  <si>
    <t>분기부 트램 신호기와 일반차량 신호기의 현시 동기화 로직을 신호 제어기에 반영하여 중복 점등에 의한 교차로 측면 충돌 리스크를 방지해야 함.</t>
  </si>
  <si>
    <t>교차로 분기부에서 트램 신호기와 인접 일반차량 신호기의 청색(진행) 신호가 동시에 점등되지 않도록 하는 상호 배타적(Mutual Exclusion) 신호 현시 로직을 신호 제어기에 반영하고, 이중 점등 발생 시 모든 신호등을 즉시 적색으로 전환하는 안전 회로(Interlock Circuit)를 설계에 포함함.</t>
  </si>
  <si>
    <t>교차로 소등 시 교통 정리요원 배치 계획 및 비용을 운영 계획서에 반영하고, 신호 중단 시 교통 정리 체계를 수립하여 무방비 신호 차단 리스크를 방지해야 함.</t>
  </si>
  <si>
    <t>신호기 소등(정전, 유지보수 등) 발생 시 교통 정리요원 배치 기준(교차로당 최소 2명 이상), 배치 시간 및 비용을 운영 관리 계획서에 반영하고, 신호기 소등 시 관제실 자동 경보 발생 및 요원 파견 절차를 수립하며, 임시 교통 통제 시나리오별 대응 매뉴얼을 작성함.</t>
  </si>
  <si>
    <t>트램 신호기 설치 높이를 기관사 시야 확보 및 도로 표지판 가림 방지 기준(최소 3.5m 이상)으로 설계에 반영하여 신호 시야 차폐 리스크를 방지해야 함.</t>
  </si>
  <si>
    <t>트램 신호기 설치 높이를 레일면 기준 최소 3.5m 이상으로 설계에 반영하고, 가로수 성장 높이 및 도로 화물차 높이(최대 4.0m)를 고려하여 5.5m 이상으로 설치하는 계획을 수립하며, 신호기 설치 위치별 시야 가림 여부를 기관사 시야 시뮬레이션을 통해 사전 검토함.</t>
  </si>
  <si>
    <t>신호 설비 관로와 맨홀을 토목, 통신 공동관로 계획과 통합 설계하여 교차로 반복 굴착에 의한 공사비 낭비 및 교통 혼잡 리스크를 방지해야 함.</t>
  </si>
  <si>
    <t>교차로 신호 설비 관로(전선관)와 통신, 토목 공동관로 계획을 분야 간 협의를 통해 통합 설계하고, 공동구 또는 공동 맨홀 방식을 활용하여 교차로 반복 굴착을 방지함으로써 공사비 절감 및 교통 혼잡 최소화 계획을 설계에 반영함.</t>
  </si>
  <si>
    <t>옥외 신호 현장제어함을 IP56 이상 방진방수 구조로 설계에 반영하여 우천 시 침수, 결로에 의한 신호 오동작 리스크를 방지해야 함.</t>
  </si>
  <si>
    <t>옥외 신호 현장제어함 외함 방진방수 등급을 IP56 이상(방진 5등급: 분진 차폐, 방수 6등급: 강력한 물 분사 방호)으로 사양에 명기하고, 함체 하부에 배수 마개를 설치하며, 함체 내부에 습기 흡수제(실리카겔) 또는 제습 히터를 설치하는 계획을 설계에 반영함.</t>
  </si>
  <si>
    <t>신호 케이블에 차폐 난연 케이블을 사용하고, 관로 내 수용 계획을 설계에 반영하여 유도장애에 의한 신호 오작동 및 화재 확산 리스크를 방지해야 함.</t>
  </si>
  <si>
    <t>신호 케이블에 편조 또는 알루미늄 포일 차폐 난연 케이블(FR-CNCO-W 또는 동등 이상)을 사용하도록 설계에 명기하고, 전원 케이블과 신호 케이블의 분리 수용 계획(분리 관로 또는 분리 트레이)을 설계에 반영하여 유도장애 및 화재 확산 리스크를 방지함.</t>
  </si>
  <si>
    <t>주파수 간섭 장비 혼용 배치를 지양하고 축전지실을 분리 설계하여 전자파 장애 및 배터리 화재 시 신호 관제망 동반 마비 리스크를 방지해야 함.</t>
  </si>
  <si>
    <t>신호 제어 설비와 주파수 간섭 가능성이 있는 장비(RF 장치, 전력 변환기 등)를 물리적으로 분리 배치하고, 축전지실을 신호 제어실과 방화 격벽으로 분리하여 독립 공간에 설치하는 계획을 설계에 반영하며, 축전지실 환기 설비 및 화재 감지기를 포함함.</t>
  </si>
  <si>
    <t>IP56 이상 옥외 제어함 및 지하시설 난연 케이블 사양을 신호 설비 시방서에 명기하여 우천 침수 및 화재에 의한 신호 단락 리스크를 방지해야 함.</t>
  </si>
  <si>
    <t>신호 설비 공사시방서에 옥외 설치 제어함의 방진방수 등급 IP56 이상, 지하 시설 케이블의 저독성 난연 사양(HF-CO 또는 동등 이상)을 명기하고, 지하 맨홀 내 케이블 포설 시 방수 씰링 및 케이블 고정 클램프 설치를 의무화하는 시공 기준을 반영함.</t>
  </si>
  <si>
    <t>전선관 굴곡 반경을 케이블 규격 기준(최소 케이블 외경의 6배 이상)으로 설계에 반영하고, 접속함에 방수 씰링을 적용하여 케이블 교체 시 도로 재굴착 리스크를 방지해야 함.</t>
  </si>
  <si>
    <t>매입 전선관 굴곡 반경을 수납 케이블 최대 외경의 6배 이상으로 설계에 반영하고, 전선관 접속함에 방수 씰링재(실리콘 또는 EPDM 개스킷)를 적용하여 침수에 의한 절연 파괴를 방지하며, 케이블 여유(스페어 코어)를 설계에 포함하여 케이블 교체 시 도로 재굴착 없이 기존 관로를 통해 교체할 수 있도록 관로 직선성 및 윤활 공간을 확보함.</t>
  </si>
  <si>
    <t>대공종</t>
  </si>
  <si>
    <t>극상</t>
  </si>
  <si>
    <t>상</t>
  </si>
  <si>
    <t>중</t>
  </si>
  <si>
    <t>하</t>
  </si>
  <si>
    <t>철도계획</t>
  </si>
  <si>
    <t>궤도</t>
  </si>
  <si>
    <t>차량기지</t>
  </si>
  <si>
    <t>토목구조</t>
  </si>
  <si>
    <t>토질 및 기초</t>
  </si>
  <si>
    <t>건축</t>
  </si>
  <si>
    <t>기계</t>
  </si>
  <si>
    <t>통신</t>
  </si>
  <si>
    <t>신호</t>
  </si>
  <si>
    <t>전기</t>
  </si>
  <si>
    <t>세공종</t>
  </si>
  <si>
    <t>인허가</t>
  </si>
  <si>
    <t>입찰 TF팀
김재형 부장
이동욱 차장</t>
  </si>
  <si>
    <t>26.06.15</t>
  </si>
  <si>
    <t>철도_설계추진방향보고_진안신도시 계획 고려 선형계획_rev.00_260529.pdf</t>
  </si>
  <si>
    <t>공정</t>
  </si>
  <si>
    <t>· 정거장 및 선로 계획 수립 시 인접 지하구조물 및 지장물과의 물리적 간섭에 따른 시공 불가 리스크를 방지하였는가?
- S01정거장 지하변전실과 수인분당선 망포역 지하구조물 및 엘리베이터 저촉(이격 0.35m)으로 인한 시공 불가 리스크.</t>
  </si>
  <si>
    <t>1. 망포역 지하 구조물 및 엘리베이터(E/V) 간섭 우려부 정밀 도면 및 이격거리(0.35m) 검토
2. 변전실 이전 배치(약 100m) 계획에 따른 구조적 안전성 및 시공성 검토
3. 정거장 위치 이동 시 환승 동선(거리 24m) 영향 및 승객 접근성 검토</t>
  </si>
  <si>
    <t>철도_설계추진방향_2공구 시점부 배선 검토_Rev.01_260612.pdf</t>
  </si>
  <si>
    <t>· 교량 통과 및 진입 구간의 토공-구조물 경계부 부등침하로 인한 궤도 불량 리스크와 설계 누락에 따른 공사비 급증 리스크를 방지하였는가?
- 나루교 측면 진입 구간의 토공부와 교량 접속부의 부등침하로 인한 궤도 단차(3mm 이상) 우려 및 통로박스/가시설 설계 누락으로 인한 예산 초과 리스크.</t>
  </si>
  <si>
    <t>1. 토공-교량 접속부 침하 예방 상세(접속슬래브 공법 등) 및 시공 안전성 설계 기준 만족 여부 및 도면 정합성 검토
2. 교량 전후 가시설 및 통로박스 계획 설계 도서 누락부 정밀 물량 정밀 물량 및 설계 원가 정밀 물량 및 설계 원가 산출
3. 대안 선형별 경제성(LCC) 분석서 및 지자체 요구조건 만족 여부 대조 적정성 대조 및 대안 설계 검토</t>
  </si>
  <si>
    <t>철도_설계추진방향_1공구 오산천교 대안선형 검토_Rev.02_260612.pdf</t>
  </si>
  <si>
    <t>품질</t>
  </si>
  <si>
    <t>· 인접 고가 및 건물 저촉으로 인한 사유지 침해 리스크와 본선 급곡선/급경사에 따른 탈선 및 기하구조 불만족 리스크를 방지하였는가?
- 반월고가 인접 구간의 보도셋백으로 사유지 건물 3개동 저촉 우려, 하선 급곡선(R=80m, R=60m)에 의한 탈선/마모 위험 및 기존 도로 단차(0.47m)로 최급경사(58‰) 발생 리스크.</t>
  </si>
  <si>
    <t>1. 반월고가 측도 거더 및 교각 측량 데이터와 사유지 건물 저촉 범위 도면 대조 적정성 대조 및 대안 설계 검토
2. 급곡선부의 캔트(Cant), 확폭(Slack) 계산서 및 속도별 탈선 안전성 시뮬레이션 설계 기준 만족 여부 및 도면 정합성 검토
3. 종단 기울기(최대 58‰) 완화를 위한 곡선보정 계산 및 종단선형 계획 설계 기준 만족 여부 및 도면 정합성 검토</t>
  </si>
  <si>
    <t>1. 사유지 건물 보상 최소화
 - 보도 셋백 축소: 횡단면 계획을 보완(보도를 4.0m에서 2.9m로 축소)하여 사유지 건물 저촉을 기존 3개동에서 2개동으로 축소하여 민원을 방지하였음.
2. 곡선 기하구조 및 종단 기울기 완화
 - 선형 곡선반경 확대: 후문교차로 구간의 하선 S자 곡선을 R=80m/60m에서 R=800m/100m로 대폭 개선하여 탈선 및 마모 위험을 원천 제거하였음.
 - 종단 구배 조정: 기존도로와의 트램 단차를 0.47m에서 0.24m로 최적화하고, 최급기울기를 58‰에서 곡선보정(5‰)을 반영한 53‰로 조정 설계함.</t>
  </si>
  <si>
    <t>철도_설계추진방향_2공구 반월고가 선형 검토_Rev.00_260612.pdf</t>
  </si>
  <si>
    <t>· 단계별 개통 계획 수립 시 종점 정거장의 주박/회차선 계획 누락으로 인한 열차 운행 지연 리스크와 승무원 지원 시설 배제에 따른 운영 효율성 저하 리스크를 방지하였는가?
- 114정거장 종점부의 주박 및 회차선 미반영에 따른 출고 지연(42분) 문제 및 승무원 편의시설(36㎡) 누락으로 인한 운영 비효율 리스크.</t>
  </si>
  <si>
    <t>1. 단계별 개통 운행 스케줄(기지 출고 시간) 및 주박(2편성) 전후방 회차 패턴 설계 기준 만족 여부 및 도면 정합성 검토
2. 입찰안내서 상 과업 시종점 변경 제한 사항에 대한 법적·계약적 영향 기하학적 수리/용량 분석 시뮬레이션 및 영향 검토
3. 정거장 편의시설(승무원 대기실 등) 소요 공간 확보 여부 및 건축 평면도 대조 적정성 대조 및 대안 설계 검토</t>
  </si>
  <si>
    <t>1. 1단계 운행 대안 및 시설 반영
 - 본선 주박 계획 수립: 입찰안내서 한계 범위를 침범하지 않으면서 114정거장 전방에 2편성 본선주박이 가능한 '검토2안(본선주박 및 전방 회차)' 배선계획을 반영하였음.
 - 편의시설 추가: 승무원 대기실 및 간이 휴게실 면적 36㎡를 정거장 구조물 계획에 추가 설계함.</t>
  </si>
  <si>
    <t>· 단선 궤도 구간의 용지 및 건축한계 이격 확보 미달로 인한 국토부 가이드라인 및 경찰청 도로 설계 기준 불만족 리스크를 방지하였는가?
- 단선구간 표준횡단 설계 시 도로 차선을 건축한계 외측에 배치하지 못해 노면전차 가이드라인(이격 250mm) 및 경찰청 편람 기준에 저촉될 리스크.</t>
  </si>
  <si>
    <t>1. 노면전차 가이드라인 및 경찰청 편람의 횡단 배선 치수와 설계 도면 교차 대조 적정성 대조 및 대안 설계 검토
2. 단선 용지폭 대안별(3.8m 대 4.2m) 주변 도로 차로 폭원 및 신호 설계 영향 기하학적 수리/용량 분석 시뮬레이션 및 영향 검토
3. 도로관리청 등 유관부서와 단선 용지 폭 관련 사전 협의 기록 설계 기준 만족 여부 및 도면 정합성 검토</t>
  </si>
  <si>
    <t>철도_설계추진방향_표준횡단(시스템 공동관로)_Rev.01_260612.pdf</t>
  </si>
  <si>
    <t>· 기존 구조물 통과 구간의 배선/배관 횡단 규격 증대로 인한 건축한계 침범 리스크 및 배선 설계 누락으로 인한 추가 공사비 리스크를 방지하였는가?
- 벌말교 등 기존 교량 통과 시 공동관로 단면 증대(1,160x710mm)로 인한 건축한계 침범 우려 및 ELP 3공 배선 누락에 따른 공사비 부족 리스크.</t>
  </si>
  <si>
    <t>1. 벌말교 등 교량 상부 종단 여유고 및 건축한계 이격 거리 상세 치수 검사 적정성 대조 및 대안 설계 검토
2. 공동관로 단면 축소 공법(파스콘트로프 등)의 하중 지지 성능 및 규격 비교 설계 기준 만족 여부 및 도면 정합성 검토
3. 공동관로 배선 및 토공 수량 산출서와 공사 계약 내역서 정합성 교차 대조 적정성 대조 및 대안 설계 검토</t>
  </si>
  <si>
    <t>1. 건축한계 침범 방지 및 신공법 적용
 - 파스콘트로프 공법 적용: 기존 구조물 통과 구간(벌말교 등)에 단면을 축소할 수 있고 하중 지지력이 우수한 '파스콘트로프+경계석 배제안'을 적용하여 건축한계 침범 문제를 완벽히 헷지함.
 - 누락 물량 반영: 2공구에 누락되었던 3공 배선 공사비용(단위공사비 800,000원/m 기준)을 상세 예산에 반영함.</t>
  </si>
  <si>
    <t>· 본선 배수 시스템의 과다 설계로 인한 시공 원가 상승 리스크 및 공구별 배수 자재 수량 누락으로 인한 예산 오버런 리스크를 방지하였는가?
- 배수관, 집수정 및 그레이팅의 중복 배치로 인한 시공성 저하 및 2공구 내 배수관/그레이팅 예산(약 23억) 누락에 따른 공사비 확보 불만족에 따라 규정 위반 및 재시공 비용을 유발하는 리스크.</t>
  </si>
  <si>
    <t>1. 본선 궤도 배수 시뮬레이션을 통한 우수 배출 효율 및 배수 계통 단순화 설계 기준 만족 여부 및 도면 정합성 검토
2. 토목 배수 도면 상의 집수정, 그레이팅 수량과 수량산출서(BOQ) 불일치 여부 도면 대조 및 규정 부합 여부 확인
3. 외측 도로 배수로 직접 연결 시의 연결관 수리 용량(관경 및 기울기) 적정성 설계 기준 만족 여부 및 도면 정합성 검토</t>
  </si>
  <si>
    <t>1. 배수 설계 단순화 및 예산 현실화
 - 배수방식 슬림화: 선로 중앙 플륨관 및 종배수관 중복 배치를 배제하고 외측 도로 우수받이 직접 연결 방식으로 단순화하여 시공 공사비 약 11억 원을 절감하였음.
 - 수량 불일치 보완: 내역서에서 누락되었던 2공구 배수 자재비 및 토공 굴착 예산 23억 원을 정상 복원 반영함.</t>
  </si>
  <si>
    <t>철도_설계추진방향보고_본선배수계획_rev.00_260529.pdf</t>
  </si>
  <si>
    <t>1. 지하차도 내부 지상 구조물 실측 도면과 궤도 설치 한계선 간의 이격 상세 설계 기준 만족 여부 및 도면 정합성 검토
2. 가이드라인 충족을 위한 상·하선 궤도 중심선 평면 이동(쉬프트) 영향성 시뮬레이션 적정성 대조 및 대안 설계 검토
3. 종단곡선 변곡점(IP) 전후의 설계 완화곡선장 및 종단기울기 정합성 설계 기준 만족 여부 및 도면 정합성 검토</t>
  </si>
  <si>
    <t>1. 건축한계 이격 확보 및 선형 보정
 - 궤도 중심선 이동: 상·하선 궤도 교점(IP) 위치 조정을 통해 지하차도 내 기둥과 차량 간 이격거리를 기준에 맞는 200mm 이상으로 확보하였음.
 - 종단 곡선장 만족: IP점 미세 이동 조정을 통해 평면 곡선반경 R=240m, R=600m 구간의 여유 곡선장을 추가 확보하여 안전성을 만족함.</t>
  </si>
  <si>
    <t>· 주요 정거장 내 건넘선의 일방향 배치로 인한 비상 시 양방향 우회회차 불능 및 열차 운행 통제 리스크를 방지하였는가?
- 1공구 304정거장 및 201정거장의 건넘선이 모두 동일한 일방향 구조로 설계되어 비상시 반대방향 회차 및 기지 입고 불가 리스크.</t>
  </si>
  <si>
    <t>1. 1공구 정거장별 건넘선 분기 방향(대향, 배향) 및 궤도 레이아웃 정합성 대조 적정성 대조 및 대안 설계 검토
2. 비상상황 시 시나리오별 열차 반복운행 및 우회 복선 제어 계통 설계 기준 만족 여부 및 도면 정합성 검토
3. 건넘선 구조 변경 시 신호 설비 및 분기 궤도 자재 예산 확보 여부 설계 기준 만족 여부 및 도면 정합성 검토</t>
  </si>
  <si>
    <t>1. 건넘선 구조 대칭 변경
 - 건넘선 방향 조율: 304정거장 및 201정거장의 일방향 건넘선을 대칭(대향-배향 조합) 구조로 방향 변경을 제안하여 양방향 반복 회차가 가능하도록 개선하였음.</t>
  </si>
  <si>
    <t>분야별\01_철도계획\철도_설계추진방향_기본설계 배선계획 검토_rev.00_260601.pdf</t>
  </si>
  <si>
    <t>· 인접 정거장 간 과도한 이격 거리로 인해 비상 상황 시 열차 우회 및 대피 시간 지연으로 인한 운행 중단 리스크를 방지하였는가?
- 201~207정거장 구간 건넘선 이격거리가 가이드라인(2.3km)을 크게 초과(6.61km)하여 사고 발생 시 전 구간 노선 마비 리스크.</t>
  </si>
  <si>
    <t>1. 정거장 간 선로 평면 구획 및 대피선 신설 가능한 도로 폭원 정밀 검사 적정성 대조 및 대안 설계 검토
2. 사고 발생 시 구원 운전 동선 및 열차 폐색 제어(Block System) 시뮬레이션 적정성 대조 및 대안 설계 검토
3. 중간 비상건넘선(204정거장 등) 추가에 따른 토목 노반 및 궤도 상세도 대조 적정성 대조 및 대안 설계 검토</t>
  </si>
  <si>
    <t>1. 중간 비상 건넘선 추가
 - 204정거장 건넘선 신설: 201~207정거장 중간 지점(204정거장)에 비상 건넘선을 설계 추가하여 비상시 우회 이격거리를 3.44km로 크게 단축시켰음.</t>
  </si>
  <si>
    <t>· 정거장 회차선 고장 시 대체 회차 경로 부재로 인한 첨두시 열차 편성 부족 및 회차 대기 지연 리스크를 방지하였는가?
- 210정거장의 후방 건넘선 고장 시 기지 인입 반복운행 회차 시간이 급증하여 출퇴근 시 배차 간격을 충족하지 못할 리스크.</t>
  </si>
  <si>
    <t>1. 210정거장 전후 선로 분기기 배치 약도 및 기지 인입 단선 궤도 신호 제어 설계 기준 만족 여부 및 도면 정합성 검토
2. 전방 비상건넘선 신설 시 정거장 승강장 접근 선형 및 건축한계 간섭 검사 적정성 대조 및 대안 설계 검토
3. 후방 분기기 오동작 시나리오별 열차 우회 회차 시뮬레이션 및 복구 시간 대조 적정성 대조 및 대안 설계 검토</t>
  </si>
  <si>
    <t>1. 전방 건넘선 배치 추가
 - 210정거장 전방 비상건넘선 신설: 후방 분기기 고장에 대비하여 210정거장 전방에 비상 건넘선을 신설함으로써 첨두시 열차 편성 공백 없이 안정적인 기지 회차가 가능하도록 변경하였음.</t>
  </si>
  <si>
    <t>· 고장 열차용 대피선(Y선) 계획의 비효율성으로 인한 공사비 및 정기 유지보수비 과다 점유 리스크를 방지하였는가?
- 기본설계상 108정거장에 설치하는 Y형 대피선 계획이 구원열차 직접 기지 복귀 성능(1시간 내) 대비 과도하게 예산을 소요하는 리스크.</t>
  </si>
  <si>
    <t>1. 고장 열차 견인 구원 운전 절차서 상의 구원 속도 및 차량기지 회송 소요 시간 기하학적 수리/용량 분석 시뮬레이션 및 영향 검토
2. Y선 대피선 철거 시 절감 가능한 선로 분기기, 신호 장비 및 노반 토목 예산 대조 적정성 대조 및 대안 설계 검토
3. 인근 공용정거장(201 등)의 편개 분기기 활용 회차/대피 운행 타당성 설계 기준 만족 여부 및 도면 정합성 검토</t>
  </si>
  <si>
    <t>1. 비효율 대피선 철거 및 공용 노선 대체
 - 대피선 철거 및 예산 절감: 불필요한 108정거장 대피선을 철거하고, 107 공용정거장(201)에 편개 분기기를 설치하여 대체 운영하도록 하여 공사비를 절감함.</t>
  </si>
  <si>
    <t>안전</t>
  </si>
  <si>
    <t>· 차량기지와의 인접 구간 내 대피선 설치의 비효율성으로 인한 토목 공사비 낭비 및 선로 복잡성 상승 리스크를 방지하였는가?
- 차량기지와의 거리가 인접(3km 이하)하여 열차 고장 시 직접 기지 입고가 가능함에도 207정거장 대피선을 존치하여 원가가 상승하는 리스크.</t>
  </si>
  <si>
    <t>1. 고장 열차 발생 시 차량기지 인입선까지의 구원 견인 소요 시간 기하학적 수리/용량 분석 시뮬레이션 및 영향 검토
2. 207정거장 하행 대피선 철거 시 절감 가능한 분기기 수량 및 신호 전력 예산 대조 적정성 대조 및 대안 설계 검토
3. 본선 궤도 선형 단순화에 따른 유지보수 신뢰성 및 LCC 효과 설계 기준 만족 여부 및 도면 정합성 검토</t>
  </si>
  <si>
    <t>1. 비효율 대피선 배제 및 예산 절감
 - 207 대피선 철거: 효율성이 낮은 207 대피선을 노선 계획에서 철거하여 불필요한 궤도 및 전기 공사비를 억제하고 선로 구조를 단순화하였음.</t>
  </si>
  <si>
    <t>· 차량기지 입출고선 급곡선 구간 주행 시 차륜/레일 마모 및 안전성 결여로 인한 탈선 리스크를 방지하였는가?
- 차량기지 진입부 급곡선(R=25m) 계획으로 인해 트램 주행 시 플랜지 마찰 및 이상 마모에 따른 탈선 리스크.</t>
  </si>
  <si>
    <t>1. 기지 진입부 곡선반경(R=25m)에 따른 차량 대차 회전 한계각 및 외궤 캔트 설계 기준 만족 여부 및 도면 정합성 검토
2. 곡선구간 이탈 및 탈선 방지를 위한 호륜레일(Guard Rail) 설치 단면 상세 도면 대조 및 규정 부합 여부 확인
3. 진입부 차륜 윤중 감소율 및 제한 속도 제어 시스템 설계값 적정성 기하학적 수리/용량 분석 시뮬레이션 및 영향 검토</t>
  </si>
  <si>
    <t>1. 주행 탈선 안전장치 반영
 - 호륜레일 시공: 급곡선 주행 시 차륜 플랜지와 레일의 접촉 마모를 최소화하기 위해 곡선 내측에 탈선 방지용 호륜레일(Guard Rail)을 설계에 적용하였음.</t>
  </si>
  <si>
    <t>분야별\01_철도계획\철도_설계추진방향보고_차량기지 계획의 적정성 검토_ver.07_260529.pdf</t>
  </si>
  <si>
    <t>1. 기지 계획고 미세 조정을 통한 토공 원가 절감
 - 자체 절성토 물량 균형 수립: 차량기지 계획고를 원안 대비 약 0.5m 낮추어 외부 흙 인입 수량을 대폭 줄이고 자체 절성토 물량 균형을 95% 이상으로 맞추어 성토비용을 절감함.</t>
  </si>
  <si>
    <t>1. 기지 설계 강우 강도(최소 50년 빈도)에 따른 배수 유출량 및 우수 저류량 설계 기준 만족 여부 및 도면 정합성 검토
2. 지상 노출 유수지 대비 지하 저류조(PC 구조물 등) 설치 시 지상 가용면적 기하학적 수리/용량 분석 시뮬레이션 및 영향 검토
3. 지하 저류조의 유지관리 검수구 및 퇴적 토사 준설 공간 상세 설계 설계 기준 만족 여부 및 도면 정합성 검토</t>
  </si>
  <si>
    <t>1. 빗물 저류 시설의 지하 입체화
 - 지하 저류조 도입: 지상 노출형 유수지 대신 지하 조립식 PC 강재 저류조 형태로 설계를 변경하여 지상 유휴 부지를 확보하고 이를 주박선 공간으로 전용하였음.</t>
  </si>
  <si>
    <t>· 차량기지 입출고 선로 배선의 동선 간섭으로 인한 차량 병목 현상 및 정비 대기 지연 리스크를 방지하였는가?
- 검수고 및 정비 유치선 진입로의 편중된 단일 분기 계획으로 인해 입출고 열차 간 동선이 교차하여 대기 시간이 증가하는 리스크.</t>
  </si>
  <si>
    <t>1. 차량기지 배선약도 상 입출고 차량 동선 분석 및 병목 발생 가능 구간 시뮬레이션 적정성 대조 및 대안 설계 검토
2. 관통식 독립 배선(두 방향 출입) 설계 적용에 따른 정비동 선로 분기 기하도 설계 기준 만족 여부 및 도면 정합성 검토
3. 정비동 입고 전철기 고장 시의 예비 회차 루프 및 안전 측선 존재 여부 대조 적정성 대조 및 대안 설계 검토</t>
  </si>
  <si>
    <t>1. 관통식 독립 배선 도입
 - 관통식 선로 분기 설계: 검수고 통과 후 직접 회차 가능한 관통식 분기 배선을 설계에 반영하여 정비동선 교차를 배제하고 차량기지 정체를 최소화함.</t>
  </si>
  <si>
    <t>· 차량기지 유치선 내 제동거리 미달로 인한 동시 출발 제한 및 배차 간격 공백 리스크를 방지하였는가?
- 유치선 내 배향 신호기 설정 시 10km/h 비상 제동거리(7m) 대비 차량 이격거리가 부족하여 열차 간 동시 출발이 제한되는 리스크.</t>
  </si>
  <si>
    <t>1. 유치선 제한속도별(5km/h 대 10km/h) 필수 제동 성능 및 공주시간 계산서 설계 기준 만족 여부 및 도면 정합성 검토
2. 차량접촉한계 지점과 배향 신호기 간의 선로 유효 길이 도면 대조 적정성 대조 및 대안 설계 검토
3. 신호 쇄정 및 제한 속도 제어 시스템의 상호 연동 동작 조건 설계 기준 만족 여부 및 도면 정합성 검토</t>
  </si>
  <si>
    <t>1. 신호 쇄정 및 제한 속도 제어 시스템 도입
 - 제한 운행 및 신호 연동: 유치선 내 최고 속도를 5km/h로 시스템 제한하여 필수 제동거리를 4.16m로 단축하고 신호 쇄정을 연동시켜 동시 출발 간섭을 방지함.</t>
  </si>
  <si>
    <t>· 차량기지 내 주요 관리동과 정비 구역의 배치 부적정으로 인한 근무 동선 비효율 및 비상 대처 지연 리스크를 방지하였는가?
- 종합관리동과 검수고 간 원거리 이격으로 인해 24시간 교대 근무자의 수평/수직 이동 동선이 늘어나 비상 상황 발생 시 조기 대응이 지연되는 리스크.</t>
  </si>
  <si>
    <t>1. 관리 업무 부서와 정비·검수 기능실 간의 수평 보행 거리 및 예상 소요 시간 측정 적정성 대조 및 대안 설계 검토
2. 1층 검수고-2층 관리동 수직 통합 계획 수립에 따른 건축 구조 안전성 및 하중 설계 기준 만족 여부 및 도면 정합성 검토
3. 연결 데크 및 상부 보행 통로 설치 시의 안전 방재 대책 도면 도면 대조 및 규정 부합 여부 확인</t>
  </si>
  <si>
    <t>1. 수직/수평 동선 일원화 특화 설계
 - 연결 통로 및 통합동 배치: 전면 성토 구간을 활용해 종합관리동을 검수고와 유기적으로 인접 결합 배치하고, 상부 연결 데크를 도입하여 관리동선을 최소화함.</t>
  </si>
  <si>
    <t>· 수습/세척실 인근의 고전압 충전 장치 배치로 인한 누전 감전 및 습기 유입 화재 리스크를 방지하였는가?
- 대량의 물을 사용하는 차량 세척고 인근에 트램 고전압 배터리 충전 공급 장치와 조작반이 인접 배치되어 누전 및 절연 파괴 화재 리스크.</t>
  </si>
  <si>
    <t>1. 기지 내 세척실 및 습기 노출 구역 주변 전력 인입 경로 및 전기 이격 거리 검사 적정성 대조 및 대안 설계 검토
2. 충전실 2층 독립 공간 이설 또는 독립실 획정을 위한 수직 분리 평면도 대조 적정성 대조 및 대안 설계 검토
3. 하부 충전 케이블 단부 및 커넥터의 방수 등급(IPX6 이상) 설계 성적서 도면 대조 및 규정 부합 여부 확인</t>
  </si>
  <si>
    <t>1. 전기실 수직 분리 배치
 - 2층 독립 충전실 설계: 변압기 및 충전 조작반을 2층 독립 공간으로 수직 격리 이설하고 1층에는 방수 규격을 적용한 충전 단부만 배치하여 습기로 인한 전기 사고를 차단함.</t>
  </si>
  <si>
    <t>· 차량기지 내 유지보수용 소형 장비의 유치 공간 부족으로 인한 정비 작업 동선 저촉 및 지연 리스크를 방지하였는가?
- 기지 내 장비유치선(1선, 136m) 내에서 모터카 작업 시 청소차, 연마차 등 소형 보수장비(55m 소요)와 동선이 겹쳐 보수 작업이 정체되는 리스크.</t>
  </si>
  <si>
    <t>1. 궤도 보수장비 제원(레일연마차, 평판 트로리 등)별 물리적 소요 선로 점유 폭 대조 적정성 대조 및 대안 설계 검토
2. 모터카 전용 인상선과 일반 장비 유치선의 분리 배선 및 선로 용량 계산 설계 기준 만족 여부 및 도면 정합성 검토
3. 보수장비 회차 및 인출입 시의 전철 제어 스케줄 및 시뮬레이션 기하학적 수리/용량 분석 시뮬레이션 및 영향 검토</t>
  </si>
  <si>
    <t>1. 장비유치선 여유 공간 및 독립선 반영
 - 모터카 인상선 이원화: 장비유치선과 모터카 작업선의 입출 통로를 분리하고, 궤도장비 보관 공간 55m를 별도 확보하여 보수 업무 정체를 방지하였음.</t>
  </si>
  <si>
    <t>· 차량기지 세척 배수 처리 장치 용량 부족으로 인한 정비 구역 내 오폐수 역류 및 침수 리스크를 방지하였는가?
- 기지 내 집중 세척 오폐수 배출량이 일일 정화 처리 장치 용량을 초과하여 세척고 바닥 역류 및 궤도 침수가 일어날 리스크.</t>
  </si>
  <si>
    <t>1. 기지 내 차체 청소선 및 세척 설비의 최대 일일 배출 용수량(㎥) 산정서 도면 대조 및 규정 부합 여부 확인
2. 유수분리기 및 오폐수 집수정 용량과 배출 관거의 구배별 허용 통수 용량 계산 적정성 대조 및 대안 설계 검토
3. 우수-폐수 분리 배출 관로 분리 여부 및 배관 종합도 대조 적정성 대조 및 대안 설계 검토</t>
  </si>
  <si>
    <t>1. 고용량 정화 시스템 적용 및 분리 방류
 - 대용량 유수분리기 도입: 처리 용량을 일일 배출량 대비 130% 상향 조정하고 우수-폐수 분리 관거를 신설하여 역류 침수를 방지함.</t>
  </si>
  <si>
    <t>1. 고장 열차 발생 시 차량기지 인입선까지의 구원 견인 소요 시간 분석
2. 207정거장 하행 대피선 철거 시 절감 가능한 분기기 수량 및 신호 전력 예산 대조
3. 본선 궤도 선형 단순화에 따른 유지보수 신뢰성 및 LCC 효과 검토</t>
  </si>
  <si>
    <t>1. 망포역 환승 통로 폭원(최소 4m 이상) 및 환승거리(24m) 적정성 설계 도면 검토
2. 출퇴근 시간대 승객 집중률을 반영한 환승 게이트 및 에스컬레이터 용량 수리 분석</t>
  </si>
  <si>
    <t>설계부서 담당자</t>
  </si>
  <si>
    <t>유관부서 담당자</t>
  </si>
  <si>
    <t>26.06.16</t>
  </si>
  <si>
    <t>· 교차로 구간 트램 신호 제어 설계 시, 일반 차량의 대기 시간 및 서비스 수준(LOS)을 분석하여 가변 신호 알고리즘 등 대안을 마련하고 도로 정체 리스크를 완화하였는가?
- 도심지 주요 교차로 구간 트램 우선 신호 제어 시, 일반 도로 차량의 대기 시간 증가로 교차로 서비스 수준(LOS)이 급격히 저하되어 주변 교통 마비 리스크.</t>
  </si>
  <si>
    <t>1. 도로교통 부서와 트램 우선 신호 알고리즘 및 주기(Cycle) 정밀 시뮬레이션 분석
2. 교차로 좌회전 대기 차로 연장 설계 및 교통 영향 평가 데이터 대조 검토</t>
  </si>
  <si>
    <t>1. 도로 교통 영향 분석 및 가변 신호 도입
 - 실시간 감응식 가변 신호 반영: 트램 통과 시에만 감응식 우선 신호를 작동시키고, 교차로 대기 차로를 30m 가폭 설계하여 일반 차량 정체 영향을 최소화함.</t>
  </si>
  <si>
    <t>· 차량기지 및 정차 정거장 배선 계획 시, 첨두시 열차 입출고 동선 및 반복 회차 효율성을 극대화하여 열차 운행 지연 리스크를 완화하였는가?
- 차량기지 내 삼각선(Y-Track) 배선 계획 시, 급곡선 주행에 따른 차량 진입 시 차륜 압상 탈선 우려 및 분기기 전환 장치 간섭 리스크.</t>
  </si>
  <si>
    <t>1. 삼각선 급곡선 반경(R=25m) 차량 거동 해석서 및 탈선 안전 계수 검토
2. 전철기 설치 한계 한 폭 및 궤도 중심 간 최소 이격거리 확보 도면 검증</t>
  </si>
  <si>
    <t>1. 삼각선 배선 기하구조 및 안전성 보완
 - 탈선 방지 가드레일 설치: 삼각선 급곡선 구간에 특수 가드레일을 부설 설계하고, 전철기 설치용 최소 선로 간격을 4.5m로 가폭 설계하여 주행 안전성을 확보함.</t>
  </si>
  <si>
    <t>· 정거장 및 배선 계획 수립 시, 타 교통수단 및 보행 동선의 혼잡도를 고려하고 간섭을 최소화하여 환승 병목 리스크를 방지하였는가?
- 철도계획 분야 세부 검토 3: 병점역 등 주요 환승 노선 승강장 배치 설계 시 버스/택시 동선과의 평면 교차 및 3번 지장물 간섭 리스크.</t>
  </si>
  <si>
    <t>1. 주요 환승 거점 정거장의 일일 승하차 승객 환승 유동 인구 분석
2. 교통 정리용 신설 교통섬 설계안 도면 대조</t>
  </si>
  <si>
    <t>1. 환승역 입체화 및 대기 공간 확보
 - 보행 전용 환승 가판대 설계 반영: 환승 동선을 보도 셋백을 통해 충분히 늘리고 가로수 및 시설물 간섭을 해소하여 교통 혼잡 문제를 헷지함.</t>
  </si>
  <si>
    <t>기본계획상의 복잡한 동탄역 환승 정거장 평면 레이아웃(엇갈림배치 등) 분석 및 타 대안(상대식/섬식 선로 중심 배치) 적용 시 환승 보행 통로 폭원(최소 4.0m 이상), 에스컬레이터 용량 분석 및 보행자 낙상 위험 경로 검토</t>
  </si>
  <si>
    <t>GTX-A 대합실 및 SRT 승강장과 지하 환승 통로를 직결하고 환승 통로 길이를 원안 244m에서 대안 노선(정거장 직선 배치) 계획 조율을 통해 110m 이내로 단축하며, 바닥 마감재를 미끄럼방지 등급(R11 이상)으로 지정하고 계단 구간 안전 디딤판 상세 설계 반영</t>
  </si>
  <si>
    <t>건축_설계추진방향_3차보고_rev01_260608.pdf (Page 14)</t>
  </si>
  <si>
    <t>· 동탄역로 우회 노선 통과 시 롯데백화점 차량 진출입구 병목 현상에 따른 열차 충돌 사고 리스크를 방지하기 위해 관련 기준 준수 및 설계 적정성을 검토하였는가?
- 동탄역로 우회 노선 통과 시 롯데백화점 차량 진출입구 병목 현상에 따른 열차 충돌 사고로 인해 안전사고 및 추가 비용을 유발하는 리스크.</t>
  </si>
  <si>
    <t>동탄역로 우회 노선 통과 구간 및 인접 롯데백화점 차량 진출입구 병행구간의 트램 단독 차로 확보 시 지상 차로 수 축소(왕복 6차로 -&gt; 4차로)에 따른 주변 차차선 교통 정체성 분석 및 차량-트램 상충 충돌 위험 시뮬레이션</t>
  </si>
  <si>
    <t>롯데백화점 차량 진출입구 교차로 기하구조를 입체 엇갈림(감속 차로 확보) 설계로 개선하고, 지상 동탄역 광장 교통 분산을 위해 택시 임시 정차대 46면 및 일반인 배웅용 포켓식 단기 주차대 22면 설치 상세 도면을 교통영향평가와 협의 후 반영</t>
  </si>
  <si>
    <t>건축_설계추진방향_3차보고_rev01_260608.pdf (Page 14, 15)</t>
  </si>
  <si>
    <t>· 정거장 설계 수요 대비 시격(배차 간격) 산정 오류로 인한 첨두시 승강장 대기 공간 포화 및 추락 리스크를 방지하기 위해 관련 기준 준수 및 설계 적정성을 검토하였는가?
- 정거장 설계 수요 대비 시격(배차 간격) 산정 오류로 인한 첨두시 승강장 대기 공간 포화 및 추락으로 인해 안전사고 및 추가 비용을 유발하는 리스크.</t>
  </si>
  <si>
    <t>운행 계획 시격 변경(배차 간격 7.5분에서 9.0분으로 증가)에 따른 차종별 탑승 정원 및 정거장별 혼잡 첨두 시간대 승하차 대기자 점유 밀도 산정식의 신뢰성 검토 및 안전 승강 공간 확인</t>
  </si>
  <si>
    <t>승강장 내 유효 체류 공간 계산 시 울산/대전 트램 설계 기준의 유효 공간 단면적 모듈 0.3㎡/인 기준을 도입하여 대기 폭원을 재정립하고, 상대식 승강장 폭원을 최소 3.0m에서 대기 공간 기준 4.0m 이상으로 전면 확대 적용하고 난간대(안전 펜스) 설계 반영</t>
  </si>
  <si>
    <t>건축_설계추진방향_3차보고_rev01_260608.pdf (Page 2)</t>
  </si>
  <si>
    <t>· 철도 대안 노선 계획 변경 시 국가철도공단 등 철도 관계기관 협의 지연에 따른 실시계획 승인 보류 리스크를 방지하기 위해 관련 기준 준수 및 설계 적정성을 검토하였는가?
- 철도 대안 노선 계획 변경 시 국가철도공단 등 철도 관계기관 협의 지연에 따른 실시계획 승인 보류로 인해 안전사고 및 추가 비용을 유발하는 리스크.</t>
  </si>
  <si>
    <t>노선 평면 변경에 따라 동탄역 하부 기존 구조물(SRT/GTX 구조물) 상부에 미치는 신규 토목 하중 분배 계산서 검토 및 국가철도공단 등 인허가 유관 기관의 철도 시설물 보호 지구 내 설계 행정 협의 프로세스 일정 확인</t>
  </si>
  <si>
    <t>관계 기관 통합 정기 실무 협의체를 가동하여 하중 전이 영향 구조 검토서 및 지하 매설 전력 신호선 간섭 방지 기술 보고서를 조기 납품하고, 철도시설 안전진단 전문기관 검증서를 첨부하여 승인 일정(인허가 타임라인 3개월 단축) 관리 계획 반영</t>
  </si>
  <si>
    <t>건축_설계추진방향_3차보고_rev01_260608.pdf (Page 16)</t>
  </si>
  <si>
    <t>· 신설 노선과 경부고속도로 지상화 구간 상부 공원 계획 간섭에 따른 용지 보상 분쟁 및 착공 지연 리스크를 방지하기 위해 관련 기준 준수 및 설계 적정성을 검토하였는가?
- 신설 노선과 경부고속도로 지상화 구간 상부 공원 계획 간섭에 따른 용지 보상 분쟁 및 착공 지연으로 인해 안전사고 및 추가 비용을 유발하는 리스크.</t>
  </si>
  <si>
    <t>동탄역 U-Type 램프 구조물과 보행 육교(스카이브릿지) 계획 지상의 경부고속도로 상부 공원 개발 계획 간 경계 지번 및 도시계획 시설 중복 필지(토지 점용 경계선) 상세 횡단 도면 대조</t>
  </si>
  <si>
    <t>LH 및 동탄신도시 개발 주체, 화성시 공원지정 부서와의 다자 협의를 통해 토지 영구점용 권원을 분할 납부(공원 지하 공간 트램 용지 분할 결정 등)하고 변경된 공원 횡단 상세 및 트레일러 하중 분배 설계 조건을 반영</t>
  </si>
  <si>
    <t>· 정거장 및 U-Type 입구 주변 교통 전환 단계별 우회 도로 개설 계획 미흡으로 도심 차량 혼잡 민원 리스크를 방지하기 위해 관련 기준 준수 및 설계 적정성을 검토하였는가?
- 정거장 및 U-Type 입구 주변 교통 전환 단계별 우회 도로 개설 계획 미흡으로 도심 차량 혼잡 민원으로 인해 안전사고 및 추가 비용을 유발하는 리스크.</t>
  </si>
  <si>
    <t>중심 상업지구 내 개착 및 지하 굴착 구간 공사 중 도로 점용 단계별 가설 신호등 배치 계획서 및 차로 유도선 기하구조의 종단 경사, 최소 차로 폭 기준 검토</t>
  </si>
  <si>
    <t>주요 지하 U-Type 램프 구간 공사 중 우회 차로를 왕복 최소 4차로로 확보할 수 있도록 공사 Phase(1~4단계)를 구분하고, 병목 차로에 상시 유도 교통 요원 배치 및 인접 정체 차로 우회 유도 정보 전광판(VMS) 설치 설계 반영</t>
  </si>
  <si>
    <t>궤도_설계추진방향_차량, 열차운영 등 인터페이스 적정성_rev.05_260608.pdf (Page 3)</t>
  </si>
  <si>
    <t>· 동탄역 환승 정거장 상대식 적용 시 상하행 승객 충돌 병목 현상 발생 리스크를 방지하기 위해 관련 기준 준수 및 설계 적정성을 검토하였는가?
- 동탄역 환승 정거장 상대식 적용 시 상하행 승객 충돌 병목 현상 발생으로 인해 안전사고 및 추가 비용을 유발하는 리스크.</t>
  </si>
  <si>
    <t>동탄역 정거장 이용객의 SRT/GTX-A 환승 첨두 통행량 및 계단/에스컬레이터 입구 병목 계산서 검토, 도시철도 정거장 설계 지침 상의 승객 대기 서비스수준(LOS C 이상) 충족 분석</t>
  </si>
  <si>
    <t>환승 수요 대응을 위해 지상 광장 하강 전용 상대식 승강장 폭을 원안 4.5m에서 대안 설계 상향을 통해 6.5m로 대폭 확장하고, 승강장 양방향 끝단에 수평 무빙워크 및 고속 에스컬레이터(1200형) 직결 통로 상세 구조 반영</t>
  </si>
  <si>
    <t>건축_설계추진방향_3차보고_rev01_260608.pdf (Page 10, 14)</t>
  </si>
  <si>
    <t>검수_설계추진방향보고_검수고 내 배치 레이아웃 및 검수장비 검토_rev.00_260529.pdf (Page 5, 6)</t>
  </si>
  <si>
    <t>검수설비 안전</t>
  </si>
  <si>
    <t>· 지붕 곡면 미고려 및 추락방지설비 누락으로 고소 추락 중대재해가 발생할 리스크를 검토하였는가?
- [입찰안내서 제4장 기술에 관한 사항] 옥상기기 점검 및 정비용 작업대를 검토하여 관련분야 설계에 반영하여야 한다. 또한 차체 옥상 작업시 작업자 추락 방지용 차체옥상추락방지대를 반영해야 함에 따라 오작동 및 안전사고를 유발하는 리스크.</t>
  </si>
  <si>
    <t>· 승강설비 원격 감시제어 및 통신망 연동 누락으로 중량물 인양 비상시 관제실의 즉각적인 인지·통제가 불가해질 리스크를 검토하였는가?
- [입찰안내서 제4장 기술에 관한 사항] 차량용 승강기 제어 시스템은 중앙 제어반실에서 감시제어, 고장진단, 정보표시 등의 기능을 할 수 있도록 계획하고, 제어 및 감시기능을 하는데 지장이 없도록 해야 함에 따라 오작동 및 안전사고를 유발하는 리스크.</t>
  </si>
  <si>
    <t>· 기지 인접 하천 홍수 시 우수 역류로 인한 차량기지 및 전원 설비 침수 리스크를 방지하였는가?
- 차량기지 우수 및 세척 배수로 단부 방류구 계획고가 인접 하천의 계획홍수위보다 낮게 설계되어 강우 시 하천 우수가 기지 구내로 역류하고 차량 및 변전 설비가 침수될 리스크.</t>
  </si>
  <si>
    <t>검수_설계추진방향보고_검수고 내 배치 레이아웃 및 검수장비 검토_rev.00_260529.pdf (Page 6)</t>
  </si>
  <si>
    <t>경정비/중정비 옥상 기기 점검대 및 추락방지 가이드라인 설치 도면 대조</t>
  </si>
  <si>
    <t>검수_설계추진방향보고_검수고 내 배치 레이아웃 및 검수장비 검토_rev.00_260529.pdf (Page 5, 8)</t>
  </si>
  <si>
    <t>· 차량기지 오폐수 및 유증기 무단 방류로 인한 환경 법규 위반 및 조업 중단 리스크를 방지하였는가?
- 정비고 차량 세척 및 경정비 작업 시 발생하는 폐수 내 오일 오염물질과 페인트 찌꺼기가 우수 배관망으로 무단 유입 방출되어 환경법 저촉 및 기지 운영 중단 리스크.</t>
  </si>
  <si>
    <t>검수고 내 천장크레인 및 대차이송장치 비상 차단 신호와 중앙 관제 감시 시스템 연동성 도면 확인</t>
  </si>
  <si>
    <t>분야별\01_철도계획\차량기지 계획의 적정성 검토_ver.07</t>
  </si>
  <si>
    <t>차륜전삭기(Underfloor Wheel Lathe) 피트 내부 깊이(3.5m) 및 주변 지하수위 분석에 따른 외벽 수압 검토, 유입 우수량 계산서와 피트 바닥 구배(1/50) 및 집수정 평단면도 대조</t>
  </si>
  <si>
    <t>피트 외벽에 이중 벽체 및 침투수 배출 트렌치를 반영하고, 정전 시에도 구동 가능한 비상 발전기 전원(Emergency Power Source)과 연동된 2HP급 자동 배수 수중 펌프(2대 교대 구동 및 오버플로우 경보 장치 포함)를 집수정에 배치하여 설계 보완</t>
  </si>
  <si>
    <t>· 종합관리동 2층에 위치한 배터리 충전실 수소 가스 누출 시 환기 불량으로 인한 폭발 리스크를 방지하기 위해 관련 기준 준수 및 설계 적정성을 검토하였는가?
- 종합관리동 2층에 위치한 배터리 충전실 수소 가스 누출 시 환기 불량으로 인한 폭발로 인해 안전사고 및 추가 비용을 유발하는 리스크.</t>
  </si>
  <si>
    <t>배터리 급속 충전 시 발생하는 수소 가스(폭발 범위 4~75%)의 부력 상승 및 천장 정체 체적을 분석하고, 강제 배기 환기 횟수(최소 시간당 15회 이상) 및 정전기 방지 바닥재 스펙 대조</t>
  </si>
  <si>
    <t>천장 최고점에 수소 누출 감시 센서를 2개소 설치하여 감지 시 즉시 비상 방폭 배기 팬(Ex d IIC T4 이상)이 최대 풍량으로 가동되도록 자동 제어 루프를 구성하며, 배터리 충전실 벽체를 2시간 이상 내화 구조(ALC 패널 또는 콘크리트 벽체)로 보완 적용</t>
  </si>
  <si>
    <t>· 차량기지 내 기계설비(정화조 등) 면적 누락으로 공공건축 가이드 공사비 배분 불일치 리스크를 방지하기 위해 관련 기준 준수 및 설계 적정성을 검토하였는가?
- 차량기지 내 기계설비(정화조 등) 면적 누락으로 공공건축 가이드 공사비 배분 불일치로 인해 안전사고 및 추가 비용을 유발하는 리스크.</t>
  </si>
  <si>
    <t>기계설비 필수 계통(오수 처리 시설, 소방 물탱크실, 가스계 소화 설비 약제실)의 장비 배치에 필요한 실별 최소 면적 계산서 검토 및 연면적 증감 현황과 조달청 공공건축 가이드라인 공사비 배분 기준 대조</t>
  </si>
  <si>
    <t>미반영되었던 지하 소화수조 및 오수 처리 구역의 건축 평면을 구획하여 평면도에 명시하고, 기계분야 배분 예산 내에 대공간 가스계 소화설비(가스 캐비닛 등) 및 정화조 설비 신설 비용을 내역서 및 도면에 일괄 보완 반영</t>
  </si>
  <si>
    <t>· 차량기지 내 세척실 방폭형 전선관 시공 누락 시 가스 누출로 인한 누전 폭발 화재 리스크를 방지하기 위해 관련 기준 준수 및 설계 적정성을 검토하였는가?
- 차량기지 내 세척실 방폭형 전선관 시공 누락 시 가스 누출로 인한 누전 폭발 화재로 인해 안전사고 및 추가 비용을 유발하는 리스크.</t>
  </si>
  <si>
    <t>배터리 세척 및 충전장치 기실 내부 습윤 대기 및 충전 시 가스 배출(수소) 위험 영역(Class I, Zone 1 &amp; 2) 범위를 산정하고, 방폭 전선관 규격 및 배관 실링 피팅(Sealing Fitting) 상세 도면 검토</t>
  </si>
  <si>
    <t>세척 및 충전 기실 내 설치되는 모든 콘센트, 조명기구 및 배선 이음부에 대해 가스 폭발 차단 등급인 내압 방폭(Ex d IIC T6) 스펙을 도면 및 시방서에 명시하고, 전선관 인입구에 폭발 전파 방지용 컴파운드 실링 피팅(Sealing Fitting) 상세 도면 보완</t>
  </si>
  <si>
    <t>천장 크레인 동시 인양 및 편심 인양 하중(최대 15톤 하중 조합) 작용 시 벽체 런웨이 거더(Runway Girder) 고정 접합부에 발생하는 최대 인장력 및 전단 응력 설계 계산서 분석 및 앵커 설계 마진 대조</t>
  </si>
  <si>
    <t>기존 벽체 접합부 단순 콘크리트 케미컬 앵커 고정 방식을 배제하고, 벽체를 관통하는 고장력 관통 볼트(M24 이상, 10.9T 등급)와 배후면 강재 보강 플레이트(두께 20mm 이상)를 접합부 상세도로 명시하고 구조 계산에 반영하여 보완</t>
  </si>
  <si>
    <t>1. 차량기지 검수고 상부 작업대 평·단면도 검토
2. 차량 외곽선 대비 작업대 발판의 수평/수직 이격거리 설계 지침 부합 여부 확인</t>
  </si>
  <si>
    <t>작업대 발판 상세 설계 도면 수정 및 슬라이딩 발판 설치 검토
- 차량 종류별 외곽 치수와 작업자 동선을 반영하여 이격거리 조율</t>
  </si>
  <si>
    <t>#첨부파일_사업단계별 운영유지관리 장비_시설물 리스트(궤도)_rev01_시설물 추가(최종).pdf (Page 1~2)</t>
  </si>
  <si>
    <t>교량구간 궤도계획</t>
  </si>
  <si>
    <t>궤도_설계추진방향보고_차량 운행조건을 고려한 분기기 배치 및 분기기 형식 선정의 적정성_rev.00_260521.pdf</t>
  </si>
  <si>
    <t>궤도 단면계획</t>
  </si>
  <si>
    <t>수동 비상 선로 전환 상자(Switch Box) 작동 레버 및 수동 핸들 인출 시의 작업자 구동 반경 이격 거리(레일 안쪽 작동 반경 최소 1.5m 이격) 및 작업 시 지면 마찰 저항 한계 확인</t>
  </si>
  <si>
    <t>수동 전환 레버 작동 장치 직하부에 미끄럼 방지 그레이팅 안전 지지대(Foot Plate)를 형성하고, 작동 방향에 인체 끼임사고를 경고하는 유도 라인 도색 상세 및 주야간 가시성을 위한 황색 반사 테이프 부착 설계 보완</t>
  </si>
  <si>
    <t>토질_설계추진방향_노반 현장다짐시험 품질관리 기준 검토-01.pdf (Page 2)</t>
  </si>
  <si>
    <t>토목구조_설계추진방향보고_오산천교 검토_ver.01_260605.pdf</t>
  </si>
  <si>
    <t>· 낙하물 방지망 재질이 단순 그물망인지, 합판/강판을 포함한 방호선반인지 확인했는가?
- [대구도시철도305공구] 당초 낙하물 방지 시설이 그물망으로만 반영되었으나, 안전보건공단 지침상 낙하 피해 방지를 위해 강도 부족이 리스크.</t>
  </si>
  <si>
    <t>오산천교 하부 기존 도로(반송교 진입교량 및 간선도로) 및 일반 보행 통로 상공의 가설재 설치 구간 낙하 위험 거리 분석, 고소 시공 시 부속 부재 탈락 하중에 견디는 안전보건공단 안전 지침 설계 규격 대조</t>
  </si>
  <si>
    <t>토목구조_설계추진방향보고_오산천교 검토_ver.01_260605.pdf (Page 2, 3)</t>
  </si>
  <si>
    <t>· 기존 도로 횡단 구간에 낙하물 방지망 또는 방호선반이 반영되었는가?
- [칠북-북면] 기존 국도 횡단 구간에 낙하물 방지공(안전망) 설계가 누락됨에 따라 유지관리 불능 및 추가 비용을 유발하는 리스크.</t>
  </si>
  <si>
    <t>반송교 진입도로 횡단구간의 형하공간(H=4.5m 이상) 확보 계획 및 교량 가설 단계별 낙하물 방지공 배치도 확인</t>
  </si>
  <si>
    <t>가설 공정 중 반송교 진입도로 상부에 차량 안전 확보용 낙하물 방지 가시설(안전망 및 방호선반)을 가설 공정 계획에 추가 설계 반영</t>
  </si>
  <si>
    <t>· 교량 받침 교체 시 부적절한 인상공법 적용으로 인한 부등침하 및 거더 균열 리스크를 방지하였는가?
- 치동천2교 받침 교체(38개소 중 3개소) 시 재래식 개별인상공법 적용에 따른 부등침하 우려 및 이로 인한 상부 거더 균열 발생 리스크.</t>
  </si>
  <si>
    <t>1. 치동천2교 교각 받침부 설계 도면 및 지상고 실측 데이터 분석
2. 동조 인상공법(컴퓨터 제어 등)과 재래식 개별 인상공법의 하중 허용 오차 제어 성능 비교 분석
3. 교체 시공을 위한 임시 가시설 거푸집 보강 및 작업 동선 계획 대조</t>
  </si>
  <si>
    <t>분야별\04_토목구조\토목구조_설계추진방향 3차 보고_ver.3_260610.pdf</t>
  </si>
  <si>
    <t>· 교량 코핑부 부모멘트 보강 공법 선정 오류로 인한 균열 발생 및 구조적 안전성 미달 리스크를 방지하였는가?
- 치동천5교 코핑 부모멘트 보강 시 하부 보강 공법 선정 오류로 인해 트램 활하중 재하 시 균열 제어 성능이 저하되고 내부 지주 설계 모멘트가 보강 기준에 미달할 리스크.</t>
  </si>
  <si>
    <t>1. 치동천5교 내부 지점 코핑 형상 데이터 분석 및 부모멘트 부재력 계산서 정밀 검토
2. 공법별(외부 강선 긴장, 강판 부착, 탄소섬유 보강 등) 보강 효율 및 시공 원가 비교 분석
3. 교각 측면 외부 긴장력 도입에 따른 앵커 정착부 구체 지압 검토 및 설계 도서 대조</t>
  </si>
  <si>
    <t>· 교각 기초 지지력 부족으로 인한 하부 구조물 전도 및 변위 발생 리스크를 방지하였는가?
- 치동천1교 교각 기초 설계 시 트램 하중 가중에 따른 기초 전도 안전율 미달 및 지반 지지력 부족으로 구조물 변위가 발생할 리스크.</t>
  </si>
  <si>
    <t>· 교각 코핑부 보강 시 부적절한 공법 적용으로 인한 하천 통수단면 축소 및 내구성 저하 리스크를 방지하였는가?
- 송방천3교 교각 코핑 하면 정모멘트부 보강 시 하천 계획홍수위 조건에서 통수단면을 축소시키고 부식 우려가 큰 강판 부착 공법을 설계하여 교량의 내구성이 저하될 리스크.</t>
  </si>
  <si>
    <t>1. 송방천3교 교각 하부 하천 계획홍수위선과 보강 단면 증가에 따른 통수단면 영향성 검토
2. 강판 부착 공법과 탄소섬유 보강 공법의 내부식 및 동결융해 저항 성능 비교 분석
3. 탄소섬유 에폭시 접착 시스템의 고부착 시방 규격 및 시공 온도 조건 관리 계획 대조</t>
  </si>
  <si>
    <t>1. 코핑 하면 보강방안 다각화
 - 탄소섬유 보강공법 적용: 통수단면에 영향이 없고 내부식성이 우수한 탄소섬유 보강재를 코핑 하면에 부착하여 보강 효율을 확보하고 내구성을 증대시켰음.</t>
  </si>
  <si>
    <t>· 교각 기초 지점부의 하중 집중에 따른 기초 판 전단 파괴 리스크를 방지하였는가?
- 예당교 교각 기초 내부 지점부 설계 시 트램 하중의 집중으로 인한 뚫림 전단 파괴 우려 및 기초판 두께 부족 리스크.</t>
  </si>
  <si>
    <t>1. 예당교 기존 기초 구조 제원 데이터 및 하중 중심의 편심량 산출서 검토
2. 2D/3D 유한요소 해석(FEA) 모델링을 통한 교각 기초 전단 응력 및 내력 분석
3. 전단 안전율 충족을 위한 기초 확대 단면 치수 및 전단 보강철근(스터럽) 배치 상세도 대조</t>
  </si>
  <si>
    <t>1. 기초 전단 내력 보강
 - 콘크리트 두께 보강 및 면적 확대: 기초 전단 강도를 충족하도록 기초 두께를 보강하고 확대 배근을 도면에 반영하여 안전율을 확보하였음.</t>
  </si>
  <si>
    <t>1. 기존 교량 11개소의 접속슬래브 배근도 상 철근 배근 간격 및 강도 데이터 대조
2. 트램 및 도로 차량 연행 하중 재하 시의 접속슬래브 구체 휨·전단 설계 계산서 검증
3. 접속슬래브 재설치용 기존 콘크리트 철거 범위 및 시공 단계별 궤도 노반 교반 범위 도면 검토</t>
  </si>
  <si>
    <t>1. 접속슬래브 재설치 설계
 - 단면 규격 보강: 기존 접속슬래브를 철거하고 트램 하중 기준을 만족하도록 두께 400mm 이상의 접속슬래브로 재설치 설계를 전면 적용하였음.</t>
  </si>
  <si>
    <t>1. 접속슬래브 단부 완충 설계
 - 간섭부 슬래브 철거 및 재시공: 간섭이 우려되는 접속슬래브 단부를 철거 후 단차를 완화하도록 재설치하고, 도상콘크리트 접속 구간에 완충 조인트를 배치하였음.</t>
  </si>
  <si>
    <t>1. 신리천2교 기초 하부 편심 모멘트 및 지반 스프링 정수 산정 계산서 정밀 검토
2. 편심 하중 흡수를 위한 기초 확대 면적 치수 및 기초판 두께 증가 단면 상세도 대조
3. 직각방향 앵커 철근 및 배근 증설 구간의 시공 조인트 전단 마찰 설계 검증</t>
  </si>
  <si>
    <t>1. 기초 교축 직각방향 단면 강화
 - 콘크리트 단면 증설 및 확대 기초 적용: 교축 직각방향 부모멘트 저항을 위해 콘크리트 증설 단면을 설계하여 전단 및 휨 내력을 확보하였음.</t>
  </si>
  <si>
    <t>1. 능동지하차도 내부 영구 지상 구조물(박스 기둥, 옹벽 전면)과 궤도 한계선 간 이격 실측 상세 도면 검토
2. 가이드라인(200mm) 충족을 위한 상·하행 궤도 중심선 평면 쉬프트(L=50mm 이상) 최적 선형 검토
3. 궤도 쉬프트 시 노면 차로 폭원 축소 영향 분석 및 도로 관리청과의 기술 협의서 대조</t>
  </si>
  <si>
    <t>1. 능동지하차도 내 중심선 편향 설계
 - 상하행선 이격 거리 확대: 선로 중심선을 기둥 반대편으로 쉬프트 조율하여 설계 가이드라인에 부합하는 200mm 이상 이격을 도면에 반영하였음.</t>
  </si>
  <si>
    <t>토질 및 기초_설계추진방향보고_하천통과 및 인접구조물을 고려한 가시설 적정성 검토_rev.00_260602.pdf (Page 7)</t>
  </si>
  <si>
    <t>캔틸레버 8.6m 적용 시 기둥 하부 기초(STS 304 또는 원형 강관 기둥) 고정용 앵커력 확인</t>
  </si>
  <si>
    <t>캐노피 원형 강관 기둥 하부에 주입형 고장력 앵커 볼트(M36, 10.9T 등급)를 12개소 이상 배치하고, 기초 슬래브 내에 전단 마찰력을 전가하는 스틸 전단키(Shear Key) 시공 도면 추가</t>
  </si>
  <si>
    <t>건축_설계추진방향_3차보고_rev01_260608.pdf (Page 4)</t>
  </si>
  <si>
    <t>· 오산천교 P1~P4 교각 기초 배면 터파기 시 인접 건축 구조물 침하 리스크를 방지하기 위해 관련 기준 준수 및 설계 적정성을 검토하였는가?
- 오산천교 P1~P4 교각 기초 배면 터파기 시 인접 건축 구조물 침하로 인해 안전사고 및 추가 비용을 유발하는 리스크.</t>
  </si>
  <si>
    <t>교각 기초 단면 굴착 라인과 인접 건축 구조물(이격 거리 11.97m) 간의 지반 응력 영향성 검토</t>
  </si>
  <si>
    <t>인접 옹벽 구조물 경계부 15m 구간에 고강도 시멘트 주열식 차수벽(C.I.P, D=500mm 간격 600mm) 및 고압 분사 차수 그라우팅(SGR) 공법을 설계에 추가 반영하여 지반 변위 헷지</t>
  </si>
  <si>
    <t>토질 및 기초_설계추진방향보고_하천통과 및 인접구조물을 고려한 가시설 적정성 검토_rev.00_260602.pdf (Page 3, 4)</t>
  </si>
  <si>
    <t>토질 및 기초_설계추진방향보고_하천통과 및 인접구조물을 고려한 가시설 적정성 검토_rev.00_260602.pdf (Page 4, 5)</t>
  </si>
  <si>
    <t>오산천교 가설을 위한 강재 가설 벤트(Bent) 하중 구조 계산서를 보완하고, 벤트 기초 저면 지반의 허용 지지력 확보를 위한 콘크리트 기초 패드 타설 상세 설계 명시</t>
  </si>
  <si>
    <t>오산천교 등 하천 구간 및 인접 구조물 근접 교각 시공 시 가설 비계, 벤트 및 구조물 지지용 동바리 설계 수량을 내역에 반영하고 지반 지지력 확보를 위한 기초 잡석 또는 콘크리트 패드 계획 수립</t>
  </si>
  <si>
    <t>· 지반 조건(점토/사질토)에 적합한 차수 공법(Grouting vs Sheet Pile)이 선정되었는가?
- [화양전력구] 시험터파기 결과 지하수 발생 구간이 확인되어 약액주입공법 적용이 어려움에 따라 시공 품질 저하 및 재시공 비용을 유발하는 리스크.</t>
  </si>
  <si>
    <t>물유리계 약액의 알칼리 용탈 현상을 방지하는 친환경 비알칼리성 실리카졸 공법(MSG 또는 LW 개량형)을 반영하고 지층 압력별 자동 주입 모니터링 시스템 구축</t>
  </si>
  <si>
    <t>토질 및 기초_설계추진방향보고_하천통과 및 인접구조물을 고려한 가시설 적정성 검토_rev.00_260602.pdf (Page 6)</t>
  </si>
  <si>
    <t>토질 및 기초_설계추진방향보고_가설흙막이 설계기준 및 지안평 검토_rev.00_260529.pdf (Page 6)</t>
  </si>
  <si>
    <t>· 흙막이 가시설과 본 구조물 사이에 거푸집 설치 및 작업자 이동 공간(최소 1m 이상)이 확보되었는가?
- [인천공항철도연계] 서울역 1호선 연결통로 개착 구간 가시설 설치 시 측벽 작업 공간이 부족하여 시공 곤란에 따라 시공 품질 저하 및 재시공 비용을 유발하는 리스크.</t>
  </si>
  <si>
    <t>굴착 가설 벽체와 본체 구조물 벽체 사이에 거푸집 조립 및 해체가 가능한 최소 유효 거리 1.2m를 도면에 명시하고, 협소 지점은 단면 지지 합벽 지지대(폼타이 앵커식) 공법 설계</t>
  </si>
  <si>
    <t>간섭이 극심한 구간(동탄역 램프 옹벽 인근 등)은 가시설 벽체 형식 및 보강 공법(예: CIP 적용)을 조정하여 굴착 범위를 조절하고, 본 구조물 외벽 시공 시 외벽 거푸집 생략(합벽 시공 등) 방안을 검토하여 작업 공간 확보</t>
  </si>
  <si>
    <t>토질 및 기초_설계추진방향보고_구간별 변전소 가시설 검토(1차)_rev.00_260527.pdf (Page 3)</t>
  </si>
  <si>
    <t>· 거더 조립장 위치가 크레인 인양 반경 내에 있으며, 자재 야적 공간이 충분한가?
- [새만금-전주5공구] 독배천교 FS거더 가설 시 작업 공간(A1~P3)이 협소하여 도면에 명시된 지조립(Ground Assembly)이 불가능함에 따라 운영 효율 저하 및 안전사고를 유발하는 리스크.</t>
  </si>
  <si>
    <t>오산천교 강거더(ST.BOX) 지조립을 위해 하천 제방 배후지에 가설 야적장(최소 1,500㎡)을 구획하고, 200톤 크레인 2대 동시 인양 시의 가교 지반 지지력 강재 복공판 설계 반영</t>
  </si>
  <si>
    <t>주변 구조물(저류시설, 제방 등)과의 간섭을 피하기 위해 현장 조립 면적을 확보하고, 협소 구간은 공장 제작 후 직반입 가설 공법을 채택하여 야적 공간 요구 조건을 최소화</t>
  </si>
  <si>
    <t>토질 및 기초_설계추진방향보고_하천통과 및 인접구조물을 고려한 가시설 적정성 검토_rev.00_260602.pdf (Page 3, 7)</t>
  </si>
  <si>
    <t>토질 및 기초_설계추진방향보고_가설흙막이 설계기준 및 지안평 검토_rev.00_260529.pdf (Page 7)</t>
  </si>
  <si>
    <t>· 유용암 굴착 시기와 골재 사용 시기(콘크리트 타설)를 비교하여 가적치 물량을 산출했는가?
- [평화의댐치수능력] 댐 사면 굴착암을 골재로 유용해야 하나, 생산 시기와 타설 시기가 맞지 않아 가적치 및 소운반 발생에 따라 추가 비용 및 공기 지연을 유발하는 리스크.</t>
  </si>
  <si>
    <t>현장 발생 토사 유용 시 노반 성토용 다짐 기준(KDS 47 10 25 규격에 부합하는 최대 건조밀도 95% 이상)을 시방서에 반영하고 우기 시 토사 유출 방지용 피복제 수량 반영</t>
  </si>
  <si>
    <t>현장 발생 토사/유용암의 다짐 기준(KS F 2312 D방법 다짐도 90~95% 이상)을 설계 시방에 명시하고, 품질 미확보 시 굴착치환 또는 외부 양질토 반입 계획을 수립하여 공정 지연을 방지</t>
  </si>
  <si>
    <t>· 교량 시공용 대형 크레인(200ton 이상)의 아웃트리거 전개 폭을 고려하여 가교 폭이나 작업대(Staging)가 반영되었는가?
- [서해선 5공구] 아산천 구간 공사용 가교(폭 적정 규격/거리) 설치 후 P45 교각 시공용 250ton 크레인(폭 적정 규격/거리) 설치 시 타 장비 교행 및 아웃트리거 설치 공간 부족에 따라 운영 효율 저하 및 안전사고를 유발하는 리스크.</t>
  </si>
  <si>
    <t>오산천 하천 내 가교(폭 8.0m 이상) 위에 안착하는 250톤 크레인의 아웃트리거 받침 전용 22mm 두께 강재 베이스 플레이트 보강 구조 상세도 추가</t>
  </si>
  <si>
    <t>오산천 통과 구간 교각 기초 시공을 위해 가물막이(1열 강널말뚝) 범위 내 작업 공간 및 크레인 지지력을 확보하고, 장비 이동을 위한 가교(가설 교량) 폭 설계 기준 보완</t>
  </si>
  <si>
    <t>토질 및 기초_설계추측방향보고_하천통과 및 인접구조물을 고려한 가시설 적정성 검토_rev.00_260602.pdf (Page 7)</t>
  </si>
  <si>
    <t>2공구 평판재하시험 결과 등 지반 강성(Ev2 등)이 부족하거나 장비 주행이 곤란한 연약 점성토 구간은 굴착 치환(양질 토사 또는 쇄석) 공법을 반영하여 가설 도로 및 장비 지지 기반을 보강</t>
  </si>
  <si>
    <t>토질 및 기초_설계추진방향보고_구간별 변전소 가시설 검토(1차)_rev.00_260527.pdf (Page 2, 3)</t>
  </si>
  <si>
    <t>· 하천/해상 구간 가시설의 차수 대책(이중 널말뚝, 차수 그라우팅)이 수압을 고려해 설계되었는가?
- [서해선 5공구] 아산천 하천부 교각(P45) 기초 Sheet Pile 시공 후에도 누수가 발생하여 작업 불가에 따라 운영 지연 및 추가 비용을 유발하는 리스크.</t>
  </si>
  <si>
    <t>오산천 내 교량 교각 기초 차수를 위해 강널말뚝 이음부에 차수 팽창성 그리스 밀봉재 도포를 설계서에 명시하고 기반암 조인트 차수 그라우팅 공법 추가</t>
  </si>
  <si>
    <t>하천 내 강널말뚝 시공 시, 선단부 기반암 접합부의 지하수 유입 및 누수 방지를 위해 투수성이 높은 구간에 적합한 2.0Shot 차수 그라우팅(실리카졸계) 공법을 설계에 반영</t>
  </si>
  <si>
    <t>토질 및 기초_설계추진방향보고_하천통과 및 인접구조물을 고려한 가시설 적정성 검토_rev.00_260602.pdf (Page 6, 7)</t>
  </si>
  <si>
    <t>· 도심지 개착 구간 용출수 발생 시 주변 지반 침하를 방지할 차수 공법(SGR, MSG)이 설계에 포함되었는가?
- [노포-북정3공구] P24 교각 기초 Sheet Pile 굴착 중 바닥면 하부에서 지하수 용출 발생에 따라 추가 비용 및 공기 지연을 유발하는 리스크.</t>
  </si>
  <si>
    <t>도심 도로 굴착 중 발생하는 용출수 유출에 따른 배면 지반 세굴 헷지를 위해 흙막이 측벽 배면에 시멘트 점토계 혼합 차수 그라우팅(MSG) 공법을 도면에 명시</t>
  </si>
  <si>
    <t>도심지(동탄역, 망포역 등) 지하 굴착 시 용탈이 없고 환경오염 문제가 없는 실리카졸계 차수 그라우팅(차수공법)을 반영하고, 굴착 저면의 안전율(보일링 안전율 1.5 이상) 확보를 위한 근입 깊이 보완</t>
  </si>
  <si>
    <t>토질 및 기초_설계추진방향보고_하천통과 및 인접구조물을 고려한 가시설 적정성 검토_rev.00_260602.pdf (Page 6), 토질 및 기초_설계추진방향보고_가설흙막이 설계기준 및 지안평 검토_rev.00_260529.pdf (Page 4)</t>
  </si>
  <si>
    <t>· 기초 터파기 구간의 지반 조건(연약지반)을 고려할 때 사면 경사를 유지할 부지가 충분한가?
- [서해선 5공구] 교각 기초 터파기 시 사면 안정성을 위해 기울기를 낮춰야 하나, 그럴 경우 영구 공사부지를 벗어나 추가 용지 임대 필요(지주 반대)에 따른 주민 민원 및 인허가 지연 리스크.</t>
  </si>
  <si>
    <t>현장 굴착 경계가 사유지 또는 기설 도로 경계선을 침범하지 않도록 경사 1:1.5 이하의 네일 보강 오픈컷 사면 또는 가설 자립식 H-Pile 토류판 설계 반영</t>
  </si>
  <si>
    <t>용지 경계 협소로 사면 개착(Open Cut)이 불가능하거나 안정성 확보가 곤란한 교량 기초 구간은 흙막이 가시설(H-Pile+토류판 또는 Sheet Pile) 공법을 도입하여 용지 침범 및 민원 차단</t>
  </si>
  <si>
    <t>토질 및 기초_설계추진방향보고_하천통과 및 인접구조물을 고려한 가시설 적정성 검토_rev.00_260602.pdf (Page 3, 4), 토질 및 기초_설계추진방향보고_가설흙막이 설계기준 및 지안평 검토_rev.00_260529.pdf (Page 4)</t>
  </si>
  <si>
    <t>· 지하 변전소 가시설 굴착 시 지하안전평가 대상 누락으로 인한 인허가 불통 및 공사 중단 리스크를 방지하였는가?
- 1, 2공구 지하 변전소(동탄, 망포)의 가시설 굴착 심도가 10m 이상(실제 10.6m)임에도 소규모 지하안전평가 대상에서 누락되어 행정 처분 및 착공 지연 리스크.</t>
  </si>
  <si>
    <t>지안평 심의 조건에 의거하여 배면 지반 20개소 지점 침하 모니터링 수량을 추가 편성하고 지하수위 급감 시 충진 그라우팅 비상 자재 내역을 설계에 일괄 보완</t>
  </si>
  <si>
    <t>· 차량기지 대규모 절토 굴착 시 일반 지하안전평가 심의 누락으로 인한 공정 지연 리스크를 방지하였는가?
- 차량기지 굴착 구역의 최대 깎기 깊이가 20m 이상으로 계획되어 일반 지하안전평가 대상임에도 심의 도서가 미비하여 인허가 승인 지연으로 인한 전체 공사 착공 지연 리스크.</t>
  </si>
  <si>
    <t>차량기지 진입 노반 사면 대절토(최대 깎기 21.5m) 구역의 사면 안정성 해석(한계평형해석법) 및 계측기(지중경사계 3개소) 설치 내역 보완 반영</t>
  </si>
  <si>
    <t>· 가시설 지반조사 시 시추공 배치 간격 기준 미달로 인한 지반 데이터 불확실성 및 흙막이 붕괴 리스크를 방지하였는가?
- 가시설 설계를 위한 지반 조사 시 하천 인접 및 터널 변곡부 등 위험구간 시추 간격(최소 50m) 및 일반구간(100m) 규정을 위배하여 국부적인 암질·토질 불량 구간의 흙막이 붕괴 리스크.</t>
  </si>
  <si>
    <t>동탄역 램프 옹벽 전면 굴착 시 연성 H-Pile 토류판 대신 변위 발생량이 적고 횡방향 강성이 높은 락볼트 결합식 C.I.P 흙막이벽 공법을 선정해 배면 지반 침하 헷지</t>
  </si>
  <si>
    <t>· 초저토피 구간 내 가시설 복공 및 지장물 우회 계획 누락으로 인한 공사비 증가 및 도심 교통 마비 리스크를 방지하였는가?
- 동탄 및 망포변전소 가시설 설계 시 상부 도로 토피가 매우 얕아(1.2m 내외) 지하 매설물(상하수도, 통신) 이설 계획 및 복공 계획이 누락되어 대규모 추가 공사비 발생 및 노선 폐쇄에 따른 극심한 교통 정체 리스크.</t>
  </si>
  <si>
    <t>변전소 인입 케이블로 가설 도로 하강부의 지하 상하수도관 파손 방지를 위해 가설 강재 복공판(H-200 빔 지지) 설치 도면 상세 및 이설 내역 보완</t>
  </si>
  <si>
    <t>노반 최종 표면 다짐 품질 기준으로 반복평판재하 2차 변형률 계수 Ev2 80MN/㎡ 이상 및 Ev2/Ev1 비 2.3 미만 기준을 명시하고 현장 다짐 관리 시방 수립</t>
  </si>
  <si>
    <t>· 취약 지반 시추 구간의 지지력 재검토 누락으로 인한 지반 침하 및 노반 균열 리스크를 방지하였는가?
- 입찰안내서 상 제시된 본선 취약지점(DT-4, DT-6, DT-7, DT-22) 및 정거장 3개소(DT-1, DT-2, DT-5) 구간의 실시설계 시 지지력 및 장기 침하성 재검토 누락으로 궤도 시공 후 지반 침하 리스크.</t>
  </si>
  <si>
    <t>본선 연약 구간(DT-4, DT-6 등)의 장기 1차 압밀 침하량을 산정하고 궤도 부등침하 방지를 위한 고점성 지반 치환 깊이(1.5m) 결정 및 구조 계산서 반영</t>
  </si>
  <si>
    <t>실시설계 연약 점토 지반 보강용 파일 및 쇄석 치환 공법 적용 상세 평면도를 신설하고, 장기 누적 침하량이 궤도 구조 허용치(10mm 이하)를 만족하는지 검증서 확보</t>
  </si>
  <si>
    <t>· 장기 공사 가시설 구간의 목재토류판 부식 및 배면 토사 유출로 인한 도로 침하 리스크를 방지하였는가?
- 지하수위가 높고 가시설 방치 기간이 길어지는 구간에 일반 목재토류판을 설치하여, 목재의 습윤 부식에 따른 휨 내력 저하 및 토사 유출로 배면 도로가 함몰되는 리스크.</t>
  </si>
  <si>
    <t>장기 가시설 목재 토류판 부식 및 토사 유출 헷지 위해 일반 목재 토류판 대신 두께 12mm 고강도 가설 강재 토류판(Steel Panel)을 설계에 반영하여 배면 도로 함몰 예방</t>
  </si>
  <si>
    <t>· 가시설 및 흙막이 설계 시, 주변 지장물 및 지하 매설물과의 물리적 간섭을 회피하고 계측 계획을 수립하여 안전 리스크를 방지하였는가?
- 가설 흙막이(H-Pile + 토류판) 공법 적용 시, 인접 사유지 경계의 지하 매설물(상하수도관, 도시가스관) 조사 누락으로 인한 시공 중 파손 및 안전 리스크.</t>
  </si>
  <si>
    <t>도심 굴착 전 도로 하부 비파괴 지반탐사(GPR)를 수행해 지장물 단면을 확정하고 흙막이 배면에 경사계 및 변형률계를 설치하는 계측 상세도 설계 반영</t>
  </si>
  <si>
    <t>토질 및 기초_설계추진방향보고_하천통과 및 인접구조물을 고려한 가시설 적정성 검토_rev.00_260602.pdf (Page 4)</t>
  </si>
  <si>
    <t>오산천 통과 교량기초(P17, P18)의 하천 가물막이(Steel Sheet Pile L=18.0m) 시공 계획서상 지질조사 주상도 및 단층대 파쇄대 분포 단면도와 굴착 저면 침투압/차수성 검토서 대조 확인</t>
  </si>
  <si>
    <t>· 가설 흙막이 강재 버팀보 SS275 적용 시 약축 방향 좌굴 하중 부족으로 인한 지보재 붕괴 리스크를 방지하기 위해 관련 기준 준수 및 설계 적정성을 검토하였는가?
- 가설 흙막이 강재 버팀보 SS275 적용 시 약축 방향 좌굴 하중 부족으로 인한 지보재 붕괴로 인해 안전사고 및 추가 비용을 유발하는 리스크.</t>
  </si>
  <si>
    <t>토질 및 기초_설계추진방향보고_하천통과 및 인접구조물을 고려한 가시설 적정성 검토_rev.00_260602.pdf (Page 5)</t>
  </si>
  <si>
    <t>기타</t>
  </si>
  <si>
    <t>· 디자인 심의 대상 시설물(정거장, 환기구 등)의 마감재 발주 시점이 심의 완료 후로 계획되었는가?
- [서울지하철923공구] 입찰안내서에 따라 착공 전 서울 디자인위원회 심의를 득해야 하며, 심의 결과에 따라 내부 색채, 마감, 사인 계획 등이 변경됨에 따라 공기 지연 및 추가 공사비를 유발하는 리스크.</t>
  </si>
  <si>
    <t>1. 정거장(일반/특화) 캐노피, 기둥 및 306정거장 특화시설의 디자인 가이드라인 부합 여부 및 경관/디자인 심의 완료 일정 확인
2. 심의 완료 후 마감재(AL 쉬트, 불소수지도장, 스텐레스 등) 사양 확정 및 발주 시기 반영 여부 도서 검토</t>
  </si>
  <si>
    <t>화성시 건축과/경관과와의 사전 협의 및 디자인 심의 지적 사항을 조기에 도면에 반영하고, 심의 확정 후 자재 발주(마감재 등)가 이루어지도록 공정계획(WBS)을 수립하여 자재 재구매 및 시공 지연을 방지</t>
  </si>
  <si>
    <t>건축_설계추진방향_3차보고_rev01_260608.pdf (Page 4, 16)</t>
  </si>
  <si>
    <t>1. 지상 변전소(114, 301 등) 및 정거장 기둥 구조물의 외벽 마감 상세도 내 물끊기(Drip Joint) 및 상부 두겁석(Coping) 설계 반영 여부 확인
2. 노출되는 구조물의 결로, 습기, 우수 침투 방지를 위한 이중벽체 및 마감 도장(불소수지 도장 등) 사양 검토</t>
  </si>
  <si>
    <t>지상 노출 구조물(변전소 및 정거장) 상단부에 우수가 흘러내리지 않도록 경사 두겁석 및 물끊기 홈 상세를 설계에 반영하고, 기둥 등 노출 구조에는 부식 방지 불소수지 도장 또는 스텐레스 마감을 적용하여 벽면 오염과 노출부 열화 차단</t>
  </si>
  <si>
    <t>건축_설계추진방향_3차보고_rev01_260608.pdf (Page 4, 19)</t>
  </si>
  <si>
    <t>· 경관심의 지적 사항(점검로, 조명 등)이 실시설계 도면과 내역에 반영되었는가?
- [서해선홍성-송산5공구] 실시설계 경관심의 시 아치교의 리브 및 행어 유지관리를 위해 중앙 더블리브 아치 구간(높이 적정 규격/거리 이상)에 점검계단을 설치하기로 했으나, 설계 도면 및 내역에서 누락됨에 따라 유지관리 불능 및 추가 비용을 유발하는 리스크.</t>
  </si>
  <si>
    <t>1. 정거장 엘리베이터(306정거장 7m 단차 연계용 등) 및 변전소 옥상, 캐노피 유지보수를 위한 점검 사다리, 계단 참의 상세 설계도 확인
2. 경관/건축 심의 협의에 따른 안전 시설물(등받이 일체형 사다리, 중간 비상탈출문 등)의 물량 및 내역서 반영 여부 대조</t>
  </si>
  <si>
    <t>변전소 옥상 유지관리용 등받이 일체형 점검 사다리 및 계단 참(2.5m 이상 확보), 306정거장 E/V 및 구조물 연계 구간에 원활한 수직동선 및 비상 대피 대책 수량을 내역과 실시설계 도서에 일괄 반영</t>
  </si>
  <si>
    <t>건축_설계추진방향_3차보고_rev01_260608.pdf (Page 8, 10, 19)</t>
  </si>
  <si>
    <t>· 경관심의 보고서의 자재 사양(유리 두께, 접합 여부)이 내역서 품목과 일치하는가?
- [대구도시철도305공구] 정거장 외부 커튼월 유리의 규격 및 수량이 설계도면과 내역서 간에 불일치하고, 경관심의 사항의 반영이 누락됨에 따라 유지관리 불능 및 추가 비용을 유발하는 리스크.</t>
  </si>
  <si>
    <t>1. 일반/특화 정거장 캐노피의 마감재(AL 쉬트, 천창 유리, BIPV 태양광 유리 등) 설계도면 상의 규격(두께, 공법) 확인
2. 수량산출서와 내역서의 품목 사양이 경관심의 협의 내용 및 구조 검토 결과와 완벽하게 부합하는지 대조 검토</t>
  </si>
  <si>
    <t>정거장 천창 및 스카이브릿지 외벽 마감 유리를 구조 안전성과 경관 규격에 적합한 접합 유리 사양으로 내역을 보완하고, 도면과 수량산출서 및 공사비 내역 간의 규격 불일치 오류를 사전에 제거</t>
  </si>
  <si>
    <t>건축_설계추진방향_3차보고_rev01_260608.pdf (Page 4, 10, 15)</t>
  </si>
  <si>
    <t>· 스카이브릿지 피난 동선 내 계단 부재로 인한 피난 지연 및 거리 초과 리스크를 방지하였는가?
- 특화정거장 2층 연결용 스카이브릿지의 수직 이동 통로 설계 시 엘리베이터(E/V)만 단독 계획하고 에스컬레이터(E/S) 및 계단을 생략함에 따라 화재 등 비상 상황 시 피난 거리(50m 이내) 초과 및 병목 발생 리스크.</t>
  </si>
  <si>
    <t>1. 스카이브릿지 중앙부에서 지상 안전 구역까지의 최대 피난 경로 및 보행 거리 도면 계측
2. 건축물의 피난·방화구조 등의 기준에 관한 규칙 상의 피난 계단 추가 설치 의무 여부 확인
3. 에스컬레이터 및 피난 계단 추가 시의 지지 하부 교각 기둥 단면력 검토</t>
  </si>
  <si>
    <t>1. 피난거리 기준 충족 설계
 - 대안2 적용: E/V+E/S+계단 조합으로 피난거리 50m 이내를 확보하고, E/S 중간 지지기둥을 구조계산에 반영하여 소방서 사전 협의를 완료하였음.</t>
  </si>
  <si>
    <t>분야별\06_건축\건축_설계추진방향_3차보고_rev01_260608.pdf</t>
  </si>
  <si>
    <t>· 캐노피 규격 확대에 따른 구조 안정성 검토 누락 및 변형 리스크를 방지하였는가?
- 승강장 캐노피의 연장 및 높이 설계 변경으로 인해 구조 부재에 작용하는 외력이 증대됨에도 별도의 구조계산 없이 기본설계 단면(H-형강 등)을 그대로 유지하여 강풍 및 적설 하중 발생 시 캐노피 구조물 변형 및 붕괴 리스크.</t>
  </si>
  <si>
    <t>1. 캐노피 연장(8.6m) 및 높이 조정 단면에 대한 설계 풍하중 및 적설 하중(KDS 41 12 00) 재산정
2. 주요 구조 부재인 H-형강(SM355 등)의 휨 응력 및 전단 응력 검토서 대조
3. 원형강관 등 대체 단면 적용 시의 구조물 중량 및 자재 소요량 비교 검토</t>
  </si>
  <si>
    <t>1. 구조계산 기반 부재 최적화
 - 캐노피 구조 안전성 확보: 구조계산을 수행하여 풍하중·설하중 조합에 대한 부재 단면을 최적화하고, 기둥 사이즈는 동일 유지하면서 상부 천창 설치로 마감공사비를 절감하였음.</t>
  </si>
  <si>
    <t>여객편의 및 무장애 설계</t>
  </si>
  <si>
    <t>· 정거장 내 교통약자 편의시설 기준 미달로 인한 BF 인증 획득 실패 리스크를 방지하였는가?
- 트램 정거장의 승강로 진입부 경사로, 점자 안내판 및 음성 안내 기기 등 교통약자 편의시설이 관련 법적 기준에 미치지 못하게 설계되어 예비인증 또는 본인증 획득이 거부되는 리스크.</t>
  </si>
  <si>
    <t>1. 전 정거장 진입부 경사로 구배(1/12 이하, 가급적 1/18 이하) 및 핸드레일 상세 도면 검토
2. 시각장애인용 종합 촉지도 안내판 및 음성 안내 유도기 배치 도면 정합성 분석
3. 휠체어 이용자를 위한 승강장 단부 슬로프 경사 및 회전 반경(1.5m×1.5m) 유효 치수 대조</t>
  </si>
  <si>
    <t>1. BF 인증 기준 충족 설계
 - 편의시설 법적 기준 준수: 전 정거장에 경사로(1/12 이하), 점자안내판, 음성안내 시스템을 설치하고, 휠체어 회전 공간 1.5m×1.5m를 확보하여 BF 인증 기준을 충족하였음.</t>
  </si>
  <si>
    <t>인접 사업 연계 건축계획</t>
  </si>
  <si>
    <t>1. 정거장 경계와 인접 상업시설 출입구 및 지하철 환승 통로 간의 보행 동선 흐름 분석
2. 인접 건물 소유주 협의용 보도폭 조정 도면 및 지장물 이설 계획 검토
3. 보행 환경 개선을 위한 BF 기준 만족 여부 및 보도 축소 대안 설계 적정성 확인</t>
  </si>
  <si>
    <t>· 동탄역 정거장 배치 형식에 따른 보행 동선 비효율 및 환승 거리 과다 리스크를 방지하였는가?
- 동탄역 정거장이 엇갈림 형식으로 배치되어 고속철도(SRT), 광역급행철도(GTX-A) 및 버스 정류장 간 환승 보행 거리(약 244m)가 과다하게 늘어나 이용객 통행 불편 및 환승 편의성 저하 리스크.</t>
  </si>
  <si>
    <t>1. 동탄역 주변 환승 동선 상 대안 노선(정거장 통합 배치 안 등)과의 주요 교통수단별 환승 거리 비교 검증
2. 인접 롯데백화점 진출입 보행 동선 병목현상 우려 구간 및 가로변 차로 서비스 수준 조사
3. 왕복 5차로에서 4차로로 축소 시 교통 용량 분석 및 대기열 모의 실험 데이터 대조</t>
  </si>
  <si>
    <t>1. 대안 노선 추진 결정
 - 환승거리 최적화: 타 교통수단과의 환승거리가 최적화되고 동탄2신도시 도시개발사업에 부합하는 대안 노선으로 추진하여, 대중교통 허브 기능 및 교통 편의성을 확보하였음.</t>
  </si>
  <si>
    <t>· 하부 철도 구조물 간섭으로 인한 보강 설계 지연 및 기관 협의 리스크를 방지하였는가?
- 특화정거장 하부 터널 구간에 기존 SRT 지하주차장 및 GTX-A 구조물이 존재하여 정거장 기초 시공 시 하중 전이를 위한 슬래브 보강이 필수적이나 관계기관(국가철도공단, SR)과의 보강 설계 협의 지연으로 설계가 확정되지 못하는 리스크.</t>
  </si>
  <si>
    <t>1. SRT 지하주차장 상부 슬래브 및 GTX-A 터널 구조에 미치는 추가 하중 영향성 구조 계산서 검토
2. 국가철도공단 및 SR 기술 자문회의 제출용 보강 설계 도서 및 보완 요구사항 목록화
3. 하부 구조물 안전성을 담보하는 기초 하중 분산 공법(마이크로파일 등) 적용 가능성 대조</t>
  </si>
  <si>
    <t>1. 철도운영기관 협의 프로세스 수립
 - 단계별 협의 체계: 국가철도공단·한국철도공사·SR과의 3단계 협의(구조물 간섭 → 환승체계 → 운영영향) 프로세스를 수립하고, 협의 불가 시 대안3(상징 캐노피+시설 이동)을 예비안으로 확보하였음.</t>
  </si>
  <si>
    <t>· 변전소 장비 반입구 폭 규격 미달로 인한 대형 장비 교체 불가 및 구조 간섭 리스크를 방지하였는가?
- 정거장 변전소의 장비 반입구 규격이 기본계획 기준(3m×4m)으로 유지되어 대용량 변압기 등 대형 중량 기기의 반입 시 상부 보 및 벽체 구조물과의 간섭으로 기기 반입 및 유지관리가 불가한 리스크.</t>
  </si>
  <si>
    <t>1. 납품 예정인 변전소 특고압 변압기 및 배전반 장비의 최대 포장 외곽 크기 대조
2. 반입구 크기를 3m×4m에서 4m×4m로 확장 설계 시 보 단면 보강 구조 안정성 검토
3. 지상 노출 변전소의 경우 외관 디자인과 간섭을 배제한 장비 반입 셔터 설치 위치 설계 도면 대조</t>
  </si>
  <si>
    <t>1. 장비반입구 규격 확대
 - 유지관리 편의 확보: 장비반입구를 4m×4m로 확대하고, 지상 배치 변전소에는 셔터를 설치하여 대형 장비 반입·교체가 가능한 동선을 확보하였음.</t>
  </si>
  <si>
    <t>· 기본설계 산정식 적용에 따른 승강장 폭원 부족 및 기준 저촉 리스크를 방지하였는가?
- 승강장 폭원 산정 시 도시철도법 경량전철 기준(공간서비스수준 0.3㎡/인) 대신 기본설계보고서의 BRT 산정식을 그대로 적용함에 따른 승강장 내 유효 대기 공간 및 통행 폭원 부족 리스크.</t>
  </si>
  <si>
    <t>1. 기본설계 승강장 폭원 산정식과 도시철도법 경량전철 건설 기준 상의 대기 면적 산정식 비교 분석
2. 울산, 대전, 위례 등 국내 타 트램 사업의 승강장 폭원 설계 사례 조사 및 대조
3. 노선별 첨두시간대 최대 대기 승객 수요(인/시)를 반영한 적정 승강장 폭원 계산서 검증</t>
  </si>
  <si>
    <t>1. 울산트램 산식 기준 재적용
 - 도시철도법 산정기준 반영: 공간서비스수준 0.3 및 배차시격 9분을 반영한 울산트램 산식 기준으로 재산정하고, 기둥 끝단 배치로 BC(대피폭)를 제외하여 폭원을 최적화하였음.</t>
  </si>
  <si>
    <t>· 체육공원 내 트램 구조물 중첩으로 인한 부서 협의 지연 및 설계 변경 리스크를 방지하였는가?
- 306정거장 환승 특화시설(주차장, PM보관소 등) 계획이 동탄1신도시 체육공원 부지 시설과 중첩되어 인허가 부서(LH, 지자체 공원조성과) 간 이견 조율 지연으로 설계 변경 및 사업 일정이 연장되는 리스크.</t>
  </si>
  <si>
    <t>1. 체육공원 체육시설(다목적운동장 등)과 트램 고가교 교각 기초의 중첩 구역 면적 평면 분석
2. LH 및 공원조성과에 제출할 시설물 이전 또는 대체 부지 확보 협의서 작성 현황 점검
3. 차량 주차 수요 대안별(1안 106대, 2안 78대) 공원 훼손 면적 및 교통 영향성 분석서 대조</t>
  </si>
  <si>
    <t>1. 관계기관 협의 일정 관리
 - 3자 협의체 구성: 트램건설과·LH·공원조성과 간 협의체를 구성하여 체육공원 주차장 추가 반영(1안) 방향으로 합의하고, 입찰안내서에 306정거장 기술제안 사항을 포함하였음.</t>
  </si>
  <si>
    <t>· 단차 구간 엘리베이터 동선 혼재 및 고장 시 비상 대체 동선 누락 리스크를 방지하였는가?
- 306정거장과 체육공원 간 7m 단차 해소용 엘리베이터 설치 계획 시 공원 및 트램 이용 동선 분리 미흡과 엘리베이터 오작동 시 대체 이동 경로(계단 등)가 설계 상 부재하여 비상 시 이용자 고립 리스크.</t>
  </si>
  <si>
    <t>1. 엘리베이터 설치 대안별(대안1 공원 중심 vs 대안2 트램 중심) 보행 동선 간섭 수준 분석
2. 엘리베이터 인근 계단실 추가 설계 계획 검토 및 피난 안전 거리 기준(KDS 47 10 30) 확인
3. 선로 횡단을 배제한 안전한 대체 계단 연결 통로 평면 도면 대조</t>
  </si>
  <si>
    <t>1. 대안1 채택 및 대체동선 확보
 - 안전 우선 설계: 공원·트램·주변 개발계획 접근을 고려한 대안1을 채택하여 공원 접근동선과 트램동선을 분리하고, 계단 추가 설치로 E/V 고장 시 대체동선을 마련하였음.</t>
  </si>
  <si>
    <t>· 특화정거장 면적 초과로 인한 건축 심의 대상 전환 및 공사비 초과 리스크를 방지하였는가?
- 특화정거장 2층 공공 및 상업시설의 합산 연면적이 기본계획 기준면적(2,500㎡ ±5%)을 초과 설계됨에 따라 지방건축위원회 심의 의무 대상으로 분류되어 사업 일정이 지연되고 공사 예산이 초과하는 리스크.</t>
  </si>
  <si>
    <t>1. 정거장 2층 연결 스카이브릿지 및 부설 실별 설계 연면적 집계표 정밀 검증
2. 공공시설 및 상업시설의 유효 면적 배분 기준 적정성 검토
3. 변전소의 별도 지상 분리 배치 시의 특화정거장 연면적 저감 효과 수치 분석</t>
  </si>
  <si>
    <t>1. 시설면적 기준 이내 관리
 - 면적 최적화 설계: 전용시설 57.9%, 홀·로비 38.6%, 기능실 8.2%로 배분하여 총 2,617㎡(기준 104.7%, ±5% 이내)를 달성하고, 변전소는 별도 설치안으로 분리하여 면적 기준을 충족하였음.</t>
  </si>
  <si>
    <t>· 고정벽체 설계로 인한 용도 변경 시 철거 및 재시공 비용 발생 리스크를 방지하였는가?
- 특화정거장 2층의 공공 및 상업시설 내부 공간을 고정식 콘크리트 또는 조적 벽체로 설계하여 향후 입주 기관 변경이나 용도 조정 시 대규모 벽체 철거 및 보강 재시공 비용이 발생하는 리스크.</t>
  </si>
  <si>
    <t>1. 시설 계획 상의 공공 및 상업 실별 마감벽체 물량내역서 대조
2. 가변성을 고려한 경량 칸막이벽(Drywall) 또는 스페이스 디바이더 시스템 도입안 구조안전성 검토
3. 고정식 조적조 대비 건식 가변벽체 적용 시의 공기 및 개보수 주기별 경제성 비용 편익 분석</t>
  </si>
  <si>
    <t>1. 경량 가변벽체 계획 반영
 - 유연한 공간 설계: 추후 평면 및 실별 규모 변경이 용이하도록 경량 가변벽체를 계획하고, 구조안전성 및 부재 최적화를 검토하여 향후 용도 전환 비용을 최소화하였음.</t>
  </si>
  <si>
    <t>· 검수고와 관리동 간 과다 이격으로 인한 근무 동선 비효율 및 관리 기능 저하 리스크를 방지하였는가?
- 차량기지 내 검수고와 종합관리동이 약 320m로 다소 멀리 이격 배치되어 검수 및 승무 인력의 일일 이동 시간 누적에 따른 근무 효율성 저하 및 기지 운영 통제 지연 리스크.</t>
  </si>
  <si>
    <t>1. 기본설계 차량기지 종합 배치도 상 동선 분석 및 검수 인력 이동 시간 측정
2. 종합관리동과 검수고 간 인접 배치(동선 단축) 대안 검토를 위한 기지 내 유효 대지 분석
3. 이동 동선 단축을 위한 연결 브릿지 또는 이동 통로 추가 시의 건축 물량 및 원가 산정</t>
  </si>
  <si>
    <t>1. 검수고-종합관리동 인접배치 전환
 - 근무환경 개선: 검수고와 종합관리동을 45m 이내로 인접 배치하고, 승무시설을 종합관리동 내에 통합하여 이동시간을 단축하고 정비고 소음·분진으로부터 분리하였음.</t>
  </si>
  <si>
    <t>· 관리동 내 침실 수량 부족으로 인한 철도 운영 교대 인력 숙박 환경 악화 리스크를 방지하였는가?
- 차량기지 종합관리동 침실 계획 수량(13개소)이 교대 근무 운영 인력 기준 필요 수량(37개소) 대비 24개소 부족하게 설계되어 심야 교대 승무원의 숙박 대기 환경이 불량해지는 리스크.</t>
  </si>
  <si>
    <t>1. 트램 운행 계획에 따른 야간 및 새벽 교대 근무 조별 승무원 인원수 집계
2. 종합관리동 내부 평면의 실 배치 계획 조정 및 다인실의 1인 침실 전환 면적 검토
3. 침실 증설에 따른 환기 및 냉난방 급배기 덕트 설비(설비 공종) 용량 계산서 대조</t>
  </si>
  <si>
    <t>1. 1인 침실 37개소 확보
 - 시설규모 최적화: 종합관리동 연면적을 6,600㎡(기본설계 대비 265㎡ 감소)로 조정하면서도 1인 침실 37개소를 확보하고, 부족 시설면적은 인터페이스 최적화를 통해 해결하였음.</t>
  </si>
  <si>
    <t>· 차량기지 부지 과다 절토로 인한 토공 비용 증가 및 경관 훼손 리스크를 방지하였는가?
- 차량기지 계획 부지 내 기존 자연 경사 지형을 인위적으로 전면 절토하여 평탄화함에 따라 대규모 사토 발생으로 토공사비가 과다 증가하고 절토 사면 노출에 따른 경관 심의 부적격 리스크.</t>
  </si>
  <si>
    <t>1. 차량기지 종횡단면도 상의 계획고 설정 기준 및 부지 정지 공사 토공량 산출서 분석
2. 경사 지형을 활용한 자연 친화형 건물 배치(데크식 배치 등) 적용 시의 공사비 절감액 산정
3. 절토 법면 안정성을 위한 옹벽 등 사면 보강 시설 규격 검토</t>
  </si>
  <si>
    <t>1. 경사지 활용 배치 설계
 - 환경·경관성 개선: 기존 경사지를 활용하여 종합관리동을 단차 배치하고, 절토량을 최소화하여 토공비를 절감하면서 주변 경관과의 조화를 확보하였음.</t>
  </si>
  <si>
    <t>· 변전소 지하 배치에 따른 부대 시설 확장 및 공사비 증가 리스크를 방지하였는가?
- 주요 정거장 변전소를 지하에 매설 배치함에 따라 환기구, 공조용 실외기실 및 유지관리용 계단실 면적(최소 70㎡ 이상)이 지하 구조물로 추가 증설되어 골조 공사비 및 굴착량이 대폭 증가하는 리스크.</t>
  </si>
  <si>
    <t>1. 정거장 변전소 지하화 시 추가 소요되는 부대 시설(실외기실, 계단실, 환기 탑) 면적 및 토공/골조 단가 검토
2. 지상 가용 부지(철도 유휴 부지 등) 활용을 통한 지상 설치 전환성 검토
3. 지하/지상 배치 방식별 기계실 공조 효율 및 장비 반입성 비교 분석</t>
  </si>
  <si>
    <t>1. 변전소별 최적 배치안 결정
 - 경제성 분석 기반 선정: 114정거장은 유지관리 동선 개선을 위해 지상 대안으로 전환하고, 201(107)은 특화정거장 연계로 지하/공원부지/2층설치안을 비교 검토하여 최적안을 도출하였음.</t>
  </si>
  <si>
    <t>· 변전소 접근로 사유지 간섭 및 차량 회차 불가능으로 인한 인허가 지연 리스크를 방지하였는가?
- 114정거장 변전소 접근용 도로 신설 계획이 인접 사유지 옹벽 구조물과 간섭되고 대형 차량 회차 공간이 미확보되어 토지 소유자 민원 및 도로점용 인허가 승인이 지연되는 리스크.</t>
  </si>
  <si>
    <t>1. 114정거장 변전소 계획 부지와 사유지 경계 옹벽의 실제 이격거리 및 측량 도면 검토
2. 유지관리 차량(고압설비 트럭 등) 진출입을 위한 차로 폭 및 T자형/원형 회차 공간 기하구조 분석
3. 대체 진입로 확보 및 수용 면적 축소를 고려한 변전소 부지 레이아웃 조정안 대조</t>
  </si>
  <si>
    <t>1. 대안 배치안 적용
 - 간섭 배제 설계: 단지 도로를 이용한 접근로로 변경하여 사유지 옹벽 간섭을 배제하고, 대지면적·시설면적을 161㎡·118.5㎡ 축소하면서 T자 회차 공간을 확보하였음.</t>
  </si>
  <si>
    <t>· 광역환승센터 정차대 수량 축소로 인한 환승 서비스 수준 저하 리스크를 방지하였는가?
- 동탄역 광역환승센터 지상부의 제한된 부지 조건 및 보행자·차량 동선 상호 간섭으로 인해 계획된 대중교통 정차대(버스 20면, 택시 46면, 배웅주차 22면 등) 확보 수량이 축소되어 환승 대기시간이 증가하는 리스크.</t>
  </si>
  <si>
    <t>1. 지상 광역환승센터 차로 설계 도면 상의 버스 및 택시 정차대 실배치 면적 검측
2. 진출입로 차로 혼잡 최소화를 위한 버스, 택시, 승용차의 엇갈림 동선 및 우회전 가속 차로 설계 기준 대조
3. 혼잡 시간대(Peak) 차량 집중 시의 정차대 대기열 시뮬레이션 보고서 분석</t>
  </si>
  <si>
    <t>1. 정차대 배치 최적화
 - 교통 시뮬레이션 기반 설계: 버스 20면·택시 46면·배웅주차 22면의 배치를 교통 시뮬레이션으로 검증하고, 동선 교차를 최소화하는 일방순환 방식으로 정차대 레이아웃을 확정하였음.</t>
  </si>
  <si>
    <t>· 화장실 하부 유지관리피트 누락으로 인한 배관 개보수 시 바닥 파손 및 운영 중단 리스크를 방지하였는가?
- 특화정거장 공중화장실 하부에 유지보수용 배관 피트(높이 1.5m 이상) 공간을 계획하지 않아, 배관 노후화 및 누수 하자 보수 발생 시 마감 바닥층을 전체 철거하고 역무 운영을 장기 중단해야 하는 리스크.</t>
  </si>
  <si>
    <t>1. 정거장 공중화장실 상세 단면도 상 하부 공조/설비 배관용 트렌치 및 피트 깊이 실측
2. 오폐수 배출을 위한 종단 구배 확보 계획 및 하수 횡주관 지지 구조 검토
3. 피트 내부 점검용 맨홀 위치 및 자연 환기구 설치 사양 설계 도서 대조</t>
  </si>
  <si>
    <t>1. 유지관리피트 설치 반영
 - 배관 접근성 확보: 화장실 하부에 H=1.5m 이상의 유지관리피트를 설치하고, 동탄2신도시 분류식 시우오수 관로에 직방류하는 배관 계획을 수립하여 운영 중 유지보수 편의를 확보하였음.</t>
  </si>
  <si>
    <t>· 승강기 승강로 내 비상 대피 시설 누락으로 인한 소방 인허가 반려 리스크를 방지하였는가?
- 특화정거장 승강로 층간거리가 11m를 초과(기본설계 12m)하여 계획되었음에도 승강기 점검 기준에 따른 비상 구출용 출입문 및 사다리 설비가 도면에 반영되지 않아 준공 시 소방 인허가 취득이 불가한 리스크.</t>
  </si>
  <si>
    <t>1. 정거장 수직 단면도 상 승강기 층간 높이(승강로 유효 정지 거리) 실측
2. 검토안 적용 시 층고 조정(12m에서 10m 이내)을 통한 비상구 설치 의무 예외 규정 충족 가능성 분석
3. 승강로 구조 벽체 내 비상 탈출구 개구부 강도 보강 계산서 확인</t>
  </si>
  <si>
    <t>1. 층간거리 10m 이내 조정
 - 소방 기준 충족: 기본설계 12m(3~4층)에서 10m 이내(2~3층)로 층간거리를 조정하여 엘리베이터 중간탈출 설비 설치 의무를 해소하고, 여객 편의를 고려한 적정 층고를 확보하였음.</t>
  </si>
  <si>
    <t>· 지하 변전소 외벽부 이중벽체 누락으로 인한 결로 발생 및 전기 기기 단락 리스크를 방지하였는가?
- 지하 변전소의 토사 접촉 외벽면에 건식 이중벽체(방습벽) 설계를 반영하지 않아 지하수 누수 및 외벽 결로 습기가 내부 고압 배전반에 침투하여 절연 저항 저하에 따른 기기 단락 및 화재 리스크.</t>
  </si>
  <si>
    <t>1. 지하 변전소 외벽 내외부 설계 온도 조건에 따른 상대 습도 및 노점 온도 산정서 대조
2. 이중벽체(두께 약 150~200mm) 설치 시 유효 실내 면적 변화 및 방습 배수구 종단 경사 확인
3. 내부 공기 정화 및 상시 제습용 환기 설비(공조 설비) 배관 도면과의 정합성 검토</t>
  </si>
  <si>
    <t>1. 지하 변전소 이중벽체 설계
 - 결로·습기 차단: 외벽 이중벽체를 설치하여 결로 및 습기를 차단하고, 환기구(10㎡)를 추가 설치하여 전기설비의 절연 성능을 장기간 유지할 수 있도록 설계하였음.</t>
  </si>
  <si>
    <t>· 소화약제실의 가스 배관 루트 과다로 인한 가스 방출 지연 및 압력 손실 리스크를 방지하였는가?
- 변전소 소화약제용 가스 용기 보관실이 방호 구역(전기실, 변압기실)과 원거리 배치되어 배관 루트가 우회함에 따라 화재 발생 시 가스 방출 시간(기준 10초 이내)을 초과하고 방출 압력 손실이 증대되는 리스크.</t>
  </si>
  <si>
    <t>1. 소화약제실~방호구역 간 가스 소화설비 배관 연장 및 굴곡부 수 계산
2. 소방법 기준 방출 시간 충족을 위한 가스 충전 압력 설계서 및 관경 계산 대조
3. 방호구역 인근 최소 20㎡ 이상의 면적을 확보한 소화약제실 최적 배치 설계 도면 확인</t>
  </si>
  <si>
    <t>1. 소화약제실 위치 최적화
 - 배관루트 최소화: 소화약제실을 변전소 주요 설비에 인접하게 재배치하여 배관루트를 최소화하고, 20㎡ 이상의 적정 면적을 확보하여 소화약제 방출 시간을 단축하였음.</t>
  </si>
  <si>
    <t>· 스테인리스 기둥 적용에 따른 초기 자재비 급증 및 예산 초과 리스크를 방지하였는가?
- 승강장 기둥 부재로 고가의 스테인리스강(STS 304)을 전체 적용함에 따라 일반 구조용 탄소강(SM355 등) 대비 초기 원자재 조달비가 3~4배 급증하여 전체 정거장 공사 예산이 초과하는 리스크.</t>
  </si>
  <si>
    <t>1. STS 304 기둥 적용 원안과 SM355 구조용 강재+불소도장 대안의 자재 조달 단가 비교표 대조
2. 염해 부식 가능성이 낮은 도심지 환경에서의 부강재 필요 수명 주기 비용(LCC) 분석 검토
3. 정거장 27개소 일괄 적용 시의 총 골조 및 마감 공사비 차액 예산서 검증</t>
  </si>
  <si>
    <t>1. SM355+불소수지 도장 선택
 - 경제성 분석 기반 결정: STS 304의 높은 초기 비용 대비 SM355+불소수지 도장의 30년 LCC가 유리하여 대안-2(원형강관+불소수지 도장)를 채택하였음.</t>
  </si>
  <si>
    <t>· 공구별 정거장 디자인 이질화로 인한 노선 경관 통일성 및 인지성 저하 리스크를 방지하였는가?
- 1공구 및 2공구 턴키 사업자별로 승강장 정거장 입면 및 캐노피 디자인 사양을 다르게 계획하여 노선 전체의 도시 경관 일관성이 훼손되고 이용자의 트램 식별 인지성이 떨어지는 리스크.</t>
  </si>
  <si>
    <t>1. 1, 2공구 각각의 기본 및 실시설계 도면 상 승강장 캐노피, 기둥, 마감재 색상 사양 교차 검토
2. 경기도 및 화성시 공공디자인 가이드라인 상의 트램 아이덴티티 부합성 대조
3. 통합 디자인 기준 마련을 위한 공구 간 정거장 시설 가이드라인 표준 도면 작성안 확인</t>
  </si>
  <si>
    <t>1. 통합 디자인 가이드라인 수립
 - 노선 일관성 확보: 1·2공구 공통 디자인 가이드라인을 수립하여 캐노피 형태·마감재·색상 팔레트를 통일하고, 특화정거장은 차별화 요소를 가미하였음.</t>
  </si>
  <si>
    <t>1. 상대식 승강장 정거장 평면 도면 상의 보행자 횡단 동선 차단 가드레일 설치 구간 확인
2. 열차 진입 시 연동되는 경보 부저 및 바닥 적색 유도 LED 표시 장치 설계 도서 검토
3. 차량 접근 시 자동으로 개폐되는 물리적 안전 차단 막 구조물 도면 대조</t>
  </si>
  <si>
    <t>· 기둥 배치 변경에 따른 CCTV 사각지대 및 야간 조도 불량 리스크를 방지하였는가?
- 승강장 지지 기둥을 중앙부에서 끝단부로 변경함에 따라 기둥에 고정 설치하는 방범용 CCTV 및 조명 기구의 조사 각도가 어긋나 승강장 중앙 대기 공간에 사각지대가 발생하고 야간 조도가 저하되는 리스크.</t>
  </si>
  <si>
    <t>1. 기둥 배치 변경에 따른 CCTV 렌즈 시야각 및 야간 보행 통로 조도 분산 시뮬레이션 대조
2. 조도 기준(최소 50lux 이상) 충족 여부를 확인하기 위한 승강장 조명 배치 계획서 검토
3. 비상벨 및 승객 안내 인터폰의 승객 접근성(BF 기준 충족) 확보 유무 검증</t>
  </si>
  <si>
    <t>1. CCTV·조명 재배치 설계
 - 사각지대 해소: 기둥 끝단 배치에 맞춘 CCTV 촬영각도를 재산정하고, 캐노피 하부 LED 조명을 균등 배치하여 승강장 전체 50lux 이상 조도를 확보하였음.</t>
  </si>
  <si>
    <t>· 캐노피 면적 확대에 따른 우수 배수 용량 부족 및 승강장 침수 리스크를 방지하였는가?
- 승강장 캐노피의 지붕 면적이 설계 변경으로 대폭 확장되어 빗물 집수 면적이 증가했으나 기존 배수 홈통 및 횡주관 용량을 증설하지 않아 집중 호우 시 우수 역류로 승강장 바닥이 침수되는 리스크.</t>
  </si>
  <si>
    <t>1. 확장된 캐노피 면적에 적용될 화성시 설계 기준 강우 강도(100년 빈도 등) 및 총 우수 유출량 산정
2. 지붕 낙수 방지를 위한 선홈통(RWP) 규격 관경 계산 및 시중 규격 비교 검토
3. 승강장 하부 궤도 배수구로의 유입관 정합성 및 배수 기울기 대조</t>
  </si>
  <si>
    <t>1. 배수 용량 증대 설계
 - 우수 배수 시스템 보강: 캐노피 확장에 따른 증가 집수량을 반영하여 배수관 구경을 확대하고, 승강장 바닥에 투수성 포장을 적용하여 침수를 방지하였음.</t>
  </si>
  <si>
    <t>· 쌍섬식 승강장 내 승하차 동선 혼재로 인한 대기 공간 혼잡 및 안전사고 리스크를 방지하였는가?
- 301정거장(쌍섬식 승강장)의 특수한 평면 구조 상 열차 양방향 진출입 시 승차 대기 승객과 하차 이동 승객의 보행 동선이 혼재되어 승강장 내 밀도 급증에 따른 안전사고 리스크.</t>
  </si>
  <si>
    <t>1. 쌍섬식 승강장 평면 도면 상의 승차 및 하차 전용 통로 구획 분리 계획 검토
2. 승강장 유효 폭원(4.0m) 기준 첨두시간대(Peak) 보행자 서비스 수준 시뮬레이션 대조
3. 선로 추락 방지용 안전 펜스 및 하프형 스크린도어(PSD) 연동 설치 방안 검증</t>
  </si>
  <si>
    <t>1. 승·하차 동선 분리 설계
 - 쌍섬식 운영 최적화: 301정거장의 승차·하차 동선을 바닥 표시 및 안전 펜스로 명확히 분리하고, 필요 폭원 확인 결과 기둥 끝단 배치로 유효 폭원을 확보하였음.</t>
  </si>
  <si>
    <t>· 우천 시 승강장 바닥면 미끄러짐으로 인한 보행자 전도 사고 리스크를 방지하였는가?
- 실외 노출된 트램 승강장 바닥 마감재 설계 시 강설 및 강우 조건에 대비한 미끄럼 방지 성능 기준이 누락되어 승객 통행 중 전도 및 골절 안전사고 리스크.</t>
  </si>
  <si>
    <t>1. 바닥 마감재(석재 타일, 포장재 등)의 습윤 상태 미끄럼 저항 성능 기준(BPN 40 이상) 충족 여부 확인
2. 우수 고임 방지를 위한 바닥 횡단 배수 경사(1~2%) 설정 및 지붕 배수구 접속 상세 도면 대조
3. 시각장애인용 황색 점자블록 마감재의 미끄럼 방지 돌기 사양 설계도 확인</t>
  </si>
  <si>
    <t>1. 미끄럼 방지 바닥재 적용
 - 안전 바닥 설계: BPN 40 이상의 미끄럼 방지 마감재를 적용하고, 1~2% 배수 경사와 배수홈을 설치하며, 시각장애인 점자블록을 BF 기준에 맞게 배치하였음.</t>
  </si>
  <si>
    <t>· 검수고 내 승무시설 배치로 인한 열악한 작업환경 노출 및 민원 발생 리스크를 방지하였는가?
- 차량기지 기본계획 시 승무원 대기실 및 휴게 공간을 소음과 분진이 상시 발생하는 차량 검수고 내부 2층에 설계하여 승무 인력의 건강 장해 및 근무 조건 불량 리스크.</t>
  </si>
  <si>
    <t>1. 차량기지 검수고 내부 장비 가동 소음 레벨(dB) 측정 예측서와 대기실 차음 설계 성적서 대조
2. 승무시설을 종합관리동으로 통합 이설 시의 기지 내 건물 레이아웃 및 동선 조율안 검토
3. 대기실 내 공기 정화 및 환기 설비(HVAC) 계통의 독립 배관 필터 등급 사양 확인</t>
  </si>
  <si>
    <t>1. 승무시설 종합관리동 통합
 - 근무환경 개선: 승무시설을 검수고에서 분리하여 종합관리동 내에 통합 배치하고, 소음·분진 차단을 위한 이중벽체 및 환기 시스템을 설치하여 근무환경을 개선하였음.</t>
  </si>
  <si>
    <t>· 관리동 내 특정 실의 소요 면적 부족으로 인한 시설 확보 원가 상승 리스크를 방지하였는가?
- 차량기지 종합관리동 설계 시 정비 부품 자재 창고 및 운영 요원 교육실 면적이 협소하게 계획되어, 준공 후 추가 가설 건축물 축조 및 외주 교육 공간 임차로 인한 운영 원가 상승 리스크.</t>
  </si>
  <si>
    <t>1. 기지 소요 장비 스페어 부품용 대형 선반 크기 및 운영 인력 연간 직무 교육 정원 분석
2. 종합관리동 실별 스페이스 프로그램 상 교육실(인당 1.5㎡) 및 보관 창고 면적 적정성 검토
3. 내부 공용 회의실 등의 공간 가변성을 고려한 무빙월 설계 도면 대조</t>
  </si>
  <si>
    <t>1. 시설면적 최적화 반영
 - 교육실·창고 면적 확보: 종합관리동 연면적 6,600㎡ 내에서 교육실·창고·회의실 면적을 적정 수준으로 확보하고, 다목적 공간으로 활용 가능한 유연한 평면을 설계하였음.</t>
  </si>
  <si>
    <t>1. 지자체 도시개발과의 병점역 복합구역 실시계획 승인 일정 점검
2. 변전소의 별도 철도부지 단독 환승센터 하부 배치 변경 시의 공사비 증분 및 인입로 개설 설계 검토
3. 변전소 위치 변동 시 주변 전차선로 급전 구분소(SP) 배치 구조 변경 검토서 확인</t>
  </si>
  <si>
    <t>· 유지관리 장비 접근 경로 미비로 인한 작업 지연 리스크를 방지하였는가?
- 정거장 캐노피 및 강재 지둥 구조물의 정기 청소, 도장 재시공 또는 외장 패널 교체 시 유지보수 스카이차 등 특수 작업 장비 진입로가 설계 상 확보되지 않아 유지관리 비용이 가중되는 리스크.</t>
  </si>
  <si>
    <t>1. 각 정거장 주변 보행자 전용 도로 및 녹지 구역 내 중장비 진입이 가능한 차도 연결구 조사
2. 캐노피 상부 우수 선홈통 청소를 위한 외벽 고정식 점검용 스텝 설계 계획서 대조
3. 유지관리 중 장비 하중을 지지할 보도 포장층 두께(차량 진입용 블록 사양) 설계 적용 검토</t>
  </si>
  <si>
    <t>1. 유지관리 접근 동선 확보
 - 유지관리 설계: 전 정거장에 캐노피 상부 점검 통로를 설치하고, 장비 접근이 불가한 구간에 대한 대체 유지관리 방법(소형 리프트 등)을 매뉴얼에 명시하였음.</t>
  </si>
  <si>
    <t>· 역사 구조물 및 캐노피의 내진 설계 등급 기준 미달로 인한 붕괴 리스크를 방지하였는가?
- 정거장 캐노피 지붕 구조 및 특화역사 2층 공공건물의 내진 설계 등급이 시설물 안전법 상 요구 기준(내진 특등급 또는 1등급)에 미달 설계되어 강진 발생 시 접합부 변형 및 붕괴 리스크.</t>
  </si>
  <si>
    <t>1. 건축물 내진설계기준(KDS 41 17 00) 상 정거장 철도 시설에 적용할 허용 설계 응답 스펙트럼 대조
2. 역사 보조 앵커 접합부 및 캔틸레버식 캐노피의 기둥 정착 모멘트 구조 해석 결과서 검토
3. 비구조 부재인 유리 천창 프레임의 탈락 방지를 위한 안전 필름 또는 세이프티 가스켓 적용 계획 확인</t>
  </si>
  <si>
    <t>1. 내진 설계 기준 충족
 - 응답스펙트럼 분석: 정거장 캐노피 및 특화정거장 2층 구조물에 대해 KDS 17 10 00 기준 응답스펙트럼 분석을 수행하고, 비구조 요소 탈락 방지 설계를 적용하였음.</t>
  </si>
  <si>
    <t>· 강풍 시 개방형 캐노피 상향 양력에 의한 패널 이탈 및 앵커 파단 리스크를 방지하였는가?
- 벽면이 개방된 승강장 캐노피 구조물 설계 시 태풍 등 강풍(풍속 30m/s 이상) 발생에 의한 지붕 하면의 상향 양력이 과다하게 작용하여 지붕 강판이 뜯겨나가거나 기초 앵커 볼트가 인발되어 전도되는 리스크.</t>
  </si>
  <si>
    <t>1. 캐노피 기본 지붕 면적에 작용하는 설계 풍하중의 풍력계수(KDS 41 12 00) 및 풍동 실험 수치 대조
2. 기둥 기초와 강재 플레이트 접합부인 앵커 볼트의 전단 및 인발 응력 허용치 계산서 검증
3. 강재 패널 접합용 스크류 볼트 배치 간격 설계 및 체결 상세 도면 확인</t>
  </si>
  <si>
    <t>1. 풍하중 구조 안전성 확보
 - 앵커 및 패널 보강: 설계 풍속 기반 상향 양력을 산정하여 지붕 패널 고정 클립 수량을 증가시키고, 앵커 볼트 인발 내력을 안전율 2.0 이상으로 확보하였음.</t>
  </si>
  <si>
    <t>· 야간 경관 조명의 과도 설계 또는 조도 미달로 인한 전력 낭비 및 시야 불량 리스크를 방지하였는가?
- 정거장 외부 야간 경관 조명의 용량이 과도하게 설계되어 전력 소모량이 급증하거나, 반대로 주간 대비 심하게 조도가 침침하여 야간 트램 승하차 시 발을 헛디디는 전도 사고 리스크.</t>
  </si>
  <si>
    <t>1. 지자체 야간 경관 가이드라인 상의 광원 종류별 허용 휘도 기준 대조
2. 에너지 효율 1등급 LED 조명 사양 선정 확인 및 연간 유지 보수 전력 소비량 계산서 분석
3. 승강장 내 바닥면 평균 조도(야간 최소 50lux 이상) 유지 여부를 위한 3D 조도 시뮬레이션 결과서 검토</t>
  </si>
  <si>
    <t>1. 에너지 효율적 경관 조명
 - LED 조명 최적화: 저전력 LED 조명을 채택하고 3D 야간 시뮬레이션으로 경관 효과를 검증하여, 에너지 효율과 도시 경관 품질을 동시에 확보하였음.</t>
  </si>
  <si>
    <t>· 승객 대기 편의시설 배치 미비로 인한 이용 품질 및 이용률 저하 리스크를 방지하였는가?
- 트램 정거장 대기 구역 내에 혹한기/혹서기 차단용 승객 쉘터(풍막), 안내 노선도 및 실시간 열차 도착 정보 디스플레이가 적절히 설치되지 않아 이용 품질 만족도가 낮아지는 리스크.</t>
  </si>
  <si>
    <t>1. 정거장별 벤치 설치 수량 및 동절기 대비 온열 벤치 전원 연결 상세 검토
2. 도착 안내 디스플레이(DID) 설치 높이(장애인 접근 높이 1.2m 기준 만족 등) 및 주간 반사 방지 시인성 분석
3. 바람막이용 강화유리 쉘터 구조의 안전성 및 풍압 검토서 확인</t>
  </si>
  <si>
    <t>1. 편의시설 표준 사양 확정
 - 이용자 편의 확보: 전 정거장에 벤치(4인 이상), 풍막(3면), 노선도, 실시간 도착 안내판을 표준 사양으로 설치하여 이용자 만족도를 확보하였음.</t>
  </si>
  <si>
    <t>· 특화정거장 설계 변경에 따른 공종별 공사 원가 초과 리스크를 방지하였는가?
- 특화정거장 총 공사비(약 149.6억) 배분 계획 대비 설계 변경(상부 물탱크실, 배수 펌프 및 환기 설비 증설 등)으로 인해 기계 설비 분야 공사비가 약 16.7억 원 가량 급증하여 전체 예산을 23억 초과하는 리스크.</t>
  </si>
  <si>
    <t>1. 기본설계 수량산출 대비 설비 공종의 물량 증감 조견표 정밀 대조
2. 기계 분야 단가 산출서 상 특화 소방 및 공조 장비 단가의 조달청 단가 정합성 확인
3. 전기 및 통신 분야 일부 단가 감액 요인과의 상계 처리 후의 최종 공사비 증액 집계표 검증</t>
  </si>
  <si>
    <t>1. 공사비 변동 관리
 - 증감 원인 분석: 기계 분야 16.7억 증가(물탱크실 80t, 제연설비)와 전기 분야 1.7억 감소를 분석하고, 총 공사비 81.6억(23억 증가)에 대한 발주처 승인을 사전 취득하였음.</t>
  </si>
  <si>
    <t>· 특화정거장 법적 건축 심의 분류에 따른 실시설계 공정 지연 리스크를 방지하였는가?
- 특화정거장 계획안이 건축법 상 대규모 심의 대상(연면적 2,500㎡ 이상 또는 특정 용도 공공건축물)으로 최종 결정되어 지자체 건축위원회 심의 심사 기간(3~6개월) 소요로 인한 실시설계 일정 지연 리스크.</t>
  </si>
  <si>
    <t>1. 지자체 건축 조례 및 건축법 기준 상 특화정거장 건축물에 대한 용도별 법적 심의 대상 여부 정밀 대조
2. 건축위원회 심의 신청용 기본설계 도서 도출 상태 및 사전 건축 인허가 보완 문서 점검
3. 심의 기간 지연에 대비한 선행 토목/구조 분야 우선 시공 설계 공정 분리안 검토</t>
  </si>
  <si>
    <t>1. 건축 심의 선행 추진
 - 인허가 일정 관리: 특화정거장의 건축 심의 대상 여부를 건축과와 사전 협의하여 확정하고, 대상 시 기본설계 단계에서 심의 자료를 선제적으로 준비하여 실시설계 지연을 방지하였음.</t>
  </si>
  <si>
    <t>· 306정거장 엘리베이터 설치 시 체육공원 지장물(옹벽) 배면 굴착에 따른 구조 간섭 리스크를 방지하기 위해 관련 기준 준수 및 설계 적정성을 검토하였는가?
- 306정거장 엘리베이터 설치 시 체육공원 지장물(옹벽) 배면 굴착에 따른 구조 간섭으로 인해 안전사고 및 추가 비용을 유발하는 리스크.</t>
  </si>
  <si>
    <t>306정거장 수직 연계 엘리베이터(E/V) PIT 지하 굴착 단면과 인접한 기존 체육공원 경계 옹벽 기초 판 간의 평면/단면 이격거리를 분석하고, 굴착 시 옹벽 하부의 토압 지반 변형 영향 검토</t>
  </si>
  <si>
    <t>체육공원 옹벽의 지반 변위 차단 및 굴착 중 전도 방지를 위해 영구 가시설 엄지말뚝(H-Pile+토류판)과 그라우팅 배후 보강 설계를 도면에 추가 반영하고, 균열 계측(경사계 및 균열 측정기) 계획 수립</t>
  </si>
  <si>
    <t>건축_설계추진방향_3차보고_rev01_260608.pdf (Page 8, 9)</t>
  </si>
  <si>
    <t>건축_설계추진방향_3차보고_rev01_260608.pdf (Page 20)</t>
  </si>
  <si>
    <t>· 정거장 캐노피 타공판 마감 부의 동절기 고드름 낙하로 인한 승객 두부 손상 사고 리스크를 방지하기 위해 관련 기준 준수 및 설계 적정성을 검토하였는가?
- 정거장 캐노피 타공판 마감 부의 동절기 고드름 낙하로 인한 승객 두부 손상 사고로 인해 안전사고 및 추가 비용을 유발하는 리스크.</t>
  </si>
  <si>
    <t>동절기 캐노피 선단 낙수부의 결빙 방지 대책 및 외측 타공 알루미늄 패널 처마 주각부의 배수 단면 형상 검토</t>
  </si>
  <si>
    <t>건축_설계추진방향_3차보고_rev01_260608.pdf (Page 15)</t>
  </si>
  <si>
    <t>· 306정거장 엘리베이터 승강장 상부 캐노피 누락 시 우천 시 교통약자 승하차 불편 및 미끄럼 리스크를 방지하기 위해 관련 기준 준수 및 설계 적정성을 검토하였는가?
- 306정거장 엘리베이터 승강장 상부 캐노피 누락 시 우천 시 교통약자 승하차 불편 및 미끄럼으로 인해 안전사고 및 추가 비용을 유발하는 리스크.</t>
  </si>
  <si>
    <t>306정거장 수직 연계 엘리베이터(E/V) 지상 노출 탑승부 단면 상세도의 비가림막(캐노피) 설계 반영 여부 및 경사 마감 우수 처리 계획 확인</t>
  </si>
  <si>
    <t>지상 E/V 탑승구 전면에 풍하중(45m/s) 및 구조 안전성이 검증된 아연도금 강재 구조 프레임 및 접합유리(12t) 마감 지붕 캐노피(규격 2.4m x 3.6m 이상)를 추가 신설하고 배수 드레인 연결 설계</t>
  </si>
  <si>
    <t>· 지하 변전실 내 소화약제(가스) 누출 시 배기 팬 오작동으로 인한 유지관리자 중독/질식 사고 리스크를 방지하기 위해 관련 기준 준수 및 설계 적정성을 검토하였는가?
- 지하 변전실 내 소화약제(가스) 누출 시 배기 팬 오작동으로 인한 유지관리자 중독/질식 사고로 인해 안전사고 및 추가 비용을 유발하는 리스크.</t>
  </si>
  <si>
    <t>지하 2층 변전소 소화약제(가스계) 방출 구역의 급배기 댐퍼 차단 루프 및 약제 방출 후 잔류 가스 강제 배기 팬 정격 풍량(시간당 15회 환기 기준) 계산서 검토</t>
  </si>
  <si>
    <t>가스 방출 완료 시 2차 비상 강제 배출용 내압 방폭형 배기 팬(Ex d IIC T4)을 설계하고, 변전실 출입구 외측에 긴급 비상 배기 차동 수동 스위치(황색 커버형) 설치 상세도 반영</t>
  </si>
  <si>
    <t>· 지상 변전소(114정거장 등) 유지관리용 T자형 회차로 협소로 대형 전력 장비 크레인 교행 중 충돌 리스크를 방지하기 위해 관련 기준 준수 및 설계 적정성을 검토하였는가?
- 지상 변전소(114정거장 등) 유지관리용 T자형 회차로 협소로 대형 전력 장비 크레인 교행 중 충돌로 인해 안전사고 및 추가 비용을 유발하는 리스크.</t>
  </si>
  <si>
    <t>장비 교체 시 크레인 아웃트리거 전개 공간을 고려하여 가도 유효 폭원을 최소 6.0m로 일관 확보하고, 급회차 모서리 2개소에 고탄성 차량 충격 흡수 볼라드 및 방호 난간대 설계 보완</t>
  </si>
  <si>
    <t>· 특화정거장 내 승강기 비상 인터폰 통화 불량 시 승객 비상 구조 지연 리스크를 방지하기 위해 관련 기준 준수 및 설계 적정성을 검토하였는가?
- 특화정거장 내 승강기 비상 인터폰 통화 불량 시 승객 비상 구조 지연으로 인해 안전사고 및 추가 비용을 유발하는 리스크.</t>
  </si>
  <si>
    <t>특화정거장 엘리베이터 카(Car) 내 비상통화 버튼 클릭 시 기지 종합 관제실 간의 전선관 루트 및 무정전 전원 공급 장치(UPS) 백업 타임라인(30분 이상 만족 여부) 검토</t>
  </si>
  <si>
    <t>엘리베이터 비상 통화 전용 신호 회로를 통신기기실 메인 관제 UPS 전원 계통과 직결하여 정전 시에도 최소 1시간 이상 통화가 유지되는 2중 신호 배선 상세 설계를 도면 반영</t>
  </si>
  <si>
    <t>· 표준 설계 기준 및 시방서 교차 검증을 통해 시공 중 발생 가능한 구조물 변형 및 기능 저하 리스크를 방지하였는가?
- 차상 ATP/ATO 제어 컴퓨터 이중화 절체 지연에 따른 속도 감시 공백 리스크.</t>
  </si>
  <si>
    <t>1. 차상 제어 컴퓨터 이중계 간 데이터 동기화 클록(Clock) 스위칭 주기(ms) 사양 확인
2. 컴퓨터 고장 절체 시 주컴퓨터와 부컴퓨터 간 무정전 하드웨어 바이패스 릴레이 동작 여부 검토
3. 시스템 절체 복구 시 차상 운전석 MMI 화면에 표출되는 알람 딜레이 시간 측정 데이터 대조</t>
  </si>
  <si>
    <t>1. 차상 제어 컴퓨터 절체 딜레이 제거
 - 신호 연속성 확보: 차상 열차제어 컴퓨터 이중계 간 동기 주기를 10ms 이하로 설정하고 무중단 소프트웨어 절체 방식을 탑재하여 속도 감시 공백을 배제하였음.</t>
  </si>
  <si>
    <t>분야별\11_도로신호\7. 설계추진방향(1차)_신호+도로신호_r260529(양식통일).pdf</t>
  </si>
  <si>
    <t>· 교통 신호최적화 결과와 트램 신호 현시 연동 설계 오류로 인한 교차로 내 갇힘 사고를 예방하였는가?
- 도로교통 신호최적화 결과와 트램 신호기 현시 운영 방안 간의 인터페이스 오류로, 트램 통과 중 녹색 신호가 조기 차단되어 교차로 한복판에 갇히는 사고 리스크.</t>
  </si>
  <si>
    <t>1. 지자체 교통 신호최적화 모델(Synchro, TRANSYT-7F 등)의 교차로별 주기 분석 데이터 확인
2. 트램 열차 장편성(35m급)의 교차로 완전 통과 소요 시간(편성 길이 + 안전 여유율) 계산서 대조
3. 교차로 이탈 완료를 보증하기 위한 진출 검지기(TPD) 감지 완료 기반 유지 신호 로직 검토</t>
  </si>
  <si>
    <t>1. 트램 통과 시간 연동 최적화
 - 교차로 안전성 향상: 교통 분야의 신호최적화 설계 도서와 연계하여 교차로별 트램 유효 통과 녹색 시간을 전수 검증하고 진출 확인 센서 연동 룰을 상세 설계에 명시하였음.</t>
  </si>
  <si>
    <t>· 궤도 누설전류 및 노이즈 유입에 따른 차축검지기 오작동 및 운행 장애를 예방하였는가?
- 궤도를 흐르는 누설전류(Leakage Current) 및 회생 제동 노이즈가 차축검지기(Axle Counter) 센서선에 유입되어 궤도 점유 정보를 오검지하고 정상 열차의 운행을 강제 비상 정차시키는 리스크.</t>
  </si>
  <si>
    <t>1. 트램 회생 제동 시 발생하는 궤도 내 최대 누설전류 한계 측정치 계산서 검토
2. 차축검지기 센서 차폐 케이블의 신호기계실 공통 접지(Grounding) 체결 상태 확인
3. 센서 헤드 설치 부위의 레일 간 절연 패드 삽입 규격 및 노이즈 차폐 사양 대조</t>
  </si>
  <si>
    <t>1. 차축검지기 노이즈 방지 설계
 - 오검지 차단: 누설전류 간섭을 해소하기 위해 차축검지기 감지 헤드에 특수 고무 절연 패드를 삽입하고 신호 케이블 전체에 편조 차폐망 설계를 명시하였음.</t>
  </si>
  <si>
    <t>· 도로 신호 폴 설계 시 부속 설비 가중 하중 누락에 따른 풍압 전도 리스크를 예방하였는가?
- 지상 도로 신호 Pole의 풍하중 구조 계산서 작성 시 부착되는 신호등 부속 랙, 차광 갓 및 가로등 지주의 고정 금구 가중 무게가 합산 누락되어, 태풍(풍속 45m/s 이상) 발생 시 폴이 굴곡 전도되는 리스크.</t>
  </si>
  <si>
    <t>1. Pole 지주 및 부속물 설계 풍하중 계산서 상의 투영 면적 및 수직/수평 하중 합산 누락 여부 대조
2. 앵커 볼트 크기 및 콘크리트 매립 기초의 휨 모멘트 파괴 강도 계산서 적정성 확인
3. 강관 폴의 내부식 수명 확보를 위한 용융아연도금 두께(최소 500g/㎡ 이상) 및 시험 성적서 확인</t>
  </si>
  <si>
    <t>1. 신호 Pole 구조 계산 검증
 - 옥외 전도 안전 확보: 풍하중 KDS 기준에 부합하도록 폴에 매달리는 신호기, 루버, 가로등기구 등 부착물 전체 무게와 풍압 면적을 합산 반영한 폴 구조 보강 설계를 수립하였음.</t>
  </si>
  <si>
    <t>· 지중 신호 관로 인입부 소동물 유입 차단 마감 부실에 따른 내부 케이블 단선 사고를 예방하였는가?
- 지중으로 매설되는 도로 횡단용 신호 관로의 인입 및 분기부 마감 시 충진 실링재 작업 누락으로 쥐, 두더지 등의 갉는 소동물(Rodent)이 관로 내부로 유입되어 통신 및 전원 케이블 피복을 심각하게 손상시키는 리스크.</t>
  </si>
  <si>
    <t>1. 신호 관로 지중 매설 상세도 상 인입 단말부의 쥐 유입 차단(Rat-proof)용 무수축 에폭시 몰탈 및 스틸 메쉬 캡 적용 상태 도면 확인
2. 지상 함체 입상관 마감 처리부의 틈새 방수 폼 슬리브 충진 규격 대조
3. 시공 감리 단계 현장 관로 마감부 방서 조치 육안 검사 체크리스트 지정 여부 검토</t>
  </si>
  <si>
    <t>1. 지중 관로 방서 밀폐 보강
 - 선로 신뢰성 유지: 지중 관로 인입부의 동물 유입에 따른 피복 손상을 막기 위해 관로 말단에 난연 에폭시 실링과 스틸 차단 메쉬 마감 공법을 상세 설계도에 명확히 적용하였음.</t>
  </si>
  <si>
    <t>· 트램 신호등과 일반 차량 신호등의 인접 배치로 인한 운전자 오인식 및 교차로 충돌을 방지하였는가?
- 트램 전용 신호기(T자형 등)가 일반 차량 신호등과 인접 배치되어, 일반차 운전자가 이를 주행 신호로 오인하고 교차로 내로 불법 진입하여 트램 측면과 충돌하는 리스크.</t>
  </si>
  <si>
    <t>1. 일반 차량 운전석 시야 높이 기준 트램 신호등의 최대 가시/지향 각도 도면 확인
2. 트램 신호등 후면에 고대비 검은색 배경판(Backplate) 및 전면 직사광 차광 후드 적용 대조
3. 교차로 기하 구조 평면상 일반 차량 신호등과의 이격 거리(최소 2m 이상) 확인</t>
  </si>
  <si>
    <t>1. 신호등 혼선 오인 방지
 - 충돌 예방: 일반 차량 운전자가 트램 신호기를 오인하지 않도록 지향성 루버 후드를 장착하고, 신호등 지주 배치를 좌우로 충분히 이격시켜 설계를 보완하였음.</t>
  </si>
  <si>
    <t>· 일반 차량의 전용 궤도 진입 오인에 따른 트램 충돌 및 추락 방지 시설을 확보하였는가?
- 전용 궤도 및 전용 고가 교량 초입부의 일반 차량 진입 차단 시스템(LED 지시판 및 경보 장치)의 가시성이 부족하여, 야간이나 우천 시 일반차가 전용선으로 진입하여 트램 충돌 및 추락 등 대형 사고를 유발하는 리스크.</t>
  </si>
  <si>
    <t>1. 전용선 진입 입구부 고휘도 LED 차단 지시 간판 및 갈매기 표지판 설치 평면 위치 확인
2. 야간 시인성 향상을 위한 도로 노면 특수 도색(지시 표시 및 유도선) 상세 도면 대조
3. 무단 진입 차량 감지 시 강하하는 차단막(LED Bar) 및 연동 감지 루프 코일 설치 계획 대조</t>
  </si>
  <si>
    <t>1. 전용선 오진입 차단 설비 강화
 - 2차 충돌 원천 방지: 일반 차량의 궤도 진입을 방지하기 위해 진입부 도로에 전용선 경보 바(Bar) 차단 장치와 차량 진입 감지 루프 및 고광도 경보판을 설계 보완하였음.</t>
  </si>
  <si>
    <t>· 도로신호용 Pole의 도로 침범으로 인한 보행 간섭 및 재시공 리스크를 방지하였는가?
- 신호등 및 우선신호용 지주(Pole) 기초부 매설 위치가 현장 조사 오류로 도로 건축 한계선 및 보도 유효 폭을 침범하여 보행 차질 민원 및 지자체 재시공 지시를 초래하는 리스크.</t>
  </si>
  <si>
    <t>1. 지상 장애물 배치 계획 평면도와 현장 로드뷰 대조 및 보행 유효 폭(최소 1.5m 이상) 확보 여부 확인
2. 가로수, 한전 전주 및 일반 교통 신호 기둥과의 평면 간섭 이격 거리 산출서 대조
3. 신설되는 스마트 가로등 및 버스 정류장 기초부와의 중첩 여부 확인</t>
  </si>
  <si>
    <t>1. 신호 Pole 배치 측량 정합
 - 재시공 리스크 제거: 보행 통행 지장과 차량 충돌을 미연에 막고자 현장 기초 위치를 측량 결과와 매핑하고 건축 한계선 밖의 보도 외곽 구역에 폴을 설계 배치하였음.</t>
  </si>
  <si>
    <t>· 차상 OBU 신호 방출 레이턴시에 따른 우선신호 전환 지연 리스크를 검토하였는가?
- 차상 우선신호 발생 장치(OBU)의 CPU 연산 부하에 따른 우선신호 패킷 방출 레이턴시(500ms 이상 지연)로 인해 교차로 진입 전 최적의 신호 현시 전환 타이밍을 확보하지 못하고 강제 정차하는 리스크.</t>
  </si>
  <si>
    <t>1. OBU 내 우선신호 패킷 생성 및 전송 통신 모듈의 최대 소요 딜레이(지연) 허용치 측정 데이터 확인
2. 차상 GPS 실시간 위치 수신 주기와 우선신호 매칭 연동 프로세스 간의 간섭 및 병목 구간 분석
3. 차량 최고 속도별 송출 안테나 개시 이격 거리 여유율 시뮬레이션 계산서 검토</t>
  </si>
  <si>
    <t>1. OBU 우선신호 송출 속도 보강
 - 트램 정시성 증대: 차량 위치 감지 즉시 신호가 송출되도록 OBU 전송 패킷 처리 타임아웃을 100ms 이내로 최적화하고 속도 연동 안테나 감도 설정을 적용하였음.</t>
  </si>
  <si>
    <t>· 정거장 및 배선 계획 수립 시, 타 교통수단 및 보행 동선의 혼잡도를 고려하고 간섭을 최소화하여 환승 병목 리스크를 방지하였는가?
- 집중형 전자연동장치 배치를 탈피하여 역사 내 신호실 면적 및 공간 잠식을 최소화하였는가 리스크.</t>
  </si>
  <si>
    <t>1. 집중형 대비 거점역 1개소(예: 201역) 신호기계실 구축 시의 분야별 필요 소요 면적 산정서 확인
2. 피제어역(10개소)의 소형 현장제어함(Outdoor Cabinet) 설치 장소 및 기하 구조 간섭 검토
3. 건축 및 연동장치 분야 간 역사 내부 구조 변경 인터페이스 협의록 대조</t>
  </si>
  <si>
    <t>1. 분산형 전자연동장치 구축
 - 공간 확보 및 비용 절감: 본선에 거점역 신호기계실을 적용하고 피제어역에는 소형 현장제어함을 구성하는 분산형 전자연동장치 설계를 채택하여 설치 면적을 줄이고 미관을 확보하였음.</t>
  </si>
  <si>
    <t>· 본선 신호 과주보호 제어케이블 매설을 최소화하여 공사비 증액을 방지하였는가?
- 기본설계 계획대로 본선 트램 신호기 과주보호용 유전원 태그 설치를 위해 전선관 및 제어케이블(약 16.8km)을 설계할 경우, 도로 종단면 굴착 및 교통 통제로 대규모 공사비가 증가하는 리스크.</t>
  </si>
  <si>
    <t>1. 본선 유전원 태그 설치 구간의 도로 굴착 단면적 및 아스팔트 재포장 일위대가표 확인
2. 제어케이블(F-CVV 2.5㎟×4C 등) 물량 축소 시 공사비 절감 효과(약 16.6억 원) 산출 서류 대조
3. 지자체 교통신호 제어기 관로 횡단 굴착 시 발생하는 도로 점용 및 교통 통제 부대비용 검토</t>
  </si>
  <si>
    <t>1. 유전원 태그 미적용 설계
 - 비용 절감: 공사비 상승 및 교통 민원을 예방하기 위해 도로 굴착이 수반되는 유전원 태그와 16.8km 규모의 전선로 설계를 과감히 삭제하고 차상 보호 방식으로 대체하였음.</t>
  </si>
  <si>
    <t>· 차상 정지 현시 정보 무선 유실 시의 자동 감속 및 충돌 방지 로직을 확보하였는가?
- 유전원 태그를 생략하고 차상에서 트램신호 정지 현시 수신을 통해 자동 제동하도록 계획을 변경함에 따라, 무선 신호 패킷 유실 시 과속 열차의 교차로 무단 진입 및 교통 충돌 사고를 유발하는 리스크.</t>
  </si>
  <si>
    <t>1. 차상 무선 장치 수신 신호의 정지 현시 정보 실시간 전송 신뢰도 및 프레임 주기 검증
2. 비상 제동 정지 한계선(동적 프로파일) 도달 전 열차 감속 제동성능 시뮬레이션 결과 확인
3. 차상 신호장치의 신호 소실 대비 페일세이프(Fail-Safe) 긴급 제동 로직 구성 검토</t>
  </si>
  <si>
    <t>1. 차상 과주 보호 프로파일 적용
 - 충돌 방지: 트램신호 정지 정보를 차상에서 정밀 수신하여 속도 곡선(동적 프로파일)을 상시 계산하고, 과주 시 자동 비상제동이 작동되는 페일세이프 방식을 확보하였음.</t>
  </si>
  <si>
    <t>· 선로변 무전원 태그들의 근접 배치로 인한 전파 간섭 및 검지 오류를 예방하였는가?
- 선로변에 진로설정, 우선신호 요청, 열차진입검지 등 용도별 무전원 태그를 각각 독립적으로 배치 설계함으로써, 설치 간격 협소에 따른 상호 전파 노이즈 간섭과 차상 검지 오작동을 유발하는 리스크.</t>
  </si>
  <si>
    <t>1. 선로변 태그(Balise) 설치 간 이격 거리(최소 3m 이상) 준수 여부 및 궤도 평면도 확인
2. 차상 안테나 수신 감도 한계 및 동시 전파 혼선 방지 필터 성능 검토
3. 진로설정 및 진입검지 등 기능 통합형 태그 공용화 가능 개소 분석서 대조</t>
  </si>
  <si>
    <t>1. 용도별 태그 기능의 차상 통합
 - 시스템 안정성 증대: 태그 간 전파 노이즈 간섭을 해소하기 위해 진로설정, 우선신호 요청, 진입검지용 태그들을 전격 삭제하고 해당 기능을 차상 정보화 시스템으로 통합 설계하였음.</t>
  </si>
  <si>
    <t>· 위치보정용 태그 설치 간격 확대로 인한 휠 슬립 오차 누적과 오정차를 예방하였는가?
- 위치보정용 태그 간격을 100m에서 200m로 넓힘에 따라 휠 슬립(Wheel Slip) 등 차상 오도메트리 누적 오차를 제때 보정하지 못해 정거장 정위치 정차 범위를 벗어나는 리스크.</t>
  </si>
  <si>
    <t>1. 200m 주행 시 타코메타(Tachometer) 및 차속 센서의 최대 누적 거리 오차치 산출서 대조
2. 본선 급곡선 및 하구배 구간에서의 휠 슬라이드 발생 빈도 및 보정 주기 분석 확인
3. 차량 정위치 정차 허용 오차 범위(±50cm) 만족을 위한 알고리즘 유효성 검토</t>
  </si>
  <si>
    <t>1. 위치보정 태그 배치 최적화
 - 정위치 정차 보장: 200m 태그 간격 조건에서도 타코메타 누적 오차를 최소화하기 위해 제동 개시 지점 부근에만 위치보정용 태그를 조밀하게 역배치하여 오동작을 예방하였음.</t>
  </si>
  <si>
    <t>· 도로 균열 및 파손 구역 매설 시 교차로 진출 태그의 전파 반사 오류를 방지하였는가?
- 교차로 안전 운행을 위해 209개의 교차로 진출 태그를 배치 시, 노면의 급격한 균열 및 파손 구역에 중복 설치되어 수밀 불량에 따른 전파 왜곡 및 반사 오류를 초래하는 리스크.</t>
  </si>
  <si>
    <t>1. 교차로 진출 지점 도로 포장 구조(아스콘 두께 등) 확인 및 태그 매설 깊이의 적정성 확인
2. 교차로 내 철제 맨홀, 우수관 그레이팅 등 금속 장해물과의 차단 거리(1.5m 이상) 설계 대조
3. 교차로 진출 태그의 주파수 대역별 전파 왜곡 시뮬레이션 결과 검토</t>
  </si>
  <si>
    <t>1. 교차로 진출 태그 위치 조정
 - 통신 오류 방지: 교차로 진출부의 철제 맨홀 등 금속 장애물과 균열 우려 지점을 사전에 피하여 내구성이 검증된 위치에 진출 확인용 태그를 분산 매설하도록 설계하였음.</t>
  </si>
  <si>
    <t>· 정거장 내 분야별 소형 UPS 분산 설계에 따른 예산 및 공간 중복 낭비를 예방하였는가?
- 신호, 도로신호, 통신 등 각 분야에서 정거장에 개별적으로 소형 무정전 전원 공급 장치(UPS)를 분산 설계함에 따라 장비 도입 비용 및 랙 설치 공간이 중복 낭비되는 리스크.</t>
  </si>
  <si>
    <t>1. 분야별 정거장 UPS 소요 부하 용량(kVA) 취합 및 단일 대용량 통합 UPS 전환 가능성 검토
2. 정거장 기계실 내 통합 UPS 설치에 따른 랙 공간 배치도 및 전원 인입 상세 도면 대조
3. 1공구 5개소 및 2공구 6개소 정거장의 분야별 UPS 분산형 대비 통합형 예산 산출서 비교</t>
  </si>
  <si>
    <t>1. 정거장 분야별 통합 UPS 적용
 - 공간 및 비용 효율화: 신호·통신·도로신호 부하를 일괄 수용하는 정거장용 통합 UPS 시스템을 기본 설계에 반영하여 기계실 설치 면적을 줄이고 장비 중복 도입을 차단하였음.</t>
  </si>
  <si>
    <t>· 원격 트램위치검지장치(TPD) 전원 배선 설계 누락으로 인한 정전 시 기능 마비를 방지하였는가?
- 정거장 연동역의 UPS로부터 본선 일반역 및 교차로에 배치된 트램위치검지장치(TPD)까지의 전원 케이블 인입 설계 누락으로 정전 시 현장 위치 검지가 전면 마비되는 리스크.</t>
  </si>
  <si>
    <t>1. 각 연동역 UPS와 원격 TPD 간 전원 케이블(F-CV) 굵기 산정 및 허용 전압 강하 계산서 대조
2. TPD 장치 개소별 최대 소비 전력량(W) 및 전력 분배 장치 용량 정합성 확인
3. 예비용 전원 배선율(10% 이상) 확보 및 관선 인입 도면 확인</t>
  </si>
  <si>
    <t>1. TPD 전원 인입 케이블 설계 보완
 - 무전원 감지 차단: 누락되었던 연동역 UPS와 본선 교차로 TPD 간 전원 공급로를 설계 도서에 신규 추가하여, 정전 시에도 트램 위치 검지가 중단되지 않도록 보완하였음.</t>
  </si>
  <si>
    <t>· 종합관제실 DLP 대형표시반 일자형 배치에 따른 시인성 저하 및 감시 누락을 방지하였는가?
- 종합관제실 내 신호·운전 DLP 대형표시반을 일자형으로 단순 일렬 배치하여 양측 말단 관제 화면의 시야각 및 시인성이 떨어지고 감시가 누락되는 리스크.</t>
  </si>
  <si>
    <t>1. 관제 콘솔 좌석과 대형표시반 간의 거리 대비 수평 시야각(최대 60도 이내) 만족 여부 확인
2. 곡선형(Round Type) 표시반 적용을 위한 배면 보강 프레임 상세 및 배치 도면 확인
3. 대형표시반 상단 직사광에 의한 빛 반사(Anti-Glare) 및 눈부심 방지 조명 배치 도면 대조</t>
  </si>
  <si>
    <t>1. 관제실 라운드형 대형표시반 설계
 - 시인성 확보: 관제사의 피로도 경감과 가시성 향상을 위해 대형표시반(16면) 및 콘솔 배치를 라운드 형태로 설계 변경하고 최적의 관제실 평면을 협의 구축하였음.</t>
  </si>
  <si>
    <t>· 노면전차 규칙 법규 준수를 위한 관제실 통합 배치 설계의 적정성을 확보하였는가?
- 노면전차 건설 및 운전에 관한 규칙 제27조에 따라 트램 운행제어실(신호)과 전력공급제어실을 단일 공간에 배치해야 하는 통합 운영 규정을 소홀히 하여 소방청 인허가에 실패하는 리스크.</t>
  </si>
  <si>
    <t>1. 노면전차 규칙 제26조 및 제27조의 세부 운전/전력 제어 통합 구성 규정 검토
2. 종합관제실 평면도 상 운전관제 콘솔과 전력관제 콘솔의 동일 실(Room) 배치 여부 확인
3. 비상 상황 전이 시 운전-전력 시스템 간 상호 이벤트 연동 및 원격 차단 프로토콜 사양 확인</t>
  </si>
  <si>
    <t>1. 운전-전력 관제실 단일 공간 배치
 - 법적 적합성 충족: 관계 법령에 의거하여 트램 운행제어실과 전력공급제어실을 차량기지 종합관리동 내 단일 공간으로 설계 통합하고, 비상 통신망을 구축하였음.</t>
  </si>
  <si>
    <t>· DLP 통합제어 시스템 장애에 따른 관제 화면 표출 마비 예방 대책을 수립하였는가?
- 종합관제실 내 운전, 전력, 기계설비 DLP를 다중 연동하여 분산 제어하는 DLP 통합제어 시스템 소프트웨어 장애 시, 전 분야 표시반 표출 정지 및 상황 인지 불능 리스크.</t>
  </si>
  <si>
    <t>1. DLP 통합제어시스템의 실시간 백업(Redundancy) 제어 서버 사양 및 자동 절체 기능 확인
2. 대형표시반용 물리 스위칭 매트릭스(Switching Matrix) 이중화 하드웨어 성능 검토
3. 서버 장애 시 관제원 수동 조작을 위한 하드와이어드(Hard-wired) 비상 조작반 연동 확인</t>
  </si>
  <si>
    <t>1. DLP 통합제어 하드웨어 이중화
 - 장애 전파 차단: 통합제어 소프트웨어 고장 시에도 개별 분야 DLP로 직접 화면 표출이 가능하도록 하드웨어 디스플레이 컨트롤러 이중화 회로를 반영 설계하였음.</t>
  </si>
  <si>
    <t>· 교차로 구간 트램 신호 제어 설계 시, 일반 차량의 대기 시간 및 서비스 수준(LOS)을 분석하여 가변 신호 알고리즘 등 대안을 마련하고 도로 정체 리스크를 완화하였는가?
- 교차로 및 단일로 도로신호 현장 시스템 설계 물량과 최신 도로 기하 구조의 일치성을 검증하였는가 리스크.</t>
  </si>
  <si>
    <t>1. 설계 시점 기준 가장 최근에 조사된 도로 대장 및 현장 실측 조사 데이터 대조
2. 차로 수가 변경된 교차로의 신호등 폴(Pole), 차량 검지기(Loop Coil 등), 제어반 세부 수량 일치 확인
3. 지자체 교통정보센터의 도로 신호 제어 물량 정보와 트램 도로신호 설계 도서 정합성 검토</t>
  </si>
  <si>
    <t>1. 교차로 세부 현장 조사 반영
 - 공정 차질 예방: 실시 설계 단계에서 전 구간 교차로에 대한 전수 조사를 시행하여 노선 변경 및 신규 차로를 설계 도서에 완전 반영하고 물량을 현실화하였음.</t>
  </si>
  <si>
    <t>· 영상 검지 데이터의 전송 지연으로 인한 교차로 내 꼬리물기 차량 충돌을 방지하였는가?
- AI 영상 기반 돌발유고검지장치 설계 시, 검지 정보가 트램 신호기 및 차상 운전석으로 전송되는 통신 딜레이로 교차로 내 꼬리물기 차량과의 충돌 사고를 유발하는 리스크.</t>
  </si>
  <si>
    <t>1. 현장 AI 영상검지 카메라의 차량 꼬리물기 실시간 판독 및 전송 소요 시간(ms) 확인
2. 돌발 신호 발생 시 차상 운전석 MMI 모니터 및 트램 신호기 강제 정시에 걸리는 시간(최대 2초 이하) 확인
3. 돌발 상황 감지 센서와 도로교통신호제어기 간의 하드와이어(Hard-wire) 연동 인터페이스 검토</t>
  </si>
  <si>
    <t>1. AI 돌발검지 실시간 신호 연동
 - 2차 사고 방지: 현장 AI 카메라가 꼬리물기 차량이나 지장물을 검지하면 1초 이내에 트램 신호기를 강제 정지 현시하고 무선 경보가 송출되는 연동 로직을 구축하였음.</t>
  </si>
  <si>
    <t>· 횡단보도 보행자 인지력 제고를 위한 접근알림장치 음향 레벨 및 각도를 확보하였는가?
- 트램접근알림장치의 음성 안내 소리 출력이 도로 차량 소음 대비 낮게 설계되거나 지향 각도가 부적절하여 횡단보도 내 보행자 충돌 사고를 유발하는 리스크.</t>
  </si>
  <si>
    <t>1. 횡단보도 주변 도로 배경 소음 측정값 대비 최소 15dB 이상의 음압을 갖는 지향성 스피커 스펙 확인
2. 스마트폰 보행자를 위한 바닥형 LED 보도 신호 및 보행 경보 차단 장치 연동 도면 대조
3. 시각장애인용 기존 음성유도 시스템과의 전파 및 음향 간섭 시각 검토</t>
  </si>
  <si>
    <t>1. 보행자 지향성 안전 알림 설계
 - 인지성 강화: 소음 환경을 극복하기 위해 최대 85dB 이상의 지향성 스피커와 음성 유도 장치를 정거장 진입 횡단보도에 반영하고 시각 경보 조명을 연계하였음.</t>
  </si>
  <si>
    <t>· 구체적인 트램 우선신호 운영 알고리즘 결여로 인한 도로 정체 가중을 예방하였는가?
- 트램 우선신호체계 시나리오 검토 시 요청부터 판단, 수행 후 정상 복구까지의 단계별 구체적인 운영 알고리즘이 결여되어 일반 차량의 꼬리물기와 도로 정체를 가중시키는 리스크.</t>
  </si>
  <si>
    <t>1. 우선신호 방식(Extended Green, Green Early 등) 적용 시 단계별 복원 시간 계산서 확인
2. 횡단 보행자 안전을 위한 최소 녹색 신호 시간(Pedestrian Minimum Green) 유지 한계 대조
3. 트램 조기 진출입 등으로 인한 우선신호 강제 해제(Abort) 발생 시 일반 교통신호 조기 복구 로직 검토</t>
  </si>
  <si>
    <t>1. 우선신호 단계별 시나리오 수립
 - 도로 교통류 안정성 확보: 트램 감지 시 자동 녹색 연장(Green Extension) 또는 조기 녹색(Early Green) 작동 시나리오와 일반 신호 복귀 룰을 단계별 시뮬레이션을 거쳐 정밀 설계하였음.</t>
  </si>
  <si>
    <t>· 교차로 구간 트램 신호 제어 설계 시, 일반 차량의 대기 시간 및 서비스 수준(LOS)을 분석하여 가변 신호 알고리즘 등 대안을 마련하고 도로 정체 리스크를 완화하였는가?
- 트램 우선신호 적용 기법별 정량적 교통 영향 시뮬레이션 생략에 따른 정체 유발 리스크.</t>
  </si>
  <si>
    <t>1. 우선신호 기법별 교차로 서비스 수준(LOS) 영향 분석 시뮬레이션(VISSIM 등) 최종 보고서 확인
2. 트램 전용 차로 인접 차선의 출퇴근 시간대별 평균 차량 지체 시간 변동 추이 확인
3. 연동형과 능동형 혼합 운용 구역의 주변 신호 교차로 파급 정체 범위 도식도 대조</t>
  </si>
  <si>
    <t>1. 우선신호 정량적 영향 평가 분석
 - 민원 분쟁 차단: 우선신호 기법 적용 시의 주변 도로 영향을 파악하기 위해 미시적 교통 시뮬레이션(VISSIM) 정량 해석 자료를 첨부하고 교차로별 최적 기법을 명시하였음.</t>
  </si>
  <si>
    <t>· 교차로 구간 트램 신호 제어 설계 시, 일반 차량의 대기 시간 및 서비스 수준(LOS)을 분석하여 가변 신호 알고리즘 등 대안을 마련하고 도로 정체 리스크를 완화하였는가?
- 차상 신호장치와 도로교통신호제어기 간 무선 통신 장애 대비 백업 제어 로직을 확보하였는가 리스크.</t>
  </si>
  <si>
    <t>1. 차량-현장제어기 간 단거리 무선 통신 규격(WAVE, C-V2X 등)의 수신 감도 시뮬레이션 확인
2. 통신 패킷 유실률 저감을 위한 안테나 물리적 복수 설치 및 이중화 연결 경로 대조
3. 무선 두절 시 차선책으로 지하 매설 루프코일 등을 이용한 위치 인식 우선신호 작동 예비 로직 검토</t>
  </si>
  <si>
    <t>1. 차량-제어기 무선 인터페이스 보완
 - 정시성 확보: 통신 실패로 인한 정체 및 지연을 방지하고자 WAVE 무선 통신 채널 외에 백업용 LTE-R 다중 경로 통신 규격을 도로 신호제어기와 연계 설계하였음.</t>
  </si>
  <si>
    <t>· 노선 분기 지점의 방향 지시 다구등 신호기 설계 누락으로 인한 선로 진입 오인을 예방하였는가?
- 노선 분기 지점(동탄역 북측 등 3개소)에 트램의 좌/우회전 등 회전 가능 방향을 명확히 지시하는 다구등(5구등, 6구등) 신호기 설계 누락으로 정반대 방향 진입 사고 리스크.</t>
  </si>
  <si>
    <t>1. 분기 교차로 상세 설계 도면상 트램 전용 지시등(방향별 화살표 등) 설치 사양 대조
2. 신호연동 시스템(신호기 장치)의 분기기 연동 작동 시퀀스 정합성 확인
3. 인접 일반차량 운전자의 시각 혼선을 방지하기 위한 이격 배치 및 고시인성 차광 후드 적용 검토</t>
  </si>
  <si>
    <t>1. 분기점 5구등/6구등 신호기 반영
 - 충돌 방지: 트램 회전 방향 지시 오류를 예방하기 위해 로얄클래스 등 3개 분기 교차로에 트램 전용 5구등 및 6구등 신호기를 추가 반영하고 일반차량 시야와 분리 설계하였음.</t>
  </si>
  <si>
    <t>· 매립형 선로전환기 내부 이물질 유입에 따른 밀착 쇄정 불량 및 탈선 리스크를 방지하였는가?
- 도로 노면에 매립형으로 설치되는 선로전환기 내부에 모래, 자갈 등의 도로 이물질이나 빗물이 유입되어 밀착 쇄정 불능 상태가 유발되고 트램 바퀴가 튕겨 나가는 탈선 사고 리스크.</t>
  </si>
  <si>
    <t>1. 매립형 선로전환기의 케이싱 자체 방수 등급(IP67 이상) 및 상부 밀폐 구조 도면 대조
2. 이물질 강제 유입 방지를 위한 탄성 커버 및 내부 고압 살수 배수 배관 구조 확인
3. 쇄정부 밀착 상태 감지 마이크로 스위치의 검지 오차 범위 한계치 검토</t>
  </si>
  <si>
    <t>1. 매립형 선로전환기 보호 설계
 - 탈선 사고 예방: 토사 유입 및 도로 침수에 취약한 환경을 고려하여 완전 매립 배수 하우징이 탑재된 방수형 선로전환기 스펙과 밀착 오차(1.5mm 미만) 정밀 센서를 적용하였음.</t>
  </si>
  <si>
    <t>· 터널 및 정거장 내 무선 음영 발생에 따른 차상장치 비상제동 오작동을 예방하였는가?
- 무선망 통신을 기반으로 하는 열차제어 설계 시, 터널 내부 또는 정거장 음영 지역 내 일시 무선 단절로 인해 차상 신호장치가 통신 두절로 간주하고 예기치 않게 비상제동을 체결시키는 리스크.</t>
  </si>
  <si>
    <t>1. CBTC 무선 전파 음영 지역(터널 곡선부 등) 및 다중 경로 반사 왜곡 한계치 분석 결과 검토
2. 무선 일시 장애 시 비상제동 체결 대기 시간(Timeout 여유 시간 최소 2초 이상) 설정값 확인
3. 터널 내 누설동축케이블(LCX) 및 지상 무선 기지국 안테나 배치 간격 및 커버리지 중첩률 확인</t>
  </si>
  <si>
    <t>1. 무선 단절 대비 제동 유예 설정
 - 열차 급정거 예방: 일시적인 무선 음영 시 불필요한 비상제동 체결을 막기 위해 통신 유예 타임아웃(2.5초) 소프트웨어 로직을 적용 설계하였음.</t>
  </si>
  <si>
    <t>· 교차로 우선신호 수락에 따른 횡단보도 보행 신호 조기 차단 및 보행자 사고를 방지하였는가?
- 트램 접근에 따른 교차로 우선신호가 수락될 때, 보행자 횡단보도의 보행 신호 시간이 갑자기 단축되거나 조기 차단되어 횡단 중인 교통약자가 도로 중앙에서 사고 위험에 노출되는 리스크.</t>
  </si>
  <si>
    <t>1. 횡단보도 길이 및 노약자 보행 속도(0.8m/s 기준)에 따른 최소 보행 안전 유지 시간 산출서 확인
2. 우선신호 판단 시 횡단보도 신호 진행 상태를 고려한 지연 수락(Lagging Green) 연동 로직 확인
3. 교통신호 제어기 내 보행 신호 조기 차단 금지(Minimum Green) 룰 프로그램 탑재 대조</t>
  </si>
  <si>
    <t>1. 보행 신호 보장 우선 제어
 - 교통약자 보호: 보행자가 횡단보도를 건너는 도중 트램 우선신호가 요청되더라도 최소 보행 안전 시간은 강제 유지되도록 신호 우선순위 락(Lock) 기능을 적용하였음.</t>
  </si>
  <si>
    <t>· 휠 슬립에 따른 타코메타 차속 오검출 및 오제동 방지 대책을 수립하였는가?
- 차상 속도 검출용 타코메타(Tachometer) 센서가 차륜의 기계적 마모 및 우천 시 슬립(Slip/Slide) 현상으로 인한 실제 주행 속도 편차를 보정하지 못해 허용 속도 과검출 및 오제동을 유발하는 리스크.</t>
  </si>
  <si>
    <t>1. 차륜 직경 마모 계수 자동 캘리브레이션 모듈 소프트웨어 탑재 사양 대조
2. 타코메타 센서 다중화(2축 이상 적용) 및 비접촉식 레이더(Radar) 차속 센서 병행 여부 검토
3. 미끄러짐 감지 시 차상 모래 분사 장치(Sanding Device) 연동 작동 조건 및 인터페이스 대조</t>
  </si>
  <si>
    <t>1. 차상 속도 센서 정밀화
 - 제동안전성 확보: 차륜 슬립 및 마모에 따른 속도 오차를 자동 보정하도록 타코메타 정보와 차상 발리스 위치 태그 정보를 실시간 정합 캘리브레이션하는 알고리즘을 도입 설계하였음.</t>
  </si>
  <si>
    <t>· 폭우 시 매립형 선로전환기 내부 침수로 인한 모터 단락 및 오작동을 예방하였는가?
- 도로 상면 매립형 선로전환기의 하우징 내부 배수 성능 부족으로 폭우 시 전환 모터 및 전기 접속 배선 부위가 우수에 침수되어 쇄정 회로 절연 단락 및 선로 전환 오작동을 유발하는 리스크.</t>
  </si>
  <si>
    <t>1. 선로전환기 케이싱 하부 강제 배수관 규격(최소 DN80 이상) 및 집수정 연결 구배 도면 확인
2. 하천 수위 상승 역류 및 배수 펌프 오동작 대비용 전환기 내부 2중 고무 밀폐 패킹 스펙 대조
3. 선로전환기 기계실 내 절연 모니터링 장비(IMD) 경보 연동 회로 설계 검토</t>
  </si>
  <si>
    <t>1. 선로전환기 하우징 배수 보강
 - 침수 고장 차단: 집중 호우 시 선로전환기 침수를 차단하기 위해 대구경 배수 소켓과 침수 감지 이중 실링을 적용하여 기기 내구 수명을 대폭 확보 설계하였음.</t>
  </si>
  <si>
    <t>· 종합관제센터 간 전용 통신회선 대역폭 부족으로 인한 화면 갱신 지연을 방지하였는가?
- 트램 관제센터와 지자체/경찰청 교통정보센터 간의 실시간 연계를 위한 전용회선 전송 대역폭이 트래픽 급증 시 병목 현상을 유발하여 도로 신호 연동 상태 화면 갱신이 지연되는 리스크.</t>
  </si>
  <si>
    <t>1. 센터 간 상호 전송되는 우선신호 패킷 및 CCTV 모니터링 데이터 초당 최대 트래픽 전송량(Mbps) 계산
2. 전용 임차 광회선 대역폭(최소 100Mbps 이상) 여유량 및 회선 이중화 스펙 검토
3. 메인 유선망 장애 시를 대비한 백업 무선 라우터(LTE 라우터 등) 회선 구성 여부 대조</t>
  </si>
  <si>
    <t>1. 센터 연계 대역폭 다중화
 - 동기화 지연 방지: 경찰청 교통센터와의 실시간 데이터 통신을 보장하기 위해 전용회선 대역폭을 충분히 상향 설계하고, 백업용 이중화 회로를 반영하여 전송 신뢰성을 높였음.</t>
  </si>
  <si>
    <t>· 매립 무전원 태그의 노면 오염 및 자갈 피복에 따른 차상 안테나 교신 두절을 예방하였는가?
- 일반역(비연동역) 트램 진입검지용 노면 매립 무전원 태그 상부에 먼지, 도로 오물 또는 자갈이 두껍게 덮여 차상 발리스 안테나와 정보 교신이 두절되고 역무 안내 정보 표출이 누락되는 리스크.</t>
  </si>
  <si>
    <t>1. 무전원 태그 자재의 내충격성 및 오염 물질 두께에 따른 전파 감쇄 허용 마진(dB) 스펙 대조
2. 노면 청소차 브러쉬 및 일반 자동차 하중, 진동에도 훼손되지 않는 태그 케이싱 매립 강도 검토
3. 태그 표면의 정기 청소 및 전파 수신 감도 테스트 유지보수 매뉴얼 제안 내역 확인</t>
  </si>
  <si>
    <t>1. 비연동역 진입 검지 신뢰성 보장
 - 안내 정보 유실 차단: 태그 표면의 이물질로 인한 통신 감쇄에 대응하여 전계 투과 특성이 우수한 내오염성 고이득 태그 스펙을 자재 도서에 신규 지정 설계하였음.</t>
  </si>
  <si>
    <t>· 차량기지 시험선로 내 정합용 지상 루프 안테나 누락으로 인한 연동 시험 불가 리스크를 예방하였는가?
- 전동차 전 기능의 정상 동작 여부를 출고 전 점검하는 기지 내 자동 연동 시험선로(Test Track) 상에 차상-지상 정합용 루프 안테나가 누락 설계되어 동적/정적 연동 시험이 원천 불가해지는 리스크.</t>
  </si>
  <si>
    <t>1. 차량기지 내 시험선로 종단 도면 및 차상 안테나 위치와 일치하는 지상 루프 안테나 평면 상세도 대조
2. 차상 MMI 및 무선망 기지국 연계 송수신 시험을 위한 정합 지상 장비(랙 등) 스펙 확인
3. 모의 신호 전송 서버 및 종합관제실 모의반 연계 통신 인터페이스 설계 검토</t>
  </si>
  <si>
    <t>1. 기지 내 시험선 연동 설비 반영
 - 기지 시험 신뢰성 제고: 차량기지 출고 전 완벽한 성능 검증을 도모하고자 기지 시험선 구간에 지상 안테나 및 모의 신호 주입 서버 설계를 신규 반영 조치하였음.</t>
  </si>
  <si>
    <t>· 레일 진동에 따른 차축검지기 브라켓 볼트 풀림 및 카운트 오차를 방지하였는가?
- 트램의 반복 운행에 의한 레일 진동과 차륜 하중 충격으로 레일 체결형 차축검지기 마운팅 브라켓의 볼트가 풀려 센서 정렬 각도가 틀어지고 차축 통과 개수 카운트 오차를 유발하는 리스크.</t>
  </si>
  <si>
    <t>1. 차축검지기 고정 브라켓 장치의 내진동/내충격성(IEC 61373 Class 1 등) 공인 시험 성적서 충족 여부 대조
2. 진동에 의한 풀림 방지를 위한 이중 너트(Double Nut) 및 접착식 풀림 방지 와셔 적용 도면 확인
3. 유지보수 단계 정기 브라켓 토크 렌치 체결 점검 수치 기준 매뉴얼 확인</t>
  </si>
  <si>
    <t>1. 차축검지기 고정 상세 강화
 - 오검지 예방: 레일 진동에 의한 풀림을 방지하기 위해 특수 풀림방지 너트(Lock Nut) 및 충격 완충 와셔 설계를 차축검지기 철물 상세에 명시하였음.</t>
  </si>
  <si>
    <t>· 교차로 현장 제어함 전원 이중화 누락에 따른 우선신호 마비를 예방하였는가?
- 교차로에 배치되는 도로신호 현장 제어함 내 광 통신 스위치 장비의 단일 전원 장치(SMPS) 소손 시, 영상 검지 및 TPD 데이터 무선 전송이 차단되어 전체 우선신호 연동이 마비되는 리스크.</t>
  </si>
  <si>
    <t>1. 현장 전송 스위치 장비 및 우선신호 제어기의 전원 포트 이중화(Dual Power Input) 하드웨어 탑재 대조
2. 한국전력 인입선 정전 대비용 함체 내 소형 예비 배터리(UPS) 수용 공간 및 설계 여건 검토
3. 개별 SMPS 고장 시 관제실 설비 유지보수 시스템(EMS)에 실시간 알람 표출 연동 여부 확인</t>
  </si>
  <si>
    <t>1. 현장 통신장비 전원 이중화
 - 통신 무중단 보장: 도로변 가혹 조건 하의 장비 수명 보존을 위해 제어함 내 전송 스위치 전원 입력을 Active-Active 이중화 SMPS 구조로 적용 설계하였음.</t>
  </si>
  <si>
    <t>· 현장 무선 안테나 피더선을 통한 낙뢰 서지 인입 및 제어 보드 소손을 방지하였는가?
- 교차로 우선신호 제어 폴 상부에 설치되는 WAVE/V2X 무선 안테나 피더(Feeder) 케이블을 통해 하절기 직격뢰/유도뢰 서지가 인입되어 고가의 하부 신호제어 컴퓨터 메인 보드를 소손시키는 리스크.</t>
  </si>
  <si>
    <t>1. 안테나 케이블 노선 상의 고주파 신호용 피뢰기(RF Coaxial SPD) 설치 위치 및 방전 내량 규격 확인
2. 폴 지주의 서지 방전 전용 접지극 시공 저항 값(10.0Ω 이하) 계산서 및 평면 검토
3. 낙뢰 유도 방지용 상단 피뢰침(Air Terminal)과 안테나 방사부 간의 이격 거리 확인</t>
  </si>
  <si>
    <t>1. V2X 안테나 낙뢰 차단 설계
 - 제어기 보드 보호: 낙뢰 서지로 인한 도로교통제어기 소손을 차단하기 위해 안테나 라인 중간에 RF 동축 서지 보호 장치(SPD) 설계를 의무화하였음.</t>
  </si>
  <si>
    <t>· 횡단보도 보행자 AI 센서의 기상 오인식에 따른 잦은 서행 및 정시성 저하를 방지하였는가?
- 정거장 횡단보도의 보행자 무단 침범을 감지하는 AI 검지 센서가 폭우, 강설, 야생동물 등의 기상 및 환경 노이즈를 보행자로 오인식하여 경보를 발생시킴으로써 트램이 불필요하게 잦게 서행하는 리스크.</t>
  </si>
  <si>
    <t>1. 보행자 감지용 융합 센서(레이더+카메라)의 기상 악화 시 오경보율(False Alarm Rate) 제조사 규격 검토
2. 객체 감지 알고리즘 내 사람 신체 체적 기준 필터링 및 패턴 인식 기능 탑재 여부 확인
3. 강우·강설 모드 전환 시 센서 감도(Sensitivity) 자동 튜닝 기능 설계 검토</t>
  </si>
  <si>
    <t>1. 보행 감지 센서 알고리즘 개선
 - 운행 효율 확보: 악천후 하에서도 정상 인원만 검출할 수 있도록 감지 알고리즘에 보행자 체적 식별 로직과 환경 필터 스펙을 규격화하여 설계하였음.</t>
  </si>
  <si>
    <t>· 차상 MMI 모니터의 햇빛 난반사에 따른 기관사 속도 제한 오동작을 예방하였는가?
- 차상 운전석의 속도 제한 및 신호 지시용 MMI(Man Machine Interface) 모니터 화면이 주간 햇빛 직사광선 난반사(Glare)로 글씨가 보이지 않아 기관사의 속도 초과 및 신호 과주 오동작을 유발하는 리스크.</t>
  </si>
  <si>
    <t>1. 운전 콘솔 내 MMI 모니터 장착 각도 조정 틸팅(Tilting) 기구 구조 상세도 확인
2. MMI 화면의 야외 식별용 최대 휘도 레벨(최소 1,000cd/㎡ 이상) 및 눈부심 방지(Anti-Glare) 특수 필름 대조
3. 조도 센서를 통한 주변 밝기 연동형 자동 화면 조도 조정 기능 여부 검토</t>
  </si>
  <si>
    <t>1. MMI 모니터 직사광 시인성 확보
 - 오조작 예방: 직사광선 조건 하에서도 확실한 식별이 가능하도록 1000니트 이상의 초고휘도 패널과 눈부심 방지 코팅(AG) 처리를 차상 MMI 규격에 반영 설계하였음.</t>
  </si>
  <si>
    <t>· 선로전환기 수동 레버 보관함 부식 및 침수로 인한 비상 조작 불가 리스크를 예방하였는가?
- 본선 선로전환기의 비상 수동 전환용 핸드 레버 보관함의 재질 부식 및 침수로 레버에 녹이 슬어 비상 작동이 불가능하거나 잠금장치 파손으로 도난 및 무단 훼손에 노출되는 리스크.</t>
  </si>
  <si>
    <t>1. 수동 레버 보관함의 재질(SUS304 이상 등 내부식성 금속) 및 옥외 방수 등급(IP55 이상) 사양 대조
2. 보관함 도어의 보안 잠금 장치 및 강제 개방 시 관제실 도어 열림 감지 알람 연동 여부 검토
3. 보관함 내부 온도 차에 의한 습기 응축 결로 방지용 환기 벤트 캡 및 히터 적용 검토</t>
  </si>
  <si>
    <t>1. 비상 전환 레버 보관 설계 개선
 - 장비 건전성 확보: 유사시 확실한 수동 선로전환 기동을 보장하기 위해 레버 보관함을 내식성 스테인리스(SUS304) 방수 함체로 구성하고 이중 시건 상세를 설계 적용하였음.</t>
  </si>
  <si>
    <t>· 차량기지 LCP 단일 전원 구성에 따른 정전 시 기지 입출고 마비 리스크를 방지하였는가?
- 차량기지 내 기지 신호 및 선로전환기를 실시간 제어하는 로컬 제어 컴퓨터(LCP)의 전원 장치가 단일 구성되어, 기지 일시 정전 시 선로 제어 기능이 즉각 차단되고 입출고 정체를 유발하는 리스크.</t>
  </si>
  <si>
    <t>1. LCP 제어 서버 하드웨어의 이중화 전원 장치(Redundant PSU) 장착 사양 대조
2. 기지 신호 전력 공급 배전반에서 LCP 랙으로 연결되는 이중 경로 전원 케이블 포설 평면도 확인
3. 상용 정전 시 LCP 연동 무정전 전원 공급 장치(UPS) 가동 지속 시간(최소 30분 이상) 설계서 검토</t>
  </si>
  <si>
    <t>1. LCP 전원 하드웨어 이중화
 - 입출고 안정성 확보: 차량기지 제어 마비를 차단하기 위해 LCP 서버에 리던던트 전원 모듈(Dual PSU)을 적용하고 단일 계통 차단 시에도 무중단 동작이 지속되도록 하였음.</t>
  </si>
  <si>
    <t>· 옥외 신호 함체 자연 환기 불량에 따른 내부 온도 상승 및 부품 소손을 방지하였는가?
- 하절기 직사광선 아래 노출되는 옥외 신호 및 전원 함체의 자연 환기구(Louver) 배치 불량으로 내부 온도가 60℃를 초과하여 핵심 신호 반도체 및 통신 장비 부품이 소손되는 리스크.</t>
  </si>
  <si>
    <t>1. 옥외 함체의 여름철 최고 외기 온도 기준 열해석 시뮬레이션 및 배기팬 풍량 계산서 확인
2. 복사열 차단을 위한 함체 이중 지붕(Double Roof) 구조 및 태양열 반사 특수 도료 적용 도면 대조
3. 함체 내부 고온 감지 센서와 관제실 원격 비상 경보(EMS) 시스템 연동 로직 검토</t>
  </si>
  <si>
    <t>1. 옥외 함체 열 차단 개선 설계
 - 기기 신뢰성 제고: 하절기 함체 과열 방지를 위해 열차단 이중 지붕 구조와 써모스탯 연동 강제 배기팬을 명시하여 동작 안전 온도를 충족하였음.</t>
  </si>
  <si>
    <t>· WAVE 무선망 다중 경로 간섭(Fading)에 따른 데이터 손실 및 우선신호 실패를 방지하였는가?
- 고밀도 도심 전파 간섭 지역 내에서 WAVE 무선 통신의 빌딩 다중 경로 간섭 및 페이딩(Fading)으로 인해 차량-교차로 제어기 간 데이터 손실률이 급증하고 우선신호 매핑에 실패하는 리스크.</t>
  </si>
  <si>
    <t>1. 도심 빌딩 밀집 구역의 WAVE 반사파 시뮬레이션 및 안테나 편파(Polarization) 특성 검토
2. 다중 경로 페이딩 상쇄를 위한 차량 다이버시티(Diversity) 수신 안테나 이중 배치 상세도 대조
3. 무선 패킷 손실 복구를 위한 전진 에러 정정(FEC, Forward Error Correction) 알고리즘 활성화 확인</t>
  </si>
  <si>
    <t>1. 무선 전송 다이버시티 설계
 - 통신 차단 방지: 빌딩 반사파에 의한 패킷 유실을 방지하기 위해 현장 제어기에 이중 편파 안테나 다이버시티 수신 방식을 명시하여 통신 감도를 상향 확보하였음.</t>
  </si>
  <si>
    <t>· 정거장 횡단보도 트램접근알림장치 외국어 음성 안내 누락에 따른 외국인 사고를 방지하였는가?
- 상가 및 주거 밀집 정거장 인근 횡단보도의 트램접근알림장치 음성 안내 시 외국어 다국어 출력이 누락되어 노선을 이용하는 외국인 및 다문화 주민이 경보를 인지하지 못하고 충돌하는 리스크.</t>
  </si>
  <si>
    <t>1. 정거장 주변 지자체 외국인 거주 및 유동 통계 인구 데이터 분석 확인
2. 음성 안내 제어반 내 다국어(한국어, 영어 병행 등) 사운드 재생 칩셋 및 펌웨어 메모리 용량 대조
3. 언어 장벽 극복을 위한 국제 표준 안전 픽토그램 보행 신호등 그래픽 노출 도면 검토</t>
  </si>
  <si>
    <t>1. 다국어 트램 접근 경보 구현
 - 외국인 안전 확보: 횡단보도 트램 경보 음성에 영어 및 주요 외국어 자동 교차 송출 기능과 국제 규격 LED 경고 판넬을 설계 도서에 보완 지정하였음.</t>
  </si>
  <si>
    <t>· 겨울철 기관사 장갑 착용 및 정전기에 따른 차상 MMI 터치스크린 오작동을 예방하였는가?
- 겨울철 건조한 대기 하에서 기관사의 두꺼운 방한 장갑 착용 또는 신체 정전기 방전이 MMI 정전식 터치 패널에 유입되어 터치 좌표가 어긋나거나 화면 제어 버튼이 오작동을 유발하는 리스크.</t>
  </si>
  <si>
    <t>1. MMI 모니터의 정전식 한계 극복을 위한 감압식(Resistive) 전환 또는 특수 산업용 글러브 터치 패널 사양 대조
2. MMI 금속 베젤 부위의 정전기 방전(ESD) 흡수용 차상 차체 접지 접합 상세 도면 확인
3. 터치스크린 전면 마비 대비 주요 비상 제어용 물리 기계식 하드웨어 버튼(푸시 버튼 등) 병행 배치 대조</t>
  </si>
  <si>
    <t>1. 차상 MMI 정전기 방지 보완
 - 운전 안전성 제고: 장갑 착용 상태에서도 확실한 터치가 가능한 산업용 고신뢰 감압식 패널을 탑재하고 전면 베젤 접지 보강 설계를 명시하여 오작동을 차단하였음.</t>
  </si>
  <si>
    <t>· 매립형 선로전환기 기계부 윤활 관리 부실 및 이물질 고착에 따른 쇄정 불량을 예방하였는가?
- 도로 상면 매립형 선로전환기의 구동 기계부 윤활 그리스(Grease) 도포 관리 불량이나 도로 흙먼지 이물질 고착으로 전환력(Throwing Force)이 떨어져 분기기가 끝까지 쇄정되지 않는 리스크.</t>
  </si>
  <si>
    <t>1. 매립 선로전환기의 기계적 전환 마찰력 한계 하중 및 모터 토크 마진 계산서 대조
2. 하절기 고온 및 동절기 저온 환경에서 점도 변화가 적은 특수 실리콘계 무보수 그리스 사양서 검토
3. 선로전환기 구동 실린더 스트로크 주기 및 전기적 토크 과부하 감지 회로 구성 도면 확인</t>
  </si>
  <si>
    <t>1. 무보수형 매립 선로전환기 사양 반영
 - 쇄정 오류 방지: 도로 환경의 특수성을 고려하여 이물질 고착을 예방하는 특수 밀폐형 무보수 실린더를 설계에 적용하고 전환력 자동 경보 센서를 보강하였음.</t>
  </si>
  <si>
    <t>· 차량 현가장치 장기 침하에 따른 차상-지상 발리스 안테나 통신 이격 한계 초과를 방지하였는가?
- 노후 트램 차량의 현가장치(Suspension) 장기 침하로 차상 발리스 안테나와 선로 노면 지상 발리스 태그 간의 수직 거리가 통신 허용 한계치(최대 이격)를 벗어나 전파 수신 불량 및 위치 소실을 초래하는 리스크.</t>
  </si>
  <si>
    <t>1. 차륜 마모 직경 감소 및 1차/2차 서스펜션 최대 압축 시의 차상 안테나 높이 변동 범위(mm) 산출서 대조
2. 차상 발리스 안테나 장착 브라켓의 상하 높이 수동 조절(장공, Slot Hole) 체결 구조 상세도 확인
3. 예상 최대 한계 이격 거리에서도 발리스 수신 신호 강도 감쇄 마진(Link Budget Margin) 시뮬레이션 검증</t>
  </si>
  <si>
    <t>1. 발리스 안테나 장착 구조 개선
 - 무선 검지 신뢰성 확보: 차량 처짐에 탄력적으로 대처하기 위해 수직 높이 미세 조절이 가능한 장착 슬롯 홀(Slot Hole) 브라켓 설계를 명시하여 수신 마진을 만족시켰음.</t>
  </si>
  <si>
    <t>· 차량기지 사령실 일시 정전 시 UPS 절체 실패로 인한 기지 내 열차 충돌 사고를 예방하였는가?
- 차량기지 종합 사령실 내 상용 한전 전원의 일시 정전 시, 신호 관제 콘솔 및 입출고 연동 제어반의 UPS가 무정전 절체에 실패하여 순간적으로 기지 내 입출고 차량 관제가 단절되고 충돌하는 리스크.</t>
  </si>
  <si>
    <t>1. 차량기지 사령실 전용 이중화 UPS의 자동 절체 무정전 시간(0ms, Online 방식) 스펙 대조
2. 일시 정전 시 기지 선로 궤도 점유 상태 정보가 보존되는 비휘발성 메모리 데이터 덤프 주기 검토
3. UPS 배터리 셀 노후화 경보 수집을 위한 배터리 모니터링 시스템(BMS) 회로 설계 도면 확인</t>
  </si>
  <si>
    <t>1. 기지 사령실 무정전 전원 공급
 - 정전 충돌 예방: 기지 사령실 전원에 무중단 순시 절체(0ms)가 보장되는 고신뢰 온라인(On-line) 이중화 UPS 설계를 적용하여 정전 시 신호 끊김을 원천 방지하였음.</t>
  </si>
  <si>
    <t>· 지중 신호 핸드홀 방수 부실로 인한 침수 결빙 및 케이블 절연 파열을 예방하였는가?
- 지상 도로변 지하에 매설되는 신호 닥트(Duct) 및 핸드홀(Hand Hole)의 관로 접합부 방수 실링 부실로 지하수 및 우수가 침투하여, 동절기 결빙 팽창 시 전선 절연 외피가 파열되고 신호 합선 및 단선이 발생하는 리스크.</t>
  </si>
  <si>
    <t>1. 지중 핸드홀 구조도의 외부 실링 방수 상세 및 저부 자갈 침투 배수층 두께 규격 대조
2. 부식성 지하수 화학 성분에 견디는 화학적 내구성 케이블 피복(PE 또는 젤 충진 외피) 적용 사양서 검토
3. 케이블 인입 관로 모서리 굴곡부의 최소 곡률 반경(Bending Radius) 확보 여부 도면 확인</t>
  </si>
  <si>
    <t>1. 지중 관로 핸드홀 결빙 예방
 - 절연 파괴 차단: 지중 통신 및 신호 핸드홀 하부에 쇄석 배수층을 두껍게 반영하고 고차폐 내화성 가요성 전선관 상세를 설계 적용하여 케이블 손상을 원천 예방하였음.</t>
  </si>
  <si>
    <t>· 차량기지 세척선 진입 신호등과 셔터 완전 개방 인터록 누락에 따른 차체 파손을 예방하였는가?
- 차량기지 내 자동 전차 세척고로 트램 진입 시, 세척고 롤러 도어가 완전히 개방되지 않은 상태에서 세척선 진입 지시 신호등이 녹색으로 현시되어 차체 전면부와 세척 설비 도어가 물리적으로 충돌하는 리스크.</t>
  </si>
  <si>
    <t>1. 자동 세척기 셔터 완전 개방 검지용 연동 리미트 스위치의 하드와이어드(Hard-wired) 접점 신호 설계 확인
2. 진입 지시 신호등과 세척 제어 PLC 간의 안전 인터록(Interlock) 회로 작동 로직 및 시퀀스 다이어그램 대조
3. 오진입 시 롤러 도어 상승 강제 구동 및 차량 진입 비상 정지(Trip) 트리거 회로 구성 검토</t>
  </si>
  <si>
    <t>1. 세척기-진입 신호등 인터록 설계
 - 차량 기스 방지: 세척기 셔터가 100% 개방 완료되었을 때만 녹색 진입 신호가 활성화되도록 기계 분야 리미트 접점과의 이중 인터록 신호 회로를 완성 설계하였음.</t>
  </si>
  <si>
    <t>· 차축검지기 외함 독립 접지 누락으로 인한 레일 노이즈 역류 및 허위 점유 검지를 방지하였는가?
- 본선 레일에 결합하는 차축검지기 센서 유닛 및 외함의 지상 독립 접지 상세 설계 누락으로, 트램 추진 전류 등 레일 노이즈 전류가 외함을 타고 센서 회로로 역류하여 허위 궤도 점유 신호를 띄우는 리스크.</t>
  </si>
  <si>
    <t>1. 차축검지기 센서 유닛 외함에 결속되는 노이즈 방전용 접지 동선(최소 6㎟ 이상) 연결 상세도 확인
2. 센서 외함용 독립 지중 접지봉 설치 위치 및 목표 접지 저항치(10.0Ω 이하) 검토
3. 레일과 센서 장착부 간의 전위차 차단을 위한 절연 부싱(Bushing) 적용 스펙 대조</t>
  </si>
  <si>
    <t>1. 차축검지기 독립 접지 설계
 - 노이즈 오검지 방지: 레일 노이즈 전류에 의한 기기 오동작을 예방하고자 차축검지기 전용 접지 회로 상세와 절연 부싱 적용을 설계 도서에 반영하였음.</t>
  </si>
  <si>
    <t>· 현장 신호제어기 가온 히터 돌입 전류 과다로 인한 메인 차단기 트립 및 소등을 방지하였는가?
- 도로변 현장 신호제어기 전원 공급용 차단기(MCCB) 정격 용량 산정 오류로, 겨울철 가온 히터 기동 시 발생하는 순간적인 시동 돌입 전류에 차단기가 트립되어 해당 구역 교차로 신호등이 전면 소등되는 리스크.</t>
  </si>
  <si>
    <t>1. 동절기 현장 신호제어기 함체 내 전열 히터 및 제어 카드 전체의 최대 피크 돌입 전류 계산서 대조
2. 전원 배전반 메인 차단기의 기동 지연 특성 곡선(D-Curve 등 모터 기동용 특성) 선정 확인
3. 옥외 장거리 전원선의 허용 전류 및 전압강하 방지를 위한 전선 굵기 규격 대조</t>
  </si>
  <si>
    <t>1. 신호제어기 차단기 스펙 최적화
 - 소등 사고 예방: 히터 및 장비 기동 시의 돌입전류를 반영하여 현장 배전반 배선용차단기(MCCB) 용량을 상향하고 D-Curve 특성 제품을 설계 적용하였음.</t>
  </si>
  <si>
    <t>· 곡선 구간 지상 WAVE 기지국 안테나 지향 각도 조절 오류로 인한 우선신호 통신 단절을 예방하였는가?
- 본선 곡선 궤도 및 고가교 통과 구간에서 지상 WAVE 기지국 안테나의 지향 각도 조절 폭 오류로 인해 전파 수신 세기(RSRP)가 급감하고, 결과적으로 차량-지상 간 우선신호 데이터 패킷 전송이 차단되는 리스크.</t>
  </si>
  <si>
    <t>1. 급곡선 궤도 구간 내 WAVE 통신 커버리지 경계 지점의 전계 강도 감쇄 시뮬레이션 결과 확인
2. WAVE 지상 무선국 안테나 브라켓의 상하/좌우(Tilt/Pan) 정밀 지향 각도 조절 마운트 설계 사양 검토
3. 도심 곡선 구간 건조물에 의한 노선 전파 방해 음영 지대 검사 보고서 대조</t>
  </si>
  <si>
    <t>1. WAVE 기지국 지향각 미세조정 반영
 - 무선 품질 신뢰성 확보: 곡선부 음영을 최소화하기 위해 상하좌우 각도 조절 마운트 상세를 기지국 설계에 반영하고 전파 중첩 영역을 정밀하게 확보하였음.</t>
  </si>
  <si>
    <t>· 정거장 지향성 알림 스피커 야간 고출력 방송에 따른 인근 주거지 야간 소음 민원을 방지하였는가?
- 정거장 입구 횡단보도의 지향성 접근 알림 스피커 볼륨이 야간(22시 이후)에도 배경 차량 소음이 현격히 줄어든 상태에서 주간 고출력 볼륨으로 상시 유지되어 인접 아파트 주민의 극심한 환경 민원을 유발하는 리스크.</t>
  </si>
  <si>
    <t>1. 노선 인접 아파트 및 주거 시설 부근 야간 배경 도로 소음 저하 레벨(dB) 측정 및 예측서 대조
2. 시간대별 또는 주변 소음 연동형 스피커 볼륨 자동 감쇄 제어 모듈(Time-schedule volume attenuator) 적용 도면 확인
3. 환경 법령상 야간 주거 지역 생활 소음 규제 한도(dB) 부합 여부 검토</t>
  </si>
  <si>
    <t>1. 야간 경보 음량 자동 스케줄 제어
 - 소음 민원 예방: 야간 시간대 인접 공동주택가 주민의 소음 민원을 방지하기 위해 22시 이후 스피커 음량을 자동으로 10dB 이상 낮추는 스케줄링 감쇄 장치를 반영 설계하였음.</t>
  </si>
  <si>
    <t>· 차상 MMI 팝업 알림 화면 설계 오류로 인한 기관사 운전 속도계 시야 가림 현상을 방지하였는가?
- 차상 신호장치 MMI 모니터 상의 돌발 메시지나 임시 서행 속도 팝업 창이 운행 속도 지시계 등 주요 안전 지표를 완전히 덮도록 소프트웨어 그래픽 레이어가 잘못 설계되어 기관사의 운전 시야를 방해하는 리스크.</t>
  </si>
  <si>
    <t>1. MMI 화면 UI/UX 레이아웃 설계상 비상 알림 팝업 창의 점유 크기 한계치(전체 화면의 20% 이하) 대조
2. 임시 경고 팝업이 표출될 때에도 현재 속도 지시계(Speedometer)가 최상위(Top) 노출되는 레이어 구조 도면 확인
3. 단순 주의 팝업 소거용 기관사 수동 입력 인지 스위치 설계 유무 검토</t>
  </si>
  <si>
    <t>1. MMI 화면 레이아웃 레이어 분리
 - 운전 안전성 제고: 비상 팝업 발생 시에도 주요 속도 지시계와 신호등 지시 영역이 가려지지 않도록 화면 레이아웃을 논리적으로 분리하고 상시 노출되도록 설계하였음.</t>
  </si>
  <si>
    <t>· 선로전환기 비상 쇄정 핀 보관함 진동 파손 및 유실로 인한 선로 강제 쇄정 불능 리스크를 방지하였는가?
- 본선 선로변 분기기 비상 전환 후 선로를 강제 고정하는 쇄정 핀의 보관함 걸쇠 부위가 열차 통과 진동 피로 균열로 훼손되어, 쇄정 핀이 보관함에서 이탈 유실되고 비상 선로 고정 전환이 불가해지는 리스크.</t>
  </si>
  <si>
    <t>1. 열차 충격 진동이 상시 작용하는 철로변 고정 금물의 내진동 스펙 및 내부식성 고강도 재질(SUS316 등) 규격 대조
2. 쇄정 핀 보관함 도어의 강제 열림 또는 파손을 감지하는 리드(Reed) 스위치 원격 감시 연동 설계 검토
3. 핀의 완전 유실 방지를 위한 핀 몸체 고정용 와이어 스트랩 강도 하중 한계치 확인</t>
  </si>
  <si>
    <t>1. 쇄정 핀 보관함 구조 보강
 - 비상 대처 성능 강화: 철로변 강도 높은 미세 진동을 견딜 수 있도록 쇄정 핀 보관함을 일체형 주물 금구 구조로 지정하고, 이탈 방지용 스테인리스 스틸 와이어를 적용 설계하였음.</t>
  </si>
  <si>
    <t>· 자갈 궤도 비산 자갈 충격에 따른 차상 발리스 안테나 하부 덮개 파손 및 전파 왜곡을 예방하였는가?
- 일부 자갈 본선 궤도 구간 주행 시 열차 고속 주행 바람에 튕겨 올라오는 비산 자갈 충격(Ballast Flying)으로 차상 발리스 안테나 고정 지그의 하부 보호 덮개가 찢어지고 안테나 전파 결합 패턴 왜곡 및 오검출을 유발하는 리스크.</t>
  </si>
  <si>
    <t>1. 차상 발리스 안테나 하부 충격 보호용 특수 폴리카보네이트 또는 엔지니어링 고강도 플라스틱 가드 플레이트 두께 규격 대조
2. 비금속 재질 하부 보호 가드 삽입에 따른 안테나 방사 주파수 감쇄 영향성(0.5dB 이하) 시험 성적서 확인
3. 보호 가드 고정용 체결 볼트의 자갈 타격 전단 강도 마진 한계치 분석</t>
  </si>
  <si>
    <t>1. 발리스 안테나 가드 플레이트 반영
 - 안테나 훼손 방지: 튕김 자갈 등의 기계적 타격으로부터 안테나를 보호하도록 주파수 감쇄가 없는 강화 우레탄 재질의 물리 보호 커버를 설계 도면에 추가 반영하였음.</t>
  </si>
  <si>
    <t>· 사령실 랙 장비 고조파 노이즈 간섭에 따른 무선 입력 장치 제어 지연 및 오작동을 방지하였는가?
- 차량기지 종합 사령실 내 다수의 고전력 통신 랙 장비 및 서버에서 방출되는 고조파 복사 노이즈로 인해 사령원 무선 입력 장치(마우스, 키보드)의 응답 지연이나 수신 끊김 현상이 발생하여 긴급 제어 명령 시 치명적 오류를 유발하는 리스크.</t>
  </si>
  <si>
    <t>1. 사령실 내 관제용 무선 입력 장치의 통신 전용 주파수 대역 및 간섭 회피형 암호화 사양 대조
2. 랙 장비 케이싱의 고조파 차폐 실딩(Shielding) 메쉬 구성 및 콘솔 유선 연동 백업 대안 장치 배치 도면 확인
3. 무선 장치 통신 불량 방지를 위한 컴퓨터 콘솔 데스크 전용 접지판(Ground Plate) 설계 여부 대조</t>
  </si>
  <si>
    <t>1. 사령실 입력 장치 유선화 적용
 - 사령 기능 신뢰성 확보: 무선 주파수 노이즈에 의한 지령 콘솔 입력 지연을 차단하고자 사령 콘솔에 사용되는 모든 입력 장치를 유선 실드 케이블 제품으로 강제 지정하였음.</t>
  </si>
  <si>
    <t>· 세척선 출구선 차축검지기 상부 낙수 체류에 따른 허위 점유 오검지 리스크를 방지하였는가?
- 차량기지 세척선을 통과한 전동차에서 낙하한 물방울이 세척고 출구선 측 차축검지기 센서 헤드가 설치된 레일 표면에 다량 체류하여, 센서 간 자기장 신호 전파에 교란을 주고 허위 선로 점유 신호를 띄우는 리스크.</t>
  </si>
  <si>
    <t>1. 세척고 출구선 내 차축검지기 설치 위치와 전동차 물 낙하 예상 범위 간 안전 이격 거리 확보 설계 대조
2. 물 고임 방지를 위한 레일 센서 설치부 하단 배수 그레이팅 및 배수 횡단 구배 도면 확인
3. 차축검지기의 수분 감지 감도 오차 보정용 필터링 소프트웨어 펌웨어 탑재 사양 확인</t>
  </si>
  <si>
    <t>1. 세척선 차축검지기 수분 오류 방지
 - 운행 신뢰성 보장: 세척선 출구부 레일 주변에 급배수 경사 그레이팅을 설치하고, 수분에 강한 초고주파 비접촉식 차축검지기 센서 유닛을 채택 적용하여 오검지를 차단하였음.</t>
  </si>
  <si>
    <t>· 정거장 캐노피의 기둥 마감재(알루미늄 판) 반사에 따른 지상 신호기 착오 인식 리스크를 방지하기 위해 관련 기준 준수 및 설계 적정성을 검토하였는가?
- 정거장 캐노피의 기둥 마감재(알루미늄 판) 반사에 따른 지상 신호기 착오 인식으로 인해 안전사고 및 추가 비용을 유발하는 리스크.</t>
  </si>
  <si>
    <t>정거장 진입부 지상 신호기(종속 신호기 포함)와 정거장 캐노피 기둥(알루미늄 쉬트 마감재) 간의 이격 거리별 가시선(L.O.S, Line of Sight) 분석 및 주야간 시간대별 태양광/조명 반사 시뮬레이션(반사율 10% 이하 기준)에 따른 기관사 신호 오인식 가능성 및 신호기 시인성 한계 거리(최소 50m 이상) 확보 여부 검토</t>
  </si>
  <si>
    <t>정거장 캐노피 기둥 알루미늄 판 마감 표면을 고반사 유광 도장에서 반사율이 최소화된 무광 불소수지 도장(Matt Fluoropolymer Coating, 광택도 5% 미만 스펙 지정)으로 변경 적용하고, 신호기 배면에 고대비 무광 흑색 배판(Black Backplate, 폭 150mm 이상 차광막)을 설치하여 태양광 직사 및 주변 반사광에 의한 지상 신호기 착오 인식 리스크를 원천 차단</t>
  </si>
  <si>
    <t>· 특화정거장 신호기계실 협소로 열차 신호 프로세서 제어 랙 및 무정전 전원 공급 장치 설치 실패 리스크를 방지하기 위해 관련 기준 준수 및 설계 적정성을 검토하였는가?
- 특화정거장 신호기계실 협소로 열차 신호 프로세서 제어 랙 및 무정전 전원 공급 장치 설치 실패로 인해 안전사고 및 추가 비용을 유발하는 리스크.</t>
  </si>
  <si>
    <t>정거장 신호기계실(Signal Equipment Room) 장비 배치도 상 신호 제어 랙, 전송반 및 이중화 UPS 배치의 유지보수 통로 공간(전면 1.2m, 후면 0.8m 이상 확보) 및 소요 면적(최소 31.5㎡ 이상) 도면 정합성 검토</t>
  </si>
  <si>
    <t>정거장 신호기계실 평면 구획 면적을 최소 3.5m x 9.0m로 확대하고, 강전/약전 신호 케이블 간 전자기 유도 간섭 방지를 위해 포설용 격리 장치(Partition)를 탑재한 폭 300mm 메쉬형 강제 트레이를 별도로 분리 설계 반영</t>
  </si>
  <si>
    <t>· 궤도 매립선로 내부 차프(Chafe) 마찰 진동에 따른 신호 루프 케이블 피복 파열 및 신호 끊김 리스크를 방지하기 위해 관련 기준 준수 및 설계 적정성을 검토하였는가?
- 궤도 매립선로 내부 차프(Chafe) 마찰 진동에 따른 신호 루프 케이블 피복 파열 및 신호 끊김으로 인해 안전사고 및 추가 비용을 유발하는 리스크.</t>
  </si>
  <si>
    <t>레일 가드홈 및 매립선로 단면 상세도상 신호 루프 코일 배선용 트러프(Cable Trough)의 깊이 규격(100mm 이상) 및 궤도 구조물 통과 시 신축 거동에 따른 물리적 마찰 안전율 대조 검토</t>
  </si>
  <si>
    <t>신호 루프 케이블 외경에 고탄성 내마모성 합성고무(EPDM) 몰딩 프로파일을 설계하고, 레일 신축 조인트 통과부는 열수축형 실리콘 튜브 및 완충용 방진 에폭시 수지(Epoxy Gel) 충진 상세 시공도를 도면에 추가 반영</t>
  </si>
  <si>
    <t>· 주요 도로 교차로 구간 교통 신호 연동 장치(LCE) 낙뢰 시 전원 단절로 인한 트램 통행 불능 리스크를 방지하기 위해 관련 기준 준수 및 설계 적정성을 검토하였는가?
- 주요 도로 교차로 구간 교통 신호 연동 장치(LCE) 낙뢰 시 전원 단절로 인한 트램 통행 불능으로 인해 안전사고 및 추가 비용을 유발하는 리스크.</t>
  </si>
  <si>
    <t>도로 교차로 노변 신호제어 함체 내 전원 인입 계통의 낙뢰 전압 영향 평가 및 이중 방어용 서지 보호 장치(SPD, Surge Protective Device)의 전압 보호 레벨(Up=1.5kV 이하) 적정성 검토</t>
  </si>
  <si>
    <t>함체 내부 전원단에 정격 방전 전류 20kA(8/20μs) 성능의 신호 전용 1종 서지보호기(SPD)를 이중 설계하고, 접지 극 봉을 신설하여 접지 저항 10옴 이하의 단독 공통 접지망 시공 계획을 도면에 명시</t>
  </si>
  <si>
    <t>· 분기기 토글 전환기 기어 마모 시 레일 불완전 밀착에 따른 신호 오류 및 열차 이선 리스크를 방지하기 위해 관련 기준 준수 및 설계 적정성을 검토하였는가?
- 분기기 토글 전환기 기어 마모 시 레일 불완전 밀착에 따른 신호 오류 및 열차 이선으로 인해 안전사고 및 추가 비용을 유발하는 리스크.</t>
  </si>
  <si>
    <t>전동식 선로 전환기의 전환 오차 감지 한계치(밀착 감지 오차 1.5mm 미만 작동 기준) 및 신호 연동 회로 작동 논리표(Interlocking Logic Table) 상의 정합성 대조 검토</t>
  </si>
  <si>
    <t>전환기 토글 장치 내부에 완전 밀착을 확인하는 기계적 잠금 장치와 정밀 마이크로 스위치를 이중 설계하고, 레일 불완전 밀착 시 신호 관제소(LCC)에 경보 출력 및 비상 전단 차단 릴레이 연동 설계 반영</t>
  </si>
  <si>
    <t>· 교량 신축 Joint 거동에 의한 신호 광케이블 처짐 시 광 감쇄 현상으로 인한 열차 관제 단절 리스크를 방지하기 위해 관련 기준 준수 및 설계 적정성을 검토하였는가?
- 교량 신축 Joint 거동에 의한 신호 광케이블 처짐 시 광 감쇄 현상으로 인한 열차 관제 단절로 인해 안전사고 및 추가 비용을 유발하는 리스크.</t>
  </si>
  <si>
    <t>교량 신축 이음(Expansion Joint, 설계 신축량 ±100mm 기준) 통과 구간의 신호 광케이블 수직 처짐 계산서 및 도관 내 여유장(Slack Loop, 300mm 이상) 상세 규격 확인</t>
  </si>
  <si>
    <t>신축 이음부의 광케이블용 보호관을 온도 팽창 추종형 금속 가요 전선관(Flexible Conduit) 및 슬라이딩 가이드 링 상세 구조로 설계하여 광케이블 반경이 최소 굽힘 반경(외경의 20배 이상)을 항시 유지하도록 설계 반영</t>
  </si>
  <si>
    <t>· 차량기지 입출고 선로 신호 폐색 구간 분할 오류로 인한 정거장 인근 열차 병목 리스크를 방지하기 위해 관련 기준 준수 및 설계 적정성을 검토하였는가?
- 차량기지 입출고 선로 신호 폐색 구간 분할 오류로 인한 정거장 인근 열차 병목으로 인해 안전사고 및 추가 비용을 유발하는 리스크.</t>
  </si>
  <si>
    <t>· 신호기 제어 배선 함체의 결로 현상에 따른 신호 중계 릴레이 고착 및 신호 오인 유발 리스크를 방지하기 위해 관련 기준 준수 및 설계 적정성을 검토하였는가?
- 신호기 제어 배선 함체의 결로 현상에 따른 신호 중계 릴레이 고착 및 신호 오인 유발로 인해 안전사고 및 추가 비용을 유발하는 리스크.</t>
  </si>
  <si>
    <t>· 교차로 보행자 무단 횡단 시 경보 장치 연동 지연으로 인한 트램 보행자 충돌 사고 리스크를 방지하기 위해 관련 기준 준수 및 설계 적정성을 검토하였는가?
- 교차로 보행자 무단 횡단 시 경보 장치 연동 지연으로 인한 트램 보행자 충돌 사고로 인해 안전사고 및 추가 비용을 유발하는 리스크.</t>
  </si>
  <si>
    <t>· 곡선 승강장 확폭 구간 진입 시 동적 한계 이탈로 인한 신호 안테나(발신기) 파손 리스크를 방지하기 위해 관련 기준 준수 및 설계 적정성을 검토하였는가?
- 곡선 승강장 확폭 구간 진입 시 동적 한계 이탈로 인한 신호 안테나(발신기) 파손으로 인해 안전사고 및 추가 비용을 유발하는 리스크.</t>
  </si>
  <si>
    <t>· 차량기지 시험선 내 열차 고속 주행 시험 시 주행 차량 신호 연속성 두절 리스크를 방지하기 위해 관련 기준 준수 및 설계 적정성을 검토하였는가?
- 차량기지 시험선 내 열차 고속 주행 시험 시 주행 차량 신호 연속성 두절로 인해 안전사고 및 추가 비용을 유발하는 리스크.</t>
  </si>
  <si>
    <t>· 궤도 강성 변이 구간 지반 부등 침하로 인한 궤도 내 지상 신호 제어기 수평 균형 상실 및 에러 리스크를 방지하기 위해 관련 기준 준수 및 설계 적정성을 검토하였는가?
- 궤도 강성 변이 구간 지반 부등 침하로 인한 궤도 내 지상 신호 제어기 수평 균형 상실 및 에러로 인해 안전사고 및 추가 비용을 유발하는 리스크.</t>
  </si>
  <si>
    <t>· 지상 변전소(114 등) 신호 기계실 내부 제어반 발열 누적으로 인한 신호 전송 기판 파열 리스크를 방지하기 위해 관련 기준 준수 및 설계 적정성을 검토하였는가?
- 지상 변전소(114 등) 신호 기계실 내부 제어반 발열 누적으로 인한 신호 전송 기판 파열로 인해 안전사고 및 추가 비용을 유발하는 리스크.</t>
  </si>
  <si>
    <t>· 궤도 분기점 부의 철근 자성 잔류로 인한 지상 루프 코일 신호 간섭 및 감지 에러 리스크를 방지하기 위해 관련 기준 준수 및 설계 적정성을 검토하였는가?
- 궤도 분기점 부의 철근 자성 잔류로 인한 지상 루프 코일 신호 간섭 및 감지 에러로 인해 안전사고 및 추가 비용을 유발하는 리스크.</t>
  </si>
  <si>
    <t>· 교차로 노변 신호 함체 내 전원 차단 시 트램 신호 제어 불능에 따른 일반 차량 충돌 사고 리스크를 방지하기 위해 관련 기준 준수 및 설계 적정성을 검토하였는가?
- 교차로 노변 신호 함체 내 전원 차단 시 트램 신호 제어 불능에 따른 일반 차량 충돌 사고로 인해 안전사고 및 추가 비용을 유발하는 리스크.</t>
  </si>
  <si>
    <t>· 교량 처짐으로 인한 교량 받침부 변위 발생 시 교각 부근 지상 비콘(Beacon) 수평 정렬 어긋남 에러 리스크를 방지하기 위해 관련 기준 준수 및 설계 적정성을 검토하였는가?
- 교량 처짐으로 인한 교량 받침부 변위 발생 시 교각 부근 지상 비콘(Beacon) 수평 정렬 어긋남 에러로 인해 안전사고 및 추가 비용을 유발하는 리스크.</t>
  </si>
  <si>
    <t>· 차량기지 입출고선 구간 내 전차선 아크 방전에 따른 전자기 펄스(EMP) 노이즈의 신호 전송망 간섭 리스크를 방지하기 위해 관련 기준 준수 및 설계 적정성을 검토하였는가?
- 차량기지 입출고선 구간 내 전차선 아크 방전에 따른 전자기 펄스(EMP) 노이즈의 신호 전송망 간섭으로 인해 안전사고 및 추가 비용을 유발하는 리스크.</t>
  </si>
  <si>
    <t>· 정거장 진입부 궤도회로 접속 단자 내 침수로 인한 열차 위치 오검지 및 관제 상실 리스크를 방지하기 위해 관련 기준 준수 및 설계 적정성을 검토하였는가?
- 정거장 진입부 궤도회로 접속 단자 내 침수로 인한 열차 위치 오검지 및 관제 상실로 인해 안전사고 및 추가 비용을 유발하는 리스크.</t>
  </si>
  <si>
    <t>· 소방 배관 부식으로 인한 배관 누수 및 스프링클러 헤드 폐쇄 리스크를 방지하였는가?
- 소방 배관 자재 설계 시 일반 비도금 탄소강관을 선정함에 따라 관 내부 경년 열화 부식 스케일이 퇴적되어 배관 핀홀 누수가 발생하고 스프링클러 살수 헤드가 막혀 화재 진압에 실패하는 리스크.</t>
  </si>
  <si>
    <t>· 승강기 비상 통화선 유선 단선으로 인한 재난 시 갇힘 승객 통신 두절 리스크를 방지하였는가?
- 화재 및 지진 등 비상 재난 시 엘리베이터 수직로 내부 비상 인터폰 통화 회선이 유선 단선됨에 따라 카 내부에 갇힌 승객이 구동실 및 방재실 외부와 연동 통화가 불가능해지는 리스크.</t>
  </si>
  <si>
    <t>· 옥외 소방 배관 동결 방지 설계 누락으로 인한 겨울철 동파 및 소화 불능 리스크를 방지하였는가?
- 겨울철 대기 노출된 옥외 소방 전용 입상관 및 밸브류에 동파 방지용 히팅 메탈 또는 보온재 설계 적용 누락으로 소방관 내 충수된 유수가 빙결 팽창하여 배관 파손 및 화재 대비 공백이 생기는 리스크.</t>
  </si>
  <si>
    <t>· 이중 난방 설계에 따른 동절기 전기 소비량 급증 및 운영 예산 초과 리스크를 방지하였는가?
- 관리동 침실 난방을 위해 대류용 GHP 에어컨과 전도용 전기 난방 필름 공법을 병행 중복 설계함에 따라, 전기 난방 필름의 대용량 상시 소비 전력으로 인해 연간 전력비 운영 예산이 과다 청구되는 리스크.</t>
  </si>
  <si>
    <t>· 가스인입 설계 절차 및 신고 누락으로 인한 가스히트펌프(GHP) 열원 가동 지연 리스크를 방지하였는가?
- 차량기지 종합관리동 및 검수동 냉난방 열원으로 가스히트펌프(GHP)를 설치하나, 도시가스 공급 관로 인입 인허가 및 고압가스 안전관리법 상 사용 신고가 설계 공정에서 누락되어 준공 시 열원 가동이 지연되는 리스크.</t>
  </si>
  <si>
    <t>· 기계실 및 신호통신실 환기 용량 부족으로 인한 장비 과열 및 오작동 리스크를 방지하였는가?
- 변전 전기실 및 신호·통신 기계실 내부 통신 장비의 고온 발열량 대비 환기용 1종 급배기 설비 용량이 미달하여 실내 온도가 한계치(35℃)를 초과함에 따라 전자 장비 열화 및 트램 신호 제어 오작동 리스크.</t>
  </si>
  <si>
    <t>소방</t>
  </si>
  <si>
    <t>· 상층부 급수 압력 부족으로 인한 용수 공급 불안정 및 소화용수 확보 미달 리스크를 방지하였는가?
- 종합관리동 급수 방식을 상수도 직결 방식으로 계획함에 따라 상수 배관의 정수압 저하 시 상 2~3층 이상 구역의 급수 압력이 부족하여 상시 용수 공급이 불안정하고 비상 소화 급수가 지연되는 리스크.</t>
  </si>
  <si>
    <t>· 저수조 내 용수 체류 시간 과다로 인한 수질 오염 및 음용수 기준 미달 리스크를 방지하였는가?
- 종합관리동 지하 저수조의 유효 용량이 과다 설계되어 물의 장기 정체로 인한 잔류염소 소멸로 대장균 등 균류 번식 및 음용수 기준 수질 저하 리스크.</t>
  </si>
  <si>
    <t>· 일반형 위생기구 적용에 따른 과도한 수도 용수 소비 및 수자원 목표 저촉 리스크를 방지하였는가?
- 차량기지 내 화장실 설계 시 일반형 위생기구를 채택하여 친환경 건축물 인증 및 수도법 상 의무 절수 등급(양변기 일회 6L 이하 등) 기준을 미달함에 따라 용수 사용량이 과다해지는 리스크.</t>
  </si>
  <si>
    <t>· 무기계실 승강기 정전 시 수동 구출 장치 조작 불가 및 승객 고립 리스크를 방지하였는가?
- 기지 내 무기계실(MRL) 타입 승강기 설치 시 정전 상황에 대비한 자동 구출 운전 장치(ARD) 용량 부족 또는 제어실 수동 개방 레버 조작 설계 오류로 비상 시 승객이 장시간 갇히는 안전사고 리스크.</t>
  </si>
  <si>
    <t>· 자동제어와 타 설비 간 통신 프로토콜 불일치로 인한 통합 감시 불능 리스크를 방지하였는가?
- 기계 자동제어 장치(DDC)의 전송 프로토콜(BACnet/IP 등)이 연동 대상인 타 공종 설비(수배전반, 가스 소화, 전력 미터 등)의 모드버스(Modbus) 또는 LonWorks 프로토콜과 호환되지 않아 감시반 통합 제어가 불가한 리스크.</t>
  </si>
  <si>
    <t>· 소방 설비의 화재안전기준 및 내진 설계 미달로 인한 인허가 반려 리스크를 방지하였는가?
- 종합관리동 및 검수동 내 소방 전용 가압 펌프, 배관 흔들림 방지 버팀대 및 청정 소화 가스 설비가 현행 화재안전기술기준(NFTC) 및 소방 내진 설계 고시 기준에 미달하여 준공 필증 획득이 거부되는 리스크.</t>
  </si>
  <si>
    <t>· 검수동 내 냉방 설비 용량 미달로 인한 하절기 정비원 열사병 발생 리스크를 방지하였는가?
- 층고가 높고 개방 구역이 넓은 검수동 정비고 내부에 이동식 에어컨 또는 부분 국소 냉방 장치만 배치하여 하절기 실내 온도가 35℃를 넘어가 정비 요원의 전열 탈진 및 안전사고 리스크.</t>
  </si>
  <si>
    <t>· 주방 환기량 밸런스 오류로 인한 식당 조리 악취 및 유증기 실내 확산 리스크를 방지하였는가?
- 기지 구내식당 주방 환기 설계 시 배기 후드 배 풍량이 공급 급기량 대비 부족하여 주방 내부 음압(부압) 유지가 불가함에 따라 음식 조리 연기 및 조리 유증기가 복도를 거쳐 침실까지 확산되는 리스크.</t>
  </si>
  <si>
    <t>· 도장 작업 등 유해가스 발생 구역 내 국소배기 누락으로 인한 작업 환경 오염 리스크를 방지하였는가?
- 차량기지 도장고 및 배터리실 등 유독 가스/분진이 유발되는 정비 공정에 자연환기 방식을 주로 채택하여, 작업 시 화학 유증기 농도가 법적 허용치를 초과하여 작업자 중독 안전사고 리스크.</t>
  </si>
  <si>
    <t>· 온수기 용량 산정 부족으로 인한 교대 근무 시간대 온수 끊김 및 민원 발생 리스크를 방지하였는가?
- 종합관리동 저탕식 전기온수기 용량 산정 시 교대 운행을 마친 승무원들의 동시 샤워 피크 사용량(1인당 약 50~60L 기준)을 고려하지 않아 온수 공급 온도 급강하로 인한 민원 발생 리스크.</t>
  </si>
  <si>
    <t>· 기지 건물 내 환기 횟수 부족으로 인한 실내 공기질 기준 저촉 리스크를 방지하였는가?
- 관리동 내부 사무실 및 휴게실의 상시 재실 밀도 대비 환기 장치 급기 공급량이 부족하여 이산화탄소(CO2) 농도가 법적 기준(1,000ppm)을 초과함에 따라 실내 공기질 불량 지적 리스크.</t>
  </si>
  <si>
    <t>· 변전 설비 발열 대비 환기량 부족으로 인한 변전실 온도 상승 및 절연 성능 저하 리스크를 방지하였는가?
- 주요 변전소 내 변압기 및 정류장비의 최대 상시 발열량에 대비하여 환기 송풍기의 강제 배기 풍량이 부족하게 설계되어 하절기 실실 온도가 40℃를 초과하여 변전 설비 수명 단축 및 오작동 리스크.</t>
  </si>
  <si>
    <t>· 화장실 배기 풍량 부족 및 역류방지 댐퍼 누락으로 인한 악취 실내 누출 리스크를 방지하였는가?
- 종합관리동 공용 화장실 환기를 3종 환기(강제 배기만)로 적용하면서 배기 팬의 정압 부족 또는 배관 역류방지 댐퍼(MD) 누락으로 복도 및 사무 구역으로 배관 악취가 확산되는 리스크.</t>
  </si>
  <si>
    <t>· 기계 장비실 폐열 회수 장치 누락으로 인한 에너지 절감 기회 유실 리스크를 방지하였는가?
- 차량기지 전기실 및 기계실 내부 장비에서 방출되는 상시 온수 폐열 또는 공기열을 동절기 난방 및 온수 보일러 예열원으로 재활용하는 에너지 회수 시스템 설계 검토 누락으로 에너지 비용 절감 기회를 손실하는 리스크.</t>
  </si>
  <si>
    <t>· 원격검침 기기 간 통신 규격 불일치로 인한 에너지 데이터 통합 감시 불가 리스크를 방지하였는가?
- 기지 내 수도, 도시가스 및 전력 사용량 원격 검침용 디지털 계량기의 출력 통신 규격이 상이(RS-485 Modbus, M-Bus, 지그비 등)하여 검침 통합 서버에서 상호 연동 연산이 불가한 리스크.</t>
  </si>
  <si>
    <t>· 연결송수구 설치 위치 오류로 인한 소방차 진입 장해 및 소방대 송수 작업 지연 리스크를 방지하였는가?
- 종합관리동 및 검수동 소화설비용 연결송수구가 소방 도로변으로부터 이격되거나 장애물로 차단된 위치에 계획되어 화재 시 소방차 접근 및 소화용수 송수 작업 지연 리스크.</t>
  </si>
  <si>
    <t>· 최신 화재안전기준 개정 반영 누락으로 인한 소방설비 규격 저촉 및 심의 반려 리스크를 방지하였는가?
- 기지 및 역사 소방 설계 시 현행 국가 화재안전기술기준(NFTC)의 최근 개정 고시 내용 반영을 누락하여 소방 성능 검사 부적합 판정 및 건축 인허가 반려 리스크.</t>
  </si>
  <si>
    <t>· 매립형 소방 설비 내진 구조 미흡으로 인한 지진 시 배관 접합부 파손 및 누수 리스크를 방지하였는가?
- 종합관리동 및 검수동 내 옥내소화전 등 소방 설비를 콘크리트 또는 조적 벽체에 매립 구조로 설치 시, 지진 진동에 의한 변위 흡수 완충재 설계가 제외되어 접합 배관 균열 및 소화수 누수 유발 리스크.</t>
  </si>
  <si>
    <t>· 기계실 저수조 및 가압 펌프의 소음과 진동 전달로 인한 인접실 환경 악화 리스크를 방지하였는가?
- 급수 가압용 부스터 펌프 및 저수조 주변 배관의 방진·방음 설계 불량으로 기계 장비 기동 시의 진동성 고주파 소음이 상부층 종합관리동 사무실로 전달되어 근무 환경을 저해하는 리스크.</t>
  </si>
  <si>
    <t>· 엘리베이터 승강로 및 피트 유효 규격 부족으로 인한 안전검사 반려 및 재시공 리스크를 방지하였는가?
- 기지 내 무기계실(MRL) 승강기 설치 계획 시 구동기 배치를 위한 승강로 최상부 안전 높이(Overhead) 또는 최하부 피트(Pit) 깊이가 법정 안전 기준에 미달하여 완성 검사 불합격 및 기초 골조를 재시공하는 리스크.</t>
  </si>
  <si>
    <t>· 대용량 화물 승강기 기동 충격하중으로 인한 피트 기초 균열 및 성능 저하 리스크를 방지하였는가?
- 차량기지 검수동 내 대용량 화물용 엘리베이터(12톤급) 운행 시 발생하는 수직 집중 하중 및 시동 충격 진동이 승강로 피트 하부 기초에 과적 전달되어 기초 슬래브 균열 및 레일 지지 프레임 변형을 유발하는 리스크.</t>
  </si>
  <si>
    <t>· 중앙 감시반 통신 두절 시 로컬 제어 불능으로 인한 전체 설비 마비 리스크를 방지하였는가?
- 중앙 감시 서버와 현장 DDC(직접디지털제어기) 간 개방형 통신 프로토콜 전송망 장해 시 로컬 단독 운전 알고리즘 설계 오류로 기지 내 냉난방 공조 및 환기 펌프 기동 제어가 전체 중단되는 리스크.</t>
  </si>
  <si>
    <t>· 방재 및 공조 설비 연동 불량으로 인한 비상 시 유독가스 피난 경로 유입 리스크를 방지하였는가?
- 화재 감지 시 기계실 공조기 및 환기 팬 차단 제어 연동 지연으로 급기용 송풍기가 계속 기동하여 화재 구역의 연기와 유독가스를 비상 대피 통로로 확산 및 유입시키는 리스크.</t>
  </si>
  <si>
    <t>· 변전소 소화 구역 밀폐도 불량으로 인한 약제 농도 유지 실패 및 소화 불능 리스크를 방지하였는가?
- 변전소 전기실에 가스계 소화약제(할로겐 화합물 등) 방출 시, 환기 덕트 관통부 밀폐 상세 미흡으로 가스가 실외 누출되어 법적 약제 농도 유지 시간(10분)을 채우지 못하고 화재 초기 소화에 실패하는 리스크.</t>
  </si>
  <si>
    <t>· 시공 중 임시 소방 시설 기준 미달로 인한 용접 작업 시 화재 확산 리스크를 방지하였는가?
- 지하층 골조 공사 중 시공 단계 임시 소방시설(간이 소화전, 비상 경보 설비 등)의 수량 부족 및 수압 미달 상태에서 배관 용접 작업을 수행하여 초기 화재 진압 실패 및 인명 피해를 유발하는 리스크.</t>
  </si>
  <si>
    <t>· 소방 배관 흔들림 방지 버팀대 구조 계산 오류로 인한 지진 시 배관 이탈 리스크를 방지하였는가?
- 소방 급수 입상관 및 수평 배관의 내진 버팀대(흔들림 방지 Brace) 간격 산정 및 지지 부하 하중 계산 오류로 지진 거동 시 배관 접합부가 파단 및 이탈되어 소화수가 공급되지 못하는 리스크.</t>
  </si>
  <si>
    <t>· 가압 송수 장치 용량 부족 및 비상 전원 절체 실패로 인한 소화수 공급 중단 리스크를 방지하였는가?
- 소화수 공급용 소방 펌프의 소요 토출량/양정 산정 오류로 방수압이 부족하거나, 비상 전원 공급 시스템(ATS) 회로 연동 실패로 정전 시 소방 펌프가 가동되지 않는 리스크.</t>
  </si>
  <si>
    <t>· 폐수처리장 내 환기 장치 미비로 인한 유해 가스 정체 및 작업자 질식 리스크를 방지하였는가?
- 차량기지 폐수처리장 집수조 내부 환기 배관 규격 및 환기팬 용량 설계 불량으로 세척 폐수에서 유발된 유기 화합물 및 황화수소 유독 가스가 누적 체류하여 작업자 질식 인명 사고를 유발하는 리스크.</t>
  </si>
  <si>
    <t>· 실외기 집중 배치로 인한 기류 단락 및 냉방 효율 저하 리스크를 방지하였는가?
- 종합관리동 실외기실 내에 다수의 멀티 에어컨 실외기를 근접 집중 배치함에 따라, 토출된 온풍 열기가 인접 실외기로 재흡입되는 기류 단락(Short Circuit) 발생으로 압축기 과열 차단 및 냉방 불능 리스크.</t>
  </si>
  <si>
    <t>· 지진 시 저수조 내 슬로싱 현상으로 인한 탱크 파손 및 용수 상실 리스크를 방지하였는가?
- 지진 시 저수조 탱크 내 물의 파동 출렁임(Sloshing) 동압력이 물탱크 측벽 프레임에 과진 전달되어 SMC 패널 조립부 균열 파열로 소화 및 급수용 비상 수량이 손실되는 리스크.</t>
  </si>
  <si>
    <t>· 승강로 내 환기 부족으로 인한 카 상부 열 축적 및 제어기 오작동 리스크를 방지하였는가?
- 엘리베이터 승강로 수직로 내 기류 정체 및 복사열 누적으로 하절기 승강기 카 상부 온도가 상승함에 따라 내부 인버터 제어 기판 과열에 따른 제어 에러 및 여객 탑승 불쾌감 유발 리스크.</t>
  </si>
  <si>
    <t>· 스프링클러 헤드 배치 장애로 인한 살수 사각지대 발생 및 초기 소화 실패 리스크를 방지하였는가?
- 천장 구조 설계 시 스프링클러 헤드 주변에 시스템에어컨, 대형 조명 등기구 또는 철골 보가 인접하게 계획되어 스프링클러 물 방사가 차단됨에 따라 화재 초기 소화 사각지대가 생기는 리스크.</t>
  </si>
  <si>
    <t>· 가스히트펌프(GHP) 배출 가스의 외기 인입으로 인한 실내 공기질 훼손 리스크를 방지하였는가?
- 기지 관리동 옥상 GHP 실외기 가동 시 배출되는 고온 질소산화물(NOx) 배기가스가 인근 냉난방 환기 장치용 외기 도입구(OA)로 흡입되어 실내 이산화질소 등 가스 오염으로 실내 공기질을 훼손하는 리스크.</t>
  </si>
  <si>
    <t>· 풍량 조절 댐퍼 위치 부적정으로 인한 실별 급기량 불균형 및 소음 발생 리스크를 방지하였는가?
- 공조 덕트 주배관 및 분기배관 내 기류 조절 댐퍼(Volume Damper) 수량 부족 또는 설치 위치 오류로 각 실별 공급 풍량 균형 유지가 어렵고 과압 발생 구간에서 소음성 통풍 마찰음이 일어나는 리스크.</t>
  </si>
  <si>
    <t>· 승강로 권상기 발열 제어 미흡으로 인한 하절기 장비 오버히트 및 오작동 리스크를 방지하였는가?
- 기지 검수동 내 무기계실(MRL) 승강기 권상 구동부의 고중량 운행 하중에 따른 기기 발열량 제거 설계 누락으로 하절기 권상기 온도 급상승에 의한 전력 제어반 오작동 및 승강기 가동 중단 리스크.</t>
  </si>
  <si>
    <t>· 검수고 바닥 배수 경사 미비로 인한 유수 잔류 및 작업자 전도 사고 리스크를 방지하였는가?
- 차량기지 검수고 내 차량 세척 및 정비 작업 구간 바닥의 배수 트렌치 통수 단면 부족 또는 물매 구배 부적정으로 유분 섞인 오수가 잔류하여 작업자 미끄러짐 전도 리스크.</t>
  </si>
  <si>
    <t>· 에너지 효율 규격 미달로 인한 녹색건축 인증 및 인허가 반려 리스크를 방지하였는가?
- 기지 냉난방기(EHP, GHP) 및 급탕 보일러 등 주요 기계 설비 선정 시 고효율 기자재 및 에너지 소비 효율 등급 인증 기준을 미달하여 공공 건축물 의무 인허가 요건 취득이 불합격되는 리스크.</t>
  </si>
  <si>
    <t>· 옥외 장비 패드 기초 앵커 지지력 부족으로 인한 지진 시 장비 전도 리스크를 방지하였는가?
- 지상 설치되는 대형 실외기 및 펌프류 고정 앵커의 매립 깊이 부족 또는 기초 콘크리트 패드 중량 미달로 지진 발생 시 횡하중에 의해 장비가 전도되고 연결 배관이 파손되는 리스크.</t>
  </si>
  <si>
    <t>· 덕트 소음 대책 미흡으로 인한 실내 업무 공간 기류 소음 초과 리스크를 방지하였는가?
- 공조기 및 대용량 송풍기 덕트 라인에 소음 챔버 또는 덕트 흡음재 설계가 부실하여 기류 마찰 소음 및 송풍기 진동음이 정숙을 요하는 기지 관리동 회의실 및 집무실로 유입되는 리스크.</t>
  </si>
  <si>
    <t>· 저수조 내부 사수 발생으로 인한 용수 오염 및 수질 악화 리스크를 방지하였는가?
- 지하 기계실 급수 저수조 탱크 내 유입구와 유출구가 동일 방향에 치우쳐 배치되거나 탱크 내부 우회벽이 없어 정체 사수(Dead Water) 구역 발생으로 인해 잔류 염소가 소멸하고 수질 오염을 유발하는 리스크.</t>
  </si>
  <si>
    <t>· 기계 제어반 UPS 누락으로 인한 정전 시 비상 밸브 차단 제어 불능 리스크를 방지하였는가?
- 비상 정전 상황 발생 시 자동제어 중앙 감시반 및 현장 통제반(DDC)에 무정전 전원 장치(UPS) 백업이 누락되어, 유독 가스 밸브 차단 및 주요 펌프의 안전 정지(Shut-down) 제어가 차단되는 리스크.</t>
  </si>
  <si>
    <t>· 소방 펌프 체절 압력 밸브 오작동으로 인한 배관 고압 파손 리스크를 방지하였는가?
- 소방 주펌프의 시험 또는 가동 시 토출 밸브가 폐쇄된 체절 운전 상태에서 과압 방출용 릴리프 밸브(Relief Valve)의 작동 압력 오설정으로 계통 배관 내 고압이 유발되어 배관 접합부가 파손되는 리스크.</t>
  </si>
  <si>
    <t>· 수직 이동 에스컬레이터 미비로 인한 교통약자 동선 단절 및 안전사고 리스크를 방지하였는가?
- 기지 내 종합관리동 상층부 이동 수단 설계 시 보조 에스컬레이터가 없어 고령 정비 근로자 및 교통약자의 수직 이동 동선이 단절되고 계단 통행 중 전도 안전사고 리스크.</t>
  </si>
  <si>
    <t>· 도장 부스 배기 정화 장치 성능 부족으로 인한 대기 기준 초과 및 행정처분 리스크를 방지하였는가?
- 차량기지 도장작업장의 유해 유기화합물 정화용 흡착탑(Carbon Tower) 내 활성탄 필터의 흡착 성능 설계 미달로 총탄화수소(THC) 등 유해 물질이 외부로 방출되어 대기 배출 기준 초과 처벌 리스크.</t>
  </si>
  <si>
    <t>· 천장 매립 기계 장비 내진 지지대 누락으로 인한 지진 시 장비 낙하 리스크를 방지하였는가?
- 천장 내부에 매립 지지되는 GHP 실내기 및 환기 유니트(전열교환기) 장비에 지진 진동 대비 횡방향 내진 흔들림 방지 지지대(Seismic Brace) 설계를 누락하여 지진 시 장비 이탈 낙하 인명사고 리스크.</t>
  </si>
  <si>
    <t>· 스프링클러 교차배관 청소용 개구부 누락으로 인한 배관 막힘 리스크를 방지하였는가?
- 스프링클러 소방 교차배관 말단부에 찌꺼기 배출용 청소구(Flush Connection) 설계를 생략하여, 배관 내부에 누적된 용접 슬러지 및 이물질 배출이 불가능함에 따라 헤드 분출 방사 장애 리스크.</t>
  </si>
  <si>
    <t>· 냉매 배관 길이 및 고저차 기준 초과로 인한 컴프레서 오일 회수 불량 리스크를 방지하였는가?
- 기지 종합관리동 옥상 GHP 실외기와 최하층 실내기 간 냉매 배관의 설계 포설 연장 및 수직 고저차가 장비 허용 한계를 초과하여 기기 윤활유(Oil) 회수 성능 저하로 인한 압축기 마모 파손 리스크.</t>
  </si>
  <si>
    <t>· 외기 도입구 방충망 규격 미달로 인한 유해 해충 실내 유입 리스크를 방지하였는가?
- 환기용 외기 도입구(OA) 후단에 설치되는 해충 방지용 방충망 그물코 규격이 미달하여 하절기 모기, 초파리 등 외부 비래 해충이 덕트를 통해 실내 사무실로 유입되는 위생 오염 리스크.</t>
  </si>
  <si>
    <t>· 상업용 주방자동소화장치 설계 누락으로 인한 주방 화재 진압 실패 및 확산 리스크를 방지하였는가?
- 기지 구내식당 주방 내 대형 가스 레인지 및 배기 후드 상부에 상업용 주방자동소화장치 설계를 누락하여 식용유 발화 시 초기 소화 실패 및 후드 덕트를 통한 전체 화재 확산 리스크.</t>
  </si>
  <si>
    <t>· 옥외 노출 배수관 동결 방지 및 물매 미비로 인한 결빙 및 배수 역류 리스크를 방지하였는가?
- 기지 및 관리동 외벽에 노출된 우수/배수관의 결빙 대비 단열재 피복 누락 또는 배수 물매 구배 부족으로 오수가 체류 동결되어 내부 배수 역류 리스크.</t>
  </si>
  <si>
    <t>· 특화정거장 지상 2층 배치 시 80톤 규모 물탱크 하중에 의한 구조 안전성 저하 리스크를 방지하기 위해 관련 기준 준수 및 설계 적정성을 검토하였는가?
- 특화정거장 지상 2층 배치 시 80톤 규모 물탱크 하중에 의한 구조 안전성 저하로 인해 안전사고 및 추가 비용을 유발하는 리스크.</t>
  </si>
  <si>
    <t>· 지상 변전소 실외기 배치 공간 부족으로 열교환 불량에 따른 시스템 냉난방기 셧다운 리스크를 방지하기 위해 관련 기준 준수 및 설계 적정성을 검토하였는가?
- 지상 변전소 실외기 배치 공간 부족으로 열교환 불량에 따른 시스템 냉난방기 셧다운으로 인해 안전사고 및 추가 비용을 유발하는 리스크.</t>
  </si>
  <si>
    <t>· 변전실 소화 약제 배관 설치 루프 과다로 화재 시 규정 소화 가스 압력 방출 실패 리스크를 방지하기 위해 관련 기준 준수 및 설계 적정성을 검토하였는가?
- 변전실 소화 약제 배관 설치 루프 과다로 화재 시 규정 소화 가스 압력 방출 실패로 인해 안전사고 및 추가 비용을 유발하는 리스크.</t>
  </si>
  <si>
    <t>· 지하 변전실 유출 지하수 배수 펌프실 용량 부족으로 전력 케이블 트레이 침수 및 합선 화재 리스크를 방지하기 위해 관련 기준 준수 및 설계 적정성을 검토하였는가?
- 지하 변전실 유출 지하수 배수 펌프실 용량 부족으로 전력 케이블 트레이 침수 및 합선 화재로 인해 안전사고 및 추가 비용을 유발하는 리스크.</t>
  </si>
  <si>
    <t>· 차량기지 대차 세척기 배수 펌프 내 슬러지 고착에 따른 오수 역류 리스크를 방지하기 위해 관련 기준 준수 및 설계 적정성을 검토하였는가?
- 차량기지 대차 세척기 배수 펌프 내 슬러지 고착에 따른 오수 역류로 인해 안전사고 및 추가 비용을 유발하는 리스크.</t>
  </si>
  <si>
    <t>· 층간 거리 11m 이상의 정거장 엘리베이터 승강로 내 화재 발생 시 승객 갇힘 및 질식 사고 리스크를 방지하기 위해 관련 기준 준수 및 설계 적정성을 검토하였는가?
- 층간 거리 11m 이상의 정거장 엘리베이터 승강로 내 화재 발생 시 승객 갇힘 및 질식 사고로 인해 안전사고 및 추가 비용을 유발하는 리스크.</t>
  </si>
  <si>
    <t>· 종합관리동 지하실 보일러 연도 파손 시 일산화탄소(CO) 가스 누출로 인한 상부 근무자 질식 리스크를 방지하기 위해 관련 기준 준수 및 설계 적정성을 검토하였는가?
- 종합관리동 지하실 보일러 연도 파손 시 일산화탄소(CO) 가스 누출로 인한 상부 근무자 질식으로 인해 안전사고 및 추가 비용을 유발하는 리스크.</t>
  </si>
  <si>
    <t>· 정거장 공중화장실 배수 횡주관 구배 불량으로 인한 오수 정체 및 정거장 내 악취 유발 리스크를 방지하기 위해 관련 기준 준수 및 설계 적정성을 검토하였는가?
- 정거장 공중화장실 배수 횡주관 구배 불량으로 인한 오수 정체 및 정거장 내 악취 유발로 인해 안전사고 및 추가 비용을 유발하는 리스크.</t>
  </si>
  <si>
    <t>· 차량기지 압축공기 라인 말단부 압력 강하로 인한 전동식 검수 장비 작동 불량 리스크를 방지하기 위해 관련 기준 준수 및 설계 적정성을 검토하였는가?
- 차량기지 압축공기 라인 말단부 압력 강하로 인한 전동식 검수 장비 작동 불량으로 인해 안전사고 및 추가 비용을 유발하는 리스크.</t>
  </si>
  <si>
    <t>· 특화정거장 주민 편의 공간 내 공조 덕트 구배 불량으로 인한 드레인 누수 및 마감 훼손 리스크를 방지하기 위해 관련 기준 준수 및 설계 적정성을 검토하였는가?
- 특화정거장 주민 편의 공간 내 공조 덕트 구배 불량으로 인한 드레인 누수 및 마감 훼손으로 인해 안전사고 및 추가 비용을 유발하는 리스크.</t>
  </si>
  <si>
    <t>· 지하 변전실 공조 환기구의 도로 측 지상 노출 시 우수 대량 유입 및 기기 침수 리스크를 방지하기 위해 관련 기준 준수 및 설계 적정성을 검토하였는가?
- 지하 변전실 공조 환기구의 도로 측 지상 노출 시 우수 대량 유입 및 기기 침수로 인해 안전사고 및 추가 비용을 유발하는 리스크.</t>
  </si>
  <si>
    <t>· 차량기지 대차 세척수 정화 장치 고장 시 오폐수 방류에 따른 고발 및 조업 정지 리스크를 방지하기 위해 관련 기준 준수 및 설계 적정성을 검토하였는가?
- 차량기지 대차 세척수 정화 장치 고장 시 오폐수 방류에 따른 고발 및 조업 정지로 인해 안전사고 및 추가 비용을 유발하는 리스크.</t>
  </si>
  <si>
    <t>· 306정거장 엘리베이터 승강로 내 동절기 급격한 온도 저하로 유압유 고착 및 오작동 리스크를 방지하기 위해 관련 기준 준수 및 설계 적정성을 검토하였는가?
- 306정거장 엘리베이터 승강로 내 동절기 급격한 온도 저하로 유압유 고착 및 오작동으로 인해 안전사고 및 추가 비용을 유발하는 리스크.</t>
  </si>
  <si>
    <t>· 검수고 내 배기 팬 용량 부족으로 전삭기 가동 분진 누적으로 인한 작업자 호흡기 질환 리스크를 방지하기 위해 관련 기준 준수 및 설계 적정성을 검토하였는가?
- 검수고 내 배기 팬 용량 부족으로 전삭기 가동 분진 누적으로 인한 작업자 호흡기 질환으로 인해 안전사고 및 추가 비용을 유발하는 리스크.</t>
  </si>
  <si>
    <t>· 대차 세척실 고온 고압 스프레이 오동작 및 온수 공급관 파열 시 작업자 전신 화상 사고 리스크를 방지하기 위해 관련 기준 준수 및 설계 적정성을 검토하였는가?
- 대차 세척실 고온 고압 스프레이 오동작 및 온수 공급관 파열 시 작업자 전신 화상 사고로 인해 안전사고 및 추가 비용을 유발하는 리스크.</t>
  </si>
  <si>
    <t>· 특화정거장 2층 로비 대공간 구획 누락으로 화재 발생 시 연기 급속 확산에 따른 인명 피해 리스크를 방지하기 위해 관련 기준 준수 및 설계 적정성을 검토하였는가?
- 특화정거장 2층 로비 대공간 구획 누락으로 화재 발생 시 연기 급속 확산에 따른 인명 피해로 인해 안전사고 및 추가 비용을 유발하는 리스크.</t>
  </si>
  <si>
    <t>· 변전실 가스소화설비(하론/청정소화약제) 오동작 방출 시 소방 배관 굴곡부 탈락 리스크를 방지하기 위해 관련 기준 준수 및 설계 적정성을 검토하였는가?
- 변전실 가스소화설비(하론/청정소화약제) 오동작 방출 시 소방 배관 굴곡부 탈락으로 인해 안전사고 및 추가 비용을 유발하는 리스크.</t>
  </si>
  <si>
    <t>· 특화정거장 2층 스카이브릿지 연결부 소화전 배관 동절기 동파에 따른 화재 진압 불능 리스크를 방지하기 위해 관련 기준 준수 및 설계 적정성을 검토하였는가?
- 특화정거장 2층 스카이브릿지 연결부 소화전 배관 동절기 동파에 따른 화재 진압 불능으로 인해 안전사고 및 추가 비용을 유발하는 리스크.</t>
  </si>
  <si>
    <t>주 전송설비 및 통신선로 계획</t>
  </si>
  <si>
    <t>· 통신 백본 광케이블 코어 수 산정 여유율 부족으로 인한 장래 설비 확장 불가 리스크를 방지하였는가?
- 장래 5G 설비 및 지능형 화상 감시 장치 추가 등 노선 확장에 대비한 예비 광케이블 코어(Core) 수 부족 설계로 노선 추가 연계 시 광케이블 라인을 전면 재포설해야 하는 리스크.</t>
  </si>
  <si>
    <t>· 광케이블 루트 단일화 구간 내 외부 굴착 충격 시 백본망 동시 단선 리스크를 방지하였는가?
- 통신 경로 2중화를 위해 본선 상선과 하선에 각각 분리 매설하는 광케이블 관로가 교량 접속부 및 협소 옹벽 구간에서 동일 배관 트렌치 내에 인접 포설되어 타 공사 굴착 시 동시 파손 단선 리스크.</t>
  </si>
  <si>
    <t>차량 상태정보 실시간 전송망 계획</t>
  </si>
  <si>
    <t>차상-지상 통신 인터페이스</t>
  </si>
  <si>
    <t>· 이기종 카메라 간 통신 프로토콜 불일치로 인한 영상 통합 모니터링 불능 리스크를 방지하였는가?
- 역사 및 기지 내 다수 제조업체의 이기종 영상 카메라(CCTV)와 통합 영상 관리 소프트웨어(VMS) 간의 표준 통신 규격이 일치하지 않아 영상 감시 화면이 표출되지 않는 리스크.</t>
  </si>
  <si>
    <t>· 철도 무선 통신 중앙제어장치 단일 배치로 인한 재난 시 전 노선 무선 불통 리스크를 방지하였는가?
- LTE-R 무선 핵심 전송 제어 장치(EPC 및 IMS)를 차량기지 관제실 한 곳에만 단독 설치함에 따라 기지 화재/침수 등 재난 시 노선 전체의 무선 통화 및 열차 신호 송수신 기능이 전체 중단되는 리스크.</t>
  </si>
  <si>
    <t>· 본선 관로 매설 깊이 부족으로 인한 외부 하중 시 광케이블 압착 단선 리스크를 방지하였는가?
- 지상 본선 평면 도로 구간 옥외 광케이블 매설 설계 시, 지역별 지반 동결 심도 미고려 및 노면 중량 차량 윤하중 하중에 따른 매설 깊이 부족으로 통신관 변형 및 광케이블 단선 리스크.</t>
  </si>
  <si>
    <t>· 공동구 풀박스 누수로 인한 광케이블 동결 휨 및 신호 손실 리스크를 방지하였는가?
- 지상 본선 공동구 관로 접속점의 통신 풀박스(Pull Box) 방수 씰링 마감 불량으로 내부에 고인 우수가 동절기에 빙결되어, 광케이블 미세 휨(Micro-bending) 현상으로 광신호 전송 감쇄를 유발하는 리스크.</t>
  </si>
  <si>
    <t>· 기지 통신기계실 접지 저항 초과로 인한 낙뢰 시 통신 장비 파손 리스크를 방지하였는가?
- 차량기지 종합관리동 통신기계실 내의 전용 통합 접지 단자함 접지 저항 설계 값이 한계 규정치(1.0Ω)를 만족하지 못하게 계획되어, 낙뢰 서지 유입 시 고압 역서지로 전송 장비 및 라우터가 소손되는 리스크.</t>
  </si>
  <si>
    <t>· 무인 정거장 지능형 영상 감시 시스템 배제로 인한 돌발 안전사고 대처 지연 리스크를 방지하였는가?
- 무인으로 운영되는 트램 정거장의 승객 혼잡, 선로 전도 및 승강장 문 끼임 등 안전사고 예방을 위한 AI 지능형 영상 감시 시스템(CCTV)이 제외되어 안전 사각지대가 방치되는 리스크.</t>
  </si>
  <si>
    <t>· 관제실 신호 및 통신 설비 간 인터페이스 협의 지연에 따른 공정 지연 리스크를 방지하였는가?
- 종합관제실 내 신호 분야 대형 모니터 제어 장치(IP Wall)와 통신 분야 영상 표출 장비 간의 신호 송수신 규격 불일치 및 관제 콘솔 배치 협의 지연으로 관련 배선 공사가 지연되는 리스크.</t>
  </si>
  <si>
    <t>· 정보 관리 시스템 이원화로 인한 서버 구축 예산 및 소프트웨어 라이선스 비용 낭비 리스크를 방지하였는가?
- 일반 경영정보시스템(MIS)과 차량기지용 검수정보시스템의 데이터베이스 및 서버를 각각 개별 분리 설계하여 소프트웨어 라이선스 중복 지불 및 정보 연계 비용 증가 리스크.</t>
  </si>
  <si>
    <t>· 통신 주전송망 대역폭 산정 부족으로 인한 영상 화면 단절 및 전송 지연 리스크를 방지하였는가?
- 본선 구간 백본 주전송망(10Gbps) 대역폭 설계 시 다수 카메라(CCTV)의 고화질 전송 트래픽 급증에 따른 최대 유효 소요 대역폭 분석 미흡으로 영상 단절 및 관제 지연 리스크.</t>
  </si>
  <si>
    <t>· 백본 링 구성 노드 수 과밀로 인한 선로 장애 시 통신 절체 지연 및 차단 리스크를 방지하였는가?
- IP-MPLS 전송망 백본의 단일 링(Ring)에 연결되는 노드(역사 스위치 등) 수량이 법적 관리 기준(15개 이하)을 초과하여 설계되어, 선로 단선 등 비상 절체 발생 시 자동 보호 복구 시간(50ms)을 충족하지 못하고 전송망이 마비되는 리스크.</t>
  </si>
  <si>
    <t>· 기지국 DU 장치 이중화 절체 시 무선 신호 일시 차단 및 관제 불통 리스크를 방지하였는가?
- 기지국 통신 데이터 처리장치(DU)의 예비기 자동 절체(Active-Standby) 시 프로세스 전환 시간 지연으로 열차와 관제실 간 무선 통화 및 열차 제어 패킷이 일시 누락되어 안전 운행에 지장을 초래하는 리스크.</t>
  </si>
  <si>
    <t>· 무선 RRU 장애 시 커버리지 복원 출력 제어 미비로 인한 전파 음영 리스크를 방지하였는가?
- 본선 구간 기지국 전파 송수신기(RRU) 장애 발생 시, 인접한 RRU 기지국의 송신 출력을 자동으로 상향시켜 전파 공백 지역을 커버하는 소프트웨어 자동 출력 보상 제어 설계 누락 리스크.</t>
  </si>
  <si>
    <t>· 지상 평면 교차로 및 지하차도 전파 차단으로 인한 무선 통신 음영 리스크를 방지하였는가?
- 동탄 트램 노선의 정거장 이격 거리가 길고 평면 도로 교차로 및 철도 지하차도 구조물 통과 시 신호 감쇠로 인해 링크버짓(Link Budget) 기준 미달에 따른 무선 음영 및 관제 무선 단절 리스크.</t>
  </si>
  <si>
    <t>· 도로 교통 폴 공용 설치 인허가 협의 지연으로 인한 무선 설비 시공 지연 리스크를 방지하였는가?
- 본선 가로변의 전파 송신기(RRU) 및 안테나를 기존 가로등 폴(Pole) 또는 도로 전주에 공용 설치하도록 계획하였으나 소관 지자체 도로관리 부서와의 점용 및 요금 인허가 협의 지연으로 공사 기간이 지연되는 리스크.</t>
  </si>
  <si>
    <t>· 공공안전망(PS-LTE) 전파 간섭으로 인한 열차 무선 음성 및 데이터 수신 불량 리스크를 방지하였는가?
- 동탄 지역 내 기 포설된 재난 안전 공공무선망(PS-LTE)의 강력한 기지국 송출 전파와 트램용 무선망(LTE-R) 주파수 대역(700MHz 대역 인접) 상호 전파 간섭으로 인해 관제 음성 단절 및 신호 패킷 수신률 불량 리스크.</t>
  </si>
  <si>
    <t>· 코레일 LTE-R 신호 교차 구간 내 핸드오버 실패 및 무선 혼선 리스크를 방지하였는가?
- 경부선 국철과 연계되는 주요 역사(병점역, 서동탄역, 오산역 부근)의 경계 지역에서 코레일 광역철도 무선 신호(LTE-R)와 동탄 트램 무선 신호가 상호 혼입되어 기지국 핸드오버 실패에 따른 운행 정보 유실 리스크.</t>
  </si>
  <si>
    <t>· 차량 차체 주파수 투과 손실 과소 산정으로 인한 차내 무선 수신 불량 리스크를 방지하였는가?
- 트램 무선 설계 시 차체 금속 프레임 및 복층 유리창에 의한 전파 투과 손실을 실제(15~20dB)보다 낮게 가정(10dB) 설계하여, 열차 내부 승무원의 휴대용 단말기 무선 전파 수신 불량을 야기하는 리스크.</t>
  </si>
  <si>
    <t>· 개방형 역무 자동화 설비 도입에 따른 부정 승차 보완 대책 누락 리스크를 방지하였는가?
- 정거장 게이트가 없는 개방형 역무 자동화(AFC) 시스템 설계 시 무임승차 및 미태그 승차를 실시간 필터링하는 감시 수단이 없어 트램 운송 요금 누수 및 운영비 손실을 유발하는 리스크.</t>
  </si>
  <si>
    <t>· 외곽 감시용 카메라 해상도 미달로 인한 물품 도난 사건 시 증거 확보 불가 리스크를 방지하였는가?
- 자전거 보관소 및 정거장 외부 공터 등 외곽 구역 감시용 카메라의 야간 조도 센서 및 화소 사양 부족으로 도난, 기물 파손 등 안전사고 발생 시 식별력 저하로 증거 영상 확보 불가 리스크.</t>
  </si>
  <si>
    <t>· 카메라 영상 저장 스토리지 용량 계산 오류로 인한 데이터 손실 및 조기 덮어쓰기 리스크를 방지하였는가?
- 전 노선 528대 카메라의 일일 녹화 데이터량 계산 시 프레임 속도(fps) 및 화질 압축률을 과소 예측하여, 법적 보관 기간(30일) 이내에 스토리지 용량이 포화되어 이전 영상이 자동 삭제되는 리스크.</t>
  </si>
  <si>
    <t>· 경영정보(MIS)와 철도 시설 장비 이력 간 연동 규격 누락으로 인한 자산 가치 평가 불능 리스크를 방지하였는가?
- 경영정보시스템(MIS) 도입 시 노반, 궤도, 전차선, 통신 및 신호 등 주요 영구 시설물의 개별 장비 이력 카드 및 장비 생애주기 시스템과의 인터페이스 프로토콜이 정의되지 않아 자산 평가가 불가한 리스크.</t>
  </si>
  <si>
    <t>· 차량 고장 데이터 실시간 전송 누락으로 인한 검수 정보 입력 수동화 비효율 리스크를 방지하였는가?
- 트램 차량의 차상 고장 진단 모니터링 컴퓨터(TCMS)와 차량기지 내 차량 검수관리 서버 간의 무선 통신 전송 프로토콜 설계를 누락하여, 차량 입고 후 수동으로 고장 카드를 키보드 입력해야 하는 리스크.</t>
  </si>
  <si>
    <t>· 비상전화 스피커 음압 설정 부족으로 인한 야외 소음 시 관제 통화 불능 리스크를 방지하였는가?
- 도로 인근 정거장 대기 승강장에 설치되는 비상 전화기(Emergency Phone)의 수하 스피커 음량이 야외 가로변 소음에 묻혀 비상 통화 시 관제실과의 의사 소통이 차단되는 리스크.</t>
  </si>
  <si>
    <t>· 모니터 월 제어 장치의 디코딩 용량 초과로 인한 감시 화면 정체 리스크를 방지하였는가?
- 종합관제실 내 모니터 벽면(Monitor Wall) 영상 분할 표출 장치(IP Wall Controller)의 그래픽 연산 처리 성능 미달로 다수 카메라 동시 디코딩 시 화면 정체 및 모니터 감시 화면 렉(Lag) 리스크.</t>
  </si>
  <si>
    <t>· 차상 무선망 단선 시 거래 데이터 유실로 인한 요금 정산 오차 및 운영 손실 리스크를 방지하였는가?
- 열차 내 무선 통신 장애 발생 시 차상 역무 자동화(AFC) 시스템의 요금 승차 거래 정산 데이터가 통합 관리 서버로 전송되지 못하고 소실되어 정산 불일치 및 요금 수입 결손 리스크.</t>
  </si>
  <si>
    <t>· 안테나 거치대 내풍 강도 부족으로 인한 강풍 시 이탈 및 선로 침범 리스크를 방지하였는가?
- 가로등 폴 및 전차선 지지 철도주에 설치된 안테나 및 무선 전파 송수신기(RRU) 고정용 앵커/브래킷의 풍압 내력 부족으로 강풍 시 탈락하여 주행 궤도로 전도되는 리스크.</t>
  </si>
  <si>
    <t>· 혹한 노출 역무 기기 디스플레이 결빙 및 오작동 리스크를 방지하였는가?
- 동절기 혹한 시 정거장 야외에 노출된 AFC 역무 단말기(RF 카드 태그기 등) 내부 기판 및 액정 화면이 얼어붙어 터치 오작동 및 단말 기기 전원 차단 리스크.</t>
  </si>
  <si>
    <t>· 가로변 소음 하의 비상 방송 음압 전달력 부족으로 인한 피난 안내 유도 실패 리스크를 방지하였는가?
- 도로변 개방형 트램 정거장 승강장 설계 시, 인근 간선도로의 차량 소음 환경을 과소 평가하여 비상 대피 안내 방송용 혼 스피커의 출력 음압이 말단부까지 전달되지 못하고 묻히는 리스크.</t>
  </si>
  <si>
    <t>· 기계실 인입 슬리브 밀폐 불량으로 인한 야생 소동물 침입 및 통신선 파손 리스크를 방지하였는가?
- 통신기계실 하부 배관 공동구 입구의 콘크리트 마감 불량 틈새로 쥐 등 소동물이 유입되어 케이블 트레이 내 포설된 통신 신호선 및 광케이블 피복을 훼손하여 광전송 단선 리스크.</t>
  </si>
  <si>
    <t>· 개별 역무 기기 전원 차단 장치 누락으로 인한 계통 전원 동시 정지 리스크를 방지하였는가?
- 역사 및 차내 역무 자동화(AFC) 단말 기기 전원 인입 회로에 개별 배선 차단기 및 전원 변환 장치(SMPS)가 독립 구성되지 않아, 단일 단말기의 합선 누전 시 계통 AFC 단말 전체 전원이 동시 다운되는 리스크.</t>
  </si>
  <si>
    <t>· 안개 지역 감시 카메라 안개제거 기능 누락으로 인한 선로 감시 불가 리스크를 방지하였는가?
- 동탄 오산천 등 안개 상습 발생 부근 옥외 정거장 선로변 감시 카메라에 안개 제거(Defog) 기능이 누락되어 짙은 안개 및 집중 호우 시 관제원의 선로 지장물 확인이 불가능해지는 리스크.</t>
  </si>
  <si>
    <t>· 역사 IP 카메라 및 통신 스위치 보안 대책 누락으로 인한 해킹 및 영상 정보 유출 리스크를 방지하였는가?
- 노선 전 구간 및 역사 내 분산 노출 배치된 다수의 IP 카메라 및 L2 보안 스위치에 외부 비인증 기기 무단 접속에 대한 네트워크 해킹 필터링 및 보안 펌웨어 제어가 제외되어 내부 통신망이 침투당하는 리스크.</t>
  </si>
  <si>
    <t>· 열차 위치 정보 지연으로 인한 행선안내기 표시 오차 및 화면 정지 리스크를 방지하였는가?
- 열차의 정확한 운행 실시간 위치 전송 패킷이 무선망 병목으로 지연 또는 소실되어 정거장 내 행선안내기(DID) 도착 시각 표시 오류 및 안내 화면 작동 렉 리스크.</t>
  </si>
  <si>
    <t>· 혹한기 무전기 배터리 급격 방전으로 인한 비상 통화 중단 리스크를 방지하였는가?
- 동절기 혹한기(영하 20℃) 야외 노출 환경에서 유지보수 작업자가 소지한 휴대용 LTE-R 무전기 배터리가 조기 방전되어, 돌발 선로 사고 발생 시 관제실 및 소방 관할서와의 비상 연락망이 단절되는 리스크.</t>
  </si>
  <si>
    <t>· 역무자동화 단말기 결제 정보의 무선 구간 도청 및 위변조 방지 대책을 수립하였는가?
- 역무자동화(AFC) 단말기의 요금 정산 데이터 및 승객 금융 카드 정보가 무선(LTE-R) 전송 시 외부 도청되거나 악의적으로 위변조되어 결제 사고 및 개인정보 유출을 유발하는 리스크.</t>
  </si>
  <si>
    <t>· 특화정거장 통신기기실 공간 협소로 전송장비 및 서버 랙 증설 한계 발생 리스크를 방지하기 위해 관련 기준 준수 및 설계 적정성을 검토하였는가?
- 특화정거장 통신기기실 공간 협소로 전송장비 및 서버 랙 증설 한계 발생으로 인해 안전사고 및 추가 비용을 유발하는 리스크.</t>
  </si>
  <si>
    <t>· 정거장 캐노피 설치 시 승객 안내기 및 CCTV 배선 노출로 인한 빗물 유입 누전 차단 리스크를 방지하기 위해 관련 기준 준수 및 설계 적정성을 검토하였는가?
- 정거장 캐노피 설치 시 승객 안내기 및 CCTV 배선 노출로 인한 빗물 유입 누전 차단으로 인해 안전사고 및 추가 비용을 유발하는 리스크.</t>
  </si>
  <si>
    <t>2. 송변전 설비</t>
  </si>
  <si>
    <t>· 배전반 내부 케이블 발화 시 확산 방지를 위한 패널 내부 소화설비 설계를 검토하였는가?
- 특고압 및 저압 배전반 내부 발화 초기 화재를 감지하여 즉각 소화하는 자동소화설비 미반영으로 케이블 접속부 발열에 의한 패널 내부 화재 시 변전실 전체가 전소되는 2차 대형 화재 리스크.</t>
  </si>
  <si>
    <t>· 차량기지 수배전설비 단일 회선 수전에 따른 선로 단선 시 전면 정전 리스크를 예방하였는가?
- 수배전설비 설계 시 한전 22.9kV 수전 라인을 단일 회선(1회선)으로만 계획함에 따라, 외부 한전 전선로 단선이나 예기치 못한 사고 시 차량기지 및 본선 전원 공급이 전면 중단되어 운행이 마비되는 리스크.</t>
  </si>
  <si>
    <t>· 상하선 공용 급전 시스템에 따른 동시 충전 전압 강하 및 운행 지연 리스크를 검토하였는가?
- 시종점 정거장의 트램 충전설비를 상하선 선로 공용 급전 시스템으로 단일화하여 설계 시, 하절기 등 부하 피크 시 상하선 동시 충전 차량 유입 시 급격한 전압 강하 및 충전 시간 지연으로 정시 운행에 차질이 발생하는 리스크.</t>
  </si>
  <si>
    <t>· 정류기 고조파 노이즈 역류에 따른 배전 계통 진상 콘덴서 과열 및 소손 리스크를 방지하였는가?
- 차량 급전용 정류기 및 대형 전동기 부하 구동 시 발생하는 다량의 고조파 노이즈가 배전 계통을 타고 역류하여 계통 내 진상 콘덴서 과열 팽창 및 중성선 전류 증가로 인한 소손을 유발하는 리스크.</t>
  </si>
  <si>
    <t>· 본선 횡단접지선 핸드홀 방수 불량에 따른 결빙 침수 및 접지극 부식 리스크를 방지하였는가?
- 본선 250m마다 설치하는 횡단접지선 접속용 핸드홀의 외부 실링 방수 불량으로 우수 및 지하수가 유입 결빙되어 핸드홀이 상시 침수되고 내부 단자함 접지극이 부식 차단되는 리스크.</t>
  </si>
  <si>
    <t>· 특고압 케이블 공동구 인입구 방수 스펙 누락에 따른 변전소 지하 상시 침수 리스크를 예방하였는가?
- 차량기지 변전실 지하 특고압 케이블 공동구 인입구 벽체의 배관 슬리브 관통부 방수 밀폐재(Water-stop) 스펙 누락으로, 장마철 집중호우 시 옥외 배수로 범람수가 슬리브 틈새를 타고 유입되어 변전소 하부 이중 바닥이 상시 침수되고 케이블 절연이 파괴되는 리스크.</t>
  </si>
  <si>
    <t>· 급속 충전 시 차상 판타그래프와 지상 레일 충전 단자 간 접촉 아크 융착 리스크를 검토하였는가?
- 1,350kW 대용량 트램 급속 충전 개시 및 종료 시 전동차 지붕의 접촉식 판타그래프(Pantograph)와 지상 거치형 강체 전차선로 접촉 단자 간의 물리적 마모 및 상하 튀어 오름으로 배출 아크가 다량 발생하여, 고열로 충전 전원 단자가 서로 눌어붙어(융착) 분리되지 않는 리스크.</t>
  </si>
  <si>
    <t>· 정거장 지하 피난유도등 비상 배터리 용량 부족에 따른 화재 정전 시 피난 지연 리스크를 방지하였는가?
- 정거장 지하 대합실 및 계단 등 밀폐 구역 내 비상 피난유도등 및 비상조명 설비의 내장 예비 배터리 가동 지속 시간(기본 20분 설계)이 역사 화재 시 정전 상태에서 승객이 외부로 완전 피난하는 소요 시간 대비 현저히 부족하여 대형 인명 사고를 초래하는 리스크.</t>
  </si>
  <si>
    <t>· 표준 설계 기준 및 시방서 교차 검증을 통해 시공 중 발생 가능한 구조물 변형 및 기능 저하 리스크를 방지하였는가?
- 진공차단기(VCB) 개폐 서지로 인한 1차측 변압기 절연 파괴 예방용 서지보호기 설계를 리스크.</t>
  </si>
  <si>
    <t>· 공동구 노출 동력 케이블 난연 등급 오선정에 따른 화재 전파 리스크를 방지하였는가?
- 옥외 노출 전선로 공동구 및 배관 트레이 내부에 설치하는 특고압/저압 동력 케이블에 화재 확산 방지용 난연 등급(트레이용 난연 케이블 F-CV 등)이 누락되어, 케이블 단락 화재 시 공동구 전체로 불길이 전파되는 리스크.</t>
  </si>
  <si>
    <t>· 정전 시 저압 기중차단기(ACB) 및 자동절체기(ATS) 원격 제어를 위한 UPS 백업 전원을 확보하였는가?
- 수배전반 저압 기중차단기(ACB) 및 비상 자동절체기(ATS) 제어 회로의 무정전 전원 공급 장치(UPS) 백업 설계 누락으로, 한전 정전 발생 시 차단기 투입 상태 감시 및 발전기 비상 원격 제어가 전면 차단되는 리스크.</t>
  </si>
  <si>
    <t>· 특고압 가스절연개폐장치(GIS) 가스 압력 저하 알람 SCADA 연계 누락에 따른 절연 파괴 푹발 리스크를 방지하였는가?
- 좁은 기계실 구조로 특고압 가스절연개폐장치(GIS) 도입 시, 절연용 SF6 가스 밀폐 챔버의 실시간 가스 누출 압력 저하 모니터링 경보(SCADA 연계) 장치 설계 누락으로 가스가 부족해져 절연 성능이 파괴되고 기기 내부 3상 단락 폭발을 유발하는 리스크.</t>
  </si>
  <si>
    <t>· 특고압 배전반 절연 이격 거리 미확보에 따른 단락 폭발 리스크를 방지하였는가?
- 수배전설비 설계 시 22.9kV 배전 전압의 차단기 충전부 및 케이블 연결부 단자 간 필수 절연 이격 거리 확보가 미흡하여, 하절기 내부 결로 및 습기 유입 시 공기 절연이 파괴되고 수배전반 내 3상 단락 폭발을 유발하는 리스크.</t>
  </si>
  <si>
    <t>· 변전소 SCADA 연동 프로토콜 설계 오류로 인한 원격 비상 급전 차단 실패 리스크를 방지하였는가?
- 전차선로 원격 감시 제어를 위한 SCADA 연동 프로토콜 정합성 설계 오류로, 열차 화재 등 비상시 종합 관제실에서 비상 급전 단전 명령 하달 시 현장 변전소 VCB 차단기가 작동하지 않는 리스크.</t>
  </si>
  <si>
    <t>· 차량기지 피뢰침 회전구체법 검토 미흡에 따른 옥상 돌출 장비 낙뢰 직격 리스크를 예방하였는가?
- 차량기지 종합관리동 피뢰침 구조 설계 시 회전구체법을 적용한 3차원 피뢰 보호각(KS C IEC 62305) 검토가 미흡하여, 옥상 돌출 장비(GHP 실외기, 환기 루버 등)가 보호 범위를 벗어나 낙뢰가 직격하는 리스크.</t>
  </si>
  <si>
    <t>· 통신/신호/전력 접지망 분리에 따른 낙뢰 서지 전위차 장비 소손 리스크를 방지하였는가?
- 차량기지 및 본선 정거장 내 통신장비실, 신호기계실, 전기실의 접지 설비망이 각각 독립 분리 설계되어 외부 낙뢰나 개폐 서지 유입 시 장비 지반 간 심각한 전위차가 발생하여, 이종 시스템 간 연동된 차상-지상 정보 제어 카드가 영구 소손되는 리스크.</t>
  </si>
  <si>
    <t>· 태양광 구조물 단독 접지 설계 미흡에 따른 직격뢰 서지 역인입 장비 소손을 예방하였는가?
- 차량기지 태양광 발전설비(180kW 등) 프레임 구조물의 단독 접지 설계 미흡으로 지붕 직격뢰 유입 시 태양광 인버터를 관통한 고전압 서지가 차량기지 저압 전력 계통으로 역인입되어 전체 제어 설비 및 통신 장비를 소손시키는 리스크.</t>
  </si>
  <si>
    <t>· 궤도 매설접지선 전위차 절연 미비에 따른 귀선 전류 누설 및 철근 전식 리스크를 방지하였는가?
- 궤도 구리 매설접지선 상하선 포설 시 슬래브 궤도 철근 및 본선 레일 본딩과의 전위차 절연 처리가 누락되어, 레일로 흐르는 직류 귀선 전류가 접지망으로 누설되어 슬래브 철근 및 접지 도체를 전식(유도 전해 부식)시켜 접지 시스템 조기 붕괴를 초래하는 리스크.</t>
  </si>
  <si>
    <t>· 다수 전기차 급속충전기 동시 가동에 따른 한전 수전 용량 초과 및 메인 차단기 트립 리스크를 방지하였는가?
- 차량기지 부대 주차장에 배치하는 전기차 급속충전기(100kW 4대 등)의 계약 전력 공급 설계 시 충전 수용률 산정 오류로, 하절기 최대 부하 시 다수 충전기 동시 가동으로 한전 수전 용량을 오버하여 메인 수전 차단기가 연동 트립되는 리스크.</t>
  </si>
  <si>
    <t>· 구형 몰드변압기 적용에 따른 대기 전력 손실 및 월 운영 전력비 상승 리스크를 방지하였는가?
- 전기실 설계 시 고효율 기자재가 아닌 일반 구형(표준소비효율) 몰드변압기를 사용하여 변압기 철손(대기 손실) 및 동손 부하 발열이 상승하고 매월 운영 전력비용이 지속적으로 증가하는 리스크.</t>
  </si>
  <si>
    <t>정거장 무가선 충전설비 안전 계획</t>
  </si>
  <si>
    <t>· 고소개소 조명 기구 승하강 장치 누락에 따른 유지보수 방치 및 추락 사고 리스크를 예방하였는가?
- 차량기지 검수고 및 정거장 대합실 내 3m 이상 천장 등 고소개소 조명 설계 시 유지보수용 승하강식 조명기구 또는 외벽 정비용 벽부등 스펙이 누락되어, 램프 수명 도래 시 고소 작업대 진입 불가로 조명이 장기 방치되거나 무리한 사다리 작업으로 추락 사고를 초래하는 리스크.</t>
  </si>
  <si>
    <t>· VCB와 PT 일체형 배전반 설계에 따른 PT 고장 보수 시 특고압 전면 정전 리스크를 방지하였는가?
- 특고압 배전반 설계 시 진공차단기(VCB) 반과 계기용 변압기(PT) 반을 1면에 일체형으로 조립 구성함으로써, PT 소손 시 교체 보수를 위해 해당 뱅크 전체의 전면 특고압 정전을 요구하여 유지관리 장기화를 유발하는 리스크.</t>
  </si>
  <si>
    <t>· 특고압 폐쇄형 배전반 내부 단락 사고 시 고압 가스 방출에 따른 인명 재해를 방지하였는가?
- 일반 폐쇄형 배전반(폭 1,200mm급)을 적용함에 따라 기계실 공간을 과다 점유하고 특고압 내부 단락 사고 시 고압 가스 및 아크가 정면 도어 측으로 방출되어 조작 보수원의 치명적 인명 재해를 초래하는 리스크.</t>
  </si>
  <si>
    <t>· SF6 가스 주입식 차단기(GCB)의 가스 누출에 따른 전력 차단 불능 및 환경 규제 리스크를 검토하였는가?
- 특고압 차단기로 SF6 가스 주입식 차단기(GCB)를 설계 적용할 경우, 장기 가스 누기로 인한 대기 오염 환경 규제 저촉과 동절기/하절기 밀폐 성능 저하로 진공 파괴 및 전력 차단 불능 사고를 유발하는 리스크.</t>
  </si>
  <si>
    <t>· 변전실 제어용 니켈-카드뮴 축전지의 오염 및 보수 인력 과다 소요 리스크를 예방하였는가?
- 변전설비 제어전원용 예비 축전지로 중금속 오염 위험이 높은 니켈-카드뮴(Ni-Cd) 축전지를 적용함에 따라, 폐기물 처리 규정 위반 우려 및 정기적인 증류수 보충 보수 인력이 과다 소요되는 리스크.</t>
  </si>
  <si>
    <t>· 특고압 배전반 점검자 감전 사고 예방을 위한 활선 경보기(전압 표시기) 설계를 확보하였는가?
- 특고압 배전반에 가압(통전) 여부를 유지보수 점검자에게 시각적으로 경고하는 전압 표시기(활선 경보기) 설계 누락으로, 점검자가 잔류 전압이 가압된 충전부와 접촉하여 고압 감전 사망 사고가 일어나는 리스크.</t>
  </si>
  <si>
    <t>· 낙뢰 인입 시 저압 제어반 파손 방지를 위한 메인 분전반 SPD 억제 용량을 설계하였는가?
- 하절기 낙뢰 강타 시 한전 저압 전력 계통으로 역유입되는 고전압 서지를 차단할 SPD의 방전 억제 용량(kA) 부족으로 주요 정거장 조명, 엘리베이터 등 보조 동력 회로의 민감한 제어반이 파손되는 리스크.</t>
  </si>
  <si>
    <t>· 차량기지 대형 동력 부하용 개별 역률 개선 콘덴서 누락에 따른 무효 전력 손실을 예방하였는가?
- 차량기지 내 0.75kW 초과 대형 동력 설비(모터 등) 부하에 개별 역률 개선용 진상 콘덴서(Condenser) 설계를 누락하여, 배전 선로 무효 전력 손실 증가 및 한전의 역률 저하 가산 요금이 매월 청구되는 리스크.</t>
  </si>
  <si>
    <t>· 대용량 트램 급속 충전기 기동 돌입 전류에 따른 전압 플리커 및 통신 장애를 방지하였는가?
- 1,350kW급 트램 급속 충전기의 빈번한 단속 기동 시 발생하는 급격한 전압 강하 플리커(Flicker) 현상으로 인해 정거장 내 조명이 깜빡이고 주요 역사 통신/제어 장비에 전압 왜곡 에러 및 리셋을 일으키는 리스크.</t>
  </si>
  <si>
    <t>· 일반 정거장 변압기 단일 공용 설계에 따른 변압기 고장 시 정거장 전체 블랙아웃을 예방하였는가?
- 일반 정거장에서 전동차 충전 및 소내 전력을 1대의 변압기만으로 단순 공용 분배 설계함에 따라, 변압기 단일 사고(소손 등) 시 정거장 전체 스크린도어, 조명, 신호 시스템 전원이 완전 블랙아웃되는 리스크.</t>
  </si>
  <si>
    <t>· 자동절체개폐기(ATS) 진동에 의한 접점 융착 및 비상 전원 자동 절체 실패 리스크를 방지하였는가?
- 비상 시 한전 저압 수전 연동을 위해 설치하는 자동절체개폐기(ATS)의 잦은 기계적 동작 진동으로 인해 내부 가동 접점이 눌어붙어(융착), 실제 상용 정전 발생 시 비상 전원 자동 절체에 실패하는 리스크.</t>
  </si>
  <si>
    <t>· 한전 수전 1차측 피뢰기(LA) 제한 전압 용량 오선정에 따른 변전설비 낙뢰 소손을 방지하였는가?
- 한전 특고압 송배전 선로 입구부(1차측)에 설치하는 피뢰기(LA)의 제한 전압 용량 오선정으로, 외부 낙뢰 서지 인입 시 피뢰기가 대지로 충분히 방전하지 못하고 후단 변전설비 1차측 코일이 뇌격 소손되는 리스크.</t>
  </si>
  <si>
    <t>· 기중차단기(ACB) 스프링 모터 제어 전원 이중화 누락으로 인한 비상 복구 투입 불가 리스크를 예방하였는가?
- 정전 후 비상 복구 시 저압 기중차단기(ACB)의 수동 투입을 위한 차단기 내부 스프링 차지(Spring Charge) 모터 제어 회로에 전원 이중화가 누락되어, 비상 발전기 가동 시 차단기가 투입되지 못하는 리스크.</t>
  </si>
  <si>
    <t>· 차량기지 저압 분전반 누전차단기(ELB) 감도 오선정 및 누락에 따른 감전 재해 리스크를 방지하였는가?
- 차량기지 검수동, 세척고 및 일반 사무실 저압 배전 계통 설계 시, 인체 접촉 우려가 높은 수분 상존 구역 전기 콘센트 및 분전반 회로에 감전 보호용 누전차단기(ELB) 스펙이 누락되거나 부적합하여 작업자 감전 사망 재해를 야기하는 리스크.</t>
  </si>
  <si>
    <t>· 레일 매설 접지선의 토양 부식 및 단선에 따른 대지 저항 불만족 리스크를 방지하였는가?
- 레일 대지 전위 상승 및 보행자 감전 예방을 위해 지중에 포설하는 구리 매설 접지선(CU 35㎟)이 장기간 토양 부식 및 자갈 튐 등의 기계적 타격으로 단선되어 목표 대지 저항치를 불만족하게 되는 리스크.</t>
  </si>
  <si>
    <t>· 태양광 인버터 고조파 노이즈 방출에 따른 차량기지 통신망 전파 간섭 리스크를 방지하였는가?
- 차량기지 주차장 및 정비동 지붕에 설치하는 태양광 발전설비(180kW 등) 인버터의 교류 변환 시 발생하는 고조파 방출 차단 대책 미흡으로 기지 구내 무선/유선 통신망에 대역 간섭 노이즈를 유발하는 리스크.</t>
  </si>
  <si>
    <t>· 변압기실 자연 환기구 설계 한계에 따른 하절기 고온 트립 방지 강제 배기팬 연동을 검토하였는가?
- 특고압 변압기실 내부 자연 환기 설계 면적 부족 오류로 인해 하절기 변압기 권선 고온 경보 시 비상 강제 배기 송풍팬이 자동 기동 연동되지 않아 변압기 몰드 절연유 열화 및 과열 폭발/트립을 유발하는 리스크.</t>
  </si>
  <si>
    <t>· 특고압 계기용 변류기(CT) 오극성 체결에 따른 보호계전기 오트립 리스크를 예방하였는가?
- 특고압 수배전반 내 계기용 변류기(CT) 및 변압기(PT) 선정/결선 시 오극성(감극성 표준에 가극성 장착 등) 단자 연결 오류로 인해 정상 부하 전류 상태에서 보호계전기가 고장 상태로 오판하고 메인 차단기를 오트립 시키는 리스크.</t>
  </si>
  <si>
    <t>· 변전소 타이 차단기(Tie ACB) 인터록 누락에 따른 2개 변압기 위상 충돌 및 광역 화재 리스크를 방지하였는가?
- 두 대의 뱅크 변압기 저압측 메인 기중차단기(Main ACB)와 그 사이를 버스바로 연결하는 연계 타이 차단기(Tie ACB)가 운전 조작 미숙으로 동시 투입될 경우, 변압기 간 이종 상(Phase) 위상 단락 충돌로 수배전반 아크 폭발 및 광역 화재가 일어나는 리스크.</t>
  </si>
  <si>
    <t>· 분전반 말단 차단기와 메인 차단기 간 한시 차단 보호협조 불량에 따른 기지 전역 정전 리스크를 확인하였는가?
- 기지 말단 저압 분전반 또는 콘센트에서 단락 고장 사고 발생 시 해당 말단 차단기만 작동하지 않고 상위 수배전반 메인 차단기가 동시에 트립(보호협조 타이밍 미비)되어 결함이 없는 차량기지 전 구역 정전을 초래하는 리스크.</t>
  </si>
  <si>
    <t>· 급속 충전 중 전동차 배터리 과열 통신 장애 시 지상 차단기 강제 연동 실패로 인한 배터리 폭발 리스크를 방지하였는가?
- 1,350kW 대용량 트램 정거장 급속 충전 시 전동차 차상 배터리 과열(LTO 셀 온도 60℃ 초과 등)이 감지되어도, 차상-지상 간 무선 통신 장애로 충전 중단 명령이 전달되지 않아 지상 급전 차단 장치가 계속 송전하여 배터리가 열폭주 및 화재 폭발하는 리스크.</t>
  </si>
  <si>
    <t>· 정거장 변압기 병렬 운전 중 1대 고장 시 부하 전이로 인한 잔여 변압기 과부하 블랙아웃을 방지하였는가?
- 일반 정거장 소내 부하 전원 공급용 몰드변압기 2대를 병렬(또는 타이 연계) 운전 중 1대 고장 차단 시, 고장 변압기가 감당하던 잔여 전체 부하가 정상 1대 변압기로 몰리면서 연쇄 과부하 트립을 유발하고 정거장 전원을 블랙아웃 시키는 리스크.</t>
  </si>
  <si>
    <t>· 옥상 태양광 구조물의 지진/풍압 구조 안전성 미확보로 인한 전도 추락 보행자 재해를 예방하였는가?
- 차량기지 주차장 덮개 및 건물 옥상 슬래브에 가설하는 180kW급 대형 태양광 패널 구조물의 지진/강풍 구조 안전성 검토가 미흡하여, 태풍 내습 시 구조물 지지대가 꺾여 전도되거나 패널이 비산 추락하여 인근 주차 차량 파손 및 통행객 치명상을 유발하는 리스크.</t>
  </si>
  <si>
    <t>· 통전 표시기 UPS 예비 전원 누락에 따른 정전 시 감전 경고 차단 및 착오 접촉 리스크를 방지하였는가?
- 수배전반 내 부스바에 특고압 가압 여부를 시각적으로 점검자에게 경고하는 통전 표시기(활선 램프)의 전원 공급 장치 설계 시 상시 UPS 전원 연동이 누락되어, 한전 상용 정전 시 램프가 꺼져 점검자가 가압된 것으로 착오하고 접촉하여 감전당하는 리스크.</t>
  </si>
  <si>
    <t>· 저압 기중차단기(ACB) 트립 후 원격 리셋 불가에 따른 기지 전원 복구 지연 리스크를 방지하였는가?
- 저압 분전반에서 과전류 단락 사고 발생 후 트립된 메인 저압 기중차단기(ACB)의 고장 표시 디지털 보호계전기 릴레이가 관제실 SCADA 원격 명령으로 리셋(Reset)되지 않고, 오직 현장 전기실 수동 제어반 누름 제어만 강제되어 신속한 기지 전원 재투입 복구를 방해하는 리스크.</t>
  </si>
  <si>
    <t>· 진공차단기(VCB) 단락 차단 용량 오산정에 따른 차단기 파열 및 화재를 방지하였는가?
- 변전소 내 진공차단기(VCB) 용량 선정 시 수전 한전 계통의 최대 단락전류 산정 계산이 누락되어, 실제 배전 선로 단락 사고 발생 시 차단기가 고장 전류를 소호(Arc Extinguishing)하지 못하고 파열되어 수배전반이 전소되는 리스크.</t>
  </si>
  <si>
    <t>· 충전소 차량 충돌 방호벽 누락에 따른 충전기 파손 및 감전 사고 리스크를 방지하였는가?
- 차량기지 주차장 전기차 충전기(100kW급) 배치 시 차량 충돌 방지용 멈춤턱(카스토퍼) 및 보호 펜스 설계 누락으로, 충전 대기 차량 후진 충돌 시 충전 케이블 단절 및 충전기 본체 내부 특고압 충전부가 노출되어 이용자 감전 사고를 유발하는 리스크.</t>
  </si>
  <si>
    <t>· MCC 배전반 전후면 유지보수 이격 거리 미확보에 따른 비상 조작 지연 및 감전을 방지하였는가?
- 전기실 동력설비 MCC(Motor Control Center) 배치 설계 시 패널 전면 조작부 안전 여유 공간(KEC 기준 최소 70cm 이상) 미확보로 인해, 비상시 패널 문 개방 및 차단기 긴급 조작 시 보수원의 대피 동선이 차단되어 화상/감전 및 2차 인명 사고를 유발하는 리스크.</t>
  </si>
  <si>
    <t>· 대용량 충전기 외장 냉각 칠러용 동력 전원 누락에 따른 급속 충전 정지 리스크를 방지하였는가?
- 1,350kW 트램 급속 충전설비 전원 공급 설계 시 파워 모듈 및 충전 포트 케이블 냉각용 외장 칠러(Chiller) 구동을 위한 저압 동력 전원(380V) 분배 설계가 누락되어, 하절기 연속 급속 충전 시 발열 제어 불능으로 충전기가 과열 경보로 긴급 정지되는 리스크.</t>
  </si>
  <si>
    <t>· 회전구체법 보호 반경 산정 오류에 따른 옥상 구조물 낙뢰 보호 범위 이탈을 예방하였는가?
- 차량기지 주요 건물 피뢰침 설계 시 회전구체법 뇌격 보호각 반경 계산 오류로 인해, 연면적 50% 이상의 지붕 모서리와 돌출 소형 구조물이 뇌격 보호 범위에서 벗어나 옥상 설비 파손 및 우천 시 누전을 초래하는 리스크.</t>
  </si>
  <si>
    <t>· 무효전력보상장치(SVG) 응답 속도 사양 불량에 따른 계통 고조파 왜곡 및 변압기 과열 리스크를 검토하였는가?
- 기지 변전실 무효전력보상장치(SVG)의 스위칭 응답 속도 사양(ms) 검토 미흡으로 변동 부하가 급격히 전환될 때 역률 개선 추종 능력이 상실되어 계통 전류 왜곡을 가중시키고, 수전용 몰드 변압기의 이상 발열을 초래하는 리스크.</t>
  </si>
  <si>
    <t>· 충전/소내 병용 변압기 병렬 운전 시 전압 위상 동기화 장치 누락에 따른 단락 폭발 리스크를 방지하였는가?
- 시종점 정거장의 충전 및 소내 부하 겸용 변압기 2대 뱅크 구성 시, 평시 부하 분담 2대 병렬 운전을 위한 양측 변압기 2차측 전압 위상 동기화 장치가 누락되어 병렬 절체 조작 시 이종 위상 충돌로 타이 차단기가 아크 폭발하는 리스크.</t>
  </si>
  <si>
    <t>· 단락 위치 임피던스 미고려에 따른 말단 차단기(MCCB) 차단 용량 초과 및 소손 리스크를 방지하였는가?
- 기지 내 일반 펌프, 배기 FAN, 엘리베이터 등 전원 분전반의 배선용 차단기(MCCB) 차단 성능(kA) 설계 시, 주 변압기에서 가까운 물리적 직근 거리에 따른 선로 임피던스 감소 및 단락전류 급상승이 고려되지 않아 단락 시 차단기가 고장 전류를 차단하지 못하고 소손되는 리스크.</t>
  </si>
  <si>
    <t>· 터널 배수 펌프 선로 정전용량 누설전류 해석 누락에 따른 고감도 ELB 오트립 리스크를 예방하였는가?
- 본선 터널 배수 펌프용 전원반 설계 시 장거리 지중 선로 대지 정전용량에 의한 상시 누설전류 해석 없이 일반 고감도 누전차단기(ELB 30mA)를 적용하여, 다습한 터널 환경에서 펌프 기동 시 수시로 오트립되어 펌프 가동이 중단되고 본선 터널 침수를 초래하는 리스크.</t>
  </si>
  <si>
    <t>· UPS 배터리실 수소 가스 체류 및 강제 배기 소방 연동 누락에 따른 폭발 화재 리스크를 방지하였는가?
- 종합 관제센터 SCADA 시스템 백업용 대용량 UPS 배터리실 설계 시 강제 배기 시스템의 소방 감지 연동 누락으로, 과충전 시 무보수 축전지에서 방출되는 폭발성 수소 가스가 실내 천장부에 체류하다가 조명 및 차단기 기동 접점 스파크 시 대규모 폭발 및 화재로 전이되는 리스크.</t>
  </si>
  <si>
    <t>· 관통부 케이블 트레이 방화 밀폐재 및 연소 방지재 도포 누락에 따른 변전실 연쇄 화재 리스크를 예방하였는가?
- 기지 전력 공동구 및 트렌치 벽체 관통부 설계 시 규격화된 방화 씰(Fire-stop) 밀폐재 및 케이블 트레이용 연소 방지재(도료) 도포 설계가 도면 상 누락되어, 국부 케이블 열화 화재 시 불길과 유독 가스가 전선관을 타고 주 변전실 및 제어실로 연쇄 전파되는 치명적 리스크.</t>
  </si>
  <si>
    <t>· 매립궤도 충진재 및 궤도 재료 선정 시, 차량 주행 하중 및 외기 온도 변화에 따른 내구성 기준을 만족하여 충진재 탈락 및 도상 파괴 리스크를 방지하였는가?
- 변전실 바닥 슬래브 설계 시 변전소 하부 궤도를 주행하는 트램 진동이 변전소 정밀 차단기 기동 장치로 전파되어 기계식 래치 및 볼트 풀림을 유발하고 수배전반 접촉 불량에 의한 아크 사고 리스크.</t>
  </si>
  <si>
    <t>· 전력 공동구 및 케이블 배선 피트 설계 시, 포설 하중 및 소방 규격을 검토하여 변전실 화재 및 구조물 전도 리스크를 방지하였는가?
- 공동구 및 전선 피트 내 케이블 트레이 설계 시 다수의 특고압/고압 동력 케이블 포설 총하중에 대한 지지 브라켓과 고정 앵커의 인장 강도 계산이 누락되어, 케이블 자중에 의해 트레이 전체가 휘거나 전도 붕괴되는 리스크.</t>
  </si>
  <si>
    <t>· 정거장 및 배선 계획 수립 시, 타 교통수단 및 보행 동선의 혼잡도를 고려하고 간섭을 최소화하여 환승 병목 리스크를 방지하였는가?
- 시종점 정거장 트램 급속 충전(대용량) 기동 시 순간적인 전압 강하 플리커가 소내 공급 전압에 10%를 초과하는 전압 왜곡을 일으켜, 스크린도어(PSD) 구동 제어반 오동작 및 오인 차단으로 화재 시 승객 탈출을 방해하는 리스크.</t>
  </si>
  <si>
    <t>· 차량기지 및 정차 정거장 배선 계획 시, 첨두시 열차 입출고 동선 및 반복 회차 효율성을 극대화하여 열차 운행 지연 리스크를 완화하였는가?
- 기지 전력 공동구 및 트렌치 벽체 관통부 설계 시 규격화된 방화 실재(Fire-stop) 및 케이블 트레이용 연소 방지재 도포 설계가 누락되어, 국부 케이블 화재 시 불길이 전선관을 타고 전 변전실 및 제어실로 연쇄 전파되는 리스크.</t>
  </si>
  <si>
    <t>· 특화정거장 주민 편의 공간 에어컨 실외기실 가동 시 전기 부하 과부하에 따른 차단기 트립 리스크를 방지하기 위해 관련 기준 준수 및 설계 적정성을 검토하였는가?
- 특화정거장 주민 편의 공간 에어컨 실외기실 가동 시 전기 부하 과부하에 따른 차단기 트립으로 인해 안전사고 및 추가 비용을 유발하는 리스크.</t>
  </si>
  <si>
    <t>· 궤도 매립선로 횡단부 누설전류(Leakage Current) 저감을 위한 레일 절연용 탄성 필러 손상 리스크를 방지하기 위해 관련 기준 준수 및 설계 적정성을 검토하였는가?
- 궤도 매립선로 횡단부 누설전류(Leakage Current) 저감을 위한 레일 절연용 탄성 필러 손상으로 인해 안전사고 및 추가 비용을 유발하는 리스크.</t>
  </si>
  <si>
    <t>· 교량구간 신축Joint 거동에 따른 전력 공급 피더선 마찰 손상으로 고압 스파크 리스크를 방지하기 위해 관련 기준 준수 및 설계 적정성을 검토하였는가?
- 교량구간 신축Joint 거동에 따른 전력 공급 피더선 마찰 손상으로 고압 스파크로 인해 안전사고 및 추가 비용을 유발하는 리스크.</t>
  </si>
  <si>
    <t>· 차량기지 정비용 크레인 하부 고압 피더선의 피복 쓸림에 따른 지락 단락 및 감전 사고 리스크를 방지하기 위해 관련 기준 준수 및 설계 적정성을 검토하였는가?
- 차량기지 정비용 크레인 하부 고압 피더선의 피복 쓸림에 따른 지락 단락 및 감전 사고로 인해 안전사고 및 추가 비용을 유발하는 리스크.</t>
  </si>
  <si>
    <t>No</t>
  </si>
  <si>
    <t>비고</t>
  </si>
  <si>
    <t>Task checklist</t>
  </si>
  <si>
    <t>Risk checklist</t>
  </si>
  <si>
    <t>지반조사</t>
  </si>
  <si>
    <t>건축한계 및 용지폭 계획</t>
  </si>
  <si>
    <t>위례선 서울교통공사 요구사항 답변</t>
  </si>
  <si>
    <t>트램 제작사 또는 트램 계획 지역 시군구 위탁 정비 검토.</t>
  </si>
  <si>
    <t>트램 중장비 기동 기지 부재, 제작사도 역량이 작아 위탁 정비 회피 문제 리스크를 검토하였는가?</t>
  </si>
  <si>
    <t>위례</t>
  </si>
  <si>
    <t>교량 접속부 궤도 계획</t>
  </si>
  <si>
    <t>위례선 운행시 분야별 예상 문제점 및 해결방안 검토</t>
  </si>
  <si>
    <t>궤도 청소 차량 운영 반영함.</t>
  </si>
  <si>
    <t>쓰레기, 진흙 등 이물질로 인한 궤도 매몰 및 장애물 발생 리스크를 검토하였는가?</t>
  </si>
  <si>
    <t>운영</t>
  </si>
  <si>
    <t>속도 제한 운행 및 일기예보에 따른 운행 중단 검토.</t>
  </si>
  <si>
    <t>측면 강풍에 의한 탈선 리스크를 검토하였는가?</t>
  </si>
  <si>
    <t>구원 차량과 연결기 호환성 확보, 연결 실패시 비상제동기능 확보.</t>
  </si>
  <si>
    <t>비상시 고장 열차와 구원 차량 연결 실패 리스크를 검토하였는가?</t>
  </si>
  <si>
    <t>본선 및 교차로 궤도 계획</t>
  </si>
  <si>
    <t>본선과 지선 구분 운영하여 시각 단축 반영함.</t>
  </si>
  <si>
    <t>정거장 과다 시각, 전선 및 지선간 운영시각 격차로 인성민원 발생 리스크를 검토하였는가?</t>
  </si>
  <si>
    <t>선로 횡단부 안전 계획</t>
  </si>
  <si>
    <t>속도 제한 장치 차량 설치, 안전 운전 지침 교육 반영함.</t>
  </si>
  <si>
    <t>제한속도 초과 운전에 의한 탈선 리스크를 검토하였는가?</t>
  </si>
  <si>
    <t>선로전환기 작동 주기 점검.</t>
  </si>
  <si>
    <t>운전자 실수에 의한 선로 오진입 리스크를 검토하였는가?</t>
  </si>
  <si>
    <t>입찰안내서 / 노면전차시설 설계 가이드라인</t>
  </si>
  <si>
    <t>운영 및 통합관제계획</t>
  </si>
  <si>
    <t>운영단계 기관사 기확보 및 신속 양성 가능하도록 건설시 기관사 양성기관 인증 수준의 모의운전연습 시설 설치(기관사 인력 소실시 노면전차 기관사 양성기관 신속 승인 되도록 준비) 반영함.</t>
  </si>
  <si>
    <t>개통시 및 타 트램 개통 시 운영 핵심 인력 대량 급여 우려, 트램 운영 핵심 인력 대량 공백 우려 및 인력 순환체계 어려움 발생 리스크를 검토하였는가?</t>
  </si>
  <si>
    <t>트램 제작사가 현실적 차량 검수 주기 제시 및 보증 요청 반영함.</t>
  </si>
  <si>
    <t>신형 트램 고려하여 7D/4M/4Y/8Y로 조정 시 운영비용 절감 가능, 트램 제작사가 현실적 검수주기로 예방정비 하도록 계약서 사양 재정립 필요 리스크를 검토하였는가?</t>
  </si>
  <si>
    <t>운전실 분리 및 잠금 장치, 승객에 대한 감시 및 소란 방지 반영함.</t>
  </si>
  <si>
    <t>승객에 의한 안전운행 방해 리스크를 검토하였는가?</t>
  </si>
  <si>
    <t>구내 보행 동선 및 건널목 안전 계획</t>
  </si>
  <si>
    <t>00. 위례선(트램) 운영관련 현안사항 검토 보고</t>
  </si>
  <si>
    <t>KR A-08041 차량정비기지 지원시설 참고 필요(입도선로 기본설계 상 311m 적용) 반영함.</t>
  </si>
  <si>
    <t>차량기지 시험선 구내 시험선 기능여부 검토 필요(최소 연장 275m) 리스크를 검토하였는가?</t>
  </si>
  <si>
    <t>검수 동선에 따른 적용 여부 검토 필요 반영함.</t>
  </si>
  <si>
    <t>2차 임시 식별 가능한 전식기 설치 필요(운영효율 50% 증가) 리스크를 검토하였는가?</t>
  </si>
  <si>
    <t>구내 유지관리 차량 이동동선 확인 후 반영.</t>
  </si>
  <si>
    <t>구내도로에 비상입출고선/진입선 추가 리스크를 검토하였는가?</t>
  </si>
  <si>
    <t>레이아웃 설계시 반영.</t>
  </si>
  <si>
    <t>구내도로는 지게차운용, 자재반입을 고려하여 확대 적용 필요 리스크를 검토하였는가?</t>
  </si>
  <si>
    <t>궤도 및 안전계획</t>
  </si>
  <si>
    <t>11-31 서울시 요구사항점검보고서 서울시 보고</t>
  </si>
  <si>
    <t>위례트램은 운영사 요청사항으로 공사비 증액(35.6억) 반영, 차량기지 설계시 차륜운영 공간, 모래충전 설비 공간 반영 검토.</t>
  </si>
  <si>
    <t>궤도 청소차, 겨울철 모래분사설비 구매(운영사인 서울교통공사 요청사항), 매립형 궤도 제설 장비, 차량기지내 모래 보관 장치 리스크를 검토하였는가?</t>
  </si>
  <si>
    <t>하차, 궤도청소차, 사고복구차, 고소작업차 등을 고려한 주차공간 확보 필요 리스크를 검토하였는가?</t>
  </si>
  <si>
    <t>강화유리 설치.</t>
  </si>
  <si>
    <t>외부 물체에 의한 충격으로 유리 파편에 승객 부상 리스크를 검토하였는가?</t>
  </si>
  <si>
    <t>끼임방지 브러시 설치.</t>
  </si>
  <si>
    <t>도어 손끼임 끼임 사고 리스크를 검토하였는가?</t>
  </si>
  <si>
    <t>차량 내부 제어장치 보안 강화.</t>
  </si>
  <si>
    <t>차량 내 무단 조작 리스크를 검토하였는가?</t>
  </si>
  <si>
    <t>사업기지 내 모의운전연습기 설치 및 개통 전 충분한 훈련 교육 추가 반영함.</t>
  </si>
  <si>
    <t>국내외 트램과 달리 개발된 노선 트램 운전에 대한 부담 존재, 트램 승무 운전 경험 적은 노면전차 양성기관 교육의 교육 훈련 부실 우려 리스크를 검토하였는가?</t>
  </si>
  <si>
    <t>반영 여부 검토 필요 반영함.</t>
  </si>
  <si>
    <t>휠식선, 쿨링파이프 좌우 부품 저장대 설치 필요 리스크를 검토하였는가?</t>
  </si>
  <si>
    <t>동탄트램 기본설계에 기반한 사항으로 입찰시 통합 반영 평가 예상 반영함.</t>
  </si>
  <si>
    <t>대형소형 밸브 설치 및 운영 필요(세정수 및 건조시간 필요) 리스크를 검토하였는가?</t>
  </si>
  <si>
    <t>마모성, 코아디텍션은 입출고선 인근 설치 필요 리스크를 검토하였는가?</t>
  </si>
  <si>
    <t>레이아웃 설계서 반영.</t>
  </si>
  <si>
    <t>공기 청소선 필요(정기적인 차량하부 공기청소 필요) 리스크를 검토하였는가?</t>
  </si>
  <si>
    <t>모터카고 및 사고복구 장비 배치</t>
  </si>
  <si>
    <t>차량기지 배선 시 모터카고 진출입 선로를 교차 없는 독립 동선으로 설계하고, 본선(출고선) 즉각 진입이 가능한 최단 거리에 배치하여 도면에 명확히 반영함.</t>
  </si>
  <si>
    <t>모터카고 출고선 및 분기기 전환 방향을 정밀 시공하고, 개통 전 모터카 긴급 출동 모의 훈련으로 진로 개통 시간 및 차량 간섭 여부를 전수 검증함.</t>
  </si>
  <si>
    <t>검수고 기능실 인근 공구실 배치 필요 리스크를 검토하였는가?</t>
  </si>
  <si>
    <t>모터카고 설계 시 본선 진출입구와 인접하고 영업 차량 간섭이 없는 독립된 긴급출동 전용 선형 및 동선을 확보하여 배치계획을 도면에 반영함.</t>
  </si>
  <si>
    <t>모터카고 주변 시공 시 긴급 복구차량 전개 및 장비 상하차에 방해되는 지장물(가로등, 지주 등)이 진출입로에 배치되지 않도록 간섭을 철저히 배제함.</t>
  </si>
  <si>
    <t>입출고선 설계 시 주변 주거단지와의 이격거리를 고려해 성토고를 최적화하고, 고성토 구간에는 방음벽 및 차폐 조경 시설을 도면에 반영해 소음·진동·시각적 위압감 민원을 차단하는 종·평면 선형계획을 수립함.</t>
  </si>
  <si>
    <t>성토 공사 시 장비 진동과 비산먼지가 민가로 확산되지 않도록 가설 방음판·살수시설 등 환경 저감 시설을 가동하고, 주민 협의체에 공사 일정을 사전 공유함.</t>
  </si>
  <si>
    <t>차량기지 경계 사면 계획 시 지반조사 기반 사면안정성 검토를 수행하고, 용지 최소화를 위해 보강토 옹벽, 앵커, 쏘일네일링 등 영구 비탈면 보강 공법을 반영함.</t>
  </si>
  <si>
    <t>굴착 중 상이한 지층(파쇄대, 연약층) 발견 시 굴착을 중지하고 보강 공법을 변경하며, 지중경사계 및 지하수위계로 사면 변위를 상시 모니터링함.</t>
  </si>
  <si>
    <t>선로 종단부 설계 시 트램 제한속도·중량을 고려해 유압식·마찰식 차막이를 선정(완충 연장 5.0m 등)하고, 범퍼(Buffer) 높이에 맞춘 타격 중심고(R.L+650mm 등)를 도면에 명시함.</t>
  </si>
  <si>
    <t>하부 기초 콘크리트를 견고히 타설하여 차막이 지지력을 확보하고, 실제 트램 범퍼 위치와 차막이 타격면이 일치하도록 고도와 센터를 정밀 세팅함.</t>
  </si>
  <si>
    <t>세척 및 폐수처리 설비</t>
  </si>
  <si>
    <t>세척기 본체는 옥외, 펌프·제어반(Control Box)은 옥내 기계실에 분리하고, 자연 구배 폐수 유입을 위해 폐수처리장 최인접 배치를 도면에 반영함.</t>
  </si>
  <si>
    <t>옥내외 배관·케이블 연결부(지중 매설부)에 방수·동파 방지 보온재를 시공하고, 폐수처리장행 트렌치·배관 막힘 방지용 정밀 구배를 시공함.</t>
  </si>
  <si>
    <t>설비 교체시 필요한 작업반경 검토 필요 반영함.</t>
  </si>
  <si>
    <t>누유 세정기 구체 고려 설비 천장고 수정 필요 리스크를 검토하였는가?</t>
  </si>
  <si>
    <t>윈치 세척선은 대형소선 인근 설치 필요 리스크를 검토하였는가?</t>
  </si>
  <si>
    <t>입출고선 차체 세척기 설치 공간 확보 필요 리스크를 검토하였는가?</t>
  </si>
  <si>
    <t>세척기 본체는 옥외 선로에, 동결·누전 위험이 있는 펌프, 모터, 시스템 제어반(Control Box) 등은 옥내 세척기계실에 배치하도록 도면에 분리 반영함.</t>
  </si>
  <si>
    <t>옥내외 연결 배관 및 케이블 관통부를 완벽히 방수·기밀 처리하고, 시운전 시 옥내 제어반을 통한 원격 무인 살수 제어가 정상 작동하는지 전수 테스트함.</t>
  </si>
  <si>
    <t>옥외세척고 설계 시 세척수 비산 방지용 차수벽·가림막을 반영하고, 폐수가 100% 폐수처리장으로 자동 유입되도록 펌프 및 전용 배관 규격을 수리수문계산서에 명시함.</t>
  </si>
  <si>
    <t>세척고 바닥 타설 시 집수 트렌치 방향으로 물구배를 시공해 물고임을 차단하고, 폐수 이송 관로 수압(누수) 테스트 후 세척 시스템과 폐수처리장 연동 시운전을 실시함.</t>
  </si>
  <si>
    <t>검수고 등 대공간 설계 시 화재 대비 기계 배연(제연팬) 설비 용량을 산출하고, 소방차 진입 동선 연계 연결송수구 및 방화구획(내화채움구조 등)을 분야 간 연계 반영함.</t>
  </si>
  <si>
    <t>제연설비 덕트·팬 시공 시 고열 대비 내열·내화 마감을 적용하고, 화재감지기 연동 테스트로 배연 모드(강제배기 전환 등) 정상 작동 여부를 소방 연동 시험(T.A.B)함.</t>
  </si>
  <si>
    <t>부지 굴착 설계 시 유출 지하수 및 100년 빈도 확률강우량을 산정해, 공공하수관로 연계 배출 시 통수 능력이 부족하지 않도록 수리 계산서 및 지하수 활용 계획을 반영함.</t>
  </si>
  <si>
    <t>우수관로 시공 시 역구배 방지 정밀 측량으로 매설하고, 공공하수관로 접속부의 누수·파손 방지 마감 후 우기 전 통수 시험으로 배출 원활 여부를 확인함.</t>
  </si>
  <si>
    <t>장래 차량 증결을 예측하여 유치선 신설 여유 부지를 확보하고, 검수고·종합관리동의 증축이 가능한 구조(기초 지지력 확보 등)를 도면에 반영함.</t>
  </si>
  <si>
    <t>장래 확장 부지는 타 용도라도 지지력 확보를 위해 토공 다짐(다짐도 95% 이상 등)을 시공하고, 증축부 이음매 및 노출 철근 부식 방지 조치를 이행함.</t>
  </si>
  <si>
    <t>시스템 기능실</t>
  </si>
  <si>
    <t>신호·통신기능실 설계 시 지중 케이블 배선 거리 최소화를 위해 위치를 최적화하고, 장비 반입구, 악세스플로어(Access Floor), 항온항습기, 가스계 자동소화설비를 설계에 반영함.</t>
  </si>
  <si>
    <t>악세스플로어(Access Floor) 시공 전 하부 방진 도장 및 케이블 트레이를 거치하고, 가스계 자동소화설비 시공 후 룸 팬 테스트(Room Integrity Test)로 기밀성을 검증함.</t>
  </si>
  <si>
    <t>차량 및 시스템 제작감독 시 운영사 참여 및 제작사 교육 확대, 시운전 단계 운영사 참여, 제작사 유지보수 용역 시행 및 페널티 적용.</t>
  </si>
  <si>
    <t>트램 제작 경험 없는 제작사 차량 및 신규 개발 시스템 운영 부담 높음, 오류도출 국가 R&amp;D 실증사업 중단 후 운영 실증 부재 리스크를 검토하였는가?</t>
  </si>
  <si>
    <t>출입문 개폐신호를 일반 개폐가 아닌 승객 터치 물림으로만 개폐되도록 제작, 고효율 냉난방 시스템 적용.</t>
  </si>
  <si>
    <t>차량 배터리 절약에 대한 별도 시스템 및 설계 필요 리스크를 검토하였는가?</t>
  </si>
  <si>
    <t>자재창고는 검수고 기능실 인접 설치 필요 리스크를 검토하였는가?</t>
  </si>
  <si>
    <t>유류고 설계 시 기름 유출 대비 바닥 둘레 오일 트렌치 및 차단형 오일집수정을 도면에 반영하고, 우수관 직결 방지용 맹암거 차수 배관망을 별도 계획함.</t>
  </si>
  <si>
    <t>유류고 바닥·트렌치는 내유성 에폭시 등 특수 방수재로 밀실 코팅 마감하고, 배수관 말단 유수분리 시설의 정상 작동 여부를 담수 및 배수 테스트로 확인함.</t>
  </si>
  <si>
    <t>차량기지 설계 시 공기청소고를 종합관리동 등 청정도 요구 시설과 이격해 외곽 배치하고, 강제 배기 및 집진 설비와 연동되는 밀폐형 차단 구조를 도면에 반영함.</t>
  </si>
  <si>
    <t>공기청소고 시공 시 집진 설비용 덕트·필터를 기밀하게 시공하고, 시운전 시 고압 공기 분사로 분진 누출 여부 및 집진기 성능·풍량을 전수 테스트함.</t>
  </si>
  <si>
    <t>급속 충전설비 설계 시 슈퍼캐퍼시터 충전 고조파·노이즈 영향을 분석하고, 차폐 케이블, 노이즈 필터, 물리적 이격거리 확보 등 분야 간 통합 노이즈 방지대책을 도면에 반영함.</t>
  </si>
  <si>
    <t>케이블 포설 시 고압선·통신선 이격거리를 규정대로 시공하고, 종합시험운행 시 실제 급속 충전 환경의 노이즈 스펙트럼을 측정해 통신 감쇄 및 오작동 여부를 검증함.</t>
  </si>
  <si>
    <t>신호/통신 장비실 및 관제센터 설계 시 이중바닥(Access Floor)을 도면에 반영하고, 화재 시 장비 훼손 방지를 위해 소방 설계에 청정 소화약제(가스계) 자동소화설비를 적용함.</t>
  </si>
  <si>
    <t>이중바닥 하부 분진 방지용 방진 도장을 시공하고, 가스계 소화설비 시공 시 기밀성(방화문, 댐퍼 연동) 확보 및 규정 농도 유지를 위한 T.A.B(Testing, Adjusting, Balancing)를 이행함.</t>
  </si>
  <si>
    <t>옥외세척고 대기 동선 경합 배제 계획</t>
  </si>
  <si>
    <t>세척고 배선 설계 시 자동세척기 통과 대기 선로 연장(유효장)을 주 입출고선과 간섭 없는 별도 우회선상에 배치해, 대기 행렬이 입고 동선을 가로막지 않도록 배선도를 최적화함.</t>
  </si>
  <si>
    <t>세척선 시공 시 샵드로잉에 따른 선형 유효장을 확보하고, 시운전 시 다수 열차를 연속 투입해 '세척-유치선 진입-후속 열차 입고'의 연쇄 동선이 막힘없이 연동되는지 종합 시험을 수행함.</t>
  </si>
  <si>
    <t>별도 반영 검토.</t>
  </si>
  <si>
    <t>내청소선 인접 청소원 대기실/샤워실 및 청소 자재 창고 설치 필요 리스크를 검토하였는가?</t>
  </si>
  <si>
    <t>일상선, 중정선선 청소원 현장 대기실 설치 필요 리스크를 검토하였는가?</t>
  </si>
  <si>
    <t>유류고는 인원 밀집을 피한 1층 단독 구조물로 설계하고, 유증기 폭발 방지용 강제 배기 환기팬 및 방폭형 전기·조명 설비를 관련 도면에 연계 반영함.</t>
  </si>
  <si>
    <t>유류 유출 대비 바닥 불침투성 내유재(에폭시 등) 도포 및 방유제(차수턱)를 정밀 시공하고, 방폭 기구 전선 결선부(실링 피팅 등) 기밀 시공 여부를 합동 검측함.</t>
  </si>
  <si>
    <t>유류고 설계 시 드럼통 반입 및 누출 유류 회수를 위해 바닥 레벨을 구내 도로와 동일한 1층 단층 구조로 계획하고, 폭발 방지용 방폭형 강제 배기팬을 도면에 반영함.</t>
  </si>
  <si>
    <t>1층 진입로에 하역 차량용 평탄 동선을 확보하고, 방폭형 환기팬 설치 후 T.A.B를 수행해 유증기 기준 농도 이하 배출을 소방 감리 입회하에 검증함.</t>
  </si>
  <si>
    <t>옥외 유치선 및 충전선 설계 시 눈·비 차단용 대형 캐노피를 구조계산(풍하중, 적설하중 고려)에 반영하고, 급속충전 팬터그래프 가선과 지붕 간 전기적 절연 이격거리를 확보함.</t>
  </si>
  <si>
    <t>3D 정밀 측량으로 궤도·건축한계선 침범 없이 캐노피 기둥 기초를 타설하고, 빗물이 충전 설비나 트램 옥상에 떨어지지 않도록 배수 홈통 및 처마 마감을 완벽히 시공함.</t>
  </si>
  <si>
    <t>자재창고 설계 시 중량 예비품(대차, HVAC 등) 지게차 운반을 위해 작업장 간 통로 폭을 장비 회전반경 이상으로 확보하고 무단차(Level-free) 동선 설계를 적용함.</t>
  </si>
  <si>
    <t>바닥 및 통로 시공 시 평탄도 관리 후 에폭시·액상하드너로 마감하고, 장비 주행 구역과 보행자 통로 구분을 위한 안전 도색(Safety Line) 및 지장물 보호용 볼라드를 시공함.</t>
  </si>
  <si>
    <t>자재창고는 검수고와 가깝게 배치해 중량 예비품(대차, 윤축 등) 지게차 동선을 단축하고, 폐기물 집하장은 전용 차수 구조(트렌치, 오일트랩 등) 및 대형 화물차 접근용 상하차 공간을 분리·설계함.</t>
  </si>
  <si>
    <t>자재창고 바닥은 중량 부품 및 지게차 하중에 견디도록 기초 지지력과 표면 강화재(하드너 등)를 시공하고, 집하장은 오염수 유출 방지용 에폭시 코팅 및 집수 트렌치 구배를 정밀 시공함.</t>
  </si>
  <si>
    <t>변전실 및 전기실 설계 시 수배전반 큐비클 내부 아크/단락 화재 진압용 내장형 소공간 가스 자동소화장치(튜브형 등)를 도면에 필수 반영함.</t>
  </si>
  <si>
    <t>수배전반 반입 시 사전 설치된 소공간 자동소화설비 감지 튜브 파손 여부를 검수하고, 결선 후 화재 수신반·관제실 방출 알람 표출 등 화재 연동 시험을 실시함.</t>
  </si>
  <si>
    <t>통합 공동관로 설계 시 장래 확장을 위한 예비 공배관(Spare Duct)을 산정하고, 점검용 핸드홀 및 횡단 관로를 도면에 연계 반영함.</t>
  </si>
  <si>
    <t>매설 전 3D 간섭 검토로 적정 심도(0.6m 이상 등)를 확보하고, 되메우기 전 맨드릴(Mandrel) 통과로 배관 찌그러짐·토사 유입을 전수 검사함.</t>
  </si>
  <si>
    <t>유치선 및 시운전선 설계 시, 과속·오조작 추돌 차단용 비상제동 시스템(과주방지설비 포함) 및 위치 검지 설비를 신호-차량-궤도 통합 설계에 반영함.</t>
  </si>
  <si>
    <t>시공 후 시운전선에 실제 트램을 투입해 속도별 제동거리 및 비상제동 응답성을 시험하고, 차막이(스토퍼) 등 물리적 방호시설과 신호제어 연동을 100% 검증함.</t>
  </si>
  <si>
    <t>옥외 급속 충전설비 및 배전반 설계 시 침수·누전 방지용 캐노피 또는 고등급 방수 외함(IP Rating)을 적용하고, 보안 펜스 및 CCTV 배치를 도면에 반영함.</t>
  </si>
  <si>
    <t>옥외 설비 이음부 누수 방지용 전용 실링을 시공하고, 보안 펜스의 규정 접지(Earth) 및 CCTV 중앙관제실 연동 상태를 종합시험운행 중 전수 점검함.</t>
  </si>
  <si>
    <t>정전(Blackout) 대비 핵심 설비(소방, 관제실 등) 무중단 전력 공급을 위한 적정 용량의 비상발전기 및 UPS(무정전 전원장치)를 전기 설계에 반영함.</t>
  </si>
  <si>
    <t>비상발전기 및 UPS 설치 후 블랙아웃 시뮬레이션을 통해 ATS(자동절환스위치) 즉각 작동 및 중요 부하로의 비상전력 투입을 철저히 검증함.</t>
  </si>
  <si>
    <t>옥외 수배전반 및 MCC반 설계 시 100년 빈도 확률강우량 침수 해석을 수행해 기초 PAD 레벨을 궤도면(연단부)보다 높게 산정하여 도면에 반영함.</t>
  </si>
  <si>
    <t>MCC반 및 옥외 설비 PAD 주변 구배를 mm 단위로 정밀 측량해 우수 유입을 막고 외부 우수관으로 배출되게 시공하며, 관통부 방수 마감을 철저히 이행함.</t>
  </si>
  <si>
    <t>차륜전삭선을 유치선·입출고선 간섭 없는 독립 선로로 분기하고, 트램 1편성 작업이 가능한 전후방 여유거리 포함 선로 유효장을 평면도에 반영함.</t>
  </si>
  <si>
    <t>전삭선 시공 시 장비 삭정 포인트와 레일 중심선을 3D 측량으로 세팅하고, 주변 궤도는 작업 통행 및 칩 처리가 용이한 매립형 평탄화 포장을 이행함.</t>
  </si>
  <si>
    <t>차량기지 급·배수 계획</t>
  </si>
  <si>
    <t>급수 설계 시 세척 폐수 재활용용 중수도(Water Reclamation) 시스템 및 전용 저류조를 반영하고, 상수도는 식음·위생용으로 분리해 배관 계통을 이원화함.</t>
  </si>
  <si>
    <t>배관 시공 시 상수도·중수도 배관을 색상 코딩(Color Coding) 등으로 구분해 오접속을 차단하고, 시운전 시 세척 노즐이 막히지 않는 수준의 수질 테스트를 이행함.</t>
  </si>
  <si>
    <t>크레인 용량 검토 후 반영 여부 검토 필요 반영함.</t>
  </si>
  <si>
    <t>차량기지 작업실 내 현진그레인을 지브크레인 설치로 변경 리스크를 검토하였는가?</t>
  </si>
  <si>
    <t>차량기지 검수고·유치선·세척선 설계 시, 차량 및 작업자 동선 간섭 방지용 3D BIM 시뮬레이션을 수행하고 병목 없는 연속 흐름의 최적 평면 레이아웃을 도면에 반영함.</t>
  </si>
  <si>
    <t>시공 전 대형 검수 장비(전삭기 등) 규격 및 선회 반경을 마킹(Mock-up)해 동선 간섭을 재확인하고, 장비 반입 전 방해되는 지장물 및 가설물을 철저히 제거함.</t>
  </si>
  <si>
    <t>옥외세척고 통과 시 병목현상을 분석해, 세척 대기 차량이 본선 및 유치선 동선을 침범하지 않도록 전면에 차량 대기선(Queuing Line) 유효장을 배선도에 반영함.</t>
  </si>
  <si>
    <t>대기선 구간에 열차 위치 검지장치(차축검지기 등)를 배치하고, 세척고 신호 통제 시스템과 연동해 선행 차량 세척 전 후속 차량 진입을 막는 제어 로직을 구축함.</t>
  </si>
  <si>
    <t>부지 조성 설계 시 향후 트램 차량 증편을 대비해 추가 유치선(장래 12편성 등) 예비 공간을 지장물 간섭 없는 위치에 선제 확보하여 배치도에 명시함.</t>
  </si>
  <si>
    <t>노반 시공 시 장래 확장 부지의 평탄화·다짐을 완료하고, 향후 영업 선로 굴착 방지를 위해 지하 배수 및 예비 관로(스페어 관로)를 경계면까지 사전 시공함.</t>
  </si>
  <si>
    <t>지하 통합 공동구(Utility Tunnel)를 설계해 케이블·배관을 수용하고, 점검 통로 폭 및 집수정·환기구 위치를 도면에 반영함.</t>
  </si>
  <si>
    <t>수밀 콘크리트·지수판으로 지하수를 차단하고, 설치 전 3D 샵드로잉(BIM)으로 공종별 간섭 배제 및 지지대 이격을 조율함.</t>
  </si>
  <si>
    <t>다목적 공간(안전교육장, 체험시설 등) 설계 시, 충전구역 및 유치선/검수선 등 위험 구역과 차단되도록 외부인 전용 출입 동선을 구획하고, 보안 펜스 및 출입 통제 설비(스크린도어, 지문/카드 리더기 등)를 도면에 반영함.</t>
  </si>
  <si>
    <t>다목적 공간 및 보행로 시공 시 위험 구역 틈새를 차폐 구조물로 견고히 시공하고, 개방 전 관제실 연동 침입 감지 CCTV/알람 시스템 정상 작동과 펜스 방호력을 100% 검증함.</t>
  </si>
  <si>
    <t>레이아웃 설계 시 종합관리동을 검수고 소음·진동으로부터 분리 배치하고, 관제실이 차량기지 전역을 육안 감시할 수 있도록 적정 층수 및 전면 창호(조망권) 계획을 도면에 수립함.</t>
  </si>
  <si>
    <t>시공 시 관제실 전면 시야를 가리는 외부 지장물(수목, 환기구 등)이 없도록 공종 간 간섭을 조정하고, 외부 조망 시 빛 반사(Glare)가 없도록 조명 및 마감재 반사율을 제어해 시공함.</t>
  </si>
  <si>
    <t>변전소 설계 시 동선 간섭 없는 독립 위치에 배치하고, 변압기 발열 배출을 위해 열부하 계산 기반 적정 용량의 강제 환기(또는 공조) 설비를 도면에 반영함.</t>
  </si>
  <si>
    <t>변전소 시공 시 반입구 진입로에 트레일러 하중용 강성 포장을 실시하고, 환기구에 방충망 및 방수 루버를 밀실하게 설치해 이물질 침투 및 절연 파괴를 방지함.</t>
  </si>
  <si>
    <t>차량기지 전체 설비(TCMS, SCADA 등)의 등전위화 통합접지(Mesh Grounding) 및 낙뢰 대비 서지보호기(SPD) 다단계 피뢰계획을 도면에 반영함.</t>
  </si>
  <si>
    <t>기초 터파기 시 나동선 접지망을 테르밋 용접(Cadweld)으로 매설하고, 대지저항률을 측정해 통합접지 저항값(1Ω 이하) 미달 시 접지봉/저감재로 보강함.</t>
  </si>
  <si>
    <t>승강기 내부에 갇힘 대비 감시용 CCTV를 배치하고, 종합관제실 시스템과 연동하기 위한 프로토콜 및 라이센스 내역을 도면에 반영함.</t>
  </si>
  <si>
    <t>승강기 가동 시 CCTV 영상이 지연 없이 종합관제실 표시반에 표출되는지 통신-기계 합동 연동 시험(SIT)을 이행함.</t>
  </si>
  <si>
    <t>폐기물·재활용품 보관소를 외곽에 분리 설계하고, 수거 트럭이 본선 궤도 횡단 없이 진출입하는 독립 도로 동선 및 비산 방지용 상부 가림막 구조를 도면에 반영함.</t>
  </si>
  <si>
    <t>보관소 바닥은 침출수 차단용 내오염성 방수 마감재(에폭시 등)를 적용하고, 수거 트럭 하중(DB-24 등)에 견디도록 진입 도로 노면 포장 두께와 하부 지지력을 확보함.</t>
  </si>
  <si>
    <t>의정부 기본설계</t>
  </si>
  <si>
    <t>가설 교량 구간은 시공검토 방안도 설계에 적용.</t>
  </si>
  <si>
    <t>교량구간 우회공간 부족 리스크를 검토하였는가?</t>
  </si>
  <si>
    <t>포인트부 히팅장치 설치 or 제설장비 추가 반영.</t>
  </si>
  <si>
    <t>동절기 기후변화 대비 및 곡선 등 궤도 노면 및 레일 홈 내 적설 및 결빙으로 열차운행 지장 발생 리스크를 검토하였는가?</t>
  </si>
  <si>
    <t>네트워크 보강 완료후 결합 확인(무선, 외부송수신, 공용가입망), 판별이 완료된 개소 타당성 검증(신규 융합 고유번호 표시 여부 확인), 궤도와 레일 전송 점검감시 장치(궤도, 보강) 연동, 품질 획득 및 점검 기능 통제.</t>
  </si>
  <si>
    <t>궤도선궤도 전동차 점검감시 장비 단선, 지반, 중정부 품질 등을 이유로 특수 지반 발생 리스크를 검토하였는가?</t>
  </si>
  <si>
    <t>궤도 선형 및 종단계획</t>
  </si>
  <si>
    <t>수서-광주복선전철2공구</t>
  </si>
  <si>
    <t>신호케이블 및 기구를 중심선 비교 검토 수행, 부속처의 위치가 맞출 수 있도록 선형 및 연결, 정거장 진입, 이탈시 내 분리기 굴착 구간에 대한 궤도, 구조물 간격 검토, 이탈시 우측방 차단, 루프구간과 연계 위치 인터페이스 검토.</t>
  </si>
  <si>
    <t>노선에서 간선망을 변환시 궤도 중심과 구조물 중심 불일치하여 구조물 중심 선형설계서 재검토 수행 리스크를 검토하였는가?</t>
  </si>
  <si>
    <t>트램 선로 및 차량 내진설계, 운전자 및 승객 지진대비 훈련 시행 반영함.</t>
  </si>
  <si>
    <t>지진으로 인한 선로변형 및 차량 탈선 리스크를 검토하였는가?</t>
  </si>
  <si>
    <t>주기적 자체 대차 분리 후 대차 방향 회전 반영함.</t>
  </si>
  <si>
    <t>차륜 편마모 감소를 위한 전차대 또는 방향전환선(루프선 포함) 필요 리스크를 검토하였는가?</t>
  </si>
  <si>
    <t>매립형 궤도 윤연로(Flangeway) 방재 계획</t>
  </si>
  <si>
    <t>매립형 궤도 제품군 변경, 체결방식 변경 또는 신축 이음매 설치.</t>
  </si>
  <si>
    <t>하절기 고온 가열로 궤도 변형에 의한 차량 탈선 리스크를 검토하였는가?</t>
  </si>
  <si>
    <t>본선 궤도 노면수 배수 계획</t>
  </si>
  <si>
    <t>청소장비 사전 반영하여 궤도도상 및 폭설이 레일 홈 내 이물질 정기적 청소 진행 반영함.</t>
  </si>
  <si>
    <t>폭설이 레일 홈 내 이물질 누적으로 인한 동절기 결빙 및 또는 배수폐색 등으로 배수기능 상실 리스크를 검토하였는가?</t>
  </si>
  <si>
    <t>가시설 굴착 안전 계획</t>
  </si>
  <si>
    <t>2015Contingency_D8 전주정수장</t>
  </si>
  <si>
    <t>기본설계 내역서 상 반영소구간 규격 및 포장 반영되어 하도록 현장여건 검토 후 반영.</t>
  </si>
  <si>
    <t>당초 Con'c 포장구간에 신설관로 매설시 도로횡방향으로 굴착되어 있으나, 지장물 및 관로 신설유지를 위해 도로종방향으로 굴착이 불가능해 도로 외측부 신설관로 매설함에 따라 Con'c 포장 복구 거푸집 설치가 추가된 사례 리스크를 검토하였는가?</t>
  </si>
  <si>
    <t>기구축된 변전소(Volume, Dimension), 개별기지 가동조건 등을 확인, 연계 노선 주요 지점 탐색 및 지장물, 전기 등 차후 사용 유무확인, 위험 요인 특히, 역사 주변, 하천, 접합기축설물 등 배제 위치 반영함.</t>
  </si>
  <si>
    <t>시점부 우회도로와의 연장 및 굴착 높이로 인한 노선 변경 검토 이슈가 발생 리스크를 검토하였는가?</t>
  </si>
  <si>
    <t>2019Contingency_D8 서해선홍성-송산복선8공구</t>
  </si>
  <si>
    <t>교통처리 안전 및 관련 시설에 대한 상세 설계, 교통처리계획 수립 및 승인, 교통안전시설 계획 수립 및 승인 반영함.</t>
  </si>
  <si>
    <t>인접한 교통량의 우회 우회 노선 변경계획 기준 조정을 위해 신규 신호를 추가를 반영 리스크를 검토하였는가?</t>
  </si>
  <si>
    <t>교량 기초계획</t>
  </si>
  <si>
    <t>2013Contingency_D8 남양주화도하수처리</t>
  </si>
  <si>
    <t>기본설계 기술제안 시 최신 포장 설계기준 및 시공지침 반영.</t>
  </si>
  <si>
    <t>강상판 교량인 서부간선수로교 대도해부 도로포장 설계, 시공지침에 의거 고탄성 아스팔트 우레탄 사용해야 하나 내역에서 누락됨 리스크를 검토하였는가?</t>
  </si>
  <si>
    <t>교량 종단 및 형하고 계획</t>
  </si>
  <si>
    <t>임시교량의 공용 연한 확인, 공사 중 계획통행에 대한 변위 check 수치 확인, 대상지 인허가 및 공공기관 사용협조를 거쳐서 점유권 확보, 유사방안으로 대체가 가능한 계약 변경조건이나, 지연을 방지할 수 있는 공정계획 Backup Plan 마련 반영함.</t>
  </si>
  <si>
    <t>공사용 가도 건설로 사유지 협의 불가 및 작업이 지연됨 리스크를 검토하였는가?</t>
  </si>
  <si>
    <t>기존 구조물 보강 및 내하력 확보 계획</t>
  </si>
  <si>
    <t>2014Contingency_D8 아산하수처리위탁</t>
  </si>
  <si>
    <t>지급자재인 경우에도 입찰조건상 입찰자 관리, 책임 지는 경우가 많으므로, 공정에 따른 자재확보계획(자체원, 골재원 반입 수량)을 수립, 동탄트램의 경우 아스팔트 포장 적용으로, 관련 골재 품질기준을 만족하는 자재공급원 검토.</t>
  </si>
  <si>
    <t>콘크리트 포장용 골재가 순환골재로 설계되어 있으나, 콘크리트 포장에 대한 순환골재 품질기준을 만족하는 자재공급원이 없어, 순환골재를 혼합골재로 변경한 사례 리스크를 검토하였는가?</t>
  </si>
  <si>
    <t>2017Contingency_D8 부안하수2단계하수</t>
  </si>
  <si>
    <t>주요 포장 장비(SP1600, 피니셔, 머캐덤 롤러 등) 보유 업체 및 장비 운임 계획 확인, 동탄트램의 경우 매립형 궤도 콘크리트 부설 완료 후, 전력 구간 포장이므로, 소형 피니셔와 소형 다짐 장비 사용 검토, 공정 계획시 소형 장비 적용 및 인력포설 Pool 반영.</t>
  </si>
  <si>
    <t>운영중인 동해남부선복선전철의 접속부 콘크리트 포장 시공시 기계포설로 설계 반영되었으나, 기존 가드레일로 인해 장비진입이 불가능하고 상하부 시설물 및 궤도 노반선에 센서 설치를 위해서는 기준 경사구간을 완만하게 하여 관계기관 협의가 불가능하였고, 이로인해 기계포설 대신 인력포설로 변경하여 콘크리트포장을 시공한 건 리스크를 검토하였는가?</t>
  </si>
  <si>
    <t>2013Contingency_D8 보성고속철도 3-2</t>
  </si>
  <si>
    <t>우회로 선형의 안전성 분석 지침서 기술기준 확보, 우회도 수명 예측 및 통행 시간 검토, 우회도로 복구 불이행 대비 사후 보강 및 보수비 송부 후 설팩트 사도, 의사결정의 투명성을 위한 협의조건 사전 확보.</t>
  </si>
  <si>
    <t>우회로 선형(곡선)으로 인한 도로 가시성 불안 및 교통 저해가 발생 리스크를 검토하였는가?</t>
  </si>
  <si>
    <t>교통통제 안전 및 관련 시설에 대한 상세 설계, 공종별(교차로, 본선 등) 교통처리 계획 수립 및 승인, 교통안전시설 계획 수립 및 승인 반영함.</t>
  </si>
  <si>
    <t>장비접근시 우회로 인근의 교통관리계획에 확보되어 장비의 안전운전관리 미비, 장비의 안전 우려 해결방안이 운반에 반영될 및 톤급 이탈을 해소하기 위해 공사현장 내 도로반폭 및 지반보강을 가업구간에 추가로 설치 리스크를 검토하였는가?</t>
  </si>
  <si>
    <t>유지공사나 고정시설 확보 계획 정보 확보.</t>
  </si>
  <si>
    <t>휀스 간격 고정 지지 50m로 과다 설계 대비 35%내외 추가 발생 리스크를 검토하였는가?</t>
  </si>
  <si>
    <t>기존 지하구조물 검토</t>
  </si>
  <si>
    <t>2013Contingency_D8 여수-영도 국도확장</t>
  </si>
  <si>
    <t>비계 블랜드 적용시 현장내에서 발생하는 골재 또는 반입골재에 대한 품질 상태를 KS, KSF 기준에 부합하여 검토, 기본설계 기술제안 시 최신 포장 설계기준 및 시공지침 반영.</t>
  </si>
  <si>
    <t>포장공 동상방지층 및 보조기층의 골재생산과 운반수량 산출시 적용한 도형환산계수가 오류인 사항임 (f=1/0.95 -&gt; 1.175/0.95) 리스크를 검토하였는가?</t>
  </si>
  <si>
    <t>2013Contingency_D8 이천정수장공사</t>
  </si>
  <si>
    <t>포설 공종 외 점토차수 공종 검토.</t>
  </si>
  <si>
    <t>이천이 보호구역내 관로시공 시 점토차수벽 및 점토막음이 수량수립 내역에서 누락됨 리스크를 검토하였는가?</t>
  </si>
  <si>
    <t>2014Contingency_D8 음성-충주 국도확장</t>
  </si>
  <si>
    <t>도면 및 수량산출서 일치 여부 검토.</t>
  </si>
  <si>
    <t>설계도면에 명시된 공사용 가도 중 일부분만 내역에 반영되어 있음으로 인해 추가비용 발생 리스크를 검토하였는가?</t>
  </si>
  <si>
    <t>입찰안내서 시공지침 검토.</t>
  </si>
  <si>
    <t>수량산출서상 아스팔트덧씌우기 포장구간은 포장폭 B=4.0m로 산출되어 있으나, 입찰안내서 시공지침에 의거하여 잔여폭 1m 이하인 구간까지 전폭 복구한 사례 리스크를 검토하였는가?</t>
  </si>
  <si>
    <t>2015Contingency_D8 율동공원개선사업</t>
  </si>
  <si>
    <t>수로구간 수석블록포장(부직포제외)의 건축사용 제거 후 결속공사 시행시 기준 포장 철거 후 원상복구용 포장이 내역에 누락된 사례 리스크를 검토하였는가?</t>
  </si>
  <si>
    <t>2016Contingency_D8 부산신항배후 5공구</t>
  </si>
  <si>
    <t>동탄트램 전용구간 적용 예정인 칼라투수아스콘(t=5cm) 해당 수량 검토.</t>
  </si>
  <si>
    <t>포장단면상세도에 의하면 요철포장(T=10cm)을 적용하였으나, 수량산출서에는 요철포장에 해당하지 않는 반사막질 수량이 누락된 건 리스크를 검토하였는가?</t>
  </si>
  <si>
    <t>2016Contingency_D8 충주-제천 국도확장</t>
  </si>
  <si>
    <t>도로구역 내 배수 콘크리트 상부 포장은 두께 8cm, 폭 9m로 도시되어 있으나, 수량산출서 포장 TYPE-3(T=53cm), 폭 5m로 적용된 건 리스크를 검토하였는가?</t>
  </si>
  <si>
    <t>현장 주변 정체 분석(우회 유인성, 병목유도, 시간 파급), 도로통제기준 및 장비사용에 따른 소송예방 검토, 노선 유관부서 및 이해관계자 사전 의견수렴 검토.</t>
  </si>
  <si>
    <t>통행제한 사항인 통행속도 제한(30개월) 규제에 의해 주민 통행 및 물류이송으로 주민피해위험의 조절과 대책 마련을 타겟으로 관련부서와 통보제출 완료 리스크를 검토하였는가?</t>
  </si>
  <si>
    <t>공종 검토 후 작업 자재 반입 수령 시기 선정, 사용승인서 거래 이행서 검토, 차량기지내 소방이 미치지 않는 주차장 부지, 레크리에이션 부지 작업장소 활용 반영함.</t>
  </si>
  <si>
    <t>실시설계 당시 도심도보, 구내차량 작업장 인접으로, 입주민 I/F 협의를 통해 도시개발 부지 임시사용 확정 리스크를 검토하였는가?</t>
  </si>
  <si>
    <t>도로 근접/하부 횡단 지하구조물 계획</t>
  </si>
  <si>
    <t>위례선 설계 도서 교통정리 의견 검토</t>
  </si>
  <si>
    <t>도로 노면 표시, 교통안전 표시판, 험프형 횡단보도 설치 필요 반영함.</t>
  </si>
  <si>
    <t>도로교통 자전거 노면전차 전용도로 진입금지 표시 반영 리스크를 검토하였는가?</t>
  </si>
  <si>
    <t>우회도로의 도로용량으로 계약되는 경우 교통량이 많은 지역과 폭원이 좁은 지역으로 우회도로 교통 통제, 우회노선의 우회거리를 줄이는 경우 교통정체 해소를 위한 대중교통 계획 수립.</t>
  </si>
  <si>
    <t>서울시 버스승강장 이설 대안공사 수행시 유관기관(서울시 버스정책과, 각 지자체 대중교통과) 의견을 통해 공기지연 방지 및 대중교통 이용자 불편 최소화 리스크를 검토하였는가?</t>
  </si>
  <si>
    <t>도심지 교차로 및 도로 횡단</t>
  </si>
  <si>
    <t>추락 방지를 위한 콘크리트 블록 설치.</t>
  </si>
  <si>
    <t>교차로에서의 차량 탈선 리스크를 검토하였는가?</t>
  </si>
  <si>
    <t>인접 구조물 간섭구간 흙막이 계획</t>
  </si>
  <si>
    <t>국도도로대장 및 상세 노선 확인, 공사구간, 우회도로, 대안도로 교통영향 검토, 분기지점 도로점용에 따른 교통 통제계획 수립.</t>
  </si>
  <si>
    <t>현장 내 도로포장공사 연장과 불가피 지연의 중복 포정으로 도로 인접 흙막이 대책 유동성검토 완료 리스크를 검토하였는가?</t>
  </si>
  <si>
    <t>정거장 구조계획</t>
  </si>
  <si>
    <t>2015Contingency_D8 안동시도외곽순환도로</t>
  </si>
  <si>
    <t>현장조사 후 설계도서와 현장 불일치 구간 확인.</t>
  </si>
  <si>
    <t>도면상 정거장 포장 물량중 일부가 누락되어 있으며, 실제 지장물들의 위치가 상이하여 포장 물량이 추가된 사례 리스크를 검토하였는가?</t>
  </si>
  <si>
    <t>지하 구조물 부력 및 차수 계획</t>
  </si>
  <si>
    <t>배수 시스템 개선, 실시간 모니터링 사건 대처, 우수 맨홀 추가 설치, 침수 예상 지점 차수벽 및 차수판 설치.</t>
  </si>
  <si>
    <t>폭우에 의한 선로 침수 리스크를 검토하였는가?</t>
  </si>
  <si>
    <t>차수벽 또는 차수판 설치, 입구 주변 우수 맨홀 설치.</t>
  </si>
  <si>
    <t>집중 호우에 의한 차량기지 침수 리스크를 검토하였는가?</t>
  </si>
  <si>
    <t>지하매설물(가스, 난방, 상하수도, 전기, 통신) 현황 및 간섭 사항 검토, 지장물 이설 주체 및 비용 분담 범위의 명시, 지자체, 타 관리기관이 보유한 지하지적 정보 및 이력 검토, 지중 지장물 관련 사전 정보 확보 및 정밀 현장탐색, 차수전 현장검증 반영함.</t>
  </si>
  <si>
    <t>지하, 지중 지장물 매설되어 대안선로 변경되어, 전체 종합공정표, 25% 예상 추가 투입됨 리스크를 검토하였는가?</t>
  </si>
  <si>
    <t>지반 지장물 설계대비 증가로 건축와 궤도 작업공간을 고려한 이설 수량 재산정 리스크를 검토하였는가?</t>
  </si>
  <si>
    <t>지하 굴착부 지하수 유동 분석 및 수위 관리 계획</t>
  </si>
  <si>
    <t>지하매설물(가스, 난방, 상하수도, 전기, 통신) 현황 및 간섭 사항 검토, 지장물 이설 주체 및 비용 분담 범위의 명시, 지장물 종류 및 이설 우회 확인, 지장물별 보호요건 확인, 주요 지장물 위치 및 수량 확인.</t>
  </si>
  <si>
    <t>서울역 정거장 다목적 유공지주(가로등,신호) 이설을 통하여 안전관리 다설관리 최소화 리스크를 검토하였는가?</t>
  </si>
  <si>
    <t>2014Contingency_D8 안산공단변전소신설</t>
  </si>
  <si>
    <t>협의 주체 계획과 협선, 관계기관의 업무영역 인허가 및 관련 서류 사전 확인.</t>
  </si>
  <si>
    <t>신규설치 정거장 철거공사 관리하에 표준가로정비 협의가 지연됨에 따라 당초 계획대비 버스 교체기간이 추가됨 리스크를 검토하였는가?</t>
  </si>
  <si>
    <t>토목-궤도 배수 인터페이스</t>
  </si>
  <si>
    <t>설계 도면의 물리 수평측정 설계 조기이탈 방지바이어스 검토 추진 및 실시설계 중 GC 수렴을 통해 착수전 보증, 조경 및 범주 조건에 기구축 가설장비 임시페이스 방어, 범주인 인터페이스의 설계 조건 반영.</t>
  </si>
  <si>
    <t>설계시 토목 및 조경등의 영역을 통한 가로수의 이설이 아파트 50m 보호구역 및 경계벽의 블록 이설 리스크를 검토하였는가?</t>
  </si>
  <si>
    <t>가시설 굴착 배면 지반 안정성 계획</t>
  </si>
  <si>
    <t>발주처 기본 및 실시설계 지반조사 R/O별 Cost effect 분석.</t>
  </si>
  <si>
    <t>기본계획/발주처지반조사 검토후 R/O 분석을 통하여 굴착공법 검토 및 대안노선안 수립, 굴착시 민원이 예상되는 주거지 주동구간에 지반조건을 고려한 기계굴착을 적용하고 건물과 최대한 이격되는 선형을 검토하여 직하부 통과배제 리스크를 검토하였는가?</t>
  </si>
  <si>
    <t>2016Contingency_D8 광명시 우회도로</t>
  </si>
  <si>
    <t>신설교량하부 연약지반 추가 시추를 통한 교량 설계 검토, 차량기지 옹벽 배면부 추가 지중조사후 안정성 검토, 도로 중앙분리대 현장시험후 지지력 확보 여부 확인.</t>
  </si>
  <si>
    <t>가설텐트에 대한 상세 검토가 부족하여 시공중 가설텐트 기초에 대한 도면과 내역이 누락됨 리스크를 검토하였는가?</t>
  </si>
  <si>
    <t>입찰설계시 미시추 구간 및 설계특화구간 추가조사 계획 수립.</t>
  </si>
  <si>
    <t>입찰설계 조사결과 및 실시설계 조사계획을 전문가가 재검토하여 설계변경을 고려한 실시설계 지반조사 계획수립함.(41공 추가시추) 리스크를 검토하였는가?</t>
  </si>
  <si>
    <t>추가 지반조사 실시 후 설계특화/공사비 이펙트를 고려하여 설계반영, 외부지반조사 자문검토(추가지반조사 계획, 지반물성치, 지반설계 R/O 검토) 반영함.</t>
  </si>
  <si>
    <t>실시설계 지반조사 추가시추로 노선변경 검토 구간, 터널굴착공법 및 패턴변경 필요 구간 반영, 시공성, 민원 개선 리스크를 검토하였는가?</t>
  </si>
  <si>
    <t>가시설 흙막이 설계 및 시공</t>
  </si>
  <si>
    <t>진해신항 남측 방파제2공구</t>
  </si>
  <si>
    <t>Risk 및 Opportunity 분석 결과에 기반한 설계변경 ITEM 도출 확인(지반특성 변경구간), 유사사업 L/L, B/P, R/P 검토를 통한 설계변경 ITEM 검토 확인, 제작장(시공사 책임 구간) 구간에 대한 상세 지반조사 반영.</t>
  </si>
  <si>
    <t>원안설계 및 기본설계 지반조사 검토 후 착공전 지반조사 4공을 반영 리스크를 검토하였는가?</t>
  </si>
  <si>
    <t>광역 지하수 영향 검토</t>
  </si>
  <si>
    <t>율동공원 건설공사</t>
  </si>
  <si>
    <t>발주처 지반조사 적정성 검토 확인: 시추 위치/수량, 물량 결과, 미시추 구간 지반특성, 교각/터널 구간 지질이상대 검토, 연약지반처리기간, 기타 시공기간 변동사항 등 공정영향 검토, 추가조사 필요 위치/수량 검토 확인.</t>
  </si>
  <si>
    <t>지반조사 전문가에 의한 검증이 부족하여 사석 공급 부족이 발생 리스크를 검토하였는가?</t>
  </si>
  <si>
    <t>건축-기계설비 인터페이스</t>
  </si>
  <si>
    <t>철도 및 전기 외 설계 수법으로 설계 초기부터 인터페이스 협의 추진 및 실시설계 중 GC 수렴을 통해 착수전 보증, 조경 및 범주 조건에 기구축 가설장비 임시페이스 방어, 범주인 인터페이스의 설계 조건 반영.</t>
  </si>
  <si>
    <t>실시설계 완료 후 관련법 기준의 개수 스펙 변경, 분리선 도시 물량의 변경 리스크를 검토하였는가?</t>
  </si>
  <si>
    <t>건축물 마감재 유지관리 계획</t>
  </si>
  <si>
    <t>주요 환승정거장, 부지 확보 정거장에 제한하여 랜드마크화.</t>
  </si>
  <si>
    <t>랜드마크 계획 장기화 규모 축소, 상가 개방감 저해, 설치요산 유지관리비 발생 리스크를 검토하였는가?</t>
  </si>
  <si>
    <t>2014Contingency_D8 오산교육도 2-2</t>
  </si>
  <si>
    <t>도면 시공시 기존 도로의 일부를 점유하게 되므로 공사처리구간 분할 및 이전도로 진출입구 종합공사 시행 등의 법안 검토.</t>
  </si>
  <si>
    <t>청소 검수후 일반차 진입이 어렵다는 판단으로 소화전의 거리와 협의 후 옥외소화전 및 연결송수구의 위치를 변경 리스크를 검토하였는가?</t>
  </si>
  <si>
    <t>스마트 건축시공 계획</t>
  </si>
  <si>
    <t>스마트쉼터 공간 부합 설치 검토.</t>
  </si>
  <si>
    <t>본선 시종점 정거장 기관사 및 청소원 대기실 필요 리스크를 검토하였는가?</t>
  </si>
  <si>
    <t>위례선 서울교통공사 운영 관련 요구 사항</t>
  </si>
  <si>
    <t>설계시 이용승객 수요예측을 통한 적정 게이트 산정 반영.</t>
  </si>
  <si>
    <t>환승역 승하차 게이트 동선 반영(3개 이상 환승역 혼잡도 우려) 리스크를 검토하였는가?</t>
  </si>
  <si>
    <t>입고선 곡선 설계 및 종단경사 변경 반영함.</t>
  </si>
  <si>
    <t>BF 인증 관련, 정거장 기울기(1% 이하) 설치되어야 하나 조건 미충족 시 인승서비스 제공 시 상부 전력 누적 우려 증가, 운행 종료 후 자체 차체 전수이나 자체세척기 위치가 입고선에 위치하지 않아 불필요한 구내 운전 증가로 구내탈선 기점사 증가 리스크를 검토하였는가?</t>
  </si>
  <si>
    <t>2013Contingency_D8 오산교육도 2-2</t>
  </si>
  <si>
    <t>입찰안내서상 소방, 전력, 결제, 시공 Risk 항목 검토, 유사사업의 입찰안내서 및 질의답변서 사례조사를 통한 계약 Risk 검토, 입찰안내서 성능 및 계약서 검토회의 시 반영.</t>
  </si>
  <si>
    <t>설계시에는 각 소화설비 적용 설계지침이 입찰안내서 설계지침에 따라 공단과 협의하여 소화기 소화설비 설계 및 반영 리스크를 검토하였는가?</t>
  </si>
  <si>
    <t>소화설비 불시 및 신속 대피 소방활동 연계 및 소방활동 비상대응 훈련 실시.</t>
  </si>
  <si>
    <t>차량기지 화재 발생 리스크를 검토하였는가?</t>
  </si>
  <si>
    <t>관제 신호계획</t>
  </si>
  <si>
    <t>차량의 일상기기 고정 체결부 풀림 방지 설계, 종합관제실 차량 운행 제어, 차량기지 입고 분석 검토.</t>
  </si>
  <si>
    <t>차량 부품 낙하물에 의한 선로변설비 파손 리스크를 검토하였는가?</t>
  </si>
  <si>
    <t>운전자 시야 확보 안전 운행 지침 수립, 종합관제실 차량 운행 제어.</t>
  </si>
  <si>
    <t>궤도 상부 장애물 도달에 의한 차량 운행 지장 리스크를 검토하였는가?</t>
  </si>
  <si>
    <t>차량한계 및 건축한계 사전 점검, 종합관제실 차량 운행 제어.</t>
  </si>
  <si>
    <t>차량한계 침범에 의한 시설물 손상 리스크를 검토하였는가?</t>
  </si>
  <si>
    <t>자동제어장치의 전자연동장치에 의한 선로전환기 상태 감시 반영함.</t>
  </si>
  <si>
    <t>관제사의 판단 착오로 인한 분기구간 조작 실패 리스크를 검토하였는가?</t>
  </si>
  <si>
    <t>교차로 내 열차 점유 제어 계획</t>
  </si>
  <si>
    <t>신호기 작동 주기적 점검, 차량 상시 위치에 따른 신호 연동 반영함.</t>
  </si>
  <si>
    <t>기점유된 선로에 차량 오진입으로 인한 운행 장애 리스크를 검토하였는가?</t>
  </si>
  <si>
    <t>레이더 센서에 의한 감지 기능 확보.</t>
  </si>
  <si>
    <t>교차로에서의 고장차량 또는 보행자 감지 실패 리스크를 검토하였는가?</t>
  </si>
  <si>
    <t>선로전환기 적용 구간 반영 필요 반영함.</t>
  </si>
  <si>
    <t>선로전환기는 서지 등으로 인한 오작동 방지를 위해 안전제어에 의한 구동 필요 리스크를 검토하였는가?</t>
  </si>
  <si>
    <t>신호와 반영을 통한 통신안전성 확보 필요 반영함.</t>
  </si>
  <si>
    <t>트램우선신호 제어보드는 신호기와 무선 통신방식으로 연동 및 반영 필요 리스크를 검토하였는가?</t>
  </si>
  <si>
    <t>폭우시 차량 운행 규정 수립 및 속도 제한 운영, 차량 와이퍼 기능 상시 확인, 신호기에 의한 통제.</t>
  </si>
  <si>
    <t>강우시 시야 확보 지장 리스크를 검토하였는가?</t>
  </si>
  <si>
    <t>선로 결함 조기발견 센서 및 모니터링 시스템 구축.</t>
  </si>
  <si>
    <t>선로 손상 및 파손으로 인한 운행 저해 리스크를 검토하였는가?</t>
  </si>
  <si>
    <t>정기적 점검 및 유지보수 반영함.</t>
  </si>
  <si>
    <t>표지판 및 신호체계 장애 리스크를 검토하였는가?</t>
  </si>
  <si>
    <t>EMI/EMC 시험평가에 의한 도로신호설비 전자파 성능 확보.</t>
  </si>
  <si>
    <t>EMI/EMC에 의한 도로신호설비 오작동 리스크를 검토하였는가?</t>
  </si>
  <si>
    <t>국내외 SIL4 인증제품 적용 필요(신호분야) 반영함.</t>
  </si>
  <si>
    <t>연동장치는 SIL4 인증제품 적용 필요 리스크를 검토하였는가?</t>
  </si>
  <si>
    <t>위례선 종합시운전계획 검토 보고</t>
  </si>
  <si>
    <t>철도종합시험운행 시행지침에 의한 기준일 산정 및 반영 필요 반영함.</t>
  </si>
  <si>
    <t>종합시운전은 21개월(약 8.5개월) 이상 필요 리스크를 검토하였는가?</t>
  </si>
  <si>
    <t>2016Contingency_D8 보성고속철도 1공구</t>
  </si>
  <si>
    <t>설계 항목 변경에 따른 실행 및 하도계약단가, 견적 비교 검토 수행, 트램의 경우 기존 도로에 신설하는 것으로, 기존 우선신호 규격등을 최대한 활용하고 원활한 I/F가 될 수 있도록 구성, 화성시 경찰청과 동탄2신도시 도로에 적합한 우선신호 방안 마련하여 유기적으로 협의 추진함.</t>
  </si>
  <si>
    <t>설계시 ATP 형식을 최신 방식으로 설계하였으나, 발주처의 요구사항에 따라 기존 방식과 동일한 방식으로 설계 형식을 변경 리스크를 검토하였는가?</t>
  </si>
  <si>
    <t>차상-지상 인터페이스</t>
  </si>
  <si>
    <t>열차방호시스템(지상/차상) [ATP / Automatic Train Protection] 설치.</t>
  </si>
  <si>
    <t>정거장 간 거리가 짧은 도심부 운영으로 지연시간 회복 시 누출 위험성 존재, 버스와 달리 제동거리가 길어 주행 사고 위험성 높음, 아파트 단지 내 운행에 따른 기관사 집중력 분산 요소가 많으므로 보행자를 위한 시스템적 안전확보 장치 필요 리스크를 검토하였는가?</t>
  </si>
  <si>
    <t>지상 입출고선에 따른 적용 여부 검토 필요 반영함.</t>
  </si>
  <si>
    <t>입출고선 출입통제 시스템 및 경비실 설치 필요 리스크를 검토하였는가?</t>
  </si>
  <si>
    <t>급수 및 소방설비 인터페이스</t>
  </si>
  <si>
    <t>2014Contingency_D8 보성고속철도 3-2</t>
  </si>
  <si>
    <t>설계 항목 변경에 따른 실행 및 하도계약단가, 견적 비교 검토 수행, 현장단계의 컨디션 사례 검토 수행, 유사사업인 위례트램의 현장 Risk 사항 검토.</t>
  </si>
  <si>
    <t>설계에 반영된 급수배관의 밸브조작 및 유지관리 어려움에 따라 하향식 배관으로 변경 리스크를 검토하였는가?</t>
  </si>
  <si>
    <t>기계-건축/전기 인터페이스</t>
  </si>
  <si>
    <t>2014Contingency_D8 대구도시철도 305공구</t>
  </si>
  <si>
    <t>토목활동팀 B/P, LL사례 내용 확인 후 반영 가능항목에 대해서 발주처 제출도서 (기본설계보고서, 공사관리계획서) 반영유무 확인, 최고의 팀/작업단 면담 후 면담내용 설계내용 반영, 인터페이스 보고 및 유사 사례 확인.</t>
  </si>
  <si>
    <t>발주처의 중간점검 요구사항에 따라 계측기 안전장비 및 전기장치에 대한 진단장비를 추가 리스크를 검토하였는가?</t>
  </si>
  <si>
    <t>경영정보설비(MIS) 구축 계획</t>
  </si>
  <si>
    <t>위례트램은 운영사 요청사항으로 공사비 증액(35.6억) 반영.</t>
  </si>
  <si>
    <t>건설단계에서 MIS 설비구축 필요 리스크를 검토하였는가?</t>
  </si>
  <si>
    <t>정거장 비상통화설비 계획</t>
  </si>
  <si>
    <t>화재 감지장치 및 소화기 설치, 무선 통화기능에 의한 긴급 조치.</t>
  </si>
  <si>
    <t>정거장 무정전 전원 장치 화재 발생 리스크를 검토하였는가?</t>
  </si>
  <si>
    <t>운영 및 유지보수 설계 적정성 평가, 현재 트램사업의 경우 위례트램 시공중이나 일반 도시철도 기준에 준하여 시공중, 향후 트램 관련 설계기준 업데이트 상시 스크린하여 설계 적정성 보완 검토 예정 반영함.</t>
  </si>
  <si>
    <t>고속선 정거장 통신설비가 STP 케이블로 연결되어 있으나, 발주처의 요구사항으로 개별 설비에 대해 광케이블을 독립 연결하는 방식으로 변경됨 리스크를 검토하였는가?</t>
  </si>
  <si>
    <t>유사사업 L/L, B/P, R/P 검토를 통한 기설계 누락 item 검토 확인, Risk 및 Opportunity 분석 결과에 기반한 설계변경 item 도출 확인.</t>
  </si>
  <si>
    <t>CCTV, 수락, ITS 통신선로 이설 설계가 누락됨 리스크를 검토하였는가?</t>
  </si>
  <si>
    <t>차량에 활주 방지 기능 확보를 위한 미끄럼 방지 제동장치 설치, 무선통화기능에 의한 긴급조치 요청 반영함.</t>
  </si>
  <si>
    <t>차량 활주에 의한 시설물 파손 리스크를 검토하였는가?</t>
  </si>
  <si>
    <t>고장시 승객 이동 유도 방법 수립 및 방송설비를 이용한 안내 방송 반영함.</t>
  </si>
  <si>
    <t>차량 고장시 하차 승객이 노반 이동에 따른 2차 사고 발생 우려 리스크를 검토하였는가?</t>
  </si>
  <si>
    <t>경보시스템, 안전울타리 등 안전시설 강화.</t>
  </si>
  <si>
    <t>보행자, 자전거 및 다른 차량과의 충돌 위험 발생 우려 리스크를 검토하였는가?</t>
  </si>
  <si>
    <t>선로 실시간 모니터링, 장애물 사전 감지 시스템 설치.</t>
  </si>
  <si>
    <t>고의적으로 선로에 장애물 설치 및 운행 방해 리스크를 검토하였는가?</t>
  </si>
  <si>
    <t>트램 차량 내 블랙박스(전,후,좌,우) 설치, 트램로 횡단보도에 보행자 보호 시스템 설치, 안전펜스 설치.</t>
  </si>
  <si>
    <t>보행자 횡단보도 구간 안전진단 및 안전사고 예방 시설 부족 리스크를 검토하였는가?</t>
  </si>
  <si>
    <t>차상 통신설비 설치 인터페이스 계획</t>
  </si>
  <si>
    <t>트램 우선신호 설치로 사고 예방 및 관제 경보실 설치.</t>
  </si>
  <si>
    <t>입출고시 자동차 및 보행자와의 교통사고 예방을 위한 시스템적 대책 마련 필요 리스크를 검토하였는가?</t>
  </si>
  <si>
    <t>2014Contingency_D8 공항철도연계시설확충</t>
  </si>
  <si>
    <t>설계의 효율성 및 안전성 분석을 통해 기존 운영 방식에 적합한 설계변경 가능여부 검토, 동탄트램 정거장은 기존 도로 위에 정거장이 설치되는 구조로서, 정거장 내에 통신설비를 설치할 수 있는 충분한 공간이 되지 않기에 기존 아날로그 및 디지털 방식이 아닌 네트워크 방식의 자동안내방송설비 반영.</t>
  </si>
  <si>
    <t>설계에 반영된 2선식 전송망이 현 코레일 공항철도 전송설비 운영방식과 상이하여 발주처의 안정성 보완 조치에 따라 4선식으로 변경 리스크를 검토하였는가?</t>
  </si>
  <si>
    <t>KTX 승차권 발매센터, 기동검수반, 승무원대기실 신설에 따라 발주처의 요구사항으로 통신케이블, 광케이블 및 일반전화기 신설이 추가됨 리스크를 검토하였는가?</t>
  </si>
  <si>
    <t>통신-신호/전력 인터페이스</t>
  </si>
  <si>
    <t>통신모뎀 이중화 설계 반영함.</t>
  </si>
  <si>
    <t>열차의 교차로 통과시 우선요청 무선신호 전송 실패 리스크를 검토하였는가?</t>
  </si>
  <si>
    <t>통신-토목/궤도 인터페이스</t>
  </si>
  <si>
    <t>CCTV 주요 구역 감시 및 영상인식 장치로 자동 경고 방송 반영함.</t>
  </si>
  <si>
    <t>일반인 궤도내 무단 침입에 따른 사고 발생 우려 리스크를 검토하였는가?</t>
  </si>
  <si>
    <t>[입찰안내서 명시]
「도로교통법」에 따라 노면전차 설치 등에 따른 시·도경찰청에 협의 또는 승인 사항에 대하여 검토, 자료작성, 변경 및 심의지원 등을 수행하여야 한다. 교통신호기는 「교통신호제어기 표준규격서(경찰청)」준용하여 설계하여야 한다.</t>
  </si>
  <si>
    <t>대지 누설전류 전식 방호대책 미흡으로 주변 지하 매설물 전기부식 및 접지 간 전위차로 인한 통신·신호 기기 오동작 리스크를 검토하였는가?</t>
  </si>
  <si>
    <t>고속도 차단기(HSCB) 동작 아크(Arc) 소화를 위한 주변 금속체와의 안전 이격거리 미확보로 배전반 내부 단락 사고가 유발될 리스크를 검토하였는가?</t>
  </si>
  <si>
    <t>수배전반 소화장치 도면/예산 누락 및 타 공종 물리적 간섭·연동 누락 발생 리스크를 검토하였는가?</t>
  </si>
  <si>
    <t>고조파 유입으로 주변압기(Transformer) 과열·소손, 통신선 유도장해 및 디지털 보호계전기 오동작(Trip)을 유발할 리스크를 검토하였는가?</t>
  </si>
  <si>
    <t>지하 변전소 냉각 설비(환기, 냉방 장치) 용량 부족으로 장비 열화, 수명 단축 및 계기류 오동작이 발생할 리스크를 검토하였는가?</t>
  </si>
  <si>
    <t>비상 제어 직류(DC) 조작전원(축전지·충전기) 용량 과소 산정 및 정전 시 감시·경보 연동 누락 리스크를 검토하였는가?</t>
  </si>
  <si>
    <t>구조물과 전기 대형 장비 간 시공 한계선 충돌에 의한 구조물 재시공 및 장비 현장 분해/재조립 리스크를 검토하였는가?</t>
  </si>
  <si>
    <t>피뢰설비 설치, 차량의 직접적 접지, 차량 주행 불능시 구원 차량 투입 반영함.</t>
  </si>
  <si>
    <t>낙뢰에 의한 손상 리스크를 검토하였는가?</t>
  </si>
  <si>
    <t>초고압반, 변압기반 내부에 온라인 진단 센서 취부하여 상시 설비 모니터링 실시.</t>
  </si>
  <si>
    <t>전력기기의 절연파괴 발생 리스크를 검토하였는가?</t>
  </si>
  <si>
    <t>전원케이블 보호를 위한 강관 설계 반영함.</t>
  </si>
  <si>
    <t>선로변설비 전원선 케이블 파손 우려 리스크를 검토하였는가?</t>
  </si>
  <si>
    <t>입찰안내서 및 지침 검토 체크리스트를 통해 설계 누락사항 확인, 발주처 질의 및 입찰안내서 질의서 제출 시 반영.</t>
  </si>
  <si>
    <t>발주처 요구사항에 따라 선로역사 설계를 추가하였으나, 최소한의 금액 반영을 위한 설계 최소화로 인하여 철도설계지침에 따른 전기 및 설비를 해야하나 해당 설계가 누락됨 리스크를 검토하였는가?</t>
  </si>
  <si>
    <t>지하 매설물 간섭에 따른 지중 인입 경로 변경 및 전력 부족에 의한 한전 인허가 지연 리스크를 검토하였는가?</t>
  </si>
  <si>
    <t>급전케이블 인입 경로 수량 및 부급전선 레일 천공·접속함 체결 누락에 따른 원가 손실 및 충전 불량 리스크를 검토하였는가?</t>
  </si>
  <si>
    <t>궤도 내 전차선로 매설물 누락에 따른 시공비 급증 리스크를 검토하였는가?</t>
  </si>
  <si>
    <t>한전-철도 간 물리적 접속점 불일치 자재 누락 및 보호협조 세팅 오류로 계통 연계 시 단락 사고가 발생할 리스크를 검토하였는가?</t>
  </si>
  <si>
    <t>케이블 연장에 따른 전압강하 및 밀폐형 덕트 누락에 의한 케이블 외부 충격 손상 리스크를 검토하였는가?</t>
  </si>
  <si>
    <t>소방 동력(MCC) 2중 전원 및 화재 수신반 연동 누락으로 화재 시 제연·소화 기능이 전면 마비될 리스크를 검토하였는가?</t>
  </si>
  <si>
    <t>비상조명·유도등 설계 오류 및 비상 백업 전원(UPS/축전지) 용량 누락으로 정전 시 피난 동선이 암흑화될 리스크를 검토하였는가?</t>
  </si>
  <si>
    <t>환기·배연 동력 2중화 누락 및 일반 케이블 사용으로 화재 시 배연팬 전원 소실 및 모드 전환에 실패할 리스크를 검토하였는가?</t>
  </si>
  <si>
    <t>분기기 히팅설비 전원 회로 누락·용량 부족으로 강설·결빙 시 선로전환기가 불일치 작동할 리스크를 검토하였는가?</t>
  </si>
  <si>
    <t>승강기(엘리베이터 등) 비상 전원 및 화재 감지 연동 누락으로 정전·화재 시 승객이 고립될 리스크를 검토하였는가?</t>
  </si>
  <si>
    <t>검수 장비용 특수 동력제어반(MCC) 및 전력 분전반 용량 설계 누락 및 과소 산정에 따른 장비 가동 불가 리스크를 검토하였는가?</t>
  </si>
  <si>
    <t>정거장 스마트 쉘터 편의시설(온열의자, 음성안내기 등)의 개별 분기 회로 설계 누락 및 분전반 용량 부족 리스크를 검토하였는가?</t>
  </si>
  <si>
    <t>케이블 피트(Cable Pit) 내 화재 확산방지판 및 관통부 내화채움구조 설계 누락으로 국부적 단락 화재가 변전소 전체 케이블 소손으로 확대될 리스크를 검토하였는가?</t>
  </si>
  <si>
    <t>야간 작업용 법정 최소 조도(Lux) 미확보 및 조명타워 기초-가공선로 간 물리적 충돌·간섭 리스크를 검토하였는가?</t>
  </si>
  <si>
    <t>피트(Depot Pit) 및 노출 전선관·맨홀의 침수·결로에 의한 단락/누전 및 EPS실 관통부 층간 방화구획 누락 리스크를 검토하였는가?</t>
  </si>
  <si>
    <t>원격 제어 명령 시 오동작 방지용 이중 인터록(Interlock) 회로 및 사용자 등급별 제어 권한 차등 부여 누락 리스크를 검토하였는가?</t>
  </si>
  <si>
    <t>SCADA 화면 갱신 주기(Refresh Rate) 지연으로 비상시 관제사가 과거 데이터로 제어 명령을 내려 사고가 확대될 리스크를 검토하였는가?</t>
  </si>
  <si>
    <t>내역 내 원격소장치(RTU) 물량 누락 및 SCADA HMI-현장 장치 간 통신 프로토콜 불일치로 인터페이스 불통이 발생할 리스크를 검토하였는가?</t>
  </si>
  <si>
    <t>OCC-현장 변전소 간 관제 통신망 이중화 및 사이버 보안(망분리) 누락, 백업 서버(Disaster Recovery) 동기화 오류 리스크를 검토하였는가?</t>
  </si>
  <si>
    <t>SCADA-신호(ATC)-통신(LTE-R) 간 연동 지연으로 급전 단절(정전) 시 비상 정지 명령 전송 불가 및 트램 사구간(Dead Zone) 고립 리스크를 검토하였는가?</t>
  </si>
  <si>
    <t>공통접지(Integrated Grounding) 시 궤도 귀선 전류 노이즈 유입으로 신호 궤도회로(Track Circuit) 오동작 및 통신 유도 장애 리스크를 검토하였는가?</t>
  </si>
  <si>
    <t>EV 충전설비 배선·용량 설계 누락 및 계통 연계 용량 부족으로, 동시 충전 시 메인 차단기가 트립(Trip)될 리스크를 검토하였는가?</t>
  </si>
  <si>
    <t>전력변환기기 운용에 따른 역률 저하 대비 커패시터(Capacitor Bank) 설계 누락으로, 전력 손실 증가 및 한전 역률 패널티 요금 부과 리스크를 검토하였는가?</t>
  </si>
  <si>
    <t>BEMS/지능형 조명제어시스템과 전력 감시(SCADA) 제어망 간 통신 프로토콜 불일치에 따른 인터페이스 누락 리스크를 검토하였는가?</t>
  </si>
  <si>
    <t>태양광 패널 풍·적설하중 산정 오류에 따른 지붕(캐노피 등) 붕괴 및 신재생에너지 의무비율 불만족 리스크를 검토하였는가?</t>
  </si>
  <si>
    <t>가공전차선 주요 자재 규격 및 인증 계획</t>
  </si>
  <si>
    <t>추가 수량에 대한 Risk 최소화를 위해 협력업체를 통하여 업체 및 자재 List 조사 진행, 추가 수량 발생시 자재 List 및 추가 견적을 통해 최적의 견적 비교 검토 수행.</t>
  </si>
  <si>
    <t>발주처의 요구사항으로 검암역 및 인천공항역 싸인물에 대한 추가 전기공사를 반영 리스크를 검토하였는가?</t>
  </si>
  <si>
    <t>위례선 지하차도 복구</t>
  </si>
  <si>
    <t>정거장 설계에 대한 유관기관 의견으로 정거장 선로변의 설계공간 확보나, 환기구 규격 변경에서 설계 추가로 인한 특허 변경 및 관련 공사 시행에 따른 설계변경을 통보받 리스크를 검토하였는가?</t>
  </si>
  <si>
    <t>귀선회로 변전소 연계 계획</t>
  </si>
  <si>
    <t>변전소 연락 운전 방식 채택, 무정전 전원 장치 설치.</t>
  </si>
  <si>
    <t>정거장 전원 공급 중단 리스크를 검토하였는가?</t>
  </si>
  <si>
    <t>변전소간 연락 송전망 구축으로 인접 변전소간 연계 운전 반영함.</t>
  </si>
  <si>
    <t>수전선로 고장으로 인한 변전소 정전 리스크를 검토하였는가?</t>
  </si>
  <si>
    <t>화재 감지센서 설치, 난연성 부품 및 케이블 사용, 공기흡입형 감지기 설치, 스카다에 의한 수동 차단.</t>
  </si>
  <si>
    <t>변전소 장비과열, 이물질 등에 의한 화재 리스크를 검토하였는가?</t>
  </si>
  <si>
    <t>변전소 내부 냉난방 환기 시설 설치.</t>
  </si>
  <si>
    <t>혹한 및 혹서에 의한 계전기 오작동 리스크를 검토하였는가?</t>
  </si>
  <si>
    <t>배전반 모든 판넬에 소공간 자동 소화 장치 설치.</t>
  </si>
  <si>
    <t>배전반 터널 화재 발생 리스크를 검토하였는가?</t>
  </si>
  <si>
    <t>고압발생 시 캐비닛 천장 기구적으로 개방 반영함.</t>
  </si>
  <si>
    <t>차단기 아크성상에 의한 고압 폭발 리스크를 검토하였는가?</t>
  </si>
  <si>
    <t>2022Contingency_D8 영광-대마국도도로1공구</t>
  </si>
  <si>
    <t>전력 공급을 위한 인입선 내역이 누락됨 리스크를 검토하였는가?</t>
  </si>
  <si>
    <t>전철주 및 지지물 승탑 방지 계획</t>
  </si>
  <si>
    <t>주변 빛 확산 방지를 위한 빛가림막 후드 내역이 누락됨 리스크를 검토하였는가?</t>
  </si>
  <si>
    <t>전기 기기 위험시점에 안전 표시기 설치, 지락 전류제한기 설치.</t>
  </si>
  <si>
    <t>유지보수 및 정기점검시, 정거장 승객 등의 감전 사고 리스크를 검토하였는가?</t>
  </si>
  <si>
    <t>차량기지 구내 기능별 전차선 급전계통 세분화 계획</t>
  </si>
  <si>
    <t>도시철도 설계기준 차량기준 검토, 트램 관련 설계기준 확인, 트램차량의 경우 공용 차량기지에 포함되어 설계 적용 문제는 없으나, 지속적인 트램 설계기준 업데이트 스크린 예정 반영함.</t>
  </si>
  <si>
    <t>설계시 전차선은 완전 철거후 신설토록 계획되었으나, 익산정거장은 역내 전력기관차가 입고하기기에 당초 계획대비 임시전차선이 필요한 상황임. 코레일 열차운행계획상 역내 차량별(KTX, 무궁화)로 명시되어 있으나 열차종류(전기, 디젤)가 확정되지 않아 설계시 전기기관차의 역구내 운행을 반영하지 못 리스크를 검토하였는가?</t>
  </si>
  <si>
    <t>도시철도 설계기준 차량기준 검토, 트램 관련 설계기준 확인.</t>
  </si>
  <si>
    <t>설계시 전차선은 완전 철거후 신설토록 계획되었으나, 익산정거장은 역내 전력기관차가 입고하기에 당초 계획대비 임시전차선이 필요한 상황임. 코레일 열차운행계획상 역내 차량별(KTX, 무궁화)로 명시되어 있으나 열차종류(전기, 디젤)가 확정되지 않아 설계시 전기기관차의 역구내 운행을 반영하지 못 리스크를 검토하였는가?</t>
  </si>
  <si>
    <t>출처</t>
  </si>
  <si>
    <t>설계 Task</t>
  </si>
  <si>
    <t>집행 Task</t>
  </si>
  <si>
    <t>관련기준</t>
  </si>
  <si>
    <t>토목</t>
  </si>
  <si>
    <t>도로</t>
  </si>
  <si>
    <t>차량</t>
  </si>
  <si>
    <t>■ 설계</t>
  </si>
  <si>
    <t>- 평가기준</t>
  </si>
  <si>
    <t>구분</t>
  </si>
  <si>
    <t>거의
발생하지
않음
(10% 미만)</t>
  </si>
  <si>
    <t>가끔
발생 가능
(10~40%)</t>
  </si>
  <si>
    <t>상 둘다 만족</t>
  </si>
  <si>
    <t>상 하나 만족시</t>
  </si>
  <si>
    <t>그 외</t>
  </si>
  <si>
    <t>하 둘다 만족</t>
  </si>
  <si>
    <t>공기지연
(없음)
자체 예산
해결 가능</t>
  </si>
  <si>
    <t>공기 지연
(1~2주)
 원가 1%
내외 상승</t>
  </si>
  <si>
    <t>체감도</t>
  </si>
  <si>
    <t>실무자
관리 가능
수준</t>
  </si>
  <si>
    <t>부서 간
협의 필요
 수준</t>
  </si>
  <si>
    <t>경영진 보고
및
전사적 대응</t>
  </si>
  <si>
    <t>· 지하 변전실 내 40톤 중량의 변압기 배치 구간 슬래브 구조 하중 초과 및 균열 붕괴 리스크를 방지하기 위해 관련 기준 준수 및 설계 적정성을 검토하였는가?
- 지하 변전실 내 40톤 변압기 배치 구간에 무근 콘크리트 마감(1,000mm)이 추가 적용됨에 따라, 수밀식 이중 슬래브의 자중 합산 하중이 원설계 허용 내하력을 초과하여 슬래브 균열·붕괴로 인한 전기실 전체 침수 및 장기 운행 중단 리스크.</t>
    <phoneticPr fontId="1" type="noConversion"/>
  </si>
  <si>
    <t>· 정거장 충전기 전원 인입 케이블 발열 과다로 인한 케이블 절연 피복 노화 및 화재 리스크를 방지하기 위해 관련 기준 준수 및 설계 적정성을 검토하였는가?
- 정거장 내 150kW/300kW 초급속 충전기 복수 동시 가동 시, 케이블 트레이 내 고밀도 포설로 허용 온도(IEC 60502 기준 90℃)를 초과하는 발열이 지속되어 절연 피복 조기 탄화 및 케이블 화재 리스크.</t>
    <phoneticPr fontId="1" type="noConversion"/>
  </si>
  <si>
    <t>· 전기실 내 MCC(모터제어반) 가동 진동에 의한 벽체 균열 및 볼트 접촉 불량에 따른 스파크 화재 리스크를 방지하기 위해 관련 기준 준수 및 설계 적정성을 검토하였는가?
- 기계실/송풍기실 내 대형 MCC(모터제어반) 기동 반복 진동이 콘크리트 패드(300mm)로 전파되어 단자 볼트가 풀리고, 접속부 접촉 저항 증가에 따른 국부 발열·아크로 인한 스파크 화재 리스크.</t>
    <phoneticPr fontId="1" type="noConversion"/>
  </si>
  <si>
    <t>· 궤도 매립선로 내 누설전류(Leakage Current) 방출 불량 시 지하 가스 배관 등 전식 산화 부식 리스크를 방지하기 위해 관련 기준 준수 및 설계 적정성을 검토하였는가?
- DC 750V 급전 운영 시 궤도 매립 레일에서 방출되는 누설전류가 접지망 루프 임피던스 불균형으로 인근 지중 가스·수도 배관으로 유입되어, 전식(Stray Current Corrosion)에 의한 배관 천공 및 가스 누출 리스크.</t>
    <phoneticPr fontId="1" type="noConversion"/>
  </si>
  <si>
    <t>· 교량 구간 매립 궤도 내부 철근 연속성 단절로 인한 등전위 접지 성능 저하 및 고압 감전 리스크를 방지하기 위해 관련 기준 준수 및 설계 적정성을 검토하였는가?
- 교량 신축 조인트(Expansion Joint) 구간에서 궤도 매립 철근 연속성이 단절되어 등전위 접지 루프가 개방되면, DC 귀선 전류가 교량 구조 철근을 통해 흐르며 전식 누적 및 고압 감전 리스크.</t>
    <phoneticPr fontId="1" type="noConversion"/>
  </si>
  <si>
    <t>· 교차로 구간 트램 가선 단선 시 도로 상부로 낙하하여 일반 통행 차량 고압 감전 사고 리스크를 방지하기 위해 관련 기준 준수 및 설계 적정성을 검토하였는가?
- 교차로 구간 강풍 또는 패터그래프 걸림으로 DC 750V 가선(Contact Wire)이 단선·낙하 시, 비상 차단 릴레이 미작동 또는 응답 지연으로 낙하 가선에 접촉한 보행자·차량 운전자 고압 감전 리스크.</t>
    <phoneticPr fontId="1" type="noConversion"/>
  </si>
  <si>
    <t>· 차량기지 종합관리동 변전실 유효 높이 부족으로 케이블 트레이 포설 시 장비 윗부분 접촉 위험 리스크를 방지하기 위해 관련 기준 준수 및 설계 적정성을 검토하였는가?
- 차량기지 종합관리동 변전실 GIS 및 고압 배전반 상부에 케이블 트레이·공조 덕트를 동시 포설할 경우, 충전부와 트레이 하단 간 최소 이격거리(유효 높이 5.5m) 미달로 활선 접촉 감전 사고 리스크.</t>
    <phoneticPr fontId="1" type="noConversion"/>
  </si>
  <si>
    <t>· 옥외 노출 전력 함체의 침수로 인한 트램 전원 공급 단절 및 복구 지연 리스크를 방지하기 위해 관련 기준 준수 및 설계 적정성을 검토하였는가?
- 도로변 설치되는 무가선 트램 충전기 및 신호 연동 고압 함체(지상형)가 집중 호우 시 지표 침수로 함체 내부 침수·절연 파괴가 발생하여 트램 전원 차단 및 보행자 접촉 감전 리스크.</t>
    <phoneticPr fontId="1" type="noConversion"/>
  </si>
  <si>
    <t>· 정거장 캐노피 구조 프레임의 피뢰침 접지 불량으로 낙뢰 시 정거장 내 대기 승객 감전 사고 리스크를 방지하기 위해 관련 기준 준수 및 설계 적정성을 검토하였는가?
- 일반정거장 8.6m 확장형 캐노피 철골 프레임에 낙뢰 직격 시, 인하도선 접속 불량 또는 접지저항 미달로 측면 섬락(Side Flashover)이 발생하여 대기 승객 감전 및 캐노피 구조 손상 리스크.</t>
    <phoneticPr fontId="1" type="noConversion"/>
  </si>
  <si>
    <t>· 특화정거장 2층 로비 대공간 조명 제어반 과하중 배선 시 차단기 조기 열화 및 누전 화재 리스크를 방지하기 위해 관련 기준 준수 및 설계 적정성을 검토하였는가?
- 특화정거장 2층 대공간(2,500㎡) 고출력 경관 조명·필수 설비 동시 가동 시 전력 제어반 내 분기 회로 과부하로 열적 열화가 누적되어, 차단기 조기 열화 및 배선 절연 파괴에 의한 누전 화재 리스크.</t>
    <phoneticPr fontId="1" type="noConversion"/>
  </si>
  <si>
    <t>· 지하 변전소 EPS(전기 샤프트)실 결로 및 누수 발생 시 배전반 접지 고장 리스크를 방지하기 위해 관련 기준 준수 및 설계 적정성을 검토하였는가?
- 정거장 지하 1층 EPS·통신 샤프트실의 온습도 변화로 옹벽 면 결로 및 상부 우수 관로 누수 발생 시, 전기 분전반 내부 침수로 절연 저하·지락 고장에 의한 열차 제어 회로 전원 차단 리스크.</t>
    <phoneticPr fontId="1" type="noConversion"/>
  </si>
  <si>
    <t>· 차량기지 정비용 크레인 기동 전력 서지 유입 시 주변 전산 장비 오동작 및 전원 오프 리스크를 방지하기 위해 관련 기준 준수 및 설계 적정성을 검토하였는가?
- 차량기지 검수고 10톤 천장 크레인·동시인양기 등 대형 유도 전동기 기동 시 발생하는 고전압 서지(최대 2~4kV)·전자기 펄스가 분리 미흡한 전원 배선을 통해 전산 신호 서버에 유입되어 오동작·전원 차단 리스크.</t>
    <phoneticPr fontId="1" type="noConversion"/>
  </si>
  <si>
    <t>· 지하 변전실 내 랙형 무정전 전원 장치(UPS) 용량 과부하 시 배터리 열폭주 화재 리스크를 방지하기 위해 관련 기준 준수 및 설계 적정성을 검토하였는가?
- 지하 변전실 내 UPS 리튬이온/연축전지 과충전·과전류 시 배터리 셀 열폭주(Thermal Runaway)가 연쇄 발생하고, 밀폐 공간 내 수소 등 유독가스 체류로 폭발·화재 및 인명 사고 리스크.</t>
    <phoneticPr fontId="1" type="noConversion"/>
  </si>
  <si>
    <t>· 정거장 고압 케이블 포설 트레이 내 지지 앵커 노화로 케이블 낙하 시 절연 파손 및 고압 누전 리스크를 방지하기 위해 관련 기준 준수 및 설계 적정성을 검토하였는가?
- 정거장 옥외 캐노피 프레임 내 고압 케이블 트레이 지지 볼트가 염해·수분 노출에 의한 부식 및 트램 진동 피로 누적으로 파단·이탈 시, 케이블 트레이 전체 낙하에 의한 절연 파손·고압 누전 및 인명 사고 리스크.</t>
    <phoneticPr fontId="1" type="noConversion"/>
  </si>
  <si>
    <t>공사관리</t>
  </si>
  <si>
    <t>26.06.18</t>
  </si>
  <si>
    <t>공사관리_야적장 부지 검토 결과 정리_ver.1_260612.pdf</t>
  </si>
  <si>
    <t>· 301정거장(병점역) 구간 트램 공사 시, 병점역 복합환승센터 공사(2029년 준공 예정)와의 시공 간섭 및 공정 충돌로 인한 공기 지연 리스크를 방지하였는가?
- 301정거장(0km003~0km126) 구간이 병점역 복합환승센터 부지와 중첩되어, 양 공사의 굴착·구조물 시공 순서 미조율 시 트램 노반 및 정거장 구조물 재시공 리스크.</t>
  </si>
  <si>
    <t>1. 병점역 복합환승센터 기본설계 도면과 트램 301정거장(0km003~0km126) 구조물 설치 범위의 3D 간섭 확인
2. 환승센터 공사 준공 시기(2029년 상반기)와 트램 개통 목표 일정 대조 및 단계별 공정표 작성
3. 양 공사 시행주체 간 인터페이스 협의 의사록 존재 여부 확인</t>
  </si>
  <si>
    <t>공사관리_기본설계 1공구 구간별 현황정리_ver.1_260612.pdf</t>
  </si>
  <si>
    <t>· 태안로 삼거리, 병점노을로 사거리 등 다수 교차로 통과 구간 시공 시, 교통처리 계획 미흡으로 인한 주변 도로 혼잡 가중 및 민원 유발 리스크를 방지하였는가?
- 1공구 내 삼거리·사거리 통과 구간에서 트램 궤도 시공 중 차로 점용으로 인해 병점~동탄 간선도로 교통량이 인근 생활도로로 분산되어 교통사고 및 민원이 집중되는 리스크.</t>
  </si>
  <si>
    <t>환경</t>
  </si>
  <si>
    <t>· 서동탄역 우남퍼스트빌아파트(1,113세대), 화성능동A1BL공동주택(890세대) 등 대단위 아파트 근접 구간 공사 시, 소음·진동 허용기준 초과로 인한 민원 집중 및 공사 중지 명령 리스크를 방지하였는가?
- 서동탄역 인근(2km823~2km861) 아파트 1,113세대 근접 구간에서 야간 철로 다짐(Tamping) 및 굴착 작업 시 생활소음·진동 규제 기준(주거지역 야간: 소음 50dB, 진동 65dB)을 초과하여 공사 중지 행정명령 리스크.</t>
  </si>
  <si>
    <t>1. 서동탄역 아파트 근접 구간(2km823~3km175) 공사 소음·진동 예측 평가 결과(환경영향평가서 대비) 확인
2. 야간 공사 허가 조건 및 소음 저감 설비(방음벽, 흡음 패드) 적용 계획 확인
3. 아파트 단지 지점 소음·진동 기준 초과 시 공사 중지 및 대체 공법 전환 기준 문서 확인</t>
  </si>
  <si>
    <t>· 학교·병원 등 정온시설 근접 구간 공사 시, 수업·치료 시간대 소음·진동 규제로 인한 공사 불가 시간대 증가 및 공기 지연 리스크를 방지하였는가?
- 동탄1·2신도시 통과 구간 내 학교·병원 인접 구간에서 수업·진료 시간(평일 08:00~22:00)에 건설 소음 규제(55dB 이하)를 적용받아 실질적 공사 가능 시간이 하루 4~6시간으로 제한되는 공기 지연 리스크.</t>
  </si>
  <si>
    <t>1. 노선 인접 학교·병원(정온시설) 위치 및 이격거리 목록 작성 및 규제 기준 적용 범위 확인
2. 구간별 정온시설 영향 소음 예측 결과와 공사 가능 시간대 분석표 확인
3. 방음 가시설(이동형 방음벽, 흡음막) 설치 계획 및 위치 도면 확인</t>
  </si>
  <si>
    <t>· 벌말교(1km265~1km740, 총 475m) 교량 구간 상판 궤도 설치 시, 차선 통제로 인한 교통 혼잡 및 중앙 가로등 이설 지연에 따른 공기 지연 리스크를 방지하였는가?
- 벌말교 475m 전 구간 작업 시 왕복 4차로 중 2차로 통제가 불가피하여 첨두시간대 병목 발생, 추가로 중분대 가로등 이설 공사가 별도 허가를 요구하여 교량 구간 공기가 주 공정(Critical Path)이 되는 리스크.</t>
  </si>
  <si>
    <t>1. 벌말교 교량 구간 차로 운영 계획(차로 점용 범위, 통제 시간대) 및 잔여 차로별 통행 용량 분석 확인
2. 중분대 가로등 이설 관련 화성시 도로점용 허가 신청 일정 및 이설 완료 예정 기한 확인
3. 교량 공사 주 공정 분석 결과(CPM 일정표) 및 완충 일정(Float) 확인</t>
  </si>
  <si>
    <t>1. 야간·주말 집중 시공: 교량 구간 궤도 설치를 야간(22:00~06:00) 및 주말에 집중 배치하여 교통 영향 최소화
2. 가로등 이설 선행 추진: 가로등 이설 공사를 궤도 공사 착수 전 90일 이전에 완료하도록 선행 일정 계획 수립</t>
  </si>
  <si>
    <t>· 건설기술진흥법 및 입찰안내서에서 요구하는 스마트 안전장비(7종 필수) 미도입 시, 산업재해 발생 및 발주처 계약 위반에 따른 공사 중지 리스크를 방지하였는가?
- 총공사비 300억원 이상 현장에 의무 적용되는 스마트 안전장비(현장통합관제, 근로자 위치추적, 중장비 협착방지, 유해가스 계측, 위험변위 계측 등 7종)가 설계에 미반영될 경우 계약 위반 및 안전관리비 부족으로 공사 착수 지연 리스크.</t>
  </si>
  <si>
    <t>1. 입찰안내서 필수 스마트 안전장비 7종(현장통합관제, 근로자위치추적, 360카메라, 웨어러블카메라, 중장비협착방지, 스마트환경센터, 위험변위계측) 설계 반영 여부 확인
2. 스마트 안전장비 비용이 안전관리비 내역서에 계상되어 있는지 확인
3. 추락사고 방지 시스템(IoT 수직구명줄, LoRa/BLE 위치 전송) 설계 계획 확인</t>
  </si>
  <si>
    <t>· 서동탄역 인근(2km861~3km142) 구간 중앙 버스베이 이설 지연으로 트램 노반 공사 착수가 불가하여 공기 지연 리스크를 방지하였는가?
- 중앙 버스베이 이설이 화성시 교통계획 변경 및 버스 운행 노선 조정 절차와 연계되어, 행정 처리 지연 시 트램 노반 공사가 해당 구간(280.85m)에서 착수 불가 상태가 되는 주 공정 지연 리스크.</t>
  </si>
  <si>
    <t>1. 중앙 버스베이 이설 관련 화성시 교통정책과 협의 진행 현황 및 완료 예정 일정 확인
2. 버스 노선 조정 계획(대체 정류장 위치, 운행 변경 고시 필요 여부) 및 처리 기간 확인
3. 트램 공사 공정표에 버스베이 이설 완료를 선행 조건으로 명시되어 있는지 확인</t>
  </si>
  <si>
    <t>1. 선제적 행정 협의: 기본설계 단계에서 화성시와 버스베이 이설 협의를 완료하고, 실시설계 착수 전 이설 공사 발주 일정 확정
2. 대체 버스 정류장 임시 운영: 이설 공사 중 인근 도로변에 가설 버스 정류장을 설치하여 버스 이용 승객 불편 최소화</t>
  </si>
  <si>
    <t>승강기 설치 후 화재 경보 모의 발생으로 피난층 자동 귀환 및 도어 개방 정지 여부를 종합 연동 시험함.</t>
    <phoneticPr fontId="1" type="noConversion"/>
  </si>
  <si>
    <t>반입 전 IP 방수/방진 및 온습도 내환경 성적서를 전수 검수하고, 주야간·직사광선 조건 시인성 확인 및 외함 내 방열/냉각 시스템 정상 작동을 실증함.</t>
    <phoneticPr fontId="1" type="noConversion"/>
  </si>
  <si>
    <t>교차로·지하차도 등 통신설비 집중 구간의 원활한 포설·유지보수를 위해 타 공종(토목/건축)과 협의하여 통신 전용 샤프트(Shaft) 또는 맨홀/수공 위치를 도면에 반영함.</t>
    <phoneticPr fontId="1" type="noConversion"/>
  </si>
  <si>
    <t>• 공사관리_입찰안내서 분석 및 공사관리 추진방향 검토_ver.1_260612.pdf
• 철도_설계추진방향보고_진안신도시 계획 고려 선형계획_rev.00_260529.pdf</t>
    <phoneticPr fontId="1" type="noConversion"/>
  </si>
  <si>
    <t>1. 민간 사유지 매입/임대 리스크 차단을 위해 화성시, LH, GH 소유 유휴부지(나대지, 주차장)를 최우선 확보하여 비용 상승을 방지함.
2. 가설 설비 소음/먼지에 따른 민원 리스크를 예방하기 위해, 실시설계 시 가설방음벽 및 방진망 등 다중 환경저감시설 설치비용을 선제적으로 공사비에 반영함.</t>
    <phoneticPr fontId="1" type="noConversion"/>
  </si>
  <si>
    <t>수동전환 및 포인트 차단회로 설계 누락으로 정전 시 선로 고착 및 열차 점유 중 임의 전환될 리스크를 검토하였는가?</t>
    <phoneticPr fontId="1" type="noConversion"/>
  </si>
  <si>
    <t>[입찰안내서 명시]
분기부의 안전을 위해 선로전환기 전환방지(정위, 반위)를 위한 포인트 차단회로를 구성하여야 한다. 선로전환기 제어는 차상 및 종합관제실에서 가능해야하며, 정전시에도 수동으로 선로전환기의 취급이 가능하도록 구축하여야 한다.</t>
    <phoneticPr fontId="1" type="noConversion"/>
  </si>
  <si>
    <t>매립형 선로전환기 설계 시 포인트 차단회로(쇄정 로직)를 연동도표에 반영하고, 정전 대비 수동 핸들(크랭크) 전환 기종을 시방서에 규정함.</t>
    <phoneticPr fontId="1" type="noConversion"/>
  </si>
  <si>
    <t>To-do-List
(나중에  문제 생기지 않도록 하기 위한 서류와 절차를 잘 챙기고 있는가?), 해결과정중 해야할 업무</t>
    <phoneticPr fontId="1" type="noConversion"/>
  </si>
  <si>
    <t>1관련 법령 및 설계기준 검토, 기술적 대안 비교·분석
2시스템 장비의 기능별 배치 검토 및 개략적인 공사비·공사기간 산정
3주요 자재와 장비의 경제성 검토 및 설계도서, 공사시방서 작성</t>
    <phoneticPr fontId="1" type="noConversion"/>
  </si>
  <si>
    <t>1. 무정전 전원장치(UPS) 구축: 상용 전원이 차단되더라도 신호기계실 및 관제실에 일정 시간 전원을 공급하도록 UPS와 축전지(이중화)를 설치하여 고착 방지
2. 차축검지기 및 포인트 차단회로 구성: 분기부에 차축검지장치(Axle-Counter)를 설치하여 열차 점유를 100% 확인하고, 통과 중에는 궤도가 절대 전환되지 않도록 전자연동장치를 통한 기구적/회로적 쇄정(잠금) 완벽 구축
3. 수동전환 및 스프링 리턴(턴오버) 기능 적용: 정전 시 수동으로 궤도 방향을 전환할 수 있는 매립형 선로전환기 설치 및 필요시 전원 없이도 차륜의 힘으로 통과 후 자동 복귀하는 스프링 리턴 기능 적용</t>
    <phoneticPr fontId="1" type="noConversion"/>
  </si>
  <si>
    <t>도로신호</t>
    <phoneticPr fontId="1" type="noConversion"/>
  </si>
  <si>
    <t>신호</t>
    <phoneticPr fontId="1" type="noConversion"/>
  </si>
  <si>
    <t>돌발유고검지장치 및 앞막힘제어보드 설계 누락으로 교차로 정체 시 트램 진입에 따른 도로교통 전면 마비(데드락)가 발생할 리스크를 검토하였는가?</t>
    <phoneticPr fontId="1" type="noConversion"/>
  </si>
  <si>
    <t>경찰청 교통안전심의 누락 및 지적사항 미반영으로 시공 전 신호 체계 전면 재검토 및 대규모 공정 지연이 발생할 리스크를 검토하였는가?</t>
    <phoneticPr fontId="1" type="noConversion"/>
  </si>
  <si>
    <t>1. 설계/예산 누락분 반영 확인: 설계 오류로 지적된 '돌발유고검지장치 앞막힘제어보드' 및 케이블 지중 굴착 내역이 전체 교차로(약 92~96개소) 수량에 맞게 최종 공사비에 반영되었는지 체크
2. 표준규격 인증서 확인: 교통신호제어기에 실장될 앞막힘제어보드(돌발검지 옵션보드)가 경찰청 표준규격을 준수하고, 도로교통공단의 호환성 검사를 통과한 제품인지 필수 확인
[시공 및 시험 단계]
3. AI 영상검지 영역(ROI) 튜닝: 현장 교차로 기하구조에 맞게 영상검지 카메라(CCTV)의 검지 영역(ROI)을 최적으로 설정하는 소프트웨어 튜닝 작업 수행
4. 강제 정지 연동 테스트: 현장에서 모의로 꼬리물기나 지장물 상황을 연출한 뒤, 앞막힘제어보드가 이를 인식하여 트램신호기의 직진(세로막대) 등화를 즉시 '정지(가로막대)'로 자동 차단하는지 실증 테스트 철저히 수행</t>
    <phoneticPr fontId="1" type="noConversion"/>
  </si>
  <si>
    <t>1. AI 기반 영상검지 기술 도입: 현장 교차로에 200만 화소 이상의 돌발유고 검지용 CCTV 네트워크 카메라를 설치하여, 단순 꼬리물기뿐만 아니라 보행자 무단횡단, 낙하물 등 다양한 돌발상황을 실시간으로 분석·판단
.2. 앞막힘 제어를 통한 강제 진입 차단: 교차로 내 돌발상황이 검지되면 앞막힘제어보드(옵션보드)가 즉각 개입하여, 정상적인 진행 신호 순서라 하더라도 트램신호기의 진행등화(세로막대형)를 강제로 정지등화(가로막대형) 표출로 대체
3. 데드락 및 2차 사고 원천 예방: 교차로 내부가 완전히 비워진 것을 확인한 후에만 트램 진입을 허용함으로써, 도로교통의 전면 마비(데드락)를 막고 차량-트램 간 2차 물리적 충돌 사고를 예방
.</t>
    <phoneticPr fontId="1" type="noConversion"/>
  </si>
  <si>
    <t>1. 실무 협의체 조기 가동 및 즉각 반영: 실시설계 초기 단계부터 관할 경찰청, 지자체(화성시), 교통정보센터와 실무 협의체를 구성하여, 트램 우선신호와 보행자 안전(돌발검지기 등)에 대한 경찰청의 요구사항을 선제적으로 도출 및 수용함으로써 시공 전 인허가 반려 리스크 원천 차단
.&lt;br&gt;2. 인허가 지연 만회대책(Plan B) 사전 수립: 경찰청 심의나 관련 인·허가가 지연되어 예정된 도로 굴착이 불가능해질 경우를 대비해, 도로 점용이 필요 없는 차량기지 내부 공사나 시스템 제작/검수를 선행하는 등의 '공정 지연 만회대책'을 사전 공정표에 수립하여 전체 준공 일정(개통)에 차질이 없도록 조치</t>
    <phoneticPr fontId="1" type="noConversion"/>
  </si>
  <si>
    <t>1. 경찰청 심의 지원 서류 작성: 「도로교통법」에 따른 노면전차 설치 및 신호체계 변경에 대해 시·도경찰청 사전 협의, 승인 서류 작성 및 교통안전심의 통과를 위한 적극적인 지원 업무 수행
2. 경찰서 교통처리계획 사전 신고: 도로 점용 및 굴착 공사 착수 전, 관할 경찰서에 공사 단계별 교통처리대책을 신고(도로교통법 제69조)하고 최종 허가 징구
3. 취약구간 경찰서 개별 협의: 중앙버스차로 전용구간(302~304 정거장), 벌말교 및 능동지하차도 구간 등 교통 민원이 예상되는 핵심 구간은 실시설계 단계에서부터 화성시 및 관할 경찰청(서)과 필수 협의를 진행하고 그 결과를 즉각 설계도서에 반영</t>
    <phoneticPr fontId="1" type="noConversion"/>
  </si>
  <si>
    <t>배수펌프 제어반 등 주요 전기 설비가 침수위(LWL/HWL) 상부 또는 습기가 없는 별도 실에 배치되었여부를 검토하여 조치함.</t>
    <phoneticPr fontId="1" type="noConversion"/>
  </si>
  <si>
    <t>전기실/제어반 위치가 습기가 많거나 침수 우려가 있는 경우 즉시 위치 변경을 실정보고 여부를 검토하여 조치함.</t>
    <phoneticPr fontId="1" type="noConversion"/>
  </si>
  <si>
    <t>• 전기_설계추진방향_전기분야_rev00_26.06.04.pdf
• 8. 설계참고자료.pdf
• 10. 주요 장비별 형식, 규격 및 수량 검토보고서.pdf</t>
    <phoneticPr fontId="1" type="noConversion"/>
  </si>
  <si>
    <t>전기실/변전실의 발열량을 계산하여 적정 용량의 냉방 설비가 반영 여부를 확인하여 내역에 계상함.</t>
    <phoneticPr fontId="1" type="noConversion"/>
  </si>
  <si>
    <t>시공 전/중 전기실에 **시스템 에어컨(냉난방기)**을 추가 설치하여 장비 보호 및 운영 환경을 개선함 여부를 정밀 검측하고 시공 계획에 따라 이행함.</t>
    <phoneticPr fontId="1" type="noConversion"/>
  </si>
  <si>
    <t>전기실 출입문 및 장비 반입구가 '내선규정' 등 관련 기준을 만족여부를 검토하여 조치함.</t>
    <phoneticPr fontId="1" type="noConversion"/>
  </si>
  <si>
    <t>전기실 시공 전 장비 반입 경로와 출입문 크기를 시뮬레이션여부를 검토하여 조치함.</t>
    <phoneticPr fontId="1" type="noConversion"/>
  </si>
  <si>
    <t>• 전기_설계추진방향_전기분야_rev00_26.06.04.pdf
• 8. 설계참고자료.pdf
• 동탄도시철도(트램) 건설사업 전기.신호.통신 분야 기본설계 도면.pdf</t>
    <phoneticPr fontId="1" type="noConversion"/>
  </si>
  <si>
    <t>전기실 바닥 트렌치/피트 상세도가 토목/건축 구조 도면에 반영 여부를 확인하여 내역에 계상함.</t>
    <phoneticPr fontId="1" type="noConversion"/>
  </si>
  <si>
    <t>바닥 콘크리트 타설 전 전기실 트렌치 위치와 깊이를 검측을 수행하고 결과를 기록함.</t>
    <phoneticPr fontId="1" type="noConversion"/>
  </si>
  <si>
    <t>직류 급전의 누설전류(Stray Current)를 분석해 매설배관 및 주변 지장물 전식 부식 방지 대책(배류기, 포집망 철근 접속 등)을 수립하고, 타 분야(신호/통신) 연계 변전소 통합접지망을 설계함.</t>
    <phoneticPr fontId="1" type="noConversion"/>
  </si>
  <si>
    <t>변전소 및 궤도 공사 시 전식방지용 포집망·배류기 물리적 접속 상태를 검측하고, 공통접지 완료 후 대지저항률 및 접지저항을 실측하여 법적 허용치를 확인함.</t>
    <phoneticPr fontId="1" type="noConversion"/>
  </si>
  <si>
    <t>• 전기_설계추진방향_전기분야_rev00_26.06.04.pdf
• 입찰안내서.pdf
• 5. 설계기준.pdf</t>
    <phoneticPr fontId="1" type="noConversion"/>
  </si>
  <si>
    <t>직류 급전 고속도 차단기(HSCB) 동작 시 방출되는 아크 가스 체적·도달 거리를 계산해, 큐비클 외함·타 기기와의 법적 절연 안전 이격거리를 도면에 명시함.</t>
    <phoneticPr fontId="1" type="noConversion"/>
  </si>
  <si>
    <t>수배전반 설치 시 매뉴얼의 아크 소화용 상부/측면 절연 이격거리 한계치를 실측 확인하고, 필요시 내열성 절연 격벽(Barrier) 부착을 철저히 검수함.</t>
    <phoneticPr fontId="1" type="noConversion"/>
  </si>
  <si>
    <t>• 전기_설계추진방향_전기분야_rev00_26.06.04.pdf
• 입찰안내서.pdf
• 10. 주요 장비별 형식, 규격 및 수량 검토보고서.pdf
• 동탄도시철도(트램) 건설사업 전기.신호.통신 분야 기본설계 도면.pdf</t>
    <phoneticPr fontId="1" type="noConversion"/>
  </si>
  <si>
    <t>레일 회귀전류 직류 급전계통 설계 시, 귀선(Return Cable) 단선 및 결선 불량에 대비해 변전소-레일 간 접점을 2회선 이상 분리 및 병렬 연계하도록 도면에 반영함.</t>
    <phoneticPr fontId="1" type="noConversion"/>
  </si>
  <si>
    <t>귀선 케이블 포설 및 레일 접속 시 접촉 저항 최소화를 위해 전용 본딩 장비로 견고히 체결하고, 시공 후 2회선 각각의 전류 분배 상태 및 누설전류량을 실측함.</t>
    <phoneticPr fontId="1" type="noConversion"/>
  </si>
  <si>
    <t>• 전기_설계추진방향_전기분야_rev00_26.06.04.pdf
• 5. 설계기준.pdf</t>
    <phoneticPr fontId="1" type="noConversion"/>
  </si>
  <si>
    <t>가이드라인에 따라 구역별(본선 상·하선, 기지 내) 급전계통을 분리(Sectioning)하고, 단락 사고 확대 방지용 구분 개폐기(Section Switch)를 도면에 반영함.</t>
    <phoneticPr fontId="1" type="noConversion"/>
  </si>
  <si>
    <t>구역 경계 구분 개폐장치·차단기 동작 연동 시험을 실시하고, 모의 단락 고장으로 해당 구역만의 정상 차단·분리를 검증함.</t>
    <phoneticPr fontId="1" type="noConversion"/>
  </si>
  <si>
    <t>건축·소방 협의로 차량기지·정거장 변전소 수배전반 필수 설치 면수를 산출해 실행 예산에 선반영함.</t>
    <phoneticPr fontId="1" type="noConversion"/>
  </si>
  <si>
    <t>반입 수배전반 내부를 실측해 소화용기/감지기 간섭을 방지하고, 소방 분야 합동 연동 시험(T&amp;C)을 실시함.</t>
    <phoneticPr fontId="1" type="noConversion"/>
  </si>
  <si>
    <t>운행시격·회생제동 전력 분석으로 정류기(DC Rectifier) 적정 용량을 산정하고, 잉여 회생에너지 흡수 장치(ESS, 회생저항기 등)와의 인터페이스 및 에너지 효율 최적화 설계를 반영함.</t>
    <phoneticPr fontId="1" type="noConversion"/>
  </si>
  <si>
    <t>실제 주행 전력 부하 및 회생제동 시운전으로 급전 전압 안정성을 측정하고, 잉여 전력 흡수 장치와 보호계전기의 정상 연동 시스템 튜닝을 완료함.</t>
    <phoneticPr fontId="1" type="noConversion"/>
  </si>
  <si>
    <t>• 전기_설계추진방향_전기분야_rev00_26.06.04.pdf
• 입찰안내서.pdf
• 10. 주요 장비별 형식, 규격 및 수량 검토보고서.pdf</t>
    <phoneticPr fontId="1" type="noConversion"/>
  </si>
  <si>
    <t>정류기·전력변환기기 고조파(Harmonics) 함유율 시뮬레이션으로 능동형 고조파 필터(AHF) 등 저감 장치 용량을 산정하고, 파형 왜곡 대비 보호계전기 오동작 방지 및 절연협조 계획을 반영함.</t>
    <phoneticPr fontId="1" type="noConversion"/>
  </si>
  <si>
    <t>설비 설치 후 종합 부하 시험으로 각 상별 고조파 및 파형 왜곡률(THD)을 실측하고, 실측 데이터에 맞게 계통 보호계전기 정정치(Setting)를 재조정함.</t>
    <phoneticPr fontId="1" type="noConversion"/>
  </si>
  <si>
    <t>정류용 변압기(Rectifier Transformer)·정류기 최대 부하 발열량을 계산해, 지하 변전소 환경에 맞는 독립 환기팬·냉방 장치(가변형 히트펌프 등) 적정 용량을 반영함.</t>
    <phoneticPr fontId="1" type="noConversion"/>
  </si>
  <si>
    <t>설비 장입 후 냉방기·환기팬 가동 및 모의 최대 부하 시험(Load Test)으로 변전소 실내 온도가 허용 기준치 이내로 자동 유지되는지 연동 시험함.</t>
    <phoneticPr fontId="1" type="noConversion"/>
  </si>
  <si>
    <t>• 전기_설계추진방향_전기분야_rev00_26.06.04.pdf
• 입찰안내서.pdf</t>
    <phoneticPr fontId="1" type="noConversion"/>
  </si>
  <si>
    <t>메인 차단기·보호계전기 구동용 비상 제어 직류(DC 110V) 조작전원(축전지·정류기반) 부하량을 산정해, 정전 시 60분 이상 연속 급전 용량 및 종합관제실 경보 연동을 반영함.</t>
    <phoneticPr fontId="1" type="noConversion"/>
  </si>
  <si>
    <t>축전지·정류기반 설치 후 전원 상실(Black-out) 모의 60분 실부하 방전 시험을 실시해, 저전압(Low Voltage) 알람의 관제실 HMI 현시를 검증함.</t>
    <phoneticPr fontId="1" type="noConversion"/>
  </si>
  <si>
    <t>특고압배전반·변압기반·저압배전반 내 화재감지기형 가스 자동소화장치를 설계하고, 물리적 분리 열반 배치 및 케이블 피트(Cable Pit) 화재 확산방지판(격벽)을 내역에 반영함.</t>
    <phoneticPr fontId="1" type="noConversion"/>
  </si>
  <si>
    <t>수배전반 제작·반입 시 소화장치 약제 충실도 등을 공장검수(FAT)로 확인하고, 케이블 포설 후 케이블 피트 관통부에 내화 충전재·방화 격벽을 밀실 시공함.</t>
    <phoneticPr fontId="1" type="noConversion"/>
  </si>
  <si>
    <t>3D BIM으로 장비 반입 루트 유효폭/높이를 시뮬레이션하고, 공간 부족 시 구조물 관통 수직 반입구/램프 신설을 설계에 반영함.</t>
    <phoneticPr fontId="1" type="noConversion"/>
  </si>
  <si>
    <t>반입 전 3D 스캐닝으로 진입로 한계치(Clearance)를 재확인하고, 중량물 양중 계획(Rigging Plan)을 철저히 수립함.</t>
    <phoneticPr fontId="1" type="noConversion"/>
  </si>
  <si>
    <t>• 전기_설계추진방향_전기분야_rev00_26.06.04.pdf
• 입찰안내서.pdf
• 동탄도시철도(트램) 건설사업 전기.신호.통신 분야 기본설계 도면.pdf</t>
    <phoneticPr fontId="1" type="noConversion"/>
  </si>
  <si>
    <t>주요 기기(차단기 등) 온라인 진단시스템 및 동작특성 감시장치 물량을 전수 파악해 실행 예산에 선반영함.</t>
    <phoneticPr fontId="1" type="noConversion"/>
  </si>
  <si>
    <t>반입 전 통신(SCADA) 인터페이스를 명확히 정의하고, 통신 배선 경로 및 연동을 사전 확인해 시공 간섭을 배제함.</t>
    <phoneticPr fontId="1" type="noConversion"/>
  </si>
  <si>
    <t>한전 특고압(22.9kV) 지중 관로·맨홀 침수 대비 수밀 방수 대책을 수립하고, 계약전력 패널티 예방용 최대수요 전력제어장치(Demand Controller) 및 역률 개선 설비(95% 이상)를 반영함.</t>
    <phoneticPr fontId="1" type="noConversion"/>
  </si>
  <si>
    <t>맨홀 벽체 관통부와 케이블 틈새에 특수 방수 실링(Sealing)·지수재를 밀실 시공하고, 시운전 시 최대수요 전력제어장치 경보 설정치(Target Demand)를 피크 부하에 맞춰 세팅함.</t>
    <phoneticPr fontId="1" type="noConversion"/>
  </si>
  <si>
    <t>지하 변전소(S01) 대형 장비용 반입구(3m×4m) 크기를 확보하고, 기존 주차장 제한 높이(2.2m) 등 시설물 간섭을 3D 모델링 검토해 반입 동선을 반영함.</t>
    <phoneticPr fontId="1" type="noConversion"/>
  </si>
  <si>
    <t>반입 전 반입구 규격(폭 3m, 천정고 3m 이상)·동선을 실측하고, 중량물 이동 대비 슬래브(무근 콘크리트 하중 등) 안전성을 현장 확인함.</t>
    <phoneticPr fontId="1" type="noConversion"/>
  </si>
  <si>
    <t>피뢰설비 설치, 차량의 직접적 접지, 차량 주행 불능시 구원 차량 투입 반영함.</t>
    <phoneticPr fontId="1" type="noConversion"/>
  </si>
  <si>
    <t>• 전기_설계추진방향_전기분야_rev00_26.06.04.pdf
• 8. 설계참고자료.pdf</t>
    <phoneticPr fontId="1" type="noConversion"/>
  </si>
  <si>
    <t>초고압반, 변압기반 내부에 온라인 진단 센서 취부하여 상시 설비 모니터링 실시.</t>
    <phoneticPr fontId="1" type="noConversion"/>
  </si>
  <si>
    <t>전원케이블 보호를 위한 강관 설계 반영함.</t>
    <phoneticPr fontId="1" type="noConversion"/>
  </si>
  <si>
    <t>입찰안내서 및 지침 검토 체크리스트를 통해 설계 누락사항 확인, 발주처 질의 및 입찰안내서 질의서 제출 시 반영.</t>
    <phoneticPr fontId="1" type="noConversion"/>
  </si>
  <si>
    <t>정거장 급속 충전(DC 750V) 시 귀선전류 서지·고조파 노이즈를 계산해 궤도회로(차축검지기 등) EMC 차폐 및 누설전류 전식 방호 설비를 반영함.</t>
    <phoneticPr fontId="1" type="noConversion"/>
  </si>
  <si>
    <t>충전설비 시공 후 최대 부하 급속 충전 합동 시운전으로, 귀선전류 노이즈가 신호기기(액슬카운터 등) 허용치 이하인지 실측 및 튜닝함.</t>
    <phoneticPr fontId="1" type="noConversion"/>
  </si>
  <si>
    <t>검수고(중·경검수선 등) 지붕 작업자 감전 차단을 위해, 전차선(DC 750V) 전원 인가/차단 현시 기능과 물리적 강제 접지 장치(단로기·크레인 안전 인터록 회로)를 설계에 반영함.</t>
    <phoneticPr fontId="1" type="noConversion"/>
  </si>
  <si>
    <t>검수고 전차선 설치 후 전원 차단·접지 투입 시뮬레이션을 통해, 경광등 현시 및 천장 크레인 등 타 설비와의 연동 차단(인터록) 정상 작동을 검증함.</t>
    <phoneticPr fontId="1" type="noConversion"/>
  </si>
  <si>
    <t>한전-철도 변전소 간 송전 거리·지중 관로를 실측해 한전 불입금을 원가계산서에 상향 계상함.</t>
    <phoneticPr fontId="1" type="noConversion"/>
  </si>
  <si>
    <t>착공 초기 한전 수전 일정을 확정하고, 부하 증가 대비 인입 케이블·터파기 여유율(예비공)을 확보함.</t>
    <phoneticPr fontId="1" type="noConversion"/>
  </si>
  <si>
    <t>혼용구간 전차선 지지물(전철주 등) 설계 시 무단 승탑 방지판 및 고압 경고 표지를 반영하고 가압부와의 절연 이격거리를 확보함.</t>
    <phoneticPr fontId="1" type="noConversion"/>
  </si>
  <si>
    <t>전철주 일정 높이에 승탑 방지 장치 및 고압 경고 표지판을 부착하고, 전차선 가압부-지지물 간 물리/전기적 절연 이격거리 확보를 실측함.</t>
    <phoneticPr fontId="1" type="noConversion"/>
  </si>
  <si>
    <t>• 전기_설계추진방향_전기분야_rev00_26.06.04.pdf
• 5. 설계기준.pdf
• 동탄도시철도(트램) 건설사업 전기.신호.통신 분야 기본설계 도면.pdf</t>
    <phoneticPr fontId="1" type="noConversion"/>
  </si>
  <si>
    <t>터널·지하차도 전차선로 설계 시 절연 이격거리 확보 및 단선 예방을 위해 알루미늄 강체(Rigid Bar, R-Bar) 조가방식을 설계·시방서에 반영함.</t>
    <phoneticPr fontId="1" type="noConversion"/>
  </si>
  <si>
    <t>지하 강체 조가설비 시공 시 지지 애자 앵커링 간격을 정밀 시공하고, T.A.B 시 강체 전차선 높이(Height)·편위(Stagger)가 집전장치 유효폭 내에 들도록 레이저 측정 튜닝함.</t>
    <phoneticPr fontId="1" type="noConversion"/>
  </si>
  <si>
    <t>3D BIM으로 정거장 캐노피와 트램 팬터그래프 상승 최대 높이·이격거리를 시뮬레이션해, 전기적 절연거리가 확보된 캐노피 형태 및 충전 지지물 규격을 재설계함.</t>
    <phoneticPr fontId="1" type="noConversion"/>
  </si>
  <si>
    <t>캐노피·충전설비 시공 후 실제 트램을 투입해 팬터그래프 상승/하강 테스트를 실시, 접촉 평탄도 및 이선(아크) 발생 여부를 확인함.</t>
    <phoneticPr fontId="1" type="noConversion"/>
  </si>
  <si>
    <t>차량기지·지상 구간 가공전차선 설계 시, 궤도 중심 기준 전차선 편위가 좌·우 200mm(최대 250mm) 이내로 제한되도록 지지물 간격 및 브래킷 규격을 도면에 반영함.</t>
    <phoneticPr fontId="1" type="noConversion"/>
  </si>
  <si>
    <t>전차선 가선·장력 조정 후 한계 측정차를 투입해 전 구간 실제 전차선 편위가 허용 기준치(200~250mm) 이내인지 현장 실측함.</t>
    <phoneticPr fontId="1" type="noConversion"/>
  </si>
  <si>
    <t>정급전선(급전케이블) 지중/트렌치/입상 수량 및 관로구 방수장치를 내역에 반영하고, 귀선용 부급전선 접속함(상·하선) 및 레일 천공(볼트/너트 체결) 상세도를 도면에 표기함.</t>
    <phoneticPr fontId="1" type="noConversion"/>
  </si>
  <si>
    <t>급전케이블 구조물 관통부에 수밀 방수 처리하고, 부급전선-레일 체결부(천공부)를 전동조임기로 체결 후 접촉 저항 규정치를 실측·확인함.</t>
    <phoneticPr fontId="1" type="noConversion"/>
  </si>
  <si>
    <t>• 전기_설계추진방향_전기분야_rev00_26.06.04.pdf
• 동탄도시철도(트램) 건설사업 전기.신호.통신 분야 기본설계 도면.pdf</t>
    <phoneticPr fontId="1" type="noConversion"/>
  </si>
  <si>
    <t>협소 구간(교량 하부, 터널) 가압부-접지 구조물 간 대지절연 이격거리 상세도를 작성하고, 인접 통신선 전자유도장애(EMI) 방지 차폐 대책을 인터페이스 도서에 반영함.</t>
    <phoneticPr fontId="1" type="noConversion"/>
  </si>
  <si>
    <t>전차선 가선 후 구조물-가압부 간 실제 이격거리를 레이저 실측·조정(T.A.B)하고, 시운전 시 전자유도전압 측정으로 통신장애 여부를 검증함.</t>
    <phoneticPr fontId="1" type="noConversion"/>
  </si>
  <si>
    <t>지중 굴착 경로 연약지반 식별 후, 부동침하 대비 가요성 지중전선관(파형관) 적용 및 기초 지반개량(치환, 파일 보강 등) 비용을 내역서에 반영함.</t>
    <phoneticPr fontId="1" type="noConversion"/>
  </si>
  <si>
    <t>연약지반 관로 기초·모래 부설 다짐도를 엄격 관리하고, 지표침하계로 매설 구간 지반 변위를 실시간 모니터링함.</t>
    <phoneticPr fontId="1" type="noConversion"/>
  </si>
  <si>
    <t>차량기지·본선 전차선로 지지주(Catenary Pole) 기초 설계 시, 지반 조사 결과(토질조건)·풍하중·인장하중을 계산해 기초 콘크리트 규모를 산정하고 도면에 반영함.</t>
    <phoneticPr fontId="1" type="noConversion"/>
  </si>
  <si>
    <t>기초 콘크리트 타설 전 평판재하시험 등으로 지내력을 확인하고, 연약지반 조우 시 파일(Pile) 보강 등 기초 지반개량을 시행해 구조적 안전성을 확보함.</t>
    <phoneticPr fontId="1" type="noConversion"/>
  </si>
  <si>
    <t>자동장력조정장치(WTB) 위치 선정 시, 급곡선(R=25m 등)·분기기 구간의 공간 간섭 및 선로 평면선형 일치 여부를 3D BIM으로 시뮬레이션해 배치함.</t>
    <phoneticPr fontId="1" type="noConversion"/>
  </si>
  <si>
    <t>장력조정장치 설치 후 온도에 따른 스트로크(Stroke) 여유량을 세팅하고, 현장 가선 시험으로 급곡선 편위 및 팬터그래프 이행 여부를 확인함.</t>
    <phoneticPr fontId="1" type="noConversion"/>
  </si>
  <si>
    <t>팬터그래프 상승 충전 방식에 따른 급속충전 포스트(강체 전차선)·캐노피 지지물 간 하중 간섭을 배제하고, 차량 제어장치(TCMS)-충전설비 상태 감시 및 SCADA 연동을 설계함.</t>
    <phoneticPr fontId="1" type="noConversion"/>
  </si>
  <si>
    <t>지지물 풀림 방지 볼트를 체결하고, 차량 반입 후 팬터그래프 상승 및 최대 부하 충전 연동 시험으로 아크 억제 및 제어 응답성을 현장 확인함.</t>
    <phoneticPr fontId="1" type="noConversion"/>
  </si>
  <si>
    <t>급속 충전 시 팬터그래프와 강체 전차선(Rigid Bar) 간 대전류 아크 발생·온도 상승·마모 방지 대책을 수립하고, 실시간 아크 감시 장치를 설계에 반영함.</t>
    <phoneticPr fontId="1" type="noConversion"/>
  </si>
  <si>
    <t>설비 시공 후 실제 대전류 급속 충전 시험을 반복해 아크 발생 여부 및 아크 감시 장치의 관제실 알람 연동 상태를 검증함.</t>
    <phoneticPr fontId="1" type="noConversion"/>
  </si>
  <si>
    <t>터널·교량 하부 등 협소 개소 전차선로 설계 시, 차량 동적 요동 및 팬터그래프 상승을 고려해 가압부-접지물 간 안전 대지절연 이격거리를 도면에 확보함.</t>
    <phoneticPr fontId="1" type="noConversion"/>
  </si>
  <si>
    <t>가선 및 지지물 시공 후 차량 한계 측정차를 통과시켜 전차선 가압부와 인접 구조물 간 3차원 이격거리의 절연 한계치 충족 여부를 정밀 실측함.</t>
    <phoneticPr fontId="1" type="noConversion"/>
  </si>
  <si>
    <t>기후(폭염·폭설)에 의한 충전 효율 저하 및 팬터그래프/전차선 결빙 방지용 옥외 충전설비 상부 보호용 캐노피 설치를 건축 분야와 협의해 설계에 반영함.</t>
    <phoneticPr fontId="1" type="noConversion"/>
  </si>
  <si>
    <t>옥외 충전선 캐노피 시공 시 지지 구조물을 견고히 설치하고, 악천후(우기·동절기) 시 충전 포스트-차량 집전장치 간 절연 내력 및 충전 성능 유지 여부를 모의 시운전함.</t>
    <phoneticPr fontId="1" type="noConversion"/>
  </si>
  <si>
    <t>• 전기_설계추진방향_전기분야_rev00_26.06.04.pdf</t>
    <phoneticPr fontId="1" type="noConversion"/>
  </si>
  <si>
    <t>교차로 등 인입 관로 굴착 시 야간 차단 공사를 전제로 한 교통처리계획(VMS 안내 표지판 등), 야간 할증 노무비, 소음 저감용 가설 방음 시설 원가를 내역에 반영함.</t>
    <phoneticPr fontId="1" type="noConversion"/>
  </si>
  <si>
    <t>굴착 전 경찰서 교통통제 승인을 적기 취득하고, 야간 작업 시 신호수 전면 배치 및 노면 복공판 미끄럼/단차 소음 방지 조치를 이행함.</t>
    <phoneticPr fontId="1" type="noConversion"/>
  </si>
  <si>
    <t>선로 횡단 및 인하점 케이블 연장, 부급전선 레일 천공, 관로구 방수장치 물량을 정밀 산출해 예산에 증액 반영함.</t>
    <phoneticPr fontId="1" type="noConversion"/>
  </si>
  <si>
    <t>토목·궤도 협의로 기초·도상 콘크리트 타설 전 부급전선 매설, 횡단 관로 터파기 및 방수 작업을 선행 시공함.</t>
    <phoneticPr fontId="1" type="noConversion"/>
  </si>
  <si>
    <t>교차로·급곡선(R=25m, 40m 등) 차량 편각(Deviation) 계산으로 지지물(전주·브래킷) 적정 경간(Span)을 산출하고, 시야 확보 위치를 최적화해 도면에 반영함.</t>
    <phoneticPr fontId="1" type="noConversion"/>
  </si>
  <si>
    <t>기초 터파기 전 GPR 탐사로 지장물을 확인하고, 가선 시 자동장력조정장치(WTB 등)로 온도 변화에 따른 적정 장력을 정밀 시공함.</t>
    <phoneticPr fontId="1" type="noConversion"/>
  </si>
  <si>
    <t>최기 한전 변전소-철도 변전소 간 실측 거리 및 지중·가공 여부 조사로 한전 수탁공사비(표준시설부담금)를 산출해 원가계산서에 상향 계상함.</t>
    <phoneticPr fontId="1" type="noConversion"/>
  </si>
  <si>
    <t>착공 초기 한국전력공사 협의로 전력 연계 용량·수전 일정을 조기 확정하고, 사용 전 검사 등 대관 인허가 행정 절차를 마무리함.</t>
    <phoneticPr fontId="1" type="noConversion"/>
  </si>
  <si>
    <t>정차 시간(수십 초 이내) 급속 충전 부하를 분석해 정격용량을 산정하고, 직류 단락 대비 고속도 차단기(HSCB) 등 보호계전기 세팅값을 설계에 반영함.</t>
    <phoneticPr fontId="1" type="noConversion"/>
  </si>
  <si>
    <t>설비 설치 후 모의 부하(Load Bank) 또는 실제 차량으로 최대 부하 시 온도 상승·전압 변동률을 측정하고, 차단 보호기 정상 동작을 종합 시험함.</t>
    <phoneticPr fontId="1" type="noConversion"/>
  </si>
  <si>
    <t>수전 지점 개폐기(PAD)·전주 위치 조사로 한전과의 책임분계점을 도면에 구획하고, 접속 자재 규격 및 보호계전기(Relay) 세팅 값을 한전 규정에 맞춰 설계에 반영함.</t>
    <phoneticPr fontId="1" type="noConversion"/>
  </si>
  <si>
    <t>케이블 접속 전 한전과 합동으로 단말 처리 및 위상(Phase) 일치를 사전 확인하고, 활선 작업 안전장구를 갖춰 시공함.</t>
    <phoneticPr fontId="1" type="noConversion"/>
  </si>
  <si>
    <t>개방형 구간 전차선로 설계 시 보행자 감전 방지용 전차선 가압부 안전 이격거리를 확보하고, 물리적 방호벽·보도육교 하부 절연 보호망 및 위험 경고설비를 도면에 반영함.</t>
    <phoneticPr fontId="1" type="noConversion"/>
  </si>
  <si>
    <t>가선 후 노면·보행로-전차선 간 실제 이격거리를 측량해 기준 충족을 확인하고, 보도육교 하부 등에 절연 방호망(Screen) 및 감전주의 표지판을 시공함.</t>
    <phoneticPr fontId="1" type="noConversion"/>
  </si>
  <si>
    <t>교차로 통과 구간 가공 전차선(DC 750V)과 교통 인프라(가로등 등) 간 전기적 절연 이격거리 및 대형 차량 통행용 물리적 접촉 한계 이격거리를 도면에 명시함.</t>
    <phoneticPr fontId="1" type="noConversion"/>
  </si>
  <si>
    <t>가선 전 지자체 협의로 간섭 지장물을 이설하고, 가선 후 특대형 트럭 통과 높이 제한 표지판을 설치해 충돌을 차단함.</t>
    <phoneticPr fontId="1" type="noConversion"/>
  </si>
  <si>
    <t>• 전기_설계추진방향_전기분야_rev00_26.06.04.pdf
• 입찰안내서.pdf
• 5. 설계기준.pdf
• 동탄도시철도(트램) 건설사업 전기.신호.통신 분야 기본설계 도면.pdf</t>
    <phoneticPr fontId="1" type="noConversion"/>
  </si>
  <si>
    <t>인입 관로 굴착 경로 내 지장물(상하수도, 통신, 가스 등) 간섭 여부를 3D BIM으로 확인하고, 맨홀·건물 관통부 관로구 방수장치(Water stop) 물량을 도면에 반영함.</t>
    <phoneticPr fontId="1" type="noConversion"/>
  </si>
  <si>
    <t>굴착 전 GPR(지표투과레이더) 탐사·시험 터파기로 실제 지장물 위치를 파악하고, 관로구 방수 장치 시공 후 집중호우 가상 누수 테스트를 시행함.</t>
    <phoneticPr fontId="1" type="noConversion"/>
  </si>
  <si>
    <t>한전 수전-주 변전소 실측 거리 기반 전압강하·허용전류 계산으로 케이블 규격을 상향하고, 밀폐형 덕트 및 통신/신호 케이블 간 법적 이격거리를 도서에 표기함.</t>
    <phoneticPr fontId="1" type="noConversion"/>
  </si>
  <si>
    <t>특고압 케이블 포설 시 허용 곡률반경 준수로 피복 손상을 막고, 직후 절연내력 및 내압 시험으로 안전성을 확인함.</t>
    <phoneticPr fontId="1" type="noConversion"/>
  </si>
  <si>
    <t>터널 전차선로 강체 조가방식(Rigid Catenary) 설계 시, 지상(가요선)-지하(강체) 접속부 등에 집전장치 충격 방지용 이행구간(Transition Element)을 반영함.</t>
    <phoneticPr fontId="1" type="noConversion"/>
  </si>
  <si>
    <t>이행구간(Transition) 시공 시 레이저로 가요-강체 간 장력·높이 구배(Gradient) 단차를 조율하고, 판토그래프 이탈·아크(Arc) 없는 부드러운 통과를 동적 주행 시험함.</t>
    <phoneticPr fontId="1" type="noConversion"/>
  </si>
  <si>
    <t>방재용 MCC(소화펌프 등) 상용·비상 2중 전원 회선을 구성하고, 소방 간선을 일반 간선과 분리되게 도면에 반영함.</t>
    <phoneticPr fontId="1" type="noConversion"/>
  </si>
  <si>
    <t>일반·소방 간선 간 법적 이격거리를 유지해 포설하고, 자동화재탐지설비(R형 수신반) 연동 시운전 테스트를 실시함.</t>
    <phoneticPr fontId="1" type="noConversion"/>
  </si>
  <si>
    <t>정거장·대피로 등 유도등을 2선식(항상 점등)으로 설계하고, 정전 시 60분 이상 비상 점등용 UPS·축전지 용량을 회로에 반영함.</t>
    <phoneticPr fontId="1" type="noConversion"/>
  </si>
  <si>
    <t>비상등 3로 스위치 미설치 및 상시 전원 결선을 전수 확인하고, 상용 전원 강제 차단(Black-out) 시 60분 이상 점등을 검증함.</t>
    <phoneticPr fontId="1" type="noConversion"/>
  </si>
  <si>
    <t>환기·제습 설비(배연팬 포함) 동력에 전원 공급 2중화(1, 2호계) 및 내화케이블(NFR-8 등)을 적용하고, 배연모드 전환 로직을 반영함.</t>
    <phoneticPr fontId="1" type="noConversion"/>
  </si>
  <si>
    <t>환기·배연 설비 MCC를 방재반과 연동해, 화재 시 배연 모드로 댐퍼 및 팬이 즉각 자동 절체(역회전 등) 구동되는지 시운전함.</t>
    <phoneticPr fontId="1" type="noConversion"/>
  </si>
  <si>
    <t>분야 간 협의로 동절기 분기기 히팅장치(융설설비) 전력량을 산출하고, 제어함 1차측 전원 회로·차단기·케이블을 설계에 반영함.</t>
    <phoneticPr fontId="1" type="noConversion"/>
  </si>
  <si>
    <t>타 분야와 전원 케이블 접속 위치 협의 시공 후, 온도 저하(감지 센서 연동) 모의 시운전으로 열선(히팅 로드) 정상 가동을 확인함.</t>
    <phoneticPr fontId="1" type="noConversion"/>
  </si>
  <si>
    <t>정거장 승강설비(엘리베이터 등)의 정전 대비 비상전원 공급 회로 및 화재 시 피난층 자동 귀환 제어 로직을 도면에 반영함.</t>
    <phoneticPr fontId="1" type="noConversion"/>
  </si>
  <si>
    <t>비상발전기(Emergency Generator) 용량 산정 시, 대용량 전동기(소화펌프, 제연팬 등)의 기동 전류(Starting Current) 및 기동 방식(Y-△, Soft Starter 등)을 반영함.</t>
    <phoneticPr fontId="1" type="noConversion"/>
  </si>
  <si>
    <t>비상발전기 및 소방 동력반(MCC) 설치 후, 상용전원 차단 모의 발전기 부하 투입 및 대용량 전동기 동시 기동 연동 시험(Load Test)을 실시함.</t>
    <phoneticPr fontId="1" type="noConversion"/>
  </si>
  <si>
    <t>지하구간·차량기지 배수 펌프(Drainage Pump) 동력 설계 시, 전동기 기동 순간 전압 강하 및 기동 전류를 계산해 적정 차단기·전원 케이블 규격을 반영함.</t>
    <phoneticPr fontId="1" type="noConversion"/>
  </si>
  <si>
    <t>배수 펌프 자동 교번 운전 및 만수위 경보 연동 시험을 실시하고, 펌프 기동 시 MCC반 메인 차단기 전압 강하폭의 허용치 이내 여부를 실측함.</t>
    <phoneticPr fontId="1" type="noConversion"/>
  </si>
  <si>
    <t>검수장비(차륜전삭기, 기중기 등)의 전기용량·기동특성·공급방식(1상/3상)을 검수 분야로부터 제공받아 전용 동력제어반(MCC)·분전반 용량을 산정하고 배관배선을 도면에 반영함.</t>
    <phoneticPr fontId="1" type="noConversion"/>
  </si>
  <si>
    <t>장비 반입 전 전기 배관·트렌치 시공을 선행하고, 부하 시운전 시 기동 전류에 의한 전압강하 및 차단기 용량 적정성을 실측 확인함.</t>
    <phoneticPr fontId="1" type="noConversion"/>
  </si>
  <si>
    <t>정거장 스마트 편의시설(음향신호기, 온열의자, AFC 등) 전력량을 개별 산출해, 전용 분기 회로와 인체감전보호용 누전차단기를 정거장 분전반 용량에 반영함.</t>
    <phoneticPr fontId="1" type="noConversion"/>
  </si>
  <si>
    <t>건축·통신 분야 협의로 전원 인출구(정션박스)를 정확히 시공하고, 다수 설비 동시 가동 시 부하 불평형 및 누전차단기 오동작 여부를 현장 점검함.</t>
    <phoneticPr fontId="1" type="noConversion"/>
  </si>
  <si>
    <t>가이드라인의 옥외(40℃~-25℃) 및 지하(30℃~-5℃) 가혹 대기온도를 분석해 내환경성 절연 자재 및 온도 보상 장치를 설계에 반영함.</t>
    <phoneticPr fontId="1" type="noConversion"/>
  </si>
  <si>
    <t>반입 배전반·기기류 시험성적서로 대기온도 충족을 검수하고, 옥외 노출반 스페이스 히터(Space Heater) 및 환기팬 동작을 시운전 시 점검함.</t>
    <phoneticPr fontId="1" type="noConversion"/>
  </si>
  <si>
    <t>케이블 피트(Cable Pit) 내 1, 2호계 전력선 간 물리적 이격 거리를 확보하고, 화재 타 호계 확산 방지용 화재 확산방지판(격벽) 및 관통부 내화채움구조를 내역에 반영함.</t>
    <phoneticPr fontId="1" type="noConversion"/>
  </si>
  <si>
    <t>케이블 포설 후 호계별 이격 상태를 점검하고, 방화격벽 및 벽체 관통부에 공인된 내화 충전재를 밀실 시공하여 소방 준공 검사를 필함.</t>
    <phoneticPr fontId="1" type="noConversion"/>
  </si>
  <si>
    <t>야외 유치선(Stabling Yard)·선로변 조명(Pole Lighting) 설계 시 야간 작업용 법정 최소 조도(Lux)를 시뮬레이션하고, 조명타워 기초와 전차선·차량 한계선 간섭 방지를 3D 모델링으로 사전 배치함.</t>
    <phoneticPr fontId="1" type="noConversion"/>
  </si>
  <si>
    <t>기초 타설 전 분야 간 합동으로 이격거리를 실측하고, 야간 조명 점등 후 실제 조도를 측정해 기준 미달 시 보완함.</t>
    <phoneticPr fontId="1" type="noConversion"/>
  </si>
  <si>
    <t>검수 피트(Depot Pit) 등 수분 상존 구역에 고감도 누전차단기(15mA)를 명시하고, 노출 배관 결로 방지 및 EPS실 관통부의 내화채움구조를 내역서에 반영함.</t>
    <phoneticPr fontId="1" type="noConversion"/>
  </si>
  <si>
    <t>옥외 전선관 결로수 배출구 및 실링 시공으로 침수를 막고, EPS실 관통부 배선 후 틈새에 내화 인증 방화 충진재를 밀실 시공함.</t>
    <phoneticPr fontId="1" type="noConversion"/>
  </si>
  <si>
    <t>급속충전설비 및 변전소 차단기(VCB, DC 차단기 등) 원격 제어 오동작 방지용 H/W 및 S/W 이중 인터록(Interlock) 보호 로직을 SCADA에 반영함.</t>
    <phoneticPr fontId="1" type="noConversion"/>
  </si>
  <si>
    <t>현장 기기가 유지보수 모드(Local mode)일 때 원격 개폐 명령이 인가되지 않도록 현장 제어반-SCADA 간 강제 인터록 연동 시험을 수행함.</t>
    <phoneticPr fontId="1" type="noConversion"/>
  </si>
  <si>
    <t>OCC SCADA의 데이터 용량·대역폭을 계산해, 비상시 화면 갱신 주기(Refresh Rate) 지연 없는 실시간 전송 사양을 반영함.</t>
    <phoneticPr fontId="1" type="noConversion"/>
  </si>
  <si>
    <t>통신망 구축 후 대량 신호(Dummy Data) 과부하 테스트로 알람부터 관제 화면 현시까지의 응답시간 규정치 충족을 검증함.</t>
    <phoneticPr fontId="1" type="noConversion"/>
  </si>
  <si>
    <t>뇌서지(Surge)·이상전압 보호용 피뢰기(LA) 및 서지보호장치(SPD)를 배치하고, 시스템 전체 절연 레벨을 최적화하는 '절연협조(Insulation Coordination)'를 설계에 반영함.</t>
    <phoneticPr fontId="1" type="noConversion"/>
  </si>
  <si>
    <t>장비 절연 내력(BIL) 성적서 확인 후 피뢰기 및 SPD 접지 결선망을 견고히 시공하고, 시운전 시 뇌서지 방전 절연·접지 테스트를 전수 실시함.</t>
    <phoneticPr fontId="1" type="noConversion"/>
  </si>
  <si>
    <t>• 전기_설계추진방향_전기분야_rev00_26.06.04.pdf
• 5. 설계기준.pdf
• 10. 주요 장비별 형식, 규격 및 수량 검토보고서.pdf</t>
    <phoneticPr fontId="1" type="noConversion"/>
  </si>
  <si>
    <t>가공전차선 지지물(전철주 등)이 인도·자전거도로 유효폭을 침해하지 않게 위치를 최적화하고, 차량 회전반경 겹침 구간엔 방호벽이나 강관 볼라드(Bollard)를 도면에 반영함.</t>
    <phoneticPr fontId="1" type="noConversion"/>
  </si>
  <si>
    <t>전철주 기초 타설 시 보도·차도 마감선을 실측해 보행자 걸림이 없게 평탄화하고, 교차로 인접 전철주 주변에 방호시설(볼라드 등)을 견고히 앵커링 시공함.</t>
    <phoneticPr fontId="1" type="noConversion"/>
  </si>
  <si>
    <t>다수 열차 동시 기동 부하(Peak Load) 및 구배 등판 최대 전력을 전력조류계산(Load Flow)해 가혹 조건에서도 정상 전압이 유지되는 충분한 설비 용량을 도서·내역에 반영함.</t>
    <phoneticPr fontId="1" type="noConversion"/>
  </si>
  <si>
    <t>설비 구축 후 실부하 테스터(Load Bank) 및 다수 열차 동시 기동 테스트로 최대 부하 시 전압 강하 허용 범위 내 원활한 전력 공급을 검증함.</t>
    <phoneticPr fontId="1" type="noConversion"/>
  </si>
  <si>
    <t>변전소·정거장 SCADA 통신 중계반(RTU/DDC) 전용 무정전전원장치(UPS) 부하량을 산정해, 정전 시 30분1시간 이상 관제망 연결 유지용 백업 축전지 용량을 내역에 반영함.</t>
    <phoneticPr fontId="1" type="noConversion"/>
  </si>
  <si>
    <t>원격소장치 설치 후 한전 전원 차단 모의 정전 시운전을 실시해, UPS 전원 무순단 절체 및 정전 보상 시간 내 관제 센터 데이터 송수신 정상 유지를 확인함.</t>
    <phoneticPr fontId="1" type="noConversion"/>
  </si>
  <si>
    <t>설치 구역별 가혹 대기온도를 고려해 전력 장비 정격 운전온도를 시방서에 규정하고, 제어실 공조/항온항습 설비를 인터페이스 도서에 연계 반영함.</t>
    <phoneticPr fontId="1" type="noConversion"/>
  </si>
  <si>
    <t>장비 반입 시 온도 사양 시험성적서(Test Report)를 전수 확인하고, 제어실·옥외 큐비클 내 스페이스 히터 및 쿨링팬 정상 작동을 시운전 시 검측함.</t>
    <phoneticPr fontId="1" type="noConversion"/>
  </si>
  <si>
    <t>감시제어용 현장 원격소장치(RTU 및 DDC) 필수 수량을 내역에 전수 반영하고, 개방형 표준 프로토콜(IEC 61850, DNP 3.0, BACnet 등) 통신 인터페이스 기준을 규정함.</t>
    <phoneticPr fontId="1" type="noConversion"/>
  </si>
  <si>
    <t>서버-현장 RTU/DDC 간 Point-to-Point 통신 결선을 점검하고, 프로토콜 변환(Gateway) 장비 데이터 매핑 테스트 및 종합 연동 시험(Test &amp; Commissioning)을 실시함.</t>
    <phoneticPr fontId="1" type="noConversion"/>
  </si>
  <si>
    <t>옥외 전력 기구함(분전반 등) 설계 시 특고압/저압부 절연 파괴 차단을 위해 완벽한 밀폐 기능을 갖춘 '방습형 구조(고무 가스켓 마감, 적정 IP등급 확보)'를 시방서에 지정함.</t>
    <phoneticPr fontId="1" type="noConversion"/>
  </si>
  <si>
    <t>기구함 반입·설치 시 방습 구조 및 도어 패킹(Gasket) 밀착을 전수 검수하고, 빗물·해충 유입 방지를 위해 케이블 인입구 씰링(Sealing) 처리를 시공함.</t>
    <phoneticPr fontId="1" type="noConversion"/>
  </si>
  <si>
    <t>관제·신호 지중 매입전선관 접속점 수밀 방수 구조를 수립하고, 전자파 간섭 방지를 위해 신호제어 통신선은 차폐된 난연성 케이블로 설계에 반영함.</t>
    <phoneticPr fontId="1" type="noConversion"/>
  </si>
  <si>
    <t>매입전선관 접속부·맨홀 관통부에 특수 방수 실링(Sealing)을 시공하고, 케이블 차폐층(Shield) 다점 접지 연결 및 난연성 자재 시공 여부를 현장 검수함.</t>
    <phoneticPr fontId="1" type="noConversion"/>
  </si>
  <si>
    <t>전력 공급설비 설계 시 트램 견인 인버터·대전력 기동의 고주파 노이즈(EMI) 역류 방지용 노이즈 필터링 대책 및 차폐 접지 계통도를 도서에 반영함.</t>
    <phoneticPr fontId="1" type="noConversion"/>
  </si>
  <si>
    <t>현장 시공 시 쉴드선 접지·노이즈 차단 필터를 설치하고, 최대 전력 부하 시운전으로 고주파 노이즈 파형을 계측해 유도장애 없음을 전수 검증함.</t>
    <phoneticPr fontId="1" type="noConversion"/>
  </si>
  <si>
    <t>종합관제센터(OCC)-현장 변전소 간 SCADA 제어용 광통신 전송로(Backbone) 이중화 및 폐쇄형 망분리·사이버 방화벽 체계를 설계에 반영함.</t>
    <phoneticPr fontId="1" type="noConversion"/>
  </si>
  <si>
    <t>메인(Main)·백업(Stand-by) 광케이블이 동일 관로에 포설되지 않게 이격 시공하고, 단절(Fail-over) 시 백업 회선 자동 절체 무순단 테스트를 시행함.</t>
    <phoneticPr fontId="1" type="noConversion"/>
  </si>
  <si>
    <t>SCADA 시스템, 신호(ATC) 및 무선 통신(LTE-R) 간 프로토콜을 일치시키고, 급전 단절 시 차량 비상 정지 명령을 하달하는 데이터 연동 로직을 설계함.</t>
    <phoneticPr fontId="1" type="noConversion"/>
  </si>
  <si>
    <t>분야 간 합동 모의 정전·급전 차단 시험으로, SCADA 차단 신호가 LTE-R을 거쳐 차상 장치에 전달되어 차량이 안전 구역 내 자동 정차하는지 검증함.</t>
    <phoneticPr fontId="1" type="noConversion"/>
  </si>
  <si>
    <t>특고압·직류 대구경 케이블의 포설·교체를 위해 관로·트레이 점유면적 여유율(20% 이상), 굴곡부 허용 곡률반경 및 작업자 이격공간을 도면에 명시함.</t>
    <phoneticPr fontId="1" type="noConversion"/>
  </si>
  <si>
    <t>타 공종 간섭 배제 및 케이블 허용 곡률반경을 준수하여 포설하고, 갱폼·맨홀 주변에 작업자가 진입해 인출/인입할 수 있는 이격공간을 전수 확인함.</t>
    <phoneticPr fontId="1" type="noConversion"/>
  </si>
  <si>
    <t>레일(귀선) 주변 매설 금속체(케이블 트레이, 가스관 등)의 전위차 해소를 위한 등전위 본딩(Bonding) 및 전식 방호용 포집망 철근 접속을 도면에 반영함.</t>
    <phoneticPr fontId="1" type="noConversion"/>
  </si>
  <si>
    <t>매설 금속체 및 철근 간 본딩 접속부(용접·클램프)를 시공하고, 도통 시험 및 등전위 여부를 정밀 측정함.</t>
    <phoneticPr fontId="1" type="noConversion"/>
  </si>
  <si>
    <t>가공전차선 옥외 구간 설계 시 피뢰기 보호레벨과 전력 기기 절연강도 간 절연협조를 반영하고, 인접 통신선 전자유도장애 방호 대책을 수립함.</t>
    <phoneticPr fontId="1" type="noConversion"/>
  </si>
  <si>
    <t>피뢰기(SA)·접지선 시공 시 최단 거리 방전망을 구성하고, 접지저항 및 인접 통신선 유도전압 실측으로 방호 성능을 검증함.</t>
    <phoneticPr fontId="1" type="noConversion"/>
  </si>
  <si>
    <t>전력공급설비 설계 시 지락(Ground Fault) 사고 대비 지락계전기 보호협조 회로를 구성하고, 화학적 저감제 배제 및 물리적 보조 접지극(심타공법 등) 보강 방안을 시방서에 명시함.</t>
    <phoneticPr fontId="1" type="noConversion"/>
  </si>
  <si>
    <t>화학첨가물 없는 친환경 공법으로 접지저항치를 확보하고, 지락 모의 테스트로 지락보호계전기(OCGR 등)의 차단기 자동 개방 연동 시험 후 감리 승인을 득함.</t>
    <phoneticPr fontId="1" type="noConversion"/>
  </si>
  <si>
    <t>지하 지장물(상/하수도, 가스 등) 조사로 접지극(접지 동망/접지봉) 부지를 확보하고, 공간 협소 시 심타·구조체 접지 등 대안 공법으로 목표 접지저항치를 설계함.</t>
    <phoneticPr fontId="1" type="noConversion"/>
  </si>
  <si>
    <t>굴착 전 GPR 탐사로 지장물 위치 확인 후 접지극을 시공하고, 대지·접지저항 측정 미달 시 즉각 보완 타설(심타 등)을 수행함.</t>
    <phoneticPr fontId="1" type="noConversion"/>
  </si>
  <si>
    <t>접지 설계 시 화학적 접지저감제(GEM) 사용을 배제하고, 심타·구조체 접지 등 친환경 접지 저항 저감 공법을 내역에 반영함.</t>
    <phoneticPr fontId="1" type="noConversion"/>
  </si>
  <si>
    <t>접지저감재의 친환경 인증(환경마크 등) 및 유해물질 불검출 성적서를 확인하고 지자체 환경 규정에 맞게 적법 시공함.</t>
    <phoneticPr fontId="1" type="noConversion"/>
  </si>
  <si>
    <t>신재생에너지(태양광) 구역 피뢰 접지망을 구성하고, 직류/교류 인입부에 KS C IEC 성능 인증 서지보호장치(SPD)를 적정 용량으로 설계에 반영함.</t>
    <phoneticPr fontId="1" type="noConversion"/>
  </si>
  <si>
    <t>태양광 인버터·전원 접속반 시공 시 SPD 결선 및 접지선 최단 거리(최소 굴곡) 배선을 확인하고, 접지 저항 측정으로 서지 방출 능력을 현장 검증함.</t>
    <phoneticPr fontId="1" type="noConversion"/>
  </si>
  <si>
    <t>대지저항률 기반 목표 접지저항치를 설계하고, 접지 불리 지역(암반 등)엔 보조 접지극(심타 접지봉 등) 및 보조 접지재료를 추가할 수 있게 내역·시방서에 대책 공법을 반영함.</t>
    <phoneticPr fontId="1" type="noConversion"/>
  </si>
  <si>
    <t>시공 후 접지저항을 실측해 규정 초과 시 보조 접지극 추가 타입 또는 접지망 확장(Mesh 보강)으로 적정 저항을 확보한 후 전기안전검사를 수검함.</t>
    <phoneticPr fontId="1" type="noConversion"/>
  </si>
  <si>
    <t>승강장·충전설비 지지물 주변 대지저항률을 분석해, 터치 전압(Touch Voltage)과 보폭 전압(Step Voltage)이 안전 기준 이내가 되도록 접지 메시(Mesh) 및 피뢰 보호각을 반영함.</t>
    <phoneticPr fontId="1" type="noConversion"/>
  </si>
  <si>
    <t>도상 콘크리트 타설 전 매설 접지선을 규정 깊이에 시공하고, 금속제 구조물(캐노피, 충전마스트 등)의 본딩(Bonding) 접촉 저항을 실측함.</t>
    <phoneticPr fontId="1" type="noConversion"/>
  </si>
  <si>
    <t>전력·신호 설비 간 전위차에 의한 순환전류·기기 소손 방지를 위해, 장비 간 전위차를 0V로 유지하는 실내 등전위 본딩(Mesh 접지 등) 계통도를 설계에 반영함.</t>
    <phoneticPr fontId="1" type="noConversion"/>
  </si>
  <si>
    <t>모든 금속제 외함·접지단자를 규격 본딩선으로 상호 결속(링 본딩 등)하고, 준공 전 접지망 간 전위차를 정밀 측정해 허용 기준치 이내인지 전수 확인함.</t>
    <phoneticPr fontId="1" type="noConversion"/>
  </si>
  <si>
    <t>이상전압 방호용 피뢰기 설계 시, 폭발 압력 완화 및 파편 비산 방지용 특수 피뢰기(폴리머 애자형 등)를 자재 내역에 반영함.</t>
    <phoneticPr fontId="1" type="noConversion"/>
  </si>
  <si>
    <t>피뢰기 반입 시 공인 시험성적서(압력방출 및 파편 비산 방지 성능)를 검수하고, 보행자 접근 불가 안전 높이에 이격거리를 확보해 견고히 설치함.</t>
    <phoneticPr fontId="1" type="noConversion"/>
  </si>
  <si>
    <t>접지망 통합 시 직류 귀선전류(누설전류) 노이즈의 신호 궤도회로·통신망 유입 차단용 등전위 본딩 및 절연/필터 대책을 도면에 반영함.</t>
    <phoneticPr fontId="1" type="noConversion"/>
  </si>
  <si>
    <t>접지망 시공 후 신호·통신 합동 접지저항 측정 및 트램 시운전 유도전압·노이즈 크기 허용치 이내 여부를 현장 검증함.</t>
    <phoneticPr fontId="1" type="noConversion"/>
  </si>
  <si>
    <t>친환경 인증 우수(빗물) 재활용 설비·정수 처리 펌프 설계 시, 분야 간 협의로 전원 공급 회로·레벨 센서·자동제어반(DDC) 제어 배선 연동 로직을 도면에 반영함.</t>
    <phoneticPr fontId="1" type="noConversion"/>
  </si>
  <si>
    <t>수조 레벨 센서(Level Switch) 견고 설치 후, 수위 변화에 따른 펌프 자동 기동/정지 및 고수위/저수위 경보 발생 연동 시운전을 실시함.</t>
    <phoneticPr fontId="1" type="noConversion"/>
  </si>
  <si>
    <t>차량기지 주차장 내 EV 충전기(급속/완속) 대수를 산정해 한전 수전 용량(계약전력)을 확보하고, 충전기 증설 대비 예비 전선관 및 전기실 스페어(Spare) 차단기 공간을 선반영함.</t>
    <phoneticPr fontId="1" type="noConversion"/>
  </si>
  <si>
    <t>충전기 기초 패드 및 전원 케이블 지중 포설 시 단말부 방수 처리를 이행하고, 실제 전기차 연결 최대 부하 가동 충전 테스트를 수행함.</t>
    <phoneticPr fontId="1" type="noConversion"/>
  </si>
  <si>
    <t>태양광·지열 등 전력변환기기의 무효전력을 산출해 계통 역률(Power Factor) 저하 방지용 자동 역률 개선용 커패시터(Capacitor Bank/APFC) 적정 용량을 수배전반 내역에 반영함.</t>
    <phoneticPr fontId="1" type="noConversion"/>
  </si>
  <si>
    <t>설비 설치 후 종합 부하 시운전으로 실시간 역률 변동을 측정해, 자동역률조정기(APFC)가 한전 목표 역률(9095% 이상)을 항시 유지하도록 커패시터 뱅크 투입을 세팅함.</t>
    <phoneticPr fontId="1" type="noConversion"/>
  </si>
  <si>
    <t>스마트 미터기 및 지능형 조명제어반 통신 프로토콜(BACnet 등)을 통일해, BEMS 및 SCADA 서버에서 건물 전체 전력 부하 통합 감시·제어 인터페이스를 설계함.</t>
    <phoneticPr fontId="1" type="noConversion"/>
  </si>
  <si>
    <t>계측기(Smart Meter, 조도 센서 등) 설치 후 데이터 송수신을 점검하고, 관제실 원격 조명 제어 및 전력 소비량 실시간 로깅(Logging) 종합 연동 시험을 실시함.</t>
    <phoneticPr fontId="1" type="noConversion"/>
  </si>
  <si>
    <t>건축·구조 협의로 태양광 패널 적설·풍하중 구조계산을 수행하고, 한전 계통 연계(또는 자가소비) 보호협조 계통도를 도면에 반영함.</t>
    <phoneticPr fontId="1" type="noConversion"/>
  </si>
  <si>
    <t>지붕 누수 방지용 전용 방수 브래킷을 밀실 시공하고, 한전 사용 전 검사 및 인버터 발전 효율 종합 시험을 실시함.</t>
    <phoneticPr fontId="1" type="noConversion"/>
  </si>
  <si>
    <t>지열 냉난방(Geothermal System) 지열공(U-tube) 굴착 경로의 지하수·토질 조사로 열교환 효율 확보 및 함몰 방지 천공·시공계획을 설계에 반영함.</t>
    <phoneticPr fontId="1" type="noConversion"/>
  </si>
  <si>
    <t>굴착 시 수맥·슬라임 처리에 유의하고, U-tube 밀실 그라우팅(열저항 최소화) 후 배관 수압시험(Leak Test)을 실시함.</t>
    <phoneticPr fontId="1" type="noConversion"/>
  </si>
  <si>
    <t>옥외 가공전차선로 지지물(전철주 등) 설계 시 최대 풍속·착빙설 하중을 구조계산서에 반영해 휨 강도·기초 굵기를 결정하고, 전차선 결빙 단선 방지 대책(장력조정장치 허용 변위 등)을 도서에 명시함.</t>
    <phoneticPr fontId="1" type="noConversion"/>
  </si>
  <si>
    <t>전철주 기초 타설·가선 시 풍하중·빙설하중을 견디도록 앵커볼트 체결 토크를 검측하고, 자동장력조정장치(BTS 등)의 온도 강하·빙설 시 장력 보상 정상 가동 상태를 점검함.</t>
    <phoneticPr fontId="1" type="noConversion"/>
  </si>
  <si>
    <t>가공전차선 자재 설계 시 '한국철도표준규격(KRS)' 및 '도시철도건설규칙'의 성능 기준을 충족하는 규격을 시방서·내역서에 지정함.</t>
    <phoneticPr fontId="1" type="noConversion"/>
  </si>
  <si>
    <t>자재 반입 시 공인기관 KRS 시험성적서 및 형식승인서를 전수 검수하고, 시공 후 철도안전법에 따른 법정 사용전검사를 수검함.</t>
    <phoneticPr fontId="1" type="noConversion"/>
  </si>
  <si>
    <t>추가 수량에 대한 Risk 최소화를 위해 협력업체를 통하여 업체 및 자재 List 조사 진행, 추가 수량 발생시 자재 List 및 추가 견적을 통해 최적의 견적 비교 검토 수행.</t>
    <phoneticPr fontId="1" type="noConversion"/>
  </si>
  <si>
    <t>지하매설물(가스, 난방, 상하수도, 전기, 통신) 현황 및 간섭 사항 검토, 지장물 이설 주체 및 비용 분담 범위의 명시, 지장물 종류 및 이설 우회 확인, 지장물별 보호요건 확인, 주요 지장물 위치 및 수량 확인.</t>
    <phoneticPr fontId="1" type="noConversion"/>
  </si>
  <si>
    <t>직류 급전계통 부급전선(귀선) 계획 시, 케이블 단선에 의한 대규모 누설전류 대지 방출 방지를 위해 레일-변전소 연결회로를 물리적 2회선(이중화)으로 도면에 반영함.</t>
    <phoneticPr fontId="1" type="noConversion"/>
  </si>
  <si>
    <t>부급전선(귀선) 2회선 케이블을 레일에 견고히 압착 접속하고, 시공 후 임의 1회선 개방 시 나머지 회선으로 정상 귀환이 100% 이루어지는지 전수 검증함.</t>
    <phoneticPr fontId="1" type="noConversion"/>
  </si>
  <si>
    <t>변전소 연락 운전 방식 채택, 무정전 전원 장치 설치.</t>
    <phoneticPr fontId="1" type="noConversion"/>
  </si>
  <si>
    <t>변전소간 연락 송전망 구축으로 인접 변전소간 연계 운전 반영함.</t>
    <phoneticPr fontId="1" type="noConversion"/>
  </si>
  <si>
    <t>화재 감지센서 설치, 난연성 부품 및 케이블 사용, 공기흡입형 감지기 설치, 스카다에 의한 수동 차단.</t>
    <phoneticPr fontId="1" type="noConversion"/>
  </si>
  <si>
    <t>변전소 내부 냉난방 환기 시설 설치.</t>
    <phoneticPr fontId="1" type="noConversion"/>
  </si>
  <si>
    <t>직류 급전계통 본선(상·하선) 및 차량기지 급전 구역(Section)을 분리하고, 장애 파급 최소화를 위해 구역별 구분개폐기(Section Switch)를 도서에 반영함.</t>
    <phoneticPr fontId="1" type="noConversion"/>
  </si>
  <si>
    <t>에어조인트(Air Joint) 및 절연섹션장치를 지정 위치에 설치하고, 시운전 전 절연 저항 측정으로 급전 구역의 물리·전기적 독립을 검증함.</t>
    <phoneticPr fontId="1" type="noConversion"/>
  </si>
  <si>
    <t>설계단계 Task를 분석해 도서에 반영함.</t>
    <phoneticPr fontId="1" type="noConversion"/>
  </si>
  <si>
    <t>집행단계 Task를 준수해 시공 계획을 수립함.</t>
    <phoneticPr fontId="1" type="noConversion"/>
  </si>
  <si>
    <t>배전반 모든 판넬에 소공간 자동 소화 장치 설치.</t>
    <phoneticPr fontId="1" type="noConversion"/>
  </si>
  <si>
    <t>고압발생 시 캐비닛 천장 기구적으로 개방 반영함.</t>
    <phoneticPr fontId="1" type="noConversion"/>
  </si>
  <si>
    <t>유사사업 L/L, B/P, R/P 검토를 통한 기설계 누락 item 검토 확인, Risk 및 Opportunity 분석 결과에 기반한 설계변경 item 도출 확인.</t>
    <phoneticPr fontId="1" type="noConversion"/>
  </si>
  <si>
    <t>TPS 데이터 기반 전력 조류계산(Load Flow)으로 직류 전압강하를 충족하는 최적 변전소 위치를 산정하고, 단일 변전소 장애 대비 연락송전망(연장급전 회로)을 반영함.</t>
    <phoneticPr fontId="1" type="noConversion"/>
  </si>
  <si>
    <t>다수 트램을 변전소 정중앙에 위치시켜 동시 급가속 시 전압강하율 허용치 이내 여부를 실측하고, 차단기 강제 개방 시 연장급전망 무지연 투입을 시험함.</t>
    <phoneticPr fontId="1" type="noConversion"/>
  </si>
  <si>
    <t>옥외 승강장 충전기·제어반 설계 시 우천·폭설 대비 IP등급을 시방서에 의무화하고, 차량 충돌 방지용 볼라드(Bollard) 등 방호책을 도면에 반영함.</t>
    <phoneticPr fontId="1" type="noConversion"/>
  </si>
  <si>
    <t>충전기 반입 시 IP 보호등급 시험성적서를 전수 검수하고, 차량 회전 반경을 고려해 보호장치(볼라드)를 견고히 앵커링 시공함.</t>
    <phoneticPr fontId="1" type="noConversion"/>
  </si>
  <si>
    <t>공공장소 가공전차선 전철주 설계 시 무단 승탑에 의한 감전·낙상 차단용 승탑 방지판(Anti-climbing device) 및 고압 위험 경고 표지판을 설계·내역에 반영함.</t>
    <phoneticPr fontId="1" type="noConversion"/>
  </si>
  <si>
    <t>전철주 적정 높이(지상 1.8m 이상)에 승탑 방지판을 앵커링·안전 마감하고, 식별 용이 위치에 고압 위험 경고 표지를 부착해 감리 승인을 득함.</t>
    <phoneticPr fontId="1" type="noConversion"/>
  </si>
  <si>
    <t>궤도 인접·정거장 접지설계 시 주행 진동(Dynamic Load)에 대비한 내진동형 단자대·압착 슬리브를 반영하고, 유지보수가 용이한 벽면·전용 접속함(Handhole)에 접지반을 명시함.</t>
    <phoneticPr fontId="1" type="noConversion"/>
  </si>
  <si>
    <t>궤도 직하부·협소 공간을 피해 접지함을 견고히 앵커링하고, 접지 결속 후 풀림방지 마킹 및 방청 처리를 시행해 감리 승인을 득함.</t>
    <phoneticPr fontId="1" type="noConversion"/>
  </si>
  <si>
    <t>충전설비 설계 시 집전장치 접촉 시에만 고전압이 인가되는 전기적 인터록 회로를 구성하고, 옥외 외함 IP등급 강화 및 감전 방지용 보호 접지망(망상접지)을 도서에 반영함.</t>
    <phoneticPr fontId="1" type="noConversion"/>
  </si>
  <si>
    <t>충전기 설치 후 집전장치 강제 이탈 시 즉각 전원 차단(밀리초 응답) 여부를 인터록 테스트하고, 젖은 노면의 대지 전위 상승 및 외함 누설전류를 정밀 계측함.</t>
    <phoneticPr fontId="1" type="noConversion"/>
  </si>
  <si>
    <t>정거장 충전설비 케이블의 승객 동선 방해를 막는 상부 고가 지원장치(트롤리 등) 및 야간 전용 조명을 설계에 반영함.</t>
    <phoneticPr fontId="1" type="noConversion"/>
  </si>
  <si>
    <t>충전설비 시뮬레이션으로 트램-고가 장치 간섭 실측 및 야간 조도 균제도를 검측해 승객 걸림사고 차단을 확인함.</t>
    <phoneticPr fontId="1" type="noConversion"/>
  </si>
  <si>
    <t>• 전기_설계추진방향_전기분야_rev00_26.06.04.pdf
• 5. 설계기준.pdf
• 10. 주요 장비별 형식, 규격 및 수량 검토보고서.pdf
• 동탄도시철도(트램) 건설사업 전기.신호.통신 분야 기본설계 도면.pdf</t>
    <phoneticPr fontId="1" type="noConversion"/>
  </si>
  <si>
    <t>전기 기기 위험시점에 안전 표시기 설치, 지락 전류제한기 설치.</t>
    <phoneticPr fontId="1" type="noConversion"/>
  </si>
  <si>
    <t>제3레일(Third Rail) 급전 방식 설계 시 특고압 접촉 방지용 상부/측면 방호덮개(Protection Board), 선로 침입 방지 물리적 펜스 및 경고 설비를 반영함.</t>
    <phoneticPr fontId="1" type="noConversion"/>
  </si>
  <si>
    <t>제3레일·보호 설비 시공 후 접근 가능 구역 방호덮개 규정 이격거리 준수 및 강도 테스트를 수행하고, 출입 통제용 펜스 시건장치를 전수 확인함.</t>
    <phoneticPr fontId="1" type="noConversion"/>
  </si>
  <si>
    <t>제3레일(Third Rail) 급전 설계 시 차량 제원(차체 폭, 차륜 등)을 입수해 KRSA 잠정표준규격의 제3레일 설치 공차·이격거리 기준에 부합되게 전기-차량 인터페이스 도서에 반영함.</t>
    <phoneticPr fontId="1" type="noConversion"/>
  </si>
  <si>
    <t>차량 집전장치 기준 제3레일 높이·편위를 정밀 측량 시공하고, 차량 반입 후 최고 운행속도(80km/h)까지 증속하며 기계적 마찰, 아크(Arc), 집전장치 이탈 여부를 동적 인터페이스 시험함.</t>
    <phoneticPr fontId="1" type="noConversion"/>
  </si>
  <si>
    <t>지중 전력간선(특고압/직류 케이블) 매입전선관 접속점 수밀 마감 공법을 도서에 반영하고, 무굴착 케이블 교체용 예비 관로(Spare) 및 풀박스 여유 공간을 확보함.</t>
    <phoneticPr fontId="1" type="noConversion"/>
  </si>
  <si>
    <t>맨홀 전선관 단말에 전용 방수 실링재(관구 마감재)를 밀실 충진해 유수 침입을 100% 차단하고, 배관 도통 시험 및 인출용 와이어(Pull-wire)를 선삽입함.</t>
    <phoneticPr fontId="1" type="noConversion"/>
  </si>
  <si>
    <t>노면전차 표준전압(DC 750V) 기준 허용전압 범위를 산정하고, 직류차단기(HSCB)·케이블·지지애자 절연내력(BIL) 및 정격 사양을 시방서에 규정함.</t>
    <phoneticPr fontId="1" type="noConversion"/>
  </si>
  <si>
    <t>설비 반입 시 DC 750V 절연시험성적서를 전수 확인하고, 시운전 시 변전소 송출전압 및 전차선 말단 전압이 표준 허용범위 내인지 실측함.</t>
    <phoneticPr fontId="1" type="noConversion"/>
  </si>
  <si>
    <t>전기·궤도 협업으로 레일-노반 간 전기적 절연재 규격을 명시하고, 누설전류 대비 구간별 포집망 및 배류기(선택·강제배류기 등) 위치를 전기 계통도에 반영함.</t>
    <phoneticPr fontId="1" type="noConversion"/>
  </si>
  <si>
    <t>레일 부설 시 절연 패드 시공 불량을 절연저항계로 전수 측정하고, 전식방지설비(배류기) 전류 흡수 성능 및 궤도-대지 간 전위차(터치전압)를 검증함.</t>
    <phoneticPr fontId="1" type="noConversion"/>
  </si>
  <si>
    <t>차량기지 직류 급전계통을 목적별('유치선군', '검수선', '세척선', '시운전선' 등) 군(Group)으로 세분화하고, 절연 구분장치(Section)·단로기를 개별 배치해 정비 시 해당 구역만 국소 단전토록 설계함.</t>
    <phoneticPr fontId="1" type="noConversion"/>
  </si>
  <si>
    <t>군(Group) 경계에 절연섹션을 정확히 시공하고, 단로기 조작 시 인접 선로 무유도 및 해당 구역 100% 독립 가압/단전 여부를 선택적 급전 시운전함.</t>
    <phoneticPr fontId="1" type="noConversion"/>
  </si>
  <si>
    <t>도시철도 설계기준 차량기준 검토, 트램 관련 설계기준 확인, 트램차량의 경우 공용 차량기지에 포함되어 설계 적용 문제는 없으나, 지속적인 트램 설계기준 업데이트 스크린 예정 반영함.</t>
    <phoneticPr fontId="1" type="noConversion"/>
  </si>
  <si>
    <t>도시철도 설계기준 차량기준 검토, 트램 관련 설계기준 확인.</t>
    <phoneticPr fontId="1" type="noConversion"/>
  </si>
  <si>
    <t>차량 내 운전실 및 주요 제어 장치(TCMS 단말기, 제어반 등)에 대한 물리적 잠금장치를 설계에 반영하고, 무단 조작 및 불법 침입 방지를 위한 비인증자 제어 제한 소프트웨어(보안 패스워드 등) 로직을 검토함.</t>
  </si>
  <si>
    <t>차량 제작 단계에서 운전실 출입문에 물리적 키 및 스마트 카드 인식 시스템을 설치하여 비인가자의 접근을 차단하고, 시운전 단계에서 제어반 문 잠금 상태 및 비인가 조작 시 알림 작동 상태를 전수 검증함.</t>
  </si>
  <si>
    <t>• 04_설계서/1공구/검수/01. 설계보고서(검수).pdf (차량 보안 및 제어장치 관리 요건)
• 철도안전법 제38조(철도안전관리체계) 및 도시철도 차량 안전기준에 관한 규칙</t>
  </si>
  <si>
    <t>차량기지 종합관리동 내에 노면전차 승무원의 비상 상황 및 이례사항 대처가 가능한 모의운전연습기(트램 시뮬레이터) 설치 공간을 계획하고, 노선 특화 운전 훈련 교육과정을 검수 설계 및 운영계획에 반영함.</t>
  </si>
  <si>
    <t>시운전 및 개통 전 운영사 실무자를 대상으로 실제 트램 차량 및 시뮬레이터를 활용한 모의 주행 OJT를 이행하며, 노면전차 승무 양성 교육기관과 연계하여 특화 면허 교육 프로그램을 완료함.</t>
  </si>
  <si>
    <t>• 04_설계서/1공구/검수/01. 설계보고서(검수).pdf (종합관리동 교육 설비 계획)
• 철도안전법 제35조(철도차량 운전면허) 및 노면전차 승무원 교육훈련 지침</t>
  </si>
  <si>
    <t>윤축수선장 및 대차정비선 좌우에 교환용 차륜(휠) 및 윤축 관련 부품(베어링, 쿨링파이프 등)의 안전한 적재를 위한 전용 부품저장대(선반) 및 이송 공간(지게차 동선)을 설계에 반영함.</t>
  </si>
  <si>
    <t>자재창고 및 작업장 레이아웃 시공 시, 중량물인 윤축 및 차륜의 보관대 설치 위치에 적정 하중(지하 슬래브 설계 등)을 확보하고, 시운전 전까지 부품 저장대를 설치하고 낙하 방지용 체인을 장착함.</t>
  </si>
  <si>
    <t>• 04_설계서/1공구/검수/01. 설계보고서(검수).pdf (윤축수선장 장비 배치 및 사양 - 윤축저장선반, 차륜저장선반)
• KDS 47 10 00 철도 설계기준 및 KR A-08041 차량정비기지 지원시설 기준</t>
  </si>
  <si>
    <t>세척고 및 폐수처리시설 설계 시, 고압 세정수 배관에 유량 및 압력 조절이 가능한 대·소형 밸브와 신속 차단을 위한 전자동 제어 밸브(Solenoid Valve)를 계통도에 반영하고, 급속 세척 후 차체 건조(Air Blow) 시간 확보를 위해 건조 구간의 유효장을 확보함.</t>
  </si>
  <si>
    <t>세척 배관 시공 시 대·소형 밸브류 및 레벨 센서를 오접속 없이 매립하고, 수압 테스트를 실시하여 밸브 구동 시의 누수를 방지하고 세척 및 건조 자동화 연동 시운전으로 최적 건조 주기를 확정함.</t>
  </si>
  <si>
    <t>• 04_설계서/1공구/검수/01. 설계보고서(검수).pdf (부품세척실 및 세척시설 유틸리티 계획)
• KDS 47 10 00 철도 설계기준 및 KR A-08041 차량정비기지 지원시설 기준</t>
  </si>
  <si>
    <t>입출고선 인근에 트램 차량의 차륜 마모도 및 찰상을 동적으로 실시간 측정할 수 있는 차륜마모검지장치(Wheel Profile Detector) 및 코아 디텍터(Wheel Flat Detector) 설치 위치를 설계에 반영하고, 선로 변 신호 케이블 연동 계획을 수립함.</t>
  </si>
  <si>
    <t>차륜마모검지장치의 정밀 측정을 위해 매립형 기초 콘크리트의 평탄도를 확보하여 시공하고, 시운전 단계에서 열차 통과 시의 차륜 치수 데이터가 관제실로 지연 없이 수집되는지 정합성을 테스트함.</t>
  </si>
  <si>
    <t>• 04_설계서/1공구/검수/01. 설계보고서(검수).pdf (차륜 관리 및 검수설비 계획)
• KDS 47 10 00 철도 설계기준 및 KR A-08041 차량정비기지 지원시설 기준</t>
  </si>
  <si>
    <t>차량 하부 먼지 및 이물질의 정기적인 제거를 위해 차량기지 내에 독립된 밀폐형 공기청소선(기취선) 및 전용 집진 설비를 설계에 반영하고, 인접 종합관리동 등 지원시설로의 분진 비산 방지 대책을 수립함.</t>
  </si>
  <si>
    <t>공기청소선의 방진 격벽 및 강제 흡입 집진 덕트를 기밀하게 시공하고, 시운전 단계에서 고압 공기(Air Blow) 분사 시 분진 누출 여부 및 백필터 집진기 성능을 전수 검증함.</t>
  </si>
  <si>
    <t>• 04_설계서/1공구/검수/01. 설계보고서(검수).pdf (공기청소선 및 집진장치 설치 계획)
• KDS 47 10 00 철도 설계기준 및 KR A-08041 차량정비기지 지원시설 기준</t>
  </si>
  <si>
    <t>• 04_설계서/1공구/검수/01. 설계보고서(검수).pdf
• 06.체크리스트/분야별/02_차량기지(검수)/차량기지분야_차량기지 계획의 적정성 검토_rev.02_260609.pdf
• 노면전차시설 설계 가이드라인 제9장(차량기지) 및 도시철도건설규칙</t>
  </si>
  <si>
    <t>경정비 검수고 및 대차/윤축수선장 등 각 주요 작업장 인근에 정비 작업자의 불필요한 보행 동선 단축을 위한 작업장별 공구실(공구보관함 및 선반)을 레이아웃 설계에 분산 배치함.</t>
  </si>
  <si>
    <t>시공 및 장비 반입 시 각 기능실 내부 및 통로 인근에 공구보관함과 공구진열대를 배치하고, 통행 및 지게차 동선 간섭 여부를 검토하여 고정 설치함.</t>
  </si>
  <si>
    <t>• 04_설계서/1공구/검수/01. 설계보고서(검수).pdf (작업장별 공구보관함, 공구진열대 배치 계획)
• KDS 47 10 00 철도 설계기준 및 KR A-08041 차량정비기지 지원시설 기준</t>
  </si>
  <si>
    <t>• 04_설계서/1공구/검수/01. 설계보고서(검수).pdf
• 06.체크리스트/분야별/02_차량기지(검수)/차량기지분야_차량기지 계획의 적정성 검토_rev.02_260609.pdf
• 철도안전법 (사고복구 및 비상대응)
• 철도건설규칙
• 노면전차 시설 설계 가이드라인</t>
  </si>
  <si>
    <t>• 04_설계서/1공구/검수/01. 설계보고서(검수).pdf
• 06.체크리스트/분야별/02_차량기지(검수)/차량기지분야_차량기지 계획의 적정성 검토_rev.02_260609.pdf
• 환경정책기본법 및 소음·진동관리법
• 철도건설규칙
• 노면전차 시설 설계 가이드라인</t>
  </si>
  <si>
    <t>• 06.체크리스트/분야별/02_차량기지(검수)/차량기지 부대토목_설계추진방향보고_설계추진방향 차량기지 계획고별 공사비 검토_rev.00_260529.pdf
• 06.체크리스트/분야별/02_차량기지(검수)/차량기지부대토목_수로공 공사비 비교_rev.01_260610.pdf
• 건설공사 비탈면 설계기준
• 구조물기초설계기준
• 노면전차 시설 설계 가이드라인</t>
  </si>
  <si>
    <t>• 06.체크리스트/분야별/02_차량기지(검수)/검수_설계추진방향보고_검수고 내 배치 레이아웃 및 검수장비 검토_rev.00_260529.pdf
• 06.체크리스트/분야별/02_차량기지(검수)/검수_설계추진방향보고_차량기지 검수고 배치방안 검토_rev.00_260602.pdf
• 04_설계서/1공구/검수/01. 설계보고서(검수).pdf
• 노면전차시설 설계 가이드라인 제9장(차량기지) 및 제10장(안전 및 부대시설)</t>
  </si>
  <si>
    <t>• 06.체크리스트/분야별/02_차량기지(검수)/차량기지분야_차량기지 계획의 적정성 검토_rev.02_260609.pdf
• 04_설계서/1공구/검수/01. 설계보고서(검수).pdf
• 물환경보전법 (폐수배출시설)
• 건축물의 설비기준 등에 관한 규칙
• 노면전차 시설 설계 가이드라인</t>
  </si>
  <si>
    <t>부품세척실 내 누유 및 유류 제거용 부품세척기(대차세척기 포함) 배치 설계 시, 향후 대형 부품 인양/반출입 및 설비 교체 시 필요한 천장 높이(천장고) 및 크레인 양정 높이(Clearance)를 수리/정비 범위에 맞춰 설계에 반영함.</t>
  </si>
  <si>
    <t>세척기 기초 및 핏트 시공 시 하부 수조 매립 깊이와 상부 슬래브 높이를 도면과 대조하여 시공하고, 세척설비 반입 전 3D BIM을 활용하여 크레인 주행 및 양정 시의 천장 간섭을 검증함.</t>
  </si>
  <si>
    <t>• 04_설계서/1공구/검수/01. 설계보고서(검수).pdf (부품세척실 및 대차세척기 공간 계획)
• KDS 61 50 00 하수처리설비 설계기준 및 물환경보전법 제33조</t>
  </si>
  <si>
    <t>무인 운전으로 차량을 인입시키는 윈치(Winch) 타입의 차체 세척선을 차량기지 내 입출고 본선 및 대형 검수선(월상검사선 등)과 인접하게 설계하여, 세척 대기 열차의 효율적인 입환 동선 및 대기 공간을 확보함.</t>
  </si>
  <si>
    <t>세척고 인입용 윈치 시공 시, 레일 매립형 유도 활차 및 견인 케이블 장력 테스트를 실시하고, 선로 신호 시스템과 윈치 구동 제어반의 기계-신호 통합 연동 성능을 전수 검증함.</t>
  </si>
  <si>
    <t>• 04_설계서/1공구/검수/01. 설계보고서(검수).pdf (차체세척고 배치 및 인입설비 계획)
• KDS 61 50 00 하수처리설비 설계기준 및 물환경보전법 제33조</t>
  </si>
  <si>
    <t>차량기지 입출고선 측면에 자동 차체세척기 및 세척고 펌프실, 물탱크실을 설치하기 위한 충분한 토목 구조적 점용 공간과 유틸리티 경로를 설계에 확보하여 반영함.</t>
  </si>
  <si>
    <t>세척고 물탱크실 및 펌프실 토목 핏트 기초 시공 시, 방수 처리를 확인하고 펌프 배관 인입 단말 규격을 세척 장비 사양과 교차 대조하여 시공 단계에서 정합성을 확보함.</t>
  </si>
  <si>
    <t>• 04_설계서/설계사검토/260520_기본설계 오류 및 누락사항 LIST.pdf (Page 195 / 315, Ⅳ-건축-04 세척고 물탱크실(토목) 계획 누락 조치)
• 04_설계서/1공구/검수/01. 설계보고서(검수).pdf (차체세척고 및 기계실 유틸리티 계획)</t>
  </si>
  <si>
    <t>• 06.체크리스트/분야별/02_차량기지(검수)/차량기지분야_차량기지 계획의 적정성 검토_rev.02_260609.pdf
• 04_설계서/1공구/검수/01. 설계보고서(검수).pdf
• 노면전차시설 설계 가이드라인 (차량기지 부대시설)</t>
  </si>
  <si>
    <t>• 06.체크리스트/분야별/02_차량기지(검수)/차량기지분야_차량기지 계획의 적정성 검토_rev.02_260609.pdf
• 04_설계서/1공구/검수/01. 설계보고서(검수).pdf
• 노면전차시설 설계 가이드라인 제9장(차량기지) 및 수질 및 수생태계 보전에 관한 법률</t>
  </si>
  <si>
    <t>• 04_설계서/1공구/검수/01. 설계보고서(검수).pdf
• 06.체크리스트/분야별/02_차량기지(검수)/차량기지분야_차량기지 계획의 적정성 검토_rev.02_260609.pdf
• 소방시설 설치 및 관리에 관한 법률
• 제연설비의 화재안전성능기준(NFPC 501)
• 철도시설의 기술기준</t>
  </si>
  <si>
    <t>• 04_설계서/1공구/검수/01. 설계보고서(검수).pdf
• 06.체크리스트/분야별/02_차량기지(검수)/차량기지분야_차량기지 계획의 적정성 검토_rev.02_260609.pdf
• 하수도법
• 지하공간 침수방지를 위한 수방기준
• 건축물의 설비기준 등에 관한 규칙</t>
  </si>
  <si>
    <t>• 06.체크리스트/분야별/02_차량기지(검수)/검수_설계추진방향보고_검수고 내 배치 레이아웃 및 검수장비 검토_rev.00_260529.pdf
• 06.체크리스트/분야별/02_차량기지(검수)/검수_설계추진방향보고_차량기지 검수고 배치방안 검토_rev.00_260602.pdf
• 04_설계서/1공구/검수/01. 설계보고서(검수).pdf
• 철도시설의 기술기준
• 건축구조기준(KDS)
• 노면전차 시설 설계 가이드라인</t>
  </si>
  <si>
    <t>• 04_설계서/1공구/검수/01. 설계보고서(검수).pdf
• 06.체크리스트/분야별/02_차량기지(검수)/차량기지분야_차량기지 계획의 적정성 검토_rev.02_260609.pdf
• 화재안전기술기준(가스계 소화설비)
• 도시철도 시스템엔지니어링 적용기준
• 정보통신공사업법 시행령</t>
  </si>
  <si>
    <t>차량 및 검수/신호 시스템 설계 단계부터 운영기관(운영사) 기술진을 참여시켜 설계 도서를 검증하고, 개통 전 실차 종합시험운행 및 제작사 주관 기술 이전 및 시스템 유지보수 용역 계약 구조(페널티 조항 포함)를 통합 조율함.</t>
  </si>
  <si>
    <t>시운전 기간 동안 제작사 기술 전문가를 차량기지에 상주시켜 이례 상황 대응 및 기술 전수 교육(OJT)을 수행하며, 핵심 구동 부품의 3년치 예비품과 특수 공구를 확보하여 초도 고장 대비 정비 가동률을 유지함.</t>
  </si>
  <si>
    <t>• 04_설계서/1공구/검수/01. 설계보고서(검수).pdf (예비품 및 정비 교육 계획)
• 철도안전법 제35조(철도차량 운전면허) 및 노면전차 승무원 교육훈련 지침</t>
  </si>
  <si>
    <t>차량 에너지 소비 효율화를 위해 정거장 대기 시 출입문을 전면 개방하지 않고 승객이 터치버튼을 누를 때만 개별 개폐되는 반자동(승객 터치식) 출입문 제어 회로 및 고효율 HVAC(냉난방설비) 제어 로직을 도면에 반영함.</t>
  </si>
  <si>
    <t>차량 시운전 및 성능 시험 시 반자동 출입문 버튼 감도와 도어 안전 센서 연동 상태를 확인하고, 공조 장치의 외부 기온 연동 자동 절전 모드 작동의 정합성을 최종 검증함.</t>
  </si>
  <si>
    <t>• 04_설계서/1공구/검수/01. 설계보고서(검수).pdf (차량 냉난방기 제어 및 출입문 기능 요건)
• 철도안전법 제38조(철도안전관리체계) 및 도시철도 차량 안전기준에 관한 규칙</t>
  </si>
  <si>
    <t>경경비 및 중정비 검수 공정의 효율화를 위해, 부품의 이동 동선이 최소화되도록 자재창고(경량/중량자재 보관 창고)를 검수고 본동 및 주요 기능 부품 수선실 인접 구역에 배치하여 설계함.</t>
  </si>
  <si>
    <t>자재창고와 검수고 간 주 통로 시공 시, 지게차 주행에 간섭이 없는 안전 통로 폭을 확보하고 바닥 평탄화 및 안전 구획선(Safety Line)을 도색하여 현장 동선 안전을 확보함.</t>
  </si>
  <si>
    <t>• 04_설계서/1공구/검수/01. 설계보고서(검수).pdf (자재창고 배치 계획 및 경량/중량자재선반 목록)
• KDS 47 10 00 철도 설계기준 및 KR A-08041 차량정비기지 지원시설 기준</t>
  </si>
  <si>
    <t>• 04_설계서/1공구/검수/01. 설계보고서(검수).pdf
• 06.체크리스트/분야별/02_차량기지(검수)/차량기지분야_차량기지 계획의 적정성 검토_rev.02_260609.pdf
• 노면전차시설 설계 가이드라인 제9장(차량기지) 및 위험물안전관리법</t>
  </si>
  <si>
    <t>• 04_설계서/1공구/검수/01. 설계보고서(검수).pdf
• 06.체크리스트/분야별/02_차량기지(검수)/차량기지분야_차량기지 계획의 적정성 검토_rev.02_260609.pdf
• 노면전차시설 설계 가이드라인 제9장(차량기지) 및 대기환경보전법</t>
  </si>
  <si>
    <t>• 04_설계서/1공구/검수/01. 설계보고서(검수).pdf
• 06.체크리스트/분야별/02_차량기지(검수)/차량기지분야_차량기지 계획의 적정성 검토_rev.02_260609.pdf
• 철도시설의 기술기준
• 전자파적합성(EMC) 기준
• 노면전차 시설 설계 가이드라인</t>
  </si>
  <si>
    <t>• 04_설계서/1공구/검수/01. 설계보고서(검수).pdf
• 06.체크리스트/분야별/02_차량기지(검수)/차량기지분야_차량기지 계획의 적정성 검토_rev.02_260609.pdf
• 노면전차시설 설계 가이드라인 제9장(차량기지) 및 제10장(안전 및 부대시설)</t>
  </si>
  <si>
    <t>• 06.체크리스트/분야별/02_차량기지(검수)/차량기지분야_차량기지 계획의 적정성 검토_rev.02_260609.pdf
• 04_설계서/1공구/검수/01. 설계보고서(검수).pdf
• 노면전차시설 설계 가이드라인 제9장(차량기지)</t>
  </si>
  <si>
    <t>차량 내외부 청소 작업의 효율성 및 근무 환경 개선을 위해, 내청소선 및 대청소선 건물 내 또는 인접 구역에 청소원 전용 현장 대기실, 샤워실 및 세제/자재 보관을 위한 전용 창고 공간을 평면 설계에 반영함.</t>
  </si>
  <si>
    <t>청소원 대기실 및 샤워실 시공 시 급배수 배관 및 환기 팬을 독립 설치하고, 개통 전 위생 설비 수압 테스트와 자재창고 내 시건장치 및 환기 시설의 정상 가동 상태를 전수 확인함.</t>
  </si>
  <si>
    <t>• 04_설계서/1공구/검수/01. 설계보고서(검수).pdf (검수고/청소선 내 부대지원시설 배치 계획)
• KDS 47 10 10 철도 설계기준 일반사항 및 KR A-08041 차량정비기지 지원시설 기준</t>
  </si>
  <si>
    <t>일상검사선, 월상검사선 및 중정비 주공장 인근에 정기 차량 입고 시 신속한 실내 소독 및 소청소 작업을 지원하기 위한 현장 작업 대기실을 검수동 내 적정 위치에 설계 반영함.</t>
  </si>
  <si>
    <t>대기실 시공 시 안전 통로와 인접하여 작업자가 차량 진입 대기 시 시야가 확보되도록 하고, 난방 및 공조 장치 가동 상태를 확인하여 현장 작업자의 열악한 근무 환경 리스크를 해소함.</t>
  </si>
  <si>
    <t>• 04_설계서/1공구/검수/01. 설계보고서(검수).pdf (검수동 내 경경비/중정비 지원 공간 계획)
• KDS 47 10 10 철도 설계기준 일반사항 및 KR A-08041 차량정비기지 지원시설 기준</t>
  </si>
  <si>
    <t>• 04_설계서/1공구/검수/01. 설계보고서(검수).pdf
• 06.체크리스트/분야별/02_차량기지(검수)/차량기지분야_차량기지 계획의 적정성 검토_rev.02_260609.pdf
• 위험물안전관리법
• 산업안전보건기준에 관한 규칙 (방폭)
• 노면전차 시설 설계 가이드라인</t>
  </si>
  <si>
    <t>• 04_설계서/1공구/검수/01. 설계보고서(검수).pdf
• 06.체크리스트/분야별/02_차량기지(검수)/차량기지분야_차량기지 계획의 적정성 검토_rev.02_260609.pdf
• 노면전차시설 설계 가이드라인 (차량기지 위험물 보관시설) 및 위험물안전관리법</t>
  </si>
  <si>
    <t>• 04_설계서/1공구/검수/01. 설계보고서(검수).pdf
• 06.체크리스트/분야별/02_차량기지(검수)/차량기지분야_차량기지 계획의 적정성 검토_rev.02_260609.pdf
• 노면전차시설 설계 가이드라인 제9장(차량기지)</t>
  </si>
  <si>
    <t>• 06.체크리스트/분야별/02_차량기지(검수)/차량기지 부대토목_설계추진방향보고_설계추진방향 차량기지 계획고별 공사비 검토_rev.00_260529.pdf
• 06.체크리스트/분야별/02_차량기지(검수)/차량기지부대토목_수로공 공사비 비교_rev.01_260610.pdf
• 폐기물관리법
• 지하수법 및 수질 및 수생태계 보전에 관한 법률
• 노면전차 시설 설계 가이드라인</t>
  </si>
  <si>
    <t>• 04_설계서/1공구/검수/01. 설계보고서(검수).pdf
• 06.체크리스트/분야별/02_차량기지(검수)/차량기지분야_차량기지 계획의 적정성 검토_rev.02_260609.pdf
• 소방시설 설치 및 관리에 관한 법률
• 소공간용 소화용구의 화재안전기준(NFSC)
• 한국전기설비규정(KEC)</t>
  </si>
  <si>
    <t>• 04_설계서/1공구/검수/01. 설계보고서(검수).pdf
• 06.체크리스트/분야별/02_차량기지(검수)/차량기지분야_차량기지 계획의 적정성 검토_rev.02_260609.pdf
• 한국전기설비규정(KEC)
• 철도시설의 기술기준
• 방송통신설비의 기술기준에 관한 규정</t>
  </si>
  <si>
    <t>• 04_설계서/1공구/검수/01. 설계보고서(검수).pdf
• 06.체크리스트/분야별/02_차량기지(검수)/차량기지분야_차량기지 계획의 적정성 검토_rev.02_260609.pdf
• 철도안전법
• 도시철도 시스템엔지니어링 적용기준
• 철도신호설비의 설치 및 유지관리 기준</t>
  </si>
  <si>
    <t>• 04_설계서/1공구/검수/01. 설계보고서(검수).pdf
• 06.체크리스트/분야별/02_차량기지(검수)/차량기지분야_차량기지 계획의 적정성 검토_rev.02_260609.pdf
• 한국전기설비규정(KEC)
• 철도보안검색 및 보호구역 등에 관한 지침
• 노면전차 시설 설계 가이드라인</t>
  </si>
  <si>
    <t>• 04_설계서/1공구/검수/01. 설계보고서(검수).pdf
• 06.체크리스트/분야별/02_차량기지(검수)/차량기지분야_차량기지 계획의 적정성 검토_rev.02_260609.pdf
• 한국전기설비규정(KEC)
• 건축물의 설비기준 등에 관한 규칙
• 소방시설 설치 및 관리에 관한 법률</t>
  </si>
  <si>
    <t>• 04_설계서/1공구/검수/01. 설계보고서(검수).pdf
• 06.체크리스트/분야별/02_차량기지(검수)/차량기지분야_차량기지 계획의 적정성 검토_rev.02_260609.pdf
• 건축물의 설비기준 등에 관한 규칙
• 지하공간 침수방지를 위한 수방기준
• 철도설계기준(노반편)</t>
  </si>
  <si>
    <t>• 06.체크리스트/분야별/02_차량기지(검수)/검수_설계추진방향보고_검수고 내 배치 레이아웃 및 검수장비 검토_rev.00_260529.pdf
• 06.체크리스트/분야별/02_차량기지(검수)/검수_설계추진방향보고_차량기지 검수고 배치방안 검토_rev.00_260602.pdf
• 04_설계서/1공구/검수/01. 설계보고서(검수).pdf
• 노면전차시설 설계 가이드라인 제9장(차량기지)</t>
  </si>
  <si>
    <t>• 06.체크리스트/분야별/02_차량기지(검수)/차량기지분야_차량기지 계획의 적정성 검토_rev.02_260609.pdf
• 04_설계서/1공구/검수/01. 설계보고서(검수).pdf
• 노면전차시설 설계 가이드라인 제9장(차량기지) 및 수도법</t>
  </si>
  <si>
    <t>차량기지 주공장 및 작업실 내 대형 부품 정비 시, 무겁고 넓은 면적의 천정크레인(현진그레인) 대신 공간 활용도와 정밀 인양 효율이 높은 지브크레인(Jib Crane)으로 대체 배치하는 타당성 및 궤적 간섭을 설계 단계에서 검토함.</t>
  </si>
  <si>
    <t>지브크레인 시공 시, 기둥 및 기초 벽체에 미치는 자중과 전도 모멘트를 고려한 지지 앵커 콘크리트를 보강 타설하고, 크레인 회전 궤적(360도 등) 상의 지장물 간섭 여부를 시운전 및 하중 테스트 시 전수 확인하여 안전을 검증함.</t>
  </si>
  <si>
    <t>• 04_설계서/1공구/검수/01. 설계보고서(검수).pdf (작업장별 양중 장비 계획 및 크레인 규격)
• 04_설계서/설계사검토/기본설계 문제점 분석 및 설계 개선사항_취합(0526-송부).pdf (Page 43, 차체분해조립장 크레인 및 동시인양장치 배치 개선 검토)
• 산업안전보건기준에 관한 규칙(양중기 기준) 및 안전보건공단 크레인 제작 기준</t>
  </si>
  <si>
    <t>• 04_설계서/1공구/검수/01. 설계보고서(검수).pdf
• 06.체크리스트/분야별/02_차량기지(검수)/차량기지분야_차량기지 계획의 적정성 검토_rev.02_260609.pdf
• 철도건설규칙
• 철도시설의 기술기준
• 노면전차 시설 설계 가이드라인</t>
  </si>
  <si>
    <t>• 06.체크리스트/분야별/02_차량기지(검수)/차량기지분야_차량기지 계획의 적정성 검토_rev.02_260609.pdf
• 04_설계서/1공구/검수/01. 설계보고서(검수).pdf
• 철도건설규칙
• 노면전차 시설 설계 가이드라인
• 도시철도 시스템엔지니어링 적용기준</t>
  </si>
  <si>
    <t>• 06.체크리스트/분야별/02_차량기지(검수)/차량기지 부대토목_설계추진방향보고_설계추진방향 차량기지 계획고별 공사비 검토_rev.00_260529.pdf
• 06.체크리스트/분야별/02_차량기지(검수)/차량기지부대토목_수로공 공사비 비교_rev.01_260610.pdf
• 노면전차시설 설계 가이드라인 (차량기지 선형 및 배선)</t>
  </si>
  <si>
    <t>• 04_설계서/1공구/검수/01. 설계보고서(검수).pdf
• 06.체크리스트/분야별/02_차량기지(검수)/차량기지분야_차량기지 계획의 적정성 검토_rev.02_260609.pdf
• 노면전차시설 설계 가이드라인 제9장(차량기지) 및 지하공동구 내진설계기준</t>
  </si>
  <si>
    <t>• 04_설계서/1공구/검수/01. 설계보고서(검수).pdf
• 06.체크리스트/분야별/02_차량기지(검수)/차량기지분야_차량기지 계획의 적정성 검토_rev.02_260609.pdf
• 철도안전법
• 철도보안검색 및 보호구역 등에 관한 지침
• 노면전차 시설 설계 가이드라인</t>
  </si>
  <si>
    <t>• 04_설계서/1공구/검수/01. 설계보고서(검수).pdf
• 06.체크리스트/분야별/02_차량기지(검수)/차량기지분야_차량기지 계획의 적정성 검토_rev.02_260609.pdf
• 한국전기설비규정(KEC)
• 철도시설의 기술기준
• 피뢰설비 설치 기준(KS C IEC 62305)</t>
  </si>
  <si>
    <t>• 04_설계서/1공구/검수/01. 설계보고서(검수).pdf
• 06.체크리스트/분야별/02_차량기지(검수)/차량기지분야_차량기지 계획의 적정성 검토_rev.02_260609.pdf
• 승강기 안전관리법
• 도시철도 시스템엔지니어링 적용기준
• 정보통신공사업법 시행령</t>
  </si>
  <si>
    <t>• 04_설계서/1공구/검수/01. 설계보고서(검수).pdf
• 06.체크리스트/분야별/02_차량기지(검수)/차량기지분야_차량기지 계획의 적정성 검토_rev.02_260609.pdf
• 노면전차시설 설계 가이드라인 제9장(차량기지) 및 폐기물관리법</t>
  </si>
  <si>
    <t>곡선 구간 승강장의 건축한계 확폭량이 궤도 선형(R값, 캔트)에 맞게 계산되었여부를 검토하여 조치함.</t>
    <phoneticPr fontId="1" type="noConversion"/>
  </si>
  <si>
    <t>PSD 설치 전/후 건축한계 측정 지그(Jig) 또는 측정차를 통해 물리적 간섭 여부를 시뮬레이션 여부를 검토하여 조치함.</t>
    <phoneticPr fontId="1" type="noConversion"/>
  </si>
  <si>
    <t>• 04_설계서/1공구/궤도/01. 설계보고서_궤도.pdf
• 06.체크리스트/분야별/03_궤도/궤도_설계추진방향_차량, 열차운영 등 인터페이스 적정성_rev.05_260608.pdf
• 노면전차 시설 설계지침(안), 국토교통부
• 도시철도 정거장 및 환승·편의시설 보편적 설계 지침
• KDS 47 10 00 도시철도 설계기준(건축한계 및 차량한계)</t>
    <phoneticPr fontId="1" type="noConversion"/>
  </si>
  <si>
    <t>검수고 등 유지관리 시설의 작업대 위치가 '건축한계' 기준인지 '차량 외곽' 기준인지 지침을 확인하고 현장 시공에 적용함.</t>
    <phoneticPr fontId="1" type="noConversion"/>
  </si>
  <si>
    <t>시공 전/중 상부 작업대 발판 위치를 차량 측면 끝단 기준으로 변경하여 작업 효율과 안전을 확보함 여부를 정밀 검측하고 시공 계획에 따라 이행함.</t>
    <phoneticPr fontId="1" type="noConversion"/>
  </si>
  <si>
    <t>• 06.체크리스트/분야별/03_궤도/궤도_설계추진방향_차량, 열차운영 등 인터페이스 적정성_rev.05_260608.pdf
• 04_설계서/1공구/궤도/01. 설계보고서_궤도.pdf
• 도시철도운전규칙(국토교통부령)
• 철도시설 유지관리지침(국토교통부 고시)
• KDS 47 10 00 도시철도 설계기준(검수시설 작업대 설계)</t>
    <phoneticPr fontId="1" type="noConversion"/>
  </si>
  <si>
    <t>구조물 시공을 위한 가설재(거푸집, 동바리) 설치 공간이 시설한계를 침범하지 않는지 검토를 완료하고 서류에 명기함.</t>
    <phoneticPr fontId="1" type="noConversion"/>
  </si>
  <si>
    <t>시공 전/중 두께가 얇은 철판 거푸집으로 변경하여 건축한계를 침범하지 않고 콘크리트를 타설함 여부를 정밀 검측하고 시공 계획에 따라 이행함.</t>
    <phoneticPr fontId="1" type="noConversion"/>
  </si>
  <si>
    <t>• 04_설계서/1공구/궤도/01. 설계보고서_궤도.pdf
• 06.체크리스트/분야별/03_궤도/궤도_설계추진방향_차량, 열차운영 등 인터페이스 적정성_rev.05_260608.pdf
• 건설기술진흥법 시행령 제75조(가설구조물 설계)
• 가설공사 표준시방서(국토교통부)
• KDS 47 10 00 도시철도 설계기준(시설한계)</t>
    <phoneticPr fontId="1" type="noConversion"/>
  </si>
  <si>
    <t>승강장 연단 설계 시 차량 동적 한계(Dynamic Envelope)와 시공 오차 여유폭이 고려되었여부를 검토하여 조치함.</t>
    <phoneticPr fontId="1" type="noConversion"/>
  </si>
  <si>
    <t>승강장 연단석 설치 전, 궤도 중심선으로부터의 실제 거리를 전수 측량하여 한계 침범 여부를 확인하고 현장 시공에 적용함.</t>
    <phoneticPr fontId="1" type="noConversion"/>
  </si>
  <si>
    <t>• 06.체크리스트/분야별/03_궤도/궤도_설계추진방향_차량, 열차운영 등 인터페이스 적정성_rev.05_260608.pdf
• 04_설계서/1공구/궤도/01. 설계보고서_궤도.pdf
• 노면전차 시설 설계지침(안), 국토교통부
• 도시철도법 시행규칙 별표 1(건축한계 및 차량한계)
• KRTS-BD(한국철도표준규격) 승강장 연단 이격 기준</t>
    <phoneticPr fontId="1" type="noConversion"/>
  </si>
  <si>
    <t>차륜전삭기 등 특수 검수설비 궤도 설계 시, 장비 간섭 방지를 위해 레일 지정 길이(예: 500mm) 돌출용 단절부(Gap) 상세도를 작성하고 시공 한계를 구분함.</t>
    <phoneticPr fontId="1" type="noConversion"/>
  </si>
  <si>
    <t>장비 안착 후 궤도를 체결하며, 레일 종단과 차륜 지지부 단차가 없도록 3D 측량 세팅 후 시험 차량 입고로 간섭을 최종 검증함.</t>
    <phoneticPr fontId="1" type="noConversion"/>
  </si>
  <si>
    <t>• 04_설계서/1공구/궤도/01. 설계보고서_궤도.pdf
• 06.체크리스트/분야별/03_궤도/궤도_설계추진방향_차량, 열차운영 등 인터페이스 적정성_rev.05_260608.pdf
• 도시철도 시스템엔지니어링 적용기준
• 철도설계기준(궤도편)
• 철도건설사업 시설물 인터페이스 관리지침</t>
    <phoneticPr fontId="1" type="noConversion"/>
  </si>
  <si>
    <t>검수고 오픈 피트(PIT) 및 H-Beam 도상 설계 시, 토목(선시공)과 궤도(레일 조립) 간 인터페이스 한계선과 시공 허용 오차를 규정함.</t>
    <phoneticPr fontId="1" type="noConversion"/>
  </si>
  <si>
    <t>토목·건축의 H-Beam 및 기초 시공 후 3차원 측량기로 레벨·평탄도를 mm 단위 검측하고, 허용 오차 시 조립 전 높이 조절 패드로 선형을 보정함.</t>
    <phoneticPr fontId="1" type="noConversion"/>
  </si>
  <si>
    <t>• 04_설계서/1공구/궤도/01. 설계보고서_궤도.pdf
• 06.체크리스트/분야별/03_궤도/궤도_설계추진방향_차량, 열차운영 등 인터페이스 적정성_rev.05_260608.pdf
• 철도설계기준(궤도편, 건축편)
• 철도건설사업 시설물 인터페이스 관리지침
• 콘크리트표준시방서</t>
    <phoneticPr fontId="1" type="noConversion"/>
  </si>
  <si>
    <t>온도 변화에 따른 상판 팽창·수축량을 산정해 적정 스트로크(Stroke)의 레일 신축이음매(R.E.J)를 배치하고, 교량-토공 접속부에 어프로치 블록(수직강성 체감구조)을 반영함.</t>
    <phoneticPr fontId="1" type="noConversion"/>
  </si>
  <si>
    <t>신축이음매 시공 시 부설 온도 기반 초기 유격(스트로크 세팅)을 1mm 단위로 정밀 시공하고, 수직강성 체감구조 콘크리트 타설 시 단차나 빈 공간이 없도록 밀실하게 타설함.</t>
    <phoneticPr fontId="1" type="noConversion"/>
  </si>
  <si>
    <t>• 04_설계서/1공구/궤도/01. 설계보고서_궤도.pdf
• 06.체크리스트/분야별/03_궤도/궤도_설계추진방향_차량, 열차운영 등 인터페이스 적정성_rev.05_260608.pdf
• 노면전차시설 설계 가이드라인 제4장(궤도분야 설계지침)</t>
    <phoneticPr fontId="1" type="noConversion"/>
  </si>
  <si>
    <t>교량 온도신축 거동에 의한 레일 부가축력이 허용 기준을 만족하도록 교량-궤도 상호작용 해석(CWR 축력해석)을 실시하고, 경간 장이 긴 주요 교량 단부(L=100m 이상 등)에 레일신축이음매장치(Expansion Joint) 설치 방안을 궤도 평면 및 종단 설계에 반영함.</t>
    <phoneticPr fontId="1" type="noConversion"/>
  </si>
  <si>
    <t>레일신축이음매장치 부설 시 레일 온도 설정치(대략 25℃) 기준 및 체결구 체결 장력을 정밀 세팅하여 시공하고, 하절기/동절기 온도 변위에 따른 스트로크 거동량을 센서 및 정밀 계측을 통해 유지관리함.</t>
    <phoneticPr fontId="1" type="noConversion"/>
  </si>
  <si>
    <t>• 04_설계서/1공구/궤도/01. 설계보고서_궤도.pdf (교량상 장대레일 축력해석 및 신축이음 검토)
• KR C-08080 궤도-교량 상호작용에 따른 안전성 검토 기준</t>
    <phoneticPr fontId="1" type="noConversion"/>
  </si>
  <si>
    <t>교량 인접 분기기 배치 시 신축량·구조적 거동을 고려해 교량 신축이음장치(Expansion Joint)로부터 최소 이격거리(예: 50m 이상)를 확보하도록 배선도를 재조정함.</t>
    <phoneticPr fontId="1" type="noConversion"/>
  </si>
  <si>
    <t>광파기로 신축이음장치와 분기기 간 이격거리를 정밀 측량해 재확인하고, 기준 미달 시 분기기 위치를 조정하여 부설함.</t>
    <phoneticPr fontId="1" type="noConversion"/>
  </si>
  <si>
    <t>• 06.체크리스트/분야별/03_궤도/궤도_설계추진방향보고_차량 운행조건을 고려한 분기기 배치 및 분기기 형식 선정의 적정성_rev.00_260601.pdf
• 04_설계서/1공구/궤도/01. 설계보고서_궤도.pdf
• 철도설계지침 및 편람(KR CODE)
• 철도설계기준(궤도편)
• 노면전차 시설 설계 가이드라인</t>
    <phoneticPr fontId="1" type="noConversion"/>
  </si>
  <si>
    <t>교량 상부 매립형 궤도 설계 시 철근 부식 방지를 위해, 교량 상면과 도상콘크리트(TCL) 간 방수시트 및 보호 콘크리트층(PCL) 단면을 횡단면도에 반영함.</t>
    <phoneticPr fontId="1" type="noConversion"/>
  </si>
  <si>
    <t>시공 전 교량 상판 방수시트 상태를 검측하고, PCL 타설 시 철근 및 장비 이동에 의한 방수막 찢김 방지용 보양 조치를 취함.</t>
    <phoneticPr fontId="1" type="noConversion"/>
  </si>
  <si>
    <t>기존 교량 상부 매립형 궤도 설계 시, 아스팔트(약 60mm) 철거 후 노출 슬래브와 궤도 기초 간 단차(60mm) 보정 및 구조적 일체화를 위한 접속·방수 상세도를 합동 반영함.</t>
    <phoneticPr fontId="1" type="noConversion"/>
  </si>
  <si>
    <t>포장 철거 시 하부 방수층·철근 손상 방지를 위해 소형 장비·인력으로 파취하고, 상면 요철 평탄화(Chipping) 후 규정 레벨에 맞춰 도상 콘크리트를 정밀 타설함.</t>
    <phoneticPr fontId="1" type="noConversion"/>
  </si>
  <si>
    <t>• 04_설계서/1공구/궤도/01. 설계보고서_궤도.pdf
• 06.체크리스트/분야별/03_궤도/궤도_설계추진방향_차량, 열차운영 등 인터페이스 적정성_rev.05_260608.pdf
• 시설물의 안전 및 유지관리에 관한 특별법
• 철도설계기준(궤도편)
• 콘크리트표준시방서</t>
    <phoneticPr fontId="1" type="noConversion"/>
  </si>
  <si>
    <t>교량 매립형 궤도 연속 타설 설계 시 진동·처짐 구조해석을 통해 트러프 균열 방지용 철근 보강 및 균열 제어 조인트(Crack Inducer)를 단면도에 반영함.</t>
    <phoneticPr fontId="1" type="noConversion"/>
  </si>
  <si>
    <t>교량상 도상 타설·양생 시 인접 차량 진동 전달 방지용 서행 유도·방진 대책을 수립하고, 트러프 표면의 초기 소성수축 균열을 철저히 보양·제어함.</t>
    <phoneticPr fontId="1" type="noConversion"/>
  </si>
  <si>
    <t>교량 구간 설계 시 비상 시 승객 대피 및 유지보수 작업자의 안전을 확보하기 위해, 궤도 중심에서 교량 난간(대피 공간)까지의 최소 안전거리(이격거리) 및 대피 통로 공간을 기본설계 도면에 반영함.</t>
    <phoneticPr fontId="1" type="noConversion"/>
  </si>
  <si>
    <t>교량 상부 구조 시공 시 비상 대피용 보도 또는 점검로를 설계폭에 맞춰 기밀하게 시공하고, 탈선 방지 가드레일 등 안전 가시설을 추가 반영하여 열차 비상 정차 시 승객의 추락 리스크를 해소함.</t>
    <phoneticPr fontId="1" type="noConversion"/>
  </si>
  <si>
    <t>• 04_설계서/1공구/궤도/01. 설계보고서_궤도.pdf (교량 구간 선형 및 안전 보도 계획)
• 도시철도 정거장 및 환승·편의시설 보편적 설계 지침
• KDS 47 10 00 도시철도 설계기준</t>
    <phoneticPr fontId="1" type="noConversion"/>
  </si>
  <si>
    <t>교차로 궤도 설계 시 바퀴 빠짐 방지용 매립형 레일 플랜지웨이 폭을 최대 47mm 이하로 제한하고, 궤도 보호설비(안전 유도블록 등)를 도면에 반영함.</t>
    <phoneticPr fontId="1" type="noConversion"/>
  </si>
  <si>
    <t>궤도 타설 시 측압에 따른 레일 홈 폭 47mm 초과 방지를 위해 강재 지그(Jig)로 고정하고, 보호설비를 정밀 시공함.</t>
    <phoneticPr fontId="1" type="noConversion"/>
  </si>
  <si>
    <t>• 04_설계서/1공구/궤도/01. 설계보고서_궤도.pdf
• 06.체크리스트/분야별/03_궤도/궤도_설계추진방향_차량, 열차운영 등 인터페이스 적정성_rev.05_260608.pdf
• 노면전차 시설 설계 가이드라인
• 교통약자의 이동편의 증진법
• 철도건설규칙</t>
    <phoneticPr fontId="1" type="noConversion"/>
  </si>
  <si>
    <t>도심 교차로 궤도·분기기 설계 시 교통 체증 최소화를 위해 프리캐스트(Precast) 패널 적용 및 야적장 가조립 분기기의 야간 현장 거치 시공 계획을 반영함.</t>
    <phoneticPr fontId="1" type="noConversion"/>
  </si>
  <si>
    <t>야간에 프리캐스트 및 가조립 분기기를 정밀 세팅하고, 하부 무수축 몰탈 충진으로 조기 강도를 확보해 익일 아침 즉시 도로교통을 재개함.</t>
    <phoneticPr fontId="1" type="noConversion"/>
  </si>
  <si>
    <t>교통 집중 교차로 구간 설계 시, 교통 간섭 최소화를 위해 현장타설 공법 대신 사전제작형 프리캐스트(Precast) 궤도 패널 방식을 도면에 반영함.</t>
    <phoneticPr fontId="1" type="noConversion"/>
  </si>
  <si>
    <t>공장에서 패널 접속부 정밀도를 mm 단위로 관리하고, 심야 거치 후 하부 무수축 몰탈 주입 및 조인트 마감을 신속히 완료해 익일 아침 통행을 재개함.</t>
    <phoneticPr fontId="1" type="noConversion"/>
  </si>
  <si>
    <t>• 04_설계서/1공구/궤도/01. 설계보고서_궤도.pdf
• 06.체크리스트/분야별/03_궤도/궤도_설계추진방향_차량, 열차운영 등 인터페이스 적정성_rev.05_260608.pdf
• 노면전차 시설 설계 가이드라인
• 철도설계기준(궤도편)
• 콘크리트표준시방서(프리캐스트)</t>
    <phoneticPr fontId="1" type="noConversion"/>
  </si>
  <si>
    <t>도심지 매립형 궤도 설계 시 누설전류 차단용 연속 절연 수지(Resin) 패킹 구조를 적용하고, 전식방지용 매설 포집망(철근 접속) 및 변전소 배류기 연결을 통합 도서에 반영함.</t>
    <phoneticPr fontId="1" type="noConversion"/>
  </si>
  <si>
    <t>절연 수지 충진 전 레일 녹·이물질을 제거하고, 기초 콘크리트 타설 전 포집망 용접 상태 및 접지 저항치 전수 측정 후 합격 시 후속 공정을 진행함.</t>
    <phoneticPr fontId="1" type="noConversion"/>
  </si>
  <si>
    <t>누설전류에 의한 지중 매설물 부식 방지를 위해 매립형 레일 절연재(고무재킷, 수지재 등) 상세도 및 전식방지 포집망(철근 접속)을 전기-궤도 합동 설계에 반영함.</t>
    <phoneticPr fontId="1" type="noConversion"/>
  </si>
  <si>
    <t>콘크리트 타설 전 절연 피복재 훼손 여부를 절연 저항(Megger Test)으로 전수 검사하고, 전식방지 포집망용 철근 전기 용접 결선 및 배류선 인출을 완벽히 시공함.</t>
    <phoneticPr fontId="1" type="noConversion"/>
  </si>
  <si>
    <t>• 04_설계서/1공구/궤도/01. 설계보고서_궤도.pdf
• 06.체크리스트/분야별/03_궤도/궤도_설계추진방향_차량, 열차운영 등 인터페이스 적정성_rev.05_260608.pdf
• 전기철도설비기준
• 철도시설의 기술기준
• 지하매설물 전식방지 대책 지침</t>
    <phoneticPr fontId="1" type="noConversion"/>
  </si>
  <si>
    <t>혼용도로 매립형 궤도 설계 시, 사고 방지를 위해 레일 상면이 포장면보다 34mm 돌출되도록 토목-궤도 간 포장 및 횡단면 상세도를 작성함.</t>
    <phoneticPr fontId="1" type="noConversion"/>
  </si>
  <si>
    <t>포장 시 레일 상면 3~4mm 돌출을 위한 3D 정밀 레벨 측량을 관리하고, 다짐 중 레일 오염 및 궤도 단차 틀어짐 방지 보호 조치를 정밀 시공함.</t>
    <phoneticPr fontId="1" type="noConversion"/>
  </si>
  <si>
    <t>토공-구조물(U-Type/Box) 접속부 부등침하 방지용 시멘트 처리 보조도상·어프로치 슬래브를 적용하고, 궤도 밀림 방지용 전단키(Shear Key)를 도상 하부에 확대 배치함.</t>
    <phoneticPr fontId="1" type="noConversion"/>
  </si>
  <si>
    <t>하부 노반 및 기초콘크리트층의 다짐도·평탄도를 철저히 확인하고, 도상 콘크리트 타설 시 전단키 홈 내부까지 고주파 진동 다짐으로 밀실하게 정밀 타설함.</t>
    <phoneticPr fontId="1" type="noConversion"/>
  </si>
  <si>
    <t>지지강성 차이에 따른 궤도 부등침하 방지용 어프로치 슬래브(완충구간)를 설계하고, 종방향 밀림 억제용 전단키(Shear Key) 및 정착단(Endsporn) 구조를 통합 설계에 반영함.</t>
    <phoneticPr fontId="1" type="noConversion"/>
  </si>
  <si>
    <t>토목-궤도 합동으로 접속부 정착단(Endsporn)의 선시공 위치·심도를 검측하고, 어프로치 슬래브 하부 강화노반 다짐도(95% 이상)를 관리해 잔류침하 차단 후 타설함.</t>
    <phoneticPr fontId="1" type="noConversion"/>
  </si>
  <si>
    <t>• 04_설계서/1공구/궤도/01. 설계보고서_궤도.pdf
• 06.체크리스트/분야별/03_궤도/궤도_설계추진방향_차량, 열차운영 등 인터페이스 적정성_rev.05_260608.pdf
• 철도설계지침 및 편람(KR CODE)
• 철도설계기준(노반, 궤도편)
• 노면전차 시설 설계 가이드라인</t>
    <phoneticPr fontId="1" type="noConversion"/>
  </si>
  <si>
    <t>레미콘 재료 분리 및 시공 불량 방지를 위해 노선 종단기울기를 분석, 일방향 및 상기울기(오르막) 방향의 콘크리트 타설 순서와 구획을 시방서·시공계획서에 지정함.</t>
    <phoneticPr fontId="1" type="noConversion"/>
  </si>
  <si>
    <t>레미콘 운반 차량 최적 동선·시간을 시뮬레이션하고, 현장 타설 시 상기울기 방향 원칙을 준수해 콜드조인트(Cold Joint) 없이 밀실한 진동 다짐을 이행함.</t>
    <phoneticPr fontId="1" type="noConversion"/>
  </si>
  <si>
    <t>• 06.체크리스트/분야별/03_궤도/궤도_설계추진방향보고_과업구간 궤도높이 R.L~F.L설정 검토_rev.00_260521.pdf
• 04_설계서/1공구/궤도/01. 설계보고서_궤도.pdf
• 노면전차 시설 설계 가이드라인
• 콘크리트표준시방서
• 철도설계기준(궤도편)</t>
    <phoneticPr fontId="1" type="noConversion"/>
  </si>
  <si>
    <t>궤도 도상 콘크리트 설계 시 철근·매립물 밀집 구조를 고려, 다짐이 용이하고 재료분리가 없는 최적의 레미콘 슬럼프(Slump) 값을 산정해 시방서 및 시공계획서에 규정함.</t>
    <phoneticPr fontId="1" type="noConversion"/>
  </si>
  <si>
    <t>타설 전 반입 레미콘 슬럼프 테스트를 전수 실시하고, 타설 시 과도한 진동기 사용 및 임의 가수를 엄격히 통제해 재료분리를 차단함.</t>
    <phoneticPr fontId="1" type="noConversion"/>
  </si>
  <si>
    <t>• 04_설계서/1공구/궤도/01. 설계보고서_궤도.pdf
• 06.체크리스트/분야별/03_궤도/궤도_설계추진방향_차량, 열차운영 등 인터페이스 적정성_rev.05_260608.pdf
• 콘크리트표준시방서
• 철도설계기준(궤도편)
• 노면전차 시설 설계 가이드라인</t>
    <phoneticPr fontId="1" type="noConversion"/>
  </si>
  <si>
    <t>매립형 궤도 설계 시 하부 토목 구조물 거동 흡수용 시공이음(C.J)·신축이음(E.J) 좌표를 평면도에 투영하고, 상부 도상콘크리트 쏘컷(Saw Cut) 및 시공이음 위치가 100% 일치하도록 연계 상세도를 작성함.</t>
    <phoneticPr fontId="1" type="noConversion"/>
  </si>
  <si>
    <t>타설 전 3D 측량으로 하부 시공·신축이음 위치를 확인해 궤도 거푸집·지수판을 동기화 설치하고, 타설 후 적기에 조인트를 따라 쏘컷(Saw Cut) 및 실란트를 충진함.</t>
    <phoneticPr fontId="1" type="noConversion"/>
  </si>
  <si>
    <t>매립형 궤도(글로브레일) 이물질 유입 최소화를 위해 궤도 주변 도로 횡단 구배를 최적화하고, 특수 청소차량 진입 및 상시 청소가 용이한 단면·유지관리 계획을 설계도서에 반영함.</t>
    <phoneticPr fontId="1" type="noConversion"/>
  </si>
  <si>
    <t>포장 시공 시 포장재가 윤연로 내부로 유입되지 않도록 테이핑 등 철저한 사전 보양을 실시하고, 개통 전 특수 청소장비로 전 구간 궤도 홈 이물질을 완벽히 제거함.</t>
    <phoneticPr fontId="1" type="noConversion"/>
  </si>
  <si>
    <t>• 06.체크리스트/분야별/03_궤도/궤도_설계추진방향보고_안전시설 및 시설물 유지관리·보수를 위한 시설설치의 적정성_rev.02_260526.pdf
• 06.체크리스트/분야별/03_궤도/#첨부파일_사업단계별 운영유지관리 장비_시설물 리스트(궤도)_rev01_시설물 추가(최종).pdf
• 노면전차 시설 설계 가이드라인
• 철도의 건설기준에 관한 규정
• 도로포장 설계, 시공지침</t>
    <phoneticPr fontId="1" type="noConversion"/>
  </si>
  <si>
    <t>궤도 부등침하 및 도상 균열 방지를 위해 하부 토공(노반) 지반탄성계수 최소 Ev2 ≥ 80MPa(또는 80MN/㎡) 이상 확보를 위한 층별 다짐 기준을 시방서에 반영함.</t>
    <phoneticPr fontId="1" type="noConversion"/>
  </si>
  <si>
    <t>기초 콘크리트(HSB층 등) 타설 전 평판재하시험(PBT)으로 변형률계수(Ev2) 기준치(80MPa 이상)를 전수 검측하고, 미달 시 즉시 재다짐 또는 치환 후 착수함.</t>
    <phoneticPr fontId="1" type="noConversion"/>
  </si>
  <si>
    <t>• 06.체크리스트/분야별/03_궤도/궤도_설계추진방향_차량, 열차운영 등 인터페이스 적정성_rev.05_260608.pdf
• 04_설계서/1공구/궤도/01. 설계보고서_궤도.pdf
• 노면전차시설 설계 가이드라인 제4장(궤도분야 설계지침) 및 건설산업기본법</t>
    <phoneticPr fontId="1" type="noConversion"/>
  </si>
  <si>
    <t>매립형 궤도 설계 시 도상(TCL)·기초콘크리트 간 부착력 극대화를 위해 기초 상면 '표면 거칠기(Chipping, 워터젯 등)' 상세도 및 시방 기준을 통합 설계에 명시함.</t>
    <phoneticPr fontId="1" type="noConversion"/>
  </si>
  <si>
    <t>기초콘크리트 경화 전 레이턴스(Laitance)를 제거해 규정 조도를 형성하고, 도상 콘크리트 타설 전 접합면 청소 및 습윤 상태를 철저히 검측함.</t>
    <phoneticPr fontId="1" type="noConversion"/>
  </si>
  <si>
    <t>• 04_설계서/1공구/궤도/01. 설계보고서_궤도.pdf
• 06.체크리스트/분야별/03_궤도/궤도_설계추진방향_차량, 열차운영 등 인터페이스 적정성_rev.05_260608.pdf
• 콘크리트구조 학회기준
• 철도설계기준(궤도편)
• 콘크리트표준시방서</t>
    <phoneticPr fontId="1" type="noConversion"/>
  </si>
  <si>
    <t>타 철도 개착 터널 공사 구간 설계 시 되메우기와 트램 궤도 부설 일정이 중첩되지 않게 통합 공정표를 작성하고, 노반 잔류 침하 방지 다짐 기준을 명시함.</t>
    <phoneticPr fontId="1" type="noConversion"/>
  </si>
  <si>
    <t>타 철도 시공사와 T/F를 운영해 되메우기 다짐도(95% 이상 등)를 검측하고, 평판재하시험으로 잔류 침하 수렴 100% 확인 후 도상 콘크리트를 타설함.</t>
    <phoneticPr fontId="1" type="noConversion"/>
  </si>
  <si>
    <t>• 04_설계서/1공구/궤도/01. 설계보고서_궤도.pdf
• 06.체크리스트/분야별/03_궤도/궤도_설계추진방향_차량, 열차운영 등 인터페이스 적정성_rev.05_260608.pdf
• 철도건설사업 시설물 인터페이스 관리지침
• 지하안전관리에 관한 특별법
• 철도설계기준(노반, 궤도편)</t>
    <phoneticPr fontId="1" type="noConversion"/>
  </si>
  <si>
    <t>연약지반(Soft Ground) 부등침하 차단을 위해 치환·심층혼합처리 등 지반개량 공법·심도를 산정하고, 개량 후 잔류침하 허용 기준을 통합 설계에 반영함.</t>
    <phoneticPr fontId="1" type="noConversion"/>
  </si>
  <si>
    <t>지반개량 후 타설 전 침하판 계측으로 잔류침하 수렴을 확인하고, 평판재하시험(Ev2 등)으로 하부 목표 지지력(80MPa 이상 등)을 100% 검증함.</t>
    <phoneticPr fontId="1" type="noConversion"/>
  </si>
  <si>
    <t>• 06.체크리스트/분야별/03_궤도/궤도_설계추진방향_차량, 열차운영 등 인터페이스 적정성_rev.05_260608.pdf
• 04_설계서/1공구/궤도/01. 설계보고서_궤도.pdf
• 철도설계기준(노반, 궤도편)
• 구조물기초 설계기준
• 노면전차 시설 설계 가이드라인</t>
    <phoneticPr fontId="1" type="noConversion"/>
  </si>
  <si>
    <t>궤도 하부 횡단 케이블 설계 시, 트램 동하중에 의한 관로 파손 방지를 위해 관로 상단까지 최소 0.6m 이상 매설 심도를 복합 단면도에 반영함.</t>
    <phoneticPr fontId="1" type="noConversion"/>
  </si>
  <si>
    <t>횡단 관로 매설 시 합동 입회하에 레벨 측량으로 깊이를 확인하고, 관로 상부 토공 되메우기 다짐도(95% 이상) 관리 후 기초 콘크리트를 타설함.</t>
    <phoneticPr fontId="1" type="noConversion"/>
  </si>
  <si>
    <t>• 04_설계서/1공구/궤도/01. 설계보고서_궤도.pdf
• 06.체크리스트/분야별/03_궤도/궤도_설계추진방향_차량, 열차운영 등 인터페이스 적정성_rev.05_260608.pdf
• 철도설계기준(노반, 궤도편)
• 철도건설사업 시설물 인터페이스 관리지침
• 한국전기설비규정(KEC)</t>
    <phoneticPr fontId="1" type="noConversion"/>
  </si>
  <si>
    <t>매립형 궤도 설계 시 레일 교체를 위해 콘크리트 도상(TCL) 파쇄 없이 분리 가능한 트러프(Trough) 공간을 확보하고, 충진재와 콘크리트 미유착 분리형 고정방식을 상세도에 반영함.</t>
    <phoneticPr fontId="1" type="noConversion"/>
  </si>
  <si>
    <t>트러프 및 레일 부설 시 수지나 고무탄성재가 주변 콘크리트로 누출·접착되지 않도록 시공 조인트를 보양하고 틈새 마감을 관리함.</t>
    <phoneticPr fontId="1" type="noConversion"/>
  </si>
  <si>
    <t>• 06.체크리스트/분야별/03_궤도/궤도_설계추진방향보고_안전시설 및 시설물 유지관리·보수를 위한 시설설치의 적정성_rev.02_260526.pdf
• 06.체크리스트/분야별/03_궤도/#첨부파일_사업단계별 운영유지관리 장비_시설물 리스트(궤도)_rev01_시설물 추가(최종).pdf
• 노면전차시설 설계 가이드라인 제4장(궤도분야 설계지침)</t>
    <phoneticPr fontId="1" type="noConversion"/>
  </si>
  <si>
    <t>매립형 궤도 도상콘크리트 설계 시, 교체 작업 시 도상 파쇄 없이 레일 트러프 내 충진재(수지고정재 등)만 절단해 인양 가능하도록 단면을 최적화하고 시방서에 명시함.</t>
    <phoneticPr fontId="1" type="noConversion"/>
  </si>
  <si>
    <t>수지 고정재 타설 시 트러프 벽면 접착 분리재(이형재)를 시공해 수지 제거를 용이하게 하고, 모의시험(Mock-up)으로 파취 없는 탈거 가능 여부를 검증함.</t>
    <phoneticPr fontId="1" type="noConversion"/>
  </si>
  <si>
    <t>• 06.체크리스트/분야별/03_궤도/궤도_설계추진방향보고_안전시설 및 시설물 유지관리·보수를 위한 시설설치의 적정성_rev.02_260526.pdf
• 06.체크리스트/분야별/03_궤도/#첨부파일_사업단계별 운영유지관리 장비_시설물 리스트(궤도)_rev01_시설물 추가(최종).pdf
• 노면전차 시설 설계 가이드라인
• 철도설계기준(궤도편)</t>
    <phoneticPr fontId="1" type="noConversion"/>
  </si>
  <si>
    <t>기존 차로 점용 궤도 부설 시 공사 단계 분할, 임시 차선 확보 등 종합적인 교통처리계획(MOT)을 시공계획서에 반영함.</t>
    <phoneticPr fontId="1" type="noConversion"/>
  </si>
  <si>
    <t>지자체·경찰서 교통통제 승인 후 가설 휀스·PE방호벽 등을 배치하고, 출퇴근 시간을 피해 레미콘 등 자재 반입을 실시함.</t>
    <phoneticPr fontId="1" type="noConversion"/>
  </si>
  <si>
    <t>• 06.체크리스트/분야별/03_궤도/궤도_설계추진방향_차량, 열차운영 등 인터페이스 적정성_rev.05_260608.pdf
• 04_설계서/1공구/궤도/01. 설계보고서_궤도.pdf
• 도로법 및 도로교통법
• 노면전차 시설 설계 가이드라인
• 건설공사 안전관리 업무수행 지침</t>
    <phoneticPr fontId="1" type="noConversion"/>
  </si>
  <si>
    <t>노출 환경(옥외/옥내)을 세분화해 법정 최소 피복두께를 산정하고, 구조적 내하력을 확보하는 최적 궤도 전체 높이(도상+기초 콘크리트)를 상세도에 반영함.</t>
    <phoneticPr fontId="1" type="noConversion"/>
  </si>
  <si>
    <t>도상 타설 전 환경별 철근 배근 간격 및 스페이서(고임대)를 mm 단위로 측량해, 거푸집·레일 하부 이격거리가 시방 기준(피복두께 20~40mm)을 만족하는지 전수 검측함.</t>
    <phoneticPr fontId="1" type="noConversion"/>
  </si>
  <si>
    <t>• 06.체크리스트/분야별/03_궤도/궤도_설계추진방향보고_과업구간 궤도높이 R.L~F.L설정 검토_rev.00_260521.pdf
• 04_설계서/1공구/궤도/01. 설계보고서_궤도.pdf
• 콘크리트구조 학회기준(KCI)
• 철도설계기준(궤도편)
• 노면전차 시설 설계 가이드라인</t>
    <phoneticPr fontId="1" type="noConversion"/>
  </si>
  <si>
    <t>지하차도 등 형하고 제한 구간 설계 시 트램 건축한계 침범 여부를 검토하고, 한계 부족 시 기존 하부 슬래브에 직접 앵커링하는 직결 궤도 구조 등으로 단면 두께를 최적화해 반영함.</t>
    <phoneticPr fontId="1" type="noConversion"/>
  </si>
  <si>
    <t>직결 궤도 등 시공 전 기존 하부 슬래브 평탄도·두께의 트램 동하중 지지 여부를 정밀 조사하고, 앵커 천공 시 기존 방수층 및 내부 철근 훼손을 철저히 방지함.</t>
    <phoneticPr fontId="1" type="noConversion"/>
  </si>
  <si>
    <t>기존 지하차도(능동지하차도 등) 설계 시 상부 건축/차량한계(높이 제한)를 3D BIM으로 시뮬레이션하고, 제한된 형하공간 내 트램 하중 지지용 도상 두께 및 직결/매립형 궤도 최소 단면을 최적화해 반영함.</t>
    <phoneticPr fontId="1" type="noConversion"/>
  </si>
  <si>
    <t>시공 전 기존 토목 구조물 바닥·천장고를 3D 스캐닝으로 정밀 재측량하고, 타설 시 수직고 오차 방지를 위해 레일 상면(R.L) 레벨을 mm 단위로 엄격히 관리함.</t>
    <phoneticPr fontId="1" type="noConversion"/>
  </si>
  <si>
    <t>• 04_설계서/1공구/궤도/01. 설계보고서_궤도.pdf
• 06.체크리스트/분야별/03_궤도/궤도_설계추진방향_차량, 열차운영 등 인터페이스 적정성_rev.05_260608.pdf
• 도시철도건설규칙 (건축한계)
• 노면전차 시설 설계 가이드라인
• 철도설계기준(궤도편)</t>
    <phoneticPr fontId="1" type="noConversion"/>
  </si>
  <si>
    <t>본선 매립형 궤도 체결·충진재(수지, 패드 등) 설계 시 차량 축중·운행 속도 수치해석으로 수직강성을 최적화하고, 파상마모(Corrugation) 및 과다 처짐 방지용 동적/정적 스프링계수를 시방서에 명시함.</t>
    <phoneticPr fontId="1" type="noConversion"/>
  </si>
  <si>
    <t>도면 규격의 체결 패드·충진재를 정확히 시공하고, 동적 재하시험으로 실제 처짐량의 허용 범위 충족을 확인하며 레일 상면 초기 연마로 요철을 완벽히 제거함.</t>
    <phoneticPr fontId="1" type="noConversion"/>
  </si>
  <si>
    <t>도로 혼용 매립형 궤도 설계 시 노면수·이물질 침투 차단을 위해, 레일 측면과 도상 트러프 틈새를 고탄성 수지(Resin) 등으로 '완전 밀폐(Sealing)'하는 상세 구조를 도면에 반영함.</t>
    <phoneticPr fontId="1" type="noConversion"/>
  </si>
  <si>
    <t>밀폐 충진재(수지 등) 시공 전 에어컴프레서로 수분·먼지를 완벽히 청소·건조하고 기포·공극 없이 밀실 타설하며, 개통 전까지 온도 변화에 따른 마감재 박리 여부를 모니터링함.</t>
    <phoneticPr fontId="1" type="noConversion"/>
  </si>
  <si>
    <t>• 04_설계서/1공구/궤도/01. 설계보고서_궤도.pdf
• 06.체크리스트/분야별/03_궤도/궤도_설계추진방향_차량, 열차운영 등 인터페이스 적정성_rev.05_260608.pdf
• 노면전차 시설 설계 가이드라인
• 철도설계기준(궤도편)
• 도로포장 설계, 시공지침</t>
    <phoneticPr fontId="1" type="noConversion"/>
  </si>
  <si>
    <t>대형 자재 적치용 궤도 전용 야적장(Stock yard)을 도면에 지정하고, 교통 지장 최소화 물류(운반 동선) 계획을 시방서에 명시함.</t>
    <phoneticPr fontId="1" type="noConversion"/>
  </si>
  <si>
    <t>중량 자재는 심야 지정 경로로 반입하고, 야적장 분기기 가조립(Pre-assembly) 후 신속 거치하여 도로 점용을 최소화함.</t>
    <phoneticPr fontId="1" type="noConversion"/>
  </si>
  <si>
    <t>특수 궤도자재(글로브레일 등) 설계 시 독과점 방지를 위해 동등 이상 규격(KS, KRS 등)의 자재 풀(Pool)을 반영하고, 장대레일 등 대형 자재의 야적장 위치 및 심야 운송 경로를 시공계획서에 명시함.</t>
    <phoneticPr fontId="1" type="noConversion"/>
  </si>
  <si>
    <t>자재 조달 리드타임(Lead Time)을 관리해 조기 발주하고, 18m 이상 장대레일 등 특대형 화물 운반 시 경찰서 협의 하에 심야 교통 통제 및 안전 유도차량을 배치해 야적장에 반입함.</t>
    <phoneticPr fontId="1" type="noConversion"/>
  </si>
  <si>
    <t>• 04_설계서/1공구/궤도/01. 설계보고서_궤도.pdf
• 06.체크리스트/분야별/03_궤도/궤도_설계추진방향_차량, 열차운영 등 인터페이스 적정성_rev.05_260608.pdf
• 철도용품 기술기준
• 도로교통법 (특대형 화물 운반)
• 철도건설사업 시설물 인터페이스 관리지침</t>
    <phoneticPr fontId="1" type="noConversion"/>
  </si>
  <si>
    <t>매립형 궤도 특성을 반영해 궤도 틀림 허용기준, 레일 파손 시 야간 응급복구 공법, 특수 유지보수 장비 운용 방안 등을 규정한 '궤도유지관리 지침서(매뉴얼)'를 성과품으로 제출함.</t>
    <phoneticPr fontId="1" type="noConversion"/>
  </si>
  <si>
    <t>준공 전 운영사·유지보수 담당자에게 레일 교체 공법(수지 제거 등) 및 응급복구 장비 시운전을 시연하고, 감리단 주관하에 비상 복구 모의훈련을 실시함.</t>
    <phoneticPr fontId="1" type="noConversion"/>
  </si>
  <si>
    <t>횡단보도 교차 구간 궤도 설계 시 보행자 발·바퀴 빠짐 방지를 위해, 트램 차륜 통과 시에만 눌리는 매립형 홈붙이 레일(Grooved Rail) 특수 고무 충진재(Flangeway Filler) 등 안전대책을 상세도에 반영함.</t>
    <phoneticPr fontId="1" type="noConversion"/>
  </si>
  <si>
    <t>횡단보도 시공 시 발빠짐 방지용 고무 충진재를 레일 홈 높이에 맞춰 평탄하게 부착하고, 시운전 전 보행 모의 테스트로 틈새 차단 여부를 감리 입회하에 점검함.</t>
    <phoneticPr fontId="1" type="noConversion"/>
  </si>
  <si>
    <t>선로 유지보수 및 비상 상황 발생 시 영업 운행의 정상성을 유지하기 위해 본선 주요 개소에 비상 건넘선(Crossover) 및 탈부착식 임시분기기(#4 또는 #6 등)를 기본설계 선형 및 내역에 반영하고 표정속도 저하 리스크를 분석함.</t>
    <phoneticPr fontId="1" type="noConversion"/>
  </si>
  <si>
    <t>임시분기기 및 분기기 부설 시 매립식 궤도 수지 및 블록(QTrack 등) 정밀 조립을 시공하고, 이례 상황 발생 시 임시분기기 및 비상 건넘선을 이용한 양방향 교대 운행(Single Line Working) 및 대체 버스 연계 매뉴얼을 수립함.</t>
    <phoneticPr fontId="1" type="noConversion"/>
  </si>
  <si>
    <t>• 06.체크리스트/분야별/03_궤도/궤도_설계추진방향보고_차량 운행조건을 고려한 분기기 배치 및 분기기 형식 선정의 적정성_rev.00_260601.pdf
• 04_설계서/1공구/궤도/01. 설계보고서_궤도.pdf</t>
    <phoneticPr fontId="1" type="noConversion"/>
  </si>
  <si>
    <t>매립형 궤도에서 비매립형 일반궤도로 변경되는 지점 설계 시, 레일 고정방식(수지 고정형 vs 일반 체결구)과 지지강성 차이를 완만하게 연결하는 상세 접속구조(강성 체감단면 등)를 도면에 반영함.</t>
    <phoneticPr fontId="1" type="noConversion"/>
  </si>
  <si>
    <t>궤도 접속부 시공 시 수지 고정재와 일반 체결구 간 오차가 없도록 정밀 측량 세팅하고, 궤간 및 높이 단차가 허용기준치 이내인지 시운전 전 전수 검측함.</t>
    <phoneticPr fontId="1" type="noConversion"/>
  </si>
  <si>
    <t>• 06.체크리스트/분야별/03_궤도/궤도_설계추진방향보고_차량 운행조건을 고려한 궤도형식 선정의 적정성_rev.00_260601.pdf
• 04_설계서/1공구/궤도/01. 설계보고서_궤도.pdf
• 노면전차시설 설계 가이드라인 제4장(궤도분야 설계지침)</t>
    <phoneticPr fontId="1" type="noConversion"/>
  </si>
  <si>
    <t>H교차점(다이아몬드 크로싱) 구간 설계 시, 표준궤간(1,435mm)을 1,430mm로 축소(Narrowed) 적용하도록 궤간 변환 구간(Gauge Transition)을 도면에 반영함.</t>
    <phoneticPr fontId="1" type="noConversion"/>
  </si>
  <si>
    <t>H교차점 부설 시 궤간 축소 변환 구간을 정밀 세팅하고, 타설 중 변형 방지용 강재 지그(Jig) 고정 후 1,430(+2, 0)mm 이내 마감 오차를 전수 검측함.</t>
    <phoneticPr fontId="1" type="noConversion"/>
  </si>
  <si>
    <t>• 04_설계서/1공구/궤도/01. 설계보고서_궤도.pdf
• 06.체크리스트/분야별/03_궤도/궤도_설계추진방향_차량, 열차운영 등 인터페이스 적정성_rev.05_260608.pdf
• 선로의 유지관리지침
• 노면전차 시설 설계 가이드라인
• 철도설계기준(궤도편)</t>
    <phoneticPr fontId="1" type="noConversion"/>
  </si>
  <si>
    <t>매립형 궤도(Grooved Rail)에서 비매립형 일반궤도(T-Rail) 전환 경계부 설계 시, 단면 변화를 잇는 이형 레일(Transition Rail) 및 강성 체감용 특수 체결장치를 상세도에 반영함.</t>
    <phoneticPr fontId="1" type="noConversion"/>
  </si>
  <si>
    <t>변환 구간 시공 시 이형 레일 용접부 비파괴검사(UT, MT)를 이행하고, 비매립 구간 이물질 유입 방지용 차단벽 또는 포집 트렌치를 시공함.</t>
    <phoneticPr fontId="1" type="noConversion"/>
  </si>
  <si>
    <t>• 04_설계서/1공구/궤도/01. 설계보고서_궤도.pdf
• 06.체크리스트/분야별/03_궤도/궤도_설계추진방향_차량, 열차운영 등 인터페이스 적정성_rev.05_260608.pdf
• 철도설계기준(궤도편)
• 노면전차 시설 설계 가이드라인
• 레일 용접 지침</t>
    <phoneticPr fontId="1" type="noConversion"/>
  </si>
  <si>
    <t>도심 구간 궤도 설계 시 소음/진동 피해영향조사를 실시하고, 궤도 하부·측면에 고효율 방진매트(Floating Slab 등)나 고탄성 방진체결장치를 적용하는 진동 저감 대책을 횡단면도에 반영함.</t>
    <phoneticPr fontId="1" type="noConversion"/>
  </si>
  <si>
    <t>방진매트·플로팅 슬래브 시공 시, 몰탈이 방진재 틈새로 유입되어 구조물과 접촉되는 음교(Acoustic Bridge) 현상 방지를 위해 이음부 테이핑 등 철저히 보양함.</t>
    <phoneticPr fontId="1" type="noConversion"/>
  </si>
  <si>
    <t>도심 통과 트램의 대차 진동·레일 마찰 소음 저감을 위해, 레일 방진재(고무재킷, 언더슬리퍼패드 등) 및 고탄성 방진 궤도 시스템을 환경영향평가와 연계해 도면에 명시함.</t>
    <phoneticPr fontId="1" type="noConversion"/>
  </si>
  <si>
    <t>방진재(고무재킷, 패드 등) 부설 시 레일 밀착도를 확보하고, 이음부 틈새로 콘크리트 페이스트가 유입되지 않도록 테이핑 보양 등 밀실 시공함.</t>
    <phoneticPr fontId="1" type="noConversion"/>
  </si>
  <si>
    <t>• 04_설계서/1공구/궤도/01. 설계보고서_궤도.pdf
• 06.체크리스트/분야별/03_궤도/궤도_설계추진방향_차량, 열차운영 등 인터페이스 적정성_rev.05_260608.pdf
• 소음·진동관리법
• 철도설계기준(궤도편)
• 노면전차 시설 설계 가이드라인</t>
    <phoneticPr fontId="1" type="noConversion"/>
  </si>
  <si>
    <t>매립형 궤도 전용 부설 및 유지관리 장비(레일 연마차 등) 규격·수량을 내역에 반영하고, 공사 후 유지보수 전환 및 운영사 인계 방안을 시방서에 명시함.</t>
    <phoneticPr fontId="1" type="noConversion"/>
  </si>
  <si>
    <t>사전 승인된 장비만 투입해 품질을 확보하고, 준공 시 유지보수 전환 장비의 성능 테스트 및 운영사 작동 교육 후 공식 인계함.</t>
    <phoneticPr fontId="1" type="noConversion"/>
  </si>
  <si>
    <t>특수 시공 장비(장대레일 운반/양거, 수지 충진 등)의 사전 승인 절차를 시공계획서에 명시하고, 공사 후 반출 및 운영사 인계 등 처리 대책을 설계도서에 수립함.</t>
    <phoneticPr fontId="1" type="noConversion"/>
  </si>
  <si>
    <t>사전 승인된 장비만 성능 테스트 후 투입하며, 도로 혼용 구간 장비 가동 시 선회 반경 내 전담 유도원을 상시 배치해 운영함.</t>
    <phoneticPr fontId="1" type="noConversion"/>
  </si>
  <si>
    <t>• 04_설계서/1공구/궤도/01. 설계보고서_궤도.pdf
• 06.체크리스트/분야별/03_궤도/궤도_설계추진방향_차량, 열차운영 등 인터페이스 적정성_rev.05_260608.pdf
• 건설기계관리법
• 철도건설규칙
• 노면전차 시설 설계 가이드라인</t>
    <phoneticPr fontId="1" type="noConversion"/>
  </si>
  <si>
    <t>특수 트램 궤도 시스템(매립형 수지고정 궤도 등) 반영 시, 동적 하중 지지 입증용 정적/동적 구조해석 보고서 및 실물 조립시험평가(Mock-up Test) 기준을 시방서에 명시함.</t>
    <phoneticPr fontId="1" type="noConversion"/>
  </si>
  <si>
    <t>자재 반입 전 공인기관의 1:1 실물 조립시험(체결력, 전기절연성 등)으로 성능 평가서를 제출받고, 발주처 승인 후 시공에 착수함.</t>
    <phoneticPr fontId="1" type="noConversion"/>
  </si>
  <si>
    <t>• 04_설계서/1공구/궤도/01. 설계보고서_궤도.pdf
• 06.체크리스트/분야별/03_궤도/궤도_설계추진방향_차량, 열차운영 등 인터페이스 적정성_rev.05_260608.pdf
• 철도용품 기술기준
• 철도설계기준(궤도편)
• 노면전차 시설 설계 가이드라인</t>
    <phoneticPr fontId="1" type="noConversion"/>
  </si>
  <si>
    <t>매설된 기존 지장물과 매립형 궤도 간 간섭 차단을 위해 전 구간 3D BIM 모델을 구축하고 시뮬레이션하여 종·평면 선형 및 심도를 최적화함.</t>
    <phoneticPr fontId="1" type="noConversion"/>
  </si>
  <si>
    <t>궤도 터파기 전 3D BIM 좌표와 실제 GPR·측량 데이터를 교차 검증하고, 오차 발생 구간은 3D 모델 업데이트 및 선형 조정을 협의함.</t>
    <phoneticPr fontId="1" type="noConversion"/>
  </si>
  <si>
    <t>• 04_설계서/1공구/궤도/01. 설계보고서_궤도.pdf
• 06.체크리스트/분야별/03_궤도/궤도_설계추진방향_차량, 열차운영 등 인터페이스 적정성_rev.05_260608.pdf
• 건설기술진흥법 (BIM 적용 기준)
• 노면전차 시설 설계 가이드라인
• 지하안전관리에 관한 특별법</t>
    <phoneticPr fontId="1" type="noConversion"/>
  </si>
  <si>
    <t>매립형 궤도의 선형 교정 불가 특성을 고려해 엄격한 마감 허용오차(수평, 면/줄틀림 등 ±2~3mm 이내)를 명시하고, 타설 전 3D 정밀 측량 검측을 반영함.</t>
    <phoneticPr fontId="1" type="noConversion"/>
  </si>
  <si>
    <t>타설 전 궤광(Track Skeleton)을 지그(Jig) 등으로 고정해 광파기로 오차 이내인지 전수 검측하고, 타설 측압에 의한 레일 밀림·부력 융기 방지를 위해 선형을 수시 보정함.</t>
    <phoneticPr fontId="1" type="noConversion"/>
  </si>
  <si>
    <t>• 04_설계서/1공구/궤도/01. 설계보고서_궤도.pdf
• 06.체크리스트/분야별/03_궤도/궤도_설계추진방향_차량, 열차운영 등 인터페이스 적정성_rev.05_260608.pdf
• 선로의 유지관리지침
• 철도건설공사 전문시방서(궤도편)
• 노면전차 시설 설계 가이드라인</t>
    <phoneticPr fontId="1" type="noConversion"/>
  </si>
  <si>
    <t>도로 혼용 곡선부 설계 시 단차 방지를 위해 미캔트(Zero Cant) 궤도로 계획하고, 동역학 시뮬레이션으로 원심력 영향을 검증해 통과 제한속도를 명시함.</t>
    <phoneticPr fontId="1" type="noConversion"/>
  </si>
  <si>
    <t>미캔트 구간 부설 시 내·외선 레일 수평 레벨을 동일하게 세팅하고, 시운전 시 단계별 증속 시험으로 횡압 및 탈선계수를 실측해 안전성을 확인함.</t>
    <phoneticPr fontId="1" type="noConversion"/>
  </si>
  <si>
    <t>• 04_설계서/1공구/궤도/01. 설계보고서_궤도.pdf
• 06.체크리스트/분야별/03_궤도/궤도_설계추진방향_차량, 열차운영 등 인터페이스 적정성_rev.05_260608.pdf
• 노면전차 건설 및 운전 등에 관한 규칙
• 노면전차 시설 설계 가이드라인
• 철도설계기준(궤도편)</t>
    <phoneticPr fontId="1" type="noConversion"/>
  </si>
  <si>
    <t>홈붙이레일(Grooved Rail)의 홈 내 적설 및 결빙으로 인한 휠 플랜지 부상 탈선 리스크를 검토하고, 매립형 궤도 노면에 배수 구멍(Drain Box)과 배수 배관망을 매 50m 간격으로 설계에 반영함.</t>
    <phoneticPr fontId="1" type="noConversion"/>
  </si>
  <si>
    <t>폭설 시 궤도 배수 박스의 오물 누적을 사전 청소하고, 차량기지 및 본선용 특수 제설 장비(제설 브러시 키트 장착 차량 등) 및 친환경 융설제 살포기를 투입하여 레일 홈 내 결빙을 신속히 제거함.</t>
    <phoneticPr fontId="1" type="noConversion"/>
  </si>
  <si>
    <t>• 06.체크리스트/분야별/03_궤도/궤도_설계추진방향보고_안전시설 및 시설물 유지관리·보수를 위한 시설설치의 적정성_rev.02_260526.pdf
• 06.체크리스트/분야별/03_궤도/#첨부파일_사업단계별 운영유지관리 장비_시설물 리스트(궤도)_rev01_시설물 추가(최종).pdf</t>
    <phoneticPr fontId="1" type="noConversion"/>
  </si>
  <si>
    <t>네트워크 보강 완료후 결합 확인(무선, 외부송수신, 공용가입망), 판별이 완료된 개소 타당성 검증(신규 융합 고유번호 표시 여부 확인), 궤도와 레일 전송 점검감시 장치(궤도, 보강) 연동, 품질 획득 및 점검 기능 통제.</t>
    <phoneticPr fontId="1" type="noConversion"/>
  </si>
  <si>
    <t>해당없음</t>
    <phoneticPr fontId="1" type="noConversion"/>
  </si>
  <si>
    <t>• 04_설계서/1공구/궤도/01. 설계보고서_궤도.pdf
• 06.체크리스트/분야별/03_궤도/궤도_설계추진방향_차량, 열차운영 등 인터페이스 적정성_rev.05_260608.pdf
• 도시철도건설규칙(국토교통부령)
• 철도 신호·통신 설계기준(KDS 47 70)
• 무선통신설비 기술기준(과학기술정보통신부 고시)</t>
    <phoneticPr fontId="1" type="noConversion"/>
  </si>
  <si>
    <t>정거장 플랫폼과 분기기 전후 구간에 종곡선(V.C)이 중첩되지 않게 선형을 분리하고, 정거장 선로 기울기를 40‰ 이하로 종단면도에 조정함.</t>
    <phoneticPr fontId="1" type="noConversion"/>
  </si>
  <si>
    <t>타설 전 정거장 및 분기기 구간 종단 레벨을 1mm 단위로 측량해 구배를 확보하고, 노반 부등침하 방지를 위해 기초 평탄성을 엄격히 관리함.</t>
    <phoneticPr fontId="1" type="noConversion"/>
  </si>
  <si>
    <t>• 06.체크리스트/분야별/03_궤도/궤도_설계추진방향보고_차량 운행조건을 고려한 분기기 배치 및 분기기 형식 선정의 적정성_rev.00_260601.pdf
• 04_설계서/1공구/궤도/01. 설계보고서_궤도.pdf
• 노면전차시설 설계 가이드라인 제4장(궤도분야) 및 제5장(선형 및 배선계획)</t>
    <phoneticPr fontId="1" type="noConversion"/>
  </si>
  <si>
    <t>신호케이블 및 기구를 중심선 비교 검토 수행, 부속처의 위치가 맞출 수 있도록 선형 및 연결, 정거장 진입, 이탈시 내 분리기 굴착 구간에 대한 궤도, 구조물 간격 검토, 이탈시 우측방 차단, 루프구간과 연계 위치 인터페이스 검토.</t>
    <phoneticPr fontId="1" type="noConversion"/>
  </si>
  <si>
    <t>• 04_설계서/1공구/궤도/01. 설계보고서_궤도.pdf
• 06.체크리스트/분야별/03_궤도/궤도_설계추진방향_차량, 열차운영 등 인터페이스 적정성_rev.05_260608.pdf
• 철도의 건설기준에 관한 규정 제9조(선형기준)
• KDS 47 10 00 도시철도 설계기준(선형 및 종단계획)
• 노면전차 시설 설계지침(안), 국토교통부</t>
    <phoneticPr fontId="1" type="noConversion"/>
  </si>
  <si>
    <t>급곡선 탈선 방지용 체크레일 궤간(1,390mm) 및 플랜지웨이 간격(30mm)의 마감 허용오차(+30, -20)를 시방서에 규정함.</t>
    <phoneticPr fontId="1" type="noConversion"/>
  </si>
  <si>
    <t>타설 전 강재 지그(Jig)로 체크레일 궤간과 플랜지웨이 폭을 정밀 고정하고, 타설 중 측압에 의한 간격 변형을 광파기 및 궤간측정기로 수시 검측함.</t>
    <phoneticPr fontId="1" type="noConversion"/>
  </si>
  <si>
    <t>• 04_설계서/1공구/궤도/01. 설계보고서_궤도.pdf
• 06.체크리스트/분야별/03_궤도/궤도_설계추진방향_차량, 열차운영 등 인터페이스 적정성_rev.05_260608.pdf
• 선로의 유지관리지침
• 노면전차 시설 설계 가이드라인
• 철도건설공사 전문시방서(궤도편)</t>
    <phoneticPr fontId="1" type="noConversion"/>
  </si>
  <si>
    <t>급곡선 구간 및 본선 설계 시 마모·소음 저감을 위해 열처리레일(GHT)을 검토하고, 장대레일화 용접(테르밋트 용접 등) 상세 방안을 시방서에 명시함.</t>
    <phoneticPr fontId="1" type="noConversion"/>
  </si>
  <si>
    <t>테르밋트 용접 시 비파괴 검사(UT, MT 등) 및 정밀 연마로 단차를 없애고, 열영향부(HAZ)의 경도 저하가 기준치 이내로 관리되도록 품질을 통제함.</t>
    <phoneticPr fontId="1" type="noConversion"/>
  </si>
  <si>
    <t>곡선부 트러프(Trough) 내공 단면이 궤간 확폭량(Slack)과 무관하게 직선부와 동일하게 유지되도록 상세도를 작성하여, 레일 교체 및 수지 충진 공간을 확보함.</t>
    <phoneticPr fontId="1" type="noConversion"/>
  </si>
  <si>
    <t>3D 벤딩된 레일을 반입해 트러프 중심에 위치시키고, 콘크리트 타설 측압으로 인한 거푸집 밀림 및 내공 단면 축소를 막기 위해 동바리를 견고히 지지함.</t>
    <phoneticPr fontId="1" type="noConversion"/>
  </si>
  <si>
    <t>곡선부 트러프(Trough) 내공 단면이 직선부와 균일하게 유지되도록 상세도를 작성하고, 철근 최소 피복두께 확보를 위해 도상 콘크리트 폭을 단면 최적화함.</t>
    <phoneticPr fontId="1" type="noConversion"/>
  </si>
  <si>
    <t>곡선부 거푸집 곡률 반경·폭을 mm 단위로 측량 세팅하고, 철근 스페이서(고임대)를 촘촘히 배치해 타설 측압에 의한 피복두께 감소를 철저히 관리함.</t>
    <phoneticPr fontId="1" type="noConversion"/>
  </si>
  <si>
    <t>• 04_설계서/1공구/궤도/01. 설계보고서_궤도.pdf
• 06.체크리스트/분야별/03_궤도/궤도_설계추진방향_차량, 열차운영 등 인터페이스 적정성_rev.05_260608.pdf
• 철도설계기준(궤도편)
• 콘크리트구조 학회기준(피복두께)
• 노면전차 시설 설계 가이드라인</t>
    <phoneticPr fontId="1" type="noConversion"/>
  </si>
  <si>
    <t>KDS 47 10 10(철도 내진설계기준) 및 도시철도건설규칙에 근거하여 교량 및 노반 궤도 슬래브의 지진하중 안정성 평가를 수행하고, 주요 교량 신축 단부에 궤도 변위 방지용 전단키 및 변위 구속 장치를 설계에 반영함.</t>
    <phoneticPr fontId="1" type="noConversion"/>
  </si>
  <si>
    <t>지상 궤도변에 지진 감지 센서 및 종합관제센터(OCC) 자동 비상 제동 연동 시스템을 구축하고, 지진 경보 발생 시 즉각 운행을 중지하고 현장 궤도 변형 상태를 긴급 점검차로 전수 육안 계측한 후 서행 운행을 이행함.</t>
    <phoneticPr fontId="1" type="noConversion"/>
  </si>
  <si>
    <t>• 04_설계서/1공구/궤도/01. 설계보고서_궤도.pdf (궤도 구조계산 및 지형 조건 검토)
• KDS 47 10 10 철도 설계기준 일반사항 및 내진설계 규정</t>
    <phoneticPr fontId="1" type="noConversion"/>
  </si>
  <si>
    <t>동탄 트램 차량은 양방향 운전실을 갖춘 형식이므로 노선 종단부 루프선이나 전차대는 불필요하지만, 편마모 누적을 방지하기 위해 차량기지 내 전삭고에 '수하식 차륜 전삭기(Underfloor Wheel Lathe)'를 배치하여 주기적인 차륜 전삭(Turning) 관리를 검수설비 설계에 반영함.</t>
    <phoneticPr fontId="1" type="noConversion"/>
  </si>
  <si>
    <t>차량 운행 단계에서 각 편성별 누적 주행 거리 및 차륜 마모 상태(Wheel Profile)를 실시간 검지하여 차륜 전삭 일정을 조정하고, 차량기지 내에서 차량을 평면 분기하여 전삭선으로 정밀 입환 후 전삭을 실행하여 편마모를 해소함.</t>
    <phoneticPr fontId="1" type="noConversion"/>
  </si>
  <si>
    <t>• 04_설계서/1공구/검수/01. 설계보고서(검수).pdf (차륜 관리 및 전삭장비 계획)
• 06.체크리스트/분야별/03_궤도/궤도_설계추진방향_차량, 열차운영 등 인터페이스 적정성_rev.05_260608.pdf</t>
    <phoneticPr fontId="1" type="noConversion"/>
  </si>
  <si>
    <t>매립형 콘크리트 궤도 설계 시 하부 강화노반 변형계수(Ev2 등) 목표치(예: 80MPa 이상)를 규정하고, 검증용 평판재하시험 위치·수량을 내역서에 반영함.</t>
    <phoneticPr fontId="1" type="noConversion"/>
  </si>
  <si>
    <t>타설 직전 토목 합동으로 강화노반 전 구간 평판재하시험(PBT 등)을 실시해 변형계수(Ev2)를 검측하고, 미달 시 즉각 재다짐 및 치환/보강 그라우팅을 이행함.</t>
    <phoneticPr fontId="1" type="noConversion"/>
  </si>
  <si>
    <t>• 06.체크리스트/분야별/03_궤도/궤도_설계추진방향_차량, 열차운영 등 인터페이스 적정성_rev.05_260608.pdf
• 04_설계서/1공구/궤도/01. 설계보고서_궤도.pdf
• 철도설계지침 및 편람(KR CODE)
• 철도설계기준(노반편)
• 노면전차 시설 설계 가이드라인</t>
    <phoneticPr fontId="1" type="noConversion"/>
  </si>
  <si>
    <t>평판재하시험(PBT 등) 계획 시 GPR 탐사로 지중 매설물(가스, 통신 등) 위치를 중첩 표기하고, 간섭 없는 안전한 시험 위치 및 터파기 절차를 시방서에 지정함.</t>
    <phoneticPr fontId="1" type="noConversion"/>
  </si>
  <si>
    <t>평판재하시험 전 관계기관 입회하에 인력 터파기로 매설물을 육안 확인하고, 추가 응력을 주지 않는 이격거리에서 하중 재하 시험을 실시함.</t>
    <phoneticPr fontId="1" type="noConversion"/>
  </si>
  <si>
    <t>• 04_설계서/1공구/궤도/01. 설계보고서_궤도.pdf
• 06.체크리스트/분야별/03_궤도/궤도_설계추진방향_차량, 열차운영 등 인터페이스 적정성_rev.05_260608.pdf
• 지하안전관리에 관한 특별법
• 지하매설물 안전관리 요령
• 철도설계지침 및 편람(KR CODE)</t>
    <phoneticPr fontId="1" type="noConversion"/>
  </si>
  <si>
    <t>횡단보도·교차로 궤도 설계 시 발빠짐 방지를 위한 고무 틈새 채움재(Rubber Filler) 등 물리적 방지 장치의 규격과 설치 위치를 도면에 반영함.</t>
    <phoneticPr fontId="1" type="noConversion"/>
  </si>
  <si>
    <t>방지 장치 시공 시 마모·온도 변화에 이탈하지 않게 견고히 접착하고, 인접 도로 포장-방지장치-레일 상면 간 단차가 없도록 mm 단위의 평탄도 관리를 이행함.</t>
    <phoneticPr fontId="1" type="noConversion"/>
  </si>
  <si>
    <t>• 04_설계서/1공구/궤도/01. 설계보고서_궤도.pdf
• 06.체크리스트/분야별/03_궤도/궤도_설계추진방향_차량, 열차운영 등 인터페이스 적정성_rev.05_260608.pdf
• 노면전차 시설 설계 가이드라인
• 교통약자의 이동편의 증진법
• 철도설계기준(궤도편)</t>
    <phoneticPr fontId="1" type="noConversion"/>
  </si>
  <si>
    <t>궤도·도로 포장재 간 거동 차이에 따른 균열 방지용 고탄성 실란트 충진 상세도를 작성하고, 준공 후 궤도·지장물 좌표의 지자체 GIS 갱신 과업을 내역에 반영함.</t>
    <phoneticPr fontId="1" type="noConversion"/>
  </si>
  <si>
    <t>도로 접합부에 프라이머·씰재를 밀실 시공해 우수를 차단하고, 시공된 궤도·지하시설물의 3D 절대좌표(X,Y,Z)를 정밀 측량해 지자체 GIS DB에 이관함.</t>
    <phoneticPr fontId="1" type="noConversion"/>
  </si>
  <si>
    <t>• 04_설계서/1공구/궤도/01. 설계보고서_궤도.pdf
• 06.체크리스트/분야별/03_궤도/궤도_설계추진방향_차량, 열차운영 등 인터페이스 적정성_rev.05_260608.pdf
• 공간정보의 구축 및 관리 등에 관한 법률
• 도로포장 설계, 시공지침
• 지하안전관리에 관한 특별법</t>
    <phoneticPr fontId="1" type="noConversion"/>
  </si>
  <si>
    <t>도상 콘크리트(TCL) 타설 시 중력에 의한 흘러내림 방지를 위해 '하향에서 상향(상기울기 방향)' 타설 순서도를 반영하고, 펌프카 동선 및 최적 배합(적정 슬럼프) 규격을 시방서에 규정함.</t>
    <phoneticPr fontId="1" type="noConversion"/>
  </si>
  <si>
    <t>펌프카 타설 방향을 '상기울기 방향'으로 통제하고, 반입 레미콘 슬럼프 시험을 전수 실시하여 불량 배합 회송 조치로 도상 내부 공극(Honeycomb) 및 재료분리를 원천 차단함.</t>
    <phoneticPr fontId="1" type="noConversion"/>
  </si>
  <si>
    <t>• 06.체크리스트/분야별/03_궤도/궤도_설계추진방향보고_과업구간 궤도높이 R.L~F.L설정 검토_rev.00_260521.pdf
• 04_설계서/1공구/궤도/01. 설계보고서_궤도.pdf
• 노면전차시설 설계 가이드라인 제4장(궤도분야 설계지침)</t>
    <phoneticPr fontId="1" type="noConversion"/>
  </si>
  <si>
    <t>도상콘크리트 설계 시 하부 구조물 및 인접 도로의 신축이음(Joint) 위치를 3D BIM으로 확인하고, 궤도 시공이음과 일치시키거나 응력 집중을 피하도록 타설 분할 계획을 도면에 반영함.</t>
    <phoneticPr fontId="1" type="noConversion"/>
  </si>
  <si>
    <t>타설 전 현장 신축이음부 실제 위치를 측량해 시공이음용 거푸집을 세팅하고, 조인트 부위 다웰바(Dowel Bar) 및 누수 방지용 실란트를 시공함.</t>
    <phoneticPr fontId="1" type="noConversion"/>
  </si>
  <si>
    <t>• 04_설계서/1공구/궤도/01. 설계보고서_궤도.pdf
• 06.체크리스트/분야별/03_궤도/궤도_설계추진방향_차량, 열차운영 등 인터페이스 적정성_rev.05_260608.pdf
• 철도설계기준(노반, 궤도편)
• 콘크리트표준시방서
• 노면전차 시설 설계 가이드라인</t>
    <phoneticPr fontId="1" type="noConversion"/>
  </si>
  <si>
    <t>콘크리트 도상(TCL) 설계 시 간섭 방지용 충분한 폭원을 반영하고, 노출부 철근망 부식 방지를 위해 최소 피복두께(40mm~50mm 이상)를 만족하는 상세 단면도를 작성함.</t>
    <phoneticPr fontId="1" type="noConversion"/>
  </si>
  <si>
    <t>철근 배근 시 간격재(Spacer)를 촘촘히 배치해 타설 중 철근망 밀림·들뜸을 방지하고, 마감 시 철근이 비치지 않도록 피복두께를 전수 검측함.</t>
    <phoneticPr fontId="1" type="noConversion"/>
  </si>
  <si>
    <t>• 04_설계서/1공구/궤도/01. 설계보고서_궤도.pdf
• 06.체크리스트/분야별/03_궤도/궤도_설계추진방향_차량, 열차운영 등 인터페이스 적정성_rev.05_260608.pdf
• 노면전차시설 설계 가이드라인 제4장(궤도분야 설계지침) 및 콘크리트구조기준</t>
    <phoneticPr fontId="1" type="noConversion"/>
  </si>
  <si>
    <t>승차감 확보를 위해 시방서 및 품질관리계획서에 콘크리트 도상 마감높이(±3mm), 궤간(+3/-1mm), 줄/면틀림 등 엄격한 레일 마감 허용오차 기준을 명시함.</t>
    <phoneticPr fontId="1" type="noConversion"/>
  </si>
  <si>
    <t>타설·양생 후 3D 광파기 등으로 표면 높이·궤간을 전수 검측하고, 허용 오차 초과 시 노면 포장 전 즉시 레일 연마 또는 부분 재시공을 실시함.</t>
    <phoneticPr fontId="1" type="noConversion"/>
  </si>
  <si>
    <t>• 04_설계서/1공구/궤도/01. 설계보고서_궤도.pdf
• 06.체크리스트/분야별/03_궤도/궤도_설계추진방향_차량, 열차운영 등 인터페이스 적정성_rev.05_260608.pdf
• 노면전차시설 설계 가이드라인 제4장(궤도분야) 및 공사 마감기준</t>
    <phoneticPr fontId="1" type="noConversion"/>
  </si>
  <si>
    <t>매립형 궤도(Grooved Rail) 홈 내 이물질 퇴적 탈선 방지를 위해 취약도를 평가하고, 청소차량 진출입 동선 및 계절별 청소 빈도 기준을 유지관리지침서에 반영함.</t>
    <phoneticPr fontId="1" type="noConversion"/>
  </si>
  <si>
    <t>개통 전 청소 장비로 레일 홈 내부 이물질을 완벽히 제거하고, 매뉴얼에 따른 청소차량 모의 주행 및 이물질 흡입 성능 테스트를 감리단 입회하에 시연·검증함.</t>
    <phoneticPr fontId="1" type="noConversion"/>
  </si>
  <si>
    <t>매립형 궤도 제품군 변경, 체결방식 변경 또는 신축 이음매 설치.</t>
    <phoneticPr fontId="1" type="noConversion"/>
  </si>
  <si>
    <t>• 06.체크리스트/분야별/03_궤도/궤도_설계추진방향_차량, 열차운영 등 인터페이스 적정성_rev.05_260608.pdf
• 04_설계서/1공구/궤도/01. 설계보고서_궤도.pdf
• 노면전차 시설 설계지침(안), 국토교통부
• KDS 47 10 00 도시철도 설계기준(매립형 궤도)
• 소방시설 설치 및 관리에 관한 법률</t>
    <phoneticPr fontId="1" type="noConversion"/>
  </si>
  <si>
    <t>본선 매립형 궤도의 노면수 유입 차단을 위해 레일·콘크리트 간 완전밀폐 수지 충진 단면을 계획하고, 선로 중앙배수구(Catch basin)와 하부 배수관망을 연결하는 배수 체계도 작성.</t>
    <phoneticPr fontId="1" type="noConversion"/>
  </si>
  <si>
    <t>레일 수지 충진 전 습기·분진을 제거하고 프라이머 도포로 미세 틈새를 차단하며, 배수관로 시공 후 슬러지 막힘 확인용 100% 통수(담수) 시험 실시.</t>
    <phoneticPr fontId="1" type="noConversion"/>
  </si>
  <si>
    <t>노면 혼용 궤도 및 분기기 구간에 폭설·폭우 시 빗물과 토사가 체수되지 않도록 레일 홈 하부에 정밀 드레인 박스 및 역류 방지 배수관 연동 설계를 도면에 반영함.</t>
    <phoneticPr fontId="1" type="noConversion"/>
  </si>
  <si>
    <t>시공 시 드레인 박스 오접속 및 경사 불량을 방지하고, 정기적으로 궤도 청소차량(고압 흡입식)을 운행하여 홈 내 이물질을 흡입 제거함으로써 강우·강설 시 배수폐색을 차단함.</t>
    <phoneticPr fontId="1" type="noConversion"/>
  </si>
  <si>
    <t>매립형 분기기 포인트부(선로전환기) 하부에 적정 규격의 어스박스(Earth Box)를 배치하고, 도로 측구·본선 횡단배수관으로 자연 배수되도록 분야 간 연계 분기기 상세 배수도를 반영함.</t>
    <phoneticPr fontId="1" type="noConversion"/>
  </si>
  <si>
    <t>어스박스를 레벨(R.L)에 맞춰 정밀 세팅하고 배수관 역구배를 방지하며, 노면 포장 전 담수 시험(Water Test)으로 물고임 없는 완벽한 통수를 점검함.</t>
    <phoneticPr fontId="1" type="noConversion"/>
  </si>
  <si>
    <t>• 06.체크리스트/분야별/03_궤도/궤도_설계추진방향보고_차량 운행조건을 고려한 분기기 배치 및 분기기 형식 선정의 적정성_rev.00_260601.pdf
• 04_설계서/1공구/궤도/01. 설계보고서_궤도.pdf
• 노면전차시설 설계 가이드라인 제4장(궤도분야) 및 토목(배수) 설계지침</t>
    <phoneticPr fontId="1" type="noConversion"/>
  </si>
  <si>
    <t>급곡선부 및 분기기 설계 시 타고 오름 방지용 가드레일 일체형 홈붙이 레일(Grooved Rail, 54G2 등)을 평면도에 반영함.</t>
    <phoneticPr fontId="1" type="noConversion"/>
  </si>
  <si>
    <t>홈붙이 레일 부설 시 곡선 반경을 1mm 단위로 세팅하고, 홈(Flangeway) 내부 용접 슬래그를 완벽히 연마·세정함.</t>
    <phoneticPr fontId="1" type="noConversion"/>
  </si>
  <si>
    <t>본선·분기기 설계 시 레일고정시스템(체결장치, 탄성패드 등)의 강성값이 급변하지 않도록 조율하고, 접속부에 단계적 강성 체감구조를 도면에 반영함.</t>
    <phoneticPr fontId="1" type="noConversion"/>
  </si>
  <si>
    <t>접속부 시공 시 위치별 탄성패드·충진 수지의 스프링계수(강성)를 구분해 부설하고, 궤도 처짐량 측정으로 설계 오차 내 강성 체감을 전수 확인함.</t>
    <phoneticPr fontId="1" type="noConversion"/>
  </si>
  <si>
    <t>• 06.체크리스트/분야별/03_궤도/궤도_설계추진방향보고_차량 운행조건을 고려한 분기기 배치 및 분기기 형식 선정의 적정성_rev.00_260601.pdf
• 04_설계서/1공구/궤도/01. 설계보고서_궤도.pdf
• 노면전차시설 설계 가이드라인 제4장(궤도분야 설계지침)</t>
    <phoneticPr fontId="1" type="noConversion"/>
  </si>
  <si>
    <t>본선(수지고정재)과 분기기(철침목) 간 레일고정시스템 차이에 따른 정적·동적 궤도강성 변화를 구조해석하고, 접속부에 방진패드 두께 조절 등 강성 체감(Transition) 구조를 상세도에 반영함.</t>
    <phoneticPr fontId="1" type="noConversion"/>
  </si>
  <si>
    <t>접속부 부설 시 강성 조절용 탄성재(고무패드, 언더슬리퍼패드 등)를 도면 규격에 맞게 삽입하고, 철도종합시험운행 시 동적 윤중/횡압 장비로 통과 충격 하중이 허용치 이내인지 검증함.</t>
    <phoneticPr fontId="1" type="noConversion"/>
  </si>
  <si>
    <t>• 06.체크리스트/분야별/03_궤도/궤도_설계추진방향보고_차량 운행조건을 고려한 분기기 배치 및 분기기 형식 선정의 적정성_rev.00_260601.pdf
• 04_설계서/1공구/궤도/01. 설계보고서_궤도.pdf
• 노면전차 시설 설계 가이드라인
• 철도설계기준(궤도편)
• 선로의 유지관리지침</t>
    <phoneticPr fontId="1" type="noConversion"/>
  </si>
  <si>
    <t>혼용구간 매립형 분기기 부속품(선로전환기, 히팅장치, 어스박스 등) 매몰 방지용 강재거푸집(Box-out) 상세도를 작성하고, 야적장 1:1 가조립(Pre-assembly) 후 분할 반입 시공 프로세스를 도면에 명시함.</t>
    <phoneticPr fontId="1" type="noConversion"/>
  </si>
  <si>
    <t>가조립 시 궤간·백게이지(Back Gauge)를 mm 단위로 정밀 세팅하고, 타설 시 진동다짐에 의한 선형 틀어짐 및 강재거푸집 내 시멘트 유입 방지용 밀실 보양을 실시함.</t>
    <phoneticPr fontId="1" type="noConversion"/>
  </si>
  <si>
    <t>• 04_설계서/1공구/궤도/01. 설계보고서_궤도.pdf
• 06.체크리스트/분야별/03_궤도/궤도_설계추진방향_차량, 열차운영 등 인터페이스 적정성_rev.05_260608.pdf
• 철도설계기준(궤도편)
• 노면전차 시설 설계 가이드라인
• 콘크리트표준시방서</t>
    <phoneticPr fontId="1" type="noConversion"/>
  </si>
  <si>
    <t>횡방향 배수 불가 글로브레일 특성 반영, 선로 중앙·분기기 하부에 100년 빈도 강우 처리용 종배수관·집수구를 토목 배수도면과 연계 설계함.</t>
    <phoneticPr fontId="1" type="noConversion"/>
  </si>
  <si>
    <t>배수관 설치 시 mm 단위 측량으로 역구배를 방지해 자연 유하를 유도하고, 누수·토사 유입 방지용 접합부 수밀 시공을 철저히 이행함.</t>
    <phoneticPr fontId="1" type="noConversion"/>
  </si>
  <si>
    <t>• 06.체크리스트/분야별/03_궤도/궤도_설계추진방향보고_차량 운행조건을 고려한 분기기 배치 및 분기기 형식 선정의 적정성_rev.00_260601.pdf
• 04_설계서/1공구/궤도/01. 설계보고서_궤도.pdf
• 노면전차 시설 설계 가이드라인
• 하수도법 및 하수도시설기준
• 지하공간 침수방지를 위한 수방기준</t>
    <phoneticPr fontId="1" type="noConversion"/>
  </si>
  <si>
    <t>매립형 분기기 설계 시 결빙 방지용 히팅바 및 단자함을 도면에 반영하고, 신호 분야와 인터페이스해 케이블 포설 및 전원 공급 계획을 포함한 통합 도서를 작성함.</t>
    <phoneticPr fontId="1" type="noConversion"/>
  </si>
  <si>
    <t>분기기 부설 시 텅레일 주변 히팅바·단자함을 선시공하고, 신호 분야 결선 시 합동 점검해 타설 전후 히팅 열선 절연 파괴·단선 여부를 검증함.</t>
    <phoneticPr fontId="1" type="noConversion"/>
  </si>
  <si>
    <t>• 06.체크리스트/분야별/03_궤도/궤도_설계추진방향보고_차량 운행조건을 고려한 분기기 배치 및 분기기 형식 선정의 적정성_rev.00_260601.pdf
• 04_설계서/1공구/궤도/01. 설계보고서_궤도.pdf
• 노면전차시설 설계 가이드라인 제4장(궤도분야) 및 제9장(인터페이스)</t>
    <phoneticPr fontId="1" type="noConversion"/>
  </si>
  <si>
    <t>동절기 옥외 분기기(텅레일 밀착부 등) 결빙 방지를 위해 융설설비(히팅장치), 온도 센서, 전원·제어 패널을 신호·전기 분야와 연계해 도면에 반영함.</t>
    <phoneticPr fontId="1" type="noConversion"/>
  </si>
  <si>
    <t>분기기 히팅 케이블 밀착 시공 및 단선 방지 여유장을 확보하고, 시운전 시 모의 기온 강하 조건에 따른 자동 기동·발열 합동 연동 시험을 실시함.</t>
    <phoneticPr fontId="1" type="noConversion"/>
  </si>
  <si>
    <t>• 04_설계서/1공구/궤도/01. 설계보고서_궤도.pdf
• 06.체크리스트/분야별/03_궤도/궤도_설계추진방향_차량, 열차운영 등 인터페이스 적정성_rev.05_260608.pdf
• 철도시설의 기술기준
• 철도신호설비의 설치 및 유지관리 기준
• 노면전차 시설 설계 가이드라인</t>
    <phoneticPr fontId="1" type="noConversion"/>
  </si>
  <si>
    <t>매립형 분기기 현장 조립 오차 최소화 및 교통 통제 단축을 위해, 궤도를 강고히 잡아주는 '침목방식(Sleeper Type)' 분기기 구조를 상세도에 반영함.</t>
    <phoneticPr fontId="1" type="noConversion"/>
  </si>
  <si>
    <t>침목방식 분기기 가조립·거치 시 전용 인양 지그(Jig)로 처짐·비틀림을 방지하고, 거치 후 정밀 측량으로 타설 전 완벽한 선형을 확보함.</t>
    <phoneticPr fontId="1" type="noConversion"/>
  </si>
  <si>
    <t>본선 분기기 설계 시 횡방향 충격이 큰 F4 적용을 배제하고, 주행안전성 확보 및 자재 호환성을 위해 분기각도가 작은 F6(고번화) 규격으로 통일하여 평면 선형을 계획함.</t>
    <phoneticPr fontId="1" type="noConversion"/>
  </si>
  <si>
    <t>F6 분기기 반입 시 분기각도(9도 27분 44초)·제원 일치를 검수하고, 부설 시 텅레일 밀착 불량이나 궤간 오차가 없도록 mm 단위 정밀 측량 세팅을 수행함.</t>
    <phoneticPr fontId="1" type="noConversion"/>
  </si>
  <si>
    <t>• 06.체크리스트/분야별/03_궤도/궤도_설계추진방향보고_차량 운행조건을 고려한 분기기 배치 및 분기기 형식 선정의 적정성_rev.00_260601.pdf
• 04_설계서/1공구/궤도/01. 설계보고서_궤도.pdf
• 노면전차 시설 설계 가이드라인
• 철도건설규칙
• 철도설계기준(궤도편)</t>
    <phoneticPr fontId="1" type="noConversion"/>
  </si>
  <si>
    <t>정거장 구간 종단기울기를 40‰ 이하로 제한하고, 분기기 구간은 텅레일 전환 및 응력 집중 방지를 위해 종·평면곡선을 배제한 직선 구간에 배치함.</t>
    <phoneticPr fontId="1" type="noConversion"/>
  </si>
  <si>
    <t>궤도 부설 전 하부 노반 종단고 레벨을 mm 단위 정밀 측량해 수직 휨(종곡선 요소) 여부를 확인하고 평탄도를 엄격히 확보해 타설함.</t>
    <phoneticPr fontId="1" type="noConversion"/>
  </si>
  <si>
    <t>• 06.체크리스트/분야별/03_궤도/궤도_설계추진방향보고_차량 운행조건을 고려한 분기기 배치 및 분기기 형식 선정의 적정성_rev.00_260601.pdf
• 04_설계서/1공구/궤도/01. 설계보고서_궤도.pdf
• 철도설계기준(선로편)
• 노면전차 시설 설계 가이드라인
• 교통약자의 이동편의 증진법</t>
    <phoneticPr fontId="1" type="noConversion"/>
  </si>
  <si>
    <t>급곡선(R=300m 이하 등) 구간 설계 시 잔류응력 방지를 위해 야적장 전용 장비를 이용한 '레일 사전 벤딩(Pre-bending)' 공정과 안전 운반 동선을 시방서에 반영함.</t>
    <phoneticPr fontId="1" type="noConversion"/>
  </si>
  <si>
    <t>직선 레일을 곡률 반경(R)에 맞춰 정밀 벤딩하고, 곡률 유지를 위해 특수 트레일러로 서행 운반하여 부설 시 꺾임·응력 집중이 없도록 조립함.</t>
    <phoneticPr fontId="1" type="noConversion"/>
  </si>
  <si>
    <t>• 04_설계서/1공구/궤도/01. 설계보고서_궤도.pdf
• 06.체크리스트/분야별/03_궤도/궤도_설계추진방향_차량, 열차운영 등 인터페이스 적정성_rev.05_260608.pdf
• 철도설계기준(궤도편)
• 레일 용접 및 부설 지침
• 노면전차 시설 설계 가이드라인</t>
    <phoneticPr fontId="1" type="noConversion"/>
  </si>
  <si>
    <t>정거장 진입부 설계 시, 교통약자 경사로(슬로프) 공간 확보를 위해 승강장 끝단과 횡단보도 간 최소 7m 이상 이격거리를 궤도 선형 도면에 반영함.</t>
    <phoneticPr fontId="1" type="noConversion"/>
  </si>
  <si>
    <t>궤도 부설 전 측량으로 횡단보도와 승강장 간 이격거리(7m) 실측을 확인하고, 공간 부족 시 선형 미세 조정 및 궤도 레벨 재검토를 보고함.</t>
    <phoneticPr fontId="1" type="noConversion"/>
  </si>
  <si>
    <t>• 04_설계서/1공구/궤도/01. 설계보고서_궤도.pdf
• 06.체크리스트/분야별/03_궤도/궤도_설계추진방향_차량, 열차운영 등 인터페이스 적정성_rev.05_260608.pdf
• 교통약자의 이동편의 증진법
• 노면전차 시설 설계 가이드라인
• 철도건설사업 시설물 인터페이스 관리지침</t>
    <phoneticPr fontId="1" type="noConversion"/>
  </si>
  <si>
    <t>정거장 궤도 설계 시 차량한계 시뮬레이션으로 승강장 연단 간격 50mm를 유지하고, 기기실(변압기 휀스 등)과의 이격거리를 조정해 건축한계 간섭을 차단함.</t>
    <phoneticPr fontId="1" type="noConversion"/>
  </si>
  <si>
    <t>도상 타설 전 승강장 연단(경계석) 시공 상태를 3D 측량하고, 템플릿(건축한계틀) 통과 시험으로 정합성을 검증해 오차 시 선형을 보정함.</t>
    <phoneticPr fontId="1" type="noConversion"/>
  </si>
  <si>
    <t>• 06.체크리스트/분야별/03_궤도/궤도_설계추진방향_차량, 열차운영 등 인터페이스 적정성_rev.05_260608.pdf
• 04_설계서/1공구/궤도/01. 설계보고서_궤도.pdf
• 노면전차 시설 설계 가이드라인
• 도시철도건설규칙
• 철도건설사업 시설물 인터페이스 관리지침</t>
    <phoneticPr fontId="1" type="noConversion"/>
  </si>
  <si>
    <t>도로 분야와 통일하여 종단·횡단 구배를 백분율(%)로 표기하고, 완화곡선·종곡선·분기기 등이 겹치는 선형 경합(Overlap)을 배제하여 설계함.</t>
    <phoneticPr fontId="1" type="noConversion"/>
  </si>
  <si>
    <t>시공 전 도로 포장면(%) 구배와 궤도 기면을 대조해 mm 단위 레벨 측량을 수행하고, 선형 경합 구간 부설 시 검측을 2중으로 실시함.</t>
    <phoneticPr fontId="1" type="noConversion"/>
  </si>
  <si>
    <t>• 06.체크리스트/분야별/03_궤도/궤도_설계추진방향보고_과업구간 궤도높이 R.L~F.L설정 검토_rev.00_260521.pdf
• 04_설계서/1공구/궤도/01. 설계보고서_궤도.pdf
• 노면전차 시설 설계 가이드라인
• 도로의 구조·시설 기준에 관한 규칙
• 철도설계기준(선로편)</t>
    <phoneticPr fontId="1" type="noConversion"/>
  </si>
  <si>
    <t>분기부 열차 점유 검지용 차축검지기(Axle Counter, SIL4) 매립 공간(어스박스 및 검지기함)을 매립형 궤도 및 분기기 설계에 사전 반영하여, 시공 후 도상 재파취 리스크를 원천 예방함.</t>
    <phoneticPr fontId="1" type="noConversion"/>
  </si>
  <si>
    <t>도상 타설 전 신호-궤도 합동 측량으로 센서 설치 위치를 마킹하고, 레일 측면 어스 접속부 및 전선관을 사전 기밀 시공하며 시운전 시 인터페이스 정합성을 테스트함.</t>
    <phoneticPr fontId="1" type="noConversion"/>
  </si>
  <si>
    <t>• 04_설계서/1공구/궤도/01. 설계보고서_궤도.pdf (궤도-신호 인터페이스 및 분기부 계획)
• 06.체크리스트/분야별/03_궤도/궤도_설계추진방향보고_차량 운행조건을 고려한 분기기 배치 및 분기기 형식 선정의 적정성_rev.00_260601.pdf</t>
    <phoneticPr fontId="1" type="noConversion"/>
  </si>
  <si>
    <t>분기부 열차 점유 검지용 차축검지기(Axle Counter, SIL4 등급)의 물리적 매립 공간(어스박스 및 검지기함)을 매립형 궤도 및 분기기 도면에 사전 반영하고, 1공구(궤도분야 어스박스/검지기함 설치)와 2공구(신호분야 전담)의 설계 업무 분장 인터페이스를 조정함.</t>
    <phoneticPr fontId="1" type="noConversion"/>
  </si>
  <si>
    <t>도상 콘크리트 타설 전 신호 케이블 인입용 전선관 및 어스박스를 정밀 위치에 가설하고, 매립식 궤도 수지 타설 시 센서 취부 브래킷 규격을 마킹하여 레일 정밀 컷팅 후 센서를 견고히 고정해 시운전 시 정합성을 확인함.</t>
    <phoneticPr fontId="1" type="noConversion"/>
  </si>
  <si>
    <t>• 04_설계서/1공구/궤도/01. 설계보고서_궤도.pdf (궤도-신호 인터페이스 및 분기부 계획)
• 06.체크리스트/분야별/03_궤도/궤도_설계추진방향보고_차량 운행조건을 고려한 분기기 배치 및 분기기 형식 선정의 적정성_rev.00_260521.pdf</t>
    <phoneticPr fontId="1" type="noConversion"/>
  </si>
  <si>
    <t>정거장, 교차로, 분기부 등 트램 위치 보정용 루프 안테나 및 지상 무선통신 태그(Tag) 설치 위치를 궤도 평면 설계에 사전 반영하여, 도상 콘크리트 완공 후 추가 코어링(파취)으로 인한 궤도 손상 및 케이블 단선 리스크를 예방함.</t>
    <phoneticPr fontId="1" type="noConversion"/>
  </si>
  <si>
    <t>콘크리트 궤도 도상 시공 시 신호 시공자와 합동 마킹을 실시하고, 더미(Dummy) 박스 또는 스티로폼 보양재를 삽입하여 매립 홈을 선제 확보한 뒤 양생 후 신호 태그를 에폭시 충전재로 견고히 고정 매립함.</t>
    <phoneticPr fontId="1" type="noConversion"/>
  </si>
  <si>
    <t>• 04_설계서/1공구/궤도/01. 설계보고서_궤도.pdf (궤도 부대시설 및 인터페이스 계획)
• 06.체크리스트/분야별/03_궤도/궤도_설계추진방향보고_궤도, 차량, 열차운영 등 인터페이스 적정성_rev.00_260601.pdf</t>
    <phoneticPr fontId="1" type="noConversion"/>
  </si>
  <si>
    <t>차량기지 유치선, 검수선, 시운전선 등 선로 끝단 설계 시 열차 과주(Overrun) 충돌을 방지하기 위해 기지 내 제한속도(5km/h 등) 및 트램 하중(충돌 에너지)을 견디는 완충형 유압식/마찰식 차막이(타격 중심고 R.L+650mm)를 설계에 반영하고 충분한 제동 여유장(5.0m 이상)을 확보함.</t>
    <phoneticPr fontId="1" type="noConversion"/>
  </si>
  <si>
    <t>차막이 기초부 철근 배근 간격 및 매립형 고강도 앵커볼트 시공 상태를 정밀 검측하여 시공하고, 시운전 중 차륜막이 위치 오차 검증 및 ATP 신호 장치를 통한 과주 자동 정차 시운전 성능을 최종 확인해 충돌 리스크를 완전 방지함.</t>
    <phoneticPr fontId="1" type="noConversion"/>
  </si>
  <si>
    <t>• 04_설계서/1공구/궤도/01. 설계보고서_궤도.pdf (선로 종단 장치 및 부대설비 계획)
• 06.체크리스트/분야별/03_궤도/궤도_설계추진방향보고_안전시설 및 시설물 유지관리·보수를 위한 시설설치의 적정성_rev.02_260526.pdf</t>
    <phoneticPr fontId="1" type="noConversion"/>
  </si>
  <si>
    <t>선로 침하, 이물질 유입 또는 복구 공사로 인한 영업 운행 중단을 예방하고 양방향 교대 운행이 가능하도록, 본선 주요 구간에 탈부착식 임시분기기(Crossover, F6 건넘선 등 2틀 기준) 적용 방안 및 예비 자재 자산 확보 계획을 기본설계 검토서 및 공사비 내역에 반영함.</t>
    <phoneticPr fontId="1" type="noConversion"/>
  </si>
  <si>
    <t>비상 상황 발생 시 사전에 확보된 탈부착식 임시분기기를 궤도 파취 후 신속히 가설하고, 임시 체결 장치(Clamping) 및 임시 신호 연동을 가동하여 서행 단선 영업 운행을 복구 시간 동안 차질 없이 수행함.</t>
    <phoneticPr fontId="1" type="noConversion"/>
  </si>
  <si>
    <t>• 06.체크리스트/분야별/03_궤도/궤도_설계추진방향보고_차량 운행조건을 고려한 분기기 배치 및 분기기 형식 선정의 적정성_rev.00_260601.pdf
• 06.체크리스트/분야별/03_궤도/궤도_설계추진방향보고_차량 운행조건을 고려한 분기기 배치 및 분기기 형식 선정의 적정성_rev.00_260521.pdf</t>
    <phoneticPr fontId="1" type="noConversion"/>
  </si>
  <si>
    <t>궤도 청소차량, 레일 연마차 등 특수 유지관리 장비 규격·수량을 확정해 내역서에 반영하고, 트램 궤도 특성에 맞춘 상세 궤도유지관리 지침서 작성을 명시함.</t>
    <phoneticPr fontId="1" type="noConversion"/>
  </si>
  <si>
    <t>전용 유지보수 장비를 적기 발주·반입하고, 시운전 중 실무자 대상 장비 조작 교육(OJT) 및 지침서 기반 현장 모의 복구 훈련을 이행함.</t>
    <phoneticPr fontId="1" type="noConversion"/>
  </si>
  <si>
    <t>• 06.체크리스트/분야별/03_궤도/궤도_설계추진방향보고_안전시설 및 시설물 유지관리·보수를 위한 시설설치의 적정성_rev.02_260526.pdf
• 06.체크리스트/분야별/03_궤도/#첨부파일_사업단계별 운영유지관리 장비_시설물 리스트(궤도)_rev01_시설물 추가(최종).pdf
• 노면전차 시설 설계 가이드라인
• 철도의 건설기준에 관한 규정
• 선로의 유지관리지침</t>
    <phoneticPr fontId="1" type="noConversion"/>
  </si>
  <si>
    <t>장대레일 설계 시 테르밋 용접 등 최적 공법을 제시하고, 급곡선 구간 열처리레일 적용 및 이종 레일(일반-열처리) 간 용접 강도 저하 방지 지침을 수립함.</t>
    <phoneticPr fontId="1" type="noConversion"/>
  </si>
  <si>
    <t>열처리레일 용접 시 예열 및 서냉(Slow Cooling) 기준을 준수해 열영향부(HAZ) 취성화를 막고, 즉시 초음파(UT)·자분(MT) 비파괴검사를 전수 실시함.</t>
    <phoneticPr fontId="1" type="noConversion"/>
  </si>
  <si>
    <t>• 04_설계서/1공구/궤도/01. 설계보고서_궤도.pdf
• 06.체크리스트/분야별/03_궤도/궤도_설계추진방향_차량, 열차운영 등 인터페이스 적정성_rev.05_260608.pdf
• 철도설계기준(궤도편)
• 레일 용접 지침
• 철도시설의 기술기준</t>
    <phoneticPr fontId="1" type="noConversion"/>
  </si>
  <si>
    <t>레일 단면 설계 시, 트램 차륜 답면 기울기(예: 1:6 등)와 매립형 레일(Grooved Rail) 두부 프로파일 기울기를 일치시켜 접촉면적(Contact Patch)을 극대화하도록 반영함.</t>
    <phoneticPr fontId="1" type="noConversion"/>
  </si>
  <si>
    <t>레일 반입 시 시험 성적서(Mill Sheet) 및 3D 스캔으로 프로파일 기울기 오차를 전수 확인하고, 시운전 시 접촉 궤적(Contact Band)의 균일 형성을 점검함.</t>
    <phoneticPr fontId="1" type="noConversion"/>
  </si>
  <si>
    <t>홈붙이레일(Grooved Rail) 용접 시 솟음(Peak 0~1mm 이내) 및 꺼짐(Dip) 방지 등 트램 특화 직진도 허용오차 기준을 규정하고 필수 연마 공정을 시방서에 반영함.</t>
    <phoneticPr fontId="1" type="noConversion"/>
  </si>
  <si>
    <t>용접 후 그라인더로 레일 두부 및 홈(Flangeway) 비드를 직진도 기준(Peak 1mm 이하)에 맞춰 연마하고, 1m 직선자·틈새 게이지로 전수 검측함.</t>
    <phoneticPr fontId="1" type="noConversion"/>
  </si>
  <si>
    <t>• 04_설계서/1공구/궤도/01. 설계보고서_궤도.pdf
• 06.체크리스트/분야별/03_궤도/궤도_설계추진방향_차량, 열차운영 등 인터페이스 적정성_rev.05_260608.pdf
• 노면전차시설 설계 가이드라인 제4장(궤도분야 설계지침 및 마감기준)</t>
    <phoneticPr fontId="1" type="noConversion"/>
  </si>
  <si>
    <t>차량기지 시험선(Test Track) 설계 시 열차운전시뮬레이션(TPS) 기반 최고 속도·제동 유효장을 산정하고, 일반 동선과 교차하지 않는 독립 선형으로 계획함.</t>
    <phoneticPr fontId="1" type="noConversion"/>
  </si>
  <si>
    <t>종단부에 트램 최고 속도 충격량을 견디는 유압식 차막이를 시공하고, 종합시험운행 전 타 차량 오진입 방지 연동(Interlock) 상태를 철저히 검증함.</t>
    <phoneticPr fontId="1" type="noConversion"/>
  </si>
  <si>
    <t>• 04_설계서/1공구/궤도/01. 설계보고서_궤도.pdf
• 06.체크리스트/분야별/03_궤도/궤도_설계추진방향_차량, 열차운영 등 인터페이스 적정성_rev.05_260608.pdf
• 도시철도 시스템엔지니어링 적용기준
• 철도건설규칙
• 노면전차 시설 설계 가이드라인</t>
    <phoneticPr fontId="1" type="noConversion"/>
  </si>
  <si>
    <t>항타기 등 대형 장비의 진입로 폭과 회전 반경이 현장 여건(농로, 마을길)과 부합여부를 검토하여 조치함.</t>
    <phoneticPr fontId="1" type="noConversion"/>
  </si>
  <si>
    <t>장비 진입로의 지반 지지력을 확인하고 필요시 치환 또는 철판 보강을 수행여부를 검토하여 조치함.</t>
    <phoneticPr fontId="1" type="noConversion"/>
  </si>
  <si>
    <t>• 04_설계서/1공구/토목/01. 종합요약보고서.pdf
• 06.체크리스트/분야별/05_토질 및 기초/토질 및 기초_설계추진방향보고_가시설 설계기준 검토_rev.00_260529.pdf
• KDS 11 00 00 지반 설계기준
• 구조물 기초설계기준(국토교통부)
• 지반조사 및 지하수 조사기준</t>
    <phoneticPr fontId="1" type="noConversion"/>
  </si>
  <si>
    <t>투입 예정 장비(항타기, 크레인)의 제원(폭, 길이, 등판능력)과 진입로 현황이 부합여부를 검토하여 조치함.</t>
    <phoneticPr fontId="1" type="noConversion"/>
  </si>
  <si>
    <t>장비 반입 전 진입로의 지반 지지력을 확인하고 필요시 철판 보강이나 치환을 수행여부를 검토하여 조치함.</t>
    <phoneticPr fontId="1" type="noConversion"/>
  </si>
  <si>
    <t>특수 교각(Y형, 아치형) 시공 시 작업자 발판 및 거푸집 지지를 위한 가설 벤트가 반영 여부를 확인하여 내역에 계상함.</t>
    <phoneticPr fontId="1" type="noConversion"/>
  </si>
  <si>
    <t>시공 전/중 상부공 시공 및 작업자 이동을 위한 **가설 벤트(Temporary Bent)**를 추가 반영함 여부를 정밀 검측하고 시공 계획에 따라 이행함.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</si>
  <si>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KDS 11 50 00 흙막이 및 가설구조물 설계기준
• 구조물 기초설계기준(국토교통부)
• 산업안전보건기준에 관한 규칙</t>
    <phoneticPr fontId="1" type="noConversion"/>
  </si>
  <si>
    <t>지반 조건(점토/사질토)에 적합한 차수 공법(Grouting vs Sheet Pile)이 선정되었여부를 검토하여 조치함.</t>
    <phoneticPr fontId="1" type="noConversion"/>
  </si>
  <si>
    <t>차수 그라우팅 시공 후 확인 보링이나 현장 투수 시험을 통해 차수 효과를 검증여부를 검토하여 조치함.</t>
    <phoneticPr fontId="1" type="noConversion"/>
  </si>
  <si>
    <t>• 06.체크리스트/분야별/05_토질 및 기초/토질 및 기초_설계추진방향보고_가시설 설계기준 검토_rev.00_260529.pdf
• 04_설계서/1공구/토목/01. 종합요약보고서.pdf
• 지하수법 제9조의4(지하수영향평가)
• KDS 11 50 20 차수 및 그라우팅 설계기준
• 지하안전관리에 관한 특별법</t>
    <phoneticPr fontId="1" type="noConversion"/>
  </si>
  <si>
    <t>지하안전영향평가 심의 결과에 따라 흙막이 차수 공법이나 가시설 강성이 상향 조정되었여부를 검토하여 조치함.</t>
    <phoneticPr fontId="1" type="noConversion"/>
  </si>
  <si>
    <t>협의 내용에 따른 추가 지반조사나 차수 그라우팅 시공 시 검측 사진 및 데이터를 확보여부를 검토하여 조치함.</t>
    <phoneticPr fontId="1" type="noConversion"/>
  </si>
  <si>
    <t>흙막이 가시설과 본 구조물 사이에 거푸집 설치 및 작업자 이동 공간(최소 1m 이상)이 확보 여부를 점검하여 조치함.</t>
    <phoneticPr fontId="1" type="noConversion"/>
  </si>
  <si>
    <t>작업 공간 부족 시 합벽 시공 변경에 따른 방수 및 구조물 품질 관리 방안을 수립 여부를 검토하여 점검함.</t>
    <phoneticPr fontId="1" type="noConversion"/>
  </si>
  <si>
    <t>• 06.체크리스트/분야별/05_토질 및 기초/토질 및 기초_설계추진방향보고_가시설 설계기준 검토_rev.00_260529.pdf
• 04_설계서/1공구/토목/01. 종합요약보고서.pdf
• KDS 11 50 00 흙막이 및 가설구조물 설계기준
• 구조물 기초설계기준(국토교통부)
• 산업안전보건기준에 관한 규칙</t>
    <phoneticPr fontId="1" type="noConversion"/>
  </si>
  <si>
    <t>거더 조립장 위치가 크레인 인양 반경 내에 있으며, 자재 야적 공간이 충분한여부를 검토하여 조치함.</t>
    <phoneticPr fontId="1" type="noConversion"/>
  </si>
  <si>
    <t>현장 여건상 조립장 확보 불가 시 외부 제작 또는 소운반 계획을 수립 여부를 검토하여 점검함.</t>
    <phoneticPr fontId="1" type="noConversion"/>
  </si>
  <si>
    <t>지하안전영향평가 협의보완 조치결과(GPR 탐사, 지하수위계, 유량계 등)가 내역에 포함되었여부를 검토하여 조치함.</t>
    <phoneticPr fontId="1" type="noConversion"/>
  </si>
  <si>
    <t>굴착 공사 중 정기적인 GPR 탐사 및 지하수위 계측 보고서가 발주처 및 인허가 기관에 제출되고 여부를 확인함.</t>
    <phoneticPr fontId="1" type="noConversion"/>
  </si>
  <si>
    <t>• 04_설계서/1공구/토목/01. 종합요약보고서.pdf
• 06.체크리스트/분야별/05_토질 및 기초/토질 및 기초_설계추진방향보고_가시설 설계기준 검토_rev.00_260529.pdf
• 지하안전관리에 관한 특별법(지하안전평가)
• 건설기술진흥법 시행규칙 제48조(설계도서 작성)
• 지반조사 및 지하수 조사기준</t>
    <phoneticPr fontId="1" type="noConversion"/>
  </si>
  <si>
    <t>유용암 굴착 시기와 골재 사용 시기(콘크리트 타설)를 비교하여 가적치 물량을 산출여부를 검토하여 조치함.</t>
    <phoneticPr fontId="1" type="noConversion"/>
  </si>
  <si>
    <t>시공 전/중 골재 야적장을 별도로 조성하고, 댐 사면에서 야적장, 야적장에서 플랜트까지의 이중 운반비를 반영함 여부를 정밀 검측하고 시공 계획에 따라 이행함.</t>
    <phoneticPr fontId="1" type="noConversion"/>
  </si>
  <si>
    <t>• 04_설계서/1공구/토목/01. 종합요약보고서.pdf
• 06.체크리스트/분야별/05_토질 및 기초/토질 및 기초_설계추진방향보고_가시설 설계기준 검토_rev.00_260529.pdf
• KDS 11 70 00 건설 사면 설계기준
• KCS 11 70 00 사면 녹화 및 보강공사 표준시방서
• 급경사지 재해예방에 관한 특별법</t>
    <phoneticPr fontId="1" type="noConversion"/>
  </si>
  <si>
    <t>교량 시공용 대형 크레인(200ton 이상)의 아웃트리거 전개 폭을 고려하여 가교 폭이나 작업대(Staging)가 반영 여부를 확인하여 내역에 계상함.</t>
    <phoneticPr fontId="1" type="noConversion"/>
  </si>
  <si>
    <t>가교 설치 전 투입 예정 장비 제원을 확정하고 시뮬레이션을 통해 교행 및 작업 공간을 확인하고 현장 시공에 적용함.</t>
    <phoneticPr fontId="1" type="noConversion"/>
  </si>
  <si>
    <t>교량 시공용 대형 크레인의 아웃트리거 전개 폭을 고려하여 가교 폭이나 작업대(Staging)가 반영 여부를 확인하여 내역에 계상함.</t>
    <phoneticPr fontId="1" type="noConversion"/>
  </si>
  <si>
    <t>가교 설치 전 투입 장비와 자재 운반 차량의 교행 가능 여부를 시뮬레이션여부를 검토하여 조치함.</t>
    <phoneticPr fontId="1" type="noConversion"/>
  </si>
  <si>
    <t>공사 부지의 표토가 점성토이거나 연약지반일 경우 장비 주행성 확보를 위한 치환/가도 계획이 여부를 확인함.</t>
    <phoneticPr fontId="1" type="noConversion"/>
  </si>
  <si>
    <t>시공 전/중 연약지반 처리를 위한 공사용 가도 추가 조성 및 잡석 치환 등을 반영함 여부를 정밀 검측하고 시공 계획에 따라 이행함.</t>
    <phoneticPr fontId="1" type="noConversion"/>
  </si>
  <si>
    <t>• 04_설계서/1공구/토목/01. 종합요약보고서.pdf
• 06.체크리스트/분야별/05_토질 및 기초/토질 및 기초_설계추진방향보고_가시설 설계기준 검토_rev.00_260529.pdf
• KDS 11 30 00 연약지반 설계기준
• KCS 11 30 00 연약지반공사 표준시방서
• 지반조사 및 지하수 조사기준</t>
    <phoneticPr fontId="1" type="noConversion"/>
  </si>
  <si>
    <t>펌프카/크레인의 작업 반경을 고려하여 가설 도로와 구조물 간의 이격 거리가 산정되었여부를 검토하여 조치함.</t>
    <phoneticPr fontId="1" type="noConversion"/>
  </si>
  <si>
    <t>시공 전/중 펌프카가 구조물에 더 근접할 수 있도록 공사용 가도의 위치 및 폭을 변경하여 시공함 여부를 정밀 검측하고 시공 계획에 따라 이행함.</t>
    <phoneticPr fontId="1" type="noConversion"/>
  </si>
  <si>
    <t>하천/해상 구간 가시설의 차수 대책(이중 널말뚝, 차수 그라우팅)이 수압을 고려해 설계되었여부를 검토하여 조치함.</t>
    <phoneticPr fontId="1" type="noConversion"/>
  </si>
  <si>
    <t>Sheet Pile 항타 시 연결부(Interlock) 이탈 여부를 확인하고, 누수 발생 시 즉각적인 보강(톱밥, 약액)을 수행여부를 검토하여 조치함.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</si>
  <si>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지하수법 제9조의4(지하수영향평가)
• KDS 11 50 20 차수 및 그라우팅 설계기준
• 지하안전관리에 관한 특별법</t>
    <phoneticPr fontId="1" type="noConversion"/>
  </si>
  <si>
    <t>도심지 개착 구간 용출수 발생 시 주변 지반 침하를 방지할 차수 공법(SGR, MSG)이 설계에 포함되었여부를 검토하여 조치함.</t>
    <phoneticPr fontId="1" type="noConversion"/>
  </si>
  <si>
    <t>시공 전/중 지반 교란 없이 차수 효과를 높이기 위해 SGR(Space Grouting Rocket) 공법을 적용하여 바닥 및 배면을 보강함 여부를 정밀 검측하고 시공 계획에 따라 이행함.</t>
    <phoneticPr fontId="1" type="noConversion"/>
  </si>
  <si>
    <t>기초 터파기 구간의 지반 조건(연약지반)을 고려할 때 사면 경사를 유지할 부지가 충분한여부를 검토하여 조치함.</t>
    <phoneticPr fontId="1" type="noConversion"/>
  </si>
  <si>
    <t>지주 협의가 불가능할 경우 즉시 가시설 공법 변경(Open Cut → 흙막이)을 검토를 완료하고 서류에 명기함.</t>
    <phoneticPr fontId="1" type="noConversion"/>
  </si>
  <si>
    <t>구조물 터파기 사면(Open Cut)의 상단 라인이 공사 부지 경계선 내에 들어오여부를 검토하여 조치함.</t>
    <phoneticPr fontId="1" type="noConversion"/>
  </si>
  <si>
    <t>터파기 전 경계 측량을 통해 사면 굴착 시 인접 시설물(도로, 건물) 침범 여부를 확인하고 현장 시공에 적용함.</t>
    <phoneticPr fontId="1" type="noConversion"/>
  </si>
  <si>
    <t>케이블/행어 로프의 와류진동(Vortex Shedding) 검토가 수행되었여부를 검토하여 조치함.
제진 장치(Damper) 설치가 내역에 포함되거나 유보금으로 잡혀여부를 확인함.</t>
    <phoneticPr fontId="1" type="noConversion"/>
  </si>
  <si>
    <t>시공 중 풍속/진동 계측을 통해 설계 예측치와 비교 분석여부를 검토하여 조치함.</t>
    <phoneticPr fontId="1" type="noConversion"/>
  </si>
  <si>
    <t>• 04_설계서/1공구/토목/01. 종합요약보고서.pdf
• 06.체크리스트/분야별/05_토질 및 기초/토질 및 기초_설계추진방향보고_가시설 설계기준 검토_rev.00_260529.pdf
• 소음·진동관리법 시행규칙
• 총포·화약류 등의 안전관리에 관한 법률 시행령
• KCS 11 20 15 발파공 표준시방서</t>
    <phoneticPr fontId="1" type="noConversion"/>
  </si>
  <si>
    <t>장대 자재(거더, 철근) 운반 차량의 회전 반경과 현장 진입로의 곡선 반경이 일치하는가?□ 급경사 구간의 장비 등판 능력을 확인하고 현장 시공에 적용함.</t>
    <phoneticPr fontId="1" type="noConversion"/>
  </si>
  <si>
    <t>특수 장비(모듈러 등) 사용 시 사전 모의 주행을 통해 간섭물을 파악여부를 검토하여 조치함.</t>
    <phoneticPr fontId="1" type="noConversion"/>
  </si>
  <si>
    <t>댐/제방 기초 지반의 투수계수와 파쇄대 분포를 고려한 차수 그라우팅 계획이 수립되었여부를 검토하여 조치함.</t>
    <phoneticPr fontId="1" type="noConversion"/>
  </si>
  <si>
    <t>시공 전/중 누수에 의한 댐체 불안정을 방지하기 위해 림그라우팅(Rim Grouting)을 추가 수행함 여부를 정밀 검측하고 시공 계획에 따라 이행함.</t>
    <phoneticPr fontId="1" type="noConversion"/>
  </si>
  <si>
    <t>• 06.체크리스트/분야별/05_토질 및 기초/토질 및 기초_설계추진방향보고_가시설 설계기준 검토_rev.00_260529.pdf
• 04_설계서/1공구/토목/01. 종합요약보고서.pdf
• 지반조사 및 지하수 조사기준(국토교통부)
• KDS 11 10 05 지반조사 설계기준
• 엔지니어링산업 진흥법</t>
    <phoneticPr fontId="1" type="noConversion"/>
  </si>
  <si>
    <t>발파 작업 구간 주변에 방음벽, 방진망 등 환경 오염 방지 시설이 충분히 설계되었여부를 검토하여 조치함.</t>
    <phoneticPr fontId="1" type="noConversion"/>
  </si>
  <si>
    <t>주민 설명회를 개최하고 소음/진동 측정기를 주민이 볼 수 있는 곳에 설치여부를 검토하여 조치함.</t>
    <phoneticPr fontId="1" type="noConversion"/>
  </si>
  <si>
    <t>발파 영향권 내 보안물건(주택, 축사, 공장) 현황이 최신 상태로 반영 여부를 확인하여 내역에 계상함.</t>
    <phoneticPr fontId="1" type="noConversion"/>
  </si>
  <si>
    <t>착공 전 보안물건 변동 사항을 재조사하고 시험발파를 통해 허용 진동 기준을 확정여부를 검토하여 조치함.</t>
    <phoneticPr fontId="1" type="noConversion"/>
  </si>
  <si>
    <t>법적 기준치 이내임에도 민원이 지속될 경우, 발주처와 민원 대응 비용 분담을 사전에 협의여부를 검토하여 조치함.</t>
    <phoneticPr fontId="1" type="noConversion"/>
  </si>
  <si>
    <t>시공 전/중 기준치 이내일 경우, 단순 민원만으로는 고가의 무진동 공법 변경 승인이 어려움(시공사 부담 리스크) 여부를 정밀 검측하고 시공 계획에 따라 이행함.</t>
    <phoneticPr fontId="1" type="noConversion"/>
  </si>
  <si>
    <t>발파 작업 가능 시간 산정 시 관할 경찰서의 화약류 양수 허가 특성(제한 사항)을 조사를 시행하고 데이터를 수집함.</t>
    <phoneticPr fontId="1" type="noConversion"/>
  </si>
  <si>
    <t>착공 즉시 관할 경찰서와 협의하여 실제 1일 발파 가능 횟수를 확정하고 공정표를 수정여부를 검토하여 조치함.</t>
    <phoneticPr fontId="1" type="noConversion"/>
  </si>
  <si>
    <t>도심지 발파 시 방음벽, 방진막, 암파쇄 방호시설 비용이 내역에 포함되었여부를 검토하여 조치함.</t>
    <phoneticPr fontId="1" type="noConversion"/>
  </si>
  <si>
    <t>시험발파 시 소음/진동뿐만 아니라 비산먼지 대책(살수차 등)도 함께 점검여부를 검토하여 조치함.</t>
    <phoneticPr fontId="1" type="noConversion"/>
  </si>
  <si>
    <t>시방서상의 발파 공법(제어발파 등)과 내역서상의 공법이 일치하는지 대조여부를 검토하여 조치함.</t>
    <phoneticPr fontId="1" type="noConversion"/>
  </si>
  <si>
    <t>착공 초기 설계도서(시방서 vs 내역서) 불일치 사항을 발굴하여 설계변경을 요청여부를 검토하여 조치함.</t>
    <phoneticPr fontId="1" type="noConversion"/>
  </si>
  <si>
    <t>보안 물건 인접 구간의 지반 조사 데이터가 충분하며, 진동 영향권 분석이 보수적으로 수행되었여부를 검토하여 조치함.</t>
    <phoneticPr fontId="1" type="noConversion"/>
  </si>
  <si>
    <t>굴착 중 지반 조건 변화(지하수위, 암질) 발생 시 즉시 재시험발파를 수행하여 공법 변경 근거를 확보여부를 검토하여 조치함.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</si>
  <si>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소음·진동관리법 시행규칙
• 총포·화약류 등의 안전관리에 관한 법률 시행령
• KCS 11 20 15 발파공 표준시방서</t>
    <phoneticPr fontId="1" type="noConversion"/>
  </si>
  <si>
    <t>최종 암깎기면(사면) 보호를 위해 제어발파(Smooth Blasting)가 내역에 반영되었는가?□ 도면, 시방서, 내역서 간 발파 공법이 일치여부를 검토하여 조치함.</t>
    <phoneticPr fontId="1" type="noConversion"/>
  </si>
  <si>
    <t>시험 발파를 통해 사면 손상을 최소화하는 장약량과 천공 간격을 확정여부를 검토하여 조치함.</t>
    <phoneticPr fontId="1" type="noConversion"/>
  </si>
  <si>
    <t>인근 경찰서의 화약류 사용 허가 조건(발파 가능 횟수/시간)을 사전 조사를 시행하고 데이터를 수집함.</t>
    <phoneticPr fontId="1" type="noConversion"/>
  </si>
  <si>
    <t>경찰서 허가 조건 변경 공문을 근거로 즉시 공기 연장 및 비용 청구(실정보고)를 진행여부를 검토하여 조치함.</t>
    <phoneticPr fontId="1" type="noConversion"/>
  </si>
  <si>
    <t>원형보존구역 경계선과 토공 사면 끝단(Toe) 간에 여유폭이 확보 여부를 점검하여 조치함.</t>
    <phoneticPr fontId="1" type="noConversion"/>
  </si>
  <si>
    <t>벌개제근 전 원형보존구역 경계측량을 실시하고 침범 우려 시 즉시 옹벽/석축 변경을 검토를 완료하고 서류에 명기함.</t>
    <phoneticPr fontId="1" type="noConversion"/>
  </si>
  <si>
    <t>공사 구간 인근에 소음/진동에 민감한 영업 시설(펜션, 양식장 등)이 있는지 확인하고 현장 시공에 적용함.</t>
    <phoneticPr fontId="1" type="noConversion"/>
  </si>
  <si>
    <t>민원 발생 시 시공사 귀책(공사 관리 미흡)이 아님을 입증할 소음/진동 계측 데이터를 확보여부를 검토하여 조치함.</t>
    <phoneticPr fontId="1" type="noConversion"/>
  </si>
  <si>
    <t>착공 전 주변 건물 신축 현황 등 보안 물건 변동 사항을 재조사를 시행하고 데이터를 수집함.</t>
    <phoneticPr fontId="1" type="noConversion"/>
  </si>
  <si>
    <t>시험 발파 결과를 토대로 이격 거리별 허용 장약량을 재산정하여 패턴을 조정여부를 검토하여 조치함.</t>
    <phoneticPr fontId="1" type="noConversion"/>
  </si>
  <si>
    <t>구조물과 흙막이 벽체 사이 여유폭(Working Space) 내에 배수로 설치 공간이 확보 여부를 점검하여 조치함.</t>
    <phoneticPr fontId="1" type="noConversion"/>
  </si>
  <si>
    <t>시공 전/중 공간을 차지하는 가배수로 대신 매립형인 맹암거로 변경하여 배수와 작업 공간을 동시에 확보함 여부를 정밀 검측하고 시공 계획에 따라 이행함.</t>
    <phoneticPr fontId="1" type="noConversion"/>
  </si>
  <si>
    <t>배수펌프장 운영 기간이 전체 공사 기간(특히 우기 포함)을 커버하도록 산정되었여부를 검토하여 조치함.</t>
    <phoneticPr fontId="1" type="noConversion"/>
  </si>
  <si>
    <t>배수펌프 및 비상발전기의 정기 점검 기록을 유지하고, 연료 확보 상태를 수시로 확인여부를 검토하여 조치함.</t>
    <phoneticPr fontId="1" type="noConversion"/>
  </si>
  <si>
    <t>석회암 지대 등 공동 발생 우려 지역에 대한 물리탐사(GPR, 전기비저항) 계획이 여부를 확인함.</t>
    <phoneticPr fontId="1" type="noConversion"/>
  </si>
  <si>
    <t>터파기 중 공동 발견 시 즉시 작업을 중단하고 공동의 크기와 방향을 확인하고 현장 시공에 적용함.</t>
    <phoneticPr fontId="1" type="noConversion"/>
  </si>
  <si>
    <t>절토 사면 설계 시 지질 구조(단층, 절리 방향)가 사면 안정성에 미치는 영향을 검토를 완료하고 서류에 명기함.</t>
    <phoneticPr fontId="1" type="noConversion"/>
  </si>
  <si>
    <t>시공 전/중 기술자문 후 앵커(Anchor), 소일네일링(Soil Nailing), 계단식 옹벽 등으로 보강함 여부를 정밀 검측하고 시공 계획에 따라 이행함.</t>
    <phoneticPr fontId="1" type="noConversion"/>
  </si>
  <si>
    <t>환경영향평가 협의 내용상의 사면 경사 기준이 설계에 반영 여부를 확인하여 내역에 계상함.</t>
    <phoneticPr fontId="1" type="noConversion"/>
  </si>
  <si>
    <t>사면 경사 완화에 따라 늘어나는 용지 경계 침범 여부를 확인하고 현장 시공에 적용함.</t>
    <phoneticPr fontId="1" type="noConversion"/>
  </si>
  <si>
    <t>퇴적암/절리 발달 구간에 대한 사면 안정성 검토가 보수적으로 수행되었여부를 검토하여 조치함.
우기 시 지하수위 상승을 고려한 안전율이 확보 여부를 점검하여 조치함.</t>
    <phoneticPr fontId="1" type="noConversion"/>
  </si>
  <si>
    <t>절토 직후 Face Mapping을 실시하여 절리 방향과 파쇄대 여부를 확인하고 현장 시공에 적용함.
우기 전 산마루 측구 및 배수 시설을 정비여부를 검토하여 조치함.</t>
    <phoneticPr fontId="1" type="noConversion"/>
  </si>
  <si>
    <t>탄질셰일, 팽창성 점토 등 특수 지질 존재 여부를 시추조사에서 확인하고 현장 시공에 적용함.</t>
    <phoneticPr fontId="1" type="noConversion"/>
  </si>
  <si>
    <t>굴착 중 토질 색상이나 강도 변화(탄질셰일 등)가 관찰되면 즉시 작업을 중지하고 전문가 자문을 구여부를 검토하여 조치함.</t>
    <phoneticPr fontId="1" type="noConversion"/>
  </si>
  <si>
    <t>구조물 뒷채움/되메우기 사면이 인접 도로 나 용지 경계를 침범하지 않는지 단면 검토를 완료하고 서류에 명기함.</t>
    <phoneticPr fontId="1" type="noConversion"/>
  </si>
  <si>
    <t>구조물 시공 완료 후 되메우기 전, 사면 끝단 위치를 측량하여 침범 여부를 확인하고 현장 시공에 적용함.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</si>
  <si>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KDS 11 70 00 건설 사면 설계기준
• KCS 11 70 00 사면 녹화 및 보강공사 표준시방서
• 급경사지 재해예방에 관한 특별법</t>
    <phoneticPr fontId="1" type="noConversion"/>
  </si>
  <si>
    <t>철도보호지구 등 특수 구간 공사 시 유관기관이 요구하는 안전점검 비용이 별도로 계상되었여부를 검토하여 조치함.</t>
    <phoneticPr fontId="1" type="noConversion"/>
  </si>
  <si>
    <t>시공 전/중 공사 전, 중, 후 단계별로 구조물 안전점검을 실시하고 비용을 반영함 여부를 정밀 검측하고 시공 계획에 따라 이행함.</t>
    <phoneticPr fontId="1" type="noConversion"/>
  </si>
  <si>
    <t>설계 시 덤프가 직접 하역하는 방식에서 **불도저로 밀어 올리는 방식(D/T + D/Z)**으로 변경하여 장비비를 증액함 방안을 검토하여 설계도면 및 공사비 내역에 반영함.</t>
    <phoneticPr fontId="1" type="noConversion"/>
  </si>
  <si>
    <t>가적치장 높이가 높아져 덤프트럭 진입이 위험할 경우, 도져 등 보조 장비 투입비를 반영여부를 검토하여 조치함.</t>
    <phoneticPr fontId="1" type="noConversion"/>
  </si>
  <si>
    <t>굴착 바닥면의 피압수 용출 가능성(Boiling)을 검토하고 Well Point 등 지하수위 저하 공법을 반영여부를 검토하여 조치함.</t>
    <phoneticPr fontId="1" type="noConversion"/>
  </si>
  <si>
    <t>굴착 중 바닥에서 물이 솟구칠 경우 즉시 굴착을 멈추고 흙을 되메운 후 차수/배수 대책을 수립 여부를 검토하여 점검함.</t>
    <phoneticPr fontId="1" type="noConversion"/>
  </si>
  <si>
    <t>• 04_설계서/1공구/토목/01. 종합요약보고서.pdf
• 06.체크리스트/분야별/05_토질 및 기초/토질 및 기초_설계추진방향보고_가시설 설계기준 검토_rev.00_260529.pdf
• 지하수법 제9조의4(지하수영향평가)
• KDS 11 50 20 차수 및 그라우팅 설계기준
• 지하안전관리에 관한 특별법</t>
    <phoneticPr fontId="1" type="noConversion"/>
  </si>
  <si>
    <t>해상 가설물(오탁방지막)의 설계 기준 풍속/파고가 해당 지역의 태풍 이력과 부합여부를 검토하여 조치함.</t>
    <phoneticPr fontId="1" type="noConversion"/>
  </si>
  <si>
    <t>태풍 예보 시 오탁방지막 등 유실 우려 시설물을 사전에 철거하거나 보강 조치여부를 검토하여 조치함.</t>
    <phoneticPr fontId="1" type="noConversion"/>
  </si>
  <si>
    <t>토공 유동 계획(Mass Diagram) 작성 시 가적치장을 경유하는 우회 거리가 반영 여부를 확인하여 내역에 계상함.</t>
    <phoneticPr fontId="1" type="noConversion"/>
  </si>
  <si>
    <t>가적치장 위치 변경 시 전체 토공 운반 거리의 증감을 재산정하여 보고여부를 검토하여 조치함.</t>
    <phoneticPr fontId="1" type="noConversion"/>
  </si>
  <si>
    <t>운행선 인접 공사 시 가시설 설치 공간이 건축한계(Safety Clearance)를 침범하지 않는지 확인하고 현장 시공에 적용함.</t>
    <phoneticPr fontId="1" type="noConversion"/>
  </si>
  <si>
    <t>협소한 공간에서 시공 가능한 대안 공법(PC옹벽 등)을 검토하여 발주처에 제안여부를 검토하여 조치함.</t>
    <phoneticPr fontId="1" type="noConversion"/>
  </si>
  <si>
    <t>공용 적출장이나 진입로 사용 시 타 공구와의 공정 간섭 및 점유 기간을 확인하고 현장 시공에 적용함.</t>
    <phoneticPr fontId="1" type="noConversion"/>
  </si>
  <si>
    <t>적출장 부족 시 대체 부지 확보 가능 여부와 인허가 사항을 검토를 완료하고 서류에 명기함.</t>
    <phoneticPr fontId="1" type="noConversion"/>
  </si>
  <si>
    <t>도심지 협소 구간 작업 시 대형 장비 진입 불가에 따른 소형 장비 할증이 반영 여부를 확인하여 내역에 계상함.</t>
    <phoneticPr fontId="1" type="noConversion"/>
  </si>
  <si>
    <t>장비 규격 변경에 따른 작업 효율 저하(Cycle Time 증가)를 공정표에 반영여부를 검토하여 조치함.</t>
    <phoneticPr fontId="1" type="noConversion"/>
  </si>
  <si>
    <t>• 04_설계서/1공구/토목/01. 종합요약보고서.pdf
• 06.체크리스트/분야별/05_토질 및 기초/토질 및 기초_설계추진방향보고_가시설 설계기준 검토_rev.00_260529.pdf
• KDS 11 50 00 흙막이 및 가설구조물 설계기준
• 구조물 기초설계기준(국토교통부)
• 산업안전보건기준에 관한 규칙</t>
    <phoneticPr fontId="1" type="noConversion"/>
  </si>
  <si>
    <t>통행용 가도 외에 장비가 거치되어 작업할 수 있는 작업장(Platform/축도) 면적이 반영 여부를 확인하여 내역에 계상함.</t>
    <phoneticPr fontId="1" type="noConversion"/>
  </si>
  <si>
    <t>시공 전/중 장비 진입 및 작업을 위한 축도 추가 굴착 및 조성 비용을 반영함 여부를 정밀 검측하고 시공 계획에 따라 이행함.</t>
    <phoneticPr fontId="1" type="noConversion"/>
  </si>
  <si>
    <t>연약지반 처리 장비(DCM, PBD) 진입을 위한 주행로(Mat) 및 성토 계획이 포함되었여부를 검토하여 조치함.</t>
    <phoneticPr fontId="1" type="noConversion"/>
  </si>
  <si>
    <t>시공 전/중 DCM 장비 진입로 조성을 위한 성토 및 흙깎기 물량을 설계 변경으로 반영함 여부를 정밀 검측하고 시공 계획에 따라 이행함.</t>
    <phoneticPr fontId="1" type="noConversion"/>
  </si>
  <si>
    <t>사면 상부의 유역 면적을 고려하여 산마루 측구 용량이 충분한여부를 검토하여 조치함.</t>
    <phoneticPr fontId="1" type="noConversion"/>
  </si>
  <si>
    <t>태풍/장마 전 사면 상부에 인장 균열(Crack) 발생 여부를 점검여부를 검토하여 조치함.</t>
    <phoneticPr fontId="1" type="noConversion"/>
  </si>
  <si>
    <t>절토 옹벽 높이가 5m를 초과할 경우 소단(B=1m 이상) 설치가 반영되었는가?□ 산지 복구 설계 승인 기준을 만족여부를 검토하여 조치함.</t>
    <phoneticPr fontId="1" type="noConversion"/>
  </si>
  <si>
    <t>시공 전 인허가 조건(산지전용 등)과 설계 도면의 일치 여부를 확인하고 현장 시공에 적용함.</t>
    <phoneticPr fontId="1" type="noConversion"/>
  </si>
  <si>
    <t>공사 중 집중호우(Frequency 10~20년 빈도)에 대비한 배수 펌프 용량과 예비 펌프가 산정되었여부를 검토하여 조치함.</t>
    <phoneticPr fontId="1" type="noConversion"/>
  </si>
  <si>
    <t>우기 전 가시설 배면 배수로 정비 및 펌프 가동 상태를 점검여부를 검토하여 조치함.</t>
    <phoneticPr fontId="1" type="noConversion"/>
  </si>
  <si>
    <t>공사 중 단계별(굴착, 구조물) 유입수량(우수+지하수) 산정 및 양수기 용량 계획이 적정성 여부를 검토하여 설계에 반영함.</t>
    <phoneticPr fontId="1" type="noConversion"/>
  </si>
  <si>
    <t>집중호우 예보 시 양수기 가동 상태를 점검하고, 비상용 발전기 및 예비 펌프를 즉시 가동할 수 있도록 배치여부를 검토하여 조치함.</t>
    <phoneticPr fontId="1" type="noConversion"/>
  </si>
  <si>
    <t>가시설 굴착 심도가 지하수위 아래에 위치하는가?□ 토류판 적용 시 차수 그라우팅 비용이 반영 여부를 확인하여 내역에 계상함.</t>
    <phoneticPr fontId="1" type="noConversion"/>
  </si>
  <si>
    <t>시험터파기를 통해 실제 지하수위를 확인하고, 토류판 시공 시 배면 토사 유실 여부를 즉시 점검여부를 검토하여 조치함.</t>
    <phoneticPr fontId="1" type="noConversion"/>
  </si>
  <si>
    <t>석회암(Karst) 지형 공사 시 공동 탐지를 위한 시추 간격을 조밀하게 계획여부를 검토하여 조치함.</t>
    <phoneticPr fontId="1" type="noConversion"/>
  </si>
  <si>
    <t>시공 전/중 공동 탐지(Cavity Detection)를 위한 추가 지반조사 비용을 반영함 여부를 정밀 검측하고 시공 계획에 따라 이행함.</t>
    <phoneticPr fontId="1" type="noConversion"/>
  </si>
  <si>
    <t>• 04_설계서/1공구/토목/01. 종합요약보고서.pdf
• 06.체크리스트/분야별/05_토질 및 기초/토질 및 기초_설계추진방향보고_가시설 설계기준 검토_rev.00_260529.pdf
• 지반조사 및 지하수 조사기준(국토교통부)
• KDS 11 10 05 지반조사 설계기준
• 엔지니어링산업 진흥법</t>
    <phoneticPr fontId="1" type="noConversion"/>
  </si>
  <si>
    <t>절토 사면의 암선 확인을 위한 시추 조사가 옹벽 앵커 설계에 반영 여부를 확인하여 내역에 계상함.</t>
    <phoneticPr fontId="1" type="noConversion"/>
  </si>
  <si>
    <t>착공 초기 확인 시추를 수행하여 설계 암선과 실제 암선의 차이를 규명여부를 검토하여 조치함.</t>
    <phoneticPr fontId="1" type="noConversion"/>
  </si>
  <si>
    <t>구조물 실제 위치에서 시추조사가 수행되었는가? (이격 거리 확인) 여부를 확인하고 반영함.</t>
    <phoneticPr fontId="1" type="noConversion"/>
  </si>
  <si>
    <t>실제 굴착 전 시추 조사를 통해 모래/자갈층 유무를 확인하고 가시설 공법을 재검토를 완료하고 서류에 명기함.</t>
    <phoneticPr fontId="1" type="noConversion"/>
  </si>
  <si>
    <t>산악지/계곡부의 경우 전석(Boulder)층 출현 가능성을 고려하여 할증을 반영여부를 검토하여 조치함.</t>
    <phoneticPr fontId="1" type="noConversion"/>
  </si>
  <si>
    <t>터파기 중 전석 발견 시 사진 대장 및 반출증을 확보하여 설계 변경 근거로 삼고 여부를 확인함.</t>
    <phoneticPr fontId="1" type="noConversion"/>
  </si>
  <si>
    <t>연약지반 내 관로 터파기 시 히빙(Heaving) 및 보일링(Boiling) 검토가 수행되었여부를 검토하여 조치함.</t>
    <phoneticPr fontId="1" type="noConversion"/>
  </si>
  <si>
    <t>굴착 저면의 융기 현상을 계측하고, 이상 징후 시 즉시 치환 또는 가시설 보강을 수행여부를 검토하여 조치함.</t>
    <phoneticPr fontId="1" type="noConversion"/>
  </si>
  <si>
    <t>방음벽, 옹벽 등 부대 구조물 설치 위치에 대한 지반 조사 데이터가 확보 여부를 점검하여 조치함.</t>
    <phoneticPr fontId="1" type="noConversion"/>
  </si>
  <si>
    <t>파일 항타/천공 전 시항타 또는 시추를 통해 지지층 심도를 재확인하고 현장 시공에 적용함.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</si>
  <si>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KDS 11 80 00 옹벽 설계기준
• 구조물 기초설계기준(국토교통부)
• KCS 11 80 00 옹벽공사 표준시방서</t>
    <phoneticPr fontId="1" type="noConversion"/>
  </si>
  <si>
    <t>가설 구조물(제작장, 가교) 기초 위치에 대한 별도의 지반 조사 계획이 수립되었여부를 검토하여 조치함.</t>
    <phoneticPr fontId="1" type="noConversion"/>
  </si>
  <si>
    <t>시공 전/중 실제 연암 출현 심도에 맞춰 매입말뚝 길이를 연장하고 공사비를 증액함 여부를 정밀 검측하고 시공 계획에 따라 이행함.</t>
    <phoneticPr fontId="1" type="noConversion"/>
  </si>
  <si>
    <t>지하 시설물의 정전 시 침수 시뮬레이션을 수행하고, UPS 및 비상발전기 용량이 충분한여부를 검토하여 조치함.</t>
    <phoneticPr fontId="1" type="noConversion"/>
  </si>
  <si>
    <t>시공 전/중 정전 시에도 작동 가능한 수위계, 비상전원공급장치(UPS), 차단 수문 등을 추가 설치하여 침수 리스크를 해소함 여부를 정밀 검측하고 시공 계획에 따라 이행함.</t>
    <phoneticPr fontId="1" type="noConversion"/>
  </si>
  <si>
    <t>개착 구조물 기초 바닥에 지하수 배제를 위한 맹암거 및 유공관이 반영 여부를 확인하여 내역에 계상함.</t>
    <phoneticPr fontId="1" type="noConversion"/>
  </si>
  <si>
    <t>터파기 바닥면 용출수 발생 시 즉시 트렌치를 굴착하고 유공관을 매설하여 건조 상태를 유지여부를 검토하여 조치함.</t>
    <phoneticPr fontId="1" type="noConversion"/>
  </si>
  <si>
    <t>터파기 구간의 지하수 유입량에 따른 오탁수 처리 시설 용량 및 비용이 환경관리비에 포함되었여부를 검토하여 조치함.</t>
    <phoneticPr fontId="1" type="noConversion"/>
  </si>
  <si>
    <t>시공 전/중 법적 기준(SS 적정 규격/거리g/L) 준수를 위해 이동식 오탁수 처리시설을 설치하고, 배수 유도를 위한 맹암거 및 PE 배수로를 추가함 여부를 정밀 검측하고 시공 계획에 따라 이행함.</t>
    <phoneticPr fontId="1" type="noConversion"/>
  </si>
  <si>
    <t>도심지/운행선 인접 구간 암파쇄 공법이 '미진동'이 아닌 '무진동'으로 반영 여부를 확인하여 내역에 계상함.
민원 발생 시 공법 변경에 따른 공기 지연 리스크를 고려여부를 검토하여 조치함.</t>
    <phoneticPr fontId="1" type="noConversion"/>
  </si>
  <si>
    <t>착공 전 인근 주민/상인들에게 소음/진동 발생 시기 및 저감 대책을 설명여부를 검토하여 조치함.</t>
    <phoneticPr fontId="1" type="noConversion"/>
  </si>
  <si>
    <t>공사 구간 50m 이내에 정온시설(병원, 학교)이 여부를 확인함.
이동식 에어방음벽 등 추가 대책 비용이 예산에 여부를 확인함.</t>
    <phoneticPr fontId="1" type="noConversion"/>
  </si>
  <si>
    <t>장비 투입 전 가설 방음벽 설치를 선행여부를 검토하여 조치함.
병원 측과 진료/수술 시간을 협의하여 고소음 작업 시간을 조정여부를 검토하여 조치함.</t>
    <phoneticPr fontId="1" type="noConversion"/>
  </si>
  <si>
    <t>방음벽 끝단 및 고층부(대각선 방향)에 대한 소음 시뮬레이션(3D)이 수행되었여부를 검토하여 조치함.</t>
    <phoneticPr fontId="1" type="noConversion"/>
  </si>
  <si>
    <t>착공 전 배경 소음을 측정하고, 골조 공사 진행에 따라 변화하는 소음도를 모니터링여부를 검토하여 조치함.</t>
    <phoneticPr fontId="1" type="noConversion"/>
  </si>
  <si>
    <t>현장 내 유용토 적치 공간이 토공량 대비 충분한가? (부족 시 외부 반출 및 재반입 비용 반영 여부) 여부를 확인하고 반영함.</t>
    <phoneticPr fontId="1" type="noConversion"/>
  </si>
  <si>
    <t>외부 가적치장 운영 시 대기환경보전법 준수를 위한 가설 휀스 및 세륜기 비용을 확보여부를 검토하여 조치함.</t>
    <phoneticPr fontId="1" type="noConversion"/>
  </si>
  <si>
    <t>토공 유동 계획 수립 시 인접 공구 반입 시기와 당 현장 절토 시기의 정합성을 검토를 완료하고 서류에 명기함.</t>
    <phoneticPr fontId="1" type="noConversion"/>
  </si>
  <si>
    <t>반출 지연 발생 시 즉시 공문으로 통보하고, 가적치에 따른 중복 운반비(Double Handling) 데이터를 생성여부를 검토하여 조치함.</t>
    <phoneticPr fontId="1" type="noConversion"/>
  </si>
  <si>
    <t>성토재 반입 시 즉시 성토가 불가능한 경우(우기, 공정 간섭)를 대비한 가적치 비용이 여부를 확인함.</t>
    <phoneticPr fontId="1" type="noConversion"/>
  </si>
  <si>
    <t>노상 성토용 양질 토사 확보가 어려울 경우, 선별 또는 외부 반입에 따른 가적치 비용을 협의여부를 검토하여 조치함.</t>
    <phoneticPr fontId="1" type="noConversion"/>
  </si>
  <si>
    <t>RCD 굴착 예정 구간의 암반 상태(RQD)와 파쇄대 유무를 확인하고 현장 시공에 적용함.</t>
    <phoneticPr fontId="1" type="noConversion"/>
  </si>
  <si>
    <t>공벽 붕괴 발생 시 즉시 채움(Grouting) 후 재굴착하거나 케이싱을 압입할 장비가 준비되었여부를 검토하여 조치함.</t>
    <phoneticPr fontId="1" type="noConversion"/>
  </si>
  <si>
    <t>가시설 설계 시 3D 지하수 유동해석을 수행하고, 허용 침하 초과 시 불투수층 근입 차수벽(CIP, Slurry Wall)·함양정 계획을 반영함.</t>
    <phoneticPr fontId="1" type="noConversion"/>
  </si>
  <si>
    <t>지하수위계·침하계로 실시간 계측하고, 흙막이 이음부(H-Pile 조인트 등) 누수 시 즉각 차수 그라우팅을 실시함.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</si>
  <si>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노면전차시설 설계 가이드라인 (지하수 유동해석 및 굴착 지반안정성 기준)</t>
    <phoneticPr fontId="1" type="noConversion"/>
  </si>
  <si>
    <t>발주처 기본 및 실시설계 지반조사 R/O별 Cost effect 분석.</t>
    <phoneticPr fontId="1" type="noConversion"/>
  </si>
  <si>
    <t>신설교량하부 연약지반 추가 시추를 통한 교량 설계 검토, 차량기지 옹벽 배면부 추가 지중조사후 안정성 검토, 도로 중앙분리대 현장시험후 지지력 확보 여부 확인.</t>
    <phoneticPr fontId="1" type="noConversion"/>
  </si>
  <si>
    <t>• 04_설계서/1공구/토목/01. 종합요약보고서.pdf
• 06.체크리스트/분야별/05_토질 및 기초/토질 및 기초_설계추진방향보고_가시설 설계기준 검토_rev.00_260529.pdf
• KDS 11 80 00 옹벽 설계기준
• 구조물 기초설계기준(국토교통부)
• KCS 11 80 00 옹벽공사 표준시방서</t>
    <phoneticPr fontId="1" type="noConversion"/>
  </si>
  <si>
    <t>입찰설계시 미시추 구간 및 설계특화구간 추가조사 계획 수립.</t>
    <phoneticPr fontId="1" type="noConversion"/>
  </si>
  <si>
    <t>추가 지반조사 실시 후 설계특화/공사비 이펙트를 고려하여 설계반영, 외부지반조사 자문검토(추가지반조사 계획, 지반물성치, 지반설계 R/O 검토) 반영함.</t>
    <phoneticPr fontId="1" type="noConversion"/>
  </si>
  <si>
    <t>사질토 및 고수위 도심지 흙막이 설계 시, 불투수층까지 차수벽(CIP, JSP 등) 근입 심도를 연장하고 침투류 해석을 통해 파이핑·보일링·히빙 설계 안전율을 구조계산서에 확보함.</t>
    <phoneticPr fontId="1" type="noConversion"/>
  </si>
  <si>
    <t>차수벽 천공 수직도를 관리해 이음부(Joint)를 밀실 시공하고, 모래 끓음(Boiling)·다량 용출수 발견 시 즉시 굴착 중지 및 가물막이 압성토·배면 약액주입(그라우팅)을 이행함.</t>
    <phoneticPr fontId="1" type="noConversion"/>
  </si>
  <si>
    <t>• 06.체크리스트/분야별/05_토질 및 기초/토질 및 기초_설계추진방향보고_가시설 설계기준 검토_rev.00_260529.pdf
• 04_설계서/1공구/토목/01. 종합요약보고서.pdf
• KDS 21 30 00 (가설흙막이 설계기준)
• KCS 21 30 00 (가설흙막이 공사 표준시방서)
• 지하안전관리에 관한 특별법</t>
    <phoneticPr fontId="1" type="noConversion"/>
  </si>
  <si>
    <t>개착 흙막이 설계 시 지표수 유입 방지용 임시 가배수로 및 차수턱(콘크리트 가물막이)을 반영하고, 내부 우수 처리용 가설 집수정·펌프 용량을 수리계산해 계상함.</t>
    <phoneticPr fontId="1" type="noConversion"/>
  </si>
  <si>
    <t>우기 전 외곽 가배수로 정비 및 배면 토사 비닐(천막지) 덮기로 빗물을 차단하고, 예비 양수 펌프·비상 발전기를 상시 비치해 방재 체계를 구축함.</t>
    <phoneticPr fontId="1" type="noConversion"/>
  </si>
  <si>
    <t>• 04_설계서/1공구/토목/01. 종합요약보고서.pdf
• 06.체크리스트/분야별/05_토질 및 기초/토질 및 기초_설계추진방향보고_가시설 설계기준 검토_rev.00_260529.pdf
• KCS 21 30 00 (가설흙막이 공사 표준시방서)
• 하천설계기준(가배수 시설)
• 건설공사 재난 및 안전관리 가이드라인</t>
    <phoneticPr fontId="1" type="noConversion"/>
  </si>
  <si>
    <t>선로 횡단 배수관 매설 깊이를 동결심도 이하로 확보하여 동상(Frost Heave)을 막고, 차량 하중(Impact Zone) 파손 방지용 구조적 보강을 반영함.</t>
    <phoneticPr fontId="1" type="noConversion"/>
  </si>
  <si>
    <t>동결심도 이하로 관로 매설을 굴착하고, 되메우기 시 비동결성 재료(조립질 토사 등)를 사용해 다짐도 95% 이상 층다짐함.</t>
    <phoneticPr fontId="1" type="noConversion"/>
  </si>
  <si>
    <t>• 04_설계서/1공구/토목/01. 종합요약보고서.pdf
• 06.체크리스트/분야별/05_토질 및 기초/토질 및 기초_설계추진방향보고_가시설 설계기준 검토_rev.00_260529.pdf
• 철도설계지침 및 편람(노반편)
• KDS 11 20 20 (동상방지설계기준)
• 하수도 설계기준</t>
    <phoneticPr fontId="1" type="noConversion"/>
  </si>
  <si>
    <t>가시설 구조계산 시 굴착 단계는 삼각형 토압, 장기 유지 단계는 경험토압(Terzaghi/Peck 등)을 적용해 이원화하고, 지하수위 아래 차수 벽체는 정수압을 가산해 안정성을 확인함.</t>
    <phoneticPr fontId="1" type="noConversion"/>
  </si>
  <si>
    <t>가시설 장기 노출 시 버팀보(Strut)에 층별 하중계(Load Cell)를 설치해, 실제 토압과 설계 경험토압 오차를 상시 비교하여 지보공 이상 유무를 선제 통제함.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</si>
  <si>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(가설흙막이 설계기준 및 토압산정 기준)</t>
    <phoneticPr fontId="1" type="noConversion"/>
  </si>
  <si>
    <t>가시설(H-Pile 등) 설계 시 GPR 및 지장물 대장 기반으로 매설물 간섭 여부를 3D BIM 등으로 검토하고, 노출 상수관 동파 방지용 보온/매달기 보강 상세도를 도면에 반영함.</t>
    <phoneticPr fontId="1" type="noConversion"/>
  </si>
  <si>
    <t>천공 전 인력 터파기(줄파기)로 지장물 유무를 100% 육안 확인하고, 노출 상수관에 동절기 전 보온재와 열선(Heating Cable)을 밀실 시공해 동파를 예방함.</t>
    <phoneticPr fontId="1" type="noConversion"/>
  </si>
  <si>
    <t>• 04_설계서/1공구/토목/01. 종합요약보고서.pdf
• 06.체크리스트/분야별/05_토질 및 기초/토질 및 기초_설계추진방향보고_가시설 설계기준 검토_rev.00_260529.pdf
• 지하안전관리에 관한 특별법
• 상수도설계기준
• KCS 21 30 00 (가설흙막이 공사 표준시방서)</t>
    <phoneticPr fontId="1" type="noConversion"/>
  </si>
  <si>
    <t>도심지 굴착 설계 시 측압·인접 상재하중을 반영해 가시설 구조계산을 수행하고, 허용 침하량 통제용 고강성 흙막이 공법(CIP 등) 및 단계별 계측 계획을 도서에 반영함.</t>
    <phoneticPr fontId="1" type="noConversion"/>
  </si>
  <si>
    <t>설계된 강재 규격·설치 간격을 엄수하고, 굴착 시 계측 관리기준치(Warning Level) 도달 여부를 확인해 이상 변위 시 즉각 굴착 중지 및 보강 조치(어스앵커 등)를 실시함.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</si>
  <si>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KDS 21 30 00 (가설흙막이 설계기준)
• KCS 21 30 00 (가설흙막이 공사 표준시방서)
• 지하안전관리에 관한 특별법</t>
    <phoneticPr fontId="1" type="noConversion"/>
  </si>
  <si>
    <t>Risk 및 Opportunity 분석 결과에 기반한 설계변경 ITEM 도출 확인(지반특성 변경구간), 유사사업 L/L, B/P, R/P 검토를 통한 설계변경 ITEM 검토 확인, 제작장(시공사 책임 구간) 구간에 대한 상세 지반조사 반영.</t>
    <phoneticPr fontId="1" type="noConversion"/>
  </si>
  <si>
    <t>개착 굴착 시 기존 차로 유지를 위한 가설 복공(주형보, 복공판) 배치를 계획하고, 접속부 단차 완화, 미끄럼 방지, 단부 추락방지용 가드레일 물량을 내역에 반영함.</t>
    <phoneticPr fontId="1" type="noConversion"/>
  </si>
  <si>
    <t>복공판 이음매 유격 고정 및 고무패드로 소음을 저감하고, 노출부에 야간 시인성이 확보된 추락방지 난간을 밀실 시공해 교통 안전을 통제함.</t>
    <phoneticPr fontId="1" type="noConversion"/>
  </si>
  <si>
    <t>• 04_설계서/1공구/토목/01. 종합요약보고서.pdf
• 06.체크리스트/분야별/05_토질 및 기초/토질 및 기초_설계추진방향보고_가시설 설계기준 검토_rev.00_260529.pdf
• 도로공사장 교통관리지침
• KCS 21 30 00 (가설흙막이 공사 표준시방서)
• 산업안전보건기준에 관한 규칙</t>
    <phoneticPr fontId="1" type="noConversion"/>
  </si>
  <si>
    <t>용출수 배출을 위해 하수관로 최대 통수능력을 수리 계산해 범람(Backflow) 없는 배수 경로를 지정하고, 오탁수 처리용 침사지 규모를 수량산출서에 반영함.</t>
    <phoneticPr fontId="1" type="noConversion"/>
  </si>
  <si>
    <t>펌프 가동 전 지자체와 하수도 사용을 협의하고, 굴착 탁수는 가설 침사지를 거쳐 수질 기준(SS 등) 만족 시에만 하수관로에 방류토록 수질 측정함.</t>
    <phoneticPr fontId="1" type="noConversion"/>
  </si>
  <si>
    <t>• 04_설계서/1공구/토목/01. 종합요약보고서.pdf
• 06.체크리스트/분야별/05_토질 및 기초/토질 및 기초_설계추진방향보고_가시설 설계기준 검토_rev.00_260529.pdf
• 하수도법
• 수질 및 수생태계 보전에 관한 법률
• KCS 11 20 15 (토공사 표준시방서)</t>
    <phoneticPr fontId="1" type="noConversion"/>
  </si>
  <si>
    <t>통신/전기 핸드홀 및 관로 터파기 1.5m 초과 또는 수분 지반 시 무지보 오픈굴착을 배제하고, 조절식 간이 흙막이 공법(트렌치 서포트 등)을 단가와 도면에 반영함.</t>
    <phoneticPr fontId="1" type="noConversion"/>
  </si>
  <si>
    <t>터파기 전 지하시설물 탐사를 실시하고, 1.5m 이상 터파기 시 조절식 간이 흙막이를 선행 설치 후 내부 작업을 진행하여 토사 붕괴로부터 작업자를 보호함.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</si>
  <si>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산업안전보건기준에 관한 규칙
• 굴착공사 표준안전작업지침(고용노동부)
• KCS 11 20 15 (토공사 표준시방서)</t>
    <phoneticPr fontId="1" type="noConversion"/>
  </si>
  <si>
    <t>지하구조물·차량기지 굴착 설계 시 반경 1km 지하수위 및 유동 변화를 3차원 수치해석(MODFLOW 등)하고, 압밀침하 방지용 차수 그라우팅 및 지하수 함양 대책을 반영함.</t>
    <phoneticPr fontId="1" type="noConversion"/>
  </si>
  <si>
    <t>굴착·양수 전 지하수위 관측공을 설치해 일일 계측하고, 과도한 수위 강하 시 즉시 양수 중단 및 차수 보강·리차지 웰(Recharge Well)로 원상 복구함.</t>
    <phoneticPr fontId="1" type="noConversion"/>
  </si>
  <si>
    <t>• 04_설계서/1공구/토목/01. 종합요약보고서.pdf
• 06.체크리스트/분야별/05_토질 및 기초/토질 및 기초_설계추진방향보고_가시설 설계기준 검토_rev.00_260529.pdf
• 지하안전관리에 관한 특별법
• 지하수법
• KDS 11 10 15 (지하수 조사 및 해석 설계기준)</t>
    <phoneticPr fontId="1" type="noConversion"/>
  </si>
  <si>
    <t>발주처 지반조사 적정성 검토 확인: 시추 위치/수량, 물량 결과, 미시추 구간 지반특성, 교각/터널 구간 지질이상대 검토, 연약지반처리기간, 기타 시공기간 변동사항 등 공정영향 검토, 추가조사 필요 위치/수량 검토 확인.</t>
    <phoneticPr fontId="1" type="noConversion"/>
  </si>
  <si>
    <t>구조물 설계 시 시추조사(N치, 암반선 등)를 바탕으로 기초를 최적 선정하고, 트램·토압 재하 시 전단파괴 안전율(평상시 3.0 이상) 확보 및 부등침하 방지 구조계산을 도면에 반영함.</t>
    <phoneticPr fontId="1" type="noConversion"/>
  </si>
  <si>
    <t>직접기초는 평판재하시험(PBT)으로 지내력을 확인하고, 말뚝기초는 시항타 및 동·정재하 시험으로 지지력을 검증 후 기초 콘크리트를 타설함.</t>
    <phoneticPr fontId="1" type="noConversion"/>
  </si>
  <si>
    <t>• 04_설계서/1공구/토목/01. 종합요약보고서.pdf
• 06.체크리스트/분야별/05_토질 및 기초/토질 및 기초_설계추진방향보고_가시설 설계기준 검토_rev.00_260529.pdf
• KDS 11 50 05 (얕은기초 설계기준)
• KDS 11 50 15 (깊은기초 설계기준)
• 철도설계지침 및 편람(구조물기초편)</t>
    <phoneticPr fontId="1" type="noConversion"/>
  </si>
  <si>
    <t>교대·교각 깊은기초(말뚝) 설계 시, 말뚝 총 길이가 직경의 10배(10D) 이상이 되도록 하고 지지층 관입 깊이(풍화암층 1.0m 이상, 연암층 0.5m 이상)를 단면도에 반영함.</t>
    <phoneticPr fontId="1" type="noConversion"/>
  </si>
  <si>
    <t>말뚝 천공 시 슬라임 및 코어 샘플로 지지층(풍화암, 연암) 심도를 확인(암판정)하고, 최소 근입 깊이 이상 천공 여부를 전수 검측 후 콘크리트를 타설함.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</si>
  <si>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(기초형식 선정기준 및 깊은기초 적용심도 기준)</t>
    <phoneticPr fontId="1" type="noConversion"/>
  </si>
  <si>
    <t>대규모 절토부 설계 시 TCR, RQD 기반 한계평형해석으로 우기(Fs&gt;1.2)·건기(Fs&gt;1.5) 안전율 만족 사면 기울기 및 지보재(록볼트 등)를 도면에 반영함.</t>
    <phoneticPr fontId="1" type="noConversion"/>
  </si>
  <si>
    <t>절토 시 암질(TCR, RQD)을 Face Mapping 검증하고, 산마루 측구·소단 배수로를 선시공해 빗물 침투를 차단함.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</si>
  <si>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(비탈면 기준안전율 및 안정해석 기준)</t>
    <phoneticPr fontId="1" type="noConversion"/>
  </si>
  <si>
    <t>지반조사 결과 사질토 지반의 액상화(Liquefaction) 가능성을 평가하고, 위험 구역은 기초 심도 하향 및 지반개량 대책을 내진설계에 반영함.</t>
    <phoneticPr fontId="1" type="noConversion"/>
  </si>
  <si>
    <t>대책공법(동다짐, 쇄석말뚝 등) 전후 현장 원위치시험(SPT, CPT 등)으로 개량 목표치(N치 등)를 검증하고, 지층 상이 시 즉각 보완 대책을 강구함.</t>
    <phoneticPr fontId="1" type="noConversion"/>
  </si>
  <si>
    <t>• 06.체크리스트/분야별/05_토질 및 기초/토질_설계추진방향_노반 현장다짐시험 품질관리 기준 검토-01.pdf
• 04_설계서/1공구/토목/01. 종합요약보고서.pdf
• KDS 17 10 00 (내진설계 일반)
• KDS 11 00 00 (지반설계기준)
• 시설물의 안전 및 유지관리 세부지침</t>
    <phoneticPr fontId="1" type="noConversion"/>
  </si>
  <si>
    <t>매립형 콘크리트 궤도 하부 노반(강화노반·기초콘크리트)의 소성변형 방지용 지지력(EV2 80MPa 이상 등)을 규정하고, 검증용 평판재하(PBT) 또는 동평판재하(LFWD) 물량·위치를 내역에 반영함.</t>
    <phoneticPr fontId="1" type="noConversion"/>
  </si>
  <si>
    <t>층별 다짐 두께·최적함수비 유지로 다짐도 95% 이상을 확보하고, 도상콘크리트 타설 전 반복평판재하시험을 통해 요구 지지력(EV2) 만족 여부를 전수 검증함.</t>
    <phoneticPr fontId="1" type="noConversion"/>
  </si>
  <si>
    <t>• 06.체크리스트/분야별/05_토질 및 기초/토질_설계추진방향_노반 현장다짐시험 품질관리 기준 검토-01.pdf
• 04_설계서/1공구/토목/01. 종합요약보고서.pdf
• 노면전차 시설 설계 가이드라인
• 철도설계기준(노반편)
• KCS 11 20 15 (토공사 표준시방서)</t>
    <phoneticPr fontId="1" type="noConversion"/>
  </si>
  <si>
    <t>대규모 개착 굴착 설계 시 반경 1km 3D 광역 지하수 유동해석을 수행해 수자원 고갈·연동 침하를 평가하고, 불투수층 차수벽·인공 함양정 대책을 수립함.</t>
    <phoneticPr fontId="1" type="noConversion"/>
  </si>
  <si>
    <t>굴착 시 반경 1km 내 수위계를 설치해 모니터링하고, 허용 강하량 초과 시 즉각 양수 중지 및 차수 보강(그라우팅)을 실시함.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</si>
  <si>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(지역 특수성을 고려한 지하수 유동 분석 및 대책 기준)</t>
    <phoneticPr fontId="1" type="noConversion"/>
  </si>
  <si>
    <t>개착 굴착 설계 시 유한요소해석으로 벽체 변위 및 배면 침하를 제어하는 고강성 지보재를 계획하고, ICT 기반 실시간 자동화 스마트 계측 시스템을 반영함.</t>
    <phoneticPr fontId="1" type="noConversion"/>
  </si>
  <si>
    <t>버팀보(Strut) 설치 지연 방지를 위해 선행 굴착 깊이를 엄격히 제한하고, 스마트 계측 변위가 관리기준 도달 시 즉각 굴착 중지 및 보조 지보재(어스앵커 등)를 보강함.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</si>
  <si>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(가시설 구조물 안정성 및 스마트 계측관리 기준)</t>
    <phoneticPr fontId="1" type="noConversion"/>
  </si>
  <si>
    <t>도심지 굴착 시 미세 변위 상시 감시를 위해 IoT 센서 기반 스마트 자동화 계측 기기(지중경사계 등)와 실시간 무선 데이터 전송 시스템을 계측계획서와 내역서에 반영함.</t>
    <phoneticPr fontId="1" type="noConversion"/>
  </si>
  <si>
    <t>굴착 전 스마트 계측 센서 부착 및 초기치(Initial Value) 세팅 후, 관리기준치(Warning Level) 도달 시 모바일 즉각 경고 알람 연동 테스트를 철저히 이행함.</t>
    <phoneticPr fontId="1" type="noConversion"/>
  </si>
  <si>
    <t>• 06.체크리스트/분야별/05_토질 및 기초/토질 및 기초_설계추진방향보고_가시설 설계기준 검토_rev.00_260529.pdf
• 04_설계서/1공구/토목/01. 종합요약보고서.pdf
• 스마트 건설기술 활용지침(국토교통부)
• 건설공사 계측관리기준
• 지하안전관리에 관한 특별법</t>
    <phoneticPr fontId="1" type="noConversion"/>
  </si>
  <si>
    <t>굴착 가시설 설계 시 굴착 깊이 최소 2배 영향권 내 지표투과레이더(GPR) 등 3D 지하공동 정밀 탐사비용을 명시하고, 의심 구간 채움(그라우팅) 보강 대책을 도서에 반영함.</t>
    <phoneticPr fontId="1" type="noConversion"/>
  </si>
  <si>
    <t>굴착 전 영향권 내 GPR 탐사로 지하공동 위치·규모를 100% 파악해 밀크 그라우팅 채움 시공을 선행하고, 굴착 중 지표침하계로 인접 도로 변위를 엄격히 통제함.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</si>
  <si>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(도심지 굴착 지반안정성 및 지하공동 탐사 기준)</t>
    <phoneticPr fontId="1" type="noConversion"/>
  </si>
  <si>
    <t>도심지·주거지 인접 구간 굴착·성토 시 대형 토공장비를 배제하고, 소음·진동을 최소화하는 저소음 굴삭기 등 친환경 장비 조합을 시방서와 단가산출서에 반영함.</t>
    <phoneticPr fontId="1" type="noConversion"/>
  </si>
  <si>
    <t>저소음·저진동 장비 반입 성능을 검수하고, 주거지 인접 작업 시 시간대 통제(야간·새벽 지양) 및 장비 동선에 방음 판넬을 가설해 민원을 차단함.</t>
    <phoneticPr fontId="1" type="noConversion"/>
  </si>
  <si>
    <t>• 04_설계서/1공구/토목/01. 종합요약보고서.pdf
• 06.체크리스트/분야별/05_토질 및 기초/토질 및 기초_설계추진방향보고_가시설 설계기준 검토_rev.00_260529.pdf
• 소음·진동관리법
• 건설기계관리법
• KCS 11 20 15 (토공사 표준시방서)</t>
    <phoneticPr fontId="1" type="noConversion"/>
  </si>
  <si>
    <t>매립형 궤도 하부 노반(강화노반 등) 소요 지지력(Ev2, K30 등) 기준을 설정하고, 층별 다짐 두께 및 반복평판재하시험(PBT) 수량을 시방서·수량산출서에 반영함.</t>
    <phoneticPr fontId="1" type="noConversion"/>
  </si>
  <si>
    <t>노반 성토 시 최대건조밀도·최적함수비 관리 하에 층다짐하고, 타설 전 동평판(LWD) 또는 반복평판재하시험(PBT)으로 설계 지지력 만족 여부를 전수 검측함.</t>
    <phoneticPr fontId="1" type="noConversion"/>
  </si>
  <si>
    <t>• 06.체크리스트/분야별/05_토질 및 기초/토질_설계추진방향_노반 현장다짐시험 품질관리 기준 검토-01.pdf
• 04_설계서/1공구/토목/01. 종합요약보고서.pdf
• 노면전차시설 설계 가이드라인 (구조물 기초 및 노반 설계 기준)</t>
    <phoneticPr fontId="1" type="noConversion"/>
  </si>
  <si>
    <t>변전소 및 전기실 기초 설계 시, 특고압 수배전반 장비 하중과 하부 케이블 피트(Trench)용 무근 콘크리트 사하중을 기초 지지력 및 침하 구조계산에 반영함.</t>
    <phoneticPr fontId="1" type="noConversion"/>
  </si>
  <si>
    <t>터파기 후 지내력 시험(PBT)으로 장비 하중 포함 극한 설계 하중 이상의 지지력을 확인하고, 피트용 무근 콘크리트 타설 시 슬래브 부착 강도를 높이는 표면 면처리(Chipping)를 이행함.</t>
    <phoneticPr fontId="1" type="noConversion"/>
  </si>
  <si>
    <t>• 04_설계서/1공구/토목/01. 종합요약보고서.pdf
• 06.체크리스트/분야별/05_토질 및 기초/토질 및 기초_설계추진방향보고_가시설 설계기준 검토_rev.00_260529.pdf
• 구조물기초설계기준
• 철도건설공사 인터페이스 관리지침
• KDS 14 20 00 (콘크리트구조 설계기준)</t>
    <phoneticPr fontId="1" type="noConversion"/>
  </si>
  <si>
    <t>깎기부 비탈면 설계 시 지하수위·지진 고려 사면안정해석(한계평형해석 등)을 수행하고, 비탈면 기울기(소단 포함) 및 보강공법(앵커, 쏘일네일링 등)을 명시함.</t>
    <phoneticPr fontId="1" type="noConversion"/>
  </si>
  <si>
    <t>굴착 시 안면관찰(Face Mapping)을 실시하고, 설계와 상이한 파쇄대·연약대 발견 시 즉시 굴착 중지 및 비탈면 완화·추가 보강공법으로 설계변경함.</t>
    <phoneticPr fontId="1" type="noConversion"/>
  </si>
  <si>
    <t>• 04_설계서/1공구/토목/01. 종합요약보고서.pdf
• 06.체크리스트/분야별/05_토질 및 기초/토질 및 기초_설계추진방향보고_가시설 설계기준 검토_rev.00_260529.pdf
• KDS 11 70 05 (비탈면 내진설계기준)
• 건설공사 비탈면 설계기준(국토교통부)
• 시설물의 안전 및 유지관리 세부지침</t>
    <phoneticPr fontId="1" type="noConversion"/>
  </si>
  <si>
    <t>깎기/쌓기 비탈면 설계 시 한계평형해석으로 기준 안전율을 확보하고, 붕괴 감지용 계측기(지표변위계, 지중경사계 등) 배치와 친환경 식생(녹화) 복원 상세도를 반영함.</t>
    <phoneticPr fontId="1" type="noConversion"/>
  </si>
  <si>
    <t>공사 시 현장 Face Mapping으로 지질 이상대(단층 파쇄대 등)를 확인해 숏크리트 및 식생 보호공을 적기 시공하고, 강우 시 일일 계측 분석으로 임계치 도달 시 즉각 보강함.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</si>
  <si>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(비탈면 안정 및 계측관리 기준)</t>
    <phoneticPr fontId="1" type="noConversion"/>
  </si>
  <si>
    <t>대규모 비탈면 설계 시 보강재(앵커, 네일링 등) 상시 점검용 통로(계단, 소단 폭 확보) 및 산마루 측구 등 영구 유지관리용 시설물을 도면에 반영함.</t>
    <phoneticPr fontId="1" type="noConversion"/>
  </si>
  <si>
    <t>소단 및 점검 계단의 폭원·구배를 정밀 측량 시공하고, 산마루 측구는 우수 침투 방지용 뒷채움 및 차수 시공을 철저히 이행함.</t>
    <phoneticPr fontId="1" type="noConversion"/>
  </si>
  <si>
    <t>• 04_설계서/1공구/토목/01. 종합요약보고서.pdf
• 06.체크리스트/분야별/05_토질 및 기초/토질 및 기초_설계추진방향보고_가시설 설계기준 검토_rev.00_260529.pdf
• 건설공사 비탈면 설계기준
• 시설물의 안전 및 유지관리 세부지침
• KDS 11 70 15 (비탈면 보호 및 보강 설계기준)</t>
    <phoneticPr fontId="1" type="noConversion"/>
  </si>
  <si>
    <t>대규모 깎기 비탈면 설계 시 강우 세굴 방지를 위한 친환경 비탈면 복원(식생) 공법(씨앗뿜어붙이기, 식생매트 등) 및 종자 배합을 시방서에 반영함.</t>
    <phoneticPr fontId="1" type="noConversion"/>
  </si>
  <si>
    <t>비탈면 굴착 즉시 식생 기반재를 타설하고, 발아·활착 시점까지 보양 덮개 및 살수로 식생 피복율 설계 기준(90% 이상 등) 달성 여부를 전수 검수함.</t>
    <phoneticPr fontId="1" type="noConversion"/>
  </si>
  <si>
    <t>• 04_설계서/1공구/토목/01. 종합요약보고서.pdf
• 06.체크리스트/분야별/05_토질 및 기초/토질 및 기초_설계추진방향보고_가시설 설계기준 검토_rev.00_260529.pdf
• 비탈면 녹화 설계 및 시공 지침
• KDS 11 70 15 (비탈면 보호 및 보강 설계기준)
• 건설공사 비탈면 설계기준</t>
    <phoneticPr fontId="1" type="noConversion"/>
  </si>
  <si>
    <t>사유지 인접부 설계 시 장래 굴착 영향을 해석하고, 경계에 강성 보강벽체(영구 흙막이 등) 및 상시 계측기를 반영함.</t>
    <phoneticPr fontId="1" type="noConversion"/>
  </si>
  <si>
    <t>경계 정밀 측량으로 사유지 침범 없이 시공하고, 상시 계측기(지중경사계, 침하계 등) 초기치(Initial Value)를 측정·인계함.</t>
    <phoneticPr fontId="1" type="noConversion"/>
  </si>
  <si>
    <t>• 06.체크리스트/분야별/05_토질 및 기초/토질_설계추진방향_노반 현장다짐시험 품질관리 기준 검토-01.pdf
• 04_설계서/1공구/토목/01. 종합요약보고서.pdf
• 철도의 건설기준에 관한 규정
• 지하안전관리에 관한 특별법
• KDS 11 00 00 (지반설계기준)</t>
    <phoneticPr fontId="1" type="noConversion"/>
  </si>
  <si>
    <t>하천 연접 교량 및 정거장 설계 시 지진응답해석으로 액상화 안전율(Fs)을 산정하고, 기준치 미달 시 동다짐·심층혼합처리(DCM)·말뚝 연장 등 액상화 방지 대책을 도면에 반영함.</t>
    <phoneticPr fontId="1" type="noConversion"/>
  </si>
  <si>
    <t>지반 개량(DCM 등) 시공 시 교반 배합비를 관리하여 설계 강도를 확보하고, 시공 후 코어 채취(Core boring) 및 현장 시험으로 밀도와 액상화 저항 성능을 전수 확인함.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</si>
  <si>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(지반 내진설계 및 액상화 평가 기준)</t>
    <phoneticPr fontId="1" type="noConversion"/>
  </si>
  <si>
    <t>정거장·차량기지 토공 설계 시 TOCYCLE 등을 활용해 토공 균형(Mass Curve)을 최적화하고, 잔여 사토 반출 경로, 사토장 위치·운반 거리, 환경 저감 비용을 내역서에 명시함.</t>
    <phoneticPr fontId="1" type="noConversion"/>
  </si>
  <si>
    <t>토사 반출 전 사토장·임시적치장 인허가(비산먼지 신고 등)를 완수하고, 운반 차량의 세륜·세차 시설 가동 및 덮개 밀폐로 도로 오염 및 민원을 차단함.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</si>
  <si>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(되메우기 및 사토장, 임시적치장 운영 기준)</t>
    <phoneticPr fontId="1" type="noConversion"/>
  </si>
  <si>
    <t>흙쌓기 비탈면 설계 시 '우기 조건'과 '지진관성력' 동시 재하 한계평형해석으로 기준안전율 1.5 이상을 만족하는 사면 경사 및 층다짐 보강 대책을 반영함.</t>
    <phoneticPr fontId="1" type="noConversion"/>
  </si>
  <si>
    <t>빗물 침투를 막기 위해 다짐 규정 및 가배수로를 확보하고, 내부 수평 맹암거·배수 매트(Drain board)를 정밀 시공해 간극수압 상승을 차단함.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</si>
  <si>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(비탈면 기준안전율 및 안정성 해석 기준)</t>
    <phoneticPr fontId="1" type="noConversion"/>
  </si>
  <si>
    <t>지지층 6.0m 이내 구간은 얕은기초를 적용하고, 기초 들뜸(Frost Heave) 방지를 위한 최소 1.0m 이상 근입 심도를 도면에 반영함.</t>
    <phoneticPr fontId="1" type="noConversion"/>
  </si>
  <si>
    <t>터파기 시 근입심도 1.0m 이상을 굴착하고, 바닥면이 N치 50 이상 지지층인지 평판재하시험(PBT)으로 검증 후 타설함.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</si>
  <si>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(기초형식 선정기준 및 얕은기초 적용심도)</t>
    <phoneticPr fontId="1" type="noConversion"/>
  </si>
  <si>
    <t>연약지반 개량(DCM, 모래다짐말뚝 등) 설계 시, 강도 증진 확인용 원위치 시험(표준관입시험 등) 횟수 및 N치 목표값을 시방서에 명시하고 시험 비용을 내역서에 반영함.</t>
    <phoneticPr fontId="1" type="noConversion"/>
  </si>
  <si>
    <t>개량 전 원지반 초기 강도(N치)를 기록하고, 완료 후 동일·인접 위치에서 표준관입시험(SPT)을 재실시해 지지력 향상 여부를 감리단 입회하에 전수 검증함.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</si>
  <si>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(연약지반 설계 검토항목 및 개량효과 검증 기준)</t>
    <phoneticPr fontId="1" type="noConversion"/>
  </si>
  <si>
    <t>연약지반 개량공법(SCP, DCM 등) 설계 시 목표 지지력(N치, 일축압축강도 등)을 설정하고, 효과 검증용 원위치 시험(표준관입시험, 확인보링 등) 수량 및 합격 기준을 내역서에 반영함.</t>
    <phoneticPr fontId="1" type="noConversion"/>
  </si>
  <si>
    <t>본 시공 전 시험시공(Test Section)으로 장비 세팅(관입 속도, 교반/주입량)을 하고, 양생 후 확인보링·현장시험으로 N치와 심도의 설계조건 100% 만족 여부를 판정함.</t>
    <phoneticPr fontId="1" type="noConversion"/>
  </si>
  <si>
    <t>• 06.체크리스트/분야별/05_토질 및 기초/토질_설계추진방향_노반 현장다짐시험 품질관리 기준 검토-01.pdf
• 04_설계서/1공구/토목/01. 종합요약보고서.pdf
• KDS 11 20 15 (연약지반설계)
• KCS 11 20 15 (토공사 표준시방서)
• 구조물기초설계기준</t>
    <phoneticPr fontId="1" type="noConversion"/>
  </si>
  <si>
    <t>심층 지반개량공법(PBD, SCP 등) 미적용 구간은 토성시험 기반으로 자연 압밀·선행하중 소요 압밀기간을 산정해 CPM 전체 공정표에 방치(대기) 기간으로 반영함.</t>
    <phoneticPr fontId="1" type="noConversion"/>
  </si>
  <si>
    <t>미개량 구간 흙쌓기 후 지표침하판·층별침하계로 계측하고, 소요 압밀기간 경과 및 실제 잔류침하량이 허용치 내로 수렴함을 감리단 승인 후 기초 콘크리트를 타설함.</t>
    <phoneticPr fontId="1" type="noConversion"/>
  </si>
  <si>
    <t>• 04_설계서/1공구/토목/01. 종합요약보고서.pdf
• 06.체크리스트/분야별/05_토질 및 기초/토질 및 기초_설계추진방향보고_가시설 설계기준 검토_rev.00_260529.pdf
• KDS 11 20 15 (연약지반설계)
• KCS 11 20 15 (토공사 표준시방서)
• 철도설계지침 및 편람(노반편)</t>
    <phoneticPr fontId="1" type="noConversion"/>
  </si>
  <si>
    <t>지반조사로 연약지반의 압밀계수, 예상 침하량·압밀소요기간을 산정하고, 잔류침하 제어용 최적 개량공법(치환, 압성토, PBD 등)을 도서·수량산출서에 반영함.</t>
    <phoneticPr fontId="1" type="noConversion"/>
  </si>
  <si>
    <t>연약지반 개량 시공 후 지표침하판·층별침하계 등을 조기 설치해, 압밀 완료까지 실제 침하 거동과 설계 예측치 일치 여부를 모니터링함.</t>
    <phoneticPr fontId="1" type="noConversion"/>
  </si>
  <si>
    <t>• 06.체크리스트/분야별/05_토질 및 기초/토질_설계추진방향_노반 현장다짐시험 품질관리 기준 검토-01.pdf
• 04_설계서/1공구/토목/01. 종합요약보고서.pdf
• 철도의 건설기준에 관한 규정
• KDS 11 20 15 (연약지반설계)
• 구조물기초설계기준</t>
    <phoneticPr fontId="1" type="noConversion"/>
  </si>
  <si>
    <t>연약지반 성토 노반 설계 시 압밀 진행·비배수 전단강도 증가율을 산정해 단계별 흙쌓기 높이·대기기간을 설정하고, 원호활동 파괴 방지용 한계 성토속도(일일/월간 최대 성토고)를 시방서에 명시함.</t>
    <phoneticPr fontId="1" type="noConversion"/>
  </si>
  <si>
    <t>성토 시 지중경사계·층별침하계로 지반 일일 수평/수직 변위를 모니터링하고, 규정된 한계 성토속도(일일 최대 성토고)를 초과하지 않게 장비 투입 및 일정을 통제함.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</si>
  <si>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(연약지반 설계 및 흙쌓기 안정성 검토 기준)</t>
    <phoneticPr fontId="1" type="noConversion"/>
  </si>
  <si>
    <t>연약지반 설계 시 장기 2차 압밀침하를 허용 잔류침하량 이내로 제어하고, 운영 중 모니터링용 영구 지표/지중 침하계측기 물량 및 계측계획서를 도서에 반영함.</t>
    <phoneticPr fontId="1" type="noConversion"/>
  </si>
  <si>
    <t>계측 센서·케이블을 보호해 운영기관에 초기치(Base Data)와 함께 인계하고, 최종 잔류침하 추세가 허용치 초과 예상 시 추가 지반 보강(마이크로파일 등)을 선행함.</t>
    <phoneticPr fontId="1" type="noConversion"/>
  </si>
  <si>
    <t>• 04_설계서/1공구/토목/01. 종합요약보고서.pdf
• 06.체크리스트/분야별/05_토질 및 기초/토질 및 기초_설계추진방향보고_가시설 설계기준 검토_rev.00_260529.pdf
• KDS 11 20 15 (연약지반설계)
• 철도건설공사 계측관리 지침
• 시설물의 안전 및 유지관리 세부지침</t>
    <phoneticPr fontId="1" type="noConversion"/>
  </si>
  <si>
    <t>연약지반 트램 궤도 노반 성토 시 측방유동(Lateral Flow) 영향을 시뮬레이션하고, 인접 시설물 허용 변위 초과 시 압성토(Berm) 또는 억제 말뚝 공법을 반영함.</t>
    <phoneticPr fontId="1" type="noConversion"/>
  </si>
  <si>
    <t>흙쌓기 전 인접 구조물·지표면에 지중경사계 및 침하핀을 배치해 일일 계측하고, 측방변위가 기준치를 초과하면 성토 중지 및 압성토 등 보강 조치를 이행함.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</si>
  <si>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KDS 11 20 15 (연약지반설계)
• 구조물기초설계기준
• 지반조사편람</t>
    <phoneticPr fontId="1" type="noConversion"/>
  </si>
  <si>
    <t>N치가 연약한 특정 본선·정거장 구간(DT-4 등 10개소)에 반복평판재하시험(PBT) 또는 동평판재하시험(LFWD) 물량을 반영하고, 궤도 침하 방지용 국부적 지반개량(치환 등) 구간·심도를 도면에 확정함.</t>
    <phoneticPr fontId="1" type="noConversion"/>
  </si>
  <si>
    <t>N치 부족 구간 터파기 시 연약 정도를 원위치 시험으로 교차 검증하고, 설계 개량 심도까지 치환·고화 처리 후 평판재하시험을 재실시해 궤도 기초 지지력(Ev2 등)을 전수 확인함.</t>
    <phoneticPr fontId="1" type="noConversion"/>
  </si>
  <si>
    <t>• 06.체크리스트/분야별/05_토질 및 기초/토질_설계추진방향_노반 현장다짐시험 품질관리 기준 검토-01.pdf
• 04_설계서/1공구/토목/01. 종합요약보고서.pdf
• 철도설계지침 및 편람(노반편)
• 노면전차 시설 설계 가이드라인
• KDS 11 20 15 (연약지반설계)</t>
    <phoneticPr fontId="1" type="noConversion"/>
  </si>
  <si>
    <t>하천변 연약지반 대규모 성토 시 측방유동(Lateral flow) 압력을 해석하고, 인접 구조물 연동침하 방지용 심층혼합처리(DCM) 등 대책을 도서에 반영함.</t>
    <phoneticPr fontId="1" type="noConversion"/>
  </si>
  <si>
    <t>구조물 인접 흙쌓기 구간에 지중경사계(Inclinometer)·지표침하계를 배치해 층별 측방 변위를 상시 모니터링하고, 허용 초과 시 성토 중지 및 압밀 대기 조치함.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</si>
  <si>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노면전차시설 설계 가이드라인 (연약지반 설계 및 측방유동 검토 기준)</t>
    <phoneticPr fontId="1" type="noConversion"/>
  </si>
  <si>
    <t>연약지반 얕은 기초 치환공법(모래/쇄석 치환 등) 적용 시 고함수비 불량 치환토(뻘흙 등) 물량을 산출하고, 임시 가적치장(건조장) 부지 규모·비산먼지/침출수 방지대책 및 건조 후 유용/처리 비용을 설계도서에 반영함.</t>
    <phoneticPr fontId="1" type="noConversion"/>
  </si>
  <si>
    <t>뻘흙은 밀폐형 덤프트럭으로 임시 가적치장에 운반해 토사 유출을 방지하고, 천일 건조 또는 고화제 혼합 처리로 함수비를 기준 이하로 낮춘 뒤 반출·유용함.</t>
    <phoneticPr fontId="1" type="noConversion"/>
  </si>
  <si>
    <t>• 04_설계서/1공구/토목/01. 종합요약보고서.pdf
• 06.체크리스트/분야별/05_토질 및 기초/토질 및 기초_설계추진방향보고_가시설 설계기준 검토_rev.00_260529.pdf
• 건설폐기물의 재활용촉진에 관한 법률
• KDS 11 20 15 (연약지반설계)
• 대기환경보전법 (비산먼지 발생사업)</t>
    <phoneticPr fontId="1" type="noConversion"/>
  </si>
  <si>
    <t>연약지반 설계 시 10회 이상 불교란 시료 채취 및 실내 압밀시험으로 수직(Cv)·수평(Ch) 압밀계수를 산출하고, 무처리(여성토) 구간의 소요 압밀대기기간을 공정계획표에 명시함.</t>
    <phoneticPr fontId="1" type="noConversion"/>
  </si>
  <si>
    <t>흙쌓기 시 지표침하판 및 층별침하계 데이터의 역해석(Back-analysis)으로 실제 목표 압밀도 달성 여부를 판정한 후 후속 궤도 타설에 착수함.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</si>
  <si>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(연약지반 설계 및 품질시험 기준)</t>
    <phoneticPr fontId="1" type="noConversion"/>
  </si>
  <si>
    <t>연약지반 개량 시 중장비 진입·작업(Trafficability)용 표층 강도를 평가하고, 지지력 부족 시 샌드매트(Sand Mat) 부설·표층 고화처리 등 대책을 시방서에 반영함.</t>
    <phoneticPr fontId="1" type="noConversion"/>
  </si>
  <si>
    <t>표층 처리 전 콘관입시험(CPT)으로 지표면 지지력을 재확인하고, 샌드매트 포설 시 하중 분산용 토목섬유(PP매트 등)를 겹침 시공해 중장비 침하·전도를 원천 차단함.</t>
    <phoneticPr fontId="1" type="noConversion"/>
  </si>
  <si>
    <t>• 04_설계서/1공구/토목/01. 종합요약보고서.pdf
• 06.체크리스트/분야별/05_토질 및 기초/토질 및 기초_설계추진방향보고_가시설 설계기준 검토_rev.00_260529.pdf
• KDS 11 20 15 (연약지반설계)
• KCS 11 20 15 (토공사 표준시방서)
• 산업안전보건기준에 관한 규칙</t>
    <phoneticPr fontId="1" type="noConversion"/>
  </si>
  <si>
    <t>연약지반 배수 암거 및 횡단 구조물 설계 시 노반과의 부등침하(단차) 방지를 위해, 하부에 마찰 말뚝(Pile)·심층혼합처리(DCM) 등 강성 보강 기초를 도면에 반영함.</t>
    <phoneticPr fontId="1" type="noConversion"/>
  </si>
  <si>
    <t>말뚝·개량 기초 시공 후 동재하시험 및 코어 채취로 지지력 100% 만족을 확인하고, 접속부 되메우기 시 압축성이 적은 조립질 재료(모래, 쇄석)로 엄격히 층다짐함.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</si>
  <si>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(연약지반 기초처리 및 횡단구조물 기준)</t>
    <phoneticPr fontId="1" type="noConversion"/>
  </si>
  <si>
    <t>연약지반 횡단 배수 암거(BOX)·지중 관로 설계 시, 침하 거동 차이(Differential Settlement)에 따른 파손 방지를 위해 하부 전체 강성 지반개량(치환, 심층혼합처리 등) 또는 말뚝기초를 도면에 반영함.</t>
    <phoneticPr fontId="1" type="noConversion"/>
  </si>
  <si>
    <t>지반개량 시 지중 응력 분산을 위해 충분한 여유 폭으로 시공하고, 축조 전 평판재하시험을 실시해 전 구간 균일한 목표 지지력 발현을 철저히 확인함.</t>
    <phoneticPr fontId="1" type="noConversion"/>
  </si>
  <si>
    <t>• 06.체크리스트/분야별/05_토질 및 기초/토질_설계추진방향_노반 현장다짐시험 품질관리 기준 검토-01.pdf
• 04_설계서/1공구/토목/01. 종합요약보고서.pdf
• 철도설계지침 및 편람(노반편)
• KDS 11 20 15 (연약지반설계)
• 구조물기초설계기준</t>
    <phoneticPr fontId="1" type="noConversion"/>
  </si>
  <si>
    <t>영구 지하구조물 외벽 설계 시 정지토압·최고 지하수위가 반영된 측면 수압으로 벽체·철근 구조계산을 수행하고, 배면 배수재(드레인보드, 맹암거 등) 상세도를 반영함.</t>
    <phoneticPr fontId="1" type="noConversion"/>
  </si>
  <si>
    <t>되메우기 전 방수 시트·배수 매트·하부 맹암거를 밀실 시공해, 우기 시 배면 과잉 수압이 집수정으로 원활히 소산되도록 배수 체계를 구축함.</t>
    <phoneticPr fontId="1" type="noConversion"/>
  </si>
  <si>
    <t>• 04_설계서/1공구/토목/01. 종합요약보고서.pdf
• 06.체크리스트/분야별/05_토질 및 기초/토질 및 기초_설계추진방향보고_가시설 설계기준 검토_rev.00_260529.pdf
• KDS 11 50 15 (지하구조물 설계기준)
• KDS 11 10 15 (지하수 조사 및 해석 설계기준)
• 콘크리트구조 표준시방서</t>
    <phoneticPr fontId="1" type="noConversion"/>
  </si>
  <si>
    <t>급경사지(경사 1:4 이상) 및 깎기·쌓기 경계부에 사면안정 활동 파괴 안전율을 검토하고, 원지반·신규 성토체 일체화를 위한 층따기(Benching) 규격 및 계단식 굴착 선형을 도면에 명시함.</t>
    <phoneticPr fontId="1" type="noConversion"/>
  </si>
  <si>
    <t>원지반 벌개제근 후 규정 폭(일반적 1m 이상)으로 계단식 층따기 굴착을 선행하고, 원지반과 신규 성토재가 맞물리도록 다짐 장비를 밀착시켜 다짐도를 전수 확인함.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</si>
  <si>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(토공 층따기 및 절성토 접속부 설계 기준)</t>
    <phoneticPr fontId="1" type="noConversion"/>
  </si>
  <si>
    <t>교량·개착BOX 등 강성 구조물과 토공 노반 접속부 설계 시, 부등침하 방지용 어프로치 슬래브 및 어프로치 블록(양질 성토재 치환 등)을 도면과 물량에 반영함.</t>
    <phoneticPr fontId="1" type="noConversion"/>
  </si>
  <si>
    <t>어프로치 블록 성토재 품질(입도, 다짐도)을 관리하고, 협소 구간은 소형 다짐기(진동 롤러 등)로 규정 다짐도 100%를 확보함.</t>
    <phoneticPr fontId="1" type="noConversion"/>
  </si>
  <si>
    <t>• 04_설계서/1공구/토목/01. 종합요약보고서.pdf
• 06.체크리스트/분야별/05_토질 및 기초/토질 및 기초_설계추진방향보고_가시설 설계기준 검토_rev.00_260529.pdf
• 철도설계지침 및 편람(노반편)
• 철도의 건설기준에 관한 규정
• 구조물기초설계기준</t>
    <phoneticPr fontId="1" type="noConversion"/>
  </si>
  <si>
    <t>구조물-흙쌓기 노반 접속부 설계 시 부등침하 방지를 위해, 배면에 조립질 성토재(쇄석, 모래 등)를 적용한 어프로치 블록(Approach Block)을 도면에 반영함.</t>
    <phoneticPr fontId="1" type="noConversion"/>
  </si>
  <si>
    <t>접속부 되메우기 시 조립질 재료로 규정 두께(20cm 이하 등) 층다짐하고, 협소 구간은 소형 장비로 다짐도 95% 이상 확보함.</t>
    <phoneticPr fontId="1" type="noConversion"/>
  </si>
  <si>
    <t>• 06.체크리스트/분야별/05_토질 및 기초/토질_설계추진방향_노반 현장다짐시험 품질관리 기준 검토-01.pdf
• 04_설계서/1공구/토목/01. 종합요약보고서.pdf
• 노면전차시설 설계 가이드라인 (구조물 접속부 부등침하 억제 및 지반강성 증강 기준)</t>
    <phoneticPr fontId="1" type="noConversion"/>
  </si>
  <si>
    <t>도심지 중복 천공 방지용 공동지반조사 계획을 수립하고, 시추·물리탐사 교차 분석으로 지질이상대(Geological Anomaly) 위치·규모를 파악해 기초·흙막이 설계에 반영함.</t>
    <phoneticPr fontId="1" type="noConversion"/>
  </si>
  <si>
    <t>지질이상대 터파기 시 전문가 육안 관찰(Face Mapping)과 확인 보링을 실시하고, 지층 상이 시 지반보강(그라우팅 등) 공법으로 시공계획을 즉각 변경함.</t>
    <phoneticPr fontId="1" type="noConversion"/>
  </si>
  <si>
    <t>• 06.체크리스트/분야별/05_토질 및 기초/토질 및 기초_설계추진방향보고_가시설 설계기준 검토_rev.00_260529.pdf
• 04_설계서/1공구/토목/01. 종합요약보고서.pdf
• 구조물기초설계기준
• 지반조사편람
• KDS 11 10 10 (지반조사 일반)</t>
    <phoneticPr fontId="1" type="noConversion"/>
  </si>
  <si>
    <t>지반조사(시추) 수량·위치를 매설물 간섭 고려하여 최적화하고, 지하수 오염 및 지반 함몰 예방용 시추공 폐공(시멘트 밀크 그라우팅 등) 비용을 내역서에 반영함.</t>
    <phoneticPr fontId="1" type="noConversion"/>
  </si>
  <si>
    <t>시추조사 시 야간/주말 작업 안배로 민원을 최소화하고, 천공 완료 즉시 시멘트 밀크로 밀실하게 폐공 처리 후 감리단 확인을 받음.</t>
    <phoneticPr fontId="1" type="noConversion"/>
  </si>
  <si>
    <t>• 04_설계서/1공구/토목/01. 종합요약보고서.pdf
• 06.체크리스트/분야별/05_토질 및 기초/토질 및 기초_설계추진방향보고_가시설 설계기준 검토_rev.00_260529.pdf
• 노면전차시설 설계 가이드라인 (지반조사 일반사항 및 환경피해 최소화 기준)</t>
    <phoneticPr fontId="1" type="noConversion"/>
  </si>
  <si>
    <t>시스템 핸드홀 및 관로 굴착(Trench) 깊이가 1.5m 초과 시, 교통 하중과 배면 토압을 지지하는 조절식 간이 흙막이(Trench shield 등) 공법을 도면과 내역서에 반영함.</t>
    <phoneticPr fontId="1" type="noConversion"/>
  </si>
  <si>
    <t>터파기 즉시 조절식 간이 흙막이를 설치해 안전을 확보하고, 관로 매설 후 주변을 모래나 유동성 채움재로 밀실하게 충진·되메우기하여 지반 다짐도를 복원함.</t>
    <phoneticPr fontId="1" type="noConversion"/>
  </si>
  <si>
    <t>• 06.체크리스트/분야별/05_토질 및 기초/토질 및 기초_설계추진방향보고_하천통과 및 인접구조물을 고려한 가시설 적정성 검토_rev.00_260602.pdf
• 04_설계서/1공구/토목/01. 종합요약보고서.pdf
• 노면전차시설 설계 가이드라인 (굴착공사 안전 및 지보공 기준)</t>
    <phoneticPr fontId="1" type="noConversion"/>
  </si>
  <si>
    <t>차량기지·도심지 암반 굴착 설계 시 소음·진동 영향을 시뮬레이션하고, 이격거리에 따라 제어발파(미진동발파) 또는 무진동 암파쇄 공법을 수량산출서에 분할 반영함.</t>
    <phoneticPr fontId="1" type="noConversion"/>
  </si>
  <si>
    <t>암반 굴착 전 시험발파로 발파패턴 및 지발당 최대장약량을 정밀 산정하고, 상시 계측(진동/소음계) 모니터링 중 기준 초과 시 즉각 무진동 공법으로 전환함.</t>
    <phoneticPr fontId="1" type="noConversion"/>
  </si>
  <si>
    <t>• 04_설계서/1공구/토목/01. 종합요약보고서.pdf
• 06.체크리스트/분야별/05_토질 및 기초/토질 및 기초_설계추진방향보고_가시설 설계기준 검토_rev.00_260529.pdf
• 소음·진동관리법
• 발파작업 표준안전 작업지침(고용노동부)
• KCS 11 20 10 (암석굴착)</t>
    <phoneticPr fontId="1" type="noConversion"/>
  </si>
  <si>
    <t>굴착 구조물 설계 시 벽체 수압·누수 방지용 유도배수(맹암거 등) 및 차수 대책을 수립하고, 유입된 라돈 가스의 지상 자동 배출을 위한 토목-기계 연동 환기 계통을 반영함.</t>
    <phoneticPr fontId="1" type="noConversion"/>
  </si>
  <si>
    <t>구조물 타설 시 시공·신축이음부에 지수판 및 외벽 방수재를 밀실 시공하고, 집수정 주변 라돈 농도 연동 자동 환기설비의 정상 가동 여부를 준공 전 전수 테스트함.</t>
    <phoneticPr fontId="1" type="noConversion"/>
  </si>
  <si>
    <t>• 04_설계서/1공구/토목/01. 종합요약보고서.pdf
• 06.체크리스트/분야별/05_토질 및 기초/토질 및 기초_설계추진방향보고_가시설 설계기준 검토_rev.00_260529.pdf
• 실내공기질 관리법
• KDS 11 50 15 (지하구조물 설계기준)
• 콘크리트구조 표준시방서</t>
    <phoneticPr fontId="1" type="noConversion"/>
  </si>
  <si>
    <t>차량기지 지하구조물 등 설계 시 3차원 지하수 유동해석으로 수위 강하 및 부력(양압력)을 산정하고, 영구 앵커, 텐션파일 등 부력방지대책과 차수공법을 도면에 반영함.</t>
    <phoneticPr fontId="1" type="noConversion"/>
  </si>
  <si>
    <t>굴착 전후 수위 관측공으로 상시 계측 및 구조물 자중 확보 시까지 양수하고, 부력방지용 영구 앵커는 현장 인발 시험으로 인장 저항력을 전수 검증함.</t>
    <phoneticPr fontId="1" type="noConversion"/>
  </si>
  <si>
    <t>• 06.체크리스트/분야별/05_토질 및 기초/토질 및 기초_설계추진방향보고_가시설 설계기준 검토_rev.00_260529.pdf
• 04_설계서/1공구/토목/01. 종합요약보고서.pdf
• KDS 11 10 15 (지하수 조사 및 해석 설계기준)
• KDS 11 50 15 (깊은기초 설계기준)
• 지하안전관리에 관한 특별법</t>
    <phoneticPr fontId="1" type="noConversion"/>
  </si>
  <si>
    <t>지하매설물(상하수도, 통신, 전력 등) 이설 설계 시, 관할 지자체 '공간정보 시스템(GIS)' 갱신 규격의 정밀 좌표 측량(GRS-80) 및 3D As-built 도면 작성 비용·일정을 내역·시방서에 반영함.</t>
    <phoneticPr fontId="1" type="noConversion"/>
  </si>
  <si>
    <t>이설 후 되메우기 직전, 노출 관로의 평면·종단 선형을 정밀 측량해 공간정보 데이터베이스(GIS) 갱신용 측량 성과를 시설물 관리부서 입회하에 승인받음.</t>
    <phoneticPr fontId="1" type="noConversion"/>
  </si>
  <si>
    <t>• 04_설계서/1공구/토목/01. 종합요약보고서.pdf
• 06.체크리스트/분야별/05_토질 및 기초/토질 및 기초_설계추진방향보고_가시설 설계기준 검토_rev.00_260529.pdf
• 지하공간통합지도 구축 및 갱신에 관한 지침
• 공간정보의 구축 및 관리 등에 관한 법률
• 시설물의 안전 및 유지관리 세부지침</t>
    <phoneticPr fontId="1" type="noConversion"/>
  </si>
  <si>
    <t>도심지 굴착 시 씽크홀 방지를 위해 굴착 심도 2배 영역의 GPR 등 물리탐사 비용을 반영하고 지장물 보호 및 지반 보강 대책을 도면에 명시함.</t>
    <phoneticPr fontId="1" type="noConversion"/>
  </si>
  <si>
    <t>굴착 전 GPR 탐사로 지하공동 및 지장물 위치를 검증하고, 상시 계측을 통해 징후 발견 시 즉각 지반보강(그라우팅 등)을 실시함.</t>
    <phoneticPr fontId="1" type="noConversion"/>
  </si>
  <si>
    <t>• 04_설계서/1공구/토목/01. 종합요약보고서.pdf
• 06.체크리스트/분야별/05_토질 및 기초/토질 및 기초_설계추진방향보고_가시설 설계기준 검토_rev.00_260529.pdf
• 지하안전관리에 관한 특별법
• 지하공간통합지도 구축 및 갱신에 관한 지침
• 시설물의 안전 및 유지관리 세부지침</t>
    <phoneticPr fontId="1" type="noConversion"/>
  </si>
  <si>
    <t>가시설 설계 시 GPR 탐사 기반으로 중량 매설물(하수박스, 광역상수관 등) 처짐 방지를 위해, 하부 직접 지지 마이크로파일(Micro Pile) 등 독립 지지 말뚝 상세도와 구조계산서를 도면에 반영함.</t>
    <phoneticPr fontId="1" type="noConversion"/>
  </si>
  <si>
    <t>주변 대형 지장물은 인력 터파기(시험파기)로 노출시키고, 설계된 별도 지지 Pile과 강재 브라켓을 하부에 시공 후 변위계를 부착해 처짐량을 상시 계측 관리함.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</si>
  <si>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(지상·지하 매설물 보호 대책 및 지장물 관리 기준)</t>
    <phoneticPr fontId="1" type="noConversion"/>
  </si>
  <si>
    <t>영구 구조물 설계 시 완전배수(Complete Drainage)를 위해 집수정 배수펌프 위치를 바닥보다 최소 50cm 이상 깊게 파낸 피트(Pit) 단면 상세도를 반영함.</t>
    <phoneticPr fontId="1" type="noConversion"/>
  </si>
  <si>
    <t>피트(Pit) 시공 시 50cm 이상 심도 단차를 정밀 측량해 확보하고, 펌프 흡입구(Suction) 주변 슬러지 방지용 유도 배수구배를 시공함.</t>
    <phoneticPr fontId="1" type="noConversion"/>
  </si>
  <si>
    <t>• 04_설계서/1공구/토목/01. 종합요약보고서.pdf
• 06.체크리스트/분야별/05_토질 및 기초/토질 및 기초_설계추진방향보고_가시설 설계기준 검토_rev.00_260529.pdf
• KDS 11 50 15 (지하구조물 설계기준)
• 하수도 설계기준
• 철도설계지침 및 편람(노반편)</t>
    <phoneticPr fontId="1" type="noConversion"/>
  </si>
  <si>
    <t>능동지하차도·차량기지 배수펌프 제어용 MCC반 기초 설계 시, 침수 방지를 위해 기초 PAD 상단고를 승강장 연단부보다 높게 숭상(상향)하여 단면도에 반영함.</t>
    <phoneticPr fontId="1" type="noConversion"/>
  </si>
  <si>
    <t>기초 타설 전 수준 측량으로 승강장 연단부와의 상대적 단차를 확인해 규정 높이 이상 시공하고, 전선관 인입구 주변은 완벽한 수밀 코킹(Caulking) 마감함.</t>
    <phoneticPr fontId="1" type="noConversion"/>
  </si>
  <si>
    <t>• 04_설계서/1공구/토목/01. 종합요약보고서.pdf
• 06.체크리스트/분야별/05_토질 및 기초/토질 및 기초_설계추진방향보고_가시설 설계기준 검토_rev.00_260529.pdf
• KDS 11 50 15 (지하구조물 설계기준)
• 철도건설공사 인터페이스 관리지침
• 한국전기설비규정(KEC)</t>
    <phoneticPr fontId="1" type="noConversion"/>
  </si>
  <si>
    <t>대형 구조물 굴착 설계 시 토층별 표준기울기를 적용하고, 최소 0.8m 이상의 작업 여유폭을 횡단면도에 반영함.</t>
    <phoneticPr fontId="1" type="noConversion"/>
  </si>
  <si>
    <t>굴착 시 작업 여유폭을 정밀 측량해 확보하고, 토질 변화구간 출현 시 즉시 사면 기울기를 완화해 붕괴를 예방함.</t>
    <phoneticPr fontId="1" type="noConversion"/>
  </si>
  <si>
    <t>• 04_설계서/1공구/토목/01. 종합요약보고서.pdf
• 06.체크리스트/분야별/05_토질 및 기초/토질 및 기초_설계추진방향보고_가시설 설계기준 검토_rev.00_260529.pdf
• 노면전차시설 설계 가이드라인 (비탈면 설계기준 및 터파기 여유폭 확보 기준)</t>
    <phoneticPr fontId="1" type="noConversion"/>
  </si>
  <si>
    <t>잉여 사토량 및 되메우기 토량을 산출해 사토장·토취장 선정 계획을 수립하고, 비산먼지·교통 민원 방지용 임시 가적치장(Stockpile) 규모 및 환경저감시설(세륜기, 방진덮개 등)을 내역에 반영함.</t>
    <phoneticPr fontId="1" type="noConversion"/>
  </si>
  <si>
    <t>인허가된 사토장 반출 경로를 사전 협의하고, 가적치장 운영 시 방진덮개, 가설방음방진벽 설치 및 상시 살수 작업으로 주변 상가·주거지 민원을 차단함.</t>
    <phoneticPr fontId="1" type="noConversion"/>
  </si>
  <si>
    <t>• 04_설계서/1공구/토목/01. 종합요약보고서.pdf
• 06.체크리스트/분야별/05_토질 및 기초/토질 및 기초_설계추진방향보고_가시설 설계기준 검토_rev.00_260529.pdf
• 대기환경보전법(비산먼지 발생사업)
• 건설폐기물의 재활용촉진에 관한 법률
• KCS 11 20 15 (토공사 표준시방서)</t>
    <phoneticPr fontId="1" type="noConversion"/>
  </si>
  <si>
    <t>궤도 하부 성토 노반 설계 시, 현장 시험성토(Test Fill)로 최적함수비(OMC)·다짐장비 조합을 확정하고, 노상 95%·노체 90% 이상 다짐도 기준을 도서에 반영함.</t>
    <phoneticPr fontId="1" type="noConversion"/>
  </si>
  <si>
    <t>흙쌓기 전 시험성토로 최대건조밀도 다짐 횟수를 도출하고, 포설 두께 준수 및 들밀도시험(FDT)으로 노상 95%·노체 90% 이상 다짐도를 전수 검측함.</t>
    <phoneticPr fontId="1" type="noConversion"/>
  </si>
  <si>
    <t>• 06.체크리스트/분야별/05_토질 및 기초/토질_설계추진방향_노반 현장다짐시험 품질관리 기준 검토-01.pdf
• 04_설계서/1공구/토목/01. 종합요약보고서.pdf
• 노면전차시설 설계 가이드라인 (토공사 품질 및 다짐관리 기준)</t>
    <phoneticPr fontId="1" type="noConversion"/>
  </si>
  <si>
    <t>하천 반경 0.5km 내 굴착 설계 시 용출량이 100㎥/일 이상이면 하천 직방류 전용 배수관로(수중펌프 등) 및 오탁수 처리시설 물량을 반영함.</t>
    <phoneticPr fontId="1" type="noConversion"/>
  </si>
  <si>
    <t>용출수량 계측 후 100㎥/일 이상 시 전용관로로 배제하되, 방류 전 가설 침사지 등을 거쳐 수질(SS, pH 등)을 철저히 관리함.</t>
    <phoneticPr fontId="1" type="noConversion"/>
  </si>
  <si>
    <t>• 04_설계서/1공구/토목/01. 종합요약보고서.pdf
• 06.체크리스트/분야별/05_토질 및 기초/토질 및 기초_설계추진방향보고_가시설 설계기준 검토_rev.00_260529.pdf
• 하수도법 및 하천법
• 수질 및 수생태계 보전에 관한 법률
• KCS 11 20 15 (토공사 표준시방서)</t>
    <phoneticPr fontId="1" type="noConversion"/>
  </si>
  <si>
    <t>주요 구역 감시용 지능형 CCTV(고정형, PTZ) 수량·위치를 3D 시뮬레이션(시야각 분석)으로 맹점(Blind Spot) 없이 산정하고, 고해상도 규격 및 전송용 대역폭 용량을 설계에 반영함.</t>
    <phoneticPr fontId="1" type="noConversion"/>
  </si>
  <si>
    <t>카메라 설치 전 화각(View) 내 타 공종(건축, 조명 등) 시설물 가림 점검 후 앵커링하고, 관제실 비디오월(Video Wall) 영상이 프레임 드랍(Frame Drop) 없이 고화질 표출되는지 전수 연동 시험함.</t>
    <phoneticPr fontId="1" type="noConversion"/>
  </si>
  <si>
    <t>분야별\10_통신\통신_설계추진방향보고_영상감시설비 구축 방안_rev.00_260528.pdf</t>
    <phoneticPr fontId="1" type="noConversion"/>
  </si>
  <si>
    <t>MIS 설계 시 AFC·CCTV 연계 실시간 승객혼잡도 산출 알고리즘과 철도시설·차량 고장 이력 기반 RAM(신뢰성·가용성·유지보수성) 자동 분석 S/W 모듈을 내역에 반영함.</t>
    <phoneticPr fontId="1" type="noConversion"/>
  </si>
  <si>
    <t>TCMS·AFC 연동 모의 데이터를 주입해 MIS 대시보드에 실시간 승객혼잡도(여유/보통/혼잡) 및 설비별 RAM 통계 그래프 정상 표출 여부를 전수 통합시험함.</t>
    <phoneticPr fontId="1" type="noConversion"/>
  </si>
  <si>
    <t>분야별\10_통신\통신_설계추진방향보고_경영정보설비(MIS) 구축 방안_rev.00_260528.pdf</t>
    <phoneticPr fontId="1" type="noConversion"/>
  </si>
  <si>
    <t>관제실 MIS 설계 시 검수(CBM 등) 및 타 분야(신호·차량·전력) 데이터 통합용 국제 표준개방형(Open System) S/W 아키텍처를 구성하고, 가상화 및 Active-Standby 이중화 적용 고사양 통합서버를 내역에 반영함.</t>
    <phoneticPr fontId="1" type="noConversion"/>
  </si>
  <si>
    <t>MIS 서버 랙(Rack) 결선 후, 차량(TCMS)·신호·AFC 등 현장 설비와의 실데이터(Real Data) 연동 테스트로 정보의 통합 DB 저장·표출을 검증하고, 메인 서버 장애 모사 시 Standby 서버 무중단 절체를 확인함.</t>
    <phoneticPr fontId="1" type="noConversion"/>
  </si>
  <si>
    <t>위례트램은 운영사 요청사항으로 공사비 증액(35.6억) 반영.</t>
    <phoneticPr fontId="1" type="noConversion"/>
  </si>
  <si>
    <t>MIS 및 검수정보망 서버 자원 배분·무중단 운영을 위해 가상화 솔루션을 명시하고, 장애 대비 Active-Standby 기반 하드웨어/소프트웨어 이중화 아키텍처를 도서에 반영함.</t>
    <phoneticPr fontId="1" type="noConversion"/>
  </si>
  <si>
    <t>서버 구축 시 가상 머신(VM) 파티션 분리·동적 할당 기능을 확인하고, 주 서버(Active) 강제 단절 시 대기 서버(Standby)로 데이터 유실 없이 자동 절체(Fail-over)되는지 전수 시험함.</t>
    <phoneticPr fontId="1" type="noConversion"/>
  </si>
  <si>
    <t>LTE-R(700MHz) 설계 시 PS-LTE 등 타 통신망과의 혼신 방지용 전파 간섭 시뮬레이션을 수행하고, 연동 및 주파수 필터링 장치(Gateway 등)를 계통도에 반영함.</t>
    <phoneticPr fontId="1" type="noConversion"/>
  </si>
  <si>
    <t>설비 구축 후 실 환경 전파 품질(SINR 등) 측정으로 주파수 간섭을 확인하고, 소방·경찰 단말기 실 통화 연동 시험으로 무선 통합지휘 체계를 검증함.</t>
    <phoneticPr fontId="1" type="noConversion"/>
  </si>
  <si>
    <t>분야별\10_통신\통신_설계추진방향보고_열차무선설비(LTE-R) 구축 방안_통신_rev.00_260601.pdf</t>
    <phoneticPr fontId="1" type="noConversion"/>
  </si>
  <si>
    <t>CCTV 영상의 차상장치(대열차 공간화상장치) 전송용 LTE-R 대역폭 할당 및 차량-통신 간 I/O 인터페이스 도서를 작성함.</t>
    <phoneticPr fontId="1" type="noConversion"/>
  </si>
  <si>
    <t>통합시운전 시 트램 진입·정차 중 CCTV 영상이 지연(Latency) 없이 운전석에 자동 표출되는지 전수 연동 테스트를 수행함.</t>
    <phoneticPr fontId="1" type="noConversion"/>
  </si>
  <si>
    <t>MIS 및 검수시스템 S/W 설계 시 직급·업무별 역할 기반 접근통제(RBAC) 로직을 개발하고, 트랜잭션 성능 지연(Bottleneck) 방지용 DB 최적화(Tuning) 요건을 SRS에 명기함.</t>
    <phoneticPr fontId="1" type="noConversion"/>
  </si>
  <si>
    <t>S/W 개발 시 전문 감리로 계정별 권한 통제 및 동시 접속 부하(Stress) 테스트를 수행하고, 소스 수정 및 DB 인덱스 튜닝으로 시스템 응답 시간(Response Time) 기준을 충족함.</t>
    <phoneticPr fontId="1" type="noConversion"/>
  </si>
  <si>
    <t>개방형 정거장 AFC 설계 시 수도권 통합환승운임체계 데이터 처리 로직 및 무임/부정승차 방지 시스템(영상감시 연동 등)을 통신 내역에 반영함.</t>
    <phoneticPr fontId="1" type="noConversion"/>
  </si>
  <si>
    <t>단말기 설치 후 정산센터(KSCC 등) 연계 환승 모의 태깅 테스트를 수행하고, 데이터가 누락 없이 100% 관제·정산 서버로 전송되는지 검증함.</t>
    <phoneticPr fontId="1" type="noConversion"/>
  </si>
  <si>
    <t>분야별\10_통신\통신_설계추진방향보고_역무자동화설비 구축 방안_통신_rev.00_260601.pdf</t>
    <phoneticPr fontId="1" type="noConversion"/>
  </si>
  <si>
    <t>AFC 설계 시 대형 게이트 배제 무개집표 오픈형 정거장으로 구성하고, 차량 내 버스 방식 승하차 RF 단말기용 통신-차량 인터페이스를 설계함.</t>
    <phoneticPr fontId="1" type="noConversion"/>
  </si>
  <si>
    <t>통신(AFC) 단말기를 차량에 취부·결선하고, 수도권 정산 센터(티머니 등)와 실데이터 연동 시험으로 요금 징수 및 환승 할인을 검증함.</t>
    <phoneticPr fontId="1" type="noConversion"/>
  </si>
  <si>
    <t>전 구간 전파환경(Link Budget) 시뮬레이션으로 LTE-R 기지국(DU)·안테나 최적 위치·규격을 반영해 통신 음영구역을 제로화함.</t>
    <phoneticPr fontId="1" type="noConversion"/>
  </si>
  <si>
    <t>시운전 시 현장 장비(차량)로 전 구간 커버리지·수신 전계강도 100% 만족을 실측하고, 핸드오버(Hand-over) 테스트로 통신 무순단을 검증함.</t>
    <phoneticPr fontId="1" type="noConversion"/>
  </si>
  <si>
    <t>LTE-R(700MHz) 설계 시 PS-LTE 등과의 전파 간섭 방지용 기지국(DU)·안테나 최적 배치 및 상호 연동 구조를 반영함.</t>
    <phoneticPr fontId="1" type="noConversion"/>
  </si>
  <si>
    <t>장비 설치 후 전파 수신강도를 측정해 음영구역을 해소하고, 타 망(PS-LTE) 간 핸드오버 및 통화 연동 종합시험운행을 완수함.</t>
    <phoneticPr fontId="1" type="noConversion"/>
  </si>
  <si>
    <t>열차무선(LTE-R)·차량 통신 설계 시 비상인터폰 신호를 관제원에게 즉시 연결하고, 관제원이 객실 내 직접 육성 안내방송(대승객 원격방송)을 송출하도록 지상-차상 간 오디오 연동(I/O) 인터페이스를 설계함.</t>
    <phoneticPr fontId="1" type="noConversion"/>
  </si>
  <si>
    <t>지상-차상 무선망 통합 시운전 시, 객실 비상인터폰과 관제실 간 양방향 고음질 통화 및 관제실의 주행 트램 지정 원격 안내방송 무지연 송출 여부를 전수 연동 시험함.</t>
    <phoneticPr fontId="1" type="noConversion"/>
  </si>
  <si>
    <t>열차무선망(LTE-R) 설계 시 무선국 허가 및 TTA·국가정보원의 상호운용성·보안·표준적합성 검증 소요 기간과 수수료(준공검사비, 전파사용료 등)를 공사비 내역 및 공정표에 반영함.</t>
    <phoneticPr fontId="1" type="noConversion"/>
  </si>
  <si>
    <t>LTE-R 장비 설치 후 적기에 무선국 준공검사를 수검하고 외부 기관(TTA 등) 상호운용성·보안적합성 시험에 합격해 철도종합시험운행 차질 없이 인허가·인증을 완수함.</t>
    <phoneticPr fontId="1" type="noConversion"/>
  </si>
  <si>
    <t>정거장·교차로 등 감시 목적 고해상도 지능형 CCTV(P/T, 돔 카메라 등) 수량·위치를 3D 시뮬레이션으로 사각지대 없이 반영하고, 대용량 영상 전송용 광대역 전송망(Backbone) 용량 및 스위치를 설계함.</t>
    <phoneticPr fontId="1" type="noConversion"/>
  </si>
  <si>
    <t>CCTV 설치 후 관제실 대형표시반·저장 장치와 연동 시험해, 영상이 화질 저하나 프레임 지연(Latency) 없이 모니터링·녹화되는지 전수 실증하고 사각지대 발견 시 화각을 정밀 조정함.</t>
    <phoneticPr fontId="1" type="noConversion"/>
  </si>
  <si>
    <t>통신 행선안내설비(PIS)·신호 열차제어(TTC) 서버 간 실시간 운행정보 연동 프로토콜(TCP/IP 등) 및 라우팅을 설계도서에 완벽히 구축함.</t>
    <phoneticPr fontId="1" type="noConversion"/>
  </si>
  <si>
    <t>시운전 열차 투입 후 TTC 데이터가 행선안내게시기에 '전역 출발', '잠시후 도착' 등 시각 정보로 지연(Latency) 없이 100% 일치 표출되는지 합동 연동시험함.</t>
    <phoneticPr fontId="1" type="noConversion"/>
  </si>
  <si>
    <t>분야별\10_통신\01 통신망, 영상감시설비, 경영정보설비 설계추진방향 보고(회의록)_통신_Rev01(260529).pdf</t>
    <phoneticPr fontId="1" type="noConversion"/>
  </si>
  <si>
    <t>안내방송 설비에 신호 데이터 연동 트램 진입/도착 자동방송 로직을 구성하고, 소방(화재수신반) 연동으로 화재 시 비상 대피 방송이 자동 전환되도록 인터페이스를 반영함.</t>
    <phoneticPr fontId="1" type="noConversion"/>
  </si>
  <si>
    <t>방송설비 종합시험운행 시 종합관제실 원격 송출 시험을 하고, 신호·소방 모의 데이터/알람을 발생시켜 자동안내 및 비상 화재방송이 지연 없이 정상 송출되는지 합동 연동 시험함.</t>
    <phoneticPr fontId="1" type="noConversion"/>
  </si>
  <si>
    <t>분야별\10_통신\통신_설계추진방향보고_무중단 통신망 구축 방안_통신_rev.00_260528.pdf</t>
    <phoneticPr fontId="1" type="noConversion"/>
  </si>
  <si>
    <t>행선안내게시기(PIS)와 자동방송을 네트워크 연동해 진입/도착 정보를 시·청각 동시 표출하고, 이례상황 시 종합관제실의 원격 개별·전체 대피 육성 방송 인터페이스를 반영함.</t>
    <phoneticPr fontId="1" type="noConversion"/>
  </si>
  <si>
    <t>설비 설치 후 운행 스케줄(다이아) 연동 진입/도착 안내방송 지연 표출 여부를 확인하고, 관제실 비상 마이크 작동 시 우선순위(Priority) 제어로 현장 자동방송이 강제 절체(Override)되는지 실증함.</t>
    <phoneticPr fontId="1" type="noConversion"/>
  </si>
  <si>
    <t>밀폐공간(지하차도·터널) 비상 재난방송 청취를 위해 FM/DMB 중계기 및 누설동축케이블(LCX) 또는 전용 안테나 배치와 신호 증폭 계획을 설계에 반영함.</t>
    <phoneticPr fontId="1" type="noConversion"/>
  </si>
  <si>
    <t>터널 내 중계기·안테나(또는 LCX) 시공 후, 전파 측정 장비로 전 구간 FM/DMB 수신 전계강도가 법적 기준치 100% 만족 여부를 실측하고 사각지대를 보완 튜닝함.</t>
    <phoneticPr fontId="1" type="noConversion"/>
  </si>
  <si>
    <t>지하/터널 구간(능동지하차도 등) 재난정보 전달용 FM/DMB 중계기 및 안테나(누설동축케이블) 물량을 내역서 및 계통도에 반영함.</t>
    <phoneticPr fontId="1" type="noConversion"/>
  </si>
  <si>
    <t>시공 후 전 구간 FM/DMB 수신 전계강도를 측정하고, 전파 음영(Dead Zone) 구간은 증폭 조정 및 안테나 추가로 수신 불량을 완벽히 해소함.</t>
    <phoneticPr fontId="1" type="noConversion"/>
  </si>
  <si>
    <t>정거장 공간·미관을 고려해 전기/신호/통신 기기함을 '일체형 통합 함체(RACK)'로 구성하고, 내부 장비 배치도 및 옥외 기후(방진/방수/방열) 대비 상세도를 도서에 반영함.</t>
    <phoneticPr fontId="1" type="noConversion"/>
  </si>
  <si>
    <t>반입 시 타 공종 간 케이블 인입 간섭을 조율해 시공하고, 함체 내부 온·습도 조절장치(쿨링팬 및 히터) 정상 작동 여부를 검증해 장비 오동작을 방지함.</t>
    <phoneticPr fontId="1" type="noConversion"/>
  </si>
  <si>
    <t>승강장 돌발상황 시 관제실과 양방향 통화가 가능하도록 비상전화설비(인터폰) 최적 위치를 도면에 반영하고, 관제 팝업 연동 기능을 규격서에 명시함.</t>
    <phoneticPr fontId="1" type="noConversion"/>
  </si>
  <si>
    <t>통합시운전 시 승강장 비상 버튼을 눌러 관제실 통신콘솔과 무지연·고음질 양방향 통화 및 모니터 즉각 표출 여부를 전수 연동 시험함.</t>
    <phoneticPr fontId="1" type="noConversion"/>
  </si>
  <si>
    <t>화재 감지장치 및 소화기 설치, 무선 통화기능에 의한 긴급 조치.</t>
    <phoneticPr fontId="1" type="noConversion"/>
  </si>
  <si>
    <t>운영 및 유지보수 설계 적정성 평가, 현재 트램사업의 경우 위례트램 시공중이나 일반 도시철도 기준에 준하여 시공중, 향후 트램 관련 설계기준 업데이트 상시 스크린하여 설계 적정성 보완 검토 예정 반영함.</t>
    <phoneticPr fontId="1" type="noConversion"/>
  </si>
  <si>
    <t>AFC 요금 및 열차 제어망 설계 시 해킹 방지용 전 구간 SSL/TLS 암호화를 적용하고, 직무별 접근 제어(RBAC) 및 방화벽/VPN 등 보안 장비를 통신 계통도에 반영함.</t>
    <phoneticPr fontId="1" type="noConversion"/>
  </si>
  <si>
    <t>시스템 구축 후 공인 외부 업체를 통해 취약점 진단 및 모의 해킹 테스트를 실시해 패킷 암호화 및 방화벽 작동을 검증하고 결과보고서를 징구함.</t>
    <phoneticPr fontId="1" type="noConversion"/>
  </si>
  <si>
    <t>통신 배관/배선 설계 시 전기(전원) 케이블과 이격거리 확보 및 별도 관로·트레이로 분리 포설하고, 밀폐공간 통신 케이블은 화재 대비 난연성 규격 제품으로 시방서·내역서에 명확히 반영함.</t>
    <phoneticPr fontId="1" type="noConversion"/>
  </si>
  <si>
    <t>포설 시 전기 공종과 트레이·관로 이격 시공을 조율하고, 통신 케이블 난연 성능 시험성적서를 감리 입회하에 전수 검수해 승인 자재만 시공함.</t>
    <phoneticPr fontId="1" type="noConversion"/>
  </si>
  <si>
    <t>대용량 트래픽(CCTV, LTE-R 등) 수용용 ALL-IP 링형 주 전송망을 설계하고, 단선 대비 양방향(이원화) 경로 구성 및 예비율(20% 이상) 고려 광케이블 코어 수(예: 72Core 등)를 100% 내역에 반영함.</t>
    <phoneticPr fontId="1" type="noConversion"/>
  </si>
  <si>
    <t>광케이블 포설 시 허용 곡률반경·장력을 엄수해 전 구간 광역반사측정기(OTDR) 광손실률 테스트를 실시하고, 인위적 단선 시 링형 네트워크 우회 복구(Protection) 즉각 작동 여부를 전수 시험함.</t>
    <phoneticPr fontId="1" type="noConversion"/>
  </si>
  <si>
    <t>토목/궤도 공사 시 통신 감리 입회하에 통신 샤프트(Shaft) 및 맨홀용 스리브(Sleeve) 정위치 시공을 확인하고, 관로 내 이물질 제거 및 인출 와이어 선삽입을 조치함.</t>
    <phoneticPr fontId="1" type="noConversion"/>
  </si>
  <si>
    <t>ALL-IP 링형 광전송망 선로 이상 24시간 감시용 광케이블 실시간 감시장치(OTDR 내장 RTU 등) 구축 및 예비 코어 할당 계획을 설계에 반영함.</t>
    <phoneticPr fontId="1" type="noConversion"/>
  </si>
  <si>
    <t>케이블 포설 후 광 손실 데이터를 베이스라인(Baseline) 저장하고, 선로 밴딩(Bending)·단선 모의 테스트로 모니터상 장애 위치 표출을 실증함.</t>
    <phoneticPr fontId="1" type="noConversion"/>
  </si>
  <si>
    <t>LTE-R 설계 시 TCMS 데이터 및 배터리/슈퍼캐패시터 충전 상태 관제실 전송용 충분한 용량·QoS 할당 및 통신-차량 인터페이스를 수립함.</t>
    <phoneticPr fontId="1" type="noConversion"/>
  </si>
  <si>
    <t>종합시험운행 시 다수 트램 배터리 데이터 및 TCMS 고장 코드가 트래픽 과부하 없이 관제실에 즉각 표출되는지 전수 연동 테스트함.</t>
    <phoneticPr fontId="1" type="noConversion"/>
  </si>
  <si>
    <t>차량에 활주 방지 기능 확보를 위한 미끄럼 방지 제동장치 설치, 무선통화기능에 의한 긴급조치 요청 반영함.</t>
    <phoneticPr fontId="1" type="noConversion"/>
  </si>
  <si>
    <t>고장시 승객 이동 유도 방법 수립 및 방송설비를 이용한 안내 방송 반영함.</t>
    <phoneticPr fontId="1" type="noConversion"/>
  </si>
  <si>
    <t>경보시스템, 안전울타리 등 안전시설 강화.</t>
    <phoneticPr fontId="1" type="noConversion"/>
  </si>
  <si>
    <t>선로 실시간 모니터링, 장애물 사전 감지 시스템 설치.</t>
    <phoneticPr fontId="1" type="noConversion"/>
  </si>
  <si>
    <t>트램 차량 내 블랙박스(전,후,좌,우) 설치, 트램로 횡단보도에 보행자 보호 시스템 설치, 안전펜스 설치.</t>
    <phoneticPr fontId="1" type="noConversion"/>
  </si>
  <si>
    <t>무개집표(Open-Gate) 승하차 지연 방지를 위해 1편성 출입문마다 최소 2대의 RF 단말기 설치를 인터페이스 도서 및 물량 산출서에 반영함.</t>
    <phoneticPr fontId="1" type="noConversion"/>
  </si>
  <si>
    <t>차량 제작 전 단말기 규격 공유 및 모크업(Mock-up)으로 승객 동선 간섭 없는 위치에 단말기 2대 부착을 조율·확정함.</t>
    <phoneticPr fontId="1" type="noConversion"/>
  </si>
  <si>
    <t>차상 통신장비(LTE-R, AFC 등) 설계 시 통신(공급)-차량(설치·결선) 간 업무 한계를 명기하고, 중량·소비전력·발열량 데이터를 차량 설계에 인터페이스 반영함.</t>
    <phoneticPr fontId="1" type="noConversion"/>
  </si>
  <si>
    <t>차량 제작사에 장비 매뉴얼·I/O 결선도를 제공해 기술 지원하고, 반입 후 합동으로 차량-지상 간 LTE-R 및 요금 정산 연동 통합 시운전을 수행함.</t>
    <phoneticPr fontId="1" type="noConversion"/>
  </si>
  <si>
    <t>트램 우선신호 설치로 사고 예방 및 관제 경보실 설치.</t>
    <phoneticPr fontId="1" type="noConversion"/>
  </si>
  <si>
    <t>설계의 효율성 및 안전성 분석을 통해 기존 운영 방식에 적합한 설계변경 가능여부 검토, 동탄트램 정거장은 기존 도로 위에 정거장이 설치되는 구조로서, 정거장 내에 통신설비를 설치할 수 있는 충분한 공간이 되지 않기에 기존 아날로그 및 디지털 방식이 아닌 네트워크 방식의 자동안내방송설비 반영.</t>
    <phoneticPr fontId="1" type="noConversion"/>
  </si>
  <si>
    <t>TCMS 데이터·충전 상태 전송용 LTE-R 대역폭을 할당하고, 승강장 CCTV 영상 운전석 표출용 대열차 공간화상장치 연동 프로토콜을 통신 도서에 반영함.</t>
    <phoneticPr fontId="1" type="noConversion"/>
  </si>
  <si>
    <t>차량 제작사와 LTE-R 결선·통신 테스트를 실시하고, 종합시험운행 시 TCMS 데이터 관제 전송 및 승강장 CCTV 영상 운전석 무지연(Latency) 표출을 전수 실증함.</t>
    <phoneticPr fontId="1" type="noConversion"/>
  </si>
  <si>
    <t>통신 전송망 설계 시 전력관제(SCADA)·신호제어 요구 대역폭을 타 공종과 협의해 전용 물리적 광 코어(Core) 및 논리적 가상망(VLAN) 포트 할당 인터페이스 도서를 확정함.</t>
    <phoneticPr fontId="1" type="noConversion"/>
  </si>
  <si>
    <t>통신망 현장인수시험(SAT) 시 전기·신호 시공팀과 합동으로 제어기기~서버 간 데이터 패킷 전송(Ping) 및 제어 신호 송수신 시험을 실시해 무결성을 입증함.</t>
    <phoneticPr fontId="1" type="noConversion"/>
  </si>
  <si>
    <t>관제실 최소 3시간(MIS 및 AFC 30분), 정거장 30분 이상의 정전보상시간을 감당할 통신 UPS 및 배터리 용량을 정밀 산정해 설계에 반영함.</t>
    <phoneticPr fontId="1" type="noConversion"/>
  </si>
  <si>
    <t>현장 UPS 설치 후 전원 강제 차단(Black-out) 실부하 방전 테스트로 정전보상시간 내 전압 강하 없는 정상 가동 여부를 전수 시험함.</t>
    <phoneticPr fontId="1" type="noConversion"/>
  </si>
  <si>
    <t>TCMS, AFC 등 데이터 해킹 방지를 위해 망 분리(방화벽/IPS 등)를 수립하고, 통신 전 구간 SSL/TLS 암호화 및 비인가자 접속 원천 차단 보안 솔루션을 설계에 반영함.</t>
    <phoneticPr fontId="1" type="noConversion"/>
  </si>
  <si>
    <t>장비(L3/L2 등) 및 서버망 구축 후 보안 전문가의 모의 해킹·취약점 점검을 실시해, 패킷 암호화 및 미인가 단말기(MAC 미등록 등) 방화벽 차단을 실증 테스트함.</t>
    <phoneticPr fontId="1" type="noConversion"/>
  </si>
  <si>
    <t>관제실 MIS 등 통신 S/W 아키텍처 설계 시 IEC 62279를 적용해, SIL에 맞는 V-Model 및 V&amp;V 절차를 SRS에 규정함.</t>
    <phoneticPr fontId="1" type="noConversion"/>
  </si>
  <si>
    <t>단계별 제3자 검증기관(ISA)의 소스코드 인스펙션 및 V&amp;V를 수행하고, 결함 조치 후 최종 IEC 62279 적합성 평가 보고서를 징구함.</t>
    <phoneticPr fontId="1" type="noConversion"/>
  </si>
  <si>
    <t>통신망(광전송망, LTE-R, AFC 등) 단종(EOL) 대비 3년치 핵심 예비품(Board 등) 수량과 장애 분석용 시험·측정장비(OTDR 등)를 산출해 내역서에 반영함.</t>
    <phoneticPr fontId="1" type="noConversion"/>
  </si>
  <si>
    <t>준공 전 예비품·측정장비 리스트 및 보증기간을 전수 확인해 지정 창고에 납품·인계하고, 운영 인력 대상 시험장비 활용 및 부품 교체 실무 교육훈련을 완수함.</t>
    <phoneticPr fontId="1" type="noConversion"/>
  </si>
  <si>
    <t>관제실·기지 통신실 국선(일반전화 등) 인입을 위해 기간통신사업자(KT 등) 맨홀 위치를 조사하고, 통신실 연결 인입 관로 및 수공(Handhole) 위치를 옥외 도면에 설계함.</t>
    <phoneticPr fontId="1" type="noConversion"/>
  </si>
  <si>
    <t>옥외 터파기 시 지하시설물 간섭 없이 국선 인입관로를 시공하고, 사업자(KT 등) 협의로 적기에 광·국선 케이블 포설 및 관로구 방수(씰링)를 이행함.</t>
    <phoneticPr fontId="1" type="noConversion"/>
  </si>
  <si>
    <t>PIS, 옥외 CCTV 등 노출 설비에 방수/방진(IP등급) 및 온도유지 함체를 지정하고, 지하시설물 통신 선로는 저독성 난연케이블로 시방서·물량에 명확히 반영함.</t>
    <phoneticPr fontId="1" type="noConversion"/>
  </si>
  <si>
    <t>자재 반입 시 공인 IP 방수/방진 및 난연(KFI 등) 성적서를 전수 검수하고, 옥외 함체의 씰링(Sealing) 마감 및 발열 해소용 팬(Fan) 작동을 철저히 확인함.</t>
    <phoneticPr fontId="1" type="noConversion"/>
  </si>
  <si>
    <t>승강장 및 객실 내 종합관제실(OCC) 직결 비상인터폰을 설계하고, 시각장애인 등 교통약자용 음성안내설비(음성유도기)를 평면도·계통도에 100% 반영함.</t>
    <phoneticPr fontId="1" type="noConversion"/>
  </si>
  <si>
    <t>시공 후 관제실 서버와 연동 테스트를 수행해 인터폰 호출 시 위치 즉시 팝업 및 인근 CCTV 영상 무지연 자동 표출 시나리오를 전수 실증함.</t>
    <phoneticPr fontId="1" type="noConversion"/>
  </si>
  <si>
    <t>광전송망 설계 시 포설 경로를 물리적으로 이원화하고, 환상망(Ring Topology) 구조를 반영해 단선 시 무순단 절체되도록 도서를 작성함.</t>
    <phoneticPr fontId="1" type="noConversion"/>
  </si>
  <si>
    <t>이원화 경로 분리 시공 후 현장인수시험(SAT) 시 주 경로 강제 단절에도 예비 경로로 즉각 우회 절체(Protection)되는지 전수 테스트함.</t>
    <phoneticPr fontId="1" type="noConversion"/>
  </si>
  <si>
    <t>통신 전송망 설계 시 링(Ring) 망 단절 방지용 하드웨어 'By-Pass 기능' 탑재 ALL-IP 전송장비를 도서에 반영함.</t>
    <phoneticPr fontId="1" type="noConversion"/>
  </si>
  <si>
    <t>네트워크 연동 시험(SAT) 시 스위치 전원 강제 오프(Off)에 따른 자동 우회(By-Pass) 및 24시간 IP 데이터(CCTV 등) 무장애 전송을 전수 테스트함.</t>
    <phoneticPr fontId="1" type="noConversion"/>
  </si>
  <si>
    <t>본선 링(Ring)형 광전송망 설계 시, 정전·고장 시 망 단절을 막는 광신호 우회용 하드웨어 바이패스(Optical By-Pass) 모듈 탑재 산업용 스위치를 시방서에 지정함.</t>
    <phoneticPr fontId="1" type="noConversion"/>
  </si>
  <si>
    <t>장비 구축 후 스위치 전원 강제 차단 블랙아웃 테스트로 바이패스 릴레이 즉시(수십 ms 이내) 작동 및 후단 정거장 통신(CCTV, 열차무선 등) 무장애 서비스를 실증함.</t>
    <phoneticPr fontId="1" type="noConversion"/>
  </si>
  <si>
    <t>관제실·통신실 UPS 및 정류기 설계 시, 24시간 원격 모니터링(충·방전, 전압, 정전 등)용 전원관리시스템(EMS) S/W·서버를 내역에 반영하고 SNMP 기반 연동 계통도를 도면에 설계함.</t>
    <phoneticPr fontId="1" type="noConversion"/>
  </si>
  <si>
    <t>UPS·정류기 설치 후 EMS 연동 및 주전원 차단(블랙아웃) 테스트로 이상 알람 즉각 표출 및 배터리 잔여 보상시간 계측 여부를 전수 시험함.</t>
    <phoneticPr fontId="1" type="noConversion"/>
  </si>
  <si>
    <t>정전 시 관제실 최소 3시간(경영정보/AFC 30분), 정거장 30분 이상 구동 가능한 축전지·UPS 용량을 산정해 전기 수배전 설계와 연계 반영함.</t>
    <phoneticPr fontId="1" type="noConversion"/>
  </si>
  <si>
    <t>UPS·축전지 반입 전수 확인 후, 주 전원 차단(Black-out) 모의 테스트로 3시간(또는 30분)간 전압 강하 없는 정상 구동을 부하 시험(Load Test)함.</t>
    <phoneticPr fontId="1" type="noConversion"/>
  </si>
  <si>
    <t>낙뢰·이상전류 보호를 위해 전력 통합접지 단자함 공동 활용 인터페이스를 명확히 하고, 통신 랙(Rack) 및 기구함 내 상시 접지저항 계측용 전용 '시험 단자(Test Terminal)'를 필수 설계 반영함.</t>
    <phoneticPr fontId="1" type="noConversion"/>
  </si>
  <si>
    <t>전기 통합접지 단자함과 규정 굵기 접지선으로 견고히 결속하고, 시험 단자에 접지저항계를 연결해 기준치 이하 접지저항값 상시 유지 여부를 실측 후 감리 승인을 득함.</t>
    <phoneticPr fontId="1" type="noConversion"/>
  </si>
  <si>
    <t>전기 통합접지망 공용 시, 상시 접지저항 측정용 분리형 링크(Disconnect Link) 포함 통신 전용 시험단자(Test Terminal)를 도서에 명시함.</t>
    <phoneticPr fontId="1" type="noConversion"/>
  </si>
  <si>
    <t>시험단자 취부 및 접지망 연결 후, 접지저항 측정기(Earth Tester)로 기준치 이내 여부를 전수 측정 및 기록함.</t>
    <phoneticPr fontId="1" type="noConversion"/>
  </si>
  <si>
    <t>옥외 함체(RACK) 설계 시 주변 경관과 조화되는 일체형 디자인을 적용하고, 케이블 인입·인출용 전용 샤프트(Shaft)를 통신·건축 도면에 매핑해 반영함.</t>
    <phoneticPr fontId="1" type="noConversion"/>
  </si>
  <si>
    <t>설치 전 마감재 및 건축한계선 간섭 여부를 합동 샵드로잉(Shop Drawing)으로 검증하고, 항온/방습 조치 및 샤프트 구간 케이블 방수 씰링(Sealing) 처리를 이행함.</t>
    <phoneticPr fontId="1" type="noConversion"/>
  </si>
  <si>
    <t>기계설비 직접디지털제어기(DDC)와 관제실 감시반 간 통신을 위해, L2/L3 스위치 설계 시 자동제어 전용 광포트(Port) 및 망분리(VLAN) 할당을 인터페이스 도서에 반영함.</t>
    <phoneticPr fontId="1" type="noConversion"/>
  </si>
  <si>
    <t>스위치 및 DDC 판넬 결선(Patch Cord) 후 BACnet/Modbus IP 전송 시험을 실시해 기계설비 원격 제어 신호가 지연·손실(Loss) 없이 전달되는지 합동 검증함.</t>
    <phoneticPr fontId="1" type="noConversion"/>
  </si>
  <si>
    <t>트램 교차로 우선신호 요청을 위해 교통신호제어기-차량 간 실시간 통신용 WiFi 등 근거리 무선장비(AP, 안테나) 위치·규격·프로토콜을 실시설계 도서에 반영함.</t>
    <phoneticPr fontId="1" type="noConversion"/>
  </si>
  <si>
    <t>장비 설치 후 모의 주행 테스트를 통해 전파 방해를 배제하고 유효 반경 내 지연·패킷 손실 없이 우선신호 데이터가 송수신되는지 전수 실증함.</t>
    <phoneticPr fontId="1" type="noConversion"/>
  </si>
  <si>
    <t>교차로 우선신호 및 유고상황 공유를 위해 종합관제실(OCC)과 지자체 도로교통관제센터 간 데이터 연동 통신회선을 이원화(이중계) 설계하고 방화벽 등 보안대책을 수립함.</t>
    <phoneticPr fontId="1" type="noConversion"/>
  </si>
  <si>
    <t>지자체와 합동으로 네트워크 연동 및 보안(방화벽 Rule) 개방 테스트를 수행해 트램 위치 및 교차로 신호 패킷의 무지연 송수신을 전수 실증함.</t>
    <phoneticPr fontId="1" type="noConversion"/>
  </si>
  <si>
    <t>구내방송설비 설계 시 화재수신반(R형)과 접점(I/O) 연동 인터페이스를 구축해, 화재 감지 시 해당 구역 앰프로 비상 대피 방송이 즉각 송출되도록 방송 제어 로직을 반영함.</t>
    <phoneticPr fontId="1" type="noConversion"/>
  </si>
  <si>
    <t>방송·소방수신반 합동 연동 시험으로 임의 화재 감지기 동작 시 일반 BGM이 차단되고 최우선순위 비상 대피 방송(경보음 포함)이 지연 없이 해당 구역에 출력되는지 전수 확인함.</t>
    <phoneticPr fontId="1" type="noConversion"/>
  </si>
  <si>
    <t>토목·궤도 스마트 유지관리 IoT 센서(기울기, 진동 등) 데이터 전송용 저전력 통신망(LoRa, NB-IoT 등) 또는 LTE-R M2M 대역폭을 할당하고 게이트웨이 연계 계통도를 도면에 반영함.</t>
    <phoneticPr fontId="1" type="noConversion"/>
  </si>
  <si>
    <t>현장 IoT 센서 부착 후 관제 서버(모니터링 S/W) 센싱 데이터 무지연 전송을 확인하고, 수신 불량 지하시설물은 중계기 증폭 비율을 조정해 전파 음영 구역을 해소함.</t>
    <phoneticPr fontId="1" type="noConversion"/>
  </si>
  <si>
    <t>신호(TTC 등)·전력(SCADA) 데이터 대역폭 및 물리적 광포트(FDF, L2/L3 스위치) 수량을 조사해 통신 전송망 도서에 수용하고 VLAN 등 논리적 망 분리 계획을 수립함.</t>
    <phoneticPr fontId="1" type="noConversion"/>
  </si>
  <si>
    <t>타 분야 장비 반입 후 네트워크 결선(Patch Cord)을 완료하고, 각 서버로 Ping Test 및 프로토콜 연동 시험을 실시해 패킷 손실(Loss)·지연 여부를 전수 실증함.</t>
    <phoneticPr fontId="1" type="noConversion"/>
  </si>
  <si>
    <t>통신모뎀 이중화 설계 반영함.</t>
    <phoneticPr fontId="1" type="noConversion"/>
  </si>
  <si>
    <t>옥외 통신설비(LTE-R 안테나, CCTV 등) 낙뢰·유도서지 차단용 접지선 규격을 산정하고, 전기 분야 등전위 통합접지망에 연결되도록 통신-전기 인터페이스 배선 도면을 명확히 작성함.</t>
    <phoneticPr fontId="1" type="noConversion"/>
  </si>
  <si>
    <t>장비 외함 및 선로 쉴드(Shield)를 전기 통합접지단자함에 규정 굵기 접지선으로 결선(압착)하고, 대지 간 접지저항 및 서지보호기(SPD) 결선 상태를 전수 검측함.</t>
    <phoneticPr fontId="1" type="noConversion"/>
  </si>
  <si>
    <t>순간 대전류 충전(Super Capacitor)·인버터 구동 노이즈 분석(EMI/EMC)으로 차폐용 쉴드(Shield) 케이블을 적용하고, 전기·통신 케이블 간 물리적 이격 분리 설계를 반영함.</t>
    <phoneticPr fontId="1" type="noConversion"/>
  </si>
  <si>
    <t>통신·전기 케이블 포설 시 규정 최소 이격 거리를 100% 엄수하고 수직 교차배선하며, 철도종합시험운행 시 급속충전 조건에서 통신망 데이터 전송 에러율(BER) 및 통화/화상 끊김 여부를 전수 계측함.</t>
    <phoneticPr fontId="1" type="noConversion"/>
  </si>
  <si>
    <t>무임승차 방지를 위해 출입문당 최소 2대 이상 AFC RF 단말기 배치 규격을 차량 분야에 제공하고, 차내 스위치 연계 정산 데이터 취합 계통도를 인터페이스 도서에 반영함.</t>
    <phoneticPr fontId="1" type="noConversion"/>
  </si>
  <si>
    <t>출입문 인근 지주(Stanchion)에 단말기를 부착해 진동 내구성을 검증하고, 종합시험운행 시 다중 태그 데이터가 차상 L2 스위치를 거쳐 지상 정산 서버로 무지연 전송되는지 전수 실증함.</t>
    <phoneticPr fontId="1" type="noConversion"/>
  </si>
  <si>
    <t>차상 통신 설비(LTE-R, AFC 등) 설계 시 '철도차량 기술기준'에 부합하는 내환경(내진동·내충격·온습도·EMC) 특수 사양을 선정하고, 시방서에 공인인증 취득 요건을 명기함.</t>
    <phoneticPr fontId="1" type="noConversion"/>
  </si>
  <si>
    <t>장비 반입 전 공인시험기관(KOLAS 등) 환경시험 성적서(진동, 충격 등)를 전수 검수하고, 주행 시운전으로 궤도 요철·곡선 진동에 따른 커넥터 이탈 및 패킷 손실 등 물리적 내구성을 실증함.</t>
    <phoneticPr fontId="1" type="noConversion"/>
  </si>
  <si>
    <t>차상 통신장비(LTE-R, AFC, 안테나 등)의 규격·제어전원·발열량·위치를 차량 제작사에 제공하고, 설치 공간·마운트가 반영되도록 시스템 통합 인터페이스 문서를 작성·승인받음.</t>
    <phoneticPr fontId="1" type="noConversion"/>
  </si>
  <si>
    <t>통신 계약자는 차상 통신장비를 차량 공장에 적기 납품해 차량 분야가 설치·결선을 주관토록 관리하고, 출고 전후 통신 분야 주도로 장비 단독 및 관제 연동 시험을 실시함.</t>
    <phoneticPr fontId="1" type="noConversion"/>
  </si>
  <si>
    <t>노반·궤도 설계 시 통신망 연결용 선로 횡단 강제전선관(스틸파이프) 및 종방향 공동관로(ELP) 규격·심도·위치를 토목 도면과 수량산출서에 일치시켜 반영함.</t>
    <phoneticPr fontId="1" type="noConversion"/>
  </si>
  <si>
    <t>토목·궤도 콘크리트 타설 전 통신 감리 입회하에 횡단 강제전선관·맨홀 사전 매설을 검측하고, 타설 중 이물질 유입·파손 방지용 마감 캡(Cap) 조치를 확인함.</t>
    <phoneticPr fontId="1" type="noConversion"/>
  </si>
  <si>
    <t>CCTV 주요 구역 감시 및 영상인식 장치로 자동 경고 방송 반영함.</t>
    <phoneticPr fontId="1" type="noConversion"/>
  </si>
  <si>
    <t>종합관제실·차량기지·정거장 간 음성·화상 통신용 ALL IP 교환기(IP-PBX)를 설계하고, 실제 소요 회선수(약 215회선 내외)를 정밀 산정해 과다·과소 없는 최적 용량을 통신 내역에 반영함.</t>
    <phoneticPr fontId="1" type="noConversion"/>
  </si>
  <si>
    <t>IP 교환기 및 IP-Phone(화상전화기 포함) 설치 후 고부하(Traffic) 모사 다자간 통화·화상 테스트를 실시해, 음성 지연(Jitter)·영상 끊김 방지용 네트워크 QoS(Quality of Service) 설정을 최적화함.</t>
    <phoneticPr fontId="1" type="noConversion"/>
  </si>
  <si>
    <t>차량 CCTV-LTE-R 단말기 인터페이스를 확정하고, 고화질 영상 동시 전송용 LTE-R 대역폭(QoS) 및 관제 VMS 연동을 반영함.</t>
    <phoneticPr fontId="1" type="noConversion"/>
  </si>
  <si>
    <t>통합시운전 시 모의 이벤트(호출, 화재 등)를 발생시켜 객실 CCTV 영상이 관제실에 지연(Latency) 없이 즉각 팝업되는지 전수 시험함.</t>
    <phoneticPr fontId="1" type="noConversion"/>
  </si>
  <si>
    <t>관제실 내 통신 시스템(광전송망, LTE-R, CCTV 등) 단일 화면 실시간 관제용 SNMP 기반 망관리시스템(NMS) 또는 요소관리(EMS) S/W 및 전용 서버 구축을 100% 설계에 반영함.</t>
    <phoneticPr fontId="1" type="noConversion"/>
  </si>
  <si>
    <t>모든 통신 장비에 IP 및 SNMP Trap을 설정해 NMS에 연동하고, 시운전 시 인위적 장애(전원 차단, 단선 등)를 유발해 모니터 상 즉각적인 장애 위치·알람 표출 여부를 전수 실증함.</t>
    <phoneticPr fontId="1" type="noConversion"/>
  </si>
  <si>
    <t>종합관제실 설계 시 장래 연장 노선 트래픽 및 신규 장비 수용을 위한 네트워크 포트, 서버 자원 및 랙(Rack) 여유 용량(Spare)을 도서에 확보 반영함.</t>
    <phoneticPr fontId="1" type="noConversion"/>
  </si>
  <si>
    <t>장비 증설을 위한 여유 랙(Empty Rack) 공간 및 트레이 배선 경로를 타 공종(건축, 전기)과 조율해 물리적으로 비워두고 유지관리 동선을 확보함.</t>
    <phoneticPr fontId="1" type="noConversion"/>
  </si>
  <si>
    <t>종합관제실 통신 주장치(LTE-R, 서버 등) 설계 시, 2단계 노선 연장 대비 하드웨어 여유 슬롯(Slot), 예비 포트, S/W 라이선스 및 랙(Rack) 거치 공간을 100% 반영함.</t>
    <phoneticPr fontId="1" type="noConversion"/>
  </si>
  <si>
    <t>랙(Rack) 배열 시 장래 증설용 공간(Space)을 확보하고, 모의 트래픽 부하 발생기로 설계 예비 용량 한계치까지 병목 현상(Bottleneck) 없는 안정적 처리 성능을 검증함.</t>
    <phoneticPr fontId="1" type="noConversion"/>
  </si>
  <si>
    <t>통신기계실 발열 장비(서버, 정류기, 전송장비 등) 배치 시 원활한 공조를 위한 이격 거리를 확보하고, 장비 랙(Rack) 사이 불연재료 물리적 차단막을 반영해 과열·화재 전이 방지책을 규정함.</t>
    <phoneticPr fontId="1" type="noConversion"/>
  </si>
  <si>
    <t>장비 설치 시 지정된 이격 거리를 준수해 랙(Rack)을 앵커링하고, 절연 처리 및 불연 차단막 시공 상태를 감리 입회하에 전수 확인해 국부적 열섬 현상(Hot Spot)을 방지함.</t>
    <phoneticPr fontId="1" type="noConversion"/>
  </si>
  <si>
    <t>야외 환경 운행정보 시인성 확보를 위해 고휘도 옥외용 행선안내표시기를 설계하고, 시각장애인 전용 음성 스피커 및 점자블록 연동 스위치를 내역에 필수 반영함.</t>
    <phoneticPr fontId="1" type="noConversion"/>
  </si>
  <si>
    <t>설치 후 주간 직사광선 시인성(휘도·눈부심 방지)을 실측하고, 시각장애인 리모컨(또는 버튼) 작동 시 안내 음성이 교통약자 편의시설(BF) 기준에 맞춰 정상 표출되는지 전수 검측함.</t>
    <phoneticPr fontId="1" type="noConversion"/>
  </si>
  <si>
    <t>행선안내게시기(PIS)에 영상 정보 제공용 고휘도 대형 LCD(42/55인치 양면)를 적용하고, 옥외용 방수/방진(IP) 및 온도조절(쿨링팬/히터) 일체형 외함 설계를 도서에 규정함.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</si>
  <si>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06.체크리스트/분야별/10_통신/통신_설계추진방향보고_영상감시설비 구축 방안_rev.00_260528.pdf
• 노면전차시설 설계 가이드라인 (관제실 및 통신설비, 영상감시시스템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</si>
  <si>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철도안전법(철도안전관리체계)
• 철도의 건설 및 철도시설 유지관리에 관한 법률
• 정보통신공사 표준시방서</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</si>
  <si>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철도의 건설 및 철도시설 유지관리에 관한 법률(철도시설정보관리체계)
• 정보통신공사업법
• 행정기관 및 공공기관 정보시스템 구축·운영 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</si>
  <si>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국가정보보안기본지침
• 도시철도건설규칙(국토교통부령)
• 지능형교통체계 기본법 제14조</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</si>
  <si>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노면전차시설 설계 가이드라인 (통신설비분야 경영정보설비(MIS)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</si>
  <si>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06.체크리스트/분야별/10_통신/통신_설계추진방향보고_열차무선설비(LTE-R) 구축 방안_통신_rev.00_260601.pdf
• 노면전차시설 설계 가이드라인 (열차무선설비 및 국가통합지휘 무선망 연계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</si>
  <si>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06.체크리스트/분야별/10_통신/통신_설계추진방향보고_영상감시설비 구축 방안_rev.00_260528.pdf
• 노면전차시설 설계 가이드라인 (운전관리를 위한 통신설비, 열차무선설비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</si>
  <si>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행정기관 및 공공기관 정보시스템 구축·운영 지침
• 소프트웨어 개발보안 가이드(KISA)
• 정보통신공사 표준시방서</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</si>
  <si>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06.체크리스트/분야별/10_통신/통신_설계추진방향보고_역무자동화설비 구축 방안_통신_rev.00_260601.pdf
• 도시철도 역무자동화설비(AFC) 설치기준
• 수도권 대중교통 통합요금 및 환승제도
• 정보통신공사업법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</si>
  <si>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06.체크리스트/분야별/10_통신/통신_설계추진방향보고_역무자동화설비 구축 방안_통신_rev.00_260601.pdf
• 노면전차시설 설계 가이드라인 (역무자동화설비(AFC) 실시설계범위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</si>
  <si>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06.체크리스트/분야별/10_통신/통신_설계추진방향보고_열차무선설비(LTE-R) 구축 방안_통신_rev.00_260601.pdf
• 노면전차시설 설계 가이드라인 (관제실 및 통신설비, 열차무선설비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</si>
  <si>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06.체크리스트/분야별/10_통신/통신_설계추진방향보고_열차무선설비(LTE-R) 구축 방안_통신_rev.00_260601.pdf
• 철도통합무선망(LTE-R) 구축지침
• 전파법 및 무선설비규칙
• 재난안전통신망법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</si>
  <si>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06.체크리스트/분야별/10_통신/통신_설계추진방향보고_열차무선설비(LTE-R) 구축 방안_통신_rev.00_260601.pdf
• 노면전차시설 설계 가이드라인 (운전관리를 위한 통신설비, 열차무선설비 차상 인터페이스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</si>
  <si>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06.체크리스트/분야별/10_통신/통신_설계추진방향보고_열차무선설비(LTE-R) 구축 방안_통신_rev.00_260601.pdf
• 전파법 및 무선설비규칙
• 철도통합무선망(LTE-R) 구축지침
• 국가정보원 보안적합성 검증 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</si>
  <si>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06.체크리스트/분야별/10_통신/통신_설계추진방향보고_영상감시설비 구축 방안_rev.00_260528.pdf
• 정보통신설비의 기술기준에 관한 규정
• 도시철도 정거장 및 환승·편의시설 설계 지침
• 개인정보 보호법(영상정보처리기기 설치·운영)</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</si>
  <si>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(통신 방송설비 및 시스템 연동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</si>
  <si>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도시철도 정거장 및 환승·편의시설 설계 지침
• 정보통신공사 표준시방서
• 교통약자의 이동편의 증진법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</si>
  <si>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(설비보전을 위한 통신설비, 재난방송수신설비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</si>
  <si>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방송통신설비의 기술기준에 관한 규정
• 재난방송 및 민방위경보방송의 원활한 수신에 관한 지침
• 정보통신설비의 기술기준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</si>
  <si>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(정거장 통신설비 및 분야별 인터페이스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</si>
  <si>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(운영관리를 위한 통신설비, 비상전화설비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</si>
  <si>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소방시설 설치 및 관리에 관한 법률 제10조
• 화재예방, 소방시설 설치·유지 및 안전관리에 관한 법률
• 방송통신기자재등의 적합성평가에 관한 고시</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</si>
  <si>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전기통신공사업법 제24조의2(설계·시공기준)
• 방송통신설비의 기술기준에 관한 규정
• 철도시설 설계기준(노반, 건축, 통신 연계)</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</si>
  <si>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(통신설비분야 정보보안 및 전송망 안전성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</si>
  <si>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(통신설비 배선 및 유도장애 보호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</si>
  <si>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접지설비․구내통신설비․선로설비 및 통신공동구 등에 대한 기술기준
• 방송통신설비의 기술기준에 관한 규정
• 정보통신공사 표준시방서</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</si>
  <si>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(정거장 및 본선 통신설비 인입 및 배관·배선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</si>
  <si>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06.체크리스트/분야별/10_통신/통신_설계추진방향보고_영상감시설비 구축 방안_rev.00_260528.pdf
• 도로법 제38조(도로점용 허가)
• 전기통신사업법 제80조(설계도서의 작성 등)
• 지능형교통체계(ITS) 기본계획 및 설계기준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</si>
  <si>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정보통신설비의 기술기준에 관한 규정
• 도시철도 정거장 및 환승·편의시설 설계 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</si>
  <si>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(운전관리를 위한 통신설비, 열차무선설비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</si>
  <si>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철도안전법 제26조(철도용품 형식승인)
• 도시철도 차량 안전기준에 관한 규칙
• 노면전차 시설 설계지침(국토교통부)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</si>
  <si>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철도안전법 제38조(철도안전관리체계)
• 도시철도건설규칙(국토교통부령)
• 교통약자의 이동편의 증진법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</si>
  <si>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도로교통법 제5조(신호 또는 지시에 따를 의무)
• 노면전차 운영 안전기준(국토교통부 고시)
• 교통안전법 제9조(교통안전대책의 수립)</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</si>
  <si>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철도안전법 제40조(운행제한) 및 제45조(철도보호지구)
• 도시철도운전규칙(국토교통부령)
• 국가정보보안기본지침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</si>
  <si>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도로교통법 시행규칙(횡단보도 안전설비)
• 노면전차 시설 설계지침(국토교통부)
• 교통안전법 제33조(교통안전진단)</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</si>
  <si>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노면전차시설 설계 가이드라인 (통신분야 차량 인터페이스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</si>
  <si>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도로교통법 제5조
• 노면전차 운영 안전기준(국토교통부 고시)
• 도시철도 신호제어 설계기준(KDS 47 70 00)</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</si>
  <si>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방송통신설비의 기술기준에 관한 규정
• 철도시설 설계기준(통신)
• 전기통신공사업법 제24조의2(설계·시공기준)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</si>
  <si>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06.체크리스트/분야별/10_통신/통신_설계추진방향보고_열차무선설비(LTE-R) 구축 방안_통신_rev.00_260601.pdf
• 철도통합무선망(LTE-R) 구축지침
• 도시철도차량(노면전차) 기술기준
• 방송통신설비의 기술기준에 관한 규정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</si>
  <si>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전기통신사업법 제80조
• 철도시설 설계기준(통신)
• 방송통신설비의 기술기준에 관한 규정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</si>
  <si>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노면전차시설 설계 가이드라인 (정거장 통신설비 및 인터페이스 설계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</si>
  <si>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(설비보전을 위한 통신설비, 무정전전원설비(UPS)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</si>
  <si>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06.체크리스트/분야별/10_통신/통신_설계추진방향보고_역무자동화설비 구축 방안_통신_rev.00_260601.pdf
• 정보통신기반 보호법
• 국가 정보보안 기본지침
• 개인정보 보호법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</si>
  <si>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철도소프트웨어 국제표준(IEC 62279 / EN 50128)
• 도시철도시설 안전관리에 관한 규칙
• 행정기관 및 공공기관 정보시스템 구축·운영 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</si>
  <si>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도시철도 시설 안전관리에 관한 규칙
• 철도건설사업 예비품 및 유지보수공구 관리지침
• 정보통신공사업법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</si>
  <si>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정보통신공사 표준시방서
• 접지설비·구내통신설비·선로설비 및 통신공동구 등에 대한 기술기준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</si>
  <si>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정보통신설비의 기술기준에 관한 규정
• 도시철도 정거장 및 환승·편의시설 설계 지침
• 철도시설의 기술기준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</si>
  <si>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교통약자의 이동편의 증진법
• 도시철도 정거장 및 환승·편의시설 설계 지침
• 정보통신설비의 기술기준에 관한 규정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</si>
  <si>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(관제실 및 통신설비, 전송망 생존성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</si>
  <si>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(전송설비구축 및 전송망 안전성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</si>
  <si>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정보통신설비의 기술기준에 관한 규정
• 도시철도 정거장 및 환승·편의시설 설계 지침
• 정보통신공사 표준시방서</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</si>
  <si>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방송통신설비의 기술기준에 관한 규정
• 정보통신공사 표준시방서
• 한국전기설비규정(KEC)</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</si>
  <si>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한국전기설비규정(KEC)
• 건축전기설비 설계기준
• 방송통신설비의 기술기준에 관한 규정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</si>
  <si>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(정거장 통신설비 및 설비보전을 위한 접지설비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</si>
  <si>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접지설비·구내통신설비·선로설비 및 통신공동구 등에 대한 기술기준
• 정보통신공사 표준시방서
• 한국전기설비규정(KEC)</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</si>
  <si>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정보통신공사 표준시방서
• 도시철도 정거장 및 환승·편의시설 설계 지침
• 철도건설공사 인터페이스 관리지침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</si>
  <si>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정보통신공사 표준시방서
• 철도건설공사 인터페이스 관리지침
• 기계설비공사 표준시방서(자동제어)</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</si>
  <si>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06.체크리스트/분야별/10_통신/통신_설계추진방향보고_열차무선설비(LTE-R) 구축 방안_통신_rev.00_260601.pdf
• 지능형교통체계 표준노드/링크 구축기준
• 방송통신설비의 기술기준에 관한 규정
• 전파법(무선설비규칙)</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</si>
  <si>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지능형교통체계 표준노드/링크 구축기준
• 정보통신기반 보호법
• 철도건설공사 인터페이스 관리지침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</si>
  <si>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비상방송설비의 화재안전성능기준(NFPC 202)
• 철도건설공사 인터페이스 관리지침
• 정보통신공사 표준시방서</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</si>
  <si>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스마트 건설기술 활성화 지침(국토교통부)
• 시설물의 안전 및 유지관리에 관한 특별법
• 철도건설공사 인터페이스 관리지침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</si>
  <si>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철도건설공사 인터페이스 관리지침
• 정보통신설비의 기술기준에 관한 규정
• 도시철도 정거장 및 환승·편의시설 설계 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</si>
  <si>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06.체크리스트/분야별/10_통신/통신_설계추진방향보고_열차무선설비(LTE-R) 구축 방안_통신_rev.00_260601.pdf
• 도시철도 신호제어 설계기준(KDS 47 70 00)
• 지능형교통체계(ITS) 기본계획 및 설계기준
• 도로교통법 제5조(우선신호)</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</si>
  <si>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접지설비·구내통신설비·선로설비 및 통신공동구 등에 대한 기술기준
• 한국전기설비규정(KEC)
• 정보통신설비의 기술기준에 관한 규정</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</si>
  <si>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철도용품기술기준(전자파 적합성)
• 접지설비·구내통신설비·선로설비 및 통신공동구 등에 대한 기술기준
• 방송통신설비의 기술기준에 관한 규정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</si>
  <si>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도시철도 역무자동화설비(AFC) 설치기준
• 철도차량 기술기준
• 철도건설공사 인터페이스 관리지침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</si>
  <si>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철도차량 기술기준(국토교통부)
• 도시철도차량(노면전차) 기술기준
• 철도건설공사 인터페이스 관리지침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</si>
  <si>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철도건설공사 인터페이스 관리지침
• 철도차량 기술기준
• 정보통신공사 표준시방서</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</si>
  <si>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정보통신공사 표준시방서
• 철도건설공사 인터페이스 관리지침
• 접지설비·구내통신설비·선로설비 및 통신공동구 등에 대한 기술기준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</si>
  <si>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철도안전법 제45조(철도보호지구에서의 행위제한)
• 도시철도건설규칙(국토교통부령)
• 철도시설 안전기준에 관한 규칙</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</si>
  <si>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방송통신설비의 기술기준에 관한 규정
• 정보통신공사 표준시방서</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</si>
  <si>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06.체크리스트/분야별/10_통신/통신_설계추진방향보고_경영정보설비(MIS) 구축 방안_rev.00_260528.pdf
• 철도통합무선망(LTE-R) 구축지침
• 철도차량 기술기준
• 방송통신설비의 기술기준에 관한 규정</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</si>
  <si>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정보통신설비의 기술기준에 관한 규정
• 행정기관 및 공공기관 정보시스템 구축·운영 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</si>
  <si>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노면전차시설 설계 가이드라인 (종합관제실 통신설비 실시설계범위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</si>
  <si>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06.체크리스트/분야별/10_통신/통신_설계추진방향보고_무중단 통신망 구축 방안_통신_rev.00_260528.pdf
• 정보통신공사 표준시방서
• 행정기관 및 공공기관 정보시스템 구축·운영 지침
• 철도건설공사 인터페이스 관리지침</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</si>
  <si>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노면전차시설 설계 가이드라인 (통신설비분야 화재안전기준 준수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</si>
  <si>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노면전차시설 설계 가이드라인 (여객서비스를 위한 통신설비, 안내게시기 및 음성안내설비 기준)</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</si>
  <si>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도시철도 정거장 및 환승·편의시설 설계 지침
• 정보통신공사 표준시방서
• 정보통신설비의 기술기준에 관한 규정</t>
    <phoneticPr fontId="1" type="noConversion"/>
  </si>
  <si>
    <t>• 04_설계서/동탄도시철도(트램) 건설사업 전기.신호.통신 분야 기본설계/동탄도시철도(트램) 건설사업 전기.신호.통신 분야 기본설계_신호/6. 공사시방서.pdf
• 06.체크리스트/분야별/10_통신/01 통신망, 영상감시설비, 경영정보설비 설계추진방향 보고(회의록)_통신_Rev01(260529).pdf
• 도시철도 정거장 및 환승·편의시설 설계 지침
• 철도건설공사 인터페이스 관리지침
• 정보통신설비의 기술기준에 관한 규정</t>
    <phoneticPr fontId="1" type="noConversion"/>
  </si>
  <si>
    <t>개방형 정거장 설계 시 빗물 고임·직유입 방지용 바닥 배수구배(1~2%)를 설계하고, 배수 동선 내 트렌치(Trench)·집수정을 최적 용량으로 산정해 도면에 반영함.</t>
    <phoneticPr fontId="1" type="noConversion"/>
  </si>
  <si>
    <t>승강장 바닥 마감 시 3D 레벨기로 배수 구배를 정밀 측량 시공하고, 트렌치 커버(그레이팅)는 휠체어 바퀴가 안 빠지는 세목 규격 확인 후 단차 없이 견고히 고정함.</t>
    <phoneticPr fontId="1" type="noConversion"/>
  </si>
  <si>
    <t>• 04_설계서/1공구/건축/01. 설계보고서(건축).pdf
• 04_설계서/2공구/건축/(건축)기본설계보고서.pdf
• 분야별/06_건축/건축_설계추진방향보고_정거장계획, 차량기지 추진방향_rev.02_260521.pdf</t>
    <phoneticPr fontId="1" type="noConversion"/>
  </si>
  <si>
    <t>승강장·대합실 벽면 설계 시 조명광고판, 자판기 위치를 할당(Zoning)하고, 소화전함·분전함 개폐 반경 및 시야 확보를 위해 건축-기전 간 3D 간섭 검토를 완료함.</t>
    <phoneticPr fontId="1" type="noConversion"/>
  </si>
  <si>
    <t>함체 매립 및 광고판 부착 전 현장 샵드로잉(Shop Drawing)으로 설비 도어 개폐 각도(180도 확보 등)와 램프 시인성 간섭을 타 공종과 교차 확인 후 부착 위치를 확정함.</t>
    <phoneticPr fontId="1" type="noConversion"/>
  </si>
  <si>
    <t>대규모 복합 특화정거장 설계 시 신규 하중(고정·활하중)이 기존 지하구조물(주차장 등)에 미치는 영향을 정밀 구조해석하고, 초과 시 탄소섬유 보강·잭서포트 등 조치방안을 반영함.</t>
    <phoneticPr fontId="1" type="noConversion"/>
  </si>
  <si>
    <t>시공 전후 기존 하부 지하구조물 내부에 변위계·균열측정기를 설치해 거동을 모니터링하고, 설계된 하부 보강공사 선행 완료 후 상부 본공사를 진행함.</t>
    <phoneticPr fontId="1" type="noConversion"/>
  </si>
  <si>
    <t>• 06.체크리스트/분야별/06_건축/건축_설계추진방향보고_변전소 추진방향_rev.00_260526.pdf
• 분야별/06_건축/건축_설계추진방향_3차보고_rev01_260608.pdf
• 04_설계서/1공구/건축/01. 설계보고서(건축).pdf</t>
    <phoneticPr fontId="1" type="noConversion"/>
  </si>
  <si>
    <t>107 등 특화정거장 상부 구조 계획 시, 기존 지하주차장 구조물의 허용 지지력·하중 전이 영향을 정밀 구조계산해 안전성을 검증하고 마이크로파일 등 하부 보강 상세도를 작성함.</t>
    <phoneticPr fontId="1" type="noConversion"/>
  </si>
  <si>
    <t>시공 전 기존 지하주차장 슬래브·기둥 상태를 현장 조사하고, 탄소섬유 보강·동바리 설치 등 설계된 보강 공법을 완벽히 선행한 후 상부 철골 조립에 착수함.</t>
    <phoneticPr fontId="1" type="noConversion"/>
  </si>
  <si>
    <t>• 06.체크리스트/분야별/06_건축/건축_설계추진방향보고_변전소 추진방향_rev.00_260526.pdf
• 04_설계서/1공구/건축/01. 설계보고서(건축).pdf
• 04_설계서/1공구/건축/07. 구조계산서(건축).pdf
• 04_설계서/2공구/건축/(건축)구조계산서.pdf</t>
    <phoneticPr fontId="1" type="noConversion"/>
  </si>
  <si>
    <t>조립식 칸막이(샌드위치 패널 등) 설계 시, 심재는 불연·준불연, 외부 표면재는 100% 불연재료인 공인 인증 제품만 적용토록 실내마감표 및 시방서에 규정함.</t>
    <phoneticPr fontId="1" type="noConversion"/>
  </si>
  <si>
    <t>자재 반입 시 불연/준불연 시험성적서를 전수 대조하고, 무작위 난연 테스트로 기준 미달 가연성 패널(EPS 등) 반입·시공을 원천 차단함.</t>
    <phoneticPr fontId="1" type="noConversion"/>
  </si>
  <si>
    <t>• 04_설계서/1공구/건축/01. 설계보고서(건축).pdf
• 04_설계서/2공구/건축/(건축)기본설계보고서.pdf</t>
    <phoneticPr fontId="1" type="noConversion"/>
  </si>
  <si>
    <t>여객 동선·시야각 분석 후 섬식(1개소), 상대식(2개소), 특화정거장(4개소) 등 규정된 최소 안내사인 수량을 도서에 반영함.</t>
    <phoneticPr fontId="1" type="noConversion"/>
  </si>
  <si>
    <t>시각적 장애물을 피한 최적 위치에 안내사인을 부착하고, 야간 시인성 확보용 조명 연계·점등을 감리 입회하에 확인함.</t>
    <phoneticPr fontId="1" type="noConversion"/>
  </si>
  <si>
    <t>지하 변전소·기계실 설계 시 전기장비 규격을 고려해 최소 3.0m×4.0m 장비반입구와 간섭물 없는 반입동선을 도면에 반영함.</t>
    <phoneticPr fontId="1" type="noConversion"/>
  </si>
  <si>
    <t>장비반입구 시공 시 3m×4m 유효 개구부를 정밀 측량·확보하고, 장비 안착 시까지 가설 추락방지망과 안전 난간을 유지함.</t>
    <phoneticPr fontId="1" type="noConversion"/>
  </si>
  <si>
    <t>지하변전소 설계 시 전기 분야와 대형 장비 규격·중량을 협의해 장비 반입구, 반입 동선, 주계단 폭원 및 지지력을 도면에 확보함.</t>
    <phoneticPr fontId="1" type="noConversion"/>
  </si>
  <si>
    <t>타설·조적 전 3D BIM으로 반입 개구부 위치·치수를 교차 검측하고, 타설 후 장비 반입 모의 시뮬레이션을 수행함.</t>
    <phoneticPr fontId="1" type="noConversion"/>
  </si>
  <si>
    <t>대형 장비(천장크레인, 동시인양장치 등) 간섭 배제를 위해 검수고에 내부 기둥 없는 장스팬(Long-span) 무주공간 철골 트러스 구조를 적용함.</t>
    <phoneticPr fontId="1" type="noConversion"/>
  </si>
  <si>
    <t>구조물 조립 시 가설 지지대(Bent)로 처짐을 방지하고, 철골 간 고장력 볼트 체결 및 용접 검사(UT, MT)를 수행해 안전성을 확보함.</t>
    <phoneticPr fontId="1" type="noConversion"/>
  </si>
  <si>
    <t>전기실·변전소·통신실 상부 직상층 및 인접부에 배관이나 물 사용 실(화장실, 식당, 물탱크실)이 배치되지 않도록 건축·설비·전기 간 공간배치(Zoning)를 인터페이스하여 반영함.</t>
    <phoneticPr fontId="1" type="noConversion"/>
  </si>
  <si>
    <t>건축·설비 도면 교차 확인을 통해 전기실 상부 슬래브에 수계 배관용 슬리브(Sleeve)가 무단 시공되지 않도록 현장 통제 및 감리단 승인을 받음.</t>
    <phoneticPr fontId="1" type="noConversion"/>
  </si>
  <si>
    <t>• 04_설계서/1공구/건축/01. 설계보고서(건축).pdf
• 04_설계서/2공구/건축/(건축)기본설계보고서.pdf
• 분야별/06_건축/건축_설계추진방향보고_변전소 추진방향_rev.00_260526.pdf</t>
    <phoneticPr fontId="1" type="noConversion"/>
  </si>
  <si>
    <t>장래 트램 증차·복합개발 대비 증축 예상 부지의 여유 공간(Buffer Zone)을 확보하고, 수직·수평 확장이 용이한 모듈형 구조 및 설비 예비 용량(스페이스)을 선반영함.</t>
    <phoneticPr fontId="1" type="noConversion"/>
  </si>
  <si>
    <t>증축 접속부(기둥, 슬래브 단부)에 철근 이음용 커플러나 앵커를 사전 매립해 보양하고, 지하시설물(오수·우수관 등) 시공 시 확장 부지를 우회하도록 좌표를 준공도면에 기록함.</t>
    <phoneticPr fontId="1" type="noConversion"/>
  </si>
  <si>
    <t>• 분야별/06_건축/건축_설계추진방향보고_정거장계획, 차량기지 추진방향_rev.02_260521.pdf
• 04_설계서/1공구/건축/01. 설계보고서(건축).pdf
• 04_설계서/2공구/건축/(건축)기본설계보고서.pdf</t>
    <phoneticPr fontId="1" type="noConversion"/>
  </si>
  <si>
    <t>관리동·검수동 설계 시 단열 강화, 고효율 창호(로이복층유리 등), 신재생에너지(태양광 등)를 반영해, 법적 의무 인증(제로에너지, 녹색건축물 등) 달성용 예비인증 도서를 구축함.</t>
    <phoneticPr fontId="1" type="noConversion"/>
  </si>
  <si>
    <t>마감 전 반입 자재가 설계 승인된 녹색건축/에너지효율 인증용(환경표지, 고효율기자재 등)과 100% 일치하는지 감리 전수 확인하고, 기밀·단열 시공을 철저히 해 본인증 요건을 충족함.</t>
    <phoneticPr fontId="1" type="noConversion"/>
  </si>
  <si>
    <t>종합관제실(OCC) 설계 시 장비 하중 및 배선 관리를 위해 악세스 플로어(최소 300mm 이상)·이중 천장 구조를 반영하고 독립된 보안·방음 구획을 분리함.</t>
    <phoneticPr fontId="1" type="noConversion"/>
  </si>
  <si>
    <t>바닥 마감 시 수평 측량으로 악세스 플로어 지지대를 고정하고, 배관 관통 슬리브 틈새를 방화 실리콘 등으로 내화 밀폐함.</t>
    <phoneticPr fontId="1" type="noConversion"/>
  </si>
  <si>
    <t>• 04_설계서/1공구/건축/01. 설계보고서(건축).pdf
• 04_설계서/2공구/건축/(건축)기본설계보고서.pdf
• 분야별/06_건축/건축_설계추진방향_3차보고_rev01_260608.pdf</t>
    <phoneticPr fontId="1" type="noConversion"/>
  </si>
  <si>
    <t>차량기지 운영시설과 시민 체험시설 복합 배치 시, 시민 동선과 트램 진출입·유지보수 동선이 교차하지 않게 평면 조닝(Zoning) 및 수직 동선을 분리 설계함.</t>
    <phoneticPr fontId="1" type="noConversion"/>
  </si>
  <si>
    <t>마감 공사 시 통제구역(검수고, 변전실 등)과 개방구역 간 물리적 차단벽, 스크린도어, 보안 게이트를 설치하고 소방·관제 시스템 연동 시험을 완료함.</t>
    <phoneticPr fontId="1" type="noConversion"/>
  </si>
  <si>
    <t>검수고·종합관리동 철골 계획 시 트램 진출입 진동과 천장크레인 동적 하중을 3차원 구조해석 모델에 반영해 기둥·보 단면 강성을 확보하고 접합부 강접합 상세를 도면에 명기함.</t>
    <phoneticPr fontId="1" type="noConversion"/>
  </si>
  <si>
    <t>철골 제작 시 용접부 비파괴검사(NDT)를 전수 실시하고, 현장 조립 시 고장력 볼트를 규정 토크치로 1·2차 조임검사하여 진동 풀림을 원천 차단함.</t>
    <phoneticPr fontId="1" type="noConversion"/>
  </si>
  <si>
    <t>특화 정거장(107, 201) 및 차량기지 설계 시 디자인 가이드라인을 준수해 랜드마크 상징성의 입면 디자인과 특화 외장재(메쉬 패널, 더블스킨 등)를 반영함.</t>
    <phoneticPr fontId="1" type="noConversion"/>
  </si>
  <si>
    <t>발주·시공 전 Mock-up(실물 모형)을 제작해 승인을 득하고, 가이드라인의 색채·질감·야간 경관조명(라이팅)이 정확히 구현되도록 시공함.</t>
    <phoneticPr fontId="1" type="noConversion"/>
  </si>
  <si>
    <t>• 분야별/06_건축/건축_설계추진방향_3차보고_rev01_260608.pdf
• 분야별/06_건축/건축_설계추진방향보고_정거장계획, 차량기지 추진방향_rev.02_260521.pdf
• 04_설계서/1공구/건축/01. 설계보고서(건축).pdf
• 04_설계서/2공구/건축/(건축)기본설계보고서.pdf</t>
    <phoneticPr fontId="1" type="noConversion"/>
  </si>
  <si>
    <t>• 04_설계서/1공구/건축/01. 설계보고서(건축).pdf
• 04_설계서/2공구/건축/(건축)기본설계보고서.pdf
• 06.체크리스트/분야별/06_건축/건축_설계추진방향보고_정거장계획, 차량기지 추진방향_rev.02_260521.pdf
• 노면전차시설 설계 가이드라인 (정거장 배수 및 방수계획 기준)</t>
    <phoneticPr fontId="1" type="noConversion"/>
  </si>
  <si>
    <t>• 04_설계서/1공구/건축/01. 설계보고서(건축).pdf
• 04_설계서/2공구/건축/(건축)기본설계보고서.pdf
• 06.체크리스트/분야별/06_건축/건축_설계추진방향보고_정거장계획, 차량기지 추진방향_rev.02_260521.pdf
• 노면전차시설 설계 가이드라인 (부대수익시설 및 방재설비 간섭배제 기준)</t>
    <phoneticPr fontId="1" type="noConversion"/>
  </si>
  <si>
    <t>• 06.체크리스트/분야별/06_건축/건축_설계추진방향보고_변전소 추진방향_rev.00_260526.pdf
• 06.체크리스트/분야별/06_건축/건축_설계추진방향_3차보고_rev01_260608.pdf
• 04_설계서/1공구/건축/01. 설계보고서(건축).pdf
• 노면전차시설 설계 가이드라인 (특화정거장 구조안전성 및 기존건축물 보호 기준)</t>
    <phoneticPr fontId="1" type="noConversion"/>
  </si>
  <si>
    <t>• 06.체크리스트/분야별/06_건축/건축_설계추진방향보고_변전소 추진방향_rev.00_260526.pdf
• 04_설계서/1공구/건축/01. 설계보고서(건축).pdf
• 04_설계서/1공구/건축/07. 구조계산서(건축).pdf
• 04_설계서/2공구/건축/(건축)구조계산서.pdf
• 건축구조기준(KDS 41)
• 철도설계기준(건축편)
• 기존 건축물 내진 및 구조안전성 평가 지침</t>
    <phoneticPr fontId="1" type="noConversion"/>
  </si>
  <si>
    <t>• 04_설계서/1공구/건축/01. 설계보고서(건축).pdf
• 04_설계서/2공구/건축/(건축)기본설계보고서.pdf
• 노면전차시설 설계 가이드라인 (정거장 구조물 등의 마감재료 방화 기준)</t>
    <phoneticPr fontId="1" type="noConversion"/>
  </si>
  <si>
    <t>• 04_설계서/1공구/건축/01. 설계보고서(건축).pdf
• 04_설계서/2공구/건축/(건축)기본설계보고서.pdf
• 노면전차시설 설계 가이드라인 (정거장 편의시설 및 안내표지판 계획 기준)</t>
    <phoneticPr fontId="1" type="noConversion"/>
  </si>
  <si>
    <t>• 06.체크리스트/분야별/06_건축/건축_설계추진방향보고_변전소 추진방향_rev.00_260526.pdf
• 04_설계서/1공구/건축/01. 설계보고서(건축).pdf
• 04_설계서/2공구/건축/(건축)기본설계보고서.pdf
• 노면전차시설 설계 가이드라인 (변전소 건축계획 및 유지관리 기준)</t>
    <phoneticPr fontId="1" type="noConversion"/>
  </si>
  <si>
    <t>• 06.체크리스트/분야별/06_건축/건축_설계추진방향보고_변전소 추진방향_rev.00_260526.pdf
• 04_설계서/1공구/건축/01. 설계보고서(건축).pdf
• 04_설계서/2공구/건축/(건축)기본설계보고서.pdf
• 철도설계기준(건축편, 전철전력편)
• 건축전기설비 설계기준
• 기계설비공사 표준시방서</t>
    <phoneticPr fontId="1" type="noConversion"/>
  </si>
  <si>
    <t>• 04_설계서/1공구/건축/01. 설계보고서(건축).pdf
• 04_설계서/2공구/건축/(건축)기본설계보고서.pdf
• 06.체크리스트/분야별/06_건축/건축_설계추진방향보고_정거장계획, 차량기지 추진방향_rev.02_260521.pdf
• 노면전차시설 설계 가이드라인 (검수고 시설물 건축 계획 및 작업공간 확보 기준)</t>
    <phoneticPr fontId="1" type="noConversion"/>
  </si>
  <si>
    <t>• 04_설계서/1공구/건축/01. 설계보고서(건축).pdf
• 04_설계서/2공구/건축/(건축)기본설계보고서.pdf
• 06.체크리스트/분야별/06_건축/건축_설계추진방향보고_변전소 추진방향_rev.00_260526.pdf
• 노면전차시설 설계 가이드라인 (건축물 실배치 및 방재/방수 기준)</t>
    <phoneticPr fontId="1" type="noConversion"/>
  </si>
  <si>
    <t>• 06.체크리스트/분야별/06_건축/건축_설계추진방향보고_정거장계획, 차량기지 추진방향_rev.02_260521.pdf
• 04_설계서/1공구/건축/01. 설계보고서(건축).pdf
• 04_설계서/2공구/건축/(건축)기본설계보고서.pdf
• 건축구조기준(KDS 41)
• 철도설계기준(건축편)
• 공공건축물 건립 공사비 책정 가이드라인</t>
    <phoneticPr fontId="1" type="noConversion"/>
  </si>
  <si>
    <t>• 04_설계서/1공구/건축/01. 설계보고서(건축).pdf
• 04_설계서/2공구/건축/(건축)기본설계보고서.pdf
• 06.체크리스트/분야별/06_건축/건축_설계추진방향보고_정거장계획, 차량기지 추진방향_rev.02_260521.pdf
• 노면전차시설 설계 가이드라인 (차량기지 건축물 인증기준 적용 지침)</t>
    <phoneticPr fontId="1" type="noConversion"/>
  </si>
  <si>
    <t>• 04_설계서/1공구/건축/01. 설계보고서(건축).pdf
• 04_설계서/2공구/건축/(건축)기본설계보고서.pdf
• 06.체크리스트/분야별/06_건축/건축_설계추진방향_3차보고_rev01_260608.pdf
• 철도설계기준(건축편, 시스템편)
• 건축물의 피난·방화구조 등의 기준에 관한 규칙
• 정보통신설비 내진·방화 및 보안기준</t>
    <phoneticPr fontId="1" type="noConversion"/>
  </si>
  <si>
    <t>• 06.체크리스트/분야별/06_건축/건축_설계추진방향보고_정거장계획, 차량기지 추진방향_rev.02_260521.pdf
• 04_설계서/1공구/건축/01. 설계보고서(건축).pdf
• 04_설계서/2공구/건축/(건축)기본설계보고서.pdf
• 철도설계기준(건축편)
• 노면전차 시설 설계 가이드라인
• 보안 및 방호시설 설치기준</t>
    <phoneticPr fontId="1" type="noConversion"/>
  </si>
  <si>
    <t>• 04_설계서/1공구/건축/01. 설계보고서(건축).pdf
• 04_설계서/2공구/건축/(건축)기본설계보고서.pdf
• 06.체크리스트/분야별/06_건축/건축_설계추진방향_3차보고_rev01_260608.pdf
• 건축구조기준(KDS 41)
• 강구조 공사 표준시방서
• 크레인 제작기준 및 안전기준</t>
    <phoneticPr fontId="1" type="noConversion"/>
  </si>
  <si>
    <t>• 06.체크리스트/분야별/06_건축/건축_설계추진방향_3차보고_rev01_260608.pdf
• 06.체크리스트/분야별/06_건축/건축_설계추진방향보고_정거장계획, 차량기지 추진방향_rev.02_260521.pdf
• 04_설계서/1공구/건축/01. 설계보고서(건축).pdf
• 04_설계서/2공구/건축/(건축)기본설계보고서.pdf
• 노면전차 시설 설계 가이드라인
• 노면전차(트램) 디자인 가이드라인 기반디자인 가이드
• 공공디자인 진흥에 관한 법률</t>
    <phoneticPr fontId="1" type="noConversion"/>
  </si>
  <si>
    <t>• 전기_설계추진방향_전기분야_rev00_26.06.04.pdf
• 입찰안내서.pdf
• 5. 설계기준.pdf</t>
  </si>
  <si>
    <t>• 전기_설계추진방향_전기분야_rev00_26.06.04.pdf
• 입찰안내서.pdf
• 10. 주요 장비별 형식, 규격 및 수량 검토보고서.pdf
• 동탄도시철도(트램) 건설사업 전기.신호.통신 분야 기본설계 도면.pdf</t>
  </si>
  <si>
    <t>• 전기_설계추진방향_전기분야_rev00_26.06.04.pdf
• 입찰안내서.pdf
• 10. 주요 장비별 형식, 규격 및 수량 검토보고서.pdf</t>
  </si>
  <si>
    <t>• 전기_설계추진방향_전기분야_rev00_26.06.04.pdf
• 입찰안내서.pdf</t>
  </si>
  <si>
    <t>• 전기_설계추진방향_전기분야_rev00_26.06.04.pdf
• 입찰안내서.pdf
• 동탄도시철도(트램) 건설사업 전기.신호.통신 분야 기본설계 도면.pdf</t>
  </si>
  <si>
    <t>• 전기_설계추진방향_전기분야_rev00_26.06.04.pdf
• 동탄도시철도(트램) 건설사업 전기.신호.통신 분야 기본설계 도면.pdf</t>
  </si>
  <si>
    <t>• 전기_설계추진방향_전기분야_rev00_26.06.04.pdf</t>
  </si>
  <si>
    <t>과속 방지 제어 계획</t>
    <phoneticPr fontId="1" type="noConversion"/>
  </si>
  <si>
    <t>관제설비 구축 및 도로교통관제 연계</t>
    <phoneticPr fontId="1" type="noConversion"/>
  </si>
  <si>
    <t>교차로 사고 예방 계획</t>
    <phoneticPr fontId="1" type="noConversion"/>
  </si>
  <si>
    <t>교통안전 노면표시 계획</t>
    <phoneticPr fontId="1" type="noConversion"/>
  </si>
  <si>
    <t>도로교통 행정 인허가</t>
    <phoneticPr fontId="1" type="noConversion"/>
  </si>
  <si>
    <t>도로교통-차량 인터페이스</t>
    <phoneticPr fontId="1" type="noConversion"/>
  </si>
  <si>
    <t>도로분기부 안전대책 구축</t>
    <phoneticPr fontId="1" type="noConversion"/>
  </si>
  <si>
    <t>매입전선관 접속점 방수 및 유지보수성 확보 계획</t>
    <phoneticPr fontId="1" type="noConversion"/>
  </si>
  <si>
    <t>보행자 안전 확보 계획</t>
    <phoneticPr fontId="1" type="noConversion"/>
  </si>
  <si>
    <t>신호설비 생존성 확보</t>
    <phoneticPr fontId="1" type="noConversion"/>
  </si>
  <si>
    <t>관제 신호계획</t>
    <phoneticPr fontId="1" type="noConversion"/>
  </si>
  <si>
    <t>교차로 내 열차 점유 제어 계획</t>
    <phoneticPr fontId="1" type="noConversion"/>
  </si>
  <si>
    <t>기타</t>
    <phoneticPr fontId="1" type="noConversion"/>
  </si>
  <si>
    <t>도로교통 연계 안전설비</t>
    <phoneticPr fontId="1" type="noConversion"/>
  </si>
  <si>
    <t>선로전환기 비상 대응계획</t>
    <phoneticPr fontId="1" type="noConversion"/>
  </si>
  <si>
    <t>감속 필수 구간(곡선부, 교차로 등) 속도 감시 지상 검지장치를 설계하고, 제한속도 초과 시 차상장치(ATP) 연동 기관사 경고 및 자동 감속·비상정지 운전자 지원 연동 로직을 반영함.</t>
    <phoneticPr fontId="1" type="noConversion"/>
  </si>
  <si>
    <t>지상 검지장치·차상 수신기 설치 후, 시운전 시 인위적 과속을 통해 속도 프로파일(Dynamic Speed Profile)에 따른 운전자 경고 및 ATP 비상제동의 무지연 개입을 전수 실증함.</t>
    <phoneticPr fontId="1" type="noConversion"/>
  </si>
  <si>
    <t>• 7. 설계추진방향(1차)_신호+도로신호_r260529(양식통일).pdf
• 6. 공사시방서.pdf
- [입찰안내서 명시]
속도감시 및 제한속도 초과 시 운전자 지원 기술. 제한속도 초과 시 안전성과 신뢰성을 갖춘 운전자 지원 방안. 자동열차방호장치(ATP) 및 자동열차운행장치(ATO) 기능 등 최신 기술 중 노면전차(트램) 신호제어 시스템에 필요하다고 판단되는 기술.
- 관련기준:
- 노면전차 건설 및 운전 등에 관한 규칙
- 도시철도(노면전차) 운전규칙
- 노면전차 시설 설계 가이드라인</t>
    <phoneticPr fontId="1" type="noConversion"/>
  </si>
  <si>
    <t>종합관제실(OCC) 설계 시 LCC 고려 고해상도 대형표시반을 선정하고, 트램 위치·분기기 상태·지자체 도로교통관제(우선신호 등) 정보 단일 화면 통합 표출용 UI/UX 및 데이터 연계망을 설계에 반영함.</t>
    <phoneticPr fontId="1" type="noConversion"/>
  </si>
  <si>
    <t>설비 구축 후 도로·철도신호(전자연동장치) 시뮬레이션 데이터를 인가해, 비상시(꼬리물기, 무단 진입 등) 시·청각 알람 및 즉각적인 관제 제어 현장 반영 여부를 합동 연동 시험함.</t>
    <phoneticPr fontId="1" type="noConversion"/>
  </si>
  <si>
    <t>• 7. 설계추진방향(1차)_신호+도로신호_r260529(양식통일).pdf
• 6. 공사시방서.pdf
- [입찰안내서 명시]
2) 종합관제실 설비의 기능과 성능을 만족하는 무중단, 경제성, 시공성, 유지보수성 관련한 기술 ① 대형표시반의 LCC에 기반한 선정 ② 노면전차(트램) 노선을 직관적이고 효율적으로 대형표시반에 표시·관제 기술 ③ 기존 도로교통관제와의 연계, 인터페이스 방안
- 관련기준:
- 노면전차 시설 설계 가이드라인
- 철도신호설비 안전성 평가 지침
- 지능형교통체계(ITS) 표준노드/링크 구축기준</t>
    <phoneticPr fontId="1" type="noConversion"/>
  </si>
  <si>
    <t>도로신호 설계 시 꼬리물기(앞막힘)를 감지하는 '돌발유고검지장치'를 내역에 반영하고, 감지 시 트램 접근 신호를 즉각 차단(적색 현시)하는 제어보드 연동 로직을 규정함.</t>
    <phoneticPr fontId="1" type="noConversion"/>
  </si>
  <si>
    <t>돌발유고검지 카메라(또는 센서)를 사각지대 없이 설치 후, 가상 정지 물체를 두어 앞막힘 인식 및 트램 진입 차단 신호 정상 송출 여부를 실증 테스트함.</t>
    <phoneticPr fontId="1" type="noConversion"/>
  </si>
  <si>
    <t>• 7. 설계추진방향(1차)_신호+도로신호_r260529(양식통일).pdf
• 6. 공사시방서.pdf
- [노면전차시설 설계 가이드라인]
교차로, 정거장 및 횡단보도 등 도로차량 및 보행자와 상충이 예상되는 지점에는 궤도 내 무단 침입 및 돌발 상황을 감지할 수 있는 돌발유고검지장치 등의 안전대책 시스템을 구축하고, 앞막힘 제어 등 세부 제어방안을 도로신호에 반영하여야 한다.
- 관련기준:
노면전차시설 설계 가이드라인 (도로신호 안전대책 시스템 및 교차로 돌발검지 기준)</t>
    <phoneticPr fontId="1" type="noConversion"/>
  </si>
  <si>
    <t>이례상황 감지용 돌발유고검지장치(레이더 또는 영상식 센서) 제어방안을 수립하고, 앞막힘(Spillback) 시 트램 진입 사전 차단용 앞막힘제어보드, 케이블 및 관로 굴착 물량을 100% 반영함.</t>
    <phoneticPr fontId="1" type="noConversion"/>
  </si>
  <si>
    <t>돌발유고검지장치의 사각지대 없는 센서 화각·높이 조정 후, 실제 차량 정체(앞막힘) 모사 시 교통신호제어기가 트램 신호를 즉각 적색(정지) 절체하는지 연동 테스트를 전수 수행함.</t>
    <phoneticPr fontId="1" type="noConversion"/>
  </si>
  <si>
    <t>• 7. 설계추진방향(1차)_신호+도로신호_r260529(양식통일).pdf
• 6. 공사시방서.pdf
- 입찰안내서 / 노면전차시설 설계 가이드라인
- 관련기준:
- 지능형교통체계(ITS) 표준노드/링크 구축기준
- 교통신호제어기 표준규격서(경찰청)
- 노면전차 시설 설계 가이드라인</t>
    <phoneticPr fontId="1" type="noConversion"/>
  </si>
  <si>
    <t>꼬리물기 방지용 진입·진출부 궤도회로(위치검지기)와 신호제어기를 연동해 '1교차로 1편성 점유' 진입 통제 로직을 설계에 반영함.</t>
    <phoneticPr fontId="1" type="noConversion"/>
  </si>
  <si>
    <t>선행 트램 점유 시 후행 트램에 대한 진입 금지(정지) 신호 즉각 표출 여부를 실주행 연동 시험함.</t>
    <phoneticPr fontId="1" type="noConversion"/>
  </si>
  <si>
    <t>• 7. 설계추진방향(1차)_신호+도로신호_r260529(양식통일).pdf
• 6. 공사시방서.pdf
- [노면전차시설 설계 가이드라인]
도로교통 신호는 동일진행 방향에 대하여 교차로에는 1편성의 노면전차만 점유하여 통과할 수 있도록 설비를 구축하여 안전을 확보해야 한다.
- 관련기준:
노면전차시설 설계 가이드라인 (도로교통신호 연동 및 교차로 점유 안전대책 기준)</t>
    <phoneticPr fontId="1" type="noConversion"/>
  </si>
  <si>
    <t>교차로 꼬리물기 방지용 1편성 진입 제한 열차위치검지설비를 설계하고, 관제실(OCC) 실시간 표출 및 후행 트램 진입 차단 인터록(Interlock) 계통도를 도서에 반영함.</t>
    <phoneticPr fontId="1" type="noConversion"/>
  </si>
  <si>
    <t>검지기 시공 후 선행 트램 진출 전까지 후행 진입 신호 적색(정지) 유지 및 관제실 점유 상태 무지연 팝업 표출 여부를 합동 검증함.</t>
    <phoneticPr fontId="1" type="noConversion"/>
  </si>
  <si>
    <t>• 7. 설계추진방향(1차)_신호+도로신호_r260529(양식통일).pdf
• 6. 공사시방서.pdf
- [입찰안내서 및 노면전차시설 설계 가이드라인]
트램의 신호설비는 동일진행 방향에 대하여 교차로에는 1편성의 트램만 점유하여 통과할 수 있도록 설비를 구축하여야 하며, 관제실에서 감시 및 제어되어야 한다. 도로교통 신호는 동일진행 방향에 대하여 교차로에는 1편성의 노면전차만 점유하여 통과할 수 있도록 설비를 구축하여 안전을 확보해야 한다.
- 관련기준:
- 노면전차 시설 설계 가이드라인
- 교통신호제어기 표준규격서(경찰청)
- 철도건설공사 인터페이스 관리지침</t>
    <phoneticPr fontId="1" type="noConversion"/>
  </si>
  <si>
    <t>교차로 꼬리물기 차단을 위해 경찰청 매뉴얼의 '정차금지지대(Yellow Cross)' 및 '노면전차 전용로(황색 실선 등)'를 도면에 규정하고 물량을 산출함.</t>
    <phoneticPr fontId="1" type="noConversion"/>
  </si>
  <si>
    <t>도색 시 트램 윤거·회전 궤적(곡선반경) 정밀 측량으로 정차금지지대를 시공하고, 고휘도 반사 성능(유리알 함유 융착식 등) 도색을 완료함.</t>
    <phoneticPr fontId="1" type="noConversion"/>
  </si>
  <si>
    <t>• 7. 설계추진방향(1차)_신호+도로신호_r260529(양식통일).pdf
• 6. 공사시방서.pdf
- [노면전차시설 설계 가이드라인]
노면전차 도로교통 신호기 및 표지는 도로교통법에서 정하는 교통안전표지, 교통신호기를 말하며, 하위지침인 『교통안전표지/교통신호기/교통노면표시 설치·관리 매뉴얼』을 준용할 수 있다.
- 관련기준:
노면전차시설 설계 가이드라인 (노면전차 도로교통 신호기 및 교통안전/노면표시 준용 기준)</t>
    <phoneticPr fontId="1" type="noConversion"/>
  </si>
  <si>
    <t>횡단·혼용구간 미끄럼방지 노면표시(TRAM ONLY 등) 설계 및 바퀴 빠짐 방지용 매립형 레일 홈(Groove) 내부 고무탄성재 물량을 내역에 100% 반영함.</t>
    <phoneticPr fontId="1" type="noConversion"/>
  </si>
  <si>
    <t>포장 후 미끄럼 방지 도료(MMA 등)로 노면표시를 도색하고, 레일 홈 고무탄성재 충진 후 시운전 시 탄성재 복원력·탈락 여부를 전수 검증함.</t>
    <phoneticPr fontId="1" type="noConversion"/>
  </si>
  <si>
    <t>• 7. 설계추진방향(1차)_신호+도로신호_r260529(양식통일).pdf
• 6. 공사시방서.pdf
- [설계보고서_궤도 및 노면전차시설 설계 가이드라인]
매립형 궤도 홈으로 자전거 및 개인용 이동수단의 바퀴가 끼는 사고를 방지할 수 있도록 대책을 수립하여야 한다. 트램 선로 교차로 횡단 보도 구간 및 자전거 횡단구간내 홈붙이 레일 홈에 고무 탄성재 설치. 보행혼용구간 노면표시(TRAM ONLY 등)를 통해서 보행자의 안전한 통행 및 횡단이 가능하도록 계획.
- 관련기준:
- 자전거 이용시설 설치 및 관리 지침
- 도로안전시설설치 및 관리기준
- 노면전차 시설 설계 가이드라인</t>
    <phoneticPr fontId="1" type="noConversion"/>
  </si>
  <si>
    <t>신호체계 변경 시 도로교통법 및 경찰청 표준규격에 맞춰 설계도서를 작성하고, 관할 경찰청 심의 승인을 위한 교통운영계획(신호현시, 차로운영 등)을 수립·반영함.</t>
    <phoneticPr fontId="1" type="noConversion"/>
  </si>
  <si>
    <t>신호기 설치 후 유관기관 입회하에 신호 연동 합동 점검을 실시하고, 보완 지시 시 즉각 H/W 이설 및 S/W 수정을 완료해 최종 사용승인을 득함.</t>
    <phoneticPr fontId="1" type="noConversion"/>
  </si>
  <si>
    <t>• 7. 설계추진방향(1차)_신호+도로신호_r260529(양식통일).pdf
• 6. 공사시방서.pdf
- [입찰안내서 명시]
「도로교통법」에 따라 노면전차 설치 등에 따른 시·도경찰청에 협의 또는 승인 사항에 대하여 검토, 자료작성, 변경 및 심의지원 등을 수행하여야 한다. 교통신호기는 「교통신호제어기 표준규격서(경찰청)」준용하여 설계하여야 한다.
- 관련기준:
- 도로교통법 및 동법 시행규칙
- 교통신호제어기 표준규격서(경찰청)
- 노면전차 시설 설계 가이드라인</t>
    <phoneticPr fontId="1" type="noConversion"/>
  </si>
  <si>
    <t>Super Capacitor 급속 충전 및 VVVF 구동 시 고조파 노이즈에 의한 신호 오동작 방지를 위해, 신호 케이블 이격 및 쉴드(Shield) 링 접지 등 전자파(EMC/EMI) 차폐 설계를 반영함.</t>
    <phoneticPr fontId="1" type="noConversion"/>
  </si>
  <si>
    <t>설비 시공 후 트램 최고 출력 급속 충전·주행 환경을 조성해, 신호제어기 보드 및 선로의 유도 전압·노이즈 펄스 유입 여부를 전자파 측정 장비로 전수 계측함.</t>
    <phoneticPr fontId="1" type="noConversion"/>
  </si>
  <si>
    <t>• 7. 설계추진방향(1차)_신호+도로신호_r260529(양식통일).pdf
• 6. 공사시방서.pdf
- [입찰안내서 명시]
차량 Super Capacitor System, LTO Battery System 충전시 및 VVVF 제어 특정 고조파에 의한 차상 통신설비, 차상신호 설비, 도로교통설비에 대한 Noise 방지대책. 전력·통신 등 각종 시설에서 방출되는 전자파가 도시철도의 시스템과 인간에게 미치는 영향을 최소화하도록 분석관리.
- 관련기준:
- 철도용품기술기준(전자파 적합성)
- 교통신호제어기 표준규격서(경찰청)
- 철도건설공사 인터페이스 관리지침</t>
    <phoneticPr fontId="1" type="noConversion"/>
  </si>
  <si>
    <t>분기·합류부 설계 시 '열차위치검지장치', '전자연동장치', '분기부 신호기'가 폐루프(Closed Loop)로 연동되도록 통합 제어 계통도 및 시퀀스 로직을 작성함.</t>
    <phoneticPr fontId="1" type="noConversion"/>
  </si>
  <si>
    <t>신호기·선로전환기 설치 후, 강제 위치검지 신호로 선로 전환 100% 완료 시에만 분기부 신호기가 켜지는지 안전측 동작(Fail-Safe) 합동 연동시험을 실시함.</t>
    <phoneticPr fontId="1" type="noConversion"/>
  </si>
  <si>
    <t>• 7. 설계추진방향(1차)_신호+도로신호_r260529(양식통일).pdf
• 6. 공사시방서.pdf
- [노면전차시설 설계 가이드라인]
분기부는 분기구간에 노면전차가 접근하거나 분기부 통과운전을 할 때 안전하게 통과하고, 분기기 이전에 안전하게 정차하도록 하여 분기부와 관련된 안전사고를 미연에 방지하도록 전자연동장치와 분기부 신호기 및 정확한 열차검지를 위한 열차위치검지장치의 안전시설을 설치할 수 있다.
- 관련기준:
노면전차시설 설계 가이드라인 (신호설비 분기부 안전제어 기준)</t>
    <phoneticPr fontId="1" type="noConversion"/>
  </si>
  <si>
    <t>분기구간 선로전환기 진로와 도로신호 일치 및 안전 정차를 위한 전자연동장치·분기부 신호기·열차위치검지장치의 3중 인터록(Interlock) 회로를 도면에 반영함.</t>
    <phoneticPr fontId="1" type="noConversion"/>
  </si>
  <si>
    <t>설비 설치 후 시운전 시 선로전환기 개통-도로신호 현시 동기화 및 정지 신호 시 분기기 이전 자동 정차(ATP 연동 등) 여부를 현장 진로연동시험함.</t>
    <phoneticPr fontId="1" type="noConversion"/>
  </si>
  <si>
    <t>• 7. 설계추진방향(1차)_신호+도로신호_r260529(양식통일).pdf
• 6. 공사시방서.pdf
- [입찰안내서 명시]
분기부는 분기구간에 트램이 접근하거나 분기부 통과운전을 할 때 안전하게 통과하고, 분기기 이전에 안전하게 정차하도록 하여 분기부와 관련된 안전 사고를 미연에 방지하도록 하여야 한다. 이를 위하여 전자연동장치와 분기부 신호기 및 열차위치검지장치 등 신호설비를 설치하여야 한다.
- 관련기준:
- 노면전차 시설 설계 가이드라인
- 철도건설공사 인터페이스 관리지침
- 도시철도(노면전차) 운전규칙</t>
    <phoneticPr fontId="1" type="noConversion"/>
  </si>
  <si>
    <t>지중 전선로 매입전선관 접속점(Handhole 등) 침수 방지용 수밀(Sealing) 마감 상세도 및 단선 사고 대비 예비 관로·여유 인출 공간을 도면에 반영함.</t>
    <phoneticPr fontId="1" type="noConversion"/>
  </si>
  <si>
    <t>관단에 전용 방수 실링재(관구 마감재)를 밀실 시공해 유수 침투를 100% 차단하고, 유지보수용 예비 선(Pull-wire)을 선삽입함.</t>
    <phoneticPr fontId="1" type="noConversion"/>
  </si>
  <si>
    <t>• 7. 설계추진방향(1차)_신호+도로신호_r260529(양식통일).pdf
• 6. 공사시방서.pdf
- [노면전차시설 설계 가이드라인]
매입전선관의 접속점은 외부로부터 유수나 불순물의 침투를 막아 운영 중 케이블 교체 등 유지보수상황 시 용이하게 교체가 가능하도록 하여야 한다.
- 관련기준:
노면전차시설 설계 가이드라인 (신호설비 전선로장치 매입전선관 기준)</t>
    <phoneticPr fontId="1" type="noConversion"/>
  </si>
  <si>
    <t>정거장 접근부·횡단보도에 '트램접근알림 음성안내장치', PoE 스위치, 지중 제어케이블(F-CVV-SB 등) 및 관로 굴착 수량을 도로신호 설계에 반영함.</t>
    <phoneticPr fontId="1" type="noConversion"/>
  </si>
  <si>
    <t>보행자 시야·동선 방해 없이 지주를 시공하고, 트램 접근 시 음성안내·경광등의 무지연 표출을 센서-제어기 간 연동 시험함.</t>
    <phoneticPr fontId="1" type="noConversion"/>
  </si>
  <si>
    <t>• 7. 설계추진방향(1차)_신호+도로신호_r260529(양식통일).pdf
• 6. 공사시방서.pdf
- 입찰안내서 / 노면전차시설 설계 가이드라인
- 관련기준:
- 노면전차 시설 설계 가이드라인
- 교통약자의 이동편의 증진법
- 교통신호제어기 표준규격서(경찰청)</t>
    <phoneticPr fontId="1" type="noConversion"/>
  </si>
  <si>
    <t>열차운전시뮬레이션(TPS) 기반 트램 접근 사전 검지용 능동형 우선신호(Active Priority) 로직을 수립하고, 위치검지기 위치 및 교통신호제어기 간 통신 연동 방안을 도로신호 설계도서에 반영함.</t>
    <phoneticPr fontId="1" type="noConversion"/>
  </si>
  <si>
    <t>교통신호제어기 및 위치검지기 시공 후, 실제(또는 모의) 트램 주행으로 교차로 접근 시 도로신호 연장·조기절체(우선신호 현시) 여부를 실데이터 기반 전수 연동 테스트함.</t>
    <phoneticPr fontId="1" type="noConversion"/>
  </si>
  <si>
    <t>• 7. 설계추진방향(1차)_신호+도로신호_r260529(양식통일).pdf
• 6. 공사시방서.pdf
- [노면전차시설 설계 가이드라인]
트램의 정시성 및 안전성 확보를 위하여 교차로 통과 시 트램에 우선권을 부여하는 우선신호체계(능동형, 연동형 등)를 계획하여야 하며, 트램의 위치검지 절차 및 세부 운영 로직을 교통신호제어시스템에 반영하여야 한다.
- 관련기준:
노면전차시설 설계 가이드라인 (도로신호설비 및 트램 우선신호체계 기준)</t>
    <phoneticPr fontId="1" type="noConversion"/>
  </si>
  <si>
    <t>도로 교차로 설계 시 일반 신호등과 구별되는 트램 전용 다구등(5구등 또는 6구등) 신호기를 배치하고, 선로전환기 개통 방향과 도로신호 현시가 100% 일치하도록 인터페이스 연동 계통도를 작성함.</t>
    <phoneticPr fontId="1" type="noConversion"/>
  </si>
  <si>
    <t>트램 전용 신호기(5구등/6구등) 설치 시 운전자 시야 간섭 없게 각도·높이를 조정하고, 진로 개통 시 도로신호제어기 트램 진행 신호 무지연 점등 여부를 합동 시험함.</t>
    <phoneticPr fontId="1" type="noConversion"/>
  </si>
  <si>
    <t>• 7. 설계추진방향(1차)_신호+도로신호_r260529(양식통일).pdf
• 6. 공사시방서.pdf
- [노면전차시설 설계 가이드라인]
노면전차 노선이 2방향 이상으로 분기되거나 교차하는 지점에는 운전자의 오인을 방지하고 궤도 진로를 명확히 지시하기 위하여 트램 전용 분기부 신호기(5구등, 6구등)를 설치하고 철도신호(진로제어)와 연동되도록 설계하여야 한다.
- 관련기준:
노면전차시설 설계 가이드라인 (도로신호설비 분기부 신호기 및 진로제어 연동 기준)</t>
    <phoneticPr fontId="1" type="noConversion"/>
  </si>
  <si>
    <t>교차로 신호제어기 설계 시 일반 차량과 트램 전용 신호 간 상충 현시 방지를 위한 상호 모순검지(Conflict Detection) 회로 및 제어 로직을 도서에 명확히 반영함.</t>
    <phoneticPr fontId="1" type="noConversion"/>
  </si>
  <si>
    <t>신호제어기 설치 후 상충 신호 고의 동시 입력 시 모순검지기가 즉각 차단하고 전 방향 적색(All-Red) 점멸 등 안전 측 동작(Fail-Safe) 전환 여부를 전수 테스트함.</t>
    <phoneticPr fontId="1" type="noConversion"/>
  </si>
  <si>
    <t>• 7. 설계추진방향(1차)_신호+도로신호_r260529(양식통일).pdf
• 6. 공사시방서.pdf
- [노면전차시설 설계 가이드라인]
교차로에서의 트램신호기와 교통신호기는 상호 모순검지기능이 포함되어야 한다.
- 관련기준:
노면전차시설 설계 가이드라인 (도로신호설비 교차로 안전대책 및 모순검지 기능 기준)</t>
    <phoneticPr fontId="1" type="noConversion"/>
  </si>
  <si>
    <t>교차로·분기부 정지신호 위반(모진) 방지용 무전원 태그를 노면에 설계하고, LTE-R 연계 도로신호 정보 전송 및 신호 위반 시 자동 비상정지(ATP 연동) 로직을 반영함.</t>
    <phoneticPr fontId="1" type="noConversion"/>
  </si>
  <si>
    <t>제동거리 확보 노면에 무전원 태그를 고정하고, 시운전 시 적색신호 인위적 진입을 통해 LTE-R 정보 수신 및 차상 비상 제동 즉각 체결 여부를 전수 실증시험함.</t>
    <phoneticPr fontId="1" type="noConversion"/>
  </si>
  <si>
    <t>• 7. 설계추진방향(1차)_신호+도로신호_r260529(양식통일).pdf
• 6. 공사시방서.pdf
- 입찰안내서 / 노면전차시설 설계 가이드라인
- 관련기준:
- 노면전차 시설 설계 가이드라인
- 철도통합무선망(LTE-R) 구축지침
- 철도차량 기술기준</t>
    <phoneticPr fontId="1" type="noConversion"/>
  </si>
  <si>
    <t>단일 고장(Single Point Failure) 교차로 통제 불능 방지를 위해, 중요 신호설비의 주제어장치(CPU), 전원부, 통신모듈 이중계(Active-Standby) 구성을 시방서에 명기함.</t>
    <phoneticPr fontId="1" type="noConversion"/>
  </si>
  <si>
    <t>이중계 신호제어기·연동장치 구축 후, 종합시험운행 시 주(Active) 장비 강제 탈거를 통해 예비(Standby) 장비로 무중단 절체(Fail-over)되는지 전수 실증함.</t>
    <phoneticPr fontId="1" type="noConversion"/>
  </si>
  <si>
    <t>• 7. 설계추진방향(1차)_신호+도로신호_r260529(양식통일).pdf
• 6. 공사시방서.pdf
- [입찰안내서 명시]
신호시스템은 안전측 동작(Fail-safe)을 원칙으로 중요설비 이중계 등 원활한 열차운전이 가능한 열차보호설비를 구성하여야 하며... LCC에 기반한 최적의 안전성 확보.
- 관련기준:
- 교통신호제어기 표준규격서(경찰청)
- 철도건설공사 인터페이스 관리지침
- 노면전차 시설 설계 가이드라인</t>
    <phoneticPr fontId="1" type="noConversion"/>
  </si>
  <si>
    <t>교차로 내 트램·자동차 신호 충돌 현시 방지를 위해 제어기 내 하드웨어·소프트웨어 상호 모순검지(Conflict Detection) 인터록 회로를 도서에 철저히 반영함.</t>
    <phoneticPr fontId="1" type="noConversion"/>
  </si>
  <si>
    <t>신호기 설치 및 턴온(Turn-on) 전 인위적 모순 신호 출력 모의시험을 통해, 즉각적인 적색 점멸 또는 안전상태(Fail-Safe) 전환 여부를 전수 실증함.</t>
    <phoneticPr fontId="1" type="noConversion"/>
  </si>
  <si>
    <t>• 7. 설계추진방향(1차)_신호+도로신호_r260529(양식통일).pdf
• 6. 공사시방서.pdf
- [입찰안내서 명시]
교차로에서의 트램신호기와 교통신호기는 상호 모순검지기능이 포함되어야 한다. [1]
- 관련기준:
- 교통신호제어기 표준규격서(경찰청)
- 노면전차 시설 설계 가이드라인
- 도로교통법</t>
    <phoneticPr fontId="1" type="noConversion"/>
  </si>
  <si>
    <t>차상장치(ATP) 설계 시 트램 보증 비상제동비율(GEBR) 기반 곡선·구배·만차 하중별 비상제동거리를 산출해 연동도표 및 무전원 태그 위치에 100% 반영함.</t>
    <phoneticPr fontId="1" type="noConversion"/>
  </si>
  <si>
    <t>시운전 시 만차 하중(AW3) 등 가혹 조건에서 차상장치 자동 비상제동을 유도해, 실제 제동거리가 GEBR 기반 안전 여유거리 이내인지 전수 실증함.</t>
    <phoneticPr fontId="1" type="noConversion"/>
  </si>
  <si>
    <t>• 7. 설계추진방향(1차)_신호+도로신호_r260529(양식통일).pdf
• 6. 공사시방서.pdf
- [260518-인터페이스 관리계획 명시]
4 차량 및 신호 GEBR(Guarantee Emergency Brake Ratio) 데이터에 대한 인터페이스 (차량,신호,운영). [입찰안내서 명시] 차상신호설비를 차량 설치에 따른 차량과의 인터페이스 방식의 적정성.
- 관련기준:
- 철도차량 기술기준
- 도시철도(노면전차) 운전규칙
- 철도건설공사 인터페이스 관리지침</t>
    <phoneticPr fontId="1" type="noConversion"/>
  </si>
  <si>
    <t>교차로 교통신호기 설계 시 경찰청 '교통신호제어기 표준규격서'를 100% 만족하는 시방서를 작성하고, 경찰관서 사전 승인 절차를 반영함.</t>
    <phoneticPr fontId="1" type="noConversion"/>
  </si>
  <si>
    <t>제어기 반입 시 경찰청 표준규격 인증·시험성적서를 전수 검수하고, 시공 후 경찰청 교통정보센터 서버와 실시간 데이터 연동 테스트를 통과해 인계함.</t>
    <phoneticPr fontId="1" type="noConversion"/>
  </si>
  <si>
    <t>• 7. 설계추진방향(1차)_신호+도로신호_r260529(양식통일).pdf
• 6. 공사시방서.pdf
- [노면전차시설 설계 가이드라인]
교통신호기는 「교통신호제어기 표준규격서(경찰청)」준용하여 설계하여야 한다.
- 관련기준:
노면전차시설 설계 가이드라인 (도로신호설비 교통신호기 경찰청 표준규격 준수 기준)</t>
    <phoneticPr fontId="1" type="noConversion"/>
  </si>
  <si>
    <t>차량 오인 방지를 위해 트램 전용 신호기를 '수직/사선 막대형(진행/정지)' 및 '노란색 T자형(출발예고)' LED 조명등 규격으로 시방서·상세도에 반영함.</t>
    <phoneticPr fontId="1" type="noConversion"/>
  </si>
  <si>
    <t>트램 신호기 LED 렌즈 방향·각도를 운전석 시야각에 맞춰 앵커링하고, 빛 번짐(Glare)에 의한 왜곡을 막기 위한 주/야간 시인성 실증 테스트를 실시함.</t>
    <phoneticPr fontId="1" type="noConversion"/>
  </si>
  <si>
    <t>• 7. 설계추진방향(1차)_신호+도로신호_r260529(양식통일).pdf
• 6. 공사시방서.pdf
- [노면전차시설 설계 가이드라인]
도로교통 신호와 연동하여 운전자에게 노면전차 전용의 신호를 제공할 수 있도록 별도의 트램 운행을 위한 전용 신호기를 설치하여야 하며, 철도신호기 및 표지류는 트램 신호기(막대형 조명등, 노란색 T자형 조명등 등)를 준용하여야 한다.
- 관련기준:
노면전차시설 설계 가이드라인 (트램 전용 신호기 형상 및 현시방식 기준)</t>
    <phoneticPr fontId="1" type="noConversion"/>
  </si>
  <si>
    <t>교차로 상충 방지를 위해 기존 제어기와 연동되는 트램 전용 신호기 위치·현시체계를 도면에 반영하고, 경찰청 표준규격서에 부합하는 H/W 및 S/W 규격을 시방서에 명시함.</t>
    <phoneticPr fontId="1" type="noConversion"/>
  </si>
  <si>
    <t>신호기 설치 후 관할 경찰서 입회하에 연동 테스트를 수행하여 안전한 위상(Phase) 현시를 확인하고, 기관사 시야각에 맞춰 각도를 세밀히 조정함.</t>
    <phoneticPr fontId="1" type="noConversion"/>
  </si>
  <si>
    <t>• 7. 설계추진방향(1차)_신호+도로신호_r260529(양식통일).pdf
• 6. 공사시방서.pdf
- [입찰안내서 명시]
교차로 안전대책은 도로교통 신호와 연동하여 운전자에게 트램 전용의 신호를 제공할 수 있도록 별도의 트램 운행을 위한 전용 신호기를 설치하여야 한다. 교통신호기는 「교통신호제어기 표준규격서(경찰청)」준용하여 설계하여야 한다.
- 관련기준:
- 교통신호제어기 표준규격서(경찰청)
- 도로교통법 및 동법 시행규칙
- 평면교차로 계획 및 개선의 일반지침</t>
    <phoneticPr fontId="1" type="noConversion"/>
  </si>
  <si>
    <t>분기부 신호 평면도 설계 시 기관사 시야 확보를 위해 트램 분기부 신호기를 '운행방향 우측' 보도·분리대에 '종형(세로형)'으로 배치토록 도면에 명시하고 지주 규격을 산출함.</t>
    <phoneticPr fontId="1" type="noConversion"/>
  </si>
  <si>
    <t>우측 지주 설치 시 도로부속물 시야 간섭 여부를 운전석 눈높이로 실측하고, 간섭 예상 시 내민보(Mast Arm) 길이를 연장하는 등 우측 종형 시인성 확보 보완 시공을 이행함.</t>
    <phoneticPr fontId="1" type="noConversion"/>
  </si>
  <si>
    <t>• 7. 설계추진방향(1차)_신호+도로신호_r260529(양식통일).pdf
• 6. 공사시방서.pdf
- [노면전차시설 설계 가이드라인]
분기부 신호기는 트램의 운행방향 우측에 지주 등의 방법으로 종형으로 설치하여야 한다. 단, 불가피한 경우는 그러하지 않을 수 있다.
- 관련기준:
노면전차시설 설계 가이드라인 (도로신호설비 분기부 신호기 설치 위치 기준)</t>
    <phoneticPr fontId="1" type="noConversion"/>
  </si>
  <si>
    <t>노면전차 주의 표지와 속도제한/서행 표지(다이아몬드, 삼각형 등)를 도로교통법 등 법정 양식과 고휘도 반사지 규격에 맞춰 물량·상세도에 반영함.</t>
    <phoneticPr fontId="1" type="noConversion"/>
  </si>
  <si>
    <t>지주 설치 전후 반사지(고휘도, 초고휘도 등 설계 사양) 부착 상태를 전수 검수하고, 야간 전조등 비춤 각도에서 문자·픽토그램이 빛 반사 없이 선명하게 판독되는지 야간 시인성 합동 점검을 실시함.</t>
    <phoneticPr fontId="1" type="noConversion"/>
  </si>
  <si>
    <t>• 7. 설계추진방향(1차)_신호+도로신호_r260529(양식통일).pdf
• 6. 공사시방서.pdf
- [노면전차시설 설계 가이드라인]
교통안전표지는 도로교통법 및 동법 시행령과 시행규칙에서 정한 기준과 양식에 따라 설계 및 제작되고 설치되어야 하며, 표지는 속도제한 신호표지와 서행 신호표지 및 특별 신호표지 등으로 구성하여야 한다.
- 관련기준:
노면전차시설 설계 가이드라인 (교통안전표지 및 철도신호 표지류 기준)</t>
    <phoneticPr fontId="1" type="noConversion"/>
  </si>
  <si>
    <t>급곡선·정거장 등 감속 필수 구간에 기관사가 직관적으로 제어할 수 있도록 속도제한·서행 및 특별 신호표지의 규격·위치를 도면에 반영함.</t>
    <phoneticPr fontId="1" type="noConversion"/>
  </si>
  <si>
    <t>지주·표지판 설치 시 가로수·건축물 등에 가려지지 않게 조준 각도를 확보해 시공하고, 야간·악천후 대비 고휘도 반사지 부착 상태를 전수 검측함.</t>
    <phoneticPr fontId="1" type="noConversion"/>
  </si>
  <si>
    <t>• 7. 설계추진방향(1차)_신호+도로신호_r260529(양식통일).pdf
• 6. 공사시방서.pdf
- [입찰안내서 명시]
트램의 신호설비는 도로신호설비(도로교통신호제어기), 트램 신호기, 열차검지장치와 철도신호설비 등으로 구성되어 있으며, 표지는 속도제한 신호표지와 서행 신호표지 및 특별 신호표지 등으로 구성하여야 한다.
- 관련기준:
- 노면전차 건설 및 운전 등에 관한 규칙
- 노면전차 시설 설계 가이드라인
- 도로안전시설설치 및 관리기준</t>
    <phoneticPr fontId="1" type="noConversion"/>
  </si>
  <si>
    <t>단일로 횡단보도 트램 전용신호기 배치 및 보행자 신호(녹색) 시 트램 정지 신호(수평 막대형) 연동 표출 계통도를 작성함.</t>
    <phoneticPr fontId="1" type="noConversion"/>
  </si>
  <si>
    <t>보행자 신호제어기와 트램 신호기를 결선하고, 보행 신호 작동 시 트램 정지 현시 즉각 연동 및 응답 지연(Latency) 전수 테스트를 실시함.</t>
    <phoneticPr fontId="1" type="noConversion"/>
  </si>
  <si>
    <t>• 7. 설계추진방향(1차)_신호+도로신호_r260529(양식통일).pdf
• 6. 공사시방서.pdf
- [노면전차시설 설계 가이드라인]
노면전차 전용신호기는 노면전차가 운영되는 교차로, 단일로 횡단보도 등 기타 신호기가 필요한 곳에 설치한다.
- 관련기준:
노면전차시설 설계 가이드라인 (노면전차 신호기-일반신호기 설치 기준)</t>
    <phoneticPr fontId="1" type="noConversion"/>
  </si>
  <si>
    <t>신호제어기 설계 시 위치검지설비(무전원 태그, 차축검지기 등) 정보 수신용 통신 I/F 모듈을 내역·규격서에 반영함.</t>
    <phoneticPr fontId="1" type="noConversion"/>
  </si>
  <si>
    <t>철도 신호분야와 I/F 케이블 결선 후 가상 접근 신호를 주입해 정상 패킷 인식 및 우선신호 로직 구동을 합동 시험함.</t>
    <phoneticPr fontId="1" type="noConversion"/>
  </si>
  <si>
    <t>• 7. 설계추진방향(1차)_신호+도로신호_r260529(양식통일).pdf
• 6. 공사시방서.pdf
- [노면전차시설 설계 가이드라인]
트램의 운영계획에 따라 교통신호 제어기 인터페이스 장치는 트램 위치검지설비와 연동하여 교통신호제어기에 신호정보를 제공할 수 있도록 구성하여야 한다.
- 관련기준:
노면전차시설 설계 가이드라인 (도로신호설비 교통신호 제어기 연동 기준)</t>
    <phoneticPr fontId="1" type="noConversion"/>
  </si>
  <si>
    <t>도로·철도신호(전자연동장치) 간 하드웨어 접점 및 통신 연동을 수립하고, 전자파 간섭(EMI/EMC) 방지용 모바일 안테나의 신호기계실 외부 물리적 이격을 반영함.</t>
    <phoneticPr fontId="1" type="noConversion"/>
  </si>
  <si>
    <t>연동 케이블 포설 후 도로·철도 신호 동기화를 합동 시험하고, 모바일 안테나 옥외 이격 설치 및 무선 노이즈 유입을 전수 계측함.</t>
    <phoneticPr fontId="1" type="noConversion"/>
  </si>
  <si>
    <t>• 7. 설계추진방향(1차)_신호+도로신호_r260529(양식통일).pdf
• 6. 공사시방서.pdf
- [입찰안내서 명시]
철도신호설비는 선로전환기, 분기부신호기, 열차위치검지설비 등과 상호 연동하여 동작하고, 도로교통시설과 연계성을 확보하여야 한다. 신호설비는 타 설비로부터 기기를 보호해야한다. 모바일 안테나는 신호기계실에 설치할 수 없다.
- 관련기준:
- 철도건설공사 인터페이스 관리지침
- 노면전차 시설 설계 가이드라인
- 교통신호제어기 표준규격서(경찰청)</t>
    <phoneticPr fontId="1" type="noConversion"/>
  </si>
  <si>
    <t>차량기지 유치선·시운전선 안전 이동(입환)을 위해, 후행 진입 차단용 입환신호기 및 추돌방지 비상제동(ATP) 연동 회로를 차량·검수 분야와 인터페이스해 신호 설계에 반영함.</t>
    <phoneticPr fontId="1" type="noConversion"/>
  </si>
  <si>
    <t>기지 내 신호설비 시공 후 다중 트램 오진입 모사를 통해 차상 비상제동의 정확한 제동거리 내 체결 여부를 현장 진로연동시험함.</t>
    <phoneticPr fontId="1" type="noConversion"/>
  </si>
  <si>
    <t>• 7. 설계추진방향(1차)_신호+도로신호_r260529(양식통일).pdf
• 6. 공사시방서.pdf
- [입찰안내서 및 기본설계 문제점 분석 명시]
차량기지에서의 안전하고 효율적인 입환운전 지원 신호제어기술. 차량기지 유치선 및 시운전선 운행, 시운전 중 추돌방지대책. 차량기지 시운전선 시스템구축 및 추돌 방지 비상제동 시스템 구축 인터페이스.
- 관련기준:
- 철도건설공사 인터페이스 관리지침
- 도시철도(노면전차) 운전규칙
- 철도신호설비 안전성 평가 지침</t>
    <phoneticPr fontId="1" type="noConversion"/>
  </si>
  <si>
    <t>분기부 선로전환기 결빙·침수 방지를 위해 히팅바·어스박스와 연동되는 신호 제어함·케이블 결선도를 작성하고, 하부 배수 처리가 토목 노반 배수관과 연결되도록 인터페이스 도서를 작성함.</t>
    <phoneticPr fontId="1" type="noConversion"/>
  </si>
  <si>
    <t>매립형 분기기 시공 시 신호·궤도·토목 합동으로 히팅 열선 연동 및 배수구 구배를 검측하고, 통전·살수 시험으로 신호 장비 동작 및 배수 성능을 전수 검증함.</t>
    <phoneticPr fontId="1" type="noConversion"/>
  </si>
  <si>
    <t>• 7. 설계추진방향(1차)_신호+도로신호_r260529(양식통일).pdf
• 6. 공사시방서.pdf
- 입찰안내서 / 노면전차시설 설계 가이드라인
- 관련기준:
- 노면전차 시설 설계 가이드라인
- 철도건설공사 인터페이스 관리지침
- 철도신호설비 시공지침</t>
    <phoneticPr fontId="1" type="noConversion"/>
  </si>
  <si>
    <t>'시계운전'과 '시스템운전' 경계 지점 설계 시, 두 운전 방식 간 신호 제어권이 충돌 없이 원활히 전환(Hand-over)되도록 도로신호기 배치 및 차상 연계 로직을 반영함.</t>
    <phoneticPr fontId="1" type="noConversion"/>
  </si>
  <si>
    <t>종합시운전 시 시계-시스템운전 구역 진출입에 따른 지상 도로신호 및 차상 신호장치(ATP/ATO 등) 제어 모드의 무지연 자동 전환 여부를 반복 경계 통과 주행 테스트함.</t>
    <phoneticPr fontId="1" type="noConversion"/>
  </si>
  <si>
    <t>• 7. 설계추진방향(1차)_신호+도로신호_r260529(양식통일).pdf
• 6. 공사시방서.pdf
- [노면전차시설 설계 가이드라인]
시계운전과 시스템운전에 따라 신호설비를 구축할 수 있다.
- 관련기준:
노면전차시설 설계 가이드라인 (신호설비 노면전차 운전방식 기준)</t>
    <phoneticPr fontId="1" type="noConversion"/>
  </si>
  <si>
    <t>교차로 분기 구간 도로신호 설계 시, 트램 전용 '분기부 신호기'와 '일반 차량용 신호기'의 현시 주기(Phase)가 상충 없이 동기화되도록 신호 연동 맵(Signal Timing Plan)을 설계에 반영함.</t>
    <phoneticPr fontId="1" type="noConversion"/>
  </si>
  <si>
    <t>제어기 시공 후 경찰청 신호 주기(TOD) 데이터를 주입해, 트램 분기 신호와 일반 신호등 간 상호 보호 주기(Clearance Time) 유지 및 정상 전환 여부 등 교차로 전체 신호 사이클을 실측·검증함.</t>
    <phoneticPr fontId="1" type="noConversion"/>
  </si>
  <si>
    <t>• 7. 설계추진방향(1차)_신호+도로신호_r260529(양식통일).pdf
• 6. 공사시방서.pdf
- [노면전차시설 설계 가이드라인]
철도신호기 및 표지류는 「노면전차 건설 및 운전 등에 관한 규칙」에서 정하는 트램 신호기-분기부 신호기와 표지를 준용하여야 한다. 또한, 분기부 신호기는 연동장치와 연계․운영되므로 신호기-일반신호기와 연계성을 고려하여야 한다.
- 관련기준:
노면전차시설 설계 가이드라인 (신호기 및 표지류 일반신호기 연계 기준)</t>
    <phoneticPr fontId="1" type="noConversion"/>
  </si>
  <si>
    <t>제어기 교체·이설 시 발생하는 '전체 소등(Blackout)' 시간에 대비해, 교차로 형태(단일로, 3지, 4지) 및 소등 시간에 비례한 교통 정리요원 인건비와 임시 안전표지 물량을 공사 내역에 반영함.</t>
    <phoneticPr fontId="1" type="noConversion"/>
  </si>
  <si>
    <t>신호기 소등 전 경찰서 사전 신고 후 출퇴근 혼잡 시간대를 피해 작업하며, 각 접근로에 모범운전자를 배치해 수신호로 차량 흐름을 완벽히 통제 후 작업함.</t>
    <phoneticPr fontId="1" type="noConversion"/>
  </si>
  <si>
    <t>• 7. 설계추진방향(1차)_신호+도로신호_r260529(양식통일).pdf
• 6. 공사시방서.pdf
- 입찰안내서 / 노면전차시설 설계 가이드라인
- 관련기준:
- 도로공사장 교통관리지침
- 도로교통법 시행규칙
- 산업안전보건법</t>
    <phoneticPr fontId="1" type="noConversion"/>
  </si>
  <si>
    <t>도로신호주 설계 시 트램 운전석 눈높이와 시야각을 고려해, 트램 전용 신호등 하단 높이가 노면으로부터 최소 3.5m 이상 이격되도록 상세도 및 산출서에 반영함.</t>
    <phoneticPr fontId="1" type="noConversion"/>
  </si>
  <si>
    <t>신호기 설치 시 도로 마감면 기준 하단부 수직 높이가 3.5m 이상 확보됐는지 정밀 측량하고, 트램 차량을 모사한 눈높이에서 신호 시인성을 현장 확인함.</t>
    <phoneticPr fontId="1" type="noConversion"/>
  </si>
  <si>
    <t>• 7. 설계추진방향(1차)_신호+도로신호_r260529(양식통일).pdf
• 6. 공사시방서.pdf
- [노면전차시설 설계 가이드라인]
트램 전용 신호기는 기관사의 시인성과 안전성을 고려하여 신호등의 높이를 3.5m 이상으로 설치하여야 한다.
- 관련기준:
노면전차시설 설계 가이드라인 (신호기 및 표지류공사 설치 기준)</t>
    <phoneticPr fontId="1" type="noConversion"/>
  </si>
  <si>
    <t>굴착 횟수 최소화를 위해 전원/제어 통신 관로 굴착 경로를 토목·통신 분야와 단일 굴착 단면으로 통합 설계하고, 교차로 주변에 시스템사별 공동맨홀 위치를 최적화해 샵드로잉(Shop Drawing)에 반영함.</t>
    <phoneticPr fontId="1" type="noConversion"/>
  </si>
  <si>
    <t>시공 전 지하매설물(GPR 탐사 등) 위치를 재확인하고, 전 공종 시공 담당자가 일정을 조율해 1회 굴착 시 모든 배관이 동시 매설되도록 간섭 회피 통합 시공을 이행함.</t>
    <phoneticPr fontId="1" type="noConversion"/>
  </si>
  <si>
    <t>• 7. 설계추진방향(1차)_신호+도로신호_r260529(양식통일).pdf
• 6. 공사시방서.pdf
- 입찰안내서 / 노면전차시설 설계 가이드라인
- 관련기준:
- 철도건설공사 인터페이스 관리지침
- 지하매설물 안전관리 요령
- 지하안전관리에 관한 특별법</t>
    <phoneticPr fontId="1" type="noConversion"/>
  </si>
  <si>
    <t>교차로 및 정거장 옥외 신호 현장제어함 설계 시, 강우·비산먼지로부터 전자회로를 보호하기 위해 자재 시방서에 '방진방수 등급 IP56 이상' 및 '방습형 구조'를 의무 규격으로 명시함.</t>
    <phoneticPr fontId="1" type="noConversion"/>
  </si>
  <si>
    <t>제어함 반입 시 공인기관 IP56 등급 시험성적서를 확인해 승인하고, 설치 후 도어 패킹(Gasket) 밀착 및 케이블 하부 인입구 씰링 처리를 완벽히 시공해 습기·이물질 침투를 방지함.</t>
    <phoneticPr fontId="1" type="noConversion"/>
  </si>
  <si>
    <t>• 7. 설계추진방향(1차)_신호+도로신호_r260529(양식통일).pdf
• 6. 공사시방서.pdf
- [노면전차시설 설계 가이드라인]
주요 기구함은 습기, 먼지, 이물질 등의 접촉 등으로부터 보호될 수 있는 방습형 구조로 제작 및 설치되어야 한다. 현장제어함은 방진방수 보호등급은 IP56이상 적용하여야 한다.
- 관련기준:
노면전차시설 설계 가이드라인 (현장제어함 및 전선로장치 보호 기준)</t>
    <phoneticPr fontId="1" type="noConversion"/>
  </si>
  <si>
    <t>교차로 신호 설계 시 우선신호 로직을 확정하고, 트램 사전 인지를 위해 교차로 전방 적정 거리(제동거리 고려)에 차량 검지기(차축검지기, 루프코일 등) 설치 위치·수량을 도면에 반영함.</t>
    <phoneticPr fontId="1" type="noConversion"/>
  </si>
  <si>
    <t>트램 검지기·신호기 시공 시 타 공정과 조율해 센서 매립 후 케이블·포장 훼손을 막고, 개통 전 도로 신호제어기·트램 신호기 간 100% 연동(우선신호 표출) 테스트를 완료함.</t>
    <phoneticPr fontId="1" type="noConversion"/>
  </si>
  <si>
    <t>• 5. 설계기준.pdf
• 10. 주요 장비별 형식, 규격 및 수량 검토보고서.pdf
- [노면전차시설 설계 가이드라인]
트램의 정시성 확보와 일반 도로교통과의 상충을 방지하기 위하여 교차로 통과 시 트램 우선신호체계를 구축하고, 이를 정확히 제어하기 위한 차량 위치 검지장치 및 트램 전용 신호기를 설치하여야 한다.
- 관련기준:
노면전차시설 설계 가이드라인 (트램 우선신호체계 및 도로교통 연계 기준)</t>
    <phoneticPr fontId="1" type="noConversion"/>
  </si>
  <si>
    <t>트램 검지 체계(루프, 영상, 레이더 등)를 설계하고, 도로교통 신호제어기와 연동되는 우선신호체계(Active/Passive) 및 돌발검지 시 보행자 안전차단 연동 로직도를 설계에 반영함.</t>
    <phoneticPr fontId="1" type="noConversion"/>
  </si>
  <si>
    <t>검지기·신호제어기 설치 후 경찰청·관제실 간 신호 연동 통신망을 구축하고, 시운전 시 시나리오별 우선신호 표출 및 보행자 통제 기능 정상 작동 여부를 철저히 테스트함.</t>
    <phoneticPr fontId="1" type="noConversion"/>
  </si>
  <si>
    <t>• 5. 설계기준.pdf
• 10. 주요 장비별 형식, 규격 및 수량 검토보고서.pdf
- [입찰안내서 명시]
우선신호 시스템 구성 설비 및 기술, 교차로, 정거장, 횡단보도 등 트램접근시 기존 도로 차량 및 보행자 안전 대책 방안, 제한속도 초과 시 안전성과 신뢰성을 갖춘 운전자 지원 방안을 수립하여야 한다.
- 관련기준:
- 경찰청 교통신호제어기 표준규격
- 노면전차 시설 설계 가이드라인
- 지능형교통체계(ITS) 표준노드/링크 구축기준</t>
    <phoneticPr fontId="1" type="noConversion"/>
  </si>
  <si>
    <t>차량·토목 인터페이스를 통해 휠체어 탑승 위치와 출입문이 일치하도록, 차상신호장치 정위치 정차 제어 로직 및 허용오차 기준을 도서에 규정함.</t>
    <phoneticPr fontId="1" type="noConversion"/>
  </si>
  <si>
    <t>지상 검지기(태그 등) 정밀 측량 시공 후, 속도·하중(만차/공차) 조건별 휠체어 정위치 정차 여부를 확인하여 차상신호장치 제동 프로파일을 튜닝하고 실증함.</t>
    <phoneticPr fontId="1" type="noConversion"/>
  </si>
  <si>
    <t>• 5. 설계기준.pdf
• 10. 주요 장비별 형식, 규격 및 수량 검토보고서.pdf
- [입찰안내서 명시]
정거장 정차 시 정지할 위치를 지나치지 않도록 방안을 검토하여야 한다... 차량 출입문과 정거장 승, 하차 위치점(휠체어 탑승 위치 포함)의 적정성 인터페이스 (차량, 토목, 신호)
- 관련기준:
- 교통약자의 이동편의 증진법
- 철도설계기준(신호제어편)
- 노면전차 시설 설계 가이드라인</t>
    <phoneticPr fontId="1" type="noConversion"/>
  </si>
  <si>
    <t>트램 우선신호 설계 시 지자체·경찰청과 협의해 기존 신호 주기(Cycle) 및 개량 범위를 확정하고, 일반·트램 신호 간 제어권 분리·연동 행정 승인 내역을 도서에 규정함.</t>
    <phoneticPr fontId="1" type="noConversion"/>
  </si>
  <si>
    <t>신호제어기 개량 전 경찰청 도면 승인을 득하고, 시공 후 경찰 입회하에 교통정보센터와 트램 관제실 간 우선신호 통신망 접속 시험을 실시해 정상 표출을 검증함.</t>
    <phoneticPr fontId="1" type="noConversion"/>
  </si>
  <si>
    <t>• 5. 설계기준.pdf
• 10. 주요 장비별 형식, 규격 및 수량 검토보고서.pdf
- [입찰안내서 명시]
트램의 통행우선권을 유관기관과 협의하여 교통신호 제어기에 반영해야 한다. 트램 우선신호를 각 지자체, 지방경찰청 등의 유관기관과 협의하여 반영 해야 한다.
- 관련기준:
- 도로교통법 및 시행규칙(신호기 설치기준)
- 경찰청 교통신호제어기 표준규격
- 노면전차 시설 설계 가이드라인</t>
    <phoneticPr fontId="1" type="noConversion"/>
  </si>
  <si>
    <t>분기기 결빙 방지용 히팅장치 설계 시, 궤도(히팅바·단자함)와 신호(케이블 포설·온도 연동) 간 업무 분담 및 물리적 연결 지점(단자함 위치)을 도서에 명확히 규정함.</t>
    <phoneticPr fontId="1" type="noConversion"/>
  </si>
  <si>
    <t>궤도 타설 전 신호 분야가 제어함·전선관을 선시공하고, 궤도 분야의 히팅바·단자함 설치 직후 케이블 결선을 완료해 합동 동절기 모의 가동 시험을 실시함.</t>
    <phoneticPr fontId="1" type="noConversion"/>
  </si>
  <si>
    <t>• 5. 설계기준.pdf
• 10. 주요 장비별 형식, 규격 및 수량 검토보고서.pdf
- [입찰안내서 명시]
매립형 궤도구조형식의 분기기구간에 설치되는 분기기히팅장치 히팅바, 리드선, 단자함은 궤도분야에서 모든 분기기에 일괄설치하고, 단자함(궤도분야 설치)∼제어함간 연결케이블은 신호분야에서 설치 반영하여야 한다.
- 관련기준:
- 철도설계기준(신호제어편, 궤도편)
- 노면전차 시설 설계 가이드라인
- 분기기 히팅장치 설치기준</t>
    <phoneticPr fontId="1" type="noConversion"/>
  </si>
  <si>
    <t>신호 분야는 태그 및 차축검지기 규격·심도·좌표(분기기 전방 14m 등)를 궤도 분야에 제공해, 그루브레일 절단 상세 및 배수용 어스박스(Earth Box) 매립 공간을 도면에 선반영함.</t>
    <phoneticPr fontId="1" type="noConversion"/>
  </si>
  <si>
    <t>궤도 타설 전 레일 절단부 및 태그 매립 위치(배관/박스아웃)를 광파기로 공동 검측(Sign-off)하고, 매립 후 진동 이탈 방지용 특수 고정 수지를 밀실 충전함.</t>
    <phoneticPr fontId="1" type="noConversion"/>
  </si>
  <si>
    <t>• 5. 설계기준.pdf
• 10. 주요 장비별 형식, 규격 및 수량 검토보고서.pdf
- [입찰안내서 명시]
매립형 궤도구조형식구간에 설치되는 액셀카운터(차축검지기) 설치개소에는 궤도분야에서 그루브레일 측면 일부를 절단하도록 반영. 궤도 도상내 신호분야 매입설비(태그, 선로전환기 등)는 궤도도상 시공 전 사전설치 될 수 있도록 신호분야에서 자료 제공.
- 관련기준:
- 도시철도 신호설비 설치기준
- 철도설계기준(신호제어편, 궤도편)
- 노면전차 시설 설계 가이드라인</t>
    <phoneticPr fontId="1" type="noConversion"/>
  </si>
  <si>
    <t>신호 공정표·시방서 작성 시 타 분야 연계 '공종별시험', '시설물검증시험', '영업시운전' 등 철도종합시험운행 일정을 반영하고, 단계별 평가 항목·판정 기준을 도서에 규정함.</t>
    <phoneticPr fontId="1" type="noConversion"/>
  </si>
  <si>
    <t>신호설비 설치 후 지침에 따른 공종별 시험(정상/장애)을 실시하고, 시설물검증시험 도출 펀치리스트(Punch List)를 영업시운전 전까지 100% 해소함.</t>
    <phoneticPr fontId="1" type="noConversion"/>
  </si>
  <si>
    <t>• 5. 설계기준.pdf
• 10. 주요 장비별 형식, 규격 및 수량 검토보고서.pdf
- [입찰안내서 명시]
철도종합시험운행 시행지침에 따른 철도종합시험운행 계획에 지장이 없도록 설계하여야 한다. 공종별시험, 시설물검증시험 등에서 항목별 요구사항에 대하여 준수하도록 설계하여야 한다.
- 관련기준:
- 철도종합시험운행 시행지침(국토교통부)
- 철도안전법
- 노면전차 건설 및 운전 등에 관한 규칙</t>
    <phoneticPr fontId="1" type="noConversion"/>
  </si>
  <si>
    <t>신호설비 설계 시 오인 출발·속도 초과 시 강제 제동하는 자동열차방호장치(ATP) 제어 로직을 구현하고, 종단부 과주방지 연동 조건(위치검지)을 연동도표에 완벽히 반영함.</t>
    <phoneticPr fontId="1" type="noConversion"/>
  </si>
  <si>
    <t>차량 반입 후 철도종합시험운행 시 의도적 정지신호 모진·제한속도 초과 상황을 연출해, ATP 시스템 개입 및 즉각 비상 제동 여부를 전수 실차 테스트함.</t>
    <phoneticPr fontId="1" type="noConversion"/>
  </si>
  <si>
    <t>• 5. 설계기준.pdf
• 10. 주요 장비별 형식, 규격 및 수량 검토보고서.pdf
- [입찰안내서 명시]
교차로, 분기기, 정거장 등에서 기관사의 오인으로 인한 트램의 부정출발을 방지하기 위한 기술 채택과 선로종단에 트램 과주방지장치를 설치하여야 한다. 차상신호설비와 관련된 사항으로 속도감시 및 제한속도 초과 시 운전자 지원 기술, 자동열차방호장치(ATP) 및 자동열차운행장치(ATO) 기능 등을 적용해야 한다.
- 관련기준:
- 노면전차 건설 및 운전 등에 관한 규칙
- 철도설계기준(신호제어편)
- 철도차량 기술기준</t>
    <phoneticPr fontId="1" type="noConversion"/>
  </si>
  <si>
    <t>지하시설물 케이블을 저독성 난연케이블(LSZH 등)로 지정하고, 배관 접속부 수밀/방습 상세도를 도서에 반영함.</t>
    <phoneticPr fontId="1" type="noConversion"/>
  </si>
  <si>
    <t>케이블 반입 시 저독성 난연성능 성적서를 전수 검수하고, 지중 배관 접속부에 방수 실리콘 및 수밀 캡을 시공해 침수 여부를 확인함.</t>
    <phoneticPr fontId="1" type="noConversion"/>
  </si>
  <si>
    <t>• 5. 설계기준.pdf
• 10. 주요 장비별 형식, 규격 및 수량 검토보고서.pdf
- [입찰안내서 명시]
신호제어용 통신케이블은 차폐된 난연성 케이블을 적용하여야 한다. 신호제어용 각종 제어 및 전원케이블은 관로내에 수용하여 보호되어야 하며, 지하구간 및 실내공간에는 저독성 난연케이블을 적용하여야 한다. 매입전선관의 접속점은 외부로부터 유수나 불순물의 침투를 막아 운영 중 케이블 교체 등 유지보수상황 시 용이하게 교체가 가능하도록 하여야 한다.
- 관련기준:
- 전기설비기술기준
- 노면전차 시설 설계 가이드라인
- 도시철도 신호설비 설치기준</t>
    <phoneticPr fontId="1" type="noConversion"/>
  </si>
  <si>
    <t>신호기·표지류 설계 시 높이 3.5m 이상, 우측 배치를 적용하고 지장물(캐노피, 가로수 등) 간섭을 피한 건축한계 밖 안전 이격거리를 도면에 명시함.</t>
    <phoneticPr fontId="1" type="noConversion"/>
  </si>
  <si>
    <t>지주(Pole) 기초 시공 시 궤도 중심선 이격거리를 정밀 측량해 건축한계 침범을 막고, 차량 운전실 눈높이에서 신호기 시인성 및 지장물 가림 여부를 현장 점검함.</t>
    <phoneticPr fontId="1" type="noConversion"/>
  </si>
  <si>
    <t>• 5. 설계기준.pdf
• 10. 주요 장비별 형식, 규격 및 수량 검토보고서.pdf
- [입찰안내서 명시]
트램 전용 신호기는 기관사의 시인성과 안전성을 고려하여 신호등의 높이를 3.5m 이상으로 설치하여야 한다. 신호기 및 표지류는 열차진행방향 우측에 설치하여야 하며, 건축한계 및 보행자의 통행에 지장이 없는 개소에 설치하여야 한다.
- 관련기준:
- 노면전차 건설 및 운전 등에 관한 규칙
- 철도설계기준(신호제어편)
- 도로교통법 시행규칙(신호기 설치기준)</t>
    <phoneticPr fontId="1" type="noConversion"/>
  </si>
  <si>
    <t>교차로 진출입부에 열차위치검지장치(태그, 차축검지기 등)를 배치하고, 동일 방향 교차로 내 오직 1편성의 트램만 진입하는 절대폐색(1편성 점유) 로직을 연동도표에 반영함.</t>
    <phoneticPr fontId="1" type="noConversion"/>
  </si>
  <si>
    <t>검지기 설치 후 연속 다중 편성 투입 시나리오로 현장 연동검사를 실시해, 선행 열차 점유 시 후속 열차 정지 신호 현시 및 교차로 진입 차단 여부를 모의·실차 테스트함.</t>
    <phoneticPr fontId="1" type="noConversion"/>
  </si>
  <si>
    <t>• 5. 설계기준.pdf
• 10. 주요 장비별 형식, 규격 및 수량 검토보고서.pdf
- [입찰안내서 명시]
트램의 신호설비는 동일진행 방향에 대하여 교차로에는 1편성의 트램만 점유하여 통과할 수 있도록 설비를 구축하여야 하며, 관제실에서 감시 및 제어되어야 한다.
- 관련기준:
- 노면전차 시설 설계 가이드라인(신호설비편)
- 철도설계기준(신호제어편)
- 노면전차 건설 및 운전 등에 관한 규칙</t>
    <phoneticPr fontId="1" type="noConversion"/>
  </si>
  <si>
    <t>신호기계실 설계 시 축전지/UPS실을 독립 공간으로 구획하고, 고전압 전력선 전자파 간섭(EMI/EMC) 차단을 위한 접지망 및 쉴드(Shield) 차폐 설계를 도서에 반영함.</t>
    <phoneticPr fontId="1" type="noConversion"/>
  </si>
  <si>
    <t>케이블 포설 시 동력선·제어선을 규정 이격거리 이상 분리 시공하고, 장비 가동 전 전자파 간섭 여부 및 통합 접지 저항 측정을 전수 실시해 노이즈 유입을 차단함.</t>
    <phoneticPr fontId="1" type="noConversion"/>
  </si>
  <si>
    <t>• 5. 설계기준.pdf
• 10. 주요 장비별 형식, 규격 및 수량 검토보고서.pdf
- [입찰안내서 명시]
축전지 및 UPS는 독립적 공간에 설치 해야하며, 출입문을 별도로 설치 해야한다. 신호기계실 내 주파수 장애 발생을 유발하는 장비는 설치할 수 없다. 신호설비는 노이즈 및 유도장애, 열차운행으로 인한 진동 및 분진, 전자파 간섭, 제어전원 또는 기타 원인에 의해 발생한 전자파 간섭 등으로부터 보호해야한다.
- 관련기준:
- 건축전기설비 설계기준
- 철도설계기준(신호제어편, 전철전력편)
- 전기통신설비의 기술기준에 관한 규정</t>
    <phoneticPr fontId="1" type="noConversion"/>
  </si>
  <si>
    <t>분기부 탈선 방지를 위해 차축검지기·신호기·선로전환기 상태 조건을 상호 연동하고, 열차 진입 시 절대 전환되지 않도록 쇄정(보안잠금, Interlocking) 로직을 연동도표에 정밀 반영함.</t>
    <phoneticPr fontId="1" type="noConversion"/>
  </si>
  <si>
    <t>개통 전 관제실·현장제어함에서 진로 경합 및 궤도 점유 시나리오를 모사해 현장 연동검사(진로시험)를 반복하고, 선로전환기 보안잠금 무결성을 공사감독관 입회하에 최종 승인받음.</t>
    <phoneticPr fontId="1" type="noConversion"/>
  </si>
  <si>
    <t>• 5. 설계기준.pdf
• 10. 주요 장비별 형식, 규격 및 수량 검토보고서.pdf
- [입찰안내서 명시]
분기부는 분기구간에 트램이 접근하거나 분기부 통과운전을 할 때 안전하게 통과하고, 분기기 이전에 안전하게 정차하도록 하여... 연동장치는 선로전환기와 분기부 신호기들 간에 상호 모순이 발생하지 않도록 각 기기의 동작을 상호 연동시키고, 보안 잠금을 체결하도록 하여야 한다.
- 관련기준:
- 도시철도 신호설비 설치기준
- 철도설계기준(신호제어편)
- 노면전차 건설 및 운전 등에 관한 규칙</t>
    <phoneticPr fontId="1" type="noConversion"/>
  </si>
  <si>
    <t>주요 신호설비(차상장치, 전자연동장치 등)에 국제 규격 SIL4 인증 장비 사양을 규정하고, 단일 장애(Single Point of Failure) 대비 1:1 하드웨어/논리적 이중계 아키텍처를 도서에 반영함.</t>
    <phoneticPr fontId="1" type="noConversion"/>
  </si>
  <si>
    <t>장비 반입 시 SIL4 인증서를 전수 검수하고, 주 장비에서 예비 장비로의 무중단 절체(Fail-over) 및 임의 장애 모의시험(Fault Injection Test)을 100% 실시해 이중화 성능을 실증함.</t>
    <phoneticPr fontId="1" type="noConversion"/>
  </si>
  <si>
    <t>• 5. 설계기준.pdf
• 10. 주요 장비별 형식, 규격 및 수량 검토보고서.pdf
- [입찰안내서 명시]
신호설비는 안전성과 신뢰성이 입증된 범용 설비로 구성한다. 차상신호장치, 전자연동장치, 차축검지장치, 매립형선로전환기 등은 안전무결성등급(SIL, Safety Intergrity Level)4 이상으로 설계하여야 한다. 모든 신호설비의 감시 및 제어를 위한 종합관제설비 구축, 무중단 운영이 되도록 중요설비 이중계.
- 관련기준:
- 철도설계기준(신호제어편)
- 철도안전법(철도용품 형식승인)
- IEC 62278 (철도 RAMS 규격)</t>
    <phoneticPr fontId="1" type="noConversion"/>
  </si>
  <si>
    <t>정전 대비 종합관제실 최소 3시간, 정거장 최소 1시간 무중단 가동용 최대 부하량을 산출해 UPS·축전지 용량을 설계하고, 친환경 축전지 사양을 시방서에 명시함.</t>
    <phoneticPr fontId="1" type="noConversion"/>
  </si>
  <si>
    <t>축전지 용량·친환경 인증서를 전수 검수하고, 설치 후 메인 전원(AC)을 차단하는 블랙아웃(Black-out) 모의 시험으로 설계 보상시간(3시간/1시간) 정상 동작 방전 테스트를 이행함.</t>
    <phoneticPr fontId="1" type="noConversion"/>
  </si>
  <si>
    <t>• 5. 설계기준.pdf
• 10. 주요 장비별 형식, 규격 및 수량 검토보고서.pdf
- [입찰안내서 명시]
신호기계실에 AC 380V/220V의 양질의 전원 공급이 가능하도록 하여야 하며, 정전시에도 종합관제실은 3시간 이상, 정거장 설비는 1시간 이상의 축전지 정전보상시간을 확보하여야 한다. 전원공급장치는 배전반, UPS, 정류기, 축전지 등으로 구성하여야 하며, 축전지는 경제성, 유지보수성 등을 고려하여 안전성이 우수하고 친환경적인 제품으로 적용하여야 한다.
- 관련기준:
- 건축전기설비 설계기준
- 철도설계기준(신호제어편)
- 노면전차 시설 설계 가이드라인</t>
    <phoneticPr fontId="1" type="noConversion"/>
  </si>
  <si>
    <t>전자연동장치 구조(집중식/분산식) 선정 후 신호기계실 랙(Rack) 발열량을 산출해, 타 분야(건축/기계) 협의로 24시간 항온항습(냉난방) 설비 및 최적 공간 면적을 도면에 반영함.</t>
    <phoneticPr fontId="1" type="noConversion"/>
  </si>
  <si>
    <t>장비 설치 전 타 분야 공조설비(에어컨 등) 정상 가동을 확인해 과열을 방지하고, 장비 상부 타 분야 배관 누수·단락 방지를 위해 천장 마감을 합동 교차 검측함.</t>
    <phoneticPr fontId="1" type="noConversion"/>
  </si>
  <si>
    <t>• 5. 설계기준.pdf
• 10. 주요 장비별 형식, 규격 및 수량 검토보고서.pdf
- [입찰안내서 명시]
연동장치 구성방식은 집중식과 분산식을 비교검토하여 제시하여야 하며, 구성방식에 따라 설치되는 설비의 위치는 관련분야와 인터페이스를 통해 이상 없도록 하여야 한다. 연동장치를 수용하는 공간은 냉난방설비 등이 구성되어 안정된 환경에서 동작되도록 하여야 한다.
- 관련기준:
- 철도설계기준(신호제어편, 건축편)
- 도시철도 신호설비 설치기준
- 기계설비공사 표준시방서</t>
    <phoneticPr fontId="1" type="noConversion"/>
  </si>
  <si>
    <t>TTC 설계 시 열차 스케줄(다이아그램) 기반으로 수동 개입 없이 전자연동장치가 선로전환기를 제어·진로 설정하는 자동 진로제어(ARS) S/W 알고리즘을 구축함.</t>
    <phoneticPr fontId="1" type="noConversion"/>
  </si>
  <si>
    <t>개통 전 지연·순서 변경 등 다양한 가상 열차다이아 시나리오를 주입해, ARS 로직이 전자연동장치·선로전환기와 연동되어 정확히 자동 개통되는지 시뮬레이션 및 실차 테스트함.</t>
    <phoneticPr fontId="1" type="noConversion"/>
  </si>
  <si>
    <t>• 5. 설계기준.pdf
• 10. 주요 장비별 형식, 규격 및 수량 검토보고서.pdf
- [입찰안내서 명시]
관제시스템을 통한 트램 차량 스케줄(열차다이아)에 의한 자동 진로제어 방식을 적용해야 한다.
- 관련기준:
- 도시철도 신호설비 설치기준
- 철도설계기준(신호제어편)
- 노면전차 건설 및 운전 등에 관한 규칙</t>
    <phoneticPr fontId="1" type="noConversion"/>
  </si>
  <si>
    <t>차상신호(ATP/ATO) 및 DMI 설계 시 시계운전 중 열차 위치·제한속도 알람을 인지할 수 있는 직관적 UI를 구현하고, 수동운전 시 신호 모진·과속 시 강제 제동하는 지상-차상 인터페이스 방호 로직을 반영함.</t>
    <phoneticPr fontId="1" type="noConversion"/>
  </si>
  <si>
    <t>종합시험운행 시 시계운전·수동운전 주행 시나리오를 반복 수행해, 차상신호 알람의 지연 없는 표출 및 지상 신호기와 모순 없는 강제 제동 연동 여부를 실차 테스트함.</t>
    <phoneticPr fontId="1" type="noConversion"/>
  </si>
  <si>
    <t>• 5. 설계기준.pdf
• 10. 주요 장비별 형식, 규격 및 수량 검토보고서.pdf
- [입찰안내서 명시]
1인 승무 시계운전을 원칙으로 한 열차운전방식 적용. 지상신호에 의한 수동운전방식 적용. 차상신호설비는 우선신호 요청, 진로제어, 전·후방 열차정보 표시, 신호위반시 자동정지, 속도제한구간 과속방지 알람기능 등이 포함되어야 하며, 기타 지상장치와 인터페이스하여 원활한 안전운행을 위해 필요한 기능이 구축되어야 한다.
- 관련기준:
- 노면전차 건설 및 운전 등에 관한 규칙
- 도시철도차량(노면전차) 기술기준
- 철도설계기준(신호제어편)</t>
    <phoneticPr fontId="1" type="noConversion"/>
  </si>
  <si>
    <t>기구함·접속함 설치 부지를 보행 동선 지장 없이 사전 확보하고, 시스템(신호/통신/전기) 공동관로·횡단관로 규격 및 매설 위치를 토목·건축과 협의해 도서에 반영함.</t>
    <phoneticPr fontId="1" type="noConversion"/>
  </si>
  <si>
    <t>기구함 기초 시공 전 3D BIM 등으로 기초 패드·공동관로 간섭을 합동 교차 검측하고, 궤도·도로 포장 전 횡단관로 매설 깊이(0.6m 이상 등)를 준수해 시공함.</t>
    <phoneticPr fontId="1" type="noConversion"/>
  </si>
  <si>
    <t>• 5. 설계기준.pdf
• 10. 주요 장비별 형식, 규격 및 수량 검토보고서.pdf
- [입찰안내서 명시]
선로전환기 및 신호설비 제어를 위해 기구함 및 접속함을 설치하는 정거장의 경우 기구함 및 접속함 설치를 위한 부지를 확보할 수 있도록 설계에 반영하여야 한다. 차량기지, 본선, 정거장, 역간에 신호설비 제어, 통신, 전기설비 등를 위한 공동관로를 상․하선에 확보하여야 하며 충분한 공배관 확보, 일정거리마다 횡단관로를 설계에 반영하여야 한다.
- 관련기준:
- 노면전차 시설 설계 가이드라인
- 철도설계기준(신호제어편)
- 도시철도 신호설비 설치기준</t>
    <phoneticPr fontId="1" type="noConversion"/>
  </si>
  <si>
    <t>차량의 일상기기 고정 체결부 풀림 방지 설계, 종합관제실 차량 운행 제어, 차량기지 입고 분석 검토.</t>
    <phoneticPr fontId="1" type="noConversion"/>
  </si>
  <si>
    <t>• 5. 설계기준.pdf
• 10. 주요 장비별 형식, 규격 및 수량 검토보고서.pdf
- 위례선 운행시 분야별 예상 문제점 및 해결방안 검토
- 관련기준:
• 도시철도운전규칙(국토교통부령)
• 도시철도 신호제어 설계기준(KDS 47 70 00)
• 노면전차 운영 안전기준(국토교통부 고시)</t>
    <phoneticPr fontId="1" type="noConversion"/>
  </si>
  <si>
    <t>운전자 시야 확보 안전 운행 지침 수립, 종합관제실 차량 운행 제어.</t>
    <phoneticPr fontId="1" type="noConversion"/>
  </si>
  <si>
    <t>• 5. 설계기준.pdf
• 10. 주요 장비별 형식, 규격 및 수량 검토보고서.pdf
- 위례선 운행시 분야별 예상 문제점 및 해결방안 검토
- 관련기준:
• 도시철도운전규칙(국토교통부령)
• 철도안전법 제38조(철도안전관리체계)
• 노면전차 운영 안전기준(국토교통부 고시)</t>
    <phoneticPr fontId="1" type="noConversion"/>
  </si>
  <si>
    <t>차량한계 및 건축한계 사전 점검, 종합관제실 차량 운행 제어.</t>
    <phoneticPr fontId="1" type="noConversion"/>
  </si>
  <si>
    <t>• 5. 설계기준.pdf
• 10. 주요 장비별 형식, 규격 및 수량 검토보고서.pdf
- 위례선 운행시 분야별 예상 문제점 및 해결방안 검토
- 관련기준:
• 도시철도건설규칙(국토교통부령)
• 도시철도 신호제어 설계기준(KDS 47 70 00)
• 철도시설의 기술기준(국토교통부 고시)</t>
    <phoneticPr fontId="1" type="noConversion"/>
  </si>
  <si>
    <t>자동제어장치의 전자연동장치에 의한 선로전환기 상태 감시 반영함.</t>
    <phoneticPr fontId="1" type="noConversion"/>
  </si>
  <si>
    <t>• 5. 설계기준.pdf
• 10. 주요 장비별 형식, 규격 및 수량 검토보고서.pdf
- 위례선 운행시 분야별 예상 문제점 및 해결방안 검토
- 관련기준:
• 도시철도운전규칙 제37조(자동제어장치)
• 도시철도 신호제어 설계기준(KDS 47 70 00)
• 철도안전법 제26조(철도용품 형식승인)</t>
    <phoneticPr fontId="1" type="noConversion"/>
  </si>
  <si>
    <t>교차로 신호 설계 시 차축검지기·궤도회로로 진출입을 확인하고, 선행 열차 통과 전까지 후속 열차를 정지시키는 '1편성 점유 록(Lock)' 제어 로직을 도서에 반영함.</t>
    <phoneticPr fontId="1" type="noConversion"/>
  </si>
  <si>
    <t>종합시험운행 시 다수 열차를 연속 투입해 선행 열차 통과 후 후속 열차 신호가 표출되는지 관제실 화면 및 현장 신호기로 전수 연동 테스트를 실시함.</t>
    <phoneticPr fontId="1" type="noConversion"/>
  </si>
  <si>
    <t>• 5. 설계기준.pdf
• 10. 주요 장비별 형식, 규격 및 수량 검토보고서.pdf
- [노면전차시설 설계 가이드라인]
트램의 신호설비는 동일진행 방향에 대하여 교차로에는 1편성의 트램만 점유하여 통과할 수 있도록 설비를 구축하여야 하며, 관제실에서 감시 및 제어되어야 한다.
- 관련기준:
노면전차시설 설계 가이드라인 (교차로 안전대책 및 트램 신호설비 기준)</t>
    <phoneticPr fontId="1" type="noConversion"/>
  </si>
  <si>
    <t>신호기 작동 주기적 점검, 차량 상시 위치에 따른 신호 연동 반영함.</t>
    <phoneticPr fontId="1" type="noConversion"/>
  </si>
  <si>
    <t>• 5. 설계기준.pdf
• 10. 주요 장비별 형식, 규격 및 수량 검토보고서.pdf
- 위례선 운행시 분야별 예상 문제점 및 해결방안 검토
- 관련기준:
• 도로교통법 제5조(신호 또는 지시에 따를 의무)
• 노면전차 운영 안전기준(국토교통부 고시)
• 도시철도 신호제어 설계기준(KDS 47 70 00)</t>
    <phoneticPr fontId="1" type="noConversion"/>
  </si>
  <si>
    <t>레이더 센서에 의한 감지 기능 확보.</t>
    <phoneticPr fontId="1" type="noConversion"/>
  </si>
  <si>
    <t>• 5. 설계기준.pdf
• 10. 주요 장비별 형식, 규격 및 수량 검토보고서.pdf
- 위례선 운행시 분야별 예상 문제점 및 해결방안 검토
- 관련기준:
• 도로교통법 제5조(신호 또는 지시에 따를 의무)
• 노면전차 운영 안전기준(국토교통부 고시)
• 지능형 교통체계 기본법 시행령</t>
    <phoneticPr fontId="1" type="noConversion"/>
  </si>
  <si>
    <t>선로전환기 적용 구간 반영 필요 반영함.</t>
    <phoneticPr fontId="1" type="noConversion"/>
  </si>
  <si>
    <t>• 5. 설계기준.pdf
• 10. 주요 장비별 형식, 규격 및 수량 검토보고서.pdf
- 위례선 서울교통공사 운영 관련 요구 사항
- 관련기준:
• 도시철도건설규칙(국토교통부령)
• 도시철도 신호제어 설계기준(KDS 47 70 00)
• 철도안전법 제26조(철도용품 형식승인)</t>
    <phoneticPr fontId="1" type="noConversion"/>
  </si>
  <si>
    <t>신호와 반영을 통한 통신안전성 확보 필요 반영함.</t>
    <phoneticPr fontId="1" type="noConversion"/>
  </si>
  <si>
    <t>• 5. 설계기준.pdf
• 10. 주요 장비별 형식, 규격 및 수량 검토보고서.pdf
- 위례선 서울교통공사 운영 관련 요구 사항
- 관련기준:
• 국가정보보안기본지침
• 철도안전법 제61조(철도사이버안전 관리)
• 도시철도 신호제어 설계기준(KDS 47 70 00)</t>
    <phoneticPr fontId="1" type="noConversion"/>
  </si>
  <si>
    <t>폭우시 차량 운행 규정 수립 및 속도 제한 운영, 차량 와이퍼 기능 상시 확인, 신호기에 의한 통제.</t>
    <phoneticPr fontId="1" type="noConversion"/>
  </si>
  <si>
    <t>• 5. 설계기준.pdf
• 10. 주요 장비별 형식, 규격 및 수량 검토보고서.pdf
- 위례선 운행시 분야별 예상 문제점 및 해결방안 검토
- 관련기준:
• 철도안전법 제40조(운행제한)
• 도시철도운전규칙 제53조(기상 조건 운행기준)
• 노면전차 운영 안전기준(국토교통부 고시)</t>
    <phoneticPr fontId="1" type="noConversion"/>
  </si>
  <si>
    <t>선로 결함 조기발견 센서 및 모니터링 시스템 구축.</t>
    <phoneticPr fontId="1" type="noConversion"/>
  </si>
  <si>
    <t>• 5. 설계기준.pdf
• 10. 주요 장비별 형식, 규격 및 수량 검토보고서.pdf
- 위례선 운행시 분야별 예상 문제점 및 해결방안 검토
- 관련기준:
• 철도시설 유지관리지침(국토교통부 고시)
• 도시철도운전규칙(국토교통부령)
• 철도안전법 제38조(철도안전관리체계)</t>
    <phoneticPr fontId="1" type="noConversion"/>
  </si>
  <si>
    <t>정기적 점검 및 유지보수 반영함.</t>
    <phoneticPr fontId="1" type="noConversion"/>
  </si>
  <si>
    <t>• 5. 설계기준.pdf
• 10. 주요 장비별 형식, 규격 및 수량 검토보고서.pdf
- 위례선 운행시 분야별 예상 문제점 및 해결방안 검토
- 관련기준:
• 철도시설 유지관리지침(국토교통부 고시)
• 철도안전법 제38조(철도안전관리체계)
• 도시철도법 제31조(안전점검)</t>
    <phoneticPr fontId="1" type="noConversion"/>
  </si>
  <si>
    <t>EMI/EMC 시험평가에 의한 도로신호설비 전자파 성능 확보.</t>
    <phoneticPr fontId="1" type="noConversion"/>
  </si>
  <si>
    <t>• 5. 설계기준.pdf
• 10. 주요 장비별 형식, 규격 및 수량 검토보고서.pdf
- 위례선 운행시 분야별 예상 문제점 및 해결방안 검토
- 관련기준:
• 전자파법(전자파장해 방지기준) 고시
• 철도시설의 기술기준(국토교통부 고시)
• 도시철도 신호제어 설계기준(KDS 47 70 00)</t>
    <phoneticPr fontId="1" type="noConversion"/>
  </si>
  <si>
    <t>국내외 SIL4 인증제품 적용 필요(신호분야) 반영함.</t>
    <phoneticPr fontId="1" type="noConversion"/>
  </si>
  <si>
    <t>• 5. 설계기준.pdf
• 10. 주요 장비별 형식, 규격 및 수량 검토보고서.pdf
- 위례선 서울교통공사 운영 관련 요구 사항
- 관련기준:
• 철도안전법 제26조(철도용품 형식승인)
• IEC 62279 철도신호 안전 소프트웨어 기준(SIL4)
• 도시철도 신호제어 설계기준(KDS 47 70 00)</t>
    <phoneticPr fontId="1" type="noConversion"/>
  </si>
  <si>
    <t>철도종합시험운행 시행지침에 의한 기준일 산정 및 반영 필요 반영함.</t>
    <phoneticPr fontId="1" type="noConversion"/>
  </si>
  <si>
    <t>• 5. 설계기준.pdf
• 10. 주요 장비별 형식, 규격 및 수량 검토보고서.pdf
- 위례선 종합시운전계획 검토 보고
- 관련기준:
• 철도건설법 제8조(종합시험운행)
• 철도종합시험운행 시행지침(국토교통부 고시)
• 도시철도법 제21조(완공 검사)</t>
    <phoneticPr fontId="1" type="noConversion"/>
  </si>
  <si>
    <t>설계 항목 변경에 따른 실행 및 하도계약단가, 견적 비교 검토 수행, 트램의 경우 기존 도로에 신설하는 것으로, 기존 우선신호 규격등을 최대한 활용하고 원활한 I/F가 될 수 있도록 구성, 화성시 경찰청과 동탄2신도시 도로에 적합한 우선신호 방안 마련하여 유기적으로 협의 추진함.</t>
    <phoneticPr fontId="1" type="noConversion"/>
  </si>
  <si>
    <t>• 5. 설계기준.pdf
• 10. 주요 장비별 형식, 규격 및 수량 검토보고서.pdf
- 2016Contingency_D8 보성고속철도 1공구
- 관련기준:
• 공사계약 일반조건(기획재정부 계약예규)
• 건설기술진흥법 제49조(설계변경)
• 도시철도건설규칙(국토교통부령)</t>
    <phoneticPr fontId="1" type="noConversion"/>
  </si>
  <si>
    <t>교차로 도로신호 설계 시 돌발유고검지장치(앞막힘 인지)와 트램접근알림음성안내장치의 세부 물량, PoE 스위치, 관로 굴착 내역을 도서에 전수 반영함.</t>
    <phoneticPr fontId="1" type="noConversion"/>
  </si>
  <si>
    <t>공사 전 배관 루트 지장물 간섭을 교차 검측하고, 설비 안착 후 모의 테스트로 음성 경고 및 돌발 검지 경보가 관제실로 전송되는지 연동 검사를 완수함.</t>
    <phoneticPr fontId="1" type="noConversion"/>
  </si>
  <si>
    <t>• 5. 설계기준.pdf
• 10. 주요 장비별 형식, 규격 및 수량 검토보고서.pdf
- 입찰안내서 / 노면전차시설 설계 가이드라인
- 관련기준:
- 노면전차 시설 설계 가이드라인
- 경찰청 교통신호제어기 표준규격
- 철도설계기준(신호제어편)</t>
    <phoneticPr fontId="1" type="noConversion"/>
  </si>
  <si>
    <t>설치 후 정전 모사 수동 핸들 동작 시험을 실시하고, 궤도 점유 시 전환 불가 여부를 확인하는 전기·기계적 쇄정(Locking) 시험을 완료함.</t>
    <phoneticPr fontId="1" type="noConversion"/>
  </si>
  <si>
    <t>• 5. 설계기준.pdf
• 10. 주요 장비별 형식, 규격 및 수량 검토보고서.pdf
- [입찰안내서 명시]
분기부의 안전을 위해 선로전환기 전환방지(정위, 반위)를 위한 포인트 차단회로를 구성하여야 한다. 선로전환기 제어는 차상 및 종합관제실에서 가능해야하며, 정전시에도 수동으로 선로전환기의 취급이 가능하도록 구축하여야 한다.
- 관련기준:
- 도시철도 신호설비 설치기준
- 노면전차 시설 설계 가이드라인
- 철도설계기준(신호제어편)</t>
    <phoneticPr fontId="1" type="noConversion"/>
  </si>
  <si>
    <t>혼용 차로 매립 선로전환기 설계 시 중차량 윤하중·진동 대비 보호 덮개(어스박스 상판) 강성을 확보하고, 텅레일 기계적 밀착기능 및 포인트 차단회로를 도면에 명시함.</t>
    <phoneticPr fontId="1" type="noConversion"/>
  </si>
  <si>
    <t>선로전환기 시공 시 덮개·도로면 단차를 일치시켜 충격을 줄이고, 밀착 검지기(Detector)를 세팅해 틈새 발생 시 관제실에 즉각 장애 표출되도록 시험함.</t>
    <phoneticPr fontId="1" type="noConversion"/>
  </si>
  <si>
    <t>• 5. 설계기준.pdf
• 10. 주요 장비별 형식, 규격 및 수량 검토보고서.pdf
- [노면전차시설 설계 가이드라인]
선로전환기장치 상부에 주행하는 자동차의 무게와 진동을 감안하여 충분한 강성을 갖추어야 하며, 첨단부 밀착기능을 갖추어야 한다. (또한) 선로전환기 전환방지(정위, 반위)를 위한 포인트 차단회로를 구성하여야 한다.
- 관련기준:
노면전차시설 설계 가이드라인 (선로전환기장치 강성 및 첨단부 밀착 기준)</t>
    <phoneticPr fontId="1" type="noConversion"/>
  </si>
  <si>
    <t>차량 일상/정기 검수 시 하부 기기 풀림 방지 너트 및 분할핀 부착 상태를 이중 전수 점검하고, 선로변 감지 센서 및 외함에 보호 커버(강재 가드)를 시공하여 낙하물에 의한 물리적 충격을 방지함.</t>
  </si>
  <si>
    <t>트램 전방 감시 카메라(CCTV)와 관제실 장애물 인지 알람 시스템의 무선 패킷 전송을 실측하고, 시운전 중 모의 장애물 감지 시 자동 감속 및 관제 경보 사이클 작동 여부를 반복 실증함.</t>
  </si>
  <si>
    <t>토목/건축 완공 후, 차량한계 검측용 게이지 틀(Car Clearance Gauge Frame)을 장착한 시험 트램을 주행시켜 선로변 신호기 및 표지 지주 등 현장 설비와의 물리적 간섭(여유한계 저촉) 여부를 전수 통과 실측 검증함.</t>
  </si>
  <si>
    <t>전자연동장치(CBI) S/W에 관제사의 개별 진로 해쇄 및 오취급 방지 인터록(Interlock) 회로를 탑재하고, 관제사 대상 비상 수동 취급 수순과 로컬 제어반(LCP) 절체 대응 모의 비상 대책 훈련을 실시함.</t>
  </si>
  <si>
    <t>루프 코일/차축검지기 현장 시공 후, 선행 트램 점유 폐색 구간 내에 후속 트램 오진입을 가정한 주행 시험을 실시하여 지상 신호기 적색 현시 및 차상 ATP 비상 제동 강제 개입 기능이 정상 작동함을 검증함.</t>
  </si>
  <si>
    <t>교차로 레이더/영상식 돌발유고감지 장치 시공 시 사각지대 제거 화각 튜닝을 수행하고, 교차로 내 정지 차량 및 보행자 돌발 침입 모사 시 관제실 실시간 경보 팝업 및 열차 제어 연동을 실증 테스트함.</t>
  </si>
  <si>
    <t>현장 선로전환기 제어함 내 고성능 서지보호기(SPD)를 설치하고 등전위 접지 본딩 저항을 법적 기준치 이하로 시공한 후, 인위적 대지 서지 인입 모의시험을 통해 제어 신호 오구동 방지 성능을 입증함.</t>
  </si>
  <si>
    <t>도로-트램 통신용 WiFi/이동통신 모듈 안테나 지향각 및 수신 감도(RSSI)를 튜닝하고, 통신 패킷 단절/지연 발생 시 기본 신호 모드로 안전하게 천이(Fail-Safe)되는 동작 시퀀스를 종합시험함.</t>
  </si>
  <si>
    <t>시운전 단계에서 기상 악화(시간당 30mm 이상 폭우 등) 상황을 반영한 관제소-기관사 합동 감속 주행 훈련을 수행하고, 빗물 차단용 신호기 차양막(Sun-shield) 부착 및 고휘도 LED 점등 시인성을 현장 확인 검수함.</t>
  </si>
  <si>
    <t>선로 상태 모니터링 계측 패킷 전송 주기를 최적화하고, 가상 레일 균열/변형 신호 주입 시 중앙 관제반 및 ATP 시스템 상 즉각적인 이상 정지 경보 연동 여부를 전수 실증함.</t>
  </si>
  <si>
    <t>개통 전 모든 도로 및 분기부 신호 표지판의 고정 앵커 볼트 토크 검측 및 야간 반사 성능을 검수하고, 유지보수 매뉴얼 내 분기별 반사 휘도 정밀 점검 절차를 반영 규정함.</t>
  </si>
  <si>
    <t>도로신호제어기 시공 후 인근 급속 충전기 및 차량 구동 시 발생하는 전자파 세기를 계측(EMI/EMC 공인 시험)하고, 기준치 이하 방출 및 오동작 무유발을 검증함.</t>
  </si>
  <si>
    <t>현장 납품 검수 시 공인 안전인증기관의 SIL4 인증 증명서(Safety Case) 원본을 전수 검조하고, 현장 시운전 시 하드웨어/소프트웨어 결함 주입(Fault Injection)을 통해 Fail-Safe 정상 동작 여부를 확인 승인함.</t>
  </si>
  <si>
    <t>철도종합시험운행 단계별 평가지표 점검회의 체계를 주간 단위로 시행하고, 시설물 검증시험 도중 도출된 보완 요구사항(Punch List)의 100% 해소 여부를 감리/발주처와 검증 관리하는 절차를 수행함.</t>
  </si>
  <si>
    <t>변경된 ATP 주파수 및 통신 방식에 부합하는 차상-지상 무선 연동 시험(SAT)을 수행하고, 화성시 교통센터 지자체 시스템 연동 승인 수검을 최종 완료해 개통 지연을 예방함.</t>
  </si>
  <si>
    <t>상</t>
    <phoneticPr fontId="1" type="noConversion"/>
  </si>
  <si>
    <t>· 상대식 승강장 내 선로 무단 횡단으로 인한 인명 안전사고 리스크를 방지하였는가?
- 2공구 상대식 승강장(S01, S02 정거장 등)에서 반대 방향 차편 환승 및 퇴장을 위해 승객이 선로를 직접 보행 횡단해야 하나, 안전 방호 울타리 및 무단 횡단 경고 표시장치가 누락되어 열차 충돌 사고 리스크.</t>
    <phoneticPr fontId="1" type="noConversion"/>
  </si>
  <si>
    <t>1. 선로 횡단 안전시설 설치
 - 횡단 안전 확보: 상대식 승강장 선로 횡단 구간에 자동 차단 게이트·경고등·바닥 유도 표시를 설치하고, 열차 접근 시 횡단 금지 안내 시스템을 적용하였음.</t>
    <phoneticPr fontId="1" type="noConversion"/>
  </si>
  <si>
    <t>소방</t>
    <phoneticPr fontId="1" type="noConversion"/>
  </si>
  <si>
    <t>114 지상 변전소 전면 유지관리 가도 폭원 및 중고압 배전반 교체 장비 운반용 대형 트레일러(5톤 이상)의 회전 반경 기하구조 궤적 분석</t>
    <phoneticPr fontId="1" type="noConversion"/>
  </si>
  <si>
    <t>통신</t>
    <phoneticPr fontId="1" type="noConversion"/>
  </si>
  <si>
    <t>차량기지 시설배치계획</t>
    <phoneticPr fontId="1" type="noConversion"/>
  </si>
  <si>
    <t>증축 접속부(기둥, 슬래브 단부)에 철근 이음용 커플러나 앵커를 사전 매립해 보양하고, 지하시설물(오수·우수관 등) 시공 시 확장 부지를 우회하도록 좌표를 준공도면에 기록함. -&gt; 내용수정</t>
    <phoneticPr fontId="1" type="noConversion"/>
  </si>
  <si>
    <t>· 노출콘크리트 마감 상단에 물끊기(Drip) 홈이나 두겁석(Coping) 상세가 반영되었는가?
- [고덕산단폐수처리장] 외부 콘크리트 구조물이 노출콘크리트(경관용)로 설계되었으나, 우천 시 상부 토사 유실로 벽면 오염(경관 훼손)이 발생함에 따라 미관 저해 및 구조물 보강 비용을 유발하는 리스크.</t>
  </si>
  <si>
    <t>토목구조</t>
    <phoneticPr fontId="1" type="noConversion"/>
  </si>
  <si>
    <t>공사관리</t>
    <phoneticPr fontId="1" type="noConversion"/>
  </si>
  <si>
    <t>2공구 망포변전소 인근 점성토 분포 지역 내 장비 궤도 주행 차선에 두께 500mm 쇄석 다짐 치환을 적용하여 장비 주행성(Trafficability) 지수 및 콘크리트 타설 펌프카 지지력 보완</t>
    <phoneticPr fontId="1" type="noConversion"/>
  </si>
  <si>
    <t>입찰 TF팀
김재형 부장
김상우 사원</t>
  </si>
  <si>
    <t>입찰 TF팀
김재형 부장
김상우 사원</t>
    <phoneticPr fontId="1" type="noConversion"/>
  </si>
  <si>
    <t>입찰 TF팀
하영민 부장
김종모 차장</t>
  </si>
  <si>
    <t>입찰 TF팀
하영민 부장
김종모 차장</t>
    <phoneticPr fontId="1" type="noConversion"/>
  </si>
  <si>
    <t>입찰 TF팀
김영환 부장
이동욱 차장</t>
    <phoneticPr fontId="1" type="noConversion"/>
  </si>
  <si>
    <t>용지경계 침범,  패널옹벽, 높이 10m~20m,이하로 계획하여 소규모 지하안정영향평가로 진행될수 있도록 계획함</t>
    <phoneticPr fontId="1" type="noConversion"/>
  </si>
  <si>
    <t xml:space="preserve">오산천교 및 변전소 구간에 대해 국토교통부 설계 기준(위험 구간 50m 간격)을 만족하는 추가 시추(3공) 및 공내시험 반영
추가시추 계획수립, </t>
    <phoneticPr fontId="1" type="noConversion"/>
  </si>
  <si>
    <t xml:space="preserve"> -변전소 위치변동결과에 따라, 지반조사결과 및 인접구조물 이격거리를 고려하여, 공법 선정, 기존변전소 위치 지장물 심도확인.</t>
    <phoneticPr fontId="1" type="noConversion"/>
  </si>
  <si>
    <t xml:space="preserve"> -변전수 위치 ,지상 또는 지하설치 여부 결정에 따라, 지장물 이설 및 매달기 공법 결정, 심도조사(GPR)</t>
    <phoneticPr fontId="1" type="noConversion"/>
  </si>
  <si>
    <t>· 하천 구간 교량 기초 굴착 시 수위 상승으로 인한 가물막이 붕괴 및 수질 오염 민원 리스크를 방지하였는가?
- 오산천 통과 교량 기초(P17, P18) 터파기 시, 계획 우기철의 하천 수위 상승(2.0~3.0m) 대비 가물막이 강성이 부족해 침수 및 붕괴 우려가 있고 수질 탁수 발생으로 공사가 중단될 리스크.</t>
    <phoneticPr fontId="1" type="noConversion"/>
  </si>
  <si>
    <t>오산천 내 시공 시 계획 홍수 시 유량 속도(3.5m/s)에 저항할 수 있도록 널말뚝 배면에 보강용 사선 버팀보(Strut)를 추가하고 하류 50m 지점에 이중 오탁방지막 설치 반영</t>
    <phoneticPr fontId="1" type="noConversion"/>
  </si>
  <si>
    <t xml:space="preserve"> 하류 50m 지점에 이중 오탁방지막 설치 반영</t>
    <phoneticPr fontId="1" type="noConversion"/>
  </si>
  <si>
    <t>1공구 노반 다짐도 강화를 위해 궤도 하부 다짐 시방서에 현장 실시간 침하량 측정 지수(Ev2 측정 장비 의무화)와 다짐 관리 다중 합격 기준(95% 이상) 반영 (집행단계)
공사중 시험비용 반영</t>
    <phoneticPr fontId="1" type="noConversion"/>
  </si>
  <si>
    <t>2공구 공기 2년 초과시 지하 굴착 구간 가설 흙막이에 부식 내구성이 강한 강재 토공판 시공 규격을 명시하고, 엄지말뚝 배면 보이드 구간에 그라우팅 충진 상세 설계 추가
2년 이내시, 목재토류판 적용</t>
    <phoneticPr fontId="1" type="noConversion"/>
  </si>
  <si>
    <t>· 가시설 도면과 수량산출서 물량 불일치로 인한 예산 초과 및 계약 지연 리스크를 방지하였는가?
- 망포변전소 가시설 설계 도면 상 명시된 흙막이 치수와 물량내역서(BOQ) 상의 지반 굴착량, 강재 버팀보(Strut, Wale) 등 가시설 자재 수량이 일치하지 않아 공사비 조율 지연 및 공정 차질 리스크.</t>
    <phoneticPr fontId="1" type="noConversion"/>
  </si>
  <si>
    <t>망포변전소 가시설 도면과 자재 수량산출서(엄지말뚝 강재 톤수, 버팀보 미터수) 간의 오차를 0%로 정합화하고 설계 내역서 조율 완료</t>
    <phoneticPr fontId="1" type="noConversion"/>
  </si>
  <si>
    <t>가설 띠장 및 코너 스트럿 보강 플레이트 등의 세부 자재 수량을 정비하여 도면과 일치시키고 수량산출서 최종 정합성 보완 완료</t>
    <phoneticPr fontId="1" type="noConversion"/>
  </si>
  <si>
    <t>· 궤도 직하부 상부 노반의 반복 하중 지지력 저하로 인한 지반 균열 및 변형 리스크를 방지하였는가?
- 트램 콘크리트 궤도 바로 아래 상부 노반 다짐 시 반복평판재하시험에 따른 2차 변형률계수와 1차 변형률계수 비율(Ev2/Ev1)이 기준(2.3 미만)을 초과하여, 트램 반복 하중으로 인한 노반 피로 누적 균열 리스크.
- 트램 콘크리트 궤도기초 하부 노반의 현장 다짐도가 국가 철도 노반 품질 기준(Ev2 60MN/㎡ 이상, Ev2/Ev1 2.7 미만)에 미달하여 트램 운행 시 하중 지지력 저하 및 노반 부등침하 발생 리스크.</t>
    <phoneticPr fontId="1" type="noConversion"/>
  </si>
  <si>
    <t>지하매설물 GPR 탐사 및 계측 모니터링 반영: 굴착 작업 전 가설 노선 전 구간에 GPR 정밀 물리탐사를 반영하고 흙막이벽 변위 계측기를 설치하여 사고 리스크를 헷지함
대형 지장물 회피함(확인)</t>
    <phoneticPr fontId="1" type="noConversion"/>
  </si>
  <si>
    <t xml:space="preserve"> -물리탐사 수행 이후 단층파쇄대 여부 확인 필요, 말뚝구간, 얕은기초 구간 구분
</t>
    <phoneticPr fontId="1" type="noConversion"/>
  </si>
  <si>
    <t>가설 흙막이 지보공 구조 계산서 내 강재 스트러트(Strut, H-300x305x15/15) 약축 방향의 허용 축하중 및 수평 버팀보 지지 간격(설계 간격 3.0m 이하)의 구조 안전성 검토서 대조 확인</t>
    <phoneticPr fontId="1" type="noConversion"/>
  </si>
  <si>
    <t>강재 스트러트 부재의 약축 방향 좌굴 방지를 위한 수직/수평 가새(Bracing, L-90x90x9t)와 버팀보 중간 지지 기둥 간의 일체화 볼트 조인트 보강 상세도를 작성하고 구조 계산을 통해 약축 좌굴 안전율 1.5 이상 확보 설계 반영</t>
    <phoneticPr fontId="1" type="noConversion"/>
  </si>
  <si>
    <t>안전</t>
    <phoneticPr fontId="1" type="noConversion"/>
  </si>
  <si>
    <t xml:space="preserve">토질 및 기초_설계추진방향보고_하천통과 및 인접구조물을 고려한 가시설 적정성 검토_rev.00_260602.pdf </t>
    <phoneticPr fontId="1" type="noConversion"/>
  </si>
  <si>
    <t>· 차량기지 내 산사태 위험구간에 대한 비탈면 안정성을 체크하였는가?
- 기본설계 누락. 차량기지 인접한 비탈면이 산사태위험지역 1등급, 소규모 지하안전영향평가 대상</t>
    <phoneticPr fontId="1" type="noConversion"/>
  </si>
  <si>
    <t xml:space="preserve"> -가설공법 선정시 확인해야 할 사항들 정리</t>
    <phoneticPr fontId="1" type="noConversion"/>
  </si>
  <si>
    <t>일반 통행 차량용 차도 및 보도 상부에 낙하물 방지용 2중 그물망(안전망) 대신, 수평 휨강도가 우수한 1.6t 이상 아연도금 강판 구조 방호선반(System Protection Shed)을 지지 비계 구조 파이프 브래킷에 일체식 볼트 결합하도록 도면과 상세 구조 검토 및 자재 내역에 반영</t>
    <phoneticPr fontId="1" type="noConversion"/>
  </si>
  <si>
    <t>1. 컴퓨터인상공법 적용으로 교량 상부 손상 방지
 - 동조제어 인상: 변위 및 하중의 3중 제어가 가능한 컴퓨터인상공법을 설계에 적용하여 인상 시 부등침하 오차 ±0.2mm 이내로 유지해 거더부 균열을 원천 방지하였음.</t>
    <phoneticPr fontId="1" type="noConversion"/>
  </si>
  <si>
    <t>1. 코핑 부모멘트부 최적 보강 적용
 - 외부강선 보강공법 적용: 측면 보강 효과가 크고 구체 손상을 최소화하는 외부강선 긴장 보강공법을 적용하여 허용 부모멘트 내력을 확보하였음.</t>
    <phoneticPr fontId="1" type="noConversion"/>
  </si>
  <si>
    <t>1. 치동천1교 시공 위치의 지질 주상도 분석 및 교각 기초 지반 지지력 계산서 정밀 검토 (토질 및 기초 분야 검토)
2. 트램 및 일반 차량 연행 하중 재하 시의 전도 모멘트 및 지반 경계 조건 안전율 산정</t>
    <phoneticPr fontId="1" type="noConversion"/>
  </si>
  <si>
    <t>1. 교각 기초 안정성 강화
 - 기초면적 확대 반영: 교각 기초면적을 교축 직각 방향으로 확대 설계하여 지지력을 확보하고 전도 리스크를 완전 배제하였음.
2. 기존교량 보강공법적용시 기존 교량 구조물 안정성 검토 해석 수행</t>
    <phoneticPr fontId="1" type="noConversion"/>
  </si>
  <si>
    <r>
      <t xml:space="preserve">· </t>
    </r>
    <r>
      <rPr>
        <sz val="10"/>
        <color rgb="FFFF0000"/>
        <rFont val="맑은 고딕"/>
        <family val="3"/>
        <charset val="129"/>
      </rPr>
      <t>교량-토공 경계부 종단 변경 시</t>
    </r>
    <r>
      <rPr>
        <sz val="10"/>
        <color theme="1"/>
        <rFont val="맑은 고딕"/>
        <family val="3"/>
        <charset val="129"/>
      </rPr>
      <t xml:space="preserve"> 도상콘크리트와 접속슬래브 간섭으로 인한 균열 리스크를 방지하였는가?
- 기존 교량과 토공 구간 경계부의 종단 경사 변경 시 궤도 도상콘크리트(TCL)가 접속슬래브 끝단 구체와 물리적으로 충돌 및 간섭되어 도상 균열이 발생할 리스크.</t>
    </r>
    <phoneticPr fontId="1" type="noConversion"/>
  </si>
  <si>
    <t>1. 기존 교대 끝단 종단 구배선과 궤도 도상콘크리트층(TCL) 마감 높이 설계 도서 대조
2. 접속슬래브 단부 상부 도로 포장 마감선 및 도상 경계 이격 상세 치수 검사
3. 간섭부 깎기 시 주변 배수구 및 케이블 공동구 지장물 보호 대책서 확인</t>
    <phoneticPr fontId="1" type="noConversion"/>
  </si>
  <si>
    <t>·  현장 진입로 및 작업 공간(현장 여건)을 사전 조사하여, 대형 크레인 등 중량물 양중 장비의 진입 및 세팅이 물리적으로 가능한 가설 공법인가?
- 대형 크레인 진입 및 아웃리거 확장을 위한 작업 공간을 확보하지 못할 위험이 공간 제약으로 인해 규격 미달의 소형 장비를 무리하게 투입하거나 지내력이 확보되지 않은 곳에 세팅할 경우, 중량물(교량 거더 등) 인양 중 장비가 전도되는 중대재해가 발생하거나, 장비 재수급으로 인한  공기 지연</t>
    <phoneticPr fontId="1" type="noConversion"/>
  </si>
  <si>
    <t>· 교각 기초 편심 하중에 따른 직각방향 부모멘트 균열 및 구조적 결함 리스크를 방지하였는가?
- 신리천2교 교각 기초 설계 시 트램 편선 운행에 따른 편심 하중 가중으로 기초판 교축 직각방향에 허용 범위를 초과하는 부모멘트 균열이 발생할 리스크.</t>
    <phoneticPr fontId="1" type="noConversion"/>
  </si>
  <si>
    <t>· 교대 뒷채움재 다짐 부족으로 인한 접속부 부등침하 및 궤도 틀림 리스크를 방지하였는가?
- 접속슬래브 하부 뒷채움 시공 시 다짐 장비 진입 곤란 및 배수 불량으로 뒷채움재 다짐도가 불량하여, 트램 하중 작용 시 부등침하에 의한 궤도 단차(3mm 이상)가 발생할 리스크.</t>
    <phoneticPr fontId="1" type="noConversion"/>
  </si>
  <si>
    <t>오산천교 및 상부 구조의 압출/가설 시 단계별 시뮬레이션과 시공 안정성 검토서(횡방향 편심, 전단력 검토) 분석</t>
    <phoneticPr fontId="1" type="noConversion"/>
  </si>
  <si>
    <t xml:space="preserve"> -멀티박스 적용시 리스크 헷지 가능</t>
    <phoneticPr fontId="1" type="noConversion"/>
  </si>
  <si>
    <t>· 지하차도 박스 구간 통과 시 내부 기둥과 차량 간의 건축한계 저촉 리스크를 방지하였는가?
- 능동지하차도 박스 구간 통과 시 중앙 기둥과 트램 차체 외측 간의 물리적 이격거리(원안 150mm)가 기준 이격(최소 200mm)에 미달하여 노면전차 가이드라인을 위배하는 안전 리스크.</t>
    <phoneticPr fontId="1" type="noConversion"/>
  </si>
  <si>
    <t>토질 및 기초</t>
    <phoneticPr fontId="1" type="noConversion"/>
  </si>
  <si>
    <t>· 교각시공 시 작업자 발판 및 거푸집 지지를 위한 가설 벤트가 반영되었는가?
- 교각 상부 구조물 시공을 위한 벤트 기 반영</t>
    <phoneticPr fontId="1" type="noConversion"/>
  </si>
  <si>
    <t>· 정거장 확장형 캐노피 지지 원형 기둥 기초 부의 모멘트 저항력 부족으로 전도 리스크를 방지하기 위해 관련 기준 준수 및 설계 적정성을 검토하였는가?
- 정거장 확장형 캐노피 지지 원형 기둥 기초 부의 모멘트 저항력 부족으로 전도로 인해 안전사고 및 추가 비용을 유발하는 리스크.</t>
    <phoneticPr fontId="1" type="noConversion"/>
  </si>
  <si>
    <t>건축</t>
    <phoneticPr fontId="1" type="noConversion"/>
  </si>
  <si>
    <t>차량기지(검수)</t>
    <phoneticPr fontId="1" type="noConversion"/>
  </si>
  <si>
    <t>차량기지(건축)</t>
    <phoneticPr fontId="1" type="noConversion"/>
  </si>
  <si>
    <t>차량기지(통신)</t>
    <phoneticPr fontId="1" type="noConversion"/>
  </si>
  <si>
    <t>차량기지(기계)</t>
    <phoneticPr fontId="1" type="noConversion"/>
  </si>
  <si>
    <t>차량기지(부대토목)</t>
    <phoneticPr fontId="1" type="noConversion"/>
  </si>
  <si>
    <t>· 차량기지 부지 계획고 설정 부적정으로 인한 대규모 절성토 불균형 및 사토 처리에 따른 예산 초과 리스크를 방지하였는가?
- 기본설계상 기지 계획고 설정 오류로 과도한 깎기/쌓기 물량 불균형이 발생하고, 외부 사토 및 토사 유입 비용 증가와 인접 사면 대규모 깎기 옹벽(59.6억 원) 설치로 인한 공사비 상승 리스크.</t>
    <phoneticPr fontId="1" type="noConversion"/>
  </si>
  <si>
    <t>차량기지(궤도)</t>
    <phoneticPr fontId="1" type="noConversion"/>
  </si>
  <si>
    <t>차량기지(궤도,철도계획)</t>
    <phoneticPr fontId="1" type="noConversion"/>
  </si>
  <si>
    <t>차량기지(신호)</t>
    <phoneticPr fontId="1" type="noConversion"/>
  </si>
  <si>
    <t>차량기지(전기,건축)</t>
    <phoneticPr fontId="1" type="noConversion"/>
  </si>
  <si>
    <t>차량기지(기계,건축)</t>
    <phoneticPr fontId="1" type="noConversion"/>
  </si>
  <si>
    <t>· 차량기지 용지 편입면적 과다 계획으로 인한 보상비 과다 지출 및 수용 지연 리스크를 방지하였는가?
- 기본계획 대비 수립된 용지 편입면적(74,772㎡)의 과도 설정으로 사유지 보상비 과다 지출 및 토지 수용 지연으로 인한 전체 공정 차질 리스크.</t>
    <phoneticPr fontId="1" type="noConversion"/>
  </si>
  <si>
    <t>· 차량기지 구내 도로 폭원 협소로 인한 소방차 등 비상 차량 진입 불가능 리스크를 방지하였는가?
- 차량기지 내 화재 발생 또는 대형 검수 설비 교체 시 구내 진입 도로 폭 부족 및 도로 곡선부 회전반경 미달로 소방차 및 대형 트레일러 차량의 진입이 불가능한 리스크.</t>
    <phoneticPr fontId="1" type="noConversion"/>
  </si>
  <si>
    <t>1.차량기지 내 주요 건물 접근 및 원활한 차량 교행을 위한 진입도로 및 구내 주도로의 적정 폭원(차로폭 등) 검토.
2.화재 및 이례상황 발생 시 소방차 등 대형 비상 차량이 원활하게 진입할 수 있도록 도로 폭원 및 회전 반경 확보 여부 확인.</t>
    <phoneticPr fontId="1" type="noConversion"/>
  </si>
  <si>
    <t xml:space="preserve">1.차로폭 확대 적용: 차량기지 내 주요 건물 접근성 향상 및 차량 교행, 보행자 안전을 고려하여 기존 기본설계 상 다소 협소했던 진입도로 및 구내 주도로의 차로폭(5.5m~5.75m)을 '6.0m'로 일괄 확대 적용하는 대책을 수립함
2.구체적 폭원 제원 확립: 진입도로 및 주도로의 총 폭원을 '8.5m (차로폭 6.0m, 길어깨 1.0m, 보도 1.5m)'로 확정하여 차량기지 내부 도로 폭원 협소 리스크를 구조적으로 헷지 (이면도로는 폭 5.5m 적용)
</t>
    <phoneticPr fontId="1" type="noConversion"/>
  </si>
  <si>
    <t>임시검사선 옥상점검대 설치 시 동시인양장치와의 간섭에 대한 사전 검토를 수행하고, 작업자 고소 추락방지용 안전바/로프 상세 설계 반영</t>
    <phoneticPr fontId="1" type="noConversion"/>
  </si>
  <si>
    <t>관제실 중앙 제어반실에서 실시간 장비 동작 상태 감시 및 원격 비상 차단이 가능하도록 광전송 통신 인터페이스 연동 설계 반영</t>
    <phoneticPr fontId="1" type="noConversion"/>
  </si>
  <si>
    <t>1. 차량기지 인접 하천 수계의 계획홍수위 높이 및 배출구 외수위 시뮬레이션 수문 데이터 분석 / 2. 기지 바닥 마감 계획 FH고와 하천 홍수위 간 최소 여유고(0.5m 이상) 충족 여부 횡단면도 검사 / 3. 자연배수 곤란 시 기지 내 별도 우수 배수 펌프장 계획 및 역류 방지 밸브 규격 타당성 검토</t>
  </si>
  <si>
    <t>하천 합류지점에 배수 방류용 플랩게이트(Flap Gate) 및 역류 방지 밸브를 설계에 반영하고 기지 성토(FH 151.0m)를 확보하여 집중호우 시 구내 침수 리스크 방지 설계</t>
    <phoneticPr fontId="1" type="noConversion"/>
  </si>
  <si>
    <t>유치선 내 분기부 차량접촉한계 지점과 신호기/차량 간 이격거리가 운행속도별 비상제동거리를 확보하는지 도면 및 배선 계획 대조</t>
    <phoneticPr fontId="1" type="noConversion"/>
  </si>
  <si>
    <t>유치선 분기부 내 신호기 및 진로표시기 설치 공간(402mm 이상)을 감안한 유치선 간 중심선 간격 설계 기준 준수 여부 확인</t>
    <phoneticPr fontId="1" type="noConversion"/>
  </si>
  <si>
    <t>유치선 분기부 신호기 설치 공간을 확보하고 건축한계 침범을 방지하기 위해 유치선 간 중심선 간격을 3,600mm 이상으로 넓히는 배선계획 변경 설계 반영</t>
    <phoneticPr fontId="1" type="noConversion"/>
  </si>
  <si>
    <t>선로 종단부 설계 시 트램 제한속도·중량을 고려해 유압식·마찰식 차막이 선정의 타당성 및 범퍼 높이에 맞춘 타격 중심고(R.L+650mm 등) 도면 정합성 검토</t>
    <phoneticPr fontId="1" type="noConversion"/>
  </si>
  <si>
    <t>차량 세척 및 정비 시 발생하는 유류 및 페인트 폐수가 외부 우수관으로 직결 유입되지 않도록 전용 오일집수정, 차단 트렌치 및 유수분리기 설치 여부 검토</t>
    <phoneticPr fontId="1" type="noConversion"/>
  </si>
  <si>
    <t>기지 정비고 차량 세척 및 오정비 구역 내 기름 유출 및 폐수 무단 방류를 차단하기 위해, 위험물보관소(유류고) 및 세척고 바닥에 오일 트렌치와 차단형 오일집수정(맹암거 차수 배관망)을 설계에 반영하고 유수분리 시설로 연결하도록 계획하여 수질 오염 리스크를 헷지함</t>
    <phoneticPr fontId="1" type="noConversion"/>
  </si>
  <si>
    <t>1.차량기지 부지계획고(FH)에 따른 깎기/쌓기 물량 불균형 및 사토 발생량(토사 반출량) 적정성 검토.
2.종점부 비탈면 높이에 따른 대규모 깎기부 옹벽 설치 규모(면적/연장) 및 구조물 공사비의 적정성 확인.
3.부지계획고 높이 변화에 따른 토공 공사비(사토처리비 포함)와 구조물 공사비(옹벽, U-TYPE 등)의 증감을 종합적으로 분석하여 경제적인 최적 부지계획고 산정</t>
    <phoneticPr fontId="1" type="noConversion"/>
  </si>
  <si>
    <t>· 검수고 내 별도의 차체작업장 미확보 및 동시인양장치 활용 시 발생할 수 있는 안전사고 및 작업성 저하 리스크를 방지하였는가?
- 기본설계 배치 상 별도의 차체작업장이 확보되지 않아 동시인양장치 계획. 이 경우 차량이 공중에 인양된 불안정한 상태에서 옥상 기기(냉방기, 배터리 등) 작업을 진행해야 하므로 안전사고 우려가 높음, 동시인양장치로 차체를 든 상태에서는 천정크레인 작업을 동시에 할 수 없어 작업 효율이 크게 떨어짐</t>
    <phoneticPr fontId="1" type="noConversion"/>
  </si>
  <si>
    <t>검수 시 차량 분리 및 정비의 안정성을 확보하기 위해 전용 차체작업장 공간 확보 여부를 검토하고, 작업용 천정크레인, 차체인양용 지그(테클), 차체받침대 등의 적정 배치를 확인</t>
    <phoneticPr fontId="1" type="noConversion"/>
  </si>
  <si>
    <t>· 차량 특성과 맞지 않는 불필요한 공작기계(검수장비)의 과다 반영으로 인한 공사비 및 유지관리비 증가 리스크를 검토하였는가?
- 기본설계 내역서에는 중수선 공장 검수장비로 차륜선반, 윤축프레스, 보통선반, 만능밀링기 등 공작기계 7종 반영. 그러나 트램 차량의 차축은 기존 차륜선반(센터 척킹 방식)으로 가공할 수 없으며, 차량 주재질이 알루미늄이나 스테인리스여서 해당 기계들의 실제 활용도가 낮고 별도의 장비 운영 인력만 낭비될 수 있음</t>
    <phoneticPr fontId="1" type="noConversion"/>
  </si>
  <si>
    <t>트램 차량의 운행 조건 및 재질 특성에 맞춰 내역서에 반영된 공작기계 중 불필요하거나 과잉 설계된 검수장비가 있는지 식별하고, 제외 및 대체 방안 검토</t>
    <phoneticPr fontId="1" type="noConversion"/>
  </si>
  <si>
    <t>1. 내역서에 반영되었던 공작기계 7종을 설계에서 전면 제외하고, 유지보수는 '차륜전삭기'를 이용하거나 필요시 '전문 가공업체 외주 가공'으로 대체하는 방안 적용
2. 이를 통해 차량기지 검수장비 공사비를 약 48.2억 원 대폭 절감하여 예산 낭비 리스크를 방어함.</t>
    <phoneticPr fontId="1" type="noConversion"/>
  </si>
  <si>
    <t>원가</t>
    <phoneticPr fontId="1" type="noConversion"/>
  </si>
  <si>
    <r>
      <t>· 경정비와 중정비 작업 구역 혼재 배치로 인한 작업 동선 불합리 및 상호 간섭 리스크를 방지하였는가?</t>
    </r>
    <r>
      <rPr>
        <sz val="10"/>
        <rFont val="Google Sans Text"/>
        <family val="2"/>
      </rPr>
      <t xml:space="preserve">
</t>
    </r>
    <r>
      <rPr>
        <sz val="10"/>
        <rFont val="Arial"/>
        <family val="2"/>
      </rPr>
      <t xml:space="preserve"> -</t>
    </r>
    <r>
      <rPr>
        <sz val="10"/>
        <rFont val="맑은 고딕"/>
        <family val="3"/>
        <charset val="129"/>
      </rPr>
      <t>기본설계</t>
    </r>
    <r>
      <rPr>
        <sz val="10"/>
        <rFont val="Arial"/>
        <family val="2"/>
      </rPr>
      <t xml:space="preserve"> </t>
    </r>
    <r>
      <rPr>
        <sz val="10"/>
        <rFont val="맑은 고딕"/>
        <family val="3"/>
        <charset val="129"/>
      </rPr>
      <t>배치에서는</t>
    </r>
    <r>
      <rPr>
        <sz val="10"/>
        <rFont val="Arial"/>
        <family val="2"/>
      </rPr>
      <t xml:space="preserve"> 24</t>
    </r>
    <r>
      <rPr>
        <sz val="10"/>
        <rFont val="맑은 고딕"/>
        <family val="3"/>
        <charset val="129"/>
      </rPr>
      <t>시간</t>
    </r>
    <r>
      <rPr>
        <sz val="10"/>
        <rFont val="Arial"/>
        <family val="2"/>
      </rPr>
      <t xml:space="preserve"> </t>
    </r>
    <r>
      <rPr>
        <sz val="10"/>
        <rFont val="맑은 고딕"/>
        <family val="3"/>
        <charset val="129"/>
      </rPr>
      <t>교대</t>
    </r>
    <r>
      <rPr>
        <sz val="10"/>
        <rFont val="Arial"/>
        <family val="2"/>
      </rPr>
      <t xml:space="preserve"> </t>
    </r>
    <r>
      <rPr>
        <sz val="10"/>
        <rFont val="맑은 고딕"/>
        <family val="3"/>
        <charset val="129"/>
      </rPr>
      <t>근무가</t>
    </r>
    <r>
      <rPr>
        <sz val="10"/>
        <rFont val="Arial"/>
        <family val="2"/>
      </rPr>
      <t xml:space="preserve"> </t>
    </r>
    <r>
      <rPr>
        <sz val="10"/>
        <rFont val="맑은 고딕"/>
        <family val="3"/>
        <charset val="129"/>
      </rPr>
      <t>필요한</t>
    </r>
    <r>
      <rPr>
        <sz val="10"/>
        <rFont val="Arial"/>
        <family val="2"/>
      </rPr>
      <t xml:space="preserve"> </t>
    </r>
    <r>
      <rPr>
        <sz val="10"/>
        <rFont val="맑은 고딕"/>
        <family val="3"/>
        <charset val="129"/>
      </rPr>
      <t>경정비</t>
    </r>
    <r>
      <rPr>
        <sz val="10"/>
        <rFont val="Arial"/>
        <family val="2"/>
      </rPr>
      <t xml:space="preserve"> </t>
    </r>
    <r>
      <rPr>
        <sz val="10"/>
        <rFont val="맑은 고딕"/>
        <family val="3"/>
        <charset val="129"/>
      </rPr>
      <t>기능실</t>
    </r>
    <r>
      <rPr>
        <sz val="10"/>
        <rFont val="Arial"/>
        <family val="2"/>
      </rPr>
      <t xml:space="preserve"> </t>
    </r>
    <r>
      <rPr>
        <sz val="10"/>
        <rFont val="맑은 고딕"/>
        <family val="3"/>
        <charset val="129"/>
      </rPr>
      <t>및</t>
    </r>
    <r>
      <rPr>
        <sz val="10"/>
        <rFont val="Arial"/>
        <family val="2"/>
      </rPr>
      <t xml:space="preserve"> </t>
    </r>
    <r>
      <rPr>
        <sz val="10"/>
        <rFont val="맑은 고딕"/>
        <family val="3"/>
        <charset val="129"/>
      </rPr>
      <t>작업장이</t>
    </r>
    <r>
      <rPr>
        <sz val="10"/>
        <rFont val="Arial"/>
        <family val="2"/>
      </rPr>
      <t xml:space="preserve"> 8</t>
    </r>
    <r>
      <rPr>
        <sz val="10"/>
        <rFont val="맑은 고딕"/>
        <family val="3"/>
        <charset val="129"/>
      </rPr>
      <t>시간만</t>
    </r>
    <r>
      <rPr>
        <sz val="10"/>
        <rFont val="Arial"/>
        <family val="2"/>
      </rPr>
      <t xml:space="preserve"> </t>
    </r>
    <r>
      <rPr>
        <sz val="10"/>
        <rFont val="맑은 고딕"/>
        <family val="3"/>
        <charset val="129"/>
      </rPr>
      <t>주간</t>
    </r>
    <r>
      <rPr>
        <sz val="10"/>
        <rFont val="Arial"/>
        <family val="2"/>
      </rPr>
      <t xml:space="preserve"> </t>
    </r>
    <r>
      <rPr>
        <sz val="10"/>
        <rFont val="맑은 고딕"/>
        <family val="3"/>
        <charset val="129"/>
      </rPr>
      <t>근무하는</t>
    </r>
    <r>
      <rPr>
        <sz val="10"/>
        <rFont val="Arial"/>
        <family val="2"/>
      </rPr>
      <t xml:space="preserve"> </t>
    </r>
    <r>
      <rPr>
        <sz val="10"/>
        <rFont val="맑은 고딕"/>
        <family val="3"/>
        <charset val="129"/>
      </rPr>
      <t>중정비</t>
    </r>
    <r>
      <rPr>
        <sz val="10"/>
        <rFont val="Arial"/>
        <family val="2"/>
      </rPr>
      <t xml:space="preserve"> </t>
    </r>
    <r>
      <rPr>
        <sz val="10"/>
        <rFont val="맑은 고딕"/>
        <family val="3"/>
        <charset val="129"/>
      </rPr>
      <t>구역에</t>
    </r>
    <r>
      <rPr>
        <sz val="10"/>
        <rFont val="Arial"/>
        <family val="2"/>
      </rPr>
      <t xml:space="preserve"> </t>
    </r>
    <r>
      <rPr>
        <sz val="10"/>
        <rFont val="맑은 고딕"/>
        <family val="3"/>
        <charset val="129"/>
      </rPr>
      <t>함께</t>
    </r>
    <r>
      <rPr>
        <sz val="10"/>
        <rFont val="Arial"/>
        <family val="2"/>
      </rPr>
      <t xml:space="preserve"> </t>
    </r>
    <r>
      <rPr>
        <sz val="10"/>
        <rFont val="맑은 고딕"/>
        <family val="3"/>
        <charset val="129"/>
      </rPr>
      <t>섞여</t>
    </r>
    <r>
      <rPr>
        <sz val="10"/>
        <rFont val="Arial"/>
        <family val="2"/>
      </rPr>
      <t xml:space="preserve"> </t>
    </r>
    <r>
      <rPr>
        <sz val="10"/>
        <rFont val="맑은 고딕"/>
        <family val="3"/>
        <charset val="129"/>
      </rPr>
      <t>있어</t>
    </r>
    <r>
      <rPr>
        <sz val="10"/>
        <rFont val="Arial"/>
        <family val="2"/>
      </rPr>
      <t xml:space="preserve">, </t>
    </r>
    <r>
      <rPr>
        <sz val="10"/>
        <rFont val="맑은 고딕"/>
        <family val="3"/>
        <charset val="129"/>
      </rPr>
      <t>작업자의</t>
    </r>
    <r>
      <rPr>
        <sz val="10"/>
        <rFont val="Arial"/>
        <family val="2"/>
      </rPr>
      <t xml:space="preserve"> </t>
    </r>
    <r>
      <rPr>
        <sz val="10"/>
        <rFont val="맑은 고딕"/>
        <family val="3"/>
        <charset val="129"/>
      </rPr>
      <t>이동</t>
    </r>
    <r>
      <rPr>
        <sz val="10"/>
        <rFont val="Arial"/>
        <family val="2"/>
      </rPr>
      <t xml:space="preserve"> </t>
    </r>
    <r>
      <rPr>
        <sz val="10"/>
        <rFont val="맑은 고딕"/>
        <family val="3"/>
        <charset val="129"/>
      </rPr>
      <t>동선이</t>
    </r>
    <r>
      <rPr>
        <sz val="10"/>
        <rFont val="Arial"/>
        <family val="2"/>
      </rPr>
      <t xml:space="preserve"> </t>
    </r>
    <r>
      <rPr>
        <sz val="10"/>
        <rFont val="맑은 고딕"/>
        <family val="3"/>
        <charset val="129"/>
      </rPr>
      <t>매우</t>
    </r>
    <r>
      <rPr>
        <sz val="10"/>
        <rFont val="Arial"/>
        <family val="2"/>
      </rPr>
      <t xml:space="preserve"> </t>
    </r>
    <r>
      <rPr>
        <sz val="10"/>
        <rFont val="맑은 고딕"/>
        <family val="3"/>
        <charset val="129"/>
      </rPr>
      <t>불합리하고</t>
    </r>
    <r>
      <rPr>
        <sz val="10"/>
        <rFont val="Arial"/>
        <family val="2"/>
      </rPr>
      <t xml:space="preserve"> </t>
    </r>
    <r>
      <rPr>
        <sz val="10"/>
        <rFont val="맑은 고딕"/>
        <family val="3"/>
        <charset val="129"/>
      </rPr>
      <t>운영</t>
    </r>
    <r>
      <rPr>
        <sz val="10"/>
        <rFont val="Arial"/>
        <family val="2"/>
      </rPr>
      <t xml:space="preserve"> </t>
    </r>
    <r>
      <rPr>
        <sz val="10"/>
        <rFont val="맑은 고딕"/>
        <family val="3"/>
        <charset val="129"/>
      </rPr>
      <t>관리에</t>
    </r>
    <r>
      <rPr>
        <sz val="10"/>
        <rFont val="Arial"/>
        <family val="2"/>
      </rPr>
      <t xml:space="preserve"> </t>
    </r>
    <r>
      <rPr>
        <sz val="10"/>
        <rFont val="맑은 고딕"/>
        <family val="3"/>
        <charset val="129"/>
      </rPr>
      <t>비효율이</t>
    </r>
    <r>
      <rPr>
        <sz val="10"/>
        <rFont val="Arial"/>
        <family val="2"/>
      </rPr>
      <t xml:space="preserve"> </t>
    </r>
    <r>
      <rPr>
        <sz val="10"/>
        <rFont val="맑은 고딕"/>
        <family val="3"/>
        <charset val="129"/>
      </rPr>
      <t>발생할</t>
    </r>
    <r>
      <rPr>
        <sz val="10"/>
        <rFont val="Arial"/>
        <family val="2"/>
      </rPr>
      <t xml:space="preserve"> </t>
    </r>
    <r>
      <rPr>
        <sz val="10"/>
        <rFont val="맑은 고딕"/>
        <family val="3"/>
        <charset val="129"/>
      </rPr>
      <t>수</t>
    </r>
    <r>
      <rPr>
        <sz val="10"/>
        <rFont val="Arial"/>
        <family val="2"/>
      </rPr>
      <t xml:space="preserve"> </t>
    </r>
    <r>
      <rPr>
        <sz val="10"/>
        <rFont val="맑은 고딕"/>
        <family val="3"/>
        <charset val="129"/>
      </rPr>
      <t>있는</t>
    </r>
    <r>
      <rPr>
        <sz val="10"/>
        <rFont val="Arial"/>
        <family val="2"/>
      </rPr>
      <t xml:space="preserve"> </t>
    </r>
    <r>
      <rPr>
        <sz val="10"/>
        <rFont val="맑은 고딕"/>
        <family val="3"/>
        <charset val="129"/>
      </rPr>
      <t>구조임</t>
    </r>
    <r>
      <rPr>
        <sz val="10"/>
        <rFont val="Arial"/>
        <family val="2"/>
      </rPr>
      <t>.</t>
    </r>
    <phoneticPr fontId="1" type="noConversion"/>
  </si>
  <si>
    <t>검수고 내 정비 효율성 극대화 및 작업자 편의를 위해, 교대 근무 시간 및 정비 업무 특성을 고려하여 경정비와 중정비의 기능실 및 작업장 분리 배치 방안 검토.</t>
    <phoneticPr fontId="1" type="noConversion"/>
  </si>
  <si>
    <t>수분 접촉이 없는 건조하고 안전한 구역으로 충전공급장치 위치 변경 및 작업자 안전을 위한 넉넉한 전용 면적 확보 방안 검토.</t>
  </si>
  <si>
    <t>차량 검수 프로세스 및 동선을 분석하여 공용 사용이 가능한 검수선을 통합하고, 일렬(직렬) 배치를 통해 선로 수 및 전체 건축 면적 최적화 방안 검토.</t>
  </si>
  <si>
    <t>승무원의 쾌적한 휴식 환경 보장 및 동선 효율화를 위해 검수고 내부에 흩어진 승무관련 시설을 일반 쾌적한 사무공간(종합관리동)으로 이전 및 통합하는 방안 검토.</t>
  </si>
  <si>
    <t>궤도 유지보수 장비(청소차량, 연마차, 평판트롤리 등 약 55m 필요) 유치 상태에서도 모타카 인상 작업이 원활히 수행될 수 있도록 별도의 인상선/대피 공간 추가 확보 여부 검토.</t>
  </si>
  <si>
    <t>청소선 인접 배치로 인한 충전공급장치의 누수/비산 및 전기 감전 안전사고 리스크를 방지하였는가?
- 기본설계 배치에서는 트램 배터리 충전을 위한 1층 충전공급장치의 설치 공간이 매우 협소하며, 특히 물을 지속적으로 사용하는 '청소선' 바로 옆에 배치되어 있어 수분 비산에 의한 심각한 전기 감전 및 화재 안전사고 발생 우려가 높은 상태임.</t>
    <phoneticPr fontId="1" type="noConversion"/>
  </si>
  <si>
    <t>검수고 내 불필요한 선로(배선) 과다 계획으로 인한 건축 면적 과다 차지 및 공사비 낭비 리스크를 검토하였는가?
- 기본설계에서는 일상검사선과 월상검사선을 개별 선로로 평행하게 분산 배치하는 등 검수고 내 배선이 '총 9선'으로 과다하게 계획되어 있어, 검수고 건축 면적이 불필요하게 늘어나고(11,560㎡) 궤도 및 건축 공사비가 낭비되는 비효율적인 구조임.</t>
    <phoneticPr fontId="1" type="noConversion"/>
  </si>
  <si>
    <t>모타카(유지보수차량) 인상 작업 시 장비유치선과의 물리적 동선 간섭으로 인한 안전사고 및 작업 지연 리스크를 검토하였는가?
- 기본설계 배선에는 장비유치선 1선만 반영되어 있어, 모타카선 인상 작업 시 해당 장비유치선에 이미 다른 차량(선로복구차량, 궤도청소차 등)이 유치되어 있을 경우 물리적인 차량 이동 경로가 겹쳐 심각한 간섭 및 작업 지연이 발생할 구조임.</t>
    <phoneticPr fontId="1" type="noConversion"/>
  </si>
  <si>
    <t>검수고 내 승무원 휴게시설 배치로 인한 소음·분진 상시 노출 및 근무환경 악화 리스크를 방지하였는가?
- 기본설계에서는 승무원 대기실, 침실, 휴게실 등의 필수 편의/휴게 시설이 차량 정비로 인해 소음과 분진이 상시 발생하는 '검수고 2, 3층' 내부에 배치되어 있어, 승무원들의 휴식 환경이 매우 열악하고 업무 접근성이 떨어짐.</t>
    <phoneticPr fontId="1" type="noConversion"/>
  </si>
  <si>
    <t>• 검수_설계추진방향보고_차량기지 검수고 배치방안 검토_rev.00_260602.pdf• 차량기지분야_차량기지 계획의 적정성 검토_rev.02_260609.pdf</t>
  </si>
  <si>
    <t>1.부지계획고 상향 조정을 통한 비탈면 및 용지 축소: 차량기지 부지계획고(FH)를 기본설계(146.0m) 대비 4m 상향한 150.0m로 변경하는 안을 최적 부지계획고로 선정하여, 종점부 비탈면 높이를 낮추고 깎기부 옹벽의 설치 면적을 대폭 축소함.
2.용지편입면적의 정량적 절감: 부지계획고 상향(FH=150.0m) 대안을 적용한 결과, 기본설계 상의 과다한 용지편입면적(74,772㎡)에서 약 8,847㎡를 축소한 65,925㎡로 용지를 최적화하여 과도한 토지 보상비 지출 및 수용 지연 리스크를 선제적으로 헷지함.
3.시설물 배치 최적화 설계: 기본설계의 평면적 배치를 개선하여, 검수고와 종합관리동을 인접 배치(동선 단축)하고 전면 성토구간 활용 및 지하주차장을 설치하는 복합화 대안을 통해 부지 활용도를 극대화함으로써 부지 면적 과다 발생 요인을 구조적으로 제거함.</t>
    <phoneticPr fontId="1" type="noConversion"/>
  </si>
  <si>
    <t>· 차량기지 내 승무원 대기실과 정비 검수고 배치 혼재로 정비 분진/소음 유입에 따른 근무 저하 리스크를 방지하기 위해 관련 기준 준수 및 설계 적정성을 검토하였는가?
 -기본설계에서는 승무원 운영실, 대기실, 침실, 휴게실 등의 승무 필수 시설이 차량 정비로 인해 소음과 분진이 상시 발생하는 '검수고 2, 3층' 내부에 배치되어 있어 승무원 근무 및 휴식 환경이 매우 열악함. 또한 종합관리동과의 이격거리(320m)가 과다하여 동선이 불합리한 구조임.</t>
    <phoneticPr fontId="1" type="noConversion"/>
  </si>
  <si>
    <t>입찰안내서(근무 인원에 따른 적합한 규모 및 평면계획, 승무원 편의시설의 접근성 등) 기준 준수 여부를 확인하고, 승무원 환경 개선을 위해 승무 시설을 검수고에서 물리적으로 분리하여 쾌적한 공간으로 이전·통합하는 방안 검토.</t>
    <phoneticPr fontId="1" type="noConversion"/>
  </si>
  <si>
    <t>검수고 내부에 분산되어 있던 승무 관련 시설을 소음/분진이 차단된 '종합관리동' 내부로 전면 이전 및 통합 배치하여 근무 환경 저하 리스크를 원천 헷지함.
또한, 종합관리동과 검수고를 인접 배치(45m 이내)하도록 3D 레이아웃을 조정하여 승무원과 정비원의 이동 동선을 획기적으로 단축하고 업무 접근성을 개선함.</t>
    <phoneticPr fontId="1" type="noConversion"/>
  </si>
  <si>
    <t>• 차량기지분야_차량기지 계획의 적정성 검토_rev.02_260609.pdf
• 건축_설계추진방향보고_정거장계획, 차량기지 추진방향_rev.02_260521.pdf</t>
    <phoneticPr fontId="1" type="noConversion"/>
  </si>
  <si>
    <t>· 차량기지 관리동 및 검수고 배치 부적정으로 인한 정비 작업 효율 저하 및 비상 대응 지연 리스크를 방지하였는가?
- 종합관리동과 정비고 건물의 이격 배치 및 24시간 교대 근무(경정비) 구역과 8시간 주간 근무(중정비) 구역 간 동선 중첩으로 작업 비효율 및 비상 대처 지연 리스크.
-기본설계 배치에서는 차량기지 내 핵심 시설인 종합관리동과 검수고가 서로 약 320m나 과도하게 이격되어 배치. 이로 인해 관리 및 정비 인력의 보행 이동 동선이 지나치게 길어져 일상적인 정비 작업 효율이 크게 저하되고, 이례 상황 발생 시 관리 인력의 신속한 비상 대응이 지연될 수 있는 불합리한 구조</t>
    <phoneticPr fontId="1" type="noConversion"/>
  </si>
  <si>
    <t>정비 인력의 보행 피로도 감소 및 유지관리 업무 연계성 극대화를 위해, 시설물 통합 배치 또는 인접 배치, 상부 연결통로 특화 등을 통한 관리동선 최단화 방안 검토</t>
    <phoneticPr fontId="1" type="noConversion"/>
  </si>
  <si>
    <t>1.차량기지 레이아웃 개선을 통해 기본설계에서 320m 떨어져 있던 종합관리동을 검수고와 맞닿도록 인접 배치(이격거리 44m~56m 이내)하는 설계 대안을 수립
2.두 핵심 시설 간의 물리적 이동 동선을 획기적으로 단축시켜 유지관리 인력의 작업 효율성을 높이고, 비상시 즉각적인 현장 대응이 가능하도록 동선 비효율 리스크를 원천 헷지함.</t>
    <phoneticPr fontId="1" type="noConversion"/>
  </si>
  <si>
    <r>
      <t xml:space="preserve">기능이 유사한 일상검사선과 월상검사선을 1개 선로에 일렬(직렬)로 통합 배치하고, 대청소선과 청소선 역시 일렬 배치하여 총 9선이던 검수고 배선을 </t>
    </r>
    <r>
      <rPr>
        <b/>
        <sz val="10"/>
        <color theme="1"/>
        <rFont val="맑은 고딕"/>
        <family val="3"/>
        <charset val="129"/>
        <scheme val="minor"/>
      </rPr>
      <t>'총 6선'으로 대폭 축소</t>
    </r>
    <r>
      <rPr>
        <sz val="10"/>
        <color theme="1"/>
        <rFont val="맑은 고딕"/>
        <family val="3"/>
        <charset val="129"/>
        <scheme val="minor"/>
      </rPr>
      <t>함.이를 통해 검수고 건축 면적을 11,560㎡에서 10,350㎡(또는 9,450㎡)로 크게 축소시켜 공사비 낭비 리스크를 헷지함.</t>
    </r>
  </si>
  <si>
    <r>
      <t xml:space="preserve">검수고 내부에 분산되어 있던 승무관련 시설(운영실, 침실, 대기실 등)을 소음/분진이 차단된 </t>
    </r>
    <r>
      <rPr>
        <b/>
        <sz val="10"/>
        <color theme="1"/>
        <rFont val="맑은 고딕"/>
        <family val="3"/>
        <charset val="129"/>
        <scheme val="minor"/>
      </rPr>
      <t>'종합관리동' 내부로 전면 이전 및 통합 설치</t>
    </r>
    <r>
      <rPr>
        <sz val="10"/>
        <color theme="1"/>
        <rFont val="맑은 고딕"/>
        <family val="3"/>
        <charset val="129"/>
        <scheme val="minor"/>
      </rPr>
      <t>하도록 설계 대안을 수립함.이를 통해 승무원 환경 악화 리스크를 헷지하고, 부대시설 중복을 최소화하여 경제성을 확보함.</t>
    </r>
  </si>
  <si>
    <r>
      <t xml:space="preserve">차량 이동 경로 간섭을 원천적으로 배제하기 위해 기존 장비유치선과는 별도로 </t>
    </r>
    <r>
      <rPr>
        <b/>
        <sz val="10"/>
        <color theme="1"/>
        <rFont val="맑은 고딕"/>
        <family val="3"/>
        <charset val="129"/>
        <scheme val="minor"/>
      </rPr>
      <t>'모타카 전용 인상선'을 추가 확보</t>
    </r>
    <r>
      <rPr>
        <sz val="10"/>
        <color theme="1"/>
        <rFont val="맑은 고딕"/>
        <family val="3"/>
        <charset val="129"/>
        <scheme val="minor"/>
      </rPr>
      <t>하도록 배선 계획을 개선함.이를 통해 궤도 장비 비축과 모타카 인상 및 이동 작업이 동시에 독립적으로 이루어질 수 있도록 간섭 리스크를 원천 헷지함.</t>
    </r>
  </si>
  <si>
    <r>
      <t xml:space="preserve">지하수 용탈 및 환경 문제를 방지하기 위해 일반 물유리계 대신 </t>
    </r>
    <r>
      <rPr>
        <sz val="10"/>
        <color rgb="FFFF0000"/>
        <rFont val="맑은 고딕"/>
        <family val="3"/>
        <charset val="129"/>
      </rPr>
      <t>비알칼리 실리카졸계 차수 그라우팅 공법</t>
    </r>
    <r>
      <rPr>
        <sz val="10"/>
        <color theme="1"/>
        <rFont val="맑은 고딕"/>
        <family val="3"/>
        <charset val="129"/>
      </rPr>
      <t>을 설계에 반영하고 지층별 주입 압력과 주입 속도를 제어하는 시공 기준 수립</t>
    </r>
    <phoneticPr fontId="1" type="noConversion"/>
  </si>
  <si>
    <r>
      <t xml:space="preserve">처마 마감 단부에 우수가 승강장 내부로 역류하지 않는 50mm 물끊기 슬릿 홈 상세를 도면에 신설하고, 캐노피 배수 트러프 저면에 동파 방지 및 결빙 차단용 비상 자동 온도 센서 제어식 발열 스노우멜팅 케이블(30W/m) 반영 </t>
    </r>
    <r>
      <rPr>
        <sz val="10"/>
        <color rgb="FFFF0000"/>
        <rFont val="맑은 고딕"/>
        <family val="3"/>
        <charset val="129"/>
      </rPr>
      <t>-&gt; 수정필요</t>
    </r>
    <phoneticPr fontId="1" type="noConversion"/>
  </si>
  <si>
    <t>차량기지</t>
    <phoneticPr fontId="1" type="noConversion"/>
  </si>
  <si>
    <t>품질</t>
    <phoneticPr fontId="1" type="noConversion"/>
  </si>
  <si>
    <t>26.06.15</t>
    <phoneticPr fontId="1" type="noConversion"/>
  </si>
  <si>
    <t>검수_설계추진방향보고_검수고 내 배치 레이아웃 및 검수장비 검토_rev.00_260529.pdf (Page 10)</t>
    <phoneticPr fontId="1" type="noConversion"/>
  </si>
  <si>
    <t>· 대형 장비 반입구 규격이 장비 제원보다 부족하게 설계되어, 향후 유지보수 시 멀쩡한 건축 구조물(벽체나 슬래브)을 파쇄해야 할 리스크를 검토하였는가?
-기본설계에서는 변전소 등 대형 전기 장비(변압기 등)를 반입하기 위한 장비 반입구 규격이 '3m×4m'로 협소하게 계획되어 있습니다. 특히 201정거장 지하 변전소의 경우 상부 주차장 출입구 높이 제한(2.2m)으로 장비 반입이 원천 불가하여, 유지보수를 위해서는 기존 SRT 지하주차장 측벽을 철거(파쇄)해야만 하는 심각한 구조 간섭 현황이 확인</t>
    <phoneticPr fontId="1" type="noConversion"/>
  </si>
  <si>
    <t>향후 유지보수용 대형 장비의 물리적 제원 및 반입 차량 동선을 고려하여 장비 반입구의 유효 개구부 규격 적정성을 재검토하고, 기존 구조물 파쇄나 훼손 없이 원활한 장비 교체가 가능하도록 변전소 위치 이동 및 개구부 확대 방안 검토.</t>
    <phoneticPr fontId="1" type="noConversion"/>
  </si>
  <si>
    <t>• 건축_설계추진방향_3차보고_rev01_260608.pdf&lt;br&gt;• 건축_설계추진방향보고_변전소 추진방향_rev.00_260526.pdf</t>
    <phoneticPr fontId="1" type="noConversion"/>
  </si>
  <si>
    <t>· 차량기지 인입선 급구배 계획으로 인한 건설규정 저촉 및 선로 분기기 설치 불가 리스크를 방지하였는가?
- 인입선 시공 시 기존 도로 선형을 준용한 최급 종단경사(58.5‰) 적용으로 인해 경기도 노면전차 건설규정(분기기 설치 구간 구배 54‰ 이하 제한)을 초과하여 분기기 설치가 불가하고 입출고선 시공이 지연될 리스크.</t>
    <phoneticPr fontId="1" type="noConversion"/>
  </si>
  <si>
    <t>· 차량기지 유치선 내 비상제동거리 부족으로 인한 열차 간 충돌 및 구내 안전사고 리스크를 방지하였는가?
- 기본설계 도면 상 차량접촉한계 지점과 배향 신호기 간 차량 이격거리(12.63m)가 차량 운행속도 10km/h 시 요구되는 비상제동거리(최소 18m)에 미달하여 기지 내 충돌 사고 리스크.</t>
    <phoneticPr fontId="1" type="noConversion"/>
  </si>
  <si>
    <t>· 차량기지 유치선 간격 협소로 인한 신호설비 설치 누락 및 건축한계 침범 리스크를 방지하였는가?
- 유치선 8선 중앙부에 신호기 및 진로표시기 설치 공간(최소 402mm)을 미반영하고 유치선 간 중심선 간격(3,600mm) 규정을 충족하지 못해 건축한계 저촉 및 기기 파손 리스크.</t>
    <phoneticPr fontId="1" type="noConversion"/>
  </si>
  <si>
    <t>철도계획</t>
    <phoneticPr fontId="1" type="noConversion"/>
  </si>
  <si>
    <t>궤도</t>
    <phoneticPr fontId="1" type="noConversion"/>
  </si>
  <si>
    <t>· 곡선 구간 승강장의 건축한계 확폭량이 궤도 선형(R값, 캔트)에 맞게 계산되었는가?
- [대구도시철도305공구] 319정거장 스크린도어(PSD) 설치 후 건축한계 확보 여부 재확인 필요함에 따라 설계 완성도 저하 및 재시공 비용을 유발하는 리스크.</t>
    <phoneticPr fontId="1" type="noConversion"/>
  </si>
  <si>
    <t>캔트는 해당사항없음</t>
    <phoneticPr fontId="1" type="noConversion"/>
  </si>
  <si>
    <t>검수</t>
    <phoneticPr fontId="1" type="noConversion"/>
  </si>
  <si>
    <t>동절기 혹한기(설계최저온도 영하 15도 기준) 노면 분기기 동결 방지를 위한 융설 장치의 소요 전력 용량 계산서 및 센서 가동 조건 적정성 검토</t>
    <phoneticPr fontId="1" type="noConversion"/>
  </si>
  <si>
    <t xml:space="preserve">· 분기기 텅레일(Tongue Rail) 수동 전환 시 작업자 발끼임 안전사고 유발 리스크를 방지하기 위해 관련 기준 준수 및 설계 적정성을 검토하였는가?
- </t>
    <phoneticPr fontId="1" type="noConversion"/>
  </si>
  <si>
    <r>
      <t xml:space="preserve">차량기지(궤도, 신호)
</t>
    </r>
    <r>
      <rPr>
        <b/>
        <sz val="10"/>
        <color rgb="FFFF0000"/>
        <rFont val="맑은 고딕"/>
        <family val="3"/>
        <charset val="129"/>
      </rPr>
      <t>신호확인해볼것</t>
    </r>
    <phoneticPr fontId="1" type="noConversion"/>
  </si>
  <si>
    <t>입출고선 및 인입선의 급구배(58.5‰) 적용 구간 내 분기기 설치 시 경기도 노면전차 건설규정(54‰ 이하 제한) 부합 여부 및 궤도 안정성 검토</t>
    <phoneticPr fontId="1" type="noConversion"/>
  </si>
  <si>
    <t>경기도 노면전차 건설규정 기준을 충족하기 위해, 210정거장 종점부 분기기를 입출고선 방향으로 건넘선 이동 계획을 수립하고 구배를 54‰ 이하로 완화하여 분기기 설치 및 트램 운행 안정성 확보 설계 반영</t>
    <phoneticPr fontId="1" type="noConversion"/>
  </si>
  <si>
    <t>• 04_설계서/1공구/궤도/01. 설계보고서_궤도.pdf (차량기지 인입선 및 선로 분기기 계획)
• 06.체크리스트/분야별/03_궤도/궤도_설계추진방향보고_차량 운행조건을 고려한 분기기 배치 및 분기기 형식 선정의 적정성_rev.00_260601.pdf</t>
    <phoneticPr fontId="1" type="noConversion"/>
  </si>
  <si>
    <t>급구배로 인한 안전사고 및 규정 위반 리스크를 원천 헷지하기 위해, 58.5‰ 기울기 구간(입출고선 상)의 건넘선 설치를 전면 배제하고 차량기지 내부 회차선으로 갈음하여 입출고선 건넘선을 삭제함. 또한 210 정거장 전방 평탄부에 별도의 '비상 건넘선'을 추가 반영하여 운행 효율성 및 안전성을 확보함</t>
    <phoneticPr fontId="1" type="noConversion"/>
  </si>
  <si>
    <t>• 04_설계서/1공구/검수/01. 설계보고서(검수).pdf (차량기지 유치선 및 비상제동 검토)
• 06.체크리스트/분야별/03_궤도/궤도_설계추진방향_차량, 열차운영 등 인터페이스 적정성_rev.05_260608.pdf</t>
    <phoneticPr fontId="1" type="noConversion"/>
  </si>
  <si>
    <t>차량기지 제한속도 및 트램 중량을 수용하는 유압 완충식 차막이를 설계 반영하고, 종단부 5m의 완충 여유거리를 추가 확보하여 충돌 리스크를 헷지함</t>
  </si>
  <si>
    <t>• 04_설계서/1공구/궤도/01. 설계보고서_궤도.pdf (유치선 말단 차막이 설치 계획)
• 06.체크리스트/분야별/03_궤도/궤도_설계추진방향보고_안전시설 및 시설물 유지관리·보수를 위한 시설설치의 적정성_rev.02_260526.pdf</t>
    <phoneticPr fontId="1" type="noConversion"/>
  </si>
  <si>
    <t>• 04_설계서/1공구/궤도/01. 설계보고서_궤도.pdf
• 06.체크리스트/분야별/03_궤도/궤도_설계추진방향보고_안전시설 및 시설물 유지관리·보수를 위한 시설설치의 적정성_rev.02_260526.pdf</t>
    <phoneticPr fontId="1" type="noConversion"/>
  </si>
  <si>
    <t>• 04_설계서/1공구/검수/01. 설계보고서(검수).pdf
• 06.체크리스트/분야별/03_궤도/궤도_설계추진방향보고_차량기지 돌출형(콘크리트도상) 적용시 문제점 및 적용방안_rev.00_260601.pdf</t>
    <phoneticPr fontId="1" type="noConversion"/>
  </si>
  <si>
    <t>• 04_설계서/1공구/궤도/01. 설계보고서_궤도.pdf (교량상 장대레일 축력해석 및 REJ 검토)
• 06.체크리스트/분야별/03_궤도/궤도_설계추진방향_차량, 열차운영 등 인터페이스 적정성_rev.05_260608.pdf</t>
    <phoneticPr fontId="1" type="noConversion"/>
  </si>
  <si>
    <t>• 04_설계서/1공구/궤도/01. 설계보고서_궤도.pdf
• 06.체크리스트/분야별/03_궤도/궤도_설계추진방향_차량, 열차운영 등 인터페이스 적정성_rev.05_260608.pdf</t>
    <phoneticPr fontId="1" type="noConversion"/>
  </si>
  <si>
    <t>• 04_설계서/1공구/궤도/01. 설계보고서_궤도.pdf (교량 구간 선형 및 안전 보도 계획)
• 06.체크리스트/분야별/03_궤도/궤도_설계추진방향보고_기본설계 설명자료_rev.00_260521.pdf</t>
    <phoneticPr fontId="1" type="noConversion"/>
  </si>
  <si>
    <t>• 04_설계서/1공구/궤도/01. 설계보고서_궤도.pdf
• 06.체크리스트/분야별/03_궤도/#첨부파일_사업단계별 운영유지관리 장비_시설물 리스트(궤도)_rev01_시설물 추가(최종).pdf</t>
    <phoneticPr fontId="1" type="noConversion"/>
  </si>
  <si>
    <t>• 04_설계서/1공구/궤도/01. 설계보고서_궤도.pdf
• 06.체크리스트/분야별/03_궤도/궤도_설계추진방향보고_차량 운행조건을 고려한 분기기 배치 및 분기기 형식 선정의 적정성_rev.00_260521.pdf</t>
    <phoneticPr fontId="1" type="noConversion"/>
  </si>
  <si>
    <t>• 04_설계서/1공구/궤도/01. 설계보고서_궤도.pdf
• 06.체크리스트/분야별/03_궤도/궤도_설계추진방향보고_기본설계 설명자료_rev.00_260521.pdf</t>
    <phoneticPr fontId="1" type="noConversion"/>
  </si>
  <si>
    <t>• 04_설계서/1공구/궤도/01. 설계보고서_궤도.pdf
• 06.체크리스트/분야별/03_궤도/궤도_설계추진방향보고_차량 운행조건을 고려한 궤도형식 선정의 적정성_rev.00_260521.pdf</t>
    <phoneticPr fontId="1" type="noConversion"/>
  </si>
  <si>
    <t>본선 및 차량기지 내 최소 곡선반경(R=25m) 설정 구간의 궤도 기하학적 안정성 및 답면 마찰계수 분석, 차량-궤도 인터페이스 해석서 검토</t>
    <phoneticPr fontId="1" type="noConversion"/>
  </si>
  <si>
    <t>급곡선 외측 레일 마찰 마모 방지를 위해 고경도 열처리 레일을 설계 반영하고, 곡선 시공 시 전용 게이지 타이 바를 장착하여 레일 벌어짐 리스크를 헷지함</t>
    <phoneticPr fontId="1" type="noConversion"/>
  </si>
  <si>
    <t>• 04_설계서/1공구/궤도/01. 설계보고서_궤도.pdf (급곡선부 및 선형 계획)
• 06.체크리스트/분야별/03_궤도/궤도_설계추진방향보고_차량 운행조건을 고려한 궤도형식 선정의 적정성_rev.00_260601.pdf</t>
    <phoneticPr fontId="1" type="noConversion"/>
  </si>
  <si>
    <t>토공구간 궤도 도상 하부의 다짐도 기준(최소 평판재하시험 기준치) 및 도상 슬래브 단면 두께(예: 300mm)의 정합성 계산서 확인</t>
    <phoneticPr fontId="1" type="noConversion"/>
  </si>
  <si>
    <t>토공 노반 시공 시 층다짐 시험(Ev2 검사)을 전수 실시하고, 도상 타설 시 배수 구배를 확인하여 하부 지반 연약화 리스크를 헷지함</t>
  </si>
  <si>
    <t>• 04_설계서/1공구/궤도/01. 설계보고서_궤도.pdf (궤도 도상 및 기초 단면 설계)
• 06.체크리스트/분야별/03_궤도/궤도_설계추진방향보고_차량 운행조건을 고려한 궤도형식 선정의 적정성_rev.00_260601.pdf</t>
    <phoneticPr fontId="1" type="noConversion"/>
  </si>
  <si>
    <t>• 04_설계서/1공구/궤도/01. 설계보고서_궤도.pdf (토공-구조물 접속부 설계)
• 06.체크리스트/분야별/03_궤도/궤도_설계추진방향보고_궤도, 차량, 열차운영 등 인터페이스 적정성_rev.00_260601.pdf</t>
    <phoneticPr fontId="1" type="noConversion"/>
  </si>
  <si>
    <t>매립형 선로전환기(텅레일 박스) 주변의 종·횡단 배수 경사 및 연결 배수관 규격(최소 Ø100mm 이상) 검토 및 폭우 대비 배수 계통도 확인</t>
  </si>
  <si>
    <t>텅레일 박스 하부에 침전 공간(Pit)이 포함된 배수 박스를 설계하고, 배수관 연결부에 역류 방지용 역지밸브를 장착하여 가동장치 침수 리스크를 원천 헷지함</t>
    <phoneticPr fontId="1" type="noConversion"/>
  </si>
  <si>
    <t>• 04_설계서/1공구/궤도/01. 설계보고서_궤도.pdf (선로전환기 및 부대시설 계획)
• 06.체크리스트/분야별/03_궤도/궤도_설계추진방향보고_기본설계 설명자료_rev.00_260521.pdf</t>
    <phoneticPr fontId="1" type="noConversion"/>
  </si>
  <si>
    <t>본선 및 차량기지 내 궤도 패널 가조립, 레일 용접을 위한 가설 야적장 소요 면적 및 후보 부지 식별 및 타 공종과의 공간 간섭 조율</t>
  </si>
  <si>
    <t>본선 인접 도로 여유 부지 및 차량기지 내 미시공 구역을 가설 야적장으로 선제 지정하고 공구별 시공 순서(Phasing)를 조율하여 리스크를 헷지함</t>
  </si>
  <si>
    <t>• 04_설계서/1공구/궤도/01. 설계보고서_궤도.pdf (궤도 시공 및 공사계획)
• 06.체크리스트/분야별/03_궤도/궤도_설계추진방향보고_궤도, 차량, 열차운영 등 인터페이스 적정성_rev.00_260601.pdf</t>
    <phoneticPr fontId="1" type="noConversion"/>
  </si>
  <si>
    <t>도로-트램 병용 구간의 포장 충진재(탄성재) 및 도상 패드 내구성 시방 기준 확인 및 매립형 레일 체결 수지의 압축 강도 및 온도 수축성 성적서 검토</t>
    <phoneticPr fontId="1" type="noConversion"/>
  </si>
  <si>
    <t>차량 주행 및 온도 하중에 저항할 수 있도록 동적 물성이 검증된 EPDM 고탄성 레일 가이드 블록 및 고신율 폴리우레탄 충진재 사양을 도면에 반영함</t>
    <phoneticPr fontId="1" type="noConversion"/>
  </si>
  <si>
    <t>• 04_설계서/1공구/궤도/01. 설계보고서_궤도.pdf (매립형 궤도 재료 사양)
• 06.체크리스트/분야별/03_궤도/궤도_설계추진방향보고_차량 운행조건을 고려한 궤도형식 선정의 적정성_rev.00_260601.pdf</t>
    <phoneticPr fontId="1" type="noConversion"/>
  </si>
  <si>
    <t>급곡선 구간(R=25m 이하) 트램 동적 거동 시뮬레이션 해석서 내 탈선 계수, 차륜 프레임 횡압 작용 한계값(EN 14363 기준) 및 침목 결속력/레일 클립 체결 장치의 궤도 횡저항력(최소 12kN 이상) 적정성 검토</t>
    <phoneticPr fontId="1" type="noConversion"/>
  </si>
  <si>
    <t>급곡선 외측 레일에 곡선 통과 시 자동 고점착 도유를 분사하는 고정식 차륜 도유기(Wheel Flange Lubricator)를 배치하고, 레일 조기 측면 마모(Side Wear) 방지를 위해 고경도 열처리 레일(경도 370HB 이상, UIC 60/50N 프로파일) 및 레일 게이지 타이 바(Gauge Tie Bar) 보강 설계 반영</t>
    <phoneticPr fontId="1" type="noConversion"/>
  </si>
  <si>
    <t>• 04_설계서/1공구/검수/01. 설계보고서(검수).pdf
• 06.체크리스트/분야별/03_궤도/궤도_설계추진방향_차량, 열차운영 등 인터페이스 적정성_rev.05_260608.pdf</t>
    <phoneticPr fontId="1" type="noConversion"/>
  </si>
  <si>
    <t>거더 교량 신축 이음부(Expansion Joint) 유간 거리 변위 오차량 설계치와 매립궤도 도상 콘크리트(TCL) 신축 슬릿(Contraction Joint) 및 슬래브 분절 위치(종단 평면도 대조)의 일치성 교차 확인</t>
    <phoneticPr fontId="1" type="noConversion"/>
  </si>
  <si>
    <t>교량 신축 조인트 위치와 매립궤도의 구조 조인트를 정밀 일치시켜 도상 콘크리트 균열을 방지하고, 단차 발생 방지를 위해 전달 바(Dowel Bar) 삽입 시공 실시</t>
  </si>
  <si>
    <t>토글 박스 작동 텅레일 내부 및 가동 밀착부 구간에 전기 저항식 자동 융설 히팅 코일(용량 4.8kW 이상, 외기 온도 및 강설 감지 자동 제어식) 및 전용 전원 공급 케이블 배선 상세를 분기기 도면에 보완 반영</t>
    <phoneticPr fontId="1" type="noConversion"/>
  </si>
  <si>
    <t>도로 매립형 궤도 내부 레일 감싸기 가이드용 고탄성 고무 프로파일(Elastic Profile)의 동적 물성치(정동적 강성비 1.5 이하) 및 화학적 산화 노화 촉진 시험 기준 적합성 대조 검토</t>
    <phoneticPr fontId="1" type="noConversion"/>
  </si>
  <si>
    <t>내구성 및 내후성이 우수한 고가교성 합성고무(EPDM) 재질의 프리폼 레일 가이드 절연 블럭을 채택하고, 레일 트러프 내 빈 공간에 고탄성 폴리우레탄 수지 흡음형 필러 블록 상세 시공 설계를 도면에 추가 반영</t>
    <phoneticPr fontId="1" type="noConversion"/>
  </si>
  <si>
    <t>• 04_설계서/1공구/궤도/01. 설계보고서_궤도.pdf
• 06.체크리스트/분야별/03_궤도/궤도_설계추진방향보고_차량 운행조건을 고려한 궤도형식 선정의 적정성_rev.00_260601.pdf</t>
    <phoneticPr fontId="1" type="noConversion"/>
  </si>
  <si>
    <t>정거장 배후 차도 횡단 경사(2.0% 구배)와 승강장 승객 통로의 유출 종경사 도면 대조 및 집중 호우(강우 강도 80mm/hr) 대비 우수 드레인 설계 적정성 검토</t>
    <phoneticPr fontId="1" type="noConversion"/>
  </si>
  <si>
    <t>차도와 승강장 경계면 통로를 따라 폭 250mm, 깊이 300mm의 연속 선형 그레이팅 U형 배수관을 추가 설계하고, 정거장 집수정을 정거장 양단부에 대용량(2.0㎥ 이상)으로 분할 배치하여 유입 우수 차단</t>
    <phoneticPr fontId="1" type="noConversion"/>
  </si>
  <si>
    <t>• 04_설계서/1공구/건축/01. 설계보고서.pdf
• 06.체크리스트/분야별/03_궤도/궤도_설계추진방향보고_안전시설 및 시설물 유지관리·보수를 위한 시설설치의 적정성_rev.02_260526.pdf</t>
    <phoneticPr fontId="1" type="noConversion"/>
  </si>
  <si>
    <t>· 차량기지 유치선 말단 차막이 설치 형식 선정 오류로 인한 차량 충격 파손 및 구내 탈선 리스크를 방지하였는가?
- 유치선 말단부 차막이 설계 시 차량 충격 흡수 속도(설계 가이드라인)를 고려하지 않고 스토퍼식과 유압식을 비정합되게 배치하여 비상 제동 실패 시 충격 완화 성능 부족으로 차량이 대파될 리스크.</t>
    <phoneticPr fontId="1" type="noConversion"/>
  </si>
  <si>
    <t>· 곡선 구간 승강장의 건축한계 확폭량이 궤도 선형(R값, 캔트)에 맞게 계산되었는가?
- 기본설계 도면 상 곡선 정거장의 승강장 연단 건축한계 확폭량이 궤도 평면선형의 R값 및 캔트값과 다르게 적용되어 열차 통과 시 승하차 마진이 부족하거나 차량과 승강장 연단 간의 충돌 사고가 발생할 리스크.</t>
    <phoneticPr fontId="1" type="noConversion"/>
  </si>
  <si>
    <t>· 특수 검수장비 구간 레일 돌출 길이 설계 누락으로 장비 충돌 및 트램 정위치 진입이 불가해질 리스크를 검토하였는가?
- 차량기지 검수고 내 차륜전삭기 및 세척기 등 특수 검수설비 기초 주변 레일 돌출 길이가 장비 사양과 맞지 않게 설계되어 장비 안착 시 물리적 충돌이나 트램 정위치 진입 불능 리스크.</t>
    <phoneticPr fontId="1" type="noConversion"/>
  </si>
  <si>
    <t>· 특수 궤도(PIT, H-Beam) 구간의 토목-궤도 간 시공 한계 불명확으로, 선행 구조물 오차 누적에 따른 궤도 조립 불가 리스크를 검토하였는가?
- 검수고 피트(PIT) 및 H-Beam 매립형 도상 시공 시 선행 토목 구조물의 레벨 오차가 누적되어 후속 궤도 조립 단계에서 마감 오차를 보정하지 못하고 레일 체결이 불가해지는 리스크.</t>
    <phoneticPr fontId="1" type="noConversion"/>
  </si>
  <si>
    <t>· 레일 신축이음매 및 접속부 수직강성 체감구조 누락으로 장대레일 축력 발생에 따른 좌굴 및 체결장치 파괴 리스크를 검토하였는가?
- 교량 단부 접속부에서 교량 거더 신축 거동에 의한 레일 부가축력 및 궤도-교량 상호작용 해석(CWR) 결과가 반영되지 않아 하절기 레일 좌굴 및 체결장치 파손 리스크.</t>
    <phoneticPr fontId="1" type="noConversion"/>
  </si>
  <si>
    <t>· 교량 궤도 하부 방수시트 및 보호 콘크리트층(PCL) 설계 누락으로 수분이 침투해 구조물 열화 및 부식을 유발할 리스크를 검토하였는가?
- 교량 상부 매립형 궤도 설계 시 TCL(도상콘크리트) 하부 방수막 및 PCL(보호층) 두께 계획이 누락되어 수분 침투에 따른 교량 상판 콘크리트 및 철근의 조기 열화/부식 리스크.</t>
    <phoneticPr fontId="1" type="noConversion"/>
  </si>
  <si>
    <t>· 교량 거동(처짐, 진동) 대응 구조 누락으로 개통 후 트러프와 레일 고정 수지 이격 및 누수가 발생할 리스크를 검토하였는가?
- 거더 교량 거동(진동 및 연직 처짐)에 따른 매립궤도 트러프와 고정 수지(Resin) 간의 접합부 피로 응력 검토 누락으로 층간 균열 및 이격이 발생하여 빗물이 침수되는 리스크.</t>
    <phoneticPr fontId="1" type="noConversion"/>
  </si>
  <si>
    <t>· 교량구간 우회공간 부족 리스크를 검토하였는가?
- 교량 구간 설계 시 유지보수 및 비상 대피용 측면 대피 공간(walkway) 확보 계획이 미비하여 비상상황 시 승객 대기 불가 및 작업자 안전사고 리스크.</t>
    <phoneticPr fontId="1" type="noConversion"/>
  </si>
  <si>
    <t>· 플랜지웨이 폭 47mm 초과 설계 및 보호설비 누락으로 도로 이용자 바퀴 걸림 사고가 유발될 리스크를 검토하였는가?
- 혼용도로 내 트램 교차로 궤도 설계 시 플랜지웨이(레일 홈) 폭이 47mm를 초과하거나 고무 보호재 채택이 누락되어 자전거, 유모차 바퀴 등이 끼어 안전사고를 유발할 리스크.</t>
    <phoneticPr fontId="1" type="noConversion"/>
  </si>
  <si>
    <t>· 교차로 전체 현장타설(Cast-in-place) 설계로 장기간 도로 통제에 따른 극심한 교통 민원 및 공기 지연이 유발될 리스크를 검토하였는가?
- 도심 내 교통량이 혼잡한 교차로 구간을 프리캐스트 패널 공법 대신 현장타설(Cast-in-place) 궤도로 설계하여 장기간 차로 통제에 따른 극심한 교통 민원 및 공기 지연 리스크.</t>
    <phoneticPr fontId="1" type="noConversion"/>
  </si>
  <si>
    <t>· 전기 절연 구조 및 누설전류 포집 대책 누락으로 인접 지중 관로(가스관, 상수관 등)에 심각한 부식(전식)이 발생할 대형 재난 리스크를 검토하였는가?
- 매립형 궤도의 고무 프로파일 및 절연 블럭의 연속 절연 성능이 부족하거나 접지 포집망 및 배류기 연동이 불명확하여 지중 가스/상수관에 누설전류 전식 피해를 유발하는 리스크.</t>
    <phoneticPr fontId="1" type="noConversion"/>
  </si>
  <si>
    <t>· 지지강성 급변 구간(토공-구조물)에 강성 체감구조 및 전단키 누락으로, 부등침하에 따른 궤도 꺾임 및 장대레일 좌굴이 발생할 리스크를 검토하였는가?
- 토공과 교량/U-Type 구조물의 경계 접속부에서 지반 지지력 강성이 급변함에도 전단키(Shear Key) 및 보조도상 상세가 누락되어 접속부 부등침하로 인한 도상 파손 리스크.</t>
    <phoneticPr fontId="1" type="noConversion"/>
  </si>
  <si>
    <t>· 종단기울기를 무시한 무작위 콘크리트 타설 순서 설계로, 콘크리트가 흘러내려 재료 분리 및 도상 평탄도 불량이 발생할 리스크를 검토하였는가?
- 급구배 종단 기울기 구간의 도상 콘크리트 시공 시 타설 방향과 타설 순서(오르막/내리막) 구획 계획이 상세히 명시되지 않아 콘크리트 흘러내림 및 재료 분리 품질 불량 리스크.</t>
    <phoneticPr fontId="1" type="noConversion"/>
  </si>
  <si>
    <t>· 하부 조인트와 궤도 시공이음 불일치 설계로 구조물 거동 시 궤도 도상에 무작위 균열(Crack)이 발생할 리스크를 검토하였는가?
- 하부 토목 구조물(슬래브, BOX)의 신축이음 위치와 상부 매립궤도의 쏘컷(Saw Cut) 위치가 평면상으로 불일치하게 설계되어 양생 거동 시 궤도 도상에 균열이 불규칙하게 발생하는 리스크.</t>
    <phoneticPr fontId="1" type="noConversion"/>
  </si>
  <si>
    <t>· 윤연로 이물질 유입 방지 대책 및 배수/청소 계획 누락으로 이물질 고착에 의한 차륜 튐 현상 및 탈선 사고가 유발될 리스크를 검토하였는가?
- 매립형 레일의 홈(Groove) 내에 빗물, 토사, 낙엽 등 이물질이 체수될 때 드레인 박스 및 배수관 규격이 협소하거나 배수로 구배가 불량하여 플랜지가 들려 탈선 사고를 유발할 리스크.</t>
    <phoneticPr fontId="1" type="noConversion"/>
  </si>
  <si>
    <t>· 궤도-토목 간 인터페이스 누락으로 최소 지반탄성계수(Ev2) 기준이 미반영되어 궤도 하부 지지강성 부족에 의한 궤도 처짐이 발생할 리스크를 검토하였는가?
- 기초콘크리트 하부 강화노반의 최소 지반탄성계수(Ev2 &gt;= 80MPa) 다짐 기준이 설계도서에 명시되지 않아 노반 지지력 부족으로 인한 궤도 영구 침하 및 파손 리스크.</t>
    <phoneticPr fontId="1" type="noConversion"/>
  </si>
  <si>
    <t>· 기초·도상콘크리트 간 접합부 표면 거칠기 설계 누락으로, 트램 진동에 의한 층간 박리(Delamination) 현상이 유발될 리스크를 검토하였는가?
- 기초콘크리트와 궤도 도상콘크리트(TCL) 층간 접합부의 표면 거칠기 치수(Chipping) 및 규격 설계가 누락되어 트램 주행 하중과 열차 진동에 의해 층간 박리가 발생할 리스크.</t>
    <phoneticPr fontId="1" type="noConversion"/>
  </si>
  <si>
    <t>· 본선 및 기지 선형 설계 시, 최소 곡선반경 및 급곡선부 마찰 저감 대책을 적용하여 레일 편마모 및 소음·진동 발생 리스크를 완화하였는가?
- 본선 및 차량기지 내 급곡선(R=25m) 계획 구간에서 트램 통과 시 외측 레일의 횡압 분산 및 마찰 완화 장치(도유기 등)와 곡선 보강용 타이 바 설계가 누락되어 소음 진동 및 편마모가 급증할 리스크.</t>
    <phoneticPr fontId="1" type="noConversion"/>
  </si>
  <si>
    <t>· 토공구간 도상 설계 시, 지반 지지력 조건 및 설계 단면 두께의 정합성을 검증하여 과다 설계 및 구조 신뢰성 저하 리스크를 예방하였는가?
- 토공구간 기본설계 구조계산서 검토 시 설계 단면 두께(HSB 200mm)와 해석 조건(HSB 100mm)이 불일치하여 기본설계 성과품의 신뢰성이 저하되고 과다 설계로 사업비가 낭비될 리스크.</t>
    <phoneticPr fontId="1" type="noConversion"/>
  </si>
  <si>
    <t>· 매립형 선로전환기 설계 시, 폭우 및 장기 우수를 고려한 배수로 및 연결관로 배수 대책을 수립하여 장치 단락 및 전환 불능 리스크를 예방하였는가?
- 매립형 선로전환기(본선 및 기지) 개소의 배수 경사 및 연결관 배출 용량이 부족하여 폭우 시 가동 텅레일 박스 내 수분 침수로 인한 신호 전기 장치 단락 및 전환 불능 리스크.</t>
    <phoneticPr fontId="1" type="noConversion"/>
  </si>
  <si>
    <t>· 궤도 가조립 및 자재 야적장 계획 시, 타 공종과의 일정 및 동선 간섭을 사전 조율하여 공정 지연 리스크를 방지하였는가?
- 도심지 개량 트램 공사 특성상 협소한 작업공간으로 인해 본선구간 자재 적치 부지가 절대 부족하여 레일 용접 및 가조립이 불가능해져 후속 공정이 지연될 리스크.</t>
    <phoneticPr fontId="1" type="noConversion"/>
  </si>
  <si>
    <t>· 매립궤도 충진재 및 궤도 재료 선정 시, 차량 주행 하중 및 외기 온도 변화에 따른 내구성 기준을 만족하여 충진재 탈락 및 도상 파괴 리스크를 방지하였는가?
- 노면전차 궤도 특성상 노면 주행 차량의 하중으로 인한 레일 홈(Groove) 파손 및 레일 도상 접합부 충진재 탈락에 의한 궤도 침하 리스크.</t>
    <phoneticPr fontId="1" type="noConversion"/>
  </si>
  <si>
    <t>· 급곡선 구간(R=25m) 주행 시 차륜 횡압 증가에 따른 레일 조기 측면 마모 및 궤도 변형 리스크를 방지하기 위해 관련 기준 준수 및 설계 적정성을 검토하였는가?
- 차량기지 내 급곡선(R=25m) 구간 주행 시 차륜 외측 답면과 가드레일 간 마찰 완화 장치 및 횡저항력 보강재 누락으로 인해 레일 조기 측면 마모 및 궤도 궤간 선형이 변형될 리스크.</t>
    <phoneticPr fontId="1" type="noConversion"/>
  </si>
  <si>
    <t>· 교량 구간 매립궤도 연속타설부의 신축 조인트 위치 불일치에 따른 슬래브 균열 리스크를 방지하기 위해 관련 기준 준수 및 설계 적정성을 검토하였는가?
- 교량 거더 신축 조인트 위치와 매립궤도 도상콘크리트 신축 슬릿(분절) 설계가 횡단면 상에서 일치하지 않아 구조물 팽창 거동 시 도상 슬래브 층에 불규칙한 전단 파손 및 균열이 발생할 리스크.</t>
    <phoneticPr fontId="1" type="noConversion"/>
  </si>
  <si>
    <t>· 노면 분기기 결빙으로 인한 분기 레일 전환 불능 및 탈선 사고 리스크를 방지하기 위해 관련 기준 준수 및 설계 적정성을 검토하였는가?
- 혹한기 노면 분기기 가동부 및 토글 박스 결빙에 대비한 전기 히팅 융설 장치의 인입 케이블 및 배선 상세가 누락되어 동절기 텅레일 전환 불능으로 인한 탈선 사고 리스크.</t>
    <phoneticPr fontId="1" type="noConversion"/>
  </si>
  <si>
    <t>· 매립형 궤도 탄성재(절연 블럭) 경화 및 내구성 저하에 따른 열차 통과 시 소음 진동 민원 발생 리스크를 방지하기 위해 관련 기준 준수 및 설계 적정성을 검토하였는가?
- 매립형 궤도의 레일 가이드용 합성고무(EPDM) 탄성재의 정동적 강성비 기준 및 흡음 필러 블록 상세가 누락되어 기온 변화 시 고무 경화로 인한 소음 진동 민원이 유발될 리스크.</t>
    <phoneticPr fontId="1" type="noConversion"/>
  </si>
  <si>
    <t>· 트램 정거장 승객 대기 통로의 도로 측 배수 구배 경합에 따른 승강장 내 우수 유입 리스크를 방지하기 위해 관련 기준 준수 및 설계 적정성을 검토하였는가?
- 정거장 통로 주변 차도 배수 구배(2.0%)와 대기구역 횡단경사 계획이 경합하여 집중호우 시 승객 대기 통로 및 승강장 내부로 우수가 역류하여 승객 안전사고를 유발할 리스크.</t>
    <phoneticPr fontId="1" type="noConversion"/>
  </si>
  <si>
    <t>1. 가이드라인을 준수한 최소 용지폭 적용
 - 단선 용지폭 확대: 기본설계 원안의 3.8m 단선을 경찰청 편람 및 노면전차 가이드라인 기준을 충족하는 '검토1안(용지폭 4.2m 적용)'으로 변경하여 인허가 승인 요건을 확보하였음.</t>
    <phoneticPr fontId="1" type="noConversion"/>
  </si>
  <si>
    <t>철도_설계추진방향_표준횡단(시스템 공동관로)_Rev.01_260612.pdf -&gt; 일반구간 향후 결정되면 재작성</t>
    <phoneticPr fontId="1" type="noConversion"/>
  </si>
  <si>
    <t>전기</t>
    <phoneticPr fontId="1" type="noConversion"/>
  </si>
  <si>
    <t>· 정거장 및 배선 계획 수립 시, 타 교통수단 및 보행 동선의 혼잡도를 고려하고 간섭을 최소화하여 환승 병목 리스크를 방지하였는가?
- 망포역 환승정거장 배치 설계 시, 지하철 역사와의 수직/수평 환승 경로 혼잡도 분석 및 승객 통행 동선 분리 설계를 통해 승하차 병목 리스크.</t>
    <phoneticPr fontId="1" type="noConversion"/>
  </si>
  <si>
    <r>
      <t xml:space="preserve">1. 환승 동선 최적화 및 병목 제거 </t>
    </r>
    <r>
      <rPr>
        <b/>
        <sz val="10"/>
        <color rgb="FFFF0000"/>
        <rFont val="맑은 고딕"/>
        <family val="3"/>
        <charset val="129"/>
      </rPr>
      <t>(수원시 협의후 작성)</t>
    </r>
    <r>
      <rPr>
        <sz val="10"/>
        <color theme="1"/>
        <rFont val="맑은 고딕"/>
        <family val="3"/>
        <charset val="129"/>
      </rPr>
      <t xml:space="preserve">
 - 환승로 확장 및 동선 분리: 망포정거장 승강장 폭을 넓히고 지하철 2번 출구 연결통로를 일방통행식으로 설계 분리하여 역사 내 병목 리스크를 원천 제거함.</t>
    </r>
    <phoneticPr fontId="1" type="noConversion"/>
  </si>
  <si>
    <t>건축,교통분야</t>
    <phoneticPr fontId="1" type="noConversion"/>
  </si>
  <si>
    <t>구조</t>
    <phoneticPr fontId="1" type="noConversion"/>
  </si>
  <si>
    <t>· 도심지 트램 공사에 필요한 야적장 부지가 사전에 확보되지 않아 공사용 자재 반입 및 보관 계획에 차질이 생겨 공기 지연 리스크를 방지하였는가?
- 1공구(병점~동탄) 구간 도심지 특성상 야적장 부지 절대 부족으로, 자재 반입 동선 장거리화 및 야간 야적 불가에 따른 공기 지연 및 원가 상승 리스크.</t>
    <phoneticPr fontId="1" type="noConversion"/>
  </si>
  <si>
    <t>1. 1공구·2공구 구간별 야적장 후보지 위치 및 면적(㎡) 확보 여부 도면 대조 확인
2. 야적장 미확보 구간의 자재 반입 계획(셔틀 운반 거리, 야간 작업 제한 여부) 검토
3. 대체 임시 야적장 확보를 위한 공공부지(공원, 주차장 등) 협의 이력 및 승인 현황 확인</t>
    <phoneticPr fontId="1" type="noConversion"/>
  </si>
  <si>
    <r>
      <t>1. 사전 부지 협의 조기화: 발주처 및 화성시와 공공부지(공원, 임시주차장 등) 야적 활용 협의를 기본설계 단계에서 완료하여 공사착수 전 부지 확보
2. 구간 분산 야적 계획: 구간별 야적장을 분산 배치하고 자재 적치 수량을 최소화하는 JIT(Just-In-Time) 반입 계획 수립
-&gt;</t>
    </r>
    <r>
      <rPr>
        <b/>
        <sz val="10"/>
        <color rgb="FFFF0000"/>
        <rFont val="맑은 고딕"/>
        <family val="3"/>
        <charset val="129"/>
      </rPr>
      <t xml:space="preserve"> 16개 선정, 화성시에 요청함.</t>
    </r>
    <r>
      <rPr>
        <sz val="10"/>
        <color theme="1"/>
        <rFont val="맑은 고딕"/>
        <family val="3"/>
        <charset val="129"/>
      </rPr>
      <t xml:space="preserve"> 4000M2이상</t>
    </r>
    <phoneticPr fontId="1" type="noConversion"/>
  </si>
  <si>
    <t>1. 복합환승센터  착공 및 공사기간 화성시 협의 후 301정거장 착수시기 조정
2. 복합환승센터 구조물 간섭사항 인터페이스 후 실시설계시 협의, 현재단계 복합환승센터 화성시 계획확인 필요 (건축분야, 철도계획 )
301정거장 CP구간 아님</t>
    <phoneticPr fontId="1" type="noConversion"/>
  </si>
  <si>
    <r>
      <t xml:space="preserve">1. 1공구 내 교차로 구간(태안로 삼거리, 병점노을5·6·4·1로 삼거리, 10용사로 사거리 등) 시공 중 교통처리 단계별 계획도(차로 운영 변경 순서) 확인
2. 교차로별 교통량 분석 및 우회 경로 용량 검토
3. 신호 체계 변경 계획(가변 신호, 도로 전광판 안내 등) 관련 화성시 협의 이력 확인
</t>
    </r>
    <r>
      <rPr>
        <sz val="10"/>
        <color rgb="FFFF0000"/>
        <rFont val="맑은 고딕"/>
        <family val="3"/>
        <charset val="129"/>
      </rPr>
      <t>1공구 46개소, 2공구 44개소, 차량기지 1개소</t>
    </r>
    <phoneticPr fontId="1" type="noConversion"/>
  </si>
  <si>
    <t>1. 단계별 교통처리계획 수립 (효승이앤씨)</t>
    <phoneticPr fontId="1" type="noConversion"/>
  </si>
  <si>
    <t xml:space="preserve">  -검토중 (환경분야) : 환경(해림기술단)</t>
    <phoneticPr fontId="1" type="noConversion"/>
  </si>
  <si>
    <t>DL 자체 스마트 기술 선정 및 공사비 산출</t>
    <phoneticPr fontId="1" type="noConversion"/>
  </si>
  <si>
    <t>검수고 내에 250㎡(5m×50m) 규모의 별도 '차체작업장'을 추가 확보하는 대안수립 
이를 통해 차량을 인양하여 차체 받침대에 안전하게 올려놓고 정비 및 천정크레인 작업을 병행할 수 있도록 개선하여 작업의 안정성과 효율성 저하 리스크를 헷지함.</t>
    <phoneticPr fontId="1" type="noConversion"/>
  </si>
  <si>
    <t>차량기지  레이아웃 조정을 통해 경정비 검수동(24시간 근무) 구역과 중정비 검수동(8시간 근무) 구역을 시각적, 공간적으로 명확하게 분리하여 독립적으로 배치하도록 설계 대안을 수립함.이를 통해 작업 동선을 최적화하고 상호 간섭 리스크를 원천적으로 헷지함</t>
    <phoneticPr fontId="1" type="noConversion"/>
  </si>
  <si>
    <r>
      <t xml:space="preserve">변압기 및 트램 충전장치실을 2층으로 분리하여 배치하고, 1층의 충전공급장치는 물 사용이 전혀 없는 '일상 및 월상검사선' 옆의 여유 공간으로 이동 배치하여 감전 및 안전사고 리스크를 원천 차단함.또한, 장비 조작반 전용 공간을 확보하여 작업 안전성을 대폭 향상시킴. ---&gt; </t>
    </r>
    <r>
      <rPr>
        <b/>
        <sz val="10"/>
        <color rgb="FFFF0000"/>
        <rFont val="맑은 고딕"/>
        <family val="3"/>
        <charset val="129"/>
        <scheme val="minor"/>
      </rPr>
      <t>수정 필요</t>
    </r>
    <r>
      <rPr>
        <sz val="10"/>
        <color theme="1"/>
        <rFont val="맑은 고딕"/>
        <family val="3"/>
        <charset val="129"/>
        <scheme val="minor"/>
      </rPr>
      <t xml:space="preserve">. </t>
    </r>
    <r>
      <rPr>
        <b/>
        <sz val="10"/>
        <color rgb="FFFF0000"/>
        <rFont val="맑은 고딕"/>
        <family val="3"/>
        <charset val="129"/>
        <scheme val="minor"/>
      </rPr>
      <t>전기분야에서 무관하다고 하였음</t>
    </r>
    <phoneticPr fontId="1" type="noConversion"/>
  </si>
  <si>
    <r>
      <t xml:space="preserve">전기 분야 장비 제원을 반영하여 변전소 장비 반입구의 크기를 기존 '3m×4m'에서 '4m×4m'로 대폭 확대 조정하도록 명시. 또한, 기존 측벽 철거가 불가피했던 201정거장 지하 변전소를 구조 간섭이 없는 지상 1층 또는 지상 2층으로 위치를 전면 변경하고 전용 장비반입 셔터(또는 하부/측면 반입구)를 신설하도록 설계 대안을 수립, 향후 건축 구조물을 파쇄해야 하는 극단적인 유지보수 리스크를 원천 헷지함. </t>
    </r>
    <r>
      <rPr>
        <b/>
        <sz val="10"/>
        <color rgb="FFFF0000"/>
        <rFont val="맑은 고딕"/>
        <family val="3"/>
        <charset val="129"/>
      </rPr>
      <t>(전기,건축분야 협의필요, 검수는 5m요청)</t>
    </r>
    <phoneticPr fontId="1" type="noConversion"/>
  </si>
  <si>
    <t>· 검수고 피트(PIT) 하부 침수 시 특수 차륜 삭정 장비 침수에 따른 정비 불능 및 전기 단락 리스크를 방지하기 위해 관련 기준 준수 및 설계 적정성을 검토하였는가?
- 검수고 피트(PIT) 하부 침수 시 특수 차륜 삭정 장비 침수에 따른 정비 불능 및 전기 단락으로 인해 안전사고 및 추가 비용을 유발하는 리스크.</t>
    <phoneticPr fontId="1" type="noConversion"/>
  </si>
  <si>
    <t>· 검수고 등 유지관리 시설의 작업대 위치가 '건축한계' 기준인지 '차량 외곽' 기준인지 지침을 확인했는가?
- [호남고속철도차량기지] 객차검수고 상부 작업대 발판 위치가 설계 지침과 상이하여 수정 필요함에 따라 설계 완성도 저하 및 재시공 비용을 유발하는 리스크.</t>
    <phoneticPr fontId="1" type="noConversion"/>
  </si>
  <si>
    <t>· 광케이블 실시간 감시 시스템 누락으로 인한 선로 장애 복구 지연 리스크를 방지하였는가?
- 광케이블 전송 선로의 실시간 원격 감시 장치(RFTS) 설계 누락으로 미세한 광곡률 곡손 또는 단선 장애 시 OTDR 장비를 휴대한 현장 수동 측정으로 인해 통신 복구 시간이 지연되는 리스크.</t>
    <phoneticPr fontId="1" type="noConversion"/>
  </si>
  <si>
    <r>
      <t xml:space="preserve">1. 광케이블 감시장치(RFTS) 반영
 - 장애 감시 최적화: 광선로 장애 시 즉각 복구를 도모하기 위해 1:N 감시가 가능한 광케이블 감시장치(RFTS) 설계 사양과 예산을 기본설계안에 신규 추가 반영하였음. </t>
    </r>
    <r>
      <rPr>
        <b/>
        <sz val="10"/>
        <color rgb="FFFF0000"/>
        <rFont val="맑은 고딕"/>
        <family val="3"/>
        <charset val="129"/>
      </rPr>
      <t>-&gt; 기본설계에서는 감시시스템 미적. 추후 발주처 요구시 설계변경 추진</t>
    </r>
    <phoneticPr fontId="1" type="noConversion"/>
  </si>
  <si>
    <t>· PS-LTE 및 타 기관 LTE-R 통신망 공유 미연동으로 인한 음영 리스크를 방지하였는가?
- 타 공공망(PS-LTE, 국철 LTE-R) 기지국 장비 공유(RAN Sharing) 프로토콜 및 데이터 라우팅 규격 미비로 상호 백업망 접속 실패 리스크.</t>
    <phoneticPr fontId="1" type="noConversion"/>
  </si>
  <si>
    <t xml:space="preserve">1. RAN Sharing 지원을 위한 멀티 기지국 제어 소프트웨어 탑재 가능 여부 검토
2. 기관별 핵심망(EPC) 간의 통신 패킷 전송을 위한 물리적 연결 구성도 확인
</t>
    <phoneticPr fontId="1" type="noConversion"/>
  </si>
  <si>
    <t>1. 광케이블 용량 상향 반영
 - 확장성 확보: 장래 시스템 확장 및 연계 노선 대비를 위해 통신 광케이블 용량의 다각적 경제성 비교(72Core, 96Core)를 설계 검토서에 반영하고 예비율을 추가 확보하였음.</t>
    <phoneticPr fontId="1" type="noConversion"/>
  </si>
  <si>
    <t>1. 광케이블 루트 물리적 이중화
 - 물리적 단선 예방: 상/하선 공동구 매설 시 궤도 양안에 이격 배치하여 포설하고 교량 통과부 등 협소구간에서는 보호 스틸관을 적용하여 동시 단선 위해 요인을 원천 차단하였음.</t>
    <phoneticPr fontId="1" type="noConversion"/>
  </si>
  <si>
    <t>· CCTV 고장 실시간 진단 시스템 연동 미비로 인한 감시망 공백 장기화 리스크를 방지하였는가?
- 노선 내 영상 감시 카메라(CCTV)의 단선, 통신 장애 및 하드웨어 고장 상태를 실시간 감지하여 경보하는 NMS(네트워크 관리 시스템) 연동 설계가 결여되어 감시 기능 정지가 장기 방치되는 리스크.</t>
    <phoneticPr fontId="1" type="noConversion"/>
  </si>
  <si>
    <t>1. 통신 풀박스 침수 방지 설계
 - 광선로 품질 유지: 통신 풀박스의 내부 침수 및 결빙을 막기 위해 완전 방수형 배수 구조 풀박스를 설계반영</t>
    <phoneticPr fontId="1" type="noConversion"/>
  </si>
  <si>
    <r>
      <t>1. 통신기계실 접지 설계 반영
 - 장비 파손 방지: 낙뢰 서지로 인한 장비 파손을 원천 방지하기 위해 통신기계실에 1.0</t>
    </r>
    <r>
      <rPr>
        <sz val="10"/>
        <color theme="1"/>
        <rFont val="Calibri"/>
        <family val="3"/>
        <charset val="161"/>
      </rPr>
      <t>Ω</t>
    </r>
    <r>
      <rPr>
        <sz val="10"/>
        <color theme="1"/>
        <rFont val="맑은 고딕"/>
        <family val="3"/>
        <charset val="129"/>
      </rPr>
      <t xml:space="preserve"> 이하의 전용 독립 접지 시스템과 고성능 서지보호장치(SPD)를 이중으로 설계하였음.</t>
    </r>
    <phoneticPr fontId="1" type="noConversion"/>
  </si>
  <si>
    <t>· 차량검수정보 시스템 및 RAMS 시스템 적용여부에 대한 중복 투자 리스크를 방지하였는가?
- 동탄 트램 기지의 차량검수관리 시스템 구축 시 고장 및 정비 분석을 위한 실질 RAMS 요구 조건 분석을 누락하고 타 사업 사양을 단순 모방 설계하여 예산 낭비 또는 시스템 미활용 리스크.</t>
    <phoneticPr fontId="1" type="noConversion"/>
  </si>
  <si>
    <t xml:space="preserve">1. 차량검수 RAMS 시스템 기능을 차량검수정보시스템에 반영
 - 성능 검증 강화: 타 트램 사업(위례선 등)의 RAMS 적용 기준을 상세 분석하고 동탄 트램의 차량 가동률 목표에 적합하도록 고장분석 프로세스 및 데이터 규격을 조정 설계하였음. </t>
    <phoneticPr fontId="1" type="noConversion"/>
  </si>
  <si>
    <r>
      <t xml:space="preserve">1. 개방형 AFC 부정승차 대책
 - 개방형 역무처리의 단점을 보완하기 위해 차내 고화질 카메라와 단말기 태그를 연계 모니터링할 수 있는 기반 시스템을 설계하고 검표원 전용 단말기 연동을 반영하였음. -&gt; </t>
    </r>
    <r>
      <rPr>
        <b/>
        <sz val="10"/>
        <color rgb="FFFF0000"/>
        <rFont val="맑은 고딕"/>
        <family val="3"/>
        <charset val="129"/>
      </rPr>
      <t>발주처 협의를 통해 설계변경 유도사항임.</t>
    </r>
    <phoneticPr fontId="1" type="noConversion"/>
  </si>
  <si>
    <t>· 개방형 승강장 혼잡 감시 설계 미흡으로 인한 보행 밀집 및 낙상 사고 리스크를 방지하였는가?
- 지상 도로변 개방형 트램 승강장의 병목 현상 및 혼잡 상태를 감지하는 지능형 영상 분석 알고리즘이 설계에서 제외되어 인파 과밀 밀집에 따른 선로 낙상 및 안전사고를 사전 예방하지 못하는 리스크. (민원발생)</t>
    <phoneticPr fontId="1" type="noConversion"/>
  </si>
  <si>
    <r>
      <t xml:space="preserve">1. 차량 고장 데이터 자동 연계
 - 차량인터페이스 : 차상 TCMS 고장 진단 데이터를 LTE-R 무선망을 통해 차량기지 MIS 시스템으로 자동 실시간 수집·분석되도록 연동 프로토콜을 규격화하여 설계하였음. </t>
    </r>
    <r>
      <rPr>
        <b/>
        <sz val="10"/>
        <color rgb="FFFF0000"/>
        <rFont val="맑은 고딕"/>
        <family val="3"/>
        <charset val="129"/>
      </rPr>
      <t>(향후 인터페이스 협의사항)</t>
    </r>
    <phoneticPr fontId="1" type="noConversion"/>
  </si>
  <si>
    <t>· 한전 정전 시 정거장 비상 방송용 UPS 백업 용량 부족으로 대피 안내 미방송 리스크를 방지하였는가?
- 한전 전원 차단 비상 상황 시, 정거장 행선안내기(DID) 및 비상 스피커의 무정전 전원 공급 장치(UPS) 축전지 백업 용량 부족으로 20분 이내에 전원이 차단되어 피난 유도 방송이 중단되는 리스크.</t>
    <phoneticPr fontId="1" type="noConversion"/>
  </si>
  <si>
    <t>1. IP Wall 제어 프로세서 이중화
 - 영상 표출 지연을 방지하기 위해 GPU 가속 기능이 탑재된 고성능 영상 디코딩 서버와 표출 제어 장치의 프로세서 보드 이중화를 기본 설계에 적용하였음.</t>
    <phoneticPr fontId="1" type="noConversion"/>
  </si>
  <si>
    <t>· 차상 통신 전원 공급 과도전압 인입으로 인한 단말기의 빈번한 재부팅 리스크를 방지하였는가?
- 트램 차량의 엔진 시동/정지(기동 시) 전력 공급 서지 전압 및 전압 펄스 왜곡에 대한 과도전압 보호 장치 누락으로 차상 무선 단말기가 리셋 및 오동작하는 리스크.</t>
    <phoneticPr fontId="1" type="noConversion"/>
  </si>
  <si>
    <t>1. 차상 장치 서지 보호 설계
 - 전원 연속성 확보: 트램 기동 시 배터리 전압 변동에 영향을 받지 않도록 차상 전원 입력부에 고성능 과전압 차단 서지 필터와 절연형 DC/DC 컨버터를 장착 설계하였음. (차량 인터페이스)</t>
    <phoneticPr fontId="1" type="noConversion"/>
  </si>
  <si>
    <t>1. 기지국 거치대 내풍 내진 설계
 - 옥외 철도주 및 가로등주에 설치하는 RRU 브라켓과 안테나 지지대에 최대 45m/s 풍하중을 견디는 고강도 구조 상세 계산서를 준용 설계하였음.</t>
    <phoneticPr fontId="1" type="noConversion"/>
  </si>
  <si>
    <r>
      <t xml:space="preserve">1. 옥외 AFC 단말기 결빙 예방
 - 오작동 차단: 영하의 기온 하에서도 단말 기판이 상온을 유지할 수 있도록 하우징 내부에 온습도 감지 스마트 히팅 패널을 장착하고 고습도 방지 설계를 적용하였음. </t>
    </r>
    <r>
      <rPr>
        <sz val="10"/>
        <color rgb="FFFF0000"/>
        <rFont val="맑은 고딕"/>
        <family val="3"/>
        <charset val="129"/>
      </rPr>
      <t>(설계변경 아이템)</t>
    </r>
    <phoneticPr fontId="1" type="noConversion"/>
  </si>
  <si>
    <t>1. 승강장 비상 방송 
 - 승객 안전 피난: 소음이 심한 승강장 말단까지 대피 음성 유도가 완벽히 송출되도록 고출력 지향성 스피커 배치를 추가 반영하고 전기 음향 시뮬레이션을 완료하였음.</t>
    <phoneticPr fontId="1" type="noConversion"/>
  </si>
  <si>
    <t>1. 케이블 방서 및 인입부 차단
 - 기계실 바닥 관로 인입 마감부에 방수·방서용 난연성 우레탄 실링 처리를 상세 설계 도서에 명시</t>
    <phoneticPr fontId="1" type="noConversion"/>
  </si>
  <si>
    <t>1. 옥외 카메라 안개 제거 기능 적용
 - 감시 연속성 확보: 봄·가을 하천 주변 정거장의 짙은 안개 환경에서도 선로 지장물 확인이 가능하도록 광학 Defog 기능이 적용된 옥외형 카메라를 명시하였음.</t>
    <phoneticPr fontId="1" type="noConversion"/>
  </si>
  <si>
    <t>1. 트램도착 정보 연동 보완
 - 템포 매칭 및 승객 정보 표출: 신호 분야와의 무중단 이중화 통신 채널을 확보하여 실시간 2초 주기로 정보를 업데이트하고, 통신 일시 단절 시 디스플레이 자동 대체 문구 표출 로직을 반영하였음.</t>
    <phoneticPr fontId="1" type="noConversion"/>
  </si>
  <si>
    <t>· 지상 카메라 돔커버 난반사로 인한 주간 영상 가시성 저하 리스크를 방지하였는가?
- 지상 노출형 정거장 승강장에 설치하는 돔형 카메라(CCTV)의 구형 유리 커버 표면에 낮 시간 직사광선이 난반사(Glare)되어 화면이 뿌옇게 흐려지고 영상 가시성이 마비되는 리스크.</t>
    <phoneticPr fontId="1" type="noConversion"/>
  </si>
  <si>
    <t xml:space="preserve">차량기지 내 통신기기실 평면 크기를 5.5m x 5.0m 이상으로 확보 </t>
    <phoneticPr fontId="1" type="noConversion"/>
  </si>
  <si>
    <t xml:space="preserve"> 외부 연결 함체 방수 등급을 IP67로 상향</t>
    <phoneticPr fontId="1" type="noConversion"/>
  </si>
  <si>
    <t xml:space="preserve">· 교량구간(오산천교 등) 통신 케이블 접속부 처짐으로 인한 단선 및 접속 손실 발생 리스크를 방지하기 위해 관련 기준 준수 및 설계 적정성을 검토하였는가?
</t>
    <phoneticPr fontId="1" type="noConversion"/>
  </si>
  <si>
    <t xml:space="preserve">· 차량기지 관제실과 경비실 간의 전용 광케이블 루트 이중화 누락으로 외부 굴착 시 백업 불능 리스크를 방지하기 위해 관련 기준 준수 및 설계 적정성을 검토하였는가?
</t>
    <phoneticPr fontId="1" type="noConversion"/>
  </si>
  <si>
    <t xml:space="preserve">· 특화정거장 공용 로비 내 안내 방송용 스피커 음압 부족으로 화재 시 비상 대피 방송 청취 불가 리스크를 방지하기 위해 관련 기준 준수 및 설계 적정성을 검토하였는가?
</t>
    <phoneticPr fontId="1" type="noConversion"/>
  </si>
  <si>
    <t xml:space="preserve"> -내용보완</t>
    <phoneticPr fontId="1" type="noConversion"/>
  </si>
  <si>
    <t xml:space="preserve">· 정거장 비상 통화 장치(SOS 폰) 시각 장애인용 유도 블록 연계 미흡으로 교통약자 접근 차단 리스크를 방지하기 위해 관련 기준 준수 및 설계 적정성을 검토하였는가?
</t>
    <phoneticPr fontId="1" type="noConversion"/>
  </si>
  <si>
    <t xml:space="preserve">· 통신기기실 내 축전기(Battery) 폭발 시 할로겐 가스 배출 불량으로 장비 손실 및 질식 리스크를 방지하기 위해 관련 기준 준수 및 설계 적정성을 검토하였는가?
</t>
    <phoneticPr fontId="1" type="noConversion"/>
  </si>
  <si>
    <t xml:space="preserve">· 교량 신축 Joint 거동 구간 내 통신 케이블 가이더 파손 시 케이블 쓸림 단선 리스크를 방지하기 위해 관련 기준 준수 및 설계 적정성을 검토하였는가?
</t>
    <phoneticPr fontId="1" type="noConversion"/>
  </si>
  <si>
    <t xml:space="preserve">· 차량기지 경계 울타리 주변 음영 구역 발생 시 외부인 침입 감시 불능 리스크를 방지하기 위해 관련 기준 준수 및 설계 적정성을 검토하였는가?
</t>
    <phoneticPr fontId="1" type="noConversion"/>
  </si>
  <si>
    <r>
      <t xml:space="preserve">기지 울타리 기단 지주에 200만 화소 고화질 PTZ 카메라 및 열화상 지능형 분석 카메라를 80m 간격으로 교차 배치하고 광케이블 연동 모니터링 설계 반영, 보안구역 설정이후에 설치, 보안구역 설치는 국정원, </t>
    </r>
    <r>
      <rPr>
        <sz val="10"/>
        <color rgb="FFFF0000"/>
        <rFont val="맑은 고딕"/>
        <family val="3"/>
        <charset val="129"/>
      </rPr>
      <t>보안구역등급 미결정으로, 추후설계변경 사안임.</t>
    </r>
    <phoneticPr fontId="1" type="noConversion"/>
  </si>
  <si>
    <t>비상전화설비 누락으로 신속한 구조 요청 지연 및 골든타임을 놓칠 리스크를 검토하였는가?</t>
    <phoneticPr fontId="1" type="noConversion"/>
  </si>
  <si>
    <t>단선 구간의 물리적 거리 변화에 따른 첨두시 운행다이어(DIA) 분석 및 신호 통신 시스템(차축검지기, Tag 등)의 반응 주기를 시뮬레이션하여 선로 용량 허용 여부를 검증해야 함.</t>
  </si>
  <si>
    <t>• 철도_열차운행_설계추진방향_주박 및 단선운행(S01~S02) 검토_Rev.01_260610.pdf</t>
  </si>
  <si>
    <t>회차 위치 및 속도별 운행성능 시뮬레이션(TPS)을 정밀 수행하여, 기존의 첨두시 운행시격을 준수하면서도 차량 편성을 증가시키지 않는 한계 회차 시간과 최적 선형을 규명해야 함</t>
  </si>
  <si>
    <t>1.반복 시간이 최대 12.4분 이내로 소요되는 차량기지 내 최적 반복선을 확보하여 차량 증편 리스크를 해소함
2. 만약 전방회차를 설계할 경우, 입출고 열차와의 선로 경합을 피하기 위해 정거장 전방에 건넘선(＼/) 또는 시저스 분기기 설치 대안을 반영함</t>
  </si>
  <si>
    <t>편도 운행 시간과 아침 배차 시격을 매핑하여 각 시종점 정거장의 적정 주박 대수(예: 시점 3편성, 종점 4편성 등)를 도출하고 유지보수 작업 시간을 충분히 확보할 수 있는 상주 유치 계획을 분석해야 함</t>
  </si>
  <si>
    <t>· 노선 종단 정거장의 회차선 배선 및 회차 방식 변경에 따라 반복 회차 시간이 지연되고, 열차 운행 편성(차량 대수)이 증가할 리스크를 검토하였는가?
- 종단 정거장 회차선 위치를 기지 방향 후방으로 이동할 경우, 반복 운행 거리가 늘어나 회차 시간이 기존 약 4.83분(290초)에서 최대 7.2~7.9분으로 대폭 증가하여 열차 편성 수가 늘어날 우려가 있음</t>
  </si>
  <si>
    <t>· 시종점 정거장의 야간 주박(Stabling) 계획 누락으로 인해 첫차 출고 시간이 조기화되고, 야간 선로 유지보수 및 안전점검 시간(Maintenance Window)이 단축될 리스크를 검토하였는가?
- 시종점 정거장에 야간 주박선을 계획하지 않으면 영업 개시 전에 차량기지에서 원거리 출고가 강제되어 첫차 출고 시간(최대 42분 조기화)이 당겨지고, 야간 정비 차단 시간(최소 3.5~4.5시간)을 잠식함</t>
  </si>
  <si>
    <t>1.최적 주박 편성 계획을 설계에 반영하여 조기 출고에 따른 유지보수 시간 감소를 예방함
2.부지 경계 등으로 주박이 불가능할 경우, 출고 시 중간 정거장을 무정차 통과하는 '회송 운행' 계획을 도입하여 조기 출고 시간을 대폭 단축하고 타 분야 인터페이스를 최적화함</t>
    <phoneticPr fontId="1" type="noConversion"/>
  </si>
  <si>
    <t>1.[물리적 복선화] 복선 진입 안전 시간(0.5분) 확보를 위해 정거장 배후에서 최소 300m 이상의 복선 확보 거리를 설계에 반영함
2.[운영 시간 조정] 첨두시 상행 정차시간을 조정(기존 30초에서 1.5분으로 연장)하여 교행 경합을 일시적으로 우회함</t>
    <phoneticPr fontId="1" type="noConversion"/>
  </si>
  <si>
    <t>공정</t>
    <phoneticPr fontId="1" type="noConversion"/>
  </si>
  <si>
    <t>· 인근 신도시 개발 및 도로 확장 계획과의 선형 불일치로 인한 용지 보상 분쟁 및 매몰비용 발생 리스크를 방지하였는가?
- 기본설계 원안 노선이 장래 화성진안신도시의 도로계획상 트램 부지와 일치하지 않는 설계 불일치 오류존재. 구체적으로 본선 구간 및 101정거장에서 1.3m, 반월삼거리 통과구간에서 6.4m, 기타 도로 구간에서 1.5m의 선형 불일치 존재. 이를 방치할 경우 중복 굴착, 보도셋백 분쟁, 이중 용지보상비 집행 등에 따른 막대한 매몰비용 발생 및 사업 지연이 불가피한 리스크 발생</t>
    <phoneticPr fontId="1" type="noConversion"/>
  </si>
  <si>
    <r>
      <t xml:space="preserve">1. 트램-신도시 도로 계획선의 100% 일치화
 - 진안신도시 도로계획과 트램 부지를 전면 일치시켜 본선, 101정거장, 반월삼거리 통과구간의 선형 불일치를 완전히 해소하고 중복 투자 및 매몰비용 리스크를 원천 헷지함.
2. 용지 경계 및 도로 단면 미세 조정
 -일부 1.5m 불일치 구간은 노선을 우측으로 0.35m 미세 조정하고 보도폭을 일부 축소(6.25m </t>
    </r>
    <r>
      <rPr>
        <sz val="10"/>
        <color theme="1"/>
        <rFont val="Segoe UI Symbol"/>
        <family val="3"/>
      </rPr>
      <t>➔</t>
    </r>
    <r>
      <rPr>
        <sz val="10"/>
        <color theme="1"/>
        <rFont val="맑은 고딕"/>
        <family val="3"/>
        <charset val="129"/>
      </rPr>
      <t xml:space="preserve"> 5.90m)하여 사유지 저촉을 배제했으며, 101정거장 인근은 남측으로 약 0.5m 추가 도로 확장을 반영하여 관련 기관(LH)과 원활한 협의가 가능하도록 대안을 수립함.
3. 선형 불량 및 급곡선(R=30m) 개량
 -기본설계의 급곡선 S-CURVE 구간을 과감히 개량하여 곡선반경은 R=30m </t>
    </r>
    <r>
      <rPr>
        <sz val="10"/>
        <color theme="1"/>
        <rFont val="Segoe UI Symbol"/>
        <family val="3"/>
      </rPr>
      <t>➔</t>
    </r>
    <r>
      <rPr>
        <sz val="10"/>
        <color theme="1"/>
        <rFont val="맑은 고딕"/>
        <family val="3"/>
        <charset val="129"/>
      </rPr>
      <t xml:space="preserve"> R=90m, R=50m </t>
    </r>
    <r>
      <rPr>
        <sz val="10"/>
        <color theme="1"/>
        <rFont val="Segoe UI Symbol"/>
        <family val="3"/>
      </rPr>
      <t>➔</t>
    </r>
    <r>
      <rPr>
        <sz val="10"/>
        <color theme="1"/>
        <rFont val="맑은 고딕"/>
        <family val="3"/>
        <charset val="129"/>
      </rPr>
      <t xml:space="preserve"> R=200m로 대폭 확대하고, 곡선 길이를 7.6m </t>
    </r>
    <r>
      <rPr>
        <sz val="10"/>
        <color theme="1"/>
        <rFont val="Segoe UI Symbol"/>
        <family val="3"/>
      </rPr>
      <t>➔</t>
    </r>
    <r>
      <rPr>
        <sz val="10"/>
        <color theme="1"/>
        <rFont val="맑은 고딕"/>
        <family val="3"/>
        <charset val="129"/>
      </rPr>
      <t xml:space="preserve"> 21.6m로 대차간격(11.5m) 이상 대폭 연장해 주행 안전성을 보장하고 마찰 소음 품질을 향상시켰음.</t>
    </r>
    <phoneticPr fontId="1" type="noConversion"/>
  </si>
  <si>
    <t>1.화성진안 공공주택지구 광역교통개선대책(지방도 318호선, 영통로 확장 및 국지도 315호선 확장) 계획을 정밀 분석하고, 관계기관(LH, 화성시 등)과 조속히 협의하여 도로 계획선에 트램 선형을 매핑
2.동시에 기본설계 원안에 반영된 급곡선(S-CURVE) 등 주행 불안정 구간에 대한 기하구조 개량 방안을 검토해야 함</t>
    <phoneticPr fontId="1" type="noConversion"/>
  </si>
  <si>
    <r>
      <t xml:space="preserve">1. 정거장 평면 및 종단선형 설계도서의 R값, 캔트 확인
2. 차량 동적 한계 대비 승강장 확폭량 설계 수식 및 확폭량 적정성 검토
</t>
    </r>
    <r>
      <rPr>
        <sz val="10"/>
        <color rgb="FFFF0000"/>
        <rFont val="맑은 고딕"/>
        <family val="3"/>
        <charset val="129"/>
      </rPr>
      <t>차량선정 실시설계 단계에서 결정</t>
    </r>
    <r>
      <rPr>
        <sz val="10"/>
        <color theme="1"/>
        <rFont val="맑은 고딕"/>
        <family val="3"/>
        <charset val="129"/>
      </rPr>
      <t>, 곡선부 승강장은 없음</t>
    </r>
    <phoneticPr fontId="1" type="noConversion"/>
  </si>
  <si>
    <r>
      <t xml:space="preserve">1. 수인분당선 망포역 및 주변 지장물 간섭 해소 </t>
    </r>
    <r>
      <rPr>
        <b/>
        <u/>
        <sz val="10"/>
        <color rgb="FFFF0000"/>
        <rFont val="맑은 고딕"/>
        <family val="3"/>
        <charset val="129"/>
      </rPr>
      <t>(수원시 협의사항)</t>
    </r>
    <r>
      <rPr>
        <sz val="10"/>
        <color theme="1"/>
        <rFont val="맑은 고딕"/>
        <family val="3"/>
        <charset val="129"/>
      </rPr>
      <t xml:space="preserve">
 - 망포역 간섭 해소 : S01정거장 지하변전실과 수인분당선 망포역 지하구조물 및 엘리베이터(E/V)의 저촉(이격거리 0.35m) 문제를 해결하기 위해 지하변전실의 위치를 약 100m 이동 배치하여 지장물 간섭을 완전히 원천 차단하였음.
 - 정거장 접근성 및 환승 동선 확보: 정거장 위치 조정을 통해 수인분당선 망포역 2번 출입구와의 환승동선을 최소화(환승거리 24m)하여 이용 승객의 보행 편의성을 대폭 향상시켰음.</t>
    </r>
    <phoneticPr fontId="1" type="noConversion"/>
  </si>
  <si>
    <t>1. 궤도 주행 안전성 확보 및 예산 오버런 방지
 - 단차 방지 공법 적용 : 토공부-교량 접속부에 부등침하 억제용 접속슬래브 및 지반개량 공법을 반영하여 허용 단차 3mm 이하를 만족하도록 하였음.
 - 누락 사업비 반영: 기본설계 누락분(통로박스, 가시설 등)에 대한 약 58억 원의 사업비를 상세 내역서에 반영하여 설계변경 리스크를 헷지하였음.
 - 노선 대안 다각화: 대안1(보수비 7억) 및 대안2(보수비 14억)의 LCC를 정밀 비교하여 최종 선형을 도출함.</t>
    <phoneticPr fontId="1" type="noConversion"/>
  </si>
  <si>
    <t>· 선로 배선 계획 시 주박선 용량 부족 및 열차 출고 시간 지연으로 인한 운행 효율 저하 리스크를 방지하였는가?
- 기본설계의 1단계 개통안에 따르면, 임시 종단 정거장인 114역에서 구간반복 회차가 원천적으로 불가능하고 오직 종단역 내 주박 2편성만 가능한 상태여서 영업 운행 효율 저하우려됨
. 또한 본선 상의 기존 건넘선이 일방향으로만 배치되어 비상 운행 대응력이 낮았고, 2공구 중간에는 비효율적인 Y선 형태의 대피선만 계획되어 있어 고장차 발생 시 차량기지로의 신속한 구원이 차단되는 등 열차 출고 및 이례상황 대비 정시 운행 효율이 저하될 위험이 존재함.</t>
    <phoneticPr fontId="1" type="noConversion"/>
  </si>
  <si>
    <t>1.1단계 임시 개통 시 114정거장에서 열차의 구간반복 회차 및 주박이 동시에 원활히 기능하도록 추가 배선 계획을 수립
2. 아울러 본선의 운행 효율과 안전성을 높이기 위해 비효율적인 일방향 건넘선 및 Y선형 대피선을 정리하고, 선로를 양방향(대칭형)으로 개량하며 균등한 간격으로 비상 건넘선을 재배치하는 대안을 설계에 반영해야함.</t>
    <phoneticPr fontId="1" type="noConversion"/>
  </si>
  <si>
    <t>1. 114정거장 임시 회차 배선 전격 반영
 -1단계 단독 개통 조건에 발맞추어 114정거장에 주박(2편성) 기능뿐만 아니라 신속하고 안정적인 구간반복 회차가 가능하도록 추가 회차용 선로 배선 변경안을 반영하여 출고 및 운행 정체 리스크를 해소함.
2. 본선 건넘선 양방향 대칭화 및 대피선 최적화
 -동일 방향 설정으로 운행 제약이 발생하던 기존 건넘선들을 대칭되도록 방향을 전면 변경 제안. 또한 차량기지 인접 거리(3.0km 이하)에 설치되어 활용도가 낮았던 207역 하행 대피선과 2공구 중간의 비효율적인 대피선(103역, 108역 등)들을 과감히 철거하고 일관성 있는 건넘선 형태로 일원화
3. 비상 건넘선 추가 및 간격 균등화
 - 장거리 무건넘선 구간이었던 201~207역 사이에  204역 비상 건넘선(＼)을 신설(3,441m 간격)하고, 2공구에도 중간 지점(112역, 116역 등)에 건넘선을 신규 배치하여 최종적으로 1공구 평균 3.50km, 2공구 평균 3.85km 간격으로 균등하고 촘촘한 비상 건넘선망을 확보함.</t>
    <phoneticPr fontId="1" type="noConversion"/>
  </si>
  <si>
    <t>· 일부 구간의 단선계획 수립 시, 첨두시 상·하행 열차 교행 경합에 따른 선로 용량 마비 및 열차 운행 불가 리스크를 검토하였는가?
- 복선 노선 중 특정 구간을 부분 단선으로 변경하는 경우, 첨두시 상·하행 열차의 교행 경합이 발생하여 정상적인 열차운행다이어(DIA) 구성 자체가 불가능하고 병목 구간이 형성됨</t>
    <phoneticPr fontId="1" type="noConversion"/>
  </si>
  <si>
    <t>· 차량기지 부지 계획고 설정 부적정으로 인한 대규모 절성토 불균형 및 사토 처리에 따른 예산 초과 리스크를 방지하였는가?
- 기본설계상 기지 계획고 설정 오류로 과도한 깎기/쌓기 물량 불균형이 발생하고, 외부 사토 및 토사 유입 비용이 증가하는 리스크.</t>
    <phoneticPr fontId="1" type="noConversion"/>
  </si>
  <si>
    <t>1. 차량기지 부지 현황 종단 면적 및 토량 균형 곡선(Mass Curve) 정밀 산출서 설계 기준 만족 여부 및 도면 정합성 검토
2. 차량기지 지반 계획고 조정에 따른 주차장, 선로 및 인접 도로와의 종단 단차 설계 기준 만족 여부 및 도면 정합성 검토
3. 외부 사토 처리량 및 토사 운반 경로 단축 대책서 정합성 도면 대조 및 규정 부합 여부 확인</t>
    <phoneticPr fontId="1" type="noConversion"/>
  </si>
  <si>
    <t>· 차량기지 내 지상 저류시설 배치로 인한 부지 활용도 저하 및 미래 주박선 확장이 불가능한 리스크를 방지하였는가?
- 차량기지 지상부에 오픈형 대형 유수지를 설치함에 따라 주박선 및 기지 건물 배치 면적이 감소하는 리스크.</t>
    <phoneticPr fontId="1" type="noConversion"/>
  </si>
  <si>
    <t>1.최적 부지계획고(FH) 상향 조정
 - 기본설계의 차량기지 부지계획고(FH=146.0m)가 과도한 절토 및 대형 옹벽을 유발함을 식별하고, 기본설계 대비 5m 상향한 'FH=151.0m'를 최적 부지계획고로 선정하여 리스크 발생 원인을 구조적으로 차단함.
2.절성토 불균형 해소 및 사토 처리비 대폭 절감
 - 계획고를 상향하여 흙깎기 물량을 대폭 감소시킴으로써, 흙깎기 공사비를 50.3억 원에서 18.6억 원으로 줄이고 외부 사토 처리비를 42.4억 원에서 25.7억 원으로 절감하여 토사 처리 예산 초과 리스크 헷지
3.대규모 깎기 옹벽 축소 및 총공사비 절감
 - 종점부 비탈면 높이가 낮아짐에 따라, 기본설계 상 59.6억 원에 달하던  대규모 깎기부 옹벽 설치 공사비를 25.4억 원으로 대폭 축소(약 34.2억 원 절감). 결과적으로 단차 보강 구조물(보강토 옹벽 등) 증가분을 상쇄하고도 토공 및 구조물을 합친 관련 총공사비를 152.6억 원에서 93.6억 원으로 약 59.0억 원 절감하여 예산 상승 리스크 헷지함.</t>
    <phoneticPr fontId="1" type="noConversion"/>
  </si>
  <si>
    <t>1.차량기지 주변 토공사면 안정성 확보 및 부지면적(용지 편입면적)을 최적화할 수 있는 토목 구조 계획 수립 여부 검토.
2.차량기지 부지계획고(FH) 레벨 조정에 따른 비탈면 규모(깎기/성토) 축소 및 실질적인 용지편입면적 최소화 대책 검토.
3.지형 특성을 활용한 복합 시설 배치(예: 지하주차장 설치, 검수고와 종합관리동 인접 배치 등)를 통해 차량기지 필요 면적 자체를 최적화했는지 확인.</t>
    <phoneticPr fontId="1" type="noConversion"/>
  </si>
  <si>
    <t>· 천장크레인 Runway 거더 가설 앵커 용량 부족 시 중량물 인양 중 거더 탈락 붕괴 리스크를 방지하기 위해 관련 기준 준수 및 설계 적정성을 검토하였는가?
- 천장크레인 Runway 거더 가설 앵커 용량 부족 시 중량물 인양 중 거더 탈락 붕괴로 인해 안전사고 및 추가 비용을 유발하는 리스크.</t>
    <phoneticPr fontId="1" type="noConversion"/>
  </si>
  <si>
    <t>철도_설계추진방향_2공구 종점부 선형검토_Rev.02_260612.pdf.</t>
    <phoneticPr fontId="1" type="noConversion"/>
  </si>
  <si>
    <t>극상</t>
    <phoneticPr fontId="1" type="noConversion"/>
  </si>
  <si>
    <t>중</t>
    <phoneticPr fontId="1" type="noConversion"/>
  </si>
  <si>
    <t>하</t>
    <phoneticPr fontId="1" type="noConversion"/>
  </si>
  <si>
    <t xml:space="preserve">중 </t>
    <phoneticPr fontId="1" type="noConversion"/>
  </si>
  <si>
    <t>· 차량기지 인접 구간 내 대피선 설치의 비효율성으로 인한 토목 공사비 낭비 및 선로 복잡성 상승 리스크를 방지하였는가?
- 차량기지와의 거리가 인접(3.0km 이하)하여 열차 고장 시 직접 기지 입고가 가능함에도 207정거장 대피선을 존치하여 원가가 상승하고 선로 복잡성이 가중되는 리스크.</t>
    <phoneticPr fontId="1" type="noConversion"/>
  </si>
  <si>
    <t>1. 비효율 대피선 배제 및 예산 절감
 - 207 대피선 철거: 효율성이 낮은 207 대피선을 노선 계획에서 철거하여 불필요한 궤도 및 전기 공사비를 억제하고 선로 구조를 단순화하였음.</t>
    <phoneticPr fontId="1" type="noConversion"/>
  </si>
  <si>
    <t xml:space="preserve"> 1. 신설 교량 구조물 접속부의 부등침하 영향 및 방지 대책 수립 가능성을 기술적으로 검증
 2. 기본설계 내역 중 통로박스, 임시 가설재(가시설) 등 누락된 필수 공정의 실제 소요 비용산출
 3. 교량 건설 시 수반되는 승강장 연결선, 엘리베이터(E/V) 등 건축 부대시설 규모의 적정성
 4. 교량안 보완이 불가능할 경우를 대비하여 기존 도로망(동탄나루로, 동탄신리천로)을 활용한 우회 대안 노선을 설계하고 비교·검토</t>
    <phoneticPr fontId="1" type="noConversion"/>
  </si>
  <si>
    <t>입찰 TF팀
김성호 부장
하영민 부장</t>
    <phoneticPr fontId="1" type="noConversion"/>
  </si>
  <si>
    <t>1. 본선 및 정거장 전 구간의 지하매설물 데이터를 전수조사하여 공종별(상·하수도, 가스, 열배관, 전력, 통신 등)로 도급자 직접 시행 범위(연장)와 관계기관 위탁 시행 범위를 물리적으로 명확히 획정
2. 유관기관 위탁분에 대해 발주처-관계기관 간 요구되는 원인자 부담금 등 비용 협의의 진행 상태 및 협정서 체결 Key-Date를 추적 관리
3. 비용 협의 교착으로 이설 공사가 정체될 경우를 대비하여, 전체 주공정선(C.P.)의 마비를 방어할 수 있는 공정 처리 시나리오를 수립함.</t>
    <phoneticPr fontId="1" type="noConversion"/>
  </si>
  <si>
    <t>1. 계획 노선 영향권 내에서 병행 추진되는 유관 개발 사업(복합환승센터, 인근 역사 복합개발 등)의 선행 공정과 물리적 인터페이스 지점을 도면상에서 정밀 전수 매핑
2. 연계 사업 지연 리스크가 트램 공정에 직접 전이되는 것을 차단하기 위해 시설물 위치 독립화 대안을 마련하고, 가시설 공기를 자체 단축하는 공법 개량안을 수립</t>
    <phoneticPr fontId="1" type="noConversion"/>
  </si>
  <si>
    <t>· 병점역 복합개발 일정 변동으로 인한 변전소 위치 변경 및 송전 차질 리스크를 방지하였는가?
- 301정거장 지상 변전소가 병점역 복합개발 사업 부지 내 기부채납 시설물에 통합되는 안으로 조율 중이나, 개발 추진 주체 간 갈등으로 개발 계획 취소 시 변전소 신설이 표류하여 트램 전력 수급에 차질을 빚는 리스크.</t>
    <phoneticPr fontId="1" type="noConversion"/>
  </si>
  <si>
    <t>· 하천 및 연약지반 횡단 구간의 대규모 신설 교량 계획에 대해 기술적·경제적 타당성을 원점에서 검토하고, 공사비 최소화 및 구조적 취약점 해결을 위한 대안 노선(우회 노선 등) 최적화 검토를 수행하였는가?
-당초 기본설계는 나루교와 평행하게 오산천을 횡단하는 대형 신설 교량(L=655m) 계획을 포함하고 있었음. 그러나 설계 검토 및 현장 조사 과정에서 구조물 경계부의 침하 우려와 대규모 공사비 누락(가시설 공사비)이 발견되어, 교량 건설 계획 자체의 적정성에 대한 근본적인 재검토가 요구됨.</t>
    <phoneticPr fontId="1" type="noConversion"/>
  </si>
  <si>
    <r>
      <t xml:space="preserve">[1단계: 교량 계획 적정성 점검 및 리스크 식별]
오산천교 신설안을 정밀 검토한 결과, 두 가지 치명적인 리스크가 식별.
① 구조적 리스크: 토공부와 교량 경계부의 부등침하로 인해 3mm 이상의 구조물 단차 발생이 우려되어 주행 안전성 확보가 까다로움
② 원가 리스크: 기본설계에 통로박스 및 가시설 계획 등 필수 공정이 누락되어 약 58억 원의 추가 공사비 증액이 불가피함
[2단계: 단계별 헷지방안 비교 및 검토]
위 리스크를 해결하기 위해 설계팀은 세 가지 헷지 시나리오를 검토함.
- 시나리오 A (교량안 유지 + 구조 보강): 부등침하 방지 대책을 수립하고 누락된 58억 원을 추가 반영하여 교량을 건설하는 방안 </t>
    </r>
    <r>
      <rPr>
        <sz val="10"/>
        <color theme="1"/>
        <rFont val="Segoe UI Symbol"/>
        <family val="3"/>
      </rPr>
      <t>➔</t>
    </r>
    <r>
      <rPr>
        <sz val="10"/>
        <color theme="1"/>
        <rFont val="맑은 고딕"/>
        <family val="3"/>
        <charset val="129"/>
      </rPr>
      <t xml:space="preserve"> 증액 규모가 너무 크고 공기가 늘어나 비합리적인 것으로 판명됨
- 시나리오 B (대안 2: 동탄신리천로 우회): 교량을 배제하고 동탄신리천로(L=2,223m)로 우회하는 방안 </t>
    </r>
    <r>
      <rPr>
        <sz val="10"/>
        <color theme="1"/>
        <rFont val="Segoe UI Symbol"/>
        <family val="3"/>
      </rPr>
      <t>➔</t>
    </r>
    <r>
      <rPr>
        <sz val="10"/>
        <color theme="1"/>
        <rFont val="맑은 고딕"/>
        <family val="3"/>
        <charset val="129"/>
      </rPr>
      <t xml:space="preserve"> 노선 연장이 423m 증가하여 추가 정거장이 발생하고 보도셋백비(15억), 교량 보수보강비(14억) 등으로 인해 총공사비가 134.97억 원으로 상승하여 경제성이 떨어짐
- 시나리오 C (대안 1: 동탄나루로 우회): 교량을 배제하고 동탄나루로(L=1,672m)로 우회하는 방안 </t>
    </r>
    <r>
      <rPr>
        <sz val="10"/>
        <color theme="1"/>
        <rFont val="Segoe UI Symbol"/>
        <family val="3"/>
      </rPr>
      <t>➔</t>
    </r>
    <r>
      <rPr>
        <sz val="10"/>
        <color theme="1"/>
        <rFont val="맑은 고딕"/>
        <family val="3"/>
        <charset val="129"/>
      </rPr>
      <t xml:space="preserve"> 신설 교량이 전혀 없고(L=0m), 기존 나루교 보수보강비(7억)만 소요되어 구조적 단차 우려가 원천 차단됨
[3단계: 최종 결정 - 대안 1 노선 확정]
기술적 안전성과 경제성을 종합 극대화하기 위해 신설 교량을 전면 배제하고 기존 동탄나루로를 통과하는 '대안 1' 노선으로 변경을 최종 결정함. 이 결정을 통해 - 3mm 단차 발생 우려와 승강장 연결 E/V 설치 소요를 원천 배제하여 구조 및 건축적 안전 품질을 확보하였음
- 기본설계 실제 공사비(227.56억 + 누락 58억 = 285.56억) 대비 대안 1안(88.71억)으로 변경함으로써 약 196.85억 원의 예산을 획기적으로 절감하는 최선의 헷지 성과를 달성함. 
.</t>
    </r>
    <r>
      <rPr>
        <b/>
        <sz val="10"/>
        <color rgb="FFFF0000"/>
        <rFont val="맑은 고딕"/>
        <family val="3"/>
        <charset val="129"/>
      </rPr>
      <t>---&gt; 화성시와 어떻게 협의를 했는지 전략설명, 그러나 노선변경시 그에따른 인허가 등은 기본계획을 변경한 계약상대자의 책임임.. 이 부분 어떻게 헷지할 것인가</t>
    </r>
    <phoneticPr fontId="1" type="noConversion"/>
  </si>
  <si>
    <t>조치완료시기</t>
    <phoneticPr fontId="1" type="noConversion"/>
  </si>
  <si>
    <t>입찰 TF팀
김영환 부장
김태우 차장</t>
    <phoneticPr fontId="1" type="noConversion"/>
  </si>
  <si>
    <t>입찰 TF팀
김영환 부장
김성민 차장</t>
    <phoneticPr fontId="1" type="noConversion"/>
  </si>
  <si>
    <t>입찰 TF팀
김영환 부장
남 차장</t>
    <phoneticPr fontId="1" type="noConversion"/>
  </si>
  <si>
    <r>
      <t xml:space="preserve">· 인접 주변 개발계획 및 본사업과 중첩되는 국가철도/지하철/광역인프라 사업의 추진이 지연되어,  트램 노선 및 주요 시스템 구조물의 실시설계 및 시공공정에 영향을 미쳐 전체 사업 공기가 지연될 리스크를 검토하였는가?
- 기본설계 원안에서 </t>
    </r>
    <r>
      <rPr>
        <b/>
        <sz val="10"/>
        <color rgb="FFFF0000"/>
        <rFont val="맑은 고딕"/>
        <family val="3"/>
        <charset val="129"/>
      </rPr>
      <t>S01(망포역) 지하 변전실 계획은</t>
    </r>
    <r>
      <rPr>
        <sz val="10"/>
        <color theme="1"/>
        <rFont val="맑은 고딕"/>
        <family val="3"/>
        <charset val="129"/>
      </rPr>
      <t xml:space="preserve"> "망포역 복합개발 연계"에 따른 대기 상태로 분류되어 있었음.
. 복합개발(수인분당선 역사 및 지하주차장 연결통로 공사)과의 정밀 인터페이스 협의가 필수적이었으나, 행정 조율이 지연되면서 변전실(연장 53.80m, 폭 12.20m, 굴착심도 10.60m) 위치 변경 필요. 또한, 기본설계 원안의 주박선 및 전력 선로 계획이 기존 수인분당선 망포역 1번 출입구 및 환기구 시설, 외부 엘리베이터(E/V) 등과 불과 0.35m 거리로 밀착되어 심각한 물리적 구조물 간섭으로 인한 시공 불가상태로, 선행 개발 계획의 일정 지연이 전체 주공정선(C.P.)을 지연시키는 위험요소가 있음.</t>
    </r>
    <phoneticPr fontId="1" type="noConversion"/>
  </si>
  <si>
    <t>1. 병점역 연계 리스크 관리
 - 이중 계획 수립: 병점역 복합개발 연계안과 독립 배치안을 병행 준비하고, 분야별 시설규모 최적화를 완료하여 어느 안이든 즉시 적용 가능한 설계를 확보하였음.</t>
    <phoneticPr fontId="1" type="noConversion"/>
  </si>
  <si>
    <t>지장물 이설 및 처리 시 도급자 직접 시행분과 유관기관 위탁 시행분의 분장 모호성 및 위탁분에 대한 비용 분담 협의 지연으로 인해 전체 공기가 연장되는 리스크를 검토하였는가?
 - 설계현황 (원안의 한계) : 도심지 도로 하부의 통신, 전력, 상수도, 열배관 등 복잡한 지장물은 시공사 직접 이설(도급자분)과 시설물 소유기관에 이설을 의뢰하는 위탁 이설(위탁분)로 구분. 그러나 이설 책임 주체 및 위탁 비용에 대해 발주처와 관계기관 간의 사전 협의와 분담 비율 정립이 지연될 경우, 행정 승인이 멈추고 공사가 셧다운되면서 공기 연장 분쟁으로 이어질수 있을 가능성 농후함.</t>
    <phoneticPr fontId="1" type="noConversion"/>
  </si>
  <si>
    <r>
      <t xml:space="preserve">[1단계: 지장물 소관 및 수행 주체 분류식 이원화 관리]
- 자체 정밀조사를 바탕으로 본선 및 주변 가시설 구간의 모든 지하 지장물에 대해 '도급자 직접 이설(상수관, 하수관, 오수관 일부 등)'과 '위탁자 시행 이설(광역상수관, 가스관, 한전 전력구, 통신사 공동구 등)'을 명확히 분류한 매트릭스를 구축하여 책임 한계를 사전에 가시화
[2단계: 비용 협의 지연에 대응한 기술 계약적 안전장치 확보]
- 발주처와 관계 유관기관 간 위탁분 비용 협의 지연이 시공사의 책임으로 전가되는 것을 방지하기 위해, 입찰 및 설계제안 단계에서부터 지장물 현황 및 관계기관 협의 경계 조건을 명문화하여 향후 공기 연장 및 간접비 청구의 객관적 면책 근거 자료로 명시, </t>
    </r>
    <r>
      <rPr>
        <u/>
        <sz val="10"/>
        <color rgb="FFFF0000"/>
        <rFont val="맑은 고딕"/>
        <family val="3"/>
        <charset val="129"/>
      </rPr>
      <t>화성시 및 관계기관 지장물 이설 지침,조례등 확인</t>
    </r>
    <r>
      <rPr>
        <sz val="10"/>
        <color theme="1"/>
        <rFont val="맑은 고딕"/>
        <family val="3"/>
        <charset val="129"/>
      </rPr>
      <t xml:space="preserve">
[3단계: 패스트트랙 및 우선착공 구간 분할 시공
- 비용 협의가 장기화될 것으로 예상되는 병목 구간에 공정이 묶이지 않도록, 지장물 간섭이 없거나 이설이 즉시 가능한 구간을 '우선착공 구간'으로 선별(총 16개소, 연장 1,571.25m 확보, 전체 노선 대비 약 11.4% 수준)하여 세분화된 시공구간 분할 계획을 적용함으로써 공기 지연의 충격을 흡수하는 실질적 헷지안을 반영하였음.</t>
    </r>
    <phoneticPr fontId="1" type="noConversion"/>
  </si>
  <si>
    <r>
      <t>[1단계: 상호 간섭 구조물 배제를 위한 기계실/변전실 위치 독립화]
- 타 기관 개발 예정 부지 및 기존 지하철 역사 본체 구조물과의 정밀 연계 간섭이 우려되는 지하 시스템 시설물(변전소 등)의 위치를 공정 영향이 없는 독자적인 부지 또는 외측 방향으로 약 100m 이동 설계하여 물리적 독립성을 확보.
[2단계: 연계 지연 대비 가시설 구조 개량 및 자체 토공기 압축]
- 인접 개발 연계 및 지하안전평가 승인 지연 등으로 유발될 수 있는 일정 손실을 시공 단계에서 자체 만회하기 위해 가시설 구조 설계를 개선. 지하 굴착 가시설 설계 시 측벽 말뚝의 규격과 강성을 상향하여 말뚝 배치 간격을 넓힘으로써, 시공 난이도를 완화하고 토공사 기간을 획기적으로 단축하도록 유도하여 공정 복구 능력향상.
[3단계: 선제적 계약 면책 근거 확보 및 우선착공 구간 분할 시공]
- 타 기관의 이설 협의나 비용 부담 분쟁이 장기화될 경우에 대비해 즉시 시공이 가능한 무지장물 구간들을 '우선착공 구간 '으로 분할 선별하여 선행 시공하는 패스트트랙 공정 기법적용
. 동시에 행정 협의 지연 책임에 대해 입찰 제안 단계에서부터 명확한 계약적 근거 자료를 명시하여 향후 공기 연장 및 간접비 분쟁 리스크를 원천 헷지하였습니다</t>
    </r>
    <r>
      <rPr>
        <b/>
        <sz val="10"/>
        <rFont val="맑은 고딕"/>
        <family val="3"/>
        <charset val="129"/>
      </rPr>
      <t>--&gt;</t>
    </r>
    <r>
      <rPr>
        <b/>
        <sz val="10"/>
        <color rgb="FFFF0000"/>
        <rFont val="맑은 고딕"/>
        <family val="3"/>
        <charset val="129"/>
      </rPr>
      <t xml:space="preserve"> 변전소 위치 확인 (주박기지 지하 일부 상부 노출안으로, 당초에는 어린이 공원 부지로 계획하였으나,  거리가 길어, 통신, 전선 길이 증가로 공사비 증가)</t>
    </r>
    <phoneticPr fontId="1" type="noConversion"/>
  </si>
  <si>
    <t>정거장 건설 및 상부 하중 증가가 인접하거나 하부의 기존 구조물에 미치는 영향을 검토하였는가?
 -동탄역(107/201역) 상부에 2층 복합시설(2,500㎡) 및 중량 설비(80t 물탱크실 등) 도입 계획 시, 하부 SRT 지하주차장 슬래브의 연직하중 집중 및 연결통로 구조물의 간섭 우려 발생</t>
    <phoneticPr fontId="1" type="noConversion"/>
  </si>
  <si>
    <t>1.하부 SRT, GTX 역사 노반 구조물 및 백화점 지하 외벽에 미치는 응력 변화 수치해석(FEM) 수행
2.국가철도공단, SR등 관계기관과 구조 보강 방안 사전 조율</t>
    <phoneticPr fontId="1" type="noConversion"/>
  </si>
  <si>
    <t>1.보강 없이 구조 안정성을 확보하는 캐노피 무게 절감 디자인 도입
 - 강재 전체를 AL 쉬트로 마감하여 고정하중을 늘리는 원안 대신, 8.6m 캐노피의 중앙 상부에 개방형 천창(Glass 또는 태양광 패널 연동)을 배치하는 경량화 디자인을 전격 도입함
 - 이를 통해 철골 기둥에 가해지는 고정하중을 획기적으로 축소하여 하부 구조 보강 없이 구조 안전 확보, 캐노피 개소당 마감공사비를  ~ 억 절감함.
2. 지하 인프라 보강을 방지하고 진동하중을 원천 차단하는 독립 구조 채택
 - 기존 SRT 지하주차장 슬래브 및 백화점 연결통로를 전면 보강하는 보강안  대신, 연결통로와 상부 정거장 뼈대를 연직·수평적으로 격리시키는 '연결통로 상부 독립구조 설계안을 최종 확정하여 트램 운행 시 발생하는 기하학적 진동하중 전달 경로를 원천 차단하고 기존 구조물 안전성을 안전하게 수용함</t>
    <phoneticPr fontId="1" type="noConversion"/>
  </si>
  <si>
    <t>안전</t>
    <phoneticPr fontId="1" type="noConversion"/>
  </si>
  <si>
    <t>· 오산천교 교대 교각 기초 가시설 설계 시 수위 상승고 누락으로 인한 강재 좌굴 리스크를 방지하기 위해 관련 기준 준수 및 설계 적정성을 검토하였는가?
- 기본설계 원안에서는 오산천 제외지 내 교각(P17, P18) 굴착(D=6.06.5m) 시 우기 수위 상승(2.03.0m) 조건을 미반영하여 가설 강재의 좌굴 리스크 존재. 또한 관련 가시설 및 가물막이 공사비(약 58억 원)가 설계 내역에서 누락되어 원가 상승 리스크 존재함.</t>
    <phoneticPr fontId="1" type="noConversion"/>
  </si>
  <si>
    <t xml:space="preserve"> - 가설 흙막이 부재(버팀보, 띠장 등) 설계 시, 최신 설계기준인 KDS 21 30 00 (2024)을 적용하여 강재 허용응력 및 세장비(L/r≤90) 기준을 엄격히 검증할 것
 - 수심과 굴착심도를 고려해 최적 가물막이 형식(1열 강널말뚝)을 선정하고, 지반 조건에 따른 차수그라우팅 공법을 설계에 보완할 것
 - 하천 통과 교량의 구조적 안전성과 원가 리스크를 종합 검토하여 선형 우회 대안의 타당성을 최종 확정할 것</t>
    <phoneticPr fontId="1" type="noConversion"/>
  </si>
  <si>
    <t xml:space="preserve"> 1) 기술적 공법 개량을 통한 구조 안전성 확보 (가설안)
   - 약축 방향 좌굴에 취약한 일반 H-Beam 대신, 비틀림 저항성이 매우 우수하여 좌굴 방지에 유리한 '원형 강관버팀보' 공법 및 차수그라우팅 보완안을 기술 대안으로 검토
 2) 최종 의사결정 
  - 선형 변경을 통한 리스크 원천 차단 (Hedge)]
  :  부등침하로 인한 3mm 단차 우려와 추가 가시설 원가(약 58억 원 누락분) 리스크를 종합 평가하여, 오산천을 직접 횡단하는 교량 신설 계획을 취소하고 기존 도로망을 공용하는 '대안 1(동탄나루로 우회)' 선형을 최종 채택하였습니다
  - 이 결정으로 하천 내 교각 굴착 및 가물막이 공정 자체가 소멸되어 수위 상승에 따른 강재 좌굴·붕괴 리스크를 원천적으로 해소하였고, 실제 예상 사업비 대비 약 196.85억 원의 예산을 획기적으로 절감함.</t>
    <phoneticPr fontId="1" type="noConversion"/>
  </si>
  <si>
    <t>· 인접 주요 구조물 주변 연성 가시설 공법 적용으로 인한 배면 지반 침하 및 옹벽 변형 리스크를 방지하였는가?
- 동탄변전소 굴착 시 동탄역 SRT 지하주차장 진입 램프 보강토 옹벽 및 인접 고층 건물 기초와 근접함에도 변형 저항이 취약한 연성 흙막이벽(H-Pile+토류판)을 채택하여 배면 침하 리스크.</t>
    <phoneticPr fontId="1" type="noConversion"/>
  </si>
  <si>
    <t>· 2공구 망포변전소 가시설 배면 지하수 유출 시 주변 덕영대로 포장 도로의 공동(싱크홀) 발생 리스크를 방지하기 위해 관련 기준 준수 및 설계 적정성을 검토하였는가?
- S01정거장 지하 변전실 개착 공사는 굴착 깊이가 10.60m에 달하는 대규모 공사로, 버스 및 대형 차량 통행량이 극도로 밀집된 덕영대로 및 기존 수인분당선 망포역 1번 출입구와 근접하여 진행. 가시설 벽체 틈새로 지하수가 유출될 경우 덕영대로 하부의 급격한 토사 유실 및 포장면 공동화(싱크홀)가 발생할 고위험 구간으로 식별되었음</t>
    <phoneticPr fontId="1" type="noConversion"/>
  </si>
  <si>
    <t>1)  『지하안전관리에 관한 특별법 시행령』 제14조 및 제23조에 의거, 굴착 깊이 10m 이상에 따른 '소규모 지하안전평가' 심의 절차를 설계 완료 전에 마칠 것.
2) 덕영대로 포장면 하부의 숨은 빈틈(공동) 유무를 선제 파악하기 위해, 배면 영향권 전 구간에 대한 지표투과레이더(GPR) 탐사 계획을 가설계 계획에 수립할 것.
3) 가시설 굴착 단계별 지하수위 하강 및 주변 지반의 거동 변위를 예측해석 수행</t>
    <phoneticPr fontId="1" type="noConversion"/>
  </si>
  <si>
    <t xml:space="preserve">1)  차수공사비 대폭 현실화를 통한 지하수 차단막 구축
 - 배면 지하수 유출을 물리적으로 완벽히 밀폐하기 위해, 망포변전소 구간 차수공사비를 기존 2.79억 원에서 4.51억 원으로 약 1.72억 원 증액 반영함.
 - 차수 성능이 극대화된 실리카졸계 차수그라우팅 주입 공법을 촘촘히 레이어링 설계하여 덕영대로 하부 지하수의 흐름과 토류벽 틈새 유출을 원천 헷지함.
2) 벽체 구조 강성 상향을 통한 지반 이완 억제
 - 흙막이 가설 구조물의 변위로 인한 아스팔트 노면 균열을 제어하기 위해, H-Beam 측벽 말뚝의 규격 및 구조적 강성을 상향 조정 설계하여 지반의 배면 토압에 따른 지반 변형 자체를 최소화함.
3) 실시간 모니터링을 위한 계측공사비 4배 증액 반영
 - 포장 함몰의 전조 증상(지하수위 급감 및 토사 변동)을 감지하도록 계측비용을 기존 0.43억 원에서 1.78억 원으로 1.35억 원(4배 이상) 증액함.
 - 덕영대로 구간에 경사계, 침하계, 지하수위계 등 자동화 계측기를 밀도 있게 배치하고 실시간 데이터 연동 전산망을 구축함.
</t>
    <phoneticPr fontId="1" type="noConversion"/>
  </si>
  <si>
    <t>· 인접 상업시설 연계 동선 협의 지연에 따른 설계 확정 불가 리스크를 방지하였는가?
- 특화정거장인 동탄역(107/201역)은 주변 롯데백화점, 롯데아파트, 주상복합 단지 및 경부고속도로 상부공원(동탄공원) 등과 보행 동선이 고도로 중첩
. 기본설계 시 지상 2층에 스카이브릿지(입체보행로)를 가설하여 상업시설 및 공원을 유기적으로 연결하도록 계획하였으나, 관련 사유기관(롯데백화점 등) 및 관계 기관과의 보도 조정 계획, 출입시설 연결 및 대지경계선 저촉 협의가 지연되면서 정거장 평면과 종단 설계 전체가 대기 상태로 묶여 공기 지연 리스크 존재</t>
    <phoneticPr fontId="1" type="noConversion"/>
  </si>
  <si>
    <t>1) 경량 가변벽체 설계 도입 (평면 헷지)
 - 내부 구획벽을 콘크리트 고정벽 대신 경량 가변벽체로 전격 변경
 - 고정하중을 줄여 하부 구조 부담을 낮추고, 임대 구획 협의와 별개로 정거장 골조 및 지지 기둥 설계를 선제 확정하여 C.P.를 완벽히 보호함
 2) 대안 1(스카이브릿지 중심) 평면 확정 (동선 헷지)
 - 소방법상 피난 한계선(피난거리 50m 이내)을 완벽히 만족하도록 이동 효율성에 특화된 대안 1 평면을 채택하여 동선 혼잡과 병목을 조기 헷지함
 3) 입체 보행환경 개선 특화디자인 적용
 - 단순 지상 보도 연결을 탈피하여, 2층 복합시설-스카이브릿지-동서보행로를 유기적으로 묶는 입체 보행 특화디자인을 반영하여 도로 단부의 교통 마찰을 예방함.</t>
    <phoneticPr fontId="1" type="noConversion"/>
  </si>
  <si>
    <r>
      <t xml:space="preserve">1. 정거장 혼잡도 간접 모니터링 보완
 - 인명 사고 차단: 승강장 내 통제 한계치 이상의 혼잡 발생 시 관제 화면에 알림이 팝업되고 정거장 방송과 자동 연동되는 경보 룰을 설계하여 보완책을 마련하였음. </t>
    </r>
    <r>
      <rPr>
        <b/>
        <sz val="10"/>
        <color rgb="FFFF0000"/>
        <rFont val="맑은 고딕"/>
        <family val="3"/>
        <charset val="129"/>
      </rPr>
      <t xml:space="preserve"> 수요예측확인</t>
    </r>
    <r>
      <rPr>
        <sz val="10"/>
        <color theme="1"/>
        <rFont val="맑은 고딕"/>
        <family val="3"/>
        <charset val="129"/>
      </rPr>
      <t xml:space="preserve">, </t>
    </r>
    <r>
      <rPr>
        <b/>
        <sz val="10"/>
        <color rgb="FFFF0000"/>
        <rFont val="맑은 고딕"/>
        <family val="3"/>
        <charset val="129"/>
      </rPr>
      <t>사업성 민원으로 설계변경 추진 아이템</t>
    </r>
    <phoneticPr fontId="1" type="noConversion"/>
  </si>
  <si>
    <t>· 동탄역 환승 정거장 엇갈림 배치 계획으로 인한 환승 동선 혼잡 및 이용자 낙상 사고 리스크를 방지하기 위해 관련 기준 준수 및 설계 적정성을 검토하였는가?
- 동탄역 환승 정거장 엇갈림 배치 계획으로 인한 환승 동선 혼잡 및 이용자 낙상 사고로 인해 안전사고 및 추가 비용을 유발하는 리스크.</t>
    <phoneticPr fontId="1" type="noConversion"/>
  </si>
  <si>
    <t xml:space="preserve"> · 전기/신호/통신 개별 함체 설계로 승강장 보행 공간을 잠식하고 도심 경관을 훼손할 리스크를 검토하였는가?
  -기본설계안에서는 본선 역별(201, 108, 207, 112, 210, 116, 117역 등) 승강장에 대형 캐비닛 형태의 전자연동장치 함체 배치가 계획되어 있음.
. 또한 신호, 전기, 통신 각 분야가 소형 무정전전원장치(UPS)를 개별 분산 설치하도록 설계되어, 미관에 불리하고 승강장 보행 공간의 이중 잠식을 유발하는 문제점이 지적되었음</t>
    <phoneticPr fontId="1" type="noConversion"/>
  </si>
  <si>
    <t xml:space="preserve"> 1) 각 정거장별 신호·전기·통신 부하 용량을 최종 산정하여 통합 함체에 최적화된 용량 및 규격을 설계서에 바인딩할 것
 2) 외부 함체의 승강장 점유를 배제하기 위해, 곡선구간 선로변 등으로 함체 최종 배치 위치를 이동 조정하여 도면에 표기할 것
 3) 1·2공구 간 상이했던 분기기 부속설비(어스박스, 차축검지기함 등) 설치 분야(신호/궤도)의 업무 한계를 통일화할 것</t>
    <phoneticPr fontId="1" type="noConversion"/>
  </si>
  <si>
    <t>1) 분야별 UPS 통합을 통한 보행폭 확보 (통합 헷지)
- 소형 UPS 개별 배치안을 전면 폐기하고, 단일 '통합 UPS' 구축안을 최종 채택하여 기기 점유 면적을 줄이고 미관을 개선함
2) 시스템 간섭 배제 및 함체 외부 이동 (배치 헷지)
- 승강장 내 대형 함체 배치를 배제하고, 해당 외부 함체들을 곡선구간 선로변 등으로 우회 이동 배치하도록 설계하여 승객 통행 동선 간섭을 완전 차단함
3) 용도별 지상신호 태그 공용화 (설비 슬림화)
- 진로설정, 우선신호 등 용도별로 중복 설치되어 상호 간섭을 일으키던 지상태그(Tag)들을 공용화하여 선로변 매설 설비 수량을 대폭 줄이고 공사비를 절감함</t>
    <phoneticPr fontId="1" type="noConversion"/>
  </si>
  <si>
    <t xml:space="preserve"> 1) 절토 고저차가 큰 차량기지 경계 비탈면의 지반조사 주상도를 바탕으로 토사·풍화암·연암 경계 사면의 설계 구배 적정성을 재검증할 것.
 2) 우기 시 사면 붕괴의 주원인인 간극수압 상승을 제어하기 위해 옹벽 배면 배수공 및 기지 내 배수 설비 상세 설계를 완료할 것.
 3) 부지 토공량 균형(절·성토) 및 옹벽 규모 최적화를 위해 관계 지자체 및 발주처와 계획고 협의를 최종 획정할 것.</t>
    <phoneticPr fontId="1" type="noConversion"/>
  </si>
  <si>
    <r>
      <t xml:space="preserve">1) 계획고 상향(FH=146.0m </t>
    </r>
    <r>
      <rPr>
        <sz val="10"/>
        <color theme="1"/>
        <rFont val="Segoe UI Symbol"/>
        <family val="3"/>
      </rPr>
      <t>➔</t>
    </r>
    <r>
      <rPr>
        <sz val="10"/>
        <color theme="1"/>
        <rFont val="맑은 고딕"/>
        <family val="3"/>
        <charset val="129"/>
      </rPr>
      <t xml:space="preserve"> 150.0m)을 통한 사면 안정성 확보 
- 부지 계획고를 FH=150.0m(검토3안)로 상향하여 깎기 높이와 절토량을 원천적으로 최소화함으로써 비탈면 붕괴 리스크를 근본적으로 차단함.이를 통해 깎기옹벽 공사비를 기존 59.6억 원에서 25.4억 원으로 34.2억 원 절감하였으며, 사면 규모 축소로 총 64.9억 원의 공사비를 감액하는 데 성공함
2) 배수 계통 보완 및 수로공 추가 반영 (수문학적 헷지)
- 집중호우 시 사면 토사 세굴을 막기 위해 기본설계에서 누락·오류가 발생했던 흄관, 우수받이, 횡배수관 등의 수로공 설비를 설계에 정밀 반영하여 수해 안전 성능을 완전히 확보함 </t>
    </r>
    <phoneticPr fontId="1" type="noConversion"/>
  </si>
  <si>
    <t>· 오산천 통과 교량기초(P17, P18) 가물막이 시공 시 기반암 단층대 파쇄 분포로 인한 하부 보일링 리스크를 방지하기 위해 관련 기준 준수 및 설계 적정성을 검토하였는가?
- 오산천 통과 교량기초(P17, P18) 가물막이 시공 시 기반암 단층대 파쇄 분포로 인한 하부 보일링으로 인해 안전사고 및 추가 비용을 유발하는 리스크.</t>
    <phoneticPr fontId="1" type="noConversion"/>
  </si>
  <si>
    <t>· 지하차도 통과 시 내부 기둥과의 건축한계 이격 거리 미확보 리스크와 최급구배 곡선장 기준 미달로 인한 차량 탈선 리스크를 방지하였는가?
- 능동지하차도 내부 기둥과 트램 차량 간 이격(150mm)으로 가이드라인(200mm)에 저촉되고, 급구배 구간 곡선장 미달에 따른 주행 탈선 리스크.</t>
    <phoneticPr fontId="1" type="noConversion"/>
  </si>
  <si>
    <t>· 구조물 접속부 및 단부 설계 시, 지반 강성 변화에 따른 부등침하 및 밀림 방지 보강 대책을 반영하여 궤도 균열 및 변형 리스크를 방지하였는가?
- 벌말교, 치동천2교, 치동천5교 등 기존 대다수 교량의 접속슬래브가 트램 하중 재하 시 휨 및 전단 강도 N.G(불합격) 판정을 받음
. 또한, 기본설계 당시 지반강성 급변부의 접속슬래브 보강 및 궤도 정착단부(Endsporn) 상세 설계가 누락되어 궤도 균열 우려가 컸음</t>
    <phoneticPr fontId="1" type="noConversion"/>
  </si>
  <si>
    <t>1) 뒷채움 영역을 고려하여 접속슬래브 길이를 최소 5.0m 이상 확보할 것 
2) 도상콘크리트층(TCL)과 접속슬래브 단부의 간섭 부위를 조사하여 철거 및 재설치 상세 도면을 도서에 수록할 것
3) UIC 774-3R 기준을 적용하여 하중 비재하 시 13kN/mm/m, 재하 시 19kN/mm/m 저항계수 기반의 교량-궤도 상호작용 해석을 완료할 것</t>
    <phoneticPr fontId="1" type="noConversion"/>
  </si>
  <si>
    <t>1)  어프로치 슬래브 전면 재설치 (지반강성 완화)
 - 강도 부족(N.G) 판정을 받은 노후 슬래브를 철거 후 규격에 맞게 전면 재설치함
 - 접속슬래브 하부에 시멘트 처리 강화노반 및 자갈 뒷채움을 결합 설계하여 부등침하를 방지함
2) 정착단부(Endsporn) 및 전단키 궤도분야 일괄 시공 (균열 차단)&lt;br&gt;- 누락된 정착단부 및 연결보조철근(전단키)을 궤도분야 시공 범위로 일괄 포함하여 TCL층과 단부를 일체 타설함
 - 시공이음 발생을 원천 배제하여 레일·체결장치 간섭에 의한 균열을 방지함
3) 교량 단부 강성 전이 및 신축 대응 구조 적용
 - 단부 충격 제어를 위해 매립궤도 수직강성 체감 완충 구조를 반영함
 - 교량 온도 신축에 거동하도록 충분한 스트로크를 가진 매립형 레일 신축이음매장치를 배치함</t>
    <phoneticPr fontId="1" type="noConversion"/>
  </si>
  <si>
    <t>· 기존 교량 접속슬래브 강도 부족으로 인한 노면 포장 균열 및 영구 변형 리스크를 방지하였는가?
- 벌말교 등 기존 교량 11개소의 접속슬래브가 트램 활하중 재하 시 휨·전단 단면 검토에서 내력 부족(N.G) 판정을 받아 영구 변형 및 포장 균열이 발생할 리스크.</t>
    <phoneticPr fontId="1" type="noConversion"/>
  </si>
  <si>
    <t>· 항타기 등 대형 장비의 진입로 폭과 회전 반경이 현장 여건(농로, 마을길)과 부합하는가?
- 작업 및 장비 적치 공간 협소: 도로 개량 구간의 본선 공사구간 내 작업 공간이 매우 협소하여 대형 궤도 시공장비(밴딩머신, 레일연마기 등) 및 자재의 현장 적치와 진출입이 곤란한 리스크가 존재.
-제공된 기본설계 문서상 '항타기'의 구체적 제원이나 '농로, 마을길' 구간에 대한 진입 회전반경 대조 검토 데이터는 누락되어 있으며, 가시설 부지의 대형 천공기 전도 예방을 위한 안전 대책 위주로 반영</t>
    <phoneticPr fontId="1" type="noConversion"/>
  </si>
  <si>
    <t xml:space="preserve"> 1.좁은 농로, 마을길 등 진입 폭원 부족 구간을 전수 조사하여 대형 장비 진입 한계(회전 반경, 지하지장물 다짐 하중)를 정밀 분석할 것.
 2. 공사 단계별 교통처리계획 수립 시, 대형 장비의 진입 동선 상에 있는 도로 축소 영향 및 노면 굴곡을 고려한 진입 폭 확보 방안을 반영할 것
 3. 협소한 진입 도로 여건을 감안하여 프리캐스트(Pre-cast) 공법 등의 적용성 및 공사비 변동 수치를 검토할 것</t>
    <phoneticPr fontId="1" type="noConversion"/>
  </si>
  <si>
    <t>1) 공사용지 외 전용 야적장 및 장비 주차 공간 확보
 - 본선 도로 내 장비 대기로 인한 민원과 통행 장애를 차단하기 위해 외곽 지역 등에 공사용지 외 별도의 자재적치장 및 장비 주차공간을 설계에 반영함
 - 대형 장비 진출입 동선과 타 공종 간의 간섭 여부를 사전에 협의하여 적정 수준의 야적장을 확보하도록 조치함
2)  차량기지 및 주요 진입도로 차로 폭 상향 (6.0m)
 - 대형 장비의 접근성 및 교행 안전성을 확보하기 위해 진입로 및 구내주도로 차로 폭을 기본설계안(5.5m~5.75m) 대비 6.0m로 상향 조정 설계함
 3) 차량기지 내 장비 이동 통로 확보
 - 유지관리 차량 및 대형 화물장비의 원활한 이동을 보장하기 위해 구내 이동 통로 폭을 최소 5.0m 이상으로 구획 설계하여 간섭을 원천 방어</t>
    <phoneticPr fontId="1" type="noConversion"/>
  </si>
  <si>
    <t>· 지하안전영향평가 기준에 따라 흙막이 차수 공법이나 가시설 강성이 상향 조정되었는가?
-1, 2공구 변전소(동탄·망포)의 굴착 깊이가 10.60m로 10m 이상에 해당하여 소규모 지하안전평가 대상으로 최종 분류
. 기본설계 원안에서는 지장물 저촉 및 지하수위 고려 부족으로 인한 배면 침하 리스크가 존재하였고 가시설 도면과 설계 수량 누락 등의 심각한 오류가 있었음</t>
    <phoneticPr fontId="1" type="noConversion"/>
  </si>
  <si>
    <t>지하 10.6m 굴착 예정인 망포변전소 가시설에 대해 소규모 지안평 이행서에 따른 주변 지하수 흐름 해석 시뮬레이션 결과 및 모니터링 공 계획을 설계도서 반영</t>
    <phoneticPr fontId="1" type="noConversion"/>
  </si>
  <si>
    <t>1.지하안전법』 인허가 기준을 만족하기 위해 굴착 배면 도로 영향권 전체에 대한 지표투과레이더(GPR) 탐사 및 전기비저항 탐사 상세 계획을 설계 도서에 수록할 것
2.최신 설계기준인 KDS 21 30 00 (2024)을 적용하여 가설 흙막이 벽체 및 버팀보의 허용응력과 세장비를 재검증할 것
3.소규모 지안평 대상 제외(굴착 심도 10m 미만으로 조정 등)를 위한 지하 배치의 최적 구조안을 상호 검토할 것
.</t>
    <phoneticPr fontId="1" type="noConversion"/>
  </si>
  <si>
    <r>
      <t xml:space="preserve">1. 가시설 측벽 말뚝 규격 및 강성 상향 (강성 헷지)
 - 주변 지반 변위와 배면 도로 침하를 최소화하기 위해 측벽 말뚝의 규격 및 구조적 강성을 대폭 상향 조정함
 - 측벽말뚝 자재로 고강도 용접 구조용 H-형강인 SHP275W를 적용하여 변위 제어력을 극대화하고, 강성 증대를 토대로 말뚝 간격을 조정하여 공사비를 최적화함
2. 차수공사비 현실화 및 실리카졸계 차수벽 구축 (차수 헷지)
 - 지하수위 상승고와 수밀 성능을 합리적으로 반영하여 기본설계 원안 대비 차수공사비를 전격 증액(현실화)함
 - 동탄변전소: 0.39억 원 </t>
    </r>
    <r>
      <rPr>
        <sz val="10"/>
        <rFont val="Segoe UI Symbol"/>
        <family val="3"/>
      </rPr>
      <t>➔</t>
    </r>
    <r>
      <rPr>
        <sz val="10"/>
        <rFont val="맑은 고딕"/>
        <family val="3"/>
        <charset val="129"/>
      </rPr>
      <t xml:space="preserve"> 2.32억 원 (▲1.93억 증)
 - 망포변전소: 2.79억 원 </t>
    </r>
    <r>
      <rPr>
        <sz val="10"/>
        <rFont val="Segoe UI Symbol"/>
        <family val="3"/>
      </rPr>
      <t>➔</t>
    </r>
    <r>
      <rPr>
        <sz val="10"/>
        <rFont val="맑은 고딕"/>
        <family val="3"/>
        <charset val="129"/>
      </rPr>
      <t xml:space="preserve"> 4.51억 원 (▲1.72억 증)
 - 환경 오염 우려가 없고 규산 용탈 현상이 발생하지 않는 고성능 '실리카졸계 차수그라우팅 공법'을 표준 공법으로 레이어링 설계함</t>
    </r>
    <phoneticPr fontId="1" type="noConversion"/>
  </si>
  <si>
    <t>· 공사 부지의 표토가 점성토이거나 연약지반일 경우 장비 주행성 확보를 위한 치환/가도 계획이 있는가?
- [화양전력구] 전력구 박스(PC) 시공을 위한 크레인 및 트레일러 진입 시, 표토가 점토 성분이라 타이어 장비 주행이 불가능하고 아웃트리거 지지력 확보가 안 됨 리스크.</t>
    <phoneticPr fontId="1" type="noConversion"/>
  </si>
  <si>
    <t>교대2ea, 교각18ea, 기존 4공, 신규 16공  시추간격 기준  만족</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</si>
</sst>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맑은 고딕"/>
      <family val="2"/>
      <scheme val="minor"/>
    </font>
    <font>
      <sz val="8"/>
      <name val="맑은 고딕"/>
      <family val="3"/>
      <charset val="129"/>
      <scheme val="minor"/>
    </font>
    <font>
      <b/>
      <sz val="11"/>
      <color rgb="FFFFFFFF"/>
      <name val="맑은 고딕"/>
      <family val="3"/>
      <charset val="129"/>
    </font>
    <font>
      <sz val="10"/>
      <name val="맑은 고딕"/>
      <family val="3"/>
      <charset val="129"/>
    </font>
    <font>
      <sz val="11"/>
      <color theme="1"/>
      <name val="맑은 고딕"/>
      <family val="2"/>
      <scheme val="minor"/>
    </font>
    <font>
      <b/>
      <sz val="24"/>
      <color theme="1"/>
      <name val="맑은 고딕"/>
      <family val="3"/>
      <charset val="129"/>
    </font>
    <font>
      <sz val="11"/>
      <color theme="1"/>
      <name val="맑은 고딕"/>
      <family val="3"/>
      <charset val="129"/>
    </font>
    <font>
      <sz val="12"/>
      <color theme="1"/>
      <name val="맑은 고딕"/>
      <family val="3"/>
      <charset val="129"/>
    </font>
    <font>
      <sz val="7"/>
      <color theme="1"/>
      <name val="맑은 고딕"/>
      <family val="3"/>
      <charset val="129"/>
    </font>
    <font>
      <sz val="7"/>
      <name val="맑은 고딕"/>
      <family val="3"/>
      <charset val="129"/>
    </font>
    <font>
      <sz val="11"/>
      <color rgb="FFFF0000"/>
      <name val="맑은 고딕"/>
      <family val="3"/>
      <charset val="129"/>
    </font>
    <font>
      <i/>
      <sz val="12"/>
      <name val="맑은 고딕"/>
      <family val="3"/>
      <charset val="129"/>
    </font>
    <font>
      <sz val="12"/>
      <name val="맑은 고딕"/>
      <family val="3"/>
      <charset val="129"/>
    </font>
    <font>
      <b/>
      <sz val="12"/>
      <color theme="1"/>
      <name val="맑은 고딕"/>
      <family val="3"/>
      <charset val="129"/>
    </font>
    <font>
      <b/>
      <sz val="12"/>
      <name val="맑은 고딕"/>
      <family val="3"/>
      <charset val="129"/>
    </font>
    <font>
      <b/>
      <sz val="11"/>
      <color theme="1"/>
      <name val="맑은 고딕"/>
      <family val="3"/>
      <charset val="129"/>
    </font>
    <font>
      <b/>
      <sz val="14"/>
      <color theme="1"/>
      <name val="맑은 고딕"/>
      <family val="3"/>
      <charset val="129"/>
    </font>
    <font>
      <sz val="12"/>
      <color rgb="FF0000FF"/>
      <name val="맑은 고딕"/>
      <family val="3"/>
      <charset val="129"/>
    </font>
    <font>
      <sz val="11"/>
      <color theme="1"/>
      <name val="Malgun Gothic"/>
      <family val="3"/>
      <charset val="129"/>
    </font>
    <font>
      <b/>
      <sz val="11"/>
      <color theme="0"/>
      <name val="맑은 고딕"/>
      <family val="2"/>
      <scheme val="minor"/>
    </font>
    <font>
      <b/>
      <sz val="12"/>
      <color rgb="FF1F1F1F"/>
      <name val="맑은 고딕"/>
      <family val="3"/>
      <charset val="129"/>
    </font>
    <font>
      <sz val="12"/>
      <color rgb="FF1F1F1F"/>
      <name val="맑은 고딕"/>
      <family val="3"/>
      <charset val="129"/>
    </font>
    <font>
      <b/>
      <sz val="10"/>
      <color theme="1"/>
      <name val="맑은 고딕"/>
      <family val="3"/>
      <charset val="129"/>
    </font>
    <font>
      <sz val="10"/>
      <color theme="1"/>
      <name val="맑은 고딕"/>
      <family val="3"/>
      <charset val="129"/>
    </font>
    <font>
      <sz val="13"/>
      <color rgb="FF999999"/>
      <name val="맑은 고딕"/>
      <family val="3"/>
      <charset val="129"/>
    </font>
    <font>
      <sz val="13"/>
      <color rgb="FF000000"/>
      <name val="맑은 고딕"/>
      <family val="3"/>
      <charset val="129"/>
    </font>
    <font>
      <sz val="10"/>
      <color theme="1"/>
      <name val="맑은 고딕"/>
      <family val="3"/>
      <charset val="129"/>
      <scheme val="minor"/>
    </font>
    <font>
      <b/>
      <sz val="10"/>
      <color theme="1"/>
      <name val="맑은 고딕"/>
      <family val="3"/>
      <charset val="129"/>
      <scheme val="minor"/>
    </font>
    <font>
      <sz val="13"/>
      <color rgb="FF000000"/>
      <name val="Segoe UI Symbol"/>
      <family val="2"/>
    </font>
    <font>
      <sz val="10"/>
      <color rgb="FFFF0000"/>
      <name val="맑은 고딕"/>
      <family val="3"/>
      <charset val="129"/>
    </font>
    <font>
      <sz val="10"/>
      <name val="Google Sans Text"/>
      <family val="2"/>
    </font>
    <font>
      <sz val="10"/>
      <name val="Arial"/>
      <family val="2"/>
    </font>
    <font>
      <b/>
      <sz val="11"/>
      <color theme="1"/>
      <name val="맑은 고딕"/>
      <family val="3"/>
      <charset val="129"/>
      <scheme val="minor"/>
    </font>
    <font>
      <b/>
      <sz val="10"/>
      <color rgb="FFFF0000"/>
      <name val="맑은 고딕"/>
      <family val="3"/>
      <charset val="129"/>
    </font>
    <font>
      <b/>
      <u/>
      <sz val="10"/>
      <color rgb="FFFF0000"/>
      <name val="맑은 고딕"/>
      <family val="3"/>
      <charset val="129"/>
    </font>
    <font>
      <b/>
      <sz val="10"/>
      <color rgb="FFFF0000"/>
      <name val="맑은 고딕"/>
      <family val="3"/>
      <charset val="129"/>
      <scheme val="minor"/>
    </font>
    <font>
      <sz val="10"/>
      <color theme="1"/>
      <name val="Calibri"/>
      <family val="3"/>
      <charset val="161"/>
    </font>
    <font>
      <sz val="10"/>
      <color theme="1"/>
      <name val="Segoe UI Symbol"/>
      <family val="3"/>
    </font>
    <font>
      <sz val="11"/>
      <color theme="1"/>
      <name val="맑은 고딕"/>
      <family val="3"/>
      <charset val="129"/>
      <scheme val="minor"/>
    </font>
    <font>
      <sz val="13"/>
      <color theme="1"/>
      <name val="맑은 고딕"/>
      <family val="3"/>
      <charset val="129"/>
    </font>
    <font>
      <b/>
      <sz val="13"/>
      <color theme="0"/>
      <name val="맑은 고딕"/>
      <family val="3"/>
      <charset val="129"/>
    </font>
    <font>
      <u/>
      <sz val="10"/>
      <color rgb="FFFF0000"/>
      <name val="맑은 고딕"/>
      <family val="3"/>
      <charset val="129"/>
    </font>
    <font>
      <b/>
      <sz val="10"/>
      <name val="맑은 고딕"/>
      <family val="3"/>
      <charset val="129"/>
    </font>
    <font>
      <sz val="10"/>
      <name val="Segoe UI Symbol"/>
      <family val="3"/>
    </font>
  </fonts>
  <fills count="15">
    <fill>
      <patternFill patternType="none"/>
    </fill>
    <fill>
      <patternFill patternType="gray125"/>
    </fill>
    <fill>
      <patternFill patternType="solid">
        <fgColor rgb="FF1F4E78"/>
        <bgColor rgb="FF1F4E78"/>
      </patternFill>
    </fill>
    <fill>
      <patternFill patternType="solid">
        <fgColor rgb="FFFFFFFF"/>
        <bgColor rgb="FFFFFFFF"/>
      </patternFill>
    </fill>
    <fill>
      <patternFill patternType="solid">
        <fgColor rgb="FFF2F4F7"/>
        <bgColor rgb="FFF2F4F7"/>
      </patternFill>
    </fill>
    <fill>
      <patternFill patternType="solid">
        <fgColor theme="0" tint="-0.14999847407452621"/>
        <bgColor indexed="64"/>
      </patternFill>
    </fill>
    <fill>
      <patternFill patternType="solid">
        <fgColor rgb="FF002060"/>
        <bgColor indexed="64"/>
      </patternFill>
    </fill>
    <fill>
      <patternFill patternType="solid">
        <fgColor rgb="FFE6E6E6"/>
        <bgColor indexed="64"/>
      </patternFill>
    </fill>
    <fill>
      <patternFill patternType="solid">
        <fgColor theme="6"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3"/>
        <bgColor indexed="64"/>
      </patternFill>
    </fill>
  </fills>
  <borders count="20">
    <border>
      <left/>
      <right/>
      <top/>
      <bottom/>
      <diagonal/>
    </border>
    <border>
      <left style="thin">
        <color rgb="FFD3D3D3"/>
      </left>
      <right style="thin">
        <color rgb="FFD3D3D3"/>
      </right>
      <top style="thin">
        <color rgb="FFD3D3D3"/>
      </top>
      <bottom style="thin">
        <color rgb="FFD3D3D3"/>
      </bottom>
      <diagonal/>
    </border>
    <border>
      <left style="thin">
        <color rgb="FFD3D3D3"/>
      </left>
      <right style="thin">
        <color rgb="FFD3D3D3"/>
      </right>
      <top/>
      <bottom style="thin">
        <color rgb="FFD3D3D3"/>
      </bottom>
      <diagonal/>
    </border>
    <border>
      <left/>
      <right style="thin">
        <color rgb="FFD3D3D3"/>
      </right>
      <top style="thin">
        <color rgb="FFD3D3D3"/>
      </top>
      <bottom style="thin">
        <color rgb="FFD3D3D3"/>
      </bottom>
      <diagonal/>
    </border>
    <border>
      <left style="thin">
        <color rgb="FFD3D3D3"/>
      </left>
      <right style="thin">
        <color rgb="FFD3D3D3"/>
      </right>
      <top style="thin">
        <color rgb="FFD3D3D3"/>
      </top>
      <bottom style="thin">
        <color rgb="FFD3D3D3"/>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bottom style="thin">
        <color indexed="64"/>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style="thin">
        <color auto="1"/>
      </right>
      <top style="thin">
        <color auto="1"/>
      </top>
      <bottom style="thin">
        <color auto="1"/>
      </bottom>
      <diagonal/>
    </border>
  </borders>
  <cellStyleXfs count="3">
    <xf numFmtId="0" fontId="0" fillId="0" borderId="0"/>
    <xf numFmtId="0" fontId="4" fillId="0" borderId="0"/>
    <xf numFmtId="0" fontId="4" fillId="0" borderId="0"/>
  </cellStyleXfs>
  <cellXfs count="261">
    <xf numFmtId="0" fontId="0" fillId="0" borderId="0" xfId="0"/>
    <xf numFmtId="0" fontId="2" fillId="2"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3" borderId="1" xfId="0" applyFont="1" applyFill="1" applyBorder="1" applyAlignment="1">
      <alignment horizontal="left" vertical="center" wrapText="1"/>
    </xf>
    <xf numFmtId="0" fontId="3" fillId="4" borderId="1" xfId="0" applyFont="1" applyFill="1" applyBorder="1" applyAlignment="1">
      <alignment horizontal="center" vertical="center" wrapText="1"/>
    </xf>
    <xf numFmtId="0" fontId="3" fillId="4" borderId="1" xfId="0" applyFont="1" applyFill="1" applyBorder="1" applyAlignment="1">
      <alignment horizontal="left" vertical="center" wrapText="1"/>
    </xf>
    <xf numFmtId="0" fontId="5" fillId="0" borderId="0" xfId="1" applyFont="1" applyAlignment="1">
      <alignment vertical="center"/>
    </xf>
    <xf numFmtId="0" fontId="6" fillId="0" borderId="0" xfId="1" applyFont="1" applyAlignment="1">
      <alignment vertical="center"/>
    </xf>
    <xf numFmtId="0" fontId="6" fillId="0" borderId="0" xfId="1" applyFont="1" applyAlignment="1">
      <alignment vertical="top"/>
    </xf>
    <xf numFmtId="0" fontId="7" fillId="0" borderId="0" xfId="1" applyFont="1" applyAlignment="1">
      <alignment vertical="center" wrapText="1"/>
    </xf>
    <xf numFmtId="0" fontId="6" fillId="0" borderId="0" xfId="1" applyFont="1" applyAlignment="1">
      <alignment horizontal="center" vertical="center" wrapText="1"/>
    </xf>
    <xf numFmtId="0" fontId="6" fillId="0" borderId="0" xfId="1" applyFont="1" applyAlignment="1">
      <alignment vertical="center" wrapText="1"/>
    </xf>
    <xf numFmtId="14" fontId="6" fillId="0" borderId="0" xfId="1" applyNumberFormat="1" applyFont="1" applyAlignment="1">
      <alignment vertical="center" wrapText="1"/>
    </xf>
    <xf numFmtId="0" fontId="8" fillId="0" borderId="0" xfId="1" applyFont="1" applyAlignment="1">
      <alignment vertical="center" wrapText="1"/>
    </xf>
    <xf numFmtId="0" fontId="9" fillId="0" borderId="0" xfId="0" applyFont="1" applyAlignment="1">
      <alignment vertical="center"/>
    </xf>
    <xf numFmtId="0" fontId="8" fillId="0" borderId="0" xfId="1" applyFont="1" applyAlignment="1">
      <alignment vertical="top" wrapText="1"/>
    </xf>
    <xf numFmtId="0" fontId="6" fillId="0" borderId="0" xfId="1" applyFont="1" applyAlignment="1">
      <alignment horizontal="center" vertical="center"/>
    </xf>
    <xf numFmtId="0" fontId="10" fillId="0" borderId="0" xfId="0" applyFont="1" applyAlignment="1">
      <alignment vertical="center"/>
    </xf>
    <xf numFmtId="0" fontId="7" fillId="0" borderId="0" xfId="1" applyFont="1" applyAlignment="1">
      <alignment horizontal="center" vertical="center" wrapText="1"/>
    </xf>
    <xf numFmtId="0" fontId="11" fillId="0" borderId="0" xfId="0" applyFont="1" applyAlignment="1">
      <alignment horizontal="right" vertical="center"/>
    </xf>
    <xf numFmtId="0" fontId="12" fillId="0" borderId="0" xfId="0" applyFont="1" applyAlignment="1">
      <alignment vertical="center"/>
    </xf>
    <xf numFmtId="0" fontId="13" fillId="5" borderId="7" xfId="0" applyFont="1" applyFill="1" applyBorder="1" applyAlignment="1">
      <alignment horizontal="center" vertical="center" wrapText="1"/>
    </xf>
    <xf numFmtId="0" fontId="15" fillId="5" borderId="7" xfId="0" applyFont="1" applyFill="1" applyBorder="1" applyAlignment="1">
      <alignment horizontal="center" vertical="center" wrapText="1"/>
    </xf>
    <xf numFmtId="0" fontId="14" fillId="5" borderId="7" xfId="0" applyFont="1" applyFill="1" applyBorder="1" applyAlignment="1">
      <alignment horizontal="center" vertical="center"/>
    </xf>
    <xf numFmtId="0" fontId="13" fillId="5" borderId="7" xfId="1" applyFont="1" applyFill="1" applyBorder="1" applyAlignment="1">
      <alignment horizontal="center" vertical="center"/>
    </xf>
    <xf numFmtId="0" fontId="14" fillId="5" borderId="7" xfId="0" applyFont="1" applyFill="1" applyBorder="1" applyAlignment="1">
      <alignment horizontal="center" vertical="center" wrapText="1"/>
    </xf>
    <xf numFmtId="0" fontId="6" fillId="0" borderId="0" xfId="0" applyFont="1" applyAlignment="1">
      <alignment horizontal="center" vertical="center"/>
    </xf>
    <xf numFmtId="0" fontId="13" fillId="0" borderId="10" xfId="1" applyFont="1" applyBorder="1" applyAlignment="1">
      <alignment horizontal="center" vertical="center"/>
    </xf>
    <xf numFmtId="0" fontId="13" fillId="0" borderId="7" xfId="1" applyFont="1" applyBorder="1" applyAlignment="1">
      <alignment horizontal="center" vertical="center"/>
    </xf>
    <xf numFmtId="0" fontId="13" fillId="0" borderId="7" xfId="1" applyFont="1" applyBorder="1" applyAlignment="1">
      <alignment horizontal="center" vertical="center" wrapText="1"/>
    </xf>
    <xf numFmtId="0" fontId="7" fillId="0" borderId="7" xfId="1" applyFont="1" applyBorder="1" applyAlignment="1">
      <alignment horizontal="left" vertical="top" wrapText="1"/>
    </xf>
    <xf numFmtId="0" fontId="15" fillId="0" borderId="7" xfId="1" applyFont="1" applyBorder="1" applyAlignment="1">
      <alignment horizontal="left" vertical="top" wrapText="1"/>
    </xf>
    <xf numFmtId="0" fontId="16" fillId="5" borderId="7" xfId="1" applyFont="1" applyFill="1" applyBorder="1" applyAlignment="1">
      <alignment horizontal="center" vertical="center" wrapText="1"/>
    </xf>
    <xf numFmtId="0" fontId="7" fillId="0" borderId="7" xfId="1" applyFont="1" applyBorder="1" applyAlignment="1">
      <alignment horizontal="center" vertical="center" wrapText="1"/>
    </xf>
    <xf numFmtId="0" fontId="7" fillId="0" borderId="7" xfId="1" applyFont="1" applyBorder="1" applyAlignment="1">
      <alignment vertical="top" wrapText="1"/>
    </xf>
    <xf numFmtId="0" fontId="7" fillId="0" borderId="7" xfId="1" applyFont="1" applyBorder="1" applyAlignment="1">
      <alignment vertical="center" wrapText="1"/>
    </xf>
    <xf numFmtId="0" fontId="6" fillId="0" borderId="7" xfId="1" applyFont="1" applyBorder="1" applyAlignment="1">
      <alignment vertical="center" wrapText="1"/>
    </xf>
    <xf numFmtId="0" fontId="6" fillId="0" borderId="7" xfId="1" applyFont="1" applyBorder="1" applyAlignment="1">
      <alignment vertical="center"/>
    </xf>
    <xf numFmtId="0" fontId="17" fillId="0" borderId="7" xfId="0" applyFont="1" applyBorder="1" applyAlignment="1">
      <alignment horizontal="center" vertical="center" shrinkToFit="1"/>
    </xf>
    <xf numFmtId="0" fontId="8" fillId="0" borderId="7" xfId="1" applyFont="1" applyBorder="1" applyAlignment="1">
      <alignment vertical="center" wrapText="1"/>
    </xf>
    <xf numFmtId="0" fontId="18" fillId="0" borderId="7" xfId="1" applyFont="1" applyBorder="1" applyAlignment="1">
      <alignment horizontal="left" vertical="top" wrapText="1"/>
    </xf>
    <xf numFmtId="0" fontId="5" fillId="0" borderId="8" xfId="1" applyFont="1" applyBorder="1" applyAlignment="1">
      <alignment horizontal="center" vertical="center"/>
    </xf>
    <xf numFmtId="0" fontId="13" fillId="0" borderId="0" xfId="0" quotePrefix="1" applyFont="1" applyAlignment="1">
      <alignment horizontal="left" vertical="center"/>
    </xf>
    <xf numFmtId="0" fontId="7" fillId="0" borderId="0" xfId="0" applyFont="1" applyAlignment="1">
      <alignment vertical="center"/>
    </xf>
    <xf numFmtId="0" fontId="7" fillId="0" borderId="0" xfId="0" quotePrefix="1" applyFont="1" applyAlignment="1">
      <alignment vertical="center"/>
    </xf>
    <xf numFmtId="0" fontId="19" fillId="6" borderId="7" xfId="0" applyFont="1" applyFill="1" applyBorder="1" applyAlignment="1">
      <alignment horizontal="center" vertical="center"/>
    </xf>
    <xf numFmtId="0" fontId="20" fillId="5" borderId="7" xfId="0" applyFont="1" applyFill="1" applyBorder="1" applyAlignment="1">
      <alignment horizontal="center" vertical="center" wrapText="1" readingOrder="1"/>
    </xf>
    <xf numFmtId="0" fontId="21" fillId="0" borderId="7" xfId="1" applyFont="1" applyBorder="1" applyAlignment="1">
      <alignment horizontal="center" vertical="center" wrapText="1"/>
    </xf>
    <xf numFmtId="0" fontId="7" fillId="0" borderId="7" xfId="0" applyFont="1" applyBorder="1" applyAlignment="1">
      <alignment horizontal="center" vertical="center"/>
    </xf>
    <xf numFmtId="0" fontId="7" fillId="0" borderId="0" xfId="0" applyFont="1" applyAlignment="1">
      <alignment horizontal="center" vertical="center"/>
    </xf>
    <xf numFmtId="0" fontId="10" fillId="0" borderId="0" xfId="2" applyFont="1" applyAlignment="1">
      <alignment vertical="center"/>
    </xf>
    <xf numFmtId="0" fontId="11" fillId="0" borderId="0" xfId="2" applyFont="1" applyAlignment="1">
      <alignment horizontal="right" vertical="center"/>
    </xf>
    <xf numFmtId="0" fontId="12" fillId="0" borderId="0" xfId="2" applyFont="1" applyAlignment="1">
      <alignment vertical="center"/>
    </xf>
    <xf numFmtId="0" fontId="22" fillId="7" borderId="12" xfId="2" applyFont="1" applyFill="1" applyBorder="1" applyAlignment="1">
      <alignment horizontal="center" vertical="center" wrapText="1"/>
    </xf>
    <xf numFmtId="0" fontId="13" fillId="5" borderId="12" xfId="1" applyFont="1" applyFill="1" applyBorder="1" applyAlignment="1">
      <alignment horizontal="center" vertical="center"/>
    </xf>
    <xf numFmtId="0" fontId="14" fillId="5" borderId="12" xfId="2" applyFont="1" applyFill="1" applyBorder="1" applyAlignment="1">
      <alignment horizontal="center" vertical="center" wrapText="1"/>
    </xf>
    <xf numFmtId="0" fontId="14" fillId="5" borderId="12" xfId="2" applyFont="1" applyFill="1" applyBorder="1" applyAlignment="1">
      <alignment horizontal="center" vertical="center"/>
    </xf>
    <xf numFmtId="0" fontId="6" fillId="0" borderId="0" xfId="2" applyFont="1" applyAlignment="1">
      <alignment horizontal="center" vertical="center"/>
    </xf>
    <xf numFmtId="0" fontId="22" fillId="0" borderId="12" xfId="1" applyFont="1" applyBorder="1" applyAlignment="1">
      <alignment horizontal="center" vertical="top"/>
    </xf>
    <xf numFmtId="0" fontId="22" fillId="0" borderId="12" xfId="1" applyFont="1" applyBorder="1" applyAlignment="1">
      <alignment horizontal="center" vertical="top" wrapText="1"/>
    </xf>
    <xf numFmtId="0" fontId="23" fillId="0" borderId="12" xfId="1" applyFont="1" applyBorder="1" applyAlignment="1">
      <alignment horizontal="left" vertical="top" wrapText="1"/>
    </xf>
    <xf numFmtId="0" fontId="22" fillId="0" borderId="12" xfId="1" applyFont="1" applyBorder="1" applyAlignment="1">
      <alignment horizontal="left" vertical="top" wrapText="1"/>
    </xf>
    <xf numFmtId="0" fontId="22" fillId="5" borderId="12" xfId="1" applyFont="1" applyFill="1" applyBorder="1" applyAlignment="1">
      <alignment horizontal="center" vertical="top" wrapText="1"/>
    </xf>
    <xf numFmtId="0" fontId="23" fillId="0" borderId="12" xfId="1" applyFont="1" applyBorder="1" applyAlignment="1">
      <alignment horizontal="center" vertical="top" wrapText="1"/>
    </xf>
    <xf numFmtId="0" fontId="7" fillId="0" borderId="12" xfId="1" applyFont="1" applyBorder="1" applyAlignment="1">
      <alignment horizontal="center" vertical="center" wrapText="1"/>
    </xf>
    <xf numFmtId="0" fontId="7" fillId="0" borderId="12" xfId="1" applyFont="1" applyBorder="1" applyAlignment="1">
      <alignment vertical="center" wrapText="1"/>
    </xf>
    <xf numFmtId="0" fontId="6" fillId="0" borderId="12" xfId="1" applyFont="1" applyBorder="1" applyAlignment="1">
      <alignment vertical="center" wrapText="1"/>
    </xf>
    <xf numFmtId="0" fontId="6" fillId="0" borderId="12" xfId="1" applyFont="1" applyBorder="1" applyAlignment="1">
      <alignment vertical="center"/>
    </xf>
    <xf numFmtId="0" fontId="17" fillId="0" borderId="12" xfId="2" applyFont="1" applyBorder="1" applyAlignment="1">
      <alignment horizontal="center" vertical="center" shrinkToFit="1"/>
    </xf>
    <xf numFmtId="0" fontId="7" fillId="0" borderId="12" xfId="1" quotePrefix="1" applyFont="1" applyBorder="1" applyAlignment="1">
      <alignment horizontal="center" vertical="center" wrapText="1"/>
    </xf>
    <xf numFmtId="0" fontId="8" fillId="0" borderId="12" xfId="1" applyFont="1" applyBorder="1" applyAlignment="1">
      <alignment vertical="center" wrapText="1"/>
    </xf>
    <xf numFmtId="0" fontId="18" fillId="0" borderId="12" xfId="1" applyFont="1" applyBorder="1" applyAlignment="1">
      <alignment horizontal="left" vertical="top" wrapText="1"/>
    </xf>
    <xf numFmtId="0" fontId="6" fillId="0" borderId="12" xfId="1" applyFont="1" applyBorder="1" applyAlignment="1">
      <alignment horizontal="left" vertical="top" wrapText="1"/>
    </xf>
    <xf numFmtId="0" fontId="6" fillId="0" borderId="12" xfId="1" applyFont="1" applyBorder="1" applyAlignment="1">
      <alignment vertical="top" wrapText="1"/>
    </xf>
    <xf numFmtId="0" fontId="7" fillId="0" borderId="12" xfId="1" quotePrefix="1" applyFont="1" applyBorder="1" applyAlignment="1">
      <alignment horizontal="left" vertical="center" wrapText="1"/>
    </xf>
    <xf numFmtId="0" fontId="6" fillId="0" borderId="0" xfId="1" quotePrefix="1" applyFont="1" applyAlignment="1">
      <alignment vertical="center" wrapText="1"/>
    </xf>
    <xf numFmtId="0" fontId="7" fillId="0" borderId="12" xfId="1" applyFont="1" applyBorder="1" applyAlignment="1">
      <alignment horizontal="left" vertical="center" wrapText="1"/>
    </xf>
    <xf numFmtId="0" fontId="12" fillId="0" borderId="12" xfId="2" applyFont="1" applyBorder="1" applyAlignment="1">
      <alignment horizontal="center" vertical="center" wrapText="1"/>
    </xf>
    <xf numFmtId="0" fontId="12" fillId="0" borderId="12" xfId="2" quotePrefix="1" applyFont="1" applyBorder="1" applyAlignment="1">
      <alignment horizontal="center" vertical="center" wrapText="1"/>
    </xf>
    <xf numFmtId="0" fontId="7" fillId="0" borderId="12" xfId="1" applyFont="1" applyBorder="1" applyAlignment="1">
      <alignment vertical="center"/>
    </xf>
    <xf numFmtId="0" fontId="23" fillId="0" borderId="12" xfId="1" applyFont="1" applyBorder="1" applyAlignment="1">
      <alignment horizontal="center" vertical="top"/>
    </xf>
    <xf numFmtId="0" fontId="6" fillId="0" borderId="12" xfId="1" quotePrefix="1" applyFont="1" applyBorder="1" applyAlignment="1">
      <alignment vertical="center"/>
    </xf>
    <xf numFmtId="0" fontId="7" fillId="0" borderId="0" xfId="1" applyFont="1" applyAlignment="1">
      <alignment vertical="center"/>
    </xf>
    <xf numFmtId="0" fontId="6" fillId="0" borderId="0" xfId="2" applyFont="1" applyAlignment="1">
      <alignment vertical="center"/>
    </xf>
    <xf numFmtId="0" fontId="6" fillId="0" borderId="0" xfId="1" applyFont="1" applyAlignment="1">
      <alignment vertical="top" wrapText="1"/>
    </xf>
    <xf numFmtId="0" fontId="15" fillId="0" borderId="7" xfId="1" quotePrefix="1" applyFont="1" applyBorder="1" applyAlignment="1">
      <alignment horizontal="left" vertical="top" wrapText="1"/>
    </xf>
    <xf numFmtId="0" fontId="24" fillId="0" borderId="12" xfId="2" applyFont="1" applyBorder="1" applyAlignment="1">
      <alignment horizontal="center" vertical="center" wrapText="1"/>
      <extLst>
        <ext xmlns:xfpb="http://schemas.microsoft.com/office/spreadsheetml/2022/featurepropertybag" uri="{C7286773-470A-42A8-94C5-96B5CB345126}">
          <xfpb:xfComplement i="0"/>
        </ext>
      </extLst>
    </xf>
    <xf numFmtId="0" fontId="25" fillId="0" borderId="12" xfId="2" applyFont="1" applyBorder="1" applyAlignment="1">
      <alignment horizontal="center" vertical="center" wrapText="1"/>
      <extLst>
        <ext xmlns:xfpb="http://schemas.microsoft.com/office/spreadsheetml/2022/featurepropertybag" uri="{C7286773-470A-42A8-94C5-96B5CB345126}">
          <xfpb:xfComplement i="0"/>
        </ext>
      </extLst>
    </xf>
    <xf numFmtId="0" fontId="24" fillId="0" borderId="12" xfId="2" applyFont="1" applyBorder="1" applyAlignment="1">
      <alignment horizontal="center" vertical="center"/>
      <extLst>
        <ext xmlns:xfpb="http://schemas.microsoft.com/office/spreadsheetml/2022/featurepropertybag" uri="{C7286773-470A-42A8-94C5-96B5CB345126}">
          <xfpb:xfComplement i="0"/>
        </ext>
      </extLst>
    </xf>
    <xf numFmtId="0" fontId="25" fillId="0" borderId="12" xfId="2" applyFont="1" applyBorder="1" applyAlignment="1">
      <alignment horizontal="center" vertical="center"/>
      <extLst>
        <ext xmlns:xfpb="http://schemas.microsoft.com/office/spreadsheetml/2022/featurepropertybag" uri="{C7286773-470A-42A8-94C5-96B5CB345126}">
          <xfpb:xfComplement i="0"/>
        </ext>
      </extLst>
    </xf>
    <xf numFmtId="0" fontId="12" fillId="0" borderId="11" xfId="0" applyFont="1" applyBorder="1" applyAlignment="1">
      <alignment horizontal="center" vertical="center" wrapText="1"/>
      <extLst>
        <ext xmlns:xfpb="http://schemas.microsoft.com/office/spreadsheetml/2022/featurepropertybag" uri="{C7286773-470A-42A8-94C5-96B5CB345126}">
          <xfpb:xfComplement i="0"/>
        </ext>
      </extLst>
    </xf>
    <xf numFmtId="0" fontId="26" fillId="0" borderId="0" xfId="0" applyFont="1"/>
    <xf numFmtId="0" fontId="23" fillId="8" borderId="12" xfId="1" applyFont="1" applyFill="1" applyBorder="1" applyAlignment="1">
      <alignment horizontal="center" vertical="top"/>
    </xf>
    <xf numFmtId="0" fontId="23" fillId="8" borderId="12" xfId="1" applyFont="1" applyFill="1" applyBorder="1" applyAlignment="1">
      <alignment horizontal="left" vertical="top" wrapText="1"/>
    </xf>
    <xf numFmtId="0" fontId="22" fillId="8" borderId="12" xfId="1" applyFont="1" applyFill="1" applyBorder="1" applyAlignment="1">
      <alignment horizontal="center" vertical="top" wrapText="1"/>
    </xf>
    <xf numFmtId="0" fontId="23" fillId="8" borderId="12" xfId="1" applyFont="1" applyFill="1" applyBorder="1" applyAlignment="1">
      <alignment horizontal="center" vertical="top" wrapText="1"/>
    </xf>
    <xf numFmtId="0" fontId="6" fillId="8" borderId="12" xfId="1" applyFont="1" applyFill="1" applyBorder="1" applyAlignment="1">
      <alignment vertical="top" wrapText="1"/>
    </xf>
    <xf numFmtId="0" fontId="7" fillId="8" borderId="12" xfId="1" applyFont="1" applyFill="1" applyBorder="1" applyAlignment="1">
      <alignment vertical="center"/>
    </xf>
    <xf numFmtId="0" fontId="6" fillId="8" borderId="12" xfId="1" applyFont="1" applyFill="1" applyBorder="1" applyAlignment="1">
      <alignment vertical="center"/>
    </xf>
    <xf numFmtId="0" fontId="6" fillId="8" borderId="12" xfId="1" quotePrefix="1" applyFont="1" applyFill="1" applyBorder="1" applyAlignment="1">
      <alignment vertical="center"/>
    </xf>
    <xf numFmtId="0" fontId="24" fillId="8"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25" fillId="8"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16" fillId="0" borderId="7" xfId="1" applyFont="1" applyBorder="1" applyAlignment="1">
      <alignment horizontal="center" vertical="center" wrapText="1"/>
    </xf>
    <xf numFmtId="0" fontId="0" fillId="0" borderId="0" xfId="0">
      <extLst>
        <ext xmlns:xfpb="http://schemas.microsoft.com/office/spreadsheetml/2022/featurepropertybag" uri="{C7286773-470A-42A8-94C5-96B5CB345126}">
          <xfpb:xfComplement i="0"/>
        </ext>
      </extLst>
    </xf>
    <xf numFmtId="0" fontId="13" fillId="8" borderId="10" xfId="1" applyFont="1" applyFill="1" applyBorder="1" applyAlignment="1">
      <alignment horizontal="center" vertical="center"/>
    </xf>
    <xf numFmtId="0" fontId="13" fillId="8" borderId="7" xfId="1" applyFont="1" applyFill="1" applyBorder="1" applyAlignment="1">
      <alignment horizontal="center" vertical="center"/>
    </xf>
    <xf numFmtId="0" fontId="13" fillId="8" borderId="7" xfId="1" applyFont="1" applyFill="1" applyBorder="1" applyAlignment="1">
      <alignment horizontal="center" vertical="center" wrapText="1"/>
    </xf>
    <xf numFmtId="0" fontId="7" fillId="8" borderId="7" xfId="1" applyFont="1" applyFill="1" applyBorder="1" applyAlignment="1">
      <alignment horizontal="left" vertical="top" wrapText="1"/>
    </xf>
    <xf numFmtId="0" fontId="15" fillId="8" borderId="7" xfId="1" applyFont="1" applyFill="1" applyBorder="1" applyAlignment="1">
      <alignment horizontal="left" vertical="top" wrapText="1"/>
    </xf>
    <xf numFmtId="0" fontId="16" fillId="8" borderId="7" xfId="1" applyFont="1" applyFill="1" applyBorder="1" applyAlignment="1">
      <alignment horizontal="center" vertical="center" wrapText="1"/>
    </xf>
    <xf numFmtId="0" fontId="7" fillId="8" borderId="7" xfId="1" applyFont="1" applyFill="1" applyBorder="1" applyAlignment="1">
      <alignment vertical="top" wrapText="1"/>
    </xf>
    <xf numFmtId="0" fontId="7" fillId="8" borderId="7" xfId="1" applyFont="1" applyFill="1" applyBorder="1" applyAlignment="1">
      <alignment horizontal="center" vertical="center" wrapText="1"/>
    </xf>
    <xf numFmtId="0" fontId="7" fillId="8" borderId="7" xfId="1" applyFont="1" applyFill="1" applyBorder="1" applyAlignment="1">
      <alignment vertical="center" wrapText="1"/>
    </xf>
    <xf numFmtId="0" fontId="6" fillId="8" borderId="7" xfId="1" applyFont="1" applyFill="1" applyBorder="1" applyAlignment="1">
      <alignment vertical="center" wrapText="1"/>
    </xf>
    <xf numFmtId="0" fontId="6" fillId="8" borderId="7" xfId="1" applyFont="1" applyFill="1" applyBorder="1" applyAlignment="1">
      <alignment vertical="center"/>
    </xf>
    <xf numFmtId="0" fontId="17" fillId="8" borderId="7" xfId="0" applyFont="1" applyFill="1" applyBorder="1" applyAlignment="1">
      <alignment horizontal="center" vertical="center" shrinkToFit="1"/>
    </xf>
    <xf numFmtId="0" fontId="8" fillId="8" borderId="7" xfId="1" applyFont="1" applyFill="1" applyBorder="1" applyAlignment="1">
      <alignment vertical="center" wrapText="1"/>
    </xf>
    <xf numFmtId="0" fontId="12" fillId="8" borderId="11"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8" fillId="8" borderId="7" xfId="1" applyFont="1" applyFill="1" applyBorder="1" applyAlignment="1">
      <alignment horizontal="left" vertical="top" wrapText="1"/>
    </xf>
    <xf numFmtId="0" fontId="5" fillId="8" borderId="8" xfId="1" applyFont="1" applyFill="1" applyBorder="1" applyAlignment="1">
      <alignment horizontal="center" vertical="center"/>
    </xf>
    <xf numFmtId="0" fontId="6" fillId="8" borderId="0" xfId="1" applyFont="1" applyFill="1" applyAlignment="1">
      <alignment vertical="center"/>
    </xf>
    <xf numFmtId="0" fontId="6" fillId="8" borderId="0" xfId="1" applyFont="1" applyFill="1" applyAlignment="1">
      <alignment horizontal="center" vertical="center"/>
    </xf>
    <xf numFmtId="0" fontId="22" fillId="9" borderId="12" xfId="1" applyFont="1" applyFill="1" applyBorder="1" applyAlignment="1">
      <alignment horizontal="center" vertical="top"/>
    </xf>
    <xf numFmtId="0" fontId="23" fillId="9" borderId="12" xfId="1" applyFont="1" applyFill="1" applyBorder="1" applyAlignment="1">
      <alignment horizontal="center" vertical="top"/>
    </xf>
    <xf numFmtId="0" fontId="23" fillId="9" borderId="12" xfId="1" applyFont="1" applyFill="1" applyBorder="1" applyAlignment="1">
      <alignment horizontal="left" vertical="top" wrapText="1"/>
    </xf>
    <xf numFmtId="0" fontId="22" fillId="9" borderId="12" xfId="1" applyFont="1" applyFill="1" applyBorder="1" applyAlignment="1">
      <alignment horizontal="center" vertical="top" wrapText="1"/>
    </xf>
    <xf numFmtId="0" fontId="23" fillId="9" borderId="12" xfId="1" applyFont="1" applyFill="1" applyBorder="1" applyAlignment="1">
      <alignment horizontal="center" vertical="top" wrapText="1"/>
    </xf>
    <xf numFmtId="0" fontId="6" fillId="9" borderId="12" xfId="1" applyFont="1" applyFill="1" applyBorder="1" applyAlignment="1">
      <alignment vertical="top" wrapText="1"/>
    </xf>
    <xf numFmtId="0" fontId="6" fillId="9" borderId="12" xfId="1" applyFont="1" applyFill="1" applyBorder="1" applyAlignment="1">
      <alignment vertical="center" wrapText="1"/>
    </xf>
    <xf numFmtId="0" fontId="7" fillId="9" borderId="12" xfId="1" applyFont="1" applyFill="1" applyBorder="1" applyAlignment="1">
      <alignment vertical="center"/>
    </xf>
    <xf numFmtId="0" fontId="6" fillId="9" borderId="12" xfId="1" applyFont="1" applyFill="1" applyBorder="1" applyAlignment="1">
      <alignment vertical="center"/>
    </xf>
    <xf numFmtId="0" fontId="6" fillId="9" borderId="12" xfId="1" quotePrefix="1" applyFont="1" applyFill="1" applyBorder="1" applyAlignment="1">
      <alignment vertical="center"/>
    </xf>
    <xf numFmtId="0" fontId="24" fillId="9"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25" fillId="9"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6" fillId="9" borderId="0" xfId="1" applyFont="1" applyFill="1" applyAlignment="1">
      <alignment vertical="center"/>
    </xf>
    <xf numFmtId="0" fontId="23" fillId="8" borderId="12" xfId="1" quotePrefix="1" applyFont="1" applyFill="1" applyBorder="1" applyAlignment="1">
      <alignment horizontal="left" vertical="top" wrapText="1"/>
    </xf>
    <xf numFmtId="0" fontId="6" fillId="9" borderId="0" xfId="1" applyFont="1" applyFill="1" applyAlignment="1">
      <alignment vertical="center" wrapText="1"/>
    </xf>
    <xf numFmtId="0" fontId="6" fillId="0" borderId="12" xfId="1" applyFont="1" applyBorder="1" applyAlignment="1">
      <alignment horizontal="center" vertical="center" wrapText="1"/>
    </xf>
    <xf numFmtId="0" fontId="6" fillId="9" borderId="12" xfId="1" applyFont="1" applyFill="1" applyBorder="1" applyAlignment="1">
      <alignment horizontal="center" vertical="center" wrapText="1"/>
    </xf>
    <xf numFmtId="0" fontId="6" fillId="8" borderId="12" xfId="1" applyFont="1" applyFill="1" applyBorder="1" applyAlignment="1">
      <alignment horizontal="center" vertical="center" wrapText="1"/>
    </xf>
    <xf numFmtId="0" fontId="0" fillId="0" borderId="0" xfId="0" applyAlignment="1">
      <alignment horizontal="center"/>
    </xf>
    <xf numFmtId="0" fontId="7" fillId="9" borderId="12" xfId="1" applyFont="1" applyFill="1" applyBorder="1" applyAlignment="1">
      <alignment horizontal="center" vertical="center" wrapText="1"/>
    </xf>
    <xf numFmtId="0" fontId="7" fillId="9" borderId="12" xfId="1" applyFont="1" applyFill="1" applyBorder="1" applyAlignment="1">
      <alignment vertical="center" wrapText="1"/>
    </xf>
    <xf numFmtId="0" fontId="17" fillId="9" borderId="12" xfId="2" applyFont="1" applyFill="1" applyBorder="1" applyAlignment="1">
      <alignment horizontal="center" vertical="center" shrinkToFit="1"/>
    </xf>
    <xf numFmtId="0" fontId="7" fillId="9" borderId="12" xfId="1" quotePrefix="1" applyFont="1" applyFill="1" applyBorder="1" applyAlignment="1">
      <alignment horizontal="center" vertical="center" wrapText="1"/>
    </xf>
    <xf numFmtId="0" fontId="8" fillId="9" borderId="12" xfId="1" applyFont="1" applyFill="1" applyBorder="1" applyAlignment="1">
      <alignment vertical="center" wrapText="1"/>
    </xf>
    <xf numFmtId="0" fontId="24" fillId="9" borderId="12" xfId="2" applyFont="1" applyFill="1" applyBorder="1" applyAlignment="1">
      <alignment horizontal="center" vertical="center" wrapText="1"/>
      <extLst>
        <ext xmlns:xfpb="http://schemas.microsoft.com/office/spreadsheetml/2022/featurepropertybag" uri="{C7286773-470A-42A8-94C5-96B5CB345126}">
          <xfpb:xfComplement i="0"/>
        </ext>
      </extLst>
    </xf>
    <xf numFmtId="0" fontId="25" fillId="9" borderId="12" xfId="2" applyFont="1" applyFill="1" applyBorder="1" applyAlignment="1">
      <alignment horizontal="center" vertical="center" wrapText="1"/>
      <extLst>
        <ext xmlns:xfpb="http://schemas.microsoft.com/office/spreadsheetml/2022/featurepropertybag" uri="{C7286773-470A-42A8-94C5-96B5CB345126}">
          <xfpb:xfComplement i="0"/>
        </ext>
      </extLst>
    </xf>
    <xf numFmtId="0" fontId="6" fillId="9" borderId="12" xfId="1" applyFont="1" applyFill="1" applyBorder="1" applyAlignment="1">
      <alignment horizontal="left" vertical="top" wrapText="1"/>
    </xf>
    <xf numFmtId="0" fontId="7" fillId="9" borderId="12" xfId="1" quotePrefix="1" applyFont="1" applyFill="1" applyBorder="1" applyAlignment="1">
      <alignment horizontal="left" vertical="center" wrapText="1"/>
    </xf>
    <xf numFmtId="0" fontId="6" fillId="9" borderId="0" xfId="1" applyFont="1" applyFill="1" applyAlignment="1">
      <alignment horizontal="center" vertical="center"/>
    </xf>
    <xf numFmtId="0" fontId="7" fillId="9" borderId="12" xfId="1" applyFont="1" applyFill="1" applyBorder="1" applyAlignment="1">
      <alignment horizontal="left" vertical="center" wrapText="1"/>
    </xf>
    <xf numFmtId="0" fontId="7" fillId="9" borderId="12" xfId="1" applyFont="1" applyFill="1" applyBorder="1" applyAlignment="1">
      <alignment horizontal="center" vertical="center"/>
    </xf>
    <xf numFmtId="0" fontId="22" fillId="10" borderId="12" xfId="1" applyFont="1" applyFill="1" applyBorder="1" applyAlignment="1">
      <alignment horizontal="center" vertical="top"/>
    </xf>
    <xf numFmtId="0" fontId="23" fillId="10" borderId="12" xfId="1" applyFont="1" applyFill="1" applyBorder="1" applyAlignment="1">
      <alignment horizontal="left" vertical="top" wrapText="1"/>
    </xf>
    <xf numFmtId="0" fontId="22" fillId="10" borderId="12" xfId="1" applyFont="1" applyFill="1" applyBorder="1" applyAlignment="1">
      <alignment horizontal="center" vertical="top" wrapText="1"/>
    </xf>
    <xf numFmtId="0" fontId="23" fillId="10" borderId="12" xfId="1" applyFont="1" applyFill="1" applyBorder="1" applyAlignment="1">
      <alignment horizontal="center" vertical="top" wrapText="1"/>
    </xf>
    <xf numFmtId="0" fontId="6" fillId="10" borderId="12" xfId="1" applyFont="1" applyFill="1" applyBorder="1" applyAlignment="1">
      <alignment vertical="top" wrapText="1"/>
    </xf>
    <xf numFmtId="0" fontId="6" fillId="10" borderId="12" xfId="1" applyFont="1" applyFill="1" applyBorder="1" applyAlignment="1">
      <alignment horizontal="center" vertical="center" wrapText="1"/>
    </xf>
    <xf numFmtId="0" fontId="7" fillId="10" borderId="12" xfId="1" applyFont="1" applyFill="1" applyBorder="1" applyAlignment="1">
      <alignment vertical="center"/>
    </xf>
    <xf numFmtId="0" fontId="6" fillId="10" borderId="12" xfId="1" applyFont="1" applyFill="1" applyBorder="1" applyAlignment="1">
      <alignment vertical="center"/>
    </xf>
    <xf numFmtId="0" fontId="6" fillId="10" borderId="12" xfId="1" quotePrefix="1" applyFont="1" applyFill="1" applyBorder="1" applyAlignment="1">
      <alignment vertical="center"/>
    </xf>
    <xf numFmtId="0" fontId="24" fillId="10"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25" fillId="10"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6" fillId="10" borderId="0" xfId="1" applyFont="1" applyFill="1" applyAlignment="1">
      <alignment vertical="center"/>
    </xf>
    <xf numFmtId="0" fontId="6" fillId="10" borderId="0" xfId="1" applyFont="1" applyFill="1" applyAlignment="1">
      <alignment horizontal="center" vertical="center"/>
    </xf>
    <xf numFmtId="0" fontId="3" fillId="10" borderId="12" xfId="1" applyFont="1" applyFill="1" applyBorder="1" applyAlignment="1">
      <alignment horizontal="left" vertical="top" wrapText="1"/>
    </xf>
    <xf numFmtId="0" fontId="0" fillId="10" borderId="12" xfId="0" applyFill="1" applyBorder="1" applyAlignment="1">
      <alignment horizontal="left" vertical="center" wrapText="1"/>
    </xf>
    <xf numFmtId="0" fontId="22" fillId="11" borderId="12" xfId="1" applyFont="1" applyFill="1" applyBorder="1" applyAlignment="1">
      <alignment horizontal="center" vertical="top"/>
    </xf>
    <xf numFmtId="0" fontId="23" fillId="11" borderId="12" xfId="1" applyFont="1" applyFill="1" applyBorder="1" applyAlignment="1">
      <alignment horizontal="left" vertical="top" wrapText="1"/>
    </xf>
    <xf numFmtId="0" fontId="22" fillId="11" borderId="12" xfId="1" applyFont="1" applyFill="1" applyBorder="1" applyAlignment="1">
      <alignment horizontal="center" vertical="top" wrapText="1"/>
    </xf>
    <xf numFmtId="0" fontId="7" fillId="11" borderId="12" xfId="1" applyFont="1" applyFill="1" applyBorder="1" applyAlignment="1">
      <alignment horizontal="center" vertical="center" wrapText="1"/>
    </xf>
    <xf numFmtId="0" fontId="7" fillId="11" borderId="12" xfId="1" quotePrefix="1" applyFont="1" applyFill="1" applyBorder="1" applyAlignment="1">
      <alignment horizontal="left" vertical="center" wrapText="1"/>
    </xf>
    <xf numFmtId="0" fontId="6" fillId="11" borderId="12" xfId="1" applyFont="1" applyFill="1" applyBorder="1" applyAlignment="1">
      <alignment vertical="center"/>
    </xf>
    <xf numFmtId="0" fontId="17" fillId="11" borderId="12" xfId="2" applyFont="1" applyFill="1" applyBorder="1" applyAlignment="1">
      <alignment horizontal="center" vertical="center" shrinkToFit="1"/>
    </xf>
    <xf numFmtId="0" fontId="7" fillId="11" borderId="12" xfId="1" quotePrefix="1" applyFont="1" applyFill="1" applyBorder="1" applyAlignment="1">
      <alignment horizontal="center" vertical="center" wrapText="1"/>
    </xf>
    <xf numFmtId="0" fontId="7" fillId="11" borderId="12" xfId="1" applyFont="1" applyFill="1" applyBorder="1" applyAlignment="1">
      <alignment vertical="center" wrapText="1"/>
    </xf>
    <xf numFmtId="0" fontId="24" fillId="11" borderId="12" xfId="2" applyFont="1" applyFill="1" applyBorder="1" applyAlignment="1">
      <alignment horizontal="center" vertical="center" wrapText="1"/>
      <extLst>
        <ext xmlns:xfpb="http://schemas.microsoft.com/office/spreadsheetml/2022/featurepropertybag" uri="{C7286773-470A-42A8-94C5-96B5CB345126}">
          <xfpb:xfComplement i="0"/>
        </ext>
      </extLst>
    </xf>
    <xf numFmtId="0" fontId="25" fillId="11" borderId="12" xfId="2" applyFont="1" applyFill="1" applyBorder="1" applyAlignment="1">
      <alignment horizontal="center" vertical="center" wrapText="1"/>
      <extLst>
        <ext xmlns:xfpb="http://schemas.microsoft.com/office/spreadsheetml/2022/featurepropertybag" uri="{C7286773-470A-42A8-94C5-96B5CB345126}">
          <xfpb:xfComplement i="0"/>
        </ext>
      </extLst>
    </xf>
    <xf numFmtId="0" fontId="6" fillId="11" borderId="12" xfId="1" applyFont="1" applyFill="1" applyBorder="1" applyAlignment="1">
      <alignment horizontal="left" vertical="top" wrapText="1"/>
    </xf>
    <xf numFmtId="0" fontId="6" fillId="11" borderId="0" xfId="1" applyFont="1" applyFill="1" applyAlignment="1">
      <alignment vertical="center"/>
    </xf>
    <xf numFmtId="0" fontId="6" fillId="11" borderId="0" xfId="1" applyFont="1" applyFill="1" applyAlignment="1">
      <alignment horizontal="center" vertical="center"/>
    </xf>
    <xf numFmtId="0" fontId="23" fillId="11" borderId="12" xfId="1" applyFont="1" applyFill="1" applyBorder="1" applyAlignment="1">
      <alignment horizontal="center" vertical="top"/>
    </xf>
    <xf numFmtId="0" fontId="6" fillId="11" borderId="12" xfId="1" applyFont="1" applyFill="1" applyBorder="1" applyAlignment="1">
      <alignment vertical="top" wrapText="1"/>
    </xf>
    <xf numFmtId="0" fontId="6" fillId="11" borderId="12" xfId="1" applyFont="1" applyFill="1" applyBorder="1" applyAlignment="1">
      <alignment horizontal="center" vertical="center" wrapText="1"/>
    </xf>
    <xf numFmtId="0" fontId="7" fillId="11" borderId="12" xfId="1" applyFont="1" applyFill="1" applyBorder="1" applyAlignment="1">
      <alignment vertical="center"/>
    </xf>
    <xf numFmtId="0" fontId="6" fillId="11" borderId="12" xfId="1" quotePrefix="1" applyFont="1" applyFill="1" applyBorder="1" applyAlignment="1">
      <alignment vertical="center"/>
    </xf>
    <xf numFmtId="0" fontId="24" fillId="11"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25" fillId="11"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23" fillId="0" borderId="0" xfId="1" applyFont="1" applyAlignment="1">
      <alignment vertical="top"/>
    </xf>
    <xf numFmtId="0" fontId="23" fillId="0" borderId="12" xfId="1" applyFont="1" applyBorder="1" applyAlignment="1">
      <alignment vertical="top" wrapText="1"/>
    </xf>
    <xf numFmtId="0" fontId="23" fillId="0" borderId="12" xfId="1" quotePrefix="1" applyFont="1" applyBorder="1" applyAlignment="1">
      <alignment horizontal="left" vertical="top" wrapText="1"/>
    </xf>
    <xf numFmtId="0" fontId="22" fillId="0" borderId="12" xfId="1" applyFont="1" applyBorder="1" applyAlignment="1">
      <alignment vertical="top" wrapText="1"/>
    </xf>
    <xf numFmtId="0" fontId="23" fillId="10" borderId="12" xfId="1" applyFont="1" applyFill="1" applyBorder="1" applyAlignment="1">
      <alignment vertical="top" wrapText="1"/>
    </xf>
    <xf numFmtId="0" fontId="26" fillId="10" borderId="12" xfId="0" applyFont="1" applyFill="1" applyBorder="1" applyAlignment="1">
      <alignment horizontal="left" vertical="center" wrapText="1"/>
    </xf>
    <xf numFmtId="0" fontId="22" fillId="9" borderId="12" xfId="1" applyFont="1" applyFill="1" applyBorder="1" applyAlignment="1">
      <alignment vertical="top" wrapText="1"/>
    </xf>
    <xf numFmtId="0" fontId="23" fillId="11" borderId="12" xfId="1" applyFont="1" applyFill="1" applyBorder="1" applyAlignment="1">
      <alignment vertical="top" wrapText="1"/>
    </xf>
    <xf numFmtId="0" fontId="23" fillId="9" borderId="12" xfId="1" applyFont="1" applyFill="1" applyBorder="1" applyAlignment="1">
      <alignment vertical="top" wrapText="1"/>
    </xf>
    <xf numFmtId="0" fontId="23" fillId="0" borderId="12" xfId="1" applyFont="1" applyBorder="1" applyAlignment="1">
      <alignment vertical="center" wrapText="1"/>
    </xf>
    <xf numFmtId="0" fontId="23" fillId="8" borderId="12" xfId="1" applyFont="1" applyFill="1" applyBorder="1" applyAlignment="1">
      <alignment vertical="top" wrapText="1"/>
    </xf>
    <xf numFmtId="0" fontId="18" fillId="9" borderId="12" xfId="1" applyFont="1" applyFill="1" applyBorder="1" applyAlignment="1">
      <alignment horizontal="left" vertical="top" wrapText="1"/>
    </xf>
    <xf numFmtId="0" fontId="23" fillId="9" borderId="12" xfId="1" quotePrefix="1" applyFont="1" applyFill="1" applyBorder="1" applyAlignment="1">
      <alignment horizontal="left" vertical="top" wrapText="1"/>
    </xf>
    <xf numFmtId="0" fontId="28" fillId="9" borderId="12" xfId="2" applyFont="1" applyFill="1" applyBorder="1" applyAlignment="1">
      <alignment horizontal="center" vertical="center" wrapText="1"/>
      <extLst>
        <ext xmlns:xfpb="http://schemas.microsoft.com/office/spreadsheetml/2022/featurepropertybag" uri="{C7286773-470A-42A8-94C5-96B5CB345126}">
          <xfpb:xfComplement i="0"/>
        </ext>
      </extLst>
    </xf>
    <xf numFmtId="0" fontId="23" fillId="12" borderId="12" xfId="1" applyFont="1" applyFill="1" applyBorder="1" applyAlignment="1">
      <alignment horizontal="left" vertical="top" wrapText="1"/>
    </xf>
    <xf numFmtId="0" fontId="22" fillId="12" borderId="12" xfId="1" applyFont="1" applyFill="1" applyBorder="1" applyAlignment="1">
      <alignment horizontal="center" vertical="top" wrapText="1"/>
    </xf>
    <xf numFmtId="0" fontId="7" fillId="12" borderId="12" xfId="1" applyFont="1" applyFill="1" applyBorder="1" applyAlignment="1">
      <alignment horizontal="center" vertical="center" wrapText="1"/>
    </xf>
    <xf numFmtId="0" fontId="7" fillId="12" borderId="12" xfId="1" quotePrefix="1" applyFont="1" applyFill="1" applyBorder="1" applyAlignment="1">
      <alignment horizontal="left" vertical="center" wrapText="1"/>
    </xf>
    <xf numFmtId="0" fontId="6" fillId="12" borderId="12" xfId="1" applyFont="1" applyFill="1" applyBorder="1" applyAlignment="1">
      <alignment vertical="center"/>
    </xf>
    <xf numFmtId="0" fontId="17" fillId="12" borderId="12" xfId="2" applyFont="1" applyFill="1" applyBorder="1" applyAlignment="1">
      <alignment horizontal="center" vertical="center" shrinkToFit="1"/>
    </xf>
    <xf numFmtId="0" fontId="7" fillId="12" borderId="12" xfId="1" quotePrefix="1" applyFont="1" applyFill="1" applyBorder="1" applyAlignment="1">
      <alignment horizontal="center" vertical="center" wrapText="1"/>
    </xf>
    <xf numFmtId="0" fontId="7" fillId="12" borderId="12" xfId="1" applyFont="1" applyFill="1" applyBorder="1" applyAlignment="1">
      <alignment vertical="center" wrapText="1"/>
    </xf>
    <xf numFmtId="0" fontId="24" fillId="12" borderId="12" xfId="2" applyFont="1" applyFill="1" applyBorder="1" applyAlignment="1">
      <alignment horizontal="center" vertical="center" wrapText="1"/>
      <extLst>
        <ext xmlns:xfpb="http://schemas.microsoft.com/office/spreadsheetml/2022/featurepropertybag" uri="{C7286773-470A-42A8-94C5-96B5CB345126}">
          <xfpb:xfComplement i="0"/>
        </ext>
      </extLst>
    </xf>
    <xf numFmtId="0" fontId="6" fillId="12" borderId="12" xfId="1" applyFont="1" applyFill="1" applyBorder="1" applyAlignment="1">
      <alignment horizontal="left" vertical="top" wrapText="1"/>
    </xf>
    <xf numFmtId="0" fontId="6" fillId="12" borderId="0" xfId="1" applyFont="1" applyFill="1" applyAlignment="1">
      <alignment vertical="center"/>
    </xf>
    <xf numFmtId="0" fontId="6" fillId="12" borderId="0" xfId="1" applyFont="1" applyFill="1" applyAlignment="1">
      <alignment horizontal="center" vertical="center"/>
    </xf>
    <xf numFmtId="49" fontId="23" fillId="9" borderId="12" xfId="1" applyNumberFormat="1" applyFont="1" applyFill="1" applyBorder="1" applyAlignment="1">
      <alignment vertical="top" wrapText="1"/>
    </xf>
    <xf numFmtId="0" fontId="0" fillId="9" borderId="12" xfId="0" applyFill="1" applyBorder="1" applyAlignment="1">
      <alignment horizontal="left" vertical="center" wrapText="1"/>
    </xf>
    <xf numFmtId="0" fontId="26" fillId="9" borderId="12" xfId="0" applyFont="1" applyFill="1" applyBorder="1" applyAlignment="1">
      <alignment horizontal="left" vertical="center" wrapText="1"/>
    </xf>
    <xf numFmtId="0" fontId="32" fillId="9" borderId="12" xfId="0" applyFont="1" applyFill="1" applyBorder="1" applyAlignment="1">
      <alignment horizontal="left" vertical="center" wrapText="1"/>
    </xf>
    <xf numFmtId="0" fontId="23" fillId="12" borderId="12" xfId="1" applyFont="1" applyFill="1" applyBorder="1" applyAlignment="1">
      <alignment horizontal="center" vertical="top"/>
    </xf>
    <xf numFmtId="0" fontId="23" fillId="12" borderId="12" xfId="1" applyFont="1" applyFill="1" applyBorder="1" applyAlignment="1">
      <alignment vertical="top" wrapText="1"/>
    </xf>
    <xf numFmtId="0" fontId="6" fillId="12" borderId="12" xfId="1" applyFont="1" applyFill="1" applyBorder="1" applyAlignment="1">
      <alignment horizontal="center" vertical="center" wrapText="1"/>
    </xf>
    <xf numFmtId="0" fontId="7" fillId="12" borderId="12" xfId="1" applyFont="1" applyFill="1" applyBorder="1" applyAlignment="1">
      <alignment vertical="center"/>
    </xf>
    <xf numFmtId="0" fontId="6" fillId="12" borderId="12" xfId="1" quotePrefix="1" applyFont="1" applyFill="1" applyBorder="1" applyAlignment="1">
      <alignment vertical="center"/>
    </xf>
    <xf numFmtId="0" fontId="24" fillId="12"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25" fillId="12" borderId="12" xfId="2" applyFont="1" applyFill="1" applyBorder="1" applyAlignment="1">
      <alignment horizontal="center" vertical="center"/>
      <extLst>
        <ext xmlns:xfpb="http://schemas.microsoft.com/office/spreadsheetml/2022/featurepropertybag" uri="{C7286773-470A-42A8-94C5-96B5CB345126}">
          <xfpb:xfComplement i="0"/>
        </ext>
      </extLst>
    </xf>
    <xf numFmtId="0" fontId="6" fillId="12" borderId="12" xfId="1" applyFont="1" applyFill="1" applyBorder="1" applyAlignment="1">
      <alignment vertical="top" wrapText="1"/>
    </xf>
    <xf numFmtId="0" fontId="10" fillId="13" borderId="0" xfId="1" applyFont="1" applyFill="1" applyAlignment="1">
      <alignment vertical="center"/>
    </xf>
    <xf numFmtId="0" fontId="23" fillId="7" borderId="12" xfId="2" applyFont="1" applyFill="1" applyBorder="1" applyAlignment="1">
      <alignment horizontal="center" vertical="center" wrapText="1"/>
    </xf>
    <xf numFmtId="0" fontId="38" fillId="10" borderId="12" xfId="0" applyFont="1" applyFill="1" applyBorder="1" applyAlignment="1">
      <alignment horizontal="left" vertical="center" wrapText="1"/>
    </xf>
    <xf numFmtId="0" fontId="38" fillId="9" borderId="12" xfId="0" applyFont="1" applyFill="1" applyBorder="1" applyAlignment="1">
      <alignment horizontal="left" vertical="center" wrapText="1"/>
    </xf>
    <xf numFmtId="0" fontId="38" fillId="0" borderId="0" xfId="0" applyFont="1"/>
    <xf numFmtId="0" fontId="39" fillId="0" borderId="19" xfId="1" applyFont="1" applyBorder="1" applyAlignment="1">
      <alignment horizontal="center" vertical="center"/>
    </xf>
    <xf numFmtId="0" fontId="40" fillId="14" borderId="19" xfId="1" applyFont="1" applyFill="1" applyBorder="1" applyAlignment="1">
      <alignment horizontal="center" vertical="center"/>
    </xf>
    <xf numFmtId="0" fontId="22" fillId="9" borderId="0" xfId="1" applyFont="1" applyFill="1" applyAlignment="1">
      <alignment horizontal="center" vertical="top"/>
    </xf>
    <xf numFmtId="0" fontId="6" fillId="0" borderId="12" xfId="1" applyFont="1" applyBorder="1" applyAlignment="1">
      <alignment horizontal="center" vertical="center"/>
    </xf>
    <xf numFmtId="0" fontId="13" fillId="5" borderId="12" xfId="2" applyFont="1" applyFill="1" applyBorder="1" applyAlignment="1">
      <alignment horizontal="center" vertical="top" wrapText="1"/>
    </xf>
    <xf numFmtId="0" fontId="0" fillId="0" borderId="16" xfId="0" applyBorder="1"/>
    <xf numFmtId="0" fontId="22" fillId="7" borderId="12" xfId="2" applyFont="1" applyFill="1" applyBorder="1" applyAlignment="1">
      <alignment horizontal="center" vertical="center" wrapText="1"/>
    </xf>
    <xf numFmtId="0" fontId="0" fillId="0" borderId="18" xfId="0" applyBorder="1"/>
    <xf numFmtId="0" fontId="0" fillId="0" borderId="17" xfId="0" applyBorder="1"/>
    <xf numFmtId="0" fontId="13" fillId="5" borderId="12" xfId="1" applyFont="1" applyFill="1" applyBorder="1" applyAlignment="1">
      <alignment horizontal="center" vertical="center"/>
    </xf>
    <xf numFmtId="0" fontId="14" fillId="5" borderId="12" xfId="2" applyFont="1" applyFill="1" applyBorder="1" applyAlignment="1">
      <alignment horizontal="center" vertical="center" wrapText="1"/>
    </xf>
    <xf numFmtId="0" fontId="22" fillId="5" borderId="12" xfId="2" applyFont="1" applyFill="1" applyBorder="1" applyAlignment="1">
      <alignment horizontal="center" vertical="center" wrapText="1"/>
    </xf>
    <xf numFmtId="0" fontId="26" fillId="0" borderId="16" xfId="0" applyFont="1" applyBorder="1"/>
    <xf numFmtId="0" fontId="13" fillId="5" borderId="12" xfId="2" applyFont="1" applyFill="1" applyBorder="1" applyAlignment="1">
      <alignment horizontal="center" vertical="center" wrapText="1"/>
    </xf>
    <xf numFmtId="0" fontId="0" fillId="0" borderId="16" xfId="0" applyBorder="1" applyAlignment="1">
      <alignment horizontal="center"/>
    </xf>
    <xf numFmtId="0" fontId="13" fillId="5" borderId="6" xfId="0" applyFont="1" applyFill="1" applyBorder="1" applyAlignment="1">
      <alignment horizontal="center" vertical="center" wrapText="1"/>
    </xf>
    <xf numFmtId="0" fontId="0" fillId="0" borderId="15" xfId="0" applyBorder="1"/>
    <xf numFmtId="0" fontId="13" fillId="5" borderId="5" xfId="0" applyFont="1" applyFill="1" applyBorder="1" applyAlignment="1">
      <alignment horizontal="center" vertical="center" wrapText="1"/>
    </xf>
    <xf numFmtId="0" fontId="0" fillId="0" borderId="9" xfId="0" applyBorder="1"/>
    <xf numFmtId="0" fontId="0" fillId="0" borderId="13" xfId="0" applyBorder="1"/>
    <xf numFmtId="0" fontId="0" fillId="0" borderId="14" xfId="0" applyBorder="1"/>
    <xf numFmtId="0" fontId="13" fillId="5" borderId="5" xfId="0" applyFont="1" applyFill="1" applyBorder="1" applyAlignment="1">
      <alignment horizontal="center" vertical="top" wrapText="1"/>
    </xf>
    <xf numFmtId="0" fontId="13" fillId="5" borderId="5" xfId="1" applyFont="1" applyFill="1" applyBorder="1" applyAlignment="1">
      <alignment horizontal="center" vertical="center"/>
    </xf>
    <xf numFmtId="0" fontId="14" fillId="5" borderId="5"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0" fillId="0" borderId="2" xfId="0" applyBorder="1"/>
    <xf numFmtId="0" fontId="0" fillId="0" borderId="3" xfId="0" applyBorder="1"/>
    <xf numFmtId="0" fontId="3" fillId="9" borderId="12" xfId="1" applyFont="1" applyFill="1" applyBorder="1" applyAlignment="1">
      <alignment vertical="top" wrapText="1"/>
    </xf>
    <xf numFmtId="0" fontId="3" fillId="0" borderId="12" xfId="1" applyFont="1" applyBorder="1" applyAlignment="1">
      <alignment vertical="top" wrapText="1"/>
    </xf>
  </cellXfs>
  <cellStyles count="3">
    <cellStyle name="표준" xfId="0" builtinId="0"/>
    <cellStyle name="표준 2" xfId="1" xr:uid="{00000000-0005-0000-0000-000001000000}"/>
    <cellStyle name="표준 3" xfId="2" xr:uid="{00000000-0005-0000-0000-000002000000}"/>
  </cellStyles>
  <dxfs count="8">
    <dxf>
      <fill>
        <patternFill>
          <bgColor theme="0" tint="-0.34998626667073579"/>
        </patternFill>
      </fill>
    </dxf>
    <dxf>
      <fill>
        <patternFill>
          <bgColor rgb="FFFFFF00"/>
        </patternFill>
      </fill>
    </dxf>
    <dxf>
      <fill>
        <patternFill>
          <bgColor rgb="FFFFC000"/>
        </patternFill>
      </fill>
    </dxf>
    <dxf>
      <fill>
        <patternFill>
          <bgColor rgb="FFFF0000"/>
        </patternFill>
      </fill>
    </dxf>
    <dxf>
      <fill>
        <patternFill>
          <bgColor theme="0" tint="-0.34998626667073579"/>
        </patternFill>
      </fill>
    </dxf>
    <dxf>
      <fill>
        <patternFill>
          <bgColor rgb="FFFFFF00"/>
        </patternFill>
      </fill>
    </dxf>
    <dxf>
      <fill>
        <patternFill>
          <bgColor rgb="FFFFC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26</xdr:col>
      <xdr:colOff>251012</xdr:colOff>
      <xdr:row>158</xdr:row>
      <xdr:rowOff>1093693</xdr:rowOff>
    </xdr:from>
    <xdr:to>
      <xdr:col>26</xdr:col>
      <xdr:colOff>1783977</xdr:colOff>
      <xdr:row>159</xdr:row>
      <xdr:rowOff>1218553</xdr:rowOff>
    </xdr:to>
    <xdr:pic>
      <xdr:nvPicPr>
        <xdr:cNvPr id="2" name="그림 1">
          <a:extLst>
            <a:ext uri="{FF2B5EF4-FFF2-40B4-BE49-F238E27FC236}">
              <a16:creationId xmlns:a16="http://schemas.microsoft.com/office/drawing/2014/main" id="{16C1E0DF-1526-EFF6-E815-9E59264F6301}"/>
            </a:ext>
          </a:extLst>
        </xdr:cNvPr>
        <xdr:cNvPicPr>
          <a:picLocks noChangeAspect="1"/>
        </xdr:cNvPicPr>
      </xdr:nvPicPr>
      <xdr:blipFill>
        <a:blip xmlns:r="http://schemas.openxmlformats.org/officeDocument/2006/relationships" r:embed="rId1"/>
        <a:stretch>
          <a:fillRect/>
        </a:stretch>
      </xdr:blipFill>
      <xdr:spPr>
        <a:xfrm>
          <a:off x="40448753" y="107325458"/>
          <a:ext cx="1532965" cy="1440432"/>
        </a:xfrm>
        <a:prstGeom prst="rect">
          <a:avLst/>
        </a:prstGeom>
      </xdr:spPr>
    </xdr:pic>
    <xdr:clientData/>
  </xdr:twoCellAnchor>
  <xdr:twoCellAnchor editAs="oneCell">
    <xdr:from>
      <xdr:col>26</xdr:col>
      <xdr:colOff>235526</xdr:colOff>
      <xdr:row>132</xdr:row>
      <xdr:rowOff>1246910</xdr:rowOff>
    </xdr:from>
    <xdr:to>
      <xdr:col>28</xdr:col>
      <xdr:colOff>914391</xdr:colOff>
      <xdr:row>133</xdr:row>
      <xdr:rowOff>1233798</xdr:rowOff>
    </xdr:to>
    <xdr:pic>
      <xdr:nvPicPr>
        <xdr:cNvPr id="3" name="그림 2">
          <a:extLst>
            <a:ext uri="{FF2B5EF4-FFF2-40B4-BE49-F238E27FC236}">
              <a16:creationId xmlns:a16="http://schemas.microsoft.com/office/drawing/2014/main" id="{310F351C-3E31-4EAC-270B-C201EAC2EED9}"/>
            </a:ext>
          </a:extLst>
        </xdr:cNvPr>
        <xdr:cNvPicPr>
          <a:picLocks noChangeAspect="1"/>
        </xdr:cNvPicPr>
      </xdr:nvPicPr>
      <xdr:blipFill>
        <a:blip xmlns:r="http://schemas.openxmlformats.org/officeDocument/2006/relationships" r:embed="rId2"/>
        <a:stretch>
          <a:fillRect/>
        </a:stretch>
      </xdr:blipFill>
      <xdr:spPr>
        <a:xfrm>
          <a:off x="41577490" y="53436983"/>
          <a:ext cx="6315933" cy="15517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441960</xdr:colOff>
          <xdr:row>0</xdr:row>
          <xdr:rowOff>106680</xdr:rowOff>
        </xdr:from>
        <xdr:to>
          <xdr:col>8</xdr:col>
          <xdr:colOff>106680</xdr:colOff>
          <xdr:row>1</xdr:row>
          <xdr:rowOff>137160</xdr:rowOff>
        </xdr:to>
        <xdr:pic>
          <xdr:nvPicPr>
            <xdr:cNvPr id="15543" name="그림 1">
              <a:extLst>
                <a:ext uri="{FF2B5EF4-FFF2-40B4-BE49-F238E27FC236}">
                  <a16:creationId xmlns:a16="http://schemas.microsoft.com/office/drawing/2014/main" id="{5F714E75-E0AF-3415-BA73-7AF596F1BD71}"/>
                </a:ext>
              </a:extLst>
            </xdr:cNvPr>
            <xdr:cNvPicPr>
              <a:picLocks noChangeAspect="1" noChangeArrowheads="1"/>
              <a:extLst>
                <a:ext uri="{84589F7E-364E-4C9E-8A38-B11213B215E9}">
                  <a14:cameraTool cellRange="'[2]집계표(사업성)'!$L$1:$O$2" spid="_x0000_s1484"/>
                </a:ext>
              </a:extLst>
            </xdr:cNvPicPr>
          </xdr:nvPicPr>
          <xdr:blipFill>
            <a:blip xmlns:r="http://schemas.openxmlformats.org/officeDocument/2006/relationships" r:embed="rId1">
              <a:extLst>
                <a:ext uri="{28A0092B-C50C-407E-A947-70E740481C1C}">
                  <a14:useLocalDpi val="0"/>
                </a:ext>
              </a:extLst>
            </a:blip>
            <a:srcRect/>
            <a:stretch>
              <a:fillRect/>
            </a:stretch>
          </xdr:blipFill>
          <xdr:spPr bwMode="auto">
            <a:xfrm>
              <a:off x="15201900" y="106680"/>
              <a:ext cx="2560320" cy="4876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624840</xdr:colOff>
          <xdr:row>0</xdr:row>
          <xdr:rowOff>91440</xdr:rowOff>
        </xdr:from>
        <xdr:to>
          <xdr:col>19</xdr:col>
          <xdr:colOff>464820</xdr:colOff>
          <xdr:row>1</xdr:row>
          <xdr:rowOff>121920</xdr:rowOff>
        </xdr:to>
        <xdr:pic>
          <xdr:nvPicPr>
            <xdr:cNvPr id="15544" name="그림 2">
              <a:extLst>
                <a:ext uri="{FF2B5EF4-FFF2-40B4-BE49-F238E27FC236}">
                  <a16:creationId xmlns:a16="http://schemas.microsoft.com/office/drawing/2014/main" id="{DD2C1476-3994-78EF-4440-BDE27E551C3D}"/>
                </a:ext>
              </a:extLst>
            </xdr:cNvPr>
            <xdr:cNvPicPr>
              <a:picLocks noChangeAspect="1" noChangeArrowheads="1"/>
              <a:extLst>
                <a:ext uri="{84589F7E-364E-4C9E-8A38-B11213B215E9}">
                  <a14:cameraTool cellRange="'[2]집계표(사업성)'!$Q$1:$T$2" spid="_x0000_s1485"/>
                </a:ext>
              </a:extLst>
            </xdr:cNvPicPr>
          </xdr:nvPicPr>
          <xdr:blipFill>
            <a:blip xmlns:r="http://schemas.openxmlformats.org/officeDocument/2006/relationships" r:embed="rId2">
              <a:extLst>
                <a:ext uri="{28A0092B-C50C-407E-A947-70E740481C1C}">
                  <a14:useLocalDpi val="0"/>
                </a:ext>
              </a:extLst>
            </a:blip>
            <a:srcRect/>
            <a:stretch>
              <a:fillRect/>
            </a:stretch>
          </xdr:blipFill>
          <xdr:spPr bwMode="auto">
            <a:xfrm>
              <a:off x="27340560" y="91440"/>
              <a:ext cx="3863340" cy="4876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8</xdr:row>
          <xdr:rowOff>129540</xdr:rowOff>
        </xdr:from>
        <xdr:to>
          <xdr:col>10</xdr:col>
          <xdr:colOff>906780</xdr:colOff>
          <xdr:row>11</xdr:row>
          <xdr:rowOff>30480</xdr:rowOff>
        </xdr:to>
        <xdr:pic>
          <xdr:nvPicPr>
            <xdr:cNvPr id="2" name="그림 1">
              <a:extLst>
                <a:ext uri="{FF2B5EF4-FFF2-40B4-BE49-F238E27FC236}">
                  <a16:creationId xmlns:a16="http://schemas.microsoft.com/office/drawing/2014/main" id="{12908766-2A1A-41CB-9379-79E08D62F096}"/>
                </a:ext>
              </a:extLst>
            </xdr:cNvPr>
            <xdr:cNvPicPr>
              <a:picLocks noChangeAspect="1" noChangeArrowheads="1"/>
              <a:extLst>
                <a:ext uri="{84589F7E-364E-4C9E-8A38-B11213B215E9}">
                  <a14:cameraTool cellRange="$H$6:$K$7" spid="_x0000_s120879"/>
                </a:ext>
              </a:extLst>
            </xdr:cNvPicPr>
          </xdr:nvPicPr>
          <xdr:blipFill>
            <a:blip xmlns:r="http://schemas.openxmlformats.org/officeDocument/2006/relationships" r:embed="rId1"/>
            <a:srcRect/>
            <a:stretch>
              <a:fillRect/>
            </a:stretch>
          </xdr:blipFill>
          <xdr:spPr bwMode="auto">
            <a:xfrm>
              <a:off x="5494020" y="4655820"/>
              <a:ext cx="4206240" cy="6324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coveredExternalLink2"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ecoveredExternalLin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동탄트램 리스크 체크리스트"/>
      <sheetName val="체크리스트 작성현황"/>
      <sheetName val="리스크평가기준"/>
      <sheetName val="구분"/>
      <sheetName val="트램표준체크리스트"/>
      <sheetName val="철도계획"/>
      <sheetName val="차량기지(검수)"/>
      <sheetName val="궤도"/>
      <sheetName val="토목구조"/>
      <sheetName val="토질 및 기초"/>
      <sheetName val="건축"/>
      <sheetName val="신호"/>
      <sheetName val="기계"/>
      <sheetName val="소방"/>
      <sheetName val="통신"/>
      <sheetName val="도로신호"/>
      <sheetName val="전기"/>
      <sheetName val="Lessons Learned"/>
    </sheetNames>
    <sheetDataSet>
      <sheetData sheetId="0" refreshError="1"/>
      <sheetData sheetId="1" refreshError="1"/>
      <sheetData sheetId="2" refreshError="1"/>
      <sheetData sheetId="3" refreshError="1"/>
      <sheetData sheetId="4" refreshError="1">
        <row r="3">
          <cell r="A3">
            <v>1</v>
          </cell>
          <cell r="B3" t="str">
            <v>철도계획</v>
          </cell>
          <cell r="C3" t="str">
            <v>B/P장</v>
          </cell>
          <cell r="F3" t="str">
            <v>B/P장, 크러셔장 등 주요 가설 설비 설치 위치에 대한 인허가(비산먼지, 소음, 점용) 가능성을 사전 확인했는가?</v>
          </cell>
        </row>
        <row r="4">
          <cell r="A4">
            <v>2</v>
          </cell>
          <cell r="B4" t="str">
            <v>철도계획</v>
          </cell>
          <cell r="C4" t="str">
            <v>가설공사</v>
          </cell>
          <cell r="F4" t="str">
            <v>도심지 공사 시 교통 처리 계획에 따른 가시설 존치 기간이 적정하게 산정되었는가?</v>
          </cell>
        </row>
        <row r="5">
          <cell r="A5">
            <v>3</v>
          </cell>
          <cell r="B5" t="str">
            <v>철도계획</v>
          </cell>
          <cell r="C5" t="str">
            <v>가설도로</v>
          </cell>
          <cell r="F5" t="str">
            <v>부지 내 기존 도로가 보상 문제로 폐쇄될 경우 대체 진입로 계획이 있는가?</v>
          </cell>
        </row>
        <row r="6">
          <cell r="A6">
            <v>4</v>
          </cell>
          <cell r="B6" t="str">
            <v>철도계획</v>
          </cell>
          <cell r="C6" t="str">
            <v>가설도로</v>
          </cell>
          <cell r="F6" t="str">
            <v>공사용 진입로 및 가설 부지가 설계된 용지 경계(수용지) 내에서 해결 가능한가?</v>
          </cell>
        </row>
        <row r="7">
          <cell r="A7">
            <v>5</v>
          </cell>
          <cell r="B7" t="str">
            <v>철도계획</v>
          </cell>
          <cell r="C7" t="str">
            <v>가시설</v>
          </cell>
          <cell r="F7" t="str">
            <v>흙막이 앵커가 인접 사유지 경계를 침범하는지 지적도와 대조했는가? (침범 시 보상비 또는 제거식 앵커 반영)할 리스크를 검토하였는가?</v>
          </cell>
        </row>
        <row r="8">
          <cell r="A8">
            <v>6</v>
          </cell>
          <cell r="B8" t="str">
            <v>철도계획</v>
          </cell>
          <cell r="C8" t="str">
            <v>가시설(차선점유)</v>
          </cell>
          <cell r="F8" t="str">
            <v>기존 차선 수 유지가 가능한 단계별 가시설(Staging) 계획인가?□ 경찰서 사전 의견 조회를 거쳤는가?</v>
          </cell>
        </row>
        <row r="9">
          <cell r="A9">
            <v>7</v>
          </cell>
          <cell r="B9" t="str">
            <v>철도계획</v>
          </cell>
          <cell r="C9" t="str">
            <v>간접비</v>
          </cell>
          <cell r="F9" t="str">
            <v>관급자재 수급 불안정 시 사급 전환 가능성 및 비용 차이를 검토했는가?</v>
          </cell>
        </row>
        <row r="10">
          <cell r="A10">
            <v>8</v>
          </cell>
          <cell r="B10" t="str">
            <v>철도계획</v>
          </cell>
          <cell r="C10" t="str">
            <v>간접비</v>
          </cell>
          <cell r="F10" t="str">
            <v>설계 시 발주기관의 설계 변경 지시 및 선행 공구 개통 지연.에 따른 램프 구간 도로 형식 변경 및 송파IC 개통 지연으로 적정 기간/시간간 공기 연장 발생할 리스크를 검토하였는가?</v>
          </cell>
        </row>
        <row r="11">
          <cell r="A11">
            <v>9</v>
          </cell>
          <cell r="B11" t="str">
            <v>철도계획</v>
          </cell>
          <cell r="C11" t="str">
            <v>간접비</v>
          </cell>
          <cell r="F11" t="str">
            <v>공사 착수 전 용지 보상 완료 여부와 미보상 토지가 주공정(CP)에 미치는 영향을 분석했는가?</v>
          </cell>
        </row>
        <row r="12">
          <cell r="A12">
            <v>10</v>
          </cell>
          <cell r="B12" t="str">
            <v>철도계획</v>
          </cell>
          <cell r="C12" t="str">
            <v>간접비</v>
          </cell>
          <cell r="F12" t="str">
            <v>용지 보상 현황도(Map)와 공정표(Schedule)를 연동하여 지연 일수를 산정하고 있는가?</v>
          </cell>
        </row>
        <row r="13">
          <cell r="A13">
            <v>11</v>
          </cell>
          <cell r="B13" t="str">
            <v>철도계획</v>
          </cell>
          <cell r="C13" t="str">
            <v>골재생산</v>
          </cell>
          <cell r="F13" t="str">
            <v>크러셔장 운영에 따른 소음/진동 시뮬레이션을 수행하고 인허가 리스크를 검토했는가?</v>
          </cell>
        </row>
        <row r="14">
          <cell r="A14">
            <v>12</v>
          </cell>
          <cell r="B14" t="str">
            <v>철도계획</v>
          </cell>
          <cell r="C14" t="str">
            <v>공기연장</v>
          </cell>
          <cell r="F14" t="str">
            <v>개발제한구역, 상수원보호구역 등 특수 규제 지역 포함 여부 및 예상 인허가 소요 기간이 공정표(CP)에 반영되었는가?</v>
          </cell>
        </row>
        <row r="15">
          <cell r="A15">
            <v>13</v>
          </cell>
          <cell r="B15" t="str">
            <v>철도계획</v>
          </cell>
          <cell r="C15" t="str">
            <v>관급자재</v>
          </cell>
          <cell r="F15" t="str">
            <v>주요 자재(철근, 레미콘)의 관급 비율을 조정하여 사급 비중을 늘릴 수 있는지 협의했는가?</v>
          </cell>
        </row>
        <row r="16">
          <cell r="A16">
            <v>14</v>
          </cell>
          <cell r="B16" t="str">
            <v>철도계획</v>
          </cell>
          <cell r="C16" t="str">
            <v>관급자재</v>
          </cell>
          <cell r="F16" t="str">
            <v>공기 내 조달청 발주 소요 기간(행정 소요)이 충분히 확보되었는가?</v>
          </cell>
        </row>
        <row r="17">
          <cell r="A17">
            <v>15</v>
          </cell>
          <cell r="B17" t="str">
            <v>철도계획</v>
          </cell>
          <cell r="C17" t="str">
            <v>관급자재</v>
          </cell>
          <cell r="F17" t="str">
            <v>현장 주변에 관급자재 납품 가능한 공장이나 업체가 충분한지 조사했는가?</v>
          </cell>
        </row>
        <row r="18">
          <cell r="A18">
            <v>16</v>
          </cell>
          <cell r="B18" t="str">
            <v>철도계획</v>
          </cell>
          <cell r="C18" t="str">
            <v>관급자재</v>
          </cell>
          <cell r="F18" t="str">
            <v>관급자재 목록 중 조달청 등록이 말소되거나 생산 중단된 품목은 없는가?</v>
          </cell>
        </row>
        <row r="19">
          <cell r="A19">
            <v>17</v>
          </cell>
          <cell r="B19" t="str">
            <v>철도계획</v>
          </cell>
          <cell r="C19" t="str">
            <v>관급자재</v>
          </cell>
          <cell r="F19" t="str">
            <v>대량 자재 투입 공정의 경우 자재 공급 중단 시 장비 대기료 산정 기준이 있는가?</v>
          </cell>
        </row>
        <row r="20">
          <cell r="A20">
            <v>18</v>
          </cell>
          <cell r="B20" t="str">
            <v>철도계획</v>
          </cell>
          <cell r="C20" t="str">
            <v>관급자재</v>
          </cell>
          <cell r="F20" t="str">
            <v>설계 시 발주기관 및 유관기관 인허가 지연으로 인한 자재 투입 시기 순연.에 따른 서종, 팔수 C/H 인허가 지연 및 한전 휴전 일정 변경으로 구조물 공사 지연할 리스크를 검토하였는가?</v>
          </cell>
        </row>
        <row r="21">
          <cell r="A21">
            <v>19</v>
          </cell>
          <cell r="B21" t="str">
            <v>철도계획</v>
          </cell>
          <cell r="C21" t="str">
            <v>관급자재</v>
          </cell>
          <cell r="F21" t="str">
            <v>설계된 관급자재 품목번호가 현재 조달청 나라장터에서 식별 가능한가?</v>
          </cell>
        </row>
        <row r="22">
          <cell r="A22">
            <v>20</v>
          </cell>
          <cell r="B22" t="str">
            <v>철도계획</v>
          </cell>
          <cell r="C22" t="str">
            <v>교량공사(FCM)</v>
          </cell>
          <cell r="F22" t="str">
            <v>특수교량(FCM 등)의 주요 구조부 설계 적정성을 착공 전 검증했는가?</v>
          </cell>
        </row>
        <row r="23">
          <cell r="A23">
            <v>21</v>
          </cell>
          <cell r="B23" t="str">
            <v>철도계획</v>
          </cell>
          <cell r="C23" t="str">
            <v>교통처리(접속부)</v>
          </cell>
          <cell r="F23" t="str">
            <v>교통량이 많은 도로 접속 공사에 대해 야간 할증 및 작업 시간 제한(단시간)이 적용되었는가?</v>
          </cell>
        </row>
        <row r="24">
          <cell r="A24">
            <v>22</v>
          </cell>
          <cell r="B24" t="str">
            <v>철도계획</v>
          </cell>
          <cell r="C24" t="str">
            <v>구조물공</v>
          </cell>
          <cell r="F24" t="str">
            <v>연약지반 구간의 보상 지연 시 이를 만회할 공법(PC, 프리로딩 생략 등)이 있는가?</v>
          </cell>
        </row>
        <row r="25">
          <cell r="A25">
            <v>23</v>
          </cell>
          <cell r="B25" t="str">
            <v>철도계획</v>
          </cell>
          <cell r="C25" t="str">
            <v>단계별교통처리</v>
          </cell>
          <cell r="F25" t="str">
            <v>주요 도로 횡단 시 단계별 교통 처리(Traffic Diversion) 도면이 있는가?</v>
          </cell>
        </row>
        <row r="26">
          <cell r="A26">
            <v>24</v>
          </cell>
          <cell r="B26" t="str">
            <v>철도계획</v>
          </cell>
          <cell r="C26" t="str">
            <v>대행비용</v>
          </cell>
          <cell r="F26" t="str">
            <v>설계 시 발주기관 업무이나 처리 지연 시 책임준공 기한 미준수 리스크 발생.에 따른 사용승인(준공)을 위한 지적확정측량 및 산지복구 인허가 지연 우려할 리스크를 검토하였는가?</v>
          </cell>
        </row>
        <row r="27">
          <cell r="A27">
            <v>25</v>
          </cell>
          <cell r="B27" t="str">
            <v>철도계획</v>
          </cell>
          <cell r="C27" t="str">
            <v>돌관공사</v>
          </cell>
          <cell r="F27" t="str">
            <v>설계 시 사업성 확보를 위한 발주기관(시행사)의 무리한 공정 단축 요구.에 따른 발주기관의 조기 개장 요청으로 인해 공기 단축이 필요함할 리스크를 검토하였는가?</v>
          </cell>
        </row>
        <row r="28">
          <cell r="A28">
            <v>26</v>
          </cell>
          <cell r="B28" t="str">
            <v>철도계획</v>
          </cell>
          <cell r="C28" t="str">
            <v>민원보상</v>
          </cell>
          <cell r="F28" t="str">
            <v>사업 부지 내 잔존하는 영업 시설(공장, 종교시설)의 현황과 예상 보상비가 사업비에 책정되었는가?</v>
          </cell>
        </row>
        <row r="29">
          <cell r="A29">
            <v>27</v>
          </cell>
          <cell r="B29" t="str">
            <v>철도계획</v>
          </cell>
          <cell r="C29" t="str">
            <v>민원보상</v>
          </cell>
          <cell r="F29" t="str">
            <v>설계 시 민원인이 요구하는 보상금(추가 예산)과 감정가(추가 예산)의 차이로 관할청(남원시) 협의 난항.에 따른 모노레일 도착지 구간에 편입되는 식당(영업장) 이전 보상 문제로 공사 불가할 리스크를 검토하였는가?</v>
          </cell>
        </row>
        <row r="30">
          <cell r="A30">
            <v>28</v>
          </cell>
          <cell r="B30" t="str">
            <v>철도계획</v>
          </cell>
          <cell r="C30" t="str">
            <v>민원보상</v>
          </cell>
          <cell r="F30" t="str">
            <v>설계 시 시행사의 민원 보상 협의 지연 및 책임준공 기한 압박.에 따른 와이어로프 설치 공정 진행 시 간섭되는 편의점 철거가 시급함할 리스크를 검토하였는가?</v>
          </cell>
        </row>
        <row r="31">
          <cell r="A31">
            <v>29</v>
          </cell>
          <cell r="B31" t="str">
            <v>철도계획</v>
          </cell>
          <cell r="C31" t="str">
            <v>민원보상</v>
          </cell>
          <cell r="F31" t="str">
            <v>흙막이 앵커가 인접 사유지를 침범하는지 지적도와 대조하고, 침범 시 보상비 또는 제거식 앵커 비용을 반영했는가?</v>
          </cell>
        </row>
        <row r="32">
          <cell r="A32">
            <v>30</v>
          </cell>
          <cell r="B32" t="str">
            <v>철도계획</v>
          </cell>
          <cell r="C32" t="str">
            <v>민원보상</v>
          </cell>
          <cell r="F32" t="str">
            <v>용지 보상 내역에 분묘 이장비(유연/무연)가 별도로 책정되어 있는가?</v>
          </cell>
        </row>
        <row r="33">
          <cell r="A33">
            <v>31</v>
          </cell>
          <cell r="B33" t="str">
            <v>철도계획</v>
          </cell>
          <cell r="C33" t="str">
            <v>민원보상</v>
          </cell>
          <cell r="F33" t="str">
            <v>설계 시 어업권 피해 보상 요구 및 작업 방해.에 따른 어촌계의 피해보상 요구 집회(3회) 및 민원으로 해상 공사 중단할 리스크를 검토하였는가?</v>
          </cell>
        </row>
        <row r="34">
          <cell r="A34">
            <v>32</v>
          </cell>
          <cell r="B34" t="str">
            <v>철도계획</v>
          </cell>
          <cell r="C34" t="str">
            <v>민원보상</v>
          </cell>
          <cell r="F34" t="str">
            <v>공사 구역 경계선에 걸친 잔여지 현황을 파악하고, 민원 발생 소지가 있는 토지주 리스트를 관리하는가?</v>
          </cell>
        </row>
        <row r="35">
          <cell r="A35">
            <v>33</v>
          </cell>
          <cell r="B35" t="str">
            <v>철도계획</v>
          </cell>
          <cell r="C35" t="str">
            <v>배수공사</v>
          </cell>
          <cell r="F35" t="str">
            <v>배수관로 및 측구의 계획선이 용지 경계 내에 완전히 포함되는지 확인했는가?</v>
          </cell>
        </row>
        <row r="36">
          <cell r="A36">
            <v>34</v>
          </cell>
          <cell r="B36" t="str">
            <v>철도계획</v>
          </cell>
          <cell r="C36" t="str">
            <v>복공판 및Set Back</v>
          </cell>
          <cell r="F36" t="str">
            <v>복공판 접속부 덧씌우기(Slopping) 및 보도 축소(Set-back) 계획이 있는가?</v>
          </cell>
        </row>
        <row r="37">
          <cell r="A37">
            <v>35</v>
          </cell>
          <cell r="B37" t="str">
            <v>철도계획</v>
          </cell>
          <cell r="C37" t="str">
            <v>부대시설</v>
          </cell>
          <cell r="F37" t="str">
            <v>배수펌프장 등 필수 운영 시설의 가동 기간이 전체 공사 기간과 연동되어 있는가?</v>
          </cell>
        </row>
        <row r="38">
          <cell r="A38">
            <v>36</v>
          </cell>
          <cell r="B38" t="str">
            <v>철도계획</v>
          </cell>
          <cell r="C38" t="str">
            <v>불허대응</v>
          </cell>
          <cell r="F38" t="str">
            <v>B/P장, 사토장 등 주요 가설 부지의 인허가(점용, 매립) 가능 여부를 확인했는가?</v>
          </cell>
        </row>
        <row r="39">
          <cell r="A39">
            <v>37</v>
          </cell>
          <cell r="B39" t="str">
            <v>철도계획</v>
          </cell>
          <cell r="C39" t="str">
            <v>불허대응</v>
          </cell>
          <cell r="F39" t="str">
            <v>관로 매설 경로상 인허가 난이도가 높은 구간(제방, 사유지)이 있는지 확인했는가?</v>
          </cell>
        </row>
        <row r="40">
          <cell r="A40">
            <v>38</v>
          </cell>
          <cell r="B40" t="str">
            <v>철도계획</v>
          </cell>
          <cell r="C40" t="str">
            <v>사토장</v>
          </cell>
          <cell r="F40" t="str">
            <v>사토장/토취장의 인허가 완료 여부를 확인하고, 미확정 시 예비 후보지까지 운반거리를 검토했는가?</v>
          </cell>
        </row>
        <row r="41">
          <cell r="A41">
            <v>39</v>
          </cell>
          <cell r="B41" t="str">
            <v>철도계획</v>
          </cell>
          <cell r="C41" t="str">
            <v>안전시설물복구</v>
          </cell>
          <cell r="F41" t="str">
            <v>교통 시설물의 '이설'뿐만 아니라 '복구(신설 포함)' 비용이 내역에 있는가?</v>
          </cell>
        </row>
        <row r="42">
          <cell r="A42">
            <v>40</v>
          </cell>
          <cell r="B42" t="str">
            <v>철도계획</v>
          </cell>
          <cell r="C42" t="str">
            <v>야간공사</v>
          </cell>
          <cell r="F42" t="str">
            <v>운행선 인접 공사의 작업 가능 시간(차단 시간)을 고려하여 공기가 산정되었는가?</v>
          </cell>
        </row>
        <row r="43">
          <cell r="A43">
            <v>41</v>
          </cell>
          <cell r="B43" t="str">
            <v>철도계획</v>
          </cell>
          <cell r="C43" t="str">
            <v>용역비</v>
          </cell>
          <cell r="F43" t="str">
            <v>도로구역 결정, 지형도면 고시 등 행정 처리 용역비가 내역에 반영되었는가?</v>
          </cell>
        </row>
        <row r="44">
          <cell r="A44">
            <v>42</v>
          </cell>
          <cell r="B44" t="str">
            <v>철도계획</v>
          </cell>
          <cell r="C44" t="str">
            <v>용역비</v>
          </cell>
          <cell r="F44" t="str">
            <v>사업 부지 내 농업진흥구역, 보전산지 포함 여부와 해제 용역비 반영 여부를 확인했는가?</v>
          </cell>
        </row>
        <row r="45">
          <cell r="A45">
            <v>43</v>
          </cell>
          <cell r="B45" t="str">
            <v>철도계획</v>
          </cell>
          <cell r="C45" t="str">
            <v>용역비</v>
          </cell>
          <cell r="F45" t="str">
            <v>설계 시 도로구역 추가 편입 및 해제 발생.에 따른 민원 및 해당 노선 여건 변동으로 도로구역 변경 결정고시(3차) 필요할 리스크를 검토하였는가?</v>
          </cell>
        </row>
        <row r="46">
          <cell r="A46">
            <v>44</v>
          </cell>
          <cell r="B46" t="str">
            <v>철도계획</v>
          </cell>
          <cell r="C46" t="str">
            <v>용역비</v>
          </cell>
          <cell r="F46" t="str">
            <v>설계 시 낙석 사고 후 공사 중지 및 재개를 위한 안정성 입증 요구.에 따른 붕괴위험지역(인근 산) 인접 공사 재개를 위한 안전성 검토 용역 필요할 리스크를 검토하였는가?</v>
          </cell>
        </row>
        <row r="47">
          <cell r="A47">
            <v>45</v>
          </cell>
          <cell r="B47" t="str">
            <v>철도계획</v>
          </cell>
          <cell r="C47" t="str">
            <v>우회도로(Diversion)</v>
          </cell>
          <cell r="F47" t="str">
            <v>교통 전환의 모든 단계별(Phase 1, 2, 3...) 토공 및 포장 물량이 합산되었는가?</v>
          </cell>
        </row>
        <row r="48">
          <cell r="A48">
            <v>46</v>
          </cell>
          <cell r="B48" t="str">
            <v>철도계획</v>
          </cell>
          <cell r="C48" t="str">
            <v>잔여지</v>
          </cell>
          <cell r="F48" t="str">
            <v>용지 경계선에 걸쳐있는 토지(잔여지) 현황을 파악하고 민원 발생 가능성을 리스트업 했는가?</v>
          </cell>
        </row>
        <row r="49">
          <cell r="A49">
            <v>47</v>
          </cell>
          <cell r="B49" t="str">
            <v>철도계획</v>
          </cell>
          <cell r="C49" t="str">
            <v>전력구</v>
          </cell>
          <cell r="F49" t="str">
            <v>사유지 통과 구간의 공사 기간(점용 기간)이 토지주의 수용 가능한 범위인지 검토했는가?</v>
          </cell>
        </row>
        <row r="50">
          <cell r="A50">
            <v>48</v>
          </cell>
          <cell r="B50" t="str">
            <v>철도계획</v>
          </cell>
          <cell r="C50" t="str">
            <v>조건이행</v>
          </cell>
          <cell r="F50" t="str">
            <v>발파 허가 예상 조건(시간 제한, 소음 기준)이 공사비 산출 근거(사이클 타임)에 반영되었는가?</v>
          </cell>
        </row>
        <row r="51">
          <cell r="A51">
            <v>49</v>
          </cell>
          <cell r="B51" t="str">
            <v>철도계획</v>
          </cell>
          <cell r="C51" t="str">
            <v>조건이행</v>
          </cell>
          <cell r="F51" t="str">
            <v>가설 도로/점용 구간에 대한 유관기관의 안전 시설물 요구 수준(가드레일, 신호수)을 확인했는가?</v>
          </cell>
        </row>
        <row r="52">
          <cell r="A52">
            <v>50</v>
          </cell>
          <cell r="B52" t="str">
            <v>철도계획</v>
          </cell>
          <cell r="C52" t="str">
            <v>지반조사</v>
          </cell>
          <cell r="F52" t="str">
            <v>미보상으로 인해 실제 위치에서 시추하지 못한 구간이 있는가?</v>
          </cell>
        </row>
        <row r="53">
          <cell r="A53">
            <v>51</v>
          </cell>
          <cell r="B53" t="str">
            <v>철도계획</v>
          </cell>
          <cell r="C53" t="str">
            <v>토공운반</v>
          </cell>
          <cell r="F53" t="str">
            <v>용지 보상 지연 예상 구간을 고려하여 토공 운반 거리(L)가 산정되었는가?</v>
          </cell>
        </row>
        <row r="54">
          <cell r="A54">
            <v>52</v>
          </cell>
          <cell r="B54" t="str">
            <v>철도계획</v>
          </cell>
          <cell r="C54" t="str">
            <v>토취장</v>
          </cell>
          <cell r="F54" t="str">
            <v>사토장/토취장으로 지정된 곳이 사유지일 경우, 해당 사업의 인허가 유효성 및 사업 지속 가능성을 확인했는가?</v>
          </cell>
        </row>
        <row r="55">
          <cell r="A55">
            <v>53</v>
          </cell>
          <cell r="B55" t="str">
            <v>철도계획</v>
          </cell>
          <cell r="C55" t="str">
            <v>품질/안전</v>
          </cell>
          <cell r="F55" t="str">
            <v>공기 연장 시 고정적으로 지출되는 품질/안전 관리자 인건비 및 차량 유지비가 산출되었는가?</v>
          </cell>
        </row>
        <row r="56">
          <cell r="A56">
            <v>54</v>
          </cell>
          <cell r="B56" t="str">
            <v>철도계획</v>
          </cell>
          <cell r="C56" t="str">
            <v>행정대행</v>
          </cell>
          <cell r="F56" t="str">
            <v>설계 시 발주기관 업무 범위이나, 발주기관의 업무 처리 속도로는 책임준공 기한 준수가 불가능함.에 따른 사용승인(준공)을 위한 선결 행정처리(지적확정측량, 산지복구 등)가 지연될 위기할 리스크를 검토하였는가?</v>
          </cell>
        </row>
        <row r="57">
          <cell r="A57">
            <v>55</v>
          </cell>
          <cell r="B57" t="str">
            <v>철도계획</v>
          </cell>
          <cell r="C57" t="str">
            <v>협의비</v>
          </cell>
          <cell r="F57" t="str">
            <v>철도/지하철 인접 공사 시 유관기관 협의비 및 안전성 검토 용역비가 책정되어 있는가?</v>
          </cell>
        </row>
        <row r="58">
          <cell r="A58">
            <v>56</v>
          </cell>
          <cell r="B58" t="str">
            <v>철도계획</v>
          </cell>
          <cell r="C58" t="str">
            <v>건축한계 및 용지폭 계획</v>
          </cell>
          <cell r="F58" t="str">
            <v>지상 시설물이 건축한계선을 침범하여 차량과 구조물이 충돌할 리스크를 검토하였는가?</v>
          </cell>
        </row>
        <row r="59">
          <cell r="A59">
            <v>57</v>
          </cell>
          <cell r="B59" t="str">
            <v>철도계획</v>
          </cell>
          <cell r="C59" t="str">
            <v>건축한계 및 용지폭 계획</v>
          </cell>
          <cell r="F59" t="str">
            <v>건축한계선 여유폭(250mm) 확보 누락으로 일반 차량과 트램 간 측면 접촉 사고가 발생할 단면이 설계될 리스크를 검토하였는가?</v>
          </cell>
        </row>
        <row r="60">
          <cell r="A60">
            <v>58</v>
          </cell>
          <cell r="B60" t="str">
            <v>철도계획</v>
          </cell>
          <cell r="C60" t="str">
            <v>건축한계 및 용지폭 계획</v>
          </cell>
          <cell r="F60" t="str">
            <v>트램 중장비 기동 기지 부재, 제작사도 역량이 작아 위탁 정비 회피 문제 리스크를 검토하였는가?</v>
          </cell>
        </row>
        <row r="61">
          <cell r="A61">
            <v>59</v>
          </cell>
          <cell r="B61" t="str">
            <v>철도계획</v>
          </cell>
          <cell r="C61" t="str">
            <v>경관 및 공간계획</v>
          </cell>
          <cell r="F61" t="str">
            <v>교량 하부 조명 및 환경개선 설계 누락으로 해당 구역이 쓰레기 무단 투기 및 범죄 취약 지역(슬럼화)으로 방치될 리스크를 검토하였는가?</v>
          </cell>
        </row>
        <row r="62">
          <cell r="A62">
            <v>60</v>
          </cell>
          <cell r="B62" t="str">
            <v>철도계획</v>
          </cell>
          <cell r="C62" t="str">
            <v>교량 접속부 궤도 계획</v>
          </cell>
          <cell r="F62" t="str">
            <v>레일 신축이음매(R.E.J) 및 교량 단부 강성 체감구조 누락으로 계절 변화 시 장대레일 좌굴이나 체결장치가 파괴될 리스크를 검토하였는가?</v>
          </cell>
        </row>
        <row r="63">
          <cell r="A63">
            <v>61</v>
          </cell>
          <cell r="B63" t="str">
            <v>철도계획</v>
          </cell>
          <cell r="C63" t="str">
            <v>교량 접속부 궤도 계획</v>
          </cell>
          <cell r="F63" t="str">
            <v>쓰레기, 진흙 등 이물질로 인한 궤도 매몰 및 장애물 발생 리스크를 검토하였는가?</v>
          </cell>
        </row>
        <row r="64">
          <cell r="A64">
            <v>62</v>
          </cell>
          <cell r="B64" t="str">
            <v>철도계획</v>
          </cell>
          <cell r="C64" t="str">
            <v>교통처리 및 시공계획</v>
          </cell>
          <cell r="F64" t="str">
            <v>기존 도로 점용 교통량 분산 및 임시 우회 계획 누락으로 도로점용허가 반려 및 극심한 교통 민원이 유발될 리스크를 검토하였는가?</v>
          </cell>
        </row>
        <row r="65">
          <cell r="A65">
            <v>63</v>
          </cell>
          <cell r="B65" t="str">
            <v>운영</v>
          </cell>
          <cell r="C65" t="str">
            <v>기타</v>
          </cell>
          <cell r="F65" t="str">
            <v>측면 강풍에 의한 탈선 리스크를 검토하였는가?</v>
          </cell>
        </row>
        <row r="66">
          <cell r="A66">
            <v>64</v>
          </cell>
          <cell r="B66" t="str">
            <v>운영</v>
          </cell>
          <cell r="C66" t="str">
            <v>기타</v>
          </cell>
          <cell r="F66" t="str">
            <v>비상시 고장 열차와 구원 차량 연결 실패 리스크를 검토하였는가?</v>
          </cell>
        </row>
        <row r="67">
          <cell r="A67">
            <v>65</v>
          </cell>
          <cell r="B67" t="str">
            <v>철도계획</v>
          </cell>
          <cell r="C67" t="str">
            <v>도로 및 보행자 안전계획</v>
          </cell>
          <cell r="F67" t="str">
            <v>협소 구간 내 궤도와 보행로 간 물리적 차단 시설 누락으로 보행자 궤도 난입 및 트램 충돌 등 중대 시민재해가 유발될 리스크를 검토하였는가?</v>
          </cell>
        </row>
        <row r="68">
          <cell r="A68">
            <v>66</v>
          </cell>
          <cell r="B68" t="str">
            <v>철도계획</v>
          </cell>
          <cell r="C68" t="str">
            <v>도로 인터페이스</v>
          </cell>
          <cell r="F68" t="str">
            <v>기울기 단위(‰ vs %) 혼용 및 환산 오류로 매립형 궤도와 인접 차로 간 심각한 단차가 발생할 리스크를 검토하였는가?</v>
          </cell>
        </row>
        <row r="69">
          <cell r="A69">
            <v>67</v>
          </cell>
          <cell r="B69" t="str">
            <v>철도계획</v>
          </cell>
          <cell r="C69" t="str">
            <v>방재 및 환기계획</v>
          </cell>
          <cell r="F69" t="str">
            <v>정량적위험도분석(QRA) 없는 임의 위치 선정으로 비상시 제연 용량 부족 및 대피 동선 혼란에 따른 대형 인명사고 리스크를 검토하였는가?</v>
          </cell>
        </row>
        <row r="70">
          <cell r="A70">
            <v>68</v>
          </cell>
          <cell r="B70" t="str">
            <v>철도계획</v>
          </cell>
          <cell r="C70" t="str">
            <v>방재 및 환기계획</v>
          </cell>
          <cell r="F70" t="str">
            <v>우기 지하수위 상승을 고려한 사면안정 검토 및 보강 설계 누락으로 집중호우 시 산사태가 발생해 차량기지 주요 시설이 매몰될 리스크를 검토하였는가?</v>
          </cell>
        </row>
        <row r="71">
          <cell r="A71">
            <v>69</v>
          </cell>
          <cell r="B71" t="str">
            <v>철도계획</v>
          </cell>
          <cell r="C71" t="str">
            <v>방재 및 환기계획</v>
          </cell>
          <cell r="F71" t="str">
            <v>포인트부 융설(히팅) 설비 누락으로 동절기 한파 시 선로전환기가 결빙되어 트램 노선망 운행이 마비될 리스크를 검토하였는가?</v>
          </cell>
        </row>
        <row r="72">
          <cell r="A72">
            <v>70</v>
          </cell>
          <cell r="B72" t="str">
            <v>철도계획</v>
          </cell>
          <cell r="C72" t="str">
            <v>배선계획</v>
          </cell>
          <cell r="F72" t="str">
            <v>분기기 곡선반경 50m 미만 설계 및 유치 공간 누락으로 표정속도 저하 및 차량 고장 시 본선 운행이 전면 마비될 리스크를 검토하였는가?</v>
          </cell>
        </row>
        <row r="73">
          <cell r="A73">
            <v>71</v>
          </cell>
          <cell r="B73" t="str">
            <v>철도계획</v>
          </cell>
          <cell r="C73" t="str">
            <v>배선계획</v>
          </cell>
          <cell r="F73" t="str">
            <v>곡선·분기기 간 최소 직선거리(2.0m) 확보 누락으로 트램 대차가 두 곡선에 동시 진입해 심각한 궤도 비틀림 및 탈선이 유발될 리스크를 검토하였는가?</v>
          </cell>
        </row>
        <row r="74">
          <cell r="A74">
            <v>72</v>
          </cell>
          <cell r="B74" t="str">
            <v>철도계획</v>
          </cell>
          <cell r="C74" t="str">
            <v>배선계획</v>
          </cell>
          <cell r="F74" t="str">
            <v>차량기지 및 측선에 3‰ 초과 기울기가 설계되어 유치 중 차량이 굴러 본선 무단 진입 및 탈선할 리스크를 검토하였는가?</v>
          </cell>
        </row>
        <row r="75">
          <cell r="A75">
            <v>73</v>
          </cell>
          <cell r="B75" t="str">
            <v>철도계획</v>
          </cell>
          <cell r="C75" t="str">
            <v>배선계획</v>
          </cell>
          <cell r="F75" t="str">
            <v>충전 소요 시간 및 유치 공간을 미고려한 배선계획으로 충전 대기 차량이 본선 선로를 점유하여 열차 지연이 발생할 리스크를 검토하였는가?</v>
          </cell>
        </row>
        <row r="76">
          <cell r="A76">
            <v>74</v>
          </cell>
          <cell r="B76" t="str">
            <v>철도계획</v>
          </cell>
          <cell r="C76" t="str">
            <v>배선계획</v>
          </cell>
          <cell r="F76" t="str">
            <v>승객 수요 불균형을 무시한 단순 왕복 배선계획으로 출퇴근 시간대 혼잡구간의 수송 능력 부족 및 승객 적체가 발생할 리스크를 검토하였는가?</v>
          </cell>
        </row>
        <row r="77">
          <cell r="A77">
            <v>75</v>
          </cell>
          <cell r="B77" t="str">
            <v>철도계획</v>
          </cell>
          <cell r="C77" t="str">
            <v>배선계획</v>
          </cell>
          <cell r="F77" t="str">
            <v>선입선출 불가 및 입환·유치선 출고 동선 간 간섭 설계로 기지 내 열차 운영 효율이 저하되고 입출고 지연이 발생할 리스크를 검토하였는가?</v>
          </cell>
        </row>
        <row r="78">
          <cell r="A78">
            <v>76</v>
          </cell>
          <cell r="B78" t="str">
            <v>철도계획</v>
          </cell>
          <cell r="C78" t="str">
            <v>보행 및 자전거도로 연계</v>
          </cell>
          <cell r="F78" t="str">
            <v>자전거도로망 계획 연계 검토 누락으로 트램과 자전거 도로가 상충해 대형 교통사고 위험이 가중될 리스크를 검토하였는가?</v>
          </cell>
        </row>
        <row r="79">
          <cell r="A79">
            <v>77</v>
          </cell>
          <cell r="B79" t="str">
            <v>철도계획</v>
          </cell>
          <cell r="C79" t="str">
            <v>본선 및 교차로 궤도 계획</v>
          </cell>
          <cell r="F79" t="str">
            <v>대형차 하중 과소평가로 포장재가 파손되거나 레일 주변이 패여 일반 차량 타이어가 파손될 리스크를 검토하였는가?</v>
          </cell>
        </row>
        <row r="80">
          <cell r="A80">
            <v>78</v>
          </cell>
          <cell r="B80" t="str">
            <v>철도계획</v>
          </cell>
          <cell r="C80" t="str">
            <v>본선 및 교차로 궤도 계획</v>
          </cell>
          <cell r="F80" t="str">
            <v>일반 T형 레일 설계 등 홈붙이 레일(Grooved Rail) 누락으로 트램의 대형 탈선이 발생할 리스크를 검토하였는가?</v>
          </cell>
        </row>
        <row r="81">
          <cell r="A81">
            <v>79</v>
          </cell>
          <cell r="B81" t="str">
            <v>운영</v>
          </cell>
          <cell r="C81" t="str">
            <v>본선 및 교차로 궤도 계획</v>
          </cell>
          <cell r="F81" t="str">
            <v>정거장 과다 시각, 전선 및 지선간 운영시각 격차로 인성민원 발생 리스크를 검토하였는가?</v>
          </cell>
        </row>
        <row r="82">
          <cell r="A82">
            <v>80</v>
          </cell>
          <cell r="B82" t="str">
            <v>철도계획</v>
          </cell>
          <cell r="C82" t="str">
            <v>본선 및 분기기 궤도 계획</v>
          </cell>
          <cell r="F82" t="str">
            <v>궤도 강성 차이를 고려한 체감 설계 누락으로 트램 통과 시 강성 급변 지점의 과도한 충격 하중 및 승차감 저하가 발생할 리스크를 검토하였는가?</v>
          </cell>
        </row>
        <row r="83">
          <cell r="A83">
            <v>81</v>
          </cell>
          <cell r="B83" t="str">
            <v>철도계획</v>
          </cell>
          <cell r="C83" t="str">
            <v>본선 선형 경합 방지 계획</v>
          </cell>
          <cell r="F83" t="str">
            <v>선형과 분기기의 무리한 경합 설계로 열차 통과 시 궤도 비틀림에 의한 주행 불안정 및 탈선이 발생할 리스크를 검토하였는가?</v>
          </cell>
        </row>
        <row r="84">
          <cell r="A84">
            <v>82</v>
          </cell>
          <cell r="B84" t="str">
            <v>철도계획</v>
          </cell>
          <cell r="C84" t="str">
            <v>본선 평면선형 계획</v>
          </cell>
          <cell r="F84" t="str">
            <v>도로 혼용 구간에 무리한 캔트 설계로 일반 차량 주행 안전성을 저해하거나 적정 슬랙(Slack) 산정 누락으로 트램 차륜 편마모가 가중될 리스크를 검토하였는가?</v>
          </cell>
        </row>
        <row r="85">
          <cell r="A85">
            <v>83</v>
          </cell>
          <cell r="B85" t="str">
            <v>철도계획</v>
          </cell>
          <cell r="C85" t="str">
            <v>본선 평면선형 계획</v>
          </cell>
          <cell r="F85" t="str">
            <v>순원형곡선 길이가 15m 또는 대차 중심간격 미만으로 설계되어 트램 대차의 비틀림 및 주행 저항이 급증할 리스크를 검토하였는가?</v>
          </cell>
        </row>
        <row r="86">
          <cell r="A86">
            <v>84</v>
          </cell>
          <cell r="B86" t="str">
            <v>철도계획</v>
          </cell>
          <cell r="C86" t="str">
            <v>사업관리 및 운영계획</v>
          </cell>
          <cell r="F86" t="str">
            <v>인수인계 전 방재 및 계측설비 전력사용료 산정 누락으로, 종합시험운행 중 시설 가동이 중단되거나 비용 분쟁이 유발될 리스크를 검토하였는가?</v>
          </cell>
        </row>
        <row r="87">
          <cell r="A87">
            <v>85</v>
          </cell>
          <cell r="B87" t="str">
            <v>철도계획</v>
          </cell>
          <cell r="C87" t="str">
            <v>선로 횡단부 안전 계획</v>
          </cell>
          <cell r="F87" t="str">
            <v>매립형 궤도 홈 끼임 방지 대책 및 안전 교차각 누락으로 자전거 전도 등 사고가 발생할 리스크를 검토하였는가?</v>
          </cell>
        </row>
        <row r="88">
          <cell r="A88">
            <v>86</v>
          </cell>
          <cell r="B88" t="str">
            <v>철도계획</v>
          </cell>
          <cell r="C88" t="str">
            <v>선로 횡단부 안전 계획</v>
          </cell>
          <cell r="F88" t="str">
            <v>동적 편의량 및 안전거리(150mm) 미고려에 따른 협소한 선로중심간격으로 교행 시 측면 충돌 사고가 발생할 리스크를 검토하였는가?</v>
          </cell>
        </row>
        <row r="89">
          <cell r="A89">
            <v>87</v>
          </cell>
          <cell r="B89" t="str">
            <v>운영</v>
          </cell>
          <cell r="C89" t="str">
            <v>선로 횡단부 안전 계획</v>
          </cell>
          <cell r="F89" t="str">
            <v>제한속도 초과 운전에 의한 탈선 리스크를 검토하였는가?</v>
          </cell>
        </row>
        <row r="90">
          <cell r="A90">
            <v>88</v>
          </cell>
          <cell r="B90" t="str">
            <v>운영</v>
          </cell>
          <cell r="C90" t="str">
            <v>선로 횡단부 안전 계획</v>
          </cell>
          <cell r="F90" t="str">
            <v>운전자 실수에 의한 선로 오진입 리스크를 검토하였는가?</v>
          </cell>
        </row>
        <row r="91">
          <cell r="A91">
            <v>89</v>
          </cell>
          <cell r="B91" t="str">
            <v>철도계획</v>
          </cell>
          <cell r="C91" t="str">
            <v>선형 및 교통계획</v>
          </cell>
          <cell r="F91" t="str">
            <v>평면 교차 지점의 시인성 확보 및 보호설비 누락으로 무단 횡단에 따른 치명적 인명 사고가 유발될 리스크를 검토하였는가?</v>
          </cell>
        </row>
        <row r="92">
          <cell r="A92">
            <v>90</v>
          </cell>
          <cell r="B92" t="str">
            <v>철도계획</v>
          </cell>
          <cell r="C92" t="str">
            <v>선형 및 교통계획</v>
          </cell>
          <cell r="F92" t="str">
            <v>녹지공간 미활용 및 일반 차로 과도 잠식으로 도로교통 서비스 수준(LOS) 악화 및 경찰청 교통안전시설 심의 탈락 리스크를 검토하였는가?</v>
          </cell>
        </row>
        <row r="93">
          <cell r="A93">
            <v>91</v>
          </cell>
          <cell r="B93" t="str">
            <v>철도계획</v>
          </cell>
          <cell r="C93" t="str">
            <v>선형 및 교통계획</v>
          </cell>
          <cell r="F93" t="str">
            <v>기존 버스 이용객 불편 및 일반 차로 교통 혼잡 미고려로 경찰청 심의 지연 및 심각한 교통 민원이 유발될 리스크를 검토하였는가?</v>
          </cell>
        </row>
        <row r="94">
          <cell r="A94">
            <v>92</v>
          </cell>
          <cell r="B94" t="str">
            <v>철도계획</v>
          </cell>
          <cell r="C94" t="str">
            <v>선형 및 궤도계획</v>
          </cell>
          <cell r="F94" t="str">
            <v>본선 저번수(F4) 분기기 설계 및 기지 급곡선부 일반 레일 적용으로 궤도 조기 파손이 발생할 리스크를 검토하였는가?</v>
          </cell>
        </row>
        <row r="95">
          <cell r="A95">
            <v>93</v>
          </cell>
          <cell r="B95" t="str">
            <v>철도계획</v>
          </cell>
          <cell r="C95" t="str">
            <v>선형 및 궤도계획</v>
          </cell>
          <cell r="F95" t="str">
            <v>홈붙이 레일 플랜지웨이 폭이 47mm를 초과하게 설계되어 자전거 바퀴나 보행자 발 빠짐에 따른 중대 교통사고가 발생할 리스크를 검토하였는가?</v>
          </cell>
        </row>
        <row r="96">
          <cell r="A96">
            <v>94</v>
          </cell>
          <cell r="B96" t="str">
            <v>철도계획</v>
          </cell>
          <cell r="C96" t="str">
            <v>선형 및 궤도계획</v>
          </cell>
          <cell r="F96" t="str">
            <v>장기 마모 한도 예측 및 탈선 해석 누락으로 레일이 허용치 이상 마모될 때 곡선부에서 열차가 이탈할 리스크를 검토하였는가?</v>
          </cell>
        </row>
        <row r="97">
          <cell r="A97">
            <v>95</v>
          </cell>
          <cell r="B97" t="str">
            <v>철도계획</v>
          </cell>
          <cell r="C97" t="str">
            <v>선형 및 궤도계획</v>
          </cell>
          <cell r="F97" t="str">
            <v>레일과 도상 콘크리트가 완전히 일체화되게 설계되어 레일 교체 시 도로 포장 및 도상 전체를 부수고 재시공해야 하는 유지보수 지연 리스크를 검토하였는가?</v>
          </cell>
        </row>
        <row r="98">
          <cell r="A98">
            <v>96</v>
          </cell>
          <cell r="B98" t="str">
            <v>철도계획</v>
          </cell>
          <cell r="C98" t="str">
            <v>선형 및 궤도계획</v>
          </cell>
          <cell r="F98" t="str">
            <v>레일 주변 전기 절연 및 누설전류 포집 대책 누락으로 지중 가스관이나 상수관 등에 심각한 전식(부식) 현상이 발생해 도시 인프라가 훼손될 리스크를 검토하였는가?</v>
          </cell>
        </row>
        <row r="99">
          <cell r="A99">
            <v>97</v>
          </cell>
          <cell r="B99" t="str">
            <v>철도계획</v>
          </cell>
          <cell r="C99" t="str">
            <v>선형 및 도로 인터페이스</v>
          </cell>
          <cell r="F99" t="str">
            <v>물리적 분리대 설계 누락 및 이격거리 부족으로 일반 차량이 궤도에 난입하여 충돌하거나 트램 차량 외피가 파손될 리스크를 검토하였는가?</v>
          </cell>
        </row>
        <row r="100">
          <cell r="A100">
            <v>98</v>
          </cell>
          <cell r="B100" t="str">
            <v>철도계획</v>
          </cell>
          <cell r="C100" t="str">
            <v>선형 및 지장물계획</v>
          </cell>
          <cell r="F100" t="str">
            <v>지하매설물 이설 후 지자체 GIS 호환 검토 누락으로 준공 시 시스템 등재가 반려되거나 지장물 대장이 누락될 리스크를 검토하였는가?</v>
          </cell>
        </row>
        <row r="101">
          <cell r="A101">
            <v>99</v>
          </cell>
          <cell r="B101" t="str">
            <v>철도계획</v>
          </cell>
          <cell r="C101" t="str">
            <v>선형 및 지장물계획</v>
          </cell>
          <cell r="F101" t="str">
            <v>기존 수목 이식/벌목 계획 및 지자체 협의 누락으로 환경 민원 발생 및 도로점용 인허가 지연 리스크를 검토하였는가?</v>
          </cell>
        </row>
        <row r="102">
          <cell r="A102">
            <v>100</v>
          </cell>
          <cell r="B102" t="str">
            <v>철도계획</v>
          </cell>
          <cell r="C102" t="str">
            <v>선형계획</v>
          </cell>
          <cell r="F102" t="str">
            <v>정밀 TPS 분석 누락으로 급구배·급곡선 구간 설계속도 미달 및 배터리 방전 사태가 발생할 리스크를 검토하였는가?</v>
          </cell>
        </row>
        <row r="103">
          <cell r="A103">
            <v>101</v>
          </cell>
          <cell r="B103" t="str">
            <v>철도계획</v>
          </cell>
          <cell r="C103" t="str">
            <v>선형계획 및 구조물 간섭</v>
          </cell>
          <cell r="F103" t="str">
            <v>교각 간섭 회피 및 유지보수 공간 확보 누락으로 도로관리청 인허가가 지연되거나 상부 낙하물에 의한 사고가 유발될 리스크를 검토하였는가?</v>
          </cell>
        </row>
        <row r="104">
          <cell r="A104">
            <v>102</v>
          </cell>
          <cell r="B104" t="str">
            <v>철도계획</v>
          </cell>
          <cell r="C104" t="str">
            <v>스마트 건설계획</v>
          </cell>
          <cell r="F104" t="str">
            <v>스마트 건설기술(ICT/IoT) 적용 계획 누락으로 공사 중 지하시설물 파손 및 근로자 중대재해가 발생할 리스크를 검토하였는가?</v>
          </cell>
        </row>
        <row r="105">
          <cell r="A105">
            <v>103</v>
          </cell>
          <cell r="B105" t="str">
            <v>철도계획</v>
          </cell>
          <cell r="C105" t="str">
            <v>시공 및 공정계획</v>
          </cell>
          <cell r="F105" t="str">
            <v>장래 증축을 고려하지 않은 설계 및 기존 시설물(E/V 등) 이설 누락으로 증축 공사 시 트램 영업 운행이 장기간 중단될 리스크를 검토하였는가?</v>
          </cell>
        </row>
        <row r="106">
          <cell r="A106">
            <v>104</v>
          </cell>
          <cell r="B106" t="str">
            <v>철도계획</v>
          </cell>
          <cell r="C106" t="str">
            <v>신호 및 차량안전계획</v>
          </cell>
          <cell r="F106" t="str">
            <v>트램 특성을 배제한 단순 지상신호기 위주 설계로 돌발 장애물 출현 시 치명적인 충돌 사고가 발생할 리스크를 검토하였는가?</v>
          </cell>
        </row>
        <row r="107">
          <cell r="A107">
            <v>105</v>
          </cell>
          <cell r="B107" t="str">
            <v>철도계획</v>
          </cell>
          <cell r="C107" t="str">
            <v>안전 및 부대시설 계획</v>
          </cell>
          <cell r="F107" t="str">
            <v>과주 방지용 차막이 설계 누락 및 규격 미달로 제동 고장 시 트램 차량이 이탈하여 대형 사고가 발생할 리스크를 검토하였는가?</v>
          </cell>
        </row>
        <row r="108">
          <cell r="A108">
            <v>106</v>
          </cell>
          <cell r="B108" t="str">
            <v>철도계획</v>
          </cell>
          <cell r="C108" t="str">
            <v>안전 및 인터페이스 계획</v>
          </cell>
          <cell r="F108" t="str">
            <v>독립안전성평가(ISA) 수검 요건 설계 누락으로 안전 인증 실패 및 대대적 시스템 재설계가 발생할 리스크를 검토하였는가?</v>
          </cell>
        </row>
        <row r="109">
          <cell r="A109">
            <v>107</v>
          </cell>
          <cell r="B109" t="str">
            <v>철도계획</v>
          </cell>
          <cell r="C109" t="str">
            <v>운영 및 통합관제계획</v>
          </cell>
          <cell r="F109" t="str">
            <v>이기종 시스템 간 통신 연계 및 통합 관제실 설계 누락으로 돌발 상황 시 관제사의 신속한 초동 대처가 불가해질 리스크를 검토하였는가?</v>
          </cell>
        </row>
        <row r="110">
          <cell r="A110">
            <v>108</v>
          </cell>
          <cell r="B110" t="str">
            <v>운영</v>
          </cell>
          <cell r="C110" t="str">
            <v>운영 및 통합관제계획</v>
          </cell>
          <cell r="F110" t="str">
            <v>개통시 및 타 트램 개통 시 운영 핵심 인력 대량 급여 우려, 트램 운영 핵심 인력 대량 공백 우려 및 인력 순환체계 어려움 발생 리스크를 검토하였는가?</v>
          </cell>
        </row>
        <row r="111">
          <cell r="A111">
            <v>109</v>
          </cell>
          <cell r="B111" t="str">
            <v>운영</v>
          </cell>
          <cell r="C111" t="str">
            <v>운영 및 통합관제계획</v>
          </cell>
          <cell r="F111" t="str">
            <v>신형 트램 고려하여 7D/4M/4Y/8Y로 조정 시 운영비용 절감 가능, 트램 제작사가 현실적 검수주기로 예방정비 하도록 계약서 사양 재정립 필요 리스크를 검토하였는가?</v>
          </cell>
        </row>
        <row r="112">
          <cell r="A112">
            <v>110</v>
          </cell>
          <cell r="B112" t="str">
            <v>철도계획</v>
          </cell>
          <cell r="C112" t="str">
            <v>운전 및 운영계획</v>
          </cell>
          <cell r="F112" t="str">
            <v>명확한 운전·운영계획 없이 시스템 설계가 개별 진행되어 분야 간 설계 불일치 및 시스템 운영 효율성이 저하될 리스크를 검토하였는가?</v>
          </cell>
        </row>
        <row r="113">
          <cell r="A113">
            <v>111</v>
          </cell>
          <cell r="B113" t="str">
            <v>철도계획</v>
          </cell>
          <cell r="C113" t="str">
            <v>인터페이스 계획</v>
          </cell>
          <cell r="F113" t="str">
            <v>2D 기반 설계로 교차 검토가 누락되어 능동지하차도 등 통과 시 차량한계선과 설비 간 물리적 간섭 충돌이 발생할 리스크를 검토하였는가?</v>
          </cell>
        </row>
        <row r="114">
          <cell r="A114">
            <v>112</v>
          </cell>
          <cell r="B114" t="str">
            <v>철도계획</v>
          </cell>
          <cell r="C114" t="str">
            <v>인터페이스 계획</v>
          </cell>
          <cell r="F114" t="str">
            <v>주요 고속철도 및 연계 도시철도 하부 구조물과의 3차원 물리적 간섭 및 공정 중첩을 미검토하여, 시공 한계에 따른 대규모 설계 변경이 유발될 리스크를 검토하였는가?</v>
          </cell>
        </row>
        <row r="115">
          <cell r="A115">
            <v>113</v>
          </cell>
          <cell r="B115" t="str">
            <v>철도계획</v>
          </cell>
          <cell r="C115" t="str">
            <v>인터페이스 계획</v>
          </cell>
          <cell r="F115" t="str">
            <v>신규 도로와 트램 선형 간 정합성 검토 누락으로 도로 레벨 재조정 및 노반 파쇄 등 대규모 매몰비용 발생 리스크를 검토하였는가?</v>
          </cell>
        </row>
        <row r="116">
          <cell r="A116">
            <v>114</v>
          </cell>
          <cell r="B116" t="str">
            <v>철도계획</v>
          </cell>
          <cell r="C116" t="str">
            <v>인터페이스 계획</v>
          </cell>
          <cell r="F116" t="str">
            <v>광역상수도 대형 관로 간섭 미고려로 대규모 지장물 이설 및 심각한 설계 변경 발생 리스크를 검토하였는가?</v>
          </cell>
        </row>
        <row r="117">
          <cell r="A117">
            <v>115</v>
          </cell>
          <cell r="B117" t="str">
            <v>철도계획</v>
          </cell>
          <cell r="C117" t="str">
            <v>인터페이스 계획</v>
          </cell>
          <cell r="F117" t="str">
            <v>타 철도망 환기구 개착 공사와의 구조적 간섭 및 공기 중첩 미고려로 가시설 충돌 및 대규모 공기 지연이 발생할 리스크를 검토하였는가?</v>
          </cell>
        </row>
        <row r="118">
          <cell r="A118">
            <v>116</v>
          </cell>
          <cell r="B118" t="str">
            <v>철도계획</v>
          </cell>
          <cell r="C118" t="str">
            <v>인터페이스 및 하천계획</v>
          </cell>
          <cell r="F118" t="str">
            <v>구역천 친수하천 공사 간섭 및 홍수위(H.W.L) 검토 누락으로 하천점용허가 반려 및 우기 시 궤도 유실이 발생할 리스크를 검토하였는가?</v>
          </cell>
        </row>
        <row r="119">
          <cell r="A119">
            <v>117</v>
          </cell>
          <cell r="B119" t="str">
            <v>철도계획</v>
          </cell>
          <cell r="C119" t="str">
            <v>인허가 및 교통안전계획</v>
          </cell>
          <cell r="F119" t="str">
            <v>경찰청 심의 기준을 간과한 트램 위주 설계로 심의가 반려되어 선형 및 교통 통제 방안이 전면 재수정되고 공기가 지연될 리스크를 검토하였는가?</v>
          </cell>
        </row>
        <row r="120">
          <cell r="A120">
            <v>118</v>
          </cell>
          <cell r="B120" t="str">
            <v>철도계획</v>
          </cell>
          <cell r="C120" t="str">
            <v>정거장 승강장 계획</v>
          </cell>
          <cell r="F120" t="str">
            <v>동적 편의량 미고려로 연단 이격거리가 50mm를 초과하여 발빠짐 사고가 발생할 리스크를 검토하였는가?</v>
          </cell>
        </row>
        <row r="121">
          <cell r="A121">
            <v>119</v>
          </cell>
          <cell r="B121" t="str">
            <v>철도계획</v>
          </cell>
          <cell r="C121" t="str">
            <v>정거장 승강장 계획</v>
          </cell>
          <cell r="F121" t="str">
            <v>306 정거장과 체육공원 간 단차 미고려 및 수직 동선(E/V 등) 누락으로 궤도 무단 횡단 사고가 유발될 리스크를 검토하였는가?</v>
          </cell>
        </row>
        <row r="122">
          <cell r="A122">
            <v>120</v>
          </cell>
          <cell r="B122" t="str">
            <v>철도계획</v>
          </cell>
          <cell r="C122" t="str">
            <v>정거장 승강장 계획</v>
          </cell>
          <cell r="F122" t="str">
            <v>209 정거장 환승 특성 미고려 및 비효율적 동선 설계로 승객 병목 현상 및 트램 이용률이 급감할 리스크를 검토하였는가?</v>
          </cell>
        </row>
        <row r="123">
          <cell r="A123">
            <v>121</v>
          </cell>
          <cell r="B123" t="str">
            <v>철도계획</v>
          </cell>
          <cell r="C123" t="str">
            <v>정거장 승강장 계획</v>
          </cell>
          <cell r="F123" t="str">
            <v>E/V 및 무단차 동선 설계 누락으로 BF 인증 심사 탈락 및 극심한 민원이 유발될 리스크를 검토하였는가?</v>
          </cell>
        </row>
        <row r="124">
          <cell r="A124">
            <v>122</v>
          </cell>
          <cell r="B124" t="str">
            <v>철도계획</v>
          </cell>
          <cell r="C124" t="str">
            <v>정거장 승강장 계획</v>
          </cell>
          <cell r="F124" t="str">
            <v>환승 동선 및 교통 혼잡도 오판으로 승객 병목 현상이나 환승 지연이 발생할 리스크를 검토하였는가?</v>
          </cell>
        </row>
        <row r="125">
          <cell r="A125">
            <v>123</v>
          </cell>
          <cell r="B125" t="str">
            <v>철도계획</v>
          </cell>
          <cell r="C125" t="str">
            <v>정거장 승강장 계획</v>
          </cell>
          <cell r="F125" t="str">
            <v>정거장 구내 종곡선 포함 및 선로기울기 40‰ 초과 설계로 트램 미끄러짐 등 안전사고가 발생할 리스크를 검토하였는가?</v>
          </cell>
        </row>
        <row r="126">
          <cell r="A126">
            <v>124</v>
          </cell>
          <cell r="B126" t="str">
            <v>철도계획</v>
          </cell>
          <cell r="C126" t="str">
            <v>정거장 승강장 계획</v>
          </cell>
          <cell r="F126" t="str">
            <v>4편성 주박선 유효장 누락 및 복합환승센터 간섭 미검토로 차량 주박 불가 및 환승 동선 혼선이 발생할 리스크를 검토하였는가?</v>
          </cell>
        </row>
        <row r="127">
          <cell r="A127">
            <v>125</v>
          </cell>
          <cell r="B127" t="str">
            <v>철도계획</v>
          </cell>
          <cell r="C127" t="str">
            <v>정거장 승강장 계획</v>
          </cell>
          <cell r="F127" t="str">
            <v>순수 유효폭원이 기준(상대식 3.0m, 섬식 4.0m 이상)에 미달하여 승객 선로 추락 등 안전사고가 발생할 리스크를 검토하였는가?</v>
          </cell>
        </row>
        <row r="128">
          <cell r="A128">
            <v>126</v>
          </cell>
          <cell r="B128" t="str">
            <v>철도계획</v>
          </cell>
          <cell r="C128" t="str">
            <v>정거장 승강장 계획</v>
          </cell>
          <cell r="F128" t="str">
            <v>임의 선형 조정으로 시·종점 절대좌표가 틀어지거나 정거장 위치가 과도하게 변경되어 인허가 재협의가 발생할 리스크를 검토하였는가?</v>
          </cell>
        </row>
        <row r="129">
          <cell r="A129">
            <v>127</v>
          </cell>
          <cell r="B129" t="str">
            <v>철도계획</v>
          </cell>
          <cell r="C129" t="str">
            <v>정거장 승강장 계획</v>
          </cell>
          <cell r="F129" t="str">
            <v>타 철도망 환승 동선 및 인터페이스 검토 누락으로 승객 우회 보행 및 극심한 환승 불편이 유발될 리스크를 검토하였는가?</v>
          </cell>
        </row>
        <row r="130">
          <cell r="A130">
            <v>128</v>
          </cell>
          <cell r="B130" t="str">
            <v>철도계획</v>
          </cell>
          <cell r="C130" t="str">
            <v>정거장 승강장 계획</v>
          </cell>
          <cell r="F130" t="str">
            <v>'디자인 가이드라인' 위배로 지자체 경관/디자인 심의가 반려되어 대대적인 재설계 비용이 발생할 리스크를 검토하였는가?</v>
          </cell>
        </row>
        <row r="131">
          <cell r="A131">
            <v>129</v>
          </cell>
          <cell r="B131" t="str">
            <v>철도계획</v>
          </cell>
          <cell r="C131" t="str">
            <v>정거장 승강장 계획</v>
          </cell>
          <cell r="F131" t="str">
            <v>배수 우선 고려로 승강장 기울기가 1/100을 초과해 교통약자가 선로로 추락할 리스크를 검토하였는가?</v>
          </cell>
        </row>
        <row r="132">
          <cell r="A132">
            <v>130</v>
          </cell>
          <cell r="B132" t="str">
            <v>철도계획</v>
          </cell>
          <cell r="C132" t="str">
            <v>정거장 승강장 계획</v>
          </cell>
          <cell r="F132" t="str">
            <v>승강장 배수 및 차수 대책 미흡 설계로 집중호우 시 침수나 홈붙이 레일(Grooved Rail) 내부 우수 유입에 따른 누전 및 운행 지연이 발생할 리스크를 검토하였는가?</v>
          </cell>
        </row>
        <row r="133">
          <cell r="A133">
            <v>131</v>
          </cell>
          <cell r="B133" t="str">
            <v>철도계획</v>
          </cell>
          <cell r="C133" t="str">
            <v>정거장 승강장 계획</v>
          </cell>
          <cell r="F133" t="str">
            <v>재해영향평가 기준을 무시한 도로 동일 레벨 및 배수 용량 부족 설계로 우기 시 궤도 및 승강장이 전면 침수될 리스크를 검토하였는가?</v>
          </cell>
        </row>
        <row r="134">
          <cell r="A134">
            <v>132</v>
          </cell>
          <cell r="B134" t="str">
            <v>철도계획</v>
          </cell>
          <cell r="C134" t="str">
            <v>정거장 승강장 계획</v>
          </cell>
          <cell r="F134" t="str">
            <v>정거장 마감재가 불연재 및 Non-Slip 자재로 설계되지 않아 화재 및 우천 시 승객 대피 안전을 저해할 리스크를 검토하였는가?</v>
          </cell>
        </row>
        <row r="135">
          <cell r="A135">
            <v>133</v>
          </cell>
          <cell r="B135" t="str">
            <v>철도계획</v>
          </cell>
          <cell r="C135" t="str">
            <v>정거장 승강장 계획</v>
          </cell>
          <cell r="F135" t="str">
            <v>계획고가 계획홍수위(H.W.L)보다 낮거나 차수벽 대책이 누락되어, 하절기 집중호우 시 시설물 수몰 및 운행 중단이 발생할 리스크를 검토하였는가?</v>
          </cell>
        </row>
        <row r="136">
          <cell r="A136">
            <v>134</v>
          </cell>
          <cell r="B136" t="str">
            <v>철도계획</v>
          </cell>
          <cell r="C136" t="str">
            <v>종단계획</v>
          </cell>
          <cell r="F136" t="str">
            <v>최대 선로기울기(60‰)를 초과하는 설계로 우천 시 차량 미끄러짐 및 제동거리 부족에 따른 추돌 사고가 발생할 리스크를 검토하였는가?</v>
          </cell>
        </row>
        <row r="137">
          <cell r="A137">
            <v>135</v>
          </cell>
          <cell r="B137" t="str">
            <v>철도계획</v>
          </cell>
          <cell r="C137" t="str">
            <v>종단계획</v>
          </cell>
          <cell r="F137" t="str">
            <v>차량 동력을 무시한 과도한 급경사 설계로 강우/강설 시 트램 등판 불능 및 미끄러짐 추돌 사고 리스크를 검토하였는가?</v>
          </cell>
        </row>
        <row r="138">
          <cell r="A138">
            <v>136</v>
          </cell>
          <cell r="B138" t="str">
            <v>철도계획</v>
          </cell>
          <cell r="C138" t="str">
            <v>종단계획</v>
          </cell>
          <cell r="F138" t="str">
            <v>최대 하중 및 구원운전 견인력을 배제한 급경사 설계로, 본선 차량 고장 시 견인 불능에 따른 전 노선 장시간 마비 리스크를 검토하였는가?</v>
          </cell>
        </row>
        <row r="139">
          <cell r="A139">
            <v>137</v>
          </cell>
          <cell r="B139" t="str">
            <v>철도계획</v>
          </cell>
          <cell r="C139" t="str">
            <v>종단선형 종곡선 계획</v>
          </cell>
          <cell r="F139" t="str">
            <v>최소 곡선반경(본선 25m, 정거장 160m) 미달 설계로 트램 회전 주행 불가 및 승강장 이격거리 초과 리스크를 검토하였는가?</v>
          </cell>
        </row>
        <row r="140">
          <cell r="A140">
            <v>138</v>
          </cell>
          <cell r="B140" t="str">
            <v>철도계획</v>
          </cell>
          <cell r="C140" t="str">
            <v>종단선형 종곡선 계획</v>
          </cell>
          <cell r="F140" t="str">
            <v>종곡선 누락 및 반경 기준(800m) 미달 설계로 트램 통과 시 승차감 불량 및 궤도 손상이 발생할 리스크를 검토하였는가?</v>
          </cell>
        </row>
        <row r="141">
          <cell r="A141">
            <v>139</v>
          </cell>
          <cell r="B141" t="str">
            <v>철도계획</v>
          </cell>
          <cell r="C141" t="str">
            <v>종단선형 종곡선 계획</v>
          </cell>
          <cell r="F141" t="str">
            <v>완화곡선 누락 및 과소 길이 설계로 트램 진입 시 승객 쏠림 현상 및 차륜 횡압이 급증할 리스크를 검토하였는가?</v>
          </cell>
        </row>
        <row r="142">
          <cell r="A142">
            <v>140</v>
          </cell>
          <cell r="B142" t="str">
            <v>철도계획</v>
          </cell>
          <cell r="C142" t="str">
            <v>지반조사 및 개량계획</v>
          </cell>
          <cell r="F142" t="str">
            <v>연약지반에 대한 추가 재하시험 및 개량 설계 누락으로 개통 후 궤도의 심각한 부등침하가 발생할 리스크를 검토하였는가?</v>
          </cell>
        </row>
        <row r="143">
          <cell r="A143">
            <v>141</v>
          </cell>
          <cell r="B143" t="str">
            <v>철도계획</v>
          </cell>
          <cell r="C143" t="str">
            <v>차량기지 계획</v>
          </cell>
          <cell r="F143" t="str">
            <v>필수 시설만 밀집 배치하여 향후 안전체험시설 및 장래 복합개발(입체화 등)을 위한 여유 공간과 동선이 차단될 리스크를 검토하였는가?</v>
          </cell>
        </row>
        <row r="144">
          <cell r="A144">
            <v>142</v>
          </cell>
          <cell r="B144" t="str">
            <v>철도계획</v>
          </cell>
          <cell r="C144" t="str">
            <v>차량기지 계획</v>
          </cell>
          <cell r="F144" t="str">
            <v>운영기관 요구사항(동선, 편의성) 누락 및 임의 단절 배치로 준공 후 작업 환경 악화 및 유지관리 효율성이 저하될 리스크를 검토하였는가?</v>
          </cell>
        </row>
        <row r="145">
          <cell r="A145">
            <v>143</v>
          </cell>
          <cell r="B145" t="str">
            <v>철도계획</v>
          </cell>
          <cell r="C145" t="str">
            <v>친환경 및 유지관리 계획</v>
          </cell>
          <cell r="F145" t="str">
            <v>공사비 절감 목적의 저급 자재 설계 반영으로 운영 중 유지보수 비용(LCC)이 급증하고 도심지 환경 민원이 유발될 리스크를 검토하였는가?</v>
          </cell>
        </row>
        <row r="146">
          <cell r="A146">
            <v>144</v>
          </cell>
          <cell r="B146" t="str">
            <v>철도계획</v>
          </cell>
          <cell r="C146" t="str">
            <v>환경 및 보행안전계획</v>
          </cell>
          <cell r="F146" t="str">
            <v>정온시설 밀집 구간 소음·진동 저감 공법 및 방호설비 누락으로 환경 민원 폭주 및 어린이 교통사고가 유발될 리스크를 검토하였는가?</v>
          </cell>
        </row>
        <row r="147">
          <cell r="A147">
            <v>145</v>
          </cell>
          <cell r="B147" t="str">
            <v>차량기지</v>
          </cell>
          <cell r="C147" t="str">
            <v>건축 및 구조계획</v>
          </cell>
          <cell r="F147" t="str">
            <v>바닥 슬래브 구조 계산 시 중량 장비 및 피트(PIT)용 무근 콘크리트 하중 누락으로 바닥 처짐 및 심각한 균열이 유발될 리스크를 검토하였는가?</v>
          </cell>
        </row>
        <row r="148">
          <cell r="A148">
            <v>146</v>
          </cell>
          <cell r="B148" t="str">
            <v>차량기지</v>
          </cell>
          <cell r="C148" t="str">
            <v>건축 및 기계설비</v>
          </cell>
          <cell r="F148" t="str">
            <v>밀집 배치의 2D 도면 설계로 시공 시 보 간섭에 따른 천장고 저하 및 밸브류 점검 공간 미확보 리스크를 검토하였는가?</v>
          </cell>
        </row>
        <row r="149">
          <cell r="A149">
            <v>147</v>
          </cell>
          <cell r="B149" t="str">
            <v>차량기지</v>
          </cell>
          <cell r="C149" t="str">
            <v>검수설비 안전</v>
          </cell>
          <cell r="F149" t="str">
            <v>검수선 PIT 공간 및 H-Beam 강제도상 설계 누락·깊이 미달로 트램 하부 유지보수 불가 및 작업자 안전사고가 발생할 리스크를 검토하였는가?</v>
          </cell>
        </row>
        <row r="150">
          <cell r="A150">
            <v>148</v>
          </cell>
          <cell r="B150" t="str">
            <v>차량기지</v>
          </cell>
          <cell r="C150" t="str">
            <v>검수설비 안전</v>
          </cell>
          <cell r="F150" t="str">
            <v>지붕 곡면 미고려 및 추락방지설비 누락으로 고소 추락 중대재해가 발생할 리스크를 검토하였는가?</v>
          </cell>
        </row>
        <row r="151">
          <cell r="A151">
            <v>149</v>
          </cell>
          <cell r="B151" t="str">
            <v>차량기지</v>
          </cell>
          <cell r="C151" t="str">
            <v>검수설비 안전</v>
          </cell>
          <cell r="F151" t="str">
            <v>주요 검수장비 유틸리티 용량 및 인입 설계 누락으로 장비 반입 후 검수 작업 불가 리스크를 검토하였는가?</v>
          </cell>
        </row>
        <row r="152">
          <cell r="A152">
            <v>150</v>
          </cell>
          <cell r="B152" t="str">
            <v>차량기지</v>
          </cell>
          <cell r="C152" t="str">
            <v>검수설비 안전</v>
          </cell>
          <cell r="F152" t="str">
            <v>동시인양장치와 천장크레인 동선 중첩 설계로 동시인양 작업 중 크레인 가동이 불가하여 심각한 검수 공정 지연이 발생할 리스크를 검토하였는가?</v>
          </cell>
        </row>
        <row r="153">
          <cell r="A153">
            <v>151</v>
          </cell>
          <cell r="B153" t="str">
            <v>차량기지</v>
          </cell>
          <cell r="C153" t="str">
            <v>검수설비 안전</v>
          </cell>
          <cell r="F153" t="str">
            <v>특수공구 및 3년치 예비품 산정 누락 및 부족 설계로 개통 초기 차량 고장 시 부품 수급 지연에 따른 운행률 급감 리스크를 검토하였는가?</v>
          </cell>
        </row>
        <row r="154">
          <cell r="A154">
            <v>152</v>
          </cell>
          <cell r="B154" t="str">
            <v>차량기지</v>
          </cell>
          <cell r="C154" t="str">
            <v>검수설비 안전</v>
          </cell>
          <cell r="F154" t="str">
            <v>청소 전용 설비 및 분진 차단 구획 누락으로, 청소 시 발생한 미세먼지가 확산되어 정밀 전자장비 고장 및 작업자 호흡기 질환을 유발할 리스크를 검토하였는가?</v>
          </cell>
        </row>
        <row r="155">
          <cell r="A155">
            <v>153</v>
          </cell>
          <cell r="B155" t="str">
            <v>차량기지</v>
          </cell>
          <cell r="C155" t="str">
            <v>검수설비 안전</v>
          </cell>
          <cell r="F155" t="str">
            <v>전용 상부 점검대 및 안전 인터록 제어 설계 누락으로 유지보수 중 작업자가 고압 전류에 노출될 치명적인 감전 리스크를 검토하였는가?</v>
          </cell>
        </row>
        <row r="156">
          <cell r="A156">
            <v>154</v>
          </cell>
          <cell r="B156" t="str">
            <v>차량기지</v>
          </cell>
          <cell r="C156" t="str">
            <v>검수설비 안전</v>
          </cell>
          <cell r="F156" t="str">
            <v>대형 장비 반입구 규격이 장비 제원보다 부족하게 설계되어, 향후 유지보수 시 멀쩡한 건축 구조물(벽체나 슬래브)을 파쇄해야 할 리스크를 검토하였는가?</v>
          </cell>
        </row>
        <row r="157">
          <cell r="A157">
            <v>155</v>
          </cell>
          <cell r="B157" t="str">
            <v>차량기지</v>
          </cell>
          <cell r="C157" t="str">
            <v>검수설비 안전</v>
          </cell>
          <cell r="F157" t="str">
            <v>중정비 궤도가 1선으로만 설계되어 장기 수선 시 후속 차량의 중정비가 불가능해질 심각한 검수 지연 리스크를 검토하였는가?</v>
          </cell>
        </row>
        <row r="158">
          <cell r="A158">
            <v>156</v>
          </cell>
          <cell r="B158" t="str">
            <v>차량기지</v>
          </cell>
          <cell r="C158" t="str">
            <v>검수설비 안전</v>
          </cell>
          <cell r="F158" t="str">
            <v>승강설비 원격 감시제어 및 통신망 연동 누락으로 중량물 인양 비상시 관제실의 즉각적인 인지·통제가 불가해질 리스크를 검토하였는가?</v>
          </cell>
        </row>
        <row r="159">
          <cell r="A159">
            <v>157</v>
          </cell>
          <cell r="B159" t="str">
            <v>차량기지</v>
          </cell>
          <cell r="C159" t="str">
            <v>검수설비 안전</v>
          </cell>
          <cell r="F159" t="str">
            <v>승객에 의한 안전운행 방해 리스크를 검토하였는가?</v>
          </cell>
        </row>
        <row r="160">
          <cell r="A160">
            <v>158</v>
          </cell>
          <cell r="B160" t="str">
            <v>차량기지</v>
          </cell>
          <cell r="C160" t="str">
            <v>구내 보행 동선 및 건널목 안전 계획</v>
          </cell>
          <cell r="F160" t="str">
            <v>지정 건널목 및 안전 이격거리 누락으로 선로 횡단 중 입환 트램과 충돌할 치명적 리스크를 검토하였는가?</v>
          </cell>
        </row>
        <row r="161">
          <cell r="A161">
            <v>159</v>
          </cell>
          <cell r="B161" t="str">
            <v>차량기지</v>
          </cell>
          <cell r="C161" t="str">
            <v>구내 보행 동선 및 건널목 안전 계획</v>
          </cell>
          <cell r="F161" t="str">
            <v>차량기지 시험선 구내 시험선 기능여부 검토 필요(최소 연장 275m) 리스크를 검토하였는가?</v>
          </cell>
        </row>
        <row r="162">
          <cell r="A162">
            <v>160</v>
          </cell>
          <cell r="B162" t="str">
            <v>차량기지</v>
          </cell>
          <cell r="C162" t="str">
            <v>구내 보행 동선 및 건널목 안전 계획</v>
          </cell>
          <cell r="F162" t="str">
            <v>2차 임시 식별 가능한 전식기 설치 필요(운영효율 50% 증가) 리스크를 검토하였는가?</v>
          </cell>
        </row>
        <row r="163">
          <cell r="A163">
            <v>161</v>
          </cell>
          <cell r="B163" t="str">
            <v>차량기지</v>
          </cell>
          <cell r="C163" t="str">
            <v>구내 보행 동선 및 건널목 안전 계획</v>
          </cell>
          <cell r="F163" t="str">
            <v>구내도로에 비상입출고선/진입선 추가 리스크를 검토하였는가?</v>
          </cell>
        </row>
        <row r="164">
          <cell r="A164">
            <v>162</v>
          </cell>
          <cell r="B164" t="str">
            <v>차량기지</v>
          </cell>
          <cell r="C164" t="str">
            <v>구내 보행 동선 및 건널목 안전 계획</v>
          </cell>
          <cell r="F164" t="str">
            <v>구내도로는 지게차운용, 자재반입을 고려하여 확대 적용 필요 리스크를 검토하였는가?</v>
          </cell>
        </row>
        <row r="165">
          <cell r="A165">
            <v>163</v>
          </cell>
          <cell r="B165" t="str">
            <v>차량기지</v>
          </cell>
          <cell r="C165" t="str">
            <v>궤도 및 안전계획</v>
          </cell>
          <cell r="F165" t="str">
            <v>자갈궤도 및 일반 하중 기준 설계로 차량 정비 시 안전사고 및 대형 장비 가동에 의한 궤도 기초 균열이 발생할 리스크를 검토하였는가?</v>
          </cell>
        </row>
        <row r="166">
          <cell r="A166">
            <v>164</v>
          </cell>
          <cell r="B166" t="str">
            <v>차량기지</v>
          </cell>
          <cell r="C166" t="str">
            <v>궤도 및 안전계획</v>
          </cell>
          <cell r="F166" t="str">
            <v>급곡선 반경(R=25m) 회전성능 검토 및 편마모 방지 대책(도유기, 확폭 등) 누락으로 차량 입출고 시 심각한 마찰 소음 및 탈선 사고가 발생할 리스크를 검토하였는가?</v>
          </cell>
        </row>
        <row r="167">
          <cell r="A167">
            <v>165</v>
          </cell>
          <cell r="B167" t="str">
            <v>차량기지</v>
          </cell>
          <cell r="C167" t="str">
            <v>궤도 및 안전계획</v>
          </cell>
          <cell r="F167" t="str">
            <v>글로브레일과 차륜 답면 간 기하학적 정합성 검토 누락으로, 구내 입환 시 차륜 플랜지가 레일 홈에 마찰되어 이상 소음 및 잦은 탈선이 유발될 리스크를 검토하였는가?</v>
          </cell>
        </row>
        <row r="168">
          <cell r="A168">
            <v>166</v>
          </cell>
          <cell r="B168" t="str">
            <v>차량기지</v>
          </cell>
          <cell r="C168" t="str">
            <v>궤도 및 안전계획</v>
          </cell>
          <cell r="F168" t="str">
            <v>건축 구조물 선시공으로 궤도공사용 대형 자재 반입이 불가해져 벽체 파손 및 전체 공기가 지연될 리스크를 검토하였는가?</v>
          </cell>
        </row>
        <row r="169">
          <cell r="A169">
            <v>167</v>
          </cell>
          <cell r="B169" t="str">
            <v>차량기지</v>
          </cell>
          <cell r="C169" t="str">
            <v>궤도 및 안전계획</v>
          </cell>
          <cell r="F169" t="str">
            <v>시운전선이 입출고 선로와 중첩되거나 유효장이 부족하여 시운전 중 열차 입출고 마비 및 차량 제동 테스트가 불가해질 리스크를 검토하였는가?</v>
          </cell>
        </row>
        <row r="170">
          <cell r="A170">
            <v>168</v>
          </cell>
          <cell r="B170" t="str">
            <v>차량기지</v>
          </cell>
          <cell r="C170" t="str">
            <v>궤도 및 안전계획</v>
          </cell>
          <cell r="F170" t="str">
            <v>부지 협소로 선로 중심간 간격을 축소 설계해, 좁은 선로 틈에서 유지보수 작업자의 협착 사고가 발생할 리스크를 검토하였는가?</v>
          </cell>
        </row>
        <row r="171">
          <cell r="A171">
            <v>169</v>
          </cell>
          <cell r="B171" t="str">
            <v>차량기지</v>
          </cell>
          <cell r="C171" t="str">
            <v>궤도 및 안전계획</v>
          </cell>
          <cell r="F171" t="str">
            <v>분기기 히팅장치 설계 누락으로 폭설 시 선로전환기 장애 및 입출고 마비가 발생할 리스크를 검토하였는가?</v>
          </cell>
        </row>
        <row r="172">
          <cell r="A172">
            <v>170</v>
          </cell>
          <cell r="B172" t="str">
            <v>차량기지</v>
          </cell>
          <cell r="C172" t="str">
            <v>궤도 및 안전계획</v>
          </cell>
          <cell r="F172" t="str">
            <v>다수 편성 배치 시 열차 간 최소 안전 이격거리 누락 및 부족 산정으로 입환 시 추돌 사고가 발생할 리스크를 검토하였는가?</v>
          </cell>
        </row>
        <row r="173">
          <cell r="A173">
            <v>171</v>
          </cell>
          <cell r="B173" t="str">
            <v>차량기지</v>
          </cell>
          <cell r="C173" t="str">
            <v>궤도 및 안전계획</v>
          </cell>
          <cell r="F173" t="str">
            <v>궤도 청소차, 겨울철 모래분사설비 구매(운영사인 서울교통공사 요청사항), 매립형 궤도 제설 장비, 차량기지내 모래 보관 장치 리스크를 검토하였는가?</v>
          </cell>
        </row>
        <row r="174">
          <cell r="A174">
            <v>172</v>
          </cell>
          <cell r="B174" t="str">
            <v>차량기지</v>
          </cell>
          <cell r="C174" t="str">
            <v>궤도 및 안전계획</v>
          </cell>
          <cell r="F174" t="str">
            <v>하차, 궤도청소차, 사고복구차, 고소작업차 등을 고려한 주차공간 확보 필요 리스크를 검토하였는가?</v>
          </cell>
        </row>
        <row r="175">
          <cell r="A175">
            <v>173</v>
          </cell>
          <cell r="B175" t="str">
            <v>차량기지</v>
          </cell>
          <cell r="C175" t="str">
            <v>급전 및 구조계획</v>
          </cell>
          <cell r="F175" t="str">
            <v>충전설비 지지물 구조안전성 검토 및 디자인 승인 누락으로 강풍 시 전도 및 발주처 재시공 지시가 발생할 리스크를 검토하였는가?</v>
          </cell>
        </row>
        <row r="176">
          <cell r="A176">
            <v>174</v>
          </cell>
          <cell r="B176" t="str">
            <v>차량기지</v>
          </cell>
          <cell r="C176" t="str">
            <v>급전 및 보호계획</v>
          </cell>
          <cell r="F176" t="str">
            <v>온도상승 모니터링 및 아크 억제 설계 누락으로 고열이 발생해 전차선이 단선되거나 화재가 유발될 리스크를 검토하였는가?</v>
          </cell>
        </row>
        <row r="177">
          <cell r="A177">
            <v>175</v>
          </cell>
          <cell r="B177" t="str">
            <v>차량기지</v>
          </cell>
          <cell r="C177" t="str">
            <v>기계 및 환기설비</v>
          </cell>
          <cell r="F177" t="str">
            <v>지하공간 내 라돈 등 유해가스 감지 센서 및 자동 환기 연동 시스템 설계 누락으로 작업자의 심각한 건강 장해가 유발될 리스크를 검토하였는가?</v>
          </cell>
        </row>
        <row r="178">
          <cell r="A178">
            <v>176</v>
          </cell>
          <cell r="B178" t="str">
            <v>차량기지</v>
          </cell>
          <cell r="C178" t="str">
            <v>기계/전기설비 공통</v>
          </cell>
          <cell r="F178" t="str">
            <v>대형 장비 규격 및 선회 반경을 무시한 출입구 설계나 장애물 배치로 장비 고장 시 교체 반입이 불가해질 리스크를 검토하였는가?</v>
          </cell>
        </row>
        <row r="179">
          <cell r="A179">
            <v>177</v>
          </cell>
          <cell r="B179" t="str">
            <v>차량기지</v>
          </cell>
          <cell r="C179" t="str">
            <v>기타</v>
          </cell>
          <cell r="F179" t="str">
            <v>트램 하역선 및 램프 시설 설계 누락으로 인하여 차량 최초 반입 및 대수선 이송 시 중량물 양중 한계에 부딪혀 이송 지연 및 파손 사고가 발생할 리스크를 검토하였는가?</v>
          </cell>
        </row>
        <row r="180">
          <cell r="A180">
            <v>178</v>
          </cell>
          <cell r="B180" t="str">
            <v>차량기지</v>
          </cell>
          <cell r="C180" t="str">
            <v>기타</v>
          </cell>
          <cell r="F180" t="str">
            <v>검수고 내 선로 종단부 과주방지용 차막이(스토퍼) 설계 누락 및 유효장 부족으로 인하여 제동 불량 시 차량이 건물 벽체나 검수 장비와 직출동할 리스크를 검토하였는가?</v>
          </cell>
        </row>
        <row r="181">
          <cell r="A181">
            <v>179</v>
          </cell>
          <cell r="B181" t="str">
            <v>차량기지</v>
          </cell>
          <cell r="C181" t="str">
            <v>기타</v>
          </cell>
          <cell r="F181" t="str">
            <v>검수고 건축 기둥과 턴테이블 등 주요 장비 간의 물리적 간섭 검토 누락으로 인하여 현장 장비 설치가 불가능해져 막대한 재설계 및 재시공 비용이 발생할 리스크를 검토하였는가?</v>
          </cell>
        </row>
        <row r="182">
          <cell r="A182">
            <v>180</v>
          </cell>
          <cell r="B182" t="str">
            <v>차량기지</v>
          </cell>
          <cell r="C182" t="str">
            <v>기타</v>
          </cell>
          <cell r="F182" t="str">
            <v>전두연결기 시험기 설계 누락으로 인하여 고장 차량 발생 시 구원 차량과의 연결 상태를 사전 검증하지 못해, 구원운전 실패 및 본선 장기 마비 사태가 초래될 리스크를 검토하였는가?</v>
          </cell>
        </row>
        <row r="183">
          <cell r="A183">
            <v>181</v>
          </cell>
          <cell r="B183" t="str">
            <v>차량기지</v>
          </cell>
          <cell r="C183" t="str">
            <v>기타</v>
          </cell>
          <cell r="F183" t="str">
            <v>입고검사대 동선 부적절 및 간이승강대 설계 누락으로 인하여 야간 일상 점검의 접근성이 현저히 저하되고 작업자의 추락 등 안전사고가 유발될 리스크를 검토하였는가?</v>
          </cell>
        </row>
        <row r="184">
          <cell r="A184">
            <v>182</v>
          </cell>
          <cell r="B184" t="str">
            <v>차량기지</v>
          </cell>
          <cell r="C184" t="str">
            <v>기타</v>
          </cell>
          <cell r="F184" t="str">
            <v>예비품 전용 창고 및 전용 저장랙 설계 누락으로 인하여 고가의 민감한 제어 부품이 개방 공간에 방치되어 습기 및 분진에 의해 성능이 저하(손상)될 리스크를 검토하였는가?</v>
          </cell>
        </row>
        <row r="185">
          <cell r="A185">
            <v>183</v>
          </cell>
          <cell r="B185" t="str">
            <v>차량기지</v>
          </cell>
          <cell r="C185" t="str">
            <v>기타</v>
          </cell>
          <cell r="F185" t="str">
            <v>외부 물체에 의한 충격으로 유리 파편에 승객 부상 리스크를 검토하였는가?</v>
          </cell>
        </row>
        <row r="186">
          <cell r="A186">
            <v>184</v>
          </cell>
          <cell r="B186" t="str">
            <v>차량기지</v>
          </cell>
          <cell r="C186" t="str">
            <v>기타</v>
          </cell>
          <cell r="F186" t="str">
            <v>도어 손끼임 끼임 사고 리스크를 검토하였는가?</v>
          </cell>
        </row>
        <row r="187">
          <cell r="A187">
            <v>185</v>
          </cell>
          <cell r="B187" t="str">
            <v>차량기지</v>
          </cell>
          <cell r="C187" t="str">
            <v>기타</v>
          </cell>
          <cell r="F187" t="str">
            <v>차량 내 무단 조작 리스크를 검토하였는가?</v>
          </cell>
        </row>
        <row r="188">
          <cell r="A188">
            <v>186</v>
          </cell>
          <cell r="B188" t="str">
            <v>차량기지</v>
          </cell>
          <cell r="C188" t="str">
            <v>기타</v>
          </cell>
          <cell r="F188" t="str">
            <v>국내외 트램과 달리 개발된 노선 트램 운전에 대한 부담 존재, 트램 승무 운전 경험 적은 노면전차 양성기관 교육의 교육 훈련 부실 우려 리스크를 검토하였는가?</v>
          </cell>
        </row>
        <row r="189">
          <cell r="A189">
            <v>187</v>
          </cell>
          <cell r="B189" t="str">
            <v>차량기지</v>
          </cell>
          <cell r="C189" t="str">
            <v>기타</v>
          </cell>
          <cell r="F189" t="str">
            <v>휠식선, 쿨링파이프 좌우 부품 저장대 설치 필요 리스크를 검토하였는가?</v>
          </cell>
        </row>
        <row r="190">
          <cell r="A190">
            <v>188</v>
          </cell>
          <cell r="B190" t="str">
            <v>차량기지</v>
          </cell>
          <cell r="C190" t="str">
            <v>기타</v>
          </cell>
          <cell r="F190" t="str">
            <v>대형소형 밸브 설치 및 운영 필요(세정수 및 건조시간 필요) 리스크를 검토하였는가?</v>
          </cell>
        </row>
        <row r="191">
          <cell r="A191">
            <v>189</v>
          </cell>
          <cell r="B191" t="str">
            <v>차량기지</v>
          </cell>
          <cell r="C191" t="str">
            <v>기타</v>
          </cell>
          <cell r="F191" t="str">
            <v>마모성, 코아디텍션은 입출고선 인근 설치 필요 리스크를 검토하였는가?</v>
          </cell>
        </row>
        <row r="192">
          <cell r="A192">
            <v>190</v>
          </cell>
          <cell r="B192" t="str">
            <v>차량기지</v>
          </cell>
          <cell r="C192" t="str">
            <v>기타</v>
          </cell>
          <cell r="F192" t="str">
            <v>공기 청소선 필요(정기적인 차량하부 공기청소 필요) 리스크를 검토하였는가?</v>
          </cell>
        </row>
        <row r="193">
          <cell r="A193">
            <v>191</v>
          </cell>
          <cell r="B193" t="str">
            <v>차량기지</v>
          </cell>
          <cell r="C193" t="str">
            <v>모터카고 및 사고복구 장비 배치</v>
          </cell>
          <cell r="F193" t="str">
            <v>모터카고 출고 동선이 타 차량 동선에 가로막히게 설계되어, 본선 사고 시 복구용 모터카 긴급 투입이 지연될 리스크를 검토하였는가?</v>
          </cell>
        </row>
        <row r="194">
          <cell r="A194">
            <v>192</v>
          </cell>
          <cell r="B194" t="str">
            <v>차량기지</v>
          </cell>
          <cell r="C194" t="str">
            <v>모터카고 및 사고복구 장비 배치</v>
          </cell>
          <cell r="F194" t="str">
            <v>검수고 기능실 인근 공구실 배치 필요 리스크를 검토하였는가?</v>
          </cell>
        </row>
        <row r="195">
          <cell r="A195">
            <v>193</v>
          </cell>
          <cell r="B195" t="str">
            <v>차량기지</v>
          </cell>
          <cell r="C195" t="str">
            <v>모터카고 배치</v>
          </cell>
          <cell r="F195" t="str">
            <v>본선 사고 시 긴급 복구차량(모터카)이 복잡한 입환 동선 등에 가로막혀 신속 출동이 지연될 모터카고 위치 설계 불량 리스크를 검토하였는가?</v>
          </cell>
        </row>
        <row r="196">
          <cell r="A196">
            <v>194</v>
          </cell>
          <cell r="B196" t="str">
            <v>차량기지</v>
          </cell>
          <cell r="C196" t="str">
            <v>부지 및 토공계획</v>
          </cell>
          <cell r="F196" t="str">
            <v>입출고선의 과도한 성토고 계획으로 인근 주거지역 조망권 침해 및 소음·진동 환경 민원이 발생해 사업이 지연될 리스크를 검토하였는가?</v>
          </cell>
        </row>
        <row r="197">
          <cell r="A197">
            <v>195</v>
          </cell>
          <cell r="B197" t="str">
            <v>차량기지</v>
          </cell>
          <cell r="C197" t="str">
            <v>사면안정 및 부지계획</v>
          </cell>
          <cell r="F197" t="str">
            <v>지질 특성을 무시한 과도한 절·성토 설계로 우기 사면 붕괴 및 과다 용지 편입에 따른 사업비 급증 리스크를 검토하였는가?</v>
          </cell>
        </row>
        <row r="198">
          <cell r="A198">
            <v>196</v>
          </cell>
          <cell r="B198" t="str">
            <v>차량기지</v>
          </cell>
          <cell r="C198" t="str">
            <v>선로 종단부 안전 계획</v>
          </cell>
          <cell r="F198" t="str">
            <v>차막이 설계 누락 및 완충 연장 부족으로 제동 고장 시 트램이 검수고 벽면 등 건축물과 충돌할 리스크를 검토하였는가?</v>
          </cell>
        </row>
        <row r="199">
          <cell r="A199">
            <v>197</v>
          </cell>
          <cell r="B199" t="str">
            <v>차량기지</v>
          </cell>
          <cell r="C199" t="str">
            <v>세척 및 폐수처리 설비</v>
          </cell>
          <cell r="F199" t="str">
            <v>제어반 옥외 노출에 따른 동파 고장 및 폐수처리장 이격으로 세척수가 기지 외부로 유출될 리스크를 검토하였는가?</v>
          </cell>
        </row>
        <row r="200">
          <cell r="A200">
            <v>198</v>
          </cell>
          <cell r="B200" t="str">
            <v>차량기지</v>
          </cell>
          <cell r="C200" t="str">
            <v>세척 및 폐수처리 설비</v>
          </cell>
          <cell r="F200" t="str">
            <v>누유 세정기 구체 고려 설비 천장고 수정 필요 리스크를 검토하였는가?</v>
          </cell>
        </row>
        <row r="201">
          <cell r="A201">
            <v>199</v>
          </cell>
          <cell r="B201" t="str">
            <v>차량기지</v>
          </cell>
          <cell r="C201" t="str">
            <v>세척 및 폐수처리 설비</v>
          </cell>
          <cell r="F201" t="str">
            <v>윈치 세척선은 대형소선 인근 설치 필요 리스크를 검토하였는가?</v>
          </cell>
        </row>
        <row r="202">
          <cell r="A202">
            <v>200</v>
          </cell>
          <cell r="B202" t="str">
            <v>차량기지</v>
          </cell>
          <cell r="C202" t="str">
            <v>세척 및 폐수처리 설비</v>
          </cell>
          <cell r="F202" t="str">
            <v>입출고선 차체 세척기 설치 공간 확보 필요 리스크를 검토하였는가?</v>
          </cell>
        </row>
        <row r="203">
          <cell r="A203">
            <v>201</v>
          </cell>
          <cell r="B203" t="str">
            <v>차량기지</v>
          </cell>
          <cell r="C203" t="str">
            <v>세척선 및 옥외세척고 계획</v>
          </cell>
          <cell r="F203" t="str">
            <v>제어반 및 펌프류가 옥외 노출되어 동절기 동파 및 기기 누전으로 세척 공정이 전면 마비될 리스크를 검토하였는가?</v>
          </cell>
        </row>
        <row r="204">
          <cell r="A204">
            <v>202</v>
          </cell>
          <cell r="B204" t="str">
            <v>차량기지</v>
          </cell>
          <cell r="C204" t="str">
            <v>세척선 및 폐수처리 연계 계획</v>
          </cell>
          <cell r="F204" t="str">
            <v>폐수 집수정 및 직결 관로 누락으로 세척 폐수가 하수구로 방류되어 수질오염 행정 처분을 받을 리스크를 검토하였는가?</v>
          </cell>
        </row>
        <row r="205">
          <cell r="A205">
            <v>203</v>
          </cell>
          <cell r="B205" t="str">
            <v>차량기지</v>
          </cell>
          <cell r="C205" t="str">
            <v>소방 및 제연설비</v>
          </cell>
          <cell r="F205" t="str">
            <v>화재 시나리오별 제연설비 용량 부족 및 연결송수구 누락으로, 트램 화재 시 유독가스 배출 불가 및 초기 진압 실패로 이어질 리스크를 검토하였는가?</v>
          </cell>
        </row>
        <row r="206">
          <cell r="A206">
            <v>204</v>
          </cell>
          <cell r="B206" t="str">
            <v>차량기지</v>
          </cell>
          <cell r="C206" t="str">
            <v>수자원 및 배수설비</v>
          </cell>
          <cell r="F206" t="str">
            <v>배출수가 지자체 하수관로 허용 용량을 초과하는지에 대한 수리검토 누락으로, 집중호우 시 주변 도로 및 하수도가 범람할 리스크를 검토하였는가?</v>
          </cell>
        </row>
        <row r="207">
          <cell r="A207">
            <v>205</v>
          </cell>
          <cell r="B207" t="str">
            <v>차량기지</v>
          </cell>
          <cell r="C207" t="str">
            <v>시설배치 및 구조계획</v>
          </cell>
          <cell r="F207" t="str">
            <v>초기 규모에 맞춘 폐쇄적 설계로 향후 이용수요 폭증 시 유치선 및 검수고 확장이 불가능해질 리스크를 검토하였는가?</v>
          </cell>
        </row>
        <row r="208">
          <cell r="A208">
            <v>206</v>
          </cell>
          <cell r="B208" t="str">
            <v>차량기지</v>
          </cell>
          <cell r="C208" t="str">
            <v>시스템 기능실</v>
          </cell>
          <cell r="F208" t="str">
            <v>신호/통신실 위치 부적절로 케이블 전송 손실이 증가하거나, 항온항습기 및 가스계 소화설비 누락으로 정밀 전자장비가 소손될 리스크를 검토하였는가?</v>
          </cell>
        </row>
        <row r="209">
          <cell r="A209">
            <v>207</v>
          </cell>
          <cell r="B209" t="str">
            <v>차량기지</v>
          </cell>
          <cell r="C209" t="str">
            <v>시스템 기능실</v>
          </cell>
          <cell r="F209" t="str">
            <v>트램 제작 경험 없는 제작사 차량 및 신규 개발 시스템 운영 부담 높음, 오류도출 국가 R&amp;D 실증사업 중단 후 운영 실증 부재 리스크를 검토하였는가?</v>
          </cell>
        </row>
        <row r="210">
          <cell r="A210">
            <v>208</v>
          </cell>
          <cell r="B210" t="str">
            <v>차량기지</v>
          </cell>
          <cell r="C210" t="str">
            <v>시스템 기능실</v>
          </cell>
          <cell r="F210" t="str">
            <v>차량 배터리 절약에 대한 별도 시스템 및 설계 필요 리스크를 검토하였는가?</v>
          </cell>
        </row>
        <row r="211">
          <cell r="A211">
            <v>209</v>
          </cell>
          <cell r="B211" t="str">
            <v>차량기지</v>
          </cell>
          <cell r="C211" t="str">
            <v>시스템 기능실</v>
          </cell>
          <cell r="F211" t="str">
            <v>자재창고는 검수고 기능실 인접 설치 필요 리스크를 검토하였는가?</v>
          </cell>
        </row>
        <row r="212">
          <cell r="A212">
            <v>210</v>
          </cell>
          <cell r="B212" t="str">
            <v>차량기지</v>
          </cell>
          <cell r="C212" t="str">
            <v>시스템 인터페이스 방재</v>
          </cell>
          <cell r="F212" t="str">
            <v>오일집수정 및 차단 트렌치 누락·용량 부족으로 기름 유출 시 폐유가 외부로 무단 방류될 대형 환경 오염 리스크를 검토하였는가?</v>
          </cell>
        </row>
        <row r="213">
          <cell r="A213">
            <v>211</v>
          </cell>
          <cell r="B213" t="str">
            <v>차량기지</v>
          </cell>
          <cell r="C213" t="str">
            <v>시스템 인터페이스 방재</v>
          </cell>
          <cell r="F213" t="str">
            <v>공기청소선이 주요 시설(종합관리동 등)과 인접하거나 분진 차단막이 누락되어, 미세먼지가 사무실 및 전자장비실로 유입될 환경 리스크를 검토하였는가?</v>
          </cell>
        </row>
        <row r="214">
          <cell r="A214">
            <v>212</v>
          </cell>
          <cell r="B214" t="str">
            <v>차량기지</v>
          </cell>
          <cell r="C214" t="str">
            <v>시스템 인터페이스 방재</v>
          </cell>
          <cell r="F214" t="str">
            <v>급속 충전 시 발생하는 고조파 및 전자파 노이즈 차폐 대책 누락으로, 기지 내 신호·통신 설비에 치명적 통신 장애가 발생할 리스크를 검토하였는가?</v>
          </cell>
        </row>
        <row r="215">
          <cell r="A215">
            <v>213</v>
          </cell>
          <cell r="B215" t="str">
            <v>차량기지</v>
          </cell>
          <cell r="C215" t="str">
            <v>시스템 인터페이스 방재</v>
          </cell>
          <cell r="F215" t="str">
            <v>일반 수계 스프링클러 설계 및 이중바닥(Access Floor) 누락으로 화재 진압 살수 시 관제·신호 시스템이 수몰 마비될 리스크를 검토하였는가?</v>
          </cell>
        </row>
        <row r="216">
          <cell r="A216">
            <v>214</v>
          </cell>
          <cell r="B216" t="str">
            <v>차량기지</v>
          </cell>
          <cell r="C216" t="str">
            <v>옥외세척고 대기 동선 경합 배제 계획</v>
          </cell>
          <cell r="F216" t="str">
            <v>세척고 진입 선로와 주 입출고선의 직렬 경합 설계로, 심야 세척 대기 열차가 진입로를 막아 후속 열차들이 외부에 정차해야 하는 병목 리스크를 검토하였는가?</v>
          </cell>
        </row>
        <row r="217">
          <cell r="A217">
            <v>215</v>
          </cell>
          <cell r="B217" t="str">
            <v>차량기지</v>
          </cell>
          <cell r="C217" t="str">
            <v>옥외세척고 대기 동선 경합 배제 계획</v>
          </cell>
          <cell r="F217" t="str">
            <v>내청소선 인접 청소원 대기실/샤워실 및 청소 자재 창고 설치 필요 리스크를 검토하였는가?</v>
          </cell>
        </row>
        <row r="218">
          <cell r="A218">
            <v>216</v>
          </cell>
          <cell r="B218" t="str">
            <v>차량기지</v>
          </cell>
          <cell r="C218" t="str">
            <v>옥외세척고 대기 동선 경합 배제 계획</v>
          </cell>
          <cell r="F218" t="str">
            <v>일상선, 중정선선 청소원 현장 대기실 설치 필요 리스크를 검토하였는가?</v>
          </cell>
        </row>
        <row r="219">
          <cell r="A219">
            <v>217</v>
          </cell>
          <cell r="B219" t="str">
            <v>차량기지</v>
          </cell>
          <cell r="C219" t="str">
            <v>위험물 저장설비</v>
          </cell>
          <cell r="F219" t="str">
            <v>유류고 지하 설계 및 강제 배기·방폭 설비 누락으로 정전기·스파크에 의한 유증기 대형 폭발 사고가 유발될 리스크를 검토하였는가?</v>
          </cell>
        </row>
        <row r="220">
          <cell r="A220">
            <v>218</v>
          </cell>
          <cell r="B220" t="str">
            <v>차량기지</v>
          </cell>
          <cell r="C220" t="str">
            <v>유류고 및 위험물 보관소 계획</v>
          </cell>
          <cell r="F220" t="str">
            <v>유류고 지하·다층 설계 및 강제 환기시설 누락으로, 유류 누출 시 폐유 회수 불가 및 유증기 폭발이 발생할 대형 재난 리스크를 검토하였는가?</v>
          </cell>
        </row>
        <row r="221">
          <cell r="A221">
            <v>219</v>
          </cell>
          <cell r="B221" t="str">
            <v>차량기지</v>
          </cell>
          <cell r="C221" t="str">
            <v>유치선 기후대응 및 충전 계획</v>
          </cell>
          <cell r="F221" t="str">
            <v>캐노피 설계 누락으로 폭염 시 배터리 충전 효율 급감 및 폭설 시 선로 결빙에 따른 입출고가 지연될 리스크를 검토하였는가?</v>
          </cell>
        </row>
        <row r="222">
          <cell r="A222">
            <v>220</v>
          </cell>
          <cell r="B222" t="str">
            <v>차량기지</v>
          </cell>
          <cell r="C222" t="str">
            <v>자재창고 및 예비품 보관 계획</v>
          </cell>
          <cell r="F222" t="str">
            <v>자재창고와 작업장 간 통로 협소 및 단차 설계로 지게차 운행이 불가해져 수작업 운반 중 근골격계 질환 및 부품 낙하 사고가 발생할 리스크를 검토하였는가?</v>
          </cell>
        </row>
        <row r="223">
          <cell r="A223">
            <v>221</v>
          </cell>
          <cell r="B223" t="str">
            <v>차량기지</v>
          </cell>
          <cell r="C223" t="str">
            <v>자재창고 및 환경시설</v>
          </cell>
          <cell r="F223" t="str">
            <v>자재창고·검수고 간 원거리 동선으로 중량물 운반 사고가 우려되거나, 집하장 차수·배수 누락으로 악취 및 토양 오염 민원이 발생할 리스크를 검토하였는가?</v>
          </cell>
        </row>
        <row r="224">
          <cell r="A224">
            <v>222</v>
          </cell>
          <cell r="B224" t="str">
            <v>차량기지</v>
          </cell>
          <cell r="C224" t="str">
            <v>전기 및 소방설비</v>
          </cell>
          <cell r="F224" t="str">
            <v>큐비클 내 소공간 자동소화설비 누락으로 패널 발화 시 조기 진화 실패 및 차량기지 전체 전력 셧다운이 유발될 리스크를 검토하였는가?</v>
          </cell>
        </row>
        <row r="225">
          <cell r="A225">
            <v>223</v>
          </cell>
          <cell r="B225" t="str">
            <v>차량기지</v>
          </cell>
          <cell r="C225" t="str">
            <v>전기·신호·통신설비</v>
          </cell>
          <cell r="F225" t="str">
            <v>예비 공배관 및 횡단 관로 누락으로 케이블 추가 포설 시 궤도 및 포장면을 대대적으로 재굴착할 리스크를 검토하였는가?</v>
          </cell>
        </row>
        <row r="226">
          <cell r="A226">
            <v>224</v>
          </cell>
          <cell r="B226" t="str">
            <v>차량기지</v>
          </cell>
          <cell r="C226" t="str">
            <v>전기·신호·통신설비</v>
          </cell>
          <cell r="F226" t="str">
            <v>시운전선·유치선의 비상제동 시스템 및 연동 설계 누락으로 입환·시운전 중 차량 간 대형 추돌사고가 발생할 리스크를 검토하였는가?</v>
          </cell>
        </row>
        <row r="227">
          <cell r="A227">
            <v>225</v>
          </cell>
          <cell r="B227" t="str">
            <v>차량기지</v>
          </cell>
          <cell r="C227" t="str">
            <v>전력 및 보안설비</v>
          </cell>
          <cell r="F227" t="str">
            <v>옥외 충전설비 방수 대책 및 방호 펜스, CCTV 누락으로 강우 시 누전 및 외부인 접근 감전 사고가 유발될 리스크를 검토하였는가?</v>
          </cell>
        </row>
        <row r="228">
          <cell r="A228">
            <v>226</v>
          </cell>
          <cell r="B228" t="str">
            <v>차량기지</v>
          </cell>
          <cell r="C228" t="str">
            <v>전력 및 보안설비</v>
          </cell>
          <cell r="F228" t="str">
            <v>비상 예비전원(발전기, UPS) 용량 및 연동 설계 누락으로 정전 시 기지 전체 시스템 마비 및 대피 불능 사태가 발생할 리스크를 검토하였는가?</v>
          </cell>
        </row>
        <row r="229">
          <cell r="A229">
            <v>227</v>
          </cell>
          <cell r="B229" t="str">
            <v>차량기지</v>
          </cell>
          <cell r="C229" t="str">
            <v>전력 및 보안설비</v>
          </cell>
          <cell r="F229" t="str">
            <v>주요 제어반(MCC반 등) 패드 높이가 침수 한계 수위 미달로 설계되어 집중호우 시 설비 침수 및 차량기지 셧다운이 유발될 리스크를 검토하였는가?</v>
          </cell>
        </row>
        <row r="230">
          <cell r="A230">
            <v>228</v>
          </cell>
          <cell r="B230" t="str">
            <v>차량기지</v>
          </cell>
          <cell r="C230" t="str">
            <v>전삭고 및 차륜전삭선 계획</v>
          </cell>
          <cell r="F230" t="str">
            <v>차륜전삭선이 주 입환 동선과 중첩되거나 유효장 부족 설계로 인해 기지 내 전체 열차 입출고가 마비될 리스크를 검토하였는가?</v>
          </cell>
        </row>
        <row r="231">
          <cell r="A231">
            <v>229</v>
          </cell>
          <cell r="B231" t="str">
            <v>차량기지</v>
          </cell>
          <cell r="C231" t="str">
            <v>차량기지 급·배수 계획</v>
          </cell>
          <cell r="F231" t="str">
            <v>세척고 급수 배관 시상수 직결 및 중수도 재활용 설비 누락으로 막대한 수도 요금 및 수자원 낭비가 발생할 리스크를 검토하였는가?</v>
          </cell>
        </row>
        <row r="232">
          <cell r="A232">
            <v>230</v>
          </cell>
          <cell r="B232" t="str">
            <v>차량기지</v>
          </cell>
          <cell r="C232" t="str">
            <v>차량기지 급·배수 계획</v>
          </cell>
          <cell r="F232" t="str">
            <v>차량기지 작업실 내 현진그레인을 지브크레인 설치로 변경 리스크를 검토하였는가?</v>
          </cell>
        </row>
        <row r="233">
          <cell r="A233">
            <v>231</v>
          </cell>
          <cell r="B233" t="str">
            <v>차량기지</v>
          </cell>
          <cell r="C233" t="str">
            <v>차량기지 배선계획</v>
          </cell>
          <cell r="F233" t="str">
            <v>입환 및 작업자 동선이 무리하게 교차 설계되어, 작업자 교통사고 발생 및 검수 공정이 지연될 리스크를 검토하였는가?</v>
          </cell>
        </row>
        <row r="234">
          <cell r="A234">
            <v>232</v>
          </cell>
          <cell r="B234" t="str">
            <v>차량기지</v>
          </cell>
          <cell r="C234" t="str">
            <v>차량기지 배선계획</v>
          </cell>
          <cell r="F234" t="str">
            <v>세척 대기선 유효장 누락으로 대기열이 기지 입출고 본선을 막아 입고 지연 사태가 유발될 리스크를 검토하였는가?</v>
          </cell>
        </row>
        <row r="235">
          <cell r="A235">
            <v>233</v>
          </cell>
          <cell r="B235" t="str">
            <v>차량기지</v>
          </cell>
          <cell r="C235" t="str">
            <v>차량기지 배선계획</v>
          </cell>
          <cell r="F235" t="str">
            <v>개통 초기 기준의 협소한 부지 설계로 향후 트램 증편 시 유치선 신설 여유 공간이 없어 차량 증편이 불가능해질 리스크를 검토하였는가?</v>
          </cell>
        </row>
        <row r="236">
          <cell r="A236">
            <v>234</v>
          </cell>
          <cell r="B236" t="str">
            <v>차량기지</v>
          </cell>
          <cell r="C236" t="str">
            <v>차량기지 변전소 계획</v>
          </cell>
          <cell r="F236" t="str">
            <v>배관 개별 직매설 및 공동구 통로 협소 설계로 유지보수 시 기지 내 포장을 전면 굴착할 리스크를 검토하였는가?</v>
          </cell>
        </row>
        <row r="237">
          <cell r="A237">
            <v>235</v>
          </cell>
          <cell r="B237" t="str">
            <v>차량기지</v>
          </cell>
          <cell r="C237" t="str">
            <v>차량기지 변전소 계획</v>
          </cell>
          <cell r="F237" t="str">
            <v>체험시설과 위험 구역 간 물리적 차단 및 동선 분리 누락으로, 관람객이 차량 이동 경로에 무단 진입해 중대 인명사고가 발생할 리스크를 검토하였는가?</v>
          </cell>
        </row>
        <row r="238">
          <cell r="A238">
            <v>236</v>
          </cell>
          <cell r="B238" t="str">
            <v>차량기지</v>
          </cell>
          <cell r="C238" t="str">
            <v>차량기지 변전소 계획</v>
          </cell>
          <cell r="F238" t="str">
            <v>종합관리동이 사각지대에 설계되어, 관제사가 기지 내 열차 이동 및 이례상황을 육안으로 즉각 확인하지 못할 리스크를 검토하였는가?</v>
          </cell>
        </row>
        <row r="239">
          <cell r="A239">
            <v>237</v>
          </cell>
          <cell r="B239" t="str">
            <v>차량기지</v>
          </cell>
          <cell r="C239" t="str">
            <v>차량기지 변전소 계획</v>
          </cell>
          <cell r="F239" t="str">
            <v>변전소 동선 중첩 및 강제 환기 설비 용량 과소 설계로 한여름 장비 과열에 따른 전력 차단(블랙아웃) 리스크를 검토하였는가?</v>
          </cell>
        </row>
        <row r="240">
          <cell r="A240">
            <v>238</v>
          </cell>
          <cell r="B240" t="str">
            <v>차량기지</v>
          </cell>
          <cell r="C240" t="str">
            <v>차량기지 접지/피뢰계획</v>
          </cell>
          <cell r="F240" t="str">
            <v>지반 특성을 무시한 접지망 및 서지보호기(SPD) 용량 부족으로 뇌서지 시 핵심 전자장비가 파손될 리스크를 검토하였는가?</v>
          </cell>
        </row>
        <row r="241">
          <cell r="A241">
            <v>239</v>
          </cell>
          <cell r="B241" t="str">
            <v>차량기지</v>
          </cell>
          <cell r="C241" t="str">
            <v>통신 및 승강설비</v>
          </cell>
          <cell r="F241" t="str">
            <v>승강기 내부 CCTV 및 관제실 시스템 통신 연동 누락으로 고장 시 내부 상황 파악이 불가해질 리스크를 검토하였는가?</v>
          </cell>
        </row>
        <row r="242">
          <cell r="A242">
            <v>240</v>
          </cell>
          <cell r="B242" t="str">
            <v>차량기지</v>
          </cell>
          <cell r="C242" t="str">
            <v>폐기물 및 재활용품 보관소 계획</v>
          </cell>
          <cell r="F242" t="str">
            <v>보관소가 외부 수거 차량 접근 불가 위치나 우천 노출 개방형으로 설계되어 기지 내 환경 오염 및 반출 지연이 발생할 리스크를 검토하였는가?</v>
          </cell>
        </row>
        <row r="243">
          <cell r="A243">
            <v>241</v>
          </cell>
          <cell r="B243" t="str">
            <v>궤도</v>
          </cell>
          <cell r="C243" t="str">
            <v>PSD</v>
          </cell>
          <cell r="F243" t="str">
            <v>곡선 구간 승강장의 건축한계 확폭량이 궤도 선형(R값, 캔트)에 맞게 계산되었는가?</v>
          </cell>
        </row>
        <row r="244">
          <cell r="A244">
            <v>242</v>
          </cell>
          <cell r="B244" t="str">
            <v>궤도</v>
          </cell>
          <cell r="C244" t="str">
            <v>검수설비</v>
          </cell>
          <cell r="F244" t="str">
            <v>검수고 등 유지관리 시설의 작업대 위치가 '건축한계' 기준인지 '차량 외곽' 기준인지 지침을 확인했는가?</v>
          </cell>
        </row>
        <row r="245">
          <cell r="A245">
            <v>243</v>
          </cell>
          <cell r="B245" t="str">
            <v>궤도</v>
          </cell>
          <cell r="C245" t="str">
            <v>구조물공</v>
          </cell>
          <cell r="F245" t="str">
            <v>구조물 시공을 위한 가설재(거푸집, 동바리) 설치 공간이 시설한계를 침범하지 않는지 검토했는가?</v>
          </cell>
        </row>
        <row r="246">
          <cell r="A246">
            <v>244</v>
          </cell>
          <cell r="B246" t="str">
            <v>궤도</v>
          </cell>
          <cell r="C246" t="str">
            <v>승강장</v>
          </cell>
          <cell r="F246" t="str">
            <v>승강장 연단 설계 시 차량 동적 한계(Dynamic Envelope)와 시공 오차 여유폭이 고려되었는가?</v>
          </cell>
        </row>
        <row r="247">
          <cell r="A247">
            <v>245</v>
          </cell>
          <cell r="B247" t="str">
            <v>궤도</v>
          </cell>
          <cell r="C247" t="str">
            <v>검수고 궤도계획</v>
          </cell>
          <cell r="F247" t="str">
            <v>특수 검수장비 구간 레일 돌출 길이 설계 누락으로 장비 충돌 및 트램 정위치 진입이 불가해질 리스크를 검토하였는가?</v>
          </cell>
        </row>
        <row r="248">
          <cell r="A248">
            <v>246</v>
          </cell>
          <cell r="B248" t="str">
            <v>궤도</v>
          </cell>
          <cell r="C248" t="str">
            <v>검수고 궤도계획</v>
          </cell>
          <cell r="F248" t="str">
            <v>특수 궤도(PIT, H-Beam) 구간의 토목-궤도 간 시공 한계 불명확으로, 선행 구조물 오차 누적에 따른 궤도 조립 불가 리스크를 검토하였는가?</v>
          </cell>
        </row>
        <row r="249">
          <cell r="A249">
            <v>247</v>
          </cell>
          <cell r="B249" t="str">
            <v>궤도</v>
          </cell>
          <cell r="C249" t="str">
            <v>교량구간 궤도계획</v>
          </cell>
          <cell r="F249" t="str">
            <v>레일 신축이음매 및 접속부 수직강성 체감구조 누락으로 장대레일 축력 발생에 따른 좌굴 및 체결장치 파괴 리스크를 검토하였는가?</v>
          </cell>
        </row>
        <row r="250">
          <cell r="A250">
            <v>248</v>
          </cell>
          <cell r="B250" t="str">
            <v>궤도</v>
          </cell>
          <cell r="C250" t="str">
            <v>교량구간 궤도계획</v>
          </cell>
          <cell r="F250" t="str">
            <v>신축량 검토 및 레일 신축이음매 누락으로 교량단부 레일 좌굴·파단에 따른 심각한 탈선 사고 리스크를 검토하였는가?</v>
          </cell>
        </row>
        <row r="251">
          <cell r="A251">
            <v>249</v>
          </cell>
          <cell r="B251" t="str">
            <v>궤도</v>
          </cell>
          <cell r="C251" t="str">
            <v>교량구간 궤도계획</v>
          </cell>
          <cell r="F251" t="str">
            <v>최소 이격거리 기준 위배 설계로 교량 거동이 분기기 텅레일에 전달되어 선로 전환 장애 및 궤도 파손이 유발될 리스크를 검토하였는가?</v>
          </cell>
        </row>
        <row r="252">
          <cell r="A252">
            <v>250</v>
          </cell>
          <cell r="B252" t="str">
            <v>궤도</v>
          </cell>
          <cell r="C252" t="str">
            <v>교량구간 궤도계획</v>
          </cell>
          <cell r="F252" t="str">
            <v>교량 궤도 하부 방수시트 및 보호 콘크리트층(PCL) 설계 누락으로 수분이 침투해 구조물 열화 및 부식을 유발할 리스크를 검토하였는가?</v>
          </cell>
        </row>
        <row r="253">
          <cell r="A253">
            <v>251</v>
          </cell>
          <cell r="B253" t="str">
            <v>궤도</v>
          </cell>
          <cell r="C253" t="str">
            <v>교량구간 궤도계획</v>
          </cell>
          <cell r="F253" t="str">
            <v>아스팔트 철거 후 단차(60mm) 보정 및 방수 설계 누락으로, 슬래브·도상 간 우수 침투 및 지지력이 불균일해질 리스크를 검토하였는가?</v>
          </cell>
        </row>
        <row r="254">
          <cell r="A254">
            <v>252</v>
          </cell>
          <cell r="B254" t="str">
            <v>궤도</v>
          </cell>
          <cell r="C254" t="str">
            <v>교량구간 궤도계획</v>
          </cell>
          <cell r="F254" t="str">
            <v>교량 거동(처짐, 진동) 대응 구조 누락으로 개통 후 트러프와 레일 고정 수지 이격 및 누수가 발생할 리스크를 검토하였는가?</v>
          </cell>
        </row>
        <row r="255">
          <cell r="A255">
            <v>253</v>
          </cell>
          <cell r="B255" t="str">
            <v>궤도</v>
          </cell>
          <cell r="C255" t="str">
            <v>교량구간 궤도계획</v>
          </cell>
          <cell r="F255" t="str">
            <v>교량구간 우회공간 부족 리스크를 검토하였는가?</v>
          </cell>
        </row>
        <row r="256">
          <cell r="A256">
            <v>254</v>
          </cell>
          <cell r="B256" t="str">
            <v>궤도</v>
          </cell>
          <cell r="C256" t="str">
            <v>교차로 궤도계획</v>
          </cell>
          <cell r="F256" t="str">
            <v>플랜지웨이 폭 47mm 초과 설계 및 보호설비 누락으로 도로 이용자 바퀴 걸림 사고가 유발될 리스크를 검토하였는가?</v>
          </cell>
        </row>
        <row r="257">
          <cell r="A257">
            <v>255</v>
          </cell>
          <cell r="B257" t="str">
            <v>궤도</v>
          </cell>
          <cell r="C257" t="str">
            <v>교차로 궤도계획</v>
          </cell>
          <cell r="F257" t="str">
            <v>교차로 전체 현장타설(Cast-in-place) 설계로 장기간 도로 통제에 따른 극심한 교통 민원 및 공기 지연이 유발될 리스크를 검토하였는가?</v>
          </cell>
        </row>
        <row r="258">
          <cell r="A258">
            <v>256</v>
          </cell>
          <cell r="B258" t="str">
            <v>궤도</v>
          </cell>
          <cell r="C258" t="str">
            <v>교차로 궤도계획</v>
          </cell>
          <cell r="F258" t="str">
            <v>교차로 구간 현장타설 공법 적용에 따른 양생 기간 도로 통제로 극심한 교통 정체 및 대규모 민원이 유발될 리스크를 검토하였는가?</v>
          </cell>
        </row>
        <row r="259">
          <cell r="A259">
            <v>257</v>
          </cell>
          <cell r="B259" t="str">
            <v>궤도</v>
          </cell>
          <cell r="C259" t="str">
            <v>궤도 단면계획</v>
          </cell>
          <cell r="F259" t="str">
            <v>전기 절연 구조 및 누설전류 포집 대책 누락으로 인접 지중 관로(가스관, 상수관 등)에 심각한 부식(전식)이 발생할 대형 재난 리스크를 검토하였는가?</v>
          </cell>
        </row>
        <row r="260">
          <cell r="A260">
            <v>258</v>
          </cell>
          <cell r="B260" t="str">
            <v>궤도</v>
          </cell>
          <cell r="C260" t="str">
            <v>궤도 단면계획</v>
          </cell>
          <cell r="F260" t="str">
            <v>궤도 전기 절연재 및 전식방지 포집망 누락으로 도심 지하시설물(가스관, 상수도 등)이 부식되어 폭발·누수 사고가 발생할 리스크를 검토하였는가?</v>
          </cell>
        </row>
        <row r="261">
          <cell r="A261">
            <v>259</v>
          </cell>
          <cell r="B261" t="str">
            <v>궤도</v>
          </cell>
          <cell r="C261" t="str">
            <v>궤도 단면계획</v>
          </cell>
          <cell r="F261" t="str">
            <v>노면 포장층과 레일 단차(34mm 돌출) 기준 누락으로 타이어 파손 등 2차 안전사고가 유발될 리스크를 검토하였는가?</v>
          </cell>
        </row>
        <row r="262">
          <cell r="A262">
            <v>260</v>
          </cell>
          <cell r="B262" t="str">
            <v>궤도</v>
          </cell>
          <cell r="C262" t="str">
            <v>궤도 단면계획</v>
          </cell>
          <cell r="F262" t="str">
            <v>지지강성 급변 구간(토공-구조물)에 강성 체감구조 및 전단키 누락으로, 부등침하에 따른 궤도 꺾임 및 장대레일 좌굴이 발생할 리스크를 검토하였는가?</v>
          </cell>
        </row>
        <row r="263">
          <cell r="A263">
            <v>261</v>
          </cell>
          <cell r="B263" t="str">
            <v>궤도</v>
          </cell>
          <cell r="C263" t="str">
            <v>궤도 단면계획</v>
          </cell>
          <cell r="F263" t="str">
            <v>이종 구조물 접속부에 수직강성 체감 설계 및 전단키가 누락되어, 궤도 단차(부등침하) 발생 및 도상 콘크리트의 밀림 파괴가 유발될 리스크를 검토하였는가?</v>
          </cell>
        </row>
        <row r="264">
          <cell r="A264">
            <v>262</v>
          </cell>
          <cell r="B264" t="str">
            <v>궤도</v>
          </cell>
          <cell r="C264" t="str">
            <v>궤도 단면계획</v>
          </cell>
          <cell r="F264" t="str">
            <v>종단기울기를 무시한 무작위 콘크리트 타설 순서 설계로, 콘크리트가 흘러내려 재료 분리 및 도상 평탄도 불량이 발생할 리스크를 검토하였는가?</v>
          </cell>
        </row>
        <row r="265">
          <cell r="A265">
            <v>263</v>
          </cell>
          <cell r="B265" t="str">
            <v>궤도</v>
          </cell>
          <cell r="C265" t="str">
            <v>궤도 단면계획</v>
          </cell>
          <cell r="F265" t="str">
            <v>매립형 궤도에 일반 토목 슬럼프 기준을 적용해 다짐 불량(Honeycomb) 및 재료분리가 발생할 리스크를 검토하였는가?</v>
          </cell>
        </row>
        <row r="266">
          <cell r="A266">
            <v>264</v>
          </cell>
          <cell r="B266" t="str">
            <v>궤도</v>
          </cell>
          <cell r="C266" t="str">
            <v>궤도 단면계획</v>
          </cell>
          <cell r="F266" t="str">
            <v>하부 조인트와 궤도 시공이음 불일치 설계로 구조물 거동 시 궤도 도상에 무작위 균열(Crack)이 발생할 리스크를 검토하였는가?</v>
          </cell>
        </row>
        <row r="267">
          <cell r="A267">
            <v>265</v>
          </cell>
          <cell r="B267" t="str">
            <v>궤도</v>
          </cell>
          <cell r="C267" t="str">
            <v>궤도 단면계획</v>
          </cell>
          <cell r="F267" t="str">
            <v>윤연로 이물질 유입 방지 대책 및 배수/청소 계획 누락으로 이물질 고착에 의한 차륜 튐 현상 및 탈선 사고가 유발될 리스크를 검토하였는가?</v>
          </cell>
        </row>
        <row r="268">
          <cell r="A268">
            <v>266</v>
          </cell>
          <cell r="B268" t="str">
            <v>궤도</v>
          </cell>
          <cell r="C268" t="str">
            <v>궤도 단면계획</v>
          </cell>
          <cell r="F268" t="str">
            <v>궤도-토목 간 인터페이스 누락으로 최소 지반탄성계수(Ev2) 기준이 미반영되어 궤도 하부 지지강성 부족에 의한 궤도 처짐이 발생할 리스크를 검토하였는가?</v>
          </cell>
        </row>
        <row r="269">
          <cell r="A269">
            <v>267</v>
          </cell>
          <cell r="B269" t="str">
            <v>궤도</v>
          </cell>
          <cell r="C269" t="str">
            <v>궤도 단면계획</v>
          </cell>
          <cell r="F269" t="str">
            <v>기초·도상콘크리트 간 접합부 표면 거칠기 설계 누락으로, 트램 진동에 의한 층간 박리(Delamination) 현상이 유발될 리스크를 검토하였는가?</v>
          </cell>
        </row>
        <row r="270">
          <cell r="A270">
            <v>268</v>
          </cell>
          <cell r="B270" t="str">
            <v>궤도</v>
          </cell>
          <cell r="C270" t="str">
            <v>궤도 단면계획</v>
          </cell>
          <cell r="F270" t="str">
            <v>하부 타 철도 개착 공사와의 공정 연계 검토 누락으로 트램 궤도 시공 지연 및 하부 되메우기 불량에 따른 궤도 지지력이 상실될 리스크를 검토하였는가?</v>
          </cell>
        </row>
        <row r="271">
          <cell r="A271">
            <v>269</v>
          </cell>
          <cell r="B271" t="str">
            <v>궤도</v>
          </cell>
          <cell r="C271" t="str">
            <v>궤도 단면계획</v>
          </cell>
          <cell r="F271" t="str">
            <v>연약지반 지반개량 설계 누락 및 과소 산정으로 운영 중 하부 지반 붕괴 및 심각한 궤도 단차가 유발될 리스크를 검토하였는가?</v>
          </cell>
        </row>
        <row r="272">
          <cell r="A272">
            <v>270</v>
          </cell>
          <cell r="B272" t="str">
            <v>궤도</v>
          </cell>
          <cell r="C272" t="str">
            <v>궤도 단면계획</v>
          </cell>
          <cell r="F272" t="str">
            <v>횡단 관로 최소 매설 심도(0.6m 이상) 누락 및 기초콘크리트 간섭으로 관로 파손 및 궤도 부등침하가 유발될 리스크를 검토하였는가?</v>
          </cell>
        </row>
        <row r="273">
          <cell r="A273">
            <v>271</v>
          </cell>
          <cell r="B273" t="str">
            <v>궤도</v>
          </cell>
          <cell r="C273" t="str">
            <v>궤도 단면계획</v>
          </cell>
          <cell r="F273" t="str">
            <v>레일 고정방식이 콘크리트와 완전히 일체화 설계되어, 레일 교체 시 도상 전체를 부수고 재시공해야 하는 막대한 유지보수 및 비용 증가 리스크를 검토하였는가?</v>
          </cell>
        </row>
        <row r="274">
          <cell r="A274">
            <v>272</v>
          </cell>
          <cell r="B274" t="str">
            <v>궤도</v>
          </cell>
          <cell r="C274" t="str">
            <v>궤도 단면계획</v>
          </cell>
          <cell r="F274" t="str">
            <v>유지보수성을 간과한 레일·도상콘크리트 일체화 설계로, 레일 교체 시 노반 전체 파취에 막대한 시간과 비용이 소요될 리스크를 검토하였는가?</v>
          </cell>
        </row>
        <row r="275">
          <cell r="A275">
            <v>273</v>
          </cell>
          <cell r="B275" t="str">
            <v>궤도</v>
          </cell>
          <cell r="C275" t="str">
            <v>궤도 단면계획</v>
          </cell>
          <cell r="F275" t="str">
            <v>도로 점용 시 단계별 교통처리계획(MOT) 누락으로 극심한 교통 체증 민원 및 일반 차량 진입 사고가 유발될 리스크를 검토하였는가?</v>
          </cell>
        </row>
        <row r="276">
          <cell r="A276">
            <v>274</v>
          </cell>
          <cell r="B276" t="str">
            <v>궤도</v>
          </cell>
          <cell r="C276" t="str">
            <v>궤도 단면계획</v>
          </cell>
          <cell r="F276" t="str">
            <v>옥외 노출 환경을 간과한 완화된 최소 피복두께 적용으로 궤도 단면 높이가 과소 설계되어 구조적 안정성이 저하될 리스크를 검토하였는가?</v>
          </cell>
        </row>
        <row r="277">
          <cell r="A277">
            <v>275</v>
          </cell>
          <cell r="B277" t="str">
            <v>궤도</v>
          </cell>
          <cell r="C277" t="str">
            <v>궤도 단면계획</v>
          </cell>
          <cell r="F277" t="str">
            <v>지하차도 구간 표준 도상 두께 일괄 적용으로 시공 후 트램 상부 기기(판터그래프 등)가 천장과 간섭될 리스크를 검토하였는가?</v>
          </cell>
        </row>
        <row r="278">
          <cell r="A278">
            <v>276</v>
          </cell>
          <cell r="B278" t="str">
            <v>궤도</v>
          </cell>
          <cell r="C278" t="str">
            <v>궤도 단면계획</v>
          </cell>
          <cell r="F278" t="str">
            <v>제한된 형하고를 무시한 일반 도상 두께 적용으로 트램 지붕(팬터그래프 등)이 천장과 충돌 및 한계를 침범할 리스크를 검토하였는가?</v>
          </cell>
        </row>
        <row r="279">
          <cell r="A279">
            <v>277</v>
          </cell>
          <cell r="B279" t="str">
            <v>궤도</v>
          </cell>
          <cell r="C279" t="str">
            <v>궤도 단면계획</v>
          </cell>
          <cell r="F279" t="str">
            <v>정적/동적 침하량 최적화 해석 누락에 따른 강성 부조화로 레일 표면 파상마모가 발생해 극심한 진동·소음을 유발할 리스크를 검토하였는가?</v>
          </cell>
        </row>
        <row r="280">
          <cell r="A280">
            <v>278</v>
          </cell>
          <cell r="B280" t="str">
            <v>궤도</v>
          </cell>
          <cell r="C280" t="str">
            <v>궤도 단면계획</v>
          </cell>
          <cell r="F280" t="str">
            <v>레일 주변 완전밀폐 설계 누락 및 부적합 마감재 선정으로, 우수·오염물이 침투해 하부 구조물 동결융해 및 체결장치 부식이 조기 유발될 리스크를 검토하였는가?</v>
          </cell>
        </row>
        <row r="281">
          <cell r="A281">
            <v>279</v>
          </cell>
          <cell r="B281" t="str">
            <v>궤도</v>
          </cell>
          <cell r="C281" t="str">
            <v>궤도 단면계획</v>
          </cell>
          <cell r="F281" t="str">
            <v>야적장 및 운반 경로 설계 누락에 따른 도로변 자재 무단 방치 및 극심한 도심 교통 마비 리스크를 검토하였는가?</v>
          </cell>
        </row>
        <row r="282">
          <cell r="A282">
            <v>280</v>
          </cell>
          <cell r="B282" t="str">
            <v>궤도</v>
          </cell>
          <cell r="C282" t="str">
            <v>궤도 단면계획</v>
          </cell>
          <cell r="F282" t="str">
            <v>독과점 자재 특정 설계로 인한 조달 지연·특혜 시비 및 대형 궤도자재 운송계획 미비로 도심 교통 마비가 유발될 리스크를 검토하였는가?</v>
          </cell>
        </row>
        <row r="283">
          <cell r="A283">
            <v>281</v>
          </cell>
          <cell r="B283" t="str">
            <v>궤도</v>
          </cell>
          <cell r="C283" t="str">
            <v>궤도 단면계획</v>
          </cell>
          <cell r="F283" t="str">
            <v>매립형 궤도 특성이 반영된 유지관리 및 응급복구 매뉴얼 누락으로, 레일 손상 시 복구 지연에 따른 열차 운행 장기 중단 리스크를 검토하였는가?</v>
          </cell>
        </row>
        <row r="284">
          <cell r="A284">
            <v>282</v>
          </cell>
          <cell r="B284" t="str">
            <v>궤도</v>
          </cell>
          <cell r="C284" t="str">
            <v>궤도 단면계획</v>
          </cell>
          <cell r="F284" t="str">
            <v>매립형 레일 홈 발빠짐 방지재 설계 누락으로 교통약자 휠체어나 보행자 발이 끼어 전도되는 2차 인명사고가 유발될 리스크를 검토하였는가?</v>
          </cell>
        </row>
        <row r="285">
          <cell r="A285">
            <v>283</v>
          </cell>
          <cell r="B285" t="str">
            <v>궤도</v>
          </cell>
          <cell r="C285" t="str">
            <v>궤도 단면계획</v>
          </cell>
          <cell r="F285" t="str">
            <v>급곡선 저번수(F4 이하) 설계 및 임시분기기 누락으로 표정속도가 저하되고 이례상황 시 선로 전면 차단이 불가피해질 리스크를 검토하였는가?</v>
          </cell>
        </row>
        <row r="286">
          <cell r="A286">
            <v>284</v>
          </cell>
          <cell r="B286" t="str">
            <v>궤도</v>
          </cell>
          <cell r="C286" t="str">
            <v>궤도 단면계획</v>
          </cell>
          <cell r="F286" t="str">
            <v>궤도 형식 변경 구간의 접속부 체감구조 설계 누락으로, 강성 급변에 따른 레일 꺾임 및 체결장치 파손 리스크를 검토하였는가?</v>
          </cell>
        </row>
        <row r="287">
          <cell r="A287">
            <v>285</v>
          </cell>
          <cell r="B287" t="str">
            <v>궤도</v>
          </cell>
          <cell r="C287" t="str">
            <v>궤도 단면계획</v>
          </cell>
          <cell r="F287" t="str">
            <v>H교차점 구간에 일률적으로 1,435mm를 설계해, 크로싱 통과 시 기하학적 간섭으로 마찰 및 주행 불안정이 유발될 리스크를 검토하였는가?</v>
          </cell>
        </row>
        <row r="288">
          <cell r="A288">
            <v>286</v>
          </cell>
          <cell r="B288" t="str">
            <v>궤도</v>
          </cell>
          <cell r="C288" t="str">
            <v>궤도 단면계획</v>
          </cell>
          <cell r="F288" t="str">
            <v>궤도 고정방식 변경 구간의 이종 레일 접속 및 강성 체감 설계 누락으로, 트램 통과 시 충격 하중과 레일 파단이 유발될 리스크를 검토하였는가?</v>
          </cell>
        </row>
        <row r="289">
          <cell r="A289">
            <v>287</v>
          </cell>
          <cell r="B289" t="str">
            <v>궤도</v>
          </cell>
          <cell r="C289" t="str">
            <v>궤도 단면계획</v>
          </cell>
          <cell r="F289" t="str">
            <v>피해영향조사 결과 누락 및 방진 궤도 시스템 미반영으로 개통 후 심각한 소음·진동 민원이 발생할 리스크를 검토하였는가?</v>
          </cell>
        </row>
        <row r="290">
          <cell r="A290">
            <v>288</v>
          </cell>
          <cell r="B290" t="str">
            <v>궤도</v>
          </cell>
          <cell r="C290" t="str">
            <v>궤도 단면계획</v>
          </cell>
          <cell r="F290" t="str">
            <v>소음·진동 해석 및 방진 궤도 자재 과소 설계로 개통 후 극심한 환경 민원 및 운행 중지 가처분 소송이 유발될 리스크를 검토하였는가?</v>
          </cell>
        </row>
        <row r="291">
          <cell r="A291">
            <v>289</v>
          </cell>
          <cell r="B291" t="str">
            <v>궤도</v>
          </cell>
          <cell r="C291" t="str">
            <v>궤도 단면계획</v>
          </cell>
          <cell r="F291" t="str">
            <v>전용 부설·유지관리 장비의 사전 승인 및 인계 계획 누락으로, 개통 후 유지보수용 특수 장비가 부족해질 리스크를 검토하였는가?</v>
          </cell>
        </row>
        <row r="292">
          <cell r="A292">
            <v>290</v>
          </cell>
          <cell r="B292" t="str">
            <v>궤도</v>
          </cell>
          <cell r="C292" t="str">
            <v>궤도 단면계획</v>
          </cell>
          <cell r="F292" t="str">
            <v>특수 장비 규격 및 공사 후 처리 방안 누락으로 장비 부적합에 따른 공기 지연 및 잉여 장비 처리 분쟁이 발생할 리스크를 검토하였는가?</v>
          </cell>
        </row>
        <row r="293">
          <cell r="A293">
            <v>291</v>
          </cell>
          <cell r="B293" t="str">
            <v>궤도</v>
          </cell>
          <cell r="C293" t="str">
            <v>궤도 단면계획</v>
          </cell>
          <cell r="F293" t="str">
            <v>신규 궤도 자재의 구조평가 및 조립시험평가 기준 누락으로 미검증 자재가 도입되어 조기 파손 및 잦은 탈선이 발생할 리스크를 검토하였는가?</v>
          </cell>
        </row>
        <row r="294">
          <cell r="A294">
            <v>292</v>
          </cell>
          <cell r="B294" t="str">
            <v>궤도</v>
          </cell>
          <cell r="C294" t="str">
            <v>궤도 단면계획</v>
          </cell>
          <cell r="F294" t="str">
            <v>2D 도면 한계로 지장물·기초구조물 간 간섭이 누락되어 터파기 중 잦은 설계 변경이 발생할 리스크를 검토하였는가?</v>
          </cell>
        </row>
        <row r="295">
          <cell r="A295">
            <v>293</v>
          </cell>
          <cell r="B295" t="str">
            <v>궤도</v>
          </cell>
          <cell r="C295" t="str">
            <v>궤도 단면계획</v>
          </cell>
          <cell r="F295" t="str">
            <v>선형 보정이 불가한 매립형 궤도에 일반 궤도의 완화된 오차 기준을 준용하여, 개통 후 트램 주행성능 저하가 유발될 리스크를 검토하였는가?</v>
          </cell>
        </row>
        <row r="296">
          <cell r="A296">
            <v>294</v>
          </cell>
          <cell r="B296" t="str">
            <v>궤도</v>
          </cell>
          <cell r="C296" t="str">
            <v>궤도 단면계획</v>
          </cell>
          <cell r="F296" t="str">
            <v>혼용 곡선구간에 캔트를 부과해 자동차 쏠림 사고를 유발하거나, 미캔트 적용 시 제한속도 하향 검토 누락으로 트램 전복 위험이 발생할 리스크를 검토하였는가?</v>
          </cell>
        </row>
        <row r="297">
          <cell r="A297">
            <v>295</v>
          </cell>
          <cell r="B297" t="str">
            <v>궤도</v>
          </cell>
          <cell r="C297" t="str">
            <v>궤도 단면계획</v>
          </cell>
          <cell r="F297" t="str">
            <v>동절기 기후변화 대비 및 곡선 등 궤도 노면 및 레일 홈 내 적설 및 결빙으로 열차운행 지장 발생 리스크를 검토하였는가?</v>
          </cell>
        </row>
        <row r="298">
          <cell r="A298">
            <v>296</v>
          </cell>
          <cell r="B298" t="str">
            <v>궤도</v>
          </cell>
          <cell r="C298" t="str">
            <v>궤도 단면계획</v>
          </cell>
          <cell r="F298" t="str">
            <v>궤도선궤도 전동차 점검감시 장비 단선, 지반, 중정부 품질 등을 이유로 특수 지반 발생 리스크를 검토하였는가?</v>
          </cell>
        </row>
        <row r="299">
          <cell r="A299">
            <v>297</v>
          </cell>
          <cell r="B299" t="str">
            <v>궤도</v>
          </cell>
          <cell r="C299" t="str">
            <v>궤도 선형 및 종단계획</v>
          </cell>
          <cell r="F299" t="str">
            <v>정거장 및 분기기 구간에 종곡선 중첩 또는 40‰ 초과 기울기가 설계되어, 정차 시 차량 밀림 및 분기기 통과 중 탈선할 리스크를 검토하였는가?</v>
          </cell>
        </row>
        <row r="300">
          <cell r="A300">
            <v>298</v>
          </cell>
          <cell r="B300" t="str">
            <v>궤도</v>
          </cell>
          <cell r="C300" t="str">
            <v>궤도 선형 및 종단계획</v>
          </cell>
          <cell r="F300" t="str">
            <v>노선에서 간선망을 변환시 궤도 중심과 구조물 중심 불일치하여 구조물 중심 선형설계서 재검토 수행 리스크를 검토하였는가?</v>
          </cell>
        </row>
        <row r="301">
          <cell r="A301">
            <v>299</v>
          </cell>
          <cell r="B301" t="str">
            <v>궤도</v>
          </cell>
          <cell r="C301" t="str">
            <v>급곡선부 궤도 마감관리</v>
          </cell>
          <cell r="F301" t="str">
            <v>일반 직선구간 궤간 허용오차를 급곡선부 체크레일에 동일 적용해, 마이너스 오차 통제 불가로 탈선 위험이 커질 리스크를 검토하였는가?</v>
          </cell>
        </row>
        <row r="302">
          <cell r="A302">
            <v>300</v>
          </cell>
          <cell r="B302" t="str">
            <v>궤도</v>
          </cell>
          <cell r="C302" t="str">
            <v>급곡선부 궤도 마감관리</v>
          </cell>
          <cell r="F302" t="str">
            <v>곡선부 열처리레일(GHT) 누락 및 장대레일 용접 상세 방안 미흡으로 조기 편마모 및 이음매부 파손이 유발될 리스크를 검토하였는가?</v>
          </cell>
        </row>
        <row r="303">
          <cell r="A303">
            <v>301</v>
          </cell>
          <cell r="B303" t="str">
            <v>궤도</v>
          </cell>
          <cell r="C303" t="str">
            <v>급곡선부 궤도 마감관리</v>
          </cell>
          <cell r="F303" t="str">
            <v>곡선부 트러프 내공 단면의 협소한 설계로 탄성재 충진 공간이 부족해져 향후 레일 단독 철거 및 교체가 불가능해질 리스크를 검토하였는가?</v>
          </cell>
        </row>
        <row r="304">
          <cell r="A304">
            <v>302</v>
          </cell>
          <cell r="B304" t="str">
            <v>궤도</v>
          </cell>
          <cell r="C304" t="str">
            <v>급곡선부 궤도 마감관리</v>
          </cell>
          <cell r="F304" t="str">
            <v>곡선부 궤도 도상 폭의 협소한 설계로 법정 피복두께 미확보 및 트러프 내공 단면 축소에 따른 레일 정밀 설치가 불가해질 리스크를 검토하였는가?</v>
          </cell>
        </row>
        <row r="305">
          <cell r="A305">
            <v>303</v>
          </cell>
          <cell r="B305" t="str">
            <v>궤도</v>
          </cell>
          <cell r="C305" t="str">
            <v>기타</v>
          </cell>
          <cell r="F305" t="str">
            <v>지진으로 인한 선로변형 및 차량 탈선 리스크를 검토하였는가?</v>
          </cell>
        </row>
        <row r="306">
          <cell r="A306">
            <v>304</v>
          </cell>
          <cell r="B306" t="str">
            <v>궤도</v>
          </cell>
          <cell r="C306" t="str">
            <v>기타</v>
          </cell>
          <cell r="F306" t="str">
            <v>차륜 편마모 감소를 위한 전차대 또는 방향전환선(루프선 포함) 필요 리스크를 검토하였는가?</v>
          </cell>
        </row>
        <row r="307">
          <cell r="A307">
            <v>305</v>
          </cell>
          <cell r="B307" t="str">
            <v>궤도</v>
          </cell>
          <cell r="C307" t="str">
            <v>노반 및 기초계획</v>
          </cell>
          <cell r="F307" t="str">
            <v>노반 지지력 부족 및 품질 시험(평판재하시험 등) 기준 누락으로 운영 중 궤도의 지속적인 부등침하와 도상 균열이 유발될 리스크를 검토하였는가?</v>
          </cell>
        </row>
        <row r="308">
          <cell r="A308">
            <v>306</v>
          </cell>
          <cell r="B308" t="str">
            <v>궤도</v>
          </cell>
          <cell r="C308" t="str">
            <v>노반 및 기초계획</v>
          </cell>
          <cell r="F308" t="str">
            <v>지지력 시험 위치와 매설물 간 간섭 사전 검토 누락으로, 현장 터파기 중 주요 관로가 파손될 리스크를 검토하였는가?</v>
          </cell>
        </row>
        <row r="309">
          <cell r="A309">
            <v>307</v>
          </cell>
          <cell r="B309" t="str">
            <v>궤도</v>
          </cell>
          <cell r="C309" t="str">
            <v>도로 인터페이스 및 보행안전</v>
          </cell>
          <cell r="F309" t="str">
            <v>레일 홈(Groove) 발빠짐 방지 구조 설계 누락으로 개통 후 보행자 낙상 및 휠체어 전도 등 안전사고가 유발될 리스크를 검토하였는가?</v>
          </cell>
        </row>
        <row r="310">
          <cell r="A310">
            <v>308</v>
          </cell>
          <cell r="B310" t="str">
            <v>궤도</v>
          </cell>
          <cell r="C310" t="str">
            <v>도로복구 및 공간정보</v>
          </cell>
          <cell r="F310" t="str">
            <v>이음부 마감 상세설계 및 GIS 갱신 누락으로 도로 패임(Pot hole) 발생 및 향후 타 기관 굴착 시 트램 궤도를 훼손할 리스크를 검토하였는가?</v>
          </cell>
        </row>
        <row r="311">
          <cell r="A311">
            <v>309</v>
          </cell>
          <cell r="B311" t="str">
            <v>궤도</v>
          </cell>
          <cell r="C311" t="str">
            <v>도상 및 구조물 인터페이스</v>
          </cell>
          <cell r="F311" t="str">
            <v>종단구배 구간의 타설 방향(상기울기 방향) 및 레미콘 운반 시간을 고려한 적정 슬럼프 설계 누락으로, 콘크리트 흘러내림 및 재료분리가 발생할 리스크를 검토하였는가?</v>
          </cell>
        </row>
        <row r="312">
          <cell r="A312">
            <v>310</v>
          </cell>
          <cell r="B312" t="str">
            <v>궤도</v>
          </cell>
          <cell r="C312" t="str">
            <v>도상 및 구조물 인터페이스</v>
          </cell>
          <cell r="F312" t="str">
            <v>하부 신축이음과 궤도 시공이음 불일치 설계로 장기적인 온도 하중·진동 시 슬래브에 심각한 반사 균열(Reflection Crack)이 발생할 리스크를 검토하였는가?</v>
          </cell>
        </row>
        <row r="313">
          <cell r="A313">
            <v>311</v>
          </cell>
          <cell r="B313" t="str">
            <v>궤도</v>
          </cell>
          <cell r="C313" t="str">
            <v>도상 및 구조물 인터페이스</v>
          </cell>
          <cell r="F313" t="str">
            <v>좁은 도상 폭원 설계 및 최소 피복두께 기준 누락으로 철근 외부 노출 및 우수 유입에 의한 조기 부식 리스크를 검토하였는가?</v>
          </cell>
        </row>
        <row r="314">
          <cell r="A314">
            <v>312</v>
          </cell>
          <cell r="B314" t="str">
            <v>궤도</v>
          </cell>
          <cell r="C314" t="str">
            <v>도상 및 구조물 인터페이스</v>
          </cell>
          <cell r="F314" t="str">
            <v>전용 정밀 마감기준(오차한계) 누락 및 일반 기준 준용으로 시공 후 노면 요철·궤간 불량 시 재시공 강제 기준이 부재할 리스크를 검토하였는가?</v>
          </cell>
        </row>
        <row r="315">
          <cell r="A315">
            <v>313</v>
          </cell>
          <cell r="B315" t="str">
            <v>궤도</v>
          </cell>
          <cell r="C315" t="str">
            <v>매립형 궤도 윤연로(Flangeway) 방재 계획</v>
          </cell>
          <cell r="F315" t="str">
            <v>윤연로(홈) 이물질 퇴적 대비 상시 청소 대책 및 장비 운용 계획 누락으로 궤도 홈 막힘에 따른 트램 탈선이 발생할 리스크를 검토하였는가?</v>
          </cell>
        </row>
        <row r="316">
          <cell r="A316">
            <v>314</v>
          </cell>
          <cell r="B316" t="str">
            <v>궤도</v>
          </cell>
          <cell r="C316" t="str">
            <v>매립형 궤도 윤연로(Flangeway) 방재 계획</v>
          </cell>
          <cell r="F316" t="str">
            <v>하절기 고온 가열로 궤도 변형에 의한 차량 탈선 리스크를 검토하였는가?</v>
          </cell>
        </row>
        <row r="317">
          <cell r="A317">
            <v>315</v>
          </cell>
          <cell r="B317" t="str">
            <v>궤도</v>
          </cell>
          <cell r="C317" t="str">
            <v>본선 궤도 노면수 배수 계획</v>
          </cell>
          <cell r="F317" t="str">
            <v>완전밀폐 마감 및 선로 중앙배수구 설계 누락으로, 호우 시 궤도 침수에 따른 콘크리트 지지력 훼손 및 신호 장애가 유발될 리스크를 검토하였는가?</v>
          </cell>
        </row>
        <row r="318">
          <cell r="A318">
            <v>316</v>
          </cell>
          <cell r="B318" t="str">
            <v>궤도</v>
          </cell>
          <cell r="C318" t="str">
            <v>본선 궤도 노면수 배수 계획</v>
          </cell>
          <cell r="F318" t="str">
            <v>폭설이 레일 홈 내 이물질 누적으로 인한 동절기 결빙 및 또는 배수폐색 등으로 배수기능 상실 리스크를 검토하였는가?</v>
          </cell>
        </row>
        <row r="319">
          <cell r="A319">
            <v>317</v>
          </cell>
          <cell r="B319" t="str">
            <v>궤도</v>
          </cell>
          <cell r="C319" t="str">
            <v>분기기 및 방재계획</v>
          </cell>
          <cell r="F319" t="str">
            <v>어스박스 및 배수관로 설계 누락·단면적 부족으로, 호우 시 선로전환기 침수 및 분기기 전환 장애가 발생할 리스크를 검토하였는가?</v>
          </cell>
        </row>
        <row r="320">
          <cell r="A320">
            <v>318</v>
          </cell>
          <cell r="B320" t="str">
            <v>궤도</v>
          </cell>
          <cell r="C320" t="str">
            <v>분기기 및 방재계획</v>
          </cell>
          <cell r="F320" t="str">
            <v>급곡선부 일반 레일 적용에 따른 횡저항력 부족으로 트램이 탈선할 리스크를 검토하였는가?</v>
          </cell>
        </row>
        <row r="321">
          <cell r="A321">
            <v>319</v>
          </cell>
          <cell r="B321" t="str">
            <v>궤도</v>
          </cell>
          <cell r="C321" t="str">
            <v>분기기 및 방재계획</v>
          </cell>
          <cell r="F321" t="str">
            <v>본선·분기기 지지강성 차이 미고려 및 체감구조 누락으로, 강성 급변 시 충격 하중에 의한 궤도 파괴 및 승차감이 불량해질 리스크를 검토하였는가?</v>
          </cell>
        </row>
        <row r="322">
          <cell r="A322">
            <v>320</v>
          </cell>
          <cell r="B322" t="str">
            <v>궤도</v>
          </cell>
          <cell r="C322" t="str">
            <v>분기기 및 방재계획</v>
          </cell>
          <cell r="F322" t="str">
            <v>본선·분기기 지지강성 차이 미고려로, 충격 하중에 의해 분기기 주변 궤도 조기 파손 및 부등침하가 유발될 리스크를 검토하였는가?</v>
          </cell>
        </row>
        <row r="323">
          <cell r="A323">
            <v>321</v>
          </cell>
          <cell r="B323" t="str">
            <v>궤도</v>
          </cell>
          <cell r="C323" t="str">
            <v>분기기 및 방재계획</v>
          </cell>
          <cell r="F323" t="str">
            <v>부속품 간섭 배제용 강재거푸집 상세도 및 야적장 가조립 계획 누락으로, 현장 조립 오차에 따른 궤도 파취 및 재시공이 발생할 리스크를 검토하였는가?</v>
          </cell>
        </row>
        <row r="324">
          <cell r="A324">
            <v>322</v>
          </cell>
          <cell r="B324" t="str">
            <v>궤도</v>
          </cell>
          <cell r="C324" t="str">
            <v>분기기 및 방재계획</v>
          </cell>
          <cell r="F324" t="str">
            <v>배수시설 용량 과소 설계로 집중호우 시 선로·분기기 제어반이 침수되어 트램 운행이 중단될 리스크를 검토하였는가?</v>
          </cell>
        </row>
        <row r="325">
          <cell r="A325">
            <v>323</v>
          </cell>
          <cell r="B325" t="str">
            <v>궤도</v>
          </cell>
          <cell r="C325" t="str">
            <v>분기기 및 방재계획</v>
          </cell>
          <cell r="F325" t="str">
            <v>분기기 히팅장치 설치 공종(궤도-신호) 간 인터페이스 불분명으로 부품 누락 및 전원 미결선이 발생해 융설 설비가 작동안할 리스크를 검토하였는가?</v>
          </cell>
        </row>
        <row r="326">
          <cell r="A326">
            <v>324</v>
          </cell>
          <cell r="B326" t="str">
            <v>궤도</v>
          </cell>
          <cell r="C326" t="str">
            <v>분기기 및 방재계획</v>
          </cell>
          <cell r="F326" t="str">
            <v>융설설비(히팅 디바이스) 및 자동 온도 제어 연동 설계 누락으로 결빙 시 선로 전환 장애 및 탈선 사고가 유발될 리스크를 검토하였는가?</v>
          </cell>
        </row>
        <row r="327">
          <cell r="A327">
            <v>325</v>
          </cell>
          <cell r="B327" t="str">
            <v>궤도</v>
          </cell>
          <cell r="C327" t="str">
            <v>분기기 및 방재계획</v>
          </cell>
          <cell r="F327" t="str">
            <v>일반 타이플레이트 개별 고정 등 시공이 난해한 구조 설계로 현장 조립 장시간 소요 및 타설 중 궤간이 틀어질 리스크를 검토하였는가?</v>
          </cell>
        </row>
        <row r="328">
          <cell r="A328">
            <v>326</v>
          </cell>
          <cell r="B328" t="str">
            <v>궤도</v>
          </cell>
          <cell r="C328" t="str">
            <v>선형 및 배선계획</v>
          </cell>
          <cell r="F328" t="str">
            <v>본선에 저번수(F4 등) 분기기를 혼용 설계해 열차 통과 시 승차감 저하 및 유지보수 예비품(선로전환기, 텅레일 등) 관리가 이원화될 리스크를 검토하였는가?</v>
          </cell>
        </row>
        <row r="329">
          <cell r="A329">
            <v>327</v>
          </cell>
          <cell r="B329" t="str">
            <v>궤도</v>
          </cell>
          <cell r="C329" t="str">
            <v>선형 및 배선계획</v>
          </cell>
          <cell r="F329" t="str">
            <v>정거장·분기기 구간 종곡선 설계로 유모차/휠체어 미끄러짐 사고 및 분기기 전환 불량·고장이 유발될 리스크를 검토하였는가?</v>
          </cell>
        </row>
        <row r="330">
          <cell r="A330">
            <v>328</v>
          </cell>
          <cell r="B330" t="str">
            <v>궤도</v>
          </cell>
          <cell r="C330" t="str">
            <v>선형 및 자재계획</v>
          </cell>
          <cell r="F330" t="str">
            <v>레일 사전 벤딩 공정 및 전용 작업 공간 확보 계획 누락으로 무리한 현장 휨 시공 시 궤도 선형이 심각하게 틀어질 리스크를 검토하였는가?</v>
          </cell>
        </row>
        <row r="331">
          <cell r="A331">
            <v>329</v>
          </cell>
          <cell r="B331" t="str">
            <v>궤도</v>
          </cell>
          <cell r="C331" t="str">
            <v>선형 및 정거장 궤도계획</v>
          </cell>
          <cell r="F331" t="str">
            <v>횡단보도 이격거리(7m 이상) 누락으로 경사로 공간이 부족해져 BF(Barrier Free) 인증을 통과하지 못할 리스크를 검토하였는가?</v>
          </cell>
        </row>
        <row r="332">
          <cell r="A332">
            <v>330</v>
          </cell>
          <cell r="B332" t="str">
            <v>궤도</v>
          </cell>
          <cell r="C332" t="str">
            <v>선형 및 정거장 궤도계획</v>
          </cell>
          <cell r="F332" t="str">
            <v>곡선 선형 배치 및 차량한계 검토 누락으로 승강장 간격(50mm)을 초과해 승객 발빠짐 및 구조물 충돌이 유발될 리스크를 검토하였는가?</v>
          </cell>
        </row>
        <row r="333">
          <cell r="A333">
            <v>331</v>
          </cell>
          <cell r="B333" t="str">
            <v>궤도</v>
          </cell>
          <cell r="C333" t="str">
            <v>선형계획 및 도로 인터페이스</v>
          </cell>
          <cell r="F333" t="str">
            <v>구배를 천분율(‰)로 표기해 도로 설계와 혼선이 발생하거나, 선형 경합구간 설계로 트램 탈선 위험이 가중될 리스크를 검토하였는가?</v>
          </cell>
        </row>
        <row r="334">
          <cell r="A334">
            <v>332</v>
          </cell>
          <cell r="B334" t="str">
            <v>궤도</v>
          </cell>
          <cell r="C334" t="str">
            <v>신호설비 인터페이스</v>
          </cell>
          <cell r="F334" t="str">
            <v>차축검지기 장착용 레일 측면 절단 및 도상 매립 공간 설계 누락으로 콘크리트 타설 후 신호 장비 설치가 불가능해질 리스크를 검토하였는가?</v>
          </cell>
        </row>
        <row r="335">
          <cell r="A335">
            <v>333</v>
          </cell>
          <cell r="B335" t="str">
            <v>궤도</v>
          </cell>
          <cell r="C335" t="str">
            <v>신호설비 인터페이스</v>
          </cell>
          <cell r="F335" t="str">
            <v>차축검지기용 레일 측면 절단 및 공간 설계 누락으로 콘크리트 타설 후 신호설비 설치가 불가해 도상을 재파취할 리스크를 검토하였는가?</v>
          </cell>
        </row>
        <row r="336">
          <cell r="A336">
            <v>334</v>
          </cell>
          <cell r="B336" t="str">
            <v>궤도</v>
          </cell>
          <cell r="C336" t="str">
            <v>신호설비 인터페이스</v>
          </cell>
          <cell r="F336" t="str">
            <v>신호 태그(Tag) 설치 공간 확보 설계 누락으로, 양생 후 신호 설비 설치를 위해 도상을 코어링(파취)해야 할 리스크를 검토하였는가?</v>
          </cell>
        </row>
        <row r="337">
          <cell r="A337">
            <v>335</v>
          </cell>
          <cell r="B337" t="str">
            <v>궤도</v>
          </cell>
          <cell r="C337" t="str">
            <v>안전 및 부대시설</v>
          </cell>
          <cell r="F337" t="str">
            <v>진입 조건을 무시한 차막이 선정 및 완충 여유거리 누락으로 과주 제동 실패 시 트램이 구조물이나 도로로 돌진할 리스크를 검토하였는가?</v>
          </cell>
        </row>
        <row r="338">
          <cell r="A338">
            <v>336</v>
          </cell>
          <cell r="B338" t="str">
            <v>궤도</v>
          </cell>
          <cell r="C338" t="str">
            <v>유지보수 및 비상대응 계획</v>
          </cell>
          <cell r="F338" t="str">
            <v>선로 보수 시 단선 운행용 임시분기기 설계 누락으로 궤도 침하 등 장애 발생 시 해당 구간 트램 영업 운행이 장기간 마비될 리스크를 검토하였는가?</v>
          </cell>
        </row>
        <row r="339">
          <cell r="A339">
            <v>337</v>
          </cell>
          <cell r="B339" t="str">
            <v>궤도</v>
          </cell>
          <cell r="C339" t="str">
            <v>유지보수 및 장비계획</v>
          </cell>
          <cell r="F339" t="str">
            <v>유지보수 장비 규격 협의 및 지침서 작성 과업 누락으로 궤도 홈 청소 및 레일 마모 정비가 원활히 수행되지 못할 리스크를 검토하였는가?</v>
          </cell>
        </row>
        <row r="340">
          <cell r="A340">
            <v>338</v>
          </cell>
          <cell r="B340" t="str">
            <v>궤도</v>
          </cell>
          <cell r="C340" t="str">
            <v>장대레일 및 선형계획</v>
          </cell>
          <cell r="F340" t="str">
            <v>급곡선 구간 일반레일 적용에 따른 조기 편마모 및 열처리레일 용접 시방 기준(예열/냉각) 누락으로 용접부가 파단될 리스크를 검토하였는가?</v>
          </cell>
        </row>
        <row r="341">
          <cell r="A341">
            <v>339</v>
          </cell>
          <cell r="B341" t="str">
            <v>궤도</v>
          </cell>
          <cell r="C341" t="str">
            <v>장대레일 및 선형계획</v>
          </cell>
          <cell r="F341" t="str">
            <v>차륜 기울기(예: 1:6)와 레일 두부 기울기(예: 1:40) 상이 설계로 접촉면적이 축소돼 주행 불안정 및 레일 조기 마모가 발생할 리스크를 검토하였는가?</v>
          </cell>
        </row>
        <row r="342">
          <cell r="A342">
            <v>340</v>
          </cell>
          <cell r="B342" t="str">
            <v>궤도</v>
          </cell>
          <cell r="C342" t="str">
            <v>장대레일 및 선형계획</v>
          </cell>
          <cell r="F342" t="str">
            <v>용접부 직진도(Peak/Dip) 및 평면성 기준 누락으로 시공 후 용접 단차에 의한 극심한 충격·소음이 발생할 리스크를 검토하였는가?</v>
          </cell>
        </row>
        <row r="343">
          <cell r="A343">
            <v>341</v>
          </cell>
          <cell r="B343" t="str">
            <v>궤도</v>
          </cell>
          <cell r="C343" t="str">
            <v>차량기지 선형계획</v>
          </cell>
          <cell r="F343" t="str">
            <v>TPS 결과 미반영 및 시험선 길이 과소 설계로 트램 최고 속도 주행 시험 및 제동 성능 검증이 불가능해질 리스크를 검토하였는가?</v>
          </cell>
        </row>
        <row r="344">
          <cell r="A344">
            <v>342</v>
          </cell>
          <cell r="B344" t="str">
            <v>토목구조</v>
          </cell>
          <cell r="C344" t="str">
            <v>Lateral Guide
(거더이탈)</v>
          </cell>
          <cell r="F344" t="str">
            <v>ILM 압출 단계별 Lateral Guide와 Bracket의 접촉 여부를 시뮬레이션했는가?□ 최대 지지 경간을 고려한 전단 검토가 수행되었는가?</v>
          </cell>
        </row>
        <row r="345">
          <cell r="A345">
            <v>343</v>
          </cell>
          <cell r="B345" t="str">
            <v>토목구조</v>
          </cell>
          <cell r="C345" t="str">
            <v>가설공사</v>
          </cell>
          <cell r="F345" t="str">
            <v>낙하물 방지망 재질이 단순 그물망인지, 합판/강판을 포함한 방호선반인지 확인했는가?</v>
          </cell>
        </row>
        <row r="346">
          <cell r="A346">
            <v>344</v>
          </cell>
          <cell r="B346" t="str">
            <v>토목구조</v>
          </cell>
          <cell r="C346" t="str">
            <v>가설공사</v>
          </cell>
          <cell r="F346" t="str">
            <v>기존 도로 횡단 구간에 낙하물 방지망 또는 방호선반이 반영되었는가?</v>
          </cell>
        </row>
        <row r="347">
          <cell r="A347">
            <v>345</v>
          </cell>
          <cell r="B347" t="str">
            <v>토목구조</v>
          </cell>
          <cell r="C347" t="str">
            <v>가설방음벽</v>
          </cell>
          <cell r="F347" t="str">
            <v>인근 정온 시설(학교, 아파트)의 높이(Level)를 고려하여 방음벽 높이가 산정되었는가?
조망권 침해 우려 구간은 투명 방음판이 반영되었는가?</v>
          </cell>
        </row>
        <row r="348">
          <cell r="A348">
            <v>346</v>
          </cell>
          <cell r="B348" t="str">
            <v>토목구조</v>
          </cell>
          <cell r="C348" t="str">
            <v>가설방음벽</v>
          </cell>
          <cell r="F348" t="str">
            <v>소음 기준치가 엄격한 정온 시설(병원, 도서관)과의 이격 거리를 확인했는가?</v>
          </cell>
        </row>
        <row r="349">
          <cell r="A349">
            <v>347</v>
          </cell>
          <cell r="B349" t="str">
            <v>토목구조</v>
          </cell>
          <cell r="C349" t="str">
            <v>가설방음판</v>
          </cell>
          <cell r="F349" t="str">
            <v>암파쇄 방호시설 설계 시 소음 차단을 위한 상부 방음판/방진막이 포함되었는가?</v>
          </cell>
        </row>
        <row r="350">
          <cell r="A350">
            <v>348</v>
          </cell>
          <cell r="B350" t="str">
            <v>토목구조</v>
          </cell>
          <cell r="C350" t="str">
            <v>가설벤트(붕괴방지)</v>
          </cell>
          <cell r="F350" t="str">
            <v>특수 교각(Y형, V형) 시공 시 상부 하중을 지지할 가설 벤트가 내역에 있는가?□ 벤트 기초의 지지력 검토가 수행되었는가?</v>
          </cell>
        </row>
        <row r="351">
          <cell r="A351">
            <v>349</v>
          </cell>
          <cell r="B351" t="str">
            <v>토목구조</v>
          </cell>
          <cell r="C351" t="str">
            <v>가설벤트(지하차도)</v>
          </cell>
          <cell r="F351" t="str">
            <v>하부 도로/구조물이 상부 시공 하중(크레인+거더)을 견딜 수 있는가?□ 벤트 위치가 하부 교통 흐름이나 구조물과 간섭되지 않는가?</v>
          </cell>
        </row>
        <row r="352">
          <cell r="A352">
            <v>350</v>
          </cell>
          <cell r="B352" t="str">
            <v>토목구조</v>
          </cell>
          <cell r="C352" t="str">
            <v>교량공사</v>
          </cell>
          <cell r="F352" t="str">
            <v>교량 하부에 통행로가 있는 경우 낙하물 방지 시설이 내역에 포함되었는가?</v>
          </cell>
        </row>
        <row r="353">
          <cell r="A353">
            <v>351</v>
          </cell>
          <cell r="B353" t="str">
            <v>토목구조</v>
          </cell>
          <cell r="C353" t="str">
            <v>교량공사</v>
          </cell>
          <cell r="F353" t="str">
            <v>철도/도로 횡단 구간 작업 시 낙하물을 완벽히 차단할 수 있는 바닥판(Deck) 계획이 있는가?</v>
          </cell>
        </row>
        <row r="354">
          <cell r="A354">
            <v>352</v>
          </cell>
          <cell r="B354" t="str">
            <v>토목구조</v>
          </cell>
          <cell r="C354" t="str">
            <v>교량안전시설</v>
          </cell>
          <cell r="F354" t="str">
            <v>교량 하부에 통행로가 있는 경우 낙하물 방지 시설이 내역에 포함되었는가?</v>
          </cell>
        </row>
        <row r="355">
          <cell r="A355">
            <v>353</v>
          </cell>
          <cell r="B355" t="str">
            <v>토목구조</v>
          </cell>
          <cell r="C355" t="str">
            <v>낙하물방지시설</v>
          </cell>
          <cell r="F355" t="str">
            <v>도로/철도 횡단 구간의 낙하물 방지 시설이 '그물망'이 아닌 '방호 선반(강판/합판)'으로 설계되었는가?</v>
          </cell>
        </row>
        <row r="356">
          <cell r="A356">
            <v>354</v>
          </cell>
          <cell r="B356" t="str">
            <v>토목구조</v>
          </cell>
          <cell r="C356" t="str">
            <v>동바리(시스템)</v>
          </cell>
          <cell r="F356" t="str">
            <v>동바리 높이가 10m를 초과하는 구간에 대해 시스템 동바리가 적용되었는가?□ 좌굴 안정성 검토가 수행되었는가?</v>
          </cell>
        </row>
        <row r="357">
          <cell r="A357">
            <v>355</v>
          </cell>
          <cell r="B357" t="str">
            <v>토목구조</v>
          </cell>
          <cell r="C357" t="str">
            <v>방음벽(설계변경)</v>
          </cell>
          <cell r="F357" t="str">
            <v>학교/병원 인근 방음벽은 장래 교통량 증가를 고려한 소음 예측 시뮬레이션을 수행했는가?</v>
          </cell>
        </row>
        <row r="358">
          <cell r="A358">
            <v>356</v>
          </cell>
          <cell r="B358" t="str">
            <v>토목구조</v>
          </cell>
          <cell r="C358" t="str">
            <v>방음벽기초</v>
          </cell>
          <cell r="F358" t="str">
            <v>방음벽 기초를 PC(Precast)화하여 현장 타설 물량을 줄일 수 있는가?</v>
          </cell>
        </row>
        <row r="359">
          <cell r="A359">
            <v>357</v>
          </cell>
          <cell r="B359" t="str">
            <v>토목구조</v>
          </cell>
          <cell r="C359" t="str">
            <v>방음벽접지</v>
          </cell>
          <cell r="F359" t="str">
            <v>철도 인근 방음벽의 접지 간격이 관련 규정(250m 이내)을 준수하는가?</v>
          </cell>
        </row>
        <row r="360">
          <cell r="A360">
            <v>358</v>
          </cell>
          <cell r="B360" t="str">
            <v>토목구조</v>
          </cell>
          <cell r="C360" t="str">
            <v>본선교량</v>
          </cell>
          <cell r="F360" t="str">
            <v>교량/구조물 단부에 낙하물 방지를 위한 마감판(End Plate)이 반영되었는가?</v>
          </cell>
        </row>
        <row r="361">
          <cell r="A361">
            <v>359</v>
          </cell>
          <cell r="B361" t="str">
            <v>토목구조</v>
          </cell>
          <cell r="C361" t="str">
            <v>시스템동바리</v>
          </cell>
          <cell r="F361" t="str">
            <v>동바리가 설치될 하부 바닥(또는 구조물)이 상부 타설 하중을 견딜 수 있는가?</v>
          </cell>
        </row>
        <row r="362">
          <cell r="A362">
            <v>360</v>
          </cell>
          <cell r="B362" t="str">
            <v>토목구조</v>
          </cell>
          <cell r="C362" t="str">
            <v>영구방음벽</v>
          </cell>
          <cell r="F362" t="str">
            <v>방음벽 형식(흡음/투명/혼합) 선정 시 주민 선호도와 환경영향평가 조건이 일치하는가?</v>
          </cell>
        </row>
        <row r="363">
          <cell r="A363">
            <v>361</v>
          </cell>
          <cell r="B363" t="str">
            <v>토목구조</v>
          </cell>
          <cell r="C363" t="str">
            <v>전차선</v>
          </cell>
          <cell r="F363" t="str">
            <v>전차선 상부 횡단 구조물에 낙하물 방지망 및 절연 보호 설비가 반영되었는가?</v>
          </cell>
        </row>
        <row r="364">
          <cell r="A364">
            <v>362</v>
          </cell>
          <cell r="B364" t="str">
            <v>토목구조</v>
          </cell>
          <cell r="C364" t="str">
            <v>전차선로방호설비</v>
          </cell>
          <cell r="F364" t="str">
            <v>과선교 하부 전차선 보호망 및 절연 이격 확보 방안이 설계에 반영되었는가?</v>
          </cell>
        </row>
        <row r="365">
          <cell r="A365">
            <v>363</v>
          </cell>
          <cell r="B365" t="str">
            <v>토목구조</v>
          </cell>
          <cell r="C365" t="str">
            <v>지장물 파손</v>
          </cell>
          <cell r="F365" t="str">
            <v>방음벽 기초 라인 하부의 통신/전력 케이블 매설 여부를 GPR 등으로 탐사했는가?</v>
          </cell>
        </row>
        <row r="366">
          <cell r="A366">
            <v>364</v>
          </cell>
          <cell r="B366" t="str">
            <v>토목구조</v>
          </cell>
          <cell r="C366" t="str">
            <v>출입시설</v>
          </cell>
          <cell r="F366" t="str">
            <v>방음벽 연장이 긴 경우 유지관리 및 비상 대피를 위한 출입문(Door)이 반영되었는가?</v>
          </cell>
        </row>
        <row r="367">
          <cell r="A367">
            <v>365</v>
          </cell>
          <cell r="B367" t="str">
            <v>토목구조</v>
          </cell>
          <cell r="C367" t="str">
            <v>가시설 굴착 안전 계획</v>
          </cell>
          <cell r="F367" t="str">
            <v>1.5m 초과 구간 흙막이 지보공 설계 누락으로, 굴착면 붕괴에 따른 작업자 매몰 및 주변 지장물 파손이 유발될 리스크를 검토하였는가?</v>
          </cell>
        </row>
        <row r="368">
          <cell r="A368">
            <v>366</v>
          </cell>
          <cell r="B368" t="str">
            <v>토목구조</v>
          </cell>
          <cell r="C368" t="str">
            <v>가시설 굴착 안전 계획</v>
          </cell>
          <cell r="F368" t="str">
            <v>당초 Con'c 포장구간에 신설관로 매설시 도로횡방향으로 굴착되어 있으나, 지장물 및 관로 신설유지를 위해 도로종방향으로 굴착이 불가능해 도로 외측부 신설관로 매설함에 따라 Con'c 포장 복구 거푸집 설치가 추가된 사례 리스크를 검토하였는가?</v>
          </cell>
        </row>
        <row r="369">
          <cell r="A369">
            <v>367</v>
          </cell>
          <cell r="B369" t="str">
            <v>토목구조</v>
          </cell>
          <cell r="C369" t="str">
            <v>가시설 굴착 안전 계획</v>
          </cell>
          <cell r="F369" t="str">
            <v>시점부 우회도로와의 연장 및 굴착 높이로 인한 노선 변경 검토 이슈가 발생 리스크를 검토하였는가?</v>
          </cell>
        </row>
        <row r="370">
          <cell r="A370">
            <v>368</v>
          </cell>
          <cell r="B370" t="str">
            <v>토목구조</v>
          </cell>
          <cell r="C370" t="str">
            <v>가시설 굴착 안전 계획</v>
          </cell>
          <cell r="F370" t="str">
            <v>인접한 교통량의 우회 우회 노선 변경계획 기준 조정을 위해 신규 신호를 추가를 반영 리스크를 검토하였는가?</v>
          </cell>
        </row>
        <row r="371">
          <cell r="A371">
            <v>369</v>
          </cell>
          <cell r="B371" t="str">
            <v>토목구조</v>
          </cell>
          <cell r="C371" t="str">
            <v>교량 기초계획</v>
          </cell>
          <cell r="F371" t="str">
            <v>단부 수직강성 체감구조 설계 누락으로 접속부 과도한 충격하중 및 구조물 부등침하가 발생할 리스크를 검토하였는가?</v>
          </cell>
        </row>
        <row r="372">
          <cell r="A372">
            <v>370</v>
          </cell>
          <cell r="B372" t="str">
            <v>토목구조</v>
          </cell>
          <cell r="C372" t="str">
            <v>교량 기초계획</v>
          </cell>
          <cell r="F372" t="str">
            <v>어프로치 슬래브 및 Endsporn 등 강성 전이(Transition) 구조 누락으로 궤도 단차(Irregularity) 및 충격이 발생할 리스크를 검토하였는가?</v>
          </cell>
        </row>
        <row r="373">
          <cell r="A373">
            <v>371</v>
          </cell>
          <cell r="B373" t="str">
            <v>토목구조</v>
          </cell>
          <cell r="C373" t="str">
            <v>교량 기초계획</v>
          </cell>
          <cell r="F373" t="str">
            <v>트램 전용 동적 하중 재하 누락 및 처짐 기준(L/600) 오적용으로 주행 시 과도한 진동 및 탈선이 유발될 리스크를 검토하였는가?</v>
          </cell>
        </row>
        <row r="374">
          <cell r="A374">
            <v>372</v>
          </cell>
          <cell r="B374" t="str">
            <v>토목구조</v>
          </cell>
          <cell r="C374" t="str">
            <v>교량 기초계획</v>
          </cell>
          <cell r="F374" t="str">
            <v>동적거동(공진 현상 등) 과소평가로 고속 통과 시 교량 과도 진동, 탈선 및 승차감 저하가 발생할 리스크를 검토하였는가?</v>
          </cell>
        </row>
        <row r="375">
          <cell r="A375">
            <v>373</v>
          </cell>
          <cell r="B375" t="str">
            <v>토목구조</v>
          </cell>
          <cell r="C375" t="str">
            <v>교량 기초계획</v>
          </cell>
          <cell r="F375" t="str">
            <v>트램 하중 과소평가로 보강 설계가 누락되거나 부적절한 보강 공법이 선정되어, 상판 처짐 및 내하력 부족이 발생할 리스크를 검토하였는가?</v>
          </cell>
        </row>
        <row r="376">
          <cell r="A376">
            <v>374</v>
          </cell>
          <cell r="B376" t="str">
            <v>토목구조</v>
          </cell>
          <cell r="C376" t="str">
            <v>교량 기초계획</v>
          </cell>
          <cell r="F376" t="str">
            <v>교량 하부 점검로 및 승강설비 누락·협소한 작업 공간 설계로, 시설물 정밀안전점검 및 교량받침 교체 등 필수 유지보수 작업이 불가능해질 리스크를 검토하였는가?</v>
          </cell>
        </row>
        <row r="377">
          <cell r="A377">
            <v>375</v>
          </cell>
          <cell r="B377" t="str">
            <v>토목구조</v>
          </cell>
          <cell r="C377" t="str">
            <v>교량 기초계획</v>
          </cell>
          <cell r="F377" t="str">
            <v>아스팔트 철거 후 도상콘크리트 단면 설계 시 전단 연결 보강 및 표면처리 상세가 누락되어, 트램 반복 제동에 의해 궤도 슬래브가 구조적으로 미끄러질 리스크를 검토하였는가?</v>
          </cell>
        </row>
        <row r="378">
          <cell r="A378">
            <v>376</v>
          </cell>
          <cell r="B378" t="str">
            <v>토목구조</v>
          </cell>
          <cell r="C378" t="str">
            <v>교량 기초계획</v>
          </cell>
          <cell r="F378" t="str">
            <v>계획홍수위·유속 과소평가로 가물막이가 낮게 설계되거나 가시설이 제방을 침범해 하천 단면적 축소 및 홍수 피해가 유발될 리스크를 검토하였는가?</v>
          </cell>
        </row>
        <row r="379">
          <cell r="A379">
            <v>377</v>
          </cell>
          <cell r="B379" t="str">
            <v>토목구조</v>
          </cell>
          <cell r="C379" t="str">
            <v>교량 기초계획</v>
          </cell>
          <cell r="F379" t="str">
            <v>TBI 해석 누락으로 극한 온도 변화 시 장대레일 좌굴 및 교량 받침부가 파괴될 리스크를 검토하였는가?</v>
          </cell>
        </row>
        <row r="380">
          <cell r="A380">
            <v>378</v>
          </cell>
          <cell r="B380" t="str">
            <v>토목구조</v>
          </cell>
          <cell r="C380" t="str">
            <v>교량 기초계획</v>
          </cell>
          <cell r="F380" t="str">
            <v>상호작용(TBI) 해석 누락으로 극한 온도 축력이 교량 하부구조물을 파괴하거나 레일을 좌굴시킬 리스크를 검토하였는가?</v>
          </cell>
        </row>
        <row r="381">
          <cell r="A381">
            <v>379</v>
          </cell>
          <cell r="B381" t="str">
            <v>토목구조</v>
          </cell>
          <cell r="C381" t="str">
            <v>교량 기초계획</v>
          </cell>
          <cell r="F381" t="str">
            <v>R.E.J 설치 공간 누락으로 상판 단부 철근과 R.E.J 장치 간 물리적 간섭이 발생할 리스크를 검토하였는가?</v>
          </cell>
        </row>
        <row r="382">
          <cell r="A382">
            <v>380</v>
          </cell>
          <cell r="B382" t="str">
            <v>토목구조</v>
          </cell>
          <cell r="C382" t="str">
            <v>교량 기초계획</v>
          </cell>
          <cell r="F382" t="str">
            <v>물 흐름 방해 교각 배치 및 형하고 부족 설계로, 세굴 침하 및 유지관리차량 통행이 단절될 리스크를 검토하였는가?</v>
          </cell>
        </row>
        <row r="383">
          <cell r="A383">
            <v>381</v>
          </cell>
          <cell r="B383" t="str">
            <v>토목구조</v>
          </cell>
          <cell r="C383" t="str">
            <v>교량 기초계획</v>
          </cell>
          <cell r="F383" t="str">
            <v>세굴심도·방지공 설계 누락 및 홍수기 고려 없는 무리한 공정으로 기초 터파기 구간이 유실될 리스크를 검토하였는가?</v>
          </cell>
        </row>
        <row r="384">
          <cell r="A384">
            <v>382</v>
          </cell>
          <cell r="B384" t="str">
            <v>토목구조</v>
          </cell>
          <cell r="C384" t="str">
            <v>교량 기초계획</v>
          </cell>
          <cell r="F384" t="str">
            <v>교면방수 설계 누락 및 교량 단부 처짐 과다 허용으로 상부 궤도 단차 발생 및 구조물 내구성이 저하될 리스크를 검토하였는가?</v>
          </cell>
        </row>
        <row r="385">
          <cell r="A385">
            <v>383</v>
          </cell>
          <cell r="B385" t="str">
            <v>토목구조</v>
          </cell>
          <cell r="C385" t="str">
            <v>교량 기초계획</v>
          </cell>
          <cell r="F385" t="str">
            <v>시스템 공동관로 및 배수시설 매립 단면 결손을 구조해석에 누락해 상판 내하력 저하 및 궤도 철근 배근 간섭이 발생할 리스크를 검토하였는가?</v>
          </cell>
        </row>
        <row r="386">
          <cell r="A386">
            <v>384</v>
          </cell>
          <cell r="B386" t="str">
            <v>토목구조</v>
          </cell>
          <cell r="C386" t="str">
            <v>교량 기초계획</v>
          </cell>
          <cell r="F386" t="str">
            <v>유심부 교각 양수표 설치 설계 누락으로 집중호우 시 수위 관측에 실패하여 방재 골든타임을 놓칠 리스크를 검토하였는가?</v>
          </cell>
        </row>
        <row r="387">
          <cell r="A387">
            <v>385</v>
          </cell>
          <cell r="B387" t="str">
            <v>토목구조</v>
          </cell>
          <cell r="C387" t="str">
            <v>교량 기초계획</v>
          </cell>
          <cell r="F387" t="str">
            <v>일률적 교각 설계로 도시 미관을 저해하고 하부 조명·환경개선 누락으로 도심 내 슬럼 공간이 조성될 리스크를 검토하였는가?</v>
          </cell>
        </row>
        <row r="388">
          <cell r="A388">
            <v>386</v>
          </cell>
          <cell r="B388" t="str">
            <v>토목구조</v>
          </cell>
          <cell r="C388" t="str">
            <v>교량 기초계획</v>
          </cell>
          <cell r="F388" t="str">
            <v>유심부 교각 양수표 설치 누락으로 집중호우 시 수위를 파악하지 못해 열차 통제 골든타임을 놓칠 리스크를 검토하였는가?</v>
          </cell>
        </row>
        <row r="389">
          <cell r="A389">
            <v>387</v>
          </cell>
          <cell r="B389" t="str">
            <v>토목구조</v>
          </cell>
          <cell r="C389" t="str">
            <v>교량 기초계획</v>
          </cell>
          <cell r="F389" t="str">
            <v>상판 단부 꺾임(회전각) 검토 누락으로 열차 진출입 시 단차가 발생해 체결장치 파손 및 승차감 저하가 유발될 리스크를 검토하였는가?</v>
          </cell>
        </row>
        <row r="390">
          <cell r="A390">
            <v>388</v>
          </cell>
          <cell r="B390" t="str">
            <v>토목구조</v>
          </cell>
          <cell r="C390" t="str">
            <v>교량 기초계획</v>
          </cell>
          <cell r="F390" t="str">
            <v>이질기초(직접+말뚝) 혼용에 따른 지지력 차이로 부등침하가 발생해, 교량 상판·궤도에 심각한 굴곡(단차)이 유발될 리스크를 검토하였는가?</v>
          </cell>
        </row>
        <row r="391">
          <cell r="A391">
            <v>389</v>
          </cell>
          <cell r="B391" t="str">
            <v>토목구조</v>
          </cell>
          <cell r="C391" t="str">
            <v>교량 기초계획</v>
          </cell>
          <cell r="F391" t="str">
            <v>주면고정액 배합·주입량 과소 산정으로 공벽 붕괴·지하수 유입 시 고정액이 유실되어 말뚝 지지력이 상실될 리스크를 검토하였는가?</v>
          </cell>
        </row>
        <row r="392">
          <cell r="A392">
            <v>390</v>
          </cell>
          <cell r="B392" t="str">
            <v>토목구조</v>
          </cell>
          <cell r="C392" t="str">
            <v>교량 기초계획</v>
          </cell>
          <cell r="F392" t="str">
            <v>형하고 5.0m 미만 교량의 차량통과 한계틀 설계 누락으로, 과고 화물차가 충돌해 상판 및 궤도가 대파될 리스크를 검토하였는가?</v>
          </cell>
        </row>
        <row r="393">
          <cell r="A393">
            <v>391</v>
          </cell>
          <cell r="B393" t="str">
            <v>토목구조</v>
          </cell>
          <cell r="C393" t="str">
            <v>교량 기초계획</v>
          </cell>
          <cell r="F393" t="str">
            <v>지형·통행 간섭 미고려 설계로 크레인 진입 공간 부족 및 장기 도로 차단에 따른 극심한 민원이 유발될 리스크를 검토하였는가?</v>
          </cell>
        </row>
        <row r="394">
          <cell r="A394">
            <v>392</v>
          </cell>
          <cell r="B394" t="str">
            <v>토목구조</v>
          </cell>
          <cell r="C394" t="str">
            <v>교량 기초계획</v>
          </cell>
          <cell r="F394" t="str">
            <v>강상판 교량인 서부간선수로교 대도해부 도로포장 설계, 시공지침에 의거 고탄성 아스팔트 우레탄 사용해야 하나 내역에서 누락됨 리스크를 검토하였는가?</v>
          </cell>
        </row>
        <row r="395">
          <cell r="A395">
            <v>393</v>
          </cell>
          <cell r="B395" t="str">
            <v>토목구조</v>
          </cell>
          <cell r="C395" t="str">
            <v>교량 종단 및 형하고 계획</v>
          </cell>
          <cell r="F395" t="str">
            <v>제방 형하고(Clearance) 검토 누락으로 유지관리 차량 진입 불가 및 대형 차량 충돌 사고가 유발될 리스크를 검토하였는가?</v>
          </cell>
        </row>
        <row r="396">
          <cell r="A396">
            <v>394</v>
          </cell>
          <cell r="B396" t="str">
            <v>토목구조</v>
          </cell>
          <cell r="C396" t="str">
            <v>교량 종단 및 형하고 계획</v>
          </cell>
          <cell r="F396" t="str">
            <v>공사용 가도 건설로 사유지 협의 불가 및 작업이 지연됨 리스크를 검토하였는가?</v>
          </cell>
        </row>
        <row r="397">
          <cell r="A397">
            <v>395</v>
          </cell>
          <cell r="B397" t="str">
            <v>토목구조</v>
          </cell>
          <cell r="C397" t="str">
            <v>구조물 내진계획</v>
          </cell>
          <cell r="F397" t="str">
            <v>트램·지진 하중 동시 재하 해석 누락 및 내진 1등급 기준 미달 설계로, 대형 지진 시 구조물이 붕괴될 치명적 리스크를 검토하였는가?</v>
          </cell>
        </row>
        <row r="398">
          <cell r="A398">
            <v>396</v>
          </cell>
          <cell r="B398" t="str">
            <v>토목구조</v>
          </cell>
          <cell r="C398" t="str">
            <v>구조물 내진계획</v>
          </cell>
          <cell r="F398" t="str">
            <v>지진 동적 구조해석 및 내진장치(지진격리받침 등) 누락·과소 설계로 강진 시 트램 구조물 붕괴 및 궤도 이탈이 발생할 리스크를 검토하였는가?</v>
          </cell>
        </row>
        <row r="399">
          <cell r="A399">
            <v>397</v>
          </cell>
          <cell r="B399" t="str">
            <v>토목구조</v>
          </cell>
          <cell r="C399" t="str">
            <v>구조물 내진계획</v>
          </cell>
          <cell r="F399" t="str">
            <v>지진해석모델의 경계조건·질량 입력 오류로 고유주기·지진하중이 왜곡 산정되어 내진 성능이 과소·과다 설계될 리스크를 검토하였는가?</v>
          </cell>
        </row>
        <row r="400">
          <cell r="A400">
            <v>398</v>
          </cell>
          <cell r="B400" t="str">
            <v>토목구조</v>
          </cell>
          <cell r="C400" t="str">
            <v>구조물 선형 및 좌표계 계획</v>
          </cell>
          <cell r="F400" t="str">
            <v>Bessel 혼용 및 GRS-80 동기화 누락으로 도면상 구조물과 궤도 선형이 어긋나 시공 불가능해질 리스크를 검토하였는가?</v>
          </cell>
        </row>
        <row r="401">
          <cell r="A401">
            <v>399</v>
          </cell>
          <cell r="B401" t="str">
            <v>토목구조</v>
          </cell>
          <cell r="C401" t="str">
            <v>구조물 선형 및 측량계획</v>
          </cell>
          <cell r="F401" t="str">
            <v>현장 재측량 누락으로 실제 지형·인접 시설물과 치명적 위치 오차 및 이격거리 부족이 유발될 리스크를 검토하였는가?</v>
          </cell>
        </row>
        <row r="402">
          <cell r="A402">
            <v>400</v>
          </cell>
          <cell r="B402" t="str">
            <v>토목구조</v>
          </cell>
          <cell r="C402" t="str">
            <v>구조물 스마트 안전관리</v>
          </cell>
          <cell r="F402" t="str">
            <v>수동 계측 설계만 반영해 돌발 지반 변위 및 하중 증가 시 데이터 확인 지연으로 붕괴 골든타임을 놓칠 리스크를 검토하였는가?</v>
          </cell>
        </row>
        <row r="403">
          <cell r="A403">
            <v>401</v>
          </cell>
          <cell r="B403" t="str">
            <v>토목구조</v>
          </cell>
          <cell r="C403" t="str">
            <v>구조물 터파기 방재계획</v>
          </cell>
          <cell r="F403" t="str">
            <v>유도배수 및 강제 배수펌프(집수정) 계획 누락으로, 지하구간 누수 시 궤도 침수 및 전차선 단락사고가 발생할 리스크를 검토하였는가?</v>
          </cell>
        </row>
        <row r="404">
          <cell r="A404">
            <v>402</v>
          </cell>
          <cell r="B404" t="str">
            <v>토목구조</v>
          </cell>
          <cell r="C404" t="str">
            <v>구조물 터파기 방재계획</v>
          </cell>
          <cell r="F404" t="str">
            <v>일반 발파 일률 적용으로 허용 진동치를 초과하여 인접 건물 균열 및 공사 중지 가처분 민원이 발생할 리스크를 검토하였는가?</v>
          </cell>
        </row>
        <row r="405">
          <cell r="A405">
            <v>403</v>
          </cell>
          <cell r="B405" t="str">
            <v>토목구조</v>
          </cell>
          <cell r="C405" t="str">
            <v>구조물 터파기 방재계획</v>
          </cell>
          <cell r="F405" t="str">
            <v>집수정 제어반(MCC반) 기초 패드를 낮게 설계해 누수·침수 시 배수펌프가 수몰되어 시스템이 마비될 방재 리스크를 검토하였는가?</v>
          </cell>
        </row>
        <row r="406">
          <cell r="A406">
            <v>404</v>
          </cell>
          <cell r="B406" t="str">
            <v>토목구조</v>
          </cell>
          <cell r="C406" t="str">
            <v>구조물 한계계획</v>
          </cell>
          <cell r="F406" t="str">
            <v>곡선부에 편의량·캔트 미반영 및 직선부 폭원(3.1m) 일률 적용으로 차량한계를 침범할 치명적 리스크를 검토하였는가?</v>
          </cell>
        </row>
        <row r="407">
          <cell r="A407">
            <v>405</v>
          </cell>
          <cell r="B407" t="str">
            <v>토목구조</v>
          </cell>
          <cell r="C407" t="str">
            <v>구조물 해석 및 상세계획</v>
          </cell>
          <cell r="F407" t="str">
            <v>D-영역 정밀 해석 대신 일반 보 이론(B-영역)을 적용하여 응력 집중부에 사인장 균열 및 전단 파괴가 유발될 리스크를 검토하였는가?</v>
          </cell>
        </row>
        <row r="408">
          <cell r="A408">
            <v>406</v>
          </cell>
          <cell r="B408" t="str">
            <v>토목구조</v>
          </cell>
          <cell r="C408" t="str">
            <v>구조물 해석계획</v>
          </cell>
          <cell r="F408" t="str">
            <v>원 설계법 무시 및 타 설계법 임의 적용으로 잔존 내하력·응력비가 왜곡되어 불필요한 보강 예산 낭비 및 취약점이 간과될 리스크를 검토하였는가?</v>
          </cell>
        </row>
        <row r="409">
          <cell r="A409">
            <v>407</v>
          </cell>
          <cell r="B409" t="str">
            <v>토목구조</v>
          </cell>
          <cell r="C409" t="str">
            <v>기존 구조물 보강 및 내하력 확보 계획</v>
          </cell>
          <cell r="F409" t="str">
            <v>트램 하중 정밀 내하력 평가 및 부재 보강 설계(교량받침 교체 포함) 누락으로 개통 후 심각한 균열 및 처짐이 발생할 리스크를 검토하였는가?</v>
          </cell>
        </row>
        <row r="410">
          <cell r="A410">
            <v>408</v>
          </cell>
          <cell r="B410" t="str">
            <v>토목구조</v>
          </cell>
          <cell r="C410" t="str">
            <v>기존 구조물 보강 및 내하력 확보 계획</v>
          </cell>
          <cell r="F410" t="str">
            <v>콘크리트 포장용 골재가 순환골재로 설계되어 있으나, 콘크리트 포장에 대한 순환골재 품질기준을 만족하는 자재공급원이 없어, 순환골재를 혼합골재로 변경한 사례 리스크를 검토하였는가?</v>
          </cell>
        </row>
        <row r="411">
          <cell r="A411">
            <v>409</v>
          </cell>
          <cell r="B411" t="str">
            <v>토목구조</v>
          </cell>
          <cell r="C411" t="str">
            <v>기존 구조물 보강 및 내하력 확보 계획</v>
          </cell>
          <cell r="F411" t="str">
            <v>운영중인 동해남부선복선전철의 접속부 콘크리트 포장 시공시 기계포설로 설계 반영되었으나, 기존 가드레일로 인해 장비진입이 불가능하고 상하부 시설물 및 궤도 노반선에 센서 설치를 위해서는 기준 경사구간을 완만하게 하여 관계기관 협의가 불가능하였고, 이로인해 기계포설 대신 인력포설로 변경하여 콘크리트포장을 시공한 건 리스크를 검토하였는가?</v>
          </cell>
        </row>
        <row r="412">
          <cell r="A412">
            <v>410</v>
          </cell>
          <cell r="B412" t="str">
            <v>토목구조</v>
          </cell>
          <cell r="C412" t="str">
            <v>기존 구조물 보강 및 내하력 확보 계획</v>
          </cell>
          <cell r="F412" t="str">
            <v>우회로 선형(곡선)으로 인한 도로 가시성 불안 및 교통 저해가 발생 리스크를 검토하였는가?</v>
          </cell>
        </row>
        <row r="413">
          <cell r="A413">
            <v>411</v>
          </cell>
          <cell r="B413" t="str">
            <v>토목구조</v>
          </cell>
          <cell r="C413" t="str">
            <v>기존 구조물 보강 및 내하력 확보 계획</v>
          </cell>
          <cell r="F413" t="str">
            <v>장비접근시 우회로 인근의 교통관리계획에 확보되어 장비의 안전운전관리 미비, 장비의 안전 우려 해결방안이 운반에 반영될 및 톤급 이탈을 해소하기 위해 공사현장 내 도로반폭 및 지반보강을 가업구간에 추가로 설치 리스크를 검토하였는가?</v>
          </cell>
        </row>
        <row r="414">
          <cell r="A414">
            <v>412</v>
          </cell>
          <cell r="B414" t="str">
            <v>토목구조</v>
          </cell>
          <cell r="C414" t="str">
            <v>기존 구조물 보강 및 내하력 확보 계획</v>
          </cell>
          <cell r="F414" t="str">
            <v>휀스 간격 고정 지지 50m로 과다 설계 대비 35%내외 추가 발생 리스크를 검토하였는가?</v>
          </cell>
        </row>
        <row r="415">
          <cell r="A415">
            <v>413</v>
          </cell>
          <cell r="B415" t="str">
            <v>토목구조</v>
          </cell>
          <cell r="C415" t="str">
            <v>기존 지하구조물 검토</v>
          </cell>
          <cell r="F415" t="str">
            <v>하부슬래브 정모멘트 감소를 간과한 일률적 하중조합 적용으로 불필요한 과다 보강 설계 및 실제 취약부(상판/우각부) 검토가 누락될 리스크를 검토하였는가?</v>
          </cell>
        </row>
        <row r="416">
          <cell r="A416">
            <v>414</v>
          </cell>
          <cell r="B416" t="str">
            <v>토목구조</v>
          </cell>
          <cell r="C416" t="str">
            <v>기존 지하구조물 검토</v>
          </cell>
          <cell r="F416" t="str">
            <v>포장공 동상방지층 및 보조기층의 골재생산과 운반수량 산출시 적용한 도형환산계수가 오류인 사항임 (f=1/0.95 -&gt; 1.175/0.95) 리스크를 검토하였는가?</v>
          </cell>
        </row>
        <row r="417">
          <cell r="A417">
            <v>415</v>
          </cell>
          <cell r="B417" t="str">
            <v>토목구조</v>
          </cell>
          <cell r="C417" t="str">
            <v>기존 지하구조물 검토</v>
          </cell>
          <cell r="F417" t="str">
            <v>이천이 보호구역내 관로시공 시 점토차수벽 및 점토막음이 수량수립 내역에서 누락됨 리스크를 검토하였는가?</v>
          </cell>
        </row>
        <row r="418">
          <cell r="A418">
            <v>416</v>
          </cell>
          <cell r="B418" t="str">
            <v>토목구조</v>
          </cell>
          <cell r="C418" t="str">
            <v>기존 지하구조물 검토</v>
          </cell>
          <cell r="F418" t="str">
            <v>설계도면에 명시된 공사용 가도 중 일부분만 내역에 반영되어 있음으로 인해 추가비용 발생 리스크를 검토하였는가?</v>
          </cell>
        </row>
        <row r="419">
          <cell r="A419">
            <v>417</v>
          </cell>
          <cell r="B419" t="str">
            <v>토목구조</v>
          </cell>
          <cell r="C419" t="str">
            <v>기존 지하구조물 검토</v>
          </cell>
          <cell r="F419" t="str">
            <v>수량산출서상 아스팔트덧씌우기 포장구간은 포장폭 B=4.0m로 산출되어 있으나, 입찰안내서 시공지침에 의거하여 잔여폭 1m 이하인 구간까지 전폭 복구한 사례 리스크를 검토하였는가?</v>
          </cell>
        </row>
        <row r="420">
          <cell r="A420">
            <v>418</v>
          </cell>
          <cell r="B420" t="str">
            <v>토목구조</v>
          </cell>
          <cell r="C420" t="str">
            <v>기존 지하구조물 검토</v>
          </cell>
          <cell r="F420" t="str">
            <v>수로구간 수석블록포장(부직포제외)의 건축사용 제거 후 결속공사 시행시 기준 포장 철거 후 원상복구용 포장이 내역에 누락된 사례 리스크를 검토하였는가?</v>
          </cell>
        </row>
        <row r="421">
          <cell r="A421">
            <v>419</v>
          </cell>
          <cell r="B421" t="str">
            <v>토목구조</v>
          </cell>
          <cell r="C421" t="str">
            <v>기존 지하구조물 검토</v>
          </cell>
          <cell r="F421" t="str">
            <v>포장단면상세도에 의하면 요철포장(T=10cm)을 적용하였으나, 수량산출서에는 요철포장에 해당하지 않는 반사막질 수량이 누락된 건 리스크를 검토하였는가?</v>
          </cell>
        </row>
        <row r="422">
          <cell r="A422">
            <v>420</v>
          </cell>
          <cell r="B422" t="str">
            <v>토목구조</v>
          </cell>
          <cell r="C422" t="str">
            <v>기존 지하구조물 검토</v>
          </cell>
          <cell r="F422" t="str">
            <v>도로구역 내 배수 콘크리트 상부 포장은 두께 8cm, 폭 9m로 도시되어 있으나, 수량산출서 포장 TYPE-3(T=53cm), 폭 5m로 적용된 건 리스크를 검토하였는가?</v>
          </cell>
        </row>
        <row r="423">
          <cell r="A423">
            <v>421</v>
          </cell>
          <cell r="B423" t="str">
            <v>토목구조</v>
          </cell>
          <cell r="C423" t="str">
            <v>기존 지하구조물 검토</v>
          </cell>
          <cell r="F423" t="str">
            <v>통행제한 사항인 통행속도 제한(30개월) 규제에 의해 주민 통행 및 물류이송으로 주민피해위험의 조절과 대책 마련을 타겟으로 관련부서와 통보제출 완료 리스크를 검토하였는가?</v>
          </cell>
        </row>
        <row r="424">
          <cell r="A424">
            <v>422</v>
          </cell>
          <cell r="B424" t="str">
            <v>토목구조</v>
          </cell>
          <cell r="C424" t="str">
            <v>기존 지하구조물 검토</v>
          </cell>
          <cell r="F424" t="str">
            <v>실시설계 당시 도심도보, 구내차량 작업장 인접으로, 입주민 I/F 협의를 통해 도시개발 부지 임시사용 확정 리스크를 검토하였는가?</v>
          </cell>
        </row>
        <row r="425">
          <cell r="A425">
            <v>423</v>
          </cell>
          <cell r="B425" t="str">
            <v>토목구조</v>
          </cell>
          <cell r="C425" t="str">
            <v>노면전차-일반도로 단차구간 방호 계획</v>
          </cell>
          <cell r="F425" t="str">
            <v>도로가 노반보다 높은 단차 구간에 가드레일 설계를 누락해, 차량 추락 시 트램과 충돌할 대형 2차 재해 리스크를 검토하였는가?</v>
          </cell>
        </row>
        <row r="426">
          <cell r="A426">
            <v>424</v>
          </cell>
          <cell r="B426" t="str">
            <v>토목구조</v>
          </cell>
          <cell r="C426" t="str">
            <v>도로 근접/하부 횡단 지하구조물 계획</v>
          </cell>
          <cell r="F426" t="str">
            <v>가시설 설계 시 우회 교통을 고려한 복공판 피로 하중 및 추락 방지 가설 난간 등 안전대책 누락으로 대형 교통사고가 유발될 리스크를 검토하였는가?</v>
          </cell>
        </row>
        <row r="427">
          <cell r="A427">
            <v>425</v>
          </cell>
          <cell r="B427" t="str">
            <v>토목구조</v>
          </cell>
          <cell r="C427" t="str">
            <v>도로 근접/하부 횡단 지하구조물 계획</v>
          </cell>
          <cell r="F427" t="str">
            <v>도로교통 자전거 노면전차 전용도로 진입금지 표시 반영 리스크를 검토하였는가?</v>
          </cell>
        </row>
        <row r="428">
          <cell r="A428">
            <v>426</v>
          </cell>
          <cell r="B428" t="str">
            <v>토목구조</v>
          </cell>
          <cell r="C428" t="str">
            <v>도로 근접/하부 횡단 지하구조물 계획</v>
          </cell>
          <cell r="F428" t="str">
            <v>서울시 버스승강장 이설 대안공사 수행시 유관기관(서울시 버스정책과, 각 지자체 대중교통과) 의견을 통해 공기지연 방지 및 대중교통 이용자 불편 최소화 리스크를 검토하였는가?</v>
          </cell>
        </row>
        <row r="429">
          <cell r="A429">
            <v>427</v>
          </cell>
          <cell r="B429" t="str">
            <v>토목구조</v>
          </cell>
          <cell r="C429" t="str">
            <v>도심지 가시설 및 굴착계획</v>
          </cell>
          <cell r="F429" t="str">
            <v>지하공동 탐사·보강 설계 누락으로 굴착 중 대형 지반 함몰(싱크홀)이 유발될 리스크를 검토하였는가?</v>
          </cell>
        </row>
        <row r="430">
          <cell r="A430">
            <v>428</v>
          </cell>
          <cell r="B430" t="str">
            <v>토목구조</v>
          </cell>
          <cell r="C430" t="str">
            <v>도심지 가시설 및 인접구조물 보호 계획</v>
          </cell>
          <cell r="F430" t="str">
            <v>도심지 건물 보호용 침하 억제 공법 및 친환경 그라우팅 재료 누락으로 굴착 중 인접 건물 균열 및 지하수 오염 민원이 발생할 리스크를 검토하였는가?</v>
          </cell>
        </row>
        <row r="431">
          <cell r="A431">
            <v>429</v>
          </cell>
          <cell r="B431" t="str">
            <v>토목구조</v>
          </cell>
          <cell r="C431" t="str">
            <v>도심지 교차로 및 도로 횡단</v>
          </cell>
          <cell r="F431" t="str">
            <v>중차량 통행 하중 미고려 및 복공판 과소 설계로 상부 차량 하중에 의해 구조물이 붕괴될 대형 사고 리스크를 검토하였는가?</v>
          </cell>
        </row>
        <row r="432">
          <cell r="A432">
            <v>430</v>
          </cell>
          <cell r="B432" t="str">
            <v>토목구조</v>
          </cell>
          <cell r="C432" t="str">
            <v>도심지 교차로 및 도로 횡단</v>
          </cell>
          <cell r="F432" t="str">
            <v>교차로에서의 차량 탈선 리스크를 검토하였는가?</v>
          </cell>
        </row>
        <row r="433">
          <cell r="A433">
            <v>431</v>
          </cell>
          <cell r="B433" t="str">
            <v>토목구조</v>
          </cell>
          <cell r="C433" t="str">
            <v>도심지 굴착 및 가시설 계획</v>
          </cell>
          <cell r="F433" t="str">
            <v>차수 가시설 및 연도변 보호 대책 누락으로 대형 싱크홀이나 건물 균열 민원이 발생할 리스크를 검토하였는가?</v>
          </cell>
        </row>
        <row r="434">
          <cell r="A434">
            <v>432</v>
          </cell>
          <cell r="B434" t="str">
            <v>토목구조</v>
          </cell>
          <cell r="C434" t="str">
            <v>도심지 지하공동 탐사 및 침하 방지 계획</v>
          </cell>
          <cell r="F434" t="str">
            <v>공동(Sinkhole) 탐사 누락으로 미확인 지하공동 붕괴에 따른 인접 구조물 및 도로의 대규모 함몰 리스크를 검토하였는가?</v>
          </cell>
        </row>
        <row r="435">
          <cell r="A435">
            <v>433</v>
          </cell>
          <cell r="B435" t="str">
            <v>토목구조</v>
          </cell>
          <cell r="C435" t="str">
            <v>부대 구조물 하중 계획</v>
          </cell>
          <cell r="F435" t="str">
            <v>기기하중 및 무근 콘크리트 사하중 누락으로 장비 반입 시 바닥 슬래브의 처짐·펀칭 전단 파괴가 발생할 리스크를 검토하였는가?</v>
          </cell>
        </row>
        <row r="436">
          <cell r="A436">
            <v>434</v>
          </cell>
          <cell r="B436" t="str">
            <v>토목구조</v>
          </cell>
          <cell r="C436" t="str">
            <v>수리수문 및 지하수 영향계획</v>
          </cell>
          <cell r="F436" t="str">
            <v>단기 수위 적용 및 침투해석 누락으로 설계지하수위를 과소 산정해 주변 세굴이나 과도한 부력 발생을 간과할 리스크를 검토하였는가?</v>
          </cell>
        </row>
        <row r="437">
          <cell r="A437">
            <v>435</v>
          </cell>
          <cell r="B437" t="str">
            <v>토목구조</v>
          </cell>
          <cell r="C437" t="str">
            <v>암반 굴착 발파 진동/소음 제어 계획</v>
          </cell>
          <cell r="F437" t="str">
            <v>진동·소음 검토 누락 및 일반 발파 적용으로 주변 소음 민원 및 인접 건물 균열 파손이 발생할 리스크를 검토하였는가?</v>
          </cell>
        </row>
        <row r="438">
          <cell r="A438">
            <v>436</v>
          </cell>
          <cell r="B438" t="str">
            <v>토목구조</v>
          </cell>
          <cell r="C438" t="str">
            <v>연약지반 구조물 기초계획</v>
          </cell>
          <cell r="F438" t="str">
            <v>연약지반 잔류침하량 과소평가 및 개량 누락으로 부등침하에 의한 궤도 단차 및 탈선이 유발될 리스크를 검토하였는가?</v>
          </cell>
        </row>
        <row r="439">
          <cell r="A439">
            <v>437</v>
          </cell>
          <cell r="B439" t="str">
            <v>토목구조</v>
          </cell>
          <cell r="C439" t="str">
            <v>옹벽 및 비탈면 구조계획</v>
          </cell>
          <cell r="F439" t="str">
            <v>흙막이 지보공의 사유지 침범에 따른 민원·분쟁 유발 및 홍수위 미고려 하천 가시설 설계로 우기 시 가시설이 전도될 리스크를 검토하였는가?</v>
          </cell>
        </row>
        <row r="440">
          <cell r="A440">
            <v>438</v>
          </cell>
          <cell r="B440" t="str">
            <v>토목구조</v>
          </cell>
          <cell r="C440" t="str">
            <v>옹벽 및 비탈면 구조계획</v>
          </cell>
          <cell r="F440" t="str">
            <v>지중 보강재(앵커 등) 사유지 침범 민원 및 우기 시 사면안전율 부족으로 옹벽이 전도될 리스크를 검토하였는가?</v>
          </cell>
        </row>
        <row r="441">
          <cell r="A441">
            <v>439</v>
          </cell>
          <cell r="B441" t="str">
            <v>토목구조</v>
          </cell>
          <cell r="C441" t="str">
            <v>인접 구조물 간섭구간 흙막이 계획</v>
          </cell>
          <cell r="F441" t="str">
            <v>지오그리드 절단 사면 붕괴 위험을 간과하고 일반 가시설을 일률 적용해 기존 도로 구조물이 붕괴될 리스크를 검토하였는가?</v>
          </cell>
        </row>
        <row r="442">
          <cell r="A442">
            <v>440</v>
          </cell>
          <cell r="B442" t="str">
            <v>토목구조</v>
          </cell>
          <cell r="C442" t="str">
            <v>인접 구조물 간섭구간 흙막이 계획</v>
          </cell>
          <cell r="F442" t="str">
            <v>현장 내 도로포장공사 연장과 불가피 지연의 중복 포정으로 도로 인접 흙막이 대책 유동성검토 완료 리스크를 검토하였는가?</v>
          </cell>
        </row>
        <row r="443">
          <cell r="A443">
            <v>441</v>
          </cell>
          <cell r="B443" t="str">
            <v>토목구조</v>
          </cell>
          <cell r="C443" t="str">
            <v>절토부 깎기 비탈면 계획</v>
          </cell>
          <cell r="F443" t="str">
            <v>Face Mapping 의무화 및 사면 보강 대책(예비 단가) 누락으로 예측 불허의 사면 붕괴가 유발될 리스크를 검토하였는가?</v>
          </cell>
        </row>
        <row r="444">
          <cell r="A444">
            <v>442</v>
          </cell>
          <cell r="B444" t="str">
            <v>토목구조</v>
          </cell>
          <cell r="C444" t="str">
            <v>정거장 구조계획</v>
          </cell>
          <cell r="F444" t="str">
            <v>환승 구조물 연결부 조인트 보강 누락 및 무리한 인접 굴착 단면 설계로 기존 구조물에 균열을 유발할 리스크를 검토하였는가?</v>
          </cell>
        </row>
        <row r="445">
          <cell r="A445">
            <v>443</v>
          </cell>
          <cell r="B445" t="str">
            <v>토목구조</v>
          </cell>
          <cell r="C445" t="str">
            <v>정거장 구조계획</v>
          </cell>
          <cell r="F445" t="str">
            <v>차량한계 정밀 인터페이스 누락으로 승강장 연단 간격이 넓어져 승객 발빠짐 사고가 유발될 리스크를 검토하였는가?</v>
          </cell>
        </row>
        <row r="446">
          <cell r="A446">
            <v>444</v>
          </cell>
          <cell r="B446" t="str">
            <v>토목구조</v>
          </cell>
          <cell r="C446" t="str">
            <v>정거장 구조계획</v>
          </cell>
          <cell r="F446" t="str">
            <v>도면상 정거장 포장 물량중 일부가 누락되어 있으며, 실제 지장물들의 위치가 상이하여 포장 물량이 추가된 사례 리스크를 검토하였는가?</v>
          </cell>
        </row>
        <row r="447">
          <cell r="A447">
            <v>445</v>
          </cell>
          <cell r="B447" t="str">
            <v>토목구조</v>
          </cell>
          <cell r="C447" t="str">
            <v>지하 구조물 부력 및 차수 계획</v>
          </cell>
          <cell r="F447" t="str">
            <v>시스템 케이블 공동관로 설계 누락 및 교면방수 규격 미달로 케이블 포설이 불가해지거나 우수 침투로 슬래브 철근 부식이 발생할 리스크를 검토하였는가?</v>
          </cell>
        </row>
        <row r="448">
          <cell r="A448">
            <v>446</v>
          </cell>
          <cell r="B448" t="str">
            <v>토목구조</v>
          </cell>
          <cell r="C448" t="str">
            <v>지하 구조물 부력 및 차수 계획</v>
          </cell>
          <cell r="F448" t="str">
            <v>최고 지하수위 부력 검토 누락 및 차수 계획 미흡으로 호우 시 구조물이 부상해 궤도 뒤틀림 및 심각한 균열이 발생할 리스크를 검토하였는가?</v>
          </cell>
        </row>
        <row r="449">
          <cell r="A449">
            <v>447</v>
          </cell>
          <cell r="B449" t="str">
            <v>토목구조</v>
          </cell>
          <cell r="C449" t="str">
            <v>지하 구조물 부력 및 차수 계획</v>
          </cell>
          <cell r="F449" t="str">
            <v>폭우에 의한 선로 침수 리스크를 검토하였는가?</v>
          </cell>
        </row>
        <row r="450">
          <cell r="A450">
            <v>448</v>
          </cell>
          <cell r="B450" t="str">
            <v>토목구조</v>
          </cell>
          <cell r="C450" t="str">
            <v>지하 구조물 부력 및 차수 계획</v>
          </cell>
          <cell r="F450" t="str">
            <v>집중 호우에 의한 차량기지 침수 리스크를 검토하였는가?</v>
          </cell>
        </row>
        <row r="451">
          <cell r="A451">
            <v>449</v>
          </cell>
          <cell r="B451" t="str">
            <v>토목구조</v>
          </cell>
          <cell r="C451" t="str">
            <v>지하 구조물 부력 및 차수 계획</v>
          </cell>
          <cell r="F451" t="str">
            <v>지하, 지중 지장물 매설되어 대안선로 변경되어, 전체 종합공정표, 25% 예상 추가 투입됨 리스크를 검토하였는가?</v>
          </cell>
        </row>
        <row r="452">
          <cell r="A452">
            <v>450</v>
          </cell>
          <cell r="B452" t="str">
            <v>토목구조</v>
          </cell>
          <cell r="C452" t="str">
            <v>지하 구조물 부력 및 차수 계획</v>
          </cell>
          <cell r="F452" t="str">
            <v>지반 지장물 설계대비 증가로 건축와 궤도 작업공간을 고려한 이설 수량 재산정 리스크를 검토하였는가?</v>
          </cell>
        </row>
        <row r="453">
          <cell r="A453">
            <v>451</v>
          </cell>
          <cell r="B453" t="str">
            <v>토목구조</v>
          </cell>
          <cell r="C453" t="str">
            <v>지하 굴착부 지하수 유동 분석 및 수위 관리 계획</v>
          </cell>
          <cell r="F453" t="str">
            <v>광역 지하수 유동해석 및 수위 강하 검토 누락으로, 과도한 수위 저하에 따른 인접 도심지 구조물 기초의 광범위한 부등침하가 발생할 리스크를 검토하였는가?</v>
          </cell>
        </row>
        <row r="454">
          <cell r="A454">
            <v>452</v>
          </cell>
          <cell r="B454" t="str">
            <v>토목구조</v>
          </cell>
          <cell r="C454" t="str">
            <v>지하 굴착부 지하수 유동 분석 및 수위 관리 계획</v>
          </cell>
          <cell r="F454" t="str">
            <v>서울역 정거장 다목적 유공지주(가로등,신호) 이설을 통하여 안전관리 다설관리 최소화 리스크를 검토하였는가?</v>
          </cell>
        </row>
        <row r="455">
          <cell r="A455">
            <v>453</v>
          </cell>
          <cell r="B455" t="str">
            <v>토목구조</v>
          </cell>
          <cell r="C455" t="str">
            <v>지하 굴착부 지하수 유동 분석 및 수위 관리 계획</v>
          </cell>
          <cell r="F455" t="str">
            <v>신규설치 정거장 철거공사 관리하에 표준가로정비 협의가 지연됨에 따라 당초 계획대비 버스 교체기간이 추가됨 리스크를 검토하였는가?</v>
          </cell>
        </row>
        <row r="456">
          <cell r="A456">
            <v>454</v>
          </cell>
          <cell r="B456" t="str">
            <v>토목구조</v>
          </cell>
          <cell r="C456" t="str">
            <v>지하구조물 및 흙막이 가시설</v>
          </cell>
          <cell r="F456" t="str">
            <v>양압력·수압 과소 설계 및 이음부 누수처리 누락으로 구조물 부상(Up-lift) 및 벽체 대규모 누수가 발생할 리스크를 검토하였는가?</v>
          </cell>
        </row>
        <row r="457">
          <cell r="A457">
            <v>455</v>
          </cell>
          <cell r="B457" t="str">
            <v>토목구조</v>
          </cell>
          <cell r="C457" t="str">
            <v>지하구조물 부력방지 계획</v>
          </cell>
          <cell r="F457" t="str">
            <v>부력 검토 누락 및 과소평가로 수위 상승 시 구조물이 부상(Up-lift)해 궤도 선형이 치명적으로 융기될 리스크를 검토하였는가?</v>
          </cell>
        </row>
        <row r="458">
          <cell r="A458">
            <v>456</v>
          </cell>
          <cell r="B458" t="str">
            <v>토목구조</v>
          </cell>
          <cell r="C458" t="str">
            <v>지하매설물 간섭구간 가시설</v>
          </cell>
          <cell r="F458" t="str">
            <v>주요 관로(가스, 열배관 등) 매달기/가받침 방호 설계 및 구조계산 누락으로 관로 파손 및 대형 재난이 유발될 리스크를 검토하였는가?</v>
          </cell>
        </row>
        <row r="459">
          <cell r="A459">
            <v>457</v>
          </cell>
          <cell r="B459" t="str">
            <v>토목구조</v>
          </cell>
          <cell r="C459" t="str">
            <v>차량기지 특수구조 계획</v>
          </cell>
          <cell r="F459" t="str">
            <v>H-Beam 등 궤도 시스템과의 인터페이스 누락으로 구조물 단면 부족 및 주철근·앵커볼트 간 극심한 간섭이 발생할 리스크를 검토하였는가?</v>
          </cell>
        </row>
        <row r="460">
          <cell r="A460">
            <v>458</v>
          </cell>
          <cell r="B460" t="str">
            <v>토목구조</v>
          </cell>
          <cell r="C460" t="str">
            <v>차량기지 특수구조 계획</v>
          </cell>
          <cell r="F460" t="str">
            <v>이면도로와의 표고차를 간과해 방호벽·가드레일 설계를 누락하여, 외부 차량이 기지로 추락해 트램과 대형 충돌할 리스크를 검토하였는가?</v>
          </cell>
        </row>
        <row r="461">
          <cell r="A461">
            <v>459</v>
          </cell>
          <cell r="B461" t="str">
            <v>토목구조</v>
          </cell>
          <cell r="C461" t="str">
            <v>터널 구조물 계획</v>
          </cell>
          <cell r="F461" t="str">
            <v>획일적 갱문 설계에 따른 경관 저해 및 비탈면 보강(앵커 등) 누락으로 토석류가 터널 입구를 덮칠 리스크를 검토하였는가?</v>
          </cell>
        </row>
        <row r="462">
          <cell r="A462">
            <v>460</v>
          </cell>
          <cell r="B462" t="str">
            <v>토목구조</v>
          </cell>
          <cell r="C462" t="str">
            <v>터널 구조물 계획</v>
          </cell>
          <cell r="F462" t="str">
            <v>지하구조물 대피로 및 방재설비 공간 과소 설계로 비상 시 대피 병목 및 대규모 인명피해가 유발될 리스크를 검토하였는가?</v>
          </cell>
        </row>
        <row r="463">
          <cell r="A463">
            <v>461</v>
          </cell>
          <cell r="B463" t="str">
            <v>토목구조</v>
          </cell>
          <cell r="C463" t="str">
            <v>토공 및 노반계획</v>
          </cell>
          <cell r="F463" t="str">
            <v>사토장 확보 및 운반 동선 검토 누락으로 토사 반출 및 공기가 지연될 리스크를 검토하였는가?</v>
          </cell>
        </row>
        <row r="464">
          <cell r="A464">
            <v>462</v>
          </cell>
          <cell r="B464" t="str">
            <v>토목구조</v>
          </cell>
          <cell r="C464" t="str">
            <v>토공 및 비탈면 굴착 계획</v>
          </cell>
          <cell r="F464" t="str">
            <v>Face Mapping 및 보강대책 수립 누락으로 실제 지질 불량구간에서 대규모 사면 슬라이딩 붕괴가 유발될 리스크를 검토하였는가?</v>
          </cell>
        </row>
        <row r="465">
          <cell r="A465">
            <v>463</v>
          </cell>
          <cell r="B465" t="str">
            <v>토목구조</v>
          </cell>
          <cell r="C465" t="str">
            <v>토목-궤도 배수 인터페이스</v>
          </cell>
          <cell r="F465" t="str">
            <v>노면수 유입 차단 구배 및 배수관로(BOX, 원형관 등) 단면적 과소 설계로 호우 시 노반이 침수·세굴될 리스크를 검토하였는가?</v>
          </cell>
        </row>
        <row r="466">
          <cell r="A466">
            <v>464</v>
          </cell>
          <cell r="B466" t="str">
            <v>토목구조</v>
          </cell>
          <cell r="C466" t="str">
            <v>토목-궤도 배수 인터페이스</v>
          </cell>
          <cell r="F466" t="str">
            <v>횡단 배수로가 Impact Zone 및 동결심도 내로 설계되어 동상(Frost Heave) 및 하중에 의해 관로가 동파·압굴될 리스크를 검토하였는가?</v>
          </cell>
        </row>
        <row r="467">
          <cell r="A467">
            <v>465</v>
          </cell>
          <cell r="B467" t="str">
            <v>토목구조</v>
          </cell>
          <cell r="C467" t="str">
            <v>토목-궤도 배수 인터페이스</v>
          </cell>
          <cell r="F467" t="str">
            <v>설계시 토목 및 조경등의 영역을 통한 가로수의 이설이 아파트 50m 보호구역 및 경계벽의 블록 이설 리스크를 검토하였는가?</v>
          </cell>
        </row>
        <row r="468">
          <cell r="A468">
            <v>466</v>
          </cell>
          <cell r="B468" t="str">
            <v>토질 및 기초</v>
          </cell>
          <cell r="C468" t="str">
            <v>가도/진입로</v>
          </cell>
          <cell r="F468" t="str">
            <v>항타기 등 대형 장비의 진입로 폭과 회전 반경이 현장 여건(농로, 마을길)과 부합하는가?</v>
          </cell>
        </row>
        <row r="469">
          <cell r="A469">
            <v>467</v>
          </cell>
          <cell r="B469" t="str">
            <v>토질 및 기초</v>
          </cell>
          <cell r="C469" t="str">
            <v>가도/진입로</v>
          </cell>
          <cell r="F469" t="str">
            <v>투입 예정 장비(항타기, 크레인)의 제원(폭, 길이, 등판능력)과 진입로 현황이 부합하는가?</v>
          </cell>
        </row>
        <row r="470">
          <cell r="A470">
            <v>468</v>
          </cell>
          <cell r="B470" t="str">
            <v>토질 및 기초</v>
          </cell>
          <cell r="C470" t="str">
            <v>가설 벤트</v>
          </cell>
          <cell r="F470" t="str">
            <v>특수 교각(Y형, 아치형) 시공 시 작업자 발판 및 거푸집 지지를 위한 가설 벤트가 반영되었는가?</v>
          </cell>
        </row>
        <row r="471">
          <cell r="A471">
            <v>469</v>
          </cell>
          <cell r="B471" t="str">
            <v>토질 및 기초</v>
          </cell>
          <cell r="C471" t="str">
            <v>가시설</v>
          </cell>
          <cell r="F471" t="str">
            <v>지반 조건(점토/사질토)에 적합한 차수 공법(Grouting vs Sheet Pile)이 선정되었는가?</v>
          </cell>
        </row>
        <row r="472">
          <cell r="A472">
            <v>470</v>
          </cell>
          <cell r="B472" t="str">
            <v>토질 및 기초</v>
          </cell>
          <cell r="C472" t="str">
            <v>가시설/토공</v>
          </cell>
          <cell r="F472" t="str">
            <v>지하안전영향평가 심의 결과에 따라 흙막이 차수 공법이나 가시설 강성이 상향 조정되었는가?</v>
          </cell>
        </row>
        <row r="473">
          <cell r="A473">
            <v>471</v>
          </cell>
          <cell r="B473" t="str">
            <v>토질 및 기초</v>
          </cell>
          <cell r="C473" t="str">
            <v>개착 박스</v>
          </cell>
          <cell r="F473" t="str">
            <v>흙막이 가시설과 본 구조물 사이에 거푸집 설치 및 작업자 이동 공간(최소 1m 이상)이 확보되었는가?</v>
          </cell>
        </row>
        <row r="474">
          <cell r="A474">
            <v>472</v>
          </cell>
          <cell r="B474" t="str">
            <v>토질 및 기초</v>
          </cell>
          <cell r="C474" t="str">
            <v>거더 제작장</v>
          </cell>
          <cell r="F474" t="str">
            <v>거더 조립장 위치가 크레인 인양 반경 내에 있으며, 자재 야적 공간이 충분한가?</v>
          </cell>
        </row>
        <row r="475">
          <cell r="A475">
            <v>473</v>
          </cell>
          <cell r="B475" t="str">
            <v>토질 및 기초</v>
          </cell>
          <cell r="C475" t="str">
            <v>계측/탐사</v>
          </cell>
          <cell r="F475" t="str">
            <v>지하안전영향평가 협의보완 조치결과(GPR 탐사, 지하수위계, 유량계 등)가 내역에 포함되었는가?</v>
          </cell>
        </row>
        <row r="476">
          <cell r="A476">
            <v>474</v>
          </cell>
          <cell r="B476" t="str">
            <v>토질 및 기초</v>
          </cell>
          <cell r="C476" t="str">
            <v>골재생산</v>
          </cell>
          <cell r="F476" t="str">
            <v>유용암 굴착 시기와 골재 사용 시기(콘크리트 타설)를 비교하여 가적치 물량을 산출했는가?</v>
          </cell>
        </row>
        <row r="477">
          <cell r="A477">
            <v>475</v>
          </cell>
          <cell r="B477" t="str">
            <v>토질 및 기초</v>
          </cell>
          <cell r="C477" t="str">
            <v>공사용 가교</v>
          </cell>
          <cell r="F477" t="str">
            <v>교량 시공용 대형 크레인(200ton 이상)의 아웃트리거 전개 폭을 고려하여 가교 폭이나 작업대(Staging)가 반영되었는가?</v>
          </cell>
        </row>
        <row r="478">
          <cell r="A478">
            <v>476</v>
          </cell>
          <cell r="B478" t="str">
            <v>토질 및 기초</v>
          </cell>
          <cell r="C478" t="str">
            <v>공사용 가교</v>
          </cell>
          <cell r="F478" t="str">
            <v>교량 시공용 대형 크레인의 아웃트리거 전개 폭을 고려하여 가교 폭이나 작업대(Staging)가 반영되었는가?</v>
          </cell>
        </row>
        <row r="479">
          <cell r="A479">
            <v>477</v>
          </cell>
          <cell r="B479" t="str">
            <v>토질 및 기초</v>
          </cell>
          <cell r="C479" t="str">
            <v>공사용 가도</v>
          </cell>
          <cell r="F479" t="str">
            <v>공사 부지의 표토가 점성토이거나 연약지반일 경우 장비 주행성 확보를 위한 치환/가도 계획이 있는가?</v>
          </cell>
        </row>
        <row r="480">
          <cell r="A480">
            <v>478</v>
          </cell>
          <cell r="B480" t="str">
            <v>토질 및 기초</v>
          </cell>
          <cell r="C480" t="str">
            <v>공사용 가도</v>
          </cell>
          <cell r="F480" t="str">
            <v>펌프카/크레인의 작업 반경을 고려하여 가설 도로와 구조물 간의 이격 거리가 산정되었는가?</v>
          </cell>
        </row>
        <row r="481">
          <cell r="A481">
            <v>479</v>
          </cell>
          <cell r="B481" t="str">
            <v>토질 및 기초</v>
          </cell>
          <cell r="C481" t="str">
            <v>교각 기초</v>
          </cell>
          <cell r="F481" t="str">
            <v>하천/해상 구간 가시설의 차수 대책(이중 널말뚝, 차수 그라우팅)이 수압을 고려해 설계되었는가?</v>
          </cell>
        </row>
        <row r="482">
          <cell r="A482">
            <v>480</v>
          </cell>
          <cell r="B482" t="str">
            <v>토질 및 기초</v>
          </cell>
          <cell r="C482" t="str">
            <v>교각 기초</v>
          </cell>
          <cell r="F482" t="str">
            <v>도심지 개착 구간 용출수 발생 시 주변 지반 침하를 방지할 차수 공법(SGR, MSG)이 설계에 포함되었는가?</v>
          </cell>
        </row>
        <row r="483">
          <cell r="A483">
            <v>481</v>
          </cell>
          <cell r="B483" t="str">
            <v>토질 및 기초</v>
          </cell>
          <cell r="C483" t="str">
            <v>교각 기초</v>
          </cell>
          <cell r="F483" t="str">
            <v>기초 터파기 구간의 지반 조건(연약지반)을 고려할 때 사면 경사를 유지할 부지가 충분한가?</v>
          </cell>
        </row>
        <row r="484">
          <cell r="A484">
            <v>482</v>
          </cell>
          <cell r="B484" t="str">
            <v>토질 및 기초</v>
          </cell>
          <cell r="C484" t="str">
            <v>교대 가시설</v>
          </cell>
          <cell r="F484" t="str">
            <v>구조물 터파기 사면(Open Cut)의 상단 라인이 공사 부지 경계선 내에 들어오는가?</v>
          </cell>
        </row>
        <row r="485">
          <cell r="A485">
            <v>483</v>
          </cell>
          <cell r="B485" t="str">
            <v>토질 및 기초</v>
          </cell>
          <cell r="C485" t="str">
            <v>교량</v>
          </cell>
          <cell r="F485" t="str">
            <v>케이블/행어 로프의 와류진동(Vortex Shedding) 검토가 수행되었는가?
제진 장치(Damper) 설치가 내역에 포함되거나 유보금으로 잡혀있는가?</v>
          </cell>
        </row>
        <row r="486">
          <cell r="A486">
            <v>484</v>
          </cell>
          <cell r="B486" t="str">
            <v>토질 및 기초</v>
          </cell>
          <cell r="C486" t="str">
            <v>교량가설</v>
          </cell>
          <cell r="F486" t="str">
            <v>장대 자재(거더, 철근) 운반 차량의 회전 반경과 현장 진입로의 곡선 반경이 일치하는가?□ 급경사 구간의 장비 등판 능력을 확인했는가?</v>
          </cell>
        </row>
        <row r="487">
          <cell r="A487">
            <v>485</v>
          </cell>
          <cell r="B487" t="str">
            <v>토질 및 기초</v>
          </cell>
          <cell r="C487" t="str">
            <v>댐 기초</v>
          </cell>
          <cell r="F487" t="str">
            <v>댐/제방 기초 지반의 투수계수와 파쇄대 분포를 고려한 차수 그라우팅 계획이 수립되었는가?</v>
          </cell>
        </row>
        <row r="488">
          <cell r="A488">
            <v>486</v>
          </cell>
          <cell r="B488" t="str">
            <v>토질 및 기초</v>
          </cell>
          <cell r="C488" t="str">
            <v>민원대책</v>
          </cell>
          <cell r="F488" t="str">
            <v>발파 작업 구간 주변에 방음벽, 방진망 등 환경 오염 방지 시설이 충분히 설계되었는가?</v>
          </cell>
        </row>
        <row r="489">
          <cell r="A489">
            <v>487</v>
          </cell>
          <cell r="B489" t="str">
            <v>토질 및 기초</v>
          </cell>
          <cell r="C489" t="str">
            <v>발파-설계</v>
          </cell>
          <cell r="F489" t="str">
            <v>발파 영향권 내 보안물건(주택, 축사, 공장) 현황이 최신 상태로 반영되었는가?</v>
          </cell>
        </row>
        <row r="490">
          <cell r="A490">
            <v>488</v>
          </cell>
          <cell r="B490" t="str">
            <v>토질 및 기초</v>
          </cell>
          <cell r="C490" t="str">
            <v>발파-설계</v>
          </cell>
          <cell r="F490" t="str">
            <v>법적 기준치 이내임에도 민원이 지속될 경우, 발주처와 민원 대응 비용 분담을 사전에 협의했는가?</v>
          </cell>
        </row>
        <row r="491">
          <cell r="A491">
            <v>489</v>
          </cell>
          <cell r="B491" t="str">
            <v>토질 및 기초</v>
          </cell>
          <cell r="C491" t="str">
            <v>발파-설계</v>
          </cell>
          <cell r="F491" t="str">
            <v>발파 작업 가능 시간 산정 시 관할 경찰서의 화약류 양수 허가 특성(제한 사항)을 조사했는가?</v>
          </cell>
        </row>
        <row r="492">
          <cell r="A492">
            <v>490</v>
          </cell>
          <cell r="B492" t="str">
            <v>토질 및 기초</v>
          </cell>
          <cell r="C492" t="str">
            <v>발파-설계</v>
          </cell>
          <cell r="F492" t="str">
            <v>도심지 발파 시 방음벽, 방진막, 암파쇄 방호시설 비용이 내역에 포함되었는가?</v>
          </cell>
        </row>
        <row r="493">
          <cell r="A493">
            <v>491</v>
          </cell>
          <cell r="B493" t="str">
            <v>토질 및 기초</v>
          </cell>
          <cell r="C493" t="str">
            <v>발파-설계</v>
          </cell>
          <cell r="F493" t="str">
            <v>시방서상의 발파 공법(제어발파 등)과 내역서상의 공법이 일치하는지 대조했는가?</v>
          </cell>
        </row>
        <row r="494">
          <cell r="A494">
            <v>492</v>
          </cell>
          <cell r="B494" t="str">
            <v>토질 및 기초</v>
          </cell>
          <cell r="C494" t="str">
            <v>발파-설계</v>
          </cell>
          <cell r="F494" t="str">
            <v>보안 물건 인접 구간의 지반 조사 데이터가 충분하며, 진동 영향권 분석이 보수적으로 수행되었는가?</v>
          </cell>
        </row>
        <row r="495">
          <cell r="A495">
            <v>493</v>
          </cell>
          <cell r="B495" t="str">
            <v>토질 및 기초</v>
          </cell>
          <cell r="C495" t="str">
            <v>발파공법변경</v>
          </cell>
          <cell r="F495" t="str">
            <v>최종 암깎기면(사면) 보호를 위해 제어발파(Smooth Blasting)가 내역에 반영되었는가?□ 도면, 시방서, 내역서 간 발파 공법이 일치하는가?</v>
          </cell>
        </row>
        <row r="496">
          <cell r="A496">
            <v>494</v>
          </cell>
          <cell r="B496" t="str">
            <v>토질 및 기초</v>
          </cell>
          <cell r="C496" t="str">
            <v>발파굴착(인허가)</v>
          </cell>
          <cell r="F496" t="str">
            <v>인근 경찰서의 화약류 사용 허가 조건(발파 가능 횟수/시간)을 사전 조사했는가?</v>
          </cell>
        </row>
        <row r="497">
          <cell r="A497">
            <v>495</v>
          </cell>
          <cell r="B497" t="str">
            <v>토질 및 기초</v>
          </cell>
          <cell r="C497" t="str">
            <v>발파석쌓기</v>
          </cell>
          <cell r="F497" t="str">
            <v>원형보존구역 경계선과 토공 사면 끝단(Toe) 간에 여유폭이 확보되었는가?</v>
          </cell>
        </row>
        <row r="498">
          <cell r="A498">
            <v>496</v>
          </cell>
          <cell r="B498" t="str">
            <v>토질 및 기초</v>
          </cell>
          <cell r="C498" t="str">
            <v>발파암민원</v>
          </cell>
          <cell r="F498" t="str">
            <v>공사 구간 인근에 소음/진동에 민감한 영업 시설(펜션, 양식장 등)이 있는지 확인했는가?</v>
          </cell>
        </row>
        <row r="499">
          <cell r="A499">
            <v>497</v>
          </cell>
          <cell r="B499" t="str">
            <v>토질 및 기초</v>
          </cell>
          <cell r="C499" t="str">
            <v>발파패턴변경</v>
          </cell>
          <cell r="F499" t="str">
            <v>착공 전 주변 건물 신축 현황 등 보안 물건 변동 사항을 재조사했는가?</v>
          </cell>
        </row>
        <row r="500">
          <cell r="A500">
            <v>498</v>
          </cell>
          <cell r="B500" t="str">
            <v>토질 및 기초</v>
          </cell>
          <cell r="C500" t="str">
            <v>배수공</v>
          </cell>
          <cell r="F500" t="str">
            <v>구조물과 흙막이 벽체 사이 여유폭(Working Space) 내에 배수로 설치 공간이 확보되었는가?</v>
          </cell>
        </row>
        <row r="501">
          <cell r="A501">
            <v>499</v>
          </cell>
          <cell r="B501" t="str">
            <v>토질 및 기초</v>
          </cell>
          <cell r="C501" t="str">
            <v>배수펌프장</v>
          </cell>
          <cell r="F501" t="str">
            <v>배수펌프장 운영 기간이 전체 공사 기간(특히 우기 포함)을 커버하도록 산정되었는가?</v>
          </cell>
        </row>
        <row r="502">
          <cell r="A502">
            <v>500</v>
          </cell>
          <cell r="B502" t="str">
            <v>토질 및 기초</v>
          </cell>
          <cell r="C502" t="str">
            <v>부지 조성</v>
          </cell>
          <cell r="F502" t="str">
            <v>석회암 지대 등 공동 발생 우려 지역에 대한 물리탐사(GPR, 전기비저항) 계획이 있는가?</v>
          </cell>
        </row>
        <row r="503">
          <cell r="A503">
            <v>501</v>
          </cell>
          <cell r="B503" t="str">
            <v>토질 및 기초</v>
          </cell>
          <cell r="C503" t="str">
            <v>비탈면</v>
          </cell>
          <cell r="F503" t="str">
            <v>절토 사면 설계 시 지질 구조(단층, 절리 방향)가 사면 안정성에 미치는 영향을 검토했는가?</v>
          </cell>
        </row>
        <row r="504">
          <cell r="A504">
            <v>502</v>
          </cell>
          <cell r="B504" t="str">
            <v>토질 및 기초</v>
          </cell>
          <cell r="C504" t="str">
            <v>비탈면경사완화</v>
          </cell>
          <cell r="F504" t="str">
            <v>환경영향평가 협의 내용상의 사면 경사 기준이 설계에 반영되었는가?</v>
          </cell>
        </row>
        <row r="505">
          <cell r="A505">
            <v>503</v>
          </cell>
          <cell r="B505" t="str">
            <v>토질 및 기초</v>
          </cell>
          <cell r="C505" t="str">
            <v>비탈면보강공</v>
          </cell>
          <cell r="F505" t="str">
            <v>퇴적암/절리 발달 구간에 대한 사면 안정성 검토가 보수적으로 수행되었는가?
우기 시 지하수위 상승을 고려한 안전율이 확보되었는가?</v>
          </cell>
        </row>
        <row r="506">
          <cell r="A506">
            <v>504</v>
          </cell>
          <cell r="B506" t="str">
            <v>토질 및 기초</v>
          </cell>
          <cell r="C506" t="str">
            <v>사면경사조정</v>
          </cell>
          <cell r="F506" t="str">
            <v>탄질셰일, 팽창성 점토 등 특수 지질 존재 여부를 시추조사에서 확인했는가?</v>
          </cell>
        </row>
        <row r="507">
          <cell r="A507">
            <v>505</v>
          </cell>
          <cell r="B507" t="str">
            <v>토질 및 기초</v>
          </cell>
          <cell r="C507" t="str">
            <v>석축(찰쌓기)</v>
          </cell>
          <cell r="F507" t="str">
            <v>구조물 뒷채움/되메우기 사면이 인접 도로 나 용지 경계를 침범하지 않는지 단면 검토했는가?</v>
          </cell>
        </row>
        <row r="508">
          <cell r="A508">
            <v>506</v>
          </cell>
          <cell r="B508" t="str">
            <v>토질 및 기초</v>
          </cell>
          <cell r="C508" t="str">
            <v>안전점검</v>
          </cell>
          <cell r="F508" t="str">
            <v>철도보호지구 등 특수 구간 공사 시 유관기관이 요구하는 안전점검 비용이 별도로 계상되었는가?</v>
          </cell>
        </row>
        <row r="509">
          <cell r="A509">
            <v>507</v>
          </cell>
          <cell r="B509" t="str">
            <v>토질 및 기초</v>
          </cell>
          <cell r="C509" t="str">
            <v>야적방법</v>
          </cell>
          <cell r="F509" t="str">
            <v>설계 시 야적장 부지 추가 확보 불가로 수직 적치 필요.에 따른 기 임시야적장의 성토고가 높아져(H=적정 규격/거리) 하역장비(덤프) 전도 위험 발생할 리스크를 검토하였는가?</v>
          </cell>
        </row>
        <row r="510">
          <cell r="A510">
            <v>508</v>
          </cell>
          <cell r="B510" t="str">
            <v>토질 및 기초</v>
          </cell>
          <cell r="C510" t="str">
            <v>오수공</v>
          </cell>
          <cell r="F510" t="str">
            <v>굴착 바닥면의 피압수 용출 가능성(Boiling)을 검토하고 Well Point 등 지하수위 저하 공법을 반영했는가?</v>
          </cell>
        </row>
        <row r="511">
          <cell r="A511">
            <v>509</v>
          </cell>
          <cell r="B511" t="str">
            <v>토질 및 기초</v>
          </cell>
          <cell r="C511" t="str">
            <v>오탁방지막</v>
          </cell>
          <cell r="F511" t="str">
            <v>해상 가설물(오탁방지막)의 설계 기준 풍속/파고가 해당 지역의 태풍 이력과 부합하는가?</v>
          </cell>
        </row>
        <row r="512">
          <cell r="A512">
            <v>510</v>
          </cell>
          <cell r="B512" t="str">
            <v>토질 및 기초</v>
          </cell>
          <cell r="C512" t="str">
            <v>운반거리</v>
          </cell>
          <cell r="F512" t="str">
            <v>토공 유동 계획(Mass Diagram) 작성 시 가적치장을 경유하는 우회 거리가 반영되었는가?</v>
          </cell>
        </row>
        <row r="513">
          <cell r="A513">
            <v>511</v>
          </cell>
          <cell r="B513" t="str">
            <v>토질 및 기초</v>
          </cell>
          <cell r="C513" t="str">
            <v>운행선 인접</v>
          </cell>
          <cell r="F513" t="str">
            <v>운행선 인접 공사 시 가시설 설치 공간이 건축한계(Safety Clearance)를 침범하지 않는지 확인했는가?</v>
          </cell>
        </row>
        <row r="514">
          <cell r="A514">
            <v>512</v>
          </cell>
          <cell r="B514" t="str">
            <v>토질 및 기초</v>
          </cell>
          <cell r="C514" t="str">
            <v>임시적출장</v>
          </cell>
          <cell r="F514" t="str">
            <v>공용 적출장이나 진입로 사용 시 타 공구와의 공정 간섭 및 점유 기간을 확인했는가?</v>
          </cell>
        </row>
        <row r="515">
          <cell r="A515">
            <v>513</v>
          </cell>
          <cell r="B515" t="str">
            <v>토질 및 기초</v>
          </cell>
          <cell r="C515" t="str">
            <v>입출고선</v>
          </cell>
          <cell r="F515" t="str">
            <v>도심지 협소 구간 작업 시 대형 장비 진입 불가에 따른 소형 장비 할증이 반영되었는가?</v>
          </cell>
        </row>
        <row r="516">
          <cell r="A516">
            <v>514</v>
          </cell>
          <cell r="B516" t="str">
            <v>토질 및 기초</v>
          </cell>
          <cell r="C516" t="str">
            <v>작업공간(축도)</v>
          </cell>
          <cell r="F516" t="str">
            <v>통행용 가도 외에 장비가 거치되어 작업할 수 있는 작업장(Platform/축도) 면적이 반영되었는가?</v>
          </cell>
        </row>
        <row r="517">
          <cell r="A517">
            <v>515</v>
          </cell>
          <cell r="B517" t="str">
            <v>토질 및 기초</v>
          </cell>
          <cell r="C517" t="str">
            <v>장비진입로</v>
          </cell>
          <cell r="F517" t="str">
            <v>연약지반 처리 장비(DCM, PBD) 진입을 위한 주행로(Mat) 및 성토 계획이 포함되었는가?</v>
          </cell>
        </row>
        <row r="518">
          <cell r="A518">
            <v>516</v>
          </cell>
          <cell r="B518" t="str">
            <v>토질 및 기초</v>
          </cell>
          <cell r="C518" t="str">
            <v>절취사면보강</v>
          </cell>
          <cell r="F518" t="str">
            <v>사면 상부의 유역 면적을 고려하여 산마루 측구 용량이 충분한가?</v>
          </cell>
        </row>
        <row r="519">
          <cell r="A519">
            <v>517</v>
          </cell>
          <cell r="B519" t="str">
            <v>토질 및 기초</v>
          </cell>
          <cell r="C519" t="str">
            <v>절토부옹벽</v>
          </cell>
          <cell r="F519" t="str">
            <v>절토 옹벽 높이가 5m를 초과할 경우 소단(B=1m 이상) 설치가 반영되었는가?□ 산지 복구 설계 승인 기준을 만족하는가?</v>
          </cell>
        </row>
        <row r="520">
          <cell r="A520">
            <v>518</v>
          </cell>
          <cell r="B520" t="str">
            <v>토질 및 기초</v>
          </cell>
          <cell r="C520" t="str">
            <v>정거장</v>
          </cell>
          <cell r="F520" t="str">
            <v>공사 중 집중호우(Frequency 10~20년 빈도)에 대비한 배수 펌프 용량과 예비 펌프가 산정되었는가?</v>
          </cell>
        </row>
        <row r="521">
          <cell r="A521">
            <v>519</v>
          </cell>
          <cell r="B521" t="str">
            <v>토질 및 기초</v>
          </cell>
          <cell r="C521" t="str">
            <v>정거장침수</v>
          </cell>
          <cell r="F521" t="str">
            <v>공사 중 단계별(굴착, 구조물) 유입수량(우수+지하수) 산정 및 양수기 용량 계획이 적정한가?</v>
          </cell>
        </row>
        <row r="522">
          <cell r="A522">
            <v>520</v>
          </cell>
          <cell r="B522" t="str">
            <v>토질 및 기초</v>
          </cell>
          <cell r="C522" t="str">
            <v>정류장가시설</v>
          </cell>
          <cell r="F522" t="str">
            <v>가시설 굴착 심도가 지하수위 아래에 위치하는가?□ 토류판 적용 시 차수 그라우팅 비용이 반영되었는가?</v>
          </cell>
        </row>
        <row r="523">
          <cell r="A523">
            <v>521</v>
          </cell>
          <cell r="B523" t="str">
            <v>토질 및 기초</v>
          </cell>
          <cell r="C523" t="str">
            <v>지반조사</v>
          </cell>
          <cell r="F523" t="str">
            <v>석회암(Karst) 지형 공사 시 공동 탐지를 위한 시추 간격을 조밀하게 계획했는가?</v>
          </cell>
        </row>
        <row r="524">
          <cell r="A524">
            <v>522</v>
          </cell>
          <cell r="B524" t="str">
            <v>토질 및 기초</v>
          </cell>
          <cell r="C524" t="str">
            <v>지반조사</v>
          </cell>
          <cell r="F524" t="str">
            <v>절토 사면의 암선 확인을 위한 시추 조사가 옹벽 앵커 설계에 반영되었는가?</v>
          </cell>
        </row>
        <row r="525">
          <cell r="A525">
            <v>523</v>
          </cell>
          <cell r="B525" t="str">
            <v>토질 및 기초</v>
          </cell>
          <cell r="C525" t="str">
            <v>지반조사</v>
          </cell>
          <cell r="F525" t="str">
            <v>구조물 실제 위치에서 시추조사가 수행되었는가? (이격 거리 확인)할 리스크를 검토하였는가?</v>
          </cell>
        </row>
        <row r="526">
          <cell r="A526">
            <v>524</v>
          </cell>
          <cell r="B526" t="str">
            <v>토질 및 기초</v>
          </cell>
          <cell r="C526" t="str">
            <v>지반조사</v>
          </cell>
          <cell r="F526" t="str">
            <v>산악지/계곡부의 경우 전석(Boulder)층 출현 가능성을 고려하여 할증을 반영했는가?</v>
          </cell>
        </row>
        <row r="527">
          <cell r="A527">
            <v>525</v>
          </cell>
          <cell r="B527" t="str">
            <v>토질 및 기초</v>
          </cell>
          <cell r="C527" t="str">
            <v>지반조사</v>
          </cell>
          <cell r="F527" t="str">
            <v>연약지반 내 관로 터파기 시 히빙(Heaving) 및 보일링(Boiling) 검토가 수행되었는가?</v>
          </cell>
        </row>
        <row r="528">
          <cell r="A528">
            <v>526</v>
          </cell>
          <cell r="B528" t="str">
            <v>토질 및 기초</v>
          </cell>
          <cell r="C528" t="str">
            <v>지반조사</v>
          </cell>
          <cell r="F528" t="str">
            <v>방음벽, 옹벽 등 부대 구조물 설치 위치에 대한 지반 조사 데이터가 확보되었는가?</v>
          </cell>
        </row>
        <row r="529">
          <cell r="A529">
            <v>527</v>
          </cell>
          <cell r="B529" t="str">
            <v>토질 및 기초</v>
          </cell>
          <cell r="C529" t="str">
            <v>지반조사</v>
          </cell>
          <cell r="F529" t="str">
            <v>가설 구조물(제작장, 가교) 기초 위치에 대한 별도의 지반 조사 계획이 수립되었는가?</v>
          </cell>
        </row>
        <row r="530">
          <cell r="A530">
            <v>528</v>
          </cell>
          <cell r="B530" t="str">
            <v>토질 및 기초</v>
          </cell>
          <cell r="C530" t="str">
            <v>지하시설</v>
          </cell>
          <cell r="F530" t="str">
            <v>지하 시설물의 정전 시 침수 시뮬레이션을 수행하고, UPS 및 비상발전기 용량이 충분한가?</v>
          </cell>
        </row>
        <row r="531">
          <cell r="A531">
            <v>529</v>
          </cell>
          <cell r="B531" t="str">
            <v>토질 및 기초</v>
          </cell>
          <cell r="C531" t="str">
            <v>지하차도</v>
          </cell>
          <cell r="F531" t="str">
            <v>개착 구조물 기초 바닥에 지하수 배제를 위한 맹암거 및 유공관이 반영되었는가?</v>
          </cell>
        </row>
        <row r="532">
          <cell r="A532">
            <v>530</v>
          </cell>
          <cell r="B532" t="str">
            <v>토질 및 기초</v>
          </cell>
          <cell r="C532" t="str">
            <v>지하차도</v>
          </cell>
          <cell r="F532" t="str">
            <v>터파기 구간의 지하수 유입량에 따른 오탁수 처리 시설 용량 및 비용이 환경관리비에 포함되었는가?</v>
          </cell>
        </row>
        <row r="533">
          <cell r="A533">
            <v>531</v>
          </cell>
          <cell r="B533" t="str">
            <v>토질 및 기초</v>
          </cell>
          <cell r="C533" t="str">
            <v>철도</v>
          </cell>
          <cell r="F533" t="str">
            <v>도심지/운행선 인접 구간 암파쇄 공법이 '미진동'이 아닌 '무진동'으로 반영되었는가?
민원 발생 시 공법 변경에 따른 공기 지연 리스크를 고려했는가?</v>
          </cell>
        </row>
        <row r="534">
          <cell r="A534">
            <v>532</v>
          </cell>
          <cell r="B534" t="str">
            <v>토질 및 기초</v>
          </cell>
          <cell r="C534" t="str">
            <v>철도</v>
          </cell>
          <cell r="F534" t="str">
            <v>공사 구간 50m 이내에 정온시설(병원, 학교)이 있는가?
이동식 에어방음벽 등 추가 대책 비용이 예산에 있는가?</v>
          </cell>
        </row>
        <row r="535">
          <cell r="A535">
            <v>533</v>
          </cell>
          <cell r="B535" t="str">
            <v>토질 및 기초</v>
          </cell>
          <cell r="C535" t="str">
            <v>토공</v>
          </cell>
          <cell r="F535" t="str">
            <v>방음벽 끝단 및 고층부(대각선 방향)에 대한 소음 시뮬레이션(3D)이 수행되었는가?</v>
          </cell>
        </row>
        <row r="536">
          <cell r="A536">
            <v>534</v>
          </cell>
          <cell r="B536" t="str">
            <v>토질 및 기초</v>
          </cell>
          <cell r="C536" t="str">
            <v>토공운반</v>
          </cell>
          <cell r="F536" t="str">
            <v>현장 내 유용토 적치 공간이 토공량 대비 충분한가? (부족 시 외부 반출 및 재반입 비용 반영 여부)할 리스크를 검토하였는가?</v>
          </cell>
        </row>
        <row r="537">
          <cell r="A537">
            <v>535</v>
          </cell>
          <cell r="B537" t="str">
            <v>토질 및 기초</v>
          </cell>
          <cell r="C537" t="str">
            <v>토공운반</v>
          </cell>
          <cell r="F537" t="str">
            <v>토공 유동 계획 수립 시 인접 공구 반입 시기와 당 현장 절토 시기의 정합성을 검토했는가?</v>
          </cell>
        </row>
        <row r="538">
          <cell r="A538">
            <v>536</v>
          </cell>
          <cell r="B538" t="str">
            <v>토질 및 기초</v>
          </cell>
          <cell r="C538" t="str">
            <v>토공운반</v>
          </cell>
          <cell r="F538" t="str">
            <v>성토재 반입 시 즉시 성토가 불가능한 경우(우기, 공정 간섭)를 대비한 가적치 비용이 있는가?</v>
          </cell>
        </row>
        <row r="539">
          <cell r="A539">
            <v>537</v>
          </cell>
          <cell r="B539" t="str">
            <v>토질 및 기초</v>
          </cell>
          <cell r="C539" t="str">
            <v>해당 노선타설말뚝</v>
          </cell>
          <cell r="F539" t="str">
            <v>RCD 굴착 예정 구간의 암반 상태(RQD)와 파쇄대 유무를 확인했는가?</v>
          </cell>
        </row>
        <row r="540">
          <cell r="A540">
            <v>538</v>
          </cell>
          <cell r="B540" t="str">
            <v>토질 및 기초</v>
          </cell>
          <cell r="C540" t="str">
            <v>가시설 굴착 배면 지반 안정성 계획</v>
          </cell>
          <cell r="F540" t="str">
            <v>수위 강하 해석 누락 및 차수 계획 미흡으로 인접 건물 부등침하·균열이 유발될 리스크를 검토하였는가?</v>
          </cell>
        </row>
        <row r="541">
          <cell r="A541">
            <v>539</v>
          </cell>
          <cell r="B541" t="str">
            <v>토질 및 기초</v>
          </cell>
          <cell r="C541" t="str">
            <v>가시설 굴착 배면 지반 안정성 계획</v>
          </cell>
          <cell r="F541" t="str">
            <v>기본계획/발주처지반조사 검토후 R/O 분석을 통하여 굴착공법 검토 및 대안노선안 수립, 굴착시 민원이 예상되는 주거지 주동구간에 지반조건을 고려한 기계굴착을 적용하고 건물과 최대한 이격되는 선형을 검토하여 직하부 통과배제 리스크를 검토하였는가?</v>
          </cell>
        </row>
        <row r="542">
          <cell r="A542">
            <v>540</v>
          </cell>
          <cell r="B542" t="str">
            <v>토질 및 기초</v>
          </cell>
          <cell r="C542" t="str">
            <v>가시설 굴착 배면 지반 안정성 계획</v>
          </cell>
          <cell r="F542" t="str">
            <v>가설텐트에 대한 상세 검토가 부족하여 시공중 가설텐트 기초에 대한 도면과 내역이 누락됨 리스크를 검토하였는가?</v>
          </cell>
        </row>
        <row r="543">
          <cell r="A543">
            <v>541</v>
          </cell>
          <cell r="B543" t="str">
            <v>토질 및 기초</v>
          </cell>
          <cell r="C543" t="str">
            <v>가시설 굴착 배면 지반 안정성 계획</v>
          </cell>
          <cell r="F543" t="str">
            <v>입찰설계 조사결과 및 실시설계 조사계획을 전문가가 재검토하여 설계변경을 고려한 실시설계 지반조사 계획수립함.(41공 추가시추) 리스크를 검토하였는가?</v>
          </cell>
        </row>
        <row r="544">
          <cell r="A544">
            <v>542</v>
          </cell>
          <cell r="B544" t="str">
            <v>토질 및 기초</v>
          </cell>
          <cell r="C544" t="str">
            <v>가시설 굴착 배면 지반 안정성 계획</v>
          </cell>
          <cell r="F544" t="str">
            <v>실시설계 지반조사 추가시추로 노선변경 검토 구간, 터널굴착공법 및 패턴변경 필요 구간 반영, 시공성, 민원 개선 리스크를 검토하였는가?</v>
          </cell>
        </row>
        <row r="545">
          <cell r="A545">
            <v>543</v>
          </cell>
          <cell r="B545" t="str">
            <v>토질 및 기초</v>
          </cell>
          <cell r="C545" t="str">
            <v>가시설 굴착저면 안정성 확보</v>
          </cell>
          <cell r="F545" t="str">
            <v>투수계수를 고려한 굴착저면 안정성(보일링/히빙) 해석 및 불투수층 차수벽 근입장 설계 누락으로 지반 붕괴가 발생할 리스크를 검토하였는가?</v>
          </cell>
        </row>
        <row r="546">
          <cell r="A546">
            <v>544</v>
          </cell>
          <cell r="B546" t="str">
            <v>토질 및 기초</v>
          </cell>
          <cell r="C546" t="str">
            <v>가시설 지표수 차단 및 배수</v>
          </cell>
          <cell r="F546" t="str">
            <v>지표수 차단 및 가배수 시설 누락으로 굴착장 수몰 및 토류벽 배면 과잉 수압이 가중될 리스크를 검토하였는가?</v>
          </cell>
        </row>
        <row r="547">
          <cell r="A547">
            <v>545</v>
          </cell>
          <cell r="B547" t="str">
            <v>토질 및 기초</v>
          </cell>
          <cell r="C547" t="str">
            <v>가시설 지표수 차단 및 배수</v>
          </cell>
          <cell r="F547" t="str">
            <v>동결심도 및 차량 하중 영향을 무시한 얕은 매설 설계로 지반 결빙 시 궤도가 솟아오를 리스크를 검토하였는가?</v>
          </cell>
        </row>
        <row r="548">
          <cell r="A548">
            <v>546</v>
          </cell>
          <cell r="B548" t="str">
            <v>토질 및 기초</v>
          </cell>
          <cell r="C548" t="str">
            <v>가시설 토압 산정 및 안정성 평가 계획</v>
          </cell>
          <cell r="F548" t="str">
            <v>토압 분포 모델(삼각형·경험토압) 일률적 해석으로, 토압 재분배 시 특정 지보재에 과응력이 발생할 리스크를 검토하였는가?</v>
          </cell>
        </row>
        <row r="549">
          <cell r="A549">
            <v>547</v>
          </cell>
          <cell r="B549" t="str">
            <v>토질 및 기초</v>
          </cell>
          <cell r="C549" t="str">
            <v>가시설 항타 시 지하매설물 보호</v>
          </cell>
          <cell r="F549" t="str">
            <v>H-Pile과 지하매설물 간 간섭 검토 및 노출 상수관 동파방지 설계 미비로 고압선 차단 및 상수관 파열이 발생할 리스크를 검토하였는가?</v>
          </cell>
        </row>
        <row r="550">
          <cell r="A550">
            <v>548</v>
          </cell>
          <cell r="B550" t="str">
            <v>토질 및 기초</v>
          </cell>
          <cell r="C550" t="str">
            <v>가시설 흙막이 설계 및 시공</v>
          </cell>
          <cell r="F550" t="str">
            <v>수압 및 인접 상재하중 누락으로 가시설 붕괴나 허용치 초과 변위가 발생할 리스크를 검토하였는가?</v>
          </cell>
        </row>
        <row r="551">
          <cell r="A551">
            <v>549</v>
          </cell>
          <cell r="B551" t="str">
            <v>토질 및 기초</v>
          </cell>
          <cell r="C551" t="str">
            <v>가시설 흙막이 설계 및 시공</v>
          </cell>
          <cell r="F551" t="str">
            <v>원안설계 및 기본설계 지반조사 검토 후 착공전 지반조사 4공을 반영 리스크를 검토하였는가?</v>
          </cell>
        </row>
        <row r="552">
          <cell r="A552">
            <v>550</v>
          </cell>
          <cell r="B552" t="str">
            <v>토질 및 기초</v>
          </cell>
          <cell r="C552" t="str">
            <v>개착구간 노면복공 계획</v>
          </cell>
          <cell r="F552" t="str">
            <v>차량 추락방지 시설 및 복공턱(단차) 완화 설계 누락으로 야간·우천 시 주행 차량 파손 및 추락 사고가 유발될 리스크를 검토하였는가?</v>
          </cell>
        </row>
        <row r="553">
          <cell r="A553">
            <v>551</v>
          </cell>
          <cell r="B553" t="str">
            <v>토질 및 기초</v>
          </cell>
          <cell r="C553" t="str">
            <v>공사 중 지하수 처리 계획</v>
          </cell>
          <cell r="F553" t="str">
            <v>공공하수관로 용량 검토 및 수처리시설 설계 누락으로 집중호우 시 도로 및 하수도가 역류할 리스크를 검토하였는가?</v>
          </cell>
        </row>
        <row r="554">
          <cell r="A554">
            <v>552</v>
          </cell>
          <cell r="B554" t="str">
            <v>토질 및 기초</v>
          </cell>
          <cell r="C554" t="str">
            <v>관로 및 기기 기초 터파기</v>
          </cell>
          <cell r="F554" t="str">
            <v>1.5m 초과 터파기 구간 흙막이 설계 누락으로 굴착면 붕괴 재해 및 인접 지장물 파손이 발생할 리스크를 검토하였는가?</v>
          </cell>
        </row>
        <row r="555">
          <cell r="A555">
            <v>553</v>
          </cell>
          <cell r="B555" t="str">
            <v>토질 및 기초</v>
          </cell>
          <cell r="C555" t="str">
            <v>광역 지하수 영향 검토</v>
          </cell>
          <cell r="F555" t="str">
            <v>반경 1km 지하수 유동분석 및 광역 침하 검토 누락으로, 대규모 싱크홀 및 주거지 균열이 유발될 리스크를 검토하였는가?</v>
          </cell>
        </row>
        <row r="556">
          <cell r="A556">
            <v>554</v>
          </cell>
          <cell r="B556" t="str">
            <v>토질 및 기초</v>
          </cell>
          <cell r="C556" t="str">
            <v>광역 지하수 영향 검토</v>
          </cell>
          <cell r="F556" t="str">
            <v>지반조사 전문가에 의한 검증이 부족하여 사석 공급 부족이 발생 리스크를 검토하였는가?</v>
          </cell>
        </row>
        <row r="557">
          <cell r="A557">
            <v>555</v>
          </cell>
          <cell r="B557" t="str">
            <v>토질 및 기초</v>
          </cell>
          <cell r="C557" t="str">
            <v>구조물 기초 형식 선정 및 지지력 검증</v>
          </cell>
          <cell r="F557" t="str">
            <v>지반조사 과대평가 및 이질 기초 혼용 시 부등침하 해석 누락으로 구조물 균열이 유발될 리스크를 검토하였는가?</v>
          </cell>
        </row>
        <row r="558">
          <cell r="A558">
            <v>556</v>
          </cell>
          <cell r="B558" t="str">
            <v>토질 및 기초</v>
          </cell>
          <cell r="C558" t="str">
            <v>깊은기초(말뚝) 지지층 설계 계획</v>
          </cell>
          <cell r="F558" t="str">
            <v>지층 심도 변화 정밀 고려 미흡으로 말뚝 최소 길이(10D) 및 암반 근입 깊이 기준 미달로 설계될 리스크를 검토하였는가?</v>
          </cell>
        </row>
        <row r="559">
          <cell r="A559">
            <v>557</v>
          </cell>
          <cell r="B559" t="str">
            <v>토질 및 기초</v>
          </cell>
          <cell r="C559" t="str">
            <v>깎기 비탈면 안정성 해석 계획</v>
          </cell>
          <cell r="F559" t="str">
            <v>불연속면 및 우기 안전율(Fs&gt;1.2) 검토 누락으로 호우 시 사면 붕괴 리스크를 검토하였는가?</v>
          </cell>
        </row>
        <row r="560">
          <cell r="A560">
            <v>558</v>
          </cell>
          <cell r="B560" t="str">
            <v>토질 및 기초</v>
          </cell>
          <cell r="C560" t="str">
            <v>내진 및 지반안정성 검토</v>
          </cell>
          <cell r="F560" t="str">
            <v>액상화 가능성 평가 및 기초 내진보강 설계 누락으로 지진 시 궤도 노반·구조물이 침하·전도될 리스크를 검토하였는가?</v>
          </cell>
        </row>
        <row r="561">
          <cell r="A561">
            <v>559</v>
          </cell>
          <cell r="B561" t="str">
            <v>토질 및 기초</v>
          </cell>
          <cell r="C561" t="str">
            <v>노반 지지력 확보</v>
          </cell>
          <cell r="F561" t="str">
            <v>하부 노반 지지력 기준 및 품질시험(평판재하시험 등) 수량 설계 누락으로 반복 하중에 의한 궤도 침하 및 파손이 발생할 리스크를 검토하였는가?</v>
          </cell>
        </row>
        <row r="562">
          <cell r="A562">
            <v>560</v>
          </cell>
          <cell r="B562" t="str">
            <v>토질 및 기초</v>
          </cell>
          <cell r="C562" t="str">
            <v>대규모 지하 굴착부 광역 지하수 유동 분석 계획</v>
          </cell>
          <cell r="F562" t="str">
            <v>1km 반경 3D 지하수 유동해석 누락으로 부등침하 및 수맥 고갈 민원이 유발될 리스크를 검토하였는가?</v>
          </cell>
        </row>
        <row r="563">
          <cell r="A563">
            <v>561</v>
          </cell>
          <cell r="B563" t="str">
            <v>토질 및 기초</v>
          </cell>
          <cell r="C563" t="str">
            <v>도심지 가시설 변위 제어 계획</v>
          </cell>
          <cell r="F563" t="str">
            <v>배면 지반 변위 억제 지보재 단면 부족 및 실시간 스마트 계측기 누락으로 도심지 도로가 함몰될 리스크를 검토하였는가?</v>
          </cell>
        </row>
        <row r="564">
          <cell r="A564">
            <v>562</v>
          </cell>
          <cell r="B564" t="str">
            <v>토질 및 기초</v>
          </cell>
          <cell r="C564" t="str">
            <v>도심지 굴착 계측관리</v>
          </cell>
          <cell r="F564" t="str">
            <v>스마트 자동계측 시스템 설계 누락으로 취약 시간대 돌발 지반 거동 및 흙막이 변형을 즉각 인지하지 못할 리스크를 검토하였는가?</v>
          </cell>
        </row>
        <row r="565">
          <cell r="A565">
            <v>563</v>
          </cell>
          <cell r="B565" t="str">
            <v>토질 및 기초</v>
          </cell>
          <cell r="C565" t="str">
            <v>도심지 굴착 배면 지반 함몰(Sinkhole) 방지 계획</v>
          </cell>
          <cell r="F565" t="str">
            <v>굴착 심도 2배 영역의 지하공동 탐사(GPR) 및 보강 대책 누락으로 배면 지반 대규모 함몰(싱크홀)이 발생할 리스크를 검토하였는가?</v>
          </cell>
        </row>
        <row r="566">
          <cell r="A566">
            <v>564</v>
          </cell>
          <cell r="B566" t="str">
            <v>토질 및 기초</v>
          </cell>
          <cell r="C566" t="str">
            <v>도심지 토공사 장비 운영 계획</v>
          </cell>
          <cell r="F566" t="str">
            <v>고소음·대형 장비의 일률적 단가 적용으로 현장 시공 시 민원 발생, 작업 중단 및 공사비가 증액될 리스크를 검토하였는가?</v>
          </cell>
        </row>
        <row r="567">
          <cell r="A567">
            <v>565</v>
          </cell>
          <cell r="B567" t="str">
            <v>토질 및 기초</v>
          </cell>
          <cell r="C567" t="str">
            <v>매립형 궤도 기초(노반) 지지력 확보 계획</v>
          </cell>
          <cell r="F567" t="str">
            <v>하부 노반 지지력 기준(Ev2 등) 및 평판재하시험 누락으로, 개통 후 노반 침하에 따른 도상 균열 및 궤도 파손 리스크를 검토하였는가?</v>
          </cell>
        </row>
        <row r="568">
          <cell r="A568">
            <v>566</v>
          </cell>
          <cell r="B568" t="str">
            <v>토질 및 기초</v>
          </cell>
          <cell r="C568" t="str">
            <v>변전소 기초 지지력 검증</v>
          </cell>
          <cell r="F568" t="str">
            <v>대형 장비 활하중 및 피트용 무근 콘크리트 사하중 과소평가로, 장비 셋팅 시 기초 슬래브 균열 및 부등침하가 발생할 리스크를 검토하였는가?</v>
          </cell>
        </row>
        <row r="569">
          <cell r="A569">
            <v>567</v>
          </cell>
          <cell r="B569" t="str">
            <v>토질 및 기초</v>
          </cell>
          <cell r="C569" t="str">
            <v>비탈면 보강 및 유지관리</v>
          </cell>
          <cell r="F569" t="str">
            <v>지질 불연속면(단층, 절리) 해석 및 안전율 확보 보강설계 누락으로 우기 시 대규모 비탈면 붕괴 리스크를 검토하였는가?</v>
          </cell>
        </row>
        <row r="570">
          <cell r="A570">
            <v>568</v>
          </cell>
          <cell r="B570" t="str">
            <v>토질 및 기초</v>
          </cell>
          <cell r="C570" t="str">
            <v>비탈면 유지관리 및 안정성 확보 계획</v>
          </cell>
          <cell r="F570" t="str">
            <v>비탈면 유지관리 계측 및 식생 복원 설계 누락으로 우기 시 사면 세굴·붕괴에 의한 토사 유입 리스크를 검토하였는가?</v>
          </cell>
        </row>
        <row r="571">
          <cell r="A571">
            <v>569</v>
          </cell>
          <cell r="B571" t="str">
            <v>토질 및 기초</v>
          </cell>
          <cell r="C571" t="str">
            <v>비탈면 유지관리 시설 계획</v>
          </cell>
          <cell r="F571" t="str">
            <v>유지관리 접근 통로 및 산마루 측구 설계 누락으로, 준공 후 보수 불가 및 우수 유입 사면 유실 리스크를 검토하였는가?</v>
          </cell>
        </row>
        <row r="572">
          <cell r="A572">
            <v>570</v>
          </cell>
          <cell r="B572" t="str">
            <v>토질 및 기초</v>
          </cell>
          <cell r="C572" t="str">
            <v>비탈면 친환경 보호 및 복원</v>
          </cell>
          <cell r="F572" t="str">
            <v>표면 보호 및 친환경 복원(식생) 설계 누락으로 호우 시 토사 유출 및 표층 슬라이딩 파괴가 발생할 리스크를 검토하였는가?</v>
          </cell>
        </row>
        <row r="573">
          <cell r="A573">
            <v>571</v>
          </cell>
          <cell r="B573" t="str">
            <v>토질 및 기초</v>
          </cell>
          <cell r="C573" t="str">
            <v>사유지 인접구간 지반 보강</v>
          </cell>
          <cell r="F573" t="str">
            <v>지반 보강 및 계측 누락으로 추후 사유지 굴착 시 노반 침하 및 운행 중단이 발생할 리스크를 검토하였는가?</v>
          </cell>
        </row>
        <row r="574">
          <cell r="A574">
            <v>572</v>
          </cell>
          <cell r="B574" t="str">
            <v>토질 및 기초</v>
          </cell>
          <cell r="C574" t="str">
            <v>사질토 및 하천 인접부 액상화 방지 계획</v>
          </cell>
          <cell r="F574" t="str">
            <v>사질토 지반 액상화 잠재능 평가 누락으로, 지진 시 궤도 기초가 액상화되어 구조물이 전도·부상할 리스크를 검토하였는가?</v>
          </cell>
        </row>
        <row r="575">
          <cell r="A575">
            <v>573</v>
          </cell>
          <cell r="B575" t="str">
            <v>토질 및 기초</v>
          </cell>
          <cell r="C575" t="str">
            <v>사토 및 토취장 환경/민원 관리 계획</v>
          </cell>
          <cell r="F575" t="str">
            <v>토공 유용계획(Mass Curve) 오류 및 사토장 부지 확보 누락으로 토사 적기 처리가 불가해 공정이 지연될 리스크를 검토하였는가?</v>
          </cell>
        </row>
        <row r="576">
          <cell r="A576">
            <v>574</v>
          </cell>
          <cell r="B576" t="str">
            <v>토질 및 기초</v>
          </cell>
          <cell r="C576" t="str">
            <v>쌓기 비탈면 극한조건 안정성 평가 계획</v>
          </cell>
          <cell r="F576" t="str">
            <v>우기 및 지진 등 불리한 극한 조건의 사면 안정해석 누락으로 실제 안전율이 기준치(1.5)에 미달할 리스크를 검토하였는가?</v>
          </cell>
        </row>
        <row r="577">
          <cell r="A577">
            <v>575</v>
          </cell>
          <cell r="B577" t="str">
            <v>토질 및 기초</v>
          </cell>
          <cell r="C577" t="str">
            <v>얕은기초(직접기초) 계획</v>
          </cell>
          <cell r="F577" t="str">
            <v>동상 방지용 최소 근입심도(1.0m 이상) 설계 누락으로 겨울철 지반 동결 시 기초 융기 및 부등침하가 발생할 리스크를 검토하였는가?</v>
          </cell>
        </row>
        <row r="578">
          <cell r="A578">
            <v>576</v>
          </cell>
          <cell r="B578" t="str">
            <v>토질 및 기초</v>
          </cell>
          <cell r="C578" t="str">
            <v>연약지반 개량 품질관리 계획</v>
          </cell>
          <cell r="F578" t="str">
            <v>개량 전후 강도(N치 등) 변화 확인용 원위치 시험 계획 누락으로 개량 효과 객관적 입증이 불가할 리스크를 검토하였는가?</v>
          </cell>
        </row>
        <row r="579">
          <cell r="A579">
            <v>577</v>
          </cell>
          <cell r="B579" t="str">
            <v>토질 및 기초</v>
          </cell>
          <cell r="C579" t="str">
            <v>연약지반 개량품질 확인</v>
          </cell>
          <cell r="F579" t="str">
            <v>품질 목표(N치 등) 및 검증 시험 설계 누락으로, 부실 개량된 연약지반에 궤도 하부구조물이 시공될 리스크를 검토하였는가?</v>
          </cell>
        </row>
        <row r="580">
          <cell r="A580">
            <v>578</v>
          </cell>
          <cell r="B580" t="str">
            <v>토질 및 기초</v>
          </cell>
          <cell r="C580" t="str">
            <v>연약지반 미개량 구간 관리계획</v>
          </cell>
          <cell r="F580" t="str">
            <v>미개량 구간의 자연 압밀소요기간 산정 및 공정표 상 방치기간 누락으로, 미압밀 상태에서 후속 궤도 공사가 강행될 리스크를 검토하였는가?</v>
          </cell>
        </row>
        <row r="581">
          <cell r="A581">
            <v>579</v>
          </cell>
          <cell r="B581" t="str">
            <v>토질 및 기초</v>
          </cell>
          <cell r="C581" t="str">
            <v>연약지반 설계 및 시공</v>
          </cell>
          <cell r="F581" t="str">
            <v>물리적 시험 및 토질정수 산정 누락으로 트램 운영 중 노반 부등침하에 따른 궤도 틀림이 발생할 리스크를 검토하였는가?</v>
          </cell>
        </row>
        <row r="582">
          <cell r="A582">
            <v>580</v>
          </cell>
          <cell r="B582" t="str">
            <v>토질 및 기초</v>
          </cell>
          <cell r="C582" t="str">
            <v>연약지반 성토 하중 및 속도 제어 계획</v>
          </cell>
          <cell r="F582" t="str">
            <v>지반 활동파괴 예방을 위한 단계별 성토 하중 및 한계 성토속도 제어 기준이 설계도서에 누락될 리스크를 검토하였는가?</v>
          </cell>
        </row>
        <row r="583">
          <cell r="A583">
            <v>581</v>
          </cell>
          <cell r="B583" t="str">
            <v>토질 및 기초</v>
          </cell>
          <cell r="C583" t="str">
            <v>연약지반 장기 침하 관리</v>
          </cell>
          <cell r="F583" t="str">
            <v>유지관리용 영구 계측기 및 인계 계획 누락으로 개통 후 서서히 진행되는 궤도 부등침하 거동을 파악하지 못할 리스크를 검토하였는가?</v>
          </cell>
        </row>
        <row r="584">
          <cell r="A584">
            <v>582</v>
          </cell>
          <cell r="B584" t="str">
            <v>토질 및 기초</v>
          </cell>
          <cell r="C584" t="str">
            <v>연약지반 주변 안정성 확보</v>
          </cell>
          <cell r="F584" t="str">
            <v>측방유동 해석 및 연동침하 방지 대책 설계 누락으로 성토 중 인접 도로 파손 및 지하시설물이 전단파괴될 리스크를 검토하였는가?</v>
          </cell>
        </row>
        <row r="585">
          <cell r="A585">
            <v>583</v>
          </cell>
          <cell r="B585" t="str">
            <v>토질 및 기초</v>
          </cell>
          <cell r="C585" t="str">
            <v>연약지반 추가조사 및 국부 개량</v>
          </cell>
          <cell r="F585" t="str">
            <v>연약한 N치 구간에 대한 추가 품질시험(PBT 등) 물량 및 지반개량 설계 누락으로 개통 후 궤도 부등침하가 발생할 리스크를 검토하였는가?</v>
          </cell>
        </row>
        <row r="586">
          <cell r="A586">
            <v>584</v>
          </cell>
          <cell r="B586" t="str">
            <v>토질 및 기초</v>
          </cell>
          <cell r="C586" t="str">
            <v>연약지반 측방유동 제어 계획</v>
          </cell>
          <cell r="F586" t="str">
            <v>인접 구조물(교대, 관로 등) 측방유동 및 연동침하 해석 누락으로 기초 지반이 밀려 시설물이 파손될 리스크를 검토하였는가?</v>
          </cell>
        </row>
        <row r="587">
          <cell r="A587">
            <v>585</v>
          </cell>
          <cell r="B587" t="str">
            <v>토질 및 기초</v>
          </cell>
          <cell r="C587" t="str">
            <v>연약지반 치환토 처리 및 유용 계획</v>
          </cell>
          <cell r="F587" t="str">
            <v>고함수비 치환토 건조장 확보 및 특수 사토처리 비용 누락으로, 일반 토사로 간주된 뻘흙의 사토장 반입 거부 및 공정 마비 리스크를 검토하였는가?</v>
          </cell>
        </row>
        <row r="588">
          <cell r="A588">
            <v>586</v>
          </cell>
          <cell r="B588" t="str">
            <v>토질 및 기초</v>
          </cell>
          <cell r="C588" t="str">
            <v>연약지반 토질정수 및 압밀계수 산정 계획</v>
          </cell>
          <cell r="F588" t="str">
            <v>불교란 시료 채취 및 실내 압밀시험 누락으로, 문헌 추정 압밀계수(Cv, Ch)가 적용돼 압밀 소요기간이 과소 산정될 리스크를 검토하였는가?</v>
          </cell>
        </row>
        <row r="589">
          <cell r="A589">
            <v>587</v>
          </cell>
          <cell r="B589" t="str">
            <v>토질 및 기초</v>
          </cell>
          <cell r="C589" t="str">
            <v>연약지반 표층처리 및 장비 주행성 확보</v>
          </cell>
          <cell r="F589" t="str">
            <v>표층 장비 주행성(Trafficability) 검토 및 샌드매트 등 표층처리 누락으로 중장비(항타기, 크레인 등) 진입 불가 및 전도될 리스크를 검토하였는가?</v>
          </cell>
        </row>
        <row r="590">
          <cell r="A590">
            <v>588</v>
          </cell>
          <cell r="B590" t="str">
            <v>토질 및 기초</v>
          </cell>
          <cell r="C590" t="str">
            <v>연약지반상 횡단 구조물 기초 계획</v>
          </cell>
          <cell r="F590" t="str">
            <v>횡단 구조물 기초 지반 보강(치환, 말뚝 등) 설계 누락으로 주변과 부등침하가 발생해 파손 및 상부 궤도가 틀어질 리스크를 검토하였는가?</v>
          </cell>
        </row>
        <row r="591">
          <cell r="A591">
            <v>589</v>
          </cell>
          <cell r="B591" t="str">
            <v>토질 및 기초</v>
          </cell>
          <cell r="C591" t="str">
            <v>연약지반상 횡단구조물 처리</v>
          </cell>
          <cell r="F591" t="str">
            <v>횡단구조물 하부 독립적 지반개량·기초 보강 설계 누락으로, 노반 압밀침하 시 배수BOX 등 구조물이 꺾이거나 전단 파괴될 리스크를 검토하였는가?</v>
          </cell>
        </row>
        <row r="592">
          <cell r="A592">
            <v>590</v>
          </cell>
          <cell r="B592" t="str">
            <v>토질 및 기초</v>
          </cell>
          <cell r="C592" t="str">
            <v>영구 지하구조물 토압 및 수압 설계</v>
          </cell>
          <cell r="F592" t="str">
            <v>수위 상승에 따른 수압·토압 과소평가 및 배면 배수설계 누락으로 벽체 전단 휨 균열 및 누수가 발생할 리스크를 검토하였는가?</v>
          </cell>
        </row>
        <row r="593">
          <cell r="A593">
            <v>591</v>
          </cell>
          <cell r="B593" t="str">
            <v>토질 및 기초</v>
          </cell>
          <cell r="C593" t="str">
            <v>절성토 경계부 및 급경사지 흙쌓기 계획</v>
          </cell>
          <cell r="F593" t="str">
            <v>급경사지·절성토 경계부 층따기(Benching) 누락으로 우기 시 성토체가 미끄러져(Sliding) 궤도가 유실될 리스크를 검토하였는가?</v>
          </cell>
        </row>
        <row r="594">
          <cell r="A594">
            <v>592</v>
          </cell>
          <cell r="B594" t="str">
            <v>토질 및 기초</v>
          </cell>
          <cell r="C594" t="str">
            <v>접속부 지반 보강 및 침하 제어</v>
          </cell>
          <cell r="F594" t="str">
            <v>접속부 부등침하 방지 대책(어프로치 슬래브 등) 누락으로 개통 후 궤도 단차가 발생할 리스크를 검토하였는가?</v>
          </cell>
        </row>
        <row r="595">
          <cell r="A595">
            <v>593</v>
          </cell>
          <cell r="B595" t="str">
            <v>토질 및 기초</v>
          </cell>
          <cell r="C595" t="str">
            <v>지반강성 변화구간(접속부) 토공 계획</v>
          </cell>
          <cell r="F595" t="str">
            <v>어프로치 블록 및 성토재 치환 설계 누락으로, 개통 후 노반 단차 및 승차감이 저하될 리스크를 검토하였는가?</v>
          </cell>
        </row>
        <row r="596">
          <cell r="A596">
            <v>594</v>
          </cell>
          <cell r="B596" t="str">
            <v>토질 및 기초</v>
          </cell>
          <cell r="C596" t="str">
            <v>지반조사 및 지질이상대 관리</v>
          </cell>
          <cell r="F596" t="str">
            <v>공동조사 계획 부재 및 지질이상대 파악 누락으로, 터파기 중 암반 변형이나 가시설 붕괴가 발생할 리스크를 검토하였는가?</v>
          </cell>
        </row>
        <row r="597">
          <cell r="A597">
            <v>595</v>
          </cell>
          <cell r="B597" t="str">
            <v>토질 및 기초</v>
          </cell>
          <cell r="C597" t="str">
            <v>지반조사 및 환경오염 방지 계획</v>
          </cell>
          <cell r="F597" t="str">
            <v>과다 천공 및 폐공 처리 단가 누락으로 조사 후 지하수 오염과 지반 함몰이 발생할 리스크를 검토하였는가?</v>
          </cell>
        </row>
        <row r="598">
          <cell r="A598">
            <v>596</v>
          </cell>
          <cell r="B598" t="str">
            <v>토질 및 기초</v>
          </cell>
          <cell r="C598" t="str">
            <v>지중관로 및 시스템 핸드홀 굴착 계획</v>
          </cell>
          <cell r="F598" t="str">
            <v>1.5m 이상 굴착 구간에 무지보(오픈) 굴착이 적용돼 굴착면 붕괴 및 인접 도로가 함몰될 리스크를 검토하였는가?</v>
          </cell>
        </row>
        <row r="599">
          <cell r="A599">
            <v>597</v>
          </cell>
          <cell r="B599" t="str">
            <v>토질 및 기초</v>
          </cell>
          <cell r="C599" t="str">
            <v>지하 암반 굴착 관리</v>
          </cell>
          <cell r="F599" t="str">
            <v>일률적인 일반 발파 적용으로 환경 기준(소음·진동)을 초과하여 주변 건물 균열 및 대규모 민원이 유발될 리스크를 검토하였는가?</v>
          </cell>
        </row>
        <row r="600">
          <cell r="A600">
            <v>598</v>
          </cell>
          <cell r="B600" t="str">
            <v>토질 및 기초</v>
          </cell>
          <cell r="C600" t="str">
            <v>지하구조물 누수 및 환경 관리</v>
          </cell>
          <cell r="F600" t="str">
            <v>벽체 누수 방지·유도배수 및 라돈 가스 자동 환기 대책 누락으로 구조물 내구성 및 환경 안전성이 훼손될 리스크를 검토하였는가?</v>
          </cell>
        </row>
        <row r="601">
          <cell r="A601">
            <v>599</v>
          </cell>
          <cell r="B601" t="str">
            <v>토질 및 기초</v>
          </cell>
          <cell r="C601" t="str">
            <v>지하수 및 부력 방지 대책</v>
          </cell>
          <cell r="F601" t="str">
            <v>유동해석 누락에 따른 양압력 과소평가 및 차수벽 설계 누락으로 주변 지반의 대규모 침하가 유발될 리스크를 검토하였는가?</v>
          </cell>
        </row>
        <row r="602">
          <cell r="A602">
            <v>600</v>
          </cell>
          <cell r="B602" t="str">
            <v>토질 및 기초</v>
          </cell>
          <cell r="C602" t="str">
            <v>지하안전 및 지장물 보호</v>
          </cell>
          <cell r="F602" t="str">
            <v>공간정보 시스템(GIS) 갱신용 정밀 측량·도서 계획 누락으로, 준공 후 타 공사 시 잘못된 도면으로 매설물이 파손될 리스크를 검토하였는가?</v>
          </cell>
        </row>
        <row r="603">
          <cell r="A603">
            <v>601</v>
          </cell>
          <cell r="B603" t="str">
            <v>토질 및 기초</v>
          </cell>
          <cell r="C603" t="str">
            <v>지하안전 및 지장물 보호</v>
          </cell>
          <cell r="F603" t="str">
            <v>굴착 깊이 2배 영역의 탐사 및 지장물 보호 대책 누락으로 시공 중 지반함몰이나 상수도관 파열이 발생할 리스크를 검토하였는가?</v>
          </cell>
        </row>
        <row r="604">
          <cell r="A604">
            <v>602</v>
          </cell>
          <cell r="B604" t="str">
            <v>토질 및 기초</v>
          </cell>
          <cell r="C604" t="str">
            <v>지하안전 및 지장물 보호</v>
          </cell>
          <cell r="F604" t="str">
            <v>대형 지장물(상수관, 하수BOX)의 별도 하부 지지 말뚝(Pile) 보호공법 누락으로 굴착 시 자중 탈락 및 파열될 리스크를 검토하였는가?</v>
          </cell>
        </row>
        <row r="605">
          <cell r="A605">
            <v>603</v>
          </cell>
          <cell r="B605" t="str">
            <v>토질 및 기초</v>
          </cell>
          <cell r="C605" t="str">
            <v>지하차도 굴착 및 배수 계획</v>
          </cell>
          <cell r="F605" t="str">
            <v>집수정 펌프 심도 단차 설계 부족으로, 잔류 지하수에 의해 바닥 슬래브가 침수될 리스크를 검토하였는가?</v>
          </cell>
        </row>
        <row r="606">
          <cell r="A606">
            <v>604</v>
          </cell>
          <cell r="B606" t="str">
            <v>토질 및 기초</v>
          </cell>
          <cell r="C606" t="str">
            <v>침수 대비 기초설계</v>
          </cell>
          <cell r="F606" t="str">
            <v>MCC반 기초 PAD 높이를 바닥면과 유사하게 설계해, 우기 시 제어반 침수로 펌프 가동이 전면 중단될 대형 리스크를 검토하였는가?</v>
          </cell>
        </row>
        <row r="607">
          <cell r="A607">
            <v>605</v>
          </cell>
          <cell r="B607" t="str">
            <v>토질 및 기초</v>
          </cell>
          <cell r="C607" t="str">
            <v>터파기 비탈면 구조 및 공간 계획</v>
          </cell>
          <cell r="F607" t="str">
            <v>표준기울기 및 최소 여유폭(0.8m 이상) 설계 누락으로 사면 불안정 및 작업공간 부족이 유발될 리스크를 검토하였는가?</v>
          </cell>
        </row>
        <row r="608">
          <cell r="A608">
            <v>606</v>
          </cell>
          <cell r="B608" t="str">
            <v>토질 및 기초</v>
          </cell>
          <cell r="C608" t="str">
            <v>토공사 토취/사토 관리</v>
          </cell>
          <cell r="F608" t="str">
            <v>사토장 운반비, 임시 가적치장 부지 및 환경 민원 저감 비용 누락으로 토공사 진행이 마비될 리스크를 검토하였는가?</v>
          </cell>
        </row>
        <row r="609">
          <cell r="A609">
            <v>607</v>
          </cell>
          <cell r="B609" t="str">
            <v>토질 및 기초</v>
          </cell>
          <cell r="C609" t="str">
            <v>토공사 흙쌓기 다짐 품질관리 계획</v>
          </cell>
          <cell r="F609" t="str">
            <v>시험성토 절차 및 노상(95%)·노체(90%) 다짐도 기준 누락으로 자의적 시공에 따른 노반 품질 저하가 발생할 리스크를 검토하였는가?</v>
          </cell>
        </row>
        <row r="610">
          <cell r="A610">
            <v>608</v>
          </cell>
          <cell r="B610" t="str">
            <v>토질 및 기초</v>
          </cell>
          <cell r="C610" t="str">
            <v>하천 인접구간 지하수 배제 계획</v>
          </cell>
          <cell r="F610" t="str">
            <v>직방류 전용 배수관로 및 수처리 비용 누락으로 우오수관 용량이 초과돼 도심지 침수 및 공사비 부족이 유발될 리스크를 검토하였는가?</v>
          </cell>
        </row>
        <row r="611">
          <cell r="A611">
            <v>609</v>
          </cell>
          <cell r="B611" t="str">
            <v>건축</v>
          </cell>
          <cell r="C611" t="str">
            <v>기타</v>
          </cell>
          <cell r="F611" t="str">
            <v>디자인 심의 대상 시설물(정거장, 환기구 등)의 마감재 발주 시점이 심의 완료 후로 계획되었는가?</v>
          </cell>
        </row>
        <row r="612">
          <cell r="A612">
            <v>610</v>
          </cell>
          <cell r="B612" t="str">
            <v>건축</v>
          </cell>
          <cell r="C612" t="str">
            <v>미장공</v>
          </cell>
          <cell r="F612" t="str">
            <v>노출콘크리트 마감 상단에 물끊기(Drip) 홈이나 두겁석(Coping) 상세가 반영되었는가?</v>
          </cell>
        </row>
        <row r="613">
          <cell r="A613">
            <v>611</v>
          </cell>
          <cell r="B613" t="str">
            <v>건축</v>
          </cell>
          <cell r="C613" t="str">
            <v>부대공</v>
          </cell>
          <cell r="F613" t="str">
            <v>경관심의 지적 사항(점검로, 조명 등)이 실시설계 도면과 내역에 반영되었는가?</v>
          </cell>
        </row>
        <row r="614">
          <cell r="A614">
            <v>612</v>
          </cell>
          <cell r="B614" t="str">
            <v>건축</v>
          </cell>
          <cell r="C614" t="str">
            <v>유리공사</v>
          </cell>
          <cell r="F614" t="str">
            <v>경관심의 보고서의 자재 사양(유리 두께, 접합 여부)이 내역서 품목과 일치하는가?</v>
          </cell>
        </row>
        <row r="615">
          <cell r="A615">
            <v>613</v>
          </cell>
          <cell r="B615" t="str">
            <v>건축</v>
          </cell>
          <cell r="C615" t="str">
            <v>토공</v>
          </cell>
          <cell r="F615" t="str">
            <v>원형보존구역이나 경관 보호구역 경계선과 토공 사면 끝단(Toe) 간에 여유폭이 있는가?</v>
          </cell>
        </row>
        <row r="616">
          <cell r="A616">
            <v>614</v>
          </cell>
          <cell r="B616" t="str">
            <v>건축</v>
          </cell>
          <cell r="C616" t="str">
            <v>BIM 건축설비 간섭관리</v>
          </cell>
          <cell r="F616" t="str">
            <v>3D BIM 간섭 검토 소홀로 관통 슬리브(개구부) 설계가 누락돼 시공 중 임의 코어링(천공)으로 구조체 내력이 훼손될 리스크를 검토하였는가?</v>
          </cell>
        </row>
        <row r="617">
          <cell r="A617">
            <v>615</v>
          </cell>
          <cell r="B617" t="str">
            <v>건축</v>
          </cell>
          <cell r="C617" t="str">
            <v>건축 개량 및 증축계획</v>
          </cell>
          <cell r="F617" t="str">
            <v>시설물 이설 시 신구 마감재 이음 상세 누락 및 여객 피난/보행 동선이 제한될 리스크를 검토하였는가?</v>
          </cell>
        </row>
        <row r="618">
          <cell r="A618">
            <v>616</v>
          </cell>
          <cell r="B618" t="str">
            <v>건축</v>
          </cell>
          <cell r="C618" t="str">
            <v>건축 마감계획</v>
          </cell>
          <cell r="F618" t="str">
            <v>마감재 설계 시 불연·내화재료 누락으로 화재 시 유독가스 흡입 및 대형 확산 리스크를 검토하였는가?</v>
          </cell>
        </row>
        <row r="619">
          <cell r="A619">
            <v>617</v>
          </cell>
          <cell r="B619" t="str">
            <v>건축</v>
          </cell>
          <cell r="C619" t="str">
            <v>건축 방재 및 배치계획</v>
          </cell>
          <cell r="F619" t="str">
            <v>내관할 구역능(2시간) 부족 및 가연성 마감재 계획으로 화재 시 유독가스 대형 인명피해 및 피난 지연이 유발될 리스크를 검토하였는가?</v>
          </cell>
        </row>
        <row r="620">
          <cell r="A620">
            <v>618</v>
          </cell>
          <cell r="B620" t="str">
            <v>건축</v>
          </cell>
          <cell r="C620" t="str">
            <v>건축 방재 및 배치계획</v>
          </cell>
          <cell r="F620" t="str">
            <v>환기구·수직구의 임의 배치로 지하 화재 시 유독가스 배출 지연 및 피난 동선상 치명적 병목이 발생할 리스크를 검토하였는가?</v>
          </cell>
        </row>
        <row r="621">
          <cell r="A621">
            <v>619</v>
          </cell>
          <cell r="B621" t="str">
            <v>건축</v>
          </cell>
          <cell r="C621" t="str">
            <v>건축 부대시설 계획</v>
          </cell>
          <cell r="F621" t="str">
            <v>편의시설 마감재로 가연성 재료를 설계하거나 무분별하게 배치해, 화재 취약 요인 제공 및 열차 주행·피난 동선을 간섭할 리스크를 검토하였는가?</v>
          </cell>
        </row>
        <row r="622">
          <cell r="A622">
            <v>620</v>
          </cell>
          <cell r="B622" t="str">
            <v>건축</v>
          </cell>
          <cell r="C622" t="str">
            <v>건축 승강설비 계획</v>
          </cell>
          <cell r="F622" t="str">
            <v>수요예측 및 피난 시간 미고려에 따른 승강설비 과소 설계로 출퇴근 혼잡 및 휠체어 이용객 장시간 대기가 발생할 리스크를 검토하였는가?</v>
          </cell>
        </row>
        <row r="623">
          <cell r="A623">
            <v>621</v>
          </cell>
          <cell r="B623" t="str">
            <v>건축</v>
          </cell>
          <cell r="C623" t="str">
            <v>건축 안전 및 보호설비</v>
          </cell>
          <cell r="F623" t="str">
            <v>선로 교차 위험 구간에 물리적 보호설비(안전펜스 등) 누락으로 군중 밀집 시 승객 선로 침입 및 열차 충돌 사고가 발생할 리스크를 검토하였는가?</v>
          </cell>
        </row>
        <row r="624">
          <cell r="A624">
            <v>622</v>
          </cell>
          <cell r="B624" t="str">
            <v>건축</v>
          </cell>
          <cell r="C624" t="str">
            <v>건축 유지관리계획</v>
          </cell>
          <cell r="F624" t="str">
            <v>점검 동선 및 안전 고정장치 누락으로 패널 교체 시 작업자 추락 및 막대한 장비 임대비가 발생할 리스크를 검토하였는가?</v>
          </cell>
        </row>
        <row r="625">
          <cell r="A625">
            <v>623</v>
          </cell>
          <cell r="B625" t="str">
            <v>건축</v>
          </cell>
          <cell r="C625" t="str">
            <v>건축 의장 및 마감계획</v>
          </cell>
          <cell r="F625" t="str">
            <v>철골구조미학 노출 요구조건 미달 및 내식성·내화 도장 시방 누락으로 구조물 부식 및 법적 기준 미달이 발생할 리스크를 검토하였는가?</v>
          </cell>
        </row>
        <row r="626">
          <cell r="A626">
            <v>624</v>
          </cell>
          <cell r="B626" t="str">
            <v>건축</v>
          </cell>
          <cell r="C626" t="str">
            <v>건축 피난 유도 마감재 계획</v>
          </cell>
          <cell r="F626" t="str">
            <v>무전원 야광 마감재(축광식 표지 등) 누락으로 전면 정전·농연 발생 시 승객들이 출구 방향을 잃어 대형 인명피해로 이어질 리스크를 검토하였는가?</v>
          </cell>
        </row>
        <row r="627">
          <cell r="A627">
            <v>625</v>
          </cell>
          <cell r="B627" t="str">
            <v>건축</v>
          </cell>
          <cell r="C627" t="str">
            <v>건축 환경 및 에너지계획</v>
          </cell>
          <cell r="F627" t="str">
            <v>LCC·친환경 분석 없이 저가·유지관리 곤란 자재(수성페인트 등)를 설계에 반영해, 운영 시 냉난방·보수 예산이 낭비될 리스크를 검토하였는가?</v>
          </cell>
        </row>
        <row r="628">
          <cell r="A628">
            <v>626</v>
          </cell>
          <cell r="B628" t="str">
            <v>건축</v>
          </cell>
          <cell r="C628" t="str">
            <v>건축-기계설비 인터페이스</v>
          </cell>
          <cell r="F628" t="str">
            <v>기계실·전기실 바닥 단차 및 차수턱 설계 누락으로 누수 시 전기실이 침수되어 전력이 셧다운될 리스크를 검토하였는가?</v>
          </cell>
        </row>
        <row r="629">
          <cell r="A629">
            <v>627</v>
          </cell>
          <cell r="B629" t="str">
            <v>건축</v>
          </cell>
          <cell r="C629" t="str">
            <v>건축-기계설비 인터페이스</v>
          </cell>
          <cell r="F629" t="str">
            <v>실시설계 완료 후 관련법 기준의 개수 스펙 변경, 분리선 도시 물량의 변경 리스크를 검토하였는가?</v>
          </cell>
        </row>
        <row r="630">
          <cell r="A630">
            <v>628</v>
          </cell>
          <cell r="B630" t="str">
            <v>건축</v>
          </cell>
          <cell r="C630" t="str">
            <v>건축-시스템 인터페이스</v>
          </cell>
          <cell r="F630" t="str">
            <v>충전·신호설비 공간 구성 누락으로 대형 설비가 돌출돼 승객 동선 간섭 및 미관 저하가 발생할 리스크를 검토하였는가?</v>
          </cell>
        </row>
        <row r="631">
          <cell r="A631">
            <v>629</v>
          </cell>
          <cell r="B631" t="str">
            <v>건축</v>
          </cell>
          <cell r="C631" t="str">
            <v>건축-토목 인터페이스</v>
          </cell>
          <cell r="F631" t="str">
            <v>조인트 등 누수 취약구간에 대한 유도배수 대책 및 점검구 설계 누락으로 준공 후 마감재 오염 및 탈락이 발생할 리스크를 검토하였는가?</v>
          </cell>
        </row>
        <row r="632">
          <cell r="A632">
            <v>630</v>
          </cell>
          <cell r="B632" t="str">
            <v>건축</v>
          </cell>
          <cell r="C632" t="str">
            <v>건축물 마감재 유지관리 계획</v>
          </cell>
          <cell r="F632" t="str">
            <v>일체형 마감 설계 및 점검구 누락으로 누수·균열 시 마감재 전체 파손·철거가 요구되는 유지관리 리스크를 검토하였는가?</v>
          </cell>
        </row>
        <row r="633">
          <cell r="A633">
            <v>631</v>
          </cell>
          <cell r="B633" t="str">
            <v>건축</v>
          </cell>
          <cell r="C633" t="str">
            <v>건축물 마감재 유지관리 계획</v>
          </cell>
          <cell r="F633" t="str">
            <v>랜드마크 계획 장기화 규모 축소, 상가 개방감 저해, 설치요산 유지관리비 발생 리스크를 검토하였는가?</v>
          </cell>
        </row>
        <row r="634">
          <cell r="A634">
            <v>632</v>
          </cell>
          <cell r="B634" t="str">
            <v>건축</v>
          </cell>
          <cell r="C634" t="str">
            <v>교통약자 이동편의시설 계획</v>
          </cell>
          <cell r="F634" t="str">
            <v>진입부 경사로 기울기 1/18 초과 및 내부 단차 설계로, 개통 전 BF 본인증 취득 실패 및 재시공이 발생할 리스크를 검토하였는가?</v>
          </cell>
        </row>
        <row r="635">
          <cell r="A635">
            <v>633</v>
          </cell>
          <cell r="B635" t="str">
            <v>건축</v>
          </cell>
          <cell r="C635" t="str">
            <v>기타</v>
          </cell>
          <cell r="F635" t="str">
            <v>청소 검수후 일반차 진입이 어렵다는 판단으로 소화전의 거리와 협의 후 옥외소화전 및 연결송수구의 위치를 변경 리스크를 검토하였는가?</v>
          </cell>
        </row>
        <row r="636">
          <cell r="A636">
            <v>634</v>
          </cell>
          <cell r="B636" t="str">
            <v>건축</v>
          </cell>
          <cell r="C636" t="str">
            <v>스마트 건축시공 계획</v>
          </cell>
          <cell r="F636" t="str">
            <v>IoT 변위 센서 및 ICT 스마트 안전관리 시스템 설계 누락으로 스마트 건설기술 지침을 위반하고 고위험 작업 안전 사각지대를 유발할 리스크를 검토하였는가?</v>
          </cell>
        </row>
        <row r="637">
          <cell r="A637">
            <v>635</v>
          </cell>
          <cell r="B637" t="str">
            <v>건축</v>
          </cell>
          <cell r="C637" t="str">
            <v>스마트 건축시공 계획</v>
          </cell>
          <cell r="F637" t="str">
            <v>본선 시종점 정거장 기관사 및 청소원 대기실 필요 리스크를 검토하였는가?</v>
          </cell>
        </row>
        <row r="638">
          <cell r="A638">
            <v>636</v>
          </cell>
          <cell r="B638" t="str">
            <v>건축</v>
          </cell>
          <cell r="C638" t="str">
            <v>승강장 한계관리 계획</v>
          </cell>
          <cell r="F638" t="str">
            <v>승강장·옥외 구조물 설계 시 곡선부 차량·건축한계선 미고려로 완공 후 열차 주행 공간을 간섭할 리스크를 검토하였는가?</v>
          </cell>
        </row>
        <row r="639">
          <cell r="A639">
            <v>637</v>
          </cell>
          <cell r="B639" t="str">
            <v>건축</v>
          </cell>
          <cell r="C639" t="str">
            <v>승강장 한계관리 계획</v>
          </cell>
          <cell r="F639" t="str">
            <v>미끄럼 저항성이 부족한 광택 바닥재 적용으로 우천·긴급 대피 시 승객들의 단체 미끄럼 낙상 및 압사 사고가 발생할 리스크를 검토하였는가?</v>
          </cell>
        </row>
        <row r="640">
          <cell r="A640">
            <v>638</v>
          </cell>
          <cell r="B640" t="str">
            <v>건축</v>
          </cell>
          <cell r="C640" t="str">
            <v>승강장 한계관리 계획</v>
          </cell>
          <cell r="F640" t="str">
            <v>승강장 내 불필요한 기능실 설계로 여객 동선 연장 및 병목현상이 발생해 피난 지연·압사 사고를 유발할 리스크를 검토하였는가?</v>
          </cell>
        </row>
        <row r="641">
          <cell r="A641">
            <v>639</v>
          </cell>
          <cell r="B641" t="str">
            <v>건축</v>
          </cell>
          <cell r="C641" t="str">
            <v>승강장 한계관리 계획</v>
          </cell>
          <cell r="F641" t="str">
            <v>E&amp;M 분야 전선로와의 간섭 검토 누락으로 승객 보행폭 축소 및 설치 공간이 부족해질 리스크를 검토하였는가?</v>
          </cell>
        </row>
        <row r="642">
          <cell r="A642">
            <v>640</v>
          </cell>
          <cell r="B642" t="str">
            <v>건축</v>
          </cell>
          <cell r="C642" t="str">
            <v>승무원 근무환경 및 편의시설 계획</v>
          </cell>
          <cell r="F642" t="str">
            <v>승무원 전용 휴게·대기공간 누락 및 과소 산정으로 근무환경 악화 및 피로 누적에 따른 안전 운행 저해 리스크를 검토하였는가?</v>
          </cell>
        </row>
        <row r="643">
          <cell r="A643">
            <v>641</v>
          </cell>
          <cell r="B643" t="str">
            <v>건축</v>
          </cell>
          <cell r="C643" t="str">
            <v>신재생에너지 건축 통합설계</v>
          </cell>
          <cell r="F643" t="str">
            <v>BIPV 등 통합 설계 및 하중 검토 누락으로 장비가 외관에 돌출돼 경관을 훼손할 리스크를 검토하였는가?</v>
          </cell>
        </row>
        <row r="644">
          <cell r="A644">
            <v>642</v>
          </cell>
          <cell r="B644" t="str">
            <v>건축</v>
          </cell>
          <cell r="C644" t="str">
            <v>실내 환경 및 마감계획</v>
          </cell>
          <cell r="F644" t="str">
            <v>친환경 마감재 및 접착제 기준 명시 누락으로 유해 화학 자재가 사용되어, 근무자·승객 건강 위협 및 실내공기질이 악화될 리스크를 검토하였는가?</v>
          </cell>
        </row>
        <row r="645">
          <cell r="A645">
            <v>643</v>
          </cell>
          <cell r="B645" t="str">
            <v>건축</v>
          </cell>
          <cell r="C645" t="str">
            <v>여객편의 및 무장애 설계</v>
          </cell>
          <cell r="F645" t="str">
            <v>이동편의시설(단차 제거, E/V 등) 누락으로 교통약자 접근 제한 및 BF인증에 실패할 리스크를 검토하였는가?</v>
          </cell>
        </row>
        <row r="646">
          <cell r="A646">
            <v>644</v>
          </cell>
          <cell r="B646" t="str">
            <v>건축</v>
          </cell>
          <cell r="C646" t="str">
            <v>여객편의 및 무장애 설계</v>
          </cell>
          <cell r="F646" t="str">
            <v>환승역 승하차 게이트 동선 반영(3개 이상 환승역 혼잡도 우려) 리스크를 검토하였는가?</v>
          </cell>
        </row>
        <row r="647">
          <cell r="A647">
            <v>645</v>
          </cell>
          <cell r="B647" t="str">
            <v>건축</v>
          </cell>
          <cell r="C647" t="str">
            <v>여객편의 및 무장애 설계</v>
          </cell>
          <cell r="F647" t="str">
            <v>BF 인증 관련, 정거장 기울기(1% 이하) 설치되어야 하나 조건 미충족 시 인승서비스 제공 시 상부 전력 누적 우려 증가, 운행 종료 후 자체 차체 전수이나 자체세척기 위치가 입고선에 위치하지 않아 불필요한 구내 운전 증가로 구내탈선 기점사 증가 리스크를 검토하였는가?</v>
          </cell>
        </row>
        <row r="648">
          <cell r="A648">
            <v>646</v>
          </cell>
          <cell r="B648" t="str">
            <v>건축</v>
          </cell>
          <cell r="C648" t="str">
            <v>여객편의 및 무장애 설계</v>
          </cell>
          <cell r="F648" t="str">
            <v>설계시에는 각 소화설비 적용 설계지침이 입찰안내서 설계지침에 따라 공단과 협의하여 소화기 소화설비 설계 및 반영 리스크를 검토하였는가?</v>
          </cell>
        </row>
        <row r="649">
          <cell r="A649">
            <v>647</v>
          </cell>
          <cell r="B649" t="str">
            <v>건축</v>
          </cell>
          <cell r="C649" t="str">
            <v>유지관리 건축계획</v>
          </cell>
          <cell r="F649" t="str">
            <v>고정식 일체형 마감재 설계로 구조물 균열 및 설비 누수 시 유지보수용 내부 접근이 원천적으로 차단될 리스크를 검토하였는가?</v>
          </cell>
        </row>
        <row r="650">
          <cell r="A650">
            <v>648</v>
          </cell>
          <cell r="B650" t="str">
            <v>건축</v>
          </cell>
          <cell r="C650" t="str">
            <v>인접 사업 연계 건축계획</v>
          </cell>
          <cell r="F650" t="str">
            <v>인접 철도 사업(복합환승센터, 동인선 등)과의 보행 동선 연계 및 지상 구조물 간섭 검토 누락으로, 출입구가 잘못 배치되거나 환승 동선이 단절될 리스크를 검토하였는가?</v>
          </cell>
        </row>
        <row r="651">
          <cell r="A651">
            <v>649</v>
          </cell>
          <cell r="B651" t="str">
            <v>건축</v>
          </cell>
          <cell r="C651" t="str">
            <v>인접 사업 연계 건축계획</v>
          </cell>
          <cell r="F651" t="str">
            <v>차량기지 화재 발생 리스크를 검토하였는가?</v>
          </cell>
        </row>
        <row r="652">
          <cell r="A652">
            <v>650</v>
          </cell>
          <cell r="B652" t="str">
            <v>건축</v>
          </cell>
          <cell r="C652" t="str">
            <v>정거장 건축계획</v>
          </cell>
          <cell r="F652" t="str">
            <v>차량 제원·궤도 선형 미고려로 연단거리가 50mm를 초과해 승객 발빠짐 안전사고가 유발될 리스크를 검토하였는가?</v>
          </cell>
        </row>
        <row r="653">
          <cell r="A653">
            <v>651</v>
          </cell>
          <cell r="B653" t="str">
            <v>건축</v>
          </cell>
          <cell r="C653" t="str">
            <v>정거장 건축계획</v>
          </cell>
          <cell r="F653" t="str">
            <v>상승 방식 미반영에 따른 캐노피 지붕재 물리적 충돌 및 전기적 아크(감전)가 발생할 리스크를 검토하였는가?</v>
          </cell>
        </row>
        <row r="654">
          <cell r="A654">
            <v>652</v>
          </cell>
          <cell r="B654" t="str">
            <v>건축</v>
          </cell>
          <cell r="C654" t="str">
            <v>정거장 건축계획</v>
          </cell>
          <cell r="F654" t="str">
            <v>출입구 동선 설계 시 자전거·버스 대기열과의 상충 미고려로 승객과 타 교통수단 간 접촉 사고가 발생할 리스크를 검토하였는가?</v>
          </cell>
        </row>
        <row r="655">
          <cell r="A655">
            <v>653</v>
          </cell>
          <cell r="B655" t="str">
            <v>건축</v>
          </cell>
          <cell r="C655" t="str">
            <v>정거장 건축계획</v>
          </cell>
          <cell r="F655" t="str">
            <v>옥외 설비 배치 시 건축한계선 간섭 검토 누락으로 차량 주행 중 건축 시설물과 충돌할 리스크를 검토하였는가?</v>
          </cell>
        </row>
        <row r="656">
          <cell r="A656">
            <v>654</v>
          </cell>
          <cell r="B656" t="str">
            <v>건축</v>
          </cell>
          <cell r="C656" t="str">
            <v>정거장 건축계획</v>
          </cell>
          <cell r="F656" t="str">
            <v>우천·낙빙 방지 마감재 누락 및 상부 하중 증가에 따른 하부 지하구조물 안전성 검증 누락 리스크를 검토하였는가?</v>
          </cell>
        </row>
        <row r="657">
          <cell r="A657">
            <v>655</v>
          </cell>
          <cell r="B657" t="str">
            <v>건축</v>
          </cell>
          <cell r="C657" t="str">
            <v>정거장 건축계획</v>
          </cell>
          <cell r="F657" t="str">
            <v>메쉬 패널 설계로 우천 시 침수 및 결빙(낙빙) 승객 상해사고가 발생할 리스크를 검토하였는가?</v>
          </cell>
        </row>
        <row r="658">
          <cell r="A658">
            <v>656</v>
          </cell>
          <cell r="B658" t="str">
            <v>건축</v>
          </cell>
          <cell r="C658" t="str">
            <v>정거장 건축계획</v>
          </cell>
          <cell r="F658" t="str">
            <v>배수구배 및 전용 트렌치 설계 누락으로 폭우 시 승강장 침수 및 궤도 빗물 유입이 발생할 리스크를 검토하였는가?</v>
          </cell>
        </row>
        <row r="659">
          <cell r="A659">
            <v>657</v>
          </cell>
          <cell r="B659" t="str">
            <v>건축</v>
          </cell>
          <cell r="C659" t="str">
            <v>정거장 건축계획</v>
          </cell>
          <cell r="F659" t="str">
            <v>광고판·자판기 공간이 방재 설비(소화전함 등)와 중첩 설계되어 화재 시 소화 설비 사용이 불가해질 방재 리스크를 검토하였는가?</v>
          </cell>
        </row>
        <row r="660">
          <cell r="A660">
            <v>658</v>
          </cell>
          <cell r="B660" t="str">
            <v>건축</v>
          </cell>
          <cell r="C660" t="str">
            <v>정거장 건축계획</v>
          </cell>
          <cell r="F660" t="str">
            <v>대형 특화정거장 하부 구조물(주차장 등)의 상부 하중 증가 분석 및 구조안전성 보강 검토가 누락될 리스크를 검토하였는가?</v>
          </cell>
        </row>
        <row r="661">
          <cell r="A661">
            <v>659</v>
          </cell>
          <cell r="B661" t="str">
            <v>건축</v>
          </cell>
          <cell r="C661" t="str">
            <v>정거장 건축계획</v>
          </cell>
          <cell r="F661" t="str">
            <v>대형 캐노피 등 추가 하중이 기존 지하주차장 구조 내력을 초과해 균열·붕괴를 유발할 치명적 리스크를 검토하였는가?</v>
          </cell>
        </row>
        <row r="662">
          <cell r="A662">
            <v>660</v>
          </cell>
          <cell r="B662" t="str">
            <v>건축</v>
          </cell>
          <cell r="C662" t="str">
            <v>정거장 건축계획</v>
          </cell>
          <cell r="F662" t="str">
            <v>조립식 칸막이 내/외부 재료의 법적 방재 기준(불연/준불연) 누락으로 가연성 심재가 적용돼 화재가 확산될 리스크를 검토하였는가?</v>
          </cell>
        </row>
        <row r="663">
          <cell r="A663">
            <v>661</v>
          </cell>
          <cell r="B663" t="str">
            <v>건축</v>
          </cell>
          <cell r="C663" t="str">
            <v>정거장 건축계획</v>
          </cell>
          <cell r="F663" t="str">
            <v>정거장 형식별 안내표지판 최소 수량 설계 누락으로 승객의 길찾기 혼선 및 환승 불편이 초래될 리스크를 검토하였는가?</v>
          </cell>
        </row>
        <row r="664">
          <cell r="A664">
            <v>662</v>
          </cell>
          <cell r="B664" t="str">
            <v>건축</v>
          </cell>
          <cell r="C664" t="str">
            <v>지하 부대시설 장비반입 계획</v>
          </cell>
          <cell r="F664" t="str">
            <v>3.0m×4.0m 장비반입구 및 반입동선 확보 누락으로 대형 장비 반입이 원천 불가해질 리스크를 검토하였는가?</v>
          </cell>
        </row>
        <row r="665">
          <cell r="A665">
            <v>663</v>
          </cell>
          <cell r="B665" t="str">
            <v>건축</v>
          </cell>
          <cell r="C665" t="str">
            <v>지하변전소 건축계획</v>
          </cell>
          <cell r="F665" t="str">
            <v>반입구 규격 및 동선이 장비보다 협소하게 설계되어 대형 변압기 반입이 불가해질 리스크를 검토하였는가?</v>
          </cell>
        </row>
        <row r="666">
          <cell r="A666">
            <v>664</v>
          </cell>
          <cell r="B666" t="str">
            <v>건축</v>
          </cell>
          <cell r="C666" t="str">
            <v>차량기지 검수동 건축 평면/구조 계획</v>
          </cell>
          <cell r="F666" t="str">
            <v>내부 불필요한 기둥 배치 설계로 트램 검수 동선 방해 및 천장크레인 이동 반경 제약이 발생할 리스크를 검토하였는가?</v>
          </cell>
        </row>
        <row r="667">
          <cell r="A667">
            <v>665</v>
          </cell>
          <cell r="B667" t="str">
            <v>건축</v>
          </cell>
          <cell r="C667" t="str">
            <v>차량기지 확장계획</v>
          </cell>
          <cell r="F667" t="str">
            <v>전기실·변전소 상부에 물 사용 실을 배치해, 배관 누수로 대규모 수손사고 및 트램 운행 마비가 발생할 리스크를 검토하였는가?</v>
          </cell>
        </row>
        <row r="668">
          <cell r="A668">
            <v>666</v>
          </cell>
          <cell r="B668" t="str">
            <v>건축</v>
          </cell>
          <cell r="C668" t="str">
            <v>차량기지 확장계획</v>
          </cell>
          <cell r="F668" t="str">
            <v>장래 복합화·확장용 여유 공간 확보 및 구조적 연계 상세 누락으로 증축 시 막대한 매몰비용이 발생할 리스크를 검토하였는가?</v>
          </cell>
        </row>
        <row r="669">
          <cell r="A669">
            <v>667</v>
          </cell>
          <cell r="B669" t="str">
            <v>건축</v>
          </cell>
          <cell r="C669" t="str">
            <v>차량기지 확장계획</v>
          </cell>
          <cell r="F669" t="str">
            <v>제로에너지·녹색건축물 인증용 고효율 기자재 및 신재생에너지 설계 누락으로 심사에 탈락할 리스크를 검토하였는가?</v>
          </cell>
        </row>
        <row r="670">
          <cell r="A670">
            <v>668</v>
          </cell>
          <cell r="B670" t="str">
            <v>건축</v>
          </cell>
          <cell r="C670" t="str">
            <v>차량기지 확장계획</v>
          </cell>
          <cell r="F670" t="str">
            <v>악세스 플로어 단차 및 구조 하중(서버랙 등) 누락으로 장비 반입 시 층고 부족 및 하중 초과 결함 리스크를 검토하였는가?</v>
          </cell>
        </row>
        <row r="671">
          <cell r="A671">
            <v>669</v>
          </cell>
          <cell r="B671" t="str">
            <v>건축</v>
          </cell>
          <cell r="C671" t="str">
            <v>차량기지 확장계획</v>
          </cell>
          <cell r="F671" t="str">
            <v>시민 체험시설 방문객 동선과 트램 입출고·검수 동선이 겹쳐, 일반 시민 안전사고 및 핵심 보안 구역 침해가 발생할 리스크를 검토하였는가?</v>
          </cell>
        </row>
        <row r="672">
          <cell r="A672">
            <v>670</v>
          </cell>
          <cell r="B672" t="str">
            <v>건축</v>
          </cell>
          <cell r="C672" t="str">
            <v>차량기지 확장계획</v>
          </cell>
          <cell r="F672" t="str">
            <v>트램 주행 및 크레인 가동에 따른 동적 진동하중 과소평가로, 운영 중 구조체 처짐 및 접합부 피로파괴가 유발될 리스크를 검토하였는가?</v>
          </cell>
        </row>
        <row r="673">
          <cell r="A673">
            <v>671</v>
          </cell>
          <cell r="B673" t="str">
            <v>건축</v>
          </cell>
          <cell r="C673" t="str">
            <v>특화 디자인 및 경관계획</v>
          </cell>
          <cell r="F673" t="str">
            <v>외관 설계가 디자인 가이드라인과 상이하게 계획되어 트램만의 정체성(Identity) 및 랜드마크 상징성이 훼손될 리스크를 검토하였는가?</v>
          </cell>
        </row>
        <row r="674">
          <cell r="A674">
            <v>672</v>
          </cell>
          <cell r="B674" t="str">
            <v>신호</v>
          </cell>
          <cell r="C674" t="str">
            <v>관제 신호계획</v>
          </cell>
          <cell r="F674" t="str">
            <v>트램 우선신호 로직 및 차량 검지기 설치 위치 누락·부적절로 트램·일반 차량 간 대형 충돌 사고 및 교통 체증이 발생할 리스크를 검토하였는가?</v>
          </cell>
        </row>
        <row r="675">
          <cell r="A675">
            <v>673</v>
          </cell>
          <cell r="B675" t="str">
            <v>신호</v>
          </cell>
          <cell r="C675" t="str">
            <v>관제 신호계획</v>
          </cell>
          <cell r="F675" t="str">
            <v>기존 도로신호·트램 우선신호 간 통신 방식 및 연동 로직 설계 미비로, 교차로 신호 상충에 따른 대형 교통사고 및 차량 정체 리스크를 검토하였는가?</v>
          </cell>
        </row>
        <row r="676">
          <cell r="A676">
            <v>674</v>
          </cell>
          <cell r="B676" t="str">
            <v>신호</v>
          </cell>
          <cell r="C676" t="str">
            <v>관제 신호계획</v>
          </cell>
          <cell r="F676" t="str">
            <v>정위치 정차 제어 인터페이스 기준 누락으로 휠체어 승하차 시 진입 단차가 발생할 안전사고 리스크를 검토하였는가?</v>
          </cell>
        </row>
        <row r="677">
          <cell r="A677">
            <v>675</v>
          </cell>
          <cell r="B677" t="str">
            <v>신호</v>
          </cell>
          <cell r="C677" t="str">
            <v>관제 신호계획</v>
          </cell>
          <cell r="F677" t="str">
            <v>경찰청·지자체 사전협의 및 신호 개량 승인 누락으로 우선신호가 불허되거나 지자체별 연동 규격이 상이해질 리스크를 검토하였는가?</v>
          </cell>
        </row>
        <row r="678">
          <cell r="A678">
            <v>676</v>
          </cell>
          <cell r="B678" t="str">
            <v>신호</v>
          </cell>
          <cell r="C678" t="str">
            <v>관제 신호계획</v>
          </cell>
          <cell r="F678" t="str">
            <v>히팅장치 구축 시 궤도-신호 간 배선 연결 및 제어 인터페이스 설계 불명확으로 설비 제어 불가가 발생할 리스크를 검토하였는가?</v>
          </cell>
        </row>
        <row r="679">
          <cell r="A679">
            <v>677</v>
          </cell>
          <cell r="B679" t="str">
            <v>신호</v>
          </cell>
          <cell r="C679" t="str">
            <v>관제 신호계획</v>
          </cell>
          <cell r="F679" t="str">
            <v>매립형 궤도 내 차축검지기·태그 물리적 공간(레일 절단·박스아웃) 설계 누락으로 설비 간 간섭이 발생할 리스크를 검토하였는가?</v>
          </cell>
        </row>
        <row r="684">
          <cell r="A684">
            <v>682</v>
          </cell>
          <cell r="B684" t="str">
            <v>신호</v>
          </cell>
          <cell r="C684" t="str">
            <v>관제 신호계획</v>
          </cell>
          <cell r="F684" t="str">
            <v>철도종합시험운행 절대 공기(Test Period) 및 평가 항목 과소 반영으로 개통 전 통합 인터페이스 검증을 완료하지 못할 리스크를 검토하였는가?</v>
          </cell>
        </row>
        <row r="686">
          <cell r="A686">
            <v>684</v>
          </cell>
          <cell r="B686" t="str">
            <v>신호</v>
          </cell>
          <cell r="C686" t="str">
            <v>관제 신호계획</v>
          </cell>
          <cell r="F686" t="str">
            <v>ATP 시스템 속도 감시 프로파일 및 부정출발 차단 로직 누락으로 기관사 과실 시 열차를 강제로 제어할 안전장치가 부재할 리스크를 검토하였는가?</v>
          </cell>
        </row>
        <row r="687">
          <cell r="A687">
            <v>685</v>
          </cell>
          <cell r="B687" t="str">
            <v>신호</v>
          </cell>
          <cell r="C687" t="str">
            <v>관제 신호계획</v>
          </cell>
          <cell r="F687" t="str">
            <v>일반 케이블 적용으로 화재 시 인명피해를 유발하거나 현장 기구함 방수 등급(IP56 이상) 누락으로 우기 침수 신호 장애가 발생할 리스크를 검토하였는가?</v>
          </cell>
        </row>
        <row r="688">
          <cell r="F688" t="str">
            <v>일반 케이블 적용으로 화재 시 유독가스를 초래하거나, 배관 방수 누락으로 케이블 침수·부식이 발생할 리스크를 검토하였는가?</v>
          </cell>
        </row>
        <row r="691">
          <cell r="A691">
            <v>689</v>
          </cell>
          <cell r="B691" t="str">
            <v>신호</v>
          </cell>
          <cell r="C691" t="str">
            <v>관제 신호계획</v>
          </cell>
          <cell r="F691" t="str">
            <v>3.5m 이상 높이 기준 누락 및 지장물 간섭 미고려로 기관사 시야 가림 및 차량한계 침범이 발생할 리스크를 검토하였는가?</v>
          </cell>
        </row>
        <row r="692">
          <cell r="A692">
            <v>690</v>
          </cell>
          <cell r="B692" t="str">
            <v>신호</v>
          </cell>
          <cell r="C692" t="str">
            <v>관제 신호계획</v>
          </cell>
          <cell r="F692" t="str">
            <v>1편성 점유 로직 누락 및 위치검지기 배치 불량으로 후속 트램이 진입해 교차로 내 추돌 및 교통 마비가 발생할 리스크를 검토하였는가?</v>
          </cell>
        </row>
        <row r="695">
          <cell r="A695">
            <v>693</v>
          </cell>
          <cell r="B695" t="str">
            <v>신호</v>
          </cell>
          <cell r="C695" t="str">
            <v>관제 신호계획</v>
          </cell>
          <cell r="F695" t="str">
            <v>축전지/UPS실 독립 구획 및 전자파/노이즈 차폐 설계 누락으로 신호제어 설비 통신 장애 및 화재 피해가 발생할 리스크를 검토하였는가?</v>
          </cell>
        </row>
        <row r="698">
          <cell r="A698">
            <v>696</v>
          </cell>
          <cell r="B698" t="str">
            <v>신호</v>
          </cell>
          <cell r="C698" t="str">
            <v>관제 신호계획</v>
          </cell>
          <cell r="F698" t="str">
            <v>분기부 선로전환기·신호기 간 상호 연동 로직 및 보안잠금(쇄정) 조건 누락으로, 모순된 신호 현시에 따른 트램 차량 충돌 및 탈선이 발생할 리스크를 검토하였는가?</v>
          </cell>
        </row>
        <row r="701">
          <cell r="A701">
            <v>699</v>
          </cell>
          <cell r="B701" t="str">
            <v>신호</v>
          </cell>
          <cell r="C701" t="str">
            <v>관제 신호계획</v>
          </cell>
          <cell r="F701" t="str">
            <v>핵심 신호설비의 SIL4 인증 명시 누락 및 단일계 구성 방치로, 장애 발생 시 트램 운행이 전면 마비될 리스크를 검토하였는가?</v>
          </cell>
        </row>
        <row r="710">
          <cell r="A710">
            <v>708</v>
          </cell>
          <cell r="B710" t="str">
            <v>신호</v>
          </cell>
          <cell r="C710" t="str">
            <v>관제 신호계획</v>
          </cell>
          <cell r="F710" t="str">
            <v>정전보상시간(관제 3시간, 정거장 1시간) 과소 산정 및 친환경 축전지 사양 누락으로 관제 기능 상실 및 유해가스가 발생할 리스크를 검토하였는가?</v>
          </cell>
        </row>
        <row r="716">
          <cell r="A716">
            <v>714</v>
          </cell>
          <cell r="B716" t="str">
            <v>신호</v>
          </cell>
          <cell r="C716" t="str">
            <v>관제 신호계획</v>
          </cell>
          <cell r="F716" t="str">
            <v>장치 구성 방식(집중식/분산식)에 따른 점유 면적·발열량 검토 누락으로 공간 협소 및 냉난방 공조설비가 누락될 리스크를 검토하였는가?</v>
          </cell>
        </row>
        <row r="720">
          <cell r="A720">
            <v>718</v>
          </cell>
          <cell r="B720" t="str">
            <v>신호</v>
          </cell>
          <cell r="C720" t="str">
            <v>관제 신호계획</v>
          </cell>
          <cell r="F720" t="str">
            <v>ARS 기능 구현 누락으로 관제원이 수동으로 모든 진로를 제어해 업무 과부하 및 휴먼에러(경로 오설정)가 발생할 리스크를 검토하였는가?</v>
          </cell>
        </row>
        <row r="721">
          <cell r="A721">
            <v>719</v>
          </cell>
          <cell r="B721" t="str">
            <v>신호</v>
          </cell>
          <cell r="C721" t="str">
            <v>관제 신호계획</v>
          </cell>
          <cell r="F721" t="str">
            <v>DMI 시인성 저하 및 수동운전 모드 지상신호 연계 방호 로직 누락으로, 기관사 휴먼에러 시 대형 사고를 방지할 수단이 부재할 리스크를 검토하였는가?</v>
          </cell>
        </row>
        <row r="724">
          <cell r="A724">
            <v>722</v>
          </cell>
          <cell r="B724" t="str">
            <v>신호</v>
          </cell>
          <cell r="C724" t="str">
            <v>관제 신호계획</v>
          </cell>
          <cell r="F724" t="str">
            <v>현장제어함 공간 및 횡단·공동관로 설계 누락으로 설비 반입 시 보행 동선 침해 및 관로 재시공이 발생할 리스크를 검토하였는가?</v>
          </cell>
        </row>
        <row r="725">
          <cell r="F725" t="str">
            <v>차량 부품 낙하물에 의한 선로변설비 파손 리스크를 검토하였는가?</v>
          </cell>
        </row>
        <row r="726">
          <cell r="F726" t="str">
            <v>궤도 상부 장애물 도달에 의한 차량 운행 지장 리스크를 검토하였는가?</v>
          </cell>
        </row>
        <row r="727">
          <cell r="F727" t="str">
            <v>차량한계 침범에 의한 시설물 손상 리스크를 검토하였는가?</v>
          </cell>
        </row>
        <row r="728">
          <cell r="F728" t="str">
            <v>관제사의 판단 착오로 인한 분기구간 조작 실패 리스크를 검토하였는가?</v>
          </cell>
        </row>
        <row r="729">
          <cell r="F729" t="str">
            <v>1편성 점유 신호 제어 로직 누락으로 두 대의 트램이 동시 진입해 충돌 및 교통 마비를 유발할 리스크를 검토하였는가?</v>
          </cell>
        </row>
        <row r="730">
          <cell r="F730" t="str">
            <v>기점유된 선로에 차량 오진입으로 인한 운행 장애 리스크를 검토하였는가?</v>
          </cell>
        </row>
        <row r="731">
          <cell r="F731" t="str">
            <v>교차로에서의 고장차량 또는 보행자 감지 실패 리스크를 검토하였는가?</v>
          </cell>
        </row>
        <row r="732">
          <cell r="F732" t="str">
            <v>선로전환기는 서지 등으로 인한 오작동 방지를 위해 안전제어에 의한 구동 필요 리스크를 검토하였는가?</v>
          </cell>
        </row>
        <row r="733">
          <cell r="F733" t="str">
            <v>트램우선신호 제어보드는 신호기와 무선 통신방식으로 연동 및 반영 필요 리스크를 검토하였는가?</v>
          </cell>
        </row>
        <row r="734">
          <cell r="F734" t="str">
            <v>강우시 시야 확보 지장 리스크를 검토하였는가?</v>
          </cell>
        </row>
        <row r="735">
          <cell r="F735" t="str">
            <v>선로 손상 및 파손으로 인한 운행 저해 리스크를 검토하였는가?</v>
          </cell>
        </row>
        <row r="736">
          <cell r="F736" t="str">
            <v>표지판 및 신호체계 장애 리스크를 검토하였는가?</v>
          </cell>
        </row>
        <row r="737">
          <cell r="F737" t="str">
            <v>EMI/EMC에 의한 도로신호설비 오작동 리스크를 검토하였는가?</v>
          </cell>
        </row>
        <row r="738">
          <cell r="F738" t="str">
            <v>연동장치는 SIL4 인증제품 적용 필요 리스크를 검토하였는가?</v>
          </cell>
        </row>
        <row r="739">
          <cell r="F739" t="str">
            <v>종합시운전은 21개월(약 8.5개월) 이상 필요 리스크를 검토하였는가?</v>
          </cell>
        </row>
        <row r="740">
          <cell r="F740" t="str">
            <v>설계시 ATP 형식을 최신 방식으로 설계하였으나, 발주처의 요구사항에 따라 기존 방식과 동일한 방식으로 설계 형식을 변경 리스크를 검토하였는가?</v>
          </cell>
        </row>
        <row r="741">
          <cell r="A741">
            <v>739</v>
          </cell>
          <cell r="B741" t="str">
            <v>신호</v>
          </cell>
          <cell r="C741" t="str">
            <v>도로교통 연계 안전설비</v>
          </cell>
          <cell r="F741" t="str">
            <v>돌발유고검지장치 및 음성안내장치의 전원·통신·배관 물량 누락으로 안전설비 구축이 불가해질 리스크를 검토하였는가?</v>
          </cell>
        </row>
        <row r="746">
          <cell r="F746" t="str">
            <v>수동전환 및 포인트 차단회로 설계 누락으로 정전 시 선로 고착 및 열차 점유 중 임의 전환될 리스크를 검토하였는가?</v>
          </cell>
        </row>
        <row r="747">
          <cell r="F747" t="str">
            <v>선로전환기 덮개 강성 부족 및 텅레일 밀착 기능 누락으로, 일반 차량 통과 시 파손 및 텅레일이 벌어질 리스크를 검토하였는가?</v>
          </cell>
        </row>
        <row r="755">
          <cell r="A755">
            <v>753</v>
          </cell>
          <cell r="B755" t="str">
            <v>신호</v>
          </cell>
          <cell r="C755" t="str">
            <v>터널 및 고속운행 구간 폐색설비 계획</v>
          </cell>
        </row>
        <row r="756">
          <cell r="A756">
            <v>754</v>
          </cell>
          <cell r="B756" t="str">
            <v>기계</v>
          </cell>
          <cell r="C756" t="str">
            <v>가설공사(양수기)</v>
          </cell>
          <cell r="F756" t="str">
            <v>단계별 굴착 깊이와 유입수량(지하수+우수)을 고려하여 양수기 용량 및 대수가 산정되었는가?</v>
          </cell>
        </row>
        <row r="757">
          <cell r="A757">
            <v>755</v>
          </cell>
          <cell r="B757" t="str">
            <v>기계</v>
          </cell>
          <cell r="C757" t="str">
            <v>기계설비</v>
          </cell>
          <cell r="F757" t="str">
            <v>공정별 유량 변동폭(Peak시)을 감안하여 펌프 용량 및 예비 펌프가 반영되었는가?</v>
          </cell>
        </row>
        <row r="758">
          <cell r="A758">
            <v>756</v>
          </cell>
          <cell r="B758" t="str">
            <v>기계</v>
          </cell>
          <cell r="C758" t="str">
            <v>기계설비</v>
          </cell>
          <cell r="F758" t="str">
            <v>배수펌프 제어반(MCC)이 습기로부터 안전한 장소에 배치되었는가?</v>
          </cell>
        </row>
        <row r="759">
          <cell r="A759">
            <v>757</v>
          </cell>
          <cell r="B759" t="str">
            <v>기계</v>
          </cell>
          <cell r="C759" t="str">
            <v>부대공</v>
          </cell>
          <cell r="F759" t="str">
            <v>하천변 굴착 시 지하수위 및 투수계수를 고려한 물푸기(Dewatering) 계획이 수립되었는가?</v>
          </cell>
        </row>
        <row r="760">
          <cell r="A760">
            <v>758</v>
          </cell>
          <cell r="B760" t="str">
            <v>기계</v>
          </cell>
          <cell r="C760" t="str">
            <v>시설용량증설</v>
          </cell>
          <cell r="F760" t="str">
            <v>지반조사 보고서의 투수계수를 바탕으로 유입수량이 적정하게 산정되었는가?</v>
          </cell>
        </row>
        <row r="761">
          <cell r="A761">
            <v>759</v>
          </cell>
          <cell r="B761" t="str">
            <v>기계</v>
          </cell>
          <cell r="C761" t="str">
            <v>전기/계측</v>
          </cell>
          <cell r="F761" t="str">
            <v>비상 전원 공급 라인에 핵심 배수펌프가 연결되어 있는지 회로도를 검토했는가?</v>
          </cell>
        </row>
        <row r="762">
          <cell r="A762">
            <v>760</v>
          </cell>
          <cell r="B762" t="str">
            <v>기계</v>
          </cell>
          <cell r="C762" t="str">
            <v>검수기계설비 계획</v>
          </cell>
          <cell r="F762" t="str">
            <v>작업 빈도 과소평가로 압축공기·공업용수 장비 용량이 부족해지거나 인출구 배치 부적절로 유지보수 효율이 저하될 리스크를 검토하였는가?</v>
          </cell>
        </row>
        <row r="763">
          <cell r="A763">
            <v>761</v>
          </cell>
          <cell r="B763" t="str">
            <v>기계</v>
          </cell>
          <cell r="C763" t="str">
            <v>공사중 환경기계설비 계획</v>
          </cell>
          <cell r="F763" t="str">
            <v>공사 중 폐수 발생량 과소 산정으로 처리시설 용량이 부족해져, 수질 기준을 초과한 미처리 폐수가 하천으로 무단 방류될 리스크를 검토하였는가?</v>
          </cell>
        </row>
        <row r="764">
          <cell r="A764">
            <v>762</v>
          </cell>
          <cell r="B764" t="str">
            <v>기계</v>
          </cell>
          <cell r="C764" t="str">
            <v>공조/냉난방설비 냉매 적용 계획</v>
          </cell>
          <cell r="F764" t="str">
            <v>시방서 내 HCFC 계열 냉매 금지 조항 누락으로 법적 규제 대상인 구형 냉매 장비가 반영될 환경 리스크를 검토하였는가?</v>
          </cell>
        </row>
        <row r="765">
          <cell r="A765">
            <v>763</v>
          </cell>
          <cell r="B765" t="str">
            <v>기계</v>
          </cell>
          <cell r="C765" t="str">
            <v>급수 및 소방설비 인터페이스</v>
          </cell>
          <cell r="F765" t="str">
            <v>사수방지용 칸막이 및 급수배관 단차 미적용으로 체류된 소화용수가 부패해 위생 수질 악화 및 악취 민원이 발생할 리스크를 검토하였는가?</v>
          </cell>
        </row>
        <row r="766">
          <cell r="A766">
            <v>764</v>
          </cell>
          <cell r="B766" t="str">
            <v>기계</v>
          </cell>
          <cell r="C766" t="str">
            <v>급수 및 소방설비 인터페이스</v>
          </cell>
          <cell r="F766" t="str">
            <v>설계에 반영된 급수배관의 밸브조작 및 유지관리 어려움에 따라 하향식 배관으로 변경 리스크를 검토하였는가?</v>
          </cell>
        </row>
        <row r="767">
          <cell r="A767">
            <v>765</v>
          </cell>
          <cell r="B767" t="str">
            <v>기계</v>
          </cell>
          <cell r="C767" t="str">
            <v>급수설비 신뢰성 확보</v>
          </cell>
          <cell r="F767" t="str">
            <v>시수 직결·저수조 겸용 하이브리드 급수 방식 누락으로 단수 시 화장실 및 세척용수 공급이 전면 중단될 리스크를 검토하였는가?</v>
          </cell>
        </row>
        <row r="768">
          <cell r="A768">
            <v>766</v>
          </cell>
          <cell r="B768" t="str">
            <v>기계</v>
          </cell>
          <cell r="C768" t="str">
            <v>기계 배관 라우팅(Routing) 계획</v>
          </cell>
          <cell r="F768" t="str">
            <v>기계실 상부 수계 배관 횡단 설계로 누수·결로 시 고압반 단락 및 시스템 마비를 유발할 방재 리스크를 검토하였는가?</v>
          </cell>
        </row>
        <row r="769">
          <cell r="A769">
            <v>767</v>
          </cell>
          <cell r="B769" t="str">
            <v>기계</v>
          </cell>
          <cell r="C769" t="str">
            <v>기계-건축 인터페이스</v>
          </cell>
          <cell r="F769" t="str">
            <v>기계실 면적·층고 과소 설계로 대형 장비 반입 불가 및 유지보수 작업 공간이 부족해질 리스크를 검토하였는가?</v>
          </cell>
        </row>
        <row r="770">
          <cell r="A770">
            <v>768</v>
          </cell>
          <cell r="B770" t="str">
            <v>기계</v>
          </cell>
          <cell r="C770" t="str">
            <v>기계-건축/전기 인터페이스</v>
          </cell>
          <cell r="F770" t="str">
            <v>천장 속 공간(Plenum) 밀집 배치로 시공 중 물리적 간섭 및 운영 중 밸브·댐퍼 유지보수 접근이 불가해질 리스크를 검토하였는가?</v>
          </cell>
        </row>
        <row r="771">
          <cell r="A771">
            <v>769</v>
          </cell>
          <cell r="B771" t="str">
            <v>기계</v>
          </cell>
          <cell r="C771" t="str">
            <v>기계-건축/전기 인터페이스</v>
          </cell>
          <cell r="F771" t="str">
            <v>발주처의 중간점검 요구사항에 따라 계측기 안전장비 및 전기장치에 대한 진단장비를 추가 리스크를 검토하였는가?</v>
          </cell>
        </row>
        <row r="772">
          <cell r="A772">
            <v>770</v>
          </cell>
          <cell r="B772" t="str">
            <v>기계</v>
          </cell>
          <cell r="C772" t="str">
            <v>기계-전기 인터페이스</v>
          </cell>
          <cell r="F772" t="str">
            <v>장비 전원공급 물량이 기계·전기 분야에서 누락되어 현장 장비 가동이 불가해질 인터페이스 설계 오류 리스크를 검토하였는가?</v>
          </cell>
        </row>
        <row r="773">
          <cell r="A773">
            <v>771</v>
          </cell>
          <cell r="B773" t="str">
            <v>기계</v>
          </cell>
          <cell r="C773" t="str">
            <v>기계-전기 인터페이스</v>
          </cell>
          <cell r="F773" t="str">
            <v>MCC반 기초 패드 레벨 상향 설계 누락으로 펌프보다 제어반이 먼저 침수돼 배수 기능이 완전 상실될 대형 수해 리스크를 검토하였는가?</v>
          </cell>
        </row>
        <row r="774">
          <cell r="A774">
            <v>772</v>
          </cell>
          <cell r="B774" t="str">
            <v>기계</v>
          </cell>
          <cell r="C774" t="str">
            <v>기계-전기/통신 인터페이스</v>
          </cell>
          <cell r="F774" t="str">
            <v>핵심 시스템실 상부 급·배수배관 횡단 설계로 누수 시 대형 누전 및 통신 장애(셧다운)가 발생할 리스크를 검토하였는가?</v>
          </cell>
        </row>
        <row r="775">
          <cell r="A775">
            <v>773</v>
          </cell>
          <cell r="B775" t="str">
            <v>기계</v>
          </cell>
          <cell r="C775" t="str">
            <v>기계설비 성능검증 계획</v>
          </cell>
          <cell r="F775" t="str">
            <v>T.A.B 용역 예산 및 측정공·조절댐퍼 설계 누락으로 준공 전 설비 성능(풍량·수량) 객관적 튜닝 및 검증이 불가해질 리스크를 검토하였는가?</v>
          </cell>
        </row>
        <row r="776">
          <cell r="A776">
            <v>774</v>
          </cell>
          <cell r="B776" t="str">
            <v>기계</v>
          </cell>
          <cell r="C776" t="str">
            <v>기계설비 식별 및 댐퍼 유지관리 계획</v>
          </cell>
          <cell r="F776" t="str">
            <v>식별 표지 및 전동방화댐퍼(MFD) 조작 안내표지 설계 누락으로, 유지보수 오조작 및 화재 시 수동 대처가 불가능해질 리스크를 검토하였는가?</v>
          </cell>
        </row>
        <row r="777">
          <cell r="A777">
            <v>775</v>
          </cell>
          <cell r="B777" t="str">
            <v>기계</v>
          </cell>
          <cell r="C777" t="str">
            <v>기계설비 식별 및 유지관리 계획</v>
          </cell>
          <cell r="F777" t="str">
            <v>식별표시 규격 및 MFD 조작 안내표지판 상세도 누락으로, 현장 유지관리 및 비상시 신속한 대처가 지연될 리스크를 검토하였는가?</v>
          </cell>
        </row>
        <row r="778">
          <cell r="A778">
            <v>776</v>
          </cell>
          <cell r="B778" t="str">
            <v>기계</v>
          </cell>
          <cell r="C778" t="str">
            <v>기계설비 에너지 및 환경계획</v>
          </cell>
          <cell r="F778" t="str">
            <v>시방서에 HCFC 계열 냉매·소화약제 금지 조항 누락으로 환경 규제 위반 및 장비 유지보수 시 냉매 수급이 불가해질 리스크를 검토하였는가?</v>
          </cell>
        </row>
        <row r="779">
          <cell r="A779">
            <v>777</v>
          </cell>
          <cell r="B779" t="str">
            <v>기계</v>
          </cell>
          <cell r="C779" t="str">
            <v>기계설비 에너지계획</v>
          </cell>
          <cell r="F779" t="str">
            <v>폐열회수장치 설계 누락으로 막대한 냉난방 열손실 및 에너지효율등급 인증 불이익이 발생할 리스크를 검토하였는가?</v>
          </cell>
        </row>
        <row r="780">
          <cell r="A780">
            <v>778</v>
          </cell>
          <cell r="B780" t="str">
            <v>기계</v>
          </cell>
          <cell r="C780" t="str">
            <v>기계설비 주요자재 계획</v>
          </cell>
          <cell r="F780" t="str">
            <v>내식성 임펠러 및 방진장치 등 입찰안내서 사양 누락으로 기준 미달 저가 자재가 발주될 리스크를 검토하였는가?</v>
          </cell>
        </row>
        <row r="781">
          <cell r="A781">
            <v>779</v>
          </cell>
          <cell r="B781" t="str">
            <v>기계</v>
          </cell>
          <cell r="C781" t="str">
            <v>본선 기계설비 제어계획</v>
          </cell>
          <cell r="F781" t="str">
            <v>기계설비 원격제어 및 관제실 연동 접점(I/O) 설계 누락으로, 비상시 현장 설비 가동 컨트롤이 불가능해질 리스크를 검토하였는가?</v>
          </cell>
        </row>
        <row r="782">
          <cell r="A782">
            <v>780</v>
          </cell>
          <cell r="B782" t="str">
            <v>기계</v>
          </cell>
          <cell r="C782" t="str">
            <v>본선 배수설비 계획</v>
          </cell>
          <cell r="F782" t="str">
            <v>하수관로 통수능력 검토 누락으로 우기 시 배출 용량 초과에 따른 하수도 역류 및 주변 도로 침수를 유발할 리스크를 검토하였는가?</v>
          </cell>
        </row>
        <row r="783">
          <cell r="A783">
            <v>781</v>
          </cell>
          <cell r="B783" t="str">
            <v>기계</v>
          </cell>
          <cell r="C783" t="str">
            <v>본선 배수설비 계획</v>
          </cell>
          <cell r="F783" t="str">
            <v>배수펌프 설치 위치(바닥보다 50cm 낮음) 설계 누락으로 잔류수에 의한 악취 발생 및 펌프 공회전(Cavitation)이 유발될 리스크를 검토하였는가?</v>
          </cell>
        </row>
        <row r="784">
          <cell r="A784">
            <v>782</v>
          </cell>
          <cell r="B784" t="str">
            <v>기계</v>
          </cell>
          <cell r="C784" t="str">
            <v>본선 배수설비 계획</v>
          </cell>
          <cell r="F784" t="str">
            <v>펌프 '유입량 200% 처리' 및 '30분 내 배수용 예비펌프' 수량 기준 과소 반영으로 국지성 호우 시 지하차도 침수에 대처하지 못할 리스크를 검토하였는가?</v>
          </cell>
        </row>
        <row r="785">
          <cell r="A785">
            <v>783</v>
          </cell>
          <cell r="B785" t="str">
            <v>기계</v>
          </cell>
          <cell r="C785" t="str">
            <v>본선 배수설비 계획</v>
          </cell>
          <cell r="F785" t="str">
            <v>MCC반 기초 패드 높이 과소 설계로, 지하 침수 시 제어반이 수몰돼 배수펌프 가동이 전면 중단될 대형 수해 리스크를 검토하였는가?</v>
          </cell>
        </row>
        <row r="786">
          <cell r="A786">
            <v>784</v>
          </cell>
          <cell r="B786" t="str">
            <v>기계</v>
          </cell>
          <cell r="C786" t="str">
            <v>승강설비 에너지계획</v>
          </cell>
          <cell r="F786" t="str">
            <v>엘리베이터 MRL 규격 및 에스컬레이터 인버터(자동 감지운전) 설계 누락으로, 불필요한 기계실 면적 소요 및 상시 가동에 따른 전력 에너지 낭비가 발생할 리스크를 검토하였는가?</v>
          </cell>
        </row>
        <row r="787">
          <cell r="A787">
            <v>785</v>
          </cell>
          <cell r="B787" t="str">
            <v>기계</v>
          </cell>
          <cell r="C787" t="str">
            <v>승강설비-건축/토목 인터페이스</v>
          </cell>
          <cell r="F787" t="str">
            <v>특정 제작사 최소 규격 반영으로 향후 입찰 시 타 모델 반입이 불가하거나 구조물 파쇄·재시공이 발생할 리스크를 검토하였는가?</v>
          </cell>
        </row>
        <row r="788">
          <cell r="A788">
            <v>786</v>
          </cell>
          <cell r="B788" t="str">
            <v>기계</v>
          </cell>
          <cell r="C788" t="str">
            <v>지하구간 및 정거장 제연설비 계획</v>
          </cell>
          <cell r="F788" t="str">
            <v>화재수신반 연동 및 구획별 배연모드 전환 로직 누락으로 화재 시 유독가스 배출 지연 및 승객 대피 장애를 유발할 리스크를 검토하였는가?</v>
          </cell>
        </row>
        <row r="789">
          <cell r="A789">
            <v>787</v>
          </cell>
          <cell r="B789" t="str">
            <v>기계</v>
          </cell>
          <cell r="C789" t="str">
            <v>지하구간 및 정거장 제연설비 계획</v>
          </cell>
          <cell r="F789" t="str">
            <v>배수펌프 용량 30분 내 배수 기준 미달 및 교번·동시 운전 로직 누락으로, 집중호우 시 지하차도나 정거장 궤도가 침수될 대형 재해 리스크를 검토하였는가?</v>
          </cell>
        </row>
        <row r="790">
          <cell r="A790">
            <v>788</v>
          </cell>
          <cell r="B790" t="str">
            <v>기계</v>
          </cell>
          <cell r="C790" t="str">
            <v>지하구간 및 정거장 제연설비 계획</v>
          </cell>
          <cell r="F790" t="str">
            <v>통신 분야와의 CCTV 영상 전송 인터페이스 누락 및 장비 스펙 불일치로, 갇힘 등 비상 상황 시 관제실의 즉각적 인지·초동 대처가 지연될 방재 리스크를 검토하였는가?</v>
          </cell>
        </row>
        <row r="791">
          <cell r="A791">
            <v>789</v>
          </cell>
          <cell r="B791" t="str">
            <v>기계</v>
          </cell>
          <cell r="C791" t="str">
            <v>차량기지 급수 및 소화용수 저수조 계획</v>
          </cell>
          <cell r="F791" t="str">
            <v>흡입관 단차 및 사수(Dead Water) 방지 대책 누락으로 화재 시 소화용수 고갈 및 평상시 생활용수가 오염될 리스크를 검토하였는가?</v>
          </cell>
        </row>
        <row r="792">
          <cell r="A792">
            <v>790</v>
          </cell>
          <cell r="B792" t="str">
            <v>기계</v>
          </cell>
          <cell r="C792" t="str">
            <v>차량기지 압축공기설비 계획</v>
          </cell>
          <cell r="F792" t="str">
            <v>가열흡착식 제습 장비 누락으로 겨울철 옥외·비난방 구역 공압 라인이 전면 동파될 리스크를 검토하였는가?</v>
          </cell>
        </row>
        <row r="793">
          <cell r="A793">
            <v>791</v>
          </cell>
          <cell r="B793" t="str">
            <v>기계</v>
          </cell>
          <cell r="C793" t="str">
            <v>환기 및 방재설비 계획</v>
          </cell>
          <cell r="F793" t="str">
            <v>QRA 및 3D 제연 시뮬레이션 생략으로 비상시 배연 풍속 부족 및 피난로 연기 확산이 발생할 리스크를 검토하였는가?</v>
          </cell>
        </row>
        <row r="794">
          <cell r="A794">
            <v>792</v>
          </cell>
          <cell r="B794" t="str">
            <v>기계</v>
          </cell>
          <cell r="C794" t="str">
            <v>환기 및 자동제어 계획</v>
          </cell>
          <cell r="F794" t="str">
            <v>펌프 2대 교번 및 동시운전 제어 로직 누락으로 특정 펌프 수명이 단축되거나 우기 배수 용량 부족으로 침수가 발생할 리스크를 검토하였는가?</v>
          </cell>
        </row>
        <row r="795">
          <cell r="A795">
            <v>793</v>
          </cell>
          <cell r="B795" t="str">
            <v>기계</v>
          </cell>
          <cell r="C795" t="str">
            <v>환기 및 자동제어 계획</v>
          </cell>
          <cell r="F795" t="str">
            <v>엘리베이터 내부 CCTV·상태 정보 관제 연동 누락 및 통신 라이선스 미반영으로, 비상·고장 시 중앙 관제실의 승객 안전 확인 및 신속 대응이 불가할 리스크를 검토하였는가?</v>
          </cell>
        </row>
        <row r="796">
          <cell r="A796">
            <v>794</v>
          </cell>
          <cell r="B796" t="str">
            <v>기계</v>
          </cell>
          <cell r="C796" t="str">
            <v>환기 및 자동제어 계획</v>
          </cell>
          <cell r="F796" t="str">
            <v>라돈 배출 전용 자동환기 로직 및 지상 배출 덕트 설계 누락으로 실내공기질 악화 및 승객·근무자 건강을 위협할 리스크를 검토하였는가?</v>
          </cell>
        </row>
        <row r="797">
          <cell r="A797">
            <v>795</v>
          </cell>
          <cell r="B797" t="str">
            <v>기계</v>
          </cell>
          <cell r="C797" t="str">
            <v>환기 및 자동제어 계획</v>
          </cell>
          <cell r="F797" t="str">
            <v>종합 관제실 연계 모니터링 및 중요 경보(팝업, 경광등) 로직 누락으로, 무인 운영 시 설비 고장·침수를 즉각 인지하지 못할 방재 리스크를 검토하였는가?</v>
          </cell>
        </row>
        <row r="798">
          <cell r="A798">
            <v>796</v>
          </cell>
          <cell r="B798" t="str">
            <v>기계</v>
          </cell>
          <cell r="C798" t="str">
            <v>환기 및 제연설비 내열성능 계획</v>
          </cell>
          <cell r="F798" t="str">
            <v>고온 내열 조건(250℃, 1시간 이상) 누락에 따른 일반 송풍기 적용으로, 화재 시 배연팬이 조기 고장날 방재 리스크를 검토하였는가?</v>
          </cell>
        </row>
        <row r="799">
          <cell r="A799">
            <v>797</v>
          </cell>
          <cell r="B799" t="str">
            <v>기계</v>
          </cell>
          <cell r="C799" t="str">
            <v>환기설비 에너지계획</v>
          </cell>
          <cell r="F799" t="str">
            <v>독립 냉방 및 제1종 기계환기 시스템 누락으로 하절기 전력 제어 장비가 셧다운될 리스크를 검토하였는가?</v>
          </cell>
        </row>
        <row r="800">
          <cell r="A800">
            <v>798</v>
          </cell>
          <cell r="B800" t="str">
            <v>기계</v>
          </cell>
          <cell r="C800" t="str">
            <v>환기설비 에너지계획</v>
          </cell>
          <cell r="F800" t="str">
            <v>악취 구역 음압 유지 누락 및 단순 자연환기 설계로, 오폐수 악취가 대합실·휴게 공간으로 광범위하게 확산될 환경·민원 리스크를 검토하였는가?</v>
          </cell>
        </row>
        <row r="801">
          <cell r="A801">
            <v>799</v>
          </cell>
          <cell r="B801" t="str">
            <v>기계</v>
          </cell>
          <cell r="C801" t="str">
            <v>환기설비 에너지계획</v>
          </cell>
          <cell r="F801" t="str">
            <v>배기구 역류방지댐퍼 설계 누락으로, 동절기 가동 중지 시 외부 냉기 유입에 따른 심각한 난방 에너지 손실 및 덕트 표면 결로수 적하 리스크를 검토하였는가?</v>
          </cell>
        </row>
        <row r="802">
          <cell r="A802">
            <v>800</v>
          </cell>
          <cell r="B802" t="str">
            <v>기계</v>
          </cell>
          <cell r="C802" t="str">
            <v>환기설비 에너지계획</v>
          </cell>
          <cell r="F802" t="str">
            <v>공인 T.A.B 계획 및 조정용 댐퍼(VD) 누락으로, 시공 후 공기질 불균형·과냉난방 시 기술적 보정이 불가할 리스크를 검토하였는가?</v>
          </cell>
        </row>
        <row r="803">
          <cell r="A803">
            <v>801</v>
          </cell>
          <cell r="B803" t="str">
            <v>기계</v>
          </cell>
          <cell r="C803" t="str">
            <v>환기설비 에너지계획</v>
          </cell>
          <cell r="F803" t="str">
            <v>라돈 가스 지상부 배출 대책 및 농도 연동 자동환기 로직 누락으로 승객·작업자가 유해 방사능에 지속 노출될 환경 보건 리스크를 검토하였는가?</v>
          </cell>
        </row>
        <row r="804">
          <cell r="A804">
            <v>802</v>
          </cell>
          <cell r="B804" t="str">
            <v>소방</v>
          </cell>
          <cell r="C804" t="str">
            <v>전력</v>
          </cell>
          <cell r="F804" t="str">
            <v>기계(소방) 도면에 표시된 모든 소화전 함 위치에 전기 도면상 전원/통신 배관이 연결되어 있는가?</v>
          </cell>
        </row>
        <row r="805">
          <cell r="A805">
            <v>803</v>
          </cell>
          <cell r="B805" t="str">
            <v>소방</v>
          </cell>
          <cell r="C805" t="str">
            <v>가스계 자동소화설비</v>
          </cell>
          <cell r="F805" t="str">
            <v>기밀성 확보 요건 및 도어팬테스트 누락으로 소화가스 누설 및 소화농도 미달로 진압에 실패할 리스크를 검토하였는가?</v>
          </cell>
        </row>
        <row r="806">
          <cell r="A806">
            <v>804</v>
          </cell>
          <cell r="B806" t="str">
            <v>소방</v>
          </cell>
          <cell r="C806" t="str">
            <v>가스계 자동소화설비</v>
          </cell>
          <cell r="F806" t="str">
            <v>과압배출구 설계 및 기밀성 시험(Door Fan Test) 누락으로 구조물 파손 및 약제 유출로 소화농도 유지에 실패할 리스크를 검토하였는가?</v>
          </cell>
        </row>
        <row r="807">
          <cell r="A807">
            <v>805</v>
          </cell>
          <cell r="B807" t="str">
            <v>소방</v>
          </cell>
          <cell r="C807" t="str">
            <v>가스계 자동소화설비</v>
          </cell>
          <cell r="F807" t="str">
            <v>KFI 미인증 설계 프로그램 사용으로 약제량 및 배관 관경 산출에 오류가 발생할 방재 리스크를 검토하였는가?</v>
          </cell>
        </row>
        <row r="808">
          <cell r="A808">
            <v>806</v>
          </cell>
          <cell r="B808" t="str">
            <v>소방</v>
          </cell>
          <cell r="C808" t="str">
            <v>가스계 자동소화설비</v>
          </cell>
          <cell r="F808" t="str">
            <v>KFI 인증 프로그램 미사용 및 도면·계산서 불일치로 방사 시 적정 소화농도 도달에 실패할 리스크를 검토하였는가?</v>
          </cell>
        </row>
        <row r="809">
          <cell r="A809">
            <v>807</v>
          </cell>
          <cell r="B809" t="str">
            <v>소방</v>
          </cell>
          <cell r="C809" t="str">
            <v>가스계 자동소화설비</v>
          </cell>
          <cell r="F809" t="str">
            <v>수배전반 내 소공간 가스 자동소화장치 누락으로 단락 화재 시 조기 소화에 실패해 고가 전기설비가 전소될 리스크를 검토하였는가?</v>
          </cell>
        </row>
        <row r="810">
          <cell r="A810">
            <v>808</v>
          </cell>
          <cell r="B810" t="str">
            <v>소방</v>
          </cell>
          <cell r="C810" t="str">
            <v>건설현장 임시소방시설 계획</v>
          </cell>
          <cell r="F810" t="str">
            <v>설계 내역에 건설현장 임시소방시설(간이소화장치, 방화포 등)이 누락돼, 안전 비용 부족으로 시공사가 화재 예방을 소홀히 할 리스크를 검토하였는가?</v>
          </cell>
        </row>
        <row r="811">
          <cell r="A811">
            <v>809</v>
          </cell>
          <cell r="B811" t="str">
            <v>소방</v>
          </cell>
          <cell r="C811" t="str">
            <v>건설현장 임시소방시설 계획</v>
          </cell>
          <cell r="F811" t="str">
            <v>임시소방시설(간이소화장치, 방화포 등) 내역 누락으로 현장 용접 시 화재 초동 대처 수단이 부재할 리스크를 검토하였는가?</v>
          </cell>
        </row>
        <row r="812">
          <cell r="A812">
            <v>810</v>
          </cell>
          <cell r="B812" t="str">
            <v>소방</v>
          </cell>
          <cell r="C812" t="str">
            <v>검수고 소방설비 계획</v>
          </cell>
          <cell r="F812" t="str">
            <v>고천장 구역 일반 연기식 감지기 설계로 크레인 간섭, 감지 지연 및 점검·교체가 불가해질 리스크를 검토하였는가?</v>
          </cell>
        </row>
        <row r="813">
          <cell r="A813">
            <v>811</v>
          </cell>
          <cell r="B813" t="str">
            <v>소방</v>
          </cell>
          <cell r="C813" t="str">
            <v>방화구획 관통부 마감 계획</v>
          </cell>
          <cell r="F813" t="str">
            <v>관통부 틈새 내화채움구조 설계 누락으로 유독가스와 화염이 타 구획으로 급격히 확산될 대형 방재 리스크를 검토하였는가?</v>
          </cell>
        </row>
        <row r="814">
          <cell r="A814">
            <v>812</v>
          </cell>
          <cell r="B814" t="str">
            <v>소방</v>
          </cell>
          <cell r="C814" t="str">
            <v>소방 내진설비 계획</v>
          </cell>
          <cell r="F814" t="str">
            <v>내진설계(방파판, 스토퍼, 버팀대) 누락으로 지진 시 소방시스템 파손 및 초기 진압에 실패할 리스크를 검토하였는가?</v>
          </cell>
        </row>
        <row r="815">
          <cell r="A815">
            <v>813</v>
          </cell>
          <cell r="B815" t="str">
            <v>소방</v>
          </cell>
          <cell r="C815" t="str">
            <v>소방 내진설비 계획</v>
          </cell>
          <cell r="F815" t="str">
            <v>내진설비(방파판, 스토퍼, 버팀대) 물량 누락으로 지진 발생 시 소방 기능이 마비될 리스크를 검토하였는가?</v>
          </cell>
        </row>
        <row r="816">
          <cell r="A816">
            <v>814</v>
          </cell>
          <cell r="B816" t="str">
            <v>소방</v>
          </cell>
          <cell r="C816" t="str">
            <v>소방 설계도서 일치화 계획</v>
          </cell>
          <cell r="F816" t="str">
            <v>도면의 '호스릴 옥내소화전'을 내역서에 '일반 옥내소화전'으로 오기해 시공 시 공사비 부족 및 잦은 설계변경이 유발될 리스크를 검토하였는가?</v>
          </cell>
        </row>
        <row r="817">
          <cell r="A817">
            <v>815</v>
          </cell>
          <cell r="B817" t="str">
            <v>소방</v>
          </cell>
          <cell r="C817" t="str">
            <v>소방 전원계획</v>
          </cell>
          <cell r="F817" t="str">
            <v>비상전원 용량 부족 및 소방 간선 일반 케이블 적용으로 화재 초기 전원 단선에 따른 소방설비 전면 마비 리스크를 검토하였는가?</v>
          </cell>
        </row>
        <row r="818">
          <cell r="A818">
            <v>816</v>
          </cell>
          <cell r="B818" t="str">
            <v>소방</v>
          </cell>
          <cell r="C818" t="str">
            <v>소방 통신설비 계획</v>
          </cell>
          <cell r="F818" t="str">
            <v>무선통신보조설비 누락 및 경로 간섭 방치로 화재 시 소방대원 무전 교신이 불가해질 리스크를 검토하였는가?</v>
          </cell>
        </row>
        <row r="819">
          <cell r="A819">
            <v>817</v>
          </cell>
          <cell r="B819" t="str">
            <v>소방</v>
          </cell>
          <cell r="C819" t="str">
            <v>소방-건축 인터페이스</v>
          </cell>
          <cell r="F819" t="str">
            <v>특별피난계단·제연전실 인터페이스 설계 누락으로 피난 동선에 유독가스가 확산돼 승객 대피가 불가해질 리스크를 검토하였는가?</v>
          </cell>
        </row>
        <row r="820">
          <cell r="A820">
            <v>818</v>
          </cell>
          <cell r="B820" t="str">
            <v>소방</v>
          </cell>
          <cell r="C820" t="str">
            <v>소방-기계/전기 인터페이스</v>
          </cell>
          <cell r="F820" t="str">
            <v>수신반·자동제어 간 기동정지 연동 접점(Point) 누락으로 화재 시 기존 공조팬이 가동돼 유독가스를 타 구역으로 확산시킬 리스크를 검토하였는가?</v>
          </cell>
        </row>
        <row r="821">
          <cell r="A821">
            <v>819</v>
          </cell>
          <cell r="B821" t="str">
            <v>소방</v>
          </cell>
          <cell r="C821" t="str">
            <v>소방-자동제어 인터페이스</v>
          </cell>
          <cell r="F821" t="str">
            <v>관제실 화재 연동 제어망 누락 및 일반 케이블 적용으로 화재 시 통신 단절·전원 소손에 의해 소방시스템이 마비될 리스크를 검토하였는가?</v>
          </cell>
        </row>
        <row r="822">
          <cell r="A822">
            <v>820</v>
          </cell>
          <cell r="B822" t="str">
            <v>소방</v>
          </cell>
          <cell r="C822" t="str">
            <v>소방-자동제어 인터페이스</v>
          </cell>
          <cell r="F822" t="str">
            <v>소방 수신반-관제실 간 원격 감시·제어망 연동 누락 및 프로토콜 불일치로 화재 시 재난 상황을 즉시 인지하지 못할 리스크를 검토하였는가?</v>
          </cell>
        </row>
        <row r="823">
          <cell r="A823">
            <v>821</v>
          </cell>
          <cell r="B823" t="str">
            <v>소방</v>
          </cell>
          <cell r="C823" t="str">
            <v>소방설비 종합시운전 및 경비 반영 계획</v>
          </cell>
          <cell r="F823" t="str">
            <v>시운전 수자원·전력 경비 누락으로 시공사가 형식적 무부하(No-Load) 테스트만 수행할 리스크를 검토하였는가?</v>
          </cell>
        </row>
        <row r="824">
          <cell r="A824">
            <v>822</v>
          </cell>
          <cell r="B824" t="str">
            <v>소방</v>
          </cell>
          <cell r="C824" t="str">
            <v>소방자재 방재계획</v>
          </cell>
          <cell r="F824" t="str">
            <v>마감재 불연/내화재료 및 전선류 저독성 난연성능(HF-CO 등) 명기 누락으로 화재 시 급격한 연소 확대 및 유독가스가 발생할 리스크를 검토하였는가?</v>
          </cell>
        </row>
        <row r="825">
          <cell r="A825">
            <v>823</v>
          </cell>
          <cell r="B825" t="str">
            <v>소방</v>
          </cell>
          <cell r="C825" t="str">
            <v>수계 소화배관 보온계획</v>
          </cell>
          <cell r="F825" t="str">
            <v>외기 노출 구역 동파방지용 열선·보온재 누락으로 혹한기 배관 결빙·파열에 따른 수계 소화설비 가동 전면 불능 리스크를 검토하였는가?</v>
          </cell>
        </row>
        <row r="826">
          <cell r="A826">
            <v>824</v>
          </cell>
          <cell r="B826" t="str">
            <v>소방</v>
          </cell>
          <cell r="C826" t="str">
            <v>수계 소화배관 인터페이스</v>
          </cell>
          <cell r="F826" t="str">
            <v>스프링클러·옥내소화전 주배관 겸용 설계로 법을 위반하거나 상수도 직결 누락으로 정전 시 소화수 공급이 중단될 리스크를 검토하였는가?</v>
          </cell>
        </row>
        <row r="827">
          <cell r="A827">
            <v>825</v>
          </cell>
          <cell r="B827" t="str">
            <v>소방</v>
          </cell>
          <cell r="C827" t="str">
            <v>수계 소화배관 인터페이스</v>
          </cell>
          <cell r="F827" t="str">
            <v>연결송수관을 소방용(건식) 전용 설계해 검사고 살수 겸용 입찰안내서 지침을 위반하거나 배관 내 사수가 발생할 리스크를 검토하였는가?</v>
          </cell>
        </row>
        <row r="828">
          <cell r="A828">
            <v>826</v>
          </cell>
          <cell r="B828" t="str">
            <v>소방</v>
          </cell>
          <cell r="C828" t="str">
            <v>옥외 및 노출 소방배관 동파방지 계획</v>
          </cell>
          <cell r="F828" t="str">
            <v>비난방 구역 동파방지 열선·보온재 누락으로 한파 시 배관 동파 및 소화수 누출로 기지 소방 기능이 마비될 리스크를 검토하였는가?</v>
          </cell>
        </row>
        <row r="829">
          <cell r="A829">
            <v>827</v>
          </cell>
          <cell r="B829" t="str">
            <v>소방</v>
          </cell>
          <cell r="C829" t="str">
            <v>자동화재탐지설비 계획</v>
          </cell>
          <cell r="F829" t="str">
            <v>일반형(비주소형) 감지기 적용으로 발화 위치 파악 지연 및 잦은 오작동(비화재보)에 의해 소방 시스템 신뢰성이 저하될 리스크를 검토하였는가?</v>
          </cell>
        </row>
        <row r="830">
          <cell r="A830">
            <v>828</v>
          </cell>
          <cell r="B830" t="str">
            <v>소방</v>
          </cell>
          <cell r="C830" t="str">
            <v>정거장 및 기지 소화·구조설비 계획</v>
          </cell>
          <cell r="F830" t="str">
            <v>소화기 간격(20m 이내) 초과 및 지하층 공기호흡기(2대 이상) 누락으로 초기 진화 실패 및 고립 승객 질식 위험이 가중될 리스크를 검토하였는가?</v>
          </cell>
        </row>
        <row r="831">
          <cell r="A831">
            <v>829</v>
          </cell>
          <cell r="B831" t="str">
            <v>소방</v>
          </cell>
          <cell r="C831" t="str">
            <v>정거장 및 기지 소화·구조설비 계획</v>
          </cell>
          <cell r="F831" t="str">
            <v>면적·구역원 과소평가로 스프링클러 누락 및 옥내소화전 간격 25m 초과로 소화 사각지대가 발생할 리스크를 검토하였는가?</v>
          </cell>
        </row>
        <row r="832">
          <cell r="A832">
            <v>830</v>
          </cell>
          <cell r="B832" t="str">
            <v>소방</v>
          </cell>
          <cell r="C832" t="str">
            <v>제연설비 성능검증</v>
          </cell>
          <cell r="F832" t="str">
            <v>제연 기류속도 설계 오류(2.5m/s 미만 또는 3.0m/s 초과)로 연기 확산 및 승객 피난 보행을 방해할 방재 리스크를 검토하였는가?</v>
          </cell>
        </row>
        <row r="833">
          <cell r="A833">
            <v>831</v>
          </cell>
          <cell r="B833" t="str">
            <v>소방</v>
          </cell>
          <cell r="C833" t="str">
            <v>제연설비 성능검증</v>
          </cell>
          <cell r="F833" t="str">
            <v>제연설비 설계 시 시뮬레이션 검증 누락으로 기류 제어 및 배연 성능이 부족해 대규모 질식사고가 발생할 리스크를 검토하였는가?</v>
          </cell>
        </row>
        <row r="834">
          <cell r="A834">
            <v>832</v>
          </cell>
          <cell r="B834" t="str">
            <v>소방</v>
          </cell>
          <cell r="C834" t="str">
            <v>제연설비 성능검증</v>
          </cell>
          <cell r="F834" t="str">
            <v>제연 방식 분석 및 환기설비 화재 연동 제어 계획 누락으로 대공간 화재 시 농연 배출에 실패할 리스크를 검토하였는가?</v>
          </cell>
        </row>
        <row r="835">
          <cell r="A835">
            <v>833</v>
          </cell>
          <cell r="B835" t="str">
            <v>소방</v>
          </cell>
          <cell r="C835" t="str">
            <v>제연설비 성능검증</v>
          </cell>
          <cell r="F835" t="str">
            <v>내열성능(250℃, 1시간) 규격 누락으로 일반 자재가 적용돼 화재 시 제연팬이 조기 소손될 리스크를 검토하였는가?</v>
          </cell>
        </row>
        <row r="836">
          <cell r="A836">
            <v>834</v>
          </cell>
          <cell r="B836" t="str">
            <v>소방</v>
          </cell>
          <cell r="C836" t="str">
            <v>지하구간 소화활동설비 계획</v>
          </cell>
          <cell r="F836" t="str">
            <v>터널 방수구 간격 50m 초과 설계로 화재 시 소방호스 도달 거리가 부족해 초기 진압에 실패할 리스크를 검토하였는가?</v>
          </cell>
        </row>
        <row r="837">
          <cell r="A837">
            <v>835</v>
          </cell>
          <cell r="B837" t="str">
            <v>소방</v>
          </cell>
          <cell r="C837" t="str">
            <v>지하구간 소화활동설비 계획</v>
          </cell>
          <cell r="F837" t="str">
            <v>소방펌프 토출측 상수도 직결 배관 누락으로 대규모 정전 시 수계 소화설비가 무용지물이 될 대형 방재 리스크를 검토하였는가?</v>
          </cell>
        </row>
        <row r="838">
          <cell r="A838">
            <v>836</v>
          </cell>
          <cell r="B838" t="str">
            <v>소방</v>
          </cell>
          <cell r="C838" t="str">
            <v>피난 및 약자보호 계획</v>
          </cell>
          <cell r="F838" t="str">
            <v>시각경보기 등 피난유도설비 누락 및 광원 사각지대 발생으로, 화재 시 교통약자가 대피 타이밍을 놓쳐 대형 인명피해가 유발될 리스크를 검토하였는가?</v>
          </cell>
        </row>
        <row r="839">
          <cell r="A839">
            <v>837</v>
          </cell>
          <cell r="B839" t="str">
            <v>소방</v>
          </cell>
          <cell r="C839" t="str">
            <v>피난 및 약자보호 계획</v>
          </cell>
          <cell r="F839" t="str">
            <v>지상 직통 특별피난계단 및 제연설비 누락으로 화재 시 대피로를 미확보해 다수 승객이 질식할 대형 재난 리스크를 검토하였는가?</v>
          </cell>
        </row>
        <row r="840">
          <cell r="A840">
            <v>838</v>
          </cell>
          <cell r="B840" t="str">
            <v>통신</v>
          </cell>
          <cell r="C840" t="str">
            <v>CCTV 및 영상감시설비 계획</v>
          </cell>
          <cell r="F840" t="str">
            <v>구조물(캐노피, 기둥 등) 시야 가림 검토 누락 및 대역폭 과소 설계로 CCTV 사각지대 및 실시간 영상 끊김이 발생할 리스크를 검토하였는가?</v>
          </cell>
        </row>
        <row r="841">
          <cell r="A841">
            <v>839</v>
          </cell>
          <cell r="B841" t="str">
            <v>통신</v>
          </cell>
          <cell r="C841" t="str">
            <v>경영정보설비(MIS) 고도화 계획</v>
          </cell>
          <cell r="F841" t="str">
            <v>승객혼잡도·RAM 분석 모듈 누락으로 배차 최적화 실패 및 예방적 유지보수 전환이 불가해질 리스크를 검토하였는가?</v>
          </cell>
        </row>
        <row r="842">
          <cell r="A842">
            <v>840</v>
          </cell>
          <cell r="B842" t="str">
            <v>통신</v>
          </cell>
          <cell r="C842" t="str">
            <v>경영정보설비(MIS) 구축 계획</v>
          </cell>
          <cell r="F842" t="str">
            <v>MIS 설계 시 검수시스템 연계 S/W 개발비 누락 및 서버 H/W 사양 과소 반영으로 트램 운영·유지보수 데이터 처리에 병목현상이 발생할 리스크를 검토하였는가?</v>
          </cell>
        </row>
        <row r="843">
          <cell r="A843">
            <v>841</v>
          </cell>
          <cell r="B843" t="str">
            <v>통신</v>
          </cell>
          <cell r="C843" t="str">
            <v>경영정보설비(MIS) 구축 계획</v>
          </cell>
          <cell r="F843" t="str">
            <v>건설단계에서 MIS 설비구축 필요 리스크를 검토하였는가?</v>
          </cell>
        </row>
        <row r="844">
          <cell r="A844">
            <v>842</v>
          </cell>
          <cell r="B844" t="str">
            <v>통신</v>
          </cell>
          <cell r="C844" t="str">
            <v>경영정보설비(MIS) 서버 계획</v>
          </cell>
          <cell r="F844" t="str">
            <v>가상화 기반 자원 배분 및 Active-Standby 이중화 구성 누락으로, 단일 서버 장애 시 MIS 및 검수 시스템 전체가 마비될 리스크를 검토하였는가?</v>
          </cell>
        </row>
        <row r="845">
          <cell r="A845">
            <v>843</v>
          </cell>
          <cell r="B845" t="str">
            <v>통신</v>
          </cell>
          <cell r="C845" t="str">
            <v>국가재난통신망 및 타 통신망 연계 계획</v>
          </cell>
          <cell r="F845" t="str">
            <v>PS-LTE 등 타 통신망 주파수 간섭 방지 설계 누락으로 운영 중 혼신에 의한 관제 통신 두절 리스크를 검토하였는가?</v>
          </cell>
        </row>
        <row r="846">
          <cell r="A846">
            <v>844</v>
          </cell>
          <cell r="B846" t="str">
            <v>통신</v>
          </cell>
          <cell r="C846" t="str">
            <v>대열차 공간화상장치 차상 연계 계획</v>
          </cell>
          <cell r="F846" t="str">
            <v>LTE-R 영상 전송 설계 누락으로 1인 승무 기관사의 승하차 실시간 확인이 불가해 출입문 끼임 등 안전사고가 발생할 리스크를 검토하였는가?</v>
          </cell>
        </row>
        <row r="847">
          <cell r="A847">
            <v>845</v>
          </cell>
          <cell r="B847" t="str">
            <v>통신</v>
          </cell>
          <cell r="C847" t="str">
            <v>소프트웨어 아키텍처 및 품질관리</v>
          </cell>
          <cell r="F847" t="str">
            <v>MIS 역할 기반 권한 분리 및 성능 테스트 요건 누락으로 데이터 위변조 및 쿼리 과부하 응답 지연 발생 리스크를 검토하였는가?</v>
          </cell>
        </row>
        <row r="848">
          <cell r="A848">
            <v>846</v>
          </cell>
          <cell r="B848" t="str">
            <v>통신</v>
          </cell>
          <cell r="C848" t="str">
            <v>역무자동화설비 계획</v>
          </cell>
          <cell r="F848" t="str">
            <v>무임승차 방지 솔루션 및 통합운임체계 연동 누락으로 영업손실 및 환승 정산 오류가 발생할 리스크를 검토하였는가?</v>
          </cell>
        </row>
        <row r="849">
          <cell r="A849">
            <v>847</v>
          </cell>
          <cell r="B849" t="str">
            <v>통신</v>
          </cell>
          <cell r="C849" t="str">
            <v>역무자동화설비(AFC) 구축 계획</v>
          </cell>
          <cell r="F849" t="str">
            <v>게이트 방식 오적용으로 정거장 개방형 보행 동선을 훼손하고 건축·통신 예산이 낭비될 리스크를 검토하였는가?</v>
          </cell>
        </row>
        <row r="850">
          <cell r="A850">
            <v>848</v>
          </cell>
          <cell r="B850" t="str">
            <v>통신</v>
          </cell>
          <cell r="C850" t="str">
            <v>열차무선설비 계획</v>
          </cell>
          <cell r="F850" t="str">
            <v>전파환경 분석 누락으로 LTE-R 통신 음영구역이 발생해 비상 통신 및 데이터 송수신이 두절될 리스크를 검토하였는가?</v>
          </cell>
        </row>
        <row r="851">
          <cell r="A851">
            <v>849</v>
          </cell>
          <cell r="B851" t="str">
            <v>통신</v>
          </cell>
          <cell r="C851" t="str">
            <v>열차무선설비 계획</v>
          </cell>
          <cell r="F851" t="str">
            <v>타 망 주파수 간섭 분석 및 연동 누락으로 통신 저하 및 재난 시 통합 지휘 통신이 불가해질 리스크를 검토하였는가?</v>
          </cell>
        </row>
        <row r="852">
          <cell r="A852">
            <v>850</v>
          </cell>
          <cell r="B852" t="str">
            <v>통신</v>
          </cell>
          <cell r="C852" t="str">
            <v>열차무선설비 계획</v>
          </cell>
          <cell r="F852" t="str">
            <v>관제실-객실 간 양방향 통신(비상인터폰, 관제원격방송) 연동 로직 누락으로 비상시 관제실 직접 개입 및 승객 통제가 불가해질 리스크를 검토하였는가?</v>
          </cell>
        </row>
        <row r="853">
          <cell r="A853">
            <v>851</v>
          </cell>
          <cell r="B853" t="str">
            <v>통신</v>
          </cell>
          <cell r="C853" t="str">
            <v>열차무선설비 계획</v>
          </cell>
          <cell r="F853" t="str">
            <v>무선국 허가 비용 및 TTA 표준/보안적합성 평가 수수료·기간 누락으로 인허가가 지연돼 개통 일정에 차질이 발생할 리스크를 검토하였는가?</v>
          </cell>
        </row>
        <row r="854">
          <cell r="A854">
            <v>852</v>
          </cell>
          <cell r="B854" t="str">
            <v>통신</v>
          </cell>
          <cell r="C854" t="str">
            <v>영상전송 및 감시설비 계획</v>
          </cell>
          <cell r="F854" t="str">
            <v>CCTV(P/T, 돔 등) 수량·위치 오류로 사각지대가 발생하거나 지능형 영상분석 및 대역폭 미반영으로 관제 효율성이 저하될 리스크를 검토하였는가?</v>
          </cell>
        </row>
        <row r="855">
          <cell r="A855">
            <v>853</v>
          </cell>
          <cell r="B855" t="str">
            <v>통신</v>
          </cell>
          <cell r="C855" t="str">
            <v>재난방송수신설비 계획</v>
          </cell>
          <cell r="F855" t="str">
            <v>행선안내 및 화재수신반 시스템 연동(I/O) 누락으로 평시 승객 안내 부재 및 비상시 대피 지연이 발생할 리스크를 검토하였는가?</v>
          </cell>
        </row>
        <row r="856">
          <cell r="A856">
            <v>854</v>
          </cell>
          <cell r="B856" t="str">
            <v>통신</v>
          </cell>
          <cell r="C856" t="str">
            <v>재난방송수신설비 계획</v>
          </cell>
          <cell r="F856" t="str">
            <v>행선안내·자동방송 데이터 연동 및 관제실 원격방송 라우팅 누락으로, 이례상황 시 신속한 안내 및 대피 유도가 불가능해질 리스크를 검토하였는가?</v>
          </cell>
        </row>
        <row r="857">
          <cell r="A857">
            <v>855</v>
          </cell>
          <cell r="B857" t="str">
            <v>통신</v>
          </cell>
          <cell r="C857" t="str">
            <v>재난방송수신설비 계획</v>
          </cell>
          <cell r="F857" t="str">
            <v>지하구간 FM/DMB 재난방송수신설비 누락으로 재난 시 승객에 대한 민방위 경보 등 긴급 정보 전달이 원천 차단될 방재 리스크를 검토하였는가?</v>
          </cell>
        </row>
        <row r="858">
          <cell r="A858">
            <v>856</v>
          </cell>
          <cell r="B858" t="str">
            <v>통신</v>
          </cell>
          <cell r="C858" t="str">
            <v>재난방송수신설비 계획</v>
          </cell>
          <cell r="F858" t="str">
            <v>지하시설물 재난방송(FM/DMB) 중계기 누락으로 재난 시 승객의 대피 안내방송 청취가 불가할 리스크를 검토하였는가?</v>
          </cell>
        </row>
        <row r="859">
          <cell r="A859">
            <v>857</v>
          </cell>
          <cell r="B859" t="str">
            <v>통신</v>
          </cell>
          <cell r="C859" t="str">
            <v>정거장 비상통화설비 계획</v>
          </cell>
          <cell r="F859" t="str">
            <v>전기/신호/통신 개별 함체 설계로 승강장 보행 공간을 잠식하고 도심 경관을 훼손할 리스크를 검토하였는가?</v>
          </cell>
        </row>
        <row r="860">
          <cell r="A860">
            <v>858</v>
          </cell>
          <cell r="B860" t="str">
            <v>통신</v>
          </cell>
          <cell r="C860" t="str">
            <v>정거장 비상통화설비 계획</v>
          </cell>
          <cell r="F860" t="str">
            <v>관제원 직결 비상전화설비 누락으로 신속한 구조 요청 지연 및 골든타임을 놓칠 리스크를 검토하였는가?</v>
          </cell>
        </row>
        <row r="861">
          <cell r="A861">
            <v>859</v>
          </cell>
          <cell r="B861" t="str">
            <v>통신</v>
          </cell>
          <cell r="C861" t="str">
            <v>정거장 비상통화설비 계획</v>
          </cell>
          <cell r="F861" t="str">
            <v>정거장 무정전 전원 장치 화재 발생 리스크를 검토하였는가?</v>
          </cell>
        </row>
        <row r="862">
          <cell r="A862">
            <v>860</v>
          </cell>
          <cell r="B862" t="str">
            <v>통신</v>
          </cell>
          <cell r="C862" t="str">
            <v>정거장 비상통화설비 계획</v>
          </cell>
          <cell r="F862" t="str">
            <v>고속선 정거장 통신설비가 STP 케이블로 연결되어 있으나, 발주처의 요구사항으로 개별 설비에 대해 광케이블을 독립 연결하는 방식으로 변경됨 리스크를 검토하였는가?</v>
          </cell>
        </row>
        <row r="863">
          <cell r="A863">
            <v>861</v>
          </cell>
          <cell r="B863" t="str">
            <v>통신</v>
          </cell>
          <cell r="C863" t="str">
            <v>정보통신망 보안망 구축 계획</v>
          </cell>
          <cell r="F863" t="str">
            <v>구간 암호화(SSL/TLS) 및 접속 권한 제어 누락으로 해커에 의해 열차 운행 정보·승객 결제 데이터가 탈취될 보안 리스크를 검토하였는가?</v>
          </cell>
        </row>
        <row r="864">
          <cell r="A864">
            <v>862</v>
          </cell>
          <cell r="B864" t="str">
            <v>통신</v>
          </cell>
          <cell r="C864" t="str">
            <v>주 전송설비 및 통신선로 계획</v>
          </cell>
          <cell r="F864" t="str">
            <v>전원·통신 케이블 동일 루트 설계로 유도장애가 발생하거나, 지하 구간 일반 케이블 적용으로 화재 시 대형 인명 피해를 유발할 리스크를 검토하였는가?</v>
          </cell>
        </row>
        <row r="865">
          <cell r="A865">
            <v>863</v>
          </cell>
          <cell r="B865" t="str">
            <v>통신</v>
          </cell>
          <cell r="C865" t="str">
            <v>주 전송설비 및 통신선로 계획</v>
          </cell>
          <cell r="F865" t="str">
            <v>광케이블 코어 과소 산정(예: 48C 등) 및 링형 이원화 라우팅 누락으로, 증설 불가 및 굴착 단선 시 전체 트램 통신망이 마비될 리스크를 검토하였는가?</v>
          </cell>
        </row>
        <row r="866">
          <cell r="A866">
            <v>864</v>
          </cell>
          <cell r="B866" t="str">
            <v>통신</v>
          </cell>
          <cell r="C866" t="str">
            <v>주 전송설비 및 통신선로 계획</v>
          </cell>
          <cell r="F866" t="str">
            <v>케이블 인입·인출용 샤프트(Shaft) 공간 확보 계획 누락으로, 초기 포설 및 향후 장애 조치가 불가능해질 리스크를 검토하였는가?</v>
          </cell>
        </row>
        <row r="867">
          <cell r="A867">
            <v>865</v>
          </cell>
          <cell r="B867" t="str">
            <v>통신</v>
          </cell>
          <cell r="C867" t="str">
            <v>주 전송설비 및 통신선로 계획</v>
          </cell>
          <cell r="F867" t="str">
            <v>CCTV, 수락, ITS 통신선로 이설 설계가 누락됨 리스크를 검토하였는가?</v>
          </cell>
        </row>
        <row r="868">
          <cell r="A868">
            <v>866</v>
          </cell>
          <cell r="B868" t="str">
            <v>통신</v>
          </cell>
          <cell r="C868" t="str">
            <v>주 전송설비 유지관리 계획</v>
          </cell>
          <cell r="F868" t="str">
            <v>감시장치 및 예비 코어 할당 설계 누락으로, 굴착 사고 등 단선 시 장애 위치 신속 파악이 불가할 리스크를 검토하였는가?</v>
          </cell>
        </row>
        <row r="869">
          <cell r="A869">
            <v>867</v>
          </cell>
          <cell r="B869" t="str">
            <v>통신</v>
          </cell>
          <cell r="C869" t="str">
            <v>차량 상태정보 실시간 전송망 계획</v>
          </cell>
          <cell r="F869" t="str">
            <v>대역폭 부족 및 TCMS 연동 누락으로 트램 배터리 방전·고장 실시간 모니터링이 불가해질 리스크를 검토하였는가?</v>
          </cell>
        </row>
        <row r="870">
          <cell r="A870">
            <v>868</v>
          </cell>
          <cell r="B870" t="str">
            <v>통신</v>
          </cell>
          <cell r="C870" t="str">
            <v>차량 상태정보 실시간 전송망 계획</v>
          </cell>
          <cell r="F870" t="str">
            <v>차량 활주에 의한 시설물 파손 리스크를 검토하였는가?</v>
          </cell>
        </row>
        <row r="871">
          <cell r="A871">
            <v>869</v>
          </cell>
          <cell r="B871" t="str">
            <v>통신</v>
          </cell>
          <cell r="C871" t="str">
            <v>차량 상태정보 실시간 전송망 계획</v>
          </cell>
          <cell r="F871" t="str">
            <v>차량 고장시 하차 승객이 노반 이동에 따른 2차 사고 발생 우려 리스크를 검토하였는가?</v>
          </cell>
        </row>
        <row r="872">
          <cell r="A872">
            <v>870</v>
          </cell>
          <cell r="B872" t="str">
            <v>통신</v>
          </cell>
          <cell r="C872" t="str">
            <v>차량 상태정보 실시간 전송망 계획</v>
          </cell>
          <cell r="F872" t="str">
            <v>보행자, 자전거 및 다른 차량과의 충돌 위험 발생 우려 리스크를 검토하였는가?</v>
          </cell>
        </row>
        <row r="873">
          <cell r="A873">
            <v>871</v>
          </cell>
          <cell r="B873" t="str">
            <v>통신</v>
          </cell>
          <cell r="C873" t="str">
            <v>차량 상태정보 실시간 전송망 계획</v>
          </cell>
          <cell r="F873" t="str">
            <v>고의적으로 선로에 장애물 설치 및 운행 방해 리스크를 검토하였는가?</v>
          </cell>
        </row>
        <row r="874">
          <cell r="A874">
            <v>872</v>
          </cell>
          <cell r="B874" t="str">
            <v>통신</v>
          </cell>
          <cell r="C874" t="str">
            <v>차량 상태정보 실시간 전송망 계획</v>
          </cell>
          <cell r="F874" t="str">
            <v>보행자 횡단보도 구간 안전진단 및 안전사고 예방 시설 부족 리스크를 검토하였는가?</v>
          </cell>
        </row>
        <row r="875">
          <cell r="A875">
            <v>873</v>
          </cell>
          <cell r="B875" t="str">
            <v>통신</v>
          </cell>
          <cell r="C875" t="str">
            <v>차상 역무자동화설비(AFC) 단말기 배치 계획</v>
          </cell>
          <cell r="F875" t="str">
            <v>단말기 과소 설계(출입문 당 2대 미만)로 혼잡시간대(RH) 태깅 대기열 증가 및 정차 지연이 발생할 리스크를 검토하였는가?</v>
          </cell>
        </row>
        <row r="876">
          <cell r="A876">
            <v>874</v>
          </cell>
          <cell r="B876" t="str">
            <v>통신</v>
          </cell>
          <cell r="C876" t="str">
            <v>차상 통신설비 설치 인터페이스 계획</v>
          </cell>
          <cell r="F876" t="str">
            <v>통신-차량 간 업무 한계 불명확 설계로 장비 설치 누락 및 차량 제작 일정이 지연될 리스크를 검토하였는가?</v>
          </cell>
        </row>
        <row r="877">
          <cell r="A877">
            <v>875</v>
          </cell>
          <cell r="B877" t="str">
            <v>통신</v>
          </cell>
          <cell r="C877" t="str">
            <v>차상 통신설비 설치 인터페이스 계획</v>
          </cell>
          <cell r="F877" t="str">
            <v>입출고시 자동차 및 보행자와의 교통사고 예방을 위한 시스템적 대책 마련 필요 리스크를 검토하였는가?</v>
          </cell>
        </row>
        <row r="878">
          <cell r="A878">
            <v>876</v>
          </cell>
          <cell r="B878" t="str">
            <v>통신</v>
          </cell>
          <cell r="C878" t="str">
            <v>차상 통신설비 설치 인터페이스 계획</v>
          </cell>
          <cell r="F878" t="str">
            <v>설계에 반영된 2선식 전송망이 현 코레일 공항철도 전송설비 운영방식과 상이하여 발주처의 안정성 보완 조치에 따라 4선식으로 변경 리스크를 검토하였는가?</v>
          </cell>
        </row>
        <row r="879">
          <cell r="A879">
            <v>877</v>
          </cell>
          <cell r="B879" t="str">
            <v>통신</v>
          </cell>
          <cell r="C879" t="str">
            <v>차상-지상 통신 인터페이스</v>
          </cell>
          <cell r="F879" t="str">
            <v>LTE-R 대역폭 및 차량-통신 프로토콜 설계 누락으로 관제실 모니터링 및 기관사 승강장 상황 파악이 불가해질 리스크를 검토하였는가?</v>
          </cell>
        </row>
        <row r="880">
          <cell r="A880">
            <v>878</v>
          </cell>
          <cell r="B880" t="str">
            <v>통신</v>
          </cell>
          <cell r="C880" t="str">
            <v>차상-지상 통신 인터페이스</v>
          </cell>
          <cell r="F880" t="str">
            <v>KTX 승차권 발매센터, 기동검수반, 승무원대기실 신설에 따라 발주처의 요구사항으로 통신케이블, 광케이블 및 일반전화기 신설이 추가됨 리스크를 검토하였는가?</v>
          </cell>
        </row>
        <row r="881">
          <cell r="A881">
            <v>879</v>
          </cell>
          <cell r="B881" t="str">
            <v>통신</v>
          </cell>
          <cell r="C881" t="str">
            <v>타 분야 통신회선 제공 및 인터페이스 계획</v>
          </cell>
          <cell r="F881" t="str">
            <v>전기·신호 분야 데이터 전송 요구량 누락 및 과소 산정으로 핵심 시스템 원격 제어가 불가해질 중대 인터페이스 리스크를 검토하였는가?</v>
          </cell>
        </row>
        <row r="882">
          <cell r="A882">
            <v>880</v>
          </cell>
          <cell r="B882" t="str">
            <v>통신</v>
          </cell>
          <cell r="C882" t="str">
            <v>통신 무정전전원설비(UPS) 구축 계획</v>
          </cell>
          <cell r="F882" t="str">
            <v>관제실(3시간)·정거장(30분) UPS 보상시간 과소 산정으로 전면 정전 시 통신망이 즉각 마비될 방재 리스크를 검토하였는가?</v>
          </cell>
        </row>
        <row r="883">
          <cell r="A883">
            <v>881</v>
          </cell>
          <cell r="B883" t="str">
            <v>통신</v>
          </cell>
          <cell r="C883" t="str">
            <v>통신 사이버보안 계획</v>
          </cell>
          <cell r="F883" t="str">
            <v>통신망 구간 암호화(SSL/TLS) 및 접근 제한 솔루션 누락으로 해킹·랜섬웨어 감염에 의해 트램 운행 및 정산 시스템이 마비될 리스크를 검토하였는가?</v>
          </cell>
        </row>
        <row r="884">
          <cell r="A884">
            <v>882</v>
          </cell>
          <cell r="B884" t="str">
            <v>통신</v>
          </cell>
          <cell r="C884" t="str">
            <v>통신 소프트웨어 품질관리</v>
          </cell>
          <cell r="F884" t="str">
            <v>IEC 62279 적용 누락으로 S/W 오류 발생 시 트램 관제 시스템의 안전성과 신뢰성을 담보할 수 없게 될 리스크를 검토하였는가?</v>
          </cell>
        </row>
        <row r="885">
          <cell r="A885">
            <v>883</v>
          </cell>
          <cell r="B885" t="str">
            <v>통신</v>
          </cell>
          <cell r="C885" t="str">
            <v>통신 예비품 및 유지관리 계획</v>
          </cell>
          <cell r="F885" t="str">
            <v>3년치 운영 예비품 및 정밀 측정장비 내역 누락으로 장비 고장 시 조달 지연 및 통신 관제망이 마비될 리스크를 검토하였는가?</v>
          </cell>
        </row>
        <row r="886">
          <cell r="A886">
            <v>884</v>
          </cell>
          <cell r="B886" t="str">
            <v>통신</v>
          </cell>
          <cell r="C886" t="str">
            <v>통신 옥외설비 계획</v>
          </cell>
          <cell r="F886" t="str">
            <v>기간통신사업자(KT 등) 맨홀 연결 관로·수공 설계 누락으로 외부 전화·인터넷망 개통이 불가해질 리스크를 검토하였는가?</v>
          </cell>
        </row>
        <row r="887">
          <cell r="A887">
            <v>885</v>
          </cell>
          <cell r="B887" t="str">
            <v>통신</v>
          </cell>
          <cell r="C887" t="str">
            <v>통신 옥외설비 및 방재계획</v>
          </cell>
          <cell r="F887" t="str">
            <v>옥외설비 환경보호(IP) 기준 및 지하 난연케이블 누락으로 악천후 시 침수(단락) 및 화재 시 유독가스가 발생할 2차 인명피해 리스크를 검토하였는가?</v>
          </cell>
        </row>
        <row r="888">
          <cell r="A888">
            <v>886</v>
          </cell>
          <cell r="B888" t="str">
            <v>통신</v>
          </cell>
          <cell r="C888" t="str">
            <v>통신 옥외설비 및 방재계획</v>
          </cell>
          <cell r="F888" t="str">
            <v>비상통화장치가 로컬용으로 한정되거나 음성안내설비가 누락되어 이례상황 시 승객 구호 지연 및 교통약자 민원이 유발될 리스크를 검토하였는가?</v>
          </cell>
        </row>
        <row r="889">
          <cell r="A889">
            <v>887</v>
          </cell>
          <cell r="B889" t="str">
            <v>통신</v>
          </cell>
          <cell r="C889" t="str">
            <v>통신 전송망 구축 계획</v>
          </cell>
          <cell r="F889" t="str">
            <v>광케이블 단일 경로 설계 및 이중화 누락으로 외부 요인 단선 시 전 노선 통신·신호 관제가 전면 마비될 리스크를 검토하였는가?</v>
          </cell>
        </row>
        <row r="890">
          <cell r="A890">
            <v>888</v>
          </cell>
          <cell r="B890" t="str">
            <v>통신</v>
          </cell>
          <cell r="C890" t="str">
            <v>통신 전송망 스위치 장애 대비 계획</v>
          </cell>
          <cell r="F890" t="str">
            <v>스위치 By-Pass 기능 누락으로 단일 장애 시 링 망 전체 데이터 통신이 연쇄 마비될 리스크를 검토하였는가?</v>
          </cell>
        </row>
        <row r="891">
          <cell r="A891">
            <v>889</v>
          </cell>
          <cell r="B891" t="str">
            <v>통신</v>
          </cell>
          <cell r="C891" t="str">
            <v>통신 전송설비 생존성 계획</v>
          </cell>
          <cell r="F891" t="str">
            <v>광 바이패스(By-Pass) 기능 누락으로 단일 정거장 전원 상실이 링 네트워크 전체 단절(Single Point of Failure)로 이어질 리스크를 검토하였는가?</v>
          </cell>
        </row>
        <row r="892">
          <cell r="A892">
            <v>890</v>
          </cell>
          <cell r="B892" t="str">
            <v>통신</v>
          </cell>
          <cell r="C892" t="str">
            <v>통신 전원설비 감시계획</v>
          </cell>
          <cell r="F892" t="str">
            <v>UPS·정류기 원격 감시(EMS) 설계 누락으로 배터리 방전·고장 조기 인지 실패 시 통신망 전면 셧다운이 발생할 리스크를 검토하였는가?</v>
          </cell>
        </row>
        <row r="893">
          <cell r="A893">
            <v>891</v>
          </cell>
          <cell r="B893" t="str">
            <v>통신</v>
          </cell>
          <cell r="C893" t="str">
            <v>통신 전원설비 계획</v>
          </cell>
          <cell r="F893" t="str">
            <v>장비 소모 전력 과소 산정 및 UPS 용량 부족 설계로, 정전 시 관제 기능 및 통신망이 마비될 리스크를 검토하였는가?</v>
          </cell>
        </row>
        <row r="894">
          <cell r="A894">
            <v>892</v>
          </cell>
          <cell r="B894" t="str">
            <v>통신</v>
          </cell>
          <cell r="C894" t="str">
            <v>통신 접지설비 유지관리 계획</v>
          </cell>
          <cell r="F894" t="str">
            <v>통합접지 연계 및 상시 접지저항 측정용 시험 단자 누락으로 준공 후 접지 성능 저하 시 즉각 점검이 불가해질 유지보수 저해 리스크를 검토하였는가?</v>
          </cell>
        </row>
        <row r="895">
          <cell r="A895">
            <v>893</v>
          </cell>
          <cell r="B895" t="str">
            <v>통신</v>
          </cell>
          <cell r="C895" t="str">
            <v>통신 접지설비 유지관리 계획</v>
          </cell>
          <cell r="F895" t="str">
            <v>분리형 시험단자 설계 누락으로 유지보수 시 통신장비 접지 성능 저하 판별이 불가해질 리스크를 검토하였는가?</v>
          </cell>
        </row>
        <row r="896">
          <cell r="A896">
            <v>894</v>
          </cell>
          <cell r="B896" t="str">
            <v>통신</v>
          </cell>
          <cell r="C896" t="str">
            <v>통신-건축 인터페이스</v>
          </cell>
          <cell r="F896" t="str">
            <v>개별 함체 돌출로 도시 미관을 저해하거나, 샤프트 공간 누락으로 구조물 코어링 등 재작업이 발생할 리스크를 검토하였는가?</v>
          </cell>
        </row>
        <row r="897">
          <cell r="A897">
            <v>895</v>
          </cell>
          <cell r="B897" t="str">
            <v>통신</v>
          </cell>
          <cell r="C897" t="str">
            <v>통신-기계 인터페이스</v>
          </cell>
          <cell r="F897" t="str">
            <v>기계 자동제어(DDC) 전용 통신포트 및 광케이블 할당 누락으로 환기팬·배수펌프 등 기계설비 원격 감시·제어가 불가해질 리스크를 검토하였는가?</v>
          </cell>
        </row>
        <row r="898">
          <cell r="A898">
            <v>896</v>
          </cell>
          <cell r="B898" t="str">
            <v>통신</v>
          </cell>
          <cell r="C898" t="str">
            <v>통신-도로교통 인터페이스</v>
          </cell>
          <cell r="F898" t="str">
            <v>교통신호제어기-차상 간 근거리 무선통신(WiFi 등) 설계 누락 및 규격 불일치로 교차로 트램 우선신호 체계가 미작동할 리스크를 검토하였는가?</v>
          </cell>
        </row>
        <row r="899">
          <cell r="A899">
            <v>897</v>
          </cell>
          <cell r="B899" t="str">
            <v>통신</v>
          </cell>
          <cell r="C899" t="str">
            <v>통신-도로교통 인터페이스</v>
          </cell>
          <cell r="F899" t="str">
            <v>관제실-지자체 간 이중계 연동 및 보안기능 누락으로 우선신호 공유 불가 및 사이버 위협에 노출될 리스크를 검토하였는가?</v>
          </cell>
        </row>
        <row r="900">
          <cell r="A900">
            <v>898</v>
          </cell>
          <cell r="B900" t="str">
            <v>통신</v>
          </cell>
          <cell r="C900" t="str">
            <v>통신-소방 인터페이스</v>
          </cell>
          <cell r="F900" t="str">
            <v>방송설비-화재수신반 간 연동 회로 및 인터페이스 누락으로 화재 감지 시 비상 대피 방송이 출력되지 않을 리스크를 검토하였는가?</v>
          </cell>
        </row>
        <row r="901">
          <cell r="A901">
            <v>899</v>
          </cell>
          <cell r="B901" t="str">
            <v>통신</v>
          </cell>
          <cell r="C901" t="str">
            <v>통신-스마트유지관리 인터페이스</v>
          </cell>
          <cell r="F901" t="str">
            <v>IoT 센서-백본망 간 통신 프로토콜 및 대역폭 할당 설계 누락으로 구조물 계측 데이터 원격 감시가 불가해질 리스크를 검토하였는가?</v>
          </cell>
        </row>
        <row r="902">
          <cell r="A902">
            <v>900</v>
          </cell>
          <cell r="B902" t="str">
            <v>통신</v>
          </cell>
          <cell r="C902" t="str">
            <v>통신-신호/전력 인터페이스</v>
          </cell>
          <cell r="F902" t="str">
            <v>타 분야(신호/전력) 연동 광포트 및 회선 대역폭 설계 누락으로 개통 후 종합관제실 열차제어 및 전력망 원격 통제가 불가해질 리스크를 검토하였는가?</v>
          </cell>
        </row>
        <row r="903">
          <cell r="A903">
            <v>901</v>
          </cell>
          <cell r="B903" t="str">
            <v>통신</v>
          </cell>
          <cell r="C903" t="str">
            <v>통신-신호/전력 인터페이스</v>
          </cell>
          <cell r="F903" t="str">
            <v>열차의 교차로 통과시 우선요청 무선신호 전송 실패 리스크를 검토하였는가?</v>
          </cell>
        </row>
        <row r="904">
          <cell r="A904">
            <v>902</v>
          </cell>
          <cell r="B904" t="str">
            <v>통신</v>
          </cell>
          <cell r="C904" t="str">
            <v>통신-신호/전력 인터페이스</v>
          </cell>
          <cell r="F904" t="str">
            <v>열차의 교차로 통과시 우선요청 무선신호 전송 실패 리스크를 검토하였는가?</v>
          </cell>
        </row>
        <row r="905">
          <cell r="A905">
            <v>903</v>
          </cell>
          <cell r="B905" t="str">
            <v>통신</v>
          </cell>
          <cell r="C905" t="str">
            <v>통신-전기 인터페이스</v>
          </cell>
          <cell r="F905" t="str">
            <v>통합접지망 연계 누락 및 독립 접지 오설계로 낙뢰 시 장비 간 전위차가 발생해 통신 보드 소손 및 통신 장애가 유발될 리스크를 검토하였는가?</v>
          </cell>
        </row>
        <row r="906">
          <cell r="A906">
            <v>904</v>
          </cell>
          <cell r="B906" t="str">
            <v>통신</v>
          </cell>
          <cell r="C906" t="str">
            <v>통신-전기/차량 인터페이스</v>
          </cell>
          <cell r="F906" t="str">
            <v>고압 충전설비 인근 통신 선로 병행 배치 및 케이블 이격 누락으로 노이즈에 의한 통신 데이터 손실·관제 마비가 발생할 리스크를 검토하였는가?</v>
          </cell>
        </row>
        <row r="907">
          <cell r="A907">
            <v>905</v>
          </cell>
          <cell r="B907" t="str">
            <v>통신</v>
          </cell>
          <cell r="C907" t="str">
            <v>통신-차량 인터페이스</v>
          </cell>
          <cell r="F907" t="str">
            <v>출입문당 AFC 단말기(2대 이상) 배치 설계와 차량 도면 불일치로 거치 공간 부족 및 제어 전원 배선이 누락될 인터페이스 리스크를 검토하였는가?</v>
          </cell>
        </row>
        <row r="908">
          <cell r="A908">
            <v>906</v>
          </cell>
          <cell r="B908" t="str">
            <v>통신</v>
          </cell>
          <cell r="C908" t="str">
            <v>통신-차량 인터페이스</v>
          </cell>
          <cell r="F908" t="str">
            <v>내환경 성능 요구사항 누락에 따른 일반 상용품 적용으로 주행 중 장비 파손 및 오작동이 발생할 리스크를 검토하였는가?</v>
          </cell>
        </row>
        <row r="909">
          <cell r="A909">
            <v>907</v>
          </cell>
          <cell r="B909" t="str">
            <v>통신</v>
          </cell>
          <cell r="C909" t="str">
            <v>통신-차량 인터페이스 관리</v>
          </cell>
          <cell r="F909" t="str">
            <v>통신장비 규격 및 설치 조건이 차량 설계에 적기 미반영되어, 차량 제작 시 부착 공간 부족이나 전원 용량이 미달될 인터페이스 누락 리스크를 검토하였는가?</v>
          </cell>
        </row>
        <row r="910">
          <cell r="A910">
            <v>908</v>
          </cell>
          <cell r="B910" t="str">
            <v>통신</v>
          </cell>
          <cell r="C910" t="str">
            <v>통신-토목/궤도 인터페이스</v>
          </cell>
          <cell r="F910" t="str">
            <v>선로 횡단 강제전선관 및 공동관로 설계가 토목 도면에서 누락돼 통신망 구축이 원천 불가해질 인터페이스 오류 리스크를 검토하였는가?</v>
          </cell>
        </row>
        <row r="911">
          <cell r="A911">
            <v>909</v>
          </cell>
          <cell r="B911" t="str">
            <v>통신</v>
          </cell>
          <cell r="C911" t="str">
            <v>통신-토목/궤도 인터페이스</v>
          </cell>
          <cell r="F911" t="str">
            <v>일반인 궤도내 무단 침입에 따른 사고 발생 우려 리스크를 검토하였는가?</v>
          </cell>
        </row>
        <row r="912">
          <cell r="A912">
            <v>910</v>
          </cell>
          <cell r="B912" t="str">
            <v>통신</v>
          </cell>
          <cell r="C912" t="str">
            <v>통신망 통합관제 계획</v>
          </cell>
          <cell r="F912" t="str">
            <v>IP 교환기(IP-PBX) 회선 용량 오류로 예산을 낭비하거나 화상 통화 기능 누락으로 비상시 관제원-현장 간 상황 공유가 불가능해질 리스크를 검토하였는가?</v>
          </cell>
        </row>
        <row r="913">
          <cell r="A913">
            <v>911</v>
          </cell>
          <cell r="B913" t="str">
            <v>통신</v>
          </cell>
          <cell r="C913" t="str">
            <v>통신망 통합관제 계획</v>
          </cell>
          <cell r="F913" t="str">
            <v>LTE-R 대역폭 부족 및 인터페이스 설계 오류로 비상시 관제실의 객실 실시간 확인이 불가할 리스크를 검토하였는가?</v>
          </cell>
        </row>
        <row r="914">
          <cell r="A914">
            <v>912</v>
          </cell>
          <cell r="B914" t="str">
            <v>통신</v>
          </cell>
          <cell r="C914" t="str">
            <v>통신망 통합관제 계획</v>
          </cell>
          <cell r="F914" t="str">
            <v>통합 모니터링용 NMS/EMS 설계 누락 및 분할 감시 설계로 인해 통신 장애 시 원인 파악 및 복구 대응이 지연될 리스크를 검토하였는가?</v>
          </cell>
        </row>
        <row r="915">
          <cell r="A915">
            <v>913</v>
          </cell>
          <cell r="B915" t="str">
            <v>통신</v>
          </cell>
          <cell r="C915" t="str">
            <v>통신망 통합관제 계획</v>
          </cell>
          <cell r="F915" t="str">
            <v>타이트한 용량 산정으로 향후 노선 확장 시 통신망 수용 한계 초과 및 막대한 교체 비용이 발생할 리스크를 검토하였는가?</v>
          </cell>
        </row>
        <row r="916">
          <cell r="A916">
            <v>914</v>
          </cell>
          <cell r="B916" t="str">
            <v>통신</v>
          </cell>
          <cell r="C916" t="str">
            <v>통신망 통합관제 계획</v>
          </cell>
          <cell r="F916" t="str">
            <v>장래 노선 연장 대비 H/W 및 S/W 예비 용량 누락으로 노선 확장 시 관제 통신망 전체를 셧다운·재구축해야 할 리스크를 검토하였는가?</v>
          </cell>
        </row>
        <row r="917">
          <cell r="A917">
            <v>915</v>
          </cell>
          <cell r="B917" t="str">
            <v>통신</v>
          </cell>
          <cell r="C917" t="str">
            <v>통신설비 화재 예방 및 절연 계획</v>
          </cell>
          <cell r="F917" t="str">
            <v>발열 장비 이격 거리 및 불연 차단막 설치 누락으로 단일 장비 과열·스파크 시 화재가 전체 통신설비로 확산될 방재 리스크를 검토하였는가?</v>
          </cell>
        </row>
        <row r="918">
          <cell r="A918">
            <v>916</v>
          </cell>
          <cell r="B918" t="str">
            <v>통신</v>
          </cell>
          <cell r="C918" t="str">
            <v>행선안내 및 교통약자 음성안내설비 계획</v>
          </cell>
          <cell r="F918" t="str">
            <v>옥외 조도 미고려 디스플레이 선정 및 음성안내설비 누락으로 정보 전달 실패 및 교통약자 이동 편의를 저해할 리스크를 검토하였는가?</v>
          </cell>
        </row>
        <row r="919">
          <cell r="A919">
            <v>917</v>
          </cell>
          <cell r="B919" t="str">
            <v>통신</v>
          </cell>
          <cell r="C919" t="str">
            <v>행선안내설비 계획</v>
          </cell>
          <cell r="F919" t="str">
            <v>저해상도 LED 적용으로 정보 전달력이 저하되거나, 방수/항온 외함 누락으로 직사광선에 의한 패널 흑화(Black Out) 현상이 발생할 리스크를 검토하였는가?</v>
          </cell>
        </row>
        <row r="920">
          <cell r="A920">
            <v>918</v>
          </cell>
          <cell r="B920" t="str">
            <v>도로신호</v>
          </cell>
          <cell r="C920" t="str">
            <v>과속 방지 제어 계획</v>
          </cell>
          <cell r="F920" t="str">
            <v>제한속도 감시 및 차상 제어(ATP) 연동 누락으로 기관사 부주의 시 곡선부 과속 탈선 및 보행자 추돌 리스크를 검토하였는가?</v>
          </cell>
        </row>
        <row r="921">
          <cell r="A921">
            <v>919</v>
          </cell>
          <cell r="B921" t="str">
            <v>도로신호</v>
          </cell>
          <cell r="C921" t="str">
            <v>관제설비 구축 및 도로교통관제 연계</v>
          </cell>
          <cell r="F921" t="str">
            <v>대형표시반 가독성·UI 설계 미흡 및 도로교통관제 연계 누락으로, 이례상황 시 관제원의 상황 판단 및 통제가 지연될 리스크를 검토하였는가?</v>
          </cell>
        </row>
        <row r="922">
          <cell r="A922">
            <v>920</v>
          </cell>
          <cell r="B922" t="str">
            <v>도로신호</v>
          </cell>
          <cell r="C922" t="str">
            <v>교차로 사고 예방 계획</v>
          </cell>
          <cell r="F922" t="str">
            <v>교차로 돌발유고검지장치 및 앞막힘 제어보드 연동 누락으로 궤도 차량 정체 시 트램이 회피하지 못해 연쇄 추돌할 리스크를 검토하였는가?</v>
          </cell>
        </row>
        <row r="923">
          <cell r="A923">
            <v>921</v>
          </cell>
          <cell r="B923" t="str">
            <v>도로신호</v>
          </cell>
          <cell r="C923" t="str">
            <v>교차로 사고 예방 계획</v>
          </cell>
          <cell r="F923" t="str">
            <v>돌발유고검지장치 및 앞막힘제어보드 설계 누락으로 교차로 정체 시 트램 진입에 따른 도로교통 전면 마비(데드락)가 발생할 리스크를 검토하였는가?</v>
          </cell>
        </row>
        <row r="924">
          <cell r="A924">
            <v>922</v>
          </cell>
          <cell r="B924" t="str">
            <v>도로신호</v>
          </cell>
          <cell r="C924" t="str">
            <v>교차로 사고 예방 계획</v>
          </cell>
          <cell r="F924" t="str">
            <v>'1교차로 1편성 점유' 원칙 누락으로 트램 동시 진입에 따른 일반 차량 동선 마비 및 교착(Gridlock) 리스크를 검토하였는가?</v>
          </cell>
        </row>
        <row r="925">
          <cell r="A925">
            <v>923</v>
          </cell>
          <cell r="B925" t="str">
            <v>도로신호</v>
          </cell>
          <cell r="C925" t="str">
            <v>교차로 사고 예방 계획</v>
          </cell>
          <cell r="F925" t="str">
            <v>교차로 점유(1편성 제한) 통제 검지설비 및 신호 연동 누락으로 혼잡 시 트램 연속 진입에 따른 교통 전면 마비 리스크를 검토하였는가?</v>
          </cell>
        </row>
        <row r="926">
          <cell r="A926">
            <v>924</v>
          </cell>
          <cell r="B926" t="str">
            <v>도로신호</v>
          </cell>
          <cell r="C926" t="str">
            <v>교차로 사고 예방 계획</v>
          </cell>
          <cell r="F926" t="str">
            <v>정차금지지대·노면전차 전용로 누락으로 일반 차량 궤도 점유에 따른 트램 운행 마비 리스크를 검토하였는가?</v>
          </cell>
        </row>
        <row r="927">
          <cell r="A927">
            <v>925</v>
          </cell>
          <cell r="B927" t="str">
            <v>도로신호</v>
          </cell>
          <cell r="C927" t="str">
            <v>교통안전 노면표시 계획</v>
          </cell>
          <cell r="F927" t="str">
            <v>노면 안전표시 및 레일 홈 고무탄성재 누락으로 자전거 전도 및 보행자 무단진입에 따른 인명사고 리스크를 검토하였는가?</v>
          </cell>
        </row>
        <row r="928">
          <cell r="A928">
            <v>926</v>
          </cell>
          <cell r="B928" t="str">
            <v>도로신호</v>
          </cell>
          <cell r="C928" t="str">
            <v>도로교통 행정 인허가</v>
          </cell>
          <cell r="F928" t="str">
            <v>경찰청 교통안전심의 누락 및 지적사항 미반영으로 시공 전 신호 체계 전면 재검토 및 대규모 공정 지연이 발생할 리스크를 검토하였는가?</v>
          </cell>
        </row>
        <row r="929">
          <cell r="A929">
            <v>927</v>
          </cell>
          <cell r="B929" t="str">
            <v>도로신호</v>
          </cell>
          <cell r="C929" t="str">
            <v>도로교통-차량 인터페이스</v>
          </cell>
          <cell r="F929" t="str">
            <v>충전 설비-도로신호 제어기 간 이격 및 노이즈 차폐 설계 누락으로 전자파 간섭에 의한 신호등 오작동(All Red 등) 리스크를 검토하였는가?</v>
          </cell>
        </row>
        <row r="930">
          <cell r="A930">
            <v>928</v>
          </cell>
          <cell r="B930" t="str">
            <v>도로신호</v>
          </cell>
          <cell r="C930" t="str">
            <v>도로분기부 안전대책 구축</v>
          </cell>
          <cell r="F930" t="str">
            <v>철도·도로신호 연동 계획 누락으로 실제 궤도 개통과 신호 표출 방향이 불일치하여 탈선 사고가 발생할 리스크를 검토하였는가?</v>
          </cell>
        </row>
        <row r="931">
          <cell r="A931">
            <v>929</v>
          </cell>
          <cell r="B931" t="str">
            <v>도로신호</v>
          </cell>
          <cell r="C931" t="str">
            <v>도로분기부 안전대책 구축</v>
          </cell>
          <cell r="F931" t="str">
            <v>도로신호-전자연동장치 연계 누락으로 개통 방향 불일치 시 무리한 교차로 진입에 따른 탈선 리스크를 검토하였는가?</v>
          </cell>
        </row>
        <row r="932">
          <cell r="A932">
            <v>930</v>
          </cell>
          <cell r="B932" t="str">
            <v>도로신호</v>
          </cell>
          <cell r="C932" t="str">
            <v>매입전선관 접속점 방수 및 유지보수성 확보 계획</v>
          </cell>
          <cell r="F932" t="str">
            <v>전선관 접속부 수밀 마감 및 예비 관로 누락으로, 우천 시 침수에 따른 신호 단락 및 케이블 교체 시 도로 재굴착이 발생할 리스크를 검토하였는가?</v>
          </cell>
        </row>
        <row r="933">
          <cell r="A933">
            <v>931</v>
          </cell>
          <cell r="B933" t="str">
            <v>도로신호</v>
          </cell>
          <cell r="C933" t="str">
            <v>보행자 안전 확보 계획</v>
          </cell>
          <cell r="F933" t="str">
            <v>음성안내장치·PoE 스위치·관로 굴착 설계 누락으로 트램 접근 시 보행자 인명사고가 발생할 리스크를 검토하였는가?</v>
          </cell>
        </row>
        <row r="934">
          <cell r="A934">
            <v>932</v>
          </cell>
          <cell r="B934" t="str">
            <v>도로신호</v>
          </cell>
          <cell r="C934" t="str">
            <v>신호설비 생존성 확보</v>
          </cell>
          <cell r="F934" t="str">
            <v>능동형 우선신호 로직 및 트램 위치검지기 연계 누락으로 트램이 일반 차량과 같이 신호 대기하여 정시성·표정속도가 저하될 리스크를 검토하였는가?</v>
          </cell>
        </row>
        <row r="935">
          <cell r="A935">
            <v>933</v>
          </cell>
          <cell r="B935" t="str">
            <v>도로신호</v>
          </cell>
          <cell r="C935" t="str">
            <v>신호설비 생존성 확보</v>
          </cell>
          <cell r="F935" t="str">
            <v>트램 전용 분기부 신호기(5구등/6구등) 누락으로 기관사 진로 방향 오인에 따른 탈선 및 충돌 사고를 유발할 리스크를 검토하였는가?</v>
          </cell>
        </row>
        <row r="936">
          <cell r="A936">
            <v>934</v>
          </cell>
          <cell r="B936" t="str">
            <v>도로신호</v>
          </cell>
          <cell r="C936" t="str">
            <v>신호설비 생존성 확보</v>
          </cell>
          <cell r="F936" t="str">
            <v>트램과 일반차량 신호 간 상호 모순검지 기능 누락으로 시스템 오류 시 양방향 진행 신호 표출로 대형 충돌 사고가 발생할 리스크를 검토하였는가?</v>
          </cell>
        </row>
        <row r="937">
          <cell r="A937">
            <v>935</v>
          </cell>
          <cell r="B937" t="str">
            <v>도로신호</v>
          </cell>
          <cell r="C937" t="str">
            <v>신호설비 생존성 확보</v>
          </cell>
          <cell r="F937" t="str">
            <v>유전원 태그 설계로 인한 과다 비용 발생 및 LTE-R·차상 간 신호 모진 자동정지 연동 S/W 누락 리스크를 검토하였는가?</v>
          </cell>
        </row>
        <row r="938">
          <cell r="A938">
            <v>936</v>
          </cell>
          <cell r="B938" t="str">
            <v>도로신호</v>
          </cell>
          <cell r="C938" t="str">
            <v>신호설비 생존성 확보</v>
          </cell>
          <cell r="F938" t="str">
            <v>신호제어장치 이중계(Redundancy) 설계 누락으로 메인보드 소손 시 교차로 교통 통제가 장시간 전면 마비될 구조적 취약점 리스크를 검토하였는가?</v>
          </cell>
        </row>
        <row r="939">
          <cell r="A939">
            <v>937</v>
          </cell>
          <cell r="B939" t="str">
            <v>도로신호</v>
          </cell>
          <cell r="C939" t="str">
            <v>신호설비 생존성 확보</v>
          </cell>
          <cell r="F939" t="str">
            <v>모순검지 로직 누락 및 불완전 설계로 제어기 오동작 시 트램·일반차량 동시 진행 신호가 부여될 대형 충돌 리스크를 검토하였는가?</v>
          </cell>
        </row>
        <row r="940">
          <cell r="A940">
            <v>938</v>
          </cell>
          <cell r="B940" t="str">
            <v>도로신호</v>
          </cell>
          <cell r="C940" t="str">
            <v>신호설비 생존성 확보</v>
          </cell>
          <cell r="F940" t="str">
            <v>보증 비상제동성능(GEBR) 미반영에 따른 제동거리 부족으로 교차로 및 선로종단부 충돌·탈선이 발생할 리스크를 검토하였는가?</v>
          </cell>
        </row>
        <row r="941">
          <cell r="A941">
            <v>939</v>
          </cell>
          <cell r="B941" t="str">
            <v>도로신호</v>
          </cell>
          <cell r="C941" t="str">
            <v>신호설비 생존성 확보</v>
          </cell>
          <cell r="F941" t="str">
            <v>경찰청 표준규격 및 사전 심의 누락에 따른 임의 규격 설계로 경찰 교통관제센터와 통신 연동이 불가할 리스크를 검토하였는가?</v>
          </cell>
        </row>
        <row r="942">
          <cell r="A942">
            <v>940</v>
          </cell>
          <cell r="B942" t="str">
            <v>도로신호</v>
          </cell>
          <cell r="C942" t="str">
            <v>신호설비 생존성 확보</v>
          </cell>
          <cell r="F942" t="str">
            <v>트램 신호기가 원형으로 설계되어, 일반 차량 운전자의 신호 오인에 따른 교차로 진입 및 충돌 방재 리스크를 검토하였는가?</v>
          </cell>
        </row>
        <row r="943">
          <cell r="A943">
            <v>941</v>
          </cell>
          <cell r="B943" t="str">
            <v>도로신호</v>
          </cell>
          <cell r="C943" t="str">
            <v>신호설비 생존성 확보</v>
          </cell>
          <cell r="F943" t="str">
            <v>트램 전용 신호기 설계 누락 및 경찰청 표준규격 위반으로 관할 경찰청 교통안전심의 통과가 불가해질 리스크를 검토하였는가?</v>
          </cell>
        </row>
        <row r="944">
          <cell r="A944">
            <v>942</v>
          </cell>
          <cell r="B944" t="str">
            <v>도로신호</v>
          </cell>
          <cell r="C944" t="str">
            <v>신호설비 생존성 확보</v>
          </cell>
          <cell r="F944" t="str">
            <v>분기부 트램 신호기가 좌측이나 가로형으로 임의 설계되어, 타 시설물에 가려진 신호 오인으로 분기부에서 탈선할 리스크를 검토하였는가?</v>
          </cell>
        </row>
        <row r="945">
          <cell r="A945">
            <v>943</v>
          </cell>
          <cell r="B945" t="str">
            <v>도로신호</v>
          </cell>
          <cell r="C945" t="str">
            <v>신호설비 생존성 확보</v>
          </cell>
          <cell r="F945" t="str">
            <v>전용 안전표지판 및 속도/서행 표지 누락·비표준 적용으로 일반 차량 궤도 침범 및 트램 곡선부 과속 사고를 유발할 리스크를 검토하였는가?</v>
          </cell>
        </row>
        <row r="946">
          <cell r="A946">
            <v>944</v>
          </cell>
          <cell r="B946" t="str">
            <v>도로신호</v>
          </cell>
          <cell r="C946" t="str">
            <v>신호설비 생존성 확보</v>
          </cell>
          <cell r="F946" t="str">
            <v>속도제한·서행 표지 누락 및 사각지대 배치로 감속 지연에 따른 탈선 및 교차로 충돌 리스크를 검토하였는가?</v>
          </cell>
        </row>
        <row r="947">
          <cell r="A947">
            <v>945</v>
          </cell>
          <cell r="B947" t="str">
            <v>도로신호</v>
          </cell>
          <cell r="C947" t="str">
            <v>신호설비 생존성 확보</v>
          </cell>
          <cell r="F947" t="str">
            <v>단일로 횡단보도 트램-보행신호 연동 설계 누락으로, 횡단 시 트램 무감속 진입에 의한 중대 인명사고 리스크를 검토하였는가?</v>
          </cell>
        </row>
        <row r="948">
          <cell r="A948">
            <v>946</v>
          </cell>
          <cell r="B948" t="str">
            <v>도로신호</v>
          </cell>
          <cell r="C948" t="str">
            <v>신호설비 생존성 확보</v>
          </cell>
          <cell r="F948" t="str">
            <v>통신 I/F 설계 누락으로 우선신호용 위치 데이터가 제어기에 미전달될 리스크를 검토하였는가?</v>
          </cell>
        </row>
        <row r="949">
          <cell r="A949">
            <v>947</v>
          </cell>
          <cell r="B949" t="str">
            <v>통신</v>
          </cell>
          <cell r="C949" t="str">
            <v>신호설비 생존성 확보</v>
          </cell>
          <cell r="F949" t="str">
            <v>TTC-PIS 간 운행정보 연동 누락 및 프로토콜 불일치로 승강장 모니터 정보 표출이 무력화될 리스크를 검토하였는가?</v>
          </cell>
        </row>
        <row r="950">
          <cell r="A950">
            <v>948</v>
          </cell>
          <cell r="B950" t="str">
            <v>도로신호</v>
          </cell>
          <cell r="C950" t="str">
            <v>신호설비 생존성 확보</v>
          </cell>
          <cell r="F950" t="str">
            <v>도로·철도신호 연계 누락 및 모바일 안테나 혼용 배치에 따른 통신 전자파 간섭 신호 오동작 리스크를 검토하였는가?</v>
          </cell>
        </row>
        <row r="951">
          <cell r="A951">
            <v>949</v>
          </cell>
          <cell r="B951" t="str">
            <v>도로신호</v>
          </cell>
          <cell r="C951" t="str">
            <v>신호설비 생존성 확보</v>
          </cell>
          <cell r="F951" t="str">
            <v>기지 내 입환 신호 및 시운전선 추돌방지 로직 누락으로 다수 트램 동시 이동 시 정면·측면 충돌 사고가 발생할 리스크를 검토하였는가?</v>
          </cell>
        </row>
        <row r="952">
          <cell r="A952">
            <v>950</v>
          </cell>
          <cell r="B952" t="str">
            <v>도로신호</v>
          </cell>
          <cell r="C952" t="str">
            <v>신호설비 생존성 확보</v>
          </cell>
          <cell r="F952" t="str">
            <v>히팅 장치 결선 및 어스박스 배수관 연결 누락으로 동절기 결빙 및 집중호우 침수에 따른 분기부 신호 제어 불능 리스크를 검토하였는가?</v>
          </cell>
        </row>
        <row r="953">
          <cell r="A953">
            <v>951</v>
          </cell>
          <cell r="B953" t="str">
            <v>도로신호</v>
          </cell>
          <cell r="C953" t="str">
            <v>신호설비 생존성 확보</v>
          </cell>
          <cell r="F953" t="str">
            <v>운전 방식 경계부 전환 안내 신호기 및 제어 로직 누락으로 기관사 신호 혼동에 따른 속도 위반 및 궤도 이탈 리스크를 검토하였는가?</v>
          </cell>
        </row>
        <row r="954">
          <cell r="A954">
            <v>952</v>
          </cell>
          <cell r="B954" t="str">
            <v>도로신호</v>
          </cell>
          <cell r="C954" t="str">
            <v>신호설비 생존성 확보</v>
          </cell>
          <cell r="F954" t="str">
            <v>분기부 신호기와 일반차량 신호기의 동기화 누락으로, 신호가 겹쳐 점등되어 교차로 궤도 진입 시 측면 충돌 사고가 발생할 방재 리스크를 검토하였는가?</v>
          </cell>
        </row>
        <row r="955">
          <cell r="A955">
            <v>953</v>
          </cell>
          <cell r="B955" t="str">
            <v>도로신호</v>
          </cell>
          <cell r="C955" t="str">
            <v>신호설비 생존성 확보</v>
          </cell>
          <cell r="F955" t="str">
            <v>교차로 소등에 따른 교통 정리요원 배치 수량 및 비용 누락으로, 현장에서 무방비 상태로 신호기가 차단될 리스크를 검토하였는가?</v>
          </cell>
        </row>
        <row r="956">
          <cell r="A956">
            <v>954</v>
          </cell>
          <cell r="B956" t="str">
            <v>도로신호</v>
          </cell>
          <cell r="C956" t="str">
            <v>신호설비 생존성 확보</v>
          </cell>
          <cell r="F956" t="str">
            <v>트램 신호기 높이가 3.5m 미만으로 설계되어, 가로수나 트럭 등에 의해 기관사의 신호 시야가 가려질 리스크를 검토하였는가?</v>
          </cell>
        </row>
        <row r="957">
          <cell r="A957">
            <v>955</v>
          </cell>
          <cell r="B957" t="str">
            <v>도로신호</v>
          </cell>
          <cell r="C957" t="str">
            <v>신호설비 생존성 확보</v>
          </cell>
          <cell r="F957" t="str">
            <v>관로 굴착 및 맨홀이 토목·통신 공동관로 계획과 별개로 설계되어, 교차로 반복 굴착에 따른 공사비 낭비 및 통행 불편 가중 리스크를 검토하였는가?</v>
          </cell>
        </row>
        <row r="958">
          <cell r="A958">
            <v>956</v>
          </cell>
          <cell r="B958" t="str">
            <v>도로신호</v>
          </cell>
          <cell r="C958" t="str">
            <v>신호설비 생존성 확보</v>
          </cell>
          <cell r="F958" t="str">
            <v>옥외 신호 현장제어함의 IP56 이상 방진방수 및 방습 구조 규격 누락으로, 우천 시 침수·결로에 의한 신호 마비가 발생할 리스크를 검토하였는가?</v>
          </cell>
        </row>
        <row r="959">
          <cell r="A959">
            <v>957</v>
          </cell>
          <cell r="B959" t="str">
            <v>도로신호</v>
          </cell>
          <cell r="C959" t="str">
            <v>신호설비 생존성 확보</v>
          </cell>
          <cell r="F959" t="str">
            <v>비차폐/비난연 케이블 적용 및 관로 수용 계획 누락으로, 유도장애에 따른 신호 오작동 및 화재가 확산될 방재 리스크를 검토하였는가?</v>
          </cell>
        </row>
        <row r="960">
          <cell r="A960">
            <v>958</v>
          </cell>
          <cell r="B960" t="str">
            <v>도로신호</v>
          </cell>
          <cell r="C960" t="str">
            <v>신호설비 생존성 확보</v>
          </cell>
          <cell r="F960" t="str">
            <v>주파수 간섭 장비 혼용 및 축전지실 일체형 설계로, 전자파 장애나 배터리 화재 시 트램 신호 관제망이 동반 소손될 리스크를 검토하였는가?</v>
          </cell>
        </row>
        <row r="961">
          <cell r="A961">
            <v>959</v>
          </cell>
          <cell r="B961" t="str">
            <v>도로신호</v>
          </cell>
          <cell r="C961" t="str">
            <v>신호설비 생존성 확보</v>
          </cell>
          <cell r="F961" t="str">
            <v>옥외 제어함 IP56 미달 및 지하시설 일반 PVC 케이블 적용으로, 우천 시 신호 단락 및 화재 시 대형 질식사고를 유발할 리스크를 검토하였는가?</v>
          </cell>
        </row>
        <row r="962">
          <cell r="A962">
            <v>960</v>
          </cell>
          <cell r="B962" t="str">
            <v>도로신호</v>
          </cell>
          <cell r="C962" t="str">
            <v>신호설비 생존성 확보</v>
          </cell>
          <cell r="F962" t="str">
            <v>전선관 굴곡 반경 미달 및 방수 씰링 누락으로, 케이블 교체 시 배관 막힘에 따른 도로 재굴착 리스크를 검토하였는가?</v>
          </cell>
        </row>
        <row r="963">
          <cell r="A963">
            <v>961</v>
          </cell>
          <cell r="B963" t="str">
            <v>도로신호</v>
          </cell>
          <cell r="C963" t="str">
            <v>신호설비 생존성 확보</v>
          </cell>
          <cell r="F963" t="str">
            <v>신호최적화(T.O.D) 분석 및 능동형 우선신호 전략 누락으로 개통 후 일반 차량의 극심한 교통 정체 및 대규모 민원이 유발될 리스크를 검토하였는가?</v>
          </cell>
        </row>
        <row r="964">
          <cell r="A964">
            <v>962</v>
          </cell>
          <cell r="B964" t="str">
            <v>도로신호</v>
          </cell>
          <cell r="C964" t="str">
            <v>안전성 보증 및 인증 계획</v>
          </cell>
          <cell r="F964" t="str">
            <v>페일세이프(Fail-Safe) 설계 및 독립안전성평가(ISA) 일정 누락으로 시스템 결함 방치 및 개통 전 안전인증 획득에 실패할 리스크를 검토하였는가?</v>
          </cell>
        </row>
        <row r="965">
          <cell r="A965">
            <v>963</v>
          </cell>
          <cell r="B965" t="str">
            <v>도로신호</v>
          </cell>
          <cell r="C965" t="str">
            <v>열차운행관리 연계 계획</v>
          </cell>
          <cell r="F965" t="str">
            <v>스케줄 기반 자동진로제어(ARS) 연계 및 통신 인터페이스 누락으로 분기부마다 기관사가 수동으로 진로를 요구할 운영 비효율 리스크를 검토하였는가?</v>
          </cell>
        </row>
        <row r="966">
          <cell r="A966">
            <v>964</v>
          </cell>
          <cell r="B966" t="str">
            <v>도로신호</v>
          </cell>
          <cell r="C966" t="str">
            <v>정거장 정위치 정차 및 과주방지 계획</v>
          </cell>
          <cell r="F966" t="str">
            <v>수동운전 의존 및 과주방지 제어 누락으로, 우천 시 정지선 이탈 및 선로 종단 충돌사고가 발생할 리스크를 검토하였는가?</v>
          </cell>
        </row>
        <row r="967">
          <cell r="A967">
            <v>965</v>
          </cell>
          <cell r="B967" t="str">
            <v>통신</v>
          </cell>
          <cell r="C967" t="str">
            <v>통신 전원설비 감시계획</v>
          </cell>
          <cell r="F967" t="str">
            <v>통신 전원장치(UPS 등) 원격 감시(EMS) 누락으로 배터리 방전·고장 시 관제실 조기 인지 불가로 통신망이 전면 셧다운될 리스크를 검토하였는가?</v>
          </cell>
        </row>
        <row r="968">
          <cell r="A968">
            <v>966</v>
          </cell>
          <cell r="B968" t="str">
            <v>통신</v>
          </cell>
          <cell r="C968" t="str">
            <v>통신-차량 인터페이스</v>
          </cell>
          <cell r="F968" t="str">
            <v>내환경 성능 요구사항 누락에 따른 일반 상용품 적용으로 주행 중 장비 파손 및 오작동이 발생할 리스크를 검토하였는가?</v>
          </cell>
        </row>
        <row r="969">
          <cell r="A969">
            <v>967</v>
          </cell>
          <cell r="B969" t="str">
            <v>도로신호</v>
          </cell>
          <cell r="C969" t="str">
            <v>통행우선권 제어기 반영 및 유관기관 협의 계획</v>
          </cell>
          <cell r="F969" t="str">
            <v>우선신호에 대한 경찰청 등 유관기관 사전 협의 누락으로, 개통 전 신호 운영 승인 불가에 따른 행정·운영 리스크를 검토하였는가?</v>
          </cell>
        </row>
        <row r="970">
          <cell r="A970">
            <v>968</v>
          </cell>
          <cell r="B970" t="str">
            <v>전기</v>
          </cell>
          <cell r="C970" t="str">
            <v>전기설비(MCC)</v>
          </cell>
          <cell r="F970" t="str">
            <v>배수펌프 제어반 등 주요 전기 설비가 침수위(LWL/HWL) 상부 또는 습기가 없는 별도 실에 배치되었는가?</v>
          </cell>
        </row>
        <row r="971">
          <cell r="A971">
            <v>969</v>
          </cell>
          <cell r="B971" t="str">
            <v>전기</v>
          </cell>
          <cell r="C971" t="str">
            <v>전기실냉난방</v>
          </cell>
          <cell r="F971" t="str">
            <v>전기실/변전실의 발열량을 계산하여 적정 용량의 냉방 설비가 반영되었는가?</v>
          </cell>
        </row>
        <row r="972">
          <cell r="A972">
            <v>970</v>
          </cell>
          <cell r="B972" t="str">
            <v>전기</v>
          </cell>
          <cell r="C972" t="str">
            <v>주탑전기실</v>
          </cell>
          <cell r="F972" t="str">
            <v>전기실 출입문 및 장비 반입구가 '내선규정' 등 관련 기준을 만족하는가?</v>
          </cell>
        </row>
        <row r="973">
          <cell r="A973">
            <v>971</v>
          </cell>
          <cell r="B973" t="str">
            <v>전기</v>
          </cell>
          <cell r="C973" t="str">
            <v>통합전기실</v>
          </cell>
          <cell r="F973" t="str">
            <v>전기실 바닥 트렌치/피트 상세도가 토목/건축 구조 도면에 반영되었는가?</v>
          </cell>
        </row>
        <row r="974">
          <cell r="A974">
            <v>972</v>
          </cell>
          <cell r="B974" t="str">
            <v>전기</v>
          </cell>
          <cell r="C974" t="str">
            <v>2. 송변전 설비</v>
          </cell>
          <cell r="F974" t="str">
            <v>대지 누설전류 전식 방호대책 미흡으로 주변 지하 매설물 전기부식 및 접지 간 전위차로 인한 통신·신호 기기 오동작 리스크를 검토하였는가?</v>
          </cell>
        </row>
        <row r="975">
          <cell r="A975">
            <v>973</v>
          </cell>
          <cell r="B975" t="str">
            <v>전기</v>
          </cell>
          <cell r="C975" t="str">
            <v>2. 송변전 설비</v>
          </cell>
          <cell r="F975" t="str">
            <v>고속도 차단기(HSCB) 동작 아크(Arc) 소화를 위한 주변 금속체와의 안전 이격거리 미확보로 배전반 내부 단락 사고가 유발될 리스크를 검토하였는가?</v>
          </cell>
        </row>
        <row r="976">
          <cell r="A976">
            <v>974</v>
          </cell>
          <cell r="B976" t="str">
            <v>전기</v>
          </cell>
          <cell r="C976" t="str">
            <v>2. 송변전 설비</v>
          </cell>
          <cell r="F976" t="str">
            <v>변전소-레일 간 단일 회선 귀선 설계로 단선·접속 불량 시 누설전류가 급증해 주변 지하 매설물(가스관 등) 전식(부식)이 가속화될 리스크를 검토하였는가?</v>
          </cell>
        </row>
        <row r="977">
          <cell r="A977">
            <v>975</v>
          </cell>
          <cell r="B977" t="str">
            <v>전기</v>
          </cell>
          <cell r="C977" t="str">
            <v>2. 송변전 설비</v>
          </cell>
          <cell r="F977" t="str">
            <v>급전계통 구역별 분리 누락으로 특정 구간 사고·보수 시 전 구간 전력이 차단돼 열차 운행이 마비될 리스크를 검토하였는가?</v>
          </cell>
        </row>
        <row r="978">
          <cell r="A978">
            <v>976</v>
          </cell>
          <cell r="B978" t="str">
            <v>전기</v>
          </cell>
          <cell r="C978" t="str">
            <v>2. 송변전 설비</v>
          </cell>
          <cell r="F978" t="str">
            <v>수배전반 소화장치 도면/예산 누락 및 타 공종 물리적 간섭·연동 누락 발생 리스크를 검토하였는가?</v>
          </cell>
        </row>
        <row r="979">
          <cell r="A979">
            <v>977</v>
          </cell>
          <cell r="B979" t="str">
            <v>전기</v>
          </cell>
          <cell r="C979" t="str">
            <v>2. 송변전 설비</v>
          </cell>
          <cell r="F979" t="str">
            <v>회생제동 역전력에 의한 직류 급전계통 전압 급상승(전력설비 소손) 및 정류기 용량 부족에 따른 동시 기동 시 급전 장애 리스크를 검토하였는가?</v>
          </cell>
        </row>
        <row r="980">
          <cell r="A980">
            <v>978</v>
          </cell>
          <cell r="B980" t="str">
            <v>전기</v>
          </cell>
          <cell r="C980" t="str">
            <v>2. 송변전 설비</v>
          </cell>
          <cell r="F980" t="str">
            <v>고조파 유입으로 주변압기(Transformer) 과열·소손, 통신선 유도장해 및 디지털 보호계전기 오동작(Trip)을 유발할 리스크를 검토하였는가?</v>
          </cell>
        </row>
        <row r="981">
          <cell r="A981">
            <v>979</v>
          </cell>
          <cell r="B981" t="str">
            <v>전기</v>
          </cell>
          <cell r="C981" t="str">
            <v>2. 송변전 설비</v>
          </cell>
          <cell r="F981" t="str">
            <v>지하 변전소 냉각 설비(환기, 냉방 장치) 용량 부족으로 장비 열화, 수명 단축 및 계기류 오동작이 발생할 리스크를 검토하였는가?</v>
          </cell>
        </row>
        <row r="982">
          <cell r="A982">
            <v>980</v>
          </cell>
          <cell r="B982" t="str">
            <v>전기</v>
          </cell>
          <cell r="C982" t="str">
            <v>2. 송변전 설비</v>
          </cell>
          <cell r="F982" t="str">
            <v>비상 제어 직류(DC) 조작전원(축전지·충전기) 용량 과소 산정 및 정전 시 감시·경보 연동 누락 리스크를 검토하였는가?</v>
          </cell>
        </row>
        <row r="983">
          <cell r="A983">
            <v>981</v>
          </cell>
          <cell r="B983" t="str">
            <v>전기</v>
          </cell>
          <cell r="C983" t="str">
            <v>2. 송변전 설비</v>
          </cell>
          <cell r="F983" t="str">
            <v>화재감지기형 가스 자동소화장치 및 케이블 피트 화재 확산방지판 누락으로, 국부적 단락 화재가 변전소 전체로 확산될 리스크를 검토하였는가?</v>
          </cell>
        </row>
        <row r="984">
          <cell r="A984">
            <v>982</v>
          </cell>
          <cell r="B984" t="str">
            <v>전기</v>
          </cell>
          <cell r="C984" t="str">
            <v>2. 송변전 설비</v>
          </cell>
          <cell r="F984" t="str">
            <v>구조물과 전기 대형 장비 간 시공 한계선 충돌에 의한 구조물 재시공 및 장비 현장 분해/재조립 리스크를 검토하였는가?</v>
          </cell>
        </row>
        <row r="985">
          <cell r="A985">
            <v>983</v>
          </cell>
          <cell r="B985" t="str">
            <v>전기</v>
          </cell>
          <cell r="C985" t="str">
            <v>2. 송변전 설비</v>
          </cell>
          <cell r="F985" t="str">
            <v>주요 전기 장비 예방진단설비 원가 누락으로 사업비 초과가 발생할 리스크를 검토하였는가?</v>
          </cell>
        </row>
        <row r="986">
          <cell r="A986">
            <v>984</v>
          </cell>
          <cell r="B986" t="str">
            <v>전기</v>
          </cell>
          <cell r="C986" t="str">
            <v>2. 송변전 설비</v>
          </cell>
          <cell r="F986" t="str">
            <v>특고압 인입 관로·맨홀 방수 대책 누락에 따른 변전소 침수 및 전력제어장치 누락에 의한 계약전력 초과 요금 부과 리스크를 검토하였는가?</v>
          </cell>
        </row>
        <row r="987">
          <cell r="A987">
            <v>985</v>
          </cell>
          <cell r="B987" t="str">
            <v>전기</v>
          </cell>
          <cell r="C987" t="str">
            <v>2. 송변전 설비</v>
          </cell>
          <cell r="F987" t="str">
            <v>장비반입구(3m×4m) 미달 및 지하주차장(2.2m) 등 기존 시설물 간섭으로 대형 수배전반·변압기 반입 불가 리스크를 검토하였는가?</v>
          </cell>
        </row>
        <row r="988">
          <cell r="A988">
            <v>986</v>
          </cell>
          <cell r="B988" t="str">
            <v>전기</v>
          </cell>
          <cell r="C988" t="str">
            <v>2. 송변전 설비</v>
          </cell>
          <cell r="F988" t="str">
            <v>낙뢰에 의한 손상 리스크를 검토하였는가?</v>
          </cell>
        </row>
        <row r="989">
          <cell r="A989">
            <v>987</v>
          </cell>
          <cell r="B989" t="str">
            <v>전기</v>
          </cell>
          <cell r="C989" t="str">
            <v>2. 송변전 설비</v>
          </cell>
          <cell r="F989" t="str">
            <v>전력기기의 절연파괴 발생 리스크를 검토하였는가?</v>
          </cell>
        </row>
        <row r="990">
          <cell r="A990">
            <v>988</v>
          </cell>
          <cell r="B990" t="str">
            <v>전기</v>
          </cell>
          <cell r="C990" t="str">
            <v>2. 송변전 설비</v>
          </cell>
          <cell r="F990" t="str">
            <v>선로변설비 전원선 케이블 파손 우려 리스크를 검토하였는가?</v>
          </cell>
        </row>
        <row r="991">
          <cell r="A991">
            <v>989</v>
          </cell>
          <cell r="B991" t="str">
            <v>전기</v>
          </cell>
          <cell r="C991" t="str">
            <v>2. 송변전 설비</v>
          </cell>
          <cell r="F991" t="str">
            <v>발주처 요구사항에 따라 선로역사 설계를 추가하였으나, 최소한의 금액 반영을 위한 설계 최소화로 인하여 철도설계지침에 따른 전기 및 설비를 해야하나 해당 설계가 누락됨 리스크를 검토하였는가?</v>
          </cell>
        </row>
        <row r="992">
          <cell r="A992">
            <v>990</v>
          </cell>
          <cell r="B992" t="str">
            <v>전기</v>
          </cell>
          <cell r="C992" t="str">
            <v>3. 전차선로 설비</v>
          </cell>
          <cell r="F992" t="str">
            <v>급속 충전 시 귀선전류 노이즈·EMC 대책 누락으로 신호장비 오동작 및 주변 금속 매설물 전식이 가속화될 리스크를 검토하였는가?</v>
          </cell>
        </row>
        <row r="993">
          <cell r="A993">
            <v>991</v>
          </cell>
          <cell r="B993" t="str">
            <v>전기</v>
          </cell>
          <cell r="C993" t="str">
            <v>3. 전차선로 설비</v>
          </cell>
          <cell r="F993" t="str">
            <v>검수고 전차선 격리(접지) 장치 및 천장 크레인 작동 연동 가압 차단 인터록 누락으로 중대재해 감전사고가 유발될 리스크를 검토하였는가?</v>
          </cell>
        </row>
        <row r="994">
          <cell r="A994">
            <v>992</v>
          </cell>
          <cell r="B994" t="str">
            <v>전기</v>
          </cell>
          <cell r="C994" t="str">
            <v>3. 전차선로 설비</v>
          </cell>
          <cell r="F994" t="str">
            <v>지하 매설물 간섭에 따른 지중 인입 경로 변경 및 전력 부족에 의한 한전 인허가 지연 리스크를 검토하였는가?</v>
          </cell>
        </row>
        <row r="995">
          <cell r="A995">
            <v>993</v>
          </cell>
          <cell r="B995" t="str">
            <v>전기</v>
          </cell>
          <cell r="C995" t="str">
            <v>3. 전차선로 설비</v>
          </cell>
          <cell r="F995" t="str">
            <v>지지물 승탑 방지 설비 누락으로 보행자·어린이가 무단 등반하여 750V 가공전차선에 감전될 중대재해 리스크를 검토하였는가?</v>
          </cell>
        </row>
        <row r="996">
          <cell r="A996">
            <v>994</v>
          </cell>
          <cell r="B996" t="str">
            <v>전기</v>
          </cell>
          <cell r="C996" t="str">
            <v>3. 전차선로 설비</v>
          </cell>
          <cell r="F996" t="str">
            <v>지하구간 일반 가요 전차선 적용 시 전차선 처짐으로 인한 대지 절연 파괴 및 차량 집전장치(판토그래프) 이탈 사고가 발생할 리스크를 검토하였는가?</v>
          </cell>
        </row>
        <row r="997">
          <cell r="A997">
            <v>995</v>
          </cell>
          <cell r="B997" t="str">
            <v>전기</v>
          </cell>
          <cell r="C997" t="str">
            <v>3. 전차선로 설비</v>
          </cell>
          <cell r="F997" t="str">
            <v>팬터그래프 상승 미고려로 인한 건축 캐노피와의 물리적 충돌 및 법적 전기 절연 이격거리 미확보 리스크를 검토하였는가?</v>
          </cell>
        </row>
        <row r="998">
          <cell r="A998">
            <v>996</v>
          </cell>
          <cell r="B998" t="str">
            <v>전기</v>
          </cell>
          <cell r="C998" t="str">
            <v>3. 전차선로 설비</v>
          </cell>
          <cell r="F998" t="str">
            <v>전차선 편위 한계(최대 250mm) 초과 설계로 팬터그래프 집전판 유효 폭 이탈(Dewirement) 및 전차선 국부적 편마모를 유발할 리스크를 검토하였는가?</v>
          </cell>
        </row>
        <row r="999">
          <cell r="A999">
            <v>997</v>
          </cell>
          <cell r="B999" t="str">
            <v>전기</v>
          </cell>
          <cell r="C999" t="str">
            <v>3. 전차선로 설비</v>
          </cell>
          <cell r="F999" t="str">
            <v>급전케이블 인입 경로 수량 및 부급전선 레일 천공·접속함 체결 누락에 따른 원가 손실 및 충전 불량 리스크를 검토하였는가?</v>
          </cell>
        </row>
        <row r="1000">
          <cell r="A1000">
            <v>998</v>
          </cell>
          <cell r="B1000" t="str">
            <v>전기</v>
          </cell>
          <cell r="C1000" t="str">
            <v>3. 전차선로 설비</v>
          </cell>
          <cell r="F1000" t="str">
            <v>대지절연 이격거리 부족 및 유도장애 차폐 누락으로 아크(Arc) 발생 및 관제 통신망 에러가 유발될 리스크를 검토하였는가?</v>
          </cell>
        </row>
        <row r="1001">
          <cell r="A1001">
            <v>999</v>
          </cell>
          <cell r="B1001" t="str">
            <v>전기</v>
          </cell>
          <cell r="C1001" t="str">
            <v>3. 전차선로 설비</v>
          </cell>
          <cell r="F1001" t="str">
            <v>연약지반 부동침하 미고려로 준공 후 관로가 처져 특고압 케이블 전단 및 압착 파손될 리스크를 검토하였는가?</v>
          </cell>
        </row>
        <row r="1002">
          <cell r="A1002">
            <v>1000</v>
          </cell>
          <cell r="B1002" t="str">
            <v>전기</v>
          </cell>
          <cell r="C1002" t="str">
            <v>3. 전차선로 설비</v>
          </cell>
          <cell r="F1002" t="str">
            <v>지반 조사 결과(토질조건) 및 풍하중·인장하중 계산 미반영에 따른 지지주(Catenary Pole) 부동침하 및 전도 리스크를 검토하였는가?</v>
          </cell>
        </row>
        <row r="1003">
          <cell r="A1003">
            <v>1001</v>
          </cell>
          <cell r="B1003" t="str">
            <v>전기</v>
          </cell>
          <cell r="C1003" t="str">
            <v>3. 전차선로 설비</v>
          </cell>
          <cell r="F1003" t="str">
            <v>WTB 위치 선정 시, 급곡선(R=25m 등)·분기기 구간 설치 공간 간섭 및 트램 선로 평면선형 불일치 리스크를 검토하였는가?</v>
          </cell>
        </row>
        <row r="1004">
          <cell r="A1004">
            <v>1002</v>
          </cell>
          <cell r="B1004" t="str">
            <v>전기</v>
          </cell>
          <cell r="C1004" t="str">
            <v>3. 전차선로 설비</v>
          </cell>
          <cell r="F1004" t="str">
            <v>충전 포스트 지지물 하중 계산 누락에 의한 캐노피 변형 및 TCMS-충전설비 통신 인터페이스 불일치로 충전 실패가 발생할 리스크를 검토하였는가?</v>
          </cell>
        </row>
        <row r="1005">
          <cell r="A1005">
            <v>1003</v>
          </cell>
          <cell r="B1005" t="str">
            <v>전기</v>
          </cell>
          <cell r="C1005" t="str">
            <v>3. 전차선로 설비</v>
          </cell>
          <cell r="F1005" t="str">
            <v>대전류 아크(Arc) 발생에 따른 전차선 마모·온도상승 방지 대책 및 승객 안전용 아크 감시 장치 누락 리스크를 검토하였는가?</v>
          </cell>
        </row>
        <row r="1006">
          <cell r="A1006">
            <v>1004</v>
          </cell>
          <cell r="B1006" t="str">
            <v>전기</v>
          </cell>
          <cell r="C1006" t="str">
            <v>3. 전차선로 설비</v>
          </cell>
          <cell r="F1006" t="str">
            <v>협소 개소 전차선 가압부-대지 간 절연 이격거리 미확보로, 우기 시 구조물 섬락(지락) 사고가 발생할 리스크를 검토하였는가?</v>
          </cell>
        </row>
        <row r="1007">
          <cell r="A1007">
            <v>1005</v>
          </cell>
          <cell r="B1007" t="str">
            <v>전기</v>
          </cell>
          <cell r="C1007" t="str">
            <v>3. 전차선로 설비</v>
          </cell>
          <cell r="F1007" t="str">
            <v>기후 조건 미고려로 옥외 유치선·급속충전선 상부 캐노피 설계를 누락해 열차 충전 효율 급감 및 안전성 저하가 발생할 리스크를 검토하였는가?</v>
          </cell>
        </row>
        <row r="1008">
          <cell r="A1008">
            <v>1006</v>
          </cell>
          <cell r="B1008" t="str">
            <v>전기</v>
          </cell>
          <cell r="C1008" t="str">
            <v>3. 전차선로 설비</v>
          </cell>
          <cell r="F1008" t="str">
            <v>도심지 도로 횡단 굴착 시 필수적인 교통통제 및 야간공사 할증 비용 누락으로 시공사에 막대한 초과 예산이 발생할 리스크를 검토하였는가?</v>
          </cell>
        </row>
        <row r="1009">
          <cell r="A1009">
            <v>1007</v>
          </cell>
          <cell r="B1009" t="str">
            <v>전기</v>
          </cell>
          <cell r="C1009" t="str">
            <v>3. 전차선로 설비</v>
          </cell>
          <cell r="F1009" t="str">
            <v>궤도 내 전차선로 매설물 누락에 따른 시공비 급증 리스크를 검토하였는가?</v>
          </cell>
        </row>
        <row r="1010">
          <cell r="A1010">
            <v>1008</v>
          </cell>
          <cell r="B1010" t="str">
            <v>전기</v>
          </cell>
          <cell r="C1010" t="str">
            <v>3. 전차선로 설비</v>
          </cell>
          <cell r="F1010" t="str">
            <v>급곡선 궤적 편위 미고려 지지물 경간 설계로 팬터그래프가 전차선에서 이탈(Dewirement)할 리스크를 검토하였는가?</v>
          </cell>
        </row>
        <row r="1011">
          <cell r="A1011">
            <v>1009</v>
          </cell>
          <cell r="B1011" t="str">
            <v>전기</v>
          </cell>
          <cell r="C1011" t="str">
            <v>3. 전차선로 설비</v>
          </cell>
          <cell r="F1011" t="str">
            <v>한전 수전 거리 과소 산정에 따른 시설부담금 누락으로 시공사가 막대한 적자를 떠안을 리스크를 검토하였는가?</v>
          </cell>
        </row>
        <row r="1012">
          <cell r="A1012">
            <v>1010</v>
          </cell>
          <cell r="B1012" t="str">
            <v>전기</v>
          </cell>
          <cell r="C1012" t="str">
            <v>3. 전차선로 설비</v>
          </cell>
          <cell r="F1012" t="str">
            <v>양방향 동시 급속충전 시 용량 부족에 따른 전압강하 및 직류 단락 시 보호계전기 부조화로 설비가 소손될 리스크를 검토하였는가?</v>
          </cell>
        </row>
        <row r="1013">
          <cell r="A1013">
            <v>1011</v>
          </cell>
          <cell r="B1013" t="str">
            <v>전기</v>
          </cell>
          <cell r="C1013" t="str">
            <v>3. 전차선로 설비</v>
          </cell>
          <cell r="F1013" t="str">
            <v>한전-철도 간 물리적 접속점 불일치 자재 누락 및 보호협조 세팅 오류로 계통 연계 시 단락 사고가 발생할 리스크를 검토하였는가?</v>
          </cell>
        </row>
        <row r="1014">
          <cell r="A1014">
            <v>1012</v>
          </cell>
          <cell r="B1014" t="str">
            <v>전기</v>
          </cell>
          <cell r="C1014" t="str">
            <v>3. 전차선로 설비</v>
          </cell>
          <cell r="F1014" t="str">
            <v>전차선 가압부-보행자 간 이격거리 및 감전예방 방호 대책 누락으로 특고압 감전에 의한 방재 리스크를 검토하였는가?</v>
          </cell>
        </row>
        <row r="1015">
          <cell r="A1015">
            <v>1013</v>
          </cell>
          <cell r="B1015" t="str">
            <v>전기</v>
          </cell>
          <cell r="C1015" t="str">
            <v>3. 전차선로 설비</v>
          </cell>
          <cell r="F1015" t="str">
            <v>교차로 가공 전차선(DC 750V)과 교통 인프라 간 전기적 절연 이격거리 및 물리적 접촉 한계 이격거리 미확보 리스크를 검토하였는가?</v>
          </cell>
        </row>
        <row r="1016">
          <cell r="A1016">
            <v>1014</v>
          </cell>
          <cell r="B1016" t="str">
            <v>전기</v>
          </cell>
          <cell r="C1016" t="str">
            <v>3. 전차선로 설비</v>
          </cell>
          <cell r="F1016" t="str">
            <v>지하매설물 간섭에 따른 인입 관로 경로 변경 및 관로구 방수 누락으로 우기철 변전소·전기실이 침수될 리스크를 검토하였는가?</v>
          </cell>
        </row>
        <row r="1017">
          <cell r="A1017">
            <v>1015</v>
          </cell>
          <cell r="B1017" t="str">
            <v>전기</v>
          </cell>
          <cell r="C1017" t="str">
            <v>3. 전차선로 설비</v>
          </cell>
          <cell r="F1017" t="str">
            <v>케이블 연장에 따른 전압강하 및 밀폐형 덕트 누락에 의한 케이블 외부 충격 손상 리스크를 검토하였는가?</v>
          </cell>
        </row>
        <row r="1018">
          <cell r="A1018">
            <v>1016</v>
          </cell>
          <cell r="B1018" t="str">
            <v>전기</v>
          </cell>
          <cell r="C1018" t="str">
            <v>3. 전차선로 설비</v>
          </cell>
          <cell r="F1018" t="str">
            <v>지상-지하 접속부 등 불가피 구간의 이행(Transition) 튜닝 설계 누락으로 트램 판토그래프가 파손될 리스크를 검토하였는가?</v>
          </cell>
        </row>
        <row r="1019">
          <cell r="A1019">
            <v>1017</v>
          </cell>
          <cell r="B1019" t="str">
            <v>전기</v>
          </cell>
          <cell r="C1019" t="str">
            <v>4. 일반전기 설비</v>
          </cell>
          <cell r="F1019" t="str">
            <v>소방 동력(MCC) 2중 전원 및 화재 수신반 연동 누락으로 화재 시 제연·소화 기능이 전면 마비될 리스크를 검토하였는가?</v>
          </cell>
        </row>
        <row r="1020">
          <cell r="A1020">
            <v>1018</v>
          </cell>
          <cell r="B1020" t="str">
            <v>전기</v>
          </cell>
          <cell r="C1020" t="str">
            <v>4. 일반전기 설비</v>
          </cell>
          <cell r="F1020" t="str">
            <v>비상조명·유도등 설계 오류 및 비상 백업 전원(UPS/축전지) 용량 누락으로 정전 시 피난 동선이 암흑화될 리스크를 검토하였는가?</v>
          </cell>
        </row>
        <row r="1021">
          <cell r="A1021">
            <v>1019</v>
          </cell>
          <cell r="B1021" t="str">
            <v>전기</v>
          </cell>
          <cell r="C1021" t="str">
            <v>4. 일반전기 설비</v>
          </cell>
          <cell r="F1021" t="str">
            <v>환기·배연 동력 2중화 누락 및 일반 케이블 사용으로 화재 시 배연팬 전원 소실 및 모드 전환에 실패할 리스크를 검토하였는가?</v>
          </cell>
        </row>
        <row r="1022">
          <cell r="A1022">
            <v>1020</v>
          </cell>
          <cell r="B1022" t="str">
            <v>전기</v>
          </cell>
          <cell r="C1022" t="str">
            <v>4. 일반전기 설비</v>
          </cell>
          <cell r="F1022" t="str">
            <v>분기기 히팅설비 전원 회로 누락·용량 부족으로 강설·결빙 시 선로전환기가 불일치 작동할 리스크를 검토하였는가?</v>
          </cell>
        </row>
        <row r="1023">
          <cell r="A1023">
            <v>1021</v>
          </cell>
          <cell r="B1023" t="str">
            <v>전기</v>
          </cell>
          <cell r="C1023" t="str">
            <v>4. 일반전기 설비</v>
          </cell>
          <cell r="F1023" t="str">
            <v>승강기(엘리베이터 등) 비상 전원 및 화재 감지 연동 누락으로 정전·화재 시 승객이 고립될 리스크를 검토하였는가?</v>
          </cell>
        </row>
        <row r="1024">
          <cell r="A1024">
            <v>1022</v>
          </cell>
          <cell r="B1024" t="str">
            <v>전기</v>
          </cell>
          <cell r="C1024" t="str">
            <v>4. 일반전기 설비</v>
          </cell>
          <cell r="F1024" t="str">
            <v>전동기 기동 전류(Starting Current) 및 기동 방식 미고려로, 정전 시 비상발전기가 과전류로 정지(Stall)하거나 기동 실패할 리스크를 검토하였는가?</v>
          </cell>
        </row>
        <row r="1025">
          <cell r="A1025">
            <v>1023</v>
          </cell>
          <cell r="B1025" t="str">
            <v>전기</v>
          </cell>
          <cell r="C1025" t="str">
            <v>4. 일반전기 설비</v>
          </cell>
          <cell r="F1025" t="str">
            <v>배수 펌프 전압 강하 및 기동 전류 과소 산정으로 배전반 차단기 오작동 및 펌프 기동 불량에 의한 지하 구간 침수 리스크를 검토하였는가?</v>
          </cell>
        </row>
        <row r="1026">
          <cell r="A1026">
            <v>1024</v>
          </cell>
          <cell r="B1026" t="str">
            <v>전기</v>
          </cell>
          <cell r="C1026" t="str">
            <v>4. 일반전기 설비</v>
          </cell>
          <cell r="F1026" t="str">
            <v>검수 장비용 특수 동력제어반(MCC) 및 전력 분전반 용량 설계 누락 및 과소 산정에 따른 장비 가동 불가 리스크를 검토하였는가?</v>
          </cell>
        </row>
        <row r="1027">
          <cell r="A1027">
            <v>1025</v>
          </cell>
          <cell r="B1027" t="str">
            <v>전기</v>
          </cell>
          <cell r="C1027" t="str">
            <v>4. 일반전기 설비</v>
          </cell>
          <cell r="F1027" t="str">
            <v>정거장 스마트 쉘터 편의시설(온열의자, 음성안내기 등)의 개별 분기 회로 설계 누락 및 분전반 용량 부족 리스크를 검토하였는가?</v>
          </cell>
        </row>
        <row r="1028">
          <cell r="A1028">
            <v>1026</v>
          </cell>
          <cell r="B1028" t="str">
            <v>전기</v>
          </cell>
          <cell r="C1028" t="str">
            <v>4. 일반전기 설비</v>
          </cell>
          <cell r="F1028" t="str">
            <v>극한 대기온도(-25℃~40℃) 미고려 일반 실내 설비 반영으로 동파 및 제어반 과열 소손이 발생할 리스크를 검토하였는가?</v>
          </cell>
        </row>
        <row r="1029">
          <cell r="A1029">
            <v>1027</v>
          </cell>
          <cell r="B1029" t="str">
            <v>전기</v>
          </cell>
          <cell r="C1029" t="str">
            <v>4. 일반전기 설비</v>
          </cell>
          <cell r="F1029" t="str">
            <v>케이블 피트(Cable Pit) 내 화재 확산방지판 및 관통부 내화채움구조 설계 누락으로 국부적 단락 화재가 변전소 전체 케이블 소손으로 확대될 리스크를 검토하였는가?</v>
          </cell>
        </row>
        <row r="1030">
          <cell r="A1030">
            <v>1028</v>
          </cell>
          <cell r="B1030" t="str">
            <v>전기</v>
          </cell>
          <cell r="C1030" t="str">
            <v>4. 일반전기 설비</v>
          </cell>
          <cell r="F1030" t="str">
            <v>야간 작업용 법정 최소 조도(Lux) 미확보 및 조명타워 기초-가공선로 간 물리적 충돌·간섭 리스크를 검토하였는가?</v>
          </cell>
        </row>
        <row r="1031">
          <cell r="A1031">
            <v>1029</v>
          </cell>
          <cell r="B1031" t="str">
            <v>전기</v>
          </cell>
          <cell r="C1031" t="str">
            <v>4. 일반전기 설비</v>
          </cell>
          <cell r="F1031" t="str">
            <v>피트(Depot Pit) 및 노출 전선관·맨홀의 침수·결로에 의한 단락/누전 및 EPS실 관통부 층간 방화구획 누락 리스크를 검토하였는가?</v>
          </cell>
        </row>
        <row r="1032">
          <cell r="A1032">
            <v>1030</v>
          </cell>
          <cell r="B1032" t="str">
            <v>전기</v>
          </cell>
          <cell r="C1032" t="str">
            <v>5. 전력관제 설비</v>
          </cell>
          <cell r="F1032" t="str">
            <v>원격 제어 명령 시 오동작 방지용 이중 인터록(Interlock) 회로 및 사용자 등급별 제어 권한 차등 부여 누락 리스크를 검토하였는가?</v>
          </cell>
        </row>
        <row r="1033">
          <cell r="A1033">
            <v>1031</v>
          </cell>
          <cell r="B1033" t="str">
            <v>전기</v>
          </cell>
          <cell r="C1033" t="str">
            <v>5. 전력관제 설비</v>
          </cell>
          <cell r="F1033" t="str">
            <v>SCADA 화면 갱신 주기(Refresh Rate) 지연으로 비상시 관제사가 과거 데이터로 제어 명령을 내려 사고가 확대될 리스크를 검토하였는가?</v>
          </cell>
        </row>
        <row r="1034">
          <cell r="A1034">
            <v>1032</v>
          </cell>
          <cell r="B1034" t="str">
            <v>전기</v>
          </cell>
          <cell r="C1034" t="str">
            <v>5. 전력관제 설비</v>
          </cell>
          <cell r="F1034" t="str">
            <v>피뢰설비 설치 및 기기 간 절연협조 계획 누락으로 낙뢰 시 고가의 수배전반·전력기기가 소손될 리스크를 검토하였는가?</v>
          </cell>
        </row>
        <row r="1035">
          <cell r="A1035">
            <v>1033</v>
          </cell>
          <cell r="B1035" t="str">
            <v>전기</v>
          </cell>
          <cell r="C1035" t="str">
            <v>5. 전력관제 설비</v>
          </cell>
          <cell r="F1035" t="str">
            <v>전철주 등 지지물 설계 시 보행 동선 방해 및 방호시설 계획 누락으로 자동차 충돌에 의한 전차선 붕괴가 발생할 리스크를 검토하였는가?</v>
          </cell>
        </row>
        <row r="1036">
          <cell r="A1036">
            <v>1034</v>
          </cell>
          <cell r="B1036" t="str">
            <v>전기</v>
          </cell>
          <cell r="C1036" t="str">
            <v>5. 전력관제 설비</v>
          </cell>
          <cell r="F1036" t="str">
            <v>동시 투입 및 최대 가속 부하 과소 산정으로 운영 중 전압 강하·용량 부족에 의해 열차가 멈춰 설 리스크를 검토하였는가?</v>
          </cell>
        </row>
        <row r="1037">
          <cell r="A1037">
            <v>1035</v>
          </cell>
          <cell r="B1037" t="str">
            <v>전기</v>
          </cell>
          <cell r="C1037" t="str">
            <v>5. 전력관제 설비</v>
          </cell>
          <cell r="F1037" t="str">
            <v>통신 중계반(RTU/DDC) UPS 백업 용량 부족으로 정전 시 관제망 연결이 단절돼 원격 복구·모니터링이 불가능해질 리스크를 검토하였는가?</v>
          </cell>
        </row>
        <row r="1038">
          <cell r="A1038">
            <v>1036</v>
          </cell>
          <cell r="B1038" t="str">
            <v>전기</v>
          </cell>
          <cell r="C1038" t="str">
            <v>5. 전력관제 설비</v>
          </cell>
          <cell r="F1038" t="str">
            <v>옥외(-25℃40℃) 및 제어실(10℃35℃) 등 대기온도 기준 누락으로 극한 기후 시 시스템 다운이 발생할 리스크를 검토하였는가?</v>
          </cell>
        </row>
        <row r="1039">
          <cell r="A1039">
            <v>1037</v>
          </cell>
          <cell r="B1039" t="str">
            <v>전기</v>
          </cell>
          <cell r="C1039" t="str">
            <v>5. 전력관제 설비</v>
          </cell>
          <cell r="F1039" t="str">
            <v>내역 내 원격소장치(RTU) 물량 누락 및 SCADA HMI-현장 장치 간 통신 프로토콜 불일치로 인터페이스 불통이 발생할 리스크를 검토하였는가?</v>
          </cell>
        </row>
        <row r="1040">
          <cell r="A1040">
            <v>1038</v>
          </cell>
          <cell r="B1040" t="str">
            <v>전기</v>
          </cell>
          <cell r="C1040" t="str">
            <v>5. 전력관제 설비</v>
          </cell>
          <cell r="F1040" t="str">
            <v>옥외 전력 기구함의 방습형 구조 요구사항 누락으로, 우천 시 내부 결로 및 침수에 의한 합선 단락 사고가 발생할 방재 리스크를 검토하였는가?</v>
          </cell>
        </row>
        <row r="1041">
          <cell r="A1041">
            <v>1039</v>
          </cell>
          <cell r="B1041" t="str">
            <v>전기</v>
          </cell>
          <cell r="C1041" t="str">
            <v>5. 전력관제 설비</v>
          </cell>
          <cell r="F1041" t="str">
            <v>매입전선관 접속점 방수 누락 및 일반 비차폐 케이블 적용으로, 관로 침수에 따른 절연 파괴 및 특고압 노이즈 유입으로 원격 제어 신호가 왜곡될 리스크를 검토하였는가?</v>
          </cell>
        </row>
        <row r="1042">
          <cell r="A1042">
            <v>1040</v>
          </cell>
          <cell r="B1042" t="str">
            <v>전기</v>
          </cell>
          <cell r="C1042" t="str">
            <v>5. 전력관제 설비</v>
          </cell>
          <cell r="F1042" t="str">
            <v>고주파 노이즈 필터링 접지 대책 누락으로 신호망 교란 및 열차 제어·통신 장애 유발 리스크를 검토하였는가?</v>
          </cell>
        </row>
        <row r="1043">
          <cell r="A1043">
            <v>1041</v>
          </cell>
          <cell r="B1043" t="str">
            <v>전기</v>
          </cell>
          <cell r="C1043" t="str">
            <v>5. 전력관제 설비</v>
          </cell>
          <cell r="F1043" t="str">
            <v>OCC-현장 변전소 간 관제 통신망 이중화 및 사이버 보안(망분리) 누락, 백업 서버(Disaster Recovery) 동기화 오류 리스크를 검토하였는가?</v>
          </cell>
        </row>
        <row r="1044">
          <cell r="A1044">
            <v>1042</v>
          </cell>
          <cell r="B1044" t="str">
            <v>전기</v>
          </cell>
          <cell r="C1044" t="str">
            <v>5. 전력관제 설비</v>
          </cell>
          <cell r="F1044" t="str">
            <v>SCADA-신호(ATC)-통신(LTE-R) 간 연동 지연으로 급전 단절(정전) 시 비상 정지 명령 전송 불가 및 트램 사구간(Dead Zone) 고립 리스크를 검토하였는가?</v>
          </cell>
        </row>
        <row r="1045">
          <cell r="A1045">
            <v>1043</v>
          </cell>
          <cell r="B1045" t="str">
            <v>전기</v>
          </cell>
          <cell r="C1045" t="str">
            <v>5. 전력관제 설비</v>
          </cell>
          <cell r="F1045" t="str">
            <v>대형 케이블 작업공간(여유율 20% 이상, 곡률반경) 누락으로 케이블 소손 시 무굴착 교체가 불가능해질 리스크를 검토하였는가?</v>
          </cell>
        </row>
        <row r="1046">
          <cell r="A1046">
            <v>1044</v>
          </cell>
          <cell r="B1046" t="str">
            <v>전기</v>
          </cell>
          <cell r="C1046" t="str">
            <v>6. 접지피뢰 설비</v>
          </cell>
          <cell r="F1046" t="str">
            <v>주변 매설 금속체 간 비등전위 및 본딩(Bonding) 누락 시, 지락·정전기로 인한 전위차 상승에 따른 전도 감전 및 기기 오동작 리스크를 검토하였는가?</v>
          </cell>
        </row>
        <row r="1047">
          <cell r="A1047">
            <v>1045</v>
          </cell>
          <cell r="B1047" t="str">
            <v>전기</v>
          </cell>
          <cell r="C1047" t="str">
            <v>6. 접지피뢰 설비</v>
          </cell>
          <cell r="F1047" t="str">
            <v>절연협조 검토 누락으로 뇌서지 유입 시 직류 급전계통 기기 파괴 및 인접 통신선 유도장애 노이즈를 유발할 리스크를 검토하였는가?</v>
          </cell>
        </row>
        <row r="1048">
          <cell r="A1048">
            <v>1046</v>
          </cell>
          <cell r="B1048" t="str">
            <v>전기</v>
          </cell>
          <cell r="C1048" t="str">
            <v>6. 접지피뢰 설비</v>
          </cell>
          <cell r="F1048" t="str">
            <v>지락 사고 대비 보호협조 누락 및 유해 화학첨가물 공법 반영으로 토양 오염 및 감전 보호 실패가 발생할 리스크를 검토하였는가?</v>
          </cell>
        </row>
        <row r="1049">
          <cell r="A1049">
            <v>1047</v>
          </cell>
          <cell r="B1049" t="str">
            <v>전기</v>
          </cell>
          <cell r="C1049" t="str">
            <v>6. 접지피뢰 설비</v>
          </cell>
          <cell r="F1049" t="str">
            <v>지장물 간섭에 따른 접지극(접지 동망/접지봉) 시공 부지 미확보 및 접지저항 허용치 미달로 설계가 변경될 리스크를 검토하였는가?</v>
          </cell>
        </row>
        <row r="1050">
          <cell r="A1050">
            <v>1048</v>
          </cell>
          <cell r="B1050" t="str">
            <v>전기</v>
          </cell>
          <cell r="C1050" t="str">
            <v>6. 접지피뢰 설비</v>
          </cell>
          <cell r="F1050" t="str">
            <v>접지저감제(GEM) 사용에 따른 토양·지하수 오염 방지 규정 미준수로 환경 민원 발생 및 인허가 반려 공기 지연 리스크를 검토하였는가?</v>
          </cell>
        </row>
        <row r="1051">
          <cell r="A1051">
            <v>1049</v>
          </cell>
          <cell r="B1051" t="str">
            <v>전기</v>
          </cell>
          <cell r="C1051" t="str">
            <v>6. 접지피뢰 설비</v>
          </cell>
          <cell r="F1051" t="str">
            <v>피뢰 접지 및 직류/교류 인입부 서지보호장치(SPD) 설계 누락으로, 낙뢰 시 발전 장비 전소 및 서지 유입에 따른 정전이 유발될 리스크를 검토하였는가?</v>
          </cell>
        </row>
        <row r="1052">
          <cell r="A1052">
            <v>1050</v>
          </cell>
          <cell r="B1052" t="str">
            <v>전기</v>
          </cell>
          <cell r="C1052" t="str">
            <v>6. 접지피뢰 설비</v>
          </cell>
          <cell r="F1052" t="str">
            <v>불량 구간 보조 접지극 및 저항치 보강 누락으로, 준공 시 법적 접지저항 미달에 따른 설비 가압 불가 리스크를 검토하였는가?</v>
          </cell>
        </row>
        <row r="1053">
          <cell r="A1053">
            <v>1051</v>
          </cell>
          <cell r="B1053" t="str">
            <v>전기</v>
          </cell>
          <cell r="C1053" t="str">
            <v>6. 접지피뢰 설비</v>
          </cell>
          <cell r="F1053" t="str">
            <v>터치 전압(Touch Voltage)·보폭 전압(Step Voltage) 평가 누락 및 충전 바 지지용 전주 피뢰 보호각 미흡에 따른 감전 리스크를 검토하였는가?</v>
          </cell>
        </row>
        <row r="1054">
          <cell r="A1054">
            <v>1052</v>
          </cell>
          <cell r="B1054" t="str">
            <v>전기</v>
          </cell>
          <cell r="C1054" t="str">
            <v>6. 접지피뢰 설비</v>
          </cell>
          <cell r="F1054" t="str">
            <v>등전위 본딩 접지 계획 누락으로 지락·뇌서지 유입 시 기기 간 전위차로 인해 민감한 제어기기가 동시다발적으로 소손될 리스크를 검토하였는가?</v>
          </cell>
        </row>
        <row r="1055">
          <cell r="A1055">
            <v>1053</v>
          </cell>
          <cell r="B1055" t="str">
            <v>전기</v>
          </cell>
          <cell r="C1055" t="str">
            <v>6. 접지피뢰 설비</v>
          </cell>
          <cell r="F1055" t="str">
            <v>혼용 구간 일반 자기제(Porcelain) 피뢰기 설계로, 직격뢰 폭발 시 파편 비산에 의한 보행자·차량 중대재해 유발 리스크를 검토하였는가?</v>
          </cell>
        </row>
        <row r="1056">
          <cell r="A1056">
            <v>1054</v>
          </cell>
          <cell r="B1056" t="str">
            <v>전기</v>
          </cell>
          <cell r="C1056" t="str">
            <v>6. 접지피뢰 설비</v>
          </cell>
          <cell r="F1056" t="str">
            <v>공통접지(Integrated Grounding) 시 궤도 귀선 전류 노이즈 유입으로 신호 궤도회로(Track Circuit) 오동작 및 통신 유도 장애 리스크를 검토하였는가?</v>
          </cell>
        </row>
        <row r="1057">
          <cell r="A1057">
            <v>1055</v>
          </cell>
          <cell r="B1057" t="str">
            <v>전기</v>
          </cell>
          <cell r="C1057" t="str">
            <v>7. 친환경/부대 설비</v>
          </cell>
          <cell r="F1057" t="str">
            <v>우수(빗물) 재활용 설비(Rainwater Harvesting System)·펌프 전원 회로 및 레벨 센서-자동제어반 제어 배선 누락 리스크를 검토하였는가?</v>
          </cell>
        </row>
        <row r="1058">
          <cell r="A1058">
            <v>1056</v>
          </cell>
          <cell r="B1058" t="str">
            <v>전기</v>
          </cell>
          <cell r="C1058" t="str">
            <v>7. 친환경/부대 설비</v>
          </cell>
          <cell r="F1058" t="str">
            <v>EV 충전설비 배선·용량 설계 누락 및 계통 연계 용량 부족으로, 동시 충전 시 메인 차단기가 트립(Trip)될 리스크를 검토하였는가?</v>
          </cell>
        </row>
        <row r="1059">
          <cell r="A1059">
            <v>1057</v>
          </cell>
          <cell r="B1059" t="str">
            <v>전기</v>
          </cell>
          <cell r="C1059" t="str">
            <v>7. 친환경/부대 설비</v>
          </cell>
          <cell r="F1059" t="str">
            <v>전력변환기기 운용에 따른 역률 저하 대비 커패시터(Capacitor Bank) 설계 누락으로, 전력 손실 증가 및 한전 역률 패널티 요금 부과 리스크를 검토하였는가?</v>
          </cell>
        </row>
        <row r="1060">
          <cell r="A1060">
            <v>1058</v>
          </cell>
          <cell r="B1060" t="str">
            <v>전기</v>
          </cell>
          <cell r="C1060" t="str">
            <v>7. 친환경/부대 설비</v>
          </cell>
          <cell r="F1060" t="str">
            <v>BEMS/지능형 조명제어시스템과 전력 감시(SCADA) 제어망 간 통신 프로토콜 불일치에 따른 인터페이스 누락 리스크를 검토하였는가?</v>
          </cell>
        </row>
        <row r="1061">
          <cell r="A1061">
            <v>1059</v>
          </cell>
          <cell r="B1061" t="str">
            <v>전기</v>
          </cell>
          <cell r="C1061" t="str">
            <v>7. 친환경/부대 설비</v>
          </cell>
          <cell r="F1061" t="str">
            <v>태양광 패널 풍·적설하중 산정 오류에 따른 지붕(캐노피 등) 붕괴 및 신재생에너지 의무비율 불만족 리스크를 검토하였는가?</v>
          </cell>
        </row>
        <row r="1062">
          <cell r="A1062">
            <v>1060</v>
          </cell>
          <cell r="B1062" t="str">
            <v>전기</v>
          </cell>
          <cell r="C1062" t="str">
            <v>7. 친환경/부대 설비</v>
          </cell>
          <cell r="F1062" t="str">
            <v>지열공(U-tube) 지하수·지반 조건 오판으로 열교환 효율이 급감하거나 굴착공 함몰에 의한 배관 파손 리스크를 검토하였는가?</v>
          </cell>
        </row>
        <row r="1063">
          <cell r="A1063">
            <v>1061</v>
          </cell>
          <cell r="B1063" t="str">
            <v>전기</v>
          </cell>
          <cell r="C1063" t="str">
            <v>가공전차선 자연재해 방호 계획</v>
          </cell>
          <cell r="F1063" t="str">
            <v>풍하중·착빙하중 대비책 누락으로 태풍·폭설 시 전철주 전도 및 전차선이 끊어질 방재 리스크를 검토하였는가?</v>
          </cell>
        </row>
        <row r="1064">
          <cell r="A1064">
            <v>1062</v>
          </cell>
          <cell r="B1064" t="str">
            <v>전기</v>
          </cell>
          <cell r="C1064" t="str">
            <v>가공전차선 주요 자재 규격 및 인증 계획</v>
          </cell>
          <cell r="F1064" t="str">
            <v>철도 전용 규격(KRS 및 도시철도건설규칙) 누락 및 비표준 자재 반영으로 잦은 단선·부품 탈락이 발생할 리스크를 검토하였는가?</v>
          </cell>
        </row>
        <row r="1065">
          <cell r="A1065">
            <v>1063</v>
          </cell>
          <cell r="B1065" t="str">
            <v>전기</v>
          </cell>
          <cell r="C1065" t="str">
            <v>가공전차선 주요 자재 규격 및 인증 계획</v>
          </cell>
          <cell r="F1065" t="str">
            <v>발주처의 요구사항으로 검암역 및 인천공항역 싸인물에 대한 추가 전기공사를 반영 리스크를 검토하였는가?</v>
          </cell>
        </row>
        <row r="1066">
          <cell r="A1066">
            <v>1064</v>
          </cell>
          <cell r="B1066" t="str">
            <v>전기</v>
          </cell>
          <cell r="C1066" t="str">
            <v>가공전차선 주요 자재 규격 및 인증 계획</v>
          </cell>
          <cell r="F1066" t="str">
            <v>정거장 설계에 대한 유관기관 의견으로 정거장 선로변의 설계공간 확보나, 환기구 규격 변경에서 설계 추가로 인한 특허 변경 및 관련 공사 시행에 따른 설계변경을 통보받 리스크를 검토하였는가?</v>
          </cell>
        </row>
        <row r="1067">
          <cell r="A1067">
            <v>1065</v>
          </cell>
          <cell r="B1067" t="str">
            <v>전기</v>
          </cell>
          <cell r="C1067" t="str">
            <v>귀선회로 변전소 연계 계획</v>
          </cell>
          <cell r="F1067" t="str">
            <v>귀선 회로 단일 설계로 케이블 훼손 시 대용량 귀환 전류가 대지로 유출돼 지중 매설물(가스관 등) 전식 및 폭발을 유발할 리스크를 검토하였는가?</v>
          </cell>
        </row>
        <row r="1068">
          <cell r="A1068">
            <v>1066</v>
          </cell>
          <cell r="B1068" t="str">
            <v>전기</v>
          </cell>
          <cell r="C1068" t="str">
            <v>귀선회로 변전소 연계 계획</v>
          </cell>
          <cell r="F1068" t="str">
            <v>정거장 전원 공급 중단 리스크를 검토하였는가?</v>
          </cell>
        </row>
        <row r="1069">
          <cell r="A1069">
            <v>1067</v>
          </cell>
          <cell r="B1069" t="str">
            <v>전기</v>
          </cell>
          <cell r="C1069" t="str">
            <v>귀선회로 변전소 연계 계획</v>
          </cell>
          <cell r="F1069" t="str">
            <v>수전선로 고장으로 인한 변전소 정전 리스크를 검토하였는가?</v>
          </cell>
        </row>
        <row r="1070">
          <cell r="A1070">
            <v>1068</v>
          </cell>
          <cell r="B1070" t="str">
            <v>전기</v>
          </cell>
          <cell r="C1070" t="str">
            <v>귀선회로 변전소 연계 계획</v>
          </cell>
          <cell r="F1070" t="str">
            <v>변전소 장비과열, 이물질 등에 의한 화재 리스크를 검토하였는가?</v>
          </cell>
        </row>
        <row r="1071">
          <cell r="A1071">
            <v>1069</v>
          </cell>
          <cell r="B1071" t="str">
            <v>전기</v>
          </cell>
          <cell r="C1071" t="str">
            <v>귀선회로 변전소 연계 계획</v>
          </cell>
          <cell r="F1071" t="str">
            <v>혹한 및 혹서에 의한 계전기 오작동 리스크를 검토하였는가?</v>
          </cell>
        </row>
        <row r="1072">
          <cell r="A1072">
            <v>1070</v>
          </cell>
          <cell r="B1072" t="str">
            <v>전기</v>
          </cell>
          <cell r="C1072" t="str">
            <v>급전계통 분리 및 섹션 구분 계획</v>
          </cell>
          <cell r="F1072" t="str">
            <v>본선·기지 급전계통 분리 누락으로 차량기지 단락 사고가 본선 광역 정전으로 파급될 리스크를 검토하였는가?</v>
          </cell>
        </row>
        <row r="1073">
          <cell r="A1073">
            <v>1071</v>
          </cell>
          <cell r="B1073" t="str">
            <v>대공종</v>
          </cell>
          <cell r="C1073" t="str">
            <v>기타</v>
          </cell>
          <cell r="F1073" t="str">
            <v>설계단계 리스크 체크리스트 누락에 따른 사업 지연 리스크를 검토하였는가?</v>
          </cell>
        </row>
        <row r="1074">
          <cell r="A1074">
            <v>1072</v>
          </cell>
          <cell r="B1074" t="str">
            <v>전기</v>
          </cell>
          <cell r="C1074" t="str">
            <v>기타</v>
          </cell>
          <cell r="F1074" t="str">
            <v>배전반 터널 화재 발생 리스크를 검토하였는가?</v>
          </cell>
        </row>
        <row r="1075">
          <cell r="A1075">
            <v>1073</v>
          </cell>
          <cell r="B1075" t="str">
            <v>전기</v>
          </cell>
          <cell r="C1075" t="str">
            <v>기타</v>
          </cell>
          <cell r="F1075" t="str">
            <v>차단기 아크성상에 의한 고압 폭발 리스크를 검토하였는가?</v>
          </cell>
        </row>
        <row r="1076">
          <cell r="A1076">
            <v>1074</v>
          </cell>
          <cell r="B1076" t="str">
            <v>전기</v>
          </cell>
          <cell r="C1076" t="str">
            <v>기타</v>
          </cell>
          <cell r="F1076" t="str">
            <v>전력 공급을 위한 인입선 내역이 누락됨 리스크를 검토하였는가?</v>
          </cell>
        </row>
        <row r="1077">
          <cell r="A1077">
            <v>1075</v>
          </cell>
          <cell r="B1077" t="str">
            <v>전기</v>
          </cell>
          <cell r="C1077" t="str">
            <v>변전소 위치 및 직류 전압강하 보상 계획</v>
          </cell>
          <cell r="F1077" t="str">
            <v>과도한 변전소 간격 및 연장급전 계통 누락으로, 다수 트램 동시 운행 시 전압 부족에 의해 본선 구배에서 차량이 멈출 리스크를 검토하였는가?</v>
          </cell>
        </row>
        <row r="1078">
          <cell r="A1078">
            <v>1076</v>
          </cell>
          <cell r="B1078" t="str">
            <v>전기</v>
          </cell>
          <cell r="C1078" t="str">
            <v>옥외 충전설비 내환경성 및 물리적 보호 계획</v>
          </cell>
          <cell r="F1078" t="str">
            <v>기후(강우/강설) 대비 외함 IP등급 및 물리적 보호장치(볼라드 등) 누락으로 설비 파손 및 누전 리스크를 검토하였는가?</v>
          </cell>
        </row>
        <row r="1079">
          <cell r="A1079">
            <v>1077</v>
          </cell>
          <cell r="B1079" t="str">
            <v>전기</v>
          </cell>
          <cell r="C1079" t="str">
            <v>전철주 및 지지물 승탑 방지 계획</v>
          </cell>
          <cell r="F1079" t="str">
            <v>공공장소 전철주 무단 승탑 방지 시설 누락으로 보행자 특고압 전차선 감전 치명적 인명사고가 발생할 리스크를 검토하였는가?</v>
          </cell>
        </row>
        <row r="1080">
          <cell r="A1080">
            <v>1078</v>
          </cell>
          <cell r="B1080" t="str">
            <v>전기</v>
          </cell>
          <cell r="C1080" t="str">
            <v>전철주 및 지지물 승탑 방지 계획</v>
          </cell>
          <cell r="F1080" t="str">
            <v>주변 빛 확산 방지를 위한 빛가림막 후드 내역이 누락됨 리스크를 검토하였는가?</v>
          </cell>
        </row>
        <row r="1081">
          <cell r="A1081">
            <v>1079</v>
          </cell>
          <cell r="B1081" t="str">
            <v>전기</v>
          </cell>
          <cell r="C1081" t="str">
            <v>접지설비 내진동 및 유지보수 접근성 계획</v>
          </cell>
          <cell r="F1081" t="str">
            <v>내진동 체결 방식 및 유지보수 접근성 미고려로, 열차 진동에 의한 접지선 이탈 및 인체 감전 보호망이 상실될 리스크를 검토하였는가?</v>
          </cell>
        </row>
        <row r="1082">
          <cell r="A1082">
            <v>1080</v>
          </cell>
          <cell r="B1082" t="str">
            <v>전기</v>
          </cell>
          <cell r="C1082" t="str">
            <v>정거장 무가선 충전설비 안전 계획</v>
          </cell>
          <cell r="F1082" t="str">
            <v>충전설비 인터록 회로 및 외함 절연·접지 누락으로, 우천 및 승객 접근 시 고압 감전 사고가 발생할 방재 리스크를 검토하였는가?</v>
          </cell>
        </row>
        <row r="1083">
          <cell r="A1083">
            <v>1081</v>
          </cell>
          <cell r="B1083" t="str">
            <v>전기</v>
          </cell>
          <cell r="C1083" t="str">
            <v>정거장 무가선 충전설비 안전 계획</v>
          </cell>
          <cell r="F1083" t="str">
            <v>충전케이블 바닥 노출에 따른 승객 전도 사고 방지용 상부 고가 지원장치 및 야간 전용 조명 누락 리스크를 검토하였는가?</v>
          </cell>
        </row>
        <row r="1084">
          <cell r="A1084">
            <v>1082</v>
          </cell>
          <cell r="B1084" t="str">
            <v>전기</v>
          </cell>
          <cell r="C1084" t="str">
            <v>정거장 무가선 충전설비 안전 계획</v>
          </cell>
          <cell r="F1084" t="str">
            <v>유지보수 및 정기점검시, 정거장 승객 등의 감전 사고 리스크를 검토하였는가?</v>
          </cell>
        </row>
        <row r="1085">
          <cell r="A1085">
            <v>1083</v>
          </cell>
          <cell r="B1085" t="str">
            <v>전기</v>
          </cell>
          <cell r="C1085" t="str">
            <v>제3레일 방식 차량 인터페이스 계획</v>
          </cell>
          <cell r="F1085" t="str">
            <v>제3레일 방호덮개 및 물리적 차단 설비 누락으로 무단 침입에 따른 고압 감전 치명적 인명사고가 발생할 리스크를 검토하였는가?</v>
          </cell>
        </row>
        <row r="1086">
          <cell r="A1086">
            <v>1084</v>
          </cell>
          <cell r="B1086" t="str">
            <v>전기</v>
          </cell>
          <cell r="C1086" t="str">
            <v>제3레일 방식 차량 인터페이스 계획</v>
          </cell>
          <cell r="F1086" t="str">
            <v>제3레일 설계 시 차량 제원 및 KRSA 규격 간 동적 호환성 검토 누락으로, 차량 집전장치(Shoe Gear)-제3레일 간 물리적 충돌·집전 불량이 발생할 리스크를 검토하였는가?</v>
          </cell>
        </row>
        <row r="1087">
          <cell r="A1087">
            <v>1085</v>
          </cell>
          <cell r="B1087" t="str">
            <v>전기</v>
          </cell>
          <cell r="C1087" t="str">
            <v>지중 전력전선로 접속점 수밀 및 유지보수 계획</v>
          </cell>
          <cell r="F1087" t="str">
            <v>매입전선관 접속점 수밀 마감 대책 및 교체용 여유 관로 누락으로, 침수에 따른 전력 마비 및 보수 시 도로 재굴착이 발생할 리스크를 검토하였는가?</v>
          </cell>
        </row>
        <row r="1088">
          <cell r="A1088">
            <v>1086</v>
          </cell>
          <cell r="B1088" t="str">
            <v>전기</v>
          </cell>
          <cell r="C1088" t="str">
            <v>직류 급전계통 표준전압 계획</v>
          </cell>
          <cell r="F1088" t="str">
            <v>표준전압(DC 750V) 및 전압변동률 대비 절연 레벨 과소 산정으로 과전압 시 케이블 절연 파괴 및 전력기기가 소손될 리스크를 검토하였는가?</v>
          </cell>
        </row>
        <row r="1089">
          <cell r="A1089">
            <v>1087</v>
          </cell>
          <cell r="B1089" t="str">
            <v>전기</v>
          </cell>
          <cell r="C1089" t="str">
            <v>직류급전시스템 전식방지 계획</v>
          </cell>
          <cell r="F1089" t="str">
            <v>누설전류 차단용 절연 설계 및 전식방지설비(배류기 등) 누락으로 장기 운영 시 인접 가스·상수도관 천공 및 폭발을 유발할 리스크를 검토하였는가?</v>
          </cell>
        </row>
        <row r="1090">
          <cell r="A1090">
            <v>1088</v>
          </cell>
          <cell r="B1090" t="str">
            <v>전기</v>
          </cell>
          <cell r="C1090" t="str">
            <v>차량기지 구내 기능별 전차선 급전계통 세분화 계획</v>
          </cell>
          <cell r="F1090" t="str">
            <v>급전 군(Group) 세분화 및 단로기 분리 설계 누락으로, 국소 장애 조치를 위해 기지 전체 전원을 일괄 차단하는 운영 마비 리스크를 검토하였는가?</v>
          </cell>
        </row>
        <row r="1091">
          <cell r="A1091">
            <v>1089</v>
          </cell>
          <cell r="B1091" t="str">
            <v>전기</v>
          </cell>
          <cell r="C1091" t="str">
            <v>차량기지 구내 기능별 전차선 급전계통 세분화 계획</v>
          </cell>
          <cell r="F1091" t="str">
            <v>설계시 전차선은 완전 철거후 신설토록 계획되었으나, 익산정거장은 역내 전력기관차가 입고하기기에 당초 계획대비 임시전차선이 필요한 상황임. 코레일 열차운행계획상 역내 차량별(KTX, 무궁화)로 명시되어 있으나 열차종류(전기, 디젤)가 확정되지 않아 설계시 전기기관차의 역구내 운행을 반영하지 못 리스크를 검토하였는가?</v>
          </cell>
        </row>
        <row r="1092">
          <cell r="A1092">
            <v>1090</v>
          </cell>
          <cell r="B1092" t="str">
            <v>전기</v>
          </cell>
          <cell r="C1092" t="str">
            <v>차량기지 구내 기능별 전차선 급전계통 세분화 계획</v>
          </cell>
          <cell r="F1092" t="str">
            <v>설계시 전차선은 완전 철거후 신설토록 계획되었으나, 익산정거장은 역내 전력기관차가 입고하기에 당초 계획대비 임시전차선이 필요한 상황임. 코레일 열차운행계획상 역내 차량별(KTX, 무궁화)로 명시되어 있으나 열차종류(전기, 디젤)가 확정되지 않아 설계시 전기기관차의 역구내 운행을 반영하지 못 리스크를 검토하였는가?</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체크리스트 작성 현황"/>
      <sheetName val="체크리스트(중봉터널-설계)"/>
      <sheetName val="체크리스트(중봉터널-사업성, 교통, 운영)"/>
      <sheetName val="집계표(설계)"/>
      <sheetName val="집계표(사업성)"/>
      <sheetName val="리스크 평가기준"/>
      <sheetName val="Task"/>
      <sheetName val="Task (2)"/>
      <sheetName val="Dro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3">
          <cell r="M3" t="str">
            <v>제3자제안
사업검토회의</v>
          </cell>
          <cell r="N3" t="str">
            <v>'25.10.15</v>
          </cell>
        </row>
        <row r="4">
          <cell r="M4" t="str">
            <v>공동도급사
선정위원회</v>
          </cell>
          <cell r="N4" t="str">
            <v>'25.10.15</v>
          </cell>
        </row>
        <row r="5">
          <cell r="M5" t="str">
            <v>기본계획
검토회의</v>
          </cell>
          <cell r="N5" t="str">
            <v>'25.10.16</v>
          </cell>
        </row>
        <row r="6">
          <cell r="M6" t="str">
            <v>제3자 제안
추진 PJT심의</v>
          </cell>
          <cell r="N6" t="str">
            <v>'25.10.30</v>
          </cell>
        </row>
        <row r="7">
          <cell r="M7" t="str">
            <v>제3자 제안
설계업체선정위원회</v>
          </cell>
          <cell r="N7" t="str">
            <v>'25.11.20</v>
          </cell>
        </row>
        <row r="8">
          <cell r="M8" t="str">
            <v>계약서
검토회의</v>
          </cell>
          <cell r="N8" t="str">
            <v>'25.11.24</v>
          </cell>
        </row>
        <row r="9">
          <cell r="M9" t="str">
            <v>제3자 설계
지반조사 착수회의</v>
          </cell>
          <cell r="N9" t="str">
            <v>'25.11.28</v>
          </cell>
        </row>
        <row r="10">
          <cell r="M10" t="str">
            <v>PQ 제출</v>
          </cell>
          <cell r="N10" t="str">
            <v>'25.11.26</v>
          </cell>
        </row>
        <row r="11">
          <cell r="M11" t="str">
            <v xml:space="preserve">입찰TF
추진회의 </v>
          </cell>
          <cell r="N11" t="str">
            <v>'25.12.29</v>
          </cell>
        </row>
        <row r="12">
          <cell r="M12" t="str">
            <v>기술검토회의 1
(설계)</v>
          </cell>
          <cell r="N12" t="str">
            <v>'25.12.04</v>
          </cell>
        </row>
        <row r="13">
          <cell r="M13" t="str">
            <v>기술검토회의 2
(견적)</v>
          </cell>
          <cell r="N13" t="str">
            <v>'25.12.17</v>
          </cell>
        </row>
        <row r="14">
          <cell r="M14" t="str">
            <v>기술검토회의 3
(공정)</v>
          </cell>
          <cell r="N14" t="str">
            <v>(미정)</v>
          </cell>
        </row>
        <row r="15">
          <cell r="M15" t="str">
            <v>설계 Requirements
검토회의</v>
          </cell>
          <cell r="N15" t="str">
            <v>(미정)</v>
          </cell>
        </row>
        <row r="16">
          <cell r="M16" t="str">
            <v>기술검토회의 4
(사업성,수요,운영)
1차</v>
          </cell>
          <cell r="N16" t="str">
            <v>'25.12.15</v>
          </cell>
        </row>
        <row r="17">
          <cell r="M17" t="str">
            <v>기술검토회의 4
(사업성,수요,운영)
2차</v>
          </cell>
          <cell r="N17" t="str">
            <v>'25.12.23</v>
          </cell>
        </row>
        <row r="18">
          <cell r="M18" t="str">
            <v>기술검토회의 4
(사업성,수요,운영)
3차</v>
          </cell>
          <cell r="N18" t="str">
            <v>'26.01.15</v>
          </cell>
        </row>
        <row r="20">
          <cell r="M20" t="str">
            <v xml:space="preserve">입찰설계
결정회의 </v>
          </cell>
          <cell r="N20" t="str">
            <v>'26.01.29</v>
          </cell>
        </row>
        <row r="21">
          <cell r="M21" t="str">
            <v>입찰설계 
R/O 검토회의</v>
          </cell>
          <cell r="N21" t="str">
            <v>(미정)</v>
          </cell>
        </row>
        <row r="22">
          <cell r="M22" t="str">
            <v xml:space="preserve">원가
커미티 </v>
          </cell>
          <cell r="N22" t="str">
            <v>(미정)</v>
          </cell>
        </row>
        <row r="23">
          <cell r="M23" t="str">
            <v xml:space="preserve">BCRM </v>
          </cell>
          <cell r="N23" t="str">
            <v>'26.01.29</v>
          </cell>
        </row>
        <row r="24">
          <cell r="M24" t="str">
            <v>제3자 제안
제출 PJT심의</v>
          </cell>
          <cell r="N24" t="str">
            <v>'26.02.05</v>
          </cell>
        </row>
        <row r="25">
          <cell r="M25" t="str">
            <v xml:space="preserve">의사결정(입찰)
Committee </v>
          </cell>
          <cell r="N25" t="str">
            <v>(미정)</v>
          </cell>
        </row>
        <row r="26">
          <cell r="M26" t="str">
            <v>입찰</v>
          </cell>
          <cell r="N26" t="str">
            <v>'26.02.24</v>
          </cell>
        </row>
        <row r="27">
          <cell r="M27" t="str">
            <v>심의</v>
          </cell>
          <cell r="N27" t="str">
            <v>'26.03.05</v>
          </cell>
        </row>
      </sheetData>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A364135-1B83-486B-A757-345872BD302E}">
  <we:reference id="wa200009404" version="1.0.0.8" store="en-US" storeType="OMEX"/>
  <we:alternateReferences>
    <we:reference id="WA200009404" version="1.0.0.8" store="" storeType="OMEX"/>
  </we:alternateReferences>
  <we:properties>
    <we:property name="claude.fileId" value="&quot;e2aff77d-ca04-4238-9ae2-c25cac46f84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79998168889431442"/>
    <pageSetUpPr fitToPage="1"/>
  </sheetPr>
  <dimension ref="A1:AT758"/>
  <sheetViews>
    <sheetView tabSelected="1" view="pageBreakPreview" topLeftCell="E44" zoomScale="70" zoomScaleNormal="70" zoomScaleSheetLayoutView="70" workbookViewId="0">
      <selection activeCell="I45" sqref="I45"/>
    </sheetView>
  </sheetViews>
  <sheetFormatPr defaultColWidth="11.3984375" defaultRowHeight="19.2" outlineLevelRow="1"/>
  <cols>
    <col min="1" max="1" width="7.8984375" style="7" customWidth="1"/>
    <col min="2" max="2" width="9.69921875" style="7" customWidth="1"/>
    <col min="3" max="3" width="19.59765625" style="7" customWidth="1"/>
    <col min="4" max="4" width="61.69921875" style="8" customWidth="1"/>
    <col min="5" max="5" width="79.3984375" style="8" customWidth="1"/>
    <col min="6" max="6" width="7.8984375" style="7" customWidth="1"/>
    <col min="7" max="7" width="10.796875" style="7" customWidth="1"/>
    <col min="8" max="8" width="14.19921875" style="7" customWidth="1"/>
    <col min="9" max="9" width="102.09765625" style="189" customWidth="1"/>
    <col min="10" max="10" width="18.59765625" style="16" customWidth="1"/>
    <col min="11" max="11" width="20.296875" style="82" customWidth="1"/>
    <col min="12" max="12" width="18.59765625" style="16" customWidth="1"/>
    <col min="13" max="13" width="28.8984375" style="7" customWidth="1"/>
    <col min="14" max="14" width="20.59765625" style="7" customWidth="1"/>
    <col min="15" max="15" width="23.09765625" style="7" customWidth="1"/>
    <col min="16" max="18" width="6.8984375" style="7" customWidth="1"/>
    <col min="19" max="19" width="8.59765625" style="7" customWidth="1"/>
    <col min="20" max="20" width="8.5" style="7" customWidth="1"/>
    <col min="21" max="22" width="6.8984375" style="7" customWidth="1"/>
    <col min="23" max="24" width="8.296875" style="83" customWidth="1"/>
    <col min="25" max="25" width="7.69921875" style="83" customWidth="1"/>
    <col min="26" max="26" width="39.3984375" style="84" customWidth="1"/>
    <col min="27" max="27" width="60.69921875" style="7" customWidth="1"/>
    <col min="28" max="28" width="13.19921875" style="7" customWidth="1"/>
    <col min="29" max="29" width="15.69921875" style="16" customWidth="1"/>
    <col min="30" max="32" width="11.3984375" style="16" customWidth="1"/>
    <col min="33" max="35" width="11.3984375" style="7" customWidth="1"/>
    <col min="36" max="44" width="13" style="7" customWidth="1"/>
    <col min="45" max="48" width="11.3984375" style="7" customWidth="1"/>
    <col min="49" max="16384" width="11.3984375" style="7"/>
  </cols>
  <sheetData>
    <row r="1" spans="1:46" ht="36" customHeight="1">
      <c r="A1" s="6"/>
      <c r="K1" s="9"/>
      <c r="L1" s="10"/>
      <c r="M1" s="11"/>
      <c r="N1" s="11"/>
      <c r="O1" s="12" t="s">
        <v>0</v>
      </c>
      <c r="T1" s="13" t="s">
        <v>0</v>
      </c>
      <c r="U1" s="13" t="s">
        <v>0</v>
      </c>
      <c r="V1" s="233" t="s">
        <v>4518</v>
      </c>
      <c r="W1" s="233" t="s">
        <v>4233</v>
      </c>
      <c r="X1" s="233" t="s">
        <v>4519</v>
      </c>
      <c r="Y1" s="233" t="s">
        <v>4520</v>
      </c>
      <c r="Z1" s="15"/>
      <c r="AC1" s="16" t="s">
        <v>4518</v>
      </c>
      <c r="AD1" s="16" t="s">
        <v>4233</v>
      </c>
      <c r="AE1" s="16" t="s">
        <v>4519</v>
      </c>
      <c r="AF1" s="16" t="s">
        <v>4520</v>
      </c>
      <c r="AT1" s="50" t="s">
        <v>1</v>
      </c>
    </row>
    <row r="2" spans="1:46" ht="55.2" customHeight="1">
      <c r="A2" s="6"/>
      <c r="K2" s="18"/>
      <c r="L2" s="10"/>
      <c r="M2" s="11"/>
      <c r="N2" s="11"/>
      <c r="O2" s="51"/>
      <c r="T2" s="13"/>
      <c r="U2" s="13"/>
      <c r="V2" s="232">
        <f>AC2</f>
        <v>5</v>
      </c>
      <c r="W2" s="232">
        <f>AD2</f>
        <v>0</v>
      </c>
      <c r="X2" s="232">
        <f>AE2</f>
        <v>0</v>
      </c>
      <c r="Y2" s="232">
        <f>AC8</f>
        <v>0</v>
      </c>
      <c r="Z2" s="15"/>
      <c r="AB2" s="7" t="s">
        <v>4518</v>
      </c>
      <c r="AC2" s="16">
        <f>COUNTIF($F:$F,AB2)</f>
        <v>5</v>
      </c>
      <c r="AD2" s="16">
        <f>COUNTIF($F:$F,AB4)</f>
        <v>0</v>
      </c>
      <c r="AE2" s="16">
        <f>COUNTIF($F:$F,AB5)</f>
        <v>0</v>
      </c>
    </row>
    <row r="3" spans="1:46" ht="21.6" customHeight="1">
      <c r="A3" s="6"/>
      <c r="K3" s="18"/>
      <c r="L3" s="10"/>
      <c r="M3" s="11"/>
      <c r="N3" s="11"/>
      <c r="O3" s="51"/>
      <c r="T3" s="13"/>
      <c r="U3" s="13"/>
      <c r="V3" s="13"/>
      <c r="W3" s="52"/>
      <c r="X3" s="52"/>
      <c r="Y3" s="52"/>
      <c r="Z3" s="15"/>
    </row>
    <row r="4" spans="1:46" ht="31.8" customHeight="1">
      <c r="A4" s="238" t="s">
        <v>3</v>
      </c>
      <c r="B4" s="238" t="s">
        <v>4</v>
      </c>
      <c r="C4" s="238" t="s">
        <v>5</v>
      </c>
      <c r="D4" s="238" t="s">
        <v>6</v>
      </c>
      <c r="E4" s="240"/>
      <c r="F4" s="238" t="s">
        <v>7</v>
      </c>
      <c r="G4" s="239"/>
      <c r="H4" s="240"/>
      <c r="I4" s="243" t="s">
        <v>8</v>
      </c>
      <c r="J4" s="245" t="s">
        <v>9</v>
      </c>
      <c r="K4" s="245" t="s">
        <v>10</v>
      </c>
      <c r="L4" s="245" t="s">
        <v>11</v>
      </c>
      <c r="M4" s="245" t="s">
        <v>12</v>
      </c>
      <c r="N4" s="245" t="s">
        <v>4531</v>
      </c>
      <c r="O4" s="245" t="s">
        <v>14</v>
      </c>
      <c r="P4" s="245" t="s">
        <v>15</v>
      </c>
      <c r="Q4" s="241" t="s">
        <v>16</v>
      </c>
      <c r="R4" s="240"/>
      <c r="S4" s="241" t="s">
        <v>17</v>
      </c>
      <c r="T4" s="240"/>
      <c r="U4" s="241" t="s">
        <v>18</v>
      </c>
      <c r="V4" s="240"/>
      <c r="W4" s="242" t="s">
        <v>19</v>
      </c>
      <c r="X4" s="239"/>
      <c r="Y4" s="240"/>
      <c r="Z4" s="236" t="s">
        <v>20</v>
      </c>
    </row>
    <row r="5" spans="1:46" ht="46.8" customHeight="1">
      <c r="A5" s="237"/>
      <c r="B5" s="237"/>
      <c r="C5" s="237"/>
      <c r="D5" s="53" t="s">
        <v>23</v>
      </c>
      <c r="E5" s="228" t="s">
        <v>24</v>
      </c>
      <c r="F5" s="53" t="s">
        <v>25</v>
      </c>
      <c r="G5" s="53" t="s">
        <v>26</v>
      </c>
      <c r="H5" s="53" t="s">
        <v>27</v>
      </c>
      <c r="I5" s="244"/>
      <c r="J5" s="246"/>
      <c r="K5" s="237"/>
      <c r="L5" s="246"/>
      <c r="M5" s="237"/>
      <c r="N5" s="237"/>
      <c r="O5" s="237"/>
      <c r="P5" s="237"/>
      <c r="Q5" s="56" t="s">
        <v>28</v>
      </c>
      <c r="R5" s="56" t="s">
        <v>29</v>
      </c>
      <c r="S5" s="56" t="s">
        <v>28</v>
      </c>
      <c r="T5" s="56" t="s">
        <v>30</v>
      </c>
      <c r="U5" s="54" t="s">
        <v>28</v>
      </c>
      <c r="V5" s="54" t="s">
        <v>31</v>
      </c>
      <c r="W5" s="55" t="s">
        <v>32</v>
      </c>
      <c r="X5" s="56" t="s">
        <v>33</v>
      </c>
      <c r="Y5" s="55" t="s">
        <v>34</v>
      </c>
      <c r="Z5" s="237"/>
      <c r="AJ5" s="57"/>
      <c r="AK5" s="57"/>
      <c r="AL5" s="57"/>
      <c r="AN5" s="57"/>
      <c r="AO5" s="57"/>
      <c r="AP5" s="57"/>
      <c r="AQ5" s="57"/>
      <c r="AR5" s="57"/>
    </row>
    <row r="6" spans="1:46" ht="204" customHeight="1">
      <c r="A6" s="58"/>
      <c r="B6" s="80" t="s">
        <v>1420</v>
      </c>
      <c r="C6" s="80" t="s">
        <v>2694</v>
      </c>
      <c r="D6" s="60" t="s">
        <v>4537</v>
      </c>
      <c r="E6" s="60" t="s">
        <v>4526</v>
      </c>
      <c r="F6" s="59" t="str">
        <f t="shared" ref="F6:F16" si="0">_xlfn.LET(
_xlpm.v_발생, IF(ISNUMBER(SEARCH("빈번", G6)), "상",
IF(ISNUMBER(SEARCH("거의", G6)), "하", "중")),
_xlpm.v_영향, IF(ISNUMBER(SEARCH("1개월", H6)), "상",
IF(ISNUMBER(SEARCH("없음", H6)), "하", "중")),
IF(AND(_xlpm.v_발생="상", _xlpm.v_영향="상"), "극상",
IF(OR(_xlpm.v_발생="상", _xlpm.v_영향="상"), "상",
IF(AND(_xlpm.v_발생="하", _xlpm.v_영향="하"), "하",
"중")))
)</f>
        <v>극상</v>
      </c>
      <c r="G6" s="63" t="s">
        <v>40</v>
      </c>
      <c r="H6" s="63" t="s">
        <v>41</v>
      </c>
      <c r="I6" s="197" t="s">
        <v>4538</v>
      </c>
      <c r="J6" s="137"/>
      <c r="K6" s="79"/>
      <c r="L6" s="137" t="s">
        <v>1492</v>
      </c>
      <c r="M6" s="67"/>
      <c r="N6" s="67"/>
      <c r="O6" s="67"/>
      <c r="P6" s="67"/>
      <c r="Q6" s="67"/>
      <c r="R6" s="67"/>
      <c r="S6" s="81"/>
      <c r="T6" s="67"/>
      <c r="U6" s="67"/>
      <c r="V6" s="67"/>
      <c r="W6" s="88"/>
      <c r="X6" s="88"/>
      <c r="Y6" s="89"/>
      <c r="Z6" s="73"/>
    </row>
    <row r="7" spans="1:46" ht="368.4" customHeight="1">
      <c r="A7" s="58">
        <v>108</v>
      </c>
      <c r="B7" s="80" t="s">
        <v>4267</v>
      </c>
      <c r="C7" s="80" t="s">
        <v>4354</v>
      </c>
      <c r="D7" s="60" t="s">
        <v>4529</v>
      </c>
      <c r="E7" s="60" t="s">
        <v>4524</v>
      </c>
      <c r="F7" s="62" t="str">
        <f t="shared" si="0"/>
        <v>극상</v>
      </c>
      <c r="G7" s="63" t="s">
        <v>40</v>
      </c>
      <c r="H7" s="63" t="s">
        <v>41</v>
      </c>
      <c r="I7" s="197" t="s">
        <v>4530</v>
      </c>
      <c r="J7" s="137" t="s">
        <v>4525</v>
      </c>
      <c r="K7" s="79"/>
      <c r="L7" s="137" t="s">
        <v>1492</v>
      </c>
      <c r="M7" s="67"/>
      <c r="N7" s="67"/>
      <c r="O7" s="67"/>
      <c r="P7" s="67"/>
      <c r="Q7" s="67"/>
      <c r="R7" s="67"/>
      <c r="S7" s="81"/>
      <c r="T7" s="67"/>
      <c r="U7" s="67"/>
      <c r="V7" s="67"/>
      <c r="W7" s="88" t="b">
        <v>0</v>
      </c>
      <c r="X7" s="88" t="b">
        <v>0</v>
      </c>
      <c r="Y7" s="89" t="b">
        <v>0</v>
      </c>
      <c r="Z7" s="73" t="s">
        <v>4268</v>
      </c>
    </row>
    <row r="8" spans="1:46" ht="243" customHeight="1">
      <c r="A8" s="58">
        <v>172</v>
      </c>
      <c r="B8" s="80" t="s">
        <v>1420</v>
      </c>
      <c r="C8" s="80" t="s">
        <v>1410</v>
      </c>
      <c r="D8" s="60" t="s">
        <v>4535</v>
      </c>
      <c r="E8" s="60" t="s">
        <v>4527</v>
      </c>
      <c r="F8" s="62" t="str">
        <f t="shared" si="0"/>
        <v>극상</v>
      </c>
      <c r="G8" s="63" t="s">
        <v>40</v>
      </c>
      <c r="H8" s="63" t="s">
        <v>41</v>
      </c>
      <c r="I8" s="259" t="s">
        <v>4539</v>
      </c>
      <c r="J8" s="137" t="s">
        <v>4525</v>
      </c>
      <c r="K8" s="79"/>
      <c r="L8" s="137" t="s">
        <v>1492</v>
      </c>
      <c r="M8" s="67"/>
      <c r="N8" s="67"/>
      <c r="O8" s="67"/>
      <c r="P8" s="67"/>
      <c r="Q8" s="67"/>
      <c r="R8" s="67"/>
      <c r="S8" s="81" t="s">
        <v>1418</v>
      </c>
      <c r="T8" s="67"/>
      <c r="U8" s="67"/>
      <c r="V8" s="67"/>
      <c r="W8" s="88" t="b">
        <v>0</v>
      </c>
      <c r="X8" s="88" t="b">
        <v>1</v>
      </c>
      <c r="Y8" s="89" t="b">
        <v>1</v>
      </c>
      <c r="Z8" s="73" t="s">
        <v>1672</v>
      </c>
    </row>
    <row r="9" spans="1:46" ht="118.8" customHeight="1">
      <c r="A9" s="58">
        <v>173</v>
      </c>
      <c r="B9" s="80" t="s">
        <v>1420</v>
      </c>
      <c r="C9" s="80" t="s">
        <v>1410</v>
      </c>
      <c r="D9" s="60" t="s">
        <v>4528</v>
      </c>
      <c r="E9" s="60" t="s">
        <v>1761</v>
      </c>
      <c r="F9" s="62" t="str">
        <f t="shared" si="0"/>
        <v>극상</v>
      </c>
      <c r="G9" s="63" t="s">
        <v>40</v>
      </c>
      <c r="H9" s="63" t="s">
        <v>41</v>
      </c>
      <c r="I9" s="190" t="s">
        <v>4536</v>
      </c>
      <c r="J9" s="137" t="s">
        <v>4525</v>
      </c>
      <c r="K9" s="79"/>
      <c r="L9" s="137" t="s">
        <v>1492</v>
      </c>
      <c r="M9" s="67"/>
      <c r="N9" s="67"/>
      <c r="O9" s="67"/>
      <c r="P9" s="67"/>
      <c r="Q9" s="67"/>
      <c r="R9" s="67"/>
      <c r="S9" s="81" t="s">
        <v>1418</v>
      </c>
      <c r="T9" s="67"/>
      <c r="U9" s="67"/>
      <c r="V9" s="67"/>
      <c r="W9" s="89" t="b">
        <v>1</v>
      </c>
      <c r="X9" s="89" t="b">
        <v>1</v>
      </c>
      <c r="Y9" s="88" t="b">
        <v>1</v>
      </c>
      <c r="Z9" s="73" t="s">
        <v>1672</v>
      </c>
    </row>
    <row r="10" spans="1:46" ht="154.80000000000001" customHeight="1">
      <c r="A10" s="58"/>
      <c r="B10" s="80" t="s">
        <v>4543</v>
      </c>
      <c r="C10" s="80" t="s">
        <v>1410</v>
      </c>
      <c r="D10" s="60" t="s">
        <v>4540</v>
      </c>
      <c r="E10" s="60" t="s">
        <v>4541</v>
      </c>
      <c r="F10" s="62" t="str">
        <f t="shared" si="0"/>
        <v>극상</v>
      </c>
      <c r="G10" s="63" t="s">
        <v>40</v>
      </c>
      <c r="H10" s="63" t="s">
        <v>41</v>
      </c>
      <c r="I10" s="190" t="s">
        <v>4542</v>
      </c>
      <c r="J10" s="137"/>
      <c r="K10" s="79"/>
      <c r="L10" s="137"/>
      <c r="M10" s="67"/>
      <c r="N10" s="67"/>
      <c r="O10" s="67"/>
      <c r="P10" s="67"/>
      <c r="Q10" s="67"/>
      <c r="R10" s="67"/>
      <c r="S10" s="81"/>
      <c r="T10" s="67"/>
      <c r="U10" s="67"/>
      <c r="V10" s="67"/>
      <c r="W10" s="89" t="b">
        <v>0</v>
      </c>
      <c r="X10" s="89" t="b">
        <v>0</v>
      </c>
      <c r="Y10" s="88" t="b">
        <v>0</v>
      </c>
      <c r="Z10" s="73"/>
    </row>
    <row r="11" spans="1:46" ht="106.2" customHeight="1">
      <c r="A11" s="58">
        <v>72</v>
      </c>
      <c r="B11" s="58" t="s">
        <v>1427</v>
      </c>
      <c r="C11" s="59" t="s">
        <v>1406</v>
      </c>
      <c r="D11" s="60" t="s">
        <v>4414</v>
      </c>
      <c r="E11" s="60" t="s">
        <v>3097</v>
      </c>
      <c r="F11" s="59" t="str">
        <f t="shared" si="0"/>
        <v>상</v>
      </c>
      <c r="G11" s="63" t="s">
        <v>40</v>
      </c>
      <c r="H11" s="63" t="s">
        <v>2674</v>
      </c>
      <c r="I11" s="190" t="s">
        <v>3098</v>
      </c>
      <c r="J11" s="64" t="s">
        <v>4247</v>
      </c>
      <c r="K11" s="65"/>
      <c r="L11" s="64" t="s">
        <v>1492</v>
      </c>
      <c r="M11" s="66"/>
      <c r="N11" s="64"/>
      <c r="O11" s="66"/>
      <c r="P11" s="64"/>
      <c r="Q11" s="67"/>
      <c r="R11" s="68"/>
      <c r="S11" s="69" t="s">
        <v>1493</v>
      </c>
      <c r="T11" s="68"/>
      <c r="U11" s="64"/>
      <c r="V11" s="70"/>
      <c r="W11" s="87" t="b">
        <v>1</v>
      </c>
      <c r="X11" s="86" t="b">
        <v>0</v>
      </c>
      <c r="Y11" s="86" t="b">
        <v>0</v>
      </c>
      <c r="Z11" s="72" t="s">
        <v>4369</v>
      </c>
      <c r="AJ11" s="16"/>
      <c r="AK11" s="16"/>
      <c r="AL11" s="16"/>
      <c r="AM11" s="16"/>
      <c r="AN11" s="16"/>
      <c r="AO11" s="16"/>
      <c r="AP11" s="16"/>
      <c r="AQ11" s="16"/>
      <c r="AR11" s="16"/>
    </row>
    <row r="12" spans="1:46" ht="132" customHeight="1">
      <c r="A12" s="58">
        <v>73</v>
      </c>
      <c r="B12" s="58" t="s">
        <v>1427</v>
      </c>
      <c r="C12" s="59" t="s">
        <v>1406</v>
      </c>
      <c r="D12" s="60" t="s">
        <v>4415</v>
      </c>
      <c r="E12" s="60" t="s">
        <v>3100</v>
      </c>
      <c r="F12" s="62" t="str">
        <f t="shared" si="0"/>
        <v>상</v>
      </c>
      <c r="G12" s="63" t="s">
        <v>40</v>
      </c>
      <c r="H12" s="63" t="s">
        <v>2675</v>
      </c>
      <c r="I12" s="190" t="s">
        <v>3101</v>
      </c>
      <c r="J12" s="64" t="s">
        <v>4247</v>
      </c>
      <c r="K12" s="65"/>
      <c r="L12" s="64" t="s">
        <v>1492</v>
      </c>
      <c r="M12" s="66"/>
      <c r="N12" s="64"/>
      <c r="O12" s="66"/>
      <c r="P12" s="64"/>
      <c r="Q12" s="67"/>
      <c r="R12" s="68"/>
      <c r="S12" s="69" t="s">
        <v>1493</v>
      </c>
      <c r="T12" s="68"/>
      <c r="U12" s="64"/>
      <c r="V12" s="70"/>
      <c r="W12" s="86" t="b">
        <v>1</v>
      </c>
      <c r="X12" s="87" t="b">
        <v>1</v>
      </c>
      <c r="Y12" s="86" t="b">
        <v>0</v>
      </c>
      <c r="Z12" s="72" t="s">
        <v>4374</v>
      </c>
      <c r="AJ12" s="16"/>
      <c r="AK12" s="16"/>
      <c r="AL12" s="16"/>
      <c r="AM12" s="16"/>
      <c r="AN12" s="16"/>
      <c r="AO12" s="16"/>
      <c r="AP12" s="16"/>
      <c r="AQ12" s="16"/>
      <c r="AR12" s="16"/>
    </row>
    <row r="13" spans="1:46" ht="151.80000000000001" customHeight="1">
      <c r="A13" s="58">
        <v>110</v>
      </c>
      <c r="B13" s="123" t="s">
        <v>1460</v>
      </c>
      <c r="C13" s="123" t="s">
        <v>4284</v>
      </c>
      <c r="D13" s="124" t="s">
        <v>4544</v>
      </c>
      <c r="E13" s="124" t="s">
        <v>4545</v>
      </c>
      <c r="F13" s="62" t="str">
        <f t="shared" si="0"/>
        <v>상</v>
      </c>
      <c r="G13" s="126" t="s">
        <v>2668</v>
      </c>
      <c r="H13" s="126" t="s">
        <v>41</v>
      </c>
      <c r="I13" s="197" t="s">
        <v>4546</v>
      </c>
      <c r="J13" s="138" t="s">
        <v>4245</v>
      </c>
      <c r="K13" s="129"/>
      <c r="L13" s="138" t="s">
        <v>1492</v>
      </c>
      <c r="M13" s="130"/>
      <c r="N13" s="130"/>
      <c r="O13" s="130"/>
      <c r="P13" s="130"/>
      <c r="Q13" s="130"/>
      <c r="R13" s="130"/>
      <c r="S13" s="131" t="s">
        <v>1418</v>
      </c>
      <c r="T13" s="130"/>
      <c r="U13" s="130"/>
      <c r="V13" s="130"/>
      <c r="W13" s="132" t="b">
        <v>0</v>
      </c>
      <c r="X13" s="132" t="b">
        <v>0</v>
      </c>
      <c r="Y13" s="133" t="b">
        <v>1</v>
      </c>
      <c r="Z13" s="127" t="s">
        <v>1588</v>
      </c>
      <c r="AA13" s="134"/>
      <c r="AB13" s="134"/>
      <c r="AC13" s="150"/>
      <c r="AD13" s="150"/>
      <c r="AE13" s="150"/>
      <c r="AF13" s="150"/>
      <c r="AG13" s="134"/>
      <c r="AH13" s="134"/>
      <c r="AI13" s="134"/>
      <c r="AJ13" s="134"/>
      <c r="AK13" s="134"/>
      <c r="AL13" s="134"/>
      <c r="AM13" s="134"/>
      <c r="AN13" s="134"/>
      <c r="AO13" s="134"/>
      <c r="AP13" s="134"/>
      <c r="AQ13" s="134"/>
      <c r="AR13" s="134"/>
      <c r="AS13" s="134"/>
      <c r="AT13" s="134"/>
    </row>
    <row r="14" spans="1:46" ht="106.05" customHeight="1">
      <c r="A14" s="58">
        <v>124</v>
      </c>
      <c r="B14" s="80" t="s">
        <v>1460</v>
      </c>
      <c r="C14" s="80" t="s">
        <v>1409</v>
      </c>
      <c r="D14" s="60" t="s">
        <v>4547</v>
      </c>
      <c r="E14" s="60" t="s">
        <v>1638</v>
      </c>
      <c r="F14" s="125" t="str">
        <f t="shared" si="0"/>
        <v>상</v>
      </c>
      <c r="G14" s="63" t="s">
        <v>40</v>
      </c>
      <c r="H14" s="63" t="s">
        <v>2674</v>
      </c>
      <c r="I14" s="197" t="s">
        <v>4252</v>
      </c>
      <c r="J14" s="137" t="s">
        <v>4245</v>
      </c>
      <c r="K14" s="79"/>
      <c r="L14" s="137" t="s">
        <v>1492</v>
      </c>
      <c r="M14" s="67"/>
      <c r="N14" s="67"/>
      <c r="O14" s="67"/>
      <c r="P14" s="67"/>
      <c r="Q14" s="67"/>
      <c r="R14" s="67"/>
      <c r="S14" s="81" t="s">
        <v>1418</v>
      </c>
      <c r="T14" s="67"/>
      <c r="U14" s="67"/>
      <c r="V14" s="67"/>
      <c r="W14" s="89" t="b">
        <v>1</v>
      </c>
      <c r="X14" s="88" t="b">
        <v>0</v>
      </c>
      <c r="Y14" s="88" t="b">
        <v>0</v>
      </c>
      <c r="Z14" s="73"/>
    </row>
    <row r="15" spans="1:46" ht="106.05" customHeight="1">
      <c r="A15" s="58">
        <v>125</v>
      </c>
      <c r="B15" s="80" t="s">
        <v>32</v>
      </c>
      <c r="C15" s="80" t="s">
        <v>1409</v>
      </c>
      <c r="D15" s="60" t="s">
        <v>1639</v>
      </c>
      <c r="E15" s="60" t="s">
        <v>1640</v>
      </c>
      <c r="F15" s="204" t="str">
        <f t="shared" si="0"/>
        <v>상</v>
      </c>
      <c r="G15" s="63" t="s">
        <v>40</v>
      </c>
      <c r="H15" s="63" t="s">
        <v>2674</v>
      </c>
      <c r="I15" s="190" t="s">
        <v>4253</v>
      </c>
      <c r="J15" s="137" t="s">
        <v>4245</v>
      </c>
      <c r="K15" s="79"/>
      <c r="L15" s="137" t="s">
        <v>1492</v>
      </c>
      <c r="M15" s="67"/>
      <c r="N15" s="67"/>
      <c r="O15" s="67"/>
      <c r="P15" s="67"/>
      <c r="Q15" s="67"/>
      <c r="R15" s="67"/>
      <c r="S15" s="81" t="s">
        <v>1418</v>
      </c>
      <c r="T15" s="67"/>
      <c r="U15" s="67"/>
      <c r="V15" s="67"/>
      <c r="W15" s="88" t="b">
        <v>1</v>
      </c>
      <c r="X15" s="89" t="b">
        <v>0</v>
      </c>
      <c r="Y15" s="88" t="b">
        <v>0</v>
      </c>
      <c r="Z15" s="73" t="s">
        <v>1606</v>
      </c>
    </row>
    <row r="16" spans="1:46" ht="193.2" customHeight="1">
      <c r="A16" s="58">
        <v>133</v>
      </c>
      <c r="B16" s="80" t="s">
        <v>1460</v>
      </c>
      <c r="C16" s="80" t="s">
        <v>1409</v>
      </c>
      <c r="D16" s="60" t="s">
        <v>4548</v>
      </c>
      <c r="E16" s="60" t="s">
        <v>4549</v>
      </c>
      <c r="F16" s="62" t="str">
        <f t="shared" si="0"/>
        <v>상</v>
      </c>
      <c r="G16" s="63" t="s">
        <v>40</v>
      </c>
      <c r="H16" s="63" t="s">
        <v>2674</v>
      </c>
      <c r="I16" s="197" t="s">
        <v>4550</v>
      </c>
      <c r="J16" s="137" t="s">
        <v>4245</v>
      </c>
      <c r="K16" s="79"/>
      <c r="L16" s="137" t="s">
        <v>1492</v>
      </c>
      <c r="M16" s="67"/>
      <c r="N16" s="67"/>
      <c r="O16" s="67"/>
      <c r="P16" s="67"/>
      <c r="Q16" s="67"/>
      <c r="R16" s="67"/>
      <c r="S16" s="81" t="s">
        <v>1418</v>
      </c>
      <c r="T16" s="67"/>
      <c r="U16" s="67"/>
      <c r="V16" s="67"/>
      <c r="W16" s="88" t="b">
        <v>0</v>
      </c>
      <c r="X16" s="88" t="b">
        <v>0</v>
      </c>
      <c r="Y16" s="89" t="b">
        <v>1</v>
      </c>
      <c r="Z16" s="73" t="s">
        <v>1649</v>
      </c>
    </row>
    <row r="17" spans="1:46" ht="174.6" customHeight="1">
      <c r="A17" s="58">
        <v>144</v>
      </c>
      <c r="B17" s="123" t="s">
        <v>1420</v>
      </c>
      <c r="C17" s="123" t="s">
        <v>1410</v>
      </c>
      <c r="D17" s="124" t="s">
        <v>4551</v>
      </c>
      <c r="E17" s="124" t="s">
        <v>1681</v>
      </c>
      <c r="F17" s="62" t="str">
        <f>_xlfn.LET(
_xlpm.v_발생, IF(ISNUMBER( SEARCH("빈번",#REF!)), "상",
IF(ISNUMBER( SEARCH("거의",#REF!)), "하", "중")),
_xlpm.v_영향, IF(ISNUMBER(SEARCH("1개월", H17)), "상",
IF(ISNUMBER( SEARCH("없음",#REF!)), "하", "중")),
IF(AND(_xlpm.v_발생="상", _xlpm.v_영향="상"), "극상",
IF(OR(_xlpm.v_발생="상", _xlpm.v_영향="상"), "상",
IF(AND(_xlpm.v_발생="하", _xlpm.v_영향="하"), "하",
"중")))
)</f>
        <v>상</v>
      </c>
      <c r="G17" s="126" t="s">
        <v>2669</v>
      </c>
      <c r="H17" s="126" t="s">
        <v>41</v>
      </c>
      <c r="I17" s="197" t="s">
        <v>4552</v>
      </c>
      <c r="J17" s="138" t="s">
        <v>4247</v>
      </c>
      <c r="K17" s="129"/>
      <c r="L17" s="138" t="s">
        <v>1492</v>
      </c>
      <c r="M17" s="130"/>
      <c r="N17" s="130"/>
      <c r="O17" s="130"/>
      <c r="P17" s="130"/>
      <c r="Q17" s="130"/>
      <c r="R17" s="130"/>
      <c r="S17" s="131" t="s">
        <v>1418</v>
      </c>
      <c r="T17" s="130"/>
      <c r="U17" s="130"/>
      <c r="V17" s="130"/>
      <c r="W17" s="133" t="b">
        <v>0</v>
      </c>
      <c r="X17" s="132" t="b">
        <v>1</v>
      </c>
      <c r="Y17" s="133" t="b">
        <v>1</v>
      </c>
      <c r="Z17" s="127" t="s">
        <v>1672</v>
      </c>
      <c r="AA17" s="136"/>
      <c r="AB17" s="134" t="s">
        <v>4233</v>
      </c>
      <c r="AC17" s="150"/>
      <c r="AD17" s="150"/>
      <c r="AE17" s="150"/>
      <c r="AF17" s="150"/>
      <c r="AG17" s="134"/>
      <c r="AH17" s="134"/>
      <c r="AI17" s="134"/>
      <c r="AJ17" s="134"/>
      <c r="AK17" s="134"/>
      <c r="AL17" s="134"/>
      <c r="AM17" s="134"/>
      <c r="AN17" s="134"/>
      <c r="AO17" s="134"/>
      <c r="AP17" s="134"/>
      <c r="AQ17" s="134"/>
      <c r="AR17" s="134"/>
      <c r="AS17" s="134"/>
      <c r="AT17" s="134"/>
    </row>
    <row r="18" spans="1:46" ht="103.65" customHeight="1">
      <c r="A18" s="58">
        <v>146</v>
      </c>
      <c r="B18" s="123" t="s">
        <v>1420</v>
      </c>
      <c r="C18" s="123" t="s">
        <v>1410</v>
      </c>
      <c r="D18" s="124" t="s">
        <v>1685</v>
      </c>
      <c r="E18" s="124" t="s">
        <v>1686</v>
      </c>
      <c r="F18" s="62" t="str">
        <f>_xlfn.LET(
_xlpm.v_발생, IF(ISNUMBER( SEARCH("빈번",#REF!)), "상",
IF(ISNUMBER( SEARCH("거의",#REF!)), "하", "중")),
_xlpm.v_영향, IF(ISNUMBER(SEARCH("1개월", H18)), "상",
IF(ISNUMBER( SEARCH("없음",#REF!)), "하", "중")),
IF(AND(_xlpm.v_발생="상", _xlpm.v_영향="상"), "극상",
IF(OR(_xlpm.v_발생="상", _xlpm.v_영향="상"), "상",
IF(AND(_xlpm.v_발생="하", _xlpm.v_영향="하"), "하",
"중")))
)</f>
        <v>상</v>
      </c>
      <c r="G18" s="126" t="s">
        <v>40</v>
      </c>
      <c r="H18" s="126" t="s">
        <v>41</v>
      </c>
      <c r="I18" s="197" t="s">
        <v>1687</v>
      </c>
      <c r="J18" s="138" t="s">
        <v>4247</v>
      </c>
      <c r="K18" s="129"/>
      <c r="L18" s="138" t="s">
        <v>1492</v>
      </c>
      <c r="M18" s="130"/>
      <c r="N18" s="130"/>
      <c r="O18" s="130"/>
      <c r="P18" s="130"/>
      <c r="Q18" s="130"/>
      <c r="R18" s="130"/>
      <c r="S18" s="131" t="s">
        <v>1418</v>
      </c>
      <c r="T18" s="130"/>
      <c r="U18" s="130"/>
      <c r="V18" s="130"/>
      <c r="W18" s="132" t="b">
        <v>0</v>
      </c>
      <c r="X18" s="132" t="b">
        <v>1</v>
      </c>
      <c r="Y18" s="132" t="b">
        <v>1</v>
      </c>
      <c r="Z18" s="127" t="s">
        <v>1672</v>
      </c>
      <c r="AA18" s="136"/>
      <c r="AB18" s="134"/>
      <c r="AC18" s="150"/>
      <c r="AD18" s="150"/>
      <c r="AE18" s="150"/>
      <c r="AF18" s="150"/>
      <c r="AG18" s="134"/>
      <c r="AH18" s="134"/>
      <c r="AI18" s="134"/>
      <c r="AJ18" s="134"/>
      <c r="AK18" s="134"/>
      <c r="AL18" s="134"/>
      <c r="AM18" s="134"/>
      <c r="AN18" s="134"/>
      <c r="AO18" s="134"/>
      <c r="AP18" s="134"/>
      <c r="AQ18" s="134"/>
      <c r="AR18" s="134"/>
      <c r="AS18" s="134"/>
      <c r="AT18" s="134"/>
    </row>
    <row r="19" spans="1:46" ht="103.65" customHeight="1">
      <c r="A19" s="58">
        <v>539</v>
      </c>
      <c r="B19" s="80" t="s">
        <v>1460</v>
      </c>
      <c r="C19" s="80" t="s">
        <v>1412</v>
      </c>
      <c r="D19" s="60" t="s">
        <v>4466</v>
      </c>
      <c r="E19" s="60" t="s">
        <v>913</v>
      </c>
      <c r="F19" s="62" t="str">
        <f>_xlfn.LET(
_xlpm.v_발생, IF(ISNUMBER(SEARCH("빈번", G19)), "상",
IF(ISNUMBER(SEARCH("거의", G19)), "하", "중")),
_xlpm.v_영향, IF(ISNUMBER(SEARCH("1개월", H19)), "상",
IF(ISNUMBER(SEARCH("없음", H19)), "하", "중")),
IF(AND(_xlpm.v_발생="상", _xlpm.v_영향="상"), "극상",
IF(OR(_xlpm.v_발생="상", _xlpm.v_영향="상"), "상",
IF(AND(_xlpm.v_발생="하", _xlpm.v_영향="하"), "하",
"중")))
)</f>
        <v>상</v>
      </c>
      <c r="G19" s="63" t="s">
        <v>40</v>
      </c>
      <c r="H19" s="63" t="s">
        <v>2674</v>
      </c>
      <c r="I19" s="190" t="s">
        <v>4553</v>
      </c>
      <c r="J19" s="137" t="s">
        <v>4249</v>
      </c>
      <c r="K19" s="79"/>
      <c r="L19" s="137" t="s">
        <v>1492</v>
      </c>
      <c r="M19" s="67"/>
      <c r="N19" s="67"/>
      <c r="O19" s="67"/>
      <c r="P19" s="67"/>
      <c r="Q19" s="67"/>
      <c r="R19" s="67"/>
      <c r="S19" s="81" t="s">
        <v>1418</v>
      </c>
      <c r="T19" s="67"/>
      <c r="U19" s="67"/>
      <c r="V19" s="67"/>
      <c r="W19" s="88" t="b">
        <v>0</v>
      </c>
      <c r="X19" s="88" t="b">
        <v>0</v>
      </c>
      <c r="Y19" s="89" t="b">
        <v>0</v>
      </c>
      <c r="Z19" s="73" t="s">
        <v>868</v>
      </c>
    </row>
    <row r="20" spans="1:46" ht="103.65" customHeight="1" outlineLevel="1">
      <c r="A20" s="58">
        <v>3</v>
      </c>
      <c r="B20" s="58" t="s">
        <v>1420</v>
      </c>
      <c r="C20" s="59" t="s">
        <v>1405</v>
      </c>
      <c r="D20" s="60" t="s">
        <v>1421</v>
      </c>
      <c r="E20" s="60" t="s">
        <v>1422</v>
      </c>
      <c r="F20" s="62" t="str">
        <f>_xlfn.LET(
_xlpm.v_발생, IF(ISNUMBER(SEARCH("빈번", G20)), "상",
IF(ISNUMBER(SEARCH("거의", G20)), "하", "중")),
_xlpm.v_영향, IF(ISNUMBER(SEARCH("1개월", H20)), "상",
IF(ISNUMBER(SEARCH("없음", H20)), "하", "중")),
IF(AND(_xlpm.v_발생="상", _xlpm.v_영향="상"), "극상",
IF(OR(_xlpm.v_발생="상", _xlpm.v_영향="상"), "상",
IF(AND(_xlpm.v_발생="하", _xlpm.v_영향="하"), "하",
"중")))
)</f>
        <v>상</v>
      </c>
      <c r="G20" s="63" t="s">
        <v>40</v>
      </c>
      <c r="H20" s="63" t="s">
        <v>2675</v>
      </c>
      <c r="I20" s="190" t="s">
        <v>4505</v>
      </c>
      <c r="J20" s="64" t="s">
        <v>4247</v>
      </c>
      <c r="K20" s="65"/>
      <c r="L20" s="64" t="s">
        <v>1492</v>
      </c>
      <c r="M20" s="66"/>
      <c r="N20" s="64"/>
      <c r="O20" s="66"/>
      <c r="P20" s="64"/>
      <c r="Q20" s="67"/>
      <c r="R20" s="68"/>
      <c r="S20" s="69" t="s">
        <v>1418</v>
      </c>
      <c r="T20" s="68"/>
      <c r="U20" s="64"/>
      <c r="V20" s="70"/>
      <c r="W20" s="86" t="b">
        <v>0</v>
      </c>
      <c r="X20" s="87" t="b">
        <v>1</v>
      </c>
      <c r="Y20" s="86" t="b">
        <v>0</v>
      </c>
      <c r="Z20" s="71" t="s">
        <v>1423</v>
      </c>
      <c r="AB20" s="7" t="s">
        <v>4518</v>
      </c>
      <c r="AC20" s="16" t="s">
        <v>4233</v>
      </c>
      <c r="AD20" s="16" t="s">
        <v>4521</v>
      </c>
      <c r="AE20" s="16" t="s">
        <v>4520</v>
      </c>
      <c r="AJ20" s="16"/>
      <c r="AK20" s="16"/>
      <c r="AL20" s="16"/>
      <c r="AM20" s="16"/>
      <c r="AN20" s="16"/>
      <c r="AO20" s="16"/>
      <c r="AP20" s="16"/>
      <c r="AQ20" s="16"/>
      <c r="AR20" s="16"/>
    </row>
    <row r="21" spans="1:46" ht="103.65" customHeight="1" outlineLevel="1">
      <c r="A21" s="58">
        <v>588</v>
      </c>
      <c r="B21" s="58" t="str">
        <f>[1]트램표준체크리스트!B876</f>
        <v>통신</v>
      </c>
      <c r="C21" s="59" t="s">
        <v>1412</v>
      </c>
      <c r="D21" s="60" t="str">
        <f>[1]트램표준체크리스트!F876</f>
        <v>통신-차량 간 업무 한계 불명확 설계로 장비 설치 누락 및 차량 제작 일정이 지연될 리스크를 검토하였는가?</v>
      </c>
      <c r="E21" s="60" t="s">
        <v>3770</v>
      </c>
      <c r="F21" s="62" t="str">
        <f>_xlfn.LET(
_xlpm.v_발생, IF(ISNUMBER(SEARCH("빈번", G21)), "상",
IF(ISNUMBER(SEARCH("거의", G21)), "하", "중")),
_xlpm.v_영향, IF(ISNUMBER(SEARCH("1개월", H21)), "상",
IF(ISNUMBER(SEARCH("없음", H21)), "하", "중")),
IF(AND(_xlpm.v_발생="상", _xlpm.v_영향="상"), "극상",
IF(OR(_xlpm.v_발생="상", _xlpm.v_영향="상"), "상",
IF(AND(_xlpm.v_발생="하", _xlpm.v_영향="하"), "하",
"중")))
)</f>
        <v>상</v>
      </c>
      <c r="G21" s="63" t="s">
        <v>40</v>
      </c>
      <c r="H21" s="63" t="s">
        <v>2674</v>
      </c>
      <c r="I21" s="190" t="s">
        <v>3771</v>
      </c>
      <c r="J21" s="64"/>
      <c r="K21" s="65"/>
      <c r="L21" s="64" t="s">
        <v>1492</v>
      </c>
      <c r="M21" s="66"/>
      <c r="N21" s="64"/>
      <c r="O21" s="66"/>
      <c r="P21" s="64"/>
      <c r="Q21" s="67"/>
      <c r="R21" s="68"/>
      <c r="S21" s="69"/>
      <c r="T21" s="68"/>
      <c r="U21" s="64"/>
      <c r="V21" s="70"/>
      <c r="W21" s="86" t="b">
        <v>0</v>
      </c>
      <c r="X21" s="87" t="b">
        <v>0</v>
      </c>
      <c r="Y21" s="86" t="b">
        <v>0</v>
      </c>
      <c r="Z21" s="71" t="s">
        <v>3736</v>
      </c>
      <c r="AJ21" s="16"/>
      <c r="AK21" s="16"/>
      <c r="AL21" s="16"/>
      <c r="AM21" s="16"/>
      <c r="AN21" s="16"/>
      <c r="AO21" s="16"/>
      <c r="AP21" s="16"/>
      <c r="AQ21" s="16"/>
      <c r="AR21" s="16"/>
    </row>
    <row r="22" spans="1:46" ht="118.8" customHeight="1" outlineLevel="1">
      <c r="A22" s="58">
        <v>107</v>
      </c>
      <c r="B22" s="80" t="s">
        <v>1427</v>
      </c>
      <c r="C22" s="80" t="s">
        <v>1409</v>
      </c>
      <c r="D22" s="60" t="s">
        <v>4269</v>
      </c>
      <c r="E22" s="60" t="s">
        <v>4558</v>
      </c>
      <c r="F22" s="62" t="str">
        <f>_xlfn.LET(
_xlpm.v_발생, IF(ISNUMBER(SEARCH("빈번", G22)), "상",
IF(ISNUMBER(SEARCH("거의", G22)), "하", "중")),
_xlpm.v_영향, IF(ISNUMBER(SEARCH("1개월", H22)), "상",
IF(ISNUMBER(SEARCH("없음", H22)), "하", "중")),
IF(AND(_xlpm.v_발생="상", _xlpm.v_영향="상"), "극상",
IF(OR(_xlpm.v_발생="상", _xlpm.v_영향="상"), "상",
IF(AND(_xlpm.v_발생="하", _xlpm.v_영향="하"), "하",
"중")))
)</f>
        <v>중</v>
      </c>
      <c r="G22" s="63" t="s">
        <v>2669</v>
      </c>
      <c r="H22" s="63" t="s">
        <v>2674</v>
      </c>
      <c r="I22" s="197" t="s">
        <v>4559</v>
      </c>
      <c r="J22" s="137" t="s">
        <v>4525</v>
      </c>
      <c r="K22" s="79"/>
      <c r="L22" s="137" t="s">
        <v>1492</v>
      </c>
      <c r="M22" s="67"/>
      <c r="N22" s="67"/>
      <c r="O22" s="67"/>
      <c r="P22" s="67"/>
      <c r="Q22" s="67"/>
      <c r="R22" s="67"/>
      <c r="S22" s="81" t="s">
        <v>1493</v>
      </c>
      <c r="T22" s="67"/>
      <c r="U22" s="67"/>
      <c r="V22" s="67"/>
      <c r="W22" s="88" t="b">
        <v>0</v>
      </c>
      <c r="X22" s="88" t="b">
        <v>0</v>
      </c>
      <c r="Y22" s="89" t="b">
        <v>0</v>
      </c>
      <c r="Z22" s="73" t="s">
        <v>1595</v>
      </c>
    </row>
    <row r="23" spans="1:46" ht="156" outlineLevel="1">
      <c r="A23" s="58">
        <v>2</v>
      </c>
      <c r="B23" s="58" t="s">
        <v>1416</v>
      </c>
      <c r="C23" s="59" t="s">
        <v>1405</v>
      </c>
      <c r="D23" s="60" t="s">
        <v>4501</v>
      </c>
      <c r="E23" s="60" t="s">
        <v>4503</v>
      </c>
      <c r="F23" s="170" t="str">
        <f>_xlfn.LET(
_xlpm.v_발생, IF(ISNUMBER(SEARCH("빈번", G23)), "상",
IF(ISNUMBER(SEARCH("거의", G23)), "하", "중")),
_xlpm.v_영향, IF(ISNUMBER(SEARCH("1개월", H23)), "상",
IF(ISNUMBER(SEARCH("없음", H23)), "하", "중")),
IF(AND(_xlpm.v_발생="상", _xlpm.v_영향="상"), "극상",
IF(OR(_xlpm.v_발생="상", _xlpm.v_영향="상"), "상",
IF(AND(_xlpm.v_발생="하", _xlpm.v_영향="하"), "하",
"중")))
)</f>
        <v>중</v>
      </c>
      <c r="G23" s="63" t="s">
        <v>2669</v>
      </c>
      <c r="H23" s="63" t="s">
        <v>2674</v>
      </c>
      <c r="I23" s="190" t="s">
        <v>4502</v>
      </c>
      <c r="J23" s="64" t="s">
        <v>4248</v>
      </c>
      <c r="K23" s="65"/>
      <c r="L23" s="64" t="s">
        <v>1492</v>
      </c>
      <c r="M23" s="66"/>
      <c r="N23" s="64"/>
      <c r="O23" s="66"/>
      <c r="P23" s="64"/>
      <c r="Q23" s="67"/>
      <c r="R23" s="68"/>
      <c r="S23" s="69" t="s">
        <v>1418</v>
      </c>
      <c r="T23" s="68"/>
      <c r="U23" s="64"/>
      <c r="V23" s="70"/>
      <c r="W23" s="86" t="b">
        <v>0</v>
      </c>
      <c r="X23" s="87" t="b">
        <v>0</v>
      </c>
      <c r="Y23" s="86" t="b">
        <v>1</v>
      </c>
      <c r="Z23" s="71" t="s">
        <v>1419</v>
      </c>
      <c r="AJ23" s="16"/>
      <c r="AK23" s="16"/>
      <c r="AL23" s="16"/>
      <c r="AM23" s="16"/>
      <c r="AN23" s="16"/>
      <c r="AO23" s="16"/>
      <c r="AP23" s="16"/>
      <c r="AQ23" s="16"/>
      <c r="AR23" s="16"/>
    </row>
    <row r="24" spans="1:46" ht="103.65" customHeight="1" outlineLevel="1">
      <c r="A24" s="58">
        <v>10</v>
      </c>
      <c r="B24" s="58" t="s">
        <v>1427</v>
      </c>
      <c r="C24" s="58" t="s">
        <v>1405</v>
      </c>
      <c r="D24" s="60" t="s">
        <v>4561</v>
      </c>
      <c r="E24" s="60" t="s">
        <v>1445</v>
      </c>
      <c r="F24" s="62" t="str">
        <f>_xlfn.LET(
_xlpm.v_발생, IF(ISNUMBER( SEARCH("빈번",#REF!)), "상",
IF(ISNUMBER( SEARCH("거의",#REF!)), "하", "중")),
_xlpm.v_영향, IF(ISNUMBER(SEARCH("1개월", H24)), "상",
IF(ISNUMBER( SEARCH("없음",#REF!)), "하", "중")),
IF(AND(_xlpm.v_발생="상", _xlpm.v_영향="상"), "극상",
IF(OR(_xlpm.v_발생="상", _xlpm.v_영향="상"), "상",
IF(AND(_xlpm.v_발생="하", _xlpm.v_영향="하"), "하",
"중")))
)</f>
        <v>중</v>
      </c>
      <c r="G24" s="63" t="s">
        <v>40</v>
      </c>
      <c r="H24" s="63" t="s">
        <v>2674</v>
      </c>
      <c r="I24" s="60" t="s">
        <v>1446</v>
      </c>
      <c r="J24" s="64" t="s">
        <v>4247</v>
      </c>
      <c r="K24" s="74"/>
      <c r="L24" s="64" t="s">
        <v>1492</v>
      </c>
      <c r="M24" s="64"/>
      <c r="N24" s="64"/>
      <c r="O24" s="64"/>
      <c r="P24" s="64"/>
      <c r="Q24" s="67"/>
      <c r="R24" s="68"/>
      <c r="S24" s="69" t="s">
        <v>1418</v>
      </c>
      <c r="T24" s="68"/>
      <c r="U24" s="64"/>
      <c r="V24" s="65"/>
      <c r="W24" s="87" t="b">
        <v>0</v>
      </c>
      <c r="X24" s="87" t="b">
        <v>0</v>
      </c>
      <c r="Y24" s="87" t="b">
        <v>1</v>
      </c>
      <c r="Z24" s="72" t="s">
        <v>334</v>
      </c>
      <c r="AJ24" s="16"/>
      <c r="AK24" s="16"/>
      <c r="AL24" s="16"/>
      <c r="AM24" s="16"/>
      <c r="AN24" s="16"/>
      <c r="AO24" s="16"/>
      <c r="AP24" s="16"/>
      <c r="AQ24" s="16"/>
      <c r="AR24" s="16"/>
    </row>
    <row r="25" spans="1:46" ht="103.65" customHeight="1" outlineLevel="1">
      <c r="A25" s="58">
        <v>11</v>
      </c>
      <c r="B25" s="58" t="s">
        <v>1416</v>
      </c>
      <c r="C25" s="58" t="s">
        <v>1405</v>
      </c>
      <c r="D25" s="60" t="s">
        <v>1447</v>
      </c>
      <c r="E25" s="60" t="s">
        <v>1448</v>
      </c>
      <c r="F25" s="62" t="str">
        <f>_xlfn.LET(
_xlpm.v_발생, IF(ISNUMBER( SEARCH("빈번",#REF!)), "상",
IF(ISNUMBER( SEARCH("거의",#REF!)), "하", "중")),
_xlpm.v_영향, IF(ISNUMBER(SEARCH("1개월", H25)), "상",
IF(ISNUMBER( SEARCH("없음",#REF!)), "하", "중")),
IF(AND(_xlpm.v_발생="상", _xlpm.v_영향="상"), "극상",
IF(OR(_xlpm.v_발생="상", _xlpm.v_영향="상"), "상",
IF(AND(_xlpm.v_발생="하", _xlpm.v_영향="하"), "하",
"중")))
)</f>
        <v>중</v>
      </c>
      <c r="G25" s="63" t="s">
        <v>40</v>
      </c>
      <c r="H25" s="63" t="s">
        <v>2674</v>
      </c>
      <c r="I25" s="191" t="s">
        <v>1449</v>
      </c>
      <c r="J25" s="64" t="s">
        <v>4247</v>
      </c>
      <c r="K25" s="74"/>
      <c r="L25" s="64" t="s">
        <v>1492</v>
      </c>
      <c r="M25" s="64"/>
      <c r="N25" s="64"/>
      <c r="O25" s="64"/>
      <c r="P25" s="64"/>
      <c r="Q25" s="67"/>
      <c r="R25" s="68"/>
      <c r="S25" s="69" t="s">
        <v>1418</v>
      </c>
      <c r="T25" s="68"/>
      <c r="U25" s="64"/>
      <c r="V25" s="65"/>
      <c r="W25" s="87" t="b">
        <v>1</v>
      </c>
      <c r="X25" s="86" t="b">
        <v>0</v>
      </c>
      <c r="Y25" s="87" t="b">
        <v>1</v>
      </c>
      <c r="Z25" s="72" t="s">
        <v>1450</v>
      </c>
      <c r="AJ25" s="16"/>
      <c r="AK25" s="16"/>
      <c r="AL25" s="16"/>
      <c r="AM25" s="16"/>
      <c r="AN25" s="16"/>
      <c r="AO25" s="16"/>
      <c r="AP25" s="16"/>
      <c r="AQ25" s="16"/>
      <c r="AR25" s="16"/>
    </row>
    <row r="26" spans="1:46" ht="103.65" customHeight="1" outlineLevel="1">
      <c r="A26" s="58">
        <v>12</v>
      </c>
      <c r="B26" s="58" t="s">
        <v>1427</v>
      </c>
      <c r="C26" s="58" t="s">
        <v>1405</v>
      </c>
      <c r="D26" s="60" t="s">
        <v>1451</v>
      </c>
      <c r="E26" s="60" t="s">
        <v>1452</v>
      </c>
      <c r="F26" s="62" t="str">
        <f>_xlfn.LET(
_xlpm.v_발생, IF(ISNUMBER(SEARCH("빈번", G26)), "상",
IF(ISNUMBER(SEARCH("거의", G26)), "하", "중")),
_xlpm.v_영향, IF(ISNUMBER(SEARCH("1개월", H26)), "상",
IF(ISNUMBER(SEARCH("없음", H26)), "하", "중")),
IF(AND(_xlpm.v_발생="상", _xlpm.v_영향="상"), "극상",
IF(OR(_xlpm.v_발생="상", _xlpm.v_영향="상"), "상",
IF(AND(_xlpm.v_발생="하", _xlpm.v_영향="하"), "하",
"중")))
)</f>
        <v>중</v>
      </c>
      <c r="G26" s="63" t="s">
        <v>2669</v>
      </c>
      <c r="H26" s="63" t="s">
        <v>2674</v>
      </c>
      <c r="I26" s="61" t="s">
        <v>1453</v>
      </c>
      <c r="J26" s="64" t="s">
        <v>4247</v>
      </c>
      <c r="K26" s="76"/>
      <c r="L26" s="64" t="s">
        <v>1492</v>
      </c>
      <c r="M26" s="64"/>
      <c r="N26" s="64"/>
      <c r="O26" s="64"/>
      <c r="P26" s="64"/>
      <c r="Q26" s="67"/>
      <c r="R26" s="68"/>
      <c r="S26" s="69" t="s">
        <v>1418</v>
      </c>
      <c r="T26" s="68"/>
      <c r="U26" s="64"/>
      <c r="V26" s="65"/>
      <c r="W26" s="86" t="b">
        <v>0</v>
      </c>
      <c r="X26" s="87" t="b">
        <v>1</v>
      </c>
      <c r="Y26" s="87" t="b">
        <v>1</v>
      </c>
      <c r="Z26" s="72" t="s">
        <v>1450</v>
      </c>
      <c r="AJ26" s="16"/>
      <c r="AK26" s="16"/>
      <c r="AL26" s="16"/>
      <c r="AM26" s="16"/>
      <c r="AN26" s="16"/>
      <c r="AO26" s="16"/>
      <c r="AP26" s="16"/>
      <c r="AQ26" s="16"/>
      <c r="AR26" s="16"/>
    </row>
    <row r="27" spans="1:46" ht="88.05" customHeight="1" outlineLevel="1">
      <c r="A27" s="58">
        <v>13</v>
      </c>
      <c r="B27" s="58" t="s">
        <v>32</v>
      </c>
      <c r="C27" s="58" t="s">
        <v>1405</v>
      </c>
      <c r="D27" s="60" t="s">
        <v>1454</v>
      </c>
      <c r="E27" s="60" t="s">
        <v>1455</v>
      </c>
      <c r="F27" s="62" t="str">
        <f>_xlfn.LET(
_xlpm.v_발생, IF(ISNUMBER(SEARCH("빈번", G27)), "상",
IF(ISNUMBER(SEARCH("거의", G27)), "하", "중")),
_xlpm.v_영향, IF(ISNUMBER(SEARCH("1개월", H27)), "상",
IF(ISNUMBER(SEARCH("없음", H27)), "하", "중")),
IF(AND(_xlpm.v_발생="상", _xlpm.v_영향="상"), "극상",
IF(OR(_xlpm.v_발생="상", _xlpm.v_영향="상"), "상",
IF(AND(_xlpm.v_발생="하", _xlpm.v_영향="하"), "하",
"중")))
)</f>
        <v>중</v>
      </c>
      <c r="G27" s="63" t="s">
        <v>2669</v>
      </c>
      <c r="H27" s="63" t="s">
        <v>2674</v>
      </c>
      <c r="I27" s="60" t="s">
        <v>1456</v>
      </c>
      <c r="J27" s="64" t="s">
        <v>4247</v>
      </c>
      <c r="K27" s="74"/>
      <c r="L27" s="64" t="s">
        <v>1492</v>
      </c>
      <c r="M27" s="64"/>
      <c r="N27" s="64"/>
      <c r="O27" s="64"/>
      <c r="P27" s="64"/>
      <c r="Q27" s="67"/>
      <c r="R27" s="68"/>
      <c r="S27" s="69" t="s">
        <v>1418</v>
      </c>
      <c r="T27" s="68"/>
      <c r="U27" s="64"/>
      <c r="V27" s="65"/>
      <c r="W27" s="87" t="b">
        <v>1</v>
      </c>
      <c r="X27" s="87" t="b">
        <v>1</v>
      </c>
      <c r="Y27" s="86" t="b">
        <v>0</v>
      </c>
      <c r="Z27" s="72" t="s">
        <v>1450</v>
      </c>
      <c r="AJ27" s="16"/>
      <c r="AK27" s="16"/>
      <c r="AL27" s="16"/>
      <c r="AM27" s="16"/>
      <c r="AN27" s="16"/>
      <c r="AO27" s="16"/>
      <c r="AP27" s="16"/>
      <c r="AQ27" s="16"/>
      <c r="AR27" s="16"/>
    </row>
    <row r="28" spans="1:46" ht="88.05" customHeight="1" outlineLevel="1">
      <c r="A28" s="58">
        <v>19</v>
      </c>
      <c r="B28" s="58" t="s">
        <v>4500</v>
      </c>
      <c r="C28" s="58" t="s">
        <v>1405</v>
      </c>
      <c r="D28" s="60" t="s">
        <v>4510</v>
      </c>
      <c r="E28" s="60" t="s">
        <v>4491</v>
      </c>
      <c r="F28" s="125" t="str">
        <f>_xlfn.LET(
_xlpm.v_발생, IF(ISNUMBER( SEARCH("빈번",#REF!)), "상",
IF(ISNUMBER( SEARCH("거의",#REF!)), "하", "중")),
_xlpm.v_영향, IF(ISNUMBER(SEARCH("1개월", H28)), "상",
IF(ISNUMBER( SEARCH("없음",#REF!)), "하", "중")),
IF(AND(_xlpm.v_발생="상", _xlpm.v_영향="상"), "극상",
IF(OR(_xlpm.v_발생="상", _xlpm.v_영향="상"), "상",
IF(AND(_xlpm.v_발생="하", _xlpm.v_영향="하"), "하",
"중")))
)</f>
        <v>중</v>
      </c>
      <c r="G28" s="63" t="s">
        <v>2669</v>
      </c>
      <c r="H28" s="63" t="s">
        <v>2674</v>
      </c>
      <c r="I28" s="60" t="s">
        <v>4499</v>
      </c>
      <c r="J28" s="64" t="s">
        <v>4247</v>
      </c>
      <c r="K28" s="74"/>
      <c r="L28" s="64" t="s">
        <v>1492</v>
      </c>
      <c r="M28" s="64"/>
      <c r="N28" s="64"/>
      <c r="O28" s="64"/>
      <c r="P28" s="64"/>
      <c r="Q28" s="67"/>
      <c r="R28" s="68"/>
      <c r="S28" s="69" t="s">
        <v>1418</v>
      </c>
      <c r="T28" s="68"/>
      <c r="U28" s="64"/>
      <c r="V28" s="65"/>
      <c r="W28" s="86" t="b">
        <v>0</v>
      </c>
      <c r="X28" s="86" t="b">
        <v>0</v>
      </c>
      <c r="Y28" s="87" t="b">
        <v>0</v>
      </c>
      <c r="Z28" s="72" t="s">
        <v>4492</v>
      </c>
      <c r="AJ28" s="16"/>
      <c r="AK28" s="16"/>
      <c r="AL28" s="16"/>
      <c r="AM28" s="16"/>
      <c r="AN28" s="16"/>
      <c r="AO28" s="16"/>
      <c r="AP28" s="16"/>
      <c r="AQ28" s="16"/>
      <c r="AR28" s="16"/>
    </row>
    <row r="29" spans="1:46" s="134" customFormat="1" ht="103.65" customHeight="1" outlineLevel="1">
      <c r="A29" s="58">
        <v>20</v>
      </c>
      <c r="B29" s="58" t="s">
        <v>32</v>
      </c>
      <c r="C29" s="58" t="s">
        <v>4344</v>
      </c>
      <c r="D29" s="60" t="s">
        <v>4511</v>
      </c>
      <c r="E29" s="60" t="s">
        <v>4512</v>
      </c>
      <c r="F29" s="62" t="str">
        <f>_xlfn.LET(
_xlpm.v_발생, IF(ISNUMBER( SEARCH("빈번",#REF!)), "상",
IF(ISNUMBER( SEARCH("거의",#REF!)), "하", "중")),
_xlpm.v_영향, IF(ISNUMBER(SEARCH("1개월", H29)), "상",
IF(ISNUMBER( SEARCH("없음",#REF!)), "하", "중")),
IF(AND(_xlpm.v_발생="상", _xlpm.v_영향="상"), "극상",
IF(OR(_xlpm.v_발생="상", _xlpm.v_영향="상"), "상",
IF(AND(_xlpm.v_발생="하", _xlpm.v_영향="하"), "하",
"중")))
)</f>
        <v>중</v>
      </c>
      <c r="G29" s="63" t="s">
        <v>2669</v>
      </c>
      <c r="H29" s="63" t="s">
        <v>2674</v>
      </c>
      <c r="I29" s="60" t="s">
        <v>1468</v>
      </c>
      <c r="J29" s="64" t="s">
        <v>4247</v>
      </c>
      <c r="K29" s="76"/>
      <c r="L29" s="64" t="s">
        <v>1492</v>
      </c>
      <c r="M29" s="64"/>
      <c r="N29" s="64"/>
      <c r="O29" s="64"/>
      <c r="P29" s="64"/>
      <c r="Q29" s="67"/>
      <c r="R29" s="68"/>
      <c r="S29" s="69" t="s">
        <v>1418</v>
      </c>
      <c r="T29" s="68"/>
      <c r="U29" s="64"/>
      <c r="V29" s="65"/>
      <c r="W29" s="87" t="b">
        <v>1</v>
      </c>
      <c r="X29" s="86" t="b">
        <v>0</v>
      </c>
      <c r="Y29" s="87" t="b">
        <v>1</v>
      </c>
      <c r="Z29" s="72" t="s">
        <v>1467</v>
      </c>
      <c r="AA29" s="7"/>
      <c r="AB29" s="7"/>
      <c r="AC29" s="16"/>
      <c r="AD29" s="16"/>
      <c r="AE29" s="16"/>
      <c r="AF29" s="16"/>
      <c r="AG29" s="7"/>
      <c r="AH29" s="7"/>
      <c r="AI29" s="7"/>
      <c r="AJ29" s="16"/>
      <c r="AK29" s="16"/>
      <c r="AL29" s="16"/>
      <c r="AM29" s="16"/>
      <c r="AN29" s="16"/>
      <c r="AO29" s="16"/>
      <c r="AP29" s="16"/>
      <c r="AQ29" s="16"/>
      <c r="AR29" s="16"/>
      <c r="AS29" s="7"/>
      <c r="AT29" s="7"/>
    </row>
    <row r="30" spans="1:46" s="134" customFormat="1" ht="103.65" customHeight="1" outlineLevel="1">
      <c r="A30" s="58">
        <v>21</v>
      </c>
      <c r="B30" s="59" t="s">
        <v>1427</v>
      </c>
      <c r="C30" s="59" t="s">
        <v>1405</v>
      </c>
      <c r="D30" s="60" t="s">
        <v>4436</v>
      </c>
      <c r="E30" s="60" t="s">
        <v>1490</v>
      </c>
      <c r="F30" s="62" t="str">
        <f>_xlfn.LET(
_xlpm.v_발생, IF(ISNUMBER( SEARCH("빈번",#REF!)), "상",
IF(ISNUMBER( SEARCH("거의",#REF!)), "하", "중")),
_xlpm.v_영향, IF(ISNUMBER(SEARCH("1개월", H30)), "상",
IF(ISNUMBER( SEARCH("없음",#REF!)), "하", "중")),
IF(AND(_xlpm.v_발생="상", _xlpm.v_영향="상"), "극상",
IF(OR(_xlpm.v_발생="상", _xlpm.v_영향="상"), "상",
IF(AND(_xlpm.v_발생="하", _xlpm.v_영향="하"), "하",
"중")))
)</f>
        <v>중</v>
      </c>
      <c r="G30" s="63" t="s">
        <v>2669</v>
      </c>
      <c r="H30" s="63" t="s">
        <v>2674</v>
      </c>
      <c r="I30" s="60" t="s">
        <v>4437</v>
      </c>
      <c r="J30" s="64" t="s">
        <v>4247</v>
      </c>
      <c r="K30" s="74"/>
      <c r="L30" s="64" t="s">
        <v>1492</v>
      </c>
      <c r="M30" s="64"/>
      <c r="N30" s="64"/>
      <c r="O30" s="64"/>
      <c r="P30" s="64"/>
      <c r="Q30" s="67"/>
      <c r="R30" s="68"/>
      <c r="S30" s="69" t="s">
        <v>1493</v>
      </c>
      <c r="T30" s="68"/>
      <c r="U30" s="64"/>
      <c r="V30" s="65"/>
      <c r="W30" s="87" t="b">
        <v>0</v>
      </c>
      <c r="X30" s="86" t="b">
        <v>1</v>
      </c>
      <c r="Y30" s="86" t="b">
        <v>0</v>
      </c>
      <c r="Z30" s="72" t="s">
        <v>1423</v>
      </c>
      <c r="AA30" s="7"/>
      <c r="AB30" s="7"/>
      <c r="AC30" s="16"/>
      <c r="AD30" s="16"/>
      <c r="AE30" s="16"/>
      <c r="AF30" s="16"/>
      <c r="AG30" s="7"/>
      <c r="AH30" s="7"/>
      <c r="AI30" s="7"/>
      <c r="AJ30" s="16"/>
      <c r="AK30" s="16"/>
      <c r="AL30" s="16"/>
      <c r="AM30" s="16"/>
      <c r="AN30" s="16"/>
      <c r="AO30" s="16"/>
      <c r="AP30" s="16"/>
      <c r="AQ30" s="16"/>
      <c r="AR30" s="16"/>
      <c r="AS30" s="7"/>
      <c r="AT30" s="7"/>
    </row>
    <row r="31" spans="1:46" s="134" customFormat="1" ht="115.8" customHeight="1" outlineLevel="1">
      <c r="A31" s="58">
        <v>38</v>
      </c>
      <c r="B31" s="58" t="s">
        <v>1427</v>
      </c>
      <c r="C31" s="58" t="s">
        <v>4288</v>
      </c>
      <c r="D31" s="60" t="s">
        <v>4314</v>
      </c>
      <c r="E31" s="60" t="s">
        <v>4315</v>
      </c>
      <c r="F31" s="62" t="str">
        <f>_xlfn.LET(
_xlpm.v_발생, IF(ISNUMBER( SEARCH("빈번",#REF!)), "상",
IF(ISNUMBER( SEARCH("거의",#REF!)), "하", "중")),
_xlpm.v_영향, IF(ISNUMBER(SEARCH("1개월", H31)), "상",
IF(ISNUMBER( SEARCH("없음",#REF!)), "하", "중")),
IF(AND(_xlpm.v_발생="상", _xlpm.v_영향="상"), "극상",
IF(OR(_xlpm.v_발생="상", _xlpm.v_영향="상"), "상",
IF(AND(_xlpm.v_발생="하", _xlpm.v_영향="하"), "하",
"중")))
)</f>
        <v>중</v>
      </c>
      <c r="G31" s="63" t="s">
        <v>2669</v>
      </c>
      <c r="H31" s="63" t="s">
        <v>2674</v>
      </c>
      <c r="I31" s="190" t="s">
        <v>4448</v>
      </c>
      <c r="J31" s="137"/>
      <c r="K31" s="79"/>
      <c r="L31" s="137" t="s">
        <v>1492</v>
      </c>
      <c r="M31" s="67"/>
      <c r="N31" s="67"/>
      <c r="O31" s="67"/>
      <c r="P31" s="67"/>
      <c r="Q31" s="67"/>
      <c r="R31" s="67"/>
      <c r="S31" s="81"/>
      <c r="T31" s="67"/>
      <c r="U31" s="67"/>
      <c r="V31" s="67"/>
      <c r="W31" s="88" t="b">
        <v>0</v>
      </c>
      <c r="X31" s="88" t="b">
        <v>0</v>
      </c>
      <c r="Y31" s="89" t="b">
        <v>0</v>
      </c>
      <c r="Z31" s="73"/>
      <c r="AA31" s="7"/>
      <c r="AB31" s="7"/>
      <c r="AC31" s="16"/>
      <c r="AD31" s="16"/>
      <c r="AE31" s="16"/>
      <c r="AF31" s="16"/>
      <c r="AG31" s="7"/>
      <c r="AH31" s="7"/>
      <c r="AI31" s="7"/>
      <c r="AJ31" s="16"/>
      <c r="AK31" s="16"/>
      <c r="AL31" s="16"/>
      <c r="AM31" s="16"/>
      <c r="AN31" s="16"/>
      <c r="AO31" s="16"/>
      <c r="AP31" s="16"/>
      <c r="AQ31" s="16"/>
      <c r="AR31" s="16"/>
      <c r="AS31" s="7"/>
      <c r="AT31" s="7"/>
    </row>
    <row r="32" spans="1:46" s="134" customFormat="1" ht="120.6" customHeight="1" outlineLevel="1">
      <c r="A32" s="58">
        <v>39</v>
      </c>
      <c r="B32" s="153" t="s">
        <v>4319</v>
      </c>
      <c r="C32" s="153" t="s">
        <v>4288</v>
      </c>
      <c r="D32" s="154" t="s">
        <v>4316</v>
      </c>
      <c r="E32" s="154" t="s">
        <v>4317</v>
      </c>
      <c r="F32" s="62" t="str">
        <f>_xlfn.LET(
_xlpm.v_발생, IF(ISNUMBER( SEARCH("빈번",#REF!)), "상",
IF(ISNUMBER( SEARCH("거의",#REF!)), "하", "중")),
_xlpm.v_영향, IF(ISNUMBER(SEARCH("1개월", H32)), "상",
IF(ISNUMBER( SEARCH("없음",#REF!)), "하", "중")),
IF(AND(_xlpm.v_발생="상", _xlpm.v_영향="상"), "극상",
IF(OR(_xlpm.v_발생="상", _xlpm.v_영향="상"), "상",
IF(AND(_xlpm.v_발생="하", _xlpm.v_영향="하"), "하",
"중")))
)</f>
        <v>중</v>
      </c>
      <c r="G32" s="63" t="s">
        <v>2669</v>
      </c>
      <c r="H32" s="63" t="s">
        <v>2674</v>
      </c>
      <c r="I32" s="193" t="s">
        <v>4318</v>
      </c>
      <c r="J32" s="158"/>
      <c r="K32" s="159"/>
      <c r="L32" s="158" t="s">
        <v>1492</v>
      </c>
      <c r="M32" s="160"/>
      <c r="N32" s="160"/>
      <c r="O32" s="160"/>
      <c r="P32" s="160"/>
      <c r="Q32" s="160"/>
      <c r="R32" s="160"/>
      <c r="S32" s="161"/>
      <c r="T32" s="160"/>
      <c r="U32" s="160"/>
      <c r="V32" s="160"/>
      <c r="W32" s="162" t="b">
        <v>0</v>
      </c>
      <c r="X32" s="162" t="b">
        <v>0</v>
      </c>
      <c r="Y32" s="163" t="b">
        <v>0</v>
      </c>
      <c r="Z32" s="157"/>
      <c r="AA32" s="164"/>
      <c r="AB32" s="164"/>
      <c r="AC32" s="165"/>
      <c r="AD32" s="165"/>
      <c r="AE32" s="165"/>
      <c r="AF32" s="165"/>
      <c r="AG32" s="164"/>
      <c r="AH32" s="164"/>
      <c r="AI32" s="164"/>
      <c r="AJ32" s="165"/>
      <c r="AK32" s="165"/>
      <c r="AL32" s="165"/>
      <c r="AM32" s="165"/>
      <c r="AN32" s="165"/>
      <c r="AO32" s="165"/>
      <c r="AP32" s="165"/>
      <c r="AQ32" s="165"/>
      <c r="AR32" s="165"/>
      <c r="AS32" s="164"/>
      <c r="AT32" s="164"/>
    </row>
    <row r="33" spans="1:46" s="134" customFormat="1" ht="103.65" customHeight="1" outlineLevel="1">
      <c r="A33" s="58">
        <v>65</v>
      </c>
      <c r="B33" s="58" t="s">
        <v>1427</v>
      </c>
      <c r="C33" s="58" t="s">
        <v>4358</v>
      </c>
      <c r="D33" s="60" t="s">
        <v>4453</v>
      </c>
      <c r="E33" s="60" t="s">
        <v>1553</v>
      </c>
      <c r="F33" s="62" t="str">
        <f t="shared" ref="F33:F51" si="1">_xlfn.LET(
_xlpm.v_발생, IF(ISNUMBER(SEARCH("빈번", G33)), "상",
IF(ISNUMBER(SEARCH("거의", G33)), "하", "중")),
_xlpm.v_영향, IF(ISNUMBER(SEARCH("1개월", H33)), "상",
IF(ISNUMBER(SEARCH("없음", H33)), "하", "중")),
IF(AND(_xlpm.v_발생="상", _xlpm.v_영향="상"), "극상",
IF(OR(_xlpm.v_발생="상", _xlpm.v_영향="상"), "상",
IF(AND(_xlpm.v_발생="하", _xlpm.v_영향="하"), "하",
"중")))
)</f>
        <v>중</v>
      </c>
      <c r="G33" s="63" t="s">
        <v>2669</v>
      </c>
      <c r="H33" s="63" t="s">
        <v>2674</v>
      </c>
      <c r="I33" s="60" t="s">
        <v>1554</v>
      </c>
      <c r="J33" s="64" t="s">
        <v>4247</v>
      </c>
      <c r="K33" s="74"/>
      <c r="L33" s="64" t="s">
        <v>1492</v>
      </c>
      <c r="M33" s="64"/>
      <c r="N33" s="64"/>
      <c r="O33" s="64"/>
      <c r="P33" s="64"/>
      <c r="Q33" s="67"/>
      <c r="R33" s="68"/>
      <c r="S33" s="69" t="s">
        <v>1493</v>
      </c>
      <c r="T33" s="68"/>
      <c r="U33" s="64"/>
      <c r="V33" s="65"/>
      <c r="W33" s="86" t="b">
        <v>0</v>
      </c>
      <c r="X33" s="86" t="b">
        <v>0</v>
      </c>
      <c r="Y33" s="87" t="b">
        <v>0</v>
      </c>
      <c r="Z33" s="72" t="s">
        <v>1555</v>
      </c>
      <c r="AA33" s="7"/>
      <c r="AB33" s="7"/>
      <c r="AC33" s="16"/>
      <c r="AD33" s="16"/>
      <c r="AE33" s="16"/>
      <c r="AF33" s="16"/>
      <c r="AG33" s="7"/>
      <c r="AH33" s="7"/>
      <c r="AI33" s="7"/>
      <c r="AJ33" s="16"/>
      <c r="AK33" s="16"/>
      <c r="AL33" s="16"/>
      <c r="AM33" s="16"/>
      <c r="AN33" s="16"/>
      <c r="AO33" s="16"/>
      <c r="AP33" s="16"/>
      <c r="AQ33" s="16"/>
      <c r="AR33" s="16"/>
      <c r="AS33" s="7"/>
      <c r="AT33" s="7"/>
    </row>
    <row r="34" spans="1:46" s="134" customFormat="1" ht="103.65" customHeight="1" outlineLevel="1">
      <c r="A34" s="58">
        <v>68</v>
      </c>
      <c r="B34" s="58" t="s">
        <v>1427</v>
      </c>
      <c r="C34" s="59" t="s">
        <v>1406</v>
      </c>
      <c r="D34" s="60" t="s">
        <v>4410</v>
      </c>
      <c r="E34" s="60" t="s">
        <v>3078</v>
      </c>
      <c r="F34" s="62" t="str">
        <f t="shared" si="1"/>
        <v>중</v>
      </c>
      <c r="G34" s="63" t="s">
        <v>2669</v>
      </c>
      <c r="H34" s="63" t="s">
        <v>2674</v>
      </c>
      <c r="I34" s="192" t="s">
        <v>3079</v>
      </c>
      <c r="J34" s="64" t="s">
        <v>4247</v>
      </c>
      <c r="K34" s="65"/>
      <c r="L34" s="64" t="s">
        <v>1492</v>
      </c>
      <c r="M34" s="66"/>
      <c r="N34" s="64"/>
      <c r="O34" s="66"/>
      <c r="P34" s="64"/>
      <c r="Q34" s="67"/>
      <c r="R34" s="68"/>
      <c r="S34" s="69" t="s">
        <v>1493</v>
      </c>
      <c r="T34" s="68"/>
      <c r="U34" s="64"/>
      <c r="V34" s="70"/>
      <c r="W34" s="86" t="b">
        <v>0</v>
      </c>
      <c r="X34" s="86" t="b">
        <v>0</v>
      </c>
      <c r="Y34" s="87" t="b">
        <v>0</v>
      </c>
      <c r="Z34" s="72" t="s">
        <v>4371</v>
      </c>
      <c r="AA34" s="7"/>
      <c r="AB34" s="7"/>
      <c r="AC34" s="16"/>
      <c r="AD34" s="16"/>
      <c r="AE34" s="16"/>
      <c r="AF34" s="16"/>
      <c r="AG34" s="7"/>
      <c r="AH34" s="7"/>
      <c r="AI34" s="7"/>
      <c r="AJ34" s="16"/>
      <c r="AK34" s="16"/>
      <c r="AL34" s="16"/>
      <c r="AM34" s="16"/>
      <c r="AN34" s="16"/>
      <c r="AO34" s="16"/>
      <c r="AP34" s="16"/>
      <c r="AQ34" s="16"/>
      <c r="AR34" s="16"/>
      <c r="AS34" s="7"/>
      <c r="AT34" s="7"/>
    </row>
    <row r="35" spans="1:46" s="134" customFormat="1" ht="153" customHeight="1" outlineLevel="1">
      <c r="A35" s="58">
        <v>83</v>
      </c>
      <c r="B35" s="58" t="s">
        <v>1427</v>
      </c>
      <c r="C35" s="58" t="s">
        <v>1406</v>
      </c>
      <c r="D35" s="60" t="s">
        <v>4562</v>
      </c>
      <c r="E35" s="60" t="s">
        <v>4563</v>
      </c>
      <c r="F35" s="62" t="str">
        <f t="shared" si="1"/>
        <v>중</v>
      </c>
      <c r="G35" s="63" t="s">
        <v>2669</v>
      </c>
      <c r="H35" s="63" t="s">
        <v>2674</v>
      </c>
      <c r="I35" s="60" t="s">
        <v>4564</v>
      </c>
      <c r="J35" s="64" t="s">
        <v>4247</v>
      </c>
      <c r="K35" s="64"/>
      <c r="L35" s="64" t="s">
        <v>1492</v>
      </c>
      <c r="M35" s="64"/>
      <c r="N35" s="64"/>
      <c r="O35" s="64"/>
      <c r="P35" s="64"/>
      <c r="Q35" s="67"/>
      <c r="R35" s="68"/>
      <c r="S35" s="69" t="s">
        <v>1493</v>
      </c>
      <c r="T35" s="68"/>
      <c r="U35" s="64"/>
      <c r="V35" s="66"/>
      <c r="W35" s="86" t="b">
        <v>0</v>
      </c>
      <c r="X35" s="86" t="b">
        <v>0</v>
      </c>
      <c r="Y35" s="87" t="b">
        <v>1</v>
      </c>
      <c r="Z35" s="72" t="s">
        <v>4384</v>
      </c>
      <c r="AA35" s="7"/>
      <c r="AB35" s="7"/>
      <c r="AC35" s="16"/>
      <c r="AD35" s="16"/>
      <c r="AE35" s="16"/>
      <c r="AF35" s="16"/>
      <c r="AG35" s="7"/>
      <c r="AH35" s="7"/>
      <c r="AI35" s="7"/>
      <c r="AJ35" s="16"/>
      <c r="AK35" s="16"/>
      <c r="AL35" s="16"/>
      <c r="AM35" s="16"/>
      <c r="AN35" s="16"/>
      <c r="AO35" s="16"/>
      <c r="AP35" s="16"/>
      <c r="AQ35" s="16"/>
      <c r="AR35" s="16"/>
      <c r="AS35" s="7"/>
      <c r="AT35" s="7"/>
    </row>
    <row r="36" spans="1:46" s="213" customFormat="1" ht="103.65" customHeight="1" outlineLevel="1">
      <c r="A36" s="58">
        <v>95</v>
      </c>
      <c r="B36" s="58" t="s">
        <v>1427</v>
      </c>
      <c r="C36" s="58" t="s">
        <v>1408</v>
      </c>
      <c r="D36" s="60" t="s">
        <v>1569</v>
      </c>
      <c r="E36" s="60" t="s">
        <v>1570</v>
      </c>
      <c r="F36" s="204" t="str">
        <f t="shared" si="1"/>
        <v>중</v>
      </c>
      <c r="G36" s="63" t="s">
        <v>2669</v>
      </c>
      <c r="H36" s="63" t="s">
        <v>2674</v>
      </c>
      <c r="I36" s="60" t="s">
        <v>4272</v>
      </c>
      <c r="J36" s="64" t="s">
        <v>4245</v>
      </c>
      <c r="K36" s="64"/>
      <c r="L36" s="64" t="s">
        <v>1492</v>
      </c>
      <c r="M36" s="64"/>
      <c r="N36" s="64"/>
      <c r="O36" s="64"/>
      <c r="P36" s="64"/>
      <c r="Q36" s="67"/>
      <c r="R36" s="68"/>
      <c r="S36" s="69" t="s">
        <v>1418</v>
      </c>
      <c r="T36" s="68"/>
      <c r="U36" s="64"/>
      <c r="V36" s="66"/>
      <c r="W36" s="86" t="b">
        <v>0</v>
      </c>
      <c r="X36" s="87" t="b">
        <v>0</v>
      </c>
      <c r="Y36" s="86" t="b">
        <v>1</v>
      </c>
      <c r="Z36" s="72" t="s">
        <v>1571</v>
      </c>
      <c r="AA36" s="7"/>
      <c r="AB36" s="7"/>
      <c r="AC36" s="16"/>
      <c r="AD36" s="16"/>
      <c r="AE36" s="16"/>
      <c r="AF36" s="16"/>
      <c r="AG36" s="7"/>
      <c r="AH36" s="7"/>
      <c r="AI36" s="7"/>
      <c r="AJ36" s="7"/>
      <c r="AK36" s="7"/>
      <c r="AL36" s="7"/>
      <c r="AM36" s="7"/>
      <c r="AN36" s="7"/>
      <c r="AO36" s="7"/>
      <c r="AP36" s="7"/>
      <c r="AQ36" s="7"/>
      <c r="AR36" s="7"/>
      <c r="AS36" s="7"/>
      <c r="AT36" s="7"/>
    </row>
    <row r="37" spans="1:46" s="134" customFormat="1" ht="103.65" customHeight="1" outlineLevel="1">
      <c r="A37" s="58">
        <v>97</v>
      </c>
      <c r="B37" s="58" t="s">
        <v>1460</v>
      </c>
      <c r="C37" s="58" t="s">
        <v>1408</v>
      </c>
      <c r="D37" s="60" t="s">
        <v>1574</v>
      </c>
      <c r="E37" s="60" t="s">
        <v>4274</v>
      </c>
      <c r="F37" s="62" t="str">
        <f t="shared" si="1"/>
        <v>중</v>
      </c>
      <c r="G37" s="63" t="s">
        <v>2669</v>
      </c>
      <c r="H37" s="63" t="s">
        <v>2674</v>
      </c>
      <c r="I37" s="60" t="s">
        <v>4275</v>
      </c>
      <c r="J37" s="64" t="s">
        <v>4245</v>
      </c>
      <c r="K37" s="74"/>
      <c r="L37" s="64" t="s">
        <v>1492</v>
      </c>
      <c r="M37" s="64"/>
      <c r="N37" s="64"/>
      <c r="O37" s="64"/>
      <c r="P37" s="64"/>
      <c r="Q37" s="67"/>
      <c r="R37" s="68"/>
      <c r="S37" s="69" t="s">
        <v>1418</v>
      </c>
      <c r="T37" s="68"/>
      <c r="U37" s="64"/>
      <c r="V37" s="65"/>
      <c r="W37" s="86" t="b">
        <v>0</v>
      </c>
      <c r="X37" s="86" t="b">
        <v>0</v>
      </c>
      <c r="Y37" s="87" t="b">
        <v>0</v>
      </c>
      <c r="Z37" s="72" t="s">
        <v>1571</v>
      </c>
      <c r="AA37" s="7"/>
      <c r="AB37" s="7"/>
      <c r="AC37" s="16"/>
      <c r="AD37" s="16"/>
      <c r="AE37" s="16"/>
      <c r="AF37" s="16"/>
      <c r="AG37" s="7"/>
      <c r="AH37" s="7"/>
      <c r="AI37" s="7"/>
      <c r="AJ37" s="7"/>
      <c r="AK37" s="7"/>
      <c r="AL37" s="7"/>
      <c r="AM37" s="7"/>
      <c r="AN37" s="7"/>
      <c r="AO37" s="7"/>
      <c r="AP37" s="7"/>
      <c r="AQ37" s="7"/>
      <c r="AR37" s="7"/>
      <c r="AS37" s="7"/>
      <c r="AT37" s="7"/>
    </row>
    <row r="38" spans="1:46" s="134" customFormat="1" ht="103.65" customHeight="1" outlineLevel="1">
      <c r="A38" s="58">
        <v>100</v>
      </c>
      <c r="B38" s="58" t="s">
        <v>1427</v>
      </c>
      <c r="C38" s="58" t="s">
        <v>1408</v>
      </c>
      <c r="D38" s="60" t="s">
        <v>4565</v>
      </c>
      <c r="E38" s="60" t="s">
        <v>1581</v>
      </c>
      <c r="F38" s="62" t="str">
        <f t="shared" si="1"/>
        <v>중</v>
      </c>
      <c r="G38" s="63" t="s">
        <v>2669</v>
      </c>
      <c r="H38" s="63" t="s">
        <v>2674</v>
      </c>
      <c r="I38" s="60" t="s">
        <v>1582</v>
      </c>
      <c r="J38" s="64" t="s">
        <v>4245</v>
      </c>
      <c r="K38" s="74"/>
      <c r="L38" s="64" t="s">
        <v>1492</v>
      </c>
      <c r="M38" s="64"/>
      <c r="N38" s="64"/>
      <c r="O38" s="64"/>
      <c r="P38" s="64"/>
      <c r="Q38" s="67"/>
      <c r="R38" s="68"/>
      <c r="S38" s="69" t="s">
        <v>1418</v>
      </c>
      <c r="T38" s="68"/>
      <c r="U38" s="64"/>
      <c r="V38" s="65"/>
      <c r="W38" s="87" t="b">
        <v>0</v>
      </c>
      <c r="X38" s="87" t="b">
        <v>0</v>
      </c>
      <c r="Y38" s="86" t="b">
        <v>1</v>
      </c>
      <c r="Z38" s="72" t="s">
        <v>1571</v>
      </c>
      <c r="AA38" s="7"/>
      <c r="AB38" s="7"/>
      <c r="AC38" s="16"/>
      <c r="AD38" s="16"/>
      <c r="AE38" s="16"/>
      <c r="AF38" s="16"/>
      <c r="AG38" s="7"/>
      <c r="AH38" s="7"/>
      <c r="AI38" s="7"/>
      <c r="AJ38" s="7"/>
      <c r="AK38" s="7"/>
      <c r="AL38" s="7"/>
      <c r="AM38" s="7"/>
      <c r="AN38" s="7"/>
      <c r="AO38" s="7"/>
      <c r="AP38" s="7"/>
      <c r="AQ38" s="7"/>
      <c r="AR38" s="7"/>
      <c r="AS38" s="7"/>
      <c r="AT38" s="7"/>
    </row>
    <row r="39" spans="1:46" s="134" customFormat="1" ht="155.4" customHeight="1">
      <c r="A39" s="58">
        <v>109</v>
      </c>
      <c r="B39" s="80" t="s">
        <v>1427</v>
      </c>
      <c r="C39" s="80" t="s">
        <v>1409</v>
      </c>
      <c r="D39" s="60" t="s">
        <v>4566</v>
      </c>
      <c r="E39" s="60" t="s">
        <v>4567</v>
      </c>
      <c r="F39" s="62" t="str">
        <f t="shared" si="1"/>
        <v>중</v>
      </c>
      <c r="G39" s="63" t="s">
        <v>2669</v>
      </c>
      <c r="H39" s="63" t="s">
        <v>2674</v>
      </c>
      <c r="I39" s="60" t="s">
        <v>4568</v>
      </c>
      <c r="J39" s="137" t="s">
        <v>4245</v>
      </c>
      <c r="K39" s="79"/>
      <c r="L39" s="137" t="s">
        <v>1492</v>
      </c>
      <c r="M39" s="67"/>
      <c r="N39" s="67"/>
      <c r="O39" s="67"/>
      <c r="P39" s="67"/>
      <c r="Q39" s="67"/>
      <c r="R39" s="67"/>
      <c r="S39" s="81" t="s">
        <v>1493</v>
      </c>
      <c r="T39" s="67"/>
      <c r="U39" s="67"/>
      <c r="V39" s="67"/>
      <c r="W39" s="88" t="b">
        <v>0</v>
      </c>
      <c r="X39" s="88" t="b">
        <v>0</v>
      </c>
      <c r="Y39" s="89" t="b">
        <v>0</v>
      </c>
      <c r="Z39" s="73" t="s">
        <v>1595</v>
      </c>
      <c r="AA39" s="7"/>
      <c r="AB39" s="7"/>
      <c r="AC39" s="16"/>
      <c r="AD39" s="16"/>
      <c r="AE39" s="16"/>
      <c r="AF39" s="16"/>
      <c r="AG39" s="7"/>
      <c r="AH39" s="7"/>
      <c r="AI39" s="7"/>
      <c r="AJ39" s="7"/>
      <c r="AK39" s="7"/>
      <c r="AL39" s="7"/>
      <c r="AM39" s="7"/>
      <c r="AN39" s="7"/>
      <c r="AO39" s="7"/>
      <c r="AP39" s="7"/>
      <c r="AQ39" s="7"/>
      <c r="AR39" s="7"/>
      <c r="AS39" s="7"/>
      <c r="AT39" s="7"/>
    </row>
    <row r="40" spans="1:46" s="134" customFormat="1" ht="167.4" customHeight="1">
      <c r="A40" s="58">
        <v>112</v>
      </c>
      <c r="B40" s="80" t="s">
        <v>1427</v>
      </c>
      <c r="C40" s="80" t="s">
        <v>1409</v>
      </c>
      <c r="D40" s="60" t="s">
        <v>4569</v>
      </c>
      <c r="E40" s="60" t="s">
        <v>4571</v>
      </c>
      <c r="F40" s="62" t="str">
        <f t="shared" si="1"/>
        <v>중</v>
      </c>
      <c r="G40" s="63" t="s">
        <v>2669</v>
      </c>
      <c r="H40" s="63" t="s">
        <v>2674</v>
      </c>
      <c r="I40" s="260" t="s">
        <v>4572</v>
      </c>
      <c r="J40" s="137" t="s">
        <v>4245</v>
      </c>
      <c r="K40" s="79"/>
      <c r="L40" s="137" t="s">
        <v>1492</v>
      </c>
      <c r="M40" s="67"/>
      <c r="N40" s="67"/>
      <c r="O40" s="67"/>
      <c r="P40" s="67"/>
      <c r="Q40" s="67"/>
      <c r="R40" s="67"/>
      <c r="S40" s="81" t="s">
        <v>1493</v>
      </c>
      <c r="T40" s="67"/>
      <c r="U40" s="67"/>
      <c r="V40" s="67"/>
      <c r="W40" s="88" t="b">
        <v>0</v>
      </c>
      <c r="X40" s="88" t="b">
        <v>0</v>
      </c>
      <c r="Y40" s="88" t="b">
        <v>0</v>
      </c>
      <c r="Z40" s="73" t="s">
        <v>1602</v>
      </c>
      <c r="AA40" s="7"/>
      <c r="AB40" s="7"/>
      <c r="AC40" s="16"/>
      <c r="AD40" s="16"/>
      <c r="AE40" s="16"/>
      <c r="AF40" s="16"/>
      <c r="AG40" s="7"/>
      <c r="AH40" s="7"/>
      <c r="AI40" s="7"/>
      <c r="AJ40" s="7"/>
      <c r="AK40" s="7"/>
      <c r="AL40" s="7"/>
      <c r="AM40" s="7"/>
      <c r="AN40" s="7"/>
      <c r="AO40" s="7"/>
      <c r="AP40" s="7"/>
      <c r="AQ40" s="7"/>
      <c r="AR40" s="7"/>
      <c r="AS40" s="7"/>
      <c r="AT40" s="7"/>
    </row>
    <row r="41" spans="1:46" s="134" customFormat="1" ht="103.65" customHeight="1">
      <c r="A41" s="58">
        <v>113</v>
      </c>
      <c r="B41" s="80" t="s">
        <v>1416</v>
      </c>
      <c r="C41" s="80" t="s">
        <v>1409</v>
      </c>
      <c r="D41" s="60" t="s">
        <v>1633</v>
      </c>
      <c r="E41" s="60" t="s">
        <v>4570</v>
      </c>
      <c r="F41" s="62" t="str">
        <f t="shared" si="1"/>
        <v>중</v>
      </c>
      <c r="G41" s="63" t="s">
        <v>2669</v>
      </c>
      <c r="H41" s="63" t="s">
        <v>2674</v>
      </c>
      <c r="I41" s="190" t="s">
        <v>1634</v>
      </c>
      <c r="J41" s="137" t="s">
        <v>4245</v>
      </c>
      <c r="K41" s="79"/>
      <c r="L41" s="137" t="s">
        <v>1492</v>
      </c>
      <c r="M41" s="67"/>
      <c r="N41" s="67"/>
      <c r="O41" s="67"/>
      <c r="P41" s="67"/>
      <c r="Q41" s="67"/>
      <c r="R41" s="67"/>
      <c r="S41" s="81" t="s">
        <v>1418</v>
      </c>
      <c r="T41" s="67"/>
      <c r="U41" s="67"/>
      <c r="V41" s="67"/>
      <c r="W41" s="89" t="b">
        <v>0</v>
      </c>
      <c r="X41" s="89" t="b">
        <v>1</v>
      </c>
      <c r="Y41" s="88" t="b">
        <v>1</v>
      </c>
      <c r="Z41" s="73" t="s">
        <v>1596</v>
      </c>
      <c r="AA41" s="7"/>
      <c r="AB41" s="7"/>
      <c r="AC41" s="16"/>
      <c r="AD41" s="16"/>
      <c r="AE41" s="16"/>
      <c r="AF41" s="16"/>
      <c r="AG41" s="7"/>
      <c r="AH41" s="7"/>
      <c r="AI41" s="7"/>
      <c r="AJ41" s="7"/>
      <c r="AK41" s="7"/>
      <c r="AL41" s="7"/>
      <c r="AM41" s="7"/>
      <c r="AN41" s="7"/>
      <c r="AO41" s="7"/>
      <c r="AP41" s="7"/>
      <c r="AQ41" s="7"/>
      <c r="AR41" s="7"/>
      <c r="AS41" s="7"/>
      <c r="AT41" s="7"/>
    </row>
    <row r="42" spans="1:46" s="134" customFormat="1" ht="103.65" customHeight="1">
      <c r="A42" s="58">
        <v>118</v>
      </c>
      <c r="B42" s="80" t="s">
        <v>1427</v>
      </c>
      <c r="C42" s="80" t="s">
        <v>1409</v>
      </c>
      <c r="D42" s="60" t="s">
        <v>4573</v>
      </c>
      <c r="E42" s="60" t="s">
        <v>4244</v>
      </c>
      <c r="F42" s="62" t="str">
        <f t="shared" si="1"/>
        <v>중</v>
      </c>
      <c r="G42" s="63" t="s">
        <v>2669</v>
      </c>
      <c r="H42" s="63" t="s">
        <v>2674</v>
      </c>
      <c r="I42" s="190" t="s">
        <v>1619</v>
      </c>
      <c r="J42" s="137" t="s">
        <v>4245</v>
      </c>
      <c r="K42" s="79"/>
      <c r="L42" s="137" t="s">
        <v>1492</v>
      </c>
      <c r="M42" s="67"/>
      <c r="N42" s="67"/>
      <c r="O42" s="67"/>
      <c r="P42" s="67"/>
      <c r="Q42" s="67"/>
      <c r="R42" s="67"/>
      <c r="S42" s="81" t="s">
        <v>1493</v>
      </c>
      <c r="T42" s="67"/>
      <c r="U42" s="67"/>
      <c r="V42" s="67"/>
      <c r="W42" s="88" t="b">
        <v>0</v>
      </c>
      <c r="X42" s="89" t="b">
        <v>0</v>
      </c>
      <c r="Y42" s="89" t="b">
        <v>0</v>
      </c>
      <c r="Z42" s="73" t="s">
        <v>1561</v>
      </c>
      <c r="AA42" s="7"/>
      <c r="AB42" s="7"/>
      <c r="AC42" s="16"/>
      <c r="AD42" s="16"/>
      <c r="AE42" s="16"/>
      <c r="AF42" s="16"/>
      <c r="AG42" s="7"/>
      <c r="AH42" s="7"/>
      <c r="AI42" s="7"/>
      <c r="AJ42" s="7"/>
      <c r="AK42" s="7"/>
      <c r="AL42" s="7"/>
      <c r="AM42" s="7"/>
      <c r="AN42" s="7"/>
      <c r="AO42" s="7"/>
      <c r="AP42" s="7"/>
      <c r="AQ42" s="7"/>
      <c r="AR42" s="7"/>
      <c r="AS42" s="7"/>
      <c r="AT42" s="7"/>
    </row>
    <row r="43" spans="1:46" s="134" customFormat="1" ht="103.65" customHeight="1">
      <c r="A43" s="58">
        <v>119</v>
      </c>
      <c r="B43" s="80" t="s">
        <v>1427</v>
      </c>
      <c r="C43" s="80" t="s">
        <v>1409</v>
      </c>
      <c r="D43" s="60" t="s">
        <v>1621</v>
      </c>
      <c r="E43" s="60" t="s">
        <v>1622</v>
      </c>
      <c r="F43" s="125" t="str">
        <f t="shared" si="1"/>
        <v>중</v>
      </c>
      <c r="G43" s="63" t="s">
        <v>2669</v>
      </c>
      <c r="H43" s="63" t="s">
        <v>2674</v>
      </c>
      <c r="I43" s="197" t="s">
        <v>1623</v>
      </c>
      <c r="J43" s="137" t="s">
        <v>4245</v>
      </c>
      <c r="K43" s="79"/>
      <c r="L43" s="137" t="s">
        <v>1492</v>
      </c>
      <c r="M43" s="67"/>
      <c r="N43" s="67"/>
      <c r="O43" s="67"/>
      <c r="P43" s="67"/>
      <c r="Q43" s="67"/>
      <c r="R43" s="67"/>
      <c r="S43" s="81" t="s">
        <v>1493</v>
      </c>
      <c r="T43" s="67"/>
      <c r="U43" s="67"/>
      <c r="V43" s="67"/>
      <c r="W43" s="89" t="b">
        <v>0</v>
      </c>
      <c r="X43" s="88" t="b">
        <v>0</v>
      </c>
      <c r="Y43" s="88" t="b">
        <v>0</v>
      </c>
      <c r="Z43" s="73" t="s">
        <v>1624</v>
      </c>
      <c r="AA43" s="7"/>
      <c r="AB43" s="7"/>
      <c r="AC43" s="16"/>
      <c r="AD43" s="16"/>
      <c r="AE43" s="16"/>
      <c r="AF43" s="16"/>
      <c r="AG43" s="7"/>
      <c r="AH43" s="7"/>
      <c r="AI43" s="7"/>
      <c r="AJ43" s="7"/>
      <c r="AK43" s="7"/>
      <c r="AL43" s="7"/>
      <c r="AM43" s="7"/>
      <c r="AN43" s="7"/>
      <c r="AO43" s="7"/>
      <c r="AP43" s="7"/>
      <c r="AQ43" s="7"/>
      <c r="AR43" s="7"/>
      <c r="AS43" s="7"/>
      <c r="AT43" s="7"/>
    </row>
    <row r="44" spans="1:46" ht="103.65" customHeight="1">
      <c r="A44" s="58">
        <v>120</v>
      </c>
      <c r="B44" s="80" t="s">
        <v>1427</v>
      </c>
      <c r="C44" s="80" t="s">
        <v>1409</v>
      </c>
      <c r="D44" s="60" t="s">
        <v>1625</v>
      </c>
      <c r="E44" s="60" t="s">
        <v>1626</v>
      </c>
      <c r="F44" s="125" t="str">
        <f t="shared" si="1"/>
        <v>중</v>
      </c>
      <c r="G44" s="63" t="s">
        <v>2669</v>
      </c>
      <c r="H44" s="63" t="s">
        <v>2674</v>
      </c>
      <c r="I44" s="190" t="s">
        <v>1627</v>
      </c>
      <c r="J44" s="137" t="s">
        <v>4245</v>
      </c>
      <c r="K44" s="79"/>
      <c r="L44" s="137" t="s">
        <v>1492</v>
      </c>
      <c r="M44" s="67"/>
      <c r="N44" s="67"/>
      <c r="O44" s="67"/>
      <c r="P44" s="67"/>
      <c r="Q44" s="67"/>
      <c r="R44" s="67"/>
      <c r="S44" s="81" t="s">
        <v>1493</v>
      </c>
      <c r="T44" s="67"/>
      <c r="U44" s="67"/>
      <c r="V44" s="67"/>
      <c r="W44" s="88" t="b">
        <v>0</v>
      </c>
      <c r="X44" s="88" t="b">
        <v>0</v>
      </c>
      <c r="Y44" s="89" t="b">
        <v>0</v>
      </c>
      <c r="Z44" s="73" t="s">
        <v>1628</v>
      </c>
    </row>
    <row r="45" spans="1:46" s="164" customFormat="1" ht="103.65" customHeight="1">
      <c r="A45" s="58">
        <v>121</v>
      </c>
      <c r="B45" s="80" t="s">
        <v>1427</v>
      </c>
      <c r="C45" s="80" t="s">
        <v>1409</v>
      </c>
      <c r="D45" s="60" t="s">
        <v>1629</v>
      </c>
      <c r="E45" s="60" t="s">
        <v>1630</v>
      </c>
      <c r="F45" s="125" t="str">
        <f t="shared" si="1"/>
        <v>중</v>
      </c>
      <c r="G45" s="63" t="s">
        <v>2669</v>
      </c>
      <c r="H45" s="63" t="s">
        <v>2674</v>
      </c>
      <c r="I45" s="190" t="s">
        <v>1631</v>
      </c>
      <c r="J45" s="137" t="s">
        <v>4245</v>
      </c>
      <c r="K45" s="79"/>
      <c r="L45" s="137" t="s">
        <v>1492</v>
      </c>
      <c r="M45" s="67"/>
      <c r="N45" s="67"/>
      <c r="O45" s="67"/>
      <c r="P45" s="67"/>
      <c r="Q45" s="67"/>
      <c r="R45" s="67"/>
      <c r="S45" s="81" t="s">
        <v>1493</v>
      </c>
      <c r="T45" s="67"/>
      <c r="U45" s="67"/>
      <c r="V45" s="67"/>
      <c r="W45" s="88" t="b">
        <v>0</v>
      </c>
      <c r="X45" s="88" t="b">
        <v>0</v>
      </c>
      <c r="Y45" s="89" t="b">
        <v>0</v>
      </c>
      <c r="Z45" s="73" t="s">
        <v>1632</v>
      </c>
      <c r="AA45" s="7"/>
      <c r="AB45" s="7"/>
      <c r="AC45" s="16"/>
      <c r="AD45" s="16"/>
      <c r="AE45" s="16"/>
      <c r="AF45" s="16"/>
      <c r="AG45" s="7"/>
      <c r="AH45" s="7"/>
      <c r="AI45" s="7"/>
      <c r="AJ45" s="7"/>
      <c r="AK45" s="7"/>
      <c r="AL45" s="7"/>
      <c r="AM45" s="7"/>
      <c r="AN45" s="7"/>
      <c r="AO45" s="7"/>
      <c r="AP45" s="7"/>
      <c r="AQ45" s="7"/>
      <c r="AR45" s="7"/>
      <c r="AS45" s="7"/>
      <c r="AT45" s="7"/>
    </row>
    <row r="46" spans="1:46" s="164" customFormat="1" ht="90.6" customHeight="1">
      <c r="A46" s="58">
        <v>122</v>
      </c>
      <c r="B46" s="80" t="s">
        <v>1420</v>
      </c>
      <c r="C46" s="80" t="s">
        <v>1409</v>
      </c>
      <c r="D46" s="60" t="s">
        <v>1635</v>
      </c>
      <c r="E46" s="60" t="s">
        <v>1636</v>
      </c>
      <c r="F46" s="125" t="str">
        <f t="shared" si="1"/>
        <v>중</v>
      </c>
      <c r="G46" s="63" t="s">
        <v>2669</v>
      </c>
      <c r="H46" s="63" t="s">
        <v>2674</v>
      </c>
      <c r="I46" s="197" t="s">
        <v>4250</v>
      </c>
      <c r="J46" s="137" t="s">
        <v>4245</v>
      </c>
      <c r="K46" s="79"/>
      <c r="L46" s="137" t="s">
        <v>1492</v>
      </c>
      <c r="M46" s="67"/>
      <c r="N46" s="67"/>
      <c r="O46" s="67"/>
      <c r="P46" s="67"/>
      <c r="Q46" s="67"/>
      <c r="R46" s="67"/>
      <c r="S46" s="81" t="s">
        <v>1418</v>
      </c>
      <c r="T46" s="67"/>
      <c r="U46" s="67"/>
      <c r="V46" s="67"/>
      <c r="W46" s="88" t="b">
        <v>0</v>
      </c>
      <c r="X46" s="88" t="b">
        <v>1</v>
      </c>
      <c r="Y46" s="89" t="b">
        <v>1</v>
      </c>
      <c r="Z46" s="73"/>
      <c r="AA46" s="7"/>
      <c r="AB46" s="7"/>
      <c r="AC46" s="16"/>
      <c r="AD46" s="16"/>
      <c r="AE46" s="16"/>
      <c r="AF46" s="16"/>
      <c r="AG46" s="7"/>
      <c r="AH46" s="7"/>
      <c r="AI46" s="7"/>
      <c r="AJ46" s="7"/>
      <c r="AK46" s="7"/>
      <c r="AL46" s="7"/>
      <c r="AM46" s="7"/>
      <c r="AN46" s="7"/>
      <c r="AO46" s="7"/>
      <c r="AP46" s="7"/>
      <c r="AQ46" s="7"/>
      <c r="AR46" s="7"/>
      <c r="AS46" s="7"/>
      <c r="AT46" s="7"/>
    </row>
    <row r="47" spans="1:46" s="164" customFormat="1" ht="103.65" customHeight="1">
      <c r="A47" s="58">
        <v>123</v>
      </c>
      <c r="B47" s="80" t="s">
        <v>1427</v>
      </c>
      <c r="C47" s="80" t="s">
        <v>1409</v>
      </c>
      <c r="D47" s="60" t="s">
        <v>1637</v>
      </c>
      <c r="E47" s="60" t="s">
        <v>4251</v>
      </c>
      <c r="F47" s="125" t="str">
        <f t="shared" si="1"/>
        <v>중</v>
      </c>
      <c r="G47" s="63" t="s">
        <v>2669</v>
      </c>
      <c r="H47" s="63" t="s">
        <v>2674</v>
      </c>
      <c r="I47" s="190" t="s">
        <v>4574</v>
      </c>
      <c r="J47" s="137" t="s">
        <v>4245</v>
      </c>
      <c r="K47" s="79"/>
      <c r="L47" s="137" t="s">
        <v>1492</v>
      </c>
      <c r="M47" s="67"/>
      <c r="N47" s="67"/>
      <c r="O47" s="67"/>
      <c r="P47" s="67"/>
      <c r="Q47" s="67"/>
      <c r="R47" s="67"/>
      <c r="S47" s="81" t="s">
        <v>1418</v>
      </c>
      <c r="T47" s="67"/>
      <c r="U47" s="67"/>
      <c r="V47" s="67"/>
      <c r="W47" s="88" t="b">
        <v>0</v>
      </c>
      <c r="X47" s="88" t="b">
        <v>0</v>
      </c>
      <c r="Y47" s="89" t="b">
        <v>1</v>
      </c>
      <c r="Z47" s="73" t="s">
        <v>1601</v>
      </c>
      <c r="AA47" s="7"/>
      <c r="AB47" s="7"/>
      <c r="AC47" s="16"/>
      <c r="AD47" s="16"/>
      <c r="AE47" s="16"/>
      <c r="AF47" s="16"/>
      <c r="AG47" s="7"/>
      <c r="AH47" s="7"/>
      <c r="AI47" s="7"/>
      <c r="AJ47" s="7"/>
      <c r="AK47" s="7"/>
      <c r="AL47" s="7"/>
      <c r="AM47" s="7"/>
      <c r="AN47" s="7"/>
      <c r="AO47" s="7"/>
      <c r="AP47" s="7"/>
      <c r="AQ47" s="7"/>
      <c r="AR47" s="7"/>
      <c r="AS47" s="7"/>
      <c r="AT47" s="7"/>
    </row>
    <row r="48" spans="1:46" s="164" customFormat="1" ht="103.65" customHeight="1">
      <c r="A48" s="58">
        <v>129</v>
      </c>
      <c r="B48" s="80" t="s">
        <v>32</v>
      </c>
      <c r="C48" s="80" t="s">
        <v>1409</v>
      </c>
      <c r="D48" s="60" t="s">
        <v>1642</v>
      </c>
      <c r="E48" s="60" t="s">
        <v>1643</v>
      </c>
      <c r="F48" s="125" t="str">
        <f t="shared" si="1"/>
        <v>중</v>
      </c>
      <c r="G48" s="63" t="s">
        <v>2669</v>
      </c>
      <c r="H48" s="63" t="s">
        <v>2674</v>
      </c>
      <c r="I48" s="190" t="s">
        <v>1644</v>
      </c>
      <c r="J48" s="137" t="s">
        <v>4245</v>
      </c>
      <c r="K48" s="79"/>
      <c r="L48" s="137" t="s">
        <v>1492</v>
      </c>
      <c r="M48" s="67"/>
      <c r="N48" s="67"/>
      <c r="O48" s="67"/>
      <c r="P48" s="67"/>
      <c r="Q48" s="67"/>
      <c r="R48" s="67"/>
      <c r="S48" s="81" t="s">
        <v>1418</v>
      </c>
      <c r="T48" s="67"/>
      <c r="U48" s="67"/>
      <c r="V48" s="67"/>
      <c r="W48" s="88" t="b">
        <v>1</v>
      </c>
      <c r="X48" s="88" t="b">
        <v>0</v>
      </c>
      <c r="Y48" s="88" t="b">
        <v>0</v>
      </c>
      <c r="Z48" s="73"/>
      <c r="AA48" s="7"/>
      <c r="AB48" s="7"/>
      <c r="AC48" s="16"/>
      <c r="AD48" s="16"/>
      <c r="AE48" s="16"/>
      <c r="AF48" s="16"/>
      <c r="AG48" s="7"/>
      <c r="AH48" s="7"/>
      <c r="AI48" s="7"/>
      <c r="AJ48" s="7"/>
      <c r="AK48" s="7"/>
      <c r="AL48" s="7"/>
      <c r="AM48" s="7"/>
      <c r="AN48" s="7"/>
      <c r="AO48" s="7"/>
      <c r="AP48" s="7"/>
      <c r="AQ48" s="7"/>
      <c r="AR48" s="7"/>
      <c r="AS48" s="7"/>
      <c r="AT48" s="7"/>
    </row>
    <row r="49" spans="1:46" s="134" customFormat="1" ht="103.65" customHeight="1">
      <c r="A49" s="58">
        <v>130</v>
      </c>
      <c r="B49" s="80" t="s">
        <v>1420</v>
      </c>
      <c r="C49" s="80" t="s">
        <v>1409</v>
      </c>
      <c r="D49" s="60" t="s">
        <v>1645</v>
      </c>
      <c r="E49" s="60" t="s">
        <v>1646</v>
      </c>
      <c r="F49" s="125" t="str">
        <f t="shared" si="1"/>
        <v>중</v>
      </c>
      <c r="G49" s="63" t="s">
        <v>2669</v>
      </c>
      <c r="H49" s="63" t="s">
        <v>2674</v>
      </c>
      <c r="I49" s="190" t="s">
        <v>4258</v>
      </c>
      <c r="J49" s="137" t="s">
        <v>4245</v>
      </c>
      <c r="K49" s="79"/>
      <c r="L49" s="137" t="s">
        <v>1492</v>
      </c>
      <c r="M49" s="67"/>
      <c r="N49" s="67"/>
      <c r="O49" s="67"/>
      <c r="P49" s="67"/>
      <c r="Q49" s="67"/>
      <c r="R49" s="67"/>
      <c r="S49" s="81" t="s">
        <v>1418</v>
      </c>
      <c r="T49" s="67"/>
      <c r="U49" s="67"/>
      <c r="V49" s="67"/>
      <c r="W49" s="88" t="b">
        <v>0</v>
      </c>
      <c r="X49" s="88" t="b">
        <v>1</v>
      </c>
      <c r="Y49" s="89" t="b">
        <v>0</v>
      </c>
      <c r="Z49" s="73" t="s">
        <v>1561</v>
      </c>
      <c r="AA49" s="7"/>
      <c r="AB49" s="7"/>
      <c r="AC49" s="16"/>
      <c r="AD49" s="16"/>
      <c r="AE49" s="16"/>
      <c r="AF49" s="16"/>
      <c r="AG49" s="7"/>
      <c r="AH49" s="7"/>
      <c r="AI49" s="7"/>
      <c r="AJ49" s="7"/>
      <c r="AK49" s="7"/>
      <c r="AL49" s="7"/>
      <c r="AM49" s="7"/>
      <c r="AN49" s="7"/>
      <c r="AO49" s="7"/>
      <c r="AP49" s="7"/>
      <c r="AQ49" s="7"/>
      <c r="AR49" s="7"/>
      <c r="AS49" s="7"/>
      <c r="AT49" s="7"/>
    </row>
    <row r="50" spans="1:46" s="134" customFormat="1" ht="103.65" customHeight="1">
      <c r="A50" s="58">
        <v>132</v>
      </c>
      <c r="B50" s="80" t="s">
        <v>1427</v>
      </c>
      <c r="C50" s="80" t="s">
        <v>1409</v>
      </c>
      <c r="D50" s="60" t="s">
        <v>1647</v>
      </c>
      <c r="E50" s="60" t="s">
        <v>1648</v>
      </c>
      <c r="F50" s="62" t="str">
        <f t="shared" si="1"/>
        <v>중</v>
      </c>
      <c r="G50" s="63" t="s">
        <v>2669</v>
      </c>
      <c r="H50" s="63" t="s">
        <v>2674</v>
      </c>
      <c r="I50" s="190" t="s">
        <v>4263</v>
      </c>
      <c r="J50" s="137" t="s">
        <v>4245</v>
      </c>
      <c r="K50" s="79"/>
      <c r="L50" s="137" t="s">
        <v>1492</v>
      </c>
      <c r="M50" s="67"/>
      <c r="N50" s="67"/>
      <c r="O50" s="67"/>
      <c r="P50" s="67"/>
      <c r="Q50" s="67"/>
      <c r="R50" s="67"/>
      <c r="S50" s="81" t="s">
        <v>1493</v>
      </c>
      <c r="T50" s="67"/>
      <c r="U50" s="67"/>
      <c r="V50" s="67"/>
      <c r="W50" s="88" t="b">
        <v>0</v>
      </c>
      <c r="X50" s="88" t="b">
        <v>1</v>
      </c>
      <c r="Y50" s="89" t="b">
        <v>0</v>
      </c>
      <c r="Z50" s="73" t="s">
        <v>1125</v>
      </c>
      <c r="AA50" s="7"/>
      <c r="AB50" s="7"/>
      <c r="AC50" s="16"/>
      <c r="AD50" s="16"/>
      <c r="AE50" s="16"/>
      <c r="AF50" s="16"/>
      <c r="AG50" s="7"/>
      <c r="AH50" s="7"/>
      <c r="AI50" s="7"/>
      <c r="AJ50" s="7"/>
      <c r="AK50" s="7"/>
      <c r="AL50" s="7"/>
      <c r="AM50" s="7"/>
      <c r="AN50" s="7"/>
      <c r="AO50" s="7"/>
      <c r="AP50" s="7"/>
      <c r="AQ50" s="7"/>
      <c r="AR50" s="7"/>
      <c r="AS50" s="7"/>
      <c r="AT50" s="7"/>
    </row>
    <row r="51" spans="1:46" s="122" customFormat="1" ht="114.6" customHeight="1">
      <c r="A51" s="58">
        <v>134</v>
      </c>
      <c r="B51" s="80" t="s">
        <v>1460</v>
      </c>
      <c r="C51" s="80" t="s">
        <v>1409</v>
      </c>
      <c r="D51" s="60" t="s">
        <v>4560</v>
      </c>
      <c r="E51" s="60" t="s">
        <v>1650</v>
      </c>
      <c r="F51" s="62" t="str">
        <f t="shared" si="1"/>
        <v>중</v>
      </c>
      <c r="G51" s="63" t="s">
        <v>2669</v>
      </c>
      <c r="H51" s="63" t="s">
        <v>2674</v>
      </c>
      <c r="I51" s="190" t="s">
        <v>4264</v>
      </c>
      <c r="J51" s="137" t="s">
        <v>4245</v>
      </c>
      <c r="K51" s="79"/>
      <c r="L51" s="137" t="s">
        <v>1492</v>
      </c>
      <c r="M51" s="67"/>
      <c r="N51" s="67"/>
      <c r="O51" s="67"/>
      <c r="P51" s="67"/>
      <c r="Q51" s="67"/>
      <c r="R51" s="67"/>
      <c r="S51" s="81" t="s">
        <v>1418</v>
      </c>
      <c r="T51" s="67"/>
      <c r="U51" s="67"/>
      <c r="V51" s="67"/>
      <c r="W51" s="88" t="b">
        <v>0</v>
      </c>
      <c r="X51" s="88" t="b">
        <v>0</v>
      </c>
      <c r="Y51" s="89" t="b">
        <v>1</v>
      </c>
      <c r="Z51" s="73" t="s">
        <v>1588</v>
      </c>
      <c r="AA51" s="67"/>
      <c r="AB51" s="67"/>
      <c r="AC51" s="235"/>
      <c r="AD51" s="235"/>
      <c r="AE51" s="235"/>
      <c r="AF51" s="235"/>
      <c r="AG51" s="67"/>
      <c r="AH51" s="67"/>
      <c r="AI51" s="67"/>
      <c r="AJ51" s="67"/>
      <c r="AK51" s="67"/>
      <c r="AL51" s="67"/>
      <c r="AM51" s="67"/>
      <c r="AN51" s="67"/>
      <c r="AO51" s="67"/>
      <c r="AP51" s="67"/>
      <c r="AQ51" s="67"/>
      <c r="AR51" s="67"/>
      <c r="AS51" s="67"/>
      <c r="AT51" s="67"/>
    </row>
    <row r="52" spans="1:46" ht="103.65" customHeight="1">
      <c r="A52" s="58">
        <v>156</v>
      </c>
      <c r="B52" s="80" t="s">
        <v>32</v>
      </c>
      <c r="C52" s="80" t="s">
        <v>1410</v>
      </c>
      <c r="D52" s="60" t="s">
        <v>1715</v>
      </c>
      <c r="E52" s="60" t="s">
        <v>1716</v>
      </c>
      <c r="F52" s="125" t="str">
        <f>_xlfn.LET(
_xlpm.v_발생, IF(ISNUMBER( SEARCH("빈번",#REF!)), "상",
IF(ISNUMBER( SEARCH("거의",#REF!)), "하", "중")),
_xlpm.v_영향, IF(ISNUMBER(SEARCH("1개월", H52)), "상",
IF(ISNUMBER( SEARCH("없음",#REF!)), "하", "중")),
IF(AND(_xlpm.v_발생="상", _xlpm.v_영향="상"), "극상",
IF(OR(_xlpm.v_발생="상", _xlpm.v_영향="상"), "상",
IF(AND(_xlpm.v_발생="하", _xlpm.v_영향="하"), "하",
"중")))
)</f>
        <v>중</v>
      </c>
      <c r="G52" s="63" t="s">
        <v>2669</v>
      </c>
      <c r="H52" s="63" t="s">
        <v>2674</v>
      </c>
      <c r="I52" s="190" t="s">
        <v>1717</v>
      </c>
      <c r="J52" s="137" t="s">
        <v>4247</v>
      </c>
      <c r="K52" s="79"/>
      <c r="L52" s="137" t="s">
        <v>1492</v>
      </c>
      <c r="M52" s="67"/>
      <c r="N52" s="67"/>
      <c r="O52" s="67"/>
      <c r="P52" s="67"/>
      <c r="Q52" s="67"/>
      <c r="R52" s="67"/>
      <c r="S52" s="81" t="s">
        <v>1418</v>
      </c>
      <c r="T52" s="67"/>
      <c r="U52" s="67"/>
      <c r="V52" s="67"/>
      <c r="W52" s="88" t="b">
        <v>1</v>
      </c>
      <c r="X52" s="88" t="b">
        <v>0</v>
      </c>
      <c r="Y52" s="89" t="b">
        <v>0</v>
      </c>
      <c r="Z52" s="73" t="s">
        <v>1672</v>
      </c>
    </row>
    <row r="53" spans="1:46" ht="103.65" customHeight="1">
      <c r="A53" s="58">
        <v>158</v>
      </c>
      <c r="B53" s="80" t="s">
        <v>1420</v>
      </c>
      <c r="C53" s="80" t="s">
        <v>1410</v>
      </c>
      <c r="D53" s="60" t="s">
        <v>1721</v>
      </c>
      <c r="E53" s="60" t="s">
        <v>1722</v>
      </c>
      <c r="F53" s="62" t="str">
        <f>_xlfn.LET(
_xlpm.v_발생, IF(ISNUMBER( SEARCH("빈번",#REF!)), "상",
IF(ISNUMBER( SEARCH("거의",#REF!)), "하", "중")),
_xlpm.v_영향, IF(ISNUMBER(SEARCH("1개월", H53)), "상",
IF(ISNUMBER( SEARCH("없음",#REF!)), "하", "중")),
IF(AND(_xlpm.v_발생="상", _xlpm.v_영향="상"), "극상",
IF(OR(_xlpm.v_발생="상", _xlpm.v_영향="상"), "상",
IF(AND(_xlpm.v_발생="하", _xlpm.v_영향="하"), "하",
"중")))
)</f>
        <v>중</v>
      </c>
      <c r="G53" s="63" t="s">
        <v>2669</v>
      </c>
      <c r="H53" s="63" t="s">
        <v>2674</v>
      </c>
      <c r="I53" s="190" t="s">
        <v>1723</v>
      </c>
      <c r="J53" s="137" t="s">
        <v>4247</v>
      </c>
      <c r="K53" s="79"/>
      <c r="L53" s="137" t="s">
        <v>1492</v>
      </c>
      <c r="M53" s="67"/>
      <c r="N53" s="67"/>
      <c r="O53" s="67"/>
      <c r="P53" s="67"/>
      <c r="Q53" s="67"/>
      <c r="R53" s="67"/>
      <c r="S53" s="81" t="s">
        <v>1418</v>
      </c>
      <c r="T53" s="67"/>
      <c r="U53" s="67"/>
      <c r="V53" s="67"/>
      <c r="W53" s="88" t="b">
        <v>0</v>
      </c>
      <c r="X53" s="88" t="b">
        <v>1</v>
      </c>
      <c r="Y53" s="88" t="b">
        <v>0</v>
      </c>
      <c r="Z53" s="73" t="s">
        <v>1672</v>
      </c>
    </row>
    <row r="54" spans="1:46" ht="103.65" customHeight="1">
      <c r="A54" s="58">
        <v>161</v>
      </c>
      <c r="B54" s="80" t="s">
        <v>1427</v>
      </c>
      <c r="C54" s="80" t="s">
        <v>1410</v>
      </c>
      <c r="D54" s="60" t="s">
        <v>1730</v>
      </c>
      <c r="E54" s="60" t="s">
        <v>1731</v>
      </c>
      <c r="F54" s="62" t="str">
        <f>_xlfn.LET(
_xlpm.v_발생, IF(ISNUMBER( SEARCH("빈번",#REF!)), "상",
IF(ISNUMBER( SEARCH("거의",#REF!)), "하", "중")),
_xlpm.v_영향, IF(ISNUMBER(SEARCH("1개월", H54)), "상",
IF(ISNUMBER( SEARCH("없음",#REF!)), "하", "중")),
IF(AND(_xlpm.v_발생="상", _xlpm.v_영향="상"), "극상",
IF(OR(_xlpm.v_발생="상", _xlpm.v_영향="상"), "상",
IF(AND(_xlpm.v_발생="하", _xlpm.v_영향="하"), "하",
"중")))
)</f>
        <v>중</v>
      </c>
      <c r="G54" s="63" t="s">
        <v>2669</v>
      </c>
      <c r="H54" s="63" t="s">
        <v>2674</v>
      </c>
      <c r="I54" s="190" t="s">
        <v>1732</v>
      </c>
      <c r="J54" s="137" t="s">
        <v>4247</v>
      </c>
      <c r="K54" s="79"/>
      <c r="L54" s="137" t="s">
        <v>1492</v>
      </c>
      <c r="M54" s="67"/>
      <c r="N54" s="67"/>
      <c r="O54" s="67"/>
      <c r="P54" s="67"/>
      <c r="Q54" s="67"/>
      <c r="R54" s="67"/>
      <c r="S54" s="81" t="s">
        <v>1418</v>
      </c>
      <c r="T54" s="67"/>
      <c r="U54" s="67"/>
      <c r="V54" s="67"/>
      <c r="W54" s="89" t="b">
        <v>0</v>
      </c>
      <c r="X54" s="88" t="b">
        <v>0</v>
      </c>
      <c r="Y54" s="89" t="b">
        <v>1</v>
      </c>
      <c r="Z54" s="73" t="s">
        <v>1672</v>
      </c>
    </row>
    <row r="55" spans="1:46" ht="103.65" customHeight="1">
      <c r="A55" s="58">
        <v>167</v>
      </c>
      <c r="B55" s="80" t="s">
        <v>1427</v>
      </c>
      <c r="C55" s="80" t="s">
        <v>1410</v>
      </c>
      <c r="D55" s="60" t="s">
        <v>1746</v>
      </c>
      <c r="E55" s="60" t="s">
        <v>1747</v>
      </c>
      <c r="F55" s="62" t="str">
        <f t="shared" ref="F55:F68" si="2">_xlfn.LET(
_xlpm.v_발생, IF(ISNUMBER(SEARCH("빈번", G55)), "상",
IF(ISNUMBER(SEARCH("거의", G55)), "하", "중")),
_xlpm.v_영향, IF(ISNUMBER(SEARCH("1개월", H55)), "상",
IF(ISNUMBER(SEARCH("없음", H55)), "하", "중")),
IF(AND(_xlpm.v_발생="상", _xlpm.v_영향="상"), "극상",
IF(OR(_xlpm.v_발생="상", _xlpm.v_영향="상"), "상",
IF(AND(_xlpm.v_발생="하", _xlpm.v_영향="하"), "하",
"중")))
)</f>
        <v>중</v>
      </c>
      <c r="G55" s="63" t="s">
        <v>2669</v>
      </c>
      <c r="H55" s="63" t="s">
        <v>2674</v>
      </c>
      <c r="I55" s="190" t="s">
        <v>1748</v>
      </c>
      <c r="J55" s="137" t="s">
        <v>4247</v>
      </c>
      <c r="K55" s="79"/>
      <c r="L55" s="137" t="s">
        <v>1492</v>
      </c>
      <c r="M55" s="67"/>
      <c r="N55" s="67"/>
      <c r="O55" s="67"/>
      <c r="P55" s="67"/>
      <c r="Q55" s="67"/>
      <c r="R55" s="67"/>
      <c r="S55" s="81" t="s">
        <v>1418</v>
      </c>
      <c r="T55" s="67"/>
      <c r="U55" s="67"/>
      <c r="V55" s="67"/>
      <c r="W55" s="89" t="b">
        <v>0</v>
      </c>
      <c r="X55" s="88" t="b">
        <v>0</v>
      </c>
      <c r="Y55" s="89" t="b">
        <v>1</v>
      </c>
      <c r="Z55" s="73" t="s">
        <v>1672</v>
      </c>
    </row>
    <row r="56" spans="1:46" s="134" customFormat="1" ht="78">
      <c r="A56" s="58">
        <v>170</v>
      </c>
      <c r="B56" s="80" t="s">
        <v>1427</v>
      </c>
      <c r="C56" s="80" t="s">
        <v>1410</v>
      </c>
      <c r="D56" s="60" t="s">
        <v>1755</v>
      </c>
      <c r="E56" s="60" t="s">
        <v>1756</v>
      </c>
      <c r="F56" s="62" t="str">
        <f t="shared" si="2"/>
        <v>중</v>
      </c>
      <c r="G56" s="63" t="s">
        <v>2669</v>
      </c>
      <c r="H56" s="63" t="s">
        <v>2674</v>
      </c>
      <c r="I56" s="190" t="s">
        <v>1757</v>
      </c>
      <c r="J56" s="137" t="s">
        <v>4247</v>
      </c>
      <c r="K56" s="79"/>
      <c r="L56" s="137" t="s">
        <v>1492</v>
      </c>
      <c r="M56" s="67"/>
      <c r="N56" s="67"/>
      <c r="O56" s="67"/>
      <c r="P56" s="67"/>
      <c r="Q56" s="67"/>
      <c r="R56" s="67"/>
      <c r="S56" s="81" t="s">
        <v>1418</v>
      </c>
      <c r="T56" s="67"/>
      <c r="U56" s="67"/>
      <c r="V56" s="67"/>
      <c r="W56" s="88" t="b">
        <v>0</v>
      </c>
      <c r="X56" s="88" t="b">
        <v>0</v>
      </c>
      <c r="Y56" s="89" t="b">
        <v>1</v>
      </c>
      <c r="Z56" s="73" t="s">
        <v>1672</v>
      </c>
      <c r="AA56" s="7"/>
      <c r="AB56" s="7"/>
      <c r="AC56" s="16"/>
      <c r="AD56" s="16"/>
      <c r="AE56" s="16"/>
      <c r="AF56" s="16"/>
      <c r="AG56" s="7"/>
      <c r="AH56" s="7"/>
      <c r="AI56" s="7"/>
      <c r="AJ56" s="7"/>
      <c r="AK56" s="7"/>
      <c r="AL56" s="7"/>
      <c r="AM56" s="7"/>
      <c r="AN56" s="7"/>
      <c r="AO56" s="7"/>
      <c r="AP56" s="7"/>
      <c r="AQ56" s="7"/>
      <c r="AR56" s="7"/>
      <c r="AS56" s="7"/>
      <c r="AT56" s="7"/>
    </row>
    <row r="57" spans="1:46" s="134" customFormat="1" ht="159.6" customHeight="1">
      <c r="A57" s="58">
        <v>171</v>
      </c>
      <c r="B57" s="80" t="s">
        <v>1420</v>
      </c>
      <c r="C57" s="80" t="s">
        <v>1410</v>
      </c>
      <c r="D57" s="60" t="s">
        <v>1758</v>
      </c>
      <c r="E57" s="60" t="s">
        <v>1759</v>
      </c>
      <c r="F57" s="125" t="str">
        <f t="shared" si="2"/>
        <v>중</v>
      </c>
      <c r="G57" s="63" t="s">
        <v>2669</v>
      </c>
      <c r="H57" s="63" t="s">
        <v>2674</v>
      </c>
      <c r="I57" s="190" t="s">
        <v>1760</v>
      </c>
      <c r="J57" s="137" t="s">
        <v>4247</v>
      </c>
      <c r="K57" s="79"/>
      <c r="L57" s="137" t="s">
        <v>1492</v>
      </c>
      <c r="M57" s="67"/>
      <c r="N57" s="67"/>
      <c r="O57" s="67"/>
      <c r="P57" s="67"/>
      <c r="Q57" s="67"/>
      <c r="R57" s="67"/>
      <c r="S57" s="81" t="s">
        <v>1418</v>
      </c>
      <c r="T57" s="67"/>
      <c r="U57" s="67"/>
      <c r="V57" s="67"/>
      <c r="W57" s="88" t="b">
        <v>1</v>
      </c>
      <c r="X57" s="88" t="b">
        <v>1</v>
      </c>
      <c r="Y57" s="89" t="b">
        <v>0</v>
      </c>
      <c r="Z57" s="73" t="s">
        <v>1672</v>
      </c>
      <c r="AA57" s="7"/>
      <c r="AB57" s="7"/>
      <c r="AC57" s="16"/>
      <c r="AD57" s="16"/>
      <c r="AE57" s="16"/>
      <c r="AF57" s="16"/>
      <c r="AG57" s="7"/>
      <c r="AH57" s="7"/>
      <c r="AI57" s="7"/>
      <c r="AJ57" s="7"/>
      <c r="AK57" s="7"/>
      <c r="AL57" s="7"/>
      <c r="AM57" s="7"/>
      <c r="AN57" s="7"/>
      <c r="AO57" s="7"/>
      <c r="AP57" s="7"/>
      <c r="AQ57" s="7"/>
      <c r="AR57" s="7"/>
      <c r="AS57" s="7"/>
      <c r="AT57" s="7"/>
    </row>
    <row r="58" spans="1:46" s="134" customFormat="1" ht="88.8" customHeight="1">
      <c r="A58" s="58">
        <v>179</v>
      </c>
      <c r="B58" s="80" t="s">
        <v>32</v>
      </c>
      <c r="C58" s="80" t="s">
        <v>1410</v>
      </c>
      <c r="D58" s="60" t="s">
        <v>1777</v>
      </c>
      <c r="E58" s="60" t="s">
        <v>1778</v>
      </c>
      <c r="F58" s="125" t="str">
        <f t="shared" si="2"/>
        <v>중</v>
      </c>
      <c r="G58" s="63" t="s">
        <v>2669</v>
      </c>
      <c r="H58" s="63" t="s">
        <v>2674</v>
      </c>
      <c r="I58" s="190" t="s">
        <v>1779</v>
      </c>
      <c r="J58" s="137" t="s">
        <v>4247</v>
      </c>
      <c r="K58" s="79"/>
      <c r="L58" s="137" t="s">
        <v>1492</v>
      </c>
      <c r="M58" s="67"/>
      <c r="N58" s="67"/>
      <c r="O58" s="67"/>
      <c r="P58" s="67"/>
      <c r="Q58" s="67"/>
      <c r="R58" s="67"/>
      <c r="S58" s="81" t="s">
        <v>1418</v>
      </c>
      <c r="T58" s="67"/>
      <c r="U58" s="67"/>
      <c r="V58" s="67"/>
      <c r="W58" s="88" t="b">
        <v>1</v>
      </c>
      <c r="X58" s="88" t="b">
        <v>0</v>
      </c>
      <c r="Y58" s="88" t="b">
        <v>1</v>
      </c>
      <c r="Z58" s="73" t="s">
        <v>1672</v>
      </c>
      <c r="AA58" s="7"/>
      <c r="AB58" s="7"/>
      <c r="AC58" s="16"/>
      <c r="AD58" s="16"/>
      <c r="AE58" s="16"/>
      <c r="AF58" s="16"/>
      <c r="AG58" s="7"/>
      <c r="AH58" s="7"/>
      <c r="AI58" s="7"/>
      <c r="AJ58" s="7"/>
      <c r="AK58" s="7"/>
      <c r="AL58" s="7"/>
      <c r="AM58" s="7"/>
      <c r="AN58" s="7"/>
      <c r="AO58" s="7"/>
      <c r="AP58" s="7"/>
      <c r="AQ58" s="7"/>
      <c r="AR58" s="7"/>
      <c r="AS58" s="7"/>
      <c r="AT58" s="7"/>
    </row>
    <row r="59" spans="1:46" ht="103.65" customHeight="1">
      <c r="A59" s="58">
        <v>513</v>
      </c>
      <c r="B59" s="80" t="s">
        <v>32</v>
      </c>
      <c r="C59" s="80" t="s">
        <v>1412</v>
      </c>
      <c r="D59" s="60" t="s">
        <v>4454</v>
      </c>
      <c r="E59" s="60" t="s">
        <v>864</v>
      </c>
      <c r="F59" s="94" t="str">
        <f t="shared" si="2"/>
        <v>중</v>
      </c>
      <c r="G59" s="63" t="s">
        <v>2669</v>
      </c>
      <c r="H59" s="63" t="s">
        <v>2674</v>
      </c>
      <c r="I59" s="190" t="s">
        <v>4455</v>
      </c>
      <c r="J59" s="137" t="s">
        <v>1417</v>
      </c>
      <c r="K59" s="79"/>
      <c r="L59" s="137" t="s">
        <v>1492</v>
      </c>
      <c r="M59" s="67"/>
      <c r="N59" s="67"/>
      <c r="O59" s="67"/>
      <c r="P59" s="67"/>
      <c r="Q59" s="67"/>
      <c r="R59" s="67"/>
      <c r="S59" s="81" t="s">
        <v>1418</v>
      </c>
      <c r="T59" s="67"/>
      <c r="U59" s="67"/>
      <c r="V59" s="67"/>
      <c r="W59" s="88" t="b">
        <v>1</v>
      </c>
      <c r="X59" s="88" t="b">
        <v>1</v>
      </c>
      <c r="Y59" s="88" t="b">
        <v>0</v>
      </c>
      <c r="Z59" s="73" t="s">
        <v>865</v>
      </c>
    </row>
    <row r="60" spans="1:46" s="134" customFormat="1" ht="100.8" customHeight="1">
      <c r="A60" s="58">
        <v>525</v>
      </c>
      <c r="B60" s="219" t="s">
        <v>1427</v>
      </c>
      <c r="C60" s="219" t="s">
        <v>1412</v>
      </c>
      <c r="D60" s="203" t="s">
        <v>4463</v>
      </c>
      <c r="E60" s="203" t="s">
        <v>886</v>
      </c>
      <c r="F60" s="94" t="str">
        <f t="shared" si="2"/>
        <v>중</v>
      </c>
      <c r="G60" s="63" t="s">
        <v>2669</v>
      </c>
      <c r="H60" s="63" t="s">
        <v>2674</v>
      </c>
      <c r="I60" s="220" t="s">
        <v>4464</v>
      </c>
      <c r="J60" s="221" t="s">
        <v>1417</v>
      </c>
      <c r="K60" s="222"/>
      <c r="L60" s="221" t="s">
        <v>1492</v>
      </c>
      <c r="M60" s="207"/>
      <c r="N60" s="207"/>
      <c r="O60" s="207"/>
      <c r="P60" s="207"/>
      <c r="Q60" s="207"/>
      <c r="R60" s="207"/>
      <c r="S60" s="223" t="s">
        <v>1418</v>
      </c>
      <c r="T60" s="207"/>
      <c r="U60" s="207"/>
      <c r="V60" s="207"/>
      <c r="W60" s="224" t="b">
        <v>1</v>
      </c>
      <c r="X60" s="225" t="b">
        <v>0</v>
      </c>
      <c r="Y60" s="224" t="b">
        <v>1</v>
      </c>
      <c r="Z60" s="226" t="s">
        <v>865</v>
      </c>
      <c r="AA60" s="213"/>
      <c r="AB60" s="213"/>
      <c r="AC60" s="214"/>
      <c r="AD60" s="214"/>
      <c r="AE60" s="214"/>
      <c r="AF60" s="214"/>
      <c r="AG60" s="213"/>
      <c r="AH60" s="213"/>
      <c r="AI60" s="213"/>
      <c r="AJ60" s="213"/>
      <c r="AK60" s="213"/>
      <c r="AL60" s="213"/>
      <c r="AM60" s="213"/>
      <c r="AN60" s="213"/>
      <c r="AO60" s="213"/>
      <c r="AP60" s="213"/>
      <c r="AQ60" s="213"/>
      <c r="AR60" s="213"/>
      <c r="AS60" s="213"/>
      <c r="AT60" s="213"/>
    </row>
    <row r="61" spans="1:46" ht="103.65" customHeight="1">
      <c r="A61" s="58">
        <v>536</v>
      </c>
      <c r="B61" s="80" t="s">
        <v>32</v>
      </c>
      <c r="C61" s="80" t="s">
        <v>1412</v>
      </c>
      <c r="D61" s="60" t="s">
        <v>2110</v>
      </c>
      <c r="E61" s="60" t="s">
        <v>907</v>
      </c>
      <c r="F61" s="94" t="str">
        <f t="shared" si="2"/>
        <v>중</v>
      </c>
      <c r="G61" s="63" t="s">
        <v>2669</v>
      </c>
      <c r="H61" s="63" t="s">
        <v>2674</v>
      </c>
      <c r="I61" s="190" t="s">
        <v>4465</v>
      </c>
      <c r="J61" s="137" t="s">
        <v>1417</v>
      </c>
      <c r="K61" s="79"/>
      <c r="L61" s="137" t="s">
        <v>1492</v>
      </c>
      <c r="M61" s="67"/>
      <c r="N61" s="67"/>
      <c r="O61" s="67"/>
      <c r="P61" s="67"/>
      <c r="Q61" s="67"/>
      <c r="R61" s="67"/>
      <c r="S61" s="81" t="s">
        <v>1418</v>
      </c>
      <c r="T61" s="67"/>
      <c r="U61" s="67"/>
      <c r="V61" s="67"/>
      <c r="W61" s="88" t="b">
        <v>1</v>
      </c>
      <c r="X61" s="88" t="b">
        <v>0</v>
      </c>
      <c r="Y61" s="89" t="b">
        <v>0</v>
      </c>
      <c r="Z61" s="73" t="s">
        <v>908</v>
      </c>
    </row>
    <row r="62" spans="1:46" ht="103.65" customHeight="1">
      <c r="A62" s="58">
        <v>541</v>
      </c>
      <c r="B62" s="80" t="s">
        <v>1427</v>
      </c>
      <c r="C62" s="80" t="s">
        <v>1412</v>
      </c>
      <c r="D62" s="60" t="s">
        <v>2114</v>
      </c>
      <c r="E62" s="60" t="s">
        <v>917</v>
      </c>
      <c r="F62" s="62" t="str">
        <f t="shared" si="2"/>
        <v>중</v>
      </c>
      <c r="G62" s="63" t="s">
        <v>2669</v>
      </c>
      <c r="H62" s="63" t="s">
        <v>2674</v>
      </c>
      <c r="I62" s="190" t="s">
        <v>4467</v>
      </c>
      <c r="J62" s="137" t="s">
        <v>1417</v>
      </c>
      <c r="K62" s="79"/>
      <c r="L62" s="137" t="s">
        <v>1492</v>
      </c>
      <c r="M62" s="67"/>
      <c r="N62" s="67"/>
      <c r="O62" s="67"/>
      <c r="P62" s="67"/>
      <c r="Q62" s="67"/>
      <c r="R62" s="67"/>
      <c r="S62" s="81" t="s">
        <v>1418</v>
      </c>
      <c r="T62" s="67"/>
      <c r="U62" s="67"/>
      <c r="V62" s="67"/>
      <c r="W62" s="88" t="b">
        <v>0</v>
      </c>
      <c r="X62" s="88" t="b">
        <v>0</v>
      </c>
      <c r="Y62" s="89" t="b">
        <v>1</v>
      </c>
      <c r="Z62" s="73" t="s">
        <v>916</v>
      </c>
    </row>
    <row r="63" spans="1:46" s="180" customFormat="1" ht="114" customHeight="1">
      <c r="A63" s="58">
        <v>546</v>
      </c>
      <c r="B63" s="80" t="s">
        <v>1427</v>
      </c>
      <c r="C63" s="80" t="s">
        <v>1412</v>
      </c>
      <c r="D63" s="60" t="s">
        <v>4470</v>
      </c>
      <c r="E63" s="60" t="s">
        <v>925</v>
      </c>
      <c r="F63" s="62" t="str">
        <f t="shared" si="2"/>
        <v>중</v>
      </c>
      <c r="G63" s="63" t="s">
        <v>2669</v>
      </c>
      <c r="H63" s="63" t="s">
        <v>2674</v>
      </c>
      <c r="I63" s="190" t="s">
        <v>4471</v>
      </c>
      <c r="J63" s="137" t="s">
        <v>1417</v>
      </c>
      <c r="K63" s="79"/>
      <c r="L63" s="137" t="s">
        <v>1492</v>
      </c>
      <c r="M63" s="67"/>
      <c r="N63" s="67"/>
      <c r="O63" s="67"/>
      <c r="P63" s="67"/>
      <c r="Q63" s="67"/>
      <c r="R63" s="67"/>
      <c r="S63" s="81" t="s">
        <v>1418</v>
      </c>
      <c r="T63" s="67"/>
      <c r="U63" s="67"/>
      <c r="V63" s="67"/>
      <c r="W63" s="88" t="b">
        <v>0</v>
      </c>
      <c r="X63" s="88" t="b">
        <v>0</v>
      </c>
      <c r="Y63" s="89" t="b">
        <v>1</v>
      </c>
      <c r="Z63" s="73" t="s">
        <v>867</v>
      </c>
      <c r="AA63" s="7"/>
      <c r="AB63" s="7"/>
      <c r="AC63" s="16"/>
      <c r="AD63" s="16"/>
      <c r="AE63" s="16"/>
      <c r="AF63" s="16"/>
      <c r="AG63" s="7"/>
      <c r="AH63" s="7"/>
      <c r="AI63" s="7"/>
      <c r="AJ63" s="7"/>
      <c r="AK63" s="7"/>
      <c r="AL63" s="7"/>
      <c r="AM63" s="7"/>
      <c r="AN63" s="7"/>
      <c r="AO63" s="7"/>
      <c r="AP63" s="7"/>
      <c r="AQ63" s="7"/>
      <c r="AR63" s="7"/>
      <c r="AS63" s="7"/>
      <c r="AT63" s="7"/>
    </row>
    <row r="64" spans="1:46" s="180" customFormat="1" ht="121.8" customHeight="1">
      <c r="A64" s="58">
        <v>548</v>
      </c>
      <c r="B64" s="80" t="s">
        <v>1427</v>
      </c>
      <c r="C64" s="80" t="s">
        <v>1412</v>
      </c>
      <c r="D64" s="60" t="s">
        <v>2119</v>
      </c>
      <c r="E64" s="60" t="s">
        <v>927</v>
      </c>
      <c r="F64" s="62" t="str">
        <f t="shared" si="2"/>
        <v>중</v>
      </c>
      <c r="G64" s="63" t="s">
        <v>2669</v>
      </c>
      <c r="H64" s="63" t="s">
        <v>2674</v>
      </c>
      <c r="I64" s="190" t="s">
        <v>4473</v>
      </c>
      <c r="J64" s="137" t="s">
        <v>1417</v>
      </c>
      <c r="K64" s="79"/>
      <c r="L64" s="137" t="s">
        <v>1492</v>
      </c>
      <c r="M64" s="67"/>
      <c r="N64" s="67"/>
      <c r="O64" s="67"/>
      <c r="P64" s="67"/>
      <c r="Q64" s="67"/>
      <c r="R64" s="67"/>
      <c r="S64" s="81" t="s">
        <v>1418</v>
      </c>
      <c r="T64" s="67"/>
      <c r="U64" s="67"/>
      <c r="V64" s="67"/>
      <c r="W64" s="88" t="b">
        <v>0</v>
      </c>
      <c r="X64" s="88" t="b">
        <v>0</v>
      </c>
      <c r="Y64" s="89" t="b">
        <v>1</v>
      </c>
      <c r="Z64" s="73" t="s">
        <v>908</v>
      </c>
      <c r="AA64" s="7"/>
      <c r="AB64" s="7"/>
      <c r="AC64" s="16"/>
      <c r="AD64" s="16"/>
      <c r="AE64" s="16"/>
      <c r="AF64" s="16"/>
      <c r="AG64" s="7"/>
      <c r="AH64" s="7"/>
      <c r="AI64" s="7"/>
      <c r="AJ64" s="7"/>
      <c r="AK64" s="7"/>
      <c r="AL64" s="7"/>
      <c r="AM64" s="7"/>
      <c r="AN64" s="7"/>
      <c r="AO64" s="7"/>
      <c r="AP64" s="7"/>
      <c r="AQ64" s="7"/>
      <c r="AR64" s="7"/>
      <c r="AS64" s="7"/>
      <c r="AT64" s="7"/>
    </row>
    <row r="65" spans="1:46" s="180" customFormat="1" ht="103.65" customHeight="1">
      <c r="A65" s="58">
        <v>552</v>
      </c>
      <c r="B65" s="80" t="s">
        <v>1427</v>
      </c>
      <c r="C65" s="80" t="s">
        <v>1412</v>
      </c>
      <c r="D65" s="60" t="s">
        <v>2123</v>
      </c>
      <c r="E65" s="60" t="s">
        <v>932</v>
      </c>
      <c r="F65" s="62" t="str">
        <f t="shared" si="2"/>
        <v>중</v>
      </c>
      <c r="G65" s="63" t="s">
        <v>2669</v>
      </c>
      <c r="H65" s="63" t="s">
        <v>2674</v>
      </c>
      <c r="I65" s="190" t="s">
        <v>4476</v>
      </c>
      <c r="J65" s="137" t="s">
        <v>1417</v>
      </c>
      <c r="K65" s="79"/>
      <c r="L65" s="137" t="s">
        <v>1492</v>
      </c>
      <c r="M65" s="67"/>
      <c r="N65" s="67"/>
      <c r="O65" s="67"/>
      <c r="P65" s="67"/>
      <c r="Q65" s="67"/>
      <c r="R65" s="67"/>
      <c r="S65" s="81" t="s">
        <v>1418</v>
      </c>
      <c r="T65" s="67"/>
      <c r="U65" s="67"/>
      <c r="V65" s="67"/>
      <c r="W65" s="88" t="b">
        <v>0</v>
      </c>
      <c r="X65" s="88" t="b">
        <v>0</v>
      </c>
      <c r="Y65" s="89" t="b">
        <v>1</v>
      </c>
      <c r="Z65" s="73" t="s">
        <v>868</v>
      </c>
      <c r="AA65" s="7"/>
      <c r="AB65" s="7"/>
      <c r="AC65" s="16"/>
      <c r="AD65" s="16"/>
      <c r="AE65" s="16"/>
      <c r="AF65" s="16"/>
      <c r="AG65" s="7"/>
      <c r="AH65" s="7"/>
      <c r="AI65" s="7"/>
      <c r="AJ65" s="7"/>
      <c r="AK65" s="7"/>
      <c r="AL65" s="7"/>
      <c r="AM65" s="7"/>
      <c r="AN65" s="7"/>
      <c r="AO65" s="7"/>
      <c r="AP65" s="7"/>
      <c r="AQ65" s="7"/>
      <c r="AR65" s="7"/>
      <c r="AS65" s="7"/>
      <c r="AT65" s="7"/>
    </row>
    <row r="66" spans="1:46" s="180" customFormat="1" ht="103.65" customHeight="1">
      <c r="A66" s="58">
        <v>562</v>
      </c>
      <c r="B66" s="80" t="s">
        <v>1460</v>
      </c>
      <c r="C66" s="80" t="s">
        <v>1412</v>
      </c>
      <c r="D66" s="124" t="s">
        <v>4483</v>
      </c>
      <c r="E66" s="60" t="s">
        <v>949</v>
      </c>
      <c r="F66" s="62" t="str">
        <f t="shared" si="2"/>
        <v>중</v>
      </c>
      <c r="G66" s="63" t="s">
        <v>2669</v>
      </c>
      <c r="H66" s="63" t="s">
        <v>2674</v>
      </c>
      <c r="I66" s="197" t="s">
        <v>4484</v>
      </c>
      <c r="J66" s="137" t="s">
        <v>1417</v>
      </c>
      <c r="K66" s="79"/>
      <c r="L66" s="137" t="s">
        <v>1492</v>
      </c>
      <c r="M66" s="67"/>
      <c r="N66" s="67"/>
      <c r="O66" s="67"/>
      <c r="P66" s="67"/>
      <c r="Q66" s="67"/>
      <c r="R66" s="67"/>
      <c r="S66" s="81" t="s">
        <v>1418</v>
      </c>
      <c r="T66" s="67"/>
      <c r="U66" s="67"/>
      <c r="V66" s="67"/>
      <c r="W66" s="88" t="b">
        <v>0</v>
      </c>
      <c r="X66" s="88" t="b">
        <v>0</v>
      </c>
      <c r="Y66" s="89" t="b">
        <v>1</v>
      </c>
      <c r="Z66" s="73" t="s">
        <v>832</v>
      </c>
      <c r="AA66" s="7"/>
      <c r="AB66" s="7"/>
      <c r="AC66" s="16"/>
      <c r="AD66" s="16"/>
      <c r="AE66" s="16"/>
      <c r="AF66" s="16"/>
      <c r="AG66" s="7"/>
      <c r="AH66" s="7"/>
      <c r="AI66" s="7"/>
      <c r="AJ66" s="7"/>
      <c r="AK66" s="7"/>
      <c r="AL66" s="7"/>
      <c r="AM66" s="7"/>
      <c r="AN66" s="7"/>
      <c r="AO66" s="7"/>
      <c r="AP66" s="7"/>
      <c r="AQ66" s="7"/>
      <c r="AR66" s="7"/>
      <c r="AS66" s="7"/>
      <c r="AT66" s="7"/>
    </row>
    <row r="67" spans="1:46" s="180" customFormat="1" ht="103.65" customHeight="1">
      <c r="A67" s="58">
        <v>563</v>
      </c>
      <c r="B67" s="80" t="s">
        <v>1460</v>
      </c>
      <c r="C67" s="80" t="s">
        <v>1412</v>
      </c>
      <c r="D67" s="60" t="s">
        <v>4485</v>
      </c>
      <c r="E67" s="60" t="s">
        <v>950</v>
      </c>
      <c r="F67" s="62" t="str">
        <f t="shared" si="2"/>
        <v>중</v>
      </c>
      <c r="G67" s="63" t="s">
        <v>2669</v>
      </c>
      <c r="H67" s="63" t="s">
        <v>2674</v>
      </c>
      <c r="I67" s="190" t="s">
        <v>951</v>
      </c>
      <c r="J67" s="137" t="s">
        <v>1417</v>
      </c>
      <c r="K67" s="79"/>
      <c r="L67" s="137" t="s">
        <v>1492</v>
      </c>
      <c r="M67" s="67"/>
      <c r="N67" s="67"/>
      <c r="O67" s="67"/>
      <c r="P67" s="67"/>
      <c r="Q67" s="67"/>
      <c r="R67" s="67"/>
      <c r="S67" s="81" t="s">
        <v>1418</v>
      </c>
      <c r="T67" s="67"/>
      <c r="U67" s="67"/>
      <c r="V67" s="67"/>
      <c r="W67" s="88" t="b">
        <v>0</v>
      </c>
      <c r="X67" s="88" t="b">
        <v>0</v>
      </c>
      <c r="Y67" s="89" t="b">
        <v>1</v>
      </c>
      <c r="Z67" s="73" t="s">
        <v>849</v>
      </c>
      <c r="AA67" s="7"/>
      <c r="AB67" s="7"/>
      <c r="AC67" s="16"/>
      <c r="AD67" s="16"/>
      <c r="AE67" s="16"/>
      <c r="AF67" s="16"/>
      <c r="AG67" s="7"/>
      <c r="AH67" s="7"/>
      <c r="AI67" s="7"/>
      <c r="AJ67" s="7"/>
      <c r="AK67" s="7"/>
      <c r="AL67" s="7"/>
      <c r="AM67" s="7"/>
      <c r="AN67" s="7"/>
      <c r="AO67" s="7"/>
      <c r="AP67" s="7"/>
      <c r="AQ67" s="7"/>
      <c r="AR67" s="7"/>
      <c r="AS67" s="7"/>
      <c r="AT67" s="7"/>
    </row>
    <row r="68" spans="1:46" s="180" customFormat="1" ht="103.65" customHeight="1">
      <c r="A68" s="58">
        <v>566</v>
      </c>
      <c r="B68" s="123" t="s">
        <v>1460</v>
      </c>
      <c r="C68" s="123" t="s">
        <v>1412</v>
      </c>
      <c r="D68" s="124" t="s">
        <v>4488</v>
      </c>
      <c r="E68" s="124" t="s">
        <v>957</v>
      </c>
      <c r="F68" s="62" t="str">
        <f t="shared" si="2"/>
        <v>중</v>
      </c>
      <c r="G68" s="63" t="s">
        <v>2669</v>
      </c>
      <c r="H68" s="63" t="s">
        <v>2674</v>
      </c>
      <c r="I68" s="197" t="s">
        <v>4489</v>
      </c>
      <c r="J68" s="138" t="s">
        <v>1417</v>
      </c>
      <c r="K68" s="129"/>
      <c r="L68" s="138" t="s">
        <v>1492</v>
      </c>
      <c r="M68" s="130"/>
      <c r="N68" s="130"/>
      <c r="O68" s="130"/>
      <c r="P68" s="130"/>
      <c r="Q68" s="130"/>
      <c r="R68" s="130"/>
      <c r="S68" s="131" t="s">
        <v>1418</v>
      </c>
      <c r="T68" s="130"/>
      <c r="U68" s="130"/>
      <c r="V68" s="130"/>
      <c r="W68" s="132" t="b">
        <v>0</v>
      </c>
      <c r="X68" s="132" t="b">
        <v>0</v>
      </c>
      <c r="Y68" s="133" t="b">
        <v>1</v>
      </c>
      <c r="Z68" s="127" t="s">
        <v>678</v>
      </c>
      <c r="AA68" s="134"/>
      <c r="AB68" s="134"/>
      <c r="AC68" s="150"/>
      <c r="AD68" s="150"/>
      <c r="AE68" s="150"/>
      <c r="AF68" s="150"/>
      <c r="AG68" s="134"/>
      <c r="AH68" s="134"/>
      <c r="AI68" s="134"/>
      <c r="AJ68" s="134"/>
      <c r="AK68" s="134"/>
      <c r="AL68" s="134"/>
      <c r="AM68" s="134"/>
      <c r="AN68" s="134"/>
      <c r="AO68" s="134"/>
      <c r="AP68" s="134"/>
      <c r="AQ68" s="134"/>
      <c r="AR68" s="134"/>
      <c r="AS68" s="134"/>
      <c r="AT68" s="134"/>
    </row>
    <row r="69" spans="1:46" s="180" customFormat="1" ht="72.45" customHeight="1" outlineLevel="1">
      <c r="A69" s="58">
        <v>22</v>
      </c>
      <c r="B69" s="59" t="s">
        <v>1416</v>
      </c>
      <c r="C69" s="59" t="s">
        <v>1405</v>
      </c>
      <c r="D69" s="60" t="s">
        <v>4522</v>
      </c>
      <c r="E69" s="60" t="s">
        <v>1489</v>
      </c>
      <c r="F69" s="62" t="str">
        <f>_xlfn.LET(
_xlpm.v_발생, IF(ISNUMBER(SEARCH("빈번", G768)), "상",
IF(ISNUMBER(SEARCH("거의", G768)), "하", "중")),
_xlpm.v_영향, IF(ISNUMBER(SEARCH("1개월", H898)), "상",
IF(ISNUMBER(SEARCH("없음", H768)), "하", "중")),
IF(AND(_xlpm.v_발생="상", _xlpm.v_영향="상"), "극상",
IF(OR(_xlpm.v_발생="상", _xlpm.v_영향="상"), "상",
IF(AND(_xlpm.v_발생="하", _xlpm.v_영향="하"), "하",
"중")))
)</f>
        <v>중</v>
      </c>
      <c r="G69" s="63" t="s">
        <v>2669</v>
      </c>
      <c r="H69" s="63" t="s">
        <v>2674</v>
      </c>
      <c r="I69" s="60" t="s">
        <v>4523</v>
      </c>
      <c r="J69" s="64" t="s">
        <v>4247</v>
      </c>
      <c r="K69" s="74"/>
      <c r="L69" s="64" t="s">
        <v>1492</v>
      </c>
      <c r="M69" s="64"/>
      <c r="N69" s="64"/>
      <c r="O69" s="64"/>
      <c r="P69" s="64"/>
      <c r="Q69" s="67"/>
      <c r="R69" s="68"/>
      <c r="S69" s="69" t="s">
        <v>1418</v>
      </c>
      <c r="T69" s="68"/>
      <c r="U69" s="64"/>
      <c r="V69" s="65"/>
      <c r="W69" s="87" t="b">
        <v>1</v>
      </c>
      <c r="X69" s="86" t="b">
        <v>0</v>
      </c>
      <c r="Y69" s="86" t="b">
        <v>1</v>
      </c>
      <c r="Z69" s="72" t="s">
        <v>1450</v>
      </c>
      <c r="AA69" s="7"/>
      <c r="AB69" s="7"/>
      <c r="AC69" s="16"/>
      <c r="AD69" s="16"/>
      <c r="AE69" s="16"/>
      <c r="AF69" s="16"/>
      <c r="AG69" s="7"/>
      <c r="AH69" s="7"/>
      <c r="AI69" s="7"/>
      <c r="AJ69" s="16"/>
      <c r="AK69" s="16"/>
      <c r="AL69" s="16"/>
      <c r="AM69" s="16"/>
      <c r="AN69" s="16"/>
      <c r="AO69" s="16"/>
      <c r="AP69" s="16"/>
      <c r="AQ69" s="16"/>
      <c r="AR69" s="16"/>
      <c r="AS69" s="7"/>
      <c r="AT69" s="7"/>
    </row>
    <row r="70" spans="1:46" ht="103.65" customHeight="1" outlineLevel="1">
      <c r="A70" s="58">
        <v>26</v>
      </c>
      <c r="B70" s="122" t="s">
        <v>1427</v>
      </c>
      <c r="C70" s="122" t="s">
        <v>4344</v>
      </c>
      <c r="D70" s="124" t="s">
        <v>1477</v>
      </c>
      <c r="E70" s="124" t="s">
        <v>1478</v>
      </c>
      <c r="F70" s="62" t="str">
        <f t="shared" ref="F70:F75" si="3">_xlfn.LET(
_xlpm.v_발생, IF(ISNUMBER(SEARCH("빈번", G762)), "상",
IF(ISNUMBER(SEARCH("거의", G762)), "하", "중")),
_xlpm.v_영향, IF(ISNUMBER(SEARCH("1개월", H893)), "상",
IF(ISNUMBER(SEARCH("없음", H762)), "하", "중")),
IF(AND(_xlpm.v_발생="상", _xlpm.v_영향="상"), "극상",
IF(OR(_xlpm.v_발생="상", _xlpm.v_영향="상"), "상",
IF(AND(_xlpm.v_발생="하", _xlpm.v_영향="하"), "하",
"중")))
)</f>
        <v>중</v>
      </c>
      <c r="G70" s="63" t="s">
        <v>2669</v>
      </c>
      <c r="H70" s="63" t="s">
        <v>2674</v>
      </c>
      <c r="I70" s="195" t="s">
        <v>1479</v>
      </c>
      <c r="J70" s="141" t="s">
        <v>4247</v>
      </c>
      <c r="K70" s="142"/>
      <c r="L70" s="141" t="s">
        <v>1492</v>
      </c>
      <c r="M70" s="128"/>
      <c r="N70" s="141"/>
      <c r="O70" s="128"/>
      <c r="P70" s="141"/>
      <c r="Q70" s="130"/>
      <c r="R70" s="143"/>
      <c r="S70" s="144" t="s">
        <v>1418</v>
      </c>
      <c r="T70" s="143"/>
      <c r="U70" s="141"/>
      <c r="V70" s="145"/>
      <c r="W70" s="146" t="b">
        <v>0</v>
      </c>
      <c r="X70" s="147" t="b">
        <v>1</v>
      </c>
      <c r="Y70" s="147" t="b">
        <v>1</v>
      </c>
      <c r="Z70" s="148" t="s">
        <v>1467</v>
      </c>
      <c r="AA70" s="134"/>
      <c r="AB70" s="134"/>
      <c r="AC70" s="150"/>
      <c r="AD70" s="150"/>
      <c r="AE70" s="150"/>
      <c r="AF70" s="150"/>
      <c r="AG70" s="134"/>
      <c r="AH70" s="134"/>
      <c r="AI70" s="134"/>
      <c r="AJ70" s="150"/>
      <c r="AK70" s="150"/>
      <c r="AL70" s="150"/>
      <c r="AM70" s="150"/>
      <c r="AN70" s="150"/>
      <c r="AO70" s="150"/>
      <c r="AP70" s="150"/>
      <c r="AQ70" s="150"/>
      <c r="AR70" s="150"/>
      <c r="AS70" s="134"/>
      <c r="AT70" s="134"/>
    </row>
    <row r="71" spans="1:46" ht="103.65" customHeight="1" outlineLevel="1">
      <c r="A71" s="58">
        <v>27</v>
      </c>
      <c r="B71" s="122" t="s">
        <v>1420</v>
      </c>
      <c r="C71" s="125" t="s">
        <v>4344</v>
      </c>
      <c r="D71" s="124" t="s">
        <v>1483</v>
      </c>
      <c r="E71" s="124" t="s">
        <v>1484</v>
      </c>
      <c r="F71" s="155" t="str">
        <f t="shared" si="3"/>
        <v>중</v>
      </c>
      <c r="G71" s="63" t="s">
        <v>2669</v>
      </c>
      <c r="H71" s="63" t="s">
        <v>2674</v>
      </c>
      <c r="I71" s="197" t="s">
        <v>1485</v>
      </c>
      <c r="J71" s="141" t="s">
        <v>4247</v>
      </c>
      <c r="K71" s="142"/>
      <c r="L71" s="141" t="s">
        <v>1492</v>
      </c>
      <c r="M71" s="128"/>
      <c r="N71" s="141"/>
      <c r="O71" s="128"/>
      <c r="P71" s="141"/>
      <c r="Q71" s="130"/>
      <c r="R71" s="143"/>
      <c r="S71" s="144" t="s">
        <v>1418</v>
      </c>
      <c r="T71" s="143"/>
      <c r="U71" s="141"/>
      <c r="V71" s="145"/>
      <c r="W71" s="146" t="b">
        <v>0</v>
      </c>
      <c r="X71" s="147" t="b">
        <v>1</v>
      </c>
      <c r="Y71" s="146" t="b">
        <v>0</v>
      </c>
      <c r="Z71" s="200" t="s">
        <v>1467</v>
      </c>
      <c r="AA71" s="134"/>
      <c r="AB71" s="134"/>
      <c r="AC71" s="150"/>
      <c r="AD71" s="150"/>
      <c r="AE71" s="150"/>
      <c r="AF71" s="150"/>
      <c r="AG71" s="134"/>
      <c r="AH71" s="134"/>
      <c r="AI71" s="134"/>
      <c r="AJ71" s="150"/>
      <c r="AK71" s="150"/>
      <c r="AL71" s="150"/>
      <c r="AM71" s="150"/>
      <c r="AN71" s="150"/>
      <c r="AO71" s="150"/>
      <c r="AP71" s="150"/>
      <c r="AQ71" s="150"/>
      <c r="AR71" s="150"/>
      <c r="AS71" s="134"/>
      <c r="AT71" s="134"/>
    </row>
    <row r="72" spans="1:46" s="134" customFormat="1" ht="88.05" customHeight="1" outlineLevel="1">
      <c r="A72" s="58">
        <v>28</v>
      </c>
      <c r="B72" s="122" t="s">
        <v>1460</v>
      </c>
      <c r="C72" s="125" t="s">
        <v>4354</v>
      </c>
      <c r="D72" s="124" t="s">
        <v>1486</v>
      </c>
      <c r="E72" s="124" t="s">
        <v>1487</v>
      </c>
      <c r="F72" s="155" t="str">
        <f t="shared" si="3"/>
        <v>중</v>
      </c>
      <c r="G72" s="63" t="s">
        <v>2669</v>
      </c>
      <c r="H72" s="63" t="s">
        <v>2674</v>
      </c>
      <c r="I72" s="215" t="s">
        <v>1488</v>
      </c>
      <c r="J72" s="141" t="s">
        <v>4247</v>
      </c>
      <c r="K72" s="142"/>
      <c r="L72" s="141" t="s">
        <v>1492</v>
      </c>
      <c r="M72" s="128"/>
      <c r="N72" s="141"/>
      <c r="O72" s="128"/>
      <c r="P72" s="141"/>
      <c r="Q72" s="130"/>
      <c r="R72" s="143"/>
      <c r="S72" s="144" t="s">
        <v>1418</v>
      </c>
      <c r="T72" s="143"/>
      <c r="U72" s="141"/>
      <c r="V72" s="145"/>
      <c r="W72" s="146" t="b">
        <v>0</v>
      </c>
      <c r="X72" s="146" t="b">
        <v>0</v>
      </c>
      <c r="Y72" s="147" t="b">
        <v>1</v>
      </c>
      <c r="Z72" s="148" t="s">
        <v>1467</v>
      </c>
      <c r="AC72" s="150"/>
      <c r="AD72" s="150"/>
      <c r="AE72" s="150"/>
      <c r="AF72" s="150"/>
      <c r="AJ72" s="150"/>
      <c r="AK72" s="150"/>
      <c r="AL72" s="150"/>
      <c r="AM72" s="150"/>
      <c r="AN72" s="150"/>
      <c r="AO72" s="150"/>
      <c r="AP72" s="150"/>
      <c r="AQ72" s="150"/>
      <c r="AR72" s="150"/>
    </row>
    <row r="73" spans="1:46" ht="103.65" customHeight="1" outlineLevel="1">
      <c r="A73" s="58">
        <v>29</v>
      </c>
      <c r="B73" s="125" t="s">
        <v>1427</v>
      </c>
      <c r="C73" s="125" t="s">
        <v>4344</v>
      </c>
      <c r="D73" s="124" t="s">
        <v>1497</v>
      </c>
      <c r="E73" s="124" t="s">
        <v>1498</v>
      </c>
      <c r="F73" s="155" t="str">
        <f t="shared" si="3"/>
        <v>중</v>
      </c>
      <c r="G73" s="63" t="s">
        <v>2669</v>
      </c>
      <c r="H73" s="63" t="s">
        <v>2674</v>
      </c>
      <c r="I73" s="124" t="s">
        <v>1499</v>
      </c>
      <c r="J73" s="141" t="s">
        <v>4247</v>
      </c>
      <c r="K73" s="149"/>
      <c r="L73" s="141" t="s">
        <v>1492</v>
      </c>
      <c r="M73" s="141"/>
      <c r="N73" s="141"/>
      <c r="O73" s="141"/>
      <c r="P73" s="141"/>
      <c r="Q73" s="130"/>
      <c r="R73" s="143"/>
      <c r="S73" s="144" t="s">
        <v>1493</v>
      </c>
      <c r="T73" s="143"/>
      <c r="U73" s="141"/>
      <c r="V73" s="142"/>
      <c r="W73" s="147" t="b">
        <v>0</v>
      </c>
      <c r="X73" s="146" t="b">
        <v>1</v>
      </c>
      <c r="Y73" s="147" t="b">
        <v>0</v>
      </c>
      <c r="Z73" s="148" t="s">
        <v>1423</v>
      </c>
      <c r="AA73" s="134"/>
      <c r="AB73" s="134"/>
      <c r="AC73" s="150"/>
      <c r="AD73" s="150"/>
      <c r="AE73" s="150"/>
      <c r="AF73" s="150"/>
      <c r="AG73" s="134"/>
      <c r="AH73" s="134"/>
      <c r="AI73" s="134"/>
      <c r="AJ73" s="150"/>
      <c r="AK73" s="150"/>
      <c r="AL73" s="150"/>
      <c r="AM73" s="150"/>
      <c r="AN73" s="150"/>
      <c r="AO73" s="150"/>
      <c r="AP73" s="150"/>
      <c r="AQ73" s="150"/>
      <c r="AR73" s="150"/>
      <c r="AS73" s="134"/>
      <c r="AT73" s="134"/>
    </row>
    <row r="74" spans="1:46" ht="110.4" customHeight="1" outlineLevel="1">
      <c r="A74" s="58">
        <v>30</v>
      </c>
      <c r="B74" s="204" t="s">
        <v>1427</v>
      </c>
      <c r="C74" s="204" t="s">
        <v>4438</v>
      </c>
      <c r="D74" s="203" t="s">
        <v>1500</v>
      </c>
      <c r="E74" s="203" t="s">
        <v>1501</v>
      </c>
      <c r="F74" s="125" t="str">
        <f t="shared" si="3"/>
        <v>중</v>
      </c>
      <c r="G74" s="63" t="s">
        <v>2669</v>
      </c>
      <c r="H74" s="63" t="s">
        <v>2674</v>
      </c>
      <c r="I74" s="203" t="s">
        <v>1502</v>
      </c>
      <c r="J74" s="205" t="s">
        <v>4247</v>
      </c>
      <c r="K74" s="206"/>
      <c r="L74" s="205" t="s">
        <v>1492</v>
      </c>
      <c r="M74" s="205"/>
      <c r="N74" s="205"/>
      <c r="O74" s="205"/>
      <c r="P74" s="205"/>
      <c r="Q74" s="207"/>
      <c r="R74" s="208"/>
      <c r="S74" s="209" t="s">
        <v>1493</v>
      </c>
      <c r="T74" s="208"/>
      <c r="U74" s="205"/>
      <c r="V74" s="210"/>
      <c r="W74" s="211" t="b">
        <v>0</v>
      </c>
      <c r="X74" s="211" t="b">
        <v>1</v>
      </c>
      <c r="Y74" s="211" t="b">
        <v>0</v>
      </c>
      <c r="Z74" s="212" t="s">
        <v>1423</v>
      </c>
      <c r="AA74" s="213"/>
      <c r="AB74" s="213"/>
      <c r="AC74" s="214"/>
      <c r="AD74" s="214"/>
      <c r="AE74" s="214"/>
      <c r="AF74" s="214"/>
      <c r="AG74" s="213"/>
      <c r="AH74" s="213"/>
      <c r="AI74" s="213"/>
      <c r="AJ74" s="214"/>
      <c r="AK74" s="214"/>
      <c r="AL74" s="214"/>
      <c r="AM74" s="214"/>
      <c r="AN74" s="214"/>
      <c r="AO74" s="214"/>
      <c r="AP74" s="214"/>
      <c r="AQ74" s="214"/>
      <c r="AR74" s="214"/>
      <c r="AS74" s="213"/>
      <c r="AT74" s="213"/>
    </row>
    <row r="75" spans="1:46" ht="88.05" customHeight="1" outlineLevel="1">
      <c r="A75" s="58">
        <v>31</v>
      </c>
      <c r="B75" s="123" t="s">
        <v>1460</v>
      </c>
      <c r="C75" s="123" t="s">
        <v>4287</v>
      </c>
      <c r="D75" s="124" t="s">
        <v>4554</v>
      </c>
      <c r="E75" s="124" t="s">
        <v>1503</v>
      </c>
      <c r="F75" s="125" t="str">
        <f t="shared" si="3"/>
        <v>중</v>
      </c>
      <c r="G75" s="63" t="s">
        <v>2669</v>
      </c>
      <c r="H75" s="63" t="s">
        <v>2674</v>
      </c>
      <c r="I75" s="197" t="s">
        <v>1504</v>
      </c>
      <c r="J75" s="138" t="s">
        <v>4247</v>
      </c>
      <c r="K75" s="129"/>
      <c r="L75" s="138" t="s">
        <v>1492</v>
      </c>
      <c r="M75" s="130"/>
      <c r="N75" s="130"/>
      <c r="O75" s="130"/>
      <c r="P75" s="130"/>
      <c r="Q75" s="130"/>
      <c r="R75" s="130"/>
      <c r="S75" s="131" t="s">
        <v>1418</v>
      </c>
      <c r="T75" s="130"/>
      <c r="U75" s="130"/>
      <c r="V75" s="130"/>
      <c r="W75" s="132" t="b">
        <v>0</v>
      </c>
      <c r="X75" s="132" t="b">
        <v>0</v>
      </c>
      <c r="Y75" s="133" t="b">
        <v>1</v>
      </c>
      <c r="Z75" s="127" t="s">
        <v>1505</v>
      </c>
      <c r="AA75" s="134"/>
      <c r="AB75" s="134"/>
      <c r="AC75" s="150"/>
      <c r="AD75" s="150"/>
      <c r="AE75" s="150"/>
      <c r="AF75" s="150"/>
      <c r="AG75" s="134"/>
      <c r="AH75" s="134"/>
      <c r="AI75" s="134"/>
      <c r="AJ75" s="150"/>
      <c r="AK75" s="150"/>
      <c r="AL75" s="150"/>
      <c r="AM75" s="150"/>
      <c r="AN75" s="150"/>
      <c r="AO75" s="150"/>
      <c r="AP75" s="150"/>
      <c r="AQ75" s="150"/>
      <c r="AR75" s="150"/>
      <c r="AS75" s="134"/>
      <c r="AT75" s="134"/>
    </row>
    <row r="76" spans="1:46" s="134" customFormat="1" ht="135" customHeight="1" outlineLevel="1">
      <c r="A76" s="58">
        <v>585</v>
      </c>
      <c r="B76" s="92" t="str">
        <f>[1]트램표준체크리스트!B859</f>
        <v>통신</v>
      </c>
      <c r="C76" s="92" t="s">
        <v>1412</v>
      </c>
      <c r="D76" s="93" t="s">
        <v>4555</v>
      </c>
      <c r="E76" s="93" t="s">
        <v>4556</v>
      </c>
      <c r="F76" s="125" t="str">
        <f t="shared" ref="F76:F107" si="4">_xlfn.LET(
_xlpm.v_발생, IF(ISNUMBER(SEARCH("빈번", G76)), "상",
IF(ISNUMBER(SEARCH("거의", G76)), "하", "중")),
_xlpm.v_영향, IF(ISNUMBER(SEARCH("1개월", H76)), "상",
IF(ISNUMBER(SEARCH("없음", H76)), "하", "중")),
IF(AND(_xlpm.v_발생="상", _xlpm.v_영향="상"), "극상",
IF(OR(_xlpm.v_발생="상", _xlpm.v_영향="상"), "상",
IF(AND(_xlpm.v_발생="하", _xlpm.v_영향="하"), "하",
"중")))
)</f>
        <v>중</v>
      </c>
      <c r="G76" s="63" t="s">
        <v>2669</v>
      </c>
      <c r="H76" s="63" t="s">
        <v>2674</v>
      </c>
      <c r="I76" s="199" t="s">
        <v>4557</v>
      </c>
      <c r="J76" s="205" t="s">
        <v>4247</v>
      </c>
      <c r="K76" s="97"/>
      <c r="L76" s="139" t="s">
        <v>1492</v>
      </c>
      <c r="M76" s="98"/>
      <c r="N76" s="98"/>
      <c r="O76" s="98"/>
      <c r="P76" s="98"/>
      <c r="Q76" s="98"/>
      <c r="R76" s="98"/>
      <c r="S76" s="99"/>
      <c r="T76" s="98"/>
      <c r="U76" s="98"/>
      <c r="V76" s="98"/>
      <c r="W76" s="100" t="b">
        <v>0</v>
      </c>
      <c r="X76" s="100" t="b">
        <v>0</v>
      </c>
      <c r="Y76" s="101" t="b">
        <v>0</v>
      </c>
      <c r="Z76" s="96" t="s">
        <v>3739</v>
      </c>
      <c r="AA76" s="7"/>
      <c r="AB76" s="7"/>
      <c r="AC76" s="16"/>
      <c r="AD76" s="16"/>
      <c r="AE76" s="16"/>
      <c r="AF76" s="16"/>
      <c r="AG76" s="7"/>
      <c r="AH76" s="7"/>
      <c r="AI76" s="7"/>
      <c r="AJ76" s="7"/>
      <c r="AK76" s="7"/>
      <c r="AL76" s="7"/>
      <c r="AM76" s="7"/>
      <c r="AN76" s="7"/>
      <c r="AO76" s="7"/>
      <c r="AP76" s="7"/>
      <c r="AQ76" s="7"/>
      <c r="AR76" s="7"/>
      <c r="AS76" s="7"/>
      <c r="AT76" s="7"/>
    </row>
    <row r="77" spans="1:46" ht="103.65" customHeight="1" outlineLevel="1">
      <c r="A77" s="58">
        <v>1</v>
      </c>
      <c r="B77" s="58" t="s">
        <v>1427</v>
      </c>
      <c r="C77" s="58" t="s">
        <v>4354</v>
      </c>
      <c r="D77" s="60" t="s">
        <v>4356</v>
      </c>
      <c r="E77" s="60" t="s">
        <v>4504</v>
      </c>
      <c r="F77" s="170" t="str">
        <f t="shared" si="4"/>
        <v>하</v>
      </c>
      <c r="G77" s="63" t="s">
        <v>2668</v>
      </c>
      <c r="H77" s="63" t="s">
        <v>2674</v>
      </c>
      <c r="I77" s="60" t="s">
        <v>4357</v>
      </c>
      <c r="J77" s="64" t="s">
        <v>4247</v>
      </c>
      <c r="K77" s="74"/>
      <c r="L77" s="64" t="s">
        <v>1492</v>
      </c>
      <c r="M77" s="64"/>
      <c r="N77" s="64"/>
      <c r="O77" s="64"/>
      <c r="P77" s="64"/>
      <c r="Q77" s="67"/>
      <c r="R77" s="68"/>
      <c r="S77" s="69" t="s">
        <v>1493</v>
      </c>
      <c r="T77" s="68"/>
      <c r="U77" s="64"/>
      <c r="V77" s="65"/>
      <c r="W77" s="86" t="b">
        <v>0</v>
      </c>
      <c r="X77" s="86" t="b">
        <v>0</v>
      </c>
      <c r="Y77" s="87" t="b">
        <v>0</v>
      </c>
      <c r="Z77" s="72" t="s">
        <v>398</v>
      </c>
      <c r="AB77" s="7" t="s">
        <v>4520</v>
      </c>
      <c r="AC77" s="16">
        <f>COUNTIF($F:$F,AB77)</f>
        <v>681</v>
      </c>
      <c r="AJ77" s="16"/>
      <c r="AK77" s="16"/>
      <c r="AL77" s="16"/>
      <c r="AM77" s="16"/>
      <c r="AN77" s="16"/>
      <c r="AO77" s="16"/>
      <c r="AP77" s="16"/>
      <c r="AQ77" s="16"/>
      <c r="AR77" s="16"/>
    </row>
    <row r="78" spans="1:46" s="134" customFormat="1" ht="123" customHeight="1" outlineLevel="1">
      <c r="A78" s="58">
        <v>4</v>
      </c>
      <c r="B78" s="58" t="s">
        <v>1420</v>
      </c>
      <c r="C78" s="58" t="s">
        <v>1405</v>
      </c>
      <c r="D78" s="60" t="s">
        <v>4507</v>
      </c>
      <c r="E78" s="60" t="s">
        <v>4508</v>
      </c>
      <c r="F78" s="62" t="str">
        <f t="shared" si="4"/>
        <v>하</v>
      </c>
      <c r="G78" s="63" t="s">
        <v>2668</v>
      </c>
      <c r="H78" s="63" t="s">
        <v>2674</v>
      </c>
      <c r="I78" s="190" t="s">
        <v>4509</v>
      </c>
      <c r="J78" s="64" t="s">
        <v>4247</v>
      </c>
      <c r="K78" s="65"/>
      <c r="L78" s="64" t="s">
        <v>1492</v>
      </c>
      <c r="M78" s="66"/>
      <c r="N78" s="64"/>
      <c r="O78" s="66"/>
      <c r="P78" s="64"/>
      <c r="Q78" s="67"/>
      <c r="R78" s="68"/>
      <c r="S78" s="69" t="s">
        <v>1418</v>
      </c>
      <c r="T78" s="68"/>
      <c r="U78" s="64"/>
      <c r="V78" s="70"/>
      <c r="W78" s="87" t="b">
        <v>0</v>
      </c>
      <c r="X78" s="86" t="b">
        <v>1</v>
      </c>
      <c r="Y78" s="86" t="b">
        <v>0</v>
      </c>
      <c r="Z78" s="72" t="s">
        <v>1423</v>
      </c>
      <c r="AA78" s="7"/>
      <c r="AB78" s="7"/>
      <c r="AC78" s="16"/>
      <c r="AD78" s="16"/>
      <c r="AE78" s="16"/>
      <c r="AF78" s="16"/>
      <c r="AG78" s="7"/>
      <c r="AH78" s="7"/>
      <c r="AI78" s="7"/>
      <c r="AJ78" s="16"/>
      <c r="AK78" s="16"/>
      <c r="AL78" s="16"/>
      <c r="AM78" s="16"/>
      <c r="AN78" s="16"/>
      <c r="AO78" s="16"/>
      <c r="AP78" s="16"/>
      <c r="AQ78" s="16"/>
      <c r="AR78" s="16"/>
      <c r="AS78" s="7"/>
      <c r="AT78" s="7"/>
    </row>
    <row r="79" spans="1:46" ht="103.8" customHeight="1" outlineLevel="1">
      <c r="A79" s="58">
        <v>5</v>
      </c>
      <c r="B79" s="58" t="s">
        <v>1427</v>
      </c>
      <c r="C79" s="59" t="s">
        <v>1405</v>
      </c>
      <c r="D79" s="60" t="s">
        <v>1428</v>
      </c>
      <c r="E79" s="60" t="s">
        <v>1429</v>
      </c>
      <c r="F79" s="62" t="str">
        <f t="shared" si="4"/>
        <v>하</v>
      </c>
      <c r="G79" s="63" t="s">
        <v>2668</v>
      </c>
      <c r="H79" s="63" t="s">
        <v>2674</v>
      </c>
      <c r="I79" s="190" t="s">
        <v>1430</v>
      </c>
      <c r="J79" s="64" t="s">
        <v>4247</v>
      </c>
      <c r="K79" s="65"/>
      <c r="L79" s="64" t="s">
        <v>1492</v>
      </c>
      <c r="M79" s="66"/>
      <c r="N79" s="64"/>
      <c r="O79" s="66"/>
      <c r="P79" s="64"/>
      <c r="Q79" s="67"/>
      <c r="R79" s="68"/>
      <c r="S79" s="69" t="s">
        <v>1418</v>
      </c>
      <c r="T79" s="68"/>
      <c r="U79" s="64"/>
      <c r="V79" s="70"/>
      <c r="W79" s="86" t="b">
        <v>0</v>
      </c>
      <c r="X79" s="87" t="b">
        <v>0</v>
      </c>
      <c r="Y79" s="87" t="b">
        <v>1</v>
      </c>
      <c r="Z79" s="72" t="s">
        <v>1431</v>
      </c>
      <c r="AJ79" s="16"/>
      <c r="AK79" s="16"/>
      <c r="AL79" s="16"/>
      <c r="AM79" s="16"/>
      <c r="AN79" s="16"/>
      <c r="AO79" s="16"/>
      <c r="AP79" s="16"/>
      <c r="AQ79" s="16"/>
      <c r="AR79" s="16"/>
    </row>
    <row r="80" spans="1:46" ht="129.6" customHeight="1" outlineLevel="1">
      <c r="A80" s="58">
        <v>6</v>
      </c>
      <c r="B80" s="58" t="s">
        <v>1420</v>
      </c>
      <c r="C80" s="59" t="s">
        <v>1405</v>
      </c>
      <c r="D80" s="60" t="s">
        <v>1432</v>
      </c>
      <c r="E80" s="60" t="s">
        <v>1433</v>
      </c>
      <c r="F80" s="125" t="str">
        <f t="shared" si="4"/>
        <v>하</v>
      </c>
      <c r="G80" s="63" t="s">
        <v>2668</v>
      </c>
      <c r="H80" s="63" t="s">
        <v>2674</v>
      </c>
      <c r="I80" s="190" t="s">
        <v>1434</v>
      </c>
      <c r="J80" s="64" t="s">
        <v>4247</v>
      </c>
      <c r="K80" s="65"/>
      <c r="L80" s="64" t="s">
        <v>1492</v>
      </c>
      <c r="M80" s="66"/>
      <c r="N80" s="64"/>
      <c r="O80" s="66"/>
      <c r="P80" s="64"/>
      <c r="Q80" s="67"/>
      <c r="R80" s="68"/>
      <c r="S80" s="69" t="s">
        <v>1418</v>
      </c>
      <c r="T80" s="68"/>
      <c r="U80" s="64"/>
      <c r="V80" s="70"/>
      <c r="W80" s="86" t="b">
        <v>0</v>
      </c>
      <c r="X80" s="87" t="b">
        <v>1</v>
      </c>
      <c r="Y80" s="87" t="b">
        <v>1</v>
      </c>
      <c r="Z80" s="148" t="s">
        <v>4517</v>
      </c>
      <c r="AJ80" s="16"/>
      <c r="AK80" s="16"/>
      <c r="AL80" s="16"/>
      <c r="AM80" s="16"/>
      <c r="AN80" s="16"/>
      <c r="AO80" s="16"/>
      <c r="AP80" s="16"/>
      <c r="AQ80" s="16"/>
      <c r="AR80" s="16"/>
    </row>
    <row r="81" spans="1:46" ht="105" customHeight="1" outlineLevel="1">
      <c r="A81" s="58">
        <v>7</v>
      </c>
      <c r="B81" s="58" t="s">
        <v>1416</v>
      </c>
      <c r="C81" s="58" t="s">
        <v>1405</v>
      </c>
      <c r="D81" s="60" t="s">
        <v>1435</v>
      </c>
      <c r="E81" s="60" t="s">
        <v>1436</v>
      </c>
      <c r="F81" s="125" t="str">
        <f t="shared" si="4"/>
        <v>하</v>
      </c>
      <c r="G81" s="63" t="s">
        <v>2668</v>
      </c>
      <c r="H81" s="63" t="s">
        <v>2674</v>
      </c>
      <c r="I81" s="60" t="s">
        <v>4433</v>
      </c>
      <c r="J81" s="64" t="s">
        <v>4247</v>
      </c>
      <c r="K81" s="74"/>
      <c r="L81" s="64" t="s">
        <v>1492</v>
      </c>
      <c r="M81" s="64"/>
      <c r="N81" s="64"/>
      <c r="O81" s="64"/>
      <c r="P81" s="64"/>
      <c r="Q81" s="67"/>
      <c r="R81" s="68"/>
      <c r="S81" s="69" t="s">
        <v>1418</v>
      </c>
      <c r="T81" s="68"/>
      <c r="U81" s="64"/>
      <c r="V81" s="65"/>
      <c r="W81" s="87" t="b">
        <v>0</v>
      </c>
      <c r="X81" s="86" t="b">
        <v>0</v>
      </c>
      <c r="Y81" s="87" t="b">
        <v>1</v>
      </c>
      <c r="Z81" s="72" t="s">
        <v>1437</v>
      </c>
      <c r="AJ81" s="16"/>
      <c r="AK81" s="16"/>
      <c r="AL81" s="16"/>
      <c r="AM81" s="16"/>
      <c r="AN81" s="16"/>
      <c r="AO81" s="16"/>
      <c r="AP81" s="16"/>
      <c r="AQ81" s="16"/>
      <c r="AR81" s="16"/>
    </row>
    <row r="82" spans="1:46" ht="103.65" customHeight="1" outlineLevel="1">
      <c r="A82" s="58">
        <v>8</v>
      </c>
      <c r="B82" s="58" t="s">
        <v>1427</v>
      </c>
      <c r="C82" s="58" t="s">
        <v>1405</v>
      </c>
      <c r="D82" s="60" t="s">
        <v>1438</v>
      </c>
      <c r="E82" s="60" t="s">
        <v>1439</v>
      </c>
      <c r="F82" s="125" t="str">
        <f t="shared" si="4"/>
        <v>하</v>
      </c>
      <c r="G82" s="63" t="s">
        <v>2668</v>
      </c>
      <c r="H82" s="63" t="s">
        <v>2674</v>
      </c>
      <c r="I82" s="60" t="s">
        <v>1440</v>
      </c>
      <c r="J82" s="64" t="s">
        <v>4247</v>
      </c>
      <c r="K82" s="74"/>
      <c r="L82" s="64" t="s">
        <v>1492</v>
      </c>
      <c r="M82" s="64"/>
      <c r="N82" s="64"/>
      <c r="O82" s="64"/>
      <c r="P82" s="64"/>
      <c r="Q82" s="67"/>
      <c r="R82" s="68"/>
      <c r="S82" s="69" t="s">
        <v>1418</v>
      </c>
      <c r="T82" s="68"/>
      <c r="U82" s="64"/>
      <c r="V82" s="65"/>
      <c r="W82" s="87" t="b">
        <v>1</v>
      </c>
      <c r="X82" s="86" t="b">
        <v>0</v>
      </c>
      <c r="Y82" s="87" t="b">
        <v>1</v>
      </c>
      <c r="Z82" s="72" t="s">
        <v>4434</v>
      </c>
      <c r="AJ82" s="16"/>
      <c r="AK82" s="16"/>
      <c r="AL82" s="16"/>
      <c r="AM82" s="16"/>
      <c r="AN82" s="16"/>
      <c r="AO82" s="16"/>
      <c r="AP82" s="16"/>
      <c r="AQ82" s="16"/>
      <c r="AR82" s="16"/>
    </row>
    <row r="83" spans="1:46" s="134" customFormat="1" ht="113.4" customHeight="1" outlineLevel="1">
      <c r="A83" s="58">
        <v>9</v>
      </c>
      <c r="B83" s="58" t="s">
        <v>32</v>
      </c>
      <c r="C83" s="58" t="s">
        <v>1405</v>
      </c>
      <c r="D83" s="60" t="s">
        <v>1441</v>
      </c>
      <c r="E83" s="60" t="s">
        <v>1442</v>
      </c>
      <c r="F83" s="170" t="str">
        <f t="shared" si="4"/>
        <v>하</v>
      </c>
      <c r="G83" s="63" t="s">
        <v>2668</v>
      </c>
      <c r="H83" s="63" t="s">
        <v>2674</v>
      </c>
      <c r="I83" s="191" t="s">
        <v>1443</v>
      </c>
      <c r="J83" s="64" t="s">
        <v>4247</v>
      </c>
      <c r="K83" s="74"/>
      <c r="L83" s="64" t="s">
        <v>1492</v>
      </c>
      <c r="M83" s="64"/>
      <c r="N83" s="64"/>
      <c r="O83" s="64"/>
      <c r="P83" s="64"/>
      <c r="Q83" s="67"/>
      <c r="R83" s="68"/>
      <c r="S83" s="69" t="s">
        <v>1418</v>
      </c>
      <c r="T83" s="68"/>
      <c r="U83" s="64"/>
      <c r="V83" s="65"/>
      <c r="W83" s="86" t="b">
        <v>1</v>
      </c>
      <c r="X83" s="86" t="b">
        <v>0</v>
      </c>
      <c r="Y83" s="87" t="b">
        <v>1</v>
      </c>
      <c r="Z83" s="72" t="s">
        <v>1444</v>
      </c>
      <c r="AA83" s="7"/>
      <c r="AB83" s="7"/>
      <c r="AC83" s="16"/>
      <c r="AD83" s="16"/>
      <c r="AE83" s="16"/>
      <c r="AF83" s="16"/>
      <c r="AG83" s="7"/>
      <c r="AH83" s="7"/>
      <c r="AI83" s="7"/>
      <c r="AJ83" s="16"/>
      <c r="AK83" s="16"/>
      <c r="AL83" s="16"/>
      <c r="AM83" s="16"/>
      <c r="AN83" s="16"/>
      <c r="AO83" s="16"/>
      <c r="AP83" s="16"/>
      <c r="AQ83" s="16"/>
      <c r="AR83" s="16"/>
      <c r="AS83" s="7"/>
      <c r="AT83" s="7"/>
    </row>
    <row r="84" spans="1:46" ht="115.2" customHeight="1" outlineLevel="1">
      <c r="A84" s="58">
        <v>14</v>
      </c>
      <c r="B84" s="59" t="s">
        <v>1420</v>
      </c>
      <c r="C84" s="59" t="s">
        <v>1405</v>
      </c>
      <c r="D84" s="60" t="s">
        <v>1457</v>
      </c>
      <c r="E84" s="60" t="s">
        <v>1458</v>
      </c>
      <c r="F84" s="94" t="str">
        <f t="shared" si="4"/>
        <v>하</v>
      </c>
      <c r="G84" s="63" t="s">
        <v>2668</v>
      </c>
      <c r="H84" s="63" t="s">
        <v>2674</v>
      </c>
      <c r="I84" s="60" t="s">
        <v>1459</v>
      </c>
      <c r="J84" s="64" t="s">
        <v>4247</v>
      </c>
      <c r="K84" s="65"/>
      <c r="L84" s="64" t="s">
        <v>1492</v>
      </c>
      <c r="M84" s="66"/>
      <c r="N84" s="64"/>
      <c r="O84" s="66"/>
      <c r="P84" s="64"/>
      <c r="Q84" s="77"/>
      <c r="R84" s="68"/>
      <c r="S84" s="78" t="s">
        <v>1418</v>
      </c>
      <c r="T84" s="68"/>
      <c r="U84" s="64"/>
      <c r="V84" s="66"/>
      <c r="W84" s="87" t="b">
        <v>1</v>
      </c>
      <c r="X84" s="87" t="b">
        <v>1</v>
      </c>
      <c r="Y84" s="86" t="b">
        <v>0</v>
      </c>
      <c r="Z84" s="72" t="s">
        <v>1450</v>
      </c>
      <c r="AJ84" s="16"/>
      <c r="AK84" s="16"/>
      <c r="AL84" s="16"/>
      <c r="AM84" s="16"/>
      <c r="AN84" s="16"/>
      <c r="AO84" s="16"/>
      <c r="AP84" s="16"/>
      <c r="AQ84" s="16"/>
      <c r="AR84" s="16"/>
    </row>
    <row r="85" spans="1:46" ht="103.65" customHeight="1" outlineLevel="1">
      <c r="A85" s="58">
        <v>15</v>
      </c>
      <c r="B85" s="59" t="s">
        <v>1416</v>
      </c>
      <c r="C85" s="59" t="s">
        <v>1405</v>
      </c>
      <c r="D85" s="60" t="s">
        <v>1461</v>
      </c>
      <c r="E85" s="60" t="s">
        <v>1462</v>
      </c>
      <c r="F85" s="62" t="str">
        <f t="shared" si="4"/>
        <v>하</v>
      </c>
      <c r="G85" s="63" t="s">
        <v>2668</v>
      </c>
      <c r="H85" s="63" t="s">
        <v>2674</v>
      </c>
      <c r="I85" s="60" t="s">
        <v>1463</v>
      </c>
      <c r="J85" s="64" t="s">
        <v>4247</v>
      </c>
      <c r="K85" s="74"/>
      <c r="L85" s="64" t="s">
        <v>1492</v>
      </c>
      <c r="M85" s="64"/>
      <c r="N85" s="64"/>
      <c r="O85" s="64"/>
      <c r="P85" s="64"/>
      <c r="Q85" s="67"/>
      <c r="R85" s="68"/>
      <c r="S85" s="69" t="s">
        <v>1418</v>
      </c>
      <c r="T85" s="68"/>
      <c r="U85" s="64"/>
      <c r="V85" s="65"/>
      <c r="W85" s="87" t="b">
        <v>1</v>
      </c>
      <c r="X85" s="86" t="b">
        <v>0</v>
      </c>
      <c r="Y85" s="87" t="b">
        <v>1</v>
      </c>
      <c r="Z85" s="72" t="s">
        <v>1450</v>
      </c>
      <c r="AJ85" s="16"/>
      <c r="AK85" s="16"/>
      <c r="AL85" s="16"/>
      <c r="AM85" s="16"/>
      <c r="AN85" s="16"/>
      <c r="AO85" s="16"/>
      <c r="AP85" s="16"/>
      <c r="AQ85" s="16"/>
      <c r="AR85" s="16"/>
    </row>
    <row r="86" spans="1:46" ht="103.65" customHeight="1" outlineLevel="1">
      <c r="A86" s="58">
        <v>16</v>
      </c>
      <c r="B86" s="58" t="s">
        <v>1427</v>
      </c>
      <c r="C86" s="58" t="s">
        <v>1405</v>
      </c>
      <c r="D86" s="60" t="s">
        <v>1464</v>
      </c>
      <c r="E86" s="60" t="s">
        <v>1465</v>
      </c>
      <c r="F86" s="125" t="str">
        <f t="shared" si="4"/>
        <v>하</v>
      </c>
      <c r="G86" s="63" t="s">
        <v>2668</v>
      </c>
      <c r="H86" s="63" t="s">
        <v>2674</v>
      </c>
      <c r="I86" s="60" t="s">
        <v>1466</v>
      </c>
      <c r="J86" s="64" t="s">
        <v>4247</v>
      </c>
      <c r="K86" s="74"/>
      <c r="L86" s="64" t="s">
        <v>1492</v>
      </c>
      <c r="M86" s="64"/>
      <c r="N86" s="64"/>
      <c r="O86" s="64"/>
      <c r="P86" s="64"/>
      <c r="Q86" s="67"/>
      <c r="R86" s="68"/>
      <c r="S86" s="69" t="s">
        <v>1418</v>
      </c>
      <c r="T86" s="68"/>
      <c r="U86" s="64"/>
      <c r="V86" s="65"/>
      <c r="W86" s="86" t="b">
        <v>0</v>
      </c>
      <c r="X86" s="86" t="b">
        <v>0</v>
      </c>
      <c r="Y86" s="87" t="b">
        <v>1</v>
      </c>
      <c r="Z86" s="72" t="s">
        <v>1467</v>
      </c>
      <c r="AJ86" s="16"/>
      <c r="AK86" s="16"/>
      <c r="AL86" s="16"/>
      <c r="AM86" s="16"/>
      <c r="AN86" s="16"/>
      <c r="AO86" s="16"/>
      <c r="AP86" s="16"/>
      <c r="AQ86" s="16"/>
      <c r="AR86" s="16"/>
    </row>
    <row r="87" spans="1:46" ht="103.65" customHeight="1" outlineLevel="1">
      <c r="A87" s="58">
        <v>17</v>
      </c>
      <c r="B87" s="58" t="s">
        <v>4319</v>
      </c>
      <c r="C87" s="58" t="s">
        <v>1405</v>
      </c>
      <c r="D87" s="60" t="s">
        <v>4496</v>
      </c>
      <c r="E87" s="60" t="s">
        <v>4493</v>
      </c>
      <c r="F87" s="62" t="str">
        <f t="shared" si="4"/>
        <v>하</v>
      </c>
      <c r="G87" s="63" t="s">
        <v>2668</v>
      </c>
      <c r="H87" s="63" t="s">
        <v>2674</v>
      </c>
      <c r="I87" s="60" t="s">
        <v>4494</v>
      </c>
      <c r="J87" s="64" t="s">
        <v>4247</v>
      </c>
      <c r="K87" s="74"/>
      <c r="L87" s="64" t="s">
        <v>1492</v>
      </c>
      <c r="M87" s="64"/>
      <c r="N87" s="64"/>
      <c r="O87" s="64"/>
      <c r="P87" s="64"/>
      <c r="Q87" s="67"/>
      <c r="R87" s="68"/>
      <c r="S87" s="69" t="s">
        <v>1418</v>
      </c>
      <c r="T87" s="68"/>
      <c r="U87" s="64"/>
      <c r="V87" s="65"/>
      <c r="W87" s="86" t="b">
        <v>0</v>
      </c>
      <c r="X87" s="86" t="b">
        <v>0</v>
      </c>
      <c r="Y87" s="87" t="b">
        <v>0</v>
      </c>
      <c r="Z87" s="72" t="s">
        <v>4492</v>
      </c>
      <c r="AJ87" s="16"/>
      <c r="AK87" s="16"/>
      <c r="AL87" s="16"/>
      <c r="AM87" s="16"/>
      <c r="AN87" s="16"/>
      <c r="AO87" s="16"/>
      <c r="AP87" s="16"/>
      <c r="AQ87" s="16"/>
      <c r="AR87" s="16"/>
    </row>
    <row r="88" spans="1:46" ht="103.65" customHeight="1" outlineLevel="1">
      <c r="A88" s="58">
        <v>18</v>
      </c>
      <c r="B88" s="58" t="s">
        <v>4345</v>
      </c>
      <c r="C88" s="58" t="s">
        <v>1405</v>
      </c>
      <c r="D88" s="60" t="s">
        <v>4497</v>
      </c>
      <c r="E88" s="60" t="s">
        <v>4495</v>
      </c>
      <c r="F88" s="62" t="str">
        <f t="shared" si="4"/>
        <v>하</v>
      </c>
      <c r="G88" s="63" t="s">
        <v>2668</v>
      </c>
      <c r="H88" s="63" t="s">
        <v>2674</v>
      </c>
      <c r="I88" s="60" t="s">
        <v>4498</v>
      </c>
      <c r="J88" s="64" t="s">
        <v>4247</v>
      </c>
      <c r="K88" s="74"/>
      <c r="L88" s="64" t="s">
        <v>1492</v>
      </c>
      <c r="M88" s="64"/>
      <c r="N88" s="64"/>
      <c r="O88" s="64"/>
      <c r="P88" s="64"/>
      <c r="Q88" s="67"/>
      <c r="R88" s="68"/>
      <c r="S88" s="69" t="s">
        <v>1418</v>
      </c>
      <c r="T88" s="68"/>
      <c r="U88" s="64"/>
      <c r="V88" s="65"/>
      <c r="W88" s="86" t="b">
        <v>0</v>
      </c>
      <c r="X88" s="86" t="b">
        <v>0</v>
      </c>
      <c r="Y88" s="87" t="b">
        <v>0</v>
      </c>
      <c r="Z88" s="72" t="s">
        <v>4492</v>
      </c>
      <c r="AJ88" s="16"/>
      <c r="AK88" s="16"/>
      <c r="AL88" s="16"/>
      <c r="AM88" s="16"/>
      <c r="AN88" s="16"/>
      <c r="AO88" s="16"/>
      <c r="AP88" s="16"/>
      <c r="AQ88" s="16"/>
      <c r="AR88" s="16"/>
    </row>
    <row r="89" spans="1:46" ht="103.65" customHeight="1" outlineLevel="1">
      <c r="A89" s="58">
        <v>477</v>
      </c>
      <c r="B89" s="92" t="str">
        <f>[1]트램표준체크리스트!B804</f>
        <v>소방</v>
      </c>
      <c r="C89" s="92" t="s">
        <v>2019</v>
      </c>
      <c r="D89" s="93" t="str">
        <f>[1]트램표준체크리스트!F804</f>
        <v>기계(소방) 도면에 표시된 모든 소화전 함 위치에 전기 도면상 전원/통신 배관이 연결되어 있는가?</v>
      </c>
      <c r="E89" s="93" t="s">
        <v>628</v>
      </c>
      <c r="F89" s="94" t="str">
        <f t="shared" si="4"/>
        <v>하</v>
      </c>
      <c r="G89" s="63" t="s">
        <v>2668</v>
      </c>
      <c r="H89" s="63" t="s">
        <v>2674</v>
      </c>
      <c r="I89" s="199" t="s">
        <v>629</v>
      </c>
      <c r="J89" s="139"/>
      <c r="K89" s="97"/>
      <c r="L89" s="139" t="s">
        <v>1492</v>
      </c>
      <c r="M89" s="98"/>
      <c r="N89" s="98"/>
      <c r="O89" s="98"/>
      <c r="P89" s="98"/>
      <c r="Q89" s="98"/>
      <c r="R89" s="98"/>
      <c r="S89" s="99"/>
      <c r="T89" s="98"/>
      <c r="U89" s="98"/>
      <c r="V89" s="98"/>
      <c r="W89" s="100" t="b">
        <v>0</v>
      </c>
      <c r="X89" s="100" t="b">
        <v>0</v>
      </c>
      <c r="Y89" s="101" t="b">
        <v>0</v>
      </c>
      <c r="Z89" s="96" t="s">
        <v>630</v>
      </c>
    </row>
    <row r="90" spans="1:46" s="134" customFormat="1" ht="103.65" customHeight="1" outlineLevel="1">
      <c r="A90" s="58">
        <v>478</v>
      </c>
      <c r="B90" s="92" t="str">
        <f>[1]트램표준체크리스트!B805</f>
        <v>소방</v>
      </c>
      <c r="C90" s="92" t="s">
        <v>2019</v>
      </c>
      <c r="D90" s="93" t="str">
        <f>[1]트램표준체크리스트!F805</f>
        <v>기밀성 확보 요건 및 도어팬테스트 누락으로 소화가스 누설 및 소화농도 미달로 진압에 실패할 리스크를 검토하였는가?</v>
      </c>
      <c r="E90" s="93" t="s">
        <v>631</v>
      </c>
      <c r="F90" s="94" t="str">
        <f t="shared" si="4"/>
        <v>하</v>
      </c>
      <c r="G90" s="63" t="s">
        <v>2668</v>
      </c>
      <c r="H90" s="63" t="s">
        <v>2674</v>
      </c>
      <c r="I90" s="199" t="s">
        <v>632</v>
      </c>
      <c r="J90" s="139"/>
      <c r="K90" s="97"/>
      <c r="L90" s="139" t="s">
        <v>1492</v>
      </c>
      <c r="M90" s="98"/>
      <c r="N90" s="98"/>
      <c r="O90" s="98"/>
      <c r="P90" s="98"/>
      <c r="Q90" s="98"/>
      <c r="R90" s="98"/>
      <c r="S90" s="99"/>
      <c r="T90" s="98"/>
      <c r="U90" s="98"/>
      <c r="V90" s="98"/>
      <c r="W90" s="100" t="b">
        <v>0</v>
      </c>
      <c r="X90" s="100" t="b">
        <v>0</v>
      </c>
      <c r="Y90" s="101" t="b">
        <v>0</v>
      </c>
      <c r="Z90" s="96" t="s">
        <v>633</v>
      </c>
      <c r="AA90" s="7"/>
      <c r="AB90" s="7"/>
      <c r="AC90" s="16"/>
      <c r="AD90" s="16"/>
      <c r="AE90" s="16"/>
      <c r="AF90" s="16"/>
      <c r="AG90" s="7"/>
      <c r="AH90" s="7"/>
      <c r="AI90" s="7"/>
      <c r="AJ90" s="7"/>
      <c r="AK90" s="7"/>
      <c r="AL90" s="7"/>
      <c r="AM90" s="7"/>
      <c r="AN90" s="7"/>
      <c r="AO90" s="7"/>
      <c r="AP90" s="7"/>
      <c r="AQ90" s="7"/>
      <c r="AR90" s="7"/>
      <c r="AS90" s="7"/>
      <c r="AT90" s="7"/>
    </row>
    <row r="91" spans="1:46" ht="88.05" customHeight="1" outlineLevel="1">
      <c r="A91" s="58">
        <v>479</v>
      </c>
      <c r="B91" s="92" t="str">
        <f>[1]트램표준체크리스트!B806</f>
        <v>소방</v>
      </c>
      <c r="C91" s="92" t="s">
        <v>2019</v>
      </c>
      <c r="D91" s="93" t="str">
        <f>[1]트램표준체크리스트!F806</f>
        <v>과압배출구 설계 및 기밀성 시험(Door Fan Test) 누락으로 구조물 파손 및 약제 유출로 소화농도 유지에 실패할 리스크를 검토하였는가?</v>
      </c>
      <c r="E91" s="93" t="s">
        <v>634</v>
      </c>
      <c r="F91" s="94" t="str">
        <f t="shared" si="4"/>
        <v>하</v>
      </c>
      <c r="G91" s="63" t="s">
        <v>2668</v>
      </c>
      <c r="H91" s="63" t="s">
        <v>2674</v>
      </c>
      <c r="I91" s="199" t="s">
        <v>635</v>
      </c>
      <c r="J91" s="139"/>
      <c r="K91" s="97"/>
      <c r="L91" s="139" t="s">
        <v>1492</v>
      </c>
      <c r="M91" s="98"/>
      <c r="N91" s="98"/>
      <c r="O91" s="98"/>
      <c r="P91" s="98"/>
      <c r="Q91" s="98"/>
      <c r="R91" s="98"/>
      <c r="S91" s="99"/>
      <c r="T91" s="98"/>
      <c r="U91" s="98"/>
      <c r="V91" s="98"/>
      <c r="W91" s="100" t="b">
        <v>0</v>
      </c>
      <c r="X91" s="100" t="b">
        <v>0</v>
      </c>
      <c r="Y91" s="101" t="b">
        <v>0</v>
      </c>
      <c r="Z91" s="96" t="s">
        <v>630</v>
      </c>
    </row>
    <row r="92" spans="1:46" ht="103.65" customHeight="1" outlineLevel="1">
      <c r="A92" s="58">
        <v>480</v>
      </c>
      <c r="B92" s="92" t="str">
        <f>[1]트램표준체크리스트!B807</f>
        <v>소방</v>
      </c>
      <c r="C92" s="92" t="s">
        <v>2019</v>
      </c>
      <c r="D92" s="93" t="str">
        <f>[1]트램표준체크리스트!F807</f>
        <v>KFI 미인증 설계 프로그램 사용으로 약제량 및 배관 관경 산출에 오류가 발생할 방재 리스크를 검토하였는가?</v>
      </c>
      <c r="E92" s="93" t="s">
        <v>639</v>
      </c>
      <c r="F92" s="94" t="str">
        <f t="shared" si="4"/>
        <v>하</v>
      </c>
      <c r="G92" s="63" t="s">
        <v>2668</v>
      </c>
      <c r="H92" s="63" t="s">
        <v>2674</v>
      </c>
      <c r="I92" s="199" t="s">
        <v>640</v>
      </c>
      <c r="J92" s="139"/>
      <c r="K92" s="97"/>
      <c r="L92" s="139" t="s">
        <v>1492</v>
      </c>
      <c r="M92" s="98"/>
      <c r="N92" s="98"/>
      <c r="O92" s="98"/>
      <c r="P92" s="98"/>
      <c r="Q92" s="98"/>
      <c r="R92" s="98"/>
      <c r="S92" s="99"/>
      <c r="T92" s="98"/>
      <c r="U92" s="98"/>
      <c r="V92" s="98"/>
      <c r="W92" s="100" t="b">
        <v>0</v>
      </c>
      <c r="X92" s="100" t="b">
        <v>0</v>
      </c>
      <c r="Y92" s="101" t="b">
        <v>0</v>
      </c>
      <c r="Z92" s="96" t="s">
        <v>641</v>
      </c>
    </row>
    <row r="93" spans="1:46" ht="103.65" customHeight="1" outlineLevel="1">
      <c r="A93" s="58">
        <v>481</v>
      </c>
      <c r="B93" s="92" t="str">
        <f>[1]트램표준체크리스트!B808</f>
        <v>소방</v>
      </c>
      <c r="C93" s="92" t="s">
        <v>2019</v>
      </c>
      <c r="D93" s="93" t="str">
        <f>[1]트램표준체크리스트!F808</f>
        <v>KFI 인증 프로그램 미사용 및 도면·계산서 불일치로 방사 시 적정 소화농도 도달에 실패할 리스크를 검토하였는가?</v>
      </c>
      <c r="E93" s="93" t="s">
        <v>654</v>
      </c>
      <c r="F93" s="94" t="str">
        <f t="shared" si="4"/>
        <v>하</v>
      </c>
      <c r="G93" s="63" t="s">
        <v>2668</v>
      </c>
      <c r="H93" s="63" t="s">
        <v>2674</v>
      </c>
      <c r="I93" s="199" t="s">
        <v>655</v>
      </c>
      <c r="J93" s="139"/>
      <c r="K93" s="97"/>
      <c r="L93" s="139" t="s">
        <v>1492</v>
      </c>
      <c r="M93" s="98"/>
      <c r="N93" s="98"/>
      <c r="O93" s="98"/>
      <c r="P93" s="98"/>
      <c r="Q93" s="98"/>
      <c r="R93" s="98"/>
      <c r="S93" s="99"/>
      <c r="T93" s="98"/>
      <c r="U93" s="98"/>
      <c r="V93" s="98"/>
      <c r="W93" s="100" t="b">
        <v>0</v>
      </c>
      <c r="X93" s="100" t="b">
        <v>0</v>
      </c>
      <c r="Y93" s="101" t="b">
        <v>0</v>
      </c>
      <c r="Z93" s="96" t="s">
        <v>656</v>
      </c>
    </row>
    <row r="94" spans="1:46" ht="103.65" customHeight="1" outlineLevel="1">
      <c r="A94" s="58">
        <v>482</v>
      </c>
      <c r="B94" s="92" t="str">
        <f>[1]트램표준체크리스트!B809</f>
        <v>소방</v>
      </c>
      <c r="C94" s="92" t="s">
        <v>2019</v>
      </c>
      <c r="D94" s="93" t="str">
        <f>[1]트램표준체크리스트!F809</f>
        <v>수배전반 내 소공간 가스 자동소화장치 누락으로 단락 화재 시 조기 소화에 실패해 고가 전기설비가 전소될 리스크를 검토하였는가?</v>
      </c>
      <c r="E94" s="93" t="s">
        <v>657</v>
      </c>
      <c r="F94" s="94" t="str">
        <f t="shared" si="4"/>
        <v>하</v>
      </c>
      <c r="G94" s="63" t="s">
        <v>2668</v>
      </c>
      <c r="H94" s="63" t="s">
        <v>2674</v>
      </c>
      <c r="I94" s="199" t="s">
        <v>658</v>
      </c>
      <c r="J94" s="139"/>
      <c r="K94" s="97"/>
      <c r="L94" s="139" t="s">
        <v>1492</v>
      </c>
      <c r="M94" s="98"/>
      <c r="N94" s="98"/>
      <c r="O94" s="98"/>
      <c r="P94" s="98"/>
      <c r="Q94" s="98"/>
      <c r="R94" s="98"/>
      <c r="S94" s="99"/>
      <c r="T94" s="98"/>
      <c r="U94" s="98"/>
      <c r="V94" s="98"/>
      <c r="W94" s="100" t="b">
        <v>0</v>
      </c>
      <c r="X94" s="100" t="b">
        <v>0</v>
      </c>
      <c r="Y94" s="101" t="b">
        <v>0</v>
      </c>
      <c r="Z94" s="96" t="s">
        <v>659</v>
      </c>
    </row>
    <row r="95" spans="1:46" ht="88.05" customHeight="1" outlineLevel="1">
      <c r="A95" s="58">
        <v>483</v>
      </c>
      <c r="B95" s="92" t="str">
        <f>[1]트램표준체크리스트!B810</f>
        <v>소방</v>
      </c>
      <c r="C95" s="92" t="s">
        <v>2019</v>
      </c>
      <c r="D95" s="93" t="str">
        <f>[1]트램표준체크리스트!F810</f>
        <v>설계 내역에 건설현장 임시소방시설(간이소화장치, 방화포 등)이 누락돼, 안전 비용 부족으로 시공사가 화재 예방을 소홀히 할 리스크를 검토하였는가?</v>
      </c>
      <c r="E95" s="93" t="s">
        <v>666</v>
      </c>
      <c r="F95" s="94" t="str">
        <f t="shared" si="4"/>
        <v>하</v>
      </c>
      <c r="G95" s="63" t="s">
        <v>2668</v>
      </c>
      <c r="H95" s="63" t="s">
        <v>2674</v>
      </c>
      <c r="I95" s="199" t="s">
        <v>667</v>
      </c>
      <c r="J95" s="139"/>
      <c r="K95" s="97"/>
      <c r="L95" s="139" t="s">
        <v>1492</v>
      </c>
      <c r="M95" s="98"/>
      <c r="N95" s="98"/>
      <c r="O95" s="98"/>
      <c r="P95" s="98"/>
      <c r="Q95" s="98"/>
      <c r="R95" s="98"/>
      <c r="S95" s="99"/>
      <c r="T95" s="98"/>
      <c r="U95" s="98"/>
      <c r="V95" s="98"/>
      <c r="W95" s="100" t="b">
        <v>0</v>
      </c>
      <c r="X95" s="100" t="b">
        <v>0</v>
      </c>
      <c r="Y95" s="101" t="b">
        <v>0</v>
      </c>
      <c r="Z95" s="96" t="s">
        <v>668</v>
      </c>
    </row>
    <row r="96" spans="1:46" ht="88.05" customHeight="1" outlineLevel="1">
      <c r="A96" s="58">
        <v>484</v>
      </c>
      <c r="B96" s="92" t="str">
        <f>[1]트램표준체크리스트!B811</f>
        <v>소방</v>
      </c>
      <c r="C96" s="92" t="s">
        <v>2019</v>
      </c>
      <c r="D96" s="93" t="str">
        <f>[1]트램표준체크리스트!F811</f>
        <v>임시소방시설(간이소화장치, 방화포 등) 내역 누락으로 현장 용접 시 화재 초동 대처 수단이 부재할 리스크를 검토하였는가?</v>
      </c>
      <c r="E96" s="93" t="s">
        <v>672</v>
      </c>
      <c r="F96" s="94" t="str">
        <f t="shared" si="4"/>
        <v>하</v>
      </c>
      <c r="G96" s="63" t="s">
        <v>2668</v>
      </c>
      <c r="H96" s="63" t="s">
        <v>2674</v>
      </c>
      <c r="I96" s="199" t="s">
        <v>673</v>
      </c>
      <c r="J96" s="139"/>
      <c r="K96" s="97"/>
      <c r="L96" s="139" t="s">
        <v>1492</v>
      </c>
      <c r="M96" s="98"/>
      <c r="N96" s="98"/>
      <c r="O96" s="98"/>
      <c r="P96" s="98"/>
      <c r="Q96" s="98"/>
      <c r="R96" s="98"/>
      <c r="S96" s="99"/>
      <c r="T96" s="98"/>
      <c r="U96" s="98"/>
      <c r="V96" s="98"/>
      <c r="W96" s="100" t="b">
        <v>0</v>
      </c>
      <c r="X96" s="100" t="b">
        <v>0</v>
      </c>
      <c r="Y96" s="101" t="b">
        <v>0</v>
      </c>
      <c r="Z96" s="96" t="s">
        <v>398</v>
      </c>
    </row>
    <row r="97" spans="1:46" ht="88.05" customHeight="1" outlineLevel="1">
      <c r="A97" s="58">
        <v>485</v>
      </c>
      <c r="B97" s="92" t="str">
        <f>[1]트램표준체크리스트!B812</f>
        <v>소방</v>
      </c>
      <c r="C97" s="92" t="s">
        <v>2019</v>
      </c>
      <c r="D97" s="93" t="str">
        <f>[1]트램표준체크리스트!F812</f>
        <v>고천장 구역 일반 연기식 감지기 설계로 크레인 간섭, 감지 지연 및 점검·교체가 불가해질 리스크를 검토하였는가?</v>
      </c>
      <c r="E97" s="93" t="s">
        <v>674</v>
      </c>
      <c r="F97" s="94" t="str">
        <f t="shared" si="4"/>
        <v>하</v>
      </c>
      <c r="G97" s="63" t="s">
        <v>2668</v>
      </c>
      <c r="H97" s="63" t="s">
        <v>2674</v>
      </c>
      <c r="I97" s="199" t="s">
        <v>675</v>
      </c>
      <c r="J97" s="139"/>
      <c r="K97" s="97"/>
      <c r="L97" s="139" t="s">
        <v>1492</v>
      </c>
      <c r="M97" s="98"/>
      <c r="N97" s="98"/>
      <c r="O97" s="98"/>
      <c r="P97" s="98"/>
      <c r="Q97" s="98"/>
      <c r="R97" s="98"/>
      <c r="S97" s="99"/>
      <c r="T97" s="98"/>
      <c r="U97" s="98"/>
      <c r="V97" s="98"/>
      <c r="W97" s="100" t="b">
        <v>0</v>
      </c>
      <c r="X97" s="100" t="b">
        <v>0</v>
      </c>
      <c r="Y97" s="101" t="b">
        <v>0</v>
      </c>
      <c r="Z97" s="96" t="s">
        <v>398</v>
      </c>
    </row>
    <row r="98" spans="1:46" s="134" customFormat="1" ht="96.6" customHeight="1" outlineLevel="1">
      <c r="A98" s="58">
        <v>486</v>
      </c>
      <c r="B98" s="92" t="str">
        <f>[1]트램표준체크리스트!B813</f>
        <v>소방</v>
      </c>
      <c r="C98" s="92" t="s">
        <v>2019</v>
      </c>
      <c r="D98" s="93" t="str">
        <f>[1]트램표준체크리스트!F813</f>
        <v>관통부 틈새 내화채움구조 설계 누락으로 유독가스와 화염이 타 구획으로 급격히 확산될 대형 방재 리스크를 검토하였는가?</v>
      </c>
      <c r="E98" s="93" t="s">
        <v>679</v>
      </c>
      <c r="F98" s="94" t="str">
        <f t="shared" si="4"/>
        <v>하</v>
      </c>
      <c r="G98" s="63" t="s">
        <v>2668</v>
      </c>
      <c r="H98" s="63" t="s">
        <v>2674</v>
      </c>
      <c r="I98" s="199" t="s">
        <v>680</v>
      </c>
      <c r="J98" s="139"/>
      <c r="K98" s="97"/>
      <c r="L98" s="139" t="s">
        <v>1492</v>
      </c>
      <c r="M98" s="98"/>
      <c r="N98" s="98"/>
      <c r="O98" s="98"/>
      <c r="P98" s="98"/>
      <c r="Q98" s="98"/>
      <c r="R98" s="98"/>
      <c r="S98" s="99"/>
      <c r="T98" s="98"/>
      <c r="U98" s="98"/>
      <c r="V98" s="98"/>
      <c r="W98" s="100" t="b">
        <v>0</v>
      </c>
      <c r="X98" s="100" t="b">
        <v>0</v>
      </c>
      <c r="Y98" s="101" t="b">
        <v>0</v>
      </c>
      <c r="Z98" s="96" t="s">
        <v>681</v>
      </c>
      <c r="AA98" s="7"/>
      <c r="AB98" s="7"/>
      <c r="AC98" s="16"/>
      <c r="AD98" s="16"/>
      <c r="AE98" s="16"/>
      <c r="AF98" s="16"/>
      <c r="AG98" s="7"/>
      <c r="AH98" s="7"/>
      <c r="AI98" s="7"/>
      <c r="AJ98" s="7"/>
      <c r="AK98" s="7"/>
      <c r="AL98" s="7"/>
      <c r="AM98" s="7"/>
      <c r="AN98" s="7"/>
      <c r="AO98" s="7"/>
      <c r="AP98" s="7"/>
      <c r="AQ98" s="7"/>
      <c r="AR98" s="7"/>
      <c r="AS98" s="7"/>
      <c r="AT98" s="7"/>
    </row>
    <row r="99" spans="1:46" ht="103.65" customHeight="1" outlineLevel="1">
      <c r="A99" s="58">
        <v>487</v>
      </c>
      <c r="B99" s="92" t="str">
        <f>[1]트램표준체크리스트!B814</f>
        <v>소방</v>
      </c>
      <c r="C99" s="92" t="s">
        <v>2019</v>
      </c>
      <c r="D99" s="93" t="str">
        <f>[1]트램표준체크리스트!F814</f>
        <v>내진설계(방파판, 스토퍼, 버팀대) 누락으로 지진 시 소방시스템 파손 및 초기 진압에 실패할 리스크를 검토하였는가?</v>
      </c>
      <c r="E99" s="93" t="s">
        <v>685</v>
      </c>
      <c r="F99" s="94" t="str">
        <f t="shared" si="4"/>
        <v>하</v>
      </c>
      <c r="G99" s="63" t="s">
        <v>2668</v>
      </c>
      <c r="H99" s="63" t="s">
        <v>2674</v>
      </c>
      <c r="I99" s="199" t="s">
        <v>686</v>
      </c>
      <c r="J99" s="139"/>
      <c r="K99" s="97"/>
      <c r="L99" s="139" t="s">
        <v>1492</v>
      </c>
      <c r="M99" s="98"/>
      <c r="N99" s="98"/>
      <c r="O99" s="98"/>
      <c r="P99" s="98"/>
      <c r="Q99" s="98"/>
      <c r="R99" s="98"/>
      <c r="S99" s="99"/>
      <c r="T99" s="98"/>
      <c r="U99" s="98"/>
      <c r="V99" s="98"/>
      <c r="W99" s="100" t="b">
        <v>0</v>
      </c>
      <c r="X99" s="100" t="b">
        <v>0</v>
      </c>
      <c r="Y99" s="101" t="b">
        <v>0</v>
      </c>
      <c r="Z99" s="96" t="s">
        <v>469</v>
      </c>
    </row>
    <row r="100" spans="1:46" ht="88.05" customHeight="1" outlineLevel="1">
      <c r="A100" s="58">
        <v>488</v>
      </c>
      <c r="B100" s="92" t="str">
        <f>[1]트램표준체크리스트!B815</f>
        <v>소방</v>
      </c>
      <c r="C100" s="92" t="s">
        <v>2019</v>
      </c>
      <c r="D100" s="93" t="str">
        <f>[1]트램표준체크리스트!F815</f>
        <v>내진설비(방파판, 스토퍼, 버팀대) 물량 누락으로 지진 발생 시 소방 기능이 마비될 리스크를 검토하였는가?</v>
      </c>
      <c r="E100" s="93" t="s">
        <v>693</v>
      </c>
      <c r="F100" s="94" t="str">
        <f t="shared" si="4"/>
        <v>하</v>
      </c>
      <c r="G100" s="63" t="s">
        <v>2668</v>
      </c>
      <c r="H100" s="63" t="s">
        <v>2674</v>
      </c>
      <c r="I100" s="199" t="s">
        <v>694</v>
      </c>
      <c r="J100" s="139"/>
      <c r="K100" s="97"/>
      <c r="L100" s="139" t="s">
        <v>1492</v>
      </c>
      <c r="M100" s="98"/>
      <c r="N100" s="98"/>
      <c r="O100" s="98"/>
      <c r="P100" s="98"/>
      <c r="Q100" s="98"/>
      <c r="R100" s="98"/>
      <c r="S100" s="99"/>
      <c r="T100" s="98"/>
      <c r="U100" s="98"/>
      <c r="V100" s="98"/>
      <c r="W100" s="100" t="b">
        <v>0</v>
      </c>
      <c r="X100" s="100" t="b">
        <v>0</v>
      </c>
      <c r="Y100" s="101" t="b">
        <v>0</v>
      </c>
      <c r="Z100" s="96" t="s">
        <v>668</v>
      </c>
    </row>
    <row r="101" spans="1:46" ht="103.65" customHeight="1" outlineLevel="1">
      <c r="A101" s="58">
        <v>489</v>
      </c>
      <c r="B101" s="92" t="str">
        <f>[1]트램표준체크리스트!B816</f>
        <v>소방</v>
      </c>
      <c r="C101" s="92" t="s">
        <v>2019</v>
      </c>
      <c r="D101" s="93" t="str">
        <f>[1]트램표준체크리스트!F816</f>
        <v>도면의 '호스릴 옥내소화전'을 내역서에 '일반 옥내소화전'으로 오기해 시공 시 공사비 부족 및 잦은 설계변경이 유발될 리스크를 검토하였는가?</v>
      </c>
      <c r="E101" s="93" t="s">
        <v>697</v>
      </c>
      <c r="F101" s="94" t="str">
        <f t="shared" si="4"/>
        <v>하</v>
      </c>
      <c r="G101" s="63" t="s">
        <v>2668</v>
      </c>
      <c r="H101" s="63" t="s">
        <v>2674</v>
      </c>
      <c r="I101" s="199" t="s">
        <v>698</v>
      </c>
      <c r="J101" s="139"/>
      <c r="K101" s="97"/>
      <c r="L101" s="139" t="s">
        <v>1492</v>
      </c>
      <c r="M101" s="98"/>
      <c r="N101" s="98"/>
      <c r="O101" s="98"/>
      <c r="P101" s="98"/>
      <c r="Q101" s="98"/>
      <c r="R101" s="98"/>
      <c r="S101" s="99"/>
      <c r="T101" s="98"/>
      <c r="U101" s="98"/>
      <c r="V101" s="98"/>
      <c r="W101" s="100" t="b">
        <v>0</v>
      </c>
      <c r="X101" s="100" t="b">
        <v>0</v>
      </c>
      <c r="Y101" s="101" t="b">
        <v>0</v>
      </c>
      <c r="Z101" s="96" t="s">
        <v>699</v>
      </c>
    </row>
    <row r="102" spans="1:46" ht="103.65" customHeight="1" outlineLevel="1">
      <c r="A102" s="58">
        <v>490</v>
      </c>
      <c r="B102" s="92" t="str">
        <f>[1]트램표준체크리스트!B817</f>
        <v>소방</v>
      </c>
      <c r="C102" s="92" t="s">
        <v>2019</v>
      </c>
      <c r="D102" s="93" t="str">
        <f>[1]트램표준체크리스트!F817</f>
        <v>비상전원 용량 부족 및 소방 간선 일반 케이블 적용으로 화재 초기 전원 단선에 따른 소방설비 전면 마비 리스크를 검토하였는가?</v>
      </c>
      <c r="E102" s="93" t="s">
        <v>700</v>
      </c>
      <c r="F102" s="94" t="str">
        <f t="shared" si="4"/>
        <v>하</v>
      </c>
      <c r="G102" s="63" t="s">
        <v>2668</v>
      </c>
      <c r="H102" s="63" t="s">
        <v>2674</v>
      </c>
      <c r="I102" s="199" t="s">
        <v>701</v>
      </c>
      <c r="J102" s="139"/>
      <c r="K102" s="97"/>
      <c r="L102" s="139" t="s">
        <v>1492</v>
      </c>
      <c r="M102" s="98"/>
      <c r="N102" s="98"/>
      <c r="O102" s="98"/>
      <c r="P102" s="98"/>
      <c r="Q102" s="98"/>
      <c r="R102" s="98"/>
      <c r="S102" s="99"/>
      <c r="T102" s="98"/>
      <c r="U102" s="98"/>
      <c r="V102" s="98"/>
      <c r="W102" s="100" t="b">
        <v>0</v>
      </c>
      <c r="X102" s="100" t="b">
        <v>0</v>
      </c>
      <c r="Y102" s="101" t="b">
        <v>0</v>
      </c>
      <c r="Z102" s="96" t="s">
        <v>699</v>
      </c>
    </row>
    <row r="103" spans="1:46" ht="88.05" customHeight="1" outlineLevel="1">
      <c r="A103" s="58">
        <v>491</v>
      </c>
      <c r="B103" s="92" t="str">
        <f>[1]트램표준체크리스트!B818</f>
        <v>소방</v>
      </c>
      <c r="C103" s="92" t="s">
        <v>2019</v>
      </c>
      <c r="D103" s="93" t="str">
        <f>[1]트램표준체크리스트!F818</f>
        <v>무선통신보조설비 누락 및 경로 간섭 방치로 화재 시 소방대원 무전 교신이 불가해질 리스크를 검토하였는가?</v>
      </c>
      <c r="E103" s="93" t="s">
        <v>702</v>
      </c>
      <c r="F103" s="94" t="str">
        <f t="shared" si="4"/>
        <v>하</v>
      </c>
      <c r="G103" s="63" t="s">
        <v>2668</v>
      </c>
      <c r="H103" s="63" t="s">
        <v>2674</v>
      </c>
      <c r="I103" s="199" t="s">
        <v>703</v>
      </c>
      <c r="J103" s="139"/>
      <c r="K103" s="97"/>
      <c r="L103" s="139" t="s">
        <v>1492</v>
      </c>
      <c r="M103" s="98"/>
      <c r="N103" s="98"/>
      <c r="O103" s="98"/>
      <c r="P103" s="98"/>
      <c r="Q103" s="98"/>
      <c r="R103" s="98"/>
      <c r="S103" s="99"/>
      <c r="T103" s="98"/>
      <c r="U103" s="98"/>
      <c r="V103" s="98"/>
      <c r="W103" s="100" t="b">
        <v>0</v>
      </c>
      <c r="X103" s="100" t="b">
        <v>0</v>
      </c>
      <c r="Y103" s="101" t="b">
        <v>0</v>
      </c>
      <c r="Z103" s="96" t="s">
        <v>699</v>
      </c>
    </row>
    <row r="104" spans="1:46" ht="103.65" customHeight="1" outlineLevel="1">
      <c r="A104" s="58">
        <v>492</v>
      </c>
      <c r="B104" s="92" t="str">
        <f>[1]트램표준체크리스트!B819</f>
        <v>소방</v>
      </c>
      <c r="C104" s="92" t="s">
        <v>2019</v>
      </c>
      <c r="D104" s="93" t="str">
        <f>[1]트램표준체크리스트!F819</f>
        <v>특별피난계단·제연전실 인터페이스 설계 누락으로 피난 동선에 유독가스가 확산돼 승객 대피가 불가해질 리스크를 검토하였는가?</v>
      </c>
      <c r="E104" s="93" t="s">
        <v>704</v>
      </c>
      <c r="F104" s="94" t="str">
        <f t="shared" si="4"/>
        <v>하</v>
      </c>
      <c r="G104" s="63" t="s">
        <v>2668</v>
      </c>
      <c r="H104" s="63" t="s">
        <v>2674</v>
      </c>
      <c r="I104" s="199" t="s">
        <v>705</v>
      </c>
      <c r="J104" s="139"/>
      <c r="K104" s="97"/>
      <c r="L104" s="139" t="s">
        <v>1492</v>
      </c>
      <c r="M104" s="98"/>
      <c r="N104" s="98"/>
      <c r="O104" s="98"/>
      <c r="P104" s="98"/>
      <c r="Q104" s="98"/>
      <c r="R104" s="98"/>
      <c r="S104" s="99"/>
      <c r="T104" s="98"/>
      <c r="U104" s="98"/>
      <c r="V104" s="98"/>
      <c r="W104" s="100" t="b">
        <v>0</v>
      </c>
      <c r="X104" s="100" t="b">
        <v>0</v>
      </c>
      <c r="Y104" s="101" t="b">
        <v>0</v>
      </c>
      <c r="Z104" s="96" t="s">
        <v>699</v>
      </c>
    </row>
    <row r="105" spans="1:46" ht="103.65" customHeight="1">
      <c r="A105" s="58">
        <v>493</v>
      </c>
      <c r="B105" s="92" t="str">
        <f>[1]트램표준체크리스트!B820</f>
        <v>소방</v>
      </c>
      <c r="C105" s="92" t="s">
        <v>2019</v>
      </c>
      <c r="D105" s="93" t="str">
        <f>[1]트램표준체크리스트!F820</f>
        <v>수신반·자동제어 간 기동정지 연동 접점(Point) 누락으로 화재 시 기존 공조팬이 가동돼 유독가스를 타 구역으로 확산시킬 리스크를 검토하였는가?</v>
      </c>
      <c r="E105" s="93" t="s">
        <v>706</v>
      </c>
      <c r="F105" s="94" t="str">
        <f t="shared" si="4"/>
        <v>하</v>
      </c>
      <c r="G105" s="63" t="s">
        <v>2668</v>
      </c>
      <c r="H105" s="63" t="s">
        <v>2674</v>
      </c>
      <c r="I105" s="199" t="s">
        <v>707</v>
      </c>
      <c r="J105" s="139"/>
      <c r="K105" s="97"/>
      <c r="L105" s="139" t="s">
        <v>1492</v>
      </c>
      <c r="M105" s="98"/>
      <c r="N105" s="98"/>
      <c r="O105" s="98"/>
      <c r="P105" s="98"/>
      <c r="Q105" s="98"/>
      <c r="R105" s="98"/>
      <c r="S105" s="99"/>
      <c r="T105" s="98"/>
      <c r="U105" s="98"/>
      <c r="V105" s="98"/>
      <c r="W105" s="100" t="b">
        <v>0</v>
      </c>
      <c r="X105" s="100" t="b">
        <v>0</v>
      </c>
      <c r="Y105" s="101" t="b">
        <v>0</v>
      </c>
      <c r="Z105" s="96" t="s">
        <v>699</v>
      </c>
    </row>
    <row r="106" spans="1:46" ht="100.2" customHeight="1">
      <c r="A106" s="58">
        <v>494</v>
      </c>
      <c r="B106" s="92" t="str">
        <f>[1]트램표준체크리스트!B821</f>
        <v>소방</v>
      </c>
      <c r="C106" s="92" t="s">
        <v>2019</v>
      </c>
      <c r="D106" s="93" t="str">
        <f>[1]트램표준체크리스트!F821</f>
        <v>관제실 화재 연동 제어망 누락 및 일반 케이블 적용으로 화재 시 통신 단절·전원 소손에 의해 소방시스템이 마비될 리스크를 검토하였는가?</v>
      </c>
      <c r="E106" s="93" t="s">
        <v>708</v>
      </c>
      <c r="F106" s="94" t="str">
        <f t="shared" si="4"/>
        <v>하</v>
      </c>
      <c r="G106" s="63" t="s">
        <v>2668</v>
      </c>
      <c r="H106" s="63" t="s">
        <v>2674</v>
      </c>
      <c r="I106" s="199" t="s">
        <v>709</v>
      </c>
      <c r="J106" s="139"/>
      <c r="K106" s="97"/>
      <c r="L106" s="139" t="s">
        <v>1492</v>
      </c>
      <c r="M106" s="98"/>
      <c r="N106" s="98"/>
      <c r="O106" s="98"/>
      <c r="P106" s="98"/>
      <c r="Q106" s="98"/>
      <c r="R106" s="98"/>
      <c r="S106" s="99"/>
      <c r="T106" s="98"/>
      <c r="U106" s="98"/>
      <c r="V106" s="98"/>
      <c r="W106" s="100" t="b">
        <v>0</v>
      </c>
      <c r="X106" s="100" t="b">
        <v>0</v>
      </c>
      <c r="Y106" s="101" t="b">
        <v>0</v>
      </c>
      <c r="Z106" s="96" t="s">
        <v>699</v>
      </c>
    </row>
    <row r="107" spans="1:46" ht="103.65" customHeight="1">
      <c r="A107" s="58">
        <v>495</v>
      </c>
      <c r="B107" s="92" t="str">
        <f>[1]트램표준체크리스트!B822</f>
        <v>소방</v>
      </c>
      <c r="C107" s="92" t="s">
        <v>2019</v>
      </c>
      <c r="D107" s="93" t="str">
        <f>[1]트램표준체크리스트!F822</f>
        <v>소방 수신반-관제실 간 원격 감시·제어망 연동 누락 및 프로토콜 불일치로 화재 시 재난 상황을 즉시 인지하지 못할 리스크를 검토하였는가?</v>
      </c>
      <c r="E107" s="93" t="s">
        <v>710</v>
      </c>
      <c r="F107" s="94" t="str">
        <f t="shared" si="4"/>
        <v>하</v>
      </c>
      <c r="G107" s="63" t="s">
        <v>2668</v>
      </c>
      <c r="H107" s="63" t="s">
        <v>2674</v>
      </c>
      <c r="I107" s="199" t="s">
        <v>711</v>
      </c>
      <c r="J107" s="139"/>
      <c r="K107" s="97"/>
      <c r="L107" s="139" t="s">
        <v>1492</v>
      </c>
      <c r="M107" s="98"/>
      <c r="N107" s="98"/>
      <c r="O107" s="98"/>
      <c r="P107" s="98"/>
      <c r="Q107" s="98"/>
      <c r="R107" s="98"/>
      <c r="S107" s="99"/>
      <c r="T107" s="98"/>
      <c r="U107" s="98"/>
      <c r="V107" s="98"/>
      <c r="W107" s="100" t="b">
        <v>0</v>
      </c>
      <c r="X107" s="100" t="b">
        <v>0</v>
      </c>
      <c r="Y107" s="101" t="b">
        <v>0</v>
      </c>
      <c r="Z107" s="96" t="s">
        <v>699</v>
      </c>
    </row>
    <row r="108" spans="1:46" ht="103.65" customHeight="1">
      <c r="A108" s="58">
        <v>496</v>
      </c>
      <c r="B108" s="92" t="str">
        <f>[1]트램표준체크리스트!B823</f>
        <v>소방</v>
      </c>
      <c r="C108" s="92" t="s">
        <v>2019</v>
      </c>
      <c r="D108" s="93" t="str">
        <f>[1]트램표준체크리스트!F823</f>
        <v>시운전 수자원·전력 경비 누락으로 시공사가 형식적 무부하(No-Load) 테스트만 수행할 리스크를 검토하였는가?</v>
      </c>
      <c r="E108" s="93" t="s">
        <v>712</v>
      </c>
      <c r="F108" s="94" t="str">
        <f t="shared" ref="F108:F139" si="5">_xlfn.LET(
_xlpm.v_발생, IF(ISNUMBER(SEARCH("빈번", G108)), "상",
IF(ISNUMBER(SEARCH("거의", G108)), "하", "중")),
_xlpm.v_영향, IF(ISNUMBER(SEARCH("1개월", H108)), "상",
IF(ISNUMBER(SEARCH("없음", H108)), "하", "중")),
IF(AND(_xlpm.v_발생="상", _xlpm.v_영향="상"), "극상",
IF(OR(_xlpm.v_발생="상", _xlpm.v_영향="상"), "상",
IF(AND(_xlpm.v_발생="하", _xlpm.v_영향="하"), "하",
"중")))
)</f>
        <v>하</v>
      </c>
      <c r="G108" s="63" t="s">
        <v>2668</v>
      </c>
      <c r="H108" s="63" t="s">
        <v>2674</v>
      </c>
      <c r="I108" s="199" t="s">
        <v>713</v>
      </c>
      <c r="J108" s="139"/>
      <c r="K108" s="97"/>
      <c r="L108" s="139" t="s">
        <v>1492</v>
      </c>
      <c r="M108" s="98"/>
      <c r="N108" s="98"/>
      <c r="O108" s="98"/>
      <c r="P108" s="98"/>
      <c r="Q108" s="98"/>
      <c r="R108" s="98"/>
      <c r="S108" s="99"/>
      <c r="T108" s="98"/>
      <c r="U108" s="98"/>
      <c r="V108" s="98"/>
      <c r="W108" s="100" t="b">
        <v>0</v>
      </c>
      <c r="X108" s="100" t="b">
        <v>0</v>
      </c>
      <c r="Y108" s="101" t="b">
        <v>0</v>
      </c>
      <c r="Z108" s="96" t="s">
        <v>699</v>
      </c>
    </row>
    <row r="109" spans="1:46" ht="103.65" customHeight="1">
      <c r="A109" s="58">
        <v>497</v>
      </c>
      <c r="B109" s="92" t="str">
        <f>[1]트램표준체크리스트!B824</f>
        <v>소방</v>
      </c>
      <c r="C109" s="92" t="s">
        <v>2019</v>
      </c>
      <c r="D109" s="93" t="str">
        <f>[1]트램표준체크리스트!F824</f>
        <v>마감재 불연/내화재료 및 전선류 저독성 난연성능(HF-CO 등) 명기 누락으로 화재 시 급격한 연소 확대 및 유독가스가 발생할 리스크를 검토하였는가?</v>
      </c>
      <c r="E109" s="93" t="s">
        <v>714</v>
      </c>
      <c r="F109" s="94" t="str">
        <f t="shared" si="5"/>
        <v>하</v>
      </c>
      <c r="G109" s="63" t="s">
        <v>2668</v>
      </c>
      <c r="H109" s="63" t="s">
        <v>2674</v>
      </c>
      <c r="I109" s="199" t="s">
        <v>715</v>
      </c>
      <c r="J109" s="139"/>
      <c r="K109" s="97"/>
      <c r="L109" s="139" t="s">
        <v>1492</v>
      </c>
      <c r="M109" s="98"/>
      <c r="N109" s="98"/>
      <c r="O109" s="98"/>
      <c r="P109" s="98"/>
      <c r="Q109" s="98"/>
      <c r="R109" s="98"/>
      <c r="S109" s="99"/>
      <c r="T109" s="98"/>
      <c r="U109" s="98"/>
      <c r="V109" s="98"/>
      <c r="W109" s="100" t="b">
        <v>0</v>
      </c>
      <c r="X109" s="100" t="b">
        <v>0</v>
      </c>
      <c r="Y109" s="101" t="b">
        <v>0</v>
      </c>
      <c r="Z109" s="96" t="s">
        <v>699</v>
      </c>
    </row>
    <row r="110" spans="1:46" s="134" customFormat="1" ht="103.65" customHeight="1">
      <c r="A110" s="58">
        <v>498</v>
      </c>
      <c r="B110" s="92" t="str">
        <f>[1]트램표준체크리스트!B825</f>
        <v>소방</v>
      </c>
      <c r="C110" s="92" t="s">
        <v>2019</v>
      </c>
      <c r="D110" s="93" t="str">
        <f>[1]트램표준체크리스트!F825</f>
        <v>외기 노출 구역 동파방지용 열선·보온재 누락으로 혹한기 배관 결빙·파열에 따른 수계 소화설비 가동 전면 불능 리스크를 검토하였는가?</v>
      </c>
      <c r="E110" s="93" t="s">
        <v>716</v>
      </c>
      <c r="F110" s="94" t="str">
        <f t="shared" si="5"/>
        <v>하</v>
      </c>
      <c r="G110" s="63" t="s">
        <v>2668</v>
      </c>
      <c r="H110" s="63" t="s">
        <v>2674</v>
      </c>
      <c r="I110" s="199" t="s">
        <v>717</v>
      </c>
      <c r="J110" s="139"/>
      <c r="K110" s="97"/>
      <c r="L110" s="139" t="s">
        <v>1492</v>
      </c>
      <c r="M110" s="98"/>
      <c r="N110" s="98"/>
      <c r="O110" s="98"/>
      <c r="P110" s="98"/>
      <c r="Q110" s="98"/>
      <c r="R110" s="98"/>
      <c r="S110" s="99"/>
      <c r="T110" s="98"/>
      <c r="U110" s="98"/>
      <c r="V110" s="98"/>
      <c r="W110" s="100" t="b">
        <v>0</v>
      </c>
      <c r="X110" s="100" t="b">
        <v>0</v>
      </c>
      <c r="Y110" s="101" t="b">
        <v>0</v>
      </c>
      <c r="Z110" s="96" t="s">
        <v>699</v>
      </c>
      <c r="AA110" s="7"/>
      <c r="AB110" s="7"/>
      <c r="AC110" s="16"/>
      <c r="AD110" s="16"/>
      <c r="AE110" s="16"/>
      <c r="AF110" s="16"/>
      <c r="AG110" s="7"/>
      <c r="AH110" s="7"/>
      <c r="AI110" s="7"/>
      <c r="AJ110" s="7"/>
      <c r="AK110" s="7"/>
      <c r="AL110" s="7"/>
      <c r="AM110" s="7"/>
      <c r="AN110" s="7"/>
      <c r="AO110" s="7"/>
      <c r="AP110" s="7"/>
      <c r="AQ110" s="7"/>
      <c r="AR110" s="7"/>
      <c r="AS110" s="7"/>
      <c r="AT110" s="7"/>
    </row>
    <row r="111" spans="1:46" ht="103.65" customHeight="1">
      <c r="A111" s="58">
        <v>499</v>
      </c>
      <c r="B111" s="92" t="str">
        <f>[1]트램표준체크리스트!B826</f>
        <v>소방</v>
      </c>
      <c r="C111" s="92" t="s">
        <v>2019</v>
      </c>
      <c r="D111" s="93" t="str">
        <f>[1]트램표준체크리스트!F826</f>
        <v>스프링클러·옥내소화전 주배관 겸용 설계로 법을 위반하거나 상수도 직결 누락으로 정전 시 소화수 공급이 중단될 리스크를 검토하였는가?</v>
      </c>
      <c r="E111" s="93" t="s">
        <v>718</v>
      </c>
      <c r="F111" s="62" t="str">
        <f t="shared" si="5"/>
        <v>하</v>
      </c>
      <c r="G111" s="63" t="s">
        <v>2668</v>
      </c>
      <c r="H111" s="63" t="s">
        <v>2674</v>
      </c>
      <c r="I111" s="199" t="s">
        <v>719</v>
      </c>
      <c r="J111" s="139"/>
      <c r="K111" s="97"/>
      <c r="L111" s="139" t="s">
        <v>1492</v>
      </c>
      <c r="M111" s="98"/>
      <c r="N111" s="98"/>
      <c r="O111" s="98"/>
      <c r="P111" s="98"/>
      <c r="Q111" s="98"/>
      <c r="R111" s="98"/>
      <c r="S111" s="99"/>
      <c r="T111" s="98"/>
      <c r="U111" s="98"/>
      <c r="V111" s="98"/>
      <c r="W111" s="100" t="b">
        <v>0</v>
      </c>
      <c r="X111" s="100" t="b">
        <v>0</v>
      </c>
      <c r="Y111" s="101" t="b">
        <v>0</v>
      </c>
      <c r="Z111" s="96" t="s">
        <v>699</v>
      </c>
    </row>
    <row r="112" spans="1:46" ht="103.65" customHeight="1">
      <c r="A112" s="58">
        <v>500</v>
      </c>
      <c r="B112" s="92" t="str">
        <f>[1]트램표준체크리스트!B827</f>
        <v>소방</v>
      </c>
      <c r="C112" s="92" t="s">
        <v>2019</v>
      </c>
      <c r="D112" s="93" t="str">
        <f>[1]트램표준체크리스트!F827</f>
        <v>연결송수관을 소방용(건식) 전용 설계해 검사고 살수 겸용 입찰안내서 지침을 위반하거나 배관 내 사수가 발생할 리스크를 검토하였는가?</v>
      </c>
      <c r="E112" s="93" t="s">
        <v>720</v>
      </c>
      <c r="F112" s="62" t="str">
        <f t="shared" si="5"/>
        <v>하</v>
      </c>
      <c r="G112" s="63" t="s">
        <v>2668</v>
      </c>
      <c r="H112" s="63" t="s">
        <v>2674</v>
      </c>
      <c r="I112" s="199" t="s">
        <v>721</v>
      </c>
      <c r="J112" s="139"/>
      <c r="K112" s="97"/>
      <c r="L112" s="139" t="s">
        <v>1492</v>
      </c>
      <c r="M112" s="98"/>
      <c r="N112" s="98"/>
      <c r="O112" s="98"/>
      <c r="P112" s="98"/>
      <c r="Q112" s="98"/>
      <c r="R112" s="98"/>
      <c r="S112" s="99"/>
      <c r="T112" s="98"/>
      <c r="U112" s="98"/>
      <c r="V112" s="98"/>
      <c r="W112" s="100" t="b">
        <v>0</v>
      </c>
      <c r="X112" s="100" t="b">
        <v>0</v>
      </c>
      <c r="Y112" s="101" t="b">
        <v>0</v>
      </c>
      <c r="Z112" s="96" t="s">
        <v>699</v>
      </c>
    </row>
    <row r="113" spans="1:46" ht="103.65" customHeight="1">
      <c r="A113" s="58">
        <v>501</v>
      </c>
      <c r="B113" s="92" t="str">
        <f>[1]트램표준체크리스트!B828</f>
        <v>소방</v>
      </c>
      <c r="C113" s="92" t="s">
        <v>2019</v>
      </c>
      <c r="D113" s="93" t="str">
        <f>[1]트램표준체크리스트!F828</f>
        <v>비난방 구역 동파방지 열선·보온재 누락으로 한파 시 배관 동파 및 소화수 누출로 기지 소방 기능이 마비될 리스크를 검토하였는가?</v>
      </c>
      <c r="E113" s="93" t="s">
        <v>722</v>
      </c>
      <c r="F113" s="62" t="str">
        <f t="shared" si="5"/>
        <v>하</v>
      </c>
      <c r="G113" s="63" t="s">
        <v>2668</v>
      </c>
      <c r="H113" s="63" t="s">
        <v>2674</v>
      </c>
      <c r="I113" s="199" t="s">
        <v>723</v>
      </c>
      <c r="J113" s="139"/>
      <c r="K113" s="97"/>
      <c r="L113" s="139" t="s">
        <v>1492</v>
      </c>
      <c r="M113" s="98"/>
      <c r="N113" s="98"/>
      <c r="O113" s="98"/>
      <c r="P113" s="98"/>
      <c r="Q113" s="98"/>
      <c r="R113" s="98"/>
      <c r="S113" s="99"/>
      <c r="T113" s="98"/>
      <c r="U113" s="98"/>
      <c r="V113" s="98"/>
      <c r="W113" s="100" t="b">
        <v>0</v>
      </c>
      <c r="X113" s="100" t="b">
        <v>0</v>
      </c>
      <c r="Y113" s="101" t="b">
        <v>0</v>
      </c>
      <c r="Z113" s="96" t="s">
        <v>699</v>
      </c>
    </row>
    <row r="114" spans="1:46" ht="103.65" customHeight="1">
      <c r="A114" s="58">
        <v>502</v>
      </c>
      <c r="B114" s="92" t="str">
        <f>[1]트램표준체크리스트!B829</f>
        <v>소방</v>
      </c>
      <c r="C114" s="92" t="s">
        <v>2019</v>
      </c>
      <c r="D114" s="93" t="str">
        <f>[1]트램표준체크리스트!F829</f>
        <v>일반형(비주소형) 감지기 적용으로 발화 위치 파악 지연 및 잦은 오작동(비화재보)에 의해 소방 시스템 신뢰성이 저하될 리스크를 검토하였는가?</v>
      </c>
      <c r="E114" s="93" t="s">
        <v>724</v>
      </c>
      <c r="F114" s="62" t="str">
        <f t="shared" si="5"/>
        <v>하</v>
      </c>
      <c r="G114" s="63" t="s">
        <v>2668</v>
      </c>
      <c r="H114" s="63" t="s">
        <v>2674</v>
      </c>
      <c r="I114" s="199" t="s">
        <v>725</v>
      </c>
      <c r="J114" s="139"/>
      <c r="K114" s="97"/>
      <c r="L114" s="139" t="s">
        <v>1492</v>
      </c>
      <c r="M114" s="98"/>
      <c r="N114" s="98"/>
      <c r="O114" s="98"/>
      <c r="P114" s="98"/>
      <c r="Q114" s="98"/>
      <c r="R114" s="98"/>
      <c r="S114" s="99"/>
      <c r="T114" s="98"/>
      <c r="U114" s="98"/>
      <c r="V114" s="98"/>
      <c r="W114" s="100" t="b">
        <v>0</v>
      </c>
      <c r="X114" s="100" t="b">
        <v>0</v>
      </c>
      <c r="Y114" s="101" t="b">
        <v>0</v>
      </c>
      <c r="Z114" s="96" t="s">
        <v>699</v>
      </c>
    </row>
    <row r="115" spans="1:46" ht="103.65" customHeight="1">
      <c r="A115" s="58">
        <v>503</v>
      </c>
      <c r="B115" s="92" t="str">
        <f>[1]트램표준체크리스트!B830</f>
        <v>소방</v>
      </c>
      <c r="C115" s="92" t="s">
        <v>2019</v>
      </c>
      <c r="D115" s="93" t="str">
        <f>[1]트램표준체크리스트!F830</f>
        <v>소화기 간격(20m 이내) 초과 및 지하층 공기호흡기(2대 이상) 누락으로 초기 진화 실패 및 고립 승객 질식 위험이 가중될 리스크를 검토하였는가?</v>
      </c>
      <c r="E115" s="93" t="s">
        <v>726</v>
      </c>
      <c r="F115" s="94" t="str">
        <f t="shared" si="5"/>
        <v>하</v>
      </c>
      <c r="G115" s="63" t="s">
        <v>2668</v>
      </c>
      <c r="H115" s="63" t="s">
        <v>2674</v>
      </c>
      <c r="I115" s="199" t="s">
        <v>727</v>
      </c>
      <c r="J115" s="139"/>
      <c r="K115" s="97"/>
      <c r="L115" s="139" t="s">
        <v>1492</v>
      </c>
      <c r="M115" s="98"/>
      <c r="N115" s="98"/>
      <c r="O115" s="98"/>
      <c r="P115" s="98"/>
      <c r="Q115" s="98"/>
      <c r="R115" s="98"/>
      <c r="S115" s="99"/>
      <c r="T115" s="98"/>
      <c r="U115" s="98"/>
      <c r="V115" s="98"/>
      <c r="W115" s="100" t="b">
        <v>0</v>
      </c>
      <c r="X115" s="100" t="b">
        <v>0</v>
      </c>
      <c r="Y115" s="101" t="b">
        <v>0</v>
      </c>
      <c r="Z115" s="96" t="s">
        <v>699</v>
      </c>
    </row>
    <row r="116" spans="1:46" s="134" customFormat="1" ht="103.65" customHeight="1">
      <c r="A116" s="58">
        <v>504</v>
      </c>
      <c r="B116" s="92" t="str">
        <f>[1]트램표준체크리스트!B831</f>
        <v>소방</v>
      </c>
      <c r="C116" s="92" t="s">
        <v>2019</v>
      </c>
      <c r="D116" s="93" t="str">
        <f>[1]트램표준체크리스트!F831</f>
        <v>면적·구역원 과소평가로 스프링클러 누락 및 옥내소화전 간격 25m 초과로 소화 사각지대가 발생할 리스크를 검토하였는가?</v>
      </c>
      <c r="E116" s="93" t="s">
        <v>728</v>
      </c>
      <c r="F116" s="94" t="str">
        <f t="shared" si="5"/>
        <v>하</v>
      </c>
      <c r="G116" s="63" t="s">
        <v>2668</v>
      </c>
      <c r="H116" s="63" t="s">
        <v>2674</v>
      </c>
      <c r="I116" s="199" t="s">
        <v>729</v>
      </c>
      <c r="J116" s="139"/>
      <c r="K116" s="97"/>
      <c r="L116" s="139" t="s">
        <v>1492</v>
      </c>
      <c r="M116" s="98"/>
      <c r="N116" s="98"/>
      <c r="O116" s="98"/>
      <c r="P116" s="98"/>
      <c r="Q116" s="98"/>
      <c r="R116" s="98"/>
      <c r="S116" s="99"/>
      <c r="T116" s="98"/>
      <c r="U116" s="98"/>
      <c r="V116" s="98"/>
      <c r="W116" s="100" t="b">
        <v>0</v>
      </c>
      <c r="X116" s="100" t="b">
        <v>0</v>
      </c>
      <c r="Y116" s="101" t="b">
        <v>0</v>
      </c>
      <c r="Z116" s="96" t="s">
        <v>699</v>
      </c>
      <c r="AA116" s="7"/>
      <c r="AB116" s="7"/>
      <c r="AC116" s="16"/>
      <c r="AD116" s="16"/>
      <c r="AE116" s="16"/>
      <c r="AF116" s="16"/>
      <c r="AG116" s="7"/>
      <c r="AH116" s="7"/>
      <c r="AI116" s="7"/>
      <c r="AJ116" s="7"/>
      <c r="AK116" s="7"/>
      <c r="AL116" s="7"/>
      <c r="AM116" s="7"/>
      <c r="AN116" s="7"/>
      <c r="AO116" s="7"/>
      <c r="AP116" s="7"/>
      <c r="AQ116" s="7"/>
      <c r="AR116" s="7"/>
      <c r="AS116" s="7"/>
      <c r="AT116" s="7"/>
    </row>
    <row r="117" spans="1:46" ht="88.05" customHeight="1">
      <c r="A117" s="58">
        <v>505</v>
      </c>
      <c r="B117" s="92" t="str">
        <f>[1]트램표준체크리스트!B832</f>
        <v>소방</v>
      </c>
      <c r="C117" s="92" t="s">
        <v>2019</v>
      </c>
      <c r="D117" s="93" t="str">
        <f>[1]트램표준체크리스트!F832</f>
        <v>제연 기류속도 설계 오류(2.5m/s 미만 또는 3.0m/s 초과)로 연기 확산 및 승객 피난 보행을 방해할 방재 리스크를 검토하였는가?</v>
      </c>
      <c r="E117" s="93" t="s">
        <v>730</v>
      </c>
      <c r="F117" s="94" t="str">
        <f t="shared" si="5"/>
        <v>하</v>
      </c>
      <c r="G117" s="63" t="s">
        <v>2668</v>
      </c>
      <c r="H117" s="63" t="s">
        <v>2674</v>
      </c>
      <c r="I117" s="199" t="s">
        <v>731</v>
      </c>
      <c r="J117" s="139"/>
      <c r="K117" s="97"/>
      <c r="L117" s="139" t="s">
        <v>1492</v>
      </c>
      <c r="M117" s="98"/>
      <c r="N117" s="98"/>
      <c r="O117" s="98"/>
      <c r="P117" s="98"/>
      <c r="Q117" s="98"/>
      <c r="R117" s="98"/>
      <c r="S117" s="99"/>
      <c r="T117" s="98"/>
      <c r="U117" s="98"/>
      <c r="V117" s="98"/>
      <c r="W117" s="100" t="b">
        <v>0</v>
      </c>
      <c r="X117" s="100" t="b">
        <v>0</v>
      </c>
      <c r="Y117" s="101" t="b">
        <v>0</v>
      </c>
      <c r="Z117" s="96" t="s">
        <v>699</v>
      </c>
    </row>
    <row r="118" spans="1:46" ht="88.05" customHeight="1">
      <c r="A118" s="58">
        <v>506</v>
      </c>
      <c r="B118" s="92" t="str">
        <f>[1]트램표준체크리스트!B833</f>
        <v>소방</v>
      </c>
      <c r="C118" s="92" t="s">
        <v>2019</v>
      </c>
      <c r="D118" s="93" t="str">
        <f>[1]트램표준체크리스트!F833</f>
        <v>제연설비 설계 시 시뮬레이션 검증 누락으로 기류 제어 및 배연 성능이 부족해 대규모 질식사고가 발생할 리스크를 검토하였는가?</v>
      </c>
      <c r="E118" s="93" t="s">
        <v>732</v>
      </c>
      <c r="F118" s="94" t="str">
        <f t="shared" si="5"/>
        <v>하</v>
      </c>
      <c r="G118" s="63" t="s">
        <v>2668</v>
      </c>
      <c r="H118" s="63" t="s">
        <v>2674</v>
      </c>
      <c r="I118" s="199" t="s">
        <v>733</v>
      </c>
      <c r="J118" s="139"/>
      <c r="K118" s="97"/>
      <c r="L118" s="139" t="s">
        <v>1492</v>
      </c>
      <c r="M118" s="98"/>
      <c r="N118" s="98"/>
      <c r="O118" s="98"/>
      <c r="P118" s="98"/>
      <c r="Q118" s="98"/>
      <c r="R118" s="98"/>
      <c r="S118" s="99"/>
      <c r="T118" s="98"/>
      <c r="U118" s="98"/>
      <c r="V118" s="98"/>
      <c r="W118" s="100" t="b">
        <v>0</v>
      </c>
      <c r="X118" s="100" t="b">
        <v>0</v>
      </c>
      <c r="Y118" s="101" t="b">
        <v>0</v>
      </c>
      <c r="Z118" s="96" t="s">
        <v>699</v>
      </c>
    </row>
    <row r="119" spans="1:46" ht="88.05" customHeight="1">
      <c r="A119" s="58">
        <v>507</v>
      </c>
      <c r="B119" s="92" t="str">
        <f>[1]트램표준체크리스트!B834</f>
        <v>소방</v>
      </c>
      <c r="C119" s="92" t="s">
        <v>2019</v>
      </c>
      <c r="D119" s="93" t="str">
        <f>[1]트램표준체크리스트!F834</f>
        <v>제연 방식 분석 및 환기설비 화재 연동 제어 계획 누락으로 대공간 화재 시 농연 배출에 실패할 리스크를 검토하였는가?</v>
      </c>
      <c r="E119" s="93" t="s">
        <v>734</v>
      </c>
      <c r="F119" s="94" t="str">
        <f t="shared" si="5"/>
        <v>하</v>
      </c>
      <c r="G119" s="63" t="s">
        <v>2668</v>
      </c>
      <c r="H119" s="63" t="s">
        <v>2674</v>
      </c>
      <c r="I119" s="199" t="s">
        <v>735</v>
      </c>
      <c r="J119" s="139"/>
      <c r="K119" s="97"/>
      <c r="L119" s="139" t="s">
        <v>1492</v>
      </c>
      <c r="M119" s="98"/>
      <c r="N119" s="98"/>
      <c r="O119" s="98"/>
      <c r="P119" s="98"/>
      <c r="Q119" s="98"/>
      <c r="R119" s="98"/>
      <c r="S119" s="99"/>
      <c r="T119" s="98"/>
      <c r="U119" s="98"/>
      <c r="V119" s="98"/>
      <c r="W119" s="100" t="b">
        <v>0</v>
      </c>
      <c r="X119" s="100" t="b">
        <v>0</v>
      </c>
      <c r="Y119" s="101" t="b">
        <v>0</v>
      </c>
      <c r="Z119" s="96" t="s">
        <v>699</v>
      </c>
    </row>
    <row r="120" spans="1:46" s="134" customFormat="1" ht="103.65" customHeight="1">
      <c r="A120" s="58">
        <v>508</v>
      </c>
      <c r="B120" s="92" t="str">
        <f>[1]트램표준체크리스트!B835</f>
        <v>소방</v>
      </c>
      <c r="C120" s="92" t="s">
        <v>2019</v>
      </c>
      <c r="D120" s="93" t="str">
        <f>[1]트램표준체크리스트!F835</f>
        <v>내열성능(250℃, 1시간) 규격 누락으로 일반 자재가 적용돼 화재 시 제연팬이 조기 소손될 리스크를 검토하였는가?</v>
      </c>
      <c r="E120" s="93" t="s">
        <v>736</v>
      </c>
      <c r="F120" s="94" t="str">
        <f t="shared" si="5"/>
        <v>하</v>
      </c>
      <c r="G120" s="63" t="s">
        <v>2668</v>
      </c>
      <c r="H120" s="63" t="s">
        <v>2674</v>
      </c>
      <c r="I120" s="199" t="s">
        <v>737</v>
      </c>
      <c r="J120" s="139"/>
      <c r="K120" s="97"/>
      <c r="L120" s="139" t="s">
        <v>1492</v>
      </c>
      <c r="M120" s="98"/>
      <c r="N120" s="98"/>
      <c r="O120" s="98"/>
      <c r="P120" s="98"/>
      <c r="Q120" s="98"/>
      <c r="R120" s="98"/>
      <c r="S120" s="99"/>
      <c r="T120" s="98"/>
      <c r="U120" s="98"/>
      <c r="V120" s="98"/>
      <c r="W120" s="100" t="b">
        <v>0</v>
      </c>
      <c r="X120" s="100" t="b">
        <v>0</v>
      </c>
      <c r="Y120" s="101" t="b">
        <v>0</v>
      </c>
      <c r="Z120" s="96" t="s">
        <v>699</v>
      </c>
      <c r="AA120" s="7"/>
      <c r="AB120" s="7"/>
      <c r="AC120" s="16"/>
      <c r="AD120" s="16"/>
      <c r="AE120" s="16"/>
      <c r="AF120" s="16"/>
      <c r="AG120" s="7"/>
      <c r="AH120" s="7"/>
      <c r="AI120" s="7"/>
      <c r="AJ120" s="7"/>
      <c r="AK120" s="7"/>
      <c r="AL120" s="7"/>
      <c r="AM120" s="7"/>
      <c r="AN120" s="7"/>
      <c r="AO120" s="7"/>
      <c r="AP120" s="7"/>
      <c r="AQ120" s="7"/>
      <c r="AR120" s="7"/>
      <c r="AS120" s="7"/>
      <c r="AT120" s="7"/>
    </row>
    <row r="121" spans="1:46" ht="103.65" customHeight="1">
      <c r="A121" s="58">
        <v>509</v>
      </c>
      <c r="B121" s="92" t="str">
        <f>[1]트램표준체크리스트!B836</f>
        <v>소방</v>
      </c>
      <c r="C121" s="92" t="s">
        <v>2019</v>
      </c>
      <c r="D121" s="93" t="str">
        <f>[1]트램표준체크리스트!F836</f>
        <v>터널 방수구 간격 50m 초과 설계로 화재 시 소방호스 도달 거리가 부족해 초기 진압에 실패할 리스크를 검토하였는가?</v>
      </c>
      <c r="E121" s="93" t="s">
        <v>738</v>
      </c>
      <c r="F121" s="94" t="str">
        <f t="shared" si="5"/>
        <v>하</v>
      </c>
      <c r="G121" s="63" t="s">
        <v>2668</v>
      </c>
      <c r="H121" s="63" t="s">
        <v>2674</v>
      </c>
      <c r="I121" s="199" t="s">
        <v>739</v>
      </c>
      <c r="J121" s="139"/>
      <c r="K121" s="97"/>
      <c r="L121" s="139" t="s">
        <v>1492</v>
      </c>
      <c r="M121" s="98"/>
      <c r="N121" s="98"/>
      <c r="O121" s="98"/>
      <c r="P121" s="98"/>
      <c r="Q121" s="98"/>
      <c r="R121" s="98"/>
      <c r="S121" s="99"/>
      <c r="T121" s="98"/>
      <c r="U121" s="98"/>
      <c r="V121" s="98"/>
      <c r="W121" s="100" t="b">
        <v>0</v>
      </c>
      <c r="X121" s="100" t="b">
        <v>0</v>
      </c>
      <c r="Y121" s="101" t="b">
        <v>0</v>
      </c>
      <c r="Z121" s="96" t="s">
        <v>699</v>
      </c>
    </row>
    <row r="122" spans="1:46" ht="103.65" customHeight="1">
      <c r="A122" s="58">
        <v>510</v>
      </c>
      <c r="B122" s="92" t="str">
        <f>[1]트램표준체크리스트!B837</f>
        <v>소방</v>
      </c>
      <c r="C122" s="92" t="s">
        <v>2019</v>
      </c>
      <c r="D122" s="93" t="str">
        <f>[1]트램표준체크리스트!F837</f>
        <v>소방펌프 토출측 상수도 직결 배관 누락으로 대규모 정전 시 수계 소화설비가 무용지물이 될 대형 방재 리스크를 검토하였는가?</v>
      </c>
      <c r="E122" s="93" t="s">
        <v>740</v>
      </c>
      <c r="F122" s="94" t="str">
        <f t="shared" si="5"/>
        <v>하</v>
      </c>
      <c r="G122" s="63" t="s">
        <v>2668</v>
      </c>
      <c r="H122" s="63" t="s">
        <v>2674</v>
      </c>
      <c r="I122" s="199" t="s">
        <v>741</v>
      </c>
      <c r="J122" s="139"/>
      <c r="K122" s="97"/>
      <c r="L122" s="139" t="s">
        <v>1492</v>
      </c>
      <c r="M122" s="98"/>
      <c r="N122" s="98"/>
      <c r="O122" s="98"/>
      <c r="P122" s="98"/>
      <c r="Q122" s="98"/>
      <c r="R122" s="98"/>
      <c r="S122" s="99"/>
      <c r="T122" s="98"/>
      <c r="U122" s="98"/>
      <c r="V122" s="98"/>
      <c r="W122" s="100" t="b">
        <v>0</v>
      </c>
      <c r="X122" s="100" t="b">
        <v>0</v>
      </c>
      <c r="Y122" s="101" t="b">
        <v>0</v>
      </c>
      <c r="Z122" s="96" t="s">
        <v>699</v>
      </c>
    </row>
    <row r="123" spans="1:46" ht="103.65" customHeight="1">
      <c r="A123" s="58">
        <v>511</v>
      </c>
      <c r="B123" s="92" t="str">
        <f>[1]트램표준체크리스트!B838</f>
        <v>소방</v>
      </c>
      <c r="C123" s="92" t="s">
        <v>2019</v>
      </c>
      <c r="D123" s="93" t="str">
        <f>[1]트램표준체크리스트!F838</f>
        <v>시각경보기 등 피난유도설비 누락 및 광원 사각지대 발생으로, 화재 시 교통약자가 대피 타이밍을 놓쳐 대형 인명피해가 유발될 리스크를 검토하였는가?</v>
      </c>
      <c r="E123" s="93" t="s">
        <v>742</v>
      </c>
      <c r="F123" s="94" t="str">
        <f t="shared" si="5"/>
        <v>하</v>
      </c>
      <c r="G123" s="63" t="s">
        <v>2668</v>
      </c>
      <c r="H123" s="63" t="s">
        <v>2674</v>
      </c>
      <c r="I123" s="199" t="s">
        <v>743</v>
      </c>
      <c r="J123" s="139"/>
      <c r="K123" s="97"/>
      <c r="L123" s="139" t="s">
        <v>1492</v>
      </c>
      <c r="M123" s="98"/>
      <c r="N123" s="98"/>
      <c r="O123" s="98"/>
      <c r="P123" s="98"/>
      <c r="Q123" s="98"/>
      <c r="R123" s="98"/>
      <c r="S123" s="99"/>
      <c r="T123" s="98"/>
      <c r="U123" s="98"/>
      <c r="V123" s="98"/>
      <c r="W123" s="100" t="b">
        <v>0</v>
      </c>
      <c r="X123" s="100" t="b">
        <v>0</v>
      </c>
      <c r="Y123" s="101" t="b">
        <v>0</v>
      </c>
      <c r="Z123" s="96" t="s">
        <v>699</v>
      </c>
    </row>
    <row r="124" spans="1:46" ht="103.65" customHeight="1">
      <c r="A124" s="58">
        <v>512</v>
      </c>
      <c r="B124" s="92" t="str">
        <f>[1]트램표준체크리스트!B839</f>
        <v>소방</v>
      </c>
      <c r="C124" s="92" t="s">
        <v>2019</v>
      </c>
      <c r="D124" s="93" t="str">
        <f>[1]트램표준체크리스트!F839</f>
        <v>지상 직통 특별피난계단 및 제연설비 누락으로 화재 시 대피로를 미확보해 다수 승객이 질식할 대형 재난 리스크를 검토하였는가?</v>
      </c>
      <c r="E124" s="93" t="s">
        <v>744</v>
      </c>
      <c r="F124" s="94" t="str">
        <f t="shared" si="5"/>
        <v>하</v>
      </c>
      <c r="G124" s="63" t="s">
        <v>2668</v>
      </c>
      <c r="H124" s="63" t="s">
        <v>2674</v>
      </c>
      <c r="I124" s="199" t="s">
        <v>745</v>
      </c>
      <c r="J124" s="139"/>
      <c r="K124" s="97"/>
      <c r="L124" s="139" t="s">
        <v>1492</v>
      </c>
      <c r="M124" s="98"/>
      <c r="N124" s="98"/>
      <c r="O124" s="98"/>
      <c r="P124" s="98"/>
      <c r="Q124" s="98"/>
      <c r="R124" s="98"/>
      <c r="S124" s="99"/>
      <c r="T124" s="98"/>
      <c r="U124" s="98"/>
      <c r="V124" s="98"/>
      <c r="W124" s="100" t="b">
        <v>0</v>
      </c>
      <c r="X124" s="100" t="b">
        <v>0</v>
      </c>
      <c r="Y124" s="101" t="b">
        <v>0</v>
      </c>
      <c r="Z124" s="96" t="s">
        <v>699</v>
      </c>
    </row>
    <row r="125" spans="1:46" ht="103.65" customHeight="1">
      <c r="A125" s="58">
        <v>23</v>
      </c>
      <c r="B125" s="122" t="s">
        <v>1420</v>
      </c>
      <c r="C125" s="122" t="s">
        <v>4344</v>
      </c>
      <c r="D125" s="124" t="s">
        <v>4513</v>
      </c>
      <c r="E125" s="124" t="s">
        <v>1469</v>
      </c>
      <c r="F125" s="62" t="str">
        <f t="shared" si="5"/>
        <v>하</v>
      </c>
      <c r="G125" s="126" t="s">
        <v>2668</v>
      </c>
      <c r="H125" s="126" t="s">
        <v>2674</v>
      </c>
      <c r="I125" s="124" t="s">
        <v>1470</v>
      </c>
      <c r="J125" s="141" t="s">
        <v>4247</v>
      </c>
      <c r="K125" s="151"/>
      <c r="L125" s="141" t="s">
        <v>1492</v>
      </c>
      <c r="M125" s="141"/>
      <c r="N125" s="141"/>
      <c r="O125" s="141"/>
      <c r="P125" s="141"/>
      <c r="Q125" s="130"/>
      <c r="R125" s="143"/>
      <c r="S125" s="144" t="s">
        <v>1418</v>
      </c>
      <c r="T125" s="143"/>
      <c r="U125" s="141"/>
      <c r="V125" s="142"/>
      <c r="W125" s="146" t="b">
        <v>0</v>
      </c>
      <c r="X125" s="147" t="b">
        <v>1</v>
      </c>
      <c r="Y125" s="146" t="b">
        <v>0</v>
      </c>
      <c r="Z125" s="148" t="s">
        <v>1467</v>
      </c>
      <c r="AA125" s="134"/>
      <c r="AB125" s="134"/>
      <c r="AC125" s="150"/>
      <c r="AD125" s="150"/>
      <c r="AE125" s="150"/>
      <c r="AF125" s="150"/>
      <c r="AG125" s="134"/>
      <c r="AH125" s="134"/>
      <c r="AI125" s="134"/>
      <c r="AJ125" s="150"/>
      <c r="AK125" s="150"/>
      <c r="AL125" s="150"/>
      <c r="AM125" s="150"/>
      <c r="AN125" s="150"/>
      <c r="AO125" s="150"/>
      <c r="AP125" s="150"/>
      <c r="AQ125" s="150"/>
      <c r="AR125" s="150"/>
      <c r="AS125" s="134"/>
      <c r="AT125" s="134"/>
    </row>
    <row r="126" spans="1:46" ht="88.05" customHeight="1">
      <c r="A126" s="58">
        <v>24</v>
      </c>
      <c r="B126" s="122" t="s">
        <v>1460</v>
      </c>
      <c r="C126" s="122" t="s">
        <v>4344</v>
      </c>
      <c r="D126" s="124" t="s">
        <v>1471</v>
      </c>
      <c r="E126" s="124" t="s">
        <v>1472</v>
      </c>
      <c r="F126" s="62" t="str">
        <f t="shared" si="5"/>
        <v>하</v>
      </c>
      <c r="G126" s="126" t="s">
        <v>2668</v>
      </c>
      <c r="H126" s="126" t="s">
        <v>2674</v>
      </c>
      <c r="I126" s="124" t="s">
        <v>1473</v>
      </c>
      <c r="J126" s="141" t="s">
        <v>4247</v>
      </c>
      <c r="K126" s="149"/>
      <c r="L126" s="141" t="s">
        <v>1492</v>
      </c>
      <c r="M126" s="141"/>
      <c r="N126" s="141"/>
      <c r="O126" s="141"/>
      <c r="P126" s="141"/>
      <c r="Q126" s="130"/>
      <c r="R126" s="143"/>
      <c r="S126" s="144" t="s">
        <v>1418</v>
      </c>
      <c r="T126" s="143"/>
      <c r="U126" s="141"/>
      <c r="V126" s="142"/>
      <c r="W126" s="146" t="b">
        <v>0</v>
      </c>
      <c r="X126" s="147" t="b">
        <v>1</v>
      </c>
      <c r="Y126" s="146" t="b">
        <v>0</v>
      </c>
      <c r="Z126" s="148" t="s">
        <v>1467</v>
      </c>
      <c r="AA126" s="134"/>
      <c r="AB126" s="134"/>
      <c r="AC126" s="150"/>
      <c r="AD126" s="150"/>
      <c r="AE126" s="150"/>
      <c r="AF126" s="150"/>
      <c r="AG126" s="134"/>
      <c r="AH126" s="134"/>
      <c r="AI126" s="134"/>
      <c r="AJ126" s="150"/>
      <c r="AK126" s="150"/>
      <c r="AL126" s="150"/>
      <c r="AM126" s="150"/>
      <c r="AN126" s="150"/>
      <c r="AO126" s="150"/>
      <c r="AP126" s="150"/>
      <c r="AQ126" s="150"/>
      <c r="AR126" s="150"/>
      <c r="AS126" s="134"/>
      <c r="AT126" s="134"/>
    </row>
    <row r="127" spans="1:46" ht="103.65" customHeight="1">
      <c r="A127" s="58">
        <v>25</v>
      </c>
      <c r="B127" s="122" t="s">
        <v>1416</v>
      </c>
      <c r="C127" s="122" t="s">
        <v>4344</v>
      </c>
      <c r="D127" s="124" t="s">
        <v>1474</v>
      </c>
      <c r="E127" s="124" t="s">
        <v>1475</v>
      </c>
      <c r="F127" s="125" t="str">
        <f t="shared" si="5"/>
        <v>하</v>
      </c>
      <c r="G127" s="126" t="s">
        <v>2668</v>
      </c>
      <c r="H127" s="126" t="s">
        <v>2674</v>
      </c>
      <c r="I127" s="124" t="s">
        <v>1476</v>
      </c>
      <c r="J127" s="141" t="s">
        <v>4247</v>
      </c>
      <c r="K127" s="149"/>
      <c r="L127" s="141" t="s">
        <v>1492</v>
      </c>
      <c r="M127" s="141"/>
      <c r="N127" s="141"/>
      <c r="O127" s="141"/>
      <c r="P127" s="141"/>
      <c r="Q127" s="130"/>
      <c r="R127" s="143"/>
      <c r="S127" s="144" t="s">
        <v>1418</v>
      </c>
      <c r="T127" s="143"/>
      <c r="U127" s="141"/>
      <c r="V127" s="142"/>
      <c r="W127" s="146" t="b">
        <v>0</v>
      </c>
      <c r="X127" s="146" t="b">
        <v>0</v>
      </c>
      <c r="Y127" s="147" t="b">
        <v>1</v>
      </c>
      <c r="Z127" s="148" t="s">
        <v>1467</v>
      </c>
      <c r="AA127" s="134"/>
      <c r="AB127" s="134"/>
      <c r="AC127" s="150"/>
      <c r="AD127" s="150"/>
      <c r="AE127" s="150"/>
      <c r="AF127" s="150"/>
      <c r="AG127" s="134"/>
      <c r="AH127" s="134"/>
      <c r="AI127" s="134"/>
      <c r="AJ127" s="150"/>
      <c r="AK127" s="150"/>
      <c r="AL127" s="150"/>
      <c r="AM127" s="150"/>
      <c r="AN127" s="150"/>
      <c r="AO127" s="150"/>
      <c r="AP127" s="150"/>
      <c r="AQ127" s="150"/>
      <c r="AR127" s="150"/>
      <c r="AS127" s="134"/>
      <c r="AT127" s="134"/>
    </row>
    <row r="128" spans="1:46" ht="88.05" customHeight="1">
      <c r="A128" s="58">
        <v>32</v>
      </c>
      <c r="B128" s="123" t="s">
        <v>1460</v>
      </c>
      <c r="C128" s="123" t="s">
        <v>4287</v>
      </c>
      <c r="D128" s="124" t="s">
        <v>1506</v>
      </c>
      <c r="E128" s="124" t="s">
        <v>1507</v>
      </c>
      <c r="F128" s="125" t="str">
        <f t="shared" si="5"/>
        <v>하</v>
      </c>
      <c r="G128" s="126" t="s">
        <v>2668</v>
      </c>
      <c r="H128" s="126" t="s">
        <v>2674</v>
      </c>
      <c r="I128" s="197" t="s">
        <v>1508</v>
      </c>
      <c r="J128" s="138" t="s">
        <v>4247</v>
      </c>
      <c r="K128" s="129"/>
      <c r="L128" s="138" t="s">
        <v>1492</v>
      </c>
      <c r="M128" s="130"/>
      <c r="N128" s="130"/>
      <c r="O128" s="130"/>
      <c r="P128" s="130"/>
      <c r="Q128" s="130"/>
      <c r="R128" s="130"/>
      <c r="S128" s="131" t="s">
        <v>1418</v>
      </c>
      <c r="T128" s="130"/>
      <c r="U128" s="130"/>
      <c r="V128" s="130"/>
      <c r="W128" s="132" t="b">
        <v>0</v>
      </c>
      <c r="X128" s="132" t="b">
        <v>0</v>
      </c>
      <c r="Y128" s="133" t="b">
        <v>1</v>
      </c>
      <c r="Z128" s="127" t="s">
        <v>1509</v>
      </c>
      <c r="AA128" s="134"/>
      <c r="AB128" s="134"/>
      <c r="AC128" s="150"/>
      <c r="AD128" s="150"/>
      <c r="AE128" s="150"/>
      <c r="AF128" s="150"/>
      <c r="AG128" s="134"/>
      <c r="AH128" s="134"/>
      <c r="AI128" s="134"/>
      <c r="AJ128" s="150"/>
      <c r="AK128" s="150"/>
      <c r="AL128" s="150"/>
      <c r="AM128" s="150"/>
      <c r="AN128" s="150"/>
      <c r="AO128" s="150"/>
      <c r="AP128" s="150"/>
      <c r="AQ128" s="150"/>
      <c r="AR128" s="150"/>
      <c r="AS128" s="134"/>
      <c r="AT128" s="134"/>
    </row>
    <row r="129" spans="1:46" ht="88.05" customHeight="1">
      <c r="A129" s="58">
        <v>33</v>
      </c>
      <c r="B129" s="123" t="s">
        <v>1460</v>
      </c>
      <c r="C129" s="123" t="s">
        <v>4287</v>
      </c>
      <c r="D129" s="124" t="s">
        <v>1510</v>
      </c>
      <c r="E129" s="124" t="s">
        <v>1511</v>
      </c>
      <c r="F129" s="62" t="str">
        <f t="shared" si="5"/>
        <v>하</v>
      </c>
      <c r="G129" s="126" t="s">
        <v>2668</v>
      </c>
      <c r="H129" s="126" t="s">
        <v>2674</v>
      </c>
      <c r="I129" s="197" t="s">
        <v>1512</v>
      </c>
      <c r="J129" s="138" t="s">
        <v>4247</v>
      </c>
      <c r="K129" s="129"/>
      <c r="L129" s="138" t="s">
        <v>1492</v>
      </c>
      <c r="M129" s="130"/>
      <c r="N129" s="130"/>
      <c r="O129" s="130"/>
      <c r="P129" s="130"/>
      <c r="Q129" s="130"/>
      <c r="R129" s="130"/>
      <c r="S129" s="131" t="s">
        <v>1418</v>
      </c>
      <c r="T129" s="130"/>
      <c r="U129" s="130"/>
      <c r="V129" s="130"/>
      <c r="W129" s="132" t="b">
        <v>0</v>
      </c>
      <c r="X129" s="132" t="b">
        <v>0</v>
      </c>
      <c r="Y129" s="133" t="b">
        <v>1</v>
      </c>
      <c r="Z129" s="127" t="s">
        <v>1513</v>
      </c>
      <c r="AA129" s="134"/>
      <c r="AB129" s="134"/>
      <c r="AC129" s="150"/>
      <c r="AD129" s="150"/>
      <c r="AE129" s="150"/>
      <c r="AF129" s="150"/>
      <c r="AG129" s="134"/>
      <c r="AH129" s="134"/>
      <c r="AI129" s="134"/>
      <c r="AJ129" s="150"/>
      <c r="AK129" s="150"/>
      <c r="AL129" s="150"/>
      <c r="AM129" s="150"/>
      <c r="AN129" s="150"/>
      <c r="AO129" s="150"/>
      <c r="AP129" s="150"/>
      <c r="AQ129" s="150"/>
      <c r="AR129" s="150"/>
      <c r="AS129" s="134"/>
      <c r="AT129" s="134"/>
    </row>
    <row r="130" spans="1:46" ht="88.05" customHeight="1">
      <c r="A130" s="58">
        <v>34</v>
      </c>
      <c r="B130" s="123" t="s">
        <v>1460</v>
      </c>
      <c r="C130" s="123" t="s">
        <v>4439</v>
      </c>
      <c r="D130" s="124" t="s">
        <v>1514</v>
      </c>
      <c r="E130" s="124" t="s">
        <v>1515</v>
      </c>
      <c r="F130" s="125" t="str">
        <f t="shared" si="5"/>
        <v>하</v>
      </c>
      <c r="G130" s="126" t="s">
        <v>2668</v>
      </c>
      <c r="H130" s="126" t="s">
        <v>2674</v>
      </c>
      <c r="I130" s="197" t="s">
        <v>1516</v>
      </c>
      <c r="J130" s="138" t="s">
        <v>4247</v>
      </c>
      <c r="K130" s="129"/>
      <c r="L130" s="138" t="s">
        <v>1492</v>
      </c>
      <c r="M130" s="130"/>
      <c r="N130" s="130"/>
      <c r="O130" s="130"/>
      <c r="P130" s="130"/>
      <c r="Q130" s="130"/>
      <c r="R130" s="130"/>
      <c r="S130" s="131" t="s">
        <v>1418</v>
      </c>
      <c r="T130" s="130"/>
      <c r="U130" s="130"/>
      <c r="V130" s="130"/>
      <c r="W130" s="132" t="b">
        <v>0</v>
      </c>
      <c r="X130" s="132" t="b">
        <v>0</v>
      </c>
      <c r="Y130" s="133" t="b">
        <v>1</v>
      </c>
      <c r="Z130" s="127" t="s">
        <v>1517</v>
      </c>
      <c r="AA130" s="134"/>
      <c r="AB130" s="134"/>
      <c r="AC130" s="150"/>
      <c r="AD130" s="150"/>
      <c r="AE130" s="150"/>
      <c r="AF130" s="150"/>
      <c r="AG130" s="134"/>
      <c r="AH130" s="134"/>
      <c r="AI130" s="134"/>
      <c r="AJ130" s="150"/>
      <c r="AK130" s="150"/>
      <c r="AL130" s="150"/>
      <c r="AM130" s="150"/>
      <c r="AN130" s="150"/>
      <c r="AO130" s="150"/>
      <c r="AP130" s="150"/>
      <c r="AQ130" s="150"/>
      <c r="AR130" s="150"/>
      <c r="AS130" s="134"/>
      <c r="AT130" s="134"/>
    </row>
    <row r="131" spans="1:46" ht="103.65" customHeight="1">
      <c r="A131" s="58">
        <v>35</v>
      </c>
      <c r="B131" s="123" t="s">
        <v>1460</v>
      </c>
      <c r="C131" s="123" t="s">
        <v>4439</v>
      </c>
      <c r="D131" s="124" t="s">
        <v>1518</v>
      </c>
      <c r="E131" s="124" t="s">
        <v>1519</v>
      </c>
      <c r="F131" s="170" t="str">
        <f t="shared" si="5"/>
        <v>하</v>
      </c>
      <c r="G131" s="126" t="s">
        <v>2668</v>
      </c>
      <c r="H131" s="126" t="s">
        <v>2674</v>
      </c>
      <c r="I131" s="197" t="s">
        <v>1520</v>
      </c>
      <c r="J131" s="138" t="s">
        <v>4247</v>
      </c>
      <c r="K131" s="129"/>
      <c r="L131" s="138" t="s">
        <v>1492</v>
      </c>
      <c r="M131" s="130"/>
      <c r="N131" s="130"/>
      <c r="O131" s="130"/>
      <c r="P131" s="130"/>
      <c r="Q131" s="130"/>
      <c r="R131" s="130"/>
      <c r="S131" s="131" t="s">
        <v>1418</v>
      </c>
      <c r="T131" s="130"/>
      <c r="U131" s="130"/>
      <c r="V131" s="130"/>
      <c r="W131" s="132" t="b">
        <v>0</v>
      </c>
      <c r="X131" s="132" t="b">
        <v>0</v>
      </c>
      <c r="Y131" s="133" t="b">
        <v>1</v>
      </c>
      <c r="Z131" s="127" t="s">
        <v>1517</v>
      </c>
      <c r="AA131" s="134"/>
      <c r="AB131" s="134"/>
      <c r="AC131" s="150"/>
      <c r="AD131" s="150"/>
      <c r="AE131" s="150"/>
      <c r="AF131" s="150"/>
      <c r="AG131" s="134"/>
      <c r="AH131" s="134"/>
      <c r="AI131" s="134"/>
      <c r="AJ131" s="150"/>
      <c r="AK131" s="150"/>
      <c r="AL131" s="150"/>
      <c r="AM131" s="150"/>
      <c r="AN131" s="150"/>
      <c r="AO131" s="150"/>
      <c r="AP131" s="150"/>
      <c r="AQ131" s="150"/>
      <c r="AR131" s="150"/>
      <c r="AS131" s="134"/>
      <c r="AT131" s="134"/>
    </row>
    <row r="132" spans="1:46" ht="103.65" customHeight="1">
      <c r="A132" s="58">
        <v>36</v>
      </c>
      <c r="B132" s="123" t="s">
        <v>1460</v>
      </c>
      <c r="C132" s="123" t="s">
        <v>4355</v>
      </c>
      <c r="D132" s="124" t="s">
        <v>1521</v>
      </c>
      <c r="E132" s="124" t="s">
        <v>1522</v>
      </c>
      <c r="F132" s="170" t="str">
        <f t="shared" si="5"/>
        <v>하</v>
      </c>
      <c r="G132" s="126" t="s">
        <v>2668</v>
      </c>
      <c r="H132" s="126" t="s">
        <v>2674</v>
      </c>
      <c r="I132" s="197" t="s">
        <v>1523</v>
      </c>
      <c r="J132" s="138" t="s">
        <v>4247</v>
      </c>
      <c r="K132" s="129"/>
      <c r="L132" s="138" t="s">
        <v>1492</v>
      </c>
      <c r="M132" s="130"/>
      <c r="N132" s="130"/>
      <c r="O132" s="130"/>
      <c r="P132" s="130"/>
      <c r="Q132" s="130"/>
      <c r="R132" s="130"/>
      <c r="S132" s="131" t="s">
        <v>1418</v>
      </c>
      <c r="T132" s="130"/>
      <c r="U132" s="130"/>
      <c r="V132" s="130"/>
      <c r="W132" s="132" t="b">
        <v>0</v>
      </c>
      <c r="X132" s="132" t="b">
        <v>0</v>
      </c>
      <c r="Y132" s="133" t="b">
        <v>1</v>
      </c>
      <c r="Z132" s="127" t="s">
        <v>1524</v>
      </c>
      <c r="AA132" s="134"/>
      <c r="AB132" s="134"/>
      <c r="AC132" s="150"/>
      <c r="AD132" s="150"/>
      <c r="AE132" s="150"/>
      <c r="AF132" s="150"/>
      <c r="AG132" s="134"/>
      <c r="AH132" s="134"/>
      <c r="AI132" s="134"/>
      <c r="AJ132" s="150"/>
      <c r="AK132" s="150"/>
      <c r="AL132" s="150"/>
      <c r="AM132" s="150"/>
      <c r="AN132" s="150"/>
      <c r="AO132" s="150"/>
      <c r="AP132" s="150"/>
      <c r="AQ132" s="150"/>
      <c r="AR132" s="150"/>
      <c r="AS132" s="134"/>
      <c r="AT132" s="134"/>
    </row>
    <row r="133" spans="1:46" s="134" customFormat="1" ht="122.4" customHeight="1">
      <c r="A133" s="58">
        <v>37</v>
      </c>
      <c r="B133" s="123" t="s">
        <v>1460</v>
      </c>
      <c r="C133" s="123" t="s">
        <v>4287</v>
      </c>
      <c r="D133" s="124" t="s">
        <v>1525</v>
      </c>
      <c r="E133" s="124" t="s">
        <v>1526</v>
      </c>
      <c r="F133" s="170" t="str">
        <f t="shared" si="5"/>
        <v>하</v>
      </c>
      <c r="G133" s="126" t="s">
        <v>2668</v>
      </c>
      <c r="H133" s="126" t="s">
        <v>2674</v>
      </c>
      <c r="I133" s="197" t="s">
        <v>1527</v>
      </c>
      <c r="J133" s="138" t="s">
        <v>4247</v>
      </c>
      <c r="K133" s="129"/>
      <c r="L133" s="138" t="s">
        <v>1492</v>
      </c>
      <c r="M133" s="130"/>
      <c r="N133" s="130"/>
      <c r="O133" s="130"/>
      <c r="P133" s="130"/>
      <c r="Q133" s="130"/>
      <c r="R133" s="130"/>
      <c r="S133" s="131" t="s">
        <v>1418</v>
      </c>
      <c r="T133" s="130"/>
      <c r="U133" s="130"/>
      <c r="V133" s="130"/>
      <c r="W133" s="132" t="b">
        <v>0</v>
      </c>
      <c r="X133" s="132" t="b">
        <v>0</v>
      </c>
      <c r="Y133" s="133" t="b">
        <v>1</v>
      </c>
      <c r="Z133" s="127" t="s">
        <v>1528</v>
      </c>
      <c r="AC133" s="150"/>
      <c r="AD133" s="150"/>
      <c r="AE133" s="150"/>
      <c r="AF133" s="150"/>
      <c r="AJ133" s="150"/>
      <c r="AK133" s="150"/>
      <c r="AL133" s="150"/>
      <c r="AM133" s="150"/>
      <c r="AN133" s="150"/>
      <c r="AO133" s="150"/>
      <c r="AP133" s="150"/>
      <c r="AQ133" s="150"/>
      <c r="AR133" s="150"/>
    </row>
    <row r="134" spans="1:46" ht="143.4" customHeight="1">
      <c r="A134" s="58">
        <v>40</v>
      </c>
      <c r="B134" s="153" t="s">
        <v>4319</v>
      </c>
      <c r="C134" s="153" t="s">
        <v>4288</v>
      </c>
      <c r="D134" s="166" t="s">
        <v>4320</v>
      </c>
      <c r="E134" s="154" t="s">
        <v>4321</v>
      </c>
      <c r="F134" s="62" t="str">
        <f t="shared" si="5"/>
        <v>하</v>
      </c>
      <c r="G134" s="156" t="s">
        <v>2668</v>
      </c>
      <c r="H134" s="156" t="s">
        <v>2674</v>
      </c>
      <c r="I134" s="193" t="s">
        <v>4449</v>
      </c>
      <c r="J134" s="158"/>
      <c r="K134" s="159"/>
      <c r="L134" s="158" t="s">
        <v>1492</v>
      </c>
      <c r="M134" s="160"/>
      <c r="N134" s="160"/>
      <c r="O134" s="160"/>
      <c r="P134" s="160"/>
      <c r="Q134" s="160"/>
      <c r="R134" s="160"/>
      <c r="S134" s="161"/>
      <c r="T134" s="160"/>
      <c r="U134" s="160"/>
      <c r="V134" s="160"/>
      <c r="W134" s="162" t="b">
        <v>0</v>
      </c>
      <c r="X134" s="162" t="b">
        <v>0</v>
      </c>
      <c r="Y134" s="163" t="b">
        <v>0</v>
      </c>
      <c r="Z134" s="157" t="s">
        <v>4330</v>
      </c>
      <c r="AA134" s="164"/>
      <c r="AB134" s="164"/>
      <c r="AC134" s="165"/>
      <c r="AD134" s="165"/>
      <c r="AE134" s="165"/>
      <c r="AF134" s="165"/>
      <c r="AG134" s="164"/>
      <c r="AH134" s="164"/>
      <c r="AI134" s="164"/>
      <c r="AJ134" s="165"/>
      <c r="AK134" s="165"/>
      <c r="AL134" s="165"/>
      <c r="AM134" s="165"/>
      <c r="AN134" s="165"/>
      <c r="AO134" s="165"/>
      <c r="AP134" s="165"/>
      <c r="AQ134" s="165"/>
      <c r="AR134" s="165"/>
      <c r="AS134" s="164"/>
      <c r="AT134" s="164"/>
    </row>
    <row r="135" spans="1:46" ht="88.05" customHeight="1">
      <c r="A135" s="58">
        <v>41</v>
      </c>
      <c r="B135" s="153" t="s">
        <v>4319</v>
      </c>
      <c r="C135" s="153" t="s">
        <v>4288</v>
      </c>
      <c r="D135" s="167" t="s">
        <v>4326</v>
      </c>
      <c r="E135" s="229" t="s">
        <v>4322</v>
      </c>
      <c r="F135" s="62" t="str">
        <f t="shared" si="5"/>
        <v>하</v>
      </c>
      <c r="G135" s="156" t="s">
        <v>2668</v>
      </c>
      <c r="H135" s="156" t="s">
        <v>2674</v>
      </c>
      <c r="I135" s="194" t="s">
        <v>4450</v>
      </c>
      <c r="J135" s="158"/>
      <c r="K135" s="159"/>
      <c r="L135" s="158" t="s">
        <v>1492</v>
      </c>
      <c r="M135" s="160"/>
      <c r="N135" s="160"/>
      <c r="O135" s="160"/>
      <c r="P135" s="160"/>
      <c r="Q135" s="160"/>
      <c r="R135" s="160"/>
      <c r="S135" s="161"/>
      <c r="T135" s="160"/>
      <c r="U135" s="160"/>
      <c r="V135" s="160"/>
      <c r="W135" s="162" t="b">
        <v>0</v>
      </c>
      <c r="X135" s="162" t="b">
        <v>0</v>
      </c>
      <c r="Y135" s="163" t="b">
        <v>0</v>
      </c>
      <c r="Z135" s="157" t="s">
        <v>4330</v>
      </c>
      <c r="AA135" s="164"/>
      <c r="AB135" s="164"/>
      <c r="AC135" s="165"/>
      <c r="AD135" s="165"/>
      <c r="AE135" s="165"/>
      <c r="AF135" s="165"/>
      <c r="AG135" s="164"/>
      <c r="AH135" s="164"/>
      <c r="AI135" s="164"/>
      <c r="AJ135" s="165"/>
      <c r="AK135" s="165"/>
      <c r="AL135" s="165"/>
      <c r="AM135" s="165"/>
      <c r="AN135" s="165"/>
      <c r="AO135" s="165"/>
      <c r="AP135" s="165"/>
      <c r="AQ135" s="165"/>
      <c r="AR135" s="165"/>
      <c r="AS135" s="164"/>
      <c r="AT135" s="164"/>
    </row>
    <row r="136" spans="1:46" ht="103.65" customHeight="1">
      <c r="A136" s="58">
        <v>42</v>
      </c>
      <c r="B136" s="153" t="s">
        <v>4319</v>
      </c>
      <c r="C136" s="153" t="s">
        <v>4288</v>
      </c>
      <c r="D136" s="167" t="s">
        <v>4327</v>
      </c>
      <c r="E136" s="229" t="s">
        <v>4323</v>
      </c>
      <c r="F136" s="62" t="str">
        <f t="shared" si="5"/>
        <v>하</v>
      </c>
      <c r="G136" s="156" t="s">
        <v>2668</v>
      </c>
      <c r="H136" s="156" t="s">
        <v>2674</v>
      </c>
      <c r="I136" s="194" t="s">
        <v>4339</v>
      </c>
      <c r="J136" s="158"/>
      <c r="K136" s="159"/>
      <c r="L136" s="158" t="s">
        <v>1492</v>
      </c>
      <c r="M136" s="160"/>
      <c r="N136" s="160"/>
      <c r="O136" s="160"/>
      <c r="P136" s="160"/>
      <c r="Q136" s="160"/>
      <c r="R136" s="160"/>
      <c r="S136" s="161"/>
      <c r="T136" s="160"/>
      <c r="U136" s="160"/>
      <c r="V136" s="160"/>
      <c r="W136" s="162" t="b">
        <v>0</v>
      </c>
      <c r="X136" s="162" t="b">
        <v>0</v>
      </c>
      <c r="Y136" s="163" t="b">
        <v>0</v>
      </c>
      <c r="Z136" s="157" t="s">
        <v>4330</v>
      </c>
      <c r="AA136" s="164"/>
      <c r="AB136" s="164"/>
      <c r="AC136" s="165"/>
      <c r="AD136" s="165"/>
      <c r="AE136" s="165"/>
      <c r="AF136" s="165"/>
      <c r="AG136" s="164"/>
      <c r="AH136" s="164"/>
      <c r="AI136" s="164"/>
      <c r="AJ136" s="165"/>
      <c r="AK136" s="165"/>
      <c r="AL136" s="165"/>
      <c r="AM136" s="165"/>
      <c r="AN136" s="165"/>
      <c r="AO136" s="165"/>
      <c r="AP136" s="165"/>
      <c r="AQ136" s="165"/>
      <c r="AR136" s="165"/>
      <c r="AS136" s="164"/>
      <c r="AT136" s="164"/>
    </row>
    <row r="137" spans="1:46" ht="88.05" customHeight="1">
      <c r="A137" s="58">
        <v>43</v>
      </c>
      <c r="B137" s="122" t="s">
        <v>4319</v>
      </c>
      <c r="C137" s="122" t="s">
        <v>4287</v>
      </c>
      <c r="D137" s="216" t="s">
        <v>4329</v>
      </c>
      <c r="E137" s="230" t="s">
        <v>4324</v>
      </c>
      <c r="F137" s="62" t="str">
        <f t="shared" si="5"/>
        <v>하</v>
      </c>
      <c r="G137" s="126" t="s">
        <v>2668</v>
      </c>
      <c r="H137" s="126" t="s">
        <v>2674</v>
      </c>
      <c r="I137" s="217" t="s">
        <v>4340</v>
      </c>
      <c r="J137" s="138"/>
      <c r="K137" s="129"/>
      <c r="L137" s="138" t="s">
        <v>1492</v>
      </c>
      <c r="M137" s="130"/>
      <c r="N137" s="130"/>
      <c r="O137" s="130"/>
      <c r="P137" s="130"/>
      <c r="Q137" s="130"/>
      <c r="R137" s="130"/>
      <c r="S137" s="131"/>
      <c r="T137" s="130"/>
      <c r="U137" s="130"/>
      <c r="V137" s="130"/>
      <c r="W137" s="132" t="b">
        <v>0</v>
      </c>
      <c r="X137" s="132" t="b">
        <v>0</v>
      </c>
      <c r="Y137" s="133" t="b">
        <v>0</v>
      </c>
      <c r="Z137" s="127" t="s">
        <v>4330</v>
      </c>
      <c r="AA137" s="134"/>
      <c r="AB137" s="134"/>
      <c r="AC137" s="150"/>
      <c r="AD137" s="150"/>
      <c r="AE137" s="150"/>
      <c r="AF137" s="150"/>
      <c r="AG137" s="134"/>
      <c r="AH137" s="134"/>
      <c r="AI137" s="134"/>
      <c r="AJ137" s="150"/>
      <c r="AK137" s="150"/>
      <c r="AL137" s="150"/>
      <c r="AM137" s="150"/>
      <c r="AN137" s="150"/>
      <c r="AO137" s="150"/>
      <c r="AP137" s="150"/>
      <c r="AQ137" s="150"/>
      <c r="AR137" s="150"/>
      <c r="AS137" s="134"/>
      <c r="AT137" s="134"/>
    </row>
    <row r="138" spans="1:46" ht="103.65" customHeight="1">
      <c r="A138" s="58">
        <v>44</v>
      </c>
      <c r="B138" s="122" t="s">
        <v>4319</v>
      </c>
      <c r="C138" s="122" t="s">
        <v>4355</v>
      </c>
      <c r="D138" s="218" t="s">
        <v>4328</v>
      </c>
      <c r="E138" s="230" t="s">
        <v>4325</v>
      </c>
      <c r="F138" s="62" t="str">
        <f t="shared" si="5"/>
        <v>하</v>
      </c>
      <c r="G138" s="126" t="s">
        <v>2668</v>
      </c>
      <c r="H138" s="126" t="s">
        <v>2674</v>
      </c>
      <c r="I138" s="217" t="s">
        <v>4341</v>
      </c>
      <c r="J138" s="138"/>
      <c r="K138" s="129"/>
      <c r="L138" s="138" t="s">
        <v>1492</v>
      </c>
      <c r="M138" s="130"/>
      <c r="N138" s="130"/>
      <c r="O138" s="130"/>
      <c r="P138" s="130"/>
      <c r="Q138" s="130"/>
      <c r="R138" s="130"/>
      <c r="S138" s="131"/>
      <c r="T138" s="130"/>
      <c r="U138" s="130"/>
      <c r="V138" s="130"/>
      <c r="W138" s="132" t="b">
        <v>0</v>
      </c>
      <c r="X138" s="132" t="b">
        <v>0</v>
      </c>
      <c r="Y138" s="133" t="b">
        <v>0</v>
      </c>
      <c r="Z138" s="127" t="s">
        <v>4330</v>
      </c>
      <c r="AA138" s="134"/>
      <c r="AB138" s="134"/>
      <c r="AC138" s="150"/>
      <c r="AD138" s="150"/>
      <c r="AE138" s="150"/>
      <c r="AF138" s="150"/>
      <c r="AG138" s="134"/>
      <c r="AH138" s="134"/>
      <c r="AI138" s="134"/>
      <c r="AJ138" s="150"/>
      <c r="AK138" s="150"/>
      <c r="AL138" s="150"/>
      <c r="AM138" s="150"/>
      <c r="AN138" s="150"/>
      <c r="AO138" s="150"/>
      <c r="AP138" s="150"/>
      <c r="AQ138" s="150"/>
      <c r="AR138" s="150"/>
      <c r="AS138" s="134"/>
      <c r="AT138" s="134"/>
    </row>
    <row r="139" spans="1:46" ht="103.65" customHeight="1">
      <c r="A139" s="58">
        <v>45</v>
      </c>
      <c r="B139" s="122" t="s">
        <v>4345</v>
      </c>
      <c r="C139" s="122" t="s">
        <v>4287</v>
      </c>
      <c r="D139" s="218" t="s">
        <v>4336</v>
      </c>
      <c r="E139" s="230" t="s">
        <v>4337</v>
      </c>
      <c r="F139" s="62" t="str">
        <f t="shared" si="5"/>
        <v>하</v>
      </c>
      <c r="G139" s="126" t="s">
        <v>2668</v>
      </c>
      <c r="H139" s="126" t="s">
        <v>2674</v>
      </c>
      <c r="I139" s="122" t="s">
        <v>4338</v>
      </c>
      <c r="J139" s="122" t="s">
        <v>4248</v>
      </c>
      <c r="K139" s="122"/>
      <c r="L139" s="122" t="s">
        <v>1492</v>
      </c>
      <c r="M139" s="122"/>
      <c r="N139" s="122"/>
      <c r="O139" s="122"/>
      <c r="P139" s="122"/>
      <c r="Q139" s="122"/>
      <c r="R139" s="122"/>
      <c r="S139" s="122" t="s">
        <v>4346</v>
      </c>
      <c r="T139" s="122"/>
      <c r="U139" s="122"/>
      <c r="V139" s="122"/>
      <c r="W139" s="122" t="b">
        <v>0</v>
      </c>
      <c r="X139" s="122" t="b">
        <v>1</v>
      </c>
      <c r="Y139" s="122" t="b">
        <v>1</v>
      </c>
      <c r="Z139" s="122" t="s">
        <v>4347</v>
      </c>
      <c r="AA139" s="234"/>
      <c r="AB139" s="234"/>
      <c r="AC139" s="234"/>
      <c r="AD139" s="234"/>
      <c r="AE139" s="234"/>
      <c r="AF139" s="234"/>
      <c r="AG139" s="234"/>
      <c r="AH139" s="234"/>
      <c r="AI139" s="234"/>
      <c r="AJ139" s="234"/>
      <c r="AK139" s="234"/>
      <c r="AL139" s="234"/>
      <c r="AM139" s="234"/>
      <c r="AN139" s="234"/>
      <c r="AO139" s="234"/>
      <c r="AP139" s="234"/>
      <c r="AQ139" s="234"/>
      <c r="AR139" s="234"/>
      <c r="AS139" s="234"/>
      <c r="AT139" s="234"/>
    </row>
    <row r="140" spans="1:46" ht="103.65" customHeight="1">
      <c r="A140" s="58">
        <v>46</v>
      </c>
      <c r="B140" s="58" t="s">
        <v>1427</v>
      </c>
      <c r="C140" s="58" t="s">
        <v>4288</v>
      </c>
      <c r="D140" s="60" t="s">
        <v>4348</v>
      </c>
      <c r="E140" s="60" t="s">
        <v>4349</v>
      </c>
      <c r="F140" s="62" t="str">
        <f t="shared" ref="F140:F171" si="6">_xlfn.LET(
_xlpm.v_발생, IF(ISNUMBER(SEARCH("빈번", G140)), "상",
IF(ISNUMBER(SEARCH("거의", G140)), "하", "중")),
_xlpm.v_영향, IF(ISNUMBER(SEARCH("1개월", H140)), "상",
IF(ISNUMBER(SEARCH("없음", H140)), "하", "중")),
IF(AND(_xlpm.v_발생="상", _xlpm.v_영향="상"), "극상",
IF(OR(_xlpm.v_발생="상", _xlpm.v_영향="상"), "상",
IF(AND(_xlpm.v_발생="하", _xlpm.v_영향="하"), "하",
"중")))
)</f>
        <v>하</v>
      </c>
      <c r="G140" s="63" t="s">
        <v>2668</v>
      </c>
      <c r="H140" s="63" t="s">
        <v>2674</v>
      </c>
      <c r="I140" s="191" t="s">
        <v>4451</v>
      </c>
      <c r="J140" s="64" t="s">
        <v>1491</v>
      </c>
      <c r="K140" s="74"/>
      <c r="L140" s="64" t="s">
        <v>1492</v>
      </c>
      <c r="M140" s="64"/>
      <c r="N140" s="64"/>
      <c r="O140" s="64"/>
      <c r="P140" s="64"/>
      <c r="Q140" s="67"/>
      <c r="R140" s="68"/>
      <c r="S140" s="69" t="s">
        <v>1493</v>
      </c>
      <c r="T140" s="68"/>
      <c r="U140" s="64"/>
      <c r="V140" s="65"/>
      <c r="W140" s="87" t="b">
        <v>0</v>
      </c>
      <c r="X140" s="86" t="b">
        <v>0</v>
      </c>
      <c r="Y140" s="86" t="b">
        <v>0</v>
      </c>
      <c r="Z140" s="72" t="s">
        <v>4350</v>
      </c>
      <c r="AJ140" s="16"/>
      <c r="AK140" s="16"/>
      <c r="AL140" s="16"/>
      <c r="AM140" s="16"/>
      <c r="AN140" s="16"/>
      <c r="AO140" s="16"/>
      <c r="AP140" s="16"/>
      <c r="AQ140" s="16"/>
      <c r="AR140" s="16"/>
    </row>
    <row r="141" spans="1:46" ht="88.05" customHeight="1">
      <c r="A141" s="58">
        <v>47</v>
      </c>
      <c r="B141" s="58" t="s">
        <v>1427</v>
      </c>
      <c r="C141" s="58" t="s">
        <v>4290</v>
      </c>
      <c r="D141" s="60" t="s">
        <v>1532</v>
      </c>
      <c r="E141" s="60" t="s">
        <v>1538</v>
      </c>
      <c r="F141" s="94" t="str">
        <f t="shared" si="6"/>
        <v>하</v>
      </c>
      <c r="G141" s="63" t="s">
        <v>2668</v>
      </c>
      <c r="H141" s="63" t="s">
        <v>2674</v>
      </c>
      <c r="I141" s="60" t="s">
        <v>4304</v>
      </c>
      <c r="J141" s="64" t="s">
        <v>1491</v>
      </c>
      <c r="K141" s="76"/>
      <c r="L141" s="64" t="s">
        <v>1492</v>
      </c>
      <c r="M141" s="64"/>
      <c r="N141" s="64"/>
      <c r="O141" s="64"/>
      <c r="P141" s="64"/>
      <c r="Q141" s="67"/>
      <c r="R141" s="68"/>
      <c r="S141" s="69" t="s">
        <v>1493</v>
      </c>
      <c r="T141" s="68"/>
      <c r="U141" s="64"/>
      <c r="V141" s="65"/>
      <c r="W141" s="86" t="b">
        <v>0</v>
      </c>
      <c r="X141" s="86" t="b">
        <v>0</v>
      </c>
      <c r="Y141" s="87" t="b">
        <v>0</v>
      </c>
      <c r="Z141" s="72" t="s">
        <v>458</v>
      </c>
      <c r="AJ141" s="16"/>
      <c r="AK141" s="16"/>
      <c r="AL141" s="16"/>
      <c r="AM141" s="16"/>
      <c r="AN141" s="16"/>
      <c r="AO141" s="16"/>
      <c r="AP141" s="16"/>
      <c r="AQ141" s="16"/>
      <c r="AR141" s="16"/>
    </row>
    <row r="142" spans="1:46" s="134" customFormat="1" ht="88.05" customHeight="1">
      <c r="A142" s="58">
        <v>48</v>
      </c>
      <c r="B142" s="58" t="s">
        <v>1420</v>
      </c>
      <c r="C142" s="58" t="s">
        <v>4291</v>
      </c>
      <c r="D142" s="60" t="s">
        <v>1533</v>
      </c>
      <c r="E142" s="60" t="s">
        <v>4305</v>
      </c>
      <c r="F142" s="94" t="str">
        <f t="shared" si="6"/>
        <v>하</v>
      </c>
      <c r="G142" s="63" t="s">
        <v>2668</v>
      </c>
      <c r="H142" s="63" t="s">
        <v>2674</v>
      </c>
      <c r="I142" s="191" t="s">
        <v>4306</v>
      </c>
      <c r="J142" s="64" t="s">
        <v>1417</v>
      </c>
      <c r="K142" s="64"/>
      <c r="L142" s="64" t="s">
        <v>1492</v>
      </c>
      <c r="M142" s="64"/>
      <c r="N142" s="64"/>
      <c r="O142" s="64"/>
      <c r="P142" s="64"/>
      <c r="Q142" s="67"/>
      <c r="R142" s="68"/>
      <c r="S142" s="69" t="s">
        <v>1418</v>
      </c>
      <c r="T142" s="68"/>
      <c r="U142" s="64"/>
      <c r="V142" s="65"/>
      <c r="W142" s="86" t="b">
        <v>0</v>
      </c>
      <c r="X142" s="86" t="b">
        <v>1</v>
      </c>
      <c r="Y142" s="87" t="b">
        <v>0</v>
      </c>
      <c r="Z142" s="72" t="s">
        <v>458</v>
      </c>
      <c r="AA142" s="7"/>
      <c r="AB142" s="7"/>
      <c r="AC142" s="16"/>
      <c r="AD142" s="16"/>
      <c r="AE142" s="16"/>
      <c r="AF142" s="16"/>
      <c r="AG142" s="7"/>
      <c r="AH142" s="7"/>
      <c r="AI142" s="7"/>
      <c r="AJ142" s="16"/>
      <c r="AK142" s="16"/>
      <c r="AL142" s="16"/>
      <c r="AM142" s="16"/>
      <c r="AN142" s="16"/>
      <c r="AO142" s="16"/>
      <c r="AP142" s="16"/>
      <c r="AQ142" s="16"/>
      <c r="AR142" s="16"/>
      <c r="AS142" s="7"/>
      <c r="AT142" s="7"/>
    </row>
    <row r="143" spans="1:46" ht="103.65" customHeight="1">
      <c r="A143" s="58">
        <v>49</v>
      </c>
      <c r="B143" s="58" t="s">
        <v>1420</v>
      </c>
      <c r="C143" s="58" t="s">
        <v>4291</v>
      </c>
      <c r="D143" s="60" t="s">
        <v>1537</v>
      </c>
      <c r="E143" s="60" t="s">
        <v>4311</v>
      </c>
      <c r="F143" s="62" t="str">
        <f t="shared" si="6"/>
        <v>하</v>
      </c>
      <c r="G143" s="63" t="s">
        <v>2668</v>
      </c>
      <c r="H143" s="63" t="s">
        <v>2674</v>
      </c>
      <c r="I143" s="190" t="s">
        <v>4312</v>
      </c>
      <c r="J143" s="64" t="s">
        <v>4248</v>
      </c>
      <c r="K143" s="65"/>
      <c r="L143" s="64" t="s">
        <v>1492</v>
      </c>
      <c r="M143" s="66"/>
      <c r="N143" s="64"/>
      <c r="O143" s="66"/>
      <c r="P143" s="64"/>
      <c r="Q143" s="67"/>
      <c r="R143" s="68"/>
      <c r="S143" s="69" t="s">
        <v>1418</v>
      </c>
      <c r="T143" s="68"/>
      <c r="U143" s="64"/>
      <c r="V143" s="66"/>
      <c r="W143" s="87" t="b">
        <v>0</v>
      </c>
      <c r="X143" s="86" t="b">
        <v>1</v>
      </c>
      <c r="Y143" s="86" t="b">
        <v>1</v>
      </c>
      <c r="Z143" s="72" t="s">
        <v>423</v>
      </c>
      <c r="AJ143" s="16"/>
      <c r="AK143" s="16"/>
      <c r="AL143" s="16"/>
      <c r="AM143" s="16"/>
      <c r="AN143" s="16"/>
      <c r="AO143" s="16"/>
      <c r="AP143" s="16"/>
      <c r="AQ143" s="16"/>
      <c r="AR143" s="16"/>
    </row>
    <row r="144" spans="1:46" ht="103.65" customHeight="1">
      <c r="A144" s="58">
        <v>50</v>
      </c>
      <c r="B144" s="122" t="s">
        <v>32</v>
      </c>
      <c r="C144" s="122" t="s">
        <v>4292</v>
      </c>
      <c r="D144" s="124" t="s">
        <v>4293</v>
      </c>
      <c r="E144" s="124" t="s">
        <v>4313</v>
      </c>
      <c r="F144" s="62" t="str">
        <f t="shared" si="6"/>
        <v>하</v>
      </c>
      <c r="G144" s="63" t="s">
        <v>2668</v>
      </c>
      <c r="H144" s="63" t="s">
        <v>2674</v>
      </c>
      <c r="I144" s="124" t="s">
        <v>4514</v>
      </c>
      <c r="J144" s="141" t="s">
        <v>4248</v>
      </c>
      <c r="K144" s="141"/>
      <c r="L144" s="141" t="s">
        <v>1492</v>
      </c>
      <c r="M144" s="141"/>
      <c r="N144" s="141"/>
      <c r="O144" s="141"/>
      <c r="P144" s="141"/>
      <c r="Q144" s="130"/>
      <c r="R144" s="143"/>
      <c r="S144" s="144" t="s">
        <v>1418</v>
      </c>
      <c r="T144" s="143"/>
      <c r="U144" s="141"/>
      <c r="V144" s="142"/>
      <c r="W144" s="146" t="b">
        <v>1</v>
      </c>
      <c r="X144" s="146" t="b">
        <v>0</v>
      </c>
      <c r="Y144" s="147" t="b">
        <v>0</v>
      </c>
      <c r="Z144" s="148" t="s">
        <v>1529</v>
      </c>
      <c r="AA144" s="134"/>
      <c r="AB144" s="134"/>
      <c r="AC144" s="150"/>
      <c r="AD144" s="150"/>
      <c r="AE144" s="150"/>
      <c r="AF144" s="150"/>
      <c r="AG144" s="134"/>
      <c r="AH144" s="134"/>
      <c r="AI144" s="134"/>
      <c r="AJ144" s="150"/>
      <c r="AK144" s="150"/>
      <c r="AL144" s="150"/>
      <c r="AM144" s="150"/>
      <c r="AN144" s="150"/>
      <c r="AO144" s="150"/>
      <c r="AP144" s="150"/>
      <c r="AQ144" s="150"/>
      <c r="AR144" s="150"/>
      <c r="AS144" s="134"/>
      <c r="AT144" s="134"/>
    </row>
    <row r="145" spans="1:46" ht="103.65" customHeight="1">
      <c r="A145" s="58">
        <v>51</v>
      </c>
      <c r="B145" s="122" t="s">
        <v>32</v>
      </c>
      <c r="C145" s="122" t="s">
        <v>4292</v>
      </c>
      <c r="D145" s="124" t="s">
        <v>4299</v>
      </c>
      <c r="E145" s="124" t="s">
        <v>4515</v>
      </c>
      <c r="F145" s="62" t="str">
        <f t="shared" si="6"/>
        <v>하</v>
      </c>
      <c r="G145" s="63" t="s">
        <v>2668</v>
      </c>
      <c r="H145" s="63" t="s">
        <v>2674</v>
      </c>
      <c r="I145" s="124" t="s">
        <v>4331</v>
      </c>
      <c r="J145" s="141" t="s">
        <v>4247</v>
      </c>
      <c r="K145" s="151"/>
      <c r="L145" s="141" t="s">
        <v>1492</v>
      </c>
      <c r="M145" s="141"/>
      <c r="N145" s="141"/>
      <c r="O145" s="152"/>
      <c r="P145" s="141"/>
      <c r="Q145" s="130"/>
      <c r="R145" s="143"/>
      <c r="S145" s="144" t="s">
        <v>1418</v>
      </c>
      <c r="T145" s="143"/>
      <c r="U145" s="141"/>
      <c r="V145" s="142"/>
      <c r="W145" s="146" t="b">
        <v>1</v>
      </c>
      <c r="X145" s="146" t="b">
        <v>1</v>
      </c>
      <c r="Y145" s="147" t="b">
        <v>0</v>
      </c>
      <c r="Z145" s="148" t="s">
        <v>1534</v>
      </c>
      <c r="AA145" s="134"/>
      <c r="AB145" s="134"/>
      <c r="AC145" s="150"/>
      <c r="AD145" s="150"/>
      <c r="AE145" s="150"/>
      <c r="AF145" s="150"/>
      <c r="AG145" s="134"/>
      <c r="AH145" s="134"/>
      <c r="AI145" s="134"/>
      <c r="AJ145" s="150"/>
      <c r="AK145" s="150"/>
      <c r="AL145" s="150"/>
      <c r="AM145" s="150"/>
      <c r="AN145" s="150"/>
      <c r="AO145" s="150"/>
      <c r="AP145" s="150"/>
      <c r="AQ145" s="150"/>
      <c r="AR145" s="150"/>
      <c r="AS145" s="134"/>
      <c r="AT145" s="134"/>
    </row>
    <row r="146" spans="1:46" ht="88.05" customHeight="1">
      <c r="A146" s="58">
        <v>52</v>
      </c>
      <c r="B146" s="122" t="s">
        <v>1460</v>
      </c>
      <c r="C146" s="122" t="s">
        <v>4292</v>
      </c>
      <c r="D146" s="124" t="s">
        <v>4300</v>
      </c>
      <c r="E146" s="124" t="s">
        <v>4301</v>
      </c>
      <c r="F146" s="62" t="str">
        <f t="shared" si="6"/>
        <v>하</v>
      </c>
      <c r="G146" s="63" t="s">
        <v>2668</v>
      </c>
      <c r="H146" s="63" t="s">
        <v>2674</v>
      </c>
      <c r="I146" s="197" t="s">
        <v>4302</v>
      </c>
      <c r="J146" s="141" t="s">
        <v>4247</v>
      </c>
      <c r="K146" s="142"/>
      <c r="L146" s="141" t="s">
        <v>1492</v>
      </c>
      <c r="M146" s="128"/>
      <c r="N146" s="141"/>
      <c r="O146" s="128"/>
      <c r="P146" s="141"/>
      <c r="Q146" s="130"/>
      <c r="R146" s="143"/>
      <c r="S146" s="144" t="s">
        <v>1418</v>
      </c>
      <c r="T146" s="143"/>
      <c r="U146" s="141"/>
      <c r="V146" s="128"/>
      <c r="W146" s="146" t="b">
        <v>0</v>
      </c>
      <c r="X146" s="146" t="b">
        <v>0</v>
      </c>
      <c r="Y146" s="147" t="b">
        <v>0</v>
      </c>
      <c r="Z146" s="148" t="s">
        <v>1539</v>
      </c>
      <c r="AA146" s="134"/>
      <c r="AB146" s="134"/>
      <c r="AC146" s="150"/>
      <c r="AD146" s="150"/>
      <c r="AE146" s="150"/>
      <c r="AF146" s="150"/>
      <c r="AG146" s="134"/>
      <c r="AH146" s="134"/>
      <c r="AI146" s="134"/>
      <c r="AJ146" s="150"/>
      <c r="AK146" s="150"/>
      <c r="AL146" s="150"/>
      <c r="AM146" s="150"/>
      <c r="AN146" s="150"/>
      <c r="AO146" s="150"/>
      <c r="AP146" s="150"/>
      <c r="AQ146" s="150"/>
      <c r="AR146" s="150"/>
      <c r="AS146" s="134"/>
      <c r="AT146" s="134"/>
    </row>
    <row r="147" spans="1:46" ht="88.05" customHeight="1">
      <c r="A147" s="58">
        <v>53</v>
      </c>
      <c r="B147" s="58" t="s">
        <v>1420</v>
      </c>
      <c r="C147" s="58" t="s">
        <v>4295</v>
      </c>
      <c r="D147" s="60" t="s">
        <v>4351</v>
      </c>
      <c r="E147" s="60" t="s">
        <v>4362</v>
      </c>
      <c r="F147" s="62" t="str">
        <f t="shared" si="6"/>
        <v>하</v>
      </c>
      <c r="G147" s="63" t="s">
        <v>2668</v>
      </c>
      <c r="H147" s="63" t="s">
        <v>2674</v>
      </c>
      <c r="I147" s="60" t="s">
        <v>4363</v>
      </c>
      <c r="J147" s="64" t="s">
        <v>4247</v>
      </c>
      <c r="K147" s="64"/>
      <c r="L147" s="64" t="s">
        <v>1492</v>
      </c>
      <c r="M147" s="64"/>
      <c r="N147" s="64"/>
      <c r="O147" s="64"/>
      <c r="P147" s="64"/>
      <c r="Q147" s="67"/>
      <c r="R147" s="68"/>
      <c r="S147" s="69" t="s">
        <v>1418</v>
      </c>
      <c r="T147" s="68"/>
      <c r="U147" s="64"/>
      <c r="V147" s="65"/>
      <c r="W147" s="87" t="b">
        <v>0</v>
      </c>
      <c r="X147" s="86" t="b">
        <v>1</v>
      </c>
      <c r="Y147" s="86" t="b">
        <v>1</v>
      </c>
      <c r="Z147" s="72" t="s">
        <v>4364</v>
      </c>
      <c r="AJ147" s="16"/>
      <c r="AK147" s="16"/>
      <c r="AL147" s="16"/>
      <c r="AM147" s="16"/>
      <c r="AN147" s="16"/>
      <c r="AO147" s="16"/>
      <c r="AP147" s="16"/>
      <c r="AQ147" s="16"/>
      <c r="AR147" s="16"/>
    </row>
    <row r="148" spans="1:46" ht="103.65" customHeight="1">
      <c r="A148" s="58">
        <v>54</v>
      </c>
      <c r="B148" s="122" t="s">
        <v>1460</v>
      </c>
      <c r="C148" s="125" t="s">
        <v>4361</v>
      </c>
      <c r="D148" s="124" t="s">
        <v>4352</v>
      </c>
      <c r="E148" s="124" t="s">
        <v>4307</v>
      </c>
      <c r="F148" s="62" t="str">
        <f t="shared" si="6"/>
        <v>하</v>
      </c>
      <c r="G148" s="126" t="s">
        <v>2668</v>
      </c>
      <c r="H148" s="126" t="s">
        <v>2674</v>
      </c>
      <c r="I148" s="124" t="s">
        <v>4365</v>
      </c>
      <c r="J148" s="141" t="s">
        <v>4247</v>
      </c>
      <c r="K148" s="151"/>
      <c r="L148" s="141" t="s">
        <v>1492</v>
      </c>
      <c r="M148" s="141"/>
      <c r="N148" s="141"/>
      <c r="O148" s="152"/>
      <c r="P148" s="141"/>
      <c r="Q148" s="130"/>
      <c r="R148" s="143"/>
      <c r="S148" s="144" t="s">
        <v>1418</v>
      </c>
      <c r="T148" s="143"/>
      <c r="U148" s="141"/>
      <c r="V148" s="142"/>
      <c r="W148" s="146" t="b">
        <v>0</v>
      </c>
      <c r="X148" s="146" t="b">
        <v>0</v>
      </c>
      <c r="Y148" s="147" t="b">
        <v>0</v>
      </c>
      <c r="Z148" s="148" t="s">
        <v>4366</v>
      </c>
      <c r="AA148" s="134"/>
      <c r="AB148" s="134"/>
      <c r="AC148" s="150"/>
      <c r="AD148" s="150"/>
      <c r="AE148" s="150"/>
      <c r="AF148" s="150"/>
      <c r="AG148" s="134"/>
      <c r="AH148" s="134"/>
      <c r="AI148" s="134"/>
      <c r="AJ148" s="150"/>
      <c r="AK148" s="150"/>
      <c r="AL148" s="150"/>
      <c r="AM148" s="150"/>
      <c r="AN148" s="150"/>
      <c r="AO148" s="150"/>
      <c r="AP148" s="150"/>
      <c r="AQ148" s="150"/>
      <c r="AR148" s="150"/>
      <c r="AS148" s="134"/>
      <c r="AT148" s="134"/>
    </row>
    <row r="149" spans="1:46" ht="103.65" customHeight="1">
      <c r="A149" s="58">
        <v>55</v>
      </c>
      <c r="B149" s="58" t="s">
        <v>1416</v>
      </c>
      <c r="C149" s="58" t="s">
        <v>4296</v>
      </c>
      <c r="D149" s="60" t="s">
        <v>4353</v>
      </c>
      <c r="E149" s="60" t="s">
        <v>4308</v>
      </c>
      <c r="F149" s="62" t="str">
        <f t="shared" si="6"/>
        <v>하</v>
      </c>
      <c r="G149" s="63" t="s">
        <v>2668</v>
      </c>
      <c r="H149" s="63" t="s">
        <v>2674</v>
      </c>
      <c r="I149" s="60" t="s">
        <v>4309</v>
      </c>
      <c r="J149" s="64" t="s">
        <v>4247</v>
      </c>
      <c r="K149" s="76"/>
      <c r="L149" s="64" t="s">
        <v>1492</v>
      </c>
      <c r="M149" s="64"/>
      <c r="N149" s="64"/>
      <c r="O149" s="64"/>
      <c r="P149" s="64"/>
      <c r="Q149" s="67"/>
      <c r="R149" s="68"/>
      <c r="S149" s="69" t="s">
        <v>1418</v>
      </c>
      <c r="T149" s="68"/>
      <c r="U149" s="64"/>
      <c r="V149" s="65"/>
      <c r="W149" s="86" t="b">
        <v>0</v>
      </c>
      <c r="X149" s="86" t="b">
        <v>0</v>
      </c>
      <c r="Y149" s="87" t="b">
        <v>1</v>
      </c>
      <c r="Z149" s="72" t="s">
        <v>1536</v>
      </c>
      <c r="AJ149" s="16"/>
      <c r="AK149" s="16"/>
      <c r="AL149" s="16"/>
      <c r="AM149" s="16"/>
      <c r="AN149" s="16"/>
      <c r="AO149" s="16"/>
      <c r="AP149" s="16"/>
      <c r="AQ149" s="16"/>
      <c r="AR149" s="16"/>
    </row>
    <row r="150" spans="1:46" s="134" customFormat="1" ht="103.65" customHeight="1">
      <c r="A150" s="58">
        <v>56</v>
      </c>
      <c r="B150" s="58" t="s">
        <v>1416</v>
      </c>
      <c r="C150" s="58" t="s">
        <v>4294</v>
      </c>
      <c r="D150" s="60" t="s">
        <v>4406</v>
      </c>
      <c r="E150" s="60" t="s">
        <v>4310</v>
      </c>
      <c r="F150" s="62" t="str">
        <f t="shared" si="6"/>
        <v>하</v>
      </c>
      <c r="G150" s="63" t="s">
        <v>2668</v>
      </c>
      <c r="H150" s="63" t="s">
        <v>2674</v>
      </c>
      <c r="I150" s="60" t="s">
        <v>4367</v>
      </c>
      <c r="J150" s="64" t="s">
        <v>4247</v>
      </c>
      <c r="K150" s="74"/>
      <c r="L150" s="64" t="s">
        <v>1492</v>
      </c>
      <c r="M150" s="64"/>
      <c r="N150" s="64"/>
      <c r="O150" s="64"/>
      <c r="P150" s="64"/>
      <c r="Q150" s="67"/>
      <c r="R150" s="68"/>
      <c r="S150" s="69" t="s">
        <v>1418</v>
      </c>
      <c r="T150" s="68"/>
      <c r="U150" s="64"/>
      <c r="V150" s="65"/>
      <c r="W150" s="86" t="b">
        <v>0</v>
      </c>
      <c r="X150" s="87" t="b">
        <v>0</v>
      </c>
      <c r="Y150" s="87" t="b">
        <v>1</v>
      </c>
      <c r="Z150" s="72" t="s">
        <v>4368</v>
      </c>
      <c r="AA150" s="7"/>
      <c r="AB150" s="7"/>
      <c r="AC150" s="16"/>
      <c r="AD150" s="16"/>
      <c r="AE150" s="16"/>
      <c r="AF150" s="16"/>
      <c r="AG150" s="7"/>
      <c r="AH150" s="7"/>
      <c r="AI150" s="7"/>
      <c r="AJ150" s="16"/>
      <c r="AK150" s="16"/>
      <c r="AL150" s="16"/>
      <c r="AM150" s="16"/>
      <c r="AN150" s="16"/>
      <c r="AO150" s="16"/>
      <c r="AP150" s="16"/>
      <c r="AQ150" s="16"/>
      <c r="AR150" s="16"/>
      <c r="AS150" s="7"/>
      <c r="AT150" s="7"/>
    </row>
    <row r="151" spans="1:46" ht="103.65" customHeight="1">
      <c r="A151" s="58">
        <v>57</v>
      </c>
      <c r="B151" s="168" t="s">
        <v>1427</v>
      </c>
      <c r="C151" s="168" t="s">
        <v>4289</v>
      </c>
      <c r="D151" s="169" t="s">
        <v>1531</v>
      </c>
      <c r="E151" s="169" t="s">
        <v>1535</v>
      </c>
      <c r="F151" s="94" t="str">
        <f t="shared" si="6"/>
        <v>하</v>
      </c>
      <c r="G151" s="63" t="s">
        <v>2668</v>
      </c>
      <c r="H151" s="63" t="s">
        <v>2674</v>
      </c>
      <c r="I151" s="169" t="s">
        <v>4303</v>
      </c>
      <c r="J151" s="171" t="s">
        <v>4247</v>
      </c>
      <c r="K151" s="172"/>
      <c r="L151" s="171" t="s">
        <v>1492</v>
      </c>
      <c r="M151" s="171"/>
      <c r="N151" s="171"/>
      <c r="O151" s="171"/>
      <c r="P151" s="171"/>
      <c r="Q151" s="173"/>
      <c r="R151" s="174"/>
      <c r="S151" s="175" t="s">
        <v>1493</v>
      </c>
      <c r="T151" s="174"/>
      <c r="U151" s="171"/>
      <c r="V151" s="176"/>
      <c r="W151" s="177" t="b">
        <v>0</v>
      </c>
      <c r="X151" s="177" t="b">
        <v>0</v>
      </c>
      <c r="Y151" s="178" t="b">
        <v>0</v>
      </c>
      <c r="Z151" s="179" t="s">
        <v>458</v>
      </c>
      <c r="AA151" s="180"/>
      <c r="AB151" s="180"/>
      <c r="AC151" s="181"/>
      <c r="AD151" s="181"/>
      <c r="AE151" s="181"/>
      <c r="AF151" s="181"/>
      <c r="AG151" s="180"/>
      <c r="AH151" s="180"/>
      <c r="AI151" s="180"/>
      <c r="AJ151" s="181"/>
      <c r="AK151" s="181"/>
      <c r="AL151" s="181"/>
      <c r="AM151" s="181"/>
      <c r="AN151" s="181"/>
      <c r="AO151" s="181"/>
      <c r="AP151" s="181"/>
      <c r="AQ151" s="181"/>
      <c r="AR151" s="181"/>
      <c r="AS151" s="180"/>
      <c r="AT151" s="180"/>
    </row>
    <row r="152" spans="1:46" s="134" customFormat="1" ht="100.2" customHeight="1">
      <c r="A152" s="58">
        <v>58</v>
      </c>
      <c r="B152" s="182" t="s">
        <v>1460</v>
      </c>
      <c r="C152" s="168" t="s">
        <v>4289</v>
      </c>
      <c r="D152" s="169" t="s">
        <v>4332</v>
      </c>
      <c r="E152" s="169" t="s">
        <v>4333</v>
      </c>
      <c r="F152" s="62" t="str">
        <f t="shared" si="6"/>
        <v>하</v>
      </c>
      <c r="G152" s="63" t="s">
        <v>2668</v>
      </c>
      <c r="H152" s="63" t="s">
        <v>2674</v>
      </c>
      <c r="I152" s="196" t="s">
        <v>4334</v>
      </c>
      <c r="J152" s="184" t="s">
        <v>4247</v>
      </c>
      <c r="K152" s="185"/>
      <c r="L152" s="184" t="s">
        <v>1492</v>
      </c>
      <c r="M152" s="173"/>
      <c r="N152" s="173"/>
      <c r="O152" s="173"/>
      <c r="P152" s="173"/>
      <c r="Q152" s="173"/>
      <c r="R152" s="173"/>
      <c r="S152" s="186" t="s">
        <v>1418</v>
      </c>
      <c r="T152" s="173"/>
      <c r="U152" s="173"/>
      <c r="V152" s="173"/>
      <c r="W152" s="187" t="b">
        <v>0</v>
      </c>
      <c r="X152" s="187" t="b">
        <v>0</v>
      </c>
      <c r="Y152" s="188" t="b">
        <v>1</v>
      </c>
      <c r="Z152" s="183" t="s">
        <v>4335</v>
      </c>
      <c r="AA152" s="180"/>
      <c r="AB152" s="180"/>
      <c r="AC152" s="181"/>
      <c r="AD152" s="181"/>
      <c r="AE152" s="181"/>
      <c r="AF152" s="181"/>
      <c r="AG152" s="180"/>
      <c r="AH152" s="180"/>
      <c r="AI152" s="180"/>
      <c r="AJ152" s="181"/>
      <c r="AK152" s="181"/>
      <c r="AL152" s="181"/>
      <c r="AM152" s="181"/>
      <c r="AN152" s="181"/>
      <c r="AO152" s="181"/>
      <c r="AP152" s="181"/>
      <c r="AQ152" s="181"/>
      <c r="AR152" s="181"/>
      <c r="AS152" s="180"/>
      <c r="AT152" s="180"/>
    </row>
    <row r="153" spans="1:46" ht="103.65" customHeight="1">
      <c r="A153" s="58">
        <v>59</v>
      </c>
      <c r="B153" s="182" t="s">
        <v>1460</v>
      </c>
      <c r="C153" s="168" t="s">
        <v>4288</v>
      </c>
      <c r="D153" s="169" t="s">
        <v>4452</v>
      </c>
      <c r="E153" s="169" t="s">
        <v>1540</v>
      </c>
      <c r="F153" s="62" t="str">
        <f t="shared" si="6"/>
        <v>하</v>
      </c>
      <c r="G153" s="63" t="s">
        <v>2668</v>
      </c>
      <c r="H153" s="63" t="s">
        <v>2674</v>
      </c>
      <c r="I153" s="196" t="s">
        <v>1541</v>
      </c>
      <c r="J153" s="184" t="s">
        <v>4247</v>
      </c>
      <c r="K153" s="185"/>
      <c r="L153" s="184" t="s">
        <v>1492</v>
      </c>
      <c r="M153" s="173"/>
      <c r="N153" s="173"/>
      <c r="O153" s="173"/>
      <c r="P153" s="173"/>
      <c r="Q153" s="173"/>
      <c r="R153" s="173"/>
      <c r="S153" s="186" t="s">
        <v>1418</v>
      </c>
      <c r="T153" s="173"/>
      <c r="U153" s="173"/>
      <c r="V153" s="173"/>
      <c r="W153" s="187" t="b">
        <v>0</v>
      </c>
      <c r="X153" s="187" t="b">
        <v>0</v>
      </c>
      <c r="Y153" s="188" t="b">
        <v>1</v>
      </c>
      <c r="Z153" s="183" t="s">
        <v>1536</v>
      </c>
      <c r="AA153" s="180"/>
      <c r="AB153" s="180"/>
      <c r="AC153" s="181"/>
      <c r="AD153" s="181"/>
      <c r="AE153" s="181"/>
      <c r="AF153" s="181"/>
      <c r="AG153" s="180"/>
      <c r="AH153" s="180"/>
      <c r="AI153" s="180"/>
      <c r="AJ153" s="181"/>
      <c r="AK153" s="181"/>
      <c r="AL153" s="181"/>
      <c r="AM153" s="181"/>
      <c r="AN153" s="181"/>
      <c r="AO153" s="181"/>
      <c r="AP153" s="181"/>
      <c r="AQ153" s="181"/>
      <c r="AR153" s="181"/>
      <c r="AS153" s="180"/>
      <c r="AT153" s="180"/>
    </row>
    <row r="154" spans="1:46" ht="103.65" customHeight="1">
      <c r="A154" s="58">
        <v>60</v>
      </c>
      <c r="B154" s="182" t="s">
        <v>1460</v>
      </c>
      <c r="C154" s="168" t="s">
        <v>4297</v>
      </c>
      <c r="D154" s="169" t="s">
        <v>1542</v>
      </c>
      <c r="E154" s="169" t="s">
        <v>1543</v>
      </c>
      <c r="F154" s="62" t="str">
        <f t="shared" si="6"/>
        <v>하</v>
      </c>
      <c r="G154" s="63" t="s">
        <v>2668</v>
      </c>
      <c r="H154" s="63" t="s">
        <v>2674</v>
      </c>
      <c r="I154" s="196" t="s">
        <v>1544</v>
      </c>
      <c r="J154" s="184" t="s">
        <v>4247</v>
      </c>
      <c r="K154" s="185"/>
      <c r="L154" s="184" t="s">
        <v>1492</v>
      </c>
      <c r="M154" s="173"/>
      <c r="N154" s="173"/>
      <c r="O154" s="173"/>
      <c r="P154" s="173"/>
      <c r="Q154" s="173"/>
      <c r="R154" s="173"/>
      <c r="S154" s="186" t="s">
        <v>1418</v>
      </c>
      <c r="T154" s="173"/>
      <c r="U154" s="173"/>
      <c r="V154" s="173"/>
      <c r="W154" s="187" t="b">
        <v>0</v>
      </c>
      <c r="X154" s="187" t="b">
        <v>0</v>
      </c>
      <c r="Y154" s="188" t="b">
        <v>1</v>
      </c>
      <c r="Z154" s="183" t="s">
        <v>855</v>
      </c>
      <c r="AA154" s="180"/>
      <c r="AB154" s="180"/>
      <c r="AC154" s="181"/>
      <c r="AD154" s="181"/>
      <c r="AE154" s="181"/>
      <c r="AF154" s="181"/>
      <c r="AG154" s="180"/>
      <c r="AH154" s="180"/>
      <c r="AI154" s="180"/>
      <c r="AJ154" s="181"/>
      <c r="AK154" s="181"/>
      <c r="AL154" s="181"/>
      <c r="AM154" s="181"/>
      <c r="AN154" s="181"/>
      <c r="AO154" s="181"/>
      <c r="AP154" s="181"/>
      <c r="AQ154" s="181"/>
      <c r="AR154" s="181"/>
      <c r="AS154" s="180"/>
      <c r="AT154" s="180"/>
    </row>
    <row r="155" spans="1:46" ht="88.05" customHeight="1">
      <c r="A155" s="58">
        <v>61</v>
      </c>
      <c r="B155" s="182" t="s">
        <v>1460</v>
      </c>
      <c r="C155" s="168" t="s">
        <v>4298</v>
      </c>
      <c r="D155" s="169" t="s">
        <v>1545</v>
      </c>
      <c r="E155" s="169" t="s">
        <v>1546</v>
      </c>
      <c r="F155" s="62" t="str">
        <f t="shared" si="6"/>
        <v>하</v>
      </c>
      <c r="G155" s="63" t="s">
        <v>2668</v>
      </c>
      <c r="H155" s="63" t="s">
        <v>2674</v>
      </c>
      <c r="I155" s="196" t="s">
        <v>1547</v>
      </c>
      <c r="J155" s="184" t="s">
        <v>4247</v>
      </c>
      <c r="K155" s="185"/>
      <c r="L155" s="184" t="s">
        <v>1492</v>
      </c>
      <c r="M155" s="173"/>
      <c r="N155" s="173"/>
      <c r="O155" s="173"/>
      <c r="P155" s="173"/>
      <c r="Q155" s="173"/>
      <c r="R155" s="173"/>
      <c r="S155" s="186" t="s">
        <v>1418</v>
      </c>
      <c r="T155" s="173"/>
      <c r="U155" s="173"/>
      <c r="V155" s="173"/>
      <c r="W155" s="187" t="b">
        <v>0</v>
      </c>
      <c r="X155" s="187" t="b">
        <v>0</v>
      </c>
      <c r="Y155" s="188" t="b">
        <v>1</v>
      </c>
      <c r="Z155" s="183" t="s">
        <v>832</v>
      </c>
      <c r="AA155" s="180"/>
      <c r="AB155" s="180"/>
      <c r="AC155" s="181"/>
      <c r="AD155" s="181"/>
      <c r="AE155" s="181"/>
      <c r="AF155" s="181"/>
      <c r="AG155" s="180"/>
      <c r="AH155" s="180"/>
      <c r="AI155" s="180"/>
      <c r="AJ155" s="181"/>
      <c r="AK155" s="181"/>
      <c r="AL155" s="181"/>
      <c r="AM155" s="181"/>
      <c r="AN155" s="181"/>
      <c r="AO155" s="181"/>
      <c r="AP155" s="181"/>
      <c r="AQ155" s="181"/>
      <c r="AR155" s="181"/>
      <c r="AS155" s="180"/>
      <c r="AT155" s="180"/>
    </row>
    <row r="156" spans="1:46" ht="103.65" customHeight="1">
      <c r="A156" s="58">
        <v>62</v>
      </c>
      <c r="B156" s="182" t="s">
        <v>1460</v>
      </c>
      <c r="C156" s="168" t="s">
        <v>4298</v>
      </c>
      <c r="D156" s="169" t="s">
        <v>1548</v>
      </c>
      <c r="E156" s="169" t="s">
        <v>1549</v>
      </c>
      <c r="F156" s="125" t="str">
        <f t="shared" si="6"/>
        <v>하</v>
      </c>
      <c r="G156" s="63" t="s">
        <v>2668</v>
      </c>
      <c r="H156" s="63" t="s">
        <v>2674</v>
      </c>
      <c r="I156" s="196" t="s">
        <v>1550</v>
      </c>
      <c r="J156" s="184" t="s">
        <v>4247</v>
      </c>
      <c r="K156" s="185"/>
      <c r="L156" s="184" t="s">
        <v>1492</v>
      </c>
      <c r="M156" s="173"/>
      <c r="N156" s="173"/>
      <c r="O156" s="173"/>
      <c r="P156" s="173"/>
      <c r="Q156" s="173"/>
      <c r="R156" s="173"/>
      <c r="S156" s="186" t="s">
        <v>1418</v>
      </c>
      <c r="T156" s="173"/>
      <c r="U156" s="173"/>
      <c r="V156" s="173"/>
      <c r="W156" s="187" t="b">
        <v>0</v>
      </c>
      <c r="X156" s="187" t="b">
        <v>0</v>
      </c>
      <c r="Y156" s="188" t="b">
        <v>1</v>
      </c>
      <c r="Z156" s="183" t="s">
        <v>855</v>
      </c>
      <c r="AA156" s="180"/>
      <c r="AB156" s="180"/>
      <c r="AC156" s="181"/>
      <c r="AD156" s="181"/>
      <c r="AE156" s="181"/>
      <c r="AF156" s="181"/>
      <c r="AG156" s="180"/>
      <c r="AH156" s="180"/>
      <c r="AI156" s="180"/>
      <c r="AJ156" s="181"/>
      <c r="AK156" s="181"/>
      <c r="AL156" s="181"/>
      <c r="AM156" s="181"/>
      <c r="AN156" s="181"/>
      <c r="AO156" s="181"/>
      <c r="AP156" s="181"/>
      <c r="AQ156" s="181"/>
      <c r="AR156" s="181"/>
      <c r="AS156" s="180"/>
      <c r="AT156" s="180"/>
    </row>
    <row r="157" spans="1:46" ht="103.65" customHeight="1">
      <c r="A157" s="58">
        <v>63</v>
      </c>
      <c r="B157" s="182" t="s">
        <v>1460</v>
      </c>
      <c r="C157" s="168" t="s">
        <v>4289</v>
      </c>
      <c r="D157" s="169" t="s">
        <v>4516</v>
      </c>
      <c r="E157" s="169" t="s">
        <v>1551</v>
      </c>
      <c r="F157" s="62" t="str">
        <f t="shared" si="6"/>
        <v>하</v>
      </c>
      <c r="G157" s="63" t="s">
        <v>2668</v>
      </c>
      <c r="H157" s="63" t="s">
        <v>2674</v>
      </c>
      <c r="I157" s="196" t="s">
        <v>1552</v>
      </c>
      <c r="J157" s="184" t="s">
        <v>4247</v>
      </c>
      <c r="K157" s="185"/>
      <c r="L157" s="184" t="s">
        <v>1492</v>
      </c>
      <c r="M157" s="173"/>
      <c r="N157" s="173"/>
      <c r="O157" s="173"/>
      <c r="P157" s="173"/>
      <c r="Q157" s="173"/>
      <c r="R157" s="173"/>
      <c r="S157" s="186" t="s">
        <v>1418</v>
      </c>
      <c r="T157" s="173"/>
      <c r="U157" s="173"/>
      <c r="V157" s="173"/>
      <c r="W157" s="187" t="b">
        <v>0</v>
      </c>
      <c r="X157" s="187" t="b">
        <v>0</v>
      </c>
      <c r="Y157" s="188" t="b">
        <v>1</v>
      </c>
      <c r="Z157" s="183" t="s">
        <v>1534</v>
      </c>
      <c r="AA157" s="180"/>
      <c r="AB157" s="180"/>
      <c r="AC157" s="181"/>
      <c r="AD157" s="181"/>
      <c r="AE157" s="181"/>
      <c r="AF157" s="181"/>
      <c r="AG157" s="180"/>
      <c r="AH157" s="180"/>
      <c r="AI157" s="180"/>
      <c r="AJ157" s="181"/>
      <c r="AK157" s="181"/>
      <c r="AL157" s="181"/>
      <c r="AM157" s="181"/>
      <c r="AN157" s="181"/>
      <c r="AO157" s="181"/>
      <c r="AP157" s="181"/>
      <c r="AQ157" s="181"/>
      <c r="AR157" s="181"/>
      <c r="AS157" s="180"/>
      <c r="AT157" s="180"/>
    </row>
    <row r="158" spans="1:46" ht="103.65" customHeight="1">
      <c r="A158" s="58">
        <v>64</v>
      </c>
      <c r="B158" s="58" t="s">
        <v>1427</v>
      </c>
      <c r="C158" s="58" t="s">
        <v>4355</v>
      </c>
      <c r="D158" s="60" t="s">
        <v>4407</v>
      </c>
      <c r="E158" s="60" t="s">
        <v>3060</v>
      </c>
      <c r="F158" s="62" t="str">
        <f t="shared" si="6"/>
        <v>하</v>
      </c>
      <c r="G158" s="63" t="s">
        <v>2668</v>
      </c>
      <c r="H158" s="63" t="s">
        <v>2674</v>
      </c>
      <c r="I158" s="60" t="s">
        <v>3061</v>
      </c>
      <c r="J158" s="64" t="s">
        <v>4247</v>
      </c>
      <c r="K158" s="74"/>
      <c r="L158" s="64" t="s">
        <v>1492</v>
      </c>
      <c r="M158" s="64"/>
      <c r="N158" s="64"/>
      <c r="O158" s="64"/>
      <c r="P158" s="64"/>
      <c r="Q158" s="67"/>
      <c r="R158" s="68"/>
      <c r="S158" s="69" t="s">
        <v>1493</v>
      </c>
      <c r="T158" s="68"/>
      <c r="U158" s="64"/>
      <c r="V158" s="65"/>
      <c r="W158" s="86" t="b">
        <v>0</v>
      </c>
      <c r="X158" s="86" t="b">
        <v>0</v>
      </c>
      <c r="Y158" s="87" t="b">
        <v>0</v>
      </c>
      <c r="Z158" s="72" t="s">
        <v>4369</v>
      </c>
      <c r="AJ158" s="16"/>
      <c r="AK158" s="16"/>
      <c r="AL158" s="16"/>
      <c r="AM158" s="16"/>
      <c r="AN158" s="16"/>
      <c r="AO158" s="16"/>
      <c r="AP158" s="16"/>
      <c r="AQ158" s="16"/>
      <c r="AR158" s="16"/>
    </row>
    <row r="159" spans="1:46" ht="103.65" customHeight="1">
      <c r="A159" s="58">
        <v>66</v>
      </c>
      <c r="B159" s="122" t="s">
        <v>1427</v>
      </c>
      <c r="C159" s="122" t="s">
        <v>1406</v>
      </c>
      <c r="D159" s="124" t="s">
        <v>4408</v>
      </c>
      <c r="E159" s="124" t="s">
        <v>3072</v>
      </c>
      <c r="F159" s="62" t="str">
        <f t="shared" si="6"/>
        <v>하</v>
      </c>
      <c r="G159" s="126" t="s">
        <v>2668</v>
      </c>
      <c r="H159" s="126" t="s">
        <v>2674</v>
      </c>
      <c r="I159" s="124" t="s">
        <v>3073</v>
      </c>
      <c r="J159" s="141" t="s">
        <v>4247</v>
      </c>
      <c r="K159" s="141"/>
      <c r="L159" s="141" t="s">
        <v>1492</v>
      </c>
      <c r="M159" s="141"/>
      <c r="N159" s="141"/>
      <c r="O159" s="141"/>
      <c r="P159" s="141"/>
      <c r="Q159" s="130"/>
      <c r="R159" s="143"/>
      <c r="S159" s="144" t="s">
        <v>1493</v>
      </c>
      <c r="T159" s="143"/>
      <c r="U159" s="141"/>
      <c r="V159" s="128"/>
      <c r="W159" s="147" t="b">
        <v>0</v>
      </c>
      <c r="X159" s="147" t="b">
        <v>0</v>
      </c>
      <c r="Y159" s="146" t="b">
        <v>0</v>
      </c>
      <c r="Z159" s="148" t="s">
        <v>4370</v>
      </c>
      <c r="AA159" s="134"/>
      <c r="AB159" s="134"/>
      <c r="AC159" s="150"/>
      <c r="AD159" s="150"/>
      <c r="AE159" s="150"/>
      <c r="AF159" s="150"/>
      <c r="AG159" s="134"/>
      <c r="AH159" s="134"/>
      <c r="AI159" s="134"/>
      <c r="AJ159" s="150"/>
      <c r="AK159" s="150"/>
      <c r="AL159" s="150"/>
      <c r="AM159" s="150"/>
      <c r="AN159" s="150"/>
      <c r="AO159" s="150"/>
      <c r="AP159" s="150"/>
      <c r="AQ159" s="150"/>
      <c r="AR159" s="150"/>
      <c r="AS159" s="134"/>
      <c r="AT159" s="134"/>
    </row>
    <row r="160" spans="1:46" ht="103.65" customHeight="1">
      <c r="A160" s="58">
        <v>67</v>
      </c>
      <c r="B160" s="58" t="s">
        <v>1427</v>
      </c>
      <c r="C160" s="59" t="s">
        <v>1406</v>
      </c>
      <c r="D160" s="60" t="s">
        <v>4409</v>
      </c>
      <c r="E160" s="60" t="s">
        <v>3075</v>
      </c>
      <c r="F160" s="62" t="str">
        <f t="shared" si="6"/>
        <v>하</v>
      </c>
      <c r="G160" s="63" t="s">
        <v>2668</v>
      </c>
      <c r="H160" s="63" t="s">
        <v>2674</v>
      </c>
      <c r="I160" s="190" t="s">
        <v>3076</v>
      </c>
      <c r="J160" s="64" t="s">
        <v>4247</v>
      </c>
      <c r="K160" s="65"/>
      <c r="L160" s="64" t="s">
        <v>1492</v>
      </c>
      <c r="M160" s="66"/>
      <c r="N160" s="64"/>
      <c r="O160" s="66"/>
      <c r="P160" s="64"/>
      <c r="Q160" s="67"/>
      <c r="R160" s="68"/>
      <c r="S160" s="69" t="s">
        <v>1493</v>
      </c>
      <c r="T160" s="68"/>
      <c r="U160" s="64"/>
      <c r="V160" s="70"/>
      <c r="W160" s="86" t="b">
        <v>0</v>
      </c>
      <c r="X160" s="86" t="b">
        <v>0</v>
      </c>
      <c r="Y160" s="87" t="b">
        <v>0</v>
      </c>
      <c r="Z160" s="72" t="s">
        <v>4370</v>
      </c>
      <c r="AJ160" s="16"/>
      <c r="AK160" s="16"/>
      <c r="AL160" s="16"/>
      <c r="AM160" s="16"/>
      <c r="AN160" s="16"/>
      <c r="AO160" s="16"/>
      <c r="AP160" s="16"/>
      <c r="AQ160" s="16"/>
      <c r="AR160" s="16"/>
    </row>
    <row r="161" spans="1:46" ht="103.65" customHeight="1">
      <c r="A161" s="58">
        <v>69</v>
      </c>
      <c r="B161" s="58" t="s">
        <v>1427</v>
      </c>
      <c r="C161" s="59" t="s">
        <v>1406</v>
      </c>
      <c r="D161" s="60" t="s">
        <v>4411</v>
      </c>
      <c r="E161" s="60" t="s">
        <v>3087</v>
      </c>
      <c r="F161" s="62" t="str">
        <f t="shared" si="6"/>
        <v>하</v>
      </c>
      <c r="G161" s="63" t="s">
        <v>2668</v>
      </c>
      <c r="H161" s="63" t="s">
        <v>2674</v>
      </c>
      <c r="I161" s="190" t="s">
        <v>3088</v>
      </c>
      <c r="J161" s="64" t="s">
        <v>4247</v>
      </c>
      <c r="K161" s="65"/>
      <c r="L161" s="64" t="s">
        <v>1492</v>
      </c>
      <c r="M161" s="66"/>
      <c r="N161" s="64"/>
      <c r="O161" s="66"/>
      <c r="P161" s="64"/>
      <c r="Q161" s="67"/>
      <c r="R161" s="68"/>
      <c r="S161" s="69" t="s">
        <v>1493</v>
      </c>
      <c r="T161" s="68"/>
      <c r="U161" s="64"/>
      <c r="V161" s="70"/>
      <c r="W161" s="86" t="b">
        <v>0</v>
      </c>
      <c r="X161" s="87" t="b">
        <v>0</v>
      </c>
      <c r="Y161" s="87" t="b">
        <v>0</v>
      </c>
      <c r="Z161" s="72" t="s">
        <v>4372</v>
      </c>
      <c r="AJ161" s="16"/>
      <c r="AK161" s="16"/>
      <c r="AL161" s="16"/>
      <c r="AM161" s="16"/>
      <c r="AN161" s="16"/>
      <c r="AO161" s="16"/>
      <c r="AP161" s="16"/>
      <c r="AQ161" s="16"/>
      <c r="AR161" s="16"/>
    </row>
    <row r="162" spans="1:46" ht="103.65" customHeight="1">
      <c r="A162" s="58">
        <v>70</v>
      </c>
      <c r="B162" s="122" t="s">
        <v>1427</v>
      </c>
      <c r="C162" s="125" t="s">
        <v>1406</v>
      </c>
      <c r="D162" s="124" t="s">
        <v>4412</v>
      </c>
      <c r="E162" s="124" t="s">
        <v>3092</v>
      </c>
      <c r="F162" s="62" t="str">
        <f t="shared" si="6"/>
        <v>하</v>
      </c>
      <c r="G162" s="126" t="s">
        <v>2668</v>
      </c>
      <c r="H162" s="126" t="s">
        <v>2674</v>
      </c>
      <c r="I162" s="197" t="s">
        <v>3093</v>
      </c>
      <c r="J162" s="141" t="s">
        <v>4247</v>
      </c>
      <c r="K162" s="142"/>
      <c r="L162" s="141" t="s">
        <v>1492</v>
      </c>
      <c r="M162" s="128"/>
      <c r="N162" s="141"/>
      <c r="O162" s="128"/>
      <c r="P162" s="141"/>
      <c r="Q162" s="130"/>
      <c r="R162" s="143"/>
      <c r="S162" s="144" t="s">
        <v>1493</v>
      </c>
      <c r="T162" s="143"/>
      <c r="U162" s="141"/>
      <c r="V162" s="145"/>
      <c r="W162" s="146" t="b">
        <v>0</v>
      </c>
      <c r="X162" s="146" t="b">
        <v>0</v>
      </c>
      <c r="Y162" s="147" t="b">
        <v>0</v>
      </c>
      <c r="Z162" s="148" t="s">
        <v>4372</v>
      </c>
      <c r="AA162" s="134"/>
      <c r="AB162" s="134"/>
      <c r="AC162" s="150"/>
      <c r="AD162" s="150"/>
      <c r="AE162" s="150"/>
      <c r="AF162" s="150"/>
      <c r="AG162" s="134"/>
      <c r="AH162" s="134"/>
      <c r="AI162" s="134"/>
      <c r="AJ162" s="150"/>
      <c r="AK162" s="150"/>
      <c r="AL162" s="150"/>
      <c r="AM162" s="150"/>
      <c r="AN162" s="150"/>
      <c r="AO162" s="150"/>
      <c r="AP162" s="150"/>
      <c r="AQ162" s="150"/>
      <c r="AR162" s="150"/>
      <c r="AS162" s="134"/>
      <c r="AT162" s="134"/>
    </row>
    <row r="163" spans="1:46" ht="102.6" customHeight="1">
      <c r="A163" s="58">
        <v>71</v>
      </c>
      <c r="B163" s="58" t="s">
        <v>1427</v>
      </c>
      <c r="C163" s="59" t="s">
        <v>4354</v>
      </c>
      <c r="D163" s="60" t="s">
        <v>4413</v>
      </c>
      <c r="E163" s="60" t="s">
        <v>3094</v>
      </c>
      <c r="F163" s="62" t="str">
        <f t="shared" si="6"/>
        <v>하</v>
      </c>
      <c r="G163" s="63" t="s">
        <v>2668</v>
      </c>
      <c r="H163" s="63" t="s">
        <v>2674</v>
      </c>
      <c r="I163" s="190" t="s">
        <v>3095</v>
      </c>
      <c r="J163" s="64" t="s">
        <v>4247</v>
      </c>
      <c r="K163" s="65"/>
      <c r="L163" s="64" t="s">
        <v>1492</v>
      </c>
      <c r="M163" s="66"/>
      <c r="N163" s="64"/>
      <c r="O163" s="66"/>
      <c r="P163" s="64"/>
      <c r="Q163" s="67"/>
      <c r="R163" s="68"/>
      <c r="S163" s="69" t="s">
        <v>1493</v>
      </c>
      <c r="T163" s="68"/>
      <c r="U163" s="64"/>
      <c r="V163" s="70"/>
      <c r="W163" s="86" t="b">
        <v>0</v>
      </c>
      <c r="X163" s="86" t="b">
        <v>0</v>
      </c>
      <c r="Y163" s="87" t="b">
        <v>0</v>
      </c>
      <c r="Z163" s="72" t="s">
        <v>4373</v>
      </c>
      <c r="AJ163" s="16"/>
      <c r="AK163" s="16"/>
      <c r="AL163" s="16"/>
      <c r="AM163" s="16"/>
      <c r="AN163" s="16"/>
      <c r="AO163" s="16"/>
      <c r="AP163" s="16"/>
      <c r="AQ163" s="16"/>
      <c r="AR163" s="16"/>
    </row>
    <row r="164" spans="1:46" ht="88.05" customHeight="1">
      <c r="A164" s="58">
        <v>74</v>
      </c>
      <c r="B164" s="58" t="s">
        <v>1427</v>
      </c>
      <c r="C164" s="59" t="s">
        <v>1406</v>
      </c>
      <c r="D164" s="60" t="s">
        <v>4416</v>
      </c>
      <c r="E164" s="60" t="s">
        <v>3105</v>
      </c>
      <c r="F164" s="62" t="str">
        <f t="shared" si="6"/>
        <v>하</v>
      </c>
      <c r="G164" s="63" t="s">
        <v>2668</v>
      </c>
      <c r="H164" s="63" t="s">
        <v>2674</v>
      </c>
      <c r="I164" s="190" t="s">
        <v>3106</v>
      </c>
      <c r="J164" s="64" t="s">
        <v>4247</v>
      </c>
      <c r="K164" s="65"/>
      <c r="L164" s="64" t="s">
        <v>1492</v>
      </c>
      <c r="M164" s="66"/>
      <c r="N164" s="64"/>
      <c r="O164" s="66"/>
      <c r="P164" s="64"/>
      <c r="Q164" s="67"/>
      <c r="R164" s="68"/>
      <c r="S164" s="69" t="s">
        <v>1493</v>
      </c>
      <c r="T164" s="68"/>
      <c r="U164" s="64"/>
      <c r="V164" s="70"/>
      <c r="W164" s="87" t="b">
        <v>1</v>
      </c>
      <c r="X164" s="87" t="b">
        <v>0</v>
      </c>
      <c r="Y164" s="87" t="b">
        <v>0</v>
      </c>
      <c r="Z164" s="72" t="s">
        <v>4369</v>
      </c>
      <c r="AJ164" s="16"/>
      <c r="AK164" s="16"/>
      <c r="AL164" s="16"/>
      <c r="AM164" s="16"/>
      <c r="AN164" s="16"/>
      <c r="AO164" s="16"/>
      <c r="AP164" s="16"/>
      <c r="AQ164" s="16"/>
      <c r="AR164" s="16"/>
    </row>
    <row r="165" spans="1:46" ht="88.05" customHeight="1">
      <c r="A165" s="58">
        <v>75</v>
      </c>
      <c r="B165" s="58" t="s">
        <v>1427</v>
      </c>
      <c r="C165" s="59" t="s">
        <v>1406</v>
      </c>
      <c r="D165" s="60" t="s">
        <v>4417</v>
      </c>
      <c r="E165" s="60" t="s">
        <v>3112</v>
      </c>
      <c r="F165" s="62" t="str">
        <f t="shared" si="6"/>
        <v>하</v>
      </c>
      <c r="G165" s="63" t="s">
        <v>2668</v>
      </c>
      <c r="H165" s="63" t="s">
        <v>2674</v>
      </c>
      <c r="I165" s="190" t="s">
        <v>3113</v>
      </c>
      <c r="J165" s="64" t="s">
        <v>4247</v>
      </c>
      <c r="K165" s="65"/>
      <c r="L165" s="64" t="s">
        <v>1492</v>
      </c>
      <c r="M165" s="66"/>
      <c r="N165" s="64"/>
      <c r="O165" s="66"/>
      <c r="P165" s="64"/>
      <c r="Q165" s="67"/>
      <c r="R165" s="68"/>
      <c r="S165" s="69" t="s">
        <v>1493</v>
      </c>
      <c r="T165" s="68"/>
      <c r="U165" s="64"/>
      <c r="V165" s="70"/>
      <c r="W165" s="86" t="b">
        <v>1</v>
      </c>
      <c r="X165" s="87" t="b">
        <v>0</v>
      </c>
      <c r="Y165" s="86" t="b">
        <v>0</v>
      </c>
      <c r="Z165" s="72" t="s">
        <v>4372</v>
      </c>
      <c r="AJ165" s="16"/>
      <c r="AK165" s="16"/>
      <c r="AL165" s="16"/>
      <c r="AM165" s="16"/>
      <c r="AN165" s="16"/>
      <c r="AO165" s="16"/>
      <c r="AP165" s="16"/>
      <c r="AQ165" s="16"/>
      <c r="AR165" s="16"/>
    </row>
    <row r="166" spans="1:46" ht="103.65" customHeight="1">
      <c r="A166" s="58">
        <v>76</v>
      </c>
      <c r="B166" s="58" t="s">
        <v>1427</v>
      </c>
      <c r="C166" s="59" t="s">
        <v>1406</v>
      </c>
      <c r="D166" s="60" t="s">
        <v>4418</v>
      </c>
      <c r="E166" s="60" t="s">
        <v>3117</v>
      </c>
      <c r="F166" s="62" t="str">
        <f t="shared" si="6"/>
        <v>하</v>
      </c>
      <c r="G166" s="63" t="s">
        <v>2668</v>
      </c>
      <c r="H166" s="63" t="s">
        <v>2674</v>
      </c>
      <c r="I166" s="190" t="s">
        <v>3118</v>
      </c>
      <c r="J166" s="64" t="s">
        <v>4247</v>
      </c>
      <c r="K166" s="65"/>
      <c r="L166" s="64" t="s">
        <v>1492</v>
      </c>
      <c r="M166" s="66"/>
      <c r="N166" s="64"/>
      <c r="O166" s="66"/>
      <c r="P166" s="64"/>
      <c r="Q166" s="67"/>
      <c r="R166" s="68"/>
      <c r="S166" s="69" t="s">
        <v>1493</v>
      </c>
      <c r="T166" s="68"/>
      <c r="U166" s="64"/>
      <c r="V166" s="70"/>
      <c r="W166" s="86" t="b">
        <v>0</v>
      </c>
      <c r="X166" s="86" t="b">
        <v>1</v>
      </c>
      <c r="Y166" s="87" t="b">
        <v>0</v>
      </c>
      <c r="Z166" s="71" t="s">
        <v>4375</v>
      </c>
      <c r="AJ166" s="16"/>
      <c r="AK166" s="16"/>
      <c r="AL166" s="16"/>
      <c r="AM166" s="16"/>
      <c r="AN166" s="16"/>
      <c r="AO166" s="16"/>
      <c r="AP166" s="16"/>
      <c r="AQ166" s="16"/>
      <c r="AR166" s="16"/>
    </row>
    <row r="167" spans="1:46" ht="103.65" customHeight="1">
      <c r="A167" s="58">
        <v>77</v>
      </c>
      <c r="B167" s="122" t="s">
        <v>1427</v>
      </c>
      <c r="C167" s="125" t="s">
        <v>1406</v>
      </c>
      <c r="D167" s="124" t="s">
        <v>4419</v>
      </c>
      <c r="E167" s="124" t="s">
        <v>3123</v>
      </c>
      <c r="F167" s="62" t="str">
        <f t="shared" si="6"/>
        <v>하</v>
      </c>
      <c r="G167" s="126" t="s">
        <v>2668</v>
      </c>
      <c r="H167" s="126" t="s">
        <v>2674</v>
      </c>
      <c r="I167" s="197" t="s">
        <v>3124</v>
      </c>
      <c r="J167" s="141" t="s">
        <v>4247</v>
      </c>
      <c r="K167" s="142"/>
      <c r="L167" s="141" t="s">
        <v>1492</v>
      </c>
      <c r="M167" s="128"/>
      <c r="N167" s="141"/>
      <c r="O167" s="128"/>
      <c r="P167" s="141"/>
      <c r="Q167" s="130"/>
      <c r="R167" s="143"/>
      <c r="S167" s="144" t="s">
        <v>1493</v>
      </c>
      <c r="T167" s="143"/>
      <c r="U167" s="141"/>
      <c r="V167" s="145"/>
      <c r="W167" s="147" t="b">
        <v>1</v>
      </c>
      <c r="X167" s="146" t="b">
        <v>0</v>
      </c>
      <c r="Y167" s="147" t="b">
        <v>0</v>
      </c>
      <c r="Z167" s="200" t="s">
        <v>4376</v>
      </c>
      <c r="AA167" s="134"/>
      <c r="AB167" s="134"/>
      <c r="AC167" s="150"/>
      <c r="AD167" s="150"/>
      <c r="AE167" s="150"/>
      <c r="AF167" s="150"/>
      <c r="AG167" s="134"/>
      <c r="AH167" s="134"/>
      <c r="AI167" s="134"/>
      <c r="AJ167" s="150"/>
      <c r="AK167" s="150"/>
      <c r="AL167" s="150"/>
      <c r="AM167" s="150"/>
      <c r="AN167" s="150"/>
      <c r="AO167" s="150"/>
      <c r="AP167" s="150"/>
      <c r="AQ167" s="150"/>
      <c r="AR167" s="150"/>
      <c r="AS167" s="134"/>
      <c r="AT167" s="134"/>
    </row>
    <row r="168" spans="1:46" ht="103.65" customHeight="1">
      <c r="A168" s="58">
        <v>78</v>
      </c>
      <c r="B168" s="58" t="s">
        <v>1427</v>
      </c>
      <c r="C168" s="59" t="s">
        <v>1406</v>
      </c>
      <c r="D168" s="60" t="s">
        <v>4420</v>
      </c>
      <c r="E168" s="60" t="s">
        <v>3125</v>
      </c>
      <c r="F168" s="62" t="str">
        <f t="shared" si="6"/>
        <v>하</v>
      </c>
      <c r="G168" s="63" t="s">
        <v>2668</v>
      </c>
      <c r="H168" s="63" t="s">
        <v>2674</v>
      </c>
      <c r="I168" s="190" t="s">
        <v>3126</v>
      </c>
      <c r="J168" s="64" t="s">
        <v>4247</v>
      </c>
      <c r="K168" s="65"/>
      <c r="L168" s="64" t="s">
        <v>1492</v>
      </c>
      <c r="M168" s="66"/>
      <c r="N168" s="64"/>
      <c r="O168" s="66"/>
      <c r="P168" s="64"/>
      <c r="Q168" s="67"/>
      <c r="R168" s="68"/>
      <c r="S168" s="69" t="s">
        <v>1493</v>
      </c>
      <c r="T168" s="68"/>
      <c r="U168" s="64"/>
      <c r="V168" s="70"/>
      <c r="W168" s="86" t="b">
        <v>1</v>
      </c>
      <c r="X168" s="87" t="b">
        <v>0</v>
      </c>
      <c r="Y168" s="87" t="b">
        <v>0</v>
      </c>
      <c r="Z168" s="72" t="s">
        <v>4372</v>
      </c>
      <c r="AJ168" s="16"/>
      <c r="AK168" s="16"/>
      <c r="AL168" s="16"/>
      <c r="AM168" s="16"/>
      <c r="AN168" s="16"/>
      <c r="AO168" s="16"/>
      <c r="AP168" s="16"/>
      <c r="AQ168" s="16"/>
      <c r="AR168" s="16"/>
    </row>
    <row r="169" spans="1:46" ht="103.65" customHeight="1">
      <c r="A169" s="58">
        <v>79</v>
      </c>
      <c r="B169" s="58" t="s">
        <v>1427</v>
      </c>
      <c r="C169" s="59" t="s">
        <v>1406</v>
      </c>
      <c r="D169" s="60" t="s">
        <v>4421</v>
      </c>
      <c r="E169" s="60" t="s">
        <v>3128</v>
      </c>
      <c r="F169" s="62" t="str">
        <f t="shared" si="6"/>
        <v>하</v>
      </c>
      <c r="G169" s="63" t="s">
        <v>2668</v>
      </c>
      <c r="H169" s="63" t="s">
        <v>2674</v>
      </c>
      <c r="I169" s="190" t="s">
        <v>3129</v>
      </c>
      <c r="J169" s="64" t="s">
        <v>4247</v>
      </c>
      <c r="K169" s="65"/>
      <c r="L169" s="64" t="s">
        <v>1492</v>
      </c>
      <c r="M169" s="66"/>
      <c r="N169" s="64"/>
      <c r="O169" s="66"/>
      <c r="P169" s="64"/>
      <c r="Q169" s="67"/>
      <c r="R169" s="68"/>
      <c r="S169" s="69" t="s">
        <v>1493</v>
      </c>
      <c r="T169" s="68"/>
      <c r="U169" s="64"/>
      <c r="V169" s="70"/>
      <c r="W169" s="86" t="b">
        <v>1</v>
      </c>
      <c r="X169" s="86" t="b">
        <v>1</v>
      </c>
      <c r="Y169" s="86" t="b">
        <v>0</v>
      </c>
      <c r="Z169" s="72" t="s">
        <v>4376</v>
      </c>
      <c r="AJ169" s="16"/>
      <c r="AK169" s="16"/>
      <c r="AL169" s="16"/>
      <c r="AM169" s="16"/>
      <c r="AN169" s="16"/>
      <c r="AO169" s="16"/>
      <c r="AP169" s="16"/>
      <c r="AQ169" s="16"/>
      <c r="AR169" s="16"/>
    </row>
    <row r="170" spans="1:46" ht="103.65" customHeight="1">
      <c r="A170" s="58">
        <v>80</v>
      </c>
      <c r="B170" s="59" t="s">
        <v>1427</v>
      </c>
      <c r="C170" s="59" t="s">
        <v>1406</v>
      </c>
      <c r="D170" s="60" t="s">
        <v>4422</v>
      </c>
      <c r="E170" s="60" t="s">
        <v>3131</v>
      </c>
      <c r="F170" s="62" t="str">
        <f t="shared" si="6"/>
        <v>하</v>
      </c>
      <c r="G170" s="63" t="s">
        <v>2668</v>
      </c>
      <c r="H170" s="63" t="s">
        <v>2674</v>
      </c>
      <c r="I170" s="60" t="s">
        <v>3132</v>
      </c>
      <c r="J170" s="64" t="s">
        <v>4247</v>
      </c>
      <c r="K170" s="64"/>
      <c r="L170" s="64" t="s">
        <v>1492</v>
      </c>
      <c r="M170" s="64"/>
      <c r="N170" s="64"/>
      <c r="O170" s="64"/>
      <c r="P170" s="64"/>
      <c r="Q170" s="67"/>
      <c r="R170" s="68"/>
      <c r="S170" s="69" t="s">
        <v>1493</v>
      </c>
      <c r="T170" s="68"/>
      <c r="U170" s="64"/>
      <c r="V170" s="66"/>
      <c r="W170" s="86" t="b">
        <v>0</v>
      </c>
      <c r="X170" s="86" t="b">
        <v>0</v>
      </c>
      <c r="Y170" s="87" t="b">
        <v>0</v>
      </c>
      <c r="Z170" s="72" t="s">
        <v>4377</v>
      </c>
      <c r="AJ170" s="16"/>
      <c r="AK170" s="16"/>
      <c r="AL170" s="16"/>
      <c r="AM170" s="16"/>
      <c r="AN170" s="16"/>
      <c r="AO170" s="16"/>
      <c r="AP170" s="16"/>
      <c r="AQ170" s="16"/>
      <c r="AR170" s="16"/>
    </row>
    <row r="171" spans="1:46" ht="103.65" customHeight="1">
      <c r="A171" s="58">
        <v>81</v>
      </c>
      <c r="B171" s="58" t="s">
        <v>1427</v>
      </c>
      <c r="C171" s="58" t="s">
        <v>1406</v>
      </c>
      <c r="D171" s="60" t="s">
        <v>4423</v>
      </c>
      <c r="E171" s="60" t="s">
        <v>4378</v>
      </c>
      <c r="F171" s="62" t="str">
        <f t="shared" si="6"/>
        <v>하</v>
      </c>
      <c r="G171" s="63" t="s">
        <v>2668</v>
      </c>
      <c r="H171" s="63" t="s">
        <v>2674</v>
      </c>
      <c r="I171" s="124" t="s">
        <v>4379</v>
      </c>
      <c r="J171" s="64" t="s">
        <v>4247</v>
      </c>
      <c r="K171" s="64"/>
      <c r="L171" s="64" t="s">
        <v>1492</v>
      </c>
      <c r="M171" s="64"/>
      <c r="N171" s="64"/>
      <c r="O171" s="64"/>
      <c r="P171" s="64"/>
      <c r="Q171" s="67"/>
      <c r="R171" s="68"/>
      <c r="S171" s="69" t="s">
        <v>1493</v>
      </c>
      <c r="T171" s="68"/>
      <c r="U171" s="64"/>
      <c r="V171" s="66"/>
      <c r="W171" s="86" t="b">
        <v>1</v>
      </c>
      <c r="X171" s="86" t="b">
        <v>0</v>
      </c>
      <c r="Y171" s="87" t="b">
        <v>0</v>
      </c>
      <c r="Z171" s="72" t="s">
        <v>4380</v>
      </c>
      <c r="AJ171" s="16"/>
      <c r="AK171" s="16"/>
      <c r="AL171" s="16"/>
      <c r="AM171" s="16"/>
      <c r="AN171" s="16"/>
      <c r="AO171" s="16"/>
      <c r="AP171" s="16"/>
      <c r="AQ171" s="16"/>
      <c r="AR171" s="16"/>
    </row>
    <row r="172" spans="1:46" ht="103.65" customHeight="1">
      <c r="A172" s="58">
        <v>82</v>
      </c>
      <c r="B172" s="58" t="s">
        <v>32</v>
      </c>
      <c r="C172" s="58" t="s">
        <v>1406</v>
      </c>
      <c r="D172" s="60" t="s">
        <v>4424</v>
      </c>
      <c r="E172" s="60" t="s">
        <v>4381</v>
      </c>
      <c r="F172" s="62" t="str">
        <f t="shared" ref="F172:F203" si="7">_xlfn.LET(
_xlpm.v_발생, IF(ISNUMBER(SEARCH("빈번", G172)), "상",
IF(ISNUMBER(SEARCH("거의", G172)), "하", "중")),
_xlpm.v_영향, IF(ISNUMBER(SEARCH("1개월", H172)), "상",
IF(ISNUMBER(SEARCH("없음", H172)), "하", "중")),
IF(AND(_xlpm.v_발생="상", _xlpm.v_영향="상"), "극상",
IF(OR(_xlpm.v_발생="상", _xlpm.v_영향="상"), "상",
IF(AND(_xlpm.v_발생="하", _xlpm.v_영향="하"), "하",
"중")))
)</f>
        <v>하</v>
      </c>
      <c r="G172" s="63" t="s">
        <v>2668</v>
      </c>
      <c r="H172" s="63" t="s">
        <v>2674</v>
      </c>
      <c r="I172" s="124" t="s">
        <v>4382</v>
      </c>
      <c r="J172" s="64" t="s">
        <v>4247</v>
      </c>
      <c r="K172" s="64"/>
      <c r="L172" s="64" t="s">
        <v>1492</v>
      </c>
      <c r="M172" s="64"/>
      <c r="N172" s="64"/>
      <c r="O172" s="64"/>
      <c r="P172" s="64"/>
      <c r="Q172" s="67"/>
      <c r="R172" s="68"/>
      <c r="S172" s="69" t="s">
        <v>1493</v>
      </c>
      <c r="T172" s="68"/>
      <c r="U172" s="64"/>
      <c r="V172" s="66"/>
      <c r="W172" s="86" t="b">
        <v>1</v>
      </c>
      <c r="X172" s="86" t="b">
        <v>0</v>
      </c>
      <c r="Y172" s="87" t="b">
        <v>0</v>
      </c>
      <c r="Z172" s="72" t="s">
        <v>4383</v>
      </c>
      <c r="AJ172" s="16"/>
      <c r="AK172" s="16"/>
      <c r="AL172" s="16"/>
      <c r="AM172" s="16"/>
      <c r="AN172" s="16"/>
      <c r="AO172" s="16"/>
      <c r="AP172" s="16"/>
      <c r="AQ172" s="16"/>
      <c r="AR172" s="16"/>
    </row>
    <row r="173" spans="1:46" ht="103.65" customHeight="1">
      <c r="A173" s="58">
        <v>84</v>
      </c>
      <c r="B173" s="122" t="s">
        <v>1460</v>
      </c>
      <c r="C173" s="122" t="s">
        <v>1406</v>
      </c>
      <c r="D173" s="124" t="s">
        <v>4425</v>
      </c>
      <c r="E173" s="124" t="s">
        <v>4385</v>
      </c>
      <c r="F173" s="62" t="str">
        <f t="shared" si="7"/>
        <v>하</v>
      </c>
      <c r="G173" s="126" t="s">
        <v>2668</v>
      </c>
      <c r="H173" s="126" t="s">
        <v>2674</v>
      </c>
      <c r="I173" s="201" t="s">
        <v>4386</v>
      </c>
      <c r="J173" s="141" t="s">
        <v>4247</v>
      </c>
      <c r="K173" s="149"/>
      <c r="L173" s="141" t="s">
        <v>1492</v>
      </c>
      <c r="M173" s="141"/>
      <c r="N173" s="141"/>
      <c r="O173" s="141"/>
      <c r="P173" s="141"/>
      <c r="Q173" s="130"/>
      <c r="R173" s="143"/>
      <c r="S173" s="144" t="s">
        <v>1493</v>
      </c>
      <c r="T173" s="143"/>
      <c r="U173" s="141"/>
      <c r="V173" s="142"/>
      <c r="W173" s="146" t="b">
        <v>0</v>
      </c>
      <c r="X173" s="146" t="b">
        <v>1</v>
      </c>
      <c r="Y173" s="147" t="b">
        <v>0</v>
      </c>
      <c r="Z173" s="148" t="s">
        <v>4387</v>
      </c>
      <c r="AA173" s="134"/>
      <c r="AB173" s="134"/>
      <c r="AC173" s="150"/>
      <c r="AD173" s="150"/>
      <c r="AE173" s="150"/>
      <c r="AF173" s="150"/>
      <c r="AG173" s="134"/>
      <c r="AH173" s="134"/>
      <c r="AI173" s="134"/>
      <c r="AJ173" s="150"/>
      <c r="AK173" s="150"/>
      <c r="AL173" s="150"/>
      <c r="AM173" s="150"/>
      <c r="AN173" s="150"/>
      <c r="AO173" s="150"/>
      <c r="AP173" s="150"/>
      <c r="AQ173" s="150"/>
      <c r="AR173" s="150"/>
      <c r="AS173" s="134"/>
      <c r="AT173" s="134"/>
    </row>
    <row r="174" spans="1:46" ht="103.65" customHeight="1">
      <c r="A174" s="58">
        <v>85</v>
      </c>
      <c r="B174" s="58" t="s">
        <v>1416</v>
      </c>
      <c r="C174" s="58" t="s">
        <v>1406</v>
      </c>
      <c r="D174" s="60" t="s">
        <v>4426</v>
      </c>
      <c r="E174" s="60" t="s">
        <v>4388</v>
      </c>
      <c r="F174" s="62" t="str">
        <f t="shared" si="7"/>
        <v>하</v>
      </c>
      <c r="G174" s="63" t="s">
        <v>2668</v>
      </c>
      <c r="H174" s="63" t="s">
        <v>2674</v>
      </c>
      <c r="I174" s="60" t="s">
        <v>4389</v>
      </c>
      <c r="J174" s="64" t="s">
        <v>4247</v>
      </c>
      <c r="K174" s="74"/>
      <c r="L174" s="64" t="s">
        <v>1492</v>
      </c>
      <c r="M174" s="64"/>
      <c r="N174" s="64"/>
      <c r="O174" s="64"/>
      <c r="P174" s="64"/>
      <c r="Q174" s="67"/>
      <c r="R174" s="68"/>
      <c r="S174" s="69" t="s">
        <v>1493</v>
      </c>
      <c r="T174" s="68"/>
      <c r="U174" s="64"/>
      <c r="V174" s="65"/>
      <c r="W174" s="87" t="b">
        <v>0</v>
      </c>
      <c r="X174" s="86" t="b">
        <v>0</v>
      </c>
      <c r="Y174" s="86" t="b">
        <v>1</v>
      </c>
      <c r="Z174" s="72" t="s">
        <v>4390</v>
      </c>
      <c r="AJ174" s="16"/>
      <c r="AK174" s="16"/>
      <c r="AL174" s="16"/>
      <c r="AM174" s="16"/>
      <c r="AN174" s="16"/>
      <c r="AO174" s="16"/>
      <c r="AP174" s="16"/>
      <c r="AQ174" s="16"/>
      <c r="AR174" s="16"/>
    </row>
    <row r="175" spans="1:46" ht="103.65" customHeight="1">
      <c r="A175" s="58">
        <v>86</v>
      </c>
      <c r="B175" s="58" t="s">
        <v>1427</v>
      </c>
      <c r="C175" s="58" t="s">
        <v>1406</v>
      </c>
      <c r="D175" s="60" t="s">
        <v>4427</v>
      </c>
      <c r="E175" s="60" t="s">
        <v>4391</v>
      </c>
      <c r="F175" s="62" t="str">
        <f t="shared" si="7"/>
        <v>하</v>
      </c>
      <c r="G175" s="63" t="s">
        <v>2668</v>
      </c>
      <c r="H175" s="63" t="s">
        <v>2674</v>
      </c>
      <c r="I175" s="60" t="s">
        <v>4392</v>
      </c>
      <c r="J175" s="64" t="s">
        <v>4247</v>
      </c>
      <c r="K175" s="74"/>
      <c r="L175" s="64" t="s">
        <v>1492</v>
      </c>
      <c r="M175" s="64"/>
      <c r="N175" s="64"/>
      <c r="O175" s="64"/>
      <c r="P175" s="64"/>
      <c r="Q175" s="67"/>
      <c r="R175" s="68"/>
      <c r="S175" s="69" t="s">
        <v>1493</v>
      </c>
      <c r="T175" s="68"/>
      <c r="U175" s="64"/>
      <c r="V175" s="65"/>
      <c r="W175" s="86" t="b">
        <v>1</v>
      </c>
      <c r="X175" s="86" t="b">
        <v>0</v>
      </c>
      <c r="Y175" s="87" t="b">
        <v>0</v>
      </c>
      <c r="Z175" s="72" t="s">
        <v>4393</v>
      </c>
      <c r="AJ175" s="16"/>
      <c r="AK175" s="16"/>
      <c r="AL175" s="16"/>
      <c r="AM175" s="16"/>
      <c r="AN175" s="16"/>
      <c r="AO175" s="16"/>
      <c r="AP175" s="16"/>
      <c r="AQ175" s="16"/>
      <c r="AR175" s="16"/>
    </row>
    <row r="176" spans="1:46" ht="103.65" customHeight="1">
      <c r="A176" s="58">
        <v>87</v>
      </c>
      <c r="B176" s="80" t="s">
        <v>1460</v>
      </c>
      <c r="C176" s="80" t="s">
        <v>1406</v>
      </c>
      <c r="D176" s="60" t="s">
        <v>4428</v>
      </c>
      <c r="E176" s="60" t="s">
        <v>4394</v>
      </c>
      <c r="F176" s="62" t="str">
        <f t="shared" si="7"/>
        <v>하</v>
      </c>
      <c r="G176" s="63" t="s">
        <v>2668</v>
      </c>
      <c r="H176" s="63" t="s">
        <v>2674</v>
      </c>
      <c r="I176" s="190" t="s">
        <v>4395</v>
      </c>
      <c r="J176" s="137" t="s">
        <v>4247</v>
      </c>
      <c r="K176" s="79"/>
      <c r="L176" s="137" t="s">
        <v>1492</v>
      </c>
      <c r="M176" s="67"/>
      <c r="N176" s="67"/>
      <c r="O176" s="67"/>
      <c r="P176" s="67"/>
      <c r="Q176" s="67"/>
      <c r="R176" s="67"/>
      <c r="S176" s="81" t="s">
        <v>1418</v>
      </c>
      <c r="T176" s="67"/>
      <c r="U176" s="67"/>
      <c r="V176" s="67"/>
      <c r="W176" s="88" t="b">
        <v>0</v>
      </c>
      <c r="X176" s="88" t="b">
        <v>0</v>
      </c>
      <c r="Y176" s="89" t="b">
        <v>1</v>
      </c>
      <c r="Z176" s="73" t="s">
        <v>4396</v>
      </c>
      <c r="AJ176" s="16"/>
      <c r="AK176" s="16"/>
      <c r="AL176" s="16"/>
      <c r="AM176" s="16"/>
      <c r="AN176" s="16"/>
      <c r="AO176" s="16"/>
      <c r="AP176" s="16"/>
      <c r="AQ176" s="16"/>
      <c r="AR176" s="16"/>
    </row>
    <row r="177" spans="1:46" ht="103.65" customHeight="1">
      <c r="A177" s="58">
        <v>88</v>
      </c>
      <c r="B177" s="80" t="s">
        <v>1460</v>
      </c>
      <c r="C177" s="80" t="s">
        <v>1406</v>
      </c>
      <c r="D177" s="60" t="s">
        <v>4429</v>
      </c>
      <c r="E177" s="60" t="s">
        <v>4397</v>
      </c>
      <c r="F177" s="62" t="str">
        <f t="shared" si="7"/>
        <v>하</v>
      </c>
      <c r="G177" s="63" t="s">
        <v>2668</v>
      </c>
      <c r="H177" s="63" t="s">
        <v>2674</v>
      </c>
      <c r="I177" s="197" t="s">
        <v>4398</v>
      </c>
      <c r="J177" s="137" t="s">
        <v>4247</v>
      </c>
      <c r="K177" s="79"/>
      <c r="L177" s="137" t="s">
        <v>1492</v>
      </c>
      <c r="M177" s="67"/>
      <c r="N177" s="67"/>
      <c r="O177" s="67"/>
      <c r="P177" s="67"/>
      <c r="Q177" s="67"/>
      <c r="R177" s="67"/>
      <c r="S177" s="81" t="s">
        <v>1418</v>
      </c>
      <c r="T177" s="67"/>
      <c r="U177" s="67"/>
      <c r="V177" s="67"/>
      <c r="W177" s="88" t="b">
        <v>0</v>
      </c>
      <c r="X177" s="88" t="b">
        <v>0</v>
      </c>
      <c r="Y177" s="89" t="b">
        <v>1</v>
      </c>
      <c r="Z177" s="73" t="s">
        <v>4372</v>
      </c>
      <c r="AJ177" s="16"/>
      <c r="AK177" s="16"/>
      <c r="AL177" s="16"/>
      <c r="AM177" s="16"/>
      <c r="AN177" s="16"/>
      <c r="AO177" s="16"/>
      <c r="AP177" s="16"/>
      <c r="AQ177" s="16"/>
      <c r="AR177" s="16"/>
    </row>
    <row r="178" spans="1:46" ht="103.65" customHeight="1">
      <c r="A178" s="58">
        <v>89</v>
      </c>
      <c r="B178" s="80" t="s">
        <v>1460</v>
      </c>
      <c r="C178" s="80" t="s">
        <v>1406</v>
      </c>
      <c r="D178" s="60" t="s">
        <v>4430</v>
      </c>
      <c r="E178" s="60" t="s">
        <v>4359</v>
      </c>
      <c r="F178" s="62" t="str">
        <f t="shared" si="7"/>
        <v>하</v>
      </c>
      <c r="G178" s="63" t="s">
        <v>2668</v>
      </c>
      <c r="H178" s="63" t="s">
        <v>2674</v>
      </c>
      <c r="I178" s="190" t="s">
        <v>4399</v>
      </c>
      <c r="J178" s="137" t="s">
        <v>4247</v>
      </c>
      <c r="K178" s="79"/>
      <c r="L178" s="137" t="s">
        <v>1492</v>
      </c>
      <c r="M178" s="67"/>
      <c r="N178" s="67"/>
      <c r="O178" s="67"/>
      <c r="P178" s="67"/>
      <c r="Q178" s="67"/>
      <c r="R178" s="67"/>
      <c r="S178" s="81" t="s">
        <v>1418</v>
      </c>
      <c r="T178" s="67"/>
      <c r="U178" s="67"/>
      <c r="V178" s="67"/>
      <c r="W178" s="88" t="b">
        <v>0</v>
      </c>
      <c r="X178" s="88" t="b">
        <v>0</v>
      </c>
      <c r="Y178" s="89" t="b">
        <v>1</v>
      </c>
      <c r="Z178" s="73" t="s">
        <v>4375</v>
      </c>
      <c r="AJ178" s="16"/>
      <c r="AK178" s="16"/>
      <c r="AL178" s="16"/>
      <c r="AM178" s="16"/>
      <c r="AN178" s="16"/>
      <c r="AO178" s="16"/>
      <c r="AP178" s="16"/>
      <c r="AQ178" s="16"/>
      <c r="AR178" s="16"/>
    </row>
    <row r="179" spans="1:46" ht="103.65" customHeight="1">
      <c r="A179" s="58">
        <v>90</v>
      </c>
      <c r="B179" s="80" t="s">
        <v>1460</v>
      </c>
      <c r="C179" s="80" t="s">
        <v>1406</v>
      </c>
      <c r="D179" s="60" t="s">
        <v>4431</v>
      </c>
      <c r="E179" s="60" t="s">
        <v>4400</v>
      </c>
      <c r="F179" s="62" t="str">
        <f t="shared" si="7"/>
        <v>하</v>
      </c>
      <c r="G179" s="63" t="s">
        <v>2668</v>
      </c>
      <c r="H179" s="63" t="s">
        <v>2674</v>
      </c>
      <c r="I179" s="190" t="s">
        <v>4401</v>
      </c>
      <c r="J179" s="137" t="s">
        <v>4247</v>
      </c>
      <c r="K179" s="79"/>
      <c r="L179" s="137" t="s">
        <v>1492</v>
      </c>
      <c r="M179" s="67"/>
      <c r="N179" s="67"/>
      <c r="O179" s="67"/>
      <c r="P179" s="67"/>
      <c r="Q179" s="67"/>
      <c r="R179" s="67"/>
      <c r="S179" s="81" t="s">
        <v>1418</v>
      </c>
      <c r="T179" s="67"/>
      <c r="U179" s="67"/>
      <c r="V179" s="67"/>
      <c r="W179" s="88" t="b">
        <v>0</v>
      </c>
      <c r="X179" s="88" t="b">
        <v>0</v>
      </c>
      <c r="Y179" s="89" t="b">
        <v>1</v>
      </c>
      <c r="Z179" s="73" t="s">
        <v>4402</v>
      </c>
      <c r="AJ179" s="16"/>
      <c r="AK179" s="16"/>
      <c r="AL179" s="16"/>
      <c r="AM179" s="16"/>
      <c r="AN179" s="16"/>
      <c r="AO179" s="16"/>
      <c r="AP179" s="16"/>
      <c r="AQ179" s="16"/>
      <c r="AR179" s="16"/>
    </row>
    <row r="180" spans="1:46" ht="103.65" customHeight="1">
      <c r="A180" s="58">
        <v>91</v>
      </c>
      <c r="B180" s="80" t="s">
        <v>1460</v>
      </c>
      <c r="C180" s="80" t="s">
        <v>1406</v>
      </c>
      <c r="D180" s="60" t="s">
        <v>4432</v>
      </c>
      <c r="E180" s="60" t="s">
        <v>4403</v>
      </c>
      <c r="F180" s="62" t="str">
        <f t="shared" si="7"/>
        <v>하</v>
      </c>
      <c r="G180" s="63" t="s">
        <v>2668</v>
      </c>
      <c r="H180" s="63" t="s">
        <v>2674</v>
      </c>
      <c r="I180" s="190" t="s">
        <v>4404</v>
      </c>
      <c r="J180" s="137" t="s">
        <v>4247</v>
      </c>
      <c r="K180" s="79"/>
      <c r="L180" s="137" t="s">
        <v>1492</v>
      </c>
      <c r="M180" s="67"/>
      <c r="N180" s="67"/>
      <c r="O180" s="67"/>
      <c r="P180" s="67"/>
      <c r="Q180" s="67"/>
      <c r="R180" s="67"/>
      <c r="S180" s="81" t="s">
        <v>1418</v>
      </c>
      <c r="T180" s="67"/>
      <c r="U180" s="67"/>
      <c r="V180" s="67"/>
      <c r="W180" s="88" t="b">
        <v>0</v>
      </c>
      <c r="X180" s="88" t="b">
        <v>0</v>
      </c>
      <c r="Y180" s="89" t="b">
        <v>1</v>
      </c>
      <c r="Z180" s="73" t="s">
        <v>4405</v>
      </c>
    </row>
    <row r="181" spans="1:46" ht="103.65" customHeight="1">
      <c r="A181" s="58">
        <v>92</v>
      </c>
      <c r="B181" s="122" t="s">
        <v>1427</v>
      </c>
      <c r="C181" s="125" t="s">
        <v>1408</v>
      </c>
      <c r="D181" s="124" t="s">
        <v>4278</v>
      </c>
      <c r="E181" s="124" t="s">
        <v>4270</v>
      </c>
      <c r="F181" s="62" t="str">
        <f t="shared" si="7"/>
        <v>하</v>
      </c>
      <c r="G181" s="126" t="s">
        <v>2668</v>
      </c>
      <c r="H181" s="126" t="s">
        <v>2674</v>
      </c>
      <c r="I181" s="197"/>
      <c r="J181" s="141" t="s">
        <v>4246</v>
      </c>
      <c r="K181" s="142"/>
      <c r="L181" s="141" t="s">
        <v>1492</v>
      </c>
      <c r="M181" s="128"/>
      <c r="N181" s="141"/>
      <c r="O181" s="128"/>
      <c r="P181" s="141"/>
      <c r="Q181" s="130"/>
      <c r="R181" s="143"/>
      <c r="S181" s="144" t="s">
        <v>1493</v>
      </c>
      <c r="T181" s="143"/>
      <c r="U181" s="141"/>
      <c r="V181" s="145"/>
      <c r="W181" s="146" t="b">
        <v>0</v>
      </c>
      <c r="X181" s="146" t="b">
        <v>0</v>
      </c>
      <c r="Y181" s="147" t="b">
        <v>0</v>
      </c>
      <c r="Z181" s="148" t="s">
        <v>1562</v>
      </c>
      <c r="AA181" s="134"/>
      <c r="AB181" s="134"/>
      <c r="AC181" s="150"/>
      <c r="AD181" s="150"/>
      <c r="AE181" s="150"/>
      <c r="AF181" s="150"/>
      <c r="AG181" s="134"/>
      <c r="AH181" s="134"/>
      <c r="AI181" s="134"/>
      <c r="AJ181" s="134"/>
      <c r="AK181" s="134"/>
      <c r="AL181" s="134"/>
      <c r="AM181" s="134"/>
      <c r="AN181" s="134"/>
      <c r="AO181" s="134"/>
      <c r="AP181" s="134"/>
      <c r="AQ181" s="134"/>
      <c r="AR181" s="134"/>
      <c r="AS181" s="134"/>
      <c r="AT181" s="134"/>
    </row>
    <row r="182" spans="1:46" ht="103.65" customHeight="1">
      <c r="A182" s="58">
        <v>93</v>
      </c>
      <c r="B182" s="58" t="s">
        <v>1427</v>
      </c>
      <c r="C182" s="59" t="s">
        <v>1408</v>
      </c>
      <c r="D182" s="60" t="s">
        <v>1563</v>
      </c>
      <c r="E182" s="60" t="s">
        <v>1564</v>
      </c>
      <c r="F182" s="62" t="str">
        <f t="shared" si="7"/>
        <v>하</v>
      </c>
      <c r="G182" s="63" t="s">
        <v>2668</v>
      </c>
      <c r="H182" s="63" t="s">
        <v>2674</v>
      </c>
      <c r="I182" s="190" t="s">
        <v>4271</v>
      </c>
      <c r="J182" s="64" t="s">
        <v>4245</v>
      </c>
      <c r="K182" s="65"/>
      <c r="L182" s="64" t="s">
        <v>1492</v>
      </c>
      <c r="M182" s="66"/>
      <c r="N182" s="64"/>
      <c r="O182" s="66"/>
      <c r="P182" s="64"/>
      <c r="Q182" s="67"/>
      <c r="R182" s="68"/>
      <c r="S182" s="69" t="s">
        <v>1493</v>
      </c>
      <c r="T182" s="68"/>
      <c r="U182" s="64"/>
      <c r="V182" s="70"/>
      <c r="W182" s="86" t="b">
        <v>0</v>
      </c>
      <c r="X182" s="86" t="b">
        <v>0</v>
      </c>
      <c r="Y182" s="87" t="b">
        <v>0</v>
      </c>
      <c r="Z182" s="72" t="s">
        <v>1565</v>
      </c>
    </row>
    <row r="183" spans="1:46" ht="103.65" customHeight="1">
      <c r="A183" s="58">
        <v>94</v>
      </c>
      <c r="B183" s="58" t="s">
        <v>1427</v>
      </c>
      <c r="C183" s="59" t="s">
        <v>1408</v>
      </c>
      <c r="D183" s="60" t="s">
        <v>1566</v>
      </c>
      <c r="E183" s="60" t="s">
        <v>1567</v>
      </c>
      <c r="F183" s="62" t="str">
        <f t="shared" si="7"/>
        <v>하</v>
      </c>
      <c r="G183" s="63" t="s">
        <v>2668</v>
      </c>
      <c r="H183" s="63" t="s">
        <v>2674</v>
      </c>
      <c r="I183" s="198" t="s">
        <v>1568</v>
      </c>
      <c r="J183" s="64" t="s">
        <v>4245</v>
      </c>
      <c r="K183" s="65"/>
      <c r="L183" s="64" t="s">
        <v>1492</v>
      </c>
      <c r="M183" s="66"/>
      <c r="N183" s="64"/>
      <c r="O183" s="66"/>
      <c r="P183" s="64"/>
      <c r="Q183" s="67"/>
      <c r="R183" s="68"/>
      <c r="S183" s="69" t="s">
        <v>1493</v>
      </c>
      <c r="T183" s="68"/>
      <c r="U183" s="64"/>
      <c r="V183" s="70"/>
      <c r="W183" s="87" t="b">
        <v>0</v>
      </c>
      <c r="X183" s="86" t="b">
        <v>0</v>
      </c>
      <c r="Y183" s="86" t="b">
        <v>0</v>
      </c>
      <c r="Z183" s="72" t="s">
        <v>1565</v>
      </c>
    </row>
    <row r="184" spans="1:46" ht="103.65" customHeight="1">
      <c r="A184" s="58">
        <v>96</v>
      </c>
      <c r="B184" s="58" t="s">
        <v>32</v>
      </c>
      <c r="C184" s="58" t="s">
        <v>1408</v>
      </c>
      <c r="D184" s="60" t="s">
        <v>1572</v>
      </c>
      <c r="E184" s="60" t="s">
        <v>1573</v>
      </c>
      <c r="F184" s="62" t="str">
        <f t="shared" si="7"/>
        <v>하</v>
      </c>
      <c r="G184" s="63" t="s">
        <v>2668</v>
      </c>
      <c r="H184" s="63" t="s">
        <v>2674</v>
      </c>
      <c r="I184" s="60" t="s">
        <v>4273</v>
      </c>
      <c r="J184" s="64" t="s">
        <v>4245</v>
      </c>
      <c r="K184" s="76"/>
      <c r="L184" s="64" t="s">
        <v>1492</v>
      </c>
      <c r="M184" s="64"/>
      <c r="N184" s="64"/>
      <c r="O184" s="64"/>
      <c r="P184" s="64"/>
      <c r="Q184" s="67"/>
      <c r="R184" s="68"/>
      <c r="S184" s="69" t="s">
        <v>1418</v>
      </c>
      <c r="T184" s="68"/>
      <c r="U184" s="64"/>
      <c r="V184" s="65"/>
      <c r="W184" s="87" t="b">
        <v>1</v>
      </c>
      <c r="X184" s="87" t="b">
        <v>0</v>
      </c>
      <c r="Y184" s="87" t="b">
        <v>0</v>
      </c>
      <c r="Z184" s="72" t="s">
        <v>1571</v>
      </c>
    </row>
    <row r="185" spans="1:46" ht="103.65" customHeight="1">
      <c r="A185" s="58">
        <v>98</v>
      </c>
      <c r="B185" s="58" t="s">
        <v>1427</v>
      </c>
      <c r="C185" s="58" t="s">
        <v>1408</v>
      </c>
      <c r="D185" s="60" t="s">
        <v>1575</v>
      </c>
      <c r="E185" s="60" t="s">
        <v>1576</v>
      </c>
      <c r="F185" s="62" t="str">
        <f t="shared" si="7"/>
        <v>하</v>
      </c>
      <c r="G185" s="63" t="s">
        <v>2668</v>
      </c>
      <c r="H185" s="63" t="s">
        <v>2674</v>
      </c>
      <c r="I185" s="60" t="s">
        <v>1577</v>
      </c>
      <c r="J185" s="64" t="s">
        <v>4245</v>
      </c>
      <c r="K185" s="74"/>
      <c r="L185" s="64" t="s">
        <v>1492</v>
      </c>
      <c r="M185" s="64"/>
      <c r="N185" s="64"/>
      <c r="O185" s="64"/>
      <c r="P185" s="64"/>
      <c r="Q185" s="67"/>
      <c r="R185" s="68"/>
      <c r="S185" s="69" t="s">
        <v>1418</v>
      </c>
      <c r="T185" s="68"/>
      <c r="U185" s="64"/>
      <c r="V185" s="65"/>
      <c r="W185" s="86" t="b">
        <v>0</v>
      </c>
      <c r="X185" s="86" t="b">
        <v>0</v>
      </c>
      <c r="Y185" s="86" t="b">
        <v>1</v>
      </c>
      <c r="Z185" s="72" t="s">
        <v>1571</v>
      </c>
    </row>
    <row r="186" spans="1:46" ht="103.65" customHeight="1">
      <c r="A186" s="58">
        <v>99</v>
      </c>
      <c r="B186" s="58" t="s">
        <v>32</v>
      </c>
      <c r="C186" s="58" t="s">
        <v>1408</v>
      </c>
      <c r="D186" s="60" t="s">
        <v>1578</v>
      </c>
      <c r="E186" s="60" t="s">
        <v>1579</v>
      </c>
      <c r="F186" s="62" t="str">
        <f t="shared" si="7"/>
        <v>하</v>
      </c>
      <c r="G186" s="63" t="s">
        <v>2668</v>
      </c>
      <c r="H186" s="63" t="s">
        <v>2674</v>
      </c>
      <c r="I186" s="60" t="s">
        <v>1580</v>
      </c>
      <c r="J186" s="64" t="s">
        <v>4245</v>
      </c>
      <c r="K186" s="74"/>
      <c r="L186" s="64" t="s">
        <v>1492</v>
      </c>
      <c r="M186" s="64"/>
      <c r="N186" s="64"/>
      <c r="O186" s="64"/>
      <c r="P186" s="64"/>
      <c r="Q186" s="67"/>
      <c r="R186" s="68"/>
      <c r="S186" s="69" t="s">
        <v>1418</v>
      </c>
      <c r="T186" s="68"/>
      <c r="U186" s="64"/>
      <c r="V186" s="65"/>
      <c r="W186" s="87" t="b">
        <v>1</v>
      </c>
      <c r="X186" s="86" t="b">
        <v>0</v>
      </c>
      <c r="Y186" s="87" t="b">
        <v>1</v>
      </c>
      <c r="Z186" s="72" t="s">
        <v>1571</v>
      </c>
    </row>
    <row r="187" spans="1:46" ht="119.25" customHeight="1">
      <c r="A187" s="58">
        <v>101</v>
      </c>
      <c r="B187" s="58" t="s">
        <v>1460</v>
      </c>
      <c r="C187" s="58" t="s">
        <v>1408</v>
      </c>
      <c r="D187" s="60" t="s">
        <v>4276</v>
      </c>
      <c r="E187" s="60" t="s">
        <v>4277</v>
      </c>
      <c r="F187" s="62" t="str">
        <f t="shared" si="7"/>
        <v>하</v>
      </c>
      <c r="G187" s="63" t="s">
        <v>2668</v>
      </c>
      <c r="H187" s="63" t="s">
        <v>2674</v>
      </c>
      <c r="I187" s="60" t="s">
        <v>1583</v>
      </c>
      <c r="J187" s="64" t="s">
        <v>4245</v>
      </c>
      <c r="K187" s="74"/>
      <c r="L187" s="64" t="s">
        <v>1492</v>
      </c>
      <c r="M187" s="64"/>
      <c r="N187" s="64"/>
      <c r="O187" s="64"/>
      <c r="P187" s="64"/>
      <c r="Q187" s="67"/>
      <c r="R187" s="68"/>
      <c r="S187" s="69" t="s">
        <v>1418</v>
      </c>
      <c r="T187" s="68"/>
      <c r="U187" s="64"/>
      <c r="V187" s="65"/>
      <c r="W187" s="86" t="b">
        <v>0</v>
      </c>
      <c r="X187" s="86" t="b">
        <v>0</v>
      </c>
      <c r="Y187" s="87" t="b">
        <v>0</v>
      </c>
      <c r="Z187" s="72" t="s">
        <v>1571</v>
      </c>
    </row>
    <row r="188" spans="1:46" ht="103.65" customHeight="1">
      <c r="A188" s="58">
        <v>102</v>
      </c>
      <c r="B188" s="58" t="s">
        <v>1416</v>
      </c>
      <c r="C188" s="58" t="s">
        <v>1408</v>
      </c>
      <c r="D188" s="60" t="s">
        <v>4279</v>
      </c>
      <c r="E188" s="60" t="s">
        <v>1584</v>
      </c>
      <c r="F188" s="62" t="str">
        <f t="shared" si="7"/>
        <v>하</v>
      </c>
      <c r="G188" s="63" t="s">
        <v>2668</v>
      </c>
      <c r="H188" s="63" t="s">
        <v>2674</v>
      </c>
      <c r="I188" s="60" t="s">
        <v>1585</v>
      </c>
      <c r="J188" s="64" t="s">
        <v>4245</v>
      </c>
      <c r="K188" s="76"/>
      <c r="L188" s="64" t="s">
        <v>1492</v>
      </c>
      <c r="M188" s="64"/>
      <c r="N188" s="64"/>
      <c r="O188" s="64"/>
      <c r="P188" s="64"/>
      <c r="Q188" s="67"/>
      <c r="R188" s="68"/>
      <c r="S188" s="69" t="s">
        <v>1418</v>
      </c>
      <c r="T188" s="68"/>
      <c r="U188" s="64"/>
      <c r="V188" s="65"/>
      <c r="W188" s="86" t="b">
        <v>0</v>
      </c>
      <c r="X188" s="87" t="b">
        <v>0</v>
      </c>
      <c r="Y188" s="87" t="b">
        <v>1</v>
      </c>
      <c r="Z188" s="72" t="s">
        <v>1571</v>
      </c>
    </row>
    <row r="189" spans="1:46" ht="103.65" customHeight="1">
      <c r="A189" s="58">
        <v>103</v>
      </c>
      <c r="B189" s="58" t="s">
        <v>1427</v>
      </c>
      <c r="C189" s="58" t="s">
        <v>1408</v>
      </c>
      <c r="D189" s="60" t="s">
        <v>4280</v>
      </c>
      <c r="E189" s="60" t="s">
        <v>4281</v>
      </c>
      <c r="F189" s="125" t="str">
        <f t="shared" si="7"/>
        <v>하</v>
      </c>
      <c r="G189" s="63" t="s">
        <v>2668</v>
      </c>
      <c r="H189" s="63" t="s">
        <v>2674</v>
      </c>
      <c r="I189" s="124" t="s">
        <v>4282</v>
      </c>
      <c r="J189" s="64" t="s">
        <v>4245</v>
      </c>
      <c r="K189" s="74"/>
      <c r="L189" s="64" t="s">
        <v>1492</v>
      </c>
      <c r="M189" s="64"/>
      <c r="N189" s="64"/>
      <c r="O189" s="64"/>
      <c r="P189" s="64"/>
      <c r="Q189" s="67"/>
      <c r="R189" s="68"/>
      <c r="S189" s="69" t="s">
        <v>1418</v>
      </c>
      <c r="T189" s="68"/>
      <c r="U189" s="64"/>
      <c r="V189" s="65"/>
      <c r="W189" s="86" t="b">
        <v>0</v>
      </c>
      <c r="X189" s="86" t="b">
        <v>0</v>
      </c>
      <c r="Y189" s="87" t="b">
        <v>1</v>
      </c>
      <c r="Z189" s="72" t="s">
        <v>1562</v>
      </c>
    </row>
    <row r="190" spans="1:46" ht="103.65" customHeight="1">
      <c r="A190" s="58">
        <v>104</v>
      </c>
      <c r="B190" s="122" t="s">
        <v>1460</v>
      </c>
      <c r="C190" s="122" t="s">
        <v>1408</v>
      </c>
      <c r="D190" s="124" t="s">
        <v>4283</v>
      </c>
      <c r="E190" s="124" t="s">
        <v>1586</v>
      </c>
      <c r="F190" s="94" t="str">
        <f t="shared" si="7"/>
        <v>하</v>
      </c>
      <c r="G190" s="126" t="s">
        <v>2668</v>
      </c>
      <c r="H190" s="126" t="s">
        <v>2674</v>
      </c>
      <c r="I190" s="124" t="s">
        <v>1587</v>
      </c>
      <c r="J190" s="141" t="s">
        <v>4245</v>
      </c>
      <c r="K190" s="149"/>
      <c r="L190" s="141" t="s">
        <v>1492</v>
      </c>
      <c r="M190" s="141"/>
      <c r="N190" s="141"/>
      <c r="O190" s="141"/>
      <c r="P190" s="141"/>
      <c r="Q190" s="130"/>
      <c r="R190" s="143"/>
      <c r="S190" s="144" t="s">
        <v>1418</v>
      </c>
      <c r="T190" s="143"/>
      <c r="U190" s="141"/>
      <c r="V190" s="142"/>
      <c r="W190" s="146" t="b">
        <v>0</v>
      </c>
      <c r="X190" s="146" t="b">
        <v>0</v>
      </c>
      <c r="Y190" s="147" t="b">
        <v>1</v>
      </c>
      <c r="Z190" s="148" t="s">
        <v>1571</v>
      </c>
      <c r="AA190" s="134"/>
      <c r="AB190" s="134"/>
      <c r="AC190" s="150"/>
      <c r="AD190" s="150"/>
      <c r="AE190" s="150"/>
      <c r="AF190" s="150"/>
      <c r="AG190" s="134"/>
      <c r="AH190" s="134"/>
      <c r="AI190" s="134"/>
      <c r="AJ190" s="134"/>
      <c r="AK190" s="134"/>
      <c r="AL190" s="134"/>
      <c r="AM190" s="134"/>
      <c r="AN190" s="134"/>
      <c r="AO190" s="134"/>
      <c r="AP190" s="134"/>
      <c r="AQ190" s="134"/>
      <c r="AR190" s="134"/>
      <c r="AS190" s="134"/>
      <c r="AT190" s="134"/>
    </row>
    <row r="191" spans="1:46" ht="103.65" customHeight="1">
      <c r="A191" s="58">
        <v>105</v>
      </c>
      <c r="B191" s="80" t="s">
        <v>1427</v>
      </c>
      <c r="C191" s="80" t="s">
        <v>4242</v>
      </c>
      <c r="D191" s="124" t="s">
        <v>4285</v>
      </c>
      <c r="E191" s="60" t="s">
        <v>1597</v>
      </c>
      <c r="F191" s="62" t="str">
        <f t="shared" si="7"/>
        <v>하</v>
      </c>
      <c r="G191" s="63" t="s">
        <v>2668</v>
      </c>
      <c r="H191" s="63" t="s">
        <v>2674</v>
      </c>
      <c r="I191" s="190" t="s">
        <v>1598</v>
      </c>
      <c r="J191" s="137" t="s">
        <v>4245</v>
      </c>
      <c r="K191" s="79"/>
      <c r="L191" s="137" t="s">
        <v>1492</v>
      </c>
      <c r="M191" s="67"/>
      <c r="N191" s="67"/>
      <c r="O191" s="67"/>
      <c r="P191" s="67"/>
      <c r="Q191" s="67"/>
      <c r="R191" s="67"/>
      <c r="S191" s="81" t="s">
        <v>1493</v>
      </c>
      <c r="T191" s="67"/>
      <c r="U191" s="67"/>
      <c r="V191" s="67"/>
      <c r="W191" s="88" t="b">
        <v>0</v>
      </c>
      <c r="X191" s="89" t="b">
        <v>0</v>
      </c>
      <c r="Y191" s="89" t="b">
        <v>0</v>
      </c>
      <c r="Z191" s="73" t="s">
        <v>1595</v>
      </c>
    </row>
    <row r="192" spans="1:46" ht="103.65" customHeight="1">
      <c r="A192" s="58">
        <v>106</v>
      </c>
      <c r="B192" s="80" t="s">
        <v>1460</v>
      </c>
      <c r="C192" s="80" t="s">
        <v>4284</v>
      </c>
      <c r="D192" s="60" t="s">
        <v>1592</v>
      </c>
      <c r="E192" s="60" t="s">
        <v>1593</v>
      </c>
      <c r="F192" s="62" t="str">
        <f t="shared" si="7"/>
        <v>하</v>
      </c>
      <c r="G192" s="63" t="s">
        <v>2668</v>
      </c>
      <c r="H192" s="63" t="s">
        <v>2674</v>
      </c>
      <c r="I192" s="190" t="s">
        <v>1594</v>
      </c>
      <c r="J192" s="137" t="s">
        <v>4245</v>
      </c>
      <c r="K192" s="79"/>
      <c r="L192" s="137" t="s">
        <v>1492</v>
      </c>
      <c r="M192" s="67"/>
      <c r="N192" s="67"/>
      <c r="O192" s="67"/>
      <c r="P192" s="67"/>
      <c r="Q192" s="67"/>
      <c r="R192" s="67"/>
      <c r="S192" s="81" t="s">
        <v>1418</v>
      </c>
      <c r="T192" s="67"/>
      <c r="U192" s="67"/>
      <c r="V192" s="67"/>
      <c r="W192" s="88" t="b">
        <v>0</v>
      </c>
      <c r="X192" s="88" t="b">
        <v>0</v>
      </c>
      <c r="Y192" s="89" t="b">
        <v>1</v>
      </c>
      <c r="Z192" s="73" t="s">
        <v>1595</v>
      </c>
    </row>
    <row r="193" spans="1:46" ht="119.25" customHeight="1">
      <c r="A193" s="58">
        <v>111</v>
      </c>
      <c r="B193" s="80" t="s">
        <v>1427</v>
      </c>
      <c r="C193" s="80" t="s">
        <v>1409</v>
      </c>
      <c r="D193" s="60" t="s">
        <v>1599</v>
      </c>
      <c r="E193" s="60" t="s">
        <v>1600</v>
      </c>
      <c r="F193" s="62" t="str">
        <f t="shared" si="7"/>
        <v>하</v>
      </c>
      <c r="G193" s="63" t="s">
        <v>2668</v>
      </c>
      <c r="H193" s="63" t="s">
        <v>2674</v>
      </c>
      <c r="I193" s="190" t="s">
        <v>4342</v>
      </c>
      <c r="J193" s="137" t="s">
        <v>4245</v>
      </c>
      <c r="K193" s="79"/>
      <c r="L193" s="137" t="s">
        <v>1492</v>
      </c>
      <c r="M193" s="67"/>
      <c r="N193" s="67"/>
      <c r="O193" s="67"/>
      <c r="P193" s="67"/>
      <c r="Q193" s="67"/>
      <c r="R193" s="67"/>
      <c r="S193" s="81" t="s">
        <v>1493</v>
      </c>
      <c r="T193" s="67"/>
      <c r="U193" s="67"/>
      <c r="V193" s="67"/>
      <c r="W193" s="88" t="b">
        <v>0</v>
      </c>
      <c r="X193" s="89" t="b">
        <v>0</v>
      </c>
      <c r="Y193" s="89" t="b">
        <v>0</v>
      </c>
      <c r="Z193" s="73" t="s">
        <v>1601</v>
      </c>
    </row>
    <row r="194" spans="1:46" ht="119.25" customHeight="1">
      <c r="A194" s="58">
        <v>114</v>
      </c>
      <c r="B194" s="123" t="s">
        <v>1427</v>
      </c>
      <c r="C194" s="123" t="s">
        <v>1409</v>
      </c>
      <c r="D194" s="124" t="s">
        <v>1603</v>
      </c>
      <c r="E194" s="124" t="s">
        <v>1604</v>
      </c>
      <c r="F194" s="62" t="str">
        <f t="shared" si="7"/>
        <v>하</v>
      </c>
      <c r="G194" s="126" t="s">
        <v>2668</v>
      </c>
      <c r="H194" s="126" t="s">
        <v>2674</v>
      </c>
      <c r="I194" s="197" t="s">
        <v>1605</v>
      </c>
      <c r="J194" s="138" t="s">
        <v>4245</v>
      </c>
      <c r="K194" s="129"/>
      <c r="L194" s="138" t="s">
        <v>1492</v>
      </c>
      <c r="M194" s="130"/>
      <c r="N194" s="130"/>
      <c r="O194" s="130"/>
      <c r="P194" s="130"/>
      <c r="Q194" s="130"/>
      <c r="R194" s="130"/>
      <c r="S194" s="131" t="s">
        <v>1493</v>
      </c>
      <c r="T194" s="130"/>
      <c r="U194" s="130"/>
      <c r="V194" s="130"/>
      <c r="W194" s="133" t="b">
        <v>0</v>
      </c>
      <c r="X194" s="133" t="b">
        <v>0</v>
      </c>
      <c r="Y194" s="132" t="b">
        <v>0</v>
      </c>
      <c r="Z194" s="127" t="s">
        <v>1606</v>
      </c>
      <c r="AA194" s="134"/>
      <c r="AB194" s="134"/>
      <c r="AC194" s="150"/>
      <c r="AD194" s="150"/>
      <c r="AE194" s="150"/>
      <c r="AF194" s="150"/>
      <c r="AG194" s="134"/>
      <c r="AH194" s="134"/>
      <c r="AI194" s="134"/>
      <c r="AJ194" s="134"/>
      <c r="AK194" s="134"/>
      <c r="AL194" s="134"/>
      <c r="AM194" s="134"/>
      <c r="AN194" s="134"/>
      <c r="AO194" s="134"/>
      <c r="AP194" s="134"/>
      <c r="AQ194" s="134"/>
      <c r="AR194" s="134"/>
      <c r="AS194" s="134"/>
      <c r="AT194" s="134"/>
    </row>
    <row r="195" spans="1:46" ht="119.25" customHeight="1">
      <c r="A195" s="58">
        <v>115</v>
      </c>
      <c r="B195" s="80" t="s">
        <v>1427</v>
      </c>
      <c r="C195" s="80" t="s">
        <v>4243</v>
      </c>
      <c r="D195" s="60" t="s">
        <v>1607</v>
      </c>
      <c r="E195" s="60" t="s">
        <v>1608</v>
      </c>
      <c r="F195" s="62" t="str">
        <f t="shared" si="7"/>
        <v>하</v>
      </c>
      <c r="G195" s="63" t="s">
        <v>2668</v>
      </c>
      <c r="H195" s="63" t="s">
        <v>2674</v>
      </c>
      <c r="I195" s="190" t="s">
        <v>1609</v>
      </c>
      <c r="J195" s="137" t="s">
        <v>4245</v>
      </c>
      <c r="K195" s="79"/>
      <c r="L195" s="137" t="s">
        <v>1492</v>
      </c>
      <c r="M195" s="67"/>
      <c r="N195" s="67"/>
      <c r="O195" s="67"/>
      <c r="P195" s="67"/>
      <c r="Q195" s="67"/>
      <c r="R195" s="67"/>
      <c r="S195" s="81" t="s">
        <v>1493</v>
      </c>
      <c r="T195" s="67"/>
      <c r="U195" s="67"/>
      <c r="V195" s="67"/>
      <c r="W195" s="88" t="b">
        <v>0</v>
      </c>
      <c r="X195" s="88" t="b">
        <v>0</v>
      </c>
      <c r="Y195" s="89" t="b">
        <v>0</v>
      </c>
      <c r="Z195" s="73" t="s">
        <v>1610</v>
      </c>
    </row>
    <row r="196" spans="1:46" ht="119.25" customHeight="1">
      <c r="A196" s="58">
        <v>116</v>
      </c>
      <c r="B196" s="80" t="s">
        <v>1427</v>
      </c>
      <c r="C196" s="80" t="s">
        <v>4243</v>
      </c>
      <c r="D196" s="60" t="s">
        <v>1612</v>
      </c>
      <c r="E196" s="60" t="s">
        <v>1613</v>
      </c>
      <c r="F196" s="62" t="str">
        <f t="shared" si="7"/>
        <v>하</v>
      </c>
      <c r="G196" s="63" t="s">
        <v>2668</v>
      </c>
      <c r="H196" s="63" t="s">
        <v>2674</v>
      </c>
      <c r="I196" s="190" t="s">
        <v>1614</v>
      </c>
      <c r="J196" s="137" t="s">
        <v>4245</v>
      </c>
      <c r="K196" s="79"/>
      <c r="L196" s="137" t="s">
        <v>1492</v>
      </c>
      <c r="M196" s="67"/>
      <c r="N196" s="67"/>
      <c r="O196" s="67"/>
      <c r="P196" s="67"/>
      <c r="Q196" s="67"/>
      <c r="R196" s="67"/>
      <c r="S196" s="81" t="s">
        <v>1493</v>
      </c>
      <c r="T196" s="67"/>
      <c r="U196" s="67"/>
      <c r="V196" s="67"/>
      <c r="W196" s="88" t="b">
        <v>0</v>
      </c>
      <c r="X196" s="88" t="b">
        <v>0</v>
      </c>
      <c r="Y196" s="89" t="b">
        <v>0</v>
      </c>
      <c r="Z196" s="73" t="s">
        <v>1561</v>
      </c>
    </row>
    <row r="197" spans="1:46" ht="119.25" customHeight="1">
      <c r="A197" s="58">
        <v>117</v>
      </c>
      <c r="B197" s="80" t="s">
        <v>1427</v>
      </c>
      <c r="C197" s="80" t="s">
        <v>4242</v>
      </c>
      <c r="D197" s="60" t="s">
        <v>1615</v>
      </c>
      <c r="E197" s="60" t="s">
        <v>1616</v>
      </c>
      <c r="F197" s="59" t="str">
        <f t="shared" si="7"/>
        <v>하</v>
      </c>
      <c r="G197" s="63" t="s">
        <v>2668</v>
      </c>
      <c r="H197" s="63" t="s">
        <v>2674</v>
      </c>
      <c r="I197" s="190" t="s">
        <v>1617</v>
      </c>
      <c r="J197" s="137" t="s">
        <v>4245</v>
      </c>
      <c r="K197" s="79"/>
      <c r="L197" s="137" t="s">
        <v>1492</v>
      </c>
      <c r="M197" s="67"/>
      <c r="N197" s="67"/>
      <c r="O197" s="67"/>
      <c r="P197" s="67"/>
      <c r="Q197" s="67"/>
      <c r="R197" s="67"/>
      <c r="S197" s="81" t="s">
        <v>1493</v>
      </c>
      <c r="T197" s="67"/>
      <c r="U197" s="67"/>
      <c r="V197" s="67"/>
      <c r="W197" s="88" t="b">
        <v>0</v>
      </c>
      <c r="X197" s="88" t="b">
        <v>0</v>
      </c>
      <c r="Y197" s="88" t="b">
        <v>0</v>
      </c>
      <c r="Z197" s="73" t="s">
        <v>1618</v>
      </c>
    </row>
    <row r="198" spans="1:46" ht="119.25" customHeight="1">
      <c r="A198" s="58">
        <v>126</v>
      </c>
      <c r="B198" s="80" t="s">
        <v>1460</v>
      </c>
      <c r="C198" s="80" t="s">
        <v>1409</v>
      </c>
      <c r="D198" s="60" t="s">
        <v>4254</v>
      </c>
      <c r="E198" s="60" t="s">
        <v>4255</v>
      </c>
      <c r="F198" s="125" t="str">
        <f t="shared" si="7"/>
        <v>하</v>
      </c>
      <c r="G198" s="63" t="s">
        <v>2668</v>
      </c>
      <c r="H198" s="63" t="s">
        <v>2674</v>
      </c>
      <c r="I198" s="197" t="s">
        <v>4256</v>
      </c>
      <c r="J198" s="137" t="s">
        <v>4245</v>
      </c>
      <c r="K198" s="79"/>
      <c r="L198" s="137" t="s">
        <v>1492</v>
      </c>
      <c r="M198" s="67"/>
      <c r="N198" s="67"/>
      <c r="O198" s="67"/>
      <c r="P198" s="67"/>
      <c r="Q198" s="67"/>
      <c r="R198" s="67"/>
      <c r="S198" s="81" t="s">
        <v>1418</v>
      </c>
      <c r="T198" s="67"/>
      <c r="U198" s="67"/>
      <c r="V198" s="67"/>
      <c r="W198" s="88" t="b">
        <v>1</v>
      </c>
      <c r="X198" s="88" t="b">
        <v>0</v>
      </c>
      <c r="Y198" s="89" t="b">
        <v>1</v>
      </c>
      <c r="Z198" s="73" t="s">
        <v>1611</v>
      </c>
    </row>
    <row r="199" spans="1:46" ht="119.25" customHeight="1">
      <c r="A199" s="58">
        <v>127</v>
      </c>
      <c r="B199" s="122" t="s">
        <v>32</v>
      </c>
      <c r="C199" s="125" t="s">
        <v>4284</v>
      </c>
      <c r="D199" s="124" t="s">
        <v>1424</v>
      </c>
      <c r="E199" s="124" t="s">
        <v>1425</v>
      </c>
      <c r="F199" s="125" t="str">
        <f t="shared" si="7"/>
        <v>하</v>
      </c>
      <c r="G199" s="126" t="s">
        <v>2668</v>
      </c>
      <c r="H199" s="126" t="s">
        <v>2674</v>
      </c>
      <c r="I199" s="197" t="s">
        <v>4506</v>
      </c>
      <c r="J199" s="141" t="s">
        <v>4247</v>
      </c>
      <c r="K199" s="142"/>
      <c r="L199" s="141" t="s">
        <v>1492</v>
      </c>
      <c r="M199" s="128"/>
      <c r="N199" s="141"/>
      <c r="O199" s="128"/>
      <c r="P199" s="141"/>
      <c r="Q199" s="130"/>
      <c r="R199" s="143"/>
      <c r="S199" s="144" t="s">
        <v>1418</v>
      </c>
      <c r="T199" s="143"/>
      <c r="U199" s="141"/>
      <c r="V199" s="145"/>
      <c r="W199" s="146" t="b">
        <v>1</v>
      </c>
      <c r="X199" s="146" t="b">
        <v>0</v>
      </c>
      <c r="Y199" s="202" t="b">
        <v>0</v>
      </c>
      <c r="Z199" s="148" t="s">
        <v>1426</v>
      </c>
      <c r="AA199" s="134"/>
      <c r="AB199" s="134"/>
      <c r="AC199" s="150"/>
      <c r="AD199" s="150"/>
      <c r="AE199" s="150"/>
      <c r="AF199" s="150"/>
      <c r="AG199" s="134"/>
      <c r="AH199" s="134"/>
      <c r="AI199" s="134"/>
      <c r="AJ199" s="150"/>
      <c r="AK199" s="150"/>
      <c r="AL199" s="150"/>
      <c r="AM199" s="150"/>
      <c r="AN199" s="150"/>
      <c r="AO199" s="150"/>
      <c r="AP199" s="150"/>
      <c r="AQ199" s="150"/>
      <c r="AR199" s="150"/>
      <c r="AS199" s="134"/>
      <c r="AT199" s="134"/>
    </row>
    <row r="200" spans="1:46" ht="119.25" customHeight="1">
      <c r="A200" s="58">
        <v>128</v>
      </c>
      <c r="B200" s="80" t="s">
        <v>1427</v>
      </c>
      <c r="C200" s="80" t="s">
        <v>1409</v>
      </c>
      <c r="D200" s="60" t="s">
        <v>4262</v>
      </c>
      <c r="E200" s="60" t="s">
        <v>1641</v>
      </c>
      <c r="F200" s="125" t="str">
        <f t="shared" si="7"/>
        <v>하</v>
      </c>
      <c r="G200" s="63" t="s">
        <v>2668</v>
      </c>
      <c r="H200" s="63" t="s">
        <v>2674</v>
      </c>
      <c r="I200" s="190" t="s">
        <v>4257</v>
      </c>
      <c r="J200" s="137" t="s">
        <v>4245</v>
      </c>
      <c r="K200" s="79"/>
      <c r="L200" s="137" t="s">
        <v>1492</v>
      </c>
      <c r="M200" s="67"/>
      <c r="N200" s="67"/>
      <c r="O200" s="67"/>
      <c r="P200" s="67"/>
      <c r="Q200" s="67"/>
      <c r="R200" s="67"/>
      <c r="S200" s="81" t="s">
        <v>1418</v>
      </c>
      <c r="T200" s="67"/>
      <c r="U200" s="67"/>
      <c r="V200" s="67"/>
      <c r="W200" s="88" t="b">
        <v>0</v>
      </c>
      <c r="X200" s="88" t="b">
        <v>0</v>
      </c>
      <c r="Y200" s="89" t="b">
        <v>1</v>
      </c>
      <c r="Z200" s="73" t="s">
        <v>1618</v>
      </c>
    </row>
    <row r="201" spans="1:46" ht="119.25" customHeight="1">
      <c r="A201" s="58">
        <v>131</v>
      </c>
      <c r="B201" s="80" t="s">
        <v>1460</v>
      </c>
      <c r="C201" s="80" t="s">
        <v>1409</v>
      </c>
      <c r="D201" s="60" t="s">
        <v>4259</v>
      </c>
      <c r="E201" s="60" t="s">
        <v>4260</v>
      </c>
      <c r="F201" s="125" t="str">
        <f t="shared" si="7"/>
        <v>하</v>
      </c>
      <c r="G201" s="63" t="s">
        <v>2668</v>
      </c>
      <c r="H201" s="63" t="s">
        <v>2674</v>
      </c>
      <c r="I201" s="190" t="s">
        <v>4261</v>
      </c>
      <c r="J201" s="137" t="s">
        <v>4245</v>
      </c>
      <c r="K201" s="79"/>
      <c r="L201" s="137" t="s">
        <v>1492</v>
      </c>
      <c r="M201" s="67"/>
      <c r="N201" s="67"/>
      <c r="O201" s="67"/>
      <c r="P201" s="67"/>
      <c r="Q201" s="67"/>
      <c r="R201" s="67"/>
      <c r="S201" s="81" t="s">
        <v>1418</v>
      </c>
      <c r="T201" s="67"/>
      <c r="U201" s="67"/>
      <c r="V201" s="67"/>
      <c r="W201" s="88" t="b">
        <v>1</v>
      </c>
      <c r="X201" s="88" t="b">
        <v>1</v>
      </c>
      <c r="Y201" s="89" t="b">
        <v>1</v>
      </c>
      <c r="Z201" s="73" t="s">
        <v>1620</v>
      </c>
    </row>
    <row r="202" spans="1:46" ht="119.25" customHeight="1">
      <c r="A202" s="58">
        <v>135</v>
      </c>
      <c r="B202" s="80" t="s">
        <v>1460</v>
      </c>
      <c r="C202" s="80" t="s">
        <v>1409</v>
      </c>
      <c r="D202" s="60" t="s">
        <v>1651</v>
      </c>
      <c r="E202" s="60" t="s">
        <v>4265</v>
      </c>
      <c r="F202" s="125" t="str">
        <f t="shared" si="7"/>
        <v>하</v>
      </c>
      <c r="G202" s="63" t="s">
        <v>2668</v>
      </c>
      <c r="H202" s="63" t="s">
        <v>2674</v>
      </c>
      <c r="I202" s="190" t="s">
        <v>4266</v>
      </c>
      <c r="J202" s="137" t="s">
        <v>4245</v>
      </c>
      <c r="K202" s="79"/>
      <c r="L202" s="137" t="s">
        <v>1492</v>
      </c>
      <c r="M202" s="67"/>
      <c r="N202" s="67"/>
      <c r="O202" s="67"/>
      <c r="P202" s="67"/>
      <c r="Q202" s="67"/>
      <c r="R202" s="67"/>
      <c r="S202" s="81" t="s">
        <v>1418</v>
      </c>
      <c r="T202" s="67"/>
      <c r="U202" s="67"/>
      <c r="V202" s="67"/>
      <c r="W202" s="88" t="b">
        <v>0</v>
      </c>
      <c r="X202" s="88" t="b">
        <v>0</v>
      </c>
      <c r="Y202" s="89" t="b">
        <v>1</v>
      </c>
      <c r="Z202" s="73" t="s">
        <v>1652</v>
      </c>
    </row>
    <row r="203" spans="1:46" ht="119.25" customHeight="1">
      <c r="A203" s="58">
        <v>136</v>
      </c>
      <c r="B203" s="123" t="s">
        <v>1460</v>
      </c>
      <c r="C203" s="123" t="s">
        <v>4287</v>
      </c>
      <c r="D203" s="124" t="s">
        <v>4286</v>
      </c>
      <c r="E203" s="124" t="s">
        <v>1589</v>
      </c>
      <c r="F203" s="125" t="str">
        <f t="shared" si="7"/>
        <v>하</v>
      </c>
      <c r="G203" s="126" t="s">
        <v>2668</v>
      </c>
      <c r="H203" s="126" t="s">
        <v>2674</v>
      </c>
      <c r="I203" s="197" t="s">
        <v>1590</v>
      </c>
      <c r="J203" s="138" t="s">
        <v>4245</v>
      </c>
      <c r="K203" s="129"/>
      <c r="L203" s="138" t="s">
        <v>1492</v>
      </c>
      <c r="M203" s="130"/>
      <c r="N203" s="130"/>
      <c r="O203" s="130"/>
      <c r="P203" s="130"/>
      <c r="Q203" s="130"/>
      <c r="R203" s="130"/>
      <c r="S203" s="131" t="s">
        <v>1418</v>
      </c>
      <c r="T203" s="130"/>
      <c r="U203" s="130"/>
      <c r="V203" s="130"/>
      <c r="W203" s="132" t="b">
        <v>0</v>
      </c>
      <c r="X203" s="132" t="b">
        <v>0</v>
      </c>
      <c r="Y203" s="133" t="b">
        <v>1</v>
      </c>
      <c r="Z203" s="127" t="s">
        <v>1591</v>
      </c>
      <c r="AA203" s="134"/>
      <c r="AB203" s="134"/>
      <c r="AC203" s="150"/>
      <c r="AD203" s="150"/>
      <c r="AE203" s="150"/>
      <c r="AF203" s="150"/>
      <c r="AG203" s="134"/>
      <c r="AH203" s="134"/>
      <c r="AI203" s="134"/>
      <c r="AJ203" s="134"/>
      <c r="AK203" s="134"/>
      <c r="AL203" s="134"/>
      <c r="AM203" s="134"/>
      <c r="AN203" s="134"/>
      <c r="AO203" s="134"/>
      <c r="AP203" s="134"/>
      <c r="AQ203" s="134"/>
      <c r="AR203" s="134"/>
      <c r="AS203" s="134"/>
      <c r="AT203" s="134"/>
    </row>
    <row r="204" spans="1:46" ht="119.25" customHeight="1">
      <c r="A204" s="58">
        <v>137</v>
      </c>
      <c r="B204" s="80" t="s">
        <v>1427</v>
      </c>
      <c r="C204" s="80" t="s">
        <v>1410</v>
      </c>
      <c r="D204" s="60" t="s">
        <v>1654</v>
      </c>
      <c r="E204" s="60" t="s">
        <v>1655</v>
      </c>
      <c r="F204" s="62" t="str">
        <f t="shared" ref="F204:F235" si="8">_xlfn.LET(
_xlpm.v_발생, IF(ISNUMBER(SEARCH("빈번", G204)), "상",
IF(ISNUMBER(SEARCH("거의", G204)), "하", "중")),
_xlpm.v_영향, IF(ISNUMBER(SEARCH("1개월", H204)), "상",
IF(ISNUMBER(SEARCH("없음", H204)), "하", "중")),
IF(AND(_xlpm.v_발생="상", _xlpm.v_영향="상"), "극상",
IF(OR(_xlpm.v_발생="상", _xlpm.v_영향="상"), "상",
IF(AND(_xlpm.v_발생="하", _xlpm.v_영향="하"), "하",
"중")))
)</f>
        <v>하</v>
      </c>
      <c r="G204" s="63" t="s">
        <v>2668</v>
      </c>
      <c r="H204" s="63" t="s">
        <v>2674</v>
      </c>
      <c r="I204" s="190" t="s">
        <v>1656</v>
      </c>
      <c r="J204" s="137" t="s">
        <v>4248</v>
      </c>
      <c r="K204" s="79"/>
      <c r="L204" s="137" t="s">
        <v>1492</v>
      </c>
      <c r="M204" s="67"/>
      <c r="N204" s="67"/>
      <c r="O204" s="67"/>
      <c r="P204" s="67"/>
      <c r="Q204" s="67"/>
      <c r="R204" s="67"/>
      <c r="S204" s="81" t="s">
        <v>1493</v>
      </c>
      <c r="T204" s="67"/>
      <c r="U204" s="67"/>
      <c r="V204" s="67"/>
      <c r="W204" s="89" t="b">
        <v>0</v>
      </c>
      <c r="X204" s="88" t="b">
        <v>0</v>
      </c>
      <c r="Y204" s="89" t="b">
        <v>0</v>
      </c>
      <c r="Z204" s="73" t="s">
        <v>1657</v>
      </c>
    </row>
    <row r="205" spans="1:46" ht="103.65" customHeight="1">
      <c r="A205" s="58">
        <v>138</v>
      </c>
      <c r="B205" s="80" t="s">
        <v>1427</v>
      </c>
      <c r="C205" s="80" t="s">
        <v>1410</v>
      </c>
      <c r="D205" s="60" t="s">
        <v>4241</v>
      </c>
      <c r="E205" s="60" t="s">
        <v>1658</v>
      </c>
      <c r="F205" s="125" t="str">
        <f t="shared" si="8"/>
        <v>하</v>
      </c>
      <c r="G205" s="63" t="s">
        <v>2668</v>
      </c>
      <c r="H205" s="63" t="s">
        <v>2674</v>
      </c>
      <c r="I205" s="190" t="s">
        <v>1659</v>
      </c>
      <c r="J205" s="137" t="s">
        <v>4247</v>
      </c>
      <c r="K205" s="79"/>
      <c r="L205" s="137" t="s">
        <v>1492</v>
      </c>
      <c r="M205" s="67"/>
      <c r="N205" s="67"/>
      <c r="O205" s="67"/>
      <c r="P205" s="67"/>
      <c r="Q205" s="67"/>
      <c r="R205" s="67"/>
      <c r="S205" s="81" t="s">
        <v>1493</v>
      </c>
      <c r="T205" s="67"/>
      <c r="U205" s="67"/>
      <c r="V205" s="67"/>
      <c r="W205" s="89" t="b">
        <v>0</v>
      </c>
      <c r="X205" s="89" t="b">
        <v>0</v>
      </c>
      <c r="Y205" s="89" t="b">
        <v>0</v>
      </c>
      <c r="Z205" s="73" t="s">
        <v>1660</v>
      </c>
    </row>
    <row r="206" spans="1:46" ht="119.25" customHeight="1">
      <c r="A206" s="58">
        <v>139</v>
      </c>
      <c r="B206" s="80" t="s">
        <v>1427</v>
      </c>
      <c r="C206" s="80" t="s">
        <v>1410</v>
      </c>
      <c r="D206" s="60" t="s">
        <v>1661</v>
      </c>
      <c r="E206" s="60" t="s">
        <v>1662</v>
      </c>
      <c r="F206" s="62" t="str">
        <f t="shared" si="8"/>
        <v>하</v>
      </c>
      <c r="G206" s="63" t="s">
        <v>2668</v>
      </c>
      <c r="H206" s="63" t="s">
        <v>2674</v>
      </c>
      <c r="I206" s="190" t="s">
        <v>1663</v>
      </c>
      <c r="J206" s="137" t="s">
        <v>4247</v>
      </c>
      <c r="K206" s="79"/>
      <c r="L206" s="137" t="s">
        <v>1492</v>
      </c>
      <c r="M206" s="67"/>
      <c r="N206" s="67"/>
      <c r="O206" s="67"/>
      <c r="P206" s="67"/>
      <c r="Q206" s="67"/>
      <c r="R206" s="67"/>
      <c r="S206" s="81" t="s">
        <v>1493</v>
      </c>
      <c r="T206" s="67"/>
      <c r="U206" s="67"/>
      <c r="V206" s="67"/>
      <c r="W206" s="89" t="b">
        <v>0</v>
      </c>
      <c r="X206" s="88" t="b">
        <v>0</v>
      </c>
      <c r="Y206" s="89" t="b">
        <v>0</v>
      </c>
      <c r="Z206" s="73" t="s">
        <v>1664</v>
      </c>
    </row>
    <row r="207" spans="1:46" ht="134.85" customHeight="1">
      <c r="A207" s="58">
        <v>140</v>
      </c>
      <c r="B207" s="80" t="s">
        <v>1427</v>
      </c>
      <c r="C207" s="80" t="s">
        <v>1410</v>
      </c>
      <c r="D207" s="60" t="s">
        <v>1665</v>
      </c>
      <c r="E207" s="60" t="s">
        <v>1666</v>
      </c>
      <c r="F207" s="62" t="str">
        <f t="shared" si="8"/>
        <v>하</v>
      </c>
      <c r="G207" s="63" t="s">
        <v>2668</v>
      </c>
      <c r="H207" s="63" t="s">
        <v>2674</v>
      </c>
      <c r="I207" s="190" t="s">
        <v>1667</v>
      </c>
      <c r="J207" s="137" t="s">
        <v>4247</v>
      </c>
      <c r="K207" s="79"/>
      <c r="L207" s="137" t="s">
        <v>1492</v>
      </c>
      <c r="M207" s="67"/>
      <c r="N207" s="67"/>
      <c r="O207" s="67"/>
      <c r="P207" s="67"/>
      <c r="Q207" s="67"/>
      <c r="R207" s="67"/>
      <c r="S207" s="81" t="s">
        <v>1493</v>
      </c>
      <c r="T207" s="67"/>
      <c r="U207" s="67"/>
      <c r="V207" s="67"/>
      <c r="W207" s="88" t="b">
        <v>0</v>
      </c>
      <c r="X207" s="88" t="b">
        <v>0</v>
      </c>
      <c r="Y207" s="89" t="b">
        <v>0</v>
      </c>
      <c r="Z207" s="73" t="s">
        <v>1668</v>
      </c>
    </row>
    <row r="208" spans="1:46" ht="119.25" customHeight="1">
      <c r="A208" s="58">
        <v>141</v>
      </c>
      <c r="B208" s="80" t="s">
        <v>1460</v>
      </c>
      <c r="C208" s="80" t="s">
        <v>1410</v>
      </c>
      <c r="D208" s="60" t="s">
        <v>1669</v>
      </c>
      <c r="E208" s="60" t="s">
        <v>1670</v>
      </c>
      <c r="F208" s="170" t="str">
        <f t="shared" si="8"/>
        <v>하</v>
      </c>
      <c r="G208" s="63" t="s">
        <v>2668</v>
      </c>
      <c r="H208" s="63" t="s">
        <v>2674</v>
      </c>
      <c r="I208" s="190" t="s">
        <v>1671</v>
      </c>
      <c r="J208" s="137" t="s">
        <v>4247</v>
      </c>
      <c r="K208" s="79"/>
      <c r="L208" s="137" t="s">
        <v>1492</v>
      </c>
      <c r="M208" s="67"/>
      <c r="N208" s="67"/>
      <c r="O208" s="67"/>
      <c r="P208" s="67"/>
      <c r="Q208" s="67"/>
      <c r="R208" s="67"/>
      <c r="S208" s="81" t="s">
        <v>1418</v>
      </c>
      <c r="T208" s="67"/>
      <c r="U208" s="67"/>
      <c r="V208" s="67"/>
      <c r="W208" s="89" t="b">
        <v>0</v>
      </c>
      <c r="X208" s="88" t="b">
        <v>1</v>
      </c>
      <c r="Y208" s="88" t="b">
        <v>1</v>
      </c>
      <c r="Z208" s="73" t="s">
        <v>1672</v>
      </c>
    </row>
    <row r="209" spans="1:26" ht="119.25" customHeight="1">
      <c r="A209" s="58">
        <v>142</v>
      </c>
      <c r="B209" s="80" t="s">
        <v>1427</v>
      </c>
      <c r="C209" s="80" t="s">
        <v>1410</v>
      </c>
      <c r="D209" s="60" t="s">
        <v>1673</v>
      </c>
      <c r="E209" s="60" t="s">
        <v>1674</v>
      </c>
      <c r="F209" s="62" t="str">
        <f t="shared" si="8"/>
        <v>하</v>
      </c>
      <c r="G209" s="63" t="s">
        <v>2668</v>
      </c>
      <c r="H209" s="63" t="s">
        <v>2674</v>
      </c>
      <c r="I209" s="190" t="s">
        <v>1675</v>
      </c>
      <c r="J209" s="137" t="s">
        <v>4247</v>
      </c>
      <c r="K209" s="79"/>
      <c r="L209" s="137" t="s">
        <v>1492</v>
      </c>
      <c r="M209" s="67"/>
      <c r="N209" s="67"/>
      <c r="O209" s="67"/>
      <c r="P209" s="67"/>
      <c r="Q209" s="67"/>
      <c r="R209" s="67"/>
      <c r="S209" s="81" t="s">
        <v>1418</v>
      </c>
      <c r="T209" s="67"/>
      <c r="U209" s="67"/>
      <c r="V209" s="67"/>
      <c r="W209" s="88" t="b">
        <v>1</v>
      </c>
      <c r="X209" s="88" t="b">
        <v>0</v>
      </c>
      <c r="Y209" s="89" t="b">
        <v>1</v>
      </c>
      <c r="Z209" s="73" t="s">
        <v>1672</v>
      </c>
    </row>
    <row r="210" spans="1:26" ht="119.25" customHeight="1">
      <c r="A210" s="58">
        <v>143</v>
      </c>
      <c r="B210" s="80" t="s">
        <v>1416</v>
      </c>
      <c r="C210" s="80" t="s">
        <v>1410</v>
      </c>
      <c r="D210" s="60" t="s">
        <v>1677</v>
      </c>
      <c r="E210" s="60" t="s">
        <v>1678</v>
      </c>
      <c r="F210" s="125" t="str">
        <f t="shared" ref="F210:F223" si="9">_xlfn.LET(
_xlpm.v_발생, IF(ISNUMBER(SEARCH("빈번", G149)), "상",
IF(ISNUMBER(SEARCH("거의", G149)), "하", "중")),
_xlpm.v_영향, IF(ISNUMBER(SEARCH("1개월", H210)), "상",
IF(ISNUMBER(SEARCH("없음", H149)), "하", "중")),
IF(AND(_xlpm.v_발생="상", _xlpm.v_영향="상"), "극상",
IF(OR(_xlpm.v_발생="상", _xlpm.v_영향="상"), "상",
IF(AND(_xlpm.v_발생="하", _xlpm.v_영향="하"), "하",
"중")))
)</f>
        <v>하</v>
      </c>
      <c r="G210" s="63" t="s">
        <v>2668</v>
      </c>
      <c r="H210" s="63" t="s">
        <v>2674</v>
      </c>
      <c r="I210" s="190" t="s">
        <v>1679</v>
      </c>
      <c r="J210" s="137" t="s">
        <v>4247</v>
      </c>
      <c r="K210" s="79"/>
      <c r="L210" s="137" t="s">
        <v>1492</v>
      </c>
      <c r="M210" s="67"/>
      <c r="N210" s="67"/>
      <c r="O210" s="67"/>
      <c r="P210" s="67"/>
      <c r="Q210" s="67"/>
      <c r="R210" s="67"/>
      <c r="S210" s="81" t="s">
        <v>1418</v>
      </c>
      <c r="T210" s="67"/>
      <c r="U210" s="67"/>
      <c r="V210" s="67"/>
      <c r="W210" s="88" t="b">
        <v>0</v>
      </c>
      <c r="X210" s="89" t="b">
        <v>0</v>
      </c>
      <c r="Y210" s="88" t="b">
        <v>1</v>
      </c>
      <c r="Z210" s="73" t="s">
        <v>1672</v>
      </c>
    </row>
    <row r="211" spans="1:26" ht="119.25" customHeight="1">
      <c r="A211" s="58">
        <v>145</v>
      </c>
      <c r="B211" s="80" t="s">
        <v>1460</v>
      </c>
      <c r="C211" s="80" t="s">
        <v>1410</v>
      </c>
      <c r="D211" s="60" t="s">
        <v>1682</v>
      </c>
      <c r="E211" s="60" t="s">
        <v>1683</v>
      </c>
      <c r="F211" s="62" t="str">
        <f t="shared" si="9"/>
        <v>하</v>
      </c>
      <c r="G211" s="63" t="s">
        <v>2668</v>
      </c>
      <c r="H211" s="63" t="s">
        <v>2674</v>
      </c>
      <c r="I211" s="190" t="s">
        <v>1684</v>
      </c>
      <c r="J211" s="137" t="s">
        <v>4247</v>
      </c>
      <c r="K211" s="79"/>
      <c r="L211" s="137" t="s">
        <v>1492</v>
      </c>
      <c r="M211" s="67"/>
      <c r="N211" s="67"/>
      <c r="O211" s="67"/>
      <c r="P211" s="67"/>
      <c r="Q211" s="67"/>
      <c r="R211" s="67"/>
      <c r="S211" s="81" t="s">
        <v>1418</v>
      </c>
      <c r="T211" s="67"/>
      <c r="U211" s="67"/>
      <c r="V211" s="67"/>
      <c r="W211" s="88" t="b">
        <v>0</v>
      </c>
      <c r="X211" s="88" t="b">
        <v>0</v>
      </c>
      <c r="Y211" s="89" t="b">
        <v>0</v>
      </c>
      <c r="Z211" s="73" t="s">
        <v>1672</v>
      </c>
    </row>
    <row r="212" spans="1:26" ht="119.25" customHeight="1">
      <c r="A212" s="58">
        <v>147</v>
      </c>
      <c r="B212" s="80" t="s">
        <v>1427</v>
      </c>
      <c r="C212" s="80" t="s">
        <v>1410</v>
      </c>
      <c r="D212" s="60" t="s">
        <v>1688</v>
      </c>
      <c r="E212" s="60" t="s">
        <v>1689</v>
      </c>
      <c r="F212" s="125" t="str">
        <f t="shared" si="9"/>
        <v>하</v>
      </c>
      <c r="G212" s="63" t="s">
        <v>2668</v>
      </c>
      <c r="H212" s="63" t="s">
        <v>2674</v>
      </c>
      <c r="I212" s="190" t="s">
        <v>1690</v>
      </c>
      <c r="J212" s="137" t="s">
        <v>4247</v>
      </c>
      <c r="K212" s="79"/>
      <c r="L212" s="137" t="s">
        <v>1492</v>
      </c>
      <c r="M212" s="67"/>
      <c r="N212" s="67"/>
      <c r="O212" s="67"/>
      <c r="P212" s="67"/>
      <c r="Q212" s="67"/>
      <c r="R212" s="67"/>
      <c r="S212" s="81" t="s">
        <v>1418</v>
      </c>
      <c r="T212" s="67"/>
      <c r="U212" s="67"/>
      <c r="V212" s="67"/>
      <c r="W212" s="88" t="b">
        <v>0</v>
      </c>
      <c r="X212" s="88" t="b">
        <v>0</v>
      </c>
      <c r="Y212" s="89" t="b">
        <v>1</v>
      </c>
      <c r="Z212" s="73" t="s">
        <v>1672</v>
      </c>
    </row>
    <row r="213" spans="1:26" ht="119.25" customHeight="1">
      <c r="A213" s="58">
        <v>148</v>
      </c>
      <c r="B213" s="80" t="s">
        <v>1460</v>
      </c>
      <c r="C213" s="80" t="s">
        <v>1410</v>
      </c>
      <c r="D213" s="60" t="s">
        <v>1691</v>
      </c>
      <c r="E213" s="60" t="s">
        <v>1692</v>
      </c>
      <c r="F213" s="62" t="str">
        <f t="shared" si="9"/>
        <v>하</v>
      </c>
      <c r="G213" s="63" t="s">
        <v>2669</v>
      </c>
      <c r="H213" s="63" t="s">
        <v>2674</v>
      </c>
      <c r="I213" s="190" t="s">
        <v>1693</v>
      </c>
      <c r="J213" s="137" t="s">
        <v>4247</v>
      </c>
      <c r="K213" s="79"/>
      <c r="L213" s="137" t="s">
        <v>1492</v>
      </c>
      <c r="M213" s="67"/>
      <c r="N213" s="67"/>
      <c r="O213" s="67"/>
      <c r="P213" s="67"/>
      <c r="Q213" s="67"/>
      <c r="R213" s="67"/>
      <c r="S213" s="81" t="s">
        <v>1418</v>
      </c>
      <c r="T213" s="67"/>
      <c r="U213" s="67"/>
      <c r="V213" s="67"/>
      <c r="W213" s="88" t="b">
        <v>0</v>
      </c>
      <c r="X213" s="88" t="b">
        <v>0</v>
      </c>
      <c r="Y213" s="89" t="b">
        <v>0</v>
      </c>
      <c r="Z213" s="73" t="s">
        <v>1672</v>
      </c>
    </row>
    <row r="214" spans="1:26" ht="119.25" customHeight="1">
      <c r="A214" s="58">
        <v>149</v>
      </c>
      <c r="B214" s="80" t="s">
        <v>1420</v>
      </c>
      <c r="C214" s="80" t="s">
        <v>1410</v>
      </c>
      <c r="D214" s="60" t="s">
        <v>1694</v>
      </c>
      <c r="E214" s="60" t="s">
        <v>1695</v>
      </c>
      <c r="F214" s="62" t="str">
        <f t="shared" si="9"/>
        <v>하</v>
      </c>
      <c r="G214" s="63" t="s">
        <v>2668</v>
      </c>
      <c r="H214" s="63" t="s">
        <v>2674</v>
      </c>
      <c r="I214" s="190" t="s">
        <v>1696</v>
      </c>
      <c r="J214" s="137" t="s">
        <v>4247</v>
      </c>
      <c r="K214" s="79"/>
      <c r="L214" s="137" t="s">
        <v>1492</v>
      </c>
      <c r="M214" s="67"/>
      <c r="N214" s="67"/>
      <c r="O214" s="67"/>
      <c r="P214" s="67"/>
      <c r="Q214" s="67"/>
      <c r="R214" s="67"/>
      <c r="S214" s="81" t="s">
        <v>1418</v>
      </c>
      <c r="T214" s="67"/>
      <c r="U214" s="67"/>
      <c r="V214" s="67"/>
      <c r="W214" s="88" t="b">
        <v>0</v>
      </c>
      <c r="X214" s="88" t="b">
        <v>1</v>
      </c>
      <c r="Y214" s="89" t="b">
        <v>1</v>
      </c>
      <c r="Z214" s="73" t="s">
        <v>1672</v>
      </c>
    </row>
    <row r="215" spans="1:26" ht="119.25" customHeight="1">
      <c r="A215" s="58">
        <v>150</v>
      </c>
      <c r="B215" s="80" t="s">
        <v>1460</v>
      </c>
      <c r="C215" s="80" t="s">
        <v>1410</v>
      </c>
      <c r="D215" s="60" t="s">
        <v>1697</v>
      </c>
      <c r="E215" s="60" t="s">
        <v>1698</v>
      </c>
      <c r="F215" s="62" t="str">
        <f t="shared" si="9"/>
        <v>하</v>
      </c>
      <c r="G215" s="63" t="s">
        <v>2669</v>
      </c>
      <c r="H215" s="63" t="s">
        <v>2674</v>
      </c>
      <c r="I215" s="190" t="s">
        <v>1699</v>
      </c>
      <c r="J215" s="137" t="s">
        <v>4247</v>
      </c>
      <c r="K215" s="79"/>
      <c r="L215" s="137" t="s">
        <v>1492</v>
      </c>
      <c r="M215" s="67"/>
      <c r="N215" s="67"/>
      <c r="O215" s="67"/>
      <c r="P215" s="67"/>
      <c r="Q215" s="67"/>
      <c r="R215" s="67"/>
      <c r="S215" s="81" t="s">
        <v>1418</v>
      </c>
      <c r="T215" s="67"/>
      <c r="U215" s="67"/>
      <c r="V215" s="67"/>
      <c r="W215" s="88" t="b">
        <v>0</v>
      </c>
      <c r="X215" s="88" t="b">
        <v>0</v>
      </c>
      <c r="Y215" s="88" t="b">
        <v>1</v>
      </c>
      <c r="Z215" s="73" t="s">
        <v>1672</v>
      </c>
    </row>
    <row r="216" spans="1:26" ht="119.25" customHeight="1">
      <c r="A216" s="58">
        <v>151</v>
      </c>
      <c r="B216" s="80" t="s">
        <v>1416</v>
      </c>
      <c r="C216" s="80" t="s">
        <v>1410</v>
      </c>
      <c r="D216" s="60" t="s">
        <v>1700</v>
      </c>
      <c r="E216" s="60" t="s">
        <v>1701</v>
      </c>
      <c r="F216" s="125" t="str">
        <f t="shared" si="9"/>
        <v>하</v>
      </c>
      <c r="G216" s="63" t="s">
        <v>2668</v>
      </c>
      <c r="H216" s="63" t="s">
        <v>2674</v>
      </c>
      <c r="I216" s="190" t="s">
        <v>1702</v>
      </c>
      <c r="J216" s="137" t="s">
        <v>4247</v>
      </c>
      <c r="K216" s="79"/>
      <c r="L216" s="137" t="s">
        <v>1492</v>
      </c>
      <c r="M216" s="67"/>
      <c r="N216" s="67"/>
      <c r="O216" s="67"/>
      <c r="P216" s="67"/>
      <c r="Q216" s="67"/>
      <c r="R216" s="67"/>
      <c r="S216" s="81" t="s">
        <v>1418</v>
      </c>
      <c r="T216" s="67"/>
      <c r="U216" s="67"/>
      <c r="V216" s="67"/>
      <c r="W216" s="88" t="b">
        <v>1</v>
      </c>
      <c r="X216" s="89" t="b">
        <v>1</v>
      </c>
      <c r="Y216" s="89" t="b">
        <v>1</v>
      </c>
      <c r="Z216" s="73" t="s">
        <v>1672</v>
      </c>
    </row>
    <row r="217" spans="1:26" ht="119.25" customHeight="1">
      <c r="A217" s="58">
        <v>152</v>
      </c>
      <c r="B217" s="80" t="s">
        <v>1420</v>
      </c>
      <c r="C217" s="80" t="s">
        <v>1410</v>
      </c>
      <c r="D217" s="60" t="s">
        <v>1703</v>
      </c>
      <c r="E217" s="60" t="s">
        <v>1704</v>
      </c>
      <c r="F217" s="62" t="str">
        <f t="shared" si="9"/>
        <v>하</v>
      </c>
      <c r="G217" s="63" t="s">
        <v>2668</v>
      </c>
      <c r="H217" s="63" t="s">
        <v>2674</v>
      </c>
      <c r="I217" s="190" t="s">
        <v>1705</v>
      </c>
      <c r="J217" s="137" t="s">
        <v>4247</v>
      </c>
      <c r="K217" s="79"/>
      <c r="L217" s="137" t="s">
        <v>1492</v>
      </c>
      <c r="M217" s="67"/>
      <c r="N217" s="67"/>
      <c r="O217" s="67"/>
      <c r="P217" s="67"/>
      <c r="Q217" s="67"/>
      <c r="R217" s="67"/>
      <c r="S217" s="81" t="s">
        <v>1418</v>
      </c>
      <c r="T217" s="67"/>
      <c r="U217" s="67"/>
      <c r="V217" s="67"/>
      <c r="W217" s="88" t="b">
        <v>1</v>
      </c>
      <c r="X217" s="88" t="b">
        <v>1</v>
      </c>
      <c r="Y217" s="89" t="b">
        <v>0</v>
      </c>
      <c r="Z217" s="73" t="s">
        <v>1672</v>
      </c>
    </row>
    <row r="218" spans="1:26" ht="119.25" customHeight="1">
      <c r="A218" s="58">
        <v>153</v>
      </c>
      <c r="B218" s="80" t="s">
        <v>1427</v>
      </c>
      <c r="C218" s="80" t="s">
        <v>1410</v>
      </c>
      <c r="D218" s="60" t="s">
        <v>1706</v>
      </c>
      <c r="E218" s="60" t="s">
        <v>1707</v>
      </c>
      <c r="F218" s="62" t="str">
        <f t="shared" si="9"/>
        <v>하</v>
      </c>
      <c r="G218" s="63" t="s">
        <v>2668</v>
      </c>
      <c r="H218" s="63" t="s">
        <v>2674</v>
      </c>
      <c r="I218" s="190" t="s">
        <v>1708</v>
      </c>
      <c r="J218" s="137" t="s">
        <v>4247</v>
      </c>
      <c r="K218" s="79"/>
      <c r="L218" s="137" t="s">
        <v>1492</v>
      </c>
      <c r="M218" s="67"/>
      <c r="N218" s="67"/>
      <c r="O218" s="67"/>
      <c r="P218" s="67"/>
      <c r="Q218" s="67"/>
      <c r="R218" s="67"/>
      <c r="S218" s="81" t="s">
        <v>1418</v>
      </c>
      <c r="T218" s="67"/>
      <c r="U218" s="67"/>
      <c r="V218" s="67"/>
      <c r="W218" s="88" t="b">
        <v>1</v>
      </c>
      <c r="X218" s="88" t="b">
        <v>1</v>
      </c>
      <c r="Y218" s="88" t="b">
        <v>1</v>
      </c>
      <c r="Z218" s="73" t="s">
        <v>1672</v>
      </c>
    </row>
    <row r="219" spans="1:26" ht="119.25" customHeight="1">
      <c r="A219" s="58">
        <v>154</v>
      </c>
      <c r="B219" s="80" t="s">
        <v>1427</v>
      </c>
      <c r="C219" s="80" t="s">
        <v>1410</v>
      </c>
      <c r="D219" s="60" t="s">
        <v>1709</v>
      </c>
      <c r="E219" s="60" t="s">
        <v>1710</v>
      </c>
      <c r="F219" s="62" t="str">
        <f t="shared" si="9"/>
        <v>하</v>
      </c>
      <c r="G219" s="63" t="s">
        <v>2669</v>
      </c>
      <c r="H219" s="63" t="s">
        <v>2674</v>
      </c>
      <c r="I219" s="190" t="s">
        <v>1711</v>
      </c>
      <c r="J219" s="137" t="s">
        <v>4247</v>
      </c>
      <c r="K219" s="79"/>
      <c r="L219" s="137" t="s">
        <v>1492</v>
      </c>
      <c r="M219" s="67"/>
      <c r="N219" s="67"/>
      <c r="O219" s="67"/>
      <c r="P219" s="67"/>
      <c r="Q219" s="67"/>
      <c r="R219" s="67"/>
      <c r="S219" s="81" t="s">
        <v>1418</v>
      </c>
      <c r="T219" s="67"/>
      <c r="U219" s="67"/>
      <c r="V219" s="67"/>
      <c r="W219" s="88" t="b">
        <v>0</v>
      </c>
      <c r="X219" s="88" t="b">
        <v>0</v>
      </c>
      <c r="Y219" s="89" t="b">
        <v>1</v>
      </c>
      <c r="Z219" s="73" t="s">
        <v>1672</v>
      </c>
    </row>
    <row r="220" spans="1:26" ht="119.25" customHeight="1">
      <c r="A220" s="58">
        <v>155</v>
      </c>
      <c r="B220" s="80" t="s">
        <v>32</v>
      </c>
      <c r="C220" s="80" t="s">
        <v>1410</v>
      </c>
      <c r="D220" s="60" t="s">
        <v>1712</v>
      </c>
      <c r="E220" s="60" t="s">
        <v>1713</v>
      </c>
      <c r="F220" s="62" t="str">
        <f t="shared" si="9"/>
        <v>하</v>
      </c>
      <c r="G220" s="63" t="s">
        <v>2668</v>
      </c>
      <c r="H220" s="63" t="s">
        <v>2674</v>
      </c>
      <c r="I220" s="190" t="s">
        <v>1714</v>
      </c>
      <c r="J220" s="137" t="s">
        <v>4247</v>
      </c>
      <c r="K220" s="79"/>
      <c r="L220" s="137" t="s">
        <v>1492</v>
      </c>
      <c r="M220" s="67"/>
      <c r="N220" s="67"/>
      <c r="O220" s="67"/>
      <c r="P220" s="67"/>
      <c r="Q220" s="67"/>
      <c r="R220" s="67"/>
      <c r="S220" s="81" t="s">
        <v>1418</v>
      </c>
      <c r="T220" s="67"/>
      <c r="U220" s="67"/>
      <c r="V220" s="67"/>
      <c r="W220" s="88" t="b">
        <v>1</v>
      </c>
      <c r="X220" s="88" t="b">
        <v>0</v>
      </c>
      <c r="Y220" s="89" t="b">
        <v>1</v>
      </c>
      <c r="Z220" s="73" t="s">
        <v>1672</v>
      </c>
    </row>
    <row r="221" spans="1:26" ht="119.25" customHeight="1">
      <c r="A221" s="58">
        <v>157</v>
      </c>
      <c r="B221" s="80" t="s">
        <v>1416</v>
      </c>
      <c r="C221" s="80" t="s">
        <v>1410</v>
      </c>
      <c r="D221" s="60" t="s">
        <v>1718</v>
      </c>
      <c r="E221" s="60" t="s">
        <v>1719</v>
      </c>
      <c r="F221" s="62" t="str">
        <f t="shared" si="9"/>
        <v>하</v>
      </c>
      <c r="G221" s="63" t="s">
        <v>2668</v>
      </c>
      <c r="H221" s="63" t="s">
        <v>2674</v>
      </c>
      <c r="I221" s="190" t="s">
        <v>1720</v>
      </c>
      <c r="J221" s="137" t="s">
        <v>4247</v>
      </c>
      <c r="K221" s="79"/>
      <c r="L221" s="137" t="s">
        <v>1492</v>
      </c>
      <c r="M221" s="67"/>
      <c r="N221" s="67"/>
      <c r="O221" s="67"/>
      <c r="P221" s="67"/>
      <c r="Q221" s="67"/>
      <c r="R221" s="67"/>
      <c r="S221" s="81" t="s">
        <v>1418</v>
      </c>
      <c r="T221" s="67"/>
      <c r="U221" s="67"/>
      <c r="V221" s="67"/>
      <c r="W221" s="88" t="b">
        <v>0</v>
      </c>
      <c r="X221" s="89" t="b">
        <v>1</v>
      </c>
      <c r="Y221" s="89" t="b">
        <v>1</v>
      </c>
      <c r="Z221" s="73" t="s">
        <v>1672</v>
      </c>
    </row>
    <row r="222" spans="1:26" ht="119.25" customHeight="1">
      <c r="A222" s="58">
        <v>159</v>
      </c>
      <c r="B222" s="80" t="s">
        <v>1427</v>
      </c>
      <c r="C222" s="80" t="s">
        <v>1410</v>
      </c>
      <c r="D222" s="60" t="s">
        <v>1724</v>
      </c>
      <c r="E222" s="60" t="s">
        <v>1725</v>
      </c>
      <c r="F222" s="62" t="str">
        <f t="shared" si="9"/>
        <v>하</v>
      </c>
      <c r="G222" s="63" t="s">
        <v>2668</v>
      </c>
      <c r="H222" s="63" t="s">
        <v>2674</v>
      </c>
      <c r="I222" s="190" t="s">
        <v>1726</v>
      </c>
      <c r="J222" s="137" t="s">
        <v>4247</v>
      </c>
      <c r="K222" s="79"/>
      <c r="L222" s="137" t="s">
        <v>1492</v>
      </c>
      <c r="M222" s="67"/>
      <c r="N222" s="67"/>
      <c r="O222" s="67"/>
      <c r="P222" s="67"/>
      <c r="Q222" s="67"/>
      <c r="R222" s="67"/>
      <c r="S222" s="81" t="s">
        <v>1418</v>
      </c>
      <c r="T222" s="67"/>
      <c r="U222" s="67"/>
      <c r="V222" s="67"/>
      <c r="W222" s="89" t="b">
        <v>0</v>
      </c>
      <c r="X222" s="88" t="b">
        <v>0</v>
      </c>
      <c r="Y222" s="88" t="b">
        <v>1</v>
      </c>
      <c r="Z222" s="73" t="s">
        <v>1672</v>
      </c>
    </row>
    <row r="223" spans="1:26" ht="119.25" customHeight="1">
      <c r="A223" s="58">
        <v>160</v>
      </c>
      <c r="B223" s="80" t="s">
        <v>1460</v>
      </c>
      <c r="C223" s="80" t="s">
        <v>1410</v>
      </c>
      <c r="D223" s="60" t="s">
        <v>1727</v>
      </c>
      <c r="E223" s="60" t="s">
        <v>1728</v>
      </c>
      <c r="F223" s="62" t="str">
        <f t="shared" si="9"/>
        <v>하</v>
      </c>
      <c r="G223" s="63" t="s">
        <v>2668</v>
      </c>
      <c r="H223" s="63" t="s">
        <v>2674</v>
      </c>
      <c r="I223" s="190" t="s">
        <v>1729</v>
      </c>
      <c r="J223" s="137" t="s">
        <v>4247</v>
      </c>
      <c r="K223" s="79"/>
      <c r="L223" s="137" t="s">
        <v>1492</v>
      </c>
      <c r="M223" s="67"/>
      <c r="N223" s="67"/>
      <c r="O223" s="67"/>
      <c r="P223" s="67"/>
      <c r="Q223" s="67"/>
      <c r="R223" s="67"/>
      <c r="S223" s="81" t="s">
        <v>1418</v>
      </c>
      <c r="T223" s="67"/>
      <c r="U223" s="67"/>
      <c r="V223" s="67"/>
      <c r="W223" s="88" t="b">
        <v>0</v>
      </c>
      <c r="X223" s="88" t="b">
        <v>1</v>
      </c>
      <c r="Y223" s="89" t="b">
        <v>1</v>
      </c>
      <c r="Z223" s="73" t="s">
        <v>1672</v>
      </c>
    </row>
    <row r="224" spans="1:26" ht="119.25" customHeight="1">
      <c r="A224" s="58">
        <v>162</v>
      </c>
      <c r="B224" s="80" t="s">
        <v>1460</v>
      </c>
      <c r="C224" s="80" t="s">
        <v>1410</v>
      </c>
      <c r="D224" s="60" t="s">
        <v>1733</v>
      </c>
      <c r="E224" s="60" t="s">
        <v>1734</v>
      </c>
      <c r="F224" s="125" t="str">
        <f t="shared" ref="F224:F287" si="10">_xlfn.LET(
_xlpm.v_발생, IF(ISNUMBER(SEARCH("빈번", G224)), "상",
IF(ISNUMBER(SEARCH("거의", G224)), "하", "중")),
_xlpm.v_영향, IF(ISNUMBER(SEARCH("1개월", H224)), "상",
IF(ISNUMBER(SEARCH("없음", H224)), "하", "중")),
IF(AND(_xlpm.v_발생="상", _xlpm.v_영향="상"), "극상",
IF(OR(_xlpm.v_발생="상", _xlpm.v_영향="상"), "상",
IF(AND(_xlpm.v_발생="하", _xlpm.v_영향="하"), "하",
"중")))
)</f>
        <v>하</v>
      </c>
      <c r="G224" s="63" t="s">
        <v>2668</v>
      </c>
      <c r="H224" s="63" t="s">
        <v>2674</v>
      </c>
      <c r="I224" s="190" t="s">
        <v>1735</v>
      </c>
      <c r="J224" s="137" t="s">
        <v>4247</v>
      </c>
      <c r="K224" s="79"/>
      <c r="L224" s="137" t="s">
        <v>1492</v>
      </c>
      <c r="M224" s="67"/>
      <c r="N224" s="67"/>
      <c r="O224" s="67"/>
      <c r="P224" s="67"/>
      <c r="Q224" s="67"/>
      <c r="R224" s="67"/>
      <c r="S224" s="81" t="s">
        <v>1418</v>
      </c>
      <c r="T224" s="67"/>
      <c r="U224" s="67"/>
      <c r="V224" s="67"/>
      <c r="W224" s="88" t="b">
        <v>0</v>
      </c>
      <c r="X224" s="88" t="b">
        <v>1</v>
      </c>
      <c r="Y224" s="89" t="b">
        <v>0</v>
      </c>
      <c r="Z224" s="73" t="s">
        <v>1672</v>
      </c>
    </row>
    <row r="225" spans="1:26" ht="119.25" customHeight="1">
      <c r="A225" s="58">
        <v>163</v>
      </c>
      <c r="B225" s="80" t="s">
        <v>32</v>
      </c>
      <c r="C225" s="80" t="s">
        <v>1410</v>
      </c>
      <c r="D225" s="60" t="s">
        <v>1736</v>
      </c>
      <c r="E225" s="60" t="s">
        <v>1737</v>
      </c>
      <c r="F225" s="62" t="str">
        <f t="shared" si="10"/>
        <v>하</v>
      </c>
      <c r="G225" s="63" t="s">
        <v>2668</v>
      </c>
      <c r="H225" s="63" t="s">
        <v>2674</v>
      </c>
      <c r="I225" s="190" t="s">
        <v>1738</v>
      </c>
      <c r="J225" s="137" t="s">
        <v>4247</v>
      </c>
      <c r="K225" s="79"/>
      <c r="L225" s="137" t="s">
        <v>1492</v>
      </c>
      <c r="M225" s="67"/>
      <c r="N225" s="67"/>
      <c r="O225" s="67"/>
      <c r="P225" s="67"/>
      <c r="Q225" s="67"/>
      <c r="R225" s="67"/>
      <c r="S225" s="81" t="s">
        <v>1418</v>
      </c>
      <c r="T225" s="67"/>
      <c r="U225" s="67"/>
      <c r="V225" s="67"/>
      <c r="W225" s="88" t="b">
        <v>1</v>
      </c>
      <c r="X225" s="88" t="b">
        <v>0</v>
      </c>
      <c r="Y225" s="89" t="b">
        <v>0</v>
      </c>
      <c r="Z225" s="73" t="s">
        <v>1672</v>
      </c>
    </row>
    <row r="226" spans="1:26" ht="119.25" customHeight="1">
      <c r="A226" s="58">
        <v>164</v>
      </c>
      <c r="B226" s="80" t="s">
        <v>1427</v>
      </c>
      <c r="C226" s="80" t="s">
        <v>1410</v>
      </c>
      <c r="D226" s="60" t="s">
        <v>1739</v>
      </c>
      <c r="E226" s="60" t="s">
        <v>1740</v>
      </c>
      <c r="F226" s="62" t="str">
        <f t="shared" si="10"/>
        <v>하</v>
      </c>
      <c r="G226" s="63" t="s">
        <v>2668</v>
      </c>
      <c r="H226" s="63" t="s">
        <v>2674</v>
      </c>
      <c r="I226" s="190" t="s">
        <v>1741</v>
      </c>
      <c r="J226" s="137" t="s">
        <v>4247</v>
      </c>
      <c r="K226" s="79"/>
      <c r="L226" s="137" t="s">
        <v>1492</v>
      </c>
      <c r="M226" s="67"/>
      <c r="N226" s="67"/>
      <c r="O226" s="67"/>
      <c r="P226" s="67"/>
      <c r="Q226" s="67"/>
      <c r="R226" s="67"/>
      <c r="S226" s="81" t="s">
        <v>1418</v>
      </c>
      <c r="T226" s="67"/>
      <c r="U226" s="67"/>
      <c r="V226" s="67"/>
      <c r="W226" s="88" t="b">
        <v>0</v>
      </c>
      <c r="X226" s="88" t="b">
        <v>0</v>
      </c>
      <c r="Y226" s="89" t="b">
        <v>1</v>
      </c>
      <c r="Z226" s="73" t="s">
        <v>1672</v>
      </c>
    </row>
    <row r="227" spans="1:26" ht="119.25" customHeight="1">
      <c r="A227" s="58">
        <v>165</v>
      </c>
      <c r="B227" s="80" t="s">
        <v>1460</v>
      </c>
      <c r="C227" s="80" t="s">
        <v>1410</v>
      </c>
      <c r="D227" s="60" t="s">
        <v>4234</v>
      </c>
      <c r="E227" s="60" t="s">
        <v>1742</v>
      </c>
      <c r="F227" s="62" t="str">
        <f t="shared" si="10"/>
        <v>하</v>
      </c>
      <c r="G227" s="63" t="s">
        <v>2668</v>
      </c>
      <c r="H227" s="63" t="s">
        <v>2674</v>
      </c>
      <c r="I227" s="190" t="s">
        <v>4235</v>
      </c>
      <c r="J227" s="137" t="s">
        <v>4247</v>
      </c>
      <c r="K227" s="79"/>
      <c r="L227" s="137" t="s">
        <v>1492</v>
      </c>
      <c r="M227" s="67"/>
      <c r="N227" s="67"/>
      <c r="O227" s="67"/>
      <c r="P227" s="67"/>
      <c r="Q227" s="67"/>
      <c r="R227" s="67"/>
      <c r="S227" s="81" t="s">
        <v>1418</v>
      </c>
      <c r="T227" s="67"/>
      <c r="U227" s="67"/>
      <c r="V227" s="67"/>
      <c r="W227" s="88" t="b">
        <v>0</v>
      </c>
      <c r="X227" s="88" t="b">
        <v>0</v>
      </c>
      <c r="Y227" s="89" t="b">
        <v>0</v>
      </c>
      <c r="Z227" s="73" t="s">
        <v>1672</v>
      </c>
    </row>
    <row r="228" spans="1:26" ht="119.25" customHeight="1">
      <c r="A228" s="58">
        <v>166</v>
      </c>
      <c r="B228" s="80" t="s">
        <v>1460</v>
      </c>
      <c r="C228" s="80" t="s">
        <v>1410</v>
      </c>
      <c r="D228" s="60" t="s">
        <v>1743</v>
      </c>
      <c r="E228" s="60" t="s">
        <v>1744</v>
      </c>
      <c r="F228" s="62" t="str">
        <f t="shared" si="10"/>
        <v>하</v>
      </c>
      <c r="G228" s="63" t="s">
        <v>2668</v>
      </c>
      <c r="H228" s="63" t="s">
        <v>2674</v>
      </c>
      <c r="I228" s="190" t="s">
        <v>1745</v>
      </c>
      <c r="J228" s="137" t="s">
        <v>4247</v>
      </c>
      <c r="K228" s="79"/>
      <c r="L228" s="137" t="s">
        <v>1492</v>
      </c>
      <c r="M228" s="67"/>
      <c r="N228" s="67"/>
      <c r="O228" s="67"/>
      <c r="P228" s="67"/>
      <c r="Q228" s="67"/>
      <c r="R228" s="67"/>
      <c r="S228" s="81" t="s">
        <v>1418</v>
      </c>
      <c r="T228" s="67"/>
      <c r="U228" s="67"/>
      <c r="V228" s="67"/>
      <c r="W228" s="88" t="b">
        <v>0</v>
      </c>
      <c r="X228" s="88" t="b">
        <v>0</v>
      </c>
      <c r="Y228" s="89" t="b">
        <v>0</v>
      </c>
      <c r="Z228" s="73" t="s">
        <v>1672</v>
      </c>
    </row>
    <row r="229" spans="1:26" ht="119.25" customHeight="1">
      <c r="A229" s="58">
        <v>168</v>
      </c>
      <c r="B229" s="80" t="s">
        <v>1427</v>
      </c>
      <c r="C229" s="80" t="s">
        <v>1410</v>
      </c>
      <c r="D229" s="60" t="s">
        <v>1749</v>
      </c>
      <c r="E229" s="60" t="s">
        <v>1750</v>
      </c>
      <c r="F229" s="62" t="str">
        <f t="shared" si="10"/>
        <v>하</v>
      </c>
      <c r="G229" s="63" t="s">
        <v>2668</v>
      </c>
      <c r="H229" s="63" t="s">
        <v>2674</v>
      </c>
      <c r="I229" s="190" t="s">
        <v>1751</v>
      </c>
      <c r="J229" s="137" t="s">
        <v>4247</v>
      </c>
      <c r="K229" s="79"/>
      <c r="L229" s="137" t="s">
        <v>1492</v>
      </c>
      <c r="M229" s="67"/>
      <c r="N229" s="67"/>
      <c r="O229" s="67"/>
      <c r="P229" s="67"/>
      <c r="Q229" s="67"/>
      <c r="R229" s="67"/>
      <c r="S229" s="81" t="s">
        <v>1418</v>
      </c>
      <c r="T229" s="67"/>
      <c r="U229" s="67"/>
      <c r="V229" s="67"/>
      <c r="W229" s="88" t="b">
        <v>0</v>
      </c>
      <c r="X229" s="88" t="b">
        <v>0</v>
      </c>
      <c r="Y229" s="89" t="b">
        <v>1</v>
      </c>
      <c r="Z229" s="73" t="s">
        <v>1672</v>
      </c>
    </row>
    <row r="230" spans="1:26" ht="119.25" customHeight="1">
      <c r="A230" s="58">
        <v>169</v>
      </c>
      <c r="B230" s="80" t="s">
        <v>1460</v>
      </c>
      <c r="C230" s="80" t="s">
        <v>1410</v>
      </c>
      <c r="D230" s="60" t="s">
        <v>1752</v>
      </c>
      <c r="E230" s="60" t="s">
        <v>1753</v>
      </c>
      <c r="F230" s="125" t="str">
        <f t="shared" si="10"/>
        <v>하</v>
      </c>
      <c r="G230" s="63" t="s">
        <v>2668</v>
      </c>
      <c r="H230" s="63" t="s">
        <v>2674</v>
      </c>
      <c r="I230" s="190" t="s">
        <v>1754</v>
      </c>
      <c r="J230" s="137" t="s">
        <v>4247</v>
      </c>
      <c r="K230" s="79"/>
      <c r="L230" s="137" t="s">
        <v>1492</v>
      </c>
      <c r="M230" s="67"/>
      <c r="N230" s="67"/>
      <c r="O230" s="67"/>
      <c r="P230" s="67"/>
      <c r="Q230" s="67"/>
      <c r="R230" s="67"/>
      <c r="S230" s="81" t="s">
        <v>1418</v>
      </c>
      <c r="T230" s="67"/>
      <c r="U230" s="67"/>
      <c r="V230" s="67"/>
      <c r="W230" s="88" t="b">
        <v>0</v>
      </c>
      <c r="X230" s="88" t="b">
        <v>0</v>
      </c>
      <c r="Y230" s="89" t="b">
        <v>0</v>
      </c>
      <c r="Z230" s="73" t="s">
        <v>1672</v>
      </c>
    </row>
    <row r="231" spans="1:26" ht="119.25" customHeight="1">
      <c r="A231" s="58">
        <v>174</v>
      </c>
      <c r="B231" s="80" t="s">
        <v>1427</v>
      </c>
      <c r="C231" s="80" t="s">
        <v>1410</v>
      </c>
      <c r="D231" s="60" t="s">
        <v>1762</v>
      </c>
      <c r="E231" s="60" t="s">
        <v>1763</v>
      </c>
      <c r="F231" s="62" t="str">
        <f t="shared" si="10"/>
        <v>하</v>
      </c>
      <c r="G231" s="63" t="s">
        <v>2668</v>
      </c>
      <c r="H231" s="63" t="s">
        <v>2674</v>
      </c>
      <c r="I231" s="190" t="s">
        <v>1764</v>
      </c>
      <c r="J231" s="137" t="s">
        <v>4247</v>
      </c>
      <c r="K231" s="79"/>
      <c r="L231" s="137" t="s">
        <v>1492</v>
      </c>
      <c r="M231" s="67"/>
      <c r="N231" s="67"/>
      <c r="O231" s="67"/>
      <c r="P231" s="67"/>
      <c r="Q231" s="67"/>
      <c r="R231" s="67"/>
      <c r="S231" s="81" t="s">
        <v>1418</v>
      </c>
      <c r="T231" s="67"/>
      <c r="U231" s="67"/>
      <c r="V231" s="67"/>
      <c r="W231" s="88" t="b">
        <v>1</v>
      </c>
      <c r="X231" s="89" t="b">
        <v>1</v>
      </c>
      <c r="Y231" s="88" t="b">
        <v>1</v>
      </c>
      <c r="Z231" s="73" t="s">
        <v>1672</v>
      </c>
    </row>
    <row r="232" spans="1:26" ht="119.25" customHeight="1">
      <c r="A232" s="58">
        <v>175</v>
      </c>
      <c r="B232" s="80" t="s">
        <v>1460</v>
      </c>
      <c r="C232" s="80" t="s">
        <v>1410</v>
      </c>
      <c r="D232" s="60" t="s">
        <v>1765</v>
      </c>
      <c r="E232" s="60" t="s">
        <v>1766</v>
      </c>
      <c r="F232" s="125" t="str">
        <f t="shared" si="10"/>
        <v>하</v>
      </c>
      <c r="G232" s="63" t="s">
        <v>2668</v>
      </c>
      <c r="H232" s="63" t="s">
        <v>2674</v>
      </c>
      <c r="I232" s="190" t="s">
        <v>1767</v>
      </c>
      <c r="J232" s="137" t="s">
        <v>4247</v>
      </c>
      <c r="K232" s="79"/>
      <c r="L232" s="137" t="s">
        <v>1492</v>
      </c>
      <c r="M232" s="67"/>
      <c r="N232" s="67"/>
      <c r="O232" s="67"/>
      <c r="P232" s="67"/>
      <c r="Q232" s="67"/>
      <c r="R232" s="67"/>
      <c r="S232" s="81" t="s">
        <v>1418</v>
      </c>
      <c r="T232" s="67"/>
      <c r="U232" s="67"/>
      <c r="V232" s="67"/>
      <c r="W232" s="88" t="b">
        <v>0</v>
      </c>
      <c r="X232" s="88" t="b">
        <v>0</v>
      </c>
      <c r="Y232" s="89" t="b">
        <v>1</v>
      </c>
      <c r="Z232" s="73" t="s">
        <v>1672</v>
      </c>
    </row>
    <row r="233" spans="1:26" ht="119.25" customHeight="1">
      <c r="A233" s="58">
        <v>176</v>
      </c>
      <c r="B233" s="80" t="s">
        <v>1427</v>
      </c>
      <c r="C233" s="80" t="s">
        <v>1410</v>
      </c>
      <c r="D233" s="60" t="s">
        <v>1768</v>
      </c>
      <c r="E233" s="60" t="s">
        <v>1769</v>
      </c>
      <c r="F233" s="62" t="str">
        <f t="shared" si="10"/>
        <v>하</v>
      </c>
      <c r="G233" s="63" t="s">
        <v>2668</v>
      </c>
      <c r="H233" s="63" t="s">
        <v>2674</v>
      </c>
      <c r="I233" s="190" t="s">
        <v>1770</v>
      </c>
      <c r="J233" s="137" t="s">
        <v>4247</v>
      </c>
      <c r="K233" s="79"/>
      <c r="L233" s="137" t="s">
        <v>1492</v>
      </c>
      <c r="M233" s="67"/>
      <c r="N233" s="67"/>
      <c r="O233" s="67"/>
      <c r="P233" s="67"/>
      <c r="Q233" s="67"/>
      <c r="R233" s="67"/>
      <c r="S233" s="81" t="s">
        <v>1418</v>
      </c>
      <c r="T233" s="67"/>
      <c r="U233" s="67"/>
      <c r="V233" s="67"/>
      <c r="W233" s="88" t="b">
        <v>0</v>
      </c>
      <c r="X233" s="88" t="b">
        <v>0</v>
      </c>
      <c r="Y233" s="89" t="b">
        <v>1</v>
      </c>
      <c r="Z233" s="73" t="s">
        <v>1672</v>
      </c>
    </row>
    <row r="234" spans="1:26" ht="119.25" customHeight="1">
      <c r="A234" s="58">
        <v>177</v>
      </c>
      <c r="B234" s="80" t="s">
        <v>32</v>
      </c>
      <c r="C234" s="80" t="s">
        <v>1410</v>
      </c>
      <c r="D234" s="60" t="s">
        <v>1771</v>
      </c>
      <c r="E234" s="60" t="s">
        <v>1772</v>
      </c>
      <c r="F234" s="62" t="str">
        <f t="shared" si="10"/>
        <v>하</v>
      </c>
      <c r="G234" s="63" t="s">
        <v>2668</v>
      </c>
      <c r="H234" s="63" t="s">
        <v>2674</v>
      </c>
      <c r="I234" s="190" t="s">
        <v>1773</v>
      </c>
      <c r="J234" s="137" t="s">
        <v>4247</v>
      </c>
      <c r="K234" s="79"/>
      <c r="L234" s="137" t="s">
        <v>1492</v>
      </c>
      <c r="M234" s="67"/>
      <c r="N234" s="67"/>
      <c r="O234" s="67"/>
      <c r="P234" s="67"/>
      <c r="Q234" s="67"/>
      <c r="R234" s="67"/>
      <c r="S234" s="81" t="s">
        <v>1418</v>
      </c>
      <c r="T234" s="67"/>
      <c r="U234" s="67"/>
      <c r="V234" s="67"/>
      <c r="W234" s="88" t="b">
        <v>1</v>
      </c>
      <c r="X234" s="88" t="b">
        <v>0</v>
      </c>
      <c r="Y234" s="89" t="b">
        <v>0</v>
      </c>
      <c r="Z234" s="73" t="s">
        <v>1672</v>
      </c>
    </row>
    <row r="235" spans="1:26" ht="119.25" customHeight="1">
      <c r="A235" s="58">
        <v>178</v>
      </c>
      <c r="B235" s="80" t="s">
        <v>1427</v>
      </c>
      <c r="C235" s="80" t="s">
        <v>1410</v>
      </c>
      <c r="D235" s="60" t="s">
        <v>1774</v>
      </c>
      <c r="E235" s="60" t="s">
        <v>1775</v>
      </c>
      <c r="F235" s="62" t="str">
        <f t="shared" si="10"/>
        <v>하</v>
      </c>
      <c r="G235" s="63" t="s">
        <v>2668</v>
      </c>
      <c r="H235" s="63" t="s">
        <v>2674</v>
      </c>
      <c r="I235" s="190" t="s">
        <v>1776</v>
      </c>
      <c r="J235" s="137" t="s">
        <v>4247</v>
      </c>
      <c r="K235" s="79"/>
      <c r="L235" s="137" t="s">
        <v>1492</v>
      </c>
      <c r="M235" s="67"/>
      <c r="N235" s="67"/>
      <c r="O235" s="67"/>
      <c r="P235" s="67"/>
      <c r="Q235" s="67"/>
      <c r="R235" s="67"/>
      <c r="S235" s="81" t="s">
        <v>1418</v>
      </c>
      <c r="T235" s="67"/>
      <c r="U235" s="67"/>
      <c r="V235" s="67"/>
      <c r="W235" s="88" t="b">
        <v>0</v>
      </c>
      <c r="X235" s="88" t="b">
        <v>0</v>
      </c>
      <c r="Y235" s="89" t="b">
        <v>1</v>
      </c>
      <c r="Z235" s="73" t="s">
        <v>1672</v>
      </c>
    </row>
    <row r="236" spans="1:26" ht="119.25" customHeight="1">
      <c r="A236" s="58">
        <v>180</v>
      </c>
      <c r="B236" s="80" t="s">
        <v>1416</v>
      </c>
      <c r="C236" s="80" t="s">
        <v>1410</v>
      </c>
      <c r="D236" s="60" t="s">
        <v>1780</v>
      </c>
      <c r="E236" s="60" t="s">
        <v>1781</v>
      </c>
      <c r="F236" s="62" t="str">
        <f t="shared" si="10"/>
        <v>하</v>
      </c>
      <c r="G236" s="63" t="s">
        <v>2668</v>
      </c>
      <c r="H236" s="63" t="s">
        <v>2674</v>
      </c>
      <c r="I236" s="190" t="s">
        <v>1782</v>
      </c>
      <c r="J236" s="137" t="s">
        <v>4247</v>
      </c>
      <c r="K236" s="79"/>
      <c r="L236" s="137" t="s">
        <v>1492</v>
      </c>
      <c r="M236" s="67"/>
      <c r="N236" s="67"/>
      <c r="O236" s="67"/>
      <c r="P236" s="67"/>
      <c r="Q236" s="67"/>
      <c r="R236" s="67"/>
      <c r="S236" s="81" t="s">
        <v>1418</v>
      </c>
      <c r="T236" s="67"/>
      <c r="U236" s="67"/>
      <c r="V236" s="67"/>
      <c r="W236" s="88" t="b">
        <v>0</v>
      </c>
      <c r="X236" s="88" t="b">
        <v>1</v>
      </c>
      <c r="Y236" s="89" t="b">
        <v>1</v>
      </c>
      <c r="Z236" s="73" t="s">
        <v>1672</v>
      </c>
    </row>
    <row r="237" spans="1:26" ht="119.25" customHeight="1">
      <c r="A237" s="58">
        <v>181</v>
      </c>
      <c r="B237" s="80" t="s">
        <v>1460</v>
      </c>
      <c r="C237" s="80" t="s">
        <v>1410</v>
      </c>
      <c r="D237" s="60" t="s">
        <v>1783</v>
      </c>
      <c r="E237" s="60" t="s">
        <v>1784</v>
      </c>
      <c r="F237" s="62" t="str">
        <f t="shared" si="10"/>
        <v>하</v>
      </c>
      <c r="G237" s="63" t="s">
        <v>2668</v>
      </c>
      <c r="H237" s="63" t="s">
        <v>2674</v>
      </c>
      <c r="I237" s="190" t="s">
        <v>1785</v>
      </c>
      <c r="J237" s="137" t="s">
        <v>4247</v>
      </c>
      <c r="K237" s="79"/>
      <c r="L237" s="137" t="s">
        <v>1492</v>
      </c>
      <c r="M237" s="67"/>
      <c r="N237" s="67"/>
      <c r="O237" s="67"/>
      <c r="P237" s="67"/>
      <c r="Q237" s="67"/>
      <c r="R237" s="67"/>
      <c r="S237" s="81" t="s">
        <v>1418</v>
      </c>
      <c r="T237" s="67"/>
      <c r="U237" s="67"/>
      <c r="V237" s="67"/>
      <c r="W237" s="88" t="b">
        <v>0</v>
      </c>
      <c r="X237" s="88" t="b">
        <v>0</v>
      </c>
      <c r="Y237" s="89" t="b">
        <v>1</v>
      </c>
      <c r="Z237" s="73" t="s">
        <v>1786</v>
      </c>
    </row>
    <row r="238" spans="1:26" ht="119.25" customHeight="1">
      <c r="A238" s="58">
        <v>182</v>
      </c>
      <c r="B238" s="80" t="s">
        <v>1460</v>
      </c>
      <c r="C238" s="80" t="s">
        <v>1410</v>
      </c>
      <c r="D238" s="60" t="s">
        <v>1788</v>
      </c>
      <c r="E238" s="60" t="s">
        <v>1789</v>
      </c>
      <c r="F238" s="62" t="str">
        <f t="shared" si="10"/>
        <v>하</v>
      </c>
      <c r="G238" s="63" t="s">
        <v>2668</v>
      </c>
      <c r="H238" s="63" t="s">
        <v>2674</v>
      </c>
      <c r="I238" s="197" t="s">
        <v>4343</v>
      </c>
      <c r="J238" s="137" t="s">
        <v>4247</v>
      </c>
      <c r="K238" s="79"/>
      <c r="L238" s="137" t="s">
        <v>1492</v>
      </c>
      <c r="M238" s="67"/>
      <c r="N238" s="67"/>
      <c r="O238" s="67"/>
      <c r="P238" s="67"/>
      <c r="Q238" s="67"/>
      <c r="R238" s="67"/>
      <c r="S238" s="81" t="s">
        <v>1418</v>
      </c>
      <c r="T238" s="67"/>
      <c r="U238" s="67"/>
      <c r="V238" s="67"/>
      <c r="W238" s="88" t="b">
        <v>0</v>
      </c>
      <c r="X238" s="88" t="b">
        <v>0</v>
      </c>
      <c r="Y238" s="89" t="b">
        <v>1</v>
      </c>
      <c r="Z238" s="73" t="s">
        <v>1790</v>
      </c>
    </row>
    <row r="239" spans="1:26" ht="119.25" customHeight="1">
      <c r="A239" s="58">
        <v>183</v>
      </c>
      <c r="B239" s="80" t="s">
        <v>1460</v>
      </c>
      <c r="C239" s="80" t="s">
        <v>1410</v>
      </c>
      <c r="D239" s="60" t="s">
        <v>1791</v>
      </c>
      <c r="E239" s="60" t="s">
        <v>1792</v>
      </c>
      <c r="F239" s="62" t="str">
        <f t="shared" si="10"/>
        <v>하</v>
      </c>
      <c r="G239" s="63" t="s">
        <v>2668</v>
      </c>
      <c r="H239" s="63" t="s">
        <v>2674</v>
      </c>
      <c r="I239" s="190" t="s">
        <v>1793</v>
      </c>
      <c r="J239" s="137" t="s">
        <v>4247</v>
      </c>
      <c r="K239" s="79"/>
      <c r="L239" s="137" t="s">
        <v>1492</v>
      </c>
      <c r="M239" s="67"/>
      <c r="N239" s="67"/>
      <c r="O239" s="67"/>
      <c r="P239" s="67"/>
      <c r="Q239" s="67"/>
      <c r="R239" s="67"/>
      <c r="S239" s="81" t="s">
        <v>1418</v>
      </c>
      <c r="T239" s="67"/>
      <c r="U239" s="67"/>
      <c r="V239" s="67"/>
      <c r="W239" s="88" t="b">
        <v>0</v>
      </c>
      <c r="X239" s="88" t="b">
        <v>0</v>
      </c>
      <c r="Y239" s="89" t="b">
        <v>1</v>
      </c>
      <c r="Z239" s="73" t="s">
        <v>849</v>
      </c>
    </row>
    <row r="240" spans="1:26" ht="119.25" customHeight="1" outlineLevel="1">
      <c r="A240" s="58">
        <v>184</v>
      </c>
      <c r="B240" s="80" t="s">
        <v>1460</v>
      </c>
      <c r="C240" s="80" t="s">
        <v>4236</v>
      </c>
      <c r="D240" s="60" t="s">
        <v>1794</v>
      </c>
      <c r="E240" s="60" t="s">
        <v>1795</v>
      </c>
      <c r="F240" s="62" t="str">
        <f t="shared" si="10"/>
        <v>하</v>
      </c>
      <c r="G240" s="63" t="s">
        <v>2668</v>
      </c>
      <c r="H240" s="63" t="s">
        <v>2674</v>
      </c>
      <c r="I240" s="190" t="s">
        <v>1796</v>
      </c>
      <c r="J240" s="137" t="s">
        <v>4247</v>
      </c>
      <c r="K240" s="79"/>
      <c r="L240" s="137" t="s">
        <v>1492</v>
      </c>
      <c r="M240" s="67"/>
      <c r="N240" s="67"/>
      <c r="O240" s="67"/>
      <c r="P240" s="67"/>
      <c r="Q240" s="67"/>
      <c r="R240" s="67"/>
      <c r="S240" s="81" t="s">
        <v>1418</v>
      </c>
      <c r="T240" s="67"/>
      <c r="U240" s="67"/>
      <c r="V240" s="67"/>
      <c r="W240" s="88" t="b">
        <v>0</v>
      </c>
      <c r="X240" s="88" t="b">
        <v>0</v>
      </c>
      <c r="Y240" s="89" t="b">
        <v>1</v>
      </c>
      <c r="Z240" s="73" t="s">
        <v>954</v>
      </c>
    </row>
    <row r="241" spans="1:26" ht="119.25" customHeight="1" outlineLevel="1">
      <c r="A241" s="58">
        <v>185</v>
      </c>
      <c r="B241" s="80" t="s">
        <v>1460</v>
      </c>
      <c r="C241" s="80" t="s">
        <v>1410</v>
      </c>
      <c r="D241" s="60" t="s">
        <v>1797</v>
      </c>
      <c r="E241" s="60" t="s">
        <v>4237</v>
      </c>
      <c r="F241" s="62" t="str">
        <f t="shared" si="10"/>
        <v>하</v>
      </c>
      <c r="G241" s="63" t="s">
        <v>2668</v>
      </c>
      <c r="H241" s="63" t="s">
        <v>2674</v>
      </c>
      <c r="I241" s="190" t="s">
        <v>1798</v>
      </c>
      <c r="J241" s="137" t="s">
        <v>4247</v>
      </c>
      <c r="K241" s="79"/>
      <c r="L241" s="137" t="s">
        <v>1492</v>
      </c>
      <c r="M241" s="67"/>
      <c r="N241" s="67"/>
      <c r="O241" s="67"/>
      <c r="P241" s="67"/>
      <c r="Q241" s="67"/>
      <c r="R241" s="67"/>
      <c r="S241" s="81" t="s">
        <v>1418</v>
      </c>
      <c r="T241" s="67"/>
      <c r="U241" s="67"/>
      <c r="V241" s="67"/>
      <c r="W241" s="88" t="b">
        <v>0</v>
      </c>
      <c r="X241" s="88" t="b">
        <v>0</v>
      </c>
      <c r="Y241" s="89" t="b">
        <v>1</v>
      </c>
      <c r="Z241" s="73" t="s">
        <v>1787</v>
      </c>
    </row>
    <row r="242" spans="1:26" ht="119.25" customHeight="1" outlineLevel="1">
      <c r="A242" s="58">
        <v>186</v>
      </c>
      <c r="B242" s="80" t="s">
        <v>1460</v>
      </c>
      <c r="C242" s="80" t="s">
        <v>4238</v>
      </c>
      <c r="D242" s="60" t="s">
        <v>1799</v>
      </c>
      <c r="E242" s="60" t="s">
        <v>1800</v>
      </c>
      <c r="F242" s="62" t="str">
        <f t="shared" si="10"/>
        <v>하</v>
      </c>
      <c r="G242" s="63" t="s">
        <v>2668</v>
      </c>
      <c r="H242" s="63" t="s">
        <v>2674</v>
      </c>
      <c r="I242" s="190" t="s">
        <v>1801</v>
      </c>
      <c r="J242" s="137" t="s">
        <v>4247</v>
      </c>
      <c r="K242" s="79"/>
      <c r="L242" s="137" t="s">
        <v>1492</v>
      </c>
      <c r="M242" s="67"/>
      <c r="N242" s="67"/>
      <c r="O242" s="67"/>
      <c r="P242" s="67"/>
      <c r="Q242" s="67"/>
      <c r="R242" s="67"/>
      <c r="S242" s="81" t="s">
        <v>1418</v>
      </c>
      <c r="T242" s="67"/>
      <c r="U242" s="67"/>
      <c r="V242" s="67"/>
      <c r="W242" s="88" t="b">
        <v>0</v>
      </c>
      <c r="X242" s="88" t="b">
        <v>0</v>
      </c>
      <c r="Y242" s="89" t="b">
        <v>1</v>
      </c>
      <c r="Z242" s="73" t="s">
        <v>832</v>
      </c>
    </row>
    <row r="243" spans="1:26" ht="119.25" customHeight="1" outlineLevel="1">
      <c r="A243" s="58">
        <v>187</v>
      </c>
      <c r="B243" s="92" t="str">
        <f>[1]트램표준체크리스트!B659</f>
        <v>건축</v>
      </c>
      <c r="C243" s="92" t="str">
        <f>[1]트램표준체크리스트!C659</f>
        <v>정거장 건축계획</v>
      </c>
      <c r="D243" s="93" t="str">
        <f>[1]트램표준체크리스트!F659</f>
        <v>광고판·자판기 공간이 방재 설비(소화전함 등)와 중첩 설계되어 화재 시 소화 설비 사용이 불가해질 방재 리스크를 검토하였는가?</v>
      </c>
      <c r="E243" s="93" t="s">
        <v>3931</v>
      </c>
      <c r="F243" s="62" t="str">
        <f t="shared" si="10"/>
        <v>하</v>
      </c>
      <c r="G243" s="63" t="s">
        <v>2668</v>
      </c>
      <c r="H243" s="63" t="s">
        <v>2674</v>
      </c>
      <c r="I243" s="199" t="s">
        <v>3932</v>
      </c>
      <c r="J243" s="139"/>
      <c r="K243" s="97"/>
      <c r="L243" s="139" t="s">
        <v>1492</v>
      </c>
      <c r="M243" s="98"/>
      <c r="N243" s="98"/>
      <c r="O243" s="98"/>
      <c r="P243" s="98"/>
      <c r="Q243" s="98"/>
      <c r="R243" s="98"/>
      <c r="S243" s="99"/>
      <c r="T243" s="98"/>
      <c r="U243" s="98"/>
      <c r="V243" s="98"/>
      <c r="W243" s="100" t="b">
        <v>0</v>
      </c>
      <c r="X243" s="100" t="b">
        <v>0</v>
      </c>
      <c r="Y243" s="101" t="b">
        <v>0</v>
      </c>
      <c r="Z243" s="96" t="s">
        <v>3930</v>
      </c>
    </row>
    <row r="244" spans="1:26" ht="119.25" customHeight="1" outlineLevel="1">
      <c r="A244" s="58">
        <v>188</v>
      </c>
      <c r="B244" s="92" t="str">
        <f>[1]트램표준체크리스트!B660</f>
        <v>건축</v>
      </c>
      <c r="C244" s="92" t="str">
        <f>[1]트램표준체크리스트!C660</f>
        <v>정거장 건축계획</v>
      </c>
      <c r="D244" s="93" t="str">
        <f>[1]트램표준체크리스트!F660</f>
        <v>대형 특화정거장 하부 구조물(주차장 등)의 상부 하중 증가 분석 및 구조안전성 보강 검토가 누락될 리스크를 검토하였는가?</v>
      </c>
      <c r="E244" s="93" t="s">
        <v>3933</v>
      </c>
      <c r="F244" s="62" t="str">
        <f t="shared" si="10"/>
        <v>하</v>
      </c>
      <c r="G244" s="63" t="s">
        <v>2668</v>
      </c>
      <c r="H244" s="63" t="s">
        <v>2674</v>
      </c>
      <c r="I244" s="199" t="s">
        <v>3934</v>
      </c>
      <c r="J244" s="139"/>
      <c r="K244" s="97"/>
      <c r="L244" s="139" t="s">
        <v>1492</v>
      </c>
      <c r="M244" s="98"/>
      <c r="N244" s="98"/>
      <c r="O244" s="98"/>
      <c r="P244" s="98"/>
      <c r="Q244" s="98"/>
      <c r="R244" s="98"/>
      <c r="S244" s="99"/>
      <c r="T244" s="98"/>
      <c r="U244" s="98"/>
      <c r="V244" s="98"/>
      <c r="W244" s="100" t="b">
        <v>0</v>
      </c>
      <c r="X244" s="100" t="b">
        <v>0</v>
      </c>
      <c r="Y244" s="101" t="b">
        <v>0</v>
      </c>
      <c r="Z244" s="96" t="s">
        <v>3935</v>
      </c>
    </row>
    <row r="245" spans="1:26" ht="119.25" customHeight="1" outlineLevel="1">
      <c r="A245" s="58">
        <v>189</v>
      </c>
      <c r="B245" s="92" t="str">
        <f>[1]트램표준체크리스트!B661</f>
        <v>건축</v>
      </c>
      <c r="C245" s="92" t="str">
        <f>[1]트램표준체크리스트!C661</f>
        <v>정거장 건축계획</v>
      </c>
      <c r="D245" s="93" t="str">
        <f>[1]트램표준체크리스트!F661</f>
        <v>대형 캐노피 등 추가 하중이 기존 지하주차장 구조 내력을 초과해 균열·붕괴를 유발할 치명적 리스크를 검토하였는가?</v>
      </c>
      <c r="E245" s="93" t="s">
        <v>3936</v>
      </c>
      <c r="F245" s="62" t="str">
        <f t="shared" si="10"/>
        <v>하</v>
      </c>
      <c r="G245" s="63" t="s">
        <v>2668</v>
      </c>
      <c r="H245" s="63" t="s">
        <v>2674</v>
      </c>
      <c r="I245" s="199" t="s">
        <v>3937</v>
      </c>
      <c r="J245" s="139"/>
      <c r="K245" s="97"/>
      <c r="L245" s="139" t="s">
        <v>1492</v>
      </c>
      <c r="M245" s="98"/>
      <c r="N245" s="98"/>
      <c r="O245" s="98"/>
      <c r="P245" s="98"/>
      <c r="Q245" s="98"/>
      <c r="R245" s="98"/>
      <c r="S245" s="99"/>
      <c r="T245" s="98"/>
      <c r="U245" s="98"/>
      <c r="V245" s="98"/>
      <c r="W245" s="100" t="b">
        <v>0</v>
      </c>
      <c r="X245" s="100" t="b">
        <v>0</v>
      </c>
      <c r="Y245" s="101" t="b">
        <v>0</v>
      </c>
      <c r="Z245" s="96" t="s">
        <v>3938</v>
      </c>
    </row>
    <row r="246" spans="1:26" ht="119.25" customHeight="1" outlineLevel="1">
      <c r="A246" s="58">
        <v>190</v>
      </c>
      <c r="B246" s="92" t="str">
        <f>[1]트램표준체크리스트!B662</f>
        <v>건축</v>
      </c>
      <c r="C246" s="92" t="str">
        <f>[1]트램표준체크리스트!C662</f>
        <v>정거장 건축계획</v>
      </c>
      <c r="D246" s="93" t="str">
        <f>[1]트램표준체크리스트!F662</f>
        <v>조립식 칸막이 내/외부 재료의 법적 방재 기준(불연/준불연) 누락으로 가연성 심재가 적용돼 화재가 확산될 리스크를 검토하였는가?</v>
      </c>
      <c r="E246" s="93" t="s">
        <v>3939</v>
      </c>
      <c r="F246" s="62" t="str">
        <f t="shared" si="10"/>
        <v>하</v>
      </c>
      <c r="G246" s="63" t="s">
        <v>2668</v>
      </c>
      <c r="H246" s="63" t="s">
        <v>2674</v>
      </c>
      <c r="I246" s="199" t="s">
        <v>3940</v>
      </c>
      <c r="J246" s="139"/>
      <c r="K246" s="97"/>
      <c r="L246" s="139" t="s">
        <v>1492</v>
      </c>
      <c r="M246" s="98"/>
      <c r="N246" s="98"/>
      <c r="O246" s="98"/>
      <c r="P246" s="98"/>
      <c r="Q246" s="98"/>
      <c r="R246" s="98"/>
      <c r="S246" s="99"/>
      <c r="T246" s="98"/>
      <c r="U246" s="98"/>
      <c r="V246" s="98"/>
      <c r="W246" s="100" t="b">
        <v>0</v>
      </c>
      <c r="X246" s="100" t="b">
        <v>0</v>
      </c>
      <c r="Y246" s="101" t="b">
        <v>0</v>
      </c>
      <c r="Z246" s="96" t="s">
        <v>3941</v>
      </c>
    </row>
    <row r="247" spans="1:26" ht="119.25" customHeight="1" outlineLevel="1">
      <c r="A247" s="58">
        <v>191</v>
      </c>
      <c r="B247" s="92" t="str">
        <f>[1]트램표준체크리스트!B663</f>
        <v>건축</v>
      </c>
      <c r="C247" s="92" t="str">
        <f>[1]트램표준체크리스트!C663</f>
        <v>정거장 건축계획</v>
      </c>
      <c r="D247" s="93" t="str">
        <f>[1]트램표준체크리스트!F663</f>
        <v>정거장 형식별 안내표지판 최소 수량 설계 누락으로 승객의 길찾기 혼선 및 환승 불편이 초래될 리스크를 검토하였는가?</v>
      </c>
      <c r="E247" s="93" t="s">
        <v>3942</v>
      </c>
      <c r="F247" s="62" t="str">
        <f t="shared" si="10"/>
        <v>하</v>
      </c>
      <c r="G247" s="63" t="s">
        <v>2668</v>
      </c>
      <c r="H247" s="63" t="s">
        <v>2674</v>
      </c>
      <c r="I247" s="199" t="s">
        <v>3943</v>
      </c>
      <c r="J247" s="139"/>
      <c r="K247" s="97"/>
      <c r="L247" s="139" t="s">
        <v>1492</v>
      </c>
      <c r="M247" s="98"/>
      <c r="N247" s="98"/>
      <c r="O247" s="98"/>
      <c r="P247" s="98"/>
      <c r="Q247" s="98"/>
      <c r="R247" s="98"/>
      <c r="S247" s="99"/>
      <c r="T247" s="98"/>
      <c r="U247" s="98"/>
      <c r="V247" s="98"/>
      <c r="W247" s="100" t="b">
        <v>0</v>
      </c>
      <c r="X247" s="100" t="b">
        <v>0</v>
      </c>
      <c r="Y247" s="101" t="b">
        <v>0</v>
      </c>
      <c r="Z247" s="96" t="s">
        <v>3941</v>
      </c>
    </row>
    <row r="248" spans="1:26" ht="119.25" customHeight="1" outlineLevel="1">
      <c r="A248" s="58">
        <v>192</v>
      </c>
      <c r="B248" s="92" t="str">
        <f>[1]트램표준체크리스트!B666</f>
        <v>건축</v>
      </c>
      <c r="C248" s="92" t="str">
        <f>[1]트램표준체크리스트!C666</f>
        <v>차량기지 검수동 건축 평면/구조 계획</v>
      </c>
      <c r="D248" s="93" t="str">
        <f>[1]트램표준체크리스트!F666</f>
        <v>내부 불필요한 기둥 배치 설계로 트램 검수 동선 방해 및 천장크레인 이동 반경 제약이 발생할 리스크를 검토하였는가?</v>
      </c>
      <c r="E248" s="93" t="s">
        <v>3948</v>
      </c>
      <c r="F248" s="62" t="str">
        <f t="shared" si="10"/>
        <v>하</v>
      </c>
      <c r="G248" s="63" t="s">
        <v>2668</v>
      </c>
      <c r="H248" s="63" t="s">
        <v>2674</v>
      </c>
      <c r="I248" s="199" t="s">
        <v>3949</v>
      </c>
      <c r="J248" s="139"/>
      <c r="K248" s="97"/>
      <c r="L248" s="139" t="s">
        <v>1492</v>
      </c>
      <c r="M248" s="98"/>
      <c r="N248" s="98"/>
      <c r="O248" s="98"/>
      <c r="P248" s="98"/>
      <c r="Q248" s="98"/>
      <c r="R248" s="98"/>
      <c r="S248" s="99"/>
      <c r="T248" s="98"/>
      <c r="U248" s="98"/>
      <c r="V248" s="98"/>
      <c r="W248" s="100" t="b">
        <v>0</v>
      </c>
      <c r="X248" s="100" t="b">
        <v>0</v>
      </c>
      <c r="Y248" s="101" t="b">
        <v>0</v>
      </c>
      <c r="Z248" s="96" t="s">
        <v>3930</v>
      </c>
    </row>
    <row r="249" spans="1:26" ht="119.25" customHeight="1" outlineLevel="1">
      <c r="A249" s="58">
        <v>193</v>
      </c>
      <c r="B249" s="92" t="str">
        <f>[1]트램표준체크리스트!B667</f>
        <v>건축</v>
      </c>
      <c r="C249" s="92" t="s">
        <v>4239</v>
      </c>
      <c r="D249" s="93" t="str">
        <f>[1]트램표준체크리스트!F667</f>
        <v>전기실·변전소 상부에 물 사용 실을 배치해, 배관 누수로 대규모 수손사고 및 트램 운행 마비가 발생할 리스크를 검토하였는가?</v>
      </c>
      <c r="E249" s="93" t="s">
        <v>3950</v>
      </c>
      <c r="F249" s="62" t="str">
        <f t="shared" si="10"/>
        <v>하</v>
      </c>
      <c r="G249" s="63" t="s">
        <v>2668</v>
      </c>
      <c r="H249" s="63" t="s">
        <v>2674</v>
      </c>
      <c r="I249" s="199" t="s">
        <v>3951</v>
      </c>
      <c r="J249" s="139"/>
      <c r="K249" s="97"/>
      <c r="L249" s="139" t="s">
        <v>1492</v>
      </c>
      <c r="M249" s="98"/>
      <c r="N249" s="98"/>
      <c r="O249" s="98"/>
      <c r="P249" s="98"/>
      <c r="Q249" s="98"/>
      <c r="R249" s="98"/>
      <c r="S249" s="99"/>
      <c r="T249" s="98"/>
      <c r="U249" s="98"/>
      <c r="V249" s="98"/>
      <c r="W249" s="100" t="b">
        <v>0</v>
      </c>
      <c r="X249" s="100" t="b">
        <v>0</v>
      </c>
      <c r="Y249" s="101" t="b">
        <v>0</v>
      </c>
      <c r="Z249" s="96" t="s">
        <v>3952</v>
      </c>
    </row>
    <row r="250" spans="1:26" ht="119.25" customHeight="1" outlineLevel="1">
      <c r="A250" s="58">
        <v>194</v>
      </c>
      <c r="B250" s="92" t="str">
        <f>[1]트램표준체크리스트!B668</f>
        <v>건축</v>
      </c>
      <c r="C250" s="92" t="str">
        <f>[1]트램표준체크리스트!C668</f>
        <v>차량기지 확장계획</v>
      </c>
      <c r="D250" s="93" t="str">
        <f>[1]트램표준체크리스트!F668</f>
        <v>장래 복합화·확장용 여유 공간 확보 및 구조적 연계 상세 누락으로 증축 시 막대한 매몰비용이 발생할 리스크를 검토하였는가?</v>
      </c>
      <c r="E250" s="93" t="s">
        <v>3953</v>
      </c>
      <c r="F250" s="62" t="str">
        <f t="shared" si="10"/>
        <v>하</v>
      </c>
      <c r="G250" s="63" t="s">
        <v>2668</v>
      </c>
      <c r="H250" s="63" t="s">
        <v>2674</v>
      </c>
      <c r="I250" s="197" t="s">
        <v>4240</v>
      </c>
      <c r="J250" s="139"/>
      <c r="K250" s="97"/>
      <c r="L250" s="139" t="s">
        <v>1492</v>
      </c>
      <c r="M250" s="98"/>
      <c r="N250" s="98"/>
      <c r="O250" s="98"/>
      <c r="P250" s="98"/>
      <c r="Q250" s="98"/>
      <c r="R250" s="98"/>
      <c r="S250" s="99"/>
      <c r="T250" s="98"/>
      <c r="U250" s="98"/>
      <c r="V250" s="98"/>
      <c r="W250" s="100" t="b">
        <v>0</v>
      </c>
      <c r="X250" s="100" t="b">
        <v>0</v>
      </c>
      <c r="Y250" s="101" t="b">
        <v>0</v>
      </c>
      <c r="Z250" s="96" t="s">
        <v>3955</v>
      </c>
    </row>
    <row r="251" spans="1:26" ht="119.25" customHeight="1" outlineLevel="1">
      <c r="A251" s="58">
        <v>195</v>
      </c>
      <c r="B251" s="92" t="str">
        <f>[1]트램표준체크리스트!B670</f>
        <v>건축</v>
      </c>
      <c r="C251" s="92" t="str">
        <f>[1]트램표준체크리스트!C670</f>
        <v>차량기지 확장계획</v>
      </c>
      <c r="D251" s="93" t="str">
        <f>[1]트램표준체크리스트!F670</f>
        <v>악세스 플로어 단차 및 구조 하중(서버랙 등) 누락으로 장비 반입 시 층고 부족 및 하중 초과 결함 리스크를 검토하였는가?</v>
      </c>
      <c r="E251" s="93" t="s">
        <v>3958</v>
      </c>
      <c r="F251" s="62" t="str">
        <f t="shared" si="10"/>
        <v>하</v>
      </c>
      <c r="G251" s="63" t="s">
        <v>2668</v>
      </c>
      <c r="H251" s="63" t="s">
        <v>2674</v>
      </c>
      <c r="I251" s="197" t="s">
        <v>3959</v>
      </c>
      <c r="J251" s="139"/>
      <c r="K251" s="97"/>
      <c r="L251" s="139" t="s">
        <v>1492</v>
      </c>
      <c r="M251" s="98"/>
      <c r="N251" s="98"/>
      <c r="O251" s="98"/>
      <c r="P251" s="98"/>
      <c r="Q251" s="98"/>
      <c r="R251" s="98"/>
      <c r="S251" s="99"/>
      <c r="T251" s="98"/>
      <c r="U251" s="98"/>
      <c r="V251" s="98"/>
      <c r="W251" s="100" t="b">
        <v>0</v>
      </c>
      <c r="X251" s="100" t="b">
        <v>0</v>
      </c>
      <c r="Y251" s="101" t="b">
        <v>0</v>
      </c>
      <c r="Z251" s="96" t="s">
        <v>3960</v>
      </c>
    </row>
    <row r="252" spans="1:26" ht="119.25" customHeight="1">
      <c r="A252" s="58">
        <v>196</v>
      </c>
      <c r="B252" s="92" t="str">
        <f>[1]트램표준체크리스트!B671</f>
        <v>건축</v>
      </c>
      <c r="C252" s="92" t="str">
        <f>[1]트램표준체크리스트!C671</f>
        <v>차량기지 확장계획</v>
      </c>
      <c r="D252" s="93" t="str">
        <f>[1]트램표준체크리스트!F671</f>
        <v>시민 체험시설 방문객 동선과 트램 입출고·검수 동선이 겹쳐, 일반 시민 안전사고 및 핵심 보안 구역 침해가 발생할 리스크를 검토하였는가?</v>
      </c>
      <c r="E252" s="93" t="s">
        <v>3961</v>
      </c>
      <c r="F252" s="62" t="str">
        <f t="shared" si="10"/>
        <v>하</v>
      </c>
      <c r="G252" s="63" t="s">
        <v>2668</v>
      </c>
      <c r="H252" s="63" t="s">
        <v>2674</v>
      </c>
      <c r="I252" s="197" t="s">
        <v>3962</v>
      </c>
      <c r="J252" s="139"/>
      <c r="K252" s="97"/>
      <c r="L252" s="139" t="s">
        <v>1492</v>
      </c>
      <c r="M252" s="98"/>
      <c r="N252" s="98"/>
      <c r="O252" s="98"/>
      <c r="P252" s="98"/>
      <c r="Q252" s="98"/>
      <c r="R252" s="98"/>
      <c r="S252" s="99"/>
      <c r="T252" s="98"/>
      <c r="U252" s="98"/>
      <c r="V252" s="98"/>
      <c r="W252" s="100" t="b">
        <v>0</v>
      </c>
      <c r="X252" s="100" t="b">
        <v>0</v>
      </c>
      <c r="Y252" s="101" t="b">
        <v>0</v>
      </c>
      <c r="Z252" s="96" t="s">
        <v>3955</v>
      </c>
    </row>
    <row r="253" spans="1:26" ht="119.25" customHeight="1">
      <c r="A253" s="58">
        <v>197</v>
      </c>
      <c r="B253" s="92" t="str">
        <f>[1]트램표준체크리스트!B672</f>
        <v>건축</v>
      </c>
      <c r="C253" s="92" t="str">
        <f>[1]트램표준체크리스트!C672</f>
        <v>차량기지 확장계획</v>
      </c>
      <c r="D253" s="93" t="str">
        <f>[1]트램표준체크리스트!F672</f>
        <v>트램 주행 및 크레인 가동에 따른 동적 진동하중 과소평가로, 운영 중 구조체 처짐 및 접합부 피로파괴가 유발될 리스크를 검토하였는가?</v>
      </c>
      <c r="E253" s="93" t="s">
        <v>3963</v>
      </c>
      <c r="F253" s="62" t="str">
        <f t="shared" si="10"/>
        <v>하</v>
      </c>
      <c r="G253" s="63" t="s">
        <v>2668</v>
      </c>
      <c r="H253" s="63" t="s">
        <v>2674</v>
      </c>
      <c r="I253" s="197" t="s">
        <v>3964</v>
      </c>
      <c r="J253" s="139"/>
      <c r="K253" s="97"/>
      <c r="L253" s="139" t="s">
        <v>1492</v>
      </c>
      <c r="M253" s="98"/>
      <c r="N253" s="98"/>
      <c r="O253" s="98"/>
      <c r="P253" s="98"/>
      <c r="Q253" s="98"/>
      <c r="R253" s="98"/>
      <c r="S253" s="99"/>
      <c r="T253" s="98"/>
      <c r="U253" s="98"/>
      <c r="V253" s="98"/>
      <c r="W253" s="100" t="b">
        <v>0</v>
      </c>
      <c r="X253" s="100" t="b">
        <v>0</v>
      </c>
      <c r="Y253" s="101" t="b">
        <v>0</v>
      </c>
      <c r="Z253" s="96" t="s">
        <v>3960</v>
      </c>
    </row>
    <row r="254" spans="1:26" ht="119.25" customHeight="1">
      <c r="A254" s="58">
        <v>198</v>
      </c>
      <c r="B254" s="92" t="str">
        <f>[1]트램표준체크리스트!B673</f>
        <v>건축</v>
      </c>
      <c r="C254" s="92" t="str">
        <f>[1]트램표준체크리스트!C673</f>
        <v>특화 디자인 및 경관계획</v>
      </c>
      <c r="D254" s="93" t="str">
        <f>[1]트램표준체크리스트!F673</f>
        <v>외관 설계가 디자인 가이드라인과 상이하게 계획되어 트램만의 정체성(Identity) 및 랜드마크 상징성이 훼손될 리스크를 검토하였는가?</v>
      </c>
      <c r="E254" s="93" t="s">
        <v>3965</v>
      </c>
      <c r="F254" s="62" t="str">
        <f t="shared" si="10"/>
        <v>하</v>
      </c>
      <c r="G254" s="63" t="s">
        <v>2668</v>
      </c>
      <c r="H254" s="63" t="s">
        <v>2674</v>
      </c>
      <c r="I254" s="197" t="s">
        <v>3966</v>
      </c>
      <c r="J254" s="139"/>
      <c r="K254" s="97"/>
      <c r="L254" s="139" t="s">
        <v>1492</v>
      </c>
      <c r="M254" s="98"/>
      <c r="N254" s="98"/>
      <c r="O254" s="98"/>
      <c r="P254" s="98"/>
      <c r="Q254" s="98"/>
      <c r="R254" s="98"/>
      <c r="S254" s="99"/>
      <c r="T254" s="98"/>
      <c r="U254" s="98"/>
      <c r="V254" s="98"/>
      <c r="W254" s="100" t="b">
        <v>0</v>
      </c>
      <c r="X254" s="100" t="b">
        <v>0</v>
      </c>
      <c r="Y254" s="101" t="b">
        <v>0</v>
      </c>
      <c r="Z254" s="96" t="s">
        <v>3967</v>
      </c>
    </row>
    <row r="255" spans="1:26" ht="119.25" customHeight="1">
      <c r="A255" s="58">
        <v>199</v>
      </c>
      <c r="B255" s="80" t="s">
        <v>1427</v>
      </c>
      <c r="C255" s="80" t="s">
        <v>1413</v>
      </c>
      <c r="D255" s="60" t="s">
        <v>1802</v>
      </c>
      <c r="E255" s="60" t="s">
        <v>1803</v>
      </c>
      <c r="F255" s="62" t="str">
        <f t="shared" si="10"/>
        <v>하</v>
      </c>
      <c r="G255" s="63" t="s">
        <v>2668</v>
      </c>
      <c r="H255" s="63" t="s">
        <v>2674</v>
      </c>
      <c r="I255" s="190" t="s">
        <v>1804</v>
      </c>
      <c r="J255" s="137" t="s">
        <v>4532</v>
      </c>
      <c r="K255" s="79"/>
      <c r="L255" s="137" t="s">
        <v>1492</v>
      </c>
      <c r="M255" s="67"/>
      <c r="N255" s="67"/>
      <c r="O255" s="67"/>
      <c r="P255" s="67"/>
      <c r="Q255" s="67"/>
      <c r="R255" s="67"/>
      <c r="S255" s="81" t="s">
        <v>1418</v>
      </c>
      <c r="T255" s="67"/>
      <c r="U255" s="67"/>
      <c r="V255" s="67"/>
      <c r="W255" s="88" t="b">
        <v>0</v>
      </c>
      <c r="X255" s="88" t="b">
        <v>1</v>
      </c>
      <c r="Y255" s="89" t="b">
        <v>1</v>
      </c>
      <c r="Z255" s="73" t="s">
        <v>1805</v>
      </c>
    </row>
    <row r="256" spans="1:26" ht="119.25" customHeight="1">
      <c r="A256" s="58">
        <v>200</v>
      </c>
      <c r="B256" s="80" t="s">
        <v>1427</v>
      </c>
      <c r="C256" s="80" t="s">
        <v>1413</v>
      </c>
      <c r="D256" s="60" t="s">
        <v>1806</v>
      </c>
      <c r="E256" s="60" t="s">
        <v>1807</v>
      </c>
      <c r="F256" s="62" t="str">
        <f t="shared" si="10"/>
        <v>하</v>
      </c>
      <c r="G256" s="63" t="s">
        <v>2668</v>
      </c>
      <c r="H256" s="63" t="s">
        <v>2674</v>
      </c>
      <c r="I256" s="190" t="s">
        <v>1808</v>
      </c>
      <c r="J256" s="137" t="s">
        <v>4532</v>
      </c>
      <c r="K256" s="79"/>
      <c r="L256" s="137" t="s">
        <v>1492</v>
      </c>
      <c r="M256" s="67"/>
      <c r="N256" s="67"/>
      <c r="O256" s="67"/>
      <c r="P256" s="67"/>
      <c r="Q256" s="67"/>
      <c r="R256" s="67"/>
      <c r="S256" s="81" t="s">
        <v>1418</v>
      </c>
      <c r="T256" s="67"/>
      <c r="U256" s="67"/>
      <c r="V256" s="67"/>
      <c r="W256" s="88" t="b">
        <v>0</v>
      </c>
      <c r="X256" s="88" t="b">
        <v>0</v>
      </c>
      <c r="Y256" s="89" t="b">
        <v>1</v>
      </c>
      <c r="Z256" s="73" t="s">
        <v>1805</v>
      </c>
    </row>
    <row r="257" spans="1:26" ht="119.25" customHeight="1">
      <c r="A257" s="58">
        <v>201</v>
      </c>
      <c r="B257" s="80" t="s">
        <v>1427</v>
      </c>
      <c r="C257" s="80" t="s">
        <v>1413</v>
      </c>
      <c r="D257" s="60" t="s">
        <v>1809</v>
      </c>
      <c r="E257" s="60" t="s">
        <v>1810</v>
      </c>
      <c r="F257" s="62" t="str">
        <f t="shared" si="10"/>
        <v>하</v>
      </c>
      <c r="G257" s="63" t="s">
        <v>2668</v>
      </c>
      <c r="H257" s="63" t="s">
        <v>2674</v>
      </c>
      <c r="I257" s="190" t="s">
        <v>1811</v>
      </c>
      <c r="J257" s="137" t="s">
        <v>4532</v>
      </c>
      <c r="K257" s="79"/>
      <c r="L257" s="137" t="s">
        <v>1492</v>
      </c>
      <c r="M257" s="67"/>
      <c r="N257" s="67"/>
      <c r="O257" s="67"/>
      <c r="P257" s="67"/>
      <c r="Q257" s="67"/>
      <c r="R257" s="67"/>
      <c r="S257" s="81" t="s">
        <v>1418</v>
      </c>
      <c r="T257" s="67"/>
      <c r="U257" s="67"/>
      <c r="V257" s="67"/>
      <c r="W257" s="88" t="b">
        <v>0</v>
      </c>
      <c r="X257" s="88" t="b">
        <v>0</v>
      </c>
      <c r="Y257" s="89" t="b">
        <v>1</v>
      </c>
      <c r="Z257" s="73" t="s">
        <v>1805</v>
      </c>
    </row>
    <row r="258" spans="1:26" ht="119.25" customHeight="1">
      <c r="A258" s="58">
        <v>202</v>
      </c>
      <c r="B258" s="80" t="s">
        <v>1427</v>
      </c>
      <c r="C258" s="80" t="s">
        <v>1413</v>
      </c>
      <c r="D258" s="60" t="s">
        <v>1812</v>
      </c>
      <c r="E258" s="60" t="s">
        <v>1813</v>
      </c>
      <c r="F258" s="62" t="str">
        <f t="shared" si="10"/>
        <v>하</v>
      </c>
      <c r="G258" s="63" t="s">
        <v>2668</v>
      </c>
      <c r="H258" s="63" t="s">
        <v>2674</v>
      </c>
      <c r="I258" s="190" t="s">
        <v>1814</v>
      </c>
      <c r="J258" s="137" t="s">
        <v>4532</v>
      </c>
      <c r="K258" s="79"/>
      <c r="L258" s="137" t="s">
        <v>1492</v>
      </c>
      <c r="M258" s="67"/>
      <c r="N258" s="67"/>
      <c r="O258" s="67"/>
      <c r="P258" s="67"/>
      <c r="Q258" s="67"/>
      <c r="R258" s="67"/>
      <c r="S258" s="81" t="s">
        <v>1418</v>
      </c>
      <c r="T258" s="67"/>
      <c r="U258" s="67"/>
      <c r="V258" s="67"/>
      <c r="W258" s="88" t="b">
        <v>0</v>
      </c>
      <c r="X258" s="88" t="b">
        <v>0</v>
      </c>
      <c r="Y258" s="89" t="b">
        <v>1</v>
      </c>
      <c r="Z258" s="73" t="s">
        <v>1805</v>
      </c>
    </row>
    <row r="259" spans="1:26" ht="119.25" customHeight="1">
      <c r="A259" s="58">
        <v>203</v>
      </c>
      <c r="B259" s="80" t="s">
        <v>1427</v>
      </c>
      <c r="C259" s="80" t="s">
        <v>1413</v>
      </c>
      <c r="D259" s="60" t="s">
        <v>1815</v>
      </c>
      <c r="E259" s="60" t="s">
        <v>1816</v>
      </c>
      <c r="F259" s="62" t="str">
        <f t="shared" si="10"/>
        <v>하</v>
      </c>
      <c r="G259" s="63" t="s">
        <v>2668</v>
      </c>
      <c r="H259" s="63" t="s">
        <v>2674</v>
      </c>
      <c r="I259" s="190" t="s">
        <v>1817</v>
      </c>
      <c r="J259" s="137" t="s">
        <v>4532</v>
      </c>
      <c r="K259" s="79"/>
      <c r="L259" s="137" t="s">
        <v>1492</v>
      </c>
      <c r="M259" s="67"/>
      <c r="N259" s="67"/>
      <c r="O259" s="67"/>
      <c r="P259" s="67"/>
      <c r="Q259" s="67"/>
      <c r="R259" s="67"/>
      <c r="S259" s="81" t="s">
        <v>1418</v>
      </c>
      <c r="T259" s="67"/>
      <c r="U259" s="67"/>
      <c r="V259" s="67"/>
      <c r="W259" s="88" t="b">
        <v>0</v>
      </c>
      <c r="X259" s="88" t="b">
        <v>0</v>
      </c>
      <c r="Y259" s="89" t="b">
        <v>1</v>
      </c>
      <c r="Z259" s="73" t="s">
        <v>1805</v>
      </c>
    </row>
    <row r="260" spans="1:26" ht="119.25" customHeight="1">
      <c r="A260" s="58">
        <v>204</v>
      </c>
      <c r="B260" s="80" t="s">
        <v>1460</v>
      </c>
      <c r="C260" s="80" t="s">
        <v>1413</v>
      </c>
      <c r="D260" s="60" t="s">
        <v>1818</v>
      </c>
      <c r="E260" s="60" t="s">
        <v>1819</v>
      </c>
      <c r="F260" s="62" t="str">
        <f t="shared" si="10"/>
        <v>하</v>
      </c>
      <c r="G260" s="63" t="s">
        <v>2668</v>
      </c>
      <c r="H260" s="63" t="s">
        <v>2674</v>
      </c>
      <c r="I260" s="190" t="s">
        <v>1820</v>
      </c>
      <c r="J260" s="137" t="s">
        <v>4532</v>
      </c>
      <c r="K260" s="79"/>
      <c r="L260" s="137" t="s">
        <v>1492</v>
      </c>
      <c r="M260" s="67"/>
      <c r="N260" s="67"/>
      <c r="O260" s="67"/>
      <c r="P260" s="67"/>
      <c r="Q260" s="67"/>
      <c r="R260" s="67"/>
      <c r="S260" s="81" t="s">
        <v>1418</v>
      </c>
      <c r="T260" s="67"/>
      <c r="U260" s="67"/>
      <c r="V260" s="67"/>
      <c r="W260" s="88" t="b">
        <v>0</v>
      </c>
      <c r="X260" s="88" t="b">
        <v>0</v>
      </c>
      <c r="Y260" s="89" t="b">
        <v>0</v>
      </c>
      <c r="Z260" s="73" t="s">
        <v>1805</v>
      </c>
    </row>
    <row r="261" spans="1:26" ht="119.25" customHeight="1">
      <c r="A261" s="58">
        <v>205</v>
      </c>
      <c r="B261" s="80" t="s">
        <v>1460</v>
      </c>
      <c r="C261" s="80" t="s">
        <v>1413</v>
      </c>
      <c r="D261" s="60" t="s">
        <v>1821</v>
      </c>
      <c r="E261" s="60" t="s">
        <v>1822</v>
      </c>
      <c r="F261" s="62" t="str">
        <f t="shared" si="10"/>
        <v>하</v>
      </c>
      <c r="G261" s="63" t="s">
        <v>2668</v>
      </c>
      <c r="H261" s="63" t="s">
        <v>2674</v>
      </c>
      <c r="I261" s="190" t="s">
        <v>1823</v>
      </c>
      <c r="J261" s="137" t="s">
        <v>4532</v>
      </c>
      <c r="K261" s="79"/>
      <c r="L261" s="137" t="s">
        <v>1492</v>
      </c>
      <c r="M261" s="67"/>
      <c r="N261" s="67"/>
      <c r="O261" s="67"/>
      <c r="P261" s="67"/>
      <c r="Q261" s="67"/>
      <c r="R261" s="67"/>
      <c r="S261" s="81" t="s">
        <v>1418</v>
      </c>
      <c r="T261" s="67"/>
      <c r="U261" s="67"/>
      <c r="V261" s="67"/>
      <c r="W261" s="88" t="b">
        <v>0</v>
      </c>
      <c r="X261" s="88" t="b">
        <v>0</v>
      </c>
      <c r="Y261" s="89" t="b">
        <v>0</v>
      </c>
      <c r="Z261" s="73" t="s">
        <v>1805</v>
      </c>
    </row>
    <row r="262" spans="1:26" ht="119.25" customHeight="1">
      <c r="A262" s="58">
        <v>206</v>
      </c>
      <c r="B262" s="80" t="s">
        <v>1420</v>
      </c>
      <c r="C262" s="80" t="s">
        <v>1413</v>
      </c>
      <c r="D262" s="60" t="s">
        <v>1824</v>
      </c>
      <c r="E262" s="60" t="s">
        <v>1825</v>
      </c>
      <c r="F262" s="62" t="str">
        <f t="shared" si="10"/>
        <v>하</v>
      </c>
      <c r="G262" s="63" t="s">
        <v>2668</v>
      </c>
      <c r="H262" s="63" t="s">
        <v>2674</v>
      </c>
      <c r="I262" s="190" t="s">
        <v>1826</v>
      </c>
      <c r="J262" s="137" t="s">
        <v>4532</v>
      </c>
      <c r="K262" s="79"/>
      <c r="L262" s="137" t="s">
        <v>1492</v>
      </c>
      <c r="M262" s="67"/>
      <c r="N262" s="67"/>
      <c r="O262" s="67"/>
      <c r="P262" s="67"/>
      <c r="Q262" s="67"/>
      <c r="R262" s="67"/>
      <c r="S262" s="81" t="s">
        <v>1418</v>
      </c>
      <c r="T262" s="67"/>
      <c r="U262" s="67"/>
      <c r="V262" s="67"/>
      <c r="W262" s="88" t="b">
        <v>0</v>
      </c>
      <c r="X262" s="88" t="b">
        <v>1</v>
      </c>
      <c r="Y262" s="89" t="b">
        <v>1</v>
      </c>
      <c r="Z262" s="73" t="s">
        <v>1805</v>
      </c>
    </row>
    <row r="263" spans="1:26" ht="119.25" customHeight="1">
      <c r="A263" s="58">
        <v>207</v>
      </c>
      <c r="B263" s="80" t="s">
        <v>1427</v>
      </c>
      <c r="C263" s="80" t="s">
        <v>1413</v>
      </c>
      <c r="D263" s="60" t="s">
        <v>1827</v>
      </c>
      <c r="E263" s="60" t="s">
        <v>1828</v>
      </c>
      <c r="F263" s="62" t="str">
        <f t="shared" si="10"/>
        <v>하</v>
      </c>
      <c r="G263" s="63" t="s">
        <v>2668</v>
      </c>
      <c r="H263" s="63" t="s">
        <v>2674</v>
      </c>
      <c r="I263" s="190" t="s">
        <v>1829</v>
      </c>
      <c r="J263" s="137" t="s">
        <v>4532</v>
      </c>
      <c r="K263" s="79"/>
      <c r="L263" s="137" t="s">
        <v>1492</v>
      </c>
      <c r="M263" s="67"/>
      <c r="N263" s="67"/>
      <c r="O263" s="67"/>
      <c r="P263" s="67"/>
      <c r="Q263" s="67"/>
      <c r="R263" s="67"/>
      <c r="S263" s="81" t="s">
        <v>1418</v>
      </c>
      <c r="T263" s="67"/>
      <c r="U263" s="67"/>
      <c r="V263" s="67"/>
      <c r="W263" s="88" t="b">
        <v>0</v>
      </c>
      <c r="X263" s="88" t="b">
        <v>1</v>
      </c>
      <c r="Y263" s="89" t="b">
        <v>1</v>
      </c>
      <c r="Z263" s="73" t="s">
        <v>1805</v>
      </c>
    </row>
    <row r="264" spans="1:26" ht="119.25" customHeight="1">
      <c r="A264" s="58">
        <v>208</v>
      </c>
      <c r="B264" s="80" t="s">
        <v>1427</v>
      </c>
      <c r="C264" s="80" t="s">
        <v>1413</v>
      </c>
      <c r="D264" s="60" t="s">
        <v>1830</v>
      </c>
      <c r="E264" s="60" t="s">
        <v>1831</v>
      </c>
      <c r="F264" s="62" t="str">
        <f t="shared" si="10"/>
        <v>하</v>
      </c>
      <c r="G264" s="63" t="s">
        <v>2668</v>
      </c>
      <c r="H264" s="63" t="s">
        <v>2674</v>
      </c>
      <c r="I264" s="190" t="s">
        <v>1832</v>
      </c>
      <c r="J264" s="137" t="s">
        <v>4532</v>
      </c>
      <c r="K264" s="79"/>
      <c r="L264" s="137" t="s">
        <v>1492</v>
      </c>
      <c r="M264" s="67"/>
      <c r="N264" s="67"/>
      <c r="O264" s="67"/>
      <c r="P264" s="67"/>
      <c r="Q264" s="67"/>
      <c r="R264" s="67"/>
      <c r="S264" s="81" t="s">
        <v>1418</v>
      </c>
      <c r="T264" s="67"/>
      <c r="U264" s="67"/>
      <c r="V264" s="67"/>
      <c r="W264" s="88" t="b">
        <v>1</v>
      </c>
      <c r="X264" s="88" t="b">
        <v>0</v>
      </c>
      <c r="Y264" s="89" t="b">
        <v>1</v>
      </c>
      <c r="Z264" s="73" t="s">
        <v>1805</v>
      </c>
    </row>
    <row r="265" spans="1:26" ht="119.25" customHeight="1">
      <c r="A265" s="58">
        <v>209</v>
      </c>
      <c r="B265" s="80" t="s">
        <v>32</v>
      </c>
      <c r="C265" s="80" t="s">
        <v>1413</v>
      </c>
      <c r="D265" s="60" t="s">
        <v>1833</v>
      </c>
      <c r="E265" s="60" t="s">
        <v>1834</v>
      </c>
      <c r="F265" s="62" t="str">
        <f t="shared" si="10"/>
        <v>하</v>
      </c>
      <c r="G265" s="63" t="s">
        <v>2668</v>
      </c>
      <c r="H265" s="63" t="s">
        <v>2674</v>
      </c>
      <c r="I265" s="190" t="s">
        <v>1835</v>
      </c>
      <c r="J265" s="137" t="s">
        <v>4532</v>
      </c>
      <c r="K265" s="79"/>
      <c r="L265" s="137" t="s">
        <v>1492</v>
      </c>
      <c r="M265" s="67"/>
      <c r="N265" s="67"/>
      <c r="O265" s="67"/>
      <c r="P265" s="67"/>
      <c r="Q265" s="67"/>
      <c r="R265" s="67"/>
      <c r="S265" s="81" t="s">
        <v>1418</v>
      </c>
      <c r="T265" s="67"/>
      <c r="U265" s="67"/>
      <c r="V265" s="67"/>
      <c r="W265" s="88" t="b">
        <v>1</v>
      </c>
      <c r="X265" s="88" t="b">
        <v>0</v>
      </c>
      <c r="Y265" s="89" t="b">
        <v>1</v>
      </c>
      <c r="Z265" s="73" t="s">
        <v>1805</v>
      </c>
    </row>
    <row r="266" spans="1:26" ht="119.25" customHeight="1">
      <c r="A266" s="58">
        <v>210</v>
      </c>
      <c r="B266" s="80" t="s">
        <v>1460</v>
      </c>
      <c r="C266" s="80" t="s">
        <v>1413</v>
      </c>
      <c r="D266" s="60" t="s">
        <v>1836</v>
      </c>
      <c r="E266" s="60" t="s">
        <v>1837</v>
      </c>
      <c r="F266" s="62" t="str">
        <f t="shared" si="10"/>
        <v>하</v>
      </c>
      <c r="G266" s="63" t="s">
        <v>2668</v>
      </c>
      <c r="H266" s="63" t="s">
        <v>2674</v>
      </c>
      <c r="I266" s="190" t="s">
        <v>1838</v>
      </c>
      <c r="J266" s="137" t="s">
        <v>4532</v>
      </c>
      <c r="K266" s="79"/>
      <c r="L266" s="137" t="s">
        <v>1492</v>
      </c>
      <c r="M266" s="67"/>
      <c r="N266" s="67"/>
      <c r="O266" s="67"/>
      <c r="P266" s="67"/>
      <c r="Q266" s="67"/>
      <c r="R266" s="67"/>
      <c r="S266" s="81" t="s">
        <v>1418</v>
      </c>
      <c r="T266" s="67"/>
      <c r="U266" s="67"/>
      <c r="V266" s="67"/>
      <c r="W266" s="88" t="b">
        <v>0</v>
      </c>
      <c r="X266" s="88" t="b">
        <v>0</v>
      </c>
      <c r="Y266" s="89" t="b">
        <v>0</v>
      </c>
      <c r="Z266" s="73" t="s">
        <v>1805</v>
      </c>
    </row>
    <row r="267" spans="1:26" ht="119.25" customHeight="1">
      <c r="A267" s="58">
        <v>211</v>
      </c>
      <c r="B267" s="80" t="s">
        <v>1427</v>
      </c>
      <c r="C267" s="80" t="s">
        <v>1413</v>
      </c>
      <c r="D267" s="60" t="s">
        <v>1839</v>
      </c>
      <c r="E267" s="60" t="s">
        <v>1840</v>
      </c>
      <c r="F267" s="62" t="str">
        <f t="shared" si="10"/>
        <v>하</v>
      </c>
      <c r="G267" s="63" t="s">
        <v>2668</v>
      </c>
      <c r="H267" s="63" t="s">
        <v>2674</v>
      </c>
      <c r="I267" s="190" t="s">
        <v>1841</v>
      </c>
      <c r="J267" s="137" t="s">
        <v>4532</v>
      </c>
      <c r="K267" s="79"/>
      <c r="L267" s="137" t="s">
        <v>1492</v>
      </c>
      <c r="M267" s="67"/>
      <c r="N267" s="67"/>
      <c r="O267" s="67"/>
      <c r="P267" s="67"/>
      <c r="Q267" s="67"/>
      <c r="R267" s="67"/>
      <c r="S267" s="81" t="s">
        <v>1418</v>
      </c>
      <c r="T267" s="67"/>
      <c r="U267" s="67"/>
      <c r="V267" s="67"/>
      <c r="W267" s="88" t="b">
        <v>0</v>
      </c>
      <c r="X267" s="88" t="b">
        <v>0</v>
      </c>
      <c r="Y267" s="89" t="b">
        <v>1</v>
      </c>
      <c r="Z267" s="73" t="s">
        <v>1805</v>
      </c>
    </row>
    <row r="268" spans="1:26" ht="119.25" customHeight="1">
      <c r="A268" s="58">
        <v>212</v>
      </c>
      <c r="B268" s="80" t="s">
        <v>1427</v>
      </c>
      <c r="C268" s="80" t="s">
        <v>1413</v>
      </c>
      <c r="D268" s="60" t="s">
        <v>1842</v>
      </c>
      <c r="E268" s="60" t="s">
        <v>1843</v>
      </c>
      <c r="F268" s="62" t="str">
        <f t="shared" si="10"/>
        <v>하</v>
      </c>
      <c r="G268" s="63" t="s">
        <v>2668</v>
      </c>
      <c r="H268" s="63" t="s">
        <v>2674</v>
      </c>
      <c r="I268" s="190" t="s">
        <v>1844</v>
      </c>
      <c r="J268" s="137" t="s">
        <v>4532</v>
      </c>
      <c r="K268" s="79"/>
      <c r="L268" s="137" t="s">
        <v>1492</v>
      </c>
      <c r="M268" s="67"/>
      <c r="N268" s="67"/>
      <c r="O268" s="67"/>
      <c r="P268" s="67"/>
      <c r="Q268" s="67"/>
      <c r="R268" s="67"/>
      <c r="S268" s="81" t="s">
        <v>1418</v>
      </c>
      <c r="T268" s="67"/>
      <c r="U268" s="67"/>
      <c r="V268" s="67"/>
      <c r="W268" s="88" t="b">
        <v>0</v>
      </c>
      <c r="X268" s="88" t="b">
        <v>0</v>
      </c>
      <c r="Y268" s="89" t="b">
        <v>1</v>
      </c>
      <c r="Z268" s="73" t="s">
        <v>1805</v>
      </c>
    </row>
    <row r="269" spans="1:26" ht="119.25" customHeight="1">
      <c r="A269" s="58">
        <v>213</v>
      </c>
      <c r="B269" s="80" t="s">
        <v>1427</v>
      </c>
      <c r="C269" s="80" t="s">
        <v>1413</v>
      </c>
      <c r="D269" s="60" t="s">
        <v>1845</v>
      </c>
      <c r="E269" s="60" t="s">
        <v>1846</v>
      </c>
      <c r="F269" s="94" t="str">
        <f t="shared" si="10"/>
        <v>하</v>
      </c>
      <c r="G269" s="63" t="s">
        <v>2668</v>
      </c>
      <c r="H269" s="63" t="s">
        <v>2674</v>
      </c>
      <c r="I269" s="190" t="s">
        <v>1847</v>
      </c>
      <c r="J269" s="137" t="s">
        <v>4532</v>
      </c>
      <c r="K269" s="79"/>
      <c r="L269" s="137" t="s">
        <v>1492</v>
      </c>
      <c r="M269" s="67"/>
      <c r="N269" s="67"/>
      <c r="O269" s="67"/>
      <c r="P269" s="67"/>
      <c r="Q269" s="67"/>
      <c r="R269" s="67"/>
      <c r="S269" s="81" t="s">
        <v>1418</v>
      </c>
      <c r="T269" s="67"/>
      <c r="U269" s="67"/>
      <c r="V269" s="67"/>
      <c r="W269" s="88" t="b">
        <v>0</v>
      </c>
      <c r="X269" s="88" t="b">
        <v>0</v>
      </c>
      <c r="Y269" s="89" t="b">
        <v>1</v>
      </c>
      <c r="Z269" s="73" t="s">
        <v>1805</v>
      </c>
    </row>
    <row r="270" spans="1:26" ht="119.25" customHeight="1">
      <c r="A270" s="58">
        <v>214</v>
      </c>
      <c r="B270" s="80" t="s">
        <v>32</v>
      </c>
      <c r="C270" s="80" t="s">
        <v>1413</v>
      </c>
      <c r="D270" s="60" t="s">
        <v>1848</v>
      </c>
      <c r="E270" s="60" t="s">
        <v>1849</v>
      </c>
      <c r="F270" s="94" t="str">
        <f t="shared" si="10"/>
        <v>하</v>
      </c>
      <c r="G270" s="63" t="s">
        <v>2668</v>
      </c>
      <c r="H270" s="63" t="s">
        <v>2674</v>
      </c>
      <c r="I270" s="190" t="s">
        <v>1850</v>
      </c>
      <c r="J270" s="137" t="s">
        <v>4532</v>
      </c>
      <c r="K270" s="79"/>
      <c r="L270" s="137" t="s">
        <v>1492</v>
      </c>
      <c r="M270" s="67"/>
      <c r="N270" s="67"/>
      <c r="O270" s="67"/>
      <c r="P270" s="67"/>
      <c r="Q270" s="67"/>
      <c r="R270" s="67"/>
      <c r="S270" s="81" t="s">
        <v>1418</v>
      </c>
      <c r="T270" s="67"/>
      <c r="U270" s="67"/>
      <c r="V270" s="67"/>
      <c r="W270" s="88" t="b">
        <v>1</v>
      </c>
      <c r="X270" s="88" t="b">
        <v>0</v>
      </c>
      <c r="Y270" s="89" t="b">
        <v>0</v>
      </c>
      <c r="Z270" s="73" t="s">
        <v>1805</v>
      </c>
    </row>
    <row r="271" spans="1:26" ht="119.25" customHeight="1">
      <c r="A271" s="58">
        <v>215</v>
      </c>
      <c r="B271" s="80" t="s">
        <v>1427</v>
      </c>
      <c r="C271" s="80" t="s">
        <v>1413</v>
      </c>
      <c r="D271" s="60" t="s">
        <v>1851</v>
      </c>
      <c r="E271" s="60" t="s">
        <v>1852</v>
      </c>
      <c r="F271" s="94" t="str">
        <f t="shared" si="10"/>
        <v>하</v>
      </c>
      <c r="G271" s="63" t="s">
        <v>2668</v>
      </c>
      <c r="H271" s="63" t="s">
        <v>2674</v>
      </c>
      <c r="I271" s="190" t="s">
        <v>1853</v>
      </c>
      <c r="J271" s="137" t="s">
        <v>4532</v>
      </c>
      <c r="K271" s="79"/>
      <c r="L271" s="137" t="s">
        <v>1492</v>
      </c>
      <c r="M271" s="67"/>
      <c r="N271" s="67"/>
      <c r="O271" s="67"/>
      <c r="P271" s="67"/>
      <c r="Q271" s="67"/>
      <c r="R271" s="67"/>
      <c r="S271" s="81" t="s">
        <v>1418</v>
      </c>
      <c r="T271" s="67"/>
      <c r="U271" s="67"/>
      <c r="V271" s="67"/>
      <c r="W271" s="88" t="b">
        <v>1</v>
      </c>
      <c r="X271" s="88" t="b">
        <v>0</v>
      </c>
      <c r="Y271" s="89" t="b">
        <v>1</v>
      </c>
      <c r="Z271" s="73" t="s">
        <v>1805</v>
      </c>
    </row>
    <row r="272" spans="1:26" ht="119.25" customHeight="1">
      <c r="A272" s="58">
        <v>216</v>
      </c>
      <c r="B272" s="80" t="s">
        <v>1427</v>
      </c>
      <c r="C272" s="80" t="s">
        <v>1413</v>
      </c>
      <c r="D272" s="60" t="s">
        <v>1854</v>
      </c>
      <c r="E272" s="60" t="s">
        <v>1855</v>
      </c>
      <c r="F272" s="94" t="str">
        <f t="shared" si="10"/>
        <v>하</v>
      </c>
      <c r="G272" s="63" t="s">
        <v>2668</v>
      </c>
      <c r="H272" s="63" t="s">
        <v>2674</v>
      </c>
      <c r="I272" s="190" t="s">
        <v>1856</v>
      </c>
      <c r="J272" s="137" t="s">
        <v>4532</v>
      </c>
      <c r="K272" s="79"/>
      <c r="L272" s="137" t="s">
        <v>1492</v>
      </c>
      <c r="M272" s="67"/>
      <c r="N272" s="67"/>
      <c r="O272" s="67"/>
      <c r="P272" s="67"/>
      <c r="Q272" s="67"/>
      <c r="R272" s="67"/>
      <c r="S272" s="81" t="s">
        <v>1418</v>
      </c>
      <c r="T272" s="67"/>
      <c r="U272" s="67"/>
      <c r="V272" s="67"/>
      <c r="W272" s="88" t="b">
        <v>0</v>
      </c>
      <c r="X272" s="88" t="b">
        <v>0</v>
      </c>
      <c r="Y272" s="89" t="b">
        <v>1</v>
      </c>
      <c r="Z272" s="73" t="s">
        <v>1805</v>
      </c>
    </row>
    <row r="273" spans="1:46" ht="119.25" customHeight="1">
      <c r="A273" s="58">
        <v>217</v>
      </c>
      <c r="B273" s="80" t="s">
        <v>1460</v>
      </c>
      <c r="C273" s="80" t="s">
        <v>1413</v>
      </c>
      <c r="D273" s="60" t="s">
        <v>1857</v>
      </c>
      <c r="E273" s="60" t="s">
        <v>1858</v>
      </c>
      <c r="F273" s="94" t="str">
        <f t="shared" si="10"/>
        <v>하</v>
      </c>
      <c r="G273" s="63" t="s">
        <v>2668</v>
      </c>
      <c r="H273" s="63" t="s">
        <v>2674</v>
      </c>
      <c r="I273" s="190" t="s">
        <v>1859</v>
      </c>
      <c r="J273" s="137" t="s">
        <v>4532</v>
      </c>
      <c r="K273" s="79"/>
      <c r="L273" s="137" t="s">
        <v>1492</v>
      </c>
      <c r="M273" s="67"/>
      <c r="N273" s="67"/>
      <c r="O273" s="67"/>
      <c r="P273" s="67"/>
      <c r="Q273" s="67"/>
      <c r="R273" s="67"/>
      <c r="S273" s="81" t="s">
        <v>1418</v>
      </c>
      <c r="T273" s="67"/>
      <c r="U273" s="67"/>
      <c r="V273" s="67"/>
      <c r="W273" s="88" t="b">
        <v>0</v>
      </c>
      <c r="X273" s="88" t="b">
        <v>0</v>
      </c>
      <c r="Y273" s="89" t="b">
        <v>1</v>
      </c>
      <c r="Z273" s="73" t="s">
        <v>1805</v>
      </c>
    </row>
    <row r="274" spans="1:46" ht="119.25" customHeight="1">
      <c r="A274" s="58">
        <v>218</v>
      </c>
      <c r="B274" s="80" t="s">
        <v>1427</v>
      </c>
      <c r="C274" s="80" t="s">
        <v>1413</v>
      </c>
      <c r="D274" s="60" t="s">
        <v>1860</v>
      </c>
      <c r="E274" s="60" t="s">
        <v>1861</v>
      </c>
      <c r="F274" s="94" t="str">
        <f t="shared" si="10"/>
        <v>하</v>
      </c>
      <c r="G274" s="63" t="s">
        <v>2668</v>
      </c>
      <c r="H274" s="63" t="s">
        <v>2674</v>
      </c>
      <c r="I274" s="190" t="s">
        <v>1862</v>
      </c>
      <c r="J274" s="137" t="s">
        <v>4532</v>
      </c>
      <c r="K274" s="79"/>
      <c r="L274" s="137" t="s">
        <v>1492</v>
      </c>
      <c r="M274" s="67"/>
      <c r="N274" s="67"/>
      <c r="O274" s="67"/>
      <c r="P274" s="67"/>
      <c r="Q274" s="67"/>
      <c r="R274" s="67"/>
      <c r="S274" s="81" t="s">
        <v>1418</v>
      </c>
      <c r="T274" s="67"/>
      <c r="U274" s="67"/>
      <c r="V274" s="67"/>
      <c r="W274" s="88" t="b">
        <v>0</v>
      </c>
      <c r="X274" s="88" t="b">
        <v>0</v>
      </c>
      <c r="Y274" s="89" t="b">
        <v>1</v>
      </c>
      <c r="Z274" s="73" t="s">
        <v>1805</v>
      </c>
    </row>
    <row r="275" spans="1:46" ht="119.25" customHeight="1">
      <c r="A275" s="58">
        <v>219</v>
      </c>
      <c r="B275" s="80" t="s">
        <v>1420</v>
      </c>
      <c r="C275" s="80" t="s">
        <v>1413</v>
      </c>
      <c r="D275" s="60" t="s">
        <v>1863</v>
      </c>
      <c r="E275" s="60" t="s">
        <v>1864</v>
      </c>
      <c r="F275" s="94" t="str">
        <f t="shared" si="10"/>
        <v>하</v>
      </c>
      <c r="G275" s="63" t="s">
        <v>2668</v>
      </c>
      <c r="H275" s="63" t="s">
        <v>2674</v>
      </c>
      <c r="I275" s="190" t="s">
        <v>1865</v>
      </c>
      <c r="J275" s="137" t="s">
        <v>4532</v>
      </c>
      <c r="K275" s="79"/>
      <c r="L275" s="137" t="s">
        <v>1492</v>
      </c>
      <c r="M275" s="67"/>
      <c r="N275" s="67"/>
      <c r="O275" s="67"/>
      <c r="P275" s="67"/>
      <c r="Q275" s="67"/>
      <c r="R275" s="67"/>
      <c r="S275" s="81" t="s">
        <v>1418</v>
      </c>
      <c r="T275" s="67"/>
      <c r="U275" s="67"/>
      <c r="V275" s="67"/>
      <c r="W275" s="88" t="b">
        <v>1</v>
      </c>
      <c r="X275" s="88" t="b">
        <v>1</v>
      </c>
      <c r="Y275" s="89" t="b">
        <v>0</v>
      </c>
      <c r="Z275" s="73" t="s">
        <v>1805</v>
      </c>
    </row>
    <row r="276" spans="1:46" ht="119.25" customHeight="1">
      <c r="A276" s="58">
        <v>220</v>
      </c>
      <c r="B276" s="80" t="s">
        <v>1460</v>
      </c>
      <c r="C276" s="80" t="s">
        <v>1413</v>
      </c>
      <c r="D276" s="60" t="s">
        <v>1866</v>
      </c>
      <c r="E276" s="60" t="s">
        <v>1867</v>
      </c>
      <c r="F276" s="94" t="str">
        <f t="shared" si="10"/>
        <v>하</v>
      </c>
      <c r="G276" s="63" t="s">
        <v>2668</v>
      </c>
      <c r="H276" s="63" t="s">
        <v>2674</v>
      </c>
      <c r="I276" s="190" t="s">
        <v>1868</v>
      </c>
      <c r="J276" s="137" t="s">
        <v>4532</v>
      </c>
      <c r="K276" s="79"/>
      <c r="L276" s="137" t="s">
        <v>1492</v>
      </c>
      <c r="M276" s="67"/>
      <c r="N276" s="67"/>
      <c r="O276" s="67"/>
      <c r="P276" s="67"/>
      <c r="Q276" s="67"/>
      <c r="R276" s="67"/>
      <c r="S276" s="81" t="s">
        <v>1418</v>
      </c>
      <c r="T276" s="67"/>
      <c r="U276" s="67"/>
      <c r="V276" s="67"/>
      <c r="W276" s="88" t="b">
        <v>0</v>
      </c>
      <c r="X276" s="88" t="b">
        <v>1</v>
      </c>
      <c r="Y276" s="89" t="b">
        <v>0</v>
      </c>
      <c r="Z276" s="73" t="s">
        <v>1805</v>
      </c>
    </row>
    <row r="277" spans="1:46" ht="119.25" customHeight="1">
      <c r="A277" s="58">
        <v>221</v>
      </c>
      <c r="B277" s="80" t="s">
        <v>1460</v>
      </c>
      <c r="C277" s="80" t="s">
        <v>1413</v>
      </c>
      <c r="D277" s="60" t="s">
        <v>1869</v>
      </c>
      <c r="E277" s="60" t="s">
        <v>1870</v>
      </c>
      <c r="F277" s="94" t="str">
        <f t="shared" si="10"/>
        <v>하</v>
      </c>
      <c r="G277" s="63" t="s">
        <v>2668</v>
      </c>
      <c r="H277" s="63" t="s">
        <v>2674</v>
      </c>
      <c r="I277" s="190" t="s">
        <v>1871</v>
      </c>
      <c r="J277" s="137" t="s">
        <v>4532</v>
      </c>
      <c r="K277" s="79"/>
      <c r="L277" s="137" t="s">
        <v>1492</v>
      </c>
      <c r="M277" s="67"/>
      <c r="N277" s="67"/>
      <c r="O277" s="67"/>
      <c r="P277" s="67"/>
      <c r="Q277" s="67"/>
      <c r="R277" s="67"/>
      <c r="S277" s="81" t="s">
        <v>1418</v>
      </c>
      <c r="T277" s="67"/>
      <c r="U277" s="67"/>
      <c r="V277" s="67"/>
      <c r="W277" s="88" t="b">
        <v>0</v>
      </c>
      <c r="X277" s="88" t="b">
        <v>0</v>
      </c>
      <c r="Y277" s="89" t="b">
        <v>0</v>
      </c>
      <c r="Z277" s="73" t="s">
        <v>1805</v>
      </c>
    </row>
    <row r="278" spans="1:46" s="134" customFormat="1" ht="103.65" customHeight="1">
      <c r="A278" s="58">
        <v>222</v>
      </c>
      <c r="B278" s="80" t="s">
        <v>1427</v>
      </c>
      <c r="C278" s="80" t="s">
        <v>1413</v>
      </c>
      <c r="D278" s="60" t="s">
        <v>1872</v>
      </c>
      <c r="E278" s="60" t="s">
        <v>1873</v>
      </c>
      <c r="F278" s="94" t="str">
        <f t="shared" si="10"/>
        <v>하</v>
      </c>
      <c r="G278" s="63" t="s">
        <v>2668</v>
      </c>
      <c r="H278" s="63" t="s">
        <v>2674</v>
      </c>
      <c r="I278" s="190" t="s">
        <v>1874</v>
      </c>
      <c r="J278" s="137" t="s">
        <v>4532</v>
      </c>
      <c r="K278" s="79"/>
      <c r="L278" s="137" t="s">
        <v>1492</v>
      </c>
      <c r="M278" s="67"/>
      <c r="N278" s="67"/>
      <c r="O278" s="67"/>
      <c r="P278" s="67"/>
      <c r="Q278" s="67"/>
      <c r="R278" s="67"/>
      <c r="S278" s="81" t="s">
        <v>1418</v>
      </c>
      <c r="T278" s="67"/>
      <c r="U278" s="67"/>
      <c r="V278" s="67"/>
      <c r="W278" s="88" t="b">
        <v>0</v>
      </c>
      <c r="X278" s="88" t="b">
        <v>0</v>
      </c>
      <c r="Y278" s="89" t="b">
        <v>1</v>
      </c>
      <c r="Z278" s="73" t="s">
        <v>1805</v>
      </c>
      <c r="AA278" s="7"/>
      <c r="AB278" s="7"/>
      <c r="AC278" s="16"/>
      <c r="AD278" s="16"/>
      <c r="AE278" s="16"/>
      <c r="AF278" s="16"/>
      <c r="AG278" s="7"/>
      <c r="AH278" s="7"/>
      <c r="AI278" s="7"/>
      <c r="AJ278" s="7"/>
      <c r="AK278" s="7"/>
      <c r="AL278" s="7"/>
      <c r="AM278" s="7"/>
      <c r="AN278" s="7"/>
      <c r="AO278" s="7"/>
      <c r="AP278" s="7"/>
      <c r="AQ278" s="7"/>
      <c r="AR278" s="7"/>
      <c r="AS278" s="7"/>
      <c r="AT278" s="7"/>
    </row>
    <row r="279" spans="1:46" ht="103.65" customHeight="1">
      <c r="A279" s="58">
        <v>223</v>
      </c>
      <c r="B279" s="80" t="s">
        <v>1427</v>
      </c>
      <c r="C279" s="80" t="s">
        <v>1413</v>
      </c>
      <c r="D279" s="60" t="s">
        <v>1875</v>
      </c>
      <c r="E279" s="60" t="s">
        <v>1876</v>
      </c>
      <c r="F279" s="94" t="str">
        <f t="shared" si="10"/>
        <v>하</v>
      </c>
      <c r="G279" s="63" t="s">
        <v>2668</v>
      </c>
      <c r="H279" s="63" t="s">
        <v>2674</v>
      </c>
      <c r="I279" s="190" t="s">
        <v>1877</v>
      </c>
      <c r="J279" s="137" t="s">
        <v>4532</v>
      </c>
      <c r="K279" s="79"/>
      <c r="L279" s="137" t="s">
        <v>1492</v>
      </c>
      <c r="M279" s="67"/>
      <c r="N279" s="67"/>
      <c r="O279" s="67"/>
      <c r="P279" s="67"/>
      <c r="Q279" s="67"/>
      <c r="R279" s="67"/>
      <c r="S279" s="81" t="s">
        <v>1418</v>
      </c>
      <c r="T279" s="67"/>
      <c r="U279" s="67"/>
      <c r="V279" s="67"/>
      <c r="W279" s="88" t="b">
        <v>0</v>
      </c>
      <c r="X279" s="88" t="b">
        <v>0</v>
      </c>
      <c r="Y279" s="89" t="b">
        <v>1</v>
      </c>
      <c r="Z279" s="73" t="s">
        <v>1805</v>
      </c>
    </row>
    <row r="280" spans="1:46" ht="119.25" customHeight="1">
      <c r="A280" s="58">
        <v>224</v>
      </c>
      <c r="B280" s="80" t="s">
        <v>1427</v>
      </c>
      <c r="C280" s="80" t="s">
        <v>1413</v>
      </c>
      <c r="D280" s="60" t="s">
        <v>1878</v>
      </c>
      <c r="E280" s="60" t="s">
        <v>1879</v>
      </c>
      <c r="F280" s="94" t="str">
        <f t="shared" si="10"/>
        <v>하</v>
      </c>
      <c r="G280" s="63" t="s">
        <v>2668</v>
      </c>
      <c r="H280" s="63" t="s">
        <v>2674</v>
      </c>
      <c r="I280" s="190" t="s">
        <v>1880</v>
      </c>
      <c r="J280" s="137" t="s">
        <v>4532</v>
      </c>
      <c r="K280" s="79"/>
      <c r="L280" s="137" t="s">
        <v>1492</v>
      </c>
      <c r="M280" s="67"/>
      <c r="N280" s="67"/>
      <c r="O280" s="67"/>
      <c r="P280" s="67"/>
      <c r="Q280" s="67"/>
      <c r="R280" s="67"/>
      <c r="S280" s="81" t="s">
        <v>1418</v>
      </c>
      <c r="T280" s="67"/>
      <c r="U280" s="67"/>
      <c r="V280" s="67"/>
      <c r="W280" s="88" t="b">
        <v>0</v>
      </c>
      <c r="X280" s="88" t="b">
        <v>1</v>
      </c>
      <c r="Y280" s="89" t="b">
        <v>1</v>
      </c>
      <c r="Z280" s="73" t="s">
        <v>1805</v>
      </c>
    </row>
    <row r="281" spans="1:46" ht="119.25" customHeight="1">
      <c r="A281" s="58">
        <v>225</v>
      </c>
      <c r="B281" s="80" t="s">
        <v>1460</v>
      </c>
      <c r="C281" s="80" t="s">
        <v>1413</v>
      </c>
      <c r="D281" s="60" t="s">
        <v>1881</v>
      </c>
      <c r="E281" s="60" t="s">
        <v>1882</v>
      </c>
      <c r="F281" s="62" t="str">
        <f t="shared" si="10"/>
        <v>하</v>
      </c>
      <c r="G281" s="63" t="s">
        <v>2668</v>
      </c>
      <c r="H281" s="63" t="s">
        <v>2674</v>
      </c>
      <c r="I281" s="190" t="s">
        <v>1883</v>
      </c>
      <c r="J281" s="137" t="s">
        <v>4532</v>
      </c>
      <c r="K281" s="79"/>
      <c r="L281" s="137" t="s">
        <v>1492</v>
      </c>
      <c r="M281" s="67"/>
      <c r="N281" s="67"/>
      <c r="O281" s="67"/>
      <c r="P281" s="67"/>
      <c r="Q281" s="67"/>
      <c r="R281" s="67"/>
      <c r="S281" s="81" t="s">
        <v>1418</v>
      </c>
      <c r="T281" s="67"/>
      <c r="U281" s="67"/>
      <c r="V281" s="67"/>
      <c r="W281" s="88" t="b">
        <v>0</v>
      </c>
      <c r="X281" s="88" t="b">
        <v>0</v>
      </c>
      <c r="Y281" s="89" t="b">
        <v>1</v>
      </c>
      <c r="Z281" s="73" t="s">
        <v>1805</v>
      </c>
    </row>
    <row r="282" spans="1:46" ht="119.25" customHeight="1">
      <c r="A282" s="58">
        <v>226</v>
      </c>
      <c r="B282" s="80" t="s">
        <v>1427</v>
      </c>
      <c r="C282" s="80" t="s">
        <v>1413</v>
      </c>
      <c r="D282" s="60" t="s">
        <v>1884</v>
      </c>
      <c r="E282" s="60" t="s">
        <v>1885</v>
      </c>
      <c r="F282" s="62" t="str">
        <f t="shared" si="10"/>
        <v>하</v>
      </c>
      <c r="G282" s="63" t="s">
        <v>2668</v>
      </c>
      <c r="H282" s="63" t="s">
        <v>2674</v>
      </c>
      <c r="I282" s="190" t="s">
        <v>1886</v>
      </c>
      <c r="J282" s="137" t="s">
        <v>4532</v>
      </c>
      <c r="K282" s="79"/>
      <c r="L282" s="137" t="s">
        <v>1492</v>
      </c>
      <c r="M282" s="67"/>
      <c r="N282" s="67"/>
      <c r="O282" s="67"/>
      <c r="P282" s="67"/>
      <c r="Q282" s="67"/>
      <c r="R282" s="67"/>
      <c r="S282" s="81" t="s">
        <v>1418</v>
      </c>
      <c r="T282" s="67"/>
      <c r="U282" s="67"/>
      <c r="V282" s="67"/>
      <c r="W282" s="88" t="b">
        <v>0</v>
      </c>
      <c r="X282" s="88" t="b">
        <v>0</v>
      </c>
      <c r="Y282" s="89" t="b">
        <v>1</v>
      </c>
      <c r="Z282" s="73" t="s">
        <v>1805</v>
      </c>
    </row>
    <row r="283" spans="1:46" ht="119.25" customHeight="1">
      <c r="A283" s="58">
        <v>227</v>
      </c>
      <c r="B283" s="80" t="s">
        <v>1427</v>
      </c>
      <c r="C283" s="80" t="s">
        <v>1413</v>
      </c>
      <c r="D283" s="60" t="s">
        <v>1887</v>
      </c>
      <c r="E283" s="60" t="s">
        <v>1888</v>
      </c>
      <c r="F283" s="62" t="str">
        <f t="shared" si="10"/>
        <v>하</v>
      </c>
      <c r="G283" s="63" t="s">
        <v>2668</v>
      </c>
      <c r="H283" s="63" t="s">
        <v>2674</v>
      </c>
      <c r="I283" s="190" t="s">
        <v>1889</v>
      </c>
      <c r="J283" s="137" t="s">
        <v>4532</v>
      </c>
      <c r="K283" s="79"/>
      <c r="L283" s="137" t="s">
        <v>1492</v>
      </c>
      <c r="M283" s="67"/>
      <c r="N283" s="67"/>
      <c r="O283" s="67"/>
      <c r="P283" s="67"/>
      <c r="Q283" s="67"/>
      <c r="R283" s="67"/>
      <c r="S283" s="81" t="s">
        <v>1418</v>
      </c>
      <c r="T283" s="67"/>
      <c r="U283" s="67"/>
      <c r="V283" s="67"/>
      <c r="W283" s="88" t="b">
        <v>0</v>
      </c>
      <c r="X283" s="88" t="b">
        <v>0</v>
      </c>
      <c r="Y283" s="89" t="b">
        <v>1</v>
      </c>
      <c r="Z283" s="73" t="s">
        <v>1805</v>
      </c>
    </row>
    <row r="284" spans="1:46" ht="119.25" customHeight="1">
      <c r="A284" s="58">
        <v>228</v>
      </c>
      <c r="B284" s="80" t="s">
        <v>1460</v>
      </c>
      <c r="C284" s="80" t="s">
        <v>1413</v>
      </c>
      <c r="D284" s="60" t="s">
        <v>1890</v>
      </c>
      <c r="E284" s="60" t="s">
        <v>1891</v>
      </c>
      <c r="F284" s="62" t="str">
        <f t="shared" si="10"/>
        <v>하</v>
      </c>
      <c r="G284" s="63" t="s">
        <v>2668</v>
      </c>
      <c r="H284" s="63" t="s">
        <v>2674</v>
      </c>
      <c r="I284" s="190" t="s">
        <v>1892</v>
      </c>
      <c r="J284" s="137" t="s">
        <v>4532</v>
      </c>
      <c r="K284" s="79"/>
      <c r="L284" s="137" t="s">
        <v>1492</v>
      </c>
      <c r="M284" s="67"/>
      <c r="N284" s="67"/>
      <c r="O284" s="67"/>
      <c r="P284" s="67"/>
      <c r="Q284" s="67"/>
      <c r="R284" s="67"/>
      <c r="S284" s="81" t="s">
        <v>1418</v>
      </c>
      <c r="T284" s="67"/>
      <c r="U284" s="67"/>
      <c r="V284" s="67"/>
      <c r="W284" s="88" t="b">
        <v>0</v>
      </c>
      <c r="X284" s="88" t="b">
        <v>1</v>
      </c>
      <c r="Y284" s="89" t="b">
        <v>0</v>
      </c>
      <c r="Z284" s="73" t="s">
        <v>1805</v>
      </c>
    </row>
    <row r="285" spans="1:46" ht="119.25" customHeight="1">
      <c r="A285" s="58">
        <v>229</v>
      </c>
      <c r="B285" s="80" t="s">
        <v>1427</v>
      </c>
      <c r="C285" s="80" t="s">
        <v>1413</v>
      </c>
      <c r="D285" s="60" t="s">
        <v>1893</v>
      </c>
      <c r="E285" s="60" t="s">
        <v>1894</v>
      </c>
      <c r="F285" s="62" t="str">
        <f t="shared" si="10"/>
        <v>하</v>
      </c>
      <c r="G285" s="63" t="s">
        <v>2668</v>
      </c>
      <c r="H285" s="63" t="s">
        <v>2674</v>
      </c>
      <c r="I285" s="190" t="s">
        <v>1895</v>
      </c>
      <c r="J285" s="137" t="s">
        <v>4532</v>
      </c>
      <c r="K285" s="79"/>
      <c r="L285" s="137" t="s">
        <v>1492</v>
      </c>
      <c r="M285" s="67"/>
      <c r="N285" s="67"/>
      <c r="O285" s="67"/>
      <c r="P285" s="67"/>
      <c r="Q285" s="67"/>
      <c r="R285" s="67"/>
      <c r="S285" s="81" t="s">
        <v>1418</v>
      </c>
      <c r="T285" s="67"/>
      <c r="U285" s="67"/>
      <c r="V285" s="67"/>
      <c r="W285" s="88" t="b">
        <v>0</v>
      </c>
      <c r="X285" s="88" t="b">
        <v>0</v>
      </c>
      <c r="Y285" s="89" t="b">
        <v>1</v>
      </c>
      <c r="Z285" s="73" t="s">
        <v>1805</v>
      </c>
    </row>
    <row r="286" spans="1:46" ht="119.25" customHeight="1">
      <c r="A286" s="58">
        <v>230</v>
      </c>
      <c r="B286" s="80" t="s">
        <v>1427</v>
      </c>
      <c r="C286" s="80" t="s">
        <v>1413</v>
      </c>
      <c r="D286" s="60" t="s">
        <v>1896</v>
      </c>
      <c r="E286" s="60" t="s">
        <v>1897</v>
      </c>
      <c r="F286" s="62" t="str">
        <f t="shared" si="10"/>
        <v>하</v>
      </c>
      <c r="G286" s="63" t="s">
        <v>2668</v>
      </c>
      <c r="H286" s="63" t="s">
        <v>2674</v>
      </c>
      <c r="I286" s="190" t="s">
        <v>1898</v>
      </c>
      <c r="J286" s="137" t="s">
        <v>4532</v>
      </c>
      <c r="K286" s="79"/>
      <c r="L286" s="137" t="s">
        <v>1492</v>
      </c>
      <c r="M286" s="67"/>
      <c r="N286" s="67"/>
      <c r="O286" s="67"/>
      <c r="P286" s="67"/>
      <c r="Q286" s="67"/>
      <c r="R286" s="67"/>
      <c r="S286" s="81" t="s">
        <v>1418</v>
      </c>
      <c r="T286" s="67"/>
      <c r="U286" s="67"/>
      <c r="V286" s="67"/>
      <c r="W286" s="88" t="b">
        <v>1</v>
      </c>
      <c r="X286" s="88" t="b">
        <v>0</v>
      </c>
      <c r="Y286" s="89" t="b">
        <v>1</v>
      </c>
      <c r="Z286" s="73" t="s">
        <v>1805</v>
      </c>
    </row>
    <row r="287" spans="1:46" ht="119.25" customHeight="1">
      <c r="A287" s="58">
        <v>231</v>
      </c>
      <c r="B287" s="80" t="s">
        <v>1427</v>
      </c>
      <c r="C287" s="80" t="s">
        <v>1413</v>
      </c>
      <c r="D287" s="60" t="s">
        <v>1899</v>
      </c>
      <c r="E287" s="60" t="s">
        <v>1900</v>
      </c>
      <c r="F287" s="62" t="str">
        <f t="shared" si="10"/>
        <v>하</v>
      </c>
      <c r="G287" s="63" t="s">
        <v>2668</v>
      </c>
      <c r="H287" s="63" t="s">
        <v>2674</v>
      </c>
      <c r="I287" s="190" t="s">
        <v>1901</v>
      </c>
      <c r="J287" s="137" t="s">
        <v>4532</v>
      </c>
      <c r="K287" s="79"/>
      <c r="L287" s="137" t="s">
        <v>1492</v>
      </c>
      <c r="M287" s="67"/>
      <c r="N287" s="67"/>
      <c r="O287" s="67"/>
      <c r="P287" s="67"/>
      <c r="Q287" s="67"/>
      <c r="R287" s="67"/>
      <c r="S287" s="81" t="s">
        <v>1418</v>
      </c>
      <c r="T287" s="67"/>
      <c r="U287" s="67"/>
      <c r="V287" s="67"/>
      <c r="W287" s="88" t="b">
        <v>0</v>
      </c>
      <c r="X287" s="88" t="b">
        <v>1</v>
      </c>
      <c r="Y287" s="89" t="b">
        <v>1</v>
      </c>
      <c r="Z287" s="73" t="s">
        <v>1805</v>
      </c>
    </row>
    <row r="288" spans="1:46" ht="119.25" customHeight="1">
      <c r="A288" s="58">
        <v>232</v>
      </c>
      <c r="B288" s="80" t="s">
        <v>1427</v>
      </c>
      <c r="C288" s="80" t="s">
        <v>1413</v>
      </c>
      <c r="D288" s="60" t="s">
        <v>1902</v>
      </c>
      <c r="E288" s="60" t="s">
        <v>1903</v>
      </c>
      <c r="F288" s="62" t="str">
        <f t="shared" ref="F288:F351" si="11">_xlfn.LET(
_xlpm.v_발생, IF(ISNUMBER(SEARCH("빈번", G288)), "상",
IF(ISNUMBER(SEARCH("거의", G288)), "하", "중")),
_xlpm.v_영향, IF(ISNUMBER(SEARCH("1개월", H288)), "상",
IF(ISNUMBER(SEARCH("없음", H288)), "하", "중")),
IF(AND(_xlpm.v_발생="상", _xlpm.v_영향="상"), "극상",
IF(OR(_xlpm.v_발생="상", _xlpm.v_영향="상"), "상",
IF(AND(_xlpm.v_발생="하", _xlpm.v_영향="하"), "하",
"중")))
)</f>
        <v>하</v>
      </c>
      <c r="G288" s="63" t="s">
        <v>2668</v>
      </c>
      <c r="H288" s="63" t="s">
        <v>2674</v>
      </c>
      <c r="I288" s="190" t="s">
        <v>1904</v>
      </c>
      <c r="J288" s="137" t="s">
        <v>4532</v>
      </c>
      <c r="K288" s="79"/>
      <c r="L288" s="137" t="s">
        <v>1492</v>
      </c>
      <c r="M288" s="67"/>
      <c r="N288" s="67"/>
      <c r="O288" s="67"/>
      <c r="P288" s="67"/>
      <c r="Q288" s="67"/>
      <c r="R288" s="67"/>
      <c r="S288" s="81" t="s">
        <v>1418</v>
      </c>
      <c r="T288" s="67"/>
      <c r="U288" s="67"/>
      <c r="V288" s="67"/>
      <c r="W288" s="88" t="b">
        <v>0</v>
      </c>
      <c r="X288" s="88" t="b">
        <v>0</v>
      </c>
      <c r="Y288" s="89" t="b">
        <v>1</v>
      </c>
      <c r="Z288" s="73" t="s">
        <v>1805</v>
      </c>
    </row>
    <row r="289" spans="1:26" ht="119.25" customHeight="1">
      <c r="A289" s="58">
        <v>233</v>
      </c>
      <c r="B289" s="80" t="s">
        <v>1427</v>
      </c>
      <c r="C289" s="80" t="s">
        <v>1413</v>
      </c>
      <c r="D289" s="60" t="s">
        <v>1905</v>
      </c>
      <c r="E289" s="60" t="s">
        <v>1906</v>
      </c>
      <c r="F289" s="62" t="str">
        <f t="shared" si="11"/>
        <v>하</v>
      </c>
      <c r="G289" s="63" t="s">
        <v>2668</v>
      </c>
      <c r="H289" s="63" t="s">
        <v>2674</v>
      </c>
      <c r="I289" s="190" t="s">
        <v>1907</v>
      </c>
      <c r="J289" s="137" t="s">
        <v>4532</v>
      </c>
      <c r="K289" s="79"/>
      <c r="L289" s="137" t="s">
        <v>1492</v>
      </c>
      <c r="M289" s="67"/>
      <c r="N289" s="67"/>
      <c r="O289" s="67"/>
      <c r="P289" s="67"/>
      <c r="Q289" s="67"/>
      <c r="R289" s="67"/>
      <c r="S289" s="81" t="s">
        <v>1418</v>
      </c>
      <c r="T289" s="67"/>
      <c r="U289" s="67"/>
      <c r="V289" s="67"/>
      <c r="W289" s="88" t="b">
        <v>0</v>
      </c>
      <c r="X289" s="88" t="b">
        <v>0</v>
      </c>
      <c r="Y289" s="89" t="b">
        <v>1</v>
      </c>
      <c r="Z289" s="73" t="s">
        <v>1805</v>
      </c>
    </row>
    <row r="290" spans="1:26" ht="119.25" customHeight="1">
      <c r="A290" s="58">
        <v>234</v>
      </c>
      <c r="B290" s="80" t="s">
        <v>1427</v>
      </c>
      <c r="C290" s="80" t="s">
        <v>1413</v>
      </c>
      <c r="D290" s="60" t="s">
        <v>1908</v>
      </c>
      <c r="E290" s="60" t="s">
        <v>1909</v>
      </c>
      <c r="F290" s="62" t="str">
        <f t="shared" si="11"/>
        <v>하</v>
      </c>
      <c r="G290" s="63" t="s">
        <v>2668</v>
      </c>
      <c r="H290" s="63" t="s">
        <v>2674</v>
      </c>
      <c r="I290" s="190" t="s">
        <v>1910</v>
      </c>
      <c r="J290" s="137" t="s">
        <v>4532</v>
      </c>
      <c r="K290" s="79"/>
      <c r="L290" s="137" t="s">
        <v>1492</v>
      </c>
      <c r="M290" s="67"/>
      <c r="N290" s="67"/>
      <c r="O290" s="67"/>
      <c r="P290" s="67"/>
      <c r="Q290" s="67"/>
      <c r="R290" s="67"/>
      <c r="S290" s="81" t="s">
        <v>1418</v>
      </c>
      <c r="T290" s="67"/>
      <c r="U290" s="67"/>
      <c r="V290" s="67"/>
      <c r="W290" s="88" t="b">
        <v>0</v>
      </c>
      <c r="X290" s="88" t="b">
        <v>0</v>
      </c>
      <c r="Y290" s="89" t="b">
        <v>1</v>
      </c>
      <c r="Z290" s="73" t="s">
        <v>1805</v>
      </c>
    </row>
    <row r="291" spans="1:26" ht="119.25" customHeight="1">
      <c r="A291" s="58">
        <v>235</v>
      </c>
      <c r="B291" s="80" t="s">
        <v>1427</v>
      </c>
      <c r="C291" s="80" t="s">
        <v>1413</v>
      </c>
      <c r="D291" s="60" t="s">
        <v>1911</v>
      </c>
      <c r="E291" s="60" t="s">
        <v>1912</v>
      </c>
      <c r="F291" s="62" t="str">
        <f t="shared" si="11"/>
        <v>하</v>
      </c>
      <c r="G291" s="63" t="s">
        <v>2668</v>
      </c>
      <c r="H291" s="63" t="s">
        <v>2674</v>
      </c>
      <c r="I291" s="190" t="s">
        <v>1913</v>
      </c>
      <c r="J291" s="137" t="s">
        <v>4532</v>
      </c>
      <c r="K291" s="79"/>
      <c r="L291" s="137" t="s">
        <v>1492</v>
      </c>
      <c r="M291" s="67"/>
      <c r="N291" s="67"/>
      <c r="O291" s="67"/>
      <c r="P291" s="67"/>
      <c r="Q291" s="67"/>
      <c r="R291" s="67"/>
      <c r="S291" s="81" t="s">
        <v>1418</v>
      </c>
      <c r="T291" s="67"/>
      <c r="U291" s="67"/>
      <c r="V291" s="67"/>
      <c r="W291" s="88" t="b">
        <v>1</v>
      </c>
      <c r="X291" s="88" t="b">
        <v>0</v>
      </c>
      <c r="Y291" s="89" t="b">
        <v>1</v>
      </c>
      <c r="Z291" s="73" t="s">
        <v>1805</v>
      </c>
    </row>
    <row r="292" spans="1:26" ht="119.25" customHeight="1">
      <c r="A292" s="58">
        <v>236</v>
      </c>
      <c r="B292" s="80" t="s">
        <v>1460</v>
      </c>
      <c r="C292" s="80" t="s">
        <v>1413</v>
      </c>
      <c r="D292" s="60" t="s">
        <v>1914</v>
      </c>
      <c r="E292" s="60" t="s">
        <v>1915</v>
      </c>
      <c r="F292" s="62" t="str">
        <f t="shared" si="11"/>
        <v>하</v>
      </c>
      <c r="G292" s="63" t="s">
        <v>2668</v>
      </c>
      <c r="H292" s="63" t="s">
        <v>2674</v>
      </c>
      <c r="I292" s="190" t="s">
        <v>1916</v>
      </c>
      <c r="J292" s="137" t="s">
        <v>4532</v>
      </c>
      <c r="K292" s="79"/>
      <c r="L292" s="137" t="s">
        <v>1492</v>
      </c>
      <c r="M292" s="67"/>
      <c r="N292" s="67"/>
      <c r="O292" s="67"/>
      <c r="P292" s="67"/>
      <c r="Q292" s="67"/>
      <c r="R292" s="67"/>
      <c r="S292" s="81" t="s">
        <v>1418</v>
      </c>
      <c r="T292" s="67"/>
      <c r="U292" s="67"/>
      <c r="V292" s="67"/>
      <c r="W292" s="88" t="b">
        <v>0</v>
      </c>
      <c r="X292" s="88" t="b">
        <v>0</v>
      </c>
      <c r="Y292" s="89" t="b">
        <v>1</v>
      </c>
      <c r="Z292" s="73" t="s">
        <v>1805</v>
      </c>
    </row>
    <row r="293" spans="1:26" ht="119.25" customHeight="1">
      <c r="A293" s="58">
        <v>237</v>
      </c>
      <c r="B293" s="80" t="s">
        <v>1427</v>
      </c>
      <c r="C293" s="80" t="s">
        <v>1413</v>
      </c>
      <c r="D293" s="60" t="s">
        <v>1917</v>
      </c>
      <c r="E293" s="60" t="s">
        <v>1918</v>
      </c>
      <c r="F293" s="62" t="str">
        <f t="shared" si="11"/>
        <v>하</v>
      </c>
      <c r="G293" s="63" t="s">
        <v>2668</v>
      </c>
      <c r="H293" s="63" t="s">
        <v>2674</v>
      </c>
      <c r="I293" s="190" t="s">
        <v>1919</v>
      </c>
      <c r="J293" s="137" t="s">
        <v>4532</v>
      </c>
      <c r="K293" s="79"/>
      <c r="L293" s="137" t="s">
        <v>1492</v>
      </c>
      <c r="M293" s="67"/>
      <c r="N293" s="67"/>
      <c r="O293" s="67"/>
      <c r="P293" s="67"/>
      <c r="Q293" s="67"/>
      <c r="R293" s="67"/>
      <c r="S293" s="81" t="s">
        <v>1418</v>
      </c>
      <c r="T293" s="67"/>
      <c r="U293" s="67"/>
      <c r="V293" s="67"/>
      <c r="W293" s="88" t="b">
        <v>0</v>
      </c>
      <c r="X293" s="88" t="b">
        <v>0</v>
      </c>
      <c r="Y293" s="89" t="b">
        <v>1</v>
      </c>
      <c r="Z293" s="73" t="s">
        <v>1805</v>
      </c>
    </row>
    <row r="294" spans="1:26" ht="119.25" customHeight="1">
      <c r="A294" s="58">
        <v>238</v>
      </c>
      <c r="B294" s="80" t="s">
        <v>1427</v>
      </c>
      <c r="C294" s="80" t="s">
        <v>1413</v>
      </c>
      <c r="D294" s="60" t="s">
        <v>1920</v>
      </c>
      <c r="E294" s="60" t="s">
        <v>1921</v>
      </c>
      <c r="F294" s="62" t="str">
        <f t="shared" si="11"/>
        <v>하</v>
      </c>
      <c r="G294" s="63" t="s">
        <v>2668</v>
      </c>
      <c r="H294" s="63" t="s">
        <v>2674</v>
      </c>
      <c r="I294" s="190" t="s">
        <v>1922</v>
      </c>
      <c r="J294" s="137" t="s">
        <v>4532</v>
      </c>
      <c r="K294" s="79"/>
      <c r="L294" s="137" t="s">
        <v>1492</v>
      </c>
      <c r="M294" s="67"/>
      <c r="N294" s="67"/>
      <c r="O294" s="67"/>
      <c r="P294" s="67"/>
      <c r="Q294" s="67"/>
      <c r="R294" s="67"/>
      <c r="S294" s="81" t="s">
        <v>1418</v>
      </c>
      <c r="T294" s="67"/>
      <c r="U294" s="67"/>
      <c r="V294" s="67"/>
      <c r="W294" s="88" t="b">
        <v>0</v>
      </c>
      <c r="X294" s="88" t="b">
        <v>0</v>
      </c>
      <c r="Y294" s="89" t="b">
        <v>1</v>
      </c>
      <c r="Z294" s="73" t="s">
        <v>1805</v>
      </c>
    </row>
    <row r="295" spans="1:26" ht="119.25" customHeight="1">
      <c r="A295" s="58">
        <v>239</v>
      </c>
      <c r="B295" s="80" t="s">
        <v>1427</v>
      </c>
      <c r="C295" s="80" t="s">
        <v>1413</v>
      </c>
      <c r="D295" s="60" t="s">
        <v>1923</v>
      </c>
      <c r="E295" s="60" t="s">
        <v>1924</v>
      </c>
      <c r="F295" s="62" t="str">
        <f t="shared" si="11"/>
        <v>하</v>
      </c>
      <c r="G295" s="63" t="s">
        <v>2668</v>
      </c>
      <c r="H295" s="63" t="s">
        <v>2674</v>
      </c>
      <c r="I295" s="190" t="s">
        <v>1925</v>
      </c>
      <c r="J295" s="137" t="s">
        <v>4532</v>
      </c>
      <c r="K295" s="79"/>
      <c r="L295" s="137" t="s">
        <v>1492</v>
      </c>
      <c r="M295" s="67"/>
      <c r="N295" s="67"/>
      <c r="O295" s="67"/>
      <c r="P295" s="67"/>
      <c r="Q295" s="67"/>
      <c r="R295" s="67"/>
      <c r="S295" s="81" t="s">
        <v>1418</v>
      </c>
      <c r="T295" s="67"/>
      <c r="U295" s="67"/>
      <c r="V295" s="67"/>
      <c r="W295" s="88" t="b">
        <v>0</v>
      </c>
      <c r="X295" s="88" t="b">
        <v>0</v>
      </c>
      <c r="Y295" s="89" t="b">
        <v>1</v>
      </c>
      <c r="Z295" s="73" t="s">
        <v>1805</v>
      </c>
    </row>
    <row r="296" spans="1:26" ht="119.25" customHeight="1">
      <c r="A296" s="58">
        <v>240</v>
      </c>
      <c r="B296" s="80" t="s">
        <v>1427</v>
      </c>
      <c r="C296" s="80" t="s">
        <v>1413</v>
      </c>
      <c r="D296" s="60" t="s">
        <v>1926</v>
      </c>
      <c r="E296" s="60" t="s">
        <v>1927</v>
      </c>
      <c r="F296" s="62" t="str">
        <f t="shared" si="11"/>
        <v>하</v>
      </c>
      <c r="G296" s="63" t="s">
        <v>2668</v>
      </c>
      <c r="H296" s="63" t="s">
        <v>2674</v>
      </c>
      <c r="I296" s="190" t="s">
        <v>1928</v>
      </c>
      <c r="J296" s="137" t="s">
        <v>4532</v>
      </c>
      <c r="K296" s="79"/>
      <c r="L296" s="137" t="s">
        <v>1492</v>
      </c>
      <c r="M296" s="67"/>
      <c r="N296" s="67"/>
      <c r="O296" s="67"/>
      <c r="P296" s="67"/>
      <c r="Q296" s="67"/>
      <c r="R296" s="67"/>
      <c r="S296" s="81" t="s">
        <v>1418</v>
      </c>
      <c r="T296" s="67"/>
      <c r="U296" s="67"/>
      <c r="V296" s="67"/>
      <c r="W296" s="88" t="b">
        <v>0</v>
      </c>
      <c r="X296" s="88" t="b">
        <v>0</v>
      </c>
      <c r="Y296" s="89" t="b">
        <v>1</v>
      </c>
      <c r="Z296" s="73" t="s">
        <v>1805</v>
      </c>
    </row>
    <row r="297" spans="1:26" ht="119.25" customHeight="1">
      <c r="A297" s="58">
        <v>241</v>
      </c>
      <c r="B297" s="80" t="s">
        <v>1427</v>
      </c>
      <c r="C297" s="80" t="s">
        <v>1413</v>
      </c>
      <c r="D297" s="60" t="s">
        <v>1929</v>
      </c>
      <c r="E297" s="60" t="s">
        <v>1930</v>
      </c>
      <c r="F297" s="62" t="str">
        <f t="shared" si="11"/>
        <v>하</v>
      </c>
      <c r="G297" s="63" t="s">
        <v>2668</v>
      </c>
      <c r="H297" s="63" t="s">
        <v>2674</v>
      </c>
      <c r="I297" s="190" t="s">
        <v>1931</v>
      </c>
      <c r="J297" s="137" t="s">
        <v>4532</v>
      </c>
      <c r="K297" s="79"/>
      <c r="L297" s="137" t="s">
        <v>1492</v>
      </c>
      <c r="M297" s="67"/>
      <c r="N297" s="67"/>
      <c r="O297" s="67"/>
      <c r="P297" s="67"/>
      <c r="Q297" s="67"/>
      <c r="R297" s="67"/>
      <c r="S297" s="81" t="s">
        <v>1418</v>
      </c>
      <c r="T297" s="67"/>
      <c r="U297" s="67"/>
      <c r="V297" s="67"/>
      <c r="W297" s="88" t="b">
        <v>0</v>
      </c>
      <c r="X297" s="88" t="b">
        <v>0</v>
      </c>
      <c r="Y297" s="89" t="b">
        <v>1</v>
      </c>
      <c r="Z297" s="73" t="s">
        <v>1805</v>
      </c>
    </row>
    <row r="298" spans="1:26" ht="119.25" customHeight="1">
      <c r="A298" s="58">
        <v>242</v>
      </c>
      <c r="B298" s="80" t="s">
        <v>1427</v>
      </c>
      <c r="C298" s="80" t="s">
        <v>1413</v>
      </c>
      <c r="D298" s="60" t="s">
        <v>1932</v>
      </c>
      <c r="E298" s="60" t="s">
        <v>1933</v>
      </c>
      <c r="F298" s="62" t="str">
        <f t="shared" si="11"/>
        <v>하</v>
      </c>
      <c r="G298" s="63" t="s">
        <v>2668</v>
      </c>
      <c r="H298" s="63" t="s">
        <v>2674</v>
      </c>
      <c r="I298" s="190" t="s">
        <v>1934</v>
      </c>
      <c r="J298" s="137" t="s">
        <v>4532</v>
      </c>
      <c r="K298" s="79"/>
      <c r="L298" s="137" t="s">
        <v>1492</v>
      </c>
      <c r="M298" s="67"/>
      <c r="N298" s="67"/>
      <c r="O298" s="67"/>
      <c r="P298" s="67"/>
      <c r="Q298" s="67"/>
      <c r="R298" s="67"/>
      <c r="S298" s="81" t="s">
        <v>1418</v>
      </c>
      <c r="T298" s="67"/>
      <c r="U298" s="67"/>
      <c r="V298" s="67"/>
      <c r="W298" s="88" t="b">
        <v>1</v>
      </c>
      <c r="X298" s="88" t="b">
        <v>0</v>
      </c>
      <c r="Y298" s="89" t="b">
        <v>1</v>
      </c>
      <c r="Z298" s="73" t="s">
        <v>1805</v>
      </c>
    </row>
    <row r="299" spans="1:26" ht="119.25" customHeight="1">
      <c r="A299" s="58">
        <v>243</v>
      </c>
      <c r="B299" s="80" t="s">
        <v>1460</v>
      </c>
      <c r="C299" s="80" t="s">
        <v>1413</v>
      </c>
      <c r="D299" s="60" t="s">
        <v>1935</v>
      </c>
      <c r="E299" s="60" t="s">
        <v>1936</v>
      </c>
      <c r="F299" s="62" t="str">
        <f t="shared" si="11"/>
        <v>하</v>
      </c>
      <c r="G299" s="63" t="s">
        <v>2668</v>
      </c>
      <c r="H299" s="63" t="s">
        <v>2674</v>
      </c>
      <c r="I299" s="190" t="s">
        <v>1937</v>
      </c>
      <c r="J299" s="137" t="s">
        <v>4532</v>
      </c>
      <c r="K299" s="79"/>
      <c r="L299" s="137" t="s">
        <v>1492</v>
      </c>
      <c r="M299" s="67"/>
      <c r="N299" s="67"/>
      <c r="O299" s="67"/>
      <c r="P299" s="67"/>
      <c r="Q299" s="67"/>
      <c r="R299" s="67"/>
      <c r="S299" s="81" t="s">
        <v>1418</v>
      </c>
      <c r="T299" s="67"/>
      <c r="U299" s="67"/>
      <c r="V299" s="67"/>
      <c r="W299" s="88" t="b">
        <v>0</v>
      </c>
      <c r="X299" s="88" t="b">
        <v>0</v>
      </c>
      <c r="Y299" s="89" t="b">
        <v>0</v>
      </c>
      <c r="Z299" s="73" t="s">
        <v>1805</v>
      </c>
    </row>
    <row r="300" spans="1:26" ht="119.25" customHeight="1">
      <c r="A300" s="58">
        <v>244</v>
      </c>
      <c r="B300" s="80" t="s">
        <v>1427</v>
      </c>
      <c r="C300" s="80" t="s">
        <v>1413</v>
      </c>
      <c r="D300" s="60" t="s">
        <v>1938</v>
      </c>
      <c r="E300" s="60" t="s">
        <v>1939</v>
      </c>
      <c r="F300" s="62" t="str">
        <f t="shared" si="11"/>
        <v>하</v>
      </c>
      <c r="G300" s="63" t="s">
        <v>2668</v>
      </c>
      <c r="H300" s="63" t="s">
        <v>2674</v>
      </c>
      <c r="I300" s="190" t="s">
        <v>1940</v>
      </c>
      <c r="J300" s="137" t="s">
        <v>4532</v>
      </c>
      <c r="K300" s="79"/>
      <c r="L300" s="137" t="s">
        <v>1492</v>
      </c>
      <c r="M300" s="67"/>
      <c r="N300" s="67"/>
      <c r="O300" s="67"/>
      <c r="P300" s="67"/>
      <c r="Q300" s="67"/>
      <c r="R300" s="67"/>
      <c r="S300" s="81" t="s">
        <v>1418</v>
      </c>
      <c r="T300" s="67"/>
      <c r="U300" s="67"/>
      <c r="V300" s="67"/>
      <c r="W300" s="88" t="b">
        <v>0</v>
      </c>
      <c r="X300" s="88" t="b">
        <v>0</v>
      </c>
      <c r="Y300" s="89" t="b">
        <v>1</v>
      </c>
      <c r="Z300" s="73" t="s">
        <v>1805</v>
      </c>
    </row>
    <row r="301" spans="1:26" ht="119.25" customHeight="1">
      <c r="A301" s="58">
        <v>245</v>
      </c>
      <c r="B301" s="80" t="s">
        <v>1427</v>
      </c>
      <c r="C301" s="80" t="s">
        <v>1413</v>
      </c>
      <c r="D301" s="60" t="s">
        <v>1941</v>
      </c>
      <c r="E301" s="60" t="s">
        <v>1942</v>
      </c>
      <c r="F301" s="62" t="str">
        <f t="shared" si="11"/>
        <v>하</v>
      </c>
      <c r="G301" s="63" t="s">
        <v>2668</v>
      </c>
      <c r="H301" s="63" t="s">
        <v>2674</v>
      </c>
      <c r="I301" s="190" t="s">
        <v>1943</v>
      </c>
      <c r="J301" s="137" t="s">
        <v>4532</v>
      </c>
      <c r="K301" s="79"/>
      <c r="L301" s="137" t="s">
        <v>1492</v>
      </c>
      <c r="M301" s="67"/>
      <c r="N301" s="67"/>
      <c r="O301" s="67"/>
      <c r="P301" s="67"/>
      <c r="Q301" s="67"/>
      <c r="R301" s="67"/>
      <c r="S301" s="81" t="s">
        <v>1418</v>
      </c>
      <c r="T301" s="67"/>
      <c r="U301" s="67"/>
      <c r="V301" s="67"/>
      <c r="W301" s="88" t="b">
        <v>0</v>
      </c>
      <c r="X301" s="88" t="b">
        <v>0</v>
      </c>
      <c r="Y301" s="89" t="b">
        <v>1</v>
      </c>
      <c r="Z301" s="73" t="s">
        <v>1805</v>
      </c>
    </row>
    <row r="302" spans="1:26" ht="119.25" customHeight="1">
      <c r="A302" s="58">
        <v>246</v>
      </c>
      <c r="B302" s="80" t="s">
        <v>1427</v>
      </c>
      <c r="C302" s="80" t="s">
        <v>1413</v>
      </c>
      <c r="D302" s="60" t="s">
        <v>1944</v>
      </c>
      <c r="E302" s="60" t="s">
        <v>1945</v>
      </c>
      <c r="F302" s="62" t="str">
        <f t="shared" si="11"/>
        <v>하</v>
      </c>
      <c r="G302" s="63" t="s">
        <v>2668</v>
      </c>
      <c r="H302" s="63" t="s">
        <v>2674</v>
      </c>
      <c r="I302" s="190" t="s">
        <v>1946</v>
      </c>
      <c r="J302" s="137" t="s">
        <v>4532</v>
      </c>
      <c r="K302" s="79"/>
      <c r="L302" s="137" t="s">
        <v>1492</v>
      </c>
      <c r="M302" s="67"/>
      <c r="N302" s="67"/>
      <c r="O302" s="67"/>
      <c r="P302" s="67"/>
      <c r="Q302" s="67"/>
      <c r="R302" s="67"/>
      <c r="S302" s="81" t="s">
        <v>1418</v>
      </c>
      <c r="T302" s="67"/>
      <c r="U302" s="67"/>
      <c r="V302" s="67"/>
      <c r="W302" s="88" t="b">
        <v>0</v>
      </c>
      <c r="X302" s="88" t="b">
        <v>0</v>
      </c>
      <c r="Y302" s="89" t="b">
        <v>1</v>
      </c>
      <c r="Z302" s="73" t="s">
        <v>1805</v>
      </c>
    </row>
    <row r="303" spans="1:26" ht="119.25" customHeight="1">
      <c r="A303" s="58">
        <v>247</v>
      </c>
      <c r="B303" s="80" t="s">
        <v>1460</v>
      </c>
      <c r="C303" s="80" t="s">
        <v>1413</v>
      </c>
      <c r="D303" s="60" t="s">
        <v>1947</v>
      </c>
      <c r="E303" s="60" t="s">
        <v>1948</v>
      </c>
      <c r="F303" s="62" t="str">
        <f t="shared" si="11"/>
        <v>하</v>
      </c>
      <c r="G303" s="63" t="s">
        <v>2668</v>
      </c>
      <c r="H303" s="63" t="s">
        <v>2674</v>
      </c>
      <c r="I303" s="190" t="s">
        <v>1949</v>
      </c>
      <c r="J303" s="137" t="s">
        <v>4532</v>
      </c>
      <c r="K303" s="79"/>
      <c r="L303" s="137" t="s">
        <v>1492</v>
      </c>
      <c r="M303" s="67"/>
      <c r="N303" s="67"/>
      <c r="O303" s="67"/>
      <c r="P303" s="67"/>
      <c r="Q303" s="67"/>
      <c r="R303" s="67"/>
      <c r="S303" s="81" t="s">
        <v>1418</v>
      </c>
      <c r="T303" s="67"/>
      <c r="U303" s="67"/>
      <c r="V303" s="67"/>
      <c r="W303" s="88" t="b">
        <v>0</v>
      </c>
      <c r="X303" s="88" t="b">
        <v>0</v>
      </c>
      <c r="Y303" s="89" t="b">
        <v>0</v>
      </c>
      <c r="Z303" s="73" t="s">
        <v>1805</v>
      </c>
    </row>
    <row r="304" spans="1:26" ht="119.25" customHeight="1">
      <c r="A304" s="58">
        <v>248</v>
      </c>
      <c r="B304" s="80" t="s">
        <v>1427</v>
      </c>
      <c r="C304" s="80" t="s">
        <v>1413</v>
      </c>
      <c r="D304" s="60" t="s">
        <v>1950</v>
      </c>
      <c r="E304" s="60" t="s">
        <v>1951</v>
      </c>
      <c r="F304" s="62" t="str">
        <f t="shared" si="11"/>
        <v>하</v>
      </c>
      <c r="G304" s="63" t="s">
        <v>2668</v>
      </c>
      <c r="H304" s="63" t="s">
        <v>2674</v>
      </c>
      <c r="I304" s="190" t="s">
        <v>1952</v>
      </c>
      <c r="J304" s="137" t="s">
        <v>4532</v>
      </c>
      <c r="K304" s="79"/>
      <c r="L304" s="137" t="s">
        <v>1492</v>
      </c>
      <c r="M304" s="67"/>
      <c r="N304" s="67"/>
      <c r="O304" s="67"/>
      <c r="P304" s="67"/>
      <c r="Q304" s="67"/>
      <c r="R304" s="67"/>
      <c r="S304" s="81" t="s">
        <v>1418</v>
      </c>
      <c r="T304" s="67"/>
      <c r="U304" s="67"/>
      <c r="V304" s="67"/>
      <c r="W304" s="88" t="b">
        <v>0</v>
      </c>
      <c r="X304" s="88" t="b">
        <v>0</v>
      </c>
      <c r="Y304" s="89" t="b">
        <v>1</v>
      </c>
      <c r="Z304" s="73" t="s">
        <v>1805</v>
      </c>
    </row>
    <row r="305" spans="1:26" ht="119.25" customHeight="1">
      <c r="A305" s="58">
        <v>249</v>
      </c>
      <c r="B305" s="80" t="s">
        <v>1460</v>
      </c>
      <c r="C305" s="80" t="s">
        <v>1413</v>
      </c>
      <c r="D305" s="60" t="s">
        <v>1953</v>
      </c>
      <c r="E305" s="60" t="s">
        <v>1954</v>
      </c>
      <c r="F305" s="62" t="str">
        <f t="shared" si="11"/>
        <v>하</v>
      </c>
      <c r="G305" s="63" t="s">
        <v>2668</v>
      </c>
      <c r="H305" s="63" t="s">
        <v>2674</v>
      </c>
      <c r="I305" s="190" t="s">
        <v>1955</v>
      </c>
      <c r="J305" s="137" t="s">
        <v>4532</v>
      </c>
      <c r="K305" s="79"/>
      <c r="L305" s="137" t="s">
        <v>1492</v>
      </c>
      <c r="M305" s="67"/>
      <c r="N305" s="67"/>
      <c r="O305" s="67"/>
      <c r="P305" s="67"/>
      <c r="Q305" s="67"/>
      <c r="R305" s="67"/>
      <c r="S305" s="81" t="s">
        <v>1418</v>
      </c>
      <c r="T305" s="67"/>
      <c r="U305" s="67"/>
      <c r="V305" s="67"/>
      <c r="W305" s="88" t="b">
        <v>0</v>
      </c>
      <c r="X305" s="88" t="b">
        <v>0</v>
      </c>
      <c r="Y305" s="89" t="b">
        <v>0</v>
      </c>
      <c r="Z305" s="73" t="s">
        <v>1805</v>
      </c>
    </row>
    <row r="306" spans="1:26" ht="119.25" customHeight="1">
      <c r="A306" s="58">
        <v>250</v>
      </c>
      <c r="B306" s="80" t="s">
        <v>1427</v>
      </c>
      <c r="C306" s="80" t="s">
        <v>1413</v>
      </c>
      <c r="D306" s="60" t="s">
        <v>1956</v>
      </c>
      <c r="E306" s="60" t="s">
        <v>1957</v>
      </c>
      <c r="F306" s="62" t="str">
        <f t="shared" si="11"/>
        <v>하</v>
      </c>
      <c r="G306" s="63" t="s">
        <v>2668</v>
      </c>
      <c r="H306" s="63" t="s">
        <v>2674</v>
      </c>
      <c r="I306" s="190" t="s">
        <v>1958</v>
      </c>
      <c r="J306" s="137" t="s">
        <v>4532</v>
      </c>
      <c r="K306" s="79"/>
      <c r="L306" s="137" t="s">
        <v>1492</v>
      </c>
      <c r="M306" s="67"/>
      <c r="N306" s="67"/>
      <c r="O306" s="67"/>
      <c r="P306" s="67"/>
      <c r="Q306" s="67"/>
      <c r="R306" s="67"/>
      <c r="S306" s="81" t="s">
        <v>1418</v>
      </c>
      <c r="T306" s="67"/>
      <c r="U306" s="67"/>
      <c r="V306" s="67"/>
      <c r="W306" s="88" t="b">
        <v>0</v>
      </c>
      <c r="X306" s="88" t="b">
        <v>0</v>
      </c>
      <c r="Y306" s="89" t="b">
        <v>1</v>
      </c>
      <c r="Z306" s="73" t="s">
        <v>1805</v>
      </c>
    </row>
    <row r="307" spans="1:26" ht="119.25" customHeight="1">
      <c r="A307" s="58">
        <v>251</v>
      </c>
      <c r="B307" s="80" t="s">
        <v>1427</v>
      </c>
      <c r="C307" s="80" t="s">
        <v>1413</v>
      </c>
      <c r="D307" s="60" t="s">
        <v>1959</v>
      </c>
      <c r="E307" s="60" t="s">
        <v>1960</v>
      </c>
      <c r="F307" s="62" t="str">
        <f t="shared" si="11"/>
        <v>하</v>
      </c>
      <c r="G307" s="63" t="s">
        <v>2668</v>
      </c>
      <c r="H307" s="63" t="s">
        <v>2674</v>
      </c>
      <c r="I307" s="190" t="s">
        <v>1961</v>
      </c>
      <c r="J307" s="137" t="s">
        <v>4532</v>
      </c>
      <c r="K307" s="79"/>
      <c r="L307" s="137" t="s">
        <v>1492</v>
      </c>
      <c r="M307" s="67"/>
      <c r="N307" s="67"/>
      <c r="O307" s="67"/>
      <c r="P307" s="67"/>
      <c r="Q307" s="67"/>
      <c r="R307" s="67"/>
      <c r="S307" s="81" t="s">
        <v>1418</v>
      </c>
      <c r="T307" s="67"/>
      <c r="U307" s="67"/>
      <c r="V307" s="67"/>
      <c r="W307" s="88" t="b">
        <v>0</v>
      </c>
      <c r="X307" s="88" t="b">
        <v>1</v>
      </c>
      <c r="Y307" s="89" t="b">
        <v>1</v>
      </c>
      <c r="Z307" s="73" t="s">
        <v>1805</v>
      </c>
    </row>
    <row r="308" spans="1:26" ht="119.25" customHeight="1">
      <c r="A308" s="58">
        <v>252</v>
      </c>
      <c r="B308" s="80" t="s">
        <v>1427</v>
      </c>
      <c r="C308" s="80" t="s">
        <v>1413</v>
      </c>
      <c r="D308" s="60" t="s">
        <v>1962</v>
      </c>
      <c r="E308" s="60" t="s">
        <v>1963</v>
      </c>
      <c r="F308" s="62" t="str">
        <f t="shared" si="11"/>
        <v>하</v>
      </c>
      <c r="G308" s="63" t="s">
        <v>2668</v>
      </c>
      <c r="H308" s="63" t="s">
        <v>2674</v>
      </c>
      <c r="I308" s="190" t="s">
        <v>1964</v>
      </c>
      <c r="J308" s="137" t="s">
        <v>4532</v>
      </c>
      <c r="K308" s="79"/>
      <c r="L308" s="137" t="s">
        <v>1492</v>
      </c>
      <c r="M308" s="67"/>
      <c r="N308" s="67"/>
      <c r="O308" s="67"/>
      <c r="P308" s="67"/>
      <c r="Q308" s="67"/>
      <c r="R308" s="67"/>
      <c r="S308" s="81" t="s">
        <v>1418</v>
      </c>
      <c r="T308" s="67"/>
      <c r="U308" s="67"/>
      <c r="V308" s="67"/>
      <c r="W308" s="88" t="b">
        <v>0</v>
      </c>
      <c r="X308" s="88" t="b">
        <v>0</v>
      </c>
      <c r="Y308" s="89" t="b">
        <v>1</v>
      </c>
      <c r="Z308" s="73" t="s">
        <v>1805</v>
      </c>
    </row>
    <row r="309" spans="1:26" ht="119.25" customHeight="1">
      <c r="A309" s="58">
        <v>253</v>
      </c>
      <c r="B309" s="80" t="s">
        <v>1427</v>
      </c>
      <c r="C309" s="80" t="s">
        <v>1413</v>
      </c>
      <c r="D309" s="60" t="s">
        <v>1965</v>
      </c>
      <c r="E309" s="60" t="s">
        <v>1966</v>
      </c>
      <c r="F309" s="62" t="str">
        <f t="shared" si="11"/>
        <v>하</v>
      </c>
      <c r="G309" s="63" t="s">
        <v>2668</v>
      </c>
      <c r="H309" s="63" t="s">
        <v>2674</v>
      </c>
      <c r="I309" s="190" t="s">
        <v>1967</v>
      </c>
      <c r="J309" s="137" t="s">
        <v>4532</v>
      </c>
      <c r="K309" s="79"/>
      <c r="L309" s="137" t="s">
        <v>1492</v>
      </c>
      <c r="M309" s="67"/>
      <c r="N309" s="67"/>
      <c r="O309" s="67"/>
      <c r="P309" s="67"/>
      <c r="Q309" s="67"/>
      <c r="R309" s="67"/>
      <c r="S309" s="81" t="s">
        <v>1418</v>
      </c>
      <c r="T309" s="67"/>
      <c r="U309" s="67"/>
      <c r="V309" s="67"/>
      <c r="W309" s="88" t="b">
        <v>0</v>
      </c>
      <c r="X309" s="88" t="b">
        <v>0</v>
      </c>
      <c r="Y309" s="89" t="b">
        <v>1</v>
      </c>
      <c r="Z309" s="73" t="s">
        <v>1805</v>
      </c>
    </row>
    <row r="310" spans="1:26" ht="119.25" customHeight="1">
      <c r="A310" s="58">
        <v>254</v>
      </c>
      <c r="B310" s="80" t="s">
        <v>1427</v>
      </c>
      <c r="C310" s="80" t="s">
        <v>1413</v>
      </c>
      <c r="D310" s="60" t="s">
        <v>1968</v>
      </c>
      <c r="E310" s="60" t="s">
        <v>1969</v>
      </c>
      <c r="F310" s="62" t="str">
        <f t="shared" si="11"/>
        <v>하</v>
      </c>
      <c r="G310" s="63" t="s">
        <v>2668</v>
      </c>
      <c r="H310" s="63" t="s">
        <v>2674</v>
      </c>
      <c r="I310" s="190" t="s">
        <v>1970</v>
      </c>
      <c r="J310" s="137" t="s">
        <v>4532</v>
      </c>
      <c r="K310" s="79"/>
      <c r="L310" s="137" t="s">
        <v>1492</v>
      </c>
      <c r="M310" s="67"/>
      <c r="N310" s="67"/>
      <c r="O310" s="67"/>
      <c r="P310" s="67"/>
      <c r="Q310" s="67"/>
      <c r="R310" s="67"/>
      <c r="S310" s="81" t="s">
        <v>1418</v>
      </c>
      <c r="T310" s="67"/>
      <c r="U310" s="67"/>
      <c r="V310" s="67"/>
      <c r="W310" s="88" t="b">
        <v>0</v>
      </c>
      <c r="X310" s="88" t="b">
        <v>0</v>
      </c>
      <c r="Y310" s="89" t="b">
        <v>1</v>
      </c>
      <c r="Z310" s="73" t="s">
        <v>1805</v>
      </c>
    </row>
    <row r="311" spans="1:26" ht="119.25" customHeight="1">
      <c r="A311" s="58">
        <v>255</v>
      </c>
      <c r="B311" s="80" t="s">
        <v>1427</v>
      </c>
      <c r="C311" s="80" t="s">
        <v>1413</v>
      </c>
      <c r="D311" s="60" t="s">
        <v>1971</v>
      </c>
      <c r="E311" s="60" t="s">
        <v>1972</v>
      </c>
      <c r="F311" s="62" t="str">
        <f t="shared" si="11"/>
        <v>하</v>
      </c>
      <c r="G311" s="63" t="s">
        <v>2668</v>
      </c>
      <c r="H311" s="63" t="s">
        <v>2674</v>
      </c>
      <c r="I311" s="190" t="s">
        <v>1973</v>
      </c>
      <c r="J311" s="137" t="s">
        <v>4532</v>
      </c>
      <c r="K311" s="79"/>
      <c r="L311" s="137" t="s">
        <v>1492</v>
      </c>
      <c r="M311" s="67"/>
      <c r="N311" s="67"/>
      <c r="O311" s="67"/>
      <c r="P311" s="67"/>
      <c r="Q311" s="67"/>
      <c r="R311" s="67"/>
      <c r="S311" s="81" t="s">
        <v>1418</v>
      </c>
      <c r="T311" s="67"/>
      <c r="U311" s="67"/>
      <c r="V311" s="67"/>
      <c r="W311" s="88" t="b">
        <v>0</v>
      </c>
      <c r="X311" s="88" t="b">
        <v>0</v>
      </c>
      <c r="Y311" s="89" t="b">
        <v>1</v>
      </c>
      <c r="Z311" s="73" t="s">
        <v>1805</v>
      </c>
    </row>
    <row r="312" spans="1:26" ht="119.25" customHeight="1">
      <c r="A312" s="58">
        <v>256</v>
      </c>
      <c r="B312" s="80" t="s">
        <v>1427</v>
      </c>
      <c r="C312" s="80" t="s">
        <v>1413</v>
      </c>
      <c r="D312" s="60" t="s">
        <v>1974</v>
      </c>
      <c r="E312" s="60" t="s">
        <v>1975</v>
      </c>
      <c r="F312" s="62" t="str">
        <f t="shared" si="11"/>
        <v>하</v>
      </c>
      <c r="G312" s="63" t="s">
        <v>2668</v>
      </c>
      <c r="H312" s="63" t="s">
        <v>2674</v>
      </c>
      <c r="I312" s="190" t="s">
        <v>1976</v>
      </c>
      <c r="J312" s="137" t="s">
        <v>4532</v>
      </c>
      <c r="K312" s="79"/>
      <c r="L312" s="137" t="s">
        <v>1492</v>
      </c>
      <c r="M312" s="67"/>
      <c r="N312" s="67"/>
      <c r="O312" s="67"/>
      <c r="P312" s="67"/>
      <c r="Q312" s="67"/>
      <c r="R312" s="67"/>
      <c r="S312" s="81" t="s">
        <v>1418</v>
      </c>
      <c r="T312" s="67"/>
      <c r="U312" s="67"/>
      <c r="V312" s="67"/>
      <c r="W312" s="88" t="b">
        <v>0</v>
      </c>
      <c r="X312" s="88" t="b">
        <v>0</v>
      </c>
      <c r="Y312" s="89" t="b">
        <v>1</v>
      </c>
      <c r="Z312" s="73" t="s">
        <v>1805</v>
      </c>
    </row>
    <row r="313" spans="1:26" ht="119.25" customHeight="1">
      <c r="A313" s="58">
        <v>257</v>
      </c>
      <c r="B313" s="80" t="s">
        <v>1427</v>
      </c>
      <c r="C313" s="80" t="s">
        <v>1413</v>
      </c>
      <c r="D313" s="60" t="s">
        <v>1977</v>
      </c>
      <c r="E313" s="60" t="s">
        <v>1978</v>
      </c>
      <c r="F313" s="62" t="str">
        <f t="shared" si="11"/>
        <v>하</v>
      </c>
      <c r="G313" s="63" t="s">
        <v>2668</v>
      </c>
      <c r="H313" s="63" t="s">
        <v>2674</v>
      </c>
      <c r="I313" s="190" t="s">
        <v>1979</v>
      </c>
      <c r="J313" s="137" t="s">
        <v>4532</v>
      </c>
      <c r="K313" s="79"/>
      <c r="L313" s="137" t="s">
        <v>1492</v>
      </c>
      <c r="M313" s="67"/>
      <c r="N313" s="67"/>
      <c r="O313" s="67"/>
      <c r="P313" s="67"/>
      <c r="Q313" s="67"/>
      <c r="R313" s="67"/>
      <c r="S313" s="81" t="s">
        <v>1418</v>
      </c>
      <c r="T313" s="67"/>
      <c r="U313" s="67"/>
      <c r="V313" s="67"/>
      <c r="W313" s="88" t="b">
        <v>0</v>
      </c>
      <c r="X313" s="88" t="b">
        <v>1</v>
      </c>
      <c r="Y313" s="89" t="b">
        <v>1</v>
      </c>
      <c r="Z313" s="73" t="s">
        <v>1805</v>
      </c>
    </row>
    <row r="314" spans="1:26" ht="119.25" customHeight="1">
      <c r="A314" s="58">
        <v>258</v>
      </c>
      <c r="B314" s="80" t="s">
        <v>1427</v>
      </c>
      <c r="C314" s="80" t="s">
        <v>1413</v>
      </c>
      <c r="D314" s="60" t="s">
        <v>1980</v>
      </c>
      <c r="E314" s="60" t="s">
        <v>1981</v>
      </c>
      <c r="F314" s="62" t="str">
        <f t="shared" si="11"/>
        <v>하</v>
      </c>
      <c r="G314" s="63" t="s">
        <v>2668</v>
      </c>
      <c r="H314" s="63" t="s">
        <v>2674</v>
      </c>
      <c r="I314" s="190" t="s">
        <v>1982</v>
      </c>
      <c r="J314" s="137" t="s">
        <v>4532</v>
      </c>
      <c r="K314" s="79"/>
      <c r="L314" s="137" t="s">
        <v>1492</v>
      </c>
      <c r="M314" s="67"/>
      <c r="N314" s="67"/>
      <c r="O314" s="67"/>
      <c r="P314" s="67"/>
      <c r="Q314" s="67"/>
      <c r="R314" s="67"/>
      <c r="S314" s="81" t="s">
        <v>1418</v>
      </c>
      <c r="T314" s="67"/>
      <c r="U314" s="67"/>
      <c r="V314" s="67"/>
      <c r="W314" s="88" t="b">
        <v>0</v>
      </c>
      <c r="X314" s="88" t="b">
        <v>0</v>
      </c>
      <c r="Y314" s="89" t="b">
        <v>1</v>
      </c>
      <c r="Z314" s="73" t="s">
        <v>1805</v>
      </c>
    </row>
    <row r="315" spans="1:26" ht="119.25" customHeight="1">
      <c r="A315" s="58">
        <v>259</v>
      </c>
      <c r="B315" s="80" t="s">
        <v>1460</v>
      </c>
      <c r="C315" s="80" t="s">
        <v>1413</v>
      </c>
      <c r="D315" s="60" t="s">
        <v>1983</v>
      </c>
      <c r="E315" s="60" t="s">
        <v>1984</v>
      </c>
      <c r="F315" s="62" t="str">
        <f t="shared" si="11"/>
        <v>하</v>
      </c>
      <c r="G315" s="63" t="s">
        <v>2668</v>
      </c>
      <c r="H315" s="63" t="s">
        <v>2674</v>
      </c>
      <c r="I315" s="190" t="s">
        <v>1985</v>
      </c>
      <c r="J315" s="137" t="s">
        <v>4532</v>
      </c>
      <c r="K315" s="79"/>
      <c r="L315" s="137" t="s">
        <v>1492</v>
      </c>
      <c r="M315" s="67"/>
      <c r="N315" s="67"/>
      <c r="O315" s="67"/>
      <c r="P315" s="67"/>
      <c r="Q315" s="67"/>
      <c r="R315" s="67"/>
      <c r="S315" s="81" t="s">
        <v>1418</v>
      </c>
      <c r="T315" s="67"/>
      <c r="U315" s="67"/>
      <c r="V315" s="67"/>
      <c r="W315" s="88" t="b">
        <v>0</v>
      </c>
      <c r="X315" s="88" t="b">
        <v>0</v>
      </c>
      <c r="Y315" s="89" t="b">
        <v>1</v>
      </c>
      <c r="Z315" s="73" t="s">
        <v>1591</v>
      </c>
    </row>
    <row r="316" spans="1:26" ht="119.25" customHeight="1">
      <c r="A316" s="58">
        <v>260</v>
      </c>
      <c r="B316" s="80" t="s">
        <v>1460</v>
      </c>
      <c r="C316" s="80" t="s">
        <v>1413</v>
      </c>
      <c r="D316" s="60" t="s">
        <v>1986</v>
      </c>
      <c r="E316" s="60" t="s">
        <v>1987</v>
      </c>
      <c r="F316" s="62" t="str">
        <f t="shared" si="11"/>
        <v>하</v>
      </c>
      <c r="G316" s="63" t="s">
        <v>2668</v>
      </c>
      <c r="H316" s="63" t="s">
        <v>2674</v>
      </c>
      <c r="I316" s="190" t="s">
        <v>1988</v>
      </c>
      <c r="J316" s="137" t="s">
        <v>4532</v>
      </c>
      <c r="K316" s="79"/>
      <c r="L316" s="137" t="s">
        <v>1492</v>
      </c>
      <c r="M316" s="67"/>
      <c r="N316" s="67"/>
      <c r="O316" s="67"/>
      <c r="P316" s="67"/>
      <c r="Q316" s="67"/>
      <c r="R316" s="67"/>
      <c r="S316" s="81" t="s">
        <v>1418</v>
      </c>
      <c r="T316" s="67"/>
      <c r="U316" s="67"/>
      <c r="V316" s="67"/>
      <c r="W316" s="88" t="b">
        <v>0</v>
      </c>
      <c r="X316" s="88" t="b">
        <v>0</v>
      </c>
      <c r="Y316" s="89" t="b">
        <v>1</v>
      </c>
      <c r="Z316" s="73" t="s">
        <v>671</v>
      </c>
    </row>
    <row r="317" spans="1:26" ht="119.25" customHeight="1">
      <c r="A317" s="58">
        <v>261</v>
      </c>
      <c r="B317" s="80" t="s">
        <v>1460</v>
      </c>
      <c r="C317" s="80" t="s">
        <v>1413</v>
      </c>
      <c r="D317" s="60" t="s">
        <v>1989</v>
      </c>
      <c r="E317" s="60" t="s">
        <v>1990</v>
      </c>
      <c r="F317" s="62" t="str">
        <f t="shared" si="11"/>
        <v>하</v>
      </c>
      <c r="G317" s="63" t="s">
        <v>2668</v>
      </c>
      <c r="H317" s="63" t="s">
        <v>2674</v>
      </c>
      <c r="I317" s="190" t="s">
        <v>1991</v>
      </c>
      <c r="J317" s="137" t="s">
        <v>4532</v>
      </c>
      <c r="K317" s="79"/>
      <c r="L317" s="137" t="s">
        <v>1492</v>
      </c>
      <c r="M317" s="67"/>
      <c r="N317" s="67"/>
      <c r="O317" s="67"/>
      <c r="P317" s="67"/>
      <c r="Q317" s="67"/>
      <c r="R317" s="67"/>
      <c r="S317" s="81" t="s">
        <v>1418</v>
      </c>
      <c r="T317" s="67"/>
      <c r="U317" s="67"/>
      <c r="V317" s="67"/>
      <c r="W317" s="88" t="b">
        <v>0</v>
      </c>
      <c r="X317" s="88" t="b">
        <v>0</v>
      </c>
      <c r="Y317" s="89" t="b">
        <v>1</v>
      </c>
      <c r="Z317" s="73" t="s">
        <v>469</v>
      </c>
    </row>
    <row r="318" spans="1:26" ht="119.25" customHeight="1">
      <c r="A318" s="58">
        <v>262</v>
      </c>
      <c r="B318" s="80" t="s">
        <v>1460</v>
      </c>
      <c r="C318" s="80" t="s">
        <v>1413</v>
      </c>
      <c r="D318" s="60" t="s">
        <v>1992</v>
      </c>
      <c r="E318" s="60" t="s">
        <v>1993</v>
      </c>
      <c r="F318" s="62" t="str">
        <f t="shared" si="11"/>
        <v>하</v>
      </c>
      <c r="G318" s="63" t="s">
        <v>2668</v>
      </c>
      <c r="H318" s="63" t="s">
        <v>2674</v>
      </c>
      <c r="I318" s="190" t="s">
        <v>1994</v>
      </c>
      <c r="J318" s="137" t="s">
        <v>4532</v>
      </c>
      <c r="K318" s="79"/>
      <c r="L318" s="137" t="s">
        <v>1492</v>
      </c>
      <c r="M318" s="67"/>
      <c r="N318" s="67"/>
      <c r="O318" s="67"/>
      <c r="P318" s="67"/>
      <c r="Q318" s="67"/>
      <c r="R318" s="67"/>
      <c r="S318" s="81" t="s">
        <v>1418</v>
      </c>
      <c r="T318" s="67"/>
      <c r="U318" s="67"/>
      <c r="V318" s="67"/>
      <c r="W318" s="88" t="b">
        <v>0</v>
      </c>
      <c r="X318" s="88" t="b">
        <v>0</v>
      </c>
      <c r="Y318" s="89" t="b">
        <v>1</v>
      </c>
      <c r="Z318" s="73" t="s">
        <v>689</v>
      </c>
    </row>
    <row r="319" spans="1:26" ht="119.25" customHeight="1">
      <c r="A319" s="58">
        <v>263</v>
      </c>
      <c r="B319" s="80" t="s">
        <v>1460</v>
      </c>
      <c r="C319" s="80" t="s">
        <v>1413</v>
      </c>
      <c r="D319" s="60" t="s">
        <v>1995</v>
      </c>
      <c r="E319" s="60" t="s">
        <v>1996</v>
      </c>
      <c r="F319" s="62" t="str">
        <f t="shared" si="11"/>
        <v>하</v>
      </c>
      <c r="G319" s="63" t="s">
        <v>2668</v>
      </c>
      <c r="H319" s="63" t="s">
        <v>2674</v>
      </c>
      <c r="I319" s="190" t="s">
        <v>1997</v>
      </c>
      <c r="J319" s="137" t="s">
        <v>4532</v>
      </c>
      <c r="K319" s="79"/>
      <c r="L319" s="137" t="s">
        <v>1492</v>
      </c>
      <c r="M319" s="67"/>
      <c r="N319" s="67"/>
      <c r="O319" s="67"/>
      <c r="P319" s="67"/>
      <c r="Q319" s="67"/>
      <c r="R319" s="67"/>
      <c r="S319" s="81" t="s">
        <v>1418</v>
      </c>
      <c r="T319" s="67"/>
      <c r="U319" s="67"/>
      <c r="V319" s="67"/>
      <c r="W319" s="88" t="b">
        <v>0</v>
      </c>
      <c r="X319" s="88" t="b">
        <v>0</v>
      </c>
      <c r="Y319" s="89" t="b">
        <v>1</v>
      </c>
      <c r="Z319" s="73" t="s">
        <v>1557</v>
      </c>
    </row>
    <row r="320" spans="1:26" ht="119.25" customHeight="1">
      <c r="A320" s="58">
        <v>264</v>
      </c>
      <c r="B320" s="80" t="s">
        <v>1460</v>
      </c>
      <c r="C320" s="80" t="s">
        <v>1413</v>
      </c>
      <c r="D320" s="60" t="s">
        <v>1998</v>
      </c>
      <c r="E320" s="60" t="s">
        <v>1999</v>
      </c>
      <c r="F320" s="62" t="str">
        <f t="shared" si="11"/>
        <v>하</v>
      </c>
      <c r="G320" s="63" t="s">
        <v>2668</v>
      </c>
      <c r="H320" s="63" t="s">
        <v>2674</v>
      </c>
      <c r="I320" s="190" t="s">
        <v>2000</v>
      </c>
      <c r="J320" s="137" t="s">
        <v>4532</v>
      </c>
      <c r="K320" s="79"/>
      <c r="L320" s="137" t="s">
        <v>1492</v>
      </c>
      <c r="M320" s="67"/>
      <c r="N320" s="67"/>
      <c r="O320" s="67"/>
      <c r="P320" s="67"/>
      <c r="Q320" s="67"/>
      <c r="R320" s="67"/>
      <c r="S320" s="81" t="s">
        <v>1418</v>
      </c>
      <c r="T320" s="67"/>
      <c r="U320" s="67"/>
      <c r="V320" s="67"/>
      <c r="W320" s="88" t="b">
        <v>0</v>
      </c>
      <c r="X320" s="88" t="b">
        <v>0</v>
      </c>
      <c r="Y320" s="89" t="b">
        <v>1</v>
      </c>
      <c r="Z320" s="73" t="s">
        <v>692</v>
      </c>
    </row>
    <row r="321" spans="1:46" ht="119.25" customHeight="1">
      <c r="A321" s="58">
        <v>265</v>
      </c>
      <c r="B321" s="80" t="s">
        <v>1460</v>
      </c>
      <c r="C321" s="80" t="s">
        <v>1413</v>
      </c>
      <c r="D321" s="60" t="s">
        <v>2001</v>
      </c>
      <c r="E321" s="60" t="s">
        <v>666</v>
      </c>
      <c r="F321" s="62" t="str">
        <f t="shared" si="11"/>
        <v>하</v>
      </c>
      <c r="G321" s="63" t="s">
        <v>2668</v>
      </c>
      <c r="H321" s="63" t="s">
        <v>2674</v>
      </c>
      <c r="I321" s="190" t="s">
        <v>667</v>
      </c>
      <c r="J321" s="137" t="s">
        <v>4532</v>
      </c>
      <c r="K321" s="79"/>
      <c r="L321" s="137" t="s">
        <v>1492</v>
      </c>
      <c r="M321" s="67"/>
      <c r="N321" s="67"/>
      <c r="O321" s="67"/>
      <c r="P321" s="67"/>
      <c r="Q321" s="67"/>
      <c r="R321" s="67"/>
      <c r="S321" s="81" t="s">
        <v>1418</v>
      </c>
      <c r="T321" s="67"/>
      <c r="U321" s="67"/>
      <c r="V321" s="67"/>
      <c r="W321" s="88" t="b">
        <v>0</v>
      </c>
      <c r="X321" s="88" t="b">
        <v>0</v>
      </c>
      <c r="Y321" s="89" t="b">
        <v>1</v>
      </c>
      <c r="Z321" s="73" t="s">
        <v>668</v>
      </c>
    </row>
    <row r="322" spans="1:46" ht="119.25" customHeight="1">
      <c r="A322" s="58">
        <v>266</v>
      </c>
      <c r="B322" s="80" t="s">
        <v>1460</v>
      </c>
      <c r="C322" s="80" t="s">
        <v>1413</v>
      </c>
      <c r="D322" s="60" t="s">
        <v>2002</v>
      </c>
      <c r="E322" s="60" t="s">
        <v>669</v>
      </c>
      <c r="F322" s="62" t="str">
        <f t="shared" si="11"/>
        <v>하</v>
      </c>
      <c r="G322" s="63" t="s">
        <v>2668</v>
      </c>
      <c r="H322" s="63" t="s">
        <v>2674</v>
      </c>
      <c r="I322" s="190" t="s">
        <v>670</v>
      </c>
      <c r="J322" s="137" t="s">
        <v>4532</v>
      </c>
      <c r="K322" s="79"/>
      <c r="L322" s="137" t="s">
        <v>1492</v>
      </c>
      <c r="M322" s="67"/>
      <c r="N322" s="67"/>
      <c r="O322" s="67"/>
      <c r="P322" s="67"/>
      <c r="Q322" s="67"/>
      <c r="R322" s="67"/>
      <c r="S322" s="81" t="s">
        <v>1418</v>
      </c>
      <c r="T322" s="67"/>
      <c r="U322" s="67"/>
      <c r="V322" s="67"/>
      <c r="W322" s="88" t="b">
        <v>0</v>
      </c>
      <c r="X322" s="88" t="b">
        <v>0</v>
      </c>
      <c r="Y322" s="89" t="b">
        <v>1</v>
      </c>
      <c r="Z322" s="73" t="s">
        <v>671</v>
      </c>
    </row>
    <row r="323" spans="1:46" ht="119.25" customHeight="1">
      <c r="A323" s="58">
        <v>267</v>
      </c>
      <c r="B323" s="80" t="s">
        <v>1460</v>
      </c>
      <c r="C323" s="80" t="s">
        <v>1413</v>
      </c>
      <c r="D323" s="60" t="s">
        <v>2003</v>
      </c>
      <c r="E323" s="60" t="s">
        <v>672</v>
      </c>
      <c r="F323" s="62" t="str">
        <f t="shared" si="11"/>
        <v>하</v>
      </c>
      <c r="G323" s="63" t="s">
        <v>2668</v>
      </c>
      <c r="H323" s="63" t="s">
        <v>2674</v>
      </c>
      <c r="I323" s="190" t="s">
        <v>673</v>
      </c>
      <c r="J323" s="137" t="s">
        <v>4532</v>
      </c>
      <c r="K323" s="79"/>
      <c r="L323" s="137" t="s">
        <v>1492</v>
      </c>
      <c r="M323" s="67"/>
      <c r="N323" s="67"/>
      <c r="O323" s="67"/>
      <c r="P323" s="67"/>
      <c r="Q323" s="67"/>
      <c r="R323" s="67"/>
      <c r="S323" s="81" t="s">
        <v>1418</v>
      </c>
      <c r="T323" s="67"/>
      <c r="U323" s="67"/>
      <c r="V323" s="67"/>
      <c r="W323" s="88" t="b">
        <v>0</v>
      </c>
      <c r="X323" s="88" t="b">
        <v>0</v>
      </c>
      <c r="Y323" s="89" t="b">
        <v>1</v>
      </c>
      <c r="Z323" s="73" t="s">
        <v>398</v>
      </c>
    </row>
    <row r="324" spans="1:46" s="134" customFormat="1" ht="119.25" customHeight="1">
      <c r="A324" s="58">
        <v>268</v>
      </c>
      <c r="B324" s="80" t="s">
        <v>1460</v>
      </c>
      <c r="C324" s="80" t="s">
        <v>1413</v>
      </c>
      <c r="D324" s="60" t="s">
        <v>2004</v>
      </c>
      <c r="E324" s="60" t="s">
        <v>674</v>
      </c>
      <c r="F324" s="62" t="str">
        <f t="shared" si="11"/>
        <v>하</v>
      </c>
      <c r="G324" s="63" t="s">
        <v>2668</v>
      </c>
      <c r="H324" s="63" t="s">
        <v>2674</v>
      </c>
      <c r="I324" s="190" t="s">
        <v>675</v>
      </c>
      <c r="J324" s="137" t="s">
        <v>4532</v>
      </c>
      <c r="K324" s="79"/>
      <c r="L324" s="137" t="s">
        <v>1492</v>
      </c>
      <c r="M324" s="67"/>
      <c r="N324" s="67"/>
      <c r="O324" s="67"/>
      <c r="P324" s="67"/>
      <c r="Q324" s="67"/>
      <c r="R324" s="67"/>
      <c r="S324" s="81" t="s">
        <v>1418</v>
      </c>
      <c r="T324" s="67"/>
      <c r="U324" s="67"/>
      <c r="V324" s="67"/>
      <c r="W324" s="88" t="b">
        <v>0</v>
      </c>
      <c r="X324" s="88" t="b">
        <v>0</v>
      </c>
      <c r="Y324" s="89" t="b">
        <v>1</v>
      </c>
      <c r="Z324" s="73" t="s">
        <v>398</v>
      </c>
      <c r="AA324" s="7"/>
      <c r="AB324" s="7"/>
      <c r="AC324" s="16"/>
      <c r="AD324" s="16"/>
      <c r="AE324" s="16"/>
      <c r="AF324" s="16"/>
      <c r="AG324" s="7"/>
      <c r="AH324" s="7"/>
      <c r="AI324" s="7"/>
      <c r="AJ324" s="7"/>
      <c r="AK324" s="7"/>
      <c r="AL324" s="7"/>
      <c r="AM324" s="7"/>
      <c r="AN324" s="7"/>
      <c r="AO324" s="7"/>
      <c r="AP324" s="7"/>
      <c r="AQ324" s="7"/>
      <c r="AR324" s="7"/>
      <c r="AS324" s="7"/>
      <c r="AT324" s="7"/>
    </row>
    <row r="325" spans="1:46" s="134" customFormat="1" ht="119.25" customHeight="1">
      <c r="A325" s="58">
        <v>269</v>
      </c>
      <c r="B325" s="80" t="s">
        <v>1460</v>
      </c>
      <c r="C325" s="80" t="s">
        <v>1413</v>
      </c>
      <c r="D325" s="60" t="s">
        <v>2005</v>
      </c>
      <c r="E325" s="60" t="s">
        <v>676</v>
      </c>
      <c r="F325" s="62" t="str">
        <f t="shared" si="11"/>
        <v>하</v>
      </c>
      <c r="G325" s="63" t="s">
        <v>2668</v>
      </c>
      <c r="H325" s="63" t="s">
        <v>2674</v>
      </c>
      <c r="I325" s="190" t="s">
        <v>677</v>
      </c>
      <c r="J325" s="137" t="s">
        <v>4532</v>
      </c>
      <c r="K325" s="79"/>
      <c r="L325" s="137" t="s">
        <v>1492</v>
      </c>
      <c r="M325" s="67"/>
      <c r="N325" s="67"/>
      <c r="O325" s="67"/>
      <c r="P325" s="67"/>
      <c r="Q325" s="67"/>
      <c r="R325" s="67"/>
      <c r="S325" s="81" t="s">
        <v>1418</v>
      </c>
      <c r="T325" s="67"/>
      <c r="U325" s="67"/>
      <c r="V325" s="67"/>
      <c r="W325" s="88" t="b">
        <v>0</v>
      </c>
      <c r="X325" s="88" t="b">
        <v>0</v>
      </c>
      <c r="Y325" s="89" t="b">
        <v>1</v>
      </c>
      <c r="Z325" s="73" t="s">
        <v>678</v>
      </c>
      <c r="AA325" s="7"/>
      <c r="AB325" s="7"/>
      <c r="AC325" s="16"/>
      <c r="AD325" s="16"/>
      <c r="AE325" s="16"/>
      <c r="AF325" s="16"/>
      <c r="AG325" s="7"/>
      <c r="AH325" s="7"/>
      <c r="AI325" s="7"/>
      <c r="AJ325" s="7"/>
      <c r="AK325" s="7"/>
      <c r="AL325" s="7"/>
      <c r="AM325" s="7"/>
      <c r="AN325" s="7"/>
      <c r="AO325" s="7"/>
      <c r="AP325" s="7"/>
      <c r="AQ325" s="7"/>
      <c r="AR325" s="7"/>
      <c r="AS325" s="7"/>
      <c r="AT325" s="7"/>
    </row>
    <row r="326" spans="1:46" s="134" customFormat="1" ht="119.25" customHeight="1">
      <c r="A326" s="58">
        <v>270</v>
      </c>
      <c r="B326" s="80" t="s">
        <v>1460</v>
      </c>
      <c r="C326" s="80" t="s">
        <v>1413</v>
      </c>
      <c r="D326" s="60" t="s">
        <v>2006</v>
      </c>
      <c r="E326" s="60" t="s">
        <v>679</v>
      </c>
      <c r="F326" s="62" t="str">
        <f t="shared" si="11"/>
        <v>하</v>
      </c>
      <c r="G326" s="63" t="s">
        <v>2668</v>
      </c>
      <c r="H326" s="63" t="s">
        <v>2674</v>
      </c>
      <c r="I326" s="190" t="s">
        <v>680</v>
      </c>
      <c r="J326" s="137" t="s">
        <v>4532</v>
      </c>
      <c r="K326" s="79"/>
      <c r="L326" s="137" t="s">
        <v>1492</v>
      </c>
      <c r="M326" s="67"/>
      <c r="N326" s="67"/>
      <c r="O326" s="67"/>
      <c r="P326" s="67"/>
      <c r="Q326" s="67"/>
      <c r="R326" s="67"/>
      <c r="S326" s="81" t="s">
        <v>1418</v>
      </c>
      <c r="T326" s="67"/>
      <c r="U326" s="67"/>
      <c r="V326" s="67"/>
      <c r="W326" s="88" t="b">
        <v>0</v>
      </c>
      <c r="X326" s="88" t="b">
        <v>0</v>
      </c>
      <c r="Y326" s="89" t="b">
        <v>1</v>
      </c>
      <c r="Z326" s="73" t="s">
        <v>681</v>
      </c>
      <c r="AA326" s="7"/>
      <c r="AB326" s="7"/>
      <c r="AC326" s="16"/>
      <c r="AD326" s="16"/>
      <c r="AE326" s="16"/>
      <c r="AF326" s="16"/>
      <c r="AG326" s="7"/>
      <c r="AH326" s="7"/>
      <c r="AI326" s="7"/>
      <c r="AJ326" s="7"/>
      <c r="AK326" s="7"/>
      <c r="AL326" s="7"/>
      <c r="AM326" s="7"/>
      <c r="AN326" s="7"/>
      <c r="AO326" s="7"/>
      <c r="AP326" s="7"/>
      <c r="AQ326" s="7"/>
      <c r="AR326" s="7"/>
      <c r="AS326" s="7"/>
      <c r="AT326" s="7"/>
    </row>
    <row r="327" spans="1:46" s="134" customFormat="1" ht="119.25" customHeight="1">
      <c r="A327" s="58">
        <v>271</v>
      </c>
      <c r="B327" s="80" t="s">
        <v>1460</v>
      </c>
      <c r="C327" s="80" t="s">
        <v>1413</v>
      </c>
      <c r="D327" s="60" t="s">
        <v>2007</v>
      </c>
      <c r="E327" s="60" t="s">
        <v>682</v>
      </c>
      <c r="F327" s="62" t="str">
        <f t="shared" si="11"/>
        <v>하</v>
      </c>
      <c r="G327" s="63" t="s">
        <v>2668</v>
      </c>
      <c r="H327" s="63" t="s">
        <v>2674</v>
      </c>
      <c r="I327" s="190" t="s">
        <v>683</v>
      </c>
      <c r="J327" s="137" t="s">
        <v>4532</v>
      </c>
      <c r="K327" s="79"/>
      <c r="L327" s="137" t="s">
        <v>1492</v>
      </c>
      <c r="M327" s="67"/>
      <c r="N327" s="67"/>
      <c r="O327" s="67"/>
      <c r="P327" s="67"/>
      <c r="Q327" s="67"/>
      <c r="R327" s="67"/>
      <c r="S327" s="81" t="s">
        <v>1418</v>
      </c>
      <c r="T327" s="67"/>
      <c r="U327" s="67"/>
      <c r="V327" s="67"/>
      <c r="W327" s="88" t="b">
        <v>0</v>
      </c>
      <c r="X327" s="88" t="b">
        <v>0</v>
      </c>
      <c r="Y327" s="89" t="b">
        <v>1</v>
      </c>
      <c r="Z327" s="73" t="s">
        <v>684</v>
      </c>
      <c r="AA327" s="7"/>
      <c r="AB327" s="7"/>
      <c r="AC327" s="16"/>
      <c r="AD327" s="16"/>
      <c r="AE327" s="16"/>
      <c r="AF327" s="16"/>
      <c r="AG327" s="7"/>
      <c r="AH327" s="7"/>
      <c r="AI327" s="7"/>
      <c r="AJ327" s="7"/>
      <c r="AK327" s="7"/>
      <c r="AL327" s="7"/>
      <c r="AM327" s="7"/>
      <c r="AN327" s="7"/>
      <c r="AO327" s="7"/>
      <c r="AP327" s="7"/>
      <c r="AQ327" s="7"/>
      <c r="AR327" s="7"/>
      <c r="AS327" s="7"/>
      <c r="AT327" s="7"/>
    </row>
    <row r="328" spans="1:46" s="134" customFormat="1" ht="119.25" customHeight="1">
      <c r="A328" s="58">
        <v>272</v>
      </c>
      <c r="B328" s="122" t="s">
        <v>1427</v>
      </c>
      <c r="C328" s="122" t="s">
        <v>2726</v>
      </c>
      <c r="D328" s="124" t="s">
        <v>1494</v>
      </c>
      <c r="E328" s="124" t="s">
        <v>1495</v>
      </c>
      <c r="F328" s="62" t="str">
        <f t="shared" si="11"/>
        <v>하</v>
      </c>
      <c r="G328" s="126" t="s">
        <v>2668</v>
      </c>
      <c r="H328" s="126" t="s">
        <v>2674</v>
      </c>
      <c r="I328" s="124" t="s">
        <v>1496</v>
      </c>
      <c r="J328" s="137" t="s">
        <v>4532</v>
      </c>
      <c r="K328" s="149"/>
      <c r="L328" s="141" t="s">
        <v>1492</v>
      </c>
      <c r="M328" s="141"/>
      <c r="N328" s="141"/>
      <c r="O328" s="141"/>
      <c r="P328" s="141"/>
      <c r="Q328" s="130"/>
      <c r="R328" s="143"/>
      <c r="S328" s="144" t="s">
        <v>1493</v>
      </c>
      <c r="T328" s="143"/>
      <c r="U328" s="141"/>
      <c r="V328" s="142"/>
      <c r="W328" s="146" t="b">
        <v>0</v>
      </c>
      <c r="X328" s="147" t="b">
        <v>1</v>
      </c>
      <c r="Y328" s="147" t="b">
        <v>0</v>
      </c>
      <c r="Z328" s="148" t="s">
        <v>1423</v>
      </c>
      <c r="AC328" s="150"/>
      <c r="AD328" s="150"/>
      <c r="AE328" s="150"/>
      <c r="AF328" s="150"/>
      <c r="AJ328" s="150"/>
      <c r="AK328" s="150"/>
      <c r="AL328" s="150"/>
      <c r="AM328" s="150"/>
      <c r="AN328" s="150"/>
      <c r="AO328" s="150"/>
      <c r="AP328" s="150"/>
      <c r="AQ328" s="150"/>
      <c r="AR328" s="150"/>
    </row>
    <row r="329" spans="1:46" s="134" customFormat="1" ht="119.25" customHeight="1">
      <c r="A329" s="58">
        <v>273</v>
      </c>
      <c r="B329" s="80" t="s">
        <v>1460</v>
      </c>
      <c r="C329" s="80" t="s">
        <v>2726</v>
      </c>
      <c r="D329" s="60" t="s">
        <v>4360</v>
      </c>
      <c r="E329" s="60" t="s">
        <v>1559</v>
      </c>
      <c r="F329" s="62" t="str">
        <f t="shared" si="11"/>
        <v>하</v>
      </c>
      <c r="G329" s="63" t="s">
        <v>2668</v>
      </c>
      <c r="H329" s="63" t="s">
        <v>2674</v>
      </c>
      <c r="I329" s="190" t="s">
        <v>1560</v>
      </c>
      <c r="J329" s="137" t="s">
        <v>4532</v>
      </c>
      <c r="K329" s="79"/>
      <c r="L329" s="137" t="s">
        <v>1492</v>
      </c>
      <c r="M329" s="67"/>
      <c r="N329" s="67"/>
      <c r="O329" s="67"/>
      <c r="P329" s="67"/>
      <c r="Q329" s="67"/>
      <c r="R329" s="67"/>
      <c r="S329" s="81" t="s">
        <v>1418</v>
      </c>
      <c r="T329" s="67"/>
      <c r="U329" s="67"/>
      <c r="V329" s="67"/>
      <c r="W329" s="88" t="b">
        <v>0</v>
      </c>
      <c r="X329" s="88" t="b">
        <v>0</v>
      </c>
      <c r="Y329" s="89" t="b">
        <v>1</v>
      </c>
      <c r="Z329" s="73" t="s">
        <v>1557</v>
      </c>
      <c r="AA329" s="7"/>
      <c r="AB329" s="7"/>
      <c r="AC329" s="16"/>
      <c r="AD329" s="16"/>
      <c r="AE329" s="16"/>
      <c r="AF329" s="16"/>
      <c r="AG329" s="7"/>
      <c r="AH329" s="7"/>
      <c r="AI329" s="7"/>
      <c r="AJ329" s="7"/>
      <c r="AK329" s="7"/>
      <c r="AL329" s="7"/>
      <c r="AM329" s="7"/>
      <c r="AN329" s="7"/>
      <c r="AO329" s="7"/>
      <c r="AP329" s="7"/>
      <c r="AQ329" s="7"/>
      <c r="AR329" s="7"/>
      <c r="AS329" s="7"/>
      <c r="AT329" s="7"/>
    </row>
    <row r="330" spans="1:46" s="134" customFormat="1" ht="119.25" customHeight="1">
      <c r="A330" s="58">
        <v>274</v>
      </c>
      <c r="B330" s="80" t="s">
        <v>1460</v>
      </c>
      <c r="C330" s="80" t="s">
        <v>1413</v>
      </c>
      <c r="D330" s="60" t="s">
        <v>2008</v>
      </c>
      <c r="E330" s="60" t="s">
        <v>685</v>
      </c>
      <c r="F330" s="62" t="str">
        <f t="shared" si="11"/>
        <v>하</v>
      </c>
      <c r="G330" s="63" t="s">
        <v>2668</v>
      </c>
      <c r="H330" s="63" t="s">
        <v>2674</v>
      </c>
      <c r="I330" s="190" t="s">
        <v>686</v>
      </c>
      <c r="J330" s="137" t="s">
        <v>4532</v>
      </c>
      <c r="K330" s="79"/>
      <c r="L330" s="137" t="s">
        <v>1492</v>
      </c>
      <c r="M330" s="67"/>
      <c r="N330" s="67"/>
      <c r="O330" s="67"/>
      <c r="P330" s="67"/>
      <c r="Q330" s="67"/>
      <c r="R330" s="67"/>
      <c r="S330" s="81" t="s">
        <v>1418</v>
      </c>
      <c r="T330" s="67"/>
      <c r="U330" s="67"/>
      <c r="V330" s="67"/>
      <c r="W330" s="88" t="b">
        <v>0</v>
      </c>
      <c r="X330" s="88" t="b">
        <v>0</v>
      </c>
      <c r="Y330" s="89" t="b">
        <v>1</v>
      </c>
      <c r="Z330" s="73" t="s">
        <v>469</v>
      </c>
      <c r="AA330" s="7"/>
      <c r="AB330" s="7"/>
      <c r="AC330" s="16"/>
      <c r="AD330" s="16"/>
      <c r="AE330" s="16"/>
      <c r="AF330" s="16"/>
      <c r="AG330" s="7"/>
      <c r="AH330" s="7"/>
      <c r="AI330" s="7"/>
      <c r="AJ330" s="7"/>
      <c r="AK330" s="7"/>
      <c r="AL330" s="7"/>
      <c r="AM330" s="7"/>
      <c r="AN330" s="7"/>
      <c r="AO330" s="7"/>
      <c r="AP330" s="7"/>
      <c r="AQ330" s="7"/>
      <c r="AR330" s="7"/>
      <c r="AS330" s="7"/>
      <c r="AT330" s="7"/>
    </row>
    <row r="331" spans="1:46" s="134" customFormat="1" ht="119.25" customHeight="1">
      <c r="A331" s="58">
        <v>275</v>
      </c>
      <c r="B331" s="80" t="s">
        <v>1460</v>
      </c>
      <c r="C331" s="80" t="s">
        <v>1413</v>
      </c>
      <c r="D331" s="60" t="s">
        <v>2009</v>
      </c>
      <c r="E331" s="60" t="s">
        <v>687</v>
      </c>
      <c r="F331" s="62" t="str">
        <f t="shared" si="11"/>
        <v>하</v>
      </c>
      <c r="G331" s="63" t="s">
        <v>2668</v>
      </c>
      <c r="H331" s="63" t="s">
        <v>2674</v>
      </c>
      <c r="I331" s="190" t="s">
        <v>688</v>
      </c>
      <c r="J331" s="137" t="s">
        <v>4532</v>
      </c>
      <c r="K331" s="79"/>
      <c r="L331" s="137" t="s">
        <v>1492</v>
      </c>
      <c r="M331" s="67"/>
      <c r="N331" s="67"/>
      <c r="O331" s="67"/>
      <c r="P331" s="67"/>
      <c r="Q331" s="67"/>
      <c r="R331" s="67"/>
      <c r="S331" s="81" t="s">
        <v>1418</v>
      </c>
      <c r="T331" s="67"/>
      <c r="U331" s="67"/>
      <c r="V331" s="67"/>
      <c r="W331" s="88" t="b">
        <v>0</v>
      </c>
      <c r="X331" s="88" t="b">
        <v>0</v>
      </c>
      <c r="Y331" s="89" t="b">
        <v>1</v>
      </c>
      <c r="Z331" s="73" t="s">
        <v>689</v>
      </c>
      <c r="AA331" s="7"/>
      <c r="AB331" s="7"/>
      <c r="AC331" s="16"/>
      <c r="AD331" s="16"/>
      <c r="AE331" s="16"/>
      <c r="AF331" s="16"/>
      <c r="AG331" s="7"/>
      <c r="AH331" s="7"/>
      <c r="AI331" s="7"/>
      <c r="AJ331" s="7"/>
      <c r="AK331" s="7"/>
      <c r="AL331" s="7"/>
      <c r="AM331" s="7"/>
      <c r="AN331" s="7"/>
      <c r="AO331" s="7"/>
      <c r="AP331" s="7"/>
      <c r="AQ331" s="7"/>
      <c r="AR331" s="7"/>
      <c r="AS331" s="7"/>
      <c r="AT331" s="7"/>
    </row>
    <row r="332" spans="1:46" s="134" customFormat="1" ht="119.25" customHeight="1" outlineLevel="1">
      <c r="A332" s="58">
        <v>276</v>
      </c>
      <c r="B332" s="80" t="s">
        <v>1460</v>
      </c>
      <c r="C332" s="80" t="s">
        <v>1413</v>
      </c>
      <c r="D332" s="60" t="s">
        <v>2010</v>
      </c>
      <c r="E332" s="60" t="s">
        <v>690</v>
      </c>
      <c r="F332" s="62" t="str">
        <f t="shared" si="11"/>
        <v>하</v>
      </c>
      <c r="G332" s="63" t="s">
        <v>2668</v>
      </c>
      <c r="H332" s="63" t="s">
        <v>2674</v>
      </c>
      <c r="I332" s="190" t="s">
        <v>691</v>
      </c>
      <c r="J332" s="137" t="s">
        <v>4532</v>
      </c>
      <c r="K332" s="79"/>
      <c r="L332" s="137" t="s">
        <v>1492</v>
      </c>
      <c r="M332" s="67"/>
      <c r="N332" s="67"/>
      <c r="O332" s="67"/>
      <c r="P332" s="67"/>
      <c r="Q332" s="67"/>
      <c r="R332" s="67"/>
      <c r="S332" s="81" t="s">
        <v>1418</v>
      </c>
      <c r="T332" s="67"/>
      <c r="U332" s="67"/>
      <c r="V332" s="67"/>
      <c r="W332" s="88" t="b">
        <v>0</v>
      </c>
      <c r="X332" s="88" t="b">
        <v>0</v>
      </c>
      <c r="Y332" s="89" t="b">
        <v>1</v>
      </c>
      <c r="Z332" s="73" t="s">
        <v>692</v>
      </c>
      <c r="AA332" s="7"/>
      <c r="AB332" s="7"/>
      <c r="AC332" s="16"/>
      <c r="AD332" s="16"/>
      <c r="AE332" s="16"/>
      <c r="AF332" s="16"/>
      <c r="AG332" s="7"/>
      <c r="AH332" s="7"/>
      <c r="AI332" s="7"/>
      <c r="AJ332" s="7"/>
      <c r="AK332" s="7"/>
      <c r="AL332" s="7"/>
      <c r="AM332" s="7"/>
      <c r="AN332" s="7"/>
      <c r="AO332" s="7"/>
      <c r="AP332" s="7"/>
      <c r="AQ332" s="7"/>
      <c r="AR332" s="7"/>
      <c r="AS332" s="7"/>
      <c r="AT332" s="7"/>
    </row>
    <row r="333" spans="1:46" s="134" customFormat="1" ht="119.25" customHeight="1" outlineLevel="1">
      <c r="A333" s="58">
        <v>277</v>
      </c>
      <c r="B333" s="80" t="s">
        <v>1460</v>
      </c>
      <c r="C333" s="80" t="s">
        <v>1413</v>
      </c>
      <c r="D333" s="60" t="s">
        <v>2011</v>
      </c>
      <c r="E333" s="60" t="s">
        <v>693</v>
      </c>
      <c r="F333" s="62" t="str">
        <f t="shared" si="11"/>
        <v>하</v>
      </c>
      <c r="G333" s="63" t="s">
        <v>2668</v>
      </c>
      <c r="H333" s="63" t="s">
        <v>2674</v>
      </c>
      <c r="I333" s="190" t="s">
        <v>694</v>
      </c>
      <c r="J333" s="137" t="s">
        <v>4532</v>
      </c>
      <c r="K333" s="79"/>
      <c r="L333" s="137" t="s">
        <v>1492</v>
      </c>
      <c r="M333" s="67"/>
      <c r="N333" s="67"/>
      <c r="O333" s="67"/>
      <c r="P333" s="67"/>
      <c r="Q333" s="67"/>
      <c r="R333" s="67"/>
      <c r="S333" s="81" t="s">
        <v>1418</v>
      </c>
      <c r="T333" s="67"/>
      <c r="U333" s="67"/>
      <c r="V333" s="67"/>
      <c r="W333" s="88" t="b">
        <v>0</v>
      </c>
      <c r="X333" s="88" t="b">
        <v>0</v>
      </c>
      <c r="Y333" s="89" t="b">
        <v>1</v>
      </c>
      <c r="Z333" s="73" t="s">
        <v>668</v>
      </c>
      <c r="AA333" s="7"/>
      <c r="AB333" s="7"/>
      <c r="AC333" s="16"/>
      <c r="AD333" s="16"/>
      <c r="AE333" s="16"/>
      <c r="AF333" s="16"/>
      <c r="AG333" s="7"/>
      <c r="AH333" s="7"/>
      <c r="AI333" s="7"/>
      <c r="AJ333" s="7"/>
      <c r="AK333" s="7"/>
      <c r="AL333" s="7"/>
      <c r="AM333" s="7"/>
      <c r="AN333" s="7"/>
      <c r="AO333" s="7"/>
      <c r="AP333" s="7"/>
      <c r="AQ333" s="7"/>
      <c r="AR333" s="7"/>
      <c r="AS333" s="7"/>
      <c r="AT333" s="7"/>
    </row>
    <row r="334" spans="1:46" s="134" customFormat="1" ht="119.25" customHeight="1" outlineLevel="1">
      <c r="A334" s="58">
        <v>278</v>
      </c>
      <c r="B334" s="80" t="s">
        <v>1460</v>
      </c>
      <c r="C334" s="80" t="s">
        <v>1413</v>
      </c>
      <c r="D334" s="60" t="s">
        <v>2012</v>
      </c>
      <c r="E334" s="60" t="s">
        <v>695</v>
      </c>
      <c r="F334" s="62" t="str">
        <f t="shared" si="11"/>
        <v>하</v>
      </c>
      <c r="G334" s="63" t="s">
        <v>2668</v>
      </c>
      <c r="H334" s="63" t="s">
        <v>2674</v>
      </c>
      <c r="I334" s="190" t="s">
        <v>696</v>
      </c>
      <c r="J334" s="137" t="s">
        <v>4532</v>
      </c>
      <c r="K334" s="79"/>
      <c r="L334" s="137" t="s">
        <v>1492</v>
      </c>
      <c r="M334" s="67"/>
      <c r="N334" s="67"/>
      <c r="O334" s="67"/>
      <c r="P334" s="67"/>
      <c r="Q334" s="67"/>
      <c r="R334" s="67"/>
      <c r="S334" s="81" t="s">
        <v>1418</v>
      </c>
      <c r="T334" s="67"/>
      <c r="U334" s="67"/>
      <c r="V334" s="67"/>
      <c r="W334" s="88" t="b">
        <v>0</v>
      </c>
      <c r="X334" s="88" t="b">
        <v>0</v>
      </c>
      <c r="Y334" s="89" t="b">
        <v>1</v>
      </c>
      <c r="Z334" s="73" t="s">
        <v>671</v>
      </c>
      <c r="AA334" s="7"/>
      <c r="AB334" s="7"/>
      <c r="AC334" s="16"/>
      <c r="AD334" s="16"/>
      <c r="AE334" s="16"/>
      <c r="AF334" s="16"/>
      <c r="AG334" s="7"/>
      <c r="AH334" s="7"/>
      <c r="AI334" s="7"/>
      <c r="AJ334" s="7"/>
      <c r="AK334" s="7"/>
      <c r="AL334" s="7"/>
      <c r="AM334" s="7"/>
      <c r="AN334" s="7"/>
      <c r="AO334" s="7"/>
      <c r="AP334" s="7"/>
      <c r="AQ334" s="7"/>
      <c r="AR334" s="7"/>
      <c r="AS334" s="7"/>
      <c r="AT334" s="7"/>
    </row>
    <row r="335" spans="1:46" s="134" customFormat="1" ht="119.25" customHeight="1" outlineLevel="1">
      <c r="A335" s="58">
        <v>279</v>
      </c>
      <c r="B335" s="92" t="s">
        <v>2725</v>
      </c>
      <c r="C335" s="92" t="s">
        <v>3991</v>
      </c>
      <c r="D335" s="93" t="str">
        <f>[1]트램표준체크리스트!F920</f>
        <v>제한속도 감시 및 차상 제어(ATP) 연동 누락으로 기관사 부주의 시 곡선부 과속 탈선 및 보행자 추돌 리스크를 검토하였는가?</v>
      </c>
      <c r="E335" s="93" t="s">
        <v>4006</v>
      </c>
      <c r="F335" s="62" t="str">
        <f t="shared" si="11"/>
        <v>하</v>
      </c>
      <c r="G335" s="63" t="s">
        <v>2668</v>
      </c>
      <c r="H335" s="63" t="s">
        <v>2674</v>
      </c>
      <c r="I335" s="199" t="s">
        <v>4007</v>
      </c>
      <c r="J335" s="137" t="s">
        <v>4532</v>
      </c>
      <c r="K335" s="97"/>
      <c r="L335" s="139" t="s">
        <v>1492</v>
      </c>
      <c r="M335" s="98"/>
      <c r="N335" s="98"/>
      <c r="O335" s="98"/>
      <c r="P335" s="98"/>
      <c r="Q335" s="98"/>
      <c r="R335" s="98"/>
      <c r="S335" s="99"/>
      <c r="T335" s="98"/>
      <c r="U335" s="98"/>
      <c r="V335" s="98"/>
      <c r="W335" s="100" t="b">
        <v>0</v>
      </c>
      <c r="X335" s="100" t="b">
        <v>0</v>
      </c>
      <c r="Y335" s="101" t="b">
        <v>0</v>
      </c>
      <c r="Z335" s="96" t="s">
        <v>4008</v>
      </c>
      <c r="AA335" s="7"/>
      <c r="AB335" s="7"/>
      <c r="AC335" s="16"/>
      <c r="AD335" s="16"/>
      <c r="AE335" s="16"/>
      <c r="AF335" s="16"/>
      <c r="AG335" s="7"/>
      <c r="AH335" s="7"/>
      <c r="AI335" s="7"/>
      <c r="AJ335" s="7"/>
      <c r="AK335" s="7"/>
      <c r="AL335" s="7"/>
      <c r="AM335" s="7"/>
      <c r="AN335" s="7"/>
      <c r="AO335" s="7"/>
      <c r="AP335" s="7"/>
      <c r="AQ335" s="7"/>
      <c r="AR335" s="7"/>
      <c r="AS335" s="7"/>
      <c r="AT335" s="7"/>
    </row>
    <row r="336" spans="1:46" s="134" customFormat="1" ht="119.25" customHeight="1" outlineLevel="1">
      <c r="A336" s="58">
        <v>280</v>
      </c>
      <c r="B336" s="92" t="s">
        <v>2725</v>
      </c>
      <c r="C336" s="92" t="s">
        <v>3992</v>
      </c>
      <c r="D336" s="93" t="str">
        <f>[1]트램표준체크리스트!F921</f>
        <v>대형표시반 가독성·UI 설계 미흡 및 도로교통관제 연계 누락으로, 이례상황 시 관제원의 상황 판단 및 통제가 지연될 리스크를 검토하였는가?</v>
      </c>
      <c r="E336" s="93" t="s">
        <v>4009</v>
      </c>
      <c r="F336" s="62" t="str">
        <f t="shared" si="11"/>
        <v>하</v>
      </c>
      <c r="G336" s="63" t="s">
        <v>2668</v>
      </c>
      <c r="H336" s="63" t="s">
        <v>2674</v>
      </c>
      <c r="I336" s="199" t="s">
        <v>4010</v>
      </c>
      <c r="J336" s="137" t="s">
        <v>4532</v>
      </c>
      <c r="K336" s="97"/>
      <c r="L336" s="139" t="s">
        <v>1492</v>
      </c>
      <c r="M336" s="98"/>
      <c r="N336" s="98"/>
      <c r="O336" s="98"/>
      <c r="P336" s="98"/>
      <c r="Q336" s="98"/>
      <c r="R336" s="98"/>
      <c r="S336" s="99"/>
      <c r="T336" s="98"/>
      <c r="U336" s="98"/>
      <c r="V336" s="98"/>
      <c r="W336" s="100" t="b">
        <v>0</v>
      </c>
      <c r="X336" s="100" t="b">
        <v>0</v>
      </c>
      <c r="Y336" s="101" t="b">
        <v>0</v>
      </c>
      <c r="Z336" s="96" t="s">
        <v>4011</v>
      </c>
      <c r="AA336" s="7"/>
      <c r="AB336" s="7"/>
      <c r="AC336" s="16"/>
      <c r="AD336" s="16"/>
      <c r="AE336" s="16"/>
      <c r="AF336" s="16"/>
      <c r="AG336" s="7"/>
      <c r="AH336" s="7"/>
      <c r="AI336" s="7"/>
      <c r="AJ336" s="7"/>
      <c r="AK336" s="7"/>
      <c r="AL336" s="7"/>
      <c r="AM336" s="7"/>
      <c r="AN336" s="7"/>
      <c r="AO336" s="7"/>
      <c r="AP336" s="7"/>
      <c r="AQ336" s="7"/>
      <c r="AR336" s="7"/>
      <c r="AS336" s="7"/>
      <c r="AT336" s="7"/>
    </row>
    <row r="337" spans="1:46" s="134" customFormat="1" ht="119.25" customHeight="1" outlineLevel="1">
      <c r="A337" s="58">
        <v>281</v>
      </c>
      <c r="B337" s="92" t="s">
        <v>2725</v>
      </c>
      <c r="C337" s="92" t="s">
        <v>3993</v>
      </c>
      <c r="D337" s="93" t="str">
        <f>[1]트램표준체크리스트!F922</f>
        <v>교차로 돌발유고검지장치 및 앞막힘 제어보드 연동 누락으로 궤도 차량 정체 시 트램이 회피하지 못해 연쇄 추돌할 리스크를 검토하였는가?</v>
      </c>
      <c r="E337" s="93" t="s">
        <v>4012</v>
      </c>
      <c r="F337" s="62" t="str">
        <f t="shared" si="11"/>
        <v>하</v>
      </c>
      <c r="G337" s="63" t="s">
        <v>2668</v>
      </c>
      <c r="H337" s="63" t="s">
        <v>2674</v>
      </c>
      <c r="I337" s="199" t="s">
        <v>4013</v>
      </c>
      <c r="J337" s="137" t="s">
        <v>4532</v>
      </c>
      <c r="K337" s="97"/>
      <c r="L337" s="139" t="s">
        <v>1492</v>
      </c>
      <c r="M337" s="98"/>
      <c r="N337" s="98"/>
      <c r="O337" s="98"/>
      <c r="P337" s="98"/>
      <c r="Q337" s="98"/>
      <c r="R337" s="98"/>
      <c r="S337" s="99"/>
      <c r="T337" s="98"/>
      <c r="U337" s="98"/>
      <c r="V337" s="98"/>
      <c r="W337" s="100" t="b">
        <v>0</v>
      </c>
      <c r="X337" s="100" t="b">
        <v>0</v>
      </c>
      <c r="Y337" s="101" t="b">
        <v>0</v>
      </c>
      <c r="Z337" s="96" t="s">
        <v>4014</v>
      </c>
      <c r="AA337" s="7"/>
      <c r="AB337" s="7"/>
      <c r="AC337" s="16"/>
      <c r="AD337" s="16"/>
      <c r="AE337" s="16"/>
      <c r="AF337" s="16"/>
      <c r="AG337" s="7"/>
      <c r="AH337" s="7"/>
      <c r="AI337" s="7"/>
      <c r="AJ337" s="7"/>
      <c r="AK337" s="7"/>
      <c r="AL337" s="7"/>
      <c r="AM337" s="7"/>
      <c r="AN337" s="7"/>
      <c r="AO337" s="7"/>
      <c r="AP337" s="7"/>
      <c r="AQ337" s="7"/>
      <c r="AR337" s="7"/>
      <c r="AS337" s="7"/>
      <c r="AT337" s="7"/>
    </row>
    <row r="338" spans="1:46" s="134" customFormat="1" ht="119.25" customHeight="1" outlineLevel="1">
      <c r="A338" s="58">
        <v>282</v>
      </c>
      <c r="B338" s="92" t="s">
        <v>2725</v>
      </c>
      <c r="C338" s="92" t="s">
        <v>3993</v>
      </c>
      <c r="D338" s="93" t="str">
        <f>[1]트램표준체크리스트!F923</f>
        <v>돌발유고검지장치 및 앞막힘제어보드 설계 누락으로 교차로 정체 시 트램 진입에 따른 도로교통 전면 마비(데드락)가 발생할 리스크를 검토하였는가?</v>
      </c>
      <c r="E338" s="93" t="s">
        <v>4015</v>
      </c>
      <c r="F338" s="62" t="str">
        <f t="shared" si="11"/>
        <v>하</v>
      </c>
      <c r="G338" s="63" t="s">
        <v>2668</v>
      </c>
      <c r="H338" s="63" t="s">
        <v>2674</v>
      </c>
      <c r="I338" s="199" t="s">
        <v>4016</v>
      </c>
      <c r="J338" s="137" t="s">
        <v>4532</v>
      </c>
      <c r="K338" s="97"/>
      <c r="L338" s="139" t="s">
        <v>1492</v>
      </c>
      <c r="M338" s="98"/>
      <c r="N338" s="98"/>
      <c r="O338" s="98"/>
      <c r="P338" s="98"/>
      <c r="Q338" s="98"/>
      <c r="R338" s="98"/>
      <c r="S338" s="99"/>
      <c r="T338" s="98"/>
      <c r="U338" s="98"/>
      <c r="V338" s="98"/>
      <c r="W338" s="100" t="b">
        <v>0</v>
      </c>
      <c r="X338" s="100" t="b">
        <v>0</v>
      </c>
      <c r="Y338" s="101" t="b">
        <v>0</v>
      </c>
      <c r="Z338" s="96" t="s">
        <v>4017</v>
      </c>
      <c r="AA338" s="7"/>
      <c r="AB338" s="7"/>
      <c r="AC338" s="16"/>
      <c r="AD338" s="16"/>
      <c r="AE338" s="16"/>
      <c r="AF338" s="16"/>
      <c r="AG338" s="7"/>
      <c r="AH338" s="7"/>
      <c r="AI338" s="7"/>
      <c r="AJ338" s="7"/>
      <c r="AK338" s="7"/>
      <c r="AL338" s="7"/>
      <c r="AM338" s="7"/>
      <c r="AN338" s="7"/>
      <c r="AO338" s="7"/>
      <c r="AP338" s="7"/>
      <c r="AQ338" s="7"/>
      <c r="AR338" s="7"/>
      <c r="AS338" s="7"/>
      <c r="AT338" s="7"/>
    </row>
    <row r="339" spans="1:46" s="134" customFormat="1" ht="119.25" customHeight="1" outlineLevel="1">
      <c r="A339" s="58">
        <v>283</v>
      </c>
      <c r="B339" s="92" t="s">
        <v>2725</v>
      </c>
      <c r="C339" s="92" t="s">
        <v>3993</v>
      </c>
      <c r="D339" s="93" t="str">
        <f>[1]트램표준체크리스트!F924</f>
        <v>'1교차로 1편성 점유' 원칙 누락으로 트램 동시 진입에 따른 일반 차량 동선 마비 및 교착(Gridlock) 리스크를 검토하였는가?</v>
      </c>
      <c r="E339" s="93" t="s">
        <v>4018</v>
      </c>
      <c r="F339" s="62" t="str">
        <f t="shared" si="11"/>
        <v>하</v>
      </c>
      <c r="G339" s="63" t="s">
        <v>2668</v>
      </c>
      <c r="H339" s="63" t="s">
        <v>2674</v>
      </c>
      <c r="I339" s="199" t="s">
        <v>4019</v>
      </c>
      <c r="J339" s="137" t="s">
        <v>4532</v>
      </c>
      <c r="K339" s="97"/>
      <c r="L339" s="139" t="s">
        <v>1492</v>
      </c>
      <c r="M339" s="98"/>
      <c r="N339" s="98"/>
      <c r="O339" s="98"/>
      <c r="P339" s="98"/>
      <c r="Q339" s="98"/>
      <c r="R339" s="98"/>
      <c r="S339" s="99"/>
      <c r="T339" s="98"/>
      <c r="U339" s="98"/>
      <c r="V339" s="98"/>
      <c r="W339" s="100" t="b">
        <v>0</v>
      </c>
      <c r="X339" s="100" t="b">
        <v>0</v>
      </c>
      <c r="Y339" s="101" t="b">
        <v>0</v>
      </c>
      <c r="Z339" s="96" t="s">
        <v>4020</v>
      </c>
      <c r="AA339" s="7"/>
      <c r="AB339" s="7"/>
      <c r="AC339" s="16"/>
      <c r="AD339" s="16"/>
      <c r="AE339" s="16"/>
      <c r="AF339" s="16"/>
      <c r="AG339" s="7"/>
      <c r="AH339" s="7"/>
      <c r="AI339" s="7"/>
      <c r="AJ339" s="7"/>
      <c r="AK339" s="7"/>
      <c r="AL339" s="7"/>
      <c r="AM339" s="7"/>
      <c r="AN339" s="7"/>
      <c r="AO339" s="7"/>
      <c r="AP339" s="7"/>
      <c r="AQ339" s="7"/>
      <c r="AR339" s="7"/>
      <c r="AS339" s="7"/>
      <c r="AT339" s="7"/>
    </row>
    <row r="340" spans="1:46" s="134" customFormat="1" ht="119.25" customHeight="1" outlineLevel="1">
      <c r="A340" s="58">
        <v>284</v>
      </c>
      <c r="B340" s="92" t="s">
        <v>2725</v>
      </c>
      <c r="C340" s="92" t="s">
        <v>3993</v>
      </c>
      <c r="D340" s="93" t="str">
        <f>[1]트램표준체크리스트!F925</f>
        <v>교차로 점유(1편성 제한) 통제 검지설비 및 신호 연동 누락으로 혼잡 시 트램 연속 진입에 따른 교통 전면 마비 리스크를 검토하였는가?</v>
      </c>
      <c r="E340" s="93" t="s">
        <v>4021</v>
      </c>
      <c r="F340" s="62" t="str">
        <f t="shared" si="11"/>
        <v>하</v>
      </c>
      <c r="G340" s="63" t="s">
        <v>2668</v>
      </c>
      <c r="H340" s="63" t="s">
        <v>2674</v>
      </c>
      <c r="I340" s="199" t="s">
        <v>4022</v>
      </c>
      <c r="J340" s="137" t="s">
        <v>4532</v>
      </c>
      <c r="K340" s="97"/>
      <c r="L340" s="139" t="s">
        <v>1492</v>
      </c>
      <c r="M340" s="98"/>
      <c r="N340" s="98"/>
      <c r="O340" s="98"/>
      <c r="P340" s="98"/>
      <c r="Q340" s="98"/>
      <c r="R340" s="98"/>
      <c r="S340" s="99"/>
      <c r="T340" s="98"/>
      <c r="U340" s="98"/>
      <c r="V340" s="98"/>
      <c r="W340" s="100" t="b">
        <v>0</v>
      </c>
      <c r="X340" s="100" t="b">
        <v>0</v>
      </c>
      <c r="Y340" s="101" t="b">
        <v>0</v>
      </c>
      <c r="Z340" s="96" t="s">
        <v>4023</v>
      </c>
      <c r="AA340" s="7"/>
      <c r="AB340" s="7"/>
      <c r="AC340" s="16"/>
      <c r="AD340" s="16"/>
      <c r="AE340" s="16"/>
      <c r="AF340" s="16"/>
      <c r="AG340" s="7"/>
      <c r="AH340" s="7"/>
      <c r="AI340" s="7"/>
      <c r="AJ340" s="7"/>
      <c r="AK340" s="7"/>
      <c r="AL340" s="7"/>
      <c r="AM340" s="7"/>
      <c r="AN340" s="7"/>
      <c r="AO340" s="7"/>
      <c r="AP340" s="7"/>
      <c r="AQ340" s="7"/>
      <c r="AR340" s="7"/>
      <c r="AS340" s="7"/>
      <c r="AT340" s="7"/>
    </row>
    <row r="341" spans="1:46" s="134" customFormat="1" ht="119.25" customHeight="1" outlineLevel="1">
      <c r="A341" s="58">
        <v>285</v>
      </c>
      <c r="B341" s="92" t="s">
        <v>2725</v>
      </c>
      <c r="C341" s="92" t="s">
        <v>3993</v>
      </c>
      <c r="D341" s="93" t="str">
        <f>[1]트램표준체크리스트!F926</f>
        <v>정차금지지대·노면전차 전용로 누락으로 일반 차량 궤도 점유에 따른 트램 운행 마비 리스크를 검토하였는가?</v>
      </c>
      <c r="E341" s="93" t="s">
        <v>4024</v>
      </c>
      <c r="F341" s="62" t="str">
        <f t="shared" si="11"/>
        <v>하</v>
      </c>
      <c r="G341" s="63" t="s">
        <v>2668</v>
      </c>
      <c r="H341" s="63" t="s">
        <v>2674</v>
      </c>
      <c r="I341" s="199" t="s">
        <v>4025</v>
      </c>
      <c r="J341" s="137" t="s">
        <v>4532</v>
      </c>
      <c r="K341" s="97"/>
      <c r="L341" s="139" t="s">
        <v>1492</v>
      </c>
      <c r="M341" s="98"/>
      <c r="N341" s="98"/>
      <c r="O341" s="98"/>
      <c r="P341" s="98"/>
      <c r="Q341" s="98"/>
      <c r="R341" s="98"/>
      <c r="S341" s="99"/>
      <c r="T341" s="98"/>
      <c r="U341" s="98"/>
      <c r="V341" s="98"/>
      <c r="W341" s="100" t="b">
        <v>0</v>
      </c>
      <c r="X341" s="100" t="b">
        <v>0</v>
      </c>
      <c r="Y341" s="101" t="b">
        <v>0</v>
      </c>
      <c r="Z341" s="96" t="s">
        <v>4026</v>
      </c>
      <c r="AA341" s="7"/>
      <c r="AB341" s="7"/>
      <c r="AC341" s="16"/>
      <c r="AD341" s="16"/>
      <c r="AE341" s="16"/>
      <c r="AF341" s="16"/>
      <c r="AG341" s="7"/>
      <c r="AH341" s="7"/>
      <c r="AI341" s="7"/>
      <c r="AJ341" s="7"/>
      <c r="AK341" s="7"/>
      <c r="AL341" s="7"/>
      <c r="AM341" s="7"/>
      <c r="AN341" s="7"/>
      <c r="AO341" s="7"/>
      <c r="AP341" s="7"/>
      <c r="AQ341" s="7"/>
      <c r="AR341" s="7"/>
      <c r="AS341" s="7"/>
      <c r="AT341" s="7"/>
    </row>
    <row r="342" spans="1:46" ht="119.25" customHeight="1" outlineLevel="1">
      <c r="A342" s="58">
        <v>286</v>
      </c>
      <c r="B342" s="92" t="s">
        <v>2725</v>
      </c>
      <c r="C342" s="92" t="s">
        <v>3994</v>
      </c>
      <c r="D342" s="93" t="str">
        <f>[1]트램표준체크리스트!F927</f>
        <v>노면 안전표시 및 레일 홈 고무탄성재 누락으로 자전거 전도 및 보행자 무단진입에 따른 인명사고 리스크를 검토하였는가?</v>
      </c>
      <c r="E342" s="93" t="s">
        <v>4027</v>
      </c>
      <c r="F342" s="62" t="str">
        <f t="shared" si="11"/>
        <v>하</v>
      </c>
      <c r="G342" s="63" t="s">
        <v>2668</v>
      </c>
      <c r="H342" s="63" t="s">
        <v>2674</v>
      </c>
      <c r="I342" s="199" t="s">
        <v>4028</v>
      </c>
      <c r="J342" s="137" t="s">
        <v>4532</v>
      </c>
      <c r="K342" s="97"/>
      <c r="L342" s="139" t="s">
        <v>1492</v>
      </c>
      <c r="M342" s="98"/>
      <c r="N342" s="98"/>
      <c r="O342" s="98"/>
      <c r="P342" s="98"/>
      <c r="Q342" s="98"/>
      <c r="R342" s="98"/>
      <c r="S342" s="99"/>
      <c r="T342" s="98"/>
      <c r="U342" s="98"/>
      <c r="V342" s="98"/>
      <c r="W342" s="100" t="b">
        <v>0</v>
      </c>
      <c r="X342" s="100" t="b">
        <v>0</v>
      </c>
      <c r="Y342" s="101" t="b">
        <v>0</v>
      </c>
      <c r="Z342" s="96" t="s">
        <v>4029</v>
      </c>
    </row>
    <row r="343" spans="1:46" ht="119.25" customHeight="1" outlineLevel="1">
      <c r="A343" s="58">
        <v>287</v>
      </c>
      <c r="B343" s="92" t="s">
        <v>2725</v>
      </c>
      <c r="C343" s="92" t="s">
        <v>3995</v>
      </c>
      <c r="D343" s="93" t="str">
        <f>[1]트램표준체크리스트!F928</f>
        <v>경찰청 교통안전심의 누락 및 지적사항 미반영으로 시공 전 신호 체계 전면 재검토 및 대규모 공정 지연이 발생할 리스크를 검토하였는가?</v>
      </c>
      <c r="E343" s="93" t="s">
        <v>4030</v>
      </c>
      <c r="F343" s="62" t="str">
        <f t="shared" si="11"/>
        <v>하</v>
      </c>
      <c r="G343" s="63" t="s">
        <v>2668</v>
      </c>
      <c r="H343" s="63" t="s">
        <v>2674</v>
      </c>
      <c r="I343" s="199" t="s">
        <v>4031</v>
      </c>
      <c r="J343" s="137" t="s">
        <v>4532</v>
      </c>
      <c r="K343" s="97"/>
      <c r="L343" s="139" t="s">
        <v>1492</v>
      </c>
      <c r="M343" s="98"/>
      <c r="N343" s="98"/>
      <c r="O343" s="98"/>
      <c r="P343" s="98"/>
      <c r="Q343" s="98"/>
      <c r="R343" s="98"/>
      <c r="S343" s="99"/>
      <c r="T343" s="98"/>
      <c r="U343" s="98"/>
      <c r="V343" s="98"/>
      <c r="W343" s="100" t="b">
        <v>0</v>
      </c>
      <c r="X343" s="100" t="b">
        <v>0</v>
      </c>
      <c r="Y343" s="101" t="b">
        <v>0</v>
      </c>
      <c r="Z343" s="96" t="s">
        <v>4032</v>
      </c>
    </row>
    <row r="344" spans="1:46" ht="119.25" customHeight="1" outlineLevel="1">
      <c r="A344" s="58">
        <v>288</v>
      </c>
      <c r="B344" s="92" t="s">
        <v>2725</v>
      </c>
      <c r="C344" s="92" t="s">
        <v>3996</v>
      </c>
      <c r="D344" s="93" t="str">
        <f>[1]트램표준체크리스트!F929</f>
        <v>충전 설비-도로신호 제어기 간 이격 및 노이즈 차폐 설계 누락으로 전자파 간섭에 의한 신호등 오작동(All Red 등) 리스크를 검토하였는가?</v>
      </c>
      <c r="E344" s="93" t="s">
        <v>4033</v>
      </c>
      <c r="F344" s="62" t="str">
        <f t="shared" si="11"/>
        <v>하</v>
      </c>
      <c r="G344" s="63" t="s">
        <v>2668</v>
      </c>
      <c r="H344" s="63" t="s">
        <v>2674</v>
      </c>
      <c r="I344" s="199" t="s">
        <v>4034</v>
      </c>
      <c r="J344" s="137" t="s">
        <v>4532</v>
      </c>
      <c r="K344" s="97"/>
      <c r="L344" s="139" t="s">
        <v>1492</v>
      </c>
      <c r="M344" s="98"/>
      <c r="N344" s="98"/>
      <c r="O344" s="98"/>
      <c r="P344" s="98"/>
      <c r="Q344" s="98"/>
      <c r="R344" s="98"/>
      <c r="S344" s="99"/>
      <c r="T344" s="98"/>
      <c r="U344" s="98"/>
      <c r="V344" s="98"/>
      <c r="W344" s="100" t="b">
        <v>0</v>
      </c>
      <c r="X344" s="100" t="b">
        <v>0</v>
      </c>
      <c r="Y344" s="101" t="b">
        <v>0</v>
      </c>
      <c r="Z344" s="96" t="s">
        <v>4035</v>
      </c>
    </row>
    <row r="345" spans="1:46" ht="119.25" customHeight="1" outlineLevel="1">
      <c r="A345" s="58">
        <v>289</v>
      </c>
      <c r="B345" s="92" t="s">
        <v>2725</v>
      </c>
      <c r="C345" s="92" t="s">
        <v>3997</v>
      </c>
      <c r="D345" s="93" t="str">
        <f>[1]트램표준체크리스트!F930</f>
        <v>철도·도로신호 연동 계획 누락으로 실제 궤도 개통과 신호 표출 방향이 불일치하여 탈선 사고가 발생할 리스크를 검토하였는가?</v>
      </c>
      <c r="E345" s="93" t="s">
        <v>4036</v>
      </c>
      <c r="F345" s="62" t="str">
        <f t="shared" si="11"/>
        <v>하</v>
      </c>
      <c r="G345" s="63" t="s">
        <v>2668</v>
      </c>
      <c r="H345" s="63" t="s">
        <v>2674</v>
      </c>
      <c r="I345" s="199" t="s">
        <v>4037</v>
      </c>
      <c r="J345" s="137" t="s">
        <v>4532</v>
      </c>
      <c r="K345" s="97"/>
      <c r="L345" s="139" t="s">
        <v>1492</v>
      </c>
      <c r="M345" s="98"/>
      <c r="N345" s="98"/>
      <c r="O345" s="98"/>
      <c r="P345" s="98"/>
      <c r="Q345" s="98"/>
      <c r="R345" s="98"/>
      <c r="S345" s="99"/>
      <c r="T345" s="98"/>
      <c r="U345" s="98"/>
      <c r="V345" s="98"/>
      <c r="W345" s="100" t="b">
        <v>0</v>
      </c>
      <c r="X345" s="100" t="b">
        <v>0</v>
      </c>
      <c r="Y345" s="101" t="b">
        <v>0</v>
      </c>
      <c r="Z345" s="96" t="s">
        <v>4038</v>
      </c>
    </row>
    <row r="346" spans="1:46" ht="153.6" customHeight="1" outlineLevel="1">
      <c r="A346" s="58">
        <v>290</v>
      </c>
      <c r="B346" s="92" t="s">
        <v>2725</v>
      </c>
      <c r="C346" s="92" t="s">
        <v>3997</v>
      </c>
      <c r="D346" s="93" t="str">
        <f>[1]트램표준체크리스트!F931</f>
        <v>도로신호-전자연동장치 연계 누락으로 개통 방향 불일치 시 무리한 교차로 진입에 따른 탈선 리스크를 검토하였는가?</v>
      </c>
      <c r="E346" s="93" t="s">
        <v>4039</v>
      </c>
      <c r="F346" s="62" t="str">
        <f t="shared" si="11"/>
        <v>하</v>
      </c>
      <c r="G346" s="63" t="s">
        <v>2668</v>
      </c>
      <c r="H346" s="63" t="s">
        <v>2674</v>
      </c>
      <c r="I346" s="199" t="s">
        <v>4040</v>
      </c>
      <c r="J346" s="137" t="s">
        <v>4532</v>
      </c>
      <c r="K346" s="97"/>
      <c r="L346" s="139" t="s">
        <v>1492</v>
      </c>
      <c r="M346" s="98"/>
      <c r="N346" s="98"/>
      <c r="O346" s="98"/>
      <c r="P346" s="98"/>
      <c r="Q346" s="98"/>
      <c r="R346" s="98"/>
      <c r="S346" s="99"/>
      <c r="T346" s="98"/>
      <c r="U346" s="98"/>
      <c r="V346" s="98"/>
      <c r="W346" s="100" t="b">
        <v>0</v>
      </c>
      <c r="X346" s="100" t="b">
        <v>0</v>
      </c>
      <c r="Y346" s="101" t="b">
        <v>0</v>
      </c>
      <c r="Z346" s="96" t="s">
        <v>4041</v>
      </c>
    </row>
    <row r="347" spans="1:46" ht="119.25" customHeight="1" outlineLevel="1">
      <c r="A347" s="58">
        <v>291</v>
      </c>
      <c r="B347" s="92" t="s">
        <v>2725</v>
      </c>
      <c r="C347" s="92" t="s">
        <v>3998</v>
      </c>
      <c r="D347" s="93" t="str">
        <f>[1]트램표준체크리스트!F932</f>
        <v>전선관 접속부 수밀 마감 및 예비 관로 누락으로, 우천 시 침수에 따른 신호 단락 및 케이블 교체 시 도로 재굴착이 발생할 리스크를 검토하였는가?</v>
      </c>
      <c r="E347" s="93" t="s">
        <v>4042</v>
      </c>
      <c r="F347" s="62" t="str">
        <f t="shared" si="11"/>
        <v>하</v>
      </c>
      <c r="G347" s="63" t="s">
        <v>2668</v>
      </c>
      <c r="H347" s="63" t="s">
        <v>2674</v>
      </c>
      <c r="I347" s="199" t="s">
        <v>4043</v>
      </c>
      <c r="J347" s="137" t="s">
        <v>4532</v>
      </c>
      <c r="K347" s="97"/>
      <c r="L347" s="139" t="s">
        <v>1492</v>
      </c>
      <c r="M347" s="98"/>
      <c r="N347" s="98"/>
      <c r="O347" s="98"/>
      <c r="P347" s="98"/>
      <c r="Q347" s="98"/>
      <c r="R347" s="98"/>
      <c r="S347" s="99"/>
      <c r="T347" s="98"/>
      <c r="U347" s="98"/>
      <c r="V347" s="98"/>
      <c r="W347" s="100" t="b">
        <v>0</v>
      </c>
      <c r="X347" s="100" t="b">
        <v>0</v>
      </c>
      <c r="Y347" s="101" t="b">
        <v>0</v>
      </c>
      <c r="Z347" s="96" t="s">
        <v>4044</v>
      </c>
    </row>
    <row r="348" spans="1:46" ht="119.25" customHeight="1" outlineLevel="1">
      <c r="A348" s="58">
        <v>292</v>
      </c>
      <c r="B348" s="92" t="s">
        <v>2725</v>
      </c>
      <c r="C348" s="92" t="s">
        <v>3999</v>
      </c>
      <c r="D348" s="93" t="str">
        <f>[1]트램표준체크리스트!F933</f>
        <v>음성안내장치·PoE 스위치·관로 굴착 설계 누락으로 트램 접근 시 보행자 인명사고가 발생할 리스크를 검토하였는가?</v>
      </c>
      <c r="E348" s="93" t="s">
        <v>4045</v>
      </c>
      <c r="F348" s="62" t="str">
        <f t="shared" si="11"/>
        <v>하</v>
      </c>
      <c r="G348" s="63" t="s">
        <v>2668</v>
      </c>
      <c r="H348" s="63" t="s">
        <v>2674</v>
      </c>
      <c r="I348" s="199" t="s">
        <v>4046</v>
      </c>
      <c r="J348" s="137" t="s">
        <v>4532</v>
      </c>
      <c r="K348" s="97"/>
      <c r="L348" s="139" t="s">
        <v>1492</v>
      </c>
      <c r="M348" s="98"/>
      <c r="N348" s="98"/>
      <c r="O348" s="98"/>
      <c r="P348" s="98"/>
      <c r="Q348" s="98"/>
      <c r="R348" s="98"/>
      <c r="S348" s="99"/>
      <c r="T348" s="98"/>
      <c r="U348" s="98"/>
      <c r="V348" s="98"/>
      <c r="W348" s="100" t="b">
        <v>0</v>
      </c>
      <c r="X348" s="100" t="b">
        <v>0</v>
      </c>
      <c r="Y348" s="101" t="b">
        <v>0</v>
      </c>
      <c r="Z348" s="96" t="s">
        <v>4047</v>
      </c>
    </row>
    <row r="349" spans="1:46" ht="119.25" customHeight="1" outlineLevel="1">
      <c r="A349" s="58">
        <v>293</v>
      </c>
      <c r="B349" s="92" t="s">
        <v>2725</v>
      </c>
      <c r="C349" s="92" t="s">
        <v>4000</v>
      </c>
      <c r="D349" s="93" t="str">
        <f>[1]트램표준체크리스트!F934</f>
        <v>능동형 우선신호 로직 및 트램 위치검지기 연계 누락으로 트램이 일반 차량과 같이 신호 대기하여 정시성·표정속도가 저하될 리스크를 검토하였는가?</v>
      </c>
      <c r="E349" s="93" t="s">
        <v>4048</v>
      </c>
      <c r="F349" s="62" t="str">
        <f t="shared" si="11"/>
        <v>하</v>
      </c>
      <c r="G349" s="63" t="s">
        <v>2668</v>
      </c>
      <c r="H349" s="63" t="s">
        <v>2674</v>
      </c>
      <c r="I349" s="199" t="s">
        <v>4049</v>
      </c>
      <c r="J349" s="137" t="s">
        <v>4532</v>
      </c>
      <c r="K349" s="97"/>
      <c r="L349" s="139" t="s">
        <v>1492</v>
      </c>
      <c r="M349" s="98"/>
      <c r="N349" s="98"/>
      <c r="O349" s="98"/>
      <c r="P349" s="98"/>
      <c r="Q349" s="98"/>
      <c r="R349" s="98"/>
      <c r="S349" s="99"/>
      <c r="T349" s="98"/>
      <c r="U349" s="98"/>
      <c r="V349" s="98"/>
      <c r="W349" s="100" t="b">
        <v>0</v>
      </c>
      <c r="X349" s="100" t="b">
        <v>0</v>
      </c>
      <c r="Y349" s="101" t="b">
        <v>0</v>
      </c>
      <c r="Z349" s="96" t="s">
        <v>4050</v>
      </c>
    </row>
    <row r="350" spans="1:46" ht="119.25" customHeight="1" outlineLevel="1">
      <c r="A350" s="58">
        <v>294</v>
      </c>
      <c r="B350" s="92" t="s">
        <v>2725</v>
      </c>
      <c r="C350" s="92" t="s">
        <v>4000</v>
      </c>
      <c r="D350" s="93" t="str">
        <f>[1]트램표준체크리스트!F935</f>
        <v>트램 전용 분기부 신호기(5구등/6구등) 누락으로 기관사 진로 방향 오인에 따른 탈선 및 충돌 사고를 유발할 리스크를 검토하였는가?</v>
      </c>
      <c r="E350" s="93" t="s">
        <v>4051</v>
      </c>
      <c r="F350" s="62" t="str">
        <f t="shared" si="11"/>
        <v>하</v>
      </c>
      <c r="G350" s="63" t="s">
        <v>2668</v>
      </c>
      <c r="H350" s="63" t="s">
        <v>2674</v>
      </c>
      <c r="I350" s="199" t="s">
        <v>4052</v>
      </c>
      <c r="J350" s="137" t="s">
        <v>4532</v>
      </c>
      <c r="K350" s="97"/>
      <c r="L350" s="139" t="s">
        <v>1492</v>
      </c>
      <c r="M350" s="98"/>
      <c r="N350" s="98"/>
      <c r="O350" s="98"/>
      <c r="P350" s="98"/>
      <c r="Q350" s="98"/>
      <c r="R350" s="98"/>
      <c r="S350" s="99"/>
      <c r="T350" s="98"/>
      <c r="U350" s="98"/>
      <c r="V350" s="98"/>
      <c r="W350" s="100" t="b">
        <v>0</v>
      </c>
      <c r="X350" s="100" t="b">
        <v>0</v>
      </c>
      <c r="Y350" s="101" t="b">
        <v>0</v>
      </c>
      <c r="Z350" s="96" t="s">
        <v>4053</v>
      </c>
    </row>
    <row r="351" spans="1:46" ht="119.25" customHeight="1" outlineLevel="1">
      <c r="A351" s="58">
        <v>295</v>
      </c>
      <c r="B351" s="92" t="s">
        <v>2725</v>
      </c>
      <c r="C351" s="92" t="s">
        <v>4000</v>
      </c>
      <c r="D351" s="93" t="str">
        <f>[1]트램표준체크리스트!F936</f>
        <v>트램과 일반차량 신호 간 상호 모순검지 기능 누락으로 시스템 오류 시 양방향 진행 신호 표출로 대형 충돌 사고가 발생할 리스크를 검토하였는가?</v>
      </c>
      <c r="E351" s="93" t="s">
        <v>4054</v>
      </c>
      <c r="F351" s="62" t="str">
        <f t="shared" si="11"/>
        <v>하</v>
      </c>
      <c r="G351" s="63" t="s">
        <v>2668</v>
      </c>
      <c r="H351" s="63" t="s">
        <v>2674</v>
      </c>
      <c r="I351" s="199" t="s">
        <v>4055</v>
      </c>
      <c r="J351" s="137" t="s">
        <v>4532</v>
      </c>
      <c r="K351" s="97"/>
      <c r="L351" s="139" t="s">
        <v>1492</v>
      </c>
      <c r="M351" s="98"/>
      <c r="N351" s="98"/>
      <c r="O351" s="98"/>
      <c r="P351" s="98"/>
      <c r="Q351" s="98"/>
      <c r="R351" s="98"/>
      <c r="S351" s="99"/>
      <c r="T351" s="98"/>
      <c r="U351" s="98"/>
      <c r="V351" s="98"/>
      <c r="W351" s="100" t="b">
        <v>0</v>
      </c>
      <c r="X351" s="100" t="b">
        <v>0</v>
      </c>
      <c r="Y351" s="101" t="b">
        <v>0</v>
      </c>
      <c r="Z351" s="96" t="s">
        <v>4056</v>
      </c>
    </row>
    <row r="352" spans="1:46" ht="119.25" customHeight="1" outlineLevel="1">
      <c r="A352" s="58">
        <v>296</v>
      </c>
      <c r="B352" s="92" t="s">
        <v>2725</v>
      </c>
      <c r="C352" s="92" t="s">
        <v>4000</v>
      </c>
      <c r="D352" s="93" t="str">
        <f>[1]트램표준체크리스트!F937</f>
        <v>유전원 태그 설계로 인한 과다 비용 발생 및 LTE-R·차상 간 신호 모진 자동정지 연동 S/W 누락 리스크를 검토하였는가?</v>
      </c>
      <c r="E352" s="93" t="s">
        <v>4057</v>
      </c>
      <c r="F352" s="62" t="str">
        <f t="shared" ref="F352:F415" si="12">_xlfn.LET(
_xlpm.v_발생, IF(ISNUMBER(SEARCH("빈번", G352)), "상",
IF(ISNUMBER(SEARCH("거의", G352)), "하", "중")),
_xlpm.v_영향, IF(ISNUMBER(SEARCH("1개월", H352)), "상",
IF(ISNUMBER(SEARCH("없음", H352)), "하", "중")),
IF(AND(_xlpm.v_발생="상", _xlpm.v_영향="상"), "극상",
IF(OR(_xlpm.v_발생="상", _xlpm.v_영향="상"), "상",
IF(AND(_xlpm.v_발생="하", _xlpm.v_영향="하"), "하",
"중")))
)</f>
        <v>하</v>
      </c>
      <c r="G352" s="63" t="s">
        <v>2668</v>
      </c>
      <c r="H352" s="63" t="s">
        <v>2674</v>
      </c>
      <c r="I352" s="199" t="s">
        <v>4058</v>
      </c>
      <c r="J352" s="137" t="s">
        <v>4532</v>
      </c>
      <c r="K352" s="97"/>
      <c r="L352" s="139" t="s">
        <v>1492</v>
      </c>
      <c r="M352" s="98"/>
      <c r="N352" s="98"/>
      <c r="O352" s="98"/>
      <c r="P352" s="98"/>
      <c r="Q352" s="98"/>
      <c r="R352" s="98"/>
      <c r="S352" s="99"/>
      <c r="T352" s="98"/>
      <c r="U352" s="98"/>
      <c r="V352" s="98"/>
      <c r="W352" s="100" t="b">
        <v>0</v>
      </c>
      <c r="X352" s="100" t="b">
        <v>0</v>
      </c>
      <c r="Y352" s="101" t="b">
        <v>0</v>
      </c>
      <c r="Z352" s="96" t="s">
        <v>4059</v>
      </c>
    </row>
    <row r="353" spans="1:46" ht="119.25" customHeight="1" outlineLevel="1">
      <c r="A353" s="58">
        <v>297</v>
      </c>
      <c r="B353" s="92" t="s">
        <v>2725</v>
      </c>
      <c r="C353" s="92" t="s">
        <v>4000</v>
      </c>
      <c r="D353" s="93" t="str">
        <f>[1]트램표준체크리스트!F938</f>
        <v>신호제어장치 이중계(Redundancy) 설계 누락으로 메인보드 소손 시 교차로 교통 통제가 장시간 전면 마비될 구조적 취약점 리스크를 검토하였는가?</v>
      </c>
      <c r="E353" s="93" t="s">
        <v>4060</v>
      </c>
      <c r="F353" s="62" t="str">
        <f t="shared" si="12"/>
        <v>하</v>
      </c>
      <c r="G353" s="63" t="s">
        <v>2668</v>
      </c>
      <c r="H353" s="63" t="s">
        <v>2674</v>
      </c>
      <c r="I353" s="199" t="s">
        <v>4061</v>
      </c>
      <c r="J353" s="137" t="s">
        <v>4532</v>
      </c>
      <c r="K353" s="97"/>
      <c r="L353" s="139" t="s">
        <v>1492</v>
      </c>
      <c r="M353" s="98"/>
      <c r="N353" s="98"/>
      <c r="O353" s="98"/>
      <c r="P353" s="98"/>
      <c r="Q353" s="98"/>
      <c r="R353" s="98"/>
      <c r="S353" s="99"/>
      <c r="T353" s="98"/>
      <c r="U353" s="98"/>
      <c r="V353" s="98"/>
      <c r="W353" s="100" t="b">
        <v>0</v>
      </c>
      <c r="X353" s="100" t="b">
        <v>0</v>
      </c>
      <c r="Y353" s="101" t="b">
        <v>0</v>
      </c>
      <c r="Z353" s="96" t="s">
        <v>4062</v>
      </c>
    </row>
    <row r="354" spans="1:46" ht="119.25" customHeight="1" outlineLevel="1">
      <c r="A354" s="58">
        <v>298</v>
      </c>
      <c r="B354" s="92" t="s">
        <v>2725</v>
      </c>
      <c r="C354" s="92" t="s">
        <v>4000</v>
      </c>
      <c r="D354" s="93" t="str">
        <f>[1]트램표준체크리스트!F939</f>
        <v>모순검지 로직 누락 및 불완전 설계로 제어기 오동작 시 트램·일반차량 동시 진행 신호가 부여될 대형 충돌 리스크를 검토하였는가?</v>
      </c>
      <c r="E354" s="93" t="s">
        <v>4063</v>
      </c>
      <c r="F354" s="125" t="str">
        <f t="shared" si="12"/>
        <v>하</v>
      </c>
      <c r="G354" s="63" t="s">
        <v>2668</v>
      </c>
      <c r="H354" s="63" t="s">
        <v>2674</v>
      </c>
      <c r="I354" s="199" t="s">
        <v>4064</v>
      </c>
      <c r="J354" s="137" t="s">
        <v>4532</v>
      </c>
      <c r="K354" s="97"/>
      <c r="L354" s="139" t="s">
        <v>1492</v>
      </c>
      <c r="M354" s="98"/>
      <c r="N354" s="98"/>
      <c r="O354" s="98"/>
      <c r="P354" s="98"/>
      <c r="Q354" s="98"/>
      <c r="R354" s="98"/>
      <c r="S354" s="99"/>
      <c r="T354" s="98"/>
      <c r="U354" s="98"/>
      <c r="V354" s="98"/>
      <c r="W354" s="100" t="b">
        <v>1</v>
      </c>
      <c r="X354" s="100" t="b">
        <v>0</v>
      </c>
      <c r="Y354" s="101" t="b">
        <v>1</v>
      </c>
      <c r="Z354" s="96" t="s">
        <v>4065</v>
      </c>
    </row>
    <row r="355" spans="1:46" ht="119.25" customHeight="1" outlineLevel="1">
      <c r="A355" s="58">
        <v>299</v>
      </c>
      <c r="B355" s="92" t="s">
        <v>2725</v>
      </c>
      <c r="C355" s="92" t="s">
        <v>4000</v>
      </c>
      <c r="D355" s="93" t="str">
        <f>[1]트램표준체크리스트!F940</f>
        <v>보증 비상제동성능(GEBR) 미반영에 따른 제동거리 부족으로 교차로 및 선로종단부 충돌·탈선이 발생할 리스크를 검토하였는가?</v>
      </c>
      <c r="E355" s="93" t="s">
        <v>4066</v>
      </c>
      <c r="F355" s="62" t="str">
        <f t="shared" si="12"/>
        <v>하</v>
      </c>
      <c r="G355" s="63" t="s">
        <v>2668</v>
      </c>
      <c r="H355" s="63" t="s">
        <v>2674</v>
      </c>
      <c r="I355" s="199" t="s">
        <v>4067</v>
      </c>
      <c r="J355" s="137" t="s">
        <v>4532</v>
      </c>
      <c r="K355" s="97"/>
      <c r="L355" s="139" t="s">
        <v>1492</v>
      </c>
      <c r="M355" s="98"/>
      <c r="N355" s="98"/>
      <c r="O355" s="98"/>
      <c r="P355" s="98"/>
      <c r="Q355" s="98"/>
      <c r="R355" s="98"/>
      <c r="S355" s="99"/>
      <c r="T355" s="98"/>
      <c r="U355" s="98"/>
      <c r="V355" s="98"/>
      <c r="W355" s="100" t="b">
        <v>0</v>
      </c>
      <c r="X355" s="100" t="b">
        <v>0</v>
      </c>
      <c r="Y355" s="101" t="b">
        <v>0</v>
      </c>
      <c r="Z355" s="96" t="s">
        <v>4068</v>
      </c>
    </row>
    <row r="356" spans="1:46" ht="119.25" customHeight="1" outlineLevel="1">
      <c r="A356" s="58">
        <v>300</v>
      </c>
      <c r="B356" s="92" t="s">
        <v>2725</v>
      </c>
      <c r="C356" s="92" t="s">
        <v>4000</v>
      </c>
      <c r="D356" s="93" t="str">
        <f>[1]트램표준체크리스트!F941</f>
        <v>경찰청 표준규격 및 사전 심의 누락에 따른 임의 규격 설계로 경찰 교통관제센터와 통신 연동이 불가할 리스크를 검토하였는가?</v>
      </c>
      <c r="E356" s="93" t="s">
        <v>4069</v>
      </c>
      <c r="F356" s="62" t="str">
        <f t="shared" si="12"/>
        <v>하</v>
      </c>
      <c r="G356" s="63" t="s">
        <v>2668</v>
      </c>
      <c r="H356" s="63" t="s">
        <v>2674</v>
      </c>
      <c r="I356" s="199" t="s">
        <v>4070</v>
      </c>
      <c r="J356" s="137" t="s">
        <v>4532</v>
      </c>
      <c r="K356" s="97"/>
      <c r="L356" s="139" t="s">
        <v>1492</v>
      </c>
      <c r="M356" s="98"/>
      <c r="N356" s="98"/>
      <c r="O356" s="98"/>
      <c r="P356" s="98"/>
      <c r="Q356" s="98"/>
      <c r="R356" s="98"/>
      <c r="S356" s="99"/>
      <c r="T356" s="98"/>
      <c r="U356" s="98"/>
      <c r="V356" s="98"/>
      <c r="W356" s="100" t="b">
        <v>0</v>
      </c>
      <c r="X356" s="100" t="b">
        <v>0</v>
      </c>
      <c r="Y356" s="101" t="b">
        <v>0</v>
      </c>
      <c r="Z356" s="96" t="s">
        <v>4071</v>
      </c>
    </row>
    <row r="357" spans="1:46" ht="119.25" customHeight="1" outlineLevel="1">
      <c r="A357" s="58">
        <v>301</v>
      </c>
      <c r="B357" s="92" t="s">
        <v>2725</v>
      </c>
      <c r="C357" s="92" t="s">
        <v>4000</v>
      </c>
      <c r="D357" s="93" t="str">
        <f>[1]트램표준체크리스트!F942</f>
        <v>트램 신호기가 원형으로 설계되어, 일반 차량 운전자의 신호 오인에 따른 교차로 진입 및 충돌 방재 리스크를 검토하였는가?</v>
      </c>
      <c r="E357" s="93" t="s">
        <v>4072</v>
      </c>
      <c r="F357" s="62" t="str">
        <f t="shared" si="12"/>
        <v>하</v>
      </c>
      <c r="G357" s="63" t="s">
        <v>2668</v>
      </c>
      <c r="H357" s="63" t="s">
        <v>2674</v>
      </c>
      <c r="I357" s="199" t="s">
        <v>4073</v>
      </c>
      <c r="J357" s="137" t="s">
        <v>4532</v>
      </c>
      <c r="K357" s="97"/>
      <c r="L357" s="139" t="s">
        <v>1492</v>
      </c>
      <c r="M357" s="98"/>
      <c r="N357" s="98"/>
      <c r="O357" s="98"/>
      <c r="P357" s="98"/>
      <c r="Q357" s="98"/>
      <c r="R357" s="98"/>
      <c r="S357" s="99"/>
      <c r="T357" s="98"/>
      <c r="U357" s="98"/>
      <c r="V357" s="98"/>
      <c r="W357" s="100" t="b">
        <v>0</v>
      </c>
      <c r="X357" s="100" t="b">
        <v>0</v>
      </c>
      <c r="Y357" s="101" t="b">
        <v>0</v>
      </c>
      <c r="Z357" s="96" t="s">
        <v>4074</v>
      </c>
    </row>
    <row r="358" spans="1:46" ht="119.25" customHeight="1" outlineLevel="1">
      <c r="A358" s="58">
        <v>302</v>
      </c>
      <c r="B358" s="92" t="s">
        <v>2725</v>
      </c>
      <c r="C358" s="92" t="s">
        <v>4000</v>
      </c>
      <c r="D358" s="93" t="str">
        <f>[1]트램표준체크리스트!F943</f>
        <v>트램 전용 신호기 설계 누락 및 경찰청 표준규격 위반으로 관할 경찰청 교통안전심의 통과가 불가해질 리스크를 검토하였는가?</v>
      </c>
      <c r="E358" s="93" t="s">
        <v>4075</v>
      </c>
      <c r="F358" s="62" t="str">
        <f t="shared" si="12"/>
        <v>하</v>
      </c>
      <c r="G358" s="63" t="s">
        <v>2668</v>
      </c>
      <c r="H358" s="63" t="s">
        <v>2674</v>
      </c>
      <c r="I358" s="199" t="s">
        <v>4076</v>
      </c>
      <c r="J358" s="137" t="s">
        <v>4532</v>
      </c>
      <c r="K358" s="97"/>
      <c r="L358" s="139" t="s">
        <v>1492</v>
      </c>
      <c r="M358" s="98"/>
      <c r="N358" s="98"/>
      <c r="O358" s="98"/>
      <c r="P358" s="98"/>
      <c r="Q358" s="98"/>
      <c r="R358" s="98"/>
      <c r="S358" s="99"/>
      <c r="T358" s="98"/>
      <c r="U358" s="98"/>
      <c r="V358" s="98"/>
      <c r="W358" s="100" t="b">
        <v>0</v>
      </c>
      <c r="X358" s="100" t="b">
        <v>0</v>
      </c>
      <c r="Y358" s="101" t="b">
        <v>0</v>
      </c>
      <c r="Z358" s="96" t="s">
        <v>4077</v>
      </c>
    </row>
    <row r="359" spans="1:46" s="134" customFormat="1" ht="119.25" customHeight="1" outlineLevel="1">
      <c r="A359" s="58">
        <v>303</v>
      </c>
      <c r="B359" s="92" t="s">
        <v>2725</v>
      </c>
      <c r="C359" s="92" t="s">
        <v>4000</v>
      </c>
      <c r="D359" s="93" t="str">
        <f>[1]트램표준체크리스트!F944</f>
        <v>분기부 트램 신호기가 좌측이나 가로형으로 임의 설계되어, 타 시설물에 가려진 신호 오인으로 분기부에서 탈선할 리스크를 검토하였는가?</v>
      </c>
      <c r="E359" s="93" t="s">
        <v>4078</v>
      </c>
      <c r="F359" s="62" t="str">
        <f t="shared" si="12"/>
        <v>하</v>
      </c>
      <c r="G359" s="63" t="s">
        <v>2668</v>
      </c>
      <c r="H359" s="63" t="s">
        <v>2674</v>
      </c>
      <c r="I359" s="199" t="s">
        <v>4079</v>
      </c>
      <c r="J359" s="137" t="s">
        <v>4532</v>
      </c>
      <c r="K359" s="97"/>
      <c r="L359" s="139" t="s">
        <v>1492</v>
      </c>
      <c r="M359" s="98"/>
      <c r="N359" s="98"/>
      <c r="O359" s="98"/>
      <c r="P359" s="98"/>
      <c r="Q359" s="98"/>
      <c r="R359" s="98"/>
      <c r="S359" s="99"/>
      <c r="T359" s="98"/>
      <c r="U359" s="98"/>
      <c r="V359" s="98"/>
      <c r="W359" s="100" t="b">
        <v>0</v>
      </c>
      <c r="X359" s="100" t="b">
        <v>0</v>
      </c>
      <c r="Y359" s="101" t="b">
        <v>0</v>
      </c>
      <c r="Z359" s="96" t="s">
        <v>4080</v>
      </c>
      <c r="AA359" s="7"/>
      <c r="AB359" s="7"/>
      <c r="AC359" s="16"/>
      <c r="AD359" s="16"/>
      <c r="AE359" s="16"/>
      <c r="AF359" s="16"/>
      <c r="AG359" s="7"/>
      <c r="AH359" s="7"/>
      <c r="AI359" s="7"/>
      <c r="AJ359" s="7"/>
      <c r="AK359" s="7"/>
      <c r="AL359" s="7"/>
      <c r="AM359" s="7"/>
      <c r="AN359" s="7"/>
      <c r="AO359" s="7"/>
      <c r="AP359" s="7"/>
      <c r="AQ359" s="7"/>
      <c r="AR359" s="7"/>
      <c r="AS359" s="7"/>
      <c r="AT359" s="7"/>
    </row>
    <row r="360" spans="1:46" s="134" customFormat="1" ht="119.25" customHeight="1" outlineLevel="1">
      <c r="A360" s="58">
        <v>304</v>
      </c>
      <c r="B360" s="92" t="s">
        <v>2725</v>
      </c>
      <c r="C360" s="92" t="s">
        <v>4000</v>
      </c>
      <c r="D360" s="93" t="str">
        <f>[1]트램표준체크리스트!F945</f>
        <v>전용 안전표지판 및 속도/서행 표지 누락·비표준 적용으로 일반 차량 궤도 침범 및 트램 곡선부 과속 사고를 유발할 리스크를 검토하였는가?</v>
      </c>
      <c r="E360" s="93" t="s">
        <v>4081</v>
      </c>
      <c r="F360" s="62" t="str">
        <f t="shared" si="12"/>
        <v>하</v>
      </c>
      <c r="G360" s="63" t="s">
        <v>2668</v>
      </c>
      <c r="H360" s="63" t="s">
        <v>2674</v>
      </c>
      <c r="I360" s="199" t="s">
        <v>4082</v>
      </c>
      <c r="J360" s="137" t="s">
        <v>4532</v>
      </c>
      <c r="K360" s="97"/>
      <c r="L360" s="139" t="s">
        <v>1492</v>
      </c>
      <c r="M360" s="98"/>
      <c r="N360" s="98"/>
      <c r="O360" s="98"/>
      <c r="P360" s="98"/>
      <c r="Q360" s="98"/>
      <c r="R360" s="98"/>
      <c r="S360" s="99"/>
      <c r="T360" s="98"/>
      <c r="U360" s="98"/>
      <c r="V360" s="98"/>
      <c r="W360" s="100" t="b">
        <v>0</v>
      </c>
      <c r="X360" s="100" t="b">
        <v>0</v>
      </c>
      <c r="Y360" s="101" t="b">
        <v>0</v>
      </c>
      <c r="Z360" s="96" t="s">
        <v>4083</v>
      </c>
      <c r="AA360" s="7"/>
      <c r="AB360" s="7"/>
      <c r="AC360" s="16"/>
      <c r="AD360" s="16"/>
      <c r="AE360" s="16"/>
      <c r="AF360" s="16"/>
      <c r="AG360" s="7"/>
      <c r="AH360" s="7"/>
      <c r="AI360" s="7"/>
      <c r="AJ360" s="7"/>
      <c r="AK360" s="7"/>
      <c r="AL360" s="7"/>
      <c r="AM360" s="7"/>
      <c r="AN360" s="7"/>
      <c r="AO360" s="7"/>
      <c r="AP360" s="7"/>
      <c r="AQ360" s="7"/>
      <c r="AR360" s="7"/>
      <c r="AS360" s="7"/>
      <c r="AT360" s="7"/>
    </row>
    <row r="361" spans="1:46" ht="119.25" customHeight="1" outlineLevel="1">
      <c r="A361" s="58">
        <v>305</v>
      </c>
      <c r="B361" s="92" t="s">
        <v>2725</v>
      </c>
      <c r="C361" s="92" t="s">
        <v>4000</v>
      </c>
      <c r="D361" s="93" t="str">
        <f>[1]트램표준체크리스트!F946</f>
        <v>속도제한·서행 표지 누락 및 사각지대 배치로 감속 지연에 따른 탈선 및 교차로 충돌 리스크를 검토하였는가?</v>
      </c>
      <c r="E361" s="93" t="s">
        <v>4084</v>
      </c>
      <c r="F361" s="94" t="str">
        <f t="shared" si="12"/>
        <v>하</v>
      </c>
      <c r="G361" s="63" t="s">
        <v>2668</v>
      </c>
      <c r="H361" s="63" t="s">
        <v>2674</v>
      </c>
      <c r="I361" s="199" t="s">
        <v>4085</v>
      </c>
      <c r="J361" s="137" t="s">
        <v>4532</v>
      </c>
      <c r="K361" s="97"/>
      <c r="L361" s="139" t="s">
        <v>1492</v>
      </c>
      <c r="M361" s="98"/>
      <c r="N361" s="98"/>
      <c r="O361" s="98"/>
      <c r="P361" s="98"/>
      <c r="Q361" s="98"/>
      <c r="R361" s="98"/>
      <c r="S361" s="99"/>
      <c r="T361" s="98"/>
      <c r="U361" s="98"/>
      <c r="V361" s="98"/>
      <c r="W361" s="100" t="b">
        <v>0</v>
      </c>
      <c r="X361" s="100" t="b">
        <v>0</v>
      </c>
      <c r="Y361" s="101" t="b">
        <v>0</v>
      </c>
      <c r="Z361" s="96" t="s">
        <v>4086</v>
      </c>
    </row>
    <row r="362" spans="1:46" s="134" customFormat="1" ht="119.25" customHeight="1" outlineLevel="1">
      <c r="A362" s="58">
        <v>306</v>
      </c>
      <c r="B362" s="92" t="s">
        <v>2725</v>
      </c>
      <c r="C362" s="92" t="s">
        <v>4000</v>
      </c>
      <c r="D362" s="93" t="str">
        <f>[1]트램표준체크리스트!F947</f>
        <v>단일로 횡단보도 트램-보행신호 연동 설계 누락으로, 횡단 시 트램 무감속 진입에 의한 중대 인명사고 리스크를 검토하였는가?</v>
      </c>
      <c r="E362" s="93" t="s">
        <v>4087</v>
      </c>
      <c r="F362" s="94" t="str">
        <f t="shared" si="12"/>
        <v>하</v>
      </c>
      <c r="G362" s="63" t="s">
        <v>2668</v>
      </c>
      <c r="H362" s="63" t="s">
        <v>2674</v>
      </c>
      <c r="I362" s="199" t="s">
        <v>4088</v>
      </c>
      <c r="J362" s="137" t="s">
        <v>4532</v>
      </c>
      <c r="K362" s="97"/>
      <c r="L362" s="139" t="s">
        <v>1492</v>
      </c>
      <c r="M362" s="98"/>
      <c r="N362" s="98"/>
      <c r="O362" s="98"/>
      <c r="P362" s="98"/>
      <c r="Q362" s="98"/>
      <c r="R362" s="98"/>
      <c r="S362" s="99"/>
      <c r="T362" s="98"/>
      <c r="U362" s="98"/>
      <c r="V362" s="98"/>
      <c r="W362" s="100" t="b">
        <v>0</v>
      </c>
      <c r="X362" s="100" t="b">
        <v>0</v>
      </c>
      <c r="Y362" s="101" t="b">
        <v>0</v>
      </c>
      <c r="Z362" s="96" t="s">
        <v>4089</v>
      </c>
      <c r="AA362" s="7"/>
      <c r="AB362" s="7"/>
      <c r="AC362" s="16"/>
      <c r="AD362" s="16"/>
      <c r="AE362" s="16"/>
      <c r="AF362" s="16"/>
      <c r="AG362" s="7"/>
      <c r="AH362" s="7"/>
      <c r="AI362" s="7"/>
      <c r="AJ362" s="7"/>
      <c r="AK362" s="7"/>
      <c r="AL362" s="7"/>
      <c r="AM362" s="7"/>
      <c r="AN362" s="7"/>
      <c r="AO362" s="7"/>
      <c r="AP362" s="7"/>
      <c r="AQ362" s="7"/>
      <c r="AR362" s="7"/>
      <c r="AS362" s="7"/>
      <c r="AT362" s="7"/>
    </row>
    <row r="363" spans="1:46" ht="119.25" customHeight="1" outlineLevel="1">
      <c r="A363" s="58">
        <v>307</v>
      </c>
      <c r="B363" s="92" t="s">
        <v>2725</v>
      </c>
      <c r="C363" s="92" t="s">
        <v>4000</v>
      </c>
      <c r="D363" s="93" t="str">
        <f>[1]트램표준체크리스트!F948</f>
        <v>통신 I/F 설계 누락으로 우선신호용 위치 데이터가 제어기에 미전달될 리스크를 검토하였는가?</v>
      </c>
      <c r="E363" s="93" t="s">
        <v>4090</v>
      </c>
      <c r="F363" s="94" t="str">
        <f t="shared" si="12"/>
        <v>하</v>
      </c>
      <c r="G363" s="63" t="s">
        <v>2668</v>
      </c>
      <c r="H363" s="63" t="s">
        <v>2674</v>
      </c>
      <c r="I363" s="199" t="s">
        <v>4091</v>
      </c>
      <c r="J363" s="137" t="s">
        <v>4532</v>
      </c>
      <c r="K363" s="97"/>
      <c r="L363" s="139" t="s">
        <v>1492</v>
      </c>
      <c r="M363" s="98"/>
      <c r="N363" s="98"/>
      <c r="O363" s="98"/>
      <c r="P363" s="98"/>
      <c r="Q363" s="98"/>
      <c r="R363" s="98"/>
      <c r="S363" s="99"/>
      <c r="T363" s="98"/>
      <c r="U363" s="98"/>
      <c r="V363" s="98"/>
      <c r="W363" s="100" t="b">
        <v>0</v>
      </c>
      <c r="X363" s="100" t="b">
        <v>0</v>
      </c>
      <c r="Y363" s="101" t="b">
        <v>0</v>
      </c>
      <c r="Z363" s="96" t="s">
        <v>4092</v>
      </c>
    </row>
    <row r="364" spans="1:46" ht="119.25" customHeight="1" outlineLevel="1">
      <c r="A364" s="58">
        <v>308</v>
      </c>
      <c r="B364" s="92" t="s">
        <v>2725</v>
      </c>
      <c r="C364" s="92" t="s">
        <v>4000</v>
      </c>
      <c r="D364" s="93" t="str">
        <f>[1]트램표준체크리스트!F950</f>
        <v>도로·철도신호 연계 누락 및 모바일 안테나 혼용 배치에 따른 통신 전자파 간섭 신호 오동작 리스크를 검토하였는가?</v>
      </c>
      <c r="E364" s="93" t="s">
        <v>4093</v>
      </c>
      <c r="F364" s="94" t="str">
        <f t="shared" si="12"/>
        <v>하</v>
      </c>
      <c r="G364" s="63" t="s">
        <v>2668</v>
      </c>
      <c r="H364" s="63" t="s">
        <v>2674</v>
      </c>
      <c r="I364" s="199" t="s">
        <v>4094</v>
      </c>
      <c r="J364" s="137" t="s">
        <v>4532</v>
      </c>
      <c r="K364" s="97"/>
      <c r="L364" s="139" t="s">
        <v>1492</v>
      </c>
      <c r="M364" s="98"/>
      <c r="N364" s="98"/>
      <c r="O364" s="98"/>
      <c r="P364" s="98"/>
      <c r="Q364" s="98"/>
      <c r="R364" s="98"/>
      <c r="S364" s="99"/>
      <c r="T364" s="98"/>
      <c r="U364" s="98"/>
      <c r="V364" s="98"/>
      <c r="W364" s="100" t="b">
        <v>0</v>
      </c>
      <c r="X364" s="100" t="b">
        <v>0</v>
      </c>
      <c r="Y364" s="101" t="b">
        <v>0</v>
      </c>
      <c r="Z364" s="96" t="s">
        <v>4095</v>
      </c>
    </row>
    <row r="365" spans="1:46" ht="119.25" customHeight="1" outlineLevel="1">
      <c r="A365" s="58">
        <v>309</v>
      </c>
      <c r="B365" s="92" t="s">
        <v>2725</v>
      </c>
      <c r="C365" s="92" t="s">
        <v>4000</v>
      </c>
      <c r="D365" s="93" t="str">
        <f>[1]트램표준체크리스트!F951</f>
        <v>기지 내 입환 신호 및 시운전선 추돌방지 로직 누락으로 다수 트램 동시 이동 시 정면·측면 충돌 사고가 발생할 리스크를 검토하였는가?</v>
      </c>
      <c r="E365" s="93" t="s">
        <v>4096</v>
      </c>
      <c r="F365" s="94" t="str">
        <f t="shared" si="12"/>
        <v>하</v>
      </c>
      <c r="G365" s="63" t="s">
        <v>2668</v>
      </c>
      <c r="H365" s="63" t="s">
        <v>2674</v>
      </c>
      <c r="I365" s="199" t="s">
        <v>4097</v>
      </c>
      <c r="J365" s="137" t="s">
        <v>4532</v>
      </c>
      <c r="K365" s="97"/>
      <c r="L365" s="139" t="s">
        <v>1492</v>
      </c>
      <c r="M365" s="98"/>
      <c r="N365" s="98"/>
      <c r="O365" s="98"/>
      <c r="P365" s="98"/>
      <c r="Q365" s="98"/>
      <c r="R365" s="98"/>
      <c r="S365" s="99"/>
      <c r="T365" s="98"/>
      <c r="U365" s="98"/>
      <c r="V365" s="98"/>
      <c r="W365" s="100" t="b">
        <v>0</v>
      </c>
      <c r="X365" s="100" t="b">
        <v>0</v>
      </c>
      <c r="Y365" s="101" t="b">
        <v>0</v>
      </c>
      <c r="Z365" s="96" t="s">
        <v>4098</v>
      </c>
    </row>
    <row r="366" spans="1:46" ht="119.25" customHeight="1" outlineLevel="1">
      <c r="A366" s="58">
        <v>310</v>
      </c>
      <c r="B366" s="92" t="s">
        <v>2725</v>
      </c>
      <c r="C366" s="92" t="s">
        <v>4000</v>
      </c>
      <c r="D366" s="93" t="str">
        <f>[1]트램표준체크리스트!F952</f>
        <v>히팅 장치 결선 및 어스박스 배수관 연결 누락으로 동절기 결빙 및 집중호우 침수에 따른 분기부 신호 제어 불능 리스크를 검토하였는가?</v>
      </c>
      <c r="E366" s="93" t="s">
        <v>4099</v>
      </c>
      <c r="F366" s="94" t="str">
        <f t="shared" si="12"/>
        <v>하</v>
      </c>
      <c r="G366" s="63" t="s">
        <v>2668</v>
      </c>
      <c r="H366" s="63" t="s">
        <v>2674</v>
      </c>
      <c r="I366" s="199" t="s">
        <v>4100</v>
      </c>
      <c r="J366" s="137" t="s">
        <v>4532</v>
      </c>
      <c r="K366" s="97"/>
      <c r="L366" s="139" t="s">
        <v>1492</v>
      </c>
      <c r="M366" s="98"/>
      <c r="N366" s="98"/>
      <c r="O366" s="98"/>
      <c r="P366" s="98"/>
      <c r="Q366" s="98"/>
      <c r="R366" s="98"/>
      <c r="S366" s="99"/>
      <c r="T366" s="98"/>
      <c r="U366" s="98"/>
      <c r="V366" s="98"/>
      <c r="W366" s="100" t="b">
        <v>0</v>
      </c>
      <c r="X366" s="100" t="b">
        <v>0</v>
      </c>
      <c r="Y366" s="101" t="b">
        <v>0</v>
      </c>
      <c r="Z366" s="96" t="s">
        <v>4101</v>
      </c>
    </row>
    <row r="367" spans="1:46" ht="119.25" customHeight="1" outlineLevel="1">
      <c r="A367" s="58">
        <v>311</v>
      </c>
      <c r="B367" s="92" t="s">
        <v>2725</v>
      </c>
      <c r="C367" s="92" t="s">
        <v>4000</v>
      </c>
      <c r="D367" s="93" t="str">
        <f>[1]트램표준체크리스트!F953</f>
        <v>운전 방식 경계부 전환 안내 신호기 및 제어 로직 누락으로 기관사 신호 혼동에 따른 속도 위반 및 궤도 이탈 리스크를 검토하였는가?</v>
      </c>
      <c r="E367" s="135" t="s">
        <v>4102</v>
      </c>
      <c r="F367" s="94" t="str">
        <f t="shared" si="12"/>
        <v>하</v>
      </c>
      <c r="G367" s="63" t="s">
        <v>2668</v>
      </c>
      <c r="H367" s="63" t="s">
        <v>2674</v>
      </c>
      <c r="I367" s="199" t="s">
        <v>4103</v>
      </c>
      <c r="J367" s="137" t="s">
        <v>4532</v>
      </c>
      <c r="K367" s="97"/>
      <c r="L367" s="139" t="s">
        <v>1492</v>
      </c>
      <c r="M367" s="98"/>
      <c r="N367" s="98"/>
      <c r="O367" s="98"/>
      <c r="P367" s="98"/>
      <c r="Q367" s="98"/>
      <c r="R367" s="98"/>
      <c r="S367" s="99"/>
      <c r="T367" s="98"/>
      <c r="U367" s="98"/>
      <c r="V367" s="98"/>
      <c r="W367" s="100" t="b">
        <v>0</v>
      </c>
      <c r="X367" s="100" t="b">
        <v>0</v>
      </c>
      <c r="Y367" s="101" t="b">
        <v>0</v>
      </c>
      <c r="Z367" s="96" t="s">
        <v>4104</v>
      </c>
    </row>
    <row r="368" spans="1:46" ht="119.25" customHeight="1" outlineLevel="1">
      <c r="A368" s="58">
        <v>312</v>
      </c>
      <c r="B368" s="92" t="s">
        <v>2725</v>
      </c>
      <c r="C368" s="92" t="s">
        <v>4000</v>
      </c>
      <c r="D368" s="93" t="str">
        <f>[1]트램표준체크리스트!F954</f>
        <v>분기부 신호기와 일반차량 신호기의 동기화 누락으로, 신호가 겹쳐 점등되어 교차로 궤도 진입 시 측면 충돌 사고가 발생할 방재 리스크를 검토하였는가?</v>
      </c>
      <c r="E368" s="93" t="s">
        <v>4105</v>
      </c>
      <c r="F368" s="94" t="str">
        <f t="shared" si="12"/>
        <v>하</v>
      </c>
      <c r="G368" s="63" t="s">
        <v>2668</v>
      </c>
      <c r="H368" s="63" t="s">
        <v>2674</v>
      </c>
      <c r="I368" s="199" t="s">
        <v>4106</v>
      </c>
      <c r="J368" s="137" t="s">
        <v>4532</v>
      </c>
      <c r="K368" s="97"/>
      <c r="L368" s="139" t="s">
        <v>1492</v>
      </c>
      <c r="M368" s="98"/>
      <c r="N368" s="98"/>
      <c r="O368" s="98"/>
      <c r="P368" s="98"/>
      <c r="Q368" s="98"/>
      <c r="R368" s="98"/>
      <c r="S368" s="99"/>
      <c r="T368" s="98"/>
      <c r="U368" s="98"/>
      <c r="V368" s="98"/>
      <c r="W368" s="100" t="b">
        <v>0</v>
      </c>
      <c r="X368" s="100" t="b">
        <v>0</v>
      </c>
      <c r="Y368" s="101" t="b">
        <v>0</v>
      </c>
      <c r="Z368" s="96" t="s">
        <v>4107</v>
      </c>
    </row>
    <row r="369" spans="1:46" ht="119.25" customHeight="1" outlineLevel="1">
      <c r="A369" s="58">
        <v>313</v>
      </c>
      <c r="B369" s="92" t="s">
        <v>2725</v>
      </c>
      <c r="C369" s="92" t="s">
        <v>4000</v>
      </c>
      <c r="D369" s="93" t="str">
        <f>[1]트램표준체크리스트!F955</f>
        <v>교차로 소등에 따른 교통 정리요원 배치 수량 및 비용 누락으로, 현장에서 무방비 상태로 신호기가 차단될 리스크를 검토하였는가?</v>
      </c>
      <c r="E369" s="93" t="s">
        <v>4108</v>
      </c>
      <c r="F369" s="94" t="str">
        <f t="shared" si="12"/>
        <v>하</v>
      </c>
      <c r="G369" s="63" t="s">
        <v>2668</v>
      </c>
      <c r="H369" s="63" t="s">
        <v>2674</v>
      </c>
      <c r="I369" s="199" t="s">
        <v>4109</v>
      </c>
      <c r="J369" s="137" t="s">
        <v>4532</v>
      </c>
      <c r="K369" s="97"/>
      <c r="L369" s="139" t="s">
        <v>1492</v>
      </c>
      <c r="M369" s="98"/>
      <c r="N369" s="98"/>
      <c r="O369" s="98"/>
      <c r="P369" s="98"/>
      <c r="Q369" s="98"/>
      <c r="R369" s="98"/>
      <c r="S369" s="99"/>
      <c r="T369" s="98"/>
      <c r="U369" s="98"/>
      <c r="V369" s="98"/>
      <c r="W369" s="100" t="b">
        <v>0</v>
      </c>
      <c r="X369" s="100" t="b">
        <v>0</v>
      </c>
      <c r="Y369" s="101" t="b">
        <v>0</v>
      </c>
      <c r="Z369" s="96" t="s">
        <v>4110</v>
      </c>
    </row>
    <row r="370" spans="1:46" ht="119.25" customHeight="1" outlineLevel="1">
      <c r="A370" s="58">
        <v>314</v>
      </c>
      <c r="B370" s="92" t="s">
        <v>2725</v>
      </c>
      <c r="C370" s="92" t="s">
        <v>4000</v>
      </c>
      <c r="D370" s="93" t="str">
        <f>[1]트램표준체크리스트!F956</f>
        <v>트램 신호기 높이가 3.5m 미만으로 설계되어, 가로수나 트럭 등에 의해 기관사의 신호 시야가 가려질 리스크를 검토하였는가?</v>
      </c>
      <c r="E370" s="93" t="s">
        <v>4111</v>
      </c>
      <c r="F370" s="94" t="str">
        <f t="shared" si="12"/>
        <v>하</v>
      </c>
      <c r="G370" s="63" t="s">
        <v>2668</v>
      </c>
      <c r="H370" s="63" t="s">
        <v>2674</v>
      </c>
      <c r="I370" s="199" t="s">
        <v>4112</v>
      </c>
      <c r="J370" s="137" t="s">
        <v>4532</v>
      </c>
      <c r="K370" s="97"/>
      <c r="L370" s="139" t="s">
        <v>1492</v>
      </c>
      <c r="M370" s="98"/>
      <c r="N370" s="98"/>
      <c r="O370" s="98"/>
      <c r="P370" s="98"/>
      <c r="Q370" s="98"/>
      <c r="R370" s="98"/>
      <c r="S370" s="99"/>
      <c r="T370" s="98"/>
      <c r="U370" s="98"/>
      <c r="V370" s="98"/>
      <c r="W370" s="100" t="b">
        <v>0</v>
      </c>
      <c r="X370" s="100" t="b">
        <v>0</v>
      </c>
      <c r="Y370" s="101" t="b">
        <v>0</v>
      </c>
      <c r="Z370" s="96" t="s">
        <v>4113</v>
      </c>
    </row>
    <row r="371" spans="1:46" ht="119.25" customHeight="1" outlineLevel="1">
      <c r="A371" s="58">
        <v>315</v>
      </c>
      <c r="B371" s="92" t="s">
        <v>2725</v>
      </c>
      <c r="C371" s="92" t="s">
        <v>4000</v>
      </c>
      <c r="D371" s="93" t="str">
        <f>[1]트램표준체크리스트!F957</f>
        <v>관로 굴착 및 맨홀이 토목·통신 공동관로 계획과 별개로 설계되어, 교차로 반복 굴착에 따른 공사비 낭비 및 통행 불편 가중 리스크를 검토하였는가?</v>
      </c>
      <c r="E371" s="93" t="s">
        <v>4114</v>
      </c>
      <c r="F371" s="94" t="str">
        <f t="shared" si="12"/>
        <v>하</v>
      </c>
      <c r="G371" s="63" t="s">
        <v>2668</v>
      </c>
      <c r="H371" s="63" t="s">
        <v>2674</v>
      </c>
      <c r="I371" s="199" t="s">
        <v>4115</v>
      </c>
      <c r="J371" s="137" t="s">
        <v>4532</v>
      </c>
      <c r="K371" s="97"/>
      <c r="L371" s="139" t="s">
        <v>1492</v>
      </c>
      <c r="M371" s="98"/>
      <c r="N371" s="98"/>
      <c r="O371" s="98"/>
      <c r="P371" s="98"/>
      <c r="Q371" s="98"/>
      <c r="R371" s="98"/>
      <c r="S371" s="99"/>
      <c r="T371" s="98"/>
      <c r="U371" s="98"/>
      <c r="V371" s="98"/>
      <c r="W371" s="100" t="b">
        <v>0</v>
      </c>
      <c r="X371" s="100" t="b">
        <v>0</v>
      </c>
      <c r="Y371" s="101" t="b">
        <v>0</v>
      </c>
      <c r="Z371" s="96" t="s">
        <v>4116</v>
      </c>
    </row>
    <row r="372" spans="1:46" ht="119.25" customHeight="1" outlineLevel="1">
      <c r="A372" s="58">
        <v>316</v>
      </c>
      <c r="B372" s="92" t="s">
        <v>2725</v>
      </c>
      <c r="C372" s="92" t="s">
        <v>4000</v>
      </c>
      <c r="D372" s="93" t="str">
        <f>[1]트램표준체크리스트!F958</f>
        <v>옥외 신호 현장제어함의 IP56 이상 방진방수 및 방습 구조 규격 누락으로, 우천 시 침수·결로에 의한 신호 마비가 발생할 리스크를 검토하였는가?</v>
      </c>
      <c r="E372" s="93" t="s">
        <v>4117</v>
      </c>
      <c r="F372" s="94" t="str">
        <f t="shared" si="12"/>
        <v>하</v>
      </c>
      <c r="G372" s="63" t="s">
        <v>2668</v>
      </c>
      <c r="H372" s="63" t="s">
        <v>2674</v>
      </c>
      <c r="I372" s="199" t="s">
        <v>4118</v>
      </c>
      <c r="J372" s="137" t="s">
        <v>4532</v>
      </c>
      <c r="K372" s="97"/>
      <c r="L372" s="139" t="s">
        <v>1492</v>
      </c>
      <c r="M372" s="98"/>
      <c r="N372" s="98"/>
      <c r="O372" s="98"/>
      <c r="P372" s="98"/>
      <c r="Q372" s="98"/>
      <c r="R372" s="98"/>
      <c r="S372" s="99"/>
      <c r="T372" s="98"/>
      <c r="U372" s="98"/>
      <c r="V372" s="98"/>
      <c r="W372" s="100" t="b">
        <v>0</v>
      </c>
      <c r="X372" s="100" t="b">
        <v>0</v>
      </c>
      <c r="Y372" s="101" t="b">
        <v>0</v>
      </c>
      <c r="Z372" s="96" t="s">
        <v>4119</v>
      </c>
    </row>
    <row r="373" spans="1:46" ht="119.25" customHeight="1" outlineLevel="1">
      <c r="A373" s="58">
        <v>317</v>
      </c>
      <c r="B373" s="92" t="s">
        <v>2726</v>
      </c>
      <c r="C373" s="92" t="s">
        <v>4001</v>
      </c>
      <c r="D373" s="93" t="str">
        <f>[1]트램표준체크리스트!F674</f>
        <v>트램 우선신호 로직 및 차량 검지기 설치 위치 누락·부적절로 트램·일반 차량 간 대형 충돌 사고 및 교통 체증이 발생할 리스크를 검토하였는가?</v>
      </c>
      <c r="E373" s="93" t="s">
        <v>4120</v>
      </c>
      <c r="F373" s="94" t="str">
        <f t="shared" si="12"/>
        <v>하</v>
      </c>
      <c r="G373" s="63" t="s">
        <v>2668</v>
      </c>
      <c r="H373" s="63" t="s">
        <v>2674</v>
      </c>
      <c r="I373" s="199" t="s">
        <v>4121</v>
      </c>
      <c r="J373" s="137" t="s">
        <v>4532</v>
      </c>
      <c r="K373" s="97"/>
      <c r="L373" s="139" t="s">
        <v>1492</v>
      </c>
      <c r="M373" s="98"/>
      <c r="N373" s="98"/>
      <c r="O373" s="98"/>
      <c r="P373" s="98"/>
      <c r="Q373" s="98"/>
      <c r="R373" s="98"/>
      <c r="S373" s="99"/>
      <c r="T373" s="98"/>
      <c r="U373" s="98"/>
      <c r="V373" s="98"/>
      <c r="W373" s="100" t="b">
        <v>0</v>
      </c>
      <c r="X373" s="100" t="b">
        <v>0</v>
      </c>
      <c r="Y373" s="101" t="b">
        <v>0</v>
      </c>
      <c r="Z373" s="96" t="s">
        <v>4122</v>
      </c>
    </row>
    <row r="374" spans="1:46" ht="119.25" customHeight="1" outlineLevel="1">
      <c r="A374" s="58">
        <v>318</v>
      </c>
      <c r="B374" s="123" t="s">
        <v>2726</v>
      </c>
      <c r="C374" s="123" t="s">
        <v>4001</v>
      </c>
      <c r="D374" s="124" t="str">
        <f>[1]트램표준체크리스트!F675</f>
        <v>기존 도로신호·트램 우선신호 간 통신 방식 및 연동 로직 설계 미비로, 교차로 신호 상충에 따른 대형 교통사고 및 차량 정체 리스크를 검토하였는가?</v>
      </c>
      <c r="E374" s="124" t="s">
        <v>4123</v>
      </c>
      <c r="F374" s="94" t="str">
        <f t="shared" si="12"/>
        <v>하</v>
      </c>
      <c r="G374" s="63" t="s">
        <v>2668</v>
      </c>
      <c r="H374" s="63" t="s">
        <v>2674</v>
      </c>
      <c r="I374" s="197" t="s">
        <v>4124</v>
      </c>
      <c r="J374" s="137" t="s">
        <v>4532</v>
      </c>
      <c r="K374" s="129"/>
      <c r="L374" s="138" t="s">
        <v>1492</v>
      </c>
      <c r="M374" s="130"/>
      <c r="N374" s="130"/>
      <c r="O374" s="130"/>
      <c r="P374" s="130"/>
      <c r="Q374" s="130"/>
      <c r="R374" s="130"/>
      <c r="S374" s="131"/>
      <c r="T374" s="130"/>
      <c r="U374" s="130"/>
      <c r="V374" s="130"/>
      <c r="W374" s="132" t="b">
        <v>0</v>
      </c>
      <c r="X374" s="132" t="b">
        <v>0</v>
      </c>
      <c r="Y374" s="133" t="b">
        <v>0</v>
      </c>
      <c r="Z374" s="127" t="s">
        <v>4125</v>
      </c>
      <c r="AA374" s="134"/>
      <c r="AB374" s="134"/>
      <c r="AC374" s="150"/>
      <c r="AD374" s="150"/>
      <c r="AE374" s="150"/>
      <c r="AF374" s="150"/>
      <c r="AG374" s="134"/>
      <c r="AH374" s="134"/>
      <c r="AI374" s="134"/>
      <c r="AJ374" s="134"/>
      <c r="AK374" s="134"/>
      <c r="AL374" s="134"/>
      <c r="AM374" s="134"/>
      <c r="AN374" s="134"/>
      <c r="AO374" s="134"/>
      <c r="AP374" s="134"/>
      <c r="AQ374" s="134"/>
      <c r="AR374" s="134"/>
      <c r="AS374" s="134"/>
      <c r="AT374" s="134"/>
    </row>
    <row r="375" spans="1:46" ht="119.25" customHeight="1" outlineLevel="1">
      <c r="A375" s="58">
        <v>319</v>
      </c>
      <c r="B375" s="123" t="s">
        <v>2726</v>
      </c>
      <c r="C375" s="123" t="s">
        <v>4001</v>
      </c>
      <c r="D375" s="124" t="str">
        <f>[1]트램표준체크리스트!F676</f>
        <v>정위치 정차 제어 인터페이스 기준 누락으로 휠체어 승하차 시 진입 단차가 발생할 안전사고 리스크를 검토하였는가?</v>
      </c>
      <c r="E375" s="124" t="s">
        <v>4126</v>
      </c>
      <c r="F375" s="94" t="str">
        <f t="shared" si="12"/>
        <v>하</v>
      </c>
      <c r="G375" s="63" t="s">
        <v>2668</v>
      </c>
      <c r="H375" s="63" t="s">
        <v>2674</v>
      </c>
      <c r="I375" s="197" t="s">
        <v>4127</v>
      </c>
      <c r="J375" s="137" t="s">
        <v>4532</v>
      </c>
      <c r="K375" s="129"/>
      <c r="L375" s="138" t="s">
        <v>1492</v>
      </c>
      <c r="M375" s="130"/>
      <c r="N375" s="130"/>
      <c r="O375" s="130"/>
      <c r="P375" s="130"/>
      <c r="Q375" s="130"/>
      <c r="R375" s="130"/>
      <c r="S375" s="131"/>
      <c r="T375" s="130"/>
      <c r="U375" s="130"/>
      <c r="V375" s="130"/>
      <c r="W375" s="132" t="b">
        <v>0</v>
      </c>
      <c r="X375" s="132" t="b">
        <v>0</v>
      </c>
      <c r="Y375" s="133" t="b">
        <v>0</v>
      </c>
      <c r="Z375" s="127" t="s">
        <v>4128</v>
      </c>
      <c r="AA375" s="134"/>
      <c r="AB375" s="134"/>
      <c r="AC375" s="150"/>
      <c r="AD375" s="150"/>
      <c r="AE375" s="150"/>
      <c r="AF375" s="150"/>
      <c r="AG375" s="134"/>
      <c r="AH375" s="134"/>
      <c r="AI375" s="134"/>
      <c r="AJ375" s="134"/>
      <c r="AK375" s="134"/>
      <c r="AL375" s="134"/>
      <c r="AM375" s="134"/>
      <c r="AN375" s="134"/>
      <c r="AO375" s="134"/>
      <c r="AP375" s="134"/>
      <c r="AQ375" s="134"/>
      <c r="AR375" s="134"/>
      <c r="AS375" s="134"/>
      <c r="AT375" s="134"/>
    </row>
    <row r="376" spans="1:46" ht="119.25" customHeight="1" outlineLevel="1">
      <c r="A376" s="58">
        <v>320</v>
      </c>
      <c r="B376" s="123" t="s">
        <v>2726</v>
      </c>
      <c r="C376" s="123" t="s">
        <v>4001</v>
      </c>
      <c r="D376" s="124" t="str">
        <f>[1]트램표준체크리스트!F677</f>
        <v>경찰청·지자체 사전협의 및 신호 개량 승인 누락으로 우선신호가 불허되거나 지자체별 연동 규격이 상이해질 리스크를 검토하였는가?</v>
      </c>
      <c r="E376" s="124" t="s">
        <v>4129</v>
      </c>
      <c r="F376" s="94" t="str">
        <f t="shared" si="12"/>
        <v>하</v>
      </c>
      <c r="G376" s="63" t="s">
        <v>2668</v>
      </c>
      <c r="H376" s="63" t="s">
        <v>2674</v>
      </c>
      <c r="I376" s="197" t="s">
        <v>4130</v>
      </c>
      <c r="J376" s="137" t="s">
        <v>4532</v>
      </c>
      <c r="K376" s="129"/>
      <c r="L376" s="138" t="s">
        <v>1492</v>
      </c>
      <c r="M376" s="130"/>
      <c r="N376" s="130"/>
      <c r="O376" s="130"/>
      <c r="P376" s="130"/>
      <c r="Q376" s="130"/>
      <c r="R376" s="130"/>
      <c r="S376" s="131"/>
      <c r="T376" s="130"/>
      <c r="U376" s="130"/>
      <c r="V376" s="130"/>
      <c r="W376" s="132" t="b">
        <v>0</v>
      </c>
      <c r="X376" s="132" t="b">
        <v>0</v>
      </c>
      <c r="Y376" s="133" t="b">
        <v>0</v>
      </c>
      <c r="Z376" s="127" t="s">
        <v>4131</v>
      </c>
      <c r="AA376" s="134"/>
      <c r="AB376" s="134"/>
      <c r="AC376" s="150"/>
      <c r="AD376" s="150"/>
      <c r="AE376" s="150"/>
      <c r="AF376" s="150"/>
      <c r="AG376" s="134"/>
      <c r="AH376" s="134"/>
      <c r="AI376" s="134"/>
      <c r="AJ376" s="134"/>
      <c r="AK376" s="134"/>
      <c r="AL376" s="134"/>
      <c r="AM376" s="134"/>
      <c r="AN376" s="134"/>
      <c r="AO376" s="134"/>
      <c r="AP376" s="134"/>
      <c r="AQ376" s="134"/>
      <c r="AR376" s="134"/>
      <c r="AS376" s="134"/>
      <c r="AT376" s="134"/>
    </row>
    <row r="377" spans="1:46" ht="119.25" customHeight="1" outlineLevel="1">
      <c r="A377" s="58">
        <v>321</v>
      </c>
      <c r="B377" s="123" t="s">
        <v>2726</v>
      </c>
      <c r="C377" s="123" t="s">
        <v>4001</v>
      </c>
      <c r="D377" s="124" t="str">
        <f>[1]트램표준체크리스트!F678</f>
        <v>히팅장치 구축 시 궤도-신호 간 배선 연결 및 제어 인터페이스 설계 불명확으로 설비 제어 불가가 발생할 리스크를 검토하였는가?</v>
      </c>
      <c r="E377" s="124" t="s">
        <v>4132</v>
      </c>
      <c r="F377" s="94" t="str">
        <f t="shared" si="12"/>
        <v>하</v>
      </c>
      <c r="G377" s="63" t="s">
        <v>2668</v>
      </c>
      <c r="H377" s="63" t="s">
        <v>2674</v>
      </c>
      <c r="I377" s="197" t="s">
        <v>4133</v>
      </c>
      <c r="J377" s="137" t="s">
        <v>4532</v>
      </c>
      <c r="K377" s="129"/>
      <c r="L377" s="138" t="s">
        <v>1492</v>
      </c>
      <c r="M377" s="130"/>
      <c r="N377" s="130"/>
      <c r="O377" s="130"/>
      <c r="P377" s="130"/>
      <c r="Q377" s="130"/>
      <c r="R377" s="130"/>
      <c r="S377" s="131"/>
      <c r="T377" s="130"/>
      <c r="U377" s="130"/>
      <c r="V377" s="130"/>
      <c r="W377" s="132" t="b">
        <v>0</v>
      </c>
      <c r="X377" s="132" t="b">
        <v>0</v>
      </c>
      <c r="Y377" s="133" t="b">
        <v>0</v>
      </c>
      <c r="Z377" s="127" t="s">
        <v>4134</v>
      </c>
      <c r="AA377" s="134"/>
      <c r="AB377" s="134"/>
      <c r="AC377" s="150"/>
      <c r="AD377" s="150"/>
      <c r="AE377" s="150"/>
      <c r="AF377" s="150"/>
      <c r="AG377" s="134"/>
      <c r="AH377" s="134"/>
      <c r="AI377" s="134"/>
      <c r="AJ377" s="134"/>
      <c r="AK377" s="134"/>
      <c r="AL377" s="134"/>
      <c r="AM377" s="134"/>
      <c r="AN377" s="134"/>
      <c r="AO377" s="134"/>
      <c r="AP377" s="134"/>
      <c r="AQ377" s="134"/>
      <c r="AR377" s="134"/>
      <c r="AS377" s="134"/>
      <c r="AT377" s="134"/>
    </row>
    <row r="378" spans="1:46" ht="119.25" customHeight="1" outlineLevel="1">
      <c r="A378" s="58">
        <v>322</v>
      </c>
      <c r="B378" s="123" t="s">
        <v>2726</v>
      </c>
      <c r="C378" s="123" t="s">
        <v>4001</v>
      </c>
      <c r="D378" s="124" t="str">
        <f>[1]트램표준체크리스트!F679</f>
        <v>매립형 궤도 내 차축검지기·태그 물리적 공간(레일 절단·박스아웃) 설계 누락으로 설비 간 간섭이 발생할 리스크를 검토하였는가?</v>
      </c>
      <c r="E378" s="124" t="s">
        <v>4135</v>
      </c>
      <c r="F378" s="94" t="str">
        <f t="shared" si="12"/>
        <v>하</v>
      </c>
      <c r="G378" s="63" t="s">
        <v>2668</v>
      </c>
      <c r="H378" s="63" t="s">
        <v>2674</v>
      </c>
      <c r="I378" s="197" t="s">
        <v>4136</v>
      </c>
      <c r="J378" s="137" t="s">
        <v>4532</v>
      </c>
      <c r="K378" s="129"/>
      <c r="L378" s="138" t="s">
        <v>1492</v>
      </c>
      <c r="M378" s="130"/>
      <c r="N378" s="130"/>
      <c r="O378" s="130"/>
      <c r="P378" s="130"/>
      <c r="Q378" s="130"/>
      <c r="R378" s="130"/>
      <c r="S378" s="131"/>
      <c r="T378" s="130"/>
      <c r="U378" s="130"/>
      <c r="V378" s="130"/>
      <c r="W378" s="132" t="b">
        <v>0</v>
      </c>
      <c r="X378" s="132" t="b">
        <v>0</v>
      </c>
      <c r="Y378" s="133" t="b">
        <v>0</v>
      </c>
      <c r="Z378" s="127" t="s">
        <v>4137</v>
      </c>
      <c r="AA378" s="134"/>
      <c r="AB378" s="134"/>
      <c r="AC378" s="150"/>
      <c r="AD378" s="150"/>
      <c r="AE378" s="150"/>
      <c r="AF378" s="150"/>
      <c r="AG378" s="134"/>
      <c r="AH378" s="134"/>
      <c r="AI378" s="134"/>
      <c r="AJ378" s="134"/>
      <c r="AK378" s="134"/>
      <c r="AL378" s="134"/>
      <c r="AM378" s="134"/>
      <c r="AN378" s="134"/>
      <c r="AO378" s="134"/>
      <c r="AP378" s="134"/>
      <c r="AQ378" s="134"/>
      <c r="AR378" s="134"/>
      <c r="AS378" s="134"/>
      <c r="AT378" s="134"/>
    </row>
    <row r="379" spans="1:46" ht="119.25" customHeight="1" outlineLevel="1">
      <c r="A379" s="58">
        <v>323</v>
      </c>
      <c r="B379" s="123" t="s">
        <v>2726</v>
      </c>
      <c r="C379" s="123" t="s">
        <v>4001</v>
      </c>
      <c r="D379" s="124" t="str">
        <f>[1]트램표준체크리스트!F684</f>
        <v>철도종합시험운행 절대 공기(Test Period) 및 평가 항목 과소 반영으로 개통 전 통합 인터페이스 검증을 완료하지 못할 리스크를 검토하였는가?</v>
      </c>
      <c r="E379" s="124" t="s">
        <v>4138</v>
      </c>
      <c r="F379" s="94" t="str">
        <f t="shared" si="12"/>
        <v>하</v>
      </c>
      <c r="G379" s="63" t="s">
        <v>2668</v>
      </c>
      <c r="H379" s="63" t="s">
        <v>2674</v>
      </c>
      <c r="I379" s="197" t="s">
        <v>4139</v>
      </c>
      <c r="J379" s="137" t="s">
        <v>4532</v>
      </c>
      <c r="K379" s="129"/>
      <c r="L379" s="138" t="s">
        <v>1492</v>
      </c>
      <c r="M379" s="130"/>
      <c r="N379" s="130"/>
      <c r="O379" s="130"/>
      <c r="P379" s="130"/>
      <c r="Q379" s="130"/>
      <c r="R379" s="130"/>
      <c r="S379" s="131"/>
      <c r="T379" s="130"/>
      <c r="U379" s="130"/>
      <c r="V379" s="130"/>
      <c r="W379" s="132" t="b">
        <v>0</v>
      </c>
      <c r="X379" s="132" t="b">
        <v>0</v>
      </c>
      <c r="Y379" s="133" t="b">
        <v>0</v>
      </c>
      <c r="Z379" s="127" t="s">
        <v>4140</v>
      </c>
      <c r="AA379" s="134"/>
      <c r="AB379" s="134"/>
      <c r="AC379" s="150"/>
      <c r="AD379" s="150"/>
      <c r="AE379" s="150"/>
      <c r="AF379" s="150"/>
      <c r="AG379" s="134"/>
      <c r="AH379" s="134"/>
      <c r="AI379" s="134"/>
      <c r="AJ379" s="134"/>
      <c r="AK379" s="134"/>
      <c r="AL379" s="134"/>
      <c r="AM379" s="134"/>
      <c r="AN379" s="134"/>
      <c r="AO379" s="134"/>
      <c r="AP379" s="134"/>
      <c r="AQ379" s="134"/>
      <c r="AR379" s="134"/>
      <c r="AS379" s="134"/>
      <c r="AT379" s="134"/>
    </row>
    <row r="380" spans="1:46" ht="119.25" customHeight="1" outlineLevel="1">
      <c r="A380" s="58">
        <v>324</v>
      </c>
      <c r="B380" s="123" t="s">
        <v>2726</v>
      </c>
      <c r="C380" s="123" t="s">
        <v>4001</v>
      </c>
      <c r="D380" s="124" t="str">
        <f>[1]트램표준체크리스트!F686</f>
        <v>ATP 시스템 속도 감시 프로파일 및 부정출발 차단 로직 누락으로 기관사 과실 시 열차를 강제로 제어할 안전장치가 부재할 리스크를 검토하였는가?</v>
      </c>
      <c r="E380" s="124" t="s">
        <v>4141</v>
      </c>
      <c r="F380" s="94" t="str">
        <f t="shared" si="12"/>
        <v>하</v>
      </c>
      <c r="G380" s="63" t="s">
        <v>2668</v>
      </c>
      <c r="H380" s="63" t="s">
        <v>2674</v>
      </c>
      <c r="I380" s="197" t="s">
        <v>4142</v>
      </c>
      <c r="J380" s="137" t="s">
        <v>4532</v>
      </c>
      <c r="K380" s="129"/>
      <c r="L380" s="138" t="s">
        <v>1492</v>
      </c>
      <c r="M380" s="130"/>
      <c r="N380" s="130"/>
      <c r="O380" s="130"/>
      <c r="P380" s="130"/>
      <c r="Q380" s="130"/>
      <c r="R380" s="130"/>
      <c r="S380" s="131"/>
      <c r="T380" s="130"/>
      <c r="U380" s="130"/>
      <c r="V380" s="130"/>
      <c r="W380" s="132" t="b">
        <v>0</v>
      </c>
      <c r="X380" s="132" t="b">
        <v>0</v>
      </c>
      <c r="Y380" s="133" t="b">
        <v>0</v>
      </c>
      <c r="Z380" s="127" t="s">
        <v>4143</v>
      </c>
      <c r="AA380" s="134"/>
      <c r="AB380" s="134"/>
      <c r="AC380" s="150"/>
      <c r="AD380" s="150"/>
      <c r="AE380" s="150"/>
      <c r="AF380" s="150"/>
      <c r="AG380" s="134"/>
      <c r="AH380" s="134"/>
      <c r="AI380" s="134"/>
      <c r="AJ380" s="134"/>
      <c r="AK380" s="134"/>
      <c r="AL380" s="134"/>
      <c r="AM380" s="134"/>
      <c r="AN380" s="134"/>
      <c r="AO380" s="134"/>
      <c r="AP380" s="134"/>
      <c r="AQ380" s="134"/>
      <c r="AR380" s="134"/>
      <c r="AS380" s="134"/>
      <c r="AT380" s="134"/>
    </row>
    <row r="381" spans="1:46" ht="119.25" customHeight="1" outlineLevel="1">
      <c r="A381" s="58">
        <v>325</v>
      </c>
      <c r="B381" s="123" t="s">
        <v>2726</v>
      </c>
      <c r="C381" s="123" t="s">
        <v>4001</v>
      </c>
      <c r="D381" s="124" t="str">
        <f>[1]트램표준체크리스트!F688</f>
        <v>일반 케이블 적용으로 화재 시 유독가스를 초래하거나, 배관 방수 누락으로 케이블 침수·부식이 발생할 리스크를 검토하였는가?</v>
      </c>
      <c r="E381" s="124" t="s">
        <v>4144</v>
      </c>
      <c r="F381" s="94" t="str">
        <f t="shared" si="12"/>
        <v>하</v>
      </c>
      <c r="G381" s="63" t="s">
        <v>2668</v>
      </c>
      <c r="H381" s="63" t="s">
        <v>2674</v>
      </c>
      <c r="I381" s="197" t="s">
        <v>4145</v>
      </c>
      <c r="J381" s="137" t="s">
        <v>4532</v>
      </c>
      <c r="K381" s="129"/>
      <c r="L381" s="138" t="s">
        <v>1492</v>
      </c>
      <c r="M381" s="130"/>
      <c r="N381" s="130"/>
      <c r="O381" s="130"/>
      <c r="P381" s="130"/>
      <c r="Q381" s="130"/>
      <c r="R381" s="130"/>
      <c r="S381" s="131"/>
      <c r="T381" s="130"/>
      <c r="U381" s="130"/>
      <c r="V381" s="130"/>
      <c r="W381" s="132" t="b">
        <v>0</v>
      </c>
      <c r="X381" s="132" t="b">
        <v>0</v>
      </c>
      <c r="Y381" s="133" t="b">
        <v>0</v>
      </c>
      <c r="Z381" s="127" t="s">
        <v>4146</v>
      </c>
      <c r="AA381" s="134"/>
      <c r="AB381" s="134"/>
      <c r="AC381" s="150"/>
      <c r="AD381" s="150"/>
      <c r="AE381" s="150"/>
      <c r="AF381" s="150"/>
      <c r="AG381" s="134"/>
      <c r="AH381" s="134"/>
      <c r="AI381" s="134"/>
      <c r="AJ381" s="134"/>
      <c r="AK381" s="134"/>
      <c r="AL381" s="134"/>
      <c r="AM381" s="134"/>
      <c r="AN381" s="134"/>
      <c r="AO381" s="134"/>
      <c r="AP381" s="134"/>
      <c r="AQ381" s="134"/>
      <c r="AR381" s="134"/>
      <c r="AS381" s="134"/>
      <c r="AT381" s="134"/>
    </row>
    <row r="382" spans="1:46" ht="119.25" customHeight="1" outlineLevel="1">
      <c r="A382" s="58">
        <v>326</v>
      </c>
      <c r="B382" s="123" t="s">
        <v>2726</v>
      </c>
      <c r="C382" s="123" t="s">
        <v>4001</v>
      </c>
      <c r="D382" s="124" t="str">
        <f>[1]트램표준체크리스트!F691</f>
        <v>3.5m 이상 높이 기준 누락 및 지장물 간섭 미고려로 기관사 시야 가림 및 차량한계 침범이 발생할 리스크를 검토하였는가?</v>
      </c>
      <c r="E382" s="124" t="s">
        <v>4147</v>
      </c>
      <c r="F382" s="94" t="str">
        <f t="shared" si="12"/>
        <v>하</v>
      </c>
      <c r="G382" s="63" t="s">
        <v>2668</v>
      </c>
      <c r="H382" s="63" t="s">
        <v>2674</v>
      </c>
      <c r="I382" s="197" t="s">
        <v>4148</v>
      </c>
      <c r="J382" s="137" t="s">
        <v>4532</v>
      </c>
      <c r="K382" s="129"/>
      <c r="L382" s="138" t="s">
        <v>1492</v>
      </c>
      <c r="M382" s="130"/>
      <c r="N382" s="130"/>
      <c r="O382" s="130"/>
      <c r="P382" s="130"/>
      <c r="Q382" s="130"/>
      <c r="R382" s="130"/>
      <c r="S382" s="131"/>
      <c r="T382" s="130"/>
      <c r="U382" s="130"/>
      <c r="V382" s="130"/>
      <c r="W382" s="132" t="b">
        <v>0</v>
      </c>
      <c r="X382" s="132" t="b">
        <v>0</v>
      </c>
      <c r="Y382" s="133" t="b">
        <v>0</v>
      </c>
      <c r="Z382" s="127" t="s">
        <v>4149</v>
      </c>
      <c r="AA382" s="134"/>
      <c r="AB382" s="134"/>
      <c r="AC382" s="150"/>
      <c r="AD382" s="150"/>
      <c r="AE382" s="150"/>
      <c r="AF382" s="150"/>
      <c r="AG382" s="134"/>
      <c r="AH382" s="134"/>
      <c r="AI382" s="134"/>
      <c r="AJ382" s="134"/>
      <c r="AK382" s="134"/>
      <c r="AL382" s="134"/>
      <c r="AM382" s="134"/>
      <c r="AN382" s="134"/>
      <c r="AO382" s="134"/>
      <c r="AP382" s="134"/>
      <c r="AQ382" s="134"/>
      <c r="AR382" s="134"/>
      <c r="AS382" s="134"/>
      <c r="AT382" s="134"/>
    </row>
    <row r="383" spans="1:46" ht="119.25" customHeight="1" outlineLevel="1">
      <c r="A383" s="58">
        <v>327</v>
      </c>
      <c r="B383" s="123" t="s">
        <v>2726</v>
      </c>
      <c r="C383" s="123" t="s">
        <v>4001</v>
      </c>
      <c r="D383" s="124" t="str">
        <f>[1]트램표준체크리스트!F692</f>
        <v>1편성 점유 로직 누락 및 위치검지기 배치 불량으로 후속 트램이 진입해 교차로 내 추돌 및 교통 마비가 발생할 리스크를 검토하였는가?</v>
      </c>
      <c r="E383" s="124" t="s">
        <v>4150</v>
      </c>
      <c r="F383" s="94" t="str">
        <f t="shared" si="12"/>
        <v>하</v>
      </c>
      <c r="G383" s="63" t="s">
        <v>2668</v>
      </c>
      <c r="H383" s="63" t="s">
        <v>2674</v>
      </c>
      <c r="I383" s="197" t="s">
        <v>4151</v>
      </c>
      <c r="J383" s="137" t="s">
        <v>4532</v>
      </c>
      <c r="K383" s="129"/>
      <c r="L383" s="138" t="s">
        <v>1492</v>
      </c>
      <c r="M383" s="130"/>
      <c r="N383" s="130"/>
      <c r="O383" s="130"/>
      <c r="P383" s="130"/>
      <c r="Q383" s="130"/>
      <c r="R383" s="130"/>
      <c r="S383" s="131"/>
      <c r="T383" s="130"/>
      <c r="U383" s="130"/>
      <c r="V383" s="130"/>
      <c r="W383" s="132" t="b">
        <v>0</v>
      </c>
      <c r="X383" s="132" t="b">
        <v>0</v>
      </c>
      <c r="Y383" s="133" t="b">
        <v>0</v>
      </c>
      <c r="Z383" s="127" t="s">
        <v>4152</v>
      </c>
      <c r="AA383" s="134"/>
      <c r="AB383" s="134"/>
      <c r="AC383" s="150"/>
      <c r="AD383" s="150"/>
      <c r="AE383" s="150"/>
      <c r="AF383" s="150"/>
      <c r="AG383" s="134"/>
      <c r="AH383" s="134"/>
      <c r="AI383" s="134"/>
      <c r="AJ383" s="134"/>
      <c r="AK383" s="134"/>
      <c r="AL383" s="134"/>
      <c r="AM383" s="134"/>
      <c r="AN383" s="134"/>
      <c r="AO383" s="134"/>
      <c r="AP383" s="134"/>
      <c r="AQ383" s="134"/>
      <c r="AR383" s="134"/>
      <c r="AS383" s="134"/>
      <c r="AT383" s="134"/>
    </row>
    <row r="384" spans="1:46" ht="119.25" customHeight="1" outlineLevel="1">
      <c r="A384" s="58">
        <v>328</v>
      </c>
      <c r="B384" s="123" t="s">
        <v>2726</v>
      </c>
      <c r="C384" s="123" t="s">
        <v>4001</v>
      </c>
      <c r="D384" s="124" t="str">
        <f>[1]트램표준체크리스트!F695</f>
        <v>축전지/UPS실 독립 구획 및 전자파/노이즈 차폐 설계 누락으로 신호제어 설비 통신 장애 및 화재 피해가 발생할 리스크를 검토하였는가?</v>
      </c>
      <c r="E384" s="124" t="s">
        <v>4153</v>
      </c>
      <c r="F384" s="94" t="str">
        <f t="shared" si="12"/>
        <v>하</v>
      </c>
      <c r="G384" s="63" t="s">
        <v>2668</v>
      </c>
      <c r="H384" s="63" t="s">
        <v>2674</v>
      </c>
      <c r="I384" s="197" t="s">
        <v>4154</v>
      </c>
      <c r="J384" s="137" t="s">
        <v>4532</v>
      </c>
      <c r="K384" s="129"/>
      <c r="L384" s="138" t="s">
        <v>1492</v>
      </c>
      <c r="M384" s="130"/>
      <c r="N384" s="130"/>
      <c r="O384" s="130"/>
      <c r="P384" s="130"/>
      <c r="Q384" s="130"/>
      <c r="R384" s="130"/>
      <c r="S384" s="131"/>
      <c r="T384" s="130"/>
      <c r="U384" s="130"/>
      <c r="V384" s="130"/>
      <c r="W384" s="132" t="b">
        <v>0</v>
      </c>
      <c r="X384" s="132" t="b">
        <v>0</v>
      </c>
      <c r="Y384" s="133" t="b">
        <v>0</v>
      </c>
      <c r="Z384" s="127" t="s">
        <v>4155</v>
      </c>
      <c r="AA384" s="134"/>
      <c r="AB384" s="134"/>
      <c r="AC384" s="150"/>
      <c r="AD384" s="150"/>
      <c r="AE384" s="150"/>
      <c r="AF384" s="150"/>
      <c r="AG384" s="134"/>
      <c r="AH384" s="134"/>
      <c r="AI384" s="134"/>
      <c r="AJ384" s="134"/>
      <c r="AK384" s="134"/>
      <c r="AL384" s="134"/>
      <c r="AM384" s="134"/>
      <c r="AN384" s="134"/>
      <c r="AO384" s="134"/>
      <c r="AP384" s="134"/>
      <c r="AQ384" s="134"/>
      <c r="AR384" s="134"/>
      <c r="AS384" s="134"/>
      <c r="AT384" s="134"/>
    </row>
    <row r="385" spans="1:46" ht="119.25" customHeight="1" outlineLevel="1">
      <c r="A385" s="58">
        <v>329</v>
      </c>
      <c r="B385" s="123" t="s">
        <v>2726</v>
      </c>
      <c r="C385" s="123" t="s">
        <v>4001</v>
      </c>
      <c r="D385" s="124" t="str">
        <f>[1]트램표준체크리스트!F698</f>
        <v>분기부 선로전환기·신호기 간 상호 연동 로직 및 보안잠금(쇄정) 조건 누락으로, 모순된 신호 현시에 따른 트램 차량 충돌 및 탈선이 발생할 리스크를 검토하였는가?</v>
      </c>
      <c r="E385" s="124" t="s">
        <v>4156</v>
      </c>
      <c r="F385" s="94" t="str">
        <f t="shared" si="12"/>
        <v>하</v>
      </c>
      <c r="G385" s="63" t="s">
        <v>2668</v>
      </c>
      <c r="H385" s="63" t="s">
        <v>2674</v>
      </c>
      <c r="I385" s="197" t="s">
        <v>4157</v>
      </c>
      <c r="J385" s="137" t="s">
        <v>4532</v>
      </c>
      <c r="K385" s="129"/>
      <c r="L385" s="138" t="s">
        <v>1492</v>
      </c>
      <c r="M385" s="130"/>
      <c r="N385" s="130"/>
      <c r="O385" s="130"/>
      <c r="P385" s="130"/>
      <c r="Q385" s="130"/>
      <c r="R385" s="130"/>
      <c r="S385" s="131"/>
      <c r="T385" s="130"/>
      <c r="U385" s="130"/>
      <c r="V385" s="130"/>
      <c r="W385" s="132" t="b">
        <v>0</v>
      </c>
      <c r="X385" s="132" t="b">
        <v>0</v>
      </c>
      <c r="Y385" s="133" t="b">
        <v>0</v>
      </c>
      <c r="Z385" s="127" t="s">
        <v>4158</v>
      </c>
      <c r="AA385" s="134"/>
      <c r="AB385" s="134"/>
      <c r="AC385" s="150"/>
      <c r="AD385" s="150"/>
      <c r="AE385" s="150"/>
      <c r="AF385" s="150"/>
      <c r="AG385" s="134"/>
      <c r="AH385" s="134"/>
      <c r="AI385" s="134"/>
      <c r="AJ385" s="134"/>
      <c r="AK385" s="134"/>
      <c r="AL385" s="134"/>
      <c r="AM385" s="134"/>
      <c r="AN385" s="134"/>
      <c r="AO385" s="134"/>
      <c r="AP385" s="134"/>
      <c r="AQ385" s="134"/>
      <c r="AR385" s="134"/>
      <c r="AS385" s="134"/>
      <c r="AT385" s="134"/>
    </row>
    <row r="386" spans="1:46" ht="119.25" customHeight="1" outlineLevel="1">
      <c r="A386" s="58">
        <v>330</v>
      </c>
      <c r="B386" s="123" t="s">
        <v>2726</v>
      </c>
      <c r="C386" s="123" t="s">
        <v>4001</v>
      </c>
      <c r="D386" s="124" t="str">
        <f>[1]트램표준체크리스트!F701</f>
        <v>핵심 신호설비의 SIL4 인증 명시 누락 및 단일계 구성 방치로, 장애 발생 시 트램 운행이 전면 마비될 리스크를 검토하였는가?</v>
      </c>
      <c r="E386" s="124" t="s">
        <v>4159</v>
      </c>
      <c r="F386" s="94" t="str">
        <f t="shared" si="12"/>
        <v>하</v>
      </c>
      <c r="G386" s="63" t="s">
        <v>2668</v>
      </c>
      <c r="H386" s="63" t="s">
        <v>2674</v>
      </c>
      <c r="I386" s="197" t="s">
        <v>4160</v>
      </c>
      <c r="J386" s="137" t="s">
        <v>4532</v>
      </c>
      <c r="K386" s="129"/>
      <c r="L386" s="138" t="s">
        <v>1492</v>
      </c>
      <c r="M386" s="130"/>
      <c r="N386" s="130"/>
      <c r="O386" s="130"/>
      <c r="P386" s="130"/>
      <c r="Q386" s="130"/>
      <c r="R386" s="130"/>
      <c r="S386" s="131"/>
      <c r="T386" s="130"/>
      <c r="U386" s="130"/>
      <c r="V386" s="130"/>
      <c r="W386" s="132" t="b">
        <v>0</v>
      </c>
      <c r="X386" s="132" t="b">
        <v>0</v>
      </c>
      <c r="Y386" s="133" t="b">
        <v>0</v>
      </c>
      <c r="Z386" s="127" t="s">
        <v>4161</v>
      </c>
      <c r="AA386" s="134"/>
      <c r="AB386" s="134"/>
      <c r="AC386" s="150"/>
      <c r="AD386" s="150"/>
      <c r="AE386" s="150"/>
      <c r="AF386" s="150"/>
      <c r="AG386" s="134"/>
      <c r="AH386" s="134"/>
      <c r="AI386" s="134"/>
      <c r="AJ386" s="134"/>
      <c r="AK386" s="134"/>
      <c r="AL386" s="134"/>
      <c r="AM386" s="134"/>
      <c r="AN386" s="134"/>
      <c r="AO386" s="134"/>
      <c r="AP386" s="134"/>
      <c r="AQ386" s="134"/>
      <c r="AR386" s="134"/>
      <c r="AS386" s="134"/>
      <c r="AT386" s="134"/>
    </row>
    <row r="387" spans="1:46" ht="119.25" customHeight="1" outlineLevel="1">
      <c r="A387" s="58">
        <v>331</v>
      </c>
      <c r="B387" s="123" t="s">
        <v>2726</v>
      </c>
      <c r="C387" s="123" t="s">
        <v>4001</v>
      </c>
      <c r="D387" s="124" t="str">
        <f>[1]트램표준체크리스트!F710</f>
        <v>정전보상시간(관제 3시간, 정거장 1시간) 과소 산정 및 친환경 축전지 사양 누락으로 관제 기능 상실 및 유해가스가 발생할 리스크를 검토하였는가?</v>
      </c>
      <c r="E387" s="124" t="s">
        <v>4162</v>
      </c>
      <c r="F387" s="94" t="str">
        <f t="shared" si="12"/>
        <v>하</v>
      </c>
      <c r="G387" s="63" t="s">
        <v>2668</v>
      </c>
      <c r="H387" s="63" t="s">
        <v>2674</v>
      </c>
      <c r="I387" s="197" t="s">
        <v>4163</v>
      </c>
      <c r="J387" s="137" t="s">
        <v>4532</v>
      </c>
      <c r="K387" s="129"/>
      <c r="L387" s="138" t="s">
        <v>1492</v>
      </c>
      <c r="M387" s="130"/>
      <c r="N387" s="130"/>
      <c r="O387" s="130"/>
      <c r="P387" s="130"/>
      <c r="Q387" s="130"/>
      <c r="R387" s="130"/>
      <c r="S387" s="131"/>
      <c r="T387" s="130"/>
      <c r="U387" s="130"/>
      <c r="V387" s="130"/>
      <c r="W387" s="132" t="b">
        <v>0</v>
      </c>
      <c r="X387" s="132" t="b">
        <v>0</v>
      </c>
      <c r="Y387" s="133" t="b">
        <v>0</v>
      </c>
      <c r="Z387" s="127" t="s">
        <v>4164</v>
      </c>
      <c r="AA387" s="134"/>
      <c r="AB387" s="134"/>
      <c r="AC387" s="150"/>
      <c r="AD387" s="150"/>
      <c r="AE387" s="150"/>
      <c r="AF387" s="150"/>
      <c r="AG387" s="134"/>
      <c r="AH387" s="134"/>
      <c r="AI387" s="134"/>
      <c r="AJ387" s="134"/>
      <c r="AK387" s="134"/>
      <c r="AL387" s="134"/>
      <c r="AM387" s="134"/>
      <c r="AN387" s="134"/>
      <c r="AO387" s="134"/>
      <c r="AP387" s="134"/>
      <c r="AQ387" s="134"/>
      <c r="AR387" s="134"/>
      <c r="AS387" s="134"/>
      <c r="AT387" s="134"/>
    </row>
    <row r="388" spans="1:46" ht="119.25" customHeight="1" outlineLevel="1">
      <c r="A388" s="58">
        <v>332</v>
      </c>
      <c r="B388" s="123" t="s">
        <v>2726</v>
      </c>
      <c r="C388" s="123" t="s">
        <v>4001</v>
      </c>
      <c r="D388" s="124" t="str">
        <f>[1]트램표준체크리스트!F716</f>
        <v>장치 구성 방식(집중식/분산식)에 따른 점유 면적·발열량 검토 누락으로 공간 협소 및 냉난방 공조설비가 누락될 리스크를 검토하였는가?</v>
      </c>
      <c r="E388" s="124" t="s">
        <v>4165</v>
      </c>
      <c r="F388" s="94" t="str">
        <f t="shared" si="12"/>
        <v>하</v>
      </c>
      <c r="G388" s="63" t="s">
        <v>2668</v>
      </c>
      <c r="H388" s="63" t="s">
        <v>2674</v>
      </c>
      <c r="I388" s="197" t="s">
        <v>4166</v>
      </c>
      <c r="J388" s="137" t="s">
        <v>4532</v>
      </c>
      <c r="K388" s="129"/>
      <c r="L388" s="138" t="s">
        <v>1492</v>
      </c>
      <c r="M388" s="130"/>
      <c r="N388" s="130"/>
      <c r="O388" s="130"/>
      <c r="P388" s="130"/>
      <c r="Q388" s="130"/>
      <c r="R388" s="130"/>
      <c r="S388" s="131"/>
      <c r="T388" s="130"/>
      <c r="U388" s="130"/>
      <c r="V388" s="130"/>
      <c r="W388" s="132" t="b">
        <v>0</v>
      </c>
      <c r="X388" s="132" t="b">
        <v>0</v>
      </c>
      <c r="Y388" s="133" t="b">
        <v>0</v>
      </c>
      <c r="Z388" s="127" t="s">
        <v>4167</v>
      </c>
      <c r="AA388" s="134"/>
      <c r="AB388" s="134"/>
      <c r="AC388" s="150"/>
      <c r="AD388" s="150"/>
      <c r="AE388" s="150"/>
      <c r="AF388" s="150"/>
      <c r="AG388" s="134"/>
      <c r="AH388" s="134"/>
      <c r="AI388" s="134"/>
      <c r="AJ388" s="134"/>
      <c r="AK388" s="134"/>
      <c r="AL388" s="134"/>
      <c r="AM388" s="134"/>
      <c r="AN388" s="134"/>
      <c r="AO388" s="134"/>
      <c r="AP388" s="134"/>
      <c r="AQ388" s="134"/>
      <c r="AR388" s="134"/>
      <c r="AS388" s="134"/>
      <c r="AT388" s="134"/>
    </row>
    <row r="389" spans="1:46" ht="119.25" customHeight="1" outlineLevel="1">
      <c r="A389" s="58">
        <v>333</v>
      </c>
      <c r="B389" s="123" t="s">
        <v>2726</v>
      </c>
      <c r="C389" s="123" t="s">
        <v>4001</v>
      </c>
      <c r="D389" s="124" t="str">
        <f>[1]트램표준체크리스트!F720</f>
        <v>ARS 기능 구현 누락으로 관제원이 수동으로 모든 진로를 제어해 업무 과부하 및 휴먼에러(경로 오설정)가 발생할 리스크를 검토하였는가?</v>
      </c>
      <c r="E389" s="124" t="s">
        <v>4168</v>
      </c>
      <c r="F389" s="94" t="str">
        <f t="shared" si="12"/>
        <v>하</v>
      </c>
      <c r="G389" s="63" t="s">
        <v>2668</v>
      </c>
      <c r="H389" s="63" t="s">
        <v>2674</v>
      </c>
      <c r="I389" s="197" t="s">
        <v>4169</v>
      </c>
      <c r="J389" s="137" t="s">
        <v>4532</v>
      </c>
      <c r="K389" s="129"/>
      <c r="L389" s="138" t="s">
        <v>1492</v>
      </c>
      <c r="M389" s="130"/>
      <c r="N389" s="130"/>
      <c r="O389" s="130"/>
      <c r="P389" s="130"/>
      <c r="Q389" s="130"/>
      <c r="R389" s="130"/>
      <c r="S389" s="131"/>
      <c r="T389" s="130"/>
      <c r="U389" s="130"/>
      <c r="V389" s="130"/>
      <c r="W389" s="132" t="b">
        <v>0</v>
      </c>
      <c r="X389" s="132" t="b">
        <v>0</v>
      </c>
      <c r="Y389" s="133" t="b">
        <v>0</v>
      </c>
      <c r="Z389" s="127" t="s">
        <v>4170</v>
      </c>
      <c r="AA389" s="134"/>
      <c r="AB389" s="134"/>
      <c r="AC389" s="150"/>
      <c r="AD389" s="150"/>
      <c r="AE389" s="150"/>
      <c r="AF389" s="150"/>
      <c r="AG389" s="134"/>
      <c r="AH389" s="134"/>
      <c r="AI389" s="134"/>
      <c r="AJ389" s="134"/>
      <c r="AK389" s="134"/>
      <c r="AL389" s="134"/>
      <c r="AM389" s="134"/>
      <c r="AN389" s="134"/>
      <c r="AO389" s="134"/>
      <c r="AP389" s="134"/>
      <c r="AQ389" s="134"/>
      <c r="AR389" s="134"/>
      <c r="AS389" s="134"/>
      <c r="AT389" s="134"/>
    </row>
    <row r="390" spans="1:46" ht="119.25" customHeight="1" outlineLevel="1">
      <c r="A390" s="58">
        <v>334</v>
      </c>
      <c r="B390" s="123" t="s">
        <v>2726</v>
      </c>
      <c r="C390" s="123" t="s">
        <v>4001</v>
      </c>
      <c r="D390" s="124" t="str">
        <f>[1]트램표준체크리스트!F721</f>
        <v>DMI 시인성 저하 및 수동운전 모드 지상신호 연계 방호 로직 누락으로, 기관사 휴먼에러 시 대형 사고를 방지할 수단이 부재할 리스크를 검토하였는가?</v>
      </c>
      <c r="E390" s="124" t="s">
        <v>4171</v>
      </c>
      <c r="F390" s="94" t="str">
        <f t="shared" si="12"/>
        <v>하</v>
      </c>
      <c r="G390" s="63" t="s">
        <v>2668</v>
      </c>
      <c r="H390" s="63" t="s">
        <v>2674</v>
      </c>
      <c r="I390" s="197" t="s">
        <v>4172</v>
      </c>
      <c r="J390" s="137" t="s">
        <v>4532</v>
      </c>
      <c r="K390" s="129"/>
      <c r="L390" s="138" t="s">
        <v>1492</v>
      </c>
      <c r="M390" s="130"/>
      <c r="N390" s="130"/>
      <c r="O390" s="130"/>
      <c r="P390" s="130"/>
      <c r="Q390" s="130"/>
      <c r="R390" s="130"/>
      <c r="S390" s="131"/>
      <c r="T390" s="130"/>
      <c r="U390" s="130"/>
      <c r="V390" s="130"/>
      <c r="W390" s="132" t="b">
        <v>0</v>
      </c>
      <c r="X390" s="132" t="b">
        <v>0</v>
      </c>
      <c r="Y390" s="133" t="b">
        <v>0</v>
      </c>
      <c r="Z390" s="127" t="s">
        <v>4173</v>
      </c>
      <c r="AA390" s="134"/>
      <c r="AB390" s="134"/>
      <c r="AC390" s="150"/>
      <c r="AD390" s="150"/>
      <c r="AE390" s="150"/>
      <c r="AF390" s="150"/>
      <c r="AG390" s="134"/>
      <c r="AH390" s="134"/>
      <c r="AI390" s="134"/>
      <c r="AJ390" s="134"/>
      <c r="AK390" s="134"/>
      <c r="AL390" s="134"/>
      <c r="AM390" s="134"/>
      <c r="AN390" s="134"/>
      <c r="AO390" s="134"/>
      <c r="AP390" s="134"/>
      <c r="AQ390" s="134"/>
      <c r="AR390" s="134"/>
      <c r="AS390" s="134"/>
      <c r="AT390" s="134"/>
    </row>
    <row r="391" spans="1:46" ht="119.25" customHeight="1" outlineLevel="1">
      <c r="A391" s="58">
        <v>335</v>
      </c>
      <c r="B391" s="123" t="s">
        <v>2726</v>
      </c>
      <c r="C391" s="123" t="s">
        <v>4001</v>
      </c>
      <c r="D391" s="124" t="str">
        <f>[1]트램표준체크리스트!F724</f>
        <v>현장제어함 공간 및 횡단·공동관로 설계 누락으로 설비 반입 시 보행 동선 침해 및 관로 재시공이 발생할 리스크를 검토하였는가?</v>
      </c>
      <c r="E391" s="124" t="s">
        <v>4174</v>
      </c>
      <c r="F391" s="94" t="str">
        <f t="shared" si="12"/>
        <v>하</v>
      </c>
      <c r="G391" s="63" t="s">
        <v>2668</v>
      </c>
      <c r="H391" s="63" t="s">
        <v>2674</v>
      </c>
      <c r="I391" s="197" t="s">
        <v>4175</v>
      </c>
      <c r="J391" s="137" t="s">
        <v>4532</v>
      </c>
      <c r="K391" s="129"/>
      <c r="L391" s="138" t="s">
        <v>1492</v>
      </c>
      <c r="M391" s="130"/>
      <c r="N391" s="130"/>
      <c r="O391" s="130"/>
      <c r="P391" s="130"/>
      <c r="Q391" s="130"/>
      <c r="R391" s="130"/>
      <c r="S391" s="131"/>
      <c r="T391" s="130"/>
      <c r="U391" s="130"/>
      <c r="V391" s="130"/>
      <c r="W391" s="132" t="b">
        <v>0</v>
      </c>
      <c r="X391" s="132" t="b">
        <v>0</v>
      </c>
      <c r="Y391" s="133" t="b">
        <v>0</v>
      </c>
      <c r="Z391" s="127" t="s">
        <v>4176</v>
      </c>
      <c r="AA391" s="134"/>
      <c r="AB391" s="134"/>
      <c r="AC391" s="150"/>
      <c r="AD391" s="150"/>
      <c r="AE391" s="150"/>
      <c r="AF391" s="150"/>
      <c r="AG391" s="134"/>
      <c r="AH391" s="134"/>
      <c r="AI391" s="134"/>
      <c r="AJ391" s="134"/>
      <c r="AK391" s="134"/>
      <c r="AL391" s="134"/>
      <c r="AM391" s="134"/>
      <c r="AN391" s="134"/>
      <c r="AO391" s="134"/>
      <c r="AP391" s="134"/>
      <c r="AQ391" s="134"/>
      <c r="AR391" s="134"/>
      <c r="AS391" s="134"/>
      <c r="AT391" s="134"/>
    </row>
    <row r="392" spans="1:46" ht="119.25" customHeight="1" outlineLevel="1">
      <c r="A392" s="58">
        <v>336</v>
      </c>
      <c r="B392" s="92" t="s">
        <v>2726</v>
      </c>
      <c r="C392" s="92" t="s">
        <v>4001</v>
      </c>
      <c r="D392" s="93" t="str">
        <f>[1]트램표준체크리스트!F725</f>
        <v>차량 부품 낙하물에 의한 선로변설비 파손 리스크를 검토하였는가?</v>
      </c>
      <c r="E392" s="93" t="s">
        <v>4177</v>
      </c>
      <c r="F392" s="94" t="str">
        <f t="shared" si="12"/>
        <v>하</v>
      </c>
      <c r="G392" s="63" t="s">
        <v>2668</v>
      </c>
      <c r="H392" s="63" t="s">
        <v>2674</v>
      </c>
      <c r="I392" s="199" t="s">
        <v>4218</v>
      </c>
      <c r="J392" s="137" t="s">
        <v>4532</v>
      </c>
      <c r="K392" s="97"/>
      <c r="L392" s="139" t="s">
        <v>1492</v>
      </c>
      <c r="M392" s="98"/>
      <c r="N392" s="98"/>
      <c r="O392" s="98"/>
      <c r="P392" s="98"/>
      <c r="Q392" s="98"/>
      <c r="R392" s="98"/>
      <c r="S392" s="99"/>
      <c r="T392" s="98"/>
      <c r="U392" s="98"/>
      <c r="V392" s="98"/>
      <c r="W392" s="100" t="b">
        <v>0</v>
      </c>
      <c r="X392" s="100" t="b">
        <v>0</v>
      </c>
      <c r="Y392" s="101" t="b">
        <v>0</v>
      </c>
      <c r="Z392" s="96" t="s">
        <v>4178</v>
      </c>
    </row>
    <row r="393" spans="1:46" ht="119.25" customHeight="1" outlineLevel="1">
      <c r="A393" s="58">
        <v>337</v>
      </c>
      <c r="B393" s="92" t="s">
        <v>2726</v>
      </c>
      <c r="C393" s="92" t="s">
        <v>4001</v>
      </c>
      <c r="D393" s="93" t="str">
        <f>[1]트램표준체크리스트!F726</f>
        <v>궤도 상부 장애물 도달에 의한 차량 운행 지장 리스크를 검토하였는가?</v>
      </c>
      <c r="E393" s="93" t="s">
        <v>4179</v>
      </c>
      <c r="F393" s="94" t="str">
        <f t="shared" si="12"/>
        <v>하</v>
      </c>
      <c r="G393" s="63" t="s">
        <v>2668</v>
      </c>
      <c r="H393" s="63" t="s">
        <v>2674</v>
      </c>
      <c r="I393" s="199" t="s">
        <v>4219</v>
      </c>
      <c r="J393" s="137" t="s">
        <v>4532</v>
      </c>
      <c r="K393" s="97"/>
      <c r="L393" s="139" t="s">
        <v>1492</v>
      </c>
      <c r="M393" s="98"/>
      <c r="N393" s="98"/>
      <c r="O393" s="98"/>
      <c r="P393" s="98"/>
      <c r="Q393" s="98"/>
      <c r="R393" s="98"/>
      <c r="S393" s="99"/>
      <c r="T393" s="98"/>
      <c r="U393" s="98"/>
      <c r="V393" s="98"/>
      <c r="W393" s="100" t="b">
        <v>0</v>
      </c>
      <c r="X393" s="100" t="b">
        <v>0</v>
      </c>
      <c r="Y393" s="101" t="b">
        <v>0</v>
      </c>
      <c r="Z393" s="96" t="s">
        <v>4180</v>
      </c>
    </row>
    <row r="394" spans="1:46" ht="119.25" customHeight="1" outlineLevel="1">
      <c r="A394" s="58">
        <v>338</v>
      </c>
      <c r="B394" s="92" t="s">
        <v>2726</v>
      </c>
      <c r="C394" s="92" t="s">
        <v>4001</v>
      </c>
      <c r="D394" s="93" t="str">
        <f>[1]트램표준체크리스트!F727</f>
        <v>차량한계 침범에 의한 시설물 손상 리스크를 검토하였는가?</v>
      </c>
      <c r="E394" s="93" t="s">
        <v>4181</v>
      </c>
      <c r="F394" s="94" t="str">
        <f t="shared" si="12"/>
        <v>하</v>
      </c>
      <c r="G394" s="63" t="s">
        <v>2668</v>
      </c>
      <c r="H394" s="63" t="s">
        <v>2674</v>
      </c>
      <c r="I394" s="199" t="s">
        <v>4220</v>
      </c>
      <c r="J394" s="137" t="s">
        <v>4532</v>
      </c>
      <c r="K394" s="97"/>
      <c r="L394" s="139" t="s">
        <v>1492</v>
      </c>
      <c r="M394" s="98"/>
      <c r="N394" s="98"/>
      <c r="O394" s="98"/>
      <c r="P394" s="98"/>
      <c r="Q394" s="98"/>
      <c r="R394" s="98"/>
      <c r="S394" s="99"/>
      <c r="T394" s="98"/>
      <c r="U394" s="98"/>
      <c r="V394" s="98"/>
      <c r="W394" s="100" t="b">
        <v>0</v>
      </c>
      <c r="X394" s="100" t="b">
        <v>0</v>
      </c>
      <c r="Y394" s="101" t="b">
        <v>0</v>
      </c>
      <c r="Z394" s="96" t="s">
        <v>4182</v>
      </c>
    </row>
    <row r="395" spans="1:46" ht="119.25" customHeight="1" outlineLevel="1">
      <c r="A395" s="58">
        <v>339</v>
      </c>
      <c r="B395" s="92" t="s">
        <v>2726</v>
      </c>
      <c r="C395" s="92" t="s">
        <v>4001</v>
      </c>
      <c r="D395" s="93" t="str">
        <f>[1]트램표준체크리스트!F728</f>
        <v>관제사의 판단 착오로 인한 분기구간 조작 실패 리스크를 검토하였는가?</v>
      </c>
      <c r="E395" s="93" t="s">
        <v>4183</v>
      </c>
      <c r="F395" s="94" t="str">
        <f t="shared" si="12"/>
        <v>하</v>
      </c>
      <c r="G395" s="63" t="s">
        <v>2668</v>
      </c>
      <c r="H395" s="63" t="s">
        <v>2674</v>
      </c>
      <c r="I395" s="199" t="s">
        <v>4221</v>
      </c>
      <c r="J395" s="137" t="s">
        <v>4532</v>
      </c>
      <c r="K395" s="97"/>
      <c r="L395" s="139" t="s">
        <v>1492</v>
      </c>
      <c r="M395" s="98"/>
      <c r="N395" s="98"/>
      <c r="O395" s="98"/>
      <c r="P395" s="98"/>
      <c r="Q395" s="98"/>
      <c r="R395" s="98"/>
      <c r="S395" s="99"/>
      <c r="T395" s="98"/>
      <c r="U395" s="98"/>
      <c r="V395" s="98"/>
      <c r="W395" s="100" t="b">
        <v>0</v>
      </c>
      <c r="X395" s="100" t="b">
        <v>0</v>
      </c>
      <c r="Y395" s="101" t="b">
        <v>0</v>
      </c>
      <c r="Z395" s="96" t="s">
        <v>4184</v>
      </c>
    </row>
    <row r="396" spans="1:46" ht="119.25" customHeight="1" outlineLevel="1">
      <c r="A396" s="58">
        <v>340</v>
      </c>
      <c r="B396" s="92" t="s">
        <v>2726</v>
      </c>
      <c r="C396" s="92" t="s">
        <v>4002</v>
      </c>
      <c r="D396" s="93" t="str">
        <f>[1]트램표준체크리스트!F729</f>
        <v>1편성 점유 신호 제어 로직 누락으로 두 대의 트램이 동시 진입해 충돌 및 교통 마비를 유발할 리스크를 검토하였는가?</v>
      </c>
      <c r="E396" s="93" t="s">
        <v>4185</v>
      </c>
      <c r="F396" s="94" t="str">
        <f t="shared" si="12"/>
        <v>하</v>
      </c>
      <c r="G396" s="63" t="s">
        <v>2668</v>
      </c>
      <c r="H396" s="63" t="s">
        <v>2674</v>
      </c>
      <c r="I396" s="199" t="s">
        <v>4186</v>
      </c>
      <c r="J396" s="137" t="s">
        <v>4532</v>
      </c>
      <c r="K396" s="97"/>
      <c r="L396" s="139" t="s">
        <v>1492</v>
      </c>
      <c r="M396" s="98"/>
      <c r="N396" s="98"/>
      <c r="O396" s="98"/>
      <c r="P396" s="98"/>
      <c r="Q396" s="98"/>
      <c r="R396" s="98"/>
      <c r="S396" s="99"/>
      <c r="T396" s="98"/>
      <c r="U396" s="98"/>
      <c r="V396" s="98"/>
      <c r="W396" s="100" t="b">
        <v>0</v>
      </c>
      <c r="X396" s="100" t="b">
        <v>0</v>
      </c>
      <c r="Y396" s="101" t="b">
        <v>0</v>
      </c>
      <c r="Z396" s="96" t="s">
        <v>4187</v>
      </c>
    </row>
    <row r="397" spans="1:46" ht="119.25" customHeight="1" outlineLevel="1">
      <c r="A397" s="58">
        <v>341</v>
      </c>
      <c r="B397" s="92" t="s">
        <v>2726</v>
      </c>
      <c r="C397" s="92" t="s">
        <v>4002</v>
      </c>
      <c r="D397" s="93" t="str">
        <f>[1]트램표준체크리스트!F730</f>
        <v>기점유된 선로에 차량 오진입으로 인한 운행 장애 리스크를 검토하였는가?</v>
      </c>
      <c r="E397" s="93" t="s">
        <v>4188</v>
      </c>
      <c r="F397" s="94" t="str">
        <f t="shared" si="12"/>
        <v>하</v>
      </c>
      <c r="G397" s="63" t="s">
        <v>2668</v>
      </c>
      <c r="H397" s="63" t="s">
        <v>2674</v>
      </c>
      <c r="I397" s="199" t="s">
        <v>4222</v>
      </c>
      <c r="J397" s="137" t="s">
        <v>4532</v>
      </c>
      <c r="K397" s="97"/>
      <c r="L397" s="139" t="s">
        <v>1492</v>
      </c>
      <c r="M397" s="98"/>
      <c r="N397" s="98"/>
      <c r="O397" s="98"/>
      <c r="P397" s="98"/>
      <c r="Q397" s="98"/>
      <c r="R397" s="98"/>
      <c r="S397" s="99"/>
      <c r="T397" s="98"/>
      <c r="U397" s="98"/>
      <c r="V397" s="98"/>
      <c r="W397" s="100" t="b">
        <v>0</v>
      </c>
      <c r="X397" s="100" t="b">
        <v>0</v>
      </c>
      <c r="Y397" s="101" t="b">
        <v>0</v>
      </c>
      <c r="Z397" s="96" t="s">
        <v>4189</v>
      </c>
    </row>
    <row r="398" spans="1:46" ht="119.25" customHeight="1" outlineLevel="1">
      <c r="A398" s="58">
        <v>342</v>
      </c>
      <c r="B398" s="92" t="s">
        <v>2726</v>
      </c>
      <c r="C398" s="92" t="s">
        <v>4002</v>
      </c>
      <c r="D398" s="93" t="str">
        <f>[1]트램표준체크리스트!F731</f>
        <v>교차로에서의 고장차량 또는 보행자 감지 실패 리스크를 검토하였는가?</v>
      </c>
      <c r="E398" s="93" t="s">
        <v>4190</v>
      </c>
      <c r="F398" s="94" t="str">
        <f t="shared" si="12"/>
        <v>하</v>
      </c>
      <c r="G398" s="63" t="s">
        <v>2668</v>
      </c>
      <c r="H398" s="63" t="s">
        <v>2674</v>
      </c>
      <c r="I398" s="199" t="s">
        <v>4223</v>
      </c>
      <c r="J398" s="137" t="s">
        <v>4532</v>
      </c>
      <c r="K398" s="97"/>
      <c r="L398" s="139" t="s">
        <v>1492</v>
      </c>
      <c r="M398" s="98"/>
      <c r="N398" s="98"/>
      <c r="O398" s="98"/>
      <c r="P398" s="98"/>
      <c r="Q398" s="98"/>
      <c r="R398" s="98"/>
      <c r="S398" s="99"/>
      <c r="T398" s="98"/>
      <c r="U398" s="98"/>
      <c r="V398" s="98"/>
      <c r="W398" s="100" t="b">
        <v>0</v>
      </c>
      <c r="X398" s="100" t="b">
        <v>0</v>
      </c>
      <c r="Y398" s="101" t="b">
        <v>0</v>
      </c>
      <c r="Z398" s="96" t="s">
        <v>4191</v>
      </c>
    </row>
    <row r="399" spans="1:46" ht="119.25" customHeight="1" outlineLevel="1">
      <c r="A399" s="58">
        <v>343</v>
      </c>
      <c r="B399" s="92" t="s">
        <v>2726</v>
      </c>
      <c r="C399" s="92" t="s">
        <v>4002</v>
      </c>
      <c r="D399" s="93" t="str">
        <f>[1]트램표준체크리스트!F732</f>
        <v>선로전환기는 서지 등으로 인한 오작동 방지를 위해 안전제어에 의한 구동 필요 리스크를 검토하였는가?</v>
      </c>
      <c r="E399" s="93" t="s">
        <v>4192</v>
      </c>
      <c r="F399" s="94" t="str">
        <f t="shared" si="12"/>
        <v>하</v>
      </c>
      <c r="G399" s="63" t="s">
        <v>2668</v>
      </c>
      <c r="H399" s="63" t="s">
        <v>2674</v>
      </c>
      <c r="I399" s="199" t="s">
        <v>4224</v>
      </c>
      <c r="J399" s="137" t="s">
        <v>4532</v>
      </c>
      <c r="K399" s="97"/>
      <c r="L399" s="139" t="s">
        <v>1492</v>
      </c>
      <c r="M399" s="98"/>
      <c r="N399" s="98"/>
      <c r="O399" s="98"/>
      <c r="P399" s="98"/>
      <c r="Q399" s="98"/>
      <c r="R399" s="98"/>
      <c r="S399" s="99"/>
      <c r="T399" s="98"/>
      <c r="U399" s="98"/>
      <c r="V399" s="98"/>
      <c r="W399" s="100" t="b">
        <v>0</v>
      </c>
      <c r="X399" s="100" t="b">
        <v>0</v>
      </c>
      <c r="Y399" s="101" t="b">
        <v>0</v>
      </c>
      <c r="Z399" s="96" t="s">
        <v>4193</v>
      </c>
    </row>
    <row r="400" spans="1:46" ht="119.25" customHeight="1" outlineLevel="1">
      <c r="A400" s="58">
        <v>344</v>
      </c>
      <c r="B400" s="92" t="s">
        <v>2726</v>
      </c>
      <c r="C400" s="92" t="s">
        <v>4002</v>
      </c>
      <c r="D400" s="93" t="str">
        <f>[1]트램표준체크리스트!F733</f>
        <v>트램우선신호 제어보드는 신호기와 무선 통신방식으로 연동 및 반영 필요 리스크를 검토하였는가?</v>
      </c>
      <c r="E400" s="93" t="s">
        <v>4194</v>
      </c>
      <c r="F400" s="125" t="str">
        <f t="shared" si="12"/>
        <v>하</v>
      </c>
      <c r="G400" s="63" t="s">
        <v>2668</v>
      </c>
      <c r="H400" s="63" t="s">
        <v>2674</v>
      </c>
      <c r="I400" s="199" t="s">
        <v>4225</v>
      </c>
      <c r="J400" s="137" t="s">
        <v>4532</v>
      </c>
      <c r="K400" s="97"/>
      <c r="L400" s="139" t="s">
        <v>1492</v>
      </c>
      <c r="M400" s="98"/>
      <c r="N400" s="98"/>
      <c r="O400" s="98"/>
      <c r="P400" s="98"/>
      <c r="Q400" s="98"/>
      <c r="R400" s="98"/>
      <c r="S400" s="99"/>
      <c r="T400" s="98"/>
      <c r="U400" s="98"/>
      <c r="V400" s="98"/>
      <c r="W400" s="100" t="b">
        <v>0</v>
      </c>
      <c r="X400" s="100" t="b">
        <v>0</v>
      </c>
      <c r="Y400" s="101" t="b">
        <v>0</v>
      </c>
      <c r="Z400" s="96" t="s">
        <v>4195</v>
      </c>
    </row>
    <row r="401" spans="1:46" ht="119.25" customHeight="1" outlineLevel="1">
      <c r="A401" s="58">
        <v>345</v>
      </c>
      <c r="B401" s="92" t="s">
        <v>2726</v>
      </c>
      <c r="C401" s="92" t="s">
        <v>4003</v>
      </c>
      <c r="D401" s="93" t="str">
        <f>[1]트램표준체크리스트!F734</f>
        <v>강우시 시야 확보 지장 리스크를 검토하였는가?</v>
      </c>
      <c r="E401" s="93" t="s">
        <v>4196</v>
      </c>
      <c r="F401" s="125" t="str">
        <f t="shared" si="12"/>
        <v>하</v>
      </c>
      <c r="G401" s="63" t="s">
        <v>2668</v>
      </c>
      <c r="H401" s="63" t="s">
        <v>2674</v>
      </c>
      <c r="I401" s="199" t="s">
        <v>4226</v>
      </c>
      <c r="J401" s="137" t="s">
        <v>4532</v>
      </c>
      <c r="K401" s="97"/>
      <c r="L401" s="139" t="s">
        <v>1492</v>
      </c>
      <c r="M401" s="98"/>
      <c r="N401" s="98"/>
      <c r="O401" s="98"/>
      <c r="P401" s="98"/>
      <c r="Q401" s="98"/>
      <c r="R401" s="98"/>
      <c r="S401" s="99"/>
      <c r="T401" s="98"/>
      <c r="U401" s="98"/>
      <c r="V401" s="98"/>
      <c r="W401" s="100" t="b">
        <v>0</v>
      </c>
      <c r="X401" s="100" t="b">
        <v>0</v>
      </c>
      <c r="Y401" s="101" t="b">
        <v>0</v>
      </c>
      <c r="Z401" s="96" t="s">
        <v>4197</v>
      </c>
    </row>
    <row r="402" spans="1:46" ht="119.25" customHeight="1" outlineLevel="1">
      <c r="A402" s="58">
        <v>346</v>
      </c>
      <c r="B402" s="92" t="s">
        <v>2726</v>
      </c>
      <c r="C402" s="92" t="s">
        <v>4003</v>
      </c>
      <c r="D402" s="93" t="str">
        <f>[1]트램표준체크리스트!F735</f>
        <v>선로 손상 및 파손으로 인한 운행 저해 리스크를 검토하였는가?</v>
      </c>
      <c r="E402" s="93" t="s">
        <v>4198</v>
      </c>
      <c r="F402" s="125" t="str">
        <f t="shared" si="12"/>
        <v>하</v>
      </c>
      <c r="G402" s="63" t="s">
        <v>2668</v>
      </c>
      <c r="H402" s="63" t="s">
        <v>2674</v>
      </c>
      <c r="I402" s="199" t="s">
        <v>4227</v>
      </c>
      <c r="J402" s="137" t="s">
        <v>4532</v>
      </c>
      <c r="K402" s="97"/>
      <c r="L402" s="139" t="s">
        <v>1492</v>
      </c>
      <c r="M402" s="98"/>
      <c r="N402" s="98"/>
      <c r="O402" s="98"/>
      <c r="P402" s="98"/>
      <c r="Q402" s="98"/>
      <c r="R402" s="98"/>
      <c r="S402" s="99"/>
      <c r="T402" s="98"/>
      <c r="U402" s="98"/>
      <c r="V402" s="98"/>
      <c r="W402" s="100" t="b">
        <v>0</v>
      </c>
      <c r="X402" s="100" t="b">
        <v>0</v>
      </c>
      <c r="Y402" s="101" t="b">
        <v>0</v>
      </c>
      <c r="Z402" s="96" t="s">
        <v>4199</v>
      </c>
    </row>
    <row r="403" spans="1:46" ht="119.25" customHeight="1" outlineLevel="1">
      <c r="A403" s="58">
        <v>347</v>
      </c>
      <c r="B403" s="92" t="s">
        <v>2726</v>
      </c>
      <c r="C403" s="92" t="s">
        <v>4003</v>
      </c>
      <c r="D403" s="93" t="str">
        <f>[1]트램표준체크리스트!F736</f>
        <v>표지판 및 신호체계 장애 리스크를 검토하였는가?</v>
      </c>
      <c r="E403" s="93" t="s">
        <v>4200</v>
      </c>
      <c r="F403" s="125" t="str">
        <f t="shared" si="12"/>
        <v>하</v>
      </c>
      <c r="G403" s="63" t="s">
        <v>2668</v>
      </c>
      <c r="H403" s="63" t="s">
        <v>2674</v>
      </c>
      <c r="I403" s="199" t="s">
        <v>4228</v>
      </c>
      <c r="J403" s="137" t="s">
        <v>4532</v>
      </c>
      <c r="K403" s="97"/>
      <c r="L403" s="139" t="s">
        <v>1492</v>
      </c>
      <c r="M403" s="98"/>
      <c r="N403" s="98"/>
      <c r="O403" s="98"/>
      <c r="P403" s="98"/>
      <c r="Q403" s="98"/>
      <c r="R403" s="98"/>
      <c r="S403" s="99"/>
      <c r="T403" s="98"/>
      <c r="U403" s="98"/>
      <c r="V403" s="98"/>
      <c r="W403" s="100" t="b">
        <v>0</v>
      </c>
      <c r="X403" s="100" t="b">
        <v>0</v>
      </c>
      <c r="Y403" s="101" t="b">
        <v>0</v>
      </c>
      <c r="Z403" s="96" t="s">
        <v>4201</v>
      </c>
    </row>
    <row r="404" spans="1:46" ht="119.25" customHeight="1" outlineLevel="1">
      <c r="A404" s="58">
        <v>348</v>
      </c>
      <c r="B404" s="92" t="s">
        <v>2726</v>
      </c>
      <c r="C404" s="92" t="s">
        <v>4003</v>
      </c>
      <c r="D404" s="93" t="str">
        <f>[1]트램표준체크리스트!F737</f>
        <v>EMI/EMC에 의한 도로신호설비 오작동 리스크를 검토하였는가?</v>
      </c>
      <c r="E404" s="93" t="s">
        <v>4202</v>
      </c>
      <c r="F404" s="125" t="str">
        <f t="shared" si="12"/>
        <v>하</v>
      </c>
      <c r="G404" s="63" t="s">
        <v>2668</v>
      </c>
      <c r="H404" s="63" t="s">
        <v>2674</v>
      </c>
      <c r="I404" s="199" t="s">
        <v>4229</v>
      </c>
      <c r="J404" s="137" t="s">
        <v>4532</v>
      </c>
      <c r="K404" s="97"/>
      <c r="L404" s="139" t="s">
        <v>1492</v>
      </c>
      <c r="M404" s="98"/>
      <c r="N404" s="98"/>
      <c r="O404" s="98"/>
      <c r="P404" s="98"/>
      <c r="Q404" s="98"/>
      <c r="R404" s="98"/>
      <c r="S404" s="99"/>
      <c r="T404" s="98"/>
      <c r="U404" s="98"/>
      <c r="V404" s="98"/>
      <c r="W404" s="100" t="b">
        <v>0</v>
      </c>
      <c r="X404" s="100" t="b">
        <v>0</v>
      </c>
      <c r="Y404" s="101" t="b">
        <v>0</v>
      </c>
      <c r="Z404" s="96" t="s">
        <v>4203</v>
      </c>
    </row>
    <row r="405" spans="1:46" ht="119.25" customHeight="1" outlineLevel="1">
      <c r="A405" s="58">
        <v>349</v>
      </c>
      <c r="B405" s="92" t="s">
        <v>2726</v>
      </c>
      <c r="C405" s="92" t="s">
        <v>4003</v>
      </c>
      <c r="D405" s="93" t="str">
        <f>[1]트램표준체크리스트!F738</f>
        <v>연동장치는 SIL4 인증제품 적용 필요 리스크를 검토하였는가?</v>
      </c>
      <c r="E405" s="93" t="s">
        <v>4204</v>
      </c>
      <c r="F405" s="125" t="str">
        <f t="shared" si="12"/>
        <v>하</v>
      </c>
      <c r="G405" s="63" t="s">
        <v>2668</v>
      </c>
      <c r="H405" s="63" t="s">
        <v>2674</v>
      </c>
      <c r="I405" s="199" t="s">
        <v>4230</v>
      </c>
      <c r="J405" s="137" t="s">
        <v>4532</v>
      </c>
      <c r="K405" s="97"/>
      <c r="L405" s="139" t="s">
        <v>1492</v>
      </c>
      <c r="M405" s="98"/>
      <c r="N405" s="98"/>
      <c r="O405" s="98"/>
      <c r="P405" s="98"/>
      <c r="Q405" s="98"/>
      <c r="R405" s="98"/>
      <c r="S405" s="99"/>
      <c r="T405" s="98"/>
      <c r="U405" s="98"/>
      <c r="V405" s="98"/>
      <c r="W405" s="100" t="b">
        <v>0</v>
      </c>
      <c r="X405" s="100" t="b">
        <v>0</v>
      </c>
      <c r="Y405" s="101" t="b">
        <v>0</v>
      </c>
      <c r="Z405" s="96" t="s">
        <v>4205</v>
      </c>
    </row>
    <row r="406" spans="1:46" ht="119.25" customHeight="1" outlineLevel="1">
      <c r="A406" s="58">
        <v>350</v>
      </c>
      <c r="B406" s="92" t="s">
        <v>2726</v>
      </c>
      <c r="C406" s="92" t="s">
        <v>4003</v>
      </c>
      <c r="D406" s="93" t="str">
        <f>[1]트램표준체크리스트!F739</f>
        <v>종합시운전은 21개월(약 8.5개월) 이상 필요 리스크를 검토하였는가?</v>
      </c>
      <c r="E406" s="93" t="s">
        <v>4206</v>
      </c>
      <c r="F406" s="125" t="str">
        <f t="shared" si="12"/>
        <v>하</v>
      </c>
      <c r="G406" s="63" t="s">
        <v>2668</v>
      </c>
      <c r="H406" s="63" t="s">
        <v>2674</v>
      </c>
      <c r="I406" s="199" t="s">
        <v>4231</v>
      </c>
      <c r="J406" s="137" t="s">
        <v>4532</v>
      </c>
      <c r="K406" s="97"/>
      <c r="L406" s="139" t="s">
        <v>1492</v>
      </c>
      <c r="M406" s="98"/>
      <c r="N406" s="98"/>
      <c r="O406" s="98"/>
      <c r="P406" s="98"/>
      <c r="Q406" s="98"/>
      <c r="R406" s="98"/>
      <c r="S406" s="99"/>
      <c r="T406" s="98"/>
      <c r="U406" s="98"/>
      <c r="V406" s="98"/>
      <c r="W406" s="100" t="b">
        <v>0</v>
      </c>
      <c r="X406" s="100" t="b">
        <v>0</v>
      </c>
      <c r="Y406" s="101" t="b">
        <v>0</v>
      </c>
      <c r="Z406" s="96" t="s">
        <v>4207</v>
      </c>
    </row>
    <row r="407" spans="1:46" ht="119.25" customHeight="1" outlineLevel="1">
      <c r="A407" s="58">
        <v>351</v>
      </c>
      <c r="B407" s="92" t="s">
        <v>2726</v>
      </c>
      <c r="C407" s="92" t="s">
        <v>4003</v>
      </c>
      <c r="D407" s="93" t="str">
        <f>[1]트램표준체크리스트!F740</f>
        <v>설계시 ATP 형식을 최신 방식으로 설계하였으나, 발주처의 요구사항에 따라 기존 방식과 동일한 방식으로 설계 형식을 변경 리스크를 검토하였는가?</v>
      </c>
      <c r="E407" s="93" t="s">
        <v>4208</v>
      </c>
      <c r="F407" s="125" t="str">
        <f t="shared" si="12"/>
        <v>하</v>
      </c>
      <c r="G407" s="63" t="s">
        <v>2668</v>
      </c>
      <c r="H407" s="63" t="s">
        <v>2674</v>
      </c>
      <c r="I407" s="199" t="s">
        <v>4232</v>
      </c>
      <c r="J407" s="137" t="s">
        <v>4532</v>
      </c>
      <c r="K407" s="97"/>
      <c r="L407" s="139" t="s">
        <v>1492</v>
      </c>
      <c r="M407" s="98"/>
      <c r="N407" s="98"/>
      <c r="O407" s="98"/>
      <c r="P407" s="98"/>
      <c r="Q407" s="98"/>
      <c r="R407" s="98"/>
      <c r="S407" s="99"/>
      <c r="T407" s="98"/>
      <c r="U407" s="98"/>
      <c r="V407" s="98"/>
      <c r="W407" s="100" t="b">
        <v>0</v>
      </c>
      <c r="X407" s="100" t="b">
        <v>0</v>
      </c>
      <c r="Y407" s="101" t="b">
        <v>0</v>
      </c>
      <c r="Z407" s="96" t="s">
        <v>4209</v>
      </c>
    </row>
    <row r="408" spans="1:46" ht="119.25" customHeight="1">
      <c r="A408" s="58">
        <v>352</v>
      </c>
      <c r="B408" s="92" t="s">
        <v>2726</v>
      </c>
      <c r="C408" s="92" t="s">
        <v>4004</v>
      </c>
      <c r="D408" s="93" t="str">
        <f>[1]트램표준체크리스트!F741</f>
        <v>돌발유고검지장치 및 음성안내장치의 전원·통신·배관 물량 누락으로 안전설비 구축이 불가해질 리스크를 검토하였는가?</v>
      </c>
      <c r="E408" s="93" t="s">
        <v>4210</v>
      </c>
      <c r="F408" s="125" t="str">
        <f t="shared" si="12"/>
        <v>하</v>
      </c>
      <c r="G408" s="63" t="s">
        <v>2668</v>
      </c>
      <c r="H408" s="63" t="s">
        <v>2674</v>
      </c>
      <c r="I408" s="199" t="s">
        <v>4211</v>
      </c>
      <c r="J408" s="137" t="s">
        <v>4532</v>
      </c>
      <c r="K408" s="97"/>
      <c r="L408" s="139" t="s">
        <v>1492</v>
      </c>
      <c r="M408" s="98"/>
      <c r="N408" s="98"/>
      <c r="O408" s="98"/>
      <c r="P408" s="98"/>
      <c r="Q408" s="98"/>
      <c r="R408" s="98"/>
      <c r="S408" s="99"/>
      <c r="T408" s="98"/>
      <c r="U408" s="98"/>
      <c r="V408" s="98"/>
      <c r="W408" s="100" t="b">
        <v>0</v>
      </c>
      <c r="X408" s="100" t="b">
        <v>0</v>
      </c>
      <c r="Y408" s="101" t="b">
        <v>0</v>
      </c>
      <c r="Z408" s="96" t="s">
        <v>4212</v>
      </c>
    </row>
    <row r="409" spans="1:46" ht="119.25" customHeight="1">
      <c r="A409" s="58">
        <v>353</v>
      </c>
      <c r="B409" s="123" t="s">
        <v>2726</v>
      </c>
      <c r="C409" s="123" t="s">
        <v>4005</v>
      </c>
      <c r="D409" s="124" t="str">
        <f>[1]트램표준체크리스트!F746</f>
        <v>수동전환 및 포인트 차단회로 설계 누락으로 정전 시 선로 고착 및 열차 점유 중 임의 전환될 리스크를 검토하였는가?</v>
      </c>
      <c r="E409" s="124" t="s">
        <v>2721</v>
      </c>
      <c r="F409" s="125" t="str">
        <f t="shared" si="12"/>
        <v>하</v>
      </c>
      <c r="G409" s="63" t="s">
        <v>2668</v>
      </c>
      <c r="H409" s="63" t="s">
        <v>2674</v>
      </c>
      <c r="I409" s="197" t="s">
        <v>4213</v>
      </c>
      <c r="J409" s="137" t="s">
        <v>4532</v>
      </c>
      <c r="K409" s="129"/>
      <c r="L409" s="138" t="s">
        <v>1492</v>
      </c>
      <c r="M409" s="130"/>
      <c r="N409" s="130"/>
      <c r="O409" s="130"/>
      <c r="P409" s="130"/>
      <c r="Q409" s="130"/>
      <c r="R409" s="130"/>
      <c r="S409" s="131"/>
      <c r="T409" s="130"/>
      <c r="U409" s="130"/>
      <c r="V409" s="130"/>
      <c r="W409" s="132" t="b">
        <v>0</v>
      </c>
      <c r="X409" s="132" t="b">
        <v>0</v>
      </c>
      <c r="Y409" s="133" t="b">
        <v>0</v>
      </c>
      <c r="Z409" s="127" t="s">
        <v>4214</v>
      </c>
      <c r="AA409" s="134"/>
      <c r="AB409" s="134"/>
      <c r="AC409" s="150"/>
      <c r="AD409" s="150"/>
      <c r="AE409" s="150"/>
      <c r="AF409" s="150"/>
      <c r="AG409" s="134"/>
      <c r="AH409" s="134"/>
      <c r="AI409" s="134"/>
      <c r="AJ409" s="134"/>
      <c r="AK409" s="134"/>
      <c r="AL409" s="134"/>
      <c r="AM409" s="134"/>
      <c r="AN409" s="134"/>
      <c r="AO409" s="134"/>
      <c r="AP409" s="134"/>
      <c r="AQ409" s="134"/>
      <c r="AR409" s="134"/>
      <c r="AS409" s="134"/>
      <c r="AT409" s="134"/>
    </row>
    <row r="410" spans="1:46" ht="119.25" customHeight="1">
      <c r="A410" s="58">
        <v>354</v>
      </c>
      <c r="B410" s="123" t="s">
        <v>2726</v>
      </c>
      <c r="C410" s="123" t="s">
        <v>4005</v>
      </c>
      <c r="D410" s="124" t="str">
        <f>[1]트램표준체크리스트!F747</f>
        <v>선로전환기 덮개 강성 부족 및 텅레일 밀착 기능 누락으로, 일반 차량 통과 시 파손 및 텅레일이 벌어질 리스크를 검토하였는가?</v>
      </c>
      <c r="E410" s="124" t="s">
        <v>4215</v>
      </c>
      <c r="F410" s="125" t="str">
        <f t="shared" si="12"/>
        <v>하</v>
      </c>
      <c r="G410" s="63" t="s">
        <v>2668</v>
      </c>
      <c r="H410" s="63" t="s">
        <v>2674</v>
      </c>
      <c r="I410" s="197" t="s">
        <v>4216</v>
      </c>
      <c r="J410" s="137" t="s">
        <v>4532</v>
      </c>
      <c r="K410" s="129"/>
      <c r="L410" s="138" t="s">
        <v>1492</v>
      </c>
      <c r="M410" s="130"/>
      <c r="N410" s="130"/>
      <c r="O410" s="130"/>
      <c r="P410" s="130"/>
      <c r="Q410" s="130"/>
      <c r="R410" s="130"/>
      <c r="S410" s="131"/>
      <c r="T410" s="130"/>
      <c r="U410" s="130"/>
      <c r="V410" s="130"/>
      <c r="W410" s="132" t="b">
        <v>0</v>
      </c>
      <c r="X410" s="132" t="b">
        <v>0</v>
      </c>
      <c r="Y410" s="133" t="b">
        <v>0</v>
      </c>
      <c r="Z410" s="127" t="s">
        <v>4217</v>
      </c>
      <c r="AA410" s="134"/>
      <c r="AB410" s="134"/>
      <c r="AC410" s="150"/>
      <c r="AD410" s="150"/>
      <c r="AE410" s="150"/>
      <c r="AF410" s="150"/>
      <c r="AG410" s="134"/>
      <c r="AH410" s="134"/>
      <c r="AI410" s="134"/>
      <c r="AJ410" s="134"/>
      <c r="AK410" s="134"/>
      <c r="AL410" s="134"/>
      <c r="AM410" s="134"/>
      <c r="AN410" s="134"/>
      <c r="AO410" s="134"/>
      <c r="AP410" s="134"/>
      <c r="AQ410" s="134"/>
      <c r="AR410" s="134"/>
      <c r="AS410" s="134"/>
      <c r="AT410" s="134"/>
    </row>
    <row r="411" spans="1:46" ht="119.25" customHeight="1">
      <c r="A411" s="58">
        <v>355</v>
      </c>
      <c r="B411" s="80" t="s">
        <v>1427</v>
      </c>
      <c r="C411" s="80" t="s">
        <v>1411</v>
      </c>
      <c r="D411" s="60" t="s">
        <v>2013</v>
      </c>
      <c r="E411" s="60" t="s">
        <v>697</v>
      </c>
      <c r="F411" s="125" t="str">
        <f t="shared" si="12"/>
        <v>하</v>
      </c>
      <c r="G411" s="63" t="s">
        <v>2668</v>
      </c>
      <c r="H411" s="63" t="s">
        <v>2674</v>
      </c>
      <c r="I411" s="190" t="s">
        <v>698</v>
      </c>
      <c r="J411" s="137" t="s">
        <v>1417</v>
      </c>
      <c r="K411" s="79"/>
      <c r="L411" s="137" t="s">
        <v>1492</v>
      </c>
      <c r="M411" s="67"/>
      <c r="N411" s="67"/>
      <c r="O411" s="67"/>
      <c r="P411" s="67"/>
      <c r="Q411" s="67"/>
      <c r="R411" s="67"/>
      <c r="S411" s="81" t="s">
        <v>1418</v>
      </c>
      <c r="T411" s="67"/>
      <c r="U411" s="67"/>
      <c r="V411" s="67"/>
      <c r="W411" s="88" t="b">
        <v>0</v>
      </c>
      <c r="X411" s="88" t="b">
        <v>0</v>
      </c>
      <c r="Y411" s="89" t="b">
        <v>1</v>
      </c>
      <c r="Z411" s="73" t="s">
        <v>699</v>
      </c>
    </row>
    <row r="412" spans="1:46" ht="119.25" customHeight="1">
      <c r="A412" s="58">
        <v>356</v>
      </c>
      <c r="B412" s="123" t="s">
        <v>1460</v>
      </c>
      <c r="C412" s="123" t="s">
        <v>4238</v>
      </c>
      <c r="D412" s="124" t="s">
        <v>2014</v>
      </c>
      <c r="E412" s="124" t="s">
        <v>700</v>
      </c>
      <c r="F412" s="125" t="str">
        <f t="shared" si="12"/>
        <v>하</v>
      </c>
      <c r="G412" s="126" t="s">
        <v>2668</v>
      </c>
      <c r="H412" s="126" t="s">
        <v>2674</v>
      </c>
      <c r="I412" s="197" t="s">
        <v>701</v>
      </c>
      <c r="J412" s="138" t="s">
        <v>1417</v>
      </c>
      <c r="K412" s="129"/>
      <c r="L412" s="138" t="s">
        <v>1492</v>
      </c>
      <c r="M412" s="130"/>
      <c r="N412" s="130"/>
      <c r="O412" s="130"/>
      <c r="P412" s="130"/>
      <c r="Q412" s="130"/>
      <c r="R412" s="130"/>
      <c r="S412" s="131" t="s">
        <v>1418</v>
      </c>
      <c r="T412" s="130"/>
      <c r="U412" s="130"/>
      <c r="V412" s="130"/>
      <c r="W412" s="132" t="b">
        <v>0</v>
      </c>
      <c r="X412" s="133" t="b">
        <v>0</v>
      </c>
      <c r="Y412" s="133" t="b">
        <v>0</v>
      </c>
      <c r="Z412" s="127" t="s">
        <v>699</v>
      </c>
      <c r="AA412" s="134"/>
      <c r="AB412" s="134"/>
      <c r="AC412" s="150"/>
      <c r="AD412" s="150"/>
      <c r="AE412" s="150"/>
      <c r="AF412" s="150"/>
      <c r="AG412" s="134"/>
      <c r="AH412" s="134"/>
      <c r="AI412" s="134"/>
      <c r="AJ412" s="134"/>
      <c r="AK412" s="134"/>
      <c r="AL412" s="134"/>
      <c r="AM412" s="134"/>
      <c r="AN412" s="134"/>
      <c r="AO412" s="134"/>
      <c r="AP412" s="134"/>
      <c r="AQ412" s="134"/>
      <c r="AR412" s="134"/>
      <c r="AS412" s="134"/>
      <c r="AT412" s="134"/>
    </row>
    <row r="413" spans="1:46" ht="119.25" customHeight="1">
      <c r="A413" s="58">
        <v>357</v>
      </c>
      <c r="B413" s="80" t="s">
        <v>1427</v>
      </c>
      <c r="C413" s="80" t="s">
        <v>1411</v>
      </c>
      <c r="D413" s="60" t="s">
        <v>2015</v>
      </c>
      <c r="E413" s="60" t="s">
        <v>702</v>
      </c>
      <c r="F413" s="125" t="str">
        <f t="shared" si="12"/>
        <v>하</v>
      </c>
      <c r="G413" s="63" t="s">
        <v>2668</v>
      </c>
      <c r="H413" s="63" t="s">
        <v>2674</v>
      </c>
      <c r="I413" s="190" t="s">
        <v>703</v>
      </c>
      <c r="J413" s="137" t="s">
        <v>4248</v>
      </c>
      <c r="K413" s="79"/>
      <c r="L413" s="137" t="s">
        <v>1492</v>
      </c>
      <c r="M413" s="67"/>
      <c r="N413" s="67"/>
      <c r="O413" s="67"/>
      <c r="P413" s="67"/>
      <c r="Q413" s="67"/>
      <c r="R413" s="67"/>
      <c r="S413" s="81" t="s">
        <v>1418</v>
      </c>
      <c r="T413" s="67"/>
      <c r="U413" s="67"/>
      <c r="V413" s="67"/>
      <c r="W413" s="88" t="b">
        <v>0</v>
      </c>
      <c r="X413" s="88" t="b">
        <v>0</v>
      </c>
      <c r="Y413" s="89" t="b">
        <v>1</v>
      </c>
      <c r="Z413" s="73" t="s">
        <v>699</v>
      </c>
    </row>
    <row r="414" spans="1:46" ht="119.25" customHeight="1">
      <c r="A414" s="58">
        <v>358</v>
      </c>
      <c r="B414" s="80" t="s">
        <v>32</v>
      </c>
      <c r="C414" s="80" t="s">
        <v>1411</v>
      </c>
      <c r="D414" s="60" t="s">
        <v>2016</v>
      </c>
      <c r="E414" s="60" t="s">
        <v>706</v>
      </c>
      <c r="F414" s="125" t="str">
        <f t="shared" si="12"/>
        <v>하</v>
      </c>
      <c r="G414" s="63" t="s">
        <v>2668</v>
      </c>
      <c r="H414" s="63" t="s">
        <v>2674</v>
      </c>
      <c r="I414" s="190" t="s">
        <v>707</v>
      </c>
      <c r="J414" s="137" t="s">
        <v>4248</v>
      </c>
      <c r="K414" s="79"/>
      <c r="L414" s="137" t="s">
        <v>1492</v>
      </c>
      <c r="M414" s="67"/>
      <c r="N414" s="67"/>
      <c r="O414" s="67"/>
      <c r="P414" s="67"/>
      <c r="Q414" s="67"/>
      <c r="R414" s="67"/>
      <c r="S414" s="81" t="s">
        <v>1418</v>
      </c>
      <c r="T414" s="67"/>
      <c r="U414" s="67"/>
      <c r="V414" s="67"/>
      <c r="W414" s="88" t="b">
        <v>1</v>
      </c>
      <c r="X414" s="88" t="b">
        <v>0</v>
      </c>
      <c r="Y414" s="88" t="b">
        <v>0</v>
      </c>
      <c r="Z414" s="73" t="s">
        <v>699</v>
      </c>
    </row>
    <row r="415" spans="1:46" ht="119.25" customHeight="1">
      <c r="A415" s="58">
        <v>359</v>
      </c>
      <c r="B415" s="80" t="s">
        <v>1427</v>
      </c>
      <c r="C415" s="80" t="s">
        <v>1411</v>
      </c>
      <c r="D415" s="60" t="s">
        <v>2017</v>
      </c>
      <c r="E415" s="60" t="s">
        <v>708</v>
      </c>
      <c r="F415" s="125" t="str">
        <f t="shared" si="12"/>
        <v>하</v>
      </c>
      <c r="G415" s="63" t="s">
        <v>2668</v>
      </c>
      <c r="H415" s="63" t="s">
        <v>2674</v>
      </c>
      <c r="I415" s="190" t="s">
        <v>709</v>
      </c>
      <c r="J415" s="137" t="s">
        <v>4248</v>
      </c>
      <c r="K415" s="79"/>
      <c r="L415" s="137" t="s">
        <v>1492</v>
      </c>
      <c r="M415" s="67"/>
      <c r="N415" s="67"/>
      <c r="O415" s="67"/>
      <c r="P415" s="67"/>
      <c r="Q415" s="67"/>
      <c r="R415" s="67"/>
      <c r="S415" s="81" t="s">
        <v>1418</v>
      </c>
      <c r="T415" s="67"/>
      <c r="U415" s="67"/>
      <c r="V415" s="67"/>
      <c r="W415" s="88" t="b">
        <v>0</v>
      </c>
      <c r="X415" s="88" t="b">
        <v>1</v>
      </c>
      <c r="Y415" s="89" t="b">
        <v>1</v>
      </c>
      <c r="Z415" s="73" t="s">
        <v>699</v>
      </c>
    </row>
    <row r="416" spans="1:46" ht="119.25" customHeight="1">
      <c r="A416" s="58">
        <v>360</v>
      </c>
      <c r="B416" s="80" t="s">
        <v>1460</v>
      </c>
      <c r="C416" s="80" t="s">
        <v>1411</v>
      </c>
      <c r="D416" s="60" t="s">
        <v>2018</v>
      </c>
      <c r="E416" s="60" t="s">
        <v>710</v>
      </c>
      <c r="F416" s="125" t="str">
        <f t="shared" ref="F416:F479" si="13">_xlfn.LET(
_xlpm.v_발생, IF(ISNUMBER(SEARCH("빈번", G416)), "상",
IF(ISNUMBER(SEARCH("거의", G416)), "하", "중")),
_xlpm.v_영향, IF(ISNUMBER(SEARCH("1개월", H416)), "상",
IF(ISNUMBER(SEARCH("없음", H416)), "하", "중")),
IF(AND(_xlpm.v_발생="상", _xlpm.v_영향="상"), "극상",
IF(OR(_xlpm.v_발생="상", _xlpm.v_영향="상"), "상",
IF(AND(_xlpm.v_발생="하", _xlpm.v_영향="하"), "하",
"중")))
)</f>
        <v>하</v>
      </c>
      <c r="G416" s="63" t="s">
        <v>2668</v>
      </c>
      <c r="H416" s="63" t="s">
        <v>2674</v>
      </c>
      <c r="I416" s="190" t="s">
        <v>711</v>
      </c>
      <c r="J416" s="137" t="s">
        <v>4248</v>
      </c>
      <c r="K416" s="79"/>
      <c r="L416" s="137" t="s">
        <v>1492</v>
      </c>
      <c r="M416" s="67"/>
      <c r="N416" s="67"/>
      <c r="O416" s="67"/>
      <c r="P416" s="67"/>
      <c r="Q416" s="67"/>
      <c r="R416" s="67"/>
      <c r="S416" s="81" t="s">
        <v>1418</v>
      </c>
      <c r="T416" s="67"/>
      <c r="U416" s="67"/>
      <c r="V416" s="67"/>
      <c r="W416" s="88" t="b">
        <v>0</v>
      </c>
      <c r="X416" s="88" t="b">
        <v>0</v>
      </c>
      <c r="Y416" s="89" t="b">
        <v>0</v>
      </c>
      <c r="Z416" s="73" t="s">
        <v>699</v>
      </c>
    </row>
    <row r="417" spans="1:26" ht="119.25" customHeight="1">
      <c r="A417" s="58">
        <v>361</v>
      </c>
      <c r="B417" s="80" t="s">
        <v>1460</v>
      </c>
      <c r="C417" s="80" t="s">
        <v>1411</v>
      </c>
      <c r="D417" s="60" t="s">
        <v>2020</v>
      </c>
      <c r="E417" s="60" t="s">
        <v>712</v>
      </c>
      <c r="F417" s="125" t="str">
        <f t="shared" si="13"/>
        <v>하</v>
      </c>
      <c r="G417" s="63" t="s">
        <v>2668</v>
      </c>
      <c r="H417" s="63" t="s">
        <v>2674</v>
      </c>
      <c r="I417" s="190" t="s">
        <v>713</v>
      </c>
      <c r="J417" s="137" t="s">
        <v>4248</v>
      </c>
      <c r="K417" s="79"/>
      <c r="L417" s="137" t="s">
        <v>1492</v>
      </c>
      <c r="M417" s="67"/>
      <c r="N417" s="67"/>
      <c r="O417" s="67"/>
      <c r="P417" s="67"/>
      <c r="Q417" s="67"/>
      <c r="R417" s="67"/>
      <c r="S417" s="81" t="s">
        <v>1418</v>
      </c>
      <c r="T417" s="67"/>
      <c r="U417" s="67"/>
      <c r="V417" s="67"/>
      <c r="W417" s="88" t="b">
        <v>1</v>
      </c>
      <c r="X417" s="88" t="b">
        <v>1</v>
      </c>
      <c r="Y417" s="89" t="b">
        <v>0</v>
      </c>
      <c r="Z417" s="73" t="s">
        <v>699</v>
      </c>
    </row>
    <row r="418" spans="1:26" ht="119.25" customHeight="1">
      <c r="A418" s="58">
        <v>362</v>
      </c>
      <c r="B418" s="80" t="s">
        <v>1427</v>
      </c>
      <c r="C418" s="80" t="s">
        <v>1411</v>
      </c>
      <c r="D418" s="60" t="s">
        <v>2021</v>
      </c>
      <c r="E418" s="60" t="s">
        <v>714</v>
      </c>
      <c r="F418" s="94" t="str">
        <f t="shared" si="13"/>
        <v>하</v>
      </c>
      <c r="G418" s="63" t="s">
        <v>2668</v>
      </c>
      <c r="H418" s="63" t="s">
        <v>2674</v>
      </c>
      <c r="I418" s="190" t="s">
        <v>715</v>
      </c>
      <c r="J418" s="137" t="s">
        <v>4248</v>
      </c>
      <c r="K418" s="79"/>
      <c r="L418" s="137" t="s">
        <v>1492</v>
      </c>
      <c r="M418" s="67"/>
      <c r="N418" s="67"/>
      <c r="O418" s="67"/>
      <c r="P418" s="67"/>
      <c r="Q418" s="67"/>
      <c r="R418" s="67"/>
      <c r="S418" s="81" t="s">
        <v>1418</v>
      </c>
      <c r="T418" s="67"/>
      <c r="U418" s="67"/>
      <c r="V418" s="67"/>
      <c r="W418" s="88" t="b">
        <v>0</v>
      </c>
      <c r="X418" s="88" t="b">
        <v>0</v>
      </c>
      <c r="Y418" s="88" t="b">
        <v>1</v>
      </c>
      <c r="Z418" s="73" t="s">
        <v>699</v>
      </c>
    </row>
    <row r="419" spans="1:26" ht="119.25" customHeight="1">
      <c r="A419" s="58">
        <v>363</v>
      </c>
      <c r="B419" s="80" t="s">
        <v>32</v>
      </c>
      <c r="C419" s="80" t="s">
        <v>1411</v>
      </c>
      <c r="D419" s="60" t="s">
        <v>2022</v>
      </c>
      <c r="E419" s="60" t="s">
        <v>716</v>
      </c>
      <c r="F419" s="94" t="str">
        <f t="shared" si="13"/>
        <v>하</v>
      </c>
      <c r="G419" s="63" t="s">
        <v>2668</v>
      </c>
      <c r="H419" s="63" t="s">
        <v>2674</v>
      </c>
      <c r="I419" s="190" t="s">
        <v>717</v>
      </c>
      <c r="J419" s="137" t="s">
        <v>4248</v>
      </c>
      <c r="K419" s="79"/>
      <c r="L419" s="137" t="s">
        <v>1492</v>
      </c>
      <c r="M419" s="67"/>
      <c r="N419" s="67"/>
      <c r="O419" s="67"/>
      <c r="P419" s="67"/>
      <c r="Q419" s="67"/>
      <c r="R419" s="67"/>
      <c r="S419" s="81" t="s">
        <v>1418</v>
      </c>
      <c r="T419" s="67"/>
      <c r="U419" s="67"/>
      <c r="V419" s="67"/>
      <c r="W419" s="88" t="b">
        <v>1</v>
      </c>
      <c r="X419" s="88" t="b">
        <v>0</v>
      </c>
      <c r="Y419" s="89" t="b">
        <v>1</v>
      </c>
      <c r="Z419" s="73" t="s">
        <v>699</v>
      </c>
    </row>
    <row r="420" spans="1:26" ht="119.25" customHeight="1">
      <c r="A420" s="58">
        <v>364</v>
      </c>
      <c r="B420" s="80" t="s">
        <v>1460</v>
      </c>
      <c r="C420" s="80" t="s">
        <v>1411</v>
      </c>
      <c r="D420" s="60" t="s">
        <v>2023</v>
      </c>
      <c r="E420" s="60" t="s">
        <v>718</v>
      </c>
      <c r="F420" s="94" t="str">
        <f t="shared" si="13"/>
        <v>하</v>
      </c>
      <c r="G420" s="63" t="s">
        <v>2668</v>
      </c>
      <c r="H420" s="63" t="s">
        <v>2674</v>
      </c>
      <c r="I420" s="190" t="s">
        <v>719</v>
      </c>
      <c r="J420" s="137" t="s">
        <v>4248</v>
      </c>
      <c r="K420" s="79"/>
      <c r="L420" s="137" t="s">
        <v>1492</v>
      </c>
      <c r="M420" s="67"/>
      <c r="N420" s="67"/>
      <c r="O420" s="67"/>
      <c r="P420" s="67"/>
      <c r="Q420" s="67"/>
      <c r="R420" s="67"/>
      <c r="S420" s="81" t="s">
        <v>1418</v>
      </c>
      <c r="T420" s="67"/>
      <c r="U420" s="67"/>
      <c r="V420" s="67"/>
      <c r="W420" s="88" t="b">
        <v>0</v>
      </c>
      <c r="X420" s="88" t="b">
        <v>0</v>
      </c>
      <c r="Y420" s="88" t="b">
        <v>0</v>
      </c>
      <c r="Z420" s="73" t="s">
        <v>699</v>
      </c>
    </row>
    <row r="421" spans="1:26" ht="119.25" customHeight="1">
      <c r="A421" s="58">
        <v>365</v>
      </c>
      <c r="B421" s="80" t="s">
        <v>1427</v>
      </c>
      <c r="C421" s="80" t="s">
        <v>1411</v>
      </c>
      <c r="D421" s="60" t="s">
        <v>2024</v>
      </c>
      <c r="E421" s="60" t="s">
        <v>720</v>
      </c>
      <c r="F421" s="94" t="str">
        <f t="shared" si="13"/>
        <v>하</v>
      </c>
      <c r="G421" s="63" t="s">
        <v>2668</v>
      </c>
      <c r="H421" s="63" t="s">
        <v>2674</v>
      </c>
      <c r="I421" s="190" t="s">
        <v>721</v>
      </c>
      <c r="J421" s="137" t="s">
        <v>4248</v>
      </c>
      <c r="K421" s="79"/>
      <c r="L421" s="137" t="s">
        <v>1492</v>
      </c>
      <c r="M421" s="67"/>
      <c r="N421" s="67"/>
      <c r="O421" s="67"/>
      <c r="P421" s="67"/>
      <c r="Q421" s="67"/>
      <c r="R421" s="67"/>
      <c r="S421" s="81" t="s">
        <v>1418</v>
      </c>
      <c r="T421" s="67"/>
      <c r="U421" s="67"/>
      <c r="V421" s="67"/>
      <c r="W421" s="88" t="b">
        <v>0</v>
      </c>
      <c r="X421" s="88" t="b">
        <v>0</v>
      </c>
      <c r="Y421" s="89" t="b">
        <v>1</v>
      </c>
      <c r="Z421" s="73" t="s">
        <v>699</v>
      </c>
    </row>
    <row r="422" spans="1:26" ht="119.25" customHeight="1">
      <c r="A422" s="58">
        <v>366</v>
      </c>
      <c r="B422" s="80" t="s">
        <v>1416</v>
      </c>
      <c r="C422" s="80" t="s">
        <v>1411</v>
      </c>
      <c r="D422" s="60" t="s">
        <v>2025</v>
      </c>
      <c r="E422" s="60" t="s">
        <v>722</v>
      </c>
      <c r="F422" s="94" t="str">
        <f t="shared" si="13"/>
        <v>하</v>
      </c>
      <c r="G422" s="63" t="s">
        <v>2668</v>
      </c>
      <c r="H422" s="63" t="s">
        <v>2674</v>
      </c>
      <c r="I422" s="190" t="s">
        <v>723</v>
      </c>
      <c r="J422" s="137" t="s">
        <v>4248</v>
      </c>
      <c r="K422" s="79"/>
      <c r="L422" s="137" t="s">
        <v>1492</v>
      </c>
      <c r="M422" s="67"/>
      <c r="N422" s="67"/>
      <c r="O422" s="67"/>
      <c r="P422" s="67"/>
      <c r="Q422" s="67"/>
      <c r="R422" s="67"/>
      <c r="S422" s="81" t="s">
        <v>1418</v>
      </c>
      <c r="T422" s="67"/>
      <c r="U422" s="67"/>
      <c r="V422" s="67"/>
      <c r="W422" s="88" t="b">
        <v>0</v>
      </c>
      <c r="X422" s="89" t="b">
        <v>1</v>
      </c>
      <c r="Y422" s="89" t="b">
        <v>1</v>
      </c>
      <c r="Z422" s="73" t="s">
        <v>699</v>
      </c>
    </row>
    <row r="423" spans="1:26" ht="119.25" customHeight="1">
      <c r="A423" s="58">
        <v>367</v>
      </c>
      <c r="B423" s="80" t="s">
        <v>1460</v>
      </c>
      <c r="C423" s="80" t="s">
        <v>1411</v>
      </c>
      <c r="D423" s="60" t="s">
        <v>2026</v>
      </c>
      <c r="E423" s="60" t="s">
        <v>724</v>
      </c>
      <c r="F423" s="94" t="str">
        <f t="shared" si="13"/>
        <v>하</v>
      </c>
      <c r="G423" s="63" t="s">
        <v>2668</v>
      </c>
      <c r="H423" s="63" t="s">
        <v>2674</v>
      </c>
      <c r="I423" s="190" t="s">
        <v>725</v>
      </c>
      <c r="J423" s="137" t="s">
        <v>4248</v>
      </c>
      <c r="K423" s="79"/>
      <c r="L423" s="137" t="s">
        <v>1492</v>
      </c>
      <c r="M423" s="67"/>
      <c r="N423" s="67"/>
      <c r="O423" s="67"/>
      <c r="P423" s="67"/>
      <c r="Q423" s="67"/>
      <c r="R423" s="67"/>
      <c r="S423" s="81" t="s">
        <v>1418</v>
      </c>
      <c r="T423" s="67"/>
      <c r="U423" s="67"/>
      <c r="V423" s="67"/>
      <c r="W423" s="88" t="b">
        <v>1</v>
      </c>
      <c r="X423" s="88" t="b">
        <v>0</v>
      </c>
      <c r="Y423" s="89" t="b">
        <v>0</v>
      </c>
      <c r="Z423" s="73" t="s">
        <v>699</v>
      </c>
    </row>
    <row r="424" spans="1:26" ht="119.25" customHeight="1">
      <c r="A424" s="58">
        <v>368</v>
      </c>
      <c r="B424" s="80" t="s">
        <v>1427</v>
      </c>
      <c r="C424" s="80" t="s">
        <v>1411</v>
      </c>
      <c r="D424" s="60" t="s">
        <v>2027</v>
      </c>
      <c r="E424" s="60" t="s">
        <v>726</v>
      </c>
      <c r="F424" s="94" t="str">
        <f t="shared" si="13"/>
        <v>하</v>
      </c>
      <c r="G424" s="63" t="s">
        <v>2668</v>
      </c>
      <c r="H424" s="63" t="s">
        <v>2674</v>
      </c>
      <c r="I424" s="190" t="s">
        <v>727</v>
      </c>
      <c r="J424" s="137" t="s">
        <v>4248</v>
      </c>
      <c r="K424" s="79"/>
      <c r="L424" s="137" t="s">
        <v>1492</v>
      </c>
      <c r="M424" s="67"/>
      <c r="N424" s="67"/>
      <c r="O424" s="67"/>
      <c r="P424" s="67"/>
      <c r="Q424" s="67"/>
      <c r="R424" s="67"/>
      <c r="S424" s="81" t="s">
        <v>1418</v>
      </c>
      <c r="T424" s="67"/>
      <c r="U424" s="67"/>
      <c r="V424" s="67"/>
      <c r="W424" s="88" t="b">
        <v>0</v>
      </c>
      <c r="X424" s="88" t="b">
        <v>0</v>
      </c>
      <c r="Y424" s="89" t="b">
        <v>1</v>
      </c>
      <c r="Z424" s="73" t="s">
        <v>699</v>
      </c>
    </row>
    <row r="425" spans="1:26" ht="119.25" customHeight="1">
      <c r="A425" s="58">
        <v>369</v>
      </c>
      <c r="B425" s="80" t="s">
        <v>1460</v>
      </c>
      <c r="C425" s="80" t="s">
        <v>1411</v>
      </c>
      <c r="D425" s="60" t="s">
        <v>2028</v>
      </c>
      <c r="E425" s="60" t="s">
        <v>728</v>
      </c>
      <c r="F425" s="94" t="str">
        <f t="shared" si="13"/>
        <v>하</v>
      </c>
      <c r="G425" s="63" t="s">
        <v>2668</v>
      </c>
      <c r="H425" s="63" t="s">
        <v>2674</v>
      </c>
      <c r="I425" s="190" t="s">
        <v>729</v>
      </c>
      <c r="J425" s="137" t="s">
        <v>4248</v>
      </c>
      <c r="K425" s="79"/>
      <c r="L425" s="137" t="s">
        <v>1492</v>
      </c>
      <c r="M425" s="67"/>
      <c r="N425" s="67"/>
      <c r="O425" s="67"/>
      <c r="P425" s="67"/>
      <c r="Q425" s="67"/>
      <c r="R425" s="67"/>
      <c r="S425" s="81" t="s">
        <v>1418</v>
      </c>
      <c r="T425" s="67"/>
      <c r="U425" s="67"/>
      <c r="V425" s="67"/>
      <c r="W425" s="88" t="b">
        <v>0</v>
      </c>
      <c r="X425" s="88" t="b">
        <v>0</v>
      </c>
      <c r="Y425" s="89" t="b">
        <v>1</v>
      </c>
      <c r="Z425" s="73" t="s">
        <v>699</v>
      </c>
    </row>
    <row r="426" spans="1:26" ht="119.25" customHeight="1">
      <c r="A426" s="58">
        <v>370</v>
      </c>
      <c r="B426" s="80" t="s">
        <v>1420</v>
      </c>
      <c r="C426" s="80" t="s">
        <v>1411</v>
      </c>
      <c r="D426" s="60" t="s">
        <v>2029</v>
      </c>
      <c r="E426" s="60" t="s">
        <v>730</v>
      </c>
      <c r="F426" s="94" t="str">
        <f t="shared" si="13"/>
        <v>하</v>
      </c>
      <c r="G426" s="63" t="s">
        <v>2668</v>
      </c>
      <c r="H426" s="63" t="s">
        <v>2674</v>
      </c>
      <c r="I426" s="190" t="s">
        <v>731</v>
      </c>
      <c r="J426" s="137" t="s">
        <v>4248</v>
      </c>
      <c r="K426" s="79"/>
      <c r="L426" s="137" t="s">
        <v>1492</v>
      </c>
      <c r="M426" s="67"/>
      <c r="N426" s="67"/>
      <c r="O426" s="67"/>
      <c r="P426" s="67"/>
      <c r="Q426" s="67"/>
      <c r="R426" s="67"/>
      <c r="S426" s="81" t="s">
        <v>1418</v>
      </c>
      <c r="T426" s="67"/>
      <c r="U426" s="67"/>
      <c r="V426" s="67"/>
      <c r="W426" s="88" t="b">
        <v>0</v>
      </c>
      <c r="X426" s="88" t="b">
        <v>1</v>
      </c>
      <c r="Y426" s="89" t="b">
        <v>1</v>
      </c>
      <c r="Z426" s="73" t="s">
        <v>699</v>
      </c>
    </row>
    <row r="427" spans="1:26" ht="119.25" customHeight="1">
      <c r="A427" s="58">
        <v>371</v>
      </c>
      <c r="B427" s="80" t="s">
        <v>1416</v>
      </c>
      <c r="C427" s="80" t="s">
        <v>1411</v>
      </c>
      <c r="D427" s="60" t="s">
        <v>2030</v>
      </c>
      <c r="E427" s="60" t="s">
        <v>732</v>
      </c>
      <c r="F427" s="94" t="str">
        <f t="shared" si="13"/>
        <v>하</v>
      </c>
      <c r="G427" s="63" t="s">
        <v>2668</v>
      </c>
      <c r="H427" s="63" t="s">
        <v>2674</v>
      </c>
      <c r="I427" s="190" t="s">
        <v>733</v>
      </c>
      <c r="J427" s="137" t="s">
        <v>4248</v>
      </c>
      <c r="K427" s="79"/>
      <c r="L427" s="137" t="s">
        <v>1492</v>
      </c>
      <c r="M427" s="67"/>
      <c r="N427" s="67"/>
      <c r="O427" s="67"/>
      <c r="P427" s="67"/>
      <c r="Q427" s="67"/>
      <c r="R427" s="67"/>
      <c r="S427" s="81" t="s">
        <v>1418</v>
      </c>
      <c r="T427" s="67"/>
      <c r="U427" s="67"/>
      <c r="V427" s="67"/>
      <c r="W427" s="88" t="b">
        <v>0</v>
      </c>
      <c r="X427" s="88" t="b">
        <v>0</v>
      </c>
      <c r="Y427" s="89" t="b">
        <v>1</v>
      </c>
      <c r="Z427" s="73" t="s">
        <v>699</v>
      </c>
    </row>
    <row r="428" spans="1:26" ht="119.25" customHeight="1">
      <c r="A428" s="58">
        <v>372</v>
      </c>
      <c r="B428" s="80" t="s">
        <v>1460</v>
      </c>
      <c r="C428" s="80" t="s">
        <v>1411</v>
      </c>
      <c r="D428" s="60" t="s">
        <v>2031</v>
      </c>
      <c r="E428" s="60" t="s">
        <v>734</v>
      </c>
      <c r="F428" s="94" t="str">
        <f t="shared" si="13"/>
        <v>하</v>
      </c>
      <c r="G428" s="63" t="s">
        <v>2668</v>
      </c>
      <c r="H428" s="63" t="s">
        <v>2674</v>
      </c>
      <c r="I428" s="190" t="s">
        <v>735</v>
      </c>
      <c r="J428" s="137" t="s">
        <v>4248</v>
      </c>
      <c r="K428" s="79"/>
      <c r="L428" s="137" t="s">
        <v>1492</v>
      </c>
      <c r="M428" s="67"/>
      <c r="N428" s="67"/>
      <c r="O428" s="67"/>
      <c r="P428" s="67"/>
      <c r="Q428" s="67"/>
      <c r="R428" s="67"/>
      <c r="S428" s="81" t="s">
        <v>1418</v>
      </c>
      <c r="T428" s="67"/>
      <c r="U428" s="67"/>
      <c r="V428" s="67"/>
      <c r="W428" s="88" t="b">
        <v>1</v>
      </c>
      <c r="X428" s="89" t="b">
        <v>0</v>
      </c>
      <c r="Y428" s="89" t="b">
        <v>0</v>
      </c>
      <c r="Z428" s="73" t="s">
        <v>699</v>
      </c>
    </row>
    <row r="429" spans="1:26" ht="119.25" customHeight="1">
      <c r="A429" s="58">
        <v>373</v>
      </c>
      <c r="B429" s="80" t="s">
        <v>1427</v>
      </c>
      <c r="C429" s="80" t="s">
        <v>1411</v>
      </c>
      <c r="D429" s="60" t="s">
        <v>2032</v>
      </c>
      <c r="E429" s="60" t="s">
        <v>736</v>
      </c>
      <c r="F429" s="94" t="str">
        <f t="shared" si="13"/>
        <v>하</v>
      </c>
      <c r="G429" s="63" t="s">
        <v>2668</v>
      </c>
      <c r="H429" s="63" t="s">
        <v>2674</v>
      </c>
      <c r="I429" s="190" t="s">
        <v>737</v>
      </c>
      <c r="J429" s="137" t="s">
        <v>4248</v>
      </c>
      <c r="K429" s="79"/>
      <c r="L429" s="137" t="s">
        <v>1492</v>
      </c>
      <c r="M429" s="67"/>
      <c r="N429" s="67"/>
      <c r="O429" s="67"/>
      <c r="P429" s="67"/>
      <c r="Q429" s="67"/>
      <c r="R429" s="67"/>
      <c r="S429" s="81" t="s">
        <v>1418</v>
      </c>
      <c r="T429" s="67"/>
      <c r="U429" s="67"/>
      <c r="V429" s="67"/>
      <c r="W429" s="88" t="b">
        <v>0</v>
      </c>
      <c r="X429" s="88" t="b">
        <v>0</v>
      </c>
      <c r="Y429" s="89" t="b">
        <v>1</v>
      </c>
      <c r="Z429" s="73" t="s">
        <v>699</v>
      </c>
    </row>
    <row r="430" spans="1:26" ht="119.25" customHeight="1">
      <c r="A430" s="58">
        <v>374</v>
      </c>
      <c r="B430" s="80" t="s">
        <v>32</v>
      </c>
      <c r="C430" s="80" t="s">
        <v>1411</v>
      </c>
      <c r="D430" s="60" t="s">
        <v>2033</v>
      </c>
      <c r="E430" s="60" t="s">
        <v>738</v>
      </c>
      <c r="F430" s="94" t="str">
        <f t="shared" si="13"/>
        <v>하</v>
      </c>
      <c r="G430" s="63" t="s">
        <v>2668</v>
      </c>
      <c r="H430" s="63" t="s">
        <v>2674</v>
      </c>
      <c r="I430" s="190" t="s">
        <v>739</v>
      </c>
      <c r="J430" s="137" t="s">
        <v>4248</v>
      </c>
      <c r="K430" s="79"/>
      <c r="L430" s="137" t="s">
        <v>1492</v>
      </c>
      <c r="M430" s="67"/>
      <c r="N430" s="67"/>
      <c r="O430" s="67"/>
      <c r="P430" s="67"/>
      <c r="Q430" s="67"/>
      <c r="R430" s="67"/>
      <c r="S430" s="81" t="s">
        <v>1418</v>
      </c>
      <c r="T430" s="67"/>
      <c r="U430" s="67"/>
      <c r="V430" s="67"/>
      <c r="W430" s="88" t="b">
        <v>1</v>
      </c>
      <c r="X430" s="88" t="b">
        <v>1</v>
      </c>
      <c r="Y430" s="89" t="b">
        <v>0</v>
      </c>
      <c r="Z430" s="73" t="s">
        <v>699</v>
      </c>
    </row>
    <row r="431" spans="1:26" ht="119.25" customHeight="1">
      <c r="A431" s="58">
        <v>375</v>
      </c>
      <c r="B431" s="80" t="s">
        <v>1420</v>
      </c>
      <c r="C431" s="80" t="s">
        <v>1411</v>
      </c>
      <c r="D431" s="60" t="s">
        <v>2034</v>
      </c>
      <c r="E431" s="60" t="s">
        <v>740</v>
      </c>
      <c r="F431" s="94" t="str">
        <f t="shared" si="13"/>
        <v>하</v>
      </c>
      <c r="G431" s="63" t="s">
        <v>2668</v>
      </c>
      <c r="H431" s="63" t="s">
        <v>2674</v>
      </c>
      <c r="I431" s="190" t="s">
        <v>741</v>
      </c>
      <c r="J431" s="137" t="s">
        <v>4248</v>
      </c>
      <c r="K431" s="79"/>
      <c r="L431" s="137" t="s">
        <v>1492</v>
      </c>
      <c r="M431" s="67"/>
      <c r="N431" s="67"/>
      <c r="O431" s="67"/>
      <c r="P431" s="67"/>
      <c r="Q431" s="67"/>
      <c r="R431" s="67"/>
      <c r="S431" s="81" t="s">
        <v>1418</v>
      </c>
      <c r="T431" s="67"/>
      <c r="U431" s="67"/>
      <c r="V431" s="67"/>
      <c r="W431" s="89" t="b">
        <v>0</v>
      </c>
      <c r="X431" s="88" t="b">
        <v>1</v>
      </c>
      <c r="Y431" s="88" t="b">
        <v>0</v>
      </c>
      <c r="Z431" s="73" t="s">
        <v>699</v>
      </c>
    </row>
    <row r="432" spans="1:26" ht="119.25" customHeight="1">
      <c r="A432" s="58">
        <v>376</v>
      </c>
      <c r="B432" s="80" t="s">
        <v>1460</v>
      </c>
      <c r="C432" s="80" t="s">
        <v>1411</v>
      </c>
      <c r="D432" s="60" t="s">
        <v>2035</v>
      </c>
      <c r="E432" s="60" t="s">
        <v>742</v>
      </c>
      <c r="F432" s="94" t="str">
        <f t="shared" si="13"/>
        <v>하</v>
      </c>
      <c r="G432" s="63" t="s">
        <v>2668</v>
      </c>
      <c r="H432" s="63" t="s">
        <v>2674</v>
      </c>
      <c r="I432" s="190" t="s">
        <v>743</v>
      </c>
      <c r="J432" s="137" t="s">
        <v>4248</v>
      </c>
      <c r="K432" s="79"/>
      <c r="L432" s="137" t="s">
        <v>1492</v>
      </c>
      <c r="M432" s="67"/>
      <c r="N432" s="67"/>
      <c r="O432" s="67"/>
      <c r="P432" s="67"/>
      <c r="Q432" s="67"/>
      <c r="R432" s="67"/>
      <c r="S432" s="81" t="s">
        <v>1418</v>
      </c>
      <c r="T432" s="67"/>
      <c r="U432" s="67"/>
      <c r="V432" s="67"/>
      <c r="W432" s="89" t="b">
        <v>1</v>
      </c>
      <c r="X432" s="89" t="b">
        <v>1</v>
      </c>
      <c r="Y432" s="89" t="b">
        <v>0</v>
      </c>
      <c r="Z432" s="73" t="s">
        <v>699</v>
      </c>
    </row>
    <row r="433" spans="1:26" ht="119.25" customHeight="1">
      <c r="A433" s="58">
        <v>377</v>
      </c>
      <c r="B433" s="80" t="s">
        <v>1460</v>
      </c>
      <c r="C433" s="80" t="s">
        <v>1411</v>
      </c>
      <c r="D433" s="60" t="s">
        <v>2036</v>
      </c>
      <c r="E433" s="60" t="s">
        <v>744</v>
      </c>
      <c r="F433" s="94" t="str">
        <f t="shared" si="13"/>
        <v>하</v>
      </c>
      <c r="G433" s="63" t="s">
        <v>2668</v>
      </c>
      <c r="H433" s="63" t="s">
        <v>2674</v>
      </c>
      <c r="I433" s="190" t="s">
        <v>745</v>
      </c>
      <c r="J433" s="137" t="s">
        <v>4248</v>
      </c>
      <c r="K433" s="79"/>
      <c r="L433" s="137" t="s">
        <v>1492</v>
      </c>
      <c r="M433" s="67"/>
      <c r="N433" s="67"/>
      <c r="O433" s="67"/>
      <c r="P433" s="67"/>
      <c r="Q433" s="67"/>
      <c r="R433" s="67"/>
      <c r="S433" s="81" t="s">
        <v>1418</v>
      </c>
      <c r="T433" s="67"/>
      <c r="U433" s="67"/>
      <c r="V433" s="67"/>
      <c r="W433" s="88" t="b">
        <v>0</v>
      </c>
      <c r="X433" s="88" t="b">
        <v>0</v>
      </c>
      <c r="Y433" s="89" t="b">
        <v>1</v>
      </c>
      <c r="Z433" s="73" t="s">
        <v>699</v>
      </c>
    </row>
    <row r="434" spans="1:26" ht="119.25" customHeight="1">
      <c r="A434" s="58">
        <v>378</v>
      </c>
      <c r="B434" s="80" t="s">
        <v>1427</v>
      </c>
      <c r="C434" s="80" t="s">
        <v>1411</v>
      </c>
      <c r="D434" s="60" t="s">
        <v>2037</v>
      </c>
      <c r="E434" s="60" t="s">
        <v>746</v>
      </c>
      <c r="F434" s="94" t="str">
        <f t="shared" si="13"/>
        <v>하</v>
      </c>
      <c r="G434" s="63" t="s">
        <v>2668</v>
      </c>
      <c r="H434" s="63" t="s">
        <v>2674</v>
      </c>
      <c r="I434" s="190" t="s">
        <v>747</v>
      </c>
      <c r="J434" s="137" t="s">
        <v>4248</v>
      </c>
      <c r="K434" s="79"/>
      <c r="L434" s="137" t="s">
        <v>1492</v>
      </c>
      <c r="M434" s="67"/>
      <c r="N434" s="67"/>
      <c r="O434" s="67"/>
      <c r="P434" s="67"/>
      <c r="Q434" s="67"/>
      <c r="R434" s="67"/>
      <c r="S434" s="81" t="s">
        <v>1418</v>
      </c>
      <c r="T434" s="67"/>
      <c r="U434" s="67"/>
      <c r="V434" s="67"/>
      <c r="W434" s="88" t="b">
        <v>0</v>
      </c>
      <c r="X434" s="88" t="b">
        <v>0</v>
      </c>
      <c r="Y434" s="88" t="b">
        <v>1</v>
      </c>
      <c r="Z434" s="73" t="s">
        <v>699</v>
      </c>
    </row>
    <row r="435" spans="1:26" ht="119.25" customHeight="1">
      <c r="A435" s="58">
        <v>379</v>
      </c>
      <c r="B435" s="80" t="s">
        <v>32</v>
      </c>
      <c r="C435" s="80" t="s">
        <v>1411</v>
      </c>
      <c r="D435" s="60" t="s">
        <v>2038</v>
      </c>
      <c r="E435" s="60" t="s">
        <v>748</v>
      </c>
      <c r="F435" s="125" t="str">
        <f t="shared" si="13"/>
        <v>하</v>
      </c>
      <c r="G435" s="63" t="s">
        <v>2668</v>
      </c>
      <c r="H435" s="63" t="s">
        <v>2674</v>
      </c>
      <c r="I435" s="190" t="s">
        <v>749</v>
      </c>
      <c r="J435" s="137" t="s">
        <v>4248</v>
      </c>
      <c r="K435" s="79"/>
      <c r="L435" s="137" t="s">
        <v>1492</v>
      </c>
      <c r="M435" s="67"/>
      <c r="N435" s="67"/>
      <c r="O435" s="67"/>
      <c r="P435" s="67"/>
      <c r="Q435" s="67"/>
      <c r="R435" s="67"/>
      <c r="S435" s="81" t="s">
        <v>1418</v>
      </c>
      <c r="T435" s="67"/>
      <c r="U435" s="67"/>
      <c r="V435" s="67"/>
      <c r="W435" s="88" t="b">
        <v>1</v>
      </c>
      <c r="X435" s="88" t="b">
        <v>0</v>
      </c>
      <c r="Y435" s="89" t="b">
        <v>0</v>
      </c>
      <c r="Z435" s="73" t="s">
        <v>699</v>
      </c>
    </row>
    <row r="436" spans="1:26" ht="119.25" customHeight="1">
      <c r="A436" s="58">
        <v>380</v>
      </c>
      <c r="B436" s="80" t="s">
        <v>1420</v>
      </c>
      <c r="C436" s="80" t="s">
        <v>1411</v>
      </c>
      <c r="D436" s="60" t="s">
        <v>2039</v>
      </c>
      <c r="E436" s="60" t="s">
        <v>750</v>
      </c>
      <c r="F436" s="125" t="str">
        <f t="shared" si="13"/>
        <v>하</v>
      </c>
      <c r="G436" s="63" t="s">
        <v>2668</v>
      </c>
      <c r="H436" s="63" t="s">
        <v>2674</v>
      </c>
      <c r="I436" s="190" t="s">
        <v>751</v>
      </c>
      <c r="J436" s="137" t="s">
        <v>4248</v>
      </c>
      <c r="K436" s="79"/>
      <c r="L436" s="137" t="s">
        <v>1492</v>
      </c>
      <c r="M436" s="67"/>
      <c r="N436" s="67"/>
      <c r="O436" s="67"/>
      <c r="P436" s="67"/>
      <c r="Q436" s="67"/>
      <c r="R436" s="67"/>
      <c r="S436" s="81" t="s">
        <v>1418</v>
      </c>
      <c r="T436" s="67"/>
      <c r="U436" s="67"/>
      <c r="V436" s="67"/>
      <c r="W436" s="89" t="b">
        <v>0</v>
      </c>
      <c r="X436" s="88" t="b">
        <v>1</v>
      </c>
      <c r="Y436" s="88" t="b">
        <v>0</v>
      </c>
      <c r="Z436" s="73" t="s">
        <v>699</v>
      </c>
    </row>
    <row r="437" spans="1:26" ht="119.25" customHeight="1">
      <c r="A437" s="58">
        <v>381</v>
      </c>
      <c r="B437" s="80" t="s">
        <v>1460</v>
      </c>
      <c r="C437" s="80" t="s">
        <v>1411</v>
      </c>
      <c r="D437" s="60" t="s">
        <v>2040</v>
      </c>
      <c r="E437" s="60" t="s">
        <v>752</v>
      </c>
      <c r="F437" s="62" t="str">
        <f t="shared" si="13"/>
        <v>하</v>
      </c>
      <c r="G437" s="63" t="s">
        <v>2668</v>
      </c>
      <c r="H437" s="63" t="s">
        <v>2674</v>
      </c>
      <c r="I437" s="190" t="s">
        <v>753</v>
      </c>
      <c r="J437" s="137" t="s">
        <v>4248</v>
      </c>
      <c r="K437" s="79"/>
      <c r="L437" s="137" t="s">
        <v>1492</v>
      </c>
      <c r="M437" s="67"/>
      <c r="N437" s="67"/>
      <c r="O437" s="67"/>
      <c r="P437" s="67"/>
      <c r="Q437" s="67"/>
      <c r="R437" s="67"/>
      <c r="S437" s="81" t="s">
        <v>1418</v>
      </c>
      <c r="T437" s="67"/>
      <c r="U437" s="67"/>
      <c r="V437" s="67"/>
      <c r="W437" s="89" t="b">
        <v>0</v>
      </c>
      <c r="X437" s="88" t="b">
        <v>0</v>
      </c>
      <c r="Y437" s="89" t="b">
        <v>0</v>
      </c>
      <c r="Z437" s="73" t="s">
        <v>699</v>
      </c>
    </row>
    <row r="438" spans="1:26" ht="119.25" customHeight="1">
      <c r="A438" s="58">
        <v>382</v>
      </c>
      <c r="B438" s="80" t="s">
        <v>1427</v>
      </c>
      <c r="C438" s="80" t="s">
        <v>1411</v>
      </c>
      <c r="D438" s="60" t="s">
        <v>2041</v>
      </c>
      <c r="E438" s="60" t="s">
        <v>754</v>
      </c>
      <c r="F438" s="125" t="str">
        <f t="shared" si="13"/>
        <v>하</v>
      </c>
      <c r="G438" s="63" t="s">
        <v>2668</v>
      </c>
      <c r="H438" s="63" t="s">
        <v>2674</v>
      </c>
      <c r="I438" s="190" t="s">
        <v>755</v>
      </c>
      <c r="J438" s="137" t="s">
        <v>4248</v>
      </c>
      <c r="K438" s="79"/>
      <c r="L438" s="137" t="s">
        <v>1492</v>
      </c>
      <c r="M438" s="67"/>
      <c r="N438" s="67"/>
      <c r="O438" s="67"/>
      <c r="P438" s="67"/>
      <c r="Q438" s="67"/>
      <c r="R438" s="67"/>
      <c r="S438" s="81" t="s">
        <v>1418</v>
      </c>
      <c r="T438" s="67"/>
      <c r="U438" s="67"/>
      <c r="V438" s="67"/>
      <c r="W438" s="88" t="b">
        <v>0</v>
      </c>
      <c r="X438" s="88" t="b">
        <v>0</v>
      </c>
      <c r="Y438" s="89" t="b">
        <v>1</v>
      </c>
      <c r="Z438" s="73" t="s">
        <v>699</v>
      </c>
    </row>
    <row r="439" spans="1:26" ht="119.25" customHeight="1">
      <c r="A439" s="58">
        <v>383</v>
      </c>
      <c r="B439" s="80" t="s">
        <v>1460</v>
      </c>
      <c r="C439" s="80" t="s">
        <v>1411</v>
      </c>
      <c r="D439" s="60" t="s">
        <v>2042</v>
      </c>
      <c r="E439" s="60" t="s">
        <v>756</v>
      </c>
      <c r="F439" s="62" t="str">
        <f t="shared" si="13"/>
        <v>하</v>
      </c>
      <c r="G439" s="63" t="s">
        <v>2668</v>
      </c>
      <c r="H439" s="63" t="s">
        <v>2674</v>
      </c>
      <c r="I439" s="190" t="s">
        <v>757</v>
      </c>
      <c r="J439" s="137" t="s">
        <v>4248</v>
      </c>
      <c r="K439" s="79"/>
      <c r="L439" s="137" t="s">
        <v>1492</v>
      </c>
      <c r="M439" s="67"/>
      <c r="N439" s="67"/>
      <c r="O439" s="67"/>
      <c r="P439" s="67"/>
      <c r="Q439" s="67"/>
      <c r="R439" s="67"/>
      <c r="S439" s="81" t="s">
        <v>1418</v>
      </c>
      <c r="T439" s="67"/>
      <c r="U439" s="67"/>
      <c r="V439" s="67"/>
      <c r="W439" s="88" t="b">
        <v>0</v>
      </c>
      <c r="X439" s="88" t="b">
        <v>1</v>
      </c>
      <c r="Y439" s="89" t="b">
        <v>0</v>
      </c>
      <c r="Z439" s="73" t="s">
        <v>699</v>
      </c>
    </row>
    <row r="440" spans="1:26" ht="119.25" customHeight="1">
      <c r="A440" s="58">
        <v>384</v>
      </c>
      <c r="B440" s="80" t="s">
        <v>1427</v>
      </c>
      <c r="C440" s="80" t="s">
        <v>1411</v>
      </c>
      <c r="D440" s="60" t="s">
        <v>2043</v>
      </c>
      <c r="E440" s="60" t="s">
        <v>758</v>
      </c>
      <c r="F440" s="62" t="str">
        <f t="shared" si="13"/>
        <v>하</v>
      </c>
      <c r="G440" s="63" t="s">
        <v>2668</v>
      </c>
      <c r="H440" s="63" t="s">
        <v>2674</v>
      </c>
      <c r="I440" s="190" t="s">
        <v>759</v>
      </c>
      <c r="J440" s="137" t="s">
        <v>4248</v>
      </c>
      <c r="K440" s="79"/>
      <c r="L440" s="137" t="s">
        <v>1492</v>
      </c>
      <c r="M440" s="67"/>
      <c r="N440" s="67"/>
      <c r="O440" s="67"/>
      <c r="P440" s="67"/>
      <c r="Q440" s="67"/>
      <c r="R440" s="67"/>
      <c r="S440" s="81" t="s">
        <v>1418</v>
      </c>
      <c r="T440" s="67"/>
      <c r="U440" s="67"/>
      <c r="V440" s="67"/>
      <c r="W440" s="88" t="b">
        <v>0</v>
      </c>
      <c r="X440" s="88" t="b">
        <v>0</v>
      </c>
      <c r="Y440" s="88" t="b">
        <v>1</v>
      </c>
      <c r="Z440" s="73" t="s">
        <v>699</v>
      </c>
    </row>
    <row r="441" spans="1:26" ht="119.25" customHeight="1">
      <c r="A441" s="58">
        <v>385</v>
      </c>
      <c r="B441" s="80" t="s">
        <v>1460</v>
      </c>
      <c r="C441" s="80" t="s">
        <v>1411</v>
      </c>
      <c r="D441" s="60" t="s">
        <v>2044</v>
      </c>
      <c r="E441" s="60" t="s">
        <v>760</v>
      </c>
      <c r="F441" s="62" t="str">
        <f t="shared" si="13"/>
        <v>하</v>
      </c>
      <c r="G441" s="63" t="s">
        <v>2668</v>
      </c>
      <c r="H441" s="63" t="s">
        <v>2674</v>
      </c>
      <c r="I441" s="190" t="s">
        <v>761</v>
      </c>
      <c r="J441" s="137" t="s">
        <v>4248</v>
      </c>
      <c r="K441" s="79"/>
      <c r="L441" s="137" t="s">
        <v>1492</v>
      </c>
      <c r="M441" s="67"/>
      <c r="N441" s="67"/>
      <c r="O441" s="67"/>
      <c r="P441" s="67"/>
      <c r="Q441" s="67"/>
      <c r="R441" s="67"/>
      <c r="S441" s="81" t="s">
        <v>1418</v>
      </c>
      <c r="T441" s="67"/>
      <c r="U441" s="67"/>
      <c r="V441" s="67"/>
      <c r="W441" s="88" t="b">
        <v>0</v>
      </c>
      <c r="X441" s="88" t="b">
        <v>0</v>
      </c>
      <c r="Y441" s="89" t="b">
        <v>0</v>
      </c>
      <c r="Z441" s="73" t="s">
        <v>699</v>
      </c>
    </row>
    <row r="442" spans="1:26" ht="119.25" customHeight="1">
      <c r="A442" s="58">
        <v>386</v>
      </c>
      <c r="B442" s="80" t="s">
        <v>1427</v>
      </c>
      <c r="C442" s="80" t="s">
        <v>1411</v>
      </c>
      <c r="D442" s="60" t="s">
        <v>2045</v>
      </c>
      <c r="E442" s="60" t="s">
        <v>762</v>
      </c>
      <c r="F442" s="62" t="str">
        <f t="shared" si="13"/>
        <v>하</v>
      </c>
      <c r="G442" s="63" t="s">
        <v>2668</v>
      </c>
      <c r="H442" s="63" t="s">
        <v>2674</v>
      </c>
      <c r="I442" s="190" t="s">
        <v>763</v>
      </c>
      <c r="J442" s="137" t="s">
        <v>4248</v>
      </c>
      <c r="K442" s="79"/>
      <c r="L442" s="137" t="s">
        <v>1492</v>
      </c>
      <c r="M442" s="67"/>
      <c r="N442" s="67"/>
      <c r="O442" s="67"/>
      <c r="P442" s="67"/>
      <c r="Q442" s="67"/>
      <c r="R442" s="67"/>
      <c r="S442" s="81" t="s">
        <v>1418</v>
      </c>
      <c r="T442" s="67"/>
      <c r="U442" s="67"/>
      <c r="V442" s="67"/>
      <c r="W442" s="88" t="b">
        <v>0</v>
      </c>
      <c r="X442" s="88" t="b">
        <v>0</v>
      </c>
      <c r="Y442" s="89" t="b">
        <v>1</v>
      </c>
      <c r="Z442" s="73" t="s">
        <v>699</v>
      </c>
    </row>
    <row r="443" spans="1:26" ht="119.25" customHeight="1">
      <c r="A443" s="58">
        <v>387</v>
      </c>
      <c r="B443" s="80" t="s">
        <v>1460</v>
      </c>
      <c r="C443" s="80" t="s">
        <v>1411</v>
      </c>
      <c r="D443" s="60" t="s">
        <v>2046</v>
      </c>
      <c r="E443" s="60" t="s">
        <v>764</v>
      </c>
      <c r="F443" s="62" t="str">
        <f t="shared" si="13"/>
        <v>하</v>
      </c>
      <c r="G443" s="63" t="s">
        <v>2668</v>
      </c>
      <c r="H443" s="63" t="s">
        <v>2674</v>
      </c>
      <c r="I443" s="190" t="s">
        <v>765</v>
      </c>
      <c r="J443" s="137" t="s">
        <v>4248</v>
      </c>
      <c r="K443" s="79"/>
      <c r="L443" s="137" t="s">
        <v>1492</v>
      </c>
      <c r="M443" s="67"/>
      <c r="N443" s="67"/>
      <c r="O443" s="67"/>
      <c r="P443" s="67"/>
      <c r="Q443" s="67"/>
      <c r="R443" s="67"/>
      <c r="S443" s="81" t="s">
        <v>1418</v>
      </c>
      <c r="T443" s="67"/>
      <c r="U443" s="67"/>
      <c r="V443" s="67"/>
      <c r="W443" s="88" t="b">
        <v>0</v>
      </c>
      <c r="X443" s="88" t="b">
        <v>0</v>
      </c>
      <c r="Y443" s="89" t="b">
        <v>1</v>
      </c>
      <c r="Z443" s="73" t="s">
        <v>699</v>
      </c>
    </row>
    <row r="444" spans="1:26" ht="119.25" customHeight="1">
      <c r="A444" s="58">
        <v>388</v>
      </c>
      <c r="B444" s="80" t="s">
        <v>1460</v>
      </c>
      <c r="C444" s="80" t="s">
        <v>1411</v>
      </c>
      <c r="D444" s="60" t="s">
        <v>2047</v>
      </c>
      <c r="E444" s="60" t="s">
        <v>766</v>
      </c>
      <c r="F444" s="62" t="str">
        <f t="shared" si="13"/>
        <v>하</v>
      </c>
      <c r="G444" s="63" t="s">
        <v>2668</v>
      </c>
      <c r="H444" s="63" t="s">
        <v>2674</v>
      </c>
      <c r="I444" s="190" t="s">
        <v>767</v>
      </c>
      <c r="J444" s="137" t="s">
        <v>4248</v>
      </c>
      <c r="K444" s="79"/>
      <c r="L444" s="137" t="s">
        <v>1492</v>
      </c>
      <c r="M444" s="67"/>
      <c r="N444" s="67"/>
      <c r="O444" s="67"/>
      <c r="P444" s="67"/>
      <c r="Q444" s="67"/>
      <c r="R444" s="67"/>
      <c r="S444" s="81" t="s">
        <v>1418</v>
      </c>
      <c r="T444" s="67"/>
      <c r="U444" s="67"/>
      <c r="V444" s="67"/>
      <c r="W444" s="89" t="b">
        <v>0</v>
      </c>
      <c r="X444" s="88" t="b">
        <v>0</v>
      </c>
      <c r="Y444" s="88" t="b">
        <v>0</v>
      </c>
      <c r="Z444" s="73" t="s">
        <v>699</v>
      </c>
    </row>
    <row r="445" spans="1:26" ht="119.25" customHeight="1">
      <c r="A445" s="58">
        <v>389</v>
      </c>
      <c r="B445" s="80" t="s">
        <v>32</v>
      </c>
      <c r="C445" s="80" t="s">
        <v>1411</v>
      </c>
      <c r="D445" s="60" t="s">
        <v>2048</v>
      </c>
      <c r="E445" s="60" t="s">
        <v>768</v>
      </c>
      <c r="F445" s="62" t="str">
        <f t="shared" si="13"/>
        <v>하</v>
      </c>
      <c r="G445" s="63" t="s">
        <v>2668</v>
      </c>
      <c r="H445" s="63" t="s">
        <v>2674</v>
      </c>
      <c r="I445" s="190" t="s">
        <v>769</v>
      </c>
      <c r="J445" s="137" t="s">
        <v>4248</v>
      </c>
      <c r="K445" s="79"/>
      <c r="L445" s="137" t="s">
        <v>1492</v>
      </c>
      <c r="M445" s="67"/>
      <c r="N445" s="67"/>
      <c r="O445" s="67"/>
      <c r="P445" s="67"/>
      <c r="Q445" s="67"/>
      <c r="R445" s="67"/>
      <c r="S445" s="81" t="s">
        <v>1418</v>
      </c>
      <c r="T445" s="67"/>
      <c r="U445" s="67"/>
      <c r="V445" s="67"/>
      <c r="W445" s="88" t="b">
        <v>1</v>
      </c>
      <c r="X445" s="88" t="b">
        <v>0</v>
      </c>
      <c r="Y445" s="89" t="b">
        <v>0</v>
      </c>
      <c r="Z445" s="73" t="s">
        <v>699</v>
      </c>
    </row>
    <row r="446" spans="1:26" ht="119.25" customHeight="1">
      <c r="A446" s="58">
        <v>390</v>
      </c>
      <c r="B446" s="80" t="s">
        <v>1460</v>
      </c>
      <c r="C446" s="80" t="s">
        <v>1411</v>
      </c>
      <c r="D446" s="60" t="s">
        <v>2049</v>
      </c>
      <c r="E446" s="60" t="s">
        <v>770</v>
      </c>
      <c r="F446" s="62" t="str">
        <f t="shared" si="13"/>
        <v>하</v>
      </c>
      <c r="G446" s="63" t="s">
        <v>2668</v>
      </c>
      <c r="H446" s="63" t="s">
        <v>2674</v>
      </c>
      <c r="I446" s="190" t="s">
        <v>771</v>
      </c>
      <c r="J446" s="137" t="s">
        <v>4248</v>
      </c>
      <c r="K446" s="79"/>
      <c r="L446" s="137" t="s">
        <v>1492</v>
      </c>
      <c r="M446" s="67"/>
      <c r="N446" s="67"/>
      <c r="O446" s="67"/>
      <c r="P446" s="67"/>
      <c r="Q446" s="67"/>
      <c r="R446" s="67"/>
      <c r="S446" s="81" t="s">
        <v>1418</v>
      </c>
      <c r="T446" s="67"/>
      <c r="U446" s="67"/>
      <c r="V446" s="67"/>
      <c r="W446" s="88" t="b">
        <v>1</v>
      </c>
      <c r="X446" s="88" t="b">
        <v>0</v>
      </c>
      <c r="Y446" s="89" t="b">
        <v>0</v>
      </c>
      <c r="Z446" s="73" t="s">
        <v>699</v>
      </c>
    </row>
    <row r="447" spans="1:26" ht="119.25" customHeight="1">
      <c r="A447" s="58">
        <v>391</v>
      </c>
      <c r="B447" s="80" t="s">
        <v>1427</v>
      </c>
      <c r="C447" s="80" t="s">
        <v>1411</v>
      </c>
      <c r="D447" s="60" t="s">
        <v>2050</v>
      </c>
      <c r="E447" s="60" t="s">
        <v>772</v>
      </c>
      <c r="F447" s="62" t="str">
        <f t="shared" si="13"/>
        <v>하</v>
      </c>
      <c r="G447" s="63" t="s">
        <v>2668</v>
      </c>
      <c r="H447" s="63" t="s">
        <v>2674</v>
      </c>
      <c r="I447" s="190" t="s">
        <v>773</v>
      </c>
      <c r="J447" s="137" t="s">
        <v>4248</v>
      </c>
      <c r="K447" s="79"/>
      <c r="L447" s="137" t="s">
        <v>1492</v>
      </c>
      <c r="M447" s="67"/>
      <c r="N447" s="67"/>
      <c r="O447" s="67"/>
      <c r="P447" s="67"/>
      <c r="Q447" s="67"/>
      <c r="R447" s="67"/>
      <c r="S447" s="81" t="s">
        <v>1418</v>
      </c>
      <c r="T447" s="67"/>
      <c r="U447" s="67"/>
      <c r="V447" s="67"/>
      <c r="W447" s="88" t="b">
        <v>0</v>
      </c>
      <c r="X447" s="88" t="b">
        <v>0</v>
      </c>
      <c r="Y447" s="89" t="b">
        <v>1</v>
      </c>
      <c r="Z447" s="73" t="s">
        <v>699</v>
      </c>
    </row>
    <row r="448" spans="1:26" ht="119.25" customHeight="1">
      <c r="A448" s="58">
        <v>392</v>
      </c>
      <c r="B448" s="80" t="s">
        <v>1427</v>
      </c>
      <c r="C448" s="80" t="s">
        <v>1411</v>
      </c>
      <c r="D448" s="60" t="s">
        <v>2051</v>
      </c>
      <c r="E448" s="60" t="s">
        <v>774</v>
      </c>
      <c r="F448" s="62" t="str">
        <f t="shared" si="13"/>
        <v>하</v>
      </c>
      <c r="G448" s="63" t="s">
        <v>2668</v>
      </c>
      <c r="H448" s="63" t="s">
        <v>2674</v>
      </c>
      <c r="I448" s="190" t="s">
        <v>775</v>
      </c>
      <c r="J448" s="137" t="s">
        <v>4248</v>
      </c>
      <c r="K448" s="79"/>
      <c r="L448" s="137" t="s">
        <v>1492</v>
      </c>
      <c r="M448" s="67"/>
      <c r="N448" s="67"/>
      <c r="O448" s="67"/>
      <c r="P448" s="67"/>
      <c r="Q448" s="67"/>
      <c r="R448" s="67"/>
      <c r="S448" s="81" t="s">
        <v>1418</v>
      </c>
      <c r="T448" s="67"/>
      <c r="U448" s="67"/>
      <c r="V448" s="67"/>
      <c r="W448" s="88" t="b">
        <v>0</v>
      </c>
      <c r="X448" s="88" t="b">
        <v>0</v>
      </c>
      <c r="Y448" s="89" t="b">
        <v>1</v>
      </c>
      <c r="Z448" s="73" t="s">
        <v>699</v>
      </c>
    </row>
    <row r="449" spans="1:27" ht="119.25" customHeight="1">
      <c r="A449" s="58">
        <v>393</v>
      </c>
      <c r="B449" s="80" t="s">
        <v>1427</v>
      </c>
      <c r="C449" s="80" t="s">
        <v>1411</v>
      </c>
      <c r="D449" s="60" t="s">
        <v>2052</v>
      </c>
      <c r="E449" s="60" t="s">
        <v>776</v>
      </c>
      <c r="F449" s="62" t="str">
        <f t="shared" si="13"/>
        <v>하</v>
      </c>
      <c r="G449" s="63" t="s">
        <v>2668</v>
      </c>
      <c r="H449" s="63" t="s">
        <v>2674</v>
      </c>
      <c r="I449" s="190" t="s">
        <v>777</v>
      </c>
      <c r="J449" s="137" t="s">
        <v>4248</v>
      </c>
      <c r="K449" s="79"/>
      <c r="L449" s="137" t="s">
        <v>1492</v>
      </c>
      <c r="M449" s="67"/>
      <c r="N449" s="67"/>
      <c r="O449" s="67"/>
      <c r="P449" s="67"/>
      <c r="Q449" s="67"/>
      <c r="R449" s="67"/>
      <c r="S449" s="81" t="s">
        <v>1418</v>
      </c>
      <c r="T449" s="67"/>
      <c r="U449" s="67"/>
      <c r="V449" s="67"/>
      <c r="W449" s="88" t="b">
        <v>0</v>
      </c>
      <c r="X449" s="88" t="b">
        <v>1</v>
      </c>
      <c r="Y449" s="89" t="b">
        <v>1</v>
      </c>
      <c r="Z449" s="73" t="s">
        <v>699</v>
      </c>
    </row>
    <row r="450" spans="1:27" ht="119.25" customHeight="1">
      <c r="A450" s="58">
        <v>394</v>
      </c>
      <c r="B450" s="80" t="s">
        <v>1427</v>
      </c>
      <c r="C450" s="80" t="s">
        <v>1411</v>
      </c>
      <c r="D450" s="60" t="s">
        <v>2053</v>
      </c>
      <c r="E450" s="60" t="s">
        <v>778</v>
      </c>
      <c r="F450" s="62" t="str">
        <f t="shared" si="13"/>
        <v>하</v>
      </c>
      <c r="G450" s="63" t="s">
        <v>2668</v>
      </c>
      <c r="H450" s="63" t="s">
        <v>2674</v>
      </c>
      <c r="I450" s="190" t="s">
        <v>779</v>
      </c>
      <c r="J450" s="137" t="s">
        <v>4248</v>
      </c>
      <c r="K450" s="79"/>
      <c r="L450" s="137" t="s">
        <v>1492</v>
      </c>
      <c r="M450" s="67"/>
      <c r="N450" s="67"/>
      <c r="O450" s="67"/>
      <c r="P450" s="67"/>
      <c r="Q450" s="67"/>
      <c r="R450" s="67"/>
      <c r="S450" s="81" t="s">
        <v>1418</v>
      </c>
      <c r="T450" s="67"/>
      <c r="U450" s="67"/>
      <c r="V450" s="67"/>
      <c r="W450" s="88" t="b">
        <v>0</v>
      </c>
      <c r="X450" s="88" t="b">
        <v>0</v>
      </c>
      <c r="Y450" s="89" t="b">
        <v>1</v>
      </c>
      <c r="Z450" s="73" t="s">
        <v>699</v>
      </c>
    </row>
    <row r="451" spans="1:27" ht="119.25" customHeight="1">
      <c r="A451" s="58">
        <v>395</v>
      </c>
      <c r="B451" s="80" t="s">
        <v>1427</v>
      </c>
      <c r="C451" s="80" t="s">
        <v>1411</v>
      </c>
      <c r="D451" s="60" t="s">
        <v>2054</v>
      </c>
      <c r="E451" s="60" t="s">
        <v>782</v>
      </c>
      <c r="F451" s="62" t="str">
        <f t="shared" si="13"/>
        <v>하</v>
      </c>
      <c r="G451" s="63" t="s">
        <v>2668</v>
      </c>
      <c r="H451" s="63" t="s">
        <v>2674</v>
      </c>
      <c r="I451" s="190" t="s">
        <v>783</v>
      </c>
      <c r="J451" s="137" t="s">
        <v>4248</v>
      </c>
      <c r="K451" s="79"/>
      <c r="L451" s="137" t="s">
        <v>1492</v>
      </c>
      <c r="M451" s="67"/>
      <c r="N451" s="67"/>
      <c r="O451" s="67"/>
      <c r="P451" s="67"/>
      <c r="Q451" s="67"/>
      <c r="R451" s="67"/>
      <c r="S451" s="81" t="s">
        <v>1418</v>
      </c>
      <c r="T451" s="67"/>
      <c r="U451" s="67"/>
      <c r="V451" s="67"/>
      <c r="W451" s="88" t="b">
        <v>0</v>
      </c>
      <c r="X451" s="88" t="b">
        <v>0</v>
      </c>
      <c r="Y451" s="89" t="b">
        <v>1</v>
      </c>
      <c r="Z451" s="73" t="s">
        <v>699</v>
      </c>
    </row>
    <row r="452" spans="1:27" ht="119.25" customHeight="1">
      <c r="A452" s="58">
        <v>396</v>
      </c>
      <c r="B452" s="80" t="s">
        <v>1460</v>
      </c>
      <c r="C452" s="80" t="s">
        <v>1411</v>
      </c>
      <c r="D452" s="60" t="s">
        <v>2055</v>
      </c>
      <c r="E452" s="60" t="s">
        <v>784</v>
      </c>
      <c r="F452" s="62" t="str">
        <f t="shared" si="13"/>
        <v>하</v>
      </c>
      <c r="G452" s="63" t="s">
        <v>2668</v>
      </c>
      <c r="H452" s="63" t="s">
        <v>2674</v>
      </c>
      <c r="I452" s="190" t="s">
        <v>785</v>
      </c>
      <c r="J452" s="137" t="s">
        <v>4248</v>
      </c>
      <c r="K452" s="79"/>
      <c r="L452" s="137" t="s">
        <v>1492</v>
      </c>
      <c r="M452" s="67"/>
      <c r="N452" s="67"/>
      <c r="O452" s="67"/>
      <c r="P452" s="67"/>
      <c r="Q452" s="67"/>
      <c r="R452" s="67"/>
      <c r="S452" s="81" t="s">
        <v>1418</v>
      </c>
      <c r="T452" s="67"/>
      <c r="U452" s="67"/>
      <c r="V452" s="67"/>
      <c r="W452" s="88" t="b">
        <v>0</v>
      </c>
      <c r="X452" s="88" t="b">
        <v>0</v>
      </c>
      <c r="Y452" s="89" t="b">
        <v>0</v>
      </c>
      <c r="Z452" s="73" t="s">
        <v>699</v>
      </c>
    </row>
    <row r="453" spans="1:27" ht="119.25" customHeight="1">
      <c r="A453" s="58">
        <v>397</v>
      </c>
      <c r="B453" s="80" t="s">
        <v>1416</v>
      </c>
      <c r="C453" s="80" t="s">
        <v>1411</v>
      </c>
      <c r="D453" s="60" t="s">
        <v>2056</v>
      </c>
      <c r="E453" s="60" t="s">
        <v>788</v>
      </c>
      <c r="F453" s="62" t="str">
        <f t="shared" si="13"/>
        <v>하</v>
      </c>
      <c r="G453" s="63" t="s">
        <v>2668</v>
      </c>
      <c r="H453" s="63" t="s">
        <v>2674</v>
      </c>
      <c r="I453" s="190" t="s">
        <v>789</v>
      </c>
      <c r="J453" s="137" t="s">
        <v>4248</v>
      </c>
      <c r="K453" s="79"/>
      <c r="L453" s="137" t="s">
        <v>1492</v>
      </c>
      <c r="M453" s="67"/>
      <c r="N453" s="67"/>
      <c r="O453" s="67"/>
      <c r="P453" s="67"/>
      <c r="Q453" s="67"/>
      <c r="R453" s="67"/>
      <c r="S453" s="81" t="s">
        <v>1418</v>
      </c>
      <c r="T453" s="67"/>
      <c r="U453" s="67"/>
      <c r="V453" s="67"/>
      <c r="W453" s="88" t="b">
        <v>0</v>
      </c>
      <c r="X453" s="88" t="b">
        <v>0</v>
      </c>
      <c r="Y453" s="89" t="b">
        <v>1</v>
      </c>
      <c r="Z453" s="73" t="s">
        <v>699</v>
      </c>
    </row>
    <row r="454" spans="1:27" ht="119.25" customHeight="1">
      <c r="A454" s="58">
        <v>398</v>
      </c>
      <c r="B454" s="80" t="s">
        <v>1460</v>
      </c>
      <c r="C454" s="80" t="s">
        <v>1411</v>
      </c>
      <c r="D454" s="60" t="s">
        <v>2057</v>
      </c>
      <c r="E454" s="60" t="s">
        <v>790</v>
      </c>
      <c r="F454" s="62" t="str">
        <f t="shared" si="13"/>
        <v>하</v>
      </c>
      <c r="G454" s="63" t="s">
        <v>2668</v>
      </c>
      <c r="H454" s="63" t="s">
        <v>2674</v>
      </c>
      <c r="I454" s="190" t="s">
        <v>791</v>
      </c>
      <c r="J454" s="137" t="s">
        <v>4248</v>
      </c>
      <c r="K454" s="79"/>
      <c r="L454" s="137" t="s">
        <v>1492</v>
      </c>
      <c r="M454" s="67"/>
      <c r="N454" s="67"/>
      <c r="O454" s="67"/>
      <c r="P454" s="67"/>
      <c r="Q454" s="67"/>
      <c r="R454" s="67"/>
      <c r="S454" s="81" t="s">
        <v>1418</v>
      </c>
      <c r="T454" s="67"/>
      <c r="U454" s="67"/>
      <c r="V454" s="67"/>
      <c r="W454" s="88" t="b">
        <v>0</v>
      </c>
      <c r="X454" s="88" t="b">
        <v>0</v>
      </c>
      <c r="Y454" s="89" t="b">
        <v>1</v>
      </c>
      <c r="Z454" s="73" t="s">
        <v>699</v>
      </c>
    </row>
    <row r="455" spans="1:27" ht="119.25" customHeight="1">
      <c r="A455" s="58">
        <v>399</v>
      </c>
      <c r="B455" s="80" t="s">
        <v>1427</v>
      </c>
      <c r="C455" s="80" t="s">
        <v>1411</v>
      </c>
      <c r="D455" s="60" t="s">
        <v>2058</v>
      </c>
      <c r="E455" s="60" t="s">
        <v>792</v>
      </c>
      <c r="F455" s="62" t="str">
        <f t="shared" si="13"/>
        <v>하</v>
      </c>
      <c r="G455" s="63" t="s">
        <v>2668</v>
      </c>
      <c r="H455" s="63" t="s">
        <v>2674</v>
      </c>
      <c r="I455" s="190" t="s">
        <v>793</v>
      </c>
      <c r="J455" s="137" t="s">
        <v>4248</v>
      </c>
      <c r="K455" s="79"/>
      <c r="L455" s="137" t="s">
        <v>1492</v>
      </c>
      <c r="M455" s="67"/>
      <c r="N455" s="67"/>
      <c r="O455" s="67"/>
      <c r="P455" s="67"/>
      <c r="Q455" s="67"/>
      <c r="R455" s="67"/>
      <c r="S455" s="81" t="s">
        <v>1418</v>
      </c>
      <c r="T455" s="67"/>
      <c r="U455" s="67"/>
      <c r="V455" s="67"/>
      <c r="W455" s="88" t="b">
        <v>0</v>
      </c>
      <c r="X455" s="88" t="b">
        <v>0</v>
      </c>
      <c r="Y455" s="89" t="b">
        <v>1</v>
      </c>
      <c r="Z455" s="73" t="s">
        <v>699</v>
      </c>
    </row>
    <row r="456" spans="1:27" ht="119.25" customHeight="1">
      <c r="A456" s="58">
        <v>400</v>
      </c>
      <c r="B456" s="80" t="s">
        <v>1427</v>
      </c>
      <c r="C456" s="80" t="s">
        <v>1411</v>
      </c>
      <c r="D456" s="60" t="s">
        <v>2059</v>
      </c>
      <c r="E456" s="60" t="s">
        <v>794</v>
      </c>
      <c r="F456" s="62" t="str">
        <f t="shared" si="13"/>
        <v>하</v>
      </c>
      <c r="G456" s="63" t="s">
        <v>2668</v>
      </c>
      <c r="H456" s="63" t="s">
        <v>2674</v>
      </c>
      <c r="I456" s="190" t="s">
        <v>795</v>
      </c>
      <c r="J456" s="137" t="s">
        <v>4248</v>
      </c>
      <c r="K456" s="79"/>
      <c r="L456" s="137" t="s">
        <v>1492</v>
      </c>
      <c r="M456" s="67"/>
      <c r="N456" s="67"/>
      <c r="O456" s="67"/>
      <c r="P456" s="67"/>
      <c r="Q456" s="67"/>
      <c r="R456" s="67"/>
      <c r="S456" s="81" t="s">
        <v>1418</v>
      </c>
      <c r="T456" s="67"/>
      <c r="U456" s="67"/>
      <c r="V456" s="67"/>
      <c r="W456" s="88" t="b">
        <v>0</v>
      </c>
      <c r="X456" s="88" t="b">
        <v>0</v>
      </c>
      <c r="Y456" s="89" t="b">
        <v>1</v>
      </c>
      <c r="Z456" s="73" t="s">
        <v>699</v>
      </c>
    </row>
    <row r="457" spans="1:27" ht="119.25" customHeight="1">
      <c r="A457" s="58">
        <v>401</v>
      </c>
      <c r="B457" s="80" t="s">
        <v>1460</v>
      </c>
      <c r="C457" s="80" t="s">
        <v>1411</v>
      </c>
      <c r="D457" s="60" t="s">
        <v>2060</v>
      </c>
      <c r="E457" s="60" t="s">
        <v>798</v>
      </c>
      <c r="F457" s="62" t="str">
        <f t="shared" si="13"/>
        <v>하</v>
      </c>
      <c r="G457" s="63" t="s">
        <v>2668</v>
      </c>
      <c r="H457" s="63" t="s">
        <v>2674</v>
      </c>
      <c r="I457" s="190" t="s">
        <v>799</v>
      </c>
      <c r="J457" s="137" t="s">
        <v>4248</v>
      </c>
      <c r="K457" s="79"/>
      <c r="L457" s="137" t="s">
        <v>1492</v>
      </c>
      <c r="M457" s="67"/>
      <c r="N457" s="67"/>
      <c r="O457" s="67"/>
      <c r="P457" s="67"/>
      <c r="Q457" s="67"/>
      <c r="R457" s="67"/>
      <c r="S457" s="81" t="s">
        <v>1418</v>
      </c>
      <c r="T457" s="67"/>
      <c r="U457" s="67"/>
      <c r="V457" s="67"/>
      <c r="W457" s="88" t="b">
        <v>0</v>
      </c>
      <c r="X457" s="89" t="b">
        <v>0</v>
      </c>
      <c r="Y457" s="89" t="b">
        <v>0</v>
      </c>
      <c r="Z457" s="73" t="s">
        <v>699</v>
      </c>
      <c r="AA457" s="11"/>
    </row>
    <row r="458" spans="1:27" ht="119.25" customHeight="1">
      <c r="A458" s="58">
        <v>402</v>
      </c>
      <c r="B458" s="80" t="s">
        <v>1427</v>
      </c>
      <c r="C458" s="80" t="s">
        <v>1411</v>
      </c>
      <c r="D458" s="60" t="s">
        <v>2061</v>
      </c>
      <c r="E458" s="60" t="s">
        <v>800</v>
      </c>
      <c r="F458" s="62" t="str">
        <f t="shared" si="13"/>
        <v>하</v>
      </c>
      <c r="G458" s="63" t="s">
        <v>2668</v>
      </c>
      <c r="H458" s="63" t="s">
        <v>2674</v>
      </c>
      <c r="I458" s="190" t="s">
        <v>801</v>
      </c>
      <c r="J458" s="137" t="s">
        <v>4248</v>
      </c>
      <c r="K458" s="79"/>
      <c r="L458" s="137" t="s">
        <v>1492</v>
      </c>
      <c r="M458" s="67"/>
      <c r="N458" s="67"/>
      <c r="O458" s="67"/>
      <c r="P458" s="67"/>
      <c r="Q458" s="67"/>
      <c r="R458" s="67"/>
      <c r="S458" s="81" t="s">
        <v>1418</v>
      </c>
      <c r="T458" s="67"/>
      <c r="U458" s="67"/>
      <c r="V458" s="67"/>
      <c r="W458" s="88" t="b">
        <v>0</v>
      </c>
      <c r="X458" s="88" t="b">
        <v>0</v>
      </c>
      <c r="Y458" s="88" t="b">
        <v>1</v>
      </c>
      <c r="Z458" s="73" t="s">
        <v>699</v>
      </c>
      <c r="AA458" s="11"/>
    </row>
    <row r="459" spans="1:27" ht="119.25" customHeight="1">
      <c r="A459" s="58">
        <v>403</v>
      </c>
      <c r="B459" s="80" t="s">
        <v>1460</v>
      </c>
      <c r="C459" s="80" t="s">
        <v>1411</v>
      </c>
      <c r="D459" s="60" t="s">
        <v>2062</v>
      </c>
      <c r="E459" s="60" t="s">
        <v>802</v>
      </c>
      <c r="F459" s="62" t="str">
        <f t="shared" si="13"/>
        <v>하</v>
      </c>
      <c r="G459" s="63" t="s">
        <v>2668</v>
      </c>
      <c r="H459" s="63" t="s">
        <v>2674</v>
      </c>
      <c r="I459" s="190" t="s">
        <v>803</v>
      </c>
      <c r="J459" s="137" t="s">
        <v>4248</v>
      </c>
      <c r="K459" s="79"/>
      <c r="L459" s="137" t="s">
        <v>1492</v>
      </c>
      <c r="M459" s="67"/>
      <c r="N459" s="67"/>
      <c r="O459" s="67"/>
      <c r="P459" s="67"/>
      <c r="Q459" s="67"/>
      <c r="R459" s="67"/>
      <c r="S459" s="81" t="s">
        <v>1418</v>
      </c>
      <c r="T459" s="67"/>
      <c r="U459" s="67"/>
      <c r="V459" s="67"/>
      <c r="W459" s="88" t="b">
        <v>0</v>
      </c>
      <c r="X459" s="88" t="b">
        <v>0</v>
      </c>
      <c r="Y459" s="89" t="b">
        <v>0</v>
      </c>
      <c r="Z459" s="73" t="s">
        <v>699</v>
      </c>
    </row>
    <row r="460" spans="1:27" ht="119.25" customHeight="1">
      <c r="A460" s="58">
        <v>404</v>
      </c>
      <c r="B460" s="80" t="s">
        <v>1416</v>
      </c>
      <c r="C460" s="80" t="s">
        <v>1411</v>
      </c>
      <c r="D460" s="60" t="s">
        <v>2063</v>
      </c>
      <c r="E460" s="60" t="s">
        <v>804</v>
      </c>
      <c r="F460" s="62" t="str">
        <f t="shared" si="13"/>
        <v>하</v>
      </c>
      <c r="G460" s="63" t="s">
        <v>2668</v>
      </c>
      <c r="H460" s="63" t="s">
        <v>2674</v>
      </c>
      <c r="I460" s="190" t="s">
        <v>805</v>
      </c>
      <c r="J460" s="137" t="s">
        <v>4248</v>
      </c>
      <c r="K460" s="79"/>
      <c r="L460" s="137" t="s">
        <v>1492</v>
      </c>
      <c r="M460" s="67"/>
      <c r="N460" s="67"/>
      <c r="O460" s="67"/>
      <c r="P460" s="67"/>
      <c r="Q460" s="67"/>
      <c r="R460" s="67"/>
      <c r="S460" s="81" t="s">
        <v>1418</v>
      </c>
      <c r="T460" s="67"/>
      <c r="U460" s="67"/>
      <c r="V460" s="67"/>
      <c r="W460" s="88" t="b">
        <v>0</v>
      </c>
      <c r="X460" s="88" t="b">
        <v>0</v>
      </c>
      <c r="Y460" s="89" t="b">
        <v>1</v>
      </c>
      <c r="Z460" s="73" t="s">
        <v>699</v>
      </c>
    </row>
    <row r="461" spans="1:27" ht="119.25" customHeight="1">
      <c r="A461" s="58">
        <v>405</v>
      </c>
      <c r="B461" s="80" t="s">
        <v>1460</v>
      </c>
      <c r="C461" s="80" t="s">
        <v>1411</v>
      </c>
      <c r="D461" s="60" t="s">
        <v>2064</v>
      </c>
      <c r="E461" s="60" t="s">
        <v>806</v>
      </c>
      <c r="F461" s="62" t="str">
        <f t="shared" si="13"/>
        <v>하</v>
      </c>
      <c r="G461" s="63" t="s">
        <v>2668</v>
      </c>
      <c r="H461" s="63" t="s">
        <v>2674</v>
      </c>
      <c r="I461" s="190" t="s">
        <v>807</v>
      </c>
      <c r="J461" s="137" t="s">
        <v>4248</v>
      </c>
      <c r="K461" s="79"/>
      <c r="L461" s="137" t="s">
        <v>1492</v>
      </c>
      <c r="M461" s="67"/>
      <c r="N461" s="67"/>
      <c r="O461" s="67"/>
      <c r="P461" s="67"/>
      <c r="Q461" s="67"/>
      <c r="R461" s="67"/>
      <c r="S461" s="81" t="s">
        <v>1418</v>
      </c>
      <c r="T461" s="67"/>
      <c r="U461" s="67"/>
      <c r="V461" s="67"/>
      <c r="W461" s="88" t="b">
        <v>0</v>
      </c>
      <c r="X461" s="88" t="b">
        <v>0</v>
      </c>
      <c r="Y461" s="88" t="b">
        <v>1</v>
      </c>
      <c r="Z461" s="73" t="s">
        <v>699</v>
      </c>
    </row>
    <row r="462" spans="1:27" ht="119.25" customHeight="1">
      <c r="A462" s="58">
        <v>406</v>
      </c>
      <c r="B462" s="80" t="s">
        <v>1427</v>
      </c>
      <c r="C462" s="80" t="s">
        <v>1411</v>
      </c>
      <c r="D462" s="60" t="s">
        <v>2065</v>
      </c>
      <c r="E462" s="60" t="s">
        <v>808</v>
      </c>
      <c r="F462" s="62" t="str">
        <f t="shared" si="13"/>
        <v>하</v>
      </c>
      <c r="G462" s="63" t="s">
        <v>2668</v>
      </c>
      <c r="H462" s="63" t="s">
        <v>2674</v>
      </c>
      <c r="I462" s="190" t="s">
        <v>809</v>
      </c>
      <c r="J462" s="137" t="s">
        <v>4248</v>
      </c>
      <c r="K462" s="79"/>
      <c r="L462" s="137" t="s">
        <v>1492</v>
      </c>
      <c r="M462" s="67"/>
      <c r="N462" s="67"/>
      <c r="O462" s="67"/>
      <c r="P462" s="67"/>
      <c r="Q462" s="67"/>
      <c r="R462" s="67"/>
      <c r="S462" s="81" t="s">
        <v>1418</v>
      </c>
      <c r="T462" s="67"/>
      <c r="U462" s="67"/>
      <c r="V462" s="67"/>
      <c r="W462" s="88" t="b">
        <v>0</v>
      </c>
      <c r="X462" s="88" t="b">
        <v>0</v>
      </c>
      <c r="Y462" s="89" t="b">
        <v>1</v>
      </c>
      <c r="Z462" s="73" t="s">
        <v>699</v>
      </c>
    </row>
    <row r="463" spans="1:27" ht="119.25" customHeight="1">
      <c r="A463" s="58">
        <v>407</v>
      </c>
      <c r="B463" s="80" t="s">
        <v>1427</v>
      </c>
      <c r="C463" s="80" t="s">
        <v>1411</v>
      </c>
      <c r="D463" s="60" t="s">
        <v>2066</v>
      </c>
      <c r="E463" s="60" t="s">
        <v>810</v>
      </c>
      <c r="F463" s="62" t="str">
        <f t="shared" si="13"/>
        <v>하</v>
      </c>
      <c r="G463" s="63" t="s">
        <v>2668</v>
      </c>
      <c r="H463" s="63" t="s">
        <v>2674</v>
      </c>
      <c r="I463" s="190" t="s">
        <v>811</v>
      </c>
      <c r="J463" s="137" t="s">
        <v>4248</v>
      </c>
      <c r="K463" s="79"/>
      <c r="L463" s="137" t="s">
        <v>1492</v>
      </c>
      <c r="M463" s="67"/>
      <c r="N463" s="67"/>
      <c r="O463" s="67"/>
      <c r="P463" s="67"/>
      <c r="Q463" s="67"/>
      <c r="R463" s="67"/>
      <c r="S463" s="81" t="s">
        <v>1418</v>
      </c>
      <c r="T463" s="67"/>
      <c r="U463" s="67"/>
      <c r="V463" s="67"/>
      <c r="W463" s="88" t="b">
        <v>1</v>
      </c>
      <c r="X463" s="89" t="b">
        <v>0</v>
      </c>
      <c r="Y463" s="89" t="b">
        <v>1</v>
      </c>
      <c r="Z463" s="73" t="s">
        <v>699</v>
      </c>
      <c r="AA463" s="8"/>
    </row>
    <row r="464" spans="1:27" ht="119.25" customHeight="1">
      <c r="A464" s="58">
        <v>408</v>
      </c>
      <c r="B464" s="80" t="s">
        <v>1427</v>
      </c>
      <c r="C464" s="80" t="s">
        <v>1411</v>
      </c>
      <c r="D464" s="60" t="s">
        <v>2067</v>
      </c>
      <c r="E464" s="60" t="s">
        <v>812</v>
      </c>
      <c r="F464" s="62" t="str">
        <f t="shared" si="13"/>
        <v>하</v>
      </c>
      <c r="G464" s="63" t="s">
        <v>2668</v>
      </c>
      <c r="H464" s="63" t="s">
        <v>2674</v>
      </c>
      <c r="I464" s="190" t="s">
        <v>813</v>
      </c>
      <c r="J464" s="137" t="s">
        <v>4248</v>
      </c>
      <c r="K464" s="79"/>
      <c r="L464" s="137" t="s">
        <v>1492</v>
      </c>
      <c r="M464" s="67"/>
      <c r="N464" s="67"/>
      <c r="O464" s="67"/>
      <c r="P464" s="67"/>
      <c r="Q464" s="67"/>
      <c r="R464" s="67"/>
      <c r="S464" s="81" t="s">
        <v>1418</v>
      </c>
      <c r="T464" s="67"/>
      <c r="U464" s="67"/>
      <c r="V464" s="67"/>
      <c r="W464" s="88" t="b">
        <v>0</v>
      </c>
      <c r="X464" s="88" t="b">
        <v>0</v>
      </c>
      <c r="Y464" s="89" t="b">
        <v>1</v>
      </c>
      <c r="Z464" s="73" t="s">
        <v>699</v>
      </c>
      <c r="AA464" s="75"/>
    </row>
    <row r="465" spans="1:26" ht="119.25" customHeight="1">
      <c r="A465" s="58">
        <v>409</v>
      </c>
      <c r="B465" s="80" t="s">
        <v>1460</v>
      </c>
      <c r="C465" s="80" t="s">
        <v>1411</v>
      </c>
      <c r="D465" s="60" t="s">
        <v>2068</v>
      </c>
      <c r="E465" s="60" t="s">
        <v>814</v>
      </c>
      <c r="F465" s="62" t="str">
        <f t="shared" si="13"/>
        <v>하</v>
      </c>
      <c r="G465" s="63" t="s">
        <v>2668</v>
      </c>
      <c r="H465" s="63" t="s">
        <v>2674</v>
      </c>
      <c r="I465" s="190" t="s">
        <v>815</v>
      </c>
      <c r="J465" s="137" t="s">
        <v>4248</v>
      </c>
      <c r="K465" s="79"/>
      <c r="L465" s="137" t="s">
        <v>1492</v>
      </c>
      <c r="M465" s="67"/>
      <c r="N465" s="67"/>
      <c r="O465" s="67"/>
      <c r="P465" s="67"/>
      <c r="Q465" s="67"/>
      <c r="R465" s="67"/>
      <c r="S465" s="81" t="s">
        <v>1418</v>
      </c>
      <c r="T465" s="67"/>
      <c r="U465" s="67"/>
      <c r="V465" s="67"/>
      <c r="W465" s="88" t="b">
        <v>0</v>
      </c>
      <c r="X465" s="88" t="b">
        <v>0</v>
      </c>
      <c r="Y465" s="89" t="b">
        <v>1</v>
      </c>
      <c r="Z465" s="73" t="s">
        <v>699</v>
      </c>
    </row>
    <row r="466" spans="1:26" ht="119.25" customHeight="1">
      <c r="A466" s="58">
        <v>410</v>
      </c>
      <c r="B466" s="80" t="s">
        <v>1427</v>
      </c>
      <c r="C466" s="80" t="s">
        <v>1411</v>
      </c>
      <c r="D466" s="60" t="s">
        <v>2069</v>
      </c>
      <c r="E466" s="60" t="s">
        <v>816</v>
      </c>
      <c r="F466" s="62" t="str">
        <f t="shared" si="13"/>
        <v>하</v>
      </c>
      <c r="G466" s="63" t="s">
        <v>2668</v>
      </c>
      <c r="H466" s="63" t="s">
        <v>2674</v>
      </c>
      <c r="I466" s="190" t="s">
        <v>817</v>
      </c>
      <c r="J466" s="137" t="s">
        <v>4248</v>
      </c>
      <c r="K466" s="79"/>
      <c r="L466" s="137" t="s">
        <v>1492</v>
      </c>
      <c r="M466" s="67"/>
      <c r="N466" s="67"/>
      <c r="O466" s="67"/>
      <c r="P466" s="67"/>
      <c r="Q466" s="67"/>
      <c r="R466" s="67"/>
      <c r="S466" s="81" t="s">
        <v>1418</v>
      </c>
      <c r="T466" s="67"/>
      <c r="U466" s="67"/>
      <c r="V466" s="67"/>
      <c r="W466" s="88" t="b">
        <v>0</v>
      </c>
      <c r="X466" s="89" t="b">
        <v>0</v>
      </c>
      <c r="Y466" s="89" t="b">
        <v>1</v>
      </c>
      <c r="Z466" s="73" t="s">
        <v>699</v>
      </c>
    </row>
    <row r="467" spans="1:26" ht="119.25" customHeight="1">
      <c r="A467" s="58">
        <v>411</v>
      </c>
      <c r="B467" s="80" t="s">
        <v>1460</v>
      </c>
      <c r="C467" s="80" t="s">
        <v>1411</v>
      </c>
      <c r="D467" s="60" t="s">
        <v>2070</v>
      </c>
      <c r="E467" s="60" t="s">
        <v>818</v>
      </c>
      <c r="F467" s="62" t="str">
        <f t="shared" si="13"/>
        <v>하</v>
      </c>
      <c r="G467" s="63" t="s">
        <v>2668</v>
      </c>
      <c r="H467" s="63" t="s">
        <v>2674</v>
      </c>
      <c r="I467" s="190" t="s">
        <v>819</v>
      </c>
      <c r="J467" s="137" t="s">
        <v>4248</v>
      </c>
      <c r="K467" s="79"/>
      <c r="L467" s="137" t="s">
        <v>1492</v>
      </c>
      <c r="M467" s="67"/>
      <c r="N467" s="67"/>
      <c r="O467" s="67"/>
      <c r="P467" s="67"/>
      <c r="Q467" s="67"/>
      <c r="R467" s="67"/>
      <c r="S467" s="81" t="s">
        <v>1418</v>
      </c>
      <c r="T467" s="67"/>
      <c r="U467" s="67"/>
      <c r="V467" s="67"/>
      <c r="W467" s="88" t="b">
        <v>0</v>
      </c>
      <c r="X467" s="88" t="b">
        <v>0</v>
      </c>
      <c r="Y467" s="89" t="b">
        <v>1</v>
      </c>
      <c r="Z467" s="73" t="s">
        <v>820</v>
      </c>
    </row>
    <row r="468" spans="1:26" ht="119.25" customHeight="1">
      <c r="A468" s="58">
        <v>412</v>
      </c>
      <c r="B468" s="80" t="s">
        <v>1460</v>
      </c>
      <c r="C468" s="80" t="s">
        <v>1411</v>
      </c>
      <c r="D468" s="60" t="s">
        <v>2071</v>
      </c>
      <c r="E468" s="60" t="s">
        <v>821</v>
      </c>
      <c r="F468" s="62" t="str">
        <f t="shared" si="13"/>
        <v>하</v>
      </c>
      <c r="G468" s="63" t="s">
        <v>2668</v>
      </c>
      <c r="H468" s="63" t="s">
        <v>2674</v>
      </c>
      <c r="I468" s="190" t="s">
        <v>822</v>
      </c>
      <c r="J468" s="137" t="s">
        <v>4248</v>
      </c>
      <c r="K468" s="79"/>
      <c r="L468" s="137" t="s">
        <v>1492</v>
      </c>
      <c r="M468" s="67"/>
      <c r="N468" s="67"/>
      <c r="O468" s="67"/>
      <c r="P468" s="67"/>
      <c r="Q468" s="67"/>
      <c r="R468" s="67"/>
      <c r="S468" s="81" t="s">
        <v>1418</v>
      </c>
      <c r="T468" s="67"/>
      <c r="U468" s="67"/>
      <c r="V468" s="67"/>
      <c r="W468" s="88" t="b">
        <v>0</v>
      </c>
      <c r="X468" s="88" t="b">
        <v>0</v>
      </c>
      <c r="Y468" s="89" t="b">
        <v>1</v>
      </c>
      <c r="Z468" s="73" t="s">
        <v>671</v>
      </c>
    </row>
    <row r="469" spans="1:26" ht="119.25" customHeight="1">
      <c r="A469" s="58">
        <v>413</v>
      </c>
      <c r="B469" s="80" t="s">
        <v>1460</v>
      </c>
      <c r="C469" s="80" t="s">
        <v>1411</v>
      </c>
      <c r="D469" s="60" t="s">
        <v>2072</v>
      </c>
      <c r="E469" s="60" t="s">
        <v>823</v>
      </c>
      <c r="F469" s="62" t="str">
        <f t="shared" si="13"/>
        <v>하</v>
      </c>
      <c r="G469" s="63" t="s">
        <v>2668</v>
      </c>
      <c r="H469" s="63" t="s">
        <v>2674</v>
      </c>
      <c r="I469" s="190" t="s">
        <v>824</v>
      </c>
      <c r="J469" s="137" t="s">
        <v>4248</v>
      </c>
      <c r="K469" s="79"/>
      <c r="L469" s="137" t="s">
        <v>1492</v>
      </c>
      <c r="M469" s="67"/>
      <c r="N469" s="67"/>
      <c r="O469" s="67"/>
      <c r="P469" s="67"/>
      <c r="Q469" s="67"/>
      <c r="R469" s="67"/>
      <c r="S469" s="81" t="s">
        <v>1418</v>
      </c>
      <c r="T469" s="67"/>
      <c r="U469" s="67"/>
      <c r="V469" s="67"/>
      <c r="W469" s="88" t="b">
        <v>0</v>
      </c>
      <c r="X469" s="88" t="b">
        <v>0</v>
      </c>
      <c r="Y469" s="89" t="b">
        <v>1</v>
      </c>
      <c r="Z469" s="73" t="s">
        <v>671</v>
      </c>
    </row>
    <row r="470" spans="1:26" ht="119.25" customHeight="1">
      <c r="A470" s="58">
        <v>414</v>
      </c>
      <c r="B470" s="80" t="s">
        <v>1460</v>
      </c>
      <c r="C470" s="80" t="s">
        <v>1411</v>
      </c>
      <c r="D470" s="60" t="s">
        <v>2073</v>
      </c>
      <c r="E470" s="60" t="s">
        <v>825</v>
      </c>
      <c r="F470" s="62" t="str">
        <f t="shared" si="13"/>
        <v>하</v>
      </c>
      <c r="G470" s="63" t="s">
        <v>2668</v>
      </c>
      <c r="H470" s="63" t="s">
        <v>2674</v>
      </c>
      <c r="I470" s="190" t="s">
        <v>826</v>
      </c>
      <c r="J470" s="137" t="s">
        <v>4248</v>
      </c>
      <c r="K470" s="79"/>
      <c r="L470" s="137" t="s">
        <v>1492</v>
      </c>
      <c r="M470" s="67"/>
      <c r="N470" s="67"/>
      <c r="O470" s="67"/>
      <c r="P470" s="67"/>
      <c r="Q470" s="67"/>
      <c r="R470" s="67"/>
      <c r="S470" s="81" t="s">
        <v>1418</v>
      </c>
      <c r="T470" s="67"/>
      <c r="U470" s="67"/>
      <c r="V470" s="67"/>
      <c r="W470" s="88" t="b">
        <v>0</v>
      </c>
      <c r="X470" s="88" t="b">
        <v>0</v>
      </c>
      <c r="Y470" s="89" t="b">
        <v>1</v>
      </c>
      <c r="Z470" s="73" t="s">
        <v>671</v>
      </c>
    </row>
    <row r="471" spans="1:26" ht="119.25" customHeight="1">
      <c r="A471" s="58">
        <v>415</v>
      </c>
      <c r="B471" s="80" t="s">
        <v>1460</v>
      </c>
      <c r="C471" s="80" t="s">
        <v>1411</v>
      </c>
      <c r="D471" s="60" t="s">
        <v>2074</v>
      </c>
      <c r="E471" s="60" t="s">
        <v>827</v>
      </c>
      <c r="F471" s="62" t="str">
        <f t="shared" si="13"/>
        <v>하</v>
      </c>
      <c r="G471" s="63" t="s">
        <v>2668</v>
      </c>
      <c r="H471" s="63" t="s">
        <v>2674</v>
      </c>
      <c r="I471" s="190" t="s">
        <v>828</v>
      </c>
      <c r="J471" s="137" t="s">
        <v>4248</v>
      </c>
      <c r="K471" s="79"/>
      <c r="L471" s="137" t="s">
        <v>1492</v>
      </c>
      <c r="M471" s="67"/>
      <c r="N471" s="67"/>
      <c r="O471" s="67"/>
      <c r="P471" s="67"/>
      <c r="Q471" s="67"/>
      <c r="R471" s="67"/>
      <c r="S471" s="81" t="s">
        <v>1418</v>
      </c>
      <c r="T471" s="67"/>
      <c r="U471" s="67"/>
      <c r="V471" s="67"/>
      <c r="W471" s="88" t="b">
        <v>0</v>
      </c>
      <c r="X471" s="88" t="b">
        <v>0</v>
      </c>
      <c r="Y471" s="89" t="b">
        <v>1</v>
      </c>
      <c r="Z471" s="73" t="s">
        <v>829</v>
      </c>
    </row>
    <row r="472" spans="1:26" ht="119.25" customHeight="1">
      <c r="A472" s="58">
        <v>416</v>
      </c>
      <c r="B472" s="80" t="s">
        <v>1460</v>
      </c>
      <c r="C472" s="80" t="s">
        <v>1411</v>
      </c>
      <c r="D472" s="60" t="s">
        <v>2075</v>
      </c>
      <c r="E472" s="60" t="s">
        <v>830</v>
      </c>
      <c r="F472" s="62" t="str">
        <f t="shared" si="13"/>
        <v>하</v>
      </c>
      <c r="G472" s="63" t="s">
        <v>2668</v>
      </c>
      <c r="H472" s="63" t="s">
        <v>2674</v>
      </c>
      <c r="I472" s="190" t="s">
        <v>831</v>
      </c>
      <c r="J472" s="137" t="s">
        <v>4248</v>
      </c>
      <c r="K472" s="79"/>
      <c r="L472" s="137" t="s">
        <v>1492</v>
      </c>
      <c r="M472" s="67"/>
      <c r="N472" s="67"/>
      <c r="O472" s="67"/>
      <c r="P472" s="67"/>
      <c r="Q472" s="67"/>
      <c r="R472" s="67"/>
      <c r="S472" s="81" t="s">
        <v>1418</v>
      </c>
      <c r="T472" s="67"/>
      <c r="U472" s="67"/>
      <c r="V472" s="67"/>
      <c r="W472" s="88" t="b">
        <v>0</v>
      </c>
      <c r="X472" s="88" t="b">
        <v>0</v>
      </c>
      <c r="Y472" s="89" t="b">
        <v>1</v>
      </c>
      <c r="Z472" s="73" t="s">
        <v>832</v>
      </c>
    </row>
    <row r="473" spans="1:26" ht="119.25" customHeight="1">
      <c r="A473" s="58">
        <v>417</v>
      </c>
      <c r="B473" s="80" t="s">
        <v>1460</v>
      </c>
      <c r="C473" s="80" t="s">
        <v>1411</v>
      </c>
      <c r="D473" s="60" t="s">
        <v>2076</v>
      </c>
      <c r="E473" s="60" t="s">
        <v>833</v>
      </c>
      <c r="F473" s="62" t="str">
        <f t="shared" si="13"/>
        <v>하</v>
      </c>
      <c r="G473" s="63" t="s">
        <v>2668</v>
      </c>
      <c r="H473" s="63" t="s">
        <v>2674</v>
      </c>
      <c r="I473" s="190" t="s">
        <v>834</v>
      </c>
      <c r="J473" s="137" t="s">
        <v>4248</v>
      </c>
      <c r="K473" s="79"/>
      <c r="L473" s="137" t="s">
        <v>1492</v>
      </c>
      <c r="M473" s="67"/>
      <c r="N473" s="67"/>
      <c r="O473" s="67"/>
      <c r="P473" s="67"/>
      <c r="Q473" s="67"/>
      <c r="R473" s="67"/>
      <c r="S473" s="81" t="s">
        <v>1418</v>
      </c>
      <c r="T473" s="67"/>
      <c r="U473" s="67"/>
      <c r="V473" s="67"/>
      <c r="W473" s="88" t="b">
        <v>0</v>
      </c>
      <c r="X473" s="88" t="b">
        <v>0</v>
      </c>
      <c r="Y473" s="89" t="b">
        <v>1</v>
      </c>
      <c r="Z473" s="73" t="s">
        <v>678</v>
      </c>
    </row>
    <row r="474" spans="1:26" ht="119.25" customHeight="1">
      <c r="A474" s="58">
        <v>418</v>
      </c>
      <c r="B474" s="80" t="s">
        <v>1460</v>
      </c>
      <c r="C474" s="80" t="s">
        <v>1411</v>
      </c>
      <c r="D474" s="60" t="s">
        <v>2077</v>
      </c>
      <c r="E474" s="60" t="s">
        <v>835</v>
      </c>
      <c r="F474" s="62" t="str">
        <f t="shared" si="13"/>
        <v>하</v>
      </c>
      <c r="G474" s="63" t="s">
        <v>2668</v>
      </c>
      <c r="H474" s="63" t="s">
        <v>2674</v>
      </c>
      <c r="I474" s="190" t="s">
        <v>836</v>
      </c>
      <c r="J474" s="137" t="s">
        <v>4248</v>
      </c>
      <c r="K474" s="79"/>
      <c r="L474" s="137" t="s">
        <v>1492</v>
      </c>
      <c r="M474" s="67"/>
      <c r="N474" s="67"/>
      <c r="O474" s="67"/>
      <c r="P474" s="67"/>
      <c r="Q474" s="67"/>
      <c r="R474" s="67"/>
      <c r="S474" s="81" t="s">
        <v>1418</v>
      </c>
      <c r="T474" s="67"/>
      <c r="U474" s="67"/>
      <c r="V474" s="67"/>
      <c r="W474" s="88" t="b">
        <v>0</v>
      </c>
      <c r="X474" s="88" t="b">
        <v>0</v>
      </c>
      <c r="Y474" s="89" t="b">
        <v>1</v>
      </c>
      <c r="Z474" s="73" t="s">
        <v>820</v>
      </c>
    </row>
    <row r="475" spans="1:26" ht="119.25" customHeight="1">
      <c r="A475" s="58">
        <v>419</v>
      </c>
      <c r="B475" s="80" t="s">
        <v>1460</v>
      </c>
      <c r="C475" s="80" t="s">
        <v>1411</v>
      </c>
      <c r="D475" s="60" t="s">
        <v>2078</v>
      </c>
      <c r="E475" s="60" t="s">
        <v>837</v>
      </c>
      <c r="F475" s="62" t="str">
        <f t="shared" si="13"/>
        <v>하</v>
      </c>
      <c r="G475" s="63" t="s">
        <v>2668</v>
      </c>
      <c r="H475" s="63" t="s">
        <v>2674</v>
      </c>
      <c r="I475" s="190" t="s">
        <v>838</v>
      </c>
      <c r="J475" s="137" t="s">
        <v>4248</v>
      </c>
      <c r="K475" s="79"/>
      <c r="L475" s="137" t="s">
        <v>1492</v>
      </c>
      <c r="M475" s="67"/>
      <c r="N475" s="67"/>
      <c r="O475" s="67"/>
      <c r="P475" s="67"/>
      <c r="Q475" s="67"/>
      <c r="R475" s="67"/>
      <c r="S475" s="81" t="s">
        <v>1418</v>
      </c>
      <c r="T475" s="67"/>
      <c r="U475" s="67"/>
      <c r="V475" s="67"/>
      <c r="W475" s="88" t="b">
        <v>0</v>
      </c>
      <c r="X475" s="88" t="b">
        <v>0</v>
      </c>
      <c r="Y475" s="89" t="b">
        <v>1</v>
      </c>
      <c r="Z475" s="73" t="s">
        <v>839</v>
      </c>
    </row>
    <row r="476" spans="1:26" ht="119.25" customHeight="1">
      <c r="A476" s="58">
        <v>420</v>
      </c>
      <c r="B476" s="80" t="s">
        <v>1460</v>
      </c>
      <c r="C476" s="80" t="s">
        <v>1411</v>
      </c>
      <c r="D476" s="60" t="s">
        <v>2079</v>
      </c>
      <c r="E476" s="60" t="s">
        <v>840</v>
      </c>
      <c r="F476" s="62" t="str">
        <f t="shared" si="13"/>
        <v>하</v>
      </c>
      <c r="G476" s="63" t="s">
        <v>2668</v>
      </c>
      <c r="H476" s="63" t="s">
        <v>2674</v>
      </c>
      <c r="I476" s="190" t="s">
        <v>841</v>
      </c>
      <c r="J476" s="137" t="s">
        <v>4248</v>
      </c>
      <c r="K476" s="79"/>
      <c r="L476" s="137" t="s">
        <v>1492</v>
      </c>
      <c r="M476" s="67"/>
      <c r="N476" s="67"/>
      <c r="O476" s="67"/>
      <c r="P476" s="67"/>
      <c r="Q476" s="67"/>
      <c r="R476" s="67"/>
      <c r="S476" s="81" t="s">
        <v>1418</v>
      </c>
      <c r="T476" s="67"/>
      <c r="U476" s="67"/>
      <c r="V476" s="67"/>
      <c r="W476" s="88" t="b">
        <v>0</v>
      </c>
      <c r="X476" s="88" t="b">
        <v>0</v>
      </c>
      <c r="Y476" s="89" t="b">
        <v>1</v>
      </c>
      <c r="Z476" s="73" t="s">
        <v>842</v>
      </c>
    </row>
    <row r="477" spans="1:26" ht="119.25" customHeight="1">
      <c r="A477" s="58">
        <v>421</v>
      </c>
      <c r="B477" s="80" t="s">
        <v>1460</v>
      </c>
      <c r="C477" s="80" t="s">
        <v>1411</v>
      </c>
      <c r="D477" s="60" t="s">
        <v>2080</v>
      </c>
      <c r="E477" s="60" t="s">
        <v>843</v>
      </c>
      <c r="F477" s="62" t="str">
        <f t="shared" si="13"/>
        <v>하</v>
      </c>
      <c r="G477" s="63" t="s">
        <v>2668</v>
      </c>
      <c r="H477" s="63" t="s">
        <v>2674</v>
      </c>
      <c r="I477" s="190" t="s">
        <v>844</v>
      </c>
      <c r="J477" s="137" t="s">
        <v>4248</v>
      </c>
      <c r="K477" s="79"/>
      <c r="L477" s="137" t="s">
        <v>1492</v>
      </c>
      <c r="M477" s="67"/>
      <c r="N477" s="67"/>
      <c r="O477" s="67"/>
      <c r="P477" s="67"/>
      <c r="Q477" s="67"/>
      <c r="R477" s="67"/>
      <c r="S477" s="81" t="s">
        <v>1418</v>
      </c>
      <c r="T477" s="67"/>
      <c r="U477" s="67"/>
      <c r="V477" s="67"/>
      <c r="W477" s="88" t="b">
        <v>0</v>
      </c>
      <c r="X477" s="88" t="b">
        <v>0</v>
      </c>
      <c r="Y477" s="89" t="b">
        <v>1</v>
      </c>
      <c r="Z477" s="73" t="s">
        <v>671</v>
      </c>
    </row>
    <row r="478" spans="1:26" ht="119.25" customHeight="1" outlineLevel="1">
      <c r="A478" s="58">
        <v>422</v>
      </c>
      <c r="B478" s="80" t="s">
        <v>1460</v>
      </c>
      <c r="C478" s="80" t="s">
        <v>1411</v>
      </c>
      <c r="D478" s="60" t="s">
        <v>2081</v>
      </c>
      <c r="E478" s="60" t="s">
        <v>845</v>
      </c>
      <c r="F478" s="62" t="str">
        <f t="shared" si="13"/>
        <v>하</v>
      </c>
      <c r="G478" s="63" t="s">
        <v>2668</v>
      </c>
      <c r="H478" s="63" t="s">
        <v>2674</v>
      </c>
      <c r="I478" s="190" t="s">
        <v>846</v>
      </c>
      <c r="J478" s="137" t="s">
        <v>4248</v>
      </c>
      <c r="K478" s="79"/>
      <c r="L478" s="137" t="s">
        <v>1492</v>
      </c>
      <c r="M478" s="67"/>
      <c r="N478" s="67"/>
      <c r="O478" s="67"/>
      <c r="P478" s="67"/>
      <c r="Q478" s="67"/>
      <c r="R478" s="67"/>
      <c r="S478" s="81" t="s">
        <v>1418</v>
      </c>
      <c r="T478" s="67"/>
      <c r="U478" s="67"/>
      <c r="V478" s="67"/>
      <c r="W478" s="88" t="b">
        <v>0</v>
      </c>
      <c r="X478" s="88" t="b">
        <v>0</v>
      </c>
      <c r="Y478" s="89" t="b">
        <v>1</v>
      </c>
      <c r="Z478" s="73" t="s">
        <v>829</v>
      </c>
    </row>
    <row r="479" spans="1:26" ht="119.25" customHeight="1" outlineLevel="1">
      <c r="A479" s="58">
        <v>423</v>
      </c>
      <c r="B479" s="80" t="s">
        <v>1460</v>
      </c>
      <c r="C479" s="80" t="s">
        <v>1411</v>
      </c>
      <c r="D479" s="60" t="s">
        <v>2082</v>
      </c>
      <c r="E479" s="60" t="s">
        <v>847</v>
      </c>
      <c r="F479" s="62" t="str">
        <f t="shared" si="13"/>
        <v>하</v>
      </c>
      <c r="G479" s="63" t="s">
        <v>2668</v>
      </c>
      <c r="H479" s="63" t="s">
        <v>2674</v>
      </c>
      <c r="I479" s="190" t="s">
        <v>848</v>
      </c>
      <c r="J479" s="137" t="s">
        <v>4248</v>
      </c>
      <c r="K479" s="79"/>
      <c r="L479" s="137" t="s">
        <v>1492</v>
      </c>
      <c r="M479" s="67"/>
      <c r="N479" s="67"/>
      <c r="O479" s="67"/>
      <c r="P479" s="67"/>
      <c r="Q479" s="67"/>
      <c r="R479" s="67"/>
      <c r="S479" s="81" t="s">
        <v>1418</v>
      </c>
      <c r="T479" s="67"/>
      <c r="U479" s="67"/>
      <c r="V479" s="67"/>
      <c r="W479" s="88" t="b">
        <v>0</v>
      </c>
      <c r="X479" s="88" t="b">
        <v>0</v>
      </c>
      <c r="Y479" s="89" t="b">
        <v>1</v>
      </c>
      <c r="Z479" s="73" t="s">
        <v>849</v>
      </c>
    </row>
    <row r="480" spans="1:26" ht="119.25" customHeight="1" outlineLevel="1">
      <c r="A480" s="58">
        <v>424</v>
      </c>
      <c r="B480" s="80" t="s">
        <v>1460</v>
      </c>
      <c r="C480" s="80" t="s">
        <v>1411</v>
      </c>
      <c r="D480" s="60" t="s">
        <v>2083</v>
      </c>
      <c r="E480" s="60" t="s">
        <v>850</v>
      </c>
      <c r="F480" s="62" t="str">
        <f t="shared" ref="F480:F543" si="14">_xlfn.LET(
_xlpm.v_발생, IF(ISNUMBER(SEARCH("빈번", G480)), "상",
IF(ISNUMBER(SEARCH("거의", G480)), "하", "중")),
_xlpm.v_영향, IF(ISNUMBER(SEARCH("1개월", H480)), "상",
IF(ISNUMBER(SEARCH("없음", H480)), "하", "중")),
IF(AND(_xlpm.v_발생="상", _xlpm.v_영향="상"), "극상",
IF(OR(_xlpm.v_발생="상", _xlpm.v_영향="상"), "상",
IF(AND(_xlpm.v_발생="하", _xlpm.v_영향="하"), "하",
"중")))
)</f>
        <v>하</v>
      </c>
      <c r="G480" s="63" t="s">
        <v>2668</v>
      </c>
      <c r="H480" s="63" t="s">
        <v>2674</v>
      </c>
      <c r="I480" s="190" t="s">
        <v>851</v>
      </c>
      <c r="J480" s="137" t="s">
        <v>4248</v>
      </c>
      <c r="K480" s="79"/>
      <c r="L480" s="137" t="s">
        <v>1492</v>
      </c>
      <c r="M480" s="67"/>
      <c r="N480" s="67"/>
      <c r="O480" s="67"/>
      <c r="P480" s="67"/>
      <c r="Q480" s="67"/>
      <c r="R480" s="67"/>
      <c r="S480" s="81" t="s">
        <v>1418</v>
      </c>
      <c r="T480" s="67"/>
      <c r="U480" s="67"/>
      <c r="V480" s="67"/>
      <c r="W480" s="88" t="b">
        <v>0</v>
      </c>
      <c r="X480" s="88" t="b">
        <v>0</v>
      </c>
      <c r="Y480" s="89" t="b">
        <v>1</v>
      </c>
      <c r="Z480" s="73" t="s">
        <v>852</v>
      </c>
    </row>
    <row r="481" spans="1:26" ht="119.25" customHeight="1" outlineLevel="1">
      <c r="A481" s="58">
        <v>425</v>
      </c>
      <c r="B481" s="92" t="str">
        <f>[1]트램표준체크리스트!B756</f>
        <v>기계</v>
      </c>
      <c r="C481" s="92" t="s">
        <v>1411</v>
      </c>
      <c r="D481" s="93" t="str">
        <f>[1]트램표준체크리스트!F756</f>
        <v>단계별 굴착 깊이와 유입수량(지하수+우수)을 고려하여 양수기 용량 및 대수가 산정되었는가?</v>
      </c>
      <c r="E481" s="93" t="s">
        <v>459</v>
      </c>
      <c r="F481" s="62" t="str">
        <f t="shared" si="14"/>
        <v>하</v>
      </c>
      <c r="G481" s="63" t="s">
        <v>2668</v>
      </c>
      <c r="H481" s="63" t="s">
        <v>2674</v>
      </c>
      <c r="I481" s="199" t="s">
        <v>460</v>
      </c>
      <c r="J481" s="137" t="s">
        <v>4248</v>
      </c>
      <c r="K481" s="97"/>
      <c r="L481" s="139" t="s">
        <v>1492</v>
      </c>
      <c r="M481" s="98"/>
      <c r="N481" s="98"/>
      <c r="O481" s="98"/>
      <c r="P481" s="98"/>
      <c r="Q481" s="98"/>
      <c r="R481" s="98"/>
      <c r="S481" s="99"/>
      <c r="T481" s="98"/>
      <c r="U481" s="98"/>
      <c r="V481" s="98"/>
      <c r="W481" s="100" t="b">
        <v>0</v>
      </c>
      <c r="X481" s="100" t="b">
        <v>0</v>
      </c>
      <c r="Y481" s="101" t="b">
        <v>0</v>
      </c>
      <c r="Z481" s="96" t="s">
        <v>461</v>
      </c>
    </row>
    <row r="482" spans="1:26" ht="119.25" customHeight="1" outlineLevel="1">
      <c r="A482" s="58">
        <v>426</v>
      </c>
      <c r="B482" s="92" t="str">
        <f>[1]트램표준체크리스트!B757</f>
        <v>기계</v>
      </c>
      <c r="C482" s="92" t="s">
        <v>1411</v>
      </c>
      <c r="D482" s="93" t="str">
        <f>[1]트램표준체크리스트!F757</f>
        <v>공정별 유량 변동폭(Peak시)을 감안하여 펌프 용량 및 예비 펌프가 반영되었는가?</v>
      </c>
      <c r="E482" s="93" t="s">
        <v>462</v>
      </c>
      <c r="F482" s="62" t="str">
        <f t="shared" si="14"/>
        <v>하</v>
      </c>
      <c r="G482" s="63" t="s">
        <v>2668</v>
      </c>
      <c r="H482" s="63" t="s">
        <v>2674</v>
      </c>
      <c r="I482" s="199" t="s">
        <v>463</v>
      </c>
      <c r="J482" s="137" t="s">
        <v>4248</v>
      </c>
      <c r="K482" s="97"/>
      <c r="L482" s="139" t="s">
        <v>1492</v>
      </c>
      <c r="M482" s="98"/>
      <c r="N482" s="98"/>
      <c r="O482" s="98"/>
      <c r="P482" s="98"/>
      <c r="Q482" s="98"/>
      <c r="R482" s="98"/>
      <c r="S482" s="99"/>
      <c r="T482" s="98"/>
      <c r="U482" s="98"/>
      <c r="V482" s="98"/>
      <c r="W482" s="100" t="b">
        <v>0</v>
      </c>
      <c r="X482" s="100" t="b">
        <v>0</v>
      </c>
      <c r="Y482" s="101" t="b">
        <v>0</v>
      </c>
      <c r="Z482" s="96" t="s">
        <v>461</v>
      </c>
    </row>
    <row r="483" spans="1:26" ht="119.25" customHeight="1" outlineLevel="1">
      <c r="A483" s="58">
        <v>427</v>
      </c>
      <c r="B483" s="92" t="str">
        <f>[1]트램표준체크리스트!B758</f>
        <v>기계</v>
      </c>
      <c r="C483" s="92" t="s">
        <v>1411</v>
      </c>
      <c r="D483" s="93" t="str">
        <f>[1]트램표준체크리스트!F758</f>
        <v>배수펌프 제어반(MCC)이 습기로부터 안전한 장소에 배치되었는가?</v>
      </c>
      <c r="E483" s="93" t="s">
        <v>464</v>
      </c>
      <c r="F483" s="62" t="str">
        <f t="shared" si="14"/>
        <v>하</v>
      </c>
      <c r="G483" s="63" t="s">
        <v>2668</v>
      </c>
      <c r="H483" s="63" t="s">
        <v>2674</v>
      </c>
      <c r="I483" s="199" t="s">
        <v>465</v>
      </c>
      <c r="J483" s="137" t="s">
        <v>4248</v>
      </c>
      <c r="K483" s="97"/>
      <c r="L483" s="139" t="s">
        <v>1492</v>
      </c>
      <c r="M483" s="98"/>
      <c r="N483" s="98"/>
      <c r="O483" s="98"/>
      <c r="P483" s="98"/>
      <c r="Q483" s="98"/>
      <c r="R483" s="98"/>
      <c r="S483" s="99"/>
      <c r="T483" s="98"/>
      <c r="U483" s="98"/>
      <c r="V483" s="98"/>
      <c r="W483" s="100" t="b">
        <v>0</v>
      </c>
      <c r="X483" s="100" t="b">
        <v>0</v>
      </c>
      <c r="Y483" s="101" t="b">
        <v>0</v>
      </c>
      <c r="Z483" s="96" t="s">
        <v>466</v>
      </c>
    </row>
    <row r="484" spans="1:26" ht="119.25" customHeight="1" outlineLevel="1">
      <c r="A484" s="58">
        <v>428</v>
      </c>
      <c r="B484" s="92" t="str">
        <f>[1]트램표준체크리스트!B759</f>
        <v>기계</v>
      </c>
      <c r="C484" s="92" t="s">
        <v>1411</v>
      </c>
      <c r="D484" s="93" t="str">
        <f>[1]트램표준체크리스트!F759</f>
        <v>하천변 굴착 시 지하수위 및 투수계수를 고려한 물푸기(Dewatering) 계획이 수립되었는가?</v>
      </c>
      <c r="E484" s="93" t="s">
        <v>467</v>
      </c>
      <c r="F484" s="62" t="str">
        <f t="shared" si="14"/>
        <v>하</v>
      </c>
      <c r="G484" s="63" t="s">
        <v>2668</v>
      </c>
      <c r="H484" s="63" t="s">
        <v>2674</v>
      </c>
      <c r="I484" s="199" t="s">
        <v>468</v>
      </c>
      <c r="J484" s="137" t="s">
        <v>4248</v>
      </c>
      <c r="K484" s="97"/>
      <c r="L484" s="139" t="s">
        <v>1492</v>
      </c>
      <c r="M484" s="98"/>
      <c r="N484" s="98"/>
      <c r="O484" s="98"/>
      <c r="P484" s="98"/>
      <c r="Q484" s="98"/>
      <c r="R484" s="98"/>
      <c r="S484" s="99"/>
      <c r="T484" s="98"/>
      <c r="U484" s="98"/>
      <c r="V484" s="98"/>
      <c r="W484" s="100" t="b">
        <v>0</v>
      </c>
      <c r="X484" s="100" t="b">
        <v>0</v>
      </c>
      <c r="Y484" s="101" t="b">
        <v>0</v>
      </c>
      <c r="Z484" s="96" t="s">
        <v>469</v>
      </c>
    </row>
    <row r="485" spans="1:26" ht="119.25" customHeight="1" outlineLevel="1">
      <c r="A485" s="58">
        <v>429</v>
      </c>
      <c r="B485" s="92" t="str">
        <f>[1]트램표준체크리스트!B760</f>
        <v>기계</v>
      </c>
      <c r="C485" s="92" t="s">
        <v>1411</v>
      </c>
      <c r="D485" s="93" t="str">
        <f>[1]트램표준체크리스트!F760</f>
        <v>지반조사 보고서의 투수계수를 바탕으로 유입수량이 적정하게 산정되었는가?</v>
      </c>
      <c r="E485" s="93" t="s">
        <v>470</v>
      </c>
      <c r="F485" s="62" t="str">
        <f t="shared" si="14"/>
        <v>하</v>
      </c>
      <c r="G485" s="63" t="s">
        <v>2668</v>
      </c>
      <c r="H485" s="63" t="s">
        <v>2674</v>
      </c>
      <c r="I485" s="199" t="s">
        <v>471</v>
      </c>
      <c r="J485" s="137" t="s">
        <v>4248</v>
      </c>
      <c r="K485" s="97"/>
      <c r="L485" s="139" t="s">
        <v>1492</v>
      </c>
      <c r="M485" s="98"/>
      <c r="N485" s="98"/>
      <c r="O485" s="98"/>
      <c r="P485" s="98"/>
      <c r="Q485" s="98"/>
      <c r="R485" s="98"/>
      <c r="S485" s="99"/>
      <c r="T485" s="98"/>
      <c r="U485" s="98"/>
      <c r="V485" s="98"/>
      <c r="W485" s="100" t="b">
        <v>0</v>
      </c>
      <c r="X485" s="100" t="b">
        <v>0</v>
      </c>
      <c r="Y485" s="101" t="b">
        <v>0</v>
      </c>
      <c r="Z485" s="96" t="s">
        <v>398</v>
      </c>
    </row>
    <row r="486" spans="1:26" ht="119.25" customHeight="1" outlineLevel="1">
      <c r="A486" s="58">
        <v>430</v>
      </c>
      <c r="B486" s="92" t="str">
        <f>[1]트램표준체크리스트!B761</f>
        <v>기계</v>
      </c>
      <c r="C486" s="92" t="s">
        <v>1411</v>
      </c>
      <c r="D486" s="93" t="str">
        <f>[1]트램표준체크리스트!F761</f>
        <v>비상 전원 공급 라인에 핵심 배수펌프가 연결되어 있는지 회로도를 검토했는가?</v>
      </c>
      <c r="E486" s="93" t="s">
        <v>472</v>
      </c>
      <c r="F486" s="62" t="str">
        <f t="shared" si="14"/>
        <v>하</v>
      </c>
      <c r="G486" s="63" t="s">
        <v>2668</v>
      </c>
      <c r="H486" s="63" t="s">
        <v>2674</v>
      </c>
      <c r="I486" s="199" t="s">
        <v>473</v>
      </c>
      <c r="J486" s="137" t="s">
        <v>4248</v>
      </c>
      <c r="K486" s="97"/>
      <c r="L486" s="139" t="s">
        <v>1492</v>
      </c>
      <c r="M486" s="98"/>
      <c r="N486" s="98"/>
      <c r="O486" s="98"/>
      <c r="P486" s="98"/>
      <c r="Q486" s="98"/>
      <c r="R486" s="98"/>
      <c r="S486" s="99"/>
      <c r="T486" s="98"/>
      <c r="U486" s="98"/>
      <c r="V486" s="98"/>
      <c r="W486" s="100" t="b">
        <v>0</v>
      </c>
      <c r="X486" s="100" t="b">
        <v>0</v>
      </c>
      <c r="Y486" s="101" t="b">
        <v>0</v>
      </c>
      <c r="Z486" s="96" t="s">
        <v>398</v>
      </c>
    </row>
    <row r="487" spans="1:26" ht="119.25" customHeight="1" outlineLevel="1">
      <c r="A487" s="58">
        <v>431</v>
      </c>
      <c r="B487" s="92" t="str">
        <f>[1]트램표준체크리스트!B762</f>
        <v>기계</v>
      </c>
      <c r="C487" s="92" t="s">
        <v>1411</v>
      </c>
      <c r="D487" s="93" t="str">
        <f>[1]트램표준체크리스트!F762</f>
        <v>작업 빈도 과소평가로 압축공기·공업용수 장비 용량이 부족해지거나 인출구 배치 부적절로 유지보수 효율이 저하될 리스크를 검토하였는가?</v>
      </c>
      <c r="E487" s="93" t="s">
        <v>474</v>
      </c>
      <c r="F487" s="62" t="str">
        <f t="shared" si="14"/>
        <v>하</v>
      </c>
      <c r="G487" s="63" t="s">
        <v>2668</v>
      </c>
      <c r="H487" s="63" t="s">
        <v>2674</v>
      </c>
      <c r="I487" s="199" t="s">
        <v>475</v>
      </c>
      <c r="J487" s="137" t="s">
        <v>4248</v>
      </c>
      <c r="K487" s="97"/>
      <c r="L487" s="139" t="s">
        <v>1492</v>
      </c>
      <c r="M487" s="98"/>
      <c r="N487" s="98"/>
      <c r="O487" s="98"/>
      <c r="P487" s="98"/>
      <c r="Q487" s="98"/>
      <c r="R487" s="98"/>
      <c r="S487" s="99"/>
      <c r="T487" s="98"/>
      <c r="U487" s="98"/>
      <c r="V487" s="98"/>
      <c r="W487" s="100" t="b">
        <v>0</v>
      </c>
      <c r="X487" s="100" t="b">
        <v>0</v>
      </c>
      <c r="Y487" s="101" t="b">
        <v>0</v>
      </c>
      <c r="Z487" s="96" t="s">
        <v>476</v>
      </c>
    </row>
    <row r="488" spans="1:26" ht="119.25" customHeight="1" outlineLevel="1">
      <c r="A488" s="58">
        <v>432</v>
      </c>
      <c r="B488" s="92" t="str">
        <f>[1]트램표준체크리스트!B763</f>
        <v>기계</v>
      </c>
      <c r="C488" s="92" t="s">
        <v>1411</v>
      </c>
      <c r="D488" s="93" t="str">
        <f>[1]트램표준체크리스트!F763</f>
        <v>공사 중 폐수 발생량 과소 산정으로 처리시설 용량이 부족해져, 수질 기준을 초과한 미처리 폐수가 하천으로 무단 방류될 리스크를 검토하였는가?</v>
      </c>
      <c r="E488" s="93" t="s">
        <v>477</v>
      </c>
      <c r="F488" s="62" t="str">
        <f t="shared" si="14"/>
        <v>하</v>
      </c>
      <c r="G488" s="63" t="s">
        <v>2668</v>
      </c>
      <c r="H488" s="63" t="s">
        <v>2674</v>
      </c>
      <c r="I488" s="199" t="s">
        <v>478</v>
      </c>
      <c r="J488" s="137" t="s">
        <v>4248</v>
      </c>
      <c r="K488" s="97"/>
      <c r="L488" s="139" t="s">
        <v>1492</v>
      </c>
      <c r="M488" s="98"/>
      <c r="N488" s="98"/>
      <c r="O488" s="98"/>
      <c r="P488" s="98"/>
      <c r="Q488" s="98"/>
      <c r="R488" s="98"/>
      <c r="S488" s="99"/>
      <c r="T488" s="98"/>
      <c r="U488" s="98"/>
      <c r="V488" s="98"/>
      <c r="W488" s="100" t="b">
        <v>0</v>
      </c>
      <c r="X488" s="100" t="b">
        <v>0</v>
      </c>
      <c r="Y488" s="101" t="b">
        <v>0</v>
      </c>
      <c r="Z488" s="96" t="s">
        <v>469</v>
      </c>
    </row>
    <row r="489" spans="1:26" ht="119.25" customHeight="1" outlineLevel="1">
      <c r="A489" s="58">
        <v>433</v>
      </c>
      <c r="B489" s="92" t="str">
        <f>[1]트램표준체크리스트!B764</f>
        <v>기계</v>
      </c>
      <c r="C489" s="92" t="s">
        <v>1411</v>
      </c>
      <c r="D489" s="93" t="str">
        <f>[1]트램표준체크리스트!F764</f>
        <v>시방서 내 HCFC 계열 냉매 금지 조항 누락으로 법적 규제 대상인 구형 냉매 장비가 반영될 환경 리스크를 검토하였는가?</v>
      </c>
      <c r="E489" s="93" t="s">
        <v>479</v>
      </c>
      <c r="F489" s="62" t="str">
        <f t="shared" si="14"/>
        <v>하</v>
      </c>
      <c r="G489" s="63" t="s">
        <v>2668</v>
      </c>
      <c r="H489" s="63" t="s">
        <v>2674</v>
      </c>
      <c r="I489" s="199" t="s">
        <v>480</v>
      </c>
      <c r="J489" s="137" t="s">
        <v>4248</v>
      </c>
      <c r="K489" s="97"/>
      <c r="L489" s="139" t="s">
        <v>1492</v>
      </c>
      <c r="M489" s="98"/>
      <c r="N489" s="98"/>
      <c r="O489" s="98"/>
      <c r="P489" s="98"/>
      <c r="Q489" s="98"/>
      <c r="R489" s="98"/>
      <c r="S489" s="99"/>
      <c r="T489" s="98"/>
      <c r="U489" s="98"/>
      <c r="V489" s="98"/>
      <c r="W489" s="100" t="b">
        <v>0</v>
      </c>
      <c r="X489" s="100" t="b">
        <v>0</v>
      </c>
      <c r="Y489" s="101" t="b">
        <v>0</v>
      </c>
      <c r="Z489" s="96" t="s">
        <v>398</v>
      </c>
    </row>
    <row r="490" spans="1:26" ht="119.25" customHeight="1" outlineLevel="1">
      <c r="A490" s="58">
        <v>434</v>
      </c>
      <c r="B490" s="92" t="str">
        <f>[1]트램표준체크리스트!B765</f>
        <v>기계</v>
      </c>
      <c r="C490" s="92" t="s">
        <v>1411</v>
      </c>
      <c r="D490" s="93" t="str">
        <f>[1]트램표준체크리스트!F765</f>
        <v>사수방지용 칸막이 및 급수배관 단차 미적용으로 체류된 소화용수가 부패해 위생 수질 악화 및 악취 민원이 발생할 리스크를 검토하였는가?</v>
      </c>
      <c r="E490" s="93" t="s">
        <v>481</v>
      </c>
      <c r="F490" s="62" t="str">
        <f t="shared" si="14"/>
        <v>하</v>
      </c>
      <c r="G490" s="63" t="s">
        <v>2668</v>
      </c>
      <c r="H490" s="63" t="s">
        <v>2674</v>
      </c>
      <c r="I490" s="199" t="s">
        <v>482</v>
      </c>
      <c r="J490" s="137" t="s">
        <v>4248</v>
      </c>
      <c r="K490" s="97"/>
      <c r="L490" s="139" t="s">
        <v>1492</v>
      </c>
      <c r="M490" s="98"/>
      <c r="N490" s="98"/>
      <c r="O490" s="98"/>
      <c r="P490" s="98"/>
      <c r="Q490" s="98"/>
      <c r="R490" s="98"/>
      <c r="S490" s="99"/>
      <c r="T490" s="98"/>
      <c r="U490" s="98"/>
      <c r="V490" s="98"/>
      <c r="W490" s="100" t="b">
        <v>0</v>
      </c>
      <c r="X490" s="100" t="b">
        <v>0</v>
      </c>
      <c r="Y490" s="101" t="b">
        <v>0</v>
      </c>
      <c r="Z490" s="96" t="s">
        <v>469</v>
      </c>
    </row>
    <row r="491" spans="1:26" ht="119.25" customHeight="1" outlineLevel="1">
      <c r="A491" s="58">
        <v>435</v>
      </c>
      <c r="B491" s="92" t="str">
        <f>[1]트램표준체크리스트!B766</f>
        <v>기계</v>
      </c>
      <c r="C491" s="92" t="s">
        <v>1411</v>
      </c>
      <c r="D491" s="93" t="str">
        <f>[1]트램표준체크리스트!F766</f>
        <v>설계에 반영된 급수배관의 밸브조작 및 유지관리 어려움에 따라 하향식 배관으로 변경 리스크를 검토하였는가?</v>
      </c>
      <c r="E491" s="93" t="s">
        <v>483</v>
      </c>
      <c r="F491" s="62" t="str">
        <f t="shared" si="14"/>
        <v>하</v>
      </c>
      <c r="G491" s="63" t="s">
        <v>2668</v>
      </c>
      <c r="H491" s="63" t="s">
        <v>2674</v>
      </c>
      <c r="I491" s="199" t="s">
        <v>484</v>
      </c>
      <c r="J491" s="137" t="s">
        <v>4248</v>
      </c>
      <c r="K491" s="97"/>
      <c r="L491" s="139" t="s">
        <v>1492</v>
      </c>
      <c r="M491" s="98"/>
      <c r="N491" s="98"/>
      <c r="O491" s="98"/>
      <c r="P491" s="98"/>
      <c r="Q491" s="98"/>
      <c r="R491" s="98"/>
      <c r="S491" s="99"/>
      <c r="T491" s="98"/>
      <c r="U491" s="98"/>
      <c r="V491" s="98"/>
      <c r="W491" s="100" t="b">
        <v>0</v>
      </c>
      <c r="X491" s="100" t="b">
        <v>0</v>
      </c>
      <c r="Y491" s="101" t="b">
        <v>0</v>
      </c>
      <c r="Z491" s="96" t="s">
        <v>201</v>
      </c>
    </row>
    <row r="492" spans="1:26" ht="119.25" customHeight="1" outlineLevel="1">
      <c r="A492" s="58">
        <v>436</v>
      </c>
      <c r="B492" s="92" t="str">
        <f>[1]트램표준체크리스트!B767</f>
        <v>기계</v>
      </c>
      <c r="C492" s="92" t="s">
        <v>1411</v>
      </c>
      <c r="D492" s="93" t="str">
        <f>[1]트램표준체크리스트!F767</f>
        <v>시수 직결·저수조 겸용 하이브리드 급수 방식 누락으로 단수 시 화장실 및 세척용수 공급이 전면 중단될 리스크를 검토하였는가?</v>
      </c>
      <c r="E492" s="93" t="s">
        <v>485</v>
      </c>
      <c r="F492" s="62" t="str">
        <f t="shared" si="14"/>
        <v>하</v>
      </c>
      <c r="G492" s="63" t="s">
        <v>2668</v>
      </c>
      <c r="H492" s="63" t="s">
        <v>2674</v>
      </c>
      <c r="I492" s="199" t="s">
        <v>486</v>
      </c>
      <c r="J492" s="137" t="s">
        <v>4248</v>
      </c>
      <c r="K492" s="97"/>
      <c r="L492" s="139" t="s">
        <v>1492</v>
      </c>
      <c r="M492" s="98"/>
      <c r="N492" s="98"/>
      <c r="O492" s="98"/>
      <c r="P492" s="98"/>
      <c r="Q492" s="98"/>
      <c r="R492" s="98"/>
      <c r="S492" s="99"/>
      <c r="T492" s="98"/>
      <c r="U492" s="98"/>
      <c r="V492" s="98"/>
      <c r="W492" s="100" t="b">
        <v>0</v>
      </c>
      <c r="X492" s="100" t="b">
        <v>0</v>
      </c>
      <c r="Y492" s="101" t="b">
        <v>0</v>
      </c>
      <c r="Z492" s="96" t="s">
        <v>236</v>
      </c>
    </row>
    <row r="493" spans="1:26" ht="119.25" customHeight="1" outlineLevel="1">
      <c r="A493" s="58">
        <v>437</v>
      </c>
      <c r="B493" s="92" t="str">
        <f>[1]트램표준체크리스트!B768</f>
        <v>기계</v>
      </c>
      <c r="C493" s="92" t="s">
        <v>1411</v>
      </c>
      <c r="D493" s="93" t="str">
        <f>[1]트램표준체크리스트!F768</f>
        <v>기계실 상부 수계 배관 횡단 설계로 누수·결로 시 고압반 단락 및 시스템 마비를 유발할 방재 리스크를 검토하였는가?</v>
      </c>
      <c r="E493" s="93" t="s">
        <v>487</v>
      </c>
      <c r="F493" s="62" t="str">
        <f t="shared" si="14"/>
        <v>하</v>
      </c>
      <c r="G493" s="63" t="s">
        <v>2668</v>
      </c>
      <c r="H493" s="63" t="s">
        <v>2674</v>
      </c>
      <c r="I493" s="199" t="s">
        <v>488</v>
      </c>
      <c r="J493" s="137" t="s">
        <v>4248</v>
      </c>
      <c r="K493" s="97"/>
      <c r="L493" s="139" t="s">
        <v>1492</v>
      </c>
      <c r="M493" s="98"/>
      <c r="N493" s="98"/>
      <c r="O493" s="98"/>
      <c r="P493" s="98"/>
      <c r="Q493" s="98"/>
      <c r="R493" s="98"/>
      <c r="S493" s="99"/>
      <c r="T493" s="98"/>
      <c r="U493" s="98"/>
      <c r="V493" s="98"/>
      <c r="W493" s="100" t="b">
        <v>0</v>
      </c>
      <c r="X493" s="100" t="b">
        <v>0</v>
      </c>
      <c r="Y493" s="101" t="b">
        <v>0</v>
      </c>
      <c r="Z493" s="96" t="s">
        <v>489</v>
      </c>
    </row>
    <row r="494" spans="1:26" ht="119.25" customHeight="1" outlineLevel="1">
      <c r="A494" s="58">
        <v>438</v>
      </c>
      <c r="B494" s="92" t="str">
        <f>[1]트램표준체크리스트!B769</f>
        <v>기계</v>
      </c>
      <c r="C494" s="92" t="s">
        <v>1411</v>
      </c>
      <c r="D494" s="93" t="str">
        <f>[1]트램표준체크리스트!F769</f>
        <v>기계실 면적·층고 과소 설계로 대형 장비 반입 불가 및 유지보수 작업 공간이 부족해질 리스크를 검토하였는가?</v>
      </c>
      <c r="E494" s="93" t="s">
        <v>490</v>
      </c>
      <c r="F494" s="62" t="str">
        <f t="shared" si="14"/>
        <v>하</v>
      </c>
      <c r="G494" s="63" t="s">
        <v>2668</v>
      </c>
      <c r="H494" s="63" t="s">
        <v>2674</v>
      </c>
      <c r="I494" s="199" t="s">
        <v>491</v>
      </c>
      <c r="J494" s="137" t="s">
        <v>4248</v>
      </c>
      <c r="K494" s="97"/>
      <c r="L494" s="139" t="s">
        <v>1492</v>
      </c>
      <c r="M494" s="98"/>
      <c r="N494" s="98"/>
      <c r="O494" s="98"/>
      <c r="P494" s="98"/>
      <c r="Q494" s="98"/>
      <c r="R494" s="98"/>
      <c r="S494" s="99"/>
      <c r="T494" s="98"/>
      <c r="U494" s="98"/>
      <c r="V494" s="98"/>
      <c r="W494" s="100" t="b">
        <v>0</v>
      </c>
      <c r="X494" s="100" t="b">
        <v>0</v>
      </c>
      <c r="Y494" s="101" t="b">
        <v>0</v>
      </c>
      <c r="Z494" s="96" t="s">
        <v>201</v>
      </c>
    </row>
    <row r="495" spans="1:26" ht="119.25" customHeight="1" outlineLevel="1">
      <c r="A495" s="58">
        <v>439</v>
      </c>
      <c r="B495" s="92" t="str">
        <f>[1]트램표준체크리스트!B770</f>
        <v>기계</v>
      </c>
      <c r="C495" s="92" t="s">
        <v>1411</v>
      </c>
      <c r="D495" s="93" t="str">
        <f>[1]트램표준체크리스트!F770</f>
        <v>천장 속 공간(Plenum) 밀집 배치로 시공 중 물리적 간섭 및 운영 중 밸브·댐퍼 유지보수 접근이 불가해질 리스크를 검토하였는가?</v>
      </c>
      <c r="E495" s="93" t="s">
        <v>492</v>
      </c>
      <c r="F495" s="62" t="str">
        <f t="shared" si="14"/>
        <v>하</v>
      </c>
      <c r="G495" s="63" t="s">
        <v>2668</v>
      </c>
      <c r="H495" s="63" t="s">
        <v>2674</v>
      </c>
      <c r="I495" s="199" t="s">
        <v>493</v>
      </c>
      <c r="J495" s="137" t="s">
        <v>4248</v>
      </c>
      <c r="K495" s="97"/>
      <c r="L495" s="139" t="s">
        <v>1492</v>
      </c>
      <c r="M495" s="98"/>
      <c r="N495" s="98"/>
      <c r="O495" s="98"/>
      <c r="P495" s="98"/>
      <c r="Q495" s="98"/>
      <c r="R495" s="98"/>
      <c r="S495" s="99"/>
      <c r="T495" s="98"/>
      <c r="U495" s="98"/>
      <c r="V495" s="98"/>
      <c r="W495" s="100" t="b">
        <v>0</v>
      </c>
      <c r="X495" s="100" t="b">
        <v>0</v>
      </c>
      <c r="Y495" s="101" t="b">
        <v>0</v>
      </c>
      <c r="Z495" s="96" t="s">
        <v>494</v>
      </c>
    </row>
    <row r="496" spans="1:26" ht="119.25" customHeight="1" outlineLevel="1">
      <c r="A496" s="58">
        <v>440</v>
      </c>
      <c r="B496" s="92" t="str">
        <f>[1]트램표준체크리스트!B771</f>
        <v>기계</v>
      </c>
      <c r="C496" s="92" t="s">
        <v>1411</v>
      </c>
      <c r="D496" s="93" t="str">
        <f>[1]트램표준체크리스트!F771</f>
        <v>발주처의 중간점검 요구사항에 따라 계측기 안전장비 및 전기장치에 대한 진단장비를 추가 리스크를 검토하였는가?</v>
      </c>
      <c r="E496" s="93" t="s">
        <v>495</v>
      </c>
      <c r="F496" s="62" t="str">
        <f t="shared" si="14"/>
        <v>하</v>
      </c>
      <c r="G496" s="63" t="s">
        <v>2668</v>
      </c>
      <c r="H496" s="63" t="s">
        <v>2674</v>
      </c>
      <c r="I496" s="199" t="s">
        <v>496</v>
      </c>
      <c r="J496" s="137" t="s">
        <v>4248</v>
      </c>
      <c r="K496" s="97"/>
      <c r="L496" s="139" t="s">
        <v>1492</v>
      </c>
      <c r="M496" s="98"/>
      <c r="N496" s="98"/>
      <c r="O496" s="98"/>
      <c r="P496" s="98"/>
      <c r="Q496" s="98"/>
      <c r="R496" s="98"/>
      <c r="S496" s="99"/>
      <c r="T496" s="98"/>
      <c r="U496" s="98"/>
      <c r="V496" s="98"/>
      <c r="W496" s="100" t="b">
        <v>0</v>
      </c>
      <c r="X496" s="100" t="b">
        <v>0</v>
      </c>
      <c r="Y496" s="101" t="b">
        <v>0</v>
      </c>
      <c r="Z496" s="96" t="s">
        <v>236</v>
      </c>
    </row>
    <row r="497" spans="1:26" ht="119.25" customHeight="1" outlineLevel="1">
      <c r="A497" s="58">
        <v>441</v>
      </c>
      <c r="B497" s="92" t="str">
        <f>[1]트램표준체크리스트!B772</f>
        <v>기계</v>
      </c>
      <c r="C497" s="92" t="s">
        <v>1411</v>
      </c>
      <c r="D497" s="93" t="str">
        <f>[1]트램표준체크리스트!F772</f>
        <v>장비 전원공급 물량이 기계·전기 분야에서 누락되어 현장 장비 가동이 불가해질 인터페이스 설계 오류 리스크를 검토하였는가?</v>
      </c>
      <c r="E497" s="93" t="s">
        <v>497</v>
      </c>
      <c r="F497" s="62" t="str">
        <f t="shared" si="14"/>
        <v>하</v>
      </c>
      <c r="G497" s="63" t="s">
        <v>2668</v>
      </c>
      <c r="H497" s="63" t="s">
        <v>2674</v>
      </c>
      <c r="I497" s="199" t="s">
        <v>498</v>
      </c>
      <c r="J497" s="137" t="s">
        <v>4248</v>
      </c>
      <c r="K497" s="97"/>
      <c r="L497" s="139" t="s">
        <v>1492</v>
      </c>
      <c r="M497" s="98"/>
      <c r="N497" s="98"/>
      <c r="O497" s="98"/>
      <c r="P497" s="98"/>
      <c r="Q497" s="98"/>
      <c r="R497" s="98"/>
      <c r="S497" s="99"/>
      <c r="T497" s="98"/>
      <c r="U497" s="98"/>
      <c r="V497" s="98"/>
      <c r="W497" s="100" t="b">
        <v>0</v>
      </c>
      <c r="X497" s="100" t="b">
        <v>0</v>
      </c>
      <c r="Y497" s="101" t="b">
        <v>0</v>
      </c>
      <c r="Z497" s="96" t="s">
        <v>236</v>
      </c>
    </row>
    <row r="498" spans="1:26" ht="119.25" customHeight="1" outlineLevel="1">
      <c r="A498" s="58">
        <v>442</v>
      </c>
      <c r="B498" s="92" t="str">
        <f>[1]트램표준체크리스트!B773</f>
        <v>기계</v>
      </c>
      <c r="C498" s="92" t="s">
        <v>1411</v>
      </c>
      <c r="D498" s="93" t="str">
        <f>[1]트램표준체크리스트!F773</f>
        <v>MCC반 기초 패드 레벨 상향 설계 누락으로 펌프보다 제어반이 먼저 침수돼 배수 기능이 완전 상실될 대형 수해 리스크를 검토하였는가?</v>
      </c>
      <c r="E498" s="93" t="s">
        <v>499</v>
      </c>
      <c r="F498" s="62" t="str">
        <f t="shared" si="14"/>
        <v>하</v>
      </c>
      <c r="G498" s="63" t="s">
        <v>2668</v>
      </c>
      <c r="H498" s="63" t="s">
        <v>2674</v>
      </c>
      <c r="I498" s="199" t="s">
        <v>500</v>
      </c>
      <c r="J498" s="137" t="s">
        <v>4248</v>
      </c>
      <c r="K498" s="97"/>
      <c r="L498" s="139" t="s">
        <v>1492</v>
      </c>
      <c r="M498" s="98"/>
      <c r="N498" s="98"/>
      <c r="O498" s="98"/>
      <c r="P498" s="98"/>
      <c r="Q498" s="98"/>
      <c r="R498" s="98"/>
      <c r="S498" s="99"/>
      <c r="T498" s="98"/>
      <c r="U498" s="98"/>
      <c r="V498" s="98"/>
      <c r="W498" s="100" t="b">
        <v>0</v>
      </c>
      <c r="X498" s="100" t="b">
        <v>0</v>
      </c>
      <c r="Y498" s="101" t="b">
        <v>0</v>
      </c>
      <c r="Z498" s="96" t="s">
        <v>236</v>
      </c>
    </row>
    <row r="499" spans="1:26" ht="119.25" customHeight="1" outlineLevel="1">
      <c r="A499" s="58">
        <v>443</v>
      </c>
      <c r="B499" s="92" t="str">
        <f>[1]트램표준체크리스트!B774</f>
        <v>기계</v>
      </c>
      <c r="C499" s="92" t="s">
        <v>1411</v>
      </c>
      <c r="D499" s="93" t="str">
        <f>[1]트램표준체크리스트!F774</f>
        <v>핵심 시스템실 상부 급·배수배관 횡단 설계로 누수 시 대형 누전 및 통신 장애(셧다운)가 발생할 리스크를 검토하였는가?</v>
      </c>
      <c r="E499" s="93" t="s">
        <v>501</v>
      </c>
      <c r="F499" s="62" t="str">
        <f t="shared" si="14"/>
        <v>하</v>
      </c>
      <c r="G499" s="63" t="s">
        <v>2668</v>
      </c>
      <c r="H499" s="63" t="s">
        <v>2674</v>
      </c>
      <c r="I499" s="199" t="s">
        <v>502</v>
      </c>
      <c r="J499" s="137" t="s">
        <v>4248</v>
      </c>
      <c r="K499" s="97"/>
      <c r="L499" s="139" t="s">
        <v>1492</v>
      </c>
      <c r="M499" s="98"/>
      <c r="N499" s="98"/>
      <c r="O499" s="98"/>
      <c r="P499" s="98"/>
      <c r="Q499" s="98"/>
      <c r="R499" s="98"/>
      <c r="S499" s="99"/>
      <c r="T499" s="98"/>
      <c r="U499" s="98"/>
      <c r="V499" s="98"/>
      <c r="W499" s="100" t="b">
        <v>0</v>
      </c>
      <c r="X499" s="100" t="b">
        <v>0</v>
      </c>
      <c r="Y499" s="101" t="b">
        <v>0</v>
      </c>
      <c r="Z499" s="96" t="s">
        <v>236</v>
      </c>
    </row>
    <row r="500" spans="1:26" ht="119.25" customHeight="1" outlineLevel="1">
      <c r="A500" s="58">
        <v>444</v>
      </c>
      <c r="B500" s="92" t="str">
        <f>[1]트램표준체크리스트!B775</f>
        <v>기계</v>
      </c>
      <c r="C500" s="92" t="s">
        <v>1411</v>
      </c>
      <c r="D500" s="93" t="str">
        <f>[1]트램표준체크리스트!F775</f>
        <v>T.A.B 용역 예산 및 측정공·조절댐퍼 설계 누락으로 준공 전 설비 성능(풍량·수량) 객관적 튜닝 및 검증이 불가해질 리스크를 검토하였는가?</v>
      </c>
      <c r="E500" s="93" t="s">
        <v>503</v>
      </c>
      <c r="F500" s="62" t="str">
        <f t="shared" si="14"/>
        <v>하</v>
      </c>
      <c r="G500" s="63" t="s">
        <v>2668</v>
      </c>
      <c r="H500" s="63" t="s">
        <v>2674</v>
      </c>
      <c r="I500" s="199" t="s">
        <v>504</v>
      </c>
      <c r="J500" s="137" t="s">
        <v>4248</v>
      </c>
      <c r="K500" s="97"/>
      <c r="L500" s="139" t="s">
        <v>1492</v>
      </c>
      <c r="M500" s="98"/>
      <c r="N500" s="98"/>
      <c r="O500" s="98"/>
      <c r="P500" s="98"/>
      <c r="Q500" s="98"/>
      <c r="R500" s="98"/>
      <c r="S500" s="99"/>
      <c r="T500" s="98"/>
      <c r="U500" s="98"/>
      <c r="V500" s="98"/>
      <c r="W500" s="100" t="b">
        <v>0</v>
      </c>
      <c r="X500" s="100" t="b">
        <v>0</v>
      </c>
      <c r="Y500" s="101" t="b">
        <v>0</v>
      </c>
      <c r="Z500" s="96" t="s">
        <v>236</v>
      </c>
    </row>
    <row r="501" spans="1:26" ht="119.25" customHeight="1" outlineLevel="1">
      <c r="A501" s="58">
        <v>445</v>
      </c>
      <c r="B501" s="92" t="str">
        <f>[1]트램표준체크리스트!B776</f>
        <v>기계</v>
      </c>
      <c r="C501" s="92" t="s">
        <v>1411</v>
      </c>
      <c r="D501" s="93" t="str">
        <f>[1]트램표준체크리스트!F776</f>
        <v>식별 표지 및 전동방화댐퍼(MFD) 조작 안내표지 설계 누락으로, 유지보수 오조작 및 화재 시 수동 대처가 불가능해질 리스크를 검토하였는가?</v>
      </c>
      <c r="E501" s="93" t="s">
        <v>505</v>
      </c>
      <c r="F501" s="62" t="str">
        <f t="shared" si="14"/>
        <v>하</v>
      </c>
      <c r="G501" s="63" t="s">
        <v>2668</v>
      </c>
      <c r="H501" s="63" t="s">
        <v>2674</v>
      </c>
      <c r="I501" s="199" t="s">
        <v>506</v>
      </c>
      <c r="J501" s="137" t="s">
        <v>4248</v>
      </c>
      <c r="K501" s="97"/>
      <c r="L501" s="139" t="s">
        <v>1492</v>
      </c>
      <c r="M501" s="98"/>
      <c r="N501" s="98"/>
      <c r="O501" s="98"/>
      <c r="P501" s="98"/>
      <c r="Q501" s="98"/>
      <c r="R501" s="98"/>
      <c r="S501" s="99"/>
      <c r="T501" s="98"/>
      <c r="U501" s="98"/>
      <c r="V501" s="98"/>
      <c r="W501" s="100" t="b">
        <v>0</v>
      </c>
      <c r="X501" s="100" t="b">
        <v>0</v>
      </c>
      <c r="Y501" s="101" t="b">
        <v>0</v>
      </c>
      <c r="Z501" s="96" t="s">
        <v>507</v>
      </c>
    </row>
    <row r="502" spans="1:26" ht="119.25" customHeight="1" outlineLevel="1">
      <c r="A502" s="58">
        <v>446</v>
      </c>
      <c r="B502" s="92" t="str">
        <f>[1]트램표준체크리스트!B777</f>
        <v>기계</v>
      </c>
      <c r="C502" s="92" t="s">
        <v>1411</v>
      </c>
      <c r="D502" s="93" t="str">
        <f>[1]트램표준체크리스트!F777</f>
        <v>식별표시 규격 및 MFD 조작 안내표지판 상세도 누락으로, 현장 유지관리 및 비상시 신속한 대처가 지연될 리스크를 검토하였는가?</v>
      </c>
      <c r="E502" s="93" t="s">
        <v>508</v>
      </c>
      <c r="F502" s="62" t="str">
        <f t="shared" si="14"/>
        <v>하</v>
      </c>
      <c r="G502" s="63" t="s">
        <v>2668</v>
      </c>
      <c r="H502" s="63" t="s">
        <v>2674</v>
      </c>
      <c r="I502" s="199" t="s">
        <v>509</v>
      </c>
      <c r="J502" s="137" t="s">
        <v>4248</v>
      </c>
      <c r="K502" s="97"/>
      <c r="L502" s="139" t="s">
        <v>1492</v>
      </c>
      <c r="M502" s="98"/>
      <c r="N502" s="98"/>
      <c r="O502" s="98"/>
      <c r="P502" s="98"/>
      <c r="Q502" s="98"/>
      <c r="R502" s="98"/>
      <c r="S502" s="99"/>
      <c r="T502" s="98"/>
      <c r="U502" s="98"/>
      <c r="V502" s="98"/>
      <c r="W502" s="100" t="b">
        <v>0</v>
      </c>
      <c r="X502" s="100" t="b">
        <v>0</v>
      </c>
      <c r="Y502" s="101" t="b">
        <v>0</v>
      </c>
      <c r="Z502" s="96" t="s">
        <v>510</v>
      </c>
    </row>
    <row r="503" spans="1:26" ht="119.25" customHeight="1" outlineLevel="1">
      <c r="A503" s="58">
        <v>447</v>
      </c>
      <c r="B503" s="92" t="str">
        <f>[1]트램표준체크리스트!B778</f>
        <v>기계</v>
      </c>
      <c r="C503" s="92" t="s">
        <v>1411</v>
      </c>
      <c r="D503" s="93" t="str">
        <f>[1]트램표준체크리스트!F778</f>
        <v>시방서에 HCFC 계열 냉매·소화약제 금지 조항 누락으로 환경 규제 위반 및 장비 유지보수 시 냉매 수급이 불가해질 리스크를 검토하였는가?</v>
      </c>
      <c r="E503" s="93" t="s">
        <v>511</v>
      </c>
      <c r="F503" s="62" t="str">
        <f t="shared" si="14"/>
        <v>하</v>
      </c>
      <c r="G503" s="63" t="s">
        <v>2668</v>
      </c>
      <c r="H503" s="63" t="s">
        <v>2674</v>
      </c>
      <c r="I503" s="199" t="s">
        <v>512</v>
      </c>
      <c r="J503" s="137" t="s">
        <v>4248</v>
      </c>
      <c r="K503" s="97"/>
      <c r="L503" s="139" t="s">
        <v>1492</v>
      </c>
      <c r="M503" s="98"/>
      <c r="N503" s="98"/>
      <c r="O503" s="98"/>
      <c r="P503" s="98"/>
      <c r="Q503" s="98"/>
      <c r="R503" s="98"/>
      <c r="S503" s="99"/>
      <c r="T503" s="98"/>
      <c r="U503" s="98"/>
      <c r="V503" s="98"/>
      <c r="W503" s="100" t="b">
        <v>0</v>
      </c>
      <c r="X503" s="100" t="b">
        <v>0</v>
      </c>
      <c r="Y503" s="101" t="b">
        <v>0</v>
      </c>
      <c r="Z503" s="96" t="s">
        <v>236</v>
      </c>
    </row>
    <row r="504" spans="1:26" ht="119.25" customHeight="1" outlineLevel="1">
      <c r="A504" s="58">
        <v>448</v>
      </c>
      <c r="B504" s="92" t="str">
        <f>[1]트램표준체크리스트!B779</f>
        <v>기계</v>
      </c>
      <c r="C504" s="92" t="s">
        <v>1411</v>
      </c>
      <c r="D504" s="93" t="str">
        <f>[1]트램표준체크리스트!F779</f>
        <v>폐열회수장치 설계 누락으로 막대한 냉난방 열손실 및 에너지효율등급 인증 불이익이 발생할 리스크를 검토하였는가?</v>
      </c>
      <c r="E504" s="93" t="s">
        <v>513</v>
      </c>
      <c r="F504" s="62" t="str">
        <f t="shared" si="14"/>
        <v>하</v>
      </c>
      <c r="G504" s="63" t="s">
        <v>2668</v>
      </c>
      <c r="H504" s="63" t="s">
        <v>2674</v>
      </c>
      <c r="I504" s="199" t="s">
        <v>514</v>
      </c>
      <c r="J504" s="137" t="s">
        <v>4248</v>
      </c>
      <c r="K504" s="97"/>
      <c r="L504" s="139" t="s">
        <v>1492</v>
      </c>
      <c r="M504" s="98"/>
      <c r="N504" s="98"/>
      <c r="O504" s="98"/>
      <c r="P504" s="98"/>
      <c r="Q504" s="98"/>
      <c r="R504" s="98"/>
      <c r="S504" s="99"/>
      <c r="T504" s="98"/>
      <c r="U504" s="98"/>
      <c r="V504" s="98"/>
      <c r="W504" s="100" t="b">
        <v>0</v>
      </c>
      <c r="X504" s="100" t="b">
        <v>0</v>
      </c>
      <c r="Y504" s="101" t="b">
        <v>0</v>
      </c>
      <c r="Z504" s="96" t="s">
        <v>507</v>
      </c>
    </row>
    <row r="505" spans="1:26" ht="119.25" customHeight="1" outlineLevel="1">
      <c r="A505" s="58">
        <v>449</v>
      </c>
      <c r="B505" s="92" t="str">
        <f>[1]트램표준체크리스트!B780</f>
        <v>기계</v>
      </c>
      <c r="C505" s="92" t="s">
        <v>1411</v>
      </c>
      <c r="D505" s="93" t="str">
        <f>[1]트램표준체크리스트!F780</f>
        <v>내식성 임펠러 및 방진장치 등 입찰안내서 사양 누락으로 기준 미달 저가 자재가 발주될 리스크를 검토하였는가?</v>
      </c>
      <c r="E505" s="93" t="s">
        <v>515</v>
      </c>
      <c r="F505" s="62" t="str">
        <f t="shared" si="14"/>
        <v>하</v>
      </c>
      <c r="G505" s="63" t="s">
        <v>2668</v>
      </c>
      <c r="H505" s="63" t="s">
        <v>2674</v>
      </c>
      <c r="I505" s="199" t="s">
        <v>516</v>
      </c>
      <c r="J505" s="137" t="s">
        <v>4248</v>
      </c>
      <c r="K505" s="97"/>
      <c r="L505" s="139" t="s">
        <v>1492</v>
      </c>
      <c r="M505" s="98"/>
      <c r="N505" s="98"/>
      <c r="O505" s="98"/>
      <c r="P505" s="98"/>
      <c r="Q505" s="98"/>
      <c r="R505" s="98"/>
      <c r="S505" s="99"/>
      <c r="T505" s="98"/>
      <c r="U505" s="98"/>
      <c r="V505" s="98"/>
      <c r="W505" s="100" t="b">
        <v>0</v>
      </c>
      <c r="X505" s="100" t="b">
        <v>0</v>
      </c>
      <c r="Y505" s="101" t="b">
        <v>0</v>
      </c>
      <c r="Z505" s="96" t="s">
        <v>507</v>
      </c>
    </row>
    <row r="506" spans="1:26" ht="119.25" customHeight="1" outlineLevel="1">
      <c r="A506" s="58">
        <v>450</v>
      </c>
      <c r="B506" s="92" t="str">
        <f>[1]트램표준체크리스트!B781</f>
        <v>기계</v>
      </c>
      <c r="C506" s="92" t="s">
        <v>1411</v>
      </c>
      <c r="D506" s="93" t="str">
        <f>[1]트램표준체크리스트!F781</f>
        <v>기계설비 원격제어 및 관제실 연동 접점(I/O) 설계 누락으로, 비상시 현장 설비 가동 컨트롤이 불가능해질 리스크를 검토하였는가?</v>
      </c>
      <c r="E506" s="93" t="s">
        <v>517</v>
      </c>
      <c r="F506" s="62" t="str">
        <f t="shared" si="14"/>
        <v>하</v>
      </c>
      <c r="G506" s="63" t="s">
        <v>2668</v>
      </c>
      <c r="H506" s="63" t="s">
        <v>2674</v>
      </c>
      <c r="I506" s="199" t="s">
        <v>518</v>
      </c>
      <c r="J506" s="137" t="s">
        <v>4248</v>
      </c>
      <c r="K506" s="97"/>
      <c r="L506" s="139" t="s">
        <v>1492</v>
      </c>
      <c r="M506" s="98"/>
      <c r="N506" s="98"/>
      <c r="O506" s="98"/>
      <c r="P506" s="98"/>
      <c r="Q506" s="98"/>
      <c r="R506" s="98"/>
      <c r="S506" s="99"/>
      <c r="T506" s="98"/>
      <c r="U506" s="98"/>
      <c r="V506" s="98"/>
      <c r="W506" s="100" t="b">
        <v>0</v>
      </c>
      <c r="X506" s="100" t="b">
        <v>0</v>
      </c>
      <c r="Y506" s="101" t="b">
        <v>0</v>
      </c>
      <c r="Z506" s="96" t="s">
        <v>236</v>
      </c>
    </row>
    <row r="507" spans="1:26" ht="119.25" customHeight="1" outlineLevel="1">
      <c r="A507" s="58">
        <v>451</v>
      </c>
      <c r="B507" s="92" t="str">
        <f>[1]트램표준체크리스트!B782</f>
        <v>기계</v>
      </c>
      <c r="C507" s="92" t="s">
        <v>1411</v>
      </c>
      <c r="D507" s="93" t="str">
        <f>[1]트램표준체크리스트!F782</f>
        <v>하수관로 통수능력 검토 누락으로 우기 시 배출 용량 초과에 따른 하수도 역류 및 주변 도로 침수를 유발할 리스크를 검토하였는가?</v>
      </c>
      <c r="E507" s="93" t="s">
        <v>519</v>
      </c>
      <c r="F507" s="94" t="str">
        <f t="shared" si="14"/>
        <v>하</v>
      </c>
      <c r="G507" s="63" t="s">
        <v>2668</v>
      </c>
      <c r="H507" s="63" t="s">
        <v>2674</v>
      </c>
      <c r="I507" s="199" t="s">
        <v>520</v>
      </c>
      <c r="J507" s="137" t="s">
        <v>4248</v>
      </c>
      <c r="K507" s="97"/>
      <c r="L507" s="139" t="s">
        <v>1492</v>
      </c>
      <c r="M507" s="98"/>
      <c r="N507" s="98"/>
      <c r="O507" s="98"/>
      <c r="P507" s="98"/>
      <c r="Q507" s="98"/>
      <c r="R507" s="98"/>
      <c r="S507" s="99"/>
      <c r="T507" s="98"/>
      <c r="U507" s="98"/>
      <c r="V507" s="98"/>
      <c r="W507" s="100" t="b">
        <v>0</v>
      </c>
      <c r="X507" s="100" t="b">
        <v>0</v>
      </c>
      <c r="Y507" s="101" t="b">
        <v>0</v>
      </c>
      <c r="Z507" s="96" t="s">
        <v>521</v>
      </c>
    </row>
    <row r="508" spans="1:26" ht="119.25" customHeight="1" outlineLevel="1">
      <c r="A508" s="58">
        <v>452</v>
      </c>
      <c r="B508" s="92" t="str">
        <f>[1]트램표준체크리스트!B783</f>
        <v>기계</v>
      </c>
      <c r="C508" s="92" t="s">
        <v>1411</v>
      </c>
      <c r="D508" s="93" t="str">
        <f>[1]트램표준체크리스트!F783</f>
        <v>배수펌프 설치 위치(바닥보다 50cm 낮음) 설계 누락으로 잔류수에 의한 악취 발생 및 펌프 공회전(Cavitation)이 유발될 리스크를 검토하였는가?</v>
      </c>
      <c r="E508" s="93" t="s">
        <v>522</v>
      </c>
      <c r="F508" s="94" t="str">
        <f t="shared" si="14"/>
        <v>하</v>
      </c>
      <c r="G508" s="63" t="s">
        <v>2668</v>
      </c>
      <c r="H508" s="63" t="s">
        <v>2674</v>
      </c>
      <c r="I508" s="199" t="s">
        <v>523</v>
      </c>
      <c r="J508" s="137" t="s">
        <v>4248</v>
      </c>
      <c r="K508" s="97"/>
      <c r="L508" s="139" t="s">
        <v>1492</v>
      </c>
      <c r="M508" s="98"/>
      <c r="N508" s="98"/>
      <c r="O508" s="98"/>
      <c r="P508" s="98"/>
      <c r="Q508" s="98"/>
      <c r="R508" s="98"/>
      <c r="S508" s="99"/>
      <c r="T508" s="98"/>
      <c r="U508" s="98"/>
      <c r="V508" s="98"/>
      <c r="W508" s="100" t="b">
        <v>0</v>
      </c>
      <c r="X508" s="100" t="b">
        <v>0</v>
      </c>
      <c r="Y508" s="101" t="b">
        <v>0</v>
      </c>
      <c r="Z508" s="96" t="s">
        <v>524</v>
      </c>
    </row>
    <row r="509" spans="1:26" ht="119.25" customHeight="1" outlineLevel="1">
      <c r="A509" s="58">
        <v>453</v>
      </c>
      <c r="B509" s="92" t="str">
        <f>[1]트램표준체크리스트!B784</f>
        <v>기계</v>
      </c>
      <c r="C509" s="92" t="s">
        <v>1411</v>
      </c>
      <c r="D509" s="93" t="str">
        <f>[1]트램표준체크리스트!F784</f>
        <v>펌프 '유입량 200% 처리' 및 '30분 내 배수용 예비펌프' 수량 기준 과소 반영으로 국지성 호우 시 지하차도 침수에 대처하지 못할 리스크를 검토하였는가?</v>
      </c>
      <c r="E509" s="93" t="s">
        <v>525</v>
      </c>
      <c r="F509" s="94" t="str">
        <f t="shared" si="14"/>
        <v>하</v>
      </c>
      <c r="G509" s="63" t="s">
        <v>2668</v>
      </c>
      <c r="H509" s="63" t="s">
        <v>2674</v>
      </c>
      <c r="I509" s="199" t="s">
        <v>526</v>
      </c>
      <c r="J509" s="137" t="s">
        <v>4248</v>
      </c>
      <c r="K509" s="97"/>
      <c r="L509" s="139" t="s">
        <v>1492</v>
      </c>
      <c r="M509" s="98"/>
      <c r="N509" s="98"/>
      <c r="O509" s="98"/>
      <c r="P509" s="98"/>
      <c r="Q509" s="98"/>
      <c r="R509" s="98"/>
      <c r="S509" s="99"/>
      <c r="T509" s="98"/>
      <c r="U509" s="98"/>
      <c r="V509" s="98"/>
      <c r="W509" s="100" t="b">
        <v>0</v>
      </c>
      <c r="X509" s="100" t="b">
        <v>0</v>
      </c>
      <c r="Y509" s="101" t="b">
        <v>0</v>
      </c>
      <c r="Z509" s="96" t="s">
        <v>527</v>
      </c>
    </row>
    <row r="510" spans="1:26" ht="119.25" customHeight="1" outlineLevel="1">
      <c r="A510" s="58">
        <v>454</v>
      </c>
      <c r="B510" s="92" t="str">
        <f>[1]트램표준체크리스트!B785</f>
        <v>기계</v>
      </c>
      <c r="C510" s="92" t="s">
        <v>1411</v>
      </c>
      <c r="D510" s="93" t="str">
        <f>[1]트램표준체크리스트!F785</f>
        <v>MCC반 기초 패드 높이 과소 설계로, 지하 침수 시 제어반이 수몰돼 배수펌프 가동이 전면 중단될 대형 수해 리스크를 검토하였는가?</v>
      </c>
      <c r="E510" s="93" t="s">
        <v>528</v>
      </c>
      <c r="F510" s="94" t="str">
        <f t="shared" si="14"/>
        <v>하</v>
      </c>
      <c r="G510" s="63" t="s">
        <v>2668</v>
      </c>
      <c r="H510" s="63" t="s">
        <v>2674</v>
      </c>
      <c r="I510" s="199" t="s">
        <v>529</v>
      </c>
      <c r="J510" s="137" t="s">
        <v>4248</v>
      </c>
      <c r="K510" s="97"/>
      <c r="L510" s="139" t="s">
        <v>1492</v>
      </c>
      <c r="M510" s="98"/>
      <c r="N510" s="98"/>
      <c r="O510" s="98"/>
      <c r="P510" s="98"/>
      <c r="Q510" s="98"/>
      <c r="R510" s="98"/>
      <c r="S510" s="99"/>
      <c r="T510" s="98"/>
      <c r="U510" s="98"/>
      <c r="V510" s="98"/>
      <c r="W510" s="100" t="b">
        <v>0</v>
      </c>
      <c r="X510" s="100" t="b">
        <v>0</v>
      </c>
      <c r="Y510" s="101" t="b">
        <v>0</v>
      </c>
      <c r="Z510" s="96" t="s">
        <v>476</v>
      </c>
    </row>
    <row r="511" spans="1:26" ht="119.25" customHeight="1" outlineLevel="1">
      <c r="A511" s="58">
        <v>455</v>
      </c>
      <c r="B511" s="92" t="str">
        <f>[1]트램표준체크리스트!B786</f>
        <v>기계</v>
      </c>
      <c r="C511" s="92" t="s">
        <v>1411</v>
      </c>
      <c r="D511" s="93" t="str">
        <f>[1]트램표준체크리스트!F786</f>
        <v>엘리베이터 MRL 규격 및 에스컬레이터 인버터(자동 감지운전) 설계 누락으로, 불필요한 기계실 면적 소요 및 상시 가동에 따른 전력 에너지 낭비가 발생할 리스크를 검토하였는가?</v>
      </c>
      <c r="E511" s="93" t="s">
        <v>530</v>
      </c>
      <c r="F511" s="94" t="str">
        <f t="shared" si="14"/>
        <v>하</v>
      </c>
      <c r="G511" s="63" t="s">
        <v>2668</v>
      </c>
      <c r="H511" s="63" t="s">
        <v>2674</v>
      </c>
      <c r="I511" s="199" t="s">
        <v>531</v>
      </c>
      <c r="J511" s="137" t="s">
        <v>4248</v>
      </c>
      <c r="K511" s="97"/>
      <c r="L511" s="139" t="s">
        <v>1492</v>
      </c>
      <c r="M511" s="98"/>
      <c r="N511" s="98"/>
      <c r="O511" s="98"/>
      <c r="P511" s="98"/>
      <c r="Q511" s="98"/>
      <c r="R511" s="98"/>
      <c r="S511" s="99"/>
      <c r="T511" s="98"/>
      <c r="U511" s="98"/>
      <c r="V511" s="98"/>
      <c r="W511" s="100" t="b">
        <v>0</v>
      </c>
      <c r="X511" s="100" t="b">
        <v>0</v>
      </c>
      <c r="Y511" s="101" t="b">
        <v>0</v>
      </c>
      <c r="Z511" s="96" t="s">
        <v>398</v>
      </c>
    </row>
    <row r="512" spans="1:26" ht="119.25" customHeight="1" outlineLevel="1">
      <c r="A512" s="58">
        <v>456</v>
      </c>
      <c r="B512" s="92" t="str">
        <f>[1]트램표준체크리스트!B787</f>
        <v>기계</v>
      </c>
      <c r="C512" s="92" t="s">
        <v>1411</v>
      </c>
      <c r="D512" s="93" t="str">
        <f>[1]트램표준체크리스트!F787</f>
        <v>특정 제작사 최소 규격 반영으로 향후 입찰 시 타 모델 반입이 불가하거나 구조물 파쇄·재시공이 발생할 리스크를 검토하였는가?</v>
      </c>
      <c r="E512" s="93" t="s">
        <v>228</v>
      </c>
      <c r="F512" s="94" t="str">
        <f t="shared" si="14"/>
        <v>하</v>
      </c>
      <c r="G512" s="63" t="s">
        <v>2668</v>
      </c>
      <c r="H512" s="63" t="s">
        <v>2674</v>
      </c>
      <c r="I512" s="199" t="s">
        <v>545</v>
      </c>
      <c r="J512" s="137" t="s">
        <v>4248</v>
      </c>
      <c r="K512" s="97"/>
      <c r="L512" s="139" t="s">
        <v>1492</v>
      </c>
      <c r="M512" s="98"/>
      <c r="N512" s="98"/>
      <c r="O512" s="98"/>
      <c r="P512" s="98"/>
      <c r="Q512" s="98"/>
      <c r="R512" s="98"/>
      <c r="S512" s="99"/>
      <c r="T512" s="98"/>
      <c r="U512" s="98"/>
      <c r="V512" s="98"/>
      <c r="W512" s="100" t="b">
        <v>0</v>
      </c>
      <c r="X512" s="100" t="b">
        <v>0</v>
      </c>
      <c r="Y512" s="101" t="b">
        <v>0</v>
      </c>
      <c r="Z512" s="96" t="s">
        <v>228</v>
      </c>
    </row>
    <row r="513" spans="1:26" ht="119.25" customHeight="1" outlineLevel="1">
      <c r="A513" s="58">
        <v>457</v>
      </c>
      <c r="B513" s="92" t="str">
        <f>[1]트램표준체크리스트!B788</f>
        <v>기계</v>
      </c>
      <c r="C513" s="92" t="s">
        <v>1411</v>
      </c>
      <c r="D513" s="93" t="str">
        <f>[1]트램표준체크리스트!F788</f>
        <v>화재수신반 연동 및 구획별 배연모드 전환 로직 누락으로 화재 시 유독가스 배출 지연 및 승객 대피 장애를 유발할 리스크를 검토하였는가?</v>
      </c>
      <c r="E513" s="93" t="s">
        <v>228</v>
      </c>
      <c r="F513" s="94" t="str">
        <f t="shared" si="14"/>
        <v>하</v>
      </c>
      <c r="G513" s="63" t="s">
        <v>2668</v>
      </c>
      <c r="H513" s="63" t="s">
        <v>2674</v>
      </c>
      <c r="I513" s="199" t="s">
        <v>546</v>
      </c>
      <c r="J513" s="137" t="s">
        <v>4248</v>
      </c>
      <c r="K513" s="97"/>
      <c r="L513" s="139" t="s">
        <v>1492</v>
      </c>
      <c r="M513" s="98"/>
      <c r="N513" s="98"/>
      <c r="O513" s="98"/>
      <c r="P513" s="98"/>
      <c r="Q513" s="98"/>
      <c r="R513" s="98"/>
      <c r="S513" s="99"/>
      <c r="T513" s="98"/>
      <c r="U513" s="98"/>
      <c r="V513" s="98"/>
      <c r="W513" s="100" t="b">
        <v>0</v>
      </c>
      <c r="X513" s="100" t="b">
        <v>0</v>
      </c>
      <c r="Y513" s="101" t="b">
        <v>0</v>
      </c>
      <c r="Z513" s="96" t="s">
        <v>228</v>
      </c>
    </row>
    <row r="514" spans="1:26" ht="119.25" customHeight="1" outlineLevel="1">
      <c r="A514" s="58">
        <v>458</v>
      </c>
      <c r="B514" s="92" t="str">
        <f>[1]트램표준체크리스트!B789</f>
        <v>기계</v>
      </c>
      <c r="C514" s="92" t="s">
        <v>1411</v>
      </c>
      <c r="D514" s="93" t="str">
        <f>[1]트램표준체크리스트!F789</f>
        <v>배수펌프 용량 30분 내 배수 기준 미달 및 교번·동시 운전 로직 누락으로, 집중호우 시 지하차도나 정거장 궤도가 침수될 대형 재해 리스크를 검토하였는가?</v>
      </c>
      <c r="E514" s="93" t="s">
        <v>550</v>
      </c>
      <c r="F514" s="94" t="str">
        <f t="shared" si="14"/>
        <v>하</v>
      </c>
      <c r="G514" s="63" t="s">
        <v>2668</v>
      </c>
      <c r="H514" s="63" t="s">
        <v>2674</v>
      </c>
      <c r="I514" s="199" t="s">
        <v>551</v>
      </c>
      <c r="J514" s="137" t="s">
        <v>4248</v>
      </c>
      <c r="K514" s="97"/>
      <c r="L514" s="139" t="s">
        <v>1492</v>
      </c>
      <c r="M514" s="98"/>
      <c r="N514" s="98"/>
      <c r="O514" s="98"/>
      <c r="P514" s="98"/>
      <c r="Q514" s="98"/>
      <c r="R514" s="98"/>
      <c r="S514" s="99"/>
      <c r="T514" s="98"/>
      <c r="U514" s="98"/>
      <c r="V514" s="98"/>
      <c r="W514" s="100" t="b">
        <v>0</v>
      </c>
      <c r="X514" s="100" t="b">
        <v>0</v>
      </c>
      <c r="Y514" s="101" t="b">
        <v>0</v>
      </c>
      <c r="Z514" s="96" t="s">
        <v>552</v>
      </c>
    </row>
    <row r="515" spans="1:26" ht="119.25" customHeight="1" outlineLevel="1">
      <c r="A515" s="58">
        <v>459</v>
      </c>
      <c r="B515" s="92" t="str">
        <f>[1]트램표준체크리스트!B790</f>
        <v>기계</v>
      </c>
      <c r="C515" s="92" t="s">
        <v>1411</v>
      </c>
      <c r="D515" s="93" t="str">
        <f>[1]트램표준체크리스트!F790</f>
        <v>통신 분야와의 CCTV 영상 전송 인터페이스 누락 및 장비 스펙 불일치로, 갇힘 등 비상 상황 시 관제실의 즉각적 인지·초동 대처가 지연될 방재 리스크를 검토하였는가?</v>
      </c>
      <c r="E515" s="93" t="s">
        <v>564</v>
      </c>
      <c r="F515" s="94" t="str">
        <f t="shared" si="14"/>
        <v>하</v>
      </c>
      <c r="G515" s="63" t="s">
        <v>2668</v>
      </c>
      <c r="H515" s="63" t="s">
        <v>2674</v>
      </c>
      <c r="I515" s="199" t="s">
        <v>565</v>
      </c>
      <c r="J515" s="137" t="s">
        <v>4248</v>
      </c>
      <c r="K515" s="97"/>
      <c r="L515" s="139" t="s">
        <v>1492</v>
      </c>
      <c r="M515" s="98"/>
      <c r="N515" s="98"/>
      <c r="O515" s="98"/>
      <c r="P515" s="98"/>
      <c r="Q515" s="98"/>
      <c r="R515" s="98"/>
      <c r="S515" s="99"/>
      <c r="T515" s="98"/>
      <c r="U515" s="98"/>
      <c r="V515" s="98"/>
      <c r="W515" s="100" t="b">
        <v>0</v>
      </c>
      <c r="X515" s="100" t="b">
        <v>0</v>
      </c>
      <c r="Y515" s="101" t="b">
        <v>0</v>
      </c>
      <c r="Z515" s="96" t="s">
        <v>228</v>
      </c>
    </row>
    <row r="516" spans="1:26" ht="119.25" customHeight="1" outlineLevel="1">
      <c r="A516" s="58">
        <v>460</v>
      </c>
      <c r="B516" s="92" t="str">
        <f>[1]트램표준체크리스트!B791</f>
        <v>기계</v>
      </c>
      <c r="C516" s="92" t="s">
        <v>1411</v>
      </c>
      <c r="D516" s="93" t="str">
        <f>[1]트램표준체크리스트!F791</f>
        <v>흡입관 단차 및 사수(Dead Water) 방지 대책 누락으로 화재 시 소화용수 고갈 및 평상시 생활용수가 오염될 리스크를 검토하였는가?</v>
      </c>
      <c r="E516" s="93" t="s">
        <v>568</v>
      </c>
      <c r="F516" s="94" t="str">
        <f t="shared" si="14"/>
        <v>하</v>
      </c>
      <c r="G516" s="63" t="s">
        <v>2668</v>
      </c>
      <c r="H516" s="63" t="s">
        <v>2674</v>
      </c>
      <c r="I516" s="199" t="s">
        <v>569</v>
      </c>
      <c r="J516" s="137" t="s">
        <v>4248</v>
      </c>
      <c r="K516" s="97"/>
      <c r="L516" s="139" t="s">
        <v>1492</v>
      </c>
      <c r="M516" s="98"/>
      <c r="N516" s="98"/>
      <c r="O516" s="98"/>
      <c r="P516" s="98"/>
      <c r="Q516" s="98"/>
      <c r="R516" s="98"/>
      <c r="S516" s="99"/>
      <c r="T516" s="98"/>
      <c r="U516" s="98"/>
      <c r="V516" s="98"/>
      <c r="W516" s="100" t="b">
        <v>0</v>
      </c>
      <c r="X516" s="100" t="b">
        <v>0</v>
      </c>
      <c r="Y516" s="101" t="b">
        <v>0</v>
      </c>
      <c r="Z516" s="96" t="s">
        <v>570</v>
      </c>
    </row>
    <row r="517" spans="1:26" ht="119.25" customHeight="1" outlineLevel="1">
      <c r="A517" s="58">
        <v>461</v>
      </c>
      <c r="B517" s="92" t="str">
        <f>[1]트램표준체크리스트!B792</f>
        <v>기계</v>
      </c>
      <c r="C517" s="92" t="s">
        <v>1411</v>
      </c>
      <c r="D517" s="93" t="str">
        <f>[1]트램표준체크리스트!F792</f>
        <v>가열흡착식 제습 장비 누락으로 겨울철 옥외·비난방 구역 공압 라인이 전면 동파될 리스크를 검토하였는가?</v>
      </c>
      <c r="E517" s="93" t="s">
        <v>571</v>
      </c>
      <c r="F517" s="94" t="str">
        <f t="shared" si="14"/>
        <v>하</v>
      </c>
      <c r="G517" s="63" t="s">
        <v>2668</v>
      </c>
      <c r="H517" s="63" t="s">
        <v>2674</v>
      </c>
      <c r="I517" s="199" t="s">
        <v>572</v>
      </c>
      <c r="J517" s="137" t="s">
        <v>4248</v>
      </c>
      <c r="K517" s="97"/>
      <c r="L517" s="139" t="s">
        <v>1492</v>
      </c>
      <c r="M517" s="98"/>
      <c r="N517" s="98"/>
      <c r="O517" s="98"/>
      <c r="P517" s="98"/>
      <c r="Q517" s="98"/>
      <c r="R517" s="98"/>
      <c r="S517" s="99"/>
      <c r="T517" s="98"/>
      <c r="U517" s="98"/>
      <c r="V517" s="98"/>
      <c r="W517" s="100" t="b">
        <v>0</v>
      </c>
      <c r="X517" s="100" t="b">
        <v>0</v>
      </c>
      <c r="Y517" s="101" t="b">
        <v>0</v>
      </c>
      <c r="Z517" s="96" t="s">
        <v>228</v>
      </c>
    </row>
    <row r="518" spans="1:26" ht="119.25" customHeight="1" outlineLevel="1">
      <c r="A518" s="58">
        <v>462</v>
      </c>
      <c r="B518" s="92" t="str">
        <f>[1]트램표준체크리스트!B793</f>
        <v>기계</v>
      </c>
      <c r="C518" s="92" t="s">
        <v>1411</v>
      </c>
      <c r="D518" s="93" t="str">
        <f>[1]트램표준체크리스트!F793</f>
        <v>QRA 및 3D 제연 시뮬레이션 생략으로 비상시 배연 풍속 부족 및 피난로 연기 확산이 발생할 리스크를 검토하였는가?</v>
      </c>
      <c r="E518" s="93" t="s">
        <v>577</v>
      </c>
      <c r="F518" s="94" t="str">
        <f t="shared" si="14"/>
        <v>하</v>
      </c>
      <c r="G518" s="63" t="s">
        <v>2668</v>
      </c>
      <c r="H518" s="63" t="s">
        <v>2674</v>
      </c>
      <c r="I518" s="199" t="s">
        <v>578</v>
      </c>
      <c r="J518" s="137" t="s">
        <v>4248</v>
      </c>
      <c r="K518" s="97"/>
      <c r="L518" s="139" t="s">
        <v>1492</v>
      </c>
      <c r="M518" s="98"/>
      <c r="N518" s="98"/>
      <c r="O518" s="98"/>
      <c r="P518" s="98"/>
      <c r="Q518" s="98"/>
      <c r="R518" s="98"/>
      <c r="S518" s="99"/>
      <c r="T518" s="98"/>
      <c r="U518" s="98"/>
      <c r="V518" s="98"/>
      <c r="W518" s="100" t="b">
        <v>0</v>
      </c>
      <c r="X518" s="100" t="b">
        <v>0</v>
      </c>
      <c r="Y518" s="101" t="b">
        <v>0</v>
      </c>
      <c r="Z518" s="96" t="s">
        <v>579</v>
      </c>
    </row>
    <row r="519" spans="1:26" ht="119.25" customHeight="1" outlineLevel="1">
      <c r="A519" s="58">
        <v>463</v>
      </c>
      <c r="B519" s="92" t="str">
        <f>[1]트램표준체크리스트!B794</f>
        <v>기계</v>
      </c>
      <c r="C519" s="92" t="s">
        <v>1411</v>
      </c>
      <c r="D519" s="93" t="str">
        <f>[1]트램표준체크리스트!F794</f>
        <v>펌프 2대 교번 및 동시운전 제어 로직 누락으로 특정 펌프 수명이 단축되거나 우기 배수 용량 부족으로 침수가 발생할 리스크를 검토하였는가?</v>
      </c>
      <c r="E519" s="93" t="s">
        <v>583</v>
      </c>
      <c r="F519" s="94" t="str">
        <f t="shared" si="14"/>
        <v>하</v>
      </c>
      <c r="G519" s="63" t="s">
        <v>2668</v>
      </c>
      <c r="H519" s="63" t="s">
        <v>2674</v>
      </c>
      <c r="I519" s="199" t="s">
        <v>584</v>
      </c>
      <c r="J519" s="137" t="s">
        <v>4248</v>
      </c>
      <c r="K519" s="97"/>
      <c r="L519" s="139" t="s">
        <v>1492</v>
      </c>
      <c r="M519" s="98"/>
      <c r="N519" s="98"/>
      <c r="O519" s="98"/>
      <c r="P519" s="98"/>
      <c r="Q519" s="98"/>
      <c r="R519" s="98"/>
      <c r="S519" s="99"/>
      <c r="T519" s="98"/>
      <c r="U519" s="98"/>
      <c r="V519" s="98"/>
      <c r="W519" s="100" t="b">
        <v>0</v>
      </c>
      <c r="X519" s="100" t="b">
        <v>0</v>
      </c>
      <c r="Y519" s="101" t="b">
        <v>0</v>
      </c>
      <c r="Z519" s="96" t="s">
        <v>585</v>
      </c>
    </row>
    <row r="520" spans="1:26" ht="119.25" customHeight="1" outlineLevel="1">
      <c r="A520" s="58">
        <v>464</v>
      </c>
      <c r="B520" s="92" t="str">
        <f>[1]트램표준체크리스트!B795</f>
        <v>기계</v>
      </c>
      <c r="C520" s="92" t="s">
        <v>1411</v>
      </c>
      <c r="D520" s="93" t="str">
        <f>[1]트램표준체크리스트!F795</f>
        <v>엘리베이터 내부 CCTV·상태 정보 관제 연동 누락 및 통신 라이선스 미반영으로, 비상·고장 시 중앙 관제실의 승객 안전 확인 및 신속 대응이 불가할 리스크를 검토하였는가?</v>
      </c>
      <c r="E520" s="93" t="s">
        <v>586</v>
      </c>
      <c r="F520" s="94" t="str">
        <f t="shared" si="14"/>
        <v>하</v>
      </c>
      <c r="G520" s="63" t="s">
        <v>2668</v>
      </c>
      <c r="H520" s="63" t="s">
        <v>2674</v>
      </c>
      <c r="I520" s="199" t="s">
        <v>587</v>
      </c>
      <c r="J520" s="137" t="s">
        <v>4248</v>
      </c>
      <c r="K520" s="97"/>
      <c r="L520" s="139" t="s">
        <v>1492</v>
      </c>
      <c r="M520" s="98"/>
      <c r="N520" s="98"/>
      <c r="O520" s="98"/>
      <c r="P520" s="98"/>
      <c r="Q520" s="98"/>
      <c r="R520" s="98"/>
      <c r="S520" s="99"/>
      <c r="T520" s="98"/>
      <c r="U520" s="98"/>
      <c r="V520" s="98"/>
      <c r="W520" s="100" t="b">
        <v>0</v>
      </c>
      <c r="X520" s="100" t="b">
        <v>0</v>
      </c>
      <c r="Y520" s="101" t="b">
        <v>0</v>
      </c>
      <c r="Z520" s="96" t="s">
        <v>588</v>
      </c>
    </row>
    <row r="521" spans="1:26" ht="119.25" customHeight="1" outlineLevel="1">
      <c r="A521" s="58">
        <v>465</v>
      </c>
      <c r="B521" s="92" t="str">
        <f>[1]트램표준체크리스트!B796</f>
        <v>기계</v>
      </c>
      <c r="C521" s="92" t="s">
        <v>1411</v>
      </c>
      <c r="D521" s="93" t="str">
        <f>[1]트램표준체크리스트!F796</f>
        <v>라돈 배출 전용 자동환기 로직 및 지상 배출 덕트 설계 누락으로 실내공기질 악화 및 승객·근무자 건강을 위협할 리스크를 검토하였는가?</v>
      </c>
      <c r="E521" s="93" t="s">
        <v>595</v>
      </c>
      <c r="F521" s="94" t="str">
        <f t="shared" si="14"/>
        <v>하</v>
      </c>
      <c r="G521" s="63" t="s">
        <v>2668</v>
      </c>
      <c r="H521" s="63" t="s">
        <v>2674</v>
      </c>
      <c r="I521" s="199" t="s">
        <v>596</v>
      </c>
      <c r="J521" s="137" t="s">
        <v>4248</v>
      </c>
      <c r="K521" s="97"/>
      <c r="L521" s="139" t="s">
        <v>1492</v>
      </c>
      <c r="M521" s="98"/>
      <c r="N521" s="98"/>
      <c r="O521" s="98"/>
      <c r="P521" s="98"/>
      <c r="Q521" s="98"/>
      <c r="R521" s="98"/>
      <c r="S521" s="99"/>
      <c r="T521" s="98"/>
      <c r="U521" s="98"/>
      <c r="V521" s="98"/>
      <c r="W521" s="100" t="b">
        <v>0</v>
      </c>
      <c r="X521" s="100" t="b">
        <v>0</v>
      </c>
      <c r="Y521" s="101" t="b">
        <v>0</v>
      </c>
      <c r="Z521" s="96" t="s">
        <v>597</v>
      </c>
    </row>
    <row r="522" spans="1:26" ht="119.25" customHeight="1" outlineLevel="1">
      <c r="A522" s="58">
        <v>466</v>
      </c>
      <c r="B522" s="92" t="str">
        <f>[1]트램표준체크리스트!B797</f>
        <v>기계</v>
      </c>
      <c r="C522" s="92" t="s">
        <v>1411</v>
      </c>
      <c r="D522" s="93" t="str">
        <f>[1]트램표준체크리스트!F797</f>
        <v>종합 관제실 연계 모니터링 및 중요 경보(팝업, 경광등) 로직 누락으로, 무인 운영 시 설비 고장·침수를 즉각 인지하지 못할 방재 리스크를 검토하였는가?</v>
      </c>
      <c r="E522" s="93" t="s">
        <v>598</v>
      </c>
      <c r="F522" s="94" t="str">
        <f t="shared" si="14"/>
        <v>하</v>
      </c>
      <c r="G522" s="63" t="s">
        <v>2668</v>
      </c>
      <c r="H522" s="63" t="s">
        <v>2674</v>
      </c>
      <c r="I522" s="199" t="s">
        <v>599</v>
      </c>
      <c r="J522" s="137" t="s">
        <v>4248</v>
      </c>
      <c r="K522" s="97"/>
      <c r="L522" s="139" t="s">
        <v>1492</v>
      </c>
      <c r="M522" s="98"/>
      <c r="N522" s="98"/>
      <c r="O522" s="98"/>
      <c r="P522" s="98"/>
      <c r="Q522" s="98"/>
      <c r="R522" s="98"/>
      <c r="S522" s="99"/>
      <c r="T522" s="98"/>
      <c r="U522" s="98"/>
      <c r="V522" s="98"/>
      <c r="W522" s="100" t="b">
        <v>0</v>
      </c>
      <c r="X522" s="100" t="b">
        <v>0</v>
      </c>
      <c r="Y522" s="101" t="b">
        <v>0</v>
      </c>
      <c r="Z522" s="96" t="s">
        <v>600</v>
      </c>
    </row>
    <row r="523" spans="1:26" ht="119.25" customHeight="1" outlineLevel="1">
      <c r="A523" s="58">
        <v>467</v>
      </c>
      <c r="B523" s="92" t="str">
        <f>[1]트램표준체크리스트!B798</f>
        <v>기계</v>
      </c>
      <c r="C523" s="92" t="s">
        <v>1411</v>
      </c>
      <c r="D523" s="93" t="str">
        <f>[1]트램표준체크리스트!F798</f>
        <v>고온 내열 조건(250℃, 1시간 이상) 누락에 따른 일반 송풍기 적용으로, 화재 시 배연팬이 조기 고장날 방재 리스크를 검토하였는가?</v>
      </c>
      <c r="E523" s="93" t="s">
        <v>604</v>
      </c>
      <c r="F523" s="94" t="str">
        <f t="shared" si="14"/>
        <v>하</v>
      </c>
      <c r="G523" s="63" t="s">
        <v>2668</v>
      </c>
      <c r="H523" s="63" t="s">
        <v>2674</v>
      </c>
      <c r="I523" s="199" t="s">
        <v>605</v>
      </c>
      <c r="J523" s="137" t="s">
        <v>4248</v>
      </c>
      <c r="K523" s="97"/>
      <c r="L523" s="139" t="s">
        <v>1492</v>
      </c>
      <c r="M523" s="98"/>
      <c r="N523" s="98"/>
      <c r="O523" s="98"/>
      <c r="P523" s="98"/>
      <c r="Q523" s="98"/>
      <c r="R523" s="98"/>
      <c r="S523" s="99"/>
      <c r="T523" s="98"/>
      <c r="U523" s="98"/>
      <c r="V523" s="98"/>
      <c r="W523" s="100" t="b">
        <v>0</v>
      </c>
      <c r="X523" s="100" t="b">
        <v>0</v>
      </c>
      <c r="Y523" s="101" t="b">
        <v>0</v>
      </c>
      <c r="Z523" s="96" t="s">
        <v>606</v>
      </c>
    </row>
    <row r="524" spans="1:26" ht="119.25" customHeight="1" outlineLevel="1">
      <c r="A524" s="58">
        <v>468</v>
      </c>
      <c r="B524" s="92" t="str">
        <f>[1]트램표준체크리스트!B799</f>
        <v>기계</v>
      </c>
      <c r="C524" s="92" t="s">
        <v>1411</v>
      </c>
      <c r="D524" s="93" t="str">
        <f>[1]트램표준체크리스트!F799</f>
        <v>독립 냉방 및 제1종 기계환기 시스템 누락으로 하절기 전력 제어 장비가 셧다운될 리스크를 검토하였는가?</v>
      </c>
      <c r="E524" s="93" t="s">
        <v>607</v>
      </c>
      <c r="F524" s="94" t="str">
        <f t="shared" si="14"/>
        <v>하</v>
      </c>
      <c r="G524" s="63" t="s">
        <v>2668</v>
      </c>
      <c r="H524" s="63" t="s">
        <v>2674</v>
      </c>
      <c r="I524" s="199" t="s">
        <v>608</v>
      </c>
      <c r="J524" s="137" t="s">
        <v>4248</v>
      </c>
      <c r="K524" s="97"/>
      <c r="L524" s="139" t="s">
        <v>1492</v>
      </c>
      <c r="M524" s="98"/>
      <c r="N524" s="98"/>
      <c r="O524" s="98"/>
      <c r="P524" s="98"/>
      <c r="Q524" s="98"/>
      <c r="R524" s="98"/>
      <c r="S524" s="99"/>
      <c r="T524" s="98"/>
      <c r="U524" s="98"/>
      <c r="V524" s="98"/>
      <c r="W524" s="100" t="b">
        <v>0</v>
      </c>
      <c r="X524" s="100" t="b">
        <v>0</v>
      </c>
      <c r="Y524" s="101" t="b">
        <v>0</v>
      </c>
      <c r="Z524" s="96" t="s">
        <v>609</v>
      </c>
    </row>
    <row r="525" spans="1:26" ht="119.25" customHeight="1" outlineLevel="1">
      <c r="A525" s="58">
        <v>469</v>
      </c>
      <c r="B525" s="92" t="str">
        <f>[1]트램표준체크리스트!B800</f>
        <v>기계</v>
      </c>
      <c r="C525" s="92" t="s">
        <v>1411</v>
      </c>
      <c r="D525" s="93" t="str">
        <f>[1]트램표준체크리스트!F800</f>
        <v>악취 구역 음압 유지 누락 및 단순 자연환기 설계로, 오폐수 악취가 대합실·휴게 공간으로 광범위하게 확산될 환경·민원 리스크를 검토하였는가?</v>
      </c>
      <c r="E525" s="93" t="s">
        <v>613</v>
      </c>
      <c r="F525" s="94" t="str">
        <f t="shared" si="14"/>
        <v>하</v>
      </c>
      <c r="G525" s="63" t="s">
        <v>2668</v>
      </c>
      <c r="H525" s="63" t="s">
        <v>2674</v>
      </c>
      <c r="I525" s="199" t="s">
        <v>614</v>
      </c>
      <c r="J525" s="137" t="s">
        <v>4248</v>
      </c>
      <c r="K525" s="97"/>
      <c r="L525" s="139" t="s">
        <v>1492</v>
      </c>
      <c r="M525" s="98"/>
      <c r="N525" s="98"/>
      <c r="O525" s="98"/>
      <c r="P525" s="98"/>
      <c r="Q525" s="98"/>
      <c r="R525" s="98"/>
      <c r="S525" s="99"/>
      <c r="T525" s="98"/>
      <c r="U525" s="98"/>
      <c r="V525" s="98"/>
      <c r="W525" s="100" t="b">
        <v>0</v>
      </c>
      <c r="X525" s="100" t="b">
        <v>0</v>
      </c>
      <c r="Y525" s="101" t="b">
        <v>0</v>
      </c>
      <c r="Z525" s="96" t="s">
        <v>615</v>
      </c>
    </row>
    <row r="526" spans="1:26" ht="119.25" customHeight="1">
      <c r="A526" s="58">
        <v>470</v>
      </c>
      <c r="B526" s="92" t="str">
        <f>[1]트램표준체크리스트!B801</f>
        <v>기계</v>
      </c>
      <c r="C526" s="92" t="s">
        <v>1411</v>
      </c>
      <c r="D526" s="93" t="str">
        <f>[1]트램표준체크리스트!F801</f>
        <v>배기구 역류방지댐퍼 설계 누락으로, 동절기 가동 중지 시 외부 냉기 유입에 따른 심각한 난방 에너지 손실 및 덕트 표면 결로수 적하 리스크를 검토하였는가?</v>
      </c>
      <c r="E526" s="93" t="s">
        <v>616</v>
      </c>
      <c r="F526" s="94" t="str">
        <f t="shared" si="14"/>
        <v>하</v>
      </c>
      <c r="G526" s="63" t="s">
        <v>2668</v>
      </c>
      <c r="H526" s="63" t="s">
        <v>2674</v>
      </c>
      <c r="I526" s="199" t="s">
        <v>617</v>
      </c>
      <c r="J526" s="137" t="s">
        <v>4248</v>
      </c>
      <c r="K526" s="97"/>
      <c r="L526" s="139" t="s">
        <v>1492</v>
      </c>
      <c r="M526" s="98"/>
      <c r="N526" s="98"/>
      <c r="O526" s="98"/>
      <c r="P526" s="98"/>
      <c r="Q526" s="98"/>
      <c r="R526" s="98"/>
      <c r="S526" s="99"/>
      <c r="T526" s="98"/>
      <c r="U526" s="98"/>
      <c r="V526" s="98"/>
      <c r="W526" s="100" t="b">
        <v>0</v>
      </c>
      <c r="X526" s="100" t="b">
        <v>0</v>
      </c>
      <c r="Y526" s="101" t="b">
        <v>0</v>
      </c>
      <c r="Z526" s="96" t="s">
        <v>618</v>
      </c>
    </row>
    <row r="527" spans="1:26" ht="119.25" customHeight="1">
      <c r="A527" s="58">
        <v>471</v>
      </c>
      <c r="B527" s="92" t="str">
        <f>[1]트램표준체크리스트!B802</f>
        <v>기계</v>
      </c>
      <c r="C527" s="92" t="s">
        <v>1411</v>
      </c>
      <c r="D527" s="93" t="str">
        <f>[1]트램표준체크리스트!F802</f>
        <v>공인 T.A.B 계획 및 조정용 댐퍼(VD) 누락으로, 시공 후 공기질 불균형·과냉난방 시 기술적 보정이 불가할 리스크를 검토하였는가?</v>
      </c>
      <c r="E527" s="93" t="s">
        <v>619</v>
      </c>
      <c r="F527" s="94" t="str">
        <f t="shared" si="14"/>
        <v>하</v>
      </c>
      <c r="G527" s="63" t="s">
        <v>2668</v>
      </c>
      <c r="H527" s="63" t="s">
        <v>2674</v>
      </c>
      <c r="I527" s="199" t="s">
        <v>620</v>
      </c>
      <c r="J527" s="137" t="s">
        <v>4248</v>
      </c>
      <c r="K527" s="97"/>
      <c r="L527" s="139" t="s">
        <v>1492</v>
      </c>
      <c r="M527" s="98"/>
      <c r="N527" s="98"/>
      <c r="O527" s="98"/>
      <c r="P527" s="98"/>
      <c r="Q527" s="98"/>
      <c r="R527" s="98"/>
      <c r="S527" s="99"/>
      <c r="T527" s="98"/>
      <c r="U527" s="98"/>
      <c r="V527" s="98"/>
      <c r="W527" s="100" t="b">
        <v>0</v>
      </c>
      <c r="X527" s="100" t="b">
        <v>0</v>
      </c>
      <c r="Y527" s="101" t="b">
        <v>0</v>
      </c>
      <c r="Z527" s="96" t="s">
        <v>621</v>
      </c>
    </row>
    <row r="528" spans="1:26" ht="119.25" customHeight="1">
      <c r="A528" s="58">
        <v>472</v>
      </c>
      <c r="B528" s="92" t="str">
        <f>[1]트램표준체크리스트!B803</f>
        <v>기계</v>
      </c>
      <c r="C528" s="92" t="s">
        <v>1411</v>
      </c>
      <c r="D528" s="93" t="str">
        <f>[1]트램표준체크리스트!F803</f>
        <v>라돈 가스 지상부 배출 대책 및 농도 연동 자동환기 로직 누락으로 승객·작업자가 유해 방사능에 지속 노출될 환경 보건 리스크를 검토하였는가?</v>
      </c>
      <c r="E528" s="93" t="s">
        <v>625</v>
      </c>
      <c r="F528" s="94" t="str">
        <f t="shared" si="14"/>
        <v>하</v>
      </c>
      <c r="G528" s="63" t="s">
        <v>2668</v>
      </c>
      <c r="H528" s="63" t="s">
        <v>2674</v>
      </c>
      <c r="I528" s="199" t="s">
        <v>626</v>
      </c>
      <c r="J528" s="137" t="s">
        <v>4248</v>
      </c>
      <c r="K528" s="97"/>
      <c r="L528" s="139" t="s">
        <v>1492</v>
      </c>
      <c r="M528" s="98"/>
      <c r="N528" s="98"/>
      <c r="O528" s="98"/>
      <c r="P528" s="98"/>
      <c r="Q528" s="98"/>
      <c r="R528" s="98"/>
      <c r="S528" s="99"/>
      <c r="T528" s="98"/>
      <c r="U528" s="98"/>
      <c r="V528" s="98"/>
      <c r="W528" s="100" t="b">
        <v>0</v>
      </c>
      <c r="X528" s="100" t="b">
        <v>0</v>
      </c>
      <c r="Y528" s="101" t="b">
        <v>0</v>
      </c>
      <c r="Z528" s="96" t="s">
        <v>627</v>
      </c>
    </row>
    <row r="529" spans="1:46" ht="119.25" customHeight="1">
      <c r="A529" s="58">
        <v>473</v>
      </c>
      <c r="B529" s="80" t="s">
        <v>1460</v>
      </c>
      <c r="C529" s="80" t="s">
        <v>2019</v>
      </c>
      <c r="D529" s="60" t="s">
        <v>2084</v>
      </c>
      <c r="E529" s="60" t="s">
        <v>853</v>
      </c>
      <c r="F529" s="94" t="str">
        <f t="shared" si="14"/>
        <v>하</v>
      </c>
      <c r="G529" s="63" t="s">
        <v>2668</v>
      </c>
      <c r="H529" s="63" t="s">
        <v>2674</v>
      </c>
      <c r="I529" s="190" t="s">
        <v>854</v>
      </c>
      <c r="J529" s="137" t="s">
        <v>4248</v>
      </c>
      <c r="K529" s="79"/>
      <c r="L529" s="137" t="s">
        <v>1492</v>
      </c>
      <c r="M529" s="67"/>
      <c r="N529" s="67"/>
      <c r="O529" s="67"/>
      <c r="P529" s="67"/>
      <c r="Q529" s="67"/>
      <c r="R529" s="67"/>
      <c r="S529" s="81" t="s">
        <v>1418</v>
      </c>
      <c r="T529" s="67"/>
      <c r="U529" s="67"/>
      <c r="V529" s="67"/>
      <c r="W529" s="88" t="b">
        <v>0</v>
      </c>
      <c r="X529" s="88" t="b">
        <v>0</v>
      </c>
      <c r="Y529" s="89" t="b">
        <v>1</v>
      </c>
      <c r="Z529" s="73" t="s">
        <v>855</v>
      </c>
    </row>
    <row r="530" spans="1:46" ht="119.25" customHeight="1">
      <c r="A530" s="58">
        <v>474</v>
      </c>
      <c r="B530" s="80" t="s">
        <v>1460</v>
      </c>
      <c r="C530" s="80" t="s">
        <v>2019</v>
      </c>
      <c r="D530" s="60" t="s">
        <v>2085</v>
      </c>
      <c r="E530" s="60" t="s">
        <v>856</v>
      </c>
      <c r="F530" s="94" t="str">
        <f t="shared" si="14"/>
        <v>하</v>
      </c>
      <c r="G530" s="63" t="s">
        <v>2668</v>
      </c>
      <c r="H530" s="63" t="s">
        <v>2674</v>
      </c>
      <c r="I530" s="190" t="s">
        <v>857</v>
      </c>
      <c r="J530" s="137" t="s">
        <v>4248</v>
      </c>
      <c r="K530" s="79"/>
      <c r="L530" s="137" t="s">
        <v>1492</v>
      </c>
      <c r="M530" s="67"/>
      <c r="N530" s="67"/>
      <c r="O530" s="67"/>
      <c r="P530" s="67"/>
      <c r="Q530" s="67"/>
      <c r="R530" s="67"/>
      <c r="S530" s="81" t="s">
        <v>1418</v>
      </c>
      <c r="T530" s="67"/>
      <c r="U530" s="67"/>
      <c r="V530" s="67"/>
      <c r="W530" s="88" t="b">
        <v>0</v>
      </c>
      <c r="X530" s="88" t="b">
        <v>0</v>
      </c>
      <c r="Y530" s="89" t="b">
        <v>1</v>
      </c>
      <c r="Z530" s="73" t="s">
        <v>858</v>
      </c>
    </row>
    <row r="531" spans="1:46" s="213" customFormat="1" ht="119.25" customHeight="1">
      <c r="A531" s="58">
        <v>475</v>
      </c>
      <c r="B531" s="80" t="s">
        <v>1460</v>
      </c>
      <c r="C531" s="80" t="s">
        <v>2019</v>
      </c>
      <c r="D531" s="60" t="s">
        <v>2086</v>
      </c>
      <c r="E531" s="60" t="s">
        <v>859</v>
      </c>
      <c r="F531" s="94" t="str">
        <f t="shared" si="14"/>
        <v>하</v>
      </c>
      <c r="G531" s="63" t="s">
        <v>2668</v>
      </c>
      <c r="H531" s="63" t="s">
        <v>2674</v>
      </c>
      <c r="I531" s="190" t="s">
        <v>860</v>
      </c>
      <c r="J531" s="137" t="s">
        <v>4248</v>
      </c>
      <c r="K531" s="79"/>
      <c r="L531" s="137" t="s">
        <v>1492</v>
      </c>
      <c r="M531" s="67"/>
      <c r="N531" s="67"/>
      <c r="O531" s="67"/>
      <c r="P531" s="67"/>
      <c r="Q531" s="67"/>
      <c r="R531" s="67"/>
      <c r="S531" s="81" t="s">
        <v>1418</v>
      </c>
      <c r="T531" s="67"/>
      <c r="U531" s="67"/>
      <c r="V531" s="67"/>
      <c r="W531" s="88" t="b">
        <v>0</v>
      </c>
      <c r="X531" s="88" t="b">
        <v>0</v>
      </c>
      <c r="Y531" s="89" t="b">
        <v>1</v>
      </c>
      <c r="Z531" s="73" t="s">
        <v>832</v>
      </c>
      <c r="AA531" s="7"/>
      <c r="AB531" s="7"/>
      <c r="AC531" s="16"/>
      <c r="AD531" s="16"/>
      <c r="AE531" s="16"/>
      <c r="AF531" s="16"/>
      <c r="AG531" s="7"/>
      <c r="AH531" s="7"/>
      <c r="AI531" s="7"/>
      <c r="AJ531" s="7"/>
      <c r="AK531" s="7"/>
      <c r="AL531" s="7"/>
      <c r="AM531" s="7"/>
      <c r="AN531" s="7"/>
      <c r="AO531" s="7"/>
      <c r="AP531" s="7"/>
      <c r="AQ531" s="7"/>
      <c r="AR531" s="7"/>
      <c r="AS531" s="7"/>
      <c r="AT531" s="7"/>
    </row>
    <row r="532" spans="1:46" ht="119.25" customHeight="1">
      <c r="A532" s="58">
        <v>476</v>
      </c>
      <c r="B532" s="80" t="s">
        <v>1460</v>
      </c>
      <c r="C532" s="80" t="s">
        <v>2019</v>
      </c>
      <c r="D532" s="60" t="s">
        <v>2087</v>
      </c>
      <c r="E532" s="60" t="s">
        <v>861</v>
      </c>
      <c r="F532" s="94" t="str">
        <f t="shared" si="14"/>
        <v>하</v>
      </c>
      <c r="G532" s="63" t="s">
        <v>2668</v>
      </c>
      <c r="H532" s="63" t="s">
        <v>2674</v>
      </c>
      <c r="I532" s="190" t="s">
        <v>862</v>
      </c>
      <c r="J532" s="137" t="s">
        <v>4248</v>
      </c>
      <c r="K532" s="79"/>
      <c r="L532" s="137" t="s">
        <v>1492</v>
      </c>
      <c r="M532" s="67"/>
      <c r="N532" s="67"/>
      <c r="O532" s="67"/>
      <c r="P532" s="67"/>
      <c r="Q532" s="67"/>
      <c r="R532" s="67"/>
      <c r="S532" s="81" t="s">
        <v>1418</v>
      </c>
      <c r="T532" s="67"/>
      <c r="U532" s="67"/>
      <c r="V532" s="67"/>
      <c r="W532" s="88" t="b">
        <v>0</v>
      </c>
      <c r="X532" s="88" t="b">
        <v>0</v>
      </c>
      <c r="Y532" s="89" t="b">
        <v>1</v>
      </c>
      <c r="Z532" s="73" t="s">
        <v>863</v>
      </c>
    </row>
    <row r="533" spans="1:46" ht="119.25" customHeight="1">
      <c r="A533" s="58">
        <v>514</v>
      </c>
      <c r="B533" s="80" t="s">
        <v>1427</v>
      </c>
      <c r="C533" s="80" t="s">
        <v>1412</v>
      </c>
      <c r="D533" s="60" t="s">
        <v>4456</v>
      </c>
      <c r="E533" s="60" t="s">
        <v>4457</v>
      </c>
      <c r="F533" s="94" t="str">
        <f t="shared" si="14"/>
        <v>하</v>
      </c>
      <c r="G533" s="63" t="s">
        <v>2668</v>
      </c>
      <c r="H533" s="63" t="s">
        <v>2674</v>
      </c>
      <c r="I533" s="190" t="s">
        <v>866</v>
      </c>
      <c r="J533" s="137" t="s">
        <v>4533</v>
      </c>
      <c r="K533" s="79"/>
      <c r="L533" s="137" t="s">
        <v>1492</v>
      </c>
      <c r="M533" s="67"/>
      <c r="N533" s="67"/>
      <c r="O533" s="67"/>
      <c r="P533" s="67"/>
      <c r="Q533" s="67"/>
      <c r="R533" s="67"/>
      <c r="S533" s="81" t="s">
        <v>1418</v>
      </c>
      <c r="T533" s="67"/>
      <c r="U533" s="67"/>
      <c r="V533" s="67"/>
      <c r="W533" s="88" t="b">
        <v>0</v>
      </c>
      <c r="X533" s="89" t="b">
        <v>0</v>
      </c>
      <c r="Y533" s="89" t="b">
        <v>1</v>
      </c>
      <c r="Z533" s="73" t="s">
        <v>867</v>
      </c>
    </row>
    <row r="534" spans="1:46" ht="119.25" customHeight="1">
      <c r="A534" s="58">
        <v>515</v>
      </c>
      <c r="B534" s="80" t="s">
        <v>1420</v>
      </c>
      <c r="C534" s="80" t="s">
        <v>1412</v>
      </c>
      <c r="D534" s="60" t="s">
        <v>2089</v>
      </c>
      <c r="E534" s="60" t="s">
        <v>869</v>
      </c>
      <c r="F534" s="94" t="str">
        <f t="shared" si="14"/>
        <v>하</v>
      </c>
      <c r="G534" s="63" t="s">
        <v>2668</v>
      </c>
      <c r="H534" s="63" t="s">
        <v>2674</v>
      </c>
      <c r="I534" s="190" t="s">
        <v>4458</v>
      </c>
      <c r="J534" s="137" t="s">
        <v>4533</v>
      </c>
      <c r="K534" s="79"/>
      <c r="L534" s="137" t="s">
        <v>1492</v>
      </c>
      <c r="M534" s="67"/>
      <c r="N534" s="67"/>
      <c r="O534" s="67"/>
      <c r="P534" s="67"/>
      <c r="Q534" s="67"/>
      <c r="R534" s="67"/>
      <c r="S534" s="81" t="s">
        <v>1418</v>
      </c>
      <c r="T534" s="67"/>
      <c r="U534" s="67"/>
      <c r="V534" s="67"/>
      <c r="W534" s="88" t="b">
        <v>1</v>
      </c>
      <c r="X534" s="88" t="b">
        <v>1</v>
      </c>
      <c r="Y534" s="89" t="b">
        <v>0</v>
      </c>
      <c r="Z534" s="73" t="s">
        <v>865</v>
      </c>
    </row>
    <row r="535" spans="1:46" ht="119.25" customHeight="1">
      <c r="A535" s="58">
        <v>516</v>
      </c>
      <c r="B535" s="80" t="s">
        <v>1427</v>
      </c>
      <c r="C535" s="80" t="s">
        <v>1412</v>
      </c>
      <c r="D535" s="60" t="s">
        <v>2090</v>
      </c>
      <c r="E535" s="60" t="s">
        <v>870</v>
      </c>
      <c r="F535" s="94" t="str">
        <f t="shared" si="14"/>
        <v>하</v>
      </c>
      <c r="G535" s="63" t="s">
        <v>2668</v>
      </c>
      <c r="H535" s="63" t="s">
        <v>2674</v>
      </c>
      <c r="I535" s="190" t="s">
        <v>4459</v>
      </c>
      <c r="J535" s="137" t="s">
        <v>4533</v>
      </c>
      <c r="K535" s="79"/>
      <c r="L535" s="137" t="s">
        <v>1492</v>
      </c>
      <c r="M535" s="67"/>
      <c r="N535" s="67"/>
      <c r="O535" s="67"/>
      <c r="P535" s="67"/>
      <c r="Q535" s="67"/>
      <c r="R535" s="67"/>
      <c r="S535" s="81" t="s">
        <v>1418</v>
      </c>
      <c r="T535" s="67"/>
      <c r="U535" s="67"/>
      <c r="V535" s="67"/>
      <c r="W535" s="88" t="b">
        <v>0</v>
      </c>
      <c r="X535" s="88" t="b">
        <v>0</v>
      </c>
      <c r="Y535" s="88" t="b">
        <v>1</v>
      </c>
      <c r="Z535" s="73" t="s">
        <v>871</v>
      </c>
    </row>
    <row r="536" spans="1:46" ht="119.25" customHeight="1">
      <c r="A536" s="58">
        <v>517</v>
      </c>
      <c r="B536" s="80" t="s">
        <v>1427</v>
      </c>
      <c r="C536" s="80" t="s">
        <v>1412</v>
      </c>
      <c r="D536" s="60" t="s">
        <v>4460</v>
      </c>
      <c r="E536" s="60" t="s">
        <v>872</v>
      </c>
      <c r="F536" s="94" t="str">
        <f t="shared" si="14"/>
        <v>하</v>
      </c>
      <c r="G536" s="63" t="s">
        <v>2668</v>
      </c>
      <c r="H536" s="63" t="s">
        <v>2674</v>
      </c>
      <c r="I536" s="190" t="s">
        <v>873</v>
      </c>
      <c r="J536" s="137" t="s">
        <v>4533</v>
      </c>
      <c r="K536" s="79"/>
      <c r="L536" s="137" t="s">
        <v>1492</v>
      </c>
      <c r="M536" s="67"/>
      <c r="N536" s="67"/>
      <c r="O536" s="67"/>
      <c r="P536" s="67"/>
      <c r="Q536" s="67"/>
      <c r="R536" s="67"/>
      <c r="S536" s="81" t="s">
        <v>1418</v>
      </c>
      <c r="T536" s="67"/>
      <c r="U536" s="67"/>
      <c r="V536" s="67"/>
      <c r="W536" s="88" t="b">
        <v>0</v>
      </c>
      <c r="X536" s="89" t="b">
        <v>0</v>
      </c>
      <c r="Y536" s="89" t="b">
        <v>1</v>
      </c>
      <c r="Z536" s="73" t="s">
        <v>868</v>
      </c>
    </row>
    <row r="537" spans="1:46" ht="119.25" customHeight="1">
      <c r="A537" s="58">
        <v>518</v>
      </c>
      <c r="B537" s="80" t="s">
        <v>1427</v>
      </c>
      <c r="C537" s="80" t="s">
        <v>1412</v>
      </c>
      <c r="D537" s="60" t="s">
        <v>2093</v>
      </c>
      <c r="E537" s="60" t="s">
        <v>874</v>
      </c>
      <c r="F537" s="94" t="str">
        <f t="shared" si="14"/>
        <v>하</v>
      </c>
      <c r="G537" s="63" t="s">
        <v>2668</v>
      </c>
      <c r="H537" s="63" t="s">
        <v>2674</v>
      </c>
      <c r="I537" s="190" t="s">
        <v>875</v>
      </c>
      <c r="J537" s="137" t="s">
        <v>4533</v>
      </c>
      <c r="K537" s="79"/>
      <c r="L537" s="137" t="s">
        <v>1492</v>
      </c>
      <c r="M537" s="67"/>
      <c r="N537" s="67"/>
      <c r="O537" s="67"/>
      <c r="P537" s="67"/>
      <c r="Q537" s="67"/>
      <c r="R537" s="67"/>
      <c r="S537" s="81" t="s">
        <v>1418</v>
      </c>
      <c r="T537" s="67"/>
      <c r="U537" s="67"/>
      <c r="V537" s="67"/>
      <c r="W537" s="88" t="b">
        <v>0</v>
      </c>
      <c r="X537" s="89" t="b">
        <v>0</v>
      </c>
      <c r="Y537" s="89" t="b">
        <v>1</v>
      </c>
      <c r="Z537" s="73" t="s">
        <v>868</v>
      </c>
    </row>
    <row r="538" spans="1:46" ht="119.25" customHeight="1">
      <c r="A538" s="58">
        <v>519</v>
      </c>
      <c r="B538" s="80" t="s">
        <v>1460</v>
      </c>
      <c r="C538" s="80" t="s">
        <v>1412</v>
      </c>
      <c r="D538" s="60" t="s">
        <v>2094</v>
      </c>
      <c r="E538" s="60" t="s">
        <v>876</v>
      </c>
      <c r="F538" s="94" t="str">
        <f t="shared" si="14"/>
        <v>하</v>
      </c>
      <c r="G538" s="63" t="s">
        <v>2668</v>
      </c>
      <c r="H538" s="63" t="s">
        <v>2674</v>
      </c>
      <c r="I538" s="190" t="s">
        <v>877</v>
      </c>
      <c r="J538" s="137" t="s">
        <v>4533</v>
      </c>
      <c r="K538" s="79"/>
      <c r="L538" s="137" t="s">
        <v>1492</v>
      </c>
      <c r="M538" s="67"/>
      <c r="N538" s="67"/>
      <c r="O538" s="67"/>
      <c r="P538" s="67"/>
      <c r="Q538" s="67"/>
      <c r="R538" s="67"/>
      <c r="S538" s="81" t="s">
        <v>1418</v>
      </c>
      <c r="T538" s="67"/>
      <c r="U538" s="67"/>
      <c r="V538" s="67"/>
      <c r="W538" s="88" t="b">
        <v>0</v>
      </c>
      <c r="X538" s="88" t="b">
        <v>0</v>
      </c>
      <c r="Y538" s="89" t="b">
        <v>0</v>
      </c>
      <c r="Z538" s="73" t="s">
        <v>871</v>
      </c>
    </row>
    <row r="539" spans="1:46" ht="119.25" customHeight="1">
      <c r="A539" s="58">
        <v>520</v>
      </c>
      <c r="B539" s="80" t="s">
        <v>1427</v>
      </c>
      <c r="C539" s="80" t="s">
        <v>1412</v>
      </c>
      <c r="D539" s="60" t="s">
        <v>2095</v>
      </c>
      <c r="E539" s="60" t="s">
        <v>878</v>
      </c>
      <c r="F539" s="94" t="str">
        <f t="shared" si="14"/>
        <v>하</v>
      </c>
      <c r="G539" s="63" t="s">
        <v>2668</v>
      </c>
      <c r="H539" s="63" t="s">
        <v>2674</v>
      </c>
      <c r="I539" s="190" t="s">
        <v>879</v>
      </c>
      <c r="J539" s="137" t="s">
        <v>4533</v>
      </c>
      <c r="K539" s="79"/>
      <c r="L539" s="137" t="s">
        <v>1492</v>
      </c>
      <c r="M539" s="67"/>
      <c r="N539" s="67"/>
      <c r="O539" s="67"/>
      <c r="P539" s="67"/>
      <c r="Q539" s="67"/>
      <c r="R539" s="67"/>
      <c r="S539" s="81" t="s">
        <v>1418</v>
      </c>
      <c r="T539" s="67"/>
      <c r="U539" s="67"/>
      <c r="V539" s="67"/>
      <c r="W539" s="88" t="b">
        <v>0</v>
      </c>
      <c r="X539" s="89" t="b">
        <v>0</v>
      </c>
      <c r="Y539" s="89" t="b">
        <v>1</v>
      </c>
      <c r="Z539" s="73" t="s">
        <v>871</v>
      </c>
    </row>
    <row r="540" spans="1:46" ht="119.25" customHeight="1">
      <c r="A540" s="58">
        <v>521</v>
      </c>
      <c r="B540" s="80" t="s">
        <v>1427</v>
      </c>
      <c r="C540" s="80" t="s">
        <v>1412</v>
      </c>
      <c r="D540" s="60" t="s">
        <v>2096</v>
      </c>
      <c r="E540" s="60" t="s">
        <v>880</v>
      </c>
      <c r="F540" s="94" t="str">
        <f t="shared" si="14"/>
        <v>하</v>
      </c>
      <c r="G540" s="63" t="s">
        <v>2668</v>
      </c>
      <c r="H540" s="63" t="s">
        <v>2674</v>
      </c>
      <c r="I540" s="190" t="s">
        <v>4461</v>
      </c>
      <c r="J540" s="137" t="s">
        <v>4533</v>
      </c>
      <c r="K540" s="79"/>
      <c r="L540" s="137" t="s">
        <v>1492</v>
      </c>
      <c r="M540" s="67"/>
      <c r="N540" s="67"/>
      <c r="O540" s="67"/>
      <c r="P540" s="67"/>
      <c r="Q540" s="67"/>
      <c r="R540" s="67"/>
      <c r="S540" s="81" t="s">
        <v>1418</v>
      </c>
      <c r="T540" s="67"/>
      <c r="U540" s="67"/>
      <c r="V540" s="67"/>
      <c r="W540" s="88" t="b">
        <v>1</v>
      </c>
      <c r="X540" s="88" t="b">
        <v>0</v>
      </c>
      <c r="Y540" s="89" t="b">
        <v>1</v>
      </c>
      <c r="Z540" s="73" t="s">
        <v>871</v>
      </c>
    </row>
    <row r="541" spans="1:46" ht="119.25" customHeight="1">
      <c r="A541" s="58">
        <v>522</v>
      </c>
      <c r="B541" s="80" t="s">
        <v>1427</v>
      </c>
      <c r="C541" s="80" t="s">
        <v>1412</v>
      </c>
      <c r="D541" s="60" t="s">
        <v>2097</v>
      </c>
      <c r="E541" s="60" t="s">
        <v>881</v>
      </c>
      <c r="F541" s="94" t="str">
        <f t="shared" si="14"/>
        <v>하</v>
      </c>
      <c r="G541" s="63" t="s">
        <v>2668</v>
      </c>
      <c r="H541" s="63" t="s">
        <v>2674</v>
      </c>
      <c r="I541" s="190" t="s">
        <v>4462</v>
      </c>
      <c r="J541" s="137" t="s">
        <v>4533</v>
      </c>
      <c r="K541" s="79"/>
      <c r="L541" s="137" t="s">
        <v>1492</v>
      </c>
      <c r="M541" s="67"/>
      <c r="N541" s="67"/>
      <c r="O541" s="67"/>
      <c r="P541" s="67"/>
      <c r="Q541" s="67"/>
      <c r="R541" s="67"/>
      <c r="S541" s="81" t="s">
        <v>1418</v>
      </c>
      <c r="T541" s="67"/>
      <c r="U541" s="67"/>
      <c r="V541" s="67"/>
      <c r="W541" s="88" t="b">
        <v>0</v>
      </c>
      <c r="X541" s="88" t="b">
        <v>0</v>
      </c>
      <c r="Y541" s="89" t="b">
        <v>1</v>
      </c>
      <c r="Z541" s="73" t="s">
        <v>871</v>
      </c>
    </row>
    <row r="542" spans="1:46" ht="119.25" customHeight="1">
      <c r="A542" s="58">
        <v>523</v>
      </c>
      <c r="B542" s="80" t="s">
        <v>1460</v>
      </c>
      <c r="C542" s="80" t="s">
        <v>1412</v>
      </c>
      <c r="D542" s="60" t="s">
        <v>2098</v>
      </c>
      <c r="E542" s="60" t="s">
        <v>882</v>
      </c>
      <c r="F542" s="94" t="str">
        <f t="shared" si="14"/>
        <v>하</v>
      </c>
      <c r="G542" s="63" t="s">
        <v>2668</v>
      </c>
      <c r="H542" s="63" t="s">
        <v>2674</v>
      </c>
      <c r="I542" s="190" t="s">
        <v>883</v>
      </c>
      <c r="J542" s="137" t="s">
        <v>4533</v>
      </c>
      <c r="K542" s="79"/>
      <c r="L542" s="137" t="s">
        <v>1492</v>
      </c>
      <c r="M542" s="67"/>
      <c r="N542" s="67"/>
      <c r="O542" s="67"/>
      <c r="P542" s="67"/>
      <c r="Q542" s="67"/>
      <c r="R542" s="67"/>
      <c r="S542" s="81" t="s">
        <v>1418</v>
      </c>
      <c r="T542" s="67"/>
      <c r="U542" s="67"/>
      <c r="V542" s="67"/>
      <c r="W542" s="88" t="b">
        <v>0</v>
      </c>
      <c r="X542" s="88" t="b">
        <v>1</v>
      </c>
      <c r="Y542" s="89" t="b">
        <v>0</v>
      </c>
      <c r="Z542" s="73" t="s">
        <v>865</v>
      </c>
    </row>
    <row r="543" spans="1:46" ht="119.25" customHeight="1">
      <c r="A543" s="58">
        <v>524</v>
      </c>
      <c r="B543" s="80" t="s">
        <v>1420</v>
      </c>
      <c r="C543" s="80" t="s">
        <v>1412</v>
      </c>
      <c r="D543" s="60" t="s">
        <v>2099</v>
      </c>
      <c r="E543" s="60" t="s">
        <v>884</v>
      </c>
      <c r="F543" s="94" t="str">
        <f t="shared" si="14"/>
        <v>하</v>
      </c>
      <c r="G543" s="63" t="s">
        <v>2668</v>
      </c>
      <c r="H543" s="63" t="s">
        <v>2674</v>
      </c>
      <c r="I543" s="190" t="s">
        <v>885</v>
      </c>
      <c r="J543" s="137" t="s">
        <v>4533</v>
      </c>
      <c r="K543" s="79"/>
      <c r="L543" s="137" t="s">
        <v>1492</v>
      </c>
      <c r="M543" s="67"/>
      <c r="N543" s="67"/>
      <c r="O543" s="67"/>
      <c r="P543" s="67"/>
      <c r="Q543" s="67"/>
      <c r="R543" s="67"/>
      <c r="S543" s="81" t="s">
        <v>1418</v>
      </c>
      <c r="T543" s="67"/>
      <c r="U543" s="67"/>
      <c r="V543" s="67"/>
      <c r="W543" s="88" t="b">
        <v>0</v>
      </c>
      <c r="X543" s="88" t="b">
        <v>1</v>
      </c>
      <c r="Y543" s="89" t="b">
        <v>1</v>
      </c>
      <c r="Z543" s="73" t="s">
        <v>865</v>
      </c>
    </row>
    <row r="544" spans="1:46" ht="119.25" customHeight="1">
      <c r="A544" s="58">
        <v>526</v>
      </c>
      <c r="B544" s="80" t="s">
        <v>32</v>
      </c>
      <c r="C544" s="80" t="s">
        <v>1412</v>
      </c>
      <c r="D544" s="60" t="s">
        <v>2100</v>
      </c>
      <c r="E544" s="60" t="s">
        <v>887</v>
      </c>
      <c r="F544" s="94" t="str">
        <f t="shared" ref="F544:F607" si="15">_xlfn.LET(
_xlpm.v_발생, IF(ISNUMBER(SEARCH("빈번", G544)), "상",
IF(ISNUMBER(SEARCH("거의", G544)), "하", "중")),
_xlpm.v_영향, IF(ISNUMBER(SEARCH("1개월", H544)), "상",
IF(ISNUMBER(SEARCH("없음", H544)), "하", "중")),
IF(AND(_xlpm.v_발생="상", _xlpm.v_영향="상"), "극상",
IF(OR(_xlpm.v_발생="상", _xlpm.v_영향="상"), "상",
IF(AND(_xlpm.v_발생="하", _xlpm.v_영향="하"), "하",
"중")))
)</f>
        <v>하</v>
      </c>
      <c r="G544" s="63" t="s">
        <v>2668</v>
      </c>
      <c r="H544" s="63" t="s">
        <v>2674</v>
      </c>
      <c r="I544" s="190" t="s">
        <v>888</v>
      </c>
      <c r="J544" s="137" t="s">
        <v>4533</v>
      </c>
      <c r="K544" s="79"/>
      <c r="L544" s="137" t="s">
        <v>1492</v>
      </c>
      <c r="M544" s="67"/>
      <c r="N544" s="67"/>
      <c r="O544" s="67"/>
      <c r="P544" s="67"/>
      <c r="Q544" s="67"/>
      <c r="R544" s="67"/>
      <c r="S544" s="81" t="s">
        <v>1418</v>
      </c>
      <c r="T544" s="67"/>
      <c r="U544" s="67"/>
      <c r="V544" s="67"/>
      <c r="W544" s="88" t="b">
        <v>1</v>
      </c>
      <c r="X544" s="88" t="b">
        <v>0</v>
      </c>
      <c r="Y544" s="89" t="b">
        <v>0</v>
      </c>
      <c r="Z544" s="73" t="s">
        <v>865</v>
      </c>
    </row>
    <row r="545" spans="1:26" ht="119.25" customHeight="1">
      <c r="A545" s="58">
        <v>527</v>
      </c>
      <c r="B545" s="80" t="s">
        <v>1427</v>
      </c>
      <c r="C545" s="80" t="s">
        <v>1412</v>
      </c>
      <c r="D545" s="60" t="s">
        <v>2101</v>
      </c>
      <c r="E545" s="60" t="s">
        <v>889</v>
      </c>
      <c r="F545" s="94" t="str">
        <f t="shared" si="15"/>
        <v>하</v>
      </c>
      <c r="G545" s="63" t="s">
        <v>2668</v>
      </c>
      <c r="H545" s="63" t="s">
        <v>2674</v>
      </c>
      <c r="I545" s="190" t="s">
        <v>890</v>
      </c>
      <c r="J545" s="137" t="s">
        <v>4533</v>
      </c>
      <c r="K545" s="79"/>
      <c r="L545" s="137" t="s">
        <v>1492</v>
      </c>
      <c r="M545" s="67"/>
      <c r="N545" s="67"/>
      <c r="O545" s="67"/>
      <c r="P545" s="67"/>
      <c r="Q545" s="67"/>
      <c r="R545" s="67"/>
      <c r="S545" s="81" t="s">
        <v>1418</v>
      </c>
      <c r="T545" s="67"/>
      <c r="U545" s="67"/>
      <c r="V545" s="67"/>
      <c r="W545" s="88" t="b">
        <v>1</v>
      </c>
      <c r="X545" s="88" t="b">
        <v>1</v>
      </c>
      <c r="Y545" s="89" t="b">
        <v>1</v>
      </c>
      <c r="Z545" s="73" t="s">
        <v>871</v>
      </c>
    </row>
    <row r="546" spans="1:26" ht="119.25" customHeight="1">
      <c r="A546" s="58">
        <v>528</v>
      </c>
      <c r="B546" s="80" t="s">
        <v>1427</v>
      </c>
      <c r="C546" s="80" t="s">
        <v>1412</v>
      </c>
      <c r="D546" s="60" t="s">
        <v>2102</v>
      </c>
      <c r="E546" s="60" t="s">
        <v>891</v>
      </c>
      <c r="F546" s="94" t="str">
        <f t="shared" si="15"/>
        <v>하</v>
      </c>
      <c r="G546" s="63" t="s">
        <v>2668</v>
      </c>
      <c r="H546" s="63" t="s">
        <v>2674</v>
      </c>
      <c r="I546" s="190" t="s">
        <v>892</v>
      </c>
      <c r="J546" s="137" t="s">
        <v>4533</v>
      </c>
      <c r="K546" s="79"/>
      <c r="L546" s="137" t="s">
        <v>1492</v>
      </c>
      <c r="M546" s="67"/>
      <c r="N546" s="67"/>
      <c r="O546" s="67"/>
      <c r="P546" s="67"/>
      <c r="Q546" s="67"/>
      <c r="R546" s="67"/>
      <c r="S546" s="81" t="s">
        <v>1418</v>
      </c>
      <c r="T546" s="67"/>
      <c r="U546" s="67"/>
      <c r="V546" s="67"/>
      <c r="W546" s="88" t="b">
        <v>1</v>
      </c>
      <c r="X546" s="88" t="b">
        <v>1</v>
      </c>
      <c r="Y546" s="89" t="b">
        <v>1</v>
      </c>
      <c r="Z546" s="73" t="s">
        <v>871</v>
      </c>
    </row>
    <row r="547" spans="1:26" ht="119.25" customHeight="1">
      <c r="A547" s="58">
        <v>529</v>
      </c>
      <c r="B547" s="80" t="s">
        <v>1427</v>
      </c>
      <c r="C547" s="80" t="s">
        <v>1412</v>
      </c>
      <c r="D547" s="60" t="s">
        <v>2103</v>
      </c>
      <c r="E547" s="60" t="s">
        <v>893</v>
      </c>
      <c r="F547" s="94" t="str">
        <f t="shared" si="15"/>
        <v>하</v>
      </c>
      <c r="G547" s="63" t="s">
        <v>2668</v>
      </c>
      <c r="H547" s="63" t="s">
        <v>2674</v>
      </c>
      <c r="I547" s="190" t="s">
        <v>894</v>
      </c>
      <c r="J547" s="137" t="s">
        <v>4533</v>
      </c>
      <c r="K547" s="79"/>
      <c r="L547" s="137" t="s">
        <v>1492</v>
      </c>
      <c r="M547" s="67"/>
      <c r="N547" s="67"/>
      <c r="O547" s="67"/>
      <c r="P547" s="67"/>
      <c r="Q547" s="67"/>
      <c r="R547" s="67"/>
      <c r="S547" s="81" t="s">
        <v>1418</v>
      </c>
      <c r="T547" s="67"/>
      <c r="U547" s="67"/>
      <c r="V547" s="67"/>
      <c r="W547" s="88" t="b">
        <v>1</v>
      </c>
      <c r="X547" s="88" t="b">
        <v>1</v>
      </c>
      <c r="Y547" s="89" t="b">
        <v>1</v>
      </c>
      <c r="Z547" s="73" t="s">
        <v>871</v>
      </c>
    </row>
    <row r="548" spans="1:26" ht="119.25" customHeight="1">
      <c r="A548" s="58">
        <v>530</v>
      </c>
      <c r="B548" s="80" t="s">
        <v>1427</v>
      </c>
      <c r="C548" s="80" t="s">
        <v>1412</v>
      </c>
      <c r="D548" s="60" t="s">
        <v>2104</v>
      </c>
      <c r="E548" s="60" t="s">
        <v>895</v>
      </c>
      <c r="F548" s="94" t="str">
        <f t="shared" si="15"/>
        <v>하</v>
      </c>
      <c r="G548" s="63" t="s">
        <v>2668</v>
      </c>
      <c r="H548" s="63" t="s">
        <v>2674</v>
      </c>
      <c r="I548" s="190" t="s">
        <v>896</v>
      </c>
      <c r="J548" s="137" t="s">
        <v>4533</v>
      </c>
      <c r="K548" s="79"/>
      <c r="L548" s="137" t="s">
        <v>1492</v>
      </c>
      <c r="M548" s="67"/>
      <c r="N548" s="67"/>
      <c r="O548" s="67"/>
      <c r="P548" s="67"/>
      <c r="Q548" s="67"/>
      <c r="R548" s="67"/>
      <c r="S548" s="81" t="s">
        <v>1418</v>
      </c>
      <c r="T548" s="67"/>
      <c r="U548" s="67"/>
      <c r="V548" s="67"/>
      <c r="W548" s="88" t="b">
        <v>1</v>
      </c>
      <c r="X548" s="88" t="b">
        <v>0</v>
      </c>
      <c r="Y548" s="89" t="b">
        <v>1</v>
      </c>
      <c r="Z548" s="73" t="s">
        <v>871</v>
      </c>
    </row>
    <row r="549" spans="1:26" ht="119.25" customHeight="1">
      <c r="A549" s="58">
        <v>531</v>
      </c>
      <c r="B549" s="80" t="s">
        <v>1427</v>
      </c>
      <c r="C549" s="80" t="s">
        <v>1412</v>
      </c>
      <c r="D549" s="60" t="s">
        <v>2105</v>
      </c>
      <c r="E549" s="60" t="s">
        <v>897</v>
      </c>
      <c r="F549" s="94" t="str">
        <f t="shared" si="15"/>
        <v>하</v>
      </c>
      <c r="G549" s="63" t="s">
        <v>2668</v>
      </c>
      <c r="H549" s="63" t="s">
        <v>2674</v>
      </c>
      <c r="I549" s="190" t="s">
        <v>898</v>
      </c>
      <c r="J549" s="137" t="s">
        <v>4533</v>
      </c>
      <c r="K549" s="79"/>
      <c r="L549" s="137" t="s">
        <v>1492</v>
      </c>
      <c r="M549" s="67"/>
      <c r="N549" s="67"/>
      <c r="O549" s="67"/>
      <c r="P549" s="67"/>
      <c r="Q549" s="67"/>
      <c r="R549" s="67"/>
      <c r="S549" s="81" t="s">
        <v>1418</v>
      </c>
      <c r="T549" s="67"/>
      <c r="U549" s="67"/>
      <c r="V549" s="67"/>
      <c r="W549" s="88" t="b">
        <v>0</v>
      </c>
      <c r="X549" s="88" t="b">
        <v>0</v>
      </c>
      <c r="Y549" s="89" t="b">
        <v>1</v>
      </c>
      <c r="Z549" s="73" t="s">
        <v>867</v>
      </c>
    </row>
    <row r="550" spans="1:26" ht="119.25" customHeight="1">
      <c r="A550" s="58">
        <v>532</v>
      </c>
      <c r="B550" s="80" t="s">
        <v>1420</v>
      </c>
      <c r="C550" s="80" t="s">
        <v>1412</v>
      </c>
      <c r="D550" s="60" t="s">
        <v>2106</v>
      </c>
      <c r="E550" s="60" t="s">
        <v>899</v>
      </c>
      <c r="F550" s="94" t="str">
        <f t="shared" si="15"/>
        <v>하</v>
      </c>
      <c r="G550" s="63" t="s">
        <v>2668</v>
      </c>
      <c r="H550" s="63" t="s">
        <v>2674</v>
      </c>
      <c r="I550" s="190" t="s">
        <v>900</v>
      </c>
      <c r="J550" s="137" t="s">
        <v>4533</v>
      </c>
      <c r="K550" s="79"/>
      <c r="L550" s="137" t="s">
        <v>1492</v>
      </c>
      <c r="M550" s="67"/>
      <c r="N550" s="67"/>
      <c r="O550" s="67"/>
      <c r="P550" s="67"/>
      <c r="Q550" s="67"/>
      <c r="R550" s="67"/>
      <c r="S550" s="81" t="s">
        <v>1418</v>
      </c>
      <c r="T550" s="67"/>
      <c r="U550" s="67"/>
      <c r="V550" s="67"/>
      <c r="W550" s="88" t="b">
        <v>0</v>
      </c>
      <c r="X550" s="88" t="b">
        <v>1</v>
      </c>
      <c r="Y550" s="89" t="b">
        <v>1</v>
      </c>
      <c r="Z550" s="73" t="s">
        <v>867</v>
      </c>
    </row>
    <row r="551" spans="1:26" ht="119.25" customHeight="1">
      <c r="A551" s="58">
        <v>533</v>
      </c>
      <c r="B551" s="80" t="s">
        <v>1460</v>
      </c>
      <c r="C551" s="80" t="s">
        <v>1412</v>
      </c>
      <c r="D551" s="60" t="s">
        <v>2107</v>
      </c>
      <c r="E551" s="60" t="s">
        <v>901</v>
      </c>
      <c r="F551" s="94" t="str">
        <f t="shared" si="15"/>
        <v>하</v>
      </c>
      <c r="G551" s="63" t="s">
        <v>2668</v>
      </c>
      <c r="H551" s="63" t="s">
        <v>2674</v>
      </c>
      <c r="I551" s="190" t="s">
        <v>902</v>
      </c>
      <c r="J551" s="137" t="s">
        <v>4533</v>
      </c>
      <c r="K551" s="79"/>
      <c r="L551" s="137" t="s">
        <v>1492</v>
      </c>
      <c r="M551" s="67"/>
      <c r="N551" s="67"/>
      <c r="O551" s="67"/>
      <c r="P551" s="67"/>
      <c r="Q551" s="67"/>
      <c r="R551" s="67"/>
      <c r="S551" s="81" t="s">
        <v>1418</v>
      </c>
      <c r="T551" s="67"/>
      <c r="U551" s="67"/>
      <c r="V551" s="67"/>
      <c r="W551" s="88" t="b">
        <v>0</v>
      </c>
      <c r="X551" s="88" t="b">
        <v>0</v>
      </c>
      <c r="Y551" s="89" t="b">
        <v>1</v>
      </c>
      <c r="Z551" s="73" t="s">
        <v>867</v>
      </c>
    </row>
    <row r="552" spans="1:26" ht="119.25" customHeight="1">
      <c r="A552" s="58">
        <v>534</v>
      </c>
      <c r="B552" s="80" t="s">
        <v>1427</v>
      </c>
      <c r="C552" s="80" t="s">
        <v>1412</v>
      </c>
      <c r="D552" s="60" t="s">
        <v>2108</v>
      </c>
      <c r="E552" s="60" t="s">
        <v>903</v>
      </c>
      <c r="F552" s="94" t="str">
        <f t="shared" si="15"/>
        <v>하</v>
      </c>
      <c r="G552" s="63" t="s">
        <v>2668</v>
      </c>
      <c r="H552" s="63" t="s">
        <v>2674</v>
      </c>
      <c r="I552" s="190" t="s">
        <v>904</v>
      </c>
      <c r="J552" s="137" t="s">
        <v>4533</v>
      </c>
      <c r="K552" s="79"/>
      <c r="L552" s="137" t="s">
        <v>1492</v>
      </c>
      <c r="M552" s="67"/>
      <c r="N552" s="67"/>
      <c r="O552" s="67"/>
      <c r="P552" s="67"/>
      <c r="Q552" s="67"/>
      <c r="R552" s="67"/>
      <c r="S552" s="81" t="s">
        <v>1418</v>
      </c>
      <c r="T552" s="67"/>
      <c r="U552" s="67"/>
      <c r="V552" s="67"/>
      <c r="W552" s="88" t="b">
        <v>0</v>
      </c>
      <c r="X552" s="88" t="b">
        <v>0</v>
      </c>
      <c r="Y552" s="89" t="b">
        <v>1</v>
      </c>
      <c r="Z552" s="73" t="s">
        <v>867</v>
      </c>
    </row>
    <row r="553" spans="1:26" ht="119.25" customHeight="1">
      <c r="A553" s="58">
        <v>535</v>
      </c>
      <c r="B553" s="80" t="s">
        <v>1427</v>
      </c>
      <c r="C553" s="80" t="s">
        <v>1412</v>
      </c>
      <c r="D553" s="60" t="s">
        <v>2109</v>
      </c>
      <c r="E553" s="60" t="s">
        <v>905</v>
      </c>
      <c r="F553" s="94" t="str">
        <f t="shared" si="15"/>
        <v>하</v>
      </c>
      <c r="G553" s="63" t="s">
        <v>2668</v>
      </c>
      <c r="H553" s="63" t="s">
        <v>2674</v>
      </c>
      <c r="I553" s="190" t="s">
        <v>906</v>
      </c>
      <c r="J553" s="137" t="s">
        <v>4533</v>
      </c>
      <c r="K553" s="79"/>
      <c r="L553" s="137" t="s">
        <v>1492</v>
      </c>
      <c r="M553" s="67"/>
      <c r="N553" s="67"/>
      <c r="O553" s="67"/>
      <c r="P553" s="67"/>
      <c r="Q553" s="67"/>
      <c r="R553" s="67"/>
      <c r="S553" s="81" t="s">
        <v>1418</v>
      </c>
      <c r="T553" s="67"/>
      <c r="U553" s="67"/>
      <c r="V553" s="67"/>
      <c r="W553" s="88" t="b">
        <v>1</v>
      </c>
      <c r="X553" s="88" t="b">
        <v>0</v>
      </c>
      <c r="Y553" s="89" t="b">
        <v>1</v>
      </c>
      <c r="Z553" s="73" t="s">
        <v>867</v>
      </c>
    </row>
    <row r="554" spans="1:26" ht="119.25" customHeight="1">
      <c r="A554" s="58">
        <v>537</v>
      </c>
      <c r="B554" s="80" t="s">
        <v>1427</v>
      </c>
      <c r="C554" s="80" t="s">
        <v>1412</v>
      </c>
      <c r="D554" s="60" t="s">
        <v>2111</v>
      </c>
      <c r="E554" s="60" t="s">
        <v>909</v>
      </c>
      <c r="F554" s="62" t="str">
        <f t="shared" si="15"/>
        <v>하</v>
      </c>
      <c r="G554" s="63" t="s">
        <v>2668</v>
      </c>
      <c r="H554" s="63" t="s">
        <v>2674</v>
      </c>
      <c r="I554" s="190" t="s">
        <v>910</v>
      </c>
      <c r="J554" s="137" t="s">
        <v>4533</v>
      </c>
      <c r="K554" s="79"/>
      <c r="L554" s="137" t="s">
        <v>1492</v>
      </c>
      <c r="M554" s="67"/>
      <c r="N554" s="67"/>
      <c r="O554" s="67"/>
      <c r="P554" s="67"/>
      <c r="Q554" s="67"/>
      <c r="R554" s="67"/>
      <c r="S554" s="81" t="s">
        <v>1418</v>
      </c>
      <c r="T554" s="67"/>
      <c r="U554" s="67"/>
      <c r="V554" s="67"/>
      <c r="W554" s="88" t="b">
        <v>0</v>
      </c>
      <c r="X554" s="88" t="b">
        <v>0</v>
      </c>
      <c r="Y554" s="89" t="b">
        <v>1</v>
      </c>
      <c r="Z554" s="73" t="s">
        <v>868</v>
      </c>
    </row>
    <row r="555" spans="1:26" ht="119.25" customHeight="1">
      <c r="A555" s="58">
        <v>538</v>
      </c>
      <c r="B555" s="80" t="s">
        <v>1427</v>
      </c>
      <c r="C555" s="80" t="s">
        <v>1412</v>
      </c>
      <c r="D555" s="60" t="s">
        <v>2112</v>
      </c>
      <c r="E555" s="60" t="s">
        <v>911</v>
      </c>
      <c r="F555" s="62" t="str">
        <f t="shared" si="15"/>
        <v>하</v>
      </c>
      <c r="G555" s="63" t="s">
        <v>2668</v>
      </c>
      <c r="H555" s="63" t="s">
        <v>2674</v>
      </c>
      <c r="I555" s="190" t="s">
        <v>912</v>
      </c>
      <c r="J555" s="137" t="s">
        <v>4533</v>
      </c>
      <c r="K555" s="79"/>
      <c r="L555" s="137" t="s">
        <v>1492</v>
      </c>
      <c r="M555" s="67"/>
      <c r="N555" s="67"/>
      <c r="O555" s="67"/>
      <c r="P555" s="67"/>
      <c r="Q555" s="67"/>
      <c r="R555" s="67"/>
      <c r="S555" s="81" t="s">
        <v>1418</v>
      </c>
      <c r="T555" s="67"/>
      <c r="U555" s="67"/>
      <c r="V555" s="67"/>
      <c r="W555" s="88" t="b">
        <v>1</v>
      </c>
      <c r="X555" s="88" t="b">
        <v>0</v>
      </c>
      <c r="Y555" s="89" t="b">
        <v>1</v>
      </c>
      <c r="Z555" s="73" t="s">
        <v>868</v>
      </c>
    </row>
    <row r="556" spans="1:26" ht="119.25" customHeight="1">
      <c r="A556" s="58">
        <v>540</v>
      </c>
      <c r="B556" s="80" t="s">
        <v>1427</v>
      </c>
      <c r="C556" s="80" t="s">
        <v>1412</v>
      </c>
      <c r="D556" s="60" t="s">
        <v>2113</v>
      </c>
      <c r="E556" s="60" t="s">
        <v>914</v>
      </c>
      <c r="F556" s="62" t="str">
        <f t="shared" si="15"/>
        <v>하</v>
      </c>
      <c r="G556" s="63" t="s">
        <v>2668</v>
      </c>
      <c r="H556" s="63" t="s">
        <v>2674</v>
      </c>
      <c r="I556" s="190" t="s">
        <v>915</v>
      </c>
      <c r="J556" s="137" t="s">
        <v>4533</v>
      </c>
      <c r="K556" s="79"/>
      <c r="L556" s="137" t="s">
        <v>1492</v>
      </c>
      <c r="M556" s="67"/>
      <c r="N556" s="67"/>
      <c r="O556" s="67"/>
      <c r="P556" s="67"/>
      <c r="Q556" s="67"/>
      <c r="R556" s="67"/>
      <c r="S556" s="81" t="s">
        <v>1418</v>
      </c>
      <c r="T556" s="67"/>
      <c r="U556" s="67"/>
      <c r="V556" s="67"/>
      <c r="W556" s="88" t="b">
        <v>1</v>
      </c>
      <c r="X556" s="88" t="b">
        <v>0</v>
      </c>
      <c r="Y556" s="89" t="b">
        <v>1</v>
      </c>
      <c r="Z556" s="73" t="s">
        <v>916</v>
      </c>
    </row>
    <row r="557" spans="1:26" ht="119.25" customHeight="1">
      <c r="A557" s="58">
        <v>542</v>
      </c>
      <c r="B557" s="80" t="s">
        <v>1460</v>
      </c>
      <c r="C557" s="80" t="s">
        <v>1412</v>
      </c>
      <c r="D557" s="60" t="s">
        <v>4468</v>
      </c>
      <c r="E557" s="60" t="s">
        <v>918</v>
      </c>
      <c r="F557" s="62" t="str">
        <f t="shared" si="15"/>
        <v>하</v>
      </c>
      <c r="G557" s="63" t="s">
        <v>2668</v>
      </c>
      <c r="H557" s="63" t="s">
        <v>2674</v>
      </c>
      <c r="I557" s="190" t="s">
        <v>919</v>
      </c>
      <c r="J557" s="137" t="s">
        <v>4533</v>
      </c>
      <c r="K557" s="79"/>
      <c r="L557" s="137" t="s">
        <v>1492</v>
      </c>
      <c r="M557" s="67"/>
      <c r="N557" s="67"/>
      <c r="O557" s="67"/>
      <c r="P557" s="67"/>
      <c r="Q557" s="67"/>
      <c r="R557" s="67"/>
      <c r="S557" s="81" t="s">
        <v>1418</v>
      </c>
      <c r="T557" s="67"/>
      <c r="U557" s="67"/>
      <c r="V557" s="67"/>
      <c r="W557" s="88" t="b">
        <v>0</v>
      </c>
      <c r="X557" s="88" t="b">
        <v>0</v>
      </c>
      <c r="Y557" s="89" t="b">
        <v>0</v>
      </c>
      <c r="Z557" s="73" t="s">
        <v>871</v>
      </c>
    </row>
    <row r="558" spans="1:26" ht="119.25" customHeight="1">
      <c r="A558" s="58">
        <v>543</v>
      </c>
      <c r="B558" s="80" t="s">
        <v>1427</v>
      </c>
      <c r="C558" s="80" t="s">
        <v>1412</v>
      </c>
      <c r="D558" s="60" t="s">
        <v>2115</v>
      </c>
      <c r="E558" s="60" t="s">
        <v>920</v>
      </c>
      <c r="F558" s="62" t="str">
        <f t="shared" si="15"/>
        <v>하</v>
      </c>
      <c r="G558" s="63" t="s">
        <v>2668</v>
      </c>
      <c r="H558" s="63" t="s">
        <v>2674</v>
      </c>
      <c r="I558" s="190" t="s">
        <v>921</v>
      </c>
      <c r="J558" s="137" t="s">
        <v>4533</v>
      </c>
      <c r="K558" s="79"/>
      <c r="L558" s="137" t="s">
        <v>1492</v>
      </c>
      <c r="M558" s="67"/>
      <c r="N558" s="67"/>
      <c r="O558" s="67"/>
      <c r="P558" s="67"/>
      <c r="Q558" s="67"/>
      <c r="R558" s="67"/>
      <c r="S558" s="81" t="s">
        <v>1418</v>
      </c>
      <c r="T558" s="67"/>
      <c r="U558" s="67"/>
      <c r="V558" s="67"/>
      <c r="W558" s="88" t="b">
        <v>0</v>
      </c>
      <c r="X558" s="88" t="b">
        <v>0</v>
      </c>
      <c r="Y558" s="89" t="b">
        <v>1</v>
      </c>
      <c r="Z558" s="73" t="s">
        <v>871</v>
      </c>
    </row>
    <row r="559" spans="1:26" ht="119.25" customHeight="1">
      <c r="A559" s="58">
        <v>544</v>
      </c>
      <c r="B559" s="80" t="s">
        <v>1427</v>
      </c>
      <c r="C559" s="80" t="s">
        <v>1412</v>
      </c>
      <c r="D559" s="60" t="s">
        <v>2116</v>
      </c>
      <c r="E559" s="60" t="s">
        <v>922</v>
      </c>
      <c r="F559" s="62" t="str">
        <f t="shared" si="15"/>
        <v>하</v>
      </c>
      <c r="G559" s="63" t="s">
        <v>2668</v>
      </c>
      <c r="H559" s="63" t="s">
        <v>2674</v>
      </c>
      <c r="I559" s="190" t="s">
        <v>4469</v>
      </c>
      <c r="J559" s="137" t="s">
        <v>4533</v>
      </c>
      <c r="K559" s="79"/>
      <c r="L559" s="137" t="s">
        <v>1492</v>
      </c>
      <c r="M559" s="67"/>
      <c r="N559" s="67"/>
      <c r="O559" s="67"/>
      <c r="P559" s="67"/>
      <c r="Q559" s="67"/>
      <c r="R559" s="67"/>
      <c r="S559" s="81" t="s">
        <v>1418</v>
      </c>
      <c r="T559" s="67"/>
      <c r="U559" s="67"/>
      <c r="V559" s="67"/>
      <c r="W559" s="88" t="b">
        <v>0</v>
      </c>
      <c r="X559" s="88" t="b">
        <v>1</v>
      </c>
      <c r="Y559" s="89" t="b">
        <v>1</v>
      </c>
      <c r="Z559" s="73" t="s">
        <v>868</v>
      </c>
    </row>
    <row r="560" spans="1:26" ht="119.25" customHeight="1">
      <c r="A560" s="58">
        <v>545</v>
      </c>
      <c r="B560" s="80" t="s">
        <v>1427</v>
      </c>
      <c r="C560" s="80" t="s">
        <v>1412</v>
      </c>
      <c r="D560" s="60" t="s">
        <v>2117</v>
      </c>
      <c r="E560" s="60" t="s">
        <v>923</v>
      </c>
      <c r="F560" s="62" t="str">
        <f t="shared" si="15"/>
        <v>하</v>
      </c>
      <c r="G560" s="63" t="s">
        <v>2668</v>
      </c>
      <c r="H560" s="63" t="s">
        <v>2674</v>
      </c>
      <c r="I560" s="190" t="s">
        <v>924</v>
      </c>
      <c r="J560" s="137" t="s">
        <v>4533</v>
      </c>
      <c r="K560" s="79"/>
      <c r="L560" s="137" t="s">
        <v>1492</v>
      </c>
      <c r="M560" s="67"/>
      <c r="N560" s="67"/>
      <c r="O560" s="67"/>
      <c r="P560" s="67"/>
      <c r="Q560" s="67"/>
      <c r="R560" s="67"/>
      <c r="S560" s="81" t="s">
        <v>1418</v>
      </c>
      <c r="T560" s="67"/>
      <c r="U560" s="67"/>
      <c r="V560" s="67"/>
      <c r="W560" s="88" t="b">
        <v>1</v>
      </c>
      <c r="X560" s="88" t="b">
        <v>0</v>
      </c>
      <c r="Y560" s="89" t="b">
        <v>1</v>
      </c>
      <c r="Z560" s="73" t="s">
        <v>908</v>
      </c>
    </row>
    <row r="561" spans="1:46" ht="119.25" customHeight="1">
      <c r="A561" s="58">
        <v>547</v>
      </c>
      <c r="B561" s="80" t="s">
        <v>1460</v>
      </c>
      <c r="C561" s="80" t="s">
        <v>1412</v>
      </c>
      <c r="D561" s="60" t="s">
        <v>2118</v>
      </c>
      <c r="E561" s="60" t="s">
        <v>926</v>
      </c>
      <c r="F561" s="62" t="str">
        <f t="shared" si="15"/>
        <v>하</v>
      </c>
      <c r="G561" s="63" t="s">
        <v>2668</v>
      </c>
      <c r="H561" s="63" t="s">
        <v>2674</v>
      </c>
      <c r="I561" s="190" t="s">
        <v>4472</v>
      </c>
      <c r="J561" s="137" t="s">
        <v>4533</v>
      </c>
      <c r="K561" s="79"/>
      <c r="L561" s="137" t="s">
        <v>1492</v>
      </c>
      <c r="M561" s="67"/>
      <c r="N561" s="67"/>
      <c r="O561" s="67"/>
      <c r="P561" s="67"/>
      <c r="Q561" s="67"/>
      <c r="R561" s="67"/>
      <c r="S561" s="81" t="s">
        <v>1418</v>
      </c>
      <c r="T561" s="67"/>
      <c r="U561" s="67"/>
      <c r="V561" s="67"/>
      <c r="W561" s="88" t="b">
        <v>0</v>
      </c>
      <c r="X561" s="88" t="b">
        <v>0</v>
      </c>
      <c r="Y561" s="89" t="b">
        <v>0</v>
      </c>
      <c r="Z561" s="73" t="s">
        <v>867</v>
      </c>
    </row>
    <row r="562" spans="1:46" ht="119.25" customHeight="1">
      <c r="A562" s="58">
        <v>549</v>
      </c>
      <c r="B562" s="80" t="s">
        <v>1460</v>
      </c>
      <c r="C562" s="80" t="s">
        <v>1412</v>
      </c>
      <c r="D562" s="60" t="s">
        <v>2120</v>
      </c>
      <c r="E562" s="60" t="s">
        <v>928</v>
      </c>
      <c r="F562" s="62" t="str">
        <f t="shared" si="15"/>
        <v>하</v>
      </c>
      <c r="G562" s="63" t="s">
        <v>2668</v>
      </c>
      <c r="H562" s="63" t="s">
        <v>2674</v>
      </c>
      <c r="I562" s="190" t="s">
        <v>4474</v>
      </c>
      <c r="J562" s="137" t="s">
        <v>4533</v>
      </c>
      <c r="K562" s="79"/>
      <c r="L562" s="137" t="s">
        <v>1492</v>
      </c>
      <c r="M562" s="67"/>
      <c r="N562" s="67"/>
      <c r="O562" s="67"/>
      <c r="P562" s="67"/>
      <c r="Q562" s="67"/>
      <c r="R562" s="67"/>
      <c r="S562" s="81" t="s">
        <v>1418</v>
      </c>
      <c r="T562" s="67"/>
      <c r="U562" s="67"/>
      <c r="V562" s="67"/>
      <c r="W562" s="88" t="b">
        <v>0</v>
      </c>
      <c r="X562" s="88" t="b">
        <v>0</v>
      </c>
      <c r="Y562" s="89" t="b">
        <v>0</v>
      </c>
      <c r="Z562" s="73" t="s">
        <v>871</v>
      </c>
    </row>
    <row r="563" spans="1:46" ht="119.25" customHeight="1">
      <c r="A563" s="58">
        <v>550</v>
      </c>
      <c r="B563" s="80" t="s">
        <v>1427</v>
      </c>
      <c r="C563" s="80" t="s">
        <v>1412</v>
      </c>
      <c r="D563" s="60" t="s">
        <v>2121</v>
      </c>
      <c r="E563" s="60" t="s">
        <v>929</v>
      </c>
      <c r="F563" s="62" t="str">
        <f t="shared" si="15"/>
        <v>하</v>
      </c>
      <c r="G563" s="63" t="s">
        <v>2668</v>
      </c>
      <c r="H563" s="63" t="s">
        <v>2674</v>
      </c>
      <c r="I563" s="190" t="s">
        <v>4475</v>
      </c>
      <c r="J563" s="137" t="s">
        <v>4533</v>
      </c>
      <c r="K563" s="79"/>
      <c r="L563" s="137" t="s">
        <v>1492</v>
      </c>
      <c r="M563" s="67"/>
      <c r="N563" s="67"/>
      <c r="O563" s="67"/>
      <c r="P563" s="67"/>
      <c r="Q563" s="67"/>
      <c r="R563" s="67"/>
      <c r="S563" s="81" t="s">
        <v>1418</v>
      </c>
      <c r="T563" s="67"/>
      <c r="U563" s="67"/>
      <c r="V563" s="67"/>
      <c r="W563" s="88" t="b">
        <v>0</v>
      </c>
      <c r="X563" s="88" t="b">
        <v>0</v>
      </c>
      <c r="Y563" s="89" t="b">
        <v>1</v>
      </c>
      <c r="Z563" s="73" t="s">
        <v>871</v>
      </c>
    </row>
    <row r="564" spans="1:46" ht="119.25" customHeight="1">
      <c r="A564" s="58">
        <v>551</v>
      </c>
      <c r="B564" s="80" t="s">
        <v>1427</v>
      </c>
      <c r="C564" s="80" t="s">
        <v>1412</v>
      </c>
      <c r="D564" s="60" t="s">
        <v>2122</v>
      </c>
      <c r="E564" s="60" t="s">
        <v>930</v>
      </c>
      <c r="F564" s="62" t="str">
        <f t="shared" si="15"/>
        <v>하</v>
      </c>
      <c r="G564" s="63" t="s">
        <v>2668</v>
      </c>
      <c r="H564" s="63" t="s">
        <v>2674</v>
      </c>
      <c r="I564" s="190" t="s">
        <v>931</v>
      </c>
      <c r="J564" s="137" t="s">
        <v>4533</v>
      </c>
      <c r="K564" s="79"/>
      <c r="L564" s="137" t="s">
        <v>1492</v>
      </c>
      <c r="M564" s="67"/>
      <c r="N564" s="67"/>
      <c r="O564" s="67"/>
      <c r="P564" s="67"/>
      <c r="Q564" s="67"/>
      <c r="R564" s="67"/>
      <c r="S564" s="81" t="s">
        <v>1418</v>
      </c>
      <c r="T564" s="67"/>
      <c r="U564" s="67"/>
      <c r="V564" s="67"/>
      <c r="W564" s="88" t="b">
        <v>0</v>
      </c>
      <c r="X564" s="88" t="b">
        <v>0</v>
      </c>
      <c r="Y564" s="89" t="b">
        <v>1</v>
      </c>
      <c r="Z564" s="73" t="s">
        <v>908</v>
      </c>
    </row>
    <row r="565" spans="1:46" ht="119.25" customHeight="1">
      <c r="A565" s="58">
        <v>553</v>
      </c>
      <c r="B565" s="80" t="s">
        <v>1460</v>
      </c>
      <c r="C565" s="80" t="s">
        <v>1412</v>
      </c>
      <c r="D565" s="60" t="s">
        <v>2124</v>
      </c>
      <c r="E565" s="60" t="s">
        <v>933</v>
      </c>
      <c r="F565" s="62" t="str">
        <f t="shared" si="15"/>
        <v>하</v>
      </c>
      <c r="G565" s="63" t="s">
        <v>2668</v>
      </c>
      <c r="H565" s="63" t="s">
        <v>2674</v>
      </c>
      <c r="I565" s="190" t="s">
        <v>934</v>
      </c>
      <c r="J565" s="137" t="s">
        <v>4533</v>
      </c>
      <c r="K565" s="79"/>
      <c r="L565" s="137" t="s">
        <v>1492</v>
      </c>
      <c r="M565" s="67"/>
      <c r="N565" s="67"/>
      <c r="O565" s="67"/>
      <c r="P565" s="67"/>
      <c r="Q565" s="67"/>
      <c r="R565" s="67"/>
      <c r="S565" s="81" t="s">
        <v>1418</v>
      </c>
      <c r="T565" s="67"/>
      <c r="U565" s="67"/>
      <c r="V565" s="67"/>
      <c r="W565" s="88" t="b">
        <v>0</v>
      </c>
      <c r="X565" s="88" t="b">
        <v>0</v>
      </c>
      <c r="Y565" s="89" t="b">
        <v>0</v>
      </c>
      <c r="Z565" s="73" t="s">
        <v>868</v>
      </c>
    </row>
    <row r="566" spans="1:46" ht="119.25" customHeight="1">
      <c r="A566" s="58">
        <v>554</v>
      </c>
      <c r="B566" s="80" t="s">
        <v>1427</v>
      </c>
      <c r="C566" s="80" t="s">
        <v>1412</v>
      </c>
      <c r="D566" s="60" t="s">
        <v>2125</v>
      </c>
      <c r="E566" s="60" t="s">
        <v>935</v>
      </c>
      <c r="F566" s="62" t="str">
        <f t="shared" si="15"/>
        <v>하</v>
      </c>
      <c r="G566" s="63" t="s">
        <v>2668</v>
      </c>
      <c r="H566" s="63" t="s">
        <v>2674</v>
      </c>
      <c r="I566" s="190" t="s">
        <v>4477</v>
      </c>
      <c r="J566" s="137" t="s">
        <v>4533</v>
      </c>
      <c r="K566" s="79"/>
      <c r="L566" s="137" t="s">
        <v>1492</v>
      </c>
      <c r="M566" s="67"/>
      <c r="N566" s="67"/>
      <c r="O566" s="67"/>
      <c r="P566" s="67"/>
      <c r="Q566" s="67"/>
      <c r="R566" s="67"/>
      <c r="S566" s="81" t="s">
        <v>1418</v>
      </c>
      <c r="T566" s="67"/>
      <c r="U566" s="67"/>
      <c r="V566" s="67"/>
      <c r="W566" s="88" t="b">
        <v>0</v>
      </c>
      <c r="X566" s="88" t="b">
        <v>1</v>
      </c>
      <c r="Y566" s="89" t="b">
        <v>1</v>
      </c>
      <c r="Z566" s="73" t="s">
        <v>871</v>
      </c>
    </row>
    <row r="567" spans="1:46" ht="119.25" customHeight="1">
      <c r="A567" s="58">
        <v>555</v>
      </c>
      <c r="B567" s="80" t="s">
        <v>1460</v>
      </c>
      <c r="C567" s="80" t="s">
        <v>1412</v>
      </c>
      <c r="D567" s="60" t="s">
        <v>2126</v>
      </c>
      <c r="E567" s="60" t="s">
        <v>936</v>
      </c>
      <c r="F567" s="62" t="str">
        <f t="shared" si="15"/>
        <v>하</v>
      </c>
      <c r="G567" s="63" t="s">
        <v>2668</v>
      </c>
      <c r="H567" s="63" t="s">
        <v>2674</v>
      </c>
      <c r="I567" s="190" t="s">
        <v>937</v>
      </c>
      <c r="J567" s="137" t="s">
        <v>4533</v>
      </c>
      <c r="K567" s="79"/>
      <c r="L567" s="137" t="s">
        <v>1492</v>
      </c>
      <c r="M567" s="67"/>
      <c r="N567" s="67"/>
      <c r="O567" s="67"/>
      <c r="P567" s="67"/>
      <c r="Q567" s="67"/>
      <c r="R567" s="67"/>
      <c r="S567" s="81" t="s">
        <v>1418</v>
      </c>
      <c r="T567" s="67"/>
      <c r="U567" s="67"/>
      <c r="V567" s="67"/>
      <c r="W567" s="88" t="b">
        <v>0</v>
      </c>
      <c r="X567" s="88" t="b">
        <v>0</v>
      </c>
      <c r="Y567" s="89" t="b">
        <v>0</v>
      </c>
      <c r="Z567" s="73" t="s">
        <v>867</v>
      </c>
    </row>
    <row r="568" spans="1:46" ht="119.25" customHeight="1">
      <c r="A568" s="58">
        <v>556</v>
      </c>
      <c r="B568" s="80" t="s">
        <v>1427</v>
      </c>
      <c r="C568" s="80" t="s">
        <v>1412</v>
      </c>
      <c r="D568" s="60" t="s">
        <v>4478</v>
      </c>
      <c r="E568" s="60" t="s">
        <v>938</v>
      </c>
      <c r="F568" s="62" t="str">
        <f t="shared" si="15"/>
        <v>하</v>
      </c>
      <c r="G568" s="63" t="s">
        <v>2668</v>
      </c>
      <c r="H568" s="63" t="s">
        <v>2674</v>
      </c>
      <c r="I568" s="190" t="s">
        <v>939</v>
      </c>
      <c r="J568" s="137" t="s">
        <v>4533</v>
      </c>
      <c r="K568" s="79"/>
      <c r="L568" s="137" t="s">
        <v>1492</v>
      </c>
      <c r="M568" s="67"/>
      <c r="N568" s="67"/>
      <c r="O568" s="67"/>
      <c r="P568" s="67"/>
      <c r="Q568" s="67"/>
      <c r="R568" s="67"/>
      <c r="S568" s="81" t="s">
        <v>1418</v>
      </c>
      <c r="T568" s="67"/>
      <c r="U568" s="67"/>
      <c r="V568" s="67"/>
      <c r="W568" s="88" t="b">
        <v>0</v>
      </c>
      <c r="X568" s="88" t="b">
        <v>0</v>
      </c>
      <c r="Y568" s="89" t="b">
        <v>1</v>
      </c>
      <c r="Z568" s="73" t="s">
        <v>868</v>
      </c>
    </row>
    <row r="569" spans="1:46" ht="119.25" customHeight="1">
      <c r="A569" s="58">
        <v>557</v>
      </c>
      <c r="B569" s="80" t="s">
        <v>1427</v>
      </c>
      <c r="C569" s="80" t="s">
        <v>1412</v>
      </c>
      <c r="D569" s="60" t="s">
        <v>2127</v>
      </c>
      <c r="E569" s="60" t="s">
        <v>940</v>
      </c>
      <c r="F569" s="62" t="str">
        <f t="shared" si="15"/>
        <v>하</v>
      </c>
      <c r="G569" s="63" t="s">
        <v>2668</v>
      </c>
      <c r="H569" s="63" t="s">
        <v>2674</v>
      </c>
      <c r="I569" s="190" t="s">
        <v>941</v>
      </c>
      <c r="J569" s="137" t="s">
        <v>4533</v>
      </c>
      <c r="K569" s="79"/>
      <c r="L569" s="137" t="s">
        <v>1492</v>
      </c>
      <c r="M569" s="67"/>
      <c r="N569" s="67"/>
      <c r="O569" s="67"/>
      <c r="P569" s="67"/>
      <c r="Q569" s="67"/>
      <c r="R569" s="67"/>
      <c r="S569" s="81" t="s">
        <v>1418</v>
      </c>
      <c r="T569" s="67"/>
      <c r="U569" s="67"/>
      <c r="V569" s="67"/>
      <c r="W569" s="88" t="b">
        <v>0</v>
      </c>
      <c r="X569" s="88" t="b">
        <v>0</v>
      </c>
      <c r="Y569" s="89" t="b">
        <v>1</v>
      </c>
      <c r="Z569" s="73" t="s">
        <v>908</v>
      </c>
    </row>
    <row r="570" spans="1:46" ht="119.25" customHeight="1">
      <c r="A570" s="58">
        <v>558</v>
      </c>
      <c r="B570" s="80" t="s">
        <v>1460</v>
      </c>
      <c r="C570" s="80" t="s">
        <v>1412</v>
      </c>
      <c r="D570" s="60" t="s">
        <v>2128</v>
      </c>
      <c r="E570" s="60" t="s">
        <v>942</v>
      </c>
      <c r="F570" s="62" t="str">
        <f t="shared" si="15"/>
        <v>하</v>
      </c>
      <c r="G570" s="63" t="s">
        <v>2668</v>
      </c>
      <c r="H570" s="63" t="s">
        <v>2674</v>
      </c>
      <c r="I570" s="190" t="s">
        <v>4479</v>
      </c>
      <c r="J570" s="137" t="s">
        <v>4533</v>
      </c>
      <c r="K570" s="79"/>
      <c r="L570" s="137" t="s">
        <v>1492</v>
      </c>
      <c r="M570" s="67"/>
      <c r="N570" s="67"/>
      <c r="O570" s="67"/>
      <c r="P570" s="67"/>
      <c r="Q570" s="67"/>
      <c r="R570" s="67"/>
      <c r="S570" s="81" t="s">
        <v>1418</v>
      </c>
      <c r="T570" s="67"/>
      <c r="U570" s="67"/>
      <c r="V570" s="67"/>
      <c r="W570" s="88" t="b">
        <v>0</v>
      </c>
      <c r="X570" s="88" t="b">
        <v>0</v>
      </c>
      <c r="Y570" s="89" t="b">
        <v>1</v>
      </c>
      <c r="Z570" s="73" t="s">
        <v>832</v>
      </c>
    </row>
    <row r="571" spans="1:46" ht="119.25" customHeight="1">
      <c r="A571" s="58">
        <v>559</v>
      </c>
      <c r="B571" s="80" t="s">
        <v>1460</v>
      </c>
      <c r="C571" s="80" t="s">
        <v>1412</v>
      </c>
      <c r="D571" s="60" t="s">
        <v>2129</v>
      </c>
      <c r="E571" s="60" t="s">
        <v>943</v>
      </c>
      <c r="F571" s="62" t="str">
        <f t="shared" si="15"/>
        <v>하</v>
      </c>
      <c r="G571" s="63" t="s">
        <v>2668</v>
      </c>
      <c r="H571" s="63" t="s">
        <v>2674</v>
      </c>
      <c r="I571" s="190" t="s">
        <v>4480</v>
      </c>
      <c r="J571" s="137" t="s">
        <v>4533</v>
      </c>
      <c r="K571" s="79"/>
      <c r="L571" s="137" t="s">
        <v>1492</v>
      </c>
      <c r="M571" s="67"/>
      <c r="N571" s="67"/>
      <c r="O571" s="67"/>
      <c r="P571" s="67"/>
      <c r="Q571" s="67"/>
      <c r="R571" s="67"/>
      <c r="S571" s="81" t="s">
        <v>1418</v>
      </c>
      <c r="T571" s="67"/>
      <c r="U571" s="67"/>
      <c r="V571" s="67"/>
      <c r="W571" s="88" t="b">
        <v>0</v>
      </c>
      <c r="X571" s="88" t="b">
        <v>0</v>
      </c>
      <c r="Y571" s="89" t="b">
        <v>1</v>
      </c>
      <c r="Z571" s="73" t="s">
        <v>944</v>
      </c>
    </row>
    <row r="572" spans="1:46" s="134" customFormat="1" ht="119.25" customHeight="1">
      <c r="A572" s="58">
        <v>560</v>
      </c>
      <c r="B572" s="80" t="s">
        <v>1460</v>
      </c>
      <c r="C572" s="80" t="s">
        <v>1412</v>
      </c>
      <c r="D572" s="60" t="s">
        <v>4481</v>
      </c>
      <c r="E572" s="60" t="s">
        <v>945</v>
      </c>
      <c r="F572" s="62" t="str">
        <f t="shared" si="15"/>
        <v>하</v>
      </c>
      <c r="G572" s="63" t="s">
        <v>2668</v>
      </c>
      <c r="H572" s="63" t="s">
        <v>2674</v>
      </c>
      <c r="I572" s="190" t="s">
        <v>946</v>
      </c>
      <c r="J572" s="137" t="s">
        <v>4533</v>
      </c>
      <c r="K572" s="79"/>
      <c r="L572" s="137" t="s">
        <v>1492</v>
      </c>
      <c r="M572" s="67"/>
      <c r="N572" s="67"/>
      <c r="O572" s="67"/>
      <c r="P572" s="67"/>
      <c r="Q572" s="67"/>
      <c r="R572" s="67"/>
      <c r="S572" s="81" t="s">
        <v>1418</v>
      </c>
      <c r="T572" s="67"/>
      <c r="U572" s="67"/>
      <c r="V572" s="67"/>
      <c r="W572" s="88" t="b">
        <v>0</v>
      </c>
      <c r="X572" s="88" t="b">
        <v>0</v>
      </c>
      <c r="Y572" s="89" t="b">
        <v>1</v>
      </c>
      <c r="Z572" s="73" t="s">
        <v>692</v>
      </c>
      <c r="AA572" s="7"/>
      <c r="AB572" s="7"/>
      <c r="AC572" s="16"/>
      <c r="AD572" s="16"/>
      <c r="AE572" s="16"/>
      <c r="AF572" s="16"/>
      <c r="AG572" s="7"/>
      <c r="AH572" s="7"/>
      <c r="AI572" s="7"/>
      <c r="AJ572" s="7"/>
      <c r="AK572" s="7"/>
      <c r="AL572" s="7"/>
      <c r="AM572" s="7"/>
      <c r="AN572" s="7"/>
      <c r="AO572" s="7"/>
      <c r="AP572" s="7"/>
      <c r="AQ572" s="7"/>
      <c r="AR572" s="7"/>
      <c r="AS572" s="7"/>
      <c r="AT572" s="7"/>
    </row>
    <row r="573" spans="1:46" ht="119.25" customHeight="1" outlineLevel="1">
      <c r="A573" s="58">
        <v>561</v>
      </c>
      <c r="B573" s="80" t="s">
        <v>1460</v>
      </c>
      <c r="C573" s="80" t="s">
        <v>1412</v>
      </c>
      <c r="D573" s="60" t="s">
        <v>4482</v>
      </c>
      <c r="E573" s="60" t="s">
        <v>947</v>
      </c>
      <c r="F573" s="62" t="str">
        <f t="shared" si="15"/>
        <v>하</v>
      </c>
      <c r="G573" s="63" t="s">
        <v>2668</v>
      </c>
      <c r="H573" s="63" t="s">
        <v>2674</v>
      </c>
      <c r="I573" s="190" t="s">
        <v>948</v>
      </c>
      <c r="J573" s="137" t="s">
        <v>4533</v>
      </c>
      <c r="K573" s="79"/>
      <c r="L573" s="137" t="s">
        <v>1492</v>
      </c>
      <c r="M573" s="67"/>
      <c r="N573" s="67"/>
      <c r="O573" s="67"/>
      <c r="P573" s="67"/>
      <c r="Q573" s="67"/>
      <c r="R573" s="67"/>
      <c r="S573" s="81" t="s">
        <v>1418</v>
      </c>
      <c r="T573" s="67"/>
      <c r="U573" s="67"/>
      <c r="V573" s="67"/>
      <c r="W573" s="88" t="b">
        <v>0</v>
      </c>
      <c r="X573" s="88" t="b">
        <v>0</v>
      </c>
      <c r="Y573" s="89" t="b">
        <v>1</v>
      </c>
      <c r="Z573" s="73" t="s">
        <v>678</v>
      </c>
    </row>
    <row r="574" spans="1:46" ht="119.25" customHeight="1" outlineLevel="1">
      <c r="A574" s="58">
        <v>564</v>
      </c>
      <c r="B574" s="80" t="s">
        <v>1460</v>
      </c>
      <c r="C574" s="80" t="s">
        <v>1412</v>
      </c>
      <c r="D574" s="60" t="s">
        <v>4486</v>
      </c>
      <c r="E574" s="60" t="s">
        <v>952</v>
      </c>
      <c r="F574" s="62" t="str">
        <f t="shared" si="15"/>
        <v>하</v>
      </c>
      <c r="G574" s="63" t="s">
        <v>2668</v>
      </c>
      <c r="H574" s="63" t="s">
        <v>2674</v>
      </c>
      <c r="I574" s="190" t="s">
        <v>953</v>
      </c>
      <c r="J574" s="137" t="s">
        <v>4533</v>
      </c>
      <c r="K574" s="79"/>
      <c r="L574" s="137" t="s">
        <v>1492</v>
      </c>
      <c r="M574" s="67"/>
      <c r="N574" s="67"/>
      <c r="O574" s="67"/>
      <c r="P574" s="67"/>
      <c r="Q574" s="67"/>
      <c r="R574" s="67"/>
      <c r="S574" s="81" t="s">
        <v>1418</v>
      </c>
      <c r="T574" s="67"/>
      <c r="U574" s="67"/>
      <c r="V574" s="67"/>
      <c r="W574" s="88" t="b">
        <v>0</v>
      </c>
      <c r="X574" s="88" t="b">
        <v>0</v>
      </c>
      <c r="Y574" s="89" t="b">
        <v>1</v>
      </c>
      <c r="Z574" s="73" t="s">
        <v>832</v>
      </c>
    </row>
    <row r="575" spans="1:46" ht="119.25" customHeight="1" outlineLevel="1">
      <c r="A575" s="58">
        <v>565</v>
      </c>
      <c r="B575" s="80" t="s">
        <v>1460</v>
      </c>
      <c r="C575" s="80" t="s">
        <v>1412</v>
      </c>
      <c r="D575" s="60" t="s">
        <v>4487</v>
      </c>
      <c r="E575" s="60" t="s">
        <v>955</v>
      </c>
      <c r="F575" s="62" t="str">
        <f t="shared" si="15"/>
        <v>하</v>
      </c>
      <c r="G575" s="63" t="s">
        <v>2668</v>
      </c>
      <c r="H575" s="63" t="s">
        <v>2674</v>
      </c>
      <c r="I575" s="190" t="s">
        <v>956</v>
      </c>
      <c r="J575" s="137" t="s">
        <v>4533</v>
      </c>
      <c r="K575" s="79"/>
      <c r="L575" s="137" t="s">
        <v>1492</v>
      </c>
      <c r="M575" s="67"/>
      <c r="N575" s="67"/>
      <c r="O575" s="67"/>
      <c r="P575" s="67"/>
      <c r="Q575" s="67"/>
      <c r="R575" s="67"/>
      <c r="S575" s="81" t="s">
        <v>1418</v>
      </c>
      <c r="T575" s="67"/>
      <c r="U575" s="67"/>
      <c r="V575" s="67"/>
      <c r="W575" s="88" t="b">
        <v>0</v>
      </c>
      <c r="X575" s="88" t="b">
        <v>0</v>
      </c>
      <c r="Y575" s="89" t="b">
        <v>1</v>
      </c>
      <c r="Z575" s="73" t="s">
        <v>692</v>
      </c>
    </row>
    <row r="576" spans="1:46" ht="119.25" customHeight="1" outlineLevel="1">
      <c r="A576" s="58">
        <v>567</v>
      </c>
      <c r="B576" s="92" t="str">
        <f>[1]트램표준체크리스트!B840</f>
        <v>통신</v>
      </c>
      <c r="C576" s="92" t="s">
        <v>1412</v>
      </c>
      <c r="D576" s="93" t="str">
        <f>[1]트램표준체크리스트!F840</f>
        <v>구조물(캐노피, 기둥 등) 시야 가림 검토 누락 및 대역폭 과소 설계로 CCTV 사각지대 및 실시간 영상 끊김이 발생할 리스크를 검토하였는가?</v>
      </c>
      <c r="E576" s="93" t="s">
        <v>3701</v>
      </c>
      <c r="F576" s="62" t="str">
        <f t="shared" si="15"/>
        <v>하</v>
      </c>
      <c r="G576" s="63" t="s">
        <v>2668</v>
      </c>
      <c r="H576" s="63" t="s">
        <v>2674</v>
      </c>
      <c r="I576" s="199" t="s">
        <v>3702</v>
      </c>
      <c r="J576" s="137" t="s">
        <v>4533</v>
      </c>
      <c r="K576" s="97"/>
      <c r="L576" s="139" t="s">
        <v>1492</v>
      </c>
      <c r="M576" s="98"/>
      <c r="N576" s="98"/>
      <c r="O576" s="98"/>
      <c r="P576" s="98"/>
      <c r="Q576" s="98"/>
      <c r="R576" s="98"/>
      <c r="S576" s="99"/>
      <c r="T576" s="98"/>
      <c r="U576" s="98"/>
      <c r="V576" s="98"/>
      <c r="W576" s="100" t="b">
        <v>0</v>
      </c>
      <c r="X576" s="100" t="b">
        <v>0</v>
      </c>
      <c r="Y576" s="101" t="b">
        <v>0</v>
      </c>
      <c r="Z576" s="96" t="s">
        <v>3703</v>
      </c>
    </row>
    <row r="577" spans="1:46" ht="119.25" customHeight="1" outlineLevel="1">
      <c r="A577" s="58">
        <v>568</v>
      </c>
      <c r="B577" s="92" t="str">
        <f>[1]트램표준체크리스트!B841</f>
        <v>통신</v>
      </c>
      <c r="C577" s="92" t="s">
        <v>1412</v>
      </c>
      <c r="D577" s="93" t="str">
        <f>[1]트램표준체크리스트!F841</f>
        <v>승객혼잡도·RAM 분석 모듈 누락으로 배차 최적화 실패 및 예방적 유지보수 전환이 불가해질 리스크를 검토하였는가?</v>
      </c>
      <c r="E577" s="93" t="s">
        <v>3704</v>
      </c>
      <c r="F577" s="62" t="str">
        <f t="shared" si="15"/>
        <v>하</v>
      </c>
      <c r="G577" s="63" t="s">
        <v>2668</v>
      </c>
      <c r="H577" s="63" t="s">
        <v>2674</v>
      </c>
      <c r="I577" s="199" t="s">
        <v>3705</v>
      </c>
      <c r="J577" s="137" t="s">
        <v>4533</v>
      </c>
      <c r="K577" s="97"/>
      <c r="L577" s="139" t="s">
        <v>1492</v>
      </c>
      <c r="M577" s="98"/>
      <c r="N577" s="98"/>
      <c r="O577" s="98"/>
      <c r="P577" s="98"/>
      <c r="Q577" s="98"/>
      <c r="R577" s="98"/>
      <c r="S577" s="99"/>
      <c r="T577" s="98"/>
      <c r="U577" s="98"/>
      <c r="V577" s="98"/>
      <c r="W577" s="100" t="b">
        <v>0</v>
      </c>
      <c r="X577" s="100" t="b">
        <v>0</v>
      </c>
      <c r="Y577" s="101" t="b">
        <v>0</v>
      </c>
      <c r="Z577" s="96" t="s">
        <v>3706</v>
      </c>
    </row>
    <row r="578" spans="1:46" ht="119.25" customHeight="1" outlineLevel="1">
      <c r="A578" s="58">
        <v>569</v>
      </c>
      <c r="B578" s="92" t="str">
        <f>[1]트램표준체크리스트!B842</f>
        <v>통신</v>
      </c>
      <c r="C578" s="92" t="s">
        <v>1412</v>
      </c>
      <c r="D578" s="93" t="str">
        <f>[1]트램표준체크리스트!F842</f>
        <v>MIS 설계 시 검수시스템 연계 S/W 개발비 누락 및 서버 H/W 사양 과소 반영으로 트램 운영·유지보수 데이터 처리에 병목현상이 발생할 리스크를 검토하였는가?</v>
      </c>
      <c r="E578" s="93" t="s">
        <v>3707</v>
      </c>
      <c r="F578" s="62" t="str">
        <f t="shared" si="15"/>
        <v>하</v>
      </c>
      <c r="G578" s="63" t="s">
        <v>2668</v>
      </c>
      <c r="H578" s="63" t="s">
        <v>2674</v>
      </c>
      <c r="I578" s="199" t="s">
        <v>3708</v>
      </c>
      <c r="J578" s="137" t="s">
        <v>4533</v>
      </c>
      <c r="K578" s="97"/>
      <c r="L578" s="139" t="s">
        <v>1492</v>
      </c>
      <c r="M578" s="98"/>
      <c r="N578" s="98"/>
      <c r="O578" s="98"/>
      <c r="P578" s="98"/>
      <c r="Q578" s="98"/>
      <c r="R578" s="98"/>
      <c r="S578" s="99"/>
      <c r="T578" s="98"/>
      <c r="U578" s="98"/>
      <c r="V578" s="98"/>
      <c r="W578" s="100" t="b">
        <v>0</v>
      </c>
      <c r="X578" s="100" t="b">
        <v>0</v>
      </c>
      <c r="Y578" s="101" t="b">
        <v>0</v>
      </c>
      <c r="Z578" s="96" t="s">
        <v>3706</v>
      </c>
    </row>
    <row r="579" spans="1:46" s="134" customFormat="1" ht="119.25" customHeight="1" outlineLevel="1">
      <c r="A579" s="58">
        <v>570</v>
      </c>
      <c r="B579" s="92" t="str">
        <f>[1]트램표준체크리스트!B843</f>
        <v>통신</v>
      </c>
      <c r="C579" s="92" t="s">
        <v>1412</v>
      </c>
      <c r="D579" s="93" t="str">
        <f>[1]트램표준체크리스트!F843</f>
        <v>건설단계에서 MIS 설비구축 필요 리스크를 검토하였는가?</v>
      </c>
      <c r="E579" s="93" t="s">
        <v>3709</v>
      </c>
      <c r="F579" s="62" t="str">
        <f t="shared" si="15"/>
        <v>하</v>
      </c>
      <c r="G579" s="63" t="s">
        <v>2668</v>
      </c>
      <c r="H579" s="63" t="s">
        <v>2674</v>
      </c>
      <c r="I579" s="199"/>
      <c r="J579" s="137" t="s">
        <v>4533</v>
      </c>
      <c r="K579" s="97"/>
      <c r="L579" s="139" t="s">
        <v>1492</v>
      </c>
      <c r="M579" s="98"/>
      <c r="N579" s="98"/>
      <c r="O579" s="98"/>
      <c r="P579" s="98"/>
      <c r="Q579" s="98"/>
      <c r="R579" s="98"/>
      <c r="S579" s="99"/>
      <c r="T579" s="98"/>
      <c r="U579" s="98"/>
      <c r="V579" s="98"/>
      <c r="W579" s="100" t="b">
        <v>0</v>
      </c>
      <c r="X579" s="100" t="b">
        <v>0</v>
      </c>
      <c r="Y579" s="101" t="b">
        <v>0</v>
      </c>
      <c r="Z579" s="96" t="s">
        <v>3706</v>
      </c>
      <c r="AA579" s="7"/>
      <c r="AB579" s="7"/>
      <c r="AC579" s="16"/>
      <c r="AD579" s="16"/>
      <c r="AE579" s="16"/>
      <c r="AF579" s="16"/>
      <c r="AG579" s="7"/>
      <c r="AH579" s="7"/>
      <c r="AI579" s="7"/>
      <c r="AJ579" s="7"/>
      <c r="AK579" s="7"/>
      <c r="AL579" s="7"/>
      <c r="AM579" s="7"/>
      <c r="AN579" s="7"/>
      <c r="AO579" s="7"/>
      <c r="AP579" s="7"/>
      <c r="AQ579" s="7"/>
      <c r="AR579" s="7"/>
      <c r="AS579" s="7"/>
      <c r="AT579" s="7"/>
    </row>
    <row r="580" spans="1:46" ht="119.25" customHeight="1" outlineLevel="1">
      <c r="A580" s="58">
        <v>571</v>
      </c>
      <c r="B580" s="92" t="str">
        <f>[1]트램표준체크리스트!B844</f>
        <v>통신</v>
      </c>
      <c r="C580" s="92" t="s">
        <v>1412</v>
      </c>
      <c r="D580" s="93" t="str">
        <f>[1]트램표준체크리스트!F844</f>
        <v>가상화 기반 자원 배분 및 Active-Standby 이중화 구성 누락으로, 단일 서버 장애 시 MIS 및 검수 시스템 전체가 마비될 리스크를 검토하였는가?</v>
      </c>
      <c r="E580" s="93" t="s">
        <v>3710</v>
      </c>
      <c r="F580" s="94" t="str">
        <f t="shared" si="15"/>
        <v>하</v>
      </c>
      <c r="G580" s="63" t="s">
        <v>2668</v>
      </c>
      <c r="H580" s="63" t="s">
        <v>2674</v>
      </c>
      <c r="I580" s="199" t="s">
        <v>3711</v>
      </c>
      <c r="J580" s="137" t="s">
        <v>4533</v>
      </c>
      <c r="K580" s="97"/>
      <c r="L580" s="139" t="s">
        <v>1492</v>
      </c>
      <c r="M580" s="98"/>
      <c r="N580" s="98"/>
      <c r="O580" s="98"/>
      <c r="P580" s="98"/>
      <c r="Q580" s="98"/>
      <c r="R580" s="98"/>
      <c r="S580" s="99"/>
      <c r="T580" s="98"/>
      <c r="U580" s="98"/>
      <c r="V580" s="98"/>
      <c r="W580" s="100" t="b">
        <v>0</v>
      </c>
      <c r="X580" s="100" t="b">
        <v>0</v>
      </c>
      <c r="Y580" s="101" t="b">
        <v>0</v>
      </c>
      <c r="Z580" s="96" t="s">
        <v>3706</v>
      </c>
    </row>
    <row r="581" spans="1:46" s="134" customFormat="1" ht="119.25" customHeight="1" outlineLevel="1">
      <c r="A581" s="58">
        <v>572</v>
      </c>
      <c r="B581" s="92" t="str">
        <f>[1]트램표준체크리스트!B845</f>
        <v>통신</v>
      </c>
      <c r="C581" s="92" t="s">
        <v>1412</v>
      </c>
      <c r="D581" s="93" t="str">
        <f>[1]트램표준체크리스트!F845</f>
        <v>PS-LTE 등 타 통신망 주파수 간섭 방지 설계 누락으로 운영 중 혼신에 의한 관제 통신 두절 리스크를 검토하였는가?</v>
      </c>
      <c r="E581" s="93" t="s">
        <v>3712</v>
      </c>
      <c r="F581" s="94" t="str">
        <f t="shared" si="15"/>
        <v>하</v>
      </c>
      <c r="G581" s="63" t="s">
        <v>2668</v>
      </c>
      <c r="H581" s="63" t="s">
        <v>2674</v>
      </c>
      <c r="I581" s="199" t="s">
        <v>3713</v>
      </c>
      <c r="J581" s="137" t="s">
        <v>4533</v>
      </c>
      <c r="K581" s="97"/>
      <c r="L581" s="139" t="s">
        <v>1492</v>
      </c>
      <c r="M581" s="98"/>
      <c r="N581" s="98"/>
      <c r="O581" s="98"/>
      <c r="P581" s="98"/>
      <c r="Q581" s="98"/>
      <c r="R581" s="98"/>
      <c r="S581" s="99"/>
      <c r="T581" s="98"/>
      <c r="U581" s="98"/>
      <c r="V581" s="98"/>
      <c r="W581" s="100" t="b">
        <v>0</v>
      </c>
      <c r="X581" s="100" t="b">
        <v>0</v>
      </c>
      <c r="Y581" s="101" t="b">
        <v>0</v>
      </c>
      <c r="Z581" s="96" t="s">
        <v>3714</v>
      </c>
      <c r="AA581" s="7"/>
      <c r="AB581" s="7"/>
      <c r="AC581" s="16"/>
      <c r="AD581" s="16"/>
      <c r="AE581" s="16"/>
      <c r="AF581" s="16"/>
      <c r="AG581" s="7"/>
      <c r="AH581" s="7"/>
      <c r="AI581" s="7"/>
      <c r="AJ581" s="7"/>
      <c r="AK581" s="7"/>
      <c r="AL581" s="7"/>
      <c r="AM581" s="7"/>
      <c r="AN581" s="7"/>
      <c r="AO581" s="7"/>
      <c r="AP581" s="7"/>
      <c r="AQ581" s="7"/>
      <c r="AR581" s="7"/>
      <c r="AS581" s="7"/>
      <c r="AT581" s="7"/>
    </row>
    <row r="582" spans="1:46" ht="119.25" customHeight="1" outlineLevel="1">
      <c r="A582" s="58">
        <v>573</v>
      </c>
      <c r="B582" s="123" t="str">
        <f>[1]트램표준체크리스트!B846</f>
        <v>통신</v>
      </c>
      <c r="C582" s="123" t="s">
        <v>1412</v>
      </c>
      <c r="D582" s="124" t="str">
        <f>[1]트램표준체크리스트!F846</f>
        <v>LTE-R 영상 전송 설계 누락으로 1인 승무 기관사의 승하차 실시간 확인이 불가해 출입문 끼임 등 안전사고가 발생할 리스크를 검토하였는가?</v>
      </c>
      <c r="E582" s="124" t="s">
        <v>3715</v>
      </c>
      <c r="F582" s="94" t="str">
        <f t="shared" si="15"/>
        <v>하</v>
      </c>
      <c r="G582" s="63" t="s">
        <v>2668</v>
      </c>
      <c r="H582" s="63" t="s">
        <v>2674</v>
      </c>
      <c r="I582" s="197" t="s">
        <v>3716</v>
      </c>
      <c r="J582" s="137" t="s">
        <v>4533</v>
      </c>
      <c r="K582" s="129"/>
      <c r="L582" s="138" t="s">
        <v>1492</v>
      </c>
      <c r="M582" s="130"/>
      <c r="N582" s="130"/>
      <c r="O582" s="130"/>
      <c r="P582" s="130"/>
      <c r="Q582" s="130"/>
      <c r="R582" s="130"/>
      <c r="S582" s="131"/>
      <c r="T582" s="130"/>
      <c r="U582" s="130"/>
      <c r="V582" s="130"/>
      <c r="W582" s="132" t="b">
        <v>0</v>
      </c>
      <c r="X582" s="132" t="b">
        <v>0</v>
      </c>
      <c r="Y582" s="133" t="b">
        <v>0</v>
      </c>
      <c r="Z582" s="127" t="s">
        <v>3703</v>
      </c>
      <c r="AA582" s="134"/>
      <c r="AB582" s="134"/>
      <c r="AC582" s="150"/>
      <c r="AD582" s="150"/>
      <c r="AE582" s="150"/>
      <c r="AF582" s="150"/>
      <c r="AG582" s="134"/>
      <c r="AH582" s="134"/>
      <c r="AI582" s="134"/>
      <c r="AJ582" s="134"/>
      <c r="AK582" s="134"/>
      <c r="AL582" s="134"/>
      <c r="AM582" s="134"/>
      <c r="AN582" s="134"/>
      <c r="AO582" s="134"/>
      <c r="AP582" s="134"/>
      <c r="AQ582" s="134"/>
      <c r="AR582" s="134"/>
      <c r="AS582" s="134"/>
      <c r="AT582" s="134"/>
    </row>
    <row r="583" spans="1:46" ht="119.25" customHeight="1" outlineLevel="1">
      <c r="A583" s="58">
        <v>574</v>
      </c>
      <c r="B583" s="92" t="str">
        <f>[1]트램표준체크리스트!B847</f>
        <v>통신</v>
      </c>
      <c r="C583" s="92" t="s">
        <v>1412</v>
      </c>
      <c r="D583" s="93" t="str">
        <f>[1]트램표준체크리스트!F847</f>
        <v>MIS 역할 기반 권한 분리 및 성능 테스트 요건 누락으로 데이터 위변조 및 쿼리 과부하 응답 지연 발생 리스크를 검토하였는가?</v>
      </c>
      <c r="E583" s="93" t="s">
        <v>3717</v>
      </c>
      <c r="F583" s="94" t="str">
        <f t="shared" si="15"/>
        <v>하</v>
      </c>
      <c r="G583" s="63" t="s">
        <v>2668</v>
      </c>
      <c r="H583" s="63" t="s">
        <v>2674</v>
      </c>
      <c r="I583" s="199" t="s">
        <v>3718</v>
      </c>
      <c r="J583" s="137" t="s">
        <v>4533</v>
      </c>
      <c r="K583" s="97"/>
      <c r="L583" s="139" t="s">
        <v>1492</v>
      </c>
      <c r="M583" s="98"/>
      <c r="N583" s="98"/>
      <c r="O583" s="98"/>
      <c r="P583" s="98"/>
      <c r="Q583" s="98"/>
      <c r="R583" s="98"/>
      <c r="S583" s="99"/>
      <c r="T583" s="98"/>
      <c r="U583" s="98"/>
      <c r="V583" s="98"/>
      <c r="W583" s="100" t="b">
        <v>0</v>
      </c>
      <c r="X583" s="100" t="b">
        <v>0</v>
      </c>
      <c r="Y583" s="101" t="b">
        <v>0</v>
      </c>
      <c r="Z583" s="96" t="s">
        <v>3706</v>
      </c>
    </row>
    <row r="584" spans="1:46" ht="119.25" customHeight="1" outlineLevel="1">
      <c r="A584" s="58">
        <v>575</v>
      </c>
      <c r="B584" s="123" t="str">
        <f>[1]트램표준체크리스트!B848</f>
        <v>통신</v>
      </c>
      <c r="C584" s="123" t="s">
        <v>1412</v>
      </c>
      <c r="D584" s="124" t="str">
        <f>[1]트램표준체크리스트!F848</f>
        <v>무임승차 방지 솔루션 및 통합운임체계 연동 누락으로 영업손실 및 환승 정산 오류가 발생할 리스크를 검토하였는가?</v>
      </c>
      <c r="E584" s="124" t="s">
        <v>3719</v>
      </c>
      <c r="F584" s="94" t="str">
        <f t="shared" si="15"/>
        <v>하</v>
      </c>
      <c r="G584" s="63" t="s">
        <v>2668</v>
      </c>
      <c r="H584" s="63" t="s">
        <v>2674</v>
      </c>
      <c r="I584" s="197" t="s">
        <v>3720</v>
      </c>
      <c r="J584" s="137" t="s">
        <v>4533</v>
      </c>
      <c r="K584" s="129"/>
      <c r="L584" s="138" t="s">
        <v>1492</v>
      </c>
      <c r="M584" s="130"/>
      <c r="N584" s="130"/>
      <c r="O584" s="130"/>
      <c r="P584" s="130"/>
      <c r="Q584" s="130"/>
      <c r="R584" s="130"/>
      <c r="S584" s="131"/>
      <c r="T584" s="130"/>
      <c r="U584" s="130"/>
      <c r="V584" s="130"/>
      <c r="W584" s="132" t="b">
        <v>0</v>
      </c>
      <c r="X584" s="132" t="b">
        <v>0</v>
      </c>
      <c r="Y584" s="133" t="b">
        <v>0</v>
      </c>
      <c r="Z584" s="127" t="s">
        <v>3721</v>
      </c>
      <c r="AA584" s="134"/>
      <c r="AB584" s="134"/>
      <c r="AC584" s="150"/>
      <c r="AD584" s="150"/>
      <c r="AE584" s="150"/>
      <c r="AF584" s="150"/>
      <c r="AG584" s="134"/>
      <c r="AH584" s="134"/>
      <c r="AI584" s="134"/>
      <c r="AJ584" s="134"/>
      <c r="AK584" s="134"/>
      <c r="AL584" s="134"/>
      <c r="AM584" s="134"/>
      <c r="AN584" s="134"/>
      <c r="AO584" s="134"/>
      <c r="AP584" s="134"/>
      <c r="AQ584" s="134"/>
      <c r="AR584" s="134"/>
      <c r="AS584" s="134"/>
      <c r="AT584" s="134"/>
    </row>
    <row r="585" spans="1:46" s="134" customFormat="1" ht="119.25" customHeight="1" outlineLevel="1">
      <c r="A585" s="58">
        <v>576</v>
      </c>
      <c r="B585" s="92" t="str">
        <f>[1]트램표준체크리스트!B849</f>
        <v>통신</v>
      </c>
      <c r="C585" s="92" t="s">
        <v>1412</v>
      </c>
      <c r="D585" s="93" t="str">
        <f>[1]트램표준체크리스트!F849</f>
        <v>게이트 방식 오적용으로 정거장 개방형 보행 동선을 훼손하고 건축·통신 예산이 낭비될 리스크를 검토하였는가?</v>
      </c>
      <c r="E585" s="93" t="s">
        <v>3722</v>
      </c>
      <c r="F585" s="94" t="str">
        <f t="shared" si="15"/>
        <v>하</v>
      </c>
      <c r="G585" s="63" t="s">
        <v>2668</v>
      </c>
      <c r="H585" s="63" t="s">
        <v>2674</v>
      </c>
      <c r="I585" s="199" t="s">
        <v>3723</v>
      </c>
      <c r="J585" s="137" t="s">
        <v>4533</v>
      </c>
      <c r="K585" s="97"/>
      <c r="L585" s="139" t="s">
        <v>1492</v>
      </c>
      <c r="M585" s="98"/>
      <c r="N585" s="98"/>
      <c r="O585" s="98"/>
      <c r="P585" s="98"/>
      <c r="Q585" s="98"/>
      <c r="R585" s="98"/>
      <c r="S585" s="99"/>
      <c r="T585" s="98"/>
      <c r="U585" s="98"/>
      <c r="V585" s="98"/>
      <c r="W585" s="100" t="b">
        <v>0</v>
      </c>
      <c r="X585" s="100" t="b">
        <v>0</v>
      </c>
      <c r="Y585" s="101" t="b">
        <v>0</v>
      </c>
      <c r="Z585" s="96" t="s">
        <v>3721</v>
      </c>
      <c r="AA585" s="7"/>
      <c r="AB585" s="7"/>
      <c r="AC585" s="16"/>
      <c r="AD585" s="16"/>
      <c r="AE585" s="16"/>
      <c r="AF585" s="16"/>
      <c r="AG585" s="7"/>
      <c r="AH585" s="7"/>
      <c r="AI585" s="7"/>
      <c r="AJ585" s="7"/>
      <c r="AK585" s="7"/>
      <c r="AL585" s="7"/>
      <c r="AM585" s="7"/>
      <c r="AN585" s="7"/>
      <c r="AO585" s="7"/>
      <c r="AP585" s="7"/>
      <c r="AQ585" s="7"/>
      <c r="AR585" s="7"/>
      <c r="AS585" s="7"/>
      <c r="AT585" s="7"/>
    </row>
    <row r="586" spans="1:46" s="134" customFormat="1" ht="119.25" customHeight="1" outlineLevel="1">
      <c r="A586" s="58">
        <v>577</v>
      </c>
      <c r="B586" s="92" t="str">
        <f>[1]트램표준체크리스트!B850</f>
        <v>통신</v>
      </c>
      <c r="C586" s="92" t="s">
        <v>1412</v>
      </c>
      <c r="D586" s="93" t="str">
        <f>[1]트램표준체크리스트!F850</f>
        <v>전파환경 분석 누락으로 LTE-R 통신 음영구역이 발생해 비상 통신 및 데이터 송수신이 두절될 리스크를 검토하였는가?</v>
      </c>
      <c r="E586" s="93" t="s">
        <v>3724</v>
      </c>
      <c r="F586" s="125" t="str">
        <f t="shared" si="15"/>
        <v>하</v>
      </c>
      <c r="G586" s="63" t="s">
        <v>2668</v>
      </c>
      <c r="H586" s="63" t="s">
        <v>2674</v>
      </c>
      <c r="I586" s="199" t="s">
        <v>3725</v>
      </c>
      <c r="J586" s="137" t="s">
        <v>4533</v>
      </c>
      <c r="K586" s="97"/>
      <c r="L586" s="139" t="s">
        <v>1492</v>
      </c>
      <c r="M586" s="98"/>
      <c r="N586" s="98"/>
      <c r="O586" s="98"/>
      <c r="P586" s="98"/>
      <c r="Q586" s="98"/>
      <c r="R586" s="98"/>
      <c r="S586" s="99"/>
      <c r="T586" s="98"/>
      <c r="U586" s="98"/>
      <c r="V586" s="98"/>
      <c r="W586" s="100" t="b">
        <v>0</v>
      </c>
      <c r="X586" s="100" t="b">
        <v>0</v>
      </c>
      <c r="Y586" s="101" t="b">
        <v>0</v>
      </c>
      <c r="Z586" s="96" t="s">
        <v>3714</v>
      </c>
      <c r="AA586" s="7"/>
      <c r="AB586" s="7"/>
      <c r="AC586" s="16"/>
      <c r="AD586" s="16"/>
      <c r="AE586" s="16"/>
      <c r="AF586" s="16"/>
      <c r="AG586" s="7"/>
      <c r="AH586" s="7"/>
      <c r="AI586" s="7"/>
      <c r="AJ586" s="7"/>
      <c r="AK586" s="7"/>
      <c r="AL586" s="7"/>
      <c r="AM586" s="7"/>
      <c r="AN586" s="7"/>
      <c r="AO586" s="7"/>
      <c r="AP586" s="7"/>
      <c r="AQ586" s="7"/>
      <c r="AR586" s="7"/>
      <c r="AS586" s="7"/>
      <c r="AT586" s="7"/>
    </row>
    <row r="587" spans="1:46" s="134" customFormat="1" ht="119.25" customHeight="1" outlineLevel="1">
      <c r="A587" s="58">
        <v>578</v>
      </c>
      <c r="B587" s="92" t="str">
        <f>[1]트램표준체크리스트!B851</f>
        <v>통신</v>
      </c>
      <c r="C587" s="92" t="s">
        <v>1412</v>
      </c>
      <c r="D587" s="93" t="str">
        <f>[1]트램표준체크리스트!F851</f>
        <v>타 망 주파수 간섭 분석 및 연동 누락으로 통신 저하 및 재난 시 통합 지휘 통신이 불가해질 리스크를 검토하였는가?</v>
      </c>
      <c r="E587" s="93" t="s">
        <v>3726</v>
      </c>
      <c r="F587" s="94" t="str">
        <f t="shared" si="15"/>
        <v>하</v>
      </c>
      <c r="G587" s="63" t="s">
        <v>2668</v>
      </c>
      <c r="H587" s="63" t="s">
        <v>2674</v>
      </c>
      <c r="I587" s="199" t="s">
        <v>3727</v>
      </c>
      <c r="J587" s="137" t="s">
        <v>4533</v>
      </c>
      <c r="K587" s="97"/>
      <c r="L587" s="139" t="s">
        <v>1492</v>
      </c>
      <c r="M587" s="98"/>
      <c r="N587" s="98"/>
      <c r="O587" s="98"/>
      <c r="P587" s="98"/>
      <c r="Q587" s="98"/>
      <c r="R587" s="98"/>
      <c r="S587" s="99"/>
      <c r="T587" s="98"/>
      <c r="U587" s="98"/>
      <c r="V587" s="98"/>
      <c r="W587" s="100" t="b">
        <v>0</v>
      </c>
      <c r="X587" s="100" t="b">
        <v>0</v>
      </c>
      <c r="Y587" s="101" t="b">
        <v>0</v>
      </c>
      <c r="Z587" s="96" t="s">
        <v>3714</v>
      </c>
      <c r="AA587" s="7"/>
      <c r="AB587" s="7"/>
      <c r="AC587" s="16"/>
      <c r="AD587" s="16"/>
      <c r="AE587" s="16"/>
      <c r="AF587" s="16"/>
      <c r="AG587" s="7"/>
      <c r="AH587" s="7"/>
      <c r="AI587" s="7"/>
      <c r="AJ587" s="7"/>
      <c r="AK587" s="7"/>
      <c r="AL587" s="7"/>
      <c r="AM587" s="7"/>
      <c r="AN587" s="7"/>
      <c r="AO587" s="7"/>
      <c r="AP587" s="7"/>
      <c r="AQ587" s="7"/>
      <c r="AR587" s="7"/>
      <c r="AS587" s="7"/>
      <c r="AT587" s="7"/>
    </row>
    <row r="588" spans="1:46" ht="119.25" customHeight="1">
      <c r="A588" s="58">
        <v>579</v>
      </c>
      <c r="B588" s="123" t="str">
        <f>[1]트램표준체크리스트!B852</f>
        <v>통신</v>
      </c>
      <c r="C588" s="123" t="s">
        <v>1412</v>
      </c>
      <c r="D588" s="124" t="str">
        <f>[1]트램표준체크리스트!F852</f>
        <v>관제실-객실 간 양방향 통신(비상인터폰, 관제원격방송) 연동 로직 누락으로 비상시 관제실 직접 개입 및 승객 통제가 불가해질 리스크를 검토하였는가?</v>
      </c>
      <c r="E588" s="124" t="s">
        <v>3728</v>
      </c>
      <c r="F588" s="125" t="str">
        <f t="shared" si="15"/>
        <v>하</v>
      </c>
      <c r="G588" s="63" t="s">
        <v>2668</v>
      </c>
      <c r="H588" s="63" t="s">
        <v>2674</v>
      </c>
      <c r="I588" s="197" t="s">
        <v>3729</v>
      </c>
      <c r="J588" s="137" t="s">
        <v>4533</v>
      </c>
      <c r="K588" s="129"/>
      <c r="L588" s="138" t="s">
        <v>1492</v>
      </c>
      <c r="M588" s="130"/>
      <c r="N588" s="130"/>
      <c r="O588" s="130"/>
      <c r="P588" s="130"/>
      <c r="Q588" s="130"/>
      <c r="R588" s="130"/>
      <c r="S588" s="131"/>
      <c r="T588" s="130"/>
      <c r="U588" s="130"/>
      <c r="V588" s="130"/>
      <c r="W588" s="132" t="b">
        <v>0</v>
      </c>
      <c r="X588" s="132" t="b">
        <v>0</v>
      </c>
      <c r="Y588" s="133" t="b">
        <v>0</v>
      </c>
      <c r="Z588" s="127" t="s">
        <v>3714</v>
      </c>
      <c r="AA588" s="134"/>
      <c r="AB588" s="134"/>
      <c r="AC588" s="150"/>
      <c r="AD588" s="150"/>
      <c r="AE588" s="150"/>
      <c r="AF588" s="150"/>
      <c r="AG588" s="134"/>
      <c r="AH588" s="134"/>
      <c r="AI588" s="134"/>
      <c r="AJ588" s="134"/>
      <c r="AK588" s="134"/>
      <c r="AL588" s="134"/>
      <c r="AM588" s="134"/>
      <c r="AN588" s="134"/>
      <c r="AO588" s="134"/>
      <c r="AP588" s="134"/>
      <c r="AQ588" s="134"/>
      <c r="AR588" s="134"/>
      <c r="AS588" s="134"/>
      <c r="AT588" s="134"/>
    </row>
    <row r="589" spans="1:46" ht="119.25" customHeight="1" outlineLevel="1">
      <c r="A589" s="58">
        <v>580</v>
      </c>
      <c r="B589" s="123" t="str">
        <f>[1]트램표준체크리스트!B853</f>
        <v>통신</v>
      </c>
      <c r="C589" s="123" t="s">
        <v>1412</v>
      </c>
      <c r="D589" s="124" t="str">
        <f>[1]트램표준체크리스트!F853</f>
        <v>무선국 허가 비용 및 TTA 표준/보안적합성 평가 수수료·기간 누락으로 인허가가 지연돼 개통 일정에 차질이 발생할 리스크를 검토하였는가?</v>
      </c>
      <c r="E589" s="124" t="s">
        <v>3730</v>
      </c>
      <c r="F589" s="94" t="str">
        <f t="shared" si="15"/>
        <v>하</v>
      </c>
      <c r="G589" s="63" t="s">
        <v>2668</v>
      </c>
      <c r="H589" s="63" t="s">
        <v>2674</v>
      </c>
      <c r="I589" s="197" t="s">
        <v>3731</v>
      </c>
      <c r="J589" s="137" t="s">
        <v>4533</v>
      </c>
      <c r="K589" s="129"/>
      <c r="L589" s="138" t="s">
        <v>1492</v>
      </c>
      <c r="M589" s="130"/>
      <c r="N589" s="130"/>
      <c r="O589" s="130"/>
      <c r="P589" s="130"/>
      <c r="Q589" s="130"/>
      <c r="R589" s="130"/>
      <c r="S589" s="131"/>
      <c r="T589" s="130"/>
      <c r="U589" s="130"/>
      <c r="V589" s="130"/>
      <c r="W589" s="132" t="b">
        <v>0</v>
      </c>
      <c r="X589" s="132" t="b">
        <v>0</v>
      </c>
      <c r="Y589" s="133" t="b">
        <v>0</v>
      </c>
      <c r="Z589" s="127" t="s">
        <v>3714</v>
      </c>
      <c r="AA589" s="134"/>
      <c r="AB589" s="134"/>
      <c r="AC589" s="150"/>
      <c r="AD589" s="150"/>
      <c r="AE589" s="150"/>
      <c r="AF589" s="150"/>
      <c r="AG589" s="134"/>
      <c r="AH589" s="134"/>
      <c r="AI589" s="134"/>
      <c r="AJ589" s="134"/>
      <c r="AK589" s="134"/>
      <c r="AL589" s="134"/>
      <c r="AM589" s="134"/>
      <c r="AN589" s="134"/>
      <c r="AO589" s="134"/>
      <c r="AP589" s="134"/>
      <c r="AQ589" s="134"/>
      <c r="AR589" s="134"/>
      <c r="AS589" s="134"/>
      <c r="AT589" s="134"/>
    </row>
    <row r="590" spans="1:46" ht="119.25" customHeight="1" outlineLevel="1">
      <c r="A590" s="58">
        <v>581</v>
      </c>
      <c r="B590" s="123" t="str">
        <f>[1]트램표준체크리스트!B854</f>
        <v>통신</v>
      </c>
      <c r="C590" s="123" t="s">
        <v>1412</v>
      </c>
      <c r="D590" s="124" t="str">
        <f>[1]트램표준체크리스트!F854</f>
        <v>CCTV(P/T, 돔 등) 수량·위치 오류로 사각지대가 발생하거나 지능형 영상분석 및 대역폭 미반영으로 관제 효율성이 저하될 리스크를 검토하였는가?</v>
      </c>
      <c r="E590" s="124" t="s">
        <v>3732</v>
      </c>
      <c r="F590" s="94" t="str">
        <f t="shared" si="15"/>
        <v>하</v>
      </c>
      <c r="G590" s="63" t="s">
        <v>2668</v>
      </c>
      <c r="H590" s="63" t="s">
        <v>2674</v>
      </c>
      <c r="I590" s="197" t="s">
        <v>3733</v>
      </c>
      <c r="J590" s="137" t="s">
        <v>4533</v>
      </c>
      <c r="K590" s="129"/>
      <c r="L590" s="138" t="s">
        <v>1492</v>
      </c>
      <c r="M590" s="130"/>
      <c r="N590" s="130"/>
      <c r="O590" s="130"/>
      <c r="P590" s="130"/>
      <c r="Q590" s="130"/>
      <c r="R590" s="130"/>
      <c r="S590" s="131"/>
      <c r="T590" s="130"/>
      <c r="U590" s="130"/>
      <c r="V590" s="130"/>
      <c r="W590" s="132" t="b">
        <v>0</v>
      </c>
      <c r="X590" s="132" t="b">
        <v>0</v>
      </c>
      <c r="Y590" s="133" t="b">
        <v>0</v>
      </c>
      <c r="Z590" s="127" t="s">
        <v>3703</v>
      </c>
      <c r="AA590" s="134"/>
      <c r="AB590" s="134"/>
      <c r="AC590" s="150"/>
      <c r="AD590" s="150"/>
      <c r="AE590" s="150"/>
      <c r="AF590" s="150"/>
      <c r="AG590" s="134"/>
      <c r="AH590" s="134"/>
      <c r="AI590" s="134"/>
      <c r="AJ590" s="134"/>
      <c r="AK590" s="134"/>
      <c r="AL590" s="134"/>
      <c r="AM590" s="134"/>
      <c r="AN590" s="134"/>
      <c r="AO590" s="134"/>
      <c r="AP590" s="134"/>
      <c r="AQ590" s="134"/>
      <c r="AR590" s="134"/>
      <c r="AS590" s="134"/>
      <c r="AT590" s="134"/>
    </row>
    <row r="591" spans="1:46" ht="119.25" customHeight="1" outlineLevel="1">
      <c r="A591" s="58">
        <v>582</v>
      </c>
      <c r="B591" s="92" t="str">
        <f>[1]트램표준체크리스트!B949</f>
        <v>통신</v>
      </c>
      <c r="C591" s="92" t="s">
        <v>1412</v>
      </c>
      <c r="D591" s="93" t="str">
        <f>[1]트램표준체크리스트!F949</f>
        <v>TTC-PIS 간 운행정보 연동 누락 및 프로토콜 불일치로 승강장 모니터 정보 표출이 무력화될 리스크를 검토하였는가?</v>
      </c>
      <c r="E591" s="93" t="s">
        <v>3734</v>
      </c>
      <c r="F591" s="94" t="str">
        <f t="shared" si="15"/>
        <v>하</v>
      </c>
      <c r="G591" s="63" t="s">
        <v>2668</v>
      </c>
      <c r="H591" s="63" t="s">
        <v>2674</v>
      </c>
      <c r="I591" s="199" t="s">
        <v>3735</v>
      </c>
      <c r="J591" s="137" t="s">
        <v>4533</v>
      </c>
      <c r="K591" s="97"/>
      <c r="L591" s="139" t="s">
        <v>1492</v>
      </c>
      <c r="M591" s="98"/>
      <c r="N591" s="98"/>
      <c r="O591" s="98"/>
      <c r="P591" s="98"/>
      <c r="Q591" s="98"/>
      <c r="R591" s="98"/>
      <c r="S591" s="99"/>
      <c r="T591" s="98"/>
      <c r="U591" s="98"/>
      <c r="V591" s="98"/>
      <c r="W591" s="100" t="b">
        <v>0</v>
      </c>
      <c r="X591" s="100" t="b">
        <v>0</v>
      </c>
      <c r="Y591" s="101" t="b">
        <v>0</v>
      </c>
      <c r="Z591" s="96" t="s">
        <v>3736</v>
      </c>
    </row>
    <row r="592" spans="1:46" s="134" customFormat="1" ht="119.25" customHeight="1" outlineLevel="1">
      <c r="A592" s="58">
        <v>583</v>
      </c>
      <c r="B592" s="92" t="str">
        <f>[1]트램표준체크리스트!B855</f>
        <v>통신</v>
      </c>
      <c r="C592" s="92" t="s">
        <v>1412</v>
      </c>
      <c r="D592" s="93" t="str">
        <f>[1]트램표준체크리스트!F855</f>
        <v>행선안내 및 화재수신반 시스템 연동(I/O) 누락으로 평시 승객 안내 부재 및 비상시 대피 지연이 발생할 리스크를 검토하였는가?</v>
      </c>
      <c r="E592" s="93" t="s">
        <v>3737</v>
      </c>
      <c r="F592" s="125" t="str">
        <f t="shared" si="15"/>
        <v>하</v>
      </c>
      <c r="G592" s="63" t="s">
        <v>2668</v>
      </c>
      <c r="H592" s="63" t="s">
        <v>2674</v>
      </c>
      <c r="I592" s="199" t="s">
        <v>3738</v>
      </c>
      <c r="J592" s="137" t="s">
        <v>4533</v>
      </c>
      <c r="K592" s="97"/>
      <c r="L592" s="139" t="s">
        <v>1492</v>
      </c>
      <c r="M592" s="98"/>
      <c r="N592" s="98"/>
      <c r="O592" s="98"/>
      <c r="P592" s="98"/>
      <c r="Q592" s="98"/>
      <c r="R592" s="98"/>
      <c r="S592" s="99"/>
      <c r="T592" s="98"/>
      <c r="U592" s="98"/>
      <c r="V592" s="98"/>
      <c r="W592" s="100" t="b">
        <v>0</v>
      </c>
      <c r="X592" s="100" t="b">
        <v>0</v>
      </c>
      <c r="Y592" s="101" t="b">
        <v>0</v>
      </c>
      <c r="Z592" s="96" t="s">
        <v>3739</v>
      </c>
      <c r="AA592" s="7"/>
      <c r="AB592" s="7"/>
      <c r="AC592" s="16"/>
      <c r="AD592" s="16"/>
      <c r="AE592" s="16"/>
      <c r="AF592" s="16"/>
      <c r="AG592" s="7"/>
      <c r="AH592" s="7"/>
      <c r="AI592" s="7"/>
      <c r="AJ592" s="7"/>
      <c r="AK592" s="7"/>
      <c r="AL592" s="7"/>
      <c r="AM592" s="7"/>
      <c r="AN592" s="7"/>
      <c r="AO592" s="7"/>
      <c r="AP592" s="7"/>
      <c r="AQ592" s="7"/>
      <c r="AR592" s="7"/>
      <c r="AS592" s="7"/>
      <c r="AT592" s="7"/>
    </row>
    <row r="593" spans="1:46" ht="67.8" customHeight="1" outlineLevel="1">
      <c r="A593" s="58">
        <v>584</v>
      </c>
      <c r="B593" s="92" t="str">
        <f>[1]트램표준체크리스트!B857</f>
        <v>통신</v>
      </c>
      <c r="C593" s="92" t="s">
        <v>1412</v>
      </c>
      <c r="D593" s="93" t="str">
        <f>[1]트램표준체크리스트!F857</f>
        <v>지하구간 FM/DMB 재난방송수신설비 누락으로 재난 시 승객에 대한 민방위 경보 등 긴급 정보 전달이 원천 차단될 방재 리스크를 검토하였는가?</v>
      </c>
      <c r="E593" s="93" t="s">
        <v>3742</v>
      </c>
      <c r="F593" s="125" t="str">
        <f t="shared" si="15"/>
        <v>하</v>
      </c>
      <c r="G593" s="63" t="s">
        <v>2668</v>
      </c>
      <c r="H593" s="63" t="s">
        <v>2674</v>
      </c>
      <c r="I593" s="199" t="s">
        <v>3743</v>
      </c>
      <c r="J593" s="137" t="s">
        <v>4533</v>
      </c>
      <c r="K593" s="97"/>
      <c r="L593" s="139" t="s">
        <v>1492</v>
      </c>
      <c r="M593" s="98"/>
      <c r="N593" s="98"/>
      <c r="O593" s="98"/>
      <c r="P593" s="98"/>
      <c r="Q593" s="98"/>
      <c r="R593" s="98"/>
      <c r="S593" s="99"/>
      <c r="T593" s="98"/>
      <c r="U593" s="98"/>
      <c r="V593" s="98"/>
      <c r="W593" s="100" t="b">
        <v>0</v>
      </c>
      <c r="X593" s="100" t="b">
        <v>0</v>
      </c>
      <c r="Y593" s="101" t="b">
        <v>0</v>
      </c>
      <c r="Z593" s="96" t="s">
        <v>3739</v>
      </c>
    </row>
    <row r="594" spans="1:46" s="227" customFormat="1" ht="86.4" customHeight="1" outlineLevel="1">
      <c r="A594" s="58">
        <v>586</v>
      </c>
      <c r="B594" s="123" t="str">
        <f>[1]트램표준체크리스트!B860</f>
        <v>통신</v>
      </c>
      <c r="C594" s="123" t="s">
        <v>1412</v>
      </c>
      <c r="D594" s="124" t="s">
        <v>4490</v>
      </c>
      <c r="E594" s="124" t="s">
        <v>3748</v>
      </c>
      <c r="F594" s="94" t="str">
        <f t="shared" si="15"/>
        <v>하</v>
      </c>
      <c r="G594" s="63" t="s">
        <v>2668</v>
      </c>
      <c r="H594" s="63" t="s">
        <v>2674</v>
      </c>
      <c r="I594" s="197" t="s">
        <v>3749</v>
      </c>
      <c r="J594" s="137" t="s">
        <v>4533</v>
      </c>
      <c r="K594" s="129"/>
      <c r="L594" s="138" t="s">
        <v>1492</v>
      </c>
      <c r="M594" s="130"/>
      <c r="N594" s="130"/>
      <c r="O594" s="130"/>
      <c r="P594" s="130"/>
      <c r="Q594" s="130"/>
      <c r="R594" s="130"/>
      <c r="S594" s="131"/>
      <c r="T594" s="130"/>
      <c r="U594" s="130"/>
      <c r="V594" s="130"/>
      <c r="W594" s="132" t="b">
        <v>0</v>
      </c>
      <c r="X594" s="132" t="b">
        <v>0</v>
      </c>
      <c r="Y594" s="133" t="b">
        <v>0</v>
      </c>
      <c r="Z594" s="127" t="s">
        <v>3739</v>
      </c>
      <c r="AA594" s="134"/>
      <c r="AB594" s="134"/>
      <c r="AC594" s="150"/>
      <c r="AD594" s="150"/>
      <c r="AE594" s="150"/>
      <c r="AF594" s="150"/>
      <c r="AG594" s="134"/>
      <c r="AH594" s="134"/>
      <c r="AI594" s="134"/>
      <c r="AJ594" s="134"/>
      <c r="AK594" s="134"/>
      <c r="AL594" s="134"/>
      <c r="AM594" s="134"/>
      <c r="AN594" s="134"/>
      <c r="AO594" s="134"/>
      <c r="AP594" s="134"/>
      <c r="AQ594" s="134"/>
      <c r="AR594" s="134"/>
      <c r="AS594" s="134"/>
      <c r="AT594" s="134"/>
    </row>
    <row r="595" spans="1:46" ht="87" customHeight="1" outlineLevel="1">
      <c r="A595" s="58">
        <v>587</v>
      </c>
      <c r="B595" s="92" t="str">
        <f>[1]트램표준체크리스트!B871</f>
        <v>통신</v>
      </c>
      <c r="C595" s="92" t="s">
        <v>1412</v>
      </c>
      <c r="D595" s="93" t="str">
        <f>[1]트램표준체크리스트!F871</f>
        <v>차량 고장시 하차 승객이 노반 이동에 따른 2차 사고 발생 우려 리스크를 검토하였는가?</v>
      </c>
      <c r="E595" s="93"/>
      <c r="F595" s="94" t="str">
        <f t="shared" si="15"/>
        <v>하</v>
      </c>
      <c r="G595" s="63" t="s">
        <v>2668</v>
      </c>
      <c r="H595" s="63" t="s">
        <v>2674</v>
      </c>
      <c r="I595" s="93" t="s">
        <v>3764</v>
      </c>
      <c r="J595" s="137" t="s">
        <v>4533</v>
      </c>
      <c r="K595" s="97"/>
      <c r="L595" s="139" t="s">
        <v>1492</v>
      </c>
      <c r="M595" s="98"/>
      <c r="N595" s="98"/>
      <c r="O595" s="98"/>
      <c r="P595" s="98"/>
      <c r="Q595" s="98"/>
      <c r="R595" s="98"/>
      <c r="S595" s="99"/>
      <c r="T595" s="98"/>
      <c r="U595" s="98"/>
      <c r="V595" s="98"/>
      <c r="W595" s="100" t="b">
        <v>0</v>
      </c>
      <c r="X595" s="100" t="b">
        <v>0</v>
      </c>
      <c r="Y595" s="101" t="b">
        <v>0</v>
      </c>
      <c r="Z595" s="96" t="s">
        <v>3739</v>
      </c>
    </row>
    <row r="596" spans="1:46" ht="119.25" customHeight="1" outlineLevel="1">
      <c r="A596" s="58">
        <v>589</v>
      </c>
      <c r="B596" s="92" t="str">
        <f>[1]트램표준체크리스트!B877</f>
        <v>통신</v>
      </c>
      <c r="C596" s="92" t="s">
        <v>1412</v>
      </c>
      <c r="D596" s="93" t="str">
        <f>[1]트램표준체크리스트!F877</f>
        <v>입출고시 자동차 및 보행자와의 교통사고 예방을 위한 시스템적 대책 마련 필요 리스크를 검토하였는가?</v>
      </c>
      <c r="E596" s="93" t="s">
        <v>3772</v>
      </c>
      <c r="F596" s="94" t="str">
        <f t="shared" si="15"/>
        <v>하</v>
      </c>
      <c r="G596" s="63" t="s">
        <v>2668</v>
      </c>
      <c r="H596" s="63" t="s">
        <v>2674</v>
      </c>
      <c r="I596" s="199"/>
      <c r="J596" s="137" t="s">
        <v>4533</v>
      </c>
      <c r="K596" s="97"/>
      <c r="L596" s="139" t="s">
        <v>1492</v>
      </c>
      <c r="M596" s="98"/>
      <c r="N596" s="98"/>
      <c r="O596" s="98"/>
      <c r="P596" s="98"/>
      <c r="Q596" s="98"/>
      <c r="R596" s="98"/>
      <c r="S596" s="99"/>
      <c r="T596" s="98"/>
      <c r="U596" s="98"/>
      <c r="V596" s="98"/>
      <c r="W596" s="100" t="b">
        <v>0</v>
      </c>
      <c r="X596" s="100" t="b">
        <v>0</v>
      </c>
      <c r="Y596" s="101" t="b">
        <v>0</v>
      </c>
      <c r="Z596" s="96" t="s">
        <v>3736</v>
      </c>
    </row>
    <row r="597" spans="1:46" ht="119.25" customHeight="1" outlineLevel="1">
      <c r="A597" s="58">
        <v>590</v>
      </c>
      <c r="B597" s="92" t="str">
        <f>[1]트램표준체크리스트!B878</f>
        <v>통신</v>
      </c>
      <c r="C597" s="92" t="s">
        <v>1412</v>
      </c>
      <c r="D597" s="93" t="str">
        <f>[1]트램표준체크리스트!F878</f>
        <v>설계에 반영된 2선식 전송망이 현 코레일 공항철도 전송설비 운영방식과 상이하여 발주처의 안정성 보완 조치에 따라 4선식으로 변경 리스크를 검토하였는가?</v>
      </c>
      <c r="E597" s="93" t="s">
        <v>3773</v>
      </c>
      <c r="F597" s="94" t="str">
        <f t="shared" si="15"/>
        <v>하</v>
      </c>
      <c r="G597" s="63" t="s">
        <v>2668</v>
      </c>
      <c r="H597" s="63" t="s">
        <v>2674</v>
      </c>
      <c r="I597" s="199"/>
      <c r="J597" s="137" t="s">
        <v>4533</v>
      </c>
      <c r="K597" s="97"/>
      <c r="L597" s="139" t="s">
        <v>1492</v>
      </c>
      <c r="M597" s="98"/>
      <c r="N597" s="98"/>
      <c r="O597" s="98"/>
      <c r="P597" s="98"/>
      <c r="Q597" s="98"/>
      <c r="R597" s="98"/>
      <c r="S597" s="99"/>
      <c r="T597" s="98"/>
      <c r="U597" s="98"/>
      <c r="V597" s="98"/>
      <c r="W597" s="100" t="b">
        <v>0</v>
      </c>
      <c r="X597" s="100" t="b">
        <v>0</v>
      </c>
      <c r="Y597" s="101" t="b">
        <v>0</v>
      </c>
      <c r="Z597" s="96" t="s">
        <v>3739</v>
      </c>
    </row>
    <row r="598" spans="1:46" ht="119.25" customHeight="1" outlineLevel="1">
      <c r="A598" s="58">
        <v>591</v>
      </c>
      <c r="B598" s="92" t="str">
        <f>[1]트램표준체크리스트!B879</f>
        <v>통신</v>
      </c>
      <c r="C598" s="92" t="s">
        <v>1412</v>
      </c>
      <c r="D598" s="93" t="str">
        <f>[1]트램표준체크리스트!F879</f>
        <v>LTE-R 대역폭 및 차량-통신 프로토콜 설계 누락으로 관제실 모니터링 및 기관사 승강장 상황 파악이 불가해질 리스크를 검토하였는가?</v>
      </c>
      <c r="E598" s="93" t="s">
        <v>3774</v>
      </c>
      <c r="F598" s="94" t="str">
        <f t="shared" si="15"/>
        <v>하</v>
      </c>
      <c r="G598" s="63" t="s">
        <v>2668</v>
      </c>
      <c r="H598" s="63" t="s">
        <v>2674</v>
      </c>
      <c r="I598" s="199" t="s">
        <v>3775</v>
      </c>
      <c r="J598" s="137" t="s">
        <v>4533</v>
      </c>
      <c r="K598" s="97"/>
      <c r="L598" s="139" t="s">
        <v>1492</v>
      </c>
      <c r="M598" s="98"/>
      <c r="N598" s="98"/>
      <c r="O598" s="98"/>
      <c r="P598" s="98"/>
      <c r="Q598" s="98"/>
      <c r="R598" s="98"/>
      <c r="S598" s="99"/>
      <c r="T598" s="98"/>
      <c r="U598" s="98"/>
      <c r="V598" s="98"/>
      <c r="W598" s="100" t="b">
        <v>0</v>
      </c>
      <c r="X598" s="100" t="b">
        <v>0</v>
      </c>
      <c r="Y598" s="101" t="b">
        <v>0</v>
      </c>
      <c r="Z598" s="96" t="s">
        <v>3714</v>
      </c>
    </row>
    <row r="599" spans="1:46" ht="119.25" customHeight="1" outlineLevel="1">
      <c r="A599" s="58">
        <v>592</v>
      </c>
      <c r="B599" s="92" t="str">
        <f>[1]트램표준체크리스트!B880</f>
        <v>통신</v>
      </c>
      <c r="C599" s="92" t="s">
        <v>1412</v>
      </c>
      <c r="D599" s="93" t="str">
        <f>[1]트램표준체크리스트!F880</f>
        <v>KTX 승차권 발매센터, 기동검수반, 승무원대기실 신설에 따라 발주처의 요구사항으로 통신케이블, 광케이블 및 일반전화기 신설이 추가됨 리스크를 검토하였는가?</v>
      </c>
      <c r="E599" s="93" t="s">
        <v>2946</v>
      </c>
      <c r="F599" s="94" t="str">
        <f t="shared" si="15"/>
        <v>하</v>
      </c>
      <c r="G599" s="63" t="s">
        <v>2668</v>
      </c>
      <c r="H599" s="63" t="s">
        <v>2674</v>
      </c>
      <c r="I599" s="199"/>
      <c r="J599" s="137" t="s">
        <v>4533</v>
      </c>
      <c r="K599" s="97"/>
      <c r="L599" s="139" t="s">
        <v>1492</v>
      </c>
      <c r="M599" s="98"/>
      <c r="N599" s="98"/>
      <c r="O599" s="98"/>
      <c r="P599" s="98"/>
      <c r="Q599" s="98"/>
      <c r="R599" s="98"/>
      <c r="S599" s="99"/>
      <c r="T599" s="98"/>
      <c r="U599" s="98"/>
      <c r="V599" s="98"/>
      <c r="W599" s="100" t="b">
        <v>0</v>
      </c>
      <c r="X599" s="100" t="b">
        <v>0</v>
      </c>
      <c r="Y599" s="101" t="b">
        <v>0</v>
      </c>
      <c r="Z599" s="96" t="s">
        <v>3739</v>
      </c>
    </row>
    <row r="600" spans="1:46" s="134" customFormat="1" ht="119.25" customHeight="1" outlineLevel="1">
      <c r="A600" s="58">
        <v>593</v>
      </c>
      <c r="B600" s="92" t="str">
        <f>[1]트램표준체크리스트!B881</f>
        <v>통신</v>
      </c>
      <c r="C600" s="92" t="s">
        <v>1412</v>
      </c>
      <c r="D600" s="93" t="str">
        <f>[1]트램표준체크리스트!F881</f>
        <v>전기·신호 분야 데이터 전송 요구량 누락 및 과소 산정으로 핵심 시스템 원격 제어가 불가해질 중대 인터페이스 리스크를 검토하였는가?</v>
      </c>
      <c r="E600" s="93" t="s">
        <v>3776</v>
      </c>
      <c r="F600" s="94" t="str">
        <f t="shared" si="15"/>
        <v>하</v>
      </c>
      <c r="G600" s="63" t="s">
        <v>2668</v>
      </c>
      <c r="H600" s="63" t="s">
        <v>2674</v>
      </c>
      <c r="I600" s="199" t="s">
        <v>3777</v>
      </c>
      <c r="J600" s="137" t="s">
        <v>4533</v>
      </c>
      <c r="K600" s="97"/>
      <c r="L600" s="139" t="s">
        <v>1492</v>
      </c>
      <c r="M600" s="98"/>
      <c r="N600" s="98"/>
      <c r="O600" s="98"/>
      <c r="P600" s="98"/>
      <c r="Q600" s="98"/>
      <c r="R600" s="98"/>
      <c r="S600" s="99"/>
      <c r="T600" s="98"/>
      <c r="U600" s="98"/>
      <c r="V600" s="98"/>
      <c r="W600" s="100" t="b">
        <v>0</v>
      </c>
      <c r="X600" s="100" t="b">
        <v>0</v>
      </c>
      <c r="Y600" s="101" t="b">
        <v>0</v>
      </c>
      <c r="Z600" s="96" t="s">
        <v>3706</v>
      </c>
      <c r="AA600" s="7"/>
      <c r="AB600" s="7"/>
      <c r="AC600" s="16"/>
      <c r="AD600" s="16"/>
      <c r="AE600" s="16"/>
      <c r="AF600" s="16"/>
      <c r="AG600" s="7"/>
      <c r="AH600" s="7"/>
      <c r="AI600" s="7"/>
      <c r="AJ600" s="7"/>
      <c r="AK600" s="7"/>
      <c r="AL600" s="7"/>
      <c r="AM600" s="7"/>
      <c r="AN600" s="7"/>
      <c r="AO600" s="7"/>
      <c r="AP600" s="7"/>
      <c r="AQ600" s="7"/>
      <c r="AR600" s="7"/>
      <c r="AS600" s="7"/>
      <c r="AT600" s="7"/>
    </row>
    <row r="601" spans="1:46" ht="119.25" customHeight="1" outlineLevel="1">
      <c r="A601" s="58">
        <v>594</v>
      </c>
      <c r="B601" s="123" t="str">
        <f>[1]트램표준체크리스트!B882</f>
        <v>통신</v>
      </c>
      <c r="C601" s="123" t="s">
        <v>1412</v>
      </c>
      <c r="D601" s="124" t="str">
        <f>[1]트램표준체크리스트!F882</f>
        <v>관제실(3시간)·정거장(30분) UPS 보상시간 과소 산정으로 전면 정전 시 통신망이 즉각 마비될 방재 리스크를 검토하였는가?</v>
      </c>
      <c r="E601" s="124" t="s">
        <v>3778</v>
      </c>
      <c r="F601" s="125" t="str">
        <f t="shared" si="15"/>
        <v>하</v>
      </c>
      <c r="G601" s="63" t="s">
        <v>2668</v>
      </c>
      <c r="H601" s="63" t="s">
        <v>2674</v>
      </c>
      <c r="I601" s="197" t="s">
        <v>3779</v>
      </c>
      <c r="J601" s="137" t="s">
        <v>4533</v>
      </c>
      <c r="K601" s="129"/>
      <c r="L601" s="138" t="s">
        <v>1492</v>
      </c>
      <c r="M601" s="130"/>
      <c r="N601" s="130"/>
      <c r="O601" s="130"/>
      <c r="P601" s="130"/>
      <c r="Q601" s="130"/>
      <c r="R601" s="130"/>
      <c r="S601" s="131"/>
      <c r="T601" s="130"/>
      <c r="U601" s="130"/>
      <c r="V601" s="130"/>
      <c r="W601" s="132" t="b">
        <v>0</v>
      </c>
      <c r="X601" s="132" t="b">
        <v>0</v>
      </c>
      <c r="Y601" s="133" t="b">
        <v>0</v>
      </c>
      <c r="Z601" s="127" t="s">
        <v>3739</v>
      </c>
      <c r="AA601" s="134"/>
      <c r="AB601" s="134"/>
      <c r="AC601" s="150"/>
      <c r="AD601" s="150"/>
      <c r="AE601" s="150"/>
      <c r="AF601" s="150"/>
      <c r="AG601" s="134"/>
      <c r="AH601" s="134"/>
      <c r="AI601" s="134"/>
      <c r="AJ601" s="134"/>
      <c r="AK601" s="134"/>
      <c r="AL601" s="134"/>
      <c r="AM601" s="134"/>
      <c r="AN601" s="134"/>
      <c r="AO601" s="134"/>
      <c r="AP601" s="134"/>
      <c r="AQ601" s="134"/>
      <c r="AR601" s="134"/>
      <c r="AS601" s="134"/>
      <c r="AT601" s="134"/>
    </row>
    <row r="602" spans="1:46" ht="119.25" customHeight="1" outlineLevel="1">
      <c r="A602" s="58">
        <v>595</v>
      </c>
      <c r="B602" s="92" t="str">
        <f>[1]트램표준체크리스트!B883</f>
        <v>통신</v>
      </c>
      <c r="C602" s="92" t="s">
        <v>1412</v>
      </c>
      <c r="D602" s="93" t="str">
        <f>[1]트램표준체크리스트!F883</f>
        <v>통신망 구간 암호화(SSL/TLS) 및 접근 제한 솔루션 누락으로 해킹·랜섬웨어 감염에 의해 트램 운행 및 정산 시스템이 마비될 리스크를 검토하였는가?</v>
      </c>
      <c r="E602" s="93" t="s">
        <v>3780</v>
      </c>
      <c r="F602" s="94" t="str">
        <f t="shared" si="15"/>
        <v>하</v>
      </c>
      <c r="G602" s="63" t="s">
        <v>2668</v>
      </c>
      <c r="H602" s="63" t="s">
        <v>2674</v>
      </c>
      <c r="I602" s="199" t="s">
        <v>3781</v>
      </c>
      <c r="J602" s="137" t="s">
        <v>4533</v>
      </c>
      <c r="K602" s="97"/>
      <c r="L602" s="139" t="s">
        <v>1492</v>
      </c>
      <c r="M602" s="98"/>
      <c r="N602" s="98"/>
      <c r="O602" s="98"/>
      <c r="P602" s="98"/>
      <c r="Q602" s="98"/>
      <c r="R602" s="98"/>
      <c r="S602" s="99"/>
      <c r="T602" s="98"/>
      <c r="U602" s="98"/>
      <c r="V602" s="98"/>
      <c r="W602" s="100" t="b">
        <v>0</v>
      </c>
      <c r="X602" s="100" t="b">
        <v>0</v>
      </c>
      <c r="Y602" s="101" t="b">
        <v>0</v>
      </c>
      <c r="Z602" s="96" t="s">
        <v>3721</v>
      </c>
    </row>
    <row r="603" spans="1:46" ht="119.25" customHeight="1" outlineLevel="1">
      <c r="A603" s="58">
        <v>596</v>
      </c>
      <c r="B603" s="92" t="str">
        <f>[1]트램표준체크리스트!B884</f>
        <v>통신</v>
      </c>
      <c r="C603" s="92" t="s">
        <v>1412</v>
      </c>
      <c r="D603" s="93" t="str">
        <f>[1]트램표준체크리스트!F884</f>
        <v>IEC 62279 적용 누락으로 S/W 오류 발생 시 트램 관제 시스템의 안전성과 신뢰성을 담보할 수 없게 될 리스크를 검토하였는가?</v>
      </c>
      <c r="E603" s="93" t="s">
        <v>3782</v>
      </c>
      <c r="F603" s="94" t="str">
        <f t="shared" si="15"/>
        <v>하</v>
      </c>
      <c r="G603" s="63" t="s">
        <v>2668</v>
      </c>
      <c r="H603" s="63" t="s">
        <v>2674</v>
      </c>
      <c r="I603" s="199" t="s">
        <v>3783</v>
      </c>
      <c r="J603" s="137" t="s">
        <v>4533</v>
      </c>
      <c r="K603" s="97"/>
      <c r="L603" s="139" t="s">
        <v>1492</v>
      </c>
      <c r="M603" s="98"/>
      <c r="N603" s="98"/>
      <c r="O603" s="98"/>
      <c r="P603" s="98"/>
      <c r="Q603" s="98"/>
      <c r="R603" s="98"/>
      <c r="S603" s="99"/>
      <c r="T603" s="98"/>
      <c r="U603" s="98"/>
      <c r="V603" s="98"/>
      <c r="W603" s="100" t="b">
        <v>0</v>
      </c>
      <c r="X603" s="100" t="b">
        <v>0</v>
      </c>
      <c r="Y603" s="101" t="b">
        <v>0</v>
      </c>
      <c r="Z603" s="96" t="s">
        <v>3706</v>
      </c>
    </row>
    <row r="604" spans="1:46" ht="119.25" customHeight="1" outlineLevel="1">
      <c r="A604" s="58">
        <v>597</v>
      </c>
      <c r="B604" s="92" t="str">
        <f>[1]트램표준체크리스트!B885</f>
        <v>통신</v>
      </c>
      <c r="C604" s="92" t="s">
        <v>1412</v>
      </c>
      <c r="D604" s="93" t="str">
        <f>[1]트램표준체크리스트!F885</f>
        <v>3년치 운영 예비품 및 정밀 측정장비 내역 누락으로 장비 고장 시 조달 지연 및 통신 관제망이 마비될 리스크를 검토하였는가?</v>
      </c>
      <c r="E604" s="93" t="s">
        <v>3784</v>
      </c>
      <c r="F604" s="94" t="str">
        <f t="shared" si="15"/>
        <v>하</v>
      </c>
      <c r="G604" s="63" t="s">
        <v>2668</v>
      </c>
      <c r="H604" s="63" t="s">
        <v>2674</v>
      </c>
      <c r="I604" s="199" t="s">
        <v>3785</v>
      </c>
      <c r="J604" s="137" t="s">
        <v>4533</v>
      </c>
      <c r="K604" s="97"/>
      <c r="L604" s="139" t="s">
        <v>1492</v>
      </c>
      <c r="M604" s="98"/>
      <c r="N604" s="98"/>
      <c r="O604" s="98"/>
      <c r="P604" s="98"/>
      <c r="Q604" s="98"/>
      <c r="R604" s="98"/>
      <c r="S604" s="99"/>
      <c r="T604" s="98"/>
      <c r="U604" s="98"/>
      <c r="V604" s="98"/>
      <c r="W604" s="100" t="b">
        <v>0</v>
      </c>
      <c r="X604" s="100" t="b">
        <v>0</v>
      </c>
      <c r="Y604" s="101" t="b">
        <v>0</v>
      </c>
      <c r="Z604" s="96" t="s">
        <v>3736</v>
      </c>
    </row>
    <row r="605" spans="1:46" ht="119.25" customHeight="1" outlineLevel="1">
      <c r="A605" s="58">
        <v>598</v>
      </c>
      <c r="B605" s="92" t="str">
        <f>[1]트램표준체크리스트!B886</f>
        <v>통신</v>
      </c>
      <c r="C605" s="92" t="s">
        <v>1412</v>
      </c>
      <c r="D605" s="93" t="str">
        <f>[1]트램표준체크리스트!F886</f>
        <v>기간통신사업자(KT 등) 맨홀 연결 관로·수공 설계 누락으로 외부 전화·인터넷망 개통이 불가해질 리스크를 검토하였는가?</v>
      </c>
      <c r="E605" s="93" t="s">
        <v>3786</v>
      </c>
      <c r="F605" s="94" t="str">
        <f t="shared" si="15"/>
        <v>하</v>
      </c>
      <c r="G605" s="63" t="s">
        <v>2668</v>
      </c>
      <c r="H605" s="63" t="s">
        <v>2674</v>
      </c>
      <c r="I605" s="199" t="s">
        <v>3787</v>
      </c>
      <c r="J605" s="137" t="s">
        <v>4533</v>
      </c>
      <c r="K605" s="97"/>
      <c r="L605" s="139" t="s">
        <v>1492</v>
      </c>
      <c r="M605" s="98"/>
      <c r="N605" s="98"/>
      <c r="O605" s="98"/>
      <c r="P605" s="98"/>
      <c r="Q605" s="98"/>
      <c r="R605" s="98"/>
      <c r="S605" s="99"/>
      <c r="T605" s="98"/>
      <c r="U605" s="98"/>
      <c r="V605" s="98"/>
      <c r="W605" s="100" t="b">
        <v>0</v>
      </c>
      <c r="X605" s="100" t="b">
        <v>0</v>
      </c>
      <c r="Y605" s="101" t="b">
        <v>0</v>
      </c>
      <c r="Z605" s="96" t="s">
        <v>3739</v>
      </c>
    </row>
    <row r="606" spans="1:46" s="134" customFormat="1" ht="119.25" customHeight="1" outlineLevel="1">
      <c r="A606" s="58">
        <v>599</v>
      </c>
      <c r="B606" s="92" t="str">
        <f>[1]트램표준체크리스트!B887</f>
        <v>통신</v>
      </c>
      <c r="C606" s="92" t="s">
        <v>1412</v>
      </c>
      <c r="D606" s="93" t="str">
        <f>[1]트램표준체크리스트!F887</f>
        <v>옥외설비 환경보호(IP) 기준 및 지하 난연케이블 누락으로 악천후 시 침수(단락) 및 화재 시 유독가스가 발생할 2차 인명피해 리스크를 검토하였는가?</v>
      </c>
      <c r="E606" s="93" t="s">
        <v>3788</v>
      </c>
      <c r="F606" s="94" t="str">
        <f t="shared" si="15"/>
        <v>하</v>
      </c>
      <c r="G606" s="63" t="s">
        <v>2668</v>
      </c>
      <c r="H606" s="63" t="s">
        <v>2674</v>
      </c>
      <c r="I606" s="199" t="s">
        <v>3789</v>
      </c>
      <c r="J606" s="137" t="s">
        <v>4533</v>
      </c>
      <c r="K606" s="97"/>
      <c r="L606" s="139" t="s">
        <v>1492</v>
      </c>
      <c r="M606" s="98"/>
      <c r="N606" s="98"/>
      <c r="O606" s="98"/>
      <c r="P606" s="98"/>
      <c r="Q606" s="98"/>
      <c r="R606" s="98"/>
      <c r="S606" s="99"/>
      <c r="T606" s="98"/>
      <c r="U606" s="98"/>
      <c r="V606" s="98"/>
      <c r="W606" s="100" t="b">
        <v>0</v>
      </c>
      <c r="X606" s="100" t="b">
        <v>0</v>
      </c>
      <c r="Y606" s="101" t="b">
        <v>0</v>
      </c>
      <c r="Z606" s="96" t="s">
        <v>3739</v>
      </c>
      <c r="AA606" s="7"/>
      <c r="AB606" s="7"/>
      <c r="AC606" s="16"/>
      <c r="AD606" s="16"/>
      <c r="AE606" s="16"/>
      <c r="AF606" s="16"/>
      <c r="AG606" s="7"/>
      <c r="AH606" s="7"/>
      <c r="AI606" s="7"/>
      <c r="AJ606" s="7"/>
      <c r="AK606" s="7"/>
      <c r="AL606" s="7"/>
      <c r="AM606" s="7"/>
      <c r="AN606" s="7"/>
      <c r="AO606" s="7"/>
      <c r="AP606" s="7"/>
      <c r="AQ606" s="7"/>
      <c r="AR606" s="7"/>
      <c r="AS606" s="7"/>
      <c r="AT606" s="7"/>
    </row>
    <row r="607" spans="1:46" ht="119.25" customHeight="1" outlineLevel="1">
      <c r="A607" s="58">
        <v>600</v>
      </c>
      <c r="B607" s="123" t="str">
        <f>[1]트램표준체크리스트!B888</f>
        <v>통신</v>
      </c>
      <c r="C607" s="123" t="s">
        <v>1412</v>
      </c>
      <c r="D607" s="124" t="str">
        <f>[1]트램표준체크리스트!F888</f>
        <v>비상통화장치가 로컬용으로 한정되거나 음성안내설비가 누락되어 이례상황 시 승객 구호 지연 및 교통약자 민원이 유발될 리스크를 검토하였는가?</v>
      </c>
      <c r="E607" s="124" t="s">
        <v>3790</v>
      </c>
      <c r="F607" s="125" t="str">
        <f t="shared" si="15"/>
        <v>하</v>
      </c>
      <c r="G607" s="63" t="s">
        <v>2668</v>
      </c>
      <c r="H607" s="63" t="s">
        <v>2674</v>
      </c>
      <c r="I607" s="197" t="s">
        <v>3791</v>
      </c>
      <c r="J607" s="137" t="s">
        <v>4533</v>
      </c>
      <c r="K607" s="129"/>
      <c r="L607" s="138" t="s">
        <v>1492</v>
      </c>
      <c r="M607" s="130"/>
      <c r="N607" s="130"/>
      <c r="O607" s="130"/>
      <c r="P607" s="130"/>
      <c r="Q607" s="130"/>
      <c r="R607" s="130"/>
      <c r="S607" s="131"/>
      <c r="T607" s="130"/>
      <c r="U607" s="130"/>
      <c r="V607" s="130"/>
      <c r="W607" s="132" t="b">
        <v>0</v>
      </c>
      <c r="X607" s="132" t="b">
        <v>0</v>
      </c>
      <c r="Y607" s="133" t="b">
        <v>0</v>
      </c>
      <c r="Z607" s="127" t="s">
        <v>3739</v>
      </c>
      <c r="AA607" s="134"/>
      <c r="AB607" s="134"/>
      <c r="AC607" s="150"/>
      <c r="AD607" s="150"/>
      <c r="AE607" s="150"/>
      <c r="AF607" s="150"/>
      <c r="AG607" s="134"/>
      <c r="AH607" s="134"/>
      <c r="AI607" s="134"/>
      <c r="AJ607" s="134"/>
      <c r="AK607" s="134"/>
      <c r="AL607" s="134"/>
      <c r="AM607" s="134"/>
      <c r="AN607" s="134"/>
      <c r="AO607" s="134"/>
      <c r="AP607" s="134"/>
      <c r="AQ607" s="134"/>
      <c r="AR607" s="134"/>
      <c r="AS607" s="134"/>
      <c r="AT607" s="134"/>
    </row>
    <row r="608" spans="1:46" ht="119.25" customHeight="1" outlineLevel="1">
      <c r="A608" s="58">
        <v>601</v>
      </c>
      <c r="B608" s="92" t="str">
        <f>[1]트램표준체크리스트!B889</f>
        <v>통신</v>
      </c>
      <c r="C608" s="92" t="s">
        <v>1412</v>
      </c>
      <c r="D608" s="93" t="str">
        <f>[1]트램표준체크리스트!F889</f>
        <v>광케이블 단일 경로 설계 및 이중화 누락으로 외부 요인 단선 시 전 노선 통신·신호 관제가 전면 마비될 리스크를 검토하였는가?</v>
      </c>
      <c r="E608" s="93" t="s">
        <v>3792</v>
      </c>
      <c r="F608" s="94" t="str">
        <f t="shared" ref="F608:F671" si="16">_xlfn.LET(
_xlpm.v_발생, IF(ISNUMBER(SEARCH("빈번", G608)), "상",
IF(ISNUMBER(SEARCH("거의", G608)), "하", "중")),
_xlpm.v_영향, IF(ISNUMBER(SEARCH("1개월", H608)), "상",
IF(ISNUMBER(SEARCH("없음", H608)), "하", "중")),
IF(AND(_xlpm.v_발생="상", _xlpm.v_영향="상"), "극상",
IF(OR(_xlpm.v_발생="상", _xlpm.v_영향="상"), "상",
IF(AND(_xlpm.v_발생="하", _xlpm.v_영향="하"), "하",
"중")))
)</f>
        <v>하</v>
      </c>
      <c r="G608" s="63" t="s">
        <v>2668</v>
      </c>
      <c r="H608" s="63" t="s">
        <v>2674</v>
      </c>
      <c r="I608" s="199" t="s">
        <v>3793</v>
      </c>
      <c r="J608" s="137" t="s">
        <v>4533</v>
      </c>
      <c r="K608" s="97"/>
      <c r="L608" s="139" t="s">
        <v>1492</v>
      </c>
      <c r="M608" s="98"/>
      <c r="N608" s="98"/>
      <c r="O608" s="98"/>
      <c r="P608" s="98"/>
      <c r="Q608" s="98"/>
      <c r="R608" s="98"/>
      <c r="S608" s="99"/>
      <c r="T608" s="98"/>
      <c r="U608" s="98"/>
      <c r="V608" s="98"/>
      <c r="W608" s="100" t="b">
        <v>0</v>
      </c>
      <c r="X608" s="100" t="b">
        <v>0</v>
      </c>
      <c r="Y608" s="101" t="b">
        <v>0</v>
      </c>
      <c r="Z608" s="96" t="s">
        <v>3739</v>
      </c>
    </row>
    <row r="609" spans="1:46" ht="119.25" customHeight="1" outlineLevel="1">
      <c r="A609" s="58">
        <v>602</v>
      </c>
      <c r="B609" s="92" t="str">
        <f>[1]트램표준체크리스트!B890</f>
        <v>통신</v>
      </c>
      <c r="C609" s="92" t="s">
        <v>1412</v>
      </c>
      <c r="D609" s="93" t="str">
        <f>[1]트램표준체크리스트!F890</f>
        <v>스위치 By-Pass 기능 누락으로 단일 장애 시 링 망 전체 데이터 통신이 연쇄 마비될 리스크를 검토하였는가?</v>
      </c>
      <c r="E609" s="93" t="s">
        <v>3794</v>
      </c>
      <c r="F609" s="94" t="str">
        <f t="shared" si="16"/>
        <v>하</v>
      </c>
      <c r="G609" s="63" t="s">
        <v>2668</v>
      </c>
      <c r="H609" s="63" t="s">
        <v>2674</v>
      </c>
      <c r="I609" s="199" t="s">
        <v>3795</v>
      </c>
      <c r="J609" s="137" t="s">
        <v>4533</v>
      </c>
      <c r="K609" s="97"/>
      <c r="L609" s="139" t="s">
        <v>1492</v>
      </c>
      <c r="M609" s="98"/>
      <c r="N609" s="98"/>
      <c r="O609" s="98"/>
      <c r="P609" s="98"/>
      <c r="Q609" s="98"/>
      <c r="R609" s="98"/>
      <c r="S609" s="99"/>
      <c r="T609" s="98"/>
      <c r="U609" s="98"/>
      <c r="V609" s="98"/>
      <c r="W609" s="100" t="b">
        <v>0</v>
      </c>
      <c r="X609" s="100" t="b">
        <v>0</v>
      </c>
      <c r="Y609" s="101" t="b">
        <v>0</v>
      </c>
      <c r="Z609" s="96" t="s">
        <v>3739</v>
      </c>
    </row>
    <row r="610" spans="1:46" ht="119.25" customHeight="1" outlineLevel="1">
      <c r="A610" s="58">
        <v>603</v>
      </c>
      <c r="B610" s="92" t="str">
        <f>[1]트램표준체크리스트!B891</f>
        <v>통신</v>
      </c>
      <c r="C610" s="92" t="s">
        <v>1412</v>
      </c>
      <c r="D610" s="93" t="str">
        <f>[1]트램표준체크리스트!F891</f>
        <v>광 바이패스(By-Pass) 기능 누락으로 단일 정거장 전원 상실이 링 네트워크 전체 단절(Single Point of Failure)로 이어질 리스크를 검토하였는가?</v>
      </c>
      <c r="E610" s="93" t="s">
        <v>3796</v>
      </c>
      <c r="F610" s="94" t="str">
        <f t="shared" si="16"/>
        <v>하</v>
      </c>
      <c r="G610" s="63" t="s">
        <v>2668</v>
      </c>
      <c r="H610" s="63" t="s">
        <v>2674</v>
      </c>
      <c r="I610" s="199" t="s">
        <v>3797</v>
      </c>
      <c r="J610" s="137" t="s">
        <v>4533</v>
      </c>
      <c r="K610" s="97"/>
      <c r="L610" s="139" t="s">
        <v>1492</v>
      </c>
      <c r="M610" s="98"/>
      <c r="N610" s="98"/>
      <c r="O610" s="98"/>
      <c r="P610" s="98"/>
      <c r="Q610" s="98"/>
      <c r="R610" s="98"/>
      <c r="S610" s="99"/>
      <c r="T610" s="98"/>
      <c r="U610" s="98"/>
      <c r="V610" s="98"/>
      <c r="W610" s="100" t="b">
        <v>0</v>
      </c>
      <c r="X610" s="100" t="b">
        <v>0</v>
      </c>
      <c r="Y610" s="101" t="b">
        <v>0</v>
      </c>
      <c r="Z610" s="96" t="s">
        <v>3739</v>
      </c>
    </row>
    <row r="611" spans="1:46" s="134" customFormat="1" ht="119.25" customHeight="1" outlineLevel="1">
      <c r="A611" s="58">
        <v>604</v>
      </c>
      <c r="B611" s="92" t="str">
        <f>[1]트램표준체크리스트!B892</f>
        <v>통신</v>
      </c>
      <c r="C611" s="92" t="s">
        <v>1412</v>
      </c>
      <c r="D611" s="93" t="str">
        <f>[1]트램표준체크리스트!F892</f>
        <v>UPS·정류기 원격 감시(EMS) 설계 누락으로 배터리 방전·고장 조기 인지 실패 시 통신망 전면 셧다운이 발생할 리스크를 검토하였는가?</v>
      </c>
      <c r="E611" s="93" t="s">
        <v>3798</v>
      </c>
      <c r="F611" s="94" t="str">
        <f t="shared" si="16"/>
        <v>하</v>
      </c>
      <c r="G611" s="63" t="s">
        <v>2668</v>
      </c>
      <c r="H611" s="63" t="s">
        <v>2674</v>
      </c>
      <c r="I611" s="199" t="s">
        <v>3799</v>
      </c>
      <c r="J611" s="137" t="s">
        <v>4533</v>
      </c>
      <c r="K611" s="97"/>
      <c r="L611" s="139" t="s">
        <v>1492</v>
      </c>
      <c r="M611" s="98"/>
      <c r="N611" s="98"/>
      <c r="O611" s="98"/>
      <c r="P611" s="98"/>
      <c r="Q611" s="98"/>
      <c r="R611" s="98"/>
      <c r="S611" s="99"/>
      <c r="T611" s="98"/>
      <c r="U611" s="98"/>
      <c r="V611" s="98"/>
      <c r="W611" s="100" t="b">
        <v>0</v>
      </c>
      <c r="X611" s="100" t="b">
        <v>0</v>
      </c>
      <c r="Y611" s="101" t="b">
        <v>0</v>
      </c>
      <c r="Z611" s="96" t="s">
        <v>3739</v>
      </c>
      <c r="AA611" s="7"/>
      <c r="AB611" s="7"/>
      <c r="AC611" s="16"/>
      <c r="AD611" s="16"/>
      <c r="AE611" s="16"/>
      <c r="AF611" s="16"/>
      <c r="AG611" s="7"/>
      <c r="AH611" s="7"/>
      <c r="AI611" s="7"/>
      <c r="AJ611" s="7"/>
      <c r="AK611" s="7"/>
      <c r="AL611" s="7"/>
      <c r="AM611" s="7"/>
      <c r="AN611" s="7"/>
      <c r="AO611" s="7"/>
      <c r="AP611" s="7"/>
      <c r="AQ611" s="7"/>
      <c r="AR611" s="7"/>
      <c r="AS611" s="7"/>
      <c r="AT611" s="7"/>
    </row>
    <row r="612" spans="1:46" s="134" customFormat="1" ht="119.25" customHeight="1" outlineLevel="1">
      <c r="A612" s="58">
        <v>605</v>
      </c>
      <c r="B612" s="123" t="str">
        <f>[1]트램표준체크리스트!B893</f>
        <v>통신</v>
      </c>
      <c r="C612" s="123" t="s">
        <v>1412</v>
      </c>
      <c r="D612" s="124" t="str">
        <f>[1]트램표준체크리스트!F893</f>
        <v>장비 소모 전력 과소 산정 및 UPS 용량 부족 설계로, 정전 시 관제 기능 및 통신망이 마비될 리스크를 검토하였는가?</v>
      </c>
      <c r="E612" s="124" t="s">
        <v>3800</v>
      </c>
      <c r="F612" s="125" t="str">
        <f t="shared" si="16"/>
        <v>하</v>
      </c>
      <c r="G612" s="63" t="s">
        <v>2668</v>
      </c>
      <c r="H612" s="63" t="s">
        <v>2674</v>
      </c>
      <c r="I612" s="197" t="s">
        <v>3801</v>
      </c>
      <c r="J612" s="137" t="s">
        <v>4533</v>
      </c>
      <c r="K612" s="129"/>
      <c r="L612" s="138" t="s">
        <v>1492</v>
      </c>
      <c r="M612" s="130"/>
      <c r="N612" s="130"/>
      <c r="O612" s="130"/>
      <c r="P612" s="130"/>
      <c r="Q612" s="130"/>
      <c r="R612" s="130"/>
      <c r="S612" s="131"/>
      <c r="T612" s="130"/>
      <c r="U612" s="130"/>
      <c r="V612" s="130"/>
      <c r="W612" s="132" t="b">
        <v>0</v>
      </c>
      <c r="X612" s="132" t="b">
        <v>0</v>
      </c>
      <c r="Y612" s="133" t="b">
        <v>0</v>
      </c>
      <c r="Z612" s="127" t="s">
        <v>3739</v>
      </c>
      <c r="AC612" s="150"/>
      <c r="AD612" s="150"/>
      <c r="AE612" s="150"/>
      <c r="AF612" s="150"/>
    </row>
    <row r="613" spans="1:46" ht="119.25" customHeight="1" outlineLevel="1">
      <c r="A613" s="58">
        <v>606</v>
      </c>
      <c r="B613" s="123" t="str">
        <f>[1]트램표준체크리스트!B894</f>
        <v>통신</v>
      </c>
      <c r="C613" s="123" t="s">
        <v>1412</v>
      </c>
      <c r="D613" s="124" t="str">
        <f>[1]트램표준체크리스트!F894</f>
        <v>통합접지 연계 및 상시 접지저항 측정용 시험 단자 누락으로 준공 후 접지 성능 저하 시 즉각 점검이 불가해질 유지보수 저해 리스크를 검토하였는가?</v>
      </c>
      <c r="E613" s="124" t="s">
        <v>3802</v>
      </c>
      <c r="F613" s="125" t="str">
        <f t="shared" si="16"/>
        <v>하</v>
      </c>
      <c r="G613" s="63" t="s">
        <v>2668</v>
      </c>
      <c r="H613" s="63" t="s">
        <v>2674</v>
      </c>
      <c r="I613" s="197" t="s">
        <v>3803</v>
      </c>
      <c r="J613" s="137" t="s">
        <v>4533</v>
      </c>
      <c r="K613" s="129"/>
      <c r="L613" s="138" t="s">
        <v>1492</v>
      </c>
      <c r="M613" s="130"/>
      <c r="N613" s="130"/>
      <c r="O613" s="130"/>
      <c r="P613" s="130"/>
      <c r="Q613" s="130"/>
      <c r="R613" s="130"/>
      <c r="S613" s="131"/>
      <c r="T613" s="130"/>
      <c r="U613" s="130"/>
      <c r="V613" s="130"/>
      <c r="W613" s="132" t="b">
        <v>0</v>
      </c>
      <c r="X613" s="132" t="b">
        <v>0</v>
      </c>
      <c r="Y613" s="133" t="b">
        <v>0</v>
      </c>
      <c r="Z613" s="127" t="s">
        <v>3739</v>
      </c>
      <c r="AA613" s="134"/>
      <c r="AB613" s="134"/>
      <c r="AC613" s="150"/>
      <c r="AD613" s="150"/>
      <c r="AE613" s="150"/>
      <c r="AF613" s="150"/>
      <c r="AG613" s="134"/>
      <c r="AH613" s="134"/>
      <c r="AI613" s="134"/>
      <c r="AJ613" s="134"/>
      <c r="AK613" s="134"/>
      <c r="AL613" s="134"/>
      <c r="AM613" s="134"/>
      <c r="AN613" s="134"/>
      <c r="AO613" s="134"/>
      <c r="AP613" s="134"/>
      <c r="AQ613" s="134"/>
      <c r="AR613" s="134"/>
      <c r="AS613" s="134"/>
      <c r="AT613" s="134"/>
    </row>
    <row r="614" spans="1:46" ht="119.25" customHeight="1" outlineLevel="1">
      <c r="A614" s="58">
        <v>607</v>
      </c>
      <c r="B614" s="92" t="str">
        <f>[1]트램표준체크리스트!B895</f>
        <v>통신</v>
      </c>
      <c r="C614" s="92" t="s">
        <v>1412</v>
      </c>
      <c r="D614" s="93" t="str">
        <f>[1]트램표준체크리스트!F895</f>
        <v>분리형 시험단자 설계 누락으로 유지보수 시 통신장비 접지 성능 저하 판별이 불가해질 리스크를 검토하였는가?</v>
      </c>
      <c r="E614" s="93" t="s">
        <v>3804</v>
      </c>
      <c r="F614" s="94" t="str">
        <f t="shared" si="16"/>
        <v>하</v>
      </c>
      <c r="G614" s="63" t="s">
        <v>2668</v>
      </c>
      <c r="H614" s="63" t="s">
        <v>2674</v>
      </c>
      <c r="I614" s="199" t="s">
        <v>3805</v>
      </c>
      <c r="J614" s="137" t="s">
        <v>4533</v>
      </c>
      <c r="K614" s="97"/>
      <c r="L614" s="139" t="s">
        <v>1492</v>
      </c>
      <c r="M614" s="98"/>
      <c r="N614" s="98"/>
      <c r="O614" s="98"/>
      <c r="P614" s="98"/>
      <c r="Q614" s="98"/>
      <c r="R614" s="98"/>
      <c r="S614" s="99"/>
      <c r="T614" s="98"/>
      <c r="U614" s="98"/>
      <c r="V614" s="98"/>
      <c r="W614" s="100" t="b">
        <v>0</v>
      </c>
      <c r="X614" s="100" t="b">
        <v>0</v>
      </c>
      <c r="Y614" s="101" t="b">
        <v>0</v>
      </c>
      <c r="Z614" s="96" t="s">
        <v>3739</v>
      </c>
    </row>
    <row r="615" spans="1:46" s="134" customFormat="1" ht="119.25" customHeight="1" outlineLevel="1">
      <c r="A615" s="58">
        <v>608</v>
      </c>
      <c r="B615" s="92" t="str">
        <f>[1]트램표준체크리스트!B896</f>
        <v>통신</v>
      </c>
      <c r="C615" s="92" t="s">
        <v>1412</v>
      </c>
      <c r="D615" s="93" t="str">
        <f>[1]트램표준체크리스트!F896</f>
        <v>개별 함체 돌출로 도시 미관을 저해하거나, 샤프트 공간 누락으로 구조물 코어링 등 재작업이 발생할 리스크를 검토하였는가?</v>
      </c>
      <c r="E615" s="93" t="s">
        <v>3806</v>
      </c>
      <c r="F615" s="94" t="str">
        <f t="shared" si="16"/>
        <v>하</v>
      </c>
      <c r="G615" s="63" t="s">
        <v>2668</v>
      </c>
      <c r="H615" s="63" t="s">
        <v>2674</v>
      </c>
      <c r="I615" s="199" t="s">
        <v>3807</v>
      </c>
      <c r="J615" s="137" t="s">
        <v>4533</v>
      </c>
      <c r="K615" s="97"/>
      <c r="L615" s="139" t="s">
        <v>1492</v>
      </c>
      <c r="M615" s="98"/>
      <c r="N615" s="98"/>
      <c r="O615" s="98"/>
      <c r="P615" s="98"/>
      <c r="Q615" s="98"/>
      <c r="R615" s="98"/>
      <c r="S615" s="99"/>
      <c r="T615" s="98"/>
      <c r="U615" s="98"/>
      <c r="V615" s="98"/>
      <c r="W615" s="100" t="b">
        <v>0</v>
      </c>
      <c r="X615" s="100" t="b">
        <v>0</v>
      </c>
      <c r="Y615" s="101" t="b">
        <v>0</v>
      </c>
      <c r="Z615" s="96" t="s">
        <v>3739</v>
      </c>
      <c r="AA615" s="7"/>
      <c r="AB615" s="7"/>
      <c r="AC615" s="16"/>
      <c r="AD615" s="16"/>
      <c r="AE615" s="16"/>
      <c r="AF615" s="16"/>
      <c r="AG615" s="7"/>
      <c r="AH615" s="7"/>
      <c r="AI615" s="7"/>
      <c r="AJ615" s="7"/>
      <c r="AK615" s="7"/>
      <c r="AL615" s="7"/>
      <c r="AM615" s="7"/>
      <c r="AN615" s="7"/>
      <c r="AO615" s="7"/>
      <c r="AP615" s="7"/>
      <c r="AQ615" s="7"/>
      <c r="AR615" s="7"/>
      <c r="AS615" s="7"/>
      <c r="AT615" s="7"/>
    </row>
    <row r="616" spans="1:46" s="134" customFormat="1" ht="119.25" customHeight="1" outlineLevel="1">
      <c r="A616" s="58">
        <v>609</v>
      </c>
      <c r="B616" s="123" t="str">
        <f>[1]트램표준체크리스트!B897</f>
        <v>통신</v>
      </c>
      <c r="C616" s="123" t="s">
        <v>1412</v>
      </c>
      <c r="D616" s="124" t="str">
        <f>[1]트램표준체크리스트!F897</f>
        <v>기계 자동제어(DDC) 전용 통신포트 및 광케이블 할당 누락으로 환기팬·배수펌프 등 기계설비 원격 감시·제어가 불가해질 리스크를 검토하였는가?</v>
      </c>
      <c r="E616" s="124" t="s">
        <v>3808</v>
      </c>
      <c r="F616" s="125" t="str">
        <f t="shared" si="16"/>
        <v>하</v>
      </c>
      <c r="G616" s="63" t="s">
        <v>2668</v>
      </c>
      <c r="H616" s="63" t="s">
        <v>2674</v>
      </c>
      <c r="I616" s="197" t="s">
        <v>3809</v>
      </c>
      <c r="J616" s="137" t="s">
        <v>4533</v>
      </c>
      <c r="K616" s="129"/>
      <c r="L616" s="138" t="s">
        <v>1492</v>
      </c>
      <c r="M616" s="130"/>
      <c r="N616" s="130"/>
      <c r="O616" s="130"/>
      <c r="P616" s="130"/>
      <c r="Q616" s="130"/>
      <c r="R616" s="130"/>
      <c r="S616" s="131"/>
      <c r="T616" s="130"/>
      <c r="U616" s="130"/>
      <c r="V616" s="130"/>
      <c r="W616" s="132" t="b">
        <v>0</v>
      </c>
      <c r="X616" s="132" t="b">
        <v>0</v>
      </c>
      <c r="Y616" s="133" t="b">
        <v>0</v>
      </c>
      <c r="Z616" s="127" t="s">
        <v>3739</v>
      </c>
      <c r="AC616" s="150"/>
      <c r="AD616" s="150"/>
      <c r="AE616" s="150"/>
      <c r="AF616" s="150"/>
    </row>
    <row r="617" spans="1:46" ht="119.25" customHeight="1" outlineLevel="1">
      <c r="A617" s="58">
        <v>610</v>
      </c>
      <c r="B617" s="123" t="str">
        <f>[1]트램표준체크리스트!B898</f>
        <v>통신</v>
      </c>
      <c r="C617" s="123" t="s">
        <v>1412</v>
      </c>
      <c r="D617" s="124" t="str">
        <f>[1]트램표준체크리스트!F898</f>
        <v>교통신호제어기-차상 간 근거리 무선통신(WiFi 등) 설계 누락 및 규격 불일치로 교차로 트램 우선신호 체계가 미작동할 리스크를 검토하였는가?</v>
      </c>
      <c r="E617" s="124" t="s">
        <v>3810</v>
      </c>
      <c r="F617" s="125" t="str">
        <f t="shared" si="16"/>
        <v>하</v>
      </c>
      <c r="G617" s="63" t="s">
        <v>2668</v>
      </c>
      <c r="H617" s="63" t="s">
        <v>2674</v>
      </c>
      <c r="I617" s="197" t="s">
        <v>3811</v>
      </c>
      <c r="J617" s="137" t="s">
        <v>4533</v>
      </c>
      <c r="K617" s="129"/>
      <c r="L617" s="138" t="s">
        <v>1492</v>
      </c>
      <c r="M617" s="130"/>
      <c r="N617" s="130"/>
      <c r="O617" s="130"/>
      <c r="P617" s="130"/>
      <c r="Q617" s="130"/>
      <c r="R617" s="130"/>
      <c r="S617" s="131"/>
      <c r="T617" s="130"/>
      <c r="U617" s="130"/>
      <c r="V617" s="130"/>
      <c r="W617" s="132" t="b">
        <v>0</v>
      </c>
      <c r="X617" s="132" t="b">
        <v>0</v>
      </c>
      <c r="Y617" s="133" t="b">
        <v>0</v>
      </c>
      <c r="Z617" s="127" t="s">
        <v>3714</v>
      </c>
      <c r="AA617" s="134"/>
      <c r="AB617" s="134"/>
      <c r="AC617" s="150"/>
      <c r="AD617" s="150"/>
      <c r="AE617" s="150"/>
      <c r="AF617" s="150"/>
      <c r="AG617" s="134"/>
      <c r="AH617" s="134"/>
      <c r="AI617" s="134"/>
      <c r="AJ617" s="134"/>
      <c r="AK617" s="134"/>
      <c r="AL617" s="134"/>
      <c r="AM617" s="134"/>
      <c r="AN617" s="134"/>
      <c r="AO617" s="134"/>
      <c r="AP617" s="134"/>
      <c r="AQ617" s="134"/>
      <c r="AR617" s="134"/>
      <c r="AS617" s="134"/>
      <c r="AT617" s="134"/>
    </row>
    <row r="618" spans="1:46" s="134" customFormat="1" ht="119.25" customHeight="1" outlineLevel="1">
      <c r="A618" s="58">
        <v>611</v>
      </c>
      <c r="B618" s="92" t="str">
        <f>[1]트램표준체크리스트!B899</f>
        <v>통신</v>
      </c>
      <c r="C618" s="92" t="s">
        <v>1412</v>
      </c>
      <c r="D618" s="93" t="str">
        <f>[1]트램표준체크리스트!F899</f>
        <v>관제실-지자체 간 이중계 연동 및 보안기능 누락으로 우선신호 공유 불가 및 사이버 위협에 노출될 리스크를 검토하였는가?</v>
      </c>
      <c r="E618" s="93" t="s">
        <v>3812</v>
      </c>
      <c r="F618" s="94" t="str">
        <f t="shared" si="16"/>
        <v>하</v>
      </c>
      <c r="G618" s="63" t="s">
        <v>2668</v>
      </c>
      <c r="H618" s="63" t="s">
        <v>2674</v>
      </c>
      <c r="I618" s="199" t="s">
        <v>3813</v>
      </c>
      <c r="J618" s="137" t="s">
        <v>4533</v>
      </c>
      <c r="K618" s="97"/>
      <c r="L618" s="139" t="s">
        <v>1492</v>
      </c>
      <c r="M618" s="98"/>
      <c r="N618" s="98"/>
      <c r="O618" s="98"/>
      <c r="P618" s="98"/>
      <c r="Q618" s="98"/>
      <c r="R618" s="98"/>
      <c r="S618" s="99"/>
      <c r="T618" s="98"/>
      <c r="U618" s="98"/>
      <c r="V618" s="98"/>
      <c r="W618" s="100" t="b">
        <v>0</v>
      </c>
      <c r="X618" s="100" t="b">
        <v>0</v>
      </c>
      <c r="Y618" s="101" t="b">
        <v>0</v>
      </c>
      <c r="Z618" s="96" t="s">
        <v>3736</v>
      </c>
      <c r="AA618" s="7"/>
      <c r="AB618" s="7"/>
      <c r="AC618" s="16"/>
      <c r="AD618" s="16"/>
      <c r="AE618" s="16"/>
      <c r="AF618" s="16"/>
      <c r="AG618" s="7"/>
      <c r="AH618" s="7"/>
      <c r="AI618" s="7"/>
      <c r="AJ618" s="7"/>
      <c r="AK618" s="7"/>
      <c r="AL618" s="7"/>
      <c r="AM618" s="7"/>
      <c r="AN618" s="7"/>
      <c r="AO618" s="7"/>
      <c r="AP618" s="7"/>
      <c r="AQ618" s="7"/>
      <c r="AR618" s="7"/>
      <c r="AS618" s="7"/>
      <c r="AT618" s="7"/>
    </row>
    <row r="619" spans="1:46" ht="119.25" customHeight="1" outlineLevel="1">
      <c r="A619" s="58">
        <v>612</v>
      </c>
      <c r="B619" s="123" t="str">
        <f>[1]트램표준체크리스트!B900</f>
        <v>통신</v>
      </c>
      <c r="C619" s="123" t="s">
        <v>1412</v>
      </c>
      <c r="D619" s="124" t="str">
        <f>[1]트램표준체크리스트!F900</f>
        <v>방송설비-화재수신반 간 연동 회로 및 인터페이스 누락으로 화재 감지 시 비상 대피 방송이 출력되지 않을 리스크를 검토하였는가?</v>
      </c>
      <c r="E619" s="124" t="s">
        <v>3814</v>
      </c>
      <c r="F619" s="125" t="str">
        <f t="shared" si="16"/>
        <v>하</v>
      </c>
      <c r="G619" s="63" t="s">
        <v>2668</v>
      </c>
      <c r="H619" s="63" t="s">
        <v>2674</v>
      </c>
      <c r="I619" s="197" t="s">
        <v>3815</v>
      </c>
      <c r="J619" s="137" t="s">
        <v>4533</v>
      </c>
      <c r="K619" s="129"/>
      <c r="L619" s="138" t="s">
        <v>1492</v>
      </c>
      <c r="M619" s="130"/>
      <c r="N619" s="130"/>
      <c r="O619" s="130"/>
      <c r="P619" s="130"/>
      <c r="Q619" s="130"/>
      <c r="R619" s="130"/>
      <c r="S619" s="131"/>
      <c r="T619" s="130"/>
      <c r="U619" s="130"/>
      <c r="V619" s="130"/>
      <c r="W619" s="132" t="b">
        <v>0</v>
      </c>
      <c r="X619" s="132" t="b">
        <v>0</v>
      </c>
      <c r="Y619" s="133" t="b">
        <v>0</v>
      </c>
      <c r="Z619" s="127" t="s">
        <v>3706</v>
      </c>
      <c r="AA619" s="134"/>
      <c r="AB619" s="134"/>
      <c r="AC619" s="150"/>
      <c r="AD619" s="150"/>
      <c r="AE619" s="150"/>
      <c r="AF619" s="150"/>
      <c r="AG619" s="134"/>
      <c r="AH619" s="134"/>
      <c r="AI619" s="134"/>
      <c r="AJ619" s="134"/>
      <c r="AK619" s="134"/>
      <c r="AL619" s="134"/>
      <c r="AM619" s="134"/>
      <c r="AN619" s="134"/>
      <c r="AO619" s="134"/>
      <c r="AP619" s="134"/>
      <c r="AQ619" s="134"/>
      <c r="AR619" s="134"/>
      <c r="AS619" s="134"/>
      <c r="AT619" s="134"/>
    </row>
    <row r="620" spans="1:46" s="134" customFormat="1" ht="119.25" customHeight="1" outlineLevel="1">
      <c r="A620" s="58">
        <v>613</v>
      </c>
      <c r="B620" s="92" t="str">
        <f>[1]트램표준체크리스트!B901</f>
        <v>통신</v>
      </c>
      <c r="C620" s="92" t="s">
        <v>1412</v>
      </c>
      <c r="D620" s="93" t="str">
        <f>[1]트램표준체크리스트!F901</f>
        <v>IoT 센서-백본망 간 통신 프로토콜 및 대역폭 할당 설계 누락으로 구조물 계측 데이터 원격 감시가 불가해질 리스크를 검토하였는가?</v>
      </c>
      <c r="E620" s="93" t="s">
        <v>3816</v>
      </c>
      <c r="F620" s="94" t="str">
        <f t="shared" si="16"/>
        <v>하</v>
      </c>
      <c r="G620" s="63" t="s">
        <v>2668</v>
      </c>
      <c r="H620" s="63" t="s">
        <v>2674</v>
      </c>
      <c r="I620" s="199" t="s">
        <v>3817</v>
      </c>
      <c r="J620" s="137" t="s">
        <v>4533</v>
      </c>
      <c r="K620" s="97"/>
      <c r="L620" s="139" t="s">
        <v>1492</v>
      </c>
      <c r="M620" s="98"/>
      <c r="N620" s="98"/>
      <c r="O620" s="98"/>
      <c r="P620" s="98"/>
      <c r="Q620" s="98"/>
      <c r="R620" s="98"/>
      <c r="S620" s="99"/>
      <c r="T620" s="98"/>
      <c r="U620" s="98"/>
      <c r="V620" s="98"/>
      <c r="W620" s="100" t="b">
        <v>0</v>
      </c>
      <c r="X620" s="100" t="b">
        <v>0</v>
      </c>
      <c r="Y620" s="101" t="b">
        <v>0</v>
      </c>
      <c r="Z620" s="96" t="s">
        <v>3736</v>
      </c>
      <c r="AA620" s="7"/>
      <c r="AB620" s="7"/>
      <c r="AC620" s="16"/>
      <c r="AD620" s="16"/>
      <c r="AE620" s="16"/>
      <c r="AF620" s="16"/>
      <c r="AG620" s="7"/>
      <c r="AH620" s="7"/>
      <c r="AI620" s="7"/>
      <c r="AJ620" s="7"/>
      <c r="AK620" s="7"/>
      <c r="AL620" s="7"/>
      <c r="AM620" s="7"/>
      <c r="AN620" s="7"/>
      <c r="AO620" s="7"/>
      <c r="AP620" s="7"/>
      <c r="AQ620" s="7"/>
      <c r="AR620" s="7"/>
      <c r="AS620" s="7"/>
      <c r="AT620" s="7"/>
    </row>
    <row r="621" spans="1:46" ht="119.25" customHeight="1" outlineLevel="1">
      <c r="A621" s="58">
        <v>614</v>
      </c>
      <c r="B621" s="123" t="str">
        <f>[1]트램표준체크리스트!B902</f>
        <v>통신</v>
      </c>
      <c r="C621" s="123" t="s">
        <v>1412</v>
      </c>
      <c r="D621" s="124" t="str">
        <f>[1]트램표준체크리스트!F902</f>
        <v>타 분야(신호/전력) 연동 광포트 및 회선 대역폭 설계 누락으로 개통 후 종합관제실 열차제어 및 전력망 원격 통제가 불가해질 리스크를 검토하였는가?</v>
      </c>
      <c r="E621" s="124" t="s">
        <v>3818</v>
      </c>
      <c r="F621" s="125" t="str">
        <f t="shared" si="16"/>
        <v>하</v>
      </c>
      <c r="G621" s="63" t="s">
        <v>2668</v>
      </c>
      <c r="H621" s="63" t="s">
        <v>2674</v>
      </c>
      <c r="I621" s="197" t="s">
        <v>3819</v>
      </c>
      <c r="J621" s="137" t="s">
        <v>4533</v>
      </c>
      <c r="K621" s="129"/>
      <c r="L621" s="138" t="s">
        <v>1492</v>
      </c>
      <c r="M621" s="130"/>
      <c r="N621" s="130"/>
      <c r="O621" s="130"/>
      <c r="P621" s="130"/>
      <c r="Q621" s="130"/>
      <c r="R621" s="130"/>
      <c r="S621" s="131"/>
      <c r="T621" s="130"/>
      <c r="U621" s="130"/>
      <c r="V621" s="130"/>
      <c r="W621" s="132" t="b">
        <v>0</v>
      </c>
      <c r="X621" s="132" t="b">
        <v>0</v>
      </c>
      <c r="Y621" s="133" t="b">
        <v>0</v>
      </c>
      <c r="Z621" s="127" t="s">
        <v>3736</v>
      </c>
      <c r="AA621" s="134"/>
      <c r="AB621" s="134"/>
      <c r="AC621" s="150"/>
      <c r="AD621" s="150"/>
      <c r="AE621" s="150"/>
      <c r="AF621" s="150"/>
      <c r="AG621" s="134"/>
      <c r="AH621" s="134"/>
      <c r="AI621" s="134"/>
      <c r="AJ621" s="134"/>
      <c r="AK621" s="134"/>
      <c r="AL621" s="134"/>
      <c r="AM621" s="134"/>
      <c r="AN621" s="134"/>
      <c r="AO621" s="134"/>
      <c r="AP621" s="134"/>
      <c r="AQ621" s="134"/>
      <c r="AR621" s="134"/>
      <c r="AS621" s="134"/>
      <c r="AT621" s="134"/>
    </row>
    <row r="622" spans="1:46" ht="119.25" customHeight="1" outlineLevel="1">
      <c r="A622" s="58">
        <v>615</v>
      </c>
      <c r="B622" s="92" t="str">
        <f>[1]트램표준체크리스트!B903</f>
        <v>통신</v>
      </c>
      <c r="C622" s="92" t="s">
        <v>1412</v>
      </c>
      <c r="D622" s="93" t="str">
        <f>[1]트램표준체크리스트!F903</f>
        <v>열차의 교차로 통과시 우선요청 무선신호 전송 실패 리스크를 검토하였는가?</v>
      </c>
      <c r="E622" s="93" t="s">
        <v>3820</v>
      </c>
      <c r="F622" s="94" t="str">
        <f t="shared" si="16"/>
        <v>하</v>
      </c>
      <c r="G622" s="63" t="s">
        <v>2668</v>
      </c>
      <c r="H622" s="63" t="s">
        <v>2674</v>
      </c>
      <c r="I622" s="199"/>
      <c r="J622" s="137" t="s">
        <v>4533</v>
      </c>
      <c r="K622" s="97"/>
      <c r="L622" s="139" t="s">
        <v>1492</v>
      </c>
      <c r="M622" s="98"/>
      <c r="N622" s="98"/>
      <c r="O622" s="98"/>
      <c r="P622" s="98"/>
      <c r="Q622" s="98"/>
      <c r="R622" s="98"/>
      <c r="S622" s="99"/>
      <c r="T622" s="98"/>
      <c r="U622" s="98"/>
      <c r="V622" s="98"/>
      <c r="W622" s="100" t="b">
        <v>0</v>
      </c>
      <c r="X622" s="100" t="b">
        <v>0</v>
      </c>
      <c r="Y622" s="101" t="b">
        <v>0</v>
      </c>
      <c r="Z622" s="96" t="s">
        <v>3714</v>
      </c>
    </row>
    <row r="623" spans="1:46" ht="119.25" customHeight="1" outlineLevel="1">
      <c r="A623" s="58">
        <v>616</v>
      </c>
      <c r="B623" s="92" t="str">
        <f>[1]트램표준체크리스트!B904</f>
        <v>통신</v>
      </c>
      <c r="C623" s="92" t="s">
        <v>1412</v>
      </c>
      <c r="D623" s="93" t="str">
        <f>[1]트램표준체크리스트!F904</f>
        <v>열차의 교차로 통과시 우선요청 무선신호 전송 실패 리스크를 검토하였는가?</v>
      </c>
      <c r="E623" s="93" t="s">
        <v>3820</v>
      </c>
      <c r="F623" s="94" t="str">
        <f t="shared" si="16"/>
        <v>하</v>
      </c>
      <c r="G623" s="63" t="s">
        <v>2668</v>
      </c>
      <c r="H623" s="63" t="s">
        <v>2674</v>
      </c>
      <c r="I623" s="199"/>
      <c r="J623" s="137" t="s">
        <v>4533</v>
      </c>
      <c r="K623" s="97"/>
      <c r="L623" s="139" t="s">
        <v>1492</v>
      </c>
      <c r="M623" s="98"/>
      <c r="N623" s="98"/>
      <c r="O623" s="98"/>
      <c r="P623" s="98"/>
      <c r="Q623" s="98"/>
      <c r="R623" s="98"/>
      <c r="S623" s="99"/>
      <c r="T623" s="98"/>
      <c r="U623" s="98"/>
      <c r="V623" s="98"/>
      <c r="W623" s="100" t="b">
        <v>0</v>
      </c>
      <c r="X623" s="100" t="b">
        <v>0</v>
      </c>
      <c r="Y623" s="101" t="b">
        <v>0</v>
      </c>
      <c r="Z623" s="96" t="s">
        <v>3714</v>
      </c>
    </row>
    <row r="624" spans="1:46" ht="119.25" customHeight="1" outlineLevel="1">
      <c r="A624" s="58">
        <v>617</v>
      </c>
      <c r="B624" s="92" t="str">
        <f>[1]트램표준체크리스트!B905</f>
        <v>통신</v>
      </c>
      <c r="C624" s="92" t="s">
        <v>1412</v>
      </c>
      <c r="D624" s="93" t="str">
        <f>[1]트램표준체크리스트!F905</f>
        <v>통합접지망 연계 누락 및 독립 접지 오설계로 낙뢰 시 장비 간 전위차가 발생해 통신 보드 소손 및 통신 장애가 유발될 리스크를 검토하였는가?</v>
      </c>
      <c r="E624" s="93" t="s">
        <v>3821</v>
      </c>
      <c r="F624" s="94" t="str">
        <f t="shared" si="16"/>
        <v>하</v>
      </c>
      <c r="G624" s="63" t="s">
        <v>2668</v>
      </c>
      <c r="H624" s="63" t="s">
        <v>2674</v>
      </c>
      <c r="I624" s="199" t="s">
        <v>3822</v>
      </c>
      <c r="J624" s="137" t="s">
        <v>4533</v>
      </c>
      <c r="K624" s="97"/>
      <c r="L624" s="139" t="s">
        <v>1492</v>
      </c>
      <c r="M624" s="98"/>
      <c r="N624" s="98"/>
      <c r="O624" s="98"/>
      <c r="P624" s="98"/>
      <c r="Q624" s="98"/>
      <c r="R624" s="98"/>
      <c r="S624" s="99"/>
      <c r="T624" s="98"/>
      <c r="U624" s="98"/>
      <c r="V624" s="98"/>
      <c r="W624" s="100" t="b">
        <v>0</v>
      </c>
      <c r="X624" s="100" t="b">
        <v>0</v>
      </c>
      <c r="Y624" s="101" t="b">
        <v>0</v>
      </c>
      <c r="Z624" s="96" t="s">
        <v>3739</v>
      </c>
    </row>
    <row r="625" spans="1:46" ht="119.25" customHeight="1" outlineLevel="1">
      <c r="A625" s="58">
        <v>618</v>
      </c>
      <c r="B625" s="92" t="str">
        <f>[1]트램표준체크리스트!B906</f>
        <v>통신</v>
      </c>
      <c r="C625" s="92" t="s">
        <v>1412</v>
      </c>
      <c r="D625" s="93" t="str">
        <f>[1]트램표준체크리스트!F906</f>
        <v>고압 충전설비 인근 통신 선로 병행 배치 및 케이블 이격 누락으로 노이즈에 의한 통신 데이터 손실·관제 마비가 발생할 리스크를 검토하였는가?</v>
      </c>
      <c r="E625" s="93" t="s">
        <v>3823</v>
      </c>
      <c r="F625" s="94" t="str">
        <f t="shared" si="16"/>
        <v>하</v>
      </c>
      <c r="G625" s="63" t="s">
        <v>2668</v>
      </c>
      <c r="H625" s="63" t="s">
        <v>2674</v>
      </c>
      <c r="I625" s="199" t="s">
        <v>3824</v>
      </c>
      <c r="J625" s="137" t="s">
        <v>4533</v>
      </c>
      <c r="K625" s="97"/>
      <c r="L625" s="139" t="s">
        <v>1492</v>
      </c>
      <c r="M625" s="98"/>
      <c r="N625" s="98"/>
      <c r="O625" s="98"/>
      <c r="P625" s="98"/>
      <c r="Q625" s="98"/>
      <c r="R625" s="98"/>
      <c r="S625" s="99"/>
      <c r="T625" s="98"/>
      <c r="U625" s="98"/>
      <c r="V625" s="98"/>
      <c r="W625" s="100" t="b">
        <v>0</v>
      </c>
      <c r="X625" s="100" t="b">
        <v>0</v>
      </c>
      <c r="Y625" s="101" t="b">
        <v>0</v>
      </c>
      <c r="Z625" s="96" t="s">
        <v>3736</v>
      </c>
    </row>
    <row r="626" spans="1:46" ht="119.25" customHeight="1" outlineLevel="1">
      <c r="A626" s="58">
        <v>619</v>
      </c>
      <c r="B626" s="92" t="str">
        <f>[1]트램표준체크리스트!B907</f>
        <v>통신</v>
      </c>
      <c r="C626" s="92" t="s">
        <v>1412</v>
      </c>
      <c r="D626" s="93" t="str">
        <f>[1]트램표준체크리스트!F907</f>
        <v>출입문당 AFC 단말기(2대 이상) 배치 설계와 차량 도면 불일치로 거치 공간 부족 및 제어 전원 배선이 누락될 인터페이스 리스크를 검토하였는가?</v>
      </c>
      <c r="E626" s="93" t="s">
        <v>3825</v>
      </c>
      <c r="F626" s="94" t="str">
        <f t="shared" si="16"/>
        <v>하</v>
      </c>
      <c r="G626" s="63" t="s">
        <v>2668</v>
      </c>
      <c r="H626" s="63" t="s">
        <v>2674</v>
      </c>
      <c r="I626" s="199" t="s">
        <v>3826</v>
      </c>
      <c r="J626" s="137" t="s">
        <v>4533</v>
      </c>
      <c r="K626" s="97"/>
      <c r="L626" s="139" t="s">
        <v>1492</v>
      </c>
      <c r="M626" s="98"/>
      <c r="N626" s="98"/>
      <c r="O626" s="98"/>
      <c r="P626" s="98"/>
      <c r="Q626" s="98"/>
      <c r="R626" s="98"/>
      <c r="S626" s="99"/>
      <c r="T626" s="98"/>
      <c r="U626" s="98"/>
      <c r="V626" s="98"/>
      <c r="W626" s="100" t="b">
        <v>0</v>
      </c>
      <c r="X626" s="100" t="b">
        <v>0</v>
      </c>
      <c r="Y626" s="101" t="b">
        <v>0</v>
      </c>
      <c r="Z626" s="96" t="s">
        <v>3706</v>
      </c>
    </row>
    <row r="627" spans="1:46" s="134" customFormat="1" ht="119.25" customHeight="1" outlineLevel="1">
      <c r="A627" s="58">
        <v>620</v>
      </c>
      <c r="B627" s="92" t="str">
        <f>[1]트램표준체크리스트!B908</f>
        <v>통신</v>
      </c>
      <c r="C627" s="92" t="s">
        <v>1412</v>
      </c>
      <c r="D627" s="93" t="str">
        <f>[1]트램표준체크리스트!F908</f>
        <v>내환경 성능 요구사항 누락에 따른 일반 상용품 적용으로 주행 중 장비 파손 및 오작동이 발생할 리스크를 검토하였는가?</v>
      </c>
      <c r="E627" s="93" t="s">
        <v>3827</v>
      </c>
      <c r="F627" s="94" t="str">
        <f t="shared" si="16"/>
        <v>하</v>
      </c>
      <c r="G627" s="63" t="s">
        <v>2668</v>
      </c>
      <c r="H627" s="63" t="s">
        <v>2674</v>
      </c>
      <c r="I627" s="199" t="s">
        <v>3828</v>
      </c>
      <c r="J627" s="137" t="s">
        <v>4533</v>
      </c>
      <c r="K627" s="97"/>
      <c r="L627" s="139" t="s">
        <v>1492</v>
      </c>
      <c r="M627" s="98"/>
      <c r="N627" s="98"/>
      <c r="O627" s="98"/>
      <c r="P627" s="98"/>
      <c r="Q627" s="98"/>
      <c r="R627" s="98"/>
      <c r="S627" s="99"/>
      <c r="T627" s="98"/>
      <c r="U627" s="98"/>
      <c r="V627" s="98"/>
      <c r="W627" s="100" t="b">
        <v>0</v>
      </c>
      <c r="X627" s="100" t="b">
        <v>0</v>
      </c>
      <c r="Y627" s="101" t="b">
        <v>0</v>
      </c>
      <c r="Z627" s="96" t="s">
        <v>3736</v>
      </c>
      <c r="AA627" s="7"/>
      <c r="AB627" s="7"/>
      <c r="AC627" s="16"/>
      <c r="AD627" s="16"/>
      <c r="AE627" s="16"/>
      <c r="AF627" s="16"/>
      <c r="AG627" s="7"/>
      <c r="AH627" s="7"/>
      <c r="AI627" s="7"/>
      <c r="AJ627" s="7"/>
      <c r="AK627" s="7"/>
      <c r="AL627" s="7"/>
      <c r="AM627" s="7"/>
      <c r="AN627" s="7"/>
      <c r="AO627" s="7"/>
      <c r="AP627" s="7"/>
      <c r="AQ627" s="7"/>
      <c r="AR627" s="7"/>
      <c r="AS627" s="7"/>
      <c r="AT627" s="7"/>
    </row>
    <row r="628" spans="1:46" ht="119.25" customHeight="1" outlineLevel="1">
      <c r="A628" s="58">
        <v>621</v>
      </c>
      <c r="B628" s="123" t="str">
        <f>[1]트램표준체크리스트!B909</f>
        <v>통신</v>
      </c>
      <c r="C628" s="123" t="s">
        <v>1412</v>
      </c>
      <c r="D628" s="124" t="str">
        <f>[1]트램표준체크리스트!F909</f>
        <v>통신장비 규격 및 설치 조건이 차량 설계에 적기 미반영되어, 차량 제작 시 부착 공간 부족이나 전원 용량이 미달될 인터페이스 누락 리스크를 검토하였는가?</v>
      </c>
      <c r="E628" s="124" t="s">
        <v>3829</v>
      </c>
      <c r="F628" s="125" t="str">
        <f t="shared" si="16"/>
        <v>하</v>
      </c>
      <c r="G628" s="63" t="s">
        <v>2668</v>
      </c>
      <c r="H628" s="63" t="s">
        <v>2674</v>
      </c>
      <c r="I628" s="197" t="s">
        <v>3830</v>
      </c>
      <c r="J628" s="137" t="s">
        <v>4533</v>
      </c>
      <c r="K628" s="129"/>
      <c r="L628" s="138" t="s">
        <v>1492</v>
      </c>
      <c r="M628" s="130"/>
      <c r="N628" s="130"/>
      <c r="O628" s="130"/>
      <c r="P628" s="130"/>
      <c r="Q628" s="130"/>
      <c r="R628" s="130"/>
      <c r="S628" s="131"/>
      <c r="T628" s="130"/>
      <c r="U628" s="130"/>
      <c r="V628" s="130"/>
      <c r="W628" s="132" t="b">
        <v>0</v>
      </c>
      <c r="X628" s="132" t="b">
        <v>0</v>
      </c>
      <c r="Y628" s="133" t="b">
        <v>0</v>
      </c>
      <c r="Z628" s="127" t="s">
        <v>3706</v>
      </c>
      <c r="AA628" s="134"/>
      <c r="AB628" s="134"/>
      <c r="AC628" s="150"/>
      <c r="AD628" s="150"/>
      <c r="AE628" s="150"/>
      <c r="AF628" s="150"/>
      <c r="AG628" s="134"/>
      <c r="AH628" s="134"/>
      <c r="AI628" s="134"/>
      <c r="AJ628" s="134"/>
      <c r="AK628" s="134"/>
      <c r="AL628" s="134"/>
      <c r="AM628" s="134"/>
      <c r="AN628" s="134"/>
      <c r="AO628" s="134"/>
      <c r="AP628" s="134"/>
      <c r="AQ628" s="134"/>
      <c r="AR628" s="134"/>
      <c r="AS628" s="134"/>
      <c r="AT628" s="134"/>
    </row>
    <row r="629" spans="1:46" ht="119.25" customHeight="1" outlineLevel="1">
      <c r="A629" s="58">
        <v>622</v>
      </c>
      <c r="B629" s="92" t="str">
        <f>[1]트램표준체크리스트!B910</f>
        <v>통신</v>
      </c>
      <c r="C629" s="92" t="s">
        <v>1412</v>
      </c>
      <c r="D629" s="93" t="str">
        <f>[1]트램표준체크리스트!F910</f>
        <v>선로 횡단 강제전선관 및 공동관로 설계가 토목 도면에서 누락돼 통신망 구축이 원천 불가해질 인터페이스 오류 리스크를 검토하였는가?</v>
      </c>
      <c r="E629" s="93" t="s">
        <v>3831</v>
      </c>
      <c r="F629" s="94" t="str">
        <f t="shared" si="16"/>
        <v>하</v>
      </c>
      <c r="G629" s="63" t="s">
        <v>2668</v>
      </c>
      <c r="H629" s="63" t="s">
        <v>2674</v>
      </c>
      <c r="I629" s="199" t="s">
        <v>3832</v>
      </c>
      <c r="J629" s="137" t="s">
        <v>4533</v>
      </c>
      <c r="K629" s="97"/>
      <c r="L629" s="139" t="s">
        <v>1492</v>
      </c>
      <c r="M629" s="98"/>
      <c r="N629" s="98"/>
      <c r="O629" s="98"/>
      <c r="P629" s="98"/>
      <c r="Q629" s="98"/>
      <c r="R629" s="98"/>
      <c r="S629" s="99"/>
      <c r="T629" s="98"/>
      <c r="U629" s="98"/>
      <c r="V629" s="98"/>
      <c r="W629" s="100" t="b">
        <v>0</v>
      </c>
      <c r="X629" s="100" t="b">
        <v>0</v>
      </c>
      <c r="Y629" s="101" t="b">
        <v>0</v>
      </c>
      <c r="Z629" s="96" t="s">
        <v>3706</v>
      </c>
    </row>
    <row r="630" spans="1:46" s="134" customFormat="1" ht="119.25" customHeight="1" outlineLevel="1">
      <c r="A630" s="58">
        <v>623</v>
      </c>
      <c r="B630" s="92" t="str">
        <f>[1]트램표준체크리스트!B911</f>
        <v>통신</v>
      </c>
      <c r="C630" s="92" t="s">
        <v>1412</v>
      </c>
      <c r="D630" s="93" t="str">
        <f>[1]트램표준체크리스트!F911</f>
        <v>일반인 궤도내 무단 침입에 따른 사고 발생 우려 리스크를 검토하였는가?</v>
      </c>
      <c r="E630" s="93" t="s">
        <v>3833</v>
      </c>
      <c r="F630" s="94" t="str">
        <f t="shared" si="16"/>
        <v>하</v>
      </c>
      <c r="G630" s="63" t="s">
        <v>2668</v>
      </c>
      <c r="H630" s="63" t="s">
        <v>2674</v>
      </c>
      <c r="I630" s="199"/>
      <c r="J630" s="137" t="s">
        <v>4533</v>
      </c>
      <c r="K630" s="97"/>
      <c r="L630" s="139" t="s">
        <v>1492</v>
      </c>
      <c r="M630" s="98"/>
      <c r="N630" s="98"/>
      <c r="O630" s="98"/>
      <c r="P630" s="98"/>
      <c r="Q630" s="98"/>
      <c r="R630" s="98"/>
      <c r="S630" s="99"/>
      <c r="T630" s="98"/>
      <c r="U630" s="98"/>
      <c r="V630" s="98"/>
      <c r="W630" s="100" t="b">
        <v>0</v>
      </c>
      <c r="X630" s="100" t="b">
        <v>0</v>
      </c>
      <c r="Y630" s="101" t="b">
        <v>0</v>
      </c>
      <c r="Z630" s="96" t="s">
        <v>3736</v>
      </c>
      <c r="AA630" s="7"/>
      <c r="AB630" s="7"/>
      <c r="AC630" s="16"/>
      <c r="AD630" s="16"/>
      <c r="AE630" s="16"/>
      <c r="AF630" s="16"/>
      <c r="AG630" s="7"/>
      <c r="AH630" s="7"/>
      <c r="AI630" s="7"/>
      <c r="AJ630" s="7"/>
      <c r="AK630" s="7"/>
      <c r="AL630" s="7"/>
      <c r="AM630" s="7"/>
      <c r="AN630" s="7"/>
      <c r="AO630" s="7"/>
      <c r="AP630" s="7"/>
      <c r="AQ630" s="7"/>
      <c r="AR630" s="7"/>
      <c r="AS630" s="7"/>
      <c r="AT630" s="7"/>
    </row>
    <row r="631" spans="1:46" ht="119.25" customHeight="1" outlineLevel="1">
      <c r="A631" s="58">
        <v>624</v>
      </c>
      <c r="B631" s="123" t="str">
        <f>[1]트램표준체크리스트!B912</f>
        <v>통신</v>
      </c>
      <c r="C631" s="123" t="s">
        <v>1412</v>
      </c>
      <c r="D631" s="124" t="str">
        <f>[1]트램표준체크리스트!F912</f>
        <v>IP 교환기(IP-PBX) 회선 용량 오류로 예산을 낭비하거나 화상 통화 기능 누락으로 비상시 관제원-현장 간 상황 공유가 불가능해질 리스크를 검토하였는가?</v>
      </c>
      <c r="E631" s="124" t="s">
        <v>3834</v>
      </c>
      <c r="F631" s="125" t="str">
        <f t="shared" si="16"/>
        <v>하</v>
      </c>
      <c r="G631" s="63" t="s">
        <v>2668</v>
      </c>
      <c r="H631" s="63" t="s">
        <v>2674</v>
      </c>
      <c r="I631" s="197" t="s">
        <v>3835</v>
      </c>
      <c r="J631" s="137" t="s">
        <v>4533</v>
      </c>
      <c r="K631" s="129"/>
      <c r="L631" s="138" t="s">
        <v>1492</v>
      </c>
      <c r="M631" s="130"/>
      <c r="N631" s="130"/>
      <c r="O631" s="130"/>
      <c r="P631" s="130"/>
      <c r="Q631" s="130"/>
      <c r="R631" s="130"/>
      <c r="S631" s="131"/>
      <c r="T631" s="130"/>
      <c r="U631" s="130"/>
      <c r="V631" s="130"/>
      <c r="W631" s="132" t="b">
        <v>0</v>
      </c>
      <c r="X631" s="132" t="b">
        <v>0</v>
      </c>
      <c r="Y631" s="133" t="b">
        <v>0</v>
      </c>
      <c r="Z631" s="127" t="s">
        <v>3739</v>
      </c>
      <c r="AA631" s="134"/>
      <c r="AB631" s="134"/>
      <c r="AC631" s="150"/>
      <c r="AD631" s="150"/>
      <c r="AE631" s="150"/>
      <c r="AF631" s="150"/>
      <c r="AG631" s="134"/>
      <c r="AH631" s="134"/>
      <c r="AI631" s="134"/>
      <c r="AJ631" s="134"/>
      <c r="AK631" s="134"/>
      <c r="AL631" s="134"/>
      <c r="AM631" s="134"/>
      <c r="AN631" s="134"/>
      <c r="AO631" s="134"/>
      <c r="AP631" s="134"/>
      <c r="AQ631" s="134"/>
      <c r="AR631" s="134"/>
      <c r="AS631" s="134"/>
      <c r="AT631" s="134"/>
    </row>
    <row r="632" spans="1:46" s="134" customFormat="1" ht="119.25" customHeight="1" outlineLevel="1">
      <c r="A632" s="58">
        <v>625</v>
      </c>
      <c r="B632" s="92" t="str">
        <f>[1]트램표준체크리스트!B913</f>
        <v>통신</v>
      </c>
      <c r="C632" s="92" t="s">
        <v>1412</v>
      </c>
      <c r="D632" s="93" t="str">
        <f>[1]트램표준체크리스트!F913</f>
        <v>LTE-R 대역폭 부족 및 인터페이스 설계 오류로 비상시 관제실의 객실 실시간 확인이 불가할 리스크를 검토하였는가?</v>
      </c>
      <c r="E632" s="93" t="s">
        <v>3836</v>
      </c>
      <c r="F632" s="94" t="str">
        <f t="shared" si="16"/>
        <v>하</v>
      </c>
      <c r="G632" s="63" t="s">
        <v>2668</v>
      </c>
      <c r="H632" s="63" t="s">
        <v>2674</v>
      </c>
      <c r="I632" s="199" t="s">
        <v>3837</v>
      </c>
      <c r="J632" s="137" t="s">
        <v>4533</v>
      </c>
      <c r="K632" s="97"/>
      <c r="L632" s="139" t="s">
        <v>1492</v>
      </c>
      <c r="M632" s="98"/>
      <c r="N632" s="98"/>
      <c r="O632" s="98"/>
      <c r="P632" s="98"/>
      <c r="Q632" s="98"/>
      <c r="R632" s="98"/>
      <c r="S632" s="99"/>
      <c r="T632" s="98"/>
      <c r="U632" s="98"/>
      <c r="V632" s="98"/>
      <c r="W632" s="100" t="b">
        <v>0</v>
      </c>
      <c r="X632" s="100" t="b">
        <v>0</v>
      </c>
      <c r="Y632" s="101" t="b">
        <v>0</v>
      </c>
      <c r="Z632" s="96" t="s">
        <v>3706</v>
      </c>
      <c r="AA632" s="7"/>
      <c r="AB632" s="7"/>
      <c r="AC632" s="16"/>
      <c r="AD632" s="16"/>
      <c r="AE632" s="16"/>
      <c r="AF632" s="16"/>
      <c r="AG632" s="7"/>
      <c r="AH632" s="7"/>
      <c r="AI632" s="7"/>
      <c r="AJ632" s="7"/>
      <c r="AK632" s="7"/>
      <c r="AL632" s="7"/>
      <c r="AM632" s="7"/>
      <c r="AN632" s="7"/>
      <c r="AO632" s="7"/>
      <c r="AP632" s="7"/>
      <c r="AQ632" s="7"/>
      <c r="AR632" s="7"/>
      <c r="AS632" s="7"/>
      <c r="AT632" s="7"/>
    </row>
    <row r="633" spans="1:46" ht="119.25" customHeight="1" outlineLevel="1">
      <c r="A633" s="58">
        <v>626</v>
      </c>
      <c r="B633" s="123" t="str">
        <f>[1]트램표준체크리스트!B914</f>
        <v>통신</v>
      </c>
      <c r="C633" s="123" t="s">
        <v>1412</v>
      </c>
      <c r="D633" s="124" t="str">
        <f>[1]트램표준체크리스트!F914</f>
        <v>통합 모니터링용 NMS/EMS 설계 누락 및 분할 감시 설계로 인해 통신 장애 시 원인 파악 및 복구 대응이 지연될 리스크를 검토하였는가?</v>
      </c>
      <c r="E633" s="124" t="s">
        <v>3838</v>
      </c>
      <c r="F633" s="125" t="str">
        <f t="shared" si="16"/>
        <v>하</v>
      </c>
      <c r="G633" s="63" t="s">
        <v>2668</v>
      </c>
      <c r="H633" s="63" t="s">
        <v>2674</v>
      </c>
      <c r="I633" s="197" t="s">
        <v>3839</v>
      </c>
      <c r="J633" s="137" t="s">
        <v>4533</v>
      </c>
      <c r="K633" s="129"/>
      <c r="L633" s="138" t="s">
        <v>1492</v>
      </c>
      <c r="M633" s="130"/>
      <c r="N633" s="130"/>
      <c r="O633" s="130"/>
      <c r="P633" s="130"/>
      <c r="Q633" s="130"/>
      <c r="R633" s="130"/>
      <c r="S633" s="131"/>
      <c r="T633" s="130"/>
      <c r="U633" s="130"/>
      <c r="V633" s="130"/>
      <c r="W633" s="132" t="b">
        <v>0</v>
      </c>
      <c r="X633" s="132" t="b">
        <v>0</v>
      </c>
      <c r="Y633" s="133" t="b">
        <v>0</v>
      </c>
      <c r="Z633" s="127" t="s">
        <v>3739</v>
      </c>
      <c r="AA633" s="134"/>
      <c r="AB633" s="134"/>
      <c r="AC633" s="150"/>
      <c r="AD633" s="150"/>
      <c r="AE633" s="150"/>
      <c r="AF633" s="150"/>
      <c r="AG633" s="134"/>
      <c r="AH633" s="134"/>
      <c r="AI633" s="134"/>
      <c r="AJ633" s="134"/>
      <c r="AK633" s="134"/>
      <c r="AL633" s="134"/>
      <c r="AM633" s="134"/>
      <c r="AN633" s="134"/>
      <c r="AO633" s="134"/>
      <c r="AP633" s="134"/>
      <c r="AQ633" s="134"/>
      <c r="AR633" s="134"/>
      <c r="AS633" s="134"/>
      <c r="AT633" s="134"/>
    </row>
    <row r="634" spans="1:46" s="134" customFormat="1" ht="119.25" customHeight="1" outlineLevel="1">
      <c r="A634" s="58">
        <v>627</v>
      </c>
      <c r="B634" s="92" t="str">
        <f>[1]트램표준체크리스트!B915</f>
        <v>통신</v>
      </c>
      <c r="C634" s="92" t="s">
        <v>1412</v>
      </c>
      <c r="D634" s="93" t="str">
        <f>[1]트램표준체크리스트!F915</f>
        <v>타이트한 용량 산정으로 향후 노선 확장 시 통신망 수용 한계 초과 및 막대한 교체 비용이 발생할 리스크를 검토하였는가?</v>
      </c>
      <c r="E634" s="93" t="s">
        <v>3840</v>
      </c>
      <c r="F634" s="94" t="str">
        <f t="shared" si="16"/>
        <v>하</v>
      </c>
      <c r="G634" s="63" t="s">
        <v>2668</v>
      </c>
      <c r="H634" s="63" t="s">
        <v>2674</v>
      </c>
      <c r="I634" s="199" t="s">
        <v>3841</v>
      </c>
      <c r="J634" s="137" t="s">
        <v>4533</v>
      </c>
      <c r="K634" s="97"/>
      <c r="L634" s="139" t="s">
        <v>1492</v>
      </c>
      <c r="M634" s="98"/>
      <c r="N634" s="98"/>
      <c r="O634" s="98"/>
      <c r="P634" s="98"/>
      <c r="Q634" s="98"/>
      <c r="R634" s="98"/>
      <c r="S634" s="99"/>
      <c r="T634" s="98"/>
      <c r="U634" s="98"/>
      <c r="V634" s="98"/>
      <c r="W634" s="100" t="b">
        <v>0</v>
      </c>
      <c r="X634" s="100" t="b">
        <v>0</v>
      </c>
      <c r="Y634" s="101" t="b">
        <v>0</v>
      </c>
      <c r="Z634" s="96" t="s">
        <v>3739</v>
      </c>
      <c r="AA634" s="7"/>
      <c r="AB634" s="7"/>
      <c r="AC634" s="16"/>
      <c r="AD634" s="16"/>
      <c r="AE634" s="16"/>
      <c r="AF634" s="16"/>
      <c r="AG634" s="7"/>
      <c r="AH634" s="7"/>
      <c r="AI634" s="7"/>
      <c r="AJ634" s="7"/>
      <c r="AK634" s="7"/>
      <c r="AL634" s="7"/>
      <c r="AM634" s="7"/>
      <c r="AN634" s="7"/>
      <c r="AO634" s="7"/>
      <c r="AP634" s="7"/>
      <c r="AQ634" s="7"/>
      <c r="AR634" s="7"/>
      <c r="AS634" s="7"/>
      <c r="AT634" s="7"/>
    </row>
    <row r="635" spans="1:46" ht="119.25" customHeight="1" outlineLevel="1">
      <c r="A635" s="58">
        <v>628</v>
      </c>
      <c r="B635" s="123" t="str">
        <f>[1]트램표준체크리스트!B916</f>
        <v>통신</v>
      </c>
      <c r="C635" s="123" t="s">
        <v>1412</v>
      </c>
      <c r="D635" s="124" t="str">
        <f>[1]트램표준체크리스트!F916</f>
        <v>장래 노선 연장 대비 H/W 및 S/W 예비 용량 누락으로 노선 확장 시 관제 통신망 전체를 셧다운·재구축해야 할 리스크를 검토하였는가?</v>
      </c>
      <c r="E635" s="124" t="s">
        <v>3842</v>
      </c>
      <c r="F635" s="125" t="str">
        <f t="shared" si="16"/>
        <v>하</v>
      </c>
      <c r="G635" s="63" t="s">
        <v>2668</v>
      </c>
      <c r="H635" s="63" t="s">
        <v>2674</v>
      </c>
      <c r="I635" s="197" t="s">
        <v>3843</v>
      </c>
      <c r="J635" s="137" t="s">
        <v>4533</v>
      </c>
      <c r="K635" s="129"/>
      <c r="L635" s="138" t="s">
        <v>1492</v>
      </c>
      <c r="M635" s="130"/>
      <c r="N635" s="130"/>
      <c r="O635" s="130"/>
      <c r="P635" s="130"/>
      <c r="Q635" s="130"/>
      <c r="R635" s="130"/>
      <c r="S635" s="131"/>
      <c r="T635" s="130"/>
      <c r="U635" s="130"/>
      <c r="V635" s="130"/>
      <c r="W635" s="132" t="b">
        <v>0</v>
      </c>
      <c r="X635" s="132" t="b">
        <v>0</v>
      </c>
      <c r="Y635" s="133" t="b">
        <v>0</v>
      </c>
      <c r="Z635" s="127" t="s">
        <v>3739</v>
      </c>
      <c r="AA635" s="134"/>
      <c r="AB635" s="134"/>
      <c r="AC635" s="150"/>
      <c r="AD635" s="150"/>
      <c r="AE635" s="150"/>
      <c r="AF635" s="150"/>
      <c r="AG635" s="134"/>
      <c r="AH635" s="134"/>
      <c r="AI635" s="134"/>
      <c r="AJ635" s="134"/>
      <c r="AK635" s="134"/>
      <c r="AL635" s="134"/>
      <c r="AM635" s="134"/>
      <c r="AN635" s="134"/>
      <c r="AO635" s="134"/>
      <c r="AP635" s="134"/>
      <c r="AQ635" s="134"/>
      <c r="AR635" s="134"/>
      <c r="AS635" s="134"/>
      <c r="AT635" s="134"/>
    </row>
    <row r="636" spans="1:46" ht="119.25" customHeight="1" outlineLevel="1">
      <c r="A636" s="58">
        <v>629</v>
      </c>
      <c r="B636" s="92" t="str">
        <f>[1]트램표준체크리스트!B917</f>
        <v>통신</v>
      </c>
      <c r="C636" s="92" t="s">
        <v>1412</v>
      </c>
      <c r="D636" s="93" t="str">
        <f>[1]트램표준체크리스트!F917</f>
        <v>발열 장비 이격 거리 및 불연 차단막 설치 누락으로 단일 장비 과열·스파크 시 화재가 전체 통신설비로 확산될 방재 리스크를 검토하였는가?</v>
      </c>
      <c r="E636" s="93" t="s">
        <v>3844</v>
      </c>
      <c r="F636" s="94" t="str">
        <f t="shared" si="16"/>
        <v>하</v>
      </c>
      <c r="G636" s="63" t="s">
        <v>2668</v>
      </c>
      <c r="H636" s="63" t="s">
        <v>2674</v>
      </c>
      <c r="I636" s="199" t="s">
        <v>3845</v>
      </c>
      <c r="J636" s="137" t="s">
        <v>4533</v>
      </c>
      <c r="K636" s="97"/>
      <c r="L636" s="139" t="s">
        <v>1492</v>
      </c>
      <c r="M636" s="98"/>
      <c r="N636" s="98"/>
      <c r="O636" s="98"/>
      <c r="P636" s="98"/>
      <c r="Q636" s="98"/>
      <c r="R636" s="98"/>
      <c r="S636" s="99"/>
      <c r="T636" s="98"/>
      <c r="U636" s="98"/>
      <c r="V636" s="98"/>
      <c r="W636" s="100" t="b">
        <v>0</v>
      </c>
      <c r="X636" s="100" t="b">
        <v>0</v>
      </c>
      <c r="Y636" s="101" t="b">
        <v>0</v>
      </c>
      <c r="Z636" s="96" t="s">
        <v>3736</v>
      </c>
    </row>
    <row r="637" spans="1:46" s="134" customFormat="1" ht="119.25" customHeight="1" outlineLevel="1">
      <c r="A637" s="58">
        <v>630</v>
      </c>
      <c r="B637" s="92" t="str">
        <f>[1]트램표준체크리스트!B918</f>
        <v>통신</v>
      </c>
      <c r="C637" s="92" t="s">
        <v>1412</v>
      </c>
      <c r="D637" s="93" t="str">
        <f>[1]트램표준체크리스트!F918</f>
        <v>옥외 조도 미고려 디스플레이 선정 및 음성안내설비 누락으로 정보 전달 실패 및 교통약자 이동 편의를 저해할 리스크를 검토하였는가?</v>
      </c>
      <c r="E637" s="93" t="s">
        <v>3846</v>
      </c>
      <c r="F637" s="94" t="str">
        <f t="shared" si="16"/>
        <v>하</v>
      </c>
      <c r="G637" s="63" t="s">
        <v>2668</v>
      </c>
      <c r="H637" s="63" t="s">
        <v>2674</v>
      </c>
      <c r="I637" s="199" t="s">
        <v>3847</v>
      </c>
      <c r="J637" s="137" t="s">
        <v>4533</v>
      </c>
      <c r="K637" s="97"/>
      <c r="L637" s="139" t="s">
        <v>1492</v>
      </c>
      <c r="M637" s="98"/>
      <c r="N637" s="98"/>
      <c r="O637" s="98"/>
      <c r="P637" s="98"/>
      <c r="Q637" s="98"/>
      <c r="R637" s="98"/>
      <c r="S637" s="99"/>
      <c r="T637" s="98"/>
      <c r="U637" s="98"/>
      <c r="V637" s="98"/>
      <c r="W637" s="100" t="b">
        <v>0</v>
      </c>
      <c r="X637" s="100" t="b">
        <v>0</v>
      </c>
      <c r="Y637" s="101" t="b">
        <v>0</v>
      </c>
      <c r="Z637" s="96" t="s">
        <v>3736</v>
      </c>
      <c r="AA637" s="7"/>
      <c r="AB637" s="7"/>
      <c r="AC637" s="16"/>
      <c r="AD637" s="16"/>
      <c r="AE637" s="16"/>
      <c r="AF637" s="16"/>
      <c r="AG637" s="7"/>
      <c r="AH637" s="7"/>
      <c r="AI637" s="7"/>
      <c r="AJ637" s="7"/>
      <c r="AK637" s="7"/>
      <c r="AL637" s="7"/>
      <c r="AM637" s="7"/>
      <c r="AN637" s="7"/>
      <c r="AO637" s="7"/>
      <c r="AP637" s="7"/>
      <c r="AQ637" s="7"/>
      <c r="AR637" s="7"/>
      <c r="AS637" s="7"/>
      <c r="AT637" s="7"/>
    </row>
    <row r="638" spans="1:46" ht="119.25" customHeight="1">
      <c r="A638" s="58">
        <v>631</v>
      </c>
      <c r="B638" s="123" t="str">
        <f>[1]트램표준체크리스트!B919</f>
        <v>통신</v>
      </c>
      <c r="C638" s="123" t="s">
        <v>1412</v>
      </c>
      <c r="D638" s="124" t="str">
        <f>[1]트램표준체크리스트!F919</f>
        <v>저해상도 LED 적용으로 정보 전달력이 저하되거나, 방수/항온 외함 누락으로 직사광선에 의한 패널 흑화(Black Out) 현상이 발생할 리스크를 검토하였는가?</v>
      </c>
      <c r="E638" s="124" t="s">
        <v>3848</v>
      </c>
      <c r="F638" s="125" t="str">
        <f t="shared" si="16"/>
        <v>하</v>
      </c>
      <c r="G638" s="63" t="s">
        <v>2668</v>
      </c>
      <c r="H638" s="63" t="s">
        <v>2674</v>
      </c>
      <c r="I638" s="197" t="s">
        <v>2715</v>
      </c>
      <c r="J638" s="137" t="s">
        <v>4533</v>
      </c>
      <c r="K638" s="129"/>
      <c r="L638" s="138" t="s">
        <v>1492</v>
      </c>
      <c r="M638" s="130"/>
      <c r="N638" s="130"/>
      <c r="O638" s="130"/>
      <c r="P638" s="130"/>
      <c r="Q638" s="130"/>
      <c r="R638" s="130"/>
      <c r="S638" s="131"/>
      <c r="T638" s="130"/>
      <c r="U638" s="130"/>
      <c r="V638" s="130"/>
      <c r="W638" s="132" t="b">
        <v>0</v>
      </c>
      <c r="X638" s="132" t="b">
        <v>0</v>
      </c>
      <c r="Y638" s="133" t="b">
        <v>0</v>
      </c>
      <c r="Z638" s="127" t="s">
        <v>3736</v>
      </c>
      <c r="AA638" s="134"/>
      <c r="AB638" s="134"/>
      <c r="AC638" s="150"/>
      <c r="AD638" s="150"/>
      <c r="AE638" s="150"/>
      <c r="AF638" s="150"/>
      <c r="AG638" s="134"/>
      <c r="AH638" s="134"/>
      <c r="AI638" s="134"/>
      <c r="AJ638" s="134"/>
      <c r="AK638" s="134"/>
      <c r="AL638" s="134"/>
      <c r="AM638" s="134"/>
      <c r="AN638" s="134"/>
      <c r="AO638" s="134"/>
      <c r="AP638" s="134"/>
      <c r="AQ638" s="134"/>
      <c r="AR638" s="134"/>
      <c r="AS638" s="134"/>
      <c r="AT638" s="134"/>
    </row>
    <row r="639" spans="1:46" ht="119.25" customHeight="1">
      <c r="A639" s="58">
        <v>632</v>
      </c>
      <c r="B639" s="80" t="s">
        <v>1460</v>
      </c>
      <c r="C639" s="80" t="s">
        <v>1414</v>
      </c>
      <c r="D639" s="60" t="s">
        <v>2131</v>
      </c>
      <c r="E639" s="60" t="s">
        <v>958</v>
      </c>
      <c r="F639" s="62" t="str">
        <f t="shared" si="16"/>
        <v>하</v>
      </c>
      <c r="G639" s="63" t="s">
        <v>2668</v>
      </c>
      <c r="H639" s="63" t="s">
        <v>2674</v>
      </c>
      <c r="I639" s="190" t="s">
        <v>959</v>
      </c>
      <c r="J639" s="137" t="s">
        <v>4534</v>
      </c>
      <c r="K639" s="79"/>
      <c r="L639" s="137" t="s">
        <v>1492</v>
      </c>
      <c r="M639" s="67"/>
      <c r="N639" s="67"/>
      <c r="O639" s="67"/>
      <c r="P639" s="67"/>
      <c r="Q639" s="67"/>
      <c r="R639" s="67"/>
      <c r="S639" s="81" t="s">
        <v>1418</v>
      </c>
      <c r="T639" s="67"/>
      <c r="U639" s="67"/>
      <c r="V639" s="67"/>
      <c r="W639" s="88" t="b">
        <v>0</v>
      </c>
      <c r="X639" s="88" t="b">
        <v>0</v>
      </c>
      <c r="Y639" s="89" t="b">
        <v>0</v>
      </c>
      <c r="Z639" s="73" t="s">
        <v>960</v>
      </c>
    </row>
    <row r="640" spans="1:46" ht="119.25" customHeight="1">
      <c r="A640" s="58">
        <v>633</v>
      </c>
      <c r="B640" s="80" t="s">
        <v>1460</v>
      </c>
      <c r="C640" s="80" t="s">
        <v>1414</v>
      </c>
      <c r="D640" s="60" t="s">
        <v>2132</v>
      </c>
      <c r="E640" s="60" t="s">
        <v>961</v>
      </c>
      <c r="F640" s="62" t="str">
        <f t="shared" si="16"/>
        <v>하</v>
      </c>
      <c r="G640" s="63" t="s">
        <v>2668</v>
      </c>
      <c r="H640" s="63" t="s">
        <v>2674</v>
      </c>
      <c r="I640" s="190" t="s">
        <v>962</v>
      </c>
      <c r="J640" s="137" t="s">
        <v>1417</v>
      </c>
      <c r="K640" s="79"/>
      <c r="L640" s="137" t="s">
        <v>1492</v>
      </c>
      <c r="M640" s="67"/>
      <c r="N640" s="67"/>
      <c r="O640" s="67"/>
      <c r="P640" s="67"/>
      <c r="Q640" s="67"/>
      <c r="R640" s="67"/>
      <c r="S640" s="81" t="s">
        <v>1418</v>
      </c>
      <c r="T640" s="67"/>
      <c r="U640" s="67"/>
      <c r="V640" s="67"/>
      <c r="W640" s="88" t="b">
        <v>1</v>
      </c>
      <c r="X640" s="88" t="b">
        <v>0</v>
      </c>
      <c r="Y640" s="89" t="b">
        <v>0</v>
      </c>
      <c r="Z640" s="73" t="s">
        <v>960</v>
      </c>
    </row>
    <row r="641" spans="1:46" ht="119.25" customHeight="1">
      <c r="A641" s="58">
        <v>634</v>
      </c>
      <c r="B641" s="80" t="s">
        <v>1427</v>
      </c>
      <c r="C641" s="80" t="s">
        <v>1414</v>
      </c>
      <c r="D641" s="60" t="s">
        <v>2133</v>
      </c>
      <c r="E641" s="60" t="s">
        <v>963</v>
      </c>
      <c r="F641" s="62" t="str">
        <f t="shared" si="16"/>
        <v>하</v>
      </c>
      <c r="G641" s="63" t="s">
        <v>2668</v>
      </c>
      <c r="H641" s="63" t="s">
        <v>2674</v>
      </c>
      <c r="I641" s="190" t="s">
        <v>964</v>
      </c>
      <c r="J641" s="137" t="s">
        <v>1417</v>
      </c>
      <c r="K641" s="79"/>
      <c r="L641" s="137" t="s">
        <v>1492</v>
      </c>
      <c r="M641" s="67"/>
      <c r="N641" s="67"/>
      <c r="O641" s="67"/>
      <c r="P641" s="67"/>
      <c r="Q641" s="67"/>
      <c r="R641" s="67"/>
      <c r="S641" s="81" t="s">
        <v>1418</v>
      </c>
      <c r="T641" s="67"/>
      <c r="U641" s="67"/>
      <c r="V641" s="67"/>
      <c r="W641" s="88" t="b">
        <v>1</v>
      </c>
      <c r="X641" s="88" t="b">
        <v>1</v>
      </c>
      <c r="Y641" s="89" t="b">
        <v>1</v>
      </c>
      <c r="Z641" s="73" t="s">
        <v>960</v>
      </c>
    </row>
    <row r="642" spans="1:46" ht="119.25" customHeight="1">
      <c r="A642" s="58">
        <v>635</v>
      </c>
      <c r="B642" s="80" t="s">
        <v>1427</v>
      </c>
      <c r="C642" s="80" t="s">
        <v>1414</v>
      </c>
      <c r="D642" s="60" t="s">
        <v>2134</v>
      </c>
      <c r="E642" s="60" t="s">
        <v>965</v>
      </c>
      <c r="F642" s="62" t="str">
        <f t="shared" si="16"/>
        <v>하</v>
      </c>
      <c r="G642" s="63" t="s">
        <v>2668</v>
      </c>
      <c r="H642" s="63" t="s">
        <v>2674</v>
      </c>
      <c r="I642" s="190" t="s">
        <v>966</v>
      </c>
      <c r="J642" s="137" t="s">
        <v>1417</v>
      </c>
      <c r="K642" s="79"/>
      <c r="L642" s="137" t="s">
        <v>1492</v>
      </c>
      <c r="M642" s="67"/>
      <c r="N642" s="67"/>
      <c r="O642" s="67"/>
      <c r="P642" s="67"/>
      <c r="Q642" s="67"/>
      <c r="R642" s="67"/>
      <c r="S642" s="81" t="s">
        <v>1418</v>
      </c>
      <c r="T642" s="67"/>
      <c r="U642" s="67"/>
      <c r="V642" s="67"/>
      <c r="W642" s="88" t="b">
        <v>0</v>
      </c>
      <c r="X642" s="88" t="b">
        <v>0</v>
      </c>
      <c r="Y642" s="89" t="b">
        <v>1</v>
      </c>
      <c r="Z642" s="73" t="s">
        <v>960</v>
      </c>
    </row>
    <row r="643" spans="1:46" ht="119.25" customHeight="1">
      <c r="A643" s="58">
        <v>636</v>
      </c>
      <c r="B643" s="80" t="s">
        <v>1427</v>
      </c>
      <c r="C643" s="80" t="s">
        <v>1414</v>
      </c>
      <c r="D643" s="60" t="s">
        <v>2135</v>
      </c>
      <c r="E643" s="60" t="s">
        <v>967</v>
      </c>
      <c r="F643" s="62" t="str">
        <f t="shared" si="16"/>
        <v>하</v>
      </c>
      <c r="G643" s="63" t="s">
        <v>2668</v>
      </c>
      <c r="H643" s="63" t="s">
        <v>2674</v>
      </c>
      <c r="I643" s="190" t="s">
        <v>968</v>
      </c>
      <c r="J643" s="137" t="s">
        <v>1417</v>
      </c>
      <c r="K643" s="79"/>
      <c r="L643" s="137" t="s">
        <v>1492</v>
      </c>
      <c r="M643" s="67"/>
      <c r="N643" s="67"/>
      <c r="O643" s="67"/>
      <c r="P643" s="67"/>
      <c r="Q643" s="67"/>
      <c r="R643" s="67"/>
      <c r="S643" s="81" t="s">
        <v>1418</v>
      </c>
      <c r="T643" s="67"/>
      <c r="U643" s="67"/>
      <c r="V643" s="67"/>
      <c r="W643" s="88" t="b">
        <v>0</v>
      </c>
      <c r="X643" s="88" t="b">
        <v>0</v>
      </c>
      <c r="Y643" s="89" t="b">
        <v>1</v>
      </c>
      <c r="Z643" s="73" t="s">
        <v>960</v>
      </c>
    </row>
    <row r="644" spans="1:46" ht="119.25" customHeight="1">
      <c r="A644" s="58">
        <v>637</v>
      </c>
      <c r="B644" s="80" t="s">
        <v>1460</v>
      </c>
      <c r="C644" s="80" t="s">
        <v>1414</v>
      </c>
      <c r="D644" s="60" t="s">
        <v>2136</v>
      </c>
      <c r="E644" s="60" t="s">
        <v>969</v>
      </c>
      <c r="F644" s="62" t="str">
        <f t="shared" si="16"/>
        <v>하</v>
      </c>
      <c r="G644" s="63" t="s">
        <v>2668</v>
      </c>
      <c r="H644" s="63" t="s">
        <v>2674</v>
      </c>
      <c r="I644" s="190" t="s">
        <v>970</v>
      </c>
      <c r="J644" s="137" t="s">
        <v>1417</v>
      </c>
      <c r="K644" s="79"/>
      <c r="L644" s="137" t="s">
        <v>1492</v>
      </c>
      <c r="M644" s="67"/>
      <c r="N644" s="67"/>
      <c r="O644" s="67"/>
      <c r="P644" s="67"/>
      <c r="Q644" s="67"/>
      <c r="R644" s="67"/>
      <c r="S644" s="81" t="s">
        <v>1418</v>
      </c>
      <c r="T644" s="67"/>
      <c r="U644" s="67"/>
      <c r="V644" s="67"/>
      <c r="W644" s="88" t="b">
        <v>0</v>
      </c>
      <c r="X644" s="88" t="b">
        <v>0</v>
      </c>
      <c r="Y644" s="89" t="b">
        <v>1</v>
      </c>
      <c r="Z644" s="73" t="s">
        <v>960</v>
      </c>
    </row>
    <row r="645" spans="1:46" s="134" customFormat="1" ht="103.65" customHeight="1">
      <c r="A645" s="58">
        <v>638</v>
      </c>
      <c r="B645" s="80" t="s">
        <v>1427</v>
      </c>
      <c r="C645" s="80" t="s">
        <v>1414</v>
      </c>
      <c r="D645" s="60" t="s">
        <v>2137</v>
      </c>
      <c r="E645" s="60" t="s">
        <v>971</v>
      </c>
      <c r="F645" s="62" t="str">
        <f t="shared" si="16"/>
        <v>하</v>
      </c>
      <c r="G645" s="63" t="s">
        <v>2668</v>
      </c>
      <c r="H645" s="63" t="s">
        <v>2674</v>
      </c>
      <c r="I645" s="190" t="s">
        <v>972</v>
      </c>
      <c r="J645" s="137" t="s">
        <v>1417</v>
      </c>
      <c r="K645" s="79"/>
      <c r="L645" s="137" t="s">
        <v>1492</v>
      </c>
      <c r="M645" s="67"/>
      <c r="N645" s="67"/>
      <c r="O645" s="67"/>
      <c r="P645" s="67"/>
      <c r="Q645" s="67"/>
      <c r="R645" s="67"/>
      <c r="S645" s="81" t="s">
        <v>1418</v>
      </c>
      <c r="T645" s="67"/>
      <c r="U645" s="67"/>
      <c r="V645" s="67"/>
      <c r="W645" s="88" t="b">
        <v>0</v>
      </c>
      <c r="X645" s="88" t="b">
        <v>0</v>
      </c>
      <c r="Y645" s="89" t="b">
        <v>1</v>
      </c>
      <c r="Z645" s="73" t="s">
        <v>960</v>
      </c>
      <c r="AA645" s="7"/>
      <c r="AB645" s="7"/>
      <c r="AC645" s="16"/>
      <c r="AD645" s="16"/>
      <c r="AE645" s="16"/>
      <c r="AF645" s="16"/>
      <c r="AG645" s="7"/>
      <c r="AH645" s="7"/>
      <c r="AI645" s="7"/>
      <c r="AJ645" s="7"/>
      <c r="AK645" s="7"/>
      <c r="AL645" s="7"/>
      <c r="AM645" s="7"/>
      <c r="AN645" s="7"/>
      <c r="AO645" s="7"/>
      <c r="AP645" s="7"/>
      <c r="AQ645" s="7"/>
      <c r="AR645" s="7"/>
      <c r="AS645" s="7"/>
      <c r="AT645" s="7"/>
    </row>
    <row r="646" spans="1:46" ht="119.25" customHeight="1">
      <c r="A646" s="58">
        <v>639</v>
      </c>
      <c r="B646" s="122" t="s">
        <v>32</v>
      </c>
      <c r="C646" s="125" t="s">
        <v>4435</v>
      </c>
      <c r="D646" s="124" t="s">
        <v>1480</v>
      </c>
      <c r="E646" s="124" t="s">
        <v>1481</v>
      </c>
      <c r="F646" s="125" t="str">
        <f t="shared" si="16"/>
        <v>하</v>
      </c>
      <c r="G646" s="126" t="s">
        <v>2668</v>
      </c>
      <c r="H646" s="126" t="s">
        <v>2674</v>
      </c>
      <c r="I646" s="195" t="s">
        <v>1482</v>
      </c>
      <c r="J646" s="141" t="s">
        <v>4247</v>
      </c>
      <c r="K646" s="142"/>
      <c r="L646" s="141" t="s">
        <v>1492</v>
      </c>
      <c r="M646" s="128"/>
      <c r="N646" s="141"/>
      <c r="O646" s="128"/>
      <c r="P646" s="141"/>
      <c r="Q646" s="130"/>
      <c r="R646" s="143"/>
      <c r="S646" s="144" t="s">
        <v>1418</v>
      </c>
      <c r="T646" s="143"/>
      <c r="U646" s="141"/>
      <c r="V646" s="145"/>
      <c r="W646" s="147" t="b">
        <v>1</v>
      </c>
      <c r="X646" s="146" t="b">
        <v>0</v>
      </c>
      <c r="Y646" s="147" t="b">
        <v>1</v>
      </c>
      <c r="Z646" s="148" t="s">
        <v>1467</v>
      </c>
      <c r="AA646" s="134"/>
      <c r="AB646" s="134"/>
      <c r="AC646" s="150"/>
      <c r="AD646" s="150"/>
      <c r="AE646" s="150"/>
      <c r="AF646" s="150"/>
      <c r="AG646" s="134"/>
      <c r="AH646" s="134"/>
      <c r="AI646" s="134"/>
      <c r="AJ646" s="150"/>
      <c r="AK646" s="150"/>
      <c r="AL646" s="150"/>
      <c r="AM646" s="150"/>
      <c r="AN646" s="150"/>
      <c r="AO646" s="150"/>
      <c r="AP646" s="150"/>
      <c r="AQ646" s="150"/>
      <c r="AR646" s="150"/>
      <c r="AS646" s="134"/>
      <c r="AT646" s="134"/>
    </row>
    <row r="647" spans="1:46" ht="119.25" customHeight="1">
      <c r="A647" s="58">
        <v>640</v>
      </c>
      <c r="B647" s="80" t="s">
        <v>1460</v>
      </c>
      <c r="C647" s="80" t="s">
        <v>1414</v>
      </c>
      <c r="D647" s="60" t="s">
        <v>2138</v>
      </c>
      <c r="E647" s="60" t="s">
        <v>973</v>
      </c>
      <c r="F647" s="62" t="str">
        <f t="shared" si="16"/>
        <v>하</v>
      </c>
      <c r="G647" s="63" t="s">
        <v>2668</v>
      </c>
      <c r="H647" s="63" t="s">
        <v>2674</v>
      </c>
      <c r="I647" s="190" t="s">
        <v>974</v>
      </c>
      <c r="J647" s="137" t="s">
        <v>1417</v>
      </c>
      <c r="K647" s="79"/>
      <c r="L647" s="137" t="s">
        <v>1492</v>
      </c>
      <c r="M647" s="67"/>
      <c r="N647" s="67"/>
      <c r="O647" s="67"/>
      <c r="P647" s="67"/>
      <c r="Q647" s="67"/>
      <c r="R647" s="67"/>
      <c r="S647" s="81" t="s">
        <v>1418</v>
      </c>
      <c r="T647" s="67"/>
      <c r="U647" s="67"/>
      <c r="V647" s="67"/>
      <c r="W647" s="88" t="b">
        <v>0</v>
      </c>
      <c r="X647" s="88" t="b">
        <v>1</v>
      </c>
      <c r="Y647" s="89" t="b">
        <v>1</v>
      </c>
      <c r="Z647" s="73" t="s">
        <v>960</v>
      </c>
    </row>
    <row r="648" spans="1:46" ht="119.25" customHeight="1">
      <c r="A648" s="58">
        <v>641</v>
      </c>
      <c r="B648" s="80" t="s">
        <v>1427</v>
      </c>
      <c r="C648" s="80" t="s">
        <v>1414</v>
      </c>
      <c r="D648" s="60" t="s">
        <v>2139</v>
      </c>
      <c r="E648" s="60" t="s">
        <v>975</v>
      </c>
      <c r="F648" s="62" t="str">
        <f t="shared" si="16"/>
        <v>하</v>
      </c>
      <c r="G648" s="63" t="s">
        <v>2668</v>
      </c>
      <c r="H648" s="63" t="s">
        <v>2674</v>
      </c>
      <c r="I648" s="190" t="s">
        <v>976</v>
      </c>
      <c r="J648" s="137" t="s">
        <v>1417</v>
      </c>
      <c r="K648" s="79"/>
      <c r="L648" s="137" t="s">
        <v>1492</v>
      </c>
      <c r="M648" s="67"/>
      <c r="N648" s="67"/>
      <c r="O648" s="67"/>
      <c r="P648" s="67"/>
      <c r="Q648" s="67"/>
      <c r="R648" s="67"/>
      <c r="S648" s="81" t="s">
        <v>1418</v>
      </c>
      <c r="T648" s="67"/>
      <c r="U648" s="67"/>
      <c r="V648" s="67"/>
      <c r="W648" s="88" t="b">
        <v>0</v>
      </c>
      <c r="X648" s="88" t="b">
        <v>0</v>
      </c>
      <c r="Y648" s="89" t="b">
        <v>1</v>
      </c>
      <c r="Z648" s="73" t="s">
        <v>960</v>
      </c>
    </row>
    <row r="649" spans="1:46" ht="119.25" customHeight="1">
      <c r="A649" s="58">
        <v>642</v>
      </c>
      <c r="B649" s="80" t="s">
        <v>1460</v>
      </c>
      <c r="C649" s="80" t="s">
        <v>1414</v>
      </c>
      <c r="D649" s="60" t="s">
        <v>2140</v>
      </c>
      <c r="E649" s="60" t="s">
        <v>977</v>
      </c>
      <c r="F649" s="62" t="str">
        <f t="shared" si="16"/>
        <v>하</v>
      </c>
      <c r="G649" s="63" t="s">
        <v>2668</v>
      </c>
      <c r="H649" s="63" t="s">
        <v>2674</v>
      </c>
      <c r="I649" s="190" t="s">
        <v>978</v>
      </c>
      <c r="J649" s="137" t="s">
        <v>1417</v>
      </c>
      <c r="K649" s="79"/>
      <c r="L649" s="137" t="s">
        <v>1492</v>
      </c>
      <c r="M649" s="67"/>
      <c r="N649" s="67"/>
      <c r="O649" s="67"/>
      <c r="P649" s="67"/>
      <c r="Q649" s="67"/>
      <c r="R649" s="67"/>
      <c r="S649" s="81" t="s">
        <v>1418</v>
      </c>
      <c r="T649" s="67"/>
      <c r="U649" s="67"/>
      <c r="V649" s="67"/>
      <c r="W649" s="88" t="b">
        <v>0</v>
      </c>
      <c r="X649" s="88" t="b">
        <v>0</v>
      </c>
      <c r="Y649" s="89" t="b">
        <v>0</v>
      </c>
      <c r="Z649" s="73" t="s">
        <v>960</v>
      </c>
    </row>
    <row r="650" spans="1:46" ht="119.25" customHeight="1">
      <c r="A650" s="58">
        <v>643</v>
      </c>
      <c r="B650" s="80" t="s">
        <v>1427</v>
      </c>
      <c r="C650" s="80" t="s">
        <v>1414</v>
      </c>
      <c r="D650" s="60" t="s">
        <v>2141</v>
      </c>
      <c r="E650" s="60" t="s">
        <v>979</v>
      </c>
      <c r="F650" s="62" t="str">
        <f t="shared" si="16"/>
        <v>하</v>
      </c>
      <c r="G650" s="63" t="s">
        <v>2668</v>
      </c>
      <c r="H650" s="63" t="s">
        <v>2674</v>
      </c>
      <c r="I650" s="190" t="s">
        <v>980</v>
      </c>
      <c r="J650" s="137" t="s">
        <v>1417</v>
      </c>
      <c r="K650" s="79"/>
      <c r="L650" s="137" t="s">
        <v>1492</v>
      </c>
      <c r="M650" s="67"/>
      <c r="N650" s="67"/>
      <c r="O650" s="67"/>
      <c r="P650" s="67"/>
      <c r="Q650" s="67"/>
      <c r="R650" s="67"/>
      <c r="S650" s="81" t="s">
        <v>1418</v>
      </c>
      <c r="T650" s="67"/>
      <c r="U650" s="67"/>
      <c r="V650" s="67"/>
      <c r="W650" s="88" t="b">
        <v>0</v>
      </c>
      <c r="X650" s="88" t="b">
        <v>0</v>
      </c>
      <c r="Y650" s="89" t="b">
        <v>1</v>
      </c>
      <c r="Z650" s="73" t="s">
        <v>960</v>
      </c>
    </row>
    <row r="651" spans="1:46" ht="119.25" customHeight="1">
      <c r="A651" s="58">
        <v>644</v>
      </c>
      <c r="B651" s="80" t="s">
        <v>1427</v>
      </c>
      <c r="C651" s="80" t="s">
        <v>1414</v>
      </c>
      <c r="D651" s="60" t="s">
        <v>2142</v>
      </c>
      <c r="E651" s="60" t="s">
        <v>981</v>
      </c>
      <c r="F651" s="62" t="str">
        <f t="shared" si="16"/>
        <v>하</v>
      </c>
      <c r="G651" s="63" t="s">
        <v>2668</v>
      </c>
      <c r="H651" s="63" t="s">
        <v>2674</v>
      </c>
      <c r="I651" s="190" t="s">
        <v>982</v>
      </c>
      <c r="J651" s="137" t="s">
        <v>1417</v>
      </c>
      <c r="K651" s="79"/>
      <c r="L651" s="137" t="s">
        <v>1492</v>
      </c>
      <c r="M651" s="67"/>
      <c r="N651" s="67"/>
      <c r="O651" s="67"/>
      <c r="P651" s="67"/>
      <c r="Q651" s="67"/>
      <c r="R651" s="67"/>
      <c r="S651" s="81" t="s">
        <v>1418</v>
      </c>
      <c r="T651" s="67"/>
      <c r="U651" s="67"/>
      <c r="V651" s="67"/>
      <c r="W651" s="88" t="b">
        <v>0</v>
      </c>
      <c r="X651" s="88" t="b">
        <v>0</v>
      </c>
      <c r="Y651" s="89" t="b">
        <v>1</v>
      </c>
      <c r="Z651" s="73" t="s">
        <v>960</v>
      </c>
    </row>
    <row r="652" spans="1:46" ht="119.25" customHeight="1">
      <c r="A652" s="58">
        <v>645</v>
      </c>
      <c r="B652" s="80" t="s">
        <v>1427</v>
      </c>
      <c r="C652" s="80" t="s">
        <v>1414</v>
      </c>
      <c r="D652" s="60" t="s">
        <v>2143</v>
      </c>
      <c r="E652" s="60" t="s">
        <v>983</v>
      </c>
      <c r="F652" s="62" t="str">
        <f t="shared" si="16"/>
        <v>하</v>
      </c>
      <c r="G652" s="63" t="s">
        <v>2668</v>
      </c>
      <c r="H652" s="63" t="s">
        <v>2674</v>
      </c>
      <c r="I652" s="190" t="s">
        <v>984</v>
      </c>
      <c r="J652" s="137" t="s">
        <v>1417</v>
      </c>
      <c r="K652" s="79"/>
      <c r="L652" s="137" t="s">
        <v>1492</v>
      </c>
      <c r="M652" s="67"/>
      <c r="N652" s="67"/>
      <c r="O652" s="67"/>
      <c r="P652" s="67"/>
      <c r="Q652" s="67"/>
      <c r="R652" s="67"/>
      <c r="S652" s="81" t="s">
        <v>1418</v>
      </c>
      <c r="T652" s="67"/>
      <c r="U652" s="67"/>
      <c r="V652" s="67"/>
      <c r="W652" s="88" t="b">
        <v>0</v>
      </c>
      <c r="X652" s="88" t="b">
        <v>1</v>
      </c>
      <c r="Y652" s="89" t="b">
        <v>1</v>
      </c>
      <c r="Z652" s="73" t="s">
        <v>960</v>
      </c>
    </row>
    <row r="653" spans="1:46" ht="119.25" customHeight="1">
      <c r="A653" s="58">
        <v>646</v>
      </c>
      <c r="B653" s="80" t="s">
        <v>1427</v>
      </c>
      <c r="C653" s="80" t="s">
        <v>1414</v>
      </c>
      <c r="D653" s="60" t="s">
        <v>2144</v>
      </c>
      <c r="E653" s="60" t="s">
        <v>985</v>
      </c>
      <c r="F653" s="62" t="str">
        <f t="shared" si="16"/>
        <v>하</v>
      </c>
      <c r="G653" s="63" t="s">
        <v>2668</v>
      </c>
      <c r="H653" s="63" t="s">
        <v>2674</v>
      </c>
      <c r="I653" s="190" t="s">
        <v>986</v>
      </c>
      <c r="J653" s="137" t="s">
        <v>1417</v>
      </c>
      <c r="K653" s="79"/>
      <c r="L653" s="137" t="s">
        <v>1492</v>
      </c>
      <c r="M653" s="67"/>
      <c r="N653" s="67"/>
      <c r="O653" s="67"/>
      <c r="P653" s="67"/>
      <c r="Q653" s="67"/>
      <c r="R653" s="67"/>
      <c r="S653" s="81" t="s">
        <v>1418</v>
      </c>
      <c r="T653" s="67"/>
      <c r="U653" s="67"/>
      <c r="V653" s="67"/>
      <c r="W653" s="88" t="b">
        <v>0</v>
      </c>
      <c r="X653" s="88" t="b">
        <v>0</v>
      </c>
      <c r="Y653" s="89" t="b">
        <v>1</v>
      </c>
      <c r="Z653" s="73" t="s">
        <v>960</v>
      </c>
    </row>
    <row r="654" spans="1:46" ht="119.25" customHeight="1">
      <c r="A654" s="58">
        <v>647</v>
      </c>
      <c r="B654" s="80" t="s">
        <v>1460</v>
      </c>
      <c r="C654" s="80" t="s">
        <v>1414</v>
      </c>
      <c r="D654" s="60" t="s">
        <v>2145</v>
      </c>
      <c r="E654" s="60" t="s">
        <v>987</v>
      </c>
      <c r="F654" s="62" t="str">
        <f t="shared" si="16"/>
        <v>하</v>
      </c>
      <c r="G654" s="63" t="s">
        <v>2668</v>
      </c>
      <c r="H654" s="63" t="s">
        <v>2674</v>
      </c>
      <c r="I654" s="190" t="s">
        <v>988</v>
      </c>
      <c r="J654" s="137" t="s">
        <v>1417</v>
      </c>
      <c r="K654" s="79"/>
      <c r="L654" s="137" t="s">
        <v>1492</v>
      </c>
      <c r="M654" s="67"/>
      <c r="N654" s="67"/>
      <c r="O654" s="67"/>
      <c r="P654" s="67"/>
      <c r="Q654" s="67"/>
      <c r="R654" s="67"/>
      <c r="S654" s="81" t="s">
        <v>1418</v>
      </c>
      <c r="T654" s="67"/>
      <c r="U654" s="67"/>
      <c r="V654" s="67"/>
      <c r="W654" s="88" t="b">
        <v>0</v>
      </c>
      <c r="X654" s="88" t="b">
        <v>0</v>
      </c>
      <c r="Y654" s="89" t="b">
        <v>1</v>
      </c>
      <c r="Z654" s="73" t="s">
        <v>960</v>
      </c>
    </row>
    <row r="655" spans="1:46" ht="119.25" customHeight="1">
      <c r="A655" s="58">
        <v>648</v>
      </c>
      <c r="B655" s="80" t="s">
        <v>1427</v>
      </c>
      <c r="C655" s="80" t="s">
        <v>1414</v>
      </c>
      <c r="D655" s="60" t="s">
        <v>2146</v>
      </c>
      <c r="E655" s="60" t="s">
        <v>989</v>
      </c>
      <c r="F655" s="62" t="str">
        <f t="shared" si="16"/>
        <v>하</v>
      </c>
      <c r="G655" s="63" t="s">
        <v>2668</v>
      </c>
      <c r="H655" s="63" t="s">
        <v>2674</v>
      </c>
      <c r="I655" s="190" t="s">
        <v>990</v>
      </c>
      <c r="J655" s="137" t="s">
        <v>1417</v>
      </c>
      <c r="K655" s="79"/>
      <c r="L655" s="137" t="s">
        <v>1492</v>
      </c>
      <c r="M655" s="67"/>
      <c r="N655" s="67"/>
      <c r="O655" s="67"/>
      <c r="P655" s="67"/>
      <c r="Q655" s="67"/>
      <c r="R655" s="67"/>
      <c r="S655" s="81" t="s">
        <v>1418</v>
      </c>
      <c r="T655" s="67"/>
      <c r="U655" s="67"/>
      <c r="V655" s="67"/>
      <c r="W655" s="88" t="b">
        <v>0</v>
      </c>
      <c r="X655" s="88" t="b">
        <v>0</v>
      </c>
      <c r="Y655" s="89" t="b">
        <v>1</v>
      </c>
      <c r="Z655" s="73" t="s">
        <v>960</v>
      </c>
    </row>
    <row r="656" spans="1:46" ht="119.25" customHeight="1">
      <c r="A656" s="58">
        <v>649</v>
      </c>
      <c r="B656" s="80" t="s">
        <v>1427</v>
      </c>
      <c r="C656" s="80" t="s">
        <v>1414</v>
      </c>
      <c r="D656" s="60" t="s">
        <v>2147</v>
      </c>
      <c r="E656" s="60" t="s">
        <v>991</v>
      </c>
      <c r="F656" s="62" t="str">
        <f t="shared" si="16"/>
        <v>하</v>
      </c>
      <c r="G656" s="63" t="s">
        <v>2668</v>
      </c>
      <c r="H656" s="63" t="s">
        <v>2674</v>
      </c>
      <c r="I656" s="190" t="s">
        <v>992</v>
      </c>
      <c r="J656" s="137" t="s">
        <v>1417</v>
      </c>
      <c r="K656" s="79"/>
      <c r="L656" s="137" t="s">
        <v>1492</v>
      </c>
      <c r="M656" s="67"/>
      <c r="N656" s="67"/>
      <c r="O656" s="67"/>
      <c r="P656" s="67"/>
      <c r="Q656" s="67"/>
      <c r="R656" s="67"/>
      <c r="S656" s="81" t="s">
        <v>1418</v>
      </c>
      <c r="T656" s="67"/>
      <c r="U656" s="67"/>
      <c r="V656" s="67"/>
      <c r="W656" s="88" t="b">
        <v>0</v>
      </c>
      <c r="X656" s="88" t="b">
        <v>0</v>
      </c>
      <c r="Y656" s="89" t="b">
        <v>1</v>
      </c>
      <c r="Z656" s="73" t="s">
        <v>960</v>
      </c>
    </row>
    <row r="657" spans="1:26" ht="119.25" customHeight="1">
      <c r="A657" s="58">
        <v>650</v>
      </c>
      <c r="B657" s="80" t="s">
        <v>1427</v>
      </c>
      <c r="C657" s="80" t="s">
        <v>1414</v>
      </c>
      <c r="D657" s="60" t="s">
        <v>2148</v>
      </c>
      <c r="E657" s="60" t="s">
        <v>993</v>
      </c>
      <c r="F657" s="62" t="str">
        <f t="shared" si="16"/>
        <v>하</v>
      </c>
      <c r="G657" s="63" t="s">
        <v>2668</v>
      </c>
      <c r="H657" s="63" t="s">
        <v>2674</v>
      </c>
      <c r="I657" s="190" t="s">
        <v>994</v>
      </c>
      <c r="J657" s="137" t="s">
        <v>1417</v>
      </c>
      <c r="K657" s="79"/>
      <c r="L657" s="137" t="s">
        <v>1492</v>
      </c>
      <c r="M657" s="67"/>
      <c r="N657" s="67"/>
      <c r="O657" s="67"/>
      <c r="P657" s="67"/>
      <c r="Q657" s="67"/>
      <c r="R657" s="67"/>
      <c r="S657" s="81" t="s">
        <v>1418</v>
      </c>
      <c r="T657" s="67"/>
      <c r="U657" s="67"/>
      <c r="V657" s="67"/>
      <c r="W657" s="88" t="b">
        <v>0</v>
      </c>
      <c r="X657" s="88" t="b">
        <v>1</v>
      </c>
      <c r="Y657" s="89" t="b">
        <v>1</v>
      </c>
      <c r="Z657" s="73" t="s">
        <v>960</v>
      </c>
    </row>
    <row r="658" spans="1:26" ht="119.25" customHeight="1">
      <c r="A658" s="58">
        <v>651</v>
      </c>
      <c r="B658" s="80" t="s">
        <v>1427</v>
      </c>
      <c r="C658" s="80" t="s">
        <v>1414</v>
      </c>
      <c r="D658" s="60" t="s">
        <v>2149</v>
      </c>
      <c r="E658" s="60" t="s">
        <v>995</v>
      </c>
      <c r="F658" s="62" t="str">
        <f t="shared" si="16"/>
        <v>하</v>
      </c>
      <c r="G658" s="63" t="s">
        <v>2668</v>
      </c>
      <c r="H658" s="63" t="s">
        <v>2674</v>
      </c>
      <c r="I658" s="190" t="s">
        <v>996</v>
      </c>
      <c r="J658" s="137" t="s">
        <v>1417</v>
      </c>
      <c r="K658" s="79"/>
      <c r="L658" s="137" t="s">
        <v>1492</v>
      </c>
      <c r="M658" s="67"/>
      <c r="N658" s="67"/>
      <c r="O658" s="67"/>
      <c r="P658" s="67"/>
      <c r="Q658" s="67"/>
      <c r="R658" s="67"/>
      <c r="S658" s="81" t="s">
        <v>1418</v>
      </c>
      <c r="T658" s="67"/>
      <c r="U658" s="67"/>
      <c r="V658" s="67"/>
      <c r="W658" s="88" t="b">
        <v>0</v>
      </c>
      <c r="X658" s="88" t="b">
        <v>0</v>
      </c>
      <c r="Y658" s="89" t="b">
        <v>1</v>
      </c>
      <c r="Z658" s="73" t="s">
        <v>960</v>
      </c>
    </row>
    <row r="659" spans="1:26" ht="119.25" customHeight="1">
      <c r="A659" s="58">
        <v>652</v>
      </c>
      <c r="B659" s="80" t="s">
        <v>32</v>
      </c>
      <c r="C659" s="80" t="s">
        <v>1414</v>
      </c>
      <c r="D659" s="60" t="s">
        <v>2150</v>
      </c>
      <c r="E659" s="60" t="s">
        <v>997</v>
      </c>
      <c r="F659" s="62" t="str">
        <f t="shared" si="16"/>
        <v>하</v>
      </c>
      <c r="G659" s="63" t="s">
        <v>2668</v>
      </c>
      <c r="H659" s="63" t="s">
        <v>2674</v>
      </c>
      <c r="I659" s="190" t="s">
        <v>998</v>
      </c>
      <c r="J659" s="137" t="s">
        <v>1417</v>
      </c>
      <c r="K659" s="79"/>
      <c r="L659" s="137" t="s">
        <v>1492</v>
      </c>
      <c r="M659" s="67"/>
      <c r="N659" s="67"/>
      <c r="O659" s="67"/>
      <c r="P659" s="67"/>
      <c r="Q659" s="67"/>
      <c r="R659" s="67"/>
      <c r="S659" s="81" t="s">
        <v>1418</v>
      </c>
      <c r="T659" s="67"/>
      <c r="U659" s="67"/>
      <c r="V659" s="67"/>
      <c r="W659" s="88" t="b">
        <v>1</v>
      </c>
      <c r="X659" s="88" t="b">
        <v>0</v>
      </c>
      <c r="Y659" s="89" t="b">
        <v>0</v>
      </c>
      <c r="Z659" s="73" t="s">
        <v>960</v>
      </c>
    </row>
    <row r="660" spans="1:26" ht="119.25" customHeight="1">
      <c r="A660" s="58">
        <v>653</v>
      </c>
      <c r="B660" s="80" t="s">
        <v>1460</v>
      </c>
      <c r="C660" s="80" t="s">
        <v>1414</v>
      </c>
      <c r="D660" s="60" t="s">
        <v>2152</v>
      </c>
      <c r="E660" s="60" t="s">
        <v>999</v>
      </c>
      <c r="F660" s="62" t="str">
        <f t="shared" si="16"/>
        <v>하</v>
      </c>
      <c r="G660" s="63" t="s">
        <v>2668</v>
      </c>
      <c r="H660" s="63" t="s">
        <v>2674</v>
      </c>
      <c r="I660" s="190" t="s">
        <v>1000</v>
      </c>
      <c r="J660" s="137" t="s">
        <v>1417</v>
      </c>
      <c r="K660" s="79"/>
      <c r="L660" s="137" t="s">
        <v>1492</v>
      </c>
      <c r="M660" s="67"/>
      <c r="N660" s="67"/>
      <c r="O660" s="67"/>
      <c r="P660" s="67"/>
      <c r="Q660" s="67"/>
      <c r="R660" s="67"/>
      <c r="S660" s="81" t="s">
        <v>1418</v>
      </c>
      <c r="T660" s="67"/>
      <c r="U660" s="67"/>
      <c r="V660" s="67"/>
      <c r="W660" s="88" t="b">
        <v>1</v>
      </c>
      <c r="X660" s="88" t="b">
        <v>0</v>
      </c>
      <c r="Y660" s="89" t="b">
        <v>0</v>
      </c>
      <c r="Z660" s="73" t="s">
        <v>960</v>
      </c>
    </row>
    <row r="661" spans="1:26" ht="119.25" customHeight="1">
      <c r="A661" s="58">
        <v>654</v>
      </c>
      <c r="B661" s="80" t="s">
        <v>1427</v>
      </c>
      <c r="C661" s="80" t="s">
        <v>1414</v>
      </c>
      <c r="D661" s="60" t="s">
        <v>2153</v>
      </c>
      <c r="E661" s="60" t="s">
        <v>1001</v>
      </c>
      <c r="F661" s="62" t="str">
        <f t="shared" si="16"/>
        <v>하</v>
      </c>
      <c r="G661" s="63" t="s">
        <v>2668</v>
      </c>
      <c r="H661" s="63" t="s">
        <v>2674</v>
      </c>
      <c r="I661" s="190" t="s">
        <v>1002</v>
      </c>
      <c r="J661" s="137" t="s">
        <v>1417</v>
      </c>
      <c r="K661" s="79"/>
      <c r="L661" s="137" t="s">
        <v>1492</v>
      </c>
      <c r="M661" s="67"/>
      <c r="N661" s="67"/>
      <c r="O661" s="67"/>
      <c r="P661" s="67"/>
      <c r="Q661" s="67"/>
      <c r="R661" s="67"/>
      <c r="S661" s="81" t="s">
        <v>1418</v>
      </c>
      <c r="T661" s="67"/>
      <c r="U661" s="67"/>
      <c r="V661" s="67"/>
      <c r="W661" s="88" t="b">
        <v>0</v>
      </c>
      <c r="X661" s="88" t="b">
        <v>0</v>
      </c>
      <c r="Y661" s="89" t="b">
        <v>1</v>
      </c>
      <c r="Z661" s="73" t="s">
        <v>960</v>
      </c>
    </row>
    <row r="662" spans="1:26" ht="119.25" customHeight="1">
      <c r="A662" s="58">
        <v>655</v>
      </c>
      <c r="B662" s="80" t="s">
        <v>1460</v>
      </c>
      <c r="C662" s="80" t="s">
        <v>1414</v>
      </c>
      <c r="D662" s="60" t="s">
        <v>2154</v>
      </c>
      <c r="E662" s="60" t="s">
        <v>1003</v>
      </c>
      <c r="F662" s="62" t="str">
        <f t="shared" si="16"/>
        <v>하</v>
      </c>
      <c r="G662" s="63" t="s">
        <v>2668</v>
      </c>
      <c r="H662" s="63" t="s">
        <v>2674</v>
      </c>
      <c r="I662" s="190" t="s">
        <v>1004</v>
      </c>
      <c r="J662" s="137" t="s">
        <v>1417</v>
      </c>
      <c r="K662" s="79"/>
      <c r="L662" s="137" t="s">
        <v>1492</v>
      </c>
      <c r="M662" s="67"/>
      <c r="N662" s="67"/>
      <c r="O662" s="67"/>
      <c r="P662" s="67"/>
      <c r="Q662" s="67"/>
      <c r="R662" s="67"/>
      <c r="S662" s="81" t="s">
        <v>1418</v>
      </c>
      <c r="T662" s="67"/>
      <c r="U662" s="67"/>
      <c r="V662" s="67"/>
      <c r="W662" s="88" t="b">
        <v>0</v>
      </c>
      <c r="X662" s="88" t="b">
        <v>0</v>
      </c>
      <c r="Y662" s="89" t="b">
        <v>0</v>
      </c>
      <c r="Z662" s="73" t="s">
        <v>960</v>
      </c>
    </row>
    <row r="663" spans="1:26" ht="119.25" customHeight="1">
      <c r="A663" s="58">
        <v>656</v>
      </c>
      <c r="B663" s="80" t="s">
        <v>1427</v>
      </c>
      <c r="C663" s="80" t="s">
        <v>1414</v>
      </c>
      <c r="D663" s="60" t="s">
        <v>2155</v>
      </c>
      <c r="E663" s="60" t="s">
        <v>1005</v>
      </c>
      <c r="F663" s="62" t="str">
        <f t="shared" si="16"/>
        <v>하</v>
      </c>
      <c r="G663" s="63" t="s">
        <v>2668</v>
      </c>
      <c r="H663" s="63" t="s">
        <v>2674</v>
      </c>
      <c r="I663" s="190" t="s">
        <v>1006</v>
      </c>
      <c r="J663" s="137" t="s">
        <v>1417</v>
      </c>
      <c r="K663" s="79"/>
      <c r="L663" s="137" t="s">
        <v>1492</v>
      </c>
      <c r="M663" s="67"/>
      <c r="N663" s="67"/>
      <c r="O663" s="67"/>
      <c r="P663" s="67"/>
      <c r="Q663" s="67"/>
      <c r="R663" s="67"/>
      <c r="S663" s="81" t="s">
        <v>1418</v>
      </c>
      <c r="T663" s="67"/>
      <c r="U663" s="67"/>
      <c r="V663" s="67"/>
      <c r="W663" s="88" t="b">
        <v>0</v>
      </c>
      <c r="X663" s="88" t="b">
        <v>0</v>
      </c>
      <c r="Y663" s="89" t="b">
        <v>1</v>
      </c>
      <c r="Z663" s="73" t="s">
        <v>960</v>
      </c>
    </row>
    <row r="664" spans="1:26" ht="119.25" customHeight="1">
      <c r="A664" s="58">
        <v>657</v>
      </c>
      <c r="B664" s="80" t="s">
        <v>1427</v>
      </c>
      <c r="C664" s="80" t="s">
        <v>1414</v>
      </c>
      <c r="D664" s="60" t="s">
        <v>2156</v>
      </c>
      <c r="E664" s="60" t="s">
        <v>1007</v>
      </c>
      <c r="F664" s="62" t="str">
        <f t="shared" si="16"/>
        <v>하</v>
      </c>
      <c r="G664" s="63" t="s">
        <v>2668</v>
      </c>
      <c r="H664" s="63" t="s">
        <v>2674</v>
      </c>
      <c r="I664" s="190" t="s">
        <v>1008</v>
      </c>
      <c r="J664" s="137" t="s">
        <v>1417</v>
      </c>
      <c r="K664" s="79"/>
      <c r="L664" s="137" t="s">
        <v>1492</v>
      </c>
      <c r="M664" s="67"/>
      <c r="N664" s="67"/>
      <c r="O664" s="67"/>
      <c r="P664" s="67"/>
      <c r="Q664" s="67"/>
      <c r="R664" s="67"/>
      <c r="S664" s="81" t="s">
        <v>1418</v>
      </c>
      <c r="T664" s="67"/>
      <c r="U664" s="67"/>
      <c r="V664" s="67"/>
      <c r="W664" s="88" t="b">
        <v>1</v>
      </c>
      <c r="X664" s="88" t="b">
        <v>0</v>
      </c>
      <c r="Y664" s="89" t="b">
        <v>1</v>
      </c>
      <c r="Z664" s="73" t="s">
        <v>960</v>
      </c>
    </row>
    <row r="665" spans="1:26" ht="119.25" customHeight="1">
      <c r="A665" s="58">
        <v>658</v>
      </c>
      <c r="B665" s="80" t="s">
        <v>1460</v>
      </c>
      <c r="C665" s="80" t="s">
        <v>1414</v>
      </c>
      <c r="D665" s="60" t="s">
        <v>2157</v>
      </c>
      <c r="E665" s="60" t="s">
        <v>1009</v>
      </c>
      <c r="F665" s="62" t="str">
        <f t="shared" si="16"/>
        <v>하</v>
      </c>
      <c r="G665" s="63" t="s">
        <v>2668</v>
      </c>
      <c r="H665" s="63" t="s">
        <v>2674</v>
      </c>
      <c r="I665" s="190" t="s">
        <v>1010</v>
      </c>
      <c r="J665" s="137" t="s">
        <v>1417</v>
      </c>
      <c r="K665" s="79"/>
      <c r="L665" s="137" t="s">
        <v>1492</v>
      </c>
      <c r="M665" s="67"/>
      <c r="N665" s="67"/>
      <c r="O665" s="67"/>
      <c r="P665" s="67"/>
      <c r="Q665" s="67"/>
      <c r="R665" s="67"/>
      <c r="S665" s="81" t="s">
        <v>1418</v>
      </c>
      <c r="T665" s="67"/>
      <c r="U665" s="67"/>
      <c r="V665" s="67"/>
      <c r="W665" s="88" t="b">
        <v>0</v>
      </c>
      <c r="X665" s="88" t="b">
        <v>0</v>
      </c>
      <c r="Y665" s="89" t="b">
        <v>1</v>
      </c>
      <c r="Z665" s="73" t="s">
        <v>960</v>
      </c>
    </row>
    <row r="666" spans="1:26" ht="119.25" customHeight="1">
      <c r="A666" s="58">
        <v>659</v>
      </c>
      <c r="B666" s="80" t="s">
        <v>1427</v>
      </c>
      <c r="C666" s="80" t="s">
        <v>1414</v>
      </c>
      <c r="D666" s="60" t="s">
        <v>2158</v>
      </c>
      <c r="E666" s="60" t="s">
        <v>1011</v>
      </c>
      <c r="F666" s="62" t="str">
        <f t="shared" si="16"/>
        <v>하</v>
      </c>
      <c r="G666" s="63" t="s">
        <v>2668</v>
      </c>
      <c r="H666" s="63" t="s">
        <v>2674</v>
      </c>
      <c r="I666" s="190" t="s">
        <v>1012</v>
      </c>
      <c r="J666" s="137" t="s">
        <v>1417</v>
      </c>
      <c r="K666" s="79"/>
      <c r="L666" s="137" t="s">
        <v>1492</v>
      </c>
      <c r="M666" s="67"/>
      <c r="N666" s="67"/>
      <c r="O666" s="67"/>
      <c r="P666" s="67"/>
      <c r="Q666" s="67"/>
      <c r="R666" s="67"/>
      <c r="S666" s="81" t="s">
        <v>1418</v>
      </c>
      <c r="T666" s="67"/>
      <c r="U666" s="67"/>
      <c r="V666" s="67"/>
      <c r="W666" s="88" t="b">
        <v>0</v>
      </c>
      <c r="X666" s="88" t="b">
        <v>0</v>
      </c>
      <c r="Y666" s="89" t="b">
        <v>1</v>
      </c>
      <c r="Z666" s="73" t="s">
        <v>960</v>
      </c>
    </row>
    <row r="667" spans="1:26" ht="119.25" customHeight="1">
      <c r="A667" s="58">
        <v>660</v>
      </c>
      <c r="B667" s="80" t="s">
        <v>32</v>
      </c>
      <c r="C667" s="80" t="s">
        <v>1414</v>
      </c>
      <c r="D667" s="60" t="s">
        <v>2159</v>
      </c>
      <c r="E667" s="60" t="s">
        <v>1013</v>
      </c>
      <c r="F667" s="62" t="str">
        <f t="shared" si="16"/>
        <v>하</v>
      </c>
      <c r="G667" s="63" t="s">
        <v>2668</v>
      </c>
      <c r="H667" s="63" t="s">
        <v>2674</v>
      </c>
      <c r="I667" s="190" t="s">
        <v>1014</v>
      </c>
      <c r="J667" s="137" t="s">
        <v>1417</v>
      </c>
      <c r="K667" s="79"/>
      <c r="L667" s="137" t="s">
        <v>1492</v>
      </c>
      <c r="M667" s="67"/>
      <c r="N667" s="67"/>
      <c r="O667" s="67"/>
      <c r="P667" s="67"/>
      <c r="Q667" s="67"/>
      <c r="R667" s="67"/>
      <c r="S667" s="81" t="s">
        <v>1418</v>
      </c>
      <c r="T667" s="67"/>
      <c r="U667" s="67"/>
      <c r="V667" s="67"/>
      <c r="W667" s="88" t="b">
        <v>1</v>
      </c>
      <c r="X667" s="88" t="b">
        <v>0</v>
      </c>
      <c r="Y667" s="89" t="b">
        <v>0</v>
      </c>
      <c r="Z667" s="73" t="s">
        <v>960</v>
      </c>
    </row>
    <row r="668" spans="1:26" ht="119.25" customHeight="1">
      <c r="A668" s="58">
        <v>661</v>
      </c>
      <c r="B668" s="80" t="s">
        <v>1427</v>
      </c>
      <c r="C668" s="80" t="s">
        <v>1414</v>
      </c>
      <c r="D668" s="60" t="s">
        <v>2160</v>
      </c>
      <c r="E668" s="60" t="s">
        <v>1015</v>
      </c>
      <c r="F668" s="62" t="str">
        <f t="shared" si="16"/>
        <v>하</v>
      </c>
      <c r="G668" s="63" t="s">
        <v>2668</v>
      </c>
      <c r="H668" s="63" t="s">
        <v>2674</v>
      </c>
      <c r="I668" s="190" t="s">
        <v>1016</v>
      </c>
      <c r="J668" s="137" t="s">
        <v>1417</v>
      </c>
      <c r="K668" s="79"/>
      <c r="L668" s="137" t="s">
        <v>1492</v>
      </c>
      <c r="M668" s="67"/>
      <c r="N668" s="67"/>
      <c r="O668" s="67"/>
      <c r="P668" s="67"/>
      <c r="Q668" s="67"/>
      <c r="R668" s="67"/>
      <c r="S668" s="81" t="s">
        <v>1418</v>
      </c>
      <c r="T668" s="67"/>
      <c r="U668" s="67"/>
      <c r="V668" s="67"/>
      <c r="W668" s="88" t="b">
        <v>0</v>
      </c>
      <c r="X668" s="88" t="b">
        <v>0</v>
      </c>
      <c r="Y668" s="89" t="b">
        <v>1</v>
      </c>
      <c r="Z668" s="73" t="s">
        <v>960</v>
      </c>
    </row>
    <row r="669" spans="1:26" ht="119.25" customHeight="1">
      <c r="A669" s="58">
        <v>662</v>
      </c>
      <c r="B669" s="80" t="s">
        <v>1427</v>
      </c>
      <c r="C669" s="80" t="s">
        <v>1414</v>
      </c>
      <c r="D669" s="60" t="s">
        <v>2161</v>
      </c>
      <c r="E669" s="60" t="s">
        <v>1017</v>
      </c>
      <c r="F669" s="62" t="str">
        <f t="shared" si="16"/>
        <v>하</v>
      </c>
      <c r="G669" s="63" t="s">
        <v>2668</v>
      </c>
      <c r="H669" s="63" t="s">
        <v>2674</v>
      </c>
      <c r="I669" s="190" t="s">
        <v>1018</v>
      </c>
      <c r="J669" s="137" t="s">
        <v>1417</v>
      </c>
      <c r="K669" s="79"/>
      <c r="L669" s="137" t="s">
        <v>1492</v>
      </c>
      <c r="M669" s="67"/>
      <c r="N669" s="67"/>
      <c r="O669" s="67"/>
      <c r="P669" s="67"/>
      <c r="Q669" s="67"/>
      <c r="R669" s="67"/>
      <c r="S669" s="81" t="s">
        <v>1418</v>
      </c>
      <c r="T669" s="67"/>
      <c r="U669" s="67"/>
      <c r="V669" s="67"/>
      <c r="W669" s="88" t="b">
        <v>0</v>
      </c>
      <c r="X669" s="88" t="b">
        <v>0</v>
      </c>
      <c r="Y669" s="89" t="b">
        <v>1</v>
      </c>
      <c r="Z669" s="73" t="s">
        <v>960</v>
      </c>
    </row>
    <row r="670" spans="1:26" ht="119.25" customHeight="1">
      <c r="A670" s="58">
        <v>663</v>
      </c>
      <c r="B670" s="80" t="s">
        <v>1427</v>
      </c>
      <c r="C670" s="80" t="s">
        <v>1414</v>
      </c>
      <c r="D670" s="60" t="s">
        <v>2162</v>
      </c>
      <c r="E670" s="60" t="s">
        <v>1019</v>
      </c>
      <c r="F670" s="62" t="str">
        <f t="shared" si="16"/>
        <v>하</v>
      </c>
      <c r="G670" s="63" t="s">
        <v>2668</v>
      </c>
      <c r="H670" s="63" t="s">
        <v>2674</v>
      </c>
      <c r="I670" s="190" t="s">
        <v>1020</v>
      </c>
      <c r="J670" s="137" t="s">
        <v>1417</v>
      </c>
      <c r="K670" s="79"/>
      <c r="L670" s="137" t="s">
        <v>1492</v>
      </c>
      <c r="M670" s="67"/>
      <c r="N670" s="67"/>
      <c r="O670" s="67"/>
      <c r="P670" s="67"/>
      <c r="Q670" s="67"/>
      <c r="R670" s="67"/>
      <c r="S670" s="81" t="s">
        <v>1418</v>
      </c>
      <c r="T670" s="67"/>
      <c r="U670" s="67"/>
      <c r="V670" s="67"/>
      <c r="W670" s="88" t="b">
        <v>0</v>
      </c>
      <c r="X670" s="88" t="b">
        <v>0</v>
      </c>
      <c r="Y670" s="89" t="b">
        <v>1</v>
      </c>
      <c r="Z670" s="73" t="s">
        <v>960</v>
      </c>
    </row>
    <row r="671" spans="1:26" ht="119.25" customHeight="1">
      <c r="A671" s="58">
        <v>664</v>
      </c>
      <c r="B671" s="80" t="s">
        <v>1427</v>
      </c>
      <c r="C671" s="80" t="s">
        <v>1414</v>
      </c>
      <c r="D671" s="60" t="s">
        <v>2163</v>
      </c>
      <c r="E671" s="60" t="s">
        <v>1021</v>
      </c>
      <c r="F671" s="62" t="str">
        <f t="shared" si="16"/>
        <v>하</v>
      </c>
      <c r="G671" s="63" t="s">
        <v>2668</v>
      </c>
      <c r="H671" s="63" t="s">
        <v>2674</v>
      </c>
      <c r="I671" s="190" t="s">
        <v>1022</v>
      </c>
      <c r="J671" s="137" t="s">
        <v>1417</v>
      </c>
      <c r="K671" s="79"/>
      <c r="L671" s="137" t="s">
        <v>1492</v>
      </c>
      <c r="M671" s="67"/>
      <c r="N671" s="67"/>
      <c r="O671" s="67"/>
      <c r="P671" s="67"/>
      <c r="Q671" s="67"/>
      <c r="R671" s="67"/>
      <c r="S671" s="81" t="s">
        <v>1418</v>
      </c>
      <c r="T671" s="67"/>
      <c r="U671" s="67"/>
      <c r="V671" s="67"/>
      <c r="W671" s="88" t="b">
        <v>0</v>
      </c>
      <c r="X671" s="88" t="b">
        <v>0</v>
      </c>
      <c r="Y671" s="89" t="b">
        <v>1</v>
      </c>
      <c r="Z671" s="73" t="s">
        <v>960</v>
      </c>
    </row>
    <row r="672" spans="1:26" ht="119.25" customHeight="1">
      <c r="A672" s="58">
        <v>665</v>
      </c>
      <c r="B672" s="80" t="s">
        <v>1427</v>
      </c>
      <c r="C672" s="80" t="s">
        <v>1414</v>
      </c>
      <c r="D672" s="60" t="s">
        <v>2164</v>
      </c>
      <c r="E672" s="60" t="s">
        <v>1023</v>
      </c>
      <c r="F672" s="62" t="str">
        <f t="shared" ref="F672:F735" si="17">_xlfn.LET(
_xlpm.v_발생, IF(ISNUMBER(SEARCH("빈번", G672)), "상",
IF(ISNUMBER(SEARCH("거의", G672)), "하", "중")),
_xlpm.v_영향, IF(ISNUMBER(SEARCH("1개월", H672)), "상",
IF(ISNUMBER(SEARCH("없음", H672)), "하", "중")),
IF(AND(_xlpm.v_발생="상", _xlpm.v_영향="상"), "극상",
IF(OR(_xlpm.v_발생="상", _xlpm.v_영향="상"), "상",
IF(AND(_xlpm.v_발생="하", _xlpm.v_영향="하"), "하",
"중")))
)</f>
        <v>하</v>
      </c>
      <c r="G672" s="63" t="s">
        <v>2668</v>
      </c>
      <c r="H672" s="63" t="s">
        <v>2674</v>
      </c>
      <c r="I672" s="190" t="s">
        <v>1024</v>
      </c>
      <c r="J672" s="137" t="s">
        <v>1417</v>
      </c>
      <c r="K672" s="79"/>
      <c r="L672" s="137" t="s">
        <v>1492</v>
      </c>
      <c r="M672" s="67"/>
      <c r="N672" s="67"/>
      <c r="O672" s="67"/>
      <c r="P672" s="67"/>
      <c r="Q672" s="67"/>
      <c r="R672" s="67"/>
      <c r="S672" s="81" t="s">
        <v>1418</v>
      </c>
      <c r="T672" s="67"/>
      <c r="U672" s="67"/>
      <c r="V672" s="67"/>
      <c r="W672" s="88" t="b">
        <v>0</v>
      </c>
      <c r="X672" s="88" t="b">
        <v>0</v>
      </c>
      <c r="Y672" s="89" t="b">
        <v>1</v>
      </c>
      <c r="Z672" s="73" t="s">
        <v>960</v>
      </c>
    </row>
    <row r="673" spans="1:26" ht="119.25" customHeight="1">
      <c r="A673" s="58">
        <v>666</v>
      </c>
      <c r="B673" s="80" t="s">
        <v>1460</v>
      </c>
      <c r="C673" s="80" t="s">
        <v>1414</v>
      </c>
      <c r="D673" s="60" t="s">
        <v>2165</v>
      </c>
      <c r="E673" s="60" t="s">
        <v>1025</v>
      </c>
      <c r="F673" s="62" t="str">
        <f t="shared" si="17"/>
        <v>하</v>
      </c>
      <c r="G673" s="63" t="s">
        <v>2668</v>
      </c>
      <c r="H673" s="63" t="s">
        <v>2674</v>
      </c>
      <c r="I673" s="190" t="s">
        <v>1026</v>
      </c>
      <c r="J673" s="137" t="s">
        <v>1417</v>
      </c>
      <c r="K673" s="79"/>
      <c r="L673" s="137" t="s">
        <v>1492</v>
      </c>
      <c r="M673" s="67"/>
      <c r="N673" s="67"/>
      <c r="O673" s="67"/>
      <c r="P673" s="67"/>
      <c r="Q673" s="67"/>
      <c r="R673" s="67"/>
      <c r="S673" s="81" t="s">
        <v>1418</v>
      </c>
      <c r="T673" s="67"/>
      <c r="U673" s="67"/>
      <c r="V673" s="67"/>
      <c r="W673" s="88" t="b">
        <v>0</v>
      </c>
      <c r="X673" s="88" t="b">
        <v>0</v>
      </c>
      <c r="Y673" s="89" t="b">
        <v>1</v>
      </c>
      <c r="Z673" s="73" t="s">
        <v>960</v>
      </c>
    </row>
    <row r="674" spans="1:26" ht="119.25" customHeight="1">
      <c r="A674" s="58">
        <v>667</v>
      </c>
      <c r="B674" s="80" t="s">
        <v>1427</v>
      </c>
      <c r="C674" s="80" t="s">
        <v>1414</v>
      </c>
      <c r="D674" s="60" t="s">
        <v>2166</v>
      </c>
      <c r="E674" s="60" t="s">
        <v>1027</v>
      </c>
      <c r="F674" s="62" t="str">
        <f t="shared" si="17"/>
        <v>하</v>
      </c>
      <c r="G674" s="63" t="s">
        <v>2668</v>
      </c>
      <c r="H674" s="63" t="s">
        <v>2674</v>
      </c>
      <c r="I674" s="190" t="s">
        <v>1028</v>
      </c>
      <c r="J674" s="137" t="s">
        <v>1417</v>
      </c>
      <c r="K674" s="79"/>
      <c r="L674" s="137" t="s">
        <v>1492</v>
      </c>
      <c r="M674" s="67"/>
      <c r="N674" s="67"/>
      <c r="O674" s="67"/>
      <c r="P674" s="67"/>
      <c r="Q674" s="67"/>
      <c r="R674" s="67"/>
      <c r="S674" s="81" t="s">
        <v>1418</v>
      </c>
      <c r="T674" s="67"/>
      <c r="U674" s="67"/>
      <c r="V674" s="67"/>
      <c r="W674" s="88" t="b">
        <v>0</v>
      </c>
      <c r="X674" s="88" t="b">
        <v>0</v>
      </c>
      <c r="Y674" s="89" t="b">
        <v>1</v>
      </c>
      <c r="Z674" s="73" t="s">
        <v>960</v>
      </c>
    </row>
    <row r="675" spans="1:26" ht="119.25" customHeight="1">
      <c r="A675" s="58">
        <v>668</v>
      </c>
      <c r="B675" s="80" t="s">
        <v>1427</v>
      </c>
      <c r="C675" s="80" t="s">
        <v>1414</v>
      </c>
      <c r="D675" s="60" t="s">
        <v>2167</v>
      </c>
      <c r="E675" s="60" t="s">
        <v>1029</v>
      </c>
      <c r="F675" s="62" t="str">
        <f t="shared" si="17"/>
        <v>하</v>
      </c>
      <c r="G675" s="63" t="s">
        <v>2668</v>
      </c>
      <c r="H675" s="63" t="s">
        <v>2674</v>
      </c>
      <c r="I675" s="190" t="s">
        <v>1030</v>
      </c>
      <c r="J675" s="137" t="s">
        <v>1417</v>
      </c>
      <c r="K675" s="79"/>
      <c r="L675" s="137" t="s">
        <v>1492</v>
      </c>
      <c r="M675" s="67"/>
      <c r="N675" s="67"/>
      <c r="O675" s="67"/>
      <c r="P675" s="67"/>
      <c r="Q675" s="67"/>
      <c r="R675" s="67"/>
      <c r="S675" s="81" t="s">
        <v>1418</v>
      </c>
      <c r="T675" s="67"/>
      <c r="U675" s="67"/>
      <c r="V675" s="67"/>
      <c r="W675" s="88" t="b">
        <v>0</v>
      </c>
      <c r="X675" s="88" t="b">
        <v>0</v>
      </c>
      <c r="Y675" s="89" t="b">
        <v>1</v>
      </c>
      <c r="Z675" s="73" t="s">
        <v>960</v>
      </c>
    </row>
    <row r="676" spans="1:26" ht="119.25" customHeight="1">
      <c r="A676" s="58">
        <v>669</v>
      </c>
      <c r="B676" s="80" t="s">
        <v>1427</v>
      </c>
      <c r="C676" s="80" t="s">
        <v>1414</v>
      </c>
      <c r="D676" s="60" t="s">
        <v>2168</v>
      </c>
      <c r="E676" s="60" t="s">
        <v>1031</v>
      </c>
      <c r="F676" s="62" t="str">
        <f t="shared" si="17"/>
        <v>하</v>
      </c>
      <c r="G676" s="63" t="s">
        <v>2668</v>
      </c>
      <c r="H676" s="63" t="s">
        <v>2674</v>
      </c>
      <c r="I676" s="190" t="s">
        <v>1032</v>
      </c>
      <c r="J676" s="137" t="s">
        <v>1417</v>
      </c>
      <c r="K676" s="79"/>
      <c r="L676" s="137" t="s">
        <v>1492</v>
      </c>
      <c r="M676" s="67"/>
      <c r="N676" s="67"/>
      <c r="O676" s="67"/>
      <c r="P676" s="67"/>
      <c r="Q676" s="67"/>
      <c r="R676" s="67"/>
      <c r="S676" s="81" t="s">
        <v>1418</v>
      </c>
      <c r="T676" s="67"/>
      <c r="U676" s="67"/>
      <c r="V676" s="67"/>
      <c r="W676" s="88" t="b">
        <v>0</v>
      </c>
      <c r="X676" s="88" t="b">
        <v>0</v>
      </c>
      <c r="Y676" s="89" t="b">
        <v>1</v>
      </c>
      <c r="Z676" s="73" t="s">
        <v>960</v>
      </c>
    </row>
    <row r="677" spans="1:26" ht="119.25" customHeight="1">
      <c r="A677" s="58">
        <v>670</v>
      </c>
      <c r="B677" s="80" t="s">
        <v>1427</v>
      </c>
      <c r="C677" s="80" t="s">
        <v>1414</v>
      </c>
      <c r="D677" s="60" t="s">
        <v>2169</v>
      </c>
      <c r="E677" s="60" t="s">
        <v>1033</v>
      </c>
      <c r="F677" s="62" t="str">
        <f t="shared" si="17"/>
        <v>하</v>
      </c>
      <c r="G677" s="63" t="s">
        <v>2668</v>
      </c>
      <c r="H677" s="63" t="s">
        <v>2674</v>
      </c>
      <c r="I677" s="190" t="s">
        <v>1034</v>
      </c>
      <c r="J677" s="137" t="s">
        <v>1417</v>
      </c>
      <c r="K677" s="79"/>
      <c r="L677" s="137" t="s">
        <v>1492</v>
      </c>
      <c r="M677" s="67"/>
      <c r="N677" s="67"/>
      <c r="O677" s="67"/>
      <c r="P677" s="67"/>
      <c r="Q677" s="67"/>
      <c r="R677" s="67"/>
      <c r="S677" s="81" t="s">
        <v>1418</v>
      </c>
      <c r="T677" s="67"/>
      <c r="U677" s="67"/>
      <c r="V677" s="67"/>
      <c r="W677" s="88" t="b">
        <v>0</v>
      </c>
      <c r="X677" s="88" t="b">
        <v>0</v>
      </c>
      <c r="Y677" s="89" t="b">
        <v>1</v>
      </c>
      <c r="Z677" s="73" t="s">
        <v>960</v>
      </c>
    </row>
    <row r="678" spans="1:26" ht="119.25" customHeight="1">
      <c r="A678" s="58">
        <v>671</v>
      </c>
      <c r="B678" s="80" t="s">
        <v>1460</v>
      </c>
      <c r="C678" s="80" t="s">
        <v>1414</v>
      </c>
      <c r="D678" s="60" t="s">
        <v>2170</v>
      </c>
      <c r="E678" s="60" t="s">
        <v>1035</v>
      </c>
      <c r="F678" s="62" t="str">
        <f t="shared" si="17"/>
        <v>하</v>
      </c>
      <c r="G678" s="63" t="s">
        <v>2668</v>
      </c>
      <c r="H678" s="63" t="s">
        <v>2674</v>
      </c>
      <c r="I678" s="190" t="s">
        <v>1036</v>
      </c>
      <c r="J678" s="137" t="s">
        <v>1417</v>
      </c>
      <c r="K678" s="79"/>
      <c r="L678" s="137" t="s">
        <v>1492</v>
      </c>
      <c r="M678" s="67"/>
      <c r="N678" s="67"/>
      <c r="O678" s="67"/>
      <c r="P678" s="67"/>
      <c r="Q678" s="67"/>
      <c r="R678" s="67"/>
      <c r="S678" s="81" t="s">
        <v>1418</v>
      </c>
      <c r="T678" s="67"/>
      <c r="U678" s="67"/>
      <c r="V678" s="67"/>
      <c r="W678" s="88" t="b">
        <v>0</v>
      </c>
      <c r="X678" s="88" t="b">
        <v>0</v>
      </c>
      <c r="Y678" s="89" t="b">
        <v>0</v>
      </c>
      <c r="Z678" s="73" t="s">
        <v>960</v>
      </c>
    </row>
    <row r="679" spans="1:26" ht="119.25" customHeight="1">
      <c r="A679" s="58">
        <v>672</v>
      </c>
      <c r="B679" s="80" t="s">
        <v>1427</v>
      </c>
      <c r="C679" s="80" t="s">
        <v>1414</v>
      </c>
      <c r="D679" s="60" t="s">
        <v>2171</v>
      </c>
      <c r="E679" s="60" t="s">
        <v>1037</v>
      </c>
      <c r="F679" s="62" t="str">
        <f t="shared" si="17"/>
        <v>하</v>
      </c>
      <c r="G679" s="63" t="s">
        <v>2668</v>
      </c>
      <c r="H679" s="63" t="s">
        <v>2674</v>
      </c>
      <c r="I679" s="190" t="s">
        <v>1038</v>
      </c>
      <c r="J679" s="137" t="s">
        <v>1417</v>
      </c>
      <c r="K679" s="79"/>
      <c r="L679" s="137" t="s">
        <v>1492</v>
      </c>
      <c r="M679" s="67"/>
      <c r="N679" s="67"/>
      <c r="O679" s="67"/>
      <c r="P679" s="67"/>
      <c r="Q679" s="67"/>
      <c r="R679" s="67"/>
      <c r="S679" s="81" t="s">
        <v>1418</v>
      </c>
      <c r="T679" s="67"/>
      <c r="U679" s="67"/>
      <c r="V679" s="67"/>
      <c r="W679" s="88" t="b">
        <v>0</v>
      </c>
      <c r="X679" s="88" t="b">
        <v>1</v>
      </c>
      <c r="Y679" s="89" t="b">
        <v>1</v>
      </c>
      <c r="Z679" s="73" t="s">
        <v>960</v>
      </c>
    </row>
    <row r="680" spans="1:26" ht="119.25" customHeight="1">
      <c r="A680" s="58">
        <v>673</v>
      </c>
      <c r="B680" s="80" t="s">
        <v>1460</v>
      </c>
      <c r="C680" s="80" t="s">
        <v>1414</v>
      </c>
      <c r="D680" s="60" t="s">
        <v>2172</v>
      </c>
      <c r="E680" s="60" t="s">
        <v>1039</v>
      </c>
      <c r="F680" s="62" t="str">
        <f t="shared" si="17"/>
        <v>하</v>
      </c>
      <c r="G680" s="63" t="s">
        <v>2668</v>
      </c>
      <c r="H680" s="63" t="s">
        <v>2674</v>
      </c>
      <c r="I680" s="190" t="s">
        <v>1040</v>
      </c>
      <c r="J680" s="137" t="s">
        <v>1417</v>
      </c>
      <c r="K680" s="79"/>
      <c r="L680" s="137" t="s">
        <v>1492</v>
      </c>
      <c r="M680" s="67"/>
      <c r="N680" s="67"/>
      <c r="O680" s="67"/>
      <c r="P680" s="67"/>
      <c r="Q680" s="67"/>
      <c r="R680" s="67"/>
      <c r="S680" s="81" t="s">
        <v>1418</v>
      </c>
      <c r="T680" s="67"/>
      <c r="U680" s="67"/>
      <c r="V680" s="67"/>
      <c r="W680" s="88" t="b">
        <v>0</v>
      </c>
      <c r="X680" s="88" t="b">
        <v>0</v>
      </c>
      <c r="Y680" s="89" t="b">
        <v>0</v>
      </c>
      <c r="Z680" s="73" t="s">
        <v>960</v>
      </c>
    </row>
    <row r="681" spans="1:26" ht="119.25" customHeight="1">
      <c r="A681" s="58">
        <v>674</v>
      </c>
      <c r="B681" s="80" t="s">
        <v>1427</v>
      </c>
      <c r="C681" s="80" t="s">
        <v>1414</v>
      </c>
      <c r="D681" s="60" t="s">
        <v>2173</v>
      </c>
      <c r="E681" s="60" t="s">
        <v>1041</v>
      </c>
      <c r="F681" s="62" t="str">
        <f t="shared" si="17"/>
        <v>하</v>
      </c>
      <c r="G681" s="63" t="s">
        <v>2668</v>
      </c>
      <c r="H681" s="63" t="s">
        <v>2674</v>
      </c>
      <c r="I681" s="190" t="s">
        <v>1042</v>
      </c>
      <c r="J681" s="137" t="s">
        <v>1417</v>
      </c>
      <c r="K681" s="79"/>
      <c r="L681" s="137" t="s">
        <v>1492</v>
      </c>
      <c r="M681" s="67"/>
      <c r="N681" s="67"/>
      <c r="O681" s="67"/>
      <c r="P681" s="67"/>
      <c r="Q681" s="67"/>
      <c r="R681" s="67"/>
      <c r="S681" s="81" t="s">
        <v>1418</v>
      </c>
      <c r="T681" s="67"/>
      <c r="U681" s="67"/>
      <c r="V681" s="67"/>
      <c r="W681" s="88" t="b">
        <v>0</v>
      </c>
      <c r="X681" s="88" t="b">
        <v>0</v>
      </c>
      <c r="Y681" s="89" t="b">
        <v>1</v>
      </c>
      <c r="Z681" s="73" t="s">
        <v>960</v>
      </c>
    </row>
    <row r="682" spans="1:26" ht="119.25" customHeight="1">
      <c r="A682" s="58">
        <v>675</v>
      </c>
      <c r="B682" s="80" t="s">
        <v>1460</v>
      </c>
      <c r="C682" s="80" t="s">
        <v>1414</v>
      </c>
      <c r="D682" s="60" t="s">
        <v>2174</v>
      </c>
      <c r="E682" s="60" t="s">
        <v>1043</v>
      </c>
      <c r="F682" s="62" t="str">
        <f t="shared" si="17"/>
        <v>하</v>
      </c>
      <c r="G682" s="63" t="s">
        <v>2668</v>
      </c>
      <c r="H682" s="63" t="s">
        <v>2674</v>
      </c>
      <c r="I682" s="190" t="s">
        <v>1044</v>
      </c>
      <c r="J682" s="137" t="s">
        <v>1417</v>
      </c>
      <c r="K682" s="79"/>
      <c r="L682" s="137" t="s">
        <v>1492</v>
      </c>
      <c r="M682" s="67"/>
      <c r="N682" s="67"/>
      <c r="O682" s="67"/>
      <c r="P682" s="67"/>
      <c r="Q682" s="67"/>
      <c r="R682" s="67"/>
      <c r="S682" s="81" t="s">
        <v>1418</v>
      </c>
      <c r="T682" s="67"/>
      <c r="U682" s="67"/>
      <c r="V682" s="67"/>
      <c r="W682" s="88" t="b">
        <v>0</v>
      </c>
      <c r="X682" s="88" t="b">
        <v>0</v>
      </c>
      <c r="Y682" s="89" t="b">
        <v>1</v>
      </c>
      <c r="Z682" s="73" t="s">
        <v>960</v>
      </c>
    </row>
    <row r="683" spans="1:26" ht="119.25" customHeight="1">
      <c r="A683" s="58">
        <v>676</v>
      </c>
      <c r="B683" s="80" t="s">
        <v>1460</v>
      </c>
      <c r="C683" s="80" t="s">
        <v>1414</v>
      </c>
      <c r="D683" s="60" t="s">
        <v>2175</v>
      </c>
      <c r="E683" s="60" t="s">
        <v>1045</v>
      </c>
      <c r="F683" s="62" t="str">
        <f t="shared" si="17"/>
        <v>하</v>
      </c>
      <c r="G683" s="63" t="s">
        <v>2668</v>
      </c>
      <c r="H683" s="63" t="s">
        <v>2674</v>
      </c>
      <c r="I683" s="190" t="s">
        <v>1046</v>
      </c>
      <c r="J683" s="137" t="s">
        <v>1417</v>
      </c>
      <c r="K683" s="79"/>
      <c r="L683" s="137" t="s">
        <v>1492</v>
      </c>
      <c r="M683" s="67"/>
      <c r="N683" s="67"/>
      <c r="O683" s="67"/>
      <c r="P683" s="67"/>
      <c r="Q683" s="67"/>
      <c r="R683" s="67"/>
      <c r="S683" s="81" t="s">
        <v>1418</v>
      </c>
      <c r="T683" s="67"/>
      <c r="U683" s="67"/>
      <c r="V683" s="67"/>
      <c r="W683" s="88" t="b">
        <v>0</v>
      </c>
      <c r="X683" s="88" t="b">
        <v>0</v>
      </c>
      <c r="Y683" s="89" t="b">
        <v>0</v>
      </c>
      <c r="Z683" s="73" t="s">
        <v>960</v>
      </c>
    </row>
    <row r="684" spans="1:26" ht="119.25" customHeight="1">
      <c r="A684" s="58">
        <v>677</v>
      </c>
      <c r="B684" s="80" t="s">
        <v>1427</v>
      </c>
      <c r="C684" s="80" t="s">
        <v>1414</v>
      </c>
      <c r="D684" s="60" t="s">
        <v>2176</v>
      </c>
      <c r="E684" s="60" t="s">
        <v>1047</v>
      </c>
      <c r="F684" s="62" t="str">
        <f t="shared" si="17"/>
        <v>하</v>
      </c>
      <c r="G684" s="63" t="s">
        <v>2668</v>
      </c>
      <c r="H684" s="63" t="s">
        <v>2674</v>
      </c>
      <c r="I684" s="190" t="s">
        <v>1048</v>
      </c>
      <c r="J684" s="137" t="s">
        <v>1417</v>
      </c>
      <c r="K684" s="79"/>
      <c r="L684" s="137" t="s">
        <v>1492</v>
      </c>
      <c r="M684" s="67"/>
      <c r="N684" s="67"/>
      <c r="O684" s="67"/>
      <c r="P684" s="67"/>
      <c r="Q684" s="67"/>
      <c r="R684" s="67"/>
      <c r="S684" s="81" t="s">
        <v>1418</v>
      </c>
      <c r="T684" s="67"/>
      <c r="U684" s="67"/>
      <c r="V684" s="67"/>
      <c r="W684" s="88" t="b">
        <v>0</v>
      </c>
      <c r="X684" s="88" t="b">
        <v>1</v>
      </c>
      <c r="Y684" s="89" t="b">
        <v>1</v>
      </c>
      <c r="Z684" s="73" t="s">
        <v>960</v>
      </c>
    </row>
    <row r="685" spans="1:26" ht="119.25" customHeight="1">
      <c r="A685" s="58">
        <v>678</v>
      </c>
      <c r="B685" s="80" t="s">
        <v>1460</v>
      </c>
      <c r="C685" s="80" t="s">
        <v>1414</v>
      </c>
      <c r="D685" s="60" t="s">
        <v>2177</v>
      </c>
      <c r="E685" s="60" t="s">
        <v>1049</v>
      </c>
      <c r="F685" s="62" t="str">
        <f t="shared" si="17"/>
        <v>하</v>
      </c>
      <c r="G685" s="63" t="s">
        <v>2668</v>
      </c>
      <c r="H685" s="63" t="s">
        <v>2674</v>
      </c>
      <c r="I685" s="190" t="s">
        <v>1050</v>
      </c>
      <c r="J685" s="137" t="s">
        <v>1417</v>
      </c>
      <c r="K685" s="79"/>
      <c r="L685" s="137" t="s">
        <v>1492</v>
      </c>
      <c r="M685" s="67"/>
      <c r="N685" s="67"/>
      <c r="O685" s="67"/>
      <c r="P685" s="67"/>
      <c r="Q685" s="67"/>
      <c r="R685" s="67"/>
      <c r="S685" s="81" t="s">
        <v>1418</v>
      </c>
      <c r="T685" s="67"/>
      <c r="U685" s="67"/>
      <c r="V685" s="67"/>
      <c r="W685" s="88" t="b">
        <v>0</v>
      </c>
      <c r="X685" s="88" t="b">
        <v>0</v>
      </c>
      <c r="Y685" s="89" t="b">
        <v>0</v>
      </c>
      <c r="Z685" s="73" t="s">
        <v>960</v>
      </c>
    </row>
    <row r="686" spans="1:26" ht="119.25" customHeight="1">
      <c r="A686" s="58">
        <v>679</v>
      </c>
      <c r="B686" s="80" t="s">
        <v>1460</v>
      </c>
      <c r="C686" s="80" t="s">
        <v>1414</v>
      </c>
      <c r="D686" s="60" t="s">
        <v>2178</v>
      </c>
      <c r="E686" s="60" t="s">
        <v>1051</v>
      </c>
      <c r="F686" s="62" t="str">
        <f t="shared" si="17"/>
        <v>하</v>
      </c>
      <c r="G686" s="63" t="s">
        <v>2668</v>
      </c>
      <c r="H686" s="63" t="s">
        <v>2674</v>
      </c>
      <c r="I686" s="190" t="s">
        <v>1052</v>
      </c>
      <c r="J686" s="137" t="s">
        <v>1417</v>
      </c>
      <c r="K686" s="79"/>
      <c r="L686" s="137" t="s">
        <v>1492</v>
      </c>
      <c r="M686" s="67"/>
      <c r="N686" s="67"/>
      <c r="O686" s="67"/>
      <c r="P686" s="67"/>
      <c r="Q686" s="67"/>
      <c r="R686" s="67"/>
      <c r="S686" s="81" t="s">
        <v>1418</v>
      </c>
      <c r="T686" s="67"/>
      <c r="U686" s="67"/>
      <c r="V686" s="67"/>
      <c r="W686" s="88" t="b">
        <v>0</v>
      </c>
      <c r="X686" s="88" t="b">
        <v>0</v>
      </c>
      <c r="Y686" s="89" t="b">
        <v>0</v>
      </c>
      <c r="Z686" s="73" t="s">
        <v>960</v>
      </c>
    </row>
    <row r="687" spans="1:26" ht="119.25" customHeight="1">
      <c r="A687" s="58">
        <v>680</v>
      </c>
      <c r="B687" s="80" t="s">
        <v>1460</v>
      </c>
      <c r="C687" s="80" t="s">
        <v>1414</v>
      </c>
      <c r="D687" s="60" t="s">
        <v>2179</v>
      </c>
      <c r="E687" s="60" t="s">
        <v>1053</v>
      </c>
      <c r="F687" s="62" t="str">
        <f t="shared" si="17"/>
        <v>하</v>
      </c>
      <c r="G687" s="63" t="s">
        <v>2668</v>
      </c>
      <c r="H687" s="63" t="s">
        <v>2674</v>
      </c>
      <c r="I687" s="190" t="s">
        <v>1054</v>
      </c>
      <c r="J687" s="137" t="s">
        <v>1417</v>
      </c>
      <c r="K687" s="79"/>
      <c r="L687" s="137" t="s">
        <v>1492</v>
      </c>
      <c r="M687" s="67"/>
      <c r="N687" s="67"/>
      <c r="O687" s="67"/>
      <c r="P687" s="67"/>
      <c r="Q687" s="67"/>
      <c r="R687" s="67"/>
      <c r="S687" s="81" t="s">
        <v>1418</v>
      </c>
      <c r="T687" s="67"/>
      <c r="U687" s="67"/>
      <c r="V687" s="67"/>
      <c r="W687" s="88" t="b">
        <v>0</v>
      </c>
      <c r="X687" s="88" t="b">
        <v>1</v>
      </c>
      <c r="Y687" s="89" t="b">
        <v>1</v>
      </c>
      <c r="Z687" s="73" t="s">
        <v>960</v>
      </c>
    </row>
    <row r="688" spans="1:26" ht="119.25" customHeight="1">
      <c r="A688" s="58">
        <v>681</v>
      </c>
      <c r="B688" s="80" t="s">
        <v>1427</v>
      </c>
      <c r="C688" s="80" t="s">
        <v>1414</v>
      </c>
      <c r="D688" s="60" t="s">
        <v>2180</v>
      </c>
      <c r="E688" s="60" t="s">
        <v>1055</v>
      </c>
      <c r="F688" s="62" t="str">
        <f t="shared" si="17"/>
        <v>하</v>
      </c>
      <c r="G688" s="63" t="s">
        <v>2668</v>
      </c>
      <c r="H688" s="63" t="s">
        <v>2674</v>
      </c>
      <c r="I688" s="190" t="s">
        <v>1056</v>
      </c>
      <c r="J688" s="137" t="s">
        <v>1417</v>
      </c>
      <c r="K688" s="79"/>
      <c r="L688" s="137" t="s">
        <v>1492</v>
      </c>
      <c r="M688" s="67"/>
      <c r="N688" s="67"/>
      <c r="O688" s="67"/>
      <c r="P688" s="67"/>
      <c r="Q688" s="67"/>
      <c r="R688" s="67"/>
      <c r="S688" s="81" t="s">
        <v>1418</v>
      </c>
      <c r="T688" s="67"/>
      <c r="U688" s="67"/>
      <c r="V688" s="67"/>
      <c r="W688" s="88" t="b">
        <v>0</v>
      </c>
      <c r="X688" s="88" t="b">
        <v>0</v>
      </c>
      <c r="Y688" s="89" t="b">
        <v>1</v>
      </c>
      <c r="Z688" s="73" t="s">
        <v>960</v>
      </c>
    </row>
    <row r="689" spans="1:26" ht="119.25" customHeight="1">
      <c r="A689" s="58">
        <v>682</v>
      </c>
      <c r="B689" s="80" t="s">
        <v>1460</v>
      </c>
      <c r="C689" s="80" t="s">
        <v>1414</v>
      </c>
      <c r="D689" s="60" t="s">
        <v>2181</v>
      </c>
      <c r="E689" s="60" t="s">
        <v>1057</v>
      </c>
      <c r="F689" s="62" t="str">
        <f t="shared" si="17"/>
        <v>하</v>
      </c>
      <c r="G689" s="63" t="s">
        <v>2668</v>
      </c>
      <c r="H689" s="63" t="s">
        <v>2674</v>
      </c>
      <c r="I689" s="190" t="s">
        <v>1058</v>
      </c>
      <c r="J689" s="137" t="s">
        <v>1417</v>
      </c>
      <c r="K689" s="79"/>
      <c r="L689" s="137" t="s">
        <v>1492</v>
      </c>
      <c r="M689" s="67"/>
      <c r="N689" s="67"/>
      <c r="O689" s="67"/>
      <c r="P689" s="67"/>
      <c r="Q689" s="67"/>
      <c r="R689" s="67"/>
      <c r="S689" s="81" t="s">
        <v>1418</v>
      </c>
      <c r="T689" s="67"/>
      <c r="U689" s="67"/>
      <c r="V689" s="67"/>
      <c r="W689" s="88" t="b">
        <v>0</v>
      </c>
      <c r="X689" s="88" t="b">
        <v>0</v>
      </c>
      <c r="Y689" s="89" t="b">
        <v>1</v>
      </c>
      <c r="Z689" s="73" t="s">
        <v>960</v>
      </c>
    </row>
    <row r="690" spans="1:26" ht="119.25" customHeight="1">
      <c r="A690" s="58">
        <v>683</v>
      </c>
      <c r="B690" s="80" t="s">
        <v>1427</v>
      </c>
      <c r="C690" s="80" t="s">
        <v>1414</v>
      </c>
      <c r="D690" s="60" t="s">
        <v>2182</v>
      </c>
      <c r="E690" s="60" t="s">
        <v>1059</v>
      </c>
      <c r="F690" s="62" t="str">
        <f t="shared" si="17"/>
        <v>하</v>
      </c>
      <c r="G690" s="63" t="s">
        <v>2668</v>
      </c>
      <c r="H690" s="63" t="s">
        <v>2674</v>
      </c>
      <c r="I690" s="190" t="s">
        <v>1060</v>
      </c>
      <c r="J690" s="137" t="s">
        <v>1417</v>
      </c>
      <c r="K690" s="79"/>
      <c r="L690" s="137" t="s">
        <v>1492</v>
      </c>
      <c r="M690" s="67"/>
      <c r="N690" s="67"/>
      <c r="O690" s="67"/>
      <c r="P690" s="67"/>
      <c r="Q690" s="67"/>
      <c r="R690" s="67"/>
      <c r="S690" s="81" t="s">
        <v>1418</v>
      </c>
      <c r="T690" s="67"/>
      <c r="U690" s="67"/>
      <c r="V690" s="67"/>
      <c r="W690" s="88" t="b">
        <v>0</v>
      </c>
      <c r="X690" s="88" t="b">
        <v>1</v>
      </c>
      <c r="Y690" s="89" t="b">
        <v>1</v>
      </c>
      <c r="Z690" s="73" t="s">
        <v>960</v>
      </c>
    </row>
    <row r="691" spans="1:26" ht="119.25" customHeight="1">
      <c r="A691" s="58">
        <v>684</v>
      </c>
      <c r="B691" s="80" t="s">
        <v>1427</v>
      </c>
      <c r="C691" s="80" t="s">
        <v>1414</v>
      </c>
      <c r="D691" s="60" t="s">
        <v>2183</v>
      </c>
      <c r="E691" s="60" t="s">
        <v>1061</v>
      </c>
      <c r="F691" s="62" t="str">
        <f t="shared" si="17"/>
        <v>하</v>
      </c>
      <c r="G691" s="63" t="s">
        <v>2668</v>
      </c>
      <c r="H691" s="63" t="s">
        <v>2674</v>
      </c>
      <c r="I691" s="190" t="s">
        <v>1062</v>
      </c>
      <c r="J691" s="137" t="s">
        <v>1417</v>
      </c>
      <c r="K691" s="79"/>
      <c r="L691" s="137" t="s">
        <v>1492</v>
      </c>
      <c r="M691" s="67"/>
      <c r="N691" s="67"/>
      <c r="O691" s="67"/>
      <c r="P691" s="67"/>
      <c r="Q691" s="67"/>
      <c r="R691" s="67"/>
      <c r="S691" s="81" t="s">
        <v>1418</v>
      </c>
      <c r="T691" s="67"/>
      <c r="U691" s="67"/>
      <c r="V691" s="67"/>
      <c r="W691" s="88" t="b">
        <v>0</v>
      </c>
      <c r="X691" s="88" t="b">
        <v>0</v>
      </c>
      <c r="Y691" s="89" t="b">
        <v>1</v>
      </c>
      <c r="Z691" s="73" t="s">
        <v>960</v>
      </c>
    </row>
    <row r="692" spans="1:26" ht="119.25" customHeight="1">
      <c r="A692" s="58">
        <v>685</v>
      </c>
      <c r="B692" s="80" t="s">
        <v>1427</v>
      </c>
      <c r="C692" s="80" t="s">
        <v>1414</v>
      </c>
      <c r="D692" s="60" t="s">
        <v>2184</v>
      </c>
      <c r="E692" s="60" t="s">
        <v>1063</v>
      </c>
      <c r="F692" s="62" t="str">
        <f t="shared" si="17"/>
        <v>하</v>
      </c>
      <c r="G692" s="63" t="s">
        <v>2668</v>
      </c>
      <c r="H692" s="63" t="s">
        <v>2674</v>
      </c>
      <c r="I692" s="190" t="s">
        <v>1064</v>
      </c>
      <c r="J692" s="137" t="s">
        <v>1417</v>
      </c>
      <c r="K692" s="79"/>
      <c r="L692" s="137" t="s">
        <v>1492</v>
      </c>
      <c r="M692" s="67"/>
      <c r="N692" s="67"/>
      <c r="O692" s="67"/>
      <c r="P692" s="67"/>
      <c r="Q692" s="67"/>
      <c r="R692" s="67"/>
      <c r="S692" s="81" t="s">
        <v>1418</v>
      </c>
      <c r="T692" s="67"/>
      <c r="U692" s="67"/>
      <c r="V692" s="67"/>
      <c r="W692" s="88" t="b">
        <v>0</v>
      </c>
      <c r="X692" s="88" t="b">
        <v>0</v>
      </c>
      <c r="Y692" s="89" t="b">
        <v>1</v>
      </c>
      <c r="Z692" s="73" t="s">
        <v>960</v>
      </c>
    </row>
    <row r="693" spans="1:26" ht="119.25" customHeight="1">
      <c r="A693" s="58">
        <v>686</v>
      </c>
      <c r="B693" s="80" t="s">
        <v>1427</v>
      </c>
      <c r="C693" s="80" t="s">
        <v>1414</v>
      </c>
      <c r="D693" s="60" t="s">
        <v>2185</v>
      </c>
      <c r="E693" s="60" t="s">
        <v>1065</v>
      </c>
      <c r="F693" s="62" t="str">
        <f t="shared" si="17"/>
        <v>하</v>
      </c>
      <c r="G693" s="63" t="s">
        <v>2668</v>
      </c>
      <c r="H693" s="63" t="s">
        <v>2674</v>
      </c>
      <c r="I693" s="190" t="s">
        <v>1066</v>
      </c>
      <c r="J693" s="137" t="s">
        <v>1417</v>
      </c>
      <c r="K693" s="79"/>
      <c r="L693" s="137" t="s">
        <v>1492</v>
      </c>
      <c r="M693" s="67"/>
      <c r="N693" s="67"/>
      <c r="O693" s="67"/>
      <c r="P693" s="67"/>
      <c r="Q693" s="67"/>
      <c r="R693" s="67"/>
      <c r="S693" s="81" t="s">
        <v>1418</v>
      </c>
      <c r="T693" s="67"/>
      <c r="U693" s="67"/>
      <c r="V693" s="67"/>
      <c r="W693" s="88" t="b">
        <v>0</v>
      </c>
      <c r="X693" s="88" t="b">
        <v>0</v>
      </c>
      <c r="Y693" s="89" t="b">
        <v>1</v>
      </c>
      <c r="Z693" s="73" t="s">
        <v>960</v>
      </c>
    </row>
    <row r="694" spans="1:26" ht="119.25" customHeight="1">
      <c r="A694" s="58">
        <v>687</v>
      </c>
      <c r="B694" s="80" t="s">
        <v>1460</v>
      </c>
      <c r="C694" s="80" t="s">
        <v>1414</v>
      </c>
      <c r="D694" s="60" t="s">
        <v>2186</v>
      </c>
      <c r="E694" s="60" t="s">
        <v>1067</v>
      </c>
      <c r="F694" s="62" t="str">
        <f t="shared" si="17"/>
        <v>하</v>
      </c>
      <c r="G694" s="63" t="s">
        <v>2668</v>
      </c>
      <c r="H694" s="63" t="s">
        <v>2674</v>
      </c>
      <c r="I694" s="190" t="s">
        <v>1068</v>
      </c>
      <c r="J694" s="137" t="s">
        <v>1417</v>
      </c>
      <c r="K694" s="79"/>
      <c r="L694" s="137" t="s">
        <v>1492</v>
      </c>
      <c r="M694" s="67"/>
      <c r="N694" s="67"/>
      <c r="O694" s="67"/>
      <c r="P694" s="67"/>
      <c r="Q694" s="67"/>
      <c r="R694" s="67"/>
      <c r="S694" s="81" t="s">
        <v>1418</v>
      </c>
      <c r="T694" s="67"/>
      <c r="U694" s="67"/>
      <c r="V694" s="67"/>
      <c r="W694" s="88" t="b">
        <v>0</v>
      </c>
      <c r="X694" s="88" t="b">
        <v>1</v>
      </c>
      <c r="Y694" s="89" t="b">
        <v>0</v>
      </c>
      <c r="Z694" s="73" t="s">
        <v>960</v>
      </c>
    </row>
    <row r="695" spans="1:26" ht="119.25" customHeight="1">
      <c r="A695" s="58">
        <v>688</v>
      </c>
      <c r="B695" s="80" t="s">
        <v>1460</v>
      </c>
      <c r="C695" s="80" t="s">
        <v>1414</v>
      </c>
      <c r="D695" s="60" t="s">
        <v>2187</v>
      </c>
      <c r="E695" s="60" t="s">
        <v>1069</v>
      </c>
      <c r="F695" s="62" t="str">
        <f t="shared" si="17"/>
        <v>하</v>
      </c>
      <c r="G695" s="63" t="s">
        <v>2668</v>
      </c>
      <c r="H695" s="63" t="s">
        <v>2674</v>
      </c>
      <c r="I695" s="190" t="s">
        <v>1070</v>
      </c>
      <c r="J695" s="137" t="s">
        <v>1417</v>
      </c>
      <c r="K695" s="79"/>
      <c r="L695" s="137" t="s">
        <v>1492</v>
      </c>
      <c r="M695" s="67"/>
      <c r="N695" s="67"/>
      <c r="O695" s="67"/>
      <c r="P695" s="67"/>
      <c r="Q695" s="67"/>
      <c r="R695" s="67"/>
      <c r="S695" s="81" t="s">
        <v>1418</v>
      </c>
      <c r="T695" s="67"/>
      <c r="U695" s="67"/>
      <c r="V695" s="67"/>
      <c r="W695" s="88" t="b">
        <v>0</v>
      </c>
      <c r="X695" s="88" t="b">
        <v>0</v>
      </c>
      <c r="Y695" s="89" t="b">
        <v>1</v>
      </c>
      <c r="Z695" s="73" t="s">
        <v>960</v>
      </c>
    </row>
    <row r="696" spans="1:26" ht="119.25" customHeight="1">
      <c r="A696" s="58">
        <v>689</v>
      </c>
      <c r="B696" s="80" t="s">
        <v>1427</v>
      </c>
      <c r="C696" s="80" t="s">
        <v>1414</v>
      </c>
      <c r="D696" s="60" t="s">
        <v>2188</v>
      </c>
      <c r="E696" s="60" t="s">
        <v>1071</v>
      </c>
      <c r="F696" s="62" t="str">
        <f t="shared" si="17"/>
        <v>하</v>
      </c>
      <c r="G696" s="63" t="s">
        <v>2668</v>
      </c>
      <c r="H696" s="63" t="s">
        <v>2674</v>
      </c>
      <c r="I696" s="190" t="s">
        <v>1072</v>
      </c>
      <c r="J696" s="137" t="s">
        <v>1417</v>
      </c>
      <c r="K696" s="79"/>
      <c r="L696" s="137" t="s">
        <v>1492</v>
      </c>
      <c r="M696" s="67"/>
      <c r="N696" s="67"/>
      <c r="O696" s="67"/>
      <c r="P696" s="67"/>
      <c r="Q696" s="67"/>
      <c r="R696" s="67"/>
      <c r="S696" s="81" t="s">
        <v>1418</v>
      </c>
      <c r="T696" s="67"/>
      <c r="U696" s="67"/>
      <c r="V696" s="67"/>
      <c r="W696" s="88" t="b">
        <v>0</v>
      </c>
      <c r="X696" s="88" t="b">
        <v>0</v>
      </c>
      <c r="Y696" s="89" t="b">
        <v>1</v>
      </c>
      <c r="Z696" s="73" t="s">
        <v>960</v>
      </c>
    </row>
    <row r="697" spans="1:26" ht="119.25" customHeight="1">
      <c r="A697" s="58">
        <v>690</v>
      </c>
      <c r="B697" s="80" t="s">
        <v>1427</v>
      </c>
      <c r="C697" s="80" t="s">
        <v>1414</v>
      </c>
      <c r="D697" s="60" t="s">
        <v>2189</v>
      </c>
      <c r="E697" s="60" t="s">
        <v>1073</v>
      </c>
      <c r="F697" s="62" t="str">
        <f t="shared" si="17"/>
        <v>하</v>
      </c>
      <c r="G697" s="63" t="s">
        <v>2668</v>
      </c>
      <c r="H697" s="63" t="s">
        <v>2674</v>
      </c>
      <c r="I697" s="190" t="s">
        <v>1074</v>
      </c>
      <c r="J697" s="137" t="s">
        <v>1417</v>
      </c>
      <c r="K697" s="79"/>
      <c r="L697" s="137" t="s">
        <v>1492</v>
      </c>
      <c r="M697" s="67"/>
      <c r="N697" s="67"/>
      <c r="O697" s="67"/>
      <c r="P697" s="67"/>
      <c r="Q697" s="67"/>
      <c r="R697" s="67"/>
      <c r="S697" s="81" t="s">
        <v>1418</v>
      </c>
      <c r="T697" s="67"/>
      <c r="U697" s="67"/>
      <c r="V697" s="67"/>
      <c r="W697" s="88" t="b">
        <v>0</v>
      </c>
      <c r="X697" s="88" t="b">
        <v>0</v>
      </c>
      <c r="Y697" s="89" t="b">
        <v>1</v>
      </c>
      <c r="Z697" s="73" t="s">
        <v>960</v>
      </c>
    </row>
    <row r="698" spans="1:26" ht="119.25" customHeight="1">
      <c r="A698" s="58">
        <v>691</v>
      </c>
      <c r="B698" s="80" t="s">
        <v>1460</v>
      </c>
      <c r="C698" s="80" t="s">
        <v>1414</v>
      </c>
      <c r="D698" s="60" t="s">
        <v>2190</v>
      </c>
      <c r="E698" s="60" t="s">
        <v>1075</v>
      </c>
      <c r="F698" s="62" t="str">
        <f t="shared" si="17"/>
        <v>하</v>
      </c>
      <c r="G698" s="63" t="s">
        <v>2668</v>
      </c>
      <c r="H698" s="63" t="s">
        <v>2674</v>
      </c>
      <c r="I698" s="190" t="s">
        <v>1076</v>
      </c>
      <c r="J698" s="137" t="s">
        <v>1417</v>
      </c>
      <c r="K698" s="79"/>
      <c r="L698" s="137" t="s">
        <v>1492</v>
      </c>
      <c r="M698" s="67"/>
      <c r="N698" s="67"/>
      <c r="O698" s="67"/>
      <c r="P698" s="67"/>
      <c r="Q698" s="67"/>
      <c r="R698" s="67"/>
      <c r="S698" s="81" t="s">
        <v>1418</v>
      </c>
      <c r="T698" s="67"/>
      <c r="U698" s="67"/>
      <c r="V698" s="67"/>
      <c r="W698" s="88" t="b">
        <v>0</v>
      </c>
      <c r="X698" s="88" t="b">
        <v>0</v>
      </c>
      <c r="Y698" s="89" t="b">
        <v>1</v>
      </c>
      <c r="Z698" s="73" t="s">
        <v>960</v>
      </c>
    </row>
    <row r="699" spans="1:26" ht="119.25" customHeight="1">
      <c r="A699" s="58">
        <v>692</v>
      </c>
      <c r="B699" s="80" t="s">
        <v>1460</v>
      </c>
      <c r="C699" s="80" t="s">
        <v>1414</v>
      </c>
      <c r="D699" s="60" t="s">
        <v>2191</v>
      </c>
      <c r="E699" s="60" t="s">
        <v>1077</v>
      </c>
      <c r="F699" s="62" t="str">
        <f t="shared" si="17"/>
        <v>하</v>
      </c>
      <c r="G699" s="63" t="s">
        <v>2668</v>
      </c>
      <c r="H699" s="63" t="s">
        <v>2674</v>
      </c>
      <c r="I699" s="190" t="s">
        <v>1078</v>
      </c>
      <c r="J699" s="137" t="s">
        <v>1417</v>
      </c>
      <c r="K699" s="79"/>
      <c r="L699" s="137" t="s">
        <v>1492</v>
      </c>
      <c r="M699" s="67"/>
      <c r="N699" s="67"/>
      <c r="O699" s="67"/>
      <c r="P699" s="67"/>
      <c r="Q699" s="67"/>
      <c r="R699" s="67"/>
      <c r="S699" s="81" t="s">
        <v>1418</v>
      </c>
      <c r="T699" s="67"/>
      <c r="U699" s="67"/>
      <c r="V699" s="67"/>
      <c r="W699" s="88" t="b">
        <v>0</v>
      </c>
      <c r="X699" s="88" t="b">
        <v>0</v>
      </c>
      <c r="Y699" s="89" t="b">
        <v>1</v>
      </c>
      <c r="Z699" s="73" t="s">
        <v>960</v>
      </c>
    </row>
    <row r="700" spans="1:26" ht="119.25" customHeight="1">
      <c r="A700" s="58">
        <v>693</v>
      </c>
      <c r="B700" s="80" t="s">
        <v>1460</v>
      </c>
      <c r="C700" s="80" t="s">
        <v>1414</v>
      </c>
      <c r="D700" s="60" t="s">
        <v>2680</v>
      </c>
      <c r="E700" s="60" t="s">
        <v>1079</v>
      </c>
      <c r="F700" s="62" t="str">
        <f t="shared" si="17"/>
        <v>하</v>
      </c>
      <c r="G700" s="63" t="s">
        <v>2668</v>
      </c>
      <c r="H700" s="63" t="s">
        <v>2674</v>
      </c>
      <c r="I700" s="190" t="s">
        <v>1080</v>
      </c>
      <c r="J700" s="137" t="s">
        <v>1417</v>
      </c>
      <c r="K700" s="79"/>
      <c r="L700" s="137" t="s">
        <v>1492</v>
      </c>
      <c r="M700" s="67"/>
      <c r="N700" s="67"/>
      <c r="O700" s="67"/>
      <c r="P700" s="67"/>
      <c r="Q700" s="67"/>
      <c r="R700" s="67"/>
      <c r="S700" s="81" t="s">
        <v>1418</v>
      </c>
      <c r="T700" s="67"/>
      <c r="U700" s="67"/>
      <c r="V700" s="67"/>
      <c r="W700" s="88" t="b">
        <v>0</v>
      </c>
      <c r="X700" s="88" t="b">
        <v>0</v>
      </c>
      <c r="Y700" s="89" t="b">
        <v>1</v>
      </c>
      <c r="Z700" s="73" t="s">
        <v>954</v>
      </c>
    </row>
    <row r="701" spans="1:26" ht="119.25" customHeight="1">
      <c r="A701" s="58">
        <v>694</v>
      </c>
      <c r="B701" s="80" t="s">
        <v>1460</v>
      </c>
      <c r="C701" s="80" t="s">
        <v>1414</v>
      </c>
      <c r="D701" s="60" t="s">
        <v>2681</v>
      </c>
      <c r="E701" s="60" t="s">
        <v>1081</v>
      </c>
      <c r="F701" s="62" t="str">
        <f t="shared" si="17"/>
        <v>하</v>
      </c>
      <c r="G701" s="63" t="s">
        <v>2668</v>
      </c>
      <c r="H701" s="63" t="s">
        <v>2674</v>
      </c>
      <c r="I701" s="190" t="s">
        <v>1082</v>
      </c>
      <c r="J701" s="137" t="s">
        <v>1417</v>
      </c>
      <c r="K701" s="79"/>
      <c r="L701" s="137" t="s">
        <v>1492</v>
      </c>
      <c r="M701" s="67"/>
      <c r="N701" s="67"/>
      <c r="O701" s="67"/>
      <c r="P701" s="67"/>
      <c r="Q701" s="67"/>
      <c r="R701" s="67"/>
      <c r="S701" s="81" t="s">
        <v>1418</v>
      </c>
      <c r="T701" s="67"/>
      <c r="U701" s="67"/>
      <c r="V701" s="67"/>
      <c r="W701" s="88" t="b">
        <v>0</v>
      </c>
      <c r="X701" s="88" t="b">
        <v>0</v>
      </c>
      <c r="Y701" s="89" t="b">
        <v>1</v>
      </c>
      <c r="Z701" s="73" t="s">
        <v>944</v>
      </c>
    </row>
    <row r="702" spans="1:26" ht="119.25" customHeight="1">
      <c r="A702" s="58">
        <v>695</v>
      </c>
      <c r="B702" s="80" t="s">
        <v>1460</v>
      </c>
      <c r="C702" s="80" t="s">
        <v>1414</v>
      </c>
      <c r="D702" s="60" t="s">
        <v>2682</v>
      </c>
      <c r="E702" s="60" t="s">
        <v>1083</v>
      </c>
      <c r="F702" s="62" t="str">
        <f t="shared" si="17"/>
        <v>하</v>
      </c>
      <c r="G702" s="63" t="s">
        <v>2668</v>
      </c>
      <c r="H702" s="63" t="s">
        <v>2674</v>
      </c>
      <c r="I702" s="190" t="s">
        <v>1084</v>
      </c>
      <c r="J702" s="137" t="s">
        <v>1417</v>
      </c>
      <c r="K702" s="79"/>
      <c r="L702" s="137" t="s">
        <v>1492</v>
      </c>
      <c r="M702" s="67"/>
      <c r="N702" s="67"/>
      <c r="O702" s="67"/>
      <c r="P702" s="67"/>
      <c r="Q702" s="67"/>
      <c r="R702" s="67"/>
      <c r="S702" s="81" t="s">
        <v>1418</v>
      </c>
      <c r="T702" s="67"/>
      <c r="U702" s="67"/>
      <c r="V702" s="67"/>
      <c r="W702" s="88" t="b">
        <v>0</v>
      </c>
      <c r="X702" s="88" t="b">
        <v>0</v>
      </c>
      <c r="Y702" s="89" t="b">
        <v>1</v>
      </c>
      <c r="Z702" s="73" t="s">
        <v>832</v>
      </c>
    </row>
    <row r="703" spans="1:26" ht="119.25" customHeight="1">
      <c r="A703" s="58">
        <v>696</v>
      </c>
      <c r="B703" s="80" t="s">
        <v>1460</v>
      </c>
      <c r="C703" s="80" t="s">
        <v>1414</v>
      </c>
      <c r="D703" s="60" t="s">
        <v>2683</v>
      </c>
      <c r="E703" s="60" t="s">
        <v>1085</v>
      </c>
      <c r="F703" s="62" t="str">
        <f t="shared" si="17"/>
        <v>하</v>
      </c>
      <c r="G703" s="63" t="s">
        <v>2668</v>
      </c>
      <c r="H703" s="63" t="s">
        <v>2674</v>
      </c>
      <c r="I703" s="190" t="s">
        <v>1086</v>
      </c>
      <c r="J703" s="137" t="s">
        <v>1417</v>
      </c>
      <c r="K703" s="79"/>
      <c r="L703" s="137" t="s">
        <v>1492</v>
      </c>
      <c r="M703" s="67"/>
      <c r="N703" s="67"/>
      <c r="O703" s="67"/>
      <c r="P703" s="67"/>
      <c r="Q703" s="67"/>
      <c r="R703" s="67"/>
      <c r="S703" s="81" t="s">
        <v>1418</v>
      </c>
      <c r="T703" s="67"/>
      <c r="U703" s="67"/>
      <c r="V703" s="67"/>
      <c r="W703" s="88" t="b">
        <v>0</v>
      </c>
      <c r="X703" s="88" t="b">
        <v>0</v>
      </c>
      <c r="Y703" s="89" t="b">
        <v>1</v>
      </c>
      <c r="Z703" s="73" t="s">
        <v>469</v>
      </c>
    </row>
    <row r="704" spans="1:26" ht="119.25" customHeight="1">
      <c r="A704" s="58">
        <v>697</v>
      </c>
      <c r="B704" s="80" t="s">
        <v>1460</v>
      </c>
      <c r="C704" s="80" t="s">
        <v>1414</v>
      </c>
      <c r="D704" s="60" t="s">
        <v>2684</v>
      </c>
      <c r="E704" s="60" t="s">
        <v>1087</v>
      </c>
      <c r="F704" s="62" t="str">
        <f t="shared" si="17"/>
        <v>하</v>
      </c>
      <c r="G704" s="63" t="s">
        <v>2668</v>
      </c>
      <c r="H704" s="63" t="s">
        <v>2674</v>
      </c>
      <c r="I704" s="190" t="s">
        <v>1088</v>
      </c>
      <c r="J704" s="137" t="s">
        <v>1417</v>
      </c>
      <c r="K704" s="79"/>
      <c r="L704" s="137" t="s">
        <v>1492</v>
      </c>
      <c r="M704" s="67"/>
      <c r="N704" s="67"/>
      <c r="O704" s="67"/>
      <c r="P704" s="67"/>
      <c r="Q704" s="67"/>
      <c r="R704" s="67"/>
      <c r="S704" s="81" t="s">
        <v>1418</v>
      </c>
      <c r="T704" s="67"/>
      <c r="U704" s="67"/>
      <c r="V704" s="67"/>
      <c r="W704" s="88" t="b">
        <v>0</v>
      </c>
      <c r="X704" s="88" t="b">
        <v>0</v>
      </c>
      <c r="Y704" s="89" t="b">
        <v>1</v>
      </c>
      <c r="Z704" s="73" t="s">
        <v>1089</v>
      </c>
    </row>
    <row r="705" spans="1:46" ht="119.25" customHeight="1">
      <c r="A705" s="58">
        <v>698</v>
      </c>
      <c r="B705" s="80" t="s">
        <v>1460</v>
      </c>
      <c r="C705" s="80" t="s">
        <v>1414</v>
      </c>
      <c r="D705" s="60" t="s">
        <v>2685</v>
      </c>
      <c r="E705" s="60" t="s">
        <v>1090</v>
      </c>
      <c r="F705" s="62" t="str">
        <f t="shared" si="17"/>
        <v>하</v>
      </c>
      <c r="G705" s="63" t="s">
        <v>2668</v>
      </c>
      <c r="H705" s="63" t="s">
        <v>2674</v>
      </c>
      <c r="I705" s="190" t="s">
        <v>1091</v>
      </c>
      <c r="J705" s="137" t="s">
        <v>1417</v>
      </c>
      <c r="K705" s="79"/>
      <c r="L705" s="137" t="s">
        <v>1492</v>
      </c>
      <c r="M705" s="67"/>
      <c r="N705" s="67"/>
      <c r="O705" s="67"/>
      <c r="P705" s="67"/>
      <c r="Q705" s="67"/>
      <c r="R705" s="67"/>
      <c r="S705" s="81" t="s">
        <v>1418</v>
      </c>
      <c r="T705" s="67"/>
      <c r="U705" s="67"/>
      <c r="V705" s="67"/>
      <c r="W705" s="88" t="b">
        <v>0</v>
      </c>
      <c r="X705" s="88" t="b">
        <v>0</v>
      </c>
      <c r="Y705" s="89" t="b">
        <v>1</v>
      </c>
      <c r="Z705" s="73" t="s">
        <v>689</v>
      </c>
    </row>
    <row r="706" spans="1:46" ht="119.25" customHeight="1">
      <c r="A706" s="58">
        <v>699</v>
      </c>
      <c r="B706" s="80" t="s">
        <v>1460</v>
      </c>
      <c r="C706" s="80" t="s">
        <v>1414</v>
      </c>
      <c r="D706" s="60" t="s">
        <v>2686</v>
      </c>
      <c r="E706" s="60" t="s">
        <v>1092</v>
      </c>
      <c r="F706" s="62" t="str">
        <f t="shared" si="17"/>
        <v>하</v>
      </c>
      <c r="G706" s="63" t="s">
        <v>2668</v>
      </c>
      <c r="H706" s="63" t="s">
        <v>2674</v>
      </c>
      <c r="I706" s="190" t="s">
        <v>1093</v>
      </c>
      <c r="J706" s="137" t="s">
        <v>1417</v>
      </c>
      <c r="K706" s="79"/>
      <c r="L706" s="137" t="s">
        <v>1492</v>
      </c>
      <c r="M706" s="67"/>
      <c r="N706" s="67"/>
      <c r="O706" s="67"/>
      <c r="P706" s="67"/>
      <c r="Q706" s="67"/>
      <c r="R706" s="67"/>
      <c r="S706" s="81" t="s">
        <v>1418</v>
      </c>
      <c r="T706" s="67"/>
      <c r="U706" s="67"/>
      <c r="V706" s="67"/>
      <c r="W706" s="88" t="b">
        <v>0</v>
      </c>
      <c r="X706" s="88" t="b">
        <v>0</v>
      </c>
      <c r="Y706" s="89" t="b">
        <v>1</v>
      </c>
      <c r="Z706" s="73" t="s">
        <v>954</v>
      </c>
    </row>
    <row r="707" spans="1:46" ht="119.25" customHeight="1">
      <c r="A707" s="58">
        <v>700</v>
      </c>
      <c r="B707" s="80" t="s">
        <v>1460</v>
      </c>
      <c r="C707" s="80" t="s">
        <v>1414</v>
      </c>
      <c r="D707" s="60" t="s">
        <v>2687</v>
      </c>
      <c r="E707" s="60" t="s">
        <v>1094</v>
      </c>
      <c r="F707" s="62" t="str">
        <f t="shared" si="17"/>
        <v>하</v>
      </c>
      <c r="G707" s="63" t="s">
        <v>2668</v>
      </c>
      <c r="H707" s="63" t="s">
        <v>2674</v>
      </c>
      <c r="I707" s="190" t="s">
        <v>1095</v>
      </c>
      <c r="J707" s="137" t="s">
        <v>1417</v>
      </c>
      <c r="K707" s="79"/>
      <c r="L707" s="137" t="s">
        <v>1492</v>
      </c>
      <c r="M707" s="67"/>
      <c r="N707" s="67"/>
      <c r="O707" s="67"/>
      <c r="P707" s="67"/>
      <c r="Q707" s="67"/>
      <c r="R707" s="67"/>
      <c r="S707" s="81" t="s">
        <v>1418</v>
      </c>
      <c r="T707" s="67"/>
      <c r="U707" s="67"/>
      <c r="V707" s="67"/>
      <c r="W707" s="88" t="b">
        <v>0</v>
      </c>
      <c r="X707" s="88" t="b">
        <v>0</v>
      </c>
      <c r="Y707" s="89" t="b">
        <v>1</v>
      </c>
      <c r="Z707" s="73" t="s">
        <v>671</v>
      </c>
    </row>
    <row r="708" spans="1:46" ht="119.25" customHeight="1">
      <c r="A708" s="58">
        <v>701</v>
      </c>
      <c r="B708" s="80" t="s">
        <v>1460</v>
      </c>
      <c r="C708" s="80" t="s">
        <v>1414</v>
      </c>
      <c r="D708" s="60" t="s">
        <v>2688</v>
      </c>
      <c r="E708" s="60" t="s">
        <v>1096</v>
      </c>
      <c r="F708" s="62" t="str">
        <f t="shared" si="17"/>
        <v>하</v>
      </c>
      <c r="G708" s="63" t="s">
        <v>2668</v>
      </c>
      <c r="H708" s="63" t="s">
        <v>2674</v>
      </c>
      <c r="I708" s="190" t="s">
        <v>1097</v>
      </c>
      <c r="J708" s="137" t="s">
        <v>1417</v>
      </c>
      <c r="K708" s="79"/>
      <c r="L708" s="137" t="s">
        <v>1492</v>
      </c>
      <c r="M708" s="67"/>
      <c r="N708" s="67"/>
      <c r="O708" s="67"/>
      <c r="P708" s="67"/>
      <c r="Q708" s="67"/>
      <c r="R708" s="67"/>
      <c r="S708" s="81" t="s">
        <v>1418</v>
      </c>
      <c r="T708" s="67"/>
      <c r="U708" s="67"/>
      <c r="V708" s="67"/>
      <c r="W708" s="88" t="b">
        <v>0</v>
      </c>
      <c r="X708" s="88" t="b">
        <v>0</v>
      </c>
      <c r="Y708" s="89" t="b">
        <v>1</v>
      </c>
      <c r="Z708" s="73" t="s">
        <v>944</v>
      </c>
    </row>
    <row r="709" spans="1:46" ht="119.25" customHeight="1">
      <c r="A709" s="58">
        <v>702</v>
      </c>
      <c r="B709" s="80" t="s">
        <v>1460</v>
      </c>
      <c r="C709" s="80" t="s">
        <v>1414</v>
      </c>
      <c r="D709" s="60" t="s">
        <v>2689</v>
      </c>
      <c r="E709" s="60" t="s">
        <v>1098</v>
      </c>
      <c r="F709" s="62" t="str">
        <f t="shared" si="17"/>
        <v>하</v>
      </c>
      <c r="G709" s="63" t="s">
        <v>2668</v>
      </c>
      <c r="H709" s="63" t="s">
        <v>2674</v>
      </c>
      <c r="I709" s="190" t="s">
        <v>1099</v>
      </c>
      <c r="J709" s="137" t="s">
        <v>1417</v>
      </c>
      <c r="K709" s="79"/>
      <c r="L709" s="137" t="s">
        <v>1492</v>
      </c>
      <c r="M709" s="67"/>
      <c r="N709" s="67"/>
      <c r="O709" s="67"/>
      <c r="P709" s="67"/>
      <c r="Q709" s="67"/>
      <c r="R709" s="67"/>
      <c r="S709" s="81" t="s">
        <v>1418</v>
      </c>
      <c r="T709" s="67"/>
      <c r="U709" s="67"/>
      <c r="V709" s="67"/>
      <c r="W709" s="88" t="b">
        <v>0</v>
      </c>
      <c r="X709" s="88" t="b">
        <v>0</v>
      </c>
      <c r="Y709" s="89" t="b">
        <v>1</v>
      </c>
      <c r="Z709" s="73" t="s">
        <v>832</v>
      </c>
    </row>
    <row r="710" spans="1:46" ht="119.25" customHeight="1">
      <c r="A710" s="58">
        <v>703</v>
      </c>
      <c r="B710" s="80" t="s">
        <v>1460</v>
      </c>
      <c r="C710" s="80" t="s">
        <v>1414</v>
      </c>
      <c r="D710" s="60" t="s">
        <v>2690</v>
      </c>
      <c r="E710" s="60" t="s">
        <v>1100</v>
      </c>
      <c r="F710" s="62" t="str">
        <f t="shared" si="17"/>
        <v>하</v>
      </c>
      <c r="G710" s="63" t="s">
        <v>2668</v>
      </c>
      <c r="H710" s="63" t="s">
        <v>2674</v>
      </c>
      <c r="I710" s="190" t="s">
        <v>1101</v>
      </c>
      <c r="J710" s="137" t="s">
        <v>1417</v>
      </c>
      <c r="K710" s="79"/>
      <c r="L710" s="137" t="s">
        <v>1492</v>
      </c>
      <c r="M710" s="67"/>
      <c r="N710" s="67"/>
      <c r="O710" s="67"/>
      <c r="P710" s="67"/>
      <c r="Q710" s="67"/>
      <c r="R710" s="67"/>
      <c r="S710" s="81" t="s">
        <v>1418</v>
      </c>
      <c r="T710" s="67"/>
      <c r="U710" s="67"/>
      <c r="V710" s="67"/>
      <c r="W710" s="88" t="b">
        <v>0</v>
      </c>
      <c r="X710" s="88" t="b">
        <v>0</v>
      </c>
      <c r="Y710" s="89" t="b">
        <v>1</v>
      </c>
      <c r="Z710" s="73" t="s">
        <v>832</v>
      </c>
    </row>
    <row r="711" spans="1:46" ht="119.25" customHeight="1">
      <c r="A711" s="58">
        <v>704</v>
      </c>
      <c r="B711" s="80" t="s">
        <v>1460</v>
      </c>
      <c r="C711" s="80" t="s">
        <v>1414</v>
      </c>
      <c r="D711" s="60" t="s">
        <v>2691</v>
      </c>
      <c r="E711" s="60" t="s">
        <v>1102</v>
      </c>
      <c r="F711" s="62" t="str">
        <f t="shared" si="17"/>
        <v>하</v>
      </c>
      <c r="G711" s="63" t="s">
        <v>2668</v>
      </c>
      <c r="H711" s="63" t="s">
        <v>2674</v>
      </c>
      <c r="I711" s="190" t="s">
        <v>1103</v>
      </c>
      <c r="J711" s="137" t="s">
        <v>1417</v>
      </c>
      <c r="K711" s="79"/>
      <c r="L711" s="137" t="s">
        <v>1492</v>
      </c>
      <c r="M711" s="67"/>
      <c r="N711" s="67"/>
      <c r="O711" s="67"/>
      <c r="P711" s="67"/>
      <c r="Q711" s="67"/>
      <c r="R711" s="67"/>
      <c r="S711" s="81" t="s">
        <v>1418</v>
      </c>
      <c r="T711" s="67"/>
      <c r="U711" s="67"/>
      <c r="V711" s="67"/>
      <c r="W711" s="88" t="b">
        <v>0</v>
      </c>
      <c r="X711" s="88" t="b">
        <v>0</v>
      </c>
      <c r="Y711" s="89" t="b">
        <v>1</v>
      </c>
      <c r="Z711" s="73" t="s">
        <v>839</v>
      </c>
    </row>
    <row r="712" spans="1:46" ht="119.25" customHeight="1">
      <c r="A712" s="58">
        <v>705</v>
      </c>
      <c r="B712" s="80" t="s">
        <v>1460</v>
      </c>
      <c r="C712" s="80" t="s">
        <v>1414</v>
      </c>
      <c r="D712" s="60" t="s">
        <v>2692</v>
      </c>
      <c r="E712" s="60" t="s">
        <v>1104</v>
      </c>
      <c r="F712" s="62" t="str">
        <f t="shared" si="17"/>
        <v>하</v>
      </c>
      <c r="G712" s="63" t="s">
        <v>2668</v>
      </c>
      <c r="H712" s="63" t="s">
        <v>2674</v>
      </c>
      <c r="I712" s="190" t="s">
        <v>1105</v>
      </c>
      <c r="J712" s="137" t="s">
        <v>1417</v>
      </c>
      <c r="K712" s="79"/>
      <c r="L712" s="137" t="s">
        <v>1492</v>
      </c>
      <c r="M712" s="67"/>
      <c r="N712" s="67"/>
      <c r="O712" s="67"/>
      <c r="P712" s="67"/>
      <c r="Q712" s="67"/>
      <c r="R712" s="67"/>
      <c r="S712" s="81" t="s">
        <v>1418</v>
      </c>
      <c r="T712" s="67"/>
      <c r="U712" s="67"/>
      <c r="V712" s="67"/>
      <c r="W712" s="88" t="b">
        <v>0</v>
      </c>
      <c r="X712" s="88" t="b">
        <v>0</v>
      </c>
      <c r="Y712" s="89" t="b">
        <v>1</v>
      </c>
      <c r="Z712" s="73" t="s">
        <v>954</v>
      </c>
    </row>
    <row r="713" spans="1:46" ht="119.25" customHeight="1">
      <c r="A713" s="58">
        <v>706</v>
      </c>
      <c r="B713" s="80" t="s">
        <v>1460</v>
      </c>
      <c r="C713" s="80" t="s">
        <v>1414</v>
      </c>
      <c r="D713" s="60" t="s">
        <v>2693</v>
      </c>
      <c r="E713" s="60" t="s">
        <v>1106</v>
      </c>
      <c r="F713" s="62" t="str">
        <f t="shared" si="17"/>
        <v>하</v>
      </c>
      <c r="G713" s="63" t="s">
        <v>2668</v>
      </c>
      <c r="H713" s="63" t="s">
        <v>2674</v>
      </c>
      <c r="I713" s="190" t="s">
        <v>1107</v>
      </c>
      <c r="J713" s="137" t="s">
        <v>1417</v>
      </c>
      <c r="K713" s="79"/>
      <c r="L713" s="137" t="s">
        <v>1492</v>
      </c>
      <c r="M713" s="67"/>
      <c r="N713" s="67"/>
      <c r="O713" s="67"/>
      <c r="P713" s="67"/>
      <c r="Q713" s="67"/>
      <c r="R713" s="67"/>
      <c r="S713" s="81" t="s">
        <v>1418</v>
      </c>
      <c r="T713" s="67"/>
      <c r="U713" s="67"/>
      <c r="V713" s="67"/>
      <c r="W713" s="88" t="b">
        <v>0</v>
      </c>
      <c r="X713" s="88" t="b">
        <v>0</v>
      </c>
      <c r="Y713" s="89" t="b">
        <v>1</v>
      </c>
      <c r="Z713" s="73" t="s">
        <v>944</v>
      </c>
    </row>
    <row r="714" spans="1:46" ht="119.25" customHeight="1">
      <c r="A714" s="58">
        <v>707</v>
      </c>
      <c r="B714" s="80" t="s">
        <v>1460</v>
      </c>
      <c r="C714" s="80" t="s">
        <v>1414</v>
      </c>
      <c r="D714" s="60" t="s">
        <v>2192</v>
      </c>
      <c r="E714" s="60" t="s">
        <v>1108</v>
      </c>
      <c r="F714" s="62" t="str">
        <f t="shared" si="17"/>
        <v>하</v>
      </c>
      <c r="G714" s="63" t="s">
        <v>2668</v>
      </c>
      <c r="H714" s="63" t="s">
        <v>2674</v>
      </c>
      <c r="I714" s="190" t="s">
        <v>1109</v>
      </c>
      <c r="J714" s="137" t="s">
        <v>1417</v>
      </c>
      <c r="K714" s="79"/>
      <c r="L714" s="137" t="s">
        <v>1492</v>
      </c>
      <c r="M714" s="67"/>
      <c r="N714" s="67"/>
      <c r="O714" s="67"/>
      <c r="P714" s="67"/>
      <c r="Q714" s="67"/>
      <c r="R714" s="67"/>
      <c r="S714" s="81" t="s">
        <v>1418</v>
      </c>
      <c r="T714" s="67"/>
      <c r="U714" s="67"/>
      <c r="V714" s="67"/>
      <c r="W714" s="88" t="b">
        <v>0</v>
      </c>
      <c r="X714" s="88" t="b">
        <v>0</v>
      </c>
      <c r="Y714" s="89" t="b">
        <v>1</v>
      </c>
      <c r="Z714" s="73" t="s">
        <v>954</v>
      </c>
    </row>
    <row r="715" spans="1:46" ht="119.25" customHeight="1">
      <c r="A715" s="58">
        <v>708</v>
      </c>
      <c r="B715" s="80" t="s">
        <v>1460</v>
      </c>
      <c r="C715" s="80" t="s">
        <v>1414</v>
      </c>
      <c r="D715" s="60" t="s">
        <v>2193</v>
      </c>
      <c r="E715" s="60" t="s">
        <v>1110</v>
      </c>
      <c r="F715" s="62" t="str">
        <f t="shared" si="17"/>
        <v>하</v>
      </c>
      <c r="G715" s="63" t="s">
        <v>2668</v>
      </c>
      <c r="H715" s="63" t="s">
        <v>2674</v>
      </c>
      <c r="I715" s="190" t="s">
        <v>1111</v>
      </c>
      <c r="J715" s="137" t="s">
        <v>1417</v>
      </c>
      <c r="K715" s="79"/>
      <c r="L715" s="137" t="s">
        <v>1492</v>
      </c>
      <c r="M715" s="67"/>
      <c r="N715" s="67"/>
      <c r="O715" s="67"/>
      <c r="P715" s="67"/>
      <c r="Q715" s="67"/>
      <c r="R715" s="67"/>
      <c r="S715" s="81" t="s">
        <v>1418</v>
      </c>
      <c r="T715" s="67"/>
      <c r="U715" s="67"/>
      <c r="V715" s="67"/>
      <c r="W715" s="88" t="b">
        <v>0</v>
      </c>
      <c r="X715" s="88" t="b">
        <v>0</v>
      </c>
      <c r="Y715" s="89" t="b">
        <v>1</v>
      </c>
      <c r="Z715" s="73" t="s">
        <v>469</v>
      </c>
    </row>
    <row r="716" spans="1:46" ht="119.25" customHeight="1">
      <c r="A716" s="58">
        <v>709</v>
      </c>
      <c r="B716" s="80" t="s">
        <v>1460</v>
      </c>
      <c r="C716" s="80" t="s">
        <v>1414</v>
      </c>
      <c r="D716" s="60" t="s">
        <v>2194</v>
      </c>
      <c r="E716" s="60" t="s">
        <v>1112</v>
      </c>
      <c r="F716" s="62" t="str">
        <f t="shared" si="17"/>
        <v>하</v>
      </c>
      <c r="G716" s="63" t="s">
        <v>2668</v>
      </c>
      <c r="H716" s="63" t="s">
        <v>2674</v>
      </c>
      <c r="I716" s="190" t="s">
        <v>1113</v>
      </c>
      <c r="J716" s="137" t="s">
        <v>1417</v>
      </c>
      <c r="K716" s="79"/>
      <c r="L716" s="137" t="s">
        <v>1492</v>
      </c>
      <c r="M716" s="67"/>
      <c r="N716" s="67"/>
      <c r="O716" s="67"/>
      <c r="P716" s="67"/>
      <c r="Q716" s="67"/>
      <c r="R716" s="67"/>
      <c r="S716" s="81" t="s">
        <v>1418</v>
      </c>
      <c r="T716" s="67"/>
      <c r="U716" s="67"/>
      <c r="V716" s="67"/>
      <c r="W716" s="88" t="b">
        <v>0</v>
      </c>
      <c r="X716" s="88" t="b">
        <v>0</v>
      </c>
      <c r="Y716" s="89" t="b">
        <v>1</v>
      </c>
      <c r="Z716" s="73" t="s">
        <v>692</v>
      </c>
    </row>
    <row r="717" spans="1:46" s="134" customFormat="1" ht="119.25" customHeight="1">
      <c r="A717" s="58">
        <v>710</v>
      </c>
      <c r="B717" s="80" t="s">
        <v>1460</v>
      </c>
      <c r="C717" s="80" t="s">
        <v>1414</v>
      </c>
      <c r="D717" s="60" t="s">
        <v>2195</v>
      </c>
      <c r="E717" s="60" t="s">
        <v>1114</v>
      </c>
      <c r="F717" s="62" t="str">
        <f t="shared" si="17"/>
        <v>하</v>
      </c>
      <c r="G717" s="63" t="s">
        <v>2668</v>
      </c>
      <c r="H717" s="63" t="s">
        <v>2674</v>
      </c>
      <c r="I717" s="190" t="s">
        <v>1115</v>
      </c>
      <c r="J717" s="137" t="s">
        <v>1417</v>
      </c>
      <c r="K717" s="79"/>
      <c r="L717" s="137" t="s">
        <v>1492</v>
      </c>
      <c r="M717" s="67"/>
      <c r="N717" s="67"/>
      <c r="O717" s="67"/>
      <c r="P717" s="67"/>
      <c r="Q717" s="67"/>
      <c r="R717" s="67"/>
      <c r="S717" s="81" t="s">
        <v>1418</v>
      </c>
      <c r="T717" s="67"/>
      <c r="U717" s="67"/>
      <c r="V717" s="67"/>
      <c r="W717" s="88" t="b">
        <v>0</v>
      </c>
      <c r="X717" s="88" t="b">
        <v>0</v>
      </c>
      <c r="Y717" s="89" t="b">
        <v>1</v>
      </c>
      <c r="Z717" s="73" t="s">
        <v>1116</v>
      </c>
      <c r="AA717" s="7"/>
      <c r="AB717" s="7"/>
      <c r="AC717" s="16"/>
      <c r="AD717" s="16"/>
      <c r="AE717" s="16"/>
      <c r="AF717" s="16"/>
      <c r="AG717" s="7"/>
      <c r="AH717" s="7"/>
      <c r="AI717" s="7"/>
      <c r="AJ717" s="7"/>
      <c r="AK717" s="7"/>
      <c r="AL717" s="7"/>
      <c r="AM717" s="7"/>
      <c r="AN717" s="7"/>
      <c r="AO717" s="7"/>
      <c r="AP717" s="7"/>
      <c r="AQ717" s="7"/>
      <c r="AR717" s="7"/>
      <c r="AS717" s="7"/>
      <c r="AT717" s="7"/>
    </row>
    <row r="718" spans="1:46" s="134" customFormat="1" ht="119.25" customHeight="1">
      <c r="A718" s="58">
        <v>711</v>
      </c>
      <c r="B718" s="123"/>
      <c r="C718" s="123" t="s">
        <v>1414</v>
      </c>
      <c r="D718" s="124" t="s">
        <v>2589</v>
      </c>
      <c r="E718" s="124" t="s">
        <v>2743</v>
      </c>
      <c r="F718" s="125" t="str">
        <f t="shared" si="17"/>
        <v>하</v>
      </c>
      <c r="G718" s="63" t="s">
        <v>2668</v>
      </c>
      <c r="H718" s="63" t="s">
        <v>2674</v>
      </c>
      <c r="I718" s="197" t="s">
        <v>2744</v>
      </c>
      <c r="J718" s="138"/>
      <c r="K718" s="129"/>
      <c r="L718" s="138" t="s">
        <v>1492</v>
      </c>
      <c r="M718" s="130"/>
      <c r="N718" s="130"/>
      <c r="O718" s="130"/>
      <c r="P718" s="130"/>
      <c r="Q718" s="130"/>
      <c r="R718" s="130"/>
      <c r="S718" s="131"/>
      <c r="T718" s="130"/>
      <c r="U718" s="130"/>
      <c r="V718" s="130"/>
      <c r="W718" s="132" t="b">
        <v>0</v>
      </c>
      <c r="X718" s="132" t="b">
        <v>0</v>
      </c>
      <c r="Y718" s="133" t="b">
        <v>0</v>
      </c>
      <c r="Z718" s="127" t="s">
        <v>3984</v>
      </c>
      <c r="AC718" s="150"/>
      <c r="AD718" s="150"/>
      <c r="AE718" s="150"/>
      <c r="AF718" s="150"/>
    </row>
    <row r="719" spans="1:46" s="134" customFormat="1" ht="119.25" customHeight="1">
      <c r="A719" s="58">
        <v>712</v>
      </c>
      <c r="B719" s="123"/>
      <c r="C719" s="123" t="s">
        <v>1414</v>
      </c>
      <c r="D719" s="124" t="s">
        <v>2591</v>
      </c>
      <c r="E719" s="124" t="s">
        <v>2754</v>
      </c>
      <c r="F719" s="125" t="str">
        <f t="shared" si="17"/>
        <v>하</v>
      </c>
      <c r="G719" s="63" t="s">
        <v>2668</v>
      </c>
      <c r="H719" s="63" t="s">
        <v>2674</v>
      </c>
      <c r="I719" s="197" t="s">
        <v>2755</v>
      </c>
      <c r="J719" s="138"/>
      <c r="K719" s="129"/>
      <c r="L719" s="138" t="s">
        <v>1492</v>
      </c>
      <c r="M719" s="130"/>
      <c r="N719" s="130"/>
      <c r="O719" s="130"/>
      <c r="P719" s="130"/>
      <c r="Q719" s="130"/>
      <c r="R719" s="130"/>
      <c r="S719" s="131"/>
      <c r="T719" s="130"/>
      <c r="U719" s="130"/>
      <c r="V719" s="130"/>
      <c r="W719" s="132" t="b">
        <v>0</v>
      </c>
      <c r="X719" s="132" t="b">
        <v>0</v>
      </c>
      <c r="Y719" s="133" t="b">
        <v>0</v>
      </c>
      <c r="Z719" s="127" t="s">
        <v>3985</v>
      </c>
      <c r="AC719" s="150"/>
      <c r="AD719" s="150"/>
      <c r="AE719" s="150"/>
      <c r="AF719" s="150"/>
    </row>
    <row r="720" spans="1:46" s="134" customFormat="1" ht="119.25" customHeight="1">
      <c r="A720" s="58">
        <v>713</v>
      </c>
      <c r="B720" s="123"/>
      <c r="C720" s="123" t="s">
        <v>1414</v>
      </c>
      <c r="D720" s="124" t="s">
        <v>2592</v>
      </c>
      <c r="E720" s="124" t="s">
        <v>2759</v>
      </c>
      <c r="F720" s="125" t="str">
        <f t="shared" si="17"/>
        <v>하</v>
      </c>
      <c r="G720" s="63" t="s">
        <v>2668</v>
      </c>
      <c r="H720" s="63" t="s">
        <v>2674</v>
      </c>
      <c r="I720" s="197" t="s">
        <v>2760</v>
      </c>
      <c r="J720" s="138"/>
      <c r="K720" s="129"/>
      <c r="L720" s="138" t="s">
        <v>1492</v>
      </c>
      <c r="M720" s="130"/>
      <c r="N720" s="130"/>
      <c r="O720" s="130"/>
      <c r="P720" s="130"/>
      <c r="Q720" s="130"/>
      <c r="R720" s="130"/>
      <c r="S720" s="131"/>
      <c r="T720" s="130"/>
      <c r="U720" s="130"/>
      <c r="V720" s="130"/>
      <c r="W720" s="132" t="b">
        <v>0</v>
      </c>
      <c r="X720" s="132" t="b">
        <v>0</v>
      </c>
      <c r="Y720" s="133" t="b">
        <v>0</v>
      </c>
      <c r="Z720" s="127" t="s">
        <v>3986</v>
      </c>
      <c r="AC720" s="150"/>
      <c r="AD720" s="150"/>
      <c r="AE720" s="150"/>
      <c r="AF720" s="150"/>
    </row>
    <row r="721" spans="1:32" s="134" customFormat="1" ht="119.25" customHeight="1">
      <c r="A721" s="58">
        <v>714</v>
      </c>
      <c r="B721" s="123"/>
      <c r="C721" s="123" t="s">
        <v>1414</v>
      </c>
      <c r="D721" s="124" t="s">
        <v>2593</v>
      </c>
      <c r="E721" s="124" t="s">
        <v>2761</v>
      </c>
      <c r="F721" s="125" t="str">
        <f t="shared" si="17"/>
        <v>하</v>
      </c>
      <c r="G721" s="63" t="s">
        <v>2668</v>
      </c>
      <c r="H721" s="63" t="s">
        <v>2674</v>
      </c>
      <c r="I721" s="197" t="s">
        <v>2762</v>
      </c>
      <c r="J721" s="138"/>
      <c r="K721" s="129"/>
      <c r="L721" s="138" t="s">
        <v>1492</v>
      </c>
      <c r="M721" s="130"/>
      <c r="N721" s="130"/>
      <c r="O721" s="130"/>
      <c r="P721" s="130"/>
      <c r="Q721" s="130"/>
      <c r="R721" s="130"/>
      <c r="S721" s="131"/>
      <c r="T721" s="130"/>
      <c r="U721" s="130"/>
      <c r="V721" s="130"/>
      <c r="W721" s="132" t="b">
        <v>0</v>
      </c>
      <c r="X721" s="132" t="b">
        <v>0</v>
      </c>
      <c r="Y721" s="133" t="b">
        <v>0</v>
      </c>
      <c r="Z721" s="127" t="s">
        <v>3987</v>
      </c>
      <c r="AC721" s="150"/>
      <c r="AD721" s="150"/>
      <c r="AE721" s="150"/>
      <c r="AF721" s="150"/>
    </row>
    <row r="722" spans="1:32" s="134" customFormat="1" ht="119.25" customHeight="1">
      <c r="A722" s="58">
        <v>715</v>
      </c>
      <c r="B722" s="123"/>
      <c r="C722" s="123" t="s">
        <v>1414</v>
      </c>
      <c r="D722" s="124" t="s">
        <v>2594</v>
      </c>
      <c r="E722" s="124" t="s">
        <v>2764</v>
      </c>
      <c r="F722" s="125" t="str">
        <f t="shared" si="17"/>
        <v>하</v>
      </c>
      <c r="G722" s="63" t="s">
        <v>2668</v>
      </c>
      <c r="H722" s="63" t="s">
        <v>2674</v>
      </c>
      <c r="I722" s="197" t="s">
        <v>2765</v>
      </c>
      <c r="J722" s="138"/>
      <c r="K722" s="129"/>
      <c r="L722" s="138" t="s">
        <v>1492</v>
      </c>
      <c r="M722" s="130"/>
      <c r="N722" s="130"/>
      <c r="O722" s="130"/>
      <c r="P722" s="130"/>
      <c r="Q722" s="130"/>
      <c r="R722" s="130"/>
      <c r="S722" s="131"/>
      <c r="T722" s="130"/>
      <c r="U722" s="130"/>
      <c r="V722" s="130"/>
      <c r="W722" s="132" t="b">
        <v>0</v>
      </c>
      <c r="X722" s="132" t="b">
        <v>0</v>
      </c>
      <c r="Y722" s="133" t="b">
        <v>0</v>
      </c>
      <c r="Z722" s="127" t="s">
        <v>3986</v>
      </c>
      <c r="AC722" s="150"/>
      <c r="AD722" s="150"/>
      <c r="AE722" s="150"/>
      <c r="AF722" s="150"/>
    </row>
    <row r="723" spans="1:32" s="134" customFormat="1" ht="119.25" customHeight="1">
      <c r="A723" s="58">
        <v>716</v>
      </c>
      <c r="B723" s="123"/>
      <c r="C723" s="123" t="s">
        <v>1414</v>
      </c>
      <c r="D723" s="124" t="s">
        <v>2607</v>
      </c>
      <c r="E723" s="124" t="s">
        <v>2827</v>
      </c>
      <c r="F723" s="125" t="str">
        <f t="shared" si="17"/>
        <v>하</v>
      </c>
      <c r="G723" s="63" t="s">
        <v>2668</v>
      </c>
      <c r="H723" s="63" t="s">
        <v>2674</v>
      </c>
      <c r="I723" s="197" t="s">
        <v>2828</v>
      </c>
      <c r="J723" s="138"/>
      <c r="K723" s="129"/>
      <c r="L723" s="138" t="s">
        <v>1492</v>
      </c>
      <c r="M723" s="130"/>
      <c r="N723" s="130"/>
      <c r="O723" s="130"/>
      <c r="P723" s="130"/>
      <c r="Q723" s="130"/>
      <c r="R723" s="130"/>
      <c r="S723" s="131"/>
      <c r="T723" s="130"/>
      <c r="U723" s="130"/>
      <c r="V723" s="130"/>
      <c r="W723" s="132" t="b">
        <v>0</v>
      </c>
      <c r="X723" s="132" t="b">
        <v>0</v>
      </c>
      <c r="Y723" s="133" t="b">
        <v>0</v>
      </c>
      <c r="Z723" s="127" t="s">
        <v>3987</v>
      </c>
      <c r="AC723" s="150"/>
      <c r="AD723" s="150"/>
      <c r="AE723" s="150"/>
      <c r="AF723" s="150"/>
    </row>
    <row r="724" spans="1:32" s="134" customFormat="1" ht="119.25" customHeight="1">
      <c r="A724" s="58">
        <v>717</v>
      </c>
      <c r="B724" s="123"/>
      <c r="C724" s="123" t="s">
        <v>1414</v>
      </c>
      <c r="D724" s="124" t="s">
        <v>2609</v>
      </c>
      <c r="E724" s="124" t="s">
        <v>2840</v>
      </c>
      <c r="F724" s="125" t="str">
        <f t="shared" si="17"/>
        <v>하</v>
      </c>
      <c r="G724" s="63" t="s">
        <v>2668</v>
      </c>
      <c r="H724" s="63" t="s">
        <v>2674</v>
      </c>
      <c r="I724" s="197" t="s">
        <v>2841</v>
      </c>
      <c r="J724" s="138"/>
      <c r="K724" s="129"/>
      <c r="L724" s="138" t="s">
        <v>1492</v>
      </c>
      <c r="M724" s="130"/>
      <c r="N724" s="130"/>
      <c r="O724" s="130"/>
      <c r="P724" s="130"/>
      <c r="Q724" s="130"/>
      <c r="R724" s="130"/>
      <c r="S724" s="131"/>
      <c r="T724" s="130"/>
      <c r="U724" s="130"/>
      <c r="V724" s="130"/>
      <c r="W724" s="132" t="b">
        <v>0</v>
      </c>
      <c r="X724" s="132" t="b">
        <v>0</v>
      </c>
      <c r="Y724" s="133" t="b">
        <v>0</v>
      </c>
      <c r="Z724" s="127" t="s">
        <v>3986</v>
      </c>
      <c r="AC724" s="150"/>
      <c r="AD724" s="150"/>
      <c r="AE724" s="150"/>
      <c r="AF724" s="150"/>
    </row>
    <row r="725" spans="1:32" s="134" customFormat="1" ht="119.25" customHeight="1">
      <c r="A725" s="58">
        <v>718</v>
      </c>
      <c r="B725" s="123"/>
      <c r="C725" s="123" t="s">
        <v>1414</v>
      </c>
      <c r="D725" s="124" t="s">
        <v>2625</v>
      </c>
      <c r="E725" s="124" t="s">
        <v>2918</v>
      </c>
      <c r="F725" s="125" t="str">
        <f t="shared" si="17"/>
        <v>하</v>
      </c>
      <c r="G725" s="63" t="s">
        <v>2668</v>
      </c>
      <c r="H725" s="63" t="s">
        <v>2674</v>
      </c>
      <c r="I725" s="197" t="s">
        <v>2919</v>
      </c>
      <c r="J725" s="138"/>
      <c r="K725" s="129"/>
      <c r="L725" s="138" t="s">
        <v>1492</v>
      </c>
      <c r="M725" s="130"/>
      <c r="N725" s="130"/>
      <c r="O725" s="130"/>
      <c r="P725" s="130"/>
      <c r="Q725" s="130"/>
      <c r="R725" s="130"/>
      <c r="S725" s="131"/>
      <c r="T725" s="130"/>
      <c r="U725" s="130"/>
      <c r="V725" s="130"/>
      <c r="W725" s="132" t="b">
        <v>0</v>
      </c>
      <c r="X725" s="132" t="b">
        <v>0</v>
      </c>
      <c r="Y725" s="133" t="b">
        <v>0</v>
      </c>
      <c r="Z725" s="127" t="s">
        <v>3986</v>
      </c>
      <c r="AC725" s="150"/>
      <c r="AD725" s="150"/>
      <c r="AE725" s="150"/>
      <c r="AF725" s="150"/>
    </row>
    <row r="726" spans="1:32" s="134" customFormat="1" ht="119.25" customHeight="1">
      <c r="A726" s="58">
        <v>719</v>
      </c>
      <c r="B726" s="123"/>
      <c r="C726" s="123" t="s">
        <v>1414</v>
      </c>
      <c r="D726" s="124" t="s">
        <v>2617</v>
      </c>
      <c r="E726" s="124" t="s">
        <v>2861</v>
      </c>
      <c r="F726" s="125" t="str">
        <f t="shared" si="17"/>
        <v>하</v>
      </c>
      <c r="G726" s="63" t="s">
        <v>2668</v>
      </c>
      <c r="H726" s="63" t="s">
        <v>2674</v>
      </c>
      <c r="I726" s="197" t="s">
        <v>2862</v>
      </c>
      <c r="J726" s="138"/>
      <c r="K726" s="129"/>
      <c r="L726" s="138" t="s">
        <v>1492</v>
      </c>
      <c r="M726" s="130"/>
      <c r="N726" s="130"/>
      <c r="O726" s="130"/>
      <c r="P726" s="130"/>
      <c r="Q726" s="130"/>
      <c r="R726" s="130"/>
      <c r="S726" s="131"/>
      <c r="T726" s="130"/>
      <c r="U726" s="130"/>
      <c r="V726" s="130"/>
      <c r="W726" s="132" t="b">
        <v>0</v>
      </c>
      <c r="X726" s="132" t="b">
        <v>0</v>
      </c>
      <c r="Y726" s="133" t="b">
        <v>0</v>
      </c>
      <c r="Z726" s="127" t="s">
        <v>3988</v>
      </c>
      <c r="AC726" s="150"/>
      <c r="AD726" s="150"/>
      <c r="AE726" s="150"/>
      <c r="AF726" s="150"/>
    </row>
    <row r="727" spans="1:32" s="134" customFormat="1" ht="119.25" customHeight="1">
      <c r="A727" s="58">
        <v>720</v>
      </c>
      <c r="B727" s="123"/>
      <c r="C727" s="123" t="s">
        <v>1414</v>
      </c>
      <c r="D727" s="124" t="s">
        <v>2618</v>
      </c>
      <c r="E727" s="124" t="s">
        <v>2863</v>
      </c>
      <c r="F727" s="125" t="str">
        <f t="shared" si="17"/>
        <v>하</v>
      </c>
      <c r="G727" s="63" t="s">
        <v>2668</v>
      </c>
      <c r="H727" s="63" t="s">
        <v>2674</v>
      </c>
      <c r="I727" s="197" t="s">
        <v>2864</v>
      </c>
      <c r="J727" s="138"/>
      <c r="K727" s="129"/>
      <c r="L727" s="138" t="s">
        <v>1492</v>
      </c>
      <c r="M727" s="130"/>
      <c r="N727" s="130"/>
      <c r="O727" s="130"/>
      <c r="P727" s="130"/>
      <c r="Q727" s="130"/>
      <c r="R727" s="130"/>
      <c r="S727" s="131"/>
      <c r="T727" s="130"/>
      <c r="U727" s="130"/>
      <c r="V727" s="130"/>
      <c r="W727" s="132" t="b">
        <v>0</v>
      </c>
      <c r="X727" s="132" t="b">
        <v>0</v>
      </c>
      <c r="Y727" s="133" t="b">
        <v>0</v>
      </c>
      <c r="Z727" s="127" t="s">
        <v>3985</v>
      </c>
      <c r="AC727" s="150"/>
      <c r="AD727" s="150"/>
      <c r="AE727" s="150"/>
      <c r="AF727" s="150"/>
    </row>
    <row r="728" spans="1:32" s="134" customFormat="1" ht="119.25" customHeight="1">
      <c r="A728" s="58">
        <v>721</v>
      </c>
      <c r="B728" s="123"/>
      <c r="C728" s="123" t="s">
        <v>1414</v>
      </c>
      <c r="D728" s="124" t="s">
        <v>2626</v>
      </c>
      <c r="E728" s="124" t="s">
        <v>2920</v>
      </c>
      <c r="F728" s="125" t="str">
        <f t="shared" si="17"/>
        <v>하</v>
      </c>
      <c r="G728" s="63" t="s">
        <v>2668</v>
      </c>
      <c r="H728" s="63" t="s">
        <v>2674</v>
      </c>
      <c r="I728" s="197" t="s">
        <v>2921</v>
      </c>
      <c r="J728" s="138"/>
      <c r="K728" s="129"/>
      <c r="L728" s="138" t="s">
        <v>1492</v>
      </c>
      <c r="M728" s="130"/>
      <c r="N728" s="130"/>
      <c r="O728" s="130"/>
      <c r="P728" s="130"/>
      <c r="Q728" s="130"/>
      <c r="R728" s="130"/>
      <c r="S728" s="131"/>
      <c r="T728" s="130"/>
      <c r="U728" s="130"/>
      <c r="V728" s="130"/>
      <c r="W728" s="132" t="b">
        <v>0</v>
      </c>
      <c r="X728" s="132" t="b">
        <v>0</v>
      </c>
      <c r="Y728" s="133" t="b">
        <v>0</v>
      </c>
      <c r="Z728" s="127" t="s">
        <v>3987</v>
      </c>
      <c r="AC728" s="150"/>
      <c r="AD728" s="150"/>
      <c r="AE728" s="150"/>
      <c r="AF728" s="150"/>
    </row>
    <row r="729" spans="1:32" s="134" customFormat="1" ht="119.25" customHeight="1">
      <c r="A729" s="58">
        <v>722</v>
      </c>
      <c r="B729" s="123"/>
      <c r="C729" s="123" t="s">
        <v>1414</v>
      </c>
      <c r="D729" s="124" t="s">
        <v>2611</v>
      </c>
      <c r="E729" s="124" t="s">
        <v>2844</v>
      </c>
      <c r="F729" s="125" t="str">
        <f t="shared" si="17"/>
        <v>하</v>
      </c>
      <c r="G729" s="63" t="s">
        <v>2668</v>
      </c>
      <c r="H729" s="63" t="s">
        <v>2674</v>
      </c>
      <c r="I729" s="197" t="s">
        <v>2845</v>
      </c>
      <c r="J729" s="138"/>
      <c r="K729" s="129"/>
      <c r="L729" s="138" t="s">
        <v>1492</v>
      </c>
      <c r="M729" s="130"/>
      <c r="N729" s="130"/>
      <c r="O729" s="130"/>
      <c r="P729" s="130"/>
      <c r="Q729" s="130"/>
      <c r="R729" s="130"/>
      <c r="S729" s="131"/>
      <c r="T729" s="130"/>
      <c r="U729" s="130"/>
      <c r="V729" s="130"/>
      <c r="W729" s="132" t="b">
        <v>0</v>
      </c>
      <c r="X729" s="132" t="b">
        <v>0</v>
      </c>
      <c r="Y729" s="133" t="b">
        <v>0</v>
      </c>
      <c r="Z729" s="127" t="s">
        <v>3987</v>
      </c>
      <c r="AC729" s="150"/>
      <c r="AD729" s="150"/>
      <c r="AE729" s="150"/>
      <c r="AF729" s="150"/>
    </row>
    <row r="730" spans="1:32" s="134" customFormat="1" ht="119.25" customHeight="1">
      <c r="A730" s="58">
        <v>723</v>
      </c>
      <c r="B730" s="123"/>
      <c r="C730" s="123" t="s">
        <v>1414</v>
      </c>
      <c r="D730" s="124" t="s">
        <v>2614</v>
      </c>
      <c r="E730" s="124" t="s">
        <v>2853</v>
      </c>
      <c r="F730" s="125" t="str">
        <f t="shared" si="17"/>
        <v>하</v>
      </c>
      <c r="G730" s="63" t="s">
        <v>2668</v>
      </c>
      <c r="H730" s="63" t="s">
        <v>2674</v>
      </c>
      <c r="I730" s="197" t="s">
        <v>2854</v>
      </c>
      <c r="J730" s="138"/>
      <c r="K730" s="129"/>
      <c r="L730" s="138" t="s">
        <v>1492</v>
      </c>
      <c r="M730" s="130"/>
      <c r="N730" s="130"/>
      <c r="O730" s="130"/>
      <c r="P730" s="130"/>
      <c r="Q730" s="130"/>
      <c r="R730" s="130"/>
      <c r="S730" s="131"/>
      <c r="T730" s="130"/>
      <c r="U730" s="130"/>
      <c r="V730" s="130"/>
      <c r="W730" s="132" t="b">
        <v>0</v>
      </c>
      <c r="X730" s="132" t="b">
        <v>0</v>
      </c>
      <c r="Y730" s="133" t="b">
        <v>0</v>
      </c>
      <c r="Z730" s="127" t="s">
        <v>3986</v>
      </c>
      <c r="AC730" s="150"/>
      <c r="AD730" s="150"/>
      <c r="AE730" s="150"/>
      <c r="AF730" s="150"/>
    </row>
    <row r="731" spans="1:32" s="134" customFormat="1" ht="119.25" customHeight="1">
      <c r="A731" s="58">
        <v>724</v>
      </c>
      <c r="B731" s="123"/>
      <c r="C731" s="123" t="s">
        <v>1414</v>
      </c>
      <c r="D731" s="124" t="s">
        <v>2627</v>
      </c>
      <c r="E731" s="124" t="s">
        <v>2922</v>
      </c>
      <c r="F731" s="125" t="str">
        <f t="shared" si="17"/>
        <v>하</v>
      </c>
      <c r="G731" s="63" t="s">
        <v>2668</v>
      </c>
      <c r="H731" s="63" t="s">
        <v>2674</v>
      </c>
      <c r="I731" s="197" t="s">
        <v>2923</v>
      </c>
      <c r="J731" s="138"/>
      <c r="K731" s="129"/>
      <c r="L731" s="138" t="s">
        <v>1492</v>
      </c>
      <c r="M731" s="130"/>
      <c r="N731" s="130"/>
      <c r="O731" s="130"/>
      <c r="P731" s="130"/>
      <c r="Q731" s="130"/>
      <c r="R731" s="130"/>
      <c r="S731" s="131"/>
      <c r="T731" s="130"/>
      <c r="U731" s="130"/>
      <c r="V731" s="130"/>
      <c r="W731" s="132" t="b">
        <v>0</v>
      </c>
      <c r="X731" s="132" t="b">
        <v>0</v>
      </c>
      <c r="Y731" s="133" t="b">
        <v>0</v>
      </c>
      <c r="Z731" s="127" t="s">
        <v>3987</v>
      </c>
      <c r="AC731" s="150"/>
      <c r="AD731" s="150"/>
      <c r="AE731" s="150"/>
      <c r="AF731" s="150"/>
    </row>
    <row r="732" spans="1:32" s="134" customFormat="1" ht="119.25" customHeight="1">
      <c r="A732" s="58">
        <v>725</v>
      </c>
      <c r="B732" s="123"/>
      <c r="C732" s="123" t="s">
        <v>1414</v>
      </c>
      <c r="D732" s="124" t="s">
        <v>2628</v>
      </c>
      <c r="E732" s="124" t="s">
        <v>2924</v>
      </c>
      <c r="F732" s="125" t="str">
        <f t="shared" si="17"/>
        <v>하</v>
      </c>
      <c r="G732" s="63" t="s">
        <v>2668</v>
      </c>
      <c r="H732" s="63" t="s">
        <v>2674</v>
      </c>
      <c r="I732" s="197" t="s">
        <v>2925</v>
      </c>
      <c r="J732" s="138"/>
      <c r="K732" s="129"/>
      <c r="L732" s="138" t="s">
        <v>1492</v>
      </c>
      <c r="M732" s="130"/>
      <c r="N732" s="130"/>
      <c r="O732" s="130"/>
      <c r="P732" s="130"/>
      <c r="Q732" s="130"/>
      <c r="R732" s="130"/>
      <c r="S732" s="131"/>
      <c r="T732" s="130"/>
      <c r="U732" s="130"/>
      <c r="V732" s="130"/>
      <c r="W732" s="132" t="b">
        <v>0</v>
      </c>
      <c r="X732" s="132" t="b">
        <v>0</v>
      </c>
      <c r="Y732" s="133" t="b">
        <v>0</v>
      </c>
      <c r="Z732" s="127" t="s">
        <v>3987</v>
      </c>
      <c r="AC732" s="150"/>
      <c r="AD732" s="150"/>
      <c r="AE732" s="150"/>
      <c r="AF732" s="150"/>
    </row>
    <row r="733" spans="1:32" s="134" customFormat="1" ht="119.25" customHeight="1">
      <c r="A733" s="58">
        <v>726</v>
      </c>
      <c r="B733" s="123"/>
      <c r="C733" s="123" t="s">
        <v>1414</v>
      </c>
      <c r="D733" s="124" t="s">
        <v>2605</v>
      </c>
      <c r="E733" s="124" t="s">
        <v>2797</v>
      </c>
      <c r="F733" s="125" t="str">
        <f t="shared" si="17"/>
        <v>하</v>
      </c>
      <c r="G733" s="63" t="s">
        <v>2668</v>
      </c>
      <c r="H733" s="63" t="s">
        <v>2674</v>
      </c>
      <c r="I733" s="197" t="s">
        <v>2798</v>
      </c>
      <c r="J733" s="138"/>
      <c r="K733" s="129"/>
      <c r="L733" s="138" t="s">
        <v>1492</v>
      </c>
      <c r="M733" s="130"/>
      <c r="N733" s="130"/>
      <c r="O733" s="130"/>
      <c r="P733" s="130"/>
      <c r="Q733" s="130"/>
      <c r="R733" s="130"/>
      <c r="S733" s="131"/>
      <c r="T733" s="130"/>
      <c r="U733" s="130"/>
      <c r="V733" s="130"/>
      <c r="W733" s="132" t="b">
        <v>0</v>
      </c>
      <c r="X733" s="132" t="b">
        <v>0</v>
      </c>
      <c r="Y733" s="133" t="b">
        <v>0</v>
      </c>
      <c r="Z733" s="127" t="s">
        <v>3989</v>
      </c>
      <c r="AC733" s="150"/>
      <c r="AD733" s="150"/>
      <c r="AE733" s="150"/>
      <c r="AF733" s="150"/>
    </row>
    <row r="734" spans="1:32" s="134" customFormat="1" ht="119.25" customHeight="1">
      <c r="A734" s="58">
        <v>727</v>
      </c>
      <c r="B734" s="123"/>
      <c r="C734" s="123" t="s">
        <v>1414</v>
      </c>
      <c r="D734" s="124" t="s">
        <v>2606</v>
      </c>
      <c r="E734" s="124" t="s">
        <v>2819</v>
      </c>
      <c r="F734" s="125" t="str">
        <f t="shared" si="17"/>
        <v>하</v>
      </c>
      <c r="G734" s="63" t="s">
        <v>2668</v>
      </c>
      <c r="H734" s="63" t="s">
        <v>2674</v>
      </c>
      <c r="I734" s="197" t="s">
        <v>2820</v>
      </c>
      <c r="J734" s="138"/>
      <c r="K734" s="129"/>
      <c r="L734" s="138" t="s">
        <v>1492</v>
      </c>
      <c r="M734" s="130"/>
      <c r="N734" s="130"/>
      <c r="O734" s="130"/>
      <c r="P734" s="130"/>
      <c r="Q734" s="130"/>
      <c r="R734" s="130"/>
      <c r="S734" s="131"/>
      <c r="T734" s="130"/>
      <c r="U734" s="130"/>
      <c r="V734" s="130"/>
      <c r="W734" s="132" t="b">
        <v>0</v>
      </c>
      <c r="X734" s="132" t="b">
        <v>0</v>
      </c>
      <c r="Y734" s="133" t="b">
        <v>0</v>
      </c>
      <c r="Z734" s="127" t="s">
        <v>3984</v>
      </c>
      <c r="AC734" s="150"/>
      <c r="AD734" s="150"/>
      <c r="AE734" s="150"/>
      <c r="AF734" s="150"/>
    </row>
    <row r="735" spans="1:32" s="134" customFormat="1" ht="119.25" customHeight="1">
      <c r="A735" s="58">
        <v>728</v>
      </c>
      <c r="B735" s="123"/>
      <c r="C735" s="123" t="s">
        <v>1414</v>
      </c>
      <c r="D735" s="124" t="s">
        <v>2608</v>
      </c>
      <c r="E735" s="124" t="s">
        <v>2836</v>
      </c>
      <c r="F735" s="125" t="str">
        <f t="shared" si="17"/>
        <v>하</v>
      </c>
      <c r="G735" s="63" t="s">
        <v>2668</v>
      </c>
      <c r="H735" s="63" t="s">
        <v>2674</v>
      </c>
      <c r="I735" s="197" t="s">
        <v>2837</v>
      </c>
      <c r="J735" s="138"/>
      <c r="K735" s="129"/>
      <c r="L735" s="138" t="s">
        <v>1492</v>
      </c>
      <c r="M735" s="130"/>
      <c r="N735" s="130"/>
      <c r="O735" s="130"/>
      <c r="P735" s="130"/>
      <c r="Q735" s="130"/>
      <c r="R735" s="130"/>
      <c r="S735" s="131"/>
      <c r="T735" s="130"/>
      <c r="U735" s="130"/>
      <c r="V735" s="130"/>
      <c r="W735" s="132" t="b">
        <v>0</v>
      </c>
      <c r="X735" s="132" t="b">
        <v>0</v>
      </c>
      <c r="Y735" s="133" t="b">
        <v>0</v>
      </c>
      <c r="Z735" s="127" t="s">
        <v>3988</v>
      </c>
      <c r="AC735" s="150"/>
      <c r="AD735" s="150"/>
      <c r="AE735" s="150"/>
      <c r="AF735" s="150"/>
    </row>
    <row r="736" spans="1:32" s="134" customFormat="1" ht="119.25" customHeight="1">
      <c r="A736" s="58">
        <v>729</v>
      </c>
      <c r="B736" s="123"/>
      <c r="C736" s="123" t="s">
        <v>1414</v>
      </c>
      <c r="D736" s="124" t="s">
        <v>2619</v>
      </c>
      <c r="E736" s="124" t="s">
        <v>2865</v>
      </c>
      <c r="F736" s="125" t="str">
        <f t="shared" ref="F736:F799" si="18">_xlfn.LET(
_xlpm.v_발생, IF(ISNUMBER(SEARCH("빈번", G736)), "상",
IF(ISNUMBER(SEARCH("거의", G736)), "하", "중")),
_xlpm.v_영향, IF(ISNUMBER(SEARCH("1개월", H736)), "상",
IF(ISNUMBER(SEARCH("없음", H736)), "하", "중")),
IF(AND(_xlpm.v_발생="상", _xlpm.v_영향="상"), "극상",
IF(OR(_xlpm.v_발생="상", _xlpm.v_영향="상"), "상",
IF(AND(_xlpm.v_발생="하", _xlpm.v_영향="하"), "하",
"중")))
)</f>
        <v>하</v>
      </c>
      <c r="G736" s="63" t="s">
        <v>2668</v>
      </c>
      <c r="H736" s="63" t="s">
        <v>2674</v>
      </c>
      <c r="I736" s="197" t="s">
        <v>2866</v>
      </c>
      <c r="J736" s="138"/>
      <c r="K736" s="129"/>
      <c r="L736" s="138" t="s">
        <v>1492</v>
      </c>
      <c r="M736" s="130"/>
      <c r="N736" s="130"/>
      <c r="O736" s="130"/>
      <c r="P736" s="130"/>
      <c r="Q736" s="130"/>
      <c r="R736" s="130"/>
      <c r="S736" s="131"/>
      <c r="T736" s="130"/>
      <c r="U736" s="130"/>
      <c r="V736" s="130"/>
      <c r="W736" s="132" t="b">
        <v>0</v>
      </c>
      <c r="X736" s="132" t="b">
        <v>0</v>
      </c>
      <c r="Y736" s="133" t="b">
        <v>0</v>
      </c>
      <c r="Z736" s="127" t="s">
        <v>3987</v>
      </c>
      <c r="AC736" s="150"/>
      <c r="AD736" s="150"/>
      <c r="AE736" s="150"/>
      <c r="AF736" s="150"/>
    </row>
    <row r="737" spans="1:46" s="134" customFormat="1" ht="119.25" customHeight="1">
      <c r="A737" s="58">
        <v>730</v>
      </c>
      <c r="B737" s="123"/>
      <c r="C737" s="123" t="s">
        <v>1414</v>
      </c>
      <c r="D737" s="124" t="s">
        <v>2620</v>
      </c>
      <c r="E737" s="124" t="s">
        <v>2867</v>
      </c>
      <c r="F737" s="125" t="str">
        <f t="shared" si="18"/>
        <v>하</v>
      </c>
      <c r="G737" s="63" t="s">
        <v>2668</v>
      </c>
      <c r="H737" s="63" t="s">
        <v>2674</v>
      </c>
      <c r="I737" s="197" t="s">
        <v>2868</v>
      </c>
      <c r="J737" s="138"/>
      <c r="K737" s="129"/>
      <c r="L737" s="138" t="s">
        <v>1492</v>
      </c>
      <c r="M737" s="130"/>
      <c r="N737" s="130"/>
      <c r="O737" s="130"/>
      <c r="P737" s="130"/>
      <c r="Q737" s="130"/>
      <c r="R737" s="130"/>
      <c r="S737" s="131"/>
      <c r="T737" s="130"/>
      <c r="U737" s="130"/>
      <c r="V737" s="130"/>
      <c r="W737" s="132" t="b">
        <v>0</v>
      </c>
      <c r="X737" s="132" t="b">
        <v>0</v>
      </c>
      <c r="Y737" s="133" t="b">
        <v>0</v>
      </c>
      <c r="Z737" s="127" t="s">
        <v>3987</v>
      </c>
      <c r="AC737" s="150"/>
      <c r="AD737" s="150"/>
      <c r="AE737" s="150"/>
      <c r="AF737" s="150"/>
    </row>
    <row r="738" spans="1:46" s="134" customFormat="1" ht="119.25" customHeight="1">
      <c r="A738" s="58">
        <v>731</v>
      </c>
      <c r="B738" s="123"/>
      <c r="C738" s="123" t="s">
        <v>1414</v>
      </c>
      <c r="D738" s="124" t="s">
        <v>2621</v>
      </c>
      <c r="E738" s="124" t="s">
        <v>2880</v>
      </c>
      <c r="F738" s="125" t="str">
        <f t="shared" si="18"/>
        <v>하</v>
      </c>
      <c r="G738" s="63" t="s">
        <v>2668</v>
      </c>
      <c r="H738" s="63" t="s">
        <v>2674</v>
      </c>
      <c r="I738" s="197" t="s">
        <v>2881</v>
      </c>
      <c r="J738" s="138"/>
      <c r="K738" s="129"/>
      <c r="L738" s="138" t="s">
        <v>1492</v>
      </c>
      <c r="M738" s="130"/>
      <c r="N738" s="130"/>
      <c r="O738" s="130"/>
      <c r="P738" s="130"/>
      <c r="Q738" s="130"/>
      <c r="R738" s="130"/>
      <c r="S738" s="131"/>
      <c r="T738" s="130"/>
      <c r="U738" s="130"/>
      <c r="V738" s="130"/>
      <c r="W738" s="132" t="b">
        <v>0</v>
      </c>
      <c r="X738" s="132" t="b">
        <v>0</v>
      </c>
      <c r="Y738" s="133" t="b">
        <v>0</v>
      </c>
      <c r="Z738" s="127" t="s">
        <v>3987</v>
      </c>
      <c r="AC738" s="150"/>
      <c r="AD738" s="150"/>
      <c r="AE738" s="150"/>
      <c r="AF738" s="150"/>
    </row>
    <row r="739" spans="1:46" s="134" customFormat="1" ht="119.25" customHeight="1">
      <c r="A739" s="58">
        <v>732</v>
      </c>
      <c r="B739" s="123"/>
      <c r="C739" s="123" t="s">
        <v>1414</v>
      </c>
      <c r="D739" s="124" t="s">
        <v>2622</v>
      </c>
      <c r="E739" s="124" t="s">
        <v>2888</v>
      </c>
      <c r="F739" s="125" t="str">
        <f t="shared" si="18"/>
        <v>하</v>
      </c>
      <c r="G739" s="63" t="s">
        <v>2668</v>
      </c>
      <c r="H739" s="63" t="s">
        <v>2674</v>
      </c>
      <c r="I739" s="197" t="s">
        <v>2889</v>
      </c>
      <c r="J739" s="138"/>
      <c r="K739" s="129"/>
      <c r="L739" s="138" t="s">
        <v>1492</v>
      </c>
      <c r="M739" s="130"/>
      <c r="N739" s="130"/>
      <c r="O739" s="130"/>
      <c r="P739" s="130"/>
      <c r="Q739" s="130"/>
      <c r="R739" s="130"/>
      <c r="S739" s="131"/>
      <c r="T739" s="130"/>
      <c r="U739" s="130"/>
      <c r="V739" s="130"/>
      <c r="W739" s="132" t="b">
        <v>0</v>
      </c>
      <c r="X739" s="132" t="b">
        <v>0</v>
      </c>
      <c r="Y739" s="133" t="b">
        <v>0</v>
      </c>
      <c r="Z739" s="127" t="s">
        <v>3987</v>
      </c>
      <c r="AC739" s="150"/>
      <c r="AD739" s="150"/>
      <c r="AE739" s="150"/>
      <c r="AF739" s="150"/>
    </row>
    <row r="740" spans="1:46" s="134" customFormat="1" ht="119.25" customHeight="1">
      <c r="A740" s="58">
        <v>733</v>
      </c>
      <c r="B740" s="123"/>
      <c r="C740" s="123" t="s">
        <v>1414</v>
      </c>
      <c r="D740" s="124" t="s">
        <v>2623</v>
      </c>
      <c r="E740" s="124" t="s">
        <v>2890</v>
      </c>
      <c r="F740" s="125" t="str">
        <f t="shared" si="18"/>
        <v>하</v>
      </c>
      <c r="G740" s="63" t="s">
        <v>2668</v>
      </c>
      <c r="H740" s="63" t="s">
        <v>2674</v>
      </c>
      <c r="I740" s="197" t="s">
        <v>2891</v>
      </c>
      <c r="J740" s="138"/>
      <c r="K740" s="129"/>
      <c r="L740" s="138" t="s">
        <v>1492</v>
      </c>
      <c r="M740" s="130"/>
      <c r="N740" s="130"/>
      <c r="O740" s="130"/>
      <c r="P740" s="130"/>
      <c r="Q740" s="130"/>
      <c r="R740" s="130"/>
      <c r="S740" s="131"/>
      <c r="T740" s="130"/>
      <c r="U740" s="130"/>
      <c r="V740" s="130"/>
      <c r="W740" s="132" t="b">
        <v>0</v>
      </c>
      <c r="X740" s="132" t="b">
        <v>0</v>
      </c>
      <c r="Y740" s="133" t="b">
        <v>0</v>
      </c>
      <c r="Z740" s="127" t="s">
        <v>3987</v>
      </c>
      <c r="AC740" s="150"/>
      <c r="AD740" s="150"/>
      <c r="AE740" s="150"/>
      <c r="AF740" s="150"/>
    </row>
    <row r="741" spans="1:46" s="134" customFormat="1" ht="119.25" customHeight="1">
      <c r="A741" s="58">
        <v>734</v>
      </c>
      <c r="B741" s="123"/>
      <c r="C741" s="123" t="s">
        <v>1414</v>
      </c>
      <c r="D741" s="124" t="s">
        <v>2624</v>
      </c>
      <c r="E741" s="124" t="s">
        <v>2914</v>
      </c>
      <c r="F741" s="125" t="str">
        <f t="shared" si="18"/>
        <v>하</v>
      </c>
      <c r="G741" s="63" t="s">
        <v>2668</v>
      </c>
      <c r="H741" s="63" t="s">
        <v>2674</v>
      </c>
      <c r="I741" s="197" t="s">
        <v>2915</v>
      </c>
      <c r="J741" s="138"/>
      <c r="K741" s="129"/>
      <c r="L741" s="138" t="s">
        <v>1492</v>
      </c>
      <c r="M741" s="130"/>
      <c r="N741" s="130"/>
      <c r="O741" s="130"/>
      <c r="P741" s="130"/>
      <c r="Q741" s="130"/>
      <c r="R741" s="130"/>
      <c r="S741" s="131"/>
      <c r="T741" s="130"/>
      <c r="U741" s="130"/>
      <c r="V741" s="130"/>
      <c r="W741" s="132" t="b">
        <v>0</v>
      </c>
      <c r="X741" s="132" t="b">
        <v>0</v>
      </c>
      <c r="Y741" s="133" t="b">
        <v>0</v>
      </c>
      <c r="Z741" s="127" t="s">
        <v>3987</v>
      </c>
      <c r="AC741" s="150"/>
      <c r="AD741" s="150"/>
      <c r="AE741" s="150"/>
      <c r="AF741" s="150"/>
    </row>
    <row r="742" spans="1:46" s="134" customFormat="1" ht="119.25" customHeight="1">
      <c r="A742" s="58">
        <v>735</v>
      </c>
      <c r="B742" s="123"/>
      <c r="C742" s="123" t="s">
        <v>1414</v>
      </c>
      <c r="D742" s="124" t="s">
        <v>2612</v>
      </c>
      <c r="E742" s="124" t="s">
        <v>2846</v>
      </c>
      <c r="F742" s="125" t="str">
        <f t="shared" si="18"/>
        <v>하</v>
      </c>
      <c r="G742" s="63" t="s">
        <v>2668</v>
      </c>
      <c r="H742" s="63" t="s">
        <v>2674</v>
      </c>
      <c r="I742" s="197" t="s">
        <v>2847</v>
      </c>
      <c r="J742" s="138"/>
      <c r="K742" s="129"/>
      <c r="L742" s="138" t="s">
        <v>1492</v>
      </c>
      <c r="M742" s="130"/>
      <c r="N742" s="130"/>
      <c r="O742" s="130"/>
      <c r="P742" s="130"/>
      <c r="Q742" s="130"/>
      <c r="R742" s="130"/>
      <c r="S742" s="131"/>
      <c r="T742" s="130"/>
      <c r="U742" s="130"/>
      <c r="V742" s="130"/>
      <c r="W742" s="132" t="b">
        <v>0</v>
      </c>
      <c r="X742" s="132" t="b">
        <v>0</v>
      </c>
      <c r="Y742" s="133" t="b">
        <v>0</v>
      </c>
      <c r="Z742" s="127" t="s">
        <v>3990</v>
      </c>
      <c r="AC742" s="150"/>
      <c r="AD742" s="150"/>
      <c r="AE742" s="150"/>
      <c r="AF742" s="150"/>
    </row>
    <row r="743" spans="1:46" s="134" customFormat="1" ht="119.25" customHeight="1">
      <c r="A743" s="58">
        <v>736</v>
      </c>
      <c r="B743" s="123"/>
      <c r="C743" s="123" t="s">
        <v>1414</v>
      </c>
      <c r="D743" s="124" t="s">
        <v>2613</v>
      </c>
      <c r="E743" s="124" t="s">
        <v>2848</v>
      </c>
      <c r="F743" s="125" t="str">
        <f t="shared" si="18"/>
        <v>하</v>
      </c>
      <c r="G743" s="63" t="s">
        <v>2668</v>
      </c>
      <c r="H743" s="63" t="s">
        <v>2674</v>
      </c>
      <c r="I743" s="197" t="s">
        <v>2714</v>
      </c>
      <c r="J743" s="138"/>
      <c r="K743" s="129"/>
      <c r="L743" s="138" t="s">
        <v>1492</v>
      </c>
      <c r="M743" s="130"/>
      <c r="N743" s="130"/>
      <c r="O743" s="130"/>
      <c r="P743" s="130"/>
      <c r="Q743" s="130"/>
      <c r="R743" s="130"/>
      <c r="S743" s="131"/>
      <c r="T743" s="130"/>
      <c r="U743" s="130"/>
      <c r="V743" s="130"/>
      <c r="W743" s="132" t="b">
        <v>0</v>
      </c>
      <c r="X743" s="132" t="b">
        <v>0</v>
      </c>
      <c r="Y743" s="133" t="b">
        <v>0</v>
      </c>
      <c r="Z743" s="127" t="s">
        <v>3987</v>
      </c>
      <c r="AC743" s="150"/>
      <c r="AD743" s="150"/>
      <c r="AE743" s="150"/>
      <c r="AF743" s="150"/>
    </row>
    <row r="744" spans="1:46" s="134" customFormat="1" ht="119.25" customHeight="1">
      <c r="A744" s="58">
        <v>737</v>
      </c>
      <c r="B744" s="123"/>
      <c r="C744" s="123" t="s">
        <v>1414</v>
      </c>
      <c r="D744" s="124" t="s">
        <v>2615</v>
      </c>
      <c r="E744" s="124" t="s">
        <v>2855</v>
      </c>
      <c r="F744" s="125" t="str">
        <f t="shared" si="18"/>
        <v>하</v>
      </c>
      <c r="G744" s="63" t="s">
        <v>2668</v>
      </c>
      <c r="H744" s="63" t="s">
        <v>2674</v>
      </c>
      <c r="I744" s="197" t="s">
        <v>2856</v>
      </c>
      <c r="J744" s="138"/>
      <c r="K744" s="129"/>
      <c r="L744" s="138" t="s">
        <v>1492</v>
      </c>
      <c r="M744" s="130"/>
      <c r="N744" s="130"/>
      <c r="O744" s="130"/>
      <c r="P744" s="130"/>
      <c r="Q744" s="130"/>
      <c r="R744" s="130"/>
      <c r="S744" s="131"/>
      <c r="T744" s="130"/>
      <c r="U744" s="130"/>
      <c r="V744" s="130"/>
      <c r="W744" s="132" t="b">
        <v>0</v>
      </c>
      <c r="X744" s="132" t="b">
        <v>0</v>
      </c>
      <c r="Y744" s="133" t="b">
        <v>0</v>
      </c>
      <c r="Z744" s="127" t="s">
        <v>3987</v>
      </c>
      <c r="AC744" s="150"/>
      <c r="AD744" s="150"/>
      <c r="AE744" s="150"/>
      <c r="AF744" s="150"/>
    </row>
    <row r="745" spans="1:46" s="134" customFormat="1" ht="119.25" customHeight="1">
      <c r="A745" s="58">
        <v>738</v>
      </c>
      <c r="B745" s="123"/>
      <c r="C745" s="123" t="s">
        <v>1414</v>
      </c>
      <c r="D745" s="124" t="s">
        <v>2590</v>
      </c>
      <c r="E745" s="124" t="s">
        <v>2746</v>
      </c>
      <c r="F745" s="125" t="str">
        <f t="shared" si="18"/>
        <v>하</v>
      </c>
      <c r="G745" s="63" t="s">
        <v>2668</v>
      </c>
      <c r="H745" s="63" t="s">
        <v>2674</v>
      </c>
      <c r="I745" s="197" t="s">
        <v>2747</v>
      </c>
      <c r="J745" s="138"/>
      <c r="K745" s="129"/>
      <c r="L745" s="138" t="s">
        <v>1492</v>
      </c>
      <c r="M745" s="130"/>
      <c r="N745" s="130"/>
      <c r="O745" s="130"/>
      <c r="P745" s="130"/>
      <c r="Q745" s="130"/>
      <c r="R745" s="130"/>
      <c r="S745" s="131"/>
      <c r="T745" s="130"/>
      <c r="U745" s="130"/>
      <c r="V745" s="130"/>
      <c r="W745" s="132" t="b">
        <v>0</v>
      </c>
      <c r="X745" s="132" t="b">
        <v>0</v>
      </c>
      <c r="Y745" s="133" t="b">
        <v>0</v>
      </c>
      <c r="Z745" s="127" t="s">
        <v>3985</v>
      </c>
      <c r="AC745" s="150"/>
      <c r="AD745" s="150"/>
      <c r="AE745" s="150"/>
      <c r="AF745" s="150"/>
    </row>
    <row r="746" spans="1:46" s="134" customFormat="1" ht="119.25" customHeight="1">
      <c r="A746" s="58">
        <v>739</v>
      </c>
      <c r="B746" s="123"/>
      <c r="C746" s="123" t="s">
        <v>1414</v>
      </c>
      <c r="D746" s="124" t="s">
        <v>2595</v>
      </c>
      <c r="E746" s="124" t="s">
        <v>2768</v>
      </c>
      <c r="F746" s="125" t="str">
        <f t="shared" si="18"/>
        <v>하</v>
      </c>
      <c r="G746" s="63" t="s">
        <v>2668</v>
      </c>
      <c r="H746" s="63" t="s">
        <v>2674</v>
      </c>
      <c r="I746" s="197" t="s">
        <v>2769</v>
      </c>
      <c r="J746" s="138"/>
      <c r="K746" s="129"/>
      <c r="L746" s="138" t="s">
        <v>1492</v>
      </c>
      <c r="M746" s="130"/>
      <c r="N746" s="130"/>
      <c r="O746" s="130"/>
      <c r="P746" s="130"/>
      <c r="Q746" s="130"/>
      <c r="R746" s="130"/>
      <c r="S746" s="131"/>
      <c r="T746" s="130"/>
      <c r="U746" s="130"/>
      <c r="V746" s="130"/>
      <c r="W746" s="132" t="b">
        <v>0</v>
      </c>
      <c r="X746" s="132" t="b">
        <v>0</v>
      </c>
      <c r="Y746" s="133" t="b">
        <v>0</v>
      </c>
      <c r="Z746" s="127" t="s">
        <v>3988</v>
      </c>
      <c r="AC746" s="150"/>
      <c r="AD746" s="150"/>
      <c r="AE746" s="150"/>
      <c r="AF746" s="150"/>
    </row>
    <row r="747" spans="1:46" s="134" customFormat="1" ht="119.25" customHeight="1">
      <c r="A747" s="58">
        <v>740</v>
      </c>
      <c r="B747" s="123"/>
      <c r="C747" s="123" t="s">
        <v>1414</v>
      </c>
      <c r="D747" s="124" t="s">
        <v>2604</v>
      </c>
      <c r="E747" s="124" t="s">
        <v>2786</v>
      </c>
      <c r="F747" s="125" t="str">
        <f t="shared" si="18"/>
        <v>하</v>
      </c>
      <c r="G747" s="63" t="s">
        <v>2668</v>
      </c>
      <c r="H747" s="63" t="s">
        <v>2674</v>
      </c>
      <c r="I747" s="197" t="s">
        <v>2787</v>
      </c>
      <c r="J747" s="138"/>
      <c r="K747" s="129"/>
      <c r="L747" s="138" t="s">
        <v>1492</v>
      </c>
      <c r="M747" s="130"/>
      <c r="N747" s="130"/>
      <c r="O747" s="130"/>
      <c r="P747" s="130"/>
      <c r="Q747" s="130"/>
      <c r="R747" s="130"/>
      <c r="S747" s="131"/>
      <c r="T747" s="130"/>
      <c r="U747" s="130"/>
      <c r="V747" s="130"/>
      <c r="W747" s="132" t="b">
        <v>0</v>
      </c>
      <c r="X747" s="132" t="b">
        <v>0</v>
      </c>
      <c r="Y747" s="133" t="b">
        <v>0</v>
      </c>
      <c r="Z747" s="127" t="s">
        <v>3987</v>
      </c>
      <c r="AC747" s="150"/>
      <c r="AD747" s="150"/>
      <c r="AE747" s="150"/>
      <c r="AF747" s="150"/>
    </row>
    <row r="748" spans="1:46" s="134" customFormat="1" ht="119.25" customHeight="1">
      <c r="A748" s="58">
        <v>741</v>
      </c>
      <c r="B748" s="123"/>
      <c r="C748" s="123" t="s">
        <v>1414</v>
      </c>
      <c r="D748" s="124" t="s">
        <v>2610</v>
      </c>
      <c r="E748" s="124" t="s">
        <v>2842</v>
      </c>
      <c r="F748" s="125" t="str">
        <f t="shared" si="18"/>
        <v>하</v>
      </c>
      <c r="G748" s="63" t="s">
        <v>2668</v>
      </c>
      <c r="H748" s="63" t="s">
        <v>2674</v>
      </c>
      <c r="I748" s="197" t="s">
        <v>2843</v>
      </c>
      <c r="J748" s="138"/>
      <c r="K748" s="129"/>
      <c r="L748" s="138" t="s">
        <v>1492</v>
      </c>
      <c r="M748" s="130"/>
      <c r="N748" s="130"/>
      <c r="O748" s="130"/>
      <c r="P748" s="130"/>
      <c r="Q748" s="130"/>
      <c r="R748" s="130"/>
      <c r="S748" s="131"/>
      <c r="T748" s="130"/>
      <c r="U748" s="130"/>
      <c r="V748" s="130"/>
      <c r="W748" s="132" t="b">
        <v>0</v>
      </c>
      <c r="X748" s="132" t="b">
        <v>0</v>
      </c>
      <c r="Y748" s="133" t="b">
        <v>0</v>
      </c>
      <c r="Z748" s="127" t="s">
        <v>3985</v>
      </c>
      <c r="AC748" s="150"/>
      <c r="AD748" s="150"/>
      <c r="AE748" s="150"/>
      <c r="AF748" s="150"/>
    </row>
    <row r="749" spans="1:46" ht="119.25" customHeight="1">
      <c r="A749" s="58">
        <v>742</v>
      </c>
      <c r="B749" s="123"/>
      <c r="C749" s="123" t="s">
        <v>1414</v>
      </c>
      <c r="D749" s="124" t="s">
        <v>2616</v>
      </c>
      <c r="E749" s="124" t="s">
        <v>2859</v>
      </c>
      <c r="F749" s="125" t="str">
        <f t="shared" si="18"/>
        <v>하</v>
      </c>
      <c r="G749" s="63" t="s">
        <v>2668</v>
      </c>
      <c r="H749" s="63" t="s">
        <v>2674</v>
      </c>
      <c r="I749" s="197" t="s">
        <v>2860</v>
      </c>
      <c r="J749" s="138"/>
      <c r="K749" s="129"/>
      <c r="L749" s="138" t="s">
        <v>1492</v>
      </c>
      <c r="M749" s="130"/>
      <c r="N749" s="130"/>
      <c r="O749" s="130"/>
      <c r="P749" s="130"/>
      <c r="Q749" s="130"/>
      <c r="R749" s="130"/>
      <c r="S749" s="131"/>
      <c r="T749" s="130"/>
      <c r="U749" s="130"/>
      <c r="V749" s="130"/>
      <c r="W749" s="132" t="b">
        <v>0</v>
      </c>
      <c r="X749" s="132" t="b">
        <v>0</v>
      </c>
      <c r="Y749" s="133" t="b">
        <v>0</v>
      </c>
      <c r="Z749" s="127" t="s">
        <v>3985</v>
      </c>
      <c r="AA749" s="134"/>
      <c r="AB749" s="134"/>
      <c r="AC749" s="150"/>
      <c r="AD749" s="150"/>
      <c r="AE749" s="150"/>
      <c r="AF749" s="150"/>
      <c r="AG749" s="134"/>
      <c r="AH749" s="134"/>
      <c r="AI749" s="134"/>
      <c r="AJ749" s="134"/>
      <c r="AK749" s="134"/>
      <c r="AL749" s="134"/>
      <c r="AM749" s="134"/>
      <c r="AN749" s="134"/>
      <c r="AO749" s="134"/>
      <c r="AP749" s="134"/>
      <c r="AQ749" s="134"/>
      <c r="AR749" s="134"/>
      <c r="AS749" s="134"/>
      <c r="AT749" s="134"/>
    </row>
    <row r="750" spans="1:46" ht="119.25" customHeight="1">
      <c r="A750" s="58">
        <v>743</v>
      </c>
      <c r="B750" s="80" t="s">
        <v>1420</v>
      </c>
      <c r="C750" s="80" t="s">
        <v>2694</v>
      </c>
      <c r="D750" s="60" t="s">
        <v>4440</v>
      </c>
      <c r="E750" s="60" t="s">
        <v>4441</v>
      </c>
      <c r="F750" s="62" t="str">
        <f t="shared" si="18"/>
        <v>하</v>
      </c>
      <c r="G750" s="63" t="s">
        <v>2668</v>
      </c>
      <c r="H750" s="63" t="s">
        <v>2674</v>
      </c>
      <c r="I750" s="190" t="s">
        <v>4442</v>
      </c>
      <c r="J750" s="137" t="s">
        <v>1417</v>
      </c>
      <c r="K750" s="79"/>
      <c r="L750" s="137" t="s">
        <v>1492</v>
      </c>
      <c r="M750" s="67"/>
      <c r="N750" s="67"/>
      <c r="O750" s="67"/>
      <c r="P750" s="67"/>
      <c r="Q750" s="67"/>
      <c r="R750" s="67"/>
      <c r="S750" s="81" t="s">
        <v>2695</v>
      </c>
      <c r="T750" s="67"/>
      <c r="U750" s="67"/>
      <c r="V750" s="67"/>
      <c r="W750" s="88" t="b">
        <v>0</v>
      </c>
      <c r="X750" s="88" t="b">
        <v>0</v>
      </c>
      <c r="Y750" s="89" t="b">
        <v>1</v>
      </c>
      <c r="Z750" s="73" t="s">
        <v>2696</v>
      </c>
    </row>
    <row r="751" spans="1:46" ht="119.25" customHeight="1">
      <c r="A751" s="58">
        <v>744</v>
      </c>
      <c r="B751" s="80" t="s">
        <v>1420</v>
      </c>
      <c r="C751" s="80" t="s">
        <v>2694</v>
      </c>
      <c r="D751" s="60" t="s">
        <v>2697</v>
      </c>
      <c r="E751" s="60" t="s">
        <v>2698</v>
      </c>
      <c r="F751" s="62" t="str">
        <f t="shared" si="18"/>
        <v>하</v>
      </c>
      <c r="G751" s="63" t="s">
        <v>2668</v>
      </c>
      <c r="H751" s="63" t="s">
        <v>2674</v>
      </c>
      <c r="I751" s="197" t="s">
        <v>4443</v>
      </c>
      <c r="J751" s="137" t="s">
        <v>1417</v>
      </c>
      <c r="K751" s="79"/>
      <c r="L751" s="137" t="s">
        <v>1492</v>
      </c>
      <c r="M751" s="67"/>
      <c r="N751" s="67"/>
      <c r="O751" s="67"/>
      <c r="P751" s="67"/>
      <c r="Q751" s="67"/>
      <c r="R751" s="67"/>
      <c r="S751" s="81" t="s">
        <v>2695</v>
      </c>
      <c r="T751" s="67"/>
      <c r="U751" s="67"/>
      <c r="V751" s="67"/>
      <c r="W751" s="88" t="b">
        <v>0</v>
      </c>
      <c r="X751" s="88" t="b">
        <v>0</v>
      </c>
      <c r="Y751" s="89" t="b">
        <v>1</v>
      </c>
      <c r="Z751" s="73" t="s">
        <v>2699</v>
      </c>
    </row>
    <row r="752" spans="1:46" ht="119.25" customHeight="1">
      <c r="A752" s="58">
        <v>745</v>
      </c>
      <c r="B752" s="80" t="s">
        <v>1420</v>
      </c>
      <c r="C752" s="80" t="s">
        <v>2694</v>
      </c>
      <c r="D752" s="60" t="s">
        <v>2700</v>
      </c>
      <c r="E752" s="60" t="s">
        <v>4444</v>
      </c>
      <c r="F752" s="62" t="str">
        <f t="shared" si="18"/>
        <v>하</v>
      </c>
      <c r="G752" s="63" t="s">
        <v>2668</v>
      </c>
      <c r="H752" s="63" t="s">
        <v>2674</v>
      </c>
      <c r="I752" s="190" t="s">
        <v>4445</v>
      </c>
      <c r="J752" s="137" t="s">
        <v>1417</v>
      </c>
      <c r="K752" s="79"/>
      <c r="L752" s="137" t="s">
        <v>1492</v>
      </c>
      <c r="M752" s="67"/>
      <c r="N752" s="67"/>
      <c r="O752" s="67"/>
      <c r="P752" s="67"/>
      <c r="Q752" s="67"/>
      <c r="R752" s="67"/>
      <c r="S752" s="81" t="s">
        <v>2695</v>
      </c>
      <c r="T752" s="67"/>
      <c r="U752" s="67"/>
      <c r="V752" s="67"/>
      <c r="W752" s="88" t="b">
        <v>0</v>
      </c>
      <c r="X752" s="88" t="b">
        <v>0</v>
      </c>
      <c r="Y752" s="89" t="b">
        <v>1</v>
      </c>
      <c r="Z752" s="73" t="s">
        <v>2699</v>
      </c>
    </row>
    <row r="753" spans="1:46" ht="119.25" customHeight="1">
      <c r="A753" s="58">
        <v>746</v>
      </c>
      <c r="B753" s="80" t="s">
        <v>2701</v>
      </c>
      <c r="C753" s="80" t="s">
        <v>2694</v>
      </c>
      <c r="D753" s="60" t="s">
        <v>2702</v>
      </c>
      <c r="E753" s="60" t="s">
        <v>2703</v>
      </c>
      <c r="F753" s="62" t="str">
        <f t="shared" si="18"/>
        <v>하</v>
      </c>
      <c r="G753" s="63" t="s">
        <v>2668</v>
      </c>
      <c r="H753" s="63" t="s">
        <v>2674</v>
      </c>
      <c r="I753" s="197" t="s">
        <v>4446</v>
      </c>
      <c r="J753" s="137" t="s">
        <v>1417</v>
      </c>
      <c r="K753" s="79"/>
      <c r="L753" s="137" t="s">
        <v>1492</v>
      </c>
      <c r="M753" s="67"/>
      <c r="N753" s="67"/>
      <c r="O753" s="67"/>
      <c r="P753" s="67"/>
      <c r="Q753" s="67"/>
      <c r="R753" s="67"/>
      <c r="S753" s="81" t="s">
        <v>2695</v>
      </c>
      <c r="T753" s="67"/>
      <c r="U753" s="67"/>
      <c r="V753" s="67"/>
      <c r="W753" s="88" t="b">
        <v>0</v>
      </c>
      <c r="X753" s="88" t="b">
        <v>0</v>
      </c>
      <c r="Y753" s="89" t="b">
        <v>1</v>
      </c>
      <c r="Z753" s="73" t="s">
        <v>337</v>
      </c>
    </row>
    <row r="754" spans="1:46" s="134" customFormat="1" ht="119.25" customHeight="1">
      <c r="A754" s="58">
        <v>747</v>
      </c>
      <c r="B754" s="80" t="s">
        <v>2701</v>
      </c>
      <c r="C754" s="80" t="s">
        <v>2694</v>
      </c>
      <c r="D754" s="60" t="s">
        <v>2704</v>
      </c>
      <c r="E754" s="60" t="s">
        <v>2705</v>
      </c>
      <c r="F754" s="62" t="str">
        <f t="shared" si="18"/>
        <v>하</v>
      </c>
      <c r="G754" s="63" t="s">
        <v>2668</v>
      </c>
      <c r="H754" s="63" t="s">
        <v>2674</v>
      </c>
      <c r="I754" s="197" t="s">
        <v>4446</v>
      </c>
      <c r="J754" s="137" t="s">
        <v>1417</v>
      </c>
      <c r="K754" s="79"/>
      <c r="L754" s="137" t="s">
        <v>1492</v>
      </c>
      <c r="M754" s="67"/>
      <c r="N754" s="67"/>
      <c r="O754" s="67"/>
      <c r="P754" s="67"/>
      <c r="Q754" s="67"/>
      <c r="R754" s="67"/>
      <c r="S754" s="81" t="s">
        <v>2695</v>
      </c>
      <c r="T754" s="67"/>
      <c r="U754" s="67"/>
      <c r="V754" s="67"/>
      <c r="W754" s="88" t="b">
        <v>0</v>
      </c>
      <c r="X754" s="88" t="b">
        <v>0</v>
      </c>
      <c r="Y754" s="89" t="b">
        <v>1</v>
      </c>
      <c r="Z754" s="73" t="s">
        <v>337</v>
      </c>
      <c r="AA754" s="7"/>
      <c r="AB754" s="7"/>
      <c r="AC754" s="16"/>
      <c r="AD754" s="16"/>
      <c r="AE754" s="16"/>
      <c r="AF754" s="16"/>
      <c r="AG754" s="7"/>
      <c r="AH754" s="7"/>
      <c r="AI754" s="7"/>
      <c r="AJ754" s="7"/>
      <c r="AK754" s="7"/>
      <c r="AL754" s="7"/>
      <c r="AM754" s="7"/>
      <c r="AN754" s="7"/>
      <c r="AO754" s="7"/>
      <c r="AP754" s="7"/>
      <c r="AQ754" s="7"/>
      <c r="AR754" s="7"/>
      <c r="AS754" s="7"/>
      <c r="AT754" s="7"/>
    </row>
    <row r="755" spans="1:46" ht="119.25" customHeight="1">
      <c r="A755" s="58">
        <v>748</v>
      </c>
      <c r="B755" s="123" t="s">
        <v>1420</v>
      </c>
      <c r="C755" s="123" t="s">
        <v>2694</v>
      </c>
      <c r="D755" s="124" t="s">
        <v>2706</v>
      </c>
      <c r="E755" s="124" t="s">
        <v>2707</v>
      </c>
      <c r="F755" s="125" t="str">
        <f t="shared" si="18"/>
        <v>하</v>
      </c>
      <c r="G755" s="126" t="s">
        <v>2668</v>
      </c>
      <c r="H755" s="126" t="s">
        <v>2674</v>
      </c>
      <c r="I755" s="197" t="s">
        <v>2708</v>
      </c>
      <c r="J755" s="138" t="s">
        <v>1417</v>
      </c>
      <c r="K755" s="129"/>
      <c r="L755" s="138" t="s">
        <v>1492</v>
      </c>
      <c r="M755" s="130"/>
      <c r="N755" s="130"/>
      <c r="O755" s="130"/>
      <c r="P755" s="130"/>
      <c r="Q755" s="130"/>
      <c r="R755" s="130"/>
      <c r="S755" s="131" t="s">
        <v>2695</v>
      </c>
      <c r="T755" s="130"/>
      <c r="U755" s="130"/>
      <c r="V755" s="130"/>
      <c r="W755" s="132" t="b">
        <v>0</v>
      </c>
      <c r="X755" s="132" t="b">
        <v>0</v>
      </c>
      <c r="Y755" s="133" t="b">
        <v>1</v>
      </c>
      <c r="Z755" s="127" t="s">
        <v>2699</v>
      </c>
      <c r="AA755" s="134"/>
      <c r="AB755" s="134"/>
      <c r="AC755" s="150"/>
      <c r="AD755" s="150"/>
      <c r="AE755" s="150"/>
      <c r="AF755" s="150"/>
      <c r="AG755" s="134"/>
      <c r="AH755" s="134"/>
      <c r="AI755" s="134"/>
      <c r="AJ755" s="134"/>
      <c r="AK755" s="134"/>
      <c r="AL755" s="134"/>
      <c r="AM755" s="134"/>
      <c r="AN755" s="134"/>
      <c r="AO755" s="134"/>
      <c r="AP755" s="134"/>
      <c r="AQ755" s="134"/>
      <c r="AR755" s="134"/>
      <c r="AS755" s="134"/>
      <c r="AT755" s="134"/>
    </row>
    <row r="756" spans="1:46" s="134" customFormat="1" ht="119.25" customHeight="1">
      <c r="A756" s="58">
        <v>749</v>
      </c>
      <c r="B756" s="80" t="s">
        <v>1460</v>
      </c>
      <c r="C756" s="80" t="s">
        <v>2694</v>
      </c>
      <c r="D756" s="60" t="s">
        <v>2709</v>
      </c>
      <c r="E756" s="60" t="s">
        <v>2710</v>
      </c>
      <c r="F756" s="62" t="str">
        <f t="shared" si="18"/>
        <v>하</v>
      </c>
      <c r="G756" s="63" t="s">
        <v>2668</v>
      </c>
      <c r="H756" s="63" t="s">
        <v>2674</v>
      </c>
      <c r="I756" s="190" t="s">
        <v>4447</v>
      </c>
      <c r="J756" s="137" t="s">
        <v>1417</v>
      </c>
      <c r="K756" s="79"/>
      <c r="L756" s="137" t="s">
        <v>1492</v>
      </c>
      <c r="M756" s="67"/>
      <c r="N756" s="67"/>
      <c r="O756" s="67"/>
      <c r="P756" s="67"/>
      <c r="Q756" s="67"/>
      <c r="R756" s="67"/>
      <c r="S756" s="81" t="s">
        <v>2695</v>
      </c>
      <c r="T756" s="67"/>
      <c r="U756" s="67"/>
      <c r="V756" s="67"/>
      <c r="W756" s="88" t="b">
        <v>0</v>
      </c>
      <c r="X756" s="88" t="b">
        <v>0</v>
      </c>
      <c r="Y756" s="89" t="b">
        <v>1</v>
      </c>
      <c r="Z756" s="73" t="s">
        <v>337</v>
      </c>
      <c r="AA756" s="7"/>
      <c r="AB756" s="7"/>
      <c r="AC756" s="16"/>
      <c r="AD756" s="16"/>
      <c r="AE756" s="16"/>
      <c r="AF756" s="16"/>
      <c r="AG756" s="7"/>
      <c r="AH756" s="7"/>
      <c r="AI756" s="7"/>
      <c r="AJ756" s="7"/>
      <c r="AK756" s="7"/>
      <c r="AL756" s="7"/>
      <c r="AM756" s="7"/>
      <c r="AN756" s="7"/>
      <c r="AO756" s="7"/>
      <c r="AP756" s="7"/>
      <c r="AQ756" s="7"/>
      <c r="AR756" s="7"/>
      <c r="AS756" s="7"/>
      <c r="AT756" s="7"/>
    </row>
    <row r="757" spans="1:46" s="134" customFormat="1" ht="198.6" customHeight="1">
      <c r="A757" s="58">
        <v>750</v>
      </c>
      <c r="B757" s="123" t="s">
        <v>1420</v>
      </c>
      <c r="C757" s="123" t="s">
        <v>2694</v>
      </c>
      <c r="D757" s="124" t="s">
        <v>2711</v>
      </c>
      <c r="E757" s="124" t="s">
        <v>2712</v>
      </c>
      <c r="F757" s="125" t="str">
        <f t="shared" si="18"/>
        <v>하</v>
      </c>
      <c r="G757" s="126" t="s">
        <v>2668</v>
      </c>
      <c r="H757" s="126" t="s">
        <v>2674</v>
      </c>
      <c r="I757" s="197" t="s">
        <v>2713</v>
      </c>
      <c r="J757" s="138" t="s">
        <v>1417</v>
      </c>
      <c r="K757" s="129"/>
      <c r="L757" s="138" t="s">
        <v>1492</v>
      </c>
      <c r="M757" s="130"/>
      <c r="N757" s="130"/>
      <c r="O757" s="130"/>
      <c r="P757" s="130"/>
      <c r="Q757" s="130"/>
      <c r="R757" s="130"/>
      <c r="S757" s="131" t="s">
        <v>2695</v>
      </c>
      <c r="T757" s="130"/>
      <c r="U757" s="130"/>
      <c r="V757" s="130"/>
      <c r="W757" s="132" t="b">
        <v>0</v>
      </c>
      <c r="X757" s="132" t="b">
        <v>0</v>
      </c>
      <c r="Y757" s="133" t="b">
        <v>1</v>
      </c>
      <c r="Z757" s="127" t="s">
        <v>2699</v>
      </c>
      <c r="AC757" s="150"/>
      <c r="AD757" s="150"/>
      <c r="AE757" s="150"/>
      <c r="AF757" s="150"/>
    </row>
    <row r="758" spans="1:46" customFormat="1" ht="17.399999999999999">
      <c r="E758" s="231"/>
      <c r="I758" s="91"/>
      <c r="J758" s="140"/>
      <c r="L758" s="140"/>
      <c r="AC758" s="140"/>
      <c r="AD758" s="140"/>
      <c r="AE758" s="140"/>
      <c r="AF758" s="140"/>
    </row>
  </sheetData>
  <autoFilter ref="A5:AT757" xr:uid="{00000000-0001-0000-0100-000000000000}">
    <sortState xmlns:xlrd2="http://schemas.microsoft.com/office/spreadsheetml/2017/richdata2" ref="A7:AT756">
      <sortCondition ref="F5"/>
    </sortState>
  </autoFilter>
  <sortState xmlns:xlrd2="http://schemas.microsoft.com/office/spreadsheetml/2017/richdata2" ref="A6:AT757">
    <sortCondition ref="F6:F757" customList="극상,상,중,하"/>
  </sortState>
  <mergeCells count="18">
    <mergeCell ref="D4:E4"/>
    <mergeCell ref="I4:I5"/>
    <mergeCell ref="S4:T4"/>
    <mergeCell ref="A4:A5"/>
    <mergeCell ref="J4:J5"/>
    <mergeCell ref="M4:M5"/>
    <mergeCell ref="C4:C5"/>
    <mergeCell ref="K4:K5"/>
    <mergeCell ref="O4:O5"/>
    <mergeCell ref="L4:L5"/>
    <mergeCell ref="B4:B5"/>
    <mergeCell ref="N4:N5"/>
    <mergeCell ref="P4:P5"/>
    <mergeCell ref="Z4:Z5"/>
    <mergeCell ref="F4:H4"/>
    <mergeCell ref="U4:V4"/>
    <mergeCell ref="Q4:R4"/>
    <mergeCell ref="W4:Y4"/>
  </mergeCells>
  <phoneticPr fontId="1" type="noConversion"/>
  <conditionalFormatting sqref="F6:F757">
    <cfRule type="containsText" dxfId="7" priority="1" operator="containsText" text="극상">
      <formula>NOT(ISERROR(SEARCH("극상",F6)))</formula>
    </cfRule>
    <cfRule type="beginsWith" dxfId="6" priority="2" operator="beginsWith" text="상">
      <formula>LEFT(F6,LEN("상"))="상"</formula>
    </cfRule>
    <cfRule type="containsText" dxfId="5" priority="3" operator="containsText" text="중">
      <formula>NOT(ISERROR(SEARCH("중",F6)))</formula>
    </cfRule>
    <cfRule type="containsText" dxfId="4" priority="4" operator="containsText" text="하">
      <formula>NOT(ISERROR(SEARCH("하",F6)))</formula>
    </cfRule>
  </conditionalFormatting>
  <dataValidations count="1">
    <dataValidation type="list" allowBlank="1" showInputMessage="1" showErrorMessage="1" sqref="N6:N96 N278 N133 N645 G77:H97" xr:uid="{00000000-0002-0000-0100-000000000000}">
      <formula1>#REF!</formula1>
    </dataValidation>
  </dataValidations>
  <printOptions horizontalCentered="1"/>
  <pageMargins left="0.19685039370078741" right="0.19685039370078741" top="0.39370078740157483" bottom="0.39370078740157483" header="0.31496062992125978" footer="0.31496062992125978"/>
  <pageSetup paperSize="8" scale="33" fitToHeight="0" orientation="landscape" r:id="rId1"/>
  <colBreaks count="1" manualBreakCount="1">
    <brk id="10" max="75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4083A34-9CF4-4357-9094-1FDCD54BD0B2}">
          <x14:formula1>
            <xm:f>리스크평가기준!$B$3:$D$3</xm:f>
          </x14:formula1>
          <xm:sqref>G98:G757 G6:G76</xm:sqref>
        </x14:dataValidation>
        <x14:dataValidation type="list" allowBlank="1" showInputMessage="1" showErrorMessage="1" xr:uid="{AE984C59-6AA8-4CE7-A37A-79BEED46B477}">
          <x14:formula1>
            <xm:f>리스크평가기준!$B$4:$D$4</xm:f>
          </x14:formula1>
          <xm:sqref>H98:H757 H6:H76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U1094"/>
  <sheetViews>
    <sheetView view="pageBreakPreview" topLeftCell="A499" zoomScale="55" zoomScaleNormal="70" zoomScaleSheetLayoutView="55" workbookViewId="0">
      <selection activeCell="E502" sqref="E502"/>
    </sheetView>
  </sheetViews>
  <sheetFormatPr defaultRowHeight="17.399999999999999"/>
  <cols>
    <col min="2" max="2" width="12.796875" customWidth="1"/>
    <col min="3" max="3" width="31.09765625" customWidth="1"/>
    <col min="4" max="4" width="49.8984375" customWidth="1"/>
    <col min="5" max="5" width="78.19921875" customWidth="1"/>
    <col min="6" max="6" width="14.8984375" customWidth="1"/>
    <col min="7" max="7" width="14.796875" customWidth="1"/>
    <col min="8" max="8" width="23.19921875" customWidth="1"/>
    <col min="9" max="9" width="73.8984375" customWidth="1"/>
    <col min="11" max="11" width="14.69921875" customWidth="1"/>
    <col min="12" max="12" width="18.5" customWidth="1"/>
    <col min="26" max="26" width="62.796875" customWidth="1"/>
  </cols>
  <sheetData>
    <row r="1" spans="1:47" s="7" customFormat="1" ht="36" customHeight="1">
      <c r="A1" s="6"/>
      <c r="D1" s="8"/>
      <c r="E1" s="8"/>
      <c r="I1" s="8"/>
      <c r="K1" s="9"/>
      <c r="L1" s="10"/>
      <c r="M1" s="11"/>
      <c r="N1" s="11" t="s">
        <v>0</v>
      </c>
      <c r="O1" s="12" t="s">
        <v>0</v>
      </c>
      <c r="T1" s="13" t="s">
        <v>0</v>
      </c>
      <c r="U1" s="13" t="s">
        <v>0</v>
      </c>
      <c r="V1" s="13" t="s">
        <v>0</v>
      </c>
      <c r="W1" s="14"/>
      <c r="X1" s="14"/>
      <c r="Y1" s="14"/>
      <c r="Z1" s="15"/>
      <c r="AA1" s="16"/>
      <c r="AU1" s="17" t="s">
        <v>1</v>
      </c>
    </row>
    <row r="2" spans="1:47" s="7" customFormat="1" ht="53.4" customHeight="1" thickBot="1">
      <c r="A2" s="6"/>
      <c r="D2" s="8"/>
      <c r="E2" s="8"/>
      <c r="I2" s="8"/>
      <c r="K2" s="18">
        <f>COUNTIF($AA:$AA,K1)</f>
        <v>0</v>
      </c>
      <c r="L2" s="10">
        <f>COUNTIF($AA:$AA,L1)</f>
        <v>0</v>
      </c>
      <c r="M2" s="11"/>
      <c r="N2" s="11"/>
      <c r="O2" s="19" t="s">
        <v>2</v>
      </c>
      <c r="T2" s="13"/>
      <c r="U2" s="13"/>
      <c r="V2" s="13"/>
      <c r="W2" s="20"/>
      <c r="X2" s="20"/>
      <c r="Y2" s="20"/>
      <c r="Z2" s="15"/>
      <c r="AA2" s="16"/>
    </row>
    <row r="3" spans="1:47" s="7" customFormat="1" ht="33" customHeight="1">
      <c r="A3" s="249" t="s">
        <v>3</v>
      </c>
      <c r="B3" s="249" t="s">
        <v>4</v>
      </c>
      <c r="C3" s="249" t="s">
        <v>5</v>
      </c>
      <c r="D3" s="249" t="s">
        <v>6</v>
      </c>
      <c r="E3" s="251"/>
      <c r="F3" s="249" t="s">
        <v>7</v>
      </c>
      <c r="G3" s="252"/>
      <c r="H3" s="251"/>
      <c r="I3" s="249" t="s">
        <v>8</v>
      </c>
      <c r="J3" s="249" t="s">
        <v>9</v>
      </c>
      <c r="K3" s="249" t="s">
        <v>10</v>
      </c>
      <c r="L3" s="249" t="s">
        <v>11</v>
      </c>
      <c r="M3" s="249" t="s">
        <v>12</v>
      </c>
      <c r="N3" s="249" t="s">
        <v>13</v>
      </c>
      <c r="O3" s="249" t="s">
        <v>14</v>
      </c>
      <c r="P3" s="249" t="s">
        <v>15</v>
      </c>
      <c r="Q3" s="254" t="s">
        <v>16</v>
      </c>
      <c r="R3" s="251"/>
      <c r="S3" s="254" t="s">
        <v>17</v>
      </c>
      <c r="T3" s="251"/>
      <c r="U3" s="254" t="s">
        <v>18</v>
      </c>
      <c r="V3" s="251"/>
      <c r="W3" s="255" t="s">
        <v>19</v>
      </c>
      <c r="X3" s="252"/>
      <c r="Y3" s="251"/>
      <c r="Z3" s="253" t="s">
        <v>20</v>
      </c>
      <c r="AA3" s="247" t="s">
        <v>21</v>
      </c>
      <c r="AK3" s="7" t="s">
        <v>22</v>
      </c>
    </row>
    <row r="4" spans="1:47" s="7" customFormat="1" ht="72" customHeight="1">
      <c r="A4" s="250"/>
      <c r="B4" s="250"/>
      <c r="C4" s="250"/>
      <c r="D4" s="21" t="s">
        <v>23</v>
      </c>
      <c r="E4" s="22" t="s">
        <v>2722</v>
      </c>
      <c r="F4" s="21" t="s">
        <v>25</v>
      </c>
      <c r="G4" s="21" t="s">
        <v>26</v>
      </c>
      <c r="H4" s="21" t="s">
        <v>27</v>
      </c>
      <c r="I4" s="250"/>
      <c r="J4" s="250"/>
      <c r="K4" s="250"/>
      <c r="L4" s="250"/>
      <c r="M4" s="250"/>
      <c r="N4" s="250"/>
      <c r="O4" s="250"/>
      <c r="P4" s="250"/>
      <c r="Q4" s="23" t="s">
        <v>28</v>
      </c>
      <c r="R4" s="23" t="s">
        <v>29</v>
      </c>
      <c r="S4" s="23" t="s">
        <v>28</v>
      </c>
      <c r="T4" s="23" t="s">
        <v>30</v>
      </c>
      <c r="U4" s="24" t="s">
        <v>28</v>
      </c>
      <c r="V4" s="24" t="s">
        <v>31</v>
      </c>
      <c r="W4" s="25" t="s">
        <v>32</v>
      </c>
      <c r="X4" s="23" t="s">
        <v>33</v>
      </c>
      <c r="Y4" s="25" t="s">
        <v>34</v>
      </c>
      <c r="Z4" s="250"/>
      <c r="AA4" s="248"/>
      <c r="AK4" s="26" t="s">
        <v>3</v>
      </c>
      <c r="AL4" s="26" t="s">
        <v>35</v>
      </c>
      <c r="AM4" s="26" t="s">
        <v>36</v>
      </c>
      <c r="AN4" s="7" t="s">
        <v>25</v>
      </c>
      <c r="AO4" s="26" t="s">
        <v>37</v>
      </c>
      <c r="AP4" s="26" t="s">
        <v>16</v>
      </c>
      <c r="AQ4" s="26" t="s">
        <v>17</v>
      </c>
      <c r="AR4" s="26" t="s">
        <v>18</v>
      </c>
      <c r="AS4" s="26" t="s">
        <v>38</v>
      </c>
    </row>
    <row r="5" spans="1:47" s="7" customFormat="1" ht="121.8" customHeight="1">
      <c r="A5" s="27">
        <f>[1]트램표준체크리스트!A3</f>
        <v>1</v>
      </c>
      <c r="B5" s="28" t="str">
        <f>[1]트램표준체크리스트!B3</f>
        <v>철도계획</v>
      </c>
      <c r="C5" s="29" t="str">
        <f>[1]트램표준체크리스트!C3</f>
        <v>B/P장</v>
      </c>
      <c r="D5" s="30" t="str">
        <f>[1]트램표준체크리스트!F3</f>
        <v>B/P장, 크러셔장 등 주요 가설 설비 설치 위치에 대한 인허가(비산먼지, 소음, 점용) 가능성을 사전 확인했는가?</v>
      </c>
      <c r="E5" s="31" t="s">
        <v>39</v>
      </c>
      <c r="F5" s="32" t="str">
        <f>_xlfn.LET(
    _xlpm.v_발생, IF(ISNUMBER(SEARCH("빈번", G5)), "상",
               IF(ISNUMBER(SEARCH("거의", G5)), "하", "중")),
    _xlpm.v_영향, IF(ISNUMBER(SEARCH("1개월", H5)), "상",
               IF(ISNUMBER(SEARCH("없음", H5)), "하", "중")),
    IF(AND(_xlpm.v_발생="상", _xlpm.v_영향="상"), "극상",
    IF(OR(_xlpm.v_발생="상", _xlpm.v_영향="상"), "상",
    IF(AND(_xlpm.v_발생="하", _xlpm.v_영향="하"), "하",
    "중")))
)</f>
        <v>극상</v>
      </c>
      <c r="G5" s="63" t="s">
        <v>40</v>
      </c>
      <c r="H5" s="63" t="s">
        <v>41</v>
      </c>
      <c r="I5" s="34" t="s">
        <v>2718</v>
      </c>
      <c r="J5" s="33"/>
      <c r="K5" s="35" t="s">
        <v>0</v>
      </c>
      <c r="L5" s="33" t="s">
        <v>42</v>
      </c>
      <c r="M5" s="36" t="s">
        <v>0</v>
      </c>
      <c r="N5" s="33" t="s">
        <v>43</v>
      </c>
      <c r="O5" s="36" t="s">
        <v>0</v>
      </c>
      <c r="P5" s="33">
        <v>4</v>
      </c>
      <c r="Q5" s="37"/>
      <c r="R5" s="38"/>
      <c r="S5" s="33">
        <v>1</v>
      </c>
      <c r="T5" s="38" t="str">
        <f>+IF(S5="","",INDEX([2]Drop!$M$3:$N$27,MATCH($N5,[2]Drop!$M$3:$M$27,),2))</f>
        <v>'26.01.29</v>
      </c>
      <c r="U5" s="33"/>
      <c r="V5" s="39" t="s">
        <v>0</v>
      </c>
      <c r="W5" s="90" t="b">
        <v>0</v>
      </c>
      <c r="X5" s="90" t="b">
        <v>0</v>
      </c>
      <c r="Y5" s="90" t="b">
        <v>0</v>
      </c>
      <c r="Z5" s="40" t="s">
        <v>44</v>
      </c>
      <c r="AA5" s="41"/>
      <c r="AK5" s="16"/>
      <c r="AL5" s="16"/>
      <c r="AM5" s="16"/>
      <c r="AN5" s="16"/>
      <c r="AO5" s="16"/>
      <c r="AP5" s="16"/>
      <c r="AQ5" s="16"/>
      <c r="AR5" s="16"/>
      <c r="AS5" s="16"/>
    </row>
    <row r="6" spans="1:47" s="7" customFormat="1" ht="129" customHeight="1">
      <c r="A6" s="27">
        <f>[1]트램표준체크리스트!A4</f>
        <v>2</v>
      </c>
      <c r="B6" s="28" t="str">
        <f>[1]트램표준체크리스트!B4</f>
        <v>철도계획</v>
      </c>
      <c r="C6" s="29" t="str">
        <f>[1]트램표준체크리스트!C4</f>
        <v>가설공사</v>
      </c>
      <c r="D6" s="30" t="str">
        <f>[1]트램표준체크리스트!F4</f>
        <v>도심지 공사 시 교통 처리 계획에 따른 가시설 존치 기간이 적정하게 산정되었는가?</v>
      </c>
      <c r="E6" s="31" t="s">
        <v>45</v>
      </c>
      <c r="F6" s="32" t="str">
        <f>_xlfn.LET(
    _xlpm.v_발생, IF(ISNUMBER(SEARCH("빈번", G6)), "상",
               IF(ISNUMBER(SEARCH("거의", G6)), "하", "중")),
    _xlpm.v_영향, IF(ISNUMBER(SEARCH("1개월", H6)), "상",
               IF(ISNUMBER(SEARCH("없음", H6)), "하", "중")),
    IF(AND(_xlpm.v_발생="상", _xlpm.v_영향="상"), "극상",
    IF(OR(_xlpm.v_발생="상", _xlpm.v_영향="상"), "상",
    IF(AND(_xlpm.v_발생="하", _xlpm.v_영향="하"), "하",
    "중")))
)</f>
        <v>극상</v>
      </c>
      <c r="G6" s="63" t="s">
        <v>40</v>
      </c>
      <c r="H6" s="63" t="s">
        <v>41</v>
      </c>
      <c r="I6" s="34" t="s">
        <v>46</v>
      </c>
      <c r="J6" s="33"/>
      <c r="K6" s="35"/>
      <c r="L6" s="33"/>
      <c r="M6" s="36"/>
      <c r="N6" s="33"/>
      <c r="O6" s="36"/>
      <c r="P6" s="33"/>
      <c r="Q6" s="37"/>
      <c r="R6" s="38"/>
      <c r="S6" s="33"/>
      <c r="T6" s="38"/>
      <c r="U6" s="33"/>
      <c r="V6" s="39"/>
      <c r="W6" s="90" t="b">
        <v>0</v>
      </c>
      <c r="X6" s="90" t="b">
        <v>0</v>
      </c>
      <c r="Y6" s="90" t="b">
        <v>0</v>
      </c>
      <c r="Z6" s="40" t="s">
        <v>47</v>
      </c>
      <c r="AA6" s="41"/>
      <c r="AK6" s="16"/>
      <c r="AL6" s="16"/>
      <c r="AM6" s="16"/>
      <c r="AN6" s="16"/>
      <c r="AO6" s="16"/>
      <c r="AP6" s="16"/>
      <c r="AQ6" s="16"/>
      <c r="AR6" s="16"/>
      <c r="AS6" s="16"/>
    </row>
    <row r="7" spans="1:47" s="7" customFormat="1" ht="195" customHeight="1">
      <c r="A7" s="27">
        <f>[1]트램표준체크리스트!A5</f>
        <v>3</v>
      </c>
      <c r="B7" s="28" t="str">
        <f>[1]트램표준체크리스트!B5</f>
        <v>철도계획</v>
      </c>
      <c r="C7" s="29" t="str">
        <f>[1]트램표준체크리스트!C5</f>
        <v>가설도로</v>
      </c>
      <c r="D7" s="30" t="str">
        <f>[1]트램표준체크리스트!F5</f>
        <v>부지 내 기존 도로가 보상 문제로 폐쇄될 경우 대체 진입로 계획이 있는가?</v>
      </c>
      <c r="E7" s="31" t="s">
        <v>48</v>
      </c>
      <c r="F7" s="32" t="str">
        <f t="shared" ref="F7:F38" si="0">_xlfn.LET(
_xlpm.v_발생, IF(ISNUMBER(SEARCH("빈번", G7)), "상",
IF(ISNUMBER(SEARCH("거의", G7)), "하", "중")),
_xlpm.v_영향, IF(ISNUMBER(SEARCH("1개월", H7)), "상",
IF(ISNUMBER(SEARCH("없음", H7)), "하", "중")),
IF(AND(_xlpm.v_발생="상", _xlpm.v_영향="상"), "극상",
IF(OR(_xlpm.v_발생="상", _xlpm.v_영향="상"), "상",
IF(AND(_xlpm.v_발생="하", _xlpm.v_영향="하"), "하",
"중")))
)</f>
        <v>극상</v>
      </c>
      <c r="G7" s="63" t="s">
        <v>40</v>
      </c>
      <c r="H7" s="63" t="s">
        <v>41</v>
      </c>
      <c r="I7" s="34" t="s">
        <v>49</v>
      </c>
      <c r="J7" s="33"/>
      <c r="K7" s="35"/>
      <c r="L7" s="33"/>
      <c r="M7" s="36"/>
      <c r="N7" s="33"/>
      <c r="O7" s="36"/>
      <c r="P7" s="33"/>
      <c r="Q7" s="37"/>
      <c r="R7" s="38"/>
      <c r="S7" s="33"/>
      <c r="T7" s="38"/>
      <c r="U7" s="33"/>
      <c r="V7" s="39"/>
      <c r="W7" s="90" t="b">
        <v>0</v>
      </c>
      <c r="X7" s="90" t="b">
        <v>0</v>
      </c>
      <c r="Y7" s="90" t="b">
        <v>0</v>
      </c>
      <c r="Z7" s="40" t="s">
        <v>2717</v>
      </c>
      <c r="AA7" s="41"/>
      <c r="AK7" s="16"/>
      <c r="AL7" s="16"/>
      <c r="AM7" s="16"/>
      <c r="AN7" s="16"/>
      <c r="AO7" s="16"/>
      <c r="AP7" s="16"/>
      <c r="AQ7" s="16"/>
      <c r="AR7" s="16"/>
      <c r="AS7" s="16"/>
    </row>
    <row r="8" spans="1:47" s="7" customFormat="1" ht="195" customHeight="1">
      <c r="A8" s="27">
        <f>[1]트램표준체크리스트!A6</f>
        <v>4</v>
      </c>
      <c r="B8" s="28" t="str">
        <f>[1]트램표준체크리스트!B6</f>
        <v>철도계획</v>
      </c>
      <c r="C8" s="29" t="str">
        <f>[1]트램표준체크리스트!C6</f>
        <v>가설도로</v>
      </c>
      <c r="D8" s="30" t="str">
        <f>[1]트램표준체크리스트!F6</f>
        <v>공사용 진입로 및 가설 부지가 설계된 용지 경계(수용지) 내에서 해결 가능한가?</v>
      </c>
      <c r="E8" s="31" t="s">
        <v>51</v>
      </c>
      <c r="F8" s="32" t="str">
        <f t="shared" si="0"/>
        <v>극상</v>
      </c>
      <c r="G8" s="63" t="s">
        <v>40</v>
      </c>
      <c r="H8" s="63" t="s">
        <v>41</v>
      </c>
      <c r="I8" s="34" t="s">
        <v>52</v>
      </c>
      <c r="J8" s="33"/>
      <c r="K8" s="35"/>
      <c r="L8" s="33"/>
      <c r="M8" s="36"/>
      <c r="N8" s="33"/>
      <c r="O8" s="36"/>
      <c r="P8" s="33"/>
      <c r="Q8" s="37"/>
      <c r="R8" s="38"/>
      <c r="S8" s="33"/>
      <c r="T8" s="38"/>
      <c r="U8" s="33"/>
      <c r="V8" s="39"/>
      <c r="W8" s="90" t="b">
        <v>0</v>
      </c>
      <c r="X8" s="90" t="b">
        <v>0</v>
      </c>
      <c r="Y8" s="90" t="b">
        <v>0</v>
      </c>
      <c r="Z8" s="40" t="s">
        <v>53</v>
      </c>
      <c r="AA8" s="41"/>
      <c r="AK8" s="16"/>
      <c r="AL8" s="16"/>
      <c r="AM8" s="16"/>
      <c r="AN8" s="16"/>
      <c r="AO8" s="16"/>
      <c r="AP8" s="16"/>
      <c r="AQ8" s="16"/>
      <c r="AR8" s="16"/>
      <c r="AS8" s="16"/>
    </row>
    <row r="9" spans="1:47" s="7" customFormat="1" ht="195" customHeight="1">
      <c r="A9" s="27">
        <f>[1]트램표준체크리스트!A7</f>
        <v>5</v>
      </c>
      <c r="B9" s="28" t="str">
        <f>[1]트램표준체크리스트!B7</f>
        <v>철도계획</v>
      </c>
      <c r="C9" s="29" t="str">
        <f>[1]트램표준체크리스트!C7</f>
        <v>가시설</v>
      </c>
      <c r="D9" s="30" t="str">
        <f>[1]트램표준체크리스트!F7</f>
        <v>흙막이 앵커가 인접 사유지 경계를 침범하는지 지적도와 대조했는가? (침범 시 보상비 또는 제거식 앵커 반영)할 리스크를 검토하였는가?</v>
      </c>
      <c r="E9" s="31" t="s">
        <v>54</v>
      </c>
      <c r="F9" s="32" t="str">
        <f t="shared" si="0"/>
        <v>극상</v>
      </c>
      <c r="G9" s="63" t="s">
        <v>40</v>
      </c>
      <c r="H9" s="63" t="s">
        <v>41</v>
      </c>
      <c r="I9" s="34" t="s">
        <v>55</v>
      </c>
      <c r="J9" s="33"/>
      <c r="K9" s="35"/>
      <c r="L9" s="33"/>
      <c r="M9" s="36"/>
      <c r="N9" s="33"/>
      <c r="O9" s="36"/>
      <c r="P9" s="33"/>
      <c r="Q9" s="37"/>
      <c r="R9" s="38"/>
      <c r="S9" s="33"/>
      <c r="T9" s="38"/>
      <c r="U9" s="33"/>
      <c r="V9" s="39"/>
      <c r="W9" s="90" t="b">
        <v>0</v>
      </c>
      <c r="X9" s="90" t="b">
        <v>0</v>
      </c>
      <c r="Y9" s="90" t="b">
        <v>0</v>
      </c>
      <c r="Z9" s="40" t="s">
        <v>56</v>
      </c>
      <c r="AA9" s="41"/>
      <c r="AK9" s="16"/>
      <c r="AL9" s="16"/>
      <c r="AM9" s="16"/>
      <c r="AN9" s="16"/>
      <c r="AO9" s="16"/>
      <c r="AP9" s="16"/>
      <c r="AQ9" s="16"/>
      <c r="AR9" s="16"/>
      <c r="AS9" s="16"/>
    </row>
    <row r="10" spans="1:47" s="7" customFormat="1" ht="195" customHeight="1">
      <c r="A10" s="27">
        <f>[1]트램표준체크리스트!A8</f>
        <v>6</v>
      </c>
      <c r="B10" s="28" t="str">
        <f>[1]트램표준체크리스트!B8</f>
        <v>철도계획</v>
      </c>
      <c r="C10" s="29" t="str">
        <f>[1]트램표준체크리스트!C8</f>
        <v>가시설(차선점유)</v>
      </c>
      <c r="D10" s="30" t="str">
        <f>[1]트램표준체크리스트!F8</f>
        <v>기존 차선 수 유지가 가능한 단계별 가시설(Staging) 계획인가?□ 경찰서 사전 의견 조회를 거쳤는가?</v>
      </c>
      <c r="E10" s="31" t="s">
        <v>57</v>
      </c>
      <c r="F10" s="32" t="str">
        <f t="shared" si="0"/>
        <v>극상</v>
      </c>
      <c r="G10" s="63" t="s">
        <v>40</v>
      </c>
      <c r="H10" s="63" t="s">
        <v>41</v>
      </c>
      <c r="I10" s="34" t="s">
        <v>58</v>
      </c>
      <c r="J10" s="33"/>
      <c r="K10" s="35"/>
      <c r="L10" s="33"/>
      <c r="M10" s="36"/>
      <c r="N10" s="33"/>
      <c r="O10" s="36"/>
      <c r="P10" s="33"/>
      <c r="Q10" s="37"/>
      <c r="R10" s="38"/>
      <c r="S10" s="33"/>
      <c r="T10" s="38"/>
      <c r="U10" s="33"/>
      <c r="V10" s="39"/>
      <c r="W10" s="90" t="b">
        <v>0</v>
      </c>
      <c r="X10" s="90" t="b">
        <v>0</v>
      </c>
      <c r="Y10" s="90" t="b">
        <v>0</v>
      </c>
      <c r="Z10" s="40" t="s">
        <v>59</v>
      </c>
      <c r="AA10" s="41"/>
      <c r="AK10" s="16"/>
      <c r="AL10" s="16"/>
      <c r="AM10" s="16"/>
      <c r="AN10" s="16"/>
      <c r="AO10" s="16"/>
      <c r="AP10" s="16"/>
      <c r="AQ10" s="16"/>
      <c r="AR10" s="16"/>
      <c r="AS10" s="16"/>
    </row>
    <row r="11" spans="1:47" s="7" customFormat="1" ht="195" customHeight="1">
      <c r="A11" s="27">
        <f>[1]트램표준체크리스트!A9</f>
        <v>7</v>
      </c>
      <c r="B11" s="28" t="str">
        <f>[1]트램표준체크리스트!B9</f>
        <v>철도계획</v>
      </c>
      <c r="C11" s="29" t="str">
        <f>[1]트램표준체크리스트!C9</f>
        <v>간접비</v>
      </c>
      <c r="D11" s="30" t="str">
        <f>[1]트램표준체크리스트!F9</f>
        <v>관급자재 수급 불안정 시 사급 전환 가능성 및 비용 차이를 검토했는가?</v>
      </c>
      <c r="E11" s="31" t="s">
        <v>60</v>
      </c>
      <c r="F11" s="32" t="str">
        <f t="shared" si="0"/>
        <v>극상</v>
      </c>
      <c r="G11" s="63" t="s">
        <v>40</v>
      </c>
      <c r="H11" s="63" t="s">
        <v>41</v>
      </c>
      <c r="I11" s="34" t="s">
        <v>61</v>
      </c>
      <c r="J11" s="33"/>
      <c r="K11" s="35"/>
      <c r="L11" s="33"/>
      <c r="M11" s="36"/>
      <c r="N11" s="33"/>
      <c r="O11" s="36"/>
      <c r="P11" s="33"/>
      <c r="Q11" s="37"/>
      <c r="R11" s="38"/>
      <c r="S11" s="33"/>
      <c r="T11" s="38"/>
      <c r="U11" s="33"/>
      <c r="V11" s="39"/>
      <c r="W11" s="90" t="b">
        <v>0</v>
      </c>
      <c r="X11" s="90" t="b">
        <v>0</v>
      </c>
      <c r="Y11" s="90" t="b">
        <v>0</v>
      </c>
      <c r="Z11" s="40" t="s">
        <v>62</v>
      </c>
      <c r="AA11" s="41"/>
      <c r="AK11" s="16"/>
      <c r="AL11" s="16"/>
      <c r="AM11" s="16"/>
      <c r="AN11" s="16"/>
      <c r="AO11" s="16"/>
      <c r="AP11" s="16"/>
      <c r="AQ11" s="16"/>
      <c r="AR11" s="16"/>
      <c r="AS11" s="16"/>
    </row>
    <row r="12" spans="1:47" s="7" customFormat="1" ht="195" customHeight="1">
      <c r="A12" s="27">
        <f>[1]트램표준체크리스트!A10</f>
        <v>8</v>
      </c>
      <c r="B12" s="28" t="str">
        <f>[1]트램표준체크리스트!B10</f>
        <v>철도계획</v>
      </c>
      <c r="C12" s="29" t="str">
        <f>[1]트램표준체크리스트!C10</f>
        <v>간접비</v>
      </c>
      <c r="D12" s="30" t="str">
        <f>[1]트램표준체크리스트!F10</f>
        <v>설계 시 발주기관의 설계 변경 지시 및 선행 공구 개통 지연.에 따른 램프 구간 도로 형식 변경 및 송파IC 개통 지연으로 적정 기간/시간간 공기 연장 발생할 리스크를 검토하였는가?</v>
      </c>
      <c r="E12" s="31" t="s">
        <v>63</v>
      </c>
      <c r="F12" s="32" t="str">
        <f t="shared" si="0"/>
        <v>극상</v>
      </c>
      <c r="G12" s="63" t="s">
        <v>40</v>
      </c>
      <c r="H12" s="63" t="s">
        <v>41</v>
      </c>
      <c r="I12" s="34" t="s">
        <v>64</v>
      </c>
      <c r="J12" s="33"/>
      <c r="K12" s="35"/>
      <c r="L12" s="33"/>
      <c r="M12" s="36"/>
      <c r="N12" s="33"/>
      <c r="O12" s="36"/>
      <c r="P12" s="33"/>
      <c r="Q12" s="37"/>
      <c r="R12" s="38"/>
      <c r="S12" s="33"/>
      <c r="T12" s="38"/>
      <c r="U12" s="33"/>
      <c r="V12" s="39"/>
      <c r="W12" s="90" t="b">
        <v>0</v>
      </c>
      <c r="X12" s="90" t="b">
        <v>0</v>
      </c>
      <c r="Y12" s="90" t="b">
        <v>0</v>
      </c>
      <c r="Z12" s="40" t="s">
        <v>65</v>
      </c>
      <c r="AA12" s="41"/>
      <c r="AK12" s="16"/>
      <c r="AL12" s="16"/>
      <c r="AM12" s="16"/>
      <c r="AN12" s="16"/>
      <c r="AO12" s="16"/>
      <c r="AP12" s="16"/>
      <c r="AQ12" s="16"/>
      <c r="AR12" s="16"/>
      <c r="AS12" s="16"/>
    </row>
    <row r="13" spans="1:47" s="7" customFormat="1" ht="195" customHeight="1">
      <c r="A13" s="27">
        <f>[1]트램표준체크리스트!A11</f>
        <v>9</v>
      </c>
      <c r="B13" s="28" t="str">
        <f>[1]트램표준체크리스트!B11</f>
        <v>철도계획</v>
      </c>
      <c r="C13" s="29" t="str">
        <f>[1]트램표준체크리스트!C11</f>
        <v>간접비</v>
      </c>
      <c r="D13" s="30" t="str">
        <f>[1]트램표준체크리스트!F11</f>
        <v>공사 착수 전 용지 보상 완료 여부와 미보상 토지가 주공정(CP)에 미치는 영향을 분석했는가?</v>
      </c>
      <c r="E13" s="31" t="s">
        <v>66</v>
      </c>
      <c r="F13" s="32" t="str">
        <f t="shared" si="0"/>
        <v>극상</v>
      </c>
      <c r="G13" s="63" t="s">
        <v>40</v>
      </c>
      <c r="H13" s="63" t="s">
        <v>41</v>
      </c>
      <c r="I13" s="34" t="s">
        <v>67</v>
      </c>
      <c r="J13" s="33"/>
      <c r="K13" s="35"/>
      <c r="L13" s="33"/>
      <c r="M13" s="36"/>
      <c r="N13" s="33"/>
      <c r="O13" s="36"/>
      <c r="P13" s="33"/>
      <c r="Q13" s="37"/>
      <c r="R13" s="38"/>
      <c r="S13" s="33"/>
      <c r="T13" s="38"/>
      <c r="U13" s="33"/>
      <c r="V13" s="39"/>
      <c r="W13" s="90" t="b">
        <v>0</v>
      </c>
      <c r="X13" s="90" t="b">
        <v>0</v>
      </c>
      <c r="Y13" s="90" t="b">
        <v>0</v>
      </c>
      <c r="Z13" s="40" t="s">
        <v>68</v>
      </c>
      <c r="AA13" s="41"/>
      <c r="AK13" s="16"/>
      <c r="AL13" s="16"/>
      <c r="AM13" s="16"/>
      <c r="AN13" s="16"/>
      <c r="AO13" s="16"/>
      <c r="AP13" s="16"/>
      <c r="AQ13" s="16"/>
      <c r="AR13" s="16"/>
      <c r="AS13" s="16"/>
    </row>
    <row r="14" spans="1:47" s="7" customFormat="1" ht="195" customHeight="1">
      <c r="A14" s="27">
        <f>[1]트램표준체크리스트!A12</f>
        <v>10</v>
      </c>
      <c r="B14" s="28" t="str">
        <f>[1]트램표준체크리스트!B12</f>
        <v>철도계획</v>
      </c>
      <c r="C14" s="29" t="str">
        <f>[1]트램표준체크리스트!C12</f>
        <v>간접비</v>
      </c>
      <c r="D14" s="30" t="str">
        <f>[1]트램표준체크리스트!F12</f>
        <v>용지 보상 현황도(Map)와 공정표(Schedule)를 연동하여 지연 일수를 산정하고 있는가?</v>
      </c>
      <c r="E14" s="31" t="s">
        <v>69</v>
      </c>
      <c r="F14" s="32" t="str">
        <f t="shared" si="0"/>
        <v>극상</v>
      </c>
      <c r="G14" s="63" t="s">
        <v>40</v>
      </c>
      <c r="H14" s="63" t="s">
        <v>41</v>
      </c>
      <c r="I14" s="34" t="s">
        <v>70</v>
      </c>
      <c r="J14" s="33"/>
      <c r="K14" s="35"/>
      <c r="L14" s="33"/>
      <c r="M14" s="36"/>
      <c r="N14" s="33"/>
      <c r="O14" s="36"/>
      <c r="P14" s="33"/>
      <c r="Q14" s="37"/>
      <c r="R14" s="38"/>
      <c r="S14" s="33"/>
      <c r="T14" s="38"/>
      <c r="U14" s="33"/>
      <c r="V14" s="39"/>
      <c r="W14" s="90" t="b">
        <v>0</v>
      </c>
      <c r="X14" s="90" t="b">
        <v>0</v>
      </c>
      <c r="Y14" s="90" t="b">
        <v>0</v>
      </c>
      <c r="Z14" s="40" t="s">
        <v>71</v>
      </c>
      <c r="AA14" s="41"/>
      <c r="AK14" s="16"/>
      <c r="AL14" s="16"/>
      <c r="AM14" s="16"/>
      <c r="AN14" s="16"/>
      <c r="AO14" s="16"/>
      <c r="AP14" s="16"/>
      <c r="AQ14" s="16"/>
      <c r="AR14" s="16"/>
      <c r="AS14" s="16"/>
    </row>
    <row r="15" spans="1:47" s="7" customFormat="1" ht="195" customHeight="1">
      <c r="A15" s="27">
        <f>[1]트램표준체크리스트!A13</f>
        <v>11</v>
      </c>
      <c r="B15" s="28" t="str">
        <f>[1]트램표준체크리스트!B13</f>
        <v>철도계획</v>
      </c>
      <c r="C15" s="29" t="str">
        <f>[1]트램표준체크리스트!C13</f>
        <v>골재생산</v>
      </c>
      <c r="D15" s="30" t="str">
        <f>[1]트램표준체크리스트!F13</f>
        <v>크러셔장 운영에 따른 소음/진동 시뮬레이션을 수행하고 인허가 리스크를 검토했는가?</v>
      </c>
      <c r="E15" s="31" t="s">
        <v>72</v>
      </c>
      <c r="F15" s="32" t="str">
        <f t="shared" si="0"/>
        <v>극상</v>
      </c>
      <c r="G15" s="63" t="s">
        <v>40</v>
      </c>
      <c r="H15" s="63" t="s">
        <v>41</v>
      </c>
      <c r="I15" s="34" t="s">
        <v>73</v>
      </c>
      <c r="J15" s="33"/>
      <c r="K15" s="35"/>
      <c r="L15" s="33"/>
      <c r="M15" s="36"/>
      <c r="N15" s="33"/>
      <c r="O15" s="36"/>
      <c r="P15" s="33"/>
      <c r="Q15" s="37"/>
      <c r="R15" s="38"/>
      <c r="S15" s="33"/>
      <c r="T15" s="38"/>
      <c r="U15" s="33"/>
      <c r="V15" s="39"/>
      <c r="W15" s="90" t="b">
        <v>0</v>
      </c>
      <c r="X15" s="90" t="b">
        <v>0</v>
      </c>
      <c r="Y15" s="90" t="b">
        <v>0</v>
      </c>
      <c r="Z15" s="40" t="s">
        <v>74</v>
      </c>
      <c r="AA15" s="41"/>
      <c r="AK15" s="16"/>
      <c r="AL15" s="16"/>
      <c r="AM15" s="16"/>
      <c r="AN15" s="16"/>
      <c r="AO15" s="16"/>
      <c r="AP15" s="16"/>
      <c r="AQ15" s="16"/>
      <c r="AR15" s="16"/>
      <c r="AS15" s="16"/>
    </row>
    <row r="16" spans="1:47" s="7" customFormat="1" ht="195" customHeight="1">
      <c r="A16" s="27">
        <f>[1]트램표준체크리스트!A14</f>
        <v>12</v>
      </c>
      <c r="B16" s="28" t="str">
        <f>[1]트램표준체크리스트!B14</f>
        <v>철도계획</v>
      </c>
      <c r="C16" s="29" t="str">
        <f>[1]트램표준체크리스트!C14</f>
        <v>공기연장</v>
      </c>
      <c r="D16" s="30" t="str">
        <f>[1]트램표준체크리스트!F14</f>
        <v>개발제한구역, 상수원보호구역 등 특수 규제 지역 포함 여부 및 예상 인허가 소요 기간이 공정표(CP)에 반영되었는가?</v>
      </c>
      <c r="E16" s="31" t="s">
        <v>75</v>
      </c>
      <c r="F16" s="32" t="str">
        <f t="shared" si="0"/>
        <v>극상</v>
      </c>
      <c r="G16" s="63" t="s">
        <v>40</v>
      </c>
      <c r="H16" s="63" t="s">
        <v>41</v>
      </c>
      <c r="I16" s="34" t="s">
        <v>76</v>
      </c>
      <c r="J16" s="33"/>
      <c r="K16" s="35"/>
      <c r="L16" s="33"/>
      <c r="M16" s="36"/>
      <c r="N16" s="33"/>
      <c r="O16" s="36"/>
      <c r="P16" s="33"/>
      <c r="Q16" s="37"/>
      <c r="R16" s="38"/>
      <c r="S16" s="33"/>
      <c r="T16" s="38"/>
      <c r="U16" s="33"/>
      <c r="V16" s="39"/>
      <c r="W16" s="90" t="b">
        <v>0</v>
      </c>
      <c r="X16" s="90" t="b">
        <v>0</v>
      </c>
      <c r="Y16" s="90" t="b">
        <v>0</v>
      </c>
      <c r="Z16" s="40" t="s">
        <v>50</v>
      </c>
      <c r="AA16" s="41"/>
      <c r="AK16" s="16"/>
      <c r="AL16" s="16"/>
      <c r="AM16" s="16"/>
      <c r="AN16" s="16"/>
      <c r="AO16" s="16"/>
      <c r="AP16" s="16"/>
      <c r="AQ16" s="16"/>
      <c r="AR16" s="16"/>
      <c r="AS16" s="16"/>
    </row>
    <row r="17" spans="1:45" s="7" customFormat="1" ht="195" customHeight="1">
      <c r="A17" s="27">
        <f>[1]트램표준체크리스트!A15</f>
        <v>13</v>
      </c>
      <c r="B17" s="28" t="str">
        <f>[1]트램표준체크리스트!B15</f>
        <v>철도계획</v>
      </c>
      <c r="C17" s="29" t="str">
        <f>[1]트램표준체크리스트!C15</f>
        <v>관급자재</v>
      </c>
      <c r="D17" s="30" t="str">
        <f>[1]트램표준체크리스트!F15</f>
        <v>주요 자재(철근, 레미콘)의 관급 비율을 조정하여 사급 비중을 늘릴 수 있는지 협의했는가?</v>
      </c>
      <c r="E17" s="31" t="s">
        <v>77</v>
      </c>
      <c r="F17" s="32" t="str">
        <f t="shared" si="0"/>
        <v>극상</v>
      </c>
      <c r="G17" s="63" t="s">
        <v>40</v>
      </c>
      <c r="H17" s="63" t="s">
        <v>41</v>
      </c>
      <c r="I17" s="34" t="s">
        <v>78</v>
      </c>
      <c r="J17" s="33"/>
      <c r="K17" s="35"/>
      <c r="L17" s="33"/>
      <c r="M17" s="36"/>
      <c r="N17" s="33"/>
      <c r="O17" s="36"/>
      <c r="P17" s="33"/>
      <c r="Q17" s="37"/>
      <c r="R17" s="38"/>
      <c r="S17" s="33"/>
      <c r="T17" s="38"/>
      <c r="U17" s="33"/>
      <c r="V17" s="39"/>
      <c r="W17" s="90" t="b">
        <v>0</v>
      </c>
      <c r="X17" s="90" t="b">
        <v>0</v>
      </c>
      <c r="Y17" s="90" t="b">
        <v>0</v>
      </c>
      <c r="Z17" s="40" t="s">
        <v>79</v>
      </c>
      <c r="AA17" s="41"/>
      <c r="AK17" s="16"/>
      <c r="AL17" s="16"/>
      <c r="AM17" s="16"/>
      <c r="AN17" s="16"/>
      <c r="AO17" s="16"/>
      <c r="AP17" s="16"/>
      <c r="AQ17" s="16"/>
      <c r="AR17" s="16"/>
      <c r="AS17" s="16"/>
    </row>
    <row r="18" spans="1:45" s="7" customFormat="1" ht="195" customHeight="1">
      <c r="A18" s="27">
        <f>[1]트램표준체크리스트!A16</f>
        <v>14</v>
      </c>
      <c r="B18" s="28" t="str">
        <f>[1]트램표준체크리스트!B16</f>
        <v>철도계획</v>
      </c>
      <c r="C18" s="29" t="str">
        <f>[1]트램표준체크리스트!C16</f>
        <v>관급자재</v>
      </c>
      <c r="D18" s="30" t="str">
        <f>[1]트램표준체크리스트!F16</f>
        <v>공기 내 조달청 발주 소요 기간(행정 소요)이 충분히 확보되었는가?</v>
      </c>
      <c r="E18" s="31" t="s">
        <v>80</v>
      </c>
      <c r="F18" s="32" t="str">
        <f t="shared" si="0"/>
        <v>극상</v>
      </c>
      <c r="G18" s="63" t="s">
        <v>40</v>
      </c>
      <c r="H18" s="63" t="s">
        <v>41</v>
      </c>
      <c r="I18" s="34" t="s">
        <v>81</v>
      </c>
      <c r="J18" s="33"/>
      <c r="K18" s="35"/>
      <c r="L18" s="33"/>
      <c r="M18" s="36"/>
      <c r="N18" s="33"/>
      <c r="O18" s="36"/>
      <c r="P18" s="33"/>
      <c r="Q18" s="37"/>
      <c r="R18" s="38"/>
      <c r="S18" s="33"/>
      <c r="T18" s="38"/>
      <c r="U18" s="33"/>
      <c r="V18" s="39"/>
      <c r="W18" s="90" t="b">
        <v>0</v>
      </c>
      <c r="X18" s="90" t="b">
        <v>0</v>
      </c>
      <c r="Y18" s="90" t="b">
        <v>0</v>
      </c>
      <c r="Z18" s="40" t="s">
        <v>82</v>
      </c>
      <c r="AA18" s="41"/>
      <c r="AK18" s="16"/>
      <c r="AL18" s="16"/>
      <c r="AM18" s="16"/>
      <c r="AN18" s="16"/>
      <c r="AO18" s="16"/>
      <c r="AP18" s="16"/>
      <c r="AQ18" s="16"/>
      <c r="AR18" s="16"/>
      <c r="AS18" s="16"/>
    </row>
    <row r="19" spans="1:45" s="7" customFormat="1" ht="195" customHeight="1">
      <c r="A19" s="27">
        <f>[1]트램표준체크리스트!A17</f>
        <v>15</v>
      </c>
      <c r="B19" s="28" t="str">
        <f>[1]트램표준체크리스트!B17</f>
        <v>철도계획</v>
      </c>
      <c r="C19" s="29" t="str">
        <f>[1]트램표준체크리스트!C17</f>
        <v>관급자재</v>
      </c>
      <c r="D19" s="30" t="str">
        <f>[1]트램표준체크리스트!F17</f>
        <v>현장 주변에 관급자재 납품 가능한 공장이나 업체가 충분한지 조사했는가?</v>
      </c>
      <c r="E19" s="31" t="s">
        <v>83</v>
      </c>
      <c r="F19" s="32" t="str">
        <f t="shared" si="0"/>
        <v>극상</v>
      </c>
      <c r="G19" s="63" t="s">
        <v>40</v>
      </c>
      <c r="H19" s="63" t="s">
        <v>41</v>
      </c>
      <c r="I19" s="34" t="s">
        <v>84</v>
      </c>
      <c r="J19" s="33"/>
      <c r="K19" s="35"/>
      <c r="L19" s="33"/>
      <c r="M19" s="36"/>
      <c r="N19" s="33"/>
      <c r="O19" s="36"/>
      <c r="P19" s="33"/>
      <c r="Q19" s="37"/>
      <c r="R19" s="38"/>
      <c r="S19" s="33"/>
      <c r="T19" s="38"/>
      <c r="U19" s="33"/>
      <c r="V19" s="39"/>
      <c r="W19" s="90" t="b">
        <v>0</v>
      </c>
      <c r="X19" s="90" t="b">
        <v>0</v>
      </c>
      <c r="Y19" s="90" t="b">
        <v>0</v>
      </c>
      <c r="Z19" s="40" t="s">
        <v>85</v>
      </c>
      <c r="AA19" s="41"/>
      <c r="AK19" s="16"/>
      <c r="AL19" s="16"/>
      <c r="AM19" s="16"/>
      <c r="AN19" s="16"/>
      <c r="AO19" s="16"/>
      <c r="AP19" s="16"/>
      <c r="AQ19" s="16"/>
      <c r="AR19" s="16"/>
      <c r="AS19" s="16"/>
    </row>
    <row r="20" spans="1:45" s="7" customFormat="1" ht="195" customHeight="1">
      <c r="A20" s="27">
        <f>[1]트램표준체크리스트!A18</f>
        <v>16</v>
      </c>
      <c r="B20" s="28" t="str">
        <f>[1]트램표준체크리스트!B18</f>
        <v>철도계획</v>
      </c>
      <c r="C20" s="29" t="str">
        <f>[1]트램표준체크리스트!C18</f>
        <v>관급자재</v>
      </c>
      <c r="D20" s="30" t="str">
        <f>[1]트램표준체크리스트!F18</f>
        <v>관급자재 목록 중 조달청 등록이 말소되거나 생산 중단된 품목은 없는가?</v>
      </c>
      <c r="E20" s="31" t="s">
        <v>86</v>
      </c>
      <c r="F20" s="32" t="str">
        <f t="shared" si="0"/>
        <v>극상</v>
      </c>
      <c r="G20" s="63" t="s">
        <v>40</v>
      </c>
      <c r="H20" s="63" t="s">
        <v>41</v>
      </c>
      <c r="I20" s="34" t="s">
        <v>87</v>
      </c>
      <c r="J20" s="33"/>
      <c r="K20" s="35"/>
      <c r="L20" s="33"/>
      <c r="M20" s="36"/>
      <c r="N20" s="33"/>
      <c r="O20" s="36"/>
      <c r="P20" s="33"/>
      <c r="Q20" s="37"/>
      <c r="R20" s="38"/>
      <c r="S20" s="33"/>
      <c r="T20" s="38"/>
      <c r="U20" s="33"/>
      <c r="V20" s="39"/>
      <c r="W20" s="90" t="b">
        <v>0</v>
      </c>
      <c r="X20" s="90" t="b">
        <v>0</v>
      </c>
      <c r="Y20" s="90" t="b">
        <v>0</v>
      </c>
      <c r="Z20" s="40" t="s">
        <v>88</v>
      </c>
      <c r="AA20" s="41"/>
      <c r="AK20" s="16"/>
      <c r="AL20" s="16"/>
      <c r="AM20" s="16"/>
      <c r="AN20" s="16"/>
      <c r="AO20" s="16"/>
      <c r="AP20" s="16"/>
      <c r="AQ20" s="16"/>
      <c r="AR20" s="16"/>
      <c r="AS20" s="16"/>
    </row>
    <row r="21" spans="1:45" s="7" customFormat="1" ht="195" customHeight="1">
      <c r="A21" s="27">
        <f>[1]트램표준체크리스트!A19</f>
        <v>17</v>
      </c>
      <c r="B21" s="28" t="str">
        <f>[1]트램표준체크리스트!B19</f>
        <v>철도계획</v>
      </c>
      <c r="C21" s="29" t="str">
        <f>[1]트램표준체크리스트!C19</f>
        <v>관급자재</v>
      </c>
      <c r="D21" s="30" t="str">
        <f>[1]트램표준체크리스트!F19</f>
        <v>대량 자재 투입 공정의 경우 자재 공급 중단 시 장비 대기료 산정 기준이 있는가?</v>
      </c>
      <c r="E21" s="31" t="s">
        <v>89</v>
      </c>
      <c r="F21" s="32" t="str">
        <f t="shared" si="0"/>
        <v>극상</v>
      </c>
      <c r="G21" s="63" t="s">
        <v>40</v>
      </c>
      <c r="H21" s="63" t="s">
        <v>41</v>
      </c>
      <c r="I21" s="34" t="s">
        <v>90</v>
      </c>
      <c r="J21" s="33"/>
      <c r="K21" s="35"/>
      <c r="L21" s="33"/>
      <c r="M21" s="36"/>
      <c r="N21" s="33"/>
      <c r="O21" s="36"/>
      <c r="P21" s="33"/>
      <c r="Q21" s="37"/>
      <c r="R21" s="38"/>
      <c r="S21" s="33"/>
      <c r="T21" s="38"/>
      <c r="U21" s="33"/>
      <c r="V21" s="39"/>
      <c r="W21" s="90" t="b">
        <v>0</v>
      </c>
      <c r="X21" s="90" t="b">
        <v>0</v>
      </c>
      <c r="Y21" s="90" t="b">
        <v>0</v>
      </c>
      <c r="Z21" s="40" t="s">
        <v>91</v>
      </c>
      <c r="AA21" s="41"/>
      <c r="AK21" s="16"/>
      <c r="AL21" s="16"/>
      <c r="AM21" s="16"/>
      <c r="AN21" s="16"/>
      <c r="AO21" s="16"/>
      <c r="AP21" s="16"/>
      <c r="AQ21" s="16"/>
      <c r="AR21" s="16"/>
      <c r="AS21" s="16"/>
    </row>
    <row r="22" spans="1:45" s="7" customFormat="1" ht="195" customHeight="1">
      <c r="A22" s="27">
        <f>[1]트램표준체크리스트!A20</f>
        <v>18</v>
      </c>
      <c r="B22" s="28" t="str">
        <f>[1]트램표준체크리스트!B20</f>
        <v>철도계획</v>
      </c>
      <c r="C22" s="29" t="str">
        <f>[1]트램표준체크리스트!C20</f>
        <v>관급자재</v>
      </c>
      <c r="D22" s="30" t="str">
        <f>[1]트램표준체크리스트!F20</f>
        <v>설계 시 발주기관 및 유관기관 인허가 지연으로 인한 자재 투입 시기 순연.에 따른 서종, 팔수 C/H 인허가 지연 및 한전 휴전 일정 변경으로 구조물 공사 지연할 리스크를 검토하였는가?</v>
      </c>
      <c r="E22" s="31" t="s">
        <v>92</v>
      </c>
      <c r="F22" s="32" t="str">
        <f t="shared" si="0"/>
        <v>극상</v>
      </c>
      <c r="G22" s="63" t="s">
        <v>40</v>
      </c>
      <c r="H22" s="63" t="s">
        <v>41</v>
      </c>
      <c r="I22" s="34" t="s">
        <v>93</v>
      </c>
      <c r="J22" s="33"/>
      <c r="K22" s="35"/>
      <c r="L22" s="33"/>
      <c r="M22" s="36"/>
      <c r="N22" s="33"/>
      <c r="O22" s="36"/>
      <c r="P22" s="33"/>
      <c r="Q22" s="37"/>
      <c r="R22" s="38"/>
      <c r="S22" s="33"/>
      <c r="T22" s="38"/>
      <c r="U22" s="33"/>
      <c r="V22" s="39"/>
      <c r="W22" s="90" t="b">
        <v>0</v>
      </c>
      <c r="X22" s="90" t="b">
        <v>0</v>
      </c>
      <c r="Y22" s="90" t="b">
        <v>0</v>
      </c>
      <c r="Z22" s="40" t="s">
        <v>94</v>
      </c>
      <c r="AA22" s="41"/>
      <c r="AK22" s="16"/>
      <c r="AL22" s="16"/>
      <c r="AM22" s="16"/>
      <c r="AN22" s="16"/>
      <c r="AO22" s="16"/>
      <c r="AP22" s="16"/>
      <c r="AQ22" s="16"/>
      <c r="AR22" s="16"/>
      <c r="AS22" s="16"/>
    </row>
    <row r="23" spans="1:45" s="7" customFormat="1" ht="195" customHeight="1">
      <c r="A23" s="27">
        <f>[1]트램표준체크리스트!A21</f>
        <v>19</v>
      </c>
      <c r="B23" s="28" t="str">
        <f>[1]트램표준체크리스트!B21</f>
        <v>철도계획</v>
      </c>
      <c r="C23" s="29" t="str">
        <f>[1]트램표준체크리스트!C21</f>
        <v>관급자재</v>
      </c>
      <c r="D23" s="30" t="str">
        <f>[1]트램표준체크리스트!F21</f>
        <v>설계된 관급자재 품목번호가 현재 조달청 나라장터에서 식별 가능한가?</v>
      </c>
      <c r="E23" s="31" t="s">
        <v>95</v>
      </c>
      <c r="F23" s="32" t="str">
        <f t="shared" si="0"/>
        <v>극상</v>
      </c>
      <c r="G23" s="63" t="s">
        <v>40</v>
      </c>
      <c r="H23" s="63" t="s">
        <v>41</v>
      </c>
      <c r="I23" s="34" t="s">
        <v>96</v>
      </c>
      <c r="J23" s="33"/>
      <c r="K23" s="35"/>
      <c r="L23" s="33"/>
      <c r="M23" s="36"/>
      <c r="N23" s="33"/>
      <c r="O23" s="36"/>
      <c r="P23" s="33"/>
      <c r="Q23" s="37"/>
      <c r="R23" s="38"/>
      <c r="S23" s="33"/>
      <c r="T23" s="38"/>
      <c r="U23" s="33"/>
      <c r="V23" s="39"/>
      <c r="W23" s="90" t="b">
        <v>0</v>
      </c>
      <c r="X23" s="90" t="b">
        <v>0</v>
      </c>
      <c r="Y23" s="90" t="b">
        <v>0</v>
      </c>
      <c r="Z23" s="40" t="s">
        <v>97</v>
      </c>
      <c r="AA23" s="41"/>
      <c r="AK23" s="16"/>
      <c r="AL23" s="16"/>
      <c r="AM23" s="16"/>
      <c r="AN23" s="16"/>
      <c r="AO23" s="16"/>
      <c r="AP23" s="16"/>
      <c r="AQ23" s="16"/>
      <c r="AR23" s="16"/>
      <c r="AS23" s="16"/>
    </row>
    <row r="24" spans="1:45" s="7" customFormat="1" ht="195" customHeight="1">
      <c r="A24" s="27">
        <f>[1]트램표준체크리스트!A22</f>
        <v>20</v>
      </c>
      <c r="B24" s="28" t="str">
        <f>[1]트램표준체크리스트!B22</f>
        <v>철도계획</v>
      </c>
      <c r="C24" s="29" t="str">
        <f>[1]트램표준체크리스트!C22</f>
        <v>교량공사(FCM)</v>
      </c>
      <c r="D24" s="30" t="str">
        <f>[1]트램표준체크리스트!F22</f>
        <v>특수교량(FCM 등)의 주요 구조부 설계 적정성을 착공 전 검증했는가?</v>
      </c>
      <c r="E24" s="31" t="s">
        <v>98</v>
      </c>
      <c r="F24" s="32" t="str">
        <f t="shared" si="0"/>
        <v>극상</v>
      </c>
      <c r="G24" s="63" t="s">
        <v>40</v>
      </c>
      <c r="H24" s="63" t="s">
        <v>41</v>
      </c>
      <c r="I24" s="34" t="s">
        <v>99</v>
      </c>
      <c r="J24" s="33"/>
      <c r="K24" s="35"/>
      <c r="L24" s="33"/>
      <c r="M24" s="36"/>
      <c r="N24" s="33"/>
      <c r="O24" s="36"/>
      <c r="P24" s="33"/>
      <c r="Q24" s="37"/>
      <c r="R24" s="38"/>
      <c r="S24" s="33"/>
      <c r="T24" s="38"/>
      <c r="U24" s="33"/>
      <c r="V24" s="39"/>
      <c r="W24" s="90" t="b">
        <v>0</v>
      </c>
      <c r="X24" s="90" t="b">
        <v>0</v>
      </c>
      <c r="Y24" s="90" t="b">
        <v>0</v>
      </c>
      <c r="Z24" s="40" t="s">
        <v>100</v>
      </c>
      <c r="AA24" s="41"/>
      <c r="AK24" s="16"/>
      <c r="AL24" s="16"/>
      <c r="AM24" s="16"/>
      <c r="AN24" s="16"/>
      <c r="AO24" s="16"/>
      <c r="AP24" s="16"/>
      <c r="AQ24" s="16"/>
      <c r="AR24" s="16"/>
      <c r="AS24" s="16"/>
    </row>
    <row r="25" spans="1:45" s="7" customFormat="1" ht="195" customHeight="1">
      <c r="A25" s="27">
        <f>[1]트램표준체크리스트!A23</f>
        <v>21</v>
      </c>
      <c r="B25" s="28" t="str">
        <f>[1]트램표준체크리스트!B23</f>
        <v>철도계획</v>
      </c>
      <c r="C25" s="29" t="str">
        <f>[1]트램표준체크리스트!C23</f>
        <v>교통처리(접속부)</v>
      </c>
      <c r="D25" s="30" t="str">
        <f>[1]트램표준체크리스트!F23</f>
        <v>교통량이 많은 도로 접속 공사에 대해 야간 할증 및 작업 시간 제한(단시간)이 적용되었는가?</v>
      </c>
      <c r="E25" s="31" t="s">
        <v>101</v>
      </c>
      <c r="F25" s="32" t="str">
        <f t="shared" si="0"/>
        <v>극상</v>
      </c>
      <c r="G25" s="63" t="s">
        <v>40</v>
      </c>
      <c r="H25" s="63" t="s">
        <v>41</v>
      </c>
      <c r="I25" s="34" t="s">
        <v>102</v>
      </c>
      <c r="J25" s="33"/>
      <c r="K25" s="35"/>
      <c r="L25" s="33"/>
      <c r="M25" s="36"/>
      <c r="N25" s="33"/>
      <c r="O25" s="36"/>
      <c r="P25" s="33"/>
      <c r="Q25" s="37"/>
      <c r="R25" s="38"/>
      <c r="S25" s="33"/>
      <c r="T25" s="38"/>
      <c r="U25" s="33"/>
      <c r="V25" s="39"/>
      <c r="W25" s="90" t="b">
        <v>0</v>
      </c>
      <c r="X25" s="90" t="b">
        <v>0</v>
      </c>
      <c r="Y25" s="90" t="b">
        <v>0</v>
      </c>
      <c r="Z25" s="40" t="s">
        <v>103</v>
      </c>
      <c r="AA25" s="41"/>
      <c r="AK25" s="16"/>
      <c r="AL25" s="16"/>
      <c r="AM25" s="16"/>
      <c r="AN25" s="16"/>
      <c r="AO25" s="16"/>
      <c r="AP25" s="16"/>
      <c r="AQ25" s="16"/>
      <c r="AR25" s="16"/>
      <c r="AS25" s="16"/>
    </row>
    <row r="26" spans="1:45" s="7" customFormat="1" ht="195" customHeight="1">
      <c r="A26" s="27">
        <f>[1]트램표준체크리스트!A24</f>
        <v>22</v>
      </c>
      <c r="B26" s="28" t="str">
        <f>[1]트램표준체크리스트!B24</f>
        <v>철도계획</v>
      </c>
      <c r="C26" s="29" t="str">
        <f>[1]트램표준체크리스트!C24</f>
        <v>구조물공</v>
      </c>
      <c r="D26" s="30" t="str">
        <f>[1]트램표준체크리스트!F24</f>
        <v>연약지반 구간의 보상 지연 시 이를 만회할 공법(PC, 프리로딩 생략 등)이 있는가?</v>
      </c>
      <c r="E26" s="31" t="s">
        <v>104</v>
      </c>
      <c r="F26" s="32" t="str">
        <f t="shared" si="0"/>
        <v>극상</v>
      </c>
      <c r="G26" s="63" t="s">
        <v>40</v>
      </c>
      <c r="H26" s="63" t="s">
        <v>41</v>
      </c>
      <c r="I26" s="34" t="s">
        <v>105</v>
      </c>
      <c r="J26" s="33"/>
      <c r="K26" s="35"/>
      <c r="L26" s="33"/>
      <c r="M26" s="36"/>
      <c r="N26" s="33"/>
      <c r="O26" s="36"/>
      <c r="P26" s="33"/>
      <c r="Q26" s="37"/>
      <c r="R26" s="38"/>
      <c r="S26" s="33"/>
      <c r="T26" s="38"/>
      <c r="U26" s="33"/>
      <c r="V26" s="39"/>
      <c r="W26" s="90" t="b">
        <v>0</v>
      </c>
      <c r="X26" s="90" t="b">
        <v>0</v>
      </c>
      <c r="Y26" s="90" t="b">
        <v>0</v>
      </c>
      <c r="Z26" s="40" t="s">
        <v>106</v>
      </c>
      <c r="AA26" s="41"/>
      <c r="AK26" s="16"/>
      <c r="AL26" s="16"/>
      <c r="AM26" s="16"/>
      <c r="AN26" s="16"/>
      <c r="AO26" s="16"/>
      <c r="AP26" s="16"/>
      <c r="AQ26" s="16"/>
      <c r="AR26" s="16"/>
      <c r="AS26" s="16"/>
    </row>
    <row r="27" spans="1:45" s="7" customFormat="1" ht="195" customHeight="1">
      <c r="A27" s="27">
        <f>[1]트램표준체크리스트!A25</f>
        <v>23</v>
      </c>
      <c r="B27" s="28" t="str">
        <f>[1]트램표준체크리스트!B25</f>
        <v>철도계획</v>
      </c>
      <c r="C27" s="29" t="str">
        <f>[1]트램표준체크리스트!C25</f>
        <v>단계별교통처리</v>
      </c>
      <c r="D27" s="30" t="str">
        <f>[1]트램표준체크리스트!F25</f>
        <v>주요 도로 횡단 시 단계별 교통 처리(Traffic Diversion) 도면이 있는가?</v>
      </c>
      <c r="E27" s="31" t="s">
        <v>107</v>
      </c>
      <c r="F27" s="32" t="str">
        <f t="shared" si="0"/>
        <v>극상</v>
      </c>
      <c r="G27" s="63" t="s">
        <v>40</v>
      </c>
      <c r="H27" s="63" t="s">
        <v>41</v>
      </c>
      <c r="I27" s="34" t="s">
        <v>108</v>
      </c>
      <c r="J27" s="33"/>
      <c r="K27" s="35"/>
      <c r="L27" s="33"/>
      <c r="M27" s="36"/>
      <c r="N27" s="33"/>
      <c r="O27" s="36"/>
      <c r="P27" s="33"/>
      <c r="Q27" s="37"/>
      <c r="R27" s="38"/>
      <c r="S27" s="33"/>
      <c r="T27" s="38"/>
      <c r="U27" s="33"/>
      <c r="V27" s="39"/>
      <c r="W27" s="90" t="b">
        <v>0</v>
      </c>
      <c r="X27" s="90" t="b">
        <v>0</v>
      </c>
      <c r="Y27" s="90" t="b">
        <v>0</v>
      </c>
      <c r="Z27" s="40" t="s">
        <v>109</v>
      </c>
      <c r="AA27" s="41"/>
      <c r="AK27" s="16"/>
      <c r="AL27" s="16"/>
      <c r="AM27" s="16"/>
      <c r="AN27" s="16"/>
      <c r="AO27" s="16"/>
      <c r="AP27" s="16"/>
      <c r="AQ27" s="16"/>
      <c r="AR27" s="16"/>
      <c r="AS27" s="16"/>
    </row>
    <row r="28" spans="1:45" s="7" customFormat="1" ht="195" customHeight="1">
      <c r="A28" s="27">
        <f>[1]트램표준체크리스트!A26</f>
        <v>24</v>
      </c>
      <c r="B28" s="28" t="str">
        <f>[1]트램표준체크리스트!B26</f>
        <v>철도계획</v>
      </c>
      <c r="C28" s="29" t="str">
        <f>[1]트램표준체크리스트!C26</f>
        <v>대행비용</v>
      </c>
      <c r="D28" s="30" t="str">
        <f>[1]트램표준체크리스트!F26</f>
        <v>설계 시 발주기관 업무이나 처리 지연 시 책임준공 기한 미준수 리스크 발생.에 따른 사용승인(준공)을 위한 지적확정측량 및 산지복구 인허가 지연 우려할 리스크를 검토하였는가?</v>
      </c>
      <c r="E28" s="31" t="s">
        <v>110</v>
      </c>
      <c r="F28" s="32" t="str">
        <f t="shared" si="0"/>
        <v>극상</v>
      </c>
      <c r="G28" s="63" t="s">
        <v>40</v>
      </c>
      <c r="H28" s="63" t="s">
        <v>41</v>
      </c>
      <c r="I28" s="34" t="s">
        <v>111</v>
      </c>
      <c r="J28" s="33"/>
      <c r="K28" s="35"/>
      <c r="L28" s="33"/>
      <c r="M28" s="36"/>
      <c r="N28" s="33"/>
      <c r="O28" s="36"/>
      <c r="P28" s="33"/>
      <c r="Q28" s="37"/>
      <c r="R28" s="38"/>
      <c r="S28" s="33"/>
      <c r="T28" s="38"/>
      <c r="U28" s="33"/>
      <c r="V28" s="39"/>
      <c r="W28" s="90" t="b">
        <v>0</v>
      </c>
      <c r="X28" s="90" t="b">
        <v>0</v>
      </c>
      <c r="Y28" s="90" t="b">
        <v>0</v>
      </c>
      <c r="Z28" s="40" t="s">
        <v>112</v>
      </c>
      <c r="AA28" s="41"/>
      <c r="AK28" s="16"/>
      <c r="AL28" s="16"/>
      <c r="AM28" s="16"/>
      <c r="AN28" s="16"/>
      <c r="AO28" s="16"/>
      <c r="AP28" s="16"/>
      <c r="AQ28" s="16"/>
      <c r="AR28" s="16"/>
      <c r="AS28" s="16"/>
    </row>
    <row r="29" spans="1:45" s="7" customFormat="1" ht="195" customHeight="1">
      <c r="A29" s="27">
        <f>[1]트램표준체크리스트!A27</f>
        <v>25</v>
      </c>
      <c r="B29" s="28" t="str">
        <f>[1]트램표준체크리스트!B27</f>
        <v>철도계획</v>
      </c>
      <c r="C29" s="29" t="str">
        <f>[1]트램표준체크리스트!C27</f>
        <v>돌관공사</v>
      </c>
      <c r="D29" s="30" t="str">
        <f>[1]트램표준체크리스트!F27</f>
        <v>설계 시 사업성 확보를 위한 발주기관(시행사)의 무리한 공정 단축 요구.에 따른 발주기관의 조기 개장 요청으로 인해 공기 단축이 필요함할 리스크를 검토하였는가?</v>
      </c>
      <c r="E29" s="31" t="s">
        <v>113</v>
      </c>
      <c r="F29" s="32" t="str">
        <f t="shared" si="0"/>
        <v>극상</v>
      </c>
      <c r="G29" s="63" t="s">
        <v>40</v>
      </c>
      <c r="H29" s="63" t="s">
        <v>41</v>
      </c>
      <c r="I29" s="34" t="s">
        <v>114</v>
      </c>
      <c r="J29" s="33"/>
      <c r="K29" s="35"/>
      <c r="L29" s="33"/>
      <c r="M29" s="36"/>
      <c r="N29" s="33"/>
      <c r="O29" s="36"/>
      <c r="P29" s="33"/>
      <c r="Q29" s="37"/>
      <c r="R29" s="38"/>
      <c r="S29" s="33"/>
      <c r="T29" s="38"/>
      <c r="U29" s="33"/>
      <c r="V29" s="39"/>
      <c r="W29" s="90" t="b">
        <v>0</v>
      </c>
      <c r="X29" s="90" t="b">
        <v>0</v>
      </c>
      <c r="Y29" s="90" t="b">
        <v>0</v>
      </c>
      <c r="Z29" s="40" t="s">
        <v>65</v>
      </c>
      <c r="AA29" s="41"/>
      <c r="AK29" s="16"/>
      <c r="AL29" s="16"/>
      <c r="AM29" s="16"/>
      <c r="AN29" s="16"/>
      <c r="AO29" s="16"/>
      <c r="AP29" s="16"/>
      <c r="AQ29" s="16"/>
      <c r="AR29" s="16"/>
      <c r="AS29" s="16"/>
    </row>
    <row r="30" spans="1:45" s="7" customFormat="1" ht="195" customHeight="1">
      <c r="A30" s="27">
        <f>[1]트램표준체크리스트!A28</f>
        <v>26</v>
      </c>
      <c r="B30" s="28" t="str">
        <f>[1]트램표준체크리스트!B28</f>
        <v>철도계획</v>
      </c>
      <c r="C30" s="29" t="str">
        <f>[1]트램표준체크리스트!C28</f>
        <v>민원보상</v>
      </c>
      <c r="D30" s="30" t="str">
        <f>[1]트램표준체크리스트!F28</f>
        <v>사업 부지 내 잔존하는 영업 시설(공장, 종교시설)의 현황과 예상 보상비가 사업비에 책정되었는가?</v>
      </c>
      <c r="E30" s="31" t="s">
        <v>115</v>
      </c>
      <c r="F30" s="32" t="str">
        <f t="shared" si="0"/>
        <v>극상</v>
      </c>
      <c r="G30" s="63" t="s">
        <v>40</v>
      </c>
      <c r="H30" s="63" t="s">
        <v>41</v>
      </c>
      <c r="I30" s="34" t="s">
        <v>116</v>
      </c>
      <c r="J30" s="33"/>
      <c r="K30" s="35"/>
      <c r="L30" s="33"/>
      <c r="M30" s="36"/>
      <c r="N30" s="33"/>
      <c r="O30" s="36"/>
      <c r="P30" s="33"/>
      <c r="Q30" s="37"/>
      <c r="R30" s="38"/>
      <c r="S30" s="33"/>
      <c r="T30" s="38"/>
      <c r="U30" s="33"/>
      <c r="V30" s="39"/>
      <c r="W30" s="90" t="b">
        <v>0</v>
      </c>
      <c r="X30" s="90" t="b">
        <v>0</v>
      </c>
      <c r="Y30" s="90" t="b">
        <v>0</v>
      </c>
      <c r="Z30" s="40" t="s">
        <v>117</v>
      </c>
      <c r="AA30" s="41"/>
      <c r="AK30" s="16"/>
      <c r="AL30" s="16"/>
      <c r="AM30" s="16"/>
      <c r="AN30" s="16"/>
      <c r="AO30" s="16"/>
      <c r="AP30" s="16"/>
      <c r="AQ30" s="16"/>
      <c r="AR30" s="16"/>
      <c r="AS30" s="16"/>
    </row>
    <row r="31" spans="1:45" s="7" customFormat="1" ht="195" customHeight="1">
      <c r="A31" s="27">
        <f>[1]트램표준체크리스트!A29</f>
        <v>27</v>
      </c>
      <c r="B31" s="28" t="str">
        <f>[1]트램표준체크리스트!B29</f>
        <v>철도계획</v>
      </c>
      <c r="C31" s="29" t="str">
        <f>[1]트램표준체크리스트!C29</f>
        <v>민원보상</v>
      </c>
      <c r="D31" s="30" t="str">
        <f>[1]트램표준체크리스트!F29</f>
        <v>설계 시 민원인이 요구하는 보상금(추가 예산)과 감정가(추가 예산)의 차이로 관할청(남원시) 협의 난항.에 따른 모노레일 도착지 구간에 편입되는 식당(영업장) 이전 보상 문제로 공사 불가할 리스크를 검토하였는가?</v>
      </c>
      <c r="E31" s="31" t="s">
        <v>118</v>
      </c>
      <c r="F31" s="32" t="str">
        <f t="shared" si="0"/>
        <v>극상</v>
      </c>
      <c r="G31" s="63" t="s">
        <v>40</v>
      </c>
      <c r="H31" s="63" t="s">
        <v>41</v>
      </c>
      <c r="I31" s="34" t="s">
        <v>119</v>
      </c>
      <c r="J31" s="33"/>
      <c r="K31" s="35"/>
      <c r="L31" s="33"/>
      <c r="M31" s="36"/>
      <c r="N31" s="33"/>
      <c r="O31" s="36"/>
      <c r="P31" s="33"/>
      <c r="Q31" s="37"/>
      <c r="R31" s="38"/>
      <c r="S31" s="33"/>
      <c r="T31" s="38"/>
      <c r="U31" s="33"/>
      <c r="V31" s="39"/>
      <c r="W31" s="90" t="b">
        <v>0</v>
      </c>
      <c r="X31" s="90" t="b">
        <v>0</v>
      </c>
      <c r="Y31" s="90" t="b">
        <v>0</v>
      </c>
      <c r="Z31" s="40" t="s">
        <v>117</v>
      </c>
      <c r="AA31" s="41"/>
      <c r="AK31" s="16"/>
      <c r="AL31" s="16"/>
      <c r="AM31" s="16"/>
      <c r="AN31" s="16"/>
      <c r="AO31" s="16"/>
      <c r="AP31" s="16"/>
      <c r="AQ31" s="16"/>
      <c r="AR31" s="16"/>
      <c r="AS31" s="16"/>
    </row>
    <row r="32" spans="1:45" s="7" customFormat="1" ht="195" customHeight="1">
      <c r="A32" s="27">
        <f>[1]트램표준체크리스트!A30</f>
        <v>28</v>
      </c>
      <c r="B32" s="28" t="str">
        <f>[1]트램표준체크리스트!B30</f>
        <v>철도계획</v>
      </c>
      <c r="C32" s="29" t="str">
        <f>[1]트램표준체크리스트!C30</f>
        <v>민원보상</v>
      </c>
      <c r="D32" s="30" t="str">
        <f>[1]트램표준체크리스트!F30</f>
        <v>설계 시 시행사의 민원 보상 협의 지연 및 책임준공 기한 압박.에 따른 와이어로프 설치 공정 진행 시 간섭되는 편의점 철거가 시급함할 리스크를 검토하였는가?</v>
      </c>
      <c r="E32" s="31" t="s">
        <v>120</v>
      </c>
      <c r="F32" s="32" t="str">
        <f t="shared" si="0"/>
        <v>극상</v>
      </c>
      <c r="G32" s="63" t="s">
        <v>40</v>
      </c>
      <c r="H32" s="63" t="s">
        <v>41</v>
      </c>
      <c r="I32" s="34" t="s">
        <v>121</v>
      </c>
      <c r="J32" s="33"/>
      <c r="K32" s="35"/>
      <c r="L32" s="33"/>
      <c r="M32" s="36"/>
      <c r="N32" s="33"/>
      <c r="O32" s="36"/>
      <c r="P32" s="33"/>
      <c r="Q32" s="37"/>
      <c r="R32" s="38"/>
      <c r="S32" s="33"/>
      <c r="T32" s="38"/>
      <c r="U32" s="33"/>
      <c r="V32" s="39"/>
      <c r="W32" s="90" t="b">
        <v>0</v>
      </c>
      <c r="X32" s="90" t="b">
        <v>0</v>
      </c>
      <c r="Y32" s="90" t="b">
        <v>0</v>
      </c>
      <c r="Z32" s="40" t="s">
        <v>122</v>
      </c>
      <c r="AA32" s="41"/>
      <c r="AK32" s="16"/>
      <c r="AL32" s="16"/>
      <c r="AM32" s="16"/>
      <c r="AN32" s="16"/>
      <c r="AO32" s="16"/>
      <c r="AP32" s="16"/>
      <c r="AQ32" s="16"/>
      <c r="AR32" s="16"/>
      <c r="AS32" s="16"/>
    </row>
    <row r="33" spans="1:45" s="7" customFormat="1" ht="195" customHeight="1">
      <c r="A33" s="27">
        <f>[1]트램표준체크리스트!A31</f>
        <v>29</v>
      </c>
      <c r="B33" s="28" t="str">
        <f>[1]트램표준체크리스트!B31</f>
        <v>철도계획</v>
      </c>
      <c r="C33" s="29" t="str">
        <f>[1]트램표준체크리스트!C31</f>
        <v>민원보상</v>
      </c>
      <c r="D33" s="30" t="str">
        <f>[1]트램표준체크리스트!F31</f>
        <v>흙막이 앵커가 인접 사유지를 침범하는지 지적도와 대조하고, 침범 시 보상비 또는 제거식 앵커 비용을 반영했는가?</v>
      </c>
      <c r="E33" s="31" t="s">
        <v>123</v>
      </c>
      <c r="F33" s="32" t="str">
        <f t="shared" si="0"/>
        <v>극상</v>
      </c>
      <c r="G33" s="63" t="s">
        <v>40</v>
      </c>
      <c r="H33" s="63" t="s">
        <v>41</v>
      </c>
      <c r="I33" s="34" t="s">
        <v>124</v>
      </c>
      <c r="J33" s="33"/>
      <c r="K33" s="35"/>
      <c r="L33" s="33"/>
      <c r="M33" s="36"/>
      <c r="N33" s="33"/>
      <c r="O33" s="36"/>
      <c r="P33" s="33"/>
      <c r="Q33" s="37"/>
      <c r="R33" s="38"/>
      <c r="S33" s="33"/>
      <c r="T33" s="38"/>
      <c r="U33" s="33"/>
      <c r="V33" s="39"/>
      <c r="W33" s="90" t="b">
        <v>0</v>
      </c>
      <c r="X33" s="90" t="b">
        <v>0</v>
      </c>
      <c r="Y33" s="90" t="b">
        <v>0</v>
      </c>
      <c r="Z33" s="40" t="s">
        <v>125</v>
      </c>
      <c r="AA33" s="41"/>
      <c r="AK33" s="16"/>
      <c r="AL33" s="16"/>
      <c r="AM33" s="16"/>
      <c r="AN33" s="16"/>
      <c r="AO33" s="16"/>
      <c r="AP33" s="16"/>
      <c r="AQ33" s="16"/>
      <c r="AR33" s="16"/>
      <c r="AS33" s="16"/>
    </row>
    <row r="34" spans="1:45" s="7" customFormat="1" ht="195" customHeight="1">
      <c r="A34" s="27">
        <f>[1]트램표준체크리스트!A32</f>
        <v>30</v>
      </c>
      <c r="B34" s="28" t="str">
        <f>[1]트램표준체크리스트!B32</f>
        <v>철도계획</v>
      </c>
      <c r="C34" s="29" t="str">
        <f>[1]트램표준체크리스트!C32</f>
        <v>민원보상</v>
      </c>
      <c r="D34" s="30" t="str">
        <f>[1]트램표준체크리스트!F32</f>
        <v>용지 보상 내역에 분묘 이장비(유연/무연)가 별도로 책정되어 있는가?</v>
      </c>
      <c r="E34" s="31" t="s">
        <v>126</v>
      </c>
      <c r="F34" s="32" t="str">
        <f t="shared" si="0"/>
        <v>극상</v>
      </c>
      <c r="G34" s="63" t="s">
        <v>40</v>
      </c>
      <c r="H34" s="63" t="s">
        <v>41</v>
      </c>
      <c r="I34" s="34" t="s">
        <v>127</v>
      </c>
      <c r="J34" s="33"/>
      <c r="K34" s="35"/>
      <c r="L34" s="33"/>
      <c r="M34" s="36"/>
      <c r="N34" s="33"/>
      <c r="O34" s="36"/>
      <c r="P34" s="33"/>
      <c r="Q34" s="37"/>
      <c r="R34" s="38"/>
      <c r="S34" s="33"/>
      <c r="T34" s="38"/>
      <c r="U34" s="33"/>
      <c r="V34" s="39"/>
      <c r="W34" s="90" t="b">
        <v>0</v>
      </c>
      <c r="X34" s="90" t="b">
        <v>0</v>
      </c>
      <c r="Y34" s="90" t="b">
        <v>0</v>
      </c>
      <c r="Z34" s="40" t="s">
        <v>128</v>
      </c>
      <c r="AA34" s="41"/>
      <c r="AK34" s="16"/>
      <c r="AL34" s="16"/>
      <c r="AM34" s="16"/>
      <c r="AN34" s="16"/>
      <c r="AO34" s="16"/>
      <c r="AP34" s="16"/>
      <c r="AQ34" s="16"/>
      <c r="AR34" s="16"/>
      <c r="AS34" s="16"/>
    </row>
    <row r="35" spans="1:45" s="7" customFormat="1" ht="195" customHeight="1">
      <c r="A35" s="27">
        <f>[1]트램표준체크리스트!A33</f>
        <v>31</v>
      </c>
      <c r="B35" s="28" t="str">
        <f>[1]트램표준체크리스트!B33</f>
        <v>철도계획</v>
      </c>
      <c r="C35" s="29" t="str">
        <f>[1]트램표준체크리스트!C33</f>
        <v>민원보상</v>
      </c>
      <c r="D35" s="30" t="str">
        <f>[1]트램표준체크리스트!F33</f>
        <v>설계 시 어업권 피해 보상 요구 및 작업 방해.에 따른 어촌계의 피해보상 요구 집회(3회) 및 민원으로 해상 공사 중단할 리스크를 검토하였는가?</v>
      </c>
      <c r="E35" s="31" t="s">
        <v>129</v>
      </c>
      <c r="F35" s="32" t="str">
        <f t="shared" si="0"/>
        <v>극상</v>
      </c>
      <c r="G35" s="63" t="s">
        <v>40</v>
      </c>
      <c r="H35" s="63" t="s">
        <v>41</v>
      </c>
      <c r="I35" s="34" t="s">
        <v>130</v>
      </c>
      <c r="J35" s="33"/>
      <c r="K35" s="35"/>
      <c r="L35" s="33"/>
      <c r="M35" s="36"/>
      <c r="N35" s="33"/>
      <c r="O35" s="36"/>
      <c r="P35" s="33"/>
      <c r="Q35" s="37"/>
      <c r="R35" s="38"/>
      <c r="S35" s="33"/>
      <c r="T35" s="38"/>
      <c r="U35" s="33"/>
      <c r="V35" s="39"/>
      <c r="W35" s="90" t="b">
        <v>0</v>
      </c>
      <c r="X35" s="90" t="b">
        <v>0</v>
      </c>
      <c r="Y35" s="90" t="b">
        <v>0</v>
      </c>
      <c r="Z35" s="40" t="s">
        <v>131</v>
      </c>
      <c r="AA35" s="41"/>
      <c r="AK35" s="16"/>
      <c r="AL35" s="16"/>
      <c r="AM35" s="16"/>
      <c r="AN35" s="16"/>
      <c r="AO35" s="16"/>
      <c r="AP35" s="16"/>
      <c r="AQ35" s="16"/>
      <c r="AR35" s="16"/>
      <c r="AS35" s="16"/>
    </row>
    <row r="36" spans="1:45" s="7" customFormat="1" ht="195" customHeight="1">
      <c r="A36" s="27">
        <f>[1]트램표준체크리스트!A34</f>
        <v>32</v>
      </c>
      <c r="B36" s="28" t="str">
        <f>[1]트램표준체크리스트!B34</f>
        <v>철도계획</v>
      </c>
      <c r="C36" s="29" t="str">
        <f>[1]트램표준체크리스트!C34</f>
        <v>민원보상</v>
      </c>
      <c r="D36" s="30" t="str">
        <f>[1]트램표준체크리스트!F34</f>
        <v>공사 구역 경계선에 걸친 잔여지 현황을 파악하고, 민원 발생 소지가 있는 토지주 리스트를 관리하는가?</v>
      </c>
      <c r="E36" s="31" t="s">
        <v>132</v>
      </c>
      <c r="F36" s="32" t="str">
        <f t="shared" si="0"/>
        <v>극상</v>
      </c>
      <c r="G36" s="63" t="s">
        <v>40</v>
      </c>
      <c r="H36" s="63" t="s">
        <v>41</v>
      </c>
      <c r="I36" s="34" t="s">
        <v>133</v>
      </c>
      <c r="J36" s="33"/>
      <c r="K36" s="35"/>
      <c r="L36" s="33"/>
      <c r="M36" s="36"/>
      <c r="N36" s="33"/>
      <c r="O36" s="36"/>
      <c r="P36" s="33"/>
      <c r="Q36" s="37"/>
      <c r="R36" s="38"/>
      <c r="S36" s="33"/>
      <c r="T36" s="38"/>
      <c r="U36" s="33"/>
      <c r="V36" s="39"/>
      <c r="W36" s="90" t="b">
        <v>0</v>
      </c>
      <c r="X36" s="90" t="b">
        <v>0</v>
      </c>
      <c r="Y36" s="90" t="b">
        <v>0</v>
      </c>
      <c r="Z36" s="40" t="s">
        <v>134</v>
      </c>
      <c r="AA36" s="41"/>
      <c r="AK36" s="16"/>
      <c r="AL36" s="16"/>
      <c r="AM36" s="16"/>
      <c r="AN36" s="16"/>
      <c r="AO36" s="16"/>
      <c r="AP36" s="16"/>
      <c r="AQ36" s="16"/>
      <c r="AR36" s="16"/>
      <c r="AS36" s="16"/>
    </row>
    <row r="37" spans="1:45" s="7" customFormat="1" ht="195" customHeight="1">
      <c r="A37" s="27">
        <f>[1]트램표준체크리스트!A35</f>
        <v>33</v>
      </c>
      <c r="B37" s="28" t="str">
        <f>[1]트램표준체크리스트!B35</f>
        <v>철도계획</v>
      </c>
      <c r="C37" s="29" t="str">
        <f>[1]트램표준체크리스트!C35</f>
        <v>배수공사</v>
      </c>
      <c r="D37" s="30" t="str">
        <f>[1]트램표준체크리스트!F35</f>
        <v>배수관로 및 측구의 계획선이 용지 경계 내에 완전히 포함되는지 확인했는가?</v>
      </c>
      <c r="E37" s="31" t="s">
        <v>135</v>
      </c>
      <c r="F37" s="32" t="str">
        <f t="shared" si="0"/>
        <v>극상</v>
      </c>
      <c r="G37" s="63" t="s">
        <v>40</v>
      </c>
      <c r="H37" s="63" t="s">
        <v>41</v>
      </c>
      <c r="I37" s="34" t="s">
        <v>136</v>
      </c>
      <c r="J37" s="33"/>
      <c r="K37" s="35"/>
      <c r="L37" s="33"/>
      <c r="M37" s="36"/>
      <c r="N37" s="33"/>
      <c r="O37" s="36"/>
      <c r="P37" s="33"/>
      <c r="Q37" s="37"/>
      <c r="R37" s="38"/>
      <c r="S37" s="33"/>
      <c r="T37" s="38"/>
      <c r="U37" s="33"/>
      <c r="V37" s="39"/>
      <c r="W37" s="90" t="b">
        <v>0</v>
      </c>
      <c r="X37" s="90" t="b">
        <v>0</v>
      </c>
      <c r="Y37" s="90" t="b">
        <v>0</v>
      </c>
      <c r="Z37" s="40" t="s">
        <v>137</v>
      </c>
      <c r="AA37" s="41"/>
      <c r="AK37" s="16"/>
      <c r="AL37" s="16"/>
      <c r="AM37" s="16"/>
      <c r="AN37" s="16"/>
      <c r="AO37" s="16"/>
      <c r="AP37" s="16"/>
      <c r="AQ37" s="16"/>
      <c r="AR37" s="16"/>
      <c r="AS37" s="16"/>
    </row>
    <row r="38" spans="1:45" s="7" customFormat="1" ht="195" customHeight="1">
      <c r="A38" s="27">
        <f>[1]트램표준체크리스트!A36</f>
        <v>34</v>
      </c>
      <c r="B38" s="28" t="str">
        <f>[1]트램표준체크리스트!B36</f>
        <v>철도계획</v>
      </c>
      <c r="C38" s="29" t="str">
        <f>[1]트램표준체크리스트!C36</f>
        <v>복공판 및Set Back</v>
      </c>
      <c r="D38" s="30" t="str">
        <f>[1]트램표준체크리스트!F36</f>
        <v>복공판 접속부 덧씌우기(Slopping) 및 보도 축소(Set-back) 계획이 있는가?</v>
      </c>
      <c r="E38" s="31" t="s">
        <v>138</v>
      </c>
      <c r="F38" s="32" t="str">
        <f t="shared" si="0"/>
        <v>극상</v>
      </c>
      <c r="G38" s="63" t="s">
        <v>40</v>
      </c>
      <c r="H38" s="63" t="s">
        <v>41</v>
      </c>
      <c r="I38" s="34" t="s">
        <v>139</v>
      </c>
      <c r="J38" s="33"/>
      <c r="K38" s="35"/>
      <c r="L38" s="33"/>
      <c r="M38" s="36"/>
      <c r="N38" s="33"/>
      <c r="O38" s="36"/>
      <c r="P38" s="33"/>
      <c r="Q38" s="37"/>
      <c r="R38" s="38"/>
      <c r="S38" s="33"/>
      <c r="T38" s="38"/>
      <c r="U38" s="33"/>
      <c r="V38" s="39"/>
      <c r="W38" s="90" t="b">
        <v>0</v>
      </c>
      <c r="X38" s="90" t="b">
        <v>0</v>
      </c>
      <c r="Y38" s="90" t="b">
        <v>0</v>
      </c>
      <c r="Z38" s="40" t="s">
        <v>140</v>
      </c>
      <c r="AA38" s="41"/>
      <c r="AK38" s="16"/>
      <c r="AL38" s="16"/>
      <c r="AM38" s="16"/>
      <c r="AN38" s="16"/>
      <c r="AO38" s="16"/>
      <c r="AP38" s="16"/>
      <c r="AQ38" s="16"/>
      <c r="AR38" s="16"/>
      <c r="AS38" s="16"/>
    </row>
    <row r="39" spans="1:45" s="7" customFormat="1" ht="195" customHeight="1">
      <c r="A39" s="27">
        <f>[1]트램표준체크리스트!A37</f>
        <v>35</v>
      </c>
      <c r="B39" s="28" t="str">
        <f>[1]트램표준체크리스트!B37</f>
        <v>철도계획</v>
      </c>
      <c r="C39" s="29" t="str">
        <f>[1]트램표준체크리스트!C37</f>
        <v>부대시설</v>
      </c>
      <c r="D39" s="30" t="str">
        <f>[1]트램표준체크리스트!F37</f>
        <v>배수펌프장 등 필수 운영 시설의 가동 기간이 전체 공사 기간과 연동되어 있는가?</v>
      </c>
      <c r="E39" s="31" t="s">
        <v>141</v>
      </c>
      <c r="F39" s="32" t="str">
        <f t="shared" ref="F39:F69" si="1">_xlfn.LET(
_xlpm.v_발생, IF(ISNUMBER(SEARCH("빈번", G39)), "상",
IF(ISNUMBER(SEARCH("거의", G39)), "하", "중")),
_xlpm.v_영향, IF(ISNUMBER(SEARCH("1개월", H39)), "상",
IF(ISNUMBER(SEARCH("없음", H39)), "하", "중")),
IF(AND(_xlpm.v_발생="상", _xlpm.v_영향="상"), "극상",
IF(OR(_xlpm.v_발생="상", _xlpm.v_영향="상"), "상",
IF(AND(_xlpm.v_발생="하", _xlpm.v_영향="하"), "하",
"중")))
)</f>
        <v>극상</v>
      </c>
      <c r="G39" s="63" t="s">
        <v>40</v>
      </c>
      <c r="H39" s="63" t="s">
        <v>41</v>
      </c>
      <c r="I39" s="34" t="s">
        <v>142</v>
      </c>
      <c r="J39" s="33"/>
      <c r="K39" s="35"/>
      <c r="L39" s="33"/>
      <c r="M39" s="36"/>
      <c r="N39" s="33"/>
      <c r="O39" s="36"/>
      <c r="P39" s="33"/>
      <c r="Q39" s="37"/>
      <c r="R39" s="38"/>
      <c r="S39" s="33"/>
      <c r="T39" s="38"/>
      <c r="U39" s="33"/>
      <c r="V39" s="39"/>
      <c r="W39" s="90" t="b">
        <v>0</v>
      </c>
      <c r="X39" s="90" t="b">
        <v>0</v>
      </c>
      <c r="Y39" s="90" t="b">
        <v>0</v>
      </c>
      <c r="Z39" s="40" t="s">
        <v>65</v>
      </c>
      <c r="AA39" s="41"/>
      <c r="AK39" s="16"/>
      <c r="AL39" s="16"/>
      <c r="AM39" s="16"/>
      <c r="AN39" s="16"/>
      <c r="AO39" s="16"/>
      <c r="AP39" s="16"/>
      <c r="AQ39" s="16"/>
      <c r="AR39" s="16"/>
      <c r="AS39" s="16"/>
    </row>
    <row r="40" spans="1:45" s="7" customFormat="1" ht="195" customHeight="1">
      <c r="A40" s="27">
        <f>[1]트램표준체크리스트!A38</f>
        <v>36</v>
      </c>
      <c r="B40" s="28" t="str">
        <f>[1]트램표준체크리스트!B38</f>
        <v>철도계획</v>
      </c>
      <c r="C40" s="29" t="str">
        <f>[1]트램표준체크리스트!C38</f>
        <v>불허대응</v>
      </c>
      <c r="D40" s="30" t="str">
        <f>[1]트램표준체크리스트!F38</f>
        <v>B/P장, 사토장 등 주요 가설 부지의 인허가(점용, 매립) 가능 여부를 확인했는가?</v>
      </c>
      <c r="E40" s="31" t="s">
        <v>143</v>
      </c>
      <c r="F40" s="32" t="str">
        <f t="shared" si="1"/>
        <v>극상</v>
      </c>
      <c r="G40" s="63" t="s">
        <v>40</v>
      </c>
      <c r="H40" s="63" t="s">
        <v>41</v>
      </c>
      <c r="I40" s="34" t="s">
        <v>144</v>
      </c>
      <c r="J40" s="33"/>
      <c r="K40" s="35"/>
      <c r="L40" s="33"/>
      <c r="M40" s="36"/>
      <c r="N40" s="33"/>
      <c r="O40" s="36"/>
      <c r="P40" s="33"/>
      <c r="Q40" s="37"/>
      <c r="R40" s="38"/>
      <c r="S40" s="33"/>
      <c r="T40" s="38"/>
      <c r="U40" s="33"/>
      <c r="V40" s="39"/>
      <c r="W40" s="90" t="b">
        <v>0</v>
      </c>
      <c r="X40" s="90" t="b">
        <v>0</v>
      </c>
      <c r="Y40" s="90" t="b">
        <v>0</v>
      </c>
      <c r="Z40" s="40" t="s">
        <v>145</v>
      </c>
      <c r="AA40" s="41"/>
      <c r="AK40" s="16"/>
      <c r="AL40" s="16"/>
      <c r="AM40" s="16"/>
      <c r="AN40" s="16"/>
      <c r="AO40" s="16"/>
      <c r="AP40" s="16"/>
      <c r="AQ40" s="16"/>
      <c r="AR40" s="16"/>
      <c r="AS40" s="16"/>
    </row>
    <row r="41" spans="1:45" s="7" customFormat="1" ht="195" customHeight="1">
      <c r="A41" s="27">
        <f>[1]트램표준체크리스트!A39</f>
        <v>37</v>
      </c>
      <c r="B41" s="28" t="str">
        <f>[1]트램표준체크리스트!B39</f>
        <v>철도계획</v>
      </c>
      <c r="C41" s="29" t="str">
        <f>[1]트램표준체크리스트!C39</f>
        <v>불허대응</v>
      </c>
      <c r="D41" s="30" t="str">
        <f>[1]트램표준체크리스트!F39</f>
        <v>관로 매설 경로상 인허가 난이도가 높은 구간(제방, 사유지)이 있는지 확인했는가?</v>
      </c>
      <c r="E41" s="31" t="s">
        <v>146</v>
      </c>
      <c r="F41" s="32" t="str">
        <f t="shared" si="1"/>
        <v>극상</v>
      </c>
      <c r="G41" s="63" t="s">
        <v>40</v>
      </c>
      <c r="H41" s="63" t="s">
        <v>41</v>
      </c>
      <c r="I41" s="34" t="s">
        <v>147</v>
      </c>
      <c r="J41" s="33"/>
      <c r="K41" s="35"/>
      <c r="L41" s="33"/>
      <c r="M41" s="36"/>
      <c r="N41" s="33"/>
      <c r="O41" s="36"/>
      <c r="P41" s="33"/>
      <c r="Q41" s="37"/>
      <c r="R41" s="38"/>
      <c r="S41" s="33"/>
      <c r="T41" s="38"/>
      <c r="U41" s="33"/>
      <c r="V41" s="39"/>
      <c r="W41" s="90" t="b">
        <v>0</v>
      </c>
      <c r="X41" s="90" t="b">
        <v>0</v>
      </c>
      <c r="Y41" s="90" t="b">
        <v>0</v>
      </c>
      <c r="Z41" s="40" t="s">
        <v>148</v>
      </c>
      <c r="AA41" s="41"/>
      <c r="AK41" s="16"/>
      <c r="AL41" s="16"/>
      <c r="AM41" s="16"/>
      <c r="AN41" s="16"/>
      <c r="AO41" s="16"/>
      <c r="AP41" s="16"/>
      <c r="AQ41" s="16"/>
      <c r="AR41" s="16"/>
      <c r="AS41" s="16"/>
    </row>
    <row r="42" spans="1:45" s="7" customFormat="1" ht="195" customHeight="1">
      <c r="A42" s="27">
        <f>[1]트램표준체크리스트!A40</f>
        <v>38</v>
      </c>
      <c r="B42" s="28" t="str">
        <f>[1]트램표준체크리스트!B40</f>
        <v>철도계획</v>
      </c>
      <c r="C42" s="29" t="str">
        <f>[1]트램표준체크리스트!C40</f>
        <v>사토장</v>
      </c>
      <c r="D42" s="30" t="str">
        <f>[1]트램표준체크리스트!F40</f>
        <v>사토장/토취장의 인허가 완료 여부를 확인하고, 미확정 시 예비 후보지까지 운반거리를 검토했는가?</v>
      </c>
      <c r="E42" s="31" t="s">
        <v>149</v>
      </c>
      <c r="F42" s="32" t="str">
        <f t="shared" si="1"/>
        <v>극상</v>
      </c>
      <c r="G42" s="63" t="s">
        <v>40</v>
      </c>
      <c r="H42" s="63" t="s">
        <v>41</v>
      </c>
      <c r="I42" s="34" t="s">
        <v>150</v>
      </c>
      <c r="J42" s="33"/>
      <c r="K42" s="35"/>
      <c r="L42" s="33"/>
      <c r="M42" s="36"/>
      <c r="N42" s="33"/>
      <c r="O42" s="36"/>
      <c r="P42" s="33"/>
      <c r="Q42" s="37"/>
      <c r="R42" s="38"/>
      <c r="S42" s="33"/>
      <c r="T42" s="38"/>
      <c r="U42" s="33"/>
      <c r="V42" s="39"/>
      <c r="W42" s="90" t="b">
        <v>0</v>
      </c>
      <c r="X42" s="90" t="b">
        <v>0</v>
      </c>
      <c r="Y42" s="90" t="b">
        <v>0</v>
      </c>
      <c r="Z42" s="40" t="s">
        <v>151</v>
      </c>
      <c r="AA42" s="41"/>
      <c r="AK42" s="16"/>
      <c r="AL42" s="16"/>
      <c r="AM42" s="16"/>
      <c r="AN42" s="16"/>
      <c r="AO42" s="16"/>
      <c r="AP42" s="16"/>
      <c r="AQ42" s="16"/>
      <c r="AR42" s="16"/>
      <c r="AS42" s="16"/>
    </row>
    <row r="43" spans="1:45" s="7" customFormat="1" ht="195" customHeight="1">
      <c r="A43" s="27">
        <f>[1]트램표준체크리스트!A41</f>
        <v>39</v>
      </c>
      <c r="B43" s="28" t="str">
        <f>[1]트램표준체크리스트!B41</f>
        <v>철도계획</v>
      </c>
      <c r="C43" s="29" t="str">
        <f>[1]트램표준체크리스트!C41</f>
        <v>안전시설물복구</v>
      </c>
      <c r="D43" s="30" t="str">
        <f>[1]트램표준체크리스트!F41</f>
        <v>교통 시설물의 '이설'뿐만 아니라 '복구(신설 포함)' 비용이 내역에 있는가?</v>
      </c>
      <c r="E43" s="31" t="s">
        <v>152</v>
      </c>
      <c r="F43" s="32" t="str">
        <f t="shared" si="1"/>
        <v>극상</v>
      </c>
      <c r="G43" s="63" t="s">
        <v>40</v>
      </c>
      <c r="H43" s="63" t="s">
        <v>41</v>
      </c>
      <c r="I43" s="34" t="s">
        <v>153</v>
      </c>
      <c r="J43" s="33"/>
      <c r="K43" s="35"/>
      <c r="L43" s="33"/>
      <c r="M43" s="36"/>
      <c r="N43" s="33"/>
      <c r="O43" s="36"/>
      <c r="P43" s="33"/>
      <c r="Q43" s="37"/>
      <c r="R43" s="38"/>
      <c r="S43" s="33"/>
      <c r="T43" s="38"/>
      <c r="U43" s="33"/>
      <c r="V43" s="39"/>
      <c r="W43" s="90" t="b">
        <v>0</v>
      </c>
      <c r="X43" s="90" t="b">
        <v>0</v>
      </c>
      <c r="Y43" s="90" t="b">
        <v>0</v>
      </c>
      <c r="Z43" s="40" t="s">
        <v>154</v>
      </c>
      <c r="AA43" s="41"/>
      <c r="AK43" s="16"/>
      <c r="AL43" s="16"/>
      <c r="AM43" s="16"/>
      <c r="AN43" s="16"/>
      <c r="AO43" s="16"/>
      <c r="AP43" s="16"/>
      <c r="AQ43" s="16"/>
      <c r="AR43" s="16"/>
      <c r="AS43" s="16"/>
    </row>
    <row r="44" spans="1:45" s="7" customFormat="1" ht="195" customHeight="1">
      <c r="A44" s="27">
        <f>[1]트램표준체크리스트!A42</f>
        <v>40</v>
      </c>
      <c r="B44" s="28" t="str">
        <f>[1]트램표준체크리스트!B42</f>
        <v>철도계획</v>
      </c>
      <c r="C44" s="29" t="str">
        <f>[1]트램표준체크리스트!C42</f>
        <v>야간공사</v>
      </c>
      <c r="D44" s="30" t="str">
        <f>[1]트램표준체크리스트!F42</f>
        <v>운행선 인접 공사의 작업 가능 시간(차단 시간)을 고려하여 공기가 산정되었는가?</v>
      </c>
      <c r="E44" s="31" t="s">
        <v>155</v>
      </c>
      <c r="F44" s="32" t="str">
        <f t="shared" si="1"/>
        <v>극상</v>
      </c>
      <c r="G44" s="63" t="s">
        <v>40</v>
      </c>
      <c r="H44" s="63" t="s">
        <v>41</v>
      </c>
      <c r="I44" s="34" t="s">
        <v>156</v>
      </c>
      <c r="J44" s="33"/>
      <c r="K44" s="35"/>
      <c r="L44" s="33"/>
      <c r="M44" s="36"/>
      <c r="N44" s="33"/>
      <c r="O44" s="36"/>
      <c r="P44" s="33"/>
      <c r="Q44" s="37"/>
      <c r="R44" s="38"/>
      <c r="S44" s="33"/>
      <c r="T44" s="38"/>
      <c r="U44" s="33"/>
      <c r="V44" s="39"/>
      <c r="W44" s="90" t="b">
        <v>0</v>
      </c>
      <c r="X44" s="90" t="b">
        <v>0</v>
      </c>
      <c r="Y44" s="90" t="b">
        <v>0</v>
      </c>
      <c r="Z44" s="40" t="s">
        <v>65</v>
      </c>
      <c r="AA44" s="41"/>
      <c r="AK44" s="16"/>
      <c r="AL44" s="16"/>
      <c r="AM44" s="16"/>
      <c r="AN44" s="16"/>
      <c r="AO44" s="16"/>
      <c r="AP44" s="16"/>
      <c r="AQ44" s="16"/>
      <c r="AR44" s="16"/>
      <c r="AS44" s="16"/>
    </row>
    <row r="45" spans="1:45" s="7" customFormat="1" ht="195" customHeight="1">
      <c r="A45" s="27">
        <f>[1]트램표준체크리스트!A43</f>
        <v>41</v>
      </c>
      <c r="B45" s="28" t="str">
        <f>[1]트램표준체크리스트!B43</f>
        <v>철도계획</v>
      </c>
      <c r="C45" s="29" t="str">
        <f>[1]트램표준체크리스트!C43</f>
        <v>용역비</v>
      </c>
      <c r="D45" s="30" t="str">
        <f>[1]트램표준체크리스트!F43</f>
        <v>도로구역 결정, 지형도면 고시 등 행정 처리 용역비가 내역에 반영되었는가?</v>
      </c>
      <c r="E45" s="31" t="s">
        <v>157</v>
      </c>
      <c r="F45" s="32" t="str">
        <f t="shared" si="1"/>
        <v>극상</v>
      </c>
      <c r="G45" s="63" t="s">
        <v>40</v>
      </c>
      <c r="H45" s="63" t="s">
        <v>41</v>
      </c>
      <c r="I45" s="34" t="s">
        <v>158</v>
      </c>
      <c r="J45" s="33"/>
      <c r="K45" s="35"/>
      <c r="L45" s="33"/>
      <c r="M45" s="36"/>
      <c r="N45" s="33"/>
      <c r="O45" s="36"/>
      <c r="P45" s="33"/>
      <c r="Q45" s="37"/>
      <c r="R45" s="38"/>
      <c r="S45" s="33"/>
      <c r="T45" s="38"/>
      <c r="U45" s="33"/>
      <c r="V45" s="39"/>
      <c r="W45" s="90" t="b">
        <v>0</v>
      </c>
      <c r="X45" s="90" t="b">
        <v>0</v>
      </c>
      <c r="Y45" s="90" t="b">
        <v>0</v>
      </c>
      <c r="Z45" s="40" t="s">
        <v>65</v>
      </c>
      <c r="AA45" s="41"/>
      <c r="AK45" s="16"/>
      <c r="AL45" s="16"/>
      <c r="AM45" s="16"/>
      <c r="AN45" s="16"/>
      <c r="AO45" s="16"/>
      <c r="AP45" s="16"/>
      <c r="AQ45" s="16"/>
      <c r="AR45" s="16"/>
      <c r="AS45" s="16"/>
    </row>
    <row r="46" spans="1:45" s="7" customFormat="1" ht="195" customHeight="1">
      <c r="A46" s="27">
        <f>[1]트램표준체크리스트!A44</f>
        <v>42</v>
      </c>
      <c r="B46" s="28" t="str">
        <f>[1]트램표준체크리스트!B44</f>
        <v>철도계획</v>
      </c>
      <c r="C46" s="29" t="str">
        <f>[1]트램표준체크리스트!C44</f>
        <v>용역비</v>
      </c>
      <c r="D46" s="30" t="str">
        <f>[1]트램표준체크리스트!F44</f>
        <v>사업 부지 내 농업진흥구역, 보전산지 포함 여부와 해제 용역비 반영 여부를 확인했는가?</v>
      </c>
      <c r="E46" s="31" t="s">
        <v>159</v>
      </c>
      <c r="F46" s="32" t="str">
        <f t="shared" si="1"/>
        <v>극상</v>
      </c>
      <c r="G46" s="63" t="s">
        <v>40</v>
      </c>
      <c r="H46" s="63" t="s">
        <v>41</v>
      </c>
      <c r="I46" s="34" t="s">
        <v>160</v>
      </c>
      <c r="J46" s="33"/>
      <c r="K46" s="35"/>
      <c r="L46" s="33"/>
      <c r="M46" s="36"/>
      <c r="N46" s="33"/>
      <c r="O46" s="36"/>
      <c r="P46" s="33"/>
      <c r="Q46" s="37"/>
      <c r="R46" s="38"/>
      <c r="S46" s="33"/>
      <c r="T46" s="38"/>
      <c r="U46" s="33"/>
      <c r="V46" s="39"/>
      <c r="W46" s="90" t="b">
        <v>0</v>
      </c>
      <c r="X46" s="90" t="b">
        <v>0</v>
      </c>
      <c r="Y46" s="90" t="b">
        <v>0</v>
      </c>
      <c r="Z46" s="40" t="s">
        <v>161</v>
      </c>
      <c r="AA46" s="41"/>
      <c r="AK46" s="16"/>
      <c r="AL46" s="16"/>
      <c r="AM46" s="16"/>
      <c r="AN46" s="16"/>
      <c r="AO46" s="16"/>
      <c r="AP46" s="16"/>
      <c r="AQ46" s="16"/>
      <c r="AR46" s="16"/>
      <c r="AS46" s="16"/>
    </row>
    <row r="47" spans="1:45" s="7" customFormat="1" ht="195" customHeight="1">
      <c r="A47" s="27">
        <f>[1]트램표준체크리스트!A45</f>
        <v>43</v>
      </c>
      <c r="B47" s="28" t="str">
        <f>[1]트램표준체크리스트!B45</f>
        <v>철도계획</v>
      </c>
      <c r="C47" s="29" t="str">
        <f>[1]트램표준체크리스트!C45</f>
        <v>용역비</v>
      </c>
      <c r="D47" s="30" t="str">
        <f>[1]트램표준체크리스트!F45</f>
        <v>설계 시 도로구역 추가 편입 및 해제 발생.에 따른 민원 및 해당 노선 여건 변동으로 도로구역 변경 결정고시(3차) 필요할 리스크를 검토하였는가?</v>
      </c>
      <c r="E47" s="31" t="s">
        <v>162</v>
      </c>
      <c r="F47" s="32" t="str">
        <f t="shared" si="1"/>
        <v>극상</v>
      </c>
      <c r="G47" s="63" t="s">
        <v>40</v>
      </c>
      <c r="H47" s="63" t="s">
        <v>41</v>
      </c>
      <c r="I47" s="34" t="s">
        <v>163</v>
      </c>
      <c r="J47" s="33"/>
      <c r="K47" s="35"/>
      <c r="L47" s="33"/>
      <c r="M47" s="36"/>
      <c r="N47" s="33"/>
      <c r="O47" s="36"/>
      <c r="P47" s="33"/>
      <c r="Q47" s="37"/>
      <c r="R47" s="38"/>
      <c r="S47" s="33"/>
      <c r="T47" s="38"/>
      <c r="U47" s="33"/>
      <c r="V47" s="39"/>
      <c r="W47" s="90" t="b">
        <v>0</v>
      </c>
      <c r="X47" s="90" t="b">
        <v>0</v>
      </c>
      <c r="Y47" s="90" t="b">
        <v>0</v>
      </c>
      <c r="Z47" s="40" t="s">
        <v>164</v>
      </c>
      <c r="AA47" s="41"/>
      <c r="AK47" s="16"/>
      <c r="AL47" s="16"/>
      <c r="AM47" s="16"/>
      <c r="AN47" s="16"/>
      <c r="AO47" s="16"/>
      <c r="AP47" s="16"/>
      <c r="AQ47" s="16"/>
      <c r="AR47" s="16"/>
      <c r="AS47" s="16"/>
    </row>
    <row r="48" spans="1:45" s="7" customFormat="1" ht="195" customHeight="1">
      <c r="A48" s="27">
        <f>[1]트램표준체크리스트!A46</f>
        <v>44</v>
      </c>
      <c r="B48" s="28" t="str">
        <f>[1]트램표준체크리스트!B46</f>
        <v>철도계획</v>
      </c>
      <c r="C48" s="29" t="str">
        <f>[1]트램표준체크리스트!C46</f>
        <v>용역비</v>
      </c>
      <c r="D48" s="30" t="str">
        <f>[1]트램표준체크리스트!F46</f>
        <v>설계 시 낙석 사고 후 공사 중지 및 재개를 위한 안정성 입증 요구.에 따른 붕괴위험지역(인근 산) 인접 공사 재개를 위한 안전성 검토 용역 필요할 리스크를 검토하였는가?</v>
      </c>
      <c r="E48" s="31" t="s">
        <v>165</v>
      </c>
      <c r="F48" s="32" t="str">
        <f t="shared" si="1"/>
        <v>극상</v>
      </c>
      <c r="G48" s="63" t="s">
        <v>40</v>
      </c>
      <c r="H48" s="63" t="s">
        <v>41</v>
      </c>
      <c r="I48" s="34" t="s">
        <v>166</v>
      </c>
      <c r="J48" s="33"/>
      <c r="K48" s="35"/>
      <c r="L48" s="33"/>
      <c r="M48" s="36"/>
      <c r="N48" s="33"/>
      <c r="O48" s="36"/>
      <c r="P48" s="33"/>
      <c r="Q48" s="37"/>
      <c r="R48" s="38"/>
      <c r="S48" s="33"/>
      <c r="T48" s="38"/>
      <c r="U48" s="33"/>
      <c r="V48" s="39"/>
      <c r="W48" s="90" t="b">
        <v>0</v>
      </c>
      <c r="X48" s="90" t="b">
        <v>0</v>
      </c>
      <c r="Y48" s="90" t="b">
        <v>0</v>
      </c>
      <c r="Z48" s="40" t="s">
        <v>151</v>
      </c>
      <c r="AA48" s="41"/>
      <c r="AK48" s="16"/>
      <c r="AL48" s="16"/>
      <c r="AM48" s="16"/>
      <c r="AN48" s="16"/>
      <c r="AO48" s="16"/>
      <c r="AP48" s="16"/>
      <c r="AQ48" s="16"/>
      <c r="AR48" s="16"/>
      <c r="AS48" s="16"/>
    </row>
    <row r="49" spans="1:45" s="7" customFormat="1" ht="195" customHeight="1">
      <c r="A49" s="27">
        <f>[1]트램표준체크리스트!A47</f>
        <v>45</v>
      </c>
      <c r="B49" s="28" t="str">
        <f>[1]트램표준체크리스트!B47</f>
        <v>철도계획</v>
      </c>
      <c r="C49" s="29" t="str">
        <f>[1]트램표준체크리스트!C47</f>
        <v>우회도로(Diversion)</v>
      </c>
      <c r="D49" s="30" t="str">
        <f>[1]트램표준체크리스트!F47</f>
        <v>교통 전환의 모든 단계별(Phase 1, 2, 3...) 토공 및 포장 물량이 합산되었는가?</v>
      </c>
      <c r="E49" s="31" t="s">
        <v>167</v>
      </c>
      <c r="F49" s="32" t="str">
        <f t="shared" si="1"/>
        <v>극상</v>
      </c>
      <c r="G49" s="63" t="s">
        <v>40</v>
      </c>
      <c r="H49" s="63" t="s">
        <v>41</v>
      </c>
      <c r="I49" s="34" t="s">
        <v>168</v>
      </c>
      <c r="J49" s="33"/>
      <c r="K49" s="35"/>
      <c r="L49" s="33"/>
      <c r="M49" s="36"/>
      <c r="N49" s="33"/>
      <c r="O49" s="36"/>
      <c r="P49" s="33"/>
      <c r="Q49" s="37"/>
      <c r="R49" s="38"/>
      <c r="S49" s="33"/>
      <c r="T49" s="38"/>
      <c r="U49" s="33"/>
      <c r="V49" s="39"/>
      <c r="W49" s="90" t="b">
        <v>0</v>
      </c>
      <c r="X49" s="90" t="b">
        <v>0</v>
      </c>
      <c r="Y49" s="90" t="b">
        <v>0</v>
      </c>
      <c r="Z49" s="40" t="s">
        <v>169</v>
      </c>
      <c r="AA49" s="41"/>
      <c r="AK49" s="16"/>
      <c r="AL49" s="16"/>
      <c r="AM49" s="16"/>
      <c r="AN49" s="16"/>
      <c r="AO49" s="16"/>
      <c r="AP49" s="16"/>
      <c r="AQ49" s="16"/>
      <c r="AR49" s="16"/>
      <c r="AS49" s="16"/>
    </row>
    <row r="50" spans="1:45" s="7" customFormat="1" ht="195" customHeight="1">
      <c r="A50" s="27">
        <f>[1]트램표준체크리스트!A48</f>
        <v>46</v>
      </c>
      <c r="B50" s="28" t="str">
        <f>[1]트램표준체크리스트!B48</f>
        <v>철도계획</v>
      </c>
      <c r="C50" s="29" t="str">
        <f>[1]트램표준체크리스트!C48</f>
        <v>잔여지</v>
      </c>
      <c r="D50" s="30" t="str">
        <f>[1]트램표준체크리스트!F48</f>
        <v>용지 경계선에 걸쳐있는 토지(잔여지) 현황을 파악하고 민원 발생 가능성을 리스트업 했는가?</v>
      </c>
      <c r="E50" s="31" t="s">
        <v>170</v>
      </c>
      <c r="F50" s="32" t="str">
        <f t="shared" si="1"/>
        <v>극상</v>
      </c>
      <c r="G50" s="63" t="s">
        <v>40</v>
      </c>
      <c r="H50" s="63" t="s">
        <v>41</v>
      </c>
      <c r="I50" s="34" t="s">
        <v>171</v>
      </c>
      <c r="J50" s="33"/>
      <c r="K50" s="35"/>
      <c r="L50" s="33"/>
      <c r="M50" s="36"/>
      <c r="N50" s="33"/>
      <c r="O50" s="36"/>
      <c r="P50" s="33"/>
      <c r="Q50" s="37"/>
      <c r="R50" s="38"/>
      <c r="S50" s="33"/>
      <c r="T50" s="38"/>
      <c r="U50" s="33"/>
      <c r="V50" s="39"/>
      <c r="W50" s="90" t="b">
        <v>0</v>
      </c>
      <c r="X50" s="90" t="b">
        <v>0</v>
      </c>
      <c r="Y50" s="90" t="b">
        <v>0</v>
      </c>
      <c r="Z50" s="40" t="s">
        <v>172</v>
      </c>
      <c r="AA50" s="41"/>
      <c r="AK50" s="16"/>
      <c r="AL50" s="16"/>
      <c r="AM50" s="16"/>
      <c r="AN50" s="16"/>
      <c r="AO50" s="16"/>
      <c r="AP50" s="16"/>
      <c r="AQ50" s="16"/>
      <c r="AR50" s="16"/>
      <c r="AS50" s="16"/>
    </row>
    <row r="51" spans="1:45" s="7" customFormat="1" ht="195" customHeight="1">
      <c r="A51" s="27">
        <f>[1]트램표준체크리스트!A49</f>
        <v>47</v>
      </c>
      <c r="B51" s="28" t="str">
        <f>[1]트램표준체크리스트!B49</f>
        <v>철도계획</v>
      </c>
      <c r="C51" s="29" t="str">
        <f>[1]트램표준체크리스트!C49</f>
        <v>전력구</v>
      </c>
      <c r="D51" s="30" t="str">
        <f>[1]트램표준체크리스트!F49</f>
        <v>사유지 통과 구간의 공사 기간(점용 기간)이 토지주의 수용 가능한 범위인지 검토했는가?</v>
      </c>
      <c r="E51" s="31" t="s">
        <v>173</v>
      </c>
      <c r="F51" s="32" t="str">
        <f t="shared" si="1"/>
        <v>극상</v>
      </c>
      <c r="G51" s="63" t="s">
        <v>40</v>
      </c>
      <c r="H51" s="63" t="s">
        <v>41</v>
      </c>
      <c r="I51" s="34" t="s">
        <v>174</v>
      </c>
      <c r="J51" s="33"/>
      <c r="K51" s="35"/>
      <c r="L51" s="33"/>
      <c r="M51" s="36"/>
      <c r="N51" s="33"/>
      <c r="O51" s="36"/>
      <c r="P51" s="33"/>
      <c r="Q51" s="37"/>
      <c r="R51" s="38"/>
      <c r="S51" s="33"/>
      <c r="T51" s="38"/>
      <c r="U51" s="33"/>
      <c r="V51" s="39"/>
      <c r="W51" s="90" t="b">
        <v>0</v>
      </c>
      <c r="X51" s="90" t="b">
        <v>0</v>
      </c>
      <c r="Y51" s="90" t="b">
        <v>0</v>
      </c>
      <c r="Z51" s="40" t="s">
        <v>175</v>
      </c>
      <c r="AA51" s="41"/>
      <c r="AK51" s="16"/>
      <c r="AL51" s="16"/>
      <c r="AM51" s="16"/>
      <c r="AN51" s="16"/>
      <c r="AO51" s="16"/>
      <c r="AP51" s="16"/>
      <c r="AQ51" s="16"/>
      <c r="AR51" s="16"/>
      <c r="AS51" s="16"/>
    </row>
    <row r="52" spans="1:45" s="7" customFormat="1" ht="195" customHeight="1">
      <c r="A52" s="27">
        <f>[1]트램표준체크리스트!A50</f>
        <v>48</v>
      </c>
      <c r="B52" s="28" t="str">
        <f>[1]트램표준체크리스트!B50</f>
        <v>철도계획</v>
      </c>
      <c r="C52" s="29" t="str">
        <f>[1]트램표준체크리스트!C50</f>
        <v>조건이행</v>
      </c>
      <c r="D52" s="30" t="str">
        <f>[1]트램표준체크리스트!F50</f>
        <v>발파 허가 예상 조건(시간 제한, 소음 기준)이 공사비 산출 근거(사이클 타임)에 반영되었는가?</v>
      </c>
      <c r="E52" s="31" t="s">
        <v>176</v>
      </c>
      <c r="F52" s="32" t="str">
        <f t="shared" si="1"/>
        <v>극상</v>
      </c>
      <c r="G52" s="63" t="s">
        <v>40</v>
      </c>
      <c r="H52" s="63" t="s">
        <v>41</v>
      </c>
      <c r="I52" s="34" t="s">
        <v>177</v>
      </c>
      <c r="J52" s="33"/>
      <c r="K52" s="35"/>
      <c r="L52" s="33"/>
      <c r="M52" s="36"/>
      <c r="N52" s="33"/>
      <c r="O52" s="36"/>
      <c r="P52" s="33"/>
      <c r="Q52" s="37"/>
      <c r="R52" s="38"/>
      <c r="S52" s="33"/>
      <c r="T52" s="38"/>
      <c r="U52" s="33"/>
      <c r="V52" s="39"/>
      <c r="W52" s="90" t="b">
        <v>0</v>
      </c>
      <c r="X52" s="90" t="b">
        <v>0</v>
      </c>
      <c r="Y52" s="90" t="b">
        <v>0</v>
      </c>
      <c r="Z52" s="40" t="s">
        <v>178</v>
      </c>
      <c r="AA52" s="41"/>
      <c r="AK52" s="16"/>
      <c r="AL52" s="16"/>
      <c r="AM52" s="16"/>
      <c r="AN52" s="16"/>
      <c r="AO52" s="16"/>
      <c r="AP52" s="16"/>
      <c r="AQ52" s="16"/>
      <c r="AR52" s="16"/>
      <c r="AS52" s="16"/>
    </row>
    <row r="53" spans="1:45" s="7" customFormat="1" ht="195" customHeight="1">
      <c r="A53" s="27">
        <f>[1]트램표준체크리스트!A51</f>
        <v>49</v>
      </c>
      <c r="B53" s="28" t="str">
        <f>[1]트램표준체크리스트!B51</f>
        <v>철도계획</v>
      </c>
      <c r="C53" s="29" t="str">
        <f>[1]트램표준체크리스트!C51</f>
        <v>조건이행</v>
      </c>
      <c r="D53" s="30" t="str">
        <f>[1]트램표준체크리스트!F51</f>
        <v>가설 도로/점용 구간에 대한 유관기관의 안전 시설물 요구 수준(가드레일, 신호수)을 확인했는가?</v>
      </c>
      <c r="E53" s="31" t="s">
        <v>179</v>
      </c>
      <c r="F53" s="32" t="str">
        <f t="shared" si="1"/>
        <v>극상</v>
      </c>
      <c r="G53" s="63" t="s">
        <v>40</v>
      </c>
      <c r="H53" s="63" t="s">
        <v>41</v>
      </c>
      <c r="I53" s="34" t="s">
        <v>180</v>
      </c>
      <c r="J53" s="33"/>
      <c r="K53" s="35"/>
      <c r="L53" s="33"/>
      <c r="M53" s="36"/>
      <c r="N53" s="33"/>
      <c r="O53" s="36"/>
      <c r="P53" s="33"/>
      <c r="Q53" s="37"/>
      <c r="R53" s="38"/>
      <c r="S53" s="33"/>
      <c r="T53" s="38"/>
      <c r="U53" s="33"/>
      <c r="V53" s="39"/>
      <c r="W53" s="90" t="b">
        <v>0</v>
      </c>
      <c r="X53" s="90" t="b">
        <v>0</v>
      </c>
      <c r="Y53" s="90" t="b">
        <v>0</v>
      </c>
      <c r="Z53" s="40" t="s">
        <v>181</v>
      </c>
      <c r="AA53" s="41"/>
      <c r="AK53" s="16"/>
      <c r="AL53" s="16"/>
      <c r="AM53" s="16"/>
      <c r="AN53" s="16"/>
      <c r="AO53" s="16"/>
      <c r="AP53" s="16"/>
      <c r="AQ53" s="16"/>
      <c r="AR53" s="16"/>
      <c r="AS53" s="16"/>
    </row>
    <row r="54" spans="1:45" s="7" customFormat="1" ht="195" customHeight="1">
      <c r="A54" s="27">
        <f>[1]트램표준체크리스트!A52</f>
        <v>50</v>
      </c>
      <c r="B54" s="28" t="str">
        <f>[1]트램표준체크리스트!B52</f>
        <v>철도계획</v>
      </c>
      <c r="C54" s="29" t="str">
        <f>[1]트램표준체크리스트!C52</f>
        <v>지반조사</v>
      </c>
      <c r="D54" s="30" t="str">
        <f>[1]트램표준체크리스트!F52</f>
        <v>미보상으로 인해 실제 위치에서 시추하지 못한 구간이 있는가?</v>
      </c>
      <c r="E54" s="31" t="s">
        <v>182</v>
      </c>
      <c r="F54" s="32" t="str">
        <f t="shared" si="1"/>
        <v>극상</v>
      </c>
      <c r="G54" s="63" t="s">
        <v>40</v>
      </c>
      <c r="H54" s="63" t="s">
        <v>41</v>
      </c>
      <c r="I54" s="34" t="s">
        <v>183</v>
      </c>
      <c r="J54" s="33"/>
      <c r="K54" s="35"/>
      <c r="L54" s="33"/>
      <c r="M54" s="36"/>
      <c r="N54" s="33"/>
      <c r="O54" s="36"/>
      <c r="P54" s="33"/>
      <c r="Q54" s="37"/>
      <c r="R54" s="38"/>
      <c r="S54" s="33"/>
      <c r="T54" s="38"/>
      <c r="U54" s="33"/>
      <c r="V54" s="39"/>
      <c r="W54" s="90" t="b">
        <v>0</v>
      </c>
      <c r="X54" s="90" t="b">
        <v>0</v>
      </c>
      <c r="Y54" s="90" t="b">
        <v>0</v>
      </c>
      <c r="Z54" s="40" t="s">
        <v>184</v>
      </c>
      <c r="AA54" s="41"/>
      <c r="AK54" s="16"/>
      <c r="AL54" s="16"/>
      <c r="AM54" s="16"/>
      <c r="AN54" s="16"/>
      <c r="AO54" s="16"/>
      <c r="AP54" s="16"/>
      <c r="AQ54" s="16"/>
      <c r="AR54" s="16"/>
      <c r="AS54" s="16"/>
    </row>
    <row r="55" spans="1:45" s="7" customFormat="1" ht="195" customHeight="1">
      <c r="A55" s="27">
        <f>[1]트램표준체크리스트!A53</f>
        <v>51</v>
      </c>
      <c r="B55" s="28" t="str">
        <f>[1]트램표준체크리스트!B53</f>
        <v>철도계획</v>
      </c>
      <c r="C55" s="29" t="str">
        <f>[1]트램표준체크리스트!C53</f>
        <v>토공운반</v>
      </c>
      <c r="D55" s="30" t="str">
        <f>[1]트램표준체크리스트!F53</f>
        <v>용지 보상 지연 예상 구간을 고려하여 토공 운반 거리(L)가 산정되었는가?</v>
      </c>
      <c r="E55" s="31" t="s">
        <v>185</v>
      </c>
      <c r="F55" s="32" t="str">
        <f t="shared" si="1"/>
        <v>극상</v>
      </c>
      <c r="G55" s="63" t="s">
        <v>40</v>
      </c>
      <c r="H55" s="63" t="s">
        <v>41</v>
      </c>
      <c r="I55" s="34" t="s">
        <v>186</v>
      </c>
      <c r="J55" s="33"/>
      <c r="K55" s="35"/>
      <c r="L55" s="33"/>
      <c r="M55" s="36"/>
      <c r="N55" s="33"/>
      <c r="O55" s="36"/>
      <c r="P55" s="33"/>
      <c r="Q55" s="37"/>
      <c r="R55" s="38"/>
      <c r="S55" s="33"/>
      <c r="T55" s="38"/>
      <c r="U55" s="33"/>
      <c r="V55" s="39"/>
      <c r="W55" s="90" t="b">
        <v>0</v>
      </c>
      <c r="X55" s="90" t="b">
        <v>0</v>
      </c>
      <c r="Y55" s="90" t="b">
        <v>0</v>
      </c>
      <c r="Z55" s="40" t="s">
        <v>151</v>
      </c>
      <c r="AA55" s="41"/>
      <c r="AK55" s="16"/>
      <c r="AL55" s="16"/>
      <c r="AM55" s="16"/>
      <c r="AN55" s="16"/>
      <c r="AO55" s="16"/>
      <c r="AP55" s="16"/>
      <c r="AQ55" s="16"/>
      <c r="AR55" s="16"/>
      <c r="AS55" s="16"/>
    </row>
    <row r="56" spans="1:45" s="7" customFormat="1" ht="195" customHeight="1">
      <c r="A56" s="27">
        <f>[1]트램표준체크리스트!A54</f>
        <v>52</v>
      </c>
      <c r="B56" s="28" t="str">
        <f>[1]트램표준체크리스트!B54</f>
        <v>철도계획</v>
      </c>
      <c r="C56" s="29" t="str">
        <f>[1]트램표준체크리스트!C54</f>
        <v>토취장</v>
      </c>
      <c r="D56" s="30" t="str">
        <f>[1]트램표준체크리스트!F54</f>
        <v>사토장/토취장으로 지정된 곳이 사유지일 경우, 해당 사업의 인허가 유효성 및 사업 지속 가능성을 확인했는가?</v>
      </c>
      <c r="E56" s="31" t="s">
        <v>187</v>
      </c>
      <c r="F56" s="32" t="str">
        <f t="shared" si="1"/>
        <v>극상</v>
      </c>
      <c r="G56" s="63" t="s">
        <v>40</v>
      </c>
      <c r="H56" s="63" t="s">
        <v>41</v>
      </c>
      <c r="I56" s="34" t="s">
        <v>188</v>
      </c>
      <c r="J56" s="33"/>
      <c r="K56" s="35"/>
      <c r="L56" s="33"/>
      <c r="M56" s="36"/>
      <c r="N56" s="33"/>
      <c r="O56" s="36"/>
      <c r="P56" s="33"/>
      <c r="Q56" s="37"/>
      <c r="R56" s="38"/>
      <c r="S56" s="33"/>
      <c r="T56" s="38"/>
      <c r="U56" s="33"/>
      <c r="V56" s="39"/>
      <c r="W56" s="90" t="b">
        <v>0</v>
      </c>
      <c r="X56" s="90" t="b">
        <v>0</v>
      </c>
      <c r="Y56" s="90" t="b">
        <v>0</v>
      </c>
      <c r="Z56" s="40" t="s">
        <v>189</v>
      </c>
      <c r="AA56" s="41"/>
      <c r="AK56" s="16"/>
      <c r="AL56" s="16"/>
      <c r="AM56" s="16"/>
      <c r="AN56" s="16"/>
      <c r="AO56" s="16"/>
      <c r="AP56" s="16"/>
      <c r="AQ56" s="16"/>
      <c r="AR56" s="16"/>
      <c r="AS56" s="16"/>
    </row>
    <row r="57" spans="1:45" s="7" customFormat="1" ht="195" customHeight="1">
      <c r="A57" s="27">
        <f>[1]트램표준체크리스트!A55</f>
        <v>53</v>
      </c>
      <c r="B57" s="28" t="str">
        <f>[1]트램표준체크리스트!B55</f>
        <v>철도계획</v>
      </c>
      <c r="C57" s="29" t="str">
        <f>[1]트램표준체크리스트!C55</f>
        <v>품질/안전</v>
      </c>
      <c r="D57" s="30" t="str">
        <f>[1]트램표준체크리스트!F55</f>
        <v>공기 연장 시 고정적으로 지출되는 품질/안전 관리자 인건비 및 차량 유지비가 산출되었는가?</v>
      </c>
      <c r="E57" s="31" t="s">
        <v>190</v>
      </c>
      <c r="F57" s="32" t="str">
        <f t="shared" si="1"/>
        <v>극상</v>
      </c>
      <c r="G57" s="63" t="s">
        <v>40</v>
      </c>
      <c r="H57" s="63" t="s">
        <v>41</v>
      </c>
      <c r="I57" s="34" t="s">
        <v>191</v>
      </c>
      <c r="J57" s="33"/>
      <c r="K57" s="35"/>
      <c r="L57" s="33"/>
      <c r="M57" s="36"/>
      <c r="N57" s="33"/>
      <c r="O57" s="36"/>
      <c r="P57" s="33"/>
      <c r="Q57" s="37"/>
      <c r="R57" s="38"/>
      <c r="S57" s="33"/>
      <c r="T57" s="38"/>
      <c r="U57" s="33"/>
      <c r="V57" s="39"/>
      <c r="W57" s="90" t="b">
        <v>0</v>
      </c>
      <c r="X57" s="90" t="b">
        <v>0</v>
      </c>
      <c r="Y57" s="90" t="b">
        <v>0</v>
      </c>
      <c r="Z57" s="40" t="s">
        <v>192</v>
      </c>
      <c r="AA57" s="41"/>
      <c r="AK57" s="16"/>
      <c r="AL57" s="16"/>
      <c r="AM57" s="16"/>
      <c r="AN57" s="16"/>
      <c r="AO57" s="16"/>
      <c r="AP57" s="16"/>
      <c r="AQ57" s="16"/>
      <c r="AR57" s="16"/>
      <c r="AS57" s="16"/>
    </row>
    <row r="58" spans="1:45" s="7" customFormat="1" ht="195" customHeight="1">
      <c r="A58" s="27">
        <f>[1]트램표준체크리스트!A56</f>
        <v>54</v>
      </c>
      <c r="B58" s="28" t="str">
        <f>[1]트램표준체크리스트!B56</f>
        <v>철도계획</v>
      </c>
      <c r="C58" s="29" t="str">
        <f>[1]트램표준체크리스트!C56</f>
        <v>행정대행</v>
      </c>
      <c r="D58" s="30" t="str">
        <f>[1]트램표준체크리스트!F56</f>
        <v>설계 시 발주기관 업무 범위이나, 발주기관의 업무 처리 속도로는 책임준공 기한 준수가 불가능함.에 따른 사용승인(준공)을 위한 선결 행정처리(지적확정측량, 산지복구 등)가 지연될 위기할 리스크를 검토하였는가?</v>
      </c>
      <c r="E58" s="31" t="s">
        <v>193</v>
      </c>
      <c r="F58" s="32" t="str">
        <f t="shared" si="1"/>
        <v>극상</v>
      </c>
      <c r="G58" s="63" t="s">
        <v>40</v>
      </c>
      <c r="H58" s="63" t="s">
        <v>41</v>
      </c>
      <c r="I58" s="34" t="s">
        <v>194</v>
      </c>
      <c r="J58" s="33"/>
      <c r="K58" s="35"/>
      <c r="L58" s="33"/>
      <c r="M58" s="36"/>
      <c r="N58" s="33"/>
      <c r="O58" s="36"/>
      <c r="P58" s="33"/>
      <c r="Q58" s="37"/>
      <c r="R58" s="38"/>
      <c r="S58" s="33"/>
      <c r="T58" s="38"/>
      <c r="U58" s="33"/>
      <c r="V58" s="39"/>
      <c r="W58" s="90" t="b">
        <v>0</v>
      </c>
      <c r="X58" s="90" t="b">
        <v>0</v>
      </c>
      <c r="Y58" s="90" t="b">
        <v>0</v>
      </c>
      <c r="Z58" s="40" t="s">
        <v>195</v>
      </c>
      <c r="AA58" s="41"/>
      <c r="AK58" s="16"/>
      <c r="AL58" s="16"/>
      <c r="AM58" s="16"/>
      <c r="AN58" s="16"/>
      <c r="AO58" s="16"/>
      <c r="AP58" s="16"/>
      <c r="AQ58" s="16"/>
      <c r="AR58" s="16"/>
      <c r="AS58" s="16"/>
    </row>
    <row r="59" spans="1:45" s="7" customFormat="1" ht="195" customHeight="1">
      <c r="A59" s="27">
        <f>[1]트램표준체크리스트!A57</f>
        <v>55</v>
      </c>
      <c r="B59" s="28" t="str">
        <f>[1]트램표준체크리스트!B57</f>
        <v>철도계획</v>
      </c>
      <c r="C59" s="29" t="str">
        <f>[1]트램표준체크리스트!C57</f>
        <v>협의비</v>
      </c>
      <c r="D59" s="30" t="str">
        <f>[1]트램표준체크리스트!F57</f>
        <v>철도/지하철 인접 공사 시 유관기관 협의비 및 안전성 검토 용역비가 책정되어 있는가?</v>
      </c>
      <c r="E59" s="31" t="s">
        <v>196</v>
      </c>
      <c r="F59" s="32" t="str">
        <f t="shared" si="1"/>
        <v>극상</v>
      </c>
      <c r="G59" s="63" t="s">
        <v>40</v>
      </c>
      <c r="H59" s="63" t="s">
        <v>41</v>
      </c>
      <c r="I59" s="34" t="s">
        <v>197</v>
      </c>
      <c r="J59" s="33"/>
      <c r="K59" s="35"/>
      <c r="L59" s="33"/>
      <c r="M59" s="36"/>
      <c r="N59" s="33"/>
      <c r="O59" s="36"/>
      <c r="P59" s="33"/>
      <c r="Q59" s="37"/>
      <c r="R59" s="38"/>
      <c r="S59" s="33"/>
      <c r="T59" s="38"/>
      <c r="U59" s="33"/>
      <c r="V59" s="39"/>
      <c r="W59" s="90" t="b">
        <v>0</v>
      </c>
      <c r="X59" s="90" t="b">
        <v>0</v>
      </c>
      <c r="Y59" s="90" t="b">
        <v>0</v>
      </c>
      <c r="Z59" s="40" t="s">
        <v>198</v>
      </c>
      <c r="AA59" s="41"/>
      <c r="AK59" s="16"/>
      <c r="AL59" s="16"/>
      <c r="AM59" s="16"/>
      <c r="AN59" s="16"/>
      <c r="AO59" s="16"/>
      <c r="AP59" s="16"/>
      <c r="AQ59" s="16"/>
      <c r="AR59" s="16"/>
      <c r="AS59" s="16"/>
    </row>
    <row r="60" spans="1:45" s="7" customFormat="1" ht="195" customHeight="1">
      <c r="A60" s="27">
        <f>[1]트램표준체크리스트!A58</f>
        <v>56</v>
      </c>
      <c r="B60" s="28" t="str">
        <f>[1]트램표준체크리스트!B58</f>
        <v>철도계획</v>
      </c>
      <c r="C60" s="29" t="str">
        <f>[1]트램표준체크리스트!C58</f>
        <v>건축한계 및 용지폭 계획</v>
      </c>
      <c r="D60" s="30" t="str">
        <f>[1]트램표준체크리스트!F58</f>
        <v>지상 시설물이 건축한계선을 침범하여 차량과 구조물이 충돌할 리스크를 검토하였는가?</v>
      </c>
      <c r="E60" s="31" t="s">
        <v>199</v>
      </c>
      <c r="F60" s="32" t="str">
        <f t="shared" si="1"/>
        <v>극상</v>
      </c>
      <c r="G60" s="63" t="s">
        <v>40</v>
      </c>
      <c r="H60" s="63" t="s">
        <v>41</v>
      </c>
      <c r="I60" s="34" t="s">
        <v>200</v>
      </c>
      <c r="J60" s="33"/>
      <c r="K60" s="35"/>
      <c r="L60" s="33"/>
      <c r="M60" s="36"/>
      <c r="N60" s="33"/>
      <c r="O60" s="36"/>
      <c r="P60" s="33"/>
      <c r="Q60" s="37"/>
      <c r="R60" s="38"/>
      <c r="S60" s="33"/>
      <c r="T60" s="38"/>
      <c r="U60" s="33"/>
      <c r="V60" s="39"/>
      <c r="W60" s="90" t="b">
        <v>0</v>
      </c>
      <c r="X60" s="90" t="b">
        <v>0</v>
      </c>
      <c r="Y60" s="90" t="b">
        <v>0</v>
      </c>
      <c r="Z60" s="40" t="s">
        <v>201</v>
      </c>
      <c r="AA60" s="41"/>
      <c r="AK60" s="16"/>
      <c r="AL60" s="16"/>
      <c r="AM60" s="16"/>
      <c r="AN60" s="16"/>
      <c r="AO60" s="16"/>
      <c r="AP60" s="16"/>
      <c r="AQ60" s="16"/>
      <c r="AR60" s="16"/>
      <c r="AS60" s="16"/>
    </row>
    <row r="61" spans="1:45" s="7" customFormat="1" ht="195" customHeight="1">
      <c r="A61" s="27">
        <f>[1]트램표준체크리스트!A59</f>
        <v>57</v>
      </c>
      <c r="B61" s="28" t="str">
        <f>[1]트램표준체크리스트!B59</f>
        <v>철도계획</v>
      </c>
      <c r="C61" s="29" t="str">
        <f>[1]트램표준체크리스트!C59</f>
        <v>건축한계 및 용지폭 계획</v>
      </c>
      <c r="D61" s="30" t="str">
        <f>[1]트램표준체크리스트!F59</f>
        <v>건축한계선 여유폭(250mm) 확보 누락으로 일반 차량과 트램 간 측면 접촉 사고가 발생할 단면이 설계될 리스크를 검토하였는가?</v>
      </c>
      <c r="E61" s="31" t="s">
        <v>202</v>
      </c>
      <c r="F61" s="32" t="str">
        <f t="shared" si="1"/>
        <v>극상</v>
      </c>
      <c r="G61" s="63" t="s">
        <v>40</v>
      </c>
      <c r="H61" s="63" t="s">
        <v>41</v>
      </c>
      <c r="I61" s="34" t="s">
        <v>203</v>
      </c>
      <c r="J61" s="33"/>
      <c r="K61" s="35"/>
      <c r="L61" s="33"/>
      <c r="M61" s="36"/>
      <c r="N61" s="33"/>
      <c r="O61" s="36"/>
      <c r="P61" s="33"/>
      <c r="Q61" s="37"/>
      <c r="R61" s="38"/>
      <c r="S61" s="33"/>
      <c r="T61" s="38"/>
      <c r="U61" s="33"/>
      <c r="V61" s="39"/>
      <c r="W61" s="90" t="b">
        <v>0</v>
      </c>
      <c r="X61" s="90" t="b">
        <v>0</v>
      </c>
      <c r="Y61" s="90" t="b">
        <v>0</v>
      </c>
      <c r="Z61" s="40" t="s">
        <v>204</v>
      </c>
      <c r="AA61" s="41"/>
      <c r="AK61" s="16"/>
      <c r="AL61" s="16"/>
      <c r="AM61" s="16"/>
      <c r="AN61" s="16"/>
      <c r="AO61" s="16"/>
      <c r="AP61" s="16"/>
      <c r="AQ61" s="16"/>
      <c r="AR61" s="16"/>
      <c r="AS61" s="16"/>
    </row>
    <row r="62" spans="1:45" s="7" customFormat="1" ht="195" customHeight="1">
      <c r="A62" s="27">
        <f>[1]트램표준체크리스트!A60</f>
        <v>58</v>
      </c>
      <c r="B62" s="28" t="str">
        <f>[1]트램표준체크리스트!B60</f>
        <v>철도계획</v>
      </c>
      <c r="C62" s="29" t="str">
        <f>[1]트램표준체크리스트!C60</f>
        <v>건축한계 및 용지폭 계획</v>
      </c>
      <c r="D62" s="30" t="str">
        <f>[1]트램표준체크리스트!F60</f>
        <v>트램 중장비 기동 기지 부재, 제작사도 역량이 작아 위탁 정비 회피 문제 리스크를 검토하였는가?</v>
      </c>
      <c r="E62" s="31" t="s">
        <v>205</v>
      </c>
      <c r="F62" s="32" t="str">
        <f t="shared" si="1"/>
        <v>극상</v>
      </c>
      <c r="G62" s="63" t="s">
        <v>40</v>
      </c>
      <c r="H62" s="63" t="s">
        <v>41</v>
      </c>
      <c r="I62" s="34" t="s">
        <v>206</v>
      </c>
      <c r="J62" s="33"/>
      <c r="K62" s="35"/>
      <c r="L62" s="33"/>
      <c r="M62" s="36"/>
      <c r="N62" s="33"/>
      <c r="O62" s="36"/>
      <c r="P62" s="33"/>
      <c r="Q62" s="37"/>
      <c r="R62" s="38"/>
      <c r="S62" s="33"/>
      <c r="T62" s="38"/>
      <c r="U62" s="33"/>
      <c r="V62" s="39"/>
      <c r="W62" s="90" t="b">
        <v>0</v>
      </c>
      <c r="X62" s="90" t="b">
        <v>0</v>
      </c>
      <c r="Y62" s="90" t="b">
        <v>0</v>
      </c>
      <c r="Z62" s="40" t="s">
        <v>207</v>
      </c>
      <c r="AA62" s="41"/>
      <c r="AK62" s="16"/>
      <c r="AL62" s="16"/>
      <c r="AM62" s="16"/>
      <c r="AN62" s="16"/>
      <c r="AO62" s="16"/>
      <c r="AP62" s="16"/>
      <c r="AQ62" s="16"/>
      <c r="AR62" s="16"/>
      <c r="AS62" s="16"/>
    </row>
    <row r="63" spans="1:45" s="7" customFormat="1" ht="195" customHeight="1">
      <c r="A63" s="27">
        <f>[1]트램표준체크리스트!A61</f>
        <v>59</v>
      </c>
      <c r="B63" s="28" t="str">
        <f>[1]트램표준체크리스트!B61</f>
        <v>철도계획</v>
      </c>
      <c r="C63" s="29" t="str">
        <f>[1]트램표준체크리스트!C61</f>
        <v>경관 및 공간계획</v>
      </c>
      <c r="D63" s="30" t="str">
        <f>[1]트램표준체크리스트!F61</f>
        <v>교량 하부 조명 및 환경개선 설계 누락으로 해당 구역이 쓰레기 무단 투기 및 범죄 취약 지역(슬럼화)으로 방치될 리스크를 검토하였는가?</v>
      </c>
      <c r="E63" s="31" t="s">
        <v>208</v>
      </c>
      <c r="F63" s="32" t="str">
        <f t="shared" si="1"/>
        <v>극상</v>
      </c>
      <c r="G63" s="63" t="s">
        <v>40</v>
      </c>
      <c r="H63" s="63" t="s">
        <v>41</v>
      </c>
      <c r="I63" s="34" t="s">
        <v>209</v>
      </c>
      <c r="J63" s="33"/>
      <c r="K63" s="35"/>
      <c r="L63" s="33"/>
      <c r="M63" s="36"/>
      <c r="N63" s="33"/>
      <c r="O63" s="36"/>
      <c r="P63" s="33"/>
      <c r="Q63" s="37"/>
      <c r="R63" s="38"/>
      <c r="S63" s="33"/>
      <c r="T63" s="38"/>
      <c r="U63" s="33"/>
      <c r="V63" s="39"/>
      <c r="W63" s="90" t="b">
        <v>0</v>
      </c>
      <c r="X63" s="90" t="b">
        <v>0</v>
      </c>
      <c r="Y63" s="90" t="b">
        <v>0</v>
      </c>
      <c r="Z63" s="40" t="s">
        <v>210</v>
      </c>
      <c r="AA63" s="41"/>
      <c r="AK63" s="16"/>
      <c r="AL63" s="16"/>
      <c r="AM63" s="16"/>
      <c r="AN63" s="16"/>
      <c r="AO63" s="16"/>
      <c r="AP63" s="16"/>
      <c r="AQ63" s="16"/>
      <c r="AR63" s="16"/>
      <c r="AS63" s="16"/>
    </row>
    <row r="64" spans="1:45" s="7" customFormat="1" ht="195" customHeight="1">
      <c r="A64" s="27">
        <f>[1]트램표준체크리스트!A62</f>
        <v>60</v>
      </c>
      <c r="B64" s="28" t="str">
        <f>[1]트램표준체크리스트!B62</f>
        <v>철도계획</v>
      </c>
      <c r="C64" s="29" t="str">
        <f>[1]트램표준체크리스트!C62</f>
        <v>교량 접속부 궤도 계획</v>
      </c>
      <c r="D64" s="30" t="str">
        <f>[1]트램표준체크리스트!F62</f>
        <v>레일 신축이음매(R.E.J) 및 교량 단부 강성 체감구조 누락으로 계절 변화 시 장대레일 좌굴이나 체결장치가 파괴될 리스크를 검토하였는가?</v>
      </c>
      <c r="E64" s="31" t="s">
        <v>211</v>
      </c>
      <c r="F64" s="32" t="str">
        <f t="shared" si="1"/>
        <v>극상</v>
      </c>
      <c r="G64" s="63" t="s">
        <v>40</v>
      </c>
      <c r="H64" s="63" t="s">
        <v>41</v>
      </c>
      <c r="I64" s="34" t="s">
        <v>212</v>
      </c>
      <c r="J64" s="33"/>
      <c r="K64" s="35"/>
      <c r="L64" s="33"/>
      <c r="M64" s="36"/>
      <c r="N64" s="33"/>
      <c r="O64" s="36"/>
      <c r="P64" s="33"/>
      <c r="Q64" s="37"/>
      <c r="R64" s="38"/>
      <c r="S64" s="33"/>
      <c r="T64" s="38"/>
      <c r="U64" s="33"/>
      <c r="V64" s="39"/>
      <c r="W64" s="90" t="b">
        <v>0</v>
      </c>
      <c r="X64" s="90" t="b">
        <v>0</v>
      </c>
      <c r="Y64" s="90" t="b">
        <v>0</v>
      </c>
      <c r="Z64" s="40" t="s">
        <v>91</v>
      </c>
      <c r="AA64" s="41"/>
      <c r="AK64" s="16"/>
      <c r="AL64" s="16"/>
      <c r="AM64" s="16"/>
      <c r="AN64" s="16"/>
      <c r="AO64" s="16"/>
      <c r="AP64" s="16"/>
      <c r="AQ64" s="16"/>
      <c r="AR64" s="16"/>
      <c r="AS64" s="16"/>
    </row>
    <row r="65" spans="1:45" s="7" customFormat="1" ht="195" customHeight="1">
      <c r="A65" s="27">
        <f>[1]트램표준체크리스트!A63</f>
        <v>61</v>
      </c>
      <c r="B65" s="28" t="str">
        <f>[1]트램표준체크리스트!B63</f>
        <v>철도계획</v>
      </c>
      <c r="C65" s="29" t="str">
        <f>[1]트램표준체크리스트!C63</f>
        <v>교량 접속부 궤도 계획</v>
      </c>
      <c r="D65" s="30" t="str">
        <f>[1]트램표준체크리스트!F63</f>
        <v>쓰레기, 진흙 등 이물질로 인한 궤도 매몰 및 장애물 발생 리스크를 검토하였는가?</v>
      </c>
      <c r="E65" s="31" t="s">
        <v>213</v>
      </c>
      <c r="F65" s="32" t="str">
        <f t="shared" si="1"/>
        <v>극상</v>
      </c>
      <c r="G65" s="63" t="s">
        <v>40</v>
      </c>
      <c r="H65" s="63" t="s">
        <v>41</v>
      </c>
      <c r="I65" s="34" t="s">
        <v>214</v>
      </c>
      <c r="J65" s="33"/>
      <c r="K65" s="35"/>
      <c r="L65" s="33"/>
      <c r="M65" s="36"/>
      <c r="N65" s="33"/>
      <c r="O65" s="36"/>
      <c r="P65" s="33"/>
      <c r="Q65" s="37"/>
      <c r="R65" s="38"/>
      <c r="S65" s="33"/>
      <c r="T65" s="38"/>
      <c r="U65" s="33"/>
      <c r="V65" s="39"/>
      <c r="W65" s="90" t="b">
        <v>0</v>
      </c>
      <c r="X65" s="90" t="b">
        <v>0</v>
      </c>
      <c r="Y65" s="90" t="b">
        <v>0</v>
      </c>
      <c r="Z65" s="40" t="s">
        <v>215</v>
      </c>
      <c r="AA65" s="41"/>
      <c r="AK65" s="16"/>
      <c r="AL65" s="16"/>
      <c r="AM65" s="16"/>
      <c r="AN65" s="16"/>
      <c r="AO65" s="16"/>
      <c r="AP65" s="16"/>
      <c r="AQ65" s="16"/>
      <c r="AR65" s="16"/>
      <c r="AS65" s="16"/>
    </row>
    <row r="66" spans="1:45" s="7" customFormat="1" ht="195" customHeight="1">
      <c r="A66" s="27">
        <f>[1]트램표준체크리스트!A64</f>
        <v>62</v>
      </c>
      <c r="B66" s="28" t="str">
        <f>[1]트램표준체크리스트!B64</f>
        <v>철도계획</v>
      </c>
      <c r="C66" s="29" t="str">
        <f>[1]트램표준체크리스트!C64</f>
        <v>교통처리 및 시공계획</v>
      </c>
      <c r="D66" s="30" t="str">
        <f>[1]트램표준체크리스트!F64</f>
        <v>기존 도로 점용 교통량 분산 및 임시 우회 계획 누락으로 도로점용허가 반려 및 극심한 교통 민원이 유발될 리스크를 검토하였는가?</v>
      </c>
      <c r="E66" s="31" t="s">
        <v>216</v>
      </c>
      <c r="F66" s="32" t="str">
        <f t="shared" si="1"/>
        <v>극상</v>
      </c>
      <c r="G66" s="63" t="s">
        <v>40</v>
      </c>
      <c r="H66" s="63" t="s">
        <v>41</v>
      </c>
      <c r="I66" s="34" t="s">
        <v>217</v>
      </c>
      <c r="J66" s="33"/>
      <c r="K66" s="35"/>
      <c r="L66" s="33"/>
      <c r="M66" s="36"/>
      <c r="N66" s="33"/>
      <c r="O66" s="36"/>
      <c r="P66" s="33"/>
      <c r="Q66" s="37"/>
      <c r="R66" s="38"/>
      <c r="S66" s="33"/>
      <c r="T66" s="38"/>
      <c r="U66" s="33"/>
      <c r="V66" s="39"/>
      <c r="W66" s="90" t="b">
        <v>0</v>
      </c>
      <c r="X66" s="90" t="b">
        <v>0</v>
      </c>
      <c r="Y66" s="90" t="b">
        <v>0</v>
      </c>
      <c r="Z66" s="40" t="s">
        <v>218</v>
      </c>
      <c r="AA66" s="41"/>
      <c r="AK66" s="16"/>
      <c r="AL66" s="16"/>
      <c r="AM66" s="16"/>
      <c r="AN66" s="16"/>
      <c r="AO66" s="16"/>
      <c r="AP66" s="16"/>
      <c r="AQ66" s="16"/>
      <c r="AR66" s="16"/>
      <c r="AS66" s="16"/>
    </row>
    <row r="67" spans="1:45" s="7" customFormat="1" ht="195" customHeight="1">
      <c r="A67" s="27">
        <f>[1]트램표준체크리스트!A65</f>
        <v>63</v>
      </c>
      <c r="B67" s="28" t="str">
        <f>[1]트램표준체크리스트!B65</f>
        <v>운영</v>
      </c>
      <c r="C67" s="29" t="str">
        <f>[1]트램표준체크리스트!C65</f>
        <v>기타</v>
      </c>
      <c r="D67" s="30" t="str">
        <f>[1]트램표준체크리스트!F65</f>
        <v>측면 강풍에 의한 탈선 리스크를 검토하였는가?</v>
      </c>
      <c r="E67" s="31" t="s">
        <v>219</v>
      </c>
      <c r="F67" s="32" t="str">
        <f t="shared" si="1"/>
        <v>극상</v>
      </c>
      <c r="G67" s="63" t="s">
        <v>40</v>
      </c>
      <c r="H67" s="63" t="s">
        <v>41</v>
      </c>
      <c r="I67" s="34" t="s">
        <v>220</v>
      </c>
      <c r="J67" s="33"/>
      <c r="K67" s="35"/>
      <c r="L67" s="33"/>
      <c r="M67" s="36"/>
      <c r="N67" s="33"/>
      <c r="O67" s="36"/>
      <c r="P67" s="33"/>
      <c r="Q67" s="37"/>
      <c r="R67" s="38"/>
      <c r="S67" s="33"/>
      <c r="T67" s="38"/>
      <c r="U67" s="33"/>
      <c r="V67" s="39"/>
      <c r="W67" s="90" t="b">
        <v>0</v>
      </c>
      <c r="X67" s="90" t="b">
        <v>0</v>
      </c>
      <c r="Y67" s="90" t="b">
        <v>0</v>
      </c>
      <c r="Z67" s="40" t="s">
        <v>221</v>
      </c>
      <c r="AA67" s="41"/>
      <c r="AK67" s="16"/>
      <c r="AL67" s="16"/>
      <c r="AM67" s="16"/>
      <c r="AN67" s="16"/>
      <c r="AO67" s="16"/>
      <c r="AP67" s="16"/>
      <c r="AQ67" s="16"/>
      <c r="AR67" s="16"/>
      <c r="AS67" s="16"/>
    </row>
    <row r="68" spans="1:45" s="7" customFormat="1" ht="195" customHeight="1">
      <c r="A68" s="27">
        <f>[1]트램표준체크리스트!A66</f>
        <v>64</v>
      </c>
      <c r="B68" s="28" t="str">
        <f>[1]트램표준체크리스트!B66</f>
        <v>운영</v>
      </c>
      <c r="C68" s="29" t="str">
        <f>[1]트램표준체크리스트!C66</f>
        <v>기타</v>
      </c>
      <c r="D68" s="30" t="str">
        <f>[1]트램표준체크리스트!F66</f>
        <v>비상시 고장 열차와 구원 차량 연결 실패 리스크를 검토하였는가?</v>
      </c>
      <c r="E68" s="31" t="s">
        <v>222</v>
      </c>
      <c r="F68" s="32" t="str">
        <f t="shared" si="1"/>
        <v>극상</v>
      </c>
      <c r="G68" s="63" t="s">
        <v>40</v>
      </c>
      <c r="H68" s="63" t="s">
        <v>41</v>
      </c>
      <c r="I68" s="34" t="s">
        <v>223</v>
      </c>
      <c r="J68" s="33"/>
      <c r="K68" s="35"/>
      <c r="L68" s="33"/>
      <c r="M68" s="36"/>
      <c r="N68" s="33"/>
      <c r="O68" s="36"/>
      <c r="P68" s="33"/>
      <c r="Q68" s="37"/>
      <c r="R68" s="38"/>
      <c r="S68" s="33"/>
      <c r="T68" s="38"/>
      <c r="U68" s="33"/>
      <c r="V68" s="39"/>
      <c r="W68" s="90" t="b">
        <v>0</v>
      </c>
      <c r="X68" s="90" t="b">
        <v>0</v>
      </c>
      <c r="Y68" s="90" t="b">
        <v>0</v>
      </c>
      <c r="Z68" s="40" t="s">
        <v>224</v>
      </c>
      <c r="AA68" s="41"/>
      <c r="AK68" s="16"/>
      <c r="AL68" s="16"/>
      <c r="AM68" s="16"/>
      <c r="AN68" s="16"/>
      <c r="AO68" s="16"/>
      <c r="AP68" s="16"/>
      <c r="AQ68" s="16"/>
      <c r="AR68" s="16"/>
      <c r="AS68" s="16"/>
    </row>
    <row r="69" spans="1:45" s="7" customFormat="1" ht="195" customHeight="1">
      <c r="A69" s="27">
        <f>[1]트램표준체크리스트!A67</f>
        <v>65</v>
      </c>
      <c r="B69" s="28" t="str">
        <f>[1]트램표준체크리스트!B67</f>
        <v>철도계획</v>
      </c>
      <c r="C69" s="29" t="str">
        <f>[1]트램표준체크리스트!C67</f>
        <v>도로 및 보행자 안전계획</v>
      </c>
      <c r="D69" s="30" t="str">
        <f>[1]트램표준체크리스트!F67</f>
        <v>협소 구간 내 궤도와 보행로 간 물리적 차단 시설 누락으로 보행자 궤도 난입 및 트램 충돌 등 중대 시민재해가 유발될 리스크를 검토하였는가?</v>
      </c>
      <c r="E69" s="31" t="s">
        <v>225</v>
      </c>
      <c r="F69" s="32" t="str">
        <f t="shared" si="1"/>
        <v>극상</v>
      </c>
      <c r="G69" s="63" t="s">
        <v>40</v>
      </c>
      <c r="H69" s="63" t="s">
        <v>41</v>
      </c>
      <c r="I69" s="34" t="s">
        <v>226</v>
      </c>
      <c r="J69" s="33"/>
      <c r="K69" s="35"/>
      <c r="L69" s="33"/>
      <c r="M69" s="36"/>
      <c r="N69" s="33"/>
      <c r="O69" s="36"/>
      <c r="P69" s="33"/>
      <c r="Q69" s="37"/>
      <c r="R69" s="38"/>
      <c r="S69" s="33"/>
      <c r="T69" s="38"/>
      <c r="U69" s="33"/>
      <c r="V69" s="39"/>
      <c r="W69" s="90" t="b">
        <v>0</v>
      </c>
      <c r="X69" s="90" t="b">
        <v>0</v>
      </c>
      <c r="Y69" s="90" t="b">
        <v>0</v>
      </c>
      <c r="Z69" s="40" t="s">
        <v>227</v>
      </c>
      <c r="AA69" s="41"/>
      <c r="AK69" s="16"/>
      <c r="AL69" s="16"/>
      <c r="AM69" s="16"/>
      <c r="AN69" s="16"/>
      <c r="AO69" s="16"/>
      <c r="AP69" s="16"/>
      <c r="AQ69" s="16"/>
      <c r="AR69" s="16"/>
      <c r="AS69" s="16"/>
    </row>
    <row r="70" spans="1:45" s="7" customFormat="1" ht="195" customHeight="1">
      <c r="A70" s="27">
        <f>[1]트램표준체크리스트!A68</f>
        <v>66</v>
      </c>
      <c r="B70" s="28" t="str">
        <f>[1]트램표준체크리스트!B68</f>
        <v>철도계획</v>
      </c>
      <c r="C70" s="29" t="str">
        <f>[1]트램표준체크리스트!C68</f>
        <v>도로 인터페이스</v>
      </c>
      <c r="D70" s="30" t="str">
        <f>[1]트램표준체크리스트!F68</f>
        <v>기울기 단위(‰ vs %) 혼용 및 환산 오류로 매립형 궤도와 인접 차로 간 심각한 단차가 발생할 리스크를 검토하였는가?</v>
      </c>
      <c r="E70" s="31" t="s">
        <v>228</v>
      </c>
      <c r="F70" s="32" t="str">
        <f>_xlfn.LET(
    _xlpm.v_발생, IF(ISNUMBER(SEARCH("빈번", G70)), "상",
               IF(ISNUMBER(SEARCH("거의", G70)), "하", "중")),
    _xlpm.v_영향, IF(ISNUMBER(SEARCH("1개월", H70)), "상",
               IF(ISNUMBER(SEARCH("없음", H70)), "하", "중")),
    IF(AND(_xlpm.v_발생="상", _xlpm.v_영향="상"), "극상",
    IF(OR(_xlpm.v_발생="상", _xlpm.v_영향="상"), "상",
    IF(AND(_xlpm.v_발생="하", _xlpm.v_영향="하"), "하",
    "중")))
)</f>
        <v>극상</v>
      </c>
      <c r="G70" s="63" t="s">
        <v>40</v>
      </c>
      <c r="H70" s="63" t="s">
        <v>41</v>
      </c>
      <c r="I70" s="34" t="s">
        <v>228</v>
      </c>
      <c r="J70" s="33"/>
      <c r="K70" s="35"/>
      <c r="L70" s="33"/>
      <c r="M70" s="36"/>
      <c r="N70" s="33"/>
      <c r="O70" s="36"/>
      <c r="P70" s="33"/>
      <c r="Q70" s="37"/>
      <c r="R70" s="38"/>
      <c r="S70" s="33"/>
      <c r="T70" s="38"/>
      <c r="U70" s="33"/>
      <c r="V70" s="39"/>
      <c r="W70" s="90" t="b">
        <v>0</v>
      </c>
      <c r="X70" s="90" t="b">
        <v>0</v>
      </c>
      <c r="Y70" s="90" t="b">
        <v>0</v>
      </c>
      <c r="Z70" s="40" t="s">
        <v>229</v>
      </c>
      <c r="AA70" s="41"/>
      <c r="AK70" s="16"/>
      <c r="AL70" s="16"/>
      <c r="AM70" s="16"/>
      <c r="AN70" s="16"/>
      <c r="AO70" s="16"/>
      <c r="AP70" s="16"/>
      <c r="AQ70" s="16"/>
      <c r="AR70" s="16"/>
      <c r="AS70" s="16"/>
    </row>
    <row r="71" spans="1:45" s="7" customFormat="1" ht="195" customHeight="1">
      <c r="A71" s="27">
        <f>[1]트램표준체크리스트!A69</f>
        <v>67</v>
      </c>
      <c r="B71" s="28" t="str">
        <f>[1]트램표준체크리스트!B69</f>
        <v>철도계획</v>
      </c>
      <c r="C71" s="29" t="str">
        <f>[1]트램표준체크리스트!C69</f>
        <v>방재 및 환기계획</v>
      </c>
      <c r="D71" s="30" t="str">
        <f>[1]트램표준체크리스트!F69</f>
        <v>정량적위험도분석(QRA) 없는 임의 위치 선정으로 비상시 제연 용량 부족 및 대피 동선 혼란에 따른 대형 인명사고 리스크를 검토하였는가?</v>
      </c>
      <c r="E71" s="31" t="s">
        <v>228</v>
      </c>
      <c r="F71" s="32" t="str">
        <f t="shared" ref="F71:F102" si="2">_xlfn.LET(
_xlpm.v_발생, IF(ISNUMBER(SEARCH("빈번", G71)), "상",
IF(ISNUMBER(SEARCH("거의", G71)), "하", "중")),
_xlpm.v_영향, IF(ISNUMBER(SEARCH("1개월", H71)), "상",
IF(ISNUMBER(SEARCH("없음", H71)), "하", "중")),
IF(AND(_xlpm.v_발생="상", _xlpm.v_영향="상"), "극상",
IF(OR(_xlpm.v_발생="상", _xlpm.v_영향="상"), "상",
IF(AND(_xlpm.v_발생="하", _xlpm.v_영향="하"), "하",
"중")))
)</f>
        <v>극상</v>
      </c>
      <c r="G71" s="63" t="s">
        <v>40</v>
      </c>
      <c r="H71" s="63" t="s">
        <v>41</v>
      </c>
      <c r="I71" s="34" t="s">
        <v>228</v>
      </c>
      <c r="J71" s="33"/>
      <c r="K71" s="35"/>
      <c r="L71" s="33"/>
      <c r="M71" s="36"/>
      <c r="N71" s="33"/>
      <c r="O71" s="36"/>
      <c r="P71" s="33"/>
      <c r="Q71" s="37"/>
      <c r="R71" s="38"/>
      <c r="S71" s="33"/>
      <c r="T71" s="38"/>
      <c r="U71" s="33"/>
      <c r="V71" s="39"/>
      <c r="W71" s="90" t="b">
        <v>0</v>
      </c>
      <c r="X71" s="90" t="b">
        <v>0</v>
      </c>
      <c r="Y71" s="90" t="b">
        <v>0</v>
      </c>
      <c r="Z71" s="40" t="s">
        <v>230</v>
      </c>
      <c r="AA71" s="41"/>
      <c r="AK71" s="16"/>
      <c r="AL71" s="16"/>
      <c r="AM71" s="16"/>
      <c r="AN71" s="16"/>
      <c r="AO71" s="16"/>
      <c r="AP71" s="16"/>
      <c r="AQ71" s="16"/>
      <c r="AR71" s="16"/>
      <c r="AS71" s="16"/>
    </row>
    <row r="72" spans="1:45" s="7" customFormat="1" ht="195" customHeight="1">
      <c r="A72" s="27">
        <f>[1]트램표준체크리스트!A70</f>
        <v>68</v>
      </c>
      <c r="B72" s="28" t="str">
        <f>[1]트램표준체크리스트!B70</f>
        <v>철도계획</v>
      </c>
      <c r="C72" s="29" t="str">
        <f>[1]트램표준체크리스트!C70</f>
        <v>방재 및 환기계획</v>
      </c>
      <c r="D72" s="30" t="str">
        <f>[1]트램표준체크리스트!F70</f>
        <v>우기 지하수위 상승을 고려한 사면안정 검토 및 보강 설계 누락으로 집중호우 시 산사태가 발생해 차량기지 주요 시설이 매몰될 리스크를 검토하였는가?</v>
      </c>
      <c r="E72" s="31" t="s">
        <v>231</v>
      </c>
      <c r="F72" s="32" t="str">
        <f t="shared" si="2"/>
        <v>극상</v>
      </c>
      <c r="G72" s="63" t="s">
        <v>40</v>
      </c>
      <c r="H72" s="63" t="s">
        <v>41</v>
      </c>
      <c r="I72" s="34" t="s">
        <v>232</v>
      </c>
      <c r="J72" s="33"/>
      <c r="K72" s="35"/>
      <c r="L72" s="33"/>
      <c r="M72" s="36"/>
      <c r="N72" s="33"/>
      <c r="O72" s="36"/>
      <c r="P72" s="33"/>
      <c r="Q72" s="37"/>
      <c r="R72" s="38"/>
      <c r="S72" s="33"/>
      <c r="T72" s="38"/>
      <c r="U72" s="33"/>
      <c r="V72" s="39"/>
      <c r="W72" s="90" t="b">
        <v>0</v>
      </c>
      <c r="X72" s="90" t="b">
        <v>0</v>
      </c>
      <c r="Y72" s="90" t="b">
        <v>0</v>
      </c>
      <c r="Z72" s="40" t="s">
        <v>233</v>
      </c>
      <c r="AA72" s="41"/>
      <c r="AK72" s="16"/>
      <c r="AL72" s="16"/>
      <c r="AM72" s="16"/>
      <c r="AN72" s="16"/>
      <c r="AO72" s="16"/>
      <c r="AP72" s="16"/>
      <c r="AQ72" s="16"/>
      <c r="AR72" s="16"/>
      <c r="AS72" s="16"/>
    </row>
    <row r="73" spans="1:45" s="7" customFormat="1" ht="195" customHeight="1">
      <c r="A73" s="27">
        <f>[1]트램표준체크리스트!A71</f>
        <v>69</v>
      </c>
      <c r="B73" s="28" t="str">
        <f>[1]트램표준체크리스트!B71</f>
        <v>철도계획</v>
      </c>
      <c r="C73" s="29" t="str">
        <f>[1]트램표준체크리스트!C71</f>
        <v>방재 및 환기계획</v>
      </c>
      <c r="D73" s="30" t="str">
        <f>[1]트램표준체크리스트!F71</f>
        <v>포인트부 융설(히팅) 설비 누락으로 동절기 한파 시 선로전환기가 결빙되어 트램 노선망 운행이 마비될 리스크를 검토하였는가?</v>
      </c>
      <c r="E73" s="31" t="s">
        <v>234</v>
      </c>
      <c r="F73" s="32" t="str">
        <f t="shared" si="2"/>
        <v>극상</v>
      </c>
      <c r="G73" s="63" t="s">
        <v>40</v>
      </c>
      <c r="H73" s="63" t="s">
        <v>41</v>
      </c>
      <c r="I73" s="34" t="s">
        <v>235</v>
      </c>
      <c r="J73" s="33"/>
      <c r="K73" s="35"/>
      <c r="L73" s="33"/>
      <c r="M73" s="36"/>
      <c r="N73" s="33"/>
      <c r="O73" s="36"/>
      <c r="P73" s="33"/>
      <c r="Q73" s="37"/>
      <c r="R73" s="38"/>
      <c r="S73" s="33"/>
      <c r="T73" s="38"/>
      <c r="U73" s="33"/>
      <c r="V73" s="39"/>
      <c r="W73" s="90" t="b">
        <v>0</v>
      </c>
      <c r="X73" s="90" t="b">
        <v>0</v>
      </c>
      <c r="Y73" s="90" t="b">
        <v>0</v>
      </c>
      <c r="Z73" s="40" t="s">
        <v>236</v>
      </c>
      <c r="AA73" s="41"/>
      <c r="AK73" s="16"/>
      <c r="AL73" s="16"/>
      <c r="AM73" s="16"/>
      <c r="AN73" s="16"/>
      <c r="AO73" s="16"/>
      <c r="AP73" s="16"/>
      <c r="AQ73" s="16"/>
      <c r="AR73" s="16"/>
      <c r="AS73" s="16"/>
    </row>
    <row r="74" spans="1:45" s="7" customFormat="1" ht="195" customHeight="1">
      <c r="A74" s="27">
        <f>[1]트램표준체크리스트!A72</f>
        <v>70</v>
      </c>
      <c r="B74" s="28" t="str">
        <f>[1]트램표준체크리스트!B72</f>
        <v>철도계획</v>
      </c>
      <c r="C74" s="29" t="str">
        <f>[1]트램표준체크리스트!C72</f>
        <v>배선계획</v>
      </c>
      <c r="D74" s="30" t="str">
        <f>[1]트램표준체크리스트!F72</f>
        <v>분기기 곡선반경 50m 미만 설계 및 유치 공간 누락으로 표정속도 저하 및 차량 고장 시 본선 운행이 전면 마비될 리스크를 검토하였는가?</v>
      </c>
      <c r="E74" s="31" t="s">
        <v>237</v>
      </c>
      <c r="F74" s="32" t="str">
        <f t="shared" si="2"/>
        <v>극상</v>
      </c>
      <c r="G74" s="63" t="s">
        <v>40</v>
      </c>
      <c r="H74" s="63" t="s">
        <v>41</v>
      </c>
      <c r="I74" s="34" t="s">
        <v>238</v>
      </c>
      <c r="J74" s="33"/>
      <c r="K74" s="35"/>
      <c r="L74" s="33"/>
      <c r="M74" s="36"/>
      <c r="N74" s="33"/>
      <c r="O74" s="36"/>
      <c r="P74" s="33"/>
      <c r="Q74" s="37"/>
      <c r="R74" s="38"/>
      <c r="S74" s="33"/>
      <c r="T74" s="38"/>
      <c r="U74" s="33"/>
      <c r="V74" s="39"/>
      <c r="W74" s="90" t="b">
        <v>0</v>
      </c>
      <c r="X74" s="90" t="b">
        <v>0</v>
      </c>
      <c r="Y74" s="90" t="b">
        <v>0</v>
      </c>
      <c r="Z74" s="40" t="s">
        <v>239</v>
      </c>
      <c r="AA74" s="41"/>
      <c r="AK74" s="16"/>
      <c r="AL74" s="16"/>
      <c r="AM74" s="16"/>
      <c r="AN74" s="16"/>
      <c r="AO74" s="16"/>
      <c r="AP74" s="16"/>
      <c r="AQ74" s="16"/>
      <c r="AR74" s="16"/>
      <c r="AS74" s="16"/>
    </row>
    <row r="75" spans="1:45" s="7" customFormat="1" ht="195" customHeight="1">
      <c r="A75" s="27">
        <f>[1]트램표준체크리스트!A73</f>
        <v>71</v>
      </c>
      <c r="B75" s="28" t="str">
        <f>[1]트램표준체크리스트!B73</f>
        <v>철도계획</v>
      </c>
      <c r="C75" s="29" t="str">
        <f>[1]트램표준체크리스트!C73</f>
        <v>배선계획</v>
      </c>
      <c r="D75" s="30" t="str">
        <f>[1]트램표준체크리스트!F73</f>
        <v>곡선·분기기 간 최소 직선거리(2.0m) 확보 누락으로 트램 대차가 두 곡선에 동시 진입해 심각한 궤도 비틀림 및 탈선이 유발될 리스크를 검토하였는가?</v>
      </c>
      <c r="E75" s="31" t="s">
        <v>240</v>
      </c>
      <c r="F75" s="32" t="str">
        <f t="shared" si="2"/>
        <v>극상</v>
      </c>
      <c r="G75" s="63" t="s">
        <v>40</v>
      </c>
      <c r="H75" s="63" t="s">
        <v>41</v>
      </c>
      <c r="I75" s="34" t="s">
        <v>241</v>
      </c>
      <c r="J75" s="33"/>
      <c r="K75" s="35"/>
      <c r="L75" s="33"/>
      <c r="M75" s="36"/>
      <c r="N75" s="33"/>
      <c r="O75" s="36"/>
      <c r="P75" s="33"/>
      <c r="Q75" s="37"/>
      <c r="R75" s="38"/>
      <c r="S75" s="33"/>
      <c r="T75" s="38"/>
      <c r="U75" s="33"/>
      <c r="V75" s="39"/>
      <c r="W75" s="90" t="b">
        <v>0</v>
      </c>
      <c r="X75" s="90" t="b">
        <v>0</v>
      </c>
      <c r="Y75" s="90" t="b">
        <v>0</v>
      </c>
      <c r="Z75" s="40" t="s">
        <v>242</v>
      </c>
      <c r="AA75" s="41"/>
      <c r="AK75" s="16"/>
      <c r="AL75" s="16"/>
      <c r="AM75" s="16"/>
      <c r="AN75" s="16"/>
      <c r="AO75" s="16"/>
      <c r="AP75" s="16"/>
      <c r="AQ75" s="16"/>
      <c r="AR75" s="16"/>
      <c r="AS75" s="16"/>
    </row>
    <row r="76" spans="1:45" s="7" customFormat="1" ht="195" customHeight="1">
      <c r="A76" s="27">
        <f>[1]트램표준체크리스트!A74</f>
        <v>72</v>
      </c>
      <c r="B76" s="28" t="str">
        <f>[1]트램표준체크리스트!B74</f>
        <v>철도계획</v>
      </c>
      <c r="C76" s="29" t="str">
        <f>[1]트램표준체크리스트!C74</f>
        <v>배선계획</v>
      </c>
      <c r="D76" s="30" t="str">
        <f>[1]트램표준체크리스트!F74</f>
        <v>차량기지 및 측선에 3‰ 초과 기울기가 설계되어 유치 중 차량이 굴러 본선 무단 진입 및 탈선할 리스크를 검토하였는가?</v>
      </c>
      <c r="E76" s="31" t="s">
        <v>243</v>
      </c>
      <c r="F76" s="32" t="str">
        <f t="shared" si="2"/>
        <v>극상</v>
      </c>
      <c r="G76" s="63" t="s">
        <v>40</v>
      </c>
      <c r="H76" s="63" t="s">
        <v>41</v>
      </c>
      <c r="I76" s="34" t="s">
        <v>244</v>
      </c>
      <c r="J76" s="33"/>
      <c r="K76" s="35"/>
      <c r="L76" s="33"/>
      <c r="M76" s="36"/>
      <c r="N76" s="33"/>
      <c r="O76" s="36"/>
      <c r="P76" s="33"/>
      <c r="Q76" s="37"/>
      <c r="R76" s="38"/>
      <c r="S76" s="33"/>
      <c r="T76" s="38"/>
      <c r="U76" s="33"/>
      <c r="V76" s="39"/>
      <c r="W76" s="90" t="b">
        <v>0</v>
      </c>
      <c r="X76" s="90" t="b">
        <v>0</v>
      </c>
      <c r="Y76" s="90" t="b">
        <v>0</v>
      </c>
      <c r="Z76" s="40" t="s">
        <v>245</v>
      </c>
      <c r="AA76" s="41"/>
      <c r="AK76" s="16"/>
      <c r="AL76" s="16"/>
      <c r="AM76" s="16"/>
      <c r="AN76" s="16"/>
      <c r="AO76" s="16"/>
      <c r="AP76" s="16"/>
      <c r="AQ76" s="16"/>
      <c r="AR76" s="16"/>
      <c r="AS76" s="16"/>
    </row>
    <row r="77" spans="1:45" s="7" customFormat="1" ht="195" customHeight="1">
      <c r="A77" s="27">
        <f>[1]트램표준체크리스트!A75</f>
        <v>73</v>
      </c>
      <c r="B77" s="28" t="str">
        <f>[1]트램표준체크리스트!B75</f>
        <v>철도계획</v>
      </c>
      <c r="C77" s="29" t="str">
        <f>[1]트램표준체크리스트!C75</f>
        <v>배선계획</v>
      </c>
      <c r="D77" s="30" t="str">
        <f>[1]트램표준체크리스트!F75</f>
        <v>충전 소요 시간 및 유치 공간을 미고려한 배선계획으로 충전 대기 차량이 본선 선로를 점유하여 열차 지연이 발생할 리스크를 검토하였는가?</v>
      </c>
      <c r="E77" s="31" t="s">
        <v>246</v>
      </c>
      <c r="F77" s="32" t="str">
        <f t="shared" si="2"/>
        <v>극상</v>
      </c>
      <c r="G77" s="63" t="s">
        <v>40</v>
      </c>
      <c r="H77" s="63" t="s">
        <v>41</v>
      </c>
      <c r="I77" s="34" t="s">
        <v>247</v>
      </c>
      <c r="J77" s="33"/>
      <c r="K77" s="35"/>
      <c r="L77" s="33"/>
      <c r="M77" s="36"/>
      <c r="N77" s="33"/>
      <c r="O77" s="36"/>
      <c r="P77" s="33"/>
      <c r="Q77" s="37"/>
      <c r="R77" s="38"/>
      <c r="S77" s="33"/>
      <c r="T77" s="38"/>
      <c r="U77" s="33"/>
      <c r="V77" s="39"/>
      <c r="W77" s="90" t="b">
        <v>0</v>
      </c>
      <c r="X77" s="90" t="b">
        <v>0</v>
      </c>
      <c r="Y77" s="90" t="b">
        <v>0</v>
      </c>
      <c r="Z77" s="40" t="s">
        <v>248</v>
      </c>
      <c r="AA77" s="41"/>
      <c r="AK77" s="16"/>
      <c r="AL77" s="16"/>
      <c r="AM77" s="16"/>
      <c r="AN77" s="16"/>
      <c r="AO77" s="16"/>
      <c r="AP77" s="16"/>
      <c r="AQ77" s="16"/>
      <c r="AR77" s="16"/>
      <c r="AS77" s="16"/>
    </row>
    <row r="78" spans="1:45" s="7" customFormat="1" ht="195" customHeight="1">
      <c r="A78" s="27">
        <f>[1]트램표준체크리스트!A76</f>
        <v>74</v>
      </c>
      <c r="B78" s="28" t="str">
        <f>[1]트램표준체크리스트!B76</f>
        <v>철도계획</v>
      </c>
      <c r="C78" s="29" t="str">
        <f>[1]트램표준체크리스트!C76</f>
        <v>배선계획</v>
      </c>
      <c r="D78" s="30" t="str">
        <f>[1]트램표준체크리스트!F76</f>
        <v>승객 수요 불균형을 무시한 단순 왕복 배선계획으로 출퇴근 시간대 혼잡구간의 수송 능력 부족 및 승객 적체가 발생할 리스크를 검토하였는가?</v>
      </c>
      <c r="E78" s="31" t="s">
        <v>249</v>
      </c>
      <c r="F78" s="32" t="str">
        <f t="shared" si="2"/>
        <v>극상</v>
      </c>
      <c r="G78" s="63" t="s">
        <v>40</v>
      </c>
      <c r="H78" s="63" t="s">
        <v>41</v>
      </c>
      <c r="I78" s="34" t="s">
        <v>250</v>
      </c>
      <c r="J78" s="33"/>
      <c r="K78" s="35"/>
      <c r="L78" s="33"/>
      <c r="M78" s="36"/>
      <c r="N78" s="33"/>
      <c r="O78" s="36"/>
      <c r="P78" s="33"/>
      <c r="Q78" s="37"/>
      <c r="R78" s="38"/>
      <c r="S78" s="33"/>
      <c r="T78" s="38"/>
      <c r="U78" s="33"/>
      <c r="V78" s="39"/>
      <c r="W78" s="90" t="b">
        <v>0</v>
      </c>
      <c r="X78" s="90" t="b">
        <v>0</v>
      </c>
      <c r="Y78" s="90" t="b">
        <v>0</v>
      </c>
      <c r="Z78" s="40" t="s">
        <v>251</v>
      </c>
      <c r="AA78" s="41"/>
      <c r="AK78" s="16"/>
      <c r="AL78" s="16"/>
      <c r="AM78" s="16"/>
      <c r="AN78" s="16"/>
      <c r="AO78" s="16"/>
      <c r="AP78" s="16"/>
      <c r="AQ78" s="16"/>
      <c r="AR78" s="16"/>
      <c r="AS78" s="16"/>
    </row>
    <row r="79" spans="1:45" s="7" customFormat="1" ht="195" customHeight="1">
      <c r="A79" s="27">
        <f>[1]트램표준체크리스트!A77</f>
        <v>75</v>
      </c>
      <c r="B79" s="28" t="str">
        <f>[1]트램표준체크리스트!B77</f>
        <v>철도계획</v>
      </c>
      <c r="C79" s="29" t="str">
        <f>[1]트램표준체크리스트!C77</f>
        <v>배선계획</v>
      </c>
      <c r="D79" s="30" t="str">
        <f>[1]트램표준체크리스트!F77</f>
        <v>선입선출 불가 및 입환·유치선 출고 동선 간 간섭 설계로 기지 내 열차 운영 효율이 저하되고 입출고 지연이 발생할 리스크를 검토하였는가?</v>
      </c>
      <c r="E79" s="31" t="s">
        <v>252</v>
      </c>
      <c r="F79" s="32" t="str">
        <f t="shared" si="2"/>
        <v>극상</v>
      </c>
      <c r="G79" s="63" t="s">
        <v>40</v>
      </c>
      <c r="H79" s="63" t="s">
        <v>41</v>
      </c>
      <c r="I79" s="34" t="s">
        <v>253</v>
      </c>
      <c r="J79" s="33"/>
      <c r="K79" s="35"/>
      <c r="L79" s="33"/>
      <c r="M79" s="36"/>
      <c r="N79" s="33"/>
      <c r="O79" s="36"/>
      <c r="P79" s="33"/>
      <c r="Q79" s="37"/>
      <c r="R79" s="38"/>
      <c r="S79" s="33"/>
      <c r="T79" s="38"/>
      <c r="U79" s="33"/>
      <c r="V79" s="39"/>
      <c r="W79" s="90" t="b">
        <v>0</v>
      </c>
      <c r="X79" s="90" t="b">
        <v>0</v>
      </c>
      <c r="Y79" s="90" t="b">
        <v>0</v>
      </c>
      <c r="Z79" s="40" t="s">
        <v>254</v>
      </c>
      <c r="AA79" s="41"/>
      <c r="AK79" s="16"/>
      <c r="AL79" s="16"/>
      <c r="AM79" s="16"/>
      <c r="AN79" s="16"/>
      <c r="AO79" s="16"/>
      <c r="AP79" s="16"/>
      <c r="AQ79" s="16"/>
      <c r="AR79" s="16"/>
      <c r="AS79" s="16"/>
    </row>
    <row r="80" spans="1:45" s="7" customFormat="1" ht="195" customHeight="1">
      <c r="A80" s="27">
        <f>[1]트램표준체크리스트!A78</f>
        <v>76</v>
      </c>
      <c r="B80" s="28" t="str">
        <f>[1]트램표준체크리스트!B78</f>
        <v>철도계획</v>
      </c>
      <c r="C80" s="29" t="str">
        <f>[1]트램표준체크리스트!C78</f>
        <v>보행 및 자전거도로 연계</v>
      </c>
      <c r="D80" s="30" t="str">
        <f>[1]트램표준체크리스트!F78</f>
        <v>자전거도로망 계획 연계 검토 누락으로 트램과 자전거 도로가 상충해 대형 교통사고 위험이 가중될 리스크를 검토하였는가?</v>
      </c>
      <c r="E80" s="31" t="s">
        <v>255</v>
      </c>
      <c r="F80" s="32" t="str">
        <f t="shared" si="2"/>
        <v>극상</v>
      </c>
      <c r="G80" s="63" t="s">
        <v>40</v>
      </c>
      <c r="H80" s="63" t="s">
        <v>41</v>
      </c>
      <c r="I80" s="34" t="s">
        <v>256</v>
      </c>
      <c r="J80" s="33"/>
      <c r="K80" s="35"/>
      <c r="L80" s="33"/>
      <c r="M80" s="36"/>
      <c r="N80" s="33"/>
      <c r="O80" s="36"/>
      <c r="P80" s="33"/>
      <c r="Q80" s="37"/>
      <c r="R80" s="38"/>
      <c r="S80" s="33"/>
      <c r="T80" s="38"/>
      <c r="U80" s="33"/>
      <c r="V80" s="39"/>
      <c r="W80" s="90" t="b">
        <v>0</v>
      </c>
      <c r="X80" s="90" t="b">
        <v>0</v>
      </c>
      <c r="Y80" s="90" t="b">
        <v>0</v>
      </c>
      <c r="Z80" s="40" t="s">
        <v>257</v>
      </c>
      <c r="AA80" s="41"/>
      <c r="AK80" s="16"/>
      <c r="AL80" s="16"/>
      <c r="AM80" s="16"/>
      <c r="AN80" s="16"/>
      <c r="AO80" s="16"/>
      <c r="AP80" s="16"/>
      <c r="AQ80" s="16"/>
      <c r="AR80" s="16"/>
      <c r="AS80" s="16"/>
    </row>
    <row r="81" spans="1:45" s="7" customFormat="1" ht="195" customHeight="1">
      <c r="A81" s="27">
        <f>[1]트램표준체크리스트!A79</f>
        <v>77</v>
      </c>
      <c r="B81" s="28" t="str">
        <f>[1]트램표준체크리스트!B79</f>
        <v>철도계획</v>
      </c>
      <c r="C81" s="29" t="str">
        <f>[1]트램표준체크리스트!C79</f>
        <v>본선 및 교차로 궤도 계획</v>
      </c>
      <c r="D81" s="30" t="str">
        <f>[1]트램표준체크리스트!F79</f>
        <v>대형차 하중 과소평가로 포장재가 파손되거나 레일 주변이 패여 일반 차량 타이어가 파손될 리스크를 검토하였는가?</v>
      </c>
      <c r="E81" s="31" t="s">
        <v>258</v>
      </c>
      <c r="F81" s="32" t="str">
        <f t="shared" si="2"/>
        <v>극상</v>
      </c>
      <c r="G81" s="63" t="s">
        <v>40</v>
      </c>
      <c r="H81" s="63" t="s">
        <v>41</v>
      </c>
      <c r="I81" s="34" t="s">
        <v>259</v>
      </c>
      <c r="J81" s="33"/>
      <c r="K81" s="35"/>
      <c r="L81" s="33"/>
      <c r="M81" s="36"/>
      <c r="N81" s="33"/>
      <c r="O81" s="36"/>
      <c r="P81" s="33"/>
      <c r="Q81" s="37"/>
      <c r="R81" s="38"/>
      <c r="S81" s="33"/>
      <c r="T81" s="38"/>
      <c r="U81" s="33"/>
      <c r="V81" s="39"/>
      <c r="W81" s="90" t="b">
        <v>0</v>
      </c>
      <c r="X81" s="90" t="b">
        <v>0</v>
      </c>
      <c r="Y81" s="90" t="b">
        <v>0</v>
      </c>
      <c r="Z81" s="40" t="s">
        <v>260</v>
      </c>
      <c r="AA81" s="41"/>
      <c r="AK81" s="16"/>
      <c r="AL81" s="16"/>
      <c r="AM81" s="16"/>
      <c r="AN81" s="16"/>
      <c r="AO81" s="16"/>
      <c r="AP81" s="16"/>
      <c r="AQ81" s="16"/>
      <c r="AR81" s="16"/>
      <c r="AS81" s="16"/>
    </row>
    <row r="82" spans="1:45" s="7" customFormat="1" ht="195" customHeight="1">
      <c r="A82" s="27">
        <f>[1]트램표준체크리스트!A80</f>
        <v>78</v>
      </c>
      <c r="B82" s="28" t="str">
        <f>[1]트램표준체크리스트!B80</f>
        <v>철도계획</v>
      </c>
      <c r="C82" s="29" t="str">
        <f>[1]트램표준체크리스트!C80</f>
        <v>본선 및 교차로 궤도 계획</v>
      </c>
      <c r="D82" s="30" t="str">
        <f>[1]트램표준체크리스트!F80</f>
        <v>일반 T형 레일 설계 등 홈붙이 레일(Grooved Rail) 누락으로 트램의 대형 탈선이 발생할 리스크를 검토하였는가?</v>
      </c>
      <c r="E82" s="31" t="s">
        <v>261</v>
      </c>
      <c r="F82" s="32" t="str">
        <f t="shared" si="2"/>
        <v>극상</v>
      </c>
      <c r="G82" s="63" t="s">
        <v>40</v>
      </c>
      <c r="H82" s="63" t="s">
        <v>41</v>
      </c>
      <c r="I82" s="34" t="s">
        <v>262</v>
      </c>
      <c r="J82" s="33"/>
      <c r="K82" s="35"/>
      <c r="L82" s="33"/>
      <c r="M82" s="36"/>
      <c r="N82" s="33"/>
      <c r="O82" s="36"/>
      <c r="P82" s="33"/>
      <c r="Q82" s="37"/>
      <c r="R82" s="38"/>
      <c r="S82" s="33"/>
      <c r="T82" s="38"/>
      <c r="U82" s="33"/>
      <c r="V82" s="39"/>
      <c r="W82" s="90" t="b">
        <v>0</v>
      </c>
      <c r="X82" s="90" t="b">
        <v>0</v>
      </c>
      <c r="Y82" s="90" t="b">
        <v>0</v>
      </c>
      <c r="Z82" s="40" t="s">
        <v>263</v>
      </c>
      <c r="AA82" s="41"/>
      <c r="AK82" s="16"/>
      <c r="AL82" s="16"/>
      <c r="AM82" s="16"/>
      <c r="AN82" s="16"/>
      <c r="AO82" s="16"/>
      <c r="AP82" s="16"/>
      <c r="AQ82" s="16"/>
      <c r="AR82" s="16"/>
      <c r="AS82" s="16"/>
    </row>
    <row r="83" spans="1:45" s="7" customFormat="1" ht="195" customHeight="1">
      <c r="A83" s="27">
        <f>[1]트램표준체크리스트!A81</f>
        <v>79</v>
      </c>
      <c r="B83" s="28" t="str">
        <f>[1]트램표준체크리스트!B81</f>
        <v>운영</v>
      </c>
      <c r="C83" s="29" t="str">
        <f>[1]트램표준체크리스트!C81</f>
        <v>본선 및 교차로 궤도 계획</v>
      </c>
      <c r="D83" s="30" t="str">
        <f>[1]트램표준체크리스트!F81</f>
        <v>정거장 과다 시각, 전선 및 지선간 운영시각 격차로 인성민원 발생 리스크를 검토하였는가?</v>
      </c>
      <c r="E83" s="31" t="s">
        <v>228</v>
      </c>
      <c r="F83" s="32" t="str">
        <f t="shared" si="2"/>
        <v>극상</v>
      </c>
      <c r="G83" s="63" t="s">
        <v>40</v>
      </c>
      <c r="H83" s="63" t="s">
        <v>41</v>
      </c>
      <c r="I83" s="34" t="s">
        <v>228</v>
      </c>
      <c r="J83" s="33"/>
      <c r="K83" s="35"/>
      <c r="L83" s="33"/>
      <c r="M83" s="36"/>
      <c r="N83" s="33"/>
      <c r="O83" s="36"/>
      <c r="P83" s="33"/>
      <c r="Q83" s="37"/>
      <c r="R83" s="38"/>
      <c r="S83" s="33"/>
      <c r="T83" s="38"/>
      <c r="U83" s="33"/>
      <c r="V83" s="39"/>
      <c r="W83" s="90" t="b">
        <v>0</v>
      </c>
      <c r="X83" s="90" t="b">
        <v>0</v>
      </c>
      <c r="Y83" s="90" t="b">
        <v>0</v>
      </c>
      <c r="Z83" s="40" t="s">
        <v>264</v>
      </c>
      <c r="AA83" s="41"/>
      <c r="AK83" s="16"/>
      <c r="AL83" s="16"/>
      <c r="AM83" s="16"/>
      <c r="AN83" s="16"/>
      <c r="AO83" s="16"/>
      <c r="AP83" s="16"/>
      <c r="AQ83" s="16"/>
      <c r="AR83" s="16"/>
      <c r="AS83" s="16"/>
    </row>
    <row r="84" spans="1:45" s="7" customFormat="1" ht="195" customHeight="1">
      <c r="A84" s="27">
        <f>[1]트램표준체크리스트!A82</f>
        <v>80</v>
      </c>
      <c r="B84" s="28" t="str">
        <f>[1]트램표준체크리스트!B82</f>
        <v>철도계획</v>
      </c>
      <c r="C84" s="29" t="str">
        <f>[1]트램표준체크리스트!C82</f>
        <v>본선 및 분기기 궤도 계획</v>
      </c>
      <c r="D84" s="30" t="str">
        <f>[1]트램표준체크리스트!F82</f>
        <v>궤도 강성 차이를 고려한 체감 설계 누락으로 트램 통과 시 강성 급변 지점의 과도한 충격 하중 및 승차감 저하가 발생할 리스크를 검토하였는가?</v>
      </c>
      <c r="E84" s="31" t="s">
        <v>265</v>
      </c>
      <c r="F84" s="32" t="str">
        <f t="shared" si="2"/>
        <v>극상</v>
      </c>
      <c r="G84" s="63" t="s">
        <v>40</v>
      </c>
      <c r="H84" s="63" t="s">
        <v>41</v>
      </c>
      <c r="I84" s="34" t="s">
        <v>266</v>
      </c>
      <c r="J84" s="33"/>
      <c r="K84" s="35"/>
      <c r="L84" s="33"/>
      <c r="M84" s="36"/>
      <c r="N84" s="33"/>
      <c r="O84" s="36"/>
      <c r="P84" s="33"/>
      <c r="Q84" s="37"/>
      <c r="R84" s="38"/>
      <c r="S84" s="33"/>
      <c r="T84" s="38"/>
      <c r="U84" s="33"/>
      <c r="V84" s="39"/>
      <c r="W84" s="90" t="b">
        <v>0</v>
      </c>
      <c r="X84" s="90" t="b">
        <v>0</v>
      </c>
      <c r="Y84" s="90" t="b">
        <v>0</v>
      </c>
      <c r="Z84" s="40" t="s">
        <v>267</v>
      </c>
      <c r="AA84" s="41"/>
      <c r="AK84" s="16"/>
      <c r="AL84" s="16"/>
      <c r="AM84" s="16"/>
      <c r="AN84" s="16"/>
      <c r="AO84" s="16"/>
      <c r="AP84" s="16"/>
      <c r="AQ84" s="16"/>
      <c r="AR84" s="16"/>
      <c r="AS84" s="16"/>
    </row>
    <row r="85" spans="1:45" s="7" customFormat="1" ht="195" customHeight="1">
      <c r="A85" s="27">
        <f>[1]트램표준체크리스트!A83</f>
        <v>81</v>
      </c>
      <c r="B85" s="28" t="str">
        <f>[1]트램표준체크리스트!B83</f>
        <v>철도계획</v>
      </c>
      <c r="C85" s="29" t="str">
        <f>[1]트램표준체크리스트!C83</f>
        <v>본선 선형 경합 방지 계획</v>
      </c>
      <c r="D85" s="30" t="str">
        <f>[1]트램표준체크리스트!F83</f>
        <v>선형과 분기기의 무리한 경합 설계로 열차 통과 시 궤도 비틀림에 의한 주행 불안정 및 탈선이 발생할 리스크를 검토하였는가?</v>
      </c>
      <c r="E85" s="31" t="s">
        <v>268</v>
      </c>
      <c r="F85" s="32" t="str">
        <f t="shared" si="2"/>
        <v>극상</v>
      </c>
      <c r="G85" s="63" t="s">
        <v>40</v>
      </c>
      <c r="H85" s="63" t="s">
        <v>41</v>
      </c>
      <c r="I85" s="34" t="s">
        <v>269</v>
      </c>
      <c r="J85" s="33"/>
      <c r="K85" s="35"/>
      <c r="L85" s="33"/>
      <c r="M85" s="36"/>
      <c r="N85" s="33"/>
      <c r="O85" s="36"/>
      <c r="P85" s="33"/>
      <c r="Q85" s="37"/>
      <c r="R85" s="38"/>
      <c r="S85" s="33"/>
      <c r="T85" s="38"/>
      <c r="U85" s="33"/>
      <c r="V85" s="39"/>
      <c r="W85" s="90" t="b">
        <v>0</v>
      </c>
      <c r="X85" s="90" t="b">
        <v>0</v>
      </c>
      <c r="Y85" s="90" t="b">
        <v>0</v>
      </c>
      <c r="Z85" s="40" t="s">
        <v>270</v>
      </c>
      <c r="AA85" s="41"/>
      <c r="AK85" s="16"/>
      <c r="AL85" s="16"/>
      <c r="AM85" s="16"/>
      <c r="AN85" s="16"/>
      <c r="AO85" s="16"/>
      <c r="AP85" s="16"/>
      <c r="AQ85" s="16"/>
      <c r="AR85" s="16"/>
      <c r="AS85" s="16"/>
    </row>
    <row r="86" spans="1:45" s="7" customFormat="1" ht="195" customHeight="1">
      <c r="A86" s="27">
        <f>[1]트램표준체크리스트!A84</f>
        <v>82</v>
      </c>
      <c r="B86" s="28" t="str">
        <f>[1]트램표준체크리스트!B84</f>
        <v>철도계획</v>
      </c>
      <c r="C86" s="29" t="str">
        <f>[1]트램표준체크리스트!C84</f>
        <v>본선 평면선형 계획</v>
      </c>
      <c r="D86" s="30" t="str">
        <f>[1]트램표준체크리스트!F84</f>
        <v>도로 혼용 구간에 무리한 캔트 설계로 일반 차량 주행 안전성을 저해하거나 적정 슬랙(Slack) 산정 누락으로 트램 차륜 편마모가 가중될 리스크를 검토하였는가?</v>
      </c>
      <c r="E86" s="31" t="s">
        <v>228</v>
      </c>
      <c r="F86" s="32" t="str">
        <f t="shared" si="2"/>
        <v>극상</v>
      </c>
      <c r="G86" s="63" t="s">
        <v>40</v>
      </c>
      <c r="H86" s="63" t="s">
        <v>41</v>
      </c>
      <c r="I86" s="34" t="s">
        <v>228</v>
      </c>
      <c r="J86" s="33"/>
      <c r="K86" s="35"/>
      <c r="L86" s="33"/>
      <c r="M86" s="36"/>
      <c r="N86" s="33"/>
      <c r="O86" s="36"/>
      <c r="P86" s="33"/>
      <c r="Q86" s="37"/>
      <c r="R86" s="38"/>
      <c r="S86" s="33"/>
      <c r="T86" s="38"/>
      <c r="U86" s="33"/>
      <c r="V86" s="39"/>
      <c r="W86" s="90" t="b">
        <v>0</v>
      </c>
      <c r="X86" s="90" t="b">
        <v>0</v>
      </c>
      <c r="Y86" s="90" t="b">
        <v>0</v>
      </c>
      <c r="Z86" s="40" t="s">
        <v>271</v>
      </c>
      <c r="AA86" s="41"/>
      <c r="AK86" s="16"/>
      <c r="AL86" s="16"/>
      <c r="AM86" s="16"/>
      <c r="AN86" s="16"/>
      <c r="AO86" s="16"/>
      <c r="AP86" s="16"/>
      <c r="AQ86" s="16"/>
      <c r="AR86" s="16"/>
      <c r="AS86" s="16"/>
    </row>
    <row r="87" spans="1:45" s="7" customFormat="1" ht="195" customHeight="1">
      <c r="A87" s="27">
        <f>[1]트램표준체크리스트!A85</f>
        <v>83</v>
      </c>
      <c r="B87" s="28" t="str">
        <f>[1]트램표준체크리스트!B85</f>
        <v>철도계획</v>
      </c>
      <c r="C87" s="29" t="str">
        <f>[1]트램표준체크리스트!C85</f>
        <v>본선 평면선형 계획</v>
      </c>
      <c r="D87" s="30" t="str">
        <f>[1]트램표준체크리스트!F85</f>
        <v>순원형곡선 길이가 15m 또는 대차 중심간격 미만으로 설계되어 트램 대차의 비틀림 및 주행 저항이 급증할 리스크를 검토하였는가?</v>
      </c>
      <c r="E87" s="31" t="s">
        <v>272</v>
      </c>
      <c r="F87" s="32" t="str">
        <f t="shared" si="2"/>
        <v>극상</v>
      </c>
      <c r="G87" s="63" t="s">
        <v>40</v>
      </c>
      <c r="H87" s="63" t="s">
        <v>41</v>
      </c>
      <c r="I87" s="34" t="s">
        <v>273</v>
      </c>
      <c r="J87" s="33"/>
      <c r="K87" s="35"/>
      <c r="L87" s="33"/>
      <c r="M87" s="36"/>
      <c r="N87" s="33"/>
      <c r="O87" s="36"/>
      <c r="P87" s="33"/>
      <c r="Q87" s="37"/>
      <c r="R87" s="38"/>
      <c r="S87" s="33"/>
      <c r="T87" s="38"/>
      <c r="U87" s="33"/>
      <c r="V87" s="39"/>
      <c r="W87" s="90" t="b">
        <v>0</v>
      </c>
      <c r="X87" s="90" t="b">
        <v>0</v>
      </c>
      <c r="Y87" s="90" t="b">
        <v>0</v>
      </c>
      <c r="Z87" s="40" t="s">
        <v>274</v>
      </c>
      <c r="AA87" s="41"/>
      <c r="AK87" s="16"/>
      <c r="AL87" s="16"/>
      <c r="AM87" s="16"/>
      <c r="AN87" s="16"/>
      <c r="AO87" s="16"/>
      <c r="AP87" s="16"/>
      <c r="AQ87" s="16"/>
      <c r="AR87" s="16"/>
      <c r="AS87" s="16"/>
    </row>
    <row r="88" spans="1:45" s="7" customFormat="1" ht="195" customHeight="1">
      <c r="A88" s="27">
        <f>[1]트램표준체크리스트!A86</f>
        <v>84</v>
      </c>
      <c r="B88" s="28" t="str">
        <f>[1]트램표준체크리스트!B86</f>
        <v>철도계획</v>
      </c>
      <c r="C88" s="29" t="str">
        <f>[1]트램표준체크리스트!C86</f>
        <v>사업관리 및 운영계획</v>
      </c>
      <c r="D88" s="30" t="str">
        <f>[1]트램표준체크리스트!F86</f>
        <v>인수인계 전 방재 및 계측설비 전력사용료 산정 누락으로, 종합시험운행 중 시설 가동이 중단되거나 비용 분쟁이 유발될 리스크를 검토하였는가?</v>
      </c>
      <c r="E88" s="31" t="s">
        <v>228</v>
      </c>
      <c r="F88" s="32" t="str">
        <f t="shared" si="2"/>
        <v>극상</v>
      </c>
      <c r="G88" s="63" t="s">
        <v>40</v>
      </c>
      <c r="H88" s="63" t="s">
        <v>41</v>
      </c>
      <c r="I88" s="34" t="s">
        <v>228</v>
      </c>
      <c r="J88" s="33"/>
      <c r="K88" s="35"/>
      <c r="L88" s="33"/>
      <c r="M88" s="36"/>
      <c r="N88" s="33"/>
      <c r="O88" s="36"/>
      <c r="P88" s="33"/>
      <c r="Q88" s="37"/>
      <c r="R88" s="38"/>
      <c r="S88" s="33"/>
      <c r="T88" s="38"/>
      <c r="U88" s="33"/>
      <c r="V88" s="39"/>
      <c r="W88" s="90" t="b">
        <v>0</v>
      </c>
      <c r="X88" s="90" t="b">
        <v>0</v>
      </c>
      <c r="Y88" s="90" t="b">
        <v>0</v>
      </c>
      <c r="Z88" s="40" t="s">
        <v>275</v>
      </c>
      <c r="AA88" s="41"/>
      <c r="AK88" s="16"/>
      <c r="AL88" s="16"/>
      <c r="AM88" s="16"/>
      <c r="AN88" s="16"/>
      <c r="AO88" s="16"/>
      <c r="AP88" s="16"/>
      <c r="AQ88" s="16"/>
      <c r="AR88" s="16"/>
      <c r="AS88" s="16"/>
    </row>
    <row r="89" spans="1:45" s="7" customFormat="1" ht="195" customHeight="1">
      <c r="A89" s="27">
        <f>[1]트램표준체크리스트!A87</f>
        <v>85</v>
      </c>
      <c r="B89" s="28" t="str">
        <f>[1]트램표준체크리스트!B87</f>
        <v>철도계획</v>
      </c>
      <c r="C89" s="29" t="str">
        <f>[1]트램표준체크리스트!C87</f>
        <v>선로 횡단부 안전 계획</v>
      </c>
      <c r="D89" s="30" t="str">
        <f>[1]트램표준체크리스트!F87</f>
        <v>매립형 궤도 홈 끼임 방지 대책 및 안전 교차각 누락으로 자전거 전도 등 사고가 발생할 리스크를 검토하였는가?</v>
      </c>
      <c r="E89" s="31" t="s">
        <v>276</v>
      </c>
      <c r="F89" s="32" t="str">
        <f t="shared" si="2"/>
        <v>극상</v>
      </c>
      <c r="G89" s="63" t="s">
        <v>40</v>
      </c>
      <c r="H89" s="63" t="s">
        <v>41</v>
      </c>
      <c r="I89" s="34" t="s">
        <v>277</v>
      </c>
      <c r="J89" s="33"/>
      <c r="K89" s="35"/>
      <c r="L89" s="33"/>
      <c r="M89" s="36"/>
      <c r="N89" s="33"/>
      <c r="O89" s="36"/>
      <c r="P89" s="33"/>
      <c r="Q89" s="37"/>
      <c r="R89" s="38"/>
      <c r="S89" s="33"/>
      <c r="T89" s="38"/>
      <c r="U89" s="33"/>
      <c r="V89" s="39"/>
      <c r="W89" s="90" t="b">
        <v>0</v>
      </c>
      <c r="X89" s="90" t="b">
        <v>0</v>
      </c>
      <c r="Y89" s="90" t="b">
        <v>0</v>
      </c>
      <c r="Z89" s="40" t="s">
        <v>278</v>
      </c>
      <c r="AA89" s="41"/>
      <c r="AK89" s="16"/>
      <c r="AL89" s="16"/>
      <c r="AM89" s="16"/>
      <c r="AN89" s="16"/>
      <c r="AO89" s="16"/>
      <c r="AP89" s="16"/>
      <c r="AQ89" s="16"/>
      <c r="AR89" s="16"/>
      <c r="AS89" s="16"/>
    </row>
    <row r="90" spans="1:45" s="7" customFormat="1" ht="195" customHeight="1">
      <c r="A90" s="27">
        <f>[1]트램표준체크리스트!A88</f>
        <v>86</v>
      </c>
      <c r="B90" s="28" t="str">
        <f>[1]트램표준체크리스트!B88</f>
        <v>철도계획</v>
      </c>
      <c r="C90" s="29" t="str">
        <f>[1]트램표준체크리스트!C88</f>
        <v>선로 횡단부 안전 계획</v>
      </c>
      <c r="D90" s="30" t="str">
        <f>[1]트램표준체크리스트!F88</f>
        <v>동적 편의량 및 안전거리(150mm) 미고려에 따른 협소한 선로중심간격으로 교행 시 측면 충돌 사고가 발생할 리스크를 검토하였는가?</v>
      </c>
      <c r="E90" s="31" t="s">
        <v>279</v>
      </c>
      <c r="F90" s="32" t="str">
        <f t="shared" si="2"/>
        <v>극상</v>
      </c>
      <c r="G90" s="63" t="s">
        <v>40</v>
      </c>
      <c r="H90" s="63" t="s">
        <v>41</v>
      </c>
      <c r="I90" s="34" t="s">
        <v>280</v>
      </c>
      <c r="J90" s="33"/>
      <c r="K90" s="35"/>
      <c r="L90" s="33"/>
      <c r="M90" s="36"/>
      <c r="N90" s="33"/>
      <c r="O90" s="36"/>
      <c r="P90" s="33"/>
      <c r="Q90" s="37"/>
      <c r="R90" s="38"/>
      <c r="S90" s="33"/>
      <c r="T90" s="38"/>
      <c r="U90" s="33"/>
      <c r="V90" s="39"/>
      <c r="W90" s="90" t="b">
        <v>0</v>
      </c>
      <c r="X90" s="90" t="b">
        <v>0</v>
      </c>
      <c r="Y90" s="90" t="b">
        <v>0</v>
      </c>
      <c r="Z90" s="40" t="s">
        <v>281</v>
      </c>
      <c r="AA90" s="41"/>
      <c r="AK90" s="16"/>
      <c r="AL90" s="16"/>
      <c r="AM90" s="16"/>
      <c r="AN90" s="16"/>
      <c r="AO90" s="16"/>
      <c r="AP90" s="16"/>
      <c r="AQ90" s="16"/>
      <c r="AR90" s="16"/>
      <c r="AS90" s="16"/>
    </row>
    <row r="91" spans="1:45" s="7" customFormat="1" ht="195" customHeight="1">
      <c r="A91" s="27">
        <f>[1]트램표준체크리스트!A89</f>
        <v>87</v>
      </c>
      <c r="B91" s="28" t="str">
        <f>[1]트램표준체크리스트!B89</f>
        <v>운영</v>
      </c>
      <c r="C91" s="29" t="str">
        <f>[1]트램표준체크리스트!C89</f>
        <v>선로 횡단부 안전 계획</v>
      </c>
      <c r="D91" s="30" t="str">
        <f>[1]트램표준체크리스트!F89</f>
        <v>제한속도 초과 운전에 의한 탈선 리스크를 검토하였는가?</v>
      </c>
      <c r="E91" s="31" t="s">
        <v>282</v>
      </c>
      <c r="F91" s="32" t="str">
        <f t="shared" si="2"/>
        <v>극상</v>
      </c>
      <c r="G91" s="63" t="s">
        <v>40</v>
      </c>
      <c r="H91" s="63" t="s">
        <v>41</v>
      </c>
      <c r="I91" s="34" t="s">
        <v>283</v>
      </c>
      <c r="J91" s="33"/>
      <c r="K91" s="35"/>
      <c r="L91" s="33"/>
      <c r="M91" s="36"/>
      <c r="N91" s="33"/>
      <c r="O91" s="36"/>
      <c r="P91" s="33"/>
      <c r="Q91" s="37"/>
      <c r="R91" s="38"/>
      <c r="S91" s="33"/>
      <c r="T91" s="38"/>
      <c r="U91" s="33"/>
      <c r="V91" s="39"/>
      <c r="W91" s="90" t="b">
        <v>0</v>
      </c>
      <c r="X91" s="90" t="b">
        <v>0</v>
      </c>
      <c r="Y91" s="90" t="b">
        <v>0</v>
      </c>
      <c r="Z91" s="40" t="s">
        <v>284</v>
      </c>
      <c r="AA91" s="41"/>
      <c r="AK91" s="16"/>
      <c r="AL91" s="16"/>
      <c r="AM91" s="16"/>
      <c r="AN91" s="16"/>
      <c r="AO91" s="16"/>
      <c r="AP91" s="16"/>
      <c r="AQ91" s="16"/>
      <c r="AR91" s="16"/>
      <c r="AS91" s="16"/>
    </row>
    <row r="92" spans="1:45" s="7" customFormat="1" ht="195" customHeight="1">
      <c r="A92" s="27">
        <f>[1]트램표준체크리스트!A90</f>
        <v>88</v>
      </c>
      <c r="B92" s="28" t="str">
        <f>[1]트램표준체크리스트!B90</f>
        <v>운영</v>
      </c>
      <c r="C92" s="29" t="str">
        <f>[1]트램표준체크리스트!C90</f>
        <v>선로 횡단부 안전 계획</v>
      </c>
      <c r="D92" s="30" t="str">
        <f>[1]트램표준체크리스트!F90</f>
        <v>운전자 실수에 의한 선로 오진입 리스크를 검토하였는가?</v>
      </c>
      <c r="E92" s="31" t="s">
        <v>285</v>
      </c>
      <c r="F92" s="32" t="str">
        <f t="shared" si="2"/>
        <v>극상</v>
      </c>
      <c r="G92" s="63" t="s">
        <v>40</v>
      </c>
      <c r="H92" s="63" t="s">
        <v>41</v>
      </c>
      <c r="I92" s="34" t="s">
        <v>286</v>
      </c>
      <c r="J92" s="33"/>
      <c r="K92" s="35"/>
      <c r="L92" s="33"/>
      <c r="M92" s="36"/>
      <c r="N92" s="33"/>
      <c r="O92" s="36"/>
      <c r="P92" s="33"/>
      <c r="Q92" s="37"/>
      <c r="R92" s="38"/>
      <c r="S92" s="33"/>
      <c r="T92" s="38"/>
      <c r="U92" s="33"/>
      <c r="V92" s="39"/>
      <c r="W92" s="90" t="b">
        <v>0</v>
      </c>
      <c r="X92" s="90" t="b">
        <v>0</v>
      </c>
      <c r="Y92" s="90" t="b">
        <v>0</v>
      </c>
      <c r="Z92" s="40" t="s">
        <v>287</v>
      </c>
      <c r="AA92" s="41"/>
      <c r="AK92" s="16"/>
      <c r="AL92" s="16"/>
      <c r="AM92" s="16"/>
      <c r="AN92" s="16"/>
      <c r="AO92" s="16"/>
      <c r="AP92" s="16"/>
      <c r="AQ92" s="16"/>
      <c r="AR92" s="16"/>
      <c r="AS92" s="16"/>
    </row>
    <row r="93" spans="1:45" s="7" customFormat="1" ht="195" customHeight="1">
      <c r="A93" s="27">
        <f>[1]트램표준체크리스트!A91</f>
        <v>89</v>
      </c>
      <c r="B93" s="28" t="str">
        <f>[1]트램표준체크리스트!B91</f>
        <v>철도계획</v>
      </c>
      <c r="C93" s="29" t="str">
        <f>[1]트램표준체크리스트!C91</f>
        <v>선형 및 교통계획</v>
      </c>
      <c r="D93" s="30" t="str">
        <f>[1]트램표준체크리스트!F91</f>
        <v>평면 교차 지점의 시인성 확보 및 보호설비 누락으로 무단 횡단에 따른 치명적 인명 사고가 유발될 리스크를 검토하였는가?</v>
      </c>
      <c r="E93" s="31" t="s">
        <v>288</v>
      </c>
      <c r="F93" s="32" t="str">
        <f t="shared" si="2"/>
        <v>극상</v>
      </c>
      <c r="G93" s="63" t="s">
        <v>40</v>
      </c>
      <c r="H93" s="63" t="s">
        <v>41</v>
      </c>
      <c r="I93" s="34" t="s">
        <v>289</v>
      </c>
      <c r="J93" s="33"/>
      <c r="K93" s="35"/>
      <c r="L93" s="33"/>
      <c r="M93" s="36"/>
      <c r="N93" s="33"/>
      <c r="O93" s="36"/>
      <c r="P93" s="33"/>
      <c r="Q93" s="37"/>
      <c r="R93" s="38"/>
      <c r="S93" s="33"/>
      <c r="T93" s="38"/>
      <c r="U93" s="33"/>
      <c r="V93" s="39"/>
      <c r="W93" s="90" t="b">
        <v>0</v>
      </c>
      <c r="X93" s="90" t="b">
        <v>0</v>
      </c>
      <c r="Y93" s="90" t="b">
        <v>0</v>
      </c>
      <c r="Z93" s="40" t="s">
        <v>290</v>
      </c>
      <c r="AA93" s="41"/>
      <c r="AK93" s="16"/>
      <c r="AL93" s="16"/>
      <c r="AM93" s="16"/>
      <c r="AN93" s="16"/>
      <c r="AO93" s="16"/>
      <c r="AP93" s="16"/>
      <c r="AQ93" s="16"/>
      <c r="AR93" s="16"/>
      <c r="AS93" s="16"/>
    </row>
    <row r="94" spans="1:45" s="7" customFormat="1" ht="195" customHeight="1">
      <c r="A94" s="27">
        <f>[1]트램표준체크리스트!A92</f>
        <v>90</v>
      </c>
      <c r="B94" s="28" t="str">
        <f>[1]트램표준체크리스트!B92</f>
        <v>철도계획</v>
      </c>
      <c r="C94" s="29" t="str">
        <f>[1]트램표준체크리스트!C92</f>
        <v>선형 및 교통계획</v>
      </c>
      <c r="D94" s="30" t="str">
        <f>[1]트램표준체크리스트!F92</f>
        <v>녹지공간 미활용 및 일반 차로 과도 잠식으로 도로교통 서비스 수준(LOS) 악화 및 경찰청 교통안전시설 심의 탈락 리스크를 검토하였는가?</v>
      </c>
      <c r="E94" s="31" t="s">
        <v>291</v>
      </c>
      <c r="F94" s="32" t="str">
        <f t="shared" si="2"/>
        <v>극상</v>
      </c>
      <c r="G94" s="63" t="s">
        <v>40</v>
      </c>
      <c r="H94" s="63" t="s">
        <v>41</v>
      </c>
      <c r="I94" s="34" t="s">
        <v>292</v>
      </c>
      <c r="J94" s="33"/>
      <c r="K94" s="35"/>
      <c r="L94" s="33"/>
      <c r="M94" s="36"/>
      <c r="N94" s="33"/>
      <c r="O94" s="36"/>
      <c r="P94" s="33"/>
      <c r="Q94" s="37"/>
      <c r="R94" s="38"/>
      <c r="S94" s="33"/>
      <c r="T94" s="38"/>
      <c r="U94" s="33"/>
      <c r="V94" s="39"/>
      <c r="W94" s="90" t="b">
        <v>0</v>
      </c>
      <c r="X94" s="90" t="b">
        <v>0</v>
      </c>
      <c r="Y94" s="90" t="b">
        <v>0</v>
      </c>
      <c r="Z94" s="40" t="s">
        <v>117</v>
      </c>
      <c r="AA94" s="41"/>
      <c r="AK94" s="16"/>
      <c r="AL94" s="16"/>
      <c r="AM94" s="16"/>
      <c r="AN94" s="16"/>
      <c r="AO94" s="16"/>
      <c r="AP94" s="16"/>
      <c r="AQ94" s="16"/>
      <c r="AR94" s="16"/>
      <c r="AS94" s="16"/>
    </row>
    <row r="95" spans="1:45" s="7" customFormat="1" ht="195" customHeight="1">
      <c r="A95" s="27">
        <f>[1]트램표준체크리스트!A93</f>
        <v>91</v>
      </c>
      <c r="B95" s="28" t="str">
        <f>[1]트램표준체크리스트!B93</f>
        <v>철도계획</v>
      </c>
      <c r="C95" s="29" t="str">
        <f>[1]트램표준체크리스트!C93</f>
        <v>선형 및 교통계획</v>
      </c>
      <c r="D95" s="30" t="str">
        <f>[1]트램표준체크리스트!F93</f>
        <v>기존 버스 이용객 불편 및 일반 차로 교통 혼잡 미고려로 경찰청 심의 지연 및 심각한 교통 민원이 유발될 리스크를 검토하였는가?</v>
      </c>
      <c r="E95" s="31" t="s">
        <v>228</v>
      </c>
      <c r="F95" s="32" t="str">
        <f t="shared" si="2"/>
        <v>극상</v>
      </c>
      <c r="G95" s="63" t="s">
        <v>40</v>
      </c>
      <c r="H95" s="63" t="s">
        <v>41</v>
      </c>
      <c r="I95" s="34" t="s">
        <v>228</v>
      </c>
      <c r="J95" s="33"/>
      <c r="K95" s="35"/>
      <c r="L95" s="33"/>
      <c r="M95" s="36"/>
      <c r="N95" s="33"/>
      <c r="O95" s="36"/>
      <c r="P95" s="33"/>
      <c r="Q95" s="37"/>
      <c r="R95" s="38"/>
      <c r="S95" s="33"/>
      <c r="T95" s="38"/>
      <c r="U95" s="33"/>
      <c r="V95" s="39"/>
      <c r="W95" s="90" t="b">
        <v>0</v>
      </c>
      <c r="X95" s="90" t="b">
        <v>0</v>
      </c>
      <c r="Y95" s="90" t="b">
        <v>0</v>
      </c>
      <c r="Z95" s="40" t="s">
        <v>293</v>
      </c>
      <c r="AA95" s="41"/>
      <c r="AK95" s="16"/>
      <c r="AL95" s="16"/>
      <c r="AM95" s="16"/>
      <c r="AN95" s="16"/>
      <c r="AO95" s="16"/>
      <c r="AP95" s="16"/>
      <c r="AQ95" s="16"/>
      <c r="AR95" s="16"/>
      <c r="AS95" s="16"/>
    </row>
    <row r="96" spans="1:45" s="7" customFormat="1" ht="195" customHeight="1">
      <c r="A96" s="27">
        <f>[1]트램표준체크리스트!A94</f>
        <v>92</v>
      </c>
      <c r="B96" s="28" t="str">
        <f>[1]트램표준체크리스트!B94</f>
        <v>철도계획</v>
      </c>
      <c r="C96" s="29" t="str">
        <f>[1]트램표준체크리스트!C94</f>
        <v>선형 및 궤도계획</v>
      </c>
      <c r="D96" s="30" t="str">
        <f>[1]트램표준체크리스트!F94</f>
        <v>본선 저번수(F4) 분기기 설계 및 기지 급곡선부 일반 레일 적용으로 궤도 조기 파손이 발생할 리스크를 검토하였는가?</v>
      </c>
      <c r="E96" s="31" t="s">
        <v>294</v>
      </c>
      <c r="F96" s="32" t="str">
        <f t="shared" si="2"/>
        <v>극상</v>
      </c>
      <c r="G96" s="63" t="s">
        <v>40</v>
      </c>
      <c r="H96" s="63" t="s">
        <v>41</v>
      </c>
      <c r="I96" s="34" t="s">
        <v>295</v>
      </c>
      <c r="J96" s="33"/>
      <c r="K96" s="35"/>
      <c r="L96" s="33"/>
      <c r="M96" s="36"/>
      <c r="N96" s="33"/>
      <c r="O96" s="36"/>
      <c r="P96" s="33"/>
      <c r="Q96" s="37"/>
      <c r="R96" s="38"/>
      <c r="S96" s="33"/>
      <c r="T96" s="38"/>
      <c r="U96" s="33"/>
      <c r="V96" s="39"/>
      <c r="W96" s="90" t="b">
        <v>0</v>
      </c>
      <c r="X96" s="90" t="b">
        <v>0</v>
      </c>
      <c r="Y96" s="90" t="b">
        <v>0</v>
      </c>
      <c r="Z96" s="40" t="s">
        <v>296</v>
      </c>
      <c r="AA96" s="41"/>
      <c r="AK96" s="16"/>
      <c r="AL96" s="16"/>
      <c r="AM96" s="16"/>
      <c r="AN96" s="16"/>
      <c r="AO96" s="16"/>
      <c r="AP96" s="16"/>
      <c r="AQ96" s="16"/>
      <c r="AR96" s="16"/>
      <c r="AS96" s="16"/>
    </row>
    <row r="97" spans="1:45" s="7" customFormat="1" ht="195" customHeight="1">
      <c r="A97" s="27">
        <f>[1]트램표준체크리스트!A95</f>
        <v>93</v>
      </c>
      <c r="B97" s="28" t="str">
        <f>[1]트램표준체크리스트!B95</f>
        <v>철도계획</v>
      </c>
      <c r="C97" s="29" t="str">
        <f>[1]트램표준체크리스트!C95</f>
        <v>선형 및 궤도계획</v>
      </c>
      <c r="D97" s="30" t="str">
        <f>[1]트램표준체크리스트!F95</f>
        <v>홈붙이 레일 플랜지웨이 폭이 47mm를 초과하게 설계되어 자전거 바퀴나 보행자 발 빠짐에 따른 중대 교통사고가 발생할 리스크를 검토하였는가?</v>
      </c>
      <c r="E97" s="31" t="s">
        <v>297</v>
      </c>
      <c r="F97" s="32" t="str">
        <f t="shared" si="2"/>
        <v>극상</v>
      </c>
      <c r="G97" s="63" t="s">
        <v>40</v>
      </c>
      <c r="H97" s="63" t="s">
        <v>41</v>
      </c>
      <c r="I97" s="34" t="s">
        <v>298</v>
      </c>
      <c r="J97" s="33"/>
      <c r="K97" s="35"/>
      <c r="L97" s="33"/>
      <c r="M97" s="36"/>
      <c r="N97" s="33"/>
      <c r="O97" s="36"/>
      <c r="P97" s="33"/>
      <c r="Q97" s="37"/>
      <c r="R97" s="38"/>
      <c r="S97" s="33"/>
      <c r="T97" s="38"/>
      <c r="U97" s="33"/>
      <c r="V97" s="39"/>
      <c r="W97" s="90" t="b">
        <v>0</v>
      </c>
      <c r="X97" s="90" t="b">
        <v>0</v>
      </c>
      <c r="Y97" s="90" t="b">
        <v>0</v>
      </c>
      <c r="Z97" s="40" t="s">
        <v>278</v>
      </c>
      <c r="AA97" s="41"/>
      <c r="AK97" s="16"/>
      <c r="AL97" s="16"/>
      <c r="AM97" s="16"/>
      <c r="AN97" s="16"/>
      <c r="AO97" s="16"/>
      <c r="AP97" s="16"/>
      <c r="AQ97" s="16"/>
      <c r="AR97" s="16"/>
      <c r="AS97" s="16"/>
    </row>
    <row r="98" spans="1:45" s="7" customFormat="1" ht="195" customHeight="1">
      <c r="A98" s="27">
        <f>[1]트램표준체크리스트!A96</f>
        <v>94</v>
      </c>
      <c r="B98" s="28" t="str">
        <f>[1]트램표준체크리스트!B96</f>
        <v>철도계획</v>
      </c>
      <c r="C98" s="29" t="str">
        <f>[1]트램표준체크리스트!C96</f>
        <v>선형 및 궤도계획</v>
      </c>
      <c r="D98" s="30" t="str">
        <f>[1]트램표준체크리스트!F96</f>
        <v>장기 마모 한도 예측 및 탈선 해석 누락으로 레일이 허용치 이상 마모될 때 곡선부에서 열차가 이탈할 리스크를 검토하였는가?</v>
      </c>
      <c r="E98" s="31" t="s">
        <v>299</v>
      </c>
      <c r="F98" s="32" t="str">
        <f t="shared" si="2"/>
        <v>극상</v>
      </c>
      <c r="G98" s="63" t="s">
        <v>40</v>
      </c>
      <c r="H98" s="63" t="s">
        <v>41</v>
      </c>
      <c r="I98" s="34" t="s">
        <v>300</v>
      </c>
      <c r="J98" s="33"/>
      <c r="K98" s="35"/>
      <c r="L98" s="33"/>
      <c r="M98" s="36"/>
      <c r="N98" s="33"/>
      <c r="O98" s="36"/>
      <c r="P98" s="33"/>
      <c r="Q98" s="37"/>
      <c r="R98" s="38"/>
      <c r="S98" s="33"/>
      <c r="T98" s="38"/>
      <c r="U98" s="33"/>
      <c r="V98" s="39"/>
      <c r="W98" s="90" t="b">
        <v>0</v>
      </c>
      <c r="X98" s="90" t="b">
        <v>0</v>
      </c>
      <c r="Y98" s="90" t="b">
        <v>0</v>
      </c>
      <c r="Z98" s="40" t="s">
        <v>301</v>
      </c>
      <c r="AA98" s="41"/>
      <c r="AK98" s="16"/>
      <c r="AL98" s="16"/>
      <c r="AM98" s="16"/>
      <c r="AN98" s="16"/>
      <c r="AO98" s="16"/>
      <c r="AP98" s="16"/>
      <c r="AQ98" s="16"/>
      <c r="AR98" s="16"/>
      <c r="AS98" s="16"/>
    </row>
    <row r="99" spans="1:45" s="7" customFormat="1" ht="195" customHeight="1">
      <c r="A99" s="27">
        <f>[1]트램표준체크리스트!A97</f>
        <v>95</v>
      </c>
      <c r="B99" s="28" t="str">
        <f>[1]트램표준체크리스트!B97</f>
        <v>철도계획</v>
      </c>
      <c r="C99" s="29" t="str">
        <f>[1]트램표준체크리스트!C97</f>
        <v>선형 및 궤도계획</v>
      </c>
      <c r="D99" s="30" t="str">
        <f>[1]트램표준체크리스트!F97</f>
        <v>레일과 도상 콘크리트가 완전히 일체화되게 설계되어 레일 교체 시 도로 포장 및 도상 전체를 부수고 재시공해야 하는 유지보수 지연 리스크를 검토하였는가?</v>
      </c>
      <c r="E99" s="31" t="s">
        <v>302</v>
      </c>
      <c r="F99" s="32" t="str">
        <f t="shared" si="2"/>
        <v>극상</v>
      </c>
      <c r="G99" s="63" t="s">
        <v>40</v>
      </c>
      <c r="H99" s="63" t="s">
        <v>41</v>
      </c>
      <c r="I99" s="34" t="s">
        <v>303</v>
      </c>
      <c r="J99" s="33"/>
      <c r="K99" s="35"/>
      <c r="L99" s="33"/>
      <c r="M99" s="36"/>
      <c r="N99" s="33"/>
      <c r="O99" s="36"/>
      <c r="P99" s="33"/>
      <c r="Q99" s="37"/>
      <c r="R99" s="38"/>
      <c r="S99" s="33"/>
      <c r="T99" s="38"/>
      <c r="U99" s="33"/>
      <c r="V99" s="39"/>
      <c r="W99" s="90" t="b">
        <v>0</v>
      </c>
      <c r="X99" s="90" t="b">
        <v>0</v>
      </c>
      <c r="Y99" s="90" t="b">
        <v>0</v>
      </c>
      <c r="Z99" s="40" t="s">
        <v>304</v>
      </c>
      <c r="AA99" s="41"/>
      <c r="AK99" s="16"/>
      <c r="AL99" s="16"/>
      <c r="AM99" s="16"/>
      <c r="AN99" s="16"/>
      <c r="AO99" s="16"/>
      <c r="AP99" s="16"/>
      <c r="AQ99" s="16"/>
      <c r="AR99" s="16"/>
      <c r="AS99" s="16"/>
    </row>
    <row r="100" spans="1:45" s="7" customFormat="1" ht="195" customHeight="1">
      <c r="A100" s="27">
        <f>[1]트램표준체크리스트!A98</f>
        <v>96</v>
      </c>
      <c r="B100" s="28" t="str">
        <f>[1]트램표준체크리스트!B98</f>
        <v>철도계획</v>
      </c>
      <c r="C100" s="29" t="str">
        <f>[1]트램표준체크리스트!C98</f>
        <v>선형 및 궤도계획</v>
      </c>
      <c r="D100" s="30" t="str">
        <f>[1]트램표준체크리스트!F98</f>
        <v>레일 주변 전기 절연 및 누설전류 포집 대책 누락으로 지중 가스관이나 상수관 등에 심각한 전식(부식) 현상이 발생해 도시 인프라가 훼손될 리스크를 검토하였는가?</v>
      </c>
      <c r="E100" s="31" t="s">
        <v>228</v>
      </c>
      <c r="F100" s="32" t="str">
        <f t="shared" si="2"/>
        <v>극상</v>
      </c>
      <c r="G100" s="63" t="s">
        <v>40</v>
      </c>
      <c r="H100" s="63" t="s">
        <v>41</v>
      </c>
      <c r="I100" s="34" t="s">
        <v>228</v>
      </c>
      <c r="J100" s="33"/>
      <c r="K100" s="35"/>
      <c r="L100" s="33"/>
      <c r="M100" s="36"/>
      <c r="N100" s="33"/>
      <c r="O100" s="36"/>
      <c r="P100" s="33"/>
      <c r="Q100" s="37"/>
      <c r="R100" s="38"/>
      <c r="S100" s="33"/>
      <c r="T100" s="38"/>
      <c r="U100" s="33"/>
      <c r="V100" s="39"/>
      <c r="W100" s="90" t="b">
        <v>0</v>
      </c>
      <c r="X100" s="90" t="b">
        <v>0</v>
      </c>
      <c r="Y100" s="90" t="b">
        <v>0</v>
      </c>
      <c r="Z100" s="40" t="s">
        <v>305</v>
      </c>
      <c r="AA100" s="41"/>
      <c r="AK100" s="16"/>
      <c r="AL100" s="16"/>
      <c r="AM100" s="16"/>
      <c r="AN100" s="16"/>
      <c r="AO100" s="16"/>
      <c r="AP100" s="16"/>
      <c r="AQ100" s="16"/>
      <c r="AR100" s="16"/>
      <c r="AS100" s="16"/>
    </row>
    <row r="101" spans="1:45" s="7" customFormat="1" ht="195" customHeight="1">
      <c r="A101" s="27">
        <f>[1]트램표준체크리스트!A99</f>
        <v>97</v>
      </c>
      <c r="B101" s="28" t="str">
        <f>[1]트램표준체크리스트!B99</f>
        <v>철도계획</v>
      </c>
      <c r="C101" s="29" t="str">
        <f>[1]트램표준체크리스트!C99</f>
        <v>선형 및 도로 인터페이스</v>
      </c>
      <c r="D101" s="30" t="str">
        <f>[1]트램표준체크리스트!F99</f>
        <v>물리적 분리대 설계 누락 및 이격거리 부족으로 일반 차량이 궤도에 난입하여 충돌하거나 트램 차량 외피가 파손될 리스크를 검토하였는가?</v>
      </c>
      <c r="E101" s="31" t="s">
        <v>306</v>
      </c>
      <c r="F101" s="32" t="str">
        <f t="shared" si="2"/>
        <v>극상</v>
      </c>
      <c r="G101" s="63" t="s">
        <v>40</v>
      </c>
      <c r="H101" s="63" t="s">
        <v>41</v>
      </c>
      <c r="I101" s="34" t="s">
        <v>307</v>
      </c>
      <c r="J101" s="33"/>
      <c r="K101" s="35"/>
      <c r="L101" s="33"/>
      <c r="M101" s="36"/>
      <c r="N101" s="33"/>
      <c r="O101" s="36"/>
      <c r="P101" s="33"/>
      <c r="Q101" s="37"/>
      <c r="R101" s="38"/>
      <c r="S101" s="33"/>
      <c r="T101" s="38"/>
      <c r="U101" s="33"/>
      <c r="V101" s="39"/>
      <c r="W101" s="90" t="b">
        <v>0</v>
      </c>
      <c r="X101" s="90" t="b">
        <v>0</v>
      </c>
      <c r="Y101" s="90" t="b">
        <v>0</v>
      </c>
      <c r="Z101" s="40" t="s">
        <v>308</v>
      </c>
      <c r="AA101" s="41"/>
      <c r="AK101" s="16"/>
      <c r="AL101" s="16"/>
      <c r="AM101" s="16"/>
      <c r="AN101" s="16"/>
      <c r="AO101" s="16"/>
      <c r="AP101" s="16"/>
      <c r="AQ101" s="16"/>
      <c r="AR101" s="16"/>
      <c r="AS101" s="16"/>
    </row>
    <row r="102" spans="1:45" s="7" customFormat="1" ht="195" customHeight="1">
      <c r="A102" s="27">
        <f>[1]트램표준체크리스트!A100</f>
        <v>98</v>
      </c>
      <c r="B102" s="28" t="str">
        <f>[1]트램표준체크리스트!B100</f>
        <v>철도계획</v>
      </c>
      <c r="C102" s="29" t="str">
        <f>[1]트램표준체크리스트!C100</f>
        <v>선형 및 지장물계획</v>
      </c>
      <c r="D102" s="30" t="str">
        <f>[1]트램표준체크리스트!F100</f>
        <v>지하매설물 이설 후 지자체 GIS 호환 검토 누락으로 준공 시 시스템 등재가 반려되거나 지장물 대장이 누락될 리스크를 검토하였는가?</v>
      </c>
      <c r="E102" s="31" t="s">
        <v>228</v>
      </c>
      <c r="F102" s="32" t="str">
        <f t="shared" si="2"/>
        <v>극상</v>
      </c>
      <c r="G102" s="63" t="s">
        <v>40</v>
      </c>
      <c r="H102" s="63" t="s">
        <v>41</v>
      </c>
      <c r="I102" s="34" t="s">
        <v>228</v>
      </c>
      <c r="J102" s="33"/>
      <c r="K102" s="35"/>
      <c r="L102" s="33"/>
      <c r="M102" s="36"/>
      <c r="N102" s="33"/>
      <c r="O102" s="36"/>
      <c r="P102" s="33"/>
      <c r="Q102" s="37"/>
      <c r="R102" s="38"/>
      <c r="S102" s="33"/>
      <c r="T102" s="38"/>
      <c r="U102" s="33"/>
      <c r="V102" s="39"/>
      <c r="W102" s="90" t="b">
        <v>0</v>
      </c>
      <c r="X102" s="90" t="b">
        <v>0</v>
      </c>
      <c r="Y102" s="90" t="b">
        <v>0</v>
      </c>
      <c r="Z102" s="40" t="s">
        <v>309</v>
      </c>
      <c r="AA102" s="41"/>
      <c r="AK102" s="16"/>
      <c r="AL102" s="16"/>
      <c r="AM102" s="16"/>
      <c r="AN102" s="16"/>
      <c r="AO102" s="16"/>
      <c r="AP102" s="16"/>
      <c r="AQ102" s="16"/>
      <c r="AR102" s="16"/>
      <c r="AS102" s="16"/>
    </row>
    <row r="103" spans="1:45" s="7" customFormat="1" ht="195" customHeight="1">
      <c r="A103" s="27">
        <f>[1]트램표준체크리스트!A101</f>
        <v>99</v>
      </c>
      <c r="B103" s="28" t="str">
        <f>[1]트램표준체크리스트!B101</f>
        <v>철도계획</v>
      </c>
      <c r="C103" s="29" t="str">
        <f>[1]트램표준체크리스트!C101</f>
        <v>선형 및 지장물계획</v>
      </c>
      <c r="D103" s="30" t="str">
        <f>[1]트램표준체크리스트!F101</f>
        <v>기존 수목 이식/벌목 계획 및 지자체 협의 누락으로 환경 민원 발생 및 도로점용 인허가 지연 리스크를 검토하였는가?</v>
      </c>
      <c r="E103" s="31" t="s">
        <v>310</v>
      </c>
      <c r="F103" s="32" t="str">
        <f t="shared" ref="F103:F133" si="3">_xlfn.LET(
_xlpm.v_발생, IF(ISNUMBER(SEARCH("빈번", G103)), "상",
IF(ISNUMBER(SEARCH("거의", G103)), "하", "중")),
_xlpm.v_영향, IF(ISNUMBER(SEARCH("1개월", H103)), "상",
IF(ISNUMBER(SEARCH("없음", H103)), "하", "중")),
IF(AND(_xlpm.v_발생="상", _xlpm.v_영향="상"), "극상",
IF(OR(_xlpm.v_발생="상", _xlpm.v_영향="상"), "상",
IF(AND(_xlpm.v_발생="하", _xlpm.v_영향="하"), "하",
"중")))
)</f>
        <v>극상</v>
      </c>
      <c r="G103" s="63" t="s">
        <v>40</v>
      </c>
      <c r="H103" s="63" t="s">
        <v>41</v>
      </c>
      <c r="I103" s="34" t="s">
        <v>311</v>
      </c>
      <c r="J103" s="33"/>
      <c r="K103" s="35"/>
      <c r="L103" s="33"/>
      <c r="M103" s="36"/>
      <c r="N103" s="33"/>
      <c r="O103" s="36"/>
      <c r="P103" s="33"/>
      <c r="Q103" s="37"/>
      <c r="R103" s="38"/>
      <c r="S103" s="33"/>
      <c r="T103" s="38"/>
      <c r="U103" s="33"/>
      <c r="V103" s="39"/>
      <c r="W103" s="90" t="b">
        <v>0</v>
      </c>
      <c r="X103" s="90" t="b">
        <v>0</v>
      </c>
      <c r="Y103" s="90" t="b">
        <v>0</v>
      </c>
      <c r="Z103" s="40" t="s">
        <v>312</v>
      </c>
      <c r="AA103" s="41"/>
      <c r="AK103" s="16"/>
      <c r="AL103" s="16"/>
      <c r="AM103" s="16"/>
      <c r="AN103" s="16"/>
      <c r="AO103" s="16"/>
      <c r="AP103" s="16"/>
      <c r="AQ103" s="16"/>
      <c r="AR103" s="16"/>
      <c r="AS103" s="16"/>
    </row>
    <row r="104" spans="1:45" s="7" customFormat="1" ht="195" customHeight="1">
      <c r="A104" s="27">
        <f>[1]트램표준체크리스트!A102</f>
        <v>100</v>
      </c>
      <c r="B104" s="28" t="str">
        <f>[1]트램표준체크리스트!B102</f>
        <v>철도계획</v>
      </c>
      <c r="C104" s="29" t="str">
        <f>[1]트램표준체크리스트!C102</f>
        <v>선형계획</v>
      </c>
      <c r="D104" s="30" t="str">
        <f>[1]트램표준체크리스트!F102</f>
        <v>정밀 TPS 분석 누락으로 급구배·급곡선 구간 설계속도 미달 및 배터리 방전 사태가 발생할 리스크를 검토하였는가?</v>
      </c>
      <c r="E104" s="31" t="s">
        <v>228</v>
      </c>
      <c r="F104" s="32" t="str">
        <f t="shared" si="3"/>
        <v>극상</v>
      </c>
      <c r="G104" s="63" t="s">
        <v>40</v>
      </c>
      <c r="H104" s="63" t="s">
        <v>41</v>
      </c>
      <c r="I104" s="34" t="s">
        <v>228</v>
      </c>
      <c r="J104" s="33"/>
      <c r="K104" s="35"/>
      <c r="L104" s="33"/>
      <c r="M104" s="36"/>
      <c r="N104" s="33"/>
      <c r="O104" s="36"/>
      <c r="P104" s="33"/>
      <c r="Q104" s="37"/>
      <c r="R104" s="38"/>
      <c r="S104" s="33"/>
      <c r="T104" s="38"/>
      <c r="U104" s="33"/>
      <c r="V104" s="39"/>
      <c r="W104" s="90" t="b">
        <v>0</v>
      </c>
      <c r="X104" s="90" t="b">
        <v>0</v>
      </c>
      <c r="Y104" s="90" t="b">
        <v>0</v>
      </c>
      <c r="Z104" s="40" t="s">
        <v>313</v>
      </c>
      <c r="AA104" s="41"/>
      <c r="AK104" s="16"/>
      <c r="AL104" s="16"/>
      <c r="AM104" s="16"/>
      <c r="AN104" s="16"/>
      <c r="AO104" s="16"/>
      <c r="AP104" s="16"/>
      <c r="AQ104" s="16"/>
      <c r="AR104" s="16"/>
      <c r="AS104" s="16"/>
    </row>
    <row r="105" spans="1:45" s="7" customFormat="1" ht="195" customHeight="1">
      <c r="A105" s="27">
        <f>[1]트램표준체크리스트!A103</f>
        <v>101</v>
      </c>
      <c r="B105" s="28" t="str">
        <f>[1]트램표준체크리스트!B103</f>
        <v>철도계획</v>
      </c>
      <c r="C105" s="29" t="str">
        <f>[1]트램표준체크리스트!C103</f>
        <v>선형계획 및 구조물 간섭</v>
      </c>
      <c r="D105" s="30" t="str">
        <f>[1]트램표준체크리스트!F103</f>
        <v>교각 간섭 회피 및 유지보수 공간 확보 누락으로 도로관리청 인허가가 지연되거나 상부 낙하물에 의한 사고가 유발될 리스크를 검토하였는가?</v>
      </c>
      <c r="E105" s="31" t="s">
        <v>314</v>
      </c>
      <c r="F105" s="32" t="str">
        <f t="shared" si="3"/>
        <v>극상</v>
      </c>
      <c r="G105" s="63" t="s">
        <v>40</v>
      </c>
      <c r="H105" s="63" t="s">
        <v>41</v>
      </c>
      <c r="I105" s="34" t="s">
        <v>315</v>
      </c>
      <c r="J105" s="33"/>
      <c r="K105" s="35"/>
      <c r="L105" s="33"/>
      <c r="M105" s="36"/>
      <c r="N105" s="33"/>
      <c r="O105" s="36"/>
      <c r="P105" s="33"/>
      <c r="Q105" s="37"/>
      <c r="R105" s="38"/>
      <c r="S105" s="33"/>
      <c r="T105" s="38"/>
      <c r="U105" s="33"/>
      <c r="V105" s="39"/>
      <c r="W105" s="90" t="b">
        <v>0</v>
      </c>
      <c r="X105" s="90" t="b">
        <v>0</v>
      </c>
      <c r="Y105" s="90" t="b">
        <v>0</v>
      </c>
      <c r="Z105" s="40" t="s">
        <v>316</v>
      </c>
      <c r="AA105" s="41"/>
      <c r="AK105" s="16"/>
      <c r="AL105" s="16"/>
      <c r="AM105" s="16"/>
      <c r="AN105" s="16"/>
      <c r="AO105" s="16"/>
      <c r="AP105" s="16"/>
      <c r="AQ105" s="16"/>
      <c r="AR105" s="16"/>
      <c r="AS105" s="16"/>
    </row>
    <row r="106" spans="1:45" s="7" customFormat="1" ht="195" customHeight="1">
      <c r="A106" s="27">
        <f>[1]트램표준체크리스트!A104</f>
        <v>102</v>
      </c>
      <c r="B106" s="28" t="str">
        <f>[1]트램표준체크리스트!B104</f>
        <v>철도계획</v>
      </c>
      <c r="C106" s="29" t="str">
        <f>[1]트램표준체크리스트!C104</f>
        <v>스마트 건설계획</v>
      </c>
      <c r="D106" s="30" t="str">
        <f>[1]트램표준체크리스트!F104</f>
        <v>스마트 건설기술(ICT/IoT) 적용 계획 누락으로 공사 중 지하시설물 파손 및 근로자 중대재해가 발생할 리스크를 검토하였는가?</v>
      </c>
      <c r="E106" s="31" t="s">
        <v>317</v>
      </c>
      <c r="F106" s="32" t="str">
        <f t="shared" si="3"/>
        <v>극상</v>
      </c>
      <c r="G106" s="63" t="s">
        <v>40</v>
      </c>
      <c r="H106" s="63" t="s">
        <v>41</v>
      </c>
      <c r="I106" s="34" t="s">
        <v>318</v>
      </c>
      <c r="J106" s="33"/>
      <c r="K106" s="35"/>
      <c r="L106" s="33"/>
      <c r="M106" s="36"/>
      <c r="N106" s="33"/>
      <c r="O106" s="36"/>
      <c r="P106" s="33"/>
      <c r="Q106" s="37"/>
      <c r="R106" s="38"/>
      <c r="S106" s="33"/>
      <c r="T106" s="38"/>
      <c r="U106" s="33"/>
      <c r="V106" s="39"/>
      <c r="W106" s="90" t="b">
        <v>0</v>
      </c>
      <c r="X106" s="90" t="b">
        <v>0</v>
      </c>
      <c r="Y106" s="90" t="b">
        <v>0</v>
      </c>
      <c r="Z106" s="40" t="s">
        <v>319</v>
      </c>
      <c r="AA106" s="41"/>
      <c r="AK106" s="16"/>
      <c r="AL106" s="16"/>
      <c r="AM106" s="16"/>
      <c r="AN106" s="16"/>
      <c r="AO106" s="16"/>
      <c r="AP106" s="16"/>
      <c r="AQ106" s="16"/>
      <c r="AR106" s="16"/>
      <c r="AS106" s="16"/>
    </row>
    <row r="107" spans="1:45" s="7" customFormat="1" ht="195" customHeight="1">
      <c r="A107" s="27">
        <f>[1]트램표준체크리스트!A105</f>
        <v>103</v>
      </c>
      <c r="B107" s="28" t="str">
        <f>[1]트램표준체크리스트!B105</f>
        <v>철도계획</v>
      </c>
      <c r="C107" s="29" t="str">
        <f>[1]트램표준체크리스트!C105</f>
        <v>시공 및 공정계획</v>
      </c>
      <c r="D107" s="30" t="str">
        <f>[1]트램표준체크리스트!F105</f>
        <v>장래 증축을 고려하지 않은 설계 및 기존 시설물(E/V 등) 이설 누락으로 증축 공사 시 트램 영업 운행이 장기간 중단될 리스크를 검토하였는가?</v>
      </c>
      <c r="E107" s="31" t="s">
        <v>228</v>
      </c>
      <c r="F107" s="32" t="str">
        <f t="shared" si="3"/>
        <v>극상</v>
      </c>
      <c r="G107" s="63" t="s">
        <v>40</v>
      </c>
      <c r="H107" s="63" t="s">
        <v>41</v>
      </c>
      <c r="I107" s="34" t="s">
        <v>228</v>
      </c>
      <c r="J107" s="33"/>
      <c r="K107" s="35"/>
      <c r="L107" s="33"/>
      <c r="M107" s="36"/>
      <c r="N107" s="33"/>
      <c r="O107" s="36"/>
      <c r="P107" s="33"/>
      <c r="Q107" s="37"/>
      <c r="R107" s="38"/>
      <c r="S107" s="33"/>
      <c r="T107" s="38"/>
      <c r="U107" s="33"/>
      <c r="V107" s="39"/>
      <c r="W107" s="90" t="b">
        <v>0</v>
      </c>
      <c r="X107" s="90" t="b">
        <v>0</v>
      </c>
      <c r="Y107" s="90" t="b">
        <v>0</v>
      </c>
      <c r="Z107" s="40" t="s">
        <v>320</v>
      </c>
      <c r="AA107" s="41"/>
      <c r="AK107" s="16"/>
      <c r="AL107" s="16"/>
      <c r="AM107" s="16"/>
      <c r="AN107" s="16"/>
      <c r="AO107" s="16"/>
      <c r="AP107" s="16"/>
      <c r="AQ107" s="16"/>
      <c r="AR107" s="16"/>
      <c r="AS107" s="16"/>
    </row>
    <row r="108" spans="1:45" s="7" customFormat="1" ht="195" customHeight="1">
      <c r="A108" s="27">
        <f>[1]트램표준체크리스트!A106</f>
        <v>104</v>
      </c>
      <c r="B108" s="28" t="str">
        <f>[1]트램표준체크리스트!B106</f>
        <v>철도계획</v>
      </c>
      <c r="C108" s="29" t="str">
        <f>[1]트램표준체크리스트!C106</f>
        <v>신호 및 차량안전계획</v>
      </c>
      <c r="D108" s="30" t="str">
        <f>[1]트램표준체크리스트!F106</f>
        <v>트램 특성을 배제한 단순 지상신호기 위주 설계로 돌발 장애물 출현 시 치명적인 충돌 사고가 발생할 리스크를 검토하였는가?</v>
      </c>
      <c r="E108" s="31" t="s">
        <v>321</v>
      </c>
      <c r="F108" s="32" t="str">
        <f t="shared" si="3"/>
        <v>극상</v>
      </c>
      <c r="G108" s="63" t="s">
        <v>40</v>
      </c>
      <c r="H108" s="63" t="s">
        <v>41</v>
      </c>
      <c r="I108" s="34" t="s">
        <v>322</v>
      </c>
      <c r="J108" s="33"/>
      <c r="K108" s="35"/>
      <c r="L108" s="33"/>
      <c r="M108" s="36"/>
      <c r="N108" s="33"/>
      <c r="O108" s="36"/>
      <c r="P108" s="33"/>
      <c r="Q108" s="37"/>
      <c r="R108" s="38"/>
      <c r="S108" s="33"/>
      <c r="T108" s="38"/>
      <c r="U108" s="33"/>
      <c r="V108" s="39"/>
      <c r="W108" s="90" t="b">
        <v>0</v>
      </c>
      <c r="X108" s="90" t="b">
        <v>0</v>
      </c>
      <c r="Y108" s="90" t="b">
        <v>0</v>
      </c>
      <c r="Z108" s="40" t="s">
        <v>290</v>
      </c>
      <c r="AA108" s="41"/>
      <c r="AK108" s="16"/>
      <c r="AL108" s="16"/>
      <c r="AM108" s="16"/>
      <c r="AN108" s="16"/>
      <c r="AO108" s="16"/>
      <c r="AP108" s="16"/>
      <c r="AQ108" s="16"/>
      <c r="AR108" s="16"/>
      <c r="AS108" s="16"/>
    </row>
    <row r="109" spans="1:45" s="7" customFormat="1" ht="195" customHeight="1">
      <c r="A109" s="27">
        <f>[1]트램표준체크리스트!A107</f>
        <v>105</v>
      </c>
      <c r="B109" s="28" t="str">
        <f>[1]트램표준체크리스트!B107</f>
        <v>철도계획</v>
      </c>
      <c r="C109" s="29" t="str">
        <f>[1]트램표준체크리스트!C107</f>
        <v>안전 및 부대시설 계획</v>
      </c>
      <c r="D109" s="30" t="str">
        <f>[1]트램표준체크리스트!F107</f>
        <v>과주 방지용 차막이 설계 누락 및 규격 미달로 제동 고장 시 트램 차량이 이탈하여 대형 사고가 발생할 리스크를 검토하였는가?</v>
      </c>
      <c r="E109" s="31" t="s">
        <v>323</v>
      </c>
      <c r="F109" s="32" t="str">
        <f t="shared" si="3"/>
        <v>극상</v>
      </c>
      <c r="G109" s="63" t="s">
        <v>40</v>
      </c>
      <c r="H109" s="63" t="s">
        <v>41</v>
      </c>
      <c r="I109" s="34" t="s">
        <v>324</v>
      </c>
      <c r="J109" s="33"/>
      <c r="K109" s="35"/>
      <c r="L109" s="33"/>
      <c r="M109" s="36"/>
      <c r="N109" s="33"/>
      <c r="O109" s="36"/>
      <c r="P109" s="33"/>
      <c r="Q109" s="37"/>
      <c r="R109" s="38"/>
      <c r="S109" s="33"/>
      <c r="T109" s="38"/>
      <c r="U109" s="33"/>
      <c r="V109" s="39"/>
      <c r="W109" s="90" t="b">
        <v>0</v>
      </c>
      <c r="X109" s="90" t="b">
        <v>0</v>
      </c>
      <c r="Y109" s="90" t="b">
        <v>0</v>
      </c>
      <c r="Z109" s="40" t="s">
        <v>236</v>
      </c>
      <c r="AA109" s="41"/>
      <c r="AK109" s="16"/>
      <c r="AL109" s="16"/>
      <c r="AM109" s="16"/>
      <c r="AN109" s="16"/>
      <c r="AO109" s="16"/>
      <c r="AP109" s="16"/>
      <c r="AQ109" s="16"/>
      <c r="AR109" s="16"/>
      <c r="AS109" s="16"/>
    </row>
    <row r="110" spans="1:45" s="7" customFormat="1" ht="195" customHeight="1">
      <c r="A110" s="27">
        <f>[1]트램표준체크리스트!A108</f>
        <v>106</v>
      </c>
      <c r="B110" s="28" t="str">
        <f>[1]트램표준체크리스트!B108</f>
        <v>철도계획</v>
      </c>
      <c r="C110" s="29" t="str">
        <f>[1]트램표준체크리스트!C108</f>
        <v>안전 및 인터페이스 계획</v>
      </c>
      <c r="D110" s="30" t="str">
        <f>[1]트램표준체크리스트!F108</f>
        <v>독립안전성평가(ISA) 수검 요건 설계 누락으로 안전 인증 실패 및 대대적 시스템 재설계가 발생할 리스크를 검토하였는가?</v>
      </c>
      <c r="E110" s="31" t="s">
        <v>228</v>
      </c>
      <c r="F110" s="32" t="str">
        <f t="shared" si="3"/>
        <v>극상</v>
      </c>
      <c r="G110" s="63" t="s">
        <v>40</v>
      </c>
      <c r="H110" s="63" t="s">
        <v>41</v>
      </c>
      <c r="I110" s="34" t="s">
        <v>228</v>
      </c>
      <c r="J110" s="33"/>
      <c r="K110" s="35"/>
      <c r="L110" s="33"/>
      <c r="M110" s="36"/>
      <c r="N110" s="33"/>
      <c r="O110" s="36"/>
      <c r="P110" s="33"/>
      <c r="Q110" s="37"/>
      <c r="R110" s="38"/>
      <c r="S110" s="33"/>
      <c r="T110" s="38"/>
      <c r="U110" s="33"/>
      <c r="V110" s="39"/>
      <c r="W110" s="90" t="b">
        <v>0</v>
      </c>
      <c r="X110" s="90" t="b">
        <v>0</v>
      </c>
      <c r="Y110" s="90" t="b">
        <v>0</v>
      </c>
      <c r="Z110" s="40" t="s">
        <v>325</v>
      </c>
      <c r="AA110" s="41"/>
      <c r="AK110" s="16"/>
      <c r="AL110" s="16"/>
      <c r="AM110" s="16"/>
      <c r="AN110" s="16"/>
      <c r="AO110" s="16"/>
      <c r="AP110" s="16"/>
      <c r="AQ110" s="16"/>
      <c r="AR110" s="16"/>
      <c r="AS110" s="16"/>
    </row>
    <row r="111" spans="1:45" s="7" customFormat="1" ht="195" customHeight="1">
      <c r="A111" s="27">
        <f>[1]트램표준체크리스트!A109</f>
        <v>107</v>
      </c>
      <c r="B111" s="28" t="str">
        <f>[1]트램표준체크리스트!B109</f>
        <v>철도계획</v>
      </c>
      <c r="C111" s="29" t="str">
        <f>[1]트램표준체크리스트!C109</f>
        <v>운영 및 통합관제계획</v>
      </c>
      <c r="D111" s="30" t="str">
        <f>[1]트램표준체크리스트!F109</f>
        <v>이기종 시스템 간 통신 연계 및 통합 관제실 설계 누락으로 돌발 상황 시 관제사의 신속한 초동 대처가 불가해질 리스크를 검토하였는가?</v>
      </c>
      <c r="E111" s="31" t="s">
        <v>326</v>
      </c>
      <c r="F111" s="32" t="str">
        <f t="shared" si="3"/>
        <v>극상</v>
      </c>
      <c r="G111" s="63" t="s">
        <v>40</v>
      </c>
      <c r="H111" s="63" t="s">
        <v>41</v>
      </c>
      <c r="I111" s="34" t="s">
        <v>327</v>
      </c>
      <c r="J111" s="33"/>
      <c r="K111" s="35"/>
      <c r="L111" s="33"/>
      <c r="M111" s="36"/>
      <c r="N111" s="33"/>
      <c r="O111" s="36"/>
      <c r="P111" s="33"/>
      <c r="Q111" s="37"/>
      <c r="R111" s="38"/>
      <c r="S111" s="33"/>
      <c r="T111" s="38"/>
      <c r="U111" s="33"/>
      <c r="V111" s="39"/>
      <c r="W111" s="90" t="b">
        <v>0</v>
      </c>
      <c r="X111" s="90" t="b">
        <v>0</v>
      </c>
      <c r="Y111" s="90" t="b">
        <v>0</v>
      </c>
      <c r="Z111" s="40" t="s">
        <v>328</v>
      </c>
      <c r="AA111" s="41"/>
      <c r="AK111" s="16"/>
      <c r="AL111" s="16"/>
      <c r="AM111" s="16"/>
      <c r="AN111" s="16"/>
      <c r="AO111" s="16"/>
      <c r="AP111" s="16"/>
      <c r="AQ111" s="16"/>
      <c r="AR111" s="16"/>
      <c r="AS111" s="16"/>
    </row>
    <row r="112" spans="1:45" s="7" customFormat="1" ht="195" customHeight="1">
      <c r="A112" s="27">
        <f>[1]트램표준체크리스트!A110</f>
        <v>108</v>
      </c>
      <c r="B112" s="28" t="str">
        <f>[1]트램표준체크리스트!B110</f>
        <v>운영</v>
      </c>
      <c r="C112" s="29" t="str">
        <f>[1]트램표준체크리스트!C110</f>
        <v>운영 및 통합관제계획</v>
      </c>
      <c r="D112" s="30" t="str">
        <f>[1]트램표준체크리스트!F110</f>
        <v>개통시 및 타 트램 개통 시 운영 핵심 인력 대량 급여 우려, 트램 운영 핵심 인력 대량 공백 우려 및 인력 순환체계 어려움 발생 리스크를 검토하였는가?</v>
      </c>
      <c r="E112" s="31" t="s">
        <v>228</v>
      </c>
      <c r="F112" s="32" t="str">
        <f t="shared" si="3"/>
        <v>극상</v>
      </c>
      <c r="G112" s="63" t="s">
        <v>40</v>
      </c>
      <c r="H112" s="63" t="s">
        <v>41</v>
      </c>
      <c r="I112" s="34" t="s">
        <v>329</v>
      </c>
      <c r="J112" s="33"/>
      <c r="K112" s="35"/>
      <c r="L112" s="33"/>
      <c r="M112" s="36"/>
      <c r="N112" s="33"/>
      <c r="O112" s="36"/>
      <c r="P112" s="33"/>
      <c r="Q112" s="37"/>
      <c r="R112" s="38"/>
      <c r="S112" s="33"/>
      <c r="T112" s="38"/>
      <c r="U112" s="33"/>
      <c r="V112" s="39"/>
      <c r="W112" s="90" t="b">
        <v>0</v>
      </c>
      <c r="X112" s="90" t="b">
        <v>0</v>
      </c>
      <c r="Y112" s="90" t="b">
        <v>0</v>
      </c>
      <c r="Z112" s="40" t="s">
        <v>228</v>
      </c>
      <c r="AA112" s="41"/>
      <c r="AK112" s="16"/>
      <c r="AL112" s="16"/>
      <c r="AM112" s="16"/>
      <c r="AN112" s="16"/>
      <c r="AO112" s="16"/>
      <c r="AP112" s="16"/>
      <c r="AQ112" s="16"/>
      <c r="AR112" s="16"/>
      <c r="AS112" s="16"/>
    </row>
    <row r="113" spans="1:45" s="7" customFormat="1" ht="195" customHeight="1">
      <c r="A113" s="27">
        <f>[1]트램표준체크리스트!A111</f>
        <v>109</v>
      </c>
      <c r="B113" s="28" t="str">
        <f>[1]트램표준체크리스트!B111</f>
        <v>운영</v>
      </c>
      <c r="C113" s="29" t="str">
        <f>[1]트램표준체크리스트!C111</f>
        <v>운영 및 통합관제계획</v>
      </c>
      <c r="D113" s="30" t="str">
        <f>[1]트램표준체크리스트!F111</f>
        <v>신형 트램 고려하여 7D/4M/4Y/8Y로 조정 시 운영비용 절감 가능, 트램 제작사가 현실적 검수주기로 예방정비 하도록 계약서 사양 재정립 필요 리스크를 검토하였는가?</v>
      </c>
      <c r="E113" s="31" t="s">
        <v>228</v>
      </c>
      <c r="F113" s="32" t="str">
        <f t="shared" si="3"/>
        <v>극상</v>
      </c>
      <c r="G113" s="63" t="s">
        <v>40</v>
      </c>
      <c r="H113" s="63" t="s">
        <v>41</v>
      </c>
      <c r="I113" s="34" t="s">
        <v>330</v>
      </c>
      <c r="J113" s="33"/>
      <c r="K113" s="35"/>
      <c r="L113" s="33"/>
      <c r="M113" s="36"/>
      <c r="N113" s="33"/>
      <c r="O113" s="36"/>
      <c r="P113" s="33"/>
      <c r="Q113" s="37"/>
      <c r="R113" s="38"/>
      <c r="S113" s="33"/>
      <c r="T113" s="38"/>
      <c r="U113" s="33"/>
      <c r="V113" s="39"/>
      <c r="W113" s="90" t="b">
        <v>0</v>
      </c>
      <c r="X113" s="90" t="b">
        <v>0</v>
      </c>
      <c r="Y113" s="90" t="b">
        <v>0</v>
      </c>
      <c r="Z113" s="40" t="s">
        <v>228</v>
      </c>
      <c r="AA113" s="41"/>
      <c r="AK113" s="16"/>
      <c r="AL113" s="16"/>
      <c r="AM113" s="16"/>
      <c r="AN113" s="16"/>
      <c r="AO113" s="16"/>
      <c r="AP113" s="16"/>
      <c r="AQ113" s="16"/>
      <c r="AR113" s="16"/>
      <c r="AS113" s="16"/>
    </row>
    <row r="114" spans="1:45" s="7" customFormat="1" ht="195" customHeight="1">
      <c r="A114" s="27">
        <f>[1]트램표준체크리스트!A112</f>
        <v>110</v>
      </c>
      <c r="B114" s="28" t="str">
        <f>[1]트램표준체크리스트!B112</f>
        <v>철도계획</v>
      </c>
      <c r="C114" s="29" t="str">
        <f>[1]트램표준체크리스트!C112</f>
        <v>운전 및 운영계획</v>
      </c>
      <c r="D114" s="30" t="str">
        <f>[1]트램표준체크리스트!F112</f>
        <v>명확한 운전·운영계획 없이 시스템 설계가 개별 진행되어 분야 간 설계 불일치 및 시스템 운영 효율성이 저하될 리스크를 검토하였는가?</v>
      </c>
      <c r="E114" s="31" t="s">
        <v>228</v>
      </c>
      <c r="F114" s="32" t="str">
        <f t="shared" si="3"/>
        <v>극상</v>
      </c>
      <c r="G114" s="63" t="s">
        <v>40</v>
      </c>
      <c r="H114" s="63" t="s">
        <v>41</v>
      </c>
      <c r="I114" s="34" t="s">
        <v>331</v>
      </c>
      <c r="J114" s="33"/>
      <c r="K114" s="35"/>
      <c r="L114" s="33"/>
      <c r="M114" s="36"/>
      <c r="N114" s="33"/>
      <c r="O114" s="36"/>
      <c r="P114" s="33"/>
      <c r="Q114" s="37"/>
      <c r="R114" s="38"/>
      <c r="S114" s="33"/>
      <c r="T114" s="38"/>
      <c r="U114" s="33"/>
      <c r="V114" s="39"/>
      <c r="W114" s="90" t="b">
        <v>0</v>
      </c>
      <c r="X114" s="90" t="b">
        <v>0</v>
      </c>
      <c r="Y114" s="90" t="b">
        <v>0</v>
      </c>
      <c r="Z114" s="40" t="s">
        <v>228</v>
      </c>
      <c r="AA114" s="41"/>
      <c r="AK114" s="16"/>
      <c r="AL114" s="16"/>
      <c r="AM114" s="16"/>
      <c r="AN114" s="16"/>
      <c r="AO114" s="16"/>
      <c r="AP114" s="16"/>
      <c r="AQ114" s="16"/>
      <c r="AR114" s="16"/>
      <c r="AS114" s="16"/>
    </row>
    <row r="115" spans="1:45" s="7" customFormat="1" ht="195" customHeight="1">
      <c r="A115" s="27">
        <f>[1]트램표준체크리스트!A113</f>
        <v>111</v>
      </c>
      <c r="B115" s="28" t="str">
        <f>[1]트램표준체크리스트!B113</f>
        <v>철도계획</v>
      </c>
      <c r="C115" s="29" t="str">
        <f>[1]트램표준체크리스트!C113</f>
        <v>인터페이스 계획</v>
      </c>
      <c r="D115" s="30" t="str">
        <f>[1]트램표준체크리스트!F113</f>
        <v>2D 기반 설계로 교차 검토가 누락되어 능동지하차도 등 통과 시 차량한계선과 설비 간 물리적 간섭 충돌이 발생할 리스크를 검토하였는가?</v>
      </c>
      <c r="E115" s="31" t="s">
        <v>332</v>
      </c>
      <c r="F115" s="32" t="str">
        <f t="shared" si="3"/>
        <v>극상</v>
      </c>
      <c r="G115" s="63" t="s">
        <v>40</v>
      </c>
      <c r="H115" s="63" t="s">
        <v>41</v>
      </c>
      <c r="I115" s="34" t="s">
        <v>333</v>
      </c>
      <c r="J115" s="33"/>
      <c r="K115" s="35"/>
      <c r="L115" s="33"/>
      <c r="M115" s="36"/>
      <c r="N115" s="33"/>
      <c r="O115" s="36"/>
      <c r="P115" s="33"/>
      <c r="Q115" s="37"/>
      <c r="R115" s="38"/>
      <c r="S115" s="33"/>
      <c r="T115" s="38"/>
      <c r="U115" s="33"/>
      <c r="V115" s="39"/>
      <c r="W115" s="90" t="b">
        <v>0</v>
      </c>
      <c r="X115" s="90" t="b">
        <v>0</v>
      </c>
      <c r="Y115" s="90" t="b">
        <v>0</v>
      </c>
      <c r="Z115" s="40" t="s">
        <v>334</v>
      </c>
      <c r="AA115" s="41"/>
      <c r="AK115" s="16"/>
      <c r="AL115" s="16"/>
      <c r="AM115" s="16"/>
      <c r="AN115" s="16"/>
      <c r="AO115" s="16"/>
      <c r="AP115" s="16"/>
      <c r="AQ115" s="16"/>
      <c r="AR115" s="16"/>
      <c r="AS115" s="16"/>
    </row>
    <row r="116" spans="1:45" s="7" customFormat="1" ht="195" customHeight="1">
      <c r="A116" s="27">
        <f>[1]트램표준체크리스트!A114</f>
        <v>112</v>
      </c>
      <c r="B116" s="28" t="str">
        <f>[1]트램표준체크리스트!B114</f>
        <v>철도계획</v>
      </c>
      <c r="C116" s="29" t="str">
        <f>[1]트램표준체크리스트!C114</f>
        <v>인터페이스 계획</v>
      </c>
      <c r="D116" s="30" t="str">
        <f>[1]트램표준체크리스트!F114</f>
        <v>주요 고속철도 및 연계 도시철도 하부 구조물과의 3차원 물리적 간섭 및 공정 중첩을 미검토하여, 시공 한계에 따른 대규모 설계 변경이 유발될 리스크를 검토하였는가?</v>
      </c>
      <c r="E116" s="31" t="s">
        <v>335</v>
      </c>
      <c r="F116" s="32" t="str">
        <f t="shared" si="3"/>
        <v>극상</v>
      </c>
      <c r="G116" s="63" t="s">
        <v>40</v>
      </c>
      <c r="H116" s="63" t="s">
        <v>41</v>
      </c>
      <c r="I116" s="34" t="s">
        <v>336</v>
      </c>
      <c r="J116" s="33"/>
      <c r="K116" s="35"/>
      <c r="L116" s="33"/>
      <c r="M116" s="36"/>
      <c r="N116" s="33"/>
      <c r="O116" s="36"/>
      <c r="P116" s="33"/>
      <c r="Q116" s="37"/>
      <c r="R116" s="38"/>
      <c r="S116" s="33"/>
      <c r="T116" s="38"/>
      <c r="U116" s="33"/>
      <c r="V116" s="39"/>
      <c r="W116" s="90" t="b">
        <v>0</v>
      </c>
      <c r="X116" s="90" t="b">
        <v>0</v>
      </c>
      <c r="Y116" s="90" t="b">
        <v>0</v>
      </c>
      <c r="Z116" s="40" t="s">
        <v>337</v>
      </c>
      <c r="AA116" s="41"/>
      <c r="AK116" s="16"/>
      <c r="AL116" s="16"/>
      <c r="AM116" s="16"/>
      <c r="AN116" s="16"/>
      <c r="AO116" s="16"/>
      <c r="AP116" s="16"/>
      <c r="AQ116" s="16"/>
      <c r="AR116" s="16"/>
      <c r="AS116" s="16"/>
    </row>
    <row r="117" spans="1:45" s="7" customFormat="1" ht="195" customHeight="1">
      <c r="A117" s="27">
        <f>[1]트램표준체크리스트!A115</f>
        <v>113</v>
      </c>
      <c r="B117" s="28" t="str">
        <f>[1]트램표준체크리스트!B115</f>
        <v>철도계획</v>
      </c>
      <c r="C117" s="29" t="str">
        <f>[1]트램표준체크리스트!C115</f>
        <v>인터페이스 계획</v>
      </c>
      <c r="D117" s="30" t="str">
        <f>[1]트램표준체크리스트!F115</f>
        <v>신규 도로와 트램 선형 간 정합성 검토 누락으로 도로 레벨 재조정 및 노반 파쇄 등 대규모 매몰비용 발생 리스크를 검토하였는가?</v>
      </c>
      <c r="E117" s="31" t="s">
        <v>338</v>
      </c>
      <c r="F117" s="32" t="str">
        <f t="shared" si="3"/>
        <v>극상</v>
      </c>
      <c r="G117" s="63" t="s">
        <v>40</v>
      </c>
      <c r="H117" s="63" t="s">
        <v>41</v>
      </c>
      <c r="I117" s="34" t="s">
        <v>339</v>
      </c>
      <c r="J117" s="33"/>
      <c r="K117" s="35"/>
      <c r="L117" s="33"/>
      <c r="M117" s="36"/>
      <c r="N117" s="33"/>
      <c r="O117" s="36"/>
      <c r="P117" s="33"/>
      <c r="Q117" s="37"/>
      <c r="R117" s="38"/>
      <c r="S117" s="33"/>
      <c r="T117" s="38"/>
      <c r="U117" s="33"/>
      <c r="V117" s="39"/>
      <c r="W117" s="90" t="b">
        <v>1</v>
      </c>
      <c r="X117" s="90" t="b">
        <v>1</v>
      </c>
      <c r="Y117" s="90" t="b">
        <v>1</v>
      </c>
      <c r="Z117" s="40" t="s">
        <v>340</v>
      </c>
      <c r="AA117" s="41"/>
      <c r="AK117" s="16"/>
      <c r="AL117" s="16"/>
      <c r="AM117" s="16"/>
      <c r="AN117" s="16"/>
      <c r="AO117" s="16"/>
      <c r="AP117" s="16"/>
      <c r="AQ117" s="16"/>
      <c r="AR117" s="16"/>
      <c r="AS117" s="16"/>
    </row>
    <row r="118" spans="1:45" s="7" customFormat="1" ht="195" customHeight="1">
      <c r="A118" s="27">
        <f>[1]트램표준체크리스트!A116</f>
        <v>114</v>
      </c>
      <c r="B118" s="28" t="str">
        <f>[1]트램표준체크리스트!B116</f>
        <v>철도계획</v>
      </c>
      <c r="C118" s="29" t="str">
        <f>[1]트램표준체크리스트!C116</f>
        <v>인터페이스 계획</v>
      </c>
      <c r="D118" s="30" t="str">
        <f>[1]트램표준체크리스트!F116</f>
        <v>광역상수도 대형 관로 간섭 미고려로 대규모 지장물 이설 및 심각한 설계 변경 발생 리스크를 검토하였는가?</v>
      </c>
      <c r="E118" s="31" t="s">
        <v>341</v>
      </c>
      <c r="F118" s="32" t="str">
        <f t="shared" si="3"/>
        <v>극상</v>
      </c>
      <c r="G118" s="63" t="s">
        <v>40</v>
      </c>
      <c r="H118" s="63" t="s">
        <v>41</v>
      </c>
      <c r="I118" s="34" t="s">
        <v>342</v>
      </c>
      <c r="J118" s="33"/>
      <c r="K118" s="35"/>
      <c r="L118" s="33"/>
      <c r="M118" s="36"/>
      <c r="N118" s="33"/>
      <c r="O118" s="36"/>
      <c r="P118" s="33"/>
      <c r="Q118" s="37"/>
      <c r="R118" s="38"/>
      <c r="S118" s="33"/>
      <c r="T118" s="38"/>
      <c r="U118" s="33"/>
      <c r="V118" s="39"/>
      <c r="W118" s="90" t="b">
        <v>0</v>
      </c>
      <c r="X118" s="90" t="b">
        <v>0</v>
      </c>
      <c r="Y118" s="90" t="b">
        <v>0</v>
      </c>
      <c r="Z118" s="40" t="s">
        <v>337</v>
      </c>
      <c r="AA118" s="41"/>
      <c r="AK118" s="16"/>
      <c r="AL118" s="16"/>
      <c r="AM118" s="16"/>
      <c r="AN118" s="16"/>
      <c r="AO118" s="16"/>
      <c r="AP118" s="16"/>
      <c r="AQ118" s="16"/>
      <c r="AR118" s="16"/>
      <c r="AS118" s="16"/>
    </row>
    <row r="119" spans="1:45" s="7" customFormat="1" ht="195" customHeight="1">
      <c r="A119" s="27">
        <f>[1]트램표준체크리스트!A117</f>
        <v>115</v>
      </c>
      <c r="B119" s="28" t="str">
        <f>[1]트램표준체크리스트!B117</f>
        <v>철도계획</v>
      </c>
      <c r="C119" s="29" t="str">
        <f>[1]트램표준체크리스트!C117</f>
        <v>인터페이스 계획</v>
      </c>
      <c r="D119" s="30" t="str">
        <f>[1]트램표준체크리스트!F117</f>
        <v>타 철도망 환기구 개착 공사와의 구조적 간섭 및 공기 중첩 미고려로 가시설 충돌 및 대규모 공기 지연이 발생할 리스크를 검토하였는가?</v>
      </c>
      <c r="E119" s="31" t="s">
        <v>343</v>
      </c>
      <c r="F119" s="32" t="str">
        <f t="shared" si="3"/>
        <v>극상</v>
      </c>
      <c r="G119" s="63" t="s">
        <v>40</v>
      </c>
      <c r="H119" s="63" t="s">
        <v>41</v>
      </c>
      <c r="I119" s="34" t="s">
        <v>344</v>
      </c>
      <c r="J119" s="33"/>
      <c r="K119" s="35"/>
      <c r="L119" s="33"/>
      <c r="M119" s="36"/>
      <c r="N119" s="33"/>
      <c r="O119" s="36"/>
      <c r="P119" s="33"/>
      <c r="Q119" s="37"/>
      <c r="R119" s="38"/>
      <c r="S119" s="33"/>
      <c r="T119" s="38"/>
      <c r="U119" s="33"/>
      <c r="V119" s="39"/>
      <c r="W119" s="90" t="b">
        <v>0</v>
      </c>
      <c r="X119" s="90" t="b">
        <v>0</v>
      </c>
      <c r="Y119" s="90" t="b">
        <v>0</v>
      </c>
      <c r="Z119" s="40" t="s">
        <v>337</v>
      </c>
      <c r="AA119" s="41"/>
      <c r="AK119" s="16"/>
      <c r="AL119" s="16"/>
      <c r="AM119" s="16"/>
      <c r="AN119" s="16"/>
      <c r="AO119" s="16"/>
      <c r="AP119" s="16"/>
      <c r="AQ119" s="16"/>
      <c r="AR119" s="16"/>
      <c r="AS119" s="16"/>
    </row>
    <row r="120" spans="1:45" s="7" customFormat="1" ht="195" customHeight="1">
      <c r="A120" s="27">
        <f>[1]트램표준체크리스트!A118</f>
        <v>116</v>
      </c>
      <c r="B120" s="28" t="str">
        <f>[1]트램표준체크리스트!B118</f>
        <v>철도계획</v>
      </c>
      <c r="C120" s="29" t="str">
        <f>[1]트램표준체크리스트!C118</f>
        <v>인터페이스 및 하천계획</v>
      </c>
      <c r="D120" s="30" t="str">
        <f>[1]트램표준체크리스트!F118</f>
        <v>구역천 친수하천 공사 간섭 및 홍수위(H.W.L) 검토 누락으로 하천점용허가 반려 및 우기 시 궤도 유실이 발생할 리스크를 검토하였는가?</v>
      </c>
      <c r="E120" s="31" t="s">
        <v>345</v>
      </c>
      <c r="F120" s="32" t="str">
        <f t="shared" si="3"/>
        <v>극상</v>
      </c>
      <c r="G120" s="63" t="s">
        <v>40</v>
      </c>
      <c r="H120" s="63" t="s">
        <v>41</v>
      </c>
      <c r="I120" s="34" t="s">
        <v>346</v>
      </c>
      <c r="J120" s="33"/>
      <c r="K120" s="35"/>
      <c r="L120" s="33"/>
      <c r="M120" s="36"/>
      <c r="N120" s="33"/>
      <c r="O120" s="36"/>
      <c r="P120" s="33"/>
      <c r="Q120" s="37"/>
      <c r="R120" s="38"/>
      <c r="S120" s="33"/>
      <c r="T120" s="38"/>
      <c r="U120" s="33"/>
      <c r="V120" s="39"/>
      <c r="W120" s="90" t="b">
        <v>0</v>
      </c>
      <c r="X120" s="90" t="b">
        <v>0</v>
      </c>
      <c r="Y120" s="90" t="b">
        <v>0</v>
      </c>
      <c r="Z120" s="40" t="s">
        <v>347</v>
      </c>
      <c r="AA120" s="41"/>
      <c r="AK120" s="16"/>
      <c r="AL120" s="16"/>
      <c r="AM120" s="16"/>
      <c r="AN120" s="16"/>
      <c r="AO120" s="16"/>
      <c r="AP120" s="16"/>
      <c r="AQ120" s="16"/>
      <c r="AR120" s="16"/>
      <c r="AS120" s="16"/>
    </row>
    <row r="121" spans="1:45" s="7" customFormat="1" ht="195" customHeight="1">
      <c r="A121" s="27">
        <f>[1]트램표준체크리스트!A119</f>
        <v>117</v>
      </c>
      <c r="B121" s="28" t="str">
        <f>[1]트램표준체크리스트!B119</f>
        <v>철도계획</v>
      </c>
      <c r="C121" s="29" t="str">
        <f>[1]트램표준체크리스트!C119</f>
        <v>인허가 및 교통안전계획</v>
      </c>
      <c r="D121" s="30" t="str">
        <f>[1]트램표준체크리스트!F119</f>
        <v>경찰청 심의 기준을 간과한 트램 위주 설계로 심의가 반려되어 선형 및 교통 통제 방안이 전면 재수정되고 공기가 지연될 리스크를 검토하였는가?</v>
      </c>
      <c r="E121" s="31" t="s">
        <v>348</v>
      </c>
      <c r="F121" s="32" t="str">
        <f t="shared" si="3"/>
        <v>극상</v>
      </c>
      <c r="G121" s="63" t="s">
        <v>40</v>
      </c>
      <c r="H121" s="63" t="s">
        <v>41</v>
      </c>
      <c r="I121" s="34" t="s">
        <v>349</v>
      </c>
      <c r="J121" s="33"/>
      <c r="K121" s="35"/>
      <c r="L121" s="33"/>
      <c r="M121" s="36"/>
      <c r="N121" s="33"/>
      <c r="O121" s="36"/>
      <c r="P121" s="33"/>
      <c r="Q121" s="37"/>
      <c r="R121" s="38"/>
      <c r="S121" s="33"/>
      <c r="T121" s="38"/>
      <c r="U121" s="33"/>
      <c r="V121" s="39"/>
      <c r="W121" s="90" t="b">
        <v>0</v>
      </c>
      <c r="X121" s="90" t="b">
        <v>0</v>
      </c>
      <c r="Y121" s="90" t="b">
        <v>0</v>
      </c>
      <c r="Z121" s="40" t="s">
        <v>350</v>
      </c>
      <c r="AA121" s="41"/>
      <c r="AK121" s="16"/>
      <c r="AL121" s="16"/>
      <c r="AM121" s="16"/>
      <c r="AN121" s="16"/>
      <c r="AO121" s="16"/>
      <c r="AP121" s="16"/>
      <c r="AQ121" s="16"/>
      <c r="AR121" s="16"/>
      <c r="AS121" s="16"/>
    </row>
    <row r="122" spans="1:45" s="7" customFormat="1" ht="195" customHeight="1">
      <c r="A122" s="27">
        <f>[1]트램표준체크리스트!A120</f>
        <v>118</v>
      </c>
      <c r="B122" s="28" t="str">
        <f>[1]트램표준체크리스트!B120</f>
        <v>철도계획</v>
      </c>
      <c r="C122" s="29" t="str">
        <f>[1]트램표준체크리스트!C120</f>
        <v>정거장 승강장 계획</v>
      </c>
      <c r="D122" s="30" t="str">
        <f>[1]트램표준체크리스트!F120</f>
        <v>동적 편의량 미고려로 연단 이격거리가 50mm를 초과하여 발빠짐 사고가 발생할 리스크를 검토하였는가?</v>
      </c>
      <c r="E122" s="31" t="s">
        <v>228</v>
      </c>
      <c r="F122" s="32" t="str">
        <f t="shared" si="3"/>
        <v>극상</v>
      </c>
      <c r="G122" s="63" t="s">
        <v>40</v>
      </c>
      <c r="H122" s="63" t="s">
        <v>41</v>
      </c>
      <c r="I122" s="34" t="s">
        <v>351</v>
      </c>
      <c r="J122" s="33"/>
      <c r="K122" s="35"/>
      <c r="L122" s="33"/>
      <c r="M122" s="36"/>
      <c r="N122" s="33"/>
      <c r="O122" s="36"/>
      <c r="P122" s="33"/>
      <c r="Q122" s="37"/>
      <c r="R122" s="38"/>
      <c r="S122" s="33"/>
      <c r="T122" s="38"/>
      <c r="U122" s="33"/>
      <c r="V122" s="39"/>
      <c r="W122" s="90" t="b">
        <v>0</v>
      </c>
      <c r="X122" s="90" t="b">
        <v>0</v>
      </c>
      <c r="Y122" s="90" t="b">
        <v>0</v>
      </c>
      <c r="Z122" s="40" t="s">
        <v>228</v>
      </c>
      <c r="AA122" s="41"/>
      <c r="AK122" s="16"/>
      <c r="AL122" s="16"/>
      <c r="AM122" s="16"/>
      <c r="AN122" s="16"/>
      <c r="AO122" s="16"/>
      <c r="AP122" s="16"/>
      <c r="AQ122" s="16"/>
      <c r="AR122" s="16"/>
      <c r="AS122" s="16"/>
    </row>
    <row r="123" spans="1:45" s="7" customFormat="1" ht="195" customHeight="1">
      <c r="A123" s="27">
        <f>[1]트램표준체크리스트!A121</f>
        <v>119</v>
      </c>
      <c r="B123" s="28" t="str">
        <f>[1]트램표준체크리스트!B121</f>
        <v>철도계획</v>
      </c>
      <c r="C123" s="29" t="str">
        <f>[1]트램표준체크리스트!C121</f>
        <v>정거장 승강장 계획</v>
      </c>
      <c r="D123" s="30" t="str">
        <f>[1]트램표준체크리스트!F121</f>
        <v>306 정거장과 체육공원 간 단차 미고려 및 수직 동선(E/V 등) 누락으로 궤도 무단 횡단 사고가 유발될 리스크를 검토하였는가?</v>
      </c>
      <c r="E123" s="31" t="s">
        <v>228</v>
      </c>
      <c r="F123" s="32" t="str">
        <f t="shared" si="3"/>
        <v>극상</v>
      </c>
      <c r="G123" s="63" t="s">
        <v>40</v>
      </c>
      <c r="H123" s="63" t="s">
        <v>41</v>
      </c>
      <c r="I123" s="34" t="s">
        <v>352</v>
      </c>
      <c r="J123" s="33"/>
      <c r="K123" s="35"/>
      <c r="L123" s="33"/>
      <c r="M123" s="36"/>
      <c r="N123" s="33"/>
      <c r="O123" s="36"/>
      <c r="P123" s="33"/>
      <c r="Q123" s="37"/>
      <c r="R123" s="38"/>
      <c r="S123" s="33"/>
      <c r="T123" s="38"/>
      <c r="U123" s="33"/>
      <c r="V123" s="39"/>
      <c r="W123" s="90" t="b">
        <v>0</v>
      </c>
      <c r="X123" s="90" t="b">
        <v>0</v>
      </c>
      <c r="Y123" s="90" t="b">
        <v>0</v>
      </c>
      <c r="Z123" s="40" t="s">
        <v>228</v>
      </c>
      <c r="AA123" s="41"/>
      <c r="AK123" s="16"/>
      <c r="AL123" s="16"/>
      <c r="AM123" s="16"/>
      <c r="AN123" s="16"/>
      <c r="AO123" s="16"/>
      <c r="AP123" s="16"/>
      <c r="AQ123" s="16"/>
      <c r="AR123" s="16"/>
      <c r="AS123" s="16"/>
    </row>
    <row r="124" spans="1:45" s="7" customFormat="1" ht="195" customHeight="1">
      <c r="A124" s="27">
        <f>[1]트램표준체크리스트!A122</f>
        <v>120</v>
      </c>
      <c r="B124" s="28" t="str">
        <f>[1]트램표준체크리스트!B122</f>
        <v>철도계획</v>
      </c>
      <c r="C124" s="29" t="str">
        <f>[1]트램표준체크리스트!C122</f>
        <v>정거장 승강장 계획</v>
      </c>
      <c r="D124" s="30" t="str">
        <f>[1]트램표준체크리스트!F122</f>
        <v>209 정거장 환승 특성 미고려 및 비효율적 동선 설계로 승객 병목 현상 및 트램 이용률이 급감할 리스크를 검토하였는가?</v>
      </c>
      <c r="E124" s="31" t="s">
        <v>228</v>
      </c>
      <c r="F124" s="32" t="str">
        <f t="shared" si="3"/>
        <v>극상</v>
      </c>
      <c r="G124" s="63" t="s">
        <v>40</v>
      </c>
      <c r="H124" s="63" t="s">
        <v>41</v>
      </c>
      <c r="I124" s="34" t="s">
        <v>353</v>
      </c>
      <c r="J124" s="33"/>
      <c r="K124" s="35"/>
      <c r="L124" s="33"/>
      <c r="M124" s="36"/>
      <c r="N124" s="33"/>
      <c r="O124" s="36"/>
      <c r="P124" s="33"/>
      <c r="Q124" s="37"/>
      <c r="R124" s="38"/>
      <c r="S124" s="33"/>
      <c r="T124" s="38"/>
      <c r="U124" s="33"/>
      <c r="V124" s="39"/>
      <c r="W124" s="90" t="b">
        <v>0</v>
      </c>
      <c r="X124" s="90" t="b">
        <v>0</v>
      </c>
      <c r="Y124" s="90" t="b">
        <v>0</v>
      </c>
      <c r="Z124" s="40" t="s">
        <v>228</v>
      </c>
      <c r="AA124" s="41"/>
      <c r="AK124" s="16"/>
      <c r="AL124" s="16"/>
      <c r="AM124" s="16"/>
      <c r="AN124" s="16"/>
      <c r="AO124" s="16"/>
      <c r="AP124" s="16"/>
      <c r="AQ124" s="16"/>
      <c r="AR124" s="16"/>
      <c r="AS124" s="16"/>
    </row>
    <row r="125" spans="1:45" s="7" customFormat="1" ht="195" customHeight="1">
      <c r="A125" s="27">
        <f>[1]트램표준체크리스트!A123</f>
        <v>121</v>
      </c>
      <c r="B125" s="28" t="str">
        <f>[1]트램표준체크리스트!B123</f>
        <v>철도계획</v>
      </c>
      <c r="C125" s="29" t="str">
        <f>[1]트램표준체크리스트!C123</f>
        <v>정거장 승강장 계획</v>
      </c>
      <c r="D125" s="30" t="str">
        <f>[1]트램표준체크리스트!F123</f>
        <v>E/V 및 무단차 동선 설계 누락으로 BF 인증 심사 탈락 및 극심한 민원이 유발될 리스크를 검토하였는가?</v>
      </c>
      <c r="E125" s="31" t="s">
        <v>228</v>
      </c>
      <c r="F125" s="32" t="str">
        <f t="shared" si="3"/>
        <v>극상</v>
      </c>
      <c r="G125" s="63" t="s">
        <v>40</v>
      </c>
      <c r="H125" s="63" t="s">
        <v>41</v>
      </c>
      <c r="I125" s="34" t="s">
        <v>354</v>
      </c>
      <c r="J125" s="33"/>
      <c r="K125" s="35"/>
      <c r="L125" s="33"/>
      <c r="M125" s="36"/>
      <c r="N125" s="33"/>
      <c r="O125" s="36"/>
      <c r="P125" s="33"/>
      <c r="Q125" s="37"/>
      <c r="R125" s="38"/>
      <c r="S125" s="33"/>
      <c r="T125" s="38"/>
      <c r="U125" s="33"/>
      <c r="V125" s="39"/>
      <c r="W125" s="90" t="b">
        <v>0</v>
      </c>
      <c r="X125" s="90" t="b">
        <v>0</v>
      </c>
      <c r="Y125" s="90" t="b">
        <v>0</v>
      </c>
      <c r="Z125" s="40" t="s">
        <v>228</v>
      </c>
      <c r="AA125" s="41"/>
      <c r="AK125" s="16"/>
      <c r="AL125" s="16"/>
      <c r="AM125" s="16"/>
      <c r="AN125" s="16"/>
      <c r="AO125" s="16"/>
      <c r="AP125" s="16"/>
      <c r="AQ125" s="16"/>
      <c r="AR125" s="16"/>
      <c r="AS125" s="16"/>
    </row>
    <row r="126" spans="1:45" s="7" customFormat="1" ht="195" customHeight="1">
      <c r="A126" s="27">
        <f>[1]트램표준체크리스트!A124</f>
        <v>122</v>
      </c>
      <c r="B126" s="28" t="str">
        <f>[1]트램표준체크리스트!B124</f>
        <v>철도계획</v>
      </c>
      <c r="C126" s="29" t="str">
        <f>[1]트램표준체크리스트!C124</f>
        <v>정거장 승강장 계획</v>
      </c>
      <c r="D126" s="30" t="str">
        <f>[1]트램표준체크리스트!F124</f>
        <v>환승 동선 및 교통 혼잡도 오판으로 승객 병목 현상이나 환승 지연이 발생할 리스크를 검토하였는가?</v>
      </c>
      <c r="E126" s="31" t="s">
        <v>355</v>
      </c>
      <c r="F126" s="32" t="str">
        <f t="shared" si="3"/>
        <v>극상</v>
      </c>
      <c r="G126" s="63" t="s">
        <v>40</v>
      </c>
      <c r="H126" s="63" t="s">
        <v>41</v>
      </c>
      <c r="I126" s="34" t="s">
        <v>356</v>
      </c>
      <c r="J126" s="33"/>
      <c r="K126" s="35"/>
      <c r="L126" s="33"/>
      <c r="M126" s="36"/>
      <c r="N126" s="33"/>
      <c r="O126" s="36"/>
      <c r="P126" s="33"/>
      <c r="Q126" s="37"/>
      <c r="R126" s="38"/>
      <c r="S126" s="33"/>
      <c r="T126" s="38"/>
      <c r="U126" s="33"/>
      <c r="V126" s="39"/>
      <c r="W126" s="90" t="b">
        <v>0</v>
      </c>
      <c r="X126" s="90" t="b">
        <v>0</v>
      </c>
      <c r="Y126" s="90" t="b">
        <v>0</v>
      </c>
      <c r="Z126" s="40" t="s">
        <v>357</v>
      </c>
      <c r="AA126" s="41"/>
      <c r="AK126" s="16"/>
      <c r="AL126" s="16"/>
      <c r="AM126" s="16"/>
      <c r="AN126" s="16"/>
      <c r="AO126" s="16"/>
      <c r="AP126" s="16"/>
      <c r="AQ126" s="16"/>
      <c r="AR126" s="16"/>
      <c r="AS126" s="16"/>
    </row>
    <row r="127" spans="1:45" s="7" customFormat="1" ht="195" customHeight="1">
      <c r="A127" s="27">
        <f>[1]트램표준체크리스트!A125</f>
        <v>123</v>
      </c>
      <c r="B127" s="28" t="str">
        <f>[1]트램표준체크리스트!B125</f>
        <v>철도계획</v>
      </c>
      <c r="C127" s="29" t="str">
        <f>[1]트램표준체크리스트!C125</f>
        <v>정거장 승강장 계획</v>
      </c>
      <c r="D127" s="30" t="str">
        <f>[1]트램표준체크리스트!F125</f>
        <v>정거장 구내 종곡선 포함 및 선로기울기 40‰ 초과 설계로 트램 미끄러짐 등 안전사고가 발생할 리스크를 검토하였는가?</v>
      </c>
      <c r="E127" s="31" t="s">
        <v>228</v>
      </c>
      <c r="F127" s="32" t="str">
        <f t="shared" si="3"/>
        <v>극상</v>
      </c>
      <c r="G127" s="63" t="s">
        <v>40</v>
      </c>
      <c r="H127" s="63" t="s">
        <v>41</v>
      </c>
      <c r="I127" s="34" t="s">
        <v>358</v>
      </c>
      <c r="J127" s="33"/>
      <c r="K127" s="35"/>
      <c r="L127" s="33"/>
      <c r="M127" s="36"/>
      <c r="N127" s="33"/>
      <c r="O127" s="36"/>
      <c r="P127" s="33"/>
      <c r="Q127" s="37"/>
      <c r="R127" s="38"/>
      <c r="S127" s="33"/>
      <c r="T127" s="38"/>
      <c r="U127" s="33"/>
      <c r="V127" s="39"/>
      <c r="W127" s="90" t="b">
        <v>0</v>
      </c>
      <c r="X127" s="90" t="b">
        <v>0</v>
      </c>
      <c r="Y127" s="90" t="b">
        <v>0</v>
      </c>
      <c r="Z127" s="40" t="s">
        <v>228</v>
      </c>
      <c r="AA127" s="41"/>
      <c r="AK127" s="16"/>
      <c r="AL127" s="16"/>
      <c r="AM127" s="16"/>
      <c r="AN127" s="16"/>
      <c r="AO127" s="16"/>
      <c r="AP127" s="16"/>
      <c r="AQ127" s="16"/>
      <c r="AR127" s="16"/>
      <c r="AS127" s="16"/>
    </row>
    <row r="128" spans="1:45" s="7" customFormat="1" ht="195" customHeight="1">
      <c r="A128" s="27">
        <f>[1]트램표준체크리스트!A126</f>
        <v>124</v>
      </c>
      <c r="B128" s="28" t="str">
        <f>[1]트램표준체크리스트!B126</f>
        <v>철도계획</v>
      </c>
      <c r="C128" s="29" t="str">
        <f>[1]트램표준체크리스트!C126</f>
        <v>정거장 승강장 계획</v>
      </c>
      <c r="D128" s="30" t="str">
        <f>[1]트램표준체크리스트!F126</f>
        <v>4편성 주박선 유효장 누락 및 복합환승센터 간섭 미검토로 차량 주박 불가 및 환승 동선 혼선이 발생할 리스크를 검토하였는가?</v>
      </c>
      <c r="E128" s="31" t="s">
        <v>359</v>
      </c>
      <c r="F128" s="32" t="str">
        <f t="shared" si="3"/>
        <v>극상</v>
      </c>
      <c r="G128" s="63" t="s">
        <v>40</v>
      </c>
      <c r="H128" s="63" t="s">
        <v>41</v>
      </c>
      <c r="I128" s="34" t="s">
        <v>360</v>
      </c>
      <c r="J128" s="33"/>
      <c r="K128" s="35"/>
      <c r="L128" s="33"/>
      <c r="M128" s="36"/>
      <c r="N128" s="33"/>
      <c r="O128" s="36"/>
      <c r="P128" s="33"/>
      <c r="Q128" s="37"/>
      <c r="R128" s="38"/>
      <c r="S128" s="33"/>
      <c r="T128" s="38"/>
      <c r="U128" s="33"/>
      <c r="V128" s="39"/>
      <c r="W128" s="90" t="b">
        <v>0</v>
      </c>
      <c r="X128" s="90" t="b">
        <v>0</v>
      </c>
      <c r="Y128" s="90" t="b">
        <v>0</v>
      </c>
      <c r="Z128" s="40" t="s">
        <v>361</v>
      </c>
      <c r="AA128" s="41"/>
      <c r="AK128" s="16"/>
      <c r="AL128" s="16"/>
      <c r="AM128" s="16"/>
      <c r="AN128" s="16"/>
      <c r="AO128" s="16"/>
      <c r="AP128" s="16"/>
      <c r="AQ128" s="16"/>
      <c r="AR128" s="16"/>
      <c r="AS128" s="16"/>
    </row>
    <row r="129" spans="1:45" s="7" customFormat="1" ht="195" customHeight="1">
      <c r="A129" s="27">
        <f>[1]트램표준체크리스트!A127</f>
        <v>125</v>
      </c>
      <c r="B129" s="28" t="str">
        <f>[1]트램표준체크리스트!B127</f>
        <v>철도계획</v>
      </c>
      <c r="C129" s="29" t="str">
        <f>[1]트램표준체크리스트!C127</f>
        <v>정거장 승강장 계획</v>
      </c>
      <c r="D129" s="30" t="str">
        <f>[1]트램표준체크리스트!F127</f>
        <v>순수 유효폭원이 기준(상대식 3.0m, 섬식 4.0m 이상)에 미달하여 승객 선로 추락 등 안전사고가 발생할 리스크를 검토하였는가?</v>
      </c>
      <c r="E129" s="31" t="s">
        <v>362</v>
      </c>
      <c r="F129" s="32" t="str">
        <f t="shared" si="3"/>
        <v>극상</v>
      </c>
      <c r="G129" s="63" t="s">
        <v>40</v>
      </c>
      <c r="H129" s="63" t="s">
        <v>41</v>
      </c>
      <c r="I129" s="34" t="s">
        <v>363</v>
      </c>
      <c r="J129" s="33"/>
      <c r="K129" s="35"/>
      <c r="L129" s="33"/>
      <c r="M129" s="36"/>
      <c r="N129" s="33"/>
      <c r="O129" s="36"/>
      <c r="P129" s="33"/>
      <c r="Q129" s="37"/>
      <c r="R129" s="38"/>
      <c r="S129" s="33"/>
      <c r="T129" s="38"/>
      <c r="U129" s="33"/>
      <c r="V129" s="39"/>
      <c r="W129" s="90" t="b">
        <v>0</v>
      </c>
      <c r="X129" s="90" t="b">
        <v>0</v>
      </c>
      <c r="Y129" s="90" t="b">
        <v>0</v>
      </c>
      <c r="Z129" s="40" t="s">
        <v>364</v>
      </c>
      <c r="AA129" s="41"/>
      <c r="AK129" s="16"/>
      <c r="AL129" s="16"/>
      <c r="AM129" s="16"/>
      <c r="AN129" s="16"/>
      <c r="AO129" s="16"/>
      <c r="AP129" s="16"/>
      <c r="AQ129" s="16"/>
      <c r="AR129" s="16"/>
      <c r="AS129" s="16"/>
    </row>
    <row r="130" spans="1:45" s="7" customFormat="1" ht="195" customHeight="1">
      <c r="A130" s="27">
        <f>[1]트램표준체크리스트!A128</f>
        <v>126</v>
      </c>
      <c r="B130" s="28" t="str">
        <f>[1]트램표준체크리스트!B128</f>
        <v>철도계획</v>
      </c>
      <c r="C130" s="29" t="str">
        <f>[1]트램표준체크리스트!C128</f>
        <v>정거장 승강장 계획</v>
      </c>
      <c r="D130" s="30" t="str">
        <f>[1]트램표준체크리스트!F128</f>
        <v>임의 선형 조정으로 시·종점 절대좌표가 틀어지거나 정거장 위치가 과도하게 변경되어 인허가 재협의가 발생할 리스크를 검토하였는가?</v>
      </c>
      <c r="E130" s="31" t="s">
        <v>365</v>
      </c>
      <c r="F130" s="32" t="str">
        <f t="shared" si="3"/>
        <v>극상</v>
      </c>
      <c r="G130" s="63" t="s">
        <v>40</v>
      </c>
      <c r="H130" s="63" t="s">
        <v>41</v>
      </c>
      <c r="I130" s="34" t="s">
        <v>366</v>
      </c>
      <c r="J130" s="33"/>
      <c r="K130" s="35"/>
      <c r="L130" s="33"/>
      <c r="M130" s="36"/>
      <c r="N130" s="33"/>
      <c r="O130" s="36"/>
      <c r="P130" s="33"/>
      <c r="Q130" s="37"/>
      <c r="R130" s="38"/>
      <c r="S130" s="33"/>
      <c r="T130" s="38"/>
      <c r="U130" s="33"/>
      <c r="V130" s="39"/>
      <c r="W130" s="90" t="b">
        <v>0</v>
      </c>
      <c r="X130" s="90" t="b">
        <v>0</v>
      </c>
      <c r="Y130" s="90" t="b">
        <v>0</v>
      </c>
      <c r="Z130" s="40" t="s">
        <v>367</v>
      </c>
      <c r="AA130" s="41"/>
      <c r="AK130" s="16"/>
      <c r="AL130" s="16"/>
      <c r="AM130" s="16"/>
      <c r="AN130" s="16"/>
      <c r="AO130" s="16"/>
      <c r="AP130" s="16"/>
      <c r="AQ130" s="16"/>
      <c r="AR130" s="16"/>
      <c r="AS130" s="16"/>
    </row>
    <row r="131" spans="1:45" s="7" customFormat="1" ht="195" customHeight="1">
      <c r="A131" s="27">
        <f>[1]트램표준체크리스트!A129</f>
        <v>127</v>
      </c>
      <c r="B131" s="28" t="str">
        <f>[1]트램표준체크리스트!B129</f>
        <v>철도계획</v>
      </c>
      <c r="C131" s="29" t="str">
        <f>[1]트램표준체크리스트!C129</f>
        <v>정거장 승강장 계획</v>
      </c>
      <c r="D131" s="30" t="str">
        <f>[1]트램표준체크리스트!F129</f>
        <v>타 철도망 환승 동선 및 인터페이스 검토 누락으로 승객 우회 보행 및 극심한 환승 불편이 유발될 리스크를 검토하였는가?</v>
      </c>
      <c r="E131" s="31" t="s">
        <v>368</v>
      </c>
      <c r="F131" s="32" t="str">
        <f t="shared" si="3"/>
        <v>극상</v>
      </c>
      <c r="G131" s="63" t="s">
        <v>40</v>
      </c>
      <c r="H131" s="63" t="s">
        <v>41</v>
      </c>
      <c r="I131" s="34" t="s">
        <v>369</v>
      </c>
      <c r="J131" s="33"/>
      <c r="K131" s="35"/>
      <c r="L131" s="33"/>
      <c r="M131" s="36"/>
      <c r="N131" s="33"/>
      <c r="O131" s="36"/>
      <c r="P131" s="33"/>
      <c r="Q131" s="37"/>
      <c r="R131" s="38"/>
      <c r="S131" s="33"/>
      <c r="T131" s="38"/>
      <c r="U131" s="33"/>
      <c r="V131" s="39"/>
      <c r="W131" s="90" t="b">
        <v>0</v>
      </c>
      <c r="X131" s="90" t="b">
        <v>0</v>
      </c>
      <c r="Y131" s="90" t="b">
        <v>0</v>
      </c>
      <c r="Z131" s="40" t="s">
        <v>370</v>
      </c>
      <c r="AA131" s="41"/>
      <c r="AK131" s="16"/>
      <c r="AL131" s="16"/>
      <c r="AM131" s="16"/>
      <c r="AN131" s="16"/>
      <c r="AO131" s="16"/>
      <c r="AP131" s="16"/>
      <c r="AQ131" s="16"/>
      <c r="AR131" s="16"/>
      <c r="AS131" s="16"/>
    </row>
    <row r="132" spans="1:45" s="7" customFormat="1" ht="195" customHeight="1">
      <c r="A132" s="27">
        <f>[1]트램표준체크리스트!A130</f>
        <v>128</v>
      </c>
      <c r="B132" s="28" t="str">
        <f>[1]트램표준체크리스트!B130</f>
        <v>철도계획</v>
      </c>
      <c r="C132" s="29" t="str">
        <f>[1]트램표준체크리스트!C130</f>
        <v>정거장 승강장 계획</v>
      </c>
      <c r="D132" s="30" t="str">
        <f>[1]트램표준체크리스트!F130</f>
        <v>'디자인 가이드라인' 위배로 지자체 경관/디자인 심의가 반려되어 대대적인 재설계 비용이 발생할 리스크를 검토하였는가?</v>
      </c>
      <c r="E132" s="31" t="s">
        <v>371</v>
      </c>
      <c r="F132" s="32" t="str">
        <f t="shared" si="3"/>
        <v>극상</v>
      </c>
      <c r="G132" s="63" t="s">
        <v>40</v>
      </c>
      <c r="H132" s="63" t="s">
        <v>41</v>
      </c>
      <c r="I132" s="34" t="s">
        <v>372</v>
      </c>
      <c r="J132" s="33"/>
      <c r="K132" s="35"/>
      <c r="L132" s="33"/>
      <c r="M132" s="36"/>
      <c r="N132" s="33"/>
      <c r="O132" s="36"/>
      <c r="P132" s="33"/>
      <c r="Q132" s="37"/>
      <c r="R132" s="38"/>
      <c r="S132" s="33"/>
      <c r="T132" s="38"/>
      <c r="U132" s="33"/>
      <c r="V132" s="39"/>
      <c r="W132" s="90" t="b">
        <v>0</v>
      </c>
      <c r="X132" s="90" t="b">
        <v>0</v>
      </c>
      <c r="Y132" s="90" t="b">
        <v>0</v>
      </c>
      <c r="Z132" s="40" t="s">
        <v>373</v>
      </c>
      <c r="AA132" s="41"/>
      <c r="AK132" s="16"/>
      <c r="AL132" s="16"/>
      <c r="AM132" s="16"/>
      <c r="AN132" s="16"/>
      <c r="AO132" s="16"/>
      <c r="AP132" s="16"/>
      <c r="AQ132" s="16"/>
      <c r="AR132" s="16"/>
      <c r="AS132" s="16"/>
    </row>
    <row r="133" spans="1:45" s="7" customFormat="1" ht="195" customHeight="1">
      <c r="A133" s="27">
        <f>[1]트램표준체크리스트!A131</f>
        <v>129</v>
      </c>
      <c r="B133" s="28" t="str">
        <f>[1]트램표준체크리스트!B131</f>
        <v>철도계획</v>
      </c>
      <c r="C133" s="29" t="str">
        <f>[1]트램표준체크리스트!C131</f>
        <v>정거장 승강장 계획</v>
      </c>
      <c r="D133" s="30" t="str">
        <f>[1]트램표준체크리스트!F131</f>
        <v>배수 우선 고려로 승강장 기울기가 1/100을 초과해 교통약자가 선로로 추락할 리스크를 검토하였는가?</v>
      </c>
      <c r="E133" s="31" t="s">
        <v>374</v>
      </c>
      <c r="F133" s="32" t="str">
        <f t="shared" si="3"/>
        <v>극상</v>
      </c>
      <c r="G133" s="63" t="s">
        <v>40</v>
      </c>
      <c r="H133" s="63" t="s">
        <v>41</v>
      </c>
      <c r="I133" s="34" t="s">
        <v>375</v>
      </c>
      <c r="J133" s="33"/>
      <c r="K133" s="35"/>
      <c r="L133" s="33"/>
      <c r="M133" s="36"/>
      <c r="N133" s="33"/>
      <c r="O133" s="36"/>
      <c r="P133" s="33"/>
      <c r="Q133" s="37"/>
      <c r="R133" s="38"/>
      <c r="S133" s="33"/>
      <c r="T133" s="38"/>
      <c r="U133" s="33"/>
      <c r="V133" s="39"/>
      <c r="W133" s="90" t="b">
        <v>0</v>
      </c>
      <c r="X133" s="90" t="b">
        <v>0</v>
      </c>
      <c r="Y133" s="90" t="b">
        <v>0</v>
      </c>
      <c r="Z133" s="40" t="s">
        <v>376</v>
      </c>
      <c r="AA133" s="41"/>
      <c r="AK133" s="16"/>
      <c r="AL133" s="16"/>
      <c r="AM133" s="16"/>
      <c r="AN133" s="16"/>
      <c r="AO133" s="16"/>
      <c r="AP133" s="16"/>
      <c r="AQ133" s="16"/>
      <c r="AR133" s="16"/>
      <c r="AS133" s="16"/>
    </row>
    <row r="134" spans="1:45" s="7" customFormat="1" ht="195" customHeight="1">
      <c r="A134" s="27">
        <f>[1]트램표준체크리스트!A132</f>
        <v>130</v>
      </c>
      <c r="B134" s="28" t="str">
        <f>[1]트램표준체크리스트!B132</f>
        <v>철도계획</v>
      </c>
      <c r="C134" s="29" t="str">
        <f>[1]트램표준체크리스트!C132</f>
        <v>정거장 승강장 계획</v>
      </c>
      <c r="D134" s="30" t="str">
        <f>[1]트램표준체크리스트!F132</f>
        <v>승강장 배수 및 차수 대책 미흡 설계로 집중호우 시 침수나 홈붙이 레일(Grooved Rail) 내부 우수 유입에 따른 누전 및 운행 지연이 발생할 리스크를 검토하였는가?</v>
      </c>
      <c r="E134" s="31" t="s">
        <v>377</v>
      </c>
      <c r="F134" s="32" t="str">
        <f>_xlfn.LET(
    _xlpm.v_발생, IF(ISNUMBER(SEARCH("빈번", G134)), "상",
               IF(ISNUMBER(SEARCH("거의", G134)), "하", "중")),
    _xlpm.v_영향, IF(ISNUMBER(SEARCH("1개월", H134)), "상",
               IF(ISNUMBER(SEARCH("없음", H134)), "하", "중")),
    IF(AND(_xlpm.v_발생="상", _xlpm.v_영향="상"), "극상",
    IF(OR(_xlpm.v_발생="상", _xlpm.v_영향="상"), "상",
    IF(AND(_xlpm.v_발생="하", _xlpm.v_영향="하"), "하",
    "중")))
)</f>
        <v>극상</v>
      </c>
      <c r="G134" s="63" t="s">
        <v>40</v>
      </c>
      <c r="H134" s="63" t="s">
        <v>41</v>
      </c>
      <c r="I134" s="34" t="s">
        <v>378</v>
      </c>
      <c r="J134" s="33"/>
      <c r="K134" s="35"/>
      <c r="L134" s="33"/>
      <c r="M134" s="36"/>
      <c r="N134" s="33"/>
      <c r="O134" s="36"/>
      <c r="P134" s="33"/>
      <c r="Q134" s="37"/>
      <c r="R134" s="38"/>
      <c r="S134" s="33"/>
      <c r="T134" s="38"/>
      <c r="U134" s="33"/>
      <c r="V134" s="39"/>
      <c r="W134" s="90" t="b">
        <v>0</v>
      </c>
      <c r="X134" s="90" t="b">
        <v>0</v>
      </c>
      <c r="Y134" s="90" t="b">
        <v>0</v>
      </c>
      <c r="Z134" s="40" t="s">
        <v>379</v>
      </c>
      <c r="AA134" s="41"/>
      <c r="AK134" s="16"/>
      <c r="AL134" s="16"/>
      <c r="AM134" s="16"/>
      <c r="AN134" s="16"/>
      <c r="AO134" s="16"/>
      <c r="AP134" s="16"/>
      <c r="AQ134" s="16"/>
      <c r="AR134" s="16"/>
      <c r="AS134" s="16"/>
    </row>
    <row r="135" spans="1:45" s="7" customFormat="1" ht="195" customHeight="1">
      <c r="A135" s="27">
        <f>[1]트램표준체크리스트!A133</f>
        <v>131</v>
      </c>
      <c r="B135" s="28" t="str">
        <f>[1]트램표준체크리스트!B133</f>
        <v>철도계획</v>
      </c>
      <c r="C135" s="29" t="str">
        <f>[1]트램표준체크리스트!C133</f>
        <v>정거장 승강장 계획</v>
      </c>
      <c r="D135" s="30" t="str">
        <f>[1]트램표준체크리스트!F133</f>
        <v>재해영향평가 기준을 무시한 도로 동일 레벨 및 배수 용량 부족 설계로 우기 시 궤도 및 승강장이 전면 침수될 리스크를 검토하였는가?</v>
      </c>
      <c r="E135" s="31" t="s">
        <v>228</v>
      </c>
      <c r="F135" s="32" t="str">
        <f t="shared" ref="F135:F166" si="4">_xlfn.LET(
_xlpm.v_발생, IF(ISNUMBER(SEARCH("빈번", G135)), "상",
IF(ISNUMBER(SEARCH("거의", G135)), "하", "중")),
_xlpm.v_영향, IF(ISNUMBER(SEARCH("1개월", H135)), "상",
IF(ISNUMBER(SEARCH("없음", H135)), "하", "중")),
IF(AND(_xlpm.v_발생="상", _xlpm.v_영향="상"), "극상",
IF(OR(_xlpm.v_발생="상", _xlpm.v_영향="상"), "상",
IF(AND(_xlpm.v_발생="하", _xlpm.v_영향="하"), "하",
"중")))
)</f>
        <v>극상</v>
      </c>
      <c r="G135" s="63" t="s">
        <v>40</v>
      </c>
      <c r="H135" s="63" t="s">
        <v>41</v>
      </c>
      <c r="I135" s="34" t="s">
        <v>380</v>
      </c>
      <c r="J135" s="33"/>
      <c r="K135" s="35"/>
      <c r="L135" s="33"/>
      <c r="M135" s="36"/>
      <c r="N135" s="33"/>
      <c r="O135" s="36"/>
      <c r="P135" s="33"/>
      <c r="Q135" s="37"/>
      <c r="R135" s="38"/>
      <c r="S135" s="33"/>
      <c r="T135" s="38"/>
      <c r="U135" s="33"/>
      <c r="V135" s="39"/>
      <c r="W135" s="90" t="b">
        <v>0</v>
      </c>
      <c r="X135" s="90" t="b">
        <v>0</v>
      </c>
      <c r="Y135" s="90" t="b">
        <v>0</v>
      </c>
      <c r="Z135" s="40" t="s">
        <v>228</v>
      </c>
      <c r="AA135" s="41"/>
      <c r="AK135" s="16"/>
      <c r="AL135" s="16"/>
      <c r="AM135" s="16"/>
      <c r="AN135" s="16"/>
      <c r="AO135" s="16"/>
      <c r="AP135" s="16"/>
      <c r="AQ135" s="16"/>
      <c r="AR135" s="16"/>
      <c r="AS135" s="16"/>
    </row>
    <row r="136" spans="1:45" s="7" customFormat="1" ht="195" customHeight="1">
      <c r="A136" s="27">
        <f>[1]트램표준체크리스트!A134</f>
        <v>132</v>
      </c>
      <c r="B136" s="28" t="str">
        <f>[1]트램표준체크리스트!B134</f>
        <v>철도계획</v>
      </c>
      <c r="C136" s="29" t="str">
        <f>[1]트램표준체크리스트!C134</f>
        <v>정거장 승강장 계획</v>
      </c>
      <c r="D136" s="30" t="str">
        <f>[1]트램표준체크리스트!F134</f>
        <v>정거장 마감재가 불연재 및 Non-Slip 자재로 설계되지 않아 화재 및 우천 시 승객 대피 안전을 저해할 리스크를 검토하였는가?</v>
      </c>
      <c r="E136" s="31" t="s">
        <v>228</v>
      </c>
      <c r="F136" s="32" t="str">
        <f t="shared" si="4"/>
        <v>극상</v>
      </c>
      <c r="G136" s="63" t="s">
        <v>40</v>
      </c>
      <c r="H136" s="63" t="s">
        <v>41</v>
      </c>
      <c r="I136" s="34" t="s">
        <v>381</v>
      </c>
      <c r="J136" s="33"/>
      <c r="K136" s="35"/>
      <c r="L136" s="33"/>
      <c r="M136" s="36"/>
      <c r="N136" s="33"/>
      <c r="O136" s="36"/>
      <c r="P136" s="33"/>
      <c r="Q136" s="37"/>
      <c r="R136" s="38"/>
      <c r="S136" s="33"/>
      <c r="T136" s="38"/>
      <c r="U136" s="33"/>
      <c r="V136" s="39"/>
      <c r="W136" s="90" t="b">
        <v>0</v>
      </c>
      <c r="X136" s="90" t="b">
        <v>0</v>
      </c>
      <c r="Y136" s="90" t="b">
        <v>0</v>
      </c>
      <c r="Z136" s="40" t="s">
        <v>228</v>
      </c>
      <c r="AA136" s="41"/>
      <c r="AK136" s="16"/>
      <c r="AL136" s="16"/>
      <c r="AM136" s="16"/>
      <c r="AN136" s="16"/>
      <c r="AO136" s="16"/>
      <c r="AP136" s="16"/>
      <c r="AQ136" s="16"/>
      <c r="AR136" s="16"/>
      <c r="AS136" s="16"/>
    </row>
    <row r="137" spans="1:45" s="7" customFormat="1" ht="195" customHeight="1">
      <c r="A137" s="27">
        <f>[1]트램표준체크리스트!A135</f>
        <v>133</v>
      </c>
      <c r="B137" s="28" t="str">
        <f>[1]트램표준체크리스트!B135</f>
        <v>철도계획</v>
      </c>
      <c r="C137" s="29" t="str">
        <f>[1]트램표준체크리스트!C135</f>
        <v>정거장 승강장 계획</v>
      </c>
      <c r="D137" s="30" t="str">
        <f>[1]트램표준체크리스트!F135</f>
        <v>계획고가 계획홍수위(H.W.L)보다 낮거나 차수벽 대책이 누락되어, 하절기 집중호우 시 시설물 수몰 및 운행 중단이 발생할 리스크를 검토하였는가?</v>
      </c>
      <c r="E137" s="31" t="s">
        <v>228</v>
      </c>
      <c r="F137" s="32" t="str">
        <f t="shared" si="4"/>
        <v>극상</v>
      </c>
      <c r="G137" s="63" t="s">
        <v>40</v>
      </c>
      <c r="H137" s="63" t="s">
        <v>41</v>
      </c>
      <c r="I137" s="34" t="s">
        <v>382</v>
      </c>
      <c r="J137" s="33"/>
      <c r="K137" s="35"/>
      <c r="L137" s="33"/>
      <c r="M137" s="36"/>
      <c r="N137" s="33"/>
      <c r="O137" s="36"/>
      <c r="P137" s="33"/>
      <c r="Q137" s="37"/>
      <c r="R137" s="38"/>
      <c r="S137" s="33"/>
      <c r="T137" s="38"/>
      <c r="U137" s="33"/>
      <c r="V137" s="39"/>
      <c r="W137" s="90" t="b">
        <v>0</v>
      </c>
      <c r="X137" s="90" t="b">
        <v>0</v>
      </c>
      <c r="Y137" s="90" t="b">
        <v>0</v>
      </c>
      <c r="Z137" s="40" t="s">
        <v>228</v>
      </c>
      <c r="AA137" s="41"/>
      <c r="AK137" s="16"/>
      <c r="AL137" s="16"/>
      <c r="AM137" s="16"/>
      <c r="AN137" s="16"/>
      <c r="AO137" s="16"/>
      <c r="AP137" s="16"/>
      <c r="AQ137" s="16"/>
      <c r="AR137" s="16"/>
      <c r="AS137" s="16"/>
    </row>
    <row r="138" spans="1:45" s="7" customFormat="1" ht="195" customHeight="1">
      <c r="A138" s="27">
        <f>[1]트램표준체크리스트!A136</f>
        <v>134</v>
      </c>
      <c r="B138" s="28" t="str">
        <f>[1]트램표준체크리스트!B136</f>
        <v>철도계획</v>
      </c>
      <c r="C138" s="29" t="str">
        <f>[1]트램표준체크리스트!C136</f>
        <v>종단계획</v>
      </c>
      <c r="D138" s="30" t="str">
        <f>[1]트램표준체크리스트!F136</f>
        <v>최대 선로기울기(60‰)를 초과하는 설계로 우천 시 차량 미끄러짐 및 제동거리 부족에 따른 추돌 사고가 발생할 리스크를 검토하였는가?</v>
      </c>
      <c r="E138" s="31" t="s">
        <v>228</v>
      </c>
      <c r="F138" s="32" t="str">
        <f t="shared" si="4"/>
        <v>극상</v>
      </c>
      <c r="G138" s="63" t="s">
        <v>40</v>
      </c>
      <c r="H138" s="63" t="s">
        <v>41</v>
      </c>
      <c r="I138" s="34" t="s">
        <v>383</v>
      </c>
      <c r="J138" s="33"/>
      <c r="K138" s="35"/>
      <c r="L138" s="33"/>
      <c r="M138" s="36"/>
      <c r="N138" s="33"/>
      <c r="O138" s="36"/>
      <c r="P138" s="33"/>
      <c r="Q138" s="37"/>
      <c r="R138" s="38"/>
      <c r="S138" s="33"/>
      <c r="T138" s="38"/>
      <c r="U138" s="33"/>
      <c r="V138" s="39"/>
      <c r="W138" s="90" t="b">
        <v>0</v>
      </c>
      <c r="X138" s="90" t="b">
        <v>0</v>
      </c>
      <c r="Y138" s="90" t="b">
        <v>0</v>
      </c>
      <c r="Z138" s="40" t="s">
        <v>228</v>
      </c>
      <c r="AA138" s="41"/>
      <c r="AK138" s="16"/>
      <c r="AL138" s="16"/>
      <c r="AM138" s="16"/>
      <c r="AN138" s="16"/>
      <c r="AO138" s="16"/>
      <c r="AP138" s="16"/>
      <c r="AQ138" s="16"/>
      <c r="AR138" s="16"/>
      <c r="AS138" s="16"/>
    </row>
    <row r="139" spans="1:45" s="7" customFormat="1" ht="195" customHeight="1">
      <c r="A139" s="27">
        <f>[1]트램표준체크리스트!A137</f>
        <v>135</v>
      </c>
      <c r="B139" s="28" t="str">
        <f>[1]트램표준체크리스트!B137</f>
        <v>철도계획</v>
      </c>
      <c r="C139" s="29" t="str">
        <f>[1]트램표준체크리스트!C137</f>
        <v>종단계획</v>
      </c>
      <c r="D139" s="30" t="str">
        <f>[1]트램표준체크리스트!F137</f>
        <v>차량 동력을 무시한 과도한 급경사 설계로 강우/강설 시 트램 등판 불능 및 미끄러짐 추돌 사고 리스크를 검토하였는가?</v>
      </c>
      <c r="E139" s="31" t="s">
        <v>228</v>
      </c>
      <c r="F139" s="32" t="str">
        <f t="shared" si="4"/>
        <v>극상</v>
      </c>
      <c r="G139" s="63" t="s">
        <v>40</v>
      </c>
      <c r="H139" s="63" t="s">
        <v>41</v>
      </c>
      <c r="I139" s="34" t="s">
        <v>384</v>
      </c>
      <c r="J139" s="33"/>
      <c r="K139" s="35"/>
      <c r="L139" s="33"/>
      <c r="M139" s="36"/>
      <c r="N139" s="33"/>
      <c r="O139" s="36"/>
      <c r="P139" s="33"/>
      <c r="Q139" s="37"/>
      <c r="R139" s="38"/>
      <c r="S139" s="33"/>
      <c r="T139" s="38"/>
      <c r="U139" s="33"/>
      <c r="V139" s="39"/>
      <c r="W139" s="90" t="b">
        <v>0</v>
      </c>
      <c r="X139" s="90" t="b">
        <v>0</v>
      </c>
      <c r="Y139" s="90" t="b">
        <v>0</v>
      </c>
      <c r="Z139" s="40" t="s">
        <v>228</v>
      </c>
      <c r="AA139" s="41"/>
      <c r="AK139" s="16"/>
      <c r="AL139" s="16"/>
      <c r="AM139" s="16"/>
      <c r="AN139" s="16"/>
      <c r="AO139" s="16"/>
      <c r="AP139" s="16"/>
      <c r="AQ139" s="16"/>
      <c r="AR139" s="16"/>
      <c r="AS139" s="16"/>
    </row>
    <row r="140" spans="1:45" s="7" customFormat="1" ht="195" customHeight="1">
      <c r="A140" s="27">
        <f>[1]트램표준체크리스트!A138</f>
        <v>136</v>
      </c>
      <c r="B140" s="28" t="str">
        <f>[1]트램표준체크리스트!B138</f>
        <v>철도계획</v>
      </c>
      <c r="C140" s="29" t="str">
        <f>[1]트램표준체크리스트!C138</f>
        <v>종단계획</v>
      </c>
      <c r="D140" s="30" t="str">
        <f>[1]트램표준체크리스트!F138</f>
        <v>최대 하중 및 구원운전 견인력을 배제한 급경사 설계로, 본선 차량 고장 시 견인 불능에 따른 전 노선 장시간 마비 리스크를 검토하였는가?</v>
      </c>
      <c r="E140" s="31" t="s">
        <v>228</v>
      </c>
      <c r="F140" s="32" t="str">
        <f t="shared" si="4"/>
        <v>극상</v>
      </c>
      <c r="G140" s="63" t="s">
        <v>40</v>
      </c>
      <c r="H140" s="63" t="s">
        <v>41</v>
      </c>
      <c r="I140" s="34" t="s">
        <v>385</v>
      </c>
      <c r="J140" s="33"/>
      <c r="K140" s="35"/>
      <c r="L140" s="33"/>
      <c r="M140" s="36"/>
      <c r="N140" s="33"/>
      <c r="O140" s="36"/>
      <c r="P140" s="33"/>
      <c r="Q140" s="37"/>
      <c r="R140" s="38"/>
      <c r="S140" s="33"/>
      <c r="T140" s="38"/>
      <c r="U140" s="33"/>
      <c r="V140" s="39"/>
      <c r="W140" s="90" t="b">
        <v>0</v>
      </c>
      <c r="X140" s="90" t="b">
        <v>0</v>
      </c>
      <c r="Y140" s="90" t="b">
        <v>0</v>
      </c>
      <c r="Z140" s="40" t="s">
        <v>228</v>
      </c>
      <c r="AA140" s="41"/>
      <c r="AK140" s="16"/>
      <c r="AL140" s="16"/>
      <c r="AM140" s="16"/>
      <c r="AN140" s="16"/>
      <c r="AO140" s="16"/>
      <c r="AP140" s="16"/>
      <c r="AQ140" s="16"/>
      <c r="AR140" s="16"/>
      <c r="AS140" s="16"/>
    </row>
    <row r="141" spans="1:45" s="7" customFormat="1" ht="195" customHeight="1">
      <c r="A141" s="27">
        <f>[1]트램표준체크리스트!A139</f>
        <v>137</v>
      </c>
      <c r="B141" s="28" t="str">
        <f>[1]트램표준체크리스트!B139</f>
        <v>철도계획</v>
      </c>
      <c r="C141" s="29" t="str">
        <f>[1]트램표준체크리스트!C139</f>
        <v>종단선형 종곡선 계획</v>
      </c>
      <c r="D141" s="30" t="str">
        <f>[1]트램표준체크리스트!F139</f>
        <v>최소 곡선반경(본선 25m, 정거장 160m) 미달 설계로 트램 회전 주행 불가 및 승강장 이격거리 초과 리스크를 검토하였는가?</v>
      </c>
      <c r="E141" s="31" t="s">
        <v>228</v>
      </c>
      <c r="F141" s="32" t="str">
        <f t="shared" si="4"/>
        <v>극상</v>
      </c>
      <c r="G141" s="63" t="s">
        <v>40</v>
      </c>
      <c r="H141" s="63" t="s">
        <v>41</v>
      </c>
      <c r="I141" s="34" t="s">
        <v>386</v>
      </c>
      <c r="J141" s="33"/>
      <c r="K141" s="35"/>
      <c r="L141" s="33"/>
      <c r="M141" s="36"/>
      <c r="N141" s="33"/>
      <c r="O141" s="36"/>
      <c r="P141" s="33"/>
      <c r="Q141" s="37"/>
      <c r="R141" s="38"/>
      <c r="S141" s="33"/>
      <c r="T141" s="38"/>
      <c r="U141" s="33"/>
      <c r="V141" s="39"/>
      <c r="W141" s="90" t="b">
        <v>0</v>
      </c>
      <c r="X141" s="90" t="b">
        <v>0</v>
      </c>
      <c r="Y141" s="90" t="b">
        <v>0</v>
      </c>
      <c r="Z141" s="40" t="s">
        <v>228</v>
      </c>
      <c r="AA141" s="41"/>
      <c r="AK141" s="16"/>
      <c r="AL141" s="16"/>
      <c r="AM141" s="16"/>
      <c r="AN141" s="16"/>
      <c r="AO141" s="16"/>
      <c r="AP141" s="16"/>
      <c r="AQ141" s="16"/>
      <c r="AR141" s="16"/>
      <c r="AS141" s="16"/>
    </row>
    <row r="142" spans="1:45" s="7" customFormat="1" ht="195" customHeight="1">
      <c r="A142" s="27">
        <f>[1]트램표준체크리스트!A140</f>
        <v>138</v>
      </c>
      <c r="B142" s="28" t="str">
        <f>[1]트램표준체크리스트!B140</f>
        <v>철도계획</v>
      </c>
      <c r="C142" s="29" t="str">
        <f>[1]트램표준체크리스트!C140</f>
        <v>종단선형 종곡선 계획</v>
      </c>
      <c r="D142" s="30" t="str">
        <f>[1]트램표준체크리스트!F140</f>
        <v>종곡선 누락 및 반경 기준(800m) 미달 설계로 트램 통과 시 승차감 불량 및 궤도 손상이 발생할 리스크를 검토하였는가?</v>
      </c>
      <c r="E142" s="31" t="s">
        <v>228</v>
      </c>
      <c r="F142" s="32" t="str">
        <f t="shared" si="4"/>
        <v>극상</v>
      </c>
      <c r="G142" s="63" t="s">
        <v>40</v>
      </c>
      <c r="H142" s="63" t="s">
        <v>41</v>
      </c>
      <c r="I142" s="34" t="s">
        <v>387</v>
      </c>
      <c r="J142" s="33"/>
      <c r="K142" s="35"/>
      <c r="L142" s="33"/>
      <c r="M142" s="36"/>
      <c r="N142" s="33"/>
      <c r="O142" s="36"/>
      <c r="P142" s="33"/>
      <c r="Q142" s="37"/>
      <c r="R142" s="38"/>
      <c r="S142" s="33"/>
      <c r="T142" s="38"/>
      <c r="U142" s="33"/>
      <c r="V142" s="39"/>
      <c r="W142" s="90" t="b">
        <v>0</v>
      </c>
      <c r="X142" s="90" t="b">
        <v>0</v>
      </c>
      <c r="Y142" s="90" t="b">
        <v>0</v>
      </c>
      <c r="Z142" s="40" t="s">
        <v>228</v>
      </c>
      <c r="AA142" s="41"/>
      <c r="AK142" s="16"/>
      <c r="AL142" s="16"/>
      <c r="AM142" s="16"/>
      <c r="AN142" s="16"/>
      <c r="AO142" s="16"/>
      <c r="AP142" s="16"/>
      <c r="AQ142" s="16"/>
      <c r="AR142" s="16"/>
      <c r="AS142" s="16"/>
    </row>
    <row r="143" spans="1:45" s="7" customFormat="1" ht="195" customHeight="1">
      <c r="A143" s="27">
        <f>[1]트램표준체크리스트!A141</f>
        <v>139</v>
      </c>
      <c r="B143" s="28" t="str">
        <f>[1]트램표준체크리스트!B141</f>
        <v>철도계획</v>
      </c>
      <c r="C143" s="29" t="str">
        <f>[1]트램표준체크리스트!C141</f>
        <v>종단선형 종곡선 계획</v>
      </c>
      <c r="D143" s="30" t="str">
        <f>[1]트램표준체크리스트!F141</f>
        <v>완화곡선 누락 및 과소 길이 설계로 트램 진입 시 승객 쏠림 현상 및 차륜 횡압이 급증할 리스크를 검토하였는가?</v>
      </c>
      <c r="E143" s="31" t="s">
        <v>228</v>
      </c>
      <c r="F143" s="32" t="str">
        <f t="shared" si="4"/>
        <v>극상</v>
      </c>
      <c r="G143" s="63" t="s">
        <v>40</v>
      </c>
      <c r="H143" s="63" t="s">
        <v>41</v>
      </c>
      <c r="I143" s="34" t="s">
        <v>388</v>
      </c>
      <c r="J143" s="33"/>
      <c r="K143" s="35"/>
      <c r="L143" s="33"/>
      <c r="M143" s="36"/>
      <c r="N143" s="33"/>
      <c r="O143" s="36"/>
      <c r="P143" s="33"/>
      <c r="Q143" s="37"/>
      <c r="R143" s="38"/>
      <c r="S143" s="33"/>
      <c r="T143" s="38"/>
      <c r="U143" s="33"/>
      <c r="V143" s="39"/>
      <c r="W143" s="90" t="b">
        <v>0</v>
      </c>
      <c r="X143" s="90" t="b">
        <v>0</v>
      </c>
      <c r="Y143" s="90" t="b">
        <v>0</v>
      </c>
      <c r="Z143" s="40" t="s">
        <v>228</v>
      </c>
      <c r="AA143" s="41"/>
      <c r="AK143" s="16"/>
      <c r="AL143" s="16"/>
      <c r="AM143" s="16"/>
      <c r="AN143" s="16"/>
      <c r="AO143" s="16"/>
      <c r="AP143" s="16"/>
      <c r="AQ143" s="16"/>
      <c r="AR143" s="16"/>
      <c r="AS143" s="16"/>
    </row>
    <row r="144" spans="1:45" s="7" customFormat="1" ht="195" customHeight="1">
      <c r="A144" s="27">
        <f>[1]트램표준체크리스트!A142</f>
        <v>140</v>
      </c>
      <c r="B144" s="28" t="str">
        <f>[1]트램표준체크리스트!B142</f>
        <v>철도계획</v>
      </c>
      <c r="C144" s="29" t="str">
        <f>[1]트램표준체크리스트!C142</f>
        <v>지반조사 및 개량계획</v>
      </c>
      <c r="D144" s="30" t="str">
        <f>[1]트램표준체크리스트!F142</f>
        <v>연약지반에 대한 추가 재하시험 및 개량 설계 누락으로 개통 후 궤도의 심각한 부등침하가 발생할 리스크를 검토하였는가?</v>
      </c>
      <c r="E144" s="31" t="s">
        <v>389</v>
      </c>
      <c r="F144" s="32" t="str">
        <f t="shared" si="4"/>
        <v>극상</v>
      </c>
      <c r="G144" s="63" t="s">
        <v>40</v>
      </c>
      <c r="H144" s="63" t="s">
        <v>41</v>
      </c>
      <c r="I144" s="34" t="s">
        <v>390</v>
      </c>
      <c r="J144" s="33"/>
      <c r="K144" s="35"/>
      <c r="L144" s="33"/>
      <c r="M144" s="36"/>
      <c r="N144" s="33"/>
      <c r="O144" s="36"/>
      <c r="P144" s="33"/>
      <c r="Q144" s="37"/>
      <c r="R144" s="38"/>
      <c r="S144" s="33"/>
      <c r="T144" s="38"/>
      <c r="U144" s="33"/>
      <c r="V144" s="39"/>
      <c r="W144" s="90" t="b">
        <v>0</v>
      </c>
      <c r="X144" s="90" t="b">
        <v>0</v>
      </c>
      <c r="Y144" s="90" t="b">
        <v>0</v>
      </c>
      <c r="Z144" s="40" t="s">
        <v>391</v>
      </c>
      <c r="AA144" s="41"/>
      <c r="AK144" s="16"/>
      <c r="AL144" s="16"/>
      <c r="AM144" s="16"/>
      <c r="AN144" s="16"/>
      <c r="AO144" s="16"/>
      <c r="AP144" s="16"/>
      <c r="AQ144" s="16"/>
      <c r="AR144" s="16"/>
      <c r="AS144" s="16"/>
    </row>
    <row r="145" spans="1:45" s="7" customFormat="1" ht="195" customHeight="1">
      <c r="A145" s="27">
        <f>[1]트램표준체크리스트!A143</f>
        <v>141</v>
      </c>
      <c r="B145" s="28" t="str">
        <f>[1]트램표준체크리스트!B143</f>
        <v>철도계획</v>
      </c>
      <c r="C145" s="29" t="str">
        <f>[1]트램표준체크리스트!C143</f>
        <v>차량기지 계획</v>
      </c>
      <c r="D145" s="30" t="str">
        <f>[1]트램표준체크리스트!F143</f>
        <v>필수 시설만 밀집 배치하여 향후 안전체험시설 및 장래 복합개발(입체화 등)을 위한 여유 공간과 동선이 차단될 리스크를 검토하였는가?</v>
      </c>
      <c r="E145" s="31" t="s">
        <v>228</v>
      </c>
      <c r="F145" s="32" t="str">
        <f t="shared" si="4"/>
        <v>극상</v>
      </c>
      <c r="G145" s="63" t="s">
        <v>40</v>
      </c>
      <c r="H145" s="63" t="s">
        <v>41</v>
      </c>
      <c r="I145" s="34" t="s">
        <v>392</v>
      </c>
      <c r="J145" s="33"/>
      <c r="K145" s="35"/>
      <c r="L145" s="33"/>
      <c r="M145" s="36"/>
      <c r="N145" s="33"/>
      <c r="O145" s="36"/>
      <c r="P145" s="33"/>
      <c r="Q145" s="37"/>
      <c r="R145" s="38"/>
      <c r="S145" s="33"/>
      <c r="T145" s="38"/>
      <c r="U145" s="33"/>
      <c r="V145" s="39"/>
      <c r="W145" s="90" t="b">
        <v>0</v>
      </c>
      <c r="X145" s="90" t="b">
        <v>0</v>
      </c>
      <c r="Y145" s="90" t="b">
        <v>0</v>
      </c>
      <c r="Z145" s="40" t="s">
        <v>228</v>
      </c>
      <c r="AA145" s="41"/>
      <c r="AK145" s="16"/>
      <c r="AL145" s="16"/>
      <c r="AM145" s="16"/>
      <c r="AN145" s="16"/>
      <c r="AO145" s="16"/>
      <c r="AP145" s="16"/>
      <c r="AQ145" s="16"/>
      <c r="AR145" s="16"/>
      <c r="AS145" s="16"/>
    </row>
    <row r="146" spans="1:45" s="7" customFormat="1" ht="195" customHeight="1">
      <c r="A146" s="27">
        <f>[1]트램표준체크리스트!A144</f>
        <v>142</v>
      </c>
      <c r="B146" s="28" t="str">
        <f>[1]트램표준체크리스트!B144</f>
        <v>철도계획</v>
      </c>
      <c r="C146" s="29" t="str">
        <f>[1]트램표준체크리스트!C144</f>
        <v>차량기지 계획</v>
      </c>
      <c r="D146" s="30" t="str">
        <f>[1]트램표준체크리스트!F144</f>
        <v>운영기관 요구사항(동선, 편의성) 누락 및 임의 단절 배치로 준공 후 작업 환경 악화 및 유지관리 효율성이 저하될 리스크를 검토하였는가?</v>
      </c>
      <c r="E146" s="31" t="s">
        <v>393</v>
      </c>
      <c r="F146" s="32" t="str">
        <f t="shared" si="4"/>
        <v>극상</v>
      </c>
      <c r="G146" s="63" t="s">
        <v>40</v>
      </c>
      <c r="H146" s="63" t="s">
        <v>41</v>
      </c>
      <c r="I146" s="34" t="s">
        <v>394</v>
      </c>
      <c r="J146" s="33"/>
      <c r="K146" s="35"/>
      <c r="L146" s="33"/>
      <c r="M146" s="36"/>
      <c r="N146" s="33"/>
      <c r="O146" s="36"/>
      <c r="P146" s="33"/>
      <c r="Q146" s="37"/>
      <c r="R146" s="38"/>
      <c r="S146" s="33"/>
      <c r="T146" s="38"/>
      <c r="U146" s="33"/>
      <c r="V146" s="39"/>
      <c r="W146" s="90" t="b">
        <v>0</v>
      </c>
      <c r="X146" s="90" t="b">
        <v>0</v>
      </c>
      <c r="Y146" s="90" t="b">
        <v>0</v>
      </c>
      <c r="Z146" s="40" t="s">
        <v>395</v>
      </c>
      <c r="AA146" s="41"/>
      <c r="AK146" s="16"/>
      <c r="AL146" s="16"/>
      <c r="AM146" s="16"/>
      <c r="AN146" s="16"/>
      <c r="AO146" s="16"/>
      <c r="AP146" s="16"/>
      <c r="AQ146" s="16"/>
      <c r="AR146" s="16"/>
      <c r="AS146" s="16"/>
    </row>
    <row r="147" spans="1:45" s="7" customFormat="1" ht="195" customHeight="1">
      <c r="A147" s="27">
        <f>[1]트램표준체크리스트!A145</f>
        <v>143</v>
      </c>
      <c r="B147" s="28" t="str">
        <f>[1]트램표준체크리스트!B145</f>
        <v>철도계획</v>
      </c>
      <c r="C147" s="29" t="str">
        <f>[1]트램표준체크리스트!C145</f>
        <v>친환경 및 유지관리 계획</v>
      </c>
      <c r="D147" s="30" t="str">
        <f>[1]트램표준체크리스트!F145</f>
        <v>공사비 절감 목적의 저급 자재 설계 반영으로 운영 중 유지보수 비용(LCC)이 급증하고 도심지 환경 민원이 유발될 리스크를 검토하였는가?</v>
      </c>
      <c r="E147" s="31" t="s">
        <v>396</v>
      </c>
      <c r="F147" s="32" t="str">
        <f t="shared" si="4"/>
        <v>극상</v>
      </c>
      <c r="G147" s="63" t="s">
        <v>40</v>
      </c>
      <c r="H147" s="63" t="s">
        <v>41</v>
      </c>
      <c r="I147" s="34" t="s">
        <v>397</v>
      </c>
      <c r="J147" s="33"/>
      <c r="K147" s="35"/>
      <c r="L147" s="33"/>
      <c r="M147" s="36"/>
      <c r="N147" s="33"/>
      <c r="O147" s="36"/>
      <c r="P147" s="33"/>
      <c r="Q147" s="37"/>
      <c r="R147" s="38"/>
      <c r="S147" s="33"/>
      <c r="T147" s="38"/>
      <c r="U147" s="33"/>
      <c r="V147" s="39"/>
      <c r="W147" s="90" t="b">
        <v>0</v>
      </c>
      <c r="X147" s="90" t="b">
        <v>0</v>
      </c>
      <c r="Y147" s="90" t="b">
        <v>0</v>
      </c>
      <c r="Z147" s="40" t="s">
        <v>398</v>
      </c>
      <c r="AA147" s="41"/>
      <c r="AK147" s="16"/>
      <c r="AL147" s="16"/>
      <c r="AM147" s="16"/>
      <c r="AN147" s="16"/>
      <c r="AO147" s="16"/>
      <c r="AP147" s="16"/>
      <c r="AQ147" s="16"/>
      <c r="AR147" s="16"/>
      <c r="AS147" s="16"/>
    </row>
    <row r="148" spans="1:45" s="7" customFormat="1" ht="195" customHeight="1">
      <c r="A148" s="27">
        <f>[1]트램표준체크리스트!A146</f>
        <v>144</v>
      </c>
      <c r="B148" s="28" t="str">
        <f>[1]트램표준체크리스트!B146</f>
        <v>철도계획</v>
      </c>
      <c r="C148" s="29" t="str">
        <f>[1]트램표준체크리스트!C146</f>
        <v>환경 및 보행안전계획</v>
      </c>
      <c r="D148" s="30" t="str">
        <f>[1]트램표준체크리스트!F146</f>
        <v>정온시설 밀집 구간 소음·진동 저감 공법 및 방호설비 누락으로 환경 민원 폭주 및 어린이 교통사고가 유발될 리스크를 검토하였는가?</v>
      </c>
      <c r="E148" s="31" t="s">
        <v>399</v>
      </c>
      <c r="F148" s="32" t="str">
        <f t="shared" si="4"/>
        <v>극상</v>
      </c>
      <c r="G148" s="63" t="s">
        <v>40</v>
      </c>
      <c r="H148" s="63" t="s">
        <v>41</v>
      </c>
      <c r="I148" s="34" t="s">
        <v>400</v>
      </c>
      <c r="J148" s="33"/>
      <c r="K148" s="35"/>
      <c r="L148" s="33"/>
      <c r="M148" s="36"/>
      <c r="N148" s="33"/>
      <c r="O148" s="36"/>
      <c r="P148" s="33"/>
      <c r="Q148" s="37"/>
      <c r="R148" s="38"/>
      <c r="S148" s="33"/>
      <c r="T148" s="38"/>
      <c r="U148" s="33"/>
      <c r="V148" s="39"/>
      <c r="W148" s="90" t="b">
        <v>0</v>
      </c>
      <c r="X148" s="90" t="b">
        <v>0</v>
      </c>
      <c r="Y148" s="90" t="b">
        <v>0</v>
      </c>
      <c r="Z148" s="40" t="s">
        <v>401</v>
      </c>
      <c r="AA148" s="41"/>
      <c r="AK148" s="16"/>
      <c r="AL148" s="16"/>
      <c r="AM148" s="16"/>
      <c r="AN148" s="16"/>
      <c r="AO148" s="16"/>
      <c r="AP148" s="16"/>
      <c r="AQ148" s="16"/>
      <c r="AR148" s="16"/>
      <c r="AS148" s="16"/>
    </row>
    <row r="149" spans="1:45" s="7" customFormat="1" ht="195" customHeight="1">
      <c r="A149" s="27">
        <f>[1]트램표준체크리스트!A147</f>
        <v>145</v>
      </c>
      <c r="B149" s="28" t="str">
        <f>[1]트램표준체크리스트!B147</f>
        <v>차량기지</v>
      </c>
      <c r="C149" s="29" t="str">
        <f>[1]트램표준체크리스트!C147</f>
        <v>건축 및 구조계획</v>
      </c>
      <c r="D149" s="30" t="str">
        <f>[1]트램표준체크리스트!F147</f>
        <v>바닥 슬래브 구조 계산 시 중량 장비 및 피트(PIT)용 무근 콘크리트 하중 누락으로 바닥 처짐 및 심각한 균열이 유발될 리스크를 검토하였는가?</v>
      </c>
      <c r="E149" s="31" t="s">
        <v>228</v>
      </c>
      <c r="F149" s="32" t="str">
        <f t="shared" si="4"/>
        <v>극상</v>
      </c>
      <c r="G149" s="63" t="s">
        <v>40</v>
      </c>
      <c r="H149" s="63" t="s">
        <v>41</v>
      </c>
      <c r="I149" s="34" t="s">
        <v>402</v>
      </c>
      <c r="J149" s="33"/>
      <c r="K149" s="35"/>
      <c r="L149" s="33"/>
      <c r="M149" s="36"/>
      <c r="N149" s="33"/>
      <c r="O149" s="36"/>
      <c r="P149" s="33"/>
      <c r="Q149" s="37"/>
      <c r="R149" s="38"/>
      <c r="S149" s="33"/>
      <c r="T149" s="38"/>
      <c r="U149" s="33"/>
      <c r="V149" s="39"/>
      <c r="W149" s="90" t="b">
        <v>0</v>
      </c>
      <c r="X149" s="90" t="b">
        <v>0</v>
      </c>
      <c r="Y149" s="90" t="b">
        <v>0</v>
      </c>
      <c r="Z149" s="40" t="s">
        <v>228</v>
      </c>
      <c r="AA149" s="41"/>
      <c r="AK149" s="16"/>
      <c r="AL149" s="16"/>
      <c r="AM149" s="16"/>
      <c r="AN149" s="16"/>
      <c r="AO149" s="16"/>
      <c r="AP149" s="16"/>
      <c r="AQ149" s="16"/>
      <c r="AR149" s="16"/>
      <c r="AS149" s="16"/>
    </row>
    <row r="150" spans="1:45" s="7" customFormat="1" ht="195" customHeight="1">
      <c r="A150" s="27">
        <f>[1]트램표준체크리스트!A148</f>
        <v>146</v>
      </c>
      <c r="B150" s="28" t="str">
        <f>[1]트램표준체크리스트!B148</f>
        <v>차량기지</v>
      </c>
      <c r="C150" s="29" t="str">
        <f>[1]트램표준체크리스트!C148</f>
        <v>건축 및 기계설비</v>
      </c>
      <c r="D150" s="30" t="str">
        <f>[1]트램표준체크리스트!F148</f>
        <v>밀집 배치의 2D 도면 설계로 시공 시 보 간섭에 따른 천장고 저하 및 밸브류 점검 공간 미확보 리스크를 검토하였는가?</v>
      </c>
      <c r="E150" s="31" t="s">
        <v>228</v>
      </c>
      <c r="F150" s="32" t="str">
        <f t="shared" si="4"/>
        <v>극상</v>
      </c>
      <c r="G150" s="63" t="s">
        <v>40</v>
      </c>
      <c r="H150" s="63" t="s">
        <v>41</v>
      </c>
      <c r="I150" s="34" t="s">
        <v>403</v>
      </c>
      <c r="J150" s="33"/>
      <c r="K150" s="35"/>
      <c r="L150" s="33"/>
      <c r="M150" s="36"/>
      <c r="N150" s="33"/>
      <c r="O150" s="36"/>
      <c r="P150" s="33"/>
      <c r="Q150" s="37"/>
      <c r="R150" s="38"/>
      <c r="S150" s="33"/>
      <c r="T150" s="38"/>
      <c r="U150" s="33"/>
      <c r="V150" s="39"/>
      <c r="W150" s="90" t="b">
        <v>0</v>
      </c>
      <c r="X150" s="90" t="b">
        <v>0</v>
      </c>
      <c r="Y150" s="90" t="b">
        <v>0</v>
      </c>
      <c r="Z150" s="40" t="s">
        <v>228</v>
      </c>
      <c r="AA150" s="41"/>
      <c r="AK150" s="16"/>
      <c r="AL150" s="16"/>
      <c r="AM150" s="16"/>
      <c r="AN150" s="16"/>
      <c r="AO150" s="16"/>
      <c r="AP150" s="16"/>
      <c r="AQ150" s="16"/>
      <c r="AR150" s="16"/>
      <c r="AS150" s="16"/>
    </row>
    <row r="151" spans="1:45" s="7" customFormat="1" ht="195" customHeight="1">
      <c r="A151" s="27">
        <f>[1]트램표준체크리스트!A149</f>
        <v>147</v>
      </c>
      <c r="B151" s="28" t="str">
        <f>[1]트램표준체크리스트!B149</f>
        <v>차량기지</v>
      </c>
      <c r="C151" s="29" t="str">
        <f>[1]트램표준체크리스트!C149</f>
        <v>검수설비 안전</v>
      </c>
      <c r="D151" s="30" t="str">
        <f>[1]트램표준체크리스트!F149</f>
        <v>검수선 PIT 공간 및 H-Beam 강제도상 설계 누락·깊이 미달로 트램 하부 유지보수 불가 및 작업자 안전사고가 발생할 리스크를 검토하였는가?</v>
      </c>
      <c r="E151" s="31" t="s">
        <v>228</v>
      </c>
      <c r="F151" s="32" t="str">
        <f t="shared" si="4"/>
        <v>극상</v>
      </c>
      <c r="G151" s="63" t="s">
        <v>40</v>
      </c>
      <c r="H151" s="63" t="s">
        <v>41</v>
      </c>
      <c r="I151" s="34" t="s">
        <v>404</v>
      </c>
      <c r="J151" s="33"/>
      <c r="K151" s="35"/>
      <c r="L151" s="33"/>
      <c r="M151" s="36"/>
      <c r="N151" s="33"/>
      <c r="O151" s="36"/>
      <c r="P151" s="33"/>
      <c r="Q151" s="37"/>
      <c r="R151" s="38"/>
      <c r="S151" s="33"/>
      <c r="T151" s="38"/>
      <c r="U151" s="33"/>
      <c r="V151" s="39"/>
      <c r="W151" s="90" t="b">
        <v>0</v>
      </c>
      <c r="X151" s="90" t="b">
        <v>0</v>
      </c>
      <c r="Y151" s="90" t="b">
        <v>0</v>
      </c>
      <c r="Z151" s="40" t="s">
        <v>228</v>
      </c>
      <c r="AA151" s="41"/>
      <c r="AK151" s="16"/>
      <c r="AL151" s="16"/>
      <c r="AM151" s="16"/>
      <c r="AN151" s="16"/>
      <c r="AO151" s="16"/>
      <c r="AP151" s="16"/>
      <c r="AQ151" s="16"/>
      <c r="AR151" s="16"/>
      <c r="AS151" s="16"/>
    </row>
    <row r="152" spans="1:45" s="7" customFormat="1" ht="195" customHeight="1">
      <c r="A152" s="27">
        <f>[1]트램표준체크리스트!A150</f>
        <v>148</v>
      </c>
      <c r="B152" s="28" t="str">
        <f>[1]트램표준체크리스트!B150</f>
        <v>차량기지</v>
      </c>
      <c r="C152" s="29" t="str">
        <f>[1]트램표준체크리스트!C150</f>
        <v>검수설비 안전</v>
      </c>
      <c r="D152" s="30" t="str">
        <f>[1]트램표준체크리스트!F150</f>
        <v>지붕 곡면 미고려 및 추락방지설비 누락으로 고소 추락 중대재해가 발생할 리스크를 검토하였는가?</v>
      </c>
      <c r="E152" s="31" t="s">
        <v>228</v>
      </c>
      <c r="F152" s="32" t="str">
        <f t="shared" si="4"/>
        <v>극상</v>
      </c>
      <c r="G152" s="63" t="s">
        <v>40</v>
      </c>
      <c r="H152" s="63" t="s">
        <v>41</v>
      </c>
      <c r="I152" s="34" t="s">
        <v>405</v>
      </c>
      <c r="J152" s="33"/>
      <c r="K152" s="35"/>
      <c r="L152" s="33"/>
      <c r="M152" s="36"/>
      <c r="N152" s="33"/>
      <c r="O152" s="36"/>
      <c r="P152" s="33"/>
      <c r="Q152" s="37"/>
      <c r="R152" s="38"/>
      <c r="S152" s="33"/>
      <c r="T152" s="38"/>
      <c r="U152" s="33"/>
      <c r="V152" s="39"/>
      <c r="W152" s="90" t="b">
        <v>0</v>
      </c>
      <c r="X152" s="90" t="b">
        <v>0</v>
      </c>
      <c r="Y152" s="90" t="b">
        <v>0</v>
      </c>
      <c r="Z152" s="40" t="s">
        <v>228</v>
      </c>
      <c r="AA152" s="41"/>
      <c r="AK152" s="16"/>
      <c r="AL152" s="16"/>
      <c r="AM152" s="16"/>
      <c r="AN152" s="16"/>
      <c r="AO152" s="16"/>
      <c r="AP152" s="16"/>
      <c r="AQ152" s="16"/>
      <c r="AR152" s="16"/>
      <c r="AS152" s="16"/>
    </row>
    <row r="153" spans="1:45" s="7" customFormat="1" ht="195" customHeight="1">
      <c r="A153" s="27">
        <f>[1]트램표준체크리스트!A151</f>
        <v>149</v>
      </c>
      <c r="B153" s="28" t="str">
        <f>[1]트램표준체크리스트!B151</f>
        <v>차량기지</v>
      </c>
      <c r="C153" s="29" t="str">
        <f>[1]트램표준체크리스트!C151</f>
        <v>검수설비 안전</v>
      </c>
      <c r="D153" s="30" t="str">
        <f>[1]트램표준체크리스트!F151</f>
        <v>주요 검수장비 유틸리티 용량 및 인입 설계 누락으로 장비 반입 후 검수 작업 불가 리스크를 검토하였는가?</v>
      </c>
      <c r="E153" s="31" t="s">
        <v>228</v>
      </c>
      <c r="F153" s="32" t="str">
        <f t="shared" si="4"/>
        <v>극상</v>
      </c>
      <c r="G153" s="63" t="s">
        <v>40</v>
      </c>
      <c r="H153" s="63" t="s">
        <v>41</v>
      </c>
      <c r="I153" s="34" t="s">
        <v>406</v>
      </c>
      <c r="J153" s="33"/>
      <c r="K153" s="35"/>
      <c r="L153" s="33"/>
      <c r="M153" s="36"/>
      <c r="N153" s="33"/>
      <c r="O153" s="36"/>
      <c r="P153" s="33"/>
      <c r="Q153" s="37"/>
      <c r="R153" s="38"/>
      <c r="S153" s="33"/>
      <c r="T153" s="38"/>
      <c r="U153" s="33"/>
      <c r="V153" s="39"/>
      <c r="W153" s="90" t="b">
        <v>0</v>
      </c>
      <c r="X153" s="90" t="b">
        <v>0</v>
      </c>
      <c r="Y153" s="90" t="b">
        <v>0</v>
      </c>
      <c r="Z153" s="40" t="s">
        <v>228</v>
      </c>
      <c r="AA153" s="41"/>
      <c r="AK153" s="16"/>
      <c r="AL153" s="16"/>
      <c r="AM153" s="16"/>
      <c r="AN153" s="16"/>
      <c r="AO153" s="16"/>
      <c r="AP153" s="16"/>
      <c r="AQ153" s="16"/>
      <c r="AR153" s="16"/>
      <c r="AS153" s="16"/>
    </row>
    <row r="154" spans="1:45" s="7" customFormat="1" ht="195" customHeight="1">
      <c r="A154" s="27">
        <f>[1]트램표준체크리스트!A152</f>
        <v>150</v>
      </c>
      <c r="B154" s="28" t="str">
        <f>[1]트램표준체크리스트!B152</f>
        <v>차량기지</v>
      </c>
      <c r="C154" s="29" t="str">
        <f>[1]트램표준체크리스트!C152</f>
        <v>검수설비 안전</v>
      </c>
      <c r="D154" s="30" t="str">
        <f>[1]트램표준체크리스트!F152</f>
        <v>동시인양장치와 천장크레인 동선 중첩 설계로 동시인양 작업 중 크레인 가동이 불가하여 심각한 검수 공정 지연이 발생할 리스크를 검토하였는가?</v>
      </c>
      <c r="E154" s="31" t="s">
        <v>228</v>
      </c>
      <c r="F154" s="32" t="str">
        <f t="shared" si="4"/>
        <v>극상</v>
      </c>
      <c r="G154" s="63" t="s">
        <v>40</v>
      </c>
      <c r="H154" s="63" t="s">
        <v>41</v>
      </c>
      <c r="I154" s="34" t="s">
        <v>407</v>
      </c>
      <c r="J154" s="33"/>
      <c r="K154" s="35"/>
      <c r="L154" s="33"/>
      <c r="M154" s="36"/>
      <c r="N154" s="33"/>
      <c r="O154" s="36"/>
      <c r="P154" s="33"/>
      <c r="Q154" s="37"/>
      <c r="R154" s="38"/>
      <c r="S154" s="33"/>
      <c r="T154" s="38"/>
      <c r="U154" s="33"/>
      <c r="V154" s="39"/>
      <c r="W154" s="90" t="b">
        <v>0</v>
      </c>
      <c r="X154" s="90" t="b">
        <v>0</v>
      </c>
      <c r="Y154" s="90" t="b">
        <v>0</v>
      </c>
      <c r="Z154" s="40" t="s">
        <v>408</v>
      </c>
      <c r="AA154" s="41"/>
      <c r="AK154" s="16"/>
      <c r="AL154" s="16"/>
      <c r="AM154" s="16"/>
      <c r="AN154" s="16"/>
      <c r="AO154" s="16"/>
      <c r="AP154" s="16"/>
      <c r="AQ154" s="16"/>
      <c r="AR154" s="16"/>
      <c r="AS154" s="16"/>
    </row>
    <row r="155" spans="1:45" s="7" customFormat="1" ht="195" customHeight="1">
      <c r="A155" s="27">
        <f>[1]트램표준체크리스트!A153</f>
        <v>151</v>
      </c>
      <c r="B155" s="28" t="str">
        <f>[1]트램표준체크리스트!B153</f>
        <v>차량기지</v>
      </c>
      <c r="C155" s="29" t="str">
        <f>[1]트램표준체크리스트!C153</f>
        <v>검수설비 안전</v>
      </c>
      <c r="D155" s="30" t="str">
        <f>[1]트램표준체크리스트!F153</f>
        <v>특수공구 및 3년치 예비품 산정 누락 및 부족 설계로 개통 초기 차량 고장 시 부품 수급 지연에 따른 운행률 급감 리스크를 검토하였는가?</v>
      </c>
      <c r="E155" s="31" t="s">
        <v>228</v>
      </c>
      <c r="F155" s="32" t="str">
        <f t="shared" si="4"/>
        <v>극상</v>
      </c>
      <c r="G155" s="63" t="s">
        <v>40</v>
      </c>
      <c r="H155" s="63" t="s">
        <v>41</v>
      </c>
      <c r="I155" s="34" t="s">
        <v>409</v>
      </c>
      <c r="J155" s="33"/>
      <c r="K155" s="35"/>
      <c r="L155" s="33"/>
      <c r="M155" s="36"/>
      <c r="N155" s="33"/>
      <c r="O155" s="36"/>
      <c r="P155" s="33"/>
      <c r="Q155" s="37"/>
      <c r="R155" s="38"/>
      <c r="S155" s="33"/>
      <c r="T155" s="38"/>
      <c r="U155" s="33"/>
      <c r="V155" s="39"/>
      <c r="W155" s="90" t="b">
        <v>0</v>
      </c>
      <c r="X155" s="90" t="b">
        <v>0</v>
      </c>
      <c r="Y155" s="90" t="b">
        <v>0</v>
      </c>
      <c r="Z155" s="40" t="s">
        <v>228</v>
      </c>
      <c r="AA155" s="41"/>
      <c r="AK155" s="16"/>
      <c r="AL155" s="16"/>
      <c r="AM155" s="16"/>
      <c r="AN155" s="16"/>
      <c r="AO155" s="16"/>
      <c r="AP155" s="16"/>
      <c r="AQ155" s="16"/>
      <c r="AR155" s="16"/>
      <c r="AS155" s="16"/>
    </row>
    <row r="156" spans="1:45" s="7" customFormat="1" ht="195" customHeight="1">
      <c r="A156" s="27">
        <f>[1]트램표준체크리스트!A154</f>
        <v>152</v>
      </c>
      <c r="B156" s="28" t="str">
        <f>[1]트램표준체크리스트!B154</f>
        <v>차량기지</v>
      </c>
      <c r="C156" s="29" t="str">
        <f>[1]트램표준체크리스트!C154</f>
        <v>검수설비 안전</v>
      </c>
      <c r="D156" s="30" t="str">
        <f>[1]트램표준체크리스트!F154</f>
        <v>청소 전용 설비 및 분진 차단 구획 누락으로, 청소 시 발생한 미세먼지가 확산되어 정밀 전자장비 고장 및 작업자 호흡기 질환을 유발할 리스크를 검토하였는가?</v>
      </c>
      <c r="E156" s="31" t="s">
        <v>228</v>
      </c>
      <c r="F156" s="32" t="str">
        <f t="shared" si="4"/>
        <v>극상</v>
      </c>
      <c r="G156" s="63" t="s">
        <v>40</v>
      </c>
      <c r="H156" s="63" t="s">
        <v>41</v>
      </c>
      <c r="I156" s="34" t="s">
        <v>410</v>
      </c>
      <c r="J156" s="33"/>
      <c r="K156" s="35"/>
      <c r="L156" s="33"/>
      <c r="M156" s="36"/>
      <c r="N156" s="33"/>
      <c r="O156" s="36"/>
      <c r="P156" s="33"/>
      <c r="Q156" s="37"/>
      <c r="R156" s="38"/>
      <c r="S156" s="33"/>
      <c r="T156" s="38"/>
      <c r="U156" s="33"/>
      <c r="V156" s="39"/>
      <c r="W156" s="90" t="b">
        <v>0</v>
      </c>
      <c r="X156" s="90" t="b">
        <v>0</v>
      </c>
      <c r="Y156" s="90" t="b">
        <v>0</v>
      </c>
      <c r="Z156" s="40" t="s">
        <v>408</v>
      </c>
      <c r="AA156" s="41"/>
      <c r="AK156" s="16"/>
      <c r="AL156" s="16"/>
      <c r="AM156" s="16"/>
      <c r="AN156" s="16"/>
      <c r="AO156" s="16"/>
      <c r="AP156" s="16"/>
      <c r="AQ156" s="16"/>
      <c r="AR156" s="16"/>
      <c r="AS156" s="16"/>
    </row>
    <row r="157" spans="1:45" s="7" customFormat="1" ht="195" customHeight="1">
      <c r="A157" s="27">
        <f>[1]트램표준체크리스트!A155</f>
        <v>153</v>
      </c>
      <c r="B157" s="28" t="str">
        <f>[1]트램표준체크리스트!B155</f>
        <v>차량기지</v>
      </c>
      <c r="C157" s="29" t="str">
        <f>[1]트램표준체크리스트!C155</f>
        <v>검수설비 안전</v>
      </c>
      <c r="D157" s="30" t="str">
        <f>[1]트램표준체크리스트!F155</f>
        <v>전용 상부 점검대 및 안전 인터록 제어 설계 누락으로 유지보수 중 작업자가 고압 전류에 노출될 치명적인 감전 리스크를 검토하였는가?</v>
      </c>
      <c r="E157" s="31" t="s">
        <v>228</v>
      </c>
      <c r="F157" s="32" t="str">
        <f t="shared" si="4"/>
        <v>극상</v>
      </c>
      <c r="G157" s="63" t="s">
        <v>40</v>
      </c>
      <c r="H157" s="63" t="s">
        <v>41</v>
      </c>
      <c r="I157" s="34" t="s">
        <v>411</v>
      </c>
      <c r="J157" s="33"/>
      <c r="K157" s="35"/>
      <c r="L157" s="33"/>
      <c r="M157" s="36"/>
      <c r="N157" s="33"/>
      <c r="O157" s="36"/>
      <c r="P157" s="33"/>
      <c r="Q157" s="37"/>
      <c r="R157" s="38"/>
      <c r="S157" s="33"/>
      <c r="T157" s="38"/>
      <c r="U157" s="33"/>
      <c r="V157" s="39"/>
      <c r="W157" s="90" t="b">
        <v>0</v>
      </c>
      <c r="X157" s="90" t="b">
        <v>0</v>
      </c>
      <c r="Y157" s="90" t="b">
        <v>0</v>
      </c>
      <c r="Z157" s="40" t="s">
        <v>228</v>
      </c>
      <c r="AA157" s="41"/>
      <c r="AK157" s="16"/>
      <c r="AL157" s="16"/>
      <c r="AM157" s="16"/>
      <c r="AN157" s="16"/>
      <c r="AO157" s="16"/>
      <c r="AP157" s="16"/>
      <c r="AQ157" s="16"/>
      <c r="AR157" s="16"/>
      <c r="AS157" s="16"/>
    </row>
    <row r="158" spans="1:45" s="7" customFormat="1" ht="195" customHeight="1">
      <c r="A158" s="27">
        <f>[1]트램표준체크리스트!A156</f>
        <v>154</v>
      </c>
      <c r="B158" s="28" t="str">
        <f>[1]트램표준체크리스트!B156</f>
        <v>차량기지</v>
      </c>
      <c r="C158" s="29" t="str">
        <f>[1]트램표준체크리스트!C156</f>
        <v>검수설비 안전</v>
      </c>
      <c r="D158" s="30" t="str">
        <f>[1]트램표준체크리스트!F156</f>
        <v>대형 장비 반입구 규격이 장비 제원보다 부족하게 설계되어, 향후 유지보수 시 멀쩡한 건축 구조물(벽체나 슬래브)을 파쇄해야 할 리스크를 검토하였는가?</v>
      </c>
      <c r="E158" s="31" t="s">
        <v>228</v>
      </c>
      <c r="F158" s="32" t="str">
        <f t="shared" si="4"/>
        <v>극상</v>
      </c>
      <c r="G158" s="63" t="s">
        <v>40</v>
      </c>
      <c r="H158" s="63" t="s">
        <v>41</v>
      </c>
      <c r="I158" s="34" t="s">
        <v>412</v>
      </c>
      <c r="J158" s="33"/>
      <c r="K158" s="35"/>
      <c r="L158" s="33"/>
      <c r="M158" s="36"/>
      <c r="N158" s="33"/>
      <c r="O158" s="36"/>
      <c r="P158" s="33"/>
      <c r="Q158" s="37"/>
      <c r="R158" s="38"/>
      <c r="S158" s="33"/>
      <c r="T158" s="38"/>
      <c r="U158" s="33"/>
      <c r="V158" s="39"/>
      <c r="W158" s="90" t="b">
        <v>0</v>
      </c>
      <c r="X158" s="90" t="b">
        <v>0</v>
      </c>
      <c r="Y158" s="90" t="b">
        <v>0</v>
      </c>
      <c r="Z158" s="40" t="s">
        <v>228</v>
      </c>
      <c r="AA158" s="41"/>
      <c r="AK158" s="16"/>
      <c r="AL158" s="16"/>
      <c r="AM158" s="16"/>
      <c r="AN158" s="16"/>
      <c r="AO158" s="16"/>
      <c r="AP158" s="16"/>
      <c r="AQ158" s="16"/>
      <c r="AR158" s="16"/>
      <c r="AS158" s="16"/>
    </row>
    <row r="159" spans="1:45" s="7" customFormat="1" ht="195" customHeight="1">
      <c r="A159" s="27">
        <f>[1]트램표준체크리스트!A157</f>
        <v>155</v>
      </c>
      <c r="B159" s="28" t="str">
        <f>[1]트램표준체크리스트!B157</f>
        <v>차량기지</v>
      </c>
      <c r="C159" s="29" t="str">
        <f>[1]트램표준체크리스트!C157</f>
        <v>검수설비 안전</v>
      </c>
      <c r="D159" s="30" t="str">
        <f>[1]트램표준체크리스트!F157</f>
        <v>중정비 궤도가 1선으로만 설계되어 장기 수선 시 후속 차량의 중정비가 불가능해질 심각한 검수 지연 리스크를 검토하였는가?</v>
      </c>
      <c r="E159" s="31" t="s">
        <v>228</v>
      </c>
      <c r="F159" s="32" t="str">
        <f t="shared" si="4"/>
        <v>극상</v>
      </c>
      <c r="G159" s="63" t="s">
        <v>40</v>
      </c>
      <c r="H159" s="63" t="s">
        <v>41</v>
      </c>
      <c r="I159" s="34" t="s">
        <v>413</v>
      </c>
      <c r="J159" s="33"/>
      <c r="K159" s="35"/>
      <c r="L159" s="33"/>
      <c r="M159" s="36"/>
      <c r="N159" s="33"/>
      <c r="O159" s="36"/>
      <c r="P159" s="33"/>
      <c r="Q159" s="37"/>
      <c r="R159" s="38"/>
      <c r="S159" s="33"/>
      <c r="T159" s="38"/>
      <c r="U159" s="33"/>
      <c r="V159" s="39"/>
      <c r="W159" s="90" t="b">
        <v>0</v>
      </c>
      <c r="X159" s="90" t="b">
        <v>0</v>
      </c>
      <c r="Y159" s="90" t="b">
        <v>0</v>
      </c>
      <c r="Z159" s="40" t="s">
        <v>228</v>
      </c>
      <c r="AA159" s="41"/>
      <c r="AK159" s="16"/>
      <c r="AL159" s="16"/>
      <c r="AM159" s="16"/>
      <c r="AN159" s="16"/>
      <c r="AO159" s="16"/>
      <c r="AP159" s="16"/>
      <c r="AQ159" s="16"/>
      <c r="AR159" s="16"/>
      <c r="AS159" s="16"/>
    </row>
    <row r="160" spans="1:45" s="7" customFormat="1" ht="195" customHeight="1">
      <c r="A160" s="27">
        <f>[1]트램표준체크리스트!A158</f>
        <v>156</v>
      </c>
      <c r="B160" s="28" t="str">
        <f>[1]트램표준체크리스트!B158</f>
        <v>차량기지</v>
      </c>
      <c r="C160" s="29" t="str">
        <f>[1]트램표준체크리스트!C158</f>
        <v>검수설비 안전</v>
      </c>
      <c r="D160" s="30" t="str">
        <f>[1]트램표준체크리스트!F158</f>
        <v>승강설비 원격 감시제어 및 통신망 연동 누락으로 중량물 인양 비상시 관제실의 즉각적인 인지·통제가 불가해질 리스크를 검토하였는가?</v>
      </c>
      <c r="E160" s="31" t="s">
        <v>228</v>
      </c>
      <c r="F160" s="32" t="str">
        <f t="shared" si="4"/>
        <v>극상</v>
      </c>
      <c r="G160" s="63" t="s">
        <v>40</v>
      </c>
      <c r="H160" s="63" t="s">
        <v>41</v>
      </c>
      <c r="I160" s="34" t="s">
        <v>414</v>
      </c>
      <c r="J160" s="33"/>
      <c r="K160" s="35"/>
      <c r="L160" s="33"/>
      <c r="M160" s="36"/>
      <c r="N160" s="33"/>
      <c r="O160" s="36"/>
      <c r="P160" s="33"/>
      <c r="Q160" s="37"/>
      <c r="R160" s="38"/>
      <c r="S160" s="33"/>
      <c r="T160" s="38"/>
      <c r="U160" s="33"/>
      <c r="V160" s="39"/>
      <c r="W160" s="90" t="b">
        <v>0</v>
      </c>
      <c r="X160" s="90" t="b">
        <v>0</v>
      </c>
      <c r="Y160" s="90" t="b">
        <v>0</v>
      </c>
      <c r="Z160" s="40" t="s">
        <v>228</v>
      </c>
      <c r="AA160" s="41"/>
      <c r="AK160" s="16"/>
      <c r="AL160" s="16"/>
      <c r="AM160" s="16"/>
      <c r="AN160" s="16"/>
      <c r="AO160" s="16"/>
      <c r="AP160" s="16"/>
      <c r="AQ160" s="16"/>
      <c r="AR160" s="16"/>
      <c r="AS160" s="16"/>
    </row>
    <row r="161" spans="1:45" s="7" customFormat="1" ht="195" customHeight="1">
      <c r="A161" s="27">
        <f>[1]트램표준체크리스트!A159</f>
        <v>157</v>
      </c>
      <c r="B161" s="28" t="str">
        <f>[1]트램표준체크리스트!B159</f>
        <v>차량기지</v>
      </c>
      <c r="C161" s="29" t="str">
        <f>[1]트램표준체크리스트!C159</f>
        <v>검수설비 안전</v>
      </c>
      <c r="D161" s="30" t="str">
        <f>[1]트램표준체크리스트!F159</f>
        <v>승객에 의한 안전운행 방해 리스크를 검토하였는가?</v>
      </c>
      <c r="E161" s="31" t="s">
        <v>228</v>
      </c>
      <c r="F161" s="32" t="str">
        <f t="shared" si="4"/>
        <v>극상</v>
      </c>
      <c r="G161" s="63" t="s">
        <v>40</v>
      </c>
      <c r="H161" s="63" t="s">
        <v>41</v>
      </c>
      <c r="I161" s="34" t="s">
        <v>415</v>
      </c>
      <c r="J161" s="33"/>
      <c r="K161" s="35"/>
      <c r="L161" s="33"/>
      <c r="M161" s="36"/>
      <c r="N161" s="33"/>
      <c r="O161" s="36"/>
      <c r="P161" s="33"/>
      <c r="Q161" s="37"/>
      <c r="R161" s="38"/>
      <c r="S161" s="33"/>
      <c r="T161" s="38"/>
      <c r="U161" s="33"/>
      <c r="V161" s="39"/>
      <c r="W161" s="90" t="b">
        <v>0</v>
      </c>
      <c r="X161" s="90" t="b">
        <v>0</v>
      </c>
      <c r="Y161" s="90" t="b">
        <v>0</v>
      </c>
      <c r="Z161" s="40" t="s">
        <v>228</v>
      </c>
      <c r="AA161" s="41"/>
      <c r="AK161" s="16"/>
      <c r="AL161" s="16"/>
      <c r="AM161" s="16"/>
      <c r="AN161" s="16"/>
      <c r="AO161" s="16"/>
      <c r="AP161" s="16"/>
      <c r="AQ161" s="16"/>
      <c r="AR161" s="16"/>
      <c r="AS161" s="16"/>
    </row>
    <row r="162" spans="1:45" s="7" customFormat="1" ht="195" customHeight="1">
      <c r="A162" s="27">
        <f>[1]트램표준체크리스트!A160</f>
        <v>158</v>
      </c>
      <c r="B162" s="28" t="str">
        <f>[1]트램표준체크리스트!B160</f>
        <v>차량기지</v>
      </c>
      <c r="C162" s="29" t="str">
        <f>[1]트램표준체크리스트!C160</f>
        <v>구내 보행 동선 및 건널목 안전 계획</v>
      </c>
      <c r="D162" s="30" t="str">
        <f>[1]트램표준체크리스트!F160</f>
        <v>지정 건널목 및 안전 이격거리 누락으로 선로 횡단 중 입환 트램과 충돌할 치명적 리스크를 검토하였는가?</v>
      </c>
      <c r="E162" s="31" t="s">
        <v>228</v>
      </c>
      <c r="F162" s="32" t="str">
        <f t="shared" si="4"/>
        <v>극상</v>
      </c>
      <c r="G162" s="63" t="s">
        <v>40</v>
      </c>
      <c r="H162" s="63" t="s">
        <v>41</v>
      </c>
      <c r="I162" s="34" t="s">
        <v>416</v>
      </c>
      <c r="J162" s="33"/>
      <c r="K162" s="35"/>
      <c r="L162" s="33"/>
      <c r="M162" s="36"/>
      <c r="N162" s="33"/>
      <c r="O162" s="36"/>
      <c r="P162" s="33"/>
      <c r="Q162" s="37"/>
      <c r="R162" s="38"/>
      <c r="S162" s="33"/>
      <c r="T162" s="38"/>
      <c r="U162" s="33"/>
      <c r="V162" s="39"/>
      <c r="W162" s="90" t="b">
        <v>0</v>
      </c>
      <c r="X162" s="90" t="b">
        <v>0</v>
      </c>
      <c r="Y162" s="90" t="b">
        <v>0</v>
      </c>
      <c r="Z162" s="40" t="s">
        <v>417</v>
      </c>
      <c r="AA162" s="41"/>
      <c r="AK162" s="16"/>
      <c r="AL162" s="16"/>
      <c r="AM162" s="16"/>
      <c r="AN162" s="16"/>
      <c r="AO162" s="16"/>
      <c r="AP162" s="16"/>
      <c r="AQ162" s="16"/>
      <c r="AR162" s="16"/>
      <c r="AS162" s="16"/>
    </row>
    <row r="163" spans="1:45" s="7" customFormat="1" ht="195" customHeight="1">
      <c r="A163" s="27">
        <f>[1]트램표준체크리스트!A161</f>
        <v>159</v>
      </c>
      <c r="B163" s="28" t="str">
        <f>[1]트램표준체크리스트!B161</f>
        <v>차량기지</v>
      </c>
      <c r="C163" s="29" t="str">
        <f>[1]트램표준체크리스트!C161</f>
        <v>구내 보행 동선 및 건널목 안전 계획</v>
      </c>
      <c r="D163" s="30" t="str">
        <f>[1]트램표준체크리스트!F161</f>
        <v>차량기지 시험선 구내 시험선 기능여부 검토 필요(최소 연장 275m) 리스크를 검토하였는가?</v>
      </c>
      <c r="E163" s="31" t="s">
        <v>228</v>
      </c>
      <c r="F163" s="32" t="str">
        <f t="shared" si="4"/>
        <v>극상</v>
      </c>
      <c r="G163" s="63" t="s">
        <v>40</v>
      </c>
      <c r="H163" s="63" t="s">
        <v>41</v>
      </c>
      <c r="I163" s="34" t="s">
        <v>418</v>
      </c>
      <c r="J163" s="33"/>
      <c r="K163" s="35"/>
      <c r="L163" s="33"/>
      <c r="M163" s="36"/>
      <c r="N163" s="33"/>
      <c r="O163" s="36"/>
      <c r="P163" s="33"/>
      <c r="Q163" s="37"/>
      <c r="R163" s="38"/>
      <c r="S163" s="33"/>
      <c r="T163" s="38"/>
      <c r="U163" s="33"/>
      <c r="V163" s="39"/>
      <c r="W163" s="90" t="b">
        <v>0</v>
      </c>
      <c r="X163" s="90" t="b">
        <v>0</v>
      </c>
      <c r="Y163" s="90" t="b">
        <v>0</v>
      </c>
      <c r="Z163" s="40" t="s">
        <v>228</v>
      </c>
      <c r="AA163" s="41"/>
      <c r="AK163" s="16"/>
      <c r="AL163" s="16"/>
      <c r="AM163" s="16"/>
      <c r="AN163" s="16"/>
      <c r="AO163" s="16"/>
      <c r="AP163" s="16"/>
      <c r="AQ163" s="16"/>
      <c r="AR163" s="16"/>
      <c r="AS163" s="16"/>
    </row>
    <row r="164" spans="1:45" s="7" customFormat="1" ht="195" customHeight="1">
      <c r="A164" s="27">
        <f>[1]트램표준체크리스트!A162</f>
        <v>160</v>
      </c>
      <c r="B164" s="28" t="str">
        <f>[1]트램표준체크리스트!B162</f>
        <v>차량기지</v>
      </c>
      <c r="C164" s="29" t="str">
        <f>[1]트램표준체크리스트!C162</f>
        <v>구내 보행 동선 및 건널목 안전 계획</v>
      </c>
      <c r="D164" s="30" t="str">
        <f>[1]트램표준체크리스트!F162</f>
        <v>2차 임시 식별 가능한 전식기 설치 필요(운영효율 50% 증가) 리스크를 검토하였는가?</v>
      </c>
      <c r="E164" s="31" t="s">
        <v>228</v>
      </c>
      <c r="F164" s="32" t="str">
        <f t="shared" si="4"/>
        <v>극상</v>
      </c>
      <c r="G164" s="63" t="s">
        <v>40</v>
      </c>
      <c r="H164" s="63" t="s">
        <v>41</v>
      </c>
      <c r="I164" s="34" t="s">
        <v>419</v>
      </c>
      <c r="J164" s="33"/>
      <c r="K164" s="35"/>
      <c r="L164" s="33"/>
      <c r="M164" s="36"/>
      <c r="N164" s="33"/>
      <c r="O164" s="36"/>
      <c r="P164" s="33"/>
      <c r="Q164" s="37"/>
      <c r="R164" s="38"/>
      <c r="S164" s="33"/>
      <c r="T164" s="38"/>
      <c r="U164" s="33"/>
      <c r="V164" s="39"/>
      <c r="W164" s="90" t="b">
        <v>0</v>
      </c>
      <c r="X164" s="90" t="b">
        <v>0</v>
      </c>
      <c r="Y164" s="90" t="b">
        <v>0</v>
      </c>
      <c r="Z164" s="40" t="s">
        <v>228</v>
      </c>
      <c r="AA164" s="41"/>
      <c r="AK164" s="16"/>
      <c r="AL164" s="16"/>
      <c r="AM164" s="16"/>
      <c r="AN164" s="16"/>
      <c r="AO164" s="16"/>
      <c r="AP164" s="16"/>
      <c r="AQ164" s="16"/>
      <c r="AR164" s="16"/>
      <c r="AS164" s="16"/>
    </row>
    <row r="165" spans="1:45" s="7" customFormat="1" ht="195" customHeight="1">
      <c r="A165" s="27">
        <f>[1]트램표준체크리스트!A163</f>
        <v>161</v>
      </c>
      <c r="B165" s="28" t="str">
        <f>[1]트램표준체크리스트!B163</f>
        <v>차량기지</v>
      </c>
      <c r="C165" s="29" t="str">
        <f>[1]트램표준체크리스트!C163</f>
        <v>구내 보행 동선 및 건널목 안전 계획</v>
      </c>
      <c r="D165" s="30" t="str">
        <f>[1]트램표준체크리스트!F163</f>
        <v>구내도로에 비상입출고선/진입선 추가 리스크를 검토하였는가?</v>
      </c>
      <c r="E165" s="31" t="s">
        <v>228</v>
      </c>
      <c r="F165" s="32" t="str">
        <f t="shared" si="4"/>
        <v>극상</v>
      </c>
      <c r="G165" s="63" t="s">
        <v>40</v>
      </c>
      <c r="H165" s="63" t="s">
        <v>41</v>
      </c>
      <c r="I165" s="34" t="s">
        <v>420</v>
      </c>
      <c r="J165" s="33"/>
      <c r="K165" s="35"/>
      <c r="L165" s="33"/>
      <c r="M165" s="36"/>
      <c r="N165" s="33"/>
      <c r="O165" s="36"/>
      <c r="P165" s="33"/>
      <c r="Q165" s="37"/>
      <c r="R165" s="38"/>
      <c r="S165" s="33"/>
      <c r="T165" s="38"/>
      <c r="U165" s="33"/>
      <c r="V165" s="39"/>
      <c r="W165" s="90" t="b">
        <v>0</v>
      </c>
      <c r="X165" s="90" t="b">
        <v>0</v>
      </c>
      <c r="Y165" s="90" t="b">
        <v>0</v>
      </c>
      <c r="Z165" s="40" t="s">
        <v>228</v>
      </c>
      <c r="AA165" s="41"/>
      <c r="AK165" s="16"/>
      <c r="AL165" s="16"/>
      <c r="AM165" s="16"/>
      <c r="AN165" s="16"/>
      <c r="AO165" s="16"/>
      <c r="AP165" s="16"/>
      <c r="AQ165" s="16"/>
      <c r="AR165" s="16"/>
      <c r="AS165" s="16"/>
    </row>
    <row r="166" spans="1:45" s="7" customFormat="1" ht="195" customHeight="1">
      <c r="A166" s="27">
        <f>[1]트램표준체크리스트!A164</f>
        <v>162</v>
      </c>
      <c r="B166" s="28" t="str">
        <f>[1]트램표준체크리스트!B164</f>
        <v>차량기지</v>
      </c>
      <c r="C166" s="29" t="str">
        <f>[1]트램표준체크리스트!C164</f>
        <v>구내 보행 동선 및 건널목 안전 계획</v>
      </c>
      <c r="D166" s="30" t="str">
        <f>[1]트램표준체크리스트!F164</f>
        <v>구내도로는 지게차운용, 자재반입을 고려하여 확대 적용 필요 리스크를 검토하였는가?</v>
      </c>
      <c r="E166" s="31" t="s">
        <v>421</v>
      </c>
      <c r="F166" s="32" t="str">
        <f t="shared" si="4"/>
        <v>극상</v>
      </c>
      <c r="G166" s="63" t="s">
        <v>40</v>
      </c>
      <c r="H166" s="63" t="s">
        <v>41</v>
      </c>
      <c r="I166" s="34" t="s">
        <v>422</v>
      </c>
      <c r="J166" s="33"/>
      <c r="K166" s="35"/>
      <c r="L166" s="33"/>
      <c r="M166" s="36"/>
      <c r="N166" s="33"/>
      <c r="O166" s="36"/>
      <c r="P166" s="33"/>
      <c r="Q166" s="37"/>
      <c r="R166" s="38"/>
      <c r="S166" s="33"/>
      <c r="T166" s="38"/>
      <c r="U166" s="33"/>
      <c r="V166" s="39"/>
      <c r="W166" s="90" t="b">
        <v>0</v>
      </c>
      <c r="X166" s="90" t="b">
        <v>0</v>
      </c>
      <c r="Y166" s="90" t="b">
        <v>0</v>
      </c>
      <c r="Z166" s="40" t="s">
        <v>423</v>
      </c>
      <c r="AA166" s="41"/>
      <c r="AK166" s="16"/>
      <c r="AL166" s="16"/>
      <c r="AM166" s="16"/>
      <c r="AN166" s="16"/>
      <c r="AO166" s="16"/>
      <c r="AP166" s="16"/>
      <c r="AQ166" s="16"/>
      <c r="AR166" s="16"/>
      <c r="AS166" s="16"/>
    </row>
    <row r="167" spans="1:45" s="7" customFormat="1" ht="195" customHeight="1">
      <c r="A167" s="27">
        <f>[1]트램표준체크리스트!A165</f>
        <v>163</v>
      </c>
      <c r="B167" s="28" t="str">
        <f>[1]트램표준체크리스트!B165</f>
        <v>차량기지</v>
      </c>
      <c r="C167" s="29" t="str">
        <f>[1]트램표준체크리스트!C165</f>
        <v>궤도 및 안전계획</v>
      </c>
      <c r="D167" s="30" t="str">
        <f>[1]트램표준체크리스트!F165</f>
        <v>자갈궤도 및 일반 하중 기준 설계로 차량 정비 시 안전사고 및 대형 장비 가동에 의한 궤도 기초 균열이 발생할 리스크를 검토하였는가?</v>
      </c>
      <c r="E167" s="31" t="s">
        <v>228</v>
      </c>
      <c r="F167" s="32" t="str">
        <f t="shared" ref="F167:F197" si="5">_xlfn.LET(
_xlpm.v_발생, IF(ISNUMBER(SEARCH("빈번", G167)), "상",
IF(ISNUMBER(SEARCH("거의", G167)), "하", "중")),
_xlpm.v_영향, IF(ISNUMBER(SEARCH("1개월", H167)), "상",
IF(ISNUMBER(SEARCH("없음", H167)), "하", "중")),
IF(AND(_xlpm.v_발생="상", _xlpm.v_영향="상"), "극상",
IF(OR(_xlpm.v_발생="상", _xlpm.v_영향="상"), "상",
IF(AND(_xlpm.v_발생="하", _xlpm.v_영향="하"), "하",
"중")))
)</f>
        <v>극상</v>
      </c>
      <c r="G167" s="63" t="s">
        <v>40</v>
      </c>
      <c r="H167" s="63" t="s">
        <v>41</v>
      </c>
      <c r="I167" s="34" t="s">
        <v>424</v>
      </c>
      <c r="J167" s="33"/>
      <c r="K167" s="35"/>
      <c r="L167" s="33"/>
      <c r="M167" s="36"/>
      <c r="N167" s="33"/>
      <c r="O167" s="36"/>
      <c r="P167" s="33"/>
      <c r="Q167" s="37"/>
      <c r="R167" s="38"/>
      <c r="S167" s="33"/>
      <c r="T167" s="38"/>
      <c r="U167" s="33"/>
      <c r="V167" s="39"/>
      <c r="W167" s="90" t="b">
        <v>0</v>
      </c>
      <c r="X167" s="90" t="b">
        <v>0</v>
      </c>
      <c r="Y167" s="90" t="b">
        <v>0</v>
      </c>
      <c r="Z167" s="40" t="s">
        <v>228</v>
      </c>
      <c r="AA167" s="41"/>
      <c r="AK167" s="16"/>
      <c r="AL167" s="16"/>
      <c r="AM167" s="16"/>
      <c r="AN167" s="16"/>
      <c r="AO167" s="16"/>
      <c r="AP167" s="16"/>
      <c r="AQ167" s="16"/>
      <c r="AR167" s="16"/>
      <c r="AS167" s="16"/>
    </row>
    <row r="168" spans="1:45" s="7" customFormat="1" ht="195" customHeight="1">
      <c r="A168" s="27">
        <f>[1]트램표준체크리스트!A166</f>
        <v>164</v>
      </c>
      <c r="B168" s="28" t="str">
        <f>[1]트램표준체크리스트!B166</f>
        <v>차량기지</v>
      </c>
      <c r="C168" s="29" t="str">
        <f>[1]트램표준체크리스트!C166</f>
        <v>궤도 및 안전계획</v>
      </c>
      <c r="D168" s="30" t="str">
        <f>[1]트램표준체크리스트!F166</f>
        <v>급곡선 반경(R=25m) 회전성능 검토 및 편마모 방지 대책(도유기, 확폭 등) 누락으로 차량 입출고 시 심각한 마찰 소음 및 탈선 사고가 발생할 리스크를 검토하였는가?</v>
      </c>
      <c r="E168" s="31" t="s">
        <v>228</v>
      </c>
      <c r="F168" s="32" t="str">
        <f t="shared" si="5"/>
        <v>극상</v>
      </c>
      <c r="G168" s="63" t="s">
        <v>40</v>
      </c>
      <c r="H168" s="63" t="s">
        <v>41</v>
      </c>
      <c r="I168" s="34" t="s">
        <v>425</v>
      </c>
      <c r="J168" s="33"/>
      <c r="K168" s="35"/>
      <c r="L168" s="33"/>
      <c r="M168" s="36"/>
      <c r="N168" s="33"/>
      <c r="O168" s="36"/>
      <c r="P168" s="33"/>
      <c r="Q168" s="37"/>
      <c r="R168" s="38"/>
      <c r="S168" s="33"/>
      <c r="T168" s="38"/>
      <c r="U168" s="33"/>
      <c r="V168" s="39"/>
      <c r="W168" s="90" t="b">
        <v>0</v>
      </c>
      <c r="X168" s="90" t="b">
        <v>0</v>
      </c>
      <c r="Y168" s="90" t="b">
        <v>0</v>
      </c>
      <c r="Z168" s="40" t="s">
        <v>228</v>
      </c>
      <c r="AA168" s="41"/>
      <c r="AK168" s="16"/>
      <c r="AL168" s="16"/>
      <c r="AM168" s="16"/>
      <c r="AN168" s="16"/>
      <c r="AO168" s="16"/>
      <c r="AP168" s="16"/>
      <c r="AQ168" s="16"/>
      <c r="AR168" s="16"/>
      <c r="AS168" s="16"/>
    </row>
    <row r="169" spans="1:45" s="7" customFormat="1" ht="195" customHeight="1">
      <c r="A169" s="27">
        <f>[1]트램표준체크리스트!A167</f>
        <v>165</v>
      </c>
      <c r="B169" s="28" t="str">
        <f>[1]트램표준체크리스트!B167</f>
        <v>차량기지</v>
      </c>
      <c r="C169" s="29" t="str">
        <f>[1]트램표준체크리스트!C167</f>
        <v>궤도 및 안전계획</v>
      </c>
      <c r="D169" s="30" t="str">
        <f>[1]트램표준체크리스트!F167</f>
        <v>글로브레일과 차륜 답면 간 기하학적 정합성 검토 누락으로, 구내 입환 시 차륜 플랜지가 레일 홈에 마찰되어 이상 소음 및 잦은 탈선이 유발될 리스크를 검토하였는가?</v>
      </c>
      <c r="E169" s="31" t="s">
        <v>228</v>
      </c>
      <c r="F169" s="32" t="str">
        <f t="shared" si="5"/>
        <v>극상</v>
      </c>
      <c r="G169" s="63" t="s">
        <v>40</v>
      </c>
      <c r="H169" s="63" t="s">
        <v>41</v>
      </c>
      <c r="I169" s="34" t="s">
        <v>426</v>
      </c>
      <c r="J169" s="33"/>
      <c r="K169" s="35"/>
      <c r="L169" s="33"/>
      <c r="M169" s="36"/>
      <c r="N169" s="33"/>
      <c r="O169" s="36"/>
      <c r="P169" s="33"/>
      <c r="Q169" s="37"/>
      <c r="R169" s="38"/>
      <c r="S169" s="33"/>
      <c r="T169" s="38"/>
      <c r="U169" s="33"/>
      <c r="V169" s="39"/>
      <c r="W169" s="90" t="b">
        <v>0</v>
      </c>
      <c r="X169" s="90" t="b">
        <v>0</v>
      </c>
      <c r="Y169" s="90" t="b">
        <v>0</v>
      </c>
      <c r="Z169" s="40" t="s">
        <v>228</v>
      </c>
      <c r="AA169" s="41"/>
      <c r="AK169" s="16"/>
      <c r="AL169" s="16"/>
      <c r="AM169" s="16"/>
      <c r="AN169" s="16"/>
      <c r="AO169" s="16"/>
      <c r="AP169" s="16"/>
      <c r="AQ169" s="16"/>
      <c r="AR169" s="16"/>
      <c r="AS169" s="16"/>
    </row>
    <row r="170" spans="1:45" s="7" customFormat="1" ht="195" customHeight="1">
      <c r="A170" s="27">
        <f>[1]트램표준체크리스트!A168</f>
        <v>166</v>
      </c>
      <c r="B170" s="28" t="str">
        <f>[1]트램표준체크리스트!B168</f>
        <v>차량기지</v>
      </c>
      <c r="C170" s="29" t="str">
        <f>[1]트램표준체크리스트!C168</f>
        <v>궤도 및 안전계획</v>
      </c>
      <c r="D170" s="30" t="str">
        <f>[1]트램표준체크리스트!F168</f>
        <v>건축 구조물 선시공으로 궤도공사용 대형 자재 반입이 불가해져 벽체 파손 및 전체 공기가 지연될 리스크를 검토하였는가?</v>
      </c>
      <c r="E170" s="31" t="s">
        <v>427</v>
      </c>
      <c r="F170" s="32" t="str">
        <f t="shared" si="5"/>
        <v>극상</v>
      </c>
      <c r="G170" s="63" t="s">
        <v>40</v>
      </c>
      <c r="H170" s="63" t="s">
        <v>41</v>
      </c>
      <c r="I170" s="34" t="s">
        <v>428</v>
      </c>
      <c r="J170" s="33"/>
      <c r="K170" s="35"/>
      <c r="L170" s="33"/>
      <c r="M170" s="36"/>
      <c r="N170" s="33"/>
      <c r="O170" s="36"/>
      <c r="P170" s="33"/>
      <c r="Q170" s="37"/>
      <c r="R170" s="38"/>
      <c r="S170" s="33"/>
      <c r="T170" s="38"/>
      <c r="U170" s="33"/>
      <c r="V170" s="39"/>
      <c r="W170" s="90" t="b">
        <v>0</v>
      </c>
      <c r="X170" s="90" t="b">
        <v>0</v>
      </c>
      <c r="Y170" s="90" t="b">
        <v>0</v>
      </c>
      <c r="Z170" s="40" t="s">
        <v>429</v>
      </c>
      <c r="AA170" s="41"/>
      <c r="AK170" s="16"/>
      <c r="AL170" s="16"/>
      <c r="AM170" s="16"/>
      <c r="AN170" s="16"/>
      <c r="AO170" s="16"/>
      <c r="AP170" s="16"/>
      <c r="AQ170" s="16"/>
      <c r="AR170" s="16"/>
      <c r="AS170" s="16"/>
    </row>
    <row r="171" spans="1:45" s="7" customFormat="1" ht="195" customHeight="1">
      <c r="A171" s="27">
        <f>[1]트램표준체크리스트!A169</f>
        <v>167</v>
      </c>
      <c r="B171" s="28" t="str">
        <f>[1]트램표준체크리스트!B169</f>
        <v>차량기지</v>
      </c>
      <c r="C171" s="29" t="str">
        <f>[1]트램표준체크리스트!C169</f>
        <v>궤도 및 안전계획</v>
      </c>
      <c r="D171" s="30" t="str">
        <f>[1]트램표준체크리스트!F169</f>
        <v>시운전선이 입출고 선로와 중첩되거나 유효장이 부족하여 시운전 중 열차 입출고 마비 및 차량 제동 테스트가 불가해질 리스크를 검토하였는가?</v>
      </c>
      <c r="E171" s="31" t="s">
        <v>228</v>
      </c>
      <c r="F171" s="32" t="str">
        <f t="shared" si="5"/>
        <v>극상</v>
      </c>
      <c r="G171" s="63" t="s">
        <v>40</v>
      </c>
      <c r="H171" s="63" t="s">
        <v>41</v>
      </c>
      <c r="I171" s="34" t="s">
        <v>430</v>
      </c>
      <c r="J171" s="33"/>
      <c r="K171" s="35"/>
      <c r="L171" s="33"/>
      <c r="M171" s="36"/>
      <c r="N171" s="33"/>
      <c r="O171" s="36"/>
      <c r="P171" s="33"/>
      <c r="Q171" s="37"/>
      <c r="R171" s="38"/>
      <c r="S171" s="33"/>
      <c r="T171" s="38"/>
      <c r="U171" s="33"/>
      <c r="V171" s="39"/>
      <c r="W171" s="90" t="b">
        <v>0</v>
      </c>
      <c r="X171" s="90" t="b">
        <v>0</v>
      </c>
      <c r="Y171" s="90" t="b">
        <v>0</v>
      </c>
      <c r="Z171" s="40" t="s">
        <v>228</v>
      </c>
      <c r="AA171" s="41"/>
      <c r="AK171" s="16"/>
      <c r="AL171" s="16"/>
      <c r="AM171" s="16"/>
      <c r="AN171" s="16"/>
      <c r="AO171" s="16"/>
      <c r="AP171" s="16"/>
      <c r="AQ171" s="16"/>
      <c r="AR171" s="16"/>
      <c r="AS171" s="16"/>
    </row>
    <row r="172" spans="1:45" s="7" customFormat="1" ht="195" customHeight="1">
      <c r="A172" s="27">
        <f>[1]트램표준체크리스트!A170</f>
        <v>168</v>
      </c>
      <c r="B172" s="28" t="str">
        <f>[1]트램표준체크리스트!B170</f>
        <v>차량기지</v>
      </c>
      <c r="C172" s="29" t="str">
        <f>[1]트램표준체크리스트!C170</f>
        <v>궤도 및 안전계획</v>
      </c>
      <c r="D172" s="30" t="str">
        <f>[1]트램표준체크리스트!F170</f>
        <v>부지 협소로 선로 중심간 간격을 축소 설계해, 좁은 선로 틈에서 유지보수 작업자의 협착 사고가 발생할 리스크를 검토하였는가?</v>
      </c>
      <c r="E172" s="85" t="s">
        <v>431</v>
      </c>
      <c r="F172" s="32" t="str">
        <f t="shared" si="5"/>
        <v>극상</v>
      </c>
      <c r="G172" s="63" t="s">
        <v>40</v>
      </c>
      <c r="H172" s="63" t="s">
        <v>41</v>
      </c>
      <c r="I172" s="34" t="s">
        <v>432</v>
      </c>
      <c r="J172" s="33"/>
      <c r="K172" s="35"/>
      <c r="L172" s="33"/>
      <c r="M172" s="36"/>
      <c r="N172" s="33"/>
      <c r="O172" s="36"/>
      <c r="P172" s="33"/>
      <c r="Q172" s="37"/>
      <c r="R172" s="38"/>
      <c r="S172" s="33"/>
      <c r="T172" s="38"/>
      <c r="U172" s="33"/>
      <c r="V172" s="39"/>
      <c r="W172" s="90" t="b">
        <v>0</v>
      </c>
      <c r="X172" s="90" t="b">
        <v>0</v>
      </c>
      <c r="Y172" s="90" t="b">
        <v>0</v>
      </c>
      <c r="Z172" s="40" t="s">
        <v>433</v>
      </c>
      <c r="AA172" s="41"/>
      <c r="AK172" s="16"/>
      <c r="AL172" s="16"/>
      <c r="AM172" s="16"/>
      <c r="AN172" s="16"/>
      <c r="AO172" s="16"/>
      <c r="AP172" s="16"/>
      <c r="AQ172" s="16"/>
      <c r="AR172" s="16"/>
      <c r="AS172" s="16"/>
    </row>
    <row r="173" spans="1:45" s="7" customFormat="1" ht="195" customHeight="1">
      <c r="A173" s="27">
        <f>[1]트램표준체크리스트!A171</f>
        <v>169</v>
      </c>
      <c r="B173" s="28" t="str">
        <f>[1]트램표준체크리스트!B171</f>
        <v>차량기지</v>
      </c>
      <c r="C173" s="29" t="str">
        <f>[1]트램표준체크리스트!C171</f>
        <v>궤도 및 안전계획</v>
      </c>
      <c r="D173" s="30" t="str">
        <f>[1]트램표준체크리스트!F171</f>
        <v>분기기 히팅장치 설계 누락으로 폭설 시 선로전환기 장애 및 입출고 마비가 발생할 리스크를 검토하였는가?</v>
      </c>
      <c r="E173" s="31" t="s">
        <v>434</v>
      </c>
      <c r="F173" s="32" t="str">
        <f t="shared" si="5"/>
        <v>극상</v>
      </c>
      <c r="G173" s="63" t="s">
        <v>40</v>
      </c>
      <c r="H173" s="63" t="s">
        <v>41</v>
      </c>
      <c r="I173" s="34" t="s">
        <v>435</v>
      </c>
      <c r="J173" s="33"/>
      <c r="K173" s="35"/>
      <c r="L173" s="33"/>
      <c r="M173" s="36"/>
      <c r="N173" s="33"/>
      <c r="O173" s="36"/>
      <c r="P173" s="33"/>
      <c r="Q173" s="37"/>
      <c r="R173" s="38"/>
      <c r="S173" s="33"/>
      <c r="T173" s="38"/>
      <c r="U173" s="33"/>
      <c r="V173" s="39"/>
      <c r="W173" s="90" t="b">
        <v>0</v>
      </c>
      <c r="X173" s="90" t="b">
        <v>0</v>
      </c>
      <c r="Y173" s="90" t="b">
        <v>0</v>
      </c>
      <c r="Z173" s="40" t="s">
        <v>436</v>
      </c>
      <c r="AA173" s="41"/>
      <c r="AK173" s="16"/>
      <c r="AL173" s="16"/>
      <c r="AM173" s="16"/>
      <c r="AN173" s="16"/>
      <c r="AO173" s="16"/>
      <c r="AP173" s="16"/>
      <c r="AQ173" s="16"/>
      <c r="AR173" s="16"/>
      <c r="AS173" s="16"/>
    </row>
    <row r="174" spans="1:45" s="7" customFormat="1" ht="195" customHeight="1">
      <c r="A174" s="27">
        <f>[1]트램표준체크리스트!A172</f>
        <v>170</v>
      </c>
      <c r="B174" s="28" t="str">
        <f>[1]트램표준체크리스트!B172</f>
        <v>차량기지</v>
      </c>
      <c r="C174" s="29" t="str">
        <f>[1]트램표준체크리스트!C172</f>
        <v>궤도 및 안전계획</v>
      </c>
      <c r="D174" s="30" t="str">
        <f>[1]트램표준체크리스트!F172</f>
        <v>다수 편성 배치 시 열차 간 최소 안전 이격거리 누락 및 부족 산정으로 입환 시 추돌 사고가 발생할 리스크를 검토하였는가?</v>
      </c>
      <c r="E174" s="31" t="s">
        <v>437</v>
      </c>
      <c r="F174" s="32" t="str">
        <f t="shared" si="5"/>
        <v>극상</v>
      </c>
      <c r="G174" s="63" t="s">
        <v>40</v>
      </c>
      <c r="H174" s="63" t="s">
        <v>41</v>
      </c>
      <c r="I174" s="34" t="s">
        <v>438</v>
      </c>
      <c r="J174" s="33"/>
      <c r="K174" s="35"/>
      <c r="L174" s="33"/>
      <c r="M174" s="36"/>
      <c r="N174" s="33"/>
      <c r="O174" s="36"/>
      <c r="P174" s="33"/>
      <c r="Q174" s="37"/>
      <c r="R174" s="38"/>
      <c r="S174" s="33"/>
      <c r="T174" s="38"/>
      <c r="U174" s="33"/>
      <c r="V174" s="39"/>
      <c r="W174" s="90" t="b">
        <v>0</v>
      </c>
      <c r="X174" s="90" t="b">
        <v>0</v>
      </c>
      <c r="Y174" s="90" t="b">
        <v>0</v>
      </c>
      <c r="Z174" s="40" t="s">
        <v>423</v>
      </c>
      <c r="AA174" s="41"/>
      <c r="AK174" s="16"/>
      <c r="AL174" s="16"/>
      <c r="AM174" s="16"/>
      <c r="AN174" s="16"/>
      <c r="AO174" s="16"/>
      <c r="AP174" s="16"/>
      <c r="AQ174" s="16"/>
      <c r="AR174" s="16"/>
      <c r="AS174" s="16"/>
    </row>
    <row r="175" spans="1:45" s="7" customFormat="1" ht="195" customHeight="1">
      <c r="A175" s="27">
        <f>[1]트램표준체크리스트!A173</f>
        <v>171</v>
      </c>
      <c r="B175" s="28" t="str">
        <f>[1]트램표준체크리스트!B173</f>
        <v>차량기지</v>
      </c>
      <c r="C175" s="29" t="str">
        <f>[1]트램표준체크리스트!C173</f>
        <v>궤도 및 안전계획</v>
      </c>
      <c r="D175" s="30" t="str">
        <f>[1]트램표준체크리스트!F173</f>
        <v>궤도 청소차, 겨울철 모래분사설비 구매(운영사인 서울교통공사 요청사항), 매립형 궤도 제설 장비, 차량기지내 모래 보관 장치 리스크를 검토하였는가?</v>
      </c>
      <c r="E175" s="31" t="s">
        <v>439</v>
      </c>
      <c r="F175" s="32" t="str">
        <f t="shared" si="5"/>
        <v>극상</v>
      </c>
      <c r="G175" s="63" t="s">
        <v>40</v>
      </c>
      <c r="H175" s="63" t="s">
        <v>41</v>
      </c>
      <c r="I175" s="34" t="s">
        <v>440</v>
      </c>
      <c r="J175" s="33"/>
      <c r="K175" s="35"/>
      <c r="L175" s="33"/>
      <c r="M175" s="36"/>
      <c r="N175" s="33"/>
      <c r="O175" s="36"/>
      <c r="P175" s="33"/>
      <c r="Q175" s="37"/>
      <c r="R175" s="38"/>
      <c r="S175" s="33"/>
      <c r="T175" s="38"/>
      <c r="U175" s="33"/>
      <c r="V175" s="39"/>
      <c r="W175" s="90" t="b">
        <v>0</v>
      </c>
      <c r="X175" s="90" t="b">
        <v>0</v>
      </c>
      <c r="Y175" s="90" t="b">
        <v>0</v>
      </c>
      <c r="Z175" s="40" t="s">
        <v>398</v>
      </c>
      <c r="AA175" s="41"/>
      <c r="AK175" s="16"/>
      <c r="AL175" s="16"/>
      <c r="AM175" s="16"/>
      <c r="AN175" s="16"/>
      <c r="AO175" s="16"/>
      <c r="AP175" s="16"/>
      <c r="AQ175" s="16"/>
      <c r="AR175" s="16"/>
      <c r="AS175" s="16"/>
    </row>
    <row r="176" spans="1:45" s="7" customFormat="1" ht="195" customHeight="1">
      <c r="A176" s="27">
        <f>[1]트램표준체크리스트!A174</f>
        <v>172</v>
      </c>
      <c r="B176" s="28" t="str">
        <f>[1]트램표준체크리스트!B174</f>
        <v>차량기지</v>
      </c>
      <c r="C176" s="29" t="str">
        <f>[1]트램표준체크리스트!C174</f>
        <v>궤도 및 안전계획</v>
      </c>
      <c r="D176" s="30" t="str">
        <f>[1]트램표준체크리스트!F174</f>
        <v>하차, 궤도청소차, 사고복구차, 고소작업차 등을 고려한 주차공간 확보 필요 리스크를 검토하였는가?</v>
      </c>
      <c r="E176" s="31" t="s">
        <v>441</v>
      </c>
      <c r="F176" s="32" t="str">
        <f t="shared" si="5"/>
        <v>극상</v>
      </c>
      <c r="G176" s="63" t="s">
        <v>40</v>
      </c>
      <c r="H176" s="63" t="s">
        <v>41</v>
      </c>
      <c r="I176" s="34" t="s">
        <v>442</v>
      </c>
      <c r="J176" s="33"/>
      <c r="K176" s="35"/>
      <c r="L176" s="33"/>
      <c r="M176" s="36"/>
      <c r="N176" s="33"/>
      <c r="O176" s="36"/>
      <c r="P176" s="33"/>
      <c r="Q176" s="37"/>
      <c r="R176" s="38"/>
      <c r="S176" s="33"/>
      <c r="T176" s="38"/>
      <c r="U176" s="33"/>
      <c r="V176" s="39"/>
      <c r="W176" s="90" t="b">
        <v>0</v>
      </c>
      <c r="X176" s="90" t="b">
        <v>0</v>
      </c>
      <c r="Y176" s="90" t="b">
        <v>0</v>
      </c>
      <c r="Z176" s="40" t="s">
        <v>443</v>
      </c>
      <c r="AA176" s="41"/>
      <c r="AK176" s="16"/>
      <c r="AL176" s="16"/>
      <c r="AM176" s="16"/>
      <c r="AN176" s="16"/>
      <c r="AO176" s="16"/>
      <c r="AP176" s="16"/>
      <c r="AQ176" s="16"/>
      <c r="AR176" s="16"/>
      <c r="AS176" s="16"/>
    </row>
    <row r="177" spans="1:45" s="7" customFormat="1" ht="195" customHeight="1">
      <c r="A177" s="27">
        <f>[1]트램표준체크리스트!A175</f>
        <v>173</v>
      </c>
      <c r="B177" s="28" t="str">
        <f>[1]트램표준체크리스트!B175</f>
        <v>차량기지</v>
      </c>
      <c r="C177" s="29" t="str">
        <f>[1]트램표준체크리스트!C175</f>
        <v>급전 및 구조계획</v>
      </c>
      <c r="D177" s="30" t="str">
        <f>[1]트램표준체크리스트!F175</f>
        <v>충전설비 지지물 구조안전성 검토 및 디자인 승인 누락으로 강풍 시 전도 및 발주처 재시공 지시가 발생할 리스크를 검토하였는가?</v>
      </c>
      <c r="E177" s="31" t="s">
        <v>228</v>
      </c>
      <c r="F177" s="32" t="str">
        <f t="shared" si="5"/>
        <v>극상</v>
      </c>
      <c r="G177" s="63" t="s">
        <v>40</v>
      </c>
      <c r="H177" s="63" t="s">
        <v>41</v>
      </c>
      <c r="I177" s="34" t="s">
        <v>444</v>
      </c>
      <c r="J177" s="33"/>
      <c r="K177" s="35"/>
      <c r="L177" s="33"/>
      <c r="M177" s="36"/>
      <c r="N177" s="33"/>
      <c r="O177" s="36"/>
      <c r="P177" s="33"/>
      <c r="Q177" s="37"/>
      <c r="R177" s="38"/>
      <c r="S177" s="33"/>
      <c r="T177" s="38"/>
      <c r="U177" s="33"/>
      <c r="V177" s="39"/>
      <c r="W177" s="90" t="b">
        <v>0</v>
      </c>
      <c r="X177" s="90" t="b">
        <v>0</v>
      </c>
      <c r="Y177" s="90" t="b">
        <v>0</v>
      </c>
      <c r="Z177" s="40" t="s">
        <v>228</v>
      </c>
      <c r="AA177" s="41"/>
      <c r="AK177" s="16"/>
      <c r="AL177" s="16"/>
      <c r="AM177" s="16"/>
      <c r="AN177" s="16"/>
      <c r="AO177" s="16"/>
      <c r="AP177" s="16"/>
      <c r="AQ177" s="16"/>
      <c r="AR177" s="16"/>
      <c r="AS177" s="16"/>
    </row>
    <row r="178" spans="1:45" s="7" customFormat="1" ht="195" customHeight="1">
      <c r="A178" s="27">
        <f>[1]트램표준체크리스트!A176</f>
        <v>174</v>
      </c>
      <c r="B178" s="28" t="str">
        <f>[1]트램표준체크리스트!B176</f>
        <v>차량기지</v>
      </c>
      <c r="C178" s="29" t="str">
        <f>[1]트램표준체크리스트!C176</f>
        <v>급전 및 보호계획</v>
      </c>
      <c r="D178" s="30" t="str">
        <f>[1]트램표준체크리스트!F176</f>
        <v>온도상승 모니터링 및 아크 억제 설계 누락으로 고열이 발생해 전차선이 단선되거나 화재가 유발될 리스크를 검토하였는가?</v>
      </c>
      <c r="E178" s="31" t="s">
        <v>228</v>
      </c>
      <c r="F178" s="32" t="str">
        <f t="shared" si="5"/>
        <v>극상</v>
      </c>
      <c r="G178" s="63" t="s">
        <v>40</v>
      </c>
      <c r="H178" s="63" t="s">
        <v>41</v>
      </c>
      <c r="I178" s="34" t="s">
        <v>445</v>
      </c>
      <c r="J178" s="33"/>
      <c r="K178" s="35"/>
      <c r="L178" s="33"/>
      <c r="M178" s="36"/>
      <c r="N178" s="33"/>
      <c r="O178" s="36"/>
      <c r="P178" s="33"/>
      <c r="Q178" s="37"/>
      <c r="R178" s="38"/>
      <c r="S178" s="33"/>
      <c r="T178" s="38"/>
      <c r="U178" s="33"/>
      <c r="V178" s="39"/>
      <c r="W178" s="90" t="b">
        <v>0</v>
      </c>
      <c r="X178" s="90" t="b">
        <v>0</v>
      </c>
      <c r="Y178" s="90" t="b">
        <v>0</v>
      </c>
      <c r="Z178" s="40" t="s">
        <v>228</v>
      </c>
      <c r="AA178" s="41"/>
      <c r="AK178" s="16"/>
      <c r="AL178" s="16"/>
      <c r="AM178" s="16"/>
      <c r="AN178" s="16"/>
      <c r="AO178" s="16"/>
      <c r="AP178" s="16"/>
      <c r="AQ178" s="16"/>
      <c r="AR178" s="16"/>
      <c r="AS178" s="16"/>
    </row>
    <row r="179" spans="1:45" s="7" customFormat="1" ht="195" customHeight="1">
      <c r="A179" s="27">
        <f>[1]트램표준체크리스트!A177</f>
        <v>175</v>
      </c>
      <c r="B179" s="28" t="str">
        <f>[1]트램표준체크리스트!B177</f>
        <v>차량기지</v>
      </c>
      <c r="C179" s="29" t="str">
        <f>[1]트램표준체크리스트!C177</f>
        <v>기계 및 환기설비</v>
      </c>
      <c r="D179" s="30" t="str">
        <f>[1]트램표준체크리스트!F177</f>
        <v>지하공간 내 라돈 등 유해가스 감지 센서 및 자동 환기 연동 시스템 설계 누락으로 작업자의 심각한 건강 장해가 유발될 리스크를 검토하였는가?</v>
      </c>
      <c r="E179" s="31" t="s">
        <v>228</v>
      </c>
      <c r="F179" s="32" t="str">
        <f t="shared" si="5"/>
        <v>극상</v>
      </c>
      <c r="G179" s="63" t="s">
        <v>40</v>
      </c>
      <c r="H179" s="63" t="s">
        <v>41</v>
      </c>
      <c r="I179" s="34" t="s">
        <v>446</v>
      </c>
      <c r="J179" s="33"/>
      <c r="K179" s="35"/>
      <c r="L179" s="33"/>
      <c r="M179" s="36"/>
      <c r="N179" s="33"/>
      <c r="O179" s="36"/>
      <c r="P179" s="33"/>
      <c r="Q179" s="37"/>
      <c r="R179" s="38"/>
      <c r="S179" s="33"/>
      <c r="T179" s="38"/>
      <c r="U179" s="33"/>
      <c r="V179" s="39"/>
      <c r="W179" s="90" t="b">
        <v>0</v>
      </c>
      <c r="X179" s="90" t="b">
        <v>0</v>
      </c>
      <c r="Y179" s="90" t="b">
        <v>0</v>
      </c>
      <c r="Z179" s="40" t="s">
        <v>228</v>
      </c>
      <c r="AA179" s="41"/>
      <c r="AK179" s="16"/>
      <c r="AL179" s="16"/>
      <c r="AM179" s="16"/>
      <c r="AN179" s="16"/>
      <c r="AO179" s="16"/>
      <c r="AP179" s="16"/>
      <c r="AQ179" s="16"/>
      <c r="AR179" s="16"/>
      <c r="AS179" s="16"/>
    </row>
    <row r="180" spans="1:45" s="7" customFormat="1" ht="195" customHeight="1">
      <c r="A180" s="27">
        <f>[1]트램표준체크리스트!A178</f>
        <v>176</v>
      </c>
      <c r="B180" s="28" t="str">
        <f>[1]트램표준체크리스트!B178</f>
        <v>차량기지</v>
      </c>
      <c r="C180" s="29" t="str">
        <f>[1]트램표준체크리스트!C178</f>
        <v>기계/전기설비 공통</v>
      </c>
      <c r="D180" s="30" t="str">
        <f>[1]트램표준체크리스트!F178</f>
        <v>대형 장비 규격 및 선회 반경을 무시한 출입구 설계나 장애물 배치로 장비 고장 시 교체 반입이 불가해질 리스크를 검토하였는가?</v>
      </c>
      <c r="E180" s="31" t="s">
        <v>228</v>
      </c>
      <c r="F180" s="32" t="str">
        <f t="shared" si="5"/>
        <v>극상</v>
      </c>
      <c r="G180" s="63" t="s">
        <v>40</v>
      </c>
      <c r="H180" s="63" t="s">
        <v>41</v>
      </c>
      <c r="I180" s="34" t="s">
        <v>447</v>
      </c>
      <c r="J180" s="33"/>
      <c r="K180" s="35"/>
      <c r="L180" s="33"/>
      <c r="M180" s="36"/>
      <c r="N180" s="33"/>
      <c r="O180" s="36"/>
      <c r="P180" s="33"/>
      <c r="Q180" s="37"/>
      <c r="R180" s="38"/>
      <c r="S180" s="33"/>
      <c r="T180" s="38"/>
      <c r="U180" s="33"/>
      <c r="V180" s="39"/>
      <c r="W180" s="90" t="b">
        <v>0</v>
      </c>
      <c r="X180" s="90" t="b">
        <v>0</v>
      </c>
      <c r="Y180" s="90" t="b">
        <v>0</v>
      </c>
      <c r="Z180" s="40" t="s">
        <v>228</v>
      </c>
      <c r="AA180" s="41"/>
      <c r="AK180" s="16"/>
      <c r="AL180" s="16"/>
      <c r="AM180" s="16"/>
      <c r="AN180" s="16"/>
      <c r="AO180" s="16"/>
      <c r="AP180" s="16"/>
      <c r="AQ180" s="16"/>
      <c r="AR180" s="16"/>
      <c r="AS180" s="16"/>
    </row>
    <row r="181" spans="1:45" s="7" customFormat="1" ht="195" customHeight="1">
      <c r="A181" s="27">
        <f>[1]트램표준체크리스트!A179</f>
        <v>177</v>
      </c>
      <c r="B181" s="28" t="str">
        <f>[1]트램표준체크리스트!B179</f>
        <v>차량기지</v>
      </c>
      <c r="C181" s="29" t="str">
        <f>[1]트램표준체크리스트!C179</f>
        <v>기타</v>
      </c>
      <c r="D181" s="30" t="str">
        <f>[1]트램표준체크리스트!F179</f>
        <v>트램 하역선 및 램프 시설 설계 누락으로 인하여 차량 최초 반입 및 대수선 이송 시 중량물 양중 한계에 부딪혀 이송 지연 및 파손 사고가 발생할 리스크를 검토하였는가?</v>
      </c>
      <c r="E181" s="31" t="s">
        <v>228</v>
      </c>
      <c r="F181" s="32" t="str">
        <f t="shared" si="5"/>
        <v>극상</v>
      </c>
      <c r="G181" s="63" t="s">
        <v>40</v>
      </c>
      <c r="H181" s="63" t="s">
        <v>41</v>
      </c>
      <c r="I181" s="34" t="s">
        <v>448</v>
      </c>
      <c r="J181" s="33"/>
      <c r="K181" s="35"/>
      <c r="L181" s="33"/>
      <c r="M181" s="36"/>
      <c r="N181" s="33"/>
      <c r="O181" s="36"/>
      <c r="P181" s="33"/>
      <c r="Q181" s="37"/>
      <c r="R181" s="38"/>
      <c r="S181" s="33"/>
      <c r="T181" s="38"/>
      <c r="U181" s="33"/>
      <c r="V181" s="39"/>
      <c r="W181" s="90" t="b">
        <v>0</v>
      </c>
      <c r="X181" s="90" t="b">
        <v>0</v>
      </c>
      <c r="Y181" s="90" t="b">
        <v>0</v>
      </c>
      <c r="Z181" s="40" t="s">
        <v>228</v>
      </c>
      <c r="AA181" s="41"/>
      <c r="AK181" s="16"/>
      <c r="AL181" s="16"/>
      <c r="AM181" s="16"/>
      <c r="AN181" s="16"/>
      <c r="AO181" s="16"/>
      <c r="AP181" s="16"/>
      <c r="AQ181" s="16"/>
      <c r="AR181" s="16"/>
      <c r="AS181" s="16"/>
    </row>
    <row r="182" spans="1:45" s="7" customFormat="1" ht="195" customHeight="1">
      <c r="A182" s="27">
        <f>[1]트램표준체크리스트!A180</f>
        <v>178</v>
      </c>
      <c r="B182" s="28" t="str">
        <f>[1]트램표준체크리스트!B180</f>
        <v>차량기지</v>
      </c>
      <c r="C182" s="29" t="str">
        <f>[1]트램표준체크리스트!C180</f>
        <v>기타</v>
      </c>
      <c r="D182" s="30" t="str">
        <f>[1]트램표준체크리스트!F180</f>
        <v>검수고 내 선로 종단부 과주방지용 차막이(스토퍼) 설계 누락 및 유효장 부족으로 인하여 제동 불량 시 차량이 건물 벽체나 검수 장비와 직출동할 리스크를 검토하였는가?</v>
      </c>
      <c r="E182" s="31" t="s">
        <v>449</v>
      </c>
      <c r="F182" s="32" t="str">
        <f t="shared" si="5"/>
        <v>극상</v>
      </c>
      <c r="G182" s="63" t="s">
        <v>40</v>
      </c>
      <c r="H182" s="63" t="s">
        <v>41</v>
      </c>
      <c r="I182" s="34" t="s">
        <v>450</v>
      </c>
      <c r="J182" s="33"/>
      <c r="K182" s="35"/>
      <c r="L182" s="33"/>
      <c r="M182" s="36"/>
      <c r="N182" s="33"/>
      <c r="O182" s="36"/>
      <c r="P182" s="33"/>
      <c r="Q182" s="37"/>
      <c r="R182" s="38"/>
      <c r="S182" s="33"/>
      <c r="T182" s="38"/>
      <c r="U182" s="33"/>
      <c r="V182" s="39"/>
      <c r="W182" s="90" t="b">
        <v>0</v>
      </c>
      <c r="X182" s="90" t="b">
        <v>0</v>
      </c>
      <c r="Y182" s="90" t="b">
        <v>0</v>
      </c>
      <c r="Z182" s="40" t="s">
        <v>398</v>
      </c>
      <c r="AA182" s="41"/>
      <c r="AK182" s="16"/>
      <c r="AL182" s="16"/>
      <c r="AM182" s="16"/>
      <c r="AN182" s="16"/>
      <c r="AO182" s="16"/>
      <c r="AP182" s="16"/>
      <c r="AQ182" s="16"/>
      <c r="AR182" s="16"/>
      <c r="AS182" s="16"/>
    </row>
    <row r="183" spans="1:45" s="7" customFormat="1" ht="195" customHeight="1">
      <c r="A183" s="27">
        <f>[1]트램표준체크리스트!A181</f>
        <v>179</v>
      </c>
      <c r="B183" s="28" t="str">
        <f>[1]트램표준체크리스트!B181</f>
        <v>차량기지</v>
      </c>
      <c r="C183" s="29" t="str">
        <f>[1]트램표준체크리스트!C181</f>
        <v>기타</v>
      </c>
      <c r="D183" s="30" t="str">
        <f>[1]트램표준체크리스트!F181</f>
        <v>검수고 건축 기둥과 턴테이블 등 주요 장비 간의 물리적 간섭 검토 누락으로 인하여 현장 장비 설치가 불가능해져 막대한 재설계 및 재시공 비용이 발생할 리스크를 검토하였는가?</v>
      </c>
      <c r="E183" s="31" t="s">
        <v>228</v>
      </c>
      <c r="F183" s="32" t="str">
        <f t="shared" si="5"/>
        <v>극상</v>
      </c>
      <c r="G183" s="63" t="s">
        <v>40</v>
      </c>
      <c r="H183" s="63" t="s">
        <v>41</v>
      </c>
      <c r="I183" s="34" t="s">
        <v>451</v>
      </c>
      <c r="J183" s="33"/>
      <c r="K183" s="35"/>
      <c r="L183" s="33"/>
      <c r="M183" s="36"/>
      <c r="N183" s="33"/>
      <c r="O183" s="36"/>
      <c r="P183" s="33"/>
      <c r="Q183" s="37"/>
      <c r="R183" s="38"/>
      <c r="S183" s="33"/>
      <c r="T183" s="38"/>
      <c r="U183" s="33"/>
      <c r="V183" s="39"/>
      <c r="W183" s="90" t="b">
        <v>0</v>
      </c>
      <c r="X183" s="90" t="b">
        <v>0</v>
      </c>
      <c r="Y183" s="90" t="b">
        <v>0</v>
      </c>
      <c r="Z183" s="40" t="s">
        <v>228</v>
      </c>
      <c r="AA183" s="41"/>
      <c r="AK183" s="16"/>
      <c r="AL183" s="16"/>
      <c r="AM183" s="16"/>
      <c r="AN183" s="16"/>
      <c r="AO183" s="16"/>
      <c r="AP183" s="16"/>
      <c r="AQ183" s="16"/>
      <c r="AR183" s="16"/>
      <c r="AS183" s="16"/>
    </row>
    <row r="184" spans="1:45" s="7" customFormat="1" ht="195" customHeight="1">
      <c r="A184" s="27">
        <f>[1]트램표준체크리스트!A182</f>
        <v>180</v>
      </c>
      <c r="B184" s="28" t="str">
        <f>[1]트램표준체크리스트!B182</f>
        <v>차량기지</v>
      </c>
      <c r="C184" s="29" t="str">
        <f>[1]트램표준체크리스트!C182</f>
        <v>기타</v>
      </c>
      <c r="D184" s="30" t="str">
        <f>[1]트램표준체크리스트!F182</f>
        <v>전두연결기 시험기 설계 누락으로 인하여 고장 차량 발생 시 구원 차량과의 연결 상태를 사전 검증하지 못해, 구원운전 실패 및 본선 장기 마비 사태가 초래될 리스크를 검토하였는가?</v>
      </c>
      <c r="E184" s="31" t="s">
        <v>228</v>
      </c>
      <c r="F184" s="32" t="str">
        <f t="shared" si="5"/>
        <v>극상</v>
      </c>
      <c r="G184" s="63" t="s">
        <v>40</v>
      </c>
      <c r="H184" s="63" t="s">
        <v>41</v>
      </c>
      <c r="I184" s="34" t="s">
        <v>452</v>
      </c>
      <c r="J184" s="33"/>
      <c r="K184" s="35"/>
      <c r="L184" s="33"/>
      <c r="M184" s="36"/>
      <c r="N184" s="33"/>
      <c r="O184" s="36"/>
      <c r="P184" s="33"/>
      <c r="Q184" s="37"/>
      <c r="R184" s="38"/>
      <c r="S184" s="33"/>
      <c r="T184" s="38"/>
      <c r="U184" s="33"/>
      <c r="V184" s="39"/>
      <c r="W184" s="90" t="b">
        <v>0</v>
      </c>
      <c r="X184" s="90" t="b">
        <v>0</v>
      </c>
      <c r="Y184" s="90" t="b">
        <v>0</v>
      </c>
      <c r="Z184" s="40" t="s">
        <v>228</v>
      </c>
      <c r="AA184" s="41"/>
      <c r="AK184" s="16"/>
      <c r="AL184" s="16"/>
      <c r="AM184" s="16"/>
      <c r="AN184" s="16"/>
      <c r="AO184" s="16"/>
      <c r="AP184" s="16"/>
      <c r="AQ184" s="16"/>
      <c r="AR184" s="16"/>
      <c r="AS184" s="16"/>
    </row>
    <row r="185" spans="1:45" s="7" customFormat="1" ht="195" customHeight="1">
      <c r="A185" s="27">
        <f>[1]트램표준체크리스트!A183</f>
        <v>181</v>
      </c>
      <c r="B185" s="28" t="str">
        <f>[1]트램표준체크리스트!B183</f>
        <v>차량기지</v>
      </c>
      <c r="C185" s="29" t="str">
        <f>[1]트램표준체크리스트!C183</f>
        <v>기타</v>
      </c>
      <c r="D185" s="30" t="str">
        <f>[1]트램표준체크리스트!F183</f>
        <v>입고검사대 동선 부적절 및 간이승강대 설계 누락으로 인하여 야간 일상 점검의 접근성이 현저히 저하되고 작업자의 추락 등 안전사고가 유발될 리스크를 검토하였는가?</v>
      </c>
      <c r="E185" s="31" t="s">
        <v>453</v>
      </c>
      <c r="F185" s="32" t="str">
        <f t="shared" si="5"/>
        <v>극상</v>
      </c>
      <c r="G185" s="63" t="s">
        <v>40</v>
      </c>
      <c r="H185" s="63" t="s">
        <v>41</v>
      </c>
      <c r="I185" s="34" t="s">
        <v>454</v>
      </c>
      <c r="J185" s="33"/>
      <c r="K185" s="35"/>
      <c r="L185" s="33"/>
      <c r="M185" s="36"/>
      <c r="N185" s="33"/>
      <c r="O185" s="36"/>
      <c r="P185" s="33"/>
      <c r="Q185" s="37"/>
      <c r="R185" s="38"/>
      <c r="S185" s="33"/>
      <c r="T185" s="38"/>
      <c r="U185" s="33"/>
      <c r="V185" s="39"/>
      <c r="W185" s="90" t="b">
        <v>0</v>
      </c>
      <c r="X185" s="90" t="b">
        <v>0</v>
      </c>
      <c r="Y185" s="90" t="b">
        <v>0</v>
      </c>
      <c r="Z185" s="40" t="s">
        <v>408</v>
      </c>
      <c r="AA185" s="41"/>
      <c r="AK185" s="16"/>
      <c r="AL185" s="16"/>
      <c r="AM185" s="16"/>
      <c r="AN185" s="16"/>
      <c r="AO185" s="16"/>
      <c r="AP185" s="16"/>
      <c r="AQ185" s="16"/>
      <c r="AR185" s="16"/>
      <c r="AS185" s="16"/>
    </row>
    <row r="186" spans="1:45" s="7" customFormat="1" ht="195" customHeight="1">
      <c r="A186" s="27">
        <f>[1]트램표준체크리스트!A184</f>
        <v>182</v>
      </c>
      <c r="B186" s="28" t="str">
        <f>[1]트램표준체크리스트!B184</f>
        <v>차량기지</v>
      </c>
      <c r="C186" s="29" t="str">
        <f>[1]트램표준체크리스트!C184</f>
        <v>기타</v>
      </c>
      <c r="D186" s="30" t="str">
        <f>[1]트램표준체크리스트!F184</f>
        <v>예비품 전용 창고 및 전용 저장랙 설계 누락으로 인하여 고가의 민감한 제어 부품이 개방 공간에 방치되어 습기 및 분진에 의해 성능이 저하(손상)될 리스크를 검토하였는가?</v>
      </c>
      <c r="E186" s="31" t="s">
        <v>228</v>
      </c>
      <c r="F186" s="32" t="str">
        <f t="shared" si="5"/>
        <v>극상</v>
      </c>
      <c r="G186" s="63" t="s">
        <v>40</v>
      </c>
      <c r="H186" s="63" t="s">
        <v>41</v>
      </c>
      <c r="I186" s="34" t="s">
        <v>455</v>
      </c>
      <c r="J186" s="33"/>
      <c r="K186" s="35"/>
      <c r="L186" s="33"/>
      <c r="M186" s="36"/>
      <c r="N186" s="33"/>
      <c r="O186" s="36"/>
      <c r="P186" s="33"/>
      <c r="Q186" s="37"/>
      <c r="R186" s="38"/>
      <c r="S186" s="33"/>
      <c r="T186" s="38"/>
      <c r="U186" s="33"/>
      <c r="V186" s="39"/>
      <c r="W186" s="90" t="b">
        <v>0</v>
      </c>
      <c r="X186" s="90" t="b">
        <v>0</v>
      </c>
      <c r="Y186" s="90" t="b">
        <v>0</v>
      </c>
      <c r="Z186" s="40" t="s">
        <v>228</v>
      </c>
      <c r="AA186" s="41"/>
      <c r="AK186" s="16"/>
      <c r="AL186" s="16"/>
      <c r="AM186" s="16"/>
      <c r="AN186" s="16"/>
      <c r="AO186" s="16"/>
      <c r="AP186" s="16"/>
      <c r="AQ186" s="16"/>
      <c r="AR186" s="16"/>
      <c r="AS186" s="16"/>
    </row>
    <row r="187" spans="1:45" s="7" customFormat="1" ht="195" customHeight="1">
      <c r="A187" s="27">
        <f>[1]트램표준체크리스트!A185</f>
        <v>183</v>
      </c>
      <c r="B187" s="28" t="str">
        <f>[1]트램표준체크리스트!B185</f>
        <v>차량기지</v>
      </c>
      <c r="C187" s="29" t="str">
        <f>[1]트램표준체크리스트!C185</f>
        <v>기타</v>
      </c>
      <c r="D187" s="30" t="str">
        <f>[1]트램표준체크리스트!F185</f>
        <v>외부 물체에 의한 충격으로 유리 파편에 승객 부상 리스크를 검토하였는가?</v>
      </c>
      <c r="E187" s="31" t="s">
        <v>228</v>
      </c>
      <c r="F187" s="32" t="str">
        <f t="shared" si="5"/>
        <v>극상</v>
      </c>
      <c r="G187" s="63" t="s">
        <v>40</v>
      </c>
      <c r="H187" s="63" t="s">
        <v>41</v>
      </c>
      <c r="I187" s="34" t="s">
        <v>456</v>
      </c>
      <c r="J187" s="33"/>
      <c r="K187" s="35"/>
      <c r="L187" s="33"/>
      <c r="M187" s="36"/>
      <c r="N187" s="33"/>
      <c r="O187" s="36"/>
      <c r="P187" s="33"/>
      <c r="Q187" s="37"/>
      <c r="R187" s="38"/>
      <c r="S187" s="33"/>
      <c r="T187" s="38"/>
      <c r="U187" s="33"/>
      <c r="V187" s="39"/>
      <c r="W187" s="90" t="b">
        <v>0</v>
      </c>
      <c r="X187" s="90" t="b">
        <v>0</v>
      </c>
      <c r="Y187" s="90" t="b">
        <v>0</v>
      </c>
      <c r="Z187" s="40" t="s">
        <v>228</v>
      </c>
      <c r="AA187" s="41"/>
      <c r="AK187" s="16"/>
      <c r="AL187" s="16"/>
      <c r="AM187" s="16"/>
      <c r="AN187" s="16"/>
      <c r="AO187" s="16"/>
      <c r="AP187" s="16"/>
      <c r="AQ187" s="16"/>
      <c r="AR187" s="16"/>
      <c r="AS187" s="16"/>
    </row>
    <row r="188" spans="1:45" s="7" customFormat="1" ht="195" customHeight="1">
      <c r="A188" s="27">
        <f>[1]트램표준체크리스트!A186</f>
        <v>184</v>
      </c>
      <c r="B188" s="28" t="str">
        <f>[1]트램표준체크리스트!B186</f>
        <v>차량기지</v>
      </c>
      <c r="C188" s="29" t="str">
        <f>[1]트램표준체크리스트!C186</f>
        <v>기타</v>
      </c>
      <c r="D188" s="30" t="str">
        <f>[1]트램표준체크리스트!F186</f>
        <v>도어 손끼임 끼임 사고 리스크를 검토하였는가?</v>
      </c>
      <c r="E188" s="31" t="s">
        <v>228</v>
      </c>
      <c r="F188" s="32" t="str">
        <f t="shared" si="5"/>
        <v>극상</v>
      </c>
      <c r="G188" s="63" t="s">
        <v>40</v>
      </c>
      <c r="H188" s="63" t="s">
        <v>41</v>
      </c>
      <c r="I188" s="34" t="s">
        <v>457</v>
      </c>
      <c r="J188" s="33"/>
      <c r="K188" s="35"/>
      <c r="L188" s="33"/>
      <c r="M188" s="36"/>
      <c r="N188" s="33"/>
      <c r="O188" s="36"/>
      <c r="P188" s="33"/>
      <c r="Q188" s="37"/>
      <c r="R188" s="38"/>
      <c r="S188" s="33"/>
      <c r="T188" s="38"/>
      <c r="U188" s="33"/>
      <c r="V188" s="39"/>
      <c r="W188" s="90" t="b">
        <v>0</v>
      </c>
      <c r="X188" s="90" t="b">
        <v>0</v>
      </c>
      <c r="Y188" s="90" t="b">
        <v>0</v>
      </c>
      <c r="Z188" s="40" t="s">
        <v>228</v>
      </c>
      <c r="AA188" s="41"/>
      <c r="AK188" s="16"/>
      <c r="AL188" s="16"/>
      <c r="AM188" s="16"/>
      <c r="AN188" s="16"/>
      <c r="AO188" s="16"/>
      <c r="AP188" s="16"/>
      <c r="AQ188" s="16"/>
      <c r="AR188" s="16"/>
      <c r="AS188" s="16"/>
    </row>
    <row r="189" spans="1:45" s="7" customFormat="1" ht="195" customHeight="1">
      <c r="A189" s="27">
        <f>[1]트램표준체크리스트!A187</f>
        <v>185</v>
      </c>
      <c r="B189" s="28" t="str">
        <f>[1]트램표준체크리스트!B187</f>
        <v>차량기지</v>
      </c>
      <c r="C189" s="29" t="str">
        <f>[1]트램표준체크리스트!C187</f>
        <v>기타</v>
      </c>
      <c r="D189" s="30" t="str">
        <f>[1]트램표준체크리스트!F187</f>
        <v>차량 내 무단 조작 리스크를 검토하였는가?</v>
      </c>
      <c r="E189" s="31" t="s">
        <v>2975</v>
      </c>
      <c r="F189" s="32" t="str">
        <f t="shared" si="5"/>
        <v>극상</v>
      </c>
      <c r="G189" s="63" t="s">
        <v>40</v>
      </c>
      <c r="H189" s="63" t="s">
        <v>41</v>
      </c>
      <c r="I189" s="34" t="s">
        <v>2976</v>
      </c>
      <c r="J189" s="33"/>
      <c r="K189" s="35"/>
      <c r="L189" s="33"/>
      <c r="M189" s="36"/>
      <c r="N189" s="33"/>
      <c r="O189" s="36"/>
      <c r="P189" s="33"/>
      <c r="Q189" s="37"/>
      <c r="R189" s="38"/>
      <c r="S189" s="33"/>
      <c r="T189" s="38"/>
      <c r="U189" s="33"/>
      <c r="V189" s="39"/>
      <c r="W189" s="90" t="b">
        <v>0</v>
      </c>
      <c r="X189" s="90" t="b">
        <v>0</v>
      </c>
      <c r="Y189" s="90" t="b">
        <v>0</v>
      </c>
      <c r="Z189" s="40" t="s">
        <v>2977</v>
      </c>
      <c r="AA189" s="41"/>
      <c r="AK189" s="16"/>
      <c r="AL189" s="16"/>
      <c r="AM189" s="16"/>
      <c r="AN189" s="16"/>
      <c r="AO189" s="16"/>
      <c r="AP189" s="16"/>
      <c r="AQ189" s="16"/>
      <c r="AR189" s="16"/>
      <c r="AS189" s="16"/>
    </row>
    <row r="190" spans="1:45" s="7" customFormat="1" ht="195" customHeight="1">
      <c r="A190" s="27">
        <f>[1]트램표준체크리스트!A188</f>
        <v>186</v>
      </c>
      <c r="B190" s="28" t="str">
        <f>[1]트램표준체크리스트!B188</f>
        <v>차량기지</v>
      </c>
      <c r="C190" s="29" t="str">
        <f>[1]트램표준체크리스트!C188</f>
        <v>기타</v>
      </c>
      <c r="D190" s="30" t="str">
        <f>[1]트램표준체크리스트!F188</f>
        <v>국내외 트램과 달리 개발된 노선 트램 운전에 대한 부담 존재, 트램 승무 운전 경험 적은 노면전차 양성기관 교육의 교육 훈련 부실 우려 리스크를 검토하였는가?</v>
      </c>
      <c r="E190" s="31" t="s">
        <v>2978</v>
      </c>
      <c r="F190" s="32" t="str">
        <f t="shared" si="5"/>
        <v>극상</v>
      </c>
      <c r="G190" s="63" t="s">
        <v>40</v>
      </c>
      <c r="H190" s="63" t="s">
        <v>41</v>
      </c>
      <c r="I190" s="34" t="s">
        <v>2979</v>
      </c>
      <c r="J190" s="33"/>
      <c r="K190" s="35"/>
      <c r="L190" s="33"/>
      <c r="M190" s="36"/>
      <c r="N190" s="33"/>
      <c r="O190" s="36"/>
      <c r="P190" s="33"/>
      <c r="Q190" s="37"/>
      <c r="R190" s="38"/>
      <c r="S190" s="33"/>
      <c r="T190" s="38"/>
      <c r="U190" s="33"/>
      <c r="V190" s="39"/>
      <c r="W190" s="90" t="b">
        <v>0</v>
      </c>
      <c r="X190" s="90" t="b">
        <v>0</v>
      </c>
      <c r="Y190" s="90" t="b">
        <v>0</v>
      </c>
      <c r="Z190" s="40" t="s">
        <v>2980</v>
      </c>
      <c r="AA190" s="41"/>
      <c r="AK190" s="16"/>
      <c r="AL190" s="16"/>
      <c r="AM190" s="16"/>
      <c r="AN190" s="16"/>
      <c r="AO190" s="16"/>
      <c r="AP190" s="16"/>
      <c r="AQ190" s="16"/>
      <c r="AR190" s="16"/>
      <c r="AS190" s="16"/>
    </row>
    <row r="191" spans="1:45" s="7" customFormat="1" ht="195" customHeight="1">
      <c r="A191" s="27">
        <f>[1]트램표준체크리스트!A189</f>
        <v>187</v>
      </c>
      <c r="B191" s="28" t="str">
        <f>[1]트램표준체크리스트!B189</f>
        <v>차량기지</v>
      </c>
      <c r="C191" s="29" t="str">
        <f>[1]트램표준체크리스트!C189</f>
        <v>기타</v>
      </c>
      <c r="D191" s="30" t="str">
        <f>[1]트램표준체크리스트!F189</f>
        <v>휠식선, 쿨링파이프 좌우 부품 저장대 설치 필요 리스크를 검토하였는가?</v>
      </c>
      <c r="E191" s="31" t="s">
        <v>2981</v>
      </c>
      <c r="F191" s="32" t="str">
        <f t="shared" si="5"/>
        <v>극상</v>
      </c>
      <c r="G191" s="63" t="s">
        <v>40</v>
      </c>
      <c r="H191" s="63" t="s">
        <v>41</v>
      </c>
      <c r="I191" s="34" t="s">
        <v>2982</v>
      </c>
      <c r="J191" s="33"/>
      <c r="K191" s="35"/>
      <c r="L191" s="33"/>
      <c r="M191" s="36"/>
      <c r="N191" s="33"/>
      <c r="O191" s="36"/>
      <c r="P191" s="33"/>
      <c r="Q191" s="37"/>
      <c r="R191" s="38"/>
      <c r="S191" s="33"/>
      <c r="T191" s="38"/>
      <c r="U191" s="33"/>
      <c r="V191" s="39"/>
      <c r="W191" s="90" t="b">
        <v>0</v>
      </c>
      <c r="X191" s="90" t="b">
        <v>0</v>
      </c>
      <c r="Y191" s="90" t="b">
        <v>0</v>
      </c>
      <c r="Z191" s="40" t="s">
        <v>2983</v>
      </c>
      <c r="AA191" s="41"/>
      <c r="AK191" s="16"/>
      <c r="AL191" s="16"/>
      <c r="AM191" s="16"/>
      <c r="AN191" s="16"/>
      <c r="AO191" s="16"/>
      <c r="AP191" s="16"/>
      <c r="AQ191" s="16"/>
      <c r="AR191" s="16"/>
      <c r="AS191" s="16"/>
    </row>
    <row r="192" spans="1:45" s="7" customFormat="1" ht="195" customHeight="1">
      <c r="A192" s="27">
        <f>[1]트램표준체크리스트!A190</f>
        <v>188</v>
      </c>
      <c r="B192" s="28" t="str">
        <f>[1]트램표준체크리스트!B190</f>
        <v>차량기지</v>
      </c>
      <c r="C192" s="29" t="str">
        <f>[1]트램표준체크리스트!C190</f>
        <v>기타</v>
      </c>
      <c r="D192" s="30" t="str">
        <f>[1]트램표준체크리스트!F190</f>
        <v>대형소형 밸브 설치 및 운영 필요(세정수 및 건조시간 필요) 리스크를 검토하였는가?</v>
      </c>
      <c r="E192" s="31" t="s">
        <v>2984</v>
      </c>
      <c r="F192" s="32" t="str">
        <f t="shared" si="5"/>
        <v>극상</v>
      </c>
      <c r="G192" s="63" t="s">
        <v>40</v>
      </c>
      <c r="H192" s="63" t="s">
        <v>41</v>
      </c>
      <c r="I192" s="34" t="s">
        <v>2985</v>
      </c>
      <c r="J192" s="33"/>
      <c r="K192" s="35"/>
      <c r="L192" s="33"/>
      <c r="M192" s="36"/>
      <c r="N192" s="33"/>
      <c r="O192" s="36"/>
      <c r="P192" s="33"/>
      <c r="Q192" s="37"/>
      <c r="R192" s="38"/>
      <c r="S192" s="33"/>
      <c r="T192" s="38"/>
      <c r="U192" s="33"/>
      <c r="V192" s="39"/>
      <c r="W192" s="90" t="b">
        <v>0</v>
      </c>
      <c r="X192" s="90" t="b">
        <v>0</v>
      </c>
      <c r="Y192" s="90" t="b">
        <v>0</v>
      </c>
      <c r="Z192" s="40" t="s">
        <v>2986</v>
      </c>
      <c r="AA192" s="41"/>
      <c r="AK192" s="16"/>
      <c r="AL192" s="16"/>
      <c r="AM192" s="16"/>
      <c r="AN192" s="16"/>
      <c r="AO192" s="16"/>
      <c r="AP192" s="16"/>
      <c r="AQ192" s="16"/>
      <c r="AR192" s="16"/>
      <c r="AS192" s="16"/>
    </row>
    <row r="193" spans="1:45" s="7" customFormat="1" ht="195" customHeight="1">
      <c r="A193" s="27">
        <f>[1]트램표준체크리스트!A191</f>
        <v>189</v>
      </c>
      <c r="B193" s="28" t="str">
        <f>[1]트램표준체크리스트!B191</f>
        <v>차량기지</v>
      </c>
      <c r="C193" s="29" t="str">
        <f>[1]트램표준체크리스트!C191</f>
        <v>기타</v>
      </c>
      <c r="D193" s="30" t="str">
        <f>[1]트램표준체크리스트!F191</f>
        <v>마모성, 코아디텍션은 입출고선 인근 설치 필요 리스크를 검토하였는가?</v>
      </c>
      <c r="E193" s="31" t="s">
        <v>2987</v>
      </c>
      <c r="F193" s="32" t="str">
        <f t="shared" si="5"/>
        <v>극상</v>
      </c>
      <c r="G193" s="63" t="s">
        <v>40</v>
      </c>
      <c r="H193" s="63" t="s">
        <v>41</v>
      </c>
      <c r="I193" s="34" t="s">
        <v>2988</v>
      </c>
      <c r="J193" s="33"/>
      <c r="K193" s="35"/>
      <c r="L193" s="33"/>
      <c r="M193" s="36"/>
      <c r="N193" s="33"/>
      <c r="O193" s="36"/>
      <c r="P193" s="33"/>
      <c r="Q193" s="37"/>
      <c r="R193" s="38"/>
      <c r="S193" s="33"/>
      <c r="T193" s="38"/>
      <c r="U193" s="33"/>
      <c r="V193" s="39"/>
      <c r="W193" s="90" t="b">
        <v>0</v>
      </c>
      <c r="X193" s="90" t="b">
        <v>0</v>
      </c>
      <c r="Y193" s="90" t="b">
        <v>0</v>
      </c>
      <c r="Z193" s="40" t="s">
        <v>2989</v>
      </c>
      <c r="AA193" s="41"/>
      <c r="AK193" s="16"/>
      <c r="AL193" s="16"/>
      <c r="AM193" s="16"/>
      <c r="AN193" s="16"/>
      <c r="AO193" s="16"/>
      <c r="AP193" s="16"/>
      <c r="AQ193" s="16"/>
      <c r="AR193" s="16"/>
      <c r="AS193" s="16"/>
    </row>
    <row r="194" spans="1:45" s="7" customFormat="1" ht="195" customHeight="1">
      <c r="A194" s="27">
        <f>[1]트램표준체크리스트!A192</f>
        <v>190</v>
      </c>
      <c r="B194" s="28" t="str">
        <f>[1]트램표준체크리스트!B192</f>
        <v>차량기지</v>
      </c>
      <c r="C194" s="29" t="str">
        <f>[1]트램표준체크리스트!C192</f>
        <v>기타</v>
      </c>
      <c r="D194" s="30" t="str">
        <f>[1]트램표준체크리스트!F192</f>
        <v>공기 청소선 필요(정기적인 차량하부 공기청소 필요) 리스크를 검토하였는가?</v>
      </c>
      <c r="E194" s="31" t="s">
        <v>2990</v>
      </c>
      <c r="F194" s="32" t="str">
        <f t="shared" si="5"/>
        <v>극상</v>
      </c>
      <c r="G194" s="63" t="s">
        <v>40</v>
      </c>
      <c r="H194" s="63" t="s">
        <v>41</v>
      </c>
      <c r="I194" s="34" t="s">
        <v>2991</v>
      </c>
      <c r="J194" s="33"/>
      <c r="K194" s="35"/>
      <c r="L194" s="33"/>
      <c r="M194" s="36"/>
      <c r="N194" s="33"/>
      <c r="O194" s="36"/>
      <c r="P194" s="33"/>
      <c r="Q194" s="37"/>
      <c r="R194" s="38"/>
      <c r="S194" s="33"/>
      <c r="T194" s="38"/>
      <c r="U194" s="33"/>
      <c r="V194" s="39"/>
      <c r="W194" s="90" t="b">
        <v>0</v>
      </c>
      <c r="X194" s="90" t="b">
        <v>0</v>
      </c>
      <c r="Y194" s="90" t="b">
        <v>0</v>
      </c>
      <c r="Z194" s="40" t="s">
        <v>2992</v>
      </c>
      <c r="AA194" s="41"/>
      <c r="AK194" s="16"/>
      <c r="AL194" s="16"/>
      <c r="AM194" s="16"/>
      <c r="AN194" s="16"/>
      <c r="AO194" s="16"/>
      <c r="AP194" s="16"/>
      <c r="AQ194" s="16"/>
      <c r="AR194" s="16"/>
      <c r="AS194" s="16"/>
    </row>
    <row r="195" spans="1:45" s="7" customFormat="1" ht="195" customHeight="1">
      <c r="A195" s="27">
        <f>[1]트램표준체크리스트!A193</f>
        <v>191</v>
      </c>
      <c r="B195" s="28" t="str">
        <f>[1]트램표준체크리스트!B193</f>
        <v>차량기지</v>
      </c>
      <c r="C195" s="29" t="str">
        <f>[1]트램표준체크리스트!C193</f>
        <v>모터카고 및 사고복구 장비 배치</v>
      </c>
      <c r="D195" s="30" t="str">
        <f>[1]트램표준체크리스트!F193</f>
        <v>모터카고 출고 동선이 타 차량 동선에 가로막히게 설계되어, 본선 사고 시 복구용 모터카 긴급 투입이 지연될 리스크를 검토하였는가?</v>
      </c>
      <c r="E195" s="31" t="s">
        <v>2262</v>
      </c>
      <c r="F195" s="32" t="str">
        <f t="shared" si="5"/>
        <v>극상</v>
      </c>
      <c r="G195" s="63" t="s">
        <v>40</v>
      </c>
      <c r="H195" s="63" t="s">
        <v>41</v>
      </c>
      <c r="I195" s="34" t="s">
        <v>2263</v>
      </c>
      <c r="J195" s="33"/>
      <c r="K195" s="35"/>
      <c r="L195" s="33"/>
      <c r="M195" s="36"/>
      <c r="N195" s="33"/>
      <c r="O195" s="36"/>
      <c r="P195" s="33"/>
      <c r="Q195" s="37"/>
      <c r="R195" s="38"/>
      <c r="S195" s="33"/>
      <c r="T195" s="38"/>
      <c r="U195" s="33"/>
      <c r="V195" s="39"/>
      <c r="W195" s="90" t="b">
        <v>0</v>
      </c>
      <c r="X195" s="90" t="b">
        <v>0</v>
      </c>
      <c r="Y195" s="90" t="b">
        <v>0</v>
      </c>
      <c r="Z195" s="40" t="s">
        <v>2993</v>
      </c>
      <c r="AA195" s="41"/>
      <c r="AK195" s="16"/>
      <c r="AL195" s="16"/>
      <c r="AM195" s="16"/>
      <c r="AN195" s="16"/>
      <c r="AO195" s="16"/>
      <c r="AP195" s="16"/>
      <c r="AQ195" s="16"/>
      <c r="AR195" s="16"/>
      <c r="AS195" s="16"/>
    </row>
    <row r="196" spans="1:45" s="7" customFormat="1" ht="195" customHeight="1">
      <c r="A196" s="27">
        <f>[1]트램표준체크리스트!A194</f>
        <v>192</v>
      </c>
      <c r="B196" s="28" t="str">
        <f>[1]트램표준체크리스트!B194</f>
        <v>차량기지</v>
      </c>
      <c r="C196" s="29" t="str">
        <f>[1]트램표준체크리스트!C194</f>
        <v>모터카고 및 사고복구 장비 배치</v>
      </c>
      <c r="D196" s="30" t="str">
        <f>[1]트램표준체크리스트!F194</f>
        <v>검수고 기능실 인근 공구실 배치 필요 리스크를 검토하였는가?</v>
      </c>
      <c r="E196" s="31" t="s">
        <v>2994</v>
      </c>
      <c r="F196" s="32" t="str">
        <f t="shared" si="5"/>
        <v>극상</v>
      </c>
      <c r="G196" s="63" t="s">
        <v>40</v>
      </c>
      <c r="H196" s="63" t="s">
        <v>41</v>
      </c>
      <c r="I196" s="34" t="s">
        <v>2995</v>
      </c>
      <c r="J196" s="33"/>
      <c r="K196" s="35"/>
      <c r="L196" s="33"/>
      <c r="M196" s="36"/>
      <c r="N196" s="33"/>
      <c r="O196" s="36"/>
      <c r="P196" s="33"/>
      <c r="Q196" s="37"/>
      <c r="R196" s="38"/>
      <c r="S196" s="33"/>
      <c r="T196" s="38"/>
      <c r="U196" s="33"/>
      <c r="V196" s="39"/>
      <c r="W196" s="90" t="b">
        <v>0</v>
      </c>
      <c r="X196" s="90" t="b">
        <v>0</v>
      </c>
      <c r="Y196" s="90" t="b">
        <v>0</v>
      </c>
      <c r="Z196" s="40" t="s">
        <v>2996</v>
      </c>
      <c r="AA196" s="41"/>
      <c r="AK196" s="16"/>
      <c r="AL196" s="16"/>
      <c r="AM196" s="16"/>
      <c r="AN196" s="16"/>
      <c r="AO196" s="16"/>
      <c r="AP196" s="16"/>
      <c r="AQ196" s="16"/>
      <c r="AR196" s="16"/>
      <c r="AS196" s="16"/>
    </row>
    <row r="197" spans="1:45" s="7" customFormat="1" ht="195" customHeight="1">
      <c r="A197" s="27">
        <f>[1]트램표준체크리스트!A195</f>
        <v>193</v>
      </c>
      <c r="B197" s="28" t="str">
        <f>[1]트램표준체크리스트!B195</f>
        <v>차량기지</v>
      </c>
      <c r="C197" s="29" t="str">
        <f>[1]트램표준체크리스트!C195</f>
        <v>모터카고 배치</v>
      </c>
      <c r="D197" s="30" t="str">
        <f>[1]트램표준체크리스트!F195</f>
        <v>본선 사고 시 긴급 복구차량(모터카)이 복잡한 입환 동선 등에 가로막혀 신속 출동이 지연될 모터카고 위치 설계 불량 리스크를 검토하였는가?</v>
      </c>
      <c r="E197" s="31" t="s">
        <v>2265</v>
      </c>
      <c r="F197" s="32" t="str">
        <f t="shared" si="5"/>
        <v>극상</v>
      </c>
      <c r="G197" s="63" t="s">
        <v>40</v>
      </c>
      <c r="H197" s="63" t="s">
        <v>41</v>
      </c>
      <c r="I197" s="34" t="s">
        <v>2266</v>
      </c>
      <c r="J197" s="33"/>
      <c r="K197" s="35"/>
      <c r="L197" s="33"/>
      <c r="M197" s="36"/>
      <c r="N197" s="33"/>
      <c r="O197" s="36"/>
      <c r="P197" s="33"/>
      <c r="Q197" s="37"/>
      <c r="R197" s="38"/>
      <c r="S197" s="33"/>
      <c r="T197" s="38"/>
      <c r="U197" s="33"/>
      <c r="V197" s="39"/>
      <c r="W197" s="90" t="b">
        <v>0</v>
      </c>
      <c r="X197" s="90" t="b">
        <v>0</v>
      </c>
      <c r="Y197" s="90" t="b">
        <v>0</v>
      </c>
      <c r="Z197" s="40" t="s">
        <v>2997</v>
      </c>
      <c r="AA197" s="41"/>
      <c r="AK197" s="16"/>
      <c r="AL197" s="16"/>
      <c r="AM197" s="16"/>
      <c r="AN197" s="16"/>
      <c r="AO197" s="16"/>
      <c r="AP197" s="16"/>
      <c r="AQ197" s="16"/>
      <c r="AR197" s="16"/>
      <c r="AS197" s="16"/>
    </row>
    <row r="198" spans="1:45" s="7" customFormat="1" ht="195" customHeight="1">
      <c r="A198" s="27">
        <f>[1]트램표준체크리스트!A196</f>
        <v>194</v>
      </c>
      <c r="B198" s="28" t="str">
        <f>[1]트램표준체크리스트!B196</f>
        <v>차량기지</v>
      </c>
      <c r="C198" s="29" t="str">
        <f>[1]트램표준체크리스트!C196</f>
        <v>부지 및 토공계획</v>
      </c>
      <c r="D198" s="30" t="str">
        <f>[1]트램표준체크리스트!F196</f>
        <v>입출고선의 과도한 성토고 계획으로 인근 주거지역 조망권 침해 및 소음·진동 환경 민원이 발생해 사업이 지연될 리스크를 검토하였는가?</v>
      </c>
      <c r="E198" s="31" t="s">
        <v>2267</v>
      </c>
      <c r="F198" s="32" t="str">
        <f>_xlfn.LET(
    _xlpm.v_발생, IF(ISNUMBER(SEARCH("빈번", G198)), "상",
               IF(ISNUMBER(SEARCH("거의", G198)), "하", "중")),
    _xlpm.v_영향, IF(ISNUMBER(SEARCH("1개월", H198)), "상",
               IF(ISNUMBER(SEARCH("없음", H198)), "하", "중")),
    IF(AND(_xlpm.v_발생="상", _xlpm.v_영향="상"), "극상",
    IF(OR(_xlpm.v_발생="상", _xlpm.v_영향="상"), "상",
    IF(AND(_xlpm.v_발생="하", _xlpm.v_영향="하"), "하",
    "중")))
)</f>
        <v>극상</v>
      </c>
      <c r="G198" s="63" t="s">
        <v>40</v>
      </c>
      <c r="H198" s="63" t="s">
        <v>41</v>
      </c>
      <c r="I198" s="34" t="s">
        <v>2268</v>
      </c>
      <c r="J198" s="33"/>
      <c r="K198" s="35"/>
      <c r="L198" s="33"/>
      <c r="M198" s="36"/>
      <c r="N198" s="33"/>
      <c r="O198" s="36"/>
      <c r="P198" s="33"/>
      <c r="Q198" s="37"/>
      <c r="R198" s="38"/>
      <c r="S198" s="33"/>
      <c r="T198" s="38"/>
      <c r="U198" s="33"/>
      <c r="V198" s="39"/>
      <c r="W198" s="90" t="b">
        <v>0</v>
      </c>
      <c r="X198" s="90" t="b">
        <v>0</v>
      </c>
      <c r="Y198" s="90" t="b">
        <v>0</v>
      </c>
      <c r="Z198" s="40" t="s">
        <v>2998</v>
      </c>
      <c r="AA198" s="41"/>
      <c r="AK198" s="16"/>
      <c r="AL198" s="16"/>
      <c r="AM198" s="16"/>
      <c r="AN198" s="16"/>
      <c r="AO198" s="16"/>
      <c r="AP198" s="16"/>
      <c r="AQ198" s="16"/>
      <c r="AR198" s="16"/>
      <c r="AS198" s="16"/>
    </row>
    <row r="199" spans="1:45" s="7" customFormat="1" ht="195" customHeight="1">
      <c r="A199" s="27">
        <f>[1]트램표준체크리스트!A197</f>
        <v>195</v>
      </c>
      <c r="B199" s="28" t="str">
        <f>[1]트램표준체크리스트!B197</f>
        <v>차량기지</v>
      </c>
      <c r="C199" s="29" t="str">
        <f>[1]트램표준체크리스트!C197</f>
        <v>사면안정 및 부지계획</v>
      </c>
      <c r="D199" s="30" t="str">
        <f>[1]트램표준체크리스트!F197</f>
        <v>지질 특성을 무시한 과도한 절·성토 설계로 우기 사면 붕괴 및 과다 용지 편입에 따른 사업비 급증 리스크를 검토하였는가?</v>
      </c>
      <c r="E199" s="31" t="s">
        <v>2269</v>
      </c>
      <c r="F199" s="32" t="str">
        <f t="shared" ref="F199:F230" si="6">_xlfn.LET(
_xlpm.v_발생, IF(ISNUMBER(SEARCH("빈번", G199)), "상",
IF(ISNUMBER(SEARCH("거의", G199)), "하", "중")),
_xlpm.v_영향, IF(ISNUMBER(SEARCH("1개월", H199)), "상",
IF(ISNUMBER(SEARCH("없음", H199)), "하", "중")),
IF(AND(_xlpm.v_발생="상", _xlpm.v_영향="상"), "극상",
IF(OR(_xlpm.v_발생="상", _xlpm.v_영향="상"), "상",
IF(AND(_xlpm.v_발생="하", _xlpm.v_영향="하"), "하",
"중")))
)</f>
        <v>극상</v>
      </c>
      <c r="G199" s="63" t="s">
        <v>40</v>
      </c>
      <c r="H199" s="63" t="s">
        <v>41</v>
      </c>
      <c r="I199" s="34" t="s">
        <v>2270</v>
      </c>
      <c r="J199" s="33"/>
      <c r="K199" s="35"/>
      <c r="L199" s="33"/>
      <c r="M199" s="36"/>
      <c r="N199" s="33"/>
      <c r="O199" s="36"/>
      <c r="P199" s="33"/>
      <c r="Q199" s="37"/>
      <c r="R199" s="38"/>
      <c r="S199" s="33"/>
      <c r="T199" s="38"/>
      <c r="U199" s="33"/>
      <c r="V199" s="39"/>
      <c r="W199" s="90" t="b">
        <v>0</v>
      </c>
      <c r="X199" s="90" t="b">
        <v>0</v>
      </c>
      <c r="Y199" s="90" t="b">
        <v>0</v>
      </c>
      <c r="Z199" s="40" t="s">
        <v>2999</v>
      </c>
      <c r="AA199" s="41"/>
      <c r="AK199" s="16"/>
      <c r="AL199" s="16"/>
      <c r="AM199" s="16"/>
      <c r="AN199" s="16"/>
      <c r="AO199" s="16"/>
      <c r="AP199" s="16"/>
      <c r="AQ199" s="16"/>
      <c r="AR199" s="16"/>
      <c r="AS199" s="16"/>
    </row>
    <row r="200" spans="1:45" s="7" customFormat="1" ht="195" customHeight="1">
      <c r="A200" s="27">
        <f>[1]트램표준체크리스트!A198</f>
        <v>196</v>
      </c>
      <c r="B200" s="28" t="str">
        <f>[1]트램표준체크리스트!B198</f>
        <v>차량기지</v>
      </c>
      <c r="C200" s="29" t="str">
        <f>[1]트램표준체크리스트!C198</f>
        <v>선로 종단부 안전 계획</v>
      </c>
      <c r="D200" s="30" t="str">
        <f>[1]트램표준체크리스트!F198</f>
        <v>차막이 설계 누락 및 완충 연장 부족으로 제동 고장 시 트램이 검수고 벽면 등 건축물과 충돌할 리스크를 검토하였는가?</v>
      </c>
      <c r="E200" s="31" t="s">
        <v>2271</v>
      </c>
      <c r="F200" s="32" t="str">
        <f t="shared" si="6"/>
        <v>극상</v>
      </c>
      <c r="G200" s="63" t="s">
        <v>40</v>
      </c>
      <c r="H200" s="63" t="s">
        <v>41</v>
      </c>
      <c r="I200" s="34" t="s">
        <v>2272</v>
      </c>
      <c r="J200" s="33"/>
      <c r="K200" s="35"/>
      <c r="L200" s="33"/>
      <c r="M200" s="36"/>
      <c r="N200" s="33"/>
      <c r="O200" s="36"/>
      <c r="P200" s="33"/>
      <c r="Q200" s="37"/>
      <c r="R200" s="38"/>
      <c r="S200" s="33"/>
      <c r="T200" s="38"/>
      <c r="U200" s="33"/>
      <c r="V200" s="39"/>
      <c r="W200" s="90" t="b">
        <v>0</v>
      </c>
      <c r="X200" s="90" t="b">
        <v>0</v>
      </c>
      <c r="Y200" s="90" t="b">
        <v>0</v>
      </c>
      <c r="Z200" s="40" t="s">
        <v>3000</v>
      </c>
      <c r="AA200" s="41"/>
      <c r="AK200" s="16"/>
      <c r="AL200" s="16"/>
      <c r="AM200" s="16"/>
      <c r="AN200" s="16"/>
      <c r="AO200" s="16"/>
      <c r="AP200" s="16"/>
      <c r="AQ200" s="16"/>
      <c r="AR200" s="16"/>
      <c r="AS200" s="16"/>
    </row>
    <row r="201" spans="1:45" s="7" customFormat="1" ht="195" customHeight="1">
      <c r="A201" s="27">
        <f>[1]트램표준체크리스트!A199</f>
        <v>197</v>
      </c>
      <c r="B201" s="28" t="str">
        <f>[1]트램표준체크리스트!B199</f>
        <v>차량기지</v>
      </c>
      <c r="C201" s="29" t="str">
        <f>[1]트램표준체크리스트!C199</f>
        <v>세척 및 폐수처리 설비</v>
      </c>
      <c r="D201" s="30" t="str">
        <f>[1]트램표준체크리스트!F199</f>
        <v>제어반 옥외 노출에 따른 동파 고장 및 폐수처리장 이격으로 세척수가 기지 외부로 유출될 리스크를 검토하였는가?</v>
      </c>
      <c r="E201" s="31" t="s">
        <v>2274</v>
      </c>
      <c r="F201" s="32" t="str">
        <f t="shared" si="6"/>
        <v>극상</v>
      </c>
      <c r="G201" s="63" t="s">
        <v>40</v>
      </c>
      <c r="H201" s="63" t="s">
        <v>41</v>
      </c>
      <c r="I201" s="34" t="s">
        <v>2275</v>
      </c>
      <c r="J201" s="33"/>
      <c r="K201" s="35"/>
      <c r="L201" s="33"/>
      <c r="M201" s="36"/>
      <c r="N201" s="33"/>
      <c r="O201" s="36"/>
      <c r="P201" s="33"/>
      <c r="Q201" s="37"/>
      <c r="R201" s="38"/>
      <c r="S201" s="33"/>
      <c r="T201" s="38"/>
      <c r="U201" s="33"/>
      <c r="V201" s="39"/>
      <c r="W201" s="90" t="b">
        <v>0</v>
      </c>
      <c r="X201" s="90" t="b">
        <v>0</v>
      </c>
      <c r="Y201" s="90" t="b">
        <v>0</v>
      </c>
      <c r="Z201" s="40" t="s">
        <v>3001</v>
      </c>
      <c r="AA201" s="41"/>
      <c r="AK201" s="16"/>
      <c r="AL201" s="16"/>
      <c r="AM201" s="16"/>
      <c r="AN201" s="16"/>
      <c r="AO201" s="16"/>
      <c r="AP201" s="16"/>
      <c r="AQ201" s="16"/>
      <c r="AR201" s="16"/>
      <c r="AS201" s="16"/>
    </row>
    <row r="202" spans="1:45" s="7" customFormat="1" ht="195" customHeight="1">
      <c r="A202" s="27">
        <f>[1]트램표준체크리스트!A200</f>
        <v>198</v>
      </c>
      <c r="B202" s="28" t="str">
        <f>[1]트램표준체크리스트!B200</f>
        <v>차량기지</v>
      </c>
      <c r="C202" s="29" t="str">
        <f>[1]트램표준체크리스트!C200</f>
        <v>세척 및 폐수처리 설비</v>
      </c>
      <c r="D202" s="30" t="str">
        <f>[1]트램표준체크리스트!F200</f>
        <v>누유 세정기 구체 고려 설비 천장고 수정 필요 리스크를 검토하였는가?</v>
      </c>
      <c r="E202" s="31" t="s">
        <v>3002</v>
      </c>
      <c r="F202" s="32" t="str">
        <f t="shared" si="6"/>
        <v>극상</v>
      </c>
      <c r="G202" s="63" t="s">
        <v>40</v>
      </c>
      <c r="H202" s="63" t="s">
        <v>41</v>
      </c>
      <c r="I202" s="34" t="s">
        <v>3003</v>
      </c>
      <c r="J202" s="33"/>
      <c r="K202" s="35"/>
      <c r="L202" s="33"/>
      <c r="M202" s="36"/>
      <c r="N202" s="33"/>
      <c r="O202" s="36"/>
      <c r="P202" s="33"/>
      <c r="Q202" s="37"/>
      <c r="R202" s="38"/>
      <c r="S202" s="33"/>
      <c r="T202" s="38"/>
      <c r="U202" s="33"/>
      <c r="V202" s="39"/>
      <c r="W202" s="90" t="b">
        <v>0</v>
      </c>
      <c r="X202" s="90" t="b">
        <v>0</v>
      </c>
      <c r="Y202" s="90" t="b">
        <v>0</v>
      </c>
      <c r="Z202" s="40" t="s">
        <v>3004</v>
      </c>
      <c r="AA202" s="41"/>
      <c r="AK202" s="16"/>
      <c r="AL202" s="16"/>
      <c r="AM202" s="16"/>
      <c r="AN202" s="16"/>
      <c r="AO202" s="16"/>
      <c r="AP202" s="16"/>
      <c r="AQ202" s="16"/>
      <c r="AR202" s="16"/>
      <c r="AS202" s="16"/>
    </row>
    <row r="203" spans="1:45" s="7" customFormat="1" ht="195" customHeight="1">
      <c r="A203" s="27">
        <f>[1]트램표준체크리스트!A201</f>
        <v>199</v>
      </c>
      <c r="B203" s="28" t="str">
        <f>[1]트램표준체크리스트!B201</f>
        <v>차량기지</v>
      </c>
      <c r="C203" s="29" t="str">
        <f>[1]트램표준체크리스트!C201</f>
        <v>세척 및 폐수처리 설비</v>
      </c>
      <c r="D203" s="30" t="str">
        <f>[1]트램표준체크리스트!F201</f>
        <v>윈치 세척선은 대형소선 인근 설치 필요 리스크를 검토하였는가?</v>
      </c>
      <c r="E203" s="31" t="s">
        <v>3005</v>
      </c>
      <c r="F203" s="32" t="str">
        <f t="shared" si="6"/>
        <v>극상</v>
      </c>
      <c r="G203" s="63" t="s">
        <v>40</v>
      </c>
      <c r="H203" s="63" t="s">
        <v>41</v>
      </c>
      <c r="I203" s="34" t="s">
        <v>3006</v>
      </c>
      <c r="J203" s="33"/>
      <c r="K203" s="35"/>
      <c r="L203" s="33"/>
      <c r="M203" s="36"/>
      <c r="N203" s="33"/>
      <c r="O203" s="36"/>
      <c r="P203" s="33"/>
      <c r="Q203" s="37"/>
      <c r="R203" s="38"/>
      <c r="S203" s="33"/>
      <c r="T203" s="38"/>
      <c r="U203" s="33"/>
      <c r="V203" s="39"/>
      <c r="W203" s="90" t="b">
        <v>0</v>
      </c>
      <c r="X203" s="90" t="b">
        <v>0</v>
      </c>
      <c r="Y203" s="90" t="b">
        <v>0</v>
      </c>
      <c r="Z203" s="40" t="s">
        <v>3007</v>
      </c>
      <c r="AA203" s="41"/>
      <c r="AK203" s="16"/>
      <c r="AL203" s="16"/>
      <c r="AM203" s="16"/>
      <c r="AN203" s="16"/>
      <c r="AO203" s="16"/>
      <c r="AP203" s="16"/>
      <c r="AQ203" s="16"/>
      <c r="AR203" s="16"/>
      <c r="AS203" s="16"/>
    </row>
    <row r="204" spans="1:45" s="7" customFormat="1" ht="195" customHeight="1">
      <c r="A204" s="27">
        <f>[1]트램표준체크리스트!A202</f>
        <v>200</v>
      </c>
      <c r="B204" s="28" t="str">
        <f>[1]트램표준체크리스트!B202</f>
        <v>차량기지</v>
      </c>
      <c r="C204" s="29" t="str">
        <f>[1]트램표준체크리스트!C202</f>
        <v>세척 및 폐수처리 설비</v>
      </c>
      <c r="D204" s="30" t="str">
        <f>[1]트램표준체크리스트!F202</f>
        <v>입출고선 차체 세척기 설치 공간 확보 필요 리스크를 검토하였는가?</v>
      </c>
      <c r="E204" s="31" t="s">
        <v>3008</v>
      </c>
      <c r="F204" s="32" t="str">
        <f t="shared" si="6"/>
        <v>극상</v>
      </c>
      <c r="G204" s="63" t="s">
        <v>40</v>
      </c>
      <c r="H204" s="63" t="s">
        <v>41</v>
      </c>
      <c r="I204" s="34" t="s">
        <v>3009</v>
      </c>
      <c r="J204" s="33"/>
      <c r="K204" s="35"/>
      <c r="L204" s="33"/>
      <c r="M204" s="36"/>
      <c r="N204" s="33"/>
      <c r="O204" s="36"/>
      <c r="P204" s="33"/>
      <c r="Q204" s="37"/>
      <c r="R204" s="38"/>
      <c r="S204" s="33"/>
      <c r="T204" s="38"/>
      <c r="U204" s="33"/>
      <c r="V204" s="39"/>
      <c r="W204" s="90" t="b">
        <v>0</v>
      </c>
      <c r="X204" s="90" t="b">
        <v>0</v>
      </c>
      <c r="Y204" s="90" t="b">
        <v>0</v>
      </c>
      <c r="Z204" s="40" t="s">
        <v>3010</v>
      </c>
      <c r="AA204" s="41"/>
      <c r="AK204" s="16"/>
      <c r="AL204" s="16"/>
      <c r="AM204" s="16"/>
      <c r="AN204" s="16"/>
      <c r="AO204" s="16"/>
      <c r="AP204" s="16"/>
      <c r="AQ204" s="16"/>
      <c r="AR204" s="16"/>
      <c r="AS204" s="16"/>
    </row>
    <row r="205" spans="1:45" s="7" customFormat="1" ht="195" customHeight="1">
      <c r="A205" s="27">
        <f>[1]트램표준체크리스트!A203</f>
        <v>201</v>
      </c>
      <c r="B205" s="28" t="str">
        <f>[1]트램표준체크리스트!B203</f>
        <v>차량기지</v>
      </c>
      <c r="C205" s="29" t="str">
        <f>[1]트램표준체크리스트!C203</f>
        <v>세척선 및 옥외세척고 계획</v>
      </c>
      <c r="D205" s="30" t="str">
        <f>[1]트램표준체크리스트!F203</f>
        <v>제어반 및 펌프류가 옥외 노출되어 동절기 동파 및 기기 누전으로 세척 공정이 전면 마비될 리스크를 검토하였는가?</v>
      </c>
      <c r="E205" s="31" t="s">
        <v>2280</v>
      </c>
      <c r="F205" s="32" t="str">
        <f t="shared" si="6"/>
        <v>극상</v>
      </c>
      <c r="G205" s="63" t="s">
        <v>40</v>
      </c>
      <c r="H205" s="63" t="s">
        <v>41</v>
      </c>
      <c r="I205" s="34" t="s">
        <v>2281</v>
      </c>
      <c r="J205" s="33"/>
      <c r="K205" s="35"/>
      <c r="L205" s="33"/>
      <c r="M205" s="36"/>
      <c r="N205" s="33"/>
      <c r="O205" s="36"/>
      <c r="P205" s="33"/>
      <c r="Q205" s="37"/>
      <c r="R205" s="38"/>
      <c r="S205" s="33"/>
      <c r="T205" s="38"/>
      <c r="U205" s="33"/>
      <c r="V205" s="39"/>
      <c r="W205" s="90" t="b">
        <v>0</v>
      </c>
      <c r="X205" s="90" t="b">
        <v>0</v>
      </c>
      <c r="Y205" s="90" t="b">
        <v>0</v>
      </c>
      <c r="Z205" s="40" t="s">
        <v>3011</v>
      </c>
      <c r="AA205" s="41"/>
      <c r="AK205" s="16"/>
      <c r="AL205" s="16"/>
      <c r="AM205" s="16"/>
      <c r="AN205" s="16"/>
      <c r="AO205" s="16"/>
      <c r="AP205" s="16"/>
      <c r="AQ205" s="16"/>
      <c r="AR205" s="16"/>
      <c r="AS205" s="16"/>
    </row>
    <row r="206" spans="1:45" s="7" customFormat="1" ht="195" customHeight="1">
      <c r="A206" s="27">
        <f>[1]트램표준체크리스트!A204</f>
        <v>202</v>
      </c>
      <c r="B206" s="28" t="str">
        <f>[1]트램표준체크리스트!B204</f>
        <v>차량기지</v>
      </c>
      <c r="C206" s="29" t="str">
        <f>[1]트램표준체크리스트!C204</f>
        <v>세척선 및 폐수처리 연계 계획</v>
      </c>
      <c r="D206" s="30" t="str">
        <f>[1]트램표준체크리스트!F204</f>
        <v>폐수 집수정 및 직결 관로 누락으로 세척 폐수가 하수구로 방류되어 수질오염 행정 처분을 받을 리스크를 검토하였는가?</v>
      </c>
      <c r="E206" s="31" t="s">
        <v>2282</v>
      </c>
      <c r="F206" s="32" t="str">
        <f t="shared" si="6"/>
        <v>극상</v>
      </c>
      <c r="G206" s="63" t="s">
        <v>40</v>
      </c>
      <c r="H206" s="63" t="s">
        <v>41</v>
      </c>
      <c r="I206" s="34" t="s">
        <v>2283</v>
      </c>
      <c r="J206" s="33"/>
      <c r="K206" s="35"/>
      <c r="L206" s="33"/>
      <c r="M206" s="36"/>
      <c r="N206" s="33"/>
      <c r="O206" s="36"/>
      <c r="P206" s="33"/>
      <c r="Q206" s="37"/>
      <c r="R206" s="38"/>
      <c r="S206" s="33"/>
      <c r="T206" s="38"/>
      <c r="U206" s="33"/>
      <c r="V206" s="39"/>
      <c r="W206" s="90" t="b">
        <v>0</v>
      </c>
      <c r="X206" s="90" t="b">
        <v>0</v>
      </c>
      <c r="Y206" s="90" t="b">
        <v>0</v>
      </c>
      <c r="Z206" s="40" t="s">
        <v>3012</v>
      </c>
      <c r="AA206" s="41"/>
      <c r="AK206" s="16"/>
      <c r="AL206" s="16"/>
      <c r="AM206" s="16"/>
      <c r="AN206" s="16"/>
      <c r="AO206" s="16"/>
      <c r="AP206" s="16"/>
      <c r="AQ206" s="16"/>
      <c r="AR206" s="16"/>
      <c r="AS206" s="16"/>
    </row>
    <row r="207" spans="1:45" s="7" customFormat="1" ht="195" customHeight="1">
      <c r="A207" s="27">
        <f>[1]트램표준체크리스트!A205</f>
        <v>203</v>
      </c>
      <c r="B207" s="28" t="str">
        <f>[1]트램표준체크리스트!B205</f>
        <v>차량기지</v>
      </c>
      <c r="C207" s="29" t="str">
        <f>[1]트램표준체크리스트!C205</f>
        <v>소방 및 제연설비</v>
      </c>
      <c r="D207" s="30" t="str">
        <f>[1]트램표준체크리스트!F205</f>
        <v>화재 시나리오별 제연설비 용량 부족 및 연결송수구 누락으로, 트램 화재 시 유독가스 배출 불가 및 초기 진압 실패로 이어질 리스크를 검토하였는가?</v>
      </c>
      <c r="E207" s="31" t="s">
        <v>2284</v>
      </c>
      <c r="F207" s="32" t="str">
        <f t="shared" si="6"/>
        <v>극상</v>
      </c>
      <c r="G207" s="63" t="s">
        <v>40</v>
      </c>
      <c r="H207" s="63" t="s">
        <v>41</v>
      </c>
      <c r="I207" s="34" t="s">
        <v>2285</v>
      </c>
      <c r="J207" s="33"/>
      <c r="K207" s="35"/>
      <c r="L207" s="33"/>
      <c r="M207" s="36"/>
      <c r="N207" s="33"/>
      <c r="O207" s="36"/>
      <c r="P207" s="33"/>
      <c r="Q207" s="37"/>
      <c r="R207" s="38"/>
      <c r="S207" s="33"/>
      <c r="T207" s="38"/>
      <c r="U207" s="33"/>
      <c r="V207" s="39"/>
      <c r="W207" s="90" t="b">
        <v>0</v>
      </c>
      <c r="X207" s="90" t="b">
        <v>0</v>
      </c>
      <c r="Y207" s="90" t="b">
        <v>0</v>
      </c>
      <c r="Z207" s="40" t="s">
        <v>3013</v>
      </c>
      <c r="AA207" s="41"/>
      <c r="AK207" s="16"/>
      <c r="AL207" s="16"/>
      <c r="AM207" s="16"/>
      <c r="AN207" s="16"/>
      <c r="AO207" s="16"/>
      <c r="AP207" s="16"/>
      <c r="AQ207" s="16"/>
      <c r="AR207" s="16"/>
      <c r="AS207" s="16"/>
    </row>
    <row r="208" spans="1:45" s="7" customFormat="1" ht="195" customHeight="1">
      <c r="A208" s="27">
        <f>[1]트램표준체크리스트!A206</f>
        <v>204</v>
      </c>
      <c r="B208" s="28" t="str">
        <f>[1]트램표준체크리스트!B206</f>
        <v>차량기지</v>
      </c>
      <c r="C208" s="29" t="str">
        <f>[1]트램표준체크리스트!C206</f>
        <v>수자원 및 배수설비</v>
      </c>
      <c r="D208" s="30" t="str">
        <f>[1]트램표준체크리스트!F206</f>
        <v>배출수가 지자체 하수관로 허용 용량을 초과하는지에 대한 수리검토 누락으로, 집중호우 시 주변 도로 및 하수도가 범람할 리스크를 검토하였는가?</v>
      </c>
      <c r="E208" s="31" t="s">
        <v>2286</v>
      </c>
      <c r="F208" s="32" t="str">
        <f t="shared" si="6"/>
        <v>극상</v>
      </c>
      <c r="G208" s="63" t="s">
        <v>40</v>
      </c>
      <c r="H208" s="63" t="s">
        <v>41</v>
      </c>
      <c r="I208" s="34" t="s">
        <v>2287</v>
      </c>
      <c r="J208" s="33"/>
      <c r="K208" s="35"/>
      <c r="L208" s="33"/>
      <c r="M208" s="36"/>
      <c r="N208" s="33"/>
      <c r="O208" s="36"/>
      <c r="P208" s="33"/>
      <c r="Q208" s="37"/>
      <c r="R208" s="38"/>
      <c r="S208" s="33"/>
      <c r="T208" s="38"/>
      <c r="U208" s="33"/>
      <c r="V208" s="39"/>
      <c r="W208" s="90" t="b">
        <v>0</v>
      </c>
      <c r="X208" s="90" t="b">
        <v>0</v>
      </c>
      <c r="Y208" s="90" t="b">
        <v>0</v>
      </c>
      <c r="Z208" s="40" t="s">
        <v>3014</v>
      </c>
      <c r="AA208" s="41"/>
      <c r="AK208" s="16"/>
      <c r="AL208" s="16"/>
      <c r="AM208" s="16"/>
      <c r="AN208" s="16"/>
      <c r="AO208" s="16"/>
      <c r="AP208" s="16"/>
      <c r="AQ208" s="16"/>
      <c r="AR208" s="16"/>
      <c r="AS208" s="16"/>
    </row>
    <row r="209" spans="1:45" s="7" customFormat="1" ht="195" customHeight="1">
      <c r="A209" s="27">
        <f>[1]트램표준체크리스트!A207</f>
        <v>205</v>
      </c>
      <c r="B209" s="28" t="str">
        <f>[1]트램표준체크리스트!B207</f>
        <v>차량기지</v>
      </c>
      <c r="C209" s="29" t="str">
        <f>[1]트램표준체크리스트!C207</f>
        <v>시설배치 및 구조계획</v>
      </c>
      <c r="D209" s="30" t="str">
        <f>[1]트램표준체크리스트!F207</f>
        <v>초기 규모에 맞춘 폐쇄적 설계로 향후 이용수요 폭증 시 유치선 및 검수고 확장이 불가능해질 리스크를 검토하였는가?</v>
      </c>
      <c r="E209" s="31" t="s">
        <v>2288</v>
      </c>
      <c r="F209" s="32" t="str">
        <f t="shared" si="6"/>
        <v>극상</v>
      </c>
      <c r="G209" s="63" t="s">
        <v>40</v>
      </c>
      <c r="H209" s="63" t="s">
        <v>41</v>
      </c>
      <c r="I209" s="34" t="s">
        <v>2289</v>
      </c>
      <c r="J209" s="33"/>
      <c r="K209" s="35"/>
      <c r="L209" s="33"/>
      <c r="M209" s="36"/>
      <c r="N209" s="33"/>
      <c r="O209" s="36"/>
      <c r="P209" s="33"/>
      <c r="Q209" s="37"/>
      <c r="R209" s="38"/>
      <c r="S209" s="33"/>
      <c r="T209" s="38"/>
      <c r="U209" s="33"/>
      <c r="V209" s="39"/>
      <c r="W209" s="90" t="b">
        <v>0</v>
      </c>
      <c r="X209" s="90" t="b">
        <v>0</v>
      </c>
      <c r="Y209" s="90" t="b">
        <v>0</v>
      </c>
      <c r="Z209" s="40" t="s">
        <v>3015</v>
      </c>
      <c r="AA209" s="41"/>
      <c r="AK209" s="16"/>
      <c r="AL209" s="16"/>
      <c r="AM209" s="16"/>
      <c r="AN209" s="16"/>
      <c r="AO209" s="16"/>
      <c r="AP209" s="16"/>
      <c r="AQ209" s="16"/>
      <c r="AR209" s="16"/>
      <c r="AS209" s="16"/>
    </row>
    <row r="210" spans="1:45" s="7" customFormat="1" ht="195" customHeight="1">
      <c r="A210" s="27">
        <f>[1]트램표준체크리스트!A208</f>
        <v>206</v>
      </c>
      <c r="B210" s="28" t="str">
        <f>[1]트램표준체크리스트!B208</f>
        <v>차량기지</v>
      </c>
      <c r="C210" s="29" t="str">
        <f>[1]트램표준체크리스트!C208</f>
        <v>시스템 기능실</v>
      </c>
      <c r="D210" s="30" t="str">
        <f>[1]트램표준체크리스트!F208</f>
        <v>신호/통신실 위치 부적절로 케이블 전송 손실이 증가하거나, 항온항습기 및 가스계 소화설비 누락으로 정밀 전자장비가 소손될 리스크를 검토하였는가?</v>
      </c>
      <c r="E210" s="31" t="s">
        <v>2291</v>
      </c>
      <c r="F210" s="32" t="str">
        <f t="shared" si="6"/>
        <v>극상</v>
      </c>
      <c r="G210" s="63" t="s">
        <v>40</v>
      </c>
      <c r="H210" s="63" t="s">
        <v>41</v>
      </c>
      <c r="I210" s="34" t="s">
        <v>2292</v>
      </c>
      <c r="J210" s="33"/>
      <c r="K210" s="35"/>
      <c r="L210" s="33"/>
      <c r="M210" s="36"/>
      <c r="N210" s="33"/>
      <c r="O210" s="36"/>
      <c r="P210" s="33"/>
      <c r="Q210" s="37"/>
      <c r="R210" s="38"/>
      <c r="S210" s="33"/>
      <c r="T210" s="38"/>
      <c r="U210" s="33"/>
      <c r="V210" s="39"/>
      <c r="W210" s="90" t="b">
        <v>0</v>
      </c>
      <c r="X210" s="90" t="b">
        <v>0</v>
      </c>
      <c r="Y210" s="90" t="b">
        <v>0</v>
      </c>
      <c r="Z210" s="40" t="s">
        <v>3016</v>
      </c>
      <c r="AA210" s="41"/>
      <c r="AK210" s="16"/>
      <c r="AL210" s="16"/>
      <c r="AM210" s="16"/>
      <c r="AN210" s="16"/>
      <c r="AO210" s="16"/>
      <c r="AP210" s="16"/>
      <c r="AQ210" s="16"/>
      <c r="AR210" s="16"/>
      <c r="AS210" s="16"/>
    </row>
    <row r="211" spans="1:45" s="7" customFormat="1" ht="195" customHeight="1">
      <c r="A211" s="27">
        <f>[1]트램표준체크리스트!A209</f>
        <v>207</v>
      </c>
      <c r="B211" s="28" t="str">
        <f>[1]트램표준체크리스트!B209</f>
        <v>차량기지</v>
      </c>
      <c r="C211" s="29" t="str">
        <f>[1]트램표준체크리스트!C209</f>
        <v>시스템 기능실</v>
      </c>
      <c r="D211" s="30" t="str">
        <f>[1]트램표준체크리스트!F209</f>
        <v>트램 제작 경험 없는 제작사 차량 및 신규 개발 시스템 운영 부담 높음, 오류도출 국가 R&amp;D 실증사업 중단 후 운영 실증 부재 리스크를 검토하였는가?</v>
      </c>
      <c r="E211" s="31" t="s">
        <v>3017</v>
      </c>
      <c r="F211" s="32" t="str">
        <f t="shared" si="6"/>
        <v>극상</v>
      </c>
      <c r="G211" s="63" t="s">
        <v>40</v>
      </c>
      <c r="H211" s="63" t="s">
        <v>41</v>
      </c>
      <c r="I211" s="34" t="s">
        <v>3018</v>
      </c>
      <c r="J211" s="33"/>
      <c r="K211" s="35"/>
      <c r="L211" s="33"/>
      <c r="M211" s="36"/>
      <c r="N211" s="33"/>
      <c r="O211" s="36"/>
      <c r="P211" s="33"/>
      <c r="Q211" s="37"/>
      <c r="R211" s="38"/>
      <c r="S211" s="33"/>
      <c r="T211" s="38"/>
      <c r="U211" s="33"/>
      <c r="V211" s="39"/>
      <c r="W211" s="90" t="b">
        <v>0</v>
      </c>
      <c r="X211" s="90" t="b">
        <v>0</v>
      </c>
      <c r="Y211" s="90" t="b">
        <v>0</v>
      </c>
      <c r="Z211" s="40" t="s">
        <v>3019</v>
      </c>
      <c r="AA211" s="41"/>
      <c r="AK211" s="16"/>
      <c r="AL211" s="16"/>
      <c r="AM211" s="16"/>
      <c r="AN211" s="16"/>
      <c r="AO211" s="16"/>
      <c r="AP211" s="16"/>
      <c r="AQ211" s="16"/>
      <c r="AR211" s="16"/>
      <c r="AS211" s="16"/>
    </row>
    <row r="212" spans="1:45" s="7" customFormat="1" ht="195" customHeight="1">
      <c r="A212" s="27">
        <f>[1]트램표준체크리스트!A210</f>
        <v>208</v>
      </c>
      <c r="B212" s="28" t="str">
        <f>[1]트램표준체크리스트!B210</f>
        <v>차량기지</v>
      </c>
      <c r="C212" s="29" t="str">
        <f>[1]트램표준체크리스트!C210</f>
        <v>시스템 기능실</v>
      </c>
      <c r="D212" s="30" t="str">
        <f>[1]트램표준체크리스트!F210</f>
        <v>차량 배터리 절약에 대한 별도 시스템 및 설계 필요 리스크를 검토하였는가?</v>
      </c>
      <c r="E212" s="31" t="s">
        <v>3020</v>
      </c>
      <c r="F212" s="32" t="str">
        <f t="shared" si="6"/>
        <v>극상</v>
      </c>
      <c r="G212" s="63" t="s">
        <v>40</v>
      </c>
      <c r="H212" s="63" t="s">
        <v>41</v>
      </c>
      <c r="I212" s="34" t="s">
        <v>3021</v>
      </c>
      <c r="J212" s="33"/>
      <c r="K212" s="35"/>
      <c r="L212" s="33"/>
      <c r="M212" s="36"/>
      <c r="N212" s="33"/>
      <c r="O212" s="36"/>
      <c r="P212" s="33"/>
      <c r="Q212" s="37"/>
      <c r="R212" s="38"/>
      <c r="S212" s="33"/>
      <c r="T212" s="38"/>
      <c r="U212" s="33"/>
      <c r="V212" s="39"/>
      <c r="W212" s="90" t="b">
        <v>0</v>
      </c>
      <c r="X212" s="90" t="b">
        <v>0</v>
      </c>
      <c r="Y212" s="90" t="b">
        <v>0</v>
      </c>
      <c r="Z212" s="40" t="s">
        <v>3022</v>
      </c>
      <c r="AA212" s="41"/>
      <c r="AK212" s="16"/>
      <c r="AL212" s="16"/>
      <c r="AM212" s="16"/>
      <c r="AN212" s="16"/>
      <c r="AO212" s="16"/>
      <c r="AP212" s="16"/>
      <c r="AQ212" s="16"/>
      <c r="AR212" s="16"/>
      <c r="AS212" s="16"/>
    </row>
    <row r="213" spans="1:45" s="7" customFormat="1" ht="195" customHeight="1">
      <c r="A213" s="27">
        <f>[1]트램표준체크리스트!A211</f>
        <v>209</v>
      </c>
      <c r="B213" s="28" t="str">
        <f>[1]트램표준체크리스트!B211</f>
        <v>차량기지</v>
      </c>
      <c r="C213" s="29" t="str">
        <f>[1]트램표준체크리스트!C211</f>
        <v>시스템 기능실</v>
      </c>
      <c r="D213" s="30" t="str">
        <f>[1]트램표준체크리스트!F211</f>
        <v>자재창고는 검수고 기능실 인접 설치 필요 리스크를 검토하였는가?</v>
      </c>
      <c r="E213" s="31" t="s">
        <v>3023</v>
      </c>
      <c r="F213" s="32" t="str">
        <f t="shared" si="6"/>
        <v>극상</v>
      </c>
      <c r="G213" s="63" t="s">
        <v>40</v>
      </c>
      <c r="H213" s="63" t="s">
        <v>41</v>
      </c>
      <c r="I213" s="34" t="s">
        <v>3024</v>
      </c>
      <c r="J213" s="33"/>
      <c r="K213" s="35"/>
      <c r="L213" s="33"/>
      <c r="M213" s="36"/>
      <c r="N213" s="33"/>
      <c r="O213" s="36"/>
      <c r="P213" s="33"/>
      <c r="Q213" s="37"/>
      <c r="R213" s="38"/>
      <c r="S213" s="33"/>
      <c r="T213" s="38"/>
      <c r="U213" s="33"/>
      <c r="V213" s="39"/>
      <c r="W213" s="90" t="b">
        <v>0</v>
      </c>
      <c r="X213" s="90" t="b">
        <v>0</v>
      </c>
      <c r="Y213" s="90" t="b">
        <v>0</v>
      </c>
      <c r="Z213" s="40" t="s">
        <v>3025</v>
      </c>
      <c r="AA213" s="41"/>
      <c r="AK213" s="16"/>
      <c r="AL213" s="16"/>
      <c r="AM213" s="16"/>
      <c r="AN213" s="16"/>
      <c r="AO213" s="16"/>
      <c r="AP213" s="16"/>
      <c r="AQ213" s="16"/>
      <c r="AR213" s="16"/>
      <c r="AS213" s="16"/>
    </row>
    <row r="214" spans="1:45" s="7" customFormat="1" ht="195" customHeight="1">
      <c r="A214" s="27">
        <f>[1]트램표준체크리스트!A212</f>
        <v>210</v>
      </c>
      <c r="B214" s="28" t="str">
        <f>[1]트램표준체크리스트!B212</f>
        <v>차량기지</v>
      </c>
      <c r="C214" s="29" t="str">
        <f>[1]트램표준체크리스트!C212</f>
        <v>시스템 인터페이스 방재</v>
      </c>
      <c r="D214" s="30" t="str">
        <f>[1]트램표준체크리스트!F212</f>
        <v>오일집수정 및 차단 트렌치 누락·용량 부족으로 기름 유출 시 폐유가 외부로 무단 방류될 대형 환경 오염 리스크를 검토하였는가?</v>
      </c>
      <c r="E214" s="31" t="s">
        <v>2298</v>
      </c>
      <c r="F214" s="32" t="str">
        <f t="shared" si="6"/>
        <v>극상</v>
      </c>
      <c r="G214" s="63" t="s">
        <v>40</v>
      </c>
      <c r="H214" s="63" t="s">
        <v>41</v>
      </c>
      <c r="I214" s="34" t="s">
        <v>2299</v>
      </c>
      <c r="J214" s="33"/>
      <c r="K214" s="35"/>
      <c r="L214" s="33"/>
      <c r="M214" s="36"/>
      <c r="N214" s="33"/>
      <c r="O214" s="36"/>
      <c r="P214" s="33"/>
      <c r="Q214" s="37"/>
      <c r="R214" s="38"/>
      <c r="S214" s="33"/>
      <c r="T214" s="38"/>
      <c r="U214" s="33"/>
      <c r="V214" s="39"/>
      <c r="W214" s="90" t="b">
        <v>0</v>
      </c>
      <c r="X214" s="90" t="b">
        <v>0</v>
      </c>
      <c r="Y214" s="90" t="b">
        <v>0</v>
      </c>
      <c r="Z214" s="40" t="s">
        <v>3026</v>
      </c>
      <c r="AA214" s="41"/>
      <c r="AK214" s="16"/>
      <c r="AL214" s="16"/>
      <c r="AM214" s="16"/>
      <c r="AN214" s="16"/>
      <c r="AO214" s="16"/>
      <c r="AP214" s="16"/>
      <c r="AQ214" s="16"/>
      <c r="AR214" s="16"/>
      <c r="AS214" s="16"/>
    </row>
    <row r="215" spans="1:45" s="7" customFormat="1" ht="195" customHeight="1">
      <c r="A215" s="27">
        <f>[1]트램표준체크리스트!A213</f>
        <v>211</v>
      </c>
      <c r="B215" s="28" t="str">
        <f>[1]트램표준체크리스트!B213</f>
        <v>차량기지</v>
      </c>
      <c r="C215" s="29" t="str">
        <f>[1]트램표준체크리스트!C213</f>
        <v>시스템 인터페이스 방재</v>
      </c>
      <c r="D215" s="30" t="str">
        <f>[1]트램표준체크리스트!F213</f>
        <v>공기청소선이 주요 시설(종합관리동 등)과 인접하거나 분진 차단막이 누락되어, 미세먼지가 사무실 및 전자장비실로 유입될 환경 리스크를 검토하였는가?</v>
      </c>
      <c r="E215" s="31" t="s">
        <v>2300</v>
      </c>
      <c r="F215" s="32" t="str">
        <f t="shared" si="6"/>
        <v>극상</v>
      </c>
      <c r="G215" s="63" t="s">
        <v>40</v>
      </c>
      <c r="H215" s="63" t="s">
        <v>41</v>
      </c>
      <c r="I215" s="34" t="s">
        <v>2301</v>
      </c>
      <c r="J215" s="33"/>
      <c r="K215" s="35"/>
      <c r="L215" s="33"/>
      <c r="M215" s="36"/>
      <c r="N215" s="33"/>
      <c r="O215" s="36"/>
      <c r="P215" s="33"/>
      <c r="Q215" s="37"/>
      <c r="R215" s="38"/>
      <c r="S215" s="33"/>
      <c r="T215" s="38"/>
      <c r="U215" s="33"/>
      <c r="V215" s="39"/>
      <c r="W215" s="90" t="b">
        <v>0</v>
      </c>
      <c r="X215" s="90" t="b">
        <v>0</v>
      </c>
      <c r="Y215" s="90" t="b">
        <v>0</v>
      </c>
      <c r="Z215" s="40" t="s">
        <v>3027</v>
      </c>
      <c r="AA215" s="41"/>
      <c r="AK215" s="16"/>
      <c r="AL215" s="16"/>
      <c r="AM215" s="16"/>
      <c r="AN215" s="16"/>
      <c r="AO215" s="16"/>
      <c r="AP215" s="16"/>
      <c r="AQ215" s="16"/>
      <c r="AR215" s="16"/>
      <c r="AS215" s="16"/>
    </row>
    <row r="216" spans="1:45" s="7" customFormat="1" ht="195" customHeight="1">
      <c r="A216" s="27">
        <f>[1]트램표준체크리스트!A214</f>
        <v>212</v>
      </c>
      <c r="B216" s="28" t="str">
        <f>[1]트램표준체크리스트!B214</f>
        <v>차량기지</v>
      </c>
      <c r="C216" s="29" t="str">
        <f>[1]트램표준체크리스트!C214</f>
        <v>시스템 인터페이스 방재</v>
      </c>
      <c r="D216" s="30" t="str">
        <f>[1]트램표준체크리스트!F214</f>
        <v>급속 충전 시 발생하는 고조파 및 전자파 노이즈 차폐 대책 누락으로, 기지 내 신호·통신 설비에 치명적 통신 장애가 발생할 리스크를 검토하였는가?</v>
      </c>
      <c r="E216" s="31" t="s">
        <v>2302</v>
      </c>
      <c r="F216" s="32" t="str">
        <f t="shared" si="6"/>
        <v>극상</v>
      </c>
      <c r="G216" s="63" t="s">
        <v>40</v>
      </c>
      <c r="H216" s="63" t="s">
        <v>41</v>
      </c>
      <c r="I216" s="34" t="s">
        <v>2303</v>
      </c>
      <c r="J216" s="33"/>
      <c r="K216" s="35"/>
      <c r="L216" s="33"/>
      <c r="M216" s="36"/>
      <c r="N216" s="33"/>
      <c r="O216" s="36"/>
      <c r="P216" s="33"/>
      <c r="Q216" s="37"/>
      <c r="R216" s="38"/>
      <c r="S216" s="33"/>
      <c r="T216" s="38"/>
      <c r="U216" s="33"/>
      <c r="V216" s="39"/>
      <c r="W216" s="90" t="b">
        <v>0</v>
      </c>
      <c r="X216" s="90" t="b">
        <v>0</v>
      </c>
      <c r="Y216" s="90" t="b">
        <v>0</v>
      </c>
      <c r="Z216" s="40" t="s">
        <v>3028</v>
      </c>
      <c r="AA216" s="41"/>
      <c r="AK216" s="16"/>
      <c r="AL216" s="16"/>
      <c r="AM216" s="16"/>
      <c r="AN216" s="16"/>
      <c r="AO216" s="16"/>
      <c r="AP216" s="16"/>
      <c r="AQ216" s="16"/>
      <c r="AR216" s="16"/>
      <c r="AS216" s="16"/>
    </row>
    <row r="217" spans="1:45" s="7" customFormat="1" ht="195" customHeight="1">
      <c r="A217" s="27">
        <f>[1]트램표준체크리스트!A215</f>
        <v>213</v>
      </c>
      <c r="B217" s="28" t="str">
        <f>[1]트램표준체크리스트!B215</f>
        <v>차량기지</v>
      </c>
      <c r="C217" s="29" t="str">
        <f>[1]트램표준체크리스트!C215</f>
        <v>시스템 인터페이스 방재</v>
      </c>
      <c r="D217" s="30" t="str">
        <f>[1]트램표준체크리스트!F215</f>
        <v>일반 수계 스프링클러 설계 및 이중바닥(Access Floor) 누락으로 화재 진압 살수 시 관제·신호 시스템이 수몰 마비될 리스크를 검토하였는가?</v>
      </c>
      <c r="E217" s="31" t="s">
        <v>2304</v>
      </c>
      <c r="F217" s="32" t="str">
        <f t="shared" si="6"/>
        <v>극상</v>
      </c>
      <c r="G217" s="63" t="s">
        <v>40</v>
      </c>
      <c r="H217" s="63" t="s">
        <v>41</v>
      </c>
      <c r="I217" s="34" t="s">
        <v>2305</v>
      </c>
      <c r="J217" s="33"/>
      <c r="K217" s="35"/>
      <c r="L217" s="33"/>
      <c r="M217" s="36"/>
      <c r="N217" s="33"/>
      <c r="O217" s="36"/>
      <c r="P217" s="33"/>
      <c r="Q217" s="37"/>
      <c r="R217" s="38"/>
      <c r="S217" s="33"/>
      <c r="T217" s="38"/>
      <c r="U217" s="33"/>
      <c r="V217" s="39"/>
      <c r="W217" s="90" t="b">
        <v>0</v>
      </c>
      <c r="X217" s="90" t="b">
        <v>0</v>
      </c>
      <c r="Y217" s="90" t="b">
        <v>0</v>
      </c>
      <c r="Z217" s="40" t="s">
        <v>3029</v>
      </c>
      <c r="AA217" s="41"/>
      <c r="AK217" s="16"/>
      <c r="AL217" s="16"/>
      <c r="AM217" s="16"/>
      <c r="AN217" s="16"/>
      <c r="AO217" s="16"/>
      <c r="AP217" s="16"/>
      <c r="AQ217" s="16"/>
      <c r="AR217" s="16"/>
      <c r="AS217" s="16"/>
    </row>
    <row r="218" spans="1:45" s="7" customFormat="1" ht="195" customHeight="1">
      <c r="A218" s="27">
        <f>[1]트램표준체크리스트!A216</f>
        <v>214</v>
      </c>
      <c r="B218" s="28" t="str">
        <f>[1]트램표준체크리스트!B216</f>
        <v>차량기지</v>
      </c>
      <c r="C218" s="29" t="str">
        <f>[1]트램표준체크리스트!C216</f>
        <v>옥외세척고 대기 동선 경합 배제 계획</v>
      </c>
      <c r="D218" s="30" t="str">
        <f>[1]트램표준체크리스트!F216</f>
        <v>세척고 진입 선로와 주 입출고선의 직렬 경합 설계로, 심야 세척 대기 열차가 진입로를 막아 후속 열차들이 외부에 정차해야 하는 병목 리스크를 검토하였는가?</v>
      </c>
      <c r="E218" s="31" t="s">
        <v>2307</v>
      </c>
      <c r="F218" s="32" t="str">
        <f t="shared" si="6"/>
        <v>극상</v>
      </c>
      <c r="G218" s="63" t="s">
        <v>40</v>
      </c>
      <c r="H218" s="63" t="s">
        <v>41</v>
      </c>
      <c r="I218" s="34" t="s">
        <v>2308</v>
      </c>
      <c r="J218" s="33"/>
      <c r="K218" s="35"/>
      <c r="L218" s="33"/>
      <c r="M218" s="36"/>
      <c r="N218" s="33"/>
      <c r="O218" s="36"/>
      <c r="P218" s="33"/>
      <c r="Q218" s="37"/>
      <c r="R218" s="38"/>
      <c r="S218" s="33"/>
      <c r="T218" s="38"/>
      <c r="U218" s="33"/>
      <c r="V218" s="39"/>
      <c r="W218" s="90" t="b">
        <v>0</v>
      </c>
      <c r="X218" s="90" t="b">
        <v>0</v>
      </c>
      <c r="Y218" s="90" t="b">
        <v>0</v>
      </c>
      <c r="Z218" s="40" t="s">
        <v>3030</v>
      </c>
      <c r="AA218" s="41"/>
      <c r="AK218" s="16"/>
      <c r="AL218" s="16"/>
      <c r="AM218" s="16"/>
      <c r="AN218" s="16"/>
      <c r="AO218" s="16"/>
      <c r="AP218" s="16"/>
      <c r="AQ218" s="16"/>
      <c r="AR218" s="16"/>
      <c r="AS218" s="16"/>
    </row>
    <row r="219" spans="1:45" s="7" customFormat="1" ht="195" customHeight="1">
      <c r="A219" s="27">
        <f>[1]트램표준체크리스트!A217</f>
        <v>215</v>
      </c>
      <c r="B219" s="28" t="str">
        <f>[1]트램표준체크리스트!B217</f>
        <v>차량기지</v>
      </c>
      <c r="C219" s="29" t="str">
        <f>[1]트램표준체크리스트!C217</f>
        <v>옥외세척고 대기 동선 경합 배제 계획</v>
      </c>
      <c r="D219" s="30" t="str">
        <f>[1]트램표준체크리스트!F217</f>
        <v>내청소선 인접 청소원 대기실/샤워실 및 청소 자재 창고 설치 필요 리스크를 검토하였는가?</v>
      </c>
      <c r="E219" s="31" t="s">
        <v>3031</v>
      </c>
      <c r="F219" s="32" t="str">
        <f t="shared" si="6"/>
        <v>극상</v>
      </c>
      <c r="G219" s="63" t="s">
        <v>40</v>
      </c>
      <c r="H219" s="63" t="s">
        <v>41</v>
      </c>
      <c r="I219" s="34" t="s">
        <v>3032</v>
      </c>
      <c r="J219" s="33"/>
      <c r="K219" s="35"/>
      <c r="L219" s="33"/>
      <c r="M219" s="36"/>
      <c r="N219" s="33"/>
      <c r="O219" s="36"/>
      <c r="P219" s="33"/>
      <c r="Q219" s="37"/>
      <c r="R219" s="38"/>
      <c r="S219" s="33"/>
      <c r="T219" s="38"/>
      <c r="U219" s="33"/>
      <c r="V219" s="39"/>
      <c r="W219" s="90" t="b">
        <v>0</v>
      </c>
      <c r="X219" s="90" t="b">
        <v>0</v>
      </c>
      <c r="Y219" s="90" t="b">
        <v>0</v>
      </c>
      <c r="Z219" s="40" t="s">
        <v>3033</v>
      </c>
      <c r="AA219" s="41"/>
      <c r="AK219" s="16"/>
      <c r="AL219" s="16"/>
      <c r="AM219" s="16"/>
      <c r="AN219" s="16"/>
      <c r="AO219" s="16"/>
      <c r="AP219" s="16"/>
      <c r="AQ219" s="16"/>
      <c r="AR219" s="16"/>
      <c r="AS219" s="16"/>
    </row>
    <row r="220" spans="1:45" s="7" customFormat="1" ht="195" customHeight="1">
      <c r="A220" s="27">
        <f>[1]트램표준체크리스트!A218</f>
        <v>216</v>
      </c>
      <c r="B220" s="28" t="str">
        <f>[1]트램표준체크리스트!B218</f>
        <v>차량기지</v>
      </c>
      <c r="C220" s="29" t="str">
        <f>[1]트램표준체크리스트!C218</f>
        <v>옥외세척고 대기 동선 경합 배제 계획</v>
      </c>
      <c r="D220" s="30" t="str">
        <f>[1]트램표준체크리스트!F218</f>
        <v>일상선, 중정선선 청소원 현장 대기실 설치 필요 리스크를 검토하였는가?</v>
      </c>
      <c r="E220" s="31" t="s">
        <v>3034</v>
      </c>
      <c r="F220" s="32" t="str">
        <f t="shared" si="6"/>
        <v>극상</v>
      </c>
      <c r="G220" s="63" t="s">
        <v>40</v>
      </c>
      <c r="H220" s="63" t="s">
        <v>41</v>
      </c>
      <c r="I220" s="34" t="s">
        <v>3035</v>
      </c>
      <c r="J220" s="33"/>
      <c r="K220" s="35"/>
      <c r="L220" s="33"/>
      <c r="M220" s="36"/>
      <c r="N220" s="33"/>
      <c r="O220" s="36"/>
      <c r="P220" s="33"/>
      <c r="Q220" s="37"/>
      <c r="R220" s="38"/>
      <c r="S220" s="33"/>
      <c r="T220" s="38"/>
      <c r="U220" s="33"/>
      <c r="V220" s="39"/>
      <c r="W220" s="90" t="b">
        <v>0</v>
      </c>
      <c r="X220" s="90" t="b">
        <v>0</v>
      </c>
      <c r="Y220" s="90" t="b">
        <v>0</v>
      </c>
      <c r="Z220" s="40" t="s">
        <v>3036</v>
      </c>
      <c r="AA220" s="41"/>
      <c r="AK220" s="16"/>
      <c r="AL220" s="16"/>
      <c r="AM220" s="16"/>
      <c r="AN220" s="16"/>
      <c r="AO220" s="16"/>
      <c r="AP220" s="16"/>
      <c r="AQ220" s="16"/>
      <c r="AR220" s="16"/>
      <c r="AS220" s="16"/>
    </row>
    <row r="221" spans="1:45" s="7" customFormat="1" ht="195" customHeight="1">
      <c r="A221" s="27">
        <f>[1]트램표준체크리스트!A219</f>
        <v>217</v>
      </c>
      <c r="B221" s="28" t="str">
        <f>[1]트램표준체크리스트!B219</f>
        <v>차량기지</v>
      </c>
      <c r="C221" s="29" t="str">
        <f>[1]트램표준체크리스트!C219</f>
        <v>위험물 저장설비</v>
      </c>
      <c r="D221" s="30" t="str">
        <f>[1]트램표준체크리스트!F219</f>
        <v>유류고 지하 설계 및 강제 배기·방폭 설비 누락으로 정전기·스파크에 의한 유증기 대형 폭발 사고가 유발될 리스크를 검토하였는가?</v>
      </c>
      <c r="E221" s="31" t="s">
        <v>2312</v>
      </c>
      <c r="F221" s="32" t="str">
        <f t="shared" si="6"/>
        <v>극상</v>
      </c>
      <c r="G221" s="63" t="s">
        <v>40</v>
      </c>
      <c r="H221" s="63" t="s">
        <v>41</v>
      </c>
      <c r="I221" s="34" t="s">
        <v>2313</v>
      </c>
      <c r="J221" s="33"/>
      <c r="K221" s="35"/>
      <c r="L221" s="33"/>
      <c r="M221" s="36"/>
      <c r="N221" s="33"/>
      <c r="O221" s="36"/>
      <c r="P221" s="33"/>
      <c r="Q221" s="37"/>
      <c r="R221" s="38"/>
      <c r="S221" s="33"/>
      <c r="T221" s="38"/>
      <c r="U221" s="33"/>
      <c r="V221" s="39"/>
      <c r="W221" s="90" t="b">
        <v>0</v>
      </c>
      <c r="X221" s="90" t="b">
        <v>0</v>
      </c>
      <c r="Y221" s="90" t="b">
        <v>0</v>
      </c>
      <c r="Z221" s="40" t="s">
        <v>3037</v>
      </c>
      <c r="AA221" s="41"/>
      <c r="AK221" s="16"/>
      <c r="AL221" s="16"/>
      <c r="AM221" s="16"/>
      <c r="AN221" s="16"/>
      <c r="AO221" s="16"/>
      <c r="AP221" s="16"/>
      <c r="AQ221" s="16"/>
      <c r="AR221" s="16"/>
      <c r="AS221" s="16"/>
    </row>
    <row r="222" spans="1:45" s="7" customFormat="1" ht="195" customHeight="1">
      <c r="A222" s="27">
        <f>[1]트램표준체크리스트!A220</f>
        <v>218</v>
      </c>
      <c r="B222" s="28" t="str">
        <f>[1]트램표준체크리스트!B220</f>
        <v>차량기지</v>
      </c>
      <c r="C222" s="29" t="str">
        <f>[1]트램표준체크리스트!C220</f>
        <v>유류고 및 위험물 보관소 계획</v>
      </c>
      <c r="D222" s="30" t="str">
        <f>[1]트램표준체크리스트!F220</f>
        <v>유류고 지하·다층 설계 및 강제 환기시설 누락으로, 유류 누출 시 폐유 회수 불가 및 유증기 폭발이 발생할 대형 재난 리스크를 검토하였는가?</v>
      </c>
      <c r="E222" s="31" t="s">
        <v>2314</v>
      </c>
      <c r="F222" s="32" t="str">
        <f t="shared" si="6"/>
        <v>극상</v>
      </c>
      <c r="G222" s="63" t="s">
        <v>40</v>
      </c>
      <c r="H222" s="63" t="s">
        <v>41</v>
      </c>
      <c r="I222" s="34" t="s">
        <v>2315</v>
      </c>
      <c r="J222" s="33"/>
      <c r="K222" s="35"/>
      <c r="L222" s="33"/>
      <c r="M222" s="36"/>
      <c r="N222" s="33"/>
      <c r="O222" s="36"/>
      <c r="P222" s="33"/>
      <c r="Q222" s="37"/>
      <c r="R222" s="38"/>
      <c r="S222" s="33"/>
      <c r="T222" s="38"/>
      <c r="U222" s="33"/>
      <c r="V222" s="39"/>
      <c r="W222" s="90" t="b">
        <v>0</v>
      </c>
      <c r="X222" s="90" t="b">
        <v>0</v>
      </c>
      <c r="Y222" s="90" t="b">
        <v>0</v>
      </c>
      <c r="Z222" s="40" t="s">
        <v>3038</v>
      </c>
      <c r="AA222" s="41"/>
      <c r="AK222" s="16"/>
      <c r="AL222" s="16"/>
      <c r="AM222" s="16"/>
      <c r="AN222" s="16"/>
      <c r="AO222" s="16"/>
      <c r="AP222" s="16"/>
      <c r="AQ222" s="16"/>
      <c r="AR222" s="16"/>
      <c r="AS222" s="16"/>
    </row>
    <row r="223" spans="1:45" s="7" customFormat="1" ht="195" customHeight="1">
      <c r="A223" s="27">
        <f>[1]트램표준체크리스트!A221</f>
        <v>219</v>
      </c>
      <c r="B223" s="28" t="str">
        <f>[1]트램표준체크리스트!B221</f>
        <v>차량기지</v>
      </c>
      <c r="C223" s="29" t="str">
        <f>[1]트램표준체크리스트!C221</f>
        <v>유치선 기후대응 및 충전 계획</v>
      </c>
      <c r="D223" s="30" t="str">
        <f>[1]트램표준체크리스트!F221</f>
        <v>캐노피 설계 누락으로 폭염 시 배터리 충전 효율 급감 및 폭설 시 선로 결빙에 따른 입출고가 지연될 리스크를 검토하였는가?</v>
      </c>
      <c r="E223" s="31" t="s">
        <v>2316</v>
      </c>
      <c r="F223" s="32" t="str">
        <f t="shared" si="6"/>
        <v>극상</v>
      </c>
      <c r="G223" s="63" t="s">
        <v>40</v>
      </c>
      <c r="H223" s="63" t="s">
        <v>41</v>
      </c>
      <c r="I223" s="34" t="s">
        <v>2317</v>
      </c>
      <c r="J223" s="33"/>
      <c r="K223" s="35"/>
      <c r="L223" s="33"/>
      <c r="M223" s="36"/>
      <c r="N223" s="33"/>
      <c r="O223" s="36"/>
      <c r="P223" s="33"/>
      <c r="Q223" s="37"/>
      <c r="R223" s="38"/>
      <c r="S223" s="33"/>
      <c r="T223" s="38"/>
      <c r="U223" s="33"/>
      <c r="V223" s="39"/>
      <c r="W223" s="90" t="b">
        <v>0</v>
      </c>
      <c r="X223" s="90" t="b">
        <v>0</v>
      </c>
      <c r="Y223" s="90" t="b">
        <v>0</v>
      </c>
      <c r="Z223" s="40" t="s">
        <v>3029</v>
      </c>
      <c r="AA223" s="41"/>
      <c r="AK223" s="16"/>
      <c r="AL223" s="16"/>
      <c r="AM223" s="16"/>
      <c r="AN223" s="16"/>
      <c r="AO223" s="16"/>
      <c r="AP223" s="16"/>
      <c r="AQ223" s="16"/>
      <c r="AR223" s="16"/>
      <c r="AS223" s="16"/>
    </row>
    <row r="224" spans="1:45" s="7" customFormat="1" ht="195" customHeight="1">
      <c r="A224" s="27">
        <f>[1]트램표준체크리스트!A222</f>
        <v>220</v>
      </c>
      <c r="B224" s="28" t="str">
        <f>[1]트램표준체크리스트!B222</f>
        <v>차량기지</v>
      </c>
      <c r="C224" s="29" t="str">
        <f>[1]트램표준체크리스트!C222</f>
        <v>자재창고 및 예비품 보관 계획</v>
      </c>
      <c r="D224" s="30" t="str">
        <f>[1]트램표준체크리스트!F222</f>
        <v>자재창고와 작업장 간 통로 협소 및 단차 설계로 지게차 운행이 불가해져 수작업 운반 중 근골격계 질환 및 부품 낙하 사고가 발생할 리스크를 검토하였는가?</v>
      </c>
      <c r="E224" s="31" t="s">
        <v>2318</v>
      </c>
      <c r="F224" s="32" t="str">
        <f t="shared" si="6"/>
        <v>극상</v>
      </c>
      <c r="G224" s="63" t="s">
        <v>40</v>
      </c>
      <c r="H224" s="63" t="s">
        <v>41</v>
      </c>
      <c r="I224" s="34" t="s">
        <v>2319</v>
      </c>
      <c r="J224" s="33"/>
      <c r="K224" s="35"/>
      <c r="L224" s="33"/>
      <c r="M224" s="36"/>
      <c r="N224" s="33"/>
      <c r="O224" s="36"/>
      <c r="P224" s="33"/>
      <c r="Q224" s="37"/>
      <c r="R224" s="38"/>
      <c r="S224" s="33"/>
      <c r="T224" s="38"/>
      <c r="U224" s="33"/>
      <c r="V224" s="39"/>
      <c r="W224" s="90" t="b">
        <v>0</v>
      </c>
      <c r="X224" s="90" t="b">
        <v>0</v>
      </c>
      <c r="Y224" s="90" t="b">
        <v>0</v>
      </c>
      <c r="Z224" s="40" t="s">
        <v>3039</v>
      </c>
      <c r="AA224" s="41"/>
      <c r="AK224" s="16"/>
      <c r="AL224" s="16"/>
      <c r="AM224" s="16"/>
      <c r="AN224" s="16"/>
      <c r="AO224" s="16"/>
      <c r="AP224" s="16"/>
      <c r="AQ224" s="16"/>
      <c r="AR224" s="16"/>
      <c r="AS224" s="16"/>
    </row>
    <row r="225" spans="1:45" s="7" customFormat="1" ht="195" customHeight="1">
      <c r="A225" s="27">
        <f>[1]트램표준체크리스트!A223</f>
        <v>221</v>
      </c>
      <c r="B225" s="28" t="str">
        <f>[1]트램표준체크리스트!B223</f>
        <v>차량기지</v>
      </c>
      <c r="C225" s="29" t="str">
        <f>[1]트램표준체크리스트!C223</f>
        <v>자재창고 및 환경시설</v>
      </c>
      <c r="D225" s="30" t="str">
        <f>[1]트램표준체크리스트!F223</f>
        <v>자재창고·검수고 간 원거리 동선으로 중량물 운반 사고가 우려되거나, 집하장 차수·배수 누락으로 악취 및 토양 오염 민원이 발생할 리스크를 검토하였는가?</v>
      </c>
      <c r="E225" s="31" t="s">
        <v>2320</v>
      </c>
      <c r="F225" s="32" t="str">
        <f t="shared" si="6"/>
        <v>극상</v>
      </c>
      <c r="G225" s="63" t="s">
        <v>40</v>
      </c>
      <c r="H225" s="63" t="s">
        <v>41</v>
      </c>
      <c r="I225" s="34" t="s">
        <v>2321</v>
      </c>
      <c r="J225" s="33"/>
      <c r="K225" s="35"/>
      <c r="L225" s="33"/>
      <c r="M225" s="36"/>
      <c r="N225" s="33"/>
      <c r="O225" s="36"/>
      <c r="P225" s="33"/>
      <c r="Q225" s="37"/>
      <c r="R225" s="38"/>
      <c r="S225" s="33"/>
      <c r="T225" s="38"/>
      <c r="U225" s="33"/>
      <c r="V225" s="39"/>
      <c r="W225" s="90" t="b">
        <v>0</v>
      </c>
      <c r="X225" s="90" t="b">
        <v>0</v>
      </c>
      <c r="Y225" s="90" t="b">
        <v>0</v>
      </c>
      <c r="Z225" s="40" t="s">
        <v>3040</v>
      </c>
      <c r="AA225" s="41"/>
      <c r="AK225" s="16"/>
      <c r="AL225" s="16"/>
      <c r="AM225" s="16"/>
      <c r="AN225" s="16"/>
      <c r="AO225" s="16"/>
      <c r="AP225" s="16"/>
      <c r="AQ225" s="16"/>
      <c r="AR225" s="16"/>
      <c r="AS225" s="16"/>
    </row>
    <row r="226" spans="1:45" s="7" customFormat="1" ht="195" customHeight="1">
      <c r="A226" s="27">
        <f>[1]트램표준체크리스트!A224</f>
        <v>222</v>
      </c>
      <c r="B226" s="28" t="str">
        <f>[1]트램표준체크리스트!B224</f>
        <v>차량기지</v>
      </c>
      <c r="C226" s="29" t="str">
        <f>[1]트램표준체크리스트!C224</f>
        <v>전기 및 소방설비</v>
      </c>
      <c r="D226" s="30" t="str">
        <f>[1]트램표준체크리스트!F224</f>
        <v>큐비클 내 소공간 자동소화설비 누락으로 패널 발화 시 조기 진화 실패 및 차량기지 전체 전력 셧다운이 유발될 리스크를 검토하였는가?</v>
      </c>
      <c r="E226" s="31" t="s">
        <v>2322</v>
      </c>
      <c r="F226" s="32" t="str">
        <f t="shared" si="6"/>
        <v>극상</v>
      </c>
      <c r="G226" s="63" t="s">
        <v>40</v>
      </c>
      <c r="H226" s="63" t="s">
        <v>41</v>
      </c>
      <c r="I226" s="34" t="s">
        <v>2323</v>
      </c>
      <c r="J226" s="33"/>
      <c r="K226" s="35"/>
      <c r="L226" s="33"/>
      <c r="M226" s="36"/>
      <c r="N226" s="33"/>
      <c r="O226" s="36"/>
      <c r="P226" s="33"/>
      <c r="Q226" s="37"/>
      <c r="R226" s="38"/>
      <c r="S226" s="33"/>
      <c r="T226" s="38"/>
      <c r="U226" s="33"/>
      <c r="V226" s="39"/>
      <c r="W226" s="90" t="b">
        <v>0</v>
      </c>
      <c r="X226" s="90" t="b">
        <v>0</v>
      </c>
      <c r="Y226" s="90" t="b">
        <v>0</v>
      </c>
      <c r="Z226" s="40" t="s">
        <v>3041</v>
      </c>
      <c r="AA226" s="41"/>
      <c r="AK226" s="16"/>
      <c r="AL226" s="16"/>
      <c r="AM226" s="16"/>
      <c r="AN226" s="16"/>
      <c r="AO226" s="16"/>
      <c r="AP226" s="16"/>
      <c r="AQ226" s="16"/>
      <c r="AR226" s="16"/>
      <c r="AS226" s="16"/>
    </row>
    <row r="227" spans="1:45" s="7" customFormat="1" ht="195" customHeight="1">
      <c r="A227" s="27">
        <f>[1]트램표준체크리스트!A225</f>
        <v>223</v>
      </c>
      <c r="B227" s="28" t="str">
        <f>[1]트램표준체크리스트!B225</f>
        <v>차량기지</v>
      </c>
      <c r="C227" s="29" t="str">
        <f>[1]트램표준체크리스트!C225</f>
        <v>전기·신호·통신설비</v>
      </c>
      <c r="D227" s="30" t="str">
        <f>[1]트램표준체크리스트!F225</f>
        <v>예비 공배관 및 횡단 관로 누락으로 케이블 추가 포설 시 궤도 및 포장면을 대대적으로 재굴착할 리스크를 검토하였는가?</v>
      </c>
      <c r="E227" s="31" t="s">
        <v>2324</v>
      </c>
      <c r="F227" s="32" t="str">
        <f t="shared" si="6"/>
        <v>극상</v>
      </c>
      <c r="G227" s="63" t="s">
        <v>40</v>
      </c>
      <c r="H227" s="63" t="s">
        <v>41</v>
      </c>
      <c r="I227" s="34" t="s">
        <v>2325</v>
      </c>
      <c r="J227" s="33"/>
      <c r="K227" s="35"/>
      <c r="L227" s="33"/>
      <c r="M227" s="36"/>
      <c r="N227" s="33"/>
      <c r="O227" s="36"/>
      <c r="P227" s="33"/>
      <c r="Q227" s="37"/>
      <c r="R227" s="38"/>
      <c r="S227" s="33"/>
      <c r="T227" s="38"/>
      <c r="U227" s="33"/>
      <c r="V227" s="39"/>
      <c r="W227" s="90" t="b">
        <v>0</v>
      </c>
      <c r="X227" s="90" t="b">
        <v>0</v>
      </c>
      <c r="Y227" s="90" t="b">
        <v>0</v>
      </c>
      <c r="Z227" s="40" t="s">
        <v>3042</v>
      </c>
      <c r="AA227" s="41"/>
      <c r="AK227" s="16"/>
      <c r="AL227" s="16"/>
      <c r="AM227" s="16"/>
      <c r="AN227" s="16"/>
      <c r="AO227" s="16"/>
      <c r="AP227" s="16"/>
      <c r="AQ227" s="16"/>
      <c r="AR227" s="16"/>
      <c r="AS227" s="16"/>
    </row>
    <row r="228" spans="1:45" s="7" customFormat="1" ht="195" customHeight="1">
      <c r="A228" s="27">
        <f>[1]트램표준체크리스트!A226</f>
        <v>224</v>
      </c>
      <c r="B228" s="28" t="str">
        <f>[1]트램표준체크리스트!B226</f>
        <v>차량기지</v>
      </c>
      <c r="C228" s="29" t="str">
        <f>[1]트램표준체크리스트!C226</f>
        <v>전기·신호·통신설비</v>
      </c>
      <c r="D228" s="30" t="str">
        <f>[1]트램표준체크리스트!F226</f>
        <v>시운전선·유치선의 비상제동 시스템 및 연동 설계 누락으로 입환·시운전 중 차량 간 대형 추돌사고가 발생할 리스크를 검토하였는가?</v>
      </c>
      <c r="E228" s="31" t="s">
        <v>2326</v>
      </c>
      <c r="F228" s="32" t="str">
        <f t="shared" si="6"/>
        <v>극상</v>
      </c>
      <c r="G228" s="63" t="s">
        <v>40</v>
      </c>
      <c r="H228" s="63" t="s">
        <v>41</v>
      </c>
      <c r="I228" s="34" t="s">
        <v>2327</v>
      </c>
      <c r="J228" s="33"/>
      <c r="K228" s="35"/>
      <c r="L228" s="33"/>
      <c r="M228" s="36"/>
      <c r="N228" s="33"/>
      <c r="O228" s="36"/>
      <c r="P228" s="33"/>
      <c r="Q228" s="37"/>
      <c r="R228" s="38"/>
      <c r="S228" s="33"/>
      <c r="T228" s="38"/>
      <c r="U228" s="33"/>
      <c r="V228" s="39"/>
      <c r="W228" s="90" t="b">
        <v>0</v>
      </c>
      <c r="X228" s="90" t="b">
        <v>0</v>
      </c>
      <c r="Y228" s="90" t="b">
        <v>0</v>
      </c>
      <c r="Z228" s="40" t="s">
        <v>3043</v>
      </c>
      <c r="AA228" s="41"/>
      <c r="AK228" s="16"/>
      <c r="AL228" s="16"/>
      <c r="AM228" s="16"/>
      <c r="AN228" s="16"/>
      <c r="AO228" s="16"/>
      <c r="AP228" s="16"/>
      <c r="AQ228" s="16"/>
      <c r="AR228" s="16"/>
      <c r="AS228" s="16"/>
    </row>
    <row r="229" spans="1:45" s="7" customFormat="1" ht="195" customHeight="1">
      <c r="A229" s="27">
        <f>[1]트램표준체크리스트!A227</f>
        <v>225</v>
      </c>
      <c r="B229" s="28" t="str">
        <f>[1]트램표준체크리스트!B227</f>
        <v>차량기지</v>
      </c>
      <c r="C229" s="29" t="str">
        <f>[1]트램표준체크리스트!C227</f>
        <v>전력 및 보안설비</v>
      </c>
      <c r="D229" s="30" t="str">
        <f>[1]트램표준체크리스트!F227</f>
        <v>옥외 충전설비 방수 대책 및 방호 펜스, CCTV 누락으로 강우 시 누전 및 외부인 접근 감전 사고가 유발될 리스크를 검토하였는가?</v>
      </c>
      <c r="E229" s="31" t="s">
        <v>2328</v>
      </c>
      <c r="F229" s="32" t="str">
        <f t="shared" si="6"/>
        <v>극상</v>
      </c>
      <c r="G229" s="63" t="s">
        <v>40</v>
      </c>
      <c r="H229" s="63" t="s">
        <v>41</v>
      </c>
      <c r="I229" s="34" t="s">
        <v>2329</v>
      </c>
      <c r="J229" s="33"/>
      <c r="K229" s="35"/>
      <c r="L229" s="33"/>
      <c r="M229" s="36"/>
      <c r="N229" s="33"/>
      <c r="O229" s="36"/>
      <c r="P229" s="33"/>
      <c r="Q229" s="37"/>
      <c r="R229" s="38"/>
      <c r="S229" s="33"/>
      <c r="T229" s="38"/>
      <c r="U229" s="33"/>
      <c r="V229" s="39"/>
      <c r="W229" s="90" t="b">
        <v>0</v>
      </c>
      <c r="X229" s="90" t="b">
        <v>0</v>
      </c>
      <c r="Y229" s="90" t="b">
        <v>0</v>
      </c>
      <c r="Z229" s="40" t="s">
        <v>3044</v>
      </c>
      <c r="AA229" s="41"/>
      <c r="AK229" s="16"/>
      <c r="AL229" s="16"/>
      <c r="AM229" s="16"/>
      <c r="AN229" s="16"/>
      <c r="AO229" s="16"/>
      <c r="AP229" s="16"/>
      <c r="AQ229" s="16"/>
      <c r="AR229" s="16"/>
      <c r="AS229" s="16"/>
    </row>
    <row r="230" spans="1:45" s="7" customFormat="1" ht="195" customHeight="1">
      <c r="A230" s="27">
        <f>[1]트램표준체크리스트!A228</f>
        <v>226</v>
      </c>
      <c r="B230" s="28" t="str">
        <f>[1]트램표준체크리스트!B228</f>
        <v>차량기지</v>
      </c>
      <c r="C230" s="29" t="str">
        <f>[1]트램표준체크리스트!C228</f>
        <v>전력 및 보안설비</v>
      </c>
      <c r="D230" s="30" t="str">
        <f>[1]트램표준체크리스트!F228</f>
        <v>비상 예비전원(발전기, UPS) 용량 및 연동 설계 누락으로 정전 시 기지 전체 시스템 마비 및 대피 불능 사태가 발생할 리스크를 검토하였는가?</v>
      </c>
      <c r="E230" s="31" t="s">
        <v>2330</v>
      </c>
      <c r="F230" s="32" t="str">
        <f t="shared" si="6"/>
        <v>극상</v>
      </c>
      <c r="G230" s="63" t="s">
        <v>40</v>
      </c>
      <c r="H230" s="63" t="s">
        <v>41</v>
      </c>
      <c r="I230" s="34" t="s">
        <v>2331</v>
      </c>
      <c r="J230" s="33"/>
      <c r="K230" s="35"/>
      <c r="L230" s="33"/>
      <c r="M230" s="36"/>
      <c r="N230" s="33"/>
      <c r="O230" s="36"/>
      <c r="P230" s="33"/>
      <c r="Q230" s="37"/>
      <c r="R230" s="38"/>
      <c r="S230" s="33"/>
      <c r="T230" s="38"/>
      <c r="U230" s="33"/>
      <c r="V230" s="39"/>
      <c r="W230" s="90" t="b">
        <v>0</v>
      </c>
      <c r="X230" s="90" t="b">
        <v>0</v>
      </c>
      <c r="Y230" s="90" t="b">
        <v>0</v>
      </c>
      <c r="Z230" s="40" t="s">
        <v>3045</v>
      </c>
      <c r="AA230" s="41"/>
      <c r="AK230" s="16"/>
      <c r="AL230" s="16"/>
      <c r="AM230" s="16"/>
      <c r="AN230" s="16"/>
      <c r="AO230" s="16"/>
      <c r="AP230" s="16"/>
      <c r="AQ230" s="16"/>
      <c r="AR230" s="16"/>
      <c r="AS230" s="16"/>
    </row>
    <row r="231" spans="1:45" s="7" customFormat="1" ht="195" customHeight="1">
      <c r="A231" s="27">
        <f>[1]트램표준체크리스트!A229</f>
        <v>227</v>
      </c>
      <c r="B231" s="28" t="str">
        <f>[1]트램표준체크리스트!B229</f>
        <v>차량기지</v>
      </c>
      <c r="C231" s="29" t="str">
        <f>[1]트램표준체크리스트!C229</f>
        <v>전력 및 보안설비</v>
      </c>
      <c r="D231" s="30" t="str">
        <f>[1]트램표준체크리스트!F229</f>
        <v>주요 제어반(MCC반 등) 패드 높이가 침수 한계 수위 미달로 설계되어 집중호우 시 설비 침수 및 차량기지 셧다운이 유발될 리스크를 검토하였는가?</v>
      </c>
      <c r="E231" s="31" t="s">
        <v>2332</v>
      </c>
      <c r="F231" s="32" t="str">
        <f t="shared" ref="F231:F261" si="7">_xlfn.LET(
_xlpm.v_발생, IF(ISNUMBER(SEARCH("빈번", G231)), "상",
IF(ISNUMBER(SEARCH("거의", G231)), "하", "중")),
_xlpm.v_영향, IF(ISNUMBER(SEARCH("1개월", H231)), "상",
IF(ISNUMBER(SEARCH("없음", H231)), "하", "중")),
IF(AND(_xlpm.v_발생="상", _xlpm.v_영향="상"), "극상",
IF(OR(_xlpm.v_발생="상", _xlpm.v_영향="상"), "상",
IF(AND(_xlpm.v_발생="하", _xlpm.v_영향="하"), "하",
"중")))
)</f>
        <v>극상</v>
      </c>
      <c r="G231" s="63" t="s">
        <v>40</v>
      </c>
      <c r="H231" s="63" t="s">
        <v>41</v>
      </c>
      <c r="I231" s="34" t="s">
        <v>2333</v>
      </c>
      <c r="J231" s="33"/>
      <c r="K231" s="35"/>
      <c r="L231" s="33"/>
      <c r="M231" s="36"/>
      <c r="N231" s="33"/>
      <c r="O231" s="36"/>
      <c r="P231" s="33"/>
      <c r="Q231" s="37"/>
      <c r="R231" s="38"/>
      <c r="S231" s="33"/>
      <c r="T231" s="38"/>
      <c r="U231" s="33"/>
      <c r="V231" s="39"/>
      <c r="W231" s="90" t="b">
        <v>0</v>
      </c>
      <c r="X231" s="90" t="b">
        <v>1</v>
      </c>
      <c r="Y231" s="90" t="b">
        <v>0</v>
      </c>
      <c r="Z231" s="40" t="s">
        <v>3046</v>
      </c>
      <c r="AA231" s="41"/>
      <c r="AK231" s="16"/>
      <c r="AL231" s="16"/>
      <c r="AM231" s="16"/>
      <c r="AN231" s="16"/>
      <c r="AO231" s="16"/>
      <c r="AP231" s="16"/>
      <c r="AQ231" s="16"/>
      <c r="AR231" s="16"/>
      <c r="AS231" s="16"/>
    </row>
    <row r="232" spans="1:45" s="7" customFormat="1" ht="195" customHeight="1">
      <c r="A232" s="27">
        <f>[1]트램표준체크리스트!A230</f>
        <v>228</v>
      </c>
      <c r="B232" s="28" t="str">
        <f>[1]트램표준체크리스트!B230</f>
        <v>차량기지</v>
      </c>
      <c r="C232" s="29" t="str">
        <f>[1]트램표준체크리스트!C230</f>
        <v>전삭고 및 차륜전삭선 계획</v>
      </c>
      <c r="D232" s="30" t="str">
        <f>[1]트램표준체크리스트!F230</f>
        <v>차륜전삭선이 주 입환 동선과 중첩되거나 유효장 부족 설계로 인해 기지 내 전체 열차 입출고가 마비될 리스크를 검토하였는가?</v>
      </c>
      <c r="E232" s="31" t="s">
        <v>2334</v>
      </c>
      <c r="F232" s="32" t="str">
        <f t="shared" si="7"/>
        <v>극상</v>
      </c>
      <c r="G232" s="63" t="s">
        <v>40</v>
      </c>
      <c r="H232" s="63" t="s">
        <v>41</v>
      </c>
      <c r="I232" s="34" t="s">
        <v>2335</v>
      </c>
      <c r="J232" s="33"/>
      <c r="K232" s="35"/>
      <c r="L232" s="33"/>
      <c r="M232" s="36"/>
      <c r="N232" s="33"/>
      <c r="O232" s="36"/>
      <c r="P232" s="33"/>
      <c r="Q232" s="37"/>
      <c r="R232" s="38"/>
      <c r="S232" s="33"/>
      <c r="T232" s="38"/>
      <c r="U232" s="33"/>
      <c r="V232" s="39"/>
      <c r="W232" s="90" t="b">
        <v>0</v>
      </c>
      <c r="X232" s="90" t="b">
        <v>0</v>
      </c>
      <c r="Y232" s="90" t="b">
        <v>0</v>
      </c>
      <c r="Z232" s="40" t="s">
        <v>3047</v>
      </c>
      <c r="AA232" s="41"/>
      <c r="AK232" s="16"/>
      <c r="AL232" s="16"/>
      <c r="AM232" s="16"/>
      <c r="AN232" s="16"/>
      <c r="AO232" s="16"/>
      <c r="AP232" s="16"/>
      <c r="AQ232" s="16"/>
      <c r="AR232" s="16"/>
      <c r="AS232" s="16"/>
    </row>
    <row r="233" spans="1:45" s="7" customFormat="1" ht="195" customHeight="1">
      <c r="A233" s="27">
        <f>[1]트램표준체크리스트!A231</f>
        <v>229</v>
      </c>
      <c r="B233" s="28" t="str">
        <f>[1]트램표준체크리스트!B231</f>
        <v>차량기지</v>
      </c>
      <c r="C233" s="29" t="str">
        <f>[1]트램표준체크리스트!C231</f>
        <v>차량기지 급·배수 계획</v>
      </c>
      <c r="D233" s="30" t="str">
        <f>[1]트램표준체크리스트!F231</f>
        <v>세척고 급수 배관 시상수 직결 및 중수도 재활용 설비 누락으로 막대한 수도 요금 및 수자원 낭비가 발생할 리스크를 검토하였는가?</v>
      </c>
      <c r="E233" s="31" t="s">
        <v>2337</v>
      </c>
      <c r="F233" s="32" t="str">
        <f t="shared" si="7"/>
        <v>극상</v>
      </c>
      <c r="G233" s="63" t="s">
        <v>40</v>
      </c>
      <c r="H233" s="63" t="s">
        <v>41</v>
      </c>
      <c r="I233" s="34" t="s">
        <v>2338</v>
      </c>
      <c r="J233" s="33"/>
      <c r="K233" s="35"/>
      <c r="L233" s="33"/>
      <c r="M233" s="36"/>
      <c r="N233" s="33"/>
      <c r="O233" s="36"/>
      <c r="P233" s="33"/>
      <c r="Q233" s="37"/>
      <c r="R233" s="38"/>
      <c r="S233" s="33"/>
      <c r="T233" s="38"/>
      <c r="U233" s="33"/>
      <c r="V233" s="39"/>
      <c r="W233" s="90" t="b">
        <v>0</v>
      </c>
      <c r="X233" s="90" t="b">
        <v>0</v>
      </c>
      <c r="Y233" s="90" t="b">
        <v>0</v>
      </c>
      <c r="Z233" s="40" t="s">
        <v>3048</v>
      </c>
      <c r="AA233" s="41"/>
      <c r="AK233" s="16"/>
      <c r="AL233" s="16"/>
      <c r="AM233" s="16"/>
      <c r="AN233" s="16"/>
      <c r="AO233" s="16"/>
      <c r="AP233" s="16"/>
      <c r="AQ233" s="16"/>
      <c r="AR233" s="16"/>
      <c r="AS233" s="16"/>
    </row>
    <row r="234" spans="1:45" s="7" customFormat="1" ht="195" customHeight="1">
      <c r="A234" s="27">
        <f>[1]트램표준체크리스트!A232</f>
        <v>230</v>
      </c>
      <c r="B234" s="28" t="str">
        <f>[1]트램표준체크리스트!B232</f>
        <v>차량기지</v>
      </c>
      <c r="C234" s="29" t="str">
        <f>[1]트램표준체크리스트!C232</f>
        <v>차량기지 급·배수 계획</v>
      </c>
      <c r="D234" s="30" t="str">
        <f>[1]트램표준체크리스트!F232</f>
        <v>차량기지 작업실 내 현진그레인을 지브크레인 설치로 변경 리스크를 검토하였는가?</v>
      </c>
      <c r="E234" s="31" t="s">
        <v>3049</v>
      </c>
      <c r="F234" s="32" t="str">
        <f t="shared" si="7"/>
        <v>극상</v>
      </c>
      <c r="G234" s="63" t="s">
        <v>40</v>
      </c>
      <c r="H234" s="63" t="s">
        <v>41</v>
      </c>
      <c r="I234" s="34" t="s">
        <v>3050</v>
      </c>
      <c r="J234" s="33"/>
      <c r="K234" s="35"/>
      <c r="L234" s="33"/>
      <c r="M234" s="36"/>
      <c r="N234" s="33"/>
      <c r="O234" s="36"/>
      <c r="P234" s="33"/>
      <c r="Q234" s="37"/>
      <c r="R234" s="38"/>
      <c r="S234" s="33"/>
      <c r="T234" s="38"/>
      <c r="U234" s="33"/>
      <c r="V234" s="39"/>
      <c r="W234" s="90" t="b">
        <v>0</v>
      </c>
      <c r="X234" s="90" t="b">
        <v>0</v>
      </c>
      <c r="Y234" s="90" t="b">
        <v>0</v>
      </c>
      <c r="Z234" s="40" t="s">
        <v>3051</v>
      </c>
      <c r="AA234" s="41"/>
      <c r="AK234" s="16"/>
      <c r="AL234" s="16"/>
      <c r="AM234" s="16"/>
      <c r="AN234" s="16"/>
      <c r="AO234" s="16"/>
      <c r="AP234" s="16"/>
      <c r="AQ234" s="16"/>
      <c r="AR234" s="16"/>
      <c r="AS234" s="16"/>
    </row>
    <row r="235" spans="1:45" s="7" customFormat="1" ht="195" customHeight="1">
      <c r="A235" s="27">
        <f>[1]트램표준체크리스트!A233</f>
        <v>231</v>
      </c>
      <c r="B235" s="28" t="str">
        <f>[1]트램표준체크리스트!B233</f>
        <v>차량기지</v>
      </c>
      <c r="C235" s="29" t="str">
        <f>[1]트램표준체크리스트!C233</f>
        <v>차량기지 배선계획</v>
      </c>
      <c r="D235" s="30" t="str">
        <f>[1]트램표준체크리스트!F233</f>
        <v>입환 및 작업자 동선이 무리하게 교차 설계되어, 작업자 교통사고 발생 및 검수 공정이 지연될 리스크를 검토하였는가?</v>
      </c>
      <c r="E235" s="31" t="s">
        <v>2341</v>
      </c>
      <c r="F235" s="32" t="str">
        <f t="shared" si="7"/>
        <v>극상</v>
      </c>
      <c r="G235" s="63" t="s">
        <v>40</v>
      </c>
      <c r="H235" s="63" t="s">
        <v>41</v>
      </c>
      <c r="I235" s="34" t="s">
        <v>2342</v>
      </c>
      <c r="J235" s="33"/>
      <c r="K235" s="35"/>
      <c r="L235" s="33"/>
      <c r="M235" s="36"/>
      <c r="N235" s="33"/>
      <c r="O235" s="36"/>
      <c r="P235" s="33"/>
      <c r="Q235" s="37"/>
      <c r="R235" s="38"/>
      <c r="S235" s="33"/>
      <c r="T235" s="38"/>
      <c r="U235" s="33"/>
      <c r="V235" s="39"/>
      <c r="W235" s="90" t="b">
        <v>0</v>
      </c>
      <c r="X235" s="90" t="b">
        <v>0</v>
      </c>
      <c r="Y235" s="90" t="b">
        <v>0</v>
      </c>
      <c r="Z235" s="40" t="s">
        <v>3052</v>
      </c>
      <c r="AA235" s="41"/>
      <c r="AK235" s="16"/>
      <c r="AL235" s="16"/>
      <c r="AM235" s="16"/>
      <c r="AN235" s="16"/>
      <c r="AO235" s="16"/>
      <c r="AP235" s="16"/>
      <c r="AQ235" s="16"/>
      <c r="AR235" s="16"/>
      <c r="AS235" s="16"/>
    </row>
    <row r="236" spans="1:45" s="7" customFormat="1" ht="195" customHeight="1">
      <c r="A236" s="27">
        <f>[1]트램표준체크리스트!A234</f>
        <v>232</v>
      </c>
      <c r="B236" s="28" t="str">
        <f>[1]트램표준체크리스트!B234</f>
        <v>차량기지</v>
      </c>
      <c r="C236" s="29" t="str">
        <f>[1]트램표준체크리스트!C234</f>
        <v>차량기지 배선계획</v>
      </c>
      <c r="D236" s="30" t="str">
        <f>[1]트램표준체크리스트!F234</f>
        <v>세척 대기선 유효장 누락으로 대기열이 기지 입출고 본선을 막아 입고 지연 사태가 유발될 리스크를 검토하였는가?</v>
      </c>
      <c r="E236" s="31" t="s">
        <v>2343</v>
      </c>
      <c r="F236" s="32" t="str">
        <f t="shared" si="7"/>
        <v>극상</v>
      </c>
      <c r="G236" s="63" t="s">
        <v>40</v>
      </c>
      <c r="H236" s="63" t="s">
        <v>41</v>
      </c>
      <c r="I236" s="34" t="s">
        <v>2344</v>
      </c>
      <c r="J236" s="33"/>
      <c r="K236" s="35"/>
      <c r="L236" s="33"/>
      <c r="M236" s="36"/>
      <c r="N236" s="33"/>
      <c r="O236" s="36"/>
      <c r="P236" s="33"/>
      <c r="Q236" s="37"/>
      <c r="R236" s="38"/>
      <c r="S236" s="33"/>
      <c r="T236" s="38"/>
      <c r="U236" s="33"/>
      <c r="V236" s="39"/>
      <c r="W236" s="90" t="b">
        <v>0</v>
      </c>
      <c r="X236" s="90" t="b">
        <v>0</v>
      </c>
      <c r="Y236" s="90" t="b">
        <v>0</v>
      </c>
      <c r="Z236" s="40" t="s">
        <v>3053</v>
      </c>
      <c r="AA236" s="41"/>
      <c r="AK236" s="16"/>
      <c r="AL236" s="16"/>
      <c r="AM236" s="16"/>
      <c r="AN236" s="16"/>
      <c r="AO236" s="16"/>
      <c r="AP236" s="16"/>
      <c r="AQ236" s="16"/>
      <c r="AR236" s="16"/>
      <c r="AS236" s="16"/>
    </row>
    <row r="237" spans="1:45" s="7" customFormat="1" ht="195" customHeight="1">
      <c r="A237" s="27">
        <f>[1]트램표준체크리스트!A235</f>
        <v>233</v>
      </c>
      <c r="B237" s="28" t="str">
        <f>[1]트램표준체크리스트!B235</f>
        <v>차량기지</v>
      </c>
      <c r="C237" s="29" t="str">
        <f>[1]트램표준체크리스트!C235</f>
        <v>차량기지 배선계획</v>
      </c>
      <c r="D237" s="30" t="str">
        <f>[1]트램표준체크리스트!F235</f>
        <v>개통 초기 기준의 협소한 부지 설계로 향후 트램 증편 시 유치선 신설 여유 공간이 없어 차량 증편이 불가능해질 리스크를 검토하였는가?</v>
      </c>
      <c r="E237" s="31" t="s">
        <v>2345</v>
      </c>
      <c r="F237" s="32" t="str">
        <f t="shared" si="7"/>
        <v>극상</v>
      </c>
      <c r="G237" s="63" t="s">
        <v>40</v>
      </c>
      <c r="H237" s="63" t="s">
        <v>41</v>
      </c>
      <c r="I237" s="34" t="s">
        <v>2346</v>
      </c>
      <c r="J237" s="33"/>
      <c r="K237" s="35"/>
      <c r="L237" s="33"/>
      <c r="M237" s="36"/>
      <c r="N237" s="33"/>
      <c r="O237" s="36"/>
      <c r="P237" s="33"/>
      <c r="Q237" s="37"/>
      <c r="R237" s="38"/>
      <c r="S237" s="33"/>
      <c r="T237" s="38"/>
      <c r="U237" s="33"/>
      <c r="V237" s="39"/>
      <c r="W237" s="90" t="b">
        <v>0</v>
      </c>
      <c r="X237" s="90" t="b">
        <v>0</v>
      </c>
      <c r="Y237" s="90" t="b">
        <v>0</v>
      </c>
      <c r="Z237" s="40" t="s">
        <v>3054</v>
      </c>
      <c r="AA237" s="41"/>
      <c r="AK237" s="16"/>
      <c r="AL237" s="16"/>
      <c r="AM237" s="16"/>
      <c r="AN237" s="16"/>
      <c r="AO237" s="16"/>
      <c r="AP237" s="16"/>
      <c r="AQ237" s="16"/>
      <c r="AR237" s="16"/>
      <c r="AS237" s="16"/>
    </row>
    <row r="238" spans="1:45" s="7" customFormat="1" ht="195" customHeight="1">
      <c r="A238" s="27">
        <f>[1]트램표준체크리스트!A236</f>
        <v>234</v>
      </c>
      <c r="B238" s="28" t="str">
        <f>[1]트램표준체크리스트!B236</f>
        <v>차량기지</v>
      </c>
      <c r="C238" s="29" t="str">
        <f>[1]트램표준체크리스트!C236</f>
        <v>차량기지 변전소 계획</v>
      </c>
      <c r="D238" s="30" t="str">
        <f>[1]트램표준체크리스트!F236</f>
        <v>배관 개별 직매설 및 공동구 통로 협소 설계로 유지보수 시 기지 내 포장을 전면 굴착할 리스크를 검토하였는가?</v>
      </c>
      <c r="E238" s="31" t="s">
        <v>2347</v>
      </c>
      <c r="F238" s="32" t="str">
        <f t="shared" si="7"/>
        <v>극상</v>
      </c>
      <c r="G238" s="63" t="s">
        <v>40</v>
      </c>
      <c r="H238" s="63" t="s">
        <v>41</v>
      </c>
      <c r="I238" s="34" t="s">
        <v>2348</v>
      </c>
      <c r="J238" s="33"/>
      <c r="K238" s="35"/>
      <c r="L238" s="33"/>
      <c r="M238" s="36"/>
      <c r="N238" s="33"/>
      <c r="O238" s="36"/>
      <c r="P238" s="33"/>
      <c r="Q238" s="37"/>
      <c r="R238" s="38"/>
      <c r="S238" s="33"/>
      <c r="T238" s="38"/>
      <c r="U238" s="33"/>
      <c r="V238" s="39"/>
      <c r="W238" s="90" t="b">
        <v>0</v>
      </c>
      <c r="X238" s="90" t="b">
        <v>0</v>
      </c>
      <c r="Y238" s="90" t="b">
        <v>0</v>
      </c>
      <c r="Z238" s="40" t="s">
        <v>3055</v>
      </c>
      <c r="AA238" s="41"/>
      <c r="AK238" s="16"/>
      <c r="AL238" s="16"/>
      <c r="AM238" s="16"/>
      <c r="AN238" s="16"/>
      <c r="AO238" s="16"/>
      <c r="AP238" s="16"/>
      <c r="AQ238" s="16"/>
      <c r="AR238" s="16"/>
      <c r="AS238" s="16"/>
    </row>
    <row r="239" spans="1:45" s="7" customFormat="1" ht="195" customHeight="1">
      <c r="A239" s="27">
        <f>[1]트램표준체크리스트!A237</f>
        <v>235</v>
      </c>
      <c r="B239" s="28" t="str">
        <f>[1]트램표준체크리스트!B237</f>
        <v>차량기지</v>
      </c>
      <c r="C239" s="29" t="str">
        <f>[1]트램표준체크리스트!C237</f>
        <v>차량기지 변전소 계획</v>
      </c>
      <c r="D239" s="30" t="str">
        <f>[1]트램표준체크리스트!F237</f>
        <v>체험시설과 위험 구역 간 물리적 차단 및 동선 분리 누락으로, 관람객이 차량 이동 경로에 무단 진입해 중대 인명사고가 발생할 리스크를 검토하였는가?</v>
      </c>
      <c r="E239" s="31" t="s">
        <v>2349</v>
      </c>
      <c r="F239" s="32" t="str">
        <f t="shared" si="7"/>
        <v>극상</v>
      </c>
      <c r="G239" s="63" t="s">
        <v>40</v>
      </c>
      <c r="H239" s="63" t="s">
        <v>41</v>
      </c>
      <c r="I239" s="34" t="s">
        <v>2350</v>
      </c>
      <c r="J239" s="33"/>
      <c r="K239" s="35"/>
      <c r="L239" s="33"/>
      <c r="M239" s="36"/>
      <c r="N239" s="33"/>
      <c r="O239" s="36"/>
      <c r="P239" s="33"/>
      <c r="Q239" s="37"/>
      <c r="R239" s="38"/>
      <c r="S239" s="33"/>
      <c r="T239" s="38"/>
      <c r="U239" s="33"/>
      <c r="V239" s="39"/>
      <c r="W239" s="90" t="b">
        <v>0</v>
      </c>
      <c r="X239" s="90" t="b">
        <v>0</v>
      </c>
      <c r="Y239" s="90" t="b">
        <v>0</v>
      </c>
      <c r="Z239" s="40" t="s">
        <v>3056</v>
      </c>
      <c r="AA239" s="41"/>
      <c r="AK239" s="16"/>
      <c r="AL239" s="16"/>
      <c r="AM239" s="16"/>
      <c r="AN239" s="16"/>
      <c r="AO239" s="16"/>
      <c r="AP239" s="16"/>
      <c r="AQ239" s="16"/>
      <c r="AR239" s="16"/>
      <c r="AS239" s="16"/>
    </row>
    <row r="240" spans="1:45" s="7" customFormat="1" ht="195" customHeight="1">
      <c r="A240" s="27">
        <f>[1]트램표준체크리스트!A238</f>
        <v>236</v>
      </c>
      <c r="B240" s="28" t="str">
        <f>[1]트램표준체크리스트!B238</f>
        <v>차량기지</v>
      </c>
      <c r="C240" s="29" t="str">
        <f>[1]트램표준체크리스트!C238</f>
        <v>차량기지 변전소 계획</v>
      </c>
      <c r="D240" s="30" t="str">
        <f>[1]트램표준체크리스트!F238</f>
        <v>종합관리동이 사각지대에 설계되어, 관제사가 기지 내 열차 이동 및 이례상황을 육안으로 즉각 확인하지 못할 리스크를 검토하였는가?</v>
      </c>
      <c r="E240" s="31" t="s">
        <v>2351</v>
      </c>
      <c r="F240" s="32" t="str">
        <f t="shared" si="7"/>
        <v>극상</v>
      </c>
      <c r="G240" s="63" t="s">
        <v>40</v>
      </c>
      <c r="H240" s="63" t="s">
        <v>41</v>
      </c>
      <c r="I240" s="34" t="s">
        <v>2352</v>
      </c>
      <c r="J240" s="33"/>
      <c r="K240" s="35"/>
      <c r="L240" s="33"/>
      <c r="M240" s="36"/>
      <c r="N240" s="33"/>
      <c r="O240" s="36"/>
      <c r="P240" s="33"/>
      <c r="Q240" s="37"/>
      <c r="R240" s="38"/>
      <c r="S240" s="33"/>
      <c r="T240" s="38"/>
      <c r="U240" s="33"/>
      <c r="V240" s="39"/>
      <c r="W240" s="90" t="b">
        <v>0</v>
      </c>
      <c r="X240" s="90" t="b">
        <v>0</v>
      </c>
      <c r="Y240" s="90" t="b">
        <v>0</v>
      </c>
      <c r="Z240" s="40" t="s">
        <v>3039</v>
      </c>
      <c r="AA240" s="41"/>
      <c r="AK240" s="16"/>
      <c r="AL240" s="16"/>
      <c r="AM240" s="16"/>
      <c r="AN240" s="16"/>
      <c r="AO240" s="16"/>
      <c r="AP240" s="16"/>
      <c r="AQ240" s="16"/>
      <c r="AR240" s="16"/>
      <c r="AS240" s="16"/>
    </row>
    <row r="241" spans="1:45" s="7" customFormat="1" ht="195" customHeight="1">
      <c r="A241" s="27">
        <f>[1]트램표준체크리스트!A239</f>
        <v>237</v>
      </c>
      <c r="B241" s="28" t="str">
        <f>[1]트램표준체크리스트!B239</f>
        <v>차량기지</v>
      </c>
      <c r="C241" s="29" t="str">
        <f>[1]트램표준체크리스트!C239</f>
        <v>차량기지 변전소 계획</v>
      </c>
      <c r="D241" s="30" t="str">
        <f>[1]트램표준체크리스트!F239</f>
        <v>변전소 동선 중첩 및 강제 환기 설비 용량 과소 설계로 한여름 장비 과열에 따른 전력 차단(블랙아웃) 리스크를 검토하였는가?</v>
      </c>
      <c r="E241" s="31" t="s">
        <v>2353</v>
      </c>
      <c r="F241" s="32" t="str">
        <f t="shared" si="7"/>
        <v>극상</v>
      </c>
      <c r="G241" s="63" t="s">
        <v>40</v>
      </c>
      <c r="H241" s="63" t="s">
        <v>41</v>
      </c>
      <c r="I241" s="34" t="s">
        <v>2354</v>
      </c>
      <c r="J241" s="33"/>
      <c r="K241" s="35"/>
      <c r="L241" s="33"/>
      <c r="M241" s="36"/>
      <c r="N241" s="33"/>
      <c r="O241" s="36"/>
      <c r="P241" s="33"/>
      <c r="Q241" s="37"/>
      <c r="R241" s="38"/>
      <c r="S241" s="33"/>
      <c r="T241" s="38"/>
      <c r="U241" s="33"/>
      <c r="V241" s="39"/>
      <c r="W241" s="90" t="b">
        <v>0</v>
      </c>
      <c r="X241" s="90" t="b">
        <v>0</v>
      </c>
      <c r="Y241" s="90" t="b">
        <v>0</v>
      </c>
      <c r="Z241" s="40" t="s">
        <v>3039</v>
      </c>
      <c r="AA241" s="41"/>
      <c r="AK241" s="16"/>
      <c r="AL241" s="16"/>
      <c r="AM241" s="16"/>
      <c r="AN241" s="16"/>
      <c r="AO241" s="16"/>
      <c r="AP241" s="16"/>
      <c r="AQ241" s="16"/>
      <c r="AR241" s="16"/>
      <c r="AS241" s="16"/>
    </row>
    <row r="242" spans="1:45" s="7" customFormat="1" ht="195" customHeight="1">
      <c r="A242" s="27">
        <f>[1]트램표준체크리스트!A240</f>
        <v>238</v>
      </c>
      <c r="B242" s="28" t="str">
        <f>[1]트램표준체크리스트!B240</f>
        <v>차량기지</v>
      </c>
      <c r="C242" s="29" t="str">
        <f>[1]트램표준체크리스트!C240</f>
        <v>차량기지 접지/피뢰계획</v>
      </c>
      <c r="D242" s="30" t="str">
        <f>[1]트램표준체크리스트!F240</f>
        <v>지반 특성을 무시한 접지망 및 서지보호기(SPD) 용량 부족으로 뇌서지 시 핵심 전자장비가 파손될 리스크를 검토하였는가?</v>
      </c>
      <c r="E242" s="31" t="s">
        <v>2355</v>
      </c>
      <c r="F242" s="32" t="str">
        <f t="shared" si="7"/>
        <v>극상</v>
      </c>
      <c r="G242" s="63" t="s">
        <v>40</v>
      </c>
      <c r="H242" s="63" t="s">
        <v>41</v>
      </c>
      <c r="I242" s="34" t="s">
        <v>2356</v>
      </c>
      <c r="J242" s="33"/>
      <c r="K242" s="35"/>
      <c r="L242" s="33"/>
      <c r="M242" s="36"/>
      <c r="N242" s="33"/>
      <c r="O242" s="36"/>
      <c r="P242" s="33"/>
      <c r="Q242" s="37"/>
      <c r="R242" s="38"/>
      <c r="S242" s="33"/>
      <c r="T242" s="38"/>
      <c r="U242" s="33"/>
      <c r="V242" s="39"/>
      <c r="W242" s="90" t="b">
        <v>0</v>
      </c>
      <c r="X242" s="90" t="b">
        <v>0</v>
      </c>
      <c r="Y242" s="90" t="b">
        <v>0</v>
      </c>
      <c r="Z242" s="40" t="s">
        <v>3057</v>
      </c>
      <c r="AA242" s="41"/>
      <c r="AK242" s="16"/>
      <c r="AL242" s="16"/>
      <c r="AM242" s="16"/>
      <c r="AN242" s="16"/>
      <c r="AO242" s="16"/>
      <c r="AP242" s="16"/>
      <c r="AQ242" s="16"/>
      <c r="AR242" s="16"/>
      <c r="AS242" s="16"/>
    </row>
    <row r="243" spans="1:45" s="7" customFormat="1" ht="195" customHeight="1">
      <c r="A243" s="27">
        <f>[1]트램표준체크리스트!A241</f>
        <v>239</v>
      </c>
      <c r="B243" s="28" t="str">
        <f>[1]트램표준체크리스트!B241</f>
        <v>차량기지</v>
      </c>
      <c r="C243" s="29" t="str">
        <f>[1]트램표준체크리스트!C241</f>
        <v>통신 및 승강설비</v>
      </c>
      <c r="D243" s="30" t="str">
        <f>[1]트램표준체크리스트!F241</f>
        <v>승강기 내부 CCTV 및 관제실 시스템 통신 연동 누락으로 고장 시 내부 상황 파악이 불가해질 리스크를 검토하였는가?</v>
      </c>
      <c r="E243" s="31" t="s">
        <v>2357</v>
      </c>
      <c r="F243" s="32" t="str">
        <f t="shared" si="7"/>
        <v>극상</v>
      </c>
      <c r="G243" s="63" t="s">
        <v>40</v>
      </c>
      <c r="H243" s="63" t="s">
        <v>41</v>
      </c>
      <c r="I243" s="34" t="s">
        <v>2358</v>
      </c>
      <c r="J243" s="33"/>
      <c r="K243" s="35"/>
      <c r="L243" s="33"/>
      <c r="M243" s="36"/>
      <c r="N243" s="33"/>
      <c r="O243" s="36"/>
      <c r="P243" s="33"/>
      <c r="Q243" s="37"/>
      <c r="R243" s="38"/>
      <c r="S243" s="33"/>
      <c r="T243" s="38"/>
      <c r="U243" s="33"/>
      <c r="V243" s="39"/>
      <c r="W243" s="90" t="b">
        <v>0</v>
      </c>
      <c r="X243" s="90" t="b">
        <v>0</v>
      </c>
      <c r="Y243" s="90" t="b">
        <v>0</v>
      </c>
      <c r="Z243" s="40" t="s">
        <v>3058</v>
      </c>
      <c r="AA243" s="41"/>
      <c r="AK243" s="16"/>
      <c r="AL243" s="16"/>
      <c r="AM243" s="16"/>
      <c r="AN243" s="16"/>
      <c r="AO243" s="16"/>
      <c r="AP243" s="16"/>
      <c r="AQ243" s="16"/>
      <c r="AR243" s="16"/>
      <c r="AS243" s="16"/>
    </row>
    <row r="244" spans="1:45" s="7" customFormat="1" ht="195" customHeight="1">
      <c r="A244" s="27">
        <f>[1]트램표준체크리스트!A242</f>
        <v>240</v>
      </c>
      <c r="B244" s="28" t="str">
        <f>[1]트램표준체크리스트!B242</f>
        <v>차량기지</v>
      </c>
      <c r="C244" s="29" t="str">
        <f>[1]트램표준체크리스트!C242</f>
        <v>폐기물 및 재활용품 보관소 계획</v>
      </c>
      <c r="D244" s="30" t="str">
        <f>[1]트램표준체크리스트!F242</f>
        <v>보관소가 외부 수거 차량 접근 불가 위치나 우천 노출 개방형으로 설계되어 기지 내 환경 오염 및 반출 지연이 발생할 리스크를 검토하였는가?</v>
      </c>
      <c r="E244" s="31" t="s">
        <v>2359</v>
      </c>
      <c r="F244" s="32" t="str">
        <f t="shared" si="7"/>
        <v>극상</v>
      </c>
      <c r="G244" s="63" t="s">
        <v>40</v>
      </c>
      <c r="H244" s="63" t="s">
        <v>41</v>
      </c>
      <c r="I244" s="34" t="s">
        <v>2360</v>
      </c>
      <c r="J244" s="33"/>
      <c r="K244" s="35"/>
      <c r="L244" s="33"/>
      <c r="M244" s="36"/>
      <c r="N244" s="33"/>
      <c r="O244" s="36"/>
      <c r="P244" s="33"/>
      <c r="Q244" s="37"/>
      <c r="R244" s="38"/>
      <c r="S244" s="33"/>
      <c r="T244" s="38"/>
      <c r="U244" s="33"/>
      <c r="V244" s="39"/>
      <c r="W244" s="90" t="b">
        <v>0</v>
      </c>
      <c r="X244" s="90" t="b">
        <v>0</v>
      </c>
      <c r="Y244" s="90" t="b">
        <v>0</v>
      </c>
      <c r="Z244" s="40" t="s">
        <v>3059</v>
      </c>
      <c r="AA244" s="41"/>
      <c r="AK244" s="16"/>
      <c r="AL244" s="16"/>
      <c r="AM244" s="16"/>
      <c r="AN244" s="16"/>
      <c r="AO244" s="16"/>
      <c r="AP244" s="16"/>
      <c r="AQ244" s="16"/>
      <c r="AR244" s="16"/>
      <c r="AS244" s="16"/>
    </row>
    <row r="245" spans="1:45" s="7" customFormat="1" ht="195" customHeight="1">
      <c r="A245" s="27">
        <f>[1]트램표준체크리스트!A243</f>
        <v>241</v>
      </c>
      <c r="B245" s="28" t="str">
        <f>[1]트램표준체크리스트!B243</f>
        <v>궤도</v>
      </c>
      <c r="C245" s="29" t="str">
        <f>[1]트램표준체크리스트!C243</f>
        <v>PSD</v>
      </c>
      <c r="D245" s="30" t="str">
        <f>[1]트램표준체크리스트!F243</f>
        <v>곡선 구간 승강장의 건축한계 확폭량이 궤도 선형(R값, 캔트)에 맞게 계산되었는가?</v>
      </c>
      <c r="E245" s="31" t="s">
        <v>3060</v>
      </c>
      <c r="F245" s="32" t="str">
        <f t="shared" si="7"/>
        <v>극상</v>
      </c>
      <c r="G245" s="63" t="s">
        <v>40</v>
      </c>
      <c r="H245" s="63" t="s">
        <v>41</v>
      </c>
      <c r="I245" s="34" t="s">
        <v>3061</v>
      </c>
      <c r="J245" s="33"/>
      <c r="K245" s="35"/>
      <c r="L245" s="33"/>
      <c r="M245" s="36"/>
      <c r="N245" s="33"/>
      <c r="O245" s="36"/>
      <c r="P245" s="33"/>
      <c r="Q245" s="37"/>
      <c r="R245" s="38"/>
      <c r="S245" s="33"/>
      <c r="T245" s="38"/>
      <c r="U245" s="33"/>
      <c r="V245" s="39"/>
      <c r="W245" s="90" t="b">
        <v>0</v>
      </c>
      <c r="X245" s="90" t="b">
        <v>0</v>
      </c>
      <c r="Y245" s="90" t="b">
        <v>0</v>
      </c>
      <c r="Z245" s="40" t="s">
        <v>3062</v>
      </c>
      <c r="AA245" s="41"/>
      <c r="AK245" s="16"/>
      <c r="AL245" s="16"/>
      <c r="AM245" s="16"/>
      <c r="AN245" s="16"/>
      <c r="AO245" s="16"/>
      <c r="AP245" s="16"/>
      <c r="AQ245" s="16"/>
      <c r="AR245" s="16"/>
      <c r="AS245" s="16"/>
    </row>
    <row r="246" spans="1:45" s="7" customFormat="1" ht="195" customHeight="1">
      <c r="A246" s="27">
        <f>[1]트램표준체크리스트!A244</f>
        <v>242</v>
      </c>
      <c r="B246" s="28" t="str">
        <f>[1]트램표준체크리스트!B244</f>
        <v>궤도</v>
      </c>
      <c r="C246" s="29" t="str">
        <f>[1]트램표준체크리스트!C244</f>
        <v>검수설비</v>
      </c>
      <c r="D246" s="30" t="str">
        <f>[1]트램표준체크리스트!F244</f>
        <v>검수고 등 유지관리 시설의 작업대 위치가 '건축한계' 기준인지 '차량 외곽' 기준인지 지침을 확인했는가?</v>
      </c>
      <c r="E246" s="31" t="s">
        <v>3063</v>
      </c>
      <c r="F246" s="32" t="str">
        <f t="shared" si="7"/>
        <v>극상</v>
      </c>
      <c r="G246" s="63" t="s">
        <v>40</v>
      </c>
      <c r="H246" s="63" t="s">
        <v>41</v>
      </c>
      <c r="I246" s="34" t="s">
        <v>3064</v>
      </c>
      <c r="J246" s="33"/>
      <c r="K246" s="35"/>
      <c r="L246" s="33"/>
      <c r="M246" s="36"/>
      <c r="N246" s="33"/>
      <c r="O246" s="36"/>
      <c r="P246" s="33"/>
      <c r="Q246" s="37"/>
      <c r="R246" s="38"/>
      <c r="S246" s="33"/>
      <c r="T246" s="38"/>
      <c r="U246" s="33"/>
      <c r="V246" s="39"/>
      <c r="W246" s="90" t="b">
        <v>0</v>
      </c>
      <c r="X246" s="90" t="b">
        <v>0</v>
      </c>
      <c r="Y246" s="90" t="b">
        <v>0</v>
      </c>
      <c r="Z246" s="40" t="s">
        <v>3065</v>
      </c>
      <c r="AA246" s="41"/>
      <c r="AK246" s="16"/>
      <c r="AL246" s="16"/>
      <c r="AM246" s="16"/>
      <c r="AN246" s="16"/>
      <c r="AO246" s="16"/>
      <c r="AP246" s="16"/>
      <c r="AQ246" s="16"/>
      <c r="AR246" s="16"/>
      <c r="AS246" s="16"/>
    </row>
    <row r="247" spans="1:45" s="7" customFormat="1" ht="195" customHeight="1">
      <c r="A247" s="27">
        <f>[1]트램표준체크리스트!A245</f>
        <v>243</v>
      </c>
      <c r="B247" s="28" t="str">
        <f>[1]트램표준체크리스트!B245</f>
        <v>궤도</v>
      </c>
      <c r="C247" s="29" t="str">
        <f>[1]트램표준체크리스트!C245</f>
        <v>구조물공</v>
      </c>
      <c r="D247" s="30" t="str">
        <f>[1]트램표준체크리스트!F245</f>
        <v>구조물 시공을 위한 가설재(거푸집, 동바리) 설치 공간이 시설한계를 침범하지 않는지 검토했는가?</v>
      </c>
      <c r="E247" s="31" t="s">
        <v>3066</v>
      </c>
      <c r="F247" s="32" t="str">
        <f t="shared" si="7"/>
        <v>극상</v>
      </c>
      <c r="G247" s="63" t="s">
        <v>40</v>
      </c>
      <c r="H247" s="63" t="s">
        <v>41</v>
      </c>
      <c r="I247" s="34" t="s">
        <v>3067</v>
      </c>
      <c r="J247" s="33"/>
      <c r="K247" s="35"/>
      <c r="L247" s="33"/>
      <c r="M247" s="36"/>
      <c r="N247" s="33"/>
      <c r="O247" s="36"/>
      <c r="P247" s="33"/>
      <c r="Q247" s="37"/>
      <c r="R247" s="38"/>
      <c r="S247" s="33"/>
      <c r="T247" s="38"/>
      <c r="U247" s="33"/>
      <c r="V247" s="39"/>
      <c r="W247" s="90" t="b">
        <v>0</v>
      </c>
      <c r="X247" s="90" t="b">
        <v>0</v>
      </c>
      <c r="Y247" s="90" t="b">
        <v>0</v>
      </c>
      <c r="Z247" s="40" t="s">
        <v>3068</v>
      </c>
      <c r="AA247" s="41"/>
      <c r="AK247" s="16"/>
      <c r="AL247" s="16"/>
      <c r="AM247" s="16"/>
      <c r="AN247" s="16"/>
      <c r="AO247" s="16"/>
      <c r="AP247" s="16"/>
      <c r="AQ247" s="16"/>
      <c r="AR247" s="16"/>
      <c r="AS247" s="16"/>
    </row>
    <row r="248" spans="1:45" s="7" customFormat="1" ht="195" customHeight="1">
      <c r="A248" s="27">
        <f>[1]트램표준체크리스트!A246</f>
        <v>244</v>
      </c>
      <c r="B248" s="28" t="str">
        <f>[1]트램표준체크리스트!B246</f>
        <v>궤도</v>
      </c>
      <c r="C248" s="29" t="str">
        <f>[1]트램표준체크리스트!C246</f>
        <v>승강장</v>
      </c>
      <c r="D248" s="30" t="str">
        <f>[1]트램표준체크리스트!F246</f>
        <v>승강장 연단 설계 시 차량 동적 한계(Dynamic Envelope)와 시공 오차 여유폭이 고려되었는가?</v>
      </c>
      <c r="E248" s="31" t="s">
        <v>3069</v>
      </c>
      <c r="F248" s="32" t="str">
        <f t="shared" si="7"/>
        <v>극상</v>
      </c>
      <c r="G248" s="63" t="s">
        <v>40</v>
      </c>
      <c r="H248" s="63" t="s">
        <v>41</v>
      </c>
      <c r="I248" s="34" t="s">
        <v>3070</v>
      </c>
      <c r="J248" s="33"/>
      <c r="K248" s="35"/>
      <c r="L248" s="33"/>
      <c r="M248" s="36"/>
      <c r="N248" s="33"/>
      <c r="O248" s="36"/>
      <c r="P248" s="33"/>
      <c r="Q248" s="37"/>
      <c r="R248" s="38"/>
      <c r="S248" s="33"/>
      <c r="T248" s="38"/>
      <c r="U248" s="33"/>
      <c r="V248" s="39"/>
      <c r="W248" s="90" t="b">
        <v>0</v>
      </c>
      <c r="X248" s="90" t="b">
        <v>0</v>
      </c>
      <c r="Y248" s="90" t="b">
        <v>0</v>
      </c>
      <c r="Z248" s="40" t="s">
        <v>3071</v>
      </c>
      <c r="AA248" s="41"/>
      <c r="AK248" s="16"/>
      <c r="AL248" s="16"/>
      <c r="AM248" s="16"/>
      <c r="AN248" s="16"/>
      <c r="AO248" s="16"/>
      <c r="AP248" s="16"/>
      <c r="AQ248" s="16"/>
      <c r="AR248" s="16"/>
      <c r="AS248" s="16"/>
    </row>
    <row r="249" spans="1:45" s="7" customFormat="1" ht="195" customHeight="1">
      <c r="A249" s="27">
        <f>[1]트램표준체크리스트!A247</f>
        <v>245</v>
      </c>
      <c r="B249" s="28" t="str">
        <f>[1]트램표준체크리스트!B247</f>
        <v>궤도</v>
      </c>
      <c r="C249" s="29" t="str">
        <f>[1]트램표준체크리스트!C247</f>
        <v>검수고 궤도계획</v>
      </c>
      <c r="D249" s="30" t="str">
        <f>[1]트램표준체크리스트!F247</f>
        <v>특수 검수장비 구간 레일 돌출 길이 설계 누락으로 장비 충돌 및 트램 정위치 진입이 불가해질 리스크를 검토하였는가?</v>
      </c>
      <c r="E249" s="31" t="s">
        <v>3072</v>
      </c>
      <c r="F249" s="32" t="str">
        <f t="shared" si="7"/>
        <v>극상</v>
      </c>
      <c r="G249" s="63" t="s">
        <v>40</v>
      </c>
      <c r="H249" s="63" t="s">
        <v>41</v>
      </c>
      <c r="I249" s="34" t="s">
        <v>3073</v>
      </c>
      <c r="J249" s="33"/>
      <c r="K249" s="35"/>
      <c r="L249" s="33"/>
      <c r="M249" s="36"/>
      <c r="N249" s="33"/>
      <c r="O249" s="36"/>
      <c r="P249" s="33"/>
      <c r="Q249" s="37"/>
      <c r="R249" s="38"/>
      <c r="S249" s="33"/>
      <c r="T249" s="38"/>
      <c r="U249" s="33"/>
      <c r="V249" s="39"/>
      <c r="W249" s="90" t="b">
        <v>0</v>
      </c>
      <c r="X249" s="90" t="b">
        <v>0</v>
      </c>
      <c r="Y249" s="90" t="b">
        <v>0</v>
      </c>
      <c r="Z249" s="40" t="s">
        <v>3074</v>
      </c>
      <c r="AA249" s="41"/>
      <c r="AK249" s="16"/>
      <c r="AL249" s="16"/>
      <c r="AM249" s="16"/>
      <c r="AN249" s="16"/>
      <c r="AO249" s="16"/>
      <c r="AP249" s="16"/>
      <c r="AQ249" s="16"/>
      <c r="AR249" s="16"/>
      <c r="AS249" s="16"/>
    </row>
    <row r="250" spans="1:45" s="7" customFormat="1" ht="195" customHeight="1">
      <c r="A250" s="27">
        <f>[1]트램표준체크리스트!A248</f>
        <v>246</v>
      </c>
      <c r="B250" s="28" t="str">
        <f>[1]트램표준체크리스트!B248</f>
        <v>궤도</v>
      </c>
      <c r="C250" s="29" t="str">
        <f>[1]트램표준체크리스트!C248</f>
        <v>검수고 궤도계획</v>
      </c>
      <c r="D250" s="30" t="str">
        <f>[1]트램표준체크리스트!F248</f>
        <v>특수 궤도(PIT, H-Beam) 구간의 토목-궤도 간 시공 한계 불명확으로, 선행 구조물 오차 누적에 따른 궤도 조립 불가 리스크를 검토하였는가?</v>
      </c>
      <c r="E250" s="31" t="s">
        <v>3075</v>
      </c>
      <c r="F250" s="32" t="str">
        <f t="shared" si="7"/>
        <v>극상</v>
      </c>
      <c r="G250" s="63" t="s">
        <v>40</v>
      </c>
      <c r="H250" s="63" t="s">
        <v>41</v>
      </c>
      <c r="I250" s="34" t="s">
        <v>3076</v>
      </c>
      <c r="J250" s="33"/>
      <c r="K250" s="35"/>
      <c r="L250" s="33"/>
      <c r="M250" s="36"/>
      <c r="N250" s="33"/>
      <c r="O250" s="36"/>
      <c r="P250" s="33"/>
      <c r="Q250" s="37"/>
      <c r="R250" s="38"/>
      <c r="S250" s="33"/>
      <c r="T250" s="38"/>
      <c r="U250" s="33"/>
      <c r="V250" s="39"/>
      <c r="W250" s="90" t="b">
        <v>0</v>
      </c>
      <c r="X250" s="90" t="b">
        <v>0</v>
      </c>
      <c r="Y250" s="90" t="b">
        <v>0</v>
      </c>
      <c r="Z250" s="40" t="s">
        <v>3077</v>
      </c>
      <c r="AA250" s="41"/>
      <c r="AK250" s="16"/>
      <c r="AL250" s="16"/>
      <c r="AM250" s="16"/>
      <c r="AN250" s="16"/>
      <c r="AO250" s="16"/>
      <c r="AP250" s="16"/>
      <c r="AQ250" s="16"/>
      <c r="AR250" s="16"/>
      <c r="AS250" s="16"/>
    </row>
    <row r="251" spans="1:45" s="7" customFormat="1" ht="195" customHeight="1">
      <c r="A251" s="27">
        <f>[1]트램표준체크리스트!A249</f>
        <v>247</v>
      </c>
      <c r="B251" s="28" t="str">
        <f>[1]트램표준체크리스트!B249</f>
        <v>궤도</v>
      </c>
      <c r="C251" s="29" t="str">
        <f>[1]트램표준체크리스트!C249</f>
        <v>교량구간 궤도계획</v>
      </c>
      <c r="D251" s="30" t="str">
        <f>[1]트램표준체크리스트!F249</f>
        <v>레일 신축이음매 및 접속부 수직강성 체감구조 누락으로 장대레일 축력 발생에 따른 좌굴 및 체결장치 파괴 리스크를 검토하였는가?</v>
      </c>
      <c r="E251" s="31" t="s">
        <v>3078</v>
      </c>
      <c r="F251" s="32" t="str">
        <f t="shared" si="7"/>
        <v>극상</v>
      </c>
      <c r="G251" s="63" t="s">
        <v>40</v>
      </c>
      <c r="H251" s="63" t="s">
        <v>41</v>
      </c>
      <c r="I251" s="34" t="s">
        <v>3079</v>
      </c>
      <c r="J251" s="33"/>
      <c r="K251" s="35"/>
      <c r="L251" s="33"/>
      <c r="M251" s="36"/>
      <c r="N251" s="33"/>
      <c r="O251" s="36"/>
      <c r="P251" s="33"/>
      <c r="Q251" s="37"/>
      <c r="R251" s="38"/>
      <c r="S251" s="33"/>
      <c r="T251" s="38"/>
      <c r="U251" s="33"/>
      <c r="V251" s="39"/>
      <c r="W251" s="90" t="b">
        <v>0</v>
      </c>
      <c r="X251" s="90" t="b">
        <v>0</v>
      </c>
      <c r="Y251" s="90" t="b">
        <v>0</v>
      </c>
      <c r="Z251" s="40" t="s">
        <v>3080</v>
      </c>
      <c r="AA251" s="41"/>
      <c r="AK251" s="16"/>
      <c r="AL251" s="16"/>
      <c r="AM251" s="16"/>
      <c r="AN251" s="16"/>
      <c r="AO251" s="16"/>
      <c r="AP251" s="16"/>
      <c r="AQ251" s="16"/>
      <c r="AR251" s="16"/>
      <c r="AS251" s="16"/>
    </row>
    <row r="252" spans="1:45" s="7" customFormat="1" ht="195" customHeight="1">
      <c r="A252" s="27">
        <f>[1]트램표준체크리스트!A250</f>
        <v>248</v>
      </c>
      <c r="B252" s="28" t="str">
        <f>[1]트램표준체크리스트!B250</f>
        <v>궤도</v>
      </c>
      <c r="C252" s="29" t="str">
        <f>[1]트램표준체크리스트!C250</f>
        <v>교량구간 궤도계획</v>
      </c>
      <c r="D252" s="30" t="str">
        <f>[1]트램표준체크리스트!F250</f>
        <v>신축량 검토 및 레일 신축이음매 누락으로 교량단부 레일 좌굴·파단에 따른 심각한 탈선 사고 리스크를 검토하였는가?</v>
      </c>
      <c r="E252" s="31" t="s">
        <v>3081</v>
      </c>
      <c r="F252" s="32" t="str">
        <f t="shared" si="7"/>
        <v>극상</v>
      </c>
      <c r="G252" s="63" t="s">
        <v>40</v>
      </c>
      <c r="H252" s="63" t="s">
        <v>41</v>
      </c>
      <c r="I252" s="34" t="s">
        <v>3082</v>
      </c>
      <c r="J252" s="33"/>
      <c r="K252" s="35"/>
      <c r="L252" s="33"/>
      <c r="M252" s="36"/>
      <c r="N252" s="33"/>
      <c r="O252" s="36"/>
      <c r="P252" s="33"/>
      <c r="Q252" s="37"/>
      <c r="R252" s="38"/>
      <c r="S252" s="33"/>
      <c r="T252" s="38"/>
      <c r="U252" s="33"/>
      <c r="V252" s="39"/>
      <c r="W252" s="90" t="b">
        <v>0</v>
      </c>
      <c r="X252" s="90" t="b">
        <v>0</v>
      </c>
      <c r="Y252" s="90" t="b">
        <v>0</v>
      </c>
      <c r="Z252" s="40" t="s">
        <v>3083</v>
      </c>
      <c r="AA252" s="41"/>
      <c r="AK252" s="16"/>
      <c r="AL252" s="16"/>
      <c r="AM252" s="16"/>
      <c r="AN252" s="16"/>
      <c r="AO252" s="16"/>
      <c r="AP252" s="16"/>
      <c r="AQ252" s="16"/>
      <c r="AR252" s="16"/>
      <c r="AS252" s="16"/>
    </row>
    <row r="253" spans="1:45" s="7" customFormat="1" ht="195" customHeight="1">
      <c r="A253" s="27">
        <f>[1]트램표준체크리스트!A251</f>
        <v>249</v>
      </c>
      <c r="B253" s="28" t="str">
        <f>[1]트램표준체크리스트!B251</f>
        <v>궤도</v>
      </c>
      <c r="C253" s="29" t="str">
        <f>[1]트램표준체크리스트!C251</f>
        <v>교량구간 궤도계획</v>
      </c>
      <c r="D253" s="30" t="str">
        <f>[1]트램표준체크리스트!F251</f>
        <v>최소 이격거리 기준 위배 설계로 교량 거동이 분기기 텅레일에 전달되어 선로 전환 장애 및 궤도 파손이 유발될 리스크를 검토하였는가?</v>
      </c>
      <c r="E253" s="31" t="s">
        <v>3084</v>
      </c>
      <c r="F253" s="32" t="str">
        <f t="shared" si="7"/>
        <v>극상</v>
      </c>
      <c r="G253" s="63" t="s">
        <v>40</v>
      </c>
      <c r="H253" s="63" t="s">
        <v>41</v>
      </c>
      <c r="I253" s="34" t="s">
        <v>3085</v>
      </c>
      <c r="J253" s="33"/>
      <c r="K253" s="35"/>
      <c r="L253" s="33"/>
      <c r="M253" s="36"/>
      <c r="N253" s="33"/>
      <c r="O253" s="36"/>
      <c r="P253" s="33"/>
      <c r="Q253" s="37"/>
      <c r="R253" s="38"/>
      <c r="S253" s="33"/>
      <c r="T253" s="38"/>
      <c r="U253" s="33"/>
      <c r="V253" s="39"/>
      <c r="W253" s="90" t="b">
        <v>0</v>
      </c>
      <c r="X253" s="90" t="b">
        <v>0</v>
      </c>
      <c r="Y253" s="90" t="b">
        <v>0</v>
      </c>
      <c r="Z253" s="40" t="s">
        <v>3086</v>
      </c>
      <c r="AA253" s="41"/>
      <c r="AK253" s="16"/>
      <c r="AL253" s="16"/>
      <c r="AM253" s="16"/>
      <c r="AN253" s="16"/>
      <c r="AO253" s="16"/>
      <c r="AP253" s="16"/>
      <c r="AQ253" s="16"/>
      <c r="AR253" s="16"/>
      <c r="AS253" s="16"/>
    </row>
    <row r="254" spans="1:45" s="7" customFormat="1" ht="195" customHeight="1">
      <c r="A254" s="27">
        <f>[1]트램표준체크리스트!A252</f>
        <v>250</v>
      </c>
      <c r="B254" s="28" t="str">
        <f>[1]트램표준체크리스트!B252</f>
        <v>궤도</v>
      </c>
      <c r="C254" s="29" t="str">
        <f>[1]트램표준체크리스트!C252</f>
        <v>교량구간 궤도계획</v>
      </c>
      <c r="D254" s="30" t="str">
        <f>[1]트램표준체크리스트!F252</f>
        <v>교량 궤도 하부 방수시트 및 보호 콘크리트층(PCL) 설계 누락으로 수분이 침투해 구조물 열화 및 부식을 유발할 리스크를 검토하였는가?</v>
      </c>
      <c r="E254" s="31" t="s">
        <v>3087</v>
      </c>
      <c r="F254" s="32" t="str">
        <f t="shared" si="7"/>
        <v>극상</v>
      </c>
      <c r="G254" s="63" t="s">
        <v>40</v>
      </c>
      <c r="H254" s="63" t="s">
        <v>41</v>
      </c>
      <c r="I254" s="34" t="s">
        <v>3088</v>
      </c>
      <c r="J254" s="33"/>
      <c r="K254" s="35"/>
      <c r="L254" s="33"/>
      <c r="M254" s="36"/>
      <c r="N254" s="33"/>
      <c r="O254" s="36"/>
      <c r="P254" s="33"/>
      <c r="Q254" s="37"/>
      <c r="R254" s="38"/>
      <c r="S254" s="33"/>
      <c r="T254" s="38"/>
      <c r="U254" s="33"/>
      <c r="V254" s="39"/>
      <c r="W254" s="90" t="b">
        <v>0</v>
      </c>
      <c r="X254" s="90" t="b">
        <v>0</v>
      </c>
      <c r="Y254" s="90" t="b">
        <v>0</v>
      </c>
      <c r="Z254" s="40" t="s">
        <v>3080</v>
      </c>
      <c r="AA254" s="41"/>
      <c r="AK254" s="16"/>
      <c r="AL254" s="16"/>
      <c r="AM254" s="16"/>
      <c r="AN254" s="16"/>
      <c r="AO254" s="16"/>
      <c r="AP254" s="16"/>
      <c r="AQ254" s="16"/>
      <c r="AR254" s="16"/>
      <c r="AS254" s="16"/>
    </row>
    <row r="255" spans="1:45" s="7" customFormat="1" ht="195" customHeight="1">
      <c r="A255" s="27">
        <f>[1]트램표준체크리스트!A253</f>
        <v>251</v>
      </c>
      <c r="B255" s="28" t="str">
        <f>[1]트램표준체크리스트!B253</f>
        <v>궤도</v>
      </c>
      <c r="C255" s="29" t="str">
        <f>[1]트램표준체크리스트!C253</f>
        <v>교량구간 궤도계획</v>
      </c>
      <c r="D255" s="30" t="str">
        <f>[1]트램표준체크리스트!F253</f>
        <v>아스팔트 철거 후 단차(60mm) 보정 및 방수 설계 누락으로, 슬래브·도상 간 우수 침투 및 지지력이 불균일해질 리스크를 검토하였는가?</v>
      </c>
      <c r="E255" s="31" t="s">
        <v>3089</v>
      </c>
      <c r="F255" s="32" t="str">
        <f t="shared" si="7"/>
        <v>극상</v>
      </c>
      <c r="G255" s="63" t="s">
        <v>40</v>
      </c>
      <c r="H255" s="63" t="s">
        <v>41</v>
      </c>
      <c r="I255" s="34" t="s">
        <v>3090</v>
      </c>
      <c r="J255" s="33"/>
      <c r="K255" s="35"/>
      <c r="L255" s="33"/>
      <c r="M255" s="36"/>
      <c r="N255" s="33"/>
      <c r="O255" s="36"/>
      <c r="P255" s="33"/>
      <c r="Q255" s="37"/>
      <c r="R255" s="38"/>
      <c r="S255" s="33"/>
      <c r="T255" s="38"/>
      <c r="U255" s="33"/>
      <c r="V255" s="39"/>
      <c r="W255" s="90" t="b">
        <v>0</v>
      </c>
      <c r="X255" s="90" t="b">
        <v>0</v>
      </c>
      <c r="Y255" s="90" t="b">
        <v>0</v>
      </c>
      <c r="Z255" s="40" t="s">
        <v>3091</v>
      </c>
      <c r="AA255" s="41"/>
      <c r="AK255" s="16"/>
      <c r="AL255" s="16"/>
      <c r="AM255" s="16"/>
      <c r="AN255" s="16"/>
      <c r="AO255" s="16"/>
      <c r="AP255" s="16"/>
      <c r="AQ255" s="16"/>
      <c r="AR255" s="16"/>
      <c r="AS255" s="16"/>
    </row>
    <row r="256" spans="1:45" s="7" customFormat="1" ht="195" customHeight="1">
      <c r="A256" s="27">
        <f>[1]트램표준체크리스트!A254</f>
        <v>252</v>
      </c>
      <c r="B256" s="28" t="str">
        <f>[1]트램표준체크리스트!B254</f>
        <v>궤도</v>
      </c>
      <c r="C256" s="29" t="str">
        <f>[1]트램표준체크리스트!C254</f>
        <v>교량구간 궤도계획</v>
      </c>
      <c r="D256" s="30" t="str">
        <f>[1]트램표준체크리스트!F254</f>
        <v>교량 거동(처짐, 진동) 대응 구조 누락으로 개통 후 트러프와 레일 고정 수지 이격 및 누수가 발생할 리스크를 검토하였는가?</v>
      </c>
      <c r="E256" s="31" t="s">
        <v>3092</v>
      </c>
      <c r="F256" s="32" t="str">
        <f t="shared" si="7"/>
        <v>극상</v>
      </c>
      <c r="G256" s="63" t="s">
        <v>40</v>
      </c>
      <c r="H256" s="63" t="s">
        <v>41</v>
      </c>
      <c r="I256" s="34" t="s">
        <v>3093</v>
      </c>
      <c r="J256" s="33"/>
      <c r="K256" s="35"/>
      <c r="L256" s="33"/>
      <c r="M256" s="36"/>
      <c r="N256" s="33"/>
      <c r="O256" s="36"/>
      <c r="P256" s="33"/>
      <c r="Q256" s="37"/>
      <c r="R256" s="38"/>
      <c r="S256" s="33"/>
      <c r="T256" s="38"/>
      <c r="U256" s="33"/>
      <c r="V256" s="39"/>
      <c r="W256" s="90" t="b">
        <v>0</v>
      </c>
      <c r="X256" s="90" t="b">
        <v>0</v>
      </c>
      <c r="Y256" s="90" t="b">
        <v>0</v>
      </c>
      <c r="Z256" s="40" t="s">
        <v>3080</v>
      </c>
      <c r="AA256" s="41"/>
      <c r="AK256" s="16"/>
      <c r="AL256" s="16"/>
      <c r="AM256" s="16"/>
      <c r="AN256" s="16"/>
      <c r="AO256" s="16"/>
      <c r="AP256" s="16"/>
      <c r="AQ256" s="16"/>
      <c r="AR256" s="16"/>
      <c r="AS256" s="16"/>
    </row>
    <row r="257" spans="1:45" s="7" customFormat="1" ht="195" customHeight="1">
      <c r="A257" s="27">
        <f>[1]트램표준체크리스트!A255</f>
        <v>253</v>
      </c>
      <c r="B257" s="28" t="str">
        <f>[1]트램표준체크리스트!B255</f>
        <v>궤도</v>
      </c>
      <c r="C257" s="29" t="str">
        <f>[1]트램표준체크리스트!C255</f>
        <v>교량구간 궤도계획</v>
      </c>
      <c r="D257" s="30" t="str">
        <f>[1]트램표준체크리스트!F255</f>
        <v>교량구간 우회공간 부족 리스크를 검토하였는가?</v>
      </c>
      <c r="E257" s="31" t="s">
        <v>3094</v>
      </c>
      <c r="F257" s="32" t="str">
        <f t="shared" si="7"/>
        <v>극상</v>
      </c>
      <c r="G257" s="63" t="s">
        <v>40</v>
      </c>
      <c r="H257" s="63" t="s">
        <v>41</v>
      </c>
      <c r="I257" s="34" t="s">
        <v>3095</v>
      </c>
      <c r="J257" s="33"/>
      <c r="K257" s="35"/>
      <c r="L257" s="33"/>
      <c r="M257" s="36"/>
      <c r="N257" s="33"/>
      <c r="O257" s="36"/>
      <c r="P257" s="33"/>
      <c r="Q257" s="37"/>
      <c r="R257" s="38"/>
      <c r="S257" s="33"/>
      <c r="T257" s="38"/>
      <c r="U257" s="33"/>
      <c r="V257" s="39"/>
      <c r="W257" s="90" t="b">
        <v>0</v>
      </c>
      <c r="X257" s="90" t="b">
        <v>0</v>
      </c>
      <c r="Y257" s="90" t="b">
        <v>0</v>
      </c>
      <c r="Z257" s="40" t="s">
        <v>3096</v>
      </c>
      <c r="AA257" s="41"/>
      <c r="AK257" s="16"/>
      <c r="AL257" s="16"/>
      <c r="AM257" s="16"/>
      <c r="AN257" s="16"/>
      <c r="AO257" s="16"/>
      <c r="AP257" s="16"/>
      <c r="AQ257" s="16"/>
      <c r="AR257" s="16"/>
      <c r="AS257" s="16"/>
    </row>
    <row r="258" spans="1:45" s="7" customFormat="1" ht="195" customHeight="1">
      <c r="A258" s="27">
        <f>[1]트램표준체크리스트!A256</f>
        <v>254</v>
      </c>
      <c r="B258" s="28" t="str">
        <f>[1]트램표준체크리스트!B256</f>
        <v>궤도</v>
      </c>
      <c r="C258" s="29" t="str">
        <f>[1]트램표준체크리스트!C256</f>
        <v>교차로 궤도계획</v>
      </c>
      <c r="D258" s="30" t="str">
        <f>[1]트램표준체크리스트!F256</f>
        <v>플랜지웨이 폭 47mm 초과 설계 및 보호설비 누락으로 도로 이용자 바퀴 걸림 사고가 유발될 리스크를 검토하였는가?</v>
      </c>
      <c r="E258" s="31" t="s">
        <v>3097</v>
      </c>
      <c r="F258" s="32" t="str">
        <f t="shared" si="7"/>
        <v>극상</v>
      </c>
      <c r="G258" s="63" t="s">
        <v>40</v>
      </c>
      <c r="H258" s="63" t="s">
        <v>41</v>
      </c>
      <c r="I258" s="34" t="s">
        <v>3098</v>
      </c>
      <c r="J258" s="33"/>
      <c r="K258" s="35"/>
      <c r="L258" s="33"/>
      <c r="M258" s="36"/>
      <c r="N258" s="33"/>
      <c r="O258" s="36"/>
      <c r="P258" s="33"/>
      <c r="Q258" s="37"/>
      <c r="R258" s="38"/>
      <c r="S258" s="33"/>
      <c r="T258" s="38"/>
      <c r="U258" s="33"/>
      <c r="V258" s="39"/>
      <c r="W258" s="90" t="b">
        <v>1</v>
      </c>
      <c r="X258" s="90" t="b">
        <v>0</v>
      </c>
      <c r="Y258" s="90" t="b">
        <v>0</v>
      </c>
      <c r="Z258" s="40" t="s">
        <v>3099</v>
      </c>
      <c r="AA258" s="41"/>
      <c r="AK258" s="16"/>
      <c r="AL258" s="16"/>
      <c r="AM258" s="16"/>
      <c r="AN258" s="16"/>
      <c r="AO258" s="16"/>
      <c r="AP258" s="16"/>
      <c r="AQ258" s="16"/>
      <c r="AR258" s="16"/>
      <c r="AS258" s="16"/>
    </row>
    <row r="259" spans="1:45" s="7" customFormat="1" ht="195" customHeight="1">
      <c r="A259" s="27">
        <f>[1]트램표준체크리스트!A257</f>
        <v>255</v>
      </c>
      <c r="B259" s="28" t="str">
        <f>[1]트램표준체크리스트!B257</f>
        <v>궤도</v>
      </c>
      <c r="C259" s="29" t="str">
        <f>[1]트램표준체크리스트!C257</f>
        <v>교차로 궤도계획</v>
      </c>
      <c r="D259" s="30" t="str">
        <f>[1]트램표준체크리스트!F257</f>
        <v>교차로 전체 현장타설(Cast-in-place) 설계로 장기간 도로 통제에 따른 극심한 교통 민원 및 공기 지연이 유발될 리스크를 검토하였는가?</v>
      </c>
      <c r="E259" s="31" t="s">
        <v>3100</v>
      </c>
      <c r="F259" s="32" t="str">
        <f t="shared" si="7"/>
        <v>극상</v>
      </c>
      <c r="G259" s="63" t="s">
        <v>40</v>
      </c>
      <c r="H259" s="63" t="s">
        <v>41</v>
      </c>
      <c r="I259" s="34" t="s">
        <v>3101</v>
      </c>
      <c r="J259" s="33"/>
      <c r="K259" s="35"/>
      <c r="L259" s="33"/>
      <c r="M259" s="36"/>
      <c r="N259" s="33"/>
      <c r="O259" s="36"/>
      <c r="P259" s="33"/>
      <c r="Q259" s="37"/>
      <c r="R259" s="38"/>
      <c r="S259" s="33"/>
      <c r="T259" s="38"/>
      <c r="U259" s="33"/>
      <c r="V259" s="39"/>
      <c r="W259" s="90" t="b">
        <v>1</v>
      </c>
      <c r="X259" s="90" t="b">
        <v>1</v>
      </c>
      <c r="Y259" s="90" t="b">
        <v>0</v>
      </c>
      <c r="Z259" s="40" t="s">
        <v>3080</v>
      </c>
      <c r="AA259" s="41"/>
      <c r="AK259" s="16"/>
      <c r="AL259" s="16"/>
      <c r="AM259" s="16"/>
      <c r="AN259" s="16"/>
      <c r="AO259" s="16"/>
      <c r="AP259" s="16"/>
      <c r="AQ259" s="16"/>
      <c r="AR259" s="16"/>
      <c r="AS259" s="16"/>
    </row>
    <row r="260" spans="1:45" s="7" customFormat="1" ht="195" customHeight="1">
      <c r="A260" s="27">
        <f>[1]트램표준체크리스트!A258</f>
        <v>256</v>
      </c>
      <c r="B260" s="28" t="str">
        <f>[1]트램표준체크리스트!B258</f>
        <v>궤도</v>
      </c>
      <c r="C260" s="29" t="str">
        <f>[1]트램표준체크리스트!C258</f>
        <v>교차로 궤도계획</v>
      </c>
      <c r="D260" s="30" t="str">
        <f>[1]트램표준체크리스트!F258</f>
        <v>교차로 구간 현장타설 공법 적용에 따른 양생 기간 도로 통제로 극심한 교통 정체 및 대규모 민원이 유발될 리스크를 검토하였는가?</v>
      </c>
      <c r="E260" s="31" t="s">
        <v>3102</v>
      </c>
      <c r="F260" s="32" t="str">
        <f t="shared" si="7"/>
        <v>극상</v>
      </c>
      <c r="G260" s="63" t="s">
        <v>40</v>
      </c>
      <c r="H260" s="63" t="s">
        <v>41</v>
      </c>
      <c r="I260" s="34" t="s">
        <v>3103</v>
      </c>
      <c r="J260" s="33"/>
      <c r="K260" s="35"/>
      <c r="L260" s="33"/>
      <c r="M260" s="36"/>
      <c r="N260" s="33"/>
      <c r="O260" s="36"/>
      <c r="P260" s="33"/>
      <c r="Q260" s="37"/>
      <c r="R260" s="38"/>
      <c r="S260" s="33"/>
      <c r="T260" s="38"/>
      <c r="U260" s="33"/>
      <c r="V260" s="39"/>
      <c r="W260" s="90" t="b">
        <v>1</v>
      </c>
      <c r="X260" s="90" t="b">
        <v>1</v>
      </c>
      <c r="Y260" s="90" t="b">
        <v>0</v>
      </c>
      <c r="Z260" s="40" t="s">
        <v>3104</v>
      </c>
      <c r="AA260" s="41"/>
      <c r="AK260" s="16"/>
      <c r="AL260" s="16"/>
      <c r="AM260" s="16"/>
      <c r="AN260" s="16"/>
      <c r="AO260" s="16"/>
      <c r="AP260" s="16"/>
      <c r="AQ260" s="16"/>
      <c r="AR260" s="16"/>
      <c r="AS260" s="16"/>
    </row>
    <row r="261" spans="1:45" s="7" customFormat="1" ht="195" customHeight="1">
      <c r="A261" s="27">
        <f>[1]트램표준체크리스트!A259</f>
        <v>257</v>
      </c>
      <c r="B261" s="28" t="str">
        <f>[1]트램표준체크리스트!B259</f>
        <v>궤도</v>
      </c>
      <c r="C261" s="29" t="str">
        <f>[1]트램표준체크리스트!C259</f>
        <v>궤도 단면계획</v>
      </c>
      <c r="D261" s="30" t="str">
        <f>[1]트램표준체크리스트!F259</f>
        <v>전기 절연 구조 및 누설전류 포집 대책 누락으로 인접 지중 관로(가스관, 상수관 등)에 심각한 부식(전식)이 발생할 대형 재난 리스크를 검토하였는가?</v>
      </c>
      <c r="E261" s="31" t="s">
        <v>3105</v>
      </c>
      <c r="F261" s="32" t="str">
        <f t="shared" si="7"/>
        <v>극상</v>
      </c>
      <c r="G261" s="63" t="s">
        <v>40</v>
      </c>
      <c r="H261" s="63" t="s">
        <v>41</v>
      </c>
      <c r="I261" s="34" t="s">
        <v>3106</v>
      </c>
      <c r="J261" s="33"/>
      <c r="K261" s="35"/>
      <c r="L261" s="33"/>
      <c r="M261" s="36"/>
      <c r="N261" s="33"/>
      <c r="O261" s="36"/>
      <c r="P261" s="33"/>
      <c r="Q261" s="37"/>
      <c r="R261" s="38"/>
      <c r="S261" s="33"/>
      <c r="T261" s="38"/>
      <c r="U261" s="33"/>
      <c r="V261" s="39"/>
      <c r="W261" s="90" t="b">
        <v>1</v>
      </c>
      <c r="X261" s="90" t="b">
        <v>0</v>
      </c>
      <c r="Y261" s="90" t="b">
        <v>0</v>
      </c>
      <c r="Z261" s="40" t="s">
        <v>3080</v>
      </c>
      <c r="AA261" s="41"/>
      <c r="AK261" s="16"/>
      <c r="AL261" s="16"/>
      <c r="AM261" s="16"/>
      <c r="AN261" s="16"/>
      <c r="AO261" s="16"/>
      <c r="AP261" s="16"/>
      <c r="AQ261" s="16"/>
      <c r="AR261" s="16"/>
      <c r="AS261" s="16"/>
    </row>
    <row r="262" spans="1:45" s="7" customFormat="1" ht="195" customHeight="1">
      <c r="A262" s="27">
        <f>[1]트램표준체크리스트!A260</f>
        <v>258</v>
      </c>
      <c r="B262" s="28" t="str">
        <f>[1]트램표준체크리스트!B260</f>
        <v>궤도</v>
      </c>
      <c r="C262" s="29" t="str">
        <f>[1]트램표준체크리스트!C260</f>
        <v>궤도 단면계획</v>
      </c>
      <c r="D262" s="30" t="str">
        <f>[1]트램표준체크리스트!F260</f>
        <v>궤도 전기 절연재 및 전식방지 포집망 누락으로 도심 지하시설물(가스관, 상수도 등)이 부식되어 폭발·누수 사고가 발생할 리스크를 검토하였는가?</v>
      </c>
      <c r="E262" s="31" t="s">
        <v>3107</v>
      </c>
      <c r="F262" s="32" t="str">
        <f>_xlfn.LET(
    _xlpm.v_발생, IF(ISNUMBER(SEARCH("빈번", G262)), "상",
               IF(ISNUMBER(SEARCH("거의", G262)), "하", "중")),
    _xlpm.v_영향, IF(ISNUMBER(SEARCH("1개월", H262)), "상",
               IF(ISNUMBER(SEARCH("없음", H262)), "하", "중")),
    IF(AND(_xlpm.v_발생="상", _xlpm.v_영향="상"), "극상",
    IF(OR(_xlpm.v_발생="상", _xlpm.v_영향="상"), "상",
    IF(AND(_xlpm.v_발생="하", _xlpm.v_영향="하"), "하",
    "중")))
)</f>
        <v>극상</v>
      </c>
      <c r="G262" s="63" t="s">
        <v>40</v>
      </c>
      <c r="H262" s="63" t="s">
        <v>41</v>
      </c>
      <c r="I262" s="34" t="s">
        <v>3108</v>
      </c>
      <c r="J262" s="33"/>
      <c r="K262" s="35"/>
      <c r="L262" s="33"/>
      <c r="M262" s="36"/>
      <c r="N262" s="33"/>
      <c r="O262" s="36"/>
      <c r="P262" s="33"/>
      <c r="Q262" s="37"/>
      <c r="R262" s="38"/>
      <c r="S262" s="33"/>
      <c r="T262" s="38"/>
      <c r="U262" s="33"/>
      <c r="V262" s="39"/>
      <c r="W262" s="90" t="b">
        <v>1</v>
      </c>
      <c r="X262" s="90" t="b">
        <v>0</v>
      </c>
      <c r="Y262" s="90" t="b">
        <v>0</v>
      </c>
      <c r="Z262" s="40" t="s">
        <v>3109</v>
      </c>
      <c r="AA262" s="41"/>
      <c r="AK262" s="16"/>
      <c r="AL262" s="16"/>
      <c r="AM262" s="16"/>
      <c r="AN262" s="16"/>
      <c r="AO262" s="16"/>
      <c r="AP262" s="16"/>
      <c r="AQ262" s="16"/>
      <c r="AR262" s="16"/>
      <c r="AS262" s="16"/>
    </row>
    <row r="263" spans="1:45" s="7" customFormat="1" ht="195" customHeight="1">
      <c r="A263" s="27">
        <f>[1]트램표준체크리스트!A261</f>
        <v>259</v>
      </c>
      <c r="B263" s="28" t="str">
        <f>[1]트램표준체크리스트!B261</f>
        <v>궤도</v>
      </c>
      <c r="C263" s="29" t="str">
        <f>[1]트램표준체크리스트!C261</f>
        <v>궤도 단면계획</v>
      </c>
      <c r="D263" s="30" t="str">
        <f>[1]트램표준체크리스트!F261</f>
        <v>노면 포장층과 레일 단차(34mm 돌출) 기준 누락으로 타이어 파손 등 2차 안전사고가 유발될 리스크를 검토하였는가?</v>
      </c>
      <c r="E263" s="31" t="s">
        <v>3110</v>
      </c>
      <c r="F263" s="32" t="str">
        <f t="shared" ref="F263:F294" si="8">_xlfn.LET(
_xlpm.v_발생, IF(ISNUMBER(SEARCH("빈번", G263)), "상",
IF(ISNUMBER(SEARCH("거의", G263)), "하", "중")),
_xlpm.v_영향, IF(ISNUMBER(SEARCH("1개월", H263)), "상",
IF(ISNUMBER(SEARCH("없음", H263)), "하", "중")),
IF(AND(_xlpm.v_발생="상", _xlpm.v_영향="상"), "극상",
IF(OR(_xlpm.v_발생="상", _xlpm.v_영향="상"), "상",
IF(AND(_xlpm.v_발생="하", _xlpm.v_영향="하"), "하",
"중")))
)</f>
        <v>극상</v>
      </c>
      <c r="G263" s="63" t="s">
        <v>40</v>
      </c>
      <c r="H263" s="63" t="s">
        <v>41</v>
      </c>
      <c r="I263" s="34" t="s">
        <v>3111</v>
      </c>
      <c r="J263" s="33"/>
      <c r="K263" s="35"/>
      <c r="L263" s="33"/>
      <c r="M263" s="36"/>
      <c r="N263" s="33"/>
      <c r="O263" s="36"/>
      <c r="P263" s="33"/>
      <c r="Q263" s="37"/>
      <c r="R263" s="38"/>
      <c r="S263" s="33"/>
      <c r="T263" s="38"/>
      <c r="U263" s="33"/>
      <c r="V263" s="39"/>
      <c r="W263" s="90" t="b">
        <v>1</v>
      </c>
      <c r="X263" s="90" t="b">
        <v>0</v>
      </c>
      <c r="Y263" s="90" t="b">
        <v>0</v>
      </c>
      <c r="Z263" s="40" t="s">
        <v>3080</v>
      </c>
      <c r="AA263" s="41"/>
      <c r="AK263" s="16"/>
      <c r="AL263" s="16"/>
      <c r="AM263" s="16"/>
      <c r="AN263" s="16"/>
      <c r="AO263" s="16"/>
      <c r="AP263" s="16"/>
      <c r="AQ263" s="16"/>
      <c r="AR263" s="16"/>
      <c r="AS263" s="16"/>
    </row>
    <row r="264" spans="1:45" s="7" customFormat="1" ht="195" customHeight="1">
      <c r="A264" s="27">
        <f>[1]트램표준체크리스트!A262</f>
        <v>260</v>
      </c>
      <c r="B264" s="28" t="str">
        <f>[1]트램표준체크리스트!B262</f>
        <v>궤도</v>
      </c>
      <c r="C264" s="29" t="str">
        <f>[1]트램표준체크리스트!C262</f>
        <v>궤도 단면계획</v>
      </c>
      <c r="D264" s="30" t="str">
        <f>[1]트램표준체크리스트!F262</f>
        <v>지지강성 급변 구간(토공-구조물)에 강성 체감구조 및 전단키 누락으로, 부등침하에 따른 궤도 꺾임 및 장대레일 좌굴이 발생할 리스크를 검토하였는가?</v>
      </c>
      <c r="E264" s="31" t="s">
        <v>3112</v>
      </c>
      <c r="F264" s="32" t="str">
        <f t="shared" si="8"/>
        <v>극상</v>
      </c>
      <c r="G264" s="63" t="s">
        <v>40</v>
      </c>
      <c r="H264" s="63" t="s">
        <v>41</v>
      </c>
      <c r="I264" s="34" t="s">
        <v>3113</v>
      </c>
      <c r="J264" s="33"/>
      <c r="K264" s="35"/>
      <c r="L264" s="33"/>
      <c r="M264" s="36"/>
      <c r="N264" s="33"/>
      <c r="O264" s="36"/>
      <c r="P264" s="33"/>
      <c r="Q264" s="37"/>
      <c r="R264" s="38"/>
      <c r="S264" s="33"/>
      <c r="T264" s="38"/>
      <c r="U264" s="33"/>
      <c r="V264" s="39"/>
      <c r="W264" s="90" t="b">
        <v>1</v>
      </c>
      <c r="X264" s="90" t="b">
        <v>0</v>
      </c>
      <c r="Y264" s="90" t="b">
        <v>0</v>
      </c>
      <c r="Z264" s="40" t="s">
        <v>3080</v>
      </c>
      <c r="AA264" s="41"/>
      <c r="AK264" s="16"/>
      <c r="AL264" s="16"/>
      <c r="AM264" s="16"/>
      <c r="AN264" s="16"/>
      <c r="AO264" s="16"/>
      <c r="AP264" s="16"/>
      <c r="AQ264" s="16"/>
      <c r="AR264" s="16"/>
      <c r="AS264" s="16"/>
    </row>
    <row r="265" spans="1:45" s="7" customFormat="1" ht="195" customHeight="1">
      <c r="A265" s="27">
        <f>[1]트램표준체크리스트!A263</f>
        <v>261</v>
      </c>
      <c r="B265" s="28" t="str">
        <f>[1]트램표준체크리스트!B263</f>
        <v>궤도</v>
      </c>
      <c r="C265" s="29" t="str">
        <f>[1]트램표준체크리스트!C263</f>
        <v>궤도 단면계획</v>
      </c>
      <c r="D265" s="30" t="str">
        <f>[1]트램표준체크리스트!F263</f>
        <v>이종 구조물 접속부에 수직강성 체감 설계 및 전단키가 누락되어, 궤도 단차(부등침하) 발생 및 도상 콘크리트의 밀림 파괴가 유발될 리스크를 검토하였는가?</v>
      </c>
      <c r="E265" s="31" t="s">
        <v>3114</v>
      </c>
      <c r="F265" s="32" t="str">
        <f t="shared" si="8"/>
        <v>극상</v>
      </c>
      <c r="G265" s="63" t="s">
        <v>40</v>
      </c>
      <c r="H265" s="63" t="s">
        <v>41</v>
      </c>
      <c r="I265" s="34" t="s">
        <v>3115</v>
      </c>
      <c r="J265" s="33"/>
      <c r="K265" s="35"/>
      <c r="L265" s="33"/>
      <c r="M265" s="36"/>
      <c r="N265" s="33"/>
      <c r="O265" s="36"/>
      <c r="P265" s="33"/>
      <c r="Q265" s="37"/>
      <c r="R265" s="38"/>
      <c r="S265" s="33"/>
      <c r="T265" s="38"/>
      <c r="U265" s="33"/>
      <c r="V265" s="39"/>
      <c r="W265" s="90" t="b">
        <v>1</v>
      </c>
      <c r="X265" s="90" t="b">
        <v>0</v>
      </c>
      <c r="Y265" s="90" t="b">
        <v>0</v>
      </c>
      <c r="Z265" s="40" t="s">
        <v>3116</v>
      </c>
      <c r="AA265" s="41"/>
      <c r="AK265" s="16"/>
      <c r="AL265" s="16"/>
      <c r="AM265" s="16"/>
      <c r="AN265" s="16"/>
      <c r="AO265" s="16"/>
      <c r="AP265" s="16"/>
      <c r="AQ265" s="16"/>
      <c r="AR265" s="16"/>
      <c r="AS265" s="16"/>
    </row>
    <row r="266" spans="1:45" s="7" customFormat="1" ht="195" customHeight="1">
      <c r="A266" s="27">
        <f>[1]트램표준체크리스트!A264</f>
        <v>262</v>
      </c>
      <c r="B266" s="28" t="str">
        <f>[1]트램표준체크리스트!B264</f>
        <v>궤도</v>
      </c>
      <c r="C266" s="29" t="str">
        <f>[1]트램표준체크리스트!C264</f>
        <v>궤도 단면계획</v>
      </c>
      <c r="D266" s="30" t="str">
        <f>[1]트램표준체크리스트!F264</f>
        <v>종단기울기를 무시한 무작위 콘크리트 타설 순서 설계로, 콘크리트가 흘러내려 재료 분리 및 도상 평탄도 불량이 발생할 리스크를 검토하였는가?</v>
      </c>
      <c r="E266" s="31" t="s">
        <v>3117</v>
      </c>
      <c r="F266" s="32" t="str">
        <f t="shared" si="8"/>
        <v>극상</v>
      </c>
      <c r="G266" s="63" t="s">
        <v>40</v>
      </c>
      <c r="H266" s="63" t="s">
        <v>41</v>
      </c>
      <c r="I266" s="34" t="s">
        <v>3118</v>
      </c>
      <c r="J266" s="33"/>
      <c r="K266" s="35"/>
      <c r="L266" s="33"/>
      <c r="M266" s="36"/>
      <c r="N266" s="33"/>
      <c r="O266" s="36"/>
      <c r="P266" s="33"/>
      <c r="Q266" s="37"/>
      <c r="R266" s="38"/>
      <c r="S266" s="33"/>
      <c r="T266" s="38"/>
      <c r="U266" s="33"/>
      <c r="V266" s="39"/>
      <c r="W266" s="90" t="b">
        <v>0</v>
      </c>
      <c r="X266" s="90" t="b">
        <v>1</v>
      </c>
      <c r="Y266" s="90" t="b">
        <v>0</v>
      </c>
      <c r="Z266" s="40" t="s">
        <v>3119</v>
      </c>
      <c r="AA266" s="41"/>
      <c r="AK266" s="16"/>
      <c r="AL266" s="16"/>
      <c r="AM266" s="16"/>
      <c r="AN266" s="16"/>
      <c r="AO266" s="16"/>
      <c r="AP266" s="16"/>
      <c r="AQ266" s="16"/>
      <c r="AR266" s="16"/>
      <c r="AS266" s="16"/>
    </row>
    <row r="267" spans="1:45" s="7" customFormat="1" ht="195" customHeight="1">
      <c r="A267" s="27">
        <f>[1]트램표준체크리스트!A265</f>
        <v>263</v>
      </c>
      <c r="B267" s="28" t="str">
        <f>[1]트램표준체크리스트!B265</f>
        <v>궤도</v>
      </c>
      <c r="C267" s="29" t="str">
        <f>[1]트램표준체크리스트!C265</f>
        <v>궤도 단면계획</v>
      </c>
      <c r="D267" s="30" t="str">
        <f>[1]트램표준체크리스트!F265</f>
        <v>매립형 궤도에 일반 토목 슬럼프 기준을 적용해 다짐 불량(Honeycomb) 및 재료분리가 발생할 리스크를 검토하였는가?</v>
      </c>
      <c r="E267" s="31" t="s">
        <v>3120</v>
      </c>
      <c r="F267" s="32" t="str">
        <f t="shared" si="8"/>
        <v>극상</v>
      </c>
      <c r="G267" s="63" t="s">
        <v>40</v>
      </c>
      <c r="H267" s="63" t="s">
        <v>41</v>
      </c>
      <c r="I267" s="34" t="s">
        <v>3121</v>
      </c>
      <c r="J267" s="33"/>
      <c r="K267" s="35"/>
      <c r="L267" s="33"/>
      <c r="M267" s="36"/>
      <c r="N267" s="33"/>
      <c r="O267" s="36"/>
      <c r="P267" s="33"/>
      <c r="Q267" s="37"/>
      <c r="R267" s="38"/>
      <c r="S267" s="33"/>
      <c r="T267" s="38"/>
      <c r="U267" s="33"/>
      <c r="V267" s="39"/>
      <c r="W267" s="90" t="b">
        <v>1</v>
      </c>
      <c r="X267" s="90" t="b">
        <v>0</v>
      </c>
      <c r="Y267" s="90" t="b">
        <v>0</v>
      </c>
      <c r="Z267" s="40" t="s">
        <v>3122</v>
      </c>
      <c r="AA267" s="41"/>
      <c r="AK267" s="16"/>
      <c r="AL267" s="16"/>
      <c r="AM267" s="16"/>
      <c r="AN267" s="16"/>
      <c r="AO267" s="16"/>
      <c r="AP267" s="16"/>
      <c r="AQ267" s="16"/>
      <c r="AR267" s="16"/>
      <c r="AS267" s="16"/>
    </row>
    <row r="268" spans="1:45" s="7" customFormat="1" ht="195" customHeight="1">
      <c r="A268" s="27">
        <f>[1]트램표준체크리스트!A266</f>
        <v>264</v>
      </c>
      <c r="B268" s="28" t="str">
        <f>[1]트램표준체크리스트!B266</f>
        <v>궤도</v>
      </c>
      <c r="C268" s="29" t="str">
        <f>[1]트램표준체크리스트!C266</f>
        <v>궤도 단면계획</v>
      </c>
      <c r="D268" s="30" t="str">
        <f>[1]트램표준체크리스트!F266</f>
        <v>하부 조인트와 궤도 시공이음 불일치 설계로 구조물 거동 시 궤도 도상에 무작위 균열(Crack)이 발생할 리스크를 검토하였는가?</v>
      </c>
      <c r="E268" s="31" t="s">
        <v>3123</v>
      </c>
      <c r="F268" s="32" t="str">
        <f t="shared" si="8"/>
        <v>극상</v>
      </c>
      <c r="G268" s="63" t="s">
        <v>40</v>
      </c>
      <c r="H268" s="63" t="s">
        <v>41</v>
      </c>
      <c r="I268" s="34" t="s">
        <v>3124</v>
      </c>
      <c r="J268" s="33"/>
      <c r="K268" s="35"/>
      <c r="L268" s="33"/>
      <c r="M268" s="36"/>
      <c r="N268" s="33"/>
      <c r="O268" s="36"/>
      <c r="P268" s="33"/>
      <c r="Q268" s="37"/>
      <c r="R268" s="38"/>
      <c r="S268" s="33"/>
      <c r="T268" s="38"/>
      <c r="U268" s="33"/>
      <c r="V268" s="39"/>
      <c r="W268" s="90" t="b">
        <v>1</v>
      </c>
      <c r="X268" s="90" t="b">
        <v>0</v>
      </c>
      <c r="Y268" s="90" t="b">
        <v>0</v>
      </c>
      <c r="Z268" s="40" t="s">
        <v>3080</v>
      </c>
      <c r="AA268" s="41"/>
      <c r="AK268" s="16"/>
      <c r="AL268" s="16"/>
      <c r="AM268" s="16"/>
      <c r="AN268" s="16"/>
      <c r="AO268" s="16"/>
      <c r="AP268" s="16"/>
      <c r="AQ268" s="16"/>
      <c r="AR268" s="16"/>
      <c r="AS268" s="16"/>
    </row>
    <row r="269" spans="1:45" s="7" customFormat="1" ht="195" customHeight="1">
      <c r="A269" s="27">
        <f>[1]트램표준체크리스트!A267</f>
        <v>265</v>
      </c>
      <c r="B269" s="28" t="str">
        <f>[1]트램표준체크리스트!B267</f>
        <v>궤도</v>
      </c>
      <c r="C269" s="29" t="str">
        <f>[1]트램표준체크리스트!C267</f>
        <v>궤도 단면계획</v>
      </c>
      <c r="D269" s="30" t="str">
        <f>[1]트램표준체크리스트!F267</f>
        <v>윤연로 이물질 유입 방지 대책 및 배수/청소 계획 누락으로 이물질 고착에 의한 차륜 튐 현상 및 탈선 사고가 유발될 리스크를 검토하였는가?</v>
      </c>
      <c r="E269" s="31" t="s">
        <v>3125</v>
      </c>
      <c r="F269" s="32" t="str">
        <f t="shared" si="8"/>
        <v>극상</v>
      </c>
      <c r="G269" s="63" t="s">
        <v>40</v>
      </c>
      <c r="H269" s="63" t="s">
        <v>41</v>
      </c>
      <c r="I269" s="34" t="s">
        <v>3126</v>
      </c>
      <c r="J269" s="33"/>
      <c r="K269" s="35"/>
      <c r="L269" s="33"/>
      <c r="M269" s="36"/>
      <c r="N269" s="33"/>
      <c r="O269" s="36"/>
      <c r="P269" s="33"/>
      <c r="Q269" s="37"/>
      <c r="R269" s="38"/>
      <c r="S269" s="33"/>
      <c r="T269" s="38"/>
      <c r="U269" s="33"/>
      <c r="V269" s="39"/>
      <c r="W269" s="90" t="b">
        <v>1</v>
      </c>
      <c r="X269" s="90" t="b">
        <v>0</v>
      </c>
      <c r="Y269" s="90" t="b">
        <v>0</v>
      </c>
      <c r="Z269" s="40" t="s">
        <v>3127</v>
      </c>
      <c r="AA269" s="41"/>
      <c r="AK269" s="16"/>
      <c r="AL269" s="16"/>
      <c r="AM269" s="16"/>
      <c r="AN269" s="16"/>
      <c r="AO269" s="16"/>
      <c r="AP269" s="16"/>
      <c r="AQ269" s="16"/>
      <c r="AR269" s="16"/>
      <c r="AS269" s="16"/>
    </row>
    <row r="270" spans="1:45" s="7" customFormat="1" ht="195" customHeight="1">
      <c r="A270" s="27">
        <f>[1]트램표준체크리스트!A268</f>
        <v>266</v>
      </c>
      <c r="B270" s="28" t="str">
        <f>[1]트램표준체크리스트!B268</f>
        <v>궤도</v>
      </c>
      <c r="C270" s="29" t="str">
        <f>[1]트램표준체크리스트!C268</f>
        <v>궤도 단면계획</v>
      </c>
      <c r="D270" s="30" t="str">
        <f>[1]트램표준체크리스트!F268</f>
        <v>궤도-토목 간 인터페이스 누락으로 최소 지반탄성계수(Ev2) 기준이 미반영되어 궤도 하부 지지강성 부족에 의한 궤도 처짐이 발생할 리스크를 검토하였는가?</v>
      </c>
      <c r="E270" s="31" t="s">
        <v>3128</v>
      </c>
      <c r="F270" s="32" t="str">
        <f t="shared" si="8"/>
        <v>극상</v>
      </c>
      <c r="G270" s="63" t="s">
        <v>40</v>
      </c>
      <c r="H270" s="63" t="s">
        <v>41</v>
      </c>
      <c r="I270" s="34" t="s">
        <v>3129</v>
      </c>
      <c r="J270" s="33"/>
      <c r="K270" s="35"/>
      <c r="L270" s="33"/>
      <c r="M270" s="36"/>
      <c r="N270" s="33"/>
      <c r="O270" s="36"/>
      <c r="P270" s="33"/>
      <c r="Q270" s="37"/>
      <c r="R270" s="38"/>
      <c r="S270" s="33"/>
      <c r="T270" s="38"/>
      <c r="U270" s="33"/>
      <c r="V270" s="39"/>
      <c r="W270" s="90" t="b">
        <v>1</v>
      </c>
      <c r="X270" s="90" t="b">
        <v>1</v>
      </c>
      <c r="Y270" s="90" t="b">
        <v>0</v>
      </c>
      <c r="Z270" s="40" t="s">
        <v>3130</v>
      </c>
      <c r="AA270" s="41"/>
      <c r="AK270" s="16"/>
      <c r="AL270" s="16"/>
      <c r="AM270" s="16"/>
      <c r="AN270" s="16"/>
      <c r="AO270" s="16"/>
      <c r="AP270" s="16"/>
      <c r="AQ270" s="16"/>
      <c r="AR270" s="16"/>
      <c r="AS270" s="16"/>
    </row>
    <row r="271" spans="1:45" s="7" customFormat="1" ht="195" customHeight="1">
      <c r="A271" s="27">
        <f>[1]트램표준체크리스트!A269</f>
        <v>267</v>
      </c>
      <c r="B271" s="28" t="str">
        <f>[1]트램표준체크리스트!B269</f>
        <v>궤도</v>
      </c>
      <c r="C271" s="29" t="str">
        <f>[1]트램표준체크리스트!C269</f>
        <v>궤도 단면계획</v>
      </c>
      <c r="D271" s="30" t="str">
        <f>[1]트램표준체크리스트!F269</f>
        <v>기초·도상콘크리트 간 접합부 표면 거칠기 설계 누락으로, 트램 진동에 의한 층간 박리(Delamination) 현상이 유발될 리스크를 검토하였는가?</v>
      </c>
      <c r="E271" s="31" t="s">
        <v>3131</v>
      </c>
      <c r="F271" s="32" t="str">
        <f t="shared" si="8"/>
        <v>극상</v>
      </c>
      <c r="G271" s="63" t="s">
        <v>40</v>
      </c>
      <c r="H271" s="63" t="s">
        <v>41</v>
      </c>
      <c r="I271" s="34" t="s">
        <v>3132</v>
      </c>
      <c r="J271" s="33"/>
      <c r="K271" s="35"/>
      <c r="L271" s="33"/>
      <c r="M271" s="36"/>
      <c r="N271" s="33"/>
      <c r="O271" s="36"/>
      <c r="P271" s="33"/>
      <c r="Q271" s="37"/>
      <c r="R271" s="38"/>
      <c r="S271" s="33"/>
      <c r="T271" s="38"/>
      <c r="U271" s="33"/>
      <c r="V271" s="39"/>
      <c r="W271" s="90" t="b">
        <v>0</v>
      </c>
      <c r="X271" s="90" t="b">
        <v>0</v>
      </c>
      <c r="Y271" s="90" t="b">
        <v>0</v>
      </c>
      <c r="Z271" s="40" t="s">
        <v>3133</v>
      </c>
      <c r="AA271" s="41"/>
      <c r="AK271" s="16"/>
      <c r="AL271" s="16"/>
      <c r="AM271" s="16"/>
      <c r="AN271" s="16"/>
      <c r="AO271" s="16"/>
      <c r="AP271" s="16"/>
      <c r="AQ271" s="16"/>
      <c r="AR271" s="16"/>
      <c r="AS271" s="16"/>
    </row>
    <row r="272" spans="1:45" s="7" customFormat="1" ht="195" customHeight="1">
      <c r="A272" s="27">
        <f>[1]트램표준체크리스트!A270</f>
        <v>268</v>
      </c>
      <c r="B272" s="28" t="str">
        <f>[1]트램표준체크리스트!B270</f>
        <v>궤도</v>
      </c>
      <c r="C272" s="29" t="str">
        <f>[1]트램표준체크리스트!C270</f>
        <v>궤도 단면계획</v>
      </c>
      <c r="D272" s="30" t="str">
        <f>[1]트램표준체크리스트!F270</f>
        <v>하부 타 철도 개착 공사와의 공정 연계 검토 누락으로 트램 궤도 시공 지연 및 하부 되메우기 불량에 따른 궤도 지지력이 상실될 리스크를 검토하였는가?</v>
      </c>
      <c r="E272" s="31" t="s">
        <v>3134</v>
      </c>
      <c r="F272" s="32" t="str">
        <f t="shared" si="8"/>
        <v>극상</v>
      </c>
      <c r="G272" s="63" t="s">
        <v>40</v>
      </c>
      <c r="H272" s="63" t="s">
        <v>41</v>
      </c>
      <c r="I272" s="34" t="s">
        <v>3135</v>
      </c>
      <c r="J272" s="33"/>
      <c r="K272" s="35"/>
      <c r="L272" s="33"/>
      <c r="M272" s="36"/>
      <c r="N272" s="33"/>
      <c r="O272" s="36"/>
      <c r="P272" s="33"/>
      <c r="Q272" s="37"/>
      <c r="R272" s="38"/>
      <c r="S272" s="33"/>
      <c r="T272" s="38"/>
      <c r="U272" s="33"/>
      <c r="V272" s="39"/>
      <c r="W272" s="90" t="b">
        <v>0</v>
      </c>
      <c r="X272" s="90" t="b">
        <v>0</v>
      </c>
      <c r="Y272" s="90" t="b">
        <v>0</v>
      </c>
      <c r="Z272" s="40" t="s">
        <v>3136</v>
      </c>
      <c r="AA272" s="41"/>
      <c r="AK272" s="16"/>
      <c r="AL272" s="16"/>
      <c r="AM272" s="16"/>
      <c r="AN272" s="16"/>
      <c r="AO272" s="16"/>
      <c r="AP272" s="16"/>
      <c r="AQ272" s="16"/>
      <c r="AR272" s="16"/>
      <c r="AS272" s="16"/>
    </row>
    <row r="273" spans="1:45" s="7" customFormat="1" ht="195" customHeight="1">
      <c r="A273" s="27">
        <f>[1]트램표준체크리스트!A271</f>
        <v>269</v>
      </c>
      <c r="B273" s="28" t="str">
        <f>[1]트램표준체크리스트!B271</f>
        <v>궤도</v>
      </c>
      <c r="C273" s="29" t="str">
        <f>[1]트램표준체크리스트!C271</f>
        <v>궤도 단면계획</v>
      </c>
      <c r="D273" s="30" t="str">
        <f>[1]트램표준체크리스트!F271</f>
        <v>연약지반 지반개량 설계 누락 및 과소 산정으로 운영 중 하부 지반 붕괴 및 심각한 궤도 단차가 유발될 리스크를 검토하였는가?</v>
      </c>
      <c r="E273" s="31" t="s">
        <v>3137</v>
      </c>
      <c r="F273" s="32" t="str">
        <f t="shared" si="8"/>
        <v>극상</v>
      </c>
      <c r="G273" s="63" t="s">
        <v>40</v>
      </c>
      <c r="H273" s="63" t="s">
        <v>41</v>
      </c>
      <c r="I273" s="34" t="s">
        <v>3138</v>
      </c>
      <c r="J273" s="33"/>
      <c r="K273" s="35"/>
      <c r="L273" s="33"/>
      <c r="M273" s="36"/>
      <c r="N273" s="33"/>
      <c r="O273" s="36"/>
      <c r="P273" s="33"/>
      <c r="Q273" s="37"/>
      <c r="R273" s="38"/>
      <c r="S273" s="33"/>
      <c r="T273" s="38"/>
      <c r="U273" s="33"/>
      <c r="V273" s="39"/>
      <c r="W273" s="90" t="b">
        <v>0</v>
      </c>
      <c r="X273" s="90" t="b">
        <v>0</v>
      </c>
      <c r="Y273" s="90" t="b">
        <v>0</v>
      </c>
      <c r="Z273" s="40" t="s">
        <v>3139</v>
      </c>
      <c r="AA273" s="41"/>
      <c r="AK273" s="16"/>
      <c r="AL273" s="16"/>
      <c r="AM273" s="16"/>
      <c r="AN273" s="16"/>
      <c r="AO273" s="16"/>
      <c r="AP273" s="16"/>
      <c r="AQ273" s="16"/>
      <c r="AR273" s="16"/>
      <c r="AS273" s="16"/>
    </row>
    <row r="274" spans="1:45" s="7" customFormat="1" ht="195" customHeight="1">
      <c r="A274" s="27">
        <f>[1]트램표준체크리스트!A272</f>
        <v>270</v>
      </c>
      <c r="B274" s="28" t="str">
        <f>[1]트램표준체크리스트!B272</f>
        <v>궤도</v>
      </c>
      <c r="C274" s="29" t="str">
        <f>[1]트램표준체크리스트!C272</f>
        <v>궤도 단면계획</v>
      </c>
      <c r="D274" s="30" t="str">
        <f>[1]트램표준체크리스트!F272</f>
        <v>횡단 관로 최소 매설 심도(0.6m 이상) 누락 및 기초콘크리트 간섭으로 관로 파손 및 궤도 부등침하가 유발될 리스크를 검토하였는가?</v>
      </c>
      <c r="E274" s="31" t="s">
        <v>3140</v>
      </c>
      <c r="F274" s="32" t="str">
        <f t="shared" si="8"/>
        <v>극상</v>
      </c>
      <c r="G274" s="63" t="s">
        <v>40</v>
      </c>
      <c r="H274" s="63" t="s">
        <v>41</v>
      </c>
      <c r="I274" s="34" t="s">
        <v>3141</v>
      </c>
      <c r="J274" s="33"/>
      <c r="K274" s="35"/>
      <c r="L274" s="33"/>
      <c r="M274" s="36"/>
      <c r="N274" s="33"/>
      <c r="O274" s="36"/>
      <c r="P274" s="33"/>
      <c r="Q274" s="37"/>
      <c r="R274" s="38"/>
      <c r="S274" s="33"/>
      <c r="T274" s="38"/>
      <c r="U274" s="33"/>
      <c r="V274" s="39"/>
      <c r="W274" s="90" t="b">
        <v>0</v>
      </c>
      <c r="X274" s="90" t="b">
        <v>0</v>
      </c>
      <c r="Y274" s="90" t="b">
        <v>0</v>
      </c>
      <c r="Z274" s="40" t="s">
        <v>3142</v>
      </c>
      <c r="AA274" s="41"/>
      <c r="AK274" s="16"/>
      <c r="AL274" s="16"/>
      <c r="AM274" s="16"/>
      <c r="AN274" s="16"/>
      <c r="AO274" s="16"/>
      <c r="AP274" s="16"/>
      <c r="AQ274" s="16"/>
      <c r="AR274" s="16"/>
      <c r="AS274" s="16"/>
    </row>
    <row r="275" spans="1:45" s="7" customFormat="1" ht="195" customHeight="1">
      <c r="A275" s="27">
        <f>[1]트램표준체크리스트!A273</f>
        <v>271</v>
      </c>
      <c r="B275" s="28" t="str">
        <f>[1]트램표준체크리스트!B273</f>
        <v>궤도</v>
      </c>
      <c r="C275" s="29" t="str">
        <f>[1]트램표준체크리스트!C273</f>
        <v>궤도 단면계획</v>
      </c>
      <c r="D275" s="30" t="str">
        <f>[1]트램표준체크리스트!F273</f>
        <v>레일 고정방식이 콘크리트와 완전히 일체화 설계되어, 레일 교체 시 도상 전체를 부수고 재시공해야 하는 막대한 유지보수 및 비용 증가 리스크를 검토하였는가?</v>
      </c>
      <c r="E275" s="31" t="s">
        <v>3143</v>
      </c>
      <c r="F275" s="32" t="str">
        <f t="shared" si="8"/>
        <v>극상</v>
      </c>
      <c r="G275" s="63" t="s">
        <v>40</v>
      </c>
      <c r="H275" s="63" t="s">
        <v>41</v>
      </c>
      <c r="I275" s="34" t="s">
        <v>3144</v>
      </c>
      <c r="J275" s="33"/>
      <c r="K275" s="35"/>
      <c r="L275" s="33"/>
      <c r="M275" s="36"/>
      <c r="N275" s="33"/>
      <c r="O275" s="36"/>
      <c r="P275" s="33"/>
      <c r="Q275" s="37"/>
      <c r="R275" s="38"/>
      <c r="S275" s="33"/>
      <c r="T275" s="38"/>
      <c r="U275" s="33"/>
      <c r="V275" s="39"/>
      <c r="W275" s="90" t="b">
        <v>0</v>
      </c>
      <c r="X275" s="90" t="b">
        <v>0</v>
      </c>
      <c r="Y275" s="90" t="b">
        <v>0</v>
      </c>
      <c r="Z275" s="40" t="s">
        <v>3145</v>
      </c>
      <c r="AA275" s="41"/>
      <c r="AK275" s="16"/>
      <c r="AL275" s="16"/>
      <c r="AM275" s="16"/>
      <c r="AN275" s="16"/>
      <c r="AO275" s="16"/>
      <c r="AP275" s="16"/>
      <c r="AQ275" s="16"/>
      <c r="AR275" s="16"/>
      <c r="AS275" s="16"/>
    </row>
    <row r="276" spans="1:45" s="7" customFormat="1" ht="195" customHeight="1">
      <c r="A276" s="27">
        <f>[1]트램표준체크리스트!A274</f>
        <v>272</v>
      </c>
      <c r="B276" s="28" t="str">
        <f>[1]트램표준체크리스트!B274</f>
        <v>궤도</v>
      </c>
      <c r="C276" s="29" t="str">
        <f>[1]트램표준체크리스트!C274</f>
        <v>궤도 단면계획</v>
      </c>
      <c r="D276" s="30" t="str">
        <f>[1]트램표준체크리스트!F274</f>
        <v>유지보수성을 간과한 레일·도상콘크리트 일체화 설계로, 레일 교체 시 노반 전체 파취에 막대한 시간과 비용이 소요될 리스크를 검토하였는가?</v>
      </c>
      <c r="E276" s="31" t="s">
        <v>3146</v>
      </c>
      <c r="F276" s="32" t="str">
        <f t="shared" si="8"/>
        <v>극상</v>
      </c>
      <c r="G276" s="63" t="s">
        <v>40</v>
      </c>
      <c r="H276" s="63" t="s">
        <v>41</v>
      </c>
      <c r="I276" s="34" t="s">
        <v>3147</v>
      </c>
      <c r="J276" s="33"/>
      <c r="K276" s="35"/>
      <c r="L276" s="33"/>
      <c r="M276" s="36"/>
      <c r="N276" s="33"/>
      <c r="O276" s="36"/>
      <c r="P276" s="33"/>
      <c r="Q276" s="37"/>
      <c r="R276" s="38"/>
      <c r="S276" s="33"/>
      <c r="T276" s="38"/>
      <c r="U276" s="33"/>
      <c r="V276" s="39"/>
      <c r="W276" s="90" t="b">
        <v>0</v>
      </c>
      <c r="X276" s="90" t="b">
        <v>0</v>
      </c>
      <c r="Y276" s="90" t="b">
        <v>0</v>
      </c>
      <c r="Z276" s="40" t="s">
        <v>3148</v>
      </c>
      <c r="AA276" s="41"/>
      <c r="AK276" s="16"/>
      <c r="AL276" s="16"/>
      <c r="AM276" s="16"/>
      <c r="AN276" s="16"/>
      <c r="AO276" s="16"/>
      <c r="AP276" s="16"/>
      <c r="AQ276" s="16"/>
      <c r="AR276" s="16"/>
      <c r="AS276" s="16"/>
    </row>
    <row r="277" spans="1:45" s="7" customFormat="1" ht="195" customHeight="1">
      <c r="A277" s="27">
        <f>[1]트램표준체크리스트!A275</f>
        <v>273</v>
      </c>
      <c r="B277" s="28" t="str">
        <f>[1]트램표준체크리스트!B275</f>
        <v>궤도</v>
      </c>
      <c r="C277" s="29" t="str">
        <f>[1]트램표준체크리스트!C275</f>
        <v>궤도 단면계획</v>
      </c>
      <c r="D277" s="30" t="str">
        <f>[1]트램표준체크리스트!F275</f>
        <v>도로 점용 시 단계별 교통처리계획(MOT) 누락으로 극심한 교통 체증 민원 및 일반 차량 진입 사고가 유발될 리스크를 검토하였는가?</v>
      </c>
      <c r="E277" s="31" t="s">
        <v>3149</v>
      </c>
      <c r="F277" s="32" t="str">
        <f t="shared" si="8"/>
        <v>극상</v>
      </c>
      <c r="G277" s="63" t="s">
        <v>40</v>
      </c>
      <c r="H277" s="63" t="s">
        <v>41</v>
      </c>
      <c r="I277" s="34" t="s">
        <v>3150</v>
      </c>
      <c r="J277" s="33"/>
      <c r="K277" s="35"/>
      <c r="L277" s="33"/>
      <c r="M277" s="36"/>
      <c r="N277" s="33"/>
      <c r="O277" s="36"/>
      <c r="P277" s="33"/>
      <c r="Q277" s="37"/>
      <c r="R277" s="38"/>
      <c r="S277" s="33"/>
      <c r="T277" s="38"/>
      <c r="U277" s="33"/>
      <c r="V277" s="39"/>
      <c r="W277" s="90" t="b">
        <v>0</v>
      </c>
      <c r="X277" s="90" t="b">
        <v>0</v>
      </c>
      <c r="Y277" s="90" t="b">
        <v>0</v>
      </c>
      <c r="Z277" s="40" t="s">
        <v>3151</v>
      </c>
      <c r="AA277" s="41"/>
      <c r="AK277" s="16"/>
      <c r="AL277" s="16"/>
      <c r="AM277" s="16"/>
      <c r="AN277" s="16"/>
      <c r="AO277" s="16"/>
      <c r="AP277" s="16"/>
      <c r="AQ277" s="16"/>
      <c r="AR277" s="16"/>
      <c r="AS277" s="16"/>
    </row>
    <row r="278" spans="1:45" s="7" customFormat="1" ht="195" customHeight="1">
      <c r="A278" s="27">
        <f>[1]트램표준체크리스트!A276</f>
        <v>274</v>
      </c>
      <c r="B278" s="28" t="str">
        <f>[1]트램표준체크리스트!B276</f>
        <v>궤도</v>
      </c>
      <c r="C278" s="29" t="str">
        <f>[1]트램표준체크리스트!C276</f>
        <v>궤도 단면계획</v>
      </c>
      <c r="D278" s="30" t="str">
        <f>[1]트램표준체크리스트!F276</f>
        <v>옥외 노출 환경을 간과한 완화된 최소 피복두께 적용으로 궤도 단면 높이가 과소 설계되어 구조적 안정성이 저하될 리스크를 검토하였는가?</v>
      </c>
      <c r="E278" s="31" t="s">
        <v>3152</v>
      </c>
      <c r="F278" s="32" t="str">
        <f t="shared" si="8"/>
        <v>극상</v>
      </c>
      <c r="G278" s="63" t="s">
        <v>40</v>
      </c>
      <c r="H278" s="63" t="s">
        <v>41</v>
      </c>
      <c r="I278" s="34" t="s">
        <v>3153</v>
      </c>
      <c r="J278" s="33"/>
      <c r="K278" s="35"/>
      <c r="L278" s="33"/>
      <c r="M278" s="36"/>
      <c r="N278" s="33"/>
      <c r="O278" s="36"/>
      <c r="P278" s="33"/>
      <c r="Q278" s="37"/>
      <c r="R278" s="38"/>
      <c r="S278" s="33"/>
      <c r="T278" s="38"/>
      <c r="U278" s="33"/>
      <c r="V278" s="39"/>
      <c r="W278" s="90" t="b">
        <v>0</v>
      </c>
      <c r="X278" s="90" t="b">
        <v>0</v>
      </c>
      <c r="Y278" s="90" t="b">
        <v>0</v>
      </c>
      <c r="Z278" s="40" t="s">
        <v>3154</v>
      </c>
      <c r="AA278" s="41"/>
      <c r="AK278" s="16"/>
      <c r="AL278" s="16"/>
      <c r="AM278" s="16"/>
      <c r="AN278" s="16"/>
      <c r="AO278" s="16"/>
      <c r="AP278" s="16"/>
      <c r="AQ278" s="16"/>
      <c r="AR278" s="16"/>
      <c r="AS278" s="16"/>
    </row>
    <row r="279" spans="1:45" s="7" customFormat="1" ht="195" customHeight="1">
      <c r="A279" s="27">
        <f>[1]트램표준체크리스트!A277</f>
        <v>275</v>
      </c>
      <c r="B279" s="28" t="str">
        <f>[1]트램표준체크리스트!B277</f>
        <v>궤도</v>
      </c>
      <c r="C279" s="29" t="str">
        <f>[1]트램표준체크리스트!C277</f>
        <v>궤도 단면계획</v>
      </c>
      <c r="D279" s="30" t="str">
        <f>[1]트램표준체크리스트!F277</f>
        <v>지하차도 구간 표준 도상 두께 일괄 적용으로 시공 후 트램 상부 기기(판터그래프 등)가 천장과 간섭될 리스크를 검토하였는가?</v>
      </c>
      <c r="E279" s="31" t="s">
        <v>3155</v>
      </c>
      <c r="F279" s="32" t="str">
        <f t="shared" si="8"/>
        <v>극상</v>
      </c>
      <c r="G279" s="63" t="s">
        <v>40</v>
      </c>
      <c r="H279" s="63" t="s">
        <v>41</v>
      </c>
      <c r="I279" s="34" t="s">
        <v>3156</v>
      </c>
      <c r="J279" s="33"/>
      <c r="K279" s="35"/>
      <c r="L279" s="33"/>
      <c r="M279" s="36"/>
      <c r="N279" s="33"/>
      <c r="O279" s="36"/>
      <c r="P279" s="33"/>
      <c r="Q279" s="37"/>
      <c r="R279" s="38"/>
      <c r="S279" s="33"/>
      <c r="T279" s="38"/>
      <c r="U279" s="33"/>
      <c r="V279" s="39"/>
      <c r="W279" s="90" t="b">
        <v>0</v>
      </c>
      <c r="X279" s="90" t="b">
        <v>0</v>
      </c>
      <c r="Y279" s="90" t="b">
        <v>0</v>
      </c>
      <c r="Z279" s="40" t="s">
        <v>3080</v>
      </c>
      <c r="AA279" s="41"/>
      <c r="AK279" s="16"/>
      <c r="AL279" s="16"/>
      <c r="AM279" s="16"/>
      <c r="AN279" s="16"/>
      <c r="AO279" s="16"/>
      <c r="AP279" s="16"/>
      <c r="AQ279" s="16"/>
      <c r="AR279" s="16"/>
      <c r="AS279" s="16"/>
    </row>
    <row r="280" spans="1:45" s="7" customFormat="1" ht="195" customHeight="1">
      <c r="A280" s="27">
        <f>[1]트램표준체크리스트!A278</f>
        <v>276</v>
      </c>
      <c r="B280" s="28" t="str">
        <f>[1]트램표준체크리스트!B278</f>
        <v>궤도</v>
      </c>
      <c r="C280" s="29" t="str">
        <f>[1]트램표준체크리스트!C278</f>
        <v>궤도 단면계획</v>
      </c>
      <c r="D280" s="30" t="str">
        <f>[1]트램표준체크리스트!F278</f>
        <v>제한된 형하고를 무시한 일반 도상 두께 적용으로 트램 지붕(팬터그래프 등)이 천장과 충돌 및 한계를 침범할 리스크를 검토하였는가?</v>
      </c>
      <c r="E280" s="31" t="s">
        <v>3157</v>
      </c>
      <c r="F280" s="32" t="str">
        <f t="shared" si="8"/>
        <v>극상</v>
      </c>
      <c r="G280" s="63" t="s">
        <v>40</v>
      </c>
      <c r="H280" s="63" t="s">
        <v>41</v>
      </c>
      <c r="I280" s="34" t="s">
        <v>3158</v>
      </c>
      <c r="J280" s="33"/>
      <c r="K280" s="35"/>
      <c r="L280" s="33"/>
      <c r="M280" s="36"/>
      <c r="N280" s="33"/>
      <c r="O280" s="36"/>
      <c r="P280" s="33"/>
      <c r="Q280" s="37"/>
      <c r="R280" s="38"/>
      <c r="S280" s="33"/>
      <c r="T280" s="38"/>
      <c r="U280" s="33"/>
      <c r="V280" s="39"/>
      <c r="W280" s="90" t="b">
        <v>0</v>
      </c>
      <c r="X280" s="90" t="b">
        <v>0</v>
      </c>
      <c r="Y280" s="90" t="b">
        <v>0</v>
      </c>
      <c r="Z280" s="40" t="s">
        <v>3159</v>
      </c>
      <c r="AA280" s="41"/>
      <c r="AK280" s="16"/>
      <c r="AL280" s="16"/>
      <c r="AM280" s="16"/>
      <c r="AN280" s="16"/>
      <c r="AO280" s="16"/>
      <c r="AP280" s="16"/>
      <c r="AQ280" s="16"/>
      <c r="AR280" s="16"/>
      <c r="AS280" s="16"/>
    </row>
    <row r="281" spans="1:45" s="7" customFormat="1" ht="195" customHeight="1">
      <c r="A281" s="27">
        <f>[1]트램표준체크리스트!A279</f>
        <v>277</v>
      </c>
      <c r="B281" s="28" t="str">
        <f>[1]트램표준체크리스트!B279</f>
        <v>궤도</v>
      </c>
      <c r="C281" s="29" t="str">
        <f>[1]트램표준체크리스트!C279</f>
        <v>궤도 단면계획</v>
      </c>
      <c r="D281" s="30" t="str">
        <f>[1]트램표준체크리스트!F279</f>
        <v>정적/동적 침하량 최적화 해석 누락에 따른 강성 부조화로 레일 표면 파상마모가 발생해 극심한 진동·소음을 유발할 리스크를 검토하였는가?</v>
      </c>
      <c r="E281" s="31" t="s">
        <v>3160</v>
      </c>
      <c r="F281" s="32" t="str">
        <f t="shared" si="8"/>
        <v>극상</v>
      </c>
      <c r="G281" s="63" t="s">
        <v>40</v>
      </c>
      <c r="H281" s="63" t="s">
        <v>41</v>
      </c>
      <c r="I281" s="34" t="s">
        <v>3161</v>
      </c>
      <c r="J281" s="33"/>
      <c r="K281" s="35"/>
      <c r="L281" s="33"/>
      <c r="M281" s="36"/>
      <c r="N281" s="33"/>
      <c r="O281" s="36"/>
      <c r="P281" s="33"/>
      <c r="Q281" s="37"/>
      <c r="R281" s="38"/>
      <c r="S281" s="33"/>
      <c r="T281" s="38"/>
      <c r="U281" s="33"/>
      <c r="V281" s="39"/>
      <c r="W281" s="90" t="b">
        <v>0</v>
      </c>
      <c r="X281" s="90" t="b">
        <v>0</v>
      </c>
      <c r="Y281" s="90" t="b">
        <v>0</v>
      </c>
      <c r="Z281" s="40" t="s">
        <v>3080</v>
      </c>
      <c r="AA281" s="41"/>
      <c r="AK281" s="16"/>
      <c r="AL281" s="16"/>
      <c r="AM281" s="16"/>
      <c r="AN281" s="16"/>
      <c r="AO281" s="16"/>
      <c r="AP281" s="16"/>
      <c r="AQ281" s="16"/>
      <c r="AR281" s="16"/>
      <c r="AS281" s="16"/>
    </row>
    <row r="282" spans="1:45" s="7" customFormat="1" ht="195" customHeight="1">
      <c r="A282" s="27">
        <f>[1]트램표준체크리스트!A280</f>
        <v>278</v>
      </c>
      <c r="B282" s="28" t="str">
        <f>[1]트램표준체크리스트!B280</f>
        <v>궤도</v>
      </c>
      <c r="C282" s="29" t="str">
        <f>[1]트램표준체크리스트!C280</f>
        <v>궤도 단면계획</v>
      </c>
      <c r="D282" s="30" t="str">
        <f>[1]트램표준체크리스트!F280</f>
        <v>레일 주변 완전밀폐 설계 누락 및 부적합 마감재 선정으로, 우수·오염물이 침투해 하부 구조물 동결융해 및 체결장치 부식이 조기 유발될 리스크를 검토하였는가?</v>
      </c>
      <c r="E282" s="31" t="s">
        <v>3162</v>
      </c>
      <c r="F282" s="32" t="str">
        <f t="shared" si="8"/>
        <v>극상</v>
      </c>
      <c r="G282" s="63" t="s">
        <v>40</v>
      </c>
      <c r="H282" s="63" t="s">
        <v>41</v>
      </c>
      <c r="I282" s="34" t="s">
        <v>3163</v>
      </c>
      <c r="J282" s="33"/>
      <c r="K282" s="35"/>
      <c r="L282" s="33"/>
      <c r="M282" s="36"/>
      <c r="N282" s="33"/>
      <c r="O282" s="36"/>
      <c r="P282" s="33"/>
      <c r="Q282" s="37"/>
      <c r="R282" s="38"/>
      <c r="S282" s="33"/>
      <c r="T282" s="38"/>
      <c r="U282" s="33"/>
      <c r="V282" s="39"/>
      <c r="W282" s="90" t="b">
        <v>0</v>
      </c>
      <c r="X282" s="90" t="b">
        <v>0</v>
      </c>
      <c r="Y282" s="90" t="b">
        <v>0</v>
      </c>
      <c r="Z282" s="40" t="s">
        <v>3164</v>
      </c>
      <c r="AA282" s="41"/>
      <c r="AK282" s="16"/>
      <c r="AL282" s="16"/>
      <c r="AM282" s="16"/>
      <c r="AN282" s="16"/>
      <c r="AO282" s="16"/>
      <c r="AP282" s="16"/>
      <c r="AQ282" s="16"/>
      <c r="AR282" s="16"/>
      <c r="AS282" s="16"/>
    </row>
    <row r="283" spans="1:45" s="7" customFormat="1" ht="195" customHeight="1">
      <c r="A283" s="27">
        <f>[1]트램표준체크리스트!A281</f>
        <v>279</v>
      </c>
      <c r="B283" s="28" t="str">
        <f>[1]트램표준체크리스트!B281</f>
        <v>궤도</v>
      </c>
      <c r="C283" s="29" t="str">
        <f>[1]트램표준체크리스트!C281</f>
        <v>궤도 단면계획</v>
      </c>
      <c r="D283" s="30" t="str">
        <f>[1]트램표준체크리스트!F281</f>
        <v>야적장 및 운반 경로 설계 누락에 따른 도로변 자재 무단 방치 및 극심한 도심 교통 마비 리스크를 검토하였는가?</v>
      </c>
      <c r="E283" s="31" t="s">
        <v>3165</v>
      </c>
      <c r="F283" s="32" t="str">
        <f t="shared" si="8"/>
        <v>극상</v>
      </c>
      <c r="G283" s="63" t="s">
        <v>40</v>
      </c>
      <c r="H283" s="63" t="s">
        <v>41</v>
      </c>
      <c r="I283" s="34" t="s">
        <v>3166</v>
      </c>
      <c r="J283" s="33"/>
      <c r="K283" s="35"/>
      <c r="L283" s="33"/>
      <c r="M283" s="36"/>
      <c r="N283" s="33"/>
      <c r="O283" s="36"/>
      <c r="P283" s="33"/>
      <c r="Q283" s="37"/>
      <c r="R283" s="38"/>
      <c r="S283" s="33"/>
      <c r="T283" s="38"/>
      <c r="U283" s="33"/>
      <c r="V283" s="39"/>
      <c r="W283" s="90" t="b">
        <v>0</v>
      </c>
      <c r="X283" s="90" t="b">
        <v>0</v>
      </c>
      <c r="Y283" s="90" t="b">
        <v>0</v>
      </c>
      <c r="Z283" s="40" t="s">
        <v>3080</v>
      </c>
      <c r="AA283" s="41"/>
      <c r="AK283" s="16"/>
      <c r="AL283" s="16"/>
      <c r="AM283" s="16"/>
      <c r="AN283" s="16"/>
      <c r="AO283" s="16"/>
      <c r="AP283" s="16"/>
      <c r="AQ283" s="16"/>
      <c r="AR283" s="16"/>
      <c r="AS283" s="16"/>
    </row>
    <row r="284" spans="1:45" s="7" customFormat="1" ht="195" customHeight="1">
      <c r="A284" s="27">
        <f>[1]트램표준체크리스트!A282</f>
        <v>280</v>
      </c>
      <c r="B284" s="28" t="str">
        <f>[1]트램표준체크리스트!B282</f>
        <v>궤도</v>
      </c>
      <c r="C284" s="29" t="str">
        <f>[1]트램표준체크리스트!C282</f>
        <v>궤도 단면계획</v>
      </c>
      <c r="D284" s="30" t="str">
        <f>[1]트램표준체크리스트!F282</f>
        <v>독과점 자재 특정 설계로 인한 조달 지연·특혜 시비 및 대형 궤도자재 운송계획 미비로 도심 교통 마비가 유발될 리스크를 검토하였는가?</v>
      </c>
      <c r="E284" s="31" t="s">
        <v>3167</v>
      </c>
      <c r="F284" s="32" t="str">
        <f t="shared" si="8"/>
        <v>극상</v>
      </c>
      <c r="G284" s="63" t="s">
        <v>40</v>
      </c>
      <c r="H284" s="63" t="s">
        <v>41</v>
      </c>
      <c r="I284" s="34" t="s">
        <v>3168</v>
      </c>
      <c r="J284" s="33"/>
      <c r="K284" s="35"/>
      <c r="L284" s="33"/>
      <c r="M284" s="36"/>
      <c r="N284" s="33"/>
      <c r="O284" s="36"/>
      <c r="P284" s="33"/>
      <c r="Q284" s="37"/>
      <c r="R284" s="38"/>
      <c r="S284" s="33"/>
      <c r="T284" s="38"/>
      <c r="U284" s="33"/>
      <c r="V284" s="39"/>
      <c r="W284" s="90" t="b">
        <v>0</v>
      </c>
      <c r="X284" s="90" t="b">
        <v>0</v>
      </c>
      <c r="Y284" s="90" t="b">
        <v>0</v>
      </c>
      <c r="Z284" s="40" t="s">
        <v>3169</v>
      </c>
      <c r="AA284" s="41"/>
      <c r="AK284" s="16"/>
      <c r="AL284" s="16"/>
      <c r="AM284" s="16"/>
      <c r="AN284" s="16"/>
      <c r="AO284" s="16"/>
      <c r="AP284" s="16"/>
      <c r="AQ284" s="16"/>
      <c r="AR284" s="16"/>
      <c r="AS284" s="16"/>
    </row>
    <row r="285" spans="1:45" s="7" customFormat="1" ht="195" customHeight="1">
      <c r="A285" s="27">
        <f>[1]트램표준체크리스트!A283</f>
        <v>281</v>
      </c>
      <c r="B285" s="28" t="str">
        <f>[1]트램표준체크리스트!B283</f>
        <v>궤도</v>
      </c>
      <c r="C285" s="29" t="str">
        <f>[1]트램표준체크리스트!C283</f>
        <v>궤도 단면계획</v>
      </c>
      <c r="D285" s="30" t="str">
        <f>[1]트램표준체크리스트!F283</f>
        <v>매립형 궤도 특성이 반영된 유지관리 및 응급복구 매뉴얼 누락으로, 레일 손상 시 복구 지연에 따른 열차 운행 장기 중단 리스크를 검토하였는가?</v>
      </c>
      <c r="E285" s="31" t="s">
        <v>3170</v>
      </c>
      <c r="F285" s="32" t="str">
        <f t="shared" si="8"/>
        <v>극상</v>
      </c>
      <c r="G285" s="63" t="s">
        <v>40</v>
      </c>
      <c r="H285" s="63" t="s">
        <v>41</v>
      </c>
      <c r="I285" s="34" t="s">
        <v>3171</v>
      </c>
      <c r="J285" s="33"/>
      <c r="K285" s="35"/>
      <c r="L285" s="33"/>
      <c r="M285" s="36"/>
      <c r="N285" s="33"/>
      <c r="O285" s="36"/>
      <c r="P285" s="33"/>
      <c r="Q285" s="37"/>
      <c r="R285" s="38"/>
      <c r="S285" s="33"/>
      <c r="T285" s="38"/>
      <c r="U285" s="33"/>
      <c r="V285" s="39"/>
      <c r="W285" s="90" t="b">
        <v>0</v>
      </c>
      <c r="X285" s="90" t="b">
        <v>0</v>
      </c>
      <c r="Y285" s="90" t="b">
        <v>0</v>
      </c>
      <c r="Z285" s="40" t="s">
        <v>3080</v>
      </c>
      <c r="AA285" s="41"/>
      <c r="AK285" s="16"/>
      <c r="AL285" s="16"/>
      <c r="AM285" s="16"/>
      <c r="AN285" s="16"/>
      <c r="AO285" s="16"/>
      <c r="AP285" s="16"/>
      <c r="AQ285" s="16"/>
      <c r="AR285" s="16"/>
      <c r="AS285" s="16"/>
    </row>
    <row r="286" spans="1:45" s="7" customFormat="1" ht="195" customHeight="1">
      <c r="A286" s="27">
        <f>[1]트램표준체크리스트!A284</f>
        <v>282</v>
      </c>
      <c r="B286" s="28" t="str">
        <f>[1]트램표준체크리스트!B284</f>
        <v>궤도</v>
      </c>
      <c r="C286" s="29" t="str">
        <f>[1]트램표준체크리스트!C284</f>
        <v>궤도 단면계획</v>
      </c>
      <c r="D286" s="30" t="str">
        <f>[1]트램표준체크리스트!F284</f>
        <v>매립형 레일 홈 발빠짐 방지재 설계 누락으로 교통약자 휠체어나 보행자 발이 끼어 전도되는 2차 인명사고가 유발될 리스크를 검토하였는가?</v>
      </c>
      <c r="E286" s="31" t="s">
        <v>3172</v>
      </c>
      <c r="F286" s="32" t="str">
        <f t="shared" si="8"/>
        <v>극상</v>
      </c>
      <c r="G286" s="63" t="s">
        <v>40</v>
      </c>
      <c r="H286" s="63" t="s">
        <v>41</v>
      </c>
      <c r="I286" s="34" t="s">
        <v>3173</v>
      </c>
      <c r="J286" s="33"/>
      <c r="K286" s="35"/>
      <c r="L286" s="33"/>
      <c r="M286" s="36"/>
      <c r="N286" s="33"/>
      <c r="O286" s="36"/>
      <c r="P286" s="33"/>
      <c r="Q286" s="37"/>
      <c r="R286" s="38"/>
      <c r="S286" s="33"/>
      <c r="T286" s="38"/>
      <c r="U286" s="33"/>
      <c r="V286" s="39"/>
      <c r="W286" s="90" t="b">
        <v>0</v>
      </c>
      <c r="X286" s="90" t="b">
        <v>0</v>
      </c>
      <c r="Y286" s="90" t="b">
        <v>0</v>
      </c>
      <c r="Z286" s="40" t="s">
        <v>3080</v>
      </c>
      <c r="AA286" s="41"/>
      <c r="AK286" s="16"/>
      <c r="AL286" s="16"/>
      <c r="AM286" s="16"/>
      <c r="AN286" s="16"/>
      <c r="AO286" s="16"/>
      <c r="AP286" s="16"/>
      <c r="AQ286" s="16"/>
      <c r="AR286" s="16"/>
      <c r="AS286" s="16"/>
    </row>
    <row r="287" spans="1:45" s="7" customFormat="1" ht="195" customHeight="1">
      <c r="A287" s="27">
        <f>[1]트램표준체크리스트!A285</f>
        <v>283</v>
      </c>
      <c r="B287" s="28" t="str">
        <f>[1]트램표준체크리스트!B285</f>
        <v>궤도</v>
      </c>
      <c r="C287" s="29" t="str">
        <f>[1]트램표준체크리스트!C285</f>
        <v>궤도 단면계획</v>
      </c>
      <c r="D287" s="30" t="str">
        <f>[1]트램표준체크리스트!F285</f>
        <v>급곡선 저번수(F4 이하) 설계 및 임시분기기 누락으로 표정속도가 저하되고 이례상황 시 선로 전면 차단이 불가피해질 리스크를 검토하였는가?</v>
      </c>
      <c r="E287" s="31" t="s">
        <v>3174</v>
      </c>
      <c r="F287" s="32" t="str">
        <f t="shared" si="8"/>
        <v>극상</v>
      </c>
      <c r="G287" s="63" t="s">
        <v>40</v>
      </c>
      <c r="H287" s="63" t="s">
        <v>41</v>
      </c>
      <c r="I287" s="34" t="s">
        <v>3175</v>
      </c>
      <c r="J287" s="33"/>
      <c r="K287" s="35"/>
      <c r="L287" s="33"/>
      <c r="M287" s="36"/>
      <c r="N287" s="33"/>
      <c r="O287" s="36"/>
      <c r="P287" s="33"/>
      <c r="Q287" s="37"/>
      <c r="R287" s="38"/>
      <c r="S287" s="33"/>
      <c r="T287" s="38"/>
      <c r="U287" s="33"/>
      <c r="V287" s="39"/>
      <c r="W287" s="90" t="b">
        <v>0</v>
      </c>
      <c r="X287" s="90" t="b">
        <v>0</v>
      </c>
      <c r="Y287" s="90" t="b">
        <v>0</v>
      </c>
      <c r="Z287" s="40" t="s">
        <v>3176</v>
      </c>
      <c r="AA287" s="41"/>
      <c r="AK287" s="16"/>
      <c r="AL287" s="16"/>
      <c r="AM287" s="16"/>
      <c r="AN287" s="16"/>
      <c r="AO287" s="16"/>
      <c r="AP287" s="16"/>
      <c r="AQ287" s="16"/>
      <c r="AR287" s="16"/>
      <c r="AS287" s="16"/>
    </row>
    <row r="288" spans="1:45" s="7" customFormat="1" ht="195" customHeight="1">
      <c r="A288" s="27">
        <f>[1]트램표준체크리스트!A286</f>
        <v>284</v>
      </c>
      <c r="B288" s="28" t="str">
        <f>[1]트램표준체크리스트!B286</f>
        <v>궤도</v>
      </c>
      <c r="C288" s="29" t="str">
        <f>[1]트램표준체크리스트!C286</f>
        <v>궤도 단면계획</v>
      </c>
      <c r="D288" s="30" t="str">
        <f>[1]트램표준체크리스트!F286</f>
        <v>궤도 형식 변경 구간의 접속부 체감구조 설계 누락으로, 강성 급변에 따른 레일 꺾임 및 체결장치 파손 리스크를 검토하였는가?</v>
      </c>
      <c r="E288" s="31" t="s">
        <v>3177</v>
      </c>
      <c r="F288" s="32" t="str">
        <f t="shared" si="8"/>
        <v>극상</v>
      </c>
      <c r="G288" s="63" t="s">
        <v>40</v>
      </c>
      <c r="H288" s="63" t="s">
        <v>41</v>
      </c>
      <c r="I288" s="34" t="s">
        <v>3178</v>
      </c>
      <c r="J288" s="33"/>
      <c r="K288" s="35"/>
      <c r="L288" s="33"/>
      <c r="M288" s="36"/>
      <c r="N288" s="33"/>
      <c r="O288" s="36"/>
      <c r="P288" s="33"/>
      <c r="Q288" s="37"/>
      <c r="R288" s="38"/>
      <c r="S288" s="33"/>
      <c r="T288" s="38"/>
      <c r="U288" s="33"/>
      <c r="V288" s="39"/>
      <c r="W288" s="90" t="b">
        <v>0</v>
      </c>
      <c r="X288" s="90" t="b">
        <v>0</v>
      </c>
      <c r="Y288" s="90" t="b">
        <v>0</v>
      </c>
      <c r="Z288" s="40" t="s">
        <v>3179</v>
      </c>
      <c r="AA288" s="41"/>
      <c r="AK288" s="16"/>
      <c r="AL288" s="16"/>
      <c r="AM288" s="16"/>
      <c r="AN288" s="16"/>
      <c r="AO288" s="16"/>
      <c r="AP288" s="16"/>
      <c r="AQ288" s="16"/>
      <c r="AR288" s="16"/>
      <c r="AS288" s="16"/>
    </row>
    <row r="289" spans="1:45" s="7" customFormat="1" ht="195" customHeight="1">
      <c r="A289" s="27">
        <f>[1]트램표준체크리스트!A287</f>
        <v>285</v>
      </c>
      <c r="B289" s="28" t="str">
        <f>[1]트램표준체크리스트!B287</f>
        <v>궤도</v>
      </c>
      <c r="C289" s="29" t="str">
        <f>[1]트램표준체크리스트!C287</f>
        <v>궤도 단면계획</v>
      </c>
      <c r="D289" s="30" t="str">
        <f>[1]트램표준체크리스트!F287</f>
        <v>H교차점 구간에 일률적으로 1,435mm를 설계해, 크로싱 통과 시 기하학적 간섭으로 마찰 및 주행 불안정이 유발될 리스크를 검토하였는가?</v>
      </c>
      <c r="E289" s="31" t="s">
        <v>3180</v>
      </c>
      <c r="F289" s="32" t="str">
        <f t="shared" si="8"/>
        <v>극상</v>
      </c>
      <c r="G289" s="63" t="s">
        <v>40</v>
      </c>
      <c r="H289" s="63" t="s">
        <v>41</v>
      </c>
      <c r="I289" s="34" t="s">
        <v>3181</v>
      </c>
      <c r="J289" s="33"/>
      <c r="K289" s="35"/>
      <c r="L289" s="33"/>
      <c r="M289" s="36"/>
      <c r="N289" s="33"/>
      <c r="O289" s="36"/>
      <c r="P289" s="33"/>
      <c r="Q289" s="37"/>
      <c r="R289" s="38"/>
      <c r="S289" s="33"/>
      <c r="T289" s="38"/>
      <c r="U289" s="33"/>
      <c r="V289" s="39"/>
      <c r="W289" s="90" t="b">
        <v>0</v>
      </c>
      <c r="X289" s="90" t="b">
        <v>0</v>
      </c>
      <c r="Y289" s="90" t="b">
        <v>0</v>
      </c>
      <c r="Z289" s="40" t="s">
        <v>3182</v>
      </c>
      <c r="AA289" s="41"/>
      <c r="AK289" s="16"/>
      <c r="AL289" s="16"/>
      <c r="AM289" s="16"/>
      <c r="AN289" s="16"/>
      <c r="AO289" s="16"/>
      <c r="AP289" s="16"/>
      <c r="AQ289" s="16"/>
      <c r="AR289" s="16"/>
      <c r="AS289" s="16"/>
    </row>
    <row r="290" spans="1:45" s="7" customFormat="1" ht="195" customHeight="1">
      <c r="A290" s="27">
        <f>[1]트램표준체크리스트!A288</f>
        <v>286</v>
      </c>
      <c r="B290" s="28" t="str">
        <f>[1]트램표준체크리스트!B288</f>
        <v>궤도</v>
      </c>
      <c r="C290" s="29" t="str">
        <f>[1]트램표준체크리스트!C288</f>
        <v>궤도 단면계획</v>
      </c>
      <c r="D290" s="30" t="str">
        <f>[1]트램표준체크리스트!F288</f>
        <v>궤도 고정방식 변경 구간의 이종 레일 접속 및 강성 체감 설계 누락으로, 트램 통과 시 충격 하중과 레일 파단이 유발될 리스크를 검토하였는가?</v>
      </c>
      <c r="E290" s="31" t="s">
        <v>3183</v>
      </c>
      <c r="F290" s="32" t="str">
        <f t="shared" si="8"/>
        <v>극상</v>
      </c>
      <c r="G290" s="63" t="s">
        <v>40</v>
      </c>
      <c r="H290" s="63" t="s">
        <v>41</v>
      </c>
      <c r="I290" s="34" t="s">
        <v>3184</v>
      </c>
      <c r="J290" s="33"/>
      <c r="K290" s="35"/>
      <c r="L290" s="33"/>
      <c r="M290" s="36"/>
      <c r="N290" s="33"/>
      <c r="O290" s="36"/>
      <c r="P290" s="33"/>
      <c r="Q290" s="37"/>
      <c r="R290" s="38"/>
      <c r="S290" s="33"/>
      <c r="T290" s="38"/>
      <c r="U290" s="33"/>
      <c r="V290" s="39"/>
      <c r="W290" s="90" t="b">
        <v>0</v>
      </c>
      <c r="X290" s="90" t="b">
        <v>0</v>
      </c>
      <c r="Y290" s="90" t="b">
        <v>0</v>
      </c>
      <c r="Z290" s="40" t="s">
        <v>3185</v>
      </c>
      <c r="AA290" s="41"/>
      <c r="AK290" s="16"/>
      <c r="AL290" s="16"/>
      <c r="AM290" s="16"/>
      <c r="AN290" s="16"/>
      <c r="AO290" s="16"/>
      <c r="AP290" s="16"/>
      <c r="AQ290" s="16"/>
      <c r="AR290" s="16"/>
      <c r="AS290" s="16"/>
    </row>
    <row r="291" spans="1:45" s="7" customFormat="1" ht="195" customHeight="1">
      <c r="A291" s="27">
        <f>[1]트램표준체크리스트!A289</f>
        <v>287</v>
      </c>
      <c r="B291" s="28" t="str">
        <f>[1]트램표준체크리스트!B289</f>
        <v>궤도</v>
      </c>
      <c r="C291" s="29" t="str">
        <f>[1]트램표준체크리스트!C289</f>
        <v>궤도 단면계획</v>
      </c>
      <c r="D291" s="30" t="str">
        <f>[1]트램표준체크리스트!F289</f>
        <v>피해영향조사 결과 누락 및 방진 궤도 시스템 미반영으로 개통 후 심각한 소음·진동 민원이 발생할 리스크를 검토하였는가?</v>
      </c>
      <c r="E291" s="31" t="s">
        <v>3186</v>
      </c>
      <c r="F291" s="32" t="str">
        <f t="shared" si="8"/>
        <v>극상</v>
      </c>
      <c r="G291" s="63" t="s">
        <v>40</v>
      </c>
      <c r="H291" s="63" t="s">
        <v>41</v>
      </c>
      <c r="I291" s="34" t="s">
        <v>3187</v>
      </c>
      <c r="J291" s="33"/>
      <c r="K291" s="35"/>
      <c r="L291" s="33"/>
      <c r="M291" s="36"/>
      <c r="N291" s="33"/>
      <c r="O291" s="36"/>
      <c r="P291" s="33"/>
      <c r="Q291" s="37"/>
      <c r="R291" s="38"/>
      <c r="S291" s="33"/>
      <c r="T291" s="38"/>
      <c r="U291" s="33"/>
      <c r="V291" s="39"/>
      <c r="W291" s="90" t="b">
        <v>0</v>
      </c>
      <c r="X291" s="90" t="b">
        <v>0</v>
      </c>
      <c r="Y291" s="90" t="b">
        <v>0</v>
      </c>
      <c r="Z291" s="40" t="s">
        <v>3080</v>
      </c>
      <c r="AA291" s="41"/>
      <c r="AK291" s="16"/>
      <c r="AL291" s="16"/>
      <c r="AM291" s="16"/>
      <c r="AN291" s="16"/>
      <c r="AO291" s="16"/>
      <c r="AP291" s="16"/>
      <c r="AQ291" s="16"/>
      <c r="AR291" s="16"/>
      <c r="AS291" s="16"/>
    </row>
    <row r="292" spans="1:45" s="7" customFormat="1" ht="195" customHeight="1">
      <c r="A292" s="27">
        <f>[1]트램표준체크리스트!A290</f>
        <v>288</v>
      </c>
      <c r="B292" s="28" t="str">
        <f>[1]트램표준체크리스트!B290</f>
        <v>궤도</v>
      </c>
      <c r="C292" s="29" t="str">
        <f>[1]트램표준체크리스트!C290</f>
        <v>궤도 단면계획</v>
      </c>
      <c r="D292" s="30" t="str">
        <f>[1]트램표준체크리스트!F290</f>
        <v>소음·진동 해석 및 방진 궤도 자재 과소 설계로 개통 후 극심한 환경 민원 및 운행 중지 가처분 소송이 유발될 리스크를 검토하였는가?</v>
      </c>
      <c r="E292" s="31" t="s">
        <v>3188</v>
      </c>
      <c r="F292" s="32" t="str">
        <f t="shared" si="8"/>
        <v>극상</v>
      </c>
      <c r="G292" s="63" t="s">
        <v>40</v>
      </c>
      <c r="H292" s="63" t="s">
        <v>41</v>
      </c>
      <c r="I292" s="34" t="s">
        <v>3189</v>
      </c>
      <c r="J292" s="33"/>
      <c r="K292" s="35"/>
      <c r="L292" s="33"/>
      <c r="M292" s="36"/>
      <c r="N292" s="33"/>
      <c r="O292" s="36"/>
      <c r="P292" s="33"/>
      <c r="Q292" s="37"/>
      <c r="R292" s="38"/>
      <c r="S292" s="33"/>
      <c r="T292" s="38"/>
      <c r="U292" s="33"/>
      <c r="V292" s="39"/>
      <c r="W292" s="90" t="b">
        <v>0</v>
      </c>
      <c r="X292" s="90" t="b">
        <v>0</v>
      </c>
      <c r="Y292" s="90" t="b">
        <v>0</v>
      </c>
      <c r="Z292" s="40" t="s">
        <v>3190</v>
      </c>
      <c r="AA292" s="41"/>
      <c r="AK292" s="16"/>
      <c r="AL292" s="16"/>
      <c r="AM292" s="16"/>
      <c r="AN292" s="16"/>
      <c r="AO292" s="16"/>
      <c r="AP292" s="16"/>
      <c r="AQ292" s="16"/>
      <c r="AR292" s="16"/>
      <c r="AS292" s="16"/>
    </row>
    <row r="293" spans="1:45" s="7" customFormat="1" ht="195" customHeight="1">
      <c r="A293" s="27">
        <f>[1]트램표준체크리스트!A291</f>
        <v>289</v>
      </c>
      <c r="B293" s="28" t="str">
        <f>[1]트램표준체크리스트!B291</f>
        <v>궤도</v>
      </c>
      <c r="C293" s="29" t="str">
        <f>[1]트램표준체크리스트!C291</f>
        <v>궤도 단면계획</v>
      </c>
      <c r="D293" s="30" t="str">
        <f>[1]트램표준체크리스트!F291</f>
        <v>전용 부설·유지관리 장비의 사전 승인 및 인계 계획 누락으로, 개통 후 유지보수용 특수 장비가 부족해질 리스크를 검토하였는가?</v>
      </c>
      <c r="E293" s="31" t="s">
        <v>3191</v>
      </c>
      <c r="F293" s="32" t="str">
        <f t="shared" si="8"/>
        <v>극상</v>
      </c>
      <c r="G293" s="63" t="s">
        <v>40</v>
      </c>
      <c r="H293" s="63" t="s">
        <v>41</v>
      </c>
      <c r="I293" s="34" t="s">
        <v>3192</v>
      </c>
      <c r="J293" s="33"/>
      <c r="K293" s="35"/>
      <c r="L293" s="33"/>
      <c r="M293" s="36"/>
      <c r="N293" s="33"/>
      <c r="O293" s="36"/>
      <c r="P293" s="33"/>
      <c r="Q293" s="37"/>
      <c r="R293" s="38"/>
      <c r="S293" s="33"/>
      <c r="T293" s="38"/>
      <c r="U293" s="33"/>
      <c r="V293" s="39"/>
      <c r="W293" s="90" t="b">
        <v>0</v>
      </c>
      <c r="X293" s="90" t="b">
        <v>0</v>
      </c>
      <c r="Y293" s="90" t="b">
        <v>0</v>
      </c>
      <c r="Z293" s="40" t="s">
        <v>3145</v>
      </c>
      <c r="AA293" s="41"/>
      <c r="AK293" s="16"/>
      <c r="AL293" s="16"/>
      <c r="AM293" s="16"/>
      <c r="AN293" s="16"/>
      <c r="AO293" s="16"/>
      <c r="AP293" s="16"/>
      <c r="AQ293" s="16"/>
      <c r="AR293" s="16"/>
      <c r="AS293" s="16"/>
    </row>
    <row r="294" spans="1:45" s="7" customFormat="1" ht="195" customHeight="1">
      <c r="A294" s="27">
        <f>[1]트램표준체크리스트!A292</f>
        <v>290</v>
      </c>
      <c r="B294" s="28" t="str">
        <f>[1]트램표준체크리스트!B292</f>
        <v>궤도</v>
      </c>
      <c r="C294" s="29" t="str">
        <f>[1]트램표준체크리스트!C292</f>
        <v>궤도 단면계획</v>
      </c>
      <c r="D294" s="30" t="str">
        <f>[1]트램표준체크리스트!F292</f>
        <v>특수 장비 규격 및 공사 후 처리 방안 누락으로 장비 부적합에 따른 공기 지연 및 잉여 장비 처리 분쟁이 발생할 리스크를 검토하였는가?</v>
      </c>
      <c r="E294" s="31" t="s">
        <v>3193</v>
      </c>
      <c r="F294" s="32" t="str">
        <f t="shared" si="8"/>
        <v>극상</v>
      </c>
      <c r="G294" s="63" t="s">
        <v>40</v>
      </c>
      <c r="H294" s="63" t="s">
        <v>41</v>
      </c>
      <c r="I294" s="34" t="s">
        <v>3194</v>
      </c>
      <c r="J294" s="33"/>
      <c r="K294" s="35"/>
      <c r="L294" s="33"/>
      <c r="M294" s="36"/>
      <c r="N294" s="33"/>
      <c r="O294" s="36"/>
      <c r="P294" s="33"/>
      <c r="Q294" s="37"/>
      <c r="R294" s="38"/>
      <c r="S294" s="33"/>
      <c r="T294" s="38"/>
      <c r="U294" s="33"/>
      <c r="V294" s="39"/>
      <c r="W294" s="90" t="b">
        <v>0</v>
      </c>
      <c r="X294" s="90" t="b">
        <v>0</v>
      </c>
      <c r="Y294" s="90" t="b">
        <v>0</v>
      </c>
      <c r="Z294" s="40" t="s">
        <v>3195</v>
      </c>
      <c r="AA294" s="41"/>
      <c r="AK294" s="16"/>
      <c r="AL294" s="16"/>
      <c r="AM294" s="16"/>
      <c r="AN294" s="16"/>
      <c r="AO294" s="16"/>
      <c r="AP294" s="16"/>
      <c r="AQ294" s="16"/>
      <c r="AR294" s="16"/>
      <c r="AS294" s="16"/>
    </row>
    <row r="295" spans="1:45" s="7" customFormat="1" ht="195" customHeight="1">
      <c r="A295" s="27">
        <f>[1]트램표준체크리스트!A293</f>
        <v>291</v>
      </c>
      <c r="B295" s="28" t="str">
        <f>[1]트램표준체크리스트!B293</f>
        <v>궤도</v>
      </c>
      <c r="C295" s="29" t="str">
        <f>[1]트램표준체크리스트!C293</f>
        <v>궤도 단면계획</v>
      </c>
      <c r="D295" s="30" t="str">
        <f>[1]트램표준체크리스트!F293</f>
        <v>신규 궤도 자재의 구조평가 및 조립시험평가 기준 누락으로 미검증 자재가 도입되어 조기 파손 및 잦은 탈선이 발생할 리스크를 검토하였는가?</v>
      </c>
      <c r="E295" s="31" t="s">
        <v>3196</v>
      </c>
      <c r="F295" s="32" t="str">
        <f t="shared" ref="F295:F325" si="9">_xlfn.LET(
_xlpm.v_발생, IF(ISNUMBER(SEARCH("빈번", G295)), "상",
IF(ISNUMBER(SEARCH("거의", G295)), "하", "중")),
_xlpm.v_영향, IF(ISNUMBER(SEARCH("1개월", H295)), "상",
IF(ISNUMBER(SEARCH("없음", H295)), "하", "중")),
IF(AND(_xlpm.v_발생="상", _xlpm.v_영향="상"), "극상",
IF(OR(_xlpm.v_발생="상", _xlpm.v_영향="상"), "상",
IF(AND(_xlpm.v_발생="하", _xlpm.v_영향="하"), "하",
"중")))
)</f>
        <v>극상</v>
      </c>
      <c r="G295" s="63" t="s">
        <v>40</v>
      </c>
      <c r="H295" s="63" t="s">
        <v>41</v>
      </c>
      <c r="I295" s="34" t="s">
        <v>3197</v>
      </c>
      <c r="J295" s="33"/>
      <c r="K295" s="35"/>
      <c r="L295" s="33"/>
      <c r="M295" s="36"/>
      <c r="N295" s="33"/>
      <c r="O295" s="36"/>
      <c r="P295" s="33"/>
      <c r="Q295" s="37"/>
      <c r="R295" s="38"/>
      <c r="S295" s="33"/>
      <c r="T295" s="38"/>
      <c r="U295" s="33"/>
      <c r="V295" s="39"/>
      <c r="W295" s="90" t="b">
        <v>0</v>
      </c>
      <c r="X295" s="90" t="b">
        <v>0</v>
      </c>
      <c r="Y295" s="90" t="b">
        <v>0</v>
      </c>
      <c r="Z295" s="40" t="s">
        <v>3198</v>
      </c>
      <c r="AA295" s="41"/>
      <c r="AK295" s="16"/>
      <c r="AL295" s="16"/>
      <c r="AM295" s="16"/>
      <c r="AN295" s="16"/>
      <c r="AO295" s="16"/>
      <c r="AP295" s="16"/>
      <c r="AQ295" s="16"/>
      <c r="AR295" s="16"/>
      <c r="AS295" s="16"/>
    </row>
    <row r="296" spans="1:45" s="7" customFormat="1" ht="195" customHeight="1">
      <c r="A296" s="27">
        <f>[1]트램표준체크리스트!A294</f>
        <v>292</v>
      </c>
      <c r="B296" s="28" t="str">
        <f>[1]트램표준체크리스트!B294</f>
        <v>궤도</v>
      </c>
      <c r="C296" s="29" t="str">
        <f>[1]트램표준체크리스트!C294</f>
        <v>궤도 단면계획</v>
      </c>
      <c r="D296" s="30" t="str">
        <f>[1]트램표준체크리스트!F294</f>
        <v>2D 도면 한계로 지장물·기초구조물 간 간섭이 누락되어 터파기 중 잦은 설계 변경이 발생할 리스크를 검토하였는가?</v>
      </c>
      <c r="E296" s="31" t="s">
        <v>3199</v>
      </c>
      <c r="F296" s="32" t="str">
        <f t="shared" si="9"/>
        <v>극상</v>
      </c>
      <c r="G296" s="63" t="s">
        <v>40</v>
      </c>
      <c r="H296" s="63" t="s">
        <v>41</v>
      </c>
      <c r="I296" s="34" t="s">
        <v>3200</v>
      </c>
      <c r="J296" s="33"/>
      <c r="K296" s="35"/>
      <c r="L296" s="33"/>
      <c r="M296" s="36"/>
      <c r="N296" s="33"/>
      <c r="O296" s="36"/>
      <c r="P296" s="33"/>
      <c r="Q296" s="37"/>
      <c r="R296" s="38"/>
      <c r="S296" s="33"/>
      <c r="T296" s="38"/>
      <c r="U296" s="33"/>
      <c r="V296" s="39"/>
      <c r="W296" s="90" t="b">
        <v>0</v>
      </c>
      <c r="X296" s="90" t="b">
        <v>0</v>
      </c>
      <c r="Y296" s="90" t="b">
        <v>0</v>
      </c>
      <c r="Z296" s="40" t="s">
        <v>3201</v>
      </c>
      <c r="AA296" s="41"/>
      <c r="AK296" s="16"/>
      <c r="AL296" s="16"/>
      <c r="AM296" s="16"/>
      <c r="AN296" s="16"/>
      <c r="AO296" s="16"/>
      <c r="AP296" s="16"/>
      <c r="AQ296" s="16"/>
      <c r="AR296" s="16"/>
      <c r="AS296" s="16"/>
    </row>
    <row r="297" spans="1:45" s="7" customFormat="1" ht="195" customHeight="1">
      <c r="A297" s="27">
        <f>[1]트램표준체크리스트!A295</f>
        <v>293</v>
      </c>
      <c r="B297" s="28" t="str">
        <f>[1]트램표준체크리스트!B295</f>
        <v>궤도</v>
      </c>
      <c r="C297" s="29" t="str">
        <f>[1]트램표준체크리스트!C295</f>
        <v>궤도 단면계획</v>
      </c>
      <c r="D297" s="30" t="str">
        <f>[1]트램표준체크리스트!F295</f>
        <v>선형 보정이 불가한 매립형 궤도에 일반 궤도의 완화된 오차 기준을 준용하여, 개통 후 트램 주행성능 저하가 유발될 리스크를 검토하였는가?</v>
      </c>
      <c r="E297" s="31" t="s">
        <v>3202</v>
      </c>
      <c r="F297" s="32" t="str">
        <f t="shared" si="9"/>
        <v>극상</v>
      </c>
      <c r="G297" s="63" t="s">
        <v>40</v>
      </c>
      <c r="H297" s="63" t="s">
        <v>41</v>
      </c>
      <c r="I297" s="34" t="s">
        <v>3203</v>
      </c>
      <c r="J297" s="33"/>
      <c r="K297" s="35"/>
      <c r="L297" s="33"/>
      <c r="M297" s="36"/>
      <c r="N297" s="33"/>
      <c r="O297" s="36"/>
      <c r="P297" s="33"/>
      <c r="Q297" s="37"/>
      <c r="R297" s="38"/>
      <c r="S297" s="33"/>
      <c r="T297" s="38"/>
      <c r="U297" s="33"/>
      <c r="V297" s="39"/>
      <c r="W297" s="90" t="b">
        <v>0</v>
      </c>
      <c r="X297" s="90" t="b">
        <v>0</v>
      </c>
      <c r="Y297" s="90" t="b">
        <v>0</v>
      </c>
      <c r="Z297" s="40" t="s">
        <v>3204</v>
      </c>
      <c r="AA297" s="41"/>
      <c r="AK297" s="16"/>
      <c r="AL297" s="16"/>
      <c r="AM297" s="16"/>
      <c r="AN297" s="16"/>
      <c r="AO297" s="16"/>
      <c r="AP297" s="16"/>
      <c r="AQ297" s="16"/>
      <c r="AR297" s="16"/>
      <c r="AS297" s="16"/>
    </row>
    <row r="298" spans="1:45" s="7" customFormat="1" ht="195" customHeight="1">
      <c r="A298" s="27">
        <f>[1]트램표준체크리스트!A296</f>
        <v>294</v>
      </c>
      <c r="B298" s="28" t="str">
        <f>[1]트램표준체크리스트!B296</f>
        <v>궤도</v>
      </c>
      <c r="C298" s="29" t="str">
        <f>[1]트램표준체크리스트!C296</f>
        <v>궤도 단면계획</v>
      </c>
      <c r="D298" s="30" t="str">
        <f>[1]트램표준체크리스트!F296</f>
        <v>혼용 곡선구간에 캔트를 부과해 자동차 쏠림 사고를 유발하거나, 미캔트 적용 시 제한속도 하향 검토 누락으로 트램 전복 위험이 발생할 리스크를 검토하였는가?</v>
      </c>
      <c r="E298" s="31" t="s">
        <v>3205</v>
      </c>
      <c r="F298" s="32" t="str">
        <f t="shared" si="9"/>
        <v>극상</v>
      </c>
      <c r="G298" s="63" t="s">
        <v>40</v>
      </c>
      <c r="H298" s="63" t="s">
        <v>41</v>
      </c>
      <c r="I298" s="34" t="s">
        <v>3206</v>
      </c>
      <c r="J298" s="33"/>
      <c r="K298" s="35"/>
      <c r="L298" s="33"/>
      <c r="M298" s="36"/>
      <c r="N298" s="33"/>
      <c r="O298" s="36"/>
      <c r="P298" s="33"/>
      <c r="Q298" s="37"/>
      <c r="R298" s="38"/>
      <c r="S298" s="33"/>
      <c r="T298" s="38"/>
      <c r="U298" s="33"/>
      <c r="V298" s="39"/>
      <c r="W298" s="90" t="b">
        <v>0</v>
      </c>
      <c r="X298" s="90" t="b">
        <v>0</v>
      </c>
      <c r="Y298" s="90" t="b">
        <v>0</v>
      </c>
      <c r="Z298" s="40" t="s">
        <v>3207</v>
      </c>
      <c r="AA298" s="41"/>
      <c r="AK298" s="16"/>
      <c r="AL298" s="16"/>
      <c r="AM298" s="16"/>
      <c r="AN298" s="16"/>
      <c r="AO298" s="16"/>
      <c r="AP298" s="16"/>
      <c r="AQ298" s="16"/>
      <c r="AR298" s="16"/>
      <c r="AS298" s="16"/>
    </row>
    <row r="299" spans="1:45" s="7" customFormat="1" ht="195" customHeight="1">
      <c r="A299" s="27">
        <f>[1]트램표준체크리스트!A297</f>
        <v>295</v>
      </c>
      <c r="B299" s="28" t="str">
        <f>[1]트램표준체크리스트!B297</f>
        <v>궤도</v>
      </c>
      <c r="C299" s="29" t="str">
        <f>[1]트램표준체크리스트!C297</f>
        <v>궤도 단면계획</v>
      </c>
      <c r="D299" s="30" t="str">
        <f>[1]트램표준체크리스트!F297</f>
        <v>동절기 기후변화 대비 및 곡선 등 궤도 노면 및 레일 홈 내 적설 및 결빙으로 열차운행 지장 발생 리스크를 검토하였는가?</v>
      </c>
      <c r="E299" s="31" t="s">
        <v>3208</v>
      </c>
      <c r="F299" s="32" t="str">
        <f t="shared" si="9"/>
        <v>극상</v>
      </c>
      <c r="G299" s="63" t="s">
        <v>40</v>
      </c>
      <c r="H299" s="63" t="s">
        <v>41</v>
      </c>
      <c r="I299" s="34" t="s">
        <v>3209</v>
      </c>
      <c r="J299" s="33"/>
      <c r="K299" s="35"/>
      <c r="L299" s="33"/>
      <c r="M299" s="36"/>
      <c r="N299" s="33"/>
      <c r="O299" s="36"/>
      <c r="P299" s="33"/>
      <c r="Q299" s="37"/>
      <c r="R299" s="38"/>
      <c r="S299" s="33"/>
      <c r="T299" s="38"/>
      <c r="U299" s="33"/>
      <c r="V299" s="39"/>
      <c r="W299" s="90" t="b">
        <v>0</v>
      </c>
      <c r="X299" s="90" t="b">
        <v>0</v>
      </c>
      <c r="Y299" s="90" t="b">
        <v>0</v>
      </c>
      <c r="Z299" s="40" t="s">
        <v>3210</v>
      </c>
      <c r="AA299" s="41"/>
      <c r="AK299" s="16"/>
      <c r="AL299" s="16"/>
      <c r="AM299" s="16"/>
      <c r="AN299" s="16"/>
      <c r="AO299" s="16"/>
      <c r="AP299" s="16"/>
      <c r="AQ299" s="16"/>
      <c r="AR299" s="16"/>
      <c r="AS299" s="16"/>
    </row>
    <row r="300" spans="1:45" s="7" customFormat="1" ht="195" customHeight="1">
      <c r="A300" s="27">
        <f>[1]트램표준체크리스트!A298</f>
        <v>296</v>
      </c>
      <c r="B300" s="28" t="str">
        <f>[1]트램표준체크리스트!B298</f>
        <v>궤도</v>
      </c>
      <c r="C300" s="29" t="str">
        <f>[1]트램표준체크리스트!C298</f>
        <v>궤도 단면계획</v>
      </c>
      <c r="D300" s="30" t="str">
        <f>[1]트램표준체크리스트!F298</f>
        <v>궤도선궤도 전동차 점검감시 장비 단선, 지반, 중정부 품질 등을 이유로 특수 지반 발생 리스크를 검토하였는가?</v>
      </c>
      <c r="E300" s="31" t="s">
        <v>3211</v>
      </c>
      <c r="F300" s="32" t="str">
        <f t="shared" si="9"/>
        <v>극상</v>
      </c>
      <c r="G300" s="63" t="s">
        <v>40</v>
      </c>
      <c r="H300" s="63" t="s">
        <v>41</v>
      </c>
      <c r="I300" s="34" t="s">
        <v>3212</v>
      </c>
      <c r="J300" s="33"/>
      <c r="K300" s="35"/>
      <c r="L300" s="33"/>
      <c r="M300" s="36"/>
      <c r="N300" s="33"/>
      <c r="O300" s="36"/>
      <c r="P300" s="33"/>
      <c r="Q300" s="37"/>
      <c r="R300" s="38"/>
      <c r="S300" s="33"/>
      <c r="T300" s="38"/>
      <c r="U300" s="33"/>
      <c r="V300" s="39"/>
      <c r="W300" s="90" t="b">
        <v>0</v>
      </c>
      <c r="X300" s="90" t="b">
        <v>0</v>
      </c>
      <c r="Y300" s="90" t="b">
        <v>0</v>
      </c>
      <c r="Z300" s="40" t="s">
        <v>3213</v>
      </c>
      <c r="AA300" s="41"/>
      <c r="AK300" s="16"/>
      <c r="AL300" s="16"/>
      <c r="AM300" s="16"/>
      <c r="AN300" s="16"/>
      <c r="AO300" s="16"/>
      <c r="AP300" s="16"/>
      <c r="AQ300" s="16"/>
      <c r="AR300" s="16"/>
      <c r="AS300" s="16"/>
    </row>
    <row r="301" spans="1:45" s="7" customFormat="1" ht="195" customHeight="1">
      <c r="A301" s="27">
        <f>[1]트램표준체크리스트!A299</f>
        <v>297</v>
      </c>
      <c r="B301" s="28" t="str">
        <f>[1]트램표준체크리스트!B299</f>
        <v>궤도</v>
      </c>
      <c r="C301" s="29" t="str">
        <f>[1]트램표준체크리스트!C299</f>
        <v>궤도 선형 및 종단계획</v>
      </c>
      <c r="D301" s="30" t="str">
        <f>[1]트램표준체크리스트!F299</f>
        <v>정거장 및 분기기 구간에 종곡선 중첩 또는 40‰ 초과 기울기가 설계되어, 정차 시 차량 밀림 및 분기기 통과 중 탈선할 리스크를 검토하였는가?</v>
      </c>
      <c r="E301" s="31" t="s">
        <v>3214</v>
      </c>
      <c r="F301" s="32" t="str">
        <f t="shared" si="9"/>
        <v>극상</v>
      </c>
      <c r="G301" s="63" t="s">
        <v>40</v>
      </c>
      <c r="H301" s="63" t="s">
        <v>41</v>
      </c>
      <c r="I301" s="34" t="s">
        <v>3215</v>
      </c>
      <c r="J301" s="33"/>
      <c r="K301" s="35"/>
      <c r="L301" s="33"/>
      <c r="M301" s="36"/>
      <c r="N301" s="33"/>
      <c r="O301" s="36"/>
      <c r="P301" s="33"/>
      <c r="Q301" s="37"/>
      <c r="R301" s="38"/>
      <c r="S301" s="33"/>
      <c r="T301" s="38"/>
      <c r="U301" s="33"/>
      <c r="V301" s="39"/>
      <c r="W301" s="90" t="b">
        <v>0</v>
      </c>
      <c r="X301" s="90" t="b">
        <v>0</v>
      </c>
      <c r="Y301" s="90" t="b">
        <v>0</v>
      </c>
      <c r="Z301" s="40" t="s">
        <v>3216</v>
      </c>
      <c r="AA301" s="41"/>
      <c r="AK301" s="16"/>
      <c r="AL301" s="16"/>
      <c r="AM301" s="16"/>
      <c r="AN301" s="16"/>
      <c r="AO301" s="16"/>
      <c r="AP301" s="16"/>
      <c r="AQ301" s="16"/>
      <c r="AR301" s="16"/>
      <c r="AS301" s="16"/>
    </row>
    <row r="302" spans="1:45" s="7" customFormat="1" ht="195" customHeight="1">
      <c r="A302" s="27">
        <f>[1]트램표준체크리스트!A300</f>
        <v>298</v>
      </c>
      <c r="B302" s="28" t="str">
        <f>[1]트램표준체크리스트!B300</f>
        <v>궤도</v>
      </c>
      <c r="C302" s="29" t="str">
        <f>[1]트램표준체크리스트!C300</f>
        <v>궤도 선형 및 종단계획</v>
      </c>
      <c r="D302" s="30" t="str">
        <f>[1]트램표준체크리스트!F300</f>
        <v>노선에서 간선망을 변환시 궤도 중심과 구조물 중심 불일치하여 구조물 중심 선형설계서 재검토 수행 리스크를 검토하였는가?</v>
      </c>
      <c r="E302" s="31" t="s">
        <v>3217</v>
      </c>
      <c r="F302" s="32" t="str">
        <f t="shared" si="9"/>
        <v>극상</v>
      </c>
      <c r="G302" s="63" t="s">
        <v>40</v>
      </c>
      <c r="H302" s="63" t="s">
        <v>41</v>
      </c>
      <c r="I302" s="34" t="s">
        <v>3212</v>
      </c>
      <c r="J302" s="33"/>
      <c r="K302" s="35"/>
      <c r="L302" s="33"/>
      <c r="M302" s="36"/>
      <c r="N302" s="33"/>
      <c r="O302" s="36"/>
      <c r="P302" s="33"/>
      <c r="Q302" s="37"/>
      <c r="R302" s="38"/>
      <c r="S302" s="33"/>
      <c r="T302" s="38"/>
      <c r="U302" s="33"/>
      <c r="V302" s="39"/>
      <c r="W302" s="90" t="b">
        <v>0</v>
      </c>
      <c r="X302" s="90" t="b">
        <v>0</v>
      </c>
      <c r="Y302" s="90" t="b">
        <v>0</v>
      </c>
      <c r="Z302" s="40" t="s">
        <v>3218</v>
      </c>
      <c r="AA302" s="41"/>
      <c r="AK302" s="16"/>
      <c r="AL302" s="16"/>
      <c r="AM302" s="16"/>
      <c r="AN302" s="16"/>
      <c r="AO302" s="16"/>
      <c r="AP302" s="16"/>
      <c r="AQ302" s="16"/>
      <c r="AR302" s="16"/>
      <c r="AS302" s="16"/>
    </row>
    <row r="303" spans="1:45" s="7" customFormat="1" ht="195" customHeight="1">
      <c r="A303" s="27">
        <f>[1]트램표준체크리스트!A301</f>
        <v>299</v>
      </c>
      <c r="B303" s="28" t="str">
        <f>[1]트램표준체크리스트!B301</f>
        <v>궤도</v>
      </c>
      <c r="C303" s="29" t="str">
        <f>[1]트램표준체크리스트!C301</f>
        <v>급곡선부 궤도 마감관리</v>
      </c>
      <c r="D303" s="30" t="str">
        <f>[1]트램표준체크리스트!F301</f>
        <v>일반 직선구간 궤간 허용오차를 급곡선부 체크레일에 동일 적용해, 마이너스 오차 통제 불가로 탈선 위험이 커질 리스크를 검토하였는가?</v>
      </c>
      <c r="E303" s="31" t="s">
        <v>3219</v>
      </c>
      <c r="F303" s="32" t="str">
        <f t="shared" si="9"/>
        <v>극상</v>
      </c>
      <c r="G303" s="63" t="s">
        <v>40</v>
      </c>
      <c r="H303" s="63" t="s">
        <v>41</v>
      </c>
      <c r="I303" s="34" t="s">
        <v>3220</v>
      </c>
      <c r="J303" s="33"/>
      <c r="K303" s="35"/>
      <c r="L303" s="33"/>
      <c r="M303" s="36"/>
      <c r="N303" s="33"/>
      <c r="O303" s="36"/>
      <c r="P303" s="33"/>
      <c r="Q303" s="37"/>
      <c r="R303" s="38"/>
      <c r="S303" s="33"/>
      <c r="T303" s="38"/>
      <c r="U303" s="33"/>
      <c r="V303" s="39"/>
      <c r="W303" s="90" t="b">
        <v>0</v>
      </c>
      <c r="X303" s="90" t="b">
        <v>0</v>
      </c>
      <c r="Y303" s="90" t="b">
        <v>0</v>
      </c>
      <c r="Z303" s="40" t="s">
        <v>3221</v>
      </c>
      <c r="AA303" s="41"/>
      <c r="AK303" s="16"/>
      <c r="AL303" s="16"/>
      <c r="AM303" s="16"/>
      <c r="AN303" s="16"/>
      <c r="AO303" s="16"/>
      <c r="AP303" s="16"/>
      <c r="AQ303" s="16"/>
      <c r="AR303" s="16"/>
      <c r="AS303" s="16"/>
    </row>
    <row r="304" spans="1:45" s="7" customFormat="1" ht="195" customHeight="1">
      <c r="A304" s="27">
        <f>[1]트램표준체크리스트!A302</f>
        <v>300</v>
      </c>
      <c r="B304" s="28" t="str">
        <f>[1]트램표준체크리스트!B302</f>
        <v>궤도</v>
      </c>
      <c r="C304" s="29" t="str">
        <f>[1]트램표준체크리스트!C302</f>
        <v>급곡선부 궤도 마감관리</v>
      </c>
      <c r="D304" s="30" t="str">
        <f>[1]트램표준체크리스트!F302</f>
        <v>곡선부 열처리레일(GHT) 누락 및 장대레일 용접 상세 방안 미흡으로 조기 편마모 및 이음매부 파손이 유발될 리스크를 검토하였는가?</v>
      </c>
      <c r="E304" s="31" t="s">
        <v>3222</v>
      </c>
      <c r="F304" s="32" t="str">
        <f t="shared" si="9"/>
        <v>극상</v>
      </c>
      <c r="G304" s="63" t="s">
        <v>40</v>
      </c>
      <c r="H304" s="63" t="s">
        <v>41</v>
      </c>
      <c r="I304" s="34" t="s">
        <v>3223</v>
      </c>
      <c r="J304" s="33"/>
      <c r="K304" s="35"/>
      <c r="L304" s="33"/>
      <c r="M304" s="36"/>
      <c r="N304" s="33"/>
      <c r="O304" s="36"/>
      <c r="P304" s="33"/>
      <c r="Q304" s="37"/>
      <c r="R304" s="38"/>
      <c r="S304" s="33"/>
      <c r="T304" s="38"/>
      <c r="U304" s="33"/>
      <c r="V304" s="39"/>
      <c r="W304" s="90" t="b">
        <v>0</v>
      </c>
      <c r="X304" s="90" t="b">
        <v>0</v>
      </c>
      <c r="Y304" s="90" t="b">
        <v>0</v>
      </c>
      <c r="Z304" s="40" t="s">
        <v>3080</v>
      </c>
      <c r="AA304" s="41"/>
      <c r="AK304" s="16"/>
      <c r="AL304" s="16"/>
      <c r="AM304" s="16"/>
      <c r="AN304" s="16"/>
      <c r="AO304" s="16"/>
      <c r="AP304" s="16"/>
      <c r="AQ304" s="16"/>
      <c r="AR304" s="16"/>
      <c r="AS304" s="16"/>
    </row>
    <row r="305" spans="1:45" s="7" customFormat="1" ht="195" customHeight="1">
      <c r="A305" s="27">
        <f>[1]트램표준체크리스트!A303</f>
        <v>301</v>
      </c>
      <c r="B305" s="28" t="str">
        <f>[1]트램표준체크리스트!B303</f>
        <v>궤도</v>
      </c>
      <c r="C305" s="29" t="str">
        <f>[1]트램표준체크리스트!C303</f>
        <v>급곡선부 궤도 마감관리</v>
      </c>
      <c r="D305" s="30" t="str">
        <f>[1]트램표준체크리스트!F303</f>
        <v>곡선부 트러프 내공 단면의 협소한 설계로 탄성재 충진 공간이 부족해져 향후 레일 단독 철거 및 교체가 불가능해질 리스크를 검토하였는가?</v>
      </c>
      <c r="E305" s="31" t="s">
        <v>3224</v>
      </c>
      <c r="F305" s="32" t="str">
        <f t="shared" si="9"/>
        <v>극상</v>
      </c>
      <c r="G305" s="63" t="s">
        <v>40</v>
      </c>
      <c r="H305" s="63" t="s">
        <v>41</v>
      </c>
      <c r="I305" s="34" t="s">
        <v>3225</v>
      </c>
      <c r="J305" s="33"/>
      <c r="K305" s="35"/>
      <c r="L305" s="33"/>
      <c r="M305" s="36"/>
      <c r="N305" s="33"/>
      <c r="O305" s="36"/>
      <c r="P305" s="33"/>
      <c r="Q305" s="37"/>
      <c r="R305" s="38"/>
      <c r="S305" s="33"/>
      <c r="T305" s="38"/>
      <c r="U305" s="33"/>
      <c r="V305" s="39"/>
      <c r="W305" s="90" t="b">
        <v>0</v>
      </c>
      <c r="X305" s="90" t="b">
        <v>0</v>
      </c>
      <c r="Y305" s="90" t="b">
        <v>0</v>
      </c>
      <c r="Z305" s="40" t="s">
        <v>3080</v>
      </c>
      <c r="AA305" s="41"/>
      <c r="AK305" s="16"/>
      <c r="AL305" s="16"/>
      <c r="AM305" s="16"/>
      <c r="AN305" s="16"/>
      <c r="AO305" s="16"/>
      <c r="AP305" s="16"/>
      <c r="AQ305" s="16"/>
      <c r="AR305" s="16"/>
      <c r="AS305" s="16"/>
    </row>
    <row r="306" spans="1:45" s="7" customFormat="1" ht="195" customHeight="1">
      <c r="A306" s="27">
        <f>[1]트램표준체크리스트!A304</f>
        <v>302</v>
      </c>
      <c r="B306" s="28" t="str">
        <f>[1]트램표준체크리스트!B304</f>
        <v>궤도</v>
      </c>
      <c r="C306" s="29" t="str">
        <f>[1]트램표준체크리스트!C304</f>
        <v>급곡선부 궤도 마감관리</v>
      </c>
      <c r="D306" s="30" t="str">
        <f>[1]트램표준체크리스트!F304</f>
        <v>곡선부 궤도 도상 폭의 협소한 설계로 법정 피복두께 미확보 및 트러프 내공 단면 축소에 따른 레일 정밀 설치가 불가해질 리스크를 검토하였는가?</v>
      </c>
      <c r="E306" s="31" t="s">
        <v>3226</v>
      </c>
      <c r="F306" s="32" t="str">
        <f t="shared" si="9"/>
        <v>극상</v>
      </c>
      <c r="G306" s="63" t="s">
        <v>40</v>
      </c>
      <c r="H306" s="63" t="s">
        <v>41</v>
      </c>
      <c r="I306" s="34" t="s">
        <v>3227</v>
      </c>
      <c r="J306" s="33"/>
      <c r="K306" s="35"/>
      <c r="L306" s="33"/>
      <c r="M306" s="36"/>
      <c r="N306" s="33"/>
      <c r="O306" s="36"/>
      <c r="P306" s="33"/>
      <c r="Q306" s="37"/>
      <c r="R306" s="38"/>
      <c r="S306" s="33"/>
      <c r="T306" s="38"/>
      <c r="U306" s="33"/>
      <c r="V306" s="39"/>
      <c r="W306" s="90" t="b">
        <v>0</v>
      </c>
      <c r="X306" s="90" t="b">
        <v>0</v>
      </c>
      <c r="Y306" s="90" t="b">
        <v>0</v>
      </c>
      <c r="Z306" s="40" t="s">
        <v>3228</v>
      </c>
      <c r="AA306" s="41"/>
      <c r="AK306" s="16"/>
      <c r="AL306" s="16"/>
      <c r="AM306" s="16"/>
      <c r="AN306" s="16"/>
      <c r="AO306" s="16"/>
      <c r="AP306" s="16"/>
      <c r="AQ306" s="16"/>
      <c r="AR306" s="16"/>
      <c r="AS306" s="16"/>
    </row>
    <row r="307" spans="1:45" s="7" customFormat="1" ht="195" customHeight="1">
      <c r="A307" s="27">
        <f>[1]트램표준체크리스트!A305</f>
        <v>303</v>
      </c>
      <c r="B307" s="28" t="str">
        <f>[1]트램표준체크리스트!B305</f>
        <v>궤도</v>
      </c>
      <c r="C307" s="29" t="str">
        <f>[1]트램표준체크리스트!C305</f>
        <v>기타</v>
      </c>
      <c r="D307" s="30" t="str">
        <f>[1]트램표준체크리스트!F305</f>
        <v>지진으로 인한 선로변형 및 차량 탈선 리스크를 검토하였는가?</v>
      </c>
      <c r="E307" s="31" t="s">
        <v>3229</v>
      </c>
      <c r="F307" s="32" t="str">
        <f t="shared" si="9"/>
        <v>극상</v>
      </c>
      <c r="G307" s="63" t="s">
        <v>40</v>
      </c>
      <c r="H307" s="63" t="s">
        <v>41</v>
      </c>
      <c r="I307" s="34" t="s">
        <v>3230</v>
      </c>
      <c r="J307" s="33"/>
      <c r="K307" s="35"/>
      <c r="L307" s="33"/>
      <c r="M307" s="36"/>
      <c r="N307" s="33"/>
      <c r="O307" s="36"/>
      <c r="P307" s="33"/>
      <c r="Q307" s="37"/>
      <c r="R307" s="38"/>
      <c r="S307" s="33"/>
      <c r="T307" s="38"/>
      <c r="U307" s="33"/>
      <c r="V307" s="39"/>
      <c r="W307" s="90" t="b">
        <v>0</v>
      </c>
      <c r="X307" s="90" t="b">
        <v>0</v>
      </c>
      <c r="Y307" s="90" t="b">
        <v>0</v>
      </c>
      <c r="Z307" s="40" t="s">
        <v>3231</v>
      </c>
      <c r="AA307" s="41"/>
      <c r="AK307" s="16"/>
      <c r="AL307" s="16"/>
      <c r="AM307" s="16"/>
      <c r="AN307" s="16"/>
      <c r="AO307" s="16"/>
      <c r="AP307" s="16"/>
      <c r="AQ307" s="16"/>
      <c r="AR307" s="16"/>
      <c r="AS307" s="16"/>
    </row>
    <row r="308" spans="1:45" s="7" customFormat="1" ht="195" customHeight="1">
      <c r="A308" s="27">
        <f>[1]트램표준체크리스트!A306</f>
        <v>304</v>
      </c>
      <c r="B308" s="28" t="str">
        <f>[1]트램표준체크리스트!B306</f>
        <v>궤도</v>
      </c>
      <c r="C308" s="29" t="str">
        <f>[1]트램표준체크리스트!C306</f>
        <v>기타</v>
      </c>
      <c r="D308" s="30" t="str">
        <f>[1]트램표준체크리스트!F306</f>
        <v>차륜 편마모 감소를 위한 전차대 또는 방향전환선(루프선 포함) 필요 리스크를 검토하였는가?</v>
      </c>
      <c r="E308" s="31" t="s">
        <v>3232</v>
      </c>
      <c r="F308" s="32" t="str">
        <f t="shared" si="9"/>
        <v>극상</v>
      </c>
      <c r="G308" s="63" t="s">
        <v>40</v>
      </c>
      <c r="H308" s="63" t="s">
        <v>41</v>
      </c>
      <c r="I308" s="34" t="s">
        <v>3233</v>
      </c>
      <c r="J308" s="33"/>
      <c r="K308" s="35"/>
      <c r="L308" s="33"/>
      <c r="M308" s="36"/>
      <c r="N308" s="33"/>
      <c r="O308" s="36"/>
      <c r="P308" s="33"/>
      <c r="Q308" s="37"/>
      <c r="R308" s="38"/>
      <c r="S308" s="33"/>
      <c r="T308" s="38"/>
      <c r="U308" s="33"/>
      <c r="V308" s="39"/>
      <c r="W308" s="90" t="b">
        <v>0</v>
      </c>
      <c r="X308" s="90" t="b">
        <v>0</v>
      </c>
      <c r="Y308" s="90" t="b">
        <v>0</v>
      </c>
      <c r="Z308" s="40" t="s">
        <v>3234</v>
      </c>
      <c r="AA308" s="41"/>
      <c r="AK308" s="16"/>
      <c r="AL308" s="16"/>
      <c r="AM308" s="16"/>
      <c r="AN308" s="16"/>
      <c r="AO308" s="16"/>
      <c r="AP308" s="16"/>
      <c r="AQ308" s="16"/>
      <c r="AR308" s="16"/>
      <c r="AS308" s="16"/>
    </row>
    <row r="309" spans="1:45" s="7" customFormat="1" ht="195" customHeight="1">
      <c r="A309" s="27">
        <f>[1]트램표준체크리스트!A307</f>
        <v>305</v>
      </c>
      <c r="B309" s="28" t="str">
        <f>[1]트램표준체크리스트!B307</f>
        <v>궤도</v>
      </c>
      <c r="C309" s="29" t="str">
        <f>[1]트램표준체크리스트!C307</f>
        <v>노반 및 기초계획</v>
      </c>
      <c r="D309" s="30" t="str">
        <f>[1]트램표준체크리스트!F307</f>
        <v>노반 지지력 부족 및 품질 시험(평판재하시험 등) 기준 누락으로 운영 중 궤도의 지속적인 부등침하와 도상 균열이 유발될 리스크를 검토하였는가?</v>
      </c>
      <c r="E309" s="31" t="s">
        <v>3235</v>
      </c>
      <c r="F309" s="32" t="str">
        <f t="shared" si="9"/>
        <v>극상</v>
      </c>
      <c r="G309" s="63" t="s">
        <v>40</v>
      </c>
      <c r="H309" s="63" t="s">
        <v>41</v>
      </c>
      <c r="I309" s="34" t="s">
        <v>3236</v>
      </c>
      <c r="J309" s="33"/>
      <c r="K309" s="35"/>
      <c r="L309" s="33"/>
      <c r="M309" s="36"/>
      <c r="N309" s="33"/>
      <c r="O309" s="36"/>
      <c r="P309" s="33"/>
      <c r="Q309" s="37"/>
      <c r="R309" s="38"/>
      <c r="S309" s="33"/>
      <c r="T309" s="38"/>
      <c r="U309" s="33"/>
      <c r="V309" s="39"/>
      <c r="W309" s="90" t="b">
        <v>0</v>
      </c>
      <c r="X309" s="90" t="b">
        <v>0</v>
      </c>
      <c r="Y309" s="90" t="b">
        <v>0</v>
      </c>
      <c r="Z309" s="40" t="s">
        <v>3237</v>
      </c>
      <c r="AA309" s="41"/>
      <c r="AK309" s="16"/>
      <c r="AL309" s="16"/>
      <c r="AM309" s="16"/>
      <c r="AN309" s="16"/>
      <c r="AO309" s="16"/>
      <c r="AP309" s="16"/>
      <c r="AQ309" s="16"/>
      <c r="AR309" s="16"/>
      <c r="AS309" s="16"/>
    </row>
    <row r="310" spans="1:45" s="7" customFormat="1" ht="195" customHeight="1">
      <c r="A310" s="27">
        <f>[1]트램표준체크리스트!A308</f>
        <v>306</v>
      </c>
      <c r="B310" s="28" t="str">
        <f>[1]트램표준체크리스트!B308</f>
        <v>궤도</v>
      </c>
      <c r="C310" s="29" t="str">
        <f>[1]트램표준체크리스트!C308</f>
        <v>노반 및 기초계획</v>
      </c>
      <c r="D310" s="30" t="str">
        <f>[1]트램표준체크리스트!F308</f>
        <v>지지력 시험 위치와 매설물 간 간섭 사전 검토 누락으로, 현장 터파기 중 주요 관로가 파손될 리스크를 검토하였는가?</v>
      </c>
      <c r="E310" s="31" t="s">
        <v>3238</v>
      </c>
      <c r="F310" s="32" t="str">
        <f t="shared" si="9"/>
        <v>극상</v>
      </c>
      <c r="G310" s="63" t="s">
        <v>40</v>
      </c>
      <c r="H310" s="63" t="s">
        <v>41</v>
      </c>
      <c r="I310" s="34" t="s">
        <v>3239</v>
      </c>
      <c r="J310" s="33"/>
      <c r="K310" s="35"/>
      <c r="L310" s="33"/>
      <c r="M310" s="36"/>
      <c r="N310" s="33"/>
      <c r="O310" s="36"/>
      <c r="P310" s="33"/>
      <c r="Q310" s="37"/>
      <c r="R310" s="38"/>
      <c r="S310" s="33"/>
      <c r="T310" s="38"/>
      <c r="U310" s="33"/>
      <c r="V310" s="39"/>
      <c r="W310" s="90" t="b">
        <v>0</v>
      </c>
      <c r="X310" s="90" t="b">
        <v>0</v>
      </c>
      <c r="Y310" s="90" t="b">
        <v>0</v>
      </c>
      <c r="Z310" s="40" t="s">
        <v>3240</v>
      </c>
      <c r="AA310" s="41"/>
      <c r="AK310" s="16"/>
      <c r="AL310" s="16"/>
      <c r="AM310" s="16"/>
      <c r="AN310" s="16"/>
      <c r="AO310" s="16"/>
      <c r="AP310" s="16"/>
      <c r="AQ310" s="16"/>
      <c r="AR310" s="16"/>
      <c r="AS310" s="16"/>
    </row>
    <row r="311" spans="1:45" s="7" customFormat="1" ht="195" customHeight="1">
      <c r="A311" s="27">
        <f>[1]트램표준체크리스트!A309</f>
        <v>307</v>
      </c>
      <c r="B311" s="28" t="str">
        <f>[1]트램표준체크리스트!B309</f>
        <v>궤도</v>
      </c>
      <c r="C311" s="29" t="str">
        <f>[1]트램표준체크리스트!C309</f>
        <v>도로 인터페이스 및 보행안전</v>
      </c>
      <c r="D311" s="30" t="str">
        <f>[1]트램표준체크리스트!F309</f>
        <v>레일 홈(Groove) 발빠짐 방지 구조 설계 누락으로 개통 후 보행자 낙상 및 휠체어 전도 등 안전사고가 유발될 리스크를 검토하였는가?</v>
      </c>
      <c r="E311" s="31" t="s">
        <v>3241</v>
      </c>
      <c r="F311" s="32" t="str">
        <f t="shared" si="9"/>
        <v>극상</v>
      </c>
      <c r="G311" s="63" t="s">
        <v>40</v>
      </c>
      <c r="H311" s="63" t="s">
        <v>41</v>
      </c>
      <c r="I311" s="34" t="s">
        <v>3242</v>
      </c>
      <c r="J311" s="33"/>
      <c r="K311" s="35"/>
      <c r="L311" s="33"/>
      <c r="M311" s="36"/>
      <c r="N311" s="33"/>
      <c r="O311" s="36"/>
      <c r="P311" s="33"/>
      <c r="Q311" s="37"/>
      <c r="R311" s="38"/>
      <c r="S311" s="33"/>
      <c r="T311" s="38"/>
      <c r="U311" s="33"/>
      <c r="V311" s="39"/>
      <c r="W311" s="90" t="b">
        <v>0</v>
      </c>
      <c r="X311" s="90" t="b">
        <v>0</v>
      </c>
      <c r="Y311" s="90" t="b">
        <v>0</v>
      </c>
      <c r="Z311" s="40" t="s">
        <v>3243</v>
      </c>
      <c r="AA311" s="41"/>
      <c r="AK311" s="16"/>
      <c r="AL311" s="16"/>
      <c r="AM311" s="16"/>
      <c r="AN311" s="16"/>
      <c r="AO311" s="16"/>
      <c r="AP311" s="16"/>
      <c r="AQ311" s="16"/>
      <c r="AR311" s="16"/>
      <c r="AS311" s="16"/>
    </row>
    <row r="312" spans="1:45" s="7" customFormat="1" ht="195" customHeight="1">
      <c r="A312" s="27">
        <f>[1]트램표준체크리스트!A310</f>
        <v>308</v>
      </c>
      <c r="B312" s="28" t="str">
        <f>[1]트램표준체크리스트!B310</f>
        <v>궤도</v>
      </c>
      <c r="C312" s="29" t="str">
        <f>[1]트램표준체크리스트!C310</f>
        <v>도로복구 및 공간정보</v>
      </c>
      <c r="D312" s="30" t="str">
        <f>[1]트램표준체크리스트!F310</f>
        <v>이음부 마감 상세설계 및 GIS 갱신 누락으로 도로 패임(Pot hole) 발생 및 향후 타 기관 굴착 시 트램 궤도를 훼손할 리스크를 검토하였는가?</v>
      </c>
      <c r="E312" s="31" t="s">
        <v>3244</v>
      </c>
      <c r="F312" s="32" t="str">
        <f t="shared" si="9"/>
        <v>극상</v>
      </c>
      <c r="G312" s="63" t="s">
        <v>40</v>
      </c>
      <c r="H312" s="63" t="s">
        <v>41</v>
      </c>
      <c r="I312" s="34" t="s">
        <v>3245</v>
      </c>
      <c r="J312" s="33"/>
      <c r="K312" s="35"/>
      <c r="L312" s="33"/>
      <c r="M312" s="36"/>
      <c r="N312" s="33"/>
      <c r="O312" s="36"/>
      <c r="P312" s="33"/>
      <c r="Q312" s="37"/>
      <c r="R312" s="38"/>
      <c r="S312" s="33"/>
      <c r="T312" s="38"/>
      <c r="U312" s="33"/>
      <c r="V312" s="39"/>
      <c r="W312" s="90" t="b">
        <v>0</v>
      </c>
      <c r="X312" s="90" t="b">
        <v>0</v>
      </c>
      <c r="Y312" s="90" t="b">
        <v>0</v>
      </c>
      <c r="Z312" s="40" t="s">
        <v>3246</v>
      </c>
      <c r="AA312" s="41"/>
      <c r="AK312" s="16"/>
      <c r="AL312" s="16"/>
      <c r="AM312" s="16"/>
      <c r="AN312" s="16"/>
      <c r="AO312" s="16"/>
      <c r="AP312" s="16"/>
      <c r="AQ312" s="16"/>
      <c r="AR312" s="16"/>
      <c r="AS312" s="16"/>
    </row>
    <row r="313" spans="1:45" s="7" customFormat="1" ht="195" customHeight="1">
      <c r="A313" s="27">
        <f>[1]트램표준체크리스트!A311</f>
        <v>309</v>
      </c>
      <c r="B313" s="28" t="str">
        <f>[1]트램표준체크리스트!B311</f>
        <v>궤도</v>
      </c>
      <c r="C313" s="29" t="str">
        <f>[1]트램표준체크리스트!C311</f>
        <v>도상 및 구조물 인터페이스</v>
      </c>
      <c r="D313" s="30" t="str">
        <f>[1]트램표준체크리스트!F311</f>
        <v>종단구배 구간의 타설 방향(상기울기 방향) 및 레미콘 운반 시간을 고려한 적정 슬럼프 설계 누락으로, 콘크리트 흘러내림 및 재료분리가 발생할 리스크를 검토하였는가?</v>
      </c>
      <c r="E313" s="31" t="s">
        <v>3247</v>
      </c>
      <c r="F313" s="32" t="str">
        <f t="shared" si="9"/>
        <v>극상</v>
      </c>
      <c r="G313" s="63" t="s">
        <v>40</v>
      </c>
      <c r="H313" s="63" t="s">
        <v>41</v>
      </c>
      <c r="I313" s="34" t="s">
        <v>3248</v>
      </c>
      <c r="J313" s="33"/>
      <c r="K313" s="35"/>
      <c r="L313" s="33"/>
      <c r="M313" s="36"/>
      <c r="N313" s="33"/>
      <c r="O313" s="36"/>
      <c r="P313" s="33"/>
      <c r="Q313" s="37"/>
      <c r="R313" s="38"/>
      <c r="S313" s="33"/>
      <c r="T313" s="38"/>
      <c r="U313" s="33"/>
      <c r="V313" s="39"/>
      <c r="W313" s="90" t="b">
        <v>0</v>
      </c>
      <c r="X313" s="90" t="b">
        <v>0</v>
      </c>
      <c r="Y313" s="90" t="b">
        <v>0</v>
      </c>
      <c r="Z313" s="40" t="s">
        <v>3249</v>
      </c>
      <c r="AA313" s="41"/>
      <c r="AK313" s="16"/>
      <c r="AL313" s="16"/>
      <c r="AM313" s="16"/>
      <c r="AN313" s="16"/>
      <c r="AO313" s="16"/>
      <c r="AP313" s="16"/>
      <c r="AQ313" s="16"/>
      <c r="AR313" s="16"/>
      <c r="AS313" s="16"/>
    </row>
    <row r="314" spans="1:45" s="7" customFormat="1" ht="195" customHeight="1">
      <c r="A314" s="27">
        <f>[1]트램표준체크리스트!A312</f>
        <v>310</v>
      </c>
      <c r="B314" s="28" t="str">
        <f>[1]트램표준체크리스트!B312</f>
        <v>궤도</v>
      </c>
      <c r="C314" s="29" t="str">
        <f>[1]트램표준체크리스트!C312</f>
        <v>도상 및 구조물 인터페이스</v>
      </c>
      <c r="D314" s="30" t="str">
        <f>[1]트램표준체크리스트!F312</f>
        <v>하부 신축이음과 궤도 시공이음 불일치 설계로 장기적인 온도 하중·진동 시 슬래브에 심각한 반사 균열(Reflection Crack)이 발생할 리스크를 검토하였는가?</v>
      </c>
      <c r="E314" s="31" t="s">
        <v>3250</v>
      </c>
      <c r="F314" s="32" t="str">
        <f t="shared" si="9"/>
        <v>극상</v>
      </c>
      <c r="G314" s="63" t="s">
        <v>40</v>
      </c>
      <c r="H314" s="63" t="s">
        <v>41</v>
      </c>
      <c r="I314" s="34" t="s">
        <v>3251</v>
      </c>
      <c r="J314" s="33"/>
      <c r="K314" s="35"/>
      <c r="L314" s="33"/>
      <c r="M314" s="36"/>
      <c r="N314" s="33"/>
      <c r="O314" s="36"/>
      <c r="P314" s="33"/>
      <c r="Q314" s="37"/>
      <c r="R314" s="38"/>
      <c r="S314" s="33"/>
      <c r="T314" s="38"/>
      <c r="U314" s="33"/>
      <c r="V314" s="39"/>
      <c r="W314" s="90" t="b">
        <v>0</v>
      </c>
      <c r="X314" s="90" t="b">
        <v>0</v>
      </c>
      <c r="Y314" s="90" t="b">
        <v>0</v>
      </c>
      <c r="Z314" s="40" t="s">
        <v>3252</v>
      </c>
      <c r="AA314" s="41"/>
      <c r="AK314" s="16"/>
      <c r="AL314" s="16"/>
      <c r="AM314" s="16"/>
      <c r="AN314" s="16"/>
      <c r="AO314" s="16"/>
      <c r="AP314" s="16"/>
      <c r="AQ314" s="16"/>
      <c r="AR314" s="16"/>
      <c r="AS314" s="16"/>
    </row>
    <row r="315" spans="1:45" s="7" customFormat="1" ht="195" customHeight="1">
      <c r="A315" s="27">
        <f>[1]트램표준체크리스트!A313</f>
        <v>311</v>
      </c>
      <c r="B315" s="28" t="str">
        <f>[1]트램표준체크리스트!B313</f>
        <v>궤도</v>
      </c>
      <c r="C315" s="29" t="str">
        <f>[1]트램표준체크리스트!C313</f>
        <v>도상 및 구조물 인터페이스</v>
      </c>
      <c r="D315" s="30" t="str">
        <f>[1]트램표준체크리스트!F313</f>
        <v>좁은 도상 폭원 설계 및 최소 피복두께 기준 누락으로 철근 외부 노출 및 우수 유입에 의한 조기 부식 리스크를 검토하였는가?</v>
      </c>
      <c r="E315" s="31" t="s">
        <v>3253</v>
      </c>
      <c r="F315" s="32" t="str">
        <f t="shared" si="9"/>
        <v>극상</v>
      </c>
      <c r="G315" s="63" t="s">
        <v>40</v>
      </c>
      <c r="H315" s="63" t="s">
        <v>41</v>
      </c>
      <c r="I315" s="34" t="s">
        <v>3254</v>
      </c>
      <c r="J315" s="33"/>
      <c r="K315" s="35"/>
      <c r="L315" s="33"/>
      <c r="M315" s="36"/>
      <c r="N315" s="33"/>
      <c r="O315" s="36"/>
      <c r="P315" s="33"/>
      <c r="Q315" s="37"/>
      <c r="R315" s="38"/>
      <c r="S315" s="33"/>
      <c r="T315" s="38"/>
      <c r="U315" s="33"/>
      <c r="V315" s="39"/>
      <c r="W315" s="90" t="b">
        <v>0</v>
      </c>
      <c r="X315" s="90" t="b">
        <v>0</v>
      </c>
      <c r="Y315" s="90" t="b">
        <v>0</v>
      </c>
      <c r="Z315" s="40" t="s">
        <v>3255</v>
      </c>
      <c r="AA315" s="41"/>
      <c r="AK315" s="16"/>
      <c r="AL315" s="16"/>
      <c r="AM315" s="16"/>
      <c r="AN315" s="16"/>
      <c r="AO315" s="16"/>
      <c r="AP315" s="16"/>
      <c r="AQ315" s="16"/>
      <c r="AR315" s="16"/>
      <c r="AS315" s="16"/>
    </row>
    <row r="316" spans="1:45" s="7" customFormat="1" ht="195" customHeight="1">
      <c r="A316" s="27">
        <f>[1]트램표준체크리스트!A314</f>
        <v>312</v>
      </c>
      <c r="B316" s="28" t="str">
        <f>[1]트램표준체크리스트!B314</f>
        <v>궤도</v>
      </c>
      <c r="C316" s="29" t="str">
        <f>[1]트램표준체크리스트!C314</f>
        <v>도상 및 구조물 인터페이스</v>
      </c>
      <c r="D316" s="30" t="str">
        <f>[1]트램표준체크리스트!F314</f>
        <v>전용 정밀 마감기준(오차한계) 누락 및 일반 기준 준용으로 시공 후 노면 요철·궤간 불량 시 재시공 강제 기준이 부재할 리스크를 검토하였는가?</v>
      </c>
      <c r="E316" s="31" t="s">
        <v>3256</v>
      </c>
      <c r="F316" s="32" t="str">
        <f t="shared" si="9"/>
        <v>극상</v>
      </c>
      <c r="G316" s="63" t="s">
        <v>40</v>
      </c>
      <c r="H316" s="63" t="s">
        <v>41</v>
      </c>
      <c r="I316" s="34" t="s">
        <v>3257</v>
      </c>
      <c r="J316" s="33"/>
      <c r="K316" s="35"/>
      <c r="L316" s="33"/>
      <c r="M316" s="36"/>
      <c r="N316" s="33"/>
      <c r="O316" s="36"/>
      <c r="P316" s="33"/>
      <c r="Q316" s="37"/>
      <c r="R316" s="38"/>
      <c r="S316" s="33"/>
      <c r="T316" s="38"/>
      <c r="U316" s="33"/>
      <c r="V316" s="39"/>
      <c r="W316" s="90" t="b">
        <v>0</v>
      </c>
      <c r="X316" s="90" t="b">
        <v>0</v>
      </c>
      <c r="Y316" s="90" t="b">
        <v>0</v>
      </c>
      <c r="Z316" s="40" t="s">
        <v>3258</v>
      </c>
      <c r="AA316" s="41"/>
      <c r="AK316" s="16"/>
      <c r="AL316" s="16"/>
      <c r="AM316" s="16"/>
      <c r="AN316" s="16"/>
      <c r="AO316" s="16"/>
      <c r="AP316" s="16"/>
      <c r="AQ316" s="16"/>
      <c r="AR316" s="16"/>
      <c r="AS316" s="16"/>
    </row>
    <row r="317" spans="1:45" s="7" customFormat="1" ht="195" customHeight="1">
      <c r="A317" s="27">
        <f>[1]트램표준체크리스트!A315</f>
        <v>313</v>
      </c>
      <c r="B317" s="28" t="str">
        <f>[1]트램표준체크리스트!B315</f>
        <v>궤도</v>
      </c>
      <c r="C317" s="29" t="str">
        <f>[1]트램표준체크리스트!C315</f>
        <v>매립형 궤도 윤연로(Flangeway) 방재 계획</v>
      </c>
      <c r="D317" s="30" t="str">
        <f>[1]트램표준체크리스트!F315</f>
        <v>윤연로(홈) 이물질 퇴적 대비 상시 청소 대책 및 장비 운용 계획 누락으로 궤도 홈 막힘에 따른 트램 탈선이 발생할 리스크를 검토하였는가?</v>
      </c>
      <c r="E317" s="31" t="s">
        <v>3259</v>
      </c>
      <c r="F317" s="32" t="str">
        <f t="shared" si="9"/>
        <v>극상</v>
      </c>
      <c r="G317" s="63" t="s">
        <v>40</v>
      </c>
      <c r="H317" s="63" t="s">
        <v>41</v>
      </c>
      <c r="I317" s="34" t="s">
        <v>3260</v>
      </c>
      <c r="J317" s="33"/>
      <c r="K317" s="35"/>
      <c r="L317" s="33"/>
      <c r="M317" s="36"/>
      <c r="N317" s="33"/>
      <c r="O317" s="36"/>
      <c r="P317" s="33"/>
      <c r="Q317" s="37"/>
      <c r="R317" s="38"/>
      <c r="S317" s="33"/>
      <c r="T317" s="38"/>
      <c r="U317" s="33"/>
      <c r="V317" s="39"/>
      <c r="W317" s="90" t="b">
        <v>0</v>
      </c>
      <c r="X317" s="90" t="b">
        <v>0</v>
      </c>
      <c r="Y317" s="90" t="b">
        <v>0</v>
      </c>
      <c r="Z317" s="40" t="s">
        <v>3145</v>
      </c>
      <c r="AA317" s="41"/>
      <c r="AK317" s="16"/>
      <c r="AL317" s="16"/>
      <c r="AM317" s="16"/>
      <c r="AN317" s="16"/>
      <c r="AO317" s="16"/>
      <c r="AP317" s="16"/>
      <c r="AQ317" s="16"/>
      <c r="AR317" s="16"/>
      <c r="AS317" s="16"/>
    </row>
    <row r="318" spans="1:45" s="7" customFormat="1" ht="195" customHeight="1">
      <c r="A318" s="27">
        <f>[1]트램표준체크리스트!A316</f>
        <v>314</v>
      </c>
      <c r="B318" s="28" t="str">
        <f>[1]트램표준체크리스트!B316</f>
        <v>궤도</v>
      </c>
      <c r="C318" s="29" t="str">
        <f>[1]트램표준체크리스트!C316</f>
        <v>매립형 궤도 윤연로(Flangeway) 방재 계획</v>
      </c>
      <c r="D318" s="30" t="str">
        <f>[1]트램표준체크리스트!F316</f>
        <v>하절기 고온 가열로 궤도 변형에 의한 차량 탈선 리스크를 검토하였는가?</v>
      </c>
      <c r="E318" s="31" t="s">
        <v>3261</v>
      </c>
      <c r="F318" s="32" t="str">
        <f t="shared" si="9"/>
        <v>극상</v>
      </c>
      <c r="G318" s="63" t="s">
        <v>40</v>
      </c>
      <c r="H318" s="63" t="s">
        <v>41</v>
      </c>
      <c r="I318" s="34" t="s">
        <v>3212</v>
      </c>
      <c r="J318" s="33"/>
      <c r="K318" s="35"/>
      <c r="L318" s="33"/>
      <c r="M318" s="36"/>
      <c r="N318" s="33"/>
      <c r="O318" s="36"/>
      <c r="P318" s="33"/>
      <c r="Q318" s="37"/>
      <c r="R318" s="38"/>
      <c r="S318" s="33"/>
      <c r="T318" s="38"/>
      <c r="U318" s="33"/>
      <c r="V318" s="39"/>
      <c r="W318" s="90" t="b">
        <v>0</v>
      </c>
      <c r="X318" s="90" t="b">
        <v>0</v>
      </c>
      <c r="Y318" s="90" t="b">
        <v>0</v>
      </c>
      <c r="Z318" s="40" t="s">
        <v>3262</v>
      </c>
      <c r="AA318" s="41"/>
      <c r="AK318" s="16"/>
      <c r="AL318" s="16"/>
      <c r="AM318" s="16"/>
      <c r="AN318" s="16"/>
      <c r="AO318" s="16"/>
      <c r="AP318" s="16"/>
      <c r="AQ318" s="16"/>
      <c r="AR318" s="16"/>
      <c r="AS318" s="16"/>
    </row>
    <row r="319" spans="1:45" s="7" customFormat="1" ht="195" customHeight="1">
      <c r="A319" s="27">
        <f>[1]트램표준체크리스트!A317</f>
        <v>315</v>
      </c>
      <c r="B319" s="28" t="str">
        <f>[1]트램표준체크리스트!B317</f>
        <v>궤도</v>
      </c>
      <c r="C319" s="29" t="str">
        <f>[1]트램표준체크리스트!C317</f>
        <v>본선 궤도 노면수 배수 계획</v>
      </c>
      <c r="D319" s="30" t="str">
        <f>[1]트램표준체크리스트!F317</f>
        <v>완전밀폐 마감 및 선로 중앙배수구 설계 누락으로, 호우 시 궤도 침수에 따른 콘크리트 지지력 훼손 및 신호 장애가 유발될 리스크를 검토하였는가?</v>
      </c>
      <c r="E319" s="31" t="s">
        <v>3263</v>
      </c>
      <c r="F319" s="32" t="str">
        <f t="shared" si="9"/>
        <v>극상</v>
      </c>
      <c r="G319" s="63" t="s">
        <v>40</v>
      </c>
      <c r="H319" s="63" t="s">
        <v>41</v>
      </c>
      <c r="I319" s="34" t="s">
        <v>3264</v>
      </c>
      <c r="J319" s="33"/>
      <c r="K319" s="35"/>
      <c r="L319" s="33"/>
      <c r="M319" s="36"/>
      <c r="N319" s="33"/>
      <c r="O319" s="36"/>
      <c r="P319" s="33"/>
      <c r="Q319" s="37"/>
      <c r="R319" s="38"/>
      <c r="S319" s="33"/>
      <c r="T319" s="38"/>
      <c r="U319" s="33"/>
      <c r="V319" s="39"/>
      <c r="W319" s="90" t="b">
        <v>0</v>
      </c>
      <c r="X319" s="90" t="b">
        <v>0</v>
      </c>
      <c r="Y319" s="90" t="b">
        <v>0</v>
      </c>
      <c r="Z319" s="40" t="s">
        <v>3080</v>
      </c>
      <c r="AA319" s="41"/>
      <c r="AK319" s="16"/>
      <c r="AL319" s="16"/>
      <c r="AM319" s="16"/>
      <c r="AN319" s="16"/>
      <c r="AO319" s="16"/>
      <c r="AP319" s="16"/>
      <c r="AQ319" s="16"/>
      <c r="AR319" s="16"/>
      <c r="AS319" s="16"/>
    </row>
    <row r="320" spans="1:45" s="7" customFormat="1" ht="195" customHeight="1">
      <c r="A320" s="27">
        <f>[1]트램표준체크리스트!A318</f>
        <v>316</v>
      </c>
      <c r="B320" s="28" t="str">
        <f>[1]트램표준체크리스트!B318</f>
        <v>궤도</v>
      </c>
      <c r="C320" s="29" t="str">
        <f>[1]트램표준체크리스트!C318</f>
        <v>본선 궤도 노면수 배수 계획</v>
      </c>
      <c r="D320" s="30" t="str">
        <f>[1]트램표준체크리스트!F318</f>
        <v>폭설이 레일 홈 내 이물질 누적으로 인한 동절기 결빙 및 또는 배수폐색 등으로 배수기능 상실 리스크를 검토하였는가?</v>
      </c>
      <c r="E320" s="31" t="s">
        <v>3265</v>
      </c>
      <c r="F320" s="32" t="str">
        <f t="shared" si="9"/>
        <v>극상</v>
      </c>
      <c r="G320" s="63" t="s">
        <v>40</v>
      </c>
      <c r="H320" s="63" t="s">
        <v>41</v>
      </c>
      <c r="I320" s="34" t="s">
        <v>3266</v>
      </c>
      <c r="J320" s="33"/>
      <c r="K320" s="35"/>
      <c r="L320" s="33"/>
      <c r="M320" s="36"/>
      <c r="N320" s="33"/>
      <c r="O320" s="36"/>
      <c r="P320" s="33"/>
      <c r="Q320" s="37"/>
      <c r="R320" s="38"/>
      <c r="S320" s="33"/>
      <c r="T320" s="38"/>
      <c r="U320" s="33"/>
      <c r="V320" s="39"/>
      <c r="W320" s="90" t="b">
        <v>0</v>
      </c>
      <c r="X320" s="90" t="b">
        <v>0</v>
      </c>
      <c r="Y320" s="90" t="b">
        <v>0</v>
      </c>
      <c r="Z320" s="40" t="s">
        <v>3210</v>
      </c>
      <c r="AA320" s="41"/>
      <c r="AK320" s="16"/>
      <c r="AL320" s="16"/>
      <c r="AM320" s="16"/>
      <c r="AN320" s="16"/>
      <c r="AO320" s="16"/>
      <c r="AP320" s="16"/>
      <c r="AQ320" s="16"/>
      <c r="AR320" s="16"/>
      <c r="AS320" s="16"/>
    </row>
    <row r="321" spans="1:45" s="7" customFormat="1" ht="195" customHeight="1">
      <c r="A321" s="27">
        <f>[1]트램표준체크리스트!A319</f>
        <v>317</v>
      </c>
      <c r="B321" s="28" t="str">
        <f>[1]트램표준체크리스트!B319</f>
        <v>궤도</v>
      </c>
      <c r="C321" s="29" t="str">
        <f>[1]트램표준체크리스트!C319</f>
        <v>분기기 및 방재계획</v>
      </c>
      <c r="D321" s="30" t="str">
        <f>[1]트램표준체크리스트!F319</f>
        <v>어스박스 및 배수관로 설계 누락·단면적 부족으로, 호우 시 선로전환기 침수 및 분기기 전환 장애가 발생할 리스크를 검토하였는가?</v>
      </c>
      <c r="E321" s="31" t="s">
        <v>3267</v>
      </c>
      <c r="F321" s="32" t="str">
        <f t="shared" si="9"/>
        <v>극상</v>
      </c>
      <c r="G321" s="63" t="s">
        <v>40</v>
      </c>
      <c r="H321" s="63" t="s">
        <v>41</v>
      </c>
      <c r="I321" s="34" t="s">
        <v>3268</v>
      </c>
      <c r="J321" s="33"/>
      <c r="K321" s="35"/>
      <c r="L321" s="33"/>
      <c r="M321" s="36"/>
      <c r="N321" s="33"/>
      <c r="O321" s="36"/>
      <c r="P321" s="33"/>
      <c r="Q321" s="37"/>
      <c r="R321" s="38"/>
      <c r="S321" s="33"/>
      <c r="T321" s="38"/>
      <c r="U321" s="33"/>
      <c r="V321" s="39"/>
      <c r="W321" s="90" t="b">
        <v>0</v>
      </c>
      <c r="X321" s="90" t="b">
        <v>0</v>
      </c>
      <c r="Y321" s="90" t="b">
        <v>0</v>
      </c>
      <c r="Z321" s="40" t="s">
        <v>3269</v>
      </c>
      <c r="AA321" s="41"/>
      <c r="AK321" s="16"/>
      <c r="AL321" s="16"/>
      <c r="AM321" s="16"/>
      <c r="AN321" s="16"/>
      <c r="AO321" s="16"/>
      <c r="AP321" s="16"/>
      <c r="AQ321" s="16"/>
      <c r="AR321" s="16"/>
      <c r="AS321" s="16"/>
    </row>
    <row r="322" spans="1:45" s="7" customFormat="1" ht="195" customHeight="1">
      <c r="A322" s="27">
        <f>[1]트램표준체크리스트!A320</f>
        <v>318</v>
      </c>
      <c r="B322" s="28" t="str">
        <f>[1]트램표준체크리스트!B320</f>
        <v>궤도</v>
      </c>
      <c r="C322" s="29" t="str">
        <f>[1]트램표준체크리스트!C320</f>
        <v>분기기 및 방재계획</v>
      </c>
      <c r="D322" s="30" t="str">
        <f>[1]트램표준체크리스트!F320</f>
        <v>급곡선부 일반 레일 적용에 따른 횡저항력 부족으로 트램이 탈선할 리스크를 검토하였는가?</v>
      </c>
      <c r="E322" s="31" t="s">
        <v>3270</v>
      </c>
      <c r="F322" s="32" t="str">
        <f t="shared" si="9"/>
        <v>극상</v>
      </c>
      <c r="G322" s="63" t="s">
        <v>40</v>
      </c>
      <c r="H322" s="63" t="s">
        <v>41</v>
      </c>
      <c r="I322" s="34" t="s">
        <v>3271</v>
      </c>
      <c r="J322" s="33"/>
      <c r="K322" s="35"/>
      <c r="L322" s="33"/>
      <c r="M322" s="36"/>
      <c r="N322" s="33"/>
      <c r="O322" s="36"/>
      <c r="P322" s="33"/>
      <c r="Q322" s="37"/>
      <c r="R322" s="38"/>
      <c r="S322" s="33"/>
      <c r="T322" s="38"/>
      <c r="U322" s="33"/>
      <c r="V322" s="39"/>
      <c r="W322" s="90" t="b">
        <v>0</v>
      </c>
      <c r="X322" s="90" t="b">
        <v>0</v>
      </c>
      <c r="Y322" s="90" t="b">
        <v>0</v>
      </c>
      <c r="Z322" s="40" t="s">
        <v>3080</v>
      </c>
      <c r="AA322" s="41"/>
      <c r="AK322" s="16"/>
      <c r="AL322" s="16"/>
      <c r="AM322" s="16"/>
      <c r="AN322" s="16"/>
      <c r="AO322" s="16"/>
      <c r="AP322" s="16"/>
      <c r="AQ322" s="16"/>
      <c r="AR322" s="16"/>
      <c r="AS322" s="16"/>
    </row>
    <row r="323" spans="1:45" s="7" customFormat="1" ht="195" customHeight="1">
      <c r="A323" s="27">
        <f>[1]트램표준체크리스트!A321</f>
        <v>319</v>
      </c>
      <c r="B323" s="28" t="str">
        <f>[1]트램표준체크리스트!B321</f>
        <v>궤도</v>
      </c>
      <c r="C323" s="29" t="str">
        <f>[1]트램표준체크리스트!C321</f>
        <v>분기기 및 방재계획</v>
      </c>
      <c r="D323" s="30" t="str">
        <f>[1]트램표준체크리스트!F321</f>
        <v>본선·분기기 지지강성 차이 미고려 및 체감구조 누락으로, 강성 급변 시 충격 하중에 의한 궤도 파괴 및 승차감이 불량해질 리스크를 검토하였는가?</v>
      </c>
      <c r="E323" s="31" t="s">
        <v>3272</v>
      </c>
      <c r="F323" s="32" t="str">
        <f t="shared" si="9"/>
        <v>극상</v>
      </c>
      <c r="G323" s="63" t="s">
        <v>40</v>
      </c>
      <c r="H323" s="63" t="s">
        <v>41</v>
      </c>
      <c r="I323" s="34" t="s">
        <v>3273</v>
      </c>
      <c r="J323" s="33"/>
      <c r="K323" s="35"/>
      <c r="L323" s="33"/>
      <c r="M323" s="36"/>
      <c r="N323" s="33"/>
      <c r="O323" s="36"/>
      <c r="P323" s="33"/>
      <c r="Q323" s="37"/>
      <c r="R323" s="38"/>
      <c r="S323" s="33"/>
      <c r="T323" s="38"/>
      <c r="U323" s="33"/>
      <c r="V323" s="39"/>
      <c r="W323" s="90" t="b">
        <v>0</v>
      </c>
      <c r="X323" s="90" t="b">
        <v>0</v>
      </c>
      <c r="Y323" s="90" t="b">
        <v>0</v>
      </c>
      <c r="Z323" s="40" t="s">
        <v>3274</v>
      </c>
      <c r="AA323" s="41"/>
      <c r="AK323" s="16"/>
      <c r="AL323" s="16"/>
      <c r="AM323" s="16"/>
      <c r="AN323" s="16"/>
      <c r="AO323" s="16"/>
      <c r="AP323" s="16"/>
      <c r="AQ323" s="16"/>
      <c r="AR323" s="16"/>
      <c r="AS323" s="16"/>
    </row>
    <row r="324" spans="1:45" s="7" customFormat="1" ht="195" customHeight="1">
      <c r="A324" s="27">
        <f>[1]트램표준체크리스트!A322</f>
        <v>320</v>
      </c>
      <c r="B324" s="28" t="str">
        <f>[1]트램표준체크리스트!B322</f>
        <v>궤도</v>
      </c>
      <c r="C324" s="29" t="str">
        <f>[1]트램표준체크리스트!C322</f>
        <v>분기기 및 방재계획</v>
      </c>
      <c r="D324" s="30" t="str">
        <f>[1]트램표준체크리스트!F322</f>
        <v>본선·분기기 지지강성 차이 미고려로, 충격 하중에 의해 분기기 주변 궤도 조기 파손 및 부등침하가 유발될 리스크를 검토하였는가?</v>
      </c>
      <c r="E324" s="31" t="s">
        <v>3275</v>
      </c>
      <c r="F324" s="32" t="str">
        <f t="shared" si="9"/>
        <v>극상</v>
      </c>
      <c r="G324" s="63" t="s">
        <v>40</v>
      </c>
      <c r="H324" s="63" t="s">
        <v>41</v>
      </c>
      <c r="I324" s="34" t="s">
        <v>3276</v>
      </c>
      <c r="J324" s="33"/>
      <c r="K324" s="35"/>
      <c r="L324" s="33"/>
      <c r="M324" s="36"/>
      <c r="N324" s="33"/>
      <c r="O324" s="36"/>
      <c r="P324" s="33"/>
      <c r="Q324" s="37"/>
      <c r="R324" s="38"/>
      <c r="S324" s="33"/>
      <c r="T324" s="38"/>
      <c r="U324" s="33"/>
      <c r="V324" s="39"/>
      <c r="W324" s="90" t="b">
        <v>0</v>
      </c>
      <c r="X324" s="90" t="b">
        <v>0</v>
      </c>
      <c r="Y324" s="90" t="b">
        <v>0</v>
      </c>
      <c r="Z324" s="40" t="s">
        <v>3277</v>
      </c>
      <c r="AA324" s="41"/>
      <c r="AK324" s="16"/>
      <c r="AL324" s="16"/>
      <c r="AM324" s="16"/>
      <c r="AN324" s="16"/>
      <c r="AO324" s="16"/>
      <c r="AP324" s="16"/>
      <c r="AQ324" s="16"/>
      <c r="AR324" s="16"/>
      <c r="AS324" s="16"/>
    </row>
    <row r="325" spans="1:45" s="7" customFormat="1" ht="195" customHeight="1">
      <c r="A325" s="27">
        <f>[1]트램표준체크리스트!A323</f>
        <v>321</v>
      </c>
      <c r="B325" s="28" t="str">
        <f>[1]트램표준체크리스트!B323</f>
        <v>궤도</v>
      </c>
      <c r="C325" s="29" t="str">
        <f>[1]트램표준체크리스트!C323</f>
        <v>분기기 및 방재계획</v>
      </c>
      <c r="D325" s="30" t="str">
        <f>[1]트램표준체크리스트!F323</f>
        <v>부속품 간섭 배제용 강재거푸집 상세도 및 야적장 가조립 계획 누락으로, 현장 조립 오차에 따른 궤도 파취 및 재시공이 발생할 리스크를 검토하였는가?</v>
      </c>
      <c r="E325" s="31" t="s">
        <v>3278</v>
      </c>
      <c r="F325" s="32" t="str">
        <f t="shared" si="9"/>
        <v>극상</v>
      </c>
      <c r="G325" s="63" t="s">
        <v>40</v>
      </c>
      <c r="H325" s="63" t="s">
        <v>41</v>
      </c>
      <c r="I325" s="34" t="s">
        <v>3279</v>
      </c>
      <c r="J325" s="33"/>
      <c r="K325" s="35"/>
      <c r="L325" s="33"/>
      <c r="M325" s="36"/>
      <c r="N325" s="33"/>
      <c r="O325" s="36"/>
      <c r="P325" s="33"/>
      <c r="Q325" s="37"/>
      <c r="R325" s="38"/>
      <c r="S325" s="33"/>
      <c r="T325" s="38"/>
      <c r="U325" s="33"/>
      <c r="V325" s="39"/>
      <c r="W325" s="90" t="b">
        <v>0</v>
      </c>
      <c r="X325" s="90" t="b">
        <v>0</v>
      </c>
      <c r="Y325" s="90" t="b">
        <v>0</v>
      </c>
      <c r="Z325" s="40" t="s">
        <v>3280</v>
      </c>
      <c r="AA325" s="41"/>
      <c r="AK325" s="16"/>
      <c r="AL325" s="16"/>
      <c r="AM325" s="16"/>
      <c r="AN325" s="16"/>
      <c r="AO325" s="16"/>
      <c r="AP325" s="16"/>
      <c r="AQ325" s="16"/>
      <c r="AR325" s="16"/>
      <c r="AS325" s="16"/>
    </row>
    <row r="326" spans="1:45" s="7" customFormat="1" ht="195" customHeight="1">
      <c r="A326" s="27">
        <f>[1]트램표준체크리스트!A324</f>
        <v>322</v>
      </c>
      <c r="B326" s="28" t="str">
        <f>[1]트램표준체크리스트!B324</f>
        <v>궤도</v>
      </c>
      <c r="C326" s="29" t="str">
        <f>[1]트램표준체크리스트!C324</f>
        <v>분기기 및 방재계획</v>
      </c>
      <c r="D326" s="30" t="str">
        <f>[1]트램표준체크리스트!F324</f>
        <v>배수시설 용량 과소 설계로 집중호우 시 선로·분기기 제어반이 침수되어 트램 운행이 중단될 리스크를 검토하였는가?</v>
      </c>
      <c r="E326" s="31" t="s">
        <v>3281</v>
      </c>
      <c r="F326" s="32" t="str">
        <f>_xlfn.LET(
    _xlpm.v_발생, IF(ISNUMBER(SEARCH("빈번", G326)), "상",
               IF(ISNUMBER(SEARCH("거의", G326)), "하", "중")),
    _xlpm.v_영향, IF(ISNUMBER(SEARCH("1개월", H326)), "상",
               IF(ISNUMBER(SEARCH("없음", H326)), "하", "중")),
    IF(AND(_xlpm.v_발생="상", _xlpm.v_영향="상"), "극상",
    IF(OR(_xlpm.v_발생="상", _xlpm.v_영향="상"), "상",
    IF(AND(_xlpm.v_발생="하", _xlpm.v_영향="하"), "하",
    "중")))
)</f>
        <v>극상</v>
      </c>
      <c r="G326" s="63" t="s">
        <v>40</v>
      </c>
      <c r="H326" s="63" t="s">
        <v>41</v>
      </c>
      <c r="I326" s="34" t="s">
        <v>3282</v>
      </c>
      <c r="J326" s="33"/>
      <c r="K326" s="35"/>
      <c r="L326" s="33"/>
      <c r="M326" s="36"/>
      <c r="N326" s="33"/>
      <c r="O326" s="36"/>
      <c r="P326" s="33"/>
      <c r="Q326" s="37"/>
      <c r="R326" s="38"/>
      <c r="S326" s="33"/>
      <c r="T326" s="38"/>
      <c r="U326" s="33"/>
      <c r="V326" s="39"/>
      <c r="W326" s="90" t="b">
        <v>0</v>
      </c>
      <c r="X326" s="90" t="b">
        <v>0</v>
      </c>
      <c r="Y326" s="90" t="b">
        <v>0</v>
      </c>
      <c r="Z326" s="40" t="s">
        <v>3283</v>
      </c>
      <c r="AA326" s="41"/>
      <c r="AK326" s="16"/>
      <c r="AL326" s="16"/>
      <c r="AM326" s="16"/>
      <c r="AN326" s="16"/>
      <c r="AO326" s="16"/>
      <c r="AP326" s="16"/>
      <c r="AQ326" s="16"/>
      <c r="AR326" s="16"/>
      <c r="AS326" s="16"/>
    </row>
    <row r="327" spans="1:45" s="7" customFormat="1" ht="195" customHeight="1">
      <c r="A327" s="27">
        <f>[1]트램표준체크리스트!A325</f>
        <v>323</v>
      </c>
      <c r="B327" s="28" t="str">
        <f>[1]트램표준체크리스트!B325</f>
        <v>궤도</v>
      </c>
      <c r="C327" s="29" t="str">
        <f>[1]트램표준체크리스트!C325</f>
        <v>분기기 및 방재계획</v>
      </c>
      <c r="D327" s="30" t="str">
        <f>[1]트램표준체크리스트!F325</f>
        <v>분기기 히팅장치 설치 공종(궤도-신호) 간 인터페이스 불분명으로 부품 누락 및 전원 미결선이 발생해 융설 설비가 작동안할 리스크를 검토하였는가?</v>
      </c>
      <c r="E327" s="31" t="s">
        <v>3284</v>
      </c>
      <c r="F327" s="32" t="str">
        <f t="shared" ref="F327:F358" si="10">_xlfn.LET(
_xlpm.v_발생, IF(ISNUMBER(SEARCH("빈번", G327)), "상",
IF(ISNUMBER(SEARCH("거의", G327)), "하", "중")),
_xlpm.v_영향, IF(ISNUMBER(SEARCH("1개월", H327)), "상",
IF(ISNUMBER(SEARCH("없음", H327)), "하", "중")),
IF(AND(_xlpm.v_발생="상", _xlpm.v_영향="상"), "극상",
IF(OR(_xlpm.v_발생="상", _xlpm.v_영향="상"), "상",
IF(AND(_xlpm.v_발생="하", _xlpm.v_영향="하"), "하",
"중")))
)</f>
        <v>극상</v>
      </c>
      <c r="G327" s="63" t="s">
        <v>40</v>
      </c>
      <c r="H327" s="63" t="s">
        <v>41</v>
      </c>
      <c r="I327" s="34" t="s">
        <v>3285</v>
      </c>
      <c r="J327" s="33"/>
      <c r="K327" s="35"/>
      <c r="L327" s="33"/>
      <c r="M327" s="36"/>
      <c r="N327" s="33"/>
      <c r="O327" s="36"/>
      <c r="P327" s="33"/>
      <c r="Q327" s="37"/>
      <c r="R327" s="38"/>
      <c r="S327" s="33"/>
      <c r="T327" s="38"/>
      <c r="U327" s="33"/>
      <c r="V327" s="39"/>
      <c r="W327" s="90" t="b">
        <v>0</v>
      </c>
      <c r="X327" s="90" t="b">
        <v>0</v>
      </c>
      <c r="Y327" s="90" t="b">
        <v>0</v>
      </c>
      <c r="Z327" s="40" t="s">
        <v>3286</v>
      </c>
      <c r="AA327" s="41"/>
      <c r="AK327" s="16"/>
      <c r="AL327" s="16"/>
      <c r="AM327" s="16"/>
      <c r="AN327" s="16"/>
      <c r="AO327" s="16"/>
      <c r="AP327" s="16"/>
      <c r="AQ327" s="16"/>
      <c r="AR327" s="16"/>
      <c r="AS327" s="16"/>
    </row>
    <row r="328" spans="1:45" s="7" customFormat="1" ht="195" customHeight="1">
      <c r="A328" s="27">
        <f>[1]트램표준체크리스트!A326</f>
        <v>324</v>
      </c>
      <c r="B328" s="28" t="str">
        <f>[1]트램표준체크리스트!B326</f>
        <v>궤도</v>
      </c>
      <c r="C328" s="29" t="str">
        <f>[1]트램표준체크리스트!C326</f>
        <v>분기기 및 방재계획</v>
      </c>
      <c r="D328" s="30" t="str">
        <f>[1]트램표준체크리스트!F326</f>
        <v>융설설비(히팅 디바이스) 및 자동 온도 제어 연동 설계 누락으로 결빙 시 선로 전환 장애 및 탈선 사고가 유발될 리스크를 검토하였는가?</v>
      </c>
      <c r="E328" s="31" t="s">
        <v>3287</v>
      </c>
      <c r="F328" s="32" t="str">
        <f t="shared" si="10"/>
        <v>극상</v>
      </c>
      <c r="G328" s="63" t="s">
        <v>40</v>
      </c>
      <c r="H328" s="63" t="s">
        <v>41</v>
      </c>
      <c r="I328" s="34" t="s">
        <v>3288</v>
      </c>
      <c r="J328" s="33"/>
      <c r="K328" s="35"/>
      <c r="L328" s="33"/>
      <c r="M328" s="36"/>
      <c r="N328" s="33"/>
      <c r="O328" s="36"/>
      <c r="P328" s="33"/>
      <c r="Q328" s="37"/>
      <c r="R328" s="38"/>
      <c r="S328" s="33"/>
      <c r="T328" s="38"/>
      <c r="U328" s="33"/>
      <c r="V328" s="39"/>
      <c r="W328" s="90" t="b">
        <v>0</v>
      </c>
      <c r="X328" s="90" t="b">
        <v>0</v>
      </c>
      <c r="Y328" s="90" t="b">
        <v>0</v>
      </c>
      <c r="Z328" s="40" t="s">
        <v>3289</v>
      </c>
      <c r="AA328" s="41"/>
      <c r="AK328" s="16"/>
      <c r="AL328" s="16"/>
      <c r="AM328" s="16"/>
      <c r="AN328" s="16"/>
      <c r="AO328" s="16"/>
      <c r="AP328" s="16"/>
      <c r="AQ328" s="16"/>
      <c r="AR328" s="16"/>
      <c r="AS328" s="16"/>
    </row>
    <row r="329" spans="1:45" s="7" customFormat="1" ht="195" customHeight="1">
      <c r="A329" s="27">
        <f>[1]트램표준체크리스트!A327</f>
        <v>325</v>
      </c>
      <c r="B329" s="28" t="str">
        <f>[1]트램표준체크리스트!B327</f>
        <v>궤도</v>
      </c>
      <c r="C329" s="29" t="str">
        <f>[1]트램표준체크리스트!C327</f>
        <v>분기기 및 방재계획</v>
      </c>
      <c r="D329" s="30" t="str">
        <f>[1]트램표준체크리스트!F327</f>
        <v>일반 타이플레이트 개별 고정 등 시공이 난해한 구조 설계로 현장 조립 장시간 소요 및 타설 중 궤간이 틀어질 리스크를 검토하였는가?</v>
      </c>
      <c r="E329" s="31" t="s">
        <v>3290</v>
      </c>
      <c r="F329" s="32" t="str">
        <f t="shared" si="10"/>
        <v>극상</v>
      </c>
      <c r="G329" s="63" t="s">
        <v>40</v>
      </c>
      <c r="H329" s="63" t="s">
        <v>41</v>
      </c>
      <c r="I329" s="34" t="s">
        <v>3291</v>
      </c>
      <c r="J329" s="33"/>
      <c r="K329" s="35"/>
      <c r="L329" s="33"/>
      <c r="M329" s="36"/>
      <c r="N329" s="33"/>
      <c r="O329" s="36"/>
      <c r="P329" s="33"/>
      <c r="Q329" s="37"/>
      <c r="R329" s="38"/>
      <c r="S329" s="33"/>
      <c r="T329" s="38"/>
      <c r="U329" s="33"/>
      <c r="V329" s="39"/>
      <c r="W329" s="90" t="b">
        <v>0</v>
      </c>
      <c r="X329" s="90" t="b">
        <v>0</v>
      </c>
      <c r="Y329" s="90" t="b">
        <v>0</v>
      </c>
      <c r="Z329" s="40" t="s">
        <v>3080</v>
      </c>
      <c r="AA329" s="41"/>
      <c r="AK329" s="16"/>
      <c r="AL329" s="16"/>
      <c r="AM329" s="16"/>
      <c r="AN329" s="16"/>
      <c r="AO329" s="16"/>
      <c r="AP329" s="16"/>
      <c r="AQ329" s="16"/>
      <c r="AR329" s="16"/>
      <c r="AS329" s="16"/>
    </row>
    <row r="330" spans="1:45" s="7" customFormat="1" ht="195" customHeight="1">
      <c r="A330" s="27">
        <f>[1]트램표준체크리스트!A328</f>
        <v>326</v>
      </c>
      <c r="B330" s="28" t="str">
        <f>[1]트램표준체크리스트!B328</f>
        <v>궤도</v>
      </c>
      <c r="C330" s="29" t="str">
        <f>[1]트램표준체크리스트!C328</f>
        <v>선형 및 배선계획</v>
      </c>
      <c r="D330" s="30" t="str">
        <f>[1]트램표준체크리스트!F328</f>
        <v>본선에 저번수(F4 등) 분기기를 혼용 설계해 열차 통과 시 승차감 저하 및 유지보수 예비품(선로전환기, 텅레일 등) 관리가 이원화될 리스크를 검토하였는가?</v>
      </c>
      <c r="E330" s="31" t="s">
        <v>3292</v>
      </c>
      <c r="F330" s="32" t="str">
        <f t="shared" si="10"/>
        <v>극상</v>
      </c>
      <c r="G330" s="63" t="s">
        <v>40</v>
      </c>
      <c r="H330" s="63" t="s">
        <v>41</v>
      </c>
      <c r="I330" s="34" t="s">
        <v>3293</v>
      </c>
      <c r="J330" s="33"/>
      <c r="K330" s="35"/>
      <c r="L330" s="33"/>
      <c r="M330" s="36"/>
      <c r="N330" s="33"/>
      <c r="O330" s="36"/>
      <c r="P330" s="33"/>
      <c r="Q330" s="37"/>
      <c r="R330" s="38"/>
      <c r="S330" s="33"/>
      <c r="T330" s="38"/>
      <c r="U330" s="33"/>
      <c r="V330" s="39"/>
      <c r="W330" s="90" t="b">
        <v>0</v>
      </c>
      <c r="X330" s="90" t="b">
        <v>0</v>
      </c>
      <c r="Y330" s="90" t="b">
        <v>0</v>
      </c>
      <c r="Z330" s="40" t="s">
        <v>3294</v>
      </c>
      <c r="AA330" s="41"/>
      <c r="AK330" s="16"/>
      <c r="AL330" s="16"/>
      <c r="AM330" s="16"/>
      <c r="AN330" s="16"/>
      <c r="AO330" s="16"/>
      <c r="AP330" s="16"/>
      <c r="AQ330" s="16"/>
      <c r="AR330" s="16"/>
      <c r="AS330" s="16"/>
    </row>
    <row r="331" spans="1:45" s="7" customFormat="1" ht="195" customHeight="1">
      <c r="A331" s="27">
        <f>[1]트램표준체크리스트!A329</f>
        <v>327</v>
      </c>
      <c r="B331" s="28" t="str">
        <f>[1]트램표준체크리스트!B329</f>
        <v>궤도</v>
      </c>
      <c r="C331" s="29" t="str">
        <f>[1]트램표준체크리스트!C329</f>
        <v>선형 및 배선계획</v>
      </c>
      <c r="D331" s="30" t="str">
        <f>[1]트램표준체크리스트!F329</f>
        <v>정거장·분기기 구간 종곡선 설계로 유모차/휠체어 미끄러짐 사고 및 분기기 전환 불량·고장이 유발될 리스크를 검토하였는가?</v>
      </c>
      <c r="E331" s="31" t="s">
        <v>3295</v>
      </c>
      <c r="F331" s="32" t="str">
        <f t="shared" si="10"/>
        <v>극상</v>
      </c>
      <c r="G331" s="63" t="s">
        <v>40</v>
      </c>
      <c r="H331" s="63" t="s">
        <v>41</v>
      </c>
      <c r="I331" s="34" t="s">
        <v>3296</v>
      </c>
      <c r="J331" s="33"/>
      <c r="K331" s="35"/>
      <c r="L331" s="33"/>
      <c r="M331" s="36"/>
      <c r="N331" s="33"/>
      <c r="O331" s="36"/>
      <c r="P331" s="33"/>
      <c r="Q331" s="37"/>
      <c r="R331" s="38"/>
      <c r="S331" s="33"/>
      <c r="T331" s="38"/>
      <c r="U331" s="33"/>
      <c r="V331" s="39"/>
      <c r="W331" s="90" t="b">
        <v>0</v>
      </c>
      <c r="X331" s="90" t="b">
        <v>0</v>
      </c>
      <c r="Y331" s="90" t="b">
        <v>0</v>
      </c>
      <c r="Z331" s="40" t="s">
        <v>3297</v>
      </c>
      <c r="AA331" s="41"/>
      <c r="AK331" s="16"/>
      <c r="AL331" s="16"/>
      <c r="AM331" s="16"/>
      <c r="AN331" s="16"/>
      <c r="AO331" s="16"/>
      <c r="AP331" s="16"/>
      <c r="AQ331" s="16"/>
      <c r="AR331" s="16"/>
      <c r="AS331" s="16"/>
    </row>
    <row r="332" spans="1:45" s="7" customFormat="1" ht="195" customHeight="1">
      <c r="A332" s="27">
        <f>[1]트램표준체크리스트!A330</f>
        <v>328</v>
      </c>
      <c r="B332" s="28" t="str">
        <f>[1]트램표준체크리스트!B330</f>
        <v>궤도</v>
      </c>
      <c r="C332" s="29" t="str">
        <f>[1]트램표준체크리스트!C330</f>
        <v>선형 및 자재계획</v>
      </c>
      <c r="D332" s="30" t="str">
        <f>[1]트램표준체크리스트!F330</f>
        <v>레일 사전 벤딩 공정 및 전용 작업 공간 확보 계획 누락으로 무리한 현장 휨 시공 시 궤도 선형이 심각하게 틀어질 리스크를 검토하였는가?</v>
      </c>
      <c r="E332" s="31" t="s">
        <v>3298</v>
      </c>
      <c r="F332" s="32" t="str">
        <f t="shared" si="10"/>
        <v>극상</v>
      </c>
      <c r="G332" s="63" t="s">
        <v>40</v>
      </c>
      <c r="H332" s="63" t="s">
        <v>41</v>
      </c>
      <c r="I332" s="34" t="s">
        <v>3299</v>
      </c>
      <c r="J332" s="33"/>
      <c r="K332" s="35"/>
      <c r="L332" s="33"/>
      <c r="M332" s="36"/>
      <c r="N332" s="33"/>
      <c r="O332" s="36"/>
      <c r="P332" s="33"/>
      <c r="Q332" s="37"/>
      <c r="R332" s="38"/>
      <c r="S332" s="33"/>
      <c r="T332" s="38"/>
      <c r="U332" s="33"/>
      <c r="V332" s="39"/>
      <c r="W332" s="90" t="b">
        <v>0</v>
      </c>
      <c r="X332" s="90" t="b">
        <v>0</v>
      </c>
      <c r="Y332" s="90" t="b">
        <v>0</v>
      </c>
      <c r="Z332" s="40" t="s">
        <v>3300</v>
      </c>
      <c r="AA332" s="41"/>
      <c r="AK332" s="16"/>
      <c r="AL332" s="16"/>
      <c r="AM332" s="16"/>
      <c r="AN332" s="16"/>
      <c r="AO332" s="16"/>
      <c r="AP332" s="16"/>
      <c r="AQ332" s="16"/>
      <c r="AR332" s="16"/>
      <c r="AS332" s="16"/>
    </row>
    <row r="333" spans="1:45" s="7" customFormat="1" ht="195" customHeight="1">
      <c r="A333" s="27">
        <f>[1]트램표준체크리스트!A331</f>
        <v>329</v>
      </c>
      <c r="B333" s="28" t="str">
        <f>[1]트램표준체크리스트!B331</f>
        <v>궤도</v>
      </c>
      <c r="C333" s="29" t="str">
        <f>[1]트램표준체크리스트!C331</f>
        <v>선형 및 정거장 궤도계획</v>
      </c>
      <c r="D333" s="30" t="str">
        <f>[1]트램표준체크리스트!F331</f>
        <v>횡단보도 이격거리(7m 이상) 누락으로 경사로 공간이 부족해져 BF(Barrier Free) 인증을 통과하지 못할 리스크를 검토하였는가?</v>
      </c>
      <c r="E333" s="31" t="s">
        <v>3301</v>
      </c>
      <c r="F333" s="32" t="str">
        <f t="shared" si="10"/>
        <v>극상</v>
      </c>
      <c r="G333" s="63" t="s">
        <v>40</v>
      </c>
      <c r="H333" s="63" t="s">
        <v>41</v>
      </c>
      <c r="I333" s="34" t="s">
        <v>3302</v>
      </c>
      <c r="J333" s="33"/>
      <c r="K333" s="35"/>
      <c r="L333" s="33"/>
      <c r="M333" s="36"/>
      <c r="N333" s="33"/>
      <c r="O333" s="36"/>
      <c r="P333" s="33"/>
      <c r="Q333" s="37"/>
      <c r="R333" s="38"/>
      <c r="S333" s="33"/>
      <c r="T333" s="38"/>
      <c r="U333" s="33"/>
      <c r="V333" s="39"/>
      <c r="W333" s="90" t="b">
        <v>0</v>
      </c>
      <c r="X333" s="90" t="b">
        <v>0</v>
      </c>
      <c r="Y333" s="90" t="b">
        <v>0</v>
      </c>
      <c r="Z333" s="40" t="s">
        <v>3303</v>
      </c>
      <c r="AA333" s="41"/>
      <c r="AK333" s="16"/>
      <c r="AL333" s="16"/>
      <c r="AM333" s="16"/>
      <c r="AN333" s="16"/>
      <c r="AO333" s="16"/>
      <c r="AP333" s="16"/>
      <c r="AQ333" s="16"/>
      <c r="AR333" s="16"/>
      <c r="AS333" s="16"/>
    </row>
    <row r="334" spans="1:45" s="7" customFormat="1" ht="195" customHeight="1">
      <c r="A334" s="27">
        <f>[1]트램표준체크리스트!A332</f>
        <v>330</v>
      </c>
      <c r="B334" s="28" t="str">
        <f>[1]트램표준체크리스트!B332</f>
        <v>궤도</v>
      </c>
      <c r="C334" s="29" t="str">
        <f>[1]트램표준체크리스트!C332</f>
        <v>선형 및 정거장 궤도계획</v>
      </c>
      <c r="D334" s="30" t="str">
        <f>[1]트램표준체크리스트!F332</f>
        <v>곡선 선형 배치 및 차량한계 검토 누락으로 승강장 간격(50mm)을 초과해 승객 발빠짐 및 구조물 충돌이 유발될 리스크를 검토하였는가?</v>
      </c>
      <c r="E334" s="31" t="s">
        <v>3304</v>
      </c>
      <c r="F334" s="32" t="str">
        <f t="shared" si="10"/>
        <v>극상</v>
      </c>
      <c r="G334" s="63" t="s">
        <v>40</v>
      </c>
      <c r="H334" s="63" t="s">
        <v>41</v>
      </c>
      <c r="I334" s="34" t="s">
        <v>3305</v>
      </c>
      <c r="J334" s="33"/>
      <c r="K334" s="35"/>
      <c r="L334" s="33"/>
      <c r="M334" s="36"/>
      <c r="N334" s="33"/>
      <c r="O334" s="36"/>
      <c r="P334" s="33"/>
      <c r="Q334" s="37"/>
      <c r="R334" s="38"/>
      <c r="S334" s="33"/>
      <c r="T334" s="38"/>
      <c r="U334" s="33"/>
      <c r="V334" s="39"/>
      <c r="W334" s="90" t="b">
        <v>0</v>
      </c>
      <c r="X334" s="90" t="b">
        <v>0</v>
      </c>
      <c r="Y334" s="90" t="b">
        <v>0</v>
      </c>
      <c r="Z334" s="40" t="s">
        <v>3306</v>
      </c>
      <c r="AA334" s="41"/>
      <c r="AK334" s="16"/>
      <c r="AL334" s="16"/>
      <c r="AM334" s="16"/>
      <c r="AN334" s="16"/>
      <c r="AO334" s="16"/>
      <c r="AP334" s="16"/>
      <c r="AQ334" s="16"/>
      <c r="AR334" s="16"/>
      <c r="AS334" s="16"/>
    </row>
    <row r="335" spans="1:45" s="7" customFormat="1" ht="195" customHeight="1">
      <c r="A335" s="27">
        <f>[1]트램표준체크리스트!A333</f>
        <v>331</v>
      </c>
      <c r="B335" s="28" t="str">
        <f>[1]트램표준체크리스트!B333</f>
        <v>궤도</v>
      </c>
      <c r="C335" s="29" t="str">
        <f>[1]트램표준체크리스트!C333</f>
        <v>선형계획 및 도로 인터페이스</v>
      </c>
      <c r="D335" s="30" t="str">
        <f>[1]트램표준체크리스트!F333</f>
        <v>구배를 천분율(‰)로 표기해 도로 설계와 혼선이 발생하거나, 선형 경합구간 설계로 트램 탈선 위험이 가중될 리스크를 검토하였는가?</v>
      </c>
      <c r="E335" s="31" t="s">
        <v>3307</v>
      </c>
      <c r="F335" s="32" t="str">
        <f t="shared" si="10"/>
        <v>극상</v>
      </c>
      <c r="G335" s="63" t="s">
        <v>40</v>
      </c>
      <c r="H335" s="63" t="s">
        <v>41</v>
      </c>
      <c r="I335" s="34" t="s">
        <v>3308</v>
      </c>
      <c r="J335" s="33"/>
      <c r="K335" s="35"/>
      <c r="L335" s="33"/>
      <c r="M335" s="36"/>
      <c r="N335" s="33"/>
      <c r="O335" s="36"/>
      <c r="P335" s="33"/>
      <c r="Q335" s="37"/>
      <c r="R335" s="38"/>
      <c r="S335" s="33"/>
      <c r="T335" s="38"/>
      <c r="U335" s="33"/>
      <c r="V335" s="39"/>
      <c r="W335" s="90" t="b">
        <v>0</v>
      </c>
      <c r="X335" s="90" t="b">
        <v>0</v>
      </c>
      <c r="Y335" s="90" t="b">
        <v>0</v>
      </c>
      <c r="Z335" s="40" t="s">
        <v>3309</v>
      </c>
      <c r="AA335" s="41"/>
      <c r="AK335" s="16"/>
      <c r="AL335" s="16"/>
      <c r="AM335" s="16"/>
      <c r="AN335" s="16"/>
      <c r="AO335" s="16"/>
      <c r="AP335" s="16"/>
      <c r="AQ335" s="16"/>
      <c r="AR335" s="16"/>
      <c r="AS335" s="16"/>
    </row>
    <row r="336" spans="1:45" s="7" customFormat="1" ht="195" customHeight="1">
      <c r="A336" s="27">
        <f>[1]트램표준체크리스트!A334</f>
        <v>332</v>
      </c>
      <c r="B336" s="28" t="str">
        <f>[1]트램표준체크리스트!B334</f>
        <v>궤도</v>
      </c>
      <c r="C336" s="29" t="str">
        <f>[1]트램표준체크리스트!C334</f>
        <v>신호설비 인터페이스</v>
      </c>
      <c r="D336" s="30" t="str">
        <f>[1]트램표준체크리스트!F334</f>
        <v>차축검지기 장착용 레일 측면 절단 및 도상 매립 공간 설계 누락으로 콘크리트 타설 후 신호 장비 설치가 불가능해질 리스크를 검토하였는가?</v>
      </c>
      <c r="E336" s="31" t="s">
        <v>3310</v>
      </c>
      <c r="F336" s="32" t="str">
        <f t="shared" si="10"/>
        <v>극상</v>
      </c>
      <c r="G336" s="63" t="s">
        <v>40</v>
      </c>
      <c r="H336" s="63" t="s">
        <v>41</v>
      </c>
      <c r="I336" s="34" t="s">
        <v>3311</v>
      </c>
      <c r="J336" s="33"/>
      <c r="K336" s="35"/>
      <c r="L336" s="33"/>
      <c r="M336" s="36"/>
      <c r="N336" s="33"/>
      <c r="O336" s="36"/>
      <c r="P336" s="33"/>
      <c r="Q336" s="37"/>
      <c r="R336" s="38"/>
      <c r="S336" s="33"/>
      <c r="T336" s="38"/>
      <c r="U336" s="33"/>
      <c r="V336" s="39"/>
      <c r="W336" s="90" t="b">
        <v>0</v>
      </c>
      <c r="X336" s="90" t="b">
        <v>0</v>
      </c>
      <c r="Y336" s="90" t="b">
        <v>0</v>
      </c>
      <c r="Z336" s="40" t="s">
        <v>3312</v>
      </c>
      <c r="AA336" s="41"/>
      <c r="AK336" s="16"/>
      <c r="AL336" s="16"/>
      <c r="AM336" s="16"/>
      <c r="AN336" s="16"/>
      <c r="AO336" s="16"/>
      <c r="AP336" s="16"/>
      <c r="AQ336" s="16"/>
      <c r="AR336" s="16"/>
      <c r="AS336" s="16"/>
    </row>
    <row r="337" spans="1:45" s="7" customFormat="1" ht="195" customHeight="1">
      <c r="A337" s="27">
        <f>[1]트램표준체크리스트!A335</f>
        <v>333</v>
      </c>
      <c r="B337" s="28" t="str">
        <f>[1]트램표준체크리스트!B335</f>
        <v>궤도</v>
      </c>
      <c r="C337" s="29" t="str">
        <f>[1]트램표준체크리스트!C335</f>
        <v>신호설비 인터페이스</v>
      </c>
      <c r="D337" s="30" t="str">
        <f>[1]트램표준체크리스트!F335</f>
        <v>차축검지기용 레일 측면 절단 및 공간 설계 누락으로 콘크리트 타설 후 신호설비 설치가 불가해 도상을 재파취할 리스크를 검토하였는가?</v>
      </c>
      <c r="E337" s="31" t="s">
        <v>3313</v>
      </c>
      <c r="F337" s="32" t="str">
        <f t="shared" si="10"/>
        <v>극상</v>
      </c>
      <c r="G337" s="63" t="s">
        <v>40</v>
      </c>
      <c r="H337" s="63" t="s">
        <v>41</v>
      </c>
      <c r="I337" s="34" t="s">
        <v>3314</v>
      </c>
      <c r="J337" s="33"/>
      <c r="K337" s="35"/>
      <c r="L337" s="33"/>
      <c r="M337" s="36"/>
      <c r="N337" s="33"/>
      <c r="O337" s="36"/>
      <c r="P337" s="33"/>
      <c r="Q337" s="37"/>
      <c r="R337" s="38"/>
      <c r="S337" s="33"/>
      <c r="T337" s="38"/>
      <c r="U337" s="33"/>
      <c r="V337" s="39"/>
      <c r="W337" s="90" t="b">
        <v>0</v>
      </c>
      <c r="X337" s="90" t="b">
        <v>0</v>
      </c>
      <c r="Y337" s="90" t="b">
        <v>0</v>
      </c>
      <c r="Z337" s="40" t="s">
        <v>3315</v>
      </c>
      <c r="AA337" s="41"/>
      <c r="AK337" s="16"/>
      <c r="AL337" s="16"/>
      <c r="AM337" s="16"/>
      <c r="AN337" s="16"/>
      <c r="AO337" s="16"/>
      <c r="AP337" s="16"/>
      <c r="AQ337" s="16"/>
      <c r="AR337" s="16"/>
      <c r="AS337" s="16"/>
    </row>
    <row r="338" spans="1:45" s="7" customFormat="1" ht="195" customHeight="1">
      <c r="A338" s="27">
        <f>[1]트램표준체크리스트!A336</f>
        <v>334</v>
      </c>
      <c r="B338" s="28" t="str">
        <f>[1]트램표준체크리스트!B336</f>
        <v>궤도</v>
      </c>
      <c r="C338" s="29" t="str">
        <f>[1]트램표준체크리스트!C336</f>
        <v>신호설비 인터페이스</v>
      </c>
      <c r="D338" s="30" t="str">
        <f>[1]트램표준체크리스트!F336</f>
        <v>신호 태그(Tag) 설치 공간 확보 설계 누락으로, 양생 후 신호 설비 설치를 위해 도상을 코어링(파취)해야 할 리스크를 검토하였는가?</v>
      </c>
      <c r="E338" s="31" t="s">
        <v>3316</v>
      </c>
      <c r="F338" s="32" t="str">
        <f t="shared" si="10"/>
        <v>극상</v>
      </c>
      <c r="G338" s="63" t="s">
        <v>40</v>
      </c>
      <c r="H338" s="63" t="s">
        <v>41</v>
      </c>
      <c r="I338" s="34" t="s">
        <v>3317</v>
      </c>
      <c r="J338" s="33"/>
      <c r="K338" s="35"/>
      <c r="L338" s="33"/>
      <c r="M338" s="36"/>
      <c r="N338" s="33"/>
      <c r="O338" s="36"/>
      <c r="P338" s="33"/>
      <c r="Q338" s="37"/>
      <c r="R338" s="38"/>
      <c r="S338" s="33"/>
      <c r="T338" s="38"/>
      <c r="U338" s="33"/>
      <c r="V338" s="39"/>
      <c r="W338" s="90" t="b">
        <v>0</v>
      </c>
      <c r="X338" s="90" t="b">
        <v>0</v>
      </c>
      <c r="Y338" s="90" t="b">
        <v>0</v>
      </c>
      <c r="Z338" s="40" t="s">
        <v>3318</v>
      </c>
      <c r="AA338" s="41"/>
      <c r="AK338" s="16"/>
      <c r="AL338" s="16"/>
      <c r="AM338" s="16"/>
      <c r="AN338" s="16"/>
      <c r="AO338" s="16"/>
      <c r="AP338" s="16"/>
      <c r="AQ338" s="16"/>
      <c r="AR338" s="16"/>
      <c r="AS338" s="16"/>
    </row>
    <row r="339" spans="1:45" s="7" customFormat="1" ht="195" customHeight="1">
      <c r="A339" s="27">
        <f>[1]트램표준체크리스트!A337</f>
        <v>335</v>
      </c>
      <c r="B339" s="28" t="str">
        <f>[1]트램표준체크리스트!B337</f>
        <v>궤도</v>
      </c>
      <c r="C339" s="29" t="str">
        <f>[1]트램표준체크리스트!C337</f>
        <v>안전 및 부대시설</v>
      </c>
      <c r="D339" s="30" t="str">
        <f>[1]트램표준체크리스트!F337</f>
        <v>진입 조건을 무시한 차막이 선정 및 완충 여유거리 누락으로 과주 제동 실패 시 트램이 구조물이나 도로로 돌진할 리스크를 검토하였는가?</v>
      </c>
      <c r="E339" s="31" t="s">
        <v>3319</v>
      </c>
      <c r="F339" s="32" t="str">
        <f t="shared" si="10"/>
        <v>극상</v>
      </c>
      <c r="G339" s="63" t="s">
        <v>40</v>
      </c>
      <c r="H339" s="63" t="s">
        <v>41</v>
      </c>
      <c r="I339" s="34" t="s">
        <v>3320</v>
      </c>
      <c r="J339" s="33"/>
      <c r="K339" s="35"/>
      <c r="L339" s="33"/>
      <c r="M339" s="36"/>
      <c r="N339" s="33"/>
      <c r="O339" s="36"/>
      <c r="P339" s="33"/>
      <c r="Q339" s="37"/>
      <c r="R339" s="38"/>
      <c r="S339" s="33"/>
      <c r="T339" s="38"/>
      <c r="U339" s="33"/>
      <c r="V339" s="39"/>
      <c r="W339" s="90" t="b">
        <v>0</v>
      </c>
      <c r="X339" s="90" t="b">
        <v>0</v>
      </c>
      <c r="Y339" s="90" t="b">
        <v>0</v>
      </c>
      <c r="Z339" s="40" t="s">
        <v>3321</v>
      </c>
      <c r="AA339" s="41"/>
      <c r="AK339" s="16"/>
      <c r="AL339" s="16"/>
      <c r="AM339" s="16"/>
      <c r="AN339" s="16"/>
      <c r="AO339" s="16"/>
      <c r="AP339" s="16"/>
      <c r="AQ339" s="16"/>
      <c r="AR339" s="16"/>
      <c r="AS339" s="16"/>
    </row>
    <row r="340" spans="1:45" s="7" customFormat="1" ht="195" customHeight="1">
      <c r="A340" s="27">
        <f>[1]트램표준체크리스트!A338</f>
        <v>336</v>
      </c>
      <c r="B340" s="28" t="str">
        <f>[1]트램표준체크리스트!B338</f>
        <v>궤도</v>
      </c>
      <c r="C340" s="29" t="str">
        <f>[1]트램표준체크리스트!C338</f>
        <v>유지보수 및 비상대응 계획</v>
      </c>
      <c r="D340" s="30" t="str">
        <f>[1]트램표준체크리스트!F338</f>
        <v>선로 보수 시 단선 운행용 임시분기기 설계 누락으로 궤도 침하 등 장애 발생 시 해당 구간 트램 영업 운행이 장기간 마비될 리스크를 검토하였는가?</v>
      </c>
      <c r="E340" s="31" t="s">
        <v>3322</v>
      </c>
      <c r="F340" s="32" t="str">
        <f t="shared" si="10"/>
        <v>극상</v>
      </c>
      <c r="G340" s="63" t="s">
        <v>40</v>
      </c>
      <c r="H340" s="63" t="s">
        <v>41</v>
      </c>
      <c r="I340" s="34" t="s">
        <v>3323</v>
      </c>
      <c r="J340" s="33"/>
      <c r="K340" s="35"/>
      <c r="L340" s="33"/>
      <c r="M340" s="36"/>
      <c r="N340" s="33"/>
      <c r="O340" s="36"/>
      <c r="P340" s="33"/>
      <c r="Q340" s="37"/>
      <c r="R340" s="38"/>
      <c r="S340" s="33"/>
      <c r="T340" s="38"/>
      <c r="U340" s="33"/>
      <c r="V340" s="39"/>
      <c r="W340" s="90" t="b">
        <v>0</v>
      </c>
      <c r="X340" s="90" t="b">
        <v>0</v>
      </c>
      <c r="Y340" s="90" t="b">
        <v>0</v>
      </c>
      <c r="Z340" s="40" t="s">
        <v>3324</v>
      </c>
      <c r="AA340" s="41"/>
      <c r="AK340" s="16"/>
      <c r="AL340" s="16"/>
      <c r="AM340" s="16"/>
      <c r="AN340" s="16"/>
      <c r="AO340" s="16"/>
      <c r="AP340" s="16"/>
      <c r="AQ340" s="16"/>
      <c r="AR340" s="16"/>
      <c r="AS340" s="16"/>
    </row>
    <row r="341" spans="1:45" s="7" customFormat="1" ht="195" customHeight="1">
      <c r="A341" s="27">
        <f>[1]트램표준체크리스트!A339</f>
        <v>337</v>
      </c>
      <c r="B341" s="28" t="str">
        <f>[1]트램표준체크리스트!B339</f>
        <v>궤도</v>
      </c>
      <c r="C341" s="29" t="str">
        <f>[1]트램표준체크리스트!C339</f>
        <v>유지보수 및 장비계획</v>
      </c>
      <c r="D341" s="30" t="str">
        <f>[1]트램표준체크리스트!F339</f>
        <v>유지보수 장비 규격 협의 및 지침서 작성 과업 누락으로 궤도 홈 청소 및 레일 마모 정비가 원활히 수행되지 못할 리스크를 검토하였는가?</v>
      </c>
      <c r="E341" s="31" t="s">
        <v>3325</v>
      </c>
      <c r="F341" s="32" t="str">
        <f t="shared" si="10"/>
        <v>극상</v>
      </c>
      <c r="G341" s="63" t="s">
        <v>40</v>
      </c>
      <c r="H341" s="63" t="s">
        <v>41</v>
      </c>
      <c r="I341" s="34" t="s">
        <v>3326</v>
      </c>
      <c r="J341" s="33"/>
      <c r="K341" s="35"/>
      <c r="L341" s="33"/>
      <c r="M341" s="36"/>
      <c r="N341" s="33"/>
      <c r="O341" s="36"/>
      <c r="P341" s="33"/>
      <c r="Q341" s="37"/>
      <c r="R341" s="38"/>
      <c r="S341" s="33"/>
      <c r="T341" s="38"/>
      <c r="U341" s="33"/>
      <c r="V341" s="39"/>
      <c r="W341" s="90" t="b">
        <v>0</v>
      </c>
      <c r="X341" s="90" t="b">
        <v>0</v>
      </c>
      <c r="Y341" s="90" t="b">
        <v>0</v>
      </c>
      <c r="Z341" s="40" t="s">
        <v>3327</v>
      </c>
      <c r="AA341" s="41"/>
      <c r="AK341" s="16"/>
      <c r="AL341" s="16"/>
      <c r="AM341" s="16"/>
      <c r="AN341" s="16"/>
      <c r="AO341" s="16"/>
      <c r="AP341" s="16"/>
      <c r="AQ341" s="16"/>
      <c r="AR341" s="16"/>
      <c r="AS341" s="16"/>
    </row>
    <row r="342" spans="1:45" s="7" customFormat="1" ht="195" customHeight="1">
      <c r="A342" s="27">
        <f>[1]트램표준체크리스트!A340</f>
        <v>338</v>
      </c>
      <c r="B342" s="28" t="str">
        <f>[1]트램표준체크리스트!B340</f>
        <v>궤도</v>
      </c>
      <c r="C342" s="29" t="str">
        <f>[1]트램표준체크리스트!C340</f>
        <v>장대레일 및 선형계획</v>
      </c>
      <c r="D342" s="30" t="str">
        <f>[1]트램표준체크리스트!F340</f>
        <v>급곡선 구간 일반레일 적용에 따른 조기 편마모 및 열처리레일 용접 시방 기준(예열/냉각) 누락으로 용접부가 파단될 리스크를 검토하였는가?</v>
      </c>
      <c r="E342" s="31" t="s">
        <v>3328</v>
      </c>
      <c r="F342" s="32" t="str">
        <f t="shared" si="10"/>
        <v>극상</v>
      </c>
      <c r="G342" s="63" t="s">
        <v>40</v>
      </c>
      <c r="H342" s="63" t="s">
        <v>41</v>
      </c>
      <c r="I342" s="34" t="s">
        <v>3329</v>
      </c>
      <c r="J342" s="33"/>
      <c r="K342" s="35"/>
      <c r="L342" s="33"/>
      <c r="M342" s="36"/>
      <c r="N342" s="33"/>
      <c r="O342" s="36"/>
      <c r="P342" s="33"/>
      <c r="Q342" s="37"/>
      <c r="R342" s="38"/>
      <c r="S342" s="33"/>
      <c r="T342" s="38"/>
      <c r="U342" s="33"/>
      <c r="V342" s="39"/>
      <c r="W342" s="90" t="b">
        <v>0</v>
      </c>
      <c r="X342" s="90" t="b">
        <v>0</v>
      </c>
      <c r="Y342" s="90" t="b">
        <v>0</v>
      </c>
      <c r="Z342" s="40" t="s">
        <v>3330</v>
      </c>
      <c r="AA342" s="41"/>
      <c r="AK342" s="16"/>
      <c r="AL342" s="16"/>
      <c r="AM342" s="16"/>
      <c r="AN342" s="16"/>
      <c r="AO342" s="16"/>
      <c r="AP342" s="16"/>
      <c r="AQ342" s="16"/>
      <c r="AR342" s="16"/>
      <c r="AS342" s="16"/>
    </row>
    <row r="343" spans="1:45" s="7" customFormat="1" ht="195" customHeight="1">
      <c r="A343" s="27">
        <f>[1]트램표준체크리스트!A341</f>
        <v>339</v>
      </c>
      <c r="B343" s="28" t="str">
        <f>[1]트램표준체크리스트!B341</f>
        <v>궤도</v>
      </c>
      <c r="C343" s="29" t="str">
        <f>[1]트램표준체크리스트!C341</f>
        <v>장대레일 및 선형계획</v>
      </c>
      <c r="D343" s="30" t="str">
        <f>[1]트램표준체크리스트!F341</f>
        <v>차륜 기울기(예: 1:6)와 레일 두부 기울기(예: 1:40) 상이 설계로 접촉면적이 축소돼 주행 불안정 및 레일 조기 마모가 발생할 리스크를 검토하였는가?</v>
      </c>
      <c r="E343" s="31" t="s">
        <v>3331</v>
      </c>
      <c r="F343" s="32" t="str">
        <f t="shared" si="10"/>
        <v>극상</v>
      </c>
      <c r="G343" s="63" t="s">
        <v>40</v>
      </c>
      <c r="H343" s="63" t="s">
        <v>41</v>
      </c>
      <c r="I343" s="34" t="s">
        <v>3332</v>
      </c>
      <c r="J343" s="33"/>
      <c r="K343" s="35"/>
      <c r="L343" s="33"/>
      <c r="M343" s="36"/>
      <c r="N343" s="33"/>
      <c r="O343" s="36"/>
      <c r="P343" s="33"/>
      <c r="Q343" s="37"/>
      <c r="R343" s="38"/>
      <c r="S343" s="33"/>
      <c r="T343" s="38"/>
      <c r="U343" s="33"/>
      <c r="V343" s="39"/>
      <c r="W343" s="90" t="b">
        <v>0</v>
      </c>
      <c r="X343" s="90" t="b">
        <v>0</v>
      </c>
      <c r="Y343" s="90" t="b">
        <v>0</v>
      </c>
      <c r="Z343" s="40" t="s">
        <v>3249</v>
      </c>
      <c r="AA343" s="41"/>
      <c r="AK343" s="16"/>
      <c r="AL343" s="16"/>
      <c r="AM343" s="16"/>
      <c r="AN343" s="16"/>
      <c r="AO343" s="16"/>
      <c r="AP343" s="16"/>
      <c r="AQ343" s="16"/>
      <c r="AR343" s="16"/>
      <c r="AS343" s="16"/>
    </row>
    <row r="344" spans="1:45" s="7" customFormat="1" ht="195" customHeight="1">
      <c r="A344" s="27">
        <f>[1]트램표준체크리스트!A342</f>
        <v>340</v>
      </c>
      <c r="B344" s="28" t="str">
        <f>[1]트램표준체크리스트!B342</f>
        <v>궤도</v>
      </c>
      <c r="C344" s="29" t="str">
        <f>[1]트램표준체크리스트!C342</f>
        <v>장대레일 및 선형계획</v>
      </c>
      <c r="D344" s="30" t="str">
        <f>[1]트램표준체크리스트!F342</f>
        <v>용접부 직진도(Peak/Dip) 및 평면성 기준 누락으로 시공 후 용접 단차에 의한 극심한 충격·소음이 발생할 리스크를 검토하였는가?</v>
      </c>
      <c r="E344" s="31" t="s">
        <v>3333</v>
      </c>
      <c r="F344" s="32" t="str">
        <f t="shared" si="10"/>
        <v>극상</v>
      </c>
      <c r="G344" s="63" t="s">
        <v>40</v>
      </c>
      <c r="H344" s="63" t="s">
        <v>41</v>
      </c>
      <c r="I344" s="34" t="s">
        <v>3334</v>
      </c>
      <c r="J344" s="33"/>
      <c r="K344" s="35"/>
      <c r="L344" s="33"/>
      <c r="M344" s="36"/>
      <c r="N344" s="33"/>
      <c r="O344" s="36"/>
      <c r="P344" s="33"/>
      <c r="Q344" s="37"/>
      <c r="R344" s="38"/>
      <c r="S344" s="33"/>
      <c r="T344" s="38"/>
      <c r="U344" s="33"/>
      <c r="V344" s="39"/>
      <c r="W344" s="90" t="b">
        <v>0</v>
      </c>
      <c r="X344" s="90" t="b">
        <v>0</v>
      </c>
      <c r="Y344" s="90" t="b">
        <v>0</v>
      </c>
      <c r="Z344" s="40" t="s">
        <v>3335</v>
      </c>
      <c r="AA344" s="41"/>
      <c r="AK344" s="16"/>
      <c r="AL344" s="16"/>
      <c r="AM344" s="16"/>
      <c r="AN344" s="16"/>
      <c r="AO344" s="16"/>
      <c r="AP344" s="16"/>
      <c r="AQ344" s="16"/>
      <c r="AR344" s="16"/>
      <c r="AS344" s="16"/>
    </row>
    <row r="345" spans="1:45" s="7" customFormat="1" ht="195" customHeight="1">
      <c r="A345" s="27">
        <f>[1]트램표준체크리스트!A343</f>
        <v>341</v>
      </c>
      <c r="B345" s="28" t="str">
        <f>[1]트램표준체크리스트!B343</f>
        <v>궤도</v>
      </c>
      <c r="C345" s="29" t="str">
        <f>[1]트램표준체크리스트!C343</f>
        <v>차량기지 선형계획</v>
      </c>
      <c r="D345" s="30" t="str">
        <f>[1]트램표준체크리스트!F343</f>
        <v>TPS 결과 미반영 및 시험선 길이 과소 설계로 트램 최고 속도 주행 시험 및 제동 성능 검증이 불가능해질 리스크를 검토하였는가?</v>
      </c>
      <c r="E345" s="31" t="s">
        <v>3336</v>
      </c>
      <c r="F345" s="32" t="str">
        <f t="shared" si="10"/>
        <v>극상</v>
      </c>
      <c r="G345" s="63" t="s">
        <v>40</v>
      </c>
      <c r="H345" s="63" t="s">
        <v>41</v>
      </c>
      <c r="I345" s="34" t="s">
        <v>3337</v>
      </c>
      <c r="J345" s="33"/>
      <c r="K345" s="35"/>
      <c r="L345" s="33"/>
      <c r="M345" s="36"/>
      <c r="N345" s="33"/>
      <c r="O345" s="36"/>
      <c r="P345" s="33"/>
      <c r="Q345" s="37"/>
      <c r="R345" s="38"/>
      <c r="S345" s="33"/>
      <c r="T345" s="38"/>
      <c r="U345" s="33"/>
      <c r="V345" s="39"/>
      <c r="W345" s="90" t="b">
        <v>0</v>
      </c>
      <c r="X345" s="90" t="b">
        <v>0</v>
      </c>
      <c r="Y345" s="90" t="b">
        <v>0</v>
      </c>
      <c r="Z345" s="40" t="s">
        <v>3338</v>
      </c>
      <c r="AA345" s="41"/>
      <c r="AK345" s="16"/>
      <c r="AL345" s="16"/>
      <c r="AM345" s="16"/>
      <c r="AN345" s="16"/>
      <c r="AO345" s="16"/>
      <c r="AP345" s="16"/>
      <c r="AQ345" s="16"/>
      <c r="AR345" s="16"/>
      <c r="AS345" s="16"/>
    </row>
    <row r="346" spans="1:45" s="7" customFormat="1" ht="195" customHeight="1">
      <c r="A346" s="27">
        <f>[1]트램표준체크리스트!A344</f>
        <v>342</v>
      </c>
      <c r="B346" s="28" t="str">
        <f>[1]트램표준체크리스트!B344</f>
        <v>토목구조</v>
      </c>
      <c r="C346" s="29" t="str">
        <f>[1]트램표준체크리스트!C344</f>
        <v>Lateral Guide
(거더이탈)</v>
      </c>
      <c r="D346" s="30" t="str">
        <f>[1]트램표준체크리스트!F344</f>
        <v>ILM 압출 단계별 Lateral Guide와 Bracket의 접촉 여부를 시뮬레이션했는가?□ 최대 지지 경간을 고려한 전단 검토가 수행되었는가?</v>
      </c>
      <c r="E346" s="31" t="s">
        <v>228</v>
      </c>
      <c r="F346" s="32" t="str">
        <f t="shared" si="10"/>
        <v>극상</v>
      </c>
      <c r="G346" s="63" t="s">
        <v>40</v>
      </c>
      <c r="H346" s="63" t="s">
        <v>41</v>
      </c>
      <c r="I346" s="34" t="s">
        <v>532</v>
      </c>
      <c r="J346" s="33"/>
      <c r="K346" s="35"/>
      <c r="L346" s="33"/>
      <c r="M346" s="36"/>
      <c r="N346" s="33"/>
      <c r="O346" s="36"/>
      <c r="P346" s="33"/>
      <c r="Q346" s="37"/>
      <c r="R346" s="38"/>
      <c r="S346" s="33"/>
      <c r="T346" s="38"/>
      <c r="U346" s="33"/>
      <c r="V346" s="39"/>
      <c r="W346" s="90" t="b">
        <v>0</v>
      </c>
      <c r="X346" s="90" t="b">
        <v>0</v>
      </c>
      <c r="Y346" s="90" t="b">
        <v>0</v>
      </c>
      <c r="Z346" s="40" t="s">
        <v>228</v>
      </c>
      <c r="AA346" s="41"/>
      <c r="AK346" s="16"/>
      <c r="AL346" s="16"/>
      <c r="AM346" s="16"/>
      <c r="AN346" s="16"/>
      <c r="AO346" s="16"/>
      <c r="AP346" s="16"/>
      <c r="AQ346" s="16"/>
      <c r="AR346" s="16"/>
      <c r="AS346" s="16"/>
    </row>
    <row r="347" spans="1:45" s="7" customFormat="1" ht="195" customHeight="1">
      <c r="A347" s="27">
        <f>[1]트램표준체크리스트!A345</f>
        <v>343</v>
      </c>
      <c r="B347" s="28" t="str">
        <f>[1]트램표준체크리스트!B345</f>
        <v>토목구조</v>
      </c>
      <c r="C347" s="29" t="str">
        <f>[1]트램표준체크리스트!C345</f>
        <v>가설공사</v>
      </c>
      <c r="D347" s="30" t="str">
        <f>[1]트램표준체크리스트!F345</f>
        <v>낙하물 방지망 재질이 단순 그물망인지, 합판/강판을 포함한 방호선반인지 확인했는가?</v>
      </c>
      <c r="E347" s="31" t="s">
        <v>228</v>
      </c>
      <c r="F347" s="32" t="str">
        <f t="shared" si="10"/>
        <v>극상</v>
      </c>
      <c r="G347" s="63" t="s">
        <v>40</v>
      </c>
      <c r="H347" s="63" t="s">
        <v>41</v>
      </c>
      <c r="I347" s="34" t="s">
        <v>533</v>
      </c>
      <c r="J347" s="33"/>
      <c r="K347" s="35"/>
      <c r="L347" s="33"/>
      <c r="M347" s="36"/>
      <c r="N347" s="33"/>
      <c r="O347" s="36"/>
      <c r="P347" s="33"/>
      <c r="Q347" s="37"/>
      <c r="R347" s="38"/>
      <c r="S347" s="33"/>
      <c r="T347" s="38"/>
      <c r="U347" s="33"/>
      <c r="V347" s="39"/>
      <c r="W347" s="90" t="b">
        <v>0</v>
      </c>
      <c r="X347" s="90" t="b">
        <v>0</v>
      </c>
      <c r="Y347" s="90" t="b">
        <v>0</v>
      </c>
      <c r="Z347" s="40" t="s">
        <v>228</v>
      </c>
      <c r="AA347" s="41"/>
      <c r="AK347" s="16"/>
      <c r="AL347" s="16"/>
      <c r="AM347" s="16"/>
      <c r="AN347" s="16"/>
      <c r="AO347" s="16"/>
      <c r="AP347" s="16"/>
      <c r="AQ347" s="16"/>
      <c r="AR347" s="16"/>
      <c r="AS347" s="16"/>
    </row>
    <row r="348" spans="1:45" s="7" customFormat="1" ht="195" customHeight="1">
      <c r="A348" s="27">
        <f>[1]트램표준체크리스트!A346</f>
        <v>344</v>
      </c>
      <c r="B348" s="28" t="str">
        <f>[1]트램표준체크리스트!B346</f>
        <v>토목구조</v>
      </c>
      <c r="C348" s="29" t="str">
        <f>[1]트램표준체크리스트!C346</f>
        <v>가설공사</v>
      </c>
      <c r="D348" s="30" t="str">
        <f>[1]트램표준체크리스트!F346</f>
        <v>기존 도로 횡단 구간에 낙하물 방지망 또는 방호선반이 반영되었는가?</v>
      </c>
      <c r="E348" s="31" t="s">
        <v>228</v>
      </c>
      <c r="F348" s="32" t="str">
        <f t="shared" si="10"/>
        <v>극상</v>
      </c>
      <c r="G348" s="63" t="s">
        <v>40</v>
      </c>
      <c r="H348" s="63" t="s">
        <v>41</v>
      </c>
      <c r="I348" s="34" t="s">
        <v>534</v>
      </c>
      <c r="J348" s="33"/>
      <c r="K348" s="35"/>
      <c r="L348" s="33"/>
      <c r="M348" s="36"/>
      <c r="N348" s="33"/>
      <c r="O348" s="36"/>
      <c r="P348" s="33"/>
      <c r="Q348" s="37"/>
      <c r="R348" s="38"/>
      <c r="S348" s="33"/>
      <c r="T348" s="38"/>
      <c r="U348" s="33"/>
      <c r="V348" s="39"/>
      <c r="W348" s="90" t="b">
        <v>0</v>
      </c>
      <c r="X348" s="90" t="b">
        <v>0</v>
      </c>
      <c r="Y348" s="90" t="b">
        <v>0</v>
      </c>
      <c r="Z348" s="40" t="s">
        <v>228</v>
      </c>
      <c r="AA348" s="41"/>
      <c r="AK348" s="16"/>
      <c r="AL348" s="16"/>
      <c r="AM348" s="16"/>
      <c r="AN348" s="16"/>
      <c r="AO348" s="16"/>
      <c r="AP348" s="16"/>
      <c r="AQ348" s="16"/>
      <c r="AR348" s="16"/>
      <c r="AS348" s="16"/>
    </row>
    <row r="349" spans="1:45" s="7" customFormat="1" ht="195" customHeight="1">
      <c r="A349" s="27">
        <f>[1]트램표준체크리스트!A347</f>
        <v>345</v>
      </c>
      <c r="B349" s="28" t="str">
        <f>[1]트램표준체크리스트!B347</f>
        <v>토목구조</v>
      </c>
      <c r="C349" s="29" t="str">
        <f>[1]트램표준체크리스트!C347</f>
        <v>가설방음벽</v>
      </c>
      <c r="D349" s="30" t="str">
        <f>[1]트램표준체크리스트!F347</f>
        <v>인근 정온 시설(학교, 아파트)의 높이(Level)를 고려하여 방음벽 높이가 산정되었는가?
조망권 침해 우려 구간은 투명 방음판이 반영되었는가?</v>
      </c>
      <c r="E349" s="31" t="s">
        <v>228</v>
      </c>
      <c r="F349" s="32" t="str">
        <f t="shared" si="10"/>
        <v>극상</v>
      </c>
      <c r="G349" s="63" t="s">
        <v>40</v>
      </c>
      <c r="H349" s="63" t="s">
        <v>41</v>
      </c>
      <c r="I349" s="34" t="s">
        <v>535</v>
      </c>
      <c r="J349" s="33"/>
      <c r="K349" s="35"/>
      <c r="L349" s="33"/>
      <c r="M349" s="36"/>
      <c r="N349" s="33"/>
      <c r="O349" s="36"/>
      <c r="P349" s="33"/>
      <c r="Q349" s="37"/>
      <c r="R349" s="38"/>
      <c r="S349" s="33"/>
      <c r="T349" s="38"/>
      <c r="U349" s="33"/>
      <c r="V349" s="39"/>
      <c r="W349" s="90" t="b">
        <v>0</v>
      </c>
      <c r="X349" s="90" t="b">
        <v>0</v>
      </c>
      <c r="Y349" s="90" t="b">
        <v>0</v>
      </c>
      <c r="Z349" s="40" t="s">
        <v>228</v>
      </c>
      <c r="AA349" s="41"/>
      <c r="AK349" s="16"/>
      <c r="AL349" s="16"/>
      <c r="AM349" s="16"/>
      <c r="AN349" s="16"/>
      <c r="AO349" s="16"/>
      <c r="AP349" s="16"/>
      <c r="AQ349" s="16"/>
      <c r="AR349" s="16"/>
      <c r="AS349" s="16"/>
    </row>
    <row r="350" spans="1:45" s="7" customFormat="1" ht="195" customHeight="1">
      <c r="A350" s="27">
        <f>[1]트램표준체크리스트!A348</f>
        <v>346</v>
      </c>
      <c r="B350" s="28" t="str">
        <f>[1]트램표준체크리스트!B348</f>
        <v>토목구조</v>
      </c>
      <c r="C350" s="29" t="str">
        <f>[1]트램표준체크리스트!C348</f>
        <v>가설방음벽</v>
      </c>
      <c r="D350" s="30" t="str">
        <f>[1]트램표준체크리스트!F348</f>
        <v>소음 기준치가 엄격한 정온 시설(병원, 도서관)과의 이격 거리를 확인했는가?</v>
      </c>
      <c r="E350" s="31" t="s">
        <v>228</v>
      </c>
      <c r="F350" s="32" t="str">
        <f t="shared" si="10"/>
        <v>극상</v>
      </c>
      <c r="G350" s="63" t="s">
        <v>40</v>
      </c>
      <c r="H350" s="63" t="s">
        <v>41</v>
      </c>
      <c r="I350" s="34" t="s">
        <v>536</v>
      </c>
      <c r="J350" s="33"/>
      <c r="K350" s="35"/>
      <c r="L350" s="33"/>
      <c r="M350" s="36"/>
      <c r="N350" s="33"/>
      <c r="O350" s="36"/>
      <c r="P350" s="33"/>
      <c r="Q350" s="37"/>
      <c r="R350" s="38"/>
      <c r="S350" s="33"/>
      <c r="T350" s="38"/>
      <c r="U350" s="33"/>
      <c r="V350" s="39"/>
      <c r="W350" s="90" t="b">
        <v>0</v>
      </c>
      <c r="X350" s="90" t="b">
        <v>0</v>
      </c>
      <c r="Y350" s="90" t="b">
        <v>0</v>
      </c>
      <c r="Z350" s="40" t="s">
        <v>228</v>
      </c>
      <c r="AA350" s="41"/>
      <c r="AK350" s="16"/>
      <c r="AL350" s="16"/>
      <c r="AM350" s="16"/>
      <c r="AN350" s="16"/>
      <c r="AO350" s="16"/>
      <c r="AP350" s="16"/>
      <c r="AQ350" s="16"/>
      <c r="AR350" s="16"/>
      <c r="AS350" s="16"/>
    </row>
    <row r="351" spans="1:45" s="7" customFormat="1" ht="195" customHeight="1">
      <c r="A351" s="27">
        <f>[1]트램표준체크리스트!A349</f>
        <v>347</v>
      </c>
      <c r="B351" s="28" t="str">
        <f>[1]트램표준체크리스트!B349</f>
        <v>토목구조</v>
      </c>
      <c r="C351" s="29" t="str">
        <f>[1]트램표준체크리스트!C349</f>
        <v>가설방음판</v>
      </c>
      <c r="D351" s="30" t="str">
        <f>[1]트램표준체크리스트!F349</f>
        <v>암파쇄 방호시설 설계 시 소음 차단을 위한 상부 방음판/방진막이 포함되었는가?</v>
      </c>
      <c r="E351" s="31" t="s">
        <v>228</v>
      </c>
      <c r="F351" s="32" t="str">
        <f t="shared" si="10"/>
        <v>극상</v>
      </c>
      <c r="G351" s="63" t="s">
        <v>40</v>
      </c>
      <c r="H351" s="63" t="s">
        <v>41</v>
      </c>
      <c r="I351" s="34" t="s">
        <v>537</v>
      </c>
      <c r="J351" s="33"/>
      <c r="K351" s="35"/>
      <c r="L351" s="33"/>
      <c r="M351" s="36"/>
      <c r="N351" s="33"/>
      <c r="O351" s="36"/>
      <c r="P351" s="33"/>
      <c r="Q351" s="37"/>
      <c r="R351" s="38"/>
      <c r="S351" s="33"/>
      <c r="T351" s="38"/>
      <c r="U351" s="33"/>
      <c r="V351" s="39"/>
      <c r="W351" s="90" t="b">
        <v>0</v>
      </c>
      <c r="X351" s="90" t="b">
        <v>0</v>
      </c>
      <c r="Y351" s="90" t="b">
        <v>0</v>
      </c>
      <c r="Z351" s="40" t="s">
        <v>228</v>
      </c>
      <c r="AA351" s="41"/>
      <c r="AK351" s="16"/>
      <c r="AL351" s="16"/>
      <c r="AM351" s="16"/>
      <c r="AN351" s="16"/>
      <c r="AO351" s="16"/>
      <c r="AP351" s="16"/>
      <c r="AQ351" s="16"/>
      <c r="AR351" s="16"/>
      <c r="AS351" s="16"/>
    </row>
    <row r="352" spans="1:45" s="7" customFormat="1" ht="195" customHeight="1">
      <c r="A352" s="27">
        <f>[1]트램표준체크리스트!A350</f>
        <v>348</v>
      </c>
      <c r="B352" s="28" t="str">
        <f>[1]트램표준체크리스트!B350</f>
        <v>토목구조</v>
      </c>
      <c r="C352" s="29" t="str">
        <f>[1]트램표준체크리스트!C350</f>
        <v>가설벤트(붕괴방지)</v>
      </c>
      <c r="D352" s="30" t="str">
        <f>[1]트램표준체크리스트!F350</f>
        <v>특수 교각(Y형, V형) 시공 시 상부 하중을 지지할 가설 벤트가 내역에 있는가?□ 벤트 기초의 지지력 검토가 수행되었는가?</v>
      </c>
      <c r="E352" s="31" t="s">
        <v>228</v>
      </c>
      <c r="F352" s="32" t="str">
        <f t="shared" si="10"/>
        <v>극상</v>
      </c>
      <c r="G352" s="63" t="s">
        <v>40</v>
      </c>
      <c r="H352" s="63" t="s">
        <v>41</v>
      </c>
      <c r="I352" s="34" t="s">
        <v>538</v>
      </c>
      <c r="J352" s="33"/>
      <c r="K352" s="35"/>
      <c r="L352" s="33"/>
      <c r="M352" s="36"/>
      <c r="N352" s="33"/>
      <c r="O352" s="36"/>
      <c r="P352" s="33"/>
      <c r="Q352" s="37"/>
      <c r="R352" s="38"/>
      <c r="S352" s="33"/>
      <c r="T352" s="38"/>
      <c r="U352" s="33"/>
      <c r="V352" s="39"/>
      <c r="W352" s="90" t="b">
        <v>0</v>
      </c>
      <c r="X352" s="90" t="b">
        <v>0</v>
      </c>
      <c r="Y352" s="90" t="b">
        <v>0</v>
      </c>
      <c r="Z352" s="40" t="s">
        <v>228</v>
      </c>
      <c r="AA352" s="41"/>
      <c r="AK352" s="16"/>
      <c r="AL352" s="16"/>
      <c r="AM352" s="16"/>
      <c r="AN352" s="16"/>
      <c r="AO352" s="16"/>
      <c r="AP352" s="16"/>
      <c r="AQ352" s="16"/>
      <c r="AR352" s="16"/>
      <c r="AS352" s="16"/>
    </row>
    <row r="353" spans="1:45" s="7" customFormat="1" ht="195" customHeight="1">
      <c r="A353" s="27">
        <f>[1]트램표준체크리스트!A351</f>
        <v>349</v>
      </c>
      <c r="B353" s="28" t="str">
        <f>[1]트램표준체크리스트!B351</f>
        <v>토목구조</v>
      </c>
      <c r="C353" s="29" t="str">
        <f>[1]트램표준체크리스트!C351</f>
        <v>가설벤트(지하차도)</v>
      </c>
      <c r="D353" s="30" t="str">
        <f>[1]트램표준체크리스트!F351</f>
        <v>하부 도로/구조물이 상부 시공 하중(크레인+거더)을 견딜 수 있는가?□ 벤트 위치가 하부 교통 흐름이나 구조물과 간섭되지 않는가?</v>
      </c>
      <c r="E353" s="31" t="s">
        <v>228</v>
      </c>
      <c r="F353" s="32" t="str">
        <f t="shared" si="10"/>
        <v>극상</v>
      </c>
      <c r="G353" s="63" t="s">
        <v>40</v>
      </c>
      <c r="H353" s="63" t="s">
        <v>41</v>
      </c>
      <c r="I353" s="34" t="s">
        <v>539</v>
      </c>
      <c r="J353" s="33"/>
      <c r="K353" s="35"/>
      <c r="L353" s="33"/>
      <c r="M353" s="36"/>
      <c r="N353" s="33"/>
      <c r="O353" s="36"/>
      <c r="P353" s="33"/>
      <c r="Q353" s="37"/>
      <c r="R353" s="38"/>
      <c r="S353" s="33"/>
      <c r="T353" s="38"/>
      <c r="U353" s="33"/>
      <c r="V353" s="39"/>
      <c r="W353" s="90" t="b">
        <v>0</v>
      </c>
      <c r="X353" s="90" t="b">
        <v>0</v>
      </c>
      <c r="Y353" s="90" t="b">
        <v>0</v>
      </c>
      <c r="Z353" s="40" t="s">
        <v>228</v>
      </c>
      <c r="AA353" s="41"/>
      <c r="AK353" s="16"/>
      <c r="AL353" s="16"/>
      <c r="AM353" s="16"/>
      <c r="AN353" s="16"/>
      <c r="AO353" s="16"/>
      <c r="AP353" s="16"/>
      <c r="AQ353" s="16"/>
      <c r="AR353" s="16"/>
      <c r="AS353" s="16"/>
    </row>
    <row r="354" spans="1:45" s="7" customFormat="1" ht="195" customHeight="1">
      <c r="A354" s="27">
        <f>[1]트램표준체크리스트!A352</f>
        <v>350</v>
      </c>
      <c r="B354" s="28" t="str">
        <f>[1]트램표준체크리스트!B352</f>
        <v>토목구조</v>
      </c>
      <c r="C354" s="29" t="str">
        <f>[1]트램표준체크리스트!C352</f>
        <v>교량공사</v>
      </c>
      <c r="D354" s="30" t="str">
        <f>[1]트램표준체크리스트!F352</f>
        <v>교량 하부에 통행로가 있는 경우 낙하물 방지 시설이 내역에 포함되었는가?</v>
      </c>
      <c r="E354" s="31" t="s">
        <v>228</v>
      </c>
      <c r="F354" s="32" t="str">
        <f t="shared" si="10"/>
        <v>극상</v>
      </c>
      <c r="G354" s="63" t="s">
        <v>40</v>
      </c>
      <c r="H354" s="63" t="s">
        <v>41</v>
      </c>
      <c r="I354" s="34" t="s">
        <v>540</v>
      </c>
      <c r="J354" s="33"/>
      <c r="K354" s="35"/>
      <c r="L354" s="33"/>
      <c r="M354" s="36"/>
      <c r="N354" s="33"/>
      <c r="O354" s="36"/>
      <c r="P354" s="33"/>
      <c r="Q354" s="37"/>
      <c r="R354" s="38"/>
      <c r="S354" s="33"/>
      <c r="T354" s="38"/>
      <c r="U354" s="33"/>
      <c r="V354" s="39"/>
      <c r="W354" s="90" t="b">
        <v>0</v>
      </c>
      <c r="X354" s="90" t="b">
        <v>0</v>
      </c>
      <c r="Y354" s="90" t="b">
        <v>0</v>
      </c>
      <c r="Z354" s="40" t="s">
        <v>228</v>
      </c>
      <c r="AA354" s="41"/>
      <c r="AK354" s="16"/>
      <c r="AL354" s="16"/>
      <c r="AM354" s="16"/>
      <c r="AN354" s="16"/>
      <c r="AO354" s="16"/>
      <c r="AP354" s="16"/>
      <c r="AQ354" s="16"/>
      <c r="AR354" s="16"/>
      <c r="AS354" s="16"/>
    </row>
    <row r="355" spans="1:45" s="7" customFormat="1" ht="195" customHeight="1">
      <c r="A355" s="27">
        <f>[1]트램표준체크리스트!A353</f>
        <v>351</v>
      </c>
      <c r="B355" s="28" t="str">
        <f>[1]트램표준체크리스트!B353</f>
        <v>토목구조</v>
      </c>
      <c r="C355" s="29" t="str">
        <f>[1]트램표준체크리스트!C353</f>
        <v>교량공사</v>
      </c>
      <c r="D355" s="30" t="str">
        <f>[1]트램표준체크리스트!F353</f>
        <v>철도/도로 횡단 구간 작업 시 낙하물을 완벽히 차단할 수 있는 바닥판(Deck) 계획이 있는가?</v>
      </c>
      <c r="E355" s="31" t="s">
        <v>228</v>
      </c>
      <c r="F355" s="32" t="str">
        <f t="shared" si="10"/>
        <v>극상</v>
      </c>
      <c r="G355" s="63" t="s">
        <v>40</v>
      </c>
      <c r="H355" s="63" t="s">
        <v>41</v>
      </c>
      <c r="I355" s="34" t="s">
        <v>541</v>
      </c>
      <c r="J355" s="33"/>
      <c r="K355" s="35"/>
      <c r="L355" s="33"/>
      <c r="M355" s="36"/>
      <c r="N355" s="33"/>
      <c r="O355" s="36"/>
      <c r="P355" s="33"/>
      <c r="Q355" s="37"/>
      <c r="R355" s="38"/>
      <c r="S355" s="33"/>
      <c r="T355" s="38"/>
      <c r="U355" s="33"/>
      <c r="V355" s="39"/>
      <c r="W355" s="90" t="b">
        <v>0</v>
      </c>
      <c r="X355" s="90" t="b">
        <v>0</v>
      </c>
      <c r="Y355" s="90" t="b">
        <v>0</v>
      </c>
      <c r="Z355" s="40" t="s">
        <v>228</v>
      </c>
      <c r="AA355" s="41"/>
      <c r="AK355" s="16"/>
      <c r="AL355" s="16"/>
      <c r="AM355" s="16"/>
      <c r="AN355" s="16"/>
      <c r="AO355" s="16"/>
      <c r="AP355" s="16"/>
      <c r="AQ355" s="16"/>
      <c r="AR355" s="16"/>
      <c r="AS355" s="16"/>
    </row>
    <row r="356" spans="1:45" s="7" customFormat="1" ht="195" customHeight="1">
      <c r="A356" s="27">
        <f>[1]트램표준체크리스트!A354</f>
        <v>352</v>
      </c>
      <c r="B356" s="28" t="str">
        <f>[1]트램표준체크리스트!B354</f>
        <v>토목구조</v>
      </c>
      <c r="C356" s="29" t="str">
        <f>[1]트램표준체크리스트!C354</f>
        <v>교량안전시설</v>
      </c>
      <c r="D356" s="30" t="str">
        <f>[1]트램표준체크리스트!F354</f>
        <v>교량 하부에 통행로가 있는 경우 낙하물 방지 시설이 내역에 포함되었는가?</v>
      </c>
      <c r="E356" s="31" t="s">
        <v>542</v>
      </c>
      <c r="F356" s="32" t="str">
        <f t="shared" si="10"/>
        <v>극상</v>
      </c>
      <c r="G356" s="63" t="s">
        <v>40</v>
      </c>
      <c r="H356" s="63" t="s">
        <v>41</v>
      </c>
      <c r="I356" s="34" t="s">
        <v>543</v>
      </c>
      <c r="J356" s="33"/>
      <c r="K356" s="35"/>
      <c r="L356" s="33"/>
      <c r="M356" s="36"/>
      <c r="N356" s="33"/>
      <c r="O356" s="36"/>
      <c r="P356" s="33"/>
      <c r="Q356" s="37"/>
      <c r="R356" s="38"/>
      <c r="S356" s="33"/>
      <c r="T356" s="38"/>
      <c r="U356" s="33"/>
      <c r="V356" s="39"/>
      <c r="W356" s="90" t="b">
        <v>0</v>
      </c>
      <c r="X356" s="90" t="b">
        <v>0</v>
      </c>
      <c r="Y356" s="90" t="b">
        <v>0</v>
      </c>
      <c r="Z356" s="40" t="s">
        <v>544</v>
      </c>
      <c r="AA356" s="41"/>
      <c r="AK356" s="16"/>
      <c r="AL356" s="16"/>
      <c r="AM356" s="16"/>
      <c r="AN356" s="16"/>
      <c r="AO356" s="16"/>
      <c r="AP356" s="16"/>
      <c r="AQ356" s="16"/>
      <c r="AR356" s="16"/>
      <c r="AS356" s="16"/>
    </row>
    <row r="357" spans="1:45" s="7" customFormat="1" ht="195" customHeight="1">
      <c r="A357" s="27">
        <f>[1]트램표준체크리스트!A355</f>
        <v>353</v>
      </c>
      <c r="B357" s="28" t="str">
        <f>[1]트램표준체크리스트!B355</f>
        <v>토목구조</v>
      </c>
      <c r="C357" s="29" t="str">
        <f>[1]트램표준체크리스트!C355</f>
        <v>낙하물방지시설</v>
      </c>
      <c r="D357" s="30" t="str">
        <f>[1]트램표준체크리스트!F355</f>
        <v>도로/철도 횡단 구간의 낙하물 방지 시설이 '그물망'이 아닌 '방호 선반(강판/합판)'으로 설계되었는가?</v>
      </c>
      <c r="E357" s="31" t="s">
        <v>228</v>
      </c>
      <c r="F357" s="32" t="str">
        <f t="shared" si="10"/>
        <v>극상</v>
      </c>
      <c r="G357" s="63" t="s">
        <v>40</v>
      </c>
      <c r="H357" s="63" t="s">
        <v>41</v>
      </c>
      <c r="I357" s="34" t="s">
        <v>545</v>
      </c>
      <c r="J357" s="33"/>
      <c r="K357" s="35"/>
      <c r="L357" s="33"/>
      <c r="M357" s="36"/>
      <c r="N357" s="33"/>
      <c r="O357" s="36"/>
      <c r="P357" s="33"/>
      <c r="Q357" s="37"/>
      <c r="R357" s="38"/>
      <c r="S357" s="33"/>
      <c r="T357" s="38"/>
      <c r="U357" s="33"/>
      <c r="V357" s="39"/>
      <c r="W357" s="90" t="b">
        <v>0</v>
      </c>
      <c r="X357" s="90" t="b">
        <v>0</v>
      </c>
      <c r="Y357" s="90" t="b">
        <v>0</v>
      </c>
      <c r="Z357" s="40" t="s">
        <v>228</v>
      </c>
      <c r="AA357" s="41"/>
      <c r="AK357" s="16"/>
      <c r="AL357" s="16"/>
      <c r="AM357" s="16"/>
      <c r="AN357" s="16"/>
      <c r="AO357" s="16"/>
      <c r="AP357" s="16"/>
      <c r="AQ357" s="16"/>
      <c r="AR357" s="16"/>
      <c r="AS357" s="16"/>
    </row>
    <row r="358" spans="1:45" s="7" customFormat="1" ht="195" customHeight="1">
      <c r="A358" s="27">
        <f>[1]트램표준체크리스트!A356</f>
        <v>354</v>
      </c>
      <c r="B358" s="28" t="str">
        <f>[1]트램표준체크리스트!B356</f>
        <v>토목구조</v>
      </c>
      <c r="C358" s="29" t="str">
        <f>[1]트램표준체크리스트!C356</f>
        <v>동바리(시스템)</v>
      </c>
      <c r="D358" s="30" t="str">
        <f>[1]트램표준체크리스트!F356</f>
        <v>동바리 높이가 10m를 초과하는 구간에 대해 시스템 동바리가 적용되었는가?□ 좌굴 안정성 검토가 수행되었는가?</v>
      </c>
      <c r="E358" s="31" t="s">
        <v>228</v>
      </c>
      <c r="F358" s="32" t="str">
        <f t="shared" si="10"/>
        <v>극상</v>
      </c>
      <c r="G358" s="63" t="s">
        <v>40</v>
      </c>
      <c r="H358" s="63" t="s">
        <v>41</v>
      </c>
      <c r="I358" s="34" t="s">
        <v>546</v>
      </c>
      <c r="J358" s="33"/>
      <c r="K358" s="35"/>
      <c r="L358" s="33"/>
      <c r="M358" s="36"/>
      <c r="N358" s="33"/>
      <c r="O358" s="36"/>
      <c r="P358" s="33"/>
      <c r="Q358" s="37"/>
      <c r="R358" s="38"/>
      <c r="S358" s="33"/>
      <c r="T358" s="38"/>
      <c r="U358" s="33"/>
      <c r="V358" s="39"/>
      <c r="W358" s="90" t="b">
        <v>0</v>
      </c>
      <c r="X358" s="90" t="b">
        <v>0</v>
      </c>
      <c r="Y358" s="90" t="b">
        <v>0</v>
      </c>
      <c r="Z358" s="40" t="s">
        <v>228</v>
      </c>
      <c r="AA358" s="41"/>
      <c r="AK358" s="16"/>
      <c r="AL358" s="16"/>
      <c r="AM358" s="16"/>
      <c r="AN358" s="16"/>
      <c r="AO358" s="16"/>
      <c r="AP358" s="16"/>
      <c r="AQ358" s="16"/>
      <c r="AR358" s="16"/>
      <c r="AS358" s="16"/>
    </row>
    <row r="359" spans="1:45" s="7" customFormat="1" ht="195" customHeight="1">
      <c r="A359" s="27">
        <f>[1]트램표준체크리스트!A357</f>
        <v>355</v>
      </c>
      <c r="B359" s="28" t="str">
        <f>[1]트램표준체크리스트!B357</f>
        <v>토목구조</v>
      </c>
      <c r="C359" s="29" t="str">
        <f>[1]트램표준체크리스트!C357</f>
        <v>방음벽(설계변경)</v>
      </c>
      <c r="D359" s="30" t="str">
        <f>[1]트램표준체크리스트!F357</f>
        <v>학교/병원 인근 방음벽은 장래 교통량 증가를 고려한 소음 예측 시뮬레이션을 수행했는가?</v>
      </c>
      <c r="E359" s="31" t="s">
        <v>547</v>
      </c>
      <c r="F359" s="32" t="str">
        <f t="shared" ref="F359:F389" si="11">_xlfn.LET(
_xlpm.v_발생, IF(ISNUMBER(SEARCH("빈번", G359)), "상",
IF(ISNUMBER(SEARCH("거의", G359)), "하", "중")),
_xlpm.v_영향, IF(ISNUMBER(SEARCH("1개월", H359)), "상",
IF(ISNUMBER(SEARCH("없음", H359)), "하", "중")),
IF(AND(_xlpm.v_발생="상", _xlpm.v_영향="상"), "극상",
IF(OR(_xlpm.v_발생="상", _xlpm.v_영향="상"), "상",
IF(AND(_xlpm.v_발생="하", _xlpm.v_영향="하"), "하",
"중")))
)</f>
        <v>극상</v>
      </c>
      <c r="G359" s="63" t="s">
        <v>40</v>
      </c>
      <c r="H359" s="63" t="s">
        <v>41</v>
      </c>
      <c r="I359" s="34" t="s">
        <v>548</v>
      </c>
      <c r="J359" s="33"/>
      <c r="K359" s="35"/>
      <c r="L359" s="33"/>
      <c r="M359" s="36"/>
      <c r="N359" s="33"/>
      <c r="O359" s="36"/>
      <c r="P359" s="33"/>
      <c r="Q359" s="37"/>
      <c r="R359" s="38"/>
      <c r="S359" s="33"/>
      <c r="T359" s="38"/>
      <c r="U359" s="33"/>
      <c r="V359" s="39"/>
      <c r="W359" s="90" t="b">
        <v>0</v>
      </c>
      <c r="X359" s="90" t="b">
        <v>0</v>
      </c>
      <c r="Y359" s="90" t="b">
        <v>0</v>
      </c>
      <c r="Z359" s="40" t="s">
        <v>549</v>
      </c>
      <c r="AA359" s="41"/>
      <c r="AK359" s="16"/>
      <c r="AL359" s="16"/>
      <c r="AM359" s="16"/>
      <c r="AN359" s="16"/>
      <c r="AO359" s="16"/>
      <c r="AP359" s="16"/>
      <c r="AQ359" s="16"/>
      <c r="AR359" s="16"/>
      <c r="AS359" s="16"/>
    </row>
    <row r="360" spans="1:45" s="7" customFormat="1" ht="195" customHeight="1">
      <c r="A360" s="27">
        <f>[1]트램표준체크리스트!A358</f>
        <v>356</v>
      </c>
      <c r="B360" s="28" t="str">
        <f>[1]트램표준체크리스트!B358</f>
        <v>토목구조</v>
      </c>
      <c r="C360" s="29" t="str">
        <f>[1]트램표준체크리스트!C358</f>
        <v>방음벽기초</v>
      </c>
      <c r="D360" s="30" t="str">
        <f>[1]트램표준체크리스트!F358</f>
        <v>방음벽 기초를 PC(Precast)화하여 현장 타설 물량을 줄일 수 있는가?</v>
      </c>
      <c r="E360" s="31" t="s">
        <v>550</v>
      </c>
      <c r="F360" s="32" t="str">
        <f t="shared" si="11"/>
        <v>극상</v>
      </c>
      <c r="G360" s="63" t="s">
        <v>40</v>
      </c>
      <c r="H360" s="63" t="s">
        <v>41</v>
      </c>
      <c r="I360" s="34" t="s">
        <v>551</v>
      </c>
      <c r="J360" s="33"/>
      <c r="K360" s="35"/>
      <c r="L360" s="33"/>
      <c r="M360" s="36"/>
      <c r="N360" s="33"/>
      <c r="O360" s="36"/>
      <c r="P360" s="33"/>
      <c r="Q360" s="37"/>
      <c r="R360" s="38"/>
      <c r="S360" s="33"/>
      <c r="T360" s="38"/>
      <c r="U360" s="33"/>
      <c r="V360" s="39"/>
      <c r="W360" s="90" t="b">
        <v>0</v>
      </c>
      <c r="X360" s="90" t="b">
        <v>0</v>
      </c>
      <c r="Y360" s="90" t="b">
        <v>0</v>
      </c>
      <c r="Z360" s="40" t="s">
        <v>552</v>
      </c>
      <c r="AA360" s="41"/>
      <c r="AK360" s="16"/>
      <c r="AL360" s="16"/>
      <c r="AM360" s="16"/>
      <c r="AN360" s="16"/>
      <c r="AO360" s="16"/>
      <c r="AP360" s="16"/>
      <c r="AQ360" s="16"/>
      <c r="AR360" s="16"/>
      <c r="AS360" s="16"/>
    </row>
    <row r="361" spans="1:45" s="7" customFormat="1" ht="195" customHeight="1">
      <c r="A361" s="27">
        <f>[1]트램표준체크리스트!A359</f>
        <v>357</v>
      </c>
      <c r="B361" s="28" t="str">
        <f>[1]트램표준체크리스트!B359</f>
        <v>토목구조</v>
      </c>
      <c r="C361" s="29" t="str">
        <f>[1]트램표준체크리스트!C359</f>
        <v>방음벽접지</v>
      </c>
      <c r="D361" s="30" t="str">
        <f>[1]트램표준체크리스트!F359</f>
        <v>철도 인근 방음벽의 접지 간격이 관련 규정(250m 이내)을 준수하는가?</v>
      </c>
      <c r="E361" s="31" t="s">
        <v>553</v>
      </c>
      <c r="F361" s="32" t="str">
        <f t="shared" si="11"/>
        <v>극상</v>
      </c>
      <c r="G361" s="63" t="s">
        <v>40</v>
      </c>
      <c r="H361" s="63" t="s">
        <v>41</v>
      </c>
      <c r="I361" s="34" t="s">
        <v>554</v>
      </c>
      <c r="J361" s="33"/>
      <c r="K361" s="35"/>
      <c r="L361" s="33"/>
      <c r="M361" s="36"/>
      <c r="N361" s="33"/>
      <c r="O361" s="36"/>
      <c r="P361" s="33"/>
      <c r="Q361" s="37"/>
      <c r="R361" s="38"/>
      <c r="S361" s="33"/>
      <c r="T361" s="38"/>
      <c r="U361" s="33"/>
      <c r="V361" s="39"/>
      <c r="W361" s="90" t="b">
        <v>0</v>
      </c>
      <c r="X361" s="90" t="b">
        <v>0</v>
      </c>
      <c r="Y361" s="90" t="b">
        <v>0</v>
      </c>
      <c r="Z361" s="40" t="s">
        <v>555</v>
      </c>
      <c r="AA361" s="41"/>
      <c r="AK361" s="16"/>
      <c r="AL361" s="16"/>
      <c r="AM361" s="16"/>
      <c r="AN361" s="16"/>
      <c r="AO361" s="16"/>
      <c r="AP361" s="16"/>
      <c r="AQ361" s="16"/>
      <c r="AR361" s="16"/>
      <c r="AS361" s="16"/>
    </row>
    <row r="362" spans="1:45" s="7" customFormat="1" ht="195" customHeight="1">
      <c r="A362" s="27">
        <f>[1]트램표준체크리스트!A360</f>
        <v>358</v>
      </c>
      <c r="B362" s="28" t="str">
        <f>[1]트램표준체크리스트!B360</f>
        <v>토목구조</v>
      </c>
      <c r="C362" s="29" t="str">
        <f>[1]트램표준체크리스트!C360</f>
        <v>본선교량</v>
      </c>
      <c r="D362" s="30" t="str">
        <f>[1]트램표준체크리스트!F360</f>
        <v>교량/구조물 단부에 낙하물 방지를 위한 마감판(End Plate)이 반영되었는가?</v>
      </c>
      <c r="E362" s="31" t="s">
        <v>556</v>
      </c>
      <c r="F362" s="32" t="str">
        <f t="shared" si="11"/>
        <v>극상</v>
      </c>
      <c r="G362" s="63" t="s">
        <v>40</v>
      </c>
      <c r="H362" s="63" t="s">
        <v>41</v>
      </c>
      <c r="I362" s="34" t="s">
        <v>557</v>
      </c>
      <c r="J362" s="33"/>
      <c r="K362" s="35"/>
      <c r="L362" s="33"/>
      <c r="M362" s="36"/>
      <c r="N362" s="33"/>
      <c r="O362" s="36"/>
      <c r="P362" s="33"/>
      <c r="Q362" s="37"/>
      <c r="R362" s="38"/>
      <c r="S362" s="33"/>
      <c r="T362" s="38"/>
      <c r="U362" s="33"/>
      <c r="V362" s="39"/>
      <c r="W362" s="90" t="b">
        <v>0</v>
      </c>
      <c r="X362" s="90" t="b">
        <v>0</v>
      </c>
      <c r="Y362" s="90" t="b">
        <v>0</v>
      </c>
      <c r="Z362" s="40" t="s">
        <v>228</v>
      </c>
      <c r="AA362" s="41"/>
      <c r="AK362" s="16"/>
      <c r="AL362" s="16"/>
      <c r="AM362" s="16"/>
      <c r="AN362" s="16"/>
      <c r="AO362" s="16"/>
      <c r="AP362" s="16"/>
      <c r="AQ362" s="16"/>
      <c r="AR362" s="16"/>
      <c r="AS362" s="16"/>
    </row>
    <row r="363" spans="1:45" s="7" customFormat="1" ht="195" customHeight="1">
      <c r="A363" s="27">
        <f>[1]트램표준체크리스트!A361</f>
        <v>359</v>
      </c>
      <c r="B363" s="28" t="str">
        <f>[1]트램표준체크리스트!B361</f>
        <v>토목구조</v>
      </c>
      <c r="C363" s="29" t="str">
        <f>[1]트램표준체크리스트!C361</f>
        <v>시스템동바리</v>
      </c>
      <c r="D363" s="30" t="str">
        <f>[1]트램표준체크리스트!F361</f>
        <v>동바리가 설치될 하부 바닥(또는 구조물)이 상부 타설 하중을 견딜 수 있는가?</v>
      </c>
      <c r="E363" s="31" t="s">
        <v>558</v>
      </c>
      <c r="F363" s="32" t="str">
        <f t="shared" si="11"/>
        <v>극상</v>
      </c>
      <c r="G363" s="63" t="s">
        <v>40</v>
      </c>
      <c r="H363" s="63" t="s">
        <v>41</v>
      </c>
      <c r="I363" s="34" t="s">
        <v>559</v>
      </c>
      <c r="J363" s="33"/>
      <c r="K363" s="35"/>
      <c r="L363" s="33"/>
      <c r="M363" s="36"/>
      <c r="N363" s="33"/>
      <c r="O363" s="36"/>
      <c r="P363" s="33"/>
      <c r="Q363" s="37"/>
      <c r="R363" s="38"/>
      <c r="S363" s="33"/>
      <c r="T363" s="38"/>
      <c r="U363" s="33"/>
      <c r="V363" s="39"/>
      <c r="W363" s="90" t="b">
        <v>0</v>
      </c>
      <c r="X363" s="90" t="b">
        <v>0</v>
      </c>
      <c r="Y363" s="90" t="b">
        <v>0</v>
      </c>
      <c r="Z363" s="40" t="s">
        <v>560</v>
      </c>
      <c r="AA363" s="41"/>
      <c r="AK363" s="16"/>
      <c r="AL363" s="16"/>
      <c r="AM363" s="16"/>
      <c r="AN363" s="16"/>
      <c r="AO363" s="16"/>
      <c r="AP363" s="16"/>
      <c r="AQ363" s="16"/>
      <c r="AR363" s="16"/>
      <c r="AS363" s="16"/>
    </row>
    <row r="364" spans="1:45" s="7" customFormat="1" ht="195" customHeight="1">
      <c r="A364" s="27">
        <f>[1]트램표준체크리스트!A362</f>
        <v>360</v>
      </c>
      <c r="B364" s="28" t="str">
        <f>[1]트램표준체크리스트!B362</f>
        <v>토목구조</v>
      </c>
      <c r="C364" s="29" t="str">
        <f>[1]트램표준체크리스트!C362</f>
        <v>영구방음벽</v>
      </c>
      <c r="D364" s="30" t="str">
        <f>[1]트램표준체크리스트!F362</f>
        <v>방음벽 형식(흡음/투명/혼합) 선정 시 주민 선호도와 환경영향평가 조건이 일치하는가?</v>
      </c>
      <c r="E364" s="31" t="s">
        <v>561</v>
      </c>
      <c r="F364" s="32" t="str">
        <f t="shared" si="11"/>
        <v>극상</v>
      </c>
      <c r="G364" s="63" t="s">
        <v>40</v>
      </c>
      <c r="H364" s="63" t="s">
        <v>41</v>
      </c>
      <c r="I364" s="34" t="s">
        <v>562</v>
      </c>
      <c r="J364" s="33"/>
      <c r="K364" s="35"/>
      <c r="L364" s="33"/>
      <c r="M364" s="36"/>
      <c r="N364" s="33"/>
      <c r="O364" s="36"/>
      <c r="P364" s="33"/>
      <c r="Q364" s="37"/>
      <c r="R364" s="38"/>
      <c r="S364" s="33"/>
      <c r="T364" s="38"/>
      <c r="U364" s="33"/>
      <c r="V364" s="39"/>
      <c r="W364" s="90" t="b">
        <v>0</v>
      </c>
      <c r="X364" s="90" t="b">
        <v>0</v>
      </c>
      <c r="Y364" s="90" t="b">
        <v>0</v>
      </c>
      <c r="Z364" s="40" t="s">
        <v>563</v>
      </c>
      <c r="AA364" s="41"/>
      <c r="AK364" s="16"/>
      <c r="AL364" s="16"/>
      <c r="AM364" s="16"/>
      <c r="AN364" s="16"/>
      <c r="AO364" s="16"/>
      <c r="AP364" s="16"/>
      <c r="AQ364" s="16"/>
      <c r="AR364" s="16"/>
      <c r="AS364" s="16"/>
    </row>
    <row r="365" spans="1:45" s="7" customFormat="1" ht="195" customHeight="1">
      <c r="A365" s="27">
        <f>[1]트램표준체크리스트!A363</f>
        <v>361</v>
      </c>
      <c r="B365" s="28" t="str">
        <f>[1]트램표준체크리스트!B363</f>
        <v>토목구조</v>
      </c>
      <c r="C365" s="29" t="str">
        <f>[1]트램표준체크리스트!C363</f>
        <v>전차선</v>
      </c>
      <c r="D365" s="30" t="str">
        <f>[1]트램표준체크리스트!F363</f>
        <v>전차선 상부 횡단 구조물에 낙하물 방지망 및 절연 보호 설비가 반영되었는가?</v>
      </c>
      <c r="E365" s="31" t="s">
        <v>564</v>
      </c>
      <c r="F365" s="32" t="str">
        <f t="shared" si="11"/>
        <v>극상</v>
      </c>
      <c r="G365" s="63" t="s">
        <v>40</v>
      </c>
      <c r="H365" s="63" t="s">
        <v>41</v>
      </c>
      <c r="I365" s="34" t="s">
        <v>565</v>
      </c>
      <c r="J365" s="33"/>
      <c r="K365" s="35"/>
      <c r="L365" s="33"/>
      <c r="M365" s="36"/>
      <c r="N365" s="33"/>
      <c r="O365" s="36"/>
      <c r="P365" s="33"/>
      <c r="Q365" s="37"/>
      <c r="R365" s="38"/>
      <c r="S365" s="33"/>
      <c r="T365" s="38"/>
      <c r="U365" s="33"/>
      <c r="V365" s="39"/>
      <c r="W365" s="90" t="b">
        <v>0</v>
      </c>
      <c r="X365" s="90" t="b">
        <v>0</v>
      </c>
      <c r="Y365" s="90" t="b">
        <v>0</v>
      </c>
      <c r="Z365" s="40" t="s">
        <v>228</v>
      </c>
      <c r="AA365" s="41"/>
      <c r="AK365" s="16"/>
      <c r="AL365" s="16"/>
      <c r="AM365" s="16"/>
      <c r="AN365" s="16"/>
      <c r="AO365" s="16"/>
      <c r="AP365" s="16"/>
      <c r="AQ365" s="16"/>
      <c r="AR365" s="16"/>
      <c r="AS365" s="16"/>
    </row>
    <row r="366" spans="1:45" s="7" customFormat="1" ht="195" customHeight="1">
      <c r="A366" s="27">
        <f>[1]트램표준체크리스트!A364</f>
        <v>362</v>
      </c>
      <c r="B366" s="28" t="str">
        <f>[1]트램표준체크리스트!B364</f>
        <v>토목구조</v>
      </c>
      <c r="C366" s="29" t="str">
        <f>[1]트램표준체크리스트!C364</f>
        <v>전차선로방호설비</v>
      </c>
      <c r="D366" s="30" t="str">
        <f>[1]트램표준체크리스트!F364</f>
        <v>과선교 하부 전차선 보호망 및 절연 이격 확보 방안이 설계에 반영되었는가?</v>
      </c>
      <c r="E366" s="31" t="s">
        <v>566</v>
      </c>
      <c r="F366" s="32" t="str">
        <f t="shared" si="11"/>
        <v>극상</v>
      </c>
      <c r="G366" s="63" t="s">
        <v>40</v>
      </c>
      <c r="H366" s="63" t="s">
        <v>41</v>
      </c>
      <c r="I366" s="34" t="s">
        <v>567</v>
      </c>
      <c r="J366" s="33"/>
      <c r="K366" s="35"/>
      <c r="L366" s="33"/>
      <c r="M366" s="36"/>
      <c r="N366" s="33"/>
      <c r="O366" s="36"/>
      <c r="P366" s="33"/>
      <c r="Q366" s="37"/>
      <c r="R366" s="38"/>
      <c r="S366" s="33"/>
      <c r="T366" s="38"/>
      <c r="U366" s="33"/>
      <c r="V366" s="39"/>
      <c r="W366" s="90" t="b">
        <v>0</v>
      </c>
      <c r="X366" s="90" t="b">
        <v>0</v>
      </c>
      <c r="Y366" s="90" t="b">
        <v>0</v>
      </c>
      <c r="Z366" s="40" t="s">
        <v>228</v>
      </c>
      <c r="AA366" s="41"/>
      <c r="AK366" s="16"/>
      <c r="AL366" s="16"/>
      <c r="AM366" s="16"/>
      <c r="AN366" s="16"/>
      <c r="AO366" s="16"/>
      <c r="AP366" s="16"/>
      <c r="AQ366" s="16"/>
      <c r="AR366" s="16"/>
      <c r="AS366" s="16"/>
    </row>
    <row r="367" spans="1:45" s="7" customFormat="1" ht="195" customHeight="1">
      <c r="A367" s="27">
        <f>[1]트램표준체크리스트!A365</f>
        <v>363</v>
      </c>
      <c r="B367" s="28" t="str">
        <f>[1]트램표준체크리스트!B365</f>
        <v>토목구조</v>
      </c>
      <c r="C367" s="29" t="str">
        <f>[1]트램표준체크리스트!C365</f>
        <v>지장물 파손</v>
      </c>
      <c r="D367" s="30" t="str">
        <f>[1]트램표준체크리스트!F365</f>
        <v>방음벽 기초 라인 하부의 통신/전력 케이블 매설 여부를 GPR 등으로 탐사했는가?</v>
      </c>
      <c r="E367" s="31" t="s">
        <v>568</v>
      </c>
      <c r="F367" s="32" t="str">
        <f t="shared" si="11"/>
        <v>극상</v>
      </c>
      <c r="G367" s="63" t="s">
        <v>40</v>
      </c>
      <c r="H367" s="63" t="s">
        <v>41</v>
      </c>
      <c r="I367" s="34" t="s">
        <v>569</v>
      </c>
      <c r="J367" s="33"/>
      <c r="K367" s="35"/>
      <c r="L367" s="33"/>
      <c r="M367" s="36"/>
      <c r="N367" s="33"/>
      <c r="O367" s="36"/>
      <c r="P367" s="33"/>
      <c r="Q367" s="37"/>
      <c r="R367" s="38"/>
      <c r="S367" s="33"/>
      <c r="T367" s="38"/>
      <c r="U367" s="33"/>
      <c r="V367" s="39"/>
      <c r="W367" s="90" t="b">
        <v>0</v>
      </c>
      <c r="X367" s="90" t="b">
        <v>0</v>
      </c>
      <c r="Y367" s="90" t="b">
        <v>0</v>
      </c>
      <c r="Z367" s="40" t="s">
        <v>570</v>
      </c>
      <c r="AA367" s="41"/>
      <c r="AK367" s="16"/>
      <c r="AL367" s="16"/>
      <c r="AM367" s="16"/>
      <c r="AN367" s="16"/>
      <c r="AO367" s="16"/>
      <c r="AP367" s="16"/>
      <c r="AQ367" s="16"/>
      <c r="AR367" s="16"/>
      <c r="AS367" s="16"/>
    </row>
    <row r="368" spans="1:45" s="7" customFormat="1" ht="195" customHeight="1">
      <c r="A368" s="27">
        <f>[1]트램표준체크리스트!A366</f>
        <v>364</v>
      </c>
      <c r="B368" s="28" t="str">
        <f>[1]트램표준체크리스트!B366</f>
        <v>토목구조</v>
      </c>
      <c r="C368" s="29" t="str">
        <f>[1]트램표준체크리스트!C366</f>
        <v>출입시설</v>
      </c>
      <c r="D368" s="30" t="str">
        <f>[1]트램표준체크리스트!F366</f>
        <v>방음벽 연장이 긴 경우 유지관리 및 비상 대피를 위한 출입문(Door)이 반영되었는가?</v>
      </c>
      <c r="E368" s="31" t="s">
        <v>571</v>
      </c>
      <c r="F368" s="32" t="str">
        <f t="shared" si="11"/>
        <v>극상</v>
      </c>
      <c r="G368" s="63" t="s">
        <v>40</v>
      </c>
      <c r="H368" s="63" t="s">
        <v>41</v>
      </c>
      <c r="I368" s="34" t="s">
        <v>572</v>
      </c>
      <c r="J368" s="33"/>
      <c r="K368" s="35"/>
      <c r="L368" s="33"/>
      <c r="M368" s="36"/>
      <c r="N368" s="33"/>
      <c r="O368" s="36"/>
      <c r="P368" s="33"/>
      <c r="Q368" s="37"/>
      <c r="R368" s="38"/>
      <c r="S368" s="33"/>
      <c r="T368" s="38"/>
      <c r="U368" s="33"/>
      <c r="V368" s="39"/>
      <c r="W368" s="90" t="b">
        <v>0</v>
      </c>
      <c r="X368" s="90" t="b">
        <v>0</v>
      </c>
      <c r="Y368" s="90" t="b">
        <v>0</v>
      </c>
      <c r="Z368" s="40" t="s">
        <v>228</v>
      </c>
      <c r="AA368" s="41"/>
      <c r="AK368" s="16"/>
      <c r="AL368" s="16"/>
      <c r="AM368" s="16"/>
      <c r="AN368" s="16"/>
      <c r="AO368" s="16"/>
      <c r="AP368" s="16"/>
      <c r="AQ368" s="16"/>
      <c r="AR368" s="16"/>
      <c r="AS368" s="16"/>
    </row>
    <row r="369" spans="1:45" s="7" customFormat="1" ht="195" customHeight="1">
      <c r="A369" s="27">
        <f>[1]트램표준체크리스트!A367</f>
        <v>365</v>
      </c>
      <c r="B369" s="28" t="str">
        <f>[1]트램표준체크리스트!B367</f>
        <v>토목구조</v>
      </c>
      <c r="C369" s="29" t="str">
        <f>[1]트램표준체크리스트!C367</f>
        <v>가시설 굴착 안전 계획</v>
      </c>
      <c r="D369" s="30" t="str">
        <f>[1]트램표준체크리스트!F367</f>
        <v>1.5m 초과 구간 흙막이 지보공 설계 누락으로, 굴착면 붕괴에 따른 작업자 매몰 및 주변 지장물 파손이 유발될 리스크를 검토하였는가?</v>
      </c>
      <c r="E369" s="31" t="s">
        <v>573</v>
      </c>
      <c r="F369" s="32" t="str">
        <f t="shared" si="11"/>
        <v>극상</v>
      </c>
      <c r="G369" s="63" t="s">
        <v>40</v>
      </c>
      <c r="H369" s="63" t="s">
        <v>41</v>
      </c>
      <c r="I369" s="34" t="s">
        <v>574</v>
      </c>
      <c r="J369" s="33"/>
      <c r="K369" s="35"/>
      <c r="L369" s="33"/>
      <c r="M369" s="36"/>
      <c r="N369" s="33"/>
      <c r="O369" s="36"/>
      <c r="P369" s="33"/>
      <c r="Q369" s="37"/>
      <c r="R369" s="38"/>
      <c r="S369" s="33"/>
      <c r="T369" s="38"/>
      <c r="U369" s="33"/>
      <c r="V369" s="39"/>
      <c r="W369" s="90" t="b">
        <v>0</v>
      </c>
      <c r="X369" s="90" t="b">
        <v>0</v>
      </c>
      <c r="Y369" s="90" t="b">
        <v>0</v>
      </c>
      <c r="Z369" s="40" t="s">
        <v>228</v>
      </c>
      <c r="AA369" s="41"/>
      <c r="AK369" s="16"/>
      <c r="AL369" s="16"/>
      <c r="AM369" s="16"/>
      <c r="AN369" s="16"/>
      <c r="AO369" s="16"/>
      <c r="AP369" s="16"/>
      <c r="AQ369" s="16"/>
      <c r="AR369" s="16"/>
      <c r="AS369" s="16"/>
    </row>
    <row r="370" spans="1:45" s="7" customFormat="1" ht="195" customHeight="1">
      <c r="A370" s="27">
        <f>[1]트램표준체크리스트!A368</f>
        <v>366</v>
      </c>
      <c r="B370" s="28" t="str">
        <f>[1]트램표준체크리스트!B368</f>
        <v>토목구조</v>
      </c>
      <c r="C370" s="29" t="str">
        <f>[1]트램표준체크리스트!C368</f>
        <v>가시설 굴착 안전 계획</v>
      </c>
      <c r="D370" s="30" t="str">
        <f>[1]트램표준체크리스트!F368</f>
        <v>당초 Con'c 포장구간에 신설관로 매설시 도로횡방향으로 굴착되어 있으나, 지장물 및 관로 신설유지를 위해 도로종방향으로 굴착이 불가능해 도로 외측부 신설관로 매설함에 따라 Con'c 포장 복구 거푸집 설치가 추가된 사례 리스크를 검토하였는가?</v>
      </c>
      <c r="E370" s="31" t="s">
        <v>575</v>
      </c>
      <c r="F370" s="32" t="str">
        <f t="shared" si="11"/>
        <v>극상</v>
      </c>
      <c r="G370" s="63" t="s">
        <v>40</v>
      </c>
      <c r="H370" s="63" t="s">
        <v>41</v>
      </c>
      <c r="I370" s="34" t="s">
        <v>576</v>
      </c>
      <c r="J370" s="33"/>
      <c r="K370" s="35"/>
      <c r="L370" s="33"/>
      <c r="M370" s="36"/>
      <c r="N370" s="33"/>
      <c r="O370" s="36"/>
      <c r="P370" s="33"/>
      <c r="Q370" s="37"/>
      <c r="R370" s="38"/>
      <c r="S370" s="33"/>
      <c r="T370" s="38"/>
      <c r="U370" s="33"/>
      <c r="V370" s="39"/>
      <c r="W370" s="90" t="b">
        <v>0</v>
      </c>
      <c r="X370" s="90" t="b">
        <v>0</v>
      </c>
      <c r="Y370" s="90" t="b">
        <v>0</v>
      </c>
      <c r="Z370" s="40" t="s">
        <v>228</v>
      </c>
      <c r="AA370" s="41"/>
      <c r="AK370" s="16"/>
      <c r="AL370" s="16"/>
      <c r="AM370" s="16"/>
      <c r="AN370" s="16"/>
      <c r="AO370" s="16"/>
      <c r="AP370" s="16"/>
      <c r="AQ370" s="16"/>
      <c r="AR370" s="16"/>
      <c r="AS370" s="16"/>
    </row>
    <row r="371" spans="1:45" s="7" customFormat="1" ht="195" customHeight="1">
      <c r="A371" s="27">
        <f>[1]트램표준체크리스트!A369</f>
        <v>367</v>
      </c>
      <c r="B371" s="28" t="str">
        <f>[1]트램표준체크리스트!B369</f>
        <v>토목구조</v>
      </c>
      <c r="C371" s="29" t="str">
        <f>[1]트램표준체크리스트!C369</f>
        <v>가시설 굴착 안전 계획</v>
      </c>
      <c r="D371" s="30" t="str">
        <f>[1]트램표준체크리스트!F369</f>
        <v>시점부 우회도로와의 연장 및 굴착 높이로 인한 노선 변경 검토 이슈가 발생 리스크를 검토하였는가?</v>
      </c>
      <c r="E371" s="31" t="s">
        <v>577</v>
      </c>
      <c r="F371" s="32" t="str">
        <f t="shared" si="11"/>
        <v>극상</v>
      </c>
      <c r="G371" s="63" t="s">
        <v>40</v>
      </c>
      <c r="H371" s="63" t="s">
        <v>41</v>
      </c>
      <c r="I371" s="34" t="s">
        <v>578</v>
      </c>
      <c r="J371" s="33"/>
      <c r="K371" s="35"/>
      <c r="L371" s="33"/>
      <c r="M371" s="36"/>
      <c r="N371" s="33"/>
      <c r="O371" s="36"/>
      <c r="P371" s="33"/>
      <c r="Q371" s="37"/>
      <c r="R371" s="38"/>
      <c r="S371" s="33"/>
      <c r="T371" s="38"/>
      <c r="U371" s="33"/>
      <c r="V371" s="39"/>
      <c r="W371" s="90" t="b">
        <v>0</v>
      </c>
      <c r="X371" s="90" t="b">
        <v>0</v>
      </c>
      <c r="Y371" s="90" t="b">
        <v>0</v>
      </c>
      <c r="Z371" s="40" t="s">
        <v>579</v>
      </c>
      <c r="AA371" s="41"/>
      <c r="AK371" s="16"/>
      <c r="AL371" s="16"/>
      <c r="AM371" s="16"/>
      <c r="AN371" s="16"/>
      <c r="AO371" s="16"/>
      <c r="AP371" s="16"/>
      <c r="AQ371" s="16"/>
      <c r="AR371" s="16"/>
      <c r="AS371" s="16"/>
    </row>
    <row r="372" spans="1:45" s="7" customFormat="1" ht="195" customHeight="1">
      <c r="A372" s="27">
        <f>[1]트램표준체크리스트!A370</f>
        <v>368</v>
      </c>
      <c r="B372" s="28" t="str">
        <f>[1]트램표준체크리스트!B370</f>
        <v>토목구조</v>
      </c>
      <c r="C372" s="29" t="str">
        <f>[1]트램표준체크리스트!C370</f>
        <v>가시설 굴착 안전 계획</v>
      </c>
      <c r="D372" s="30" t="str">
        <f>[1]트램표준체크리스트!F370</f>
        <v>인접한 교통량의 우회 우회 노선 변경계획 기준 조정을 위해 신규 신호를 추가를 반영 리스크를 검토하였는가?</v>
      </c>
      <c r="E372" s="31" t="s">
        <v>580</v>
      </c>
      <c r="F372" s="32" t="str">
        <f t="shared" si="11"/>
        <v>극상</v>
      </c>
      <c r="G372" s="63" t="s">
        <v>40</v>
      </c>
      <c r="H372" s="63" t="s">
        <v>41</v>
      </c>
      <c r="I372" s="34" t="s">
        <v>581</v>
      </c>
      <c r="J372" s="33"/>
      <c r="K372" s="35"/>
      <c r="L372" s="33"/>
      <c r="M372" s="36"/>
      <c r="N372" s="33"/>
      <c r="O372" s="36"/>
      <c r="P372" s="33"/>
      <c r="Q372" s="37"/>
      <c r="R372" s="38"/>
      <c r="S372" s="33"/>
      <c r="T372" s="38"/>
      <c r="U372" s="33"/>
      <c r="V372" s="39"/>
      <c r="W372" s="90" t="b">
        <v>0</v>
      </c>
      <c r="X372" s="90" t="b">
        <v>0</v>
      </c>
      <c r="Y372" s="90" t="b">
        <v>0</v>
      </c>
      <c r="Z372" s="40" t="s">
        <v>582</v>
      </c>
      <c r="AA372" s="41"/>
      <c r="AK372" s="16"/>
      <c r="AL372" s="16"/>
      <c r="AM372" s="16"/>
      <c r="AN372" s="16"/>
      <c r="AO372" s="16"/>
      <c r="AP372" s="16"/>
      <c r="AQ372" s="16"/>
      <c r="AR372" s="16"/>
      <c r="AS372" s="16"/>
    </row>
    <row r="373" spans="1:45" s="7" customFormat="1" ht="195" customHeight="1">
      <c r="A373" s="27">
        <f>[1]트램표준체크리스트!A371</f>
        <v>369</v>
      </c>
      <c r="B373" s="28" t="str">
        <f>[1]트램표준체크리스트!B371</f>
        <v>토목구조</v>
      </c>
      <c r="C373" s="29" t="str">
        <f>[1]트램표준체크리스트!C371</f>
        <v>교량 기초계획</v>
      </c>
      <c r="D373" s="30" t="str">
        <f>[1]트램표준체크리스트!F371</f>
        <v>단부 수직강성 체감구조 설계 누락으로 접속부 과도한 충격하중 및 구조물 부등침하가 발생할 리스크를 검토하였는가?</v>
      </c>
      <c r="E373" s="31" t="s">
        <v>583</v>
      </c>
      <c r="F373" s="32" t="str">
        <f t="shared" si="11"/>
        <v>극상</v>
      </c>
      <c r="G373" s="63" t="s">
        <v>40</v>
      </c>
      <c r="H373" s="63" t="s">
        <v>41</v>
      </c>
      <c r="I373" s="34" t="s">
        <v>584</v>
      </c>
      <c r="J373" s="33"/>
      <c r="K373" s="35"/>
      <c r="L373" s="33"/>
      <c r="M373" s="36"/>
      <c r="N373" s="33"/>
      <c r="O373" s="36"/>
      <c r="P373" s="33"/>
      <c r="Q373" s="37"/>
      <c r="R373" s="38"/>
      <c r="S373" s="33"/>
      <c r="T373" s="38"/>
      <c r="U373" s="33"/>
      <c r="V373" s="39"/>
      <c r="W373" s="90" t="b">
        <v>0</v>
      </c>
      <c r="X373" s="90" t="b">
        <v>0</v>
      </c>
      <c r="Y373" s="90" t="b">
        <v>0</v>
      </c>
      <c r="Z373" s="40" t="s">
        <v>585</v>
      </c>
      <c r="AA373" s="41"/>
      <c r="AK373" s="16"/>
      <c r="AL373" s="16"/>
      <c r="AM373" s="16"/>
      <c r="AN373" s="16"/>
      <c r="AO373" s="16"/>
      <c r="AP373" s="16"/>
      <c r="AQ373" s="16"/>
      <c r="AR373" s="16"/>
      <c r="AS373" s="16"/>
    </row>
    <row r="374" spans="1:45" s="7" customFormat="1" ht="195" customHeight="1">
      <c r="A374" s="27">
        <f>[1]트램표준체크리스트!A372</f>
        <v>370</v>
      </c>
      <c r="B374" s="28" t="str">
        <f>[1]트램표준체크리스트!B372</f>
        <v>토목구조</v>
      </c>
      <c r="C374" s="29" t="str">
        <f>[1]트램표준체크리스트!C372</f>
        <v>교량 기초계획</v>
      </c>
      <c r="D374" s="30" t="str">
        <f>[1]트램표준체크리스트!F372</f>
        <v>어프로치 슬래브 및 Endsporn 등 강성 전이(Transition) 구조 누락으로 궤도 단차(Irregularity) 및 충격이 발생할 리스크를 검토하였는가?</v>
      </c>
      <c r="E374" s="31" t="s">
        <v>586</v>
      </c>
      <c r="F374" s="32" t="str">
        <f t="shared" si="11"/>
        <v>극상</v>
      </c>
      <c r="G374" s="63" t="s">
        <v>40</v>
      </c>
      <c r="H374" s="63" t="s">
        <v>41</v>
      </c>
      <c r="I374" s="34" t="s">
        <v>587</v>
      </c>
      <c r="J374" s="33"/>
      <c r="K374" s="35"/>
      <c r="L374" s="33"/>
      <c r="M374" s="36"/>
      <c r="N374" s="33"/>
      <c r="O374" s="36"/>
      <c r="P374" s="33"/>
      <c r="Q374" s="37"/>
      <c r="R374" s="38"/>
      <c r="S374" s="33"/>
      <c r="T374" s="38"/>
      <c r="U374" s="33"/>
      <c r="V374" s="39"/>
      <c r="W374" s="90" t="b">
        <v>0</v>
      </c>
      <c r="X374" s="90" t="b">
        <v>0</v>
      </c>
      <c r="Y374" s="90" t="b">
        <v>0</v>
      </c>
      <c r="Z374" s="40" t="s">
        <v>588</v>
      </c>
      <c r="AA374" s="41"/>
      <c r="AK374" s="16"/>
      <c r="AL374" s="16"/>
      <c r="AM374" s="16"/>
      <c r="AN374" s="16"/>
      <c r="AO374" s="16"/>
      <c r="AP374" s="16"/>
      <c r="AQ374" s="16"/>
      <c r="AR374" s="16"/>
      <c r="AS374" s="16"/>
    </row>
    <row r="375" spans="1:45" s="7" customFormat="1" ht="195" customHeight="1">
      <c r="A375" s="27">
        <f>[1]트램표준체크리스트!A373</f>
        <v>371</v>
      </c>
      <c r="B375" s="28" t="str">
        <f>[1]트램표준체크리스트!B373</f>
        <v>토목구조</v>
      </c>
      <c r="C375" s="29" t="str">
        <f>[1]트램표준체크리스트!C373</f>
        <v>교량 기초계획</v>
      </c>
      <c r="D375" s="30" t="str">
        <f>[1]트램표준체크리스트!F373</f>
        <v>트램 전용 동적 하중 재하 누락 및 처짐 기준(L/600) 오적용으로 주행 시 과도한 진동 및 탈선이 유발될 리스크를 검토하였는가?</v>
      </c>
      <c r="E375" s="31" t="s">
        <v>589</v>
      </c>
      <c r="F375" s="32" t="str">
        <f t="shared" si="11"/>
        <v>극상</v>
      </c>
      <c r="G375" s="63" t="s">
        <v>40</v>
      </c>
      <c r="H375" s="63" t="s">
        <v>41</v>
      </c>
      <c r="I375" s="34" t="s">
        <v>590</v>
      </c>
      <c r="J375" s="33"/>
      <c r="K375" s="35"/>
      <c r="L375" s="33"/>
      <c r="M375" s="36"/>
      <c r="N375" s="33"/>
      <c r="O375" s="36"/>
      <c r="P375" s="33"/>
      <c r="Q375" s="37"/>
      <c r="R375" s="38"/>
      <c r="S375" s="33"/>
      <c r="T375" s="38"/>
      <c r="U375" s="33"/>
      <c r="V375" s="39"/>
      <c r="W375" s="90" t="b">
        <v>0</v>
      </c>
      <c r="X375" s="90" t="b">
        <v>0</v>
      </c>
      <c r="Y375" s="90" t="b">
        <v>0</v>
      </c>
      <c r="Z375" s="40" t="s">
        <v>591</v>
      </c>
      <c r="AA375" s="41"/>
      <c r="AK375" s="16"/>
      <c r="AL375" s="16"/>
      <c r="AM375" s="16"/>
      <c r="AN375" s="16"/>
      <c r="AO375" s="16"/>
      <c r="AP375" s="16"/>
      <c r="AQ375" s="16"/>
      <c r="AR375" s="16"/>
      <c r="AS375" s="16"/>
    </row>
    <row r="376" spans="1:45" s="7" customFormat="1" ht="195" customHeight="1">
      <c r="A376" s="27">
        <f>[1]트램표준체크리스트!A374</f>
        <v>372</v>
      </c>
      <c r="B376" s="28" t="str">
        <f>[1]트램표준체크리스트!B374</f>
        <v>토목구조</v>
      </c>
      <c r="C376" s="29" t="str">
        <f>[1]트램표준체크리스트!C374</f>
        <v>교량 기초계획</v>
      </c>
      <c r="D376" s="30" t="str">
        <f>[1]트램표준체크리스트!F374</f>
        <v>동적거동(공진 현상 등) 과소평가로 고속 통과 시 교량 과도 진동, 탈선 및 승차감 저하가 발생할 리스크를 검토하였는가?</v>
      </c>
      <c r="E376" s="31" t="s">
        <v>592</v>
      </c>
      <c r="F376" s="32" t="str">
        <f t="shared" si="11"/>
        <v>극상</v>
      </c>
      <c r="G376" s="63" t="s">
        <v>40</v>
      </c>
      <c r="H376" s="63" t="s">
        <v>41</v>
      </c>
      <c r="I376" s="34" t="s">
        <v>593</v>
      </c>
      <c r="J376" s="33"/>
      <c r="K376" s="35"/>
      <c r="L376" s="33"/>
      <c r="M376" s="36"/>
      <c r="N376" s="33"/>
      <c r="O376" s="36"/>
      <c r="P376" s="33"/>
      <c r="Q376" s="37"/>
      <c r="R376" s="38"/>
      <c r="S376" s="33"/>
      <c r="T376" s="38"/>
      <c r="U376" s="33"/>
      <c r="V376" s="39"/>
      <c r="W376" s="90" t="b">
        <v>0</v>
      </c>
      <c r="X376" s="90" t="b">
        <v>0</v>
      </c>
      <c r="Y376" s="90" t="b">
        <v>0</v>
      </c>
      <c r="Z376" s="40" t="s">
        <v>594</v>
      </c>
      <c r="AA376" s="41"/>
      <c r="AK376" s="16"/>
      <c r="AL376" s="16"/>
      <c r="AM376" s="16"/>
      <c r="AN376" s="16"/>
      <c r="AO376" s="16"/>
      <c r="AP376" s="16"/>
      <c r="AQ376" s="16"/>
      <c r="AR376" s="16"/>
      <c r="AS376" s="16"/>
    </row>
    <row r="377" spans="1:45" s="7" customFormat="1" ht="195" customHeight="1">
      <c r="A377" s="27">
        <f>[1]트램표준체크리스트!A375</f>
        <v>373</v>
      </c>
      <c r="B377" s="28" t="str">
        <f>[1]트램표준체크리스트!B375</f>
        <v>토목구조</v>
      </c>
      <c r="C377" s="29" t="str">
        <f>[1]트램표준체크리스트!C375</f>
        <v>교량 기초계획</v>
      </c>
      <c r="D377" s="30" t="str">
        <f>[1]트램표준체크리스트!F375</f>
        <v>트램 하중 과소평가로 보강 설계가 누락되거나 부적절한 보강 공법이 선정되어, 상판 처짐 및 내하력 부족이 발생할 리스크를 검토하였는가?</v>
      </c>
      <c r="E377" s="31" t="s">
        <v>595</v>
      </c>
      <c r="F377" s="32" t="str">
        <f t="shared" si="11"/>
        <v>극상</v>
      </c>
      <c r="G377" s="63" t="s">
        <v>40</v>
      </c>
      <c r="H377" s="63" t="s">
        <v>41</v>
      </c>
      <c r="I377" s="34" t="s">
        <v>596</v>
      </c>
      <c r="J377" s="33"/>
      <c r="K377" s="35"/>
      <c r="L377" s="33"/>
      <c r="M377" s="36"/>
      <c r="N377" s="33"/>
      <c r="O377" s="36"/>
      <c r="P377" s="33"/>
      <c r="Q377" s="37"/>
      <c r="R377" s="38"/>
      <c r="S377" s="33"/>
      <c r="T377" s="38"/>
      <c r="U377" s="33"/>
      <c r="V377" s="39"/>
      <c r="W377" s="90" t="b">
        <v>0</v>
      </c>
      <c r="X377" s="90" t="b">
        <v>0</v>
      </c>
      <c r="Y377" s="90" t="b">
        <v>0</v>
      </c>
      <c r="Z377" s="40" t="s">
        <v>597</v>
      </c>
      <c r="AA377" s="41"/>
      <c r="AK377" s="16"/>
      <c r="AL377" s="16"/>
      <c r="AM377" s="16"/>
      <c r="AN377" s="16"/>
      <c r="AO377" s="16"/>
      <c r="AP377" s="16"/>
      <c r="AQ377" s="16"/>
      <c r="AR377" s="16"/>
      <c r="AS377" s="16"/>
    </row>
    <row r="378" spans="1:45" s="7" customFormat="1" ht="195" customHeight="1">
      <c r="A378" s="27">
        <f>[1]트램표준체크리스트!A376</f>
        <v>374</v>
      </c>
      <c r="B378" s="28" t="str">
        <f>[1]트램표준체크리스트!B376</f>
        <v>토목구조</v>
      </c>
      <c r="C378" s="29" t="str">
        <f>[1]트램표준체크리스트!C376</f>
        <v>교량 기초계획</v>
      </c>
      <c r="D378" s="30" t="str">
        <f>[1]트램표준체크리스트!F376</f>
        <v>교량 하부 점검로 및 승강설비 누락·협소한 작업 공간 설계로, 시설물 정밀안전점검 및 교량받침 교체 등 필수 유지보수 작업이 불가능해질 리스크를 검토하였는가?</v>
      </c>
      <c r="E378" s="31" t="s">
        <v>598</v>
      </c>
      <c r="F378" s="32" t="str">
        <f t="shared" si="11"/>
        <v>극상</v>
      </c>
      <c r="G378" s="63" t="s">
        <v>40</v>
      </c>
      <c r="H378" s="63" t="s">
        <v>41</v>
      </c>
      <c r="I378" s="34" t="s">
        <v>599</v>
      </c>
      <c r="J378" s="33"/>
      <c r="K378" s="35"/>
      <c r="L378" s="33"/>
      <c r="M378" s="36"/>
      <c r="N378" s="33"/>
      <c r="O378" s="36"/>
      <c r="P378" s="33"/>
      <c r="Q378" s="37"/>
      <c r="R378" s="38"/>
      <c r="S378" s="33"/>
      <c r="T378" s="38"/>
      <c r="U378" s="33"/>
      <c r="V378" s="39"/>
      <c r="W378" s="90" t="b">
        <v>0</v>
      </c>
      <c r="X378" s="90" t="b">
        <v>0</v>
      </c>
      <c r="Y378" s="90" t="b">
        <v>0</v>
      </c>
      <c r="Z378" s="40" t="s">
        <v>600</v>
      </c>
      <c r="AA378" s="41"/>
      <c r="AK378" s="16"/>
      <c r="AL378" s="16"/>
      <c r="AM378" s="16"/>
      <c r="AN378" s="16"/>
      <c r="AO378" s="16"/>
      <c r="AP378" s="16"/>
      <c r="AQ378" s="16"/>
      <c r="AR378" s="16"/>
      <c r="AS378" s="16"/>
    </row>
    <row r="379" spans="1:45" s="7" customFormat="1" ht="195" customHeight="1">
      <c r="A379" s="27">
        <f>[1]트램표준체크리스트!A377</f>
        <v>375</v>
      </c>
      <c r="B379" s="28" t="str">
        <f>[1]트램표준체크리스트!B377</f>
        <v>토목구조</v>
      </c>
      <c r="C379" s="29" t="str">
        <f>[1]트램표준체크리스트!C377</f>
        <v>교량 기초계획</v>
      </c>
      <c r="D379" s="30" t="str">
        <f>[1]트램표준체크리스트!F377</f>
        <v>아스팔트 철거 후 도상콘크리트 단면 설계 시 전단 연결 보강 및 표면처리 상세가 누락되어, 트램 반복 제동에 의해 궤도 슬래브가 구조적으로 미끄러질 리스크를 검토하였는가?</v>
      </c>
      <c r="E379" s="31" t="s">
        <v>601</v>
      </c>
      <c r="F379" s="32" t="str">
        <f t="shared" si="11"/>
        <v>극상</v>
      </c>
      <c r="G379" s="63" t="s">
        <v>40</v>
      </c>
      <c r="H379" s="63" t="s">
        <v>41</v>
      </c>
      <c r="I379" s="34" t="s">
        <v>602</v>
      </c>
      <c r="J379" s="33"/>
      <c r="K379" s="35"/>
      <c r="L379" s="33"/>
      <c r="M379" s="36"/>
      <c r="N379" s="33"/>
      <c r="O379" s="36"/>
      <c r="P379" s="33"/>
      <c r="Q379" s="37"/>
      <c r="R379" s="38"/>
      <c r="S379" s="33"/>
      <c r="T379" s="38"/>
      <c r="U379" s="33"/>
      <c r="V379" s="39"/>
      <c r="W379" s="90" t="b">
        <v>0</v>
      </c>
      <c r="X379" s="90" t="b">
        <v>0</v>
      </c>
      <c r="Y379" s="90" t="b">
        <v>0</v>
      </c>
      <c r="Z379" s="40" t="s">
        <v>603</v>
      </c>
      <c r="AA379" s="41"/>
      <c r="AK379" s="16"/>
      <c r="AL379" s="16"/>
      <c r="AM379" s="16"/>
      <c r="AN379" s="16"/>
      <c r="AO379" s="16"/>
      <c r="AP379" s="16"/>
      <c r="AQ379" s="16"/>
      <c r="AR379" s="16"/>
      <c r="AS379" s="16"/>
    </row>
    <row r="380" spans="1:45" s="7" customFormat="1" ht="195" customHeight="1">
      <c r="A380" s="27">
        <f>[1]트램표준체크리스트!A378</f>
        <v>376</v>
      </c>
      <c r="B380" s="28" t="str">
        <f>[1]트램표준체크리스트!B378</f>
        <v>토목구조</v>
      </c>
      <c r="C380" s="29" t="str">
        <f>[1]트램표준체크리스트!C378</f>
        <v>교량 기초계획</v>
      </c>
      <c r="D380" s="30" t="str">
        <f>[1]트램표준체크리스트!F378</f>
        <v>계획홍수위·유속 과소평가로 가물막이가 낮게 설계되거나 가시설이 제방을 침범해 하천 단면적 축소 및 홍수 피해가 유발될 리스크를 검토하였는가?</v>
      </c>
      <c r="E380" s="31" t="s">
        <v>604</v>
      </c>
      <c r="F380" s="32" t="str">
        <f t="shared" si="11"/>
        <v>극상</v>
      </c>
      <c r="G380" s="63" t="s">
        <v>40</v>
      </c>
      <c r="H380" s="63" t="s">
        <v>41</v>
      </c>
      <c r="I380" s="34" t="s">
        <v>605</v>
      </c>
      <c r="J380" s="33"/>
      <c r="K380" s="35"/>
      <c r="L380" s="33"/>
      <c r="M380" s="36"/>
      <c r="N380" s="33"/>
      <c r="O380" s="36"/>
      <c r="P380" s="33"/>
      <c r="Q380" s="37"/>
      <c r="R380" s="38"/>
      <c r="S380" s="33"/>
      <c r="T380" s="38"/>
      <c r="U380" s="33"/>
      <c r="V380" s="39"/>
      <c r="W380" s="90" t="b">
        <v>0</v>
      </c>
      <c r="X380" s="90" t="b">
        <v>0</v>
      </c>
      <c r="Y380" s="90" t="b">
        <v>0</v>
      </c>
      <c r="Z380" s="40" t="s">
        <v>606</v>
      </c>
      <c r="AA380" s="41"/>
      <c r="AK380" s="16"/>
      <c r="AL380" s="16"/>
      <c r="AM380" s="16"/>
      <c r="AN380" s="16"/>
      <c r="AO380" s="16"/>
      <c r="AP380" s="16"/>
      <c r="AQ380" s="16"/>
      <c r="AR380" s="16"/>
      <c r="AS380" s="16"/>
    </row>
    <row r="381" spans="1:45" s="7" customFormat="1" ht="195" customHeight="1">
      <c r="A381" s="27">
        <f>[1]트램표준체크리스트!A379</f>
        <v>377</v>
      </c>
      <c r="B381" s="28" t="str">
        <f>[1]트램표준체크리스트!B379</f>
        <v>토목구조</v>
      </c>
      <c r="C381" s="29" t="str">
        <f>[1]트램표준체크리스트!C379</f>
        <v>교량 기초계획</v>
      </c>
      <c r="D381" s="30" t="str">
        <f>[1]트램표준체크리스트!F379</f>
        <v>TBI 해석 누락으로 극한 온도 변화 시 장대레일 좌굴 및 교량 받침부가 파괴될 리스크를 검토하였는가?</v>
      </c>
      <c r="E381" s="31" t="s">
        <v>607</v>
      </c>
      <c r="F381" s="32" t="str">
        <f t="shared" si="11"/>
        <v>극상</v>
      </c>
      <c r="G381" s="63" t="s">
        <v>40</v>
      </c>
      <c r="H381" s="63" t="s">
        <v>41</v>
      </c>
      <c r="I381" s="34" t="s">
        <v>608</v>
      </c>
      <c r="J381" s="33"/>
      <c r="K381" s="35"/>
      <c r="L381" s="33"/>
      <c r="M381" s="36"/>
      <c r="N381" s="33"/>
      <c r="O381" s="36"/>
      <c r="P381" s="33"/>
      <c r="Q381" s="37"/>
      <c r="R381" s="38"/>
      <c r="S381" s="33"/>
      <c r="T381" s="38"/>
      <c r="U381" s="33"/>
      <c r="V381" s="39"/>
      <c r="W381" s="90" t="b">
        <v>0</v>
      </c>
      <c r="X381" s="90" t="b">
        <v>0</v>
      </c>
      <c r="Y381" s="90" t="b">
        <v>0</v>
      </c>
      <c r="Z381" s="40" t="s">
        <v>609</v>
      </c>
      <c r="AA381" s="41"/>
      <c r="AK381" s="16"/>
      <c r="AL381" s="16"/>
      <c r="AM381" s="16"/>
      <c r="AN381" s="16"/>
      <c r="AO381" s="16"/>
      <c r="AP381" s="16"/>
      <c r="AQ381" s="16"/>
      <c r="AR381" s="16"/>
      <c r="AS381" s="16"/>
    </row>
    <row r="382" spans="1:45" s="7" customFormat="1" ht="195" customHeight="1">
      <c r="A382" s="27">
        <f>[1]트램표준체크리스트!A380</f>
        <v>378</v>
      </c>
      <c r="B382" s="28" t="str">
        <f>[1]트램표준체크리스트!B380</f>
        <v>토목구조</v>
      </c>
      <c r="C382" s="29" t="str">
        <f>[1]트램표준체크리스트!C380</f>
        <v>교량 기초계획</v>
      </c>
      <c r="D382" s="30" t="str">
        <f>[1]트램표준체크리스트!F380</f>
        <v>상호작용(TBI) 해석 누락으로 극한 온도 축력이 교량 하부구조물을 파괴하거나 레일을 좌굴시킬 리스크를 검토하였는가?</v>
      </c>
      <c r="E382" s="31" t="s">
        <v>610</v>
      </c>
      <c r="F382" s="32" t="str">
        <f t="shared" si="11"/>
        <v>극상</v>
      </c>
      <c r="G382" s="63" t="s">
        <v>40</v>
      </c>
      <c r="H382" s="63" t="s">
        <v>41</v>
      </c>
      <c r="I382" s="34" t="s">
        <v>611</v>
      </c>
      <c r="J382" s="33"/>
      <c r="K382" s="35"/>
      <c r="L382" s="33"/>
      <c r="M382" s="36"/>
      <c r="N382" s="33"/>
      <c r="O382" s="36"/>
      <c r="P382" s="33"/>
      <c r="Q382" s="37"/>
      <c r="R382" s="38"/>
      <c r="S382" s="33"/>
      <c r="T382" s="38"/>
      <c r="U382" s="33"/>
      <c r="V382" s="39"/>
      <c r="W382" s="90" t="b">
        <v>0</v>
      </c>
      <c r="X382" s="90" t="b">
        <v>0</v>
      </c>
      <c r="Y382" s="90" t="b">
        <v>0</v>
      </c>
      <c r="Z382" s="40" t="s">
        <v>612</v>
      </c>
      <c r="AA382" s="41"/>
      <c r="AK382" s="16"/>
      <c r="AL382" s="16"/>
      <c r="AM382" s="16"/>
      <c r="AN382" s="16"/>
      <c r="AO382" s="16"/>
      <c r="AP382" s="16"/>
      <c r="AQ382" s="16"/>
      <c r="AR382" s="16"/>
      <c r="AS382" s="16"/>
    </row>
    <row r="383" spans="1:45" s="7" customFormat="1" ht="195" customHeight="1">
      <c r="A383" s="27">
        <f>[1]트램표준체크리스트!A381</f>
        <v>379</v>
      </c>
      <c r="B383" s="28" t="str">
        <f>[1]트램표준체크리스트!B381</f>
        <v>토목구조</v>
      </c>
      <c r="C383" s="29" t="str">
        <f>[1]트램표준체크리스트!C381</f>
        <v>교량 기초계획</v>
      </c>
      <c r="D383" s="30" t="str">
        <f>[1]트램표준체크리스트!F381</f>
        <v>R.E.J 설치 공간 누락으로 상판 단부 철근과 R.E.J 장치 간 물리적 간섭이 발생할 리스크를 검토하였는가?</v>
      </c>
      <c r="E383" s="31" t="s">
        <v>613</v>
      </c>
      <c r="F383" s="32" t="str">
        <f t="shared" si="11"/>
        <v>극상</v>
      </c>
      <c r="G383" s="63" t="s">
        <v>40</v>
      </c>
      <c r="H383" s="63" t="s">
        <v>41</v>
      </c>
      <c r="I383" s="34" t="s">
        <v>614</v>
      </c>
      <c r="J383" s="33"/>
      <c r="K383" s="35"/>
      <c r="L383" s="33"/>
      <c r="M383" s="36"/>
      <c r="N383" s="33"/>
      <c r="O383" s="36"/>
      <c r="P383" s="33"/>
      <c r="Q383" s="37"/>
      <c r="R383" s="38"/>
      <c r="S383" s="33"/>
      <c r="T383" s="38"/>
      <c r="U383" s="33"/>
      <c r="V383" s="39"/>
      <c r="W383" s="90" t="b">
        <v>0</v>
      </c>
      <c r="X383" s="90" t="b">
        <v>0</v>
      </c>
      <c r="Y383" s="90" t="b">
        <v>0</v>
      </c>
      <c r="Z383" s="40" t="s">
        <v>615</v>
      </c>
      <c r="AA383" s="41"/>
      <c r="AK383" s="16"/>
      <c r="AL383" s="16"/>
      <c r="AM383" s="16"/>
      <c r="AN383" s="16"/>
      <c r="AO383" s="16"/>
      <c r="AP383" s="16"/>
      <c r="AQ383" s="16"/>
      <c r="AR383" s="16"/>
      <c r="AS383" s="16"/>
    </row>
    <row r="384" spans="1:45" s="7" customFormat="1" ht="195" customHeight="1">
      <c r="A384" s="27">
        <f>[1]트램표준체크리스트!A382</f>
        <v>380</v>
      </c>
      <c r="B384" s="28" t="str">
        <f>[1]트램표준체크리스트!B382</f>
        <v>토목구조</v>
      </c>
      <c r="C384" s="29" t="str">
        <f>[1]트램표준체크리스트!C382</f>
        <v>교량 기초계획</v>
      </c>
      <c r="D384" s="30" t="str">
        <f>[1]트램표준체크리스트!F382</f>
        <v>물 흐름 방해 교각 배치 및 형하고 부족 설계로, 세굴 침하 및 유지관리차량 통행이 단절될 리스크를 검토하였는가?</v>
      </c>
      <c r="E384" s="31" t="s">
        <v>616</v>
      </c>
      <c r="F384" s="32" t="str">
        <f t="shared" si="11"/>
        <v>극상</v>
      </c>
      <c r="G384" s="63" t="s">
        <v>40</v>
      </c>
      <c r="H384" s="63" t="s">
        <v>41</v>
      </c>
      <c r="I384" s="34" t="s">
        <v>617</v>
      </c>
      <c r="J384" s="33"/>
      <c r="K384" s="35"/>
      <c r="L384" s="33"/>
      <c r="M384" s="36"/>
      <c r="N384" s="33"/>
      <c r="O384" s="36"/>
      <c r="P384" s="33"/>
      <c r="Q384" s="37"/>
      <c r="R384" s="38"/>
      <c r="S384" s="33"/>
      <c r="T384" s="38"/>
      <c r="U384" s="33"/>
      <c r="V384" s="39"/>
      <c r="W384" s="90" t="b">
        <v>0</v>
      </c>
      <c r="X384" s="90" t="b">
        <v>0</v>
      </c>
      <c r="Y384" s="90" t="b">
        <v>0</v>
      </c>
      <c r="Z384" s="40" t="s">
        <v>618</v>
      </c>
      <c r="AA384" s="41"/>
      <c r="AK384" s="16"/>
      <c r="AL384" s="16"/>
      <c r="AM384" s="16"/>
      <c r="AN384" s="16"/>
      <c r="AO384" s="16"/>
      <c r="AP384" s="16"/>
      <c r="AQ384" s="16"/>
      <c r="AR384" s="16"/>
      <c r="AS384" s="16"/>
    </row>
    <row r="385" spans="1:45" s="7" customFormat="1" ht="195" customHeight="1">
      <c r="A385" s="27">
        <f>[1]트램표준체크리스트!A383</f>
        <v>381</v>
      </c>
      <c r="B385" s="28" t="str">
        <f>[1]트램표준체크리스트!B383</f>
        <v>토목구조</v>
      </c>
      <c r="C385" s="29" t="str">
        <f>[1]트램표준체크리스트!C383</f>
        <v>교량 기초계획</v>
      </c>
      <c r="D385" s="30" t="str">
        <f>[1]트램표준체크리스트!F383</f>
        <v>세굴심도·방지공 설계 누락 및 홍수기 고려 없는 무리한 공정으로 기초 터파기 구간이 유실될 리스크를 검토하였는가?</v>
      </c>
      <c r="E385" s="31" t="s">
        <v>619</v>
      </c>
      <c r="F385" s="32" t="str">
        <f t="shared" si="11"/>
        <v>극상</v>
      </c>
      <c r="G385" s="63" t="s">
        <v>40</v>
      </c>
      <c r="H385" s="63" t="s">
        <v>41</v>
      </c>
      <c r="I385" s="34" t="s">
        <v>620</v>
      </c>
      <c r="J385" s="33"/>
      <c r="K385" s="35"/>
      <c r="L385" s="33"/>
      <c r="M385" s="36"/>
      <c r="N385" s="33"/>
      <c r="O385" s="36"/>
      <c r="P385" s="33"/>
      <c r="Q385" s="37"/>
      <c r="R385" s="38"/>
      <c r="S385" s="33"/>
      <c r="T385" s="38"/>
      <c r="U385" s="33"/>
      <c r="V385" s="39"/>
      <c r="W385" s="90" t="b">
        <v>0</v>
      </c>
      <c r="X385" s="90" t="b">
        <v>0</v>
      </c>
      <c r="Y385" s="90" t="b">
        <v>0</v>
      </c>
      <c r="Z385" s="40" t="s">
        <v>621</v>
      </c>
      <c r="AA385" s="41"/>
      <c r="AK385" s="16"/>
      <c r="AL385" s="16"/>
      <c r="AM385" s="16"/>
      <c r="AN385" s="16"/>
      <c r="AO385" s="16"/>
      <c r="AP385" s="16"/>
      <c r="AQ385" s="16"/>
      <c r="AR385" s="16"/>
      <c r="AS385" s="16"/>
    </row>
    <row r="386" spans="1:45" s="7" customFormat="1" ht="195" customHeight="1">
      <c r="A386" s="27">
        <f>[1]트램표준체크리스트!A384</f>
        <v>382</v>
      </c>
      <c r="B386" s="28" t="str">
        <f>[1]트램표준체크리스트!B384</f>
        <v>토목구조</v>
      </c>
      <c r="C386" s="29" t="str">
        <f>[1]트램표준체크리스트!C384</f>
        <v>교량 기초계획</v>
      </c>
      <c r="D386" s="30" t="str">
        <f>[1]트램표준체크리스트!F384</f>
        <v>교면방수 설계 누락 및 교량 단부 처짐 과다 허용으로 상부 궤도 단차 발생 및 구조물 내구성이 저하될 리스크를 검토하였는가?</v>
      </c>
      <c r="E386" s="31" t="s">
        <v>622</v>
      </c>
      <c r="F386" s="32" t="str">
        <f t="shared" si="11"/>
        <v>극상</v>
      </c>
      <c r="G386" s="63" t="s">
        <v>40</v>
      </c>
      <c r="H386" s="63" t="s">
        <v>41</v>
      </c>
      <c r="I386" s="34" t="s">
        <v>623</v>
      </c>
      <c r="J386" s="33"/>
      <c r="K386" s="35"/>
      <c r="L386" s="33"/>
      <c r="M386" s="36"/>
      <c r="N386" s="33"/>
      <c r="O386" s="36"/>
      <c r="P386" s="33"/>
      <c r="Q386" s="37"/>
      <c r="R386" s="38"/>
      <c r="S386" s="33"/>
      <c r="T386" s="38"/>
      <c r="U386" s="33"/>
      <c r="V386" s="39"/>
      <c r="W386" s="90" t="b">
        <v>0</v>
      </c>
      <c r="X386" s="90" t="b">
        <v>0</v>
      </c>
      <c r="Y386" s="90" t="b">
        <v>0</v>
      </c>
      <c r="Z386" s="40" t="s">
        <v>624</v>
      </c>
      <c r="AA386" s="41"/>
      <c r="AK386" s="16"/>
      <c r="AL386" s="16"/>
      <c r="AM386" s="16"/>
      <c r="AN386" s="16"/>
      <c r="AO386" s="16"/>
      <c r="AP386" s="16"/>
      <c r="AQ386" s="16"/>
      <c r="AR386" s="16"/>
      <c r="AS386" s="16"/>
    </row>
    <row r="387" spans="1:45" s="7" customFormat="1" ht="195" customHeight="1">
      <c r="A387" s="27">
        <f>[1]트램표준체크리스트!A385</f>
        <v>383</v>
      </c>
      <c r="B387" s="28" t="str">
        <f>[1]트램표준체크리스트!B385</f>
        <v>토목구조</v>
      </c>
      <c r="C387" s="29" t="str">
        <f>[1]트램표준체크리스트!C385</f>
        <v>교량 기초계획</v>
      </c>
      <c r="D387" s="30" t="str">
        <f>[1]트램표준체크리스트!F385</f>
        <v>시스템 공동관로 및 배수시설 매립 단면 결손을 구조해석에 누락해 상판 내하력 저하 및 궤도 철근 배근 간섭이 발생할 리스크를 검토하였는가?</v>
      </c>
      <c r="E387" s="31" t="s">
        <v>625</v>
      </c>
      <c r="F387" s="32" t="str">
        <f t="shared" si="11"/>
        <v>극상</v>
      </c>
      <c r="G387" s="63" t="s">
        <v>40</v>
      </c>
      <c r="H387" s="63" t="s">
        <v>41</v>
      </c>
      <c r="I387" s="34" t="s">
        <v>626</v>
      </c>
      <c r="J387" s="33"/>
      <c r="K387" s="35"/>
      <c r="L387" s="33"/>
      <c r="M387" s="36"/>
      <c r="N387" s="33"/>
      <c r="O387" s="36"/>
      <c r="P387" s="33"/>
      <c r="Q387" s="37"/>
      <c r="R387" s="38"/>
      <c r="S387" s="33"/>
      <c r="T387" s="38"/>
      <c r="U387" s="33"/>
      <c r="V387" s="39"/>
      <c r="W387" s="90" t="b">
        <v>0</v>
      </c>
      <c r="X387" s="90" t="b">
        <v>0</v>
      </c>
      <c r="Y387" s="90" t="b">
        <v>0</v>
      </c>
      <c r="Z387" s="40" t="s">
        <v>627</v>
      </c>
      <c r="AA387" s="41"/>
      <c r="AK387" s="16"/>
      <c r="AL387" s="16"/>
      <c r="AM387" s="16"/>
      <c r="AN387" s="16"/>
      <c r="AO387" s="16"/>
      <c r="AP387" s="16"/>
      <c r="AQ387" s="16"/>
      <c r="AR387" s="16"/>
      <c r="AS387" s="16"/>
    </row>
    <row r="388" spans="1:45" s="7" customFormat="1" ht="195" customHeight="1">
      <c r="A388" s="27">
        <f>[1]트램표준체크리스트!A386</f>
        <v>384</v>
      </c>
      <c r="B388" s="28" t="str">
        <f>[1]트램표준체크리스트!B386</f>
        <v>토목구조</v>
      </c>
      <c r="C388" s="29" t="str">
        <f>[1]트램표준체크리스트!C386</f>
        <v>교량 기초계획</v>
      </c>
      <c r="D388" s="30" t="str">
        <f>[1]트램표준체크리스트!F386</f>
        <v>유심부 교각 양수표 설치 설계 누락으로 집중호우 시 수위 관측에 실패하여 방재 골든타임을 놓칠 리스크를 검토하였는가?</v>
      </c>
      <c r="E388" s="31" t="s">
        <v>628</v>
      </c>
      <c r="F388" s="32" t="str">
        <f t="shared" si="11"/>
        <v>극상</v>
      </c>
      <c r="G388" s="63" t="s">
        <v>40</v>
      </c>
      <c r="H388" s="63" t="s">
        <v>41</v>
      </c>
      <c r="I388" s="34" t="s">
        <v>629</v>
      </c>
      <c r="J388" s="33"/>
      <c r="K388" s="35"/>
      <c r="L388" s="33"/>
      <c r="M388" s="36"/>
      <c r="N388" s="33"/>
      <c r="O388" s="36"/>
      <c r="P388" s="33"/>
      <c r="Q388" s="37"/>
      <c r="R388" s="38"/>
      <c r="S388" s="33"/>
      <c r="T388" s="38"/>
      <c r="U388" s="33"/>
      <c r="V388" s="39"/>
      <c r="W388" s="90" t="b">
        <v>0</v>
      </c>
      <c r="X388" s="90" t="b">
        <v>0</v>
      </c>
      <c r="Y388" s="90" t="b">
        <v>0</v>
      </c>
      <c r="Z388" s="40" t="s">
        <v>630</v>
      </c>
      <c r="AA388" s="41"/>
      <c r="AK388" s="16"/>
      <c r="AL388" s="16"/>
      <c r="AM388" s="16"/>
      <c r="AN388" s="16"/>
      <c r="AO388" s="16"/>
      <c r="AP388" s="16"/>
      <c r="AQ388" s="16"/>
      <c r="AR388" s="16"/>
      <c r="AS388" s="16"/>
    </row>
    <row r="389" spans="1:45" s="7" customFormat="1" ht="195" customHeight="1">
      <c r="A389" s="27">
        <f>[1]트램표준체크리스트!A387</f>
        <v>385</v>
      </c>
      <c r="B389" s="28" t="str">
        <f>[1]트램표준체크리스트!B387</f>
        <v>토목구조</v>
      </c>
      <c r="C389" s="29" t="str">
        <f>[1]트램표준체크리스트!C387</f>
        <v>교량 기초계획</v>
      </c>
      <c r="D389" s="30" t="str">
        <f>[1]트램표준체크리스트!F387</f>
        <v>일률적 교각 설계로 도시 미관을 저해하고 하부 조명·환경개선 누락으로 도심 내 슬럼 공간이 조성될 리스크를 검토하였는가?</v>
      </c>
      <c r="E389" s="31" t="s">
        <v>631</v>
      </c>
      <c r="F389" s="32" t="str">
        <f t="shared" si="11"/>
        <v>극상</v>
      </c>
      <c r="G389" s="63" t="s">
        <v>40</v>
      </c>
      <c r="H389" s="63" t="s">
        <v>41</v>
      </c>
      <c r="I389" s="34" t="s">
        <v>632</v>
      </c>
      <c r="J389" s="33"/>
      <c r="K389" s="35"/>
      <c r="L389" s="33"/>
      <c r="M389" s="36"/>
      <c r="N389" s="33"/>
      <c r="O389" s="36"/>
      <c r="P389" s="33"/>
      <c r="Q389" s="37"/>
      <c r="R389" s="38"/>
      <c r="S389" s="33"/>
      <c r="T389" s="38"/>
      <c r="U389" s="33"/>
      <c r="V389" s="39"/>
      <c r="W389" s="90" t="b">
        <v>0</v>
      </c>
      <c r="X389" s="90" t="b">
        <v>0</v>
      </c>
      <c r="Y389" s="90" t="b">
        <v>0</v>
      </c>
      <c r="Z389" s="40" t="s">
        <v>633</v>
      </c>
      <c r="AA389" s="41"/>
      <c r="AK389" s="16"/>
      <c r="AL389" s="16"/>
      <c r="AM389" s="16"/>
      <c r="AN389" s="16"/>
      <c r="AO389" s="16"/>
      <c r="AP389" s="16"/>
      <c r="AQ389" s="16"/>
      <c r="AR389" s="16"/>
      <c r="AS389" s="16"/>
    </row>
    <row r="390" spans="1:45" s="7" customFormat="1" ht="195" customHeight="1">
      <c r="A390" s="27">
        <f>[1]트램표준체크리스트!A388</f>
        <v>386</v>
      </c>
      <c r="B390" s="28" t="str">
        <f>[1]트램표준체크리스트!B388</f>
        <v>토목구조</v>
      </c>
      <c r="C390" s="29" t="str">
        <f>[1]트램표준체크리스트!C388</f>
        <v>교량 기초계획</v>
      </c>
      <c r="D390" s="30" t="str">
        <f>[1]트램표준체크리스트!F388</f>
        <v>유심부 교각 양수표 설치 누락으로 집중호우 시 수위를 파악하지 못해 열차 통제 골든타임을 놓칠 리스크를 검토하였는가?</v>
      </c>
      <c r="E390" s="31" t="s">
        <v>634</v>
      </c>
      <c r="F390" s="32" t="str">
        <f>_xlfn.LET(
    _xlpm.v_발생, IF(ISNUMBER(SEARCH("빈번", G390)), "상",
               IF(ISNUMBER(SEARCH("거의", G390)), "하", "중")),
    _xlpm.v_영향, IF(ISNUMBER(SEARCH("1개월", H390)), "상",
               IF(ISNUMBER(SEARCH("없음", H390)), "하", "중")),
    IF(AND(_xlpm.v_발생="상", _xlpm.v_영향="상"), "극상",
    IF(OR(_xlpm.v_발생="상", _xlpm.v_영향="상"), "상",
    IF(AND(_xlpm.v_발생="하", _xlpm.v_영향="하"), "하",
    "중")))
)</f>
        <v>극상</v>
      </c>
      <c r="G390" s="63" t="s">
        <v>40</v>
      </c>
      <c r="H390" s="63" t="s">
        <v>41</v>
      </c>
      <c r="I390" s="34" t="s">
        <v>635</v>
      </c>
      <c r="J390" s="33"/>
      <c r="K390" s="35"/>
      <c r="L390" s="33"/>
      <c r="M390" s="36"/>
      <c r="N390" s="33"/>
      <c r="O390" s="36"/>
      <c r="P390" s="33"/>
      <c r="Q390" s="37"/>
      <c r="R390" s="38"/>
      <c r="S390" s="33"/>
      <c r="T390" s="38"/>
      <c r="U390" s="33"/>
      <c r="V390" s="39"/>
      <c r="W390" s="90" t="b">
        <v>0</v>
      </c>
      <c r="X390" s="90" t="b">
        <v>0</v>
      </c>
      <c r="Y390" s="90" t="b">
        <v>0</v>
      </c>
      <c r="Z390" s="40" t="s">
        <v>630</v>
      </c>
      <c r="AA390" s="41"/>
      <c r="AK390" s="16"/>
      <c r="AL390" s="16"/>
      <c r="AM390" s="16"/>
      <c r="AN390" s="16"/>
      <c r="AO390" s="16"/>
      <c r="AP390" s="16"/>
      <c r="AQ390" s="16"/>
      <c r="AR390" s="16"/>
      <c r="AS390" s="16"/>
    </row>
    <row r="391" spans="1:45" s="7" customFormat="1" ht="195" customHeight="1">
      <c r="A391" s="27">
        <f>[1]트램표준체크리스트!A389</f>
        <v>387</v>
      </c>
      <c r="B391" s="28" t="str">
        <f>[1]트램표준체크리스트!B389</f>
        <v>토목구조</v>
      </c>
      <c r="C391" s="29" t="str">
        <f>[1]트램표준체크리스트!C389</f>
        <v>교량 기초계획</v>
      </c>
      <c r="D391" s="30" t="str">
        <f>[1]트램표준체크리스트!F389</f>
        <v>상판 단부 꺾임(회전각) 검토 누락으로 열차 진출입 시 단차가 발생해 체결장치 파손 및 승차감 저하가 유발될 리스크를 검토하였는가?</v>
      </c>
      <c r="E391" s="31" t="s">
        <v>636</v>
      </c>
      <c r="F391" s="32" t="str">
        <f t="shared" ref="F391:F422" si="12">_xlfn.LET(
_xlpm.v_발생, IF(ISNUMBER(SEARCH("빈번", G391)), "상",
IF(ISNUMBER(SEARCH("거의", G391)), "하", "중")),
_xlpm.v_영향, IF(ISNUMBER(SEARCH("1개월", H391)), "상",
IF(ISNUMBER(SEARCH("없음", H391)), "하", "중")),
IF(AND(_xlpm.v_발생="상", _xlpm.v_영향="상"), "극상",
IF(OR(_xlpm.v_발생="상", _xlpm.v_영향="상"), "상",
IF(AND(_xlpm.v_발생="하", _xlpm.v_영향="하"), "하",
"중")))
)</f>
        <v>극상</v>
      </c>
      <c r="G391" s="63" t="s">
        <v>40</v>
      </c>
      <c r="H391" s="63" t="s">
        <v>41</v>
      </c>
      <c r="I391" s="34" t="s">
        <v>637</v>
      </c>
      <c r="J391" s="33"/>
      <c r="K391" s="35"/>
      <c r="L391" s="33"/>
      <c r="M391" s="36"/>
      <c r="N391" s="33"/>
      <c r="O391" s="36"/>
      <c r="P391" s="33"/>
      <c r="Q391" s="37"/>
      <c r="R391" s="38"/>
      <c r="S391" s="33"/>
      <c r="T391" s="38"/>
      <c r="U391" s="33"/>
      <c r="V391" s="39"/>
      <c r="W391" s="90" t="b">
        <v>0</v>
      </c>
      <c r="X391" s="90" t="b">
        <v>0</v>
      </c>
      <c r="Y391" s="90" t="b">
        <v>0</v>
      </c>
      <c r="Z391" s="40" t="s">
        <v>638</v>
      </c>
      <c r="AA391" s="41"/>
      <c r="AK391" s="16"/>
      <c r="AL391" s="16"/>
      <c r="AM391" s="16"/>
      <c r="AN391" s="16"/>
      <c r="AO391" s="16"/>
      <c r="AP391" s="16"/>
      <c r="AQ391" s="16"/>
      <c r="AR391" s="16"/>
      <c r="AS391" s="16"/>
    </row>
    <row r="392" spans="1:45" s="7" customFormat="1" ht="195" customHeight="1">
      <c r="A392" s="27">
        <f>[1]트램표준체크리스트!A390</f>
        <v>388</v>
      </c>
      <c r="B392" s="28" t="str">
        <f>[1]트램표준체크리스트!B390</f>
        <v>토목구조</v>
      </c>
      <c r="C392" s="29" t="str">
        <f>[1]트램표준체크리스트!C390</f>
        <v>교량 기초계획</v>
      </c>
      <c r="D392" s="30" t="str">
        <f>[1]트램표준체크리스트!F390</f>
        <v>이질기초(직접+말뚝) 혼용에 따른 지지력 차이로 부등침하가 발생해, 교량 상판·궤도에 심각한 굴곡(단차)이 유발될 리스크를 검토하였는가?</v>
      </c>
      <c r="E392" s="31" t="s">
        <v>639</v>
      </c>
      <c r="F392" s="32" t="str">
        <f t="shared" si="12"/>
        <v>극상</v>
      </c>
      <c r="G392" s="63" t="s">
        <v>40</v>
      </c>
      <c r="H392" s="63" t="s">
        <v>41</v>
      </c>
      <c r="I392" s="34" t="s">
        <v>640</v>
      </c>
      <c r="J392" s="33"/>
      <c r="K392" s="35"/>
      <c r="L392" s="33"/>
      <c r="M392" s="36"/>
      <c r="N392" s="33"/>
      <c r="O392" s="36"/>
      <c r="P392" s="33"/>
      <c r="Q392" s="37"/>
      <c r="R392" s="38"/>
      <c r="S392" s="33"/>
      <c r="T392" s="38"/>
      <c r="U392" s="33"/>
      <c r="V392" s="39"/>
      <c r="W392" s="90" t="b">
        <v>0</v>
      </c>
      <c r="X392" s="90" t="b">
        <v>0</v>
      </c>
      <c r="Y392" s="90" t="b">
        <v>0</v>
      </c>
      <c r="Z392" s="40" t="s">
        <v>641</v>
      </c>
      <c r="AA392" s="41"/>
      <c r="AK392" s="16"/>
      <c r="AL392" s="16"/>
      <c r="AM392" s="16"/>
      <c r="AN392" s="16"/>
      <c r="AO392" s="16"/>
      <c r="AP392" s="16"/>
      <c r="AQ392" s="16"/>
      <c r="AR392" s="16"/>
      <c r="AS392" s="16"/>
    </row>
    <row r="393" spans="1:45" s="7" customFormat="1" ht="195" customHeight="1">
      <c r="A393" s="27">
        <f>[1]트램표준체크리스트!A391</f>
        <v>389</v>
      </c>
      <c r="B393" s="28" t="str">
        <f>[1]트램표준체크리스트!B391</f>
        <v>토목구조</v>
      </c>
      <c r="C393" s="29" t="str">
        <f>[1]트램표준체크리스트!C391</f>
        <v>교량 기초계획</v>
      </c>
      <c r="D393" s="30" t="str">
        <f>[1]트램표준체크리스트!F391</f>
        <v>주면고정액 배합·주입량 과소 산정으로 공벽 붕괴·지하수 유입 시 고정액이 유실되어 말뚝 지지력이 상실될 리스크를 검토하였는가?</v>
      </c>
      <c r="E393" s="31" t="s">
        <v>642</v>
      </c>
      <c r="F393" s="32" t="str">
        <f t="shared" si="12"/>
        <v>극상</v>
      </c>
      <c r="G393" s="63" t="s">
        <v>40</v>
      </c>
      <c r="H393" s="63" t="s">
        <v>41</v>
      </c>
      <c r="I393" s="34" t="s">
        <v>643</v>
      </c>
      <c r="J393" s="33"/>
      <c r="K393" s="35"/>
      <c r="L393" s="33"/>
      <c r="M393" s="36"/>
      <c r="N393" s="33"/>
      <c r="O393" s="36"/>
      <c r="P393" s="33"/>
      <c r="Q393" s="37"/>
      <c r="R393" s="38"/>
      <c r="S393" s="33"/>
      <c r="T393" s="38"/>
      <c r="U393" s="33"/>
      <c r="V393" s="39"/>
      <c r="W393" s="90" t="b">
        <v>0</v>
      </c>
      <c r="X393" s="90" t="b">
        <v>0</v>
      </c>
      <c r="Y393" s="90" t="b">
        <v>0</v>
      </c>
      <c r="Z393" s="40" t="s">
        <v>644</v>
      </c>
      <c r="AA393" s="41"/>
      <c r="AK393" s="16"/>
      <c r="AL393" s="16"/>
      <c r="AM393" s="16"/>
      <c r="AN393" s="16"/>
      <c r="AO393" s="16"/>
      <c r="AP393" s="16"/>
      <c r="AQ393" s="16"/>
      <c r="AR393" s="16"/>
      <c r="AS393" s="16"/>
    </row>
    <row r="394" spans="1:45" s="7" customFormat="1" ht="195" customHeight="1">
      <c r="A394" s="27">
        <f>[1]트램표준체크리스트!A392</f>
        <v>390</v>
      </c>
      <c r="B394" s="28" t="str">
        <f>[1]트램표준체크리스트!B392</f>
        <v>토목구조</v>
      </c>
      <c r="C394" s="29" t="str">
        <f>[1]트램표준체크리스트!C392</f>
        <v>교량 기초계획</v>
      </c>
      <c r="D394" s="30" t="str">
        <f>[1]트램표준체크리스트!F392</f>
        <v>형하고 5.0m 미만 교량의 차량통과 한계틀 설계 누락으로, 과고 화물차가 충돌해 상판 및 궤도가 대파될 리스크를 검토하였는가?</v>
      </c>
      <c r="E394" s="31" t="s">
        <v>645</v>
      </c>
      <c r="F394" s="32" t="str">
        <f t="shared" si="12"/>
        <v>극상</v>
      </c>
      <c r="G394" s="63" t="s">
        <v>40</v>
      </c>
      <c r="H394" s="63" t="s">
        <v>41</v>
      </c>
      <c r="I394" s="34" t="s">
        <v>646</v>
      </c>
      <c r="J394" s="33"/>
      <c r="K394" s="35"/>
      <c r="L394" s="33"/>
      <c r="M394" s="36"/>
      <c r="N394" s="33"/>
      <c r="O394" s="36"/>
      <c r="P394" s="33"/>
      <c r="Q394" s="37"/>
      <c r="R394" s="38"/>
      <c r="S394" s="33"/>
      <c r="T394" s="38"/>
      <c r="U394" s="33"/>
      <c r="V394" s="39"/>
      <c r="W394" s="90" t="b">
        <v>0</v>
      </c>
      <c r="X394" s="90" t="b">
        <v>0</v>
      </c>
      <c r="Y394" s="90" t="b">
        <v>0</v>
      </c>
      <c r="Z394" s="40" t="s">
        <v>647</v>
      </c>
      <c r="AA394" s="41"/>
      <c r="AK394" s="16"/>
      <c r="AL394" s="16"/>
      <c r="AM394" s="16"/>
      <c r="AN394" s="16"/>
      <c r="AO394" s="16"/>
      <c r="AP394" s="16"/>
      <c r="AQ394" s="16"/>
      <c r="AR394" s="16"/>
      <c r="AS394" s="16"/>
    </row>
    <row r="395" spans="1:45" s="7" customFormat="1" ht="195" customHeight="1">
      <c r="A395" s="27">
        <f>[1]트램표준체크리스트!A393</f>
        <v>391</v>
      </c>
      <c r="B395" s="28" t="str">
        <f>[1]트램표준체크리스트!B393</f>
        <v>토목구조</v>
      </c>
      <c r="C395" s="29" t="str">
        <f>[1]트램표준체크리스트!C393</f>
        <v>교량 기초계획</v>
      </c>
      <c r="D395" s="30" t="str">
        <f>[1]트램표준체크리스트!F393</f>
        <v>지형·통행 간섭 미고려 설계로 크레인 진입 공간 부족 및 장기 도로 차단에 따른 극심한 민원이 유발될 리스크를 검토하였는가?</v>
      </c>
      <c r="E395" s="31" t="s">
        <v>648</v>
      </c>
      <c r="F395" s="32" t="str">
        <f t="shared" si="12"/>
        <v>극상</v>
      </c>
      <c r="G395" s="63" t="s">
        <v>40</v>
      </c>
      <c r="H395" s="63" t="s">
        <v>41</v>
      </c>
      <c r="I395" s="34" t="s">
        <v>649</v>
      </c>
      <c r="J395" s="33"/>
      <c r="K395" s="35"/>
      <c r="L395" s="33"/>
      <c r="M395" s="36"/>
      <c r="N395" s="33"/>
      <c r="O395" s="36"/>
      <c r="P395" s="33"/>
      <c r="Q395" s="37"/>
      <c r="R395" s="38"/>
      <c r="S395" s="33"/>
      <c r="T395" s="38"/>
      <c r="U395" s="33"/>
      <c r="V395" s="39"/>
      <c r="W395" s="90" t="b">
        <v>0</v>
      </c>
      <c r="X395" s="90" t="b">
        <v>0</v>
      </c>
      <c r="Y395" s="90" t="b">
        <v>0</v>
      </c>
      <c r="Z395" s="40" t="s">
        <v>650</v>
      </c>
      <c r="AA395" s="41"/>
      <c r="AK395" s="16"/>
      <c r="AL395" s="16"/>
      <c r="AM395" s="16"/>
      <c r="AN395" s="16"/>
      <c r="AO395" s="16"/>
      <c r="AP395" s="16"/>
      <c r="AQ395" s="16"/>
      <c r="AR395" s="16"/>
      <c r="AS395" s="16"/>
    </row>
    <row r="396" spans="1:45" s="7" customFormat="1" ht="195" customHeight="1">
      <c r="A396" s="27">
        <f>[1]트램표준체크리스트!A394</f>
        <v>392</v>
      </c>
      <c r="B396" s="28" t="str">
        <f>[1]트램표준체크리스트!B394</f>
        <v>토목구조</v>
      </c>
      <c r="C396" s="29" t="str">
        <f>[1]트램표준체크리스트!C394</f>
        <v>교량 기초계획</v>
      </c>
      <c r="D396" s="30" t="str">
        <f>[1]트램표준체크리스트!F394</f>
        <v>강상판 교량인 서부간선수로교 대도해부 도로포장 설계, 시공지침에 의거 고탄성 아스팔트 우레탄 사용해야 하나 내역에서 누락됨 리스크를 검토하였는가?</v>
      </c>
      <c r="E396" s="31" t="s">
        <v>651</v>
      </c>
      <c r="F396" s="32" t="str">
        <f t="shared" si="12"/>
        <v>극상</v>
      </c>
      <c r="G396" s="63" t="s">
        <v>40</v>
      </c>
      <c r="H396" s="63" t="s">
        <v>41</v>
      </c>
      <c r="I396" s="34" t="s">
        <v>652</v>
      </c>
      <c r="J396" s="33"/>
      <c r="K396" s="35"/>
      <c r="L396" s="33"/>
      <c r="M396" s="36"/>
      <c r="N396" s="33"/>
      <c r="O396" s="36"/>
      <c r="P396" s="33"/>
      <c r="Q396" s="37"/>
      <c r="R396" s="38"/>
      <c r="S396" s="33"/>
      <c r="T396" s="38"/>
      <c r="U396" s="33"/>
      <c r="V396" s="39"/>
      <c r="W396" s="90" t="b">
        <v>0</v>
      </c>
      <c r="X396" s="90" t="b">
        <v>0</v>
      </c>
      <c r="Y396" s="90" t="b">
        <v>0</v>
      </c>
      <c r="Z396" s="40" t="s">
        <v>653</v>
      </c>
      <c r="AA396" s="41"/>
      <c r="AK396" s="16"/>
      <c r="AL396" s="16"/>
      <c r="AM396" s="16"/>
      <c r="AN396" s="16"/>
      <c r="AO396" s="16"/>
      <c r="AP396" s="16"/>
      <c r="AQ396" s="16"/>
      <c r="AR396" s="16"/>
      <c r="AS396" s="16"/>
    </row>
    <row r="397" spans="1:45" s="7" customFormat="1" ht="195" customHeight="1">
      <c r="A397" s="27">
        <f>[1]트램표준체크리스트!A395</f>
        <v>393</v>
      </c>
      <c r="B397" s="28" t="str">
        <f>[1]트램표준체크리스트!B395</f>
        <v>토목구조</v>
      </c>
      <c r="C397" s="29" t="str">
        <f>[1]트램표준체크리스트!C395</f>
        <v>교량 종단 및 형하고 계획</v>
      </c>
      <c r="D397" s="30" t="str">
        <f>[1]트램표준체크리스트!F395</f>
        <v>제방 형하고(Clearance) 검토 누락으로 유지관리 차량 진입 불가 및 대형 차량 충돌 사고가 유발될 리스크를 검토하였는가?</v>
      </c>
      <c r="E397" s="31" t="s">
        <v>654</v>
      </c>
      <c r="F397" s="32" t="str">
        <f t="shared" si="12"/>
        <v>극상</v>
      </c>
      <c r="G397" s="63" t="s">
        <v>40</v>
      </c>
      <c r="H397" s="63" t="s">
        <v>41</v>
      </c>
      <c r="I397" s="34" t="s">
        <v>655</v>
      </c>
      <c r="J397" s="33"/>
      <c r="K397" s="35"/>
      <c r="L397" s="33"/>
      <c r="M397" s="36"/>
      <c r="N397" s="33"/>
      <c r="O397" s="36"/>
      <c r="P397" s="33"/>
      <c r="Q397" s="37"/>
      <c r="R397" s="38"/>
      <c r="S397" s="33"/>
      <c r="T397" s="38"/>
      <c r="U397" s="33"/>
      <c r="V397" s="39"/>
      <c r="W397" s="90" t="b">
        <v>0</v>
      </c>
      <c r="X397" s="90" t="b">
        <v>0</v>
      </c>
      <c r="Y397" s="90" t="b">
        <v>0</v>
      </c>
      <c r="Z397" s="40" t="s">
        <v>656</v>
      </c>
      <c r="AA397" s="41"/>
      <c r="AK397" s="16"/>
      <c r="AL397" s="16"/>
      <c r="AM397" s="16"/>
      <c r="AN397" s="16"/>
      <c r="AO397" s="16"/>
      <c r="AP397" s="16"/>
      <c r="AQ397" s="16"/>
      <c r="AR397" s="16"/>
      <c r="AS397" s="16"/>
    </row>
    <row r="398" spans="1:45" s="7" customFormat="1" ht="195" customHeight="1">
      <c r="A398" s="27">
        <f>[1]트램표준체크리스트!A396</f>
        <v>394</v>
      </c>
      <c r="B398" s="28" t="str">
        <f>[1]트램표준체크리스트!B396</f>
        <v>토목구조</v>
      </c>
      <c r="C398" s="29" t="str">
        <f>[1]트램표준체크리스트!C396</f>
        <v>교량 종단 및 형하고 계획</v>
      </c>
      <c r="D398" s="30" t="str">
        <f>[1]트램표준체크리스트!F396</f>
        <v>공사용 가도 건설로 사유지 협의 불가 및 작업이 지연됨 리스크를 검토하였는가?</v>
      </c>
      <c r="E398" s="31" t="s">
        <v>657</v>
      </c>
      <c r="F398" s="32" t="str">
        <f t="shared" si="12"/>
        <v>극상</v>
      </c>
      <c r="G398" s="63" t="s">
        <v>40</v>
      </c>
      <c r="H398" s="63" t="s">
        <v>41</v>
      </c>
      <c r="I398" s="34" t="s">
        <v>658</v>
      </c>
      <c r="J398" s="33"/>
      <c r="K398" s="35"/>
      <c r="L398" s="33"/>
      <c r="M398" s="36"/>
      <c r="N398" s="33"/>
      <c r="O398" s="36"/>
      <c r="P398" s="33"/>
      <c r="Q398" s="37"/>
      <c r="R398" s="38"/>
      <c r="S398" s="33"/>
      <c r="T398" s="38"/>
      <c r="U398" s="33"/>
      <c r="V398" s="39"/>
      <c r="W398" s="90" t="b">
        <v>0</v>
      </c>
      <c r="X398" s="90" t="b">
        <v>0</v>
      </c>
      <c r="Y398" s="90" t="b">
        <v>0</v>
      </c>
      <c r="Z398" s="40" t="s">
        <v>659</v>
      </c>
      <c r="AA398" s="41"/>
      <c r="AK398" s="16"/>
      <c r="AL398" s="16"/>
      <c r="AM398" s="16"/>
      <c r="AN398" s="16"/>
      <c r="AO398" s="16"/>
      <c r="AP398" s="16"/>
      <c r="AQ398" s="16"/>
      <c r="AR398" s="16"/>
      <c r="AS398" s="16"/>
    </row>
    <row r="399" spans="1:45" s="7" customFormat="1" ht="195" customHeight="1">
      <c r="A399" s="27">
        <f>[1]트램표준체크리스트!A397</f>
        <v>395</v>
      </c>
      <c r="B399" s="28" t="str">
        <f>[1]트램표준체크리스트!B397</f>
        <v>토목구조</v>
      </c>
      <c r="C399" s="29" t="str">
        <f>[1]트램표준체크리스트!C397</f>
        <v>구조물 내진계획</v>
      </c>
      <c r="D399" s="30" t="str">
        <f>[1]트램표준체크리스트!F397</f>
        <v>트램·지진 하중 동시 재하 해석 누락 및 내진 1등급 기준 미달 설계로, 대형 지진 시 구조물이 붕괴될 치명적 리스크를 검토하였는가?</v>
      </c>
      <c r="E399" s="31" t="s">
        <v>660</v>
      </c>
      <c r="F399" s="32" t="str">
        <f t="shared" si="12"/>
        <v>극상</v>
      </c>
      <c r="G399" s="63" t="s">
        <v>40</v>
      </c>
      <c r="H399" s="63" t="s">
        <v>41</v>
      </c>
      <c r="I399" s="34" t="s">
        <v>661</v>
      </c>
      <c r="J399" s="33"/>
      <c r="K399" s="35"/>
      <c r="L399" s="33"/>
      <c r="M399" s="36"/>
      <c r="N399" s="33"/>
      <c r="O399" s="36"/>
      <c r="P399" s="33"/>
      <c r="Q399" s="37"/>
      <c r="R399" s="38"/>
      <c r="S399" s="33"/>
      <c r="T399" s="38"/>
      <c r="U399" s="33"/>
      <c r="V399" s="39"/>
      <c r="W399" s="90" t="b">
        <v>0</v>
      </c>
      <c r="X399" s="90" t="b">
        <v>0</v>
      </c>
      <c r="Y399" s="90" t="b">
        <v>0</v>
      </c>
      <c r="Z399" s="40" t="s">
        <v>662</v>
      </c>
      <c r="AA399" s="41"/>
      <c r="AK399" s="16"/>
      <c r="AL399" s="16"/>
      <c r="AM399" s="16"/>
      <c r="AN399" s="16"/>
      <c r="AO399" s="16"/>
      <c r="AP399" s="16"/>
      <c r="AQ399" s="16"/>
      <c r="AR399" s="16"/>
      <c r="AS399" s="16"/>
    </row>
    <row r="400" spans="1:45" s="7" customFormat="1" ht="195" customHeight="1">
      <c r="A400" s="27">
        <f>[1]트램표준체크리스트!A398</f>
        <v>396</v>
      </c>
      <c r="B400" s="28" t="str">
        <f>[1]트램표준체크리스트!B398</f>
        <v>토목구조</v>
      </c>
      <c r="C400" s="29" t="str">
        <f>[1]트램표준체크리스트!C398</f>
        <v>구조물 내진계획</v>
      </c>
      <c r="D400" s="30" t="str">
        <f>[1]트램표준체크리스트!F398</f>
        <v>지진 동적 구조해석 및 내진장치(지진격리받침 등) 누락·과소 설계로 강진 시 트램 구조물 붕괴 및 궤도 이탈이 발생할 리스크를 검토하였는가?</v>
      </c>
      <c r="E400" s="31" t="s">
        <v>663</v>
      </c>
      <c r="F400" s="32" t="str">
        <f t="shared" si="12"/>
        <v>극상</v>
      </c>
      <c r="G400" s="63" t="s">
        <v>40</v>
      </c>
      <c r="H400" s="63" t="s">
        <v>41</v>
      </c>
      <c r="I400" s="34" t="s">
        <v>664</v>
      </c>
      <c r="J400" s="33"/>
      <c r="K400" s="35"/>
      <c r="L400" s="33"/>
      <c r="M400" s="36"/>
      <c r="N400" s="33"/>
      <c r="O400" s="36"/>
      <c r="P400" s="33"/>
      <c r="Q400" s="37"/>
      <c r="R400" s="38"/>
      <c r="S400" s="33"/>
      <c r="T400" s="38"/>
      <c r="U400" s="33"/>
      <c r="V400" s="39"/>
      <c r="W400" s="90" t="b">
        <v>0</v>
      </c>
      <c r="X400" s="90" t="b">
        <v>0</v>
      </c>
      <c r="Y400" s="90" t="b">
        <v>0</v>
      </c>
      <c r="Z400" s="40" t="s">
        <v>665</v>
      </c>
      <c r="AA400" s="41"/>
      <c r="AK400" s="16"/>
      <c r="AL400" s="16"/>
      <c r="AM400" s="16"/>
      <c r="AN400" s="16"/>
      <c r="AO400" s="16"/>
      <c r="AP400" s="16"/>
      <c r="AQ400" s="16"/>
      <c r="AR400" s="16"/>
      <c r="AS400" s="16"/>
    </row>
    <row r="401" spans="1:45" s="7" customFormat="1" ht="195" customHeight="1">
      <c r="A401" s="27">
        <f>[1]트램표준체크리스트!A399</f>
        <v>397</v>
      </c>
      <c r="B401" s="28" t="str">
        <f>[1]트램표준체크리스트!B399</f>
        <v>토목구조</v>
      </c>
      <c r="C401" s="29" t="str">
        <f>[1]트램표준체크리스트!C399</f>
        <v>구조물 내진계획</v>
      </c>
      <c r="D401" s="30" t="str">
        <f>[1]트램표준체크리스트!F399</f>
        <v>지진해석모델의 경계조건·질량 입력 오류로 고유주기·지진하중이 왜곡 산정되어 내진 성능이 과소·과다 설계될 리스크를 검토하였는가?</v>
      </c>
      <c r="E401" s="31" t="s">
        <v>666</v>
      </c>
      <c r="F401" s="32" t="str">
        <f t="shared" si="12"/>
        <v>극상</v>
      </c>
      <c r="G401" s="63" t="s">
        <v>40</v>
      </c>
      <c r="H401" s="63" t="s">
        <v>41</v>
      </c>
      <c r="I401" s="34" t="s">
        <v>667</v>
      </c>
      <c r="J401" s="33"/>
      <c r="K401" s="35"/>
      <c r="L401" s="33"/>
      <c r="M401" s="36"/>
      <c r="N401" s="33"/>
      <c r="O401" s="36"/>
      <c r="P401" s="33"/>
      <c r="Q401" s="37"/>
      <c r="R401" s="38"/>
      <c r="S401" s="33"/>
      <c r="T401" s="38"/>
      <c r="U401" s="33"/>
      <c r="V401" s="39"/>
      <c r="W401" s="90" t="b">
        <v>0</v>
      </c>
      <c r="X401" s="90" t="b">
        <v>0</v>
      </c>
      <c r="Y401" s="90" t="b">
        <v>0</v>
      </c>
      <c r="Z401" s="40" t="s">
        <v>668</v>
      </c>
      <c r="AA401" s="41"/>
      <c r="AK401" s="16"/>
      <c r="AL401" s="16"/>
      <c r="AM401" s="16"/>
      <c r="AN401" s="16"/>
      <c r="AO401" s="16"/>
      <c r="AP401" s="16"/>
      <c r="AQ401" s="16"/>
      <c r="AR401" s="16"/>
      <c r="AS401" s="16"/>
    </row>
    <row r="402" spans="1:45" s="7" customFormat="1" ht="195" customHeight="1">
      <c r="A402" s="27">
        <f>[1]트램표준체크리스트!A400</f>
        <v>398</v>
      </c>
      <c r="B402" s="28" t="str">
        <f>[1]트램표준체크리스트!B400</f>
        <v>토목구조</v>
      </c>
      <c r="C402" s="29" t="str">
        <f>[1]트램표준체크리스트!C400</f>
        <v>구조물 선형 및 좌표계 계획</v>
      </c>
      <c r="D402" s="30" t="str">
        <f>[1]트램표준체크리스트!F400</f>
        <v>Bessel 혼용 및 GRS-80 동기화 누락으로 도면상 구조물과 궤도 선형이 어긋나 시공 불가능해질 리스크를 검토하였는가?</v>
      </c>
      <c r="E402" s="31" t="s">
        <v>669</v>
      </c>
      <c r="F402" s="32" t="str">
        <f t="shared" si="12"/>
        <v>극상</v>
      </c>
      <c r="G402" s="63" t="s">
        <v>40</v>
      </c>
      <c r="H402" s="63" t="s">
        <v>41</v>
      </c>
      <c r="I402" s="34" t="s">
        <v>670</v>
      </c>
      <c r="J402" s="33"/>
      <c r="K402" s="35"/>
      <c r="L402" s="33"/>
      <c r="M402" s="36"/>
      <c r="N402" s="33"/>
      <c r="O402" s="36"/>
      <c r="P402" s="33"/>
      <c r="Q402" s="37"/>
      <c r="R402" s="38"/>
      <c r="S402" s="33"/>
      <c r="T402" s="38"/>
      <c r="U402" s="33"/>
      <c r="V402" s="39"/>
      <c r="W402" s="90" t="b">
        <v>0</v>
      </c>
      <c r="X402" s="90" t="b">
        <v>0</v>
      </c>
      <c r="Y402" s="90" t="b">
        <v>0</v>
      </c>
      <c r="Z402" s="40" t="s">
        <v>671</v>
      </c>
      <c r="AA402" s="41"/>
      <c r="AK402" s="16"/>
      <c r="AL402" s="16"/>
      <c r="AM402" s="16"/>
      <c r="AN402" s="16"/>
      <c r="AO402" s="16"/>
      <c r="AP402" s="16"/>
      <c r="AQ402" s="16"/>
      <c r="AR402" s="16"/>
      <c r="AS402" s="16"/>
    </row>
    <row r="403" spans="1:45" s="7" customFormat="1" ht="195" customHeight="1">
      <c r="A403" s="27">
        <f>[1]트램표준체크리스트!A401</f>
        <v>399</v>
      </c>
      <c r="B403" s="28" t="str">
        <f>[1]트램표준체크리스트!B401</f>
        <v>토목구조</v>
      </c>
      <c r="C403" s="29" t="str">
        <f>[1]트램표준체크리스트!C401</f>
        <v>구조물 선형 및 측량계획</v>
      </c>
      <c r="D403" s="30" t="str">
        <f>[1]트램표준체크리스트!F401</f>
        <v>현장 재측량 누락으로 실제 지형·인접 시설물과 치명적 위치 오차 및 이격거리 부족이 유발될 리스크를 검토하였는가?</v>
      </c>
      <c r="E403" s="31" t="s">
        <v>672</v>
      </c>
      <c r="F403" s="32" t="str">
        <f t="shared" si="12"/>
        <v>극상</v>
      </c>
      <c r="G403" s="63" t="s">
        <v>40</v>
      </c>
      <c r="H403" s="63" t="s">
        <v>41</v>
      </c>
      <c r="I403" s="34" t="s">
        <v>673</v>
      </c>
      <c r="J403" s="33"/>
      <c r="K403" s="35"/>
      <c r="L403" s="33"/>
      <c r="M403" s="36"/>
      <c r="N403" s="33"/>
      <c r="O403" s="36"/>
      <c r="P403" s="33"/>
      <c r="Q403" s="37"/>
      <c r="R403" s="38"/>
      <c r="S403" s="33"/>
      <c r="T403" s="38"/>
      <c r="U403" s="33"/>
      <c r="V403" s="39"/>
      <c r="W403" s="90" t="b">
        <v>0</v>
      </c>
      <c r="X403" s="90" t="b">
        <v>0</v>
      </c>
      <c r="Y403" s="90" t="b">
        <v>0</v>
      </c>
      <c r="Z403" s="40" t="s">
        <v>398</v>
      </c>
      <c r="AA403" s="41"/>
      <c r="AK403" s="16"/>
      <c r="AL403" s="16"/>
      <c r="AM403" s="16"/>
      <c r="AN403" s="16"/>
      <c r="AO403" s="16"/>
      <c r="AP403" s="16"/>
      <c r="AQ403" s="16"/>
      <c r="AR403" s="16"/>
      <c r="AS403" s="16"/>
    </row>
    <row r="404" spans="1:45" s="7" customFormat="1" ht="195" customHeight="1">
      <c r="A404" s="27">
        <f>[1]트램표준체크리스트!A402</f>
        <v>400</v>
      </c>
      <c r="B404" s="28" t="str">
        <f>[1]트램표준체크리스트!B402</f>
        <v>토목구조</v>
      </c>
      <c r="C404" s="29" t="str">
        <f>[1]트램표준체크리스트!C402</f>
        <v>구조물 스마트 안전관리</v>
      </c>
      <c r="D404" s="30" t="str">
        <f>[1]트램표준체크리스트!F402</f>
        <v>수동 계측 설계만 반영해 돌발 지반 변위 및 하중 증가 시 데이터 확인 지연으로 붕괴 골든타임을 놓칠 리스크를 검토하였는가?</v>
      </c>
      <c r="E404" s="31" t="s">
        <v>674</v>
      </c>
      <c r="F404" s="32" t="str">
        <f t="shared" si="12"/>
        <v>극상</v>
      </c>
      <c r="G404" s="63" t="s">
        <v>40</v>
      </c>
      <c r="H404" s="63" t="s">
        <v>41</v>
      </c>
      <c r="I404" s="34" t="s">
        <v>675</v>
      </c>
      <c r="J404" s="33"/>
      <c r="K404" s="35"/>
      <c r="L404" s="33"/>
      <c r="M404" s="36"/>
      <c r="N404" s="33"/>
      <c r="O404" s="36"/>
      <c r="P404" s="33"/>
      <c r="Q404" s="37"/>
      <c r="R404" s="38"/>
      <c r="S404" s="33"/>
      <c r="T404" s="38"/>
      <c r="U404" s="33"/>
      <c r="V404" s="39"/>
      <c r="W404" s="90" t="b">
        <v>0</v>
      </c>
      <c r="X404" s="90" t="b">
        <v>0</v>
      </c>
      <c r="Y404" s="90" t="b">
        <v>0</v>
      </c>
      <c r="Z404" s="40" t="s">
        <v>398</v>
      </c>
      <c r="AA404" s="41"/>
      <c r="AK404" s="16"/>
      <c r="AL404" s="16"/>
      <c r="AM404" s="16"/>
      <c r="AN404" s="16"/>
      <c r="AO404" s="16"/>
      <c r="AP404" s="16"/>
      <c r="AQ404" s="16"/>
      <c r="AR404" s="16"/>
      <c r="AS404" s="16"/>
    </row>
    <row r="405" spans="1:45" s="7" customFormat="1" ht="195" customHeight="1">
      <c r="A405" s="27">
        <f>[1]트램표준체크리스트!A403</f>
        <v>401</v>
      </c>
      <c r="B405" s="28" t="str">
        <f>[1]트램표준체크리스트!B403</f>
        <v>토목구조</v>
      </c>
      <c r="C405" s="29" t="str">
        <f>[1]트램표준체크리스트!C403</f>
        <v>구조물 터파기 방재계획</v>
      </c>
      <c r="D405" s="30" t="str">
        <f>[1]트램표준체크리스트!F403</f>
        <v>유도배수 및 강제 배수펌프(집수정) 계획 누락으로, 지하구간 누수 시 궤도 침수 및 전차선 단락사고가 발생할 리스크를 검토하였는가?</v>
      </c>
      <c r="E405" s="31" t="s">
        <v>676</v>
      </c>
      <c r="F405" s="32" t="str">
        <f t="shared" si="12"/>
        <v>극상</v>
      </c>
      <c r="G405" s="63" t="s">
        <v>40</v>
      </c>
      <c r="H405" s="63" t="s">
        <v>41</v>
      </c>
      <c r="I405" s="34" t="s">
        <v>677</v>
      </c>
      <c r="J405" s="33"/>
      <c r="K405" s="35"/>
      <c r="L405" s="33"/>
      <c r="M405" s="36"/>
      <c r="N405" s="33"/>
      <c r="O405" s="36"/>
      <c r="P405" s="33"/>
      <c r="Q405" s="37"/>
      <c r="R405" s="38"/>
      <c r="S405" s="33"/>
      <c r="T405" s="38"/>
      <c r="U405" s="33"/>
      <c r="V405" s="39"/>
      <c r="W405" s="90" t="b">
        <v>0</v>
      </c>
      <c r="X405" s="90" t="b">
        <v>0</v>
      </c>
      <c r="Y405" s="90" t="b">
        <v>0</v>
      </c>
      <c r="Z405" s="40" t="s">
        <v>678</v>
      </c>
      <c r="AA405" s="41"/>
      <c r="AK405" s="16"/>
      <c r="AL405" s="16"/>
      <c r="AM405" s="16"/>
      <c r="AN405" s="16"/>
      <c r="AO405" s="16"/>
      <c r="AP405" s="16"/>
      <c r="AQ405" s="16"/>
      <c r="AR405" s="16"/>
      <c r="AS405" s="16"/>
    </row>
    <row r="406" spans="1:45" s="7" customFormat="1" ht="195" customHeight="1">
      <c r="A406" s="27">
        <f>[1]트램표준체크리스트!A404</f>
        <v>402</v>
      </c>
      <c r="B406" s="28" t="str">
        <f>[1]트램표준체크리스트!B404</f>
        <v>토목구조</v>
      </c>
      <c r="C406" s="29" t="str">
        <f>[1]트램표준체크리스트!C404</f>
        <v>구조물 터파기 방재계획</v>
      </c>
      <c r="D406" s="30" t="str">
        <f>[1]트램표준체크리스트!F404</f>
        <v>일반 발파 일률 적용으로 허용 진동치를 초과하여 인접 건물 균열 및 공사 중지 가처분 민원이 발생할 리스크를 검토하였는가?</v>
      </c>
      <c r="E406" s="31" t="s">
        <v>679</v>
      </c>
      <c r="F406" s="32" t="str">
        <f t="shared" si="12"/>
        <v>극상</v>
      </c>
      <c r="G406" s="63" t="s">
        <v>40</v>
      </c>
      <c r="H406" s="63" t="s">
        <v>41</v>
      </c>
      <c r="I406" s="34" t="s">
        <v>680</v>
      </c>
      <c r="J406" s="33"/>
      <c r="K406" s="35"/>
      <c r="L406" s="33"/>
      <c r="M406" s="36"/>
      <c r="N406" s="33"/>
      <c r="O406" s="36"/>
      <c r="P406" s="33"/>
      <c r="Q406" s="37"/>
      <c r="R406" s="38"/>
      <c r="S406" s="33"/>
      <c r="T406" s="38"/>
      <c r="U406" s="33"/>
      <c r="V406" s="39"/>
      <c r="W406" s="90" t="b">
        <v>0</v>
      </c>
      <c r="X406" s="90" t="b">
        <v>0</v>
      </c>
      <c r="Y406" s="90" t="b">
        <v>0</v>
      </c>
      <c r="Z406" s="40" t="s">
        <v>681</v>
      </c>
      <c r="AA406" s="41"/>
      <c r="AK406" s="16"/>
      <c r="AL406" s="16"/>
      <c r="AM406" s="16"/>
      <c r="AN406" s="16"/>
      <c r="AO406" s="16"/>
      <c r="AP406" s="16"/>
      <c r="AQ406" s="16"/>
      <c r="AR406" s="16"/>
      <c r="AS406" s="16"/>
    </row>
    <row r="407" spans="1:45" s="7" customFormat="1" ht="195" customHeight="1">
      <c r="A407" s="27">
        <f>[1]트램표준체크리스트!A405</f>
        <v>403</v>
      </c>
      <c r="B407" s="28" t="str">
        <f>[1]트램표준체크리스트!B405</f>
        <v>토목구조</v>
      </c>
      <c r="C407" s="29" t="str">
        <f>[1]트램표준체크리스트!C405</f>
        <v>구조물 터파기 방재계획</v>
      </c>
      <c r="D407" s="30" t="str">
        <f>[1]트램표준체크리스트!F405</f>
        <v>집수정 제어반(MCC반) 기초 패드를 낮게 설계해 누수·침수 시 배수펌프가 수몰되어 시스템이 마비될 방재 리스크를 검토하였는가?</v>
      </c>
      <c r="E407" s="31" t="s">
        <v>682</v>
      </c>
      <c r="F407" s="32" t="str">
        <f t="shared" si="12"/>
        <v>극상</v>
      </c>
      <c r="G407" s="63" t="s">
        <v>40</v>
      </c>
      <c r="H407" s="63" t="s">
        <v>41</v>
      </c>
      <c r="I407" s="34" t="s">
        <v>683</v>
      </c>
      <c r="J407" s="33"/>
      <c r="K407" s="35"/>
      <c r="L407" s="33"/>
      <c r="M407" s="36"/>
      <c r="N407" s="33"/>
      <c r="O407" s="36"/>
      <c r="P407" s="33"/>
      <c r="Q407" s="37"/>
      <c r="R407" s="38"/>
      <c r="S407" s="33"/>
      <c r="T407" s="38"/>
      <c r="U407" s="33"/>
      <c r="V407" s="39"/>
      <c r="W407" s="90" t="b">
        <v>0</v>
      </c>
      <c r="X407" s="90" t="b">
        <v>0</v>
      </c>
      <c r="Y407" s="90" t="b">
        <v>0</v>
      </c>
      <c r="Z407" s="40" t="s">
        <v>684</v>
      </c>
      <c r="AA407" s="41"/>
      <c r="AK407" s="16"/>
      <c r="AL407" s="16"/>
      <c r="AM407" s="16"/>
      <c r="AN407" s="16"/>
      <c r="AO407" s="16"/>
      <c r="AP407" s="16"/>
      <c r="AQ407" s="16"/>
      <c r="AR407" s="16"/>
      <c r="AS407" s="16"/>
    </row>
    <row r="408" spans="1:45" s="7" customFormat="1" ht="195" customHeight="1">
      <c r="A408" s="27">
        <f>[1]트램표준체크리스트!A406</f>
        <v>404</v>
      </c>
      <c r="B408" s="28" t="str">
        <f>[1]트램표준체크리스트!B406</f>
        <v>토목구조</v>
      </c>
      <c r="C408" s="29" t="str">
        <f>[1]트램표준체크리스트!C406</f>
        <v>구조물 한계계획</v>
      </c>
      <c r="D408" s="30" t="str">
        <f>[1]트램표준체크리스트!F406</f>
        <v>곡선부에 편의량·캔트 미반영 및 직선부 폭원(3.1m) 일률 적용으로 차량한계를 침범할 치명적 리스크를 검토하였는가?</v>
      </c>
      <c r="E408" s="31" t="s">
        <v>685</v>
      </c>
      <c r="F408" s="32" t="str">
        <f t="shared" si="12"/>
        <v>극상</v>
      </c>
      <c r="G408" s="63" t="s">
        <v>40</v>
      </c>
      <c r="H408" s="63" t="s">
        <v>41</v>
      </c>
      <c r="I408" s="34" t="s">
        <v>686</v>
      </c>
      <c r="J408" s="33"/>
      <c r="K408" s="35"/>
      <c r="L408" s="33"/>
      <c r="M408" s="36"/>
      <c r="N408" s="33"/>
      <c r="O408" s="36"/>
      <c r="P408" s="33"/>
      <c r="Q408" s="37"/>
      <c r="R408" s="38"/>
      <c r="S408" s="33"/>
      <c r="T408" s="38"/>
      <c r="U408" s="33"/>
      <c r="V408" s="39"/>
      <c r="W408" s="90" t="b">
        <v>0</v>
      </c>
      <c r="X408" s="90" t="b">
        <v>0</v>
      </c>
      <c r="Y408" s="90" t="b">
        <v>0</v>
      </c>
      <c r="Z408" s="40" t="s">
        <v>469</v>
      </c>
      <c r="AA408" s="41"/>
      <c r="AK408" s="16"/>
      <c r="AL408" s="16"/>
      <c r="AM408" s="16"/>
      <c r="AN408" s="16"/>
      <c r="AO408" s="16"/>
      <c r="AP408" s="16"/>
      <c r="AQ408" s="16"/>
      <c r="AR408" s="16"/>
      <c r="AS408" s="16"/>
    </row>
    <row r="409" spans="1:45" s="7" customFormat="1" ht="195" customHeight="1">
      <c r="A409" s="27">
        <f>[1]트램표준체크리스트!A407</f>
        <v>405</v>
      </c>
      <c r="B409" s="28" t="str">
        <f>[1]트램표준체크리스트!B407</f>
        <v>토목구조</v>
      </c>
      <c r="C409" s="29" t="str">
        <f>[1]트램표준체크리스트!C407</f>
        <v>구조물 해석 및 상세계획</v>
      </c>
      <c r="D409" s="30" t="str">
        <f>[1]트램표준체크리스트!F407</f>
        <v>D-영역 정밀 해석 대신 일반 보 이론(B-영역)을 적용하여 응력 집중부에 사인장 균열 및 전단 파괴가 유발될 리스크를 검토하였는가?</v>
      </c>
      <c r="E409" s="31" t="s">
        <v>687</v>
      </c>
      <c r="F409" s="32" t="str">
        <f t="shared" si="12"/>
        <v>극상</v>
      </c>
      <c r="G409" s="63" t="s">
        <v>40</v>
      </c>
      <c r="H409" s="63" t="s">
        <v>41</v>
      </c>
      <c r="I409" s="34" t="s">
        <v>688</v>
      </c>
      <c r="J409" s="33"/>
      <c r="K409" s="35"/>
      <c r="L409" s="33"/>
      <c r="M409" s="36"/>
      <c r="N409" s="33"/>
      <c r="O409" s="36"/>
      <c r="P409" s="33"/>
      <c r="Q409" s="37"/>
      <c r="R409" s="38"/>
      <c r="S409" s="33"/>
      <c r="T409" s="38"/>
      <c r="U409" s="33"/>
      <c r="V409" s="39"/>
      <c r="W409" s="90" t="b">
        <v>0</v>
      </c>
      <c r="X409" s="90" t="b">
        <v>0</v>
      </c>
      <c r="Y409" s="90" t="b">
        <v>0</v>
      </c>
      <c r="Z409" s="40" t="s">
        <v>689</v>
      </c>
      <c r="AA409" s="41"/>
      <c r="AK409" s="16"/>
      <c r="AL409" s="16"/>
      <c r="AM409" s="16"/>
      <c r="AN409" s="16"/>
      <c r="AO409" s="16"/>
      <c r="AP409" s="16"/>
      <c r="AQ409" s="16"/>
      <c r="AR409" s="16"/>
      <c r="AS409" s="16"/>
    </row>
    <row r="410" spans="1:45" s="7" customFormat="1" ht="195" customHeight="1">
      <c r="A410" s="27">
        <f>[1]트램표준체크리스트!A408</f>
        <v>406</v>
      </c>
      <c r="B410" s="28" t="str">
        <f>[1]트램표준체크리스트!B408</f>
        <v>토목구조</v>
      </c>
      <c r="C410" s="29" t="str">
        <f>[1]트램표준체크리스트!C408</f>
        <v>구조물 해석계획</v>
      </c>
      <c r="D410" s="30" t="str">
        <f>[1]트램표준체크리스트!F408</f>
        <v>원 설계법 무시 및 타 설계법 임의 적용으로 잔존 내하력·응력비가 왜곡되어 불필요한 보강 예산 낭비 및 취약점이 간과될 리스크를 검토하였는가?</v>
      </c>
      <c r="E410" s="31" t="s">
        <v>690</v>
      </c>
      <c r="F410" s="32" t="str">
        <f t="shared" si="12"/>
        <v>극상</v>
      </c>
      <c r="G410" s="63" t="s">
        <v>40</v>
      </c>
      <c r="H410" s="63" t="s">
        <v>41</v>
      </c>
      <c r="I410" s="34" t="s">
        <v>691</v>
      </c>
      <c r="J410" s="33"/>
      <c r="K410" s="35"/>
      <c r="L410" s="33"/>
      <c r="M410" s="36"/>
      <c r="N410" s="33"/>
      <c r="O410" s="36"/>
      <c r="P410" s="33"/>
      <c r="Q410" s="37"/>
      <c r="R410" s="38"/>
      <c r="S410" s="33"/>
      <c r="T410" s="38"/>
      <c r="U410" s="33"/>
      <c r="V410" s="39"/>
      <c r="W410" s="90" t="b">
        <v>0</v>
      </c>
      <c r="X410" s="90" t="b">
        <v>0</v>
      </c>
      <c r="Y410" s="90" t="b">
        <v>0</v>
      </c>
      <c r="Z410" s="40" t="s">
        <v>692</v>
      </c>
      <c r="AA410" s="41"/>
      <c r="AK410" s="16"/>
      <c r="AL410" s="16"/>
      <c r="AM410" s="16"/>
      <c r="AN410" s="16"/>
      <c r="AO410" s="16"/>
      <c r="AP410" s="16"/>
      <c r="AQ410" s="16"/>
      <c r="AR410" s="16"/>
      <c r="AS410" s="16"/>
    </row>
    <row r="411" spans="1:45" s="7" customFormat="1" ht="195" customHeight="1">
      <c r="A411" s="27">
        <f>[1]트램표준체크리스트!A409</f>
        <v>407</v>
      </c>
      <c r="B411" s="28" t="str">
        <f>[1]트램표준체크리스트!B409</f>
        <v>토목구조</v>
      </c>
      <c r="C411" s="29" t="str">
        <f>[1]트램표준체크리스트!C409</f>
        <v>기존 구조물 보강 및 내하력 확보 계획</v>
      </c>
      <c r="D411" s="30" t="str">
        <f>[1]트램표준체크리스트!F409</f>
        <v>트램 하중 정밀 내하력 평가 및 부재 보강 설계(교량받침 교체 포함) 누락으로 개통 후 심각한 균열 및 처짐이 발생할 리스크를 검토하였는가?</v>
      </c>
      <c r="E411" s="31" t="s">
        <v>693</v>
      </c>
      <c r="F411" s="32" t="str">
        <f t="shared" si="12"/>
        <v>극상</v>
      </c>
      <c r="G411" s="63" t="s">
        <v>40</v>
      </c>
      <c r="H411" s="63" t="s">
        <v>41</v>
      </c>
      <c r="I411" s="34" t="s">
        <v>694</v>
      </c>
      <c r="J411" s="33"/>
      <c r="K411" s="35"/>
      <c r="L411" s="33"/>
      <c r="M411" s="36"/>
      <c r="N411" s="33"/>
      <c r="O411" s="36"/>
      <c r="P411" s="33"/>
      <c r="Q411" s="37"/>
      <c r="R411" s="38"/>
      <c r="S411" s="33"/>
      <c r="T411" s="38"/>
      <c r="U411" s="33"/>
      <c r="V411" s="39"/>
      <c r="W411" s="90" t="b">
        <v>0</v>
      </c>
      <c r="X411" s="90" t="b">
        <v>0</v>
      </c>
      <c r="Y411" s="90" t="b">
        <v>0</v>
      </c>
      <c r="Z411" s="40" t="s">
        <v>668</v>
      </c>
      <c r="AA411" s="41"/>
      <c r="AK411" s="16"/>
      <c r="AL411" s="16"/>
      <c r="AM411" s="16"/>
      <c r="AN411" s="16"/>
      <c r="AO411" s="16"/>
      <c r="AP411" s="16"/>
      <c r="AQ411" s="16"/>
      <c r="AR411" s="16"/>
      <c r="AS411" s="16"/>
    </row>
    <row r="412" spans="1:45" s="7" customFormat="1" ht="195" customHeight="1">
      <c r="A412" s="27">
        <f>[1]트램표준체크리스트!A410</f>
        <v>408</v>
      </c>
      <c r="B412" s="28" t="str">
        <f>[1]트램표준체크리스트!B410</f>
        <v>토목구조</v>
      </c>
      <c r="C412" s="29" t="str">
        <f>[1]트램표준체크리스트!C410</f>
        <v>기존 구조물 보강 및 내하력 확보 계획</v>
      </c>
      <c r="D412" s="30" t="str">
        <f>[1]트램표준체크리스트!F410</f>
        <v>콘크리트 포장용 골재가 순환골재로 설계되어 있으나, 콘크리트 포장에 대한 순환골재 품질기준을 만족하는 자재공급원이 없어, 순환골재를 혼합골재로 변경한 사례 리스크를 검토하였는가?</v>
      </c>
      <c r="E412" s="31" t="s">
        <v>695</v>
      </c>
      <c r="F412" s="32" t="str">
        <f t="shared" si="12"/>
        <v>극상</v>
      </c>
      <c r="G412" s="63" t="s">
        <v>40</v>
      </c>
      <c r="H412" s="63" t="s">
        <v>41</v>
      </c>
      <c r="I412" s="34" t="s">
        <v>696</v>
      </c>
      <c r="J412" s="33"/>
      <c r="K412" s="35"/>
      <c r="L412" s="33"/>
      <c r="M412" s="36"/>
      <c r="N412" s="33"/>
      <c r="O412" s="36"/>
      <c r="P412" s="33"/>
      <c r="Q412" s="37"/>
      <c r="R412" s="38"/>
      <c r="S412" s="33"/>
      <c r="T412" s="38"/>
      <c r="U412" s="33"/>
      <c r="V412" s="39"/>
      <c r="W412" s="90" t="b">
        <v>0</v>
      </c>
      <c r="X412" s="90" t="b">
        <v>0</v>
      </c>
      <c r="Y412" s="90" t="b">
        <v>0</v>
      </c>
      <c r="Z412" s="40" t="s">
        <v>671</v>
      </c>
      <c r="AA412" s="41"/>
      <c r="AK412" s="16"/>
      <c r="AL412" s="16"/>
      <c r="AM412" s="16"/>
      <c r="AN412" s="16"/>
      <c r="AO412" s="16"/>
      <c r="AP412" s="16"/>
      <c r="AQ412" s="16"/>
      <c r="AR412" s="16"/>
      <c r="AS412" s="16"/>
    </row>
    <row r="413" spans="1:45" s="7" customFormat="1" ht="195" customHeight="1">
      <c r="A413" s="27">
        <f>[1]트램표준체크리스트!A411</f>
        <v>409</v>
      </c>
      <c r="B413" s="28" t="str">
        <f>[1]트램표준체크리스트!B411</f>
        <v>토목구조</v>
      </c>
      <c r="C413" s="29" t="str">
        <f>[1]트램표준체크리스트!C411</f>
        <v>기존 구조물 보강 및 내하력 확보 계획</v>
      </c>
      <c r="D413" s="30" t="str">
        <f>[1]트램표준체크리스트!F411</f>
        <v>운영중인 동해남부선복선전철의 접속부 콘크리트 포장 시공시 기계포설로 설계 반영되었으나, 기존 가드레일로 인해 장비진입이 불가능하고 상하부 시설물 및 궤도 노반선에 센서 설치를 위해서는 기준 경사구간을 완만하게 하여 관계기관 협의가 불가능하였고, 이로인해 기계포설 대신 인력포설로 변경하여 콘크리트포장을 시공한 건 리스크를 검토하였는가?</v>
      </c>
      <c r="E413" s="31" t="s">
        <v>697</v>
      </c>
      <c r="F413" s="32" t="str">
        <f t="shared" si="12"/>
        <v>극상</v>
      </c>
      <c r="G413" s="63" t="s">
        <v>40</v>
      </c>
      <c r="H413" s="63" t="s">
        <v>41</v>
      </c>
      <c r="I413" s="34" t="s">
        <v>698</v>
      </c>
      <c r="J413" s="33"/>
      <c r="K413" s="35"/>
      <c r="L413" s="33"/>
      <c r="M413" s="36"/>
      <c r="N413" s="33"/>
      <c r="O413" s="36"/>
      <c r="P413" s="33"/>
      <c r="Q413" s="37"/>
      <c r="R413" s="38"/>
      <c r="S413" s="33"/>
      <c r="T413" s="38"/>
      <c r="U413" s="33"/>
      <c r="V413" s="39"/>
      <c r="W413" s="90" t="b">
        <v>0</v>
      </c>
      <c r="X413" s="90" t="b">
        <v>0</v>
      </c>
      <c r="Y413" s="90" t="b">
        <v>0</v>
      </c>
      <c r="Z413" s="40" t="s">
        <v>699</v>
      </c>
      <c r="AA413" s="41"/>
      <c r="AK413" s="16"/>
      <c r="AL413" s="16"/>
      <c r="AM413" s="16"/>
      <c r="AN413" s="16"/>
      <c r="AO413" s="16"/>
      <c r="AP413" s="16"/>
      <c r="AQ413" s="16"/>
      <c r="AR413" s="16"/>
      <c r="AS413" s="16"/>
    </row>
    <row r="414" spans="1:45" s="7" customFormat="1" ht="195" customHeight="1">
      <c r="A414" s="27">
        <f>[1]트램표준체크리스트!A412</f>
        <v>410</v>
      </c>
      <c r="B414" s="28" t="str">
        <f>[1]트램표준체크리스트!B412</f>
        <v>토목구조</v>
      </c>
      <c r="C414" s="29" t="str">
        <f>[1]트램표준체크리스트!C412</f>
        <v>기존 구조물 보강 및 내하력 확보 계획</v>
      </c>
      <c r="D414" s="30" t="str">
        <f>[1]트램표준체크리스트!F412</f>
        <v>우회로 선형(곡선)으로 인한 도로 가시성 불안 및 교통 저해가 발생 리스크를 검토하였는가?</v>
      </c>
      <c r="E414" s="31" t="s">
        <v>700</v>
      </c>
      <c r="F414" s="32" t="str">
        <f t="shared" si="12"/>
        <v>극상</v>
      </c>
      <c r="G414" s="63" t="s">
        <v>40</v>
      </c>
      <c r="H414" s="63" t="s">
        <v>41</v>
      </c>
      <c r="I414" s="34" t="s">
        <v>701</v>
      </c>
      <c r="J414" s="33"/>
      <c r="K414" s="35"/>
      <c r="L414" s="33"/>
      <c r="M414" s="36"/>
      <c r="N414" s="33"/>
      <c r="O414" s="36"/>
      <c r="P414" s="33"/>
      <c r="Q414" s="37"/>
      <c r="R414" s="38"/>
      <c r="S414" s="33"/>
      <c r="T414" s="38"/>
      <c r="U414" s="33"/>
      <c r="V414" s="39"/>
      <c r="W414" s="90" t="b">
        <v>0</v>
      </c>
      <c r="X414" s="90" t="b">
        <v>0</v>
      </c>
      <c r="Y414" s="90" t="b">
        <v>0</v>
      </c>
      <c r="Z414" s="40" t="s">
        <v>699</v>
      </c>
      <c r="AA414" s="41"/>
      <c r="AK414" s="16"/>
      <c r="AL414" s="16"/>
      <c r="AM414" s="16"/>
      <c r="AN414" s="16"/>
      <c r="AO414" s="16"/>
      <c r="AP414" s="16"/>
      <c r="AQ414" s="16"/>
      <c r="AR414" s="16"/>
      <c r="AS414" s="16"/>
    </row>
    <row r="415" spans="1:45" s="7" customFormat="1" ht="195" customHeight="1">
      <c r="A415" s="27">
        <f>[1]트램표준체크리스트!A413</f>
        <v>411</v>
      </c>
      <c r="B415" s="28" t="str">
        <f>[1]트램표준체크리스트!B413</f>
        <v>토목구조</v>
      </c>
      <c r="C415" s="29" t="str">
        <f>[1]트램표준체크리스트!C413</f>
        <v>기존 구조물 보강 및 내하력 확보 계획</v>
      </c>
      <c r="D415" s="30" t="str">
        <f>[1]트램표준체크리스트!F413</f>
        <v>장비접근시 우회로 인근의 교통관리계획에 확보되어 장비의 안전운전관리 미비, 장비의 안전 우려 해결방안이 운반에 반영될 및 톤급 이탈을 해소하기 위해 공사현장 내 도로반폭 및 지반보강을 가업구간에 추가로 설치 리스크를 검토하였는가?</v>
      </c>
      <c r="E415" s="31" t="s">
        <v>702</v>
      </c>
      <c r="F415" s="32" t="str">
        <f t="shared" si="12"/>
        <v>극상</v>
      </c>
      <c r="G415" s="63" t="s">
        <v>40</v>
      </c>
      <c r="H415" s="63" t="s">
        <v>41</v>
      </c>
      <c r="I415" s="34" t="s">
        <v>703</v>
      </c>
      <c r="J415" s="33"/>
      <c r="K415" s="35"/>
      <c r="L415" s="33"/>
      <c r="M415" s="36"/>
      <c r="N415" s="33"/>
      <c r="O415" s="36"/>
      <c r="P415" s="33"/>
      <c r="Q415" s="37"/>
      <c r="R415" s="38"/>
      <c r="S415" s="33"/>
      <c r="T415" s="38"/>
      <c r="U415" s="33"/>
      <c r="V415" s="39"/>
      <c r="W415" s="90" t="b">
        <v>0</v>
      </c>
      <c r="X415" s="90" t="b">
        <v>0</v>
      </c>
      <c r="Y415" s="90" t="b">
        <v>0</v>
      </c>
      <c r="Z415" s="40" t="s">
        <v>699</v>
      </c>
      <c r="AA415" s="41"/>
      <c r="AK415" s="16"/>
      <c r="AL415" s="16"/>
      <c r="AM415" s="16"/>
      <c r="AN415" s="16"/>
      <c r="AO415" s="16"/>
      <c r="AP415" s="16"/>
      <c r="AQ415" s="16"/>
      <c r="AR415" s="16"/>
      <c r="AS415" s="16"/>
    </row>
    <row r="416" spans="1:45" s="7" customFormat="1" ht="195" customHeight="1">
      <c r="A416" s="27">
        <f>[1]트램표준체크리스트!A414</f>
        <v>412</v>
      </c>
      <c r="B416" s="28" t="str">
        <f>[1]트램표준체크리스트!B414</f>
        <v>토목구조</v>
      </c>
      <c r="C416" s="29" t="str">
        <f>[1]트램표준체크리스트!C414</f>
        <v>기존 구조물 보강 및 내하력 확보 계획</v>
      </c>
      <c r="D416" s="30" t="str">
        <f>[1]트램표준체크리스트!F414</f>
        <v>휀스 간격 고정 지지 50m로 과다 설계 대비 35%내외 추가 발생 리스크를 검토하였는가?</v>
      </c>
      <c r="E416" s="31" t="s">
        <v>704</v>
      </c>
      <c r="F416" s="32" t="str">
        <f t="shared" si="12"/>
        <v>극상</v>
      </c>
      <c r="G416" s="63" t="s">
        <v>40</v>
      </c>
      <c r="H416" s="63" t="s">
        <v>41</v>
      </c>
      <c r="I416" s="34" t="s">
        <v>705</v>
      </c>
      <c r="J416" s="33"/>
      <c r="K416" s="35"/>
      <c r="L416" s="33"/>
      <c r="M416" s="36"/>
      <c r="N416" s="33"/>
      <c r="O416" s="36"/>
      <c r="P416" s="33"/>
      <c r="Q416" s="37"/>
      <c r="R416" s="38"/>
      <c r="S416" s="33"/>
      <c r="T416" s="38"/>
      <c r="U416" s="33"/>
      <c r="V416" s="39"/>
      <c r="W416" s="90" t="b">
        <v>0</v>
      </c>
      <c r="X416" s="90" t="b">
        <v>0</v>
      </c>
      <c r="Y416" s="90" t="b">
        <v>0</v>
      </c>
      <c r="Z416" s="40" t="s">
        <v>699</v>
      </c>
      <c r="AA416" s="41"/>
      <c r="AK416" s="16"/>
      <c r="AL416" s="16"/>
      <c r="AM416" s="16"/>
      <c r="AN416" s="16"/>
      <c r="AO416" s="16"/>
      <c r="AP416" s="16"/>
      <c r="AQ416" s="16"/>
      <c r="AR416" s="16"/>
      <c r="AS416" s="16"/>
    </row>
    <row r="417" spans="1:45" s="7" customFormat="1" ht="195" customHeight="1">
      <c r="A417" s="27">
        <f>[1]트램표준체크리스트!A415</f>
        <v>413</v>
      </c>
      <c r="B417" s="28" t="str">
        <f>[1]트램표준체크리스트!B415</f>
        <v>토목구조</v>
      </c>
      <c r="C417" s="29" t="str">
        <f>[1]트램표준체크리스트!C415</f>
        <v>기존 지하구조물 검토</v>
      </c>
      <c r="D417" s="30" t="str">
        <f>[1]트램표준체크리스트!F415</f>
        <v>하부슬래브 정모멘트 감소를 간과한 일률적 하중조합 적용으로 불필요한 과다 보강 설계 및 실제 취약부(상판/우각부) 검토가 누락될 리스크를 검토하였는가?</v>
      </c>
      <c r="E417" s="31" t="s">
        <v>706</v>
      </c>
      <c r="F417" s="32" t="str">
        <f t="shared" si="12"/>
        <v>극상</v>
      </c>
      <c r="G417" s="63" t="s">
        <v>40</v>
      </c>
      <c r="H417" s="63" t="s">
        <v>41</v>
      </c>
      <c r="I417" s="34" t="s">
        <v>707</v>
      </c>
      <c r="J417" s="33"/>
      <c r="K417" s="35"/>
      <c r="L417" s="33"/>
      <c r="M417" s="36"/>
      <c r="N417" s="33"/>
      <c r="O417" s="36"/>
      <c r="P417" s="33"/>
      <c r="Q417" s="37"/>
      <c r="R417" s="38"/>
      <c r="S417" s="33"/>
      <c r="T417" s="38"/>
      <c r="U417" s="33"/>
      <c r="V417" s="39"/>
      <c r="W417" s="90" t="b">
        <v>0</v>
      </c>
      <c r="X417" s="90" t="b">
        <v>0</v>
      </c>
      <c r="Y417" s="90" t="b">
        <v>0</v>
      </c>
      <c r="Z417" s="40" t="s">
        <v>699</v>
      </c>
      <c r="AA417" s="41"/>
      <c r="AK417" s="16"/>
      <c r="AL417" s="16"/>
      <c r="AM417" s="16"/>
      <c r="AN417" s="16"/>
      <c r="AO417" s="16"/>
      <c r="AP417" s="16"/>
      <c r="AQ417" s="16"/>
      <c r="AR417" s="16"/>
      <c r="AS417" s="16"/>
    </row>
    <row r="418" spans="1:45" s="7" customFormat="1" ht="195" customHeight="1">
      <c r="A418" s="27">
        <f>[1]트램표준체크리스트!A416</f>
        <v>414</v>
      </c>
      <c r="B418" s="28" t="str">
        <f>[1]트램표준체크리스트!B416</f>
        <v>토목구조</v>
      </c>
      <c r="C418" s="29" t="str">
        <f>[1]트램표준체크리스트!C416</f>
        <v>기존 지하구조물 검토</v>
      </c>
      <c r="D418" s="30" t="str">
        <f>[1]트램표준체크리스트!F416</f>
        <v>포장공 동상방지층 및 보조기층의 골재생산과 운반수량 산출시 적용한 도형환산계수가 오류인 사항임 (f=1/0.95 -&gt; 1.175/0.95) 리스크를 검토하였는가?</v>
      </c>
      <c r="E418" s="31" t="s">
        <v>708</v>
      </c>
      <c r="F418" s="32" t="str">
        <f t="shared" si="12"/>
        <v>극상</v>
      </c>
      <c r="G418" s="63" t="s">
        <v>40</v>
      </c>
      <c r="H418" s="63" t="s">
        <v>41</v>
      </c>
      <c r="I418" s="34" t="s">
        <v>709</v>
      </c>
      <c r="J418" s="33"/>
      <c r="K418" s="35"/>
      <c r="L418" s="33"/>
      <c r="M418" s="36"/>
      <c r="N418" s="33"/>
      <c r="O418" s="36"/>
      <c r="P418" s="33"/>
      <c r="Q418" s="37"/>
      <c r="R418" s="38"/>
      <c r="S418" s="33"/>
      <c r="T418" s="38"/>
      <c r="U418" s="33"/>
      <c r="V418" s="39"/>
      <c r="W418" s="90" t="b">
        <v>0</v>
      </c>
      <c r="X418" s="90" t="b">
        <v>0</v>
      </c>
      <c r="Y418" s="90" t="b">
        <v>0</v>
      </c>
      <c r="Z418" s="40" t="s">
        <v>699</v>
      </c>
      <c r="AA418" s="41"/>
      <c r="AK418" s="16"/>
      <c r="AL418" s="16"/>
      <c r="AM418" s="16"/>
      <c r="AN418" s="16"/>
      <c r="AO418" s="16"/>
      <c r="AP418" s="16"/>
      <c r="AQ418" s="16"/>
      <c r="AR418" s="16"/>
      <c r="AS418" s="16"/>
    </row>
    <row r="419" spans="1:45" s="7" customFormat="1" ht="195" customHeight="1">
      <c r="A419" s="27">
        <f>[1]트램표준체크리스트!A417</f>
        <v>415</v>
      </c>
      <c r="B419" s="28" t="str">
        <f>[1]트램표준체크리스트!B417</f>
        <v>토목구조</v>
      </c>
      <c r="C419" s="29" t="str">
        <f>[1]트램표준체크리스트!C417</f>
        <v>기존 지하구조물 검토</v>
      </c>
      <c r="D419" s="30" t="str">
        <f>[1]트램표준체크리스트!F417</f>
        <v>이천이 보호구역내 관로시공 시 점토차수벽 및 점토막음이 수량수립 내역에서 누락됨 리스크를 검토하였는가?</v>
      </c>
      <c r="E419" s="31" t="s">
        <v>710</v>
      </c>
      <c r="F419" s="32" t="str">
        <f t="shared" si="12"/>
        <v>극상</v>
      </c>
      <c r="G419" s="63" t="s">
        <v>40</v>
      </c>
      <c r="H419" s="63" t="s">
        <v>41</v>
      </c>
      <c r="I419" s="34" t="s">
        <v>711</v>
      </c>
      <c r="J419" s="33"/>
      <c r="K419" s="35"/>
      <c r="L419" s="33"/>
      <c r="M419" s="36"/>
      <c r="N419" s="33"/>
      <c r="O419" s="36"/>
      <c r="P419" s="33"/>
      <c r="Q419" s="37"/>
      <c r="R419" s="38"/>
      <c r="S419" s="33"/>
      <c r="T419" s="38"/>
      <c r="U419" s="33"/>
      <c r="V419" s="39"/>
      <c r="W419" s="90" t="b">
        <v>0</v>
      </c>
      <c r="X419" s="90" t="b">
        <v>0</v>
      </c>
      <c r="Y419" s="90" t="b">
        <v>0</v>
      </c>
      <c r="Z419" s="40" t="s">
        <v>699</v>
      </c>
      <c r="AA419" s="41"/>
      <c r="AK419" s="16"/>
      <c r="AL419" s="16"/>
      <c r="AM419" s="16"/>
      <c r="AN419" s="16"/>
      <c r="AO419" s="16"/>
      <c r="AP419" s="16"/>
      <c r="AQ419" s="16"/>
      <c r="AR419" s="16"/>
      <c r="AS419" s="16"/>
    </row>
    <row r="420" spans="1:45" s="7" customFormat="1" ht="195" customHeight="1">
      <c r="A420" s="27">
        <f>[1]트램표준체크리스트!A418</f>
        <v>416</v>
      </c>
      <c r="B420" s="28" t="str">
        <f>[1]트램표준체크리스트!B418</f>
        <v>토목구조</v>
      </c>
      <c r="C420" s="29" t="str">
        <f>[1]트램표준체크리스트!C418</f>
        <v>기존 지하구조물 검토</v>
      </c>
      <c r="D420" s="30" t="str">
        <f>[1]트램표준체크리스트!F418</f>
        <v>설계도면에 명시된 공사용 가도 중 일부분만 내역에 반영되어 있음으로 인해 추가비용 발생 리스크를 검토하였는가?</v>
      </c>
      <c r="E420" s="31" t="s">
        <v>712</v>
      </c>
      <c r="F420" s="32" t="str">
        <f t="shared" si="12"/>
        <v>극상</v>
      </c>
      <c r="G420" s="63" t="s">
        <v>40</v>
      </c>
      <c r="H420" s="63" t="s">
        <v>41</v>
      </c>
      <c r="I420" s="34" t="s">
        <v>713</v>
      </c>
      <c r="J420" s="33"/>
      <c r="K420" s="35"/>
      <c r="L420" s="33"/>
      <c r="M420" s="36"/>
      <c r="N420" s="33"/>
      <c r="O420" s="36"/>
      <c r="P420" s="33"/>
      <c r="Q420" s="37"/>
      <c r="R420" s="38"/>
      <c r="S420" s="33"/>
      <c r="T420" s="38"/>
      <c r="U420" s="33"/>
      <c r="V420" s="39"/>
      <c r="W420" s="90" t="b">
        <v>0</v>
      </c>
      <c r="X420" s="90" t="b">
        <v>0</v>
      </c>
      <c r="Y420" s="90" t="b">
        <v>0</v>
      </c>
      <c r="Z420" s="40" t="s">
        <v>699</v>
      </c>
      <c r="AA420" s="41"/>
      <c r="AK420" s="16"/>
      <c r="AL420" s="16"/>
      <c r="AM420" s="16"/>
      <c r="AN420" s="16"/>
      <c r="AO420" s="16"/>
      <c r="AP420" s="16"/>
      <c r="AQ420" s="16"/>
      <c r="AR420" s="16"/>
      <c r="AS420" s="16"/>
    </row>
    <row r="421" spans="1:45" s="7" customFormat="1" ht="195" customHeight="1">
      <c r="A421" s="27">
        <f>[1]트램표준체크리스트!A419</f>
        <v>417</v>
      </c>
      <c r="B421" s="28" t="str">
        <f>[1]트램표준체크리스트!B419</f>
        <v>토목구조</v>
      </c>
      <c r="C421" s="29" t="str">
        <f>[1]트램표준체크리스트!C419</f>
        <v>기존 지하구조물 검토</v>
      </c>
      <c r="D421" s="30" t="str">
        <f>[1]트램표준체크리스트!F419</f>
        <v>수량산출서상 아스팔트덧씌우기 포장구간은 포장폭 B=4.0m로 산출되어 있으나, 입찰안내서 시공지침에 의거하여 잔여폭 1m 이하인 구간까지 전폭 복구한 사례 리스크를 검토하였는가?</v>
      </c>
      <c r="E421" s="31" t="s">
        <v>714</v>
      </c>
      <c r="F421" s="32" t="str">
        <f t="shared" si="12"/>
        <v>극상</v>
      </c>
      <c r="G421" s="63" t="s">
        <v>40</v>
      </c>
      <c r="H421" s="63" t="s">
        <v>41</v>
      </c>
      <c r="I421" s="34" t="s">
        <v>715</v>
      </c>
      <c r="J421" s="33"/>
      <c r="K421" s="35"/>
      <c r="L421" s="33"/>
      <c r="M421" s="36"/>
      <c r="N421" s="33"/>
      <c r="O421" s="36"/>
      <c r="P421" s="33"/>
      <c r="Q421" s="37"/>
      <c r="R421" s="38"/>
      <c r="S421" s="33"/>
      <c r="T421" s="38"/>
      <c r="U421" s="33"/>
      <c r="V421" s="39"/>
      <c r="W421" s="90" t="b">
        <v>0</v>
      </c>
      <c r="X421" s="90" t="b">
        <v>0</v>
      </c>
      <c r="Y421" s="90" t="b">
        <v>0</v>
      </c>
      <c r="Z421" s="40" t="s">
        <v>699</v>
      </c>
      <c r="AA421" s="41"/>
      <c r="AK421" s="16"/>
      <c r="AL421" s="16"/>
      <c r="AM421" s="16"/>
      <c r="AN421" s="16"/>
      <c r="AO421" s="16"/>
      <c r="AP421" s="16"/>
      <c r="AQ421" s="16"/>
      <c r="AR421" s="16"/>
      <c r="AS421" s="16"/>
    </row>
    <row r="422" spans="1:45" s="7" customFormat="1" ht="195" customHeight="1">
      <c r="A422" s="27">
        <f>[1]트램표준체크리스트!A420</f>
        <v>418</v>
      </c>
      <c r="B422" s="28" t="str">
        <f>[1]트램표준체크리스트!B420</f>
        <v>토목구조</v>
      </c>
      <c r="C422" s="29" t="str">
        <f>[1]트램표준체크리스트!C420</f>
        <v>기존 지하구조물 검토</v>
      </c>
      <c r="D422" s="30" t="str">
        <f>[1]트램표준체크리스트!F420</f>
        <v>수로구간 수석블록포장(부직포제외)의 건축사용 제거 후 결속공사 시행시 기준 포장 철거 후 원상복구용 포장이 내역에 누락된 사례 리스크를 검토하였는가?</v>
      </c>
      <c r="E422" s="31" t="s">
        <v>716</v>
      </c>
      <c r="F422" s="32" t="str">
        <f t="shared" si="12"/>
        <v>극상</v>
      </c>
      <c r="G422" s="63" t="s">
        <v>40</v>
      </c>
      <c r="H422" s="63" t="s">
        <v>41</v>
      </c>
      <c r="I422" s="34" t="s">
        <v>717</v>
      </c>
      <c r="J422" s="33"/>
      <c r="K422" s="35"/>
      <c r="L422" s="33"/>
      <c r="M422" s="36"/>
      <c r="N422" s="33"/>
      <c r="O422" s="36"/>
      <c r="P422" s="33"/>
      <c r="Q422" s="37"/>
      <c r="R422" s="38"/>
      <c r="S422" s="33"/>
      <c r="T422" s="38"/>
      <c r="U422" s="33"/>
      <c r="V422" s="39"/>
      <c r="W422" s="90" t="b">
        <v>0</v>
      </c>
      <c r="X422" s="90" t="b">
        <v>0</v>
      </c>
      <c r="Y422" s="90" t="b">
        <v>0</v>
      </c>
      <c r="Z422" s="40" t="s">
        <v>699</v>
      </c>
      <c r="AA422" s="41"/>
      <c r="AK422" s="16"/>
      <c r="AL422" s="16"/>
      <c r="AM422" s="16"/>
      <c r="AN422" s="16"/>
      <c r="AO422" s="16"/>
      <c r="AP422" s="16"/>
      <c r="AQ422" s="16"/>
      <c r="AR422" s="16"/>
      <c r="AS422" s="16"/>
    </row>
    <row r="423" spans="1:45" s="7" customFormat="1" ht="195" customHeight="1">
      <c r="A423" s="27">
        <f>[1]트램표준체크리스트!A421</f>
        <v>419</v>
      </c>
      <c r="B423" s="28" t="str">
        <f>[1]트램표준체크리스트!B421</f>
        <v>토목구조</v>
      </c>
      <c r="C423" s="29" t="str">
        <f>[1]트램표준체크리스트!C421</f>
        <v>기존 지하구조물 검토</v>
      </c>
      <c r="D423" s="30" t="str">
        <f>[1]트램표준체크리스트!F421</f>
        <v>포장단면상세도에 의하면 요철포장(T=10cm)을 적용하였으나, 수량산출서에는 요철포장에 해당하지 않는 반사막질 수량이 누락된 건 리스크를 검토하였는가?</v>
      </c>
      <c r="E423" s="31" t="s">
        <v>718</v>
      </c>
      <c r="F423" s="32" t="str">
        <f t="shared" ref="F423:F453" si="13">_xlfn.LET(
_xlpm.v_발생, IF(ISNUMBER(SEARCH("빈번", G423)), "상",
IF(ISNUMBER(SEARCH("거의", G423)), "하", "중")),
_xlpm.v_영향, IF(ISNUMBER(SEARCH("1개월", H423)), "상",
IF(ISNUMBER(SEARCH("없음", H423)), "하", "중")),
IF(AND(_xlpm.v_발생="상", _xlpm.v_영향="상"), "극상",
IF(OR(_xlpm.v_발생="상", _xlpm.v_영향="상"), "상",
IF(AND(_xlpm.v_발생="하", _xlpm.v_영향="하"), "하",
"중")))
)</f>
        <v>극상</v>
      </c>
      <c r="G423" s="63" t="s">
        <v>40</v>
      </c>
      <c r="H423" s="63" t="s">
        <v>41</v>
      </c>
      <c r="I423" s="34" t="s">
        <v>719</v>
      </c>
      <c r="J423" s="33"/>
      <c r="K423" s="35"/>
      <c r="L423" s="33"/>
      <c r="M423" s="36"/>
      <c r="N423" s="33"/>
      <c r="O423" s="36"/>
      <c r="P423" s="33"/>
      <c r="Q423" s="37"/>
      <c r="R423" s="38"/>
      <c r="S423" s="33"/>
      <c r="T423" s="38"/>
      <c r="U423" s="33"/>
      <c r="V423" s="39"/>
      <c r="W423" s="90" t="b">
        <v>0</v>
      </c>
      <c r="X423" s="90" t="b">
        <v>0</v>
      </c>
      <c r="Y423" s="90" t="b">
        <v>0</v>
      </c>
      <c r="Z423" s="40" t="s">
        <v>699</v>
      </c>
      <c r="AA423" s="41"/>
      <c r="AK423" s="16"/>
      <c r="AL423" s="16"/>
      <c r="AM423" s="16"/>
      <c r="AN423" s="16"/>
      <c r="AO423" s="16"/>
      <c r="AP423" s="16"/>
      <c r="AQ423" s="16"/>
      <c r="AR423" s="16"/>
      <c r="AS423" s="16"/>
    </row>
    <row r="424" spans="1:45" s="7" customFormat="1" ht="195" customHeight="1">
      <c r="A424" s="27">
        <f>[1]트램표준체크리스트!A422</f>
        <v>420</v>
      </c>
      <c r="B424" s="28" t="str">
        <f>[1]트램표준체크리스트!B422</f>
        <v>토목구조</v>
      </c>
      <c r="C424" s="29" t="str">
        <f>[1]트램표준체크리스트!C422</f>
        <v>기존 지하구조물 검토</v>
      </c>
      <c r="D424" s="30" t="str">
        <f>[1]트램표준체크리스트!F422</f>
        <v>도로구역 내 배수 콘크리트 상부 포장은 두께 8cm, 폭 9m로 도시되어 있으나, 수량산출서 포장 TYPE-3(T=53cm), 폭 5m로 적용된 건 리스크를 검토하였는가?</v>
      </c>
      <c r="E424" s="31" t="s">
        <v>720</v>
      </c>
      <c r="F424" s="32" t="str">
        <f t="shared" si="13"/>
        <v>극상</v>
      </c>
      <c r="G424" s="63" t="s">
        <v>40</v>
      </c>
      <c r="H424" s="63" t="s">
        <v>41</v>
      </c>
      <c r="I424" s="34" t="s">
        <v>721</v>
      </c>
      <c r="J424" s="33"/>
      <c r="K424" s="35"/>
      <c r="L424" s="33"/>
      <c r="M424" s="36"/>
      <c r="N424" s="33"/>
      <c r="O424" s="36"/>
      <c r="P424" s="33"/>
      <c r="Q424" s="37"/>
      <c r="R424" s="38"/>
      <c r="S424" s="33"/>
      <c r="T424" s="38"/>
      <c r="U424" s="33"/>
      <c r="V424" s="39"/>
      <c r="W424" s="90" t="b">
        <v>0</v>
      </c>
      <c r="X424" s="90" t="b">
        <v>0</v>
      </c>
      <c r="Y424" s="90" t="b">
        <v>0</v>
      </c>
      <c r="Z424" s="40" t="s">
        <v>699</v>
      </c>
      <c r="AA424" s="41"/>
      <c r="AK424" s="16"/>
      <c r="AL424" s="16"/>
      <c r="AM424" s="16"/>
      <c r="AN424" s="16"/>
      <c r="AO424" s="16"/>
      <c r="AP424" s="16"/>
      <c r="AQ424" s="16"/>
      <c r="AR424" s="16"/>
      <c r="AS424" s="16"/>
    </row>
    <row r="425" spans="1:45" s="7" customFormat="1" ht="195" customHeight="1">
      <c r="A425" s="27">
        <f>[1]트램표준체크리스트!A423</f>
        <v>421</v>
      </c>
      <c r="B425" s="28" t="str">
        <f>[1]트램표준체크리스트!B423</f>
        <v>토목구조</v>
      </c>
      <c r="C425" s="29" t="str">
        <f>[1]트램표준체크리스트!C423</f>
        <v>기존 지하구조물 검토</v>
      </c>
      <c r="D425" s="30" t="str">
        <f>[1]트램표준체크리스트!F423</f>
        <v>통행제한 사항인 통행속도 제한(30개월) 규제에 의해 주민 통행 및 물류이송으로 주민피해위험의 조절과 대책 마련을 타겟으로 관련부서와 통보제출 완료 리스크를 검토하였는가?</v>
      </c>
      <c r="E425" s="31" t="s">
        <v>722</v>
      </c>
      <c r="F425" s="32" t="str">
        <f t="shared" si="13"/>
        <v>극상</v>
      </c>
      <c r="G425" s="63" t="s">
        <v>40</v>
      </c>
      <c r="H425" s="63" t="s">
        <v>41</v>
      </c>
      <c r="I425" s="34" t="s">
        <v>723</v>
      </c>
      <c r="J425" s="33"/>
      <c r="K425" s="35"/>
      <c r="L425" s="33"/>
      <c r="M425" s="36"/>
      <c r="N425" s="33"/>
      <c r="O425" s="36"/>
      <c r="P425" s="33"/>
      <c r="Q425" s="37"/>
      <c r="R425" s="38"/>
      <c r="S425" s="33"/>
      <c r="T425" s="38"/>
      <c r="U425" s="33"/>
      <c r="V425" s="39"/>
      <c r="W425" s="90" t="b">
        <v>0</v>
      </c>
      <c r="X425" s="90" t="b">
        <v>0</v>
      </c>
      <c r="Y425" s="90" t="b">
        <v>0</v>
      </c>
      <c r="Z425" s="40" t="s">
        <v>699</v>
      </c>
      <c r="AA425" s="41"/>
      <c r="AK425" s="16"/>
      <c r="AL425" s="16"/>
      <c r="AM425" s="16"/>
      <c r="AN425" s="16"/>
      <c r="AO425" s="16"/>
      <c r="AP425" s="16"/>
      <c r="AQ425" s="16"/>
      <c r="AR425" s="16"/>
      <c r="AS425" s="16"/>
    </row>
    <row r="426" spans="1:45" s="7" customFormat="1" ht="195" customHeight="1">
      <c r="A426" s="27">
        <f>[1]트램표준체크리스트!A424</f>
        <v>422</v>
      </c>
      <c r="B426" s="28" t="str">
        <f>[1]트램표준체크리스트!B424</f>
        <v>토목구조</v>
      </c>
      <c r="C426" s="29" t="str">
        <f>[1]트램표준체크리스트!C424</f>
        <v>기존 지하구조물 검토</v>
      </c>
      <c r="D426" s="30" t="str">
        <f>[1]트램표준체크리스트!F424</f>
        <v>실시설계 당시 도심도보, 구내차량 작업장 인접으로, 입주민 I/F 협의를 통해 도시개발 부지 임시사용 확정 리스크를 검토하였는가?</v>
      </c>
      <c r="E426" s="31" t="s">
        <v>724</v>
      </c>
      <c r="F426" s="32" t="str">
        <f t="shared" si="13"/>
        <v>극상</v>
      </c>
      <c r="G426" s="63" t="s">
        <v>40</v>
      </c>
      <c r="H426" s="63" t="s">
        <v>41</v>
      </c>
      <c r="I426" s="34" t="s">
        <v>725</v>
      </c>
      <c r="J426" s="33"/>
      <c r="K426" s="35"/>
      <c r="L426" s="33"/>
      <c r="M426" s="36"/>
      <c r="N426" s="33"/>
      <c r="O426" s="36"/>
      <c r="P426" s="33"/>
      <c r="Q426" s="37"/>
      <c r="R426" s="38"/>
      <c r="S426" s="33"/>
      <c r="T426" s="38"/>
      <c r="U426" s="33"/>
      <c r="V426" s="39"/>
      <c r="W426" s="90" t="b">
        <v>0</v>
      </c>
      <c r="X426" s="90" t="b">
        <v>0</v>
      </c>
      <c r="Y426" s="90" t="b">
        <v>0</v>
      </c>
      <c r="Z426" s="40" t="s">
        <v>699</v>
      </c>
      <c r="AA426" s="41"/>
      <c r="AK426" s="16"/>
      <c r="AL426" s="16"/>
      <c r="AM426" s="16"/>
      <c r="AN426" s="16"/>
      <c r="AO426" s="16"/>
      <c r="AP426" s="16"/>
      <c r="AQ426" s="16"/>
      <c r="AR426" s="16"/>
      <c r="AS426" s="16"/>
    </row>
    <row r="427" spans="1:45" s="7" customFormat="1" ht="195" customHeight="1">
      <c r="A427" s="27">
        <f>[1]트램표준체크리스트!A425</f>
        <v>423</v>
      </c>
      <c r="B427" s="28" t="str">
        <f>[1]트램표준체크리스트!B425</f>
        <v>토목구조</v>
      </c>
      <c r="C427" s="29" t="str">
        <f>[1]트램표준체크리스트!C425</f>
        <v>노면전차-일반도로 단차구간 방호 계획</v>
      </c>
      <c r="D427" s="30" t="str">
        <f>[1]트램표준체크리스트!F425</f>
        <v>도로가 노반보다 높은 단차 구간에 가드레일 설계를 누락해, 차량 추락 시 트램과 충돌할 대형 2차 재해 리스크를 검토하였는가?</v>
      </c>
      <c r="E427" s="31" t="s">
        <v>726</v>
      </c>
      <c r="F427" s="32" t="str">
        <f t="shared" si="13"/>
        <v>극상</v>
      </c>
      <c r="G427" s="63" t="s">
        <v>40</v>
      </c>
      <c r="H427" s="63" t="s">
        <v>41</v>
      </c>
      <c r="I427" s="34" t="s">
        <v>727</v>
      </c>
      <c r="J427" s="33"/>
      <c r="K427" s="35"/>
      <c r="L427" s="33"/>
      <c r="M427" s="36"/>
      <c r="N427" s="33"/>
      <c r="O427" s="36"/>
      <c r="P427" s="33"/>
      <c r="Q427" s="37"/>
      <c r="R427" s="38"/>
      <c r="S427" s="33"/>
      <c r="T427" s="38"/>
      <c r="U427" s="33"/>
      <c r="V427" s="39"/>
      <c r="W427" s="90" t="b">
        <v>0</v>
      </c>
      <c r="X427" s="90" t="b">
        <v>0</v>
      </c>
      <c r="Y427" s="90" t="b">
        <v>0</v>
      </c>
      <c r="Z427" s="40" t="s">
        <v>699</v>
      </c>
      <c r="AA427" s="41"/>
      <c r="AK427" s="16"/>
      <c r="AL427" s="16"/>
      <c r="AM427" s="16"/>
      <c r="AN427" s="16"/>
      <c r="AO427" s="16"/>
      <c r="AP427" s="16"/>
      <c r="AQ427" s="16"/>
      <c r="AR427" s="16"/>
      <c r="AS427" s="16"/>
    </row>
    <row r="428" spans="1:45" s="7" customFormat="1" ht="195" customHeight="1">
      <c r="A428" s="27">
        <f>[1]트램표준체크리스트!A426</f>
        <v>424</v>
      </c>
      <c r="B428" s="28" t="str">
        <f>[1]트램표준체크리스트!B426</f>
        <v>토목구조</v>
      </c>
      <c r="C428" s="29" t="str">
        <f>[1]트램표준체크리스트!C426</f>
        <v>도로 근접/하부 횡단 지하구조물 계획</v>
      </c>
      <c r="D428" s="30" t="str">
        <f>[1]트램표준체크리스트!F426</f>
        <v>가시설 설계 시 우회 교통을 고려한 복공판 피로 하중 및 추락 방지 가설 난간 등 안전대책 누락으로 대형 교통사고가 유발될 리스크를 검토하였는가?</v>
      </c>
      <c r="E428" s="31" t="s">
        <v>728</v>
      </c>
      <c r="F428" s="32" t="str">
        <f t="shared" si="13"/>
        <v>극상</v>
      </c>
      <c r="G428" s="63" t="s">
        <v>40</v>
      </c>
      <c r="H428" s="63" t="s">
        <v>41</v>
      </c>
      <c r="I428" s="34" t="s">
        <v>729</v>
      </c>
      <c r="J428" s="33"/>
      <c r="K428" s="35"/>
      <c r="L428" s="33"/>
      <c r="M428" s="36"/>
      <c r="N428" s="33"/>
      <c r="O428" s="36"/>
      <c r="P428" s="33"/>
      <c r="Q428" s="37"/>
      <c r="R428" s="38"/>
      <c r="S428" s="33"/>
      <c r="T428" s="38"/>
      <c r="U428" s="33"/>
      <c r="V428" s="39"/>
      <c r="W428" s="90" t="b">
        <v>0</v>
      </c>
      <c r="X428" s="90" t="b">
        <v>0</v>
      </c>
      <c r="Y428" s="90" t="b">
        <v>0</v>
      </c>
      <c r="Z428" s="40" t="s">
        <v>699</v>
      </c>
      <c r="AA428" s="41"/>
      <c r="AK428" s="16"/>
      <c r="AL428" s="16"/>
      <c r="AM428" s="16"/>
      <c r="AN428" s="16"/>
      <c r="AO428" s="16"/>
      <c r="AP428" s="16"/>
      <c r="AQ428" s="16"/>
      <c r="AR428" s="16"/>
      <c r="AS428" s="16"/>
    </row>
    <row r="429" spans="1:45" s="7" customFormat="1" ht="195" customHeight="1">
      <c r="A429" s="27">
        <f>[1]트램표준체크리스트!A427</f>
        <v>425</v>
      </c>
      <c r="B429" s="28" t="str">
        <f>[1]트램표준체크리스트!B427</f>
        <v>토목구조</v>
      </c>
      <c r="C429" s="29" t="str">
        <f>[1]트램표준체크리스트!C427</f>
        <v>도로 근접/하부 횡단 지하구조물 계획</v>
      </c>
      <c r="D429" s="30" t="str">
        <f>[1]트램표준체크리스트!F427</f>
        <v>도로교통 자전거 노면전차 전용도로 진입금지 표시 반영 리스크를 검토하였는가?</v>
      </c>
      <c r="E429" s="31" t="s">
        <v>730</v>
      </c>
      <c r="F429" s="32" t="str">
        <f t="shared" si="13"/>
        <v>극상</v>
      </c>
      <c r="G429" s="63" t="s">
        <v>40</v>
      </c>
      <c r="H429" s="63" t="s">
        <v>41</v>
      </c>
      <c r="I429" s="34" t="s">
        <v>731</v>
      </c>
      <c r="J429" s="33"/>
      <c r="K429" s="35"/>
      <c r="L429" s="33"/>
      <c r="M429" s="36"/>
      <c r="N429" s="33"/>
      <c r="O429" s="36"/>
      <c r="P429" s="33"/>
      <c r="Q429" s="37"/>
      <c r="R429" s="38"/>
      <c r="S429" s="33"/>
      <c r="T429" s="38"/>
      <c r="U429" s="33"/>
      <c r="V429" s="39"/>
      <c r="W429" s="90" t="b">
        <v>0</v>
      </c>
      <c r="X429" s="90" t="b">
        <v>0</v>
      </c>
      <c r="Y429" s="90" t="b">
        <v>0</v>
      </c>
      <c r="Z429" s="40" t="s">
        <v>699</v>
      </c>
      <c r="AA429" s="41"/>
      <c r="AK429" s="16"/>
      <c r="AL429" s="16"/>
      <c r="AM429" s="16"/>
      <c r="AN429" s="16"/>
      <c r="AO429" s="16"/>
      <c r="AP429" s="16"/>
      <c r="AQ429" s="16"/>
      <c r="AR429" s="16"/>
      <c r="AS429" s="16"/>
    </row>
    <row r="430" spans="1:45" s="7" customFormat="1" ht="195" customHeight="1">
      <c r="A430" s="27">
        <f>[1]트램표준체크리스트!A428</f>
        <v>426</v>
      </c>
      <c r="B430" s="28" t="str">
        <f>[1]트램표준체크리스트!B428</f>
        <v>토목구조</v>
      </c>
      <c r="C430" s="29" t="str">
        <f>[1]트램표준체크리스트!C428</f>
        <v>도로 근접/하부 횡단 지하구조물 계획</v>
      </c>
      <c r="D430" s="30" t="str">
        <f>[1]트램표준체크리스트!F428</f>
        <v>서울시 버스승강장 이설 대안공사 수행시 유관기관(서울시 버스정책과, 각 지자체 대중교통과) 의견을 통해 공기지연 방지 및 대중교통 이용자 불편 최소화 리스크를 검토하였는가?</v>
      </c>
      <c r="E430" s="31" t="s">
        <v>732</v>
      </c>
      <c r="F430" s="32" t="str">
        <f t="shared" si="13"/>
        <v>극상</v>
      </c>
      <c r="G430" s="63" t="s">
        <v>40</v>
      </c>
      <c r="H430" s="63" t="s">
        <v>41</v>
      </c>
      <c r="I430" s="34" t="s">
        <v>733</v>
      </c>
      <c r="J430" s="33"/>
      <c r="K430" s="35"/>
      <c r="L430" s="33"/>
      <c r="M430" s="36"/>
      <c r="N430" s="33"/>
      <c r="O430" s="36"/>
      <c r="P430" s="33"/>
      <c r="Q430" s="37"/>
      <c r="R430" s="38"/>
      <c r="S430" s="33"/>
      <c r="T430" s="38"/>
      <c r="U430" s="33"/>
      <c r="V430" s="39"/>
      <c r="W430" s="90" t="b">
        <v>0</v>
      </c>
      <c r="X430" s="90" t="b">
        <v>0</v>
      </c>
      <c r="Y430" s="90" t="b">
        <v>0</v>
      </c>
      <c r="Z430" s="40" t="s">
        <v>699</v>
      </c>
      <c r="AA430" s="41"/>
      <c r="AK430" s="16"/>
      <c r="AL430" s="16"/>
      <c r="AM430" s="16"/>
      <c r="AN430" s="16"/>
      <c r="AO430" s="16"/>
      <c r="AP430" s="16"/>
      <c r="AQ430" s="16"/>
      <c r="AR430" s="16"/>
      <c r="AS430" s="16"/>
    </row>
    <row r="431" spans="1:45" s="7" customFormat="1" ht="195" customHeight="1">
      <c r="A431" s="27">
        <f>[1]트램표준체크리스트!A429</f>
        <v>427</v>
      </c>
      <c r="B431" s="28" t="str">
        <f>[1]트램표준체크리스트!B429</f>
        <v>토목구조</v>
      </c>
      <c r="C431" s="29" t="str">
        <f>[1]트램표준체크리스트!C429</f>
        <v>도심지 가시설 및 굴착계획</v>
      </c>
      <c r="D431" s="30" t="str">
        <f>[1]트램표준체크리스트!F429</f>
        <v>지하공동 탐사·보강 설계 누락으로 굴착 중 대형 지반 함몰(싱크홀)이 유발될 리스크를 검토하였는가?</v>
      </c>
      <c r="E431" s="31" t="s">
        <v>734</v>
      </c>
      <c r="F431" s="32" t="str">
        <f t="shared" si="13"/>
        <v>극상</v>
      </c>
      <c r="G431" s="63" t="s">
        <v>40</v>
      </c>
      <c r="H431" s="63" t="s">
        <v>41</v>
      </c>
      <c r="I431" s="34" t="s">
        <v>735</v>
      </c>
      <c r="J431" s="33"/>
      <c r="K431" s="35"/>
      <c r="L431" s="33"/>
      <c r="M431" s="36"/>
      <c r="N431" s="33"/>
      <c r="O431" s="36"/>
      <c r="P431" s="33"/>
      <c r="Q431" s="37"/>
      <c r="R431" s="38"/>
      <c r="S431" s="33"/>
      <c r="T431" s="38"/>
      <c r="U431" s="33"/>
      <c r="V431" s="39"/>
      <c r="W431" s="90" t="b">
        <v>0</v>
      </c>
      <c r="X431" s="90" t="b">
        <v>0</v>
      </c>
      <c r="Y431" s="90" t="b">
        <v>0</v>
      </c>
      <c r="Z431" s="40" t="s">
        <v>699</v>
      </c>
      <c r="AA431" s="41"/>
      <c r="AK431" s="16"/>
      <c r="AL431" s="16"/>
      <c r="AM431" s="16"/>
      <c r="AN431" s="16"/>
      <c r="AO431" s="16"/>
      <c r="AP431" s="16"/>
      <c r="AQ431" s="16"/>
      <c r="AR431" s="16"/>
      <c r="AS431" s="16"/>
    </row>
    <row r="432" spans="1:45" s="7" customFormat="1" ht="195" customHeight="1">
      <c r="A432" s="27">
        <f>[1]트램표준체크리스트!A430</f>
        <v>428</v>
      </c>
      <c r="B432" s="28" t="str">
        <f>[1]트램표준체크리스트!B430</f>
        <v>토목구조</v>
      </c>
      <c r="C432" s="29" t="str">
        <f>[1]트램표준체크리스트!C430</f>
        <v>도심지 가시설 및 인접구조물 보호 계획</v>
      </c>
      <c r="D432" s="30" t="str">
        <f>[1]트램표준체크리스트!F430</f>
        <v>도심지 건물 보호용 침하 억제 공법 및 친환경 그라우팅 재료 누락으로 굴착 중 인접 건물 균열 및 지하수 오염 민원이 발생할 리스크를 검토하였는가?</v>
      </c>
      <c r="E432" s="31" t="s">
        <v>736</v>
      </c>
      <c r="F432" s="32" t="str">
        <f t="shared" si="13"/>
        <v>극상</v>
      </c>
      <c r="G432" s="63" t="s">
        <v>40</v>
      </c>
      <c r="H432" s="63" t="s">
        <v>41</v>
      </c>
      <c r="I432" s="34" t="s">
        <v>737</v>
      </c>
      <c r="J432" s="33"/>
      <c r="K432" s="35"/>
      <c r="L432" s="33"/>
      <c r="M432" s="36"/>
      <c r="N432" s="33"/>
      <c r="O432" s="36"/>
      <c r="P432" s="33"/>
      <c r="Q432" s="37"/>
      <c r="R432" s="38"/>
      <c r="S432" s="33"/>
      <c r="T432" s="38"/>
      <c r="U432" s="33"/>
      <c r="V432" s="39"/>
      <c r="W432" s="90" t="b">
        <v>0</v>
      </c>
      <c r="X432" s="90" t="b">
        <v>0</v>
      </c>
      <c r="Y432" s="90" t="b">
        <v>0</v>
      </c>
      <c r="Z432" s="40" t="s">
        <v>699</v>
      </c>
      <c r="AA432" s="41"/>
      <c r="AK432" s="16"/>
      <c r="AL432" s="16"/>
      <c r="AM432" s="16"/>
      <c r="AN432" s="16"/>
      <c r="AO432" s="16"/>
      <c r="AP432" s="16"/>
      <c r="AQ432" s="16"/>
      <c r="AR432" s="16"/>
      <c r="AS432" s="16"/>
    </row>
    <row r="433" spans="1:45" s="7" customFormat="1" ht="195" customHeight="1">
      <c r="A433" s="27">
        <f>[1]트램표준체크리스트!A431</f>
        <v>429</v>
      </c>
      <c r="B433" s="28" t="str">
        <f>[1]트램표준체크리스트!B431</f>
        <v>토목구조</v>
      </c>
      <c r="C433" s="29" t="str">
        <f>[1]트램표준체크리스트!C431</f>
        <v>도심지 교차로 및 도로 횡단</v>
      </c>
      <c r="D433" s="30" t="str">
        <f>[1]트램표준체크리스트!F431</f>
        <v>중차량 통행 하중 미고려 및 복공판 과소 설계로 상부 차량 하중에 의해 구조물이 붕괴될 대형 사고 리스크를 검토하였는가?</v>
      </c>
      <c r="E433" s="31" t="s">
        <v>738</v>
      </c>
      <c r="F433" s="32" t="str">
        <f t="shared" si="13"/>
        <v>극상</v>
      </c>
      <c r="G433" s="63" t="s">
        <v>40</v>
      </c>
      <c r="H433" s="63" t="s">
        <v>41</v>
      </c>
      <c r="I433" s="34" t="s">
        <v>739</v>
      </c>
      <c r="J433" s="33"/>
      <c r="K433" s="35"/>
      <c r="L433" s="33"/>
      <c r="M433" s="36"/>
      <c r="N433" s="33"/>
      <c r="O433" s="36"/>
      <c r="P433" s="33"/>
      <c r="Q433" s="37"/>
      <c r="R433" s="38"/>
      <c r="S433" s="33"/>
      <c r="T433" s="38"/>
      <c r="U433" s="33"/>
      <c r="V433" s="39"/>
      <c r="W433" s="90" t="b">
        <v>0</v>
      </c>
      <c r="X433" s="90" t="b">
        <v>0</v>
      </c>
      <c r="Y433" s="90" t="b">
        <v>0</v>
      </c>
      <c r="Z433" s="40" t="s">
        <v>699</v>
      </c>
      <c r="AA433" s="41"/>
      <c r="AK433" s="16"/>
      <c r="AL433" s="16"/>
      <c r="AM433" s="16"/>
      <c r="AN433" s="16"/>
      <c r="AO433" s="16"/>
      <c r="AP433" s="16"/>
      <c r="AQ433" s="16"/>
      <c r="AR433" s="16"/>
      <c r="AS433" s="16"/>
    </row>
    <row r="434" spans="1:45" s="7" customFormat="1" ht="195" customHeight="1">
      <c r="A434" s="27">
        <f>[1]트램표준체크리스트!A432</f>
        <v>430</v>
      </c>
      <c r="B434" s="28" t="str">
        <f>[1]트램표준체크리스트!B432</f>
        <v>토목구조</v>
      </c>
      <c r="C434" s="29" t="str">
        <f>[1]트램표준체크리스트!C432</f>
        <v>도심지 교차로 및 도로 횡단</v>
      </c>
      <c r="D434" s="30" t="str">
        <f>[1]트램표준체크리스트!F432</f>
        <v>교차로에서의 차량 탈선 리스크를 검토하였는가?</v>
      </c>
      <c r="E434" s="31" t="s">
        <v>740</v>
      </c>
      <c r="F434" s="32" t="str">
        <f t="shared" si="13"/>
        <v>극상</v>
      </c>
      <c r="G434" s="63" t="s">
        <v>40</v>
      </c>
      <c r="H434" s="63" t="s">
        <v>41</v>
      </c>
      <c r="I434" s="34" t="s">
        <v>741</v>
      </c>
      <c r="J434" s="33"/>
      <c r="K434" s="35"/>
      <c r="L434" s="33"/>
      <c r="M434" s="36"/>
      <c r="N434" s="33"/>
      <c r="O434" s="36"/>
      <c r="P434" s="33"/>
      <c r="Q434" s="37"/>
      <c r="R434" s="38"/>
      <c r="S434" s="33"/>
      <c r="T434" s="38"/>
      <c r="U434" s="33"/>
      <c r="V434" s="39"/>
      <c r="W434" s="90" t="b">
        <v>0</v>
      </c>
      <c r="X434" s="90" t="b">
        <v>0</v>
      </c>
      <c r="Y434" s="90" t="b">
        <v>0</v>
      </c>
      <c r="Z434" s="40" t="s">
        <v>699</v>
      </c>
      <c r="AA434" s="41"/>
      <c r="AK434" s="16"/>
      <c r="AL434" s="16"/>
      <c r="AM434" s="16"/>
      <c r="AN434" s="16"/>
      <c r="AO434" s="16"/>
      <c r="AP434" s="16"/>
      <c r="AQ434" s="16"/>
      <c r="AR434" s="16"/>
      <c r="AS434" s="16"/>
    </row>
    <row r="435" spans="1:45" s="7" customFormat="1" ht="195" customHeight="1">
      <c r="A435" s="27">
        <f>[1]트램표준체크리스트!A433</f>
        <v>431</v>
      </c>
      <c r="B435" s="28" t="str">
        <f>[1]트램표준체크리스트!B433</f>
        <v>토목구조</v>
      </c>
      <c r="C435" s="29" t="str">
        <f>[1]트램표준체크리스트!C433</f>
        <v>도심지 굴착 및 가시설 계획</v>
      </c>
      <c r="D435" s="30" t="str">
        <f>[1]트램표준체크리스트!F433</f>
        <v>차수 가시설 및 연도변 보호 대책 누락으로 대형 싱크홀이나 건물 균열 민원이 발생할 리스크를 검토하였는가?</v>
      </c>
      <c r="E435" s="31" t="s">
        <v>742</v>
      </c>
      <c r="F435" s="32" t="str">
        <f t="shared" si="13"/>
        <v>극상</v>
      </c>
      <c r="G435" s="63" t="s">
        <v>40</v>
      </c>
      <c r="H435" s="63" t="s">
        <v>41</v>
      </c>
      <c r="I435" s="34" t="s">
        <v>743</v>
      </c>
      <c r="J435" s="33"/>
      <c r="K435" s="35"/>
      <c r="L435" s="33"/>
      <c r="M435" s="36"/>
      <c r="N435" s="33"/>
      <c r="O435" s="36"/>
      <c r="P435" s="33"/>
      <c r="Q435" s="37"/>
      <c r="R435" s="38"/>
      <c r="S435" s="33"/>
      <c r="T435" s="38"/>
      <c r="U435" s="33"/>
      <c r="V435" s="39"/>
      <c r="W435" s="90" t="b">
        <v>0</v>
      </c>
      <c r="X435" s="90" t="b">
        <v>0</v>
      </c>
      <c r="Y435" s="90" t="b">
        <v>0</v>
      </c>
      <c r="Z435" s="40" t="s">
        <v>699</v>
      </c>
      <c r="AA435" s="41"/>
      <c r="AK435" s="16"/>
      <c r="AL435" s="16"/>
      <c r="AM435" s="16"/>
      <c r="AN435" s="16"/>
      <c r="AO435" s="16"/>
      <c r="AP435" s="16"/>
      <c r="AQ435" s="16"/>
      <c r="AR435" s="16"/>
      <c r="AS435" s="16"/>
    </row>
    <row r="436" spans="1:45" s="7" customFormat="1" ht="195" customHeight="1">
      <c r="A436" s="27">
        <f>[1]트램표준체크리스트!A434</f>
        <v>432</v>
      </c>
      <c r="B436" s="28" t="str">
        <f>[1]트램표준체크리스트!B434</f>
        <v>토목구조</v>
      </c>
      <c r="C436" s="29" t="str">
        <f>[1]트램표준체크리스트!C434</f>
        <v>도심지 지하공동 탐사 및 침하 방지 계획</v>
      </c>
      <c r="D436" s="30" t="str">
        <f>[1]트램표준체크리스트!F434</f>
        <v>공동(Sinkhole) 탐사 누락으로 미확인 지하공동 붕괴에 따른 인접 구조물 및 도로의 대규모 함몰 리스크를 검토하였는가?</v>
      </c>
      <c r="E436" s="31" t="s">
        <v>744</v>
      </c>
      <c r="F436" s="32" t="str">
        <f t="shared" si="13"/>
        <v>극상</v>
      </c>
      <c r="G436" s="63" t="s">
        <v>40</v>
      </c>
      <c r="H436" s="63" t="s">
        <v>41</v>
      </c>
      <c r="I436" s="34" t="s">
        <v>745</v>
      </c>
      <c r="J436" s="33"/>
      <c r="K436" s="35"/>
      <c r="L436" s="33"/>
      <c r="M436" s="36"/>
      <c r="N436" s="33"/>
      <c r="O436" s="36"/>
      <c r="P436" s="33"/>
      <c r="Q436" s="37"/>
      <c r="R436" s="38"/>
      <c r="S436" s="33"/>
      <c r="T436" s="38"/>
      <c r="U436" s="33"/>
      <c r="V436" s="39"/>
      <c r="W436" s="90" t="b">
        <v>0</v>
      </c>
      <c r="X436" s="90" t="b">
        <v>0</v>
      </c>
      <c r="Y436" s="90" t="b">
        <v>0</v>
      </c>
      <c r="Z436" s="40" t="s">
        <v>699</v>
      </c>
      <c r="AA436" s="41"/>
      <c r="AK436" s="16"/>
      <c r="AL436" s="16"/>
      <c r="AM436" s="16"/>
      <c r="AN436" s="16"/>
      <c r="AO436" s="16"/>
      <c r="AP436" s="16"/>
      <c r="AQ436" s="16"/>
      <c r="AR436" s="16"/>
      <c r="AS436" s="16"/>
    </row>
    <row r="437" spans="1:45" s="7" customFormat="1" ht="195" customHeight="1">
      <c r="A437" s="27">
        <f>[1]트램표준체크리스트!A435</f>
        <v>433</v>
      </c>
      <c r="B437" s="28" t="str">
        <f>[1]트램표준체크리스트!B435</f>
        <v>토목구조</v>
      </c>
      <c r="C437" s="29" t="str">
        <f>[1]트램표준체크리스트!C435</f>
        <v>부대 구조물 하중 계획</v>
      </c>
      <c r="D437" s="30" t="str">
        <f>[1]트램표준체크리스트!F435</f>
        <v>기기하중 및 무근 콘크리트 사하중 누락으로 장비 반입 시 바닥 슬래브의 처짐·펀칭 전단 파괴가 발생할 리스크를 검토하였는가?</v>
      </c>
      <c r="E437" s="31" t="s">
        <v>746</v>
      </c>
      <c r="F437" s="32" t="str">
        <f t="shared" si="13"/>
        <v>극상</v>
      </c>
      <c r="G437" s="63" t="s">
        <v>40</v>
      </c>
      <c r="H437" s="63" t="s">
        <v>41</v>
      </c>
      <c r="I437" s="34" t="s">
        <v>747</v>
      </c>
      <c r="J437" s="33"/>
      <c r="K437" s="35"/>
      <c r="L437" s="33"/>
      <c r="M437" s="36"/>
      <c r="N437" s="33"/>
      <c r="O437" s="36"/>
      <c r="P437" s="33"/>
      <c r="Q437" s="37"/>
      <c r="R437" s="38"/>
      <c r="S437" s="33"/>
      <c r="T437" s="38"/>
      <c r="U437" s="33"/>
      <c r="V437" s="39"/>
      <c r="W437" s="90" t="b">
        <v>0</v>
      </c>
      <c r="X437" s="90" t="b">
        <v>0</v>
      </c>
      <c r="Y437" s="90" t="b">
        <v>0</v>
      </c>
      <c r="Z437" s="40" t="s">
        <v>699</v>
      </c>
      <c r="AA437" s="41"/>
      <c r="AK437" s="16"/>
      <c r="AL437" s="16"/>
      <c r="AM437" s="16"/>
      <c r="AN437" s="16"/>
      <c r="AO437" s="16"/>
      <c r="AP437" s="16"/>
      <c r="AQ437" s="16"/>
      <c r="AR437" s="16"/>
      <c r="AS437" s="16"/>
    </row>
    <row r="438" spans="1:45" s="7" customFormat="1" ht="195" customHeight="1">
      <c r="A438" s="27">
        <f>[1]트램표준체크리스트!A436</f>
        <v>434</v>
      </c>
      <c r="B438" s="28" t="str">
        <f>[1]트램표준체크리스트!B436</f>
        <v>토목구조</v>
      </c>
      <c r="C438" s="29" t="str">
        <f>[1]트램표준체크리스트!C436</f>
        <v>수리수문 및 지하수 영향계획</v>
      </c>
      <c r="D438" s="30" t="str">
        <f>[1]트램표준체크리스트!F436</f>
        <v>단기 수위 적용 및 침투해석 누락으로 설계지하수위를 과소 산정해 주변 세굴이나 과도한 부력 발생을 간과할 리스크를 검토하였는가?</v>
      </c>
      <c r="E438" s="31" t="s">
        <v>748</v>
      </c>
      <c r="F438" s="32" t="str">
        <f t="shared" si="13"/>
        <v>극상</v>
      </c>
      <c r="G438" s="63" t="s">
        <v>40</v>
      </c>
      <c r="H438" s="63" t="s">
        <v>41</v>
      </c>
      <c r="I438" s="34" t="s">
        <v>749</v>
      </c>
      <c r="J438" s="33"/>
      <c r="K438" s="35"/>
      <c r="L438" s="33"/>
      <c r="M438" s="36"/>
      <c r="N438" s="33"/>
      <c r="O438" s="36"/>
      <c r="P438" s="33"/>
      <c r="Q438" s="37"/>
      <c r="R438" s="38"/>
      <c r="S438" s="33"/>
      <c r="T438" s="38"/>
      <c r="U438" s="33"/>
      <c r="V438" s="39"/>
      <c r="W438" s="90" t="b">
        <v>0</v>
      </c>
      <c r="X438" s="90" t="b">
        <v>0</v>
      </c>
      <c r="Y438" s="90" t="b">
        <v>0</v>
      </c>
      <c r="Z438" s="40" t="s">
        <v>699</v>
      </c>
      <c r="AA438" s="41"/>
      <c r="AK438" s="16"/>
      <c r="AL438" s="16"/>
      <c r="AM438" s="16"/>
      <c r="AN438" s="16"/>
      <c r="AO438" s="16"/>
      <c r="AP438" s="16"/>
      <c r="AQ438" s="16"/>
      <c r="AR438" s="16"/>
      <c r="AS438" s="16"/>
    </row>
    <row r="439" spans="1:45" s="7" customFormat="1" ht="195" customHeight="1">
      <c r="A439" s="27">
        <f>[1]트램표준체크리스트!A437</f>
        <v>435</v>
      </c>
      <c r="B439" s="28" t="str">
        <f>[1]트램표준체크리스트!B437</f>
        <v>토목구조</v>
      </c>
      <c r="C439" s="29" t="str">
        <f>[1]트램표준체크리스트!C437</f>
        <v>암반 굴착 발파 진동/소음 제어 계획</v>
      </c>
      <c r="D439" s="30" t="str">
        <f>[1]트램표준체크리스트!F437</f>
        <v>진동·소음 검토 누락 및 일반 발파 적용으로 주변 소음 민원 및 인접 건물 균열 파손이 발생할 리스크를 검토하였는가?</v>
      </c>
      <c r="E439" s="31" t="s">
        <v>750</v>
      </c>
      <c r="F439" s="32" t="str">
        <f t="shared" si="13"/>
        <v>극상</v>
      </c>
      <c r="G439" s="63" t="s">
        <v>40</v>
      </c>
      <c r="H439" s="63" t="s">
        <v>41</v>
      </c>
      <c r="I439" s="34" t="s">
        <v>751</v>
      </c>
      <c r="J439" s="33"/>
      <c r="K439" s="35"/>
      <c r="L439" s="33"/>
      <c r="M439" s="36"/>
      <c r="N439" s="33"/>
      <c r="O439" s="36"/>
      <c r="P439" s="33"/>
      <c r="Q439" s="37"/>
      <c r="R439" s="38"/>
      <c r="S439" s="33"/>
      <c r="T439" s="38"/>
      <c r="U439" s="33"/>
      <c r="V439" s="39"/>
      <c r="W439" s="90" t="b">
        <v>0</v>
      </c>
      <c r="X439" s="90" t="b">
        <v>0</v>
      </c>
      <c r="Y439" s="90" t="b">
        <v>0</v>
      </c>
      <c r="Z439" s="40" t="s">
        <v>699</v>
      </c>
      <c r="AA439" s="41"/>
      <c r="AK439" s="16"/>
      <c r="AL439" s="16"/>
      <c r="AM439" s="16"/>
      <c r="AN439" s="16"/>
      <c r="AO439" s="16"/>
      <c r="AP439" s="16"/>
      <c r="AQ439" s="16"/>
      <c r="AR439" s="16"/>
      <c r="AS439" s="16"/>
    </row>
    <row r="440" spans="1:45" s="7" customFormat="1" ht="195" customHeight="1">
      <c r="A440" s="27">
        <f>[1]트램표준체크리스트!A438</f>
        <v>436</v>
      </c>
      <c r="B440" s="28" t="str">
        <f>[1]트램표준체크리스트!B438</f>
        <v>토목구조</v>
      </c>
      <c r="C440" s="29" t="str">
        <f>[1]트램표준체크리스트!C438</f>
        <v>연약지반 구조물 기초계획</v>
      </c>
      <c r="D440" s="30" t="str">
        <f>[1]트램표준체크리스트!F438</f>
        <v>연약지반 잔류침하량 과소평가 및 개량 누락으로 부등침하에 의한 궤도 단차 및 탈선이 유발될 리스크를 검토하였는가?</v>
      </c>
      <c r="E440" s="31" t="s">
        <v>752</v>
      </c>
      <c r="F440" s="32" t="str">
        <f t="shared" si="13"/>
        <v>극상</v>
      </c>
      <c r="G440" s="63" t="s">
        <v>40</v>
      </c>
      <c r="H440" s="63" t="s">
        <v>41</v>
      </c>
      <c r="I440" s="34" t="s">
        <v>753</v>
      </c>
      <c r="J440" s="33"/>
      <c r="K440" s="35"/>
      <c r="L440" s="33"/>
      <c r="M440" s="36"/>
      <c r="N440" s="33"/>
      <c r="O440" s="36"/>
      <c r="P440" s="33"/>
      <c r="Q440" s="37"/>
      <c r="R440" s="38"/>
      <c r="S440" s="33"/>
      <c r="T440" s="38"/>
      <c r="U440" s="33"/>
      <c r="V440" s="39"/>
      <c r="W440" s="90" t="b">
        <v>0</v>
      </c>
      <c r="X440" s="90" t="b">
        <v>0</v>
      </c>
      <c r="Y440" s="90" t="b">
        <v>0</v>
      </c>
      <c r="Z440" s="40" t="s">
        <v>699</v>
      </c>
      <c r="AA440" s="41"/>
      <c r="AK440" s="16"/>
      <c r="AL440" s="16"/>
      <c r="AM440" s="16"/>
      <c r="AN440" s="16"/>
      <c r="AO440" s="16"/>
      <c r="AP440" s="16"/>
      <c r="AQ440" s="16"/>
      <c r="AR440" s="16"/>
      <c r="AS440" s="16"/>
    </row>
    <row r="441" spans="1:45" s="7" customFormat="1" ht="195" customHeight="1">
      <c r="A441" s="27">
        <f>[1]트램표준체크리스트!A439</f>
        <v>437</v>
      </c>
      <c r="B441" s="28" t="str">
        <f>[1]트램표준체크리스트!B439</f>
        <v>토목구조</v>
      </c>
      <c r="C441" s="29" t="str">
        <f>[1]트램표준체크리스트!C439</f>
        <v>옹벽 및 비탈면 구조계획</v>
      </c>
      <c r="D441" s="30" t="str">
        <f>[1]트램표준체크리스트!F439</f>
        <v>흙막이 지보공의 사유지 침범에 따른 민원·분쟁 유발 및 홍수위 미고려 하천 가시설 설계로 우기 시 가시설이 전도될 리스크를 검토하였는가?</v>
      </c>
      <c r="E441" s="31" t="s">
        <v>754</v>
      </c>
      <c r="F441" s="32" t="str">
        <f t="shared" si="13"/>
        <v>극상</v>
      </c>
      <c r="G441" s="63" t="s">
        <v>40</v>
      </c>
      <c r="H441" s="63" t="s">
        <v>41</v>
      </c>
      <c r="I441" s="34" t="s">
        <v>755</v>
      </c>
      <c r="J441" s="33"/>
      <c r="K441" s="35"/>
      <c r="L441" s="33"/>
      <c r="M441" s="36"/>
      <c r="N441" s="33"/>
      <c r="O441" s="36"/>
      <c r="P441" s="33"/>
      <c r="Q441" s="37"/>
      <c r="R441" s="38"/>
      <c r="S441" s="33"/>
      <c r="T441" s="38"/>
      <c r="U441" s="33"/>
      <c r="V441" s="39"/>
      <c r="W441" s="90" t="b">
        <v>0</v>
      </c>
      <c r="X441" s="90" t="b">
        <v>0</v>
      </c>
      <c r="Y441" s="90" t="b">
        <v>0</v>
      </c>
      <c r="Z441" s="40" t="s">
        <v>699</v>
      </c>
      <c r="AA441" s="41"/>
      <c r="AK441" s="16"/>
      <c r="AL441" s="16"/>
      <c r="AM441" s="16"/>
      <c r="AN441" s="16"/>
      <c r="AO441" s="16"/>
      <c r="AP441" s="16"/>
      <c r="AQ441" s="16"/>
      <c r="AR441" s="16"/>
      <c r="AS441" s="16"/>
    </row>
    <row r="442" spans="1:45" s="7" customFormat="1" ht="195" customHeight="1">
      <c r="A442" s="27">
        <f>[1]트램표준체크리스트!A440</f>
        <v>438</v>
      </c>
      <c r="B442" s="28" t="str">
        <f>[1]트램표준체크리스트!B440</f>
        <v>토목구조</v>
      </c>
      <c r="C442" s="29" t="str">
        <f>[1]트램표준체크리스트!C440</f>
        <v>옹벽 및 비탈면 구조계획</v>
      </c>
      <c r="D442" s="30" t="str">
        <f>[1]트램표준체크리스트!F440</f>
        <v>지중 보강재(앵커 등) 사유지 침범 민원 및 우기 시 사면안전율 부족으로 옹벽이 전도될 리스크를 검토하였는가?</v>
      </c>
      <c r="E442" s="31" t="s">
        <v>756</v>
      </c>
      <c r="F442" s="32" t="str">
        <f t="shared" si="13"/>
        <v>극상</v>
      </c>
      <c r="G442" s="63" t="s">
        <v>40</v>
      </c>
      <c r="H442" s="63" t="s">
        <v>41</v>
      </c>
      <c r="I442" s="34" t="s">
        <v>757</v>
      </c>
      <c r="J442" s="33"/>
      <c r="K442" s="35"/>
      <c r="L442" s="33"/>
      <c r="M442" s="36"/>
      <c r="N442" s="33"/>
      <c r="O442" s="36"/>
      <c r="P442" s="33"/>
      <c r="Q442" s="37"/>
      <c r="R442" s="38"/>
      <c r="S442" s="33"/>
      <c r="T442" s="38"/>
      <c r="U442" s="33"/>
      <c r="V442" s="39"/>
      <c r="W442" s="90" t="b">
        <v>0</v>
      </c>
      <c r="X442" s="90" t="b">
        <v>0</v>
      </c>
      <c r="Y442" s="90" t="b">
        <v>0</v>
      </c>
      <c r="Z442" s="40" t="s">
        <v>699</v>
      </c>
      <c r="AA442" s="41"/>
      <c r="AK442" s="16"/>
      <c r="AL442" s="16"/>
      <c r="AM442" s="16"/>
      <c r="AN442" s="16"/>
      <c r="AO442" s="16"/>
      <c r="AP442" s="16"/>
      <c r="AQ442" s="16"/>
      <c r="AR442" s="16"/>
      <c r="AS442" s="16"/>
    </row>
    <row r="443" spans="1:45" s="7" customFormat="1" ht="195" customHeight="1">
      <c r="A443" s="27">
        <f>[1]트램표준체크리스트!A441</f>
        <v>439</v>
      </c>
      <c r="B443" s="28" t="str">
        <f>[1]트램표준체크리스트!B441</f>
        <v>토목구조</v>
      </c>
      <c r="C443" s="29" t="str">
        <f>[1]트램표준체크리스트!C441</f>
        <v>인접 구조물 간섭구간 흙막이 계획</v>
      </c>
      <c r="D443" s="30" t="str">
        <f>[1]트램표준체크리스트!F441</f>
        <v>지오그리드 절단 사면 붕괴 위험을 간과하고 일반 가시설을 일률 적용해 기존 도로 구조물이 붕괴될 리스크를 검토하였는가?</v>
      </c>
      <c r="E443" s="31" t="s">
        <v>758</v>
      </c>
      <c r="F443" s="32" t="str">
        <f t="shared" si="13"/>
        <v>극상</v>
      </c>
      <c r="G443" s="63" t="s">
        <v>40</v>
      </c>
      <c r="H443" s="63" t="s">
        <v>41</v>
      </c>
      <c r="I443" s="34" t="s">
        <v>759</v>
      </c>
      <c r="J443" s="33"/>
      <c r="K443" s="35"/>
      <c r="L443" s="33"/>
      <c r="M443" s="36"/>
      <c r="N443" s="33"/>
      <c r="O443" s="36"/>
      <c r="P443" s="33"/>
      <c r="Q443" s="37"/>
      <c r="R443" s="38"/>
      <c r="S443" s="33"/>
      <c r="T443" s="38"/>
      <c r="U443" s="33"/>
      <c r="V443" s="39"/>
      <c r="W443" s="90" t="b">
        <v>0</v>
      </c>
      <c r="X443" s="90" t="b">
        <v>0</v>
      </c>
      <c r="Y443" s="90" t="b">
        <v>0</v>
      </c>
      <c r="Z443" s="40" t="s">
        <v>699</v>
      </c>
      <c r="AA443" s="41"/>
      <c r="AK443" s="16"/>
      <c r="AL443" s="16"/>
      <c r="AM443" s="16"/>
      <c r="AN443" s="16"/>
      <c r="AO443" s="16"/>
      <c r="AP443" s="16"/>
      <c r="AQ443" s="16"/>
      <c r="AR443" s="16"/>
      <c r="AS443" s="16"/>
    </row>
    <row r="444" spans="1:45" s="7" customFormat="1" ht="195" customHeight="1">
      <c r="A444" s="27">
        <f>[1]트램표준체크리스트!A442</f>
        <v>440</v>
      </c>
      <c r="B444" s="28" t="str">
        <f>[1]트램표준체크리스트!B442</f>
        <v>토목구조</v>
      </c>
      <c r="C444" s="29" t="str">
        <f>[1]트램표준체크리스트!C442</f>
        <v>인접 구조물 간섭구간 흙막이 계획</v>
      </c>
      <c r="D444" s="30" t="str">
        <f>[1]트램표준체크리스트!F442</f>
        <v>현장 내 도로포장공사 연장과 불가피 지연의 중복 포정으로 도로 인접 흙막이 대책 유동성검토 완료 리스크를 검토하였는가?</v>
      </c>
      <c r="E444" s="31" t="s">
        <v>760</v>
      </c>
      <c r="F444" s="32" t="str">
        <f t="shared" si="13"/>
        <v>극상</v>
      </c>
      <c r="G444" s="63" t="s">
        <v>40</v>
      </c>
      <c r="H444" s="63" t="s">
        <v>41</v>
      </c>
      <c r="I444" s="34" t="s">
        <v>761</v>
      </c>
      <c r="J444" s="33"/>
      <c r="K444" s="35"/>
      <c r="L444" s="33"/>
      <c r="M444" s="36"/>
      <c r="N444" s="33"/>
      <c r="O444" s="36"/>
      <c r="P444" s="33"/>
      <c r="Q444" s="37"/>
      <c r="R444" s="38"/>
      <c r="S444" s="33"/>
      <c r="T444" s="38"/>
      <c r="U444" s="33"/>
      <c r="V444" s="39"/>
      <c r="W444" s="90" t="b">
        <v>0</v>
      </c>
      <c r="X444" s="90" t="b">
        <v>0</v>
      </c>
      <c r="Y444" s="90" t="b">
        <v>0</v>
      </c>
      <c r="Z444" s="40" t="s">
        <v>699</v>
      </c>
      <c r="AA444" s="41"/>
      <c r="AK444" s="16"/>
      <c r="AL444" s="16"/>
      <c r="AM444" s="16"/>
      <c r="AN444" s="16"/>
      <c r="AO444" s="16"/>
      <c r="AP444" s="16"/>
      <c r="AQ444" s="16"/>
      <c r="AR444" s="16"/>
      <c r="AS444" s="16"/>
    </row>
    <row r="445" spans="1:45" s="7" customFormat="1" ht="195" customHeight="1">
      <c r="A445" s="27">
        <f>[1]트램표준체크리스트!A443</f>
        <v>441</v>
      </c>
      <c r="B445" s="28" t="str">
        <f>[1]트램표준체크리스트!B443</f>
        <v>토목구조</v>
      </c>
      <c r="C445" s="29" t="str">
        <f>[1]트램표준체크리스트!C443</f>
        <v>절토부 깎기 비탈면 계획</v>
      </c>
      <c r="D445" s="30" t="str">
        <f>[1]트램표준체크리스트!F443</f>
        <v>Face Mapping 의무화 및 사면 보강 대책(예비 단가) 누락으로 예측 불허의 사면 붕괴가 유발될 리스크를 검토하였는가?</v>
      </c>
      <c r="E445" s="31" t="s">
        <v>762</v>
      </c>
      <c r="F445" s="32" t="str">
        <f t="shared" si="13"/>
        <v>극상</v>
      </c>
      <c r="G445" s="63" t="s">
        <v>40</v>
      </c>
      <c r="H445" s="63" t="s">
        <v>41</v>
      </c>
      <c r="I445" s="34" t="s">
        <v>763</v>
      </c>
      <c r="J445" s="33"/>
      <c r="K445" s="35"/>
      <c r="L445" s="33"/>
      <c r="M445" s="36"/>
      <c r="N445" s="33"/>
      <c r="O445" s="36"/>
      <c r="P445" s="33"/>
      <c r="Q445" s="37"/>
      <c r="R445" s="38"/>
      <c r="S445" s="33"/>
      <c r="T445" s="38"/>
      <c r="U445" s="33"/>
      <c r="V445" s="39"/>
      <c r="W445" s="90" t="b">
        <v>0</v>
      </c>
      <c r="X445" s="90" t="b">
        <v>0</v>
      </c>
      <c r="Y445" s="90" t="b">
        <v>0</v>
      </c>
      <c r="Z445" s="40" t="s">
        <v>699</v>
      </c>
      <c r="AA445" s="41"/>
      <c r="AK445" s="16"/>
      <c r="AL445" s="16"/>
      <c r="AM445" s="16"/>
      <c r="AN445" s="16"/>
      <c r="AO445" s="16"/>
      <c r="AP445" s="16"/>
      <c r="AQ445" s="16"/>
      <c r="AR445" s="16"/>
      <c r="AS445" s="16"/>
    </row>
    <row r="446" spans="1:45" s="7" customFormat="1" ht="195" customHeight="1">
      <c r="A446" s="27">
        <f>[1]트램표준체크리스트!A444</f>
        <v>442</v>
      </c>
      <c r="B446" s="28" t="str">
        <f>[1]트램표준체크리스트!B444</f>
        <v>토목구조</v>
      </c>
      <c r="C446" s="29" t="str">
        <f>[1]트램표준체크리스트!C444</f>
        <v>정거장 구조계획</v>
      </c>
      <c r="D446" s="30" t="str">
        <f>[1]트램표준체크리스트!F444</f>
        <v>환승 구조물 연결부 조인트 보강 누락 및 무리한 인접 굴착 단면 설계로 기존 구조물에 균열을 유발할 리스크를 검토하였는가?</v>
      </c>
      <c r="E446" s="31" t="s">
        <v>764</v>
      </c>
      <c r="F446" s="32" t="str">
        <f t="shared" si="13"/>
        <v>극상</v>
      </c>
      <c r="G446" s="63" t="s">
        <v>40</v>
      </c>
      <c r="H446" s="63" t="s">
        <v>41</v>
      </c>
      <c r="I446" s="34" t="s">
        <v>765</v>
      </c>
      <c r="J446" s="33"/>
      <c r="K446" s="35"/>
      <c r="L446" s="33"/>
      <c r="M446" s="36"/>
      <c r="N446" s="33"/>
      <c r="O446" s="36"/>
      <c r="P446" s="33"/>
      <c r="Q446" s="37"/>
      <c r="R446" s="38"/>
      <c r="S446" s="33"/>
      <c r="T446" s="38"/>
      <c r="U446" s="33"/>
      <c r="V446" s="39"/>
      <c r="W446" s="90" t="b">
        <v>0</v>
      </c>
      <c r="X446" s="90" t="b">
        <v>0</v>
      </c>
      <c r="Y446" s="90" t="b">
        <v>0</v>
      </c>
      <c r="Z446" s="40" t="s">
        <v>699</v>
      </c>
      <c r="AA446" s="41"/>
      <c r="AK446" s="16"/>
      <c r="AL446" s="16"/>
      <c r="AM446" s="16"/>
      <c r="AN446" s="16"/>
      <c r="AO446" s="16"/>
      <c r="AP446" s="16"/>
      <c r="AQ446" s="16"/>
      <c r="AR446" s="16"/>
      <c r="AS446" s="16"/>
    </row>
    <row r="447" spans="1:45" s="7" customFormat="1" ht="195" customHeight="1">
      <c r="A447" s="27">
        <f>[1]트램표준체크리스트!A445</f>
        <v>443</v>
      </c>
      <c r="B447" s="28" t="str">
        <f>[1]트램표준체크리스트!B445</f>
        <v>토목구조</v>
      </c>
      <c r="C447" s="29" t="str">
        <f>[1]트램표준체크리스트!C445</f>
        <v>정거장 구조계획</v>
      </c>
      <c r="D447" s="30" t="str">
        <f>[1]트램표준체크리스트!F445</f>
        <v>차량한계 정밀 인터페이스 누락으로 승강장 연단 간격이 넓어져 승객 발빠짐 사고가 유발될 리스크를 검토하였는가?</v>
      </c>
      <c r="E447" s="31" t="s">
        <v>766</v>
      </c>
      <c r="F447" s="32" t="str">
        <f t="shared" si="13"/>
        <v>극상</v>
      </c>
      <c r="G447" s="63" t="s">
        <v>40</v>
      </c>
      <c r="H447" s="63" t="s">
        <v>41</v>
      </c>
      <c r="I447" s="34" t="s">
        <v>767</v>
      </c>
      <c r="J447" s="33"/>
      <c r="K447" s="35"/>
      <c r="L447" s="33"/>
      <c r="M447" s="36"/>
      <c r="N447" s="33"/>
      <c r="O447" s="36"/>
      <c r="P447" s="33"/>
      <c r="Q447" s="37"/>
      <c r="R447" s="38"/>
      <c r="S447" s="33"/>
      <c r="T447" s="38"/>
      <c r="U447" s="33"/>
      <c r="V447" s="39"/>
      <c r="W447" s="90" t="b">
        <v>0</v>
      </c>
      <c r="X447" s="90" t="b">
        <v>0</v>
      </c>
      <c r="Y447" s="90" t="b">
        <v>0</v>
      </c>
      <c r="Z447" s="40" t="s">
        <v>699</v>
      </c>
      <c r="AA447" s="41"/>
      <c r="AK447" s="16"/>
      <c r="AL447" s="16"/>
      <c r="AM447" s="16"/>
      <c r="AN447" s="16"/>
      <c r="AO447" s="16"/>
      <c r="AP447" s="16"/>
      <c r="AQ447" s="16"/>
      <c r="AR447" s="16"/>
      <c r="AS447" s="16"/>
    </row>
    <row r="448" spans="1:45" s="7" customFormat="1" ht="195" customHeight="1">
      <c r="A448" s="27">
        <f>[1]트램표준체크리스트!A446</f>
        <v>444</v>
      </c>
      <c r="B448" s="28" t="str">
        <f>[1]트램표준체크리스트!B446</f>
        <v>토목구조</v>
      </c>
      <c r="C448" s="29" t="str">
        <f>[1]트램표준체크리스트!C446</f>
        <v>정거장 구조계획</v>
      </c>
      <c r="D448" s="30" t="str">
        <f>[1]트램표준체크리스트!F446</f>
        <v>도면상 정거장 포장 물량중 일부가 누락되어 있으며, 실제 지장물들의 위치가 상이하여 포장 물량이 추가된 사례 리스크를 검토하였는가?</v>
      </c>
      <c r="E448" s="31" t="s">
        <v>768</v>
      </c>
      <c r="F448" s="32" t="str">
        <f t="shared" si="13"/>
        <v>극상</v>
      </c>
      <c r="G448" s="63" t="s">
        <v>40</v>
      </c>
      <c r="H448" s="63" t="s">
        <v>41</v>
      </c>
      <c r="I448" s="34" t="s">
        <v>769</v>
      </c>
      <c r="J448" s="33"/>
      <c r="K448" s="35"/>
      <c r="L448" s="33"/>
      <c r="M448" s="36"/>
      <c r="N448" s="33"/>
      <c r="O448" s="36"/>
      <c r="P448" s="33"/>
      <c r="Q448" s="37"/>
      <c r="R448" s="38"/>
      <c r="S448" s="33"/>
      <c r="T448" s="38"/>
      <c r="U448" s="33"/>
      <c r="V448" s="39"/>
      <c r="W448" s="90" t="b">
        <v>0</v>
      </c>
      <c r="X448" s="90" t="b">
        <v>0</v>
      </c>
      <c r="Y448" s="90" t="b">
        <v>0</v>
      </c>
      <c r="Z448" s="40" t="s">
        <v>699</v>
      </c>
      <c r="AA448" s="41"/>
      <c r="AK448" s="16"/>
      <c r="AL448" s="16"/>
      <c r="AM448" s="16"/>
      <c r="AN448" s="16"/>
      <c r="AO448" s="16"/>
      <c r="AP448" s="16"/>
      <c r="AQ448" s="16"/>
      <c r="AR448" s="16"/>
      <c r="AS448" s="16"/>
    </row>
    <row r="449" spans="1:45" s="7" customFormat="1" ht="195" customHeight="1">
      <c r="A449" s="27">
        <f>[1]트램표준체크리스트!A447</f>
        <v>445</v>
      </c>
      <c r="B449" s="28" t="str">
        <f>[1]트램표준체크리스트!B447</f>
        <v>토목구조</v>
      </c>
      <c r="C449" s="29" t="str">
        <f>[1]트램표준체크리스트!C447</f>
        <v>지하 구조물 부력 및 차수 계획</v>
      </c>
      <c r="D449" s="30" t="str">
        <f>[1]트램표준체크리스트!F447</f>
        <v>시스템 케이블 공동관로 설계 누락 및 교면방수 규격 미달로 케이블 포설이 불가해지거나 우수 침투로 슬래브 철근 부식이 발생할 리스크를 검토하였는가?</v>
      </c>
      <c r="E449" s="31" t="s">
        <v>770</v>
      </c>
      <c r="F449" s="32" t="str">
        <f t="shared" si="13"/>
        <v>극상</v>
      </c>
      <c r="G449" s="63" t="s">
        <v>40</v>
      </c>
      <c r="H449" s="63" t="s">
        <v>41</v>
      </c>
      <c r="I449" s="34" t="s">
        <v>771</v>
      </c>
      <c r="J449" s="33"/>
      <c r="K449" s="35"/>
      <c r="L449" s="33"/>
      <c r="M449" s="36"/>
      <c r="N449" s="33"/>
      <c r="O449" s="36"/>
      <c r="P449" s="33"/>
      <c r="Q449" s="37"/>
      <c r="R449" s="38"/>
      <c r="S449" s="33"/>
      <c r="T449" s="38"/>
      <c r="U449" s="33"/>
      <c r="V449" s="39"/>
      <c r="W449" s="90" t="b">
        <v>0</v>
      </c>
      <c r="X449" s="90" t="b">
        <v>0</v>
      </c>
      <c r="Y449" s="90" t="b">
        <v>0</v>
      </c>
      <c r="Z449" s="40" t="s">
        <v>699</v>
      </c>
      <c r="AA449" s="41"/>
      <c r="AK449" s="16"/>
      <c r="AL449" s="16"/>
      <c r="AM449" s="16"/>
      <c r="AN449" s="16"/>
      <c r="AO449" s="16"/>
      <c r="AP449" s="16"/>
      <c r="AQ449" s="16"/>
      <c r="AR449" s="16"/>
      <c r="AS449" s="16"/>
    </row>
    <row r="450" spans="1:45" s="7" customFormat="1" ht="195" customHeight="1">
      <c r="A450" s="27">
        <f>[1]트램표준체크리스트!A448</f>
        <v>446</v>
      </c>
      <c r="B450" s="28" t="str">
        <f>[1]트램표준체크리스트!B448</f>
        <v>토목구조</v>
      </c>
      <c r="C450" s="29" t="str">
        <f>[1]트램표준체크리스트!C448</f>
        <v>지하 구조물 부력 및 차수 계획</v>
      </c>
      <c r="D450" s="30" t="str">
        <f>[1]트램표준체크리스트!F448</f>
        <v>최고 지하수위 부력 검토 누락 및 차수 계획 미흡으로 호우 시 구조물이 부상해 궤도 뒤틀림 및 심각한 균열이 발생할 리스크를 검토하였는가?</v>
      </c>
      <c r="E450" s="31" t="s">
        <v>772</v>
      </c>
      <c r="F450" s="32" t="str">
        <f t="shared" si="13"/>
        <v>극상</v>
      </c>
      <c r="G450" s="63" t="s">
        <v>40</v>
      </c>
      <c r="H450" s="63" t="s">
        <v>41</v>
      </c>
      <c r="I450" s="34" t="s">
        <v>773</v>
      </c>
      <c r="J450" s="33"/>
      <c r="K450" s="35"/>
      <c r="L450" s="33"/>
      <c r="M450" s="36"/>
      <c r="N450" s="33"/>
      <c r="O450" s="36"/>
      <c r="P450" s="33"/>
      <c r="Q450" s="37"/>
      <c r="R450" s="38"/>
      <c r="S450" s="33"/>
      <c r="T450" s="38"/>
      <c r="U450" s="33"/>
      <c r="V450" s="39"/>
      <c r="W450" s="90" t="b">
        <v>0</v>
      </c>
      <c r="X450" s="90" t="b">
        <v>0</v>
      </c>
      <c r="Y450" s="90" t="b">
        <v>0</v>
      </c>
      <c r="Z450" s="40" t="s">
        <v>699</v>
      </c>
      <c r="AA450" s="41"/>
      <c r="AK450" s="16"/>
      <c r="AL450" s="16"/>
      <c r="AM450" s="16"/>
      <c r="AN450" s="16"/>
      <c r="AO450" s="16"/>
      <c r="AP450" s="16"/>
      <c r="AQ450" s="16"/>
      <c r="AR450" s="16"/>
      <c r="AS450" s="16"/>
    </row>
    <row r="451" spans="1:45" s="7" customFormat="1" ht="195" customHeight="1">
      <c r="A451" s="27">
        <f>[1]트램표준체크리스트!A449</f>
        <v>447</v>
      </c>
      <c r="B451" s="28" t="str">
        <f>[1]트램표준체크리스트!B449</f>
        <v>토목구조</v>
      </c>
      <c r="C451" s="29" t="str">
        <f>[1]트램표준체크리스트!C449</f>
        <v>지하 구조물 부력 및 차수 계획</v>
      </c>
      <c r="D451" s="30" t="str">
        <f>[1]트램표준체크리스트!F449</f>
        <v>폭우에 의한 선로 침수 리스크를 검토하였는가?</v>
      </c>
      <c r="E451" s="31" t="s">
        <v>774</v>
      </c>
      <c r="F451" s="32" t="str">
        <f t="shared" si="13"/>
        <v>극상</v>
      </c>
      <c r="G451" s="63" t="s">
        <v>40</v>
      </c>
      <c r="H451" s="63" t="s">
        <v>41</v>
      </c>
      <c r="I451" s="34" t="s">
        <v>775</v>
      </c>
      <c r="J451" s="33"/>
      <c r="K451" s="35"/>
      <c r="L451" s="33"/>
      <c r="M451" s="36"/>
      <c r="N451" s="33"/>
      <c r="O451" s="36"/>
      <c r="P451" s="33"/>
      <c r="Q451" s="37"/>
      <c r="R451" s="38"/>
      <c r="S451" s="33"/>
      <c r="T451" s="38"/>
      <c r="U451" s="33"/>
      <c r="V451" s="39"/>
      <c r="W451" s="90" t="b">
        <v>0</v>
      </c>
      <c r="X451" s="90" t="b">
        <v>0</v>
      </c>
      <c r="Y451" s="90" t="b">
        <v>0</v>
      </c>
      <c r="Z451" s="40" t="s">
        <v>699</v>
      </c>
      <c r="AA451" s="41"/>
      <c r="AK451" s="16"/>
      <c r="AL451" s="16"/>
      <c r="AM451" s="16"/>
      <c r="AN451" s="16"/>
      <c r="AO451" s="16"/>
      <c r="AP451" s="16"/>
      <c r="AQ451" s="16"/>
      <c r="AR451" s="16"/>
      <c r="AS451" s="16"/>
    </row>
    <row r="452" spans="1:45" s="7" customFormat="1" ht="195" customHeight="1">
      <c r="A452" s="27">
        <f>[1]트램표준체크리스트!A450</f>
        <v>448</v>
      </c>
      <c r="B452" s="28" t="str">
        <f>[1]트램표준체크리스트!B450</f>
        <v>토목구조</v>
      </c>
      <c r="C452" s="29" t="str">
        <f>[1]트램표준체크리스트!C450</f>
        <v>지하 구조물 부력 및 차수 계획</v>
      </c>
      <c r="D452" s="30" t="str">
        <f>[1]트램표준체크리스트!F450</f>
        <v>집중 호우에 의한 차량기지 침수 리스크를 검토하였는가?</v>
      </c>
      <c r="E452" s="31" t="s">
        <v>776</v>
      </c>
      <c r="F452" s="32" t="str">
        <f t="shared" si="13"/>
        <v>극상</v>
      </c>
      <c r="G452" s="63" t="s">
        <v>40</v>
      </c>
      <c r="H452" s="63" t="s">
        <v>41</v>
      </c>
      <c r="I452" s="34" t="s">
        <v>777</v>
      </c>
      <c r="J452" s="33"/>
      <c r="K452" s="35"/>
      <c r="L452" s="33"/>
      <c r="M452" s="36"/>
      <c r="N452" s="33"/>
      <c r="O452" s="36"/>
      <c r="P452" s="33"/>
      <c r="Q452" s="37"/>
      <c r="R452" s="38"/>
      <c r="S452" s="33"/>
      <c r="T452" s="38"/>
      <c r="U452" s="33"/>
      <c r="V452" s="39"/>
      <c r="W452" s="90" t="b">
        <v>0</v>
      </c>
      <c r="X452" s="90" t="b">
        <v>0</v>
      </c>
      <c r="Y452" s="90" t="b">
        <v>0</v>
      </c>
      <c r="Z452" s="40" t="s">
        <v>699</v>
      </c>
      <c r="AA452" s="41"/>
      <c r="AK452" s="16"/>
      <c r="AL452" s="16"/>
      <c r="AM452" s="16"/>
      <c r="AN452" s="16"/>
      <c r="AO452" s="16"/>
      <c r="AP452" s="16"/>
      <c r="AQ452" s="16"/>
      <c r="AR452" s="16"/>
      <c r="AS452" s="16"/>
    </row>
    <row r="453" spans="1:45" s="7" customFormat="1" ht="195" customHeight="1">
      <c r="A453" s="27">
        <f>[1]트램표준체크리스트!A451</f>
        <v>449</v>
      </c>
      <c r="B453" s="28" t="str">
        <f>[1]트램표준체크리스트!B451</f>
        <v>토목구조</v>
      </c>
      <c r="C453" s="29" t="str">
        <f>[1]트램표준체크리스트!C451</f>
        <v>지하 구조물 부력 및 차수 계획</v>
      </c>
      <c r="D453" s="30" t="str">
        <f>[1]트램표준체크리스트!F451</f>
        <v>지하, 지중 지장물 매설되어 대안선로 변경되어, 전체 종합공정표, 25% 예상 추가 투입됨 리스크를 검토하였는가?</v>
      </c>
      <c r="E453" s="31" t="s">
        <v>778</v>
      </c>
      <c r="F453" s="32" t="str">
        <f t="shared" si="13"/>
        <v>극상</v>
      </c>
      <c r="G453" s="63" t="s">
        <v>40</v>
      </c>
      <c r="H453" s="63" t="s">
        <v>41</v>
      </c>
      <c r="I453" s="34" t="s">
        <v>779</v>
      </c>
      <c r="J453" s="33"/>
      <c r="K453" s="35"/>
      <c r="L453" s="33"/>
      <c r="M453" s="36"/>
      <c r="N453" s="33"/>
      <c r="O453" s="36"/>
      <c r="P453" s="33"/>
      <c r="Q453" s="37"/>
      <c r="R453" s="38"/>
      <c r="S453" s="33"/>
      <c r="T453" s="38"/>
      <c r="U453" s="33"/>
      <c r="V453" s="39"/>
      <c r="W453" s="90" t="b">
        <v>0</v>
      </c>
      <c r="X453" s="90" t="b">
        <v>0</v>
      </c>
      <c r="Y453" s="90" t="b">
        <v>0</v>
      </c>
      <c r="Z453" s="40" t="s">
        <v>699</v>
      </c>
      <c r="AA453" s="41"/>
      <c r="AK453" s="16"/>
      <c r="AL453" s="16"/>
      <c r="AM453" s="16"/>
      <c r="AN453" s="16"/>
      <c r="AO453" s="16"/>
      <c r="AP453" s="16"/>
      <c r="AQ453" s="16"/>
      <c r="AR453" s="16"/>
      <c r="AS453" s="16"/>
    </row>
    <row r="454" spans="1:45" s="7" customFormat="1" ht="195" customHeight="1">
      <c r="A454" s="27">
        <f>[1]트램표준체크리스트!A452</f>
        <v>450</v>
      </c>
      <c r="B454" s="28" t="str">
        <f>[1]트램표준체크리스트!B452</f>
        <v>토목구조</v>
      </c>
      <c r="C454" s="29" t="str">
        <f>[1]트램표준체크리스트!C452</f>
        <v>지하 구조물 부력 및 차수 계획</v>
      </c>
      <c r="D454" s="30" t="str">
        <f>[1]트램표준체크리스트!F452</f>
        <v>지반 지장물 설계대비 증가로 건축와 궤도 작업공간을 고려한 이설 수량 재산정 리스크를 검토하였는가?</v>
      </c>
      <c r="E454" s="31" t="s">
        <v>780</v>
      </c>
      <c r="F454" s="32" t="str">
        <f>_xlfn.LET(
    _xlpm.v_발생, IF(ISNUMBER(SEARCH("빈번", G454)), "상",
               IF(ISNUMBER(SEARCH("거의", G454)), "하", "중")),
    _xlpm.v_영향, IF(ISNUMBER(SEARCH("1개월", H454)), "상",
               IF(ISNUMBER(SEARCH("없음", H454)), "하", "중")),
    IF(AND(_xlpm.v_발생="상", _xlpm.v_영향="상"), "극상",
    IF(OR(_xlpm.v_발생="상", _xlpm.v_영향="상"), "상",
    IF(AND(_xlpm.v_발생="하", _xlpm.v_영향="하"), "하",
    "중")))
)</f>
        <v>극상</v>
      </c>
      <c r="G454" s="63" t="s">
        <v>40</v>
      </c>
      <c r="H454" s="63" t="s">
        <v>41</v>
      </c>
      <c r="I454" s="34" t="s">
        <v>781</v>
      </c>
      <c r="J454" s="33"/>
      <c r="K454" s="35"/>
      <c r="L454" s="33"/>
      <c r="M454" s="36"/>
      <c r="N454" s="33"/>
      <c r="O454" s="36"/>
      <c r="P454" s="33"/>
      <c r="Q454" s="37"/>
      <c r="R454" s="38"/>
      <c r="S454" s="33"/>
      <c r="T454" s="38"/>
      <c r="U454" s="33"/>
      <c r="V454" s="39"/>
      <c r="W454" s="90" t="b">
        <v>0</v>
      </c>
      <c r="X454" s="90" t="b">
        <v>0</v>
      </c>
      <c r="Y454" s="90" t="b">
        <v>0</v>
      </c>
      <c r="Z454" s="40" t="s">
        <v>699</v>
      </c>
      <c r="AA454" s="41"/>
      <c r="AK454" s="16"/>
      <c r="AL454" s="16"/>
      <c r="AM454" s="16"/>
      <c r="AN454" s="16"/>
      <c r="AO454" s="16"/>
      <c r="AP454" s="16"/>
      <c r="AQ454" s="16"/>
      <c r="AR454" s="16"/>
      <c r="AS454" s="16"/>
    </row>
    <row r="455" spans="1:45" s="7" customFormat="1" ht="195" customHeight="1">
      <c r="A455" s="27">
        <f>[1]트램표준체크리스트!A453</f>
        <v>451</v>
      </c>
      <c r="B455" s="28" t="str">
        <f>[1]트램표준체크리스트!B453</f>
        <v>토목구조</v>
      </c>
      <c r="C455" s="29" t="str">
        <f>[1]트램표준체크리스트!C453</f>
        <v>지하 굴착부 지하수 유동 분석 및 수위 관리 계획</v>
      </c>
      <c r="D455" s="30" t="str">
        <f>[1]트램표준체크리스트!F453</f>
        <v>광역 지하수 유동해석 및 수위 강하 검토 누락으로, 과도한 수위 저하에 따른 인접 도심지 구조물 기초의 광범위한 부등침하가 발생할 리스크를 검토하였는가?</v>
      </c>
      <c r="E455" s="31" t="s">
        <v>782</v>
      </c>
      <c r="F455" s="32" t="str">
        <f t="shared" ref="F455:F486" si="14">_xlfn.LET(
_xlpm.v_발생, IF(ISNUMBER(SEARCH("빈번", G455)), "상",
IF(ISNUMBER(SEARCH("거의", G455)), "하", "중")),
_xlpm.v_영향, IF(ISNUMBER(SEARCH("1개월", H455)), "상",
IF(ISNUMBER(SEARCH("없음", H455)), "하", "중")),
IF(AND(_xlpm.v_발생="상", _xlpm.v_영향="상"), "극상",
IF(OR(_xlpm.v_발생="상", _xlpm.v_영향="상"), "상",
IF(AND(_xlpm.v_발생="하", _xlpm.v_영향="하"), "하",
"중")))
)</f>
        <v>극상</v>
      </c>
      <c r="G455" s="63" t="s">
        <v>40</v>
      </c>
      <c r="H455" s="63" t="s">
        <v>41</v>
      </c>
      <c r="I455" s="34" t="s">
        <v>783</v>
      </c>
      <c r="J455" s="33"/>
      <c r="K455" s="35"/>
      <c r="L455" s="33"/>
      <c r="M455" s="36"/>
      <c r="N455" s="33"/>
      <c r="O455" s="36"/>
      <c r="P455" s="33"/>
      <c r="Q455" s="37"/>
      <c r="R455" s="38"/>
      <c r="S455" s="33"/>
      <c r="T455" s="38"/>
      <c r="U455" s="33"/>
      <c r="V455" s="39"/>
      <c r="W455" s="90" t="b">
        <v>0</v>
      </c>
      <c r="X455" s="90" t="b">
        <v>0</v>
      </c>
      <c r="Y455" s="90" t="b">
        <v>0</v>
      </c>
      <c r="Z455" s="40" t="s">
        <v>699</v>
      </c>
      <c r="AA455" s="41"/>
      <c r="AK455" s="16"/>
      <c r="AL455" s="16"/>
      <c r="AM455" s="16"/>
      <c r="AN455" s="16"/>
      <c r="AO455" s="16"/>
      <c r="AP455" s="16"/>
      <c r="AQ455" s="16"/>
      <c r="AR455" s="16"/>
      <c r="AS455" s="16"/>
    </row>
    <row r="456" spans="1:45" s="7" customFormat="1" ht="195" customHeight="1">
      <c r="A456" s="27">
        <f>[1]트램표준체크리스트!A454</f>
        <v>452</v>
      </c>
      <c r="B456" s="28" t="str">
        <f>[1]트램표준체크리스트!B454</f>
        <v>토목구조</v>
      </c>
      <c r="C456" s="29" t="str">
        <f>[1]트램표준체크리스트!C454</f>
        <v>지하 굴착부 지하수 유동 분석 및 수위 관리 계획</v>
      </c>
      <c r="D456" s="30" t="str">
        <f>[1]트램표준체크리스트!F454</f>
        <v>서울역 정거장 다목적 유공지주(가로등,신호) 이설을 통하여 안전관리 다설관리 최소화 리스크를 검토하였는가?</v>
      </c>
      <c r="E456" s="31" t="s">
        <v>784</v>
      </c>
      <c r="F456" s="32" t="str">
        <f t="shared" si="14"/>
        <v>극상</v>
      </c>
      <c r="G456" s="63" t="s">
        <v>40</v>
      </c>
      <c r="H456" s="63" t="s">
        <v>41</v>
      </c>
      <c r="I456" s="34" t="s">
        <v>785</v>
      </c>
      <c r="J456" s="33"/>
      <c r="K456" s="35"/>
      <c r="L456" s="33"/>
      <c r="M456" s="36"/>
      <c r="N456" s="33"/>
      <c r="O456" s="36"/>
      <c r="P456" s="33"/>
      <c r="Q456" s="37"/>
      <c r="R456" s="38"/>
      <c r="S456" s="33"/>
      <c r="T456" s="38"/>
      <c r="U456" s="33"/>
      <c r="V456" s="39"/>
      <c r="W456" s="90" t="b">
        <v>0</v>
      </c>
      <c r="X456" s="90" t="b">
        <v>0</v>
      </c>
      <c r="Y456" s="90" t="b">
        <v>0</v>
      </c>
      <c r="Z456" s="40" t="s">
        <v>699</v>
      </c>
      <c r="AA456" s="41"/>
      <c r="AK456" s="16"/>
      <c r="AL456" s="16"/>
      <c r="AM456" s="16"/>
      <c r="AN456" s="16"/>
      <c r="AO456" s="16"/>
      <c r="AP456" s="16"/>
      <c r="AQ456" s="16"/>
      <c r="AR456" s="16"/>
      <c r="AS456" s="16"/>
    </row>
    <row r="457" spans="1:45" s="7" customFormat="1" ht="195" customHeight="1">
      <c r="A457" s="27">
        <f>[1]트램표준체크리스트!A455</f>
        <v>453</v>
      </c>
      <c r="B457" s="28" t="str">
        <f>[1]트램표준체크리스트!B455</f>
        <v>토목구조</v>
      </c>
      <c r="C457" s="29" t="str">
        <f>[1]트램표준체크리스트!C455</f>
        <v>지하 굴착부 지하수 유동 분석 및 수위 관리 계획</v>
      </c>
      <c r="D457" s="30" t="str">
        <f>[1]트램표준체크리스트!F455</f>
        <v>신규설치 정거장 철거공사 관리하에 표준가로정비 협의가 지연됨에 따라 당초 계획대비 버스 교체기간이 추가됨 리스크를 검토하였는가?</v>
      </c>
      <c r="E457" s="31" t="s">
        <v>786</v>
      </c>
      <c r="F457" s="32" t="str">
        <f t="shared" si="14"/>
        <v>극상</v>
      </c>
      <c r="G457" s="63" t="s">
        <v>40</v>
      </c>
      <c r="H457" s="63" t="s">
        <v>41</v>
      </c>
      <c r="I457" s="34" t="s">
        <v>787</v>
      </c>
      <c r="J457" s="33"/>
      <c r="K457" s="35"/>
      <c r="L457" s="33"/>
      <c r="M457" s="36"/>
      <c r="N457" s="33"/>
      <c r="O457" s="36"/>
      <c r="P457" s="33"/>
      <c r="Q457" s="37"/>
      <c r="R457" s="38"/>
      <c r="S457" s="33"/>
      <c r="T457" s="38"/>
      <c r="U457" s="33"/>
      <c r="V457" s="39"/>
      <c r="W457" s="90" t="b">
        <v>0</v>
      </c>
      <c r="X457" s="90" t="b">
        <v>0</v>
      </c>
      <c r="Y457" s="90" t="b">
        <v>0</v>
      </c>
      <c r="Z457" s="40" t="s">
        <v>699</v>
      </c>
      <c r="AA457" s="41"/>
      <c r="AK457" s="16"/>
      <c r="AL457" s="16"/>
      <c r="AM457" s="16"/>
      <c r="AN457" s="16"/>
      <c r="AO457" s="16"/>
      <c r="AP457" s="16"/>
      <c r="AQ457" s="16"/>
      <c r="AR457" s="16"/>
      <c r="AS457" s="16"/>
    </row>
    <row r="458" spans="1:45" s="7" customFormat="1" ht="195" customHeight="1">
      <c r="A458" s="27">
        <f>[1]트램표준체크리스트!A456</f>
        <v>454</v>
      </c>
      <c r="B458" s="28" t="str">
        <f>[1]트램표준체크리스트!B456</f>
        <v>토목구조</v>
      </c>
      <c r="C458" s="29" t="str">
        <f>[1]트램표준체크리스트!C456</f>
        <v>지하구조물 및 흙막이 가시설</v>
      </c>
      <c r="D458" s="30" t="str">
        <f>[1]트램표준체크리스트!F456</f>
        <v>양압력·수압 과소 설계 및 이음부 누수처리 누락으로 구조물 부상(Up-lift) 및 벽체 대규모 누수가 발생할 리스크를 검토하였는가?</v>
      </c>
      <c r="E458" s="31" t="s">
        <v>788</v>
      </c>
      <c r="F458" s="32" t="str">
        <f t="shared" si="14"/>
        <v>극상</v>
      </c>
      <c r="G458" s="63" t="s">
        <v>40</v>
      </c>
      <c r="H458" s="63" t="s">
        <v>41</v>
      </c>
      <c r="I458" s="34" t="s">
        <v>789</v>
      </c>
      <c r="J458" s="33"/>
      <c r="K458" s="35"/>
      <c r="L458" s="33"/>
      <c r="M458" s="36"/>
      <c r="N458" s="33"/>
      <c r="O458" s="36"/>
      <c r="P458" s="33"/>
      <c r="Q458" s="37"/>
      <c r="R458" s="38"/>
      <c r="S458" s="33"/>
      <c r="T458" s="38"/>
      <c r="U458" s="33"/>
      <c r="V458" s="39"/>
      <c r="W458" s="90" t="b">
        <v>0</v>
      </c>
      <c r="X458" s="90" t="b">
        <v>0</v>
      </c>
      <c r="Y458" s="90" t="b">
        <v>0</v>
      </c>
      <c r="Z458" s="40" t="s">
        <v>699</v>
      </c>
      <c r="AA458" s="41"/>
      <c r="AK458" s="16"/>
      <c r="AL458" s="16"/>
      <c r="AM458" s="16"/>
      <c r="AN458" s="16"/>
      <c r="AO458" s="16"/>
      <c r="AP458" s="16"/>
      <c r="AQ458" s="16"/>
      <c r="AR458" s="16"/>
      <c r="AS458" s="16"/>
    </row>
    <row r="459" spans="1:45" s="7" customFormat="1" ht="195" customHeight="1">
      <c r="A459" s="27">
        <f>[1]트램표준체크리스트!A457</f>
        <v>455</v>
      </c>
      <c r="B459" s="28" t="str">
        <f>[1]트램표준체크리스트!B457</f>
        <v>토목구조</v>
      </c>
      <c r="C459" s="29" t="str">
        <f>[1]트램표준체크리스트!C457</f>
        <v>지하구조물 부력방지 계획</v>
      </c>
      <c r="D459" s="30" t="str">
        <f>[1]트램표준체크리스트!F457</f>
        <v>부력 검토 누락 및 과소평가로 수위 상승 시 구조물이 부상(Up-lift)해 궤도 선형이 치명적으로 융기될 리스크를 검토하였는가?</v>
      </c>
      <c r="E459" s="31" t="s">
        <v>790</v>
      </c>
      <c r="F459" s="32" t="str">
        <f t="shared" si="14"/>
        <v>극상</v>
      </c>
      <c r="G459" s="63" t="s">
        <v>40</v>
      </c>
      <c r="H459" s="63" t="s">
        <v>41</v>
      </c>
      <c r="I459" s="34" t="s">
        <v>791</v>
      </c>
      <c r="J459" s="33"/>
      <c r="K459" s="35"/>
      <c r="L459" s="33"/>
      <c r="M459" s="36"/>
      <c r="N459" s="33"/>
      <c r="O459" s="36"/>
      <c r="P459" s="33"/>
      <c r="Q459" s="37"/>
      <c r="R459" s="38"/>
      <c r="S459" s="33"/>
      <c r="T459" s="38"/>
      <c r="U459" s="33"/>
      <c r="V459" s="39"/>
      <c r="W459" s="90" t="b">
        <v>0</v>
      </c>
      <c r="X459" s="90" t="b">
        <v>0</v>
      </c>
      <c r="Y459" s="90" t="b">
        <v>0</v>
      </c>
      <c r="Z459" s="40" t="s">
        <v>699</v>
      </c>
      <c r="AA459" s="41"/>
      <c r="AK459" s="16"/>
      <c r="AL459" s="16"/>
      <c r="AM459" s="16"/>
      <c r="AN459" s="16"/>
      <c r="AO459" s="16"/>
      <c r="AP459" s="16"/>
      <c r="AQ459" s="16"/>
      <c r="AR459" s="16"/>
      <c r="AS459" s="16"/>
    </row>
    <row r="460" spans="1:45" s="7" customFormat="1" ht="195" customHeight="1">
      <c r="A460" s="27">
        <f>[1]트램표준체크리스트!A458</f>
        <v>456</v>
      </c>
      <c r="B460" s="28" t="str">
        <f>[1]트램표준체크리스트!B458</f>
        <v>토목구조</v>
      </c>
      <c r="C460" s="29" t="str">
        <f>[1]트램표준체크리스트!C458</f>
        <v>지하매설물 간섭구간 가시설</v>
      </c>
      <c r="D460" s="30" t="str">
        <f>[1]트램표준체크리스트!F458</f>
        <v>주요 관로(가스, 열배관 등) 매달기/가받침 방호 설계 및 구조계산 누락으로 관로 파손 및 대형 재난이 유발될 리스크를 검토하였는가?</v>
      </c>
      <c r="E460" s="31" t="s">
        <v>792</v>
      </c>
      <c r="F460" s="32" t="str">
        <f t="shared" si="14"/>
        <v>극상</v>
      </c>
      <c r="G460" s="63" t="s">
        <v>40</v>
      </c>
      <c r="H460" s="63" t="s">
        <v>41</v>
      </c>
      <c r="I460" s="34" t="s">
        <v>793</v>
      </c>
      <c r="J460" s="33"/>
      <c r="K460" s="35"/>
      <c r="L460" s="33"/>
      <c r="M460" s="36"/>
      <c r="N460" s="33"/>
      <c r="O460" s="36"/>
      <c r="P460" s="33"/>
      <c r="Q460" s="37"/>
      <c r="R460" s="38"/>
      <c r="S460" s="33"/>
      <c r="T460" s="38"/>
      <c r="U460" s="33"/>
      <c r="V460" s="39"/>
      <c r="W460" s="90" t="b">
        <v>0</v>
      </c>
      <c r="X460" s="90" t="b">
        <v>0</v>
      </c>
      <c r="Y460" s="90" t="b">
        <v>0</v>
      </c>
      <c r="Z460" s="40" t="s">
        <v>699</v>
      </c>
      <c r="AA460" s="41"/>
      <c r="AK460" s="16"/>
      <c r="AL460" s="16"/>
      <c r="AM460" s="16"/>
      <c r="AN460" s="16"/>
      <c r="AO460" s="16"/>
      <c r="AP460" s="16"/>
      <c r="AQ460" s="16"/>
      <c r="AR460" s="16"/>
      <c r="AS460" s="16"/>
    </row>
    <row r="461" spans="1:45" s="7" customFormat="1" ht="195" customHeight="1">
      <c r="A461" s="27">
        <f>[1]트램표준체크리스트!A459</f>
        <v>457</v>
      </c>
      <c r="B461" s="28" t="str">
        <f>[1]트램표준체크리스트!B459</f>
        <v>토목구조</v>
      </c>
      <c r="C461" s="29" t="str">
        <f>[1]트램표준체크리스트!C459</f>
        <v>차량기지 특수구조 계획</v>
      </c>
      <c r="D461" s="30" t="str">
        <f>[1]트램표준체크리스트!F459</f>
        <v>H-Beam 등 궤도 시스템과의 인터페이스 누락으로 구조물 단면 부족 및 주철근·앵커볼트 간 극심한 간섭이 발생할 리스크를 검토하였는가?</v>
      </c>
      <c r="E461" s="31" t="s">
        <v>794</v>
      </c>
      <c r="F461" s="32" t="str">
        <f t="shared" si="14"/>
        <v>극상</v>
      </c>
      <c r="G461" s="63" t="s">
        <v>40</v>
      </c>
      <c r="H461" s="63" t="s">
        <v>41</v>
      </c>
      <c r="I461" s="34" t="s">
        <v>795</v>
      </c>
      <c r="J461" s="33"/>
      <c r="K461" s="35"/>
      <c r="L461" s="33"/>
      <c r="M461" s="36"/>
      <c r="N461" s="33"/>
      <c r="O461" s="36"/>
      <c r="P461" s="33"/>
      <c r="Q461" s="37"/>
      <c r="R461" s="38"/>
      <c r="S461" s="33"/>
      <c r="T461" s="38"/>
      <c r="U461" s="33"/>
      <c r="V461" s="39"/>
      <c r="W461" s="90" t="b">
        <v>0</v>
      </c>
      <c r="X461" s="90" t="b">
        <v>0</v>
      </c>
      <c r="Y461" s="90" t="b">
        <v>0</v>
      </c>
      <c r="Z461" s="40" t="s">
        <v>699</v>
      </c>
      <c r="AA461" s="41"/>
      <c r="AK461" s="16"/>
      <c r="AL461" s="16"/>
      <c r="AM461" s="16"/>
      <c r="AN461" s="16"/>
      <c r="AO461" s="16"/>
      <c r="AP461" s="16"/>
      <c r="AQ461" s="16"/>
      <c r="AR461" s="16"/>
      <c r="AS461" s="16"/>
    </row>
    <row r="462" spans="1:45" s="7" customFormat="1" ht="195" customHeight="1">
      <c r="A462" s="27">
        <f>[1]트램표준체크리스트!A460</f>
        <v>458</v>
      </c>
      <c r="B462" s="28" t="str">
        <f>[1]트램표준체크리스트!B460</f>
        <v>토목구조</v>
      </c>
      <c r="C462" s="29" t="str">
        <f>[1]트램표준체크리스트!C460</f>
        <v>차량기지 특수구조 계획</v>
      </c>
      <c r="D462" s="30" t="str">
        <f>[1]트램표준체크리스트!F460</f>
        <v>이면도로와의 표고차를 간과해 방호벽·가드레일 설계를 누락하여, 외부 차량이 기지로 추락해 트램과 대형 충돌할 리스크를 검토하였는가?</v>
      </c>
      <c r="E462" s="31" t="s">
        <v>796</v>
      </c>
      <c r="F462" s="32" t="str">
        <f t="shared" si="14"/>
        <v>극상</v>
      </c>
      <c r="G462" s="63" t="s">
        <v>40</v>
      </c>
      <c r="H462" s="63" t="s">
        <v>41</v>
      </c>
      <c r="I462" s="34" t="s">
        <v>797</v>
      </c>
      <c r="J462" s="33"/>
      <c r="K462" s="35"/>
      <c r="L462" s="33"/>
      <c r="M462" s="36"/>
      <c r="N462" s="33"/>
      <c r="O462" s="36"/>
      <c r="P462" s="33"/>
      <c r="Q462" s="37"/>
      <c r="R462" s="38"/>
      <c r="S462" s="33"/>
      <c r="T462" s="38"/>
      <c r="U462" s="33"/>
      <c r="V462" s="39"/>
      <c r="W462" s="90" t="b">
        <v>0</v>
      </c>
      <c r="X462" s="90" t="b">
        <v>0</v>
      </c>
      <c r="Y462" s="90" t="b">
        <v>0</v>
      </c>
      <c r="Z462" s="40" t="s">
        <v>699</v>
      </c>
      <c r="AA462" s="41"/>
      <c r="AK462" s="16"/>
      <c r="AL462" s="16"/>
      <c r="AM462" s="16"/>
      <c r="AN462" s="16"/>
      <c r="AO462" s="16"/>
      <c r="AP462" s="16"/>
      <c r="AQ462" s="16"/>
      <c r="AR462" s="16"/>
      <c r="AS462" s="16"/>
    </row>
    <row r="463" spans="1:45" s="7" customFormat="1" ht="195" customHeight="1">
      <c r="A463" s="27">
        <f>[1]트램표준체크리스트!A461</f>
        <v>459</v>
      </c>
      <c r="B463" s="28" t="str">
        <f>[1]트램표준체크리스트!B461</f>
        <v>토목구조</v>
      </c>
      <c r="C463" s="29" t="str">
        <f>[1]트램표준체크리스트!C461</f>
        <v>터널 구조물 계획</v>
      </c>
      <c r="D463" s="30" t="str">
        <f>[1]트램표준체크리스트!F461</f>
        <v>획일적 갱문 설계에 따른 경관 저해 및 비탈면 보강(앵커 등) 누락으로 토석류가 터널 입구를 덮칠 리스크를 검토하였는가?</v>
      </c>
      <c r="E463" s="31" t="s">
        <v>798</v>
      </c>
      <c r="F463" s="32" t="str">
        <f t="shared" si="14"/>
        <v>극상</v>
      </c>
      <c r="G463" s="63" t="s">
        <v>40</v>
      </c>
      <c r="H463" s="63" t="s">
        <v>41</v>
      </c>
      <c r="I463" s="34" t="s">
        <v>799</v>
      </c>
      <c r="J463" s="33"/>
      <c r="K463" s="35"/>
      <c r="L463" s="33"/>
      <c r="M463" s="36"/>
      <c r="N463" s="33"/>
      <c r="O463" s="36"/>
      <c r="P463" s="33"/>
      <c r="Q463" s="37"/>
      <c r="R463" s="38"/>
      <c r="S463" s="33"/>
      <c r="T463" s="38"/>
      <c r="U463" s="33"/>
      <c r="V463" s="39"/>
      <c r="W463" s="90" t="b">
        <v>0</v>
      </c>
      <c r="X463" s="90" t="b">
        <v>0</v>
      </c>
      <c r="Y463" s="90" t="b">
        <v>0</v>
      </c>
      <c r="Z463" s="40" t="s">
        <v>699</v>
      </c>
      <c r="AA463" s="41"/>
      <c r="AK463" s="16"/>
      <c r="AL463" s="16"/>
      <c r="AM463" s="16"/>
      <c r="AN463" s="16"/>
      <c r="AO463" s="16"/>
      <c r="AP463" s="16"/>
      <c r="AQ463" s="16"/>
      <c r="AR463" s="16"/>
      <c r="AS463" s="16"/>
    </row>
    <row r="464" spans="1:45" s="7" customFormat="1" ht="195" customHeight="1">
      <c r="A464" s="27">
        <f>[1]트램표준체크리스트!A462</f>
        <v>460</v>
      </c>
      <c r="B464" s="28" t="str">
        <f>[1]트램표준체크리스트!B462</f>
        <v>토목구조</v>
      </c>
      <c r="C464" s="29" t="str">
        <f>[1]트램표준체크리스트!C462</f>
        <v>터널 구조물 계획</v>
      </c>
      <c r="D464" s="30" t="str">
        <f>[1]트램표준체크리스트!F462</f>
        <v>지하구조물 대피로 및 방재설비 공간 과소 설계로 비상 시 대피 병목 및 대규모 인명피해가 유발될 리스크를 검토하였는가?</v>
      </c>
      <c r="E464" s="31" t="s">
        <v>800</v>
      </c>
      <c r="F464" s="32" t="str">
        <f t="shared" si="14"/>
        <v>극상</v>
      </c>
      <c r="G464" s="63" t="s">
        <v>40</v>
      </c>
      <c r="H464" s="63" t="s">
        <v>41</v>
      </c>
      <c r="I464" s="34" t="s">
        <v>801</v>
      </c>
      <c r="J464" s="33"/>
      <c r="K464" s="35"/>
      <c r="L464" s="33"/>
      <c r="M464" s="36"/>
      <c r="N464" s="33"/>
      <c r="O464" s="36"/>
      <c r="P464" s="33"/>
      <c r="Q464" s="37"/>
      <c r="R464" s="38"/>
      <c r="S464" s="33"/>
      <c r="T464" s="38"/>
      <c r="U464" s="33"/>
      <c r="V464" s="39"/>
      <c r="W464" s="90" t="b">
        <v>0</v>
      </c>
      <c r="X464" s="90" t="b">
        <v>0</v>
      </c>
      <c r="Y464" s="90" t="b">
        <v>0</v>
      </c>
      <c r="Z464" s="40" t="s">
        <v>699</v>
      </c>
      <c r="AA464" s="41"/>
      <c r="AK464" s="16"/>
      <c r="AL464" s="16"/>
      <c r="AM464" s="16"/>
      <c r="AN464" s="16"/>
      <c r="AO464" s="16"/>
      <c r="AP464" s="16"/>
      <c r="AQ464" s="16"/>
      <c r="AR464" s="16"/>
      <c r="AS464" s="16"/>
    </row>
    <row r="465" spans="1:45" s="7" customFormat="1" ht="195" customHeight="1">
      <c r="A465" s="27">
        <f>[1]트램표준체크리스트!A463</f>
        <v>461</v>
      </c>
      <c r="B465" s="28" t="str">
        <f>[1]트램표준체크리스트!B463</f>
        <v>토목구조</v>
      </c>
      <c r="C465" s="29" t="str">
        <f>[1]트램표준체크리스트!C463</f>
        <v>토공 및 노반계획</v>
      </c>
      <c r="D465" s="30" t="str">
        <f>[1]트램표준체크리스트!F463</f>
        <v>사토장 확보 및 운반 동선 검토 누락으로 토사 반출 및 공기가 지연될 리스크를 검토하였는가?</v>
      </c>
      <c r="E465" s="31" t="s">
        <v>802</v>
      </c>
      <c r="F465" s="32" t="str">
        <f t="shared" si="14"/>
        <v>극상</v>
      </c>
      <c r="G465" s="63" t="s">
        <v>40</v>
      </c>
      <c r="H465" s="63" t="s">
        <v>41</v>
      </c>
      <c r="I465" s="34" t="s">
        <v>803</v>
      </c>
      <c r="J465" s="33"/>
      <c r="K465" s="35"/>
      <c r="L465" s="33"/>
      <c r="M465" s="36"/>
      <c r="N465" s="33"/>
      <c r="O465" s="36"/>
      <c r="P465" s="33"/>
      <c r="Q465" s="37"/>
      <c r="R465" s="38"/>
      <c r="S465" s="33"/>
      <c r="T465" s="38"/>
      <c r="U465" s="33"/>
      <c r="V465" s="39"/>
      <c r="W465" s="90" t="b">
        <v>0</v>
      </c>
      <c r="X465" s="90" t="b">
        <v>0</v>
      </c>
      <c r="Y465" s="90" t="b">
        <v>0</v>
      </c>
      <c r="Z465" s="40" t="s">
        <v>699</v>
      </c>
      <c r="AA465" s="41"/>
      <c r="AK465" s="16"/>
      <c r="AL465" s="16"/>
      <c r="AM465" s="16"/>
      <c r="AN465" s="16"/>
      <c r="AO465" s="16"/>
      <c r="AP465" s="16"/>
      <c r="AQ465" s="16"/>
      <c r="AR465" s="16"/>
      <c r="AS465" s="16"/>
    </row>
    <row r="466" spans="1:45" s="7" customFormat="1" ht="195" customHeight="1">
      <c r="A466" s="27">
        <f>[1]트램표준체크리스트!A464</f>
        <v>462</v>
      </c>
      <c r="B466" s="28" t="str">
        <f>[1]트램표준체크리스트!B464</f>
        <v>토목구조</v>
      </c>
      <c r="C466" s="29" t="str">
        <f>[1]트램표준체크리스트!C464</f>
        <v>토공 및 비탈면 굴착 계획</v>
      </c>
      <c r="D466" s="30" t="str">
        <f>[1]트램표준체크리스트!F464</f>
        <v>Face Mapping 및 보강대책 수립 누락으로 실제 지질 불량구간에서 대규모 사면 슬라이딩 붕괴가 유발될 리스크를 검토하였는가?</v>
      </c>
      <c r="E466" s="31" t="s">
        <v>804</v>
      </c>
      <c r="F466" s="32" t="str">
        <f t="shared" si="14"/>
        <v>극상</v>
      </c>
      <c r="G466" s="63" t="s">
        <v>40</v>
      </c>
      <c r="H466" s="63" t="s">
        <v>41</v>
      </c>
      <c r="I466" s="34" t="s">
        <v>805</v>
      </c>
      <c r="J466" s="33"/>
      <c r="K466" s="35"/>
      <c r="L466" s="33"/>
      <c r="M466" s="36"/>
      <c r="N466" s="33"/>
      <c r="O466" s="36"/>
      <c r="P466" s="33"/>
      <c r="Q466" s="37"/>
      <c r="R466" s="38"/>
      <c r="S466" s="33"/>
      <c r="T466" s="38"/>
      <c r="U466" s="33"/>
      <c r="V466" s="39"/>
      <c r="W466" s="90" t="b">
        <v>0</v>
      </c>
      <c r="X466" s="90" t="b">
        <v>0</v>
      </c>
      <c r="Y466" s="90" t="b">
        <v>0</v>
      </c>
      <c r="Z466" s="40" t="s">
        <v>699</v>
      </c>
      <c r="AA466" s="41"/>
      <c r="AK466" s="16"/>
      <c r="AL466" s="16"/>
      <c r="AM466" s="16"/>
      <c r="AN466" s="16"/>
      <c r="AO466" s="16"/>
      <c r="AP466" s="16"/>
      <c r="AQ466" s="16"/>
      <c r="AR466" s="16"/>
      <c r="AS466" s="16"/>
    </row>
    <row r="467" spans="1:45" s="7" customFormat="1" ht="195" customHeight="1">
      <c r="A467" s="27">
        <f>[1]트램표준체크리스트!A465</f>
        <v>463</v>
      </c>
      <c r="B467" s="28" t="str">
        <f>[1]트램표준체크리스트!B465</f>
        <v>토목구조</v>
      </c>
      <c r="C467" s="29" t="str">
        <f>[1]트램표준체크리스트!C465</f>
        <v>토목-궤도 배수 인터페이스</v>
      </c>
      <c r="D467" s="30" t="str">
        <f>[1]트램표준체크리스트!F465</f>
        <v>노면수 유입 차단 구배 및 배수관로(BOX, 원형관 등) 단면적 과소 설계로 호우 시 노반이 침수·세굴될 리스크를 검토하였는가?</v>
      </c>
      <c r="E467" s="31" t="s">
        <v>806</v>
      </c>
      <c r="F467" s="32" t="str">
        <f t="shared" si="14"/>
        <v>극상</v>
      </c>
      <c r="G467" s="63" t="s">
        <v>40</v>
      </c>
      <c r="H467" s="63" t="s">
        <v>41</v>
      </c>
      <c r="I467" s="34" t="s">
        <v>807</v>
      </c>
      <c r="J467" s="33"/>
      <c r="K467" s="35"/>
      <c r="L467" s="33"/>
      <c r="M467" s="36"/>
      <c r="N467" s="33"/>
      <c r="O467" s="36"/>
      <c r="P467" s="33"/>
      <c r="Q467" s="37"/>
      <c r="R467" s="38"/>
      <c r="S467" s="33"/>
      <c r="T467" s="38"/>
      <c r="U467" s="33"/>
      <c r="V467" s="39"/>
      <c r="W467" s="90" t="b">
        <v>0</v>
      </c>
      <c r="X467" s="90" t="b">
        <v>0</v>
      </c>
      <c r="Y467" s="90" t="b">
        <v>0</v>
      </c>
      <c r="Z467" s="40" t="s">
        <v>699</v>
      </c>
      <c r="AA467" s="41"/>
      <c r="AK467" s="16"/>
      <c r="AL467" s="16"/>
      <c r="AM467" s="16"/>
      <c r="AN467" s="16"/>
      <c r="AO467" s="16"/>
      <c r="AP467" s="16"/>
      <c r="AQ467" s="16"/>
      <c r="AR467" s="16"/>
      <c r="AS467" s="16"/>
    </row>
    <row r="468" spans="1:45" s="7" customFormat="1" ht="195" customHeight="1">
      <c r="A468" s="27">
        <f>[1]트램표준체크리스트!A466</f>
        <v>464</v>
      </c>
      <c r="B468" s="28" t="str">
        <f>[1]트램표준체크리스트!B466</f>
        <v>토목구조</v>
      </c>
      <c r="C468" s="29" t="str">
        <f>[1]트램표준체크리스트!C466</f>
        <v>토목-궤도 배수 인터페이스</v>
      </c>
      <c r="D468" s="30" t="str">
        <f>[1]트램표준체크리스트!F466</f>
        <v>횡단 배수로가 Impact Zone 및 동결심도 내로 설계되어 동상(Frost Heave) 및 하중에 의해 관로가 동파·압굴될 리스크를 검토하였는가?</v>
      </c>
      <c r="E468" s="31" t="s">
        <v>808</v>
      </c>
      <c r="F468" s="32" t="str">
        <f t="shared" si="14"/>
        <v>극상</v>
      </c>
      <c r="G468" s="63" t="s">
        <v>40</v>
      </c>
      <c r="H468" s="63" t="s">
        <v>41</v>
      </c>
      <c r="I468" s="34" t="s">
        <v>809</v>
      </c>
      <c r="J468" s="33"/>
      <c r="K468" s="35"/>
      <c r="L468" s="33"/>
      <c r="M468" s="36"/>
      <c r="N468" s="33"/>
      <c r="O468" s="36"/>
      <c r="P468" s="33"/>
      <c r="Q468" s="37"/>
      <c r="R468" s="38"/>
      <c r="S468" s="33"/>
      <c r="T468" s="38"/>
      <c r="U468" s="33"/>
      <c r="V468" s="39"/>
      <c r="W468" s="90" t="b">
        <v>0</v>
      </c>
      <c r="X468" s="90" t="b">
        <v>0</v>
      </c>
      <c r="Y468" s="90" t="b">
        <v>0</v>
      </c>
      <c r="Z468" s="40" t="s">
        <v>699</v>
      </c>
      <c r="AA468" s="41"/>
      <c r="AK468" s="16"/>
      <c r="AL468" s="16"/>
      <c r="AM468" s="16"/>
      <c r="AN468" s="16"/>
      <c r="AO468" s="16"/>
      <c r="AP468" s="16"/>
      <c r="AQ468" s="16"/>
      <c r="AR468" s="16"/>
      <c r="AS468" s="16"/>
    </row>
    <row r="469" spans="1:45" s="7" customFormat="1" ht="195" customHeight="1">
      <c r="A469" s="27">
        <f>[1]트램표준체크리스트!A467</f>
        <v>465</v>
      </c>
      <c r="B469" s="28" t="str">
        <f>[1]트램표준체크리스트!B467</f>
        <v>토목구조</v>
      </c>
      <c r="C469" s="29" t="str">
        <f>[1]트램표준체크리스트!C467</f>
        <v>토목-궤도 배수 인터페이스</v>
      </c>
      <c r="D469" s="30" t="str">
        <f>[1]트램표준체크리스트!F467</f>
        <v>설계시 토목 및 조경등의 영역을 통한 가로수의 이설이 아파트 50m 보호구역 및 경계벽의 블록 이설 리스크를 검토하였는가?</v>
      </c>
      <c r="E469" s="31" t="s">
        <v>810</v>
      </c>
      <c r="F469" s="32" t="str">
        <f t="shared" si="14"/>
        <v>극상</v>
      </c>
      <c r="G469" s="63" t="s">
        <v>40</v>
      </c>
      <c r="H469" s="63" t="s">
        <v>41</v>
      </c>
      <c r="I469" s="34" t="s">
        <v>811</v>
      </c>
      <c r="J469" s="33"/>
      <c r="K469" s="35"/>
      <c r="L469" s="33"/>
      <c r="M469" s="36"/>
      <c r="N469" s="33"/>
      <c r="O469" s="36"/>
      <c r="P469" s="33"/>
      <c r="Q469" s="37"/>
      <c r="R469" s="38"/>
      <c r="S469" s="33"/>
      <c r="T469" s="38"/>
      <c r="U469" s="33"/>
      <c r="V469" s="39"/>
      <c r="W469" s="90" t="b">
        <v>0</v>
      </c>
      <c r="X469" s="90" t="b">
        <v>0</v>
      </c>
      <c r="Y469" s="90" t="b">
        <v>0</v>
      </c>
      <c r="Z469" s="40" t="s">
        <v>699</v>
      </c>
      <c r="AA469" s="41"/>
      <c r="AK469" s="16"/>
      <c r="AL469" s="16"/>
      <c r="AM469" s="16"/>
      <c r="AN469" s="16"/>
      <c r="AO469" s="16"/>
      <c r="AP469" s="16"/>
      <c r="AQ469" s="16"/>
      <c r="AR469" s="16"/>
      <c r="AS469" s="16"/>
    </row>
    <row r="470" spans="1:45" s="7" customFormat="1" ht="195" customHeight="1">
      <c r="A470" s="27">
        <f>[1]트램표준체크리스트!A468</f>
        <v>466</v>
      </c>
      <c r="B470" s="28" t="str">
        <f>[1]트램표준체크리스트!B468</f>
        <v>토질 및 기초</v>
      </c>
      <c r="C470" s="29" t="str">
        <f>[1]트램표준체크리스트!C468</f>
        <v>가도/진입로</v>
      </c>
      <c r="D470" s="30" t="str">
        <f>[1]트램표준체크리스트!F468</f>
        <v>항타기 등 대형 장비의 진입로 폭과 회전 반경이 현장 여건(농로, 마을길)과 부합하는가?</v>
      </c>
      <c r="E470" s="31" t="s">
        <v>3339</v>
      </c>
      <c r="F470" s="32" t="str">
        <f t="shared" si="14"/>
        <v>극상</v>
      </c>
      <c r="G470" s="63" t="s">
        <v>40</v>
      </c>
      <c r="H470" s="63" t="s">
        <v>41</v>
      </c>
      <c r="I470" s="34" t="s">
        <v>3340</v>
      </c>
      <c r="J470" s="33"/>
      <c r="K470" s="35"/>
      <c r="L470" s="33"/>
      <c r="M470" s="36"/>
      <c r="N470" s="33"/>
      <c r="O470" s="36"/>
      <c r="P470" s="33"/>
      <c r="Q470" s="37"/>
      <c r="R470" s="38"/>
      <c r="S470" s="33"/>
      <c r="T470" s="38"/>
      <c r="U470" s="33"/>
      <c r="V470" s="39"/>
      <c r="W470" s="90" t="b">
        <v>0</v>
      </c>
      <c r="X470" s="90" t="b">
        <v>0</v>
      </c>
      <c r="Y470" s="90" t="b">
        <v>0</v>
      </c>
      <c r="Z470" s="40" t="s">
        <v>3341</v>
      </c>
      <c r="AA470" s="41"/>
      <c r="AK470" s="16"/>
      <c r="AL470" s="16"/>
      <c r="AM470" s="16"/>
      <c r="AN470" s="16"/>
      <c r="AO470" s="16"/>
      <c r="AP470" s="16"/>
      <c r="AQ470" s="16"/>
      <c r="AR470" s="16"/>
      <c r="AS470" s="16"/>
    </row>
    <row r="471" spans="1:45" s="7" customFormat="1" ht="195" customHeight="1">
      <c r="A471" s="27">
        <f>[1]트램표준체크리스트!A469</f>
        <v>467</v>
      </c>
      <c r="B471" s="28" t="str">
        <f>[1]트램표준체크리스트!B469</f>
        <v>토질 및 기초</v>
      </c>
      <c r="C471" s="29" t="str">
        <f>[1]트램표준체크리스트!C469</f>
        <v>가도/진입로</v>
      </c>
      <c r="D471" s="30" t="str">
        <f>[1]트램표준체크리스트!F469</f>
        <v>투입 예정 장비(항타기, 크레인)의 제원(폭, 길이, 등판능력)과 진입로 현황이 부합하는가?</v>
      </c>
      <c r="E471" s="31" t="s">
        <v>3342</v>
      </c>
      <c r="F471" s="32" t="str">
        <f t="shared" si="14"/>
        <v>극상</v>
      </c>
      <c r="G471" s="63" t="s">
        <v>40</v>
      </c>
      <c r="H471" s="63" t="s">
        <v>41</v>
      </c>
      <c r="I471" s="34" t="s">
        <v>3343</v>
      </c>
      <c r="J471" s="33"/>
      <c r="K471" s="35"/>
      <c r="L471" s="33"/>
      <c r="M471" s="36"/>
      <c r="N471" s="33"/>
      <c r="O471" s="36"/>
      <c r="P471" s="33"/>
      <c r="Q471" s="37"/>
      <c r="R471" s="38"/>
      <c r="S471" s="33"/>
      <c r="T471" s="38"/>
      <c r="U471" s="33"/>
      <c r="V471" s="39"/>
      <c r="W471" s="90" t="b">
        <v>0</v>
      </c>
      <c r="X471" s="90" t="b">
        <v>0</v>
      </c>
      <c r="Y471" s="90" t="b">
        <v>0</v>
      </c>
      <c r="Z471" s="40" t="s">
        <v>3341</v>
      </c>
      <c r="AA471" s="41"/>
      <c r="AK471" s="16"/>
      <c r="AL471" s="16"/>
      <c r="AM471" s="16"/>
      <c r="AN471" s="16"/>
      <c r="AO471" s="16"/>
      <c r="AP471" s="16"/>
      <c r="AQ471" s="16"/>
      <c r="AR471" s="16"/>
      <c r="AS471" s="16"/>
    </row>
    <row r="472" spans="1:45" s="7" customFormat="1" ht="195" customHeight="1">
      <c r="A472" s="27">
        <f>[1]트램표준체크리스트!A470</f>
        <v>468</v>
      </c>
      <c r="B472" s="28" t="str">
        <f>[1]트램표준체크리스트!B470</f>
        <v>토질 및 기초</v>
      </c>
      <c r="C472" s="29" t="str">
        <f>[1]트램표준체크리스트!C470</f>
        <v>가설 벤트</v>
      </c>
      <c r="D472" s="30" t="str">
        <f>[1]트램표준체크리스트!F470</f>
        <v>특수 교각(Y형, 아치형) 시공 시 작업자 발판 및 거푸집 지지를 위한 가설 벤트가 반영되었는가?</v>
      </c>
      <c r="E472" s="31" t="s">
        <v>3344</v>
      </c>
      <c r="F472" s="32" t="str">
        <f t="shared" si="14"/>
        <v>극상</v>
      </c>
      <c r="G472" s="63" t="s">
        <v>40</v>
      </c>
      <c r="H472" s="63" t="s">
        <v>41</v>
      </c>
      <c r="I472" s="34" t="s">
        <v>3345</v>
      </c>
      <c r="J472" s="33"/>
      <c r="K472" s="35"/>
      <c r="L472" s="33"/>
      <c r="M472" s="36"/>
      <c r="N472" s="33"/>
      <c r="O472" s="36"/>
      <c r="P472" s="33"/>
      <c r="Q472" s="37"/>
      <c r="R472" s="38"/>
      <c r="S472" s="33"/>
      <c r="T472" s="38"/>
      <c r="U472" s="33"/>
      <c r="V472" s="39"/>
      <c r="W472" s="90" t="b">
        <v>0</v>
      </c>
      <c r="X472" s="90" t="b">
        <v>0</v>
      </c>
      <c r="Y472" s="90" t="b">
        <v>0</v>
      </c>
      <c r="Z472" s="40" t="s">
        <v>3346</v>
      </c>
      <c r="AA472" s="41"/>
      <c r="AK472" s="16"/>
      <c r="AL472" s="16"/>
      <c r="AM472" s="16"/>
      <c r="AN472" s="16"/>
      <c r="AO472" s="16"/>
      <c r="AP472" s="16"/>
      <c r="AQ472" s="16"/>
      <c r="AR472" s="16"/>
      <c r="AS472" s="16"/>
    </row>
    <row r="473" spans="1:45" s="7" customFormat="1" ht="195" customHeight="1">
      <c r="A473" s="27">
        <f>[1]트램표준체크리스트!A471</f>
        <v>469</v>
      </c>
      <c r="B473" s="28" t="str">
        <f>[1]트램표준체크리스트!B471</f>
        <v>토질 및 기초</v>
      </c>
      <c r="C473" s="29" t="str">
        <f>[1]트램표준체크리스트!C471</f>
        <v>가시설</v>
      </c>
      <c r="D473" s="30" t="str">
        <f>[1]트램표준체크리스트!F471</f>
        <v>지반 조건(점토/사질토)에 적합한 차수 공법(Grouting vs Sheet Pile)이 선정되었는가?</v>
      </c>
      <c r="E473" s="31" t="s">
        <v>3347</v>
      </c>
      <c r="F473" s="32" t="str">
        <f t="shared" si="14"/>
        <v>극상</v>
      </c>
      <c r="G473" s="63" t="s">
        <v>40</v>
      </c>
      <c r="H473" s="63" t="s">
        <v>41</v>
      </c>
      <c r="I473" s="34" t="s">
        <v>3348</v>
      </c>
      <c r="J473" s="33"/>
      <c r="K473" s="35"/>
      <c r="L473" s="33"/>
      <c r="M473" s="36"/>
      <c r="N473" s="33"/>
      <c r="O473" s="36"/>
      <c r="P473" s="33"/>
      <c r="Q473" s="37"/>
      <c r="R473" s="38"/>
      <c r="S473" s="33"/>
      <c r="T473" s="38"/>
      <c r="U473" s="33"/>
      <c r="V473" s="39"/>
      <c r="W473" s="90" t="b">
        <v>0</v>
      </c>
      <c r="X473" s="90" t="b">
        <v>0</v>
      </c>
      <c r="Y473" s="90" t="b">
        <v>0</v>
      </c>
      <c r="Z473" s="40" t="s">
        <v>3349</v>
      </c>
      <c r="AA473" s="41"/>
      <c r="AK473" s="16"/>
      <c r="AL473" s="16"/>
      <c r="AM473" s="16"/>
      <c r="AN473" s="16"/>
      <c r="AO473" s="16"/>
      <c r="AP473" s="16"/>
      <c r="AQ473" s="16"/>
      <c r="AR473" s="16"/>
      <c r="AS473" s="16"/>
    </row>
    <row r="474" spans="1:45" s="7" customFormat="1" ht="195" customHeight="1">
      <c r="A474" s="27">
        <f>[1]트램표준체크리스트!A472</f>
        <v>470</v>
      </c>
      <c r="B474" s="28" t="str">
        <f>[1]트램표준체크리스트!B472</f>
        <v>토질 및 기초</v>
      </c>
      <c r="C474" s="29" t="str">
        <f>[1]트램표준체크리스트!C472</f>
        <v>가시설/토공</v>
      </c>
      <c r="D474" s="30" t="str">
        <f>[1]트램표준체크리스트!F472</f>
        <v>지하안전영향평가 심의 결과에 따라 흙막이 차수 공법이나 가시설 강성이 상향 조정되었는가?</v>
      </c>
      <c r="E474" s="31" t="s">
        <v>3350</v>
      </c>
      <c r="F474" s="32" t="str">
        <f t="shared" si="14"/>
        <v>극상</v>
      </c>
      <c r="G474" s="63" t="s">
        <v>40</v>
      </c>
      <c r="H474" s="63" t="s">
        <v>41</v>
      </c>
      <c r="I474" s="34" t="s">
        <v>3351</v>
      </c>
      <c r="J474" s="33"/>
      <c r="K474" s="35"/>
      <c r="L474" s="33"/>
      <c r="M474" s="36"/>
      <c r="N474" s="33"/>
      <c r="O474" s="36"/>
      <c r="P474" s="33"/>
      <c r="Q474" s="37"/>
      <c r="R474" s="38"/>
      <c r="S474" s="33"/>
      <c r="T474" s="38"/>
      <c r="U474" s="33"/>
      <c r="V474" s="39"/>
      <c r="W474" s="90" t="b">
        <v>0</v>
      </c>
      <c r="X474" s="90" t="b">
        <v>0</v>
      </c>
      <c r="Y474" s="90" t="b">
        <v>0</v>
      </c>
      <c r="Z474" s="40" t="s">
        <v>3349</v>
      </c>
      <c r="AA474" s="41"/>
      <c r="AK474" s="16"/>
      <c r="AL474" s="16"/>
      <c r="AM474" s="16"/>
      <c r="AN474" s="16"/>
      <c r="AO474" s="16"/>
      <c r="AP474" s="16"/>
      <c r="AQ474" s="16"/>
      <c r="AR474" s="16"/>
      <c r="AS474" s="16"/>
    </row>
    <row r="475" spans="1:45" s="7" customFormat="1" ht="195" customHeight="1">
      <c r="A475" s="27">
        <f>[1]트램표준체크리스트!A473</f>
        <v>471</v>
      </c>
      <c r="B475" s="28" t="str">
        <f>[1]트램표준체크리스트!B473</f>
        <v>토질 및 기초</v>
      </c>
      <c r="C475" s="29" t="str">
        <f>[1]트램표준체크리스트!C473</f>
        <v>개착 박스</v>
      </c>
      <c r="D475" s="30" t="str">
        <f>[1]트램표준체크리스트!F473</f>
        <v>흙막이 가시설과 본 구조물 사이에 거푸집 설치 및 작업자 이동 공간(최소 1m 이상)이 확보되었는가?</v>
      </c>
      <c r="E475" s="31" t="s">
        <v>3352</v>
      </c>
      <c r="F475" s="32" t="str">
        <f t="shared" si="14"/>
        <v>극상</v>
      </c>
      <c r="G475" s="63" t="s">
        <v>40</v>
      </c>
      <c r="H475" s="63" t="s">
        <v>41</v>
      </c>
      <c r="I475" s="34" t="s">
        <v>3353</v>
      </c>
      <c r="J475" s="33"/>
      <c r="K475" s="35"/>
      <c r="L475" s="33"/>
      <c r="M475" s="36"/>
      <c r="N475" s="33"/>
      <c r="O475" s="36"/>
      <c r="P475" s="33"/>
      <c r="Q475" s="37"/>
      <c r="R475" s="38"/>
      <c r="S475" s="33"/>
      <c r="T475" s="38"/>
      <c r="U475" s="33"/>
      <c r="V475" s="39"/>
      <c r="W475" s="90" t="b">
        <v>0</v>
      </c>
      <c r="X475" s="90" t="b">
        <v>0</v>
      </c>
      <c r="Y475" s="90" t="b">
        <v>0</v>
      </c>
      <c r="Z475" s="40" t="s">
        <v>3354</v>
      </c>
      <c r="AA475" s="41"/>
      <c r="AK475" s="16"/>
      <c r="AL475" s="16"/>
      <c r="AM475" s="16"/>
      <c r="AN475" s="16"/>
      <c r="AO475" s="16"/>
      <c r="AP475" s="16"/>
      <c r="AQ475" s="16"/>
      <c r="AR475" s="16"/>
      <c r="AS475" s="16"/>
    </row>
    <row r="476" spans="1:45" s="7" customFormat="1" ht="195" customHeight="1">
      <c r="A476" s="27">
        <f>[1]트램표준체크리스트!A474</f>
        <v>472</v>
      </c>
      <c r="B476" s="28" t="str">
        <f>[1]트램표준체크리스트!B474</f>
        <v>토질 및 기초</v>
      </c>
      <c r="C476" s="29" t="str">
        <f>[1]트램표준체크리스트!C474</f>
        <v>거더 제작장</v>
      </c>
      <c r="D476" s="30" t="str">
        <f>[1]트램표준체크리스트!F474</f>
        <v>거더 조립장 위치가 크레인 인양 반경 내에 있으며, 자재 야적 공간이 충분한가?</v>
      </c>
      <c r="E476" s="31" t="s">
        <v>3355</v>
      </c>
      <c r="F476" s="32" t="str">
        <f t="shared" si="14"/>
        <v>극상</v>
      </c>
      <c r="G476" s="63" t="s">
        <v>40</v>
      </c>
      <c r="H476" s="63" t="s">
        <v>41</v>
      </c>
      <c r="I476" s="34" t="s">
        <v>3356</v>
      </c>
      <c r="J476" s="33"/>
      <c r="K476" s="35"/>
      <c r="L476" s="33"/>
      <c r="M476" s="36"/>
      <c r="N476" s="33"/>
      <c r="O476" s="36"/>
      <c r="P476" s="33"/>
      <c r="Q476" s="37"/>
      <c r="R476" s="38"/>
      <c r="S476" s="33"/>
      <c r="T476" s="38"/>
      <c r="U476" s="33"/>
      <c r="V476" s="39"/>
      <c r="W476" s="90" t="b">
        <v>0</v>
      </c>
      <c r="X476" s="90" t="b">
        <v>0</v>
      </c>
      <c r="Y476" s="90" t="b">
        <v>0</v>
      </c>
      <c r="Z476" s="40" t="s">
        <v>3341</v>
      </c>
      <c r="AA476" s="41"/>
      <c r="AK476" s="16"/>
      <c r="AL476" s="16"/>
      <c r="AM476" s="16"/>
      <c r="AN476" s="16"/>
      <c r="AO476" s="16"/>
      <c r="AP476" s="16"/>
      <c r="AQ476" s="16"/>
      <c r="AR476" s="16"/>
      <c r="AS476" s="16"/>
    </row>
    <row r="477" spans="1:45" s="7" customFormat="1" ht="195" customHeight="1">
      <c r="A477" s="27">
        <f>[1]트램표준체크리스트!A475</f>
        <v>473</v>
      </c>
      <c r="B477" s="28" t="str">
        <f>[1]트램표준체크리스트!B475</f>
        <v>토질 및 기초</v>
      </c>
      <c r="C477" s="29" t="str">
        <f>[1]트램표준체크리스트!C475</f>
        <v>계측/탐사</v>
      </c>
      <c r="D477" s="30" t="str">
        <f>[1]트램표준체크리스트!F475</f>
        <v>지하안전영향평가 협의보완 조치결과(GPR 탐사, 지하수위계, 유량계 등)가 내역에 포함되었는가?</v>
      </c>
      <c r="E477" s="31" t="s">
        <v>3357</v>
      </c>
      <c r="F477" s="32" t="str">
        <f t="shared" si="14"/>
        <v>극상</v>
      </c>
      <c r="G477" s="63" t="s">
        <v>40</v>
      </c>
      <c r="H477" s="63" t="s">
        <v>41</v>
      </c>
      <c r="I477" s="34" t="s">
        <v>3358</v>
      </c>
      <c r="J477" s="33"/>
      <c r="K477" s="35"/>
      <c r="L477" s="33"/>
      <c r="M477" s="36"/>
      <c r="N477" s="33"/>
      <c r="O477" s="36"/>
      <c r="P477" s="33"/>
      <c r="Q477" s="37"/>
      <c r="R477" s="38"/>
      <c r="S477" s="33"/>
      <c r="T477" s="38"/>
      <c r="U477" s="33"/>
      <c r="V477" s="39"/>
      <c r="W477" s="90" t="b">
        <v>0</v>
      </c>
      <c r="X477" s="90" t="b">
        <v>0</v>
      </c>
      <c r="Y477" s="90" t="b">
        <v>0</v>
      </c>
      <c r="Z477" s="40" t="s">
        <v>3359</v>
      </c>
      <c r="AA477" s="41"/>
      <c r="AK477" s="16"/>
      <c r="AL477" s="16"/>
      <c r="AM477" s="16"/>
      <c r="AN477" s="16"/>
      <c r="AO477" s="16"/>
      <c r="AP477" s="16"/>
      <c r="AQ477" s="16"/>
      <c r="AR477" s="16"/>
      <c r="AS477" s="16"/>
    </row>
    <row r="478" spans="1:45" s="7" customFormat="1" ht="195" customHeight="1">
      <c r="A478" s="27">
        <f>[1]트램표준체크리스트!A476</f>
        <v>474</v>
      </c>
      <c r="B478" s="28" t="str">
        <f>[1]트램표준체크리스트!B476</f>
        <v>토질 및 기초</v>
      </c>
      <c r="C478" s="29" t="str">
        <f>[1]트램표준체크리스트!C476</f>
        <v>골재생산</v>
      </c>
      <c r="D478" s="30" t="str">
        <f>[1]트램표준체크리스트!F476</f>
        <v>유용암 굴착 시기와 골재 사용 시기(콘크리트 타설)를 비교하여 가적치 물량을 산출했는가?</v>
      </c>
      <c r="E478" s="31" t="s">
        <v>3360</v>
      </c>
      <c r="F478" s="32" t="str">
        <f t="shared" si="14"/>
        <v>극상</v>
      </c>
      <c r="G478" s="63" t="s">
        <v>40</v>
      </c>
      <c r="H478" s="63" t="s">
        <v>41</v>
      </c>
      <c r="I478" s="34" t="s">
        <v>3361</v>
      </c>
      <c r="J478" s="33"/>
      <c r="K478" s="35"/>
      <c r="L478" s="33"/>
      <c r="M478" s="36"/>
      <c r="N478" s="33"/>
      <c r="O478" s="36"/>
      <c r="P478" s="33"/>
      <c r="Q478" s="37"/>
      <c r="R478" s="38"/>
      <c r="S478" s="33"/>
      <c r="T478" s="38"/>
      <c r="U478" s="33"/>
      <c r="V478" s="39"/>
      <c r="W478" s="90" t="b">
        <v>0</v>
      </c>
      <c r="X478" s="90" t="b">
        <v>0</v>
      </c>
      <c r="Y478" s="90" t="b">
        <v>0</v>
      </c>
      <c r="Z478" s="40" t="s">
        <v>3362</v>
      </c>
      <c r="AA478" s="41"/>
      <c r="AK478" s="16"/>
      <c r="AL478" s="16"/>
      <c r="AM478" s="16"/>
      <c r="AN478" s="16"/>
      <c r="AO478" s="16"/>
      <c r="AP478" s="16"/>
      <c r="AQ478" s="16"/>
      <c r="AR478" s="16"/>
      <c r="AS478" s="16"/>
    </row>
    <row r="479" spans="1:45" s="7" customFormat="1" ht="195" customHeight="1">
      <c r="A479" s="27">
        <f>[1]트램표준체크리스트!A477</f>
        <v>475</v>
      </c>
      <c r="B479" s="28" t="str">
        <f>[1]트램표준체크리스트!B477</f>
        <v>토질 및 기초</v>
      </c>
      <c r="C479" s="29" t="str">
        <f>[1]트램표준체크리스트!C477</f>
        <v>공사용 가교</v>
      </c>
      <c r="D479" s="30" t="str">
        <f>[1]트램표준체크리스트!F477</f>
        <v>교량 시공용 대형 크레인(200ton 이상)의 아웃트리거 전개 폭을 고려하여 가교 폭이나 작업대(Staging)가 반영되었는가?</v>
      </c>
      <c r="E479" s="31" t="s">
        <v>3363</v>
      </c>
      <c r="F479" s="32" t="str">
        <f t="shared" si="14"/>
        <v>극상</v>
      </c>
      <c r="G479" s="63" t="s">
        <v>40</v>
      </c>
      <c r="H479" s="63" t="s">
        <v>41</v>
      </c>
      <c r="I479" s="34" t="s">
        <v>3364</v>
      </c>
      <c r="J479" s="33"/>
      <c r="K479" s="35"/>
      <c r="L479" s="33"/>
      <c r="M479" s="36"/>
      <c r="N479" s="33"/>
      <c r="O479" s="36"/>
      <c r="P479" s="33"/>
      <c r="Q479" s="37"/>
      <c r="R479" s="38"/>
      <c r="S479" s="33"/>
      <c r="T479" s="38"/>
      <c r="U479" s="33"/>
      <c r="V479" s="39"/>
      <c r="W479" s="90" t="b">
        <v>0</v>
      </c>
      <c r="X479" s="90" t="b">
        <v>0</v>
      </c>
      <c r="Y479" s="90" t="b">
        <v>0</v>
      </c>
      <c r="Z479" s="40" t="s">
        <v>3341</v>
      </c>
      <c r="AA479" s="41"/>
      <c r="AK479" s="16"/>
      <c r="AL479" s="16"/>
      <c r="AM479" s="16"/>
      <c r="AN479" s="16"/>
      <c r="AO479" s="16"/>
      <c r="AP479" s="16"/>
      <c r="AQ479" s="16"/>
      <c r="AR479" s="16"/>
      <c r="AS479" s="16"/>
    </row>
    <row r="480" spans="1:45" s="7" customFormat="1" ht="195" customHeight="1">
      <c r="A480" s="27">
        <f>[1]트램표준체크리스트!A478</f>
        <v>476</v>
      </c>
      <c r="B480" s="28" t="str">
        <f>[1]트램표준체크리스트!B478</f>
        <v>토질 및 기초</v>
      </c>
      <c r="C480" s="29" t="str">
        <f>[1]트램표준체크리스트!C478</f>
        <v>공사용 가교</v>
      </c>
      <c r="D480" s="30" t="str">
        <f>[1]트램표준체크리스트!F478</f>
        <v>교량 시공용 대형 크레인의 아웃트리거 전개 폭을 고려하여 가교 폭이나 작업대(Staging)가 반영되었는가?</v>
      </c>
      <c r="E480" s="31" t="s">
        <v>3365</v>
      </c>
      <c r="F480" s="32" t="str">
        <f t="shared" si="14"/>
        <v>극상</v>
      </c>
      <c r="G480" s="63" t="s">
        <v>40</v>
      </c>
      <c r="H480" s="63" t="s">
        <v>41</v>
      </c>
      <c r="I480" s="34" t="s">
        <v>3366</v>
      </c>
      <c r="J480" s="33"/>
      <c r="K480" s="35"/>
      <c r="L480" s="33"/>
      <c r="M480" s="36"/>
      <c r="N480" s="33"/>
      <c r="O480" s="36"/>
      <c r="P480" s="33"/>
      <c r="Q480" s="37"/>
      <c r="R480" s="38"/>
      <c r="S480" s="33"/>
      <c r="T480" s="38"/>
      <c r="U480" s="33"/>
      <c r="V480" s="39"/>
      <c r="W480" s="90" t="b">
        <v>0</v>
      </c>
      <c r="X480" s="90" t="b">
        <v>0</v>
      </c>
      <c r="Y480" s="90" t="b">
        <v>0</v>
      </c>
      <c r="Z480" s="40" t="s">
        <v>3341</v>
      </c>
      <c r="AA480" s="41"/>
      <c r="AK480" s="16"/>
      <c r="AL480" s="16"/>
      <c r="AM480" s="16"/>
      <c r="AN480" s="16"/>
      <c r="AO480" s="16"/>
      <c r="AP480" s="16"/>
      <c r="AQ480" s="16"/>
      <c r="AR480" s="16"/>
      <c r="AS480" s="16"/>
    </row>
    <row r="481" spans="1:45" s="7" customFormat="1" ht="195" customHeight="1">
      <c r="A481" s="27">
        <f>[1]트램표준체크리스트!A479</f>
        <v>477</v>
      </c>
      <c r="B481" s="28" t="str">
        <f>[1]트램표준체크리스트!B479</f>
        <v>토질 및 기초</v>
      </c>
      <c r="C481" s="29" t="str">
        <f>[1]트램표준체크리스트!C479</f>
        <v>공사용 가도</v>
      </c>
      <c r="D481" s="30" t="str">
        <f>[1]트램표준체크리스트!F479</f>
        <v>공사 부지의 표토가 점성토이거나 연약지반일 경우 장비 주행성 확보를 위한 치환/가도 계획이 있는가?</v>
      </c>
      <c r="E481" s="31" t="s">
        <v>3367</v>
      </c>
      <c r="F481" s="32" t="str">
        <f t="shared" si="14"/>
        <v>극상</v>
      </c>
      <c r="G481" s="63" t="s">
        <v>40</v>
      </c>
      <c r="H481" s="63" t="s">
        <v>41</v>
      </c>
      <c r="I481" s="34" t="s">
        <v>3368</v>
      </c>
      <c r="J481" s="33"/>
      <c r="K481" s="35"/>
      <c r="L481" s="33"/>
      <c r="M481" s="36"/>
      <c r="N481" s="33"/>
      <c r="O481" s="36"/>
      <c r="P481" s="33"/>
      <c r="Q481" s="37"/>
      <c r="R481" s="38"/>
      <c r="S481" s="33"/>
      <c r="T481" s="38"/>
      <c r="U481" s="33"/>
      <c r="V481" s="39"/>
      <c r="W481" s="90" t="b">
        <v>0</v>
      </c>
      <c r="X481" s="90" t="b">
        <v>0</v>
      </c>
      <c r="Y481" s="90" t="b">
        <v>0</v>
      </c>
      <c r="Z481" s="40" t="s">
        <v>3369</v>
      </c>
      <c r="AA481" s="41"/>
      <c r="AK481" s="16"/>
      <c r="AL481" s="16"/>
      <c r="AM481" s="16"/>
      <c r="AN481" s="16"/>
      <c r="AO481" s="16"/>
      <c r="AP481" s="16"/>
      <c r="AQ481" s="16"/>
      <c r="AR481" s="16"/>
      <c r="AS481" s="16"/>
    </row>
    <row r="482" spans="1:45" s="7" customFormat="1" ht="195" customHeight="1">
      <c r="A482" s="27">
        <f>[1]트램표준체크리스트!A480</f>
        <v>478</v>
      </c>
      <c r="B482" s="28" t="str">
        <f>[1]트램표준체크리스트!B480</f>
        <v>토질 및 기초</v>
      </c>
      <c r="C482" s="29" t="str">
        <f>[1]트램표준체크리스트!C480</f>
        <v>공사용 가도</v>
      </c>
      <c r="D482" s="30" t="str">
        <f>[1]트램표준체크리스트!F480</f>
        <v>펌프카/크레인의 작업 반경을 고려하여 가설 도로와 구조물 간의 이격 거리가 산정되었는가?</v>
      </c>
      <c r="E482" s="31" t="s">
        <v>3370</v>
      </c>
      <c r="F482" s="32" t="str">
        <f t="shared" si="14"/>
        <v>극상</v>
      </c>
      <c r="G482" s="63" t="s">
        <v>40</v>
      </c>
      <c r="H482" s="63" t="s">
        <v>41</v>
      </c>
      <c r="I482" s="34" t="s">
        <v>3371</v>
      </c>
      <c r="J482" s="33"/>
      <c r="K482" s="35"/>
      <c r="L482" s="33"/>
      <c r="M482" s="36"/>
      <c r="N482" s="33"/>
      <c r="O482" s="36"/>
      <c r="P482" s="33"/>
      <c r="Q482" s="37"/>
      <c r="R482" s="38"/>
      <c r="S482" s="33"/>
      <c r="T482" s="38"/>
      <c r="U482" s="33"/>
      <c r="V482" s="39"/>
      <c r="W482" s="90" t="b">
        <v>0</v>
      </c>
      <c r="X482" s="90" t="b">
        <v>0</v>
      </c>
      <c r="Y482" s="90" t="b">
        <v>0</v>
      </c>
      <c r="Z482" s="40" t="s">
        <v>3341</v>
      </c>
      <c r="AA482" s="41"/>
      <c r="AK482" s="16"/>
      <c r="AL482" s="16"/>
      <c r="AM482" s="16"/>
      <c r="AN482" s="16"/>
      <c r="AO482" s="16"/>
      <c r="AP482" s="16"/>
      <c r="AQ482" s="16"/>
      <c r="AR482" s="16"/>
      <c r="AS482" s="16"/>
    </row>
    <row r="483" spans="1:45" s="7" customFormat="1" ht="195" customHeight="1">
      <c r="A483" s="27">
        <f>[1]트램표준체크리스트!A481</f>
        <v>479</v>
      </c>
      <c r="B483" s="28" t="str">
        <f>[1]트램표준체크리스트!B481</f>
        <v>토질 및 기초</v>
      </c>
      <c r="C483" s="29" t="str">
        <f>[1]트램표준체크리스트!C481</f>
        <v>교각 기초</v>
      </c>
      <c r="D483" s="30" t="str">
        <f>[1]트램표준체크리스트!F481</f>
        <v>하천/해상 구간 가시설의 차수 대책(이중 널말뚝, 차수 그라우팅)이 수압을 고려해 설계되었는가?</v>
      </c>
      <c r="E483" s="31" t="s">
        <v>3372</v>
      </c>
      <c r="F483" s="32" t="str">
        <f t="shared" si="14"/>
        <v>극상</v>
      </c>
      <c r="G483" s="63" t="s">
        <v>40</v>
      </c>
      <c r="H483" s="63" t="s">
        <v>41</v>
      </c>
      <c r="I483" s="34" t="s">
        <v>3373</v>
      </c>
      <c r="J483" s="33"/>
      <c r="K483" s="35"/>
      <c r="L483" s="33"/>
      <c r="M483" s="36"/>
      <c r="N483" s="33"/>
      <c r="O483" s="36"/>
      <c r="P483" s="33"/>
      <c r="Q483" s="37"/>
      <c r="R483" s="38"/>
      <c r="S483" s="33"/>
      <c r="T483" s="38"/>
      <c r="U483" s="33"/>
      <c r="V483" s="39"/>
      <c r="W483" s="90" t="b">
        <v>0</v>
      </c>
      <c r="X483" s="90" t="b">
        <v>0</v>
      </c>
      <c r="Y483" s="90" t="b">
        <v>0</v>
      </c>
      <c r="Z483" s="40" t="s">
        <v>3374</v>
      </c>
      <c r="AA483" s="41"/>
      <c r="AK483" s="16"/>
      <c r="AL483" s="16"/>
      <c r="AM483" s="16"/>
      <c r="AN483" s="16"/>
      <c r="AO483" s="16"/>
      <c r="AP483" s="16"/>
      <c r="AQ483" s="16"/>
      <c r="AR483" s="16"/>
      <c r="AS483" s="16"/>
    </row>
    <row r="484" spans="1:45" s="7" customFormat="1" ht="195" customHeight="1">
      <c r="A484" s="27">
        <f>[1]트램표준체크리스트!A482</f>
        <v>480</v>
      </c>
      <c r="B484" s="28" t="str">
        <f>[1]트램표준체크리스트!B482</f>
        <v>토질 및 기초</v>
      </c>
      <c r="C484" s="29" t="str">
        <f>[1]트램표준체크리스트!C482</f>
        <v>교각 기초</v>
      </c>
      <c r="D484" s="30" t="str">
        <f>[1]트램표준체크리스트!F482</f>
        <v>도심지 개착 구간 용출수 발생 시 주변 지반 침하를 방지할 차수 공법(SGR, MSG)이 설계에 포함되었는가?</v>
      </c>
      <c r="E484" s="31" t="s">
        <v>3375</v>
      </c>
      <c r="F484" s="32" t="str">
        <f t="shared" si="14"/>
        <v>극상</v>
      </c>
      <c r="G484" s="63" t="s">
        <v>40</v>
      </c>
      <c r="H484" s="63" t="s">
        <v>41</v>
      </c>
      <c r="I484" s="34" t="s">
        <v>3376</v>
      </c>
      <c r="J484" s="33"/>
      <c r="K484" s="35"/>
      <c r="L484" s="33"/>
      <c r="M484" s="36"/>
      <c r="N484" s="33"/>
      <c r="O484" s="36"/>
      <c r="P484" s="33"/>
      <c r="Q484" s="37"/>
      <c r="R484" s="38"/>
      <c r="S484" s="33"/>
      <c r="T484" s="38"/>
      <c r="U484" s="33"/>
      <c r="V484" s="39"/>
      <c r="W484" s="90" t="b">
        <v>0</v>
      </c>
      <c r="X484" s="90" t="b">
        <v>0</v>
      </c>
      <c r="Y484" s="90" t="b">
        <v>0</v>
      </c>
      <c r="Z484" s="40" t="s">
        <v>3349</v>
      </c>
      <c r="AA484" s="41"/>
      <c r="AK484" s="16"/>
      <c r="AL484" s="16"/>
      <c r="AM484" s="16"/>
      <c r="AN484" s="16"/>
      <c r="AO484" s="16"/>
      <c r="AP484" s="16"/>
      <c r="AQ484" s="16"/>
      <c r="AR484" s="16"/>
      <c r="AS484" s="16"/>
    </row>
    <row r="485" spans="1:45" s="7" customFormat="1" ht="195" customHeight="1">
      <c r="A485" s="27">
        <f>[1]트램표준체크리스트!A483</f>
        <v>481</v>
      </c>
      <c r="B485" s="28" t="str">
        <f>[1]트램표준체크리스트!B483</f>
        <v>토질 및 기초</v>
      </c>
      <c r="C485" s="29" t="str">
        <f>[1]트램표준체크리스트!C483</f>
        <v>교각 기초</v>
      </c>
      <c r="D485" s="30" t="str">
        <f>[1]트램표준체크리스트!F483</f>
        <v>기초 터파기 구간의 지반 조건(연약지반)을 고려할 때 사면 경사를 유지할 부지가 충분한가?</v>
      </c>
      <c r="E485" s="31" t="s">
        <v>3377</v>
      </c>
      <c r="F485" s="32" t="str">
        <f t="shared" si="14"/>
        <v>극상</v>
      </c>
      <c r="G485" s="63" t="s">
        <v>40</v>
      </c>
      <c r="H485" s="63" t="s">
        <v>41</v>
      </c>
      <c r="I485" s="34" t="s">
        <v>3378</v>
      </c>
      <c r="J485" s="33"/>
      <c r="K485" s="35"/>
      <c r="L485" s="33"/>
      <c r="M485" s="36"/>
      <c r="N485" s="33"/>
      <c r="O485" s="36"/>
      <c r="P485" s="33"/>
      <c r="Q485" s="37"/>
      <c r="R485" s="38"/>
      <c r="S485" s="33"/>
      <c r="T485" s="38"/>
      <c r="U485" s="33"/>
      <c r="V485" s="39"/>
      <c r="W485" s="90" t="b">
        <v>0</v>
      </c>
      <c r="X485" s="90" t="b">
        <v>0</v>
      </c>
      <c r="Y485" s="90" t="b">
        <v>0</v>
      </c>
      <c r="Z485" s="40" t="s">
        <v>3362</v>
      </c>
      <c r="AA485" s="41"/>
      <c r="AK485" s="16"/>
      <c r="AL485" s="16"/>
      <c r="AM485" s="16"/>
      <c r="AN485" s="16"/>
      <c r="AO485" s="16"/>
      <c r="AP485" s="16"/>
      <c r="AQ485" s="16"/>
      <c r="AR485" s="16"/>
      <c r="AS485" s="16"/>
    </row>
    <row r="486" spans="1:45" s="7" customFormat="1" ht="195" customHeight="1">
      <c r="A486" s="27">
        <f>[1]트램표준체크리스트!A484</f>
        <v>482</v>
      </c>
      <c r="B486" s="28" t="str">
        <f>[1]트램표준체크리스트!B484</f>
        <v>토질 및 기초</v>
      </c>
      <c r="C486" s="29" t="str">
        <f>[1]트램표준체크리스트!C484</f>
        <v>교대 가시설</v>
      </c>
      <c r="D486" s="30" t="str">
        <f>[1]트램표준체크리스트!F484</f>
        <v>구조물 터파기 사면(Open Cut)의 상단 라인이 공사 부지 경계선 내에 들어오는가?</v>
      </c>
      <c r="E486" s="31" t="s">
        <v>3379</v>
      </c>
      <c r="F486" s="32" t="str">
        <f t="shared" si="14"/>
        <v>극상</v>
      </c>
      <c r="G486" s="63" t="s">
        <v>40</v>
      </c>
      <c r="H486" s="63" t="s">
        <v>41</v>
      </c>
      <c r="I486" s="34" t="s">
        <v>3380</v>
      </c>
      <c r="J486" s="33"/>
      <c r="K486" s="35"/>
      <c r="L486" s="33"/>
      <c r="M486" s="36"/>
      <c r="N486" s="33"/>
      <c r="O486" s="36"/>
      <c r="P486" s="33"/>
      <c r="Q486" s="37"/>
      <c r="R486" s="38"/>
      <c r="S486" s="33"/>
      <c r="T486" s="38"/>
      <c r="U486" s="33"/>
      <c r="V486" s="39"/>
      <c r="W486" s="90" t="b">
        <v>0</v>
      </c>
      <c r="X486" s="90" t="b">
        <v>0</v>
      </c>
      <c r="Y486" s="90" t="b">
        <v>0</v>
      </c>
      <c r="Z486" s="40" t="s">
        <v>3362</v>
      </c>
      <c r="AA486" s="41"/>
      <c r="AK486" s="16"/>
      <c r="AL486" s="16"/>
      <c r="AM486" s="16"/>
      <c r="AN486" s="16"/>
      <c r="AO486" s="16"/>
      <c r="AP486" s="16"/>
      <c r="AQ486" s="16"/>
      <c r="AR486" s="16"/>
      <c r="AS486" s="16"/>
    </row>
    <row r="487" spans="1:45" s="7" customFormat="1" ht="195" customHeight="1">
      <c r="A487" s="27">
        <f>[1]트램표준체크리스트!A485</f>
        <v>483</v>
      </c>
      <c r="B487" s="28" t="str">
        <f>[1]트램표준체크리스트!B485</f>
        <v>토질 및 기초</v>
      </c>
      <c r="C487" s="29" t="str">
        <f>[1]트램표준체크리스트!C485</f>
        <v>교량</v>
      </c>
      <c r="D487" s="30" t="str">
        <f>[1]트램표준체크리스트!F485</f>
        <v>케이블/행어 로프의 와류진동(Vortex Shedding) 검토가 수행되었는가?
제진 장치(Damper) 설치가 내역에 포함되거나 유보금으로 잡혀있는가?</v>
      </c>
      <c r="E487" s="31" t="s">
        <v>3381</v>
      </c>
      <c r="F487" s="32" t="str">
        <f t="shared" ref="F487:F517" si="15">_xlfn.LET(
_xlpm.v_발생, IF(ISNUMBER(SEARCH("빈번", G487)), "상",
IF(ISNUMBER(SEARCH("거의", G487)), "하", "중")),
_xlpm.v_영향, IF(ISNUMBER(SEARCH("1개월", H487)), "상",
IF(ISNUMBER(SEARCH("없음", H487)), "하", "중")),
IF(AND(_xlpm.v_발생="상", _xlpm.v_영향="상"), "극상",
IF(OR(_xlpm.v_발생="상", _xlpm.v_영향="상"), "상",
IF(AND(_xlpm.v_발생="하", _xlpm.v_영향="하"), "하",
"중")))
)</f>
        <v>극상</v>
      </c>
      <c r="G487" s="63" t="s">
        <v>40</v>
      </c>
      <c r="H487" s="63" t="s">
        <v>41</v>
      </c>
      <c r="I487" s="34" t="s">
        <v>3382</v>
      </c>
      <c r="J487" s="33"/>
      <c r="K487" s="35"/>
      <c r="L487" s="33"/>
      <c r="M487" s="36"/>
      <c r="N487" s="33"/>
      <c r="O487" s="36"/>
      <c r="P487" s="33"/>
      <c r="Q487" s="37"/>
      <c r="R487" s="38"/>
      <c r="S487" s="33"/>
      <c r="T487" s="38"/>
      <c r="U487" s="33"/>
      <c r="V487" s="39"/>
      <c r="W487" s="90" t="b">
        <v>0</v>
      </c>
      <c r="X487" s="90" t="b">
        <v>0</v>
      </c>
      <c r="Y487" s="90" t="b">
        <v>0</v>
      </c>
      <c r="Z487" s="40" t="s">
        <v>3383</v>
      </c>
      <c r="AA487" s="41"/>
      <c r="AK487" s="16"/>
      <c r="AL487" s="16"/>
      <c r="AM487" s="16"/>
      <c r="AN487" s="16"/>
      <c r="AO487" s="16"/>
      <c r="AP487" s="16"/>
      <c r="AQ487" s="16"/>
      <c r="AR487" s="16"/>
      <c r="AS487" s="16"/>
    </row>
    <row r="488" spans="1:45" s="7" customFormat="1" ht="195" customHeight="1">
      <c r="A488" s="27">
        <f>[1]트램표준체크리스트!A486</f>
        <v>484</v>
      </c>
      <c r="B488" s="28" t="str">
        <f>[1]트램표준체크리스트!B486</f>
        <v>토질 및 기초</v>
      </c>
      <c r="C488" s="29" t="str">
        <f>[1]트램표준체크리스트!C486</f>
        <v>교량가설</v>
      </c>
      <c r="D488" s="30" t="str">
        <f>[1]트램표준체크리스트!F486</f>
        <v>장대 자재(거더, 철근) 운반 차량의 회전 반경과 현장 진입로의 곡선 반경이 일치하는가?□ 급경사 구간의 장비 등판 능력을 확인했는가?</v>
      </c>
      <c r="E488" s="31" t="s">
        <v>3384</v>
      </c>
      <c r="F488" s="32" t="str">
        <f t="shared" si="15"/>
        <v>극상</v>
      </c>
      <c r="G488" s="63" t="s">
        <v>40</v>
      </c>
      <c r="H488" s="63" t="s">
        <v>41</v>
      </c>
      <c r="I488" s="34" t="s">
        <v>3385</v>
      </c>
      <c r="J488" s="33"/>
      <c r="K488" s="35"/>
      <c r="L488" s="33"/>
      <c r="M488" s="36"/>
      <c r="N488" s="33"/>
      <c r="O488" s="36"/>
      <c r="P488" s="33"/>
      <c r="Q488" s="37"/>
      <c r="R488" s="38"/>
      <c r="S488" s="33"/>
      <c r="T488" s="38"/>
      <c r="U488" s="33"/>
      <c r="V488" s="39"/>
      <c r="W488" s="90" t="b">
        <v>0</v>
      </c>
      <c r="X488" s="90" t="b">
        <v>0</v>
      </c>
      <c r="Y488" s="90" t="b">
        <v>0</v>
      </c>
      <c r="Z488" s="40" t="s">
        <v>3341</v>
      </c>
      <c r="AA488" s="41"/>
      <c r="AK488" s="16"/>
      <c r="AL488" s="16"/>
      <c r="AM488" s="16"/>
      <c r="AN488" s="16"/>
      <c r="AO488" s="16"/>
      <c r="AP488" s="16"/>
      <c r="AQ488" s="16"/>
      <c r="AR488" s="16"/>
      <c r="AS488" s="16"/>
    </row>
    <row r="489" spans="1:45" s="7" customFormat="1" ht="195" customHeight="1">
      <c r="A489" s="27">
        <f>[1]트램표준체크리스트!A487</f>
        <v>485</v>
      </c>
      <c r="B489" s="28" t="str">
        <f>[1]트램표준체크리스트!B487</f>
        <v>토질 및 기초</v>
      </c>
      <c r="C489" s="29" t="str">
        <f>[1]트램표준체크리스트!C487</f>
        <v>댐 기초</v>
      </c>
      <c r="D489" s="30" t="str">
        <f>[1]트램표준체크리스트!F487</f>
        <v>댐/제방 기초 지반의 투수계수와 파쇄대 분포를 고려한 차수 그라우팅 계획이 수립되었는가?</v>
      </c>
      <c r="E489" s="31" t="s">
        <v>3386</v>
      </c>
      <c r="F489" s="32" t="str">
        <f t="shared" si="15"/>
        <v>극상</v>
      </c>
      <c r="G489" s="63" t="s">
        <v>40</v>
      </c>
      <c r="H489" s="63" t="s">
        <v>41</v>
      </c>
      <c r="I489" s="34" t="s">
        <v>3387</v>
      </c>
      <c r="J489" s="33"/>
      <c r="K489" s="35"/>
      <c r="L489" s="33"/>
      <c r="M489" s="36"/>
      <c r="N489" s="33"/>
      <c r="O489" s="36"/>
      <c r="P489" s="33"/>
      <c r="Q489" s="37"/>
      <c r="R489" s="38"/>
      <c r="S489" s="33"/>
      <c r="T489" s="38"/>
      <c r="U489" s="33"/>
      <c r="V489" s="39"/>
      <c r="W489" s="90" t="b">
        <v>0</v>
      </c>
      <c r="X489" s="90" t="b">
        <v>0</v>
      </c>
      <c r="Y489" s="90" t="b">
        <v>0</v>
      </c>
      <c r="Z489" s="40" t="s">
        <v>3388</v>
      </c>
      <c r="AA489" s="41"/>
      <c r="AK489" s="16"/>
      <c r="AL489" s="16"/>
      <c r="AM489" s="16"/>
      <c r="AN489" s="16"/>
      <c r="AO489" s="16"/>
      <c r="AP489" s="16"/>
      <c r="AQ489" s="16"/>
      <c r="AR489" s="16"/>
      <c r="AS489" s="16"/>
    </row>
    <row r="490" spans="1:45" s="7" customFormat="1" ht="195" customHeight="1">
      <c r="A490" s="27">
        <f>[1]트램표준체크리스트!A488</f>
        <v>486</v>
      </c>
      <c r="B490" s="28" t="str">
        <f>[1]트램표준체크리스트!B488</f>
        <v>토질 및 기초</v>
      </c>
      <c r="C490" s="29" t="str">
        <f>[1]트램표준체크리스트!C488</f>
        <v>민원대책</v>
      </c>
      <c r="D490" s="30" t="str">
        <f>[1]트램표준체크리스트!F488</f>
        <v>발파 작업 구간 주변에 방음벽, 방진망 등 환경 오염 방지 시설이 충분히 설계되었는가?</v>
      </c>
      <c r="E490" s="31" t="s">
        <v>3389</v>
      </c>
      <c r="F490" s="32" t="str">
        <f t="shared" si="15"/>
        <v>극상</v>
      </c>
      <c r="G490" s="63" t="s">
        <v>40</v>
      </c>
      <c r="H490" s="63" t="s">
        <v>41</v>
      </c>
      <c r="I490" s="34" t="s">
        <v>3390</v>
      </c>
      <c r="J490" s="33"/>
      <c r="K490" s="35"/>
      <c r="L490" s="33"/>
      <c r="M490" s="36"/>
      <c r="N490" s="33"/>
      <c r="O490" s="36"/>
      <c r="P490" s="33"/>
      <c r="Q490" s="37"/>
      <c r="R490" s="38"/>
      <c r="S490" s="33"/>
      <c r="T490" s="38"/>
      <c r="U490" s="33"/>
      <c r="V490" s="39"/>
      <c r="W490" s="90" t="b">
        <v>0</v>
      </c>
      <c r="X490" s="90" t="b">
        <v>0</v>
      </c>
      <c r="Y490" s="90" t="b">
        <v>0</v>
      </c>
      <c r="Z490" s="40" t="s">
        <v>3383</v>
      </c>
      <c r="AA490" s="41"/>
      <c r="AK490" s="16"/>
      <c r="AL490" s="16"/>
      <c r="AM490" s="16"/>
      <c r="AN490" s="16"/>
      <c r="AO490" s="16"/>
      <c r="AP490" s="16"/>
      <c r="AQ490" s="16"/>
      <c r="AR490" s="16"/>
      <c r="AS490" s="16"/>
    </row>
    <row r="491" spans="1:45" s="7" customFormat="1" ht="195" customHeight="1">
      <c r="A491" s="27">
        <f>[1]트램표준체크리스트!A489</f>
        <v>487</v>
      </c>
      <c r="B491" s="28" t="str">
        <f>[1]트램표준체크리스트!B489</f>
        <v>토질 및 기초</v>
      </c>
      <c r="C491" s="29" t="str">
        <f>[1]트램표준체크리스트!C489</f>
        <v>발파-설계</v>
      </c>
      <c r="D491" s="30" t="str">
        <f>[1]트램표준체크리스트!F489</f>
        <v>발파 영향권 내 보안물건(주택, 축사, 공장) 현황이 최신 상태로 반영되었는가?</v>
      </c>
      <c r="E491" s="31" t="s">
        <v>3391</v>
      </c>
      <c r="F491" s="32" t="str">
        <f t="shared" si="15"/>
        <v>극상</v>
      </c>
      <c r="G491" s="63" t="s">
        <v>40</v>
      </c>
      <c r="H491" s="63" t="s">
        <v>41</v>
      </c>
      <c r="I491" s="34" t="s">
        <v>3392</v>
      </c>
      <c r="J491" s="33"/>
      <c r="K491" s="35"/>
      <c r="L491" s="33"/>
      <c r="M491" s="36"/>
      <c r="N491" s="33"/>
      <c r="O491" s="36"/>
      <c r="P491" s="33"/>
      <c r="Q491" s="37"/>
      <c r="R491" s="38"/>
      <c r="S491" s="33"/>
      <c r="T491" s="38"/>
      <c r="U491" s="33"/>
      <c r="V491" s="39"/>
      <c r="W491" s="90" t="b">
        <v>0</v>
      </c>
      <c r="X491" s="90" t="b">
        <v>0</v>
      </c>
      <c r="Y491" s="90" t="b">
        <v>0</v>
      </c>
      <c r="Z491" s="40" t="s">
        <v>3383</v>
      </c>
      <c r="AA491" s="41"/>
      <c r="AK491" s="16"/>
      <c r="AL491" s="16"/>
      <c r="AM491" s="16"/>
      <c r="AN491" s="16"/>
      <c r="AO491" s="16"/>
      <c r="AP491" s="16"/>
      <c r="AQ491" s="16"/>
      <c r="AR491" s="16"/>
      <c r="AS491" s="16"/>
    </row>
    <row r="492" spans="1:45" s="7" customFormat="1" ht="195" customHeight="1">
      <c r="A492" s="27">
        <f>[1]트램표준체크리스트!A490</f>
        <v>488</v>
      </c>
      <c r="B492" s="28" t="str">
        <f>[1]트램표준체크리스트!B490</f>
        <v>토질 및 기초</v>
      </c>
      <c r="C492" s="29" t="str">
        <f>[1]트램표준체크리스트!C490</f>
        <v>발파-설계</v>
      </c>
      <c r="D492" s="30" t="str">
        <f>[1]트램표준체크리스트!F490</f>
        <v>법적 기준치 이내임에도 민원이 지속될 경우, 발주처와 민원 대응 비용 분담을 사전에 협의했는가?</v>
      </c>
      <c r="E492" s="31" t="s">
        <v>3393</v>
      </c>
      <c r="F492" s="32" t="str">
        <f t="shared" si="15"/>
        <v>극상</v>
      </c>
      <c r="G492" s="63" t="s">
        <v>40</v>
      </c>
      <c r="H492" s="63" t="s">
        <v>41</v>
      </c>
      <c r="I492" s="34" t="s">
        <v>3394</v>
      </c>
      <c r="J492" s="33"/>
      <c r="K492" s="35"/>
      <c r="L492" s="33"/>
      <c r="M492" s="36"/>
      <c r="N492" s="33"/>
      <c r="O492" s="36"/>
      <c r="P492" s="33"/>
      <c r="Q492" s="37"/>
      <c r="R492" s="38"/>
      <c r="S492" s="33"/>
      <c r="T492" s="38"/>
      <c r="U492" s="33"/>
      <c r="V492" s="39"/>
      <c r="W492" s="90" t="b">
        <v>0</v>
      </c>
      <c r="X492" s="90" t="b">
        <v>0</v>
      </c>
      <c r="Y492" s="90" t="b">
        <v>0</v>
      </c>
      <c r="Z492" s="40" t="s">
        <v>3383</v>
      </c>
      <c r="AA492" s="41"/>
      <c r="AK492" s="16"/>
      <c r="AL492" s="16"/>
      <c r="AM492" s="16"/>
      <c r="AN492" s="16"/>
      <c r="AO492" s="16"/>
      <c r="AP492" s="16"/>
      <c r="AQ492" s="16"/>
      <c r="AR492" s="16"/>
      <c r="AS492" s="16"/>
    </row>
    <row r="493" spans="1:45" s="7" customFormat="1" ht="195" customHeight="1">
      <c r="A493" s="27">
        <f>[1]트램표준체크리스트!A491</f>
        <v>489</v>
      </c>
      <c r="B493" s="28" t="str">
        <f>[1]트램표준체크리스트!B491</f>
        <v>토질 및 기초</v>
      </c>
      <c r="C493" s="29" t="str">
        <f>[1]트램표준체크리스트!C491</f>
        <v>발파-설계</v>
      </c>
      <c r="D493" s="30" t="str">
        <f>[1]트램표준체크리스트!F491</f>
        <v>발파 작업 가능 시간 산정 시 관할 경찰서의 화약류 양수 허가 특성(제한 사항)을 조사했는가?</v>
      </c>
      <c r="E493" s="31" t="s">
        <v>3395</v>
      </c>
      <c r="F493" s="32" t="str">
        <f t="shared" si="15"/>
        <v>극상</v>
      </c>
      <c r="G493" s="63" t="s">
        <v>40</v>
      </c>
      <c r="H493" s="63" t="s">
        <v>41</v>
      </c>
      <c r="I493" s="34" t="s">
        <v>3396</v>
      </c>
      <c r="J493" s="33"/>
      <c r="K493" s="35"/>
      <c r="L493" s="33"/>
      <c r="M493" s="36"/>
      <c r="N493" s="33"/>
      <c r="O493" s="36"/>
      <c r="P493" s="33"/>
      <c r="Q493" s="37"/>
      <c r="R493" s="38"/>
      <c r="S493" s="33"/>
      <c r="T493" s="38"/>
      <c r="U493" s="33"/>
      <c r="V493" s="39"/>
      <c r="W493" s="90" t="b">
        <v>0</v>
      </c>
      <c r="X493" s="90" t="b">
        <v>0</v>
      </c>
      <c r="Y493" s="90" t="b">
        <v>0</v>
      </c>
      <c r="Z493" s="40" t="s">
        <v>3383</v>
      </c>
      <c r="AA493" s="41"/>
      <c r="AK493" s="16"/>
      <c r="AL493" s="16"/>
      <c r="AM493" s="16"/>
      <c r="AN493" s="16"/>
      <c r="AO493" s="16"/>
      <c r="AP493" s="16"/>
      <c r="AQ493" s="16"/>
      <c r="AR493" s="16"/>
      <c r="AS493" s="16"/>
    </row>
    <row r="494" spans="1:45" s="7" customFormat="1" ht="195" customHeight="1">
      <c r="A494" s="27">
        <f>[1]트램표준체크리스트!A492</f>
        <v>490</v>
      </c>
      <c r="B494" s="28" t="str">
        <f>[1]트램표준체크리스트!B492</f>
        <v>토질 및 기초</v>
      </c>
      <c r="C494" s="29" t="str">
        <f>[1]트램표준체크리스트!C492</f>
        <v>발파-설계</v>
      </c>
      <c r="D494" s="30" t="str">
        <f>[1]트램표준체크리스트!F492</f>
        <v>도심지 발파 시 방음벽, 방진막, 암파쇄 방호시설 비용이 내역에 포함되었는가?</v>
      </c>
      <c r="E494" s="31" t="s">
        <v>3397</v>
      </c>
      <c r="F494" s="32" t="str">
        <f t="shared" si="15"/>
        <v>극상</v>
      </c>
      <c r="G494" s="63" t="s">
        <v>40</v>
      </c>
      <c r="H494" s="63" t="s">
        <v>41</v>
      </c>
      <c r="I494" s="34" t="s">
        <v>3398</v>
      </c>
      <c r="J494" s="33"/>
      <c r="K494" s="35"/>
      <c r="L494" s="33"/>
      <c r="M494" s="36"/>
      <c r="N494" s="33"/>
      <c r="O494" s="36"/>
      <c r="P494" s="33"/>
      <c r="Q494" s="37"/>
      <c r="R494" s="38"/>
      <c r="S494" s="33"/>
      <c r="T494" s="38"/>
      <c r="U494" s="33"/>
      <c r="V494" s="39"/>
      <c r="W494" s="90" t="b">
        <v>0</v>
      </c>
      <c r="X494" s="90" t="b">
        <v>0</v>
      </c>
      <c r="Y494" s="90" t="b">
        <v>0</v>
      </c>
      <c r="Z494" s="40" t="s">
        <v>3383</v>
      </c>
      <c r="AA494" s="41"/>
      <c r="AK494" s="16"/>
      <c r="AL494" s="16"/>
      <c r="AM494" s="16"/>
      <c r="AN494" s="16"/>
      <c r="AO494" s="16"/>
      <c r="AP494" s="16"/>
      <c r="AQ494" s="16"/>
      <c r="AR494" s="16"/>
      <c r="AS494" s="16"/>
    </row>
    <row r="495" spans="1:45" s="7" customFormat="1" ht="195" customHeight="1">
      <c r="A495" s="27">
        <f>[1]트램표준체크리스트!A493</f>
        <v>491</v>
      </c>
      <c r="B495" s="28" t="str">
        <f>[1]트램표준체크리스트!B493</f>
        <v>토질 및 기초</v>
      </c>
      <c r="C495" s="29" t="str">
        <f>[1]트램표준체크리스트!C493</f>
        <v>발파-설계</v>
      </c>
      <c r="D495" s="30" t="str">
        <f>[1]트램표준체크리스트!F493</f>
        <v>시방서상의 발파 공법(제어발파 등)과 내역서상의 공법이 일치하는지 대조했는가?</v>
      </c>
      <c r="E495" s="31" t="s">
        <v>3399</v>
      </c>
      <c r="F495" s="32" t="str">
        <f t="shared" si="15"/>
        <v>극상</v>
      </c>
      <c r="G495" s="63" t="s">
        <v>40</v>
      </c>
      <c r="H495" s="63" t="s">
        <v>41</v>
      </c>
      <c r="I495" s="34" t="s">
        <v>3400</v>
      </c>
      <c r="J495" s="33"/>
      <c r="K495" s="35"/>
      <c r="L495" s="33"/>
      <c r="M495" s="36"/>
      <c r="N495" s="33"/>
      <c r="O495" s="36"/>
      <c r="P495" s="33"/>
      <c r="Q495" s="37"/>
      <c r="R495" s="38"/>
      <c r="S495" s="33"/>
      <c r="T495" s="38"/>
      <c r="U495" s="33"/>
      <c r="V495" s="39"/>
      <c r="W495" s="90" t="b">
        <v>0</v>
      </c>
      <c r="X495" s="90" t="b">
        <v>0</v>
      </c>
      <c r="Y495" s="90" t="b">
        <v>0</v>
      </c>
      <c r="Z495" s="40" t="s">
        <v>3383</v>
      </c>
      <c r="AA495" s="41"/>
      <c r="AK495" s="16"/>
      <c r="AL495" s="16"/>
      <c r="AM495" s="16"/>
      <c r="AN495" s="16"/>
      <c r="AO495" s="16"/>
      <c r="AP495" s="16"/>
      <c r="AQ495" s="16"/>
      <c r="AR495" s="16"/>
      <c r="AS495" s="16"/>
    </row>
    <row r="496" spans="1:45" s="7" customFormat="1" ht="195" customHeight="1">
      <c r="A496" s="27">
        <f>[1]트램표준체크리스트!A494</f>
        <v>492</v>
      </c>
      <c r="B496" s="28" t="str">
        <f>[1]트램표준체크리스트!B494</f>
        <v>토질 및 기초</v>
      </c>
      <c r="C496" s="29" t="str">
        <f>[1]트램표준체크리스트!C494</f>
        <v>발파-설계</v>
      </c>
      <c r="D496" s="30" t="str">
        <f>[1]트램표준체크리스트!F494</f>
        <v>보안 물건 인접 구간의 지반 조사 데이터가 충분하며, 진동 영향권 분석이 보수적으로 수행되었는가?</v>
      </c>
      <c r="E496" s="31" t="s">
        <v>3401</v>
      </c>
      <c r="F496" s="32" t="str">
        <f t="shared" si="15"/>
        <v>극상</v>
      </c>
      <c r="G496" s="63" t="s">
        <v>40</v>
      </c>
      <c r="H496" s="63" t="s">
        <v>41</v>
      </c>
      <c r="I496" s="34" t="s">
        <v>3402</v>
      </c>
      <c r="J496" s="33"/>
      <c r="K496" s="35"/>
      <c r="L496" s="33"/>
      <c r="M496" s="36"/>
      <c r="N496" s="33"/>
      <c r="O496" s="36"/>
      <c r="P496" s="33"/>
      <c r="Q496" s="37"/>
      <c r="R496" s="38"/>
      <c r="S496" s="33"/>
      <c r="T496" s="38"/>
      <c r="U496" s="33"/>
      <c r="V496" s="39"/>
      <c r="W496" s="90" t="b">
        <v>0</v>
      </c>
      <c r="X496" s="90" t="b">
        <v>0</v>
      </c>
      <c r="Y496" s="90" t="b">
        <v>0</v>
      </c>
      <c r="Z496" s="40" t="s">
        <v>3403</v>
      </c>
      <c r="AA496" s="41"/>
      <c r="AK496" s="16"/>
      <c r="AL496" s="16"/>
      <c r="AM496" s="16"/>
      <c r="AN496" s="16"/>
      <c r="AO496" s="16"/>
      <c r="AP496" s="16"/>
      <c r="AQ496" s="16"/>
      <c r="AR496" s="16"/>
      <c r="AS496" s="16"/>
    </row>
    <row r="497" spans="1:45" s="7" customFormat="1" ht="195" customHeight="1">
      <c r="A497" s="27">
        <f>[1]트램표준체크리스트!A495</f>
        <v>493</v>
      </c>
      <c r="B497" s="28" t="str">
        <f>[1]트램표준체크리스트!B495</f>
        <v>토질 및 기초</v>
      </c>
      <c r="C497" s="29" t="str">
        <f>[1]트램표준체크리스트!C495</f>
        <v>발파공법변경</v>
      </c>
      <c r="D497" s="30" t="str">
        <f>[1]트램표준체크리스트!F495</f>
        <v>최종 암깎기면(사면) 보호를 위해 제어발파(Smooth Blasting)가 내역에 반영되었는가?□ 도면, 시방서, 내역서 간 발파 공법이 일치하는가?</v>
      </c>
      <c r="E497" s="31" t="s">
        <v>3404</v>
      </c>
      <c r="F497" s="32" t="str">
        <f t="shared" si="15"/>
        <v>극상</v>
      </c>
      <c r="G497" s="63" t="s">
        <v>40</v>
      </c>
      <c r="H497" s="63" t="s">
        <v>41</v>
      </c>
      <c r="I497" s="34" t="s">
        <v>3405</v>
      </c>
      <c r="J497" s="33"/>
      <c r="K497" s="35"/>
      <c r="L497" s="33"/>
      <c r="M497" s="36"/>
      <c r="N497" s="33"/>
      <c r="O497" s="36"/>
      <c r="P497" s="33"/>
      <c r="Q497" s="37"/>
      <c r="R497" s="38"/>
      <c r="S497" s="33"/>
      <c r="T497" s="38"/>
      <c r="U497" s="33"/>
      <c r="V497" s="39"/>
      <c r="W497" s="90" t="b">
        <v>0</v>
      </c>
      <c r="X497" s="90" t="b">
        <v>0</v>
      </c>
      <c r="Y497" s="90" t="b">
        <v>0</v>
      </c>
      <c r="Z497" s="40" t="s">
        <v>3383</v>
      </c>
      <c r="AA497" s="41"/>
      <c r="AK497" s="16"/>
      <c r="AL497" s="16"/>
      <c r="AM497" s="16"/>
      <c r="AN497" s="16"/>
      <c r="AO497" s="16"/>
      <c r="AP497" s="16"/>
      <c r="AQ497" s="16"/>
      <c r="AR497" s="16"/>
      <c r="AS497" s="16"/>
    </row>
    <row r="498" spans="1:45" s="7" customFormat="1" ht="195" customHeight="1">
      <c r="A498" s="27">
        <f>[1]트램표준체크리스트!A496</f>
        <v>494</v>
      </c>
      <c r="B498" s="28" t="str">
        <f>[1]트램표준체크리스트!B496</f>
        <v>토질 및 기초</v>
      </c>
      <c r="C498" s="29" t="str">
        <f>[1]트램표준체크리스트!C496</f>
        <v>발파굴착(인허가)</v>
      </c>
      <c r="D498" s="30" t="str">
        <f>[1]트램표준체크리스트!F496</f>
        <v>인근 경찰서의 화약류 사용 허가 조건(발파 가능 횟수/시간)을 사전 조사했는가?</v>
      </c>
      <c r="E498" s="31" t="s">
        <v>3406</v>
      </c>
      <c r="F498" s="32" t="str">
        <f t="shared" si="15"/>
        <v>극상</v>
      </c>
      <c r="G498" s="63" t="s">
        <v>40</v>
      </c>
      <c r="H498" s="63" t="s">
        <v>41</v>
      </c>
      <c r="I498" s="34" t="s">
        <v>3407</v>
      </c>
      <c r="J498" s="33"/>
      <c r="K498" s="35"/>
      <c r="L498" s="33"/>
      <c r="M498" s="36"/>
      <c r="N498" s="33"/>
      <c r="O498" s="36"/>
      <c r="P498" s="33"/>
      <c r="Q498" s="37"/>
      <c r="R498" s="38"/>
      <c r="S498" s="33"/>
      <c r="T498" s="38"/>
      <c r="U498" s="33"/>
      <c r="V498" s="39"/>
      <c r="W498" s="90" t="b">
        <v>0</v>
      </c>
      <c r="X498" s="90" t="b">
        <v>0</v>
      </c>
      <c r="Y498" s="90" t="b">
        <v>0</v>
      </c>
      <c r="Z498" s="40" t="s">
        <v>3383</v>
      </c>
      <c r="AA498" s="41"/>
      <c r="AK498" s="16"/>
      <c r="AL498" s="16"/>
      <c r="AM498" s="16"/>
      <c r="AN498" s="16"/>
      <c r="AO498" s="16"/>
      <c r="AP498" s="16"/>
      <c r="AQ498" s="16"/>
      <c r="AR498" s="16"/>
      <c r="AS498" s="16"/>
    </row>
    <row r="499" spans="1:45" s="7" customFormat="1" ht="195" customHeight="1">
      <c r="A499" s="27">
        <f>[1]트램표준체크리스트!A497</f>
        <v>495</v>
      </c>
      <c r="B499" s="28" t="str">
        <f>[1]트램표준체크리스트!B497</f>
        <v>토질 및 기초</v>
      </c>
      <c r="C499" s="29" t="str">
        <f>[1]트램표준체크리스트!C497</f>
        <v>발파석쌓기</v>
      </c>
      <c r="D499" s="30" t="str">
        <f>[1]트램표준체크리스트!F497</f>
        <v>원형보존구역 경계선과 토공 사면 끝단(Toe) 간에 여유폭이 확보되었는가?</v>
      </c>
      <c r="E499" s="31" t="s">
        <v>3408</v>
      </c>
      <c r="F499" s="32" t="str">
        <f t="shared" si="15"/>
        <v>극상</v>
      </c>
      <c r="G499" s="63" t="s">
        <v>40</v>
      </c>
      <c r="H499" s="63" t="s">
        <v>41</v>
      </c>
      <c r="I499" s="34" t="s">
        <v>3409</v>
      </c>
      <c r="J499" s="33"/>
      <c r="K499" s="35"/>
      <c r="L499" s="33"/>
      <c r="M499" s="36"/>
      <c r="N499" s="33"/>
      <c r="O499" s="36"/>
      <c r="P499" s="33"/>
      <c r="Q499" s="37"/>
      <c r="R499" s="38"/>
      <c r="S499" s="33"/>
      <c r="T499" s="38"/>
      <c r="U499" s="33"/>
      <c r="V499" s="39"/>
      <c r="W499" s="90" t="b">
        <v>0</v>
      </c>
      <c r="X499" s="90" t="b">
        <v>0</v>
      </c>
      <c r="Y499" s="90" t="b">
        <v>0</v>
      </c>
      <c r="Z499" s="40" t="s">
        <v>3383</v>
      </c>
      <c r="AA499" s="41"/>
      <c r="AK499" s="16"/>
      <c r="AL499" s="16"/>
      <c r="AM499" s="16"/>
      <c r="AN499" s="16"/>
      <c r="AO499" s="16"/>
      <c r="AP499" s="16"/>
      <c r="AQ499" s="16"/>
      <c r="AR499" s="16"/>
      <c r="AS499" s="16"/>
    </row>
    <row r="500" spans="1:45" s="7" customFormat="1" ht="195" customHeight="1">
      <c r="A500" s="27">
        <f>[1]트램표준체크리스트!A498</f>
        <v>496</v>
      </c>
      <c r="B500" s="28" t="str">
        <f>[1]트램표준체크리스트!B498</f>
        <v>토질 및 기초</v>
      </c>
      <c r="C500" s="29" t="str">
        <f>[1]트램표준체크리스트!C498</f>
        <v>발파암민원</v>
      </c>
      <c r="D500" s="30" t="str">
        <f>[1]트램표준체크리스트!F498</f>
        <v>공사 구간 인근에 소음/진동에 민감한 영업 시설(펜션, 양식장 등)이 있는지 확인했는가?</v>
      </c>
      <c r="E500" s="31" t="s">
        <v>3410</v>
      </c>
      <c r="F500" s="32" t="str">
        <f t="shared" si="15"/>
        <v>극상</v>
      </c>
      <c r="G500" s="63" t="s">
        <v>40</v>
      </c>
      <c r="H500" s="63" t="s">
        <v>41</v>
      </c>
      <c r="I500" s="34" t="s">
        <v>3411</v>
      </c>
      <c r="J500" s="33"/>
      <c r="K500" s="35"/>
      <c r="L500" s="33"/>
      <c r="M500" s="36"/>
      <c r="N500" s="33"/>
      <c r="O500" s="36"/>
      <c r="P500" s="33"/>
      <c r="Q500" s="37"/>
      <c r="R500" s="38"/>
      <c r="S500" s="33"/>
      <c r="T500" s="38"/>
      <c r="U500" s="33"/>
      <c r="V500" s="39"/>
      <c r="W500" s="90" t="b">
        <v>0</v>
      </c>
      <c r="X500" s="90" t="b">
        <v>0</v>
      </c>
      <c r="Y500" s="90" t="b">
        <v>0</v>
      </c>
      <c r="Z500" s="40" t="s">
        <v>3383</v>
      </c>
      <c r="AA500" s="41"/>
      <c r="AK500" s="16"/>
      <c r="AL500" s="16"/>
      <c r="AM500" s="16"/>
      <c r="AN500" s="16"/>
      <c r="AO500" s="16"/>
      <c r="AP500" s="16"/>
      <c r="AQ500" s="16"/>
      <c r="AR500" s="16"/>
      <c r="AS500" s="16"/>
    </row>
    <row r="501" spans="1:45" s="7" customFormat="1" ht="195" customHeight="1">
      <c r="A501" s="27">
        <f>[1]트램표준체크리스트!A499</f>
        <v>497</v>
      </c>
      <c r="B501" s="28" t="str">
        <f>[1]트램표준체크리스트!B499</f>
        <v>토질 및 기초</v>
      </c>
      <c r="C501" s="29" t="str">
        <f>[1]트램표준체크리스트!C499</f>
        <v>발파패턴변경</v>
      </c>
      <c r="D501" s="30" t="str">
        <f>[1]트램표준체크리스트!F499</f>
        <v>착공 전 주변 건물 신축 현황 등 보안 물건 변동 사항을 재조사했는가?</v>
      </c>
      <c r="E501" s="31" t="s">
        <v>3412</v>
      </c>
      <c r="F501" s="32" t="str">
        <f t="shared" si="15"/>
        <v>극상</v>
      </c>
      <c r="G501" s="63" t="s">
        <v>40</v>
      </c>
      <c r="H501" s="63" t="s">
        <v>41</v>
      </c>
      <c r="I501" s="34" t="s">
        <v>3413</v>
      </c>
      <c r="J501" s="33"/>
      <c r="K501" s="35"/>
      <c r="L501" s="33"/>
      <c r="M501" s="36"/>
      <c r="N501" s="33"/>
      <c r="O501" s="36"/>
      <c r="P501" s="33"/>
      <c r="Q501" s="37"/>
      <c r="R501" s="38"/>
      <c r="S501" s="33"/>
      <c r="T501" s="38"/>
      <c r="U501" s="33"/>
      <c r="V501" s="39"/>
      <c r="W501" s="90" t="b">
        <v>0</v>
      </c>
      <c r="X501" s="90" t="b">
        <v>0</v>
      </c>
      <c r="Y501" s="90" t="b">
        <v>0</v>
      </c>
      <c r="Z501" s="40" t="s">
        <v>3383</v>
      </c>
      <c r="AA501" s="41"/>
      <c r="AK501" s="16"/>
      <c r="AL501" s="16"/>
      <c r="AM501" s="16"/>
      <c r="AN501" s="16"/>
      <c r="AO501" s="16"/>
      <c r="AP501" s="16"/>
      <c r="AQ501" s="16"/>
      <c r="AR501" s="16"/>
      <c r="AS501" s="16"/>
    </row>
    <row r="502" spans="1:45" s="7" customFormat="1" ht="195" customHeight="1">
      <c r="A502" s="27">
        <f>[1]트램표준체크리스트!A500</f>
        <v>498</v>
      </c>
      <c r="B502" s="28" t="str">
        <f>[1]트램표준체크리스트!B500</f>
        <v>토질 및 기초</v>
      </c>
      <c r="C502" s="29" t="str">
        <f>[1]트램표준체크리스트!C500</f>
        <v>배수공</v>
      </c>
      <c r="D502" s="30" t="str">
        <f>[1]트램표준체크리스트!F500</f>
        <v>구조물과 흙막이 벽체 사이 여유폭(Working Space) 내에 배수로 설치 공간이 확보되었는가?</v>
      </c>
      <c r="E502" s="31" t="s">
        <v>3414</v>
      </c>
      <c r="F502" s="32" t="str">
        <f t="shared" si="15"/>
        <v>극상</v>
      </c>
      <c r="G502" s="63" t="s">
        <v>40</v>
      </c>
      <c r="H502" s="63" t="s">
        <v>41</v>
      </c>
      <c r="I502" s="34" t="s">
        <v>3415</v>
      </c>
      <c r="J502" s="33"/>
      <c r="K502" s="35"/>
      <c r="L502" s="33"/>
      <c r="M502" s="36"/>
      <c r="N502" s="33"/>
      <c r="O502" s="36"/>
      <c r="P502" s="33"/>
      <c r="Q502" s="37"/>
      <c r="R502" s="38"/>
      <c r="S502" s="33"/>
      <c r="T502" s="38"/>
      <c r="U502" s="33"/>
      <c r="V502" s="39"/>
      <c r="W502" s="90" t="b">
        <v>0</v>
      </c>
      <c r="X502" s="90" t="b">
        <v>0</v>
      </c>
      <c r="Y502" s="90" t="b">
        <v>0</v>
      </c>
      <c r="Z502" s="40" t="s">
        <v>3349</v>
      </c>
      <c r="AA502" s="41"/>
      <c r="AK502" s="16"/>
      <c r="AL502" s="16"/>
      <c r="AM502" s="16"/>
      <c r="AN502" s="16"/>
      <c r="AO502" s="16"/>
      <c r="AP502" s="16"/>
      <c r="AQ502" s="16"/>
      <c r="AR502" s="16"/>
      <c r="AS502" s="16"/>
    </row>
    <row r="503" spans="1:45" s="7" customFormat="1" ht="195" customHeight="1">
      <c r="A503" s="27">
        <f>[1]트램표준체크리스트!A501</f>
        <v>499</v>
      </c>
      <c r="B503" s="28" t="str">
        <f>[1]트램표준체크리스트!B501</f>
        <v>토질 및 기초</v>
      </c>
      <c r="C503" s="29" t="str">
        <f>[1]트램표준체크리스트!C501</f>
        <v>배수펌프장</v>
      </c>
      <c r="D503" s="30" t="str">
        <f>[1]트램표준체크리스트!F501</f>
        <v>배수펌프장 운영 기간이 전체 공사 기간(특히 우기 포함)을 커버하도록 산정되었는가?</v>
      </c>
      <c r="E503" s="31" t="s">
        <v>3416</v>
      </c>
      <c r="F503" s="32" t="str">
        <f t="shared" si="15"/>
        <v>극상</v>
      </c>
      <c r="G503" s="63" t="s">
        <v>40</v>
      </c>
      <c r="H503" s="63" t="s">
        <v>41</v>
      </c>
      <c r="I503" s="34" t="s">
        <v>3417</v>
      </c>
      <c r="J503" s="33"/>
      <c r="K503" s="35"/>
      <c r="L503" s="33"/>
      <c r="M503" s="36"/>
      <c r="N503" s="33"/>
      <c r="O503" s="36"/>
      <c r="P503" s="33"/>
      <c r="Q503" s="37"/>
      <c r="R503" s="38"/>
      <c r="S503" s="33"/>
      <c r="T503" s="38"/>
      <c r="U503" s="33"/>
      <c r="V503" s="39"/>
      <c r="W503" s="90" t="b">
        <v>0</v>
      </c>
      <c r="X503" s="90" t="b">
        <v>0</v>
      </c>
      <c r="Y503" s="90" t="b">
        <v>0</v>
      </c>
      <c r="Z503" s="40" t="s">
        <v>3341</v>
      </c>
      <c r="AA503" s="41"/>
      <c r="AK503" s="16"/>
      <c r="AL503" s="16"/>
      <c r="AM503" s="16"/>
      <c r="AN503" s="16"/>
      <c r="AO503" s="16"/>
      <c r="AP503" s="16"/>
      <c r="AQ503" s="16"/>
      <c r="AR503" s="16"/>
      <c r="AS503" s="16"/>
    </row>
    <row r="504" spans="1:45" s="7" customFormat="1" ht="195" customHeight="1">
      <c r="A504" s="27">
        <f>[1]트램표준체크리스트!A502</f>
        <v>500</v>
      </c>
      <c r="B504" s="28" t="str">
        <f>[1]트램표준체크리스트!B502</f>
        <v>토질 및 기초</v>
      </c>
      <c r="C504" s="29" t="str">
        <f>[1]트램표준체크리스트!C502</f>
        <v>부지 조성</v>
      </c>
      <c r="D504" s="30" t="str">
        <f>[1]트램표준체크리스트!F502</f>
        <v>석회암 지대 등 공동 발생 우려 지역에 대한 물리탐사(GPR, 전기비저항) 계획이 있는가?</v>
      </c>
      <c r="E504" s="31" t="s">
        <v>3418</v>
      </c>
      <c r="F504" s="32" t="str">
        <f t="shared" si="15"/>
        <v>극상</v>
      </c>
      <c r="G504" s="63" t="s">
        <v>40</v>
      </c>
      <c r="H504" s="63" t="s">
        <v>41</v>
      </c>
      <c r="I504" s="34" t="s">
        <v>3419</v>
      </c>
      <c r="J504" s="33"/>
      <c r="K504" s="35"/>
      <c r="L504" s="33"/>
      <c r="M504" s="36"/>
      <c r="N504" s="33"/>
      <c r="O504" s="36"/>
      <c r="P504" s="33"/>
      <c r="Q504" s="37"/>
      <c r="R504" s="38"/>
      <c r="S504" s="33"/>
      <c r="T504" s="38"/>
      <c r="U504" s="33"/>
      <c r="V504" s="39"/>
      <c r="W504" s="90" t="b">
        <v>0</v>
      </c>
      <c r="X504" s="90" t="b">
        <v>0</v>
      </c>
      <c r="Y504" s="90" t="b">
        <v>0</v>
      </c>
      <c r="Z504" s="40" t="s">
        <v>3359</v>
      </c>
      <c r="AA504" s="41"/>
      <c r="AK504" s="16"/>
      <c r="AL504" s="16"/>
      <c r="AM504" s="16"/>
      <c r="AN504" s="16"/>
      <c r="AO504" s="16"/>
      <c r="AP504" s="16"/>
      <c r="AQ504" s="16"/>
      <c r="AR504" s="16"/>
      <c r="AS504" s="16"/>
    </row>
    <row r="505" spans="1:45" s="7" customFormat="1" ht="195" customHeight="1">
      <c r="A505" s="27">
        <f>[1]트램표준체크리스트!A503</f>
        <v>501</v>
      </c>
      <c r="B505" s="28" t="str">
        <f>[1]트램표준체크리스트!B503</f>
        <v>토질 및 기초</v>
      </c>
      <c r="C505" s="29" t="str">
        <f>[1]트램표준체크리스트!C503</f>
        <v>비탈면</v>
      </c>
      <c r="D505" s="30" t="str">
        <f>[1]트램표준체크리스트!F503</f>
        <v>절토 사면 설계 시 지질 구조(단층, 절리 방향)가 사면 안정성에 미치는 영향을 검토했는가?</v>
      </c>
      <c r="E505" s="31" t="s">
        <v>3420</v>
      </c>
      <c r="F505" s="32" t="str">
        <f t="shared" si="15"/>
        <v>극상</v>
      </c>
      <c r="G505" s="63" t="s">
        <v>40</v>
      </c>
      <c r="H505" s="63" t="s">
        <v>41</v>
      </c>
      <c r="I505" s="34" t="s">
        <v>3421</v>
      </c>
      <c r="J505" s="33"/>
      <c r="K505" s="35"/>
      <c r="L505" s="33"/>
      <c r="M505" s="36"/>
      <c r="N505" s="33"/>
      <c r="O505" s="36"/>
      <c r="P505" s="33"/>
      <c r="Q505" s="37"/>
      <c r="R505" s="38"/>
      <c r="S505" s="33"/>
      <c r="T505" s="38"/>
      <c r="U505" s="33"/>
      <c r="V505" s="39"/>
      <c r="W505" s="90" t="b">
        <v>0</v>
      </c>
      <c r="X505" s="90" t="b">
        <v>0</v>
      </c>
      <c r="Y505" s="90" t="b">
        <v>0</v>
      </c>
      <c r="Z505" s="40" t="s">
        <v>3362</v>
      </c>
      <c r="AA505" s="41"/>
      <c r="AK505" s="16"/>
      <c r="AL505" s="16"/>
      <c r="AM505" s="16"/>
      <c r="AN505" s="16"/>
      <c r="AO505" s="16"/>
      <c r="AP505" s="16"/>
      <c r="AQ505" s="16"/>
      <c r="AR505" s="16"/>
      <c r="AS505" s="16"/>
    </row>
    <row r="506" spans="1:45" s="7" customFormat="1" ht="195" customHeight="1">
      <c r="A506" s="27">
        <f>[1]트램표준체크리스트!A504</f>
        <v>502</v>
      </c>
      <c r="B506" s="28" t="str">
        <f>[1]트램표준체크리스트!B504</f>
        <v>토질 및 기초</v>
      </c>
      <c r="C506" s="29" t="str">
        <f>[1]트램표준체크리스트!C504</f>
        <v>비탈면경사완화</v>
      </c>
      <c r="D506" s="30" t="str">
        <f>[1]트램표준체크리스트!F504</f>
        <v>환경영향평가 협의 내용상의 사면 경사 기준이 설계에 반영되었는가?</v>
      </c>
      <c r="E506" s="31" t="s">
        <v>3422</v>
      </c>
      <c r="F506" s="32" t="str">
        <f t="shared" si="15"/>
        <v>극상</v>
      </c>
      <c r="G506" s="63" t="s">
        <v>40</v>
      </c>
      <c r="H506" s="63" t="s">
        <v>41</v>
      </c>
      <c r="I506" s="34" t="s">
        <v>3423</v>
      </c>
      <c r="J506" s="33"/>
      <c r="K506" s="35"/>
      <c r="L506" s="33"/>
      <c r="M506" s="36"/>
      <c r="N506" s="33"/>
      <c r="O506" s="36"/>
      <c r="P506" s="33"/>
      <c r="Q506" s="37"/>
      <c r="R506" s="38"/>
      <c r="S506" s="33"/>
      <c r="T506" s="38"/>
      <c r="U506" s="33"/>
      <c r="V506" s="39"/>
      <c r="W506" s="90" t="b">
        <v>0</v>
      </c>
      <c r="X506" s="90" t="b">
        <v>0</v>
      </c>
      <c r="Y506" s="90" t="b">
        <v>0</v>
      </c>
      <c r="Z506" s="40" t="s">
        <v>3362</v>
      </c>
      <c r="AA506" s="41"/>
      <c r="AK506" s="16"/>
      <c r="AL506" s="16"/>
      <c r="AM506" s="16"/>
      <c r="AN506" s="16"/>
      <c r="AO506" s="16"/>
      <c r="AP506" s="16"/>
      <c r="AQ506" s="16"/>
      <c r="AR506" s="16"/>
      <c r="AS506" s="16"/>
    </row>
    <row r="507" spans="1:45" s="7" customFormat="1" ht="195" customHeight="1">
      <c r="A507" s="27">
        <f>[1]트램표준체크리스트!A505</f>
        <v>503</v>
      </c>
      <c r="B507" s="28" t="str">
        <f>[1]트램표준체크리스트!B505</f>
        <v>토질 및 기초</v>
      </c>
      <c r="C507" s="29" t="str">
        <f>[1]트램표준체크리스트!C505</f>
        <v>비탈면보강공</v>
      </c>
      <c r="D507" s="30" t="str">
        <f>[1]트램표준체크리스트!F505</f>
        <v>퇴적암/절리 발달 구간에 대한 사면 안정성 검토가 보수적으로 수행되었는가?
우기 시 지하수위 상승을 고려한 안전율이 확보되었는가?</v>
      </c>
      <c r="E507" s="31" t="s">
        <v>3424</v>
      </c>
      <c r="F507" s="32" t="str">
        <f t="shared" si="15"/>
        <v>극상</v>
      </c>
      <c r="G507" s="63" t="s">
        <v>40</v>
      </c>
      <c r="H507" s="63" t="s">
        <v>41</v>
      </c>
      <c r="I507" s="34" t="s">
        <v>3425</v>
      </c>
      <c r="J507" s="33"/>
      <c r="K507" s="35"/>
      <c r="L507" s="33"/>
      <c r="M507" s="36"/>
      <c r="N507" s="33"/>
      <c r="O507" s="36"/>
      <c r="P507" s="33"/>
      <c r="Q507" s="37"/>
      <c r="R507" s="38"/>
      <c r="S507" s="33"/>
      <c r="T507" s="38"/>
      <c r="U507" s="33"/>
      <c r="V507" s="39"/>
      <c r="W507" s="90" t="b">
        <v>0</v>
      </c>
      <c r="X507" s="90" t="b">
        <v>0</v>
      </c>
      <c r="Y507" s="90" t="b">
        <v>0</v>
      </c>
      <c r="Z507" s="40" t="s">
        <v>3362</v>
      </c>
      <c r="AA507" s="41"/>
      <c r="AK507" s="16"/>
      <c r="AL507" s="16"/>
      <c r="AM507" s="16"/>
      <c r="AN507" s="16"/>
      <c r="AO507" s="16"/>
      <c r="AP507" s="16"/>
      <c r="AQ507" s="16"/>
      <c r="AR507" s="16"/>
      <c r="AS507" s="16"/>
    </row>
    <row r="508" spans="1:45" s="7" customFormat="1" ht="195" customHeight="1">
      <c r="A508" s="27">
        <f>[1]트램표준체크리스트!A506</f>
        <v>504</v>
      </c>
      <c r="B508" s="28" t="str">
        <f>[1]트램표준체크리스트!B506</f>
        <v>토질 및 기초</v>
      </c>
      <c r="C508" s="29" t="str">
        <f>[1]트램표준체크리스트!C506</f>
        <v>사면경사조정</v>
      </c>
      <c r="D508" s="30" t="str">
        <f>[1]트램표준체크리스트!F506</f>
        <v>탄질셰일, 팽창성 점토 등 특수 지질 존재 여부를 시추조사에서 확인했는가?</v>
      </c>
      <c r="E508" s="31" t="s">
        <v>3426</v>
      </c>
      <c r="F508" s="32" t="str">
        <f t="shared" si="15"/>
        <v>극상</v>
      </c>
      <c r="G508" s="63" t="s">
        <v>40</v>
      </c>
      <c r="H508" s="63" t="s">
        <v>41</v>
      </c>
      <c r="I508" s="34" t="s">
        <v>3427</v>
      </c>
      <c r="J508" s="33"/>
      <c r="K508" s="35"/>
      <c r="L508" s="33"/>
      <c r="M508" s="36"/>
      <c r="N508" s="33"/>
      <c r="O508" s="36"/>
      <c r="P508" s="33"/>
      <c r="Q508" s="37"/>
      <c r="R508" s="38"/>
      <c r="S508" s="33"/>
      <c r="T508" s="38"/>
      <c r="U508" s="33"/>
      <c r="V508" s="39"/>
      <c r="W508" s="90" t="b">
        <v>0</v>
      </c>
      <c r="X508" s="90" t="b">
        <v>0</v>
      </c>
      <c r="Y508" s="90" t="b">
        <v>0</v>
      </c>
      <c r="Z508" s="40" t="s">
        <v>3362</v>
      </c>
      <c r="AA508" s="41"/>
      <c r="AK508" s="16"/>
      <c r="AL508" s="16"/>
      <c r="AM508" s="16"/>
      <c r="AN508" s="16"/>
      <c r="AO508" s="16"/>
      <c r="AP508" s="16"/>
      <c r="AQ508" s="16"/>
      <c r="AR508" s="16"/>
      <c r="AS508" s="16"/>
    </row>
    <row r="509" spans="1:45" s="7" customFormat="1" ht="195" customHeight="1">
      <c r="A509" s="27">
        <f>[1]트램표준체크리스트!A507</f>
        <v>505</v>
      </c>
      <c r="B509" s="28" t="str">
        <f>[1]트램표준체크리스트!B507</f>
        <v>토질 및 기초</v>
      </c>
      <c r="C509" s="29" t="str">
        <f>[1]트램표준체크리스트!C507</f>
        <v>석축(찰쌓기)</v>
      </c>
      <c r="D509" s="30" t="str">
        <f>[1]트램표준체크리스트!F507</f>
        <v>구조물 뒷채움/되메우기 사면이 인접 도로 나 용지 경계를 침범하지 않는지 단면 검토했는가?</v>
      </c>
      <c r="E509" s="31" t="s">
        <v>3428</v>
      </c>
      <c r="F509" s="32" t="str">
        <f t="shared" si="15"/>
        <v>극상</v>
      </c>
      <c r="G509" s="63" t="s">
        <v>40</v>
      </c>
      <c r="H509" s="63" t="s">
        <v>41</v>
      </c>
      <c r="I509" s="34" t="s">
        <v>3429</v>
      </c>
      <c r="J509" s="33"/>
      <c r="K509" s="35"/>
      <c r="L509" s="33"/>
      <c r="M509" s="36"/>
      <c r="N509" s="33"/>
      <c r="O509" s="36"/>
      <c r="P509" s="33"/>
      <c r="Q509" s="37"/>
      <c r="R509" s="38"/>
      <c r="S509" s="33"/>
      <c r="T509" s="38"/>
      <c r="U509" s="33"/>
      <c r="V509" s="39"/>
      <c r="W509" s="90" t="b">
        <v>0</v>
      </c>
      <c r="X509" s="90" t="b">
        <v>0</v>
      </c>
      <c r="Y509" s="90" t="b">
        <v>0</v>
      </c>
      <c r="Z509" s="40" t="s">
        <v>3430</v>
      </c>
      <c r="AA509" s="41"/>
      <c r="AK509" s="16"/>
      <c r="AL509" s="16"/>
      <c r="AM509" s="16"/>
      <c r="AN509" s="16"/>
      <c r="AO509" s="16"/>
      <c r="AP509" s="16"/>
      <c r="AQ509" s="16"/>
      <c r="AR509" s="16"/>
      <c r="AS509" s="16"/>
    </row>
    <row r="510" spans="1:45" s="7" customFormat="1" ht="195" customHeight="1">
      <c r="A510" s="27">
        <f>[1]트램표준체크리스트!A508</f>
        <v>506</v>
      </c>
      <c r="B510" s="28" t="str">
        <f>[1]트램표준체크리스트!B508</f>
        <v>토질 및 기초</v>
      </c>
      <c r="C510" s="29" t="str">
        <f>[1]트램표준체크리스트!C508</f>
        <v>안전점검</v>
      </c>
      <c r="D510" s="30" t="str">
        <f>[1]트램표준체크리스트!F508</f>
        <v>철도보호지구 등 특수 구간 공사 시 유관기관이 요구하는 안전점검 비용이 별도로 계상되었는가?</v>
      </c>
      <c r="E510" s="31" t="s">
        <v>3431</v>
      </c>
      <c r="F510" s="32" t="str">
        <f t="shared" si="15"/>
        <v>극상</v>
      </c>
      <c r="G510" s="63" t="s">
        <v>40</v>
      </c>
      <c r="H510" s="63" t="s">
        <v>41</v>
      </c>
      <c r="I510" s="34" t="s">
        <v>3432</v>
      </c>
      <c r="J510" s="33"/>
      <c r="K510" s="35"/>
      <c r="L510" s="33"/>
      <c r="M510" s="36"/>
      <c r="N510" s="33"/>
      <c r="O510" s="36"/>
      <c r="P510" s="33"/>
      <c r="Q510" s="37"/>
      <c r="R510" s="38"/>
      <c r="S510" s="33"/>
      <c r="T510" s="38"/>
      <c r="U510" s="33"/>
      <c r="V510" s="39"/>
      <c r="W510" s="90" t="b">
        <v>0</v>
      </c>
      <c r="X510" s="90" t="b">
        <v>0</v>
      </c>
      <c r="Y510" s="90" t="b">
        <v>0</v>
      </c>
      <c r="Z510" s="40" t="s">
        <v>3341</v>
      </c>
      <c r="AA510" s="41"/>
      <c r="AK510" s="16"/>
      <c r="AL510" s="16"/>
      <c r="AM510" s="16"/>
      <c r="AN510" s="16"/>
      <c r="AO510" s="16"/>
      <c r="AP510" s="16"/>
      <c r="AQ510" s="16"/>
      <c r="AR510" s="16"/>
      <c r="AS510" s="16"/>
    </row>
    <row r="511" spans="1:45" s="7" customFormat="1" ht="195" customHeight="1">
      <c r="A511" s="27">
        <f>[1]트램표준체크리스트!A509</f>
        <v>507</v>
      </c>
      <c r="B511" s="28" t="str">
        <f>[1]트램표준체크리스트!B509</f>
        <v>토질 및 기초</v>
      </c>
      <c r="C511" s="29" t="str">
        <f>[1]트램표준체크리스트!C509</f>
        <v>야적방법</v>
      </c>
      <c r="D511" s="30" t="str">
        <f>[1]트램표준체크리스트!F509</f>
        <v>설계 시 야적장 부지 추가 확보 불가로 수직 적치 필요.에 따른 기 임시야적장의 성토고가 높아져(H=적정 규격/거리) 하역장비(덤프) 전도 위험 발생할 리스크를 검토하였는가?</v>
      </c>
      <c r="E511" s="31" t="s">
        <v>3433</v>
      </c>
      <c r="F511" s="32" t="str">
        <f t="shared" si="15"/>
        <v>극상</v>
      </c>
      <c r="G511" s="63" t="s">
        <v>40</v>
      </c>
      <c r="H511" s="63" t="s">
        <v>41</v>
      </c>
      <c r="I511" s="34" t="s">
        <v>3434</v>
      </c>
      <c r="J511" s="33"/>
      <c r="K511" s="35"/>
      <c r="L511" s="33"/>
      <c r="M511" s="36"/>
      <c r="N511" s="33"/>
      <c r="O511" s="36"/>
      <c r="P511" s="33"/>
      <c r="Q511" s="37"/>
      <c r="R511" s="38"/>
      <c r="S511" s="33"/>
      <c r="T511" s="38"/>
      <c r="U511" s="33"/>
      <c r="V511" s="39"/>
      <c r="W511" s="90" t="b">
        <v>0</v>
      </c>
      <c r="X511" s="90" t="b">
        <v>0</v>
      </c>
      <c r="Y511" s="90" t="b">
        <v>0</v>
      </c>
      <c r="Z511" s="40" t="s">
        <v>3341</v>
      </c>
      <c r="AA511" s="41"/>
      <c r="AK511" s="16"/>
      <c r="AL511" s="16"/>
      <c r="AM511" s="16"/>
      <c r="AN511" s="16"/>
      <c r="AO511" s="16"/>
      <c r="AP511" s="16"/>
      <c r="AQ511" s="16"/>
      <c r="AR511" s="16"/>
      <c r="AS511" s="16"/>
    </row>
    <row r="512" spans="1:45" s="7" customFormat="1" ht="195" customHeight="1">
      <c r="A512" s="27">
        <f>[1]트램표준체크리스트!A510</f>
        <v>508</v>
      </c>
      <c r="B512" s="28" t="str">
        <f>[1]트램표준체크리스트!B510</f>
        <v>토질 및 기초</v>
      </c>
      <c r="C512" s="29" t="str">
        <f>[1]트램표준체크리스트!C510</f>
        <v>오수공</v>
      </c>
      <c r="D512" s="30" t="str">
        <f>[1]트램표준체크리스트!F510</f>
        <v>굴착 바닥면의 피압수 용출 가능성(Boiling)을 검토하고 Well Point 등 지하수위 저하 공법을 반영했는가?</v>
      </c>
      <c r="E512" s="31" t="s">
        <v>3435</v>
      </c>
      <c r="F512" s="32" t="str">
        <f t="shared" si="15"/>
        <v>극상</v>
      </c>
      <c r="G512" s="63" t="s">
        <v>40</v>
      </c>
      <c r="H512" s="63" t="s">
        <v>41</v>
      </c>
      <c r="I512" s="34" t="s">
        <v>3436</v>
      </c>
      <c r="J512" s="33"/>
      <c r="K512" s="35"/>
      <c r="L512" s="33"/>
      <c r="M512" s="36"/>
      <c r="N512" s="33"/>
      <c r="O512" s="36"/>
      <c r="P512" s="33"/>
      <c r="Q512" s="37"/>
      <c r="R512" s="38"/>
      <c r="S512" s="33"/>
      <c r="T512" s="38"/>
      <c r="U512" s="33"/>
      <c r="V512" s="39"/>
      <c r="W512" s="90" t="b">
        <v>0</v>
      </c>
      <c r="X512" s="90" t="b">
        <v>0</v>
      </c>
      <c r="Y512" s="90" t="b">
        <v>0</v>
      </c>
      <c r="Z512" s="40" t="s">
        <v>3437</v>
      </c>
      <c r="AA512" s="41"/>
      <c r="AK512" s="16"/>
      <c r="AL512" s="16"/>
      <c r="AM512" s="16"/>
      <c r="AN512" s="16"/>
      <c r="AO512" s="16"/>
      <c r="AP512" s="16"/>
      <c r="AQ512" s="16"/>
      <c r="AR512" s="16"/>
      <c r="AS512" s="16"/>
    </row>
    <row r="513" spans="1:45" s="7" customFormat="1" ht="195" customHeight="1">
      <c r="A513" s="27">
        <f>[1]트램표준체크리스트!A511</f>
        <v>509</v>
      </c>
      <c r="B513" s="28" t="str">
        <f>[1]트램표준체크리스트!B511</f>
        <v>토질 및 기초</v>
      </c>
      <c r="C513" s="29" t="str">
        <f>[1]트램표준체크리스트!C511</f>
        <v>오탁방지막</v>
      </c>
      <c r="D513" s="30" t="str">
        <f>[1]트램표준체크리스트!F511</f>
        <v>해상 가설물(오탁방지막)의 설계 기준 풍속/파고가 해당 지역의 태풍 이력과 부합하는가?</v>
      </c>
      <c r="E513" s="31" t="s">
        <v>3438</v>
      </c>
      <c r="F513" s="32" t="str">
        <f t="shared" si="15"/>
        <v>극상</v>
      </c>
      <c r="G513" s="63" t="s">
        <v>40</v>
      </c>
      <c r="H513" s="63" t="s">
        <v>41</v>
      </c>
      <c r="I513" s="34" t="s">
        <v>3439</v>
      </c>
      <c r="J513" s="33"/>
      <c r="K513" s="35"/>
      <c r="L513" s="33"/>
      <c r="M513" s="36"/>
      <c r="N513" s="33"/>
      <c r="O513" s="36"/>
      <c r="P513" s="33"/>
      <c r="Q513" s="37"/>
      <c r="R513" s="38"/>
      <c r="S513" s="33"/>
      <c r="T513" s="38"/>
      <c r="U513" s="33"/>
      <c r="V513" s="39"/>
      <c r="W513" s="90" t="b">
        <v>0</v>
      </c>
      <c r="X513" s="90" t="b">
        <v>0</v>
      </c>
      <c r="Y513" s="90" t="b">
        <v>0</v>
      </c>
      <c r="Z513" s="40" t="s">
        <v>3341</v>
      </c>
      <c r="AA513" s="41"/>
      <c r="AK513" s="16"/>
      <c r="AL513" s="16"/>
      <c r="AM513" s="16"/>
      <c r="AN513" s="16"/>
      <c r="AO513" s="16"/>
      <c r="AP513" s="16"/>
      <c r="AQ513" s="16"/>
      <c r="AR513" s="16"/>
      <c r="AS513" s="16"/>
    </row>
    <row r="514" spans="1:45" s="7" customFormat="1" ht="195" customHeight="1">
      <c r="A514" s="27">
        <f>[1]트램표준체크리스트!A512</f>
        <v>510</v>
      </c>
      <c r="B514" s="28" t="str">
        <f>[1]트램표준체크리스트!B512</f>
        <v>토질 및 기초</v>
      </c>
      <c r="C514" s="29" t="str">
        <f>[1]트램표준체크리스트!C512</f>
        <v>운반거리</v>
      </c>
      <c r="D514" s="30" t="str">
        <f>[1]트램표준체크리스트!F512</f>
        <v>토공 유동 계획(Mass Diagram) 작성 시 가적치장을 경유하는 우회 거리가 반영되었는가?</v>
      </c>
      <c r="E514" s="31" t="s">
        <v>3440</v>
      </c>
      <c r="F514" s="32" t="str">
        <f t="shared" si="15"/>
        <v>극상</v>
      </c>
      <c r="G514" s="63" t="s">
        <v>40</v>
      </c>
      <c r="H514" s="63" t="s">
        <v>41</v>
      </c>
      <c r="I514" s="34" t="s">
        <v>3441</v>
      </c>
      <c r="J514" s="33"/>
      <c r="K514" s="35"/>
      <c r="L514" s="33"/>
      <c r="M514" s="36"/>
      <c r="N514" s="33"/>
      <c r="O514" s="36"/>
      <c r="P514" s="33"/>
      <c r="Q514" s="37"/>
      <c r="R514" s="38"/>
      <c r="S514" s="33"/>
      <c r="T514" s="38"/>
      <c r="U514" s="33"/>
      <c r="V514" s="39"/>
      <c r="W514" s="90" t="b">
        <v>0</v>
      </c>
      <c r="X514" s="90" t="b">
        <v>0</v>
      </c>
      <c r="Y514" s="90" t="b">
        <v>0</v>
      </c>
      <c r="Z514" s="40" t="s">
        <v>3341</v>
      </c>
      <c r="AA514" s="41"/>
      <c r="AK514" s="16"/>
      <c r="AL514" s="16"/>
      <c r="AM514" s="16"/>
      <c r="AN514" s="16"/>
      <c r="AO514" s="16"/>
      <c r="AP514" s="16"/>
      <c r="AQ514" s="16"/>
      <c r="AR514" s="16"/>
      <c r="AS514" s="16"/>
    </row>
    <row r="515" spans="1:45" s="7" customFormat="1" ht="195" customHeight="1">
      <c r="A515" s="27">
        <f>[1]트램표준체크리스트!A513</f>
        <v>511</v>
      </c>
      <c r="B515" s="28" t="str">
        <f>[1]트램표준체크리스트!B513</f>
        <v>토질 및 기초</v>
      </c>
      <c r="C515" s="29" t="str">
        <f>[1]트램표준체크리스트!C513</f>
        <v>운행선 인접</v>
      </c>
      <c r="D515" s="30" t="str">
        <f>[1]트램표준체크리스트!F513</f>
        <v>운행선 인접 공사 시 가시설 설치 공간이 건축한계(Safety Clearance)를 침범하지 않는지 확인했는가?</v>
      </c>
      <c r="E515" s="31" t="s">
        <v>3442</v>
      </c>
      <c r="F515" s="32" t="str">
        <f t="shared" si="15"/>
        <v>극상</v>
      </c>
      <c r="G515" s="63" t="s">
        <v>40</v>
      </c>
      <c r="H515" s="63" t="s">
        <v>41</v>
      </c>
      <c r="I515" s="34" t="s">
        <v>3443</v>
      </c>
      <c r="J515" s="33"/>
      <c r="K515" s="35"/>
      <c r="L515" s="33"/>
      <c r="M515" s="36"/>
      <c r="N515" s="33"/>
      <c r="O515" s="36"/>
      <c r="P515" s="33"/>
      <c r="Q515" s="37"/>
      <c r="R515" s="38"/>
      <c r="S515" s="33"/>
      <c r="T515" s="38"/>
      <c r="U515" s="33"/>
      <c r="V515" s="39"/>
      <c r="W515" s="90" t="b">
        <v>0</v>
      </c>
      <c r="X515" s="90" t="b">
        <v>0</v>
      </c>
      <c r="Y515" s="90" t="b">
        <v>0</v>
      </c>
      <c r="Z515" s="40" t="s">
        <v>3346</v>
      </c>
      <c r="AA515" s="41"/>
      <c r="AK515" s="16"/>
      <c r="AL515" s="16"/>
      <c r="AM515" s="16"/>
      <c r="AN515" s="16"/>
      <c r="AO515" s="16"/>
      <c r="AP515" s="16"/>
      <c r="AQ515" s="16"/>
      <c r="AR515" s="16"/>
      <c r="AS515" s="16"/>
    </row>
    <row r="516" spans="1:45" s="7" customFormat="1" ht="195" customHeight="1">
      <c r="A516" s="27">
        <f>[1]트램표준체크리스트!A514</f>
        <v>512</v>
      </c>
      <c r="B516" s="28" t="str">
        <f>[1]트램표준체크리스트!B514</f>
        <v>토질 및 기초</v>
      </c>
      <c r="C516" s="29" t="str">
        <f>[1]트램표준체크리스트!C514</f>
        <v>임시적출장</v>
      </c>
      <c r="D516" s="30" t="str">
        <f>[1]트램표준체크리스트!F514</f>
        <v>공용 적출장이나 진입로 사용 시 타 공구와의 공정 간섭 및 점유 기간을 확인했는가?</v>
      </c>
      <c r="E516" s="31" t="s">
        <v>3444</v>
      </c>
      <c r="F516" s="32" t="str">
        <f t="shared" si="15"/>
        <v>극상</v>
      </c>
      <c r="G516" s="63" t="s">
        <v>40</v>
      </c>
      <c r="H516" s="63" t="s">
        <v>41</v>
      </c>
      <c r="I516" s="34" t="s">
        <v>3445</v>
      </c>
      <c r="J516" s="33"/>
      <c r="K516" s="35"/>
      <c r="L516" s="33"/>
      <c r="M516" s="36"/>
      <c r="N516" s="33"/>
      <c r="O516" s="36"/>
      <c r="P516" s="33"/>
      <c r="Q516" s="37"/>
      <c r="R516" s="38"/>
      <c r="S516" s="33"/>
      <c r="T516" s="38"/>
      <c r="U516" s="33"/>
      <c r="V516" s="39"/>
      <c r="W516" s="90" t="b">
        <v>0</v>
      </c>
      <c r="X516" s="90" t="b">
        <v>0</v>
      </c>
      <c r="Y516" s="90" t="b">
        <v>0</v>
      </c>
      <c r="Z516" s="40" t="s">
        <v>3341</v>
      </c>
      <c r="AA516" s="41"/>
      <c r="AK516" s="16"/>
      <c r="AL516" s="16"/>
      <c r="AM516" s="16"/>
      <c r="AN516" s="16"/>
      <c r="AO516" s="16"/>
      <c r="AP516" s="16"/>
      <c r="AQ516" s="16"/>
      <c r="AR516" s="16"/>
      <c r="AS516" s="16"/>
    </row>
    <row r="517" spans="1:45" s="7" customFormat="1" ht="195" customHeight="1">
      <c r="A517" s="27">
        <f>[1]트램표준체크리스트!A515</f>
        <v>513</v>
      </c>
      <c r="B517" s="28" t="str">
        <f>[1]트램표준체크리스트!B515</f>
        <v>토질 및 기초</v>
      </c>
      <c r="C517" s="29" t="str">
        <f>[1]트램표준체크리스트!C515</f>
        <v>입출고선</v>
      </c>
      <c r="D517" s="30" t="str">
        <f>[1]트램표준체크리스트!F515</f>
        <v>도심지 협소 구간 작업 시 대형 장비 진입 불가에 따른 소형 장비 할증이 반영되었는가?</v>
      </c>
      <c r="E517" s="31" t="s">
        <v>3446</v>
      </c>
      <c r="F517" s="32" t="str">
        <f t="shared" si="15"/>
        <v>극상</v>
      </c>
      <c r="G517" s="63" t="s">
        <v>40</v>
      </c>
      <c r="H517" s="63" t="s">
        <v>41</v>
      </c>
      <c r="I517" s="34" t="s">
        <v>3447</v>
      </c>
      <c r="J517" s="33"/>
      <c r="K517" s="35"/>
      <c r="L517" s="33"/>
      <c r="M517" s="36"/>
      <c r="N517" s="33"/>
      <c r="O517" s="36"/>
      <c r="P517" s="33"/>
      <c r="Q517" s="37"/>
      <c r="R517" s="38"/>
      <c r="S517" s="33"/>
      <c r="T517" s="38"/>
      <c r="U517" s="33"/>
      <c r="V517" s="39"/>
      <c r="W517" s="90" t="b">
        <v>0</v>
      </c>
      <c r="X517" s="90" t="b">
        <v>0</v>
      </c>
      <c r="Y517" s="90" t="b">
        <v>0</v>
      </c>
      <c r="Z517" s="40" t="s">
        <v>3448</v>
      </c>
      <c r="AA517" s="41"/>
      <c r="AK517" s="16"/>
      <c r="AL517" s="16"/>
      <c r="AM517" s="16"/>
      <c r="AN517" s="16"/>
      <c r="AO517" s="16"/>
      <c r="AP517" s="16"/>
      <c r="AQ517" s="16"/>
      <c r="AR517" s="16"/>
      <c r="AS517" s="16"/>
    </row>
    <row r="518" spans="1:45" s="7" customFormat="1" ht="195" customHeight="1">
      <c r="A518" s="27">
        <f>[1]트램표준체크리스트!A516</f>
        <v>514</v>
      </c>
      <c r="B518" s="28" t="str">
        <f>[1]트램표준체크리스트!B516</f>
        <v>토질 및 기초</v>
      </c>
      <c r="C518" s="29" t="str">
        <f>[1]트램표준체크리스트!C516</f>
        <v>작업공간(축도)</v>
      </c>
      <c r="D518" s="30" t="str">
        <f>[1]트램표준체크리스트!F516</f>
        <v>통행용 가도 외에 장비가 거치되어 작업할 수 있는 작업장(Platform/축도) 면적이 반영되었는가?</v>
      </c>
      <c r="E518" s="31" t="s">
        <v>3449</v>
      </c>
      <c r="F518" s="32" t="str">
        <f>_xlfn.LET(
    _xlpm.v_발생, IF(ISNUMBER(SEARCH("빈번", G518)), "상",
               IF(ISNUMBER(SEARCH("거의", G518)), "하", "중")),
    _xlpm.v_영향, IF(ISNUMBER(SEARCH("1개월", H518)), "상",
               IF(ISNUMBER(SEARCH("없음", H518)), "하", "중")),
    IF(AND(_xlpm.v_발생="상", _xlpm.v_영향="상"), "극상",
    IF(OR(_xlpm.v_발생="상", _xlpm.v_영향="상"), "상",
    IF(AND(_xlpm.v_발생="하", _xlpm.v_영향="하"), "하",
    "중")))
)</f>
        <v>극상</v>
      </c>
      <c r="G518" s="63" t="s">
        <v>40</v>
      </c>
      <c r="H518" s="63" t="s">
        <v>41</v>
      </c>
      <c r="I518" s="34" t="s">
        <v>3450</v>
      </c>
      <c r="J518" s="33"/>
      <c r="K518" s="35"/>
      <c r="L518" s="33"/>
      <c r="M518" s="36"/>
      <c r="N518" s="33"/>
      <c r="O518" s="36"/>
      <c r="P518" s="33"/>
      <c r="Q518" s="37"/>
      <c r="R518" s="38"/>
      <c r="S518" s="33"/>
      <c r="T518" s="38"/>
      <c r="U518" s="33"/>
      <c r="V518" s="39"/>
      <c r="W518" s="90" t="b">
        <v>0</v>
      </c>
      <c r="X518" s="90" t="b">
        <v>0</v>
      </c>
      <c r="Y518" s="90" t="b">
        <v>0</v>
      </c>
      <c r="Z518" s="40" t="s">
        <v>3341</v>
      </c>
      <c r="AA518" s="41"/>
      <c r="AK518" s="16"/>
      <c r="AL518" s="16"/>
      <c r="AM518" s="16"/>
      <c r="AN518" s="16"/>
      <c r="AO518" s="16"/>
      <c r="AP518" s="16"/>
      <c r="AQ518" s="16"/>
      <c r="AR518" s="16"/>
      <c r="AS518" s="16"/>
    </row>
    <row r="519" spans="1:45" s="7" customFormat="1" ht="195" customHeight="1">
      <c r="A519" s="27">
        <f>[1]트램표준체크리스트!A517</f>
        <v>515</v>
      </c>
      <c r="B519" s="28" t="str">
        <f>[1]트램표준체크리스트!B517</f>
        <v>토질 및 기초</v>
      </c>
      <c r="C519" s="29" t="str">
        <f>[1]트램표준체크리스트!C517</f>
        <v>장비진입로</v>
      </c>
      <c r="D519" s="30" t="str">
        <f>[1]트램표준체크리스트!F517</f>
        <v>연약지반 처리 장비(DCM, PBD) 진입을 위한 주행로(Mat) 및 성토 계획이 포함되었는가?</v>
      </c>
      <c r="E519" s="31" t="s">
        <v>3451</v>
      </c>
      <c r="F519" s="32" t="str">
        <f t="shared" ref="F519:F550" si="16">_xlfn.LET(
_xlpm.v_발생, IF(ISNUMBER(SEARCH("빈번", G519)), "상",
IF(ISNUMBER(SEARCH("거의", G519)), "하", "중")),
_xlpm.v_영향, IF(ISNUMBER(SEARCH("1개월", H519)), "상",
IF(ISNUMBER(SEARCH("없음", H519)), "하", "중")),
IF(AND(_xlpm.v_발생="상", _xlpm.v_영향="상"), "극상",
IF(OR(_xlpm.v_발생="상", _xlpm.v_영향="상"), "상",
IF(AND(_xlpm.v_발생="하", _xlpm.v_영향="하"), "하",
"중")))
)</f>
        <v>극상</v>
      </c>
      <c r="G519" s="63" t="s">
        <v>40</v>
      </c>
      <c r="H519" s="63" t="s">
        <v>41</v>
      </c>
      <c r="I519" s="34" t="s">
        <v>3452</v>
      </c>
      <c r="J519" s="33"/>
      <c r="K519" s="35"/>
      <c r="L519" s="33"/>
      <c r="M519" s="36"/>
      <c r="N519" s="33"/>
      <c r="O519" s="36"/>
      <c r="P519" s="33"/>
      <c r="Q519" s="37"/>
      <c r="R519" s="38"/>
      <c r="S519" s="33"/>
      <c r="T519" s="38"/>
      <c r="U519" s="33"/>
      <c r="V519" s="39"/>
      <c r="W519" s="90" t="b">
        <v>0</v>
      </c>
      <c r="X519" s="90" t="b">
        <v>0</v>
      </c>
      <c r="Y519" s="90" t="b">
        <v>0</v>
      </c>
      <c r="Z519" s="40" t="s">
        <v>3369</v>
      </c>
      <c r="AA519" s="41"/>
      <c r="AK519" s="16"/>
      <c r="AL519" s="16"/>
      <c r="AM519" s="16"/>
      <c r="AN519" s="16"/>
      <c r="AO519" s="16"/>
      <c r="AP519" s="16"/>
      <c r="AQ519" s="16"/>
      <c r="AR519" s="16"/>
      <c r="AS519" s="16"/>
    </row>
    <row r="520" spans="1:45" s="7" customFormat="1" ht="195" customHeight="1">
      <c r="A520" s="27">
        <f>[1]트램표준체크리스트!A518</f>
        <v>516</v>
      </c>
      <c r="B520" s="28" t="str">
        <f>[1]트램표준체크리스트!B518</f>
        <v>토질 및 기초</v>
      </c>
      <c r="C520" s="29" t="str">
        <f>[1]트램표준체크리스트!C518</f>
        <v>절취사면보강</v>
      </c>
      <c r="D520" s="30" t="str">
        <f>[1]트램표준체크리스트!F518</f>
        <v>사면 상부의 유역 면적을 고려하여 산마루 측구 용량이 충분한가?</v>
      </c>
      <c r="E520" s="31" t="s">
        <v>3453</v>
      </c>
      <c r="F520" s="32" t="str">
        <f t="shared" si="16"/>
        <v>극상</v>
      </c>
      <c r="G520" s="63" t="s">
        <v>40</v>
      </c>
      <c r="H520" s="63" t="s">
        <v>41</v>
      </c>
      <c r="I520" s="34" t="s">
        <v>3454</v>
      </c>
      <c r="J520" s="33"/>
      <c r="K520" s="35"/>
      <c r="L520" s="33"/>
      <c r="M520" s="36"/>
      <c r="N520" s="33"/>
      <c r="O520" s="36"/>
      <c r="P520" s="33"/>
      <c r="Q520" s="37"/>
      <c r="R520" s="38"/>
      <c r="S520" s="33"/>
      <c r="T520" s="38"/>
      <c r="U520" s="33"/>
      <c r="V520" s="39"/>
      <c r="W520" s="90" t="b">
        <v>0</v>
      </c>
      <c r="X520" s="90" t="b">
        <v>0</v>
      </c>
      <c r="Y520" s="90" t="b">
        <v>0</v>
      </c>
      <c r="Z520" s="40" t="s">
        <v>3362</v>
      </c>
      <c r="AA520" s="41"/>
      <c r="AK520" s="16"/>
      <c r="AL520" s="16"/>
      <c r="AM520" s="16"/>
      <c r="AN520" s="16"/>
      <c r="AO520" s="16"/>
      <c r="AP520" s="16"/>
      <c r="AQ520" s="16"/>
      <c r="AR520" s="16"/>
      <c r="AS520" s="16"/>
    </row>
    <row r="521" spans="1:45" s="7" customFormat="1" ht="195" customHeight="1">
      <c r="A521" s="27">
        <f>[1]트램표준체크리스트!A519</f>
        <v>517</v>
      </c>
      <c r="B521" s="28" t="str">
        <f>[1]트램표준체크리스트!B519</f>
        <v>토질 및 기초</v>
      </c>
      <c r="C521" s="29" t="str">
        <f>[1]트램표준체크리스트!C519</f>
        <v>절토부옹벽</v>
      </c>
      <c r="D521" s="30" t="str">
        <f>[1]트램표준체크리스트!F519</f>
        <v>절토 옹벽 높이가 5m를 초과할 경우 소단(B=1m 이상) 설치가 반영되었는가?□ 산지 복구 설계 승인 기준을 만족하는가?</v>
      </c>
      <c r="E521" s="31" t="s">
        <v>3455</v>
      </c>
      <c r="F521" s="32" t="str">
        <f t="shared" si="16"/>
        <v>극상</v>
      </c>
      <c r="G521" s="63" t="s">
        <v>40</v>
      </c>
      <c r="H521" s="63" t="s">
        <v>41</v>
      </c>
      <c r="I521" s="34" t="s">
        <v>3456</v>
      </c>
      <c r="J521" s="33"/>
      <c r="K521" s="35"/>
      <c r="L521" s="33"/>
      <c r="M521" s="36"/>
      <c r="N521" s="33"/>
      <c r="O521" s="36"/>
      <c r="P521" s="33"/>
      <c r="Q521" s="37"/>
      <c r="R521" s="38"/>
      <c r="S521" s="33"/>
      <c r="T521" s="38"/>
      <c r="U521" s="33"/>
      <c r="V521" s="39"/>
      <c r="W521" s="90" t="b">
        <v>0</v>
      </c>
      <c r="X521" s="90" t="b">
        <v>0</v>
      </c>
      <c r="Y521" s="90" t="b">
        <v>0</v>
      </c>
      <c r="Z521" s="40" t="s">
        <v>3430</v>
      </c>
      <c r="AA521" s="41"/>
      <c r="AK521" s="16"/>
      <c r="AL521" s="16"/>
      <c r="AM521" s="16"/>
      <c r="AN521" s="16"/>
      <c r="AO521" s="16"/>
      <c r="AP521" s="16"/>
      <c r="AQ521" s="16"/>
      <c r="AR521" s="16"/>
      <c r="AS521" s="16"/>
    </row>
    <row r="522" spans="1:45" s="7" customFormat="1" ht="195" customHeight="1">
      <c r="A522" s="27">
        <f>[1]트램표준체크리스트!A520</f>
        <v>518</v>
      </c>
      <c r="B522" s="28" t="str">
        <f>[1]트램표준체크리스트!B520</f>
        <v>토질 및 기초</v>
      </c>
      <c r="C522" s="29" t="str">
        <f>[1]트램표준체크리스트!C520</f>
        <v>정거장</v>
      </c>
      <c r="D522" s="30" t="str">
        <f>[1]트램표준체크리스트!F520</f>
        <v>공사 중 집중호우(Frequency 10~20년 빈도)에 대비한 배수 펌프 용량과 예비 펌프가 산정되었는가?</v>
      </c>
      <c r="E522" s="31" t="s">
        <v>3457</v>
      </c>
      <c r="F522" s="32" t="str">
        <f t="shared" si="16"/>
        <v>극상</v>
      </c>
      <c r="G522" s="63" t="s">
        <v>40</v>
      </c>
      <c r="H522" s="63" t="s">
        <v>41</v>
      </c>
      <c r="I522" s="34" t="s">
        <v>3458</v>
      </c>
      <c r="J522" s="33"/>
      <c r="K522" s="35"/>
      <c r="L522" s="33"/>
      <c r="M522" s="36"/>
      <c r="N522" s="33"/>
      <c r="O522" s="36"/>
      <c r="P522" s="33"/>
      <c r="Q522" s="37"/>
      <c r="R522" s="38"/>
      <c r="S522" s="33"/>
      <c r="T522" s="38"/>
      <c r="U522" s="33"/>
      <c r="V522" s="39"/>
      <c r="W522" s="90" t="b">
        <v>0</v>
      </c>
      <c r="X522" s="90" t="b">
        <v>0</v>
      </c>
      <c r="Y522" s="90" t="b">
        <v>0</v>
      </c>
      <c r="Z522" s="40" t="s">
        <v>3341</v>
      </c>
      <c r="AA522" s="41"/>
      <c r="AK522" s="16"/>
      <c r="AL522" s="16"/>
      <c r="AM522" s="16"/>
      <c r="AN522" s="16"/>
      <c r="AO522" s="16"/>
      <c r="AP522" s="16"/>
      <c r="AQ522" s="16"/>
      <c r="AR522" s="16"/>
      <c r="AS522" s="16"/>
    </row>
    <row r="523" spans="1:45" s="7" customFormat="1" ht="195" customHeight="1">
      <c r="A523" s="27">
        <f>[1]트램표준체크리스트!A521</f>
        <v>519</v>
      </c>
      <c r="B523" s="28" t="str">
        <f>[1]트램표준체크리스트!B521</f>
        <v>토질 및 기초</v>
      </c>
      <c r="C523" s="29" t="str">
        <f>[1]트램표준체크리스트!C521</f>
        <v>정거장침수</v>
      </c>
      <c r="D523" s="30" t="str">
        <f>[1]트램표준체크리스트!F521</f>
        <v>공사 중 단계별(굴착, 구조물) 유입수량(우수+지하수) 산정 및 양수기 용량 계획이 적정한가?</v>
      </c>
      <c r="E523" s="31" t="s">
        <v>3459</v>
      </c>
      <c r="F523" s="32" t="str">
        <f t="shared" si="16"/>
        <v>극상</v>
      </c>
      <c r="G523" s="63" t="s">
        <v>40</v>
      </c>
      <c r="H523" s="63" t="s">
        <v>41</v>
      </c>
      <c r="I523" s="34" t="s">
        <v>3460</v>
      </c>
      <c r="J523" s="33"/>
      <c r="K523" s="35"/>
      <c r="L523" s="33"/>
      <c r="M523" s="36"/>
      <c r="N523" s="33"/>
      <c r="O523" s="36"/>
      <c r="P523" s="33"/>
      <c r="Q523" s="37"/>
      <c r="R523" s="38"/>
      <c r="S523" s="33"/>
      <c r="T523" s="38"/>
      <c r="U523" s="33"/>
      <c r="V523" s="39"/>
      <c r="W523" s="90" t="b">
        <v>0</v>
      </c>
      <c r="X523" s="90" t="b">
        <v>0</v>
      </c>
      <c r="Y523" s="90" t="b">
        <v>0</v>
      </c>
      <c r="Z523" s="40" t="s">
        <v>3437</v>
      </c>
      <c r="AA523" s="41"/>
      <c r="AK523" s="16"/>
      <c r="AL523" s="16"/>
      <c r="AM523" s="16"/>
      <c r="AN523" s="16"/>
      <c r="AO523" s="16"/>
      <c r="AP523" s="16"/>
      <c r="AQ523" s="16"/>
      <c r="AR523" s="16"/>
      <c r="AS523" s="16"/>
    </row>
    <row r="524" spans="1:45" s="7" customFormat="1" ht="195" customHeight="1">
      <c r="A524" s="27">
        <f>[1]트램표준체크리스트!A522</f>
        <v>520</v>
      </c>
      <c r="B524" s="28" t="str">
        <f>[1]트램표준체크리스트!B522</f>
        <v>토질 및 기초</v>
      </c>
      <c r="C524" s="29" t="str">
        <f>[1]트램표준체크리스트!C522</f>
        <v>정류장가시설</v>
      </c>
      <c r="D524" s="30" t="str">
        <f>[1]트램표준체크리스트!F522</f>
        <v>가시설 굴착 심도가 지하수위 아래에 위치하는가?□ 토류판 적용 시 차수 그라우팅 비용이 반영되었는가?</v>
      </c>
      <c r="E524" s="31" t="s">
        <v>3461</v>
      </c>
      <c r="F524" s="32" t="str">
        <f t="shared" si="16"/>
        <v>극상</v>
      </c>
      <c r="G524" s="63" t="s">
        <v>40</v>
      </c>
      <c r="H524" s="63" t="s">
        <v>41</v>
      </c>
      <c r="I524" s="34" t="s">
        <v>3462</v>
      </c>
      <c r="J524" s="33"/>
      <c r="K524" s="35"/>
      <c r="L524" s="33"/>
      <c r="M524" s="36"/>
      <c r="N524" s="33"/>
      <c r="O524" s="36"/>
      <c r="P524" s="33"/>
      <c r="Q524" s="37"/>
      <c r="R524" s="38"/>
      <c r="S524" s="33"/>
      <c r="T524" s="38"/>
      <c r="U524" s="33"/>
      <c r="V524" s="39"/>
      <c r="W524" s="90" t="b">
        <v>0</v>
      </c>
      <c r="X524" s="90" t="b">
        <v>0</v>
      </c>
      <c r="Y524" s="90" t="b">
        <v>0</v>
      </c>
      <c r="Z524" s="40" t="s">
        <v>3349</v>
      </c>
      <c r="AA524" s="41"/>
      <c r="AK524" s="16"/>
      <c r="AL524" s="16"/>
      <c r="AM524" s="16"/>
      <c r="AN524" s="16"/>
      <c r="AO524" s="16"/>
      <c r="AP524" s="16"/>
      <c r="AQ524" s="16"/>
      <c r="AR524" s="16"/>
      <c r="AS524" s="16"/>
    </row>
    <row r="525" spans="1:45" s="7" customFormat="1" ht="195" customHeight="1">
      <c r="A525" s="27">
        <f>[1]트램표준체크리스트!A523</f>
        <v>521</v>
      </c>
      <c r="B525" s="28" t="str">
        <f>[1]트램표준체크리스트!B523</f>
        <v>토질 및 기초</v>
      </c>
      <c r="C525" s="29" t="str">
        <f>[1]트램표준체크리스트!C523</f>
        <v>지반조사</v>
      </c>
      <c r="D525" s="30" t="str">
        <f>[1]트램표준체크리스트!F523</f>
        <v>석회암(Karst) 지형 공사 시 공동 탐지를 위한 시추 간격을 조밀하게 계획했는가?</v>
      </c>
      <c r="E525" s="31" t="s">
        <v>3463</v>
      </c>
      <c r="F525" s="32" t="str">
        <f t="shared" si="16"/>
        <v>극상</v>
      </c>
      <c r="G525" s="63" t="s">
        <v>40</v>
      </c>
      <c r="H525" s="63" t="s">
        <v>41</v>
      </c>
      <c r="I525" s="34" t="s">
        <v>3464</v>
      </c>
      <c r="J525" s="33"/>
      <c r="K525" s="35"/>
      <c r="L525" s="33"/>
      <c r="M525" s="36"/>
      <c r="N525" s="33"/>
      <c r="O525" s="36"/>
      <c r="P525" s="33"/>
      <c r="Q525" s="37"/>
      <c r="R525" s="38"/>
      <c r="S525" s="33"/>
      <c r="T525" s="38"/>
      <c r="U525" s="33"/>
      <c r="V525" s="39"/>
      <c r="W525" s="90" t="b">
        <v>0</v>
      </c>
      <c r="X525" s="90" t="b">
        <v>0</v>
      </c>
      <c r="Y525" s="90" t="b">
        <v>0</v>
      </c>
      <c r="Z525" s="40" t="s">
        <v>3465</v>
      </c>
      <c r="AA525" s="41"/>
      <c r="AK525" s="16"/>
      <c r="AL525" s="16"/>
      <c r="AM525" s="16"/>
      <c r="AN525" s="16"/>
      <c r="AO525" s="16"/>
      <c r="AP525" s="16"/>
      <c r="AQ525" s="16"/>
      <c r="AR525" s="16"/>
      <c r="AS525" s="16"/>
    </row>
    <row r="526" spans="1:45" s="7" customFormat="1" ht="195" customHeight="1">
      <c r="A526" s="27">
        <f>[1]트램표준체크리스트!A524</f>
        <v>522</v>
      </c>
      <c r="B526" s="28" t="str">
        <f>[1]트램표준체크리스트!B524</f>
        <v>토질 및 기초</v>
      </c>
      <c r="C526" s="29" t="str">
        <f>[1]트램표준체크리스트!C524</f>
        <v>지반조사</v>
      </c>
      <c r="D526" s="30" t="str">
        <f>[1]트램표준체크리스트!F524</f>
        <v>절토 사면의 암선 확인을 위한 시추 조사가 옹벽 앵커 설계에 반영되었는가?</v>
      </c>
      <c r="E526" s="31" t="s">
        <v>3466</v>
      </c>
      <c r="F526" s="32" t="str">
        <f t="shared" si="16"/>
        <v>극상</v>
      </c>
      <c r="G526" s="63" t="s">
        <v>40</v>
      </c>
      <c r="H526" s="63" t="s">
        <v>41</v>
      </c>
      <c r="I526" s="34" t="s">
        <v>3467</v>
      </c>
      <c r="J526" s="33"/>
      <c r="K526" s="35"/>
      <c r="L526" s="33"/>
      <c r="M526" s="36"/>
      <c r="N526" s="33"/>
      <c r="O526" s="36"/>
      <c r="P526" s="33"/>
      <c r="Q526" s="37"/>
      <c r="R526" s="38"/>
      <c r="S526" s="33"/>
      <c r="T526" s="38"/>
      <c r="U526" s="33"/>
      <c r="V526" s="39"/>
      <c r="W526" s="90" t="b">
        <v>0</v>
      </c>
      <c r="X526" s="90" t="b">
        <v>0</v>
      </c>
      <c r="Y526" s="90" t="b">
        <v>0</v>
      </c>
      <c r="Z526" s="40" t="s">
        <v>3430</v>
      </c>
      <c r="AA526" s="41"/>
      <c r="AK526" s="16"/>
      <c r="AL526" s="16"/>
      <c r="AM526" s="16"/>
      <c r="AN526" s="16"/>
      <c r="AO526" s="16"/>
      <c r="AP526" s="16"/>
      <c r="AQ526" s="16"/>
      <c r="AR526" s="16"/>
      <c r="AS526" s="16"/>
    </row>
    <row r="527" spans="1:45" s="7" customFormat="1" ht="195" customHeight="1">
      <c r="A527" s="27">
        <f>[1]트램표준체크리스트!A525</f>
        <v>523</v>
      </c>
      <c r="B527" s="28" t="str">
        <f>[1]트램표준체크리스트!B525</f>
        <v>토질 및 기초</v>
      </c>
      <c r="C527" s="29" t="str">
        <f>[1]트램표준체크리스트!C525</f>
        <v>지반조사</v>
      </c>
      <c r="D527" s="30" t="str">
        <f>[1]트램표준체크리스트!F525</f>
        <v>구조물 실제 위치에서 시추조사가 수행되었는가? (이격 거리 확인)할 리스크를 검토하였는가?</v>
      </c>
      <c r="E527" s="31" t="s">
        <v>3468</v>
      </c>
      <c r="F527" s="32" t="str">
        <f t="shared" si="16"/>
        <v>극상</v>
      </c>
      <c r="G527" s="63" t="s">
        <v>40</v>
      </c>
      <c r="H527" s="63" t="s">
        <v>41</v>
      </c>
      <c r="I527" s="34" t="s">
        <v>3469</v>
      </c>
      <c r="J527" s="33"/>
      <c r="K527" s="35"/>
      <c r="L527" s="33"/>
      <c r="M527" s="36"/>
      <c r="N527" s="33"/>
      <c r="O527" s="36"/>
      <c r="P527" s="33"/>
      <c r="Q527" s="37"/>
      <c r="R527" s="38"/>
      <c r="S527" s="33"/>
      <c r="T527" s="38"/>
      <c r="U527" s="33"/>
      <c r="V527" s="39"/>
      <c r="W527" s="90" t="b">
        <v>0</v>
      </c>
      <c r="X527" s="90" t="b">
        <v>0</v>
      </c>
      <c r="Y527" s="90" t="b">
        <v>0</v>
      </c>
      <c r="Z527" s="40" t="s">
        <v>3362</v>
      </c>
      <c r="AA527" s="41"/>
      <c r="AK527" s="16"/>
      <c r="AL527" s="16"/>
      <c r="AM527" s="16"/>
      <c r="AN527" s="16"/>
      <c r="AO527" s="16"/>
      <c r="AP527" s="16"/>
      <c r="AQ527" s="16"/>
      <c r="AR527" s="16"/>
      <c r="AS527" s="16"/>
    </row>
    <row r="528" spans="1:45" s="7" customFormat="1" ht="195" customHeight="1">
      <c r="A528" s="27">
        <f>[1]트램표준체크리스트!A526</f>
        <v>524</v>
      </c>
      <c r="B528" s="28" t="str">
        <f>[1]트램표준체크리스트!B526</f>
        <v>토질 및 기초</v>
      </c>
      <c r="C528" s="29" t="str">
        <f>[1]트램표준체크리스트!C526</f>
        <v>지반조사</v>
      </c>
      <c r="D528" s="30" t="str">
        <f>[1]트램표준체크리스트!F526</f>
        <v>산악지/계곡부의 경우 전석(Boulder)층 출현 가능성을 고려하여 할증을 반영했는가?</v>
      </c>
      <c r="E528" s="31" t="s">
        <v>3470</v>
      </c>
      <c r="F528" s="32" t="str">
        <f t="shared" si="16"/>
        <v>극상</v>
      </c>
      <c r="G528" s="63" t="s">
        <v>40</v>
      </c>
      <c r="H528" s="63" t="s">
        <v>41</v>
      </c>
      <c r="I528" s="34" t="s">
        <v>3471</v>
      </c>
      <c r="J528" s="33"/>
      <c r="K528" s="35"/>
      <c r="L528" s="33"/>
      <c r="M528" s="36"/>
      <c r="N528" s="33"/>
      <c r="O528" s="36"/>
      <c r="P528" s="33"/>
      <c r="Q528" s="37"/>
      <c r="R528" s="38"/>
      <c r="S528" s="33"/>
      <c r="T528" s="38"/>
      <c r="U528" s="33"/>
      <c r="V528" s="39"/>
      <c r="W528" s="90" t="b">
        <v>0</v>
      </c>
      <c r="X528" s="90" t="b">
        <v>0</v>
      </c>
      <c r="Y528" s="90" t="b">
        <v>0</v>
      </c>
      <c r="Z528" s="40" t="s">
        <v>3465</v>
      </c>
      <c r="AA528" s="41"/>
      <c r="AK528" s="16"/>
      <c r="AL528" s="16"/>
      <c r="AM528" s="16"/>
      <c r="AN528" s="16"/>
      <c r="AO528" s="16"/>
      <c r="AP528" s="16"/>
      <c r="AQ528" s="16"/>
      <c r="AR528" s="16"/>
      <c r="AS528" s="16"/>
    </row>
    <row r="529" spans="1:45" s="7" customFormat="1" ht="195" customHeight="1">
      <c r="A529" s="27">
        <f>[1]트램표준체크리스트!A527</f>
        <v>525</v>
      </c>
      <c r="B529" s="28" t="str">
        <f>[1]트램표준체크리스트!B527</f>
        <v>토질 및 기초</v>
      </c>
      <c r="C529" s="29" t="str">
        <f>[1]트램표준체크리스트!C527</f>
        <v>지반조사</v>
      </c>
      <c r="D529" s="30" t="str">
        <f>[1]트램표준체크리스트!F527</f>
        <v>연약지반 내 관로 터파기 시 히빙(Heaving) 및 보일링(Boiling) 검토가 수행되었는가?</v>
      </c>
      <c r="E529" s="31" t="s">
        <v>3472</v>
      </c>
      <c r="F529" s="32" t="str">
        <f t="shared" si="16"/>
        <v>극상</v>
      </c>
      <c r="G529" s="63" t="s">
        <v>40</v>
      </c>
      <c r="H529" s="63" t="s">
        <v>41</v>
      </c>
      <c r="I529" s="34" t="s">
        <v>3473</v>
      </c>
      <c r="J529" s="33"/>
      <c r="K529" s="35"/>
      <c r="L529" s="33"/>
      <c r="M529" s="36"/>
      <c r="N529" s="33"/>
      <c r="O529" s="36"/>
      <c r="P529" s="33"/>
      <c r="Q529" s="37"/>
      <c r="R529" s="38"/>
      <c r="S529" s="33"/>
      <c r="T529" s="38"/>
      <c r="U529" s="33"/>
      <c r="V529" s="39"/>
      <c r="W529" s="90" t="b">
        <v>0</v>
      </c>
      <c r="X529" s="90" t="b">
        <v>0</v>
      </c>
      <c r="Y529" s="90" t="b">
        <v>0</v>
      </c>
      <c r="Z529" s="40" t="s">
        <v>3369</v>
      </c>
      <c r="AA529" s="41"/>
      <c r="AK529" s="16"/>
      <c r="AL529" s="16"/>
      <c r="AM529" s="16"/>
      <c r="AN529" s="16"/>
      <c r="AO529" s="16"/>
      <c r="AP529" s="16"/>
      <c r="AQ529" s="16"/>
      <c r="AR529" s="16"/>
      <c r="AS529" s="16"/>
    </row>
    <row r="530" spans="1:45" s="7" customFormat="1" ht="195" customHeight="1">
      <c r="A530" s="27">
        <f>[1]트램표준체크리스트!A528</f>
        <v>526</v>
      </c>
      <c r="B530" s="28" t="str">
        <f>[1]트램표준체크리스트!B528</f>
        <v>토질 및 기초</v>
      </c>
      <c r="C530" s="29" t="str">
        <f>[1]트램표준체크리스트!C528</f>
        <v>지반조사</v>
      </c>
      <c r="D530" s="30" t="str">
        <f>[1]트램표준체크리스트!F528</f>
        <v>방음벽, 옹벽 등 부대 구조물 설치 위치에 대한 지반 조사 데이터가 확보되었는가?</v>
      </c>
      <c r="E530" s="31" t="s">
        <v>3474</v>
      </c>
      <c r="F530" s="32" t="str">
        <f t="shared" si="16"/>
        <v>극상</v>
      </c>
      <c r="G530" s="63" t="s">
        <v>40</v>
      </c>
      <c r="H530" s="63" t="s">
        <v>41</v>
      </c>
      <c r="I530" s="34" t="s">
        <v>3475</v>
      </c>
      <c r="J530" s="33"/>
      <c r="K530" s="35"/>
      <c r="L530" s="33"/>
      <c r="M530" s="36"/>
      <c r="N530" s="33"/>
      <c r="O530" s="36"/>
      <c r="P530" s="33"/>
      <c r="Q530" s="37"/>
      <c r="R530" s="38"/>
      <c r="S530" s="33"/>
      <c r="T530" s="38"/>
      <c r="U530" s="33"/>
      <c r="V530" s="39"/>
      <c r="W530" s="90" t="b">
        <v>0</v>
      </c>
      <c r="X530" s="90" t="b">
        <v>0</v>
      </c>
      <c r="Y530" s="90" t="b">
        <v>0</v>
      </c>
      <c r="Z530" s="40" t="s">
        <v>3476</v>
      </c>
      <c r="AA530" s="41"/>
      <c r="AK530" s="16"/>
      <c r="AL530" s="16"/>
      <c r="AM530" s="16"/>
      <c r="AN530" s="16"/>
      <c r="AO530" s="16"/>
      <c r="AP530" s="16"/>
      <c r="AQ530" s="16"/>
      <c r="AR530" s="16"/>
      <c r="AS530" s="16"/>
    </row>
    <row r="531" spans="1:45" s="7" customFormat="1" ht="195" customHeight="1">
      <c r="A531" s="27">
        <f>[1]트램표준체크리스트!A529</f>
        <v>527</v>
      </c>
      <c r="B531" s="28" t="str">
        <f>[1]트램표준체크리스트!B529</f>
        <v>토질 및 기초</v>
      </c>
      <c r="C531" s="29" t="str">
        <f>[1]트램표준체크리스트!C529</f>
        <v>지반조사</v>
      </c>
      <c r="D531" s="30" t="str">
        <f>[1]트램표준체크리스트!F529</f>
        <v>가설 구조물(제작장, 가교) 기초 위치에 대한 별도의 지반 조사 계획이 수립되었는가?</v>
      </c>
      <c r="E531" s="31" t="s">
        <v>3477</v>
      </c>
      <c r="F531" s="32" t="str">
        <f t="shared" si="16"/>
        <v>극상</v>
      </c>
      <c r="G531" s="63" t="s">
        <v>40</v>
      </c>
      <c r="H531" s="63" t="s">
        <v>41</v>
      </c>
      <c r="I531" s="34" t="s">
        <v>3478</v>
      </c>
      <c r="J531" s="33"/>
      <c r="K531" s="35"/>
      <c r="L531" s="33"/>
      <c r="M531" s="36"/>
      <c r="N531" s="33"/>
      <c r="O531" s="36"/>
      <c r="P531" s="33"/>
      <c r="Q531" s="37"/>
      <c r="R531" s="38"/>
      <c r="S531" s="33"/>
      <c r="T531" s="38"/>
      <c r="U531" s="33"/>
      <c r="V531" s="39"/>
      <c r="W531" s="90" t="b">
        <v>0</v>
      </c>
      <c r="X531" s="90" t="b">
        <v>0</v>
      </c>
      <c r="Y531" s="90" t="b">
        <v>0</v>
      </c>
      <c r="Z531" s="40" t="s">
        <v>3465</v>
      </c>
      <c r="AA531" s="41"/>
      <c r="AK531" s="16"/>
      <c r="AL531" s="16"/>
      <c r="AM531" s="16"/>
      <c r="AN531" s="16"/>
      <c r="AO531" s="16"/>
      <c r="AP531" s="16"/>
      <c r="AQ531" s="16"/>
      <c r="AR531" s="16"/>
      <c r="AS531" s="16"/>
    </row>
    <row r="532" spans="1:45" s="7" customFormat="1" ht="195" customHeight="1">
      <c r="A532" s="27">
        <f>[1]트램표준체크리스트!A530</f>
        <v>528</v>
      </c>
      <c r="B532" s="28" t="str">
        <f>[1]트램표준체크리스트!B530</f>
        <v>토질 및 기초</v>
      </c>
      <c r="C532" s="29" t="str">
        <f>[1]트램표준체크리스트!C530</f>
        <v>지하시설</v>
      </c>
      <c r="D532" s="30" t="str">
        <f>[1]트램표준체크리스트!F530</f>
        <v>지하 시설물의 정전 시 침수 시뮬레이션을 수행하고, UPS 및 비상발전기 용량이 충분한가?</v>
      </c>
      <c r="E532" s="31" t="s">
        <v>3479</v>
      </c>
      <c r="F532" s="32" t="str">
        <f t="shared" si="16"/>
        <v>극상</v>
      </c>
      <c r="G532" s="63" t="s">
        <v>40</v>
      </c>
      <c r="H532" s="63" t="s">
        <v>41</v>
      </c>
      <c r="I532" s="34" t="s">
        <v>3480</v>
      </c>
      <c r="J532" s="33"/>
      <c r="K532" s="35"/>
      <c r="L532" s="33"/>
      <c r="M532" s="36"/>
      <c r="N532" s="33"/>
      <c r="O532" s="36"/>
      <c r="P532" s="33"/>
      <c r="Q532" s="37"/>
      <c r="R532" s="38"/>
      <c r="S532" s="33"/>
      <c r="T532" s="38"/>
      <c r="U532" s="33"/>
      <c r="V532" s="39"/>
      <c r="W532" s="90" t="b">
        <v>0</v>
      </c>
      <c r="X532" s="90" t="b">
        <v>0</v>
      </c>
      <c r="Y532" s="90" t="b">
        <v>0</v>
      </c>
      <c r="Z532" s="40" t="s">
        <v>3341</v>
      </c>
      <c r="AA532" s="41"/>
      <c r="AK532" s="16"/>
      <c r="AL532" s="16"/>
      <c r="AM532" s="16"/>
      <c r="AN532" s="16"/>
      <c r="AO532" s="16"/>
      <c r="AP532" s="16"/>
      <c r="AQ532" s="16"/>
      <c r="AR532" s="16"/>
      <c r="AS532" s="16"/>
    </row>
    <row r="533" spans="1:45" s="7" customFormat="1" ht="195" customHeight="1">
      <c r="A533" s="27">
        <f>[1]트램표준체크리스트!A531</f>
        <v>529</v>
      </c>
      <c r="B533" s="28" t="str">
        <f>[1]트램표준체크리스트!B531</f>
        <v>토질 및 기초</v>
      </c>
      <c r="C533" s="29" t="str">
        <f>[1]트램표준체크리스트!C531</f>
        <v>지하차도</v>
      </c>
      <c r="D533" s="30" t="str">
        <f>[1]트램표준체크리스트!F531</f>
        <v>개착 구조물 기초 바닥에 지하수 배제를 위한 맹암거 및 유공관이 반영되었는가?</v>
      </c>
      <c r="E533" s="31" t="s">
        <v>3481</v>
      </c>
      <c r="F533" s="32" t="str">
        <f t="shared" si="16"/>
        <v>극상</v>
      </c>
      <c r="G533" s="63" t="s">
        <v>40</v>
      </c>
      <c r="H533" s="63" t="s">
        <v>41</v>
      </c>
      <c r="I533" s="34" t="s">
        <v>3482</v>
      </c>
      <c r="J533" s="33"/>
      <c r="K533" s="35"/>
      <c r="L533" s="33"/>
      <c r="M533" s="36"/>
      <c r="N533" s="33"/>
      <c r="O533" s="36"/>
      <c r="P533" s="33"/>
      <c r="Q533" s="37"/>
      <c r="R533" s="38"/>
      <c r="S533" s="33"/>
      <c r="T533" s="38"/>
      <c r="U533" s="33"/>
      <c r="V533" s="39"/>
      <c r="W533" s="90" t="b">
        <v>0</v>
      </c>
      <c r="X533" s="90" t="b">
        <v>0</v>
      </c>
      <c r="Y533" s="90" t="b">
        <v>0</v>
      </c>
      <c r="Z533" s="40" t="s">
        <v>3437</v>
      </c>
      <c r="AA533" s="41"/>
      <c r="AK533" s="16"/>
      <c r="AL533" s="16"/>
      <c r="AM533" s="16"/>
      <c r="AN533" s="16"/>
      <c r="AO533" s="16"/>
      <c r="AP533" s="16"/>
      <c r="AQ533" s="16"/>
      <c r="AR533" s="16"/>
      <c r="AS533" s="16"/>
    </row>
    <row r="534" spans="1:45" s="7" customFormat="1" ht="195" customHeight="1">
      <c r="A534" s="27">
        <f>[1]트램표준체크리스트!A532</f>
        <v>530</v>
      </c>
      <c r="B534" s="28" t="str">
        <f>[1]트램표준체크리스트!B532</f>
        <v>토질 및 기초</v>
      </c>
      <c r="C534" s="29" t="str">
        <f>[1]트램표준체크리스트!C532</f>
        <v>지하차도</v>
      </c>
      <c r="D534" s="30" t="str">
        <f>[1]트램표준체크리스트!F532</f>
        <v>터파기 구간의 지하수 유입량에 따른 오탁수 처리 시설 용량 및 비용이 환경관리비에 포함되었는가?</v>
      </c>
      <c r="E534" s="31" t="s">
        <v>3483</v>
      </c>
      <c r="F534" s="32" t="str">
        <f t="shared" si="16"/>
        <v>극상</v>
      </c>
      <c r="G534" s="63" t="s">
        <v>40</v>
      </c>
      <c r="H534" s="63" t="s">
        <v>41</v>
      </c>
      <c r="I534" s="34" t="s">
        <v>3484</v>
      </c>
      <c r="J534" s="33"/>
      <c r="K534" s="35"/>
      <c r="L534" s="33"/>
      <c r="M534" s="36"/>
      <c r="N534" s="33"/>
      <c r="O534" s="36"/>
      <c r="P534" s="33"/>
      <c r="Q534" s="37"/>
      <c r="R534" s="38"/>
      <c r="S534" s="33"/>
      <c r="T534" s="38"/>
      <c r="U534" s="33"/>
      <c r="V534" s="39"/>
      <c r="W534" s="90" t="b">
        <v>0</v>
      </c>
      <c r="X534" s="90" t="b">
        <v>0</v>
      </c>
      <c r="Y534" s="90" t="b">
        <v>0</v>
      </c>
      <c r="Z534" s="40" t="s">
        <v>3437</v>
      </c>
      <c r="AA534" s="41"/>
      <c r="AK534" s="16"/>
      <c r="AL534" s="16"/>
      <c r="AM534" s="16"/>
      <c r="AN534" s="16"/>
      <c r="AO534" s="16"/>
      <c r="AP534" s="16"/>
      <c r="AQ534" s="16"/>
      <c r="AR534" s="16"/>
      <c r="AS534" s="16"/>
    </row>
    <row r="535" spans="1:45" s="7" customFormat="1" ht="195" customHeight="1">
      <c r="A535" s="27">
        <f>[1]트램표준체크리스트!A533</f>
        <v>531</v>
      </c>
      <c r="B535" s="28" t="str">
        <f>[1]트램표준체크리스트!B533</f>
        <v>토질 및 기초</v>
      </c>
      <c r="C535" s="29" t="str">
        <f>[1]트램표준체크리스트!C533</f>
        <v>철도</v>
      </c>
      <c r="D535" s="30" t="str">
        <f>[1]트램표준체크리스트!F533</f>
        <v>도심지/운행선 인접 구간 암파쇄 공법이 '미진동'이 아닌 '무진동'으로 반영되었는가?
민원 발생 시 공법 변경에 따른 공기 지연 리스크를 고려했는가?</v>
      </c>
      <c r="E535" s="31" t="s">
        <v>3485</v>
      </c>
      <c r="F535" s="32" t="str">
        <f t="shared" si="16"/>
        <v>극상</v>
      </c>
      <c r="G535" s="63" t="s">
        <v>40</v>
      </c>
      <c r="H535" s="63" t="s">
        <v>41</v>
      </c>
      <c r="I535" s="34" t="s">
        <v>3486</v>
      </c>
      <c r="J535" s="33"/>
      <c r="K535" s="35"/>
      <c r="L535" s="33"/>
      <c r="M535" s="36"/>
      <c r="N535" s="33"/>
      <c r="O535" s="36"/>
      <c r="P535" s="33"/>
      <c r="Q535" s="37"/>
      <c r="R535" s="38"/>
      <c r="S535" s="33"/>
      <c r="T535" s="38"/>
      <c r="U535" s="33"/>
      <c r="V535" s="39"/>
      <c r="W535" s="90" t="b">
        <v>0</v>
      </c>
      <c r="X535" s="90" t="b">
        <v>0</v>
      </c>
      <c r="Y535" s="90" t="b">
        <v>0</v>
      </c>
      <c r="Z535" s="40" t="s">
        <v>3403</v>
      </c>
      <c r="AA535" s="41"/>
      <c r="AK535" s="16"/>
      <c r="AL535" s="16"/>
      <c r="AM535" s="16"/>
      <c r="AN535" s="16"/>
      <c r="AO535" s="16"/>
      <c r="AP535" s="16"/>
      <c r="AQ535" s="16"/>
      <c r="AR535" s="16"/>
      <c r="AS535" s="16"/>
    </row>
    <row r="536" spans="1:45" s="7" customFormat="1" ht="195" customHeight="1">
      <c r="A536" s="27">
        <f>[1]트램표준체크리스트!A534</f>
        <v>532</v>
      </c>
      <c r="B536" s="28" t="str">
        <f>[1]트램표준체크리스트!B534</f>
        <v>토질 및 기초</v>
      </c>
      <c r="C536" s="29" t="str">
        <f>[1]트램표준체크리스트!C534</f>
        <v>철도</v>
      </c>
      <c r="D536" s="30" t="str">
        <f>[1]트램표준체크리스트!F534</f>
        <v>공사 구간 50m 이내에 정온시설(병원, 학교)이 있는가?
이동식 에어방음벽 등 추가 대책 비용이 예산에 있는가?</v>
      </c>
      <c r="E536" s="31" t="s">
        <v>3487</v>
      </c>
      <c r="F536" s="32" t="str">
        <f t="shared" si="16"/>
        <v>극상</v>
      </c>
      <c r="G536" s="63" t="s">
        <v>40</v>
      </c>
      <c r="H536" s="63" t="s">
        <v>41</v>
      </c>
      <c r="I536" s="34" t="s">
        <v>3488</v>
      </c>
      <c r="J536" s="33"/>
      <c r="K536" s="35"/>
      <c r="L536" s="33"/>
      <c r="M536" s="36"/>
      <c r="N536" s="33"/>
      <c r="O536" s="36"/>
      <c r="P536" s="33"/>
      <c r="Q536" s="37"/>
      <c r="R536" s="38"/>
      <c r="S536" s="33"/>
      <c r="T536" s="38"/>
      <c r="U536" s="33"/>
      <c r="V536" s="39"/>
      <c r="W536" s="90" t="b">
        <v>0</v>
      </c>
      <c r="X536" s="90" t="b">
        <v>0</v>
      </c>
      <c r="Y536" s="90" t="b">
        <v>0</v>
      </c>
      <c r="Z536" s="40" t="s">
        <v>3383</v>
      </c>
      <c r="AA536" s="41"/>
      <c r="AK536" s="16"/>
      <c r="AL536" s="16"/>
      <c r="AM536" s="16"/>
      <c r="AN536" s="16"/>
      <c r="AO536" s="16"/>
      <c r="AP536" s="16"/>
      <c r="AQ536" s="16"/>
      <c r="AR536" s="16"/>
      <c r="AS536" s="16"/>
    </row>
    <row r="537" spans="1:45" s="7" customFormat="1" ht="195" customHeight="1">
      <c r="A537" s="27">
        <f>[1]트램표준체크리스트!A535</f>
        <v>533</v>
      </c>
      <c r="B537" s="28" t="str">
        <f>[1]트램표준체크리스트!B535</f>
        <v>토질 및 기초</v>
      </c>
      <c r="C537" s="29" t="str">
        <f>[1]트램표준체크리스트!C535</f>
        <v>토공</v>
      </c>
      <c r="D537" s="30" t="str">
        <f>[1]트램표준체크리스트!F535</f>
        <v>방음벽 끝단 및 고층부(대각선 방향)에 대한 소음 시뮬레이션(3D)이 수행되었는가?</v>
      </c>
      <c r="E537" s="31" t="s">
        <v>3489</v>
      </c>
      <c r="F537" s="32" t="str">
        <f t="shared" si="16"/>
        <v>극상</v>
      </c>
      <c r="G537" s="63" t="s">
        <v>40</v>
      </c>
      <c r="H537" s="63" t="s">
        <v>41</v>
      </c>
      <c r="I537" s="34" t="s">
        <v>3490</v>
      </c>
      <c r="J537" s="33"/>
      <c r="K537" s="35"/>
      <c r="L537" s="33"/>
      <c r="M537" s="36"/>
      <c r="N537" s="33"/>
      <c r="O537" s="36"/>
      <c r="P537" s="33"/>
      <c r="Q537" s="37"/>
      <c r="R537" s="38"/>
      <c r="S537" s="33"/>
      <c r="T537" s="38"/>
      <c r="U537" s="33"/>
      <c r="V537" s="39"/>
      <c r="W537" s="90" t="b">
        <v>0</v>
      </c>
      <c r="X537" s="90" t="b">
        <v>0</v>
      </c>
      <c r="Y537" s="90" t="b">
        <v>0</v>
      </c>
      <c r="Z537" s="40" t="s">
        <v>3383</v>
      </c>
      <c r="AA537" s="41"/>
      <c r="AK537" s="16"/>
      <c r="AL537" s="16"/>
      <c r="AM537" s="16"/>
      <c r="AN537" s="16"/>
      <c r="AO537" s="16"/>
      <c r="AP537" s="16"/>
      <c r="AQ537" s="16"/>
      <c r="AR537" s="16"/>
      <c r="AS537" s="16"/>
    </row>
    <row r="538" spans="1:45" s="7" customFormat="1" ht="195" customHeight="1">
      <c r="A538" s="27">
        <f>[1]트램표준체크리스트!A536</f>
        <v>534</v>
      </c>
      <c r="B538" s="28" t="str">
        <f>[1]트램표준체크리스트!B536</f>
        <v>토질 및 기초</v>
      </c>
      <c r="C538" s="29" t="str">
        <f>[1]트램표준체크리스트!C536</f>
        <v>토공운반</v>
      </c>
      <c r="D538" s="30" t="str">
        <f>[1]트램표준체크리스트!F536</f>
        <v>현장 내 유용토 적치 공간이 토공량 대비 충분한가? (부족 시 외부 반출 및 재반입 비용 반영 여부)할 리스크를 검토하였는가?</v>
      </c>
      <c r="E538" s="31" t="s">
        <v>3491</v>
      </c>
      <c r="F538" s="32" t="str">
        <f t="shared" si="16"/>
        <v>극상</v>
      </c>
      <c r="G538" s="63" t="s">
        <v>40</v>
      </c>
      <c r="H538" s="63" t="s">
        <v>41</v>
      </c>
      <c r="I538" s="34" t="s">
        <v>3492</v>
      </c>
      <c r="J538" s="33"/>
      <c r="K538" s="35"/>
      <c r="L538" s="33"/>
      <c r="M538" s="36"/>
      <c r="N538" s="33"/>
      <c r="O538" s="36"/>
      <c r="P538" s="33"/>
      <c r="Q538" s="37"/>
      <c r="R538" s="38"/>
      <c r="S538" s="33"/>
      <c r="T538" s="38"/>
      <c r="U538" s="33"/>
      <c r="V538" s="39"/>
      <c r="W538" s="90" t="b">
        <v>0</v>
      </c>
      <c r="X538" s="90" t="b">
        <v>0</v>
      </c>
      <c r="Y538" s="90" t="b">
        <v>0</v>
      </c>
      <c r="Z538" s="40" t="s">
        <v>3341</v>
      </c>
      <c r="AA538" s="41"/>
      <c r="AK538" s="16"/>
      <c r="AL538" s="16"/>
      <c r="AM538" s="16"/>
      <c r="AN538" s="16"/>
      <c r="AO538" s="16"/>
      <c r="AP538" s="16"/>
      <c r="AQ538" s="16"/>
      <c r="AR538" s="16"/>
      <c r="AS538" s="16"/>
    </row>
    <row r="539" spans="1:45" s="7" customFormat="1" ht="195" customHeight="1">
      <c r="A539" s="27">
        <f>[1]트램표준체크리스트!A537</f>
        <v>535</v>
      </c>
      <c r="B539" s="28" t="str">
        <f>[1]트램표준체크리스트!B537</f>
        <v>토질 및 기초</v>
      </c>
      <c r="C539" s="29" t="str">
        <f>[1]트램표준체크리스트!C537</f>
        <v>토공운반</v>
      </c>
      <c r="D539" s="30" t="str">
        <f>[1]트램표준체크리스트!F537</f>
        <v>토공 유동 계획 수립 시 인접 공구 반입 시기와 당 현장 절토 시기의 정합성을 검토했는가?</v>
      </c>
      <c r="E539" s="31" t="s">
        <v>3493</v>
      </c>
      <c r="F539" s="32" t="str">
        <f t="shared" si="16"/>
        <v>극상</v>
      </c>
      <c r="G539" s="63" t="s">
        <v>40</v>
      </c>
      <c r="H539" s="63" t="s">
        <v>41</v>
      </c>
      <c r="I539" s="34" t="s">
        <v>3494</v>
      </c>
      <c r="J539" s="33"/>
      <c r="K539" s="35"/>
      <c r="L539" s="33"/>
      <c r="M539" s="36"/>
      <c r="N539" s="33"/>
      <c r="O539" s="36"/>
      <c r="P539" s="33"/>
      <c r="Q539" s="37"/>
      <c r="R539" s="38"/>
      <c r="S539" s="33"/>
      <c r="T539" s="38"/>
      <c r="U539" s="33"/>
      <c r="V539" s="39"/>
      <c r="W539" s="90" t="b">
        <v>0</v>
      </c>
      <c r="X539" s="90" t="b">
        <v>0</v>
      </c>
      <c r="Y539" s="90" t="b">
        <v>0</v>
      </c>
      <c r="Z539" s="40" t="s">
        <v>3430</v>
      </c>
      <c r="AA539" s="41"/>
      <c r="AK539" s="16"/>
      <c r="AL539" s="16"/>
      <c r="AM539" s="16"/>
      <c r="AN539" s="16"/>
      <c r="AO539" s="16"/>
      <c r="AP539" s="16"/>
      <c r="AQ539" s="16"/>
      <c r="AR539" s="16"/>
      <c r="AS539" s="16"/>
    </row>
    <row r="540" spans="1:45" s="7" customFormat="1" ht="195" customHeight="1">
      <c r="A540" s="27">
        <f>[1]트램표준체크리스트!A538</f>
        <v>536</v>
      </c>
      <c r="B540" s="28" t="str">
        <f>[1]트램표준체크리스트!B538</f>
        <v>토질 및 기초</v>
      </c>
      <c r="C540" s="29" t="str">
        <f>[1]트램표준체크리스트!C538</f>
        <v>토공운반</v>
      </c>
      <c r="D540" s="30" t="str">
        <f>[1]트램표준체크리스트!F538</f>
        <v>성토재 반입 시 즉시 성토가 불가능한 경우(우기, 공정 간섭)를 대비한 가적치 비용이 있는가?</v>
      </c>
      <c r="E540" s="31" t="s">
        <v>3495</v>
      </c>
      <c r="F540" s="32" t="str">
        <f t="shared" si="16"/>
        <v>극상</v>
      </c>
      <c r="G540" s="63" t="s">
        <v>40</v>
      </c>
      <c r="H540" s="63" t="s">
        <v>41</v>
      </c>
      <c r="I540" s="34" t="s">
        <v>3496</v>
      </c>
      <c r="J540" s="33"/>
      <c r="K540" s="35"/>
      <c r="L540" s="33"/>
      <c r="M540" s="36"/>
      <c r="N540" s="33"/>
      <c r="O540" s="36"/>
      <c r="P540" s="33"/>
      <c r="Q540" s="37"/>
      <c r="R540" s="38"/>
      <c r="S540" s="33"/>
      <c r="T540" s="38"/>
      <c r="U540" s="33"/>
      <c r="V540" s="39"/>
      <c r="W540" s="90" t="b">
        <v>0</v>
      </c>
      <c r="X540" s="90" t="b">
        <v>0</v>
      </c>
      <c r="Y540" s="90" t="b">
        <v>0</v>
      </c>
      <c r="Z540" s="40" t="s">
        <v>3341</v>
      </c>
      <c r="AA540" s="41"/>
      <c r="AK540" s="16"/>
      <c r="AL540" s="16"/>
      <c r="AM540" s="16"/>
      <c r="AN540" s="16"/>
      <c r="AO540" s="16"/>
      <c r="AP540" s="16"/>
      <c r="AQ540" s="16"/>
      <c r="AR540" s="16"/>
      <c r="AS540" s="16"/>
    </row>
    <row r="541" spans="1:45" s="7" customFormat="1" ht="195" customHeight="1">
      <c r="A541" s="27">
        <f>[1]트램표준체크리스트!A539</f>
        <v>537</v>
      </c>
      <c r="B541" s="28" t="str">
        <f>[1]트램표준체크리스트!B539</f>
        <v>토질 및 기초</v>
      </c>
      <c r="C541" s="29" t="str">
        <f>[1]트램표준체크리스트!C539</f>
        <v>해당 노선타설말뚝</v>
      </c>
      <c r="D541" s="30" t="str">
        <f>[1]트램표준체크리스트!F539</f>
        <v>RCD 굴착 예정 구간의 암반 상태(RQD)와 파쇄대 유무를 확인했는가?</v>
      </c>
      <c r="E541" s="31" t="s">
        <v>3497</v>
      </c>
      <c r="F541" s="32" t="str">
        <f t="shared" si="16"/>
        <v>극상</v>
      </c>
      <c r="G541" s="63" t="s">
        <v>40</v>
      </c>
      <c r="H541" s="63" t="s">
        <v>41</v>
      </c>
      <c r="I541" s="34" t="s">
        <v>3498</v>
      </c>
      <c r="J541" s="33"/>
      <c r="K541" s="35"/>
      <c r="L541" s="33"/>
      <c r="M541" s="36"/>
      <c r="N541" s="33"/>
      <c r="O541" s="36"/>
      <c r="P541" s="33"/>
      <c r="Q541" s="37"/>
      <c r="R541" s="38"/>
      <c r="S541" s="33"/>
      <c r="T541" s="38"/>
      <c r="U541" s="33"/>
      <c r="V541" s="39"/>
      <c r="W541" s="90" t="b">
        <v>0</v>
      </c>
      <c r="X541" s="90" t="b">
        <v>0</v>
      </c>
      <c r="Y541" s="90" t="b">
        <v>0</v>
      </c>
      <c r="Z541" s="40" t="s">
        <v>3341</v>
      </c>
      <c r="AA541" s="41"/>
      <c r="AK541" s="16"/>
      <c r="AL541" s="16"/>
      <c r="AM541" s="16"/>
      <c r="AN541" s="16"/>
      <c r="AO541" s="16"/>
      <c r="AP541" s="16"/>
      <c r="AQ541" s="16"/>
      <c r="AR541" s="16"/>
      <c r="AS541" s="16"/>
    </row>
    <row r="542" spans="1:45" s="7" customFormat="1" ht="195" customHeight="1">
      <c r="A542" s="27">
        <f>[1]트램표준체크리스트!A540</f>
        <v>538</v>
      </c>
      <c r="B542" s="28" t="str">
        <f>[1]트램표준체크리스트!B540</f>
        <v>토질 및 기초</v>
      </c>
      <c r="C542" s="29" t="str">
        <f>[1]트램표준체크리스트!C540</f>
        <v>가시설 굴착 배면 지반 안정성 계획</v>
      </c>
      <c r="D542" s="30" t="str">
        <f>[1]트램표준체크리스트!F540</f>
        <v>수위 강하 해석 누락 및 차수 계획 미흡으로 인접 건물 부등침하·균열이 유발될 리스크를 검토하였는가?</v>
      </c>
      <c r="E542" s="31" t="s">
        <v>3499</v>
      </c>
      <c r="F542" s="32" t="str">
        <f t="shared" si="16"/>
        <v>극상</v>
      </c>
      <c r="G542" s="63" t="s">
        <v>40</v>
      </c>
      <c r="H542" s="63" t="s">
        <v>41</v>
      </c>
      <c r="I542" s="34" t="s">
        <v>3500</v>
      </c>
      <c r="J542" s="33"/>
      <c r="K542" s="35"/>
      <c r="L542" s="33"/>
      <c r="M542" s="36"/>
      <c r="N542" s="33"/>
      <c r="O542" s="36"/>
      <c r="P542" s="33"/>
      <c r="Q542" s="37"/>
      <c r="R542" s="38"/>
      <c r="S542" s="33"/>
      <c r="T542" s="38"/>
      <c r="U542" s="33"/>
      <c r="V542" s="39"/>
      <c r="W542" s="90" t="b">
        <v>0</v>
      </c>
      <c r="X542" s="90" t="b">
        <v>0</v>
      </c>
      <c r="Y542" s="90" t="b">
        <v>0</v>
      </c>
      <c r="Z542" s="40" t="s">
        <v>3501</v>
      </c>
      <c r="AA542" s="41"/>
      <c r="AK542" s="16"/>
      <c r="AL542" s="16"/>
      <c r="AM542" s="16"/>
      <c r="AN542" s="16"/>
      <c r="AO542" s="16"/>
      <c r="AP542" s="16"/>
      <c r="AQ542" s="16"/>
      <c r="AR542" s="16"/>
      <c r="AS542" s="16"/>
    </row>
    <row r="543" spans="1:45" s="7" customFormat="1" ht="195" customHeight="1">
      <c r="A543" s="27">
        <f>[1]트램표준체크리스트!A541</f>
        <v>539</v>
      </c>
      <c r="B543" s="28" t="str">
        <f>[1]트램표준체크리스트!B541</f>
        <v>토질 및 기초</v>
      </c>
      <c r="C543" s="29" t="str">
        <f>[1]트램표준체크리스트!C541</f>
        <v>가시설 굴착 배면 지반 안정성 계획</v>
      </c>
      <c r="D543" s="30" t="str">
        <f>[1]트램표준체크리스트!F541</f>
        <v>기본계획/발주처지반조사 검토후 R/O 분석을 통하여 굴착공법 검토 및 대안노선안 수립, 굴착시 민원이 예상되는 주거지 주동구간에 지반조건을 고려한 기계굴착을 적용하고 건물과 최대한 이격되는 선형을 검토하여 직하부 통과배제 리스크를 검토하였는가?</v>
      </c>
      <c r="E543" s="31" t="s">
        <v>3502</v>
      </c>
      <c r="F543" s="32" t="str">
        <f t="shared" si="16"/>
        <v>극상</v>
      </c>
      <c r="G543" s="63" t="s">
        <v>40</v>
      </c>
      <c r="H543" s="63" t="s">
        <v>41</v>
      </c>
      <c r="I543" s="34" t="s">
        <v>3212</v>
      </c>
      <c r="J543" s="33"/>
      <c r="K543" s="35"/>
      <c r="L543" s="33"/>
      <c r="M543" s="36"/>
      <c r="N543" s="33"/>
      <c r="O543" s="36"/>
      <c r="P543" s="33"/>
      <c r="Q543" s="37"/>
      <c r="R543" s="38"/>
      <c r="S543" s="33"/>
      <c r="T543" s="38"/>
      <c r="U543" s="33"/>
      <c r="V543" s="39"/>
      <c r="W543" s="90" t="b">
        <v>0</v>
      </c>
      <c r="X543" s="90" t="b">
        <v>0</v>
      </c>
      <c r="Y543" s="90" t="b">
        <v>0</v>
      </c>
      <c r="Z543" s="40" t="s">
        <v>3465</v>
      </c>
      <c r="AA543" s="41"/>
      <c r="AK543" s="16"/>
      <c r="AL543" s="16"/>
      <c r="AM543" s="16"/>
      <c r="AN543" s="16"/>
      <c r="AO543" s="16"/>
      <c r="AP543" s="16"/>
      <c r="AQ543" s="16"/>
      <c r="AR543" s="16"/>
      <c r="AS543" s="16"/>
    </row>
    <row r="544" spans="1:45" s="7" customFormat="1" ht="195" customHeight="1">
      <c r="A544" s="27">
        <f>[1]트램표준체크리스트!A542</f>
        <v>540</v>
      </c>
      <c r="B544" s="28" t="str">
        <f>[1]트램표준체크리스트!B542</f>
        <v>토질 및 기초</v>
      </c>
      <c r="C544" s="29" t="str">
        <f>[1]트램표준체크리스트!C542</f>
        <v>가시설 굴착 배면 지반 안정성 계획</v>
      </c>
      <c r="D544" s="30" t="str">
        <f>[1]트램표준체크리스트!F542</f>
        <v>가설텐트에 대한 상세 검토가 부족하여 시공중 가설텐트 기초에 대한 도면과 내역이 누락됨 리스크를 검토하였는가?</v>
      </c>
      <c r="E544" s="31" t="s">
        <v>3503</v>
      </c>
      <c r="F544" s="32" t="str">
        <f t="shared" si="16"/>
        <v>극상</v>
      </c>
      <c r="G544" s="63" t="s">
        <v>40</v>
      </c>
      <c r="H544" s="63" t="s">
        <v>41</v>
      </c>
      <c r="I544" s="34" t="s">
        <v>3212</v>
      </c>
      <c r="J544" s="33"/>
      <c r="K544" s="35"/>
      <c r="L544" s="33"/>
      <c r="M544" s="36"/>
      <c r="N544" s="33"/>
      <c r="O544" s="36"/>
      <c r="P544" s="33"/>
      <c r="Q544" s="37"/>
      <c r="R544" s="38"/>
      <c r="S544" s="33"/>
      <c r="T544" s="38"/>
      <c r="U544" s="33"/>
      <c r="V544" s="39"/>
      <c r="W544" s="90" t="b">
        <v>0</v>
      </c>
      <c r="X544" s="90" t="b">
        <v>0</v>
      </c>
      <c r="Y544" s="90" t="b">
        <v>0</v>
      </c>
      <c r="Z544" s="40" t="s">
        <v>3504</v>
      </c>
      <c r="AA544" s="41"/>
      <c r="AK544" s="16"/>
      <c r="AL544" s="16"/>
      <c r="AM544" s="16"/>
      <c r="AN544" s="16"/>
      <c r="AO544" s="16"/>
      <c r="AP544" s="16"/>
      <c r="AQ544" s="16"/>
      <c r="AR544" s="16"/>
      <c r="AS544" s="16"/>
    </row>
    <row r="545" spans="1:45" s="7" customFormat="1" ht="195" customHeight="1">
      <c r="A545" s="27">
        <f>[1]트램표준체크리스트!A543</f>
        <v>541</v>
      </c>
      <c r="B545" s="28" t="str">
        <f>[1]트램표준체크리스트!B543</f>
        <v>토질 및 기초</v>
      </c>
      <c r="C545" s="29" t="str">
        <f>[1]트램표준체크리스트!C543</f>
        <v>가시설 굴착 배면 지반 안정성 계획</v>
      </c>
      <c r="D545" s="30" t="str">
        <f>[1]트램표준체크리스트!F543</f>
        <v>입찰설계 조사결과 및 실시설계 조사계획을 전문가가 재검토하여 설계변경을 고려한 실시설계 지반조사 계획수립함.(41공 추가시추) 리스크를 검토하였는가?</v>
      </c>
      <c r="E545" s="31" t="s">
        <v>3505</v>
      </c>
      <c r="F545" s="32" t="str">
        <f t="shared" si="16"/>
        <v>극상</v>
      </c>
      <c r="G545" s="63" t="s">
        <v>40</v>
      </c>
      <c r="H545" s="63" t="s">
        <v>41</v>
      </c>
      <c r="I545" s="34" t="s">
        <v>3212</v>
      </c>
      <c r="J545" s="33"/>
      <c r="K545" s="35"/>
      <c r="L545" s="33"/>
      <c r="M545" s="36"/>
      <c r="N545" s="33"/>
      <c r="O545" s="36"/>
      <c r="P545" s="33"/>
      <c r="Q545" s="37"/>
      <c r="R545" s="38"/>
      <c r="S545" s="33"/>
      <c r="T545" s="38"/>
      <c r="U545" s="33"/>
      <c r="V545" s="39"/>
      <c r="W545" s="90" t="b">
        <v>0</v>
      </c>
      <c r="X545" s="90" t="b">
        <v>0</v>
      </c>
      <c r="Y545" s="90" t="b">
        <v>0</v>
      </c>
      <c r="Z545" s="40" t="s">
        <v>3465</v>
      </c>
      <c r="AA545" s="41"/>
      <c r="AK545" s="16"/>
      <c r="AL545" s="16"/>
      <c r="AM545" s="16"/>
      <c r="AN545" s="16"/>
      <c r="AO545" s="16"/>
      <c r="AP545" s="16"/>
      <c r="AQ545" s="16"/>
      <c r="AR545" s="16"/>
      <c r="AS545" s="16"/>
    </row>
    <row r="546" spans="1:45" s="7" customFormat="1" ht="195" customHeight="1">
      <c r="A546" s="27">
        <f>[1]트램표준체크리스트!A544</f>
        <v>542</v>
      </c>
      <c r="B546" s="28" t="str">
        <f>[1]트램표준체크리스트!B544</f>
        <v>토질 및 기초</v>
      </c>
      <c r="C546" s="29" t="str">
        <f>[1]트램표준체크리스트!C544</f>
        <v>가시설 굴착 배면 지반 안정성 계획</v>
      </c>
      <c r="D546" s="30" t="str">
        <f>[1]트램표준체크리스트!F544</f>
        <v>실시설계 지반조사 추가시추로 노선변경 검토 구간, 터널굴착공법 및 패턴변경 필요 구간 반영, 시공성, 민원 개선 리스크를 검토하였는가?</v>
      </c>
      <c r="E546" s="31" t="s">
        <v>3506</v>
      </c>
      <c r="F546" s="32" t="str">
        <f t="shared" si="16"/>
        <v>극상</v>
      </c>
      <c r="G546" s="63" t="s">
        <v>40</v>
      </c>
      <c r="H546" s="63" t="s">
        <v>41</v>
      </c>
      <c r="I546" s="34" t="s">
        <v>3212</v>
      </c>
      <c r="J546" s="33"/>
      <c r="K546" s="35"/>
      <c r="L546" s="33"/>
      <c r="M546" s="36"/>
      <c r="N546" s="33"/>
      <c r="O546" s="36"/>
      <c r="P546" s="33"/>
      <c r="Q546" s="37"/>
      <c r="R546" s="38"/>
      <c r="S546" s="33"/>
      <c r="T546" s="38"/>
      <c r="U546" s="33"/>
      <c r="V546" s="39"/>
      <c r="W546" s="90" t="b">
        <v>0</v>
      </c>
      <c r="X546" s="90" t="b">
        <v>0</v>
      </c>
      <c r="Y546" s="90" t="b">
        <v>0</v>
      </c>
      <c r="Z546" s="40" t="s">
        <v>3465</v>
      </c>
      <c r="AA546" s="41"/>
      <c r="AK546" s="16"/>
      <c r="AL546" s="16"/>
      <c r="AM546" s="16"/>
      <c r="AN546" s="16"/>
      <c r="AO546" s="16"/>
      <c r="AP546" s="16"/>
      <c r="AQ546" s="16"/>
      <c r="AR546" s="16"/>
      <c r="AS546" s="16"/>
    </row>
    <row r="547" spans="1:45" s="7" customFormat="1" ht="195" customHeight="1">
      <c r="A547" s="27">
        <f>[1]트램표준체크리스트!A545</f>
        <v>543</v>
      </c>
      <c r="B547" s="28" t="str">
        <f>[1]트램표준체크리스트!B545</f>
        <v>토질 및 기초</v>
      </c>
      <c r="C547" s="29" t="str">
        <f>[1]트램표준체크리스트!C545</f>
        <v>가시설 굴착저면 안정성 확보</v>
      </c>
      <c r="D547" s="30" t="str">
        <f>[1]트램표준체크리스트!F545</f>
        <v>투수계수를 고려한 굴착저면 안정성(보일링/히빙) 해석 및 불투수층 차수벽 근입장 설계 누락으로 지반 붕괴가 발생할 리스크를 검토하였는가?</v>
      </c>
      <c r="E547" s="31" t="s">
        <v>3507</v>
      </c>
      <c r="F547" s="32" t="str">
        <f t="shared" si="16"/>
        <v>극상</v>
      </c>
      <c r="G547" s="63" t="s">
        <v>40</v>
      </c>
      <c r="H547" s="63" t="s">
        <v>41</v>
      </c>
      <c r="I547" s="34" t="s">
        <v>3508</v>
      </c>
      <c r="J547" s="33"/>
      <c r="K547" s="35"/>
      <c r="L547" s="33"/>
      <c r="M547" s="36"/>
      <c r="N547" s="33"/>
      <c r="O547" s="36"/>
      <c r="P547" s="33"/>
      <c r="Q547" s="37"/>
      <c r="R547" s="38"/>
      <c r="S547" s="33"/>
      <c r="T547" s="38"/>
      <c r="U547" s="33"/>
      <c r="V547" s="39"/>
      <c r="W547" s="90" t="b">
        <v>0</v>
      </c>
      <c r="X547" s="90" t="b">
        <v>0</v>
      </c>
      <c r="Y547" s="90" t="b">
        <v>0</v>
      </c>
      <c r="Z547" s="40" t="s">
        <v>3509</v>
      </c>
      <c r="AA547" s="41"/>
      <c r="AK547" s="16"/>
      <c r="AL547" s="16"/>
      <c r="AM547" s="16"/>
      <c r="AN547" s="16"/>
      <c r="AO547" s="16"/>
      <c r="AP547" s="16"/>
      <c r="AQ547" s="16"/>
      <c r="AR547" s="16"/>
      <c r="AS547" s="16"/>
    </row>
    <row r="548" spans="1:45" s="7" customFormat="1" ht="195" customHeight="1">
      <c r="A548" s="27">
        <f>[1]트램표준체크리스트!A546</f>
        <v>544</v>
      </c>
      <c r="B548" s="28" t="str">
        <f>[1]트램표준체크리스트!B546</f>
        <v>토질 및 기초</v>
      </c>
      <c r="C548" s="29" t="str">
        <f>[1]트램표준체크리스트!C546</f>
        <v>가시설 지표수 차단 및 배수</v>
      </c>
      <c r="D548" s="30" t="str">
        <f>[1]트램표준체크리스트!F546</f>
        <v>지표수 차단 및 가배수 시설 누락으로 굴착장 수몰 및 토류벽 배면 과잉 수압이 가중될 리스크를 검토하였는가?</v>
      </c>
      <c r="E548" s="31" t="s">
        <v>3510</v>
      </c>
      <c r="F548" s="32" t="str">
        <f t="shared" si="16"/>
        <v>극상</v>
      </c>
      <c r="G548" s="63" t="s">
        <v>40</v>
      </c>
      <c r="H548" s="63" t="s">
        <v>41</v>
      </c>
      <c r="I548" s="34" t="s">
        <v>3511</v>
      </c>
      <c r="J548" s="33"/>
      <c r="K548" s="35"/>
      <c r="L548" s="33"/>
      <c r="M548" s="36"/>
      <c r="N548" s="33"/>
      <c r="O548" s="36"/>
      <c r="P548" s="33"/>
      <c r="Q548" s="37"/>
      <c r="R548" s="38"/>
      <c r="S548" s="33"/>
      <c r="T548" s="38"/>
      <c r="U548" s="33"/>
      <c r="V548" s="39"/>
      <c r="W548" s="90" t="b">
        <v>0</v>
      </c>
      <c r="X548" s="90" t="b">
        <v>0</v>
      </c>
      <c r="Y548" s="90" t="b">
        <v>0</v>
      </c>
      <c r="Z548" s="40" t="s">
        <v>3512</v>
      </c>
      <c r="AA548" s="41"/>
      <c r="AK548" s="16"/>
      <c r="AL548" s="16"/>
      <c r="AM548" s="16"/>
      <c r="AN548" s="16"/>
      <c r="AO548" s="16"/>
      <c r="AP548" s="16"/>
      <c r="AQ548" s="16"/>
      <c r="AR548" s="16"/>
      <c r="AS548" s="16"/>
    </row>
    <row r="549" spans="1:45" s="7" customFormat="1" ht="195" customHeight="1">
      <c r="A549" s="27">
        <f>[1]트램표준체크리스트!A547</f>
        <v>545</v>
      </c>
      <c r="B549" s="28" t="str">
        <f>[1]트램표준체크리스트!B547</f>
        <v>토질 및 기초</v>
      </c>
      <c r="C549" s="29" t="str">
        <f>[1]트램표준체크리스트!C547</f>
        <v>가시설 지표수 차단 및 배수</v>
      </c>
      <c r="D549" s="30" t="str">
        <f>[1]트램표준체크리스트!F547</f>
        <v>동결심도 및 차량 하중 영향을 무시한 얕은 매설 설계로 지반 결빙 시 궤도가 솟아오를 리스크를 검토하였는가?</v>
      </c>
      <c r="E549" s="31" t="s">
        <v>3513</v>
      </c>
      <c r="F549" s="32" t="str">
        <f t="shared" si="16"/>
        <v>극상</v>
      </c>
      <c r="G549" s="63" t="s">
        <v>40</v>
      </c>
      <c r="H549" s="63" t="s">
        <v>41</v>
      </c>
      <c r="I549" s="34" t="s">
        <v>3514</v>
      </c>
      <c r="J549" s="33"/>
      <c r="K549" s="35"/>
      <c r="L549" s="33"/>
      <c r="M549" s="36"/>
      <c r="N549" s="33"/>
      <c r="O549" s="36"/>
      <c r="P549" s="33"/>
      <c r="Q549" s="37"/>
      <c r="R549" s="38"/>
      <c r="S549" s="33"/>
      <c r="T549" s="38"/>
      <c r="U549" s="33"/>
      <c r="V549" s="39"/>
      <c r="W549" s="90" t="b">
        <v>0</v>
      </c>
      <c r="X549" s="90" t="b">
        <v>0</v>
      </c>
      <c r="Y549" s="90" t="b">
        <v>0</v>
      </c>
      <c r="Z549" s="40" t="s">
        <v>3515</v>
      </c>
      <c r="AA549" s="41"/>
      <c r="AK549" s="16"/>
      <c r="AL549" s="16"/>
      <c r="AM549" s="16"/>
      <c r="AN549" s="16"/>
      <c r="AO549" s="16"/>
      <c r="AP549" s="16"/>
      <c r="AQ549" s="16"/>
      <c r="AR549" s="16"/>
      <c r="AS549" s="16"/>
    </row>
    <row r="550" spans="1:45" s="7" customFormat="1" ht="195" customHeight="1">
      <c r="A550" s="27">
        <f>[1]트램표준체크리스트!A548</f>
        <v>546</v>
      </c>
      <c r="B550" s="28" t="str">
        <f>[1]트램표준체크리스트!B548</f>
        <v>토질 및 기초</v>
      </c>
      <c r="C550" s="29" t="str">
        <f>[1]트램표준체크리스트!C548</f>
        <v>가시설 토압 산정 및 안정성 평가 계획</v>
      </c>
      <c r="D550" s="30" t="str">
        <f>[1]트램표준체크리스트!F548</f>
        <v>토압 분포 모델(삼각형·경험토압) 일률적 해석으로, 토압 재분배 시 특정 지보재에 과응력이 발생할 리스크를 검토하였는가?</v>
      </c>
      <c r="E550" s="31" t="s">
        <v>3516</v>
      </c>
      <c r="F550" s="32" t="str">
        <f t="shared" si="16"/>
        <v>극상</v>
      </c>
      <c r="G550" s="63" t="s">
        <v>40</v>
      </c>
      <c r="H550" s="63" t="s">
        <v>41</v>
      </c>
      <c r="I550" s="34" t="s">
        <v>3517</v>
      </c>
      <c r="J550" s="33"/>
      <c r="K550" s="35"/>
      <c r="L550" s="33"/>
      <c r="M550" s="36"/>
      <c r="N550" s="33"/>
      <c r="O550" s="36"/>
      <c r="P550" s="33"/>
      <c r="Q550" s="37"/>
      <c r="R550" s="38"/>
      <c r="S550" s="33"/>
      <c r="T550" s="38"/>
      <c r="U550" s="33"/>
      <c r="V550" s="39"/>
      <c r="W550" s="90" t="b">
        <v>0</v>
      </c>
      <c r="X550" s="90" t="b">
        <v>0</v>
      </c>
      <c r="Y550" s="90" t="b">
        <v>0</v>
      </c>
      <c r="Z550" s="40" t="s">
        <v>3518</v>
      </c>
      <c r="AA550" s="41"/>
      <c r="AK550" s="16"/>
      <c r="AL550" s="16"/>
      <c r="AM550" s="16"/>
      <c r="AN550" s="16"/>
      <c r="AO550" s="16"/>
      <c r="AP550" s="16"/>
      <c r="AQ550" s="16"/>
      <c r="AR550" s="16"/>
      <c r="AS550" s="16"/>
    </row>
    <row r="551" spans="1:45" s="7" customFormat="1" ht="195" customHeight="1">
      <c r="A551" s="27">
        <f>[1]트램표준체크리스트!A549</f>
        <v>547</v>
      </c>
      <c r="B551" s="28" t="str">
        <f>[1]트램표준체크리스트!B549</f>
        <v>토질 및 기초</v>
      </c>
      <c r="C551" s="29" t="str">
        <f>[1]트램표준체크리스트!C549</f>
        <v>가시설 항타 시 지하매설물 보호</v>
      </c>
      <c r="D551" s="30" t="str">
        <f>[1]트램표준체크리스트!F549</f>
        <v>H-Pile과 지하매설물 간 간섭 검토 및 노출 상수관 동파방지 설계 미비로 고압선 차단 및 상수관 파열이 발생할 리스크를 검토하였는가?</v>
      </c>
      <c r="E551" s="31" t="s">
        <v>3519</v>
      </c>
      <c r="F551" s="32" t="str">
        <f t="shared" ref="F551:F581" si="17">_xlfn.LET(
_xlpm.v_발생, IF(ISNUMBER(SEARCH("빈번", G551)), "상",
IF(ISNUMBER(SEARCH("거의", G551)), "하", "중")),
_xlpm.v_영향, IF(ISNUMBER(SEARCH("1개월", H551)), "상",
IF(ISNUMBER(SEARCH("없음", H551)), "하", "중")),
IF(AND(_xlpm.v_발생="상", _xlpm.v_영향="상"), "극상",
IF(OR(_xlpm.v_발생="상", _xlpm.v_영향="상"), "상",
IF(AND(_xlpm.v_발생="하", _xlpm.v_영향="하"), "하",
"중")))
)</f>
        <v>극상</v>
      </c>
      <c r="G551" s="63" t="s">
        <v>40</v>
      </c>
      <c r="H551" s="63" t="s">
        <v>41</v>
      </c>
      <c r="I551" s="34" t="s">
        <v>3520</v>
      </c>
      <c r="J551" s="33"/>
      <c r="K551" s="35"/>
      <c r="L551" s="33"/>
      <c r="M551" s="36"/>
      <c r="N551" s="33"/>
      <c r="O551" s="36"/>
      <c r="P551" s="33"/>
      <c r="Q551" s="37"/>
      <c r="R551" s="38"/>
      <c r="S551" s="33"/>
      <c r="T551" s="38"/>
      <c r="U551" s="33"/>
      <c r="V551" s="39"/>
      <c r="W551" s="90" t="b">
        <v>0</v>
      </c>
      <c r="X551" s="90" t="b">
        <v>0</v>
      </c>
      <c r="Y551" s="90" t="b">
        <v>0</v>
      </c>
      <c r="Z551" s="40" t="s">
        <v>3521</v>
      </c>
      <c r="AA551" s="41"/>
      <c r="AK551" s="16"/>
      <c r="AL551" s="16"/>
      <c r="AM551" s="16"/>
      <c r="AN551" s="16"/>
      <c r="AO551" s="16"/>
      <c r="AP551" s="16"/>
      <c r="AQ551" s="16"/>
      <c r="AR551" s="16"/>
      <c r="AS551" s="16"/>
    </row>
    <row r="552" spans="1:45" s="7" customFormat="1" ht="195" customHeight="1">
      <c r="A552" s="27">
        <f>[1]트램표준체크리스트!A550</f>
        <v>548</v>
      </c>
      <c r="B552" s="28" t="str">
        <f>[1]트램표준체크리스트!B550</f>
        <v>토질 및 기초</v>
      </c>
      <c r="C552" s="29" t="str">
        <f>[1]트램표준체크리스트!C550</f>
        <v>가시설 흙막이 설계 및 시공</v>
      </c>
      <c r="D552" s="30" t="str">
        <f>[1]트램표준체크리스트!F550</f>
        <v>수압 및 인접 상재하중 누락으로 가시설 붕괴나 허용치 초과 변위가 발생할 리스크를 검토하였는가?</v>
      </c>
      <c r="E552" s="31" t="s">
        <v>3522</v>
      </c>
      <c r="F552" s="32" t="str">
        <f t="shared" si="17"/>
        <v>극상</v>
      </c>
      <c r="G552" s="63" t="s">
        <v>40</v>
      </c>
      <c r="H552" s="63" t="s">
        <v>41</v>
      </c>
      <c r="I552" s="34" t="s">
        <v>3523</v>
      </c>
      <c r="J552" s="33"/>
      <c r="K552" s="35"/>
      <c r="L552" s="33"/>
      <c r="M552" s="36"/>
      <c r="N552" s="33"/>
      <c r="O552" s="36"/>
      <c r="P552" s="33"/>
      <c r="Q552" s="37"/>
      <c r="R552" s="38"/>
      <c r="S552" s="33"/>
      <c r="T552" s="38"/>
      <c r="U552" s="33"/>
      <c r="V552" s="39"/>
      <c r="W552" s="90" t="b">
        <v>0</v>
      </c>
      <c r="X552" s="90" t="b">
        <v>0</v>
      </c>
      <c r="Y552" s="90" t="b">
        <v>0</v>
      </c>
      <c r="Z552" s="40" t="s">
        <v>3524</v>
      </c>
      <c r="AA552" s="41"/>
      <c r="AK552" s="16"/>
      <c r="AL552" s="16"/>
      <c r="AM552" s="16"/>
      <c r="AN552" s="16"/>
      <c r="AO552" s="16"/>
      <c r="AP552" s="16"/>
      <c r="AQ552" s="16"/>
      <c r="AR552" s="16"/>
      <c r="AS552" s="16"/>
    </row>
    <row r="553" spans="1:45" s="7" customFormat="1" ht="195" customHeight="1">
      <c r="A553" s="27">
        <f>[1]트램표준체크리스트!A551</f>
        <v>549</v>
      </c>
      <c r="B553" s="28" t="str">
        <f>[1]트램표준체크리스트!B551</f>
        <v>토질 및 기초</v>
      </c>
      <c r="C553" s="29" t="str">
        <f>[1]트램표준체크리스트!C551</f>
        <v>가시설 흙막이 설계 및 시공</v>
      </c>
      <c r="D553" s="30" t="str">
        <f>[1]트램표준체크리스트!F551</f>
        <v>원안설계 및 기본설계 지반조사 검토 후 착공전 지반조사 4공을 반영 리스크를 검토하였는가?</v>
      </c>
      <c r="E553" s="31" t="s">
        <v>3525</v>
      </c>
      <c r="F553" s="32" t="str">
        <f t="shared" si="17"/>
        <v>극상</v>
      </c>
      <c r="G553" s="63" t="s">
        <v>40</v>
      </c>
      <c r="H553" s="63" t="s">
        <v>41</v>
      </c>
      <c r="I553" s="34" t="s">
        <v>3212</v>
      </c>
      <c r="J553" s="33"/>
      <c r="K553" s="35"/>
      <c r="L553" s="33"/>
      <c r="M553" s="36"/>
      <c r="N553" s="33"/>
      <c r="O553" s="36"/>
      <c r="P553" s="33"/>
      <c r="Q553" s="37"/>
      <c r="R553" s="38"/>
      <c r="S553" s="33"/>
      <c r="T553" s="38"/>
      <c r="U553" s="33"/>
      <c r="V553" s="39"/>
      <c r="W553" s="90" t="b">
        <v>0</v>
      </c>
      <c r="X553" s="90" t="b">
        <v>0</v>
      </c>
      <c r="Y553" s="90" t="b">
        <v>0</v>
      </c>
      <c r="Z553" s="40" t="s">
        <v>3465</v>
      </c>
      <c r="AA553" s="41"/>
      <c r="AK553" s="16"/>
      <c r="AL553" s="16"/>
      <c r="AM553" s="16"/>
      <c r="AN553" s="16"/>
      <c r="AO553" s="16"/>
      <c r="AP553" s="16"/>
      <c r="AQ553" s="16"/>
      <c r="AR553" s="16"/>
      <c r="AS553" s="16"/>
    </row>
    <row r="554" spans="1:45" s="7" customFormat="1" ht="195" customHeight="1">
      <c r="A554" s="27">
        <f>[1]트램표준체크리스트!A552</f>
        <v>550</v>
      </c>
      <c r="B554" s="28" t="str">
        <f>[1]트램표준체크리스트!B552</f>
        <v>토질 및 기초</v>
      </c>
      <c r="C554" s="29" t="str">
        <f>[1]트램표준체크리스트!C552</f>
        <v>개착구간 노면복공 계획</v>
      </c>
      <c r="D554" s="30" t="str">
        <f>[1]트램표준체크리스트!F552</f>
        <v>차량 추락방지 시설 및 복공턱(단차) 완화 설계 누락으로 야간·우천 시 주행 차량 파손 및 추락 사고가 유발될 리스크를 검토하였는가?</v>
      </c>
      <c r="E554" s="31" t="s">
        <v>3526</v>
      </c>
      <c r="F554" s="32" t="str">
        <f t="shared" si="17"/>
        <v>극상</v>
      </c>
      <c r="G554" s="63" t="s">
        <v>40</v>
      </c>
      <c r="H554" s="63" t="s">
        <v>41</v>
      </c>
      <c r="I554" s="34" t="s">
        <v>3527</v>
      </c>
      <c r="J554" s="33"/>
      <c r="K554" s="35"/>
      <c r="L554" s="33"/>
      <c r="M554" s="36"/>
      <c r="N554" s="33"/>
      <c r="O554" s="36"/>
      <c r="P554" s="33"/>
      <c r="Q554" s="37"/>
      <c r="R554" s="38"/>
      <c r="S554" s="33"/>
      <c r="T554" s="38"/>
      <c r="U554" s="33"/>
      <c r="V554" s="39"/>
      <c r="W554" s="90" t="b">
        <v>0</v>
      </c>
      <c r="X554" s="90" t="b">
        <v>0</v>
      </c>
      <c r="Y554" s="90" t="b">
        <v>0</v>
      </c>
      <c r="Z554" s="40" t="s">
        <v>3528</v>
      </c>
      <c r="AA554" s="41"/>
      <c r="AK554" s="16"/>
      <c r="AL554" s="16"/>
      <c r="AM554" s="16"/>
      <c r="AN554" s="16"/>
      <c r="AO554" s="16"/>
      <c r="AP554" s="16"/>
      <c r="AQ554" s="16"/>
      <c r="AR554" s="16"/>
      <c r="AS554" s="16"/>
    </row>
    <row r="555" spans="1:45" s="7" customFormat="1" ht="195" customHeight="1">
      <c r="A555" s="27">
        <f>[1]트램표준체크리스트!A553</f>
        <v>551</v>
      </c>
      <c r="B555" s="28" t="str">
        <f>[1]트램표준체크리스트!B553</f>
        <v>토질 및 기초</v>
      </c>
      <c r="C555" s="29" t="str">
        <f>[1]트램표준체크리스트!C553</f>
        <v>공사 중 지하수 처리 계획</v>
      </c>
      <c r="D555" s="30" t="str">
        <f>[1]트램표준체크리스트!F553</f>
        <v>공공하수관로 용량 검토 및 수처리시설 설계 누락으로 집중호우 시 도로 및 하수도가 역류할 리스크를 검토하였는가?</v>
      </c>
      <c r="E555" s="31" t="s">
        <v>3529</v>
      </c>
      <c r="F555" s="32" t="str">
        <f t="shared" si="17"/>
        <v>극상</v>
      </c>
      <c r="G555" s="63" t="s">
        <v>40</v>
      </c>
      <c r="H555" s="63" t="s">
        <v>41</v>
      </c>
      <c r="I555" s="34" t="s">
        <v>3530</v>
      </c>
      <c r="J555" s="33"/>
      <c r="K555" s="35"/>
      <c r="L555" s="33"/>
      <c r="M555" s="36"/>
      <c r="N555" s="33"/>
      <c r="O555" s="36"/>
      <c r="P555" s="33"/>
      <c r="Q555" s="37"/>
      <c r="R555" s="38"/>
      <c r="S555" s="33"/>
      <c r="T555" s="38"/>
      <c r="U555" s="33"/>
      <c r="V555" s="39"/>
      <c r="W555" s="90" t="b">
        <v>0</v>
      </c>
      <c r="X555" s="90" t="b">
        <v>0</v>
      </c>
      <c r="Y555" s="90" t="b">
        <v>0</v>
      </c>
      <c r="Z555" s="40" t="s">
        <v>3531</v>
      </c>
      <c r="AA555" s="41"/>
      <c r="AK555" s="16"/>
      <c r="AL555" s="16"/>
      <c r="AM555" s="16"/>
      <c r="AN555" s="16"/>
      <c r="AO555" s="16"/>
      <c r="AP555" s="16"/>
      <c r="AQ555" s="16"/>
      <c r="AR555" s="16"/>
      <c r="AS555" s="16"/>
    </row>
    <row r="556" spans="1:45" s="7" customFormat="1" ht="195" customHeight="1">
      <c r="A556" s="27">
        <f>[1]트램표준체크리스트!A554</f>
        <v>552</v>
      </c>
      <c r="B556" s="28" t="str">
        <f>[1]트램표준체크리스트!B554</f>
        <v>토질 및 기초</v>
      </c>
      <c r="C556" s="29" t="str">
        <f>[1]트램표준체크리스트!C554</f>
        <v>관로 및 기기 기초 터파기</v>
      </c>
      <c r="D556" s="30" t="str">
        <f>[1]트램표준체크리스트!F554</f>
        <v>1.5m 초과 터파기 구간 흙막이 설계 누락으로 굴착면 붕괴 재해 및 인접 지장물 파손이 발생할 리스크를 검토하였는가?</v>
      </c>
      <c r="E556" s="31" t="s">
        <v>3532</v>
      </c>
      <c r="F556" s="32" t="str">
        <f t="shared" si="17"/>
        <v>극상</v>
      </c>
      <c r="G556" s="63" t="s">
        <v>40</v>
      </c>
      <c r="H556" s="63" t="s">
        <v>41</v>
      </c>
      <c r="I556" s="34" t="s">
        <v>3533</v>
      </c>
      <c r="J556" s="33"/>
      <c r="K556" s="35"/>
      <c r="L556" s="33"/>
      <c r="M556" s="36"/>
      <c r="N556" s="33"/>
      <c r="O556" s="36"/>
      <c r="P556" s="33"/>
      <c r="Q556" s="37"/>
      <c r="R556" s="38"/>
      <c r="S556" s="33"/>
      <c r="T556" s="38"/>
      <c r="U556" s="33"/>
      <c r="V556" s="39"/>
      <c r="W556" s="90" t="b">
        <v>0</v>
      </c>
      <c r="X556" s="90" t="b">
        <v>0</v>
      </c>
      <c r="Y556" s="90" t="b">
        <v>0</v>
      </c>
      <c r="Z556" s="40" t="s">
        <v>3534</v>
      </c>
      <c r="AA556" s="41"/>
      <c r="AK556" s="16"/>
      <c r="AL556" s="16"/>
      <c r="AM556" s="16"/>
      <c r="AN556" s="16"/>
      <c r="AO556" s="16"/>
      <c r="AP556" s="16"/>
      <c r="AQ556" s="16"/>
      <c r="AR556" s="16"/>
      <c r="AS556" s="16"/>
    </row>
    <row r="557" spans="1:45" s="7" customFormat="1" ht="195" customHeight="1">
      <c r="A557" s="27">
        <f>[1]트램표준체크리스트!A555</f>
        <v>553</v>
      </c>
      <c r="B557" s="28" t="str">
        <f>[1]트램표준체크리스트!B555</f>
        <v>토질 및 기초</v>
      </c>
      <c r="C557" s="29" t="str">
        <f>[1]트램표준체크리스트!C555</f>
        <v>광역 지하수 영향 검토</v>
      </c>
      <c r="D557" s="30" t="str">
        <f>[1]트램표준체크리스트!F555</f>
        <v>반경 1km 지하수 유동분석 및 광역 침하 검토 누락으로, 대규모 싱크홀 및 주거지 균열이 유발될 리스크를 검토하였는가?</v>
      </c>
      <c r="E557" s="31" t="s">
        <v>3535</v>
      </c>
      <c r="F557" s="32" t="str">
        <f t="shared" si="17"/>
        <v>극상</v>
      </c>
      <c r="G557" s="63" t="s">
        <v>40</v>
      </c>
      <c r="H557" s="63" t="s">
        <v>41</v>
      </c>
      <c r="I557" s="34" t="s">
        <v>3536</v>
      </c>
      <c r="J557" s="33"/>
      <c r="K557" s="35"/>
      <c r="L557" s="33"/>
      <c r="M557" s="36"/>
      <c r="N557" s="33"/>
      <c r="O557" s="36"/>
      <c r="P557" s="33"/>
      <c r="Q557" s="37"/>
      <c r="R557" s="38"/>
      <c r="S557" s="33"/>
      <c r="T557" s="38"/>
      <c r="U557" s="33"/>
      <c r="V557" s="39"/>
      <c r="W557" s="90" t="b">
        <v>0</v>
      </c>
      <c r="X557" s="90" t="b">
        <v>0</v>
      </c>
      <c r="Y557" s="90" t="b">
        <v>0</v>
      </c>
      <c r="Z557" s="40" t="s">
        <v>3537</v>
      </c>
      <c r="AA557" s="41"/>
      <c r="AK557" s="16"/>
      <c r="AL557" s="16"/>
      <c r="AM557" s="16"/>
      <c r="AN557" s="16"/>
      <c r="AO557" s="16"/>
      <c r="AP557" s="16"/>
      <c r="AQ557" s="16"/>
      <c r="AR557" s="16"/>
      <c r="AS557" s="16"/>
    </row>
    <row r="558" spans="1:45" s="7" customFormat="1" ht="195" customHeight="1">
      <c r="A558" s="27">
        <f>[1]트램표준체크리스트!A556</f>
        <v>554</v>
      </c>
      <c r="B558" s="28" t="str">
        <f>[1]트램표준체크리스트!B556</f>
        <v>토질 및 기초</v>
      </c>
      <c r="C558" s="29" t="str">
        <f>[1]트램표준체크리스트!C556</f>
        <v>광역 지하수 영향 검토</v>
      </c>
      <c r="D558" s="30" t="str">
        <f>[1]트램표준체크리스트!F556</f>
        <v>지반조사 전문가에 의한 검증이 부족하여 사석 공급 부족이 발생 리스크를 검토하였는가?</v>
      </c>
      <c r="E558" s="31" t="s">
        <v>3538</v>
      </c>
      <c r="F558" s="32" t="str">
        <f t="shared" si="17"/>
        <v>극상</v>
      </c>
      <c r="G558" s="63" t="s">
        <v>40</v>
      </c>
      <c r="H558" s="63" t="s">
        <v>41</v>
      </c>
      <c r="I558" s="34" t="s">
        <v>3212</v>
      </c>
      <c r="J558" s="33"/>
      <c r="K558" s="35"/>
      <c r="L558" s="33"/>
      <c r="M558" s="36"/>
      <c r="N558" s="33"/>
      <c r="O558" s="36"/>
      <c r="P558" s="33"/>
      <c r="Q558" s="37"/>
      <c r="R558" s="38"/>
      <c r="S558" s="33"/>
      <c r="T558" s="38"/>
      <c r="U558" s="33"/>
      <c r="V558" s="39"/>
      <c r="W558" s="90" t="b">
        <v>0</v>
      </c>
      <c r="X558" s="90" t="b">
        <v>0</v>
      </c>
      <c r="Y558" s="90" t="b">
        <v>0</v>
      </c>
      <c r="Z558" s="40" t="s">
        <v>3369</v>
      </c>
      <c r="AA558" s="41"/>
      <c r="AK558" s="16"/>
      <c r="AL558" s="16"/>
      <c r="AM558" s="16"/>
      <c r="AN558" s="16"/>
      <c r="AO558" s="16"/>
      <c r="AP558" s="16"/>
      <c r="AQ558" s="16"/>
      <c r="AR558" s="16"/>
      <c r="AS558" s="16"/>
    </row>
    <row r="559" spans="1:45" s="7" customFormat="1" ht="195" customHeight="1">
      <c r="A559" s="27">
        <f>[1]트램표준체크리스트!A557</f>
        <v>555</v>
      </c>
      <c r="B559" s="28" t="str">
        <f>[1]트램표준체크리스트!B557</f>
        <v>토질 및 기초</v>
      </c>
      <c r="C559" s="29" t="str">
        <f>[1]트램표준체크리스트!C557</f>
        <v>구조물 기초 형식 선정 및 지지력 검증</v>
      </c>
      <c r="D559" s="30" t="str">
        <f>[1]트램표준체크리스트!F557</f>
        <v>지반조사 과대평가 및 이질 기초 혼용 시 부등침하 해석 누락으로 구조물 균열이 유발될 리스크를 검토하였는가?</v>
      </c>
      <c r="E559" s="31" t="s">
        <v>3539</v>
      </c>
      <c r="F559" s="32" t="str">
        <f t="shared" si="17"/>
        <v>극상</v>
      </c>
      <c r="G559" s="63" t="s">
        <v>40</v>
      </c>
      <c r="H559" s="63" t="s">
        <v>41</v>
      </c>
      <c r="I559" s="34" t="s">
        <v>3540</v>
      </c>
      <c r="J559" s="33"/>
      <c r="K559" s="35"/>
      <c r="L559" s="33"/>
      <c r="M559" s="36"/>
      <c r="N559" s="33"/>
      <c r="O559" s="36"/>
      <c r="P559" s="33"/>
      <c r="Q559" s="37"/>
      <c r="R559" s="38"/>
      <c r="S559" s="33"/>
      <c r="T559" s="38"/>
      <c r="U559" s="33"/>
      <c r="V559" s="39"/>
      <c r="W559" s="90" t="b">
        <v>0</v>
      </c>
      <c r="X559" s="90" t="b">
        <v>0</v>
      </c>
      <c r="Y559" s="90" t="b">
        <v>0</v>
      </c>
      <c r="Z559" s="40" t="s">
        <v>3541</v>
      </c>
      <c r="AA559" s="41"/>
      <c r="AK559" s="16"/>
      <c r="AL559" s="16"/>
      <c r="AM559" s="16"/>
      <c r="AN559" s="16"/>
      <c r="AO559" s="16"/>
      <c r="AP559" s="16"/>
      <c r="AQ559" s="16"/>
      <c r="AR559" s="16"/>
      <c r="AS559" s="16"/>
    </row>
    <row r="560" spans="1:45" s="7" customFormat="1" ht="195" customHeight="1">
      <c r="A560" s="27">
        <f>[1]트램표준체크리스트!A558</f>
        <v>556</v>
      </c>
      <c r="B560" s="28" t="str">
        <f>[1]트램표준체크리스트!B558</f>
        <v>토질 및 기초</v>
      </c>
      <c r="C560" s="29" t="str">
        <f>[1]트램표준체크리스트!C558</f>
        <v>깊은기초(말뚝) 지지층 설계 계획</v>
      </c>
      <c r="D560" s="30" t="str">
        <f>[1]트램표준체크리스트!F558</f>
        <v>지층 심도 변화 정밀 고려 미흡으로 말뚝 최소 길이(10D) 및 암반 근입 깊이 기준 미달로 설계될 리스크를 검토하였는가?</v>
      </c>
      <c r="E560" s="31" t="s">
        <v>3542</v>
      </c>
      <c r="F560" s="32" t="str">
        <f t="shared" si="17"/>
        <v>극상</v>
      </c>
      <c r="G560" s="63" t="s">
        <v>40</v>
      </c>
      <c r="H560" s="63" t="s">
        <v>41</v>
      </c>
      <c r="I560" s="34" t="s">
        <v>3543</v>
      </c>
      <c r="J560" s="33"/>
      <c r="K560" s="35"/>
      <c r="L560" s="33"/>
      <c r="M560" s="36"/>
      <c r="N560" s="33"/>
      <c r="O560" s="36"/>
      <c r="P560" s="33"/>
      <c r="Q560" s="37"/>
      <c r="R560" s="38"/>
      <c r="S560" s="33"/>
      <c r="T560" s="38"/>
      <c r="U560" s="33"/>
      <c r="V560" s="39"/>
      <c r="W560" s="90" t="b">
        <v>0</v>
      </c>
      <c r="X560" s="90" t="b">
        <v>0</v>
      </c>
      <c r="Y560" s="90" t="b">
        <v>0</v>
      </c>
      <c r="Z560" s="40" t="s">
        <v>3544</v>
      </c>
      <c r="AA560" s="41"/>
      <c r="AK560" s="16"/>
      <c r="AL560" s="16"/>
      <c r="AM560" s="16"/>
      <c r="AN560" s="16"/>
      <c r="AO560" s="16"/>
      <c r="AP560" s="16"/>
      <c r="AQ560" s="16"/>
      <c r="AR560" s="16"/>
      <c r="AS560" s="16"/>
    </row>
    <row r="561" spans="1:45" s="7" customFormat="1" ht="195" customHeight="1">
      <c r="A561" s="27">
        <f>[1]트램표준체크리스트!A559</f>
        <v>557</v>
      </c>
      <c r="B561" s="28" t="str">
        <f>[1]트램표준체크리스트!B559</f>
        <v>토질 및 기초</v>
      </c>
      <c r="C561" s="29" t="str">
        <f>[1]트램표준체크리스트!C559</f>
        <v>깎기 비탈면 안정성 해석 계획</v>
      </c>
      <c r="D561" s="30" t="str">
        <f>[1]트램표준체크리스트!F559</f>
        <v>불연속면 및 우기 안전율(Fs&gt;1.2) 검토 누락으로 호우 시 사면 붕괴 리스크를 검토하였는가?</v>
      </c>
      <c r="E561" s="31" t="s">
        <v>3545</v>
      </c>
      <c r="F561" s="32" t="str">
        <f t="shared" si="17"/>
        <v>극상</v>
      </c>
      <c r="G561" s="63" t="s">
        <v>40</v>
      </c>
      <c r="H561" s="63" t="s">
        <v>41</v>
      </c>
      <c r="I561" s="34" t="s">
        <v>3546</v>
      </c>
      <c r="J561" s="33"/>
      <c r="K561" s="35"/>
      <c r="L561" s="33"/>
      <c r="M561" s="36"/>
      <c r="N561" s="33"/>
      <c r="O561" s="36"/>
      <c r="P561" s="33"/>
      <c r="Q561" s="37"/>
      <c r="R561" s="38"/>
      <c r="S561" s="33"/>
      <c r="T561" s="38"/>
      <c r="U561" s="33"/>
      <c r="V561" s="39"/>
      <c r="W561" s="90" t="b">
        <v>0</v>
      </c>
      <c r="X561" s="90" t="b">
        <v>0</v>
      </c>
      <c r="Y561" s="90" t="b">
        <v>0</v>
      </c>
      <c r="Z561" s="40" t="s">
        <v>3547</v>
      </c>
      <c r="AA561" s="41"/>
      <c r="AK561" s="16"/>
      <c r="AL561" s="16"/>
      <c r="AM561" s="16"/>
      <c r="AN561" s="16"/>
      <c r="AO561" s="16"/>
      <c r="AP561" s="16"/>
      <c r="AQ561" s="16"/>
      <c r="AR561" s="16"/>
      <c r="AS561" s="16"/>
    </row>
    <row r="562" spans="1:45" s="7" customFormat="1" ht="195" customHeight="1">
      <c r="A562" s="27">
        <f>[1]트램표준체크리스트!A560</f>
        <v>558</v>
      </c>
      <c r="B562" s="28" t="str">
        <f>[1]트램표준체크리스트!B560</f>
        <v>토질 및 기초</v>
      </c>
      <c r="C562" s="29" t="str">
        <f>[1]트램표준체크리스트!C560</f>
        <v>내진 및 지반안정성 검토</v>
      </c>
      <c r="D562" s="30" t="str">
        <f>[1]트램표준체크리스트!F560</f>
        <v>액상화 가능성 평가 및 기초 내진보강 설계 누락으로 지진 시 궤도 노반·구조물이 침하·전도될 리스크를 검토하였는가?</v>
      </c>
      <c r="E562" s="31" t="s">
        <v>3548</v>
      </c>
      <c r="F562" s="32" t="str">
        <f t="shared" si="17"/>
        <v>극상</v>
      </c>
      <c r="G562" s="63" t="s">
        <v>40</v>
      </c>
      <c r="H562" s="63" t="s">
        <v>41</v>
      </c>
      <c r="I562" s="34" t="s">
        <v>3549</v>
      </c>
      <c r="J562" s="33"/>
      <c r="K562" s="35"/>
      <c r="L562" s="33"/>
      <c r="M562" s="36"/>
      <c r="N562" s="33"/>
      <c r="O562" s="36"/>
      <c r="P562" s="33"/>
      <c r="Q562" s="37"/>
      <c r="R562" s="38"/>
      <c r="S562" s="33"/>
      <c r="T562" s="38"/>
      <c r="U562" s="33"/>
      <c r="V562" s="39"/>
      <c r="W562" s="90" t="b">
        <v>0</v>
      </c>
      <c r="X562" s="90" t="b">
        <v>0</v>
      </c>
      <c r="Y562" s="90" t="b">
        <v>0</v>
      </c>
      <c r="Z562" s="40" t="s">
        <v>3550</v>
      </c>
      <c r="AA562" s="41"/>
      <c r="AK562" s="16"/>
      <c r="AL562" s="16"/>
      <c r="AM562" s="16"/>
      <c r="AN562" s="16"/>
      <c r="AO562" s="16"/>
      <c r="AP562" s="16"/>
      <c r="AQ562" s="16"/>
      <c r="AR562" s="16"/>
      <c r="AS562" s="16"/>
    </row>
    <row r="563" spans="1:45" s="7" customFormat="1" ht="195" customHeight="1">
      <c r="A563" s="27">
        <f>[1]트램표준체크리스트!A561</f>
        <v>559</v>
      </c>
      <c r="B563" s="28" t="str">
        <f>[1]트램표준체크리스트!B561</f>
        <v>토질 및 기초</v>
      </c>
      <c r="C563" s="29" t="str">
        <f>[1]트램표준체크리스트!C561</f>
        <v>노반 지지력 확보</v>
      </c>
      <c r="D563" s="30" t="str">
        <f>[1]트램표준체크리스트!F561</f>
        <v>하부 노반 지지력 기준 및 품질시험(평판재하시험 등) 수량 설계 누락으로 반복 하중에 의한 궤도 침하 및 파손이 발생할 리스크를 검토하였는가?</v>
      </c>
      <c r="E563" s="31" t="s">
        <v>3551</v>
      </c>
      <c r="F563" s="32" t="str">
        <f t="shared" si="17"/>
        <v>극상</v>
      </c>
      <c r="G563" s="63" t="s">
        <v>40</v>
      </c>
      <c r="H563" s="63" t="s">
        <v>41</v>
      </c>
      <c r="I563" s="34" t="s">
        <v>3552</v>
      </c>
      <c r="J563" s="33"/>
      <c r="K563" s="35"/>
      <c r="L563" s="33"/>
      <c r="M563" s="36"/>
      <c r="N563" s="33"/>
      <c r="O563" s="36"/>
      <c r="P563" s="33"/>
      <c r="Q563" s="37"/>
      <c r="R563" s="38"/>
      <c r="S563" s="33"/>
      <c r="T563" s="38"/>
      <c r="U563" s="33"/>
      <c r="V563" s="39"/>
      <c r="W563" s="90" t="b">
        <v>0</v>
      </c>
      <c r="X563" s="90" t="b">
        <v>0</v>
      </c>
      <c r="Y563" s="90" t="b">
        <v>0</v>
      </c>
      <c r="Z563" s="40" t="s">
        <v>3553</v>
      </c>
      <c r="AA563" s="41"/>
      <c r="AK563" s="16"/>
      <c r="AL563" s="16"/>
      <c r="AM563" s="16"/>
      <c r="AN563" s="16"/>
      <c r="AO563" s="16"/>
      <c r="AP563" s="16"/>
      <c r="AQ563" s="16"/>
      <c r="AR563" s="16"/>
      <c r="AS563" s="16"/>
    </row>
    <row r="564" spans="1:45" s="7" customFormat="1" ht="195" customHeight="1">
      <c r="A564" s="27">
        <f>[1]트램표준체크리스트!A562</f>
        <v>560</v>
      </c>
      <c r="B564" s="28" t="str">
        <f>[1]트램표준체크리스트!B562</f>
        <v>토질 및 기초</v>
      </c>
      <c r="C564" s="29" t="str">
        <f>[1]트램표준체크리스트!C562</f>
        <v>대규모 지하 굴착부 광역 지하수 유동 분석 계획</v>
      </c>
      <c r="D564" s="30" t="str">
        <f>[1]트램표준체크리스트!F562</f>
        <v>1km 반경 3D 지하수 유동해석 누락으로 부등침하 및 수맥 고갈 민원이 유발될 리스크를 검토하였는가?</v>
      </c>
      <c r="E564" s="31" t="s">
        <v>3554</v>
      </c>
      <c r="F564" s="32" t="str">
        <f t="shared" si="17"/>
        <v>극상</v>
      </c>
      <c r="G564" s="63" t="s">
        <v>40</v>
      </c>
      <c r="H564" s="63" t="s">
        <v>41</v>
      </c>
      <c r="I564" s="34" t="s">
        <v>3555</v>
      </c>
      <c r="J564" s="33"/>
      <c r="K564" s="35"/>
      <c r="L564" s="33"/>
      <c r="M564" s="36"/>
      <c r="N564" s="33"/>
      <c r="O564" s="36"/>
      <c r="P564" s="33"/>
      <c r="Q564" s="37"/>
      <c r="R564" s="38"/>
      <c r="S564" s="33"/>
      <c r="T564" s="38"/>
      <c r="U564" s="33"/>
      <c r="V564" s="39"/>
      <c r="W564" s="90" t="b">
        <v>0</v>
      </c>
      <c r="X564" s="90" t="b">
        <v>0</v>
      </c>
      <c r="Y564" s="90" t="b">
        <v>0</v>
      </c>
      <c r="Z564" s="40" t="s">
        <v>3556</v>
      </c>
      <c r="AA564" s="41"/>
      <c r="AK564" s="16"/>
      <c r="AL564" s="16"/>
      <c r="AM564" s="16"/>
      <c r="AN564" s="16"/>
      <c r="AO564" s="16"/>
      <c r="AP564" s="16"/>
      <c r="AQ564" s="16"/>
      <c r="AR564" s="16"/>
      <c r="AS564" s="16"/>
    </row>
    <row r="565" spans="1:45" s="7" customFormat="1" ht="195" customHeight="1">
      <c r="A565" s="27">
        <f>[1]트램표준체크리스트!A563</f>
        <v>561</v>
      </c>
      <c r="B565" s="28" t="str">
        <f>[1]트램표준체크리스트!B563</f>
        <v>토질 및 기초</v>
      </c>
      <c r="C565" s="29" t="str">
        <f>[1]트램표준체크리스트!C563</f>
        <v>도심지 가시설 변위 제어 계획</v>
      </c>
      <c r="D565" s="30" t="str">
        <f>[1]트램표준체크리스트!F563</f>
        <v>배면 지반 변위 억제 지보재 단면 부족 및 실시간 스마트 계측기 누락으로 도심지 도로가 함몰될 리스크를 검토하였는가?</v>
      </c>
      <c r="E565" s="31" t="s">
        <v>3557</v>
      </c>
      <c r="F565" s="32" t="str">
        <f t="shared" si="17"/>
        <v>극상</v>
      </c>
      <c r="G565" s="63" t="s">
        <v>40</v>
      </c>
      <c r="H565" s="63" t="s">
        <v>41</v>
      </c>
      <c r="I565" s="34" t="s">
        <v>3558</v>
      </c>
      <c r="J565" s="33"/>
      <c r="K565" s="35"/>
      <c r="L565" s="33"/>
      <c r="M565" s="36"/>
      <c r="N565" s="33"/>
      <c r="O565" s="36"/>
      <c r="P565" s="33"/>
      <c r="Q565" s="37"/>
      <c r="R565" s="38"/>
      <c r="S565" s="33"/>
      <c r="T565" s="38"/>
      <c r="U565" s="33"/>
      <c r="V565" s="39"/>
      <c r="W565" s="90" t="b">
        <v>0</v>
      </c>
      <c r="X565" s="90" t="b">
        <v>0</v>
      </c>
      <c r="Y565" s="90" t="b">
        <v>0</v>
      </c>
      <c r="Z565" s="40" t="s">
        <v>3559</v>
      </c>
      <c r="AA565" s="41"/>
      <c r="AK565" s="16"/>
      <c r="AL565" s="16"/>
      <c r="AM565" s="16"/>
      <c r="AN565" s="16"/>
      <c r="AO565" s="16"/>
      <c r="AP565" s="16"/>
      <c r="AQ565" s="16"/>
      <c r="AR565" s="16"/>
      <c r="AS565" s="16"/>
    </row>
    <row r="566" spans="1:45" s="7" customFormat="1" ht="195" customHeight="1">
      <c r="A566" s="27">
        <f>[1]트램표준체크리스트!A564</f>
        <v>562</v>
      </c>
      <c r="B566" s="28" t="str">
        <f>[1]트램표준체크리스트!B564</f>
        <v>토질 및 기초</v>
      </c>
      <c r="C566" s="29" t="str">
        <f>[1]트램표준체크리스트!C564</f>
        <v>도심지 굴착 계측관리</v>
      </c>
      <c r="D566" s="30" t="str">
        <f>[1]트램표준체크리스트!F564</f>
        <v>스마트 자동계측 시스템 설계 누락으로 취약 시간대 돌발 지반 거동 및 흙막이 변형을 즉각 인지하지 못할 리스크를 검토하였는가?</v>
      </c>
      <c r="E566" s="31" t="s">
        <v>3560</v>
      </c>
      <c r="F566" s="32" t="str">
        <f t="shared" si="17"/>
        <v>극상</v>
      </c>
      <c r="G566" s="63" t="s">
        <v>40</v>
      </c>
      <c r="H566" s="63" t="s">
        <v>41</v>
      </c>
      <c r="I566" s="34" t="s">
        <v>3561</v>
      </c>
      <c r="J566" s="33"/>
      <c r="K566" s="35"/>
      <c r="L566" s="33"/>
      <c r="M566" s="36"/>
      <c r="N566" s="33"/>
      <c r="O566" s="36"/>
      <c r="P566" s="33"/>
      <c r="Q566" s="37"/>
      <c r="R566" s="38"/>
      <c r="S566" s="33"/>
      <c r="T566" s="38"/>
      <c r="U566" s="33"/>
      <c r="V566" s="39"/>
      <c r="W566" s="90" t="b">
        <v>0</v>
      </c>
      <c r="X566" s="90" t="b">
        <v>0</v>
      </c>
      <c r="Y566" s="90" t="b">
        <v>0</v>
      </c>
      <c r="Z566" s="40" t="s">
        <v>3562</v>
      </c>
      <c r="AA566" s="41"/>
      <c r="AK566" s="16"/>
      <c r="AL566" s="16"/>
      <c r="AM566" s="16"/>
      <c r="AN566" s="16"/>
      <c r="AO566" s="16"/>
      <c r="AP566" s="16"/>
      <c r="AQ566" s="16"/>
      <c r="AR566" s="16"/>
      <c r="AS566" s="16"/>
    </row>
    <row r="567" spans="1:45" s="7" customFormat="1" ht="195" customHeight="1">
      <c r="A567" s="27">
        <f>[1]트램표준체크리스트!A565</f>
        <v>563</v>
      </c>
      <c r="B567" s="28" t="str">
        <f>[1]트램표준체크리스트!B565</f>
        <v>토질 및 기초</v>
      </c>
      <c r="C567" s="29" t="str">
        <f>[1]트램표준체크리스트!C565</f>
        <v>도심지 굴착 배면 지반 함몰(Sinkhole) 방지 계획</v>
      </c>
      <c r="D567" s="30" t="str">
        <f>[1]트램표준체크리스트!F565</f>
        <v>굴착 심도 2배 영역의 지하공동 탐사(GPR) 및 보강 대책 누락으로 배면 지반 대규모 함몰(싱크홀)이 발생할 리스크를 검토하였는가?</v>
      </c>
      <c r="E567" s="31" t="s">
        <v>3563</v>
      </c>
      <c r="F567" s="32" t="str">
        <f t="shared" si="17"/>
        <v>극상</v>
      </c>
      <c r="G567" s="63" t="s">
        <v>40</v>
      </c>
      <c r="H567" s="63" t="s">
        <v>41</v>
      </c>
      <c r="I567" s="34" t="s">
        <v>3564</v>
      </c>
      <c r="J567" s="33"/>
      <c r="K567" s="35"/>
      <c r="L567" s="33"/>
      <c r="M567" s="36"/>
      <c r="N567" s="33"/>
      <c r="O567" s="36"/>
      <c r="P567" s="33"/>
      <c r="Q567" s="37"/>
      <c r="R567" s="38"/>
      <c r="S567" s="33"/>
      <c r="T567" s="38"/>
      <c r="U567" s="33"/>
      <c r="V567" s="39"/>
      <c r="W567" s="90" t="b">
        <v>0</v>
      </c>
      <c r="X567" s="90" t="b">
        <v>0</v>
      </c>
      <c r="Y567" s="90" t="b">
        <v>0</v>
      </c>
      <c r="Z567" s="40" t="s">
        <v>3565</v>
      </c>
      <c r="AA567" s="41"/>
      <c r="AK567" s="16"/>
      <c r="AL567" s="16"/>
      <c r="AM567" s="16"/>
      <c r="AN567" s="16"/>
      <c r="AO567" s="16"/>
      <c r="AP567" s="16"/>
      <c r="AQ567" s="16"/>
      <c r="AR567" s="16"/>
      <c r="AS567" s="16"/>
    </row>
    <row r="568" spans="1:45" s="7" customFormat="1" ht="195" customHeight="1">
      <c r="A568" s="27">
        <f>[1]트램표준체크리스트!A566</f>
        <v>564</v>
      </c>
      <c r="B568" s="28" t="str">
        <f>[1]트램표준체크리스트!B566</f>
        <v>토질 및 기초</v>
      </c>
      <c r="C568" s="29" t="str">
        <f>[1]트램표준체크리스트!C566</f>
        <v>도심지 토공사 장비 운영 계획</v>
      </c>
      <c r="D568" s="30" t="str">
        <f>[1]트램표준체크리스트!F566</f>
        <v>고소음·대형 장비의 일률적 단가 적용으로 현장 시공 시 민원 발생, 작업 중단 및 공사비가 증액될 리스크를 검토하였는가?</v>
      </c>
      <c r="E568" s="31" t="s">
        <v>3566</v>
      </c>
      <c r="F568" s="32" t="str">
        <f t="shared" si="17"/>
        <v>극상</v>
      </c>
      <c r="G568" s="63" t="s">
        <v>40</v>
      </c>
      <c r="H568" s="63" t="s">
        <v>41</v>
      </c>
      <c r="I568" s="34" t="s">
        <v>3567</v>
      </c>
      <c r="J568" s="33"/>
      <c r="K568" s="35"/>
      <c r="L568" s="33"/>
      <c r="M568" s="36"/>
      <c r="N568" s="33"/>
      <c r="O568" s="36"/>
      <c r="P568" s="33"/>
      <c r="Q568" s="37"/>
      <c r="R568" s="38"/>
      <c r="S568" s="33"/>
      <c r="T568" s="38"/>
      <c r="U568" s="33"/>
      <c r="V568" s="39"/>
      <c r="W568" s="90" t="b">
        <v>0</v>
      </c>
      <c r="X568" s="90" t="b">
        <v>0</v>
      </c>
      <c r="Y568" s="90" t="b">
        <v>0</v>
      </c>
      <c r="Z568" s="40" t="s">
        <v>3568</v>
      </c>
      <c r="AA568" s="41"/>
      <c r="AK568" s="16"/>
      <c r="AL568" s="16"/>
      <c r="AM568" s="16"/>
      <c r="AN568" s="16"/>
      <c r="AO568" s="16"/>
      <c r="AP568" s="16"/>
      <c r="AQ568" s="16"/>
      <c r="AR568" s="16"/>
      <c r="AS568" s="16"/>
    </row>
    <row r="569" spans="1:45" s="7" customFormat="1" ht="195" customHeight="1">
      <c r="A569" s="27">
        <f>[1]트램표준체크리스트!A567</f>
        <v>565</v>
      </c>
      <c r="B569" s="28" t="str">
        <f>[1]트램표준체크리스트!B567</f>
        <v>토질 및 기초</v>
      </c>
      <c r="C569" s="29" t="str">
        <f>[1]트램표준체크리스트!C567</f>
        <v>매립형 궤도 기초(노반) 지지력 확보 계획</v>
      </c>
      <c r="D569" s="30" t="str">
        <f>[1]트램표준체크리스트!F567</f>
        <v>하부 노반 지지력 기준(Ev2 등) 및 평판재하시험 누락으로, 개통 후 노반 침하에 따른 도상 균열 및 궤도 파손 리스크를 검토하였는가?</v>
      </c>
      <c r="E569" s="31" t="s">
        <v>3569</v>
      </c>
      <c r="F569" s="32" t="str">
        <f t="shared" si="17"/>
        <v>극상</v>
      </c>
      <c r="G569" s="63" t="s">
        <v>40</v>
      </c>
      <c r="H569" s="63" t="s">
        <v>41</v>
      </c>
      <c r="I569" s="34" t="s">
        <v>3570</v>
      </c>
      <c r="J569" s="33"/>
      <c r="K569" s="35"/>
      <c r="L569" s="33"/>
      <c r="M569" s="36"/>
      <c r="N569" s="33"/>
      <c r="O569" s="36"/>
      <c r="P569" s="33"/>
      <c r="Q569" s="37"/>
      <c r="R569" s="38"/>
      <c r="S569" s="33"/>
      <c r="T569" s="38"/>
      <c r="U569" s="33"/>
      <c r="V569" s="39"/>
      <c r="W569" s="90" t="b">
        <v>0</v>
      </c>
      <c r="X569" s="90" t="b">
        <v>0</v>
      </c>
      <c r="Y569" s="90" t="b">
        <v>0</v>
      </c>
      <c r="Z569" s="40" t="s">
        <v>3571</v>
      </c>
      <c r="AA569" s="41"/>
      <c r="AK569" s="16"/>
      <c r="AL569" s="16"/>
      <c r="AM569" s="16"/>
      <c r="AN569" s="16"/>
      <c r="AO569" s="16"/>
      <c r="AP569" s="16"/>
      <c r="AQ569" s="16"/>
      <c r="AR569" s="16"/>
      <c r="AS569" s="16"/>
    </row>
    <row r="570" spans="1:45" s="7" customFormat="1" ht="195" customHeight="1">
      <c r="A570" s="27">
        <f>[1]트램표준체크리스트!A568</f>
        <v>566</v>
      </c>
      <c r="B570" s="28" t="str">
        <f>[1]트램표준체크리스트!B568</f>
        <v>토질 및 기초</v>
      </c>
      <c r="C570" s="29" t="str">
        <f>[1]트램표준체크리스트!C568</f>
        <v>변전소 기초 지지력 검증</v>
      </c>
      <c r="D570" s="30" t="str">
        <f>[1]트램표준체크리스트!F568</f>
        <v>대형 장비 활하중 및 피트용 무근 콘크리트 사하중 과소평가로, 장비 셋팅 시 기초 슬래브 균열 및 부등침하가 발생할 리스크를 검토하였는가?</v>
      </c>
      <c r="E570" s="31" t="s">
        <v>3572</v>
      </c>
      <c r="F570" s="32" t="str">
        <f t="shared" si="17"/>
        <v>극상</v>
      </c>
      <c r="G570" s="63" t="s">
        <v>40</v>
      </c>
      <c r="H570" s="63" t="s">
        <v>41</v>
      </c>
      <c r="I570" s="34" t="s">
        <v>3573</v>
      </c>
      <c r="J570" s="33"/>
      <c r="K570" s="35"/>
      <c r="L570" s="33"/>
      <c r="M570" s="36"/>
      <c r="N570" s="33"/>
      <c r="O570" s="36"/>
      <c r="P570" s="33"/>
      <c r="Q570" s="37"/>
      <c r="R570" s="38"/>
      <c r="S570" s="33"/>
      <c r="T570" s="38"/>
      <c r="U570" s="33"/>
      <c r="V570" s="39"/>
      <c r="W570" s="90" t="b">
        <v>0</v>
      </c>
      <c r="X570" s="90" t="b">
        <v>0</v>
      </c>
      <c r="Y570" s="90" t="b">
        <v>0</v>
      </c>
      <c r="Z570" s="40" t="s">
        <v>3574</v>
      </c>
      <c r="AA570" s="41"/>
      <c r="AK570" s="16"/>
      <c r="AL570" s="16"/>
      <c r="AM570" s="16"/>
      <c r="AN570" s="16"/>
      <c r="AO570" s="16"/>
      <c r="AP570" s="16"/>
      <c r="AQ570" s="16"/>
      <c r="AR570" s="16"/>
      <c r="AS570" s="16"/>
    </row>
    <row r="571" spans="1:45" s="7" customFormat="1" ht="195" customHeight="1">
      <c r="A571" s="27">
        <f>[1]트램표준체크리스트!A569</f>
        <v>567</v>
      </c>
      <c r="B571" s="28" t="str">
        <f>[1]트램표준체크리스트!B569</f>
        <v>토질 및 기초</v>
      </c>
      <c r="C571" s="29" t="str">
        <f>[1]트램표준체크리스트!C569</f>
        <v>비탈면 보강 및 유지관리</v>
      </c>
      <c r="D571" s="30" t="str">
        <f>[1]트램표준체크리스트!F569</f>
        <v>지질 불연속면(단층, 절리) 해석 및 안전율 확보 보강설계 누락으로 우기 시 대규모 비탈면 붕괴 리스크를 검토하였는가?</v>
      </c>
      <c r="E571" s="31" t="s">
        <v>3575</v>
      </c>
      <c r="F571" s="32" t="str">
        <f t="shared" si="17"/>
        <v>극상</v>
      </c>
      <c r="G571" s="63" t="s">
        <v>40</v>
      </c>
      <c r="H571" s="63" t="s">
        <v>41</v>
      </c>
      <c r="I571" s="34" t="s">
        <v>3576</v>
      </c>
      <c r="J571" s="33"/>
      <c r="K571" s="35"/>
      <c r="L571" s="33"/>
      <c r="M571" s="36"/>
      <c r="N571" s="33"/>
      <c r="O571" s="36"/>
      <c r="P571" s="33"/>
      <c r="Q571" s="37"/>
      <c r="R571" s="38"/>
      <c r="S571" s="33"/>
      <c r="T571" s="38"/>
      <c r="U571" s="33"/>
      <c r="V571" s="39"/>
      <c r="W571" s="90" t="b">
        <v>0</v>
      </c>
      <c r="X571" s="90" t="b">
        <v>0</v>
      </c>
      <c r="Y571" s="90" t="b">
        <v>0</v>
      </c>
      <c r="Z571" s="40" t="s">
        <v>3577</v>
      </c>
      <c r="AA571" s="41"/>
      <c r="AK571" s="16"/>
      <c r="AL571" s="16"/>
      <c r="AM571" s="16"/>
      <c r="AN571" s="16"/>
      <c r="AO571" s="16"/>
      <c r="AP571" s="16"/>
      <c r="AQ571" s="16"/>
      <c r="AR571" s="16"/>
      <c r="AS571" s="16"/>
    </row>
    <row r="572" spans="1:45" s="7" customFormat="1" ht="195" customHeight="1">
      <c r="A572" s="27">
        <f>[1]트램표준체크리스트!A570</f>
        <v>568</v>
      </c>
      <c r="B572" s="28" t="str">
        <f>[1]트램표준체크리스트!B570</f>
        <v>토질 및 기초</v>
      </c>
      <c r="C572" s="29" t="str">
        <f>[1]트램표준체크리스트!C570</f>
        <v>비탈면 유지관리 및 안정성 확보 계획</v>
      </c>
      <c r="D572" s="30" t="str">
        <f>[1]트램표준체크리스트!F570</f>
        <v>비탈면 유지관리 계측 및 식생 복원 설계 누락으로 우기 시 사면 세굴·붕괴에 의한 토사 유입 리스크를 검토하였는가?</v>
      </c>
      <c r="E572" s="31" t="s">
        <v>3578</v>
      </c>
      <c r="F572" s="32" t="str">
        <f t="shared" si="17"/>
        <v>극상</v>
      </c>
      <c r="G572" s="63" t="s">
        <v>40</v>
      </c>
      <c r="H572" s="63" t="s">
        <v>41</v>
      </c>
      <c r="I572" s="34" t="s">
        <v>3579</v>
      </c>
      <c r="J572" s="33"/>
      <c r="K572" s="35"/>
      <c r="L572" s="33"/>
      <c r="M572" s="36"/>
      <c r="N572" s="33"/>
      <c r="O572" s="36"/>
      <c r="P572" s="33"/>
      <c r="Q572" s="37"/>
      <c r="R572" s="38"/>
      <c r="S572" s="33"/>
      <c r="T572" s="38"/>
      <c r="U572" s="33"/>
      <c r="V572" s="39"/>
      <c r="W572" s="90" t="b">
        <v>0</v>
      </c>
      <c r="X572" s="90" t="b">
        <v>0</v>
      </c>
      <c r="Y572" s="90" t="b">
        <v>0</v>
      </c>
      <c r="Z572" s="40" t="s">
        <v>3580</v>
      </c>
      <c r="AA572" s="41"/>
      <c r="AK572" s="16"/>
      <c r="AL572" s="16"/>
      <c r="AM572" s="16"/>
      <c r="AN572" s="16"/>
      <c r="AO572" s="16"/>
      <c r="AP572" s="16"/>
      <c r="AQ572" s="16"/>
      <c r="AR572" s="16"/>
      <c r="AS572" s="16"/>
    </row>
    <row r="573" spans="1:45" s="7" customFormat="1" ht="195" customHeight="1">
      <c r="A573" s="27">
        <f>[1]트램표준체크리스트!A571</f>
        <v>569</v>
      </c>
      <c r="B573" s="28" t="str">
        <f>[1]트램표준체크리스트!B571</f>
        <v>토질 및 기초</v>
      </c>
      <c r="C573" s="29" t="str">
        <f>[1]트램표준체크리스트!C571</f>
        <v>비탈면 유지관리 시설 계획</v>
      </c>
      <c r="D573" s="30" t="str">
        <f>[1]트램표준체크리스트!F571</f>
        <v>유지관리 접근 통로 및 산마루 측구 설계 누락으로, 준공 후 보수 불가 및 우수 유입 사면 유실 리스크를 검토하였는가?</v>
      </c>
      <c r="E573" s="31" t="s">
        <v>3581</v>
      </c>
      <c r="F573" s="32" t="str">
        <f t="shared" si="17"/>
        <v>극상</v>
      </c>
      <c r="G573" s="63" t="s">
        <v>40</v>
      </c>
      <c r="H573" s="63" t="s">
        <v>41</v>
      </c>
      <c r="I573" s="34" t="s">
        <v>3582</v>
      </c>
      <c r="J573" s="33"/>
      <c r="K573" s="35"/>
      <c r="L573" s="33"/>
      <c r="M573" s="36"/>
      <c r="N573" s="33"/>
      <c r="O573" s="36"/>
      <c r="P573" s="33"/>
      <c r="Q573" s="37"/>
      <c r="R573" s="38"/>
      <c r="S573" s="33"/>
      <c r="T573" s="38"/>
      <c r="U573" s="33"/>
      <c r="V573" s="39"/>
      <c r="W573" s="90" t="b">
        <v>0</v>
      </c>
      <c r="X573" s="90" t="b">
        <v>0</v>
      </c>
      <c r="Y573" s="90" t="b">
        <v>0</v>
      </c>
      <c r="Z573" s="40" t="s">
        <v>3583</v>
      </c>
      <c r="AA573" s="41"/>
      <c r="AK573" s="16"/>
      <c r="AL573" s="16"/>
      <c r="AM573" s="16"/>
      <c r="AN573" s="16"/>
      <c r="AO573" s="16"/>
      <c r="AP573" s="16"/>
      <c r="AQ573" s="16"/>
      <c r="AR573" s="16"/>
      <c r="AS573" s="16"/>
    </row>
    <row r="574" spans="1:45" s="7" customFormat="1" ht="195" customHeight="1">
      <c r="A574" s="27">
        <f>[1]트램표준체크리스트!A572</f>
        <v>570</v>
      </c>
      <c r="B574" s="28" t="str">
        <f>[1]트램표준체크리스트!B572</f>
        <v>토질 및 기초</v>
      </c>
      <c r="C574" s="29" t="str">
        <f>[1]트램표준체크리스트!C572</f>
        <v>비탈면 친환경 보호 및 복원</v>
      </c>
      <c r="D574" s="30" t="str">
        <f>[1]트램표준체크리스트!F572</f>
        <v>표면 보호 및 친환경 복원(식생) 설계 누락으로 호우 시 토사 유출 및 표층 슬라이딩 파괴가 발생할 리스크를 검토하였는가?</v>
      </c>
      <c r="E574" s="31" t="s">
        <v>3584</v>
      </c>
      <c r="F574" s="32" t="str">
        <f t="shared" si="17"/>
        <v>극상</v>
      </c>
      <c r="G574" s="63" t="s">
        <v>40</v>
      </c>
      <c r="H574" s="63" t="s">
        <v>41</v>
      </c>
      <c r="I574" s="34" t="s">
        <v>3585</v>
      </c>
      <c r="J574" s="33"/>
      <c r="K574" s="35"/>
      <c r="L574" s="33"/>
      <c r="M574" s="36"/>
      <c r="N574" s="33"/>
      <c r="O574" s="36"/>
      <c r="P574" s="33"/>
      <c r="Q574" s="37"/>
      <c r="R574" s="38"/>
      <c r="S574" s="33"/>
      <c r="T574" s="38"/>
      <c r="U574" s="33"/>
      <c r="V574" s="39"/>
      <c r="W574" s="90" t="b">
        <v>0</v>
      </c>
      <c r="X574" s="90" t="b">
        <v>0</v>
      </c>
      <c r="Y574" s="90" t="b">
        <v>0</v>
      </c>
      <c r="Z574" s="40" t="s">
        <v>3586</v>
      </c>
      <c r="AA574" s="41"/>
      <c r="AK574" s="16"/>
      <c r="AL574" s="16"/>
      <c r="AM574" s="16"/>
      <c r="AN574" s="16"/>
      <c r="AO574" s="16"/>
      <c r="AP574" s="16"/>
      <c r="AQ574" s="16"/>
      <c r="AR574" s="16"/>
      <c r="AS574" s="16"/>
    </row>
    <row r="575" spans="1:45" s="7" customFormat="1" ht="195" customHeight="1">
      <c r="A575" s="27">
        <f>[1]트램표준체크리스트!A573</f>
        <v>571</v>
      </c>
      <c r="B575" s="28" t="str">
        <f>[1]트램표준체크리스트!B573</f>
        <v>토질 및 기초</v>
      </c>
      <c r="C575" s="29" t="str">
        <f>[1]트램표준체크리스트!C573</f>
        <v>사유지 인접구간 지반 보강</v>
      </c>
      <c r="D575" s="30" t="str">
        <f>[1]트램표준체크리스트!F573</f>
        <v>지반 보강 및 계측 누락으로 추후 사유지 굴착 시 노반 침하 및 운행 중단이 발생할 리스크를 검토하였는가?</v>
      </c>
      <c r="E575" s="31" t="s">
        <v>3587</v>
      </c>
      <c r="F575" s="32" t="str">
        <f t="shared" si="17"/>
        <v>극상</v>
      </c>
      <c r="G575" s="63" t="s">
        <v>40</v>
      </c>
      <c r="H575" s="63" t="s">
        <v>41</v>
      </c>
      <c r="I575" s="34" t="s">
        <v>3588</v>
      </c>
      <c r="J575" s="33"/>
      <c r="K575" s="35"/>
      <c r="L575" s="33"/>
      <c r="M575" s="36"/>
      <c r="N575" s="33"/>
      <c r="O575" s="36"/>
      <c r="P575" s="33"/>
      <c r="Q575" s="37"/>
      <c r="R575" s="38"/>
      <c r="S575" s="33"/>
      <c r="T575" s="38"/>
      <c r="U575" s="33"/>
      <c r="V575" s="39"/>
      <c r="W575" s="90" t="b">
        <v>0</v>
      </c>
      <c r="X575" s="90" t="b">
        <v>0</v>
      </c>
      <c r="Y575" s="90" t="b">
        <v>0</v>
      </c>
      <c r="Z575" s="40" t="s">
        <v>3589</v>
      </c>
      <c r="AA575" s="41"/>
      <c r="AK575" s="16"/>
      <c r="AL575" s="16"/>
      <c r="AM575" s="16"/>
      <c r="AN575" s="16"/>
      <c r="AO575" s="16"/>
      <c r="AP575" s="16"/>
      <c r="AQ575" s="16"/>
      <c r="AR575" s="16"/>
      <c r="AS575" s="16"/>
    </row>
    <row r="576" spans="1:45" s="7" customFormat="1" ht="195" customHeight="1">
      <c r="A576" s="27">
        <f>[1]트램표준체크리스트!A574</f>
        <v>572</v>
      </c>
      <c r="B576" s="28" t="str">
        <f>[1]트램표준체크리스트!B574</f>
        <v>토질 및 기초</v>
      </c>
      <c r="C576" s="29" t="str">
        <f>[1]트램표준체크리스트!C574</f>
        <v>사질토 및 하천 인접부 액상화 방지 계획</v>
      </c>
      <c r="D576" s="30" t="str">
        <f>[1]트램표준체크리스트!F574</f>
        <v>사질토 지반 액상화 잠재능 평가 누락으로, 지진 시 궤도 기초가 액상화되어 구조물이 전도·부상할 리스크를 검토하였는가?</v>
      </c>
      <c r="E576" s="31" t="s">
        <v>3590</v>
      </c>
      <c r="F576" s="32" t="str">
        <f t="shared" si="17"/>
        <v>극상</v>
      </c>
      <c r="G576" s="63" t="s">
        <v>40</v>
      </c>
      <c r="H576" s="63" t="s">
        <v>41</v>
      </c>
      <c r="I576" s="34" t="s">
        <v>3591</v>
      </c>
      <c r="J576" s="33"/>
      <c r="K576" s="35"/>
      <c r="L576" s="33"/>
      <c r="M576" s="36"/>
      <c r="N576" s="33"/>
      <c r="O576" s="36"/>
      <c r="P576" s="33"/>
      <c r="Q576" s="37"/>
      <c r="R576" s="38"/>
      <c r="S576" s="33"/>
      <c r="T576" s="38"/>
      <c r="U576" s="33"/>
      <c r="V576" s="39"/>
      <c r="W576" s="90" t="b">
        <v>0</v>
      </c>
      <c r="X576" s="90" t="b">
        <v>0</v>
      </c>
      <c r="Y576" s="90" t="b">
        <v>0</v>
      </c>
      <c r="Z576" s="40" t="s">
        <v>3592</v>
      </c>
      <c r="AA576" s="41"/>
      <c r="AK576" s="16"/>
      <c r="AL576" s="16"/>
      <c r="AM576" s="16"/>
      <c r="AN576" s="16"/>
      <c r="AO576" s="16"/>
      <c r="AP576" s="16"/>
      <c r="AQ576" s="16"/>
      <c r="AR576" s="16"/>
      <c r="AS576" s="16"/>
    </row>
    <row r="577" spans="1:45" s="7" customFormat="1" ht="195" customHeight="1">
      <c r="A577" s="27">
        <f>[1]트램표준체크리스트!A575</f>
        <v>573</v>
      </c>
      <c r="B577" s="28" t="str">
        <f>[1]트램표준체크리스트!B575</f>
        <v>토질 및 기초</v>
      </c>
      <c r="C577" s="29" t="str">
        <f>[1]트램표준체크리스트!C575</f>
        <v>사토 및 토취장 환경/민원 관리 계획</v>
      </c>
      <c r="D577" s="30" t="str">
        <f>[1]트램표준체크리스트!F575</f>
        <v>토공 유용계획(Mass Curve) 오류 및 사토장 부지 확보 누락으로 토사 적기 처리가 불가해 공정이 지연될 리스크를 검토하였는가?</v>
      </c>
      <c r="E577" s="31" t="s">
        <v>3593</v>
      </c>
      <c r="F577" s="32" t="str">
        <f t="shared" si="17"/>
        <v>극상</v>
      </c>
      <c r="G577" s="63" t="s">
        <v>40</v>
      </c>
      <c r="H577" s="63" t="s">
        <v>41</v>
      </c>
      <c r="I577" s="34" t="s">
        <v>3594</v>
      </c>
      <c r="J577" s="33"/>
      <c r="K577" s="35"/>
      <c r="L577" s="33"/>
      <c r="M577" s="36"/>
      <c r="N577" s="33"/>
      <c r="O577" s="36"/>
      <c r="P577" s="33"/>
      <c r="Q577" s="37"/>
      <c r="R577" s="38"/>
      <c r="S577" s="33"/>
      <c r="T577" s="38"/>
      <c r="U577" s="33"/>
      <c r="V577" s="39"/>
      <c r="W577" s="90" t="b">
        <v>0</v>
      </c>
      <c r="X577" s="90" t="b">
        <v>0</v>
      </c>
      <c r="Y577" s="90" t="b">
        <v>0</v>
      </c>
      <c r="Z577" s="40" t="s">
        <v>3595</v>
      </c>
      <c r="AA577" s="41"/>
      <c r="AK577" s="16"/>
      <c r="AL577" s="16"/>
      <c r="AM577" s="16"/>
      <c r="AN577" s="16"/>
      <c r="AO577" s="16"/>
      <c r="AP577" s="16"/>
      <c r="AQ577" s="16"/>
      <c r="AR577" s="16"/>
      <c r="AS577" s="16"/>
    </row>
    <row r="578" spans="1:45" s="7" customFormat="1" ht="195" customHeight="1">
      <c r="A578" s="27">
        <f>[1]트램표준체크리스트!A576</f>
        <v>574</v>
      </c>
      <c r="B578" s="28" t="str">
        <f>[1]트램표준체크리스트!B576</f>
        <v>토질 및 기초</v>
      </c>
      <c r="C578" s="29" t="str">
        <f>[1]트램표준체크리스트!C576</f>
        <v>쌓기 비탈면 극한조건 안정성 평가 계획</v>
      </c>
      <c r="D578" s="30" t="str">
        <f>[1]트램표준체크리스트!F576</f>
        <v>우기 및 지진 등 불리한 극한 조건의 사면 안정해석 누락으로 실제 안전율이 기준치(1.5)에 미달할 리스크를 검토하였는가?</v>
      </c>
      <c r="E578" s="31" t="s">
        <v>3596</v>
      </c>
      <c r="F578" s="32" t="str">
        <f t="shared" si="17"/>
        <v>극상</v>
      </c>
      <c r="G578" s="63" t="s">
        <v>40</v>
      </c>
      <c r="H578" s="63" t="s">
        <v>41</v>
      </c>
      <c r="I578" s="34" t="s">
        <v>3597</v>
      </c>
      <c r="J578" s="33"/>
      <c r="K578" s="35"/>
      <c r="L578" s="33"/>
      <c r="M578" s="36"/>
      <c r="N578" s="33"/>
      <c r="O578" s="36"/>
      <c r="P578" s="33"/>
      <c r="Q578" s="37"/>
      <c r="R578" s="38"/>
      <c r="S578" s="33"/>
      <c r="T578" s="38"/>
      <c r="U578" s="33"/>
      <c r="V578" s="39"/>
      <c r="W578" s="90" t="b">
        <v>0</v>
      </c>
      <c r="X578" s="90" t="b">
        <v>0</v>
      </c>
      <c r="Y578" s="90" t="b">
        <v>0</v>
      </c>
      <c r="Z578" s="40" t="s">
        <v>3598</v>
      </c>
      <c r="AA578" s="41"/>
      <c r="AK578" s="16"/>
      <c r="AL578" s="16"/>
      <c r="AM578" s="16"/>
      <c r="AN578" s="16"/>
      <c r="AO578" s="16"/>
      <c r="AP578" s="16"/>
      <c r="AQ578" s="16"/>
      <c r="AR578" s="16"/>
      <c r="AS578" s="16"/>
    </row>
    <row r="579" spans="1:45" s="7" customFormat="1" ht="195" customHeight="1">
      <c r="A579" s="27">
        <f>[1]트램표준체크리스트!A577</f>
        <v>575</v>
      </c>
      <c r="B579" s="28" t="str">
        <f>[1]트램표준체크리스트!B577</f>
        <v>토질 및 기초</v>
      </c>
      <c r="C579" s="29" t="str">
        <f>[1]트램표준체크리스트!C577</f>
        <v>얕은기초(직접기초) 계획</v>
      </c>
      <c r="D579" s="30" t="str">
        <f>[1]트램표준체크리스트!F577</f>
        <v>동상 방지용 최소 근입심도(1.0m 이상) 설계 누락으로 겨울철 지반 동결 시 기초 융기 및 부등침하가 발생할 리스크를 검토하였는가?</v>
      </c>
      <c r="E579" s="31" t="s">
        <v>3599</v>
      </c>
      <c r="F579" s="32" t="str">
        <f t="shared" si="17"/>
        <v>극상</v>
      </c>
      <c r="G579" s="63" t="s">
        <v>40</v>
      </c>
      <c r="H579" s="63" t="s">
        <v>41</v>
      </c>
      <c r="I579" s="34" t="s">
        <v>3600</v>
      </c>
      <c r="J579" s="33"/>
      <c r="K579" s="35"/>
      <c r="L579" s="33"/>
      <c r="M579" s="36"/>
      <c r="N579" s="33"/>
      <c r="O579" s="36"/>
      <c r="P579" s="33"/>
      <c r="Q579" s="37"/>
      <c r="R579" s="38"/>
      <c r="S579" s="33"/>
      <c r="T579" s="38"/>
      <c r="U579" s="33"/>
      <c r="V579" s="39"/>
      <c r="W579" s="90" t="b">
        <v>0</v>
      </c>
      <c r="X579" s="90" t="b">
        <v>0</v>
      </c>
      <c r="Y579" s="90" t="b">
        <v>0</v>
      </c>
      <c r="Z579" s="40" t="s">
        <v>3601</v>
      </c>
      <c r="AA579" s="41"/>
      <c r="AK579" s="16"/>
      <c r="AL579" s="16"/>
      <c r="AM579" s="16"/>
      <c r="AN579" s="16"/>
      <c r="AO579" s="16"/>
      <c r="AP579" s="16"/>
      <c r="AQ579" s="16"/>
      <c r="AR579" s="16"/>
      <c r="AS579" s="16"/>
    </row>
    <row r="580" spans="1:45" s="7" customFormat="1" ht="195" customHeight="1">
      <c r="A580" s="27">
        <f>[1]트램표준체크리스트!A578</f>
        <v>576</v>
      </c>
      <c r="B580" s="28" t="str">
        <f>[1]트램표준체크리스트!B578</f>
        <v>토질 및 기초</v>
      </c>
      <c r="C580" s="29" t="str">
        <f>[1]트램표준체크리스트!C578</f>
        <v>연약지반 개량 품질관리 계획</v>
      </c>
      <c r="D580" s="30" t="str">
        <f>[1]트램표준체크리스트!F578</f>
        <v>개량 전후 강도(N치 등) 변화 확인용 원위치 시험 계획 누락으로 개량 효과 객관적 입증이 불가할 리스크를 검토하였는가?</v>
      </c>
      <c r="E580" s="31" t="s">
        <v>3602</v>
      </c>
      <c r="F580" s="32" t="str">
        <f t="shared" si="17"/>
        <v>극상</v>
      </c>
      <c r="G580" s="63" t="s">
        <v>40</v>
      </c>
      <c r="H580" s="63" t="s">
        <v>41</v>
      </c>
      <c r="I580" s="34" t="s">
        <v>3603</v>
      </c>
      <c r="J580" s="33"/>
      <c r="K580" s="35"/>
      <c r="L580" s="33"/>
      <c r="M580" s="36"/>
      <c r="N580" s="33"/>
      <c r="O580" s="36"/>
      <c r="P580" s="33"/>
      <c r="Q580" s="37"/>
      <c r="R580" s="38"/>
      <c r="S580" s="33"/>
      <c r="T580" s="38"/>
      <c r="U580" s="33"/>
      <c r="V580" s="39"/>
      <c r="W580" s="90" t="b">
        <v>0</v>
      </c>
      <c r="X580" s="90" t="b">
        <v>0</v>
      </c>
      <c r="Y580" s="90" t="b">
        <v>0</v>
      </c>
      <c r="Z580" s="40" t="s">
        <v>3604</v>
      </c>
      <c r="AA580" s="41"/>
      <c r="AK580" s="16"/>
      <c r="AL580" s="16"/>
      <c r="AM580" s="16"/>
      <c r="AN580" s="16"/>
      <c r="AO580" s="16"/>
      <c r="AP580" s="16"/>
      <c r="AQ580" s="16"/>
      <c r="AR580" s="16"/>
      <c r="AS580" s="16"/>
    </row>
    <row r="581" spans="1:45" s="7" customFormat="1" ht="195" customHeight="1">
      <c r="A581" s="27">
        <f>[1]트램표준체크리스트!A579</f>
        <v>577</v>
      </c>
      <c r="B581" s="28" t="str">
        <f>[1]트램표준체크리스트!B579</f>
        <v>토질 및 기초</v>
      </c>
      <c r="C581" s="29" t="str">
        <f>[1]트램표준체크리스트!C579</f>
        <v>연약지반 개량품질 확인</v>
      </c>
      <c r="D581" s="30" t="str">
        <f>[1]트램표준체크리스트!F579</f>
        <v>품질 목표(N치 등) 및 검증 시험 설계 누락으로, 부실 개량된 연약지반에 궤도 하부구조물이 시공될 리스크를 검토하였는가?</v>
      </c>
      <c r="E581" s="31" t="s">
        <v>3605</v>
      </c>
      <c r="F581" s="32" t="str">
        <f t="shared" si="17"/>
        <v>극상</v>
      </c>
      <c r="G581" s="63" t="s">
        <v>40</v>
      </c>
      <c r="H581" s="63" t="s">
        <v>41</v>
      </c>
      <c r="I581" s="34" t="s">
        <v>3606</v>
      </c>
      <c r="J581" s="33"/>
      <c r="K581" s="35"/>
      <c r="L581" s="33"/>
      <c r="M581" s="36"/>
      <c r="N581" s="33"/>
      <c r="O581" s="36"/>
      <c r="P581" s="33"/>
      <c r="Q581" s="37"/>
      <c r="R581" s="38"/>
      <c r="S581" s="33"/>
      <c r="T581" s="38"/>
      <c r="U581" s="33"/>
      <c r="V581" s="39"/>
      <c r="W581" s="90" t="b">
        <v>0</v>
      </c>
      <c r="X581" s="90" t="b">
        <v>0</v>
      </c>
      <c r="Y581" s="90" t="b">
        <v>0</v>
      </c>
      <c r="Z581" s="40" t="s">
        <v>3607</v>
      </c>
      <c r="AA581" s="41"/>
      <c r="AK581" s="16"/>
      <c r="AL581" s="16"/>
      <c r="AM581" s="16"/>
      <c r="AN581" s="16"/>
      <c r="AO581" s="16"/>
      <c r="AP581" s="16"/>
      <c r="AQ581" s="16"/>
      <c r="AR581" s="16"/>
      <c r="AS581" s="16"/>
    </row>
    <row r="582" spans="1:45" s="7" customFormat="1" ht="195" customHeight="1">
      <c r="A582" s="27">
        <f>[1]트램표준체크리스트!A580</f>
        <v>578</v>
      </c>
      <c r="B582" s="28" t="str">
        <f>[1]트램표준체크리스트!B580</f>
        <v>토질 및 기초</v>
      </c>
      <c r="C582" s="29" t="str">
        <f>[1]트램표준체크리스트!C580</f>
        <v>연약지반 미개량 구간 관리계획</v>
      </c>
      <c r="D582" s="30" t="str">
        <f>[1]트램표준체크리스트!F580</f>
        <v>미개량 구간의 자연 압밀소요기간 산정 및 공정표 상 방치기간 누락으로, 미압밀 상태에서 후속 궤도 공사가 강행될 리스크를 검토하였는가?</v>
      </c>
      <c r="E582" s="31" t="s">
        <v>3608</v>
      </c>
      <c r="F582" s="32" t="str">
        <f>_xlfn.LET(
    _xlpm.v_발생, IF(ISNUMBER(SEARCH("빈번", G582)), "상",
               IF(ISNUMBER(SEARCH("거의", G582)), "하", "중")),
    _xlpm.v_영향, IF(ISNUMBER(SEARCH("1개월", H582)), "상",
               IF(ISNUMBER(SEARCH("없음", H582)), "하", "중")),
    IF(AND(_xlpm.v_발생="상", _xlpm.v_영향="상"), "극상",
    IF(OR(_xlpm.v_발생="상", _xlpm.v_영향="상"), "상",
    IF(AND(_xlpm.v_발생="하", _xlpm.v_영향="하"), "하",
    "중")))
)</f>
        <v>극상</v>
      </c>
      <c r="G582" s="63" t="s">
        <v>40</v>
      </c>
      <c r="H582" s="63" t="s">
        <v>41</v>
      </c>
      <c r="I582" s="34" t="s">
        <v>3609</v>
      </c>
      <c r="J582" s="33"/>
      <c r="K582" s="35"/>
      <c r="L582" s="33"/>
      <c r="M582" s="36"/>
      <c r="N582" s="33"/>
      <c r="O582" s="36"/>
      <c r="P582" s="33"/>
      <c r="Q582" s="37"/>
      <c r="R582" s="38"/>
      <c r="S582" s="33"/>
      <c r="T582" s="38"/>
      <c r="U582" s="33"/>
      <c r="V582" s="39"/>
      <c r="W582" s="90" t="b">
        <v>0</v>
      </c>
      <c r="X582" s="90" t="b">
        <v>0</v>
      </c>
      <c r="Y582" s="90" t="b">
        <v>0</v>
      </c>
      <c r="Z582" s="40" t="s">
        <v>3610</v>
      </c>
      <c r="AA582" s="41"/>
      <c r="AK582" s="16"/>
      <c r="AL582" s="16"/>
      <c r="AM582" s="16"/>
      <c r="AN582" s="16"/>
      <c r="AO582" s="16"/>
      <c r="AP582" s="16"/>
      <c r="AQ582" s="16"/>
      <c r="AR582" s="16"/>
      <c r="AS582" s="16"/>
    </row>
    <row r="583" spans="1:45" s="7" customFormat="1" ht="195" customHeight="1">
      <c r="A583" s="27">
        <f>[1]트램표준체크리스트!A581</f>
        <v>579</v>
      </c>
      <c r="B583" s="28" t="str">
        <f>[1]트램표준체크리스트!B581</f>
        <v>토질 및 기초</v>
      </c>
      <c r="C583" s="29" t="str">
        <f>[1]트램표준체크리스트!C581</f>
        <v>연약지반 설계 및 시공</v>
      </c>
      <c r="D583" s="30" t="str">
        <f>[1]트램표준체크리스트!F581</f>
        <v>물리적 시험 및 토질정수 산정 누락으로 트램 운영 중 노반 부등침하에 따른 궤도 틀림이 발생할 리스크를 검토하였는가?</v>
      </c>
      <c r="E583" s="31" t="s">
        <v>3611</v>
      </c>
      <c r="F583" s="32" t="str">
        <f t="shared" ref="F583:F614" si="18">_xlfn.LET(
_xlpm.v_발생, IF(ISNUMBER(SEARCH("빈번", G583)), "상",
IF(ISNUMBER(SEARCH("거의", G583)), "하", "중")),
_xlpm.v_영향, IF(ISNUMBER(SEARCH("1개월", H583)), "상",
IF(ISNUMBER(SEARCH("없음", H583)), "하", "중")),
IF(AND(_xlpm.v_발생="상", _xlpm.v_영향="상"), "극상",
IF(OR(_xlpm.v_발생="상", _xlpm.v_영향="상"), "상",
IF(AND(_xlpm.v_발생="하", _xlpm.v_영향="하"), "하",
"중")))
)</f>
        <v>극상</v>
      </c>
      <c r="G583" s="63" t="s">
        <v>40</v>
      </c>
      <c r="H583" s="63" t="s">
        <v>41</v>
      </c>
      <c r="I583" s="34" t="s">
        <v>3612</v>
      </c>
      <c r="J583" s="33"/>
      <c r="K583" s="35"/>
      <c r="L583" s="33"/>
      <c r="M583" s="36"/>
      <c r="N583" s="33"/>
      <c r="O583" s="36"/>
      <c r="P583" s="33"/>
      <c r="Q583" s="37"/>
      <c r="R583" s="38"/>
      <c r="S583" s="33"/>
      <c r="T583" s="38"/>
      <c r="U583" s="33"/>
      <c r="V583" s="39"/>
      <c r="W583" s="90" t="b">
        <v>0</v>
      </c>
      <c r="X583" s="90" t="b">
        <v>0</v>
      </c>
      <c r="Y583" s="90" t="b">
        <v>0</v>
      </c>
      <c r="Z583" s="40" t="s">
        <v>3613</v>
      </c>
      <c r="AA583" s="41"/>
      <c r="AK583" s="16"/>
      <c r="AL583" s="16"/>
      <c r="AM583" s="16"/>
      <c r="AN583" s="16"/>
      <c r="AO583" s="16"/>
      <c r="AP583" s="16"/>
      <c r="AQ583" s="16"/>
      <c r="AR583" s="16"/>
      <c r="AS583" s="16"/>
    </row>
    <row r="584" spans="1:45" s="7" customFormat="1" ht="195" customHeight="1">
      <c r="A584" s="27">
        <f>[1]트램표준체크리스트!A582</f>
        <v>580</v>
      </c>
      <c r="B584" s="28" t="str">
        <f>[1]트램표준체크리스트!B582</f>
        <v>토질 및 기초</v>
      </c>
      <c r="C584" s="29" t="str">
        <f>[1]트램표준체크리스트!C582</f>
        <v>연약지반 성토 하중 및 속도 제어 계획</v>
      </c>
      <c r="D584" s="30" t="str">
        <f>[1]트램표준체크리스트!F582</f>
        <v>지반 활동파괴 예방을 위한 단계별 성토 하중 및 한계 성토속도 제어 기준이 설계도서에 누락될 리스크를 검토하였는가?</v>
      </c>
      <c r="E584" s="31" t="s">
        <v>3614</v>
      </c>
      <c r="F584" s="32" t="str">
        <f t="shared" si="18"/>
        <v>극상</v>
      </c>
      <c r="G584" s="63" t="s">
        <v>40</v>
      </c>
      <c r="H584" s="63" t="s">
        <v>41</v>
      </c>
      <c r="I584" s="34" t="s">
        <v>3615</v>
      </c>
      <c r="J584" s="33"/>
      <c r="K584" s="35"/>
      <c r="L584" s="33"/>
      <c r="M584" s="36"/>
      <c r="N584" s="33"/>
      <c r="O584" s="36"/>
      <c r="P584" s="33"/>
      <c r="Q584" s="37"/>
      <c r="R584" s="38"/>
      <c r="S584" s="33"/>
      <c r="T584" s="38"/>
      <c r="U584" s="33"/>
      <c r="V584" s="39"/>
      <c r="W584" s="90" t="b">
        <v>0</v>
      </c>
      <c r="X584" s="90" t="b">
        <v>0</v>
      </c>
      <c r="Y584" s="90" t="b">
        <v>0</v>
      </c>
      <c r="Z584" s="40" t="s">
        <v>3616</v>
      </c>
      <c r="AA584" s="41"/>
      <c r="AK584" s="16"/>
      <c r="AL584" s="16"/>
      <c r="AM584" s="16"/>
      <c r="AN584" s="16"/>
      <c r="AO584" s="16"/>
      <c r="AP584" s="16"/>
      <c r="AQ584" s="16"/>
      <c r="AR584" s="16"/>
      <c r="AS584" s="16"/>
    </row>
    <row r="585" spans="1:45" s="7" customFormat="1" ht="195" customHeight="1">
      <c r="A585" s="27">
        <f>[1]트램표준체크리스트!A583</f>
        <v>581</v>
      </c>
      <c r="B585" s="28" t="str">
        <f>[1]트램표준체크리스트!B583</f>
        <v>토질 및 기초</v>
      </c>
      <c r="C585" s="29" t="str">
        <f>[1]트램표준체크리스트!C583</f>
        <v>연약지반 장기 침하 관리</v>
      </c>
      <c r="D585" s="30" t="str">
        <f>[1]트램표준체크리스트!F583</f>
        <v>유지관리용 영구 계측기 및 인계 계획 누락으로 개통 후 서서히 진행되는 궤도 부등침하 거동을 파악하지 못할 리스크를 검토하였는가?</v>
      </c>
      <c r="E585" s="31" t="s">
        <v>3617</v>
      </c>
      <c r="F585" s="32" t="str">
        <f t="shared" si="18"/>
        <v>극상</v>
      </c>
      <c r="G585" s="63" t="s">
        <v>40</v>
      </c>
      <c r="H585" s="63" t="s">
        <v>41</v>
      </c>
      <c r="I585" s="34" t="s">
        <v>3618</v>
      </c>
      <c r="J585" s="33"/>
      <c r="K585" s="35"/>
      <c r="L585" s="33"/>
      <c r="M585" s="36"/>
      <c r="N585" s="33"/>
      <c r="O585" s="36"/>
      <c r="P585" s="33"/>
      <c r="Q585" s="37"/>
      <c r="R585" s="38"/>
      <c r="S585" s="33"/>
      <c r="T585" s="38"/>
      <c r="U585" s="33"/>
      <c r="V585" s="39"/>
      <c r="W585" s="90" t="b">
        <v>0</v>
      </c>
      <c r="X585" s="90" t="b">
        <v>0</v>
      </c>
      <c r="Y585" s="90" t="b">
        <v>0</v>
      </c>
      <c r="Z585" s="40" t="s">
        <v>3619</v>
      </c>
      <c r="AA585" s="41"/>
      <c r="AK585" s="16"/>
      <c r="AL585" s="16"/>
      <c r="AM585" s="16"/>
      <c r="AN585" s="16"/>
      <c r="AO585" s="16"/>
      <c r="AP585" s="16"/>
      <c r="AQ585" s="16"/>
      <c r="AR585" s="16"/>
      <c r="AS585" s="16"/>
    </row>
    <row r="586" spans="1:45" s="7" customFormat="1" ht="195" customHeight="1">
      <c r="A586" s="27">
        <f>[1]트램표준체크리스트!A584</f>
        <v>582</v>
      </c>
      <c r="B586" s="28" t="str">
        <f>[1]트램표준체크리스트!B584</f>
        <v>토질 및 기초</v>
      </c>
      <c r="C586" s="29" t="str">
        <f>[1]트램표준체크리스트!C584</f>
        <v>연약지반 주변 안정성 확보</v>
      </c>
      <c r="D586" s="30" t="str">
        <f>[1]트램표준체크리스트!F584</f>
        <v>측방유동 해석 및 연동침하 방지 대책 설계 누락으로 성토 중 인접 도로 파손 및 지하시설물이 전단파괴될 리스크를 검토하였는가?</v>
      </c>
      <c r="E586" s="31" t="s">
        <v>3620</v>
      </c>
      <c r="F586" s="32" t="str">
        <f t="shared" si="18"/>
        <v>극상</v>
      </c>
      <c r="G586" s="63" t="s">
        <v>40</v>
      </c>
      <c r="H586" s="63" t="s">
        <v>41</v>
      </c>
      <c r="I586" s="34" t="s">
        <v>3621</v>
      </c>
      <c r="J586" s="33"/>
      <c r="K586" s="35"/>
      <c r="L586" s="33"/>
      <c r="M586" s="36"/>
      <c r="N586" s="33"/>
      <c r="O586" s="36"/>
      <c r="P586" s="33"/>
      <c r="Q586" s="37"/>
      <c r="R586" s="38"/>
      <c r="S586" s="33"/>
      <c r="T586" s="38"/>
      <c r="U586" s="33"/>
      <c r="V586" s="39"/>
      <c r="W586" s="90" t="b">
        <v>0</v>
      </c>
      <c r="X586" s="90" t="b">
        <v>0</v>
      </c>
      <c r="Y586" s="90" t="b">
        <v>0</v>
      </c>
      <c r="Z586" s="40" t="s">
        <v>3622</v>
      </c>
      <c r="AA586" s="41"/>
      <c r="AK586" s="16"/>
      <c r="AL586" s="16"/>
      <c r="AM586" s="16"/>
      <c r="AN586" s="16"/>
      <c r="AO586" s="16"/>
      <c r="AP586" s="16"/>
      <c r="AQ586" s="16"/>
      <c r="AR586" s="16"/>
      <c r="AS586" s="16"/>
    </row>
    <row r="587" spans="1:45" s="7" customFormat="1" ht="195" customHeight="1">
      <c r="A587" s="27">
        <f>[1]트램표준체크리스트!A585</f>
        <v>583</v>
      </c>
      <c r="B587" s="28" t="str">
        <f>[1]트램표준체크리스트!B585</f>
        <v>토질 및 기초</v>
      </c>
      <c r="C587" s="29" t="str">
        <f>[1]트램표준체크리스트!C585</f>
        <v>연약지반 추가조사 및 국부 개량</v>
      </c>
      <c r="D587" s="30" t="str">
        <f>[1]트램표준체크리스트!F585</f>
        <v>연약한 N치 구간에 대한 추가 품질시험(PBT 등) 물량 및 지반개량 설계 누락으로 개통 후 궤도 부등침하가 발생할 리스크를 검토하였는가?</v>
      </c>
      <c r="E587" s="31" t="s">
        <v>3623</v>
      </c>
      <c r="F587" s="32" t="str">
        <f t="shared" si="18"/>
        <v>극상</v>
      </c>
      <c r="G587" s="63" t="s">
        <v>40</v>
      </c>
      <c r="H587" s="63" t="s">
        <v>41</v>
      </c>
      <c r="I587" s="34" t="s">
        <v>3624</v>
      </c>
      <c r="J587" s="33"/>
      <c r="K587" s="35"/>
      <c r="L587" s="33"/>
      <c r="M587" s="36"/>
      <c r="N587" s="33"/>
      <c r="O587" s="36"/>
      <c r="P587" s="33"/>
      <c r="Q587" s="37"/>
      <c r="R587" s="38"/>
      <c r="S587" s="33"/>
      <c r="T587" s="38"/>
      <c r="U587" s="33"/>
      <c r="V587" s="39"/>
      <c r="W587" s="90" t="b">
        <v>0</v>
      </c>
      <c r="X587" s="90" t="b">
        <v>0</v>
      </c>
      <c r="Y587" s="90" t="b">
        <v>0</v>
      </c>
      <c r="Z587" s="40" t="s">
        <v>3625</v>
      </c>
      <c r="AA587" s="41"/>
      <c r="AK587" s="16"/>
      <c r="AL587" s="16"/>
      <c r="AM587" s="16"/>
      <c r="AN587" s="16"/>
      <c r="AO587" s="16"/>
      <c r="AP587" s="16"/>
      <c r="AQ587" s="16"/>
      <c r="AR587" s="16"/>
      <c r="AS587" s="16"/>
    </row>
    <row r="588" spans="1:45" s="7" customFormat="1" ht="195" customHeight="1">
      <c r="A588" s="27">
        <f>[1]트램표준체크리스트!A586</f>
        <v>584</v>
      </c>
      <c r="B588" s="28" t="str">
        <f>[1]트램표준체크리스트!B586</f>
        <v>토질 및 기초</v>
      </c>
      <c r="C588" s="29" t="str">
        <f>[1]트램표준체크리스트!C586</f>
        <v>연약지반 측방유동 제어 계획</v>
      </c>
      <c r="D588" s="30" t="str">
        <f>[1]트램표준체크리스트!F586</f>
        <v>인접 구조물(교대, 관로 등) 측방유동 및 연동침하 해석 누락으로 기초 지반이 밀려 시설물이 파손될 리스크를 검토하였는가?</v>
      </c>
      <c r="E588" s="31" t="s">
        <v>3626</v>
      </c>
      <c r="F588" s="32" t="str">
        <f t="shared" si="18"/>
        <v>극상</v>
      </c>
      <c r="G588" s="63" t="s">
        <v>40</v>
      </c>
      <c r="H588" s="63" t="s">
        <v>41</v>
      </c>
      <c r="I588" s="34" t="s">
        <v>3627</v>
      </c>
      <c r="J588" s="33"/>
      <c r="K588" s="35"/>
      <c r="L588" s="33"/>
      <c r="M588" s="36"/>
      <c r="N588" s="33"/>
      <c r="O588" s="36"/>
      <c r="P588" s="33"/>
      <c r="Q588" s="37"/>
      <c r="R588" s="38"/>
      <c r="S588" s="33"/>
      <c r="T588" s="38"/>
      <c r="U588" s="33"/>
      <c r="V588" s="39"/>
      <c r="W588" s="90" t="b">
        <v>0</v>
      </c>
      <c r="X588" s="90" t="b">
        <v>0</v>
      </c>
      <c r="Y588" s="90" t="b">
        <v>0</v>
      </c>
      <c r="Z588" s="40" t="s">
        <v>3628</v>
      </c>
      <c r="AA588" s="41"/>
      <c r="AK588" s="16"/>
      <c r="AL588" s="16"/>
      <c r="AM588" s="16"/>
      <c r="AN588" s="16"/>
      <c r="AO588" s="16"/>
      <c r="AP588" s="16"/>
      <c r="AQ588" s="16"/>
      <c r="AR588" s="16"/>
      <c r="AS588" s="16"/>
    </row>
    <row r="589" spans="1:45" s="7" customFormat="1" ht="195" customHeight="1">
      <c r="A589" s="27">
        <f>[1]트램표준체크리스트!A587</f>
        <v>585</v>
      </c>
      <c r="B589" s="28" t="str">
        <f>[1]트램표준체크리스트!B587</f>
        <v>토질 및 기초</v>
      </c>
      <c r="C589" s="29" t="str">
        <f>[1]트램표준체크리스트!C587</f>
        <v>연약지반 치환토 처리 및 유용 계획</v>
      </c>
      <c r="D589" s="30" t="str">
        <f>[1]트램표준체크리스트!F587</f>
        <v>고함수비 치환토 건조장 확보 및 특수 사토처리 비용 누락으로, 일반 토사로 간주된 뻘흙의 사토장 반입 거부 및 공정 마비 리스크를 검토하였는가?</v>
      </c>
      <c r="E589" s="31" t="s">
        <v>3629</v>
      </c>
      <c r="F589" s="32" t="str">
        <f t="shared" si="18"/>
        <v>극상</v>
      </c>
      <c r="G589" s="63" t="s">
        <v>40</v>
      </c>
      <c r="H589" s="63" t="s">
        <v>41</v>
      </c>
      <c r="I589" s="34" t="s">
        <v>3630</v>
      </c>
      <c r="J589" s="33"/>
      <c r="K589" s="35"/>
      <c r="L589" s="33"/>
      <c r="M589" s="36"/>
      <c r="N589" s="33"/>
      <c r="O589" s="36"/>
      <c r="P589" s="33"/>
      <c r="Q589" s="37"/>
      <c r="R589" s="38"/>
      <c r="S589" s="33"/>
      <c r="T589" s="38"/>
      <c r="U589" s="33"/>
      <c r="V589" s="39"/>
      <c r="W589" s="90" t="b">
        <v>0</v>
      </c>
      <c r="X589" s="90" t="b">
        <v>0</v>
      </c>
      <c r="Y589" s="90" t="b">
        <v>0</v>
      </c>
      <c r="Z589" s="40" t="s">
        <v>3631</v>
      </c>
      <c r="AA589" s="41"/>
      <c r="AK589" s="16"/>
      <c r="AL589" s="16"/>
      <c r="AM589" s="16"/>
      <c r="AN589" s="16"/>
      <c r="AO589" s="16"/>
      <c r="AP589" s="16"/>
      <c r="AQ589" s="16"/>
      <c r="AR589" s="16"/>
      <c r="AS589" s="16"/>
    </row>
    <row r="590" spans="1:45" s="7" customFormat="1" ht="195" customHeight="1">
      <c r="A590" s="27">
        <f>[1]트램표준체크리스트!A588</f>
        <v>586</v>
      </c>
      <c r="B590" s="28" t="str">
        <f>[1]트램표준체크리스트!B588</f>
        <v>토질 및 기초</v>
      </c>
      <c r="C590" s="29" t="str">
        <f>[1]트램표준체크리스트!C588</f>
        <v>연약지반 토질정수 및 압밀계수 산정 계획</v>
      </c>
      <c r="D590" s="30" t="str">
        <f>[1]트램표준체크리스트!F588</f>
        <v>불교란 시료 채취 및 실내 압밀시험 누락으로, 문헌 추정 압밀계수(Cv, Ch)가 적용돼 압밀 소요기간이 과소 산정될 리스크를 검토하였는가?</v>
      </c>
      <c r="E590" s="31" t="s">
        <v>3632</v>
      </c>
      <c r="F590" s="32" t="str">
        <f t="shared" si="18"/>
        <v>극상</v>
      </c>
      <c r="G590" s="63" t="s">
        <v>40</v>
      </c>
      <c r="H590" s="63" t="s">
        <v>41</v>
      </c>
      <c r="I590" s="34" t="s">
        <v>3633</v>
      </c>
      <c r="J590" s="33"/>
      <c r="K590" s="35"/>
      <c r="L590" s="33"/>
      <c r="M590" s="36"/>
      <c r="N590" s="33"/>
      <c r="O590" s="36"/>
      <c r="P590" s="33"/>
      <c r="Q590" s="37"/>
      <c r="R590" s="38"/>
      <c r="S590" s="33"/>
      <c r="T590" s="38"/>
      <c r="U590" s="33"/>
      <c r="V590" s="39"/>
      <c r="W590" s="90" t="b">
        <v>0</v>
      </c>
      <c r="X590" s="90" t="b">
        <v>0</v>
      </c>
      <c r="Y590" s="90" t="b">
        <v>0</v>
      </c>
      <c r="Z590" s="40" t="s">
        <v>3634</v>
      </c>
      <c r="AA590" s="41"/>
      <c r="AK590" s="16"/>
      <c r="AL590" s="16"/>
      <c r="AM590" s="16"/>
      <c r="AN590" s="16"/>
      <c r="AO590" s="16"/>
      <c r="AP590" s="16"/>
      <c r="AQ590" s="16"/>
      <c r="AR590" s="16"/>
      <c r="AS590" s="16"/>
    </row>
    <row r="591" spans="1:45" s="7" customFormat="1" ht="195" customHeight="1">
      <c r="A591" s="27">
        <f>[1]트램표준체크리스트!A589</f>
        <v>587</v>
      </c>
      <c r="B591" s="28" t="str">
        <f>[1]트램표준체크리스트!B589</f>
        <v>토질 및 기초</v>
      </c>
      <c r="C591" s="29" t="str">
        <f>[1]트램표준체크리스트!C589</f>
        <v>연약지반 표층처리 및 장비 주행성 확보</v>
      </c>
      <c r="D591" s="30" t="str">
        <f>[1]트램표준체크리스트!F589</f>
        <v>표층 장비 주행성(Trafficability) 검토 및 샌드매트 등 표층처리 누락으로 중장비(항타기, 크레인 등) 진입 불가 및 전도될 리스크를 검토하였는가?</v>
      </c>
      <c r="E591" s="31" t="s">
        <v>3635</v>
      </c>
      <c r="F591" s="32" t="str">
        <f t="shared" si="18"/>
        <v>극상</v>
      </c>
      <c r="G591" s="63" t="s">
        <v>40</v>
      </c>
      <c r="H591" s="63" t="s">
        <v>41</v>
      </c>
      <c r="I591" s="34" t="s">
        <v>3636</v>
      </c>
      <c r="J591" s="33"/>
      <c r="K591" s="35"/>
      <c r="L591" s="33"/>
      <c r="M591" s="36"/>
      <c r="N591" s="33"/>
      <c r="O591" s="36"/>
      <c r="P591" s="33"/>
      <c r="Q591" s="37"/>
      <c r="R591" s="38"/>
      <c r="S591" s="33"/>
      <c r="T591" s="38"/>
      <c r="U591" s="33"/>
      <c r="V591" s="39"/>
      <c r="W591" s="90" t="b">
        <v>0</v>
      </c>
      <c r="X591" s="90" t="b">
        <v>0</v>
      </c>
      <c r="Y591" s="90" t="b">
        <v>0</v>
      </c>
      <c r="Z591" s="40" t="s">
        <v>3637</v>
      </c>
      <c r="AA591" s="41"/>
      <c r="AK591" s="16"/>
      <c r="AL591" s="16"/>
      <c r="AM591" s="16"/>
      <c r="AN591" s="16"/>
      <c r="AO591" s="16"/>
      <c r="AP591" s="16"/>
      <c r="AQ591" s="16"/>
      <c r="AR591" s="16"/>
      <c r="AS591" s="16"/>
    </row>
    <row r="592" spans="1:45" s="7" customFormat="1" ht="195" customHeight="1">
      <c r="A592" s="27">
        <f>[1]트램표준체크리스트!A590</f>
        <v>588</v>
      </c>
      <c r="B592" s="28" t="str">
        <f>[1]트램표준체크리스트!B590</f>
        <v>토질 및 기초</v>
      </c>
      <c r="C592" s="29" t="str">
        <f>[1]트램표준체크리스트!C590</f>
        <v>연약지반상 횡단 구조물 기초 계획</v>
      </c>
      <c r="D592" s="30" t="str">
        <f>[1]트램표준체크리스트!F590</f>
        <v>횡단 구조물 기초 지반 보강(치환, 말뚝 등) 설계 누락으로 주변과 부등침하가 발생해 파손 및 상부 궤도가 틀어질 리스크를 검토하였는가?</v>
      </c>
      <c r="E592" s="31" t="s">
        <v>3638</v>
      </c>
      <c r="F592" s="32" t="str">
        <f t="shared" si="18"/>
        <v>극상</v>
      </c>
      <c r="G592" s="63" t="s">
        <v>40</v>
      </c>
      <c r="H592" s="63" t="s">
        <v>41</v>
      </c>
      <c r="I592" s="34" t="s">
        <v>3639</v>
      </c>
      <c r="J592" s="33"/>
      <c r="K592" s="35"/>
      <c r="L592" s="33"/>
      <c r="M592" s="36"/>
      <c r="N592" s="33"/>
      <c r="O592" s="36"/>
      <c r="P592" s="33"/>
      <c r="Q592" s="37"/>
      <c r="R592" s="38"/>
      <c r="S592" s="33"/>
      <c r="T592" s="38"/>
      <c r="U592" s="33"/>
      <c r="V592" s="39"/>
      <c r="W592" s="90" t="b">
        <v>0</v>
      </c>
      <c r="X592" s="90" t="b">
        <v>0</v>
      </c>
      <c r="Y592" s="90" t="b">
        <v>0</v>
      </c>
      <c r="Z592" s="40" t="s">
        <v>3640</v>
      </c>
      <c r="AA592" s="41"/>
      <c r="AK592" s="16"/>
      <c r="AL592" s="16"/>
      <c r="AM592" s="16"/>
      <c r="AN592" s="16"/>
      <c r="AO592" s="16"/>
      <c r="AP592" s="16"/>
      <c r="AQ592" s="16"/>
      <c r="AR592" s="16"/>
      <c r="AS592" s="16"/>
    </row>
    <row r="593" spans="1:45" s="7" customFormat="1" ht="195" customHeight="1">
      <c r="A593" s="27">
        <f>[1]트램표준체크리스트!A591</f>
        <v>589</v>
      </c>
      <c r="B593" s="28" t="str">
        <f>[1]트램표준체크리스트!B591</f>
        <v>토질 및 기초</v>
      </c>
      <c r="C593" s="29" t="str">
        <f>[1]트램표준체크리스트!C591</f>
        <v>연약지반상 횡단구조물 처리</v>
      </c>
      <c r="D593" s="30" t="str">
        <f>[1]트램표준체크리스트!F591</f>
        <v>횡단구조물 하부 독립적 지반개량·기초 보강 설계 누락으로, 노반 압밀침하 시 배수BOX 등 구조물이 꺾이거나 전단 파괴될 리스크를 검토하였는가?</v>
      </c>
      <c r="E593" s="31" t="s">
        <v>3641</v>
      </c>
      <c r="F593" s="32" t="str">
        <f t="shared" si="18"/>
        <v>극상</v>
      </c>
      <c r="G593" s="63" t="s">
        <v>40</v>
      </c>
      <c r="H593" s="63" t="s">
        <v>41</v>
      </c>
      <c r="I593" s="34" t="s">
        <v>3642</v>
      </c>
      <c r="J593" s="33"/>
      <c r="K593" s="35"/>
      <c r="L593" s="33"/>
      <c r="M593" s="36"/>
      <c r="N593" s="33"/>
      <c r="O593" s="36"/>
      <c r="P593" s="33"/>
      <c r="Q593" s="37"/>
      <c r="R593" s="38"/>
      <c r="S593" s="33"/>
      <c r="T593" s="38"/>
      <c r="U593" s="33"/>
      <c r="V593" s="39"/>
      <c r="W593" s="90" t="b">
        <v>0</v>
      </c>
      <c r="X593" s="90" t="b">
        <v>0</v>
      </c>
      <c r="Y593" s="90" t="b">
        <v>0</v>
      </c>
      <c r="Z593" s="40" t="s">
        <v>3643</v>
      </c>
      <c r="AA593" s="41"/>
      <c r="AK593" s="16"/>
      <c r="AL593" s="16"/>
      <c r="AM593" s="16"/>
      <c r="AN593" s="16"/>
      <c r="AO593" s="16"/>
      <c r="AP593" s="16"/>
      <c r="AQ593" s="16"/>
      <c r="AR593" s="16"/>
      <c r="AS593" s="16"/>
    </row>
    <row r="594" spans="1:45" s="7" customFormat="1" ht="195" customHeight="1">
      <c r="A594" s="27">
        <f>[1]트램표준체크리스트!A592</f>
        <v>590</v>
      </c>
      <c r="B594" s="28" t="str">
        <f>[1]트램표준체크리스트!B592</f>
        <v>토질 및 기초</v>
      </c>
      <c r="C594" s="29" t="str">
        <f>[1]트램표준체크리스트!C592</f>
        <v>영구 지하구조물 토압 및 수압 설계</v>
      </c>
      <c r="D594" s="30" t="str">
        <f>[1]트램표준체크리스트!F592</f>
        <v>수위 상승에 따른 수압·토압 과소평가 및 배면 배수설계 누락으로 벽체 전단 휨 균열 및 누수가 발생할 리스크를 검토하였는가?</v>
      </c>
      <c r="E594" s="31" t="s">
        <v>3644</v>
      </c>
      <c r="F594" s="32" t="str">
        <f t="shared" si="18"/>
        <v>극상</v>
      </c>
      <c r="G594" s="63" t="s">
        <v>40</v>
      </c>
      <c r="H594" s="63" t="s">
        <v>41</v>
      </c>
      <c r="I594" s="34" t="s">
        <v>3645</v>
      </c>
      <c r="J594" s="33"/>
      <c r="K594" s="35"/>
      <c r="L594" s="33"/>
      <c r="M594" s="36"/>
      <c r="N594" s="33"/>
      <c r="O594" s="36"/>
      <c r="P594" s="33"/>
      <c r="Q594" s="37"/>
      <c r="R594" s="38"/>
      <c r="S594" s="33"/>
      <c r="T594" s="38"/>
      <c r="U594" s="33"/>
      <c r="V594" s="39"/>
      <c r="W594" s="90" t="b">
        <v>0</v>
      </c>
      <c r="X594" s="90" t="b">
        <v>0</v>
      </c>
      <c r="Y594" s="90" t="b">
        <v>0</v>
      </c>
      <c r="Z594" s="40" t="s">
        <v>3646</v>
      </c>
      <c r="AA594" s="41"/>
      <c r="AK594" s="16"/>
      <c r="AL594" s="16"/>
      <c r="AM594" s="16"/>
      <c r="AN594" s="16"/>
      <c r="AO594" s="16"/>
      <c r="AP594" s="16"/>
      <c r="AQ594" s="16"/>
      <c r="AR594" s="16"/>
      <c r="AS594" s="16"/>
    </row>
    <row r="595" spans="1:45" s="7" customFormat="1" ht="195" customHeight="1">
      <c r="A595" s="27">
        <f>[1]트램표준체크리스트!A593</f>
        <v>591</v>
      </c>
      <c r="B595" s="28" t="str">
        <f>[1]트램표준체크리스트!B593</f>
        <v>토질 및 기초</v>
      </c>
      <c r="C595" s="29" t="str">
        <f>[1]트램표준체크리스트!C593</f>
        <v>절성토 경계부 및 급경사지 흙쌓기 계획</v>
      </c>
      <c r="D595" s="30" t="str">
        <f>[1]트램표준체크리스트!F593</f>
        <v>급경사지·절성토 경계부 층따기(Benching) 누락으로 우기 시 성토체가 미끄러져(Sliding) 궤도가 유실될 리스크를 검토하였는가?</v>
      </c>
      <c r="E595" s="31" t="s">
        <v>3647</v>
      </c>
      <c r="F595" s="32" t="str">
        <f t="shared" si="18"/>
        <v>극상</v>
      </c>
      <c r="G595" s="63" t="s">
        <v>40</v>
      </c>
      <c r="H595" s="63" t="s">
        <v>41</v>
      </c>
      <c r="I595" s="34" t="s">
        <v>3648</v>
      </c>
      <c r="J595" s="33"/>
      <c r="K595" s="35"/>
      <c r="L595" s="33"/>
      <c r="M595" s="36"/>
      <c r="N595" s="33"/>
      <c r="O595" s="36"/>
      <c r="P595" s="33"/>
      <c r="Q595" s="37"/>
      <c r="R595" s="38"/>
      <c r="S595" s="33"/>
      <c r="T595" s="38"/>
      <c r="U595" s="33"/>
      <c r="V595" s="39"/>
      <c r="W595" s="90" t="b">
        <v>0</v>
      </c>
      <c r="X595" s="90" t="b">
        <v>0</v>
      </c>
      <c r="Y595" s="90" t="b">
        <v>0</v>
      </c>
      <c r="Z595" s="40" t="s">
        <v>3649</v>
      </c>
      <c r="AA595" s="41"/>
      <c r="AK595" s="16"/>
      <c r="AL595" s="16"/>
      <c r="AM595" s="16"/>
      <c r="AN595" s="16"/>
      <c r="AO595" s="16"/>
      <c r="AP595" s="16"/>
      <c r="AQ595" s="16"/>
      <c r="AR595" s="16"/>
      <c r="AS595" s="16"/>
    </row>
    <row r="596" spans="1:45" s="7" customFormat="1" ht="195" customHeight="1">
      <c r="A596" s="27">
        <f>[1]트램표준체크리스트!A594</f>
        <v>592</v>
      </c>
      <c r="B596" s="28" t="str">
        <f>[1]트램표준체크리스트!B594</f>
        <v>토질 및 기초</v>
      </c>
      <c r="C596" s="29" t="str">
        <f>[1]트램표준체크리스트!C594</f>
        <v>접속부 지반 보강 및 침하 제어</v>
      </c>
      <c r="D596" s="30" t="str">
        <f>[1]트램표준체크리스트!F594</f>
        <v>접속부 부등침하 방지 대책(어프로치 슬래브 등) 누락으로 개통 후 궤도 단차가 발생할 리스크를 검토하였는가?</v>
      </c>
      <c r="E596" s="31" t="s">
        <v>3650</v>
      </c>
      <c r="F596" s="32" t="str">
        <f t="shared" si="18"/>
        <v>극상</v>
      </c>
      <c r="G596" s="63" t="s">
        <v>40</v>
      </c>
      <c r="H596" s="63" t="s">
        <v>41</v>
      </c>
      <c r="I596" s="34" t="s">
        <v>3651</v>
      </c>
      <c r="J596" s="33"/>
      <c r="K596" s="35"/>
      <c r="L596" s="33"/>
      <c r="M596" s="36"/>
      <c r="N596" s="33"/>
      <c r="O596" s="36"/>
      <c r="P596" s="33"/>
      <c r="Q596" s="37"/>
      <c r="R596" s="38"/>
      <c r="S596" s="33"/>
      <c r="T596" s="38"/>
      <c r="U596" s="33"/>
      <c r="V596" s="39"/>
      <c r="W596" s="90" t="b">
        <v>0</v>
      </c>
      <c r="X596" s="90" t="b">
        <v>0</v>
      </c>
      <c r="Y596" s="90" t="b">
        <v>0</v>
      </c>
      <c r="Z596" s="40" t="s">
        <v>3652</v>
      </c>
      <c r="AA596" s="41"/>
      <c r="AK596" s="16"/>
      <c r="AL596" s="16"/>
      <c r="AM596" s="16"/>
      <c r="AN596" s="16"/>
      <c r="AO596" s="16"/>
      <c r="AP596" s="16"/>
      <c r="AQ596" s="16"/>
      <c r="AR596" s="16"/>
      <c r="AS596" s="16"/>
    </row>
    <row r="597" spans="1:45" s="7" customFormat="1" ht="195" customHeight="1">
      <c r="A597" s="27">
        <f>[1]트램표준체크리스트!A595</f>
        <v>593</v>
      </c>
      <c r="B597" s="28" t="str">
        <f>[1]트램표준체크리스트!B595</f>
        <v>토질 및 기초</v>
      </c>
      <c r="C597" s="29" t="str">
        <f>[1]트램표준체크리스트!C595</f>
        <v>지반강성 변화구간(접속부) 토공 계획</v>
      </c>
      <c r="D597" s="30" t="str">
        <f>[1]트램표준체크리스트!F595</f>
        <v>어프로치 블록 및 성토재 치환 설계 누락으로, 개통 후 노반 단차 및 승차감이 저하될 리스크를 검토하였는가?</v>
      </c>
      <c r="E597" s="31" t="s">
        <v>3653</v>
      </c>
      <c r="F597" s="32" t="str">
        <f t="shared" si="18"/>
        <v>극상</v>
      </c>
      <c r="G597" s="63" t="s">
        <v>40</v>
      </c>
      <c r="H597" s="63" t="s">
        <v>41</v>
      </c>
      <c r="I597" s="34" t="s">
        <v>3654</v>
      </c>
      <c r="J597" s="33"/>
      <c r="K597" s="35"/>
      <c r="L597" s="33"/>
      <c r="M597" s="36"/>
      <c r="N597" s="33"/>
      <c r="O597" s="36"/>
      <c r="P597" s="33"/>
      <c r="Q597" s="37"/>
      <c r="R597" s="38"/>
      <c r="S597" s="33"/>
      <c r="T597" s="38"/>
      <c r="U597" s="33"/>
      <c r="V597" s="39"/>
      <c r="W597" s="90" t="b">
        <v>0</v>
      </c>
      <c r="X597" s="90" t="b">
        <v>0</v>
      </c>
      <c r="Y597" s="90" t="b">
        <v>0</v>
      </c>
      <c r="Z597" s="40" t="s">
        <v>3655</v>
      </c>
      <c r="AA597" s="41"/>
      <c r="AK597" s="16"/>
      <c r="AL597" s="16"/>
      <c r="AM597" s="16"/>
      <c r="AN597" s="16"/>
      <c r="AO597" s="16"/>
      <c r="AP597" s="16"/>
      <c r="AQ597" s="16"/>
      <c r="AR597" s="16"/>
      <c r="AS597" s="16"/>
    </row>
    <row r="598" spans="1:45" s="7" customFormat="1" ht="195" customHeight="1">
      <c r="A598" s="27">
        <f>[1]트램표준체크리스트!A596</f>
        <v>594</v>
      </c>
      <c r="B598" s="28" t="str">
        <f>[1]트램표준체크리스트!B596</f>
        <v>토질 및 기초</v>
      </c>
      <c r="C598" s="29" t="str">
        <f>[1]트램표준체크리스트!C596</f>
        <v>지반조사 및 지질이상대 관리</v>
      </c>
      <c r="D598" s="30" t="str">
        <f>[1]트램표준체크리스트!F596</f>
        <v>공동조사 계획 부재 및 지질이상대 파악 누락으로, 터파기 중 암반 변형이나 가시설 붕괴가 발생할 리스크를 검토하였는가?</v>
      </c>
      <c r="E598" s="31" t="s">
        <v>3656</v>
      </c>
      <c r="F598" s="32" t="str">
        <f t="shared" si="18"/>
        <v>극상</v>
      </c>
      <c r="G598" s="63" t="s">
        <v>40</v>
      </c>
      <c r="H598" s="63" t="s">
        <v>41</v>
      </c>
      <c r="I598" s="34" t="s">
        <v>3657</v>
      </c>
      <c r="J598" s="33"/>
      <c r="K598" s="35"/>
      <c r="L598" s="33"/>
      <c r="M598" s="36"/>
      <c r="N598" s="33"/>
      <c r="O598" s="36"/>
      <c r="P598" s="33"/>
      <c r="Q598" s="37"/>
      <c r="R598" s="38"/>
      <c r="S598" s="33"/>
      <c r="T598" s="38"/>
      <c r="U598" s="33"/>
      <c r="V598" s="39"/>
      <c r="W598" s="90" t="b">
        <v>0</v>
      </c>
      <c r="X598" s="90" t="b">
        <v>0</v>
      </c>
      <c r="Y598" s="90" t="b">
        <v>0</v>
      </c>
      <c r="Z598" s="40" t="s">
        <v>3658</v>
      </c>
      <c r="AA598" s="41"/>
      <c r="AK598" s="16"/>
      <c r="AL598" s="16"/>
      <c r="AM598" s="16"/>
      <c r="AN598" s="16"/>
      <c r="AO598" s="16"/>
      <c r="AP598" s="16"/>
      <c r="AQ598" s="16"/>
      <c r="AR598" s="16"/>
      <c r="AS598" s="16"/>
    </row>
    <row r="599" spans="1:45" s="7" customFormat="1" ht="195" customHeight="1">
      <c r="A599" s="27">
        <f>[1]트램표준체크리스트!A597</f>
        <v>595</v>
      </c>
      <c r="B599" s="28" t="str">
        <f>[1]트램표준체크리스트!B597</f>
        <v>토질 및 기초</v>
      </c>
      <c r="C599" s="29" t="str">
        <f>[1]트램표준체크리스트!C597</f>
        <v>지반조사 및 환경오염 방지 계획</v>
      </c>
      <c r="D599" s="30" t="str">
        <f>[1]트램표준체크리스트!F597</f>
        <v>과다 천공 및 폐공 처리 단가 누락으로 조사 후 지하수 오염과 지반 함몰이 발생할 리스크를 검토하였는가?</v>
      </c>
      <c r="E599" s="31" t="s">
        <v>3659</v>
      </c>
      <c r="F599" s="32" t="str">
        <f t="shared" si="18"/>
        <v>극상</v>
      </c>
      <c r="G599" s="63" t="s">
        <v>40</v>
      </c>
      <c r="H599" s="63" t="s">
        <v>41</v>
      </c>
      <c r="I599" s="34" t="s">
        <v>3660</v>
      </c>
      <c r="J599" s="33"/>
      <c r="K599" s="35"/>
      <c r="L599" s="33"/>
      <c r="M599" s="36"/>
      <c r="N599" s="33"/>
      <c r="O599" s="36"/>
      <c r="P599" s="33"/>
      <c r="Q599" s="37"/>
      <c r="R599" s="38"/>
      <c r="S599" s="33"/>
      <c r="T599" s="38"/>
      <c r="U599" s="33"/>
      <c r="V599" s="39"/>
      <c r="W599" s="90" t="b">
        <v>0</v>
      </c>
      <c r="X599" s="90" t="b">
        <v>0</v>
      </c>
      <c r="Y599" s="90" t="b">
        <v>0</v>
      </c>
      <c r="Z599" s="40" t="s">
        <v>3661</v>
      </c>
      <c r="AA599" s="41"/>
      <c r="AK599" s="16"/>
      <c r="AL599" s="16"/>
      <c r="AM599" s="16"/>
      <c r="AN599" s="16"/>
      <c r="AO599" s="16"/>
      <c r="AP599" s="16"/>
      <c r="AQ599" s="16"/>
      <c r="AR599" s="16"/>
      <c r="AS599" s="16"/>
    </row>
    <row r="600" spans="1:45" s="7" customFormat="1" ht="195" customHeight="1">
      <c r="A600" s="27">
        <f>[1]트램표준체크리스트!A598</f>
        <v>596</v>
      </c>
      <c r="B600" s="28" t="str">
        <f>[1]트램표준체크리스트!B598</f>
        <v>토질 및 기초</v>
      </c>
      <c r="C600" s="29" t="str">
        <f>[1]트램표준체크리스트!C598</f>
        <v>지중관로 및 시스템 핸드홀 굴착 계획</v>
      </c>
      <c r="D600" s="30" t="str">
        <f>[1]트램표준체크리스트!F598</f>
        <v>1.5m 이상 굴착 구간에 무지보(오픈) 굴착이 적용돼 굴착면 붕괴 및 인접 도로가 함몰될 리스크를 검토하였는가?</v>
      </c>
      <c r="E600" s="31" t="s">
        <v>3662</v>
      </c>
      <c r="F600" s="32" t="str">
        <f t="shared" si="18"/>
        <v>극상</v>
      </c>
      <c r="G600" s="63" t="s">
        <v>40</v>
      </c>
      <c r="H600" s="63" t="s">
        <v>41</v>
      </c>
      <c r="I600" s="34" t="s">
        <v>3663</v>
      </c>
      <c r="J600" s="33"/>
      <c r="K600" s="35"/>
      <c r="L600" s="33"/>
      <c r="M600" s="36"/>
      <c r="N600" s="33"/>
      <c r="O600" s="36"/>
      <c r="P600" s="33"/>
      <c r="Q600" s="37"/>
      <c r="R600" s="38"/>
      <c r="S600" s="33"/>
      <c r="T600" s="38"/>
      <c r="U600" s="33"/>
      <c r="V600" s="39"/>
      <c r="W600" s="90" t="b">
        <v>0</v>
      </c>
      <c r="X600" s="90" t="b">
        <v>0</v>
      </c>
      <c r="Y600" s="90" t="b">
        <v>0</v>
      </c>
      <c r="Z600" s="40" t="s">
        <v>3664</v>
      </c>
      <c r="AA600" s="41"/>
      <c r="AK600" s="16"/>
      <c r="AL600" s="16"/>
      <c r="AM600" s="16"/>
      <c r="AN600" s="16"/>
      <c r="AO600" s="16"/>
      <c r="AP600" s="16"/>
      <c r="AQ600" s="16"/>
      <c r="AR600" s="16"/>
      <c r="AS600" s="16"/>
    </row>
    <row r="601" spans="1:45" s="7" customFormat="1" ht="195" customHeight="1">
      <c r="A601" s="27">
        <f>[1]트램표준체크리스트!A599</f>
        <v>597</v>
      </c>
      <c r="B601" s="28" t="str">
        <f>[1]트램표준체크리스트!B599</f>
        <v>토질 및 기초</v>
      </c>
      <c r="C601" s="29" t="str">
        <f>[1]트램표준체크리스트!C599</f>
        <v>지하 암반 굴착 관리</v>
      </c>
      <c r="D601" s="30" t="str">
        <f>[1]트램표준체크리스트!F599</f>
        <v>일률적인 일반 발파 적용으로 환경 기준(소음·진동)을 초과하여 주변 건물 균열 및 대규모 민원이 유발될 리스크를 검토하였는가?</v>
      </c>
      <c r="E601" s="31" t="s">
        <v>3665</v>
      </c>
      <c r="F601" s="32" t="str">
        <f t="shared" si="18"/>
        <v>극상</v>
      </c>
      <c r="G601" s="63" t="s">
        <v>40</v>
      </c>
      <c r="H601" s="63" t="s">
        <v>41</v>
      </c>
      <c r="I601" s="34" t="s">
        <v>3666</v>
      </c>
      <c r="J601" s="33"/>
      <c r="K601" s="35"/>
      <c r="L601" s="33"/>
      <c r="M601" s="36"/>
      <c r="N601" s="33"/>
      <c r="O601" s="36"/>
      <c r="P601" s="33"/>
      <c r="Q601" s="37"/>
      <c r="R601" s="38"/>
      <c r="S601" s="33"/>
      <c r="T601" s="38"/>
      <c r="U601" s="33"/>
      <c r="V601" s="39"/>
      <c r="W601" s="90" t="b">
        <v>0</v>
      </c>
      <c r="X601" s="90" t="b">
        <v>0</v>
      </c>
      <c r="Y601" s="90" t="b">
        <v>0</v>
      </c>
      <c r="Z601" s="40" t="s">
        <v>3667</v>
      </c>
      <c r="AA601" s="41"/>
      <c r="AK601" s="16"/>
      <c r="AL601" s="16"/>
      <c r="AM601" s="16"/>
      <c r="AN601" s="16"/>
      <c r="AO601" s="16"/>
      <c r="AP601" s="16"/>
      <c r="AQ601" s="16"/>
      <c r="AR601" s="16"/>
      <c r="AS601" s="16"/>
    </row>
    <row r="602" spans="1:45" s="7" customFormat="1" ht="195" customHeight="1">
      <c r="A602" s="27">
        <f>[1]트램표준체크리스트!A600</f>
        <v>598</v>
      </c>
      <c r="B602" s="28" t="str">
        <f>[1]트램표준체크리스트!B600</f>
        <v>토질 및 기초</v>
      </c>
      <c r="C602" s="29" t="str">
        <f>[1]트램표준체크리스트!C600</f>
        <v>지하구조물 누수 및 환경 관리</v>
      </c>
      <c r="D602" s="30" t="str">
        <f>[1]트램표준체크리스트!F600</f>
        <v>벽체 누수 방지·유도배수 및 라돈 가스 자동 환기 대책 누락으로 구조물 내구성 및 환경 안전성이 훼손될 리스크를 검토하였는가?</v>
      </c>
      <c r="E602" s="31" t="s">
        <v>3668</v>
      </c>
      <c r="F602" s="32" t="str">
        <f t="shared" si="18"/>
        <v>극상</v>
      </c>
      <c r="G602" s="63" t="s">
        <v>40</v>
      </c>
      <c r="H602" s="63" t="s">
        <v>41</v>
      </c>
      <c r="I602" s="34" t="s">
        <v>3669</v>
      </c>
      <c r="J602" s="33"/>
      <c r="K602" s="35"/>
      <c r="L602" s="33"/>
      <c r="M602" s="36"/>
      <c r="N602" s="33"/>
      <c r="O602" s="36"/>
      <c r="P602" s="33"/>
      <c r="Q602" s="37"/>
      <c r="R602" s="38"/>
      <c r="S602" s="33"/>
      <c r="T602" s="38"/>
      <c r="U602" s="33"/>
      <c r="V602" s="39"/>
      <c r="W602" s="90" t="b">
        <v>0</v>
      </c>
      <c r="X602" s="90" t="b">
        <v>0</v>
      </c>
      <c r="Y602" s="90" t="b">
        <v>0</v>
      </c>
      <c r="Z602" s="40" t="s">
        <v>3670</v>
      </c>
      <c r="AA602" s="41"/>
      <c r="AK602" s="16"/>
      <c r="AL602" s="16"/>
      <c r="AM602" s="16"/>
      <c r="AN602" s="16"/>
      <c r="AO602" s="16"/>
      <c r="AP602" s="16"/>
      <c r="AQ602" s="16"/>
      <c r="AR602" s="16"/>
      <c r="AS602" s="16"/>
    </row>
    <row r="603" spans="1:45" s="7" customFormat="1" ht="195" customHeight="1">
      <c r="A603" s="27">
        <f>[1]트램표준체크리스트!A601</f>
        <v>599</v>
      </c>
      <c r="B603" s="28" t="str">
        <f>[1]트램표준체크리스트!B601</f>
        <v>토질 및 기초</v>
      </c>
      <c r="C603" s="29" t="str">
        <f>[1]트램표준체크리스트!C601</f>
        <v>지하수 및 부력 방지 대책</v>
      </c>
      <c r="D603" s="30" t="str">
        <f>[1]트램표준체크리스트!F601</f>
        <v>유동해석 누락에 따른 양압력 과소평가 및 차수벽 설계 누락으로 주변 지반의 대규모 침하가 유발될 리스크를 검토하였는가?</v>
      </c>
      <c r="E603" s="31" t="s">
        <v>3671</v>
      </c>
      <c r="F603" s="32" t="str">
        <f t="shared" si="18"/>
        <v>극상</v>
      </c>
      <c r="G603" s="63" t="s">
        <v>40</v>
      </c>
      <c r="H603" s="63" t="s">
        <v>41</v>
      </c>
      <c r="I603" s="34" t="s">
        <v>3672</v>
      </c>
      <c r="J603" s="33"/>
      <c r="K603" s="35"/>
      <c r="L603" s="33"/>
      <c r="M603" s="36"/>
      <c r="N603" s="33"/>
      <c r="O603" s="36"/>
      <c r="P603" s="33"/>
      <c r="Q603" s="37"/>
      <c r="R603" s="38"/>
      <c r="S603" s="33"/>
      <c r="T603" s="38"/>
      <c r="U603" s="33"/>
      <c r="V603" s="39"/>
      <c r="W603" s="90" t="b">
        <v>0</v>
      </c>
      <c r="X603" s="90" t="b">
        <v>0</v>
      </c>
      <c r="Y603" s="90" t="b">
        <v>0</v>
      </c>
      <c r="Z603" s="40" t="s">
        <v>3673</v>
      </c>
      <c r="AA603" s="41"/>
      <c r="AK603" s="16"/>
      <c r="AL603" s="16"/>
      <c r="AM603" s="16"/>
      <c r="AN603" s="16"/>
      <c r="AO603" s="16"/>
      <c r="AP603" s="16"/>
      <c r="AQ603" s="16"/>
      <c r="AR603" s="16"/>
      <c r="AS603" s="16"/>
    </row>
    <row r="604" spans="1:45" s="7" customFormat="1" ht="195" customHeight="1">
      <c r="A604" s="27">
        <f>[1]트램표준체크리스트!A602</f>
        <v>600</v>
      </c>
      <c r="B604" s="28" t="str">
        <f>[1]트램표준체크리스트!B602</f>
        <v>토질 및 기초</v>
      </c>
      <c r="C604" s="29" t="str">
        <f>[1]트램표준체크리스트!C602</f>
        <v>지하안전 및 지장물 보호</v>
      </c>
      <c r="D604" s="30" t="str">
        <f>[1]트램표준체크리스트!F602</f>
        <v>공간정보 시스템(GIS) 갱신용 정밀 측량·도서 계획 누락으로, 준공 후 타 공사 시 잘못된 도면으로 매설물이 파손될 리스크를 검토하였는가?</v>
      </c>
      <c r="E604" s="31" t="s">
        <v>3674</v>
      </c>
      <c r="F604" s="32" t="str">
        <f t="shared" si="18"/>
        <v>극상</v>
      </c>
      <c r="G604" s="63" t="s">
        <v>40</v>
      </c>
      <c r="H604" s="63" t="s">
        <v>41</v>
      </c>
      <c r="I604" s="34" t="s">
        <v>3675</v>
      </c>
      <c r="J604" s="33"/>
      <c r="K604" s="35"/>
      <c r="L604" s="33"/>
      <c r="M604" s="36"/>
      <c r="N604" s="33"/>
      <c r="O604" s="36"/>
      <c r="P604" s="33"/>
      <c r="Q604" s="37"/>
      <c r="R604" s="38"/>
      <c r="S604" s="33"/>
      <c r="T604" s="38"/>
      <c r="U604" s="33"/>
      <c r="V604" s="39"/>
      <c r="W604" s="90" t="b">
        <v>0</v>
      </c>
      <c r="X604" s="90" t="b">
        <v>0</v>
      </c>
      <c r="Y604" s="90" t="b">
        <v>0</v>
      </c>
      <c r="Z604" s="40" t="s">
        <v>3676</v>
      </c>
      <c r="AA604" s="41"/>
      <c r="AK604" s="16"/>
      <c r="AL604" s="16"/>
      <c r="AM604" s="16"/>
      <c r="AN604" s="16"/>
      <c r="AO604" s="16"/>
      <c r="AP604" s="16"/>
      <c r="AQ604" s="16"/>
      <c r="AR604" s="16"/>
      <c r="AS604" s="16"/>
    </row>
    <row r="605" spans="1:45" s="7" customFormat="1" ht="195" customHeight="1">
      <c r="A605" s="27">
        <f>[1]트램표준체크리스트!A603</f>
        <v>601</v>
      </c>
      <c r="B605" s="28" t="str">
        <f>[1]트램표준체크리스트!B603</f>
        <v>토질 및 기초</v>
      </c>
      <c r="C605" s="29" t="str">
        <f>[1]트램표준체크리스트!C603</f>
        <v>지하안전 및 지장물 보호</v>
      </c>
      <c r="D605" s="30" t="str">
        <f>[1]트램표준체크리스트!F603</f>
        <v>굴착 깊이 2배 영역의 탐사 및 지장물 보호 대책 누락으로 시공 중 지반함몰이나 상수도관 파열이 발생할 리스크를 검토하였는가?</v>
      </c>
      <c r="E605" s="31" t="s">
        <v>3677</v>
      </c>
      <c r="F605" s="32" t="str">
        <f t="shared" si="18"/>
        <v>극상</v>
      </c>
      <c r="G605" s="63" t="s">
        <v>40</v>
      </c>
      <c r="H605" s="63" t="s">
        <v>41</v>
      </c>
      <c r="I605" s="34" t="s">
        <v>3678</v>
      </c>
      <c r="J605" s="33"/>
      <c r="K605" s="35"/>
      <c r="L605" s="33"/>
      <c r="M605" s="36"/>
      <c r="N605" s="33"/>
      <c r="O605" s="36"/>
      <c r="P605" s="33"/>
      <c r="Q605" s="37"/>
      <c r="R605" s="38"/>
      <c r="S605" s="33"/>
      <c r="T605" s="38"/>
      <c r="U605" s="33"/>
      <c r="V605" s="39"/>
      <c r="W605" s="90" t="b">
        <v>0</v>
      </c>
      <c r="X605" s="90" t="b">
        <v>0</v>
      </c>
      <c r="Y605" s="90" t="b">
        <v>0</v>
      </c>
      <c r="Z605" s="40" t="s">
        <v>3679</v>
      </c>
      <c r="AA605" s="41"/>
      <c r="AK605" s="16"/>
      <c r="AL605" s="16"/>
      <c r="AM605" s="16"/>
      <c r="AN605" s="16"/>
      <c r="AO605" s="16"/>
      <c r="AP605" s="16"/>
      <c r="AQ605" s="16"/>
      <c r="AR605" s="16"/>
      <c r="AS605" s="16"/>
    </row>
    <row r="606" spans="1:45" s="7" customFormat="1" ht="195" customHeight="1">
      <c r="A606" s="27">
        <f>[1]트램표준체크리스트!A604</f>
        <v>602</v>
      </c>
      <c r="B606" s="28" t="str">
        <f>[1]트램표준체크리스트!B604</f>
        <v>토질 및 기초</v>
      </c>
      <c r="C606" s="29" t="str">
        <f>[1]트램표준체크리스트!C604</f>
        <v>지하안전 및 지장물 보호</v>
      </c>
      <c r="D606" s="30" t="str">
        <f>[1]트램표준체크리스트!F604</f>
        <v>대형 지장물(상수관, 하수BOX)의 별도 하부 지지 말뚝(Pile) 보호공법 누락으로 굴착 시 자중 탈락 및 파열될 리스크를 검토하였는가?</v>
      </c>
      <c r="E606" s="31" t="s">
        <v>3680</v>
      </c>
      <c r="F606" s="32" t="str">
        <f t="shared" si="18"/>
        <v>극상</v>
      </c>
      <c r="G606" s="63" t="s">
        <v>40</v>
      </c>
      <c r="H606" s="63" t="s">
        <v>41</v>
      </c>
      <c r="I606" s="34" t="s">
        <v>3681</v>
      </c>
      <c r="J606" s="33"/>
      <c r="K606" s="35"/>
      <c r="L606" s="33"/>
      <c r="M606" s="36"/>
      <c r="N606" s="33"/>
      <c r="O606" s="36"/>
      <c r="P606" s="33"/>
      <c r="Q606" s="37"/>
      <c r="R606" s="38"/>
      <c r="S606" s="33"/>
      <c r="T606" s="38"/>
      <c r="U606" s="33"/>
      <c r="V606" s="39"/>
      <c r="W606" s="90" t="b">
        <v>0</v>
      </c>
      <c r="X606" s="90" t="b">
        <v>0</v>
      </c>
      <c r="Y606" s="90" t="b">
        <v>0</v>
      </c>
      <c r="Z606" s="40" t="s">
        <v>3682</v>
      </c>
      <c r="AA606" s="41"/>
      <c r="AK606" s="16"/>
      <c r="AL606" s="16"/>
      <c r="AM606" s="16"/>
      <c r="AN606" s="16"/>
      <c r="AO606" s="16"/>
      <c r="AP606" s="16"/>
      <c r="AQ606" s="16"/>
      <c r="AR606" s="16"/>
      <c r="AS606" s="16"/>
    </row>
    <row r="607" spans="1:45" s="7" customFormat="1" ht="195" customHeight="1">
      <c r="A607" s="27">
        <f>[1]트램표준체크리스트!A605</f>
        <v>603</v>
      </c>
      <c r="B607" s="28" t="str">
        <f>[1]트램표준체크리스트!B605</f>
        <v>토질 및 기초</v>
      </c>
      <c r="C607" s="29" t="str">
        <f>[1]트램표준체크리스트!C605</f>
        <v>지하차도 굴착 및 배수 계획</v>
      </c>
      <c r="D607" s="30" t="str">
        <f>[1]트램표준체크리스트!F605</f>
        <v>집수정 펌프 심도 단차 설계 부족으로, 잔류 지하수에 의해 바닥 슬래브가 침수될 리스크를 검토하였는가?</v>
      </c>
      <c r="E607" s="31" t="s">
        <v>3683</v>
      </c>
      <c r="F607" s="32" t="str">
        <f t="shared" si="18"/>
        <v>극상</v>
      </c>
      <c r="G607" s="63" t="s">
        <v>40</v>
      </c>
      <c r="H607" s="63" t="s">
        <v>41</v>
      </c>
      <c r="I607" s="34" t="s">
        <v>3684</v>
      </c>
      <c r="J607" s="33"/>
      <c r="K607" s="35"/>
      <c r="L607" s="33"/>
      <c r="M607" s="36"/>
      <c r="N607" s="33"/>
      <c r="O607" s="36"/>
      <c r="P607" s="33"/>
      <c r="Q607" s="37"/>
      <c r="R607" s="38"/>
      <c r="S607" s="33"/>
      <c r="T607" s="38"/>
      <c r="U607" s="33"/>
      <c r="V607" s="39"/>
      <c r="W607" s="90" t="b">
        <v>0</v>
      </c>
      <c r="X607" s="90" t="b">
        <v>0</v>
      </c>
      <c r="Y607" s="90" t="b">
        <v>0</v>
      </c>
      <c r="Z607" s="40" t="s">
        <v>3685</v>
      </c>
      <c r="AA607" s="41"/>
      <c r="AK607" s="16"/>
      <c r="AL607" s="16"/>
      <c r="AM607" s="16"/>
      <c r="AN607" s="16"/>
      <c r="AO607" s="16"/>
      <c r="AP607" s="16"/>
      <c r="AQ607" s="16"/>
      <c r="AR607" s="16"/>
      <c r="AS607" s="16"/>
    </row>
    <row r="608" spans="1:45" s="7" customFormat="1" ht="195" customHeight="1">
      <c r="A608" s="27">
        <f>[1]트램표준체크리스트!A606</f>
        <v>604</v>
      </c>
      <c r="B608" s="28" t="str">
        <f>[1]트램표준체크리스트!B606</f>
        <v>토질 및 기초</v>
      </c>
      <c r="C608" s="29" t="str">
        <f>[1]트램표준체크리스트!C606</f>
        <v>침수 대비 기초설계</v>
      </c>
      <c r="D608" s="30" t="str">
        <f>[1]트램표준체크리스트!F606</f>
        <v>MCC반 기초 PAD 높이를 바닥면과 유사하게 설계해, 우기 시 제어반 침수로 펌프 가동이 전면 중단될 대형 리스크를 검토하였는가?</v>
      </c>
      <c r="E608" s="31" t="s">
        <v>3686</v>
      </c>
      <c r="F608" s="32" t="str">
        <f t="shared" si="18"/>
        <v>극상</v>
      </c>
      <c r="G608" s="63" t="s">
        <v>40</v>
      </c>
      <c r="H608" s="63" t="s">
        <v>41</v>
      </c>
      <c r="I608" s="34" t="s">
        <v>3687</v>
      </c>
      <c r="J608" s="33"/>
      <c r="K608" s="35"/>
      <c r="L608" s="33"/>
      <c r="M608" s="36"/>
      <c r="N608" s="33"/>
      <c r="O608" s="36"/>
      <c r="P608" s="33"/>
      <c r="Q608" s="37"/>
      <c r="R608" s="38"/>
      <c r="S608" s="33"/>
      <c r="T608" s="38"/>
      <c r="U608" s="33"/>
      <c r="V608" s="39"/>
      <c r="W608" s="90" t="b">
        <v>0</v>
      </c>
      <c r="X608" s="90" t="b">
        <v>0</v>
      </c>
      <c r="Y608" s="90" t="b">
        <v>0</v>
      </c>
      <c r="Z608" s="40" t="s">
        <v>3688</v>
      </c>
      <c r="AA608" s="41"/>
      <c r="AK608" s="16"/>
      <c r="AL608" s="16"/>
      <c r="AM608" s="16"/>
      <c r="AN608" s="16"/>
      <c r="AO608" s="16"/>
      <c r="AP608" s="16"/>
      <c r="AQ608" s="16"/>
      <c r="AR608" s="16"/>
      <c r="AS608" s="16"/>
    </row>
    <row r="609" spans="1:45" s="7" customFormat="1" ht="195" customHeight="1">
      <c r="A609" s="27">
        <f>[1]트램표준체크리스트!A607</f>
        <v>605</v>
      </c>
      <c r="B609" s="28" t="str">
        <f>[1]트램표준체크리스트!B607</f>
        <v>토질 및 기초</v>
      </c>
      <c r="C609" s="29" t="str">
        <f>[1]트램표준체크리스트!C607</f>
        <v>터파기 비탈면 구조 및 공간 계획</v>
      </c>
      <c r="D609" s="30" t="str">
        <f>[1]트램표준체크리스트!F607</f>
        <v>표준기울기 및 최소 여유폭(0.8m 이상) 설계 누락으로 사면 불안정 및 작업공간 부족이 유발될 리스크를 검토하였는가?</v>
      </c>
      <c r="E609" s="31" t="s">
        <v>3689</v>
      </c>
      <c r="F609" s="32" t="str">
        <f t="shared" si="18"/>
        <v>극상</v>
      </c>
      <c r="G609" s="63" t="s">
        <v>40</v>
      </c>
      <c r="H609" s="63" t="s">
        <v>41</v>
      </c>
      <c r="I609" s="34" t="s">
        <v>3690</v>
      </c>
      <c r="J609" s="33"/>
      <c r="K609" s="35"/>
      <c r="L609" s="33"/>
      <c r="M609" s="36"/>
      <c r="N609" s="33"/>
      <c r="O609" s="36"/>
      <c r="P609" s="33"/>
      <c r="Q609" s="37"/>
      <c r="R609" s="38"/>
      <c r="S609" s="33"/>
      <c r="T609" s="38"/>
      <c r="U609" s="33"/>
      <c r="V609" s="39"/>
      <c r="W609" s="90" t="b">
        <v>0</v>
      </c>
      <c r="X609" s="90" t="b">
        <v>0</v>
      </c>
      <c r="Y609" s="90" t="b">
        <v>0</v>
      </c>
      <c r="Z609" s="40" t="s">
        <v>3691</v>
      </c>
      <c r="AA609" s="41"/>
      <c r="AK609" s="16"/>
      <c r="AL609" s="16"/>
      <c r="AM609" s="16"/>
      <c r="AN609" s="16"/>
      <c r="AO609" s="16"/>
      <c r="AP609" s="16"/>
      <c r="AQ609" s="16"/>
      <c r="AR609" s="16"/>
      <c r="AS609" s="16"/>
    </row>
    <row r="610" spans="1:45" s="7" customFormat="1" ht="195" customHeight="1">
      <c r="A610" s="27">
        <f>[1]트램표준체크리스트!A608</f>
        <v>606</v>
      </c>
      <c r="B610" s="28" t="str">
        <f>[1]트램표준체크리스트!B608</f>
        <v>토질 및 기초</v>
      </c>
      <c r="C610" s="29" t="str">
        <f>[1]트램표준체크리스트!C608</f>
        <v>토공사 토취/사토 관리</v>
      </c>
      <c r="D610" s="30" t="str">
        <f>[1]트램표준체크리스트!F608</f>
        <v>사토장 운반비, 임시 가적치장 부지 및 환경 민원 저감 비용 누락으로 토공사 진행이 마비될 리스크를 검토하였는가?</v>
      </c>
      <c r="E610" s="31" t="s">
        <v>3692</v>
      </c>
      <c r="F610" s="32" t="str">
        <f t="shared" si="18"/>
        <v>극상</v>
      </c>
      <c r="G610" s="63" t="s">
        <v>40</v>
      </c>
      <c r="H610" s="63" t="s">
        <v>41</v>
      </c>
      <c r="I610" s="34" t="s">
        <v>3693</v>
      </c>
      <c r="J610" s="33"/>
      <c r="K610" s="35"/>
      <c r="L610" s="33"/>
      <c r="M610" s="36"/>
      <c r="N610" s="33"/>
      <c r="O610" s="36"/>
      <c r="P610" s="33"/>
      <c r="Q610" s="37"/>
      <c r="R610" s="38"/>
      <c r="S610" s="33"/>
      <c r="T610" s="38"/>
      <c r="U610" s="33"/>
      <c r="V610" s="39"/>
      <c r="W610" s="90" t="b">
        <v>0</v>
      </c>
      <c r="X610" s="90" t="b">
        <v>0</v>
      </c>
      <c r="Y610" s="90" t="b">
        <v>0</v>
      </c>
      <c r="Z610" s="40" t="s">
        <v>3694</v>
      </c>
      <c r="AA610" s="41"/>
      <c r="AK610" s="16"/>
      <c r="AL610" s="16"/>
      <c r="AM610" s="16"/>
      <c r="AN610" s="16"/>
      <c r="AO610" s="16"/>
      <c r="AP610" s="16"/>
      <c r="AQ610" s="16"/>
      <c r="AR610" s="16"/>
      <c r="AS610" s="16"/>
    </row>
    <row r="611" spans="1:45" s="7" customFormat="1" ht="195" customHeight="1">
      <c r="A611" s="27">
        <f>[1]트램표준체크리스트!A609</f>
        <v>607</v>
      </c>
      <c r="B611" s="28" t="str">
        <f>[1]트램표준체크리스트!B609</f>
        <v>토질 및 기초</v>
      </c>
      <c r="C611" s="29" t="str">
        <f>[1]트램표준체크리스트!C609</f>
        <v>토공사 흙쌓기 다짐 품질관리 계획</v>
      </c>
      <c r="D611" s="30" t="str">
        <f>[1]트램표준체크리스트!F609</f>
        <v>시험성토 절차 및 노상(95%)·노체(90%) 다짐도 기준 누락으로 자의적 시공에 따른 노반 품질 저하가 발생할 리스크를 검토하였는가?</v>
      </c>
      <c r="E611" s="31" t="s">
        <v>3695</v>
      </c>
      <c r="F611" s="32" t="str">
        <f t="shared" si="18"/>
        <v>극상</v>
      </c>
      <c r="G611" s="63" t="s">
        <v>40</v>
      </c>
      <c r="H611" s="63" t="s">
        <v>41</v>
      </c>
      <c r="I611" s="34" t="s">
        <v>3696</v>
      </c>
      <c r="J611" s="33"/>
      <c r="K611" s="35"/>
      <c r="L611" s="33"/>
      <c r="M611" s="36"/>
      <c r="N611" s="33"/>
      <c r="O611" s="36"/>
      <c r="P611" s="33"/>
      <c r="Q611" s="37"/>
      <c r="R611" s="38"/>
      <c r="S611" s="33"/>
      <c r="T611" s="38"/>
      <c r="U611" s="33"/>
      <c r="V611" s="39"/>
      <c r="W611" s="90" t="b">
        <v>0</v>
      </c>
      <c r="X611" s="90" t="b">
        <v>0</v>
      </c>
      <c r="Y611" s="90" t="b">
        <v>0</v>
      </c>
      <c r="Z611" s="40" t="s">
        <v>3697</v>
      </c>
      <c r="AA611" s="41"/>
      <c r="AK611" s="16"/>
      <c r="AL611" s="16"/>
      <c r="AM611" s="16"/>
      <c r="AN611" s="16"/>
      <c r="AO611" s="16"/>
      <c r="AP611" s="16"/>
      <c r="AQ611" s="16"/>
      <c r="AR611" s="16"/>
      <c r="AS611" s="16"/>
    </row>
    <row r="612" spans="1:45" s="7" customFormat="1" ht="195" customHeight="1">
      <c r="A612" s="27">
        <f>[1]트램표준체크리스트!A610</f>
        <v>608</v>
      </c>
      <c r="B612" s="28" t="str">
        <f>[1]트램표준체크리스트!B610</f>
        <v>토질 및 기초</v>
      </c>
      <c r="C612" s="29" t="str">
        <f>[1]트램표준체크리스트!C610</f>
        <v>하천 인접구간 지하수 배제 계획</v>
      </c>
      <c r="D612" s="30" t="str">
        <f>[1]트램표준체크리스트!F610</f>
        <v>직방류 전용 배수관로 및 수처리 비용 누락으로 우오수관 용량이 초과돼 도심지 침수 및 공사비 부족이 유발될 리스크를 검토하였는가?</v>
      </c>
      <c r="E612" s="31" t="s">
        <v>3698</v>
      </c>
      <c r="F612" s="32" t="str">
        <f t="shared" si="18"/>
        <v>극상</v>
      </c>
      <c r="G612" s="63" t="s">
        <v>40</v>
      </c>
      <c r="H612" s="63" t="s">
        <v>41</v>
      </c>
      <c r="I612" s="34" t="s">
        <v>3699</v>
      </c>
      <c r="J612" s="33"/>
      <c r="K612" s="35"/>
      <c r="L612" s="33"/>
      <c r="M612" s="36"/>
      <c r="N612" s="33"/>
      <c r="O612" s="36"/>
      <c r="P612" s="33"/>
      <c r="Q612" s="37"/>
      <c r="R612" s="38"/>
      <c r="S612" s="33"/>
      <c r="T612" s="38"/>
      <c r="U612" s="33"/>
      <c r="V612" s="39"/>
      <c r="W612" s="90" t="b">
        <v>0</v>
      </c>
      <c r="X612" s="90" t="b">
        <v>0</v>
      </c>
      <c r="Y612" s="90" t="b">
        <v>0</v>
      </c>
      <c r="Z612" s="40" t="s">
        <v>3700</v>
      </c>
      <c r="AA612" s="41"/>
      <c r="AK612" s="16"/>
      <c r="AL612" s="16"/>
      <c r="AM612" s="16"/>
      <c r="AN612" s="16"/>
      <c r="AO612" s="16"/>
      <c r="AP612" s="16"/>
      <c r="AQ612" s="16"/>
      <c r="AR612" s="16"/>
      <c r="AS612" s="16"/>
    </row>
    <row r="613" spans="1:45" s="7" customFormat="1" ht="195" customHeight="1">
      <c r="A613" s="27">
        <f>[1]트램표준체크리스트!A611</f>
        <v>609</v>
      </c>
      <c r="B613" s="28" t="str">
        <f>[1]트램표준체크리스트!B611</f>
        <v>건축</v>
      </c>
      <c r="C613" s="29" t="str">
        <f>[1]트램표준체크리스트!C611</f>
        <v>기타</v>
      </c>
      <c r="D613" s="30" t="str">
        <f>[1]트램표준체크리스트!F611</f>
        <v>디자인 심의 대상 시설물(정거장, 환기구 등)의 마감재 발주 시점이 심의 완료 후로 계획되었는가?</v>
      </c>
      <c r="E613" s="31" t="s">
        <v>1047</v>
      </c>
      <c r="F613" s="32" t="str">
        <f t="shared" si="18"/>
        <v>극상</v>
      </c>
      <c r="G613" s="63" t="s">
        <v>40</v>
      </c>
      <c r="H613" s="63" t="s">
        <v>41</v>
      </c>
      <c r="I613" s="34" t="s">
        <v>1048</v>
      </c>
      <c r="J613" s="33"/>
      <c r="K613" s="35"/>
      <c r="L613" s="33"/>
      <c r="M613" s="36"/>
      <c r="N613" s="33"/>
      <c r="O613" s="36"/>
      <c r="P613" s="33"/>
      <c r="Q613" s="37"/>
      <c r="R613" s="38"/>
      <c r="S613" s="33"/>
      <c r="T613" s="38"/>
      <c r="U613" s="33"/>
      <c r="V613" s="39"/>
      <c r="W613" s="90" t="b">
        <v>0</v>
      </c>
      <c r="X613" s="90" t="b">
        <v>0</v>
      </c>
      <c r="Y613" s="90" t="b">
        <v>0</v>
      </c>
      <c r="Z613" s="40" t="s">
        <v>960</v>
      </c>
      <c r="AA613" s="41"/>
      <c r="AK613" s="16"/>
      <c r="AL613" s="16"/>
      <c r="AM613" s="16"/>
      <c r="AN613" s="16"/>
      <c r="AO613" s="16"/>
      <c r="AP613" s="16"/>
      <c r="AQ613" s="16"/>
      <c r="AR613" s="16"/>
      <c r="AS613" s="16"/>
    </row>
    <row r="614" spans="1:45" s="7" customFormat="1" ht="195" customHeight="1">
      <c r="A614" s="27">
        <f>[1]트램표준체크리스트!A612</f>
        <v>610</v>
      </c>
      <c r="B614" s="28" t="str">
        <f>[1]트램표준체크리스트!B612</f>
        <v>건축</v>
      </c>
      <c r="C614" s="29" t="str">
        <f>[1]트램표준체크리스트!C612</f>
        <v>미장공</v>
      </c>
      <c r="D614" s="30" t="str">
        <f>[1]트램표준체크리스트!F612</f>
        <v>노출콘크리트 마감 상단에 물끊기(Drip) 홈이나 두겁석(Coping) 상세가 반영되었는가?</v>
      </c>
      <c r="E614" s="31" t="s">
        <v>1049</v>
      </c>
      <c r="F614" s="32" t="str">
        <f t="shared" si="18"/>
        <v>극상</v>
      </c>
      <c r="G614" s="63" t="s">
        <v>40</v>
      </c>
      <c r="H614" s="63" t="s">
        <v>41</v>
      </c>
      <c r="I614" s="34" t="s">
        <v>1050</v>
      </c>
      <c r="J614" s="33"/>
      <c r="K614" s="35"/>
      <c r="L614" s="33"/>
      <c r="M614" s="36"/>
      <c r="N614" s="33"/>
      <c r="O614" s="36"/>
      <c r="P614" s="33"/>
      <c r="Q614" s="37"/>
      <c r="R614" s="38"/>
      <c r="S614" s="33"/>
      <c r="T614" s="38"/>
      <c r="U614" s="33"/>
      <c r="V614" s="39"/>
      <c r="W614" s="90" t="b">
        <v>0</v>
      </c>
      <c r="X614" s="90" t="b">
        <v>0</v>
      </c>
      <c r="Y614" s="90" t="b">
        <v>0</v>
      </c>
      <c r="Z614" s="40" t="s">
        <v>960</v>
      </c>
      <c r="AA614" s="41"/>
      <c r="AK614" s="16"/>
      <c r="AL614" s="16"/>
      <c r="AM614" s="16"/>
      <c r="AN614" s="16"/>
      <c r="AO614" s="16"/>
      <c r="AP614" s="16"/>
      <c r="AQ614" s="16"/>
      <c r="AR614" s="16"/>
      <c r="AS614" s="16"/>
    </row>
    <row r="615" spans="1:45" s="7" customFormat="1" ht="195" customHeight="1">
      <c r="A615" s="27">
        <f>[1]트램표준체크리스트!A613</f>
        <v>611</v>
      </c>
      <c r="B615" s="28" t="str">
        <f>[1]트램표준체크리스트!B613</f>
        <v>건축</v>
      </c>
      <c r="C615" s="29" t="str">
        <f>[1]트램표준체크리스트!C613</f>
        <v>부대공</v>
      </c>
      <c r="D615" s="30" t="str">
        <f>[1]트램표준체크리스트!F613</f>
        <v>경관심의 지적 사항(점검로, 조명 등)이 실시설계 도면과 내역에 반영되었는가?</v>
      </c>
      <c r="E615" s="31" t="s">
        <v>1051</v>
      </c>
      <c r="F615" s="32" t="str">
        <f t="shared" ref="F615:F645" si="19">_xlfn.LET(
_xlpm.v_발생, IF(ISNUMBER(SEARCH("빈번", G615)), "상",
IF(ISNUMBER(SEARCH("거의", G615)), "하", "중")),
_xlpm.v_영향, IF(ISNUMBER(SEARCH("1개월", H615)), "상",
IF(ISNUMBER(SEARCH("없음", H615)), "하", "중")),
IF(AND(_xlpm.v_발생="상", _xlpm.v_영향="상"), "극상",
IF(OR(_xlpm.v_발생="상", _xlpm.v_영향="상"), "상",
IF(AND(_xlpm.v_발생="하", _xlpm.v_영향="하"), "하",
"중")))
)</f>
        <v>극상</v>
      </c>
      <c r="G615" s="63" t="s">
        <v>40</v>
      </c>
      <c r="H615" s="63" t="s">
        <v>41</v>
      </c>
      <c r="I615" s="34" t="s">
        <v>1052</v>
      </c>
      <c r="J615" s="33"/>
      <c r="K615" s="35"/>
      <c r="L615" s="33"/>
      <c r="M615" s="36"/>
      <c r="N615" s="33"/>
      <c r="O615" s="36"/>
      <c r="P615" s="33"/>
      <c r="Q615" s="37"/>
      <c r="R615" s="38"/>
      <c r="S615" s="33"/>
      <c r="T615" s="38"/>
      <c r="U615" s="33"/>
      <c r="V615" s="39"/>
      <c r="W615" s="90" t="b">
        <v>0</v>
      </c>
      <c r="X615" s="90" t="b">
        <v>0</v>
      </c>
      <c r="Y615" s="90" t="b">
        <v>0</v>
      </c>
      <c r="Z615" s="40" t="s">
        <v>960</v>
      </c>
      <c r="AA615" s="41"/>
      <c r="AK615" s="16"/>
      <c r="AL615" s="16"/>
      <c r="AM615" s="16"/>
      <c r="AN615" s="16"/>
      <c r="AO615" s="16"/>
      <c r="AP615" s="16"/>
      <c r="AQ615" s="16"/>
      <c r="AR615" s="16"/>
      <c r="AS615" s="16"/>
    </row>
    <row r="616" spans="1:45" s="7" customFormat="1" ht="195" customHeight="1">
      <c r="A616" s="27">
        <f>[1]트램표준체크리스트!A614</f>
        <v>612</v>
      </c>
      <c r="B616" s="28" t="str">
        <f>[1]트램표준체크리스트!B614</f>
        <v>건축</v>
      </c>
      <c r="C616" s="29" t="str">
        <f>[1]트램표준체크리스트!C614</f>
        <v>유리공사</v>
      </c>
      <c r="D616" s="30" t="str">
        <f>[1]트램표준체크리스트!F614</f>
        <v>경관심의 보고서의 자재 사양(유리 두께, 접합 여부)이 내역서 품목과 일치하는가?</v>
      </c>
      <c r="E616" s="31" t="s">
        <v>1053</v>
      </c>
      <c r="F616" s="32" t="str">
        <f t="shared" si="19"/>
        <v>극상</v>
      </c>
      <c r="G616" s="63" t="s">
        <v>40</v>
      </c>
      <c r="H616" s="63" t="s">
        <v>41</v>
      </c>
      <c r="I616" s="34" t="s">
        <v>1054</v>
      </c>
      <c r="J616" s="33"/>
      <c r="K616" s="35"/>
      <c r="L616" s="33"/>
      <c r="M616" s="36"/>
      <c r="N616" s="33"/>
      <c r="O616" s="36"/>
      <c r="P616" s="33"/>
      <c r="Q616" s="37"/>
      <c r="R616" s="38"/>
      <c r="S616" s="33"/>
      <c r="T616" s="38"/>
      <c r="U616" s="33"/>
      <c r="V616" s="39"/>
      <c r="W616" s="90" t="b">
        <v>0</v>
      </c>
      <c r="X616" s="90" t="b">
        <v>0</v>
      </c>
      <c r="Y616" s="90" t="b">
        <v>0</v>
      </c>
      <c r="Z616" s="40" t="s">
        <v>960</v>
      </c>
      <c r="AA616" s="41"/>
      <c r="AK616" s="16"/>
      <c r="AL616" s="16"/>
      <c r="AM616" s="16"/>
      <c r="AN616" s="16"/>
      <c r="AO616" s="16"/>
      <c r="AP616" s="16"/>
      <c r="AQ616" s="16"/>
      <c r="AR616" s="16"/>
      <c r="AS616" s="16"/>
    </row>
    <row r="617" spans="1:45" s="7" customFormat="1" ht="195" customHeight="1">
      <c r="A617" s="27">
        <f>[1]트램표준체크리스트!A615</f>
        <v>613</v>
      </c>
      <c r="B617" s="28" t="str">
        <f>[1]트램표준체크리스트!B615</f>
        <v>건축</v>
      </c>
      <c r="C617" s="29" t="str">
        <f>[1]트램표준체크리스트!C615</f>
        <v>토공</v>
      </c>
      <c r="D617" s="30" t="str">
        <f>[1]트램표준체크리스트!F615</f>
        <v>원형보존구역이나 경관 보호구역 경계선과 토공 사면 끝단(Toe) 간에 여유폭이 있는가?</v>
      </c>
      <c r="E617" s="31" t="s">
        <v>1055</v>
      </c>
      <c r="F617" s="32" t="str">
        <f t="shared" si="19"/>
        <v>극상</v>
      </c>
      <c r="G617" s="63" t="s">
        <v>40</v>
      </c>
      <c r="H617" s="63" t="s">
        <v>41</v>
      </c>
      <c r="I617" s="34" t="s">
        <v>1056</v>
      </c>
      <c r="J617" s="33"/>
      <c r="K617" s="35"/>
      <c r="L617" s="33"/>
      <c r="M617" s="36"/>
      <c r="N617" s="33"/>
      <c r="O617" s="36"/>
      <c r="P617" s="33"/>
      <c r="Q617" s="37"/>
      <c r="R617" s="38"/>
      <c r="S617" s="33"/>
      <c r="T617" s="38"/>
      <c r="U617" s="33"/>
      <c r="V617" s="39"/>
      <c r="W617" s="90" t="b">
        <v>0</v>
      </c>
      <c r="X617" s="90" t="b">
        <v>0</v>
      </c>
      <c r="Y617" s="90" t="b">
        <v>0</v>
      </c>
      <c r="Z617" s="40" t="s">
        <v>960</v>
      </c>
      <c r="AA617" s="41"/>
      <c r="AK617" s="16"/>
      <c r="AL617" s="16"/>
      <c r="AM617" s="16"/>
      <c r="AN617" s="16"/>
      <c r="AO617" s="16"/>
      <c r="AP617" s="16"/>
      <c r="AQ617" s="16"/>
      <c r="AR617" s="16"/>
      <c r="AS617" s="16"/>
    </row>
    <row r="618" spans="1:45" s="7" customFormat="1" ht="195" customHeight="1">
      <c r="A618" s="27">
        <f>[1]트램표준체크리스트!A616</f>
        <v>614</v>
      </c>
      <c r="B618" s="28" t="str">
        <f>[1]트램표준체크리스트!B616</f>
        <v>건축</v>
      </c>
      <c r="C618" s="29" t="str">
        <f>[1]트램표준체크리스트!C616</f>
        <v>BIM 건축설비 간섭관리</v>
      </c>
      <c r="D618" s="30" t="str">
        <f>[1]트램표준체크리스트!F616</f>
        <v>3D BIM 간섭 검토 소홀로 관통 슬리브(개구부) 설계가 누락돼 시공 중 임의 코어링(천공)으로 구조체 내력이 훼손될 리스크를 검토하였는가?</v>
      </c>
      <c r="E618" s="31" t="s">
        <v>1057</v>
      </c>
      <c r="F618" s="32" t="str">
        <f t="shared" si="19"/>
        <v>극상</v>
      </c>
      <c r="G618" s="63" t="s">
        <v>40</v>
      </c>
      <c r="H618" s="63" t="s">
        <v>41</v>
      </c>
      <c r="I618" s="34" t="s">
        <v>1058</v>
      </c>
      <c r="J618" s="33"/>
      <c r="K618" s="35"/>
      <c r="L618" s="33"/>
      <c r="M618" s="36"/>
      <c r="N618" s="33"/>
      <c r="O618" s="36"/>
      <c r="P618" s="33"/>
      <c r="Q618" s="37"/>
      <c r="R618" s="38"/>
      <c r="S618" s="33"/>
      <c r="T618" s="38"/>
      <c r="U618" s="33"/>
      <c r="V618" s="39"/>
      <c r="W618" s="90" t="b">
        <v>0</v>
      </c>
      <c r="X618" s="90" t="b">
        <v>0</v>
      </c>
      <c r="Y618" s="90" t="b">
        <v>0</v>
      </c>
      <c r="Z618" s="40" t="s">
        <v>960</v>
      </c>
      <c r="AA618" s="41"/>
      <c r="AK618" s="16"/>
      <c r="AL618" s="16"/>
      <c r="AM618" s="16"/>
      <c r="AN618" s="16"/>
      <c r="AO618" s="16"/>
      <c r="AP618" s="16"/>
      <c r="AQ618" s="16"/>
      <c r="AR618" s="16"/>
      <c r="AS618" s="16"/>
    </row>
    <row r="619" spans="1:45" s="7" customFormat="1" ht="195" customHeight="1">
      <c r="A619" s="27">
        <f>[1]트램표준체크리스트!A617</f>
        <v>615</v>
      </c>
      <c r="B619" s="28" t="str">
        <f>[1]트램표준체크리스트!B617</f>
        <v>건축</v>
      </c>
      <c r="C619" s="29" t="str">
        <f>[1]트램표준체크리스트!C617</f>
        <v>건축 개량 및 증축계획</v>
      </c>
      <c r="D619" s="30" t="str">
        <f>[1]트램표준체크리스트!F617</f>
        <v>시설물 이설 시 신구 마감재 이음 상세 누락 및 여객 피난/보행 동선이 제한될 리스크를 검토하였는가?</v>
      </c>
      <c r="E619" s="31" t="s">
        <v>1059</v>
      </c>
      <c r="F619" s="32" t="str">
        <f t="shared" si="19"/>
        <v>극상</v>
      </c>
      <c r="G619" s="63" t="s">
        <v>40</v>
      </c>
      <c r="H619" s="63" t="s">
        <v>41</v>
      </c>
      <c r="I619" s="34" t="s">
        <v>1060</v>
      </c>
      <c r="J619" s="33"/>
      <c r="K619" s="35"/>
      <c r="L619" s="33"/>
      <c r="M619" s="36"/>
      <c r="N619" s="33"/>
      <c r="O619" s="36"/>
      <c r="P619" s="33"/>
      <c r="Q619" s="37"/>
      <c r="R619" s="38"/>
      <c r="S619" s="33"/>
      <c r="T619" s="38"/>
      <c r="U619" s="33"/>
      <c r="V619" s="39"/>
      <c r="W619" s="90" t="b">
        <v>0</v>
      </c>
      <c r="X619" s="90" t="b">
        <v>0</v>
      </c>
      <c r="Y619" s="90" t="b">
        <v>0</v>
      </c>
      <c r="Z619" s="40" t="s">
        <v>960</v>
      </c>
      <c r="AA619" s="41"/>
      <c r="AK619" s="16"/>
      <c r="AL619" s="16"/>
      <c r="AM619" s="16"/>
      <c r="AN619" s="16"/>
      <c r="AO619" s="16"/>
      <c r="AP619" s="16"/>
      <c r="AQ619" s="16"/>
      <c r="AR619" s="16"/>
      <c r="AS619" s="16"/>
    </row>
    <row r="620" spans="1:45" s="7" customFormat="1" ht="195" customHeight="1">
      <c r="A620" s="27">
        <f>[1]트램표준체크리스트!A618</f>
        <v>616</v>
      </c>
      <c r="B620" s="28" t="str">
        <f>[1]트램표준체크리스트!B618</f>
        <v>건축</v>
      </c>
      <c r="C620" s="29" t="str">
        <f>[1]트램표준체크리스트!C618</f>
        <v>건축 마감계획</v>
      </c>
      <c r="D620" s="30" t="str">
        <f>[1]트램표준체크리스트!F618</f>
        <v>마감재 설계 시 불연·내화재료 누락으로 화재 시 유독가스 흡입 및 대형 확산 리스크를 검토하였는가?</v>
      </c>
      <c r="E620" s="31" t="s">
        <v>1061</v>
      </c>
      <c r="F620" s="32" t="str">
        <f t="shared" si="19"/>
        <v>극상</v>
      </c>
      <c r="G620" s="63" t="s">
        <v>40</v>
      </c>
      <c r="H620" s="63" t="s">
        <v>41</v>
      </c>
      <c r="I620" s="34" t="s">
        <v>1062</v>
      </c>
      <c r="J620" s="33"/>
      <c r="K620" s="35"/>
      <c r="L620" s="33"/>
      <c r="M620" s="36"/>
      <c r="N620" s="33"/>
      <c r="O620" s="36"/>
      <c r="P620" s="33"/>
      <c r="Q620" s="37"/>
      <c r="R620" s="38"/>
      <c r="S620" s="33"/>
      <c r="T620" s="38"/>
      <c r="U620" s="33"/>
      <c r="V620" s="39"/>
      <c r="W620" s="90" t="b">
        <v>0</v>
      </c>
      <c r="X620" s="90" t="b">
        <v>0</v>
      </c>
      <c r="Y620" s="90" t="b">
        <v>0</v>
      </c>
      <c r="Z620" s="40" t="s">
        <v>960</v>
      </c>
      <c r="AA620" s="41"/>
      <c r="AK620" s="16"/>
      <c r="AL620" s="16"/>
      <c r="AM620" s="16"/>
      <c r="AN620" s="16"/>
      <c r="AO620" s="16"/>
      <c r="AP620" s="16"/>
      <c r="AQ620" s="16"/>
      <c r="AR620" s="16"/>
      <c r="AS620" s="16"/>
    </row>
    <row r="621" spans="1:45" s="7" customFormat="1" ht="195" customHeight="1">
      <c r="A621" s="27">
        <f>[1]트램표준체크리스트!A619</f>
        <v>617</v>
      </c>
      <c r="B621" s="28" t="str">
        <f>[1]트램표준체크리스트!B619</f>
        <v>건축</v>
      </c>
      <c r="C621" s="29" t="str">
        <f>[1]트램표준체크리스트!C619</f>
        <v>건축 방재 및 배치계획</v>
      </c>
      <c r="D621" s="30" t="str">
        <f>[1]트램표준체크리스트!F619</f>
        <v>내관할 구역능(2시간) 부족 및 가연성 마감재 계획으로 화재 시 유독가스 대형 인명피해 및 피난 지연이 유발될 리스크를 검토하였는가?</v>
      </c>
      <c r="E621" s="31" t="s">
        <v>1063</v>
      </c>
      <c r="F621" s="32" t="str">
        <f t="shared" si="19"/>
        <v>극상</v>
      </c>
      <c r="G621" s="63" t="s">
        <v>40</v>
      </c>
      <c r="H621" s="63" t="s">
        <v>41</v>
      </c>
      <c r="I621" s="34" t="s">
        <v>1064</v>
      </c>
      <c r="J621" s="33"/>
      <c r="K621" s="35"/>
      <c r="L621" s="33"/>
      <c r="M621" s="36"/>
      <c r="N621" s="33"/>
      <c r="O621" s="36"/>
      <c r="P621" s="33"/>
      <c r="Q621" s="37"/>
      <c r="R621" s="38"/>
      <c r="S621" s="33"/>
      <c r="T621" s="38"/>
      <c r="U621" s="33"/>
      <c r="V621" s="39"/>
      <c r="W621" s="90" t="b">
        <v>0</v>
      </c>
      <c r="X621" s="90" t="b">
        <v>0</v>
      </c>
      <c r="Y621" s="90" t="b">
        <v>0</v>
      </c>
      <c r="Z621" s="40" t="s">
        <v>960</v>
      </c>
      <c r="AA621" s="41"/>
      <c r="AK621" s="16"/>
      <c r="AL621" s="16"/>
      <c r="AM621" s="16"/>
      <c r="AN621" s="16"/>
      <c r="AO621" s="16"/>
      <c r="AP621" s="16"/>
      <c r="AQ621" s="16"/>
      <c r="AR621" s="16"/>
      <c r="AS621" s="16"/>
    </row>
    <row r="622" spans="1:45" s="7" customFormat="1" ht="195" customHeight="1">
      <c r="A622" s="27">
        <f>[1]트램표준체크리스트!A620</f>
        <v>618</v>
      </c>
      <c r="B622" s="28" t="str">
        <f>[1]트램표준체크리스트!B620</f>
        <v>건축</v>
      </c>
      <c r="C622" s="29" t="str">
        <f>[1]트램표준체크리스트!C620</f>
        <v>건축 방재 및 배치계획</v>
      </c>
      <c r="D622" s="30" t="str">
        <f>[1]트램표준체크리스트!F620</f>
        <v>환기구·수직구의 임의 배치로 지하 화재 시 유독가스 배출 지연 및 피난 동선상 치명적 병목이 발생할 리스크를 검토하였는가?</v>
      </c>
      <c r="E622" s="31" t="s">
        <v>1065</v>
      </c>
      <c r="F622" s="32" t="str">
        <f t="shared" si="19"/>
        <v>극상</v>
      </c>
      <c r="G622" s="63" t="s">
        <v>40</v>
      </c>
      <c r="H622" s="63" t="s">
        <v>41</v>
      </c>
      <c r="I622" s="34" t="s">
        <v>1066</v>
      </c>
      <c r="J622" s="33"/>
      <c r="K622" s="35"/>
      <c r="L622" s="33"/>
      <c r="M622" s="36"/>
      <c r="N622" s="33"/>
      <c r="O622" s="36"/>
      <c r="P622" s="33"/>
      <c r="Q622" s="37"/>
      <c r="R622" s="38"/>
      <c r="S622" s="33"/>
      <c r="T622" s="38"/>
      <c r="U622" s="33"/>
      <c r="V622" s="39"/>
      <c r="W622" s="90" t="b">
        <v>0</v>
      </c>
      <c r="X622" s="90" t="b">
        <v>0</v>
      </c>
      <c r="Y622" s="90" t="b">
        <v>0</v>
      </c>
      <c r="Z622" s="40" t="s">
        <v>960</v>
      </c>
      <c r="AA622" s="41"/>
      <c r="AK622" s="16"/>
      <c r="AL622" s="16"/>
      <c r="AM622" s="16"/>
      <c r="AN622" s="16"/>
      <c r="AO622" s="16"/>
      <c r="AP622" s="16"/>
      <c r="AQ622" s="16"/>
      <c r="AR622" s="16"/>
      <c r="AS622" s="16"/>
    </row>
    <row r="623" spans="1:45" s="7" customFormat="1" ht="195" customHeight="1">
      <c r="A623" s="27">
        <f>[1]트램표준체크리스트!A621</f>
        <v>619</v>
      </c>
      <c r="B623" s="28" t="str">
        <f>[1]트램표준체크리스트!B621</f>
        <v>건축</v>
      </c>
      <c r="C623" s="29" t="str">
        <f>[1]트램표준체크리스트!C621</f>
        <v>건축 부대시설 계획</v>
      </c>
      <c r="D623" s="30" t="str">
        <f>[1]트램표준체크리스트!F621</f>
        <v>편의시설 마감재로 가연성 재료를 설계하거나 무분별하게 배치해, 화재 취약 요인 제공 및 열차 주행·피난 동선을 간섭할 리스크를 검토하였는가?</v>
      </c>
      <c r="E623" s="31" t="s">
        <v>1067</v>
      </c>
      <c r="F623" s="32" t="str">
        <f t="shared" si="19"/>
        <v>극상</v>
      </c>
      <c r="G623" s="63" t="s">
        <v>40</v>
      </c>
      <c r="H623" s="63" t="s">
        <v>41</v>
      </c>
      <c r="I623" s="34" t="s">
        <v>1068</v>
      </c>
      <c r="J623" s="33"/>
      <c r="K623" s="35"/>
      <c r="L623" s="33"/>
      <c r="M623" s="36"/>
      <c r="N623" s="33"/>
      <c r="O623" s="36"/>
      <c r="P623" s="33"/>
      <c r="Q623" s="37"/>
      <c r="R623" s="38"/>
      <c r="S623" s="33"/>
      <c r="T623" s="38"/>
      <c r="U623" s="33"/>
      <c r="V623" s="39"/>
      <c r="W623" s="90" t="b">
        <v>0</v>
      </c>
      <c r="X623" s="90" t="b">
        <v>0</v>
      </c>
      <c r="Y623" s="90" t="b">
        <v>0</v>
      </c>
      <c r="Z623" s="40" t="s">
        <v>960</v>
      </c>
      <c r="AA623" s="41"/>
      <c r="AK623" s="16"/>
      <c r="AL623" s="16"/>
      <c r="AM623" s="16"/>
      <c r="AN623" s="16"/>
      <c r="AO623" s="16"/>
      <c r="AP623" s="16"/>
      <c r="AQ623" s="16"/>
      <c r="AR623" s="16"/>
      <c r="AS623" s="16"/>
    </row>
    <row r="624" spans="1:45" s="7" customFormat="1" ht="195" customHeight="1">
      <c r="A624" s="27">
        <f>[1]트램표준체크리스트!A622</f>
        <v>620</v>
      </c>
      <c r="B624" s="28" t="str">
        <f>[1]트램표준체크리스트!B622</f>
        <v>건축</v>
      </c>
      <c r="C624" s="29" t="str">
        <f>[1]트램표준체크리스트!C622</f>
        <v>건축 승강설비 계획</v>
      </c>
      <c r="D624" s="30" t="str">
        <f>[1]트램표준체크리스트!F622</f>
        <v>수요예측 및 피난 시간 미고려에 따른 승강설비 과소 설계로 출퇴근 혼잡 및 휠체어 이용객 장시간 대기가 발생할 리스크를 검토하였는가?</v>
      </c>
      <c r="E624" s="31" t="s">
        <v>1069</v>
      </c>
      <c r="F624" s="32" t="str">
        <f t="shared" si="19"/>
        <v>극상</v>
      </c>
      <c r="G624" s="63" t="s">
        <v>40</v>
      </c>
      <c r="H624" s="63" t="s">
        <v>41</v>
      </c>
      <c r="I624" s="34" t="s">
        <v>1070</v>
      </c>
      <c r="J624" s="33"/>
      <c r="K624" s="35"/>
      <c r="L624" s="33"/>
      <c r="M624" s="36"/>
      <c r="N624" s="33"/>
      <c r="O624" s="36"/>
      <c r="P624" s="33"/>
      <c r="Q624" s="37"/>
      <c r="R624" s="38"/>
      <c r="S624" s="33"/>
      <c r="T624" s="38"/>
      <c r="U624" s="33"/>
      <c r="V624" s="39"/>
      <c r="W624" s="90" t="b">
        <v>0</v>
      </c>
      <c r="X624" s="90" t="b">
        <v>0</v>
      </c>
      <c r="Y624" s="90" t="b">
        <v>0</v>
      </c>
      <c r="Z624" s="40" t="s">
        <v>960</v>
      </c>
      <c r="AA624" s="41"/>
      <c r="AK624" s="16"/>
      <c r="AL624" s="16"/>
      <c r="AM624" s="16"/>
      <c r="AN624" s="16"/>
      <c r="AO624" s="16"/>
      <c r="AP624" s="16"/>
      <c r="AQ624" s="16"/>
      <c r="AR624" s="16"/>
      <c r="AS624" s="16"/>
    </row>
    <row r="625" spans="1:45" s="7" customFormat="1" ht="195" customHeight="1">
      <c r="A625" s="27">
        <f>[1]트램표준체크리스트!A623</f>
        <v>621</v>
      </c>
      <c r="B625" s="28" t="str">
        <f>[1]트램표준체크리스트!B623</f>
        <v>건축</v>
      </c>
      <c r="C625" s="29" t="str">
        <f>[1]트램표준체크리스트!C623</f>
        <v>건축 안전 및 보호설비</v>
      </c>
      <c r="D625" s="30" t="str">
        <f>[1]트램표준체크리스트!F623</f>
        <v>선로 교차 위험 구간에 물리적 보호설비(안전펜스 등) 누락으로 군중 밀집 시 승객 선로 침입 및 열차 충돌 사고가 발생할 리스크를 검토하였는가?</v>
      </c>
      <c r="E625" s="31" t="s">
        <v>1071</v>
      </c>
      <c r="F625" s="32" t="str">
        <f t="shared" si="19"/>
        <v>극상</v>
      </c>
      <c r="G625" s="63" t="s">
        <v>40</v>
      </c>
      <c r="H625" s="63" t="s">
        <v>41</v>
      </c>
      <c r="I625" s="34" t="s">
        <v>1072</v>
      </c>
      <c r="J625" s="33"/>
      <c r="K625" s="35"/>
      <c r="L625" s="33"/>
      <c r="M625" s="36"/>
      <c r="N625" s="33"/>
      <c r="O625" s="36"/>
      <c r="P625" s="33"/>
      <c r="Q625" s="37"/>
      <c r="R625" s="38"/>
      <c r="S625" s="33"/>
      <c r="T625" s="38"/>
      <c r="U625" s="33"/>
      <c r="V625" s="39"/>
      <c r="W625" s="90" t="b">
        <v>0</v>
      </c>
      <c r="X625" s="90" t="b">
        <v>0</v>
      </c>
      <c r="Y625" s="90" t="b">
        <v>0</v>
      </c>
      <c r="Z625" s="40" t="s">
        <v>960</v>
      </c>
      <c r="AA625" s="41"/>
      <c r="AK625" s="16"/>
      <c r="AL625" s="16"/>
      <c r="AM625" s="16"/>
      <c r="AN625" s="16"/>
      <c r="AO625" s="16"/>
      <c r="AP625" s="16"/>
      <c r="AQ625" s="16"/>
      <c r="AR625" s="16"/>
      <c r="AS625" s="16"/>
    </row>
    <row r="626" spans="1:45" s="7" customFormat="1" ht="195" customHeight="1">
      <c r="A626" s="27">
        <f>[1]트램표준체크리스트!A624</f>
        <v>622</v>
      </c>
      <c r="B626" s="28" t="str">
        <f>[1]트램표준체크리스트!B624</f>
        <v>건축</v>
      </c>
      <c r="C626" s="29" t="str">
        <f>[1]트램표준체크리스트!C624</f>
        <v>건축 유지관리계획</v>
      </c>
      <c r="D626" s="30" t="str">
        <f>[1]트램표준체크리스트!F624</f>
        <v>점검 동선 및 안전 고정장치 누락으로 패널 교체 시 작업자 추락 및 막대한 장비 임대비가 발생할 리스크를 검토하였는가?</v>
      </c>
      <c r="E626" s="31" t="s">
        <v>1073</v>
      </c>
      <c r="F626" s="32" t="str">
        <f t="shared" si="19"/>
        <v>극상</v>
      </c>
      <c r="G626" s="63" t="s">
        <v>40</v>
      </c>
      <c r="H626" s="63" t="s">
        <v>41</v>
      </c>
      <c r="I626" s="34" t="s">
        <v>1074</v>
      </c>
      <c r="J626" s="33"/>
      <c r="K626" s="35"/>
      <c r="L626" s="33"/>
      <c r="M626" s="36"/>
      <c r="N626" s="33"/>
      <c r="O626" s="36"/>
      <c r="P626" s="33"/>
      <c r="Q626" s="37"/>
      <c r="R626" s="38"/>
      <c r="S626" s="33"/>
      <c r="T626" s="38"/>
      <c r="U626" s="33"/>
      <c r="V626" s="39"/>
      <c r="W626" s="90" t="b">
        <v>0</v>
      </c>
      <c r="X626" s="90" t="b">
        <v>0</v>
      </c>
      <c r="Y626" s="90" t="b">
        <v>0</v>
      </c>
      <c r="Z626" s="40" t="s">
        <v>960</v>
      </c>
      <c r="AA626" s="41"/>
      <c r="AK626" s="16"/>
      <c r="AL626" s="16"/>
      <c r="AM626" s="16"/>
      <c r="AN626" s="16"/>
      <c r="AO626" s="16"/>
      <c r="AP626" s="16"/>
      <c r="AQ626" s="16"/>
      <c r="AR626" s="16"/>
      <c r="AS626" s="16"/>
    </row>
    <row r="627" spans="1:45" s="7" customFormat="1" ht="195" customHeight="1">
      <c r="A627" s="27">
        <f>[1]트램표준체크리스트!A625</f>
        <v>623</v>
      </c>
      <c r="B627" s="28" t="str">
        <f>[1]트램표준체크리스트!B625</f>
        <v>건축</v>
      </c>
      <c r="C627" s="29" t="str">
        <f>[1]트램표준체크리스트!C625</f>
        <v>건축 의장 및 마감계획</v>
      </c>
      <c r="D627" s="30" t="str">
        <f>[1]트램표준체크리스트!F625</f>
        <v>철골구조미학 노출 요구조건 미달 및 내식성·내화 도장 시방 누락으로 구조물 부식 및 법적 기준 미달이 발생할 리스크를 검토하였는가?</v>
      </c>
      <c r="E627" s="31" t="s">
        <v>1075</v>
      </c>
      <c r="F627" s="32" t="str">
        <f t="shared" si="19"/>
        <v>극상</v>
      </c>
      <c r="G627" s="63" t="s">
        <v>40</v>
      </c>
      <c r="H627" s="63" t="s">
        <v>41</v>
      </c>
      <c r="I627" s="34" t="s">
        <v>1076</v>
      </c>
      <c r="J627" s="33"/>
      <c r="K627" s="35"/>
      <c r="L627" s="33"/>
      <c r="M627" s="36"/>
      <c r="N627" s="33"/>
      <c r="O627" s="36"/>
      <c r="P627" s="33"/>
      <c r="Q627" s="37"/>
      <c r="R627" s="38"/>
      <c r="S627" s="33"/>
      <c r="T627" s="38"/>
      <c r="U627" s="33"/>
      <c r="V627" s="39"/>
      <c r="W627" s="90" t="b">
        <v>0</v>
      </c>
      <c r="X627" s="90" t="b">
        <v>0</v>
      </c>
      <c r="Y627" s="90" t="b">
        <v>0</v>
      </c>
      <c r="Z627" s="40" t="s">
        <v>960</v>
      </c>
      <c r="AA627" s="41"/>
      <c r="AK627" s="16"/>
      <c r="AL627" s="16"/>
      <c r="AM627" s="16"/>
      <c r="AN627" s="16"/>
      <c r="AO627" s="16"/>
      <c r="AP627" s="16"/>
      <c r="AQ627" s="16"/>
      <c r="AR627" s="16"/>
      <c r="AS627" s="16"/>
    </row>
    <row r="628" spans="1:45" s="7" customFormat="1" ht="195" customHeight="1">
      <c r="A628" s="27">
        <f>[1]트램표준체크리스트!A626</f>
        <v>624</v>
      </c>
      <c r="B628" s="28" t="str">
        <f>[1]트램표준체크리스트!B626</f>
        <v>건축</v>
      </c>
      <c r="C628" s="29" t="str">
        <f>[1]트램표준체크리스트!C626</f>
        <v>건축 피난 유도 마감재 계획</v>
      </c>
      <c r="D628" s="30" t="str">
        <f>[1]트램표준체크리스트!F626</f>
        <v>무전원 야광 마감재(축광식 표지 등) 누락으로 전면 정전·농연 발생 시 승객들이 출구 방향을 잃어 대형 인명피해로 이어질 리스크를 검토하였는가?</v>
      </c>
      <c r="E628" s="31" t="s">
        <v>1077</v>
      </c>
      <c r="F628" s="32" t="str">
        <f t="shared" si="19"/>
        <v>극상</v>
      </c>
      <c r="G628" s="63" t="s">
        <v>40</v>
      </c>
      <c r="H628" s="63" t="s">
        <v>41</v>
      </c>
      <c r="I628" s="34" t="s">
        <v>1078</v>
      </c>
      <c r="J628" s="33"/>
      <c r="K628" s="35"/>
      <c r="L628" s="33"/>
      <c r="M628" s="36"/>
      <c r="N628" s="33"/>
      <c r="O628" s="36"/>
      <c r="P628" s="33"/>
      <c r="Q628" s="37"/>
      <c r="R628" s="38"/>
      <c r="S628" s="33"/>
      <c r="T628" s="38"/>
      <c r="U628" s="33"/>
      <c r="V628" s="39"/>
      <c r="W628" s="90" t="b">
        <v>0</v>
      </c>
      <c r="X628" s="90" t="b">
        <v>0</v>
      </c>
      <c r="Y628" s="90" t="b">
        <v>0</v>
      </c>
      <c r="Z628" s="40" t="s">
        <v>960</v>
      </c>
      <c r="AA628" s="41"/>
      <c r="AK628" s="16"/>
      <c r="AL628" s="16"/>
      <c r="AM628" s="16"/>
      <c r="AN628" s="16"/>
      <c r="AO628" s="16"/>
      <c r="AP628" s="16"/>
      <c r="AQ628" s="16"/>
      <c r="AR628" s="16"/>
      <c r="AS628" s="16"/>
    </row>
    <row r="629" spans="1:45" s="7" customFormat="1" ht="195" customHeight="1">
      <c r="A629" s="27">
        <f>[1]트램표준체크리스트!A627</f>
        <v>625</v>
      </c>
      <c r="B629" s="28" t="str">
        <f>[1]트램표준체크리스트!B627</f>
        <v>건축</v>
      </c>
      <c r="C629" s="29" t="str">
        <f>[1]트램표준체크리스트!C627</f>
        <v>건축 환경 및 에너지계획</v>
      </c>
      <c r="D629" s="30" t="str">
        <f>[1]트램표준체크리스트!F627</f>
        <v>LCC·친환경 분석 없이 저가·유지관리 곤란 자재(수성페인트 등)를 설계에 반영해, 운영 시 냉난방·보수 예산이 낭비될 리스크를 검토하였는가?</v>
      </c>
      <c r="E629" s="31" t="s">
        <v>1079</v>
      </c>
      <c r="F629" s="32" t="str">
        <f t="shared" si="19"/>
        <v>극상</v>
      </c>
      <c r="G629" s="63" t="s">
        <v>40</v>
      </c>
      <c r="H629" s="63" t="s">
        <v>41</v>
      </c>
      <c r="I629" s="34" t="s">
        <v>1080</v>
      </c>
      <c r="J629" s="33"/>
      <c r="K629" s="35"/>
      <c r="L629" s="33"/>
      <c r="M629" s="36"/>
      <c r="N629" s="33"/>
      <c r="O629" s="36"/>
      <c r="P629" s="33"/>
      <c r="Q629" s="37"/>
      <c r="R629" s="38"/>
      <c r="S629" s="33"/>
      <c r="T629" s="38"/>
      <c r="U629" s="33"/>
      <c r="V629" s="39"/>
      <c r="W629" s="90" t="b">
        <v>0</v>
      </c>
      <c r="X629" s="90" t="b">
        <v>0</v>
      </c>
      <c r="Y629" s="90" t="b">
        <v>0</v>
      </c>
      <c r="Z629" s="40" t="s">
        <v>954</v>
      </c>
      <c r="AA629" s="41"/>
      <c r="AK629" s="16"/>
      <c r="AL629" s="16"/>
      <c r="AM629" s="16"/>
      <c r="AN629" s="16"/>
      <c r="AO629" s="16"/>
      <c r="AP629" s="16"/>
      <c r="AQ629" s="16"/>
      <c r="AR629" s="16"/>
      <c r="AS629" s="16"/>
    </row>
    <row r="630" spans="1:45" s="7" customFormat="1" ht="195" customHeight="1">
      <c r="A630" s="27">
        <f>[1]트램표준체크리스트!A628</f>
        <v>626</v>
      </c>
      <c r="B630" s="28" t="str">
        <f>[1]트램표준체크리스트!B628</f>
        <v>건축</v>
      </c>
      <c r="C630" s="29" t="str">
        <f>[1]트램표준체크리스트!C628</f>
        <v>건축-기계설비 인터페이스</v>
      </c>
      <c r="D630" s="30" t="str">
        <f>[1]트램표준체크리스트!F628</f>
        <v>기계실·전기실 바닥 단차 및 차수턱 설계 누락으로 누수 시 전기실이 침수되어 전력이 셧다운될 리스크를 검토하였는가?</v>
      </c>
      <c r="E630" s="31" t="s">
        <v>1081</v>
      </c>
      <c r="F630" s="32" t="str">
        <f t="shared" si="19"/>
        <v>극상</v>
      </c>
      <c r="G630" s="63" t="s">
        <v>40</v>
      </c>
      <c r="H630" s="63" t="s">
        <v>41</v>
      </c>
      <c r="I630" s="34" t="s">
        <v>1082</v>
      </c>
      <c r="J630" s="33"/>
      <c r="K630" s="35"/>
      <c r="L630" s="33"/>
      <c r="M630" s="36"/>
      <c r="N630" s="33"/>
      <c r="O630" s="36"/>
      <c r="P630" s="33"/>
      <c r="Q630" s="37"/>
      <c r="R630" s="38"/>
      <c r="S630" s="33"/>
      <c r="T630" s="38"/>
      <c r="U630" s="33"/>
      <c r="V630" s="39"/>
      <c r="W630" s="90" t="b">
        <v>0</v>
      </c>
      <c r="X630" s="90" t="b">
        <v>0</v>
      </c>
      <c r="Y630" s="90" t="b">
        <v>0</v>
      </c>
      <c r="Z630" s="40" t="s">
        <v>944</v>
      </c>
      <c r="AA630" s="41"/>
      <c r="AK630" s="16"/>
      <c r="AL630" s="16"/>
      <c r="AM630" s="16"/>
      <c r="AN630" s="16"/>
      <c r="AO630" s="16"/>
      <c r="AP630" s="16"/>
      <c r="AQ630" s="16"/>
      <c r="AR630" s="16"/>
      <c r="AS630" s="16"/>
    </row>
    <row r="631" spans="1:45" s="7" customFormat="1" ht="195" customHeight="1">
      <c r="A631" s="27">
        <f>[1]트램표준체크리스트!A629</f>
        <v>627</v>
      </c>
      <c r="B631" s="28" t="str">
        <f>[1]트램표준체크리스트!B629</f>
        <v>건축</v>
      </c>
      <c r="C631" s="29" t="str">
        <f>[1]트램표준체크리스트!C629</f>
        <v>건축-기계설비 인터페이스</v>
      </c>
      <c r="D631" s="30" t="str">
        <f>[1]트램표준체크리스트!F629</f>
        <v>실시설계 완료 후 관련법 기준의 개수 스펙 변경, 분리선 도시 물량의 변경 리스크를 검토하였는가?</v>
      </c>
      <c r="E631" s="31" t="s">
        <v>1083</v>
      </c>
      <c r="F631" s="32" t="str">
        <f t="shared" si="19"/>
        <v>극상</v>
      </c>
      <c r="G631" s="63" t="s">
        <v>40</v>
      </c>
      <c r="H631" s="63" t="s">
        <v>41</v>
      </c>
      <c r="I631" s="34" t="s">
        <v>1084</v>
      </c>
      <c r="J631" s="33"/>
      <c r="K631" s="35"/>
      <c r="L631" s="33"/>
      <c r="M631" s="36"/>
      <c r="N631" s="33"/>
      <c r="O631" s="36"/>
      <c r="P631" s="33"/>
      <c r="Q631" s="37"/>
      <c r="R631" s="38"/>
      <c r="S631" s="33"/>
      <c r="T631" s="38"/>
      <c r="U631" s="33"/>
      <c r="V631" s="39"/>
      <c r="W631" s="90" t="b">
        <v>0</v>
      </c>
      <c r="X631" s="90" t="b">
        <v>0</v>
      </c>
      <c r="Y631" s="90" t="b">
        <v>0</v>
      </c>
      <c r="Z631" s="40" t="s">
        <v>832</v>
      </c>
      <c r="AA631" s="41"/>
      <c r="AK631" s="16"/>
      <c r="AL631" s="16"/>
      <c r="AM631" s="16"/>
      <c r="AN631" s="16"/>
      <c r="AO631" s="16"/>
      <c r="AP631" s="16"/>
      <c r="AQ631" s="16"/>
      <c r="AR631" s="16"/>
      <c r="AS631" s="16"/>
    </row>
    <row r="632" spans="1:45" s="7" customFormat="1" ht="195" customHeight="1">
      <c r="A632" s="27">
        <f>[1]트램표준체크리스트!A630</f>
        <v>628</v>
      </c>
      <c r="B632" s="28" t="str">
        <f>[1]트램표준체크리스트!B630</f>
        <v>건축</v>
      </c>
      <c r="C632" s="29" t="str">
        <f>[1]트램표준체크리스트!C630</f>
        <v>건축-시스템 인터페이스</v>
      </c>
      <c r="D632" s="30" t="str">
        <f>[1]트램표준체크리스트!F630</f>
        <v>충전·신호설비 공간 구성 누락으로 대형 설비가 돌출돼 승객 동선 간섭 및 미관 저하가 발생할 리스크를 검토하였는가?</v>
      </c>
      <c r="E632" s="31" t="s">
        <v>1085</v>
      </c>
      <c r="F632" s="32" t="str">
        <f t="shared" si="19"/>
        <v>극상</v>
      </c>
      <c r="G632" s="63" t="s">
        <v>40</v>
      </c>
      <c r="H632" s="63" t="s">
        <v>41</v>
      </c>
      <c r="I632" s="34" t="s">
        <v>1086</v>
      </c>
      <c r="J632" s="33"/>
      <c r="K632" s="35"/>
      <c r="L632" s="33"/>
      <c r="M632" s="36"/>
      <c r="N632" s="33"/>
      <c r="O632" s="36"/>
      <c r="P632" s="33"/>
      <c r="Q632" s="37"/>
      <c r="R632" s="38"/>
      <c r="S632" s="33"/>
      <c r="T632" s="38"/>
      <c r="U632" s="33"/>
      <c r="V632" s="39"/>
      <c r="W632" s="90" t="b">
        <v>0</v>
      </c>
      <c r="X632" s="90" t="b">
        <v>0</v>
      </c>
      <c r="Y632" s="90" t="b">
        <v>0</v>
      </c>
      <c r="Z632" s="40" t="s">
        <v>469</v>
      </c>
      <c r="AA632" s="41"/>
      <c r="AK632" s="16"/>
      <c r="AL632" s="16"/>
      <c r="AM632" s="16"/>
      <c r="AN632" s="16"/>
      <c r="AO632" s="16"/>
      <c r="AP632" s="16"/>
      <c r="AQ632" s="16"/>
      <c r="AR632" s="16"/>
      <c r="AS632" s="16"/>
    </row>
    <row r="633" spans="1:45" s="7" customFormat="1" ht="195" customHeight="1">
      <c r="A633" s="27">
        <f>[1]트램표준체크리스트!A631</f>
        <v>629</v>
      </c>
      <c r="B633" s="28" t="str">
        <f>[1]트램표준체크리스트!B631</f>
        <v>건축</v>
      </c>
      <c r="C633" s="29" t="str">
        <f>[1]트램표준체크리스트!C631</f>
        <v>건축-토목 인터페이스</v>
      </c>
      <c r="D633" s="30" t="str">
        <f>[1]트램표준체크리스트!F631</f>
        <v>조인트 등 누수 취약구간에 대한 유도배수 대책 및 점검구 설계 누락으로 준공 후 마감재 오염 및 탈락이 발생할 리스크를 검토하였는가?</v>
      </c>
      <c r="E633" s="31" t="s">
        <v>1087</v>
      </c>
      <c r="F633" s="32" t="str">
        <f t="shared" si="19"/>
        <v>극상</v>
      </c>
      <c r="G633" s="63" t="s">
        <v>40</v>
      </c>
      <c r="H633" s="63" t="s">
        <v>41</v>
      </c>
      <c r="I633" s="34" t="s">
        <v>1088</v>
      </c>
      <c r="J633" s="33"/>
      <c r="K633" s="35"/>
      <c r="L633" s="33"/>
      <c r="M633" s="36"/>
      <c r="N633" s="33"/>
      <c r="O633" s="36"/>
      <c r="P633" s="33"/>
      <c r="Q633" s="37"/>
      <c r="R633" s="38"/>
      <c r="S633" s="33"/>
      <c r="T633" s="38"/>
      <c r="U633" s="33"/>
      <c r="V633" s="39"/>
      <c r="W633" s="90" t="b">
        <v>0</v>
      </c>
      <c r="X633" s="90" t="b">
        <v>0</v>
      </c>
      <c r="Y633" s="90" t="b">
        <v>0</v>
      </c>
      <c r="Z633" s="40" t="s">
        <v>1089</v>
      </c>
      <c r="AA633" s="41"/>
      <c r="AK633" s="16"/>
      <c r="AL633" s="16"/>
      <c r="AM633" s="16"/>
      <c r="AN633" s="16"/>
      <c r="AO633" s="16"/>
      <c r="AP633" s="16"/>
      <c r="AQ633" s="16"/>
      <c r="AR633" s="16"/>
      <c r="AS633" s="16"/>
    </row>
    <row r="634" spans="1:45" s="7" customFormat="1" ht="195" customHeight="1">
      <c r="A634" s="27">
        <f>[1]트램표준체크리스트!A632</f>
        <v>630</v>
      </c>
      <c r="B634" s="28" t="str">
        <f>[1]트램표준체크리스트!B632</f>
        <v>건축</v>
      </c>
      <c r="C634" s="29" t="str">
        <f>[1]트램표준체크리스트!C632</f>
        <v>건축물 마감재 유지관리 계획</v>
      </c>
      <c r="D634" s="30" t="str">
        <f>[1]트램표준체크리스트!F632</f>
        <v>일체형 마감 설계 및 점검구 누락으로 누수·균열 시 마감재 전체 파손·철거가 요구되는 유지관리 리스크를 검토하였는가?</v>
      </c>
      <c r="E634" s="31" t="s">
        <v>1090</v>
      </c>
      <c r="F634" s="32" t="str">
        <f t="shared" si="19"/>
        <v>극상</v>
      </c>
      <c r="G634" s="63" t="s">
        <v>40</v>
      </c>
      <c r="H634" s="63" t="s">
        <v>41</v>
      </c>
      <c r="I634" s="34" t="s">
        <v>1091</v>
      </c>
      <c r="J634" s="33"/>
      <c r="K634" s="35"/>
      <c r="L634" s="33"/>
      <c r="M634" s="36"/>
      <c r="N634" s="33"/>
      <c r="O634" s="36"/>
      <c r="P634" s="33"/>
      <c r="Q634" s="37"/>
      <c r="R634" s="38"/>
      <c r="S634" s="33"/>
      <c r="T634" s="38"/>
      <c r="U634" s="33"/>
      <c r="V634" s="39"/>
      <c r="W634" s="90" t="b">
        <v>0</v>
      </c>
      <c r="X634" s="90" t="b">
        <v>0</v>
      </c>
      <c r="Y634" s="90" t="b">
        <v>0</v>
      </c>
      <c r="Z634" s="40" t="s">
        <v>689</v>
      </c>
      <c r="AA634" s="41"/>
      <c r="AK634" s="16"/>
      <c r="AL634" s="16"/>
      <c r="AM634" s="16"/>
      <c r="AN634" s="16"/>
      <c r="AO634" s="16"/>
      <c r="AP634" s="16"/>
      <c r="AQ634" s="16"/>
      <c r="AR634" s="16"/>
      <c r="AS634" s="16"/>
    </row>
    <row r="635" spans="1:45" s="7" customFormat="1" ht="195" customHeight="1">
      <c r="A635" s="27">
        <f>[1]트램표준체크리스트!A633</f>
        <v>631</v>
      </c>
      <c r="B635" s="28" t="str">
        <f>[1]트램표준체크리스트!B633</f>
        <v>건축</v>
      </c>
      <c r="C635" s="29" t="str">
        <f>[1]트램표준체크리스트!C633</f>
        <v>건축물 마감재 유지관리 계획</v>
      </c>
      <c r="D635" s="30" t="str">
        <f>[1]트램표준체크리스트!F633</f>
        <v>랜드마크 계획 장기화 규모 축소, 상가 개방감 저해, 설치요산 유지관리비 발생 리스크를 검토하였는가?</v>
      </c>
      <c r="E635" s="31" t="s">
        <v>1092</v>
      </c>
      <c r="F635" s="32" t="str">
        <f t="shared" si="19"/>
        <v>극상</v>
      </c>
      <c r="G635" s="63" t="s">
        <v>40</v>
      </c>
      <c r="H635" s="63" t="s">
        <v>41</v>
      </c>
      <c r="I635" s="34" t="s">
        <v>1093</v>
      </c>
      <c r="J635" s="33"/>
      <c r="K635" s="35"/>
      <c r="L635" s="33"/>
      <c r="M635" s="36"/>
      <c r="N635" s="33"/>
      <c r="O635" s="36"/>
      <c r="P635" s="33"/>
      <c r="Q635" s="37"/>
      <c r="R635" s="38"/>
      <c r="S635" s="33"/>
      <c r="T635" s="38"/>
      <c r="U635" s="33"/>
      <c r="V635" s="39"/>
      <c r="W635" s="90" t="b">
        <v>0</v>
      </c>
      <c r="X635" s="90" t="b">
        <v>0</v>
      </c>
      <c r="Y635" s="90" t="b">
        <v>0</v>
      </c>
      <c r="Z635" s="40" t="s">
        <v>954</v>
      </c>
      <c r="AA635" s="41"/>
      <c r="AK635" s="16"/>
      <c r="AL635" s="16"/>
      <c r="AM635" s="16"/>
      <c r="AN635" s="16"/>
      <c r="AO635" s="16"/>
      <c r="AP635" s="16"/>
      <c r="AQ635" s="16"/>
      <c r="AR635" s="16"/>
      <c r="AS635" s="16"/>
    </row>
    <row r="636" spans="1:45" s="7" customFormat="1" ht="195" customHeight="1">
      <c r="A636" s="27">
        <f>[1]트램표준체크리스트!A634</f>
        <v>632</v>
      </c>
      <c r="B636" s="28" t="str">
        <f>[1]트램표준체크리스트!B634</f>
        <v>건축</v>
      </c>
      <c r="C636" s="29" t="str">
        <f>[1]트램표준체크리스트!C634</f>
        <v>교통약자 이동편의시설 계획</v>
      </c>
      <c r="D636" s="30" t="str">
        <f>[1]트램표준체크리스트!F634</f>
        <v>진입부 경사로 기울기 1/18 초과 및 내부 단차 설계로, 개통 전 BF 본인증 취득 실패 및 재시공이 발생할 리스크를 검토하였는가?</v>
      </c>
      <c r="E636" s="31" t="s">
        <v>1094</v>
      </c>
      <c r="F636" s="32" t="str">
        <f t="shared" si="19"/>
        <v>극상</v>
      </c>
      <c r="G636" s="63" t="s">
        <v>40</v>
      </c>
      <c r="H636" s="63" t="s">
        <v>41</v>
      </c>
      <c r="I636" s="34" t="s">
        <v>1095</v>
      </c>
      <c r="J636" s="33"/>
      <c r="K636" s="35"/>
      <c r="L636" s="33"/>
      <c r="M636" s="36"/>
      <c r="N636" s="33"/>
      <c r="O636" s="36"/>
      <c r="P636" s="33"/>
      <c r="Q636" s="37"/>
      <c r="R636" s="38"/>
      <c r="S636" s="33"/>
      <c r="T636" s="38"/>
      <c r="U636" s="33"/>
      <c r="V636" s="39"/>
      <c r="W636" s="90" t="b">
        <v>0</v>
      </c>
      <c r="X636" s="90" t="b">
        <v>0</v>
      </c>
      <c r="Y636" s="90" t="b">
        <v>0</v>
      </c>
      <c r="Z636" s="40" t="s">
        <v>671</v>
      </c>
      <c r="AA636" s="41"/>
      <c r="AK636" s="16"/>
      <c r="AL636" s="16"/>
      <c r="AM636" s="16"/>
      <c r="AN636" s="16"/>
      <c r="AO636" s="16"/>
      <c r="AP636" s="16"/>
      <c r="AQ636" s="16"/>
      <c r="AR636" s="16"/>
      <c r="AS636" s="16"/>
    </row>
    <row r="637" spans="1:45" s="7" customFormat="1" ht="195" customHeight="1">
      <c r="A637" s="27">
        <f>[1]트램표준체크리스트!A635</f>
        <v>633</v>
      </c>
      <c r="B637" s="28" t="str">
        <f>[1]트램표준체크리스트!B635</f>
        <v>건축</v>
      </c>
      <c r="C637" s="29" t="str">
        <f>[1]트램표준체크리스트!C635</f>
        <v>기타</v>
      </c>
      <c r="D637" s="30" t="str">
        <f>[1]트램표준체크리스트!F635</f>
        <v>청소 검수후 일반차 진입이 어렵다는 판단으로 소화전의 거리와 협의 후 옥외소화전 및 연결송수구의 위치를 변경 리스크를 검토하였는가?</v>
      </c>
      <c r="E637" s="31" t="s">
        <v>1096</v>
      </c>
      <c r="F637" s="32" t="str">
        <f t="shared" si="19"/>
        <v>극상</v>
      </c>
      <c r="G637" s="63" t="s">
        <v>40</v>
      </c>
      <c r="H637" s="63" t="s">
        <v>41</v>
      </c>
      <c r="I637" s="34" t="s">
        <v>1097</v>
      </c>
      <c r="J637" s="33"/>
      <c r="K637" s="35"/>
      <c r="L637" s="33"/>
      <c r="M637" s="36"/>
      <c r="N637" s="33"/>
      <c r="O637" s="36"/>
      <c r="P637" s="33"/>
      <c r="Q637" s="37"/>
      <c r="R637" s="38"/>
      <c r="S637" s="33"/>
      <c r="T637" s="38"/>
      <c r="U637" s="33"/>
      <c r="V637" s="39"/>
      <c r="W637" s="90" t="b">
        <v>0</v>
      </c>
      <c r="X637" s="90" t="b">
        <v>0</v>
      </c>
      <c r="Y637" s="90" t="b">
        <v>0</v>
      </c>
      <c r="Z637" s="40" t="s">
        <v>944</v>
      </c>
      <c r="AA637" s="41"/>
      <c r="AK637" s="16"/>
      <c r="AL637" s="16"/>
      <c r="AM637" s="16"/>
      <c r="AN637" s="16"/>
      <c r="AO637" s="16"/>
      <c r="AP637" s="16"/>
      <c r="AQ637" s="16"/>
      <c r="AR637" s="16"/>
      <c r="AS637" s="16"/>
    </row>
    <row r="638" spans="1:45" s="7" customFormat="1" ht="195" customHeight="1">
      <c r="A638" s="27">
        <f>[1]트램표준체크리스트!A636</f>
        <v>634</v>
      </c>
      <c r="B638" s="28" t="str">
        <f>[1]트램표준체크리스트!B636</f>
        <v>건축</v>
      </c>
      <c r="C638" s="29" t="str">
        <f>[1]트램표준체크리스트!C636</f>
        <v>스마트 건축시공 계획</v>
      </c>
      <c r="D638" s="30" t="str">
        <f>[1]트램표준체크리스트!F636</f>
        <v>IoT 변위 센서 및 ICT 스마트 안전관리 시스템 설계 누락으로 스마트 건설기술 지침을 위반하고 고위험 작업 안전 사각지대를 유발할 리스크를 검토하였는가?</v>
      </c>
      <c r="E638" s="31" t="s">
        <v>1098</v>
      </c>
      <c r="F638" s="32" t="str">
        <f t="shared" si="19"/>
        <v>극상</v>
      </c>
      <c r="G638" s="63" t="s">
        <v>40</v>
      </c>
      <c r="H638" s="63" t="s">
        <v>41</v>
      </c>
      <c r="I638" s="34" t="s">
        <v>1099</v>
      </c>
      <c r="J638" s="33"/>
      <c r="K638" s="35"/>
      <c r="L638" s="33"/>
      <c r="M638" s="36"/>
      <c r="N638" s="33"/>
      <c r="O638" s="36"/>
      <c r="P638" s="33"/>
      <c r="Q638" s="37"/>
      <c r="R638" s="38"/>
      <c r="S638" s="33"/>
      <c r="T638" s="38"/>
      <c r="U638" s="33"/>
      <c r="V638" s="39"/>
      <c r="W638" s="90" t="b">
        <v>0</v>
      </c>
      <c r="X638" s="90" t="b">
        <v>0</v>
      </c>
      <c r="Y638" s="90" t="b">
        <v>0</v>
      </c>
      <c r="Z638" s="40" t="s">
        <v>832</v>
      </c>
      <c r="AA638" s="41"/>
      <c r="AK638" s="16"/>
      <c r="AL638" s="16"/>
      <c r="AM638" s="16"/>
      <c r="AN638" s="16"/>
      <c r="AO638" s="16"/>
      <c r="AP638" s="16"/>
      <c r="AQ638" s="16"/>
      <c r="AR638" s="16"/>
      <c r="AS638" s="16"/>
    </row>
    <row r="639" spans="1:45" s="7" customFormat="1" ht="195" customHeight="1">
      <c r="A639" s="27">
        <f>[1]트램표준체크리스트!A637</f>
        <v>635</v>
      </c>
      <c r="B639" s="28" t="str">
        <f>[1]트램표준체크리스트!B637</f>
        <v>건축</v>
      </c>
      <c r="C639" s="29" t="str">
        <f>[1]트램표준체크리스트!C637</f>
        <v>스마트 건축시공 계획</v>
      </c>
      <c r="D639" s="30" t="str">
        <f>[1]트램표준체크리스트!F637</f>
        <v>본선 시종점 정거장 기관사 및 청소원 대기실 필요 리스크를 검토하였는가?</v>
      </c>
      <c r="E639" s="31" t="s">
        <v>1100</v>
      </c>
      <c r="F639" s="32" t="str">
        <f t="shared" si="19"/>
        <v>극상</v>
      </c>
      <c r="G639" s="63" t="s">
        <v>40</v>
      </c>
      <c r="H639" s="63" t="s">
        <v>41</v>
      </c>
      <c r="I639" s="34" t="s">
        <v>1101</v>
      </c>
      <c r="J639" s="33"/>
      <c r="K639" s="35"/>
      <c r="L639" s="33"/>
      <c r="M639" s="36"/>
      <c r="N639" s="33"/>
      <c r="O639" s="36"/>
      <c r="P639" s="33"/>
      <c r="Q639" s="37"/>
      <c r="R639" s="38"/>
      <c r="S639" s="33"/>
      <c r="T639" s="38"/>
      <c r="U639" s="33"/>
      <c r="V639" s="39"/>
      <c r="W639" s="90" t="b">
        <v>0</v>
      </c>
      <c r="X639" s="90" t="b">
        <v>0</v>
      </c>
      <c r="Y639" s="90" t="b">
        <v>0</v>
      </c>
      <c r="Z639" s="40" t="s">
        <v>832</v>
      </c>
      <c r="AA639" s="41"/>
      <c r="AK639" s="16"/>
      <c r="AL639" s="16"/>
      <c r="AM639" s="16"/>
      <c r="AN639" s="16"/>
      <c r="AO639" s="16"/>
      <c r="AP639" s="16"/>
      <c r="AQ639" s="16"/>
      <c r="AR639" s="16"/>
      <c r="AS639" s="16"/>
    </row>
    <row r="640" spans="1:45" s="7" customFormat="1" ht="195" customHeight="1">
      <c r="A640" s="27">
        <f>[1]트램표준체크리스트!A638</f>
        <v>636</v>
      </c>
      <c r="B640" s="28" t="str">
        <f>[1]트램표준체크리스트!B638</f>
        <v>건축</v>
      </c>
      <c r="C640" s="29" t="str">
        <f>[1]트램표준체크리스트!C638</f>
        <v>승강장 한계관리 계획</v>
      </c>
      <c r="D640" s="30" t="str">
        <f>[1]트램표준체크리스트!F638</f>
        <v>승강장·옥외 구조물 설계 시 곡선부 차량·건축한계선 미고려로 완공 후 열차 주행 공간을 간섭할 리스크를 검토하였는가?</v>
      </c>
      <c r="E640" s="31" t="s">
        <v>1102</v>
      </c>
      <c r="F640" s="32" t="str">
        <f t="shared" si="19"/>
        <v>극상</v>
      </c>
      <c r="G640" s="63" t="s">
        <v>40</v>
      </c>
      <c r="H640" s="63" t="s">
        <v>41</v>
      </c>
      <c r="I640" s="34" t="s">
        <v>1103</v>
      </c>
      <c r="J640" s="33"/>
      <c r="K640" s="35"/>
      <c r="L640" s="33"/>
      <c r="M640" s="36"/>
      <c r="N640" s="33"/>
      <c r="O640" s="36"/>
      <c r="P640" s="33"/>
      <c r="Q640" s="37"/>
      <c r="R640" s="38"/>
      <c r="S640" s="33"/>
      <c r="T640" s="38"/>
      <c r="U640" s="33"/>
      <c r="V640" s="39"/>
      <c r="W640" s="90" t="b">
        <v>0</v>
      </c>
      <c r="X640" s="90" t="b">
        <v>0</v>
      </c>
      <c r="Y640" s="90" t="b">
        <v>0</v>
      </c>
      <c r="Z640" s="40" t="s">
        <v>839</v>
      </c>
      <c r="AA640" s="41"/>
      <c r="AK640" s="16"/>
      <c r="AL640" s="16"/>
      <c r="AM640" s="16"/>
      <c r="AN640" s="16"/>
      <c r="AO640" s="16"/>
      <c r="AP640" s="16"/>
      <c r="AQ640" s="16"/>
      <c r="AR640" s="16"/>
      <c r="AS640" s="16"/>
    </row>
    <row r="641" spans="1:45" s="7" customFormat="1" ht="195" customHeight="1">
      <c r="A641" s="27">
        <f>[1]트램표준체크리스트!A639</f>
        <v>637</v>
      </c>
      <c r="B641" s="28" t="str">
        <f>[1]트램표준체크리스트!B639</f>
        <v>건축</v>
      </c>
      <c r="C641" s="29" t="str">
        <f>[1]트램표준체크리스트!C639</f>
        <v>승강장 한계관리 계획</v>
      </c>
      <c r="D641" s="30" t="str">
        <f>[1]트램표준체크리스트!F639</f>
        <v>미끄럼 저항성이 부족한 광택 바닥재 적용으로 우천·긴급 대피 시 승객들의 단체 미끄럼 낙상 및 압사 사고가 발생할 리스크를 검토하였는가?</v>
      </c>
      <c r="E641" s="31" t="s">
        <v>1104</v>
      </c>
      <c r="F641" s="32" t="str">
        <f t="shared" si="19"/>
        <v>극상</v>
      </c>
      <c r="G641" s="63" t="s">
        <v>40</v>
      </c>
      <c r="H641" s="63" t="s">
        <v>41</v>
      </c>
      <c r="I641" s="34" t="s">
        <v>1105</v>
      </c>
      <c r="J641" s="33"/>
      <c r="K641" s="35"/>
      <c r="L641" s="33"/>
      <c r="M641" s="36"/>
      <c r="N641" s="33"/>
      <c r="O641" s="36"/>
      <c r="P641" s="33"/>
      <c r="Q641" s="37"/>
      <c r="R641" s="38"/>
      <c r="S641" s="33"/>
      <c r="T641" s="38"/>
      <c r="U641" s="33"/>
      <c r="V641" s="39"/>
      <c r="W641" s="90" t="b">
        <v>0</v>
      </c>
      <c r="X641" s="90" t="b">
        <v>0</v>
      </c>
      <c r="Y641" s="90" t="b">
        <v>0</v>
      </c>
      <c r="Z641" s="40" t="s">
        <v>954</v>
      </c>
      <c r="AA641" s="41"/>
      <c r="AK641" s="16"/>
      <c r="AL641" s="16"/>
      <c r="AM641" s="16"/>
      <c r="AN641" s="16"/>
      <c r="AO641" s="16"/>
      <c r="AP641" s="16"/>
      <c r="AQ641" s="16"/>
      <c r="AR641" s="16"/>
      <c r="AS641" s="16"/>
    </row>
    <row r="642" spans="1:45" s="7" customFormat="1" ht="195" customHeight="1">
      <c r="A642" s="27">
        <f>[1]트램표준체크리스트!A640</f>
        <v>638</v>
      </c>
      <c r="B642" s="28" t="str">
        <f>[1]트램표준체크리스트!B640</f>
        <v>건축</v>
      </c>
      <c r="C642" s="29" t="str">
        <f>[1]트램표준체크리스트!C640</f>
        <v>승강장 한계관리 계획</v>
      </c>
      <c r="D642" s="30" t="str">
        <f>[1]트램표준체크리스트!F640</f>
        <v>승강장 내 불필요한 기능실 설계로 여객 동선 연장 및 병목현상이 발생해 피난 지연·압사 사고를 유발할 리스크를 검토하였는가?</v>
      </c>
      <c r="E642" s="31" t="s">
        <v>1106</v>
      </c>
      <c r="F642" s="32" t="str">
        <f t="shared" si="19"/>
        <v>극상</v>
      </c>
      <c r="G642" s="63" t="s">
        <v>40</v>
      </c>
      <c r="H642" s="63" t="s">
        <v>41</v>
      </c>
      <c r="I642" s="34" t="s">
        <v>1107</v>
      </c>
      <c r="J642" s="33"/>
      <c r="K642" s="35"/>
      <c r="L642" s="33"/>
      <c r="M642" s="36"/>
      <c r="N642" s="33"/>
      <c r="O642" s="36"/>
      <c r="P642" s="33"/>
      <c r="Q642" s="37"/>
      <c r="R642" s="38"/>
      <c r="S642" s="33"/>
      <c r="T642" s="38"/>
      <c r="U642" s="33"/>
      <c r="V642" s="39"/>
      <c r="W642" s="90" t="b">
        <v>0</v>
      </c>
      <c r="X642" s="90" t="b">
        <v>1</v>
      </c>
      <c r="Y642" s="90" t="b">
        <v>1</v>
      </c>
      <c r="Z642" s="40" t="s">
        <v>944</v>
      </c>
      <c r="AA642" s="41"/>
      <c r="AK642" s="16"/>
      <c r="AL642" s="16"/>
      <c r="AM642" s="16"/>
      <c r="AN642" s="16"/>
      <c r="AO642" s="16"/>
      <c r="AP642" s="16"/>
      <c r="AQ642" s="16"/>
      <c r="AR642" s="16"/>
      <c r="AS642" s="16"/>
    </row>
    <row r="643" spans="1:45" s="7" customFormat="1" ht="195" customHeight="1">
      <c r="A643" s="27">
        <f>[1]트램표준체크리스트!A641</f>
        <v>639</v>
      </c>
      <c r="B643" s="28" t="str">
        <f>[1]트램표준체크리스트!B641</f>
        <v>건축</v>
      </c>
      <c r="C643" s="29" t="str">
        <f>[1]트램표준체크리스트!C641</f>
        <v>승강장 한계관리 계획</v>
      </c>
      <c r="D643" s="30" t="str">
        <f>[1]트램표준체크리스트!F641</f>
        <v>E&amp;M 분야 전선로와의 간섭 검토 누락으로 승객 보행폭 축소 및 설치 공간이 부족해질 리스크를 검토하였는가?</v>
      </c>
      <c r="E643" s="31" t="s">
        <v>1108</v>
      </c>
      <c r="F643" s="32" t="str">
        <f t="shared" si="19"/>
        <v>극상</v>
      </c>
      <c r="G643" s="63" t="s">
        <v>40</v>
      </c>
      <c r="H643" s="63" t="s">
        <v>41</v>
      </c>
      <c r="I643" s="34" t="s">
        <v>1109</v>
      </c>
      <c r="J643" s="33"/>
      <c r="K643" s="35"/>
      <c r="L643" s="33"/>
      <c r="M643" s="36"/>
      <c r="N643" s="33"/>
      <c r="O643" s="36"/>
      <c r="P643" s="33"/>
      <c r="Q643" s="37"/>
      <c r="R643" s="38"/>
      <c r="S643" s="33"/>
      <c r="T643" s="38"/>
      <c r="U643" s="33"/>
      <c r="V643" s="39"/>
      <c r="W643" s="90" t="b">
        <v>0</v>
      </c>
      <c r="X643" s="90" t="b">
        <v>0</v>
      </c>
      <c r="Y643" s="90" t="b">
        <v>0</v>
      </c>
      <c r="Z643" s="40" t="s">
        <v>954</v>
      </c>
      <c r="AA643" s="41"/>
      <c r="AK643" s="16"/>
      <c r="AL643" s="16"/>
      <c r="AM643" s="16"/>
      <c r="AN643" s="16"/>
      <c r="AO643" s="16"/>
      <c r="AP643" s="16"/>
      <c r="AQ643" s="16"/>
      <c r="AR643" s="16"/>
      <c r="AS643" s="16"/>
    </row>
    <row r="644" spans="1:45" s="7" customFormat="1" ht="195" customHeight="1">
      <c r="A644" s="27">
        <f>[1]트램표준체크리스트!A642</f>
        <v>640</v>
      </c>
      <c r="B644" s="28" t="str">
        <f>[1]트램표준체크리스트!B642</f>
        <v>건축</v>
      </c>
      <c r="C644" s="29" t="str">
        <f>[1]트램표준체크리스트!C642</f>
        <v>승무원 근무환경 및 편의시설 계획</v>
      </c>
      <c r="D644" s="30" t="str">
        <f>[1]트램표준체크리스트!F642</f>
        <v>승무원 전용 휴게·대기공간 누락 및 과소 산정으로 근무환경 악화 및 피로 누적에 따른 안전 운행 저해 리스크를 검토하였는가?</v>
      </c>
      <c r="E644" s="31" t="s">
        <v>1110</v>
      </c>
      <c r="F644" s="32" t="str">
        <f t="shared" si="19"/>
        <v>극상</v>
      </c>
      <c r="G644" s="63" t="s">
        <v>40</v>
      </c>
      <c r="H644" s="63" t="s">
        <v>41</v>
      </c>
      <c r="I644" s="34" t="s">
        <v>1111</v>
      </c>
      <c r="J644" s="33"/>
      <c r="K644" s="35"/>
      <c r="L644" s="33"/>
      <c r="M644" s="36"/>
      <c r="N644" s="33"/>
      <c r="O644" s="36"/>
      <c r="P644" s="33"/>
      <c r="Q644" s="37"/>
      <c r="R644" s="38"/>
      <c r="S644" s="33"/>
      <c r="T644" s="38"/>
      <c r="U644" s="33"/>
      <c r="V644" s="39"/>
      <c r="W644" s="90" t="b">
        <v>1</v>
      </c>
      <c r="X644" s="90" t="b">
        <v>0</v>
      </c>
      <c r="Y644" s="90" t="b">
        <v>1</v>
      </c>
      <c r="Z644" s="40" t="s">
        <v>469</v>
      </c>
      <c r="AA644" s="41"/>
      <c r="AK644" s="16"/>
      <c r="AL644" s="16"/>
      <c r="AM644" s="16"/>
      <c r="AN644" s="16"/>
      <c r="AO644" s="16"/>
      <c r="AP644" s="16"/>
      <c r="AQ644" s="16"/>
      <c r="AR644" s="16"/>
      <c r="AS644" s="16"/>
    </row>
    <row r="645" spans="1:45" s="7" customFormat="1" ht="195" customHeight="1">
      <c r="A645" s="27">
        <f>[1]트램표준체크리스트!A643</f>
        <v>641</v>
      </c>
      <c r="B645" s="28" t="str">
        <f>[1]트램표준체크리스트!B643</f>
        <v>건축</v>
      </c>
      <c r="C645" s="29" t="str">
        <f>[1]트램표준체크리스트!C643</f>
        <v>신재생에너지 건축 통합설계</v>
      </c>
      <c r="D645" s="30" t="str">
        <f>[1]트램표준체크리스트!F643</f>
        <v>BIPV 등 통합 설계 및 하중 검토 누락으로 장비가 외관에 돌출돼 경관을 훼손할 리스크를 검토하였는가?</v>
      </c>
      <c r="E645" s="31" t="s">
        <v>1112</v>
      </c>
      <c r="F645" s="32" t="str">
        <f t="shared" si="19"/>
        <v>극상</v>
      </c>
      <c r="G645" s="63" t="s">
        <v>40</v>
      </c>
      <c r="H645" s="63" t="s">
        <v>41</v>
      </c>
      <c r="I645" s="34" t="s">
        <v>1113</v>
      </c>
      <c r="J645" s="33"/>
      <c r="K645" s="35"/>
      <c r="L645" s="33"/>
      <c r="M645" s="36"/>
      <c r="N645" s="33"/>
      <c r="O645" s="36"/>
      <c r="P645" s="33"/>
      <c r="Q645" s="37"/>
      <c r="R645" s="38"/>
      <c r="S645" s="33"/>
      <c r="T645" s="38"/>
      <c r="U645" s="33"/>
      <c r="V645" s="39"/>
      <c r="W645" s="90" t="b">
        <v>0</v>
      </c>
      <c r="X645" s="90" t="b">
        <v>0</v>
      </c>
      <c r="Y645" s="90" t="b">
        <v>0</v>
      </c>
      <c r="Z645" s="40" t="s">
        <v>692</v>
      </c>
      <c r="AA645" s="41"/>
      <c r="AK645" s="16"/>
      <c r="AL645" s="16"/>
      <c r="AM645" s="16"/>
      <c r="AN645" s="16"/>
      <c r="AO645" s="16"/>
      <c r="AP645" s="16"/>
      <c r="AQ645" s="16"/>
      <c r="AR645" s="16"/>
      <c r="AS645" s="16"/>
    </row>
    <row r="646" spans="1:45" s="7" customFormat="1" ht="195" customHeight="1">
      <c r="A646" s="27">
        <f>[1]트램표준체크리스트!A644</f>
        <v>642</v>
      </c>
      <c r="B646" s="28" t="str">
        <f>[1]트램표준체크리스트!B644</f>
        <v>건축</v>
      </c>
      <c r="C646" s="29" t="str">
        <f>[1]트램표준체크리스트!C644</f>
        <v>실내 환경 및 마감계획</v>
      </c>
      <c r="D646" s="30" t="str">
        <f>[1]트램표준체크리스트!F644</f>
        <v>친환경 마감재 및 접착제 기준 명시 누락으로 유해 화학 자재가 사용되어, 근무자·승객 건강 위협 및 실내공기질이 악화될 리스크를 검토하였는가?</v>
      </c>
      <c r="E646" s="31" t="s">
        <v>1114</v>
      </c>
      <c r="F646" s="32" t="str">
        <f>_xlfn.LET(
    _xlpm.v_발생, IF(ISNUMBER(SEARCH("빈번", G646)), "상",
               IF(ISNUMBER(SEARCH("거의", G646)), "하", "중")),
    _xlpm.v_영향, IF(ISNUMBER(SEARCH("1개월", H646)), "상",
               IF(ISNUMBER(SEARCH("없음", H646)), "하", "중")),
    IF(AND(_xlpm.v_발생="상", _xlpm.v_영향="상"), "극상",
    IF(OR(_xlpm.v_발생="상", _xlpm.v_영향="상"), "상",
    IF(AND(_xlpm.v_발생="하", _xlpm.v_영향="하"), "하",
    "중")))
)</f>
        <v>극상</v>
      </c>
      <c r="G646" s="63" t="s">
        <v>40</v>
      </c>
      <c r="H646" s="63" t="s">
        <v>41</v>
      </c>
      <c r="I646" s="34" t="s">
        <v>1115</v>
      </c>
      <c r="J646" s="33"/>
      <c r="K646" s="35"/>
      <c r="L646" s="33"/>
      <c r="M646" s="36"/>
      <c r="N646" s="33"/>
      <c r="O646" s="36"/>
      <c r="P646" s="33"/>
      <c r="Q646" s="37"/>
      <c r="R646" s="38"/>
      <c r="S646" s="33"/>
      <c r="T646" s="38"/>
      <c r="U646" s="33"/>
      <c r="V646" s="39"/>
      <c r="W646" s="90" t="b">
        <v>0</v>
      </c>
      <c r="X646" s="90" t="b">
        <v>0</v>
      </c>
      <c r="Y646" s="90" t="b">
        <v>0</v>
      </c>
      <c r="Z646" s="40" t="s">
        <v>1116</v>
      </c>
      <c r="AA646" s="41"/>
      <c r="AK646" s="16"/>
      <c r="AL646" s="16"/>
      <c r="AM646" s="16"/>
      <c r="AN646" s="16"/>
      <c r="AO646" s="16"/>
      <c r="AP646" s="16"/>
      <c r="AQ646" s="16"/>
      <c r="AR646" s="16"/>
      <c r="AS646" s="16"/>
    </row>
    <row r="647" spans="1:45" s="7" customFormat="1" ht="195" customHeight="1">
      <c r="A647" s="27">
        <f>[1]트램표준체크리스트!A645</f>
        <v>643</v>
      </c>
      <c r="B647" s="28" t="str">
        <f>[1]트램표준체크리스트!B645</f>
        <v>건축</v>
      </c>
      <c r="C647" s="29" t="str">
        <f>[1]트램표준체크리스트!C645</f>
        <v>여객편의 및 무장애 설계</v>
      </c>
      <c r="D647" s="30" t="str">
        <f>[1]트램표준체크리스트!F645</f>
        <v>이동편의시설(단차 제거, E/V 등) 누락으로 교통약자 접근 제한 및 BF인증에 실패할 리스크를 검토하였는가?</v>
      </c>
      <c r="E647" s="31" t="s">
        <v>1117</v>
      </c>
      <c r="F647" s="32" t="str">
        <f t="shared" ref="F647:F678" si="20">_xlfn.LET(
_xlpm.v_발생, IF(ISNUMBER(SEARCH("빈번", G647)), "상",
IF(ISNUMBER(SEARCH("거의", G647)), "하", "중")),
_xlpm.v_영향, IF(ISNUMBER(SEARCH("1개월", H647)), "상",
IF(ISNUMBER(SEARCH("없음", H647)), "하", "중")),
IF(AND(_xlpm.v_발생="상", _xlpm.v_영향="상"), "극상",
IF(OR(_xlpm.v_발생="상", _xlpm.v_영향="상"), "상",
IF(AND(_xlpm.v_발생="하", _xlpm.v_영향="하"), "하",
"중")))
)</f>
        <v>극상</v>
      </c>
      <c r="G647" s="63" t="s">
        <v>40</v>
      </c>
      <c r="H647" s="63" t="s">
        <v>41</v>
      </c>
      <c r="I647" s="34" t="s">
        <v>1118</v>
      </c>
      <c r="J647" s="33"/>
      <c r="K647" s="35"/>
      <c r="L647" s="33"/>
      <c r="M647" s="36"/>
      <c r="N647" s="33"/>
      <c r="O647" s="36"/>
      <c r="P647" s="33"/>
      <c r="Q647" s="37"/>
      <c r="R647" s="38"/>
      <c r="S647" s="33"/>
      <c r="T647" s="38"/>
      <c r="U647" s="33"/>
      <c r="V647" s="39"/>
      <c r="W647" s="90" t="b">
        <v>0</v>
      </c>
      <c r="X647" s="90" t="b">
        <v>0</v>
      </c>
      <c r="Y647" s="90" t="b">
        <v>0</v>
      </c>
      <c r="Z647" s="40" t="s">
        <v>1119</v>
      </c>
      <c r="AA647" s="41"/>
      <c r="AK647" s="16"/>
      <c r="AL647" s="16"/>
      <c r="AM647" s="16"/>
      <c r="AN647" s="16"/>
      <c r="AO647" s="16"/>
      <c r="AP647" s="16"/>
      <c r="AQ647" s="16"/>
      <c r="AR647" s="16"/>
      <c r="AS647" s="16"/>
    </row>
    <row r="648" spans="1:45" s="7" customFormat="1" ht="195" customHeight="1">
      <c r="A648" s="27">
        <f>[1]트램표준체크리스트!A646</f>
        <v>644</v>
      </c>
      <c r="B648" s="28" t="str">
        <f>[1]트램표준체크리스트!B646</f>
        <v>건축</v>
      </c>
      <c r="C648" s="29" t="str">
        <f>[1]트램표준체크리스트!C646</f>
        <v>여객편의 및 무장애 설계</v>
      </c>
      <c r="D648" s="30" t="str">
        <f>[1]트램표준체크리스트!F646</f>
        <v>환승역 승하차 게이트 동선 반영(3개 이상 환승역 혼잡도 우려) 리스크를 검토하였는가?</v>
      </c>
      <c r="E648" s="31" t="s">
        <v>1117</v>
      </c>
      <c r="F648" s="32" t="str">
        <f t="shared" si="20"/>
        <v>극상</v>
      </c>
      <c r="G648" s="63" t="s">
        <v>40</v>
      </c>
      <c r="H648" s="63" t="s">
        <v>41</v>
      </c>
      <c r="I648" s="34" t="s">
        <v>1118</v>
      </c>
      <c r="J648" s="33"/>
      <c r="K648" s="35"/>
      <c r="L648" s="33"/>
      <c r="M648" s="36"/>
      <c r="N648" s="33"/>
      <c r="O648" s="36"/>
      <c r="P648" s="33"/>
      <c r="Q648" s="37"/>
      <c r="R648" s="38"/>
      <c r="S648" s="33"/>
      <c r="T648" s="38"/>
      <c r="U648" s="33"/>
      <c r="V648" s="39"/>
      <c r="W648" s="90" t="b">
        <v>0</v>
      </c>
      <c r="X648" s="90" t="b">
        <v>0</v>
      </c>
      <c r="Y648" s="90" t="b">
        <v>0</v>
      </c>
      <c r="Z648" s="40" t="s">
        <v>1119</v>
      </c>
      <c r="AA648" s="41"/>
      <c r="AK648" s="16"/>
      <c r="AL648" s="16"/>
      <c r="AM648" s="16"/>
      <c r="AN648" s="16"/>
      <c r="AO648" s="16"/>
      <c r="AP648" s="16"/>
      <c r="AQ648" s="16"/>
      <c r="AR648" s="16"/>
      <c r="AS648" s="16"/>
    </row>
    <row r="649" spans="1:45" s="7" customFormat="1" ht="195" customHeight="1">
      <c r="A649" s="27">
        <f>[1]트램표준체크리스트!A647</f>
        <v>645</v>
      </c>
      <c r="B649" s="28" t="str">
        <f>[1]트램표준체크리스트!B647</f>
        <v>건축</v>
      </c>
      <c r="C649" s="29" t="str">
        <f>[1]트램표준체크리스트!C647</f>
        <v>여객편의 및 무장애 설계</v>
      </c>
      <c r="D649" s="30" t="str">
        <f>[1]트램표준체크리스트!F647</f>
        <v>BF 인증 관련, 정거장 기울기(1% 이하) 설치되어야 하나 조건 미충족 시 인승서비스 제공 시 상부 전력 누적 우려 증가, 운행 종료 후 자체 차체 전수이나 자체세척기 위치가 입고선에 위치하지 않아 불필요한 구내 운전 증가로 구내탈선 기점사 증가 리스크를 검토하였는가?</v>
      </c>
      <c r="E649" s="31" t="s">
        <v>1117</v>
      </c>
      <c r="F649" s="32" t="str">
        <f t="shared" si="20"/>
        <v>극상</v>
      </c>
      <c r="G649" s="63" t="s">
        <v>40</v>
      </c>
      <c r="H649" s="63" t="s">
        <v>41</v>
      </c>
      <c r="I649" s="34" t="s">
        <v>1118</v>
      </c>
      <c r="J649" s="33"/>
      <c r="K649" s="35"/>
      <c r="L649" s="33"/>
      <c r="M649" s="36"/>
      <c r="N649" s="33"/>
      <c r="O649" s="36"/>
      <c r="P649" s="33"/>
      <c r="Q649" s="37"/>
      <c r="R649" s="38"/>
      <c r="S649" s="33"/>
      <c r="T649" s="38"/>
      <c r="U649" s="33"/>
      <c r="V649" s="39"/>
      <c r="W649" s="90" t="b">
        <v>0</v>
      </c>
      <c r="X649" s="90" t="b">
        <v>0</v>
      </c>
      <c r="Y649" s="90" t="b">
        <v>1</v>
      </c>
      <c r="Z649" s="40" t="s">
        <v>1119</v>
      </c>
      <c r="AA649" s="41"/>
      <c r="AK649" s="16"/>
      <c r="AL649" s="16"/>
      <c r="AM649" s="16"/>
      <c r="AN649" s="16"/>
      <c r="AO649" s="16"/>
      <c r="AP649" s="16"/>
      <c r="AQ649" s="16"/>
      <c r="AR649" s="16"/>
      <c r="AS649" s="16"/>
    </row>
    <row r="650" spans="1:45" s="7" customFormat="1" ht="195" customHeight="1">
      <c r="A650" s="27">
        <f>[1]트램표준체크리스트!A648</f>
        <v>646</v>
      </c>
      <c r="B650" s="28" t="str">
        <f>[1]트램표준체크리스트!B648</f>
        <v>건축</v>
      </c>
      <c r="C650" s="29" t="str">
        <f>[1]트램표준체크리스트!C648</f>
        <v>여객편의 및 무장애 설계</v>
      </c>
      <c r="D650" s="30" t="str">
        <f>[1]트램표준체크리스트!F648</f>
        <v>설계시에는 각 소화설비 적용 설계지침이 입찰안내서 설계지침에 따라 공단과 협의하여 소화기 소화설비 설계 및 반영 리스크를 검토하였는가?</v>
      </c>
      <c r="E650" s="31" t="s">
        <v>1117</v>
      </c>
      <c r="F650" s="32" t="str">
        <f t="shared" si="20"/>
        <v>극상</v>
      </c>
      <c r="G650" s="63" t="s">
        <v>40</v>
      </c>
      <c r="H650" s="63" t="s">
        <v>41</v>
      </c>
      <c r="I650" s="34" t="s">
        <v>1118</v>
      </c>
      <c r="J650" s="33"/>
      <c r="K650" s="35"/>
      <c r="L650" s="33"/>
      <c r="M650" s="36"/>
      <c r="N650" s="33"/>
      <c r="O650" s="36"/>
      <c r="P650" s="33"/>
      <c r="Q650" s="37"/>
      <c r="R650" s="38"/>
      <c r="S650" s="33"/>
      <c r="T650" s="38"/>
      <c r="U650" s="33"/>
      <c r="V650" s="39"/>
      <c r="W650" s="90" t="b">
        <v>0</v>
      </c>
      <c r="X650" s="90" t="b">
        <v>0</v>
      </c>
      <c r="Y650" s="90" t="b">
        <v>0</v>
      </c>
      <c r="Z650" s="40" t="s">
        <v>1119</v>
      </c>
      <c r="AA650" s="41"/>
      <c r="AK650" s="16"/>
      <c r="AL650" s="16"/>
      <c r="AM650" s="16"/>
      <c r="AN650" s="16"/>
      <c r="AO650" s="16"/>
      <c r="AP650" s="16"/>
      <c r="AQ650" s="16"/>
      <c r="AR650" s="16"/>
      <c r="AS650" s="16"/>
    </row>
    <row r="651" spans="1:45" s="7" customFormat="1" ht="195" customHeight="1">
      <c r="A651" s="27">
        <f>[1]트램표준체크리스트!A649</f>
        <v>647</v>
      </c>
      <c r="B651" s="28" t="str">
        <f>[1]트램표준체크리스트!B649</f>
        <v>건축</v>
      </c>
      <c r="C651" s="29" t="str">
        <f>[1]트램표준체크리스트!C649</f>
        <v>유지관리 건축계획</v>
      </c>
      <c r="D651" s="30" t="str">
        <f>[1]트램표준체크리스트!F649</f>
        <v>고정식 일체형 마감재 설계로 구조물 균열 및 설비 누수 시 유지보수용 내부 접근이 원천적으로 차단될 리스크를 검토하였는가?</v>
      </c>
      <c r="E651" s="31" t="s">
        <v>1117</v>
      </c>
      <c r="F651" s="32" t="str">
        <f t="shared" si="20"/>
        <v>극상</v>
      </c>
      <c r="G651" s="63" t="s">
        <v>40</v>
      </c>
      <c r="H651" s="63" t="s">
        <v>41</v>
      </c>
      <c r="I651" s="34" t="s">
        <v>1118</v>
      </c>
      <c r="J651" s="33"/>
      <c r="K651" s="35"/>
      <c r="L651" s="33"/>
      <c r="M651" s="36"/>
      <c r="N651" s="33"/>
      <c r="O651" s="36"/>
      <c r="P651" s="33"/>
      <c r="Q651" s="37"/>
      <c r="R651" s="38"/>
      <c r="S651" s="33"/>
      <c r="T651" s="38"/>
      <c r="U651" s="33"/>
      <c r="V651" s="39"/>
      <c r="W651" s="90" t="b">
        <v>0</v>
      </c>
      <c r="X651" s="90" t="b">
        <v>0</v>
      </c>
      <c r="Y651" s="90" t="b">
        <v>0</v>
      </c>
      <c r="Z651" s="40" t="s">
        <v>1119</v>
      </c>
      <c r="AA651" s="41"/>
      <c r="AK651" s="16"/>
      <c r="AL651" s="16"/>
      <c r="AM651" s="16"/>
      <c r="AN651" s="16"/>
      <c r="AO651" s="16"/>
      <c r="AP651" s="16"/>
      <c r="AQ651" s="16"/>
      <c r="AR651" s="16"/>
      <c r="AS651" s="16"/>
    </row>
    <row r="652" spans="1:45" s="7" customFormat="1" ht="195" customHeight="1">
      <c r="A652" s="27">
        <f>[1]트램표준체크리스트!A650</f>
        <v>648</v>
      </c>
      <c r="B652" s="28" t="str">
        <f>[1]트램표준체크리스트!B650</f>
        <v>건축</v>
      </c>
      <c r="C652" s="29" t="str">
        <f>[1]트램표준체크리스트!C650</f>
        <v>인접 사업 연계 건축계획</v>
      </c>
      <c r="D652" s="30" t="str">
        <f>[1]트램표준체크리스트!F650</f>
        <v>인접 철도 사업(복합환승센터, 동인선 등)과의 보행 동선 연계 및 지상 구조물 간섭 검토 누락으로, 출입구가 잘못 배치되거나 환승 동선이 단절될 리스크를 검토하였는가?</v>
      </c>
      <c r="E652" s="31" t="s">
        <v>1117</v>
      </c>
      <c r="F652" s="32" t="str">
        <f t="shared" si="20"/>
        <v>극상</v>
      </c>
      <c r="G652" s="63" t="s">
        <v>40</v>
      </c>
      <c r="H652" s="63" t="s">
        <v>41</v>
      </c>
      <c r="I652" s="34" t="s">
        <v>1118</v>
      </c>
      <c r="J652" s="33"/>
      <c r="K652" s="35"/>
      <c r="L652" s="33"/>
      <c r="M652" s="36"/>
      <c r="N652" s="33"/>
      <c r="O652" s="36"/>
      <c r="P652" s="33"/>
      <c r="Q652" s="37"/>
      <c r="R652" s="38"/>
      <c r="S652" s="33"/>
      <c r="T652" s="38"/>
      <c r="U652" s="33"/>
      <c r="V652" s="39"/>
      <c r="W652" s="90" t="b">
        <v>0</v>
      </c>
      <c r="X652" s="90" t="b">
        <v>1</v>
      </c>
      <c r="Y652" s="90" t="b">
        <v>1</v>
      </c>
      <c r="Z652" s="40" t="s">
        <v>1119</v>
      </c>
      <c r="AA652" s="41"/>
      <c r="AK652" s="16"/>
      <c r="AL652" s="16"/>
      <c r="AM652" s="16"/>
      <c r="AN652" s="16"/>
      <c r="AO652" s="16"/>
      <c r="AP652" s="16"/>
      <c r="AQ652" s="16"/>
      <c r="AR652" s="16"/>
      <c r="AS652" s="16"/>
    </row>
    <row r="653" spans="1:45" s="7" customFormat="1" ht="195" customHeight="1">
      <c r="A653" s="27">
        <f>[1]트램표준체크리스트!A651</f>
        <v>649</v>
      </c>
      <c r="B653" s="28" t="str">
        <f>[1]트램표준체크리스트!B651</f>
        <v>건축</v>
      </c>
      <c r="C653" s="29" t="str">
        <f>[1]트램표준체크리스트!C651</f>
        <v>인접 사업 연계 건축계획</v>
      </c>
      <c r="D653" s="30" t="str">
        <f>[1]트램표준체크리스트!F651</f>
        <v>차량기지 화재 발생 리스크를 검토하였는가?</v>
      </c>
      <c r="E653" s="31" t="s">
        <v>1117</v>
      </c>
      <c r="F653" s="32" t="str">
        <f t="shared" si="20"/>
        <v>극상</v>
      </c>
      <c r="G653" s="63" t="s">
        <v>40</v>
      </c>
      <c r="H653" s="63" t="s">
        <v>41</v>
      </c>
      <c r="I653" s="34" t="s">
        <v>1118</v>
      </c>
      <c r="J653" s="33"/>
      <c r="K653" s="35"/>
      <c r="L653" s="33"/>
      <c r="M653" s="36"/>
      <c r="N653" s="33"/>
      <c r="O653" s="36"/>
      <c r="P653" s="33"/>
      <c r="Q653" s="37"/>
      <c r="R653" s="38"/>
      <c r="S653" s="33"/>
      <c r="T653" s="38"/>
      <c r="U653" s="33"/>
      <c r="V653" s="39"/>
      <c r="W653" s="90" t="b">
        <v>0</v>
      </c>
      <c r="X653" s="90" t="b">
        <v>0</v>
      </c>
      <c r="Y653" s="90" t="b">
        <v>0</v>
      </c>
      <c r="Z653" s="40" t="s">
        <v>1119</v>
      </c>
      <c r="AA653" s="41"/>
      <c r="AK653" s="16"/>
      <c r="AL653" s="16"/>
      <c r="AM653" s="16"/>
      <c r="AN653" s="16"/>
      <c r="AO653" s="16"/>
      <c r="AP653" s="16"/>
      <c r="AQ653" s="16"/>
      <c r="AR653" s="16"/>
      <c r="AS653" s="16"/>
    </row>
    <row r="654" spans="1:45" s="7" customFormat="1" ht="195" customHeight="1">
      <c r="A654" s="27">
        <f>[1]트램표준체크리스트!A652</f>
        <v>650</v>
      </c>
      <c r="B654" s="28" t="str">
        <f>[1]트램표준체크리스트!B652</f>
        <v>건축</v>
      </c>
      <c r="C654" s="29" t="str">
        <f>[1]트램표준체크리스트!C652</f>
        <v>정거장 건축계획</v>
      </c>
      <c r="D654" s="30" t="str">
        <f>[1]트램표준체크리스트!F652</f>
        <v>차량 제원·궤도 선형 미고려로 연단거리가 50mm를 초과해 승객 발빠짐 안전사고가 유발될 리스크를 검토하였는가?</v>
      </c>
      <c r="E654" s="31" t="s">
        <v>1117</v>
      </c>
      <c r="F654" s="32" t="str">
        <f t="shared" si="20"/>
        <v>극상</v>
      </c>
      <c r="G654" s="63" t="s">
        <v>40</v>
      </c>
      <c r="H654" s="63" t="s">
        <v>41</v>
      </c>
      <c r="I654" s="34" t="s">
        <v>1118</v>
      </c>
      <c r="J654" s="33"/>
      <c r="K654" s="35"/>
      <c r="L654" s="33"/>
      <c r="M654" s="36"/>
      <c r="N654" s="33"/>
      <c r="O654" s="36"/>
      <c r="P654" s="33"/>
      <c r="Q654" s="37"/>
      <c r="R654" s="38"/>
      <c r="S654" s="33"/>
      <c r="T654" s="38"/>
      <c r="U654" s="33"/>
      <c r="V654" s="39"/>
      <c r="W654" s="90" t="b">
        <v>0</v>
      </c>
      <c r="X654" s="90" t="b">
        <v>0</v>
      </c>
      <c r="Y654" s="90" t="b">
        <v>0</v>
      </c>
      <c r="Z654" s="40" t="s">
        <v>1119</v>
      </c>
      <c r="AA654" s="41"/>
      <c r="AK654" s="16"/>
      <c r="AL654" s="16"/>
      <c r="AM654" s="16"/>
      <c r="AN654" s="16"/>
      <c r="AO654" s="16"/>
      <c r="AP654" s="16"/>
      <c r="AQ654" s="16"/>
      <c r="AR654" s="16"/>
      <c r="AS654" s="16"/>
    </row>
    <row r="655" spans="1:45" s="7" customFormat="1" ht="195" customHeight="1">
      <c r="A655" s="27">
        <f>[1]트램표준체크리스트!A653</f>
        <v>651</v>
      </c>
      <c r="B655" s="28" t="str">
        <f>[1]트램표준체크리스트!B653</f>
        <v>건축</v>
      </c>
      <c r="C655" s="29" t="str">
        <f>[1]트램표준체크리스트!C653</f>
        <v>정거장 건축계획</v>
      </c>
      <c r="D655" s="30" t="str">
        <f>[1]트램표준체크리스트!F653</f>
        <v>상승 방식 미반영에 따른 캐노피 지붕재 물리적 충돌 및 전기적 아크(감전)가 발생할 리스크를 검토하였는가?</v>
      </c>
      <c r="E655" s="31" t="s">
        <v>1117</v>
      </c>
      <c r="F655" s="32" t="str">
        <f t="shared" si="20"/>
        <v>극상</v>
      </c>
      <c r="G655" s="63" t="s">
        <v>40</v>
      </c>
      <c r="H655" s="63" t="s">
        <v>41</v>
      </c>
      <c r="I655" s="34" t="s">
        <v>1118</v>
      </c>
      <c r="J655" s="33"/>
      <c r="K655" s="35"/>
      <c r="L655" s="33"/>
      <c r="M655" s="36"/>
      <c r="N655" s="33"/>
      <c r="O655" s="36"/>
      <c r="P655" s="33"/>
      <c r="Q655" s="37"/>
      <c r="R655" s="38"/>
      <c r="S655" s="33"/>
      <c r="T655" s="38"/>
      <c r="U655" s="33"/>
      <c r="V655" s="39"/>
      <c r="W655" s="90" t="b">
        <v>0</v>
      </c>
      <c r="X655" s="90" t="b">
        <v>0</v>
      </c>
      <c r="Y655" s="90" t="b">
        <v>0</v>
      </c>
      <c r="Z655" s="40" t="s">
        <v>1119</v>
      </c>
      <c r="AA655" s="41"/>
      <c r="AK655" s="16"/>
      <c r="AL655" s="16"/>
      <c r="AM655" s="16"/>
      <c r="AN655" s="16"/>
      <c r="AO655" s="16"/>
      <c r="AP655" s="16"/>
      <c r="AQ655" s="16"/>
      <c r="AR655" s="16"/>
      <c r="AS655" s="16"/>
    </row>
    <row r="656" spans="1:45" s="7" customFormat="1" ht="195" customHeight="1">
      <c r="A656" s="27">
        <f>[1]트램표준체크리스트!A654</f>
        <v>652</v>
      </c>
      <c r="B656" s="28" t="str">
        <f>[1]트램표준체크리스트!B654</f>
        <v>건축</v>
      </c>
      <c r="C656" s="29" t="str">
        <f>[1]트램표준체크리스트!C654</f>
        <v>정거장 건축계획</v>
      </c>
      <c r="D656" s="30" t="str">
        <f>[1]트램표준체크리스트!F654</f>
        <v>출입구 동선 설계 시 자전거·버스 대기열과의 상충 미고려로 승객과 타 교통수단 간 접촉 사고가 발생할 리스크를 검토하였는가?</v>
      </c>
      <c r="E656" s="31" t="s">
        <v>1117</v>
      </c>
      <c r="F656" s="32" t="str">
        <f t="shared" si="20"/>
        <v>극상</v>
      </c>
      <c r="G656" s="63" t="s">
        <v>40</v>
      </c>
      <c r="H656" s="63" t="s">
        <v>41</v>
      </c>
      <c r="I656" s="34" t="s">
        <v>1118</v>
      </c>
      <c r="J656" s="33"/>
      <c r="K656" s="35"/>
      <c r="L656" s="33"/>
      <c r="M656" s="36"/>
      <c r="N656" s="33"/>
      <c r="O656" s="36"/>
      <c r="P656" s="33"/>
      <c r="Q656" s="37"/>
      <c r="R656" s="38"/>
      <c r="S656" s="33"/>
      <c r="T656" s="38"/>
      <c r="U656" s="33"/>
      <c r="V656" s="39"/>
      <c r="W656" s="90" t="b">
        <v>0</v>
      </c>
      <c r="X656" s="90" t="b">
        <v>0</v>
      </c>
      <c r="Y656" s="90" t="b">
        <v>0</v>
      </c>
      <c r="Z656" s="40" t="s">
        <v>1119</v>
      </c>
      <c r="AA656" s="41"/>
      <c r="AK656" s="16"/>
      <c r="AL656" s="16"/>
      <c r="AM656" s="16"/>
      <c r="AN656" s="16"/>
      <c r="AO656" s="16"/>
      <c r="AP656" s="16"/>
      <c r="AQ656" s="16"/>
      <c r="AR656" s="16"/>
      <c r="AS656" s="16"/>
    </row>
    <row r="657" spans="1:45" s="7" customFormat="1" ht="195" customHeight="1">
      <c r="A657" s="27">
        <f>[1]트램표준체크리스트!A655</f>
        <v>653</v>
      </c>
      <c r="B657" s="28" t="str">
        <f>[1]트램표준체크리스트!B655</f>
        <v>건축</v>
      </c>
      <c r="C657" s="29" t="str">
        <f>[1]트램표준체크리스트!C655</f>
        <v>정거장 건축계획</v>
      </c>
      <c r="D657" s="30" t="str">
        <f>[1]트램표준체크리스트!F655</f>
        <v>옥외 설비 배치 시 건축한계선 간섭 검토 누락으로 차량 주행 중 건축 시설물과 충돌할 리스크를 검토하였는가?</v>
      </c>
      <c r="E657" s="31" t="s">
        <v>1117</v>
      </c>
      <c r="F657" s="32" t="str">
        <f t="shared" si="20"/>
        <v>극상</v>
      </c>
      <c r="G657" s="63" t="s">
        <v>40</v>
      </c>
      <c r="H657" s="63" t="s">
        <v>41</v>
      </c>
      <c r="I657" s="34" t="s">
        <v>1118</v>
      </c>
      <c r="J657" s="33"/>
      <c r="K657" s="35"/>
      <c r="L657" s="33"/>
      <c r="M657" s="36"/>
      <c r="N657" s="33"/>
      <c r="O657" s="36"/>
      <c r="P657" s="33"/>
      <c r="Q657" s="37"/>
      <c r="R657" s="38"/>
      <c r="S657" s="33"/>
      <c r="T657" s="38"/>
      <c r="U657" s="33"/>
      <c r="V657" s="39"/>
      <c r="W657" s="90" t="b">
        <v>0</v>
      </c>
      <c r="X657" s="90" t="b">
        <v>0</v>
      </c>
      <c r="Y657" s="90" t="b">
        <v>0</v>
      </c>
      <c r="Z657" s="40" t="s">
        <v>1119</v>
      </c>
      <c r="AA657" s="41"/>
      <c r="AK657" s="16"/>
      <c r="AL657" s="16"/>
      <c r="AM657" s="16"/>
      <c r="AN657" s="16"/>
      <c r="AO657" s="16"/>
      <c r="AP657" s="16"/>
      <c r="AQ657" s="16"/>
      <c r="AR657" s="16"/>
      <c r="AS657" s="16"/>
    </row>
    <row r="658" spans="1:45" s="7" customFormat="1" ht="195" customHeight="1">
      <c r="A658" s="27">
        <f>[1]트램표준체크리스트!A656</f>
        <v>654</v>
      </c>
      <c r="B658" s="28" t="str">
        <f>[1]트램표준체크리스트!B656</f>
        <v>건축</v>
      </c>
      <c r="C658" s="29" t="str">
        <f>[1]트램표준체크리스트!C656</f>
        <v>정거장 건축계획</v>
      </c>
      <c r="D658" s="30" t="str">
        <f>[1]트램표준체크리스트!F656</f>
        <v>우천·낙빙 방지 마감재 누락 및 상부 하중 증가에 따른 하부 지하구조물 안전성 검증 누락 리스크를 검토하였는가?</v>
      </c>
      <c r="E658" s="31" t="s">
        <v>1117</v>
      </c>
      <c r="F658" s="32" t="str">
        <f t="shared" si="20"/>
        <v>극상</v>
      </c>
      <c r="G658" s="63" t="s">
        <v>40</v>
      </c>
      <c r="H658" s="63" t="s">
        <v>41</v>
      </c>
      <c r="I658" s="34" t="s">
        <v>1118</v>
      </c>
      <c r="J658" s="33"/>
      <c r="K658" s="35"/>
      <c r="L658" s="33"/>
      <c r="M658" s="36"/>
      <c r="N658" s="33"/>
      <c r="O658" s="36"/>
      <c r="P658" s="33"/>
      <c r="Q658" s="37"/>
      <c r="R658" s="38"/>
      <c r="S658" s="33"/>
      <c r="T658" s="38"/>
      <c r="U658" s="33"/>
      <c r="V658" s="39"/>
      <c r="W658" s="90" t="b">
        <v>0</v>
      </c>
      <c r="X658" s="90" t="b">
        <v>0</v>
      </c>
      <c r="Y658" s="90" t="b">
        <v>0</v>
      </c>
      <c r="Z658" s="40" t="s">
        <v>1119</v>
      </c>
      <c r="AA658" s="41"/>
      <c r="AK658" s="16"/>
      <c r="AL658" s="16"/>
      <c r="AM658" s="16"/>
      <c r="AN658" s="16"/>
      <c r="AO658" s="16"/>
      <c r="AP658" s="16"/>
      <c r="AQ658" s="16"/>
      <c r="AR658" s="16"/>
      <c r="AS658" s="16"/>
    </row>
    <row r="659" spans="1:45" s="7" customFormat="1" ht="195" customHeight="1">
      <c r="A659" s="27">
        <f>[1]트램표준체크리스트!A657</f>
        <v>655</v>
      </c>
      <c r="B659" s="28" t="str">
        <f>[1]트램표준체크리스트!B657</f>
        <v>건축</v>
      </c>
      <c r="C659" s="29" t="str">
        <f>[1]트램표준체크리스트!C657</f>
        <v>정거장 건축계획</v>
      </c>
      <c r="D659" s="30" t="str">
        <f>[1]트램표준체크리스트!F657</f>
        <v>메쉬 패널 설계로 우천 시 침수 및 결빙(낙빙) 승객 상해사고가 발생할 리스크를 검토하였는가?</v>
      </c>
      <c r="E659" s="31" t="s">
        <v>1117</v>
      </c>
      <c r="F659" s="32" t="str">
        <f t="shared" si="20"/>
        <v>극상</v>
      </c>
      <c r="G659" s="63" t="s">
        <v>40</v>
      </c>
      <c r="H659" s="63" t="s">
        <v>41</v>
      </c>
      <c r="I659" s="34" t="s">
        <v>1118</v>
      </c>
      <c r="J659" s="33"/>
      <c r="K659" s="35"/>
      <c r="L659" s="33"/>
      <c r="M659" s="36"/>
      <c r="N659" s="33"/>
      <c r="O659" s="36"/>
      <c r="P659" s="33"/>
      <c r="Q659" s="37"/>
      <c r="R659" s="38"/>
      <c r="S659" s="33"/>
      <c r="T659" s="38"/>
      <c r="U659" s="33"/>
      <c r="V659" s="39"/>
      <c r="W659" s="90" t="b">
        <v>0</v>
      </c>
      <c r="X659" s="90" t="b">
        <v>0</v>
      </c>
      <c r="Y659" s="90" t="b">
        <v>0</v>
      </c>
      <c r="Z659" s="40" t="s">
        <v>1119</v>
      </c>
      <c r="AA659" s="41"/>
      <c r="AK659" s="16"/>
      <c r="AL659" s="16"/>
      <c r="AM659" s="16"/>
      <c r="AN659" s="16"/>
      <c r="AO659" s="16"/>
      <c r="AP659" s="16"/>
      <c r="AQ659" s="16"/>
      <c r="AR659" s="16"/>
      <c r="AS659" s="16"/>
    </row>
    <row r="660" spans="1:45" s="7" customFormat="1" ht="195" customHeight="1">
      <c r="A660" s="27">
        <f>[1]트램표준체크리스트!A658</f>
        <v>656</v>
      </c>
      <c r="B660" s="28" t="str">
        <f>[1]트램표준체크리스트!B658</f>
        <v>건축</v>
      </c>
      <c r="C660" s="29" t="str">
        <f>[1]트램표준체크리스트!C658</f>
        <v>정거장 건축계획</v>
      </c>
      <c r="D660" s="30" t="str">
        <f>[1]트램표준체크리스트!F658</f>
        <v>배수구배 및 전용 트렌치 설계 누락으로 폭우 시 승강장 침수 및 궤도 빗물 유입이 발생할 리스크를 검토하였는가?</v>
      </c>
      <c r="E660" s="31" t="s">
        <v>3928</v>
      </c>
      <c r="F660" s="32" t="str">
        <f t="shared" si="20"/>
        <v>극상</v>
      </c>
      <c r="G660" s="63" t="s">
        <v>40</v>
      </c>
      <c r="H660" s="63" t="s">
        <v>41</v>
      </c>
      <c r="I660" s="34" t="s">
        <v>3929</v>
      </c>
      <c r="J660" s="33"/>
      <c r="K660" s="35"/>
      <c r="L660" s="33"/>
      <c r="M660" s="36"/>
      <c r="N660" s="33"/>
      <c r="O660" s="36"/>
      <c r="P660" s="33"/>
      <c r="Q660" s="37"/>
      <c r="R660" s="38"/>
      <c r="S660" s="33"/>
      <c r="T660" s="38"/>
      <c r="U660" s="33"/>
      <c r="V660" s="39"/>
      <c r="W660" s="90" t="b">
        <v>0</v>
      </c>
      <c r="X660" s="90" t="b">
        <v>0</v>
      </c>
      <c r="Y660" s="90" t="b">
        <v>0</v>
      </c>
      <c r="Z660" s="40" t="s">
        <v>3968</v>
      </c>
      <c r="AA660" s="41"/>
      <c r="AK660" s="16"/>
      <c r="AL660" s="16"/>
      <c r="AM660" s="16"/>
      <c r="AN660" s="16"/>
      <c r="AO660" s="16"/>
      <c r="AP660" s="16"/>
      <c r="AQ660" s="16"/>
      <c r="AR660" s="16"/>
      <c r="AS660" s="16"/>
    </row>
    <row r="661" spans="1:45" s="7" customFormat="1" ht="195" customHeight="1">
      <c r="A661" s="27">
        <f>[1]트램표준체크리스트!A659</f>
        <v>657</v>
      </c>
      <c r="B661" s="28" t="str">
        <f>[1]트램표준체크리스트!B659</f>
        <v>건축</v>
      </c>
      <c r="C661" s="29" t="str">
        <f>[1]트램표준체크리스트!C659</f>
        <v>정거장 건축계획</v>
      </c>
      <c r="D661" s="30" t="str">
        <f>[1]트램표준체크리스트!F659</f>
        <v>광고판·자판기 공간이 방재 설비(소화전함 등)와 중첩 설계되어 화재 시 소화 설비 사용이 불가해질 방재 리스크를 검토하였는가?</v>
      </c>
      <c r="E661" s="31" t="s">
        <v>3931</v>
      </c>
      <c r="F661" s="32" t="str">
        <f t="shared" si="20"/>
        <v>극상</v>
      </c>
      <c r="G661" s="63" t="s">
        <v>40</v>
      </c>
      <c r="H661" s="63" t="s">
        <v>41</v>
      </c>
      <c r="I661" s="34" t="s">
        <v>3932</v>
      </c>
      <c r="J661" s="33"/>
      <c r="K661" s="35"/>
      <c r="L661" s="33"/>
      <c r="M661" s="36"/>
      <c r="N661" s="33"/>
      <c r="O661" s="36"/>
      <c r="P661" s="33"/>
      <c r="Q661" s="37"/>
      <c r="R661" s="38"/>
      <c r="S661" s="33"/>
      <c r="T661" s="38"/>
      <c r="U661" s="33"/>
      <c r="V661" s="39"/>
      <c r="W661" s="90" t="b">
        <v>0</v>
      </c>
      <c r="X661" s="90" t="b">
        <v>0</v>
      </c>
      <c r="Y661" s="90" t="b">
        <v>0</v>
      </c>
      <c r="Z661" s="40" t="s">
        <v>3969</v>
      </c>
      <c r="AA661" s="41"/>
      <c r="AK661" s="16"/>
      <c r="AL661" s="16"/>
      <c r="AM661" s="16"/>
      <c r="AN661" s="16"/>
      <c r="AO661" s="16"/>
      <c r="AP661" s="16"/>
      <c r="AQ661" s="16"/>
      <c r="AR661" s="16"/>
      <c r="AS661" s="16"/>
    </row>
    <row r="662" spans="1:45" s="7" customFormat="1" ht="195" customHeight="1">
      <c r="A662" s="27">
        <f>[1]트램표준체크리스트!A660</f>
        <v>658</v>
      </c>
      <c r="B662" s="28" t="str">
        <f>[1]트램표준체크리스트!B660</f>
        <v>건축</v>
      </c>
      <c r="C662" s="29" t="str">
        <f>[1]트램표준체크리스트!C660</f>
        <v>정거장 건축계획</v>
      </c>
      <c r="D662" s="30" t="str">
        <f>[1]트램표준체크리스트!F660</f>
        <v>대형 특화정거장 하부 구조물(주차장 등)의 상부 하중 증가 분석 및 구조안전성 보강 검토가 누락될 리스크를 검토하였는가?</v>
      </c>
      <c r="E662" s="31" t="s">
        <v>3933</v>
      </c>
      <c r="F662" s="32" t="str">
        <f t="shared" si="20"/>
        <v>극상</v>
      </c>
      <c r="G662" s="63" t="s">
        <v>40</v>
      </c>
      <c r="H662" s="63" t="s">
        <v>41</v>
      </c>
      <c r="I662" s="34" t="s">
        <v>3934</v>
      </c>
      <c r="J662" s="33"/>
      <c r="K662" s="35"/>
      <c r="L662" s="33"/>
      <c r="M662" s="36"/>
      <c r="N662" s="33"/>
      <c r="O662" s="36"/>
      <c r="P662" s="33"/>
      <c r="Q662" s="37"/>
      <c r="R662" s="38"/>
      <c r="S662" s="33"/>
      <c r="T662" s="38"/>
      <c r="U662" s="33"/>
      <c r="V662" s="39"/>
      <c r="W662" s="90" t="b">
        <v>0</v>
      </c>
      <c r="X662" s="90" t="b">
        <v>1</v>
      </c>
      <c r="Y662" s="90" t="b">
        <v>1</v>
      </c>
      <c r="Z662" s="40" t="s">
        <v>3970</v>
      </c>
      <c r="AA662" s="41"/>
      <c r="AK662" s="16"/>
      <c r="AL662" s="16"/>
      <c r="AM662" s="16"/>
      <c r="AN662" s="16"/>
      <c r="AO662" s="16"/>
      <c r="AP662" s="16"/>
      <c r="AQ662" s="16"/>
      <c r="AR662" s="16"/>
      <c r="AS662" s="16"/>
    </row>
    <row r="663" spans="1:45" s="7" customFormat="1" ht="195" customHeight="1">
      <c r="A663" s="27">
        <f>[1]트램표준체크리스트!A661</f>
        <v>659</v>
      </c>
      <c r="B663" s="28" t="str">
        <f>[1]트램표준체크리스트!B661</f>
        <v>건축</v>
      </c>
      <c r="C663" s="29" t="str">
        <f>[1]트램표준체크리스트!C661</f>
        <v>정거장 건축계획</v>
      </c>
      <c r="D663" s="30" t="str">
        <f>[1]트램표준체크리스트!F661</f>
        <v>대형 캐노피 등 추가 하중이 기존 지하주차장 구조 내력을 초과해 균열·붕괴를 유발할 치명적 리스크를 검토하였는가?</v>
      </c>
      <c r="E663" s="31" t="s">
        <v>3936</v>
      </c>
      <c r="F663" s="32" t="str">
        <f t="shared" si="20"/>
        <v>극상</v>
      </c>
      <c r="G663" s="63" t="s">
        <v>40</v>
      </c>
      <c r="H663" s="63" t="s">
        <v>41</v>
      </c>
      <c r="I663" s="34" t="s">
        <v>3937</v>
      </c>
      <c r="J663" s="33"/>
      <c r="K663" s="35"/>
      <c r="L663" s="33"/>
      <c r="M663" s="36"/>
      <c r="N663" s="33"/>
      <c r="O663" s="36"/>
      <c r="P663" s="33"/>
      <c r="Q663" s="37"/>
      <c r="R663" s="38"/>
      <c r="S663" s="33"/>
      <c r="T663" s="38"/>
      <c r="U663" s="33"/>
      <c r="V663" s="39"/>
      <c r="W663" s="90" t="b">
        <v>0</v>
      </c>
      <c r="X663" s="90" t="b">
        <v>0</v>
      </c>
      <c r="Y663" s="90" t="b">
        <v>0</v>
      </c>
      <c r="Z663" s="40" t="s">
        <v>3971</v>
      </c>
      <c r="AA663" s="41"/>
      <c r="AK663" s="16"/>
      <c r="AL663" s="16"/>
      <c r="AM663" s="16"/>
      <c r="AN663" s="16"/>
      <c r="AO663" s="16"/>
      <c r="AP663" s="16"/>
      <c r="AQ663" s="16"/>
      <c r="AR663" s="16"/>
      <c r="AS663" s="16"/>
    </row>
    <row r="664" spans="1:45" s="7" customFormat="1" ht="195" customHeight="1">
      <c r="A664" s="27">
        <f>[1]트램표준체크리스트!A662</f>
        <v>660</v>
      </c>
      <c r="B664" s="28" t="str">
        <f>[1]트램표준체크리스트!B662</f>
        <v>건축</v>
      </c>
      <c r="C664" s="29" t="str">
        <f>[1]트램표준체크리스트!C662</f>
        <v>정거장 건축계획</v>
      </c>
      <c r="D664" s="30" t="str">
        <f>[1]트램표준체크리스트!F662</f>
        <v>조립식 칸막이 내/외부 재료의 법적 방재 기준(불연/준불연) 누락으로 가연성 심재가 적용돼 화재가 확산될 리스크를 검토하였는가?</v>
      </c>
      <c r="E664" s="31" t="s">
        <v>3939</v>
      </c>
      <c r="F664" s="32" t="str">
        <f t="shared" si="20"/>
        <v>극상</v>
      </c>
      <c r="G664" s="63" t="s">
        <v>40</v>
      </c>
      <c r="H664" s="63" t="s">
        <v>41</v>
      </c>
      <c r="I664" s="34" t="s">
        <v>3940</v>
      </c>
      <c r="J664" s="33"/>
      <c r="K664" s="35"/>
      <c r="L664" s="33"/>
      <c r="M664" s="36"/>
      <c r="N664" s="33"/>
      <c r="O664" s="36"/>
      <c r="P664" s="33"/>
      <c r="Q664" s="37"/>
      <c r="R664" s="38"/>
      <c r="S664" s="33"/>
      <c r="T664" s="38"/>
      <c r="U664" s="33"/>
      <c r="V664" s="39"/>
      <c r="W664" s="90" t="b">
        <v>0</v>
      </c>
      <c r="X664" s="90" t="b">
        <v>0</v>
      </c>
      <c r="Y664" s="90" t="b">
        <v>0</v>
      </c>
      <c r="Z664" s="40" t="s">
        <v>3972</v>
      </c>
      <c r="AA664" s="41"/>
      <c r="AK664" s="16"/>
      <c r="AL664" s="16"/>
      <c r="AM664" s="16"/>
      <c r="AN664" s="16"/>
      <c r="AO664" s="16"/>
      <c r="AP664" s="16"/>
      <c r="AQ664" s="16"/>
      <c r="AR664" s="16"/>
      <c r="AS664" s="16"/>
    </row>
    <row r="665" spans="1:45" s="7" customFormat="1" ht="195" customHeight="1">
      <c r="A665" s="27">
        <f>[1]트램표준체크리스트!A663</f>
        <v>661</v>
      </c>
      <c r="B665" s="28" t="str">
        <f>[1]트램표준체크리스트!B663</f>
        <v>건축</v>
      </c>
      <c r="C665" s="29" t="str">
        <f>[1]트램표준체크리스트!C663</f>
        <v>정거장 건축계획</v>
      </c>
      <c r="D665" s="30" t="str">
        <f>[1]트램표준체크리스트!F663</f>
        <v>정거장 형식별 안내표지판 최소 수량 설계 누락으로 승객의 길찾기 혼선 및 환승 불편이 초래될 리스크를 검토하였는가?</v>
      </c>
      <c r="E665" s="31" t="s">
        <v>3942</v>
      </c>
      <c r="F665" s="32" t="str">
        <f t="shared" si="20"/>
        <v>극상</v>
      </c>
      <c r="G665" s="63" t="s">
        <v>40</v>
      </c>
      <c r="H665" s="63" t="s">
        <v>41</v>
      </c>
      <c r="I665" s="34" t="s">
        <v>3943</v>
      </c>
      <c r="J665" s="33"/>
      <c r="K665" s="35"/>
      <c r="L665" s="33"/>
      <c r="M665" s="36"/>
      <c r="N665" s="33"/>
      <c r="O665" s="36"/>
      <c r="P665" s="33"/>
      <c r="Q665" s="37"/>
      <c r="R665" s="38"/>
      <c r="S665" s="33"/>
      <c r="T665" s="38"/>
      <c r="U665" s="33"/>
      <c r="V665" s="39"/>
      <c r="W665" s="90" t="b">
        <v>0</v>
      </c>
      <c r="X665" s="90" t="b">
        <v>0</v>
      </c>
      <c r="Y665" s="90" t="b">
        <v>0</v>
      </c>
      <c r="Z665" s="40" t="s">
        <v>3973</v>
      </c>
      <c r="AA665" s="41"/>
      <c r="AK665" s="16"/>
      <c r="AL665" s="16"/>
      <c r="AM665" s="16"/>
      <c r="AN665" s="16"/>
      <c r="AO665" s="16"/>
      <c r="AP665" s="16"/>
      <c r="AQ665" s="16"/>
      <c r="AR665" s="16"/>
      <c r="AS665" s="16"/>
    </row>
    <row r="666" spans="1:45" s="7" customFormat="1" ht="195" customHeight="1">
      <c r="A666" s="27">
        <f>[1]트램표준체크리스트!A664</f>
        <v>662</v>
      </c>
      <c r="B666" s="28" t="str">
        <f>[1]트램표준체크리스트!B664</f>
        <v>건축</v>
      </c>
      <c r="C666" s="29" t="str">
        <f>[1]트램표준체크리스트!C664</f>
        <v>지하 부대시설 장비반입 계획</v>
      </c>
      <c r="D666" s="30" t="str">
        <f>[1]트램표준체크리스트!F664</f>
        <v>3.0m×4.0m 장비반입구 및 반입동선 확보 누락으로 대형 장비 반입이 원천 불가해질 리스크를 검토하였는가?</v>
      </c>
      <c r="E666" s="31" t="s">
        <v>3944</v>
      </c>
      <c r="F666" s="32" t="str">
        <f t="shared" si="20"/>
        <v>극상</v>
      </c>
      <c r="G666" s="63" t="s">
        <v>40</v>
      </c>
      <c r="H666" s="63" t="s">
        <v>41</v>
      </c>
      <c r="I666" s="34" t="s">
        <v>3945</v>
      </c>
      <c r="J666" s="33"/>
      <c r="K666" s="35"/>
      <c r="L666" s="33"/>
      <c r="M666" s="36"/>
      <c r="N666" s="33"/>
      <c r="O666" s="36"/>
      <c r="P666" s="33"/>
      <c r="Q666" s="37"/>
      <c r="R666" s="38"/>
      <c r="S666" s="33"/>
      <c r="T666" s="38"/>
      <c r="U666" s="33"/>
      <c r="V666" s="39"/>
      <c r="W666" s="90" t="b">
        <v>0</v>
      </c>
      <c r="X666" s="90" t="b">
        <v>0</v>
      </c>
      <c r="Y666" s="90" t="b">
        <v>0</v>
      </c>
      <c r="Z666" s="40" t="s">
        <v>3974</v>
      </c>
      <c r="AA666" s="41"/>
      <c r="AK666" s="16"/>
      <c r="AL666" s="16"/>
      <c r="AM666" s="16"/>
      <c r="AN666" s="16"/>
      <c r="AO666" s="16"/>
      <c r="AP666" s="16"/>
      <c r="AQ666" s="16"/>
      <c r="AR666" s="16"/>
      <c r="AS666" s="16"/>
    </row>
    <row r="667" spans="1:45" s="7" customFormat="1" ht="195" customHeight="1">
      <c r="A667" s="27">
        <f>[1]트램표준체크리스트!A665</f>
        <v>663</v>
      </c>
      <c r="B667" s="28" t="str">
        <f>[1]트램표준체크리스트!B665</f>
        <v>건축</v>
      </c>
      <c r="C667" s="29" t="str">
        <f>[1]트램표준체크리스트!C665</f>
        <v>지하변전소 건축계획</v>
      </c>
      <c r="D667" s="30" t="str">
        <f>[1]트램표준체크리스트!F665</f>
        <v>반입구 규격 및 동선이 장비보다 협소하게 설계되어 대형 변압기 반입이 불가해질 리스크를 검토하였는가?</v>
      </c>
      <c r="E667" s="31" t="s">
        <v>3946</v>
      </c>
      <c r="F667" s="32" t="str">
        <f t="shared" si="20"/>
        <v>극상</v>
      </c>
      <c r="G667" s="63" t="s">
        <v>40</v>
      </c>
      <c r="H667" s="63" t="s">
        <v>41</v>
      </c>
      <c r="I667" s="34" t="s">
        <v>3947</v>
      </c>
      <c r="J667" s="33"/>
      <c r="K667" s="35"/>
      <c r="L667" s="33"/>
      <c r="M667" s="36"/>
      <c r="N667" s="33"/>
      <c r="O667" s="36"/>
      <c r="P667" s="33"/>
      <c r="Q667" s="37"/>
      <c r="R667" s="38"/>
      <c r="S667" s="33"/>
      <c r="T667" s="38"/>
      <c r="U667" s="33"/>
      <c r="V667" s="39"/>
      <c r="W667" s="90" t="b">
        <v>0</v>
      </c>
      <c r="X667" s="90" t="b">
        <v>0</v>
      </c>
      <c r="Y667" s="90" t="b">
        <v>1</v>
      </c>
      <c r="Z667" s="40" t="s">
        <v>3975</v>
      </c>
      <c r="AA667" s="41"/>
      <c r="AK667" s="16"/>
      <c r="AL667" s="16"/>
      <c r="AM667" s="16"/>
      <c r="AN667" s="16"/>
      <c r="AO667" s="16"/>
      <c r="AP667" s="16"/>
      <c r="AQ667" s="16"/>
      <c r="AR667" s="16"/>
      <c r="AS667" s="16"/>
    </row>
    <row r="668" spans="1:45" s="7" customFormat="1" ht="195" customHeight="1">
      <c r="A668" s="27">
        <f>[1]트램표준체크리스트!A666</f>
        <v>664</v>
      </c>
      <c r="B668" s="28" t="str">
        <f>[1]트램표준체크리스트!B666</f>
        <v>건축</v>
      </c>
      <c r="C668" s="29" t="str">
        <f>[1]트램표준체크리스트!C666</f>
        <v>차량기지 검수동 건축 평면/구조 계획</v>
      </c>
      <c r="D668" s="30" t="str">
        <f>[1]트램표준체크리스트!F666</f>
        <v>내부 불필요한 기둥 배치 설계로 트램 검수 동선 방해 및 천장크레인 이동 반경 제약이 발생할 리스크를 검토하였는가?</v>
      </c>
      <c r="E668" s="31" t="s">
        <v>3948</v>
      </c>
      <c r="F668" s="32" t="str">
        <f t="shared" si="20"/>
        <v>극상</v>
      </c>
      <c r="G668" s="63" t="s">
        <v>40</v>
      </c>
      <c r="H668" s="63" t="s">
        <v>41</v>
      </c>
      <c r="I668" s="34" t="s">
        <v>3949</v>
      </c>
      <c r="J668" s="33"/>
      <c r="K668" s="35"/>
      <c r="L668" s="33"/>
      <c r="M668" s="36"/>
      <c r="N668" s="33"/>
      <c r="O668" s="36"/>
      <c r="P668" s="33"/>
      <c r="Q668" s="37"/>
      <c r="R668" s="38"/>
      <c r="S668" s="33"/>
      <c r="T668" s="38"/>
      <c r="U668" s="33"/>
      <c r="V668" s="39"/>
      <c r="W668" s="90" t="b">
        <v>0</v>
      </c>
      <c r="X668" s="90" t="b">
        <v>0</v>
      </c>
      <c r="Y668" s="90" t="b">
        <v>0</v>
      </c>
      <c r="Z668" s="40" t="s">
        <v>3976</v>
      </c>
      <c r="AA668" s="41"/>
      <c r="AK668" s="16"/>
      <c r="AL668" s="16"/>
      <c r="AM668" s="16"/>
      <c r="AN668" s="16"/>
      <c r="AO668" s="16"/>
      <c r="AP668" s="16"/>
      <c r="AQ668" s="16"/>
      <c r="AR668" s="16"/>
      <c r="AS668" s="16"/>
    </row>
    <row r="669" spans="1:45" s="7" customFormat="1" ht="195" customHeight="1">
      <c r="A669" s="27">
        <f>[1]트램표준체크리스트!A667</f>
        <v>665</v>
      </c>
      <c r="B669" s="28" t="str">
        <f>[1]트램표준체크리스트!B667</f>
        <v>건축</v>
      </c>
      <c r="C669" s="29" t="str">
        <f>[1]트램표준체크리스트!C667</f>
        <v>차량기지 확장계획</v>
      </c>
      <c r="D669" s="30" t="str">
        <f>[1]트램표준체크리스트!F667</f>
        <v>전기실·변전소 상부에 물 사용 실을 배치해, 배관 누수로 대규모 수손사고 및 트램 운행 마비가 발생할 리스크를 검토하였는가?</v>
      </c>
      <c r="E669" s="31" t="s">
        <v>3950</v>
      </c>
      <c r="F669" s="32" t="str">
        <f t="shared" si="20"/>
        <v>극상</v>
      </c>
      <c r="G669" s="63" t="s">
        <v>40</v>
      </c>
      <c r="H669" s="63" t="s">
        <v>41</v>
      </c>
      <c r="I669" s="34" t="s">
        <v>3951</v>
      </c>
      <c r="J669" s="33"/>
      <c r="K669" s="35"/>
      <c r="L669" s="33"/>
      <c r="M669" s="36"/>
      <c r="N669" s="33"/>
      <c r="O669" s="36"/>
      <c r="P669" s="33"/>
      <c r="Q669" s="37"/>
      <c r="R669" s="38"/>
      <c r="S669" s="33"/>
      <c r="T669" s="38"/>
      <c r="U669" s="33"/>
      <c r="V669" s="39"/>
      <c r="W669" s="90" t="b">
        <v>0</v>
      </c>
      <c r="X669" s="90" t="b">
        <v>0</v>
      </c>
      <c r="Y669" s="90" t="b">
        <v>0</v>
      </c>
      <c r="Z669" s="40" t="s">
        <v>3977</v>
      </c>
      <c r="AA669" s="41"/>
      <c r="AK669" s="16"/>
      <c r="AL669" s="16"/>
      <c r="AM669" s="16"/>
      <c r="AN669" s="16"/>
      <c r="AO669" s="16"/>
      <c r="AP669" s="16"/>
      <c r="AQ669" s="16"/>
      <c r="AR669" s="16"/>
      <c r="AS669" s="16"/>
    </row>
    <row r="670" spans="1:45" s="7" customFormat="1" ht="195" customHeight="1">
      <c r="A670" s="27">
        <f>[1]트램표준체크리스트!A668</f>
        <v>666</v>
      </c>
      <c r="B670" s="28" t="str">
        <f>[1]트램표준체크리스트!B668</f>
        <v>건축</v>
      </c>
      <c r="C670" s="29" t="str">
        <f>[1]트램표준체크리스트!C668</f>
        <v>차량기지 확장계획</v>
      </c>
      <c r="D670" s="30" t="str">
        <f>[1]트램표준체크리스트!F668</f>
        <v>장래 복합화·확장용 여유 공간 확보 및 구조적 연계 상세 누락으로 증축 시 막대한 매몰비용이 발생할 리스크를 검토하였는가?</v>
      </c>
      <c r="E670" s="31" t="s">
        <v>3953</v>
      </c>
      <c r="F670" s="32" t="str">
        <f t="shared" si="20"/>
        <v>극상</v>
      </c>
      <c r="G670" s="63" t="s">
        <v>40</v>
      </c>
      <c r="H670" s="63" t="s">
        <v>41</v>
      </c>
      <c r="I670" s="34" t="s">
        <v>3954</v>
      </c>
      <c r="J670" s="33"/>
      <c r="K670" s="35"/>
      <c r="L670" s="33"/>
      <c r="M670" s="36"/>
      <c r="N670" s="33"/>
      <c r="O670" s="36"/>
      <c r="P670" s="33"/>
      <c r="Q670" s="37"/>
      <c r="R670" s="38"/>
      <c r="S670" s="33"/>
      <c r="T670" s="38"/>
      <c r="U670" s="33"/>
      <c r="V670" s="39"/>
      <c r="W670" s="90" t="b">
        <v>0</v>
      </c>
      <c r="X670" s="90" t="b">
        <v>0</v>
      </c>
      <c r="Y670" s="90" t="b">
        <v>0</v>
      </c>
      <c r="Z670" s="40" t="s">
        <v>3978</v>
      </c>
      <c r="AA670" s="41"/>
      <c r="AK670" s="16"/>
      <c r="AL670" s="16"/>
      <c r="AM670" s="16"/>
      <c r="AN670" s="16"/>
      <c r="AO670" s="16"/>
      <c r="AP670" s="16"/>
      <c r="AQ670" s="16"/>
      <c r="AR670" s="16"/>
      <c r="AS670" s="16"/>
    </row>
    <row r="671" spans="1:45" s="7" customFormat="1" ht="195" customHeight="1">
      <c r="A671" s="27">
        <f>[1]트램표준체크리스트!A669</f>
        <v>667</v>
      </c>
      <c r="B671" s="28" t="str">
        <f>[1]트램표준체크리스트!B669</f>
        <v>건축</v>
      </c>
      <c r="C671" s="29" t="str">
        <f>[1]트램표준체크리스트!C669</f>
        <v>차량기지 확장계획</v>
      </c>
      <c r="D671" s="30" t="str">
        <f>[1]트램표준체크리스트!F669</f>
        <v>제로에너지·녹색건축물 인증용 고효율 기자재 및 신재생에너지 설계 누락으로 심사에 탈락할 리스크를 검토하였는가?</v>
      </c>
      <c r="E671" s="31" t="s">
        <v>3956</v>
      </c>
      <c r="F671" s="32" t="str">
        <f t="shared" si="20"/>
        <v>극상</v>
      </c>
      <c r="G671" s="63" t="s">
        <v>40</v>
      </c>
      <c r="H671" s="63" t="s">
        <v>41</v>
      </c>
      <c r="I671" s="34" t="s">
        <v>3957</v>
      </c>
      <c r="J671" s="33"/>
      <c r="K671" s="35"/>
      <c r="L671" s="33"/>
      <c r="M671" s="36"/>
      <c r="N671" s="33"/>
      <c r="O671" s="36"/>
      <c r="P671" s="33"/>
      <c r="Q671" s="37"/>
      <c r="R671" s="38"/>
      <c r="S671" s="33"/>
      <c r="T671" s="38"/>
      <c r="U671" s="33"/>
      <c r="V671" s="39"/>
      <c r="W671" s="90" t="b">
        <v>0</v>
      </c>
      <c r="X671" s="90" t="b">
        <v>0</v>
      </c>
      <c r="Y671" s="90" t="b">
        <v>0</v>
      </c>
      <c r="Z671" s="40" t="s">
        <v>3979</v>
      </c>
      <c r="AA671" s="41"/>
      <c r="AK671" s="16"/>
      <c r="AL671" s="16"/>
      <c r="AM671" s="16"/>
      <c r="AN671" s="16"/>
      <c r="AO671" s="16"/>
      <c r="AP671" s="16"/>
      <c r="AQ671" s="16"/>
      <c r="AR671" s="16"/>
      <c r="AS671" s="16"/>
    </row>
    <row r="672" spans="1:45" s="7" customFormat="1" ht="195" customHeight="1">
      <c r="A672" s="27">
        <f>[1]트램표준체크리스트!A670</f>
        <v>668</v>
      </c>
      <c r="B672" s="28" t="str">
        <f>[1]트램표준체크리스트!B670</f>
        <v>건축</v>
      </c>
      <c r="C672" s="29" t="str">
        <f>[1]트램표준체크리스트!C670</f>
        <v>차량기지 확장계획</v>
      </c>
      <c r="D672" s="30" t="str">
        <f>[1]트램표준체크리스트!F670</f>
        <v>악세스 플로어 단차 및 구조 하중(서버랙 등) 누락으로 장비 반입 시 층고 부족 및 하중 초과 결함 리스크를 검토하였는가?</v>
      </c>
      <c r="E672" s="31" t="s">
        <v>3958</v>
      </c>
      <c r="F672" s="32" t="str">
        <f t="shared" si="20"/>
        <v>극상</v>
      </c>
      <c r="G672" s="63" t="s">
        <v>40</v>
      </c>
      <c r="H672" s="63" t="s">
        <v>41</v>
      </c>
      <c r="I672" s="34" t="s">
        <v>3959</v>
      </c>
      <c r="J672" s="33"/>
      <c r="K672" s="35"/>
      <c r="L672" s="33"/>
      <c r="M672" s="36"/>
      <c r="N672" s="33"/>
      <c r="O672" s="36"/>
      <c r="P672" s="33"/>
      <c r="Q672" s="37"/>
      <c r="R672" s="38"/>
      <c r="S672" s="33"/>
      <c r="T672" s="38"/>
      <c r="U672" s="33"/>
      <c r="V672" s="39"/>
      <c r="W672" s="90" t="b">
        <v>0</v>
      </c>
      <c r="X672" s="90" t="b">
        <v>0</v>
      </c>
      <c r="Y672" s="90" t="b">
        <v>0</v>
      </c>
      <c r="Z672" s="40" t="s">
        <v>3980</v>
      </c>
      <c r="AA672" s="41"/>
      <c r="AK672" s="16"/>
      <c r="AL672" s="16"/>
      <c r="AM672" s="16"/>
      <c r="AN672" s="16"/>
      <c r="AO672" s="16"/>
      <c r="AP672" s="16"/>
      <c r="AQ672" s="16"/>
      <c r="AR672" s="16"/>
      <c r="AS672" s="16"/>
    </row>
    <row r="673" spans="1:45" s="7" customFormat="1" ht="195" customHeight="1">
      <c r="A673" s="27">
        <f>[1]트램표준체크리스트!A671</f>
        <v>669</v>
      </c>
      <c r="B673" s="28" t="str">
        <f>[1]트램표준체크리스트!B671</f>
        <v>건축</v>
      </c>
      <c r="C673" s="29" t="str">
        <f>[1]트램표준체크리스트!C671</f>
        <v>차량기지 확장계획</v>
      </c>
      <c r="D673" s="30" t="str">
        <f>[1]트램표준체크리스트!F671</f>
        <v>시민 체험시설 방문객 동선과 트램 입출고·검수 동선이 겹쳐, 일반 시민 안전사고 및 핵심 보안 구역 침해가 발생할 리스크를 검토하였는가?</v>
      </c>
      <c r="E673" s="31" t="s">
        <v>3961</v>
      </c>
      <c r="F673" s="32" t="str">
        <f t="shared" si="20"/>
        <v>극상</v>
      </c>
      <c r="G673" s="63" t="s">
        <v>40</v>
      </c>
      <c r="H673" s="63" t="s">
        <v>41</v>
      </c>
      <c r="I673" s="34" t="s">
        <v>3962</v>
      </c>
      <c r="J673" s="33"/>
      <c r="K673" s="35"/>
      <c r="L673" s="33"/>
      <c r="M673" s="36"/>
      <c r="N673" s="33"/>
      <c r="O673" s="36"/>
      <c r="P673" s="33"/>
      <c r="Q673" s="37"/>
      <c r="R673" s="38"/>
      <c r="S673" s="33"/>
      <c r="T673" s="38"/>
      <c r="U673" s="33"/>
      <c r="V673" s="39"/>
      <c r="W673" s="90" t="b">
        <v>0</v>
      </c>
      <c r="X673" s="90" t="b">
        <v>0</v>
      </c>
      <c r="Y673" s="90" t="b">
        <v>0</v>
      </c>
      <c r="Z673" s="40" t="s">
        <v>3981</v>
      </c>
      <c r="AA673" s="41"/>
      <c r="AK673" s="16"/>
      <c r="AL673" s="16"/>
      <c r="AM673" s="16"/>
      <c r="AN673" s="16"/>
      <c r="AO673" s="16"/>
      <c r="AP673" s="16"/>
      <c r="AQ673" s="16"/>
      <c r="AR673" s="16"/>
      <c r="AS673" s="16"/>
    </row>
    <row r="674" spans="1:45" s="7" customFormat="1" ht="195" customHeight="1">
      <c r="A674" s="27">
        <f>[1]트램표준체크리스트!A672</f>
        <v>670</v>
      </c>
      <c r="B674" s="28" t="str">
        <f>[1]트램표준체크리스트!B672</f>
        <v>건축</v>
      </c>
      <c r="C674" s="29" t="str">
        <f>[1]트램표준체크리스트!C672</f>
        <v>차량기지 확장계획</v>
      </c>
      <c r="D674" s="30" t="str">
        <f>[1]트램표준체크리스트!F672</f>
        <v>트램 주행 및 크레인 가동에 따른 동적 진동하중 과소평가로, 운영 중 구조체 처짐 및 접합부 피로파괴가 유발될 리스크를 검토하였는가?</v>
      </c>
      <c r="E674" s="31" t="s">
        <v>3963</v>
      </c>
      <c r="F674" s="32" t="str">
        <f t="shared" si="20"/>
        <v>극상</v>
      </c>
      <c r="G674" s="63" t="s">
        <v>40</v>
      </c>
      <c r="H674" s="63" t="s">
        <v>41</v>
      </c>
      <c r="I674" s="34" t="s">
        <v>3964</v>
      </c>
      <c r="J674" s="33"/>
      <c r="K674" s="35"/>
      <c r="L674" s="33"/>
      <c r="M674" s="36"/>
      <c r="N674" s="33"/>
      <c r="O674" s="36"/>
      <c r="P674" s="33"/>
      <c r="Q674" s="37"/>
      <c r="R674" s="38"/>
      <c r="S674" s="33"/>
      <c r="T674" s="38"/>
      <c r="U674" s="33"/>
      <c r="V674" s="39"/>
      <c r="W674" s="90" t="b">
        <v>0</v>
      </c>
      <c r="X674" s="90" t="b">
        <v>0</v>
      </c>
      <c r="Y674" s="90" t="b">
        <v>0</v>
      </c>
      <c r="Z674" s="40" t="s">
        <v>3982</v>
      </c>
      <c r="AA674" s="41"/>
      <c r="AK674" s="16"/>
      <c r="AL674" s="16"/>
      <c r="AM674" s="16"/>
      <c r="AN674" s="16"/>
      <c r="AO674" s="16"/>
      <c r="AP674" s="16"/>
      <c r="AQ674" s="16"/>
      <c r="AR674" s="16"/>
      <c r="AS674" s="16"/>
    </row>
    <row r="675" spans="1:45" s="7" customFormat="1" ht="195" customHeight="1">
      <c r="A675" s="27">
        <f>[1]트램표준체크리스트!A673</f>
        <v>671</v>
      </c>
      <c r="B675" s="28" t="str">
        <f>[1]트램표준체크리스트!B673</f>
        <v>건축</v>
      </c>
      <c r="C675" s="29" t="str">
        <f>[1]트램표준체크리스트!C673</f>
        <v>특화 디자인 및 경관계획</v>
      </c>
      <c r="D675" s="30" t="str">
        <f>[1]트램표준체크리스트!F673</f>
        <v>외관 설계가 디자인 가이드라인과 상이하게 계획되어 트램만의 정체성(Identity) 및 랜드마크 상징성이 훼손될 리스크를 검토하였는가?</v>
      </c>
      <c r="E675" s="31" t="s">
        <v>3965</v>
      </c>
      <c r="F675" s="32" t="str">
        <f t="shared" si="20"/>
        <v>극상</v>
      </c>
      <c r="G675" s="63" t="s">
        <v>40</v>
      </c>
      <c r="H675" s="63" t="s">
        <v>41</v>
      </c>
      <c r="I675" s="34" t="s">
        <v>3966</v>
      </c>
      <c r="J675" s="33"/>
      <c r="K675" s="35"/>
      <c r="L675" s="33"/>
      <c r="M675" s="36"/>
      <c r="N675" s="33"/>
      <c r="O675" s="36"/>
      <c r="P675" s="33"/>
      <c r="Q675" s="37"/>
      <c r="R675" s="38"/>
      <c r="S675" s="33"/>
      <c r="T675" s="38"/>
      <c r="U675" s="33"/>
      <c r="V675" s="39"/>
      <c r="W675" s="90" t="b">
        <v>0</v>
      </c>
      <c r="X675" s="90" t="b">
        <v>0</v>
      </c>
      <c r="Y675" s="90" t="b">
        <v>0</v>
      </c>
      <c r="Z675" s="40" t="s">
        <v>3983</v>
      </c>
      <c r="AA675" s="41"/>
      <c r="AK675" s="16"/>
      <c r="AL675" s="16"/>
      <c r="AM675" s="16"/>
      <c r="AN675" s="16"/>
      <c r="AO675" s="16"/>
      <c r="AP675" s="16"/>
      <c r="AQ675" s="16"/>
      <c r="AR675" s="16"/>
      <c r="AS675" s="16"/>
    </row>
    <row r="676" spans="1:45" s="7" customFormat="1" ht="195" customHeight="1">
      <c r="A676" s="27">
        <f>[1]트램표준체크리스트!A674</f>
        <v>672</v>
      </c>
      <c r="B676" s="28" t="str">
        <f>[1]트램표준체크리스트!B674</f>
        <v>신호</v>
      </c>
      <c r="C676" s="29" t="str">
        <f>[1]트램표준체크리스트!C674</f>
        <v>관제 신호계획</v>
      </c>
      <c r="D676" s="30" t="str">
        <f>[1]트램표준체크리스트!F674</f>
        <v>트램 우선신호 로직 및 차량 검지기 설치 위치 누락·부적절로 트램·일반 차량 간 대형 충돌 사고 및 교통 체증이 발생할 리스크를 검토하였는가?</v>
      </c>
      <c r="E676" s="31" t="s">
        <v>1121</v>
      </c>
      <c r="F676" s="102" t="str">
        <f t="shared" si="20"/>
        <v>극상</v>
      </c>
      <c r="G676" s="63" t="s">
        <v>40</v>
      </c>
      <c r="H676" s="63" t="s">
        <v>41</v>
      </c>
      <c r="I676" s="34" t="s">
        <v>1122</v>
      </c>
      <c r="J676" s="33"/>
      <c r="K676" s="35"/>
      <c r="L676" s="33"/>
      <c r="M676" s="36"/>
      <c r="N676" s="33"/>
      <c r="O676" s="36"/>
      <c r="P676" s="33"/>
      <c r="Q676" s="37"/>
      <c r="R676" s="38"/>
      <c r="S676" s="33"/>
      <c r="T676" s="38"/>
      <c r="U676" s="33"/>
      <c r="V676" s="39"/>
      <c r="W676" s="90" t="b">
        <v>0</v>
      </c>
      <c r="X676" s="90" t="b">
        <v>0</v>
      </c>
      <c r="Y676" s="90" t="b">
        <v>0</v>
      </c>
      <c r="Z676" s="40" t="s">
        <v>1120</v>
      </c>
      <c r="AA676" s="41"/>
      <c r="AK676" s="16"/>
      <c r="AL676" s="16"/>
      <c r="AM676" s="16"/>
      <c r="AN676" s="16"/>
      <c r="AO676" s="16"/>
      <c r="AP676" s="16"/>
      <c r="AQ676" s="16"/>
      <c r="AR676" s="16"/>
      <c r="AS676" s="16"/>
    </row>
    <row r="677" spans="1:45" s="7" customFormat="1" ht="195" customHeight="1">
      <c r="A677" s="27">
        <f>[1]트램표준체크리스트!A675</f>
        <v>673</v>
      </c>
      <c r="B677" s="28" t="str">
        <f>[1]트램표준체크리스트!B675</f>
        <v>신호</v>
      </c>
      <c r="C677" s="29" t="str">
        <f>[1]트램표준체크리스트!C675</f>
        <v>관제 신호계획</v>
      </c>
      <c r="D677" s="30" t="str">
        <f>[1]트램표준체크리스트!F675</f>
        <v>기존 도로신호·트램 우선신호 간 통신 방식 및 연동 로직 설계 미비로, 교차로 신호 상충에 따른 대형 교통사고 및 차량 정체 리스크를 검토하였는가?</v>
      </c>
      <c r="E677" s="31" t="s">
        <v>1121</v>
      </c>
      <c r="F677" s="102" t="str">
        <f t="shared" si="20"/>
        <v>극상</v>
      </c>
      <c r="G677" s="63" t="s">
        <v>40</v>
      </c>
      <c r="H677" s="63" t="s">
        <v>41</v>
      </c>
      <c r="I677" s="34" t="s">
        <v>1122</v>
      </c>
      <c r="J677" s="33"/>
      <c r="K677" s="35"/>
      <c r="L677" s="33"/>
      <c r="M677" s="36"/>
      <c r="N677" s="33"/>
      <c r="O677" s="36"/>
      <c r="P677" s="33"/>
      <c r="Q677" s="37"/>
      <c r="R677" s="38"/>
      <c r="S677" s="33"/>
      <c r="T677" s="38"/>
      <c r="U677" s="33"/>
      <c r="V677" s="39"/>
      <c r="W677" s="90" t="b">
        <v>0</v>
      </c>
      <c r="X677" s="90" t="b">
        <v>0</v>
      </c>
      <c r="Y677" s="90" t="b">
        <v>0</v>
      </c>
      <c r="Z677" s="40" t="s">
        <v>1120</v>
      </c>
      <c r="AA677" s="41"/>
      <c r="AK677" s="16"/>
      <c r="AL677" s="16"/>
      <c r="AM677" s="16"/>
      <c r="AN677" s="16"/>
      <c r="AO677" s="16"/>
      <c r="AP677" s="16"/>
      <c r="AQ677" s="16"/>
      <c r="AR677" s="16"/>
      <c r="AS677" s="16"/>
    </row>
    <row r="678" spans="1:45" s="7" customFormat="1" ht="195" customHeight="1">
      <c r="A678" s="27">
        <f>[1]트램표준체크리스트!A676</f>
        <v>674</v>
      </c>
      <c r="B678" s="28" t="str">
        <f>[1]트램표준체크리스트!B676</f>
        <v>신호</v>
      </c>
      <c r="C678" s="29" t="str">
        <f>[1]트램표준체크리스트!C676</f>
        <v>관제 신호계획</v>
      </c>
      <c r="D678" s="30" t="str">
        <f>[1]트램표준체크리스트!F676</f>
        <v>정위치 정차 제어 인터페이스 기준 누락으로 휠체어 승하차 시 진입 단차가 발생할 안전사고 리스크를 검토하였는가?</v>
      </c>
      <c r="E678" s="31" t="s">
        <v>1121</v>
      </c>
      <c r="F678" s="102" t="str">
        <f t="shared" si="20"/>
        <v>극상</v>
      </c>
      <c r="G678" s="63" t="s">
        <v>40</v>
      </c>
      <c r="H678" s="63" t="s">
        <v>41</v>
      </c>
      <c r="I678" s="34" t="s">
        <v>1122</v>
      </c>
      <c r="J678" s="33"/>
      <c r="K678" s="35"/>
      <c r="L678" s="33"/>
      <c r="M678" s="36"/>
      <c r="N678" s="33"/>
      <c r="O678" s="36"/>
      <c r="P678" s="33"/>
      <c r="Q678" s="37"/>
      <c r="R678" s="38"/>
      <c r="S678" s="33"/>
      <c r="T678" s="38"/>
      <c r="U678" s="33"/>
      <c r="V678" s="39"/>
      <c r="W678" s="90" t="b">
        <v>0</v>
      </c>
      <c r="X678" s="90" t="b">
        <v>0</v>
      </c>
      <c r="Y678" s="90" t="b">
        <v>0</v>
      </c>
      <c r="Z678" s="40" t="s">
        <v>1120</v>
      </c>
      <c r="AA678" s="41"/>
      <c r="AK678" s="16"/>
      <c r="AL678" s="16"/>
      <c r="AM678" s="16"/>
      <c r="AN678" s="16"/>
      <c r="AO678" s="16"/>
      <c r="AP678" s="16"/>
      <c r="AQ678" s="16"/>
      <c r="AR678" s="16"/>
      <c r="AS678" s="16"/>
    </row>
    <row r="679" spans="1:45" s="7" customFormat="1" ht="195" customHeight="1">
      <c r="A679" s="27">
        <f>[1]트램표준체크리스트!A677</f>
        <v>675</v>
      </c>
      <c r="B679" s="28" t="str">
        <f>[1]트램표준체크리스트!B677</f>
        <v>신호</v>
      </c>
      <c r="C679" s="29" t="str">
        <f>[1]트램표준체크리스트!C677</f>
        <v>관제 신호계획</v>
      </c>
      <c r="D679" s="30" t="str">
        <f>[1]트램표준체크리스트!F677</f>
        <v>경찰청·지자체 사전협의 및 신호 개량 승인 누락으로 우선신호가 불허되거나 지자체별 연동 규격이 상이해질 리스크를 검토하였는가?</v>
      </c>
      <c r="E679" s="31" t="s">
        <v>1121</v>
      </c>
      <c r="F679" s="102" t="str">
        <f t="shared" ref="F679:F689" si="21">_xlfn.LET(
_xlpm.v_발생, IF(ISNUMBER(SEARCH("빈번", G679)), "상",
IF(ISNUMBER(SEARCH("거의", G679)), "하", "중")),
_xlpm.v_영향, IF(ISNUMBER(SEARCH("1개월", H679)), "상",
IF(ISNUMBER(SEARCH("없음", H679)), "하", "중")),
IF(AND(_xlpm.v_발생="상", _xlpm.v_영향="상"), "극상",
IF(OR(_xlpm.v_발생="상", _xlpm.v_영향="상"), "상",
IF(AND(_xlpm.v_발생="하", _xlpm.v_영향="하"), "하",
"중")))
)</f>
        <v>극상</v>
      </c>
      <c r="G679" s="63" t="s">
        <v>40</v>
      </c>
      <c r="H679" s="63" t="s">
        <v>41</v>
      </c>
      <c r="I679" s="34" t="s">
        <v>1122</v>
      </c>
      <c r="J679" s="33"/>
      <c r="K679" s="35"/>
      <c r="L679" s="33"/>
      <c r="M679" s="36"/>
      <c r="N679" s="33"/>
      <c r="O679" s="36"/>
      <c r="P679" s="33"/>
      <c r="Q679" s="37"/>
      <c r="R679" s="38"/>
      <c r="S679" s="33"/>
      <c r="T679" s="38"/>
      <c r="U679" s="33"/>
      <c r="V679" s="39"/>
      <c r="W679" s="90" t="b">
        <v>0</v>
      </c>
      <c r="X679" s="90" t="b">
        <v>0</v>
      </c>
      <c r="Y679" s="90" t="b">
        <v>0</v>
      </c>
      <c r="Z679" s="40" t="s">
        <v>1120</v>
      </c>
      <c r="AA679" s="41"/>
      <c r="AK679" s="16"/>
      <c r="AL679" s="16"/>
      <c r="AM679" s="16"/>
      <c r="AN679" s="16"/>
      <c r="AO679" s="16"/>
      <c r="AP679" s="16"/>
      <c r="AQ679" s="16"/>
      <c r="AR679" s="16"/>
      <c r="AS679" s="16"/>
    </row>
    <row r="680" spans="1:45" s="7" customFormat="1" ht="195" customHeight="1">
      <c r="A680" s="27">
        <f>[1]트램표준체크리스트!A678</f>
        <v>676</v>
      </c>
      <c r="B680" s="28" t="str">
        <f>[1]트램표준체크리스트!B678</f>
        <v>신호</v>
      </c>
      <c r="C680" s="29" t="str">
        <f>[1]트램표준체크리스트!C678</f>
        <v>관제 신호계획</v>
      </c>
      <c r="D680" s="30" t="str">
        <f>[1]트램표준체크리스트!F678</f>
        <v>히팅장치 구축 시 궤도-신호 간 배선 연결 및 제어 인터페이스 설계 불명확으로 설비 제어 불가가 발생할 리스크를 검토하였는가?</v>
      </c>
      <c r="E680" s="31" t="s">
        <v>1121</v>
      </c>
      <c r="F680" s="32" t="str">
        <f t="shared" si="21"/>
        <v>극상</v>
      </c>
      <c r="G680" s="63" t="s">
        <v>40</v>
      </c>
      <c r="H680" s="63" t="s">
        <v>41</v>
      </c>
      <c r="I680" s="34" t="s">
        <v>1122</v>
      </c>
      <c r="J680" s="33"/>
      <c r="K680" s="35"/>
      <c r="L680" s="33"/>
      <c r="M680" s="36"/>
      <c r="N680" s="33"/>
      <c r="O680" s="36"/>
      <c r="P680" s="33"/>
      <c r="Q680" s="37"/>
      <c r="R680" s="38"/>
      <c r="S680" s="33"/>
      <c r="T680" s="38"/>
      <c r="U680" s="33"/>
      <c r="V680" s="39"/>
      <c r="W680" s="90" t="b">
        <v>0</v>
      </c>
      <c r="X680" s="90" t="b">
        <v>0</v>
      </c>
      <c r="Y680" s="90" t="b">
        <v>0</v>
      </c>
      <c r="Z680" s="40" t="s">
        <v>1120</v>
      </c>
      <c r="AA680" s="41"/>
      <c r="AK680" s="16"/>
      <c r="AL680" s="16"/>
      <c r="AM680" s="16"/>
      <c r="AN680" s="16"/>
      <c r="AO680" s="16"/>
      <c r="AP680" s="16"/>
      <c r="AQ680" s="16"/>
      <c r="AR680" s="16"/>
      <c r="AS680" s="16"/>
    </row>
    <row r="681" spans="1:45" s="7" customFormat="1" ht="195" customHeight="1">
      <c r="A681" s="27">
        <f>[1]트램표준체크리스트!A679</f>
        <v>677</v>
      </c>
      <c r="B681" s="28" t="str">
        <f>[1]트램표준체크리스트!B679</f>
        <v>신호</v>
      </c>
      <c r="C681" s="29" t="str">
        <f>[1]트램표준체크리스트!C679</f>
        <v>관제 신호계획</v>
      </c>
      <c r="D681" s="30" t="str">
        <f>[1]트램표준체크리스트!F679</f>
        <v>매립형 궤도 내 차축검지기·태그 물리적 공간(레일 절단·박스아웃) 설계 누락으로 설비 간 간섭이 발생할 리스크를 검토하였는가?</v>
      </c>
      <c r="E681" s="31" t="s">
        <v>1121</v>
      </c>
      <c r="F681" s="32" t="str">
        <f t="shared" si="21"/>
        <v>극상</v>
      </c>
      <c r="G681" s="63" t="s">
        <v>40</v>
      </c>
      <c r="H681" s="63" t="s">
        <v>41</v>
      </c>
      <c r="I681" s="34" t="s">
        <v>1122</v>
      </c>
      <c r="J681" s="33"/>
      <c r="K681" s="35"/>
      <c r="L681" s="33"/>
      <c r="M681" s="36"/>
      <c r="N681" s="33"/>
      <c r="O681" s="36"/>
      <c r="P681" s="33"/>
      <c r="Q681" s="37"/>
      <c r="R681" s="38"/>
      <c r="S681" s="33"/>
      <c r="T681" s="38"/>
      <c r="U681" s="33"/>
      <c r="V681" s="39"/>
      <c r="W681" s="90" t="b">
        <v>0</v>
      </c>
      <c r="X681" s="90" t="b">
        <v>0</v>
      </c>
      <c r="Y681" s="90" t="b">
        <v>0</v>
      </c>
      <c r="Z681" s="40" t="s">
        <v>1120</v>
      </c>
      <c r="AA681" s="41"/>
      <c r="AK681" s="16"/>
      <c r="AL681" s="16"/>
      <c r="AM681" s="16"/>
      <c r="AN681" s="16"/>
      <c r="AO681" s="16"/>
      <c r="AP681" s="16"/>
      <c r="AQ681" s="16"/>
      <c r="AR681" s="16"/>
      <c r="AS681" s="16"/>
    </row>
    <row r="682" spans="1:45" s="7" customFormat="1" ht="195" customHeight="1">
      <c r="A682" s="27">
        <f>[1]트램표준체크리스트!A684</f>
        <v>682</v>
      </c>
      <c r="B682" s="28" t="str">
        <f>[1]트램표준체크리스트!B684</f>
        <v>신호</v>
      </c>
      <c r="C682" s="29" t="str">
        <f>[1]트램표준체크리스트!C684</f>
        <v>관제 신호계획</v>
      </c>
      <c r="D682" s="30" t="str">
        <f>[1]트램표준체크리스트!F684</f>
        <v>철도종합시험운행 절대 공기(Test Period) 및 평가 항목 과소 반영으로 개통 전 통합 인터페이스 검증을 완료하지 못할 리스크를 검토하였는가?</v>
      </c>
      <c r="E682" s="31" t="s">
        <v>1117</v>
      </c>
      <c r="F682" s="32" t="str">
        <f t="shared" si="21"/>
        <v>극상</v>
      </c>
      <c r="G682" s="63" t="s">
        <v>40</v>
      </c>
      <c r="H682" s="63" t="s">
        <v>41</v>
      </c>
      <c r="I682" s="34" t="s">
        <v>1118</v>
      </c>
      <c r="J682" s="33"/>
      <c r="K682" s="35"/>
      <c r="L682" s="33"/>
      <c r="M682" s="36"/>
      <c r="N682" s="33"/>
      <c r="O682" s="36"/>
      <c r="P682" s="33"/>
      <c r="Q682" s="37"/>
      <c r="R682" s="38"/>
      <c r="S682" s="33"/>
      <c r="T682" s="38"/>
      <c r="U682" s="33"/>
      <c r="V682" s="39"/>
      <c r="W682" s="90" t="b">
        <v>0</v>
      </c>
      <c r="X682" s="90" t="b">
        <v>0</v>
      </c>
      <c r="Y682" s="90" t="b">
        <v>0</v>
      </c>
      <c r="Z682" s="40" t="s">
        <v>1119</v>
      </c>
      <c r="AA682" s="41"/>
      <c r="AK682" s="16"/>
      <c r="AL682" s="16"/>
      <c r="AM682" s="16"/>
      <c r="AN682" s="16"/>
      <c r="AO682" s="16"/>
      <c r="AP682" s="16"/>
      <c r="AQ682" s="16"/>
      <c r="AR682" s="16"/>
      <c r="AS682" s="16"/>
    </row>
    <row r="683" spans="1:45" s="7" customFormat="1" ht="195" customHeight="1">
      <c r="A683" s="27">
        <f>[1]트램표준체크리스트!A686</f>
        <v>684</v>
      </c>
      <c r="B683" s="28" t="str">
        <f>[1]트램표준체크리스트!B686</f>
        <v>신호</v>
      </c>
      <c r="C683" s="29" t="str">
        <f>[1]트램표준체크리스트!C686</f>
        <v>관제 신호계획</v>
      </c>
      <c r="D683" s="30" t="str">
        <f>[1]트램표준체크리스트!F686</f>
        <v>ATP 시스템 속도 감시 프로파일 및 부정출발 차단 로직 누락으로 기관사 과실 시 열차를 강제로 제어할 안전장치가 부재할 리스크를 검토하였는가?</v>
      </c>
      <c r="E683" s="31" t="s">
        <v>1117</v>
      </c>
      <c r="F683" s="32" t="str">
        <f t="shared" si="21"/>
        <v>극상</v>
      </c>
      <c r="G683" s="63" t="s">
        <v>40</v>
      </c>
      <c r="H683" s="63" t="s">
        <v>41</v>
      </c>
      <c r="I683" s="34" t="s">
        <v>1118</v>
      </c>
      <c r="J683" s="33"/>
      <c r="K683" s="35"/>
      <c r="L683" s="33"/>
      <c r="M683" s="36"/>
      <c r="N683" s="33"/>
      <c r="O683" s="36"/>
      <c r="P683" s="33"/>
      <c r="Q683" s="37"/>
      <c r="R683" s="38"/>
      <c r="S683" s="33"/>
      <c r="T683" s="38"/>
      <c r="U683" s="33"/>
      <c r="V683" s="39"/>
      <c r="W683" s="90" t="b">
        <v>0</v>
      </c>
      <c r="X683" s="90" t="b">
        <v>0</v>
      </c>
      <c r="Y683" s="90" t="b">
        <v>0</v>
      </c>
      <c r="Z683" s="40" t="s">
        <v>1119</v>
      </c>
      <c r="AA683" s="41"/>
      <c r="AK683" s="16"/>
      <c r="AL683" s="16"/>
      <c r="AM683" s="16"/>
      <c r="AN683" s="16"/>
      <c r="AO683" s="16"/>
      <c r="AP683" s="16"/>
      <c r="AQ683" s="16"/>
      <c r="AR683" s="16"/>
      <c r="AS683" s="16"/>
    </row>
    <row r="684" spans="1:45" s="7" customFormat="1" ht="195" customHeight="1">
      <c r="A684" s="27">
        <f>[1]트램표준체크리스트!A687</f>
        <v>685</v>
      </c>
      <c r="B684" s="28" t="str">
        <f>[1]트램표준체크리스트!B687</f>
        <v>신호</v>
      </c>
      <c r="C684" s="29" t="str">
        <f>[1]트램표준체크리스트!C687</f>
        <v>관제 신호계획</v>
      </c>
      <c r="D684" s="30" t="str">
        <f>[1]트램표준체크리스트!F687</f>
        <v>일반 케이블 적용으로 화재 시 인명피해를 유발하거나 현장 기구함 방수 등급(IP56 이상) 누락으로 우기 침수 신호 장애가 발생할 리스크를 검토하였는가?</v>
      </c>
      <c r="E684" s="31" t="s">
        <v>1117</v>
      </c>
      <c r="F684" s="32" t="str">
        <f t="shared" si="21"/>
        <v>극상</v>
      </c>
      <c r="G684" s="63" t="s">
        <v>40</v>
      </c>
      <c r="H684" s="63" t="s">
        <v>41</v>
      </c>
      <c r="I684" s="34" t="s">
        <v>1118</v>
      </c>
      <c r="J684" s="33"/>
      <c r="K684" s="35"/>
      <c r="L684" s="33"/>
      <c r="M684" s="36"/>
      <c r="N684" s="33"/>
      <c r="O684" s="36"/>
      <c r="P684" s="33"/>
      <c r="Q684" s="37"/>
      <c r="R684" s="38"/>
      <c r="S684" s="33"/>
      <c r="T684" s="38"/>
      <c r="U684" s="33"/>
      <c r="V684" s="39"/>
      <c r="W684" s="90" t="b">
        <v>0</v>
      </c>
      <c r="X684" s="90" t="b">
        <v>0</v>
      </c>
      <c r="Y684" s="90" t="b">
        <v>0</v>
      </c>
      <c r="Z684" s="40" t="s">
        <v>1119</v>
      </c>
      <c r="AA684" s="41"/>
      <c r="AK684" s="16"/>
      <c r="AL684" s="16"/>
      <c r="AM684" s="16"/>
      <c r="AN684" s="16"/>
      <c r="AO684" s="16"/>
      <c r="AP684" s="16"/>
      <c r="AQ684" s="16"/>
      <c r="AR684" s="16"/>
      <c r="AS684" s="16"/>
    </row>
    <row r="685" spans="1:45" s="7" customFormat="1" ht="195" customHeight="1">
      <c r="A685" s="27">
        <f>[1]트램표준체크리스트!A691</f>
        <v>689</v>
      </c>
      <c r="B685" s="28" t="str">
        <f>[1]트램표준체크리스트!B691</f>
        <v>신호</v>
      </c>
      <c r="C685" s="29" t="str">
        <f>[1]트램표준체크리스트!C691</f>
        <v>관제 신호계획</v>
      </c>
      <c r="D685" s="30" t="str">
        <f>[1]트램표준체크리스트!F691</f>
        <v>3.5m 이상 높이 기준 누락 및 지장물 간섭 미고려로 기관사 시야 가림 및 차량한계 침범이 발생할 리스크를 검토하였는가?</v>
      </c>
      <c r="E685" s="31" t="s">
        <v>1117</v>
      </c>
      <c r="F685" s="32" t="str">
        <f t="shared" si="21"/>
        <v>극상</v>
      </c>
      <c r="G685" s="63" t="s">
        <v>40</v>
      </c>
      <c r="H685" s="63" t="s">
        <v>41</v>
      </c>
      <c r="I685" s="34" t="s">
        <v>1118</v>
      </c>
      <c r="J685" s="33"/>
      <c r="K685" s="35"/>
      <c r="L685" s="33"/>
      <c r="M685" s="36"/>
      <c r="N685" s="33"/>
      <c r="O685" s="36"/>
      <c r="P685" s="33"/>
      <c r="Q685" s="37"/>
      <c r="R685" s="38"/>
      <c r="S685" s="33"/>
      <c r="T685" s="38"/>
      <c r="U685" s="33"/>
      <c r="V685" s="39"/>
      <c r="W685" s="90" t="b">
        <v>0</v>
      </c>
      <c r="X685" s="90" t="b">
        <v>0</v>
      </c>
      <c r="Y685" s="90" t="b">
        <v>0</v>
      </c>
      <c r="Z685" s="40" t="s">
        <v>1119</v>
      </c>
      <c r="AA685" s="41"/>
      <c r="AK685" s="16"/>
      <c r="AL685" s="16"/>
      <c r="AM685" s="16"/>
      <c r="AN685" s="16"/>
      <c r="AO685" s="16"/>
      <c r="AP685" s="16"/>
      <c r="AQ685" s="16"/>
      <c r="AR685" s="16"/>
      <c r="AS685" s="16"/>
    </row>
    <row r="686" spans="1:45" s="7" customFormat="1" ht="195" customHeight="1">
      <c r="A686" s="27">
        <f>[1]트램표준체크리스트!A692</f>
        <v>690</v>
      </c>
      <c r="B686" s="28" t="str">
        <f>[1]트램표준체크리스트!B692</f>
        <v>신호</v>
      </c>
      <c r="C686" s="29" t="str">
        <f>[1]트램표준체크리스트!C692</f>
        <v>관제 신호계획</v>
      </c>
      <c r="D686" s="30" t="str">
        <f>[1]트램표준체크리스트!F692</f>
        <v>1편성 점유 로직 누락 및 위치검지기 배치 불량으로 후속 트램이 진입해 교차로 내 추돌 및 교통 마비가 발생할 리스크를 검토하였는가?</v>
      </c>
      <c r="E686" s="31" t="s">
        <v>1117</v>
      </c>
      <c r="F686" s="32" t="str">
        <f t="shared" si="21"/>
        <v>극상</v>
      </c>
      <c r="G686" s="63" t="s">
        <v>40</v>
      </c>
      <c r="H686" s="63" t="s">
        <v>41</v>
      </c>
      <c r="I686" s="34" t="s">
        <v>1118</v>
      </c>
      <c r="J686" s="33"/>
      <c r="K686" s="35"/>
      <c r="L686" s="33"/>
      <c r="M686" s="36"/>
      <c r="N686" s="33"/>
      <c r="O686" s="36"/>
      <c r="P686" s="33"/>
      <c r="Q686" s="37"/>
      <c r="R686" s="38"/>
      <c r="S686" s="33"/>
      <c r="T686" s="38"/>
      <c r="U686" s="33"/>
      <c r="V686" s="39"/>
      <c r="W686" s="90" t="b">
        <v>0</v>
      </c>
      <c r="X686" s="90" t="b">
        <v>0</v>
      </c>
      <c r="Y686" s="90" t="b">
        <v>0</v>
      </c>
      <c r="Z686" s="40" t="s">
        <v>1119</v>
      </c>
      <c r="AA686" s="41"/>
      <c r="AK686" s="16"/>
      <c r="AL686" s="16"/>
      <c r="AM686" s="16"/>
      <c r="AN686" s="16"/>
      <c r="AO686" s="16"/>
      <c r="AP686" s="16"/>
      <c r="AQ686" s="16"/>
      <c r="AR686" s="16"/>
      <c r="AS686" s="16"/>
    </row>
    <row r="687" spans="1:45" s="7" customFormat="1" ht="195" customHeight="1">
      <c r="A687" s="27">
        <f>[1]트램표준체크리스트!A695</f>
        <v>693</v>
      </c>
      <c r="B687" s="28" t="str">
        <f>[1]트램표준체크리스트!B695</f>
        <v>신호</v>
      </c>
      <c r="C687" s="29" t="str">
        <f>[1]트램표준체크리스트!C695</f>
        <v>관제 신호계획</v>
      </c>
      <c r="D687" s="30" t="str">
        <f>[1]트램표준체크리스트!F695</f>
        <v>축전지/UPS실 독립 구획 및 전자파/노이즈 차폐 설계 누락으로 신호제어 설비 통신 장애 및 화재 피해가 발생할 리스크를 검토하였는가?</v>
      </c>
      <c r="E687" s="31" t="s">
        <v>1117</v>
      </c>
      <c r="F687" s="32" t="str">
        <f t="shared" si="21"/>
        <v>극상</v>
      </c>
      <c r="G687" s="63" t="s">
        <v>40</v>
      </c>
      <c r="H687" s="63" t="s">
        <v>41</v>
      </c>
      <c r="I687" s="34" t="s">
        <v>1118</v>
      </c>
      <c r="J687" s="33"/>
      <c r="K687" s="35"/>
      <c r="L687" s="33"/>
      <c r="M687" s="36"/>
      <c r="N687" s="33"/>
      <c r="O687" s="36"/>
      <c r="P687" s="33"/>
      <c r="Q687" s="37"/>
      <c r="R687" s="38"/>
      <c r="S687" s="33"/>
      <c r="T687" s="38"/>
      <c r="U687" s="33"/>
      <c r="V687" s="39"/>
      <c r="W687" s="90" t="b">
        <v>0</v>
      </c>
      <c r="X687" s="90" t="b">
        <v>0</v>
      </c>
      <c r="Y687" s="90" t="b">
        <v>0</v>
      </c>
      <c r="Z687" s="40" t="s">
        <v>1119</v>
      </c>
      <c r="AA687" s="41"/>
      <c r="AK687" s="16"/>
      <c r="AL687" s="16"/>
      <c r="AM687" s="16"/>
      <c r="AN687" s="16"/>
      <c r="AO687" s="16"/>
      <c r="AP687" s="16"/>
      <c r="AQ687" s="16"/>
      <c r="AR687" s="16"/>
      <c r="AS687" s="16"/>
    </row>
    <row r="688" spans="1:45" s="7" customFormat="1" ht="195" customHeight="1">
      <c r="A688" s="27">
        <f>[1]트램표준체크리스트!A698</f>
        <v>696</v>
      </c>
      <c r="B688" s="28" t="str">
        <f>[1]트램표준체크리스트!B698</f>
        <v>신호</v>
      </c>
      <c r="C688" s="29" t="str">
        <f>[1]트램표준체크리스트!C698</f>
        <v>관제 신호계획</v>
      </c>
      <c r="D688" s="30" t="str">
        <f>[1]트램표준체크리스트!F698</f>
        <v>분기부 선로전환기·신호기 간 상호 연동 로직 및 보안잠금(쇄정) 조건 누락으로, 모순된 신호 현시에 따른 트램 차량 충돌 및 탈선이 발생할 리스크를 검토하였는가?</v>
      </c>
      <c r="E688" s="31" t="s">
        <v>1117</v>
      </c>
      <c r="F688" s="32" t="str">
        <f t="shared" si="21"/>
        <v>극상</v>
      </c>
      <c r="G688" s="63" t="s">
        <v>40</v>
      </c>
      <c r="H688" s="63" t="s">
        <v>41</v>
      </c>
      <c r="I688" s="34" t="s">
        <v>1118</v>
      </c>
      <c r="J688" s="33"/>
      <c r="K688" s="35"/>
      <c r="L688" s="33"/>
      <c r="M688" s="36"/>
      <c r="N688" s="33"/>
      <c r="O688" s="36"/>
      <c r="P688" s="33"/>
      <c r="Q688" s="37"/>
      <c r="R688" s="38"/>
      <c r="S688" s="33"/>
      <c r="T688" s="38"/>
      <c r="U688" s="33"/>
      <c r="V688" s="39"/>
      <c r="W688" s="90" t="b">
        <v>0</v>
      </c>
      <c r="X688" s="90" t="b">
        <v>0</v>
      </c>
      <c r="Y688" s="90" t="b">
        <v>0</v>
      </c>
      <c r="Z688" s="40" t="s">
        <v>1119</v>
      </c>
      <c r="AA688" s="41"/>
      <c r="AK688" s="16"/>
      <c r="AL688" s="16"/>
      <c r="AM688" s="16"/>
      <c r="AN688" s="16"/>
      <c r="AO688" s="16"/>
      <c r="AP688" s="16"/>
      <c r="AQ688" s="16"/>
      <c r="AR688" s="16"/>
      <c r="AS688" s="16"/>
    </row>
    <row r="689" spans="1:45" s="7" customFormat="1" ht="195" customHeight="1">
      <c r="A689" s="27">
        <f>[1]트램표준체크리스트!A701</f>
        <v>699</v>
      </c>
      <c r="B689" s="28" t="str">
        <f>[1]트램표준체크리스트!B701</f>
        <v>신호</v>
      </c>
      <c r="C689" s="29" t="str">
        <f>[1]트램표준체크리스트!C701</f>
        <v>관제 신호계획</v>
      </c>
      <c r="D689" s="30" t="str">
        <f>[1]트램표준체크리스트!F701</f>
        <v>핵심 신호설비의 SIL4 인증 명시 누락 및 단일계 구성 방치로, 장애 발생 시 트램 운행이 전면 마비될 리스크를 검토하였는가?</v>
      </c>
      <c r="E689" s="31" t="s">
        <v>1123</v>
      </c>
      <c r="F689" s="32" t="str">
        <f t="shared" si="21"/>
        <v>극상</v>
      </c>
      <c r="G689" s="63" t="s">
        <v>40</v>
      </c>
      <c r="H689" s="63" t="s">
        <v>41</v>
      </c>
      <c r="I689" s="34" t="s">
        <v>1124</v>
      </c>
      <c r="J689" s="33"/>
      <c r="K689" s="35"/>
      <c r="L689" s="33"/>
      <c r="M689" s="36"/>
      <c r="N689" s="33"/>
      <c r="O689" s="36"/>
      <c r="P689" s="33"/>
      <c r="Q689" s="37"/>
      <c r="R689" s="38"/>
      <c r="S689" s="33"/>
      <c r="T689" s="38"/>
      <c r="U689" s="33"/>
      <c r="V689" s="39"/>
      <c r="W689" s="90" t="b">
        <v>0</v>
      </c>
      <c r="X689" s="90" t="b">
        <v>0</v>
      </c>
      <c r="Y689" s="90" t="b">
        <v>0</v>
      </c>
      <c r="Z689" s="40" t="s">
        <v>1125</v>
      </c>
      <c r="AA689" s="41"/>
      <c r="AK689" s="16"/>
      <c r="AL689" s="16"/>
      <c r="AM689" s="16"/>
      <c r="AN689" s="16"/>
      <c r="AO689" s="16"/>
      <c r="AP689" s="16"/>
      <c r="AQ689" s="16"/>
      <c r="AR689" s="16"/>
      <c r="AS689" s="16"/>
    </row>
    <row r="690" spans="1:45" s="7" customFormat="1" ht="195" customHeight="1">
      <c r="A690" s="27">
        <f>[1]트램표준체크리스트!A710</f>
        <v>708</v>
      </c>
      <c r="B690" s="28" t="str">
        <f>[1]트램표준체크리스트!B710</f>
        <v>신호</v>
      </c>
      <c r="C690" s="29" t="str">
        <f>[1]트램표준체크리스트!C710</f>
        <v>관제 신호계획</v>
      </c>
      <c r="D690" s="30" t="str">
        <f>[1]트램표준체크리스트!F710</f>
        <v>정전보상시간(관제 3시간, 정거장 1시간) 과소 산정 및 친환경 축전지 사양 누락으로 관제 기능 상실 및 유해가스가 발생할 리스크를 검토하였는가?</v>
      </c>
      <c r="E690" s="31" t="s">
        <v>1127</v>
      </c>
      <c r="F690" s="32" t="str">
        <f>_xlfn.LET(
_xlpm.v_발생, IF(ISNUMBER(SEARCH("빈번", G690)), "상",
IF(ISNUMBER(SEARCH("거의", G690)), "하", "중")),
_xlpm.v_영향, IF(ISNUMBER(SEARCH("1개월", H690)), "상",
IF(ISNUMBER(SEARCH("없음", H690)), "하", "중")),
IF(AND(_xlpm.v_발생="상", _xlpm.v_영향="상"), "극상",
IF(OR(_xlpm.v_발생="상", _xlpm.v_영향="상"), "상",
IF(AND(_xlpm.v_발생="하", _xlpm.v_영향="하"), "하",
"중")))
)</f>
        <v>극상</v>
      </c>
      <c r="G690" s="63" t="s">
        <v>40</v>
      </c>
      <c r="H690" s="63" t="s">
        <v>41</v>
      </c>
      <c r="I690" s="34" t="s">
        <v>1128</v>
      </c>
      <c r="J690" s="33"/>
      <c r="K690" s="35"/>
      <c r="L690" s="33"/>
      <c r="M690" s="36"/>
      <c r="N690" s="33"/>
      <c r="O690" s="36"/>
      <c r="P690" s="33"/>
      <c r="Q690" s="37"/>
      <c r="R690" s="38"/>
      <c r="S690" s="33"/>
      <c r="T690" s="38"/>
      <c r="U690" s="33"/>
      <c r="V690" s="39"/>
      <c r="W690" s="90" t="b">
        <v>0</v>
      </c>
      <c r="X690" s="90" t="b">
        <v>0</v>
      </c>
      <c r="Y690" s="90" t="b">
        <v>0</v>
      </c>
      <c r="Z690" s="40" t="s">
        <v>1126</v>
      </c>
      <c r="AA690" s="41"/>
      <c r="AK690" s="16"/>
      <c r="AL690" s="16"/>
      <c r="AM690" s="16"/>
      <c r="AN690" s="16"/>
      <c r="AO690" s="16"/>
      <c r="AP690" s="16"/>
      <c r="AQ690" s="16"/>
      <c r="AR690" s="16"/>
      <c r="AS690" s="16"/>
    </row>
    <row r="691" spans="1:45" s="7" customFormat="1" ht="195" customHeight="1">
      <c r="A691" s="27">
        <f>[1]트램표준체크리스트!A716</f>
        <v>714</v>
      </c>
      <c r="B691" s="28" t="str">
        <f>[1]트램표준체크리스트!B716</f>
        <v>신호</v>
      </c>
      <c r="C691" s="29" t="str">
        <f>[1]트램표준체크리스트!C716</f>
        <v>관제 신호계획</v>
      </c>
      <c r="D691" s="30" t="str">
        <f>[1]트램표준체크리스트!F716</f>
        <v>장치 구성 방식(집중식/분산식)에 따른 점유 면적·발열량 검토 누락으로 공간 협소 및 냉난방 공조설비가 누락될 리스크를 검토하였는가?</v>
      </c>
      <c r="E691" s="31" t="s">
        <v>1129</v>
      </c>
      <c r="F691" s="32" t="str">
        <f>_xlfn.LET(
_xlpm.v_발생, IF(ISNUMBER(SEARCH("빈번", G691)), "상",
IF(ISNUMBER(SEARCH("거의", G691)), "하", "중")),
_xlpm.v_영향, IF(ISNUMBER(SEARCH("1개월", H691)), "상",
IF(ISNUMBER(SEARCH("없음", H691)), "하", "중")),
IF(AND(_xlpm.v_발생="상", _xlpm.v_영향="상"), "극상",
IF(OR(_xlpm.v_발생="상", _xlpm.v_영향="상"), "상",
IF(AND(_xlpm.v_발생="하", _xlpm.v_영향="하"), "하",
"중")))
)</f>
        <v>극상</v>
      </c>
      <c r="G691" s="63" t="s">
        <v>40</v>
      </c>
      <c r="H691" s="63" t="s">
        <v>41</v>
      </c>
      <c r="I691" s="34" t="s">
        <v>1130</v>
      </c>
      <c r="J691" s="33"/>
      <c r="K691" s="35"/>
      <c r="L691" s="33"/>
      <c r="M691" s="36"/>
      <c r="N691" s="33"/>
      <c r="O691" s="36"/>
      <c r="P691" s="33"/>
      <c r="Q691" s="37"/>
      <c r="R691" s="38"/>
      <c r="S691" s="33"/>
      <c r="T691" s="38"/>
      <c r="U691" s="33"/>
      <c r="V691" s="39"/>
      <c r="W691" s="90" t="b">
        <v>0</v>
      </c>
      <c r="X691" s="90" t="b">
        <v>0</v>
      </c>
      <c r="Y691" s="90" t="b">
        <v>0</v>
      </c>
      <c r="Z691" s="40" t="s">
        <v>1131</v>
      </c>
      <c r="AA691" s="41"/>
      <c r="AK691" s="16"/>
      <c r="AL691" s="16"/>
      <c r="AM691" s="16"/>
      <c r="AN691" s="16"/>
      <c r="AO691" s="16"/>
      <c r="AP691" s="16"/>
      <c r="AQ691" s="16"/>
      <c r="AR691" s="16"/>
      <c r="AS691" s="16"/>
    </row>
    <row r="692" spans="1:45" s="7" customFormat="1" ht="195" customHeight="1">
      <c r="A692" s="27">
        <f>[1]트램표준체크리스트!A720</f>
        <v>718</v>
      </c>
      <c r="B692" s="28" t="str">
        <f>[1]트램표준체크리스트!B720</f>
        <v>신호</v>
      </c>
      <c r="C692" s="29" t="str">
        <f>[1]트램표준체크리스트!C720</f>
        <v>관제 신호계획</v>
      </c>
      <c r="D692" s="30" t="str">
        <f>[1]트램표준체크리스트!F720</f>
        <v>ARS 기능 구현 누락으로 관제원이 수동으로 모든 진로를 제어해 업무 과부하 및 휴먼에러(경로 오설정)가 발생할 리스크를 검토하였는가?</v>
      </c>
      <c r="E692" s="31" t="s">
        <v>1132</v>
      </c>
      <c r="F692" s="32" t="str">
        <f>_xlfn.LET(
_xlpm.v_발생, IF(ISNUMBER(SEARCH("빈번", G692)), "상",
IF(ISNUMBER(SEARCH("거의", G692)), "하", "중")),
_xlpm.v_영향, IF(ISNUMBER(SEARCH("1개월", H692)), "상",
IF(ISNUMBER(SEARCH("없음", H692)), "하", "중")),
IF(AND(_xlpm.v_발생="상", _xlpm.v_영향="상"), "극상",
IF(OR(_xlpm.v_발생="상", _xlpm.v_영향="상"), "상",
IF(AND(_xlpm.v_발생="하", _xlpm.v_영향="하"), "하",
"중")))
)</f>
        <v>극상</v>
      </c>
      <c r="G692" s="63" t="s">
        <v>40</v>
      </c>
      <c r="H692" s="63" t="s">
        <v>41</v>
      </c>
      <c r="I692" s="34" t="s">
        <v>1133</v>
      </c>
      <c r="J692" s="33"/>
      <c r="K692" s="35"/>
      <c r="L692" s="33"/>
      <c r="M692" s="36"/>
      <c r="N692" s="33"/>
      <c r="O692" s="36"/>
      <c r="P692" s="33"/>
      <c r="Q692" s="37"/>
      <c r="R692" s="38"/>
      <c r="S692" s="33"/>
      <c r="T692" s="38"/>
      <c r="U692" s="33"/>
      <c r="V692" s="39"/>
      <c r="W692" s="90" t="b">
        <v>0</v>
      </c>
      <c r="X692" s="90" t="b">
        <v>0</v>
      </c>
      <c r="Y692" s="90" t="b">
        <v>0</v>
      </c>
      <c r="Z692" s="40" t="s">
        <v>1134</v>
      </c>
      <c r="AA692" s="41"/>
      <c r="AK692" s="16"/>
      <c r="AL692" s="16"/>
      <c r="AM692" s="16"/>
      <c r="AN692" s="16"/>
      <c r="AO692" s="16"/>
      <c r="AP692" s="16"/>
      <c r="AQ692" s="16"/>
      <c r="AR692" s="16"/>
      <c r="AS692" s="16"/>
    </row>
    <row r="693" spans="1:45" s="7" customFormat="1" ht="195" customHeight="1">
      <c r="A693" s="27">
        <f>[1]트램표준체크리스트!A721</f>
        <v>719</v>
      </c>
      <c r="B693" s="28" t="str">
        <f>[1]트램표준체크리스트!B721</f>
        <v>신호</v>
      </c>
      <c r="C693" s="29" t="str">
        <f>[1]트램표준체크리스트!C721</f>
        <v>관제 신호계획</v>
      </c>
      <c r="D693" s="30" t="str">
        <f>[1]트램표준체크리스트!F721</f>
        <v>DMI 시인성 저하 및 수동운전 모드 지상신호 연계 방호 로직 누락으로, 기관사 휴먼에러 시 대형 사고를 방지할 수단이 부재할 리스크를 검토하였는가?</v>
      </c>
      <c r="E693" s="31" t="s">
        <v>1135</v>
      </c>
      <c r="F693" s="32" t="str">
        <f>_xlfn.LET(
_xlpm.v_발생, IF(ISNUMBER(SEARCH("빈번", G693)), "상",
IF(ISNUMBER(SEARCH("거의", G693)), "하", "중")),
_xlpm.v_영향, IF(ISNUMBER(SEARCH("1개월", H693)), "상",
IF(ISNUMBER(SEARCH("없음", H693)), "하", "중")),
IF(AND(_xlpm.v_발생="상", _xlpm.v_영향="상"), "극상",
IF(OR(_xlpm.v_발생="상", _xlpm.v_영향="상"), "상",
IF(AND(_xlpm.v_발생="하", _xlpm.v_영향="하"), "하",
"중")))
)</f>
        <v>극상</v>
      </c>
      <c r="G693" s="63" t="s">
        <v>40</v>
      </c>
      <c r="H693" s="63" t="s">
        <v>41</v>
      </c>
      <c r="I693" s="34" t="s">
        <v>1136</v>
      </c>
      <c r="J693" s="33"/>
      <c r="K693" s="35"/>
      <c r="L693" s="33"/>
      <c r="M693" s="36"/>
      <c r="N693" s="33"/>
      <c r="O693" s="36"/>
      <c r="P693" s="33"/>
      <c r="Q693" s="37"/>
      <c r="R693" s="38"/>
      <c r="S693" s="33"/>
      <c r="T693" s="38"/>
      <c r="U693" s="33"/>
      <c r="V693" s="39"/>
      <c r="W693" s="90" t="b">
        <v>0</v>
      </c>
      <c r="X693" s="90" t="b">
        <v>0</v>
      </c>
      <c r="Y693" s="90" t="b">
        <v>0</v>
      </c>
      <c r="Z693" s="40" t="s">
        <v>1137</v>
      </c>
      <c r="AA693" s="41"/>
      <c r="AK693" s="16"/>
      <c r="AL693" s="16"/>
      <c r="AM693" s="16"/>
      <c r="AN693" s="16"/>
      <c r="AO693" s="16"/>
      <c r="AP693" s="16"/>
      <c r="AQ693" s="16"/>
      <c r="AR693" s="16"/>
      <c r="AS693" s="16"/>
    </row>
    <row r="694" spans="1:45" s="7" customFormat="1" ht="195" customHeight="1">
      <c r="A694" s="27">
        <f>[1]트램표준체크리스트!A724</f>
        <v>722</v>
      </c>
      <c r="B694" s="28" t="str">
        <f>[1]트램표준체크리스트!B724</f>
        <v>신호</v>
      </c>
      <c r="C694" s="29" t="str">
        <f>[1]트램표준체크리스트!C724</f>
        <v>관제 신호계획</v>
      </c>
      <c r="D694" s="30" t="str">
        <f>[1]트램표준체크리스트!F724</f>
        <v>현장제어함 공간 및 횡단·공동관로 설계 누락으로 설비 반입 시 보행 동선 침해 및 관로 재시공이 발생할 리스크를 검토하였는가?</v>
      </c>
      <c r="E694" s="31" t="s">
        <v>1138</v>
      </c>
      <c r="F694" s="32" t="str">
        <f>_xlfn.LET(
_xlpm.v_발생, IF(ISNUMBER(SEARCH("빈번", G694)), "상",
IF(ISNUMBER(SEARCH("거의", G694)), "하", "중")),
_xlpm.v_영향, IF(ISNUMBER(SEARCH("1개월", H694)), "상",
IF(ISNUMBER(SEARCH("없음", H694)), "하", "중")),
IF(AND(_xlpm.v_발생="상", _xlpm.v_영향="상"), "극상",
IF(OR(_xlpm.v_발생="상", _xlpm.v_영향="상"), "상",
IF(AND(_xlpm.v_발생="하", _xlpm.v_영향="하"), "하",
"중")))
)</f>
        <v>극상</v>
      </c>
      <c r="G694" s="63" t="s">
        <v>40</v>
      </c>
      <c r="H694" s="63" t="s">
        <v>41</v>
      </c>
      <c r="I694" s="34" t="s">
        <v>1139</v>
      </c>
      <c r="J694" s="33"/>
      <c r="K694" s="35"/>
      <c r="L694" s="33"/>
      <c r="M694" s="36"/>
      <c r="N694" s="33"/>
      <c r="O694" s="36"/>
      <c r="P694" s="33"/>
      <c r="Q694" s="37"/>
      <c r="R694" s="38"/>
      <c r="S694" s="33"/>
      <c r="T694" s="38"/>
      <c r="U694" s="33"/>
      <c r="V694" s="39"/>
      <c r="W694" s="90" t="b">
        <v>0</v>
      </c>
      <c r="X694" s="90" t="b">
        <v>0</v>
      </c>
      <c r="Y694" s="90" t="b">
        <v>0</v>
      </c>
      <c r="Z694" s="40" t="s">
        <v>1140</v>
      </c>
      <c r="AA694" s="41"/>
      <c r="AK694" s="16"/>
      <c r="AL694" s="16"/>
      <c r="AM694" s="16"/>
      <c r="AN694" s="16"/>
      <c r="AO694" s="16"/>
      <c r="AP694" s="16"/>
      <c r="AQ694" s="16"/>
      <c r="AR694" s="16"/>
      <c r="AS694" s="16"/>
    </row>
    <row r="695" spans="1:45" s="7" customFormat="1" ht="195" customHeight="1">
      <c r="A695" s="27">
        <f>[1]트램표준체크리스트!A741</f>
        <v>739</v>
      </c>
      <c r="B695" s="28" t="str">
        <f>[1]트램표준체크리스트!B741</f>
        <v>신호</v>
      </c>
      <c r="C695" s="29" t="str">
        <f>[1]트램표준체크리스트!C741</f>
        <v>도로교통 연계 안전설비</v>
      </c>
      <c r="D695" s="30" t="str">
        <f>[1]트램표준체크리스트!F741</f>
        <v>돌발유고검지장치 및 음성안내장치의 전원·통신·배관 물량 누락으로 안전설비 구축이 불가해질 리스크를 검토하였는가?</v>
      </c>
      <c r="E695" s="31" t="s">
        <v>1141</v>
      </c>
      <c r="F695" s="32" t="str">
        <f t="shared" ref="F695:F714" si="22">_xlfn.LET(
_xlpm.v_발생, IF(ISNUMBER(SEARCH("빈번", G695)), "상",
IF(ISNUMBER(SEARCH("거의", G695)), "하", "중")),
_xlpm.v_영향, IF(ISNUMBER(SEARCH("1개월", H695)), "상",
IF(ISNUMBER(SEARCH("없음", H695)), "하", "중")),
IF(AND(_xlpm.v_발생="상", _xlpm.v_영향="상"), "극상",
IF(OR(_xlpm.v_발생="상", _xlpm.v_영향="상"), "상",
IF(AND(_xlpm.v_발생="하", _xlpm.v_영향="하"), "하",
"중")))
)</f>
        <v>극상</v>
      </c>
      <c r="G695" s="63" t="s">
        <v>40</v>
      </c>
      <c r="H695" s="63" t="s">
        <v>41</v>
      </c>
      <c r="I695" s="34" t="s">
        <v>1142</v>
      </c>
      <c r="J695" s="33"/>
      <c r="K695" s="35"/>
      <c r="L695" s="33"/>
      <c r="M695" s="36"/>
      <c r="N695" s="33"/>
      <c r="O695" s="36"/>
      <c r="P695" s="33"/>
      <c r="Q695" s="37"/>
      <c r="R695" s="38"/>
      <c r="S695" s="33"/>
      <c r="T695" s="38"/>
      <c r="U695" s="33"/>
      <c r="V695" s="39"/>
      <c r="W695" s="90" t="b">
        <v>0</v>
      </c>
      <c r="X695" s="90" t="b">
        <v>0</v>
      </c>
      <c r="Y695" s="90" t="b">
        <v>0</v>
      </c>
      <c r="Z695" s="40" t="s">
        <v>1143</v>
      </c>
      <c r="AA695" s="41"/>
      <c r="AK695" s="16"/>
      <c r="AL695" s="16"/>
      <c r="AM695" s="16"/>
      <c r="AN695" s="16"/>
      <c r="AO695" s="16"/>
      <c r="AP695" s="16"/>
      <c r="AQ695" s="16"/>
      <c r="AR695" s="16"/>
      <c r="AS695" s="16"/>
    </row>
    <row r="696" spans="1:45" s="7" customFormat="1" ht="195" customHeight="1">
      <c r="A696" s="27">
        <f>[1]트램표준체크리스트!A755</f>
        <v>753</v>
      </c>
      <c r="B696" s="28" t="str">
        <f>[1]트램표준체크리스트!B755</f>
        <v>신호</v>
      </c>
      <c r="C696" s="29" t="str">
        <f>[1]트램표준체크리스트!C755</f>
        <v>터널 및 고속운행 구간 폐색설비 계획</v>
      </c>
      <c r="D696" s="30" t="s">
        <v>2719</v>
      </c>
      <c r="E696" s="31" t="s">
        <v>2723</v>
      </c>
      <c r="F696" s="102" t="str">
        <f t="shared" si="22"/>
        <v>극상</v>
      </c>
      <c r="G696" s="63" t="s">
        <v>40</v>
      </c>
      <c r="H696" s="63" t="s">
        <v>41</v>
      </c>
      <c r="I696" s="34" t="s">
        <v>2724</v>
      </c>
      <c r="J696" s="33"/>
      <c r="K696" s="35"/>
      <c r="L696" s="33"/>
      <c r="M696" s="36"/>
      <c r="N696" s="33"/>
      <c r="O696" s="36"/>
      <c r="P696" s="33"/>
      <c r="Q696" s="37"/>
      <c r="R696" s="38"/>
      <c r="S696" s="33"/>
      <c r="T696" s="38"/>
      <c r="U696" s="33"/>
      <c r="V696" s="39"/>
      <c r="W696" s="90" t="b">
        <v>0</v>
      </c>
      <c r="X696" s="90" t="b">
        <v>0</v>
      </c>
      <c r="Y696" s="90" t="b">
        <v>0</v>
      </c>
      <c r="Z696" s="40" t="s">
        <v>2720</v>
      </c>
      <c r="AA696" s="41"/>
      <c r="AK696" s="16"/>
      <c r="AL696" s="16"/>
      <c r="AM696" s="16"/>
      <c r="AN696" s="16"/>
      <c r="AO696" s="16"/>
      <c r="AP696" s="16"/>
      <c r="AQ696" s="16"/>
      <c r="AR696" s="16"/>
      <c r="AS696" s="16"/>
    </row>
    <row r="697" spans="1:45" s="7" customFormat="1" ht="195" customHeight="1">
      <c r="A697" s="27"/>
      <c r="B697" s="28" t="s">
        <v>2726</v>
      </c>
      <c r="C697" s="29" t="s">
        <v>2725</v>
      </c>
      <c r="D697" s="30" t="s">
        <v>2727</v>
      </c>
      <c r="E697" s="31" t="s">
        <v>2729</v>
      </c>
      <c r="F697" s="102"/>
      <c r="G697" s="63"/>
      <c r="H697" s="63"/>
      <c r="I697" s="34" t="s">
        <v>2730</v>
      </c>
      <c r="J697" s="33"/>
      <c r="K697" s="35"/>
      <c r="L697" s="33"/>
      <c r="M697" s="36"/>
      <c r="N697" s="33"/>
      <c r="O697" s="36"/>
      <c r="P697" s="33"/>
      <c r="Q697" s="37"/>
      <c r="R697" s="38"/>
      <c r="S697" s="33"/>
      <c r="T697" s="38"/>
      <c r="U697" s="33"/>
      <c r="V697" s="39"/>
      <c r="W697" s="90" t="b">
        <v>0</v>
      </c>
      <c r="X697" s="90" t="b">
        <v>0</v>
      </c>
      <c r="Y697" s="90" t="b">
        <v>0</v>
      </c>
      <c r="Z697" s="40" t="s">
        <v>2223</v>
      </c>
      <c r="AA697" s="41"/>
      <c r="AK697" s="16"/>
      <c r="AL697" s="16"/>
      <c r="AM697" s="16"/>
      <c r="AN697" s="16"/>
      <c r="AO697" s="16"/>
      <c r="AP697" s="16"/>
      <c r="AQ697" s="16"/>
      <c r="AR697" s="16"/>
      <c r="AS697" s="16"/>
    </row>
    <row r="698" spans="1:45" s="7" customFormat="1" ht="195" customHeight="1">
      <c r="A698" s="27"/>
      <c r="B698" s="28" t="s">
        <v>2726</v>
      </c>
      <c r="C698" s="29" t="s">
        <v>2725</v>
      </c>
      <c r="D698" s="30" t="s">
        <v>2728</v>
      </c>
      <c r="E698" s="31" t="s">
        <v>2732</v>
      </c>
      <c r="F698" s="102"/>
      <c r="G698" s="63"/>
      <c r="H698" s="63"/>
      <c r="I698" s="34" t="s">
        <v>2731</v>
      </c>
      <c r="J698" s="33"/>
      <c r="K698" s="35"/>
      <c r="L698" s="33"/>
      <c r="M698" s="36"/>
      <c r="N698" s="33"/>
      <c r="O698" s="36"/>
      <c r="P698" s="33"/>
      <c r="Q698" s="37"/>
      <c r="R698" s="38"/>
      <c r="S698" s="33"/>
      <c r="T698" s="38"/>
      <c r="U698" s="33"/>
      <c r="V698" s="39"/>
      <c r="W698" s="90" t="b">
        <v>0</v>
      </c>
      <c r="X698" s="90" t="b">
        <v>0</v>
      </c>
      <c r="Y698" s="90" t="b">
        <v>0</v>
      </c>
      <c r="Z698" s="40" t="s">
        <v>2588</v>
      </c>
      <c r="AA698" s="41"/>
      <c r="AK698" s="16"/>
      <c r="AL698" s="16"/>
      <c r="AM698" s="16"/>
      <c r="AN698" s="16"/>
      <c r="AO698" s="16"/>
      <c r="AP698" s="16"/>
      <c r="AQ698" s="16"/>
      <c r="AR698" s="16"/>
      <c r="AS698" s="16"/>
    </row>
    <row r="699" spans="1:45" s="7" customFormat="1" ht="195" customHeight="1">
      <c r="A699" s="27">
        <f>[1]트램표준체크리스트!A756</f>
        <v>754</v>
      </c>
      <c r="B699" s="28" t="str">
        <f>[1]트램표준체크리스트!B756</f>
        <v>기계</v>
      </c>
      <c r="C699" s="29" t="str">
        <f>[1]트램표준체크리스트!C756</f>
        <v>가설공사(양수기)</v>
      </c>
      <c r="D699" s="30" t="str">
        <f>[1]트램표준체크리스트!F756</f>
        <v>단계별 굴착 깊이와 유입수량(지하수+우수)을 고려하여 양수기 용량 및 대수가 산정되었는가?</v>
      </c>
      <c r="E699" s="31" t="s">
        <v>1144</v>
      </c>
      <c r="F699" s="32" t="str">
        <f t="shared" si="22"/>
        <v>극상</v>
      </c>
      <c r="G699" s="63" t="s">
        <v>40</v>
      </c>
      <c r="H699" s="63" t="s">
        <v>41</v>
      </c>
      <c r="I699" s="34" t="s">
        <v>1145</v>
      </c>
      <c r="J699" s="33"/>
      <c r="K699" s="35"/>
      <c r="L699" s="33"/>
      <c r="M699" s="36"/>
      <c r="N699" s="33"/>
      <c r="O699" s="36"/>
      <c r="P699" s="33"/>
      <c r="Q699" s="37"/>
      <c r="R699" s="38"/>
      <c r="S699" s="33"/>
      <c r="T699" s="38"/>
      <c r="U699" s="33"/>
      <c r="V699" s="39"/>
      <c r="W699" s="90" t="b">
        <v>0</v>
      </c>
      <c r="X699" s="90" t="b">
        <v>0</v>
      </c>
      <c r="Y699" s="90" t="b">
        <v>0</v>
      </c>
      <c r="Z699" s="40" t="s">
        <v>1146</v>
      </c>
      <c r="AA699" s="41"/>
      <c r="AK699" s="16"/>
      <c r="AL699" s="16"/>
      <c r="AM699" s="16"/>
      <c r="AN699" s="16"/>
      <c r="AO699" s="16"/>
      <c r="AP699" s="16"/>
      <c r="AQ699" s="16"/>
      <c r="AR699" s="16"/>
      <c r="AS699" s="16"/>
    </row>
    <row r="700" spans="1:45" s="7" customFormat="1" ht="195" customHeight="1">
      <c r="A700" s="27">
        <f>[1]트램표준체크리스트!A757</f>
        <v>755</v>
      </c>
      <c r="B700" s="28" t="str">
        <f>[1]트램표준체크리스트!B757</f>
        <v>기계</v>
      </c>
      <c r="C700" s="29" t="str">
        <f>[1]트램표준체크리스트!C757</f>
        <v>기계설비</v>
      </c>
      <c r="D700" s="30" t="str">
        <f>[1]트램표준체크리스트!F757</f>
        <v>공정별 유량 변동폭(Peak시)을 감안하여 펌프 용량 및 예비 펌프가 반영되었는가?</v>
      </c>
      <c r="E700" s="31" t="s">
        <v>1147</v>
      </c>
      <c r="F700" s="32" t="str">
        <f t="shared" si="22"/>
        <v>극상</v>
      </c>
      <c r="G700" s="63" t="s">
        <v>40</v>
      </c>
      <c r="H700" s="63" t="s">
        <v>41</v>
      </c>
      <c r="I700" s="34" t="s">
        <v>1148</v>
      </c>
      <c r="J700" s="33"/>
      <c r="K700" s="35"/>
      <c r="L700" s="33"/>
      <c r="M700" s="36"/>
      <c r="N700" s="33"/>
      <c r="O700" s="36"/>
      <c r="P700" s="33"/>
      <c r="Q700" s="37"/>
      <c r="R700" s="38"/>
      <c r="S700" s="33"/>
      <c r="T700" s="38"/>
      <c r="U700" s="33"/>
      <c r="V700" s="39"/>
      <c r="W700" s="90" t="b">
        <v>0</v>
      </c>
      <c r="X700" s="90" t="b">
        <v>0</v>
      </c>
      <c r="Y700" s="90" t="b">
        <v>0</v>
      </c>
      <c r="Z700" s="40" t="s">
        <v>1146</v>
      </c>
      <c r="AA700" s="41"/>
      <c r="AK700" s="16"/>
      <c r="AL700" s="16"/>
      <c r="AM700" s="16"/>
      <c r="AN700" s="16"/>
      <c r="AO700" s="16"/>
      <c r="AP700" s="16"/>
      <c r="AQ700" s="16"/>
      <c r="AR700" s="16"/>
      <c r="AS700" s="16"/>
    </row>
    <row r="701" spans="1:45" s="7" customFormat="1" ht="195" customHeight="1">
      <c r="A701" s="27">
        <f>[1]트램표준체크리스트!A758</f>
        <v>756</v>
      </c>
      <c r="B701" s="28" t="str">
        <f>[1]트램표준체크리스트!B758</f>
        <v>기계</v>
      </c>
      <c r="C701" s="29" t="str">
        <f>[1]트램표준체크리스트!C758</f>
        <v>기계설비</v>
      </c>
      <c r="D701" s="30" t="str">
        <f>[1]트램표준체크리스트!F758</f>
        <v>배수펌프 제어반(MCC)이 습기로부터 안전한 장소에 배치되었는가?</v>
      </c>
      <c r="E701" s="31" t="s">
        <v>1149</v>
      </c>
      <c r="F701" s="32" t="str">
        <f t="shared" si="22"/>
        <v>극상</v>
      </c>
      <c r="G701" s="63" t="s">
        <v>40</v>
      </c>
      <c r="H701" s="63" t="s">
        <v>41</v>
      </c>
      <c r="I701" s="34" t="s">
        <v>1150</v>
      </c>
      <c r="J701" s="33"/>
      <c r="K701" s="35"/>
      <c r="L701" s="33"/>
      <c r="M701" s="36"/>
      <c r="N701" s="33"/>
      <c r="O701" s="36"/>
      <c r="P701" s="33"/>
      <c r="Q701" s="37"/>
      <c r="R701" s="38"/>
      <c r="S701" s="33"/>
      <c r="T701" s="38"/>
      <c r="U701" s="33"/>
      <c r="V701" s="39"/>
      <c r="W701" s="90" t="b">
        <v>0</v>
      </c>
      <c r="X701" s="90" t="b">
        <v>0</v>
      </c>
      <c r="Y701" s="90" t="b">
        <v>0</v>
      </c>
      <c r="Z701" s="40" t="s">
        <v>1146</v>
      </c>
      <c r="AA701" s="41"/>
      <c r="AK701" s="16"/>
      <c r="AL701" s="16"/>
      <c r="AM701" s="16"/>
      <c r="AN701" s="16"/>
      <c r="AO701" s="16"/>
      <c r="AP701" s="16"/>
      <c r="AQ701" s="16"/>
      <c r="AR701" s="16"/>
      <c r="AS701" s="16"/>
    </row>
    <row r="702" spans="1:45" s="7" customFormat="1" ht="195" customHeight="1">
      <c r="A702" s="27">
        <f>[1]트램표준체크리스트!A759</f>
        <v>757</v>
      </c>
      <c r="B702" s="28" t="str">
        <f>[1]트램표준체크리스트!B759</f>
        <v>기계</v>
      </c>
      <c r="C702" s="29" t="str">
        <f>[1]트램표준체크리스트!C759</f>
        <v>부대공</v>
      </c>
      <c r="D702" s="30" t="str">
        <f>[1]트램표준체크리스트!F759</f>
        <v>하천변 굴착 시 지하수위 및 투수계수를 고려한 물푸기(Dewatering) 계획이 수립되었는가?</v>
      </c>
      <c r="E702" s="31" t="s">
        <v>1151</v>
      </c>
      <c r="F702" s="32" t="str">
        <f t="shared" si="22"/>
        <v>극상</v>
      </c>
      <c r="G702" s="63" t="s">
        <v>40</v>
      </c>
      <c r="H702" s="63" t="s">
        <v>41</v>
      </c>
      <c r="I702" s="34" t="s">
        <v>1152</v>
      </c>
      <c r="J702" s="33"/>
      <c r="K702" s="35"/>
      <c r="L702" s="33"/>
      <c r="M702" s="36"/>
      <c r="N702" s="33"/>
      <c r="O702" s="36"/>
      <c r="P702" s="33"/>
      <c r="Q702" s="37"/>
      <c r="R702" s="38"/>
      <c r="S702" s="33"/>
      <c r="T702" s="38"/>
      <c r="U702" s="33"/>
      <c r="V702" s="39"/>
      <c r="W702" s="90" t="b">
        <v>0</v>
      </c>
      <c r="X702" s="90" t="b">
        <v>0</v>
      </c>
      <c r="Y702" s="90" t="b">
        <v>0</v>
      </c>
      <c r="Z702" s="40" t="s">
        <v>1146</v>
      </c>
      <c r="AA702" s="41"/>
      <c r="AK702" s="16"/>
      <c r="AL702" s="16"/>
      <c r="AM702" s="16"/>
      <c r="AN702" s="16"/>
      <c r="AO702" s="16"/>
      <c r="AP702" s="16"/>
      <c r="AQ702" s="16"/>
      <c r="AR702" s="16"/>
      <c r="AS702" s="16"/>
    </row>
    <row r="703" spans="1:45" s="7" customFormat="1" ht="195" customHeight="1">
      <c r="A703" s="27">
        <f>[1]트램표준체크리스트!A760</f>
        <v>758</v>
      </c>
      <c r="B703" s="28" t="str">
        <f>[1]트램표준체크리스트!B760</f>
        <v>기계</v>
      </c>
      <c r="C703" s="29" t="str">
        <f>[1]트램표준체크리스트!C760</f>
        <v>시설용량증설</v>
      </c>
      <c r="D703" s="30" t="str">
        <f>[1]트램표준체크리스트!F760</f>
        <v>지반조사 보고서의 투수계수를 바탕으로 유입수량이 적정하게 산정되었는가?</v>
      </c>
      <c r="E703" s="31" t="s">
        <v>1153</v>
      </c>
      <c r="F703" s="32" t="str">
        <f t="shared" si="22"/>
        <v>극상</v>
      </c>
      <c r="G703" s="63" t="s">
        <v>40</v>
      </c>
      <c r="H703" s="63" t="s">
        <v>41</v>
      </c>
      <c r="I703" s="34" t="s">
        <v>1154</v>
      </c>
      <c r="J703" s="33"/>
      <c r="K703" s="35"/>
      <c r="L703" s="33"/>
      <c r="M703" s="36"/>
      <c r="N703" s="33"/>
      <c r="O703" s="36"/>
      <c r="P703" s="33"/>
      <c r="Q703" s="37"/>
      <c r="R703" s="38"/>
      <c r="S703" s="33"/>
      <c r="T703" s="38"/>
      <c r="U703" s="33"/>
      <c r="V703" s="39"/>
      <c r="W703" s="90" t="b">
        <v>0</v>
      </c>
      <c r="X703" s="90" t="b">
        <v>0</v>
      </c>
      <c r="Y703" s="90" t="b">
        <v>0</v>
      </c>
      <c r="Z703" s="40" t="s">
        <v>1146</v>
      </c>
      <c r="AA703" s="41"/>
      <c r="AK703" s="16"/>
      <c r="AL703" s="16"/>
      <c r="AM703" s="16"/>
      <c r="AN703" s="16"/>
      <c r="AO703" s="16"/>
      <c r="AP703" s="16"/>
      <c r="AQ703" s="16"/>
      <c r="AR703" s="16"/>
      <c r="AS703" s="16"/>
    </row>
    <row r="704" spans="1:45" s="7" customFormat="1" ht="195" customHeight="1">
      <c r="A704" s="27">
        <f>[1]트램표준체크리스트!A761</f>
        <v>759</v>
      </c>
      <c r="B704" s="28" t="str">
        <f>[1]트램표준체크리스트!B761</f>
        <v>기계</v>
      </c>
      <c r="C704" s="29" t="str">
        <f>[1]트램표준체크리스트!C761</f>
        <v>전기/계측</v>
      </c>
      <c r="D704" s="30" t="str">
        <f>[1]트램표준체크리스트!F761</f>
        <v>비상 전원 공급 라인에 핵심 배수펌프가 연결되어 있는지 회로도를 검토했는가?</v>
      </c>
      <c r="E704" s="31" t="s">
        <v>1155</v>
      </c>
      <c r="F704" s="32" t="str">
        <f t="shared" si="22"/>
        <v>극상</v>
      </c>
      <c r="G704" s="63" t="s">
        <v>40</v>
      </c>
      <c r="H704" s="63" t="s">
        <v>41</v>
      </c>
      <c r="I704" s="34" t="s">
        <v>1156</v>
      </c>
      <c r="J704" s="33"/>
      <c r="K704" s="35"/>
      <c r="L704" s="33"/>
      <c r="M704" s="36"/>
      <c r="N704" s="33"/>
      <c r="O704" s="36"/>
      <c r="P704" s="33"/>
      <c r="Q704" s="37"/>
      <c r="R704" s="38"/>
      <c r="S704" s="33"/>
      <c r="T704" s="38"/>
      <c r="U704" s="33"/>
      <c r="V704" s="39"/>
      <c r="W704" s="90" t="b">
        <v>0</v>
      </c>
      <c r="X704" s="90" t="b">
        <v>0</v>
      </c>
      <c r="Y704" s="90" t="b">
        <v>0</v>
      </c>
      <c r="Z704" s="40" t="s">
        <v>1146</v>
      </c>
      <c r="AA704" s="41"/>
      <c r="AK704" s="16"/>
      <c r="AL704" s="16"/>
      <c r="AM704" s="16"/>
      <c r="AN704" s="16"/>
      <c r="AO704" s="16"/>
      <c r="AP704" s="16"/>
      <c r="AQ704" s="16"/>
      <c r="AR704" s="16"/>
      <c r="AS704" s="16"/>
    </row>
    <row r="705" spans="1:45" s="7" customFormat="1" ht="195" customHeight="1">
      <c r="A705" s="27">
        <f>[1]트램표준체크리스트!A762</f>
        <v>760</v>
      </c>
      <c r="B705" s="28" t="str">
        <f>[1]트램표준체크리스트!B762</f>
        <v>기계</v>
      </c>
      <c r="C705" s="29" t="str">
        <f>[1]트램표준체크리스트!C762</f>
        <v>검수기계설비 계획</v>
      </c>
      <c r="D705" s="30" t="str">
        <f>[1]트램표준체크리스트!F762</f>
        <v>작업 빈도 과소평가로 압축공기·공업용수 장비 용량이 부족해지거나 인출구 배치 부적절로 유지보수 효율이 저하될 리스크를 검토하였는가?</v>
      </c>
      <c r="E705" s="31" t="s">
        <v>1157</v>
      </c>
      <c r="F705" s="32" t="str">
        <f t="shared" si="22"/>
        <v>극상</v>
      </c>
      <c r="G705" s="63" t="s">
        <v>40</v>
      </c>
      <c r="H705" s="63" t="s">
        <v>41</v>
      </c>
      <c r="I705" s="34" t="s">
        <v>1158</v>
      </c>
      <c r="J705" s="33"/>
      <c r="K705" s="35"/>
      <c r="L705" s="33"/>
      <c r="M705" s="36"/>
      <c r="N705" s="33"/>
      <c r="O705" s="36"/>
      <c r="P705" s="33"/>
      <c r="Q705" s="37"/>
      <c r="R705" s="38"/>
      <c r="S705" s="33"/>
      <c r="T705" s="38"/>
      <c r="U705" s="33"/>
      <c r="V705" s="39"/>
      <c r="W705" s="90" t="b">
        <v>0</v>
      </c>
      <c r="X705" s="90" t="b">
        <v>0</v>
      </c>
      <c r="Y705" s="90" t="b">
        <v>0</v>
      </c>
      <c r="Z705" s="40" t="s">
        <v>1146</v>
      </c>
      <c r="AA705" s="41"/>
      <c r="AK705" s="16"/>
      <c r="AL705" s="16"/>
      <c r="AM705" s="16"/>
      <c r="AN705" s="16"/>
      <c r="AO705" s="16"/>
      <c r="AP705" s="16"/>
      <c r="AQ705" s="16"/>
      <c r="AR705" s="16"/>
      <c r="AS705" s="16"/>
    </row>
    <row r="706" spans="1:45" s="7" customFormat="1" ht="195" customHeight="1">
      <c r="A706" s="27">
        <f>[1]트램표준체크리스트!A763</f>
        <v>761</v>
      </c>
      <c r="B706" s="28" t="str">
        <f>[1]트램표준체크리스트!B763</f>
        <v>기계</v>
      </c>
      <c r="C706" s="29" t="str">
        <f>[1]트램표준체크리스트!C763</f>
        <v>공사중 환경기계설비 계획</v>
      </c>
      <c r="D706" s="30" t="str">
        <f>[1]트램표준체크리스트!F763</f>
        <v>공사 중 폐수 발생량 과소 산정으로 처리시설 용량이 부족해져, 수질 기준을 초과한 미처리 폐수가 하천으로 무단 방류될 리스크를 검토하였는가?</v>
      </c>
      <c r="E706" s="31" t="s">
        <v>1159</v>
      </c>
      <c r="F706" s="32" t="str">
        <f t="shared" si="22"/>
        <v>극상</v>
      </c>
      <c r="G706" s="63" t="s">
        <v>40</v>
      </c>
      <c r="H706" s="63" t="s">
        <v>41</v>
      </c>
      <c r="I706" s="34" t="s">
        <v>1160</v>
      </c>
      <c r="J706" s="33"/>
      <c r="K706" s="35"/>
      <c r="L706" s="33"/>
      <c r="M706" s="36"/>
      <c r="N706" s="33"/>
      <c r="O706" s="36"/>
      <c r="P706" s="33"/>
      <c r="Q706" s="37"/>
      <c r="R706" s="38"/>
      <c r="S706" s="33"/>
      <c r="T706" s="38"/>
      <c r="U706" s="33"/>
      <c r="V706" s="39"/>
      <c r="W706" s="90" t="b">
        <v>0</v>
      </c>
      <c r="X706" s="90" t="b">
        <v>0</v>
      </c>
      <c r="Y706" s="90" t="b">
        <v>0</v>
      </c>
      <c r="Z706" s="40" t="s">
        <v>1146</v>
      </c>
      <c r="AA706" s="41"/>
      <c r="AK706" s="16"/>
      <c r="AL706" s="16"/>
      <c r="AM706" s="16"/>
      <c r="AN706" s="16"/>
      <c r="AO706" s="16"/>
      <c r="AP706" s="16"/>
      <c r="AQ706" s="16"/>
      <c r="AR706" s="16"/>
      <c r="AS706" s="16"/>
    </row>
    <row r="707" spans="1:45" s="7" customFormat="1" ht="195" customHeight="1">
      <c r="A707" s="27">
        <f>[1]트램표준체크리스트!A764</f>
        <v>762</v>
      </c>
      <c r="B707" s="28" t="str">
        <f>[1]트램표준체크리스트!B764</f>
        <v>기계</v>
      </c>
      <c r="C707" s="29" t="str">
        <f>[1]트램표준체크리스트!C764</f>
        <v>공조/냉난방설비 냉매 적용 계획</v>
      </c>
      <c r="D707" s="30" t="str">
        <f>[1]트램표준체크리스트!F764</f>
        <v>시방서 내 HCFC 계열 냉매 금지 조항 누락으로 법적 규제 대상인 구형 냉매 장비가 반영될 환경 리스크를 검토하였는가?</v>
      </c>
      <c r="E707" s="31" t="s">
        <v>1161</v>
      </c>
      <c r="F707" s="32" t="str">
        <f t="shared" si="22"/>
        <v>극상</v>
      </c>
      <c r="G707" s="63" t="s">
        <v>40</v>
      </c>
      <c r="H707" s="63" t="s">
        <v>41</v>
      </c>
      <c r="I707" s="34" t="s">
        <v>1162</v>
      </c>
      <c r="J707" s="33"/>
      <c r="K707" s="35"/>
      <c r="L707" s="33"/>
      <c r="M707" s="36"/>
      <c r="N707" s="33"/>
      <c r="O707" s="36"/>
      <c r="P707" s="33"/>
      <c r="Q707" s="37"/>
      <c r="R707" s="38"/>
      <c r="S707" s="33"/>
      <c r="T707" s="38"/>
      <c r="U707" s="33"/>
      <c r="V707" s="39"/>
      <c r="W707" s="90" t="b">
        <v>0</v>
      </c>
      <c r="X707" s="90" t="b">
        <v>0</v>
      </c>
      <c r="Y707" s="90" t="b">
        <v>0</v>
      </c>
      <c r="Z707" s="40" t="s">
        <v>1146</v>
      </c>
      <c r="AA707" s="41"/>
      <c r="AK707" s="16"/>
      <c r="AL707" s="16"/>
      <c r="AM707" s="16"/>
      <c r="AN707" s="16"/>
      <c r="AO707" s="16"/>
      <c r="AP707" s="16"/>
      <c r="AQ707" s="16"/>
      <c r="AR707" s="16"/>
      <c r="AS707" s="16"/>
    </row>
    <row r="708" spans="1:45" s="7" customFormat="1" ht="195" customHeight="1">
      <c r="A708" s="27">
        <f>[1]트램표준체크리스트!A765</f>
        <v>763</v>
      </c>
      <c r="B708" s="28" t="str">
        <f>[1]트램표준체크리스트!B765</f>
        <v>기계</v>
      </c>
      <c r="C708" s="29" t="str">
        <f>[1]트램표준체크리스트!C765</f>
        <v>급수 및 소방설비 인터페이스</v>
      </c>
      <c r="D708" s="30" t="str">
        <f>[1]트램표준체크리스트!F765</f>
        <v>사수방지용 칸막이 및 급수배관 단차 미적용으로 체류된 소화용수가 부패해 위생 수질 악화 및 악취 민원이 발생할 리스크를 검토하였는가?</v>
      </c>
      <c r="E708" s="31" t="s">
        <v>1163</v>
      </c>
      <c r="F708" s="32" t="str">
        <f t="shared" si="22"/>
        <v>극상</v>
      </c>
      <c r="G708" s="63" t="s">
        <v>40</v>
      </c>
      <c r="H708" s="63" t="s">
        <v>41</v>
      </c>
      <c r="I708" s="34" t="s">
        <v>1164</v>
      </c>
      <c r="J708" s="33"/>
      <c r="K708" s="35"/>
      <c r="L708" s="33"/>
      <c r="M708" s="36"/>
      <c r="N708" s="33"/>
      <c r="O708" s="36"/>
      <c r="P708" s="33"/>
      <c r="Q708" s="37"/>
      <c r="R708" s="38"/>
      <c r="S708" s="33"/>
      <c r="T708" s="38"/>
      <c r="U708" s="33"/>
      <c r="V708" s="39"/>
      <c r="W708" s="90" t="b">
        <v>0</v>
      </c>
      <c r="X708" s="90" t="b">
        <v>0</v>
      </c>
      <c r="Y708" s="90" t="b">
        <v>0</v>
      </c>
      <c r="Z708" s="40" t="s">
        <v>1146</v>
      </c>
      <c r="AA708" s="41"/>
      <c r="AK708" s="16"/>
      <c r="AL708" s="16"/>
      <c r="AM708" s="16"/>
      <c r="AN708" s="16"/>
      <c r="AO708" s="16"/>
      <c r="AP708" s="16"/>
      <c r="AQ708" s="16"/>
      <c r="AR708" s="16"/>
      <c r="AS708" s="16"/>
    </row>
    <row r="709" spans="1:45" s="7" customFormat="1" ht="195" customHeight="1">
      <c r="A709" s="27">
        <f>[1]트램표준체크리스트!A766</f>
        <v>764</v>
      </c>
      <c r="B709" s="28" t="str">
        <f>[1]트램표준체크리스트!B766</f>
        <v>기계</v>
      </c>
      <c r="C709" s="29" t="str">
        <f>[1]트램표준체크리스트!C766</f>
        <v>급수 및 소방설비 인터페이스</v>
      </c>
      <c r="D709" s="30" t="str">
        <f>[1]트램표준체크리스트!F766</f>
        <v>설계에 반영된 급수배관의 밸브조작 및 유지관리 어려움에 따라 하향식 배관으로 변경 리스크를 검토하였는가?</v>
      </c>
      <c r="E709" s="31" t="s">
        <v>1165</v>
      </c>
      <c r="F709" s="32" t="str">
        <f t="shared" si="22"/>
        <v>극상</v>
      </c>
      <c r="G709" s="63" t="s">
        <v>40</v>
      </c>
      <c r="H709" s="63" t="s">
        <v>41</v>
      </c>
      <c r="I709" s="34" t="s">
        <v>1166</v>
      </c>
      <c r="J709" s="33"/>
      <c r="K709" s="35"/>
      <c r="L709" s="33"/>
      <c r="M709" s="36"/>
      <c r="N709" s="33"/>
      <c r="O709" s="36"/>
      <c r="P709" s="33"/>
      <c r="Q709" s="37"/>
      <c r="R709" s="38"/>
      <c r="S709" s="33"/>
      <c r="T709" s="38"/>
      <c r="U709" s="33"/>
      <c r="V709" s="39"/>
      <c r="W709" s="90" t="b">
        <v>0</v>
      </c>
      <c r="X709" s="90" t="b">
        <v>0</v>
      </c>
      <c r="Y709" s="90" t="b">
        <v>0</v>
      </c>
      <c r="Z709" s="40" t="s">
        <v>1146</v>
      </c>
      <c r="AA709" s="41"/>
      <c r="AK709" s="16"/>
      <c r="AL709" s="16"/>
      <c r="AM709" s="16"/>
      <c r="AN709" s="16"/>
      <c r="AO709" s="16"/>
      <c r="AP709" s="16"/>
      <c r="AQ709" s="16"/>
      <c r="AR709" s="16"/>
      <c r="AS709" s="16"/>
    </row>
    <row r="710" spans="1:45" s="7" customFormat="1" ht="195" customHeight="1">
      <c r="A710" s="27">
        <f>[1]트램표준체크리스트!A767</f>
        <v>765</v>
      </c>
      <c r="B710" s="28" t="str">
        <f>[1]트램표준체크리스트!B767</f>
        <v>기계</v>
      </c>
      <c r="C710" s="29" t="str">
        <f>[1]트램표준체크리스트!C767</f>
        <v>급수설비 신뢰성 확보</v>
      </c>
      <c r="D710" s="30" t="str">
        <f>[1]트램표준체크리스트!F767</f>
        <v>시수 직결·저수조 겸용 하이브리드 급수 방식 누락으로 단수 시 화장실 및 세척용수 공급이 전면 중단될 리스크를 검토하였는가?</v>
      </c>
      <c r="E710" s="31" t="s">
        <v>1167</v>
      </c>
      <c r="F710" s="32" t="str">
        <f t="shared" si="22"/>
        <v>극상</v>
      </c>
      <c r="G710" s="63" t="s">
        <v>40</v>
      </c>
      <c r="H710" s="63" t="s">
        <v>41</v>
      </c>
      <c r="I710" s="34" t="s">
        <v>1168</v>
      </c>
      <c r="J710" s="33"/>
      <c r="K710" s="35"/>
      <c r="L710" s="33"/>
      <c r="M710" s="36"/>
      <c r="N710" s="33"/>
      <c r="O710" s="36"/>
      <c r="P710" s="33"/>
      <c r="Q710" s="37"/>
      <c r="R710" s="38"/>
      <c r="S710" s="33"/>
      <c r="T710" s="38"/>
      <c r="U710" s="33"/>
      <c r="V710" s="39"/>
      <c r="W710" s="90" t="b">
        <v>0</v>
      </c>
      <c r="X710" s="90" t="b">
        <v>0</v>
      </c>
      <c r="Y710" s="90" t="b">
        <v>0</v>
      </c>
      <c r="Z710" s="40" t="s">
        <v>1146</v>
      </c>
      <c r="AA710" s="41"/>
      <c r="AK710" s="16"/>
      <c r="AL710" s="16"/>
      <c r="AM710" s="16"/>
      <c r="AN710" s="16"/>
      <c r="AO710" s="16"/>
      <c r="AP710" s="16"/>
      <c r="AQ710" s="16"/>
      <c r="AR710" s="16"/>
      <c r="AS710" s="16"/>
    </row>
    <row r="711" spans="1:45" s="7" customFormat="1" ht="195" customHeight="1">
      <c r="A711" s="27">
        <f>[1]트램표준체크리스트!A768</f>
        <v>766</v>
      </c>
      <c r="B711" s="28" t="str">
        <f>[1]트램표준체크리스트!B768</f>
        <v>기계</v>
      </c>
      <c r="C711" s="29" t="str">
        <f>[1]트램표준체크리스트!C768</f>
        <v>기계 배관 라우팅(Routing) 계획</v>
      </c>
      <c r="D711" s="30" t="str">
        <f>[1]트램표준체크리스트!F768</f>
        <v>기계실 상부 수계 배관 횡단 설계로 누수·결로 시 고압반 단락 및 시스템 마비를 유발할 방재 리스크를 검토하였는가?</v>
      </c>
      <c r="E711" s="31" t="s">
        <v>1169</v>
      </c>
      <c r="F711" s="32" t="str">
        <f t="shared" si="22"/>
        <v>극상</v>
      </c>
      <c r="G711" s="63" t="s">
        <v>40</v>
      </c>
      <c r="H711" s="63" t="s">
        <v>41</v>
      </c>
      <c r="I711" s="34" t="s">
        <v>1170</v>
      </c>
      <c r="J711" s="33"/>
      <c r="K711" s="35"/>
      <c r="L711" s="33"/>
      <c r="M711" s="36"/>
      <c r="N711" s="33"/>
      <c r="O711" s="36"/>
      <c r="P711" s="33"/>
      <c r="Q711" s="37"/>
      <c r="R711" s="38"/>
      <c r="S711" s="33"/>
      <c r="T711" s="38"/>
      <c r="U711" s="33"/>
      <c r="V711" s="39"/>
      <c r="W711" s="90" t="b">
        <v>0</v>
      </c>
      <c r="X711" s="90" t="b">
        <v>0</v>
      </c>
      <c r="Y711" s="90" t="b">
        <v>1</v>
      </c>
      <c r="Z711" s="40" t="s">
        <v>1146</v>
      </c>
      <c r="AA711" s="41"/>
      <c r="AK711" s="16"/>
      <c r="AL711" s="16"/>
      <c r="AM711" s="16"/>
      <c r="AN711" s="16"/>
      <c r="AO711" s="16"/>
      <c r="AP711" s="16"/>
      <c r="AQ711" s="16"/>
      <c r="AR711" s="16"/>
      <c r="AS711" s="16"/>
    </row>
    <row r="712" spans="1:45" s="7" customFormat="1" ht="195" customHeight="1">
      <c r="A712" s="27">
        <f>[1]트램표준체크리스트!A769</f>
        <v>767</v>
      </c>
      <c r="B712" s="28" t="str">
        <f>[1]트램표준체크리스트!B769</f>
        <v>기계</v>
      </c>
      <c r="C712" s="29" t="str">
        <f>[1]트램표준체크리스트!C769</f>
        <v>기계-건축 인터페이스</v>
      </c>
      <c r="D712" s="30" t="str">
        <f>[1]트램표준체크리스트!F769</f>
        <v>기계실 면적·층고 과소 설계로 대형 장비 반입 불가 및 유지보수 작업 공간이 부족해질 리스크를 검토하였는가?</v>
      </c>
      <c r="E712" s="31" t="s">
        <v>1171</v>
      </c>
      <c r="F712" s="32" t="str">
        <f t="shared" si="22"/>
        <v>극상</v>
      </c>
      <c r="G712" s="63" t="s">
        <v>40</v>
      </c>
      <c r="H712" s="63" t="s">
        <v>41</v>
      </c>
      <c r="I712" s="34" t="s">
        <v>1172</v>
      </c>
      <c r="J712" s="33"/>
      <c r="K712" s="35"/>
      <c r="L712" s="33"/>
      <c r="M712" s="36"/>
      <c r="N712" s="33"/>
      <c r="O712" s="36"/>
      <c r="P712" s="33"/>
      <c r="Q712" s="37"/>
      <c r="R712" s="38"/>
      <c r="S712" s="33"/>
      <c r="T712" s="38"/>
      <c r="U712" s="33"/>
      <c r="V712" s="39"/>
      <c r="W712" s="90" t="b">
        <v>0</v>
      </c>
      <c r="X712" s="90" t="b">
        <v>0</v>
      </c>
      <c r="Y712" s="90" t="b">
        <v>0</v>
      </c>
      <c r="Z712" s="40" t="s">
        <v>1146</v>
      </c>
      <c r="AA712" s="41"/>
      <c r="AK712" s="16"/>
      <c r="AL712" s="16"/>
      <c r="AM712" s="16"/>
      <c r="AN712" s="16"/>
      <c r="AO712" s="16"/>
      <c r="AP712" s="16"/>
      <c r="AQ712" s="16"/>
      <c r="AR712" s="16"/>
      <c r="AS712" s="16"/>
    </row>
    <row r="713" spans="1:45" s="7" customFormat="1" ht="195" customHeight="1">
      <c r="A713" s="27">
        <f>[1]트램표준체크리스트!A770</f>
        <v>768</v>
      </c>
      <c r="B713" s="28" t="str">
        <f>[1]트램표준체크리스트!B770</f>
        <v>기계</v>
      </c>
      <c r="C713" s="29" t="str">
        <f>[1]트램표준체크리스트!C770</f>
        <v>기계-건축/전기 인터페이스</v>
      </c>
      <c r="D713" s="30" t="str">
        <f>[1]트램표준체크리스트!F770</f>
        <v>천장 속 공간(Plenum) 밀집 배치로 시공 중 물리적 간섭 및 운영 중 밸브·댐퍼 유지보수 접근이 불가해질 리스크를 검토하였는가?</v>
      </c>
      <c r="E713" s="31" t="s">
        <v>1173</v>
      </c>
      <c r="F713" s="32" t="str">
        <f t="shared" si="22"/>
        <v>극상</v>
      </c>
      <c r="G713" s="63" t="s">
        <v>40</v>
      </c>
      <c r="H713" s="63" t="s">
        <v>41</v>
      </c>
      <c r="I713" s="34" t="s">
        <v>1174</v>
      </c>
      <c r="J713" s="33"/>
      <c r="K713" s="35"/>
      <c r="L713" s="33"/>
      <c r="M713" s="36"/>
      <c r="N713" s="33"/>
      <c r="O713" s="36"/>
      <c r="P713" s="33"/>
      <c r="Q713" s="37"/>
      <c r="R713" s="38"/>
      <c r="S713" s="33"/>
      <c r="T713" s="38"/>
      <c r="U713" s="33"/>
      <c r="V713" s="39"/>
      <c r="W713" s="90" t="b">
        <v>0</v>
      </c>
      <c r="X713" s="90" t="b">
        <v>0</v>
      </c>
      <c r="Y713" s="90" t="b">
        <v>0</v>
      </c>
      <c r="Z713" s="40" t="s">
        <v>1146</v>
      </c>
      <c r="AA713" s="41"/>
      <c r="AK713" s="16"/>
      <c r="AL713" s="16"/>
      <c r="AM713" s="16"/>
      <c r="AN713" s="16"/>
      <c r="AO713" s="16"/>
      <c r="AP713" s="16"/>
      <c r="AQ713" s="16"/>
      <c r="AR713" s="16"/>
      <c r="AS713" s="16"/>
    </row>
    <row r="714" spans="1:45" s="7" customFormat="1" ht="195" customHeight="1">
      <c r="A714" s="27">
        <f>[1]트램표준체크리스트!A771</f>
        <v>769</v>
      </c>
      <c r="B714" s="28" t="str">
        <f>[1]트램표준체크리스트!B771</f>
        <v>기계</v>
      </c>
      <c r="C714" s="29" t="str">
        <f>[1]트램표준체크리스트!C771</f>
        <v>기계-건축/전기 인터페이스</v>
      </c>
      <c r="D714" s="30" t="str">
        <f>[1]트램표준체크리스트!F771</f>
        <v>발주처의 중간점검 요구사항에 따라 계측기 안전장비 및 전기장치에 대한 진단장비를 추가 리스크를 검토하였는가?</v>
      </c>
      <c r="E714" s="31" t="s">
        <v>1175</v>
      </c>
      <c r="F714" s="32" t="str">
        <f t="shared" si="22"/>
        <v>극상</v>
      </c>
      <c r="G714" s="63" t="s">
        <v>40</v>
      </c>
      <c r="H714" s="63" t="s">
        <v>41</v>
      </c>
      <c r="I714" s="34" t="s">
        <v>1176</v>
      </c>
      <c r="J714" s="33"/>
      <c r="K714" s="35"/>
      <c r="L714" s="33"/>
      <c r="M714" s="36"/>
      <c r="N714" s="33"/>
      <c r="O714" s="36"/>
      <c r="P714" s="33"/>
      <c r="Q714" s="37"/>
      <c r="R714" s="38"/>
      <c r="S714" s="33"/>
      <c r="T714" s="38"/>
      <c r="U714" s="33"/>
      <c r="V714" s="39"/>
      <c r="W714" s="90" t="b">
        <v>0</v>
      </c>
      <c r="X714" s="90" t="b">
        <v>0</v>
      </c>
      <c r="Y714" s="90" t="b">
        <v>0</v>
      </c>
      <c r="Z714" s="40" t="s">
        <v>1146</v>
      </c>
      <c r="AA714" s="41"/>
      <c r="AK714" s="16"/>
      <c r="AL714" s="16"/>
      <c r="AM714" s="16"/>
      <c r="AN714" s="16"/>
      <c r="AO714" s="16"/>
      <c r="AP714" s="16"/>
      <c r="AQ714" s="16"/>
      <c r="AR714" s="16"/>
      <c r="AS714" s="16"/>
    </row>
    <row r="715" spans="1:45" s="7" customFormat="1" ht="195" customHeight="1">
      <c r="A715" s="27">
        <f>[1]트램표준체크리스트!A772</f>
        <v>770</v>
      </c>
      <c r="B715" s="28" t="str">
        <f>[1]트램표준체크리스트!B772</f>
        <v>기계</v>
      </c>
      <c r="C715" s="29" t="str">
        <f>[1]트램표준체크리스트!C772</f>
        <v>기계-전기 인터페이스</v>
      </c>
      <c r="D715" s="30" t="str">
        <f>[1]트램표준체크리스트!F772</f>
        <v>장비 전원공급 물량이 기계·전기 분야에서 누락되어 현장 장비 가동이 불가해질 인터페이스 설계 오류 리스크를 검토하였는가?</v>
      </c>
      <c r="E715" s="31" t="s">
        <v>1177</v>
      </c>
      <c r="F715" s="32" t="str">
        <f>_xlfn.LET(
    _xlpm.v_발생, IF(ISNUMBER(SEARCH("빈번", G715)), "상",
               IF(ISNUMBER(SEARCH("거의", G715)), "하", "중")),
    _xlpm.v_영향, IF(ISNUMBER(SEARCH("1개월", H715)), "상",
               IF(ISNUMBER(SEARCH("없음", H715)), "하", "중")),
    IF(AND(_xlpm.v_발생="상", _xlpm.v_영향="상"), "극상",
    IF(OR(_xlpm.v_발생="상", _xlpm.v_영향="상"), "상",
    IF(AND(_xlpm.v_발생="하", _xlpm.v_영향="하"), "하",
    "중")))
)</f>
        <v>극상</v>
      </c>
      <c r="G715" s="63" t="s">
        <v>40</v>
      </c>
      <c r="H715" s="63" t="s">
        <v>41</v>
      </c>
      <c r="I715" s="34" t="s">
        <v>1178</v>
      </c>
      <c r="J715" s="33"/>
      <c r="K715" s="35"/>
      <c r="L715" s="33"/>
      <c r="M715" s="36"/>
      <c r="N715" s="33"/>
      <c r="O715" s="36"/>
      <c r="P715" s="33"/>
      <c r="Q715" s="37"/>
      <c r="R715" s="38"/>
      <c r="S715" s="33"/>
      <c r="T715" s="38"/>
      <c r="U715" s="33"/>
      <c r="V715" s="39"/>
      <c r="W715" s="90" t="b">
        <v>0</v>
      </c>
      <c r="X715" s="90" t="b">
        <v>0</v>
      </c>
      <c r="Y715" s="90" t="b">
        <v>0</v>
      </c>
      <c r="Z715" s="40" t="s">
        <v>1146</v>
      </c>
      <c r="AA715" s="41"/>
      <c r="AK715" s="16"/>
      <c r="AL715" s="16"/>
      <c r="AM715" s="16"/>
      <c r="AN715" s="16"/>
      <c r="AO715" s="16"/>
      <c r="AP715" s="16"/>
      <c r="AQ715" s="16"/>
      <c r="AR715" s="16"/>
      <c r="AS715" s="16"/>
    </row>
    <row r="716" spans="1:45" s="7" customFormat="1" ht="195" customHeight="1">
      <c r="A716" s="27">
        <f>[1]트램표준체크리스트!A773</f>
        <v>771</v>
      </c>
      <c r="B716" s="28" t="str">
        <f>[1]트램표준체크리스트!B773</f>
        <v>기계</v>
      </c>
      <c r="C716" s="29" t="str">
        <f>[1]트램표준체크리스트!C773</f>
        <v>기계-전기 인터페이스</v>
      </c>
      <c r="D716" s="30" t="str">
        <f>[1]트램표준체크리스트!F773</f>
        <v>MCC반 기초 패드 레벨 상향 설계 누락으로 펌프보다 제어반이 먼저 침수돼 배수 기능이 완전 상실될 대형 수해 리스크를 검토하였는가?</v>
      </c>
      <c r="E716" s="31" t="s">
        <v>1179</v>
      </c>
      <c r="F716" s="32" t="str">
        <f t="shared" ref="F716:F747" si="23">_xlfn.LET(
_xlpm.v_발생, IF(ISNUMBER(SEARCH("빈번", G716)), "상",
IF(ISNUMBER(SEARCH("거의", G716)), "하", "중")),
_xlpm.v_영향, IF(ISNUMBER(SEARCH("1개월", H716)), "상",
IF(ISNUMBER(SEARCH("없음", H716)), "하", "중")),
IF(AND(_xlpm.v_발생="상", _xlpm.v_영향="상"), "극상",
IF(OR(_xlpm.v_발생="상", _xlpm.v_영향="상"), "상",
IF(AND(_xlpm.v_발생="하", _xlpm.v_영향="하"), "하",
"중")))
)</f>
        <v>극상</v>
      </c>
      <c r="G716" s="63" t="s">
        <v>40</v>
      </c>
      <c r="H716" s="63" t="s">
        <v>41</v>
      </c>
      <c r="I716" s="34" t="s">
        <v>1180</v>
      </c>
      <c r="J716" s="33"/>
      <c r="K716" s="35"/>
      <c r="L716" s="33"/>
      <c r="M716" s="36"/>
      <c r="N716" s="33"/>
      <c r="O716" s="36"/>
      <c r="P716" s="33"/>
      <c r="Q716" s="37"/>
      <c r="R716" s="38"/>
      <c r="S716" s="33"/>
      <c r="T716" s="38"/>
      <c r="U716" s="33"/>
      <c r="V716" s="39"/>
      <c r="W716" s="90" t="b">
        <v>0</v>
      </c>
      <c r="X716" s="90" t="b">
        <v>0</v>
      </c>
      <c r="Y716" s="90" t="b">
        <v>0</v>
      </c>
      <c r="Z716" s="40" t="s">
        <v>1146</v>
      </c>
      <c r="AA716" s="41"/>
      <c r="AK716" s="16"/>
      <c r="AL716" s="16"/>
      <c r="AM716" s="16"/>
      <c r="AN716" s="16"/>
      <c r="AO716" s="16"/>
      <c r="AP716" s="16"/>
      <c r="AQ716" s="16"/>
      <c r="AR716" s="16"/>
      <c r="AS716" s="16"/>
    </row>
    <row r="717" spans="1:45" s="7" customFormat="1" ht="195" customHeight="1">
      <c r="A717" s="27">
        <f>[1]트램표준체크리스트!A774</f>
        <v>772</v>
      </c>
      <c r="B717" s="28" t="str">
        <f>[1]트램표준체크리스트!B774</f>
        <v>기계</v>
      </c>
      <c r="C717" s="29" t="str">
        <f>[1]트램표준체크리스트!C774</f>
        <v>기계-전기/통신 인터페이스</v>
      </c>
      <c r="D717" s="30" t="str">
        <f>[1]트램표준체크리스트!F774</f>
        <v>핵심 시스템실 상부 급·배수배관 횡단 설계로 누수 시 대형 누전 및 통신 장애(셧다운)가 발생할 리스크를 검토하였는가?</v>
      </c>
      <c r="E717" s="31" t="s">
        <v>1181</v>
      </c>
      <c r="F717" s="32" t="str">
        <f t="shared" si="23"/>
        <v>극상</v>
      </c>
      <c r="G717" s="63" t="s">
        <v>40</v>
      </c>
      <c r="H717" s="63" t="s">
        <v>41</v>
      </c>
      <c r="I717" s="34" t="s">
        <v>1182</v>
      </c>
      <c r="J717" s="33"/>
      <c r="K717" s="35"/>
      <c r="L717" s="33"/>
      <c r="M717" s="36"/>
      <c r="N717" s="33"/>
      <c r="O717" s="36"/>
      <c r="P717" s="33"/>
      <c r="Q717" s="37"/>
      <c r="R717" s="38"/>
      <c r="S717" s="33"/>
      <c r="T717" s="38"/>
      <c r="U717" s="33"/>
      <c r="V717" s="39"/>
      <c r="W717" s="90" t="b">
        <v>0</v>
      </c>
      <c r="X717" s="90" t="b">
        <v>0</v>
      </c>
      <c r="Y717" s="90" t="b">
        <v>0</v>
      </c>
      <c r="Z717" s="40" t="s">
        <v>1146</v>
      </c>
      <c r="AA717" s="41"/>
      <c r="AK717" s="16"/>
      <c r="AL717" s="16"/>
      <c r="AM717" s="16"/>
      <c r="AN717" s="16"/>
      <c r="AO717" s="16"/>
      <c r="AP717" s="16"/>
      <c r="AQ717" s="16"/>
      <c r="AR717" s="16"/>
      <c r="AS717" s="16"/>
    </row>
    <row r="718" spans="1:45" s="7" customFormat="1" ht="195" customHeight="1">
      <c r="A718" s="27">
        <f>[1]트램표준체크리스트!A775</f>
        <v>773</v>
      </c>
      <c r="B718" s="28" t="str">
        <f>[1]트램표준체크리스트!B775</f>
        <v>기계</v>
      </c>
      <c r="C718" s="29" t="str">
        <f>[1]트램표준체크리스트!C775</f>
        <v>기계설비 성능검증 계획</v>
      </c>
      <c r="D718" s="30" t="str">
        <f>[1]트램표준체크리스트!F775</f>
        <v>T.A.B 용역 예산 및 측정공·조절댐퍼 설계 누락으로 준공 전 설비 성능(풍량·수량) 객관적 튜닝 및 검증이 불가해질 리스크를 검토하였는가?</v>
      </c>
      <c r="E718" s="31" t="s">
        <v>1183</v>
      </c>
      <c r="F718" s="32" t="str">
        <f t="shared" si="23"/>
        <v>극상</v>
      </c>
      <c r="G718" s="63" t="s">
        <v>40</v>
      </c>
      <c r="H718" s="63" t="s">
        <v>41</v>
      </c>
      <c r="I718" s="34" t="s">
        <v>1184</v>
      </c>
      <c r="J718" s="33"/>
      <c r="K718" s="35"/>
      <c r="L718" s="33"/>
      <c r="M718" s="36"/>
      <c r="N718" s="33"/>
      <c r="O718" s="36"/>
      <c r="P718" s="33"/>
      <c r="Q718" s="37"/>
      <c r="R718" s="38"/>
      <c r="S718" s="33"/>
      <c r="T718" s="38"/>
      <c r="U718" s="33"/>
      <c r="V718" s="39"/>
      <c r="W718" s="90" t="b">
        <v>0</v>
      </c>
      <c r="X718" s="90" t="b">
        <v>0</v>
      </c>
      <c r="Y718" s="90" t="b">
        <v>0</v>
      </c>
      <c r="Z718" s="40" t="s">
        <v>1146</v>
      </c>
      <c r="AA718" s="41"/>
      <c r="AK718" s="16"/>
      <c r="AL718" s="16"/>
      <c r="AM718" s="16"/>
      <c r="AN718" s="16"/>
      <c r="AO718" s="16"/>
      <c r="AP718" s="16"/>
      <c r="AQ718" s="16"/>
      <c r="AR718" s="16"/>
      <c r="AS718" s="16"/>
    </row>
    <row r="719" spans="1:45" s="7" customFormat="1" ht="195" customHeight="1">
      <c r="A719" s="27">
        <f>[1]트램표준체크리스트!A776</f>
        <v>774</v>
      </c>
      <c r="B719" s="28" t="str">
        <f>[1]트램표준체크리스트!B776</f>
        <v>기계</v>
      </c>
      <c r="C719" s="29" t="str">
        <f>[1]트램표준체크리스트!C776</f>
        <v>기계설비 식별 및 댐퍼 유지관리 계획</v>
      </c>
      <c r="D719" s="30" t="str">
        <f>[1]트램표준체크리스트!F776</f>
        <v>식별 표지 및 전동방화댐퍼(MFD) 조작 안내표지 설계 누락으로, 유지보수 오조작 및 화재 시 수동 대처가 불가능해질 리스크를 검토하였는가?</v>
      </c>
      <c r="E719" s="31" t="s">
        <v>1185</v>
      </c>
      <c r="F719" s="32" t="str">
        <f t="shared" si="23"/>
        <v>극상</v>
      </c>
      <c r="G719" s="63" t="s">
        <v>40</v>
      </c>
      <c r="H719" s="63" t="s">
        <v>41</v>
      </c>
      <c r="I719" s="34" t="s">
        <v>1186</v>
      </c>
      <c r="J719" s="33"/>
      <c r="K719" s="35"/>
      <c r="L719" s="33"/>
      <c r="M719" s="36"/>
      <c r="N719" s="33"/>
      <c r="O719" s="36"/>
      <c r="P719" s="33"/>
      <c r="Q719" s="37"/>
      <c r="R719" s="38"/>
      <c r="S719" s="33"/>
      <c r="T719" s="38"/>
      <c r="U719" s="33"/>
      <c r="V719" s="39"/>
      <c r="W719" s="90" t="b">
        <v>0</v>
      </c>
      <c r="X719" s="90" t="b">
        <v>0</v>
      </c>
      <c r="Y719" s="90" t="b">
        <v>0</v>
      </c>
      <c r="Z719" s="40" t="s">
        <v>1146</v>
      </c>
      <c r="AA719" s="41"/>
      <c r="AK719" s="16"/>
      <c r="AL719" s="16"/>
      <c r="AM719" s="16"/>
      <c r="AN719" s="16"/>
      <c r="AO719" s="16"/>
      <c r="AP719" s="16"/>
      <c r="AQ719" s="16"/>
      <c r="AR719" s="16"/>
      <c r="AS719" s="16"/>
    </row>
    <row r="720" spans="1:45" s="7" customFormat="1" ht="195" customHeight="1">
      <c r="A720" s="27">
        <f>[1]트램표준체크리스트!A777</f>
        <v>775</v>
      </c>
      <c r="B720" s="28" t="str">
        <f>[1]트램표준체크리스트!B777</f>
        <v>기계</v>
      </c>
      <c r="C720" s="29" t="str">
        <f>[1]트램표준체크리스트!C777</f>
        <v>기계설비 식별 및 유지관리 계획</v>
      </c>
      <c r="D720" s="30" t="str">
        <f>[1]트램표준체크리스트!F777</f>
        <v>식별표시 규격 및 MFD 조작 안내표지판 상세도 누락으로, 현장 유지관리 및 비상시 신속한 대처가 지연될 리스크를 검토하였는가?</v>
      </c>
      <c r="E720" s="31" t="s">
        <v>1187</v>
      </c>
      <c r="F720" s="32" t="str">
        <f t="shared" si="23"/>
        <v>극상</v>
      </c>
      <c r="G720" s="63" t="s">
        <v>40</v>
      </c>
      <c r="H720" s="63" t="s">
        <v>41</v>
      </c>
      <c r="I720" s="34" t="s">
        <v>1188</v>
      </c>
      <c r="J720" s="33"/>
      <c r="K720" s="35"/>
      <c r="L720" s="33"/>
      <c r="M720" s="36"/>
      <c r="N720" s="33"/>
      <c r="O720" s="36"/>
      <c r="P720" s="33"/>
      <c r="Q720" s="37"/>
      <c r="R720" s="38"/>
      <c r="S720" s="33"/>
      <c r="T720" s="38"/>
      <c r="U720" s="33"/>
      <c r="V720" s="39"/>
      <c r="W720" s="90" t="b">
        <v>0</v>
      </c>
      <c r="X720" s="90" t="b">
        <v>0</v>
      </c>
      <c r="Y720" s="90" t="b">
        <v>0</v>
      </c>
      <c r="Z720" s="40" t="s">
        <v>1146</v>
      </c>
      <c r="AA720" s="41"/>
      <c r="AK720" s="16"/>
      <c r="AL720" s="16"/>
      <c r="AM720" s="16"/>
      <c r="AN720" s="16"/>
      <c r="AO720" s="16"/>
      <c r="AP720" s="16"/>
      <c r="AQ720" s="16"/>
      <c r="AR720" s="16"/>
      <c r="AS720" s="16"/>
    </row>
    <row r="721" spans="1:45" s="7" customFormat="1" ht="195" customHeight="1">
      <c r="A721" s="27">
        <f>[1]트램표준체크리스트!A778</f>
        <v>776</v>
      </c>
      <c r="B721" s="28" t="str">
        <f>[1]트램표준체크리스트!B778</f>
        <v>기계</v>
      </c>
      <c r="C721" s="29" t="str">
        <f>[1]트램표준체크리스트!C778</f>
        <v>기계설비 에너지 및 환경계획</v>
      </c>
      <c r="D721" s="30" t="str">
        <f>[1]트램표준체크리스트!F778</f>
        <v>시방서에 HCFC 계열 냉매·소화약제 금지 조항 누락으로 환경 규제 위반 및 장비 유지보수 시 냉매 수급이 불가해질 리스크를 검토하였는가?</v>
      </c>
      <c r="E721" s="31" t="s">
        <v>1189</v>
      </c>
      <c r="F721" s="32" t="str">
        <f t="shared" si="23"/>
        <v>극상</v>
      </c>
      <c r="G721" s="63" t="s">
        <v>40</v>
      </c>
      <c r="H721" s="63" t="s">
        <v>41</v>
      </c>
      <c r="I721" s="34" t="s">
        <v>1190</v>
      </c>
      <c r="J721" s="33"/>
      <c r="K721" s="35"/>
      <c r="L721" s="33"/>
      <c r="M721" s="36"/>
      <c r="N721" s="33"/>
      <c r="O721" s="36"/>
      <c r="P721" s="33"/>
      <c r="Q721" s="37"/>
      <c r="R721" s="38"/>
      <c r="S721" s="33"/>
      <c r="T721" s="38"/>
      <c r="U721" s="33"/>
      <c r="V721" s="39"/>
      <c r="W721" s="90" t="b">
        <v>0</v>
      </c>
      <c r="X721" s="90" t="b">
        <v>0</v>
      </c>
      <c r="Y721" s="90" t="b">
        <v>0</v>
      </c>
      <c r="Z721" s="40" t="s">
        <v>1146</v>
      </c>
      <c r="AA721" s="41"/>
      <c r="AK721" s="16"/>
      <c r="AL721" s="16"/>
      <c r="AM721" s="16"/>
      <c r="AN721" s="16"/>
      <c r="AO721" s="16"/>
      <c r="AP721" s="16"/>
      <c r="AQ721" s="16"/>
      <c r="AR721" s="16"/>
      <c r="AS721" s="16"/>
    </row>
    <row r="722" spans="1:45" s="7" customFormat="1" ht="195" customHeight="1">
      <c r="A722" s="27">
        <f>[1]트램표준체크리스트!A779</f>
        <v>777</v>
      </c>
      <c r="B722" s="28" t="str">
        <f>[1]트램표준체크리스트!B779</f>
        <v>기계</v>
      </c>
      <c r="C722" s="29" t="str">
        <f>[1]트램표준체크리스트!C779</f>
        <v>기계설비 에너지계획</v>
      </c>
      <c r="D722" s="30" t="str">
        <f>[1]트램표준체크리스트!F779</f>
        <v>폐열회수장치 설계 누락으로 막대한 냉난방 열손실 및 에너지효율등급 인증 불이익이 발생할 리스크를 검토하였는가?</v>
      </c>
      <c r="E722" s="31" t="s">
        <v>1191</v>
      </c>
      <c r="F722" s="32" t="str">
        <f t="shared" si="23"/>
        <v>극상</v>
      </c>
      <c r="G722" s="63" t="s">
        <v>40</v>
      </c>
      <c r="H722" s="63" t="s">
        <v>41</v>
      </c>
      <c r="I722" s="34" t="s">
        <v>1192</v>
      </c>
      <c r="J722" s="33"/>
      <c r="K722" s="35"/>
      <c r="L722" s="33"/>
      <c r="M722" s="36"/>
      <c r="N722" s="33"/>
      <c r="O722" s="36"/>
      <c r="P722" s="33"/>
      <c r="Q722" s="37"/>
      <c r="R722" s="38"/>
      <c r="S722" s="33"/>
      <c r="T722" s="38"/>
      <c r="U722" s="33"/>
      <c r="V722" s="39"/>
      <c r="W722" s="90" t="b">
        <v>0</v>
      </c>
      <c r="X722" s="90" t="b">
        <v>0</v>
      </c>
      <c r="Y722" s="90" t="b">
        <v>0</v>
      </c>
      <c r="Z722" s="40" t="s">
        <v>1146</v>
      </c>
      <c r="AA722" s="41"/>
      <c r="AK722" s="16"/>
      <c r="AL722" s="16"/>
      <c r="AM722" s="16"/>
      <c r="AN722" s="16"/>
      <c r="AO722" s="16"/>
      <c r="AP722" s="16"/>
      <c r="AQ722" s="16"/>
      <c r="AR722" s="16"/>
      <c r="AS722" s="16"/>
    </row>
    <row r="723" spans="1:45" s="7" customFormat="1" ht="195" customHeight="1">
      <c r="A723" s="27">
        <f>[1]트램표준체크리스트!A780</f>
        <v>778</v>
      </c>
      <c r="B723" s="28" t="str">
        <f>[1]트램표준체크리스트!B780</f>
        <v>기계</v>
      </c>
      <c r="C723" s="29" t="str">
        <f>[1]트램표준체크리스트!C780</f>
        <v>기계설비 주요자재 계획</v>
      </c>
      <c r="D723" s="30" t="str">
        <f>[1]트램표준체크리스트!F780</f>
        <v>내식성 임펠러 및 방진장치 등 입찰안내서 사양 누락으로 기준 미달 저가 자재가 발주될 리스크를 검토하였는가?</v>
      </c>
      <c r="E723" s="31" t="s">
        <v>1193</v>
      </c>
      <c r="F723" s="32" t="str">
        <f t="shared" si="23"/>
        <v>극상</v>
      </c>
      <c r="G723" s="63" t="s">
        <v>40</v>
      </c>
      <c r="H723" s="63" t="s">
        <v>41</v>
      </c>
      <c r="I723" s="34" t="s">
        <v>1194</v>
      </c>
      <c r="J723" s="33"/>
      <c r="K723" s="35"/>
      <c r="L723" s="33"/>
      <c r="M723" s="36"/>
      <c r="N723" s="33"/>
      <c r="O723" s="36"/>
      <c r="P723" s="33"/>
      <c r="Q723" s="37"/>
      <c r="R723" s="38"/>
      <c r="S723" s="33"/>
      <c r="T723" s="38"/>
      <c r="U723" s="33"/>
      <c r="V723" s="39"/>
      <c r="W723" s="90" t="b">
        <v>0</v>
      </c>
      <c r="X723" s="90" t="b">
        <v>0</v>
      </c>
      <c r="Y723" s="90" t="b">
        <v>0</v>
      </c>
      <c r="Z723" s="40" t="s">
        <v>1146</v>
      </c>
      <c r="AA723" s="41"/>
      <c r="AK723" s="16"/>
      <c r="AL723" s="16"/>
      <c r="AM723" s="16"/>
      <c r="AN723" s="16"/>
      <c r="AO723" s="16"/>
      <c r="AP723" s="16"/>
      <c r="AQ723" s="16"/>
      <c r="AR723" s="16"/>
      <c r="AS723" s="16"/>
    </row>
    <row r="724" spans="1:45" s="7" customFormat="1" ht="195" customHeight="1">
      <c r="A724" s="27">
        <f>[1]트램표준체크리스트!A781</f>
        <v>779</v>
      </c>
      <c r="B724" s="28" t="str">
        <f>[1]트램표준체크리스트!B781</f>
        <v>기계</v>
      </c>
      <c r="C724" s="29" t="str">
        <f>[1]트램표준체크리스트!C781</f>
        <v>본선 기계설비 제어계획</v>
      </c>
      <c r="D724" s="30" t="str">
        <f>[1]트램표준체크리스트!F781</f>
        <v>기계설비 원격제어 및 관제실 연동 접점(I/O) 설계 누락으로, 비상시 현장 설비 가동 컨트롤이 불가능해질 리스크를 검토하였는가?</v>
      </c>
      <c r="E724" s="31" t="s">
        <v>1195</v>
      </c>
      <c r="F724" s="32" t="str">
        <f t="shared" si="23"/>
        <v>극상</v>
      </c>
      <c r="G724" s="63" t="s">
        <v>40</v>
      </c>
      <c r="H724" s="63" t="s">
        <v>41</v>
      </c>
      <c r="I724" s="34" t="s">
        <v>1196</v>
      </c>
      <c r="J724" s="33"/>
      <c r="K724" s="35"/>
      <c r="L724" s="33"/>
      <c r="M724" s="36"/>
      <c r="N724" s="33"/>
      <c r="O724" s="36"/>
      <c r="P724" s="33"/>
      <c r="Q724" s="37"/>
      <c r="R724" s="38"/>
      <c r="S724" s="33"/>
      <c r="T724" s="38"/>
      <c r="U724" s="33"/>
      <c r="V724" s="39"/>
      <c r="W724" s="90" t="b">
        <v>0</v>
      </c>
      <c r="X724" s="90" t="b">
        <v>0</v>
      </c>
      <c r="Y724" s="90" t="b">
        <v>0</v>
      </c>
      <c r="Z724" s="40" t="s">
        <v>1146</v>
      </c>
      <c r="AA724" s="41"/>
      <c r="AK724" s="16"/>
      <c r="AL724" s="16"/>
      <c r="AM724" s="16"/>
      <c r="AN724" s="16"/>
      <c r="AO724" s="16"/>
      <c r="AP724" s="16"/>
      <c r="AQ724" s="16"/>
      <c r="AR724" s="16"/>
      <c r="AS724" s="16"/>
    </row>
    <row r="725" spans="1:45" s="7" customFormat="1" ht="195" customHeight="1">
      <c r="A725" s="27">
        <f>[1]트램표준체크리스트!A782</f>
        <v>780</v>
      </c>
      <c r="B725" s="28" t="str">
        <f>[1]트램표준체크리스트!B782</f>
        <v>기계</v>
      </c>
      <c r="C725" s="29" t="str">
        <f>[1]트램표준체크리스트!C782</f>
        <v>본선 배수설비 계획</v>
      </c>
      <c r="D725" s="30" t="str">
        <f>[1]트램표준체크리스트!F782</f>
        <v>하수관로 통수능력 검토 누락으로 우기 시 배출 용량 초과에 따른 하수도 역류 및 주변 도로 침수를 유발할 리스크를 검토하였는가?</v>
      </c>
      <c r="E725" s="31" t="s">
        <v>1197</v>
      </c>
      <c r="F725" s="32" t="str">
        <f t="shared" si="23"/>
        <v>극상</v>
      </c>
      <c r="G725" s="63" t="s">
        <v>40</v>
      </c>
      <c r="H725" s="63" t="s">
        <v>41</v>
      </c>
      <c r="I725" s="34" t="s">
        <v>1198</v>
      </c>
      <c r="J725" s="33"/>
      <c r="K725" s="35"/>
      <c r="L725" s="33"/>
      <c r="M725" s="36"/>
      <c r="N725" s="33"/>
      <c r="O725" s="36"/>
      <c r="P725" s="33"/>
      <c r="Q725" s="37"/>
      <c r="R725" s="38"/>
      <c r="S725" s="33"/>
      <c r="T725" s="38"/>
      <c r="U725" s="33"/>
      <c r="V725" s="39"/>
      <c r="W725" s="90" t="b">
        <v>0</v>
      </c>
      <c r="X725" s="90" t="b">
        <v>0</v>
      </c>
      <c r="Y725" s="90" t="b">
        <v>0</v>
      </c>
      <c r="Z725" s="40" t="s">
        <v>1146</v>
      </c>
      <c r="AA725" s="41"/>
      <c r="AK725" s="16"/>
      <c r="AL725" s="16"/>
      <c r="AM725" s="16"/>
      <c r="AN725" s="16"/>
      <c r="AO725" s="16"/>
      <c r="AP725" s="16"/>
      <c r="AQ725" s="16"/>
      <c r="AR725" s="16"/>
      <c r="AS725" s="16"/>
    </row>
    <row r="726" spans="1:45" s="7" customFormat="1" ht="195" customHeight="1">
      <c r="A726" s="27">
        <f>[1]트램표준체크리스트!A783</f>
        <v>781</v>
      </c>
      <c r="B726" s="28" t="str">
        <f>[1]트램표준체크리스트!B783</f>
        <v>기계</v>
      </c>
      <c r="C726" s="29" t="str">
        <f>[1]트램표준체크리스트!C783</f>
        <v>본선 배수설비 계획</v>
      </c>
      <c r="D726" s="30" t="str">
        <f>[1]트램표준체크리스트!F783</f>
        <v>배수펌프 설치 위치(바닥보다 50cm 낮음) 설계 누락으로 잔류수에 의한 악취 발생 및 펌프 공회전(Cavitation)이 유발될 리스크를 검토하였는가?</v>
      </c>
      <c r="E726" s="31" t="s">
        <v>1199</v>
      </c>
      <c r="F726" s="32" t="str">
        <f t="shared" si="23"/>
        <v>극상</v>
      </c>
      <c r="G726" s="63" t="s">
        <v>40</v>
      </c>
      <c r="H726" s="63" t="s">
        <v>41</v>
      </c>
      <c r="I726" s="34" t="s">
        <v>1200</v>
      </c>
      <c r="J726" s="33"/>
      <c r="K726" s="35"/>
      <c r="L726" s="33"/>
      <c r="M726" s="36"/>
      <c r="N726" s="33"/>
      <c r="O726" s="36"/>
      <c r="P726" s="33"/>
      <c r="Q726" s="37"/>
      <c r="R726" s="38"/>
      <c r="S726" s="33"/>
      <c r="T726" s="38"/>
      <c r="U726" s="33"/>
      <c r="V726" s="39"/>
      <c r="W726" s="90" t="b">
        <v>0</v>
      </c>
      <c r="X726" s="90" t="b">
        <v>0</v>
      </c>
      <c r="Y726" s="90" t="b">
        <v>0</v>
      </c>
      <c r="Z726" s="40" t="s">
        <v>1146</v>
      </c>
      <c r="AA726" s="41"/>
      <c r="AK726" s="16"/>
      <c r="AL726" s="16"/>
      <c r="AM726" s="16"/>
      <c r="AN726" s="16"/>
      <c r="AO726" s="16"/>
      <c r="AP726" s="16"/>
      <c r="AQ726" s="16"/>
      <c r="AR726" s="16"/>
      <c r="AS726" s="16"/>
    </row>
    <row r="727" spans="1:45" s="7" customFormat="1" ht="195" customHeight="1">
      <c r="A727" s="27">
        <f>[1]트램표준체크리스트!A784</f>
        <v>782</v>
      </c>
      <c r="B727" s="28" t="str">
        <f>[1]트램표준체크리스트!B784</f>
        <v>기계</v>
      </c>
      <c r="C727" s="29" t="str">
        <f>[1]트램표준체크리스트!C784</f>
        <v>본선 배수설비 계획</v>
      </c>
      <c r="D727" s="30" t="str">
        <f>[1]트램표준체크리스트!F784</f>
        <v>펌프 '유입량 200% 처리' 및 '30분 내 배수용 예비펌프' 수량 기준 과소 반영으로 국지성 호우 시 지하차도 침수에 대처하지 못할 리스크를 검토하였는가?</v>
      </c>
      <c r="E727" s="31" t="s">
        <v>1201</v>
      </c>
      <c r="F727" s="32" t="str">
        <f t="shared" si="23"/>
        <v>극상</v>
      </c>
      <c r="G727" s="63" t="s">
        <v>40</v>
      </c>
      <c r="H727" s="63" t="s">
        <v>41</v>
      </c>
      <c r="I727" s="34" t="s">
        <v>1202</v>
      </c>
      <c r="J727" s="33"/>
      <c r="K727" s="35"/>
      <c r="L727" s="33"/>
      <c r="M727" s="36"/>
      <c r="N727" s="33"/>
      <c r="O727" s="36"/>
      <c r="P727" s="33"/>
      <c r="Q727" s="37"/>
      <c r="R727" s="38"/>
      <c r="S727" s="33"/>
      <c r="T727" s="38"/>
      <c r="U727" s="33"/>
      <c r="V727" s="39"/>
      <c r="W727" s="90" t="b">
        <v>0</v>
      </c>
      <c r="X727" s="90" t="b">
        <v>0</v>
      </c>
      <c r="Y727" s="90" t="b">
        <v>0</v>
      </c>
      <c r="Z727" s="40" t="s">
        <v>1146</v>
      </c>
      <c r="AA727" s="41"/>
      <c r="AK727" s="16"/>
      <c r="AL727" s="16"/>
      <c r="AM727" s="16"/>
      <c r="AN727" s="16"/>
      <c r="AO727" s="16"/>
      <c r="AP727" s="16"/>
      <c r="AQ727" s="16"/>
      <c r="AR727" s="16"/>
      <c r="AS727" s="16"/>
    </row>
    <row r="728" spans="1:45" s="7" customFormat="1" ht="195" customHeight="1">
      <c r="A728" s="27">
        <f>[1]트램표준체크리스트!A785</f>
        <v>783</v>
      </c>
      <c r="B728" s="28" t="str">
        <f>[1]트램표준체크리스트!B785</f>
        <v>기계</v>
      </c>
      <c r="C728" s="29" t="str">
        <f>[1]트램표준체크리스트!C785</f>
        <v>본선 배수설비 계획</v>
      </c>
      <c r="D728" s="30" t="str">
        <f>[1]트램표준체크리스트!F785</f>
        <v>MCC반 기초 패드 높이 과소 설계로, 지하 침수 시 제어반이 수몰돼 배수펌프 가동이 전면 중단될 대형 수해 리스크를 검토하였는가?</v>
      </c>
      <c r="E728" s="31" t="s">
        <v>1203</v>
      </c>
      <c r="F728" s="32" t="str">
        <f t="shared" si="23"/>
        <v>극상</v>
      </c>
      <c r="G728" s="63" t="s">
        <v>40</v>
      </c>
      <c r="H728" s="63" t="s">
        <v>41</v>
      </c>
      <c r="I728" s="34" t="s">
        <v>1204</v>
      </c>
      <c r="J728" s="33"/>
      <c r="K728" s="35"/>
      <c r="L728" s="33"/>
      <c r="M728" s="36"/>
      <c r="N728" s="33"/>
      <c r="O728" s="36"/>
      <c r="P728" s="33"/>
      <c r="Q728" s="37"/>
      <c r="R728" s="38"/>
      <c r="S728" s="33"/>
      <c r="T728" s="38"/>
      <c r="U728" s="33"/>
      <c r="V728" s="39"/>
      <c r="W728" s="90" t="b">
        <v>0</v>
      </c>
      <c r="X728" s="90" t="b">
        <v>0</v>
      </c>
      <c r="Y728" s="90" t="b">
        <v>0</v>
      </c>
      <c r="Z728" s="40" t="s">
        <v>1146</v>
      </c>
      <c r="AA728" s="41"/>
      <c r="AK728" s="16"/>
      <c r="AL728" s="16"/>
      <c r="AM728" s="16"/>
      <c r="AN728" s="16"/>
      <c r="AO728" s="16"/>
      <c r="AP728" s="16"/>
      <c r="AQ728" s="16"/>
      <c r="AR728" s="16"/>
      <c r="AS728" s="16"/>
    </row>
    <row r="729" spans="1:45" s="7" customFormat="1" ht="195" customHeight="1">
      <c r="A729" s="27">
        <f>[1]트램표준체크리스트!A786</f>
        <v>784</v>
      </c>
      <c r="B729" s="28" t="str">
        <f>[1]트램표준체크리스트!B786</f>
        <v>기계</v>
      </c>
      <c r="C729" s="29" t="str">
        <f>[1]트램표준체크리스트!C786</f>
        <v>승강설비 에너지계획</v>
      </c>
      <c r="D729" s="30" t="str">
        <f>[1]트램표준체크리스트!F786</f>
        <v>엘리베이터 MRL 규격 및 에스컬레이터 인버터(자동 감지운전) 설계 누락으로, 불필요한 기계실 면적 소요 및 상시 가동에 따른 전력 에너지 낭비가 발생할 리스크를 검토하였는가?</v>
      </c>
      <c r="E729" s="31" t="s">
        <v>1205</v>
      </c>
      <c r="F729" s="32" t="str">
        <f t="shared" si="23"/>
        <v>극상</v>
      </c>
      <c r="G729" s="63" t="s">
        <v>40</v>
      </c>
      <c r="H729" s="63" t="s">
        <v>41</v>
      </c>
      <c r="I729" s="34" t="s">
        <v>1206</v>
      </c>
      <c r="J729" s="33"/>
      <c r="K729" s="35"/>
      <c r="L729" s="33"/>
      <c r="M729" s="36"/>
      <c r="N729" s="33"/>
      <c r="O729" s="36"/>
      <c r="P729" s="33"/>
      <c r="Q729" s="37"/>
      <c r="R729" s="38"/>
      <c r="S729" s="33"/>
      <c r="T729" s="38"/>
      <c r="U729" s="33"/>
      <c r="V729" s="39"/>
      <c r="W729" s="90" t="b">
        <v>0</v>
      </c>
      <c r="X729" s="90" t="b">
        <v>0</v>
      </c>
      <c r="Y729" s="90" t="b">
        <v>0</v>
      </c>
      <c r="Z729" s="40" t="s">
        <v>1146</v>
      </c>
      <c r="AA729" s="41"/>
      <c r="AK729" s="16"/>
      <c r="AL729" s="16"/>
      <c r="AM729" s="16"/>
      <c r="AN729" s="16"/>
      <c r="AO729" s="16"/>
      <c r="AP729" s="16"/>
      <c r="AQ729" s="16"/>
      <c r="AR729" s="16"/>
      <c r="AS729" s="16"/>
    </row>
    <row r="730" spans="1:45" s="7" customFormat="1" ht="195" customHeight="1">
      <c r="A730" s="27">
        <f>[1]트램표준체크리스트!A787</f>
        <v>785</v>
      </c>
      <c r="B730" s="28" t="str">
        <f>[1]트램표준체크리스트!B787</f>
        <v>기계</v>
      </c>
      <c r="C730" s="29" t="str">
        <f>[1]트램표준체크리스트!C787</f>
        <v>승강설비-건축/토목 인터페이스</v>
      </c>
      <c r="D730" s="30" t="str">
        <f>[1]트램표준체크리스트!F787</f>
        <v>특정 제작사 최소 규격 반영으로 향후 입찰 시 타 모델 반입이 불가하거나 구조물 파쇄·재시공이 발생할 리스크를 검토하였는가?</v>
      </c>
      <c r="E730" s="31" t="s">
        <v>1207</v>
      </c>
      <c r="F730" s="32" t="str">
        <f t="shared" si="23"/>
        <v>극상</v>
      </c>
      <c r="G730" s="63" t="s">
        <v>40</v>
      </c>
      <c r="H730" s="63" t="s">
        <v>41</v>
      </c>
      <c r="I730" s="34" t="s">
        <v>1208</v>
      </c>
      <c r="J730" s="33"/>
      <c r="K730" s="35"/>
      <c r="L730" s="33"/>
      <c r="M730" s="36"/>
      <c r="N730" s="33"/>
      <c r="O730" s="36"/>
      <c r="P730" s="33"/>
      <c r="Q730" s="37"/>
      <c r="R730" s="38"/>
      <c r="S730" s="33"/>
      <c r="T730" s="38"/>
      <c r="U730" s="33"/>
      <c r="V730" s="39"/>
      <c r="W730" s="90" t="b">
        <v>0</v>
      </c>
      <c r="X730" s="90" t="b">
        <v>0</v>
      </c>
      <c r="Y730" s="90" t="b">
        <v>0</v>
      </c>
      <c r="Z730" s="40" t="s">
        <v>1146</v>
      </c>
      <c r="AA730" s="41"/>
      <c r="AK730" s="16"/>
      <c r="AL730" s="16"/>
      <c r="AM730" s="16"/>
      <c r="AN730" s="16"/>
      <c r="AO730" s="16"/>
      <c r="AP730" s="16"/>
      <c r="AQ730" s="16"/>
      <c r="AR730" s="16"/>
      <c r="AS730" s="16"/>
    </row>
    <row r="731" spans="1:45" s="7" customFormat="1" ht="195" customHeight="1">
      <c r="A731" s="27">
        <f>[1]트램표준체크리스트!A788</f>
        <v>786</v>
      </c>
      <c r="B731" s="28" t="str">
        <f>[1]트램표준체크리스트!B788</f>
        <v>기계</v>
      </c>
      <c r="C731" s="29" t="str">
        <f>[1]트램표준체크리스트!C788</f>
        <v>지하구간 및 정거장 제연설비 계획</v>
      </c>
      <c r="D731" s="30" t="str">
        <f>[1]트램표준체크리스트!F788</f>
        <v>화재수신반 연동 및 구획별 배연모드 전환 로직 누락으로 화재 시 유독가스 배출 지연 및 승객 대피 장애를 유발할 리스크를 검토하였는가?</v>
      </c>
      <c r="E731" s="31" t="s">
        <v>1209</v>
      </c>
      <c r="F731" s="32" t="str">
        <f t="shared" si="23"/>
        <v>극상</v>
      </c>
      <c r="G731" s="63" t="s">
        <v>40</v>
      </c>
      <c r="H731" s="63" t="s">
        <v>41</v>
      </c>
      <c r="I731" s="34" t="s">
        <v>1210</v>
      </c>
      <c r="J731" s="33"/>
      <c r="K731" s="35"/>
      <c r="L731" s="33"/>
      <c r="M731" s="36"/>
      <c r="N731" s="33"/>
      <c r="O731" s="36"/>
      <c r="P731" s="33"/>
      <c r="Q731" s="37"/>
      <c r="R731" s="38"/>
      <c r="S731" s="33"/>
      <c r="T731" s="38"/>
      <c r="U731" s="33"/>
      <c r="V731" s="39"/>
      <c r="W731" s="90" t="b">
        <v>0</v>
      </c>
      <c r="X731" s="90" t="b">
        <v>0</v>
      </c>
      <c r="Y731" s="90" t="b">
        <v>0</v>
      </c>
      <c r="Z731" s="40" t="s">
        <v>1146</v>
      </c>
      <c r="AA731" s="41"/>
      <c r="AK731" s="16"/>
      <c r="AL731" s="16"/>
      <c r="AM731" s="16"/>
      <c r="AN731" s="16"/>
      <c r="AO731" s="16"/>
      <c r="AP731" s="16"/>
      <c r="AQ731" s="16"/>
      <c r="AR731" s="16"/>
      <c r="AS731" s="16"/>
    </row>
    <row r="732" spans="1:45" s="7" customFormat="1" ht="195" customHeight="1">
      <c r="A732" s="27">
        <f>[1]트램표준체크리스트!A789</f>
        <v>787</v>
      </c>
      <c r="B732" s="28" t="str">
        <f>[1]트램표준체크리스트!B789</f>
        <v>기계</v>
      </c>
      <c r="C732" s="29" t="str">
        <f>[1]트램표준체크리스트!C789</f>
        <v>지하구간 및 정거장 제연설비 계획</v>
      </c>
      <c r="D732" s="30" t="str">
        <f>[1]트램표준체크리스트!F789</f>
        <v>배수펌프 용량 30분 내 배수 기준 미달 및 교번·동시 운전 로직 누락으로, 집중호우 시 지하차도나 정거장 궤도가 침수될 대형 재해 리스크를 검토하였는가?</v>
      </c>
      <c r="E732" s="31" t="s">
        <v>1211</v>
      </c>
      <c r="F732" s="32" t="str">
        <f t="shared" si="23"/>
        <v>극상</v>
      </c>
      <c r="G732" s="63" t="s">
        <v>40</v>
      </c>
      <c r="H732" s="63" t="s">
        <v>41</v>
      </c>
      <c r="I732" s="34" t="s">
        <v>1212</v>
      </c>
      <c r="J732" s="33"/>
      <c r="K732" s="35"/>
      <c r="L732" s="33"/>
      <c r="M732" s="36"/>
      <c r="N732" s="33"/>
      <c r="O732" s="36"/>
      <c r="P732" s="33"/>
      <c r="Q732" s="37"/>
      <c r="R732" s="38"/>
      <c r="S732" s="33"/>
      <c r="T732" s="38"/>
      <c r="U732" s="33"/>
      <c r="V732" s="39"/>
      <c r="W732" s="90" t="b">
        <v>0</v>
      </c>
      <c r="X732" s="90" t="b">
        <v>0</v>
      </c>
      <c r="Y732" s="90" t="b">
        <v>0</v>
      </c>
      <c r="Z732" s="40" t="s">
        <v>1146</v>
      </c>
      <c r="AA732" s="41"/>
      <c r="AK732" s="16"/>
      <c r="AL732" s="16"/>
      <c r="AM732" s="16"/>
      <c r="AN732" s="16"/>
      <c r="AO732" s="16"/>
      <c r="AP732" s="16"/>
      <c r="AQ732" s="16"/>
      <c r="AR732" s="16"/>
      <c r="AS732" s="16"/>
    </row>
    <row r="733" spans="1:45" s="7" customFormat="1" ht="195" customHeight="1">
      <c r="A733" s="27">
        <f>[1]트램표준체크리스트!A790</f>
        <v>788</v>
      </c>
      <c r="B733" s="28" t="str">
        <f>[1]트램표준체크리스트!B790</f>
        <v>기계</v>
      </c>
      <c r="C733" s="29" t="str">
        <f>[1]트램표준체크리스트!C790</f>
        <v>지하구간 및 정거장 제연설비 계획</v>
      </c>
      <c r="D733" s="30" t="str">
        <f>[1]트램표준체크리스트!F790</f>
        <v>통신 분야와의 CCTV 영상 전송 인터페이스 누락 및 장비 스펙 불일치로, 갇힘 등 비상 상황 시 관제실의 즉각적 인지·초동 대처가 지연될 방재 리스크를 검토하였는가?</v>
      </c>
      <c r="E733" s="31" t="s">
        <v>1213</v>
      </c>
      <c r="F733" s="32" t="str">
        <f t="shared" si="23"/>
        <v>극상</v>
      </c>
      <c r="G733" s="63" t="s">
        <v>40</v>
      </c>
      <c r="H733" s="63" t="s">
        <v>41</v>
      </c>
      <c r="I733" s="34" t="s">
        <v>1214</v>
      </c>
      <c r="J733" s="33"/>
      <c r="K733" s="35"/>
      <c r="L733" s="33"/>
      <c r="M733" s="36"/>
      <c r="N733" s="33"/>
      <c r="O733" s="36"/>
      <c r="P733" s="33"/>
      <c r="Q733" s="37"/>
      <c r="R733" s="38"/>
      <c r="S733" s="33"/>
      <c r="T733" s="38"/>
      <c r="U733" s="33"/>
      <c r="V733" s="39"/>
      <c r="W733" s="90" t="b">
        <v>0</v>
      </c>
      <c r="X733" s="90" t="b">
        <v>0</v>
      </c>
      <c r="Y733" s="90" t="b">
        <v>0</v>
      </c>
      <c r="Z733" s="40" t="s">
        <v>1146</v>
      </c>
      <c r="AA733" s="41"/>
      <c r="AK733" s="16"/>
      <c r="AL733" s="16"/>
      <c r="AM733" s="16"/>
      <c r="AN733" s="16"/>
      <c r="AO733" s="16"/>
      <c r="AP733" s="16"/>
      <c r="AQ733" s="16"/>
      <c r="AR733" s="16"/>
      <c r="AS733" s="16"/>
    </row>
    <row r="734" spans="1:45" s="7" customFormat="1" ht="195" customHeight="1">
      <c r="A734" s="27">
        <f>[1]트램표준체크리스트!A791</f>
        <v>789</v>
      </c>
      <c r="B734" s="28" t="str">
        <f>[1]트램표준체크리스트!B791</f>
        <v>기계</v>
      </c>
      <c r="C734" s="29" t="str">
        <f>[1]트램표준체크리스트!C791</f>
        <v>차량기지 급수 및 소화용수 저수조 계획</v>
      </c>
      <c r="D734" s="30" t="str">
        <f>[1]트램표준체크리스트!F791</f>
        <v>흡입관 단차 및 사수(Dead Water) 방지 대책 누락으로 화재 시 소화용수 고갈 및 평상시 생활용수가 오염될 리스크를 검토하였는가?</v>
      </c>
      <c r="E734" s="31" t="s">
        <v>1215</v>
      </c>
      <c r="F734" s="32" t="str">
        <f t="shared" si="23"/>
        <v>극상</v>
      </c>
      <c r="G734" s="63" t="s">
        <v>40</v>
      </c>
      <c r="H734" s="63" t="s">
        <v>41</v>
      </c>
      <c r="I734" s="34" t="s">
        <v>1216</v>
      </c>
      <c r="J734" s="33"/>
      <c r="K734" s="35"/>
      <c r="L734" s="33"/>
      <c r="M734" s="36"/>
      <c r="N734" s="33"/>
      <c r="O734" s="36"/>
      <c r="P734" s="33"/>
      <c r="Q734" s="37"/>
      <c r="R734" s="38"/>
      <c r="S734" s="33"/>
      <c r="T734" s="38"/>
      <c r="U734" s="33"/>
      <c r="V734" s="39"/>
      <c r="W734" s="90" t="b">
        <v>0</v>
      </c>
      <c r="X734" s="90" t="b">
        <v>0</v>
      </c>
      <c r="Y734" s="90" t="b">
        <v>0</v>
      </c>
      <c r="Z734" s="40" t="s">
        <v>1146</v>
      </c>
      <c r="AA734" s="41"/>
      <c r="AK734" s="16"/>
      <c r="AL734" s="16"/>
      <c r="AM734" s="16"/>
      <c r="AN734" s="16"/>
      <c r="AO734" s="16"/>
      <c r="AP734" s="16"/>
      <c r="AQ734" s="16"/>
      <c r="AR734" s="16"/>
      <c r="AS734" s="16"/>
    </row>
    <row r="735" spans="1:45" s="7" customFormat="1" ht="195" customHeight="1">
      <c r="A735" s="27">
        <f>[1]트램표준체크리스트!A792</f>
        <v>790</v>
      </c>
      <c r="B735" s="28" t="str">
        <f>[1]트램표준체크리스트!B792</f>
        <v>기계</v>
      </c>
      <c r="C735" s="29" t="str">
        <f>[1]트램표준체크리스트!C792</f>
        <v>차량기지 압축공기설비 계획</v>
      </c>
      <c r="D735" s="30" t="str">
        <f>[1]트램표준체크리스트!F792</f>
        <v>가열흡착식 제습 장비 누락으로 겨울철 옥외·비난방 구역 공압 라인이 전면 동파될 리스크를 검토하였는가?</v>
      </c>
      <c r="E735" s="31" t="s">
        <v>1217</v>
      </c>
      <c r="F735" s="32" t="str">
        <f t="shared" si="23"/>
        <v>극상</v>
      </c>
      <c r="G735" s="63" t="s">
        <v>40</v>
      </c>
      <c r="H735" s="63" t="s">
        <v>41</v>
      </c>
      <c r="I735" s="34" t="s">
        <v>1218</v>
      </c>
      <c r="J735" s="33"/>
      <c r="K735" s="35"/>
      <c r="L735" s="33"/>
      <c r="M735" s="36"/>
      <c r="N735" s="33"/>
      <c r="O735" s="36"/>
      <c r="P735" s="33"/>
      <c r="Q735" s="37"/>
      <c r="R735" s="38"/>
      <c r="S735" s="33"/>
      <c r="T735" s="38"/>
      <c r="U735" s="33"/>
      <c r="V735" s="39"/>
      <c r="W735" s="90" t="b">
        <v>0</v>
      </c>
      <c r="X735" s="90" t="b">
        <v>0</v>
      </c>
      <c r="Y735" s="90" t="b">
        <v>1</v>
      </c>
      <c r="Z735" s="40" t="s">
        <v>1146</v>
      </c>
      <c r="AA735" s="41"/>
      <c r="AK735" s="16"/>
      <c r="AL735" s="16"/>
      <c r="AM735" s="16"/>
      <c r="AN735" s="16"/>
      <c r="AO735" s="16"/>
      <c r="AP735" s="16"/>
      <c r="AQ735" s="16"/>
      <c r="AR735" s="16"/>
      <c r="AS735" s="16"/>
    </row>
    <row r="736" spans="1:45" s="7" customFormat="1" ht="195" customHeight="1">
      <c r="A736" s="27">
        <f>[1]트램표준체크리스트!A793</f>
        <v>791</v>
      </c>
      <c r="B736" s="28" t="str">
        <f>[1]트램표준체크리스트!B793</f>
        <v>기계</v>
      </c>
      <c r="C736" s="29" t="str">
        <f>[1]트램표준체크리스트!C793</f>
        <v>환기 및 방재설비 계획</v>
      </c>
      <c r="D736" s="30" t="str">
        <f>[1]트램표준체크리스트!F793</f>
        <v>QRA 및 3D 제연 시뮬레이션 생략으로 비상시 배연 풍속 부족 및 피난로 연기 확산이 발생할 리스크를 검토하였는가?</v>
      </c>
      <c r="E736" s="31" t="s">
        <v>1219</v>
      </c>
      <c r="F736" s="32" t="str">
        <f t="shared" si="23"/>
        <v>극상</v>
      </c>
      <c r="G736" s="63" t="s">
        <v>40</v>
      </c>
      <c r="H736" s="63" t="s">
        <v>41</v>
      </c>
      <c r="I736" s="34" t="s">
        <v>1220</v>
      </c>
      <c r="J736" s="33"/>
      <c r="K736" s="35"/>
      <c r="L736" s="33"/>
      <c r="M736" s="36"/>
      <c r="N736" s="33"/>
      <c r="O736" s="36"/>
      <c r="P736" s="33"/>
      <c r="Q736" s="37"/>
      <c r="R736" s="38"/>
      <c r="S736" s="33"/>
      <c r="T736" s="38"/>
      <c r="U736" s="33"/>
      <c r="V736" s="39"/>
      <c r="W736" s="90" t="b">
        <v>0</v>
      </c>
      <c r="X736" s="90" t="b">
        <v>0</v>
      </c>
      <c r="Y736" s="90" t="b">
        <v>0</v>
      </c>
      <c r="Z736" s="40" t="s">
        <v>1146</v>
      </c>
      <c r="AA736" s="41"/>
      <c r="AK736" s="16"/>
      <c r="AL736" s="16"/>
      <c r="AM736" s="16"/>
      <c r="AN736" s="16"/>
      <c r="AO736" s="16"/>
      <c r="AP736" s="16"/>
      <c r="AQ736" s="16"/>
      <c r="AR736" s="16"/>
      <c r="AS736" s="16"/>
    </row>
    <row r="737" spans="1:45" s="7" customFormat="1" ht="195" customHeight="1">
      <c r="A737" s="27">
        <f>[1]트램표준체크리스트!A794</f>
        <v>792</v>
      </c>
      <c r="B737" s="28" t="str">
        <f>[1]트램표준체크리스트!B794</f>
        <v>기계</v>
      </c>
      <c r="C737" s="29" t="str">
        <f>[1]트램표준체크리스트!C794</f>
        <v>환기 및 자동제어 계획</v>
      </c>
      <c r="D737" s="30" t="str">
        <f>[1]트램표준체크리스트!F794</f>
        <v>펌프 2대 교번 및 동시운전 제어 로직 누락으로 특정 펌프 수명이 단축되거나 우기 배수 용량 부족으로 침수가 발생할 리스크를 검토하였는가?</v>
      </c>
      <c r="E737" s="31" t="s">
        <v>1221</v>
      </c>
      <c r="F737" s="32" t="str">
        <f t="shared" si="23"/>
        <v>극상</v>
      </c>
      <c r="G737" s="63" t="s">
        <v>40</v>
      </c>
      <c r="H737" s="63" t="s">
        <v>41</v>
      </c>
      <c r="I737" s="34" t="s">
        <v>1222</v>
      </c>
      <c r="J737" s="33"/>
      <c r="K737" s="35"/>
      <c r="L737" s="33"/>
      <c r="M737" s="36"/>
      <c r="N737" s="33"/>
      <c r="O737" s="36"/>
      <c r="P737" s="33"/>
      <c r="Q737" s="37"/>
      <c r="R737" s="38"/>
      <c r="S737" s="33"/>
      <c r="T737" s="38"/>
      <c r="U737" s="33"/>
      <c r="V737" s="39"/>
      <c r="W737" s="90" t="b">
        <v>0</v>
      </c>
      <c r="X737" s="90" t="b">
        <v>0</v>
      </c>
      <c r="Y737" s="90" t="b">
        <v>1</v>
      </c>
      <c r="Z737" s="40" t="s">
        <v>1146</v>
      </c>
      <c r="AA737" s="41"/>
      <c r="AK737" s="16"/>
      <c r="AL737" s="16"/>
      <c r="AM737" s="16"/>
      <c r="AN737" s="16"/>
      <c r="AO737" s="16"/>
      <c r="AP737" s="16"/>
      <c r="AQ737" s="16"/>
      <c r="AR737" s="16"/>
      <c r="AS737" s="16"/>
    </row>
    <row r="738" spans="1:45" s="7" customFormat="1" ht="195" customHeight="1">
      <c r="A738" s="27">
        <f>[1]트램표준체크리스트!A795</f>
        <v>793</v>
      </c>
      <c r="B738" s="28" t="str">
        <f>[1]트램표준체크리스트!B795</f>
        <v>기계</v>
      </c>
      <c r="C738" s="29" t="str">
        <f>[1]트램표준체크리스트!C795</f>
        <v>환기 및 자동제어 계획</v>
      </c>
      <c r="D738" s="30" t="str">
        <f>[1]트램표준체크리스트!F795</f>
        <v>엘리베이터 내부 CCTV·상태 정보 관제 연동 누락 및 통신 라이선스 미반영으로, 비상·고장 시 중앙 관제실의 승객 안전 확인 및 신속 대응이 불가할 리스크를 검토하였는가?</v>
      </c>
      <c r="E738" s="31" t="s">
        <v>1223</v>
      </c>
      <c r="F738" s="32" t="str">
        <f t="shared" si="23"/>
        <v>극상</v>
      </c>
      <c r="G738" s="63" t="s">
        <v>40</v>
      </c>
      <c r="H738" s="63" t="s">
        <v>41</v>
      </c>
      <c r="I738" s="34" t="s">
        <v>1224</v>
      </c>
      <c r="J738" s="33"/>
      <c r="K738" s="35"/>
      <c r="L738" s="33"/>
      <c r="M738" s="36"/>
      <c r="N738" s="33"/>
      <c r="O738" s="36"/>
      <c r="P738" s="33"/>
      <c r="Q738" s="37"/>
      <c r="R738" s="38"/>
      <c r="S738" s="33"/>
      <c r="T738" s="38"/>
      <c r="U738" s="33"/>
      <c r="V738" s="39"/>
      <c r="W738" s="90" t="b">
        <v>0</v>
      </c>
      <c r="X738" s="90" t="b">
        <v>0</v>
      </c>
      <c r="Y738" s="90" t="b">
        <v>0</v>
      </c>
      <c r="Z738" s="40" t="s">
        <v>1146</v>
      </c>
      <c r="AA738" s="41"/>
      <c r="AK738" s="16"/>
      <c r="AL738" s="16"/>
      <c r="AM738" s="16"/>
      <c r="AN738" s="16"/>
      <c r="AO738" s="16"/>
      <c r="AP738" s="16"/>
      <c r="AQ738" s="16"/>
      <c r="AR738" s="16"/>
      <c r="AS738" s="16"/>
    </row>
    <row r="739" spans="1:45" s="7" customFormat="1" ht="195" customHeight="1">
      <c r="A739" s="27">
        <f>[1]트램표준체크리스트!A796</f>
        <v>794</v>
      </c>
      <c r="B739" s="28" t="str">
        <f>[1]트램표준체크리스트!B796</f>
        <v>기계</v>
      </c>
      <c r="C739" s="29" t="str">
        <f>[1]트램표준체크리스트!C796</f>
        <v>환기 및 자동제어 계획</v>
      </c>
      <c r="D739" s="30" t="str">
        <f>[1]트램표준체크리스트!F796</f>
        <v>라돈 배출 전용 자동환기 로직 및 지상 배출 덕트 설계 누락으로 실내공기질 악화 및 승객·근무자 건강을 위협할 리스크를 검토하였는가?</v>
      </c>
      <c r="E739" s="31" t="s">
        <v>1225</v>
      </c>
      <c r="F739" s="32" t="str">
        <f t="shared" si="23"/>
        <v>극상</v>
      </c>
      <c r="G739" s="63" t="s">
        <v>40</v>
      </c>
      <c r="H739" s="63" t="s">
        <v>41</v>
      </c>
      <c r="I739" s="34" t="s">
        <v>1226</v>
      </c>
      <c r="J739" s="33"/>
      <c r="K739" s="35"/>
      <c r="L739" s="33"/>
      <c r="M739" s="36"/>
      <c r="N739" s="33"/>
      <c r="O739" s="36"/>
      <c r="P739" s="33"/>
      <c r="Q739" s="37"/>
      <c r="R739" s="38"/>
      <c r="S739" s="33"/>
      <c r="T739" s="38"/>
      <c r="U739" s="33"/>
      <c r="V739" s="39"/>
      <c r="W739" s="90" t="b">
        <v>0</v>
      </c>
      <c r="X739" s="90" t="b">
        <v>0</v>
      </c>
      <c r="Y739" s="90" t="b">
        <v>0</v>
      </c>
      <c r="Z739" s="40" t="s">
        <v>1146</v>
      </c>
      <c r="AA739" s="41"/>
      <c r="AK739" s="16"/>
      <c r="AL739" s="16"/>
      <c r="AM739" s="16"/>
      <c r="AN739" s="16"/>
      <c r="AO739" s="16"/>
      <c r="AP739" s="16"/>
      <c r="AQ739" s="16"/>
      <c r="AR739" s="16"/>
      <c r="AS739" s="16"/>
    </row>
    <row r="740" spans="1:45" s="7" customFormat="1" ht="195" customHeight="1">
      <c r="A740" s="27">
        <f>[1]트램표준체크리스트!A797</f>
        <v>795</v>
      </c>
      <c r="B740" s="28" t="str">
        <f>[1]트램표준체크리스트!B797</f>
        <v>기계</v>
      </c>
      <c r="C740" s="29" t="str">
        <f>[1]트램표준체크리스트!C797</f>
        <v>환기 및 자동제어 계획</v>
      </c>
      <c r="D740" s="30" t="str">
        <f>[1]트램표준체크리스트!F797</f>
        <v>종합 관제실 연계 모니터링 및 중요 경보(팝업, 경광등) 로직 누락으로, 무인 운영 시 설비 고장·침수를 즉각 인지하지 못할 방재 리스크를 검토하였는가?</v>
      </c>
      <c r="E740" s="31" t="s">
        <v>1227</v>
      </c>
      <c r="F740" s="32" t="str">
        <f t="shared" si="23"/>
        <v>극상</v>
      </c>
      <c r="G740" s="63" t="s">
        <v>40</v>
      </c>
      <c r="H740" s="63" t="s">
        <v>41</v>
      </c>
      <c r="I740" s="34" t="s">
        <v>1228</v>
      </c>
      <c r="J740" s="33"/>
      <c r="K740" s="35"/>
      <c r="L740" s="33"/>
      <c r="M740" s="36"/>
      <c r="N740" s="33"/>
      <c r="O740" s="36"/>
      <c r="P740" s="33"/>
      <c r="Q740" s="37"/>
      <c r="R740" s="38"/>
      <c r="S740" s="33"/>
      <c r="T740" s="38"/>
      <c r="U740" s="33"/>
      <c r="V740" s="39"/>
      <c r="W740" s="90" t="b">
        <v>0</v>
      </c>
      <c r="X740" s="90" t="b">
        <v>0</v>
      </c>
      <c r="Y740" s="90" t="b">
        <v>0</v>
      </c>
      <c r="Z740" s="40" t="s">
        <v>1146</v>
      </c>
      <c r="AA740" s="41"/>
      <c r="AK740" s="16"/>
      <c r="AL740" s="16"/>
      <c r="AM740" s="16"/>
      <c r="AN740" s="16"/>
      <c r="AO740" s="16"/>
      <c r="AP740" s="16"/>
      <c r="AQ740" s="16"/>
      <c r="AR740" s="16"/>
      <c r="AS740" s="16"/>
    </row>
    <row r="741" spans="1:45" s="7" customFormat="1" ht="195" customHeight="1">
      <c r="A741" s="27">
        <f>[1]트램표준체크리스트!A798</f>
        <v>796</v>
      </c>
      <c r="B741" s="28" t="str">
        <f>[1]트램표준체크리스트!B798</f>
        <v>기계</v>
      </c>
      <c r="C741" s="29" t="str">
        <f>[1]트램표준체크리스트!C798</f>
        <v>환기 및 제연설비 내열성능 계획</v>
      </c>
      <c r="D741" s="30" t="str">
        <f>[1]트램표준체크리스트!F798</f>
        <v>고온 내열 조건(250℃, 1시간 이상) 누락에 따른 일반 송풍기 적용으로, 화재 시 배연팬이 조기 고장날 방재 리스크를 검토하였는가?</v>
      </c>
      <c r="E741" s="31" t="s">
        <v>1229</v>
      </c>
      <c r="F741" s="32" t="str">
        <f t="shared" si="23"/>
        <v>극상</v>
      </c>
      <c r="G741" s="63" t="s">
        <v>40</v>
      </c>
      <c r="H741" s="63" t="s">
        <v>41</v>
      </c>
      <c r="I741" s="34" t="s">
        <v>1230</v>
      </c>
      <c r="J741" s="33"/>
      <c r="K741" s="35"/>
      <c r="L741" s="33"/>
      <c r="M741" s="36"/>
      <c r="N741" s="33"/>
      <c r="O741" s="36"/>
      <c r="P741" s="33"/>
      <c r="Q741" s="37"/>
      <c r="R741" s="38"/>
      <c r="S741" s="33"/>
      <c r="T741" s="38"/>
      <c r="U741" s="33"/>
      <c r="V741" s="39"/>
      <c r="W741" s="90" t="b">
        <v>0</v>
      </c>
      <c r="X741" s="90" t="b">
        <v>0</v>
      </c>
      <c r="Y741" s="90" t="b">
        <v>0</v>
      </c>
      <c r="Z741" s="40" t="s">
        <v>1146</v>
      </c>
      <c r="AA741" s="41"/>
      <c r="AK741" s="16"/>
      <c r="AL741" s="16"/>
      <c r="AM741" s="16"/>
      <c r="AN741" s="16"/>
      <c r="AO741" s="16"/>
      <c r="AP741" s="16"/>
      <c r="AQ741" s="16"/>
      <c r="AR741" s="16"/>
      <c r="AS741" s="16"/>
    </row>
    <row r="742" spans="1:45" s="7" customFormat="1" ht="195" customHeight="1">
      <c r="A742" s="27">
        <f>[1]트램표준체크리스트!A799</f>
        <v>797</v>
      </c>
      <c r="B742" s="28" t="str">
        <f>[1]트램표준체크리스트!B799</f>
        <v>기계</v>
      </c>
      <c r="C742" s="29" t="str">
        <f>[1]트램표준체크리스트!C799</f>
        <v>환기설비 에너지계획</v>
      </c>
      <c r="D742" s="30" t="str">
        <f>[1]트램표준체크리스트!F799</f>
        <v>독립 냉방 및 제1종 기계환기 시스템 누락으로 하절기 전력 제어 장비가 셧다운될 리스크를 검토하였는가?</v>
      </c>
      <c r="E742" s="31" t="s">
        <v>1231</v>
      </c>
      <c r="F742" s="32" t="str">
        <f t="shared" si="23"/>
        <v>극상</v>
      </c>
      <c r="G742" s="63" t="s">
        <v>40</v>
      </c>
      <c r="H742" s="63" t="s">
        <v>41</v>
      </c>
      <c r="I742" s="34" t="s">
        <v>1232</v>
      </c>
      <c r="J742" s="33"/>
      <c r="K742" s="35"/>
      <c r="L742" s="33"/>
      <c r="M742" s="36"/>
      <c r="N742" s="33"/>
      <c r="O742" s="36"/>
      <c r="P742" s="33"/>
      <c r="Q742" s="37"/>
      <c r="R742" s="38"/>
      <c r="S742" s="33"/>
      <c r="T742" s="38"/>
      <c r="U742" s="33"/>
      <c r="V742" s="39"/>
      <c r="W742" s="90" t="b">
        <v>0</v>
      </c>
      <c r="X742" s="90" t="b">
        <v>0</v>
      </c>
      <c r="Y742" s="90" t="b">
        <v>0</v>
      </c>
      <c r="Z742" s="40" t="s">
        <v>1146</v>
      </c>
      <c r="AA742" s="41"/>
      <c r="AK742" s="16"/>
      <c r="AL742" s="16"/>
      <c r="AM742" s="16"/>
      <c r="AN742" s="16"/>
      <c r="AO742" s="16"/>
      <c r="AP742" s="16"/>
      <c r="AQ742" s="16"/>
      <c r="AR742" s="16"/>
      <c r="AS742" s="16"/>
    </row>
    <row r="743" spans="1:45" s="7" customFormat="1" ht="195" customHeight="1">
      <c r="A743" s="27">
        <f>[1]트램표준체크리스트!A800</f>
        <v>798</v>
      </c>
      <c r="B743" s="28" t="str">
        <f>[1]트램표준체크리스트!B800</f>
        <v>기계</v>
      </c>
      <c r="C743" s="29" t="str">
        <f>[1]트램표준체크리스트!C800</f>
        <v>환기설비 에너지계획</v>
      </c>
      <c r="D743" s="30" t="str">
        <f>[1]트램표준체크리스트!F800</f>
        <v>악취 구역 음압 유지 누락 및 단순 자연환기 설계로, 오폐수 악취가 대합실·휴게 공간으로 광범위하게 확산될 환경·민원 리스크를 검토하였는가?</v>
      </c>
      <c r="E743" s="31" t="s">
        <v>1233</v>
      </c>
      <c r="F743" s="32" t="str">
        <f t="shared" si="23"/>
        <v>극상</v>
      </c>
      <c r="G743" s="63" t="s">
        <v>40</v>
      </c>
      <c r="H743" s="63" t="s">
        <v>41</v>
      </c>
      <c r="I743" s="34" t="s">
        <v>1234</v>
      </c>
      <c r="J743" s="33"/>
      <c r="K743" s="35"/>
      <c r="L743" s="33"/>
      <c r="M743" s="36"/>
      <c r="N743" s="33"/>
      <c r="O743" s="36"/>
      <c r="P743" s="33"/>
      <c r="Q743" s="37"/>
      <c r="R743" s="38"/>
      <c r="S743" s="33"/>
      <c r="T743" s="38"/>
      <c r="U743" s="33"/>
      <c r="V743" s="39"/>
      <c r="W743" s="90" t="b">
        <v>0</v>
      </c>
      <c r="X743" s="90" t="b">
        <v>0</v>
      </c>
      <c r="Y743" s="90" t="b">
        <v>0</v>
      </c>
      <c r="Z743" s="40" t="s">
        <v>1146</v>
      </c>
      <c r="AA743" s="41"/>
      <c r="AK743" s="16"/>
      <c r="AL743" s="16"/>
      <c r="AM743" s="16"/>
      <c r="AN743" s="16"/>
      <c r="AO743" s="16"/>
      <c r="AP743" s="16"/>
      <c r="AQ743" s="16"/>
      <c r="AR743" s="16"/>
      <c r="AS743" s="16"/>
    </row>
    <row r="744" spans="1:45" s="7" customFormat="1" ht="195" customHeight="1">
      <c r="A744" s="27">
        <f>[1]트램표준체크리스트!A801</f>
        <v>799</v>
      </c>
      <c r="B744" s="28" t="str">
        <f>[1]트램표준체크리스트!B801</f>
        <v>기계</v>
      </c>
      <c r="C744" s="29" t="str">
        <f>[1]트램표준체크리스트!C801</f>
        <v>환기설비 에너지계획</v>
      </c>
      <c r="D744" s="30" t="str">
        <f>[1]트램표준체크리스트!F801</f>
        <v>배기구 역류방지댐퍼 설계 누락으로, 동절기 가동 중지 시 외부 냉기 유입에 따른 심각한 난방 에너지 손실 및 덕트 표면 결로수 적하 리스크를 검토하였는가?</v>
      </c>
      <c r="E744" s="31" t="s">
        <v>1235</v>
      </c>
      <c r="F744" s="32" t="str">
        <f t="shared" si="23"/>
        <v>극상</v>
      </c>
      <c r="G744" s="63" t="s">
        <v>40</v>
      </c>
      <c r="H744" s="63" t="s">
        <v>41</v>
      </c>
      <c r="I744" s="34" t="s">
        <v>1236</v>
      </c>
      <c r="J744" s="33"/>
      <c r="K744" s="35"/>
      <c r="L744" s="33"/>
      <c r="M744" s="36"/>
      <c r="N744" s="33"/>
      <c r="O744" s="36"/>
      <c r="P744" s="33"/>
      <c r="Q744" s="37"/>
      <c r="R744" s="38"/>
      <c r="S744" s="33"/>
      <c r="T744" s="38"/>
      <c r="U744" s="33"/>
      <c r="V744" s="39"/>
      <c r="W744" s="90" t="b">
        <v>1</v>
      </c>
      <c r="X744" s="90" t="b">
        <v>0</v>
      </c>
      <c r="Y744" s="90" t="b">
        <v>0</v>
      </c>
      <c r="Z744" s="40" t="s">
        <v>1146</v>
      </c>
      <c r="AA744" s="41"/>
      <c r="AK744" s="16"/>
      <c r="AL744" s="16"/>
      <c r="AM744" s="16"/>
      <c r="AN744" s="16"/>
      <c r="AO744" s="16"/>
      <c r="AP744" s="16"/>
      <c r="AQ744" s="16"/>
      <c r="AR744" s="16"/>
      <c r="AS744" s="16"/>
    </row>
    <row r="745" spans="1:45" s="7" customFormat="1" ht="195" customHeight="1">
      <c r="A745" s="27">
        <f>[1]트램표준체크리스트!A802</f>
        <v>800</v>
      </c>
      <c r="B745" s="28" t="str">
        <f>[1]트램표준체크리스트!B802</f>
        <v>기계</v>
      </c>
      <c r="C745" s="29" t="str">
        <f>[1]트램표준체크리스트!C802</f>
        <v>환기설비 에너지계획</v>
      </c>
      <c r="D745" s="30" t="str">
        <f>[1]트램표준체크리스트!F802</f>
        <v>공인 T.A.B 계획 및 조정용 댐퍼(VD) 누락으로, 시공 후 공기질 불균형·과냉난방 시 기술적 보정이 불가할 리스크를 검토하였는가?</v>
      </c>
      <c r="E745" s="31" t="s">
        <v>1237</v>
      </c>
      <c r="F745" s="32" t="str">
        <f t="shared" si="23"/>
        <v>극상</v>
      </c>
      <c r="G745" s="63" t="s">
        <v>40</v>
      </c>
      <c r="H745" s="63" t="s">
        <v>41</v>
      </c>
      <c r="I745" s="34" t="s">
        <v>1238</v>
      </c>
      <c r="J745" s="33"/>
      <c r="K745" s="35"/>
      <c r="L745" s="33"/>
      <c r="M745" s="36"/>
      <c r="N745" s="33"/>
      <c r="O745" s="36"/>
      <c r="P745" s="33"/>
      <c r="Q745" s="37"/>
      <c r="R745" s="38"/>
      <c r="S745" s="33"/>
      <c r="T745" s="38"/>
      <c r="U745" s="33"/>
      <c r="V745" s="39"/>
      <c r="W745" s="90" t="b">
        <v>0</v>
      </c>
      <c r="X745" s="90" t="b">
        <v>0</v>
      </c>
      <c r="Y745" s="90" t="b">
        <v>0</v>
      </c>
      <c r="Z745" s="40" t="s">
        <v>1146</v>
      </c>
      <c r="AA745" s="41"/>
      <c r="AK745" s="16"/>
      <c r="AL745" s="16"/>
      <c r="AM745" s="16"/>
      <c r="AN745" s="16"/>
      <c r="AO745" s="16"/>
      <c r="AP745" s="16"/>
      <c r="AQ745" s="16"/>
      <c r="AR745" s="16"/>
      <c r="AS745" s="16"/>
    </row>
    <row r="746" spans="1:45" s="7" customFormat="1" ht="195" customHeight="1">
      <c r="A746" s="27">
        <f>[1]트램표준체크리스트!A803</f>
        <v>801</v>
      </c>
      <c r="B746" s="28" t="str">
        <f>[1]트램표준체크리스트!B803</f>
        <v>기계</v>
      </c>
      <c r="C746" s="29" t="str">
        <f>[1]트램표준체크리스트!C803</f>
        <v>환기설비 에너지계획</v>
      </c>
      <c r="D746" s="30" t="str">
        <f>[1]트램표준체크리스트!F803</f>
        <v>라돈 가스 지상부 배출 대책 및 농도 연동 자동환기 로직 누락으로 승객·작업자가 유해 방사능에 지속 노출될 환경 보건 리스크를 검토하였는가?</v>
      </c>
      <c r="E746" s="31" t="s">
        <v>1239</v>
      </c>
      <c r="F746" s="32" t="str">
        <f t="shared" si="23"/>
        <v>극상</v>
      </c>
      <c r="G746" s="63" t="s">
        <v>40</v>
      </c>
      <c r="H746" s="63" t="s">
        <v>41</v>
      </c>
      <c r="I746" s="34" t="s">
        <v>1240</v>
      </c>
      <c r="J746" s="33"/>
      <c r="K746" s="35"/>
      <c r="L746" s="33"/>
      <c r="M746" s="36"/>
      <c r="N746" s="33"/>
      <c r="O746" s="36"/>
      <c r="P746" s="33"/>
      <c r="Q746" s="37"/>
      <c r="R746" s="38"/>
      <c r="S746" s="33"/>
      <c r="T746" s="38"/>
      <c r="U746" s="33"/>
      <c r="V746" s="39"/>
      <c r="W746" s="90" t="b">
        <v>0</v>
      </c>
      <c r="X746" s="90" t="b">
        <v>0</v>
      </c>
      <c r="Y746" s="90" t="b">
        <v>0</v>
      </c>
      <c r="Z746" s="40" t="s">
        <v>1146</v>
      </c>
      <c r="AA746" s="41"/>
      <c r="AK746" s="16"/>
      <c r="AL746" s="16"/>
      <c r="AM746" s="16"/>
      <c r="AN746" s="16"/>
      <c r="AO746" s="16"/>
      <c r="AP746" s="16"/>
      <c r="AQ746" s="16"/>
      <c r="AR746" s="16"/>
      <c r="AS746" s="16"/>
    </row>
    <row r="747" spans="1:45" s="7" customFormat="1" ht="195" customHeight="1">
      <c r="A747" s="27">
        <f>[1]트램표준체크리스트!A804</f>
        <v>802</v>
      </c>
      <c r="B747" s="28" t="str">
        <f>[1]트램표준체크리스트!B804</f>
        <v>소방</v>
      </c>
      <c r="C747" s="29" t="str">
        <f>[1]트램표준체크리스트!C804</f>
        <v>전력</v>
      </c>
      <c r="D747" s="30" t="str">
        <f>[1]트램표준체크리스트!F804</f>
        <v>기계(소방) 도면에 표시된 모든 소화전 함 위치에 전기 도면상 전원/통신 배관이 연결되어 있는가?</v>
      </c>
      <c r="E747" s="31" t="s">
        <v>1241</v>
      </c>
      <c r="F747" s="32" t="str">
        <f t="shared" si="23"/>
        <v>극상</v>
      </c>
      <c r="G747" s="63" t="s">
        <v>40</v>
      </c>
      <c r="H747" s="63" t="s">
        <v>41</v>
      </c>
      <c r="I747" s="34" t="s">
        <v>1242</v>
      </c>
      <c r="J747" s="33"/>
      <c r="K747" s="35"/>
      <c r="L747" s="33"/>
      <c r="M747" s="36"/>
      <c r="N747" s="33"/>
      <c r="O747" s="36"/>
      <c r="P747" s="33"/>
      <c r="Q747" s="37"/>
      <c r="R747" s="38"/>
      <c r="S747" s="33"/>
      <c r="T747" s="38"/>
      <c r="U747" s="33"/>
      <c r="V747" s="39"/>
      <c r="W747" s="90" t="b">
        <v>0</v>
      </c>
      <c r="X747" s="90" t="b">
        <v>0</v>
      </c>
      <c r="Y747" s="90" t="b">
        <v>0</v>
      </c>
      <c r="Z747" s="40" t="s">
        <v>1146</v>
      </c>
      <c r="AA747" s="41"/>
      <c r="AK747" s="16"/>
      <c r="AL747" s="16"/>
      <c r="AM747" s="16"/>
      <c r="AN747" s="16"/>
      <c r="AO747" s="16"/>
      <c r="AP747" s="16"/>
      <c r="AQ747" s="16"/>
      <c r="AR747" s="16"/>
      <c r="AS747" s="16"/>
    </row>
    <row r="748" spans="1:45" s="7" customFormat="1" ht="195" customHeight="1">
      <c r="A748" s="27">
        <f>[1]트램표준체크리스트!A805</f>
        <v>803</v>
      </c>
      <c r="B748" s="28" t="str">
        <f>[1]트램표준체크리스트!B805</f>
        <v>소방</v>
      </c>
      <c r="C748" s="29" t="str">
        <f>[1]트램표준체크리스트!C805</f>
        <v>가스계 자동소화설비</v>
      </c>
      <c r="D748" s="30" t="str">
        <f>[1]트램표준체크리스트!F805</f>
        <v>기밀성 확보 요건 및 도어팬테스트 누락으로 소화가스 누설 및 소화농도 미달로 진압에 실패할 리스크를 검토하였는가?</v>
      </c>
      <c r="E748" s="31" t="s">
        <v>1243</v>
      </c>
      <c r="F748" s="32" t="str">
        <f t="shared" ref="F748:F778" si="24">_xlfn.LET(
_xlpm.v_발생, IF(ISNUMBER(SEARCH("빈번", G748)), "상",
IF(ISNUMBER(SEARCH("거의", G748)), "하", "중")),
_xlpm.v_영향, IF(ISNUMBER(SEARCH("1개월", H748)), "상",
IF(ISNUMBER(SEARCH("없음", H748)), "하", "중")),
IF(AND(_xlpm.v_발생="상", _xlpm.v_영향="상"), "극상",
IF(OR(_xlpm.v_발생="상", _xlpm.v_영향="상"), "상",
IF(AND(_xlpm.v_발생="하", _xlpm.v_영향="하"), "하",
"중")))
)</f>
        <v>극상</v>
      </c>
      <c r="G748" s="63" t="s">
        <v>40</v>
      </c>
      <c r="H748" s="63" t="s">
        <v>41</v>
      </c>
      <c r="I748" s="34" t="s">
        <v>1244</v>
      </c>
      <c r="J748" s="33"/>
      <c r="K748" s="35"/>
      <c r="L748" s="33"/>
      <c r="M748" s="36"/>
      <c r="N748" s="33"/>
      <c r="O748" s="36"/>
      <c r="P748" s="33"/>
      <c r="Q748" s="37"/>
      <c r="R748" s="38"/>
      <c r="S748" s="33"/>
      <c r="T748" s="38"/>
      <c r="U748" s="33"/>
      <c r="V748" s="39"/>
      <c r="W748" s="90" t="b">
        <v>0</v>
      </c>
      <c r="X748" s="90" t="b">
        <v>0</v>
      </c>
      <c r="Y748" s="90" t="b">
        <v>0</v>
      </c>
      <c r="Z748" s="40" t="s">
        <v>1146</v>
      </c>
      <c r="AA748" s="41"/>
      <c r="AK748" s="16"/>
      <c r="AL748" s="16"/>
      <c r="AM748" s="16"/>
      <c r="AN748" s="16"/>
      <c r="AO748" s="16"/>
      <c r="AP748" s="16"/>
      <c r="AQ748" s="16"/>
      <c r="AR748" s="16"/>
      <c r="AS748" s="16"/>
    </row>
    <row r="749" spans="1:45" s="7" customFormat="1" ht="195" customHeight="1">
      <c r="A749" s="27">
        <f>[1]트램표준체크리스트!A806</f>
        <v>804</v>
      </c>
      <c r="B749" s="28" t="str">
        <f>[1]트램표준체크리스트!B806</f>
        <v>소방</v>
      </c>
      <c r="C749" s="29" t="str">
        <f>[1]트램표준체크리스트!C806</f>
        <v>가스계 자동소화설비</v>
      </c>
      <c r="D749" s="30" t="str">
        <f>[1]트램표준체크리스트!F806</f>
        <v>과압배출구 설계 및 기밀성 시험(Door Fan Test) 누락으로 구조물 파손 및 약제 유출로 소화농도 유지에 실패할 리스크를 검토하였는가?</v>
      </c>
      <c r="E749" s="31" t="s">
        <v>1245</v>
      </c>
      <c r="F749" s="32" t="str">
        <f t="shared" si="24"/>
        <v>극상</v>
      </c>
      <c r="G749" s="63" t="s">
        <v>40</v>
      </c>
      <c r="H749" s="63" t="s">
        <v>41</v>
      </c>
      <c r="I749" s="34" t="s">
        <v>1246</v>
      </c>
      <c r="J749" s="33"/>
      <c r="K749" s="35"/>
      <c r="L749" s="33"/>
      <c r="M749" s="36"/>
      <c r="N749" s="33"/>
      <c r="O749" s="36"/>
      <c r="P749" s="33"/>
      <c r="Q749" s="37"/>
      <c r="R749" s="38"/>
      <c r="S749" s="33"/>
      <c r="T749" s="38"/>
      <c r="U749" s="33"/>
      <c r="V749" s="39"/>
      <c r="W749" s="90" t="b">
        <v>0</v>
      </c>
      <c r="X749" s="90" t="b">
        <v>0</v>
      </c>
      <c r="Y749" s="90" t="b">
        <v>0</v>
      </c>
      <c r="Z749" s="40" t="s">
        <v>1146</v>
      </c>
      <c r="AA749" s="41"/>
      <c r="AK749" s="16"/>
      <c r="AL749" s="16"/>
      <c r="AM749" s="16"/>
      <c r="AN749" s="16"/>
      <c r="AO749" s="16"/>
      <c r="AP749" s="16"/>
      <c r="AQ749" s="16"/>
      <c r="AR749" s="16"/>
      <c r="AS749" s="16"/>
    </row>
    <row r="750" spans="1:45" s="7" customFormat="1" ht="195" customHeight="1">
      <c r="A750" s="27">
        <f>[1]트램표준체크리스트!A807</f>
        <v>805</v>
      </c>
      <c r="B750" s="28" t="str">
        <f>[1]트램표준체크리스트!B807</f>
        <v>소방</v>
      </c>
      <c r="C750" s="29" t="str">
        <f>[1]트램표준체크리스트!C807</f>
        <v>가스계 자동소화설비</v>
      </c>
      <c r="D750" s="30" t="str">
        <f>[1]트램표준체크리스트!F807</f>
        <v>KFI 미인증 설계 프로그램 사용으로 약제량 및 배관 관경 산출에 오류가 발생할 방재 리스크를 검토하였는가?</v>
      </c>
      <c r="E750" s="31" t="s">
        <v>1247</v>
      </c>
      <c r="F750" s="32" t="str">
        <f t="shared" si="24"/>
        <v>극상</v>
      </c>
      <c r="G750" s="63" t="s">
        <v>40</v>
      </c>
      <c r="H750" s="63" t="s">
        <v>41</v>
      </c>
      <c r="I750" s="34" t="s">
        <v>1248</v>
      </c>
      <c r="J750" s="33"/>
      <c r="K750" s="35"/>
      <c r="L750" s="33"/>
      <c r="M750" s="36"/>
      <c r="N750" s="33"/>
      <c r="O750" s="36"/>
      <c r="P750" s="33"/>
      <c r="Q750" s="37"/>
      <c r="R750" s="38"/>
      <c r="S750" s="33"/>
      <c r="T750" s="38"/>
      <c r="U750" s="33"/>
      <c r="V750" s="39"/>
      <c r="W750" s="90" t="b">
        <v>0</v>
      </c>
      <c r="X750" s="90" t="b">
        <v>0</v>
      </c>
      <c r="Y750" s="90" t="b">
        <v>0</v>
      </c>
      <c r="Z750" s="40" t="s">
        <v>1146</v>
      </c>
      <c r="AA750" s="41"/>
      <c r="AK750" s="16"/>
      <c r="AL750" s="16"/>
      <c r="AM750" s="16"/>
      <c r="AN750" s="16"/>
      <c r="AO750" s="16"/>
      <c r="AP750" s="16"/>
      <c r="AQ750" s="16"/>
      <c r="AR750" s="16"/>
      <c r="AS750" s="16"/>
    </row>
    <row r="751" spans="1:45" s="7" customFormat="1" ht="195" customHeight="1">
      <c r="A751" s="27">
        <f>[1]트램표준체크리스트!A808</f>
        <v>806</v>
      </c>
      <c r="B751" s="28" t="str">
        <f>[1]트램표준체크리스트!B808</f>
        <v>소방</v>
      </c>
      <c r="C751" s="29" t="str">
        <f>[1]트램표준체크리스트!C808</f>
        <v>가스계 자동소화설비</v>
      </c>
      <c r="D751" s="30" t="str">
        <f>[1]트램표준체크리스트!F808</f>
        <v>KFI 인증 프로그램 미사용 및 도면·계산서 불일치로 방사 시 적정 소화농도 도달에 실패할 리스크를 검토하였는가?</v>
      </c>
      <c r="E751" s="31" t="s">
        <v>1249</v>
      </c>
      <c r="F751" s="32" t="str">
        <f t="shared" si="24"/>
        <v>극상</v>
      </c>
      <c r="G751" s="63" t="s">
        <v>40</v>
      </c>
      <c r="H751" s="63" t="s">
        <v>41</v>
      </c>
      <c r="I751" s="34" t="s">
        <v>1250</v>
      </c>
      <c r="J751" s="33"/>
      <c r="K751" s="35"/>
      <c r="L751" s="33"/>
      <c r="M751" s="36"/>
      <c r="N751" s="33"/>
      <c r="O751" s="36"/>
      <c r="P751" s="33"/>
      <c r="Q751" s="37"/>
      <c r="R751" s="38"/>
      <c r="S751" s="33"/>
      <c r="T751" s="38"/>
      <c r="U751" s="33"/>
      <c r="V751" s="39"/>
      <c r="W751" s="90" t="b">
        <v>0</v>
      </c>
      <c r="X751" s="90" t="b">
        <v>0</v>
      </c>
      <c r="Y751" s="90" t="b">
        <v>0</v>
      </c>
      <c r="Z751" s="40" t="s">
        <v>1146</v>
      </c>
      <c r="AA751" s="41"/>
      <c r="AK751" s="16"/>
      <c r="AL751" s="16"/>
      <c r="AM751" s="16"/>
      <c r="AN751" s="16"/>
      <c r="AO751" s="16"/>
      <c r="AP751" s="16"/>
      <c r="AQ751" s="16"/>
      <c r="AR751" s="16"/>
      <c r="AS751" s="16"/>
    </row>
    <row r="752" spans="1:45" s="7" customFormat="1" ht="195" customHeight="1">
      <c r="A752" s="27">
        <f>[1]트램표준체크리스트!A809</f>
        <v>807</v>
      </c>
      <c r="B752" s="28" t="str">
        <f>[1]트램표준체크리스트!B809</f>
        <v>소방</v>
      </c>
      <c r="C752" s="29" t="str">
        <f>[1]트램표준체크리스트!C809</f>
        <v>가스계 자동소화설비</v>
      </c>
      <c r="D752" s="30" t="str">
        <f>[1]트램표준체크리스트!F809</f>
        <v>수배전반 내 소공간 가스 자동소화장치 누락으로 단락 화재 시 조기 소화에 실패해 고가 전기설비가 전소될 리스크를 검토하였는가?</v>
      </c>
      <c r="E752" s="31" t="s">
        <v>1251</v>
      </c>
      <c r="F752" s="32" t="str">
        <f t="shared" si="24"/>
        <v>극상</v>
      </c>
      <c r="G752" s="63" t="s">
        <v>40</v>
      </c>
      <c r="H752" s="63" t="s">
        <v>41</v>
      </c>
      <c r="I752" s="34" t="s">
        <v>1252</v>
      </c>
      <c r="J752" s="33"/>
      <c r="K752" s="35"/>
      <c r="L752" s="33"/>
      <c r="M752" s="36"/>
      <c r="N752" s="33"/>
      <c r="O752" s="36"/>
      <c r="P752" s="33"/>
      <c r="Q752" s="37"/>
      <c r="R752" s="38"/>
      <c r="S752" s="33"/>
      <c r="T752" s="38"/>
      <c r="U752" s="33"/>
      <c r="V752" s="39"/>
      <c r="W752" s="90" t="b">
        <v>0</v>
      </c>
      <c r="X752" s="90" t="b">
        <v>0</v>
      </c>
      <c r="Y752" s="90" t="b">
        <v>0</v>
      </c>
      <c r="Z752" s="40" t="s">
        <v>1146</v>
      </c>
      <c r="AA752" s="41"/>
      <c r="AK752" s="16"/>
      <c r="AL752" s="16"/>
      <c r="AM752" s="16"/>
      <c r="AN752" s="16"/>
      <c r="AO752" s="16"/>
      <c r="AP752" s="16"/>
      <c r="AQ752" s="16"/>
      <c r="AR752" s="16"/>
      <c r="AS752" s="16"/>
    </row>
    <row r="753" spans="1:45" s="7" customFormat="1" ht="195" customHeight="1">
      <c r="A753" s="27">
        <f>[1]트램표준체크리스트!A810</f>
        <v>808</v>
      </c>
      <c r="B753" s="28" t="str">
        <f>[1]트램표준체크리스트!B810</f>
        <v>소방</v>
      </c>
      <c r="C753" s="29" t="str">
        <f>[1]트램표준체크리스트!C810</f>
        <v>건설현장 임시소방시설 계획</v>
      </c>
      <c r="D753" s="30" t="str">
        <f>[1]트램표준체크리스트!F810</f>
        <v>설계 내역에 건설현장 임시소방시설(간이소화장치, 방화포 등)이 누락돼, 안전 비용 부족으로 시공사가 화재 예방을 소홀히 할 리스크를 검토하였는가?</v>
      </c>
      <c r="E753" s="31" t="s">
        <v>1253</v>
      </c>
      <c r="F753" s="32" t="str">
        <f t="shared" si="24"/>
        <v>극상</v>
      </c>
      <c r="G753" s="63" t="s">
        <v>40</v>
      </c>
      <c r="H753" s="63" t="s">
        <v>41</v>
      </c>
      <c r="I753" s="34" t="s">
        <v>1254</v>
      </c>
      <c r="J753" s="33"/>
      <c r="K753" s="35"/>
      <c r="L753" s="33"/>
      <c r="M753" s="36"/>
      <c r="N753" s="33"/>
      <c r="O753" s="36"/>
      <c r="P753" s="33"/>
      <c r="Q753" s="37"/>
      <c r="R753" s="38"/>
      <c r="S753" s="33"/>
      <c r="T753" s="38"/>
      <c r="U753" s="33"/>
      <c r="V753" s="39"/>
      <c r="W753" s="90" t="b">
        <v>0</v>
      </c>
      <c r="X753" s="90" t="b">
        <v>0</v>
      </c>
      <c r="Y753" s="90" t="b">
        <v>0</v>
      </c>
      <c r="Z753" s="40" t="s">
        <v>1146</v>
      </c>
      <c r="AA753" s="41"/>
      <c r="AK753" s="16"/>
      <c r="AL753" s="16"/>
      <c r="AM753" s="16"/>
      <c r="AN753" s="16"/>
      <c r="AO753" s="16"/>
      <c r="AP753" s="16"/>
      <c r="AQ753" s="16"/>
      <c r="AR753" s="16"/>
      <c r="AS753" s="16"/>
    </row>
    <row r="754" spans="1:45" s="7" customFormat="1" ht="195" customHeight="1">
      <c r="A754" s="27">
        <f>[1]트램표준체크리스트!A811</f>
        <v>809</v>
      </c>
      <c r="B754" s="28" t="str">
        <f>[1]트램표준체크리스트!B811</f>
        <v>소방</v>
      </c>
      <c r="C754" s="29" t="str">
        <f>[1]트램표준체크리스트!C811</f>
        <v>건설현장 임시소방시설 계획</v>
      </c>
      <c r="D754" s="30" t="str">
        <f>[1]트램표준체크리스트!F811</f>
        <v>임시소방시설(간이소화장치, 방화포 등) 내역 누락으로 현장 용접 시 화재 초동 대처 수단이 부재할 리스크를 검토하였는가?</v>
      </c>
      <c r="E754" s="31" t="s">
        <v>1255</v>
      </c>
      <c r="F754" s="32" t="str">
        <f t="shared" si="24"/>
        <v>극상</v>
      </c>
      <c r="G754" s="63" t="s">
        <v>40</v>
      </c>
      <c r="H754" s="63" t="s">
        <v>41</v>
      </c>
      <c r="I754" s="34" t="s">
        <v>1256</v>
      </c>
      <c r="J754" s="33"/>
      <c r="K754" s="35"/>
      <c r="L754" s="33"/>
      <c r="M754" s="36"/>
      <c r="N754" s="33"/>
      <c r="O754" s="36"/>
      <c r="P754" s="33"/>
      <c r="Q754" s="37"/>
      <c r="R754" s="38"/>
      <c r="S754" s="33"/>
      <c r="T754" s="38"/>
      <c r="U754" s="33"/>
      <c r="V754" s="39"/>
      <c r="W754" s="90" t="b">
        <v>0</v>
      </c>
      <c r="X754" s="90" t="b">
        <v>0</v>
      </c>
      <c r="Y754" s="90" t="b">
        <v>0</v>
      </c>
      <c r="Z754" s="40" t="s">
        <v>1146</v>
      </c>
      <c r="AA754" s="41"/>
      <c r="AK754" s="16"/>
      <c r="AL754" s="16"/>
      <c r="AM754" s="16"/>
      <c r="AN754" s="16"/>
      <c r="AO754" s="16"/>
      <c r="AP754" s="16"/>
      <c r="AQ754" s="16"/>
      <c r="AR754" s="16"/>
      <c r="AS754" s="16"/>
    </row>
    <row r="755" spans="1:45" s="7" customFormat="1" ht="195" customHeight="1">
      <c r="A755" s="27">
        <f>[1]트램표준체크리스트!A812</f>
        <v>810</v>
      </c>
      <c r="B755" s="28" t="str">
        <f>[1]트램표준체크리스트!B812</f>
        <v>소방</v>
      </c>
      <c r="C755" s="29" t="str">
        <f>[1]트램표준체크리스트!C812</f>
        <v>검수고 소방설비 계획</v>
      </c>
      <c r="D755" s="30" t="str">
        <f>[1]트램표준체크리스트!F812</f>
        <v>고천장 구역 일반 연기식 감지기 설계로 크레인 간섭, 감지 지연 및 점검·교체가 불가해질 리스크를 검토하였는가?</v>
      </c>
      <c r="E755" s="31" t="s">
        <v>1257</v>
      </c>
      <c r="F755" s="32" t="str">
        <f t="shared" si="24"/>
        <v>극상</v>
      </c>
      <c r="G755" s="63" t="s">
        <v>40</v>
      </c>
      <c r="H755" s="63" t="s">
        <v>41</v>
      </c>
      <c r="I755" s="34" t="s">
        <v>1258</v>
      </c>
      <c r="J755" s="33"/>
      <c r="K755" s="35"/>
      <c r="L755" s="33"/>
      <c r="M755" s="36"/>
      <c r="N755" s="33"/>
      <c r="O755" s="36"/>
      <c r="P755" s="33"/>
      <c r="Q755" s="37"/>
      <c r="R755" s="38"/>
      <c r="S755" s="33"/>
      <c r="T755" s="38"/>
      <c r="U755" s="33"/>
      <c r="V755" s="39"/>
      <c r="W755" s="90" t="b">
        <v>0</v>
      </c>
      <c r="X755" s="90" t="b">
        <v>0</v>
      </c>
      <c r="Y755" s="90" t="b">
        <v>0</v>
      </c>
      <c r="Z755" s="40" t="s">
        <v>1146</v>
      </c>
      <c r="AA755" s="41"/>
      <c r="AK755" s="16"/>
      <c r="AL755" s="16"/>
      <c r="AM755" s="16"/>
      <c r="AN755" s="16"/>
      <c r="AO755" s="16"/>
      <c r="AP755" s="16"/>
      <c r="AQ755" s="16"/>
      <c r="AR755" s="16"/>
      <c r="AS755" s="16"/>
    </row>
    <row r="756" spans="1:45" s="7" customFormat="1" ht="195" customHeight="1">
      <c r="A756" s="27">
        <f>[1]트램표준체크리스트!A813</f>
        <v>811</v>
      </c>
      <c r="B756" s="28" t="str">
        <f>[1]트램표준체크리스트!B813</f>
        <v>소방</v>
      </c>
      <c r="C756" s="29" t="str">
        <f>[1]트램표준체크리스트!C813</f>
        <v>방화구획 관통부 마감 계획</v>
      </c>
      <c r="D756" s="30" t="str">
        <f>[1]트램표준체크리스트!F813</f>
        <v>관통부 틈새 내화채움구조 설계 누락으로 유독가스와 화염이 타 구획으로 급격히 확산될 대형 방재 리스크를 검토하였는가?</v>
      </c>
      <c r="E756" s="31" t="s">
        <v>1259</v>
      </c>
      <c r="F756" s="32" t="str">
        <f t="shared" si="24"/>
        <v>극상</v>
      </c>
      <c r="G756" s="63" t="s">
        <v>40</v>
      </c>
      <c r="H756" s="63" t="s">
        <v>41</v>
      </c>
      <c r="I756" s="34" t="s">
        <v>1260</v>
      </c>
      <c r="J756" s="33"/>
      <c r="K756" s="35"/>
      <c r="L756" s="33"/>
      <c r="M756" s="36"/>
      <c r="N756" s="33"/>
      <c r="O756" s="36"/>
      <c r="P756" s="33"/>
      <c r="Q756" s="37"/>
      <c r="R756" s="38"/>
      <c r="S756" s="33"/>
      <c r="T756" s="38"/>
      <c r="U756" s="33"/>
      <c r="V756" s="39"/>
      <c r="W756" s="90" t="b">
        <v>0</v>
      </c>
      <c r="X756" s="90" t="b">
        <v>0</v>
      </c>
      <c r="Y756" s="90" t="b">
        <v>0</v>
      </c>
      <c r="Z756" s="40" t="s">
        <v>1146</v>
      </c>
      <c r="AA756" s="41"/>
      <c r="AK756" s="16"/>
      <c r="AL756" s="16"/>
      <c r="AM756" s="16"/>
      <c r="AN756" s="16"/>
      <c r="AO756" s="16"/>
      <c r="AP756" s="16"/>
      <c r="AQ756" s="16"/>
      <c r="AR756" s="16"/>
      <c r="AS756" s="16"/>
    </row>
    <row r="757" spans="1:45" s="7" customFormat="1" ht="195" customHeight="1">
      <c r="A757" s="27">
        <f>[1]트램표준체크리스트!A814</f>
        <v>812</v>
      </c>
      <c r="B757" s="28" t="str">
        <f>[1]트램표준체크리스트!B814</f>
        <v>소방</v>
      </c>
      <c r="C757" s="29" t="str">
        <f>[1]트램표준체크리스트!C814</f>
        <v>소방 내진설비 계획</v>
      </c>
      <c r="D757" s="30" t="str">
        <f>[1]트램표준체크리스트!F814</f>
        <v>내진설계(방파판, 스토퍼, 버팀대) 누락으로 지진 시 소방시스템 파손 및 초기 진압에 실패할 리스크를 검토하였는가?</v>
      </c>
      <c r="E757" s="31" t="s">
        <v>1261</v>
      </c>
      <c r="F757" s="32" t="str">
        <f t="shared" si="24"/>
        <v>극상</v>
      </c>
      <c r="G757" s="63" t="s">
        <v>40</v>
      </c>
      <c r="H757" s="63" t="s">
        <v>41</v>
      </c>
      <c r="I757" s="34" t="s">
        <v>1262</v>
      </c>
      <c r="J757" s="33"/>
      <c r="K757" s="35"/>
      <c r="L757" s="33"/>
      <c r="M757" s="36"/>
      <c r="N757" s="33"/>
      <c r="O757" s="36"/>
      <c r="P757" s="33"/>
      <c r="Q757" s="37"/>
      <c r="R757" s="38"/>
      <c r="S757" s="33"/>
      <c r="T757" s="38"/>
      <c r="U757" s="33"/>
      <c r="V757" s="39"/>
      <c r="W757" s="90" t="b">
        <v>0</v>
      </c>
      <c r="X757" s="90" t="b">
        <v>0</v>
      </c>
      <c r="Y757" s="90" t="b">
        <v>0</v>
      </c>
      <c r="Z757" s="40" t="s">
        <v>1146</v>
      </c>
      <c r="AA757" s="41"/>
      <c r="AK757" s="16"/>
      <c r="AL757" s="16"/>
      <c r="AM757" s="16"/>
      <c r="AN757" s="16"/>
      <c r="AO757" s="16"/>
      <c r="AP757" s="16"/>
      <c r="AQ757" s="16"/>
      <c r="AR757" s="16"/>
      <c r="AS757" s="16"/>
    </row>
    <row r="758" spans="1:45" s="7" customFormat="1" ht="195" customHeight="1">
      <c r="A758" s="27">
        <f>[1]트램표준체크리스트!A815</f>
        <v>813</v>
      </c>
      <c r="B758" s="28" t="str">
        <f>[1]트램표준체크리스트!B815</f>
        <v>소방</v>
      </c>
      <c r="C758" s="29" t="str">
        <f>[1]트램표준체크리스트!C815</f>
        <v>소방 내진설비 계획</v>
      </c>
      <c r="D758" s="30" t="str">
        <f>[1]트램표준체크리스트!F815</f>
        <v>내진설비(방파판, 스토퍼, 버팀대) 물량 누락으로 지진 발생 시 소방 기능이 마비될 리스크를 검토하였는가?</v>
      </c>
      <c r="E758" s="31" t="s">
        <v>1263</v>
      </c>
      <c r="F758" s="32" t="str">
        <f t="shared" si="24"/>
        <v>극상</v>
      </c>
      <c r="G758" s="63" t="s">
        <v>40</v>
      </c>
      <c r="H758" s="63" t="s">
        <v>41</v>
      </c>
      <c r="I758" s="34" t="s">
        <v>1264</v>
      </c>
      <c r="J758" s="33"/>
      <c r="K758" s="35"/>
      <c r="L758" s="33"/>
      <c r="M758" s="36"/>
      <c r="N758" s="33"/>
      <c r="O758" s="36"/>
      <c r="P758" s="33"/>
      <c r="Q758" s="37"/>
      <c r="R758" s="38"/>
      <c r="S758" s="33"/>
      <c r="T758" s="38"/>
      <c r="U758" s="33"/>
      <c r="V758" s="39"/>
      <c r="W758" s="90" t="b">
        <v>0</v>
      </c>
      <c r="X758" s="90" t="b">
        <v>0</v>
      </c>
      <c r="Y758" s="90" t="b">
        <v>0</v>
      </c>
      <c r="Z758" s="40" t="s">
        <v>1146</v>
      </c>
      <c r="AA758" s="41"/>
      <c r="AK758" s="16"/>
      <c r="AL758" s="16"/>
      <c r="AM758" s="16"/>
      <c r="AN758" s="16"/>
      <c r="AO758" s="16"/>
      <c r="AP758" s="16"/>
      <c r="AQ758" s="16"/>
      <c r="AR758" s="16"/>
      <c r="AS758" s="16"/>
    </row>
    <row r="759" spans="1:45" s="7" customFormat="1" ht="195" customHeight="1">
      <c r="A759" s="27">
        <f>[1]트램표준체크리스트!A816</f>
        <v>814</v>
      </c>
      <c r="B759" s="28" t="str">
        <f>[1]트램표준체크리스트!B816</f>
        <v>소방</v>
      </c>
      <c r="C759" s="29" t="str">
        <f>[1]트램표준체크리스트!C816</f>
        <v>소방 설계도서 일치화 계획</v>
      </c>
      <c r="D759" s="30" t="str">
        <f>[1]트램표준체크리스트!F816</f>
        <v>도면의 '호스릴 옥내소화전'을 내역서에 '일반 옥내소화전'으로 오기해 시공 시 공사비 부족 및 잦은 설계변경이 유발될 리스크를 검토하였는가?</v>
      </c>
      <c r="E759" s="31" t="s">
        <v>1265</v>
      </c>
      <c r="F759" s="32" t="str">
        <f t="shared" si="24"/>
        <v>극상</v>
      </c>
      <c r="G759" s="63" t="s">
        <v>40</v>
      </c>
      <c r="H759" s="63" t="s">
        <v>41</v>
      </c>
      <c r="I759" s="34" t="s">
        <v>1266</v>
      </c>
      <c r="J759" s="33"/>
      <c r="K759" s="35"/>
      <c r="L759" s="33"/>
      <c r="M759" s="36"/>
      <c r="N759" s="33"/>
      <c r="O759" s="36"/>
      <c r="P759" s="33"/>
      <c r="Q759" s="37"/>
      <c r="R759" s="38"/>
      <c r="S759" s="33"/>
      <c r="T759" s="38"/>
      <c r="U759" s="33"/>
      <c r="V759" s="39"/>
      <c r="W759" s="90" t="b">
        <v>0</v>
      </c>
      <c r="X759" s="90" t="b">
        <v>0</v>
      </c>
      <c r="Y759" s="90" t="b">
        <v>0</v>
      </c>
      <c r="Z759" s="40" t="s">
        <v>1146</v>
      </c>
      <c r="AA759" s="41"/>
      <c r="AK759" s="16"/>
      <c r="AL759" s="16"/>
      <c r="AM759" s="16"/>
      <c r="AN759" s="16"/>
      <c r="AO759" s="16"/>
      <c r="AP759" s="16"/>
      <c r="AQ759" s="16"/>
      <c r="AR759" s="16"/>
      <c r="AS759" s="16"/>
    </row>
    <row r="760" spans="1:45" s="7" customFormat="1" ht="195" customHeight="1">
      <c r="A760" s="27">
        <f>[1]트램표준체크리스트!A817</f>
        <v>815</v>
      </c>
      <c r="B760" s="28" t="str">
        <f>[1]트램표준체크리스트!B817</f>
        <v>소방</v>
      </c>
      <c r="C760" s="29" t="str">
        <f>[1]트램표준체크리스트!C817</f>
        <v>소방 전원계획</v>
      </c>
      <c r="D760" s="30" t="str">
        <f>[1]트램표준체크리스트!F817</f>
        <v>비상전원 용량 부족 및 소방 간선 일반 케이블 적용으로 화재 초기 전원 단선에 따른 소방설비 전면 마비 리스크를 검토하였는가?</v>
      </c>
      <c r="E760" s="31" t="s">
        <v>1267</v>
      </c>
      <c r="F760" s="32" t="str">
        <f t="shared" si="24"/>
        <v>극상</v>
      </c>
      <c r="G760" s="63" t="s">
        <v>40</v>
      </c>
      <c r="H760" s="63" t="s">
        <v>41</v>
      </c>
      <c r="I760" s="34" t="s">
        <v>1268</v>
      </c>
      <c r="J760" s="33"/>
      <c r="K760" s="35"/>
      <c r="L760" s="33"/>
      <c r="M760" s="36"/>
      <c r="N760" s="33"/>
      <c r="O760" s="36"/>
      <c r="P760" s="33"/>
      <c r="Q760" s="37"/>
      <c r="R760" s="38"/>
      <c r="S760" s="33"/>
      <c r="T760" s="38"/>
      <c r="U760" s="33"/>
      <c r="V760" s="39"/>
      <c r="W760" s="90" t="b">
        <v>0</v>
      </c>
      <c r="X760" s="90" t="b">
        <v>0</v>
      </c>
      <c r="Y760" s="90" t="b">
        <v>0</v>
      </c>
      <c r="Z760" s="40" t="s">
        <v>1146</v>
      </c>
      <c r="AA760" s="41"/>
      <c r="AK760" s="16"/>
      <c r="AL760" s="16"/>
      <c r="AM760" s="16"/>
      <c r="AN760" s="16"/>
      <c r="AO760" s="16"/>
      <c r="AP760" s="16"/>
      <c r="AQ760" s="16"/>
      <c r="AR760" s="16"/>
      <c r="AS760" s="16"/>
    </row>
    <row r="761" spans="1:45" s="7" customFormat="1" ht="195" customHeight="1">
      <c r="A761" s="27">
        <f>[1]트램표준체크리스트!A818</f>
        <v>816</v>
      </c>
      <c r="B761" s="28" t="str">
        <f>[1]트램표준체크리스트!B818</f>
        <v>소방</v>
      </c>
      <c r="C761" s="29" t="str">
        <f>[1]트램표준체크리스트!C818</f>
        <v>소방 통신설비 계획</v>
      </c>
      <c r="D761" s="30" t="str">
        <f>[1]트램표준체크리스트!F818</f>
        <v>무선통신보조설비 누락 및 경로 간섭 방치로 화재 시 소방대원 무전 교신이 불가해질 리스크를 검토하였는가?</v>
      </c>
      <c r="E761" s="31" t="s">
        <v>1269</v>
      </c>
      <c r="F761" s="32" t="str">
        <f t="shared" si="24"/>
        <v>극상</v>
      </c>
      <c r="G761" s="63" t="s">
        <v>40</v>
      </c>
      <c r="H761" s="63" t="s">
        <v>41</v>
      </c>
      <c r="I761" s="34" t="s">
        <v>1270</v>
      </c>
      <c r="J761" s="33"/>
      <c r="K761" s="35"/>
      <c r="L761" s="33"/>
      <c r="M761" s="36"/>
      <c r="N761" s="33"/>
      <c r="O761" s="36"/>
      <c r="P761" s="33"/>
      <c r="Q761" s="37"/>
      <c r="R761" s="38"/>
      <c r="S761" s="33"/>
      <c r="T761" s="38"/>
      <c r="U761" s="33"/>
      <c r="V761" s="39"/>
      <c r="W761" s="90" t="b">
        <v>0</v>
      </c>
      <c r="X761" s="90" t="b">
        <v>0</v>
      </c>
      <c r="Y761" s="90" t="b">
        <v>0</v>
      </c>
      <c r="Z761" s="40" t="s">
        <v>1146</v>
      </c>
      <c r="AA761" s="41"/>
      <c r="AK761" s="16"/>
      <c r="AL761" s="16"/>
      <c r="AM761" s="16"/>
      <c r="AN761" s="16"/>
      <c r="AO761" s="16"/>
      <c r="AP761" s="16"/>
      <c r="AQ761" s="16"/>
      <c r="AR761" s="16"/>
      <c r="AS761" s="16"/>
    </row>
    <row r="762" spans="1:45" s="7" customFormat="1" ht="195" customHeight="1">
      <c r="A762" s="27">
        <f>[1]트램표준체크리스트!A819</f>
        <v>817</v>
      </c>
      <c r="B762" s="28" t="str">
        <f>[1]트램표준체크리스트!B819</f>
        <v>소방</v>
      </c>
      <c r="C762" s="29" t="str">
        <f>[1]트램표준체크리스트!C819</f>
        <v>소방-건축 인터페이스</v>
      </c>
      <c r="D762" s="30" t="str">
        <f>[1]트램표준체크리스트!F819</f>
        <v>특별피난계단·제연전실 인터페이스 설계 누락으로 피난 동선에 유독가스가 확산돼 승객 대피가 불가해질 리스크를 검토하였는가?</v>
      </c>
      <c r="E762" s="31" t="s">
        <v>228</v>
      </c>
      <c r="F762" s="32" t="str">
        <f t="shared" si="24"/>
        <v>극상</v>
      </c>
      <c r="G762" s="63" t="s">
        <v>40</v>
      </c>
      <c r="H762" s="63" t="s">
        <v>41</v>
      </c>
      <c r="I762" s="34" t="s">
        <v>1271</v>
      </c>
      <c r="J762" s="33"/>
      <c r="K762" s="35"/>
      <c r="L762" s="33"/>
      <c r="M762" s="36"/>
      <c r="N762" s="33"/>
      <c r="O762" s="36"/>
      <c r="P762" s="33"/>
      <c r="Q762" s="37"/>
      <c r="R762" s="38"/>
      <c r="S762" s="33"/>
      <c r="T762" s="38"/>
      <c r="U762" s="33"/>
      <c r="V762" s="39"/>
      <c r="W762" s="90" t="b">
        <v>0</v>
      </c>
      <c r="X762" s="90" t="b">
        <v>0</v>
      </c>
      <c r="Y762" s="90" t="b">
        <v>0</v>
      </c>
      <c r="Z762" s="40" t="s">
        <v>228</v>
      </c>
      <c r="AA762" s="41"/>
      <c r="AK762" s="16"/>
      <c r="AL762" s="16"/>
      <c r="AM762" s="16"/>
      <c r="AN762" s="16"/>
      <c r="AO762" s="16"/>
      <c r="AP762" s="16"/>
      <c r="AQ762" s="16"/>
      <c r="AR762" s="16"/>
      <c r="AS762" s="16"/>
    </row>
    <row r="763" spans="1:45" s="7" customFormat="1" ht="195" customHeight="1">
      <c r="A763" s="27">
        <f>[1]트램표준체크리스트!A820</f>
        <v>818</v>
      </c>
      <c r="B763" s="28" t="str">
        <f>[1]트램표준체크리스트!B820</f>
        <v>소방</v>
      </c>
      <c r="C763" s="29" t="str">
        <f>[1]트램표준체크리스트!C820</f>
        <v>소방-기계/전기 인터페이스</v>
      </c>
      <c r="D763" s="30" t="str">
        <f>[1]트램표준체크리스트!F820</f>
        <v>수신반·자동제어 간 기동정지 연동 접점(Point) 누락으로 화재 시 기존 공조팬이 가동돼 유독가스를 타 구역으로 확산시킬 리스크를 검토하였는가?</v>
      </c>
      <c r="E763" s="31" t="s">
        <v>228</v>
      </c>
      <c r="F763" s="32" t="str">
        <f t="shared" si="24"/>
        <v>극상</v>
      </c>
      <c r="G763" s="63" t="s">
        <v>40</v>
      </c>
      <c r="H763" s="63" t="s">
        <v>41</v>
      </c>
      <c r="I763" s="34" t="s">
        <v>1272</v>
      </c>
      <c r="J763" s="33"/>
      <c r="K763" s="35"/>
      <c r="L763" s="33"/>
      <c r="M763" s="36"/>
      <c r="N763" s="33"/>
      <c r="O763" s="36"/>
      <c r="P763" s="33"/>
      <c r="Q763" s="37"/>
      <c r="R763" s="38"/>
      <c r="S763" s="33"/>
      <c r="T763" s="38"/>
      <c r="U763" s="33"/>
      <c r="V763" s="39"/>
      <c r="W763" s="90" t="b">
        <v>0</v>
      </c>
      <c r="X763" s="90" t="b">
        <v>0</v>
      </c>
      <c r="Y763" s="90" t="b">
        <v>0</v>
      </c>
      <c r="Z763" s="40" t="s">
        <v>228</v>
      </c>
      <c r="AA763" s="41"/>
      <c r="AK763" s="16"/>
      <c r="AL763" s="16"/>
      <c r="AM763" s="16"/>
      <c r="AN763" s="16"/>
      <c r="AO763" s="16"/>
      <c r="AP763" s="16"/>
      <c r="AQ763" s="16"/>
      <c r="AR763" s="16"/>
      <c r="AS763" s="16"/>
    </row>
    <row r="764" spans="1:45" s="7" customFormat="1" ht="195" customHeight="1">
      <c r="A764" s="27">
        <f>[1]트램표준체크리스트!A821</f>
        <v>819</v>
      </c>
      <c r="B764" s="28" t="str">
        <f>[1]트램표준체크리스트!B821</f>
        <v>소방</v>
      </c>
      <c r="C764" s="29" t="str">
        <f>[1]트램표준체크리스트!C821</f>
        <v>소방-자동제어 인터페이스</v>
      </c>
      <c r="D764" s="30" t="str">
        <f>[1]트램표준체크리스트!F821</f>
        <v>관제실 화재 연동 제어망 누락 및 일반 케이블 적용으로 화재 시 통신 단절·전원 소손에 의해 소방시스템이 마비될 리스크를 검토하였는가?</v>
      </c>
      <c r="E764" s="31" t="s">
        <v>228</v>
      </c>
      <c r="F764" s="32" t="str">
        <f t="shared" si="24"/>
        <v>극상</v>
      </c>
      <c r="G764" s="63" t="s">
        <v>40</v>
      </c>
      <c r="H764" s="63" t="s">
        <v>41</v>
      </c>
      <c r="I764" s="34" t="s">
        <v>1273</v>
      </c>
      <c r="J764" s="33"/>
      <c r="K764" s="35"/>
      <c r="L764" s="33"/>
      <c r="M764" s="36"/>
      <c r="N764" s="33"/>
      <c r="O764" s="36"/>
      <c r="P764" s="33"/>
      <c r="Q764" s="37"/>
      <c r="R764" s="38"/>
      <c r="S764" s="33"/>
      <c r="T764" s="38"/>
      <c r="U764" s="33"/>
      <c r="V764" s="39"/>
      <c r="W764" s="90" t="b">
        <v>0</v>
      </c>
      <c r="X764" s="90" t="b">
        <v>0</v>
      </c>
      <c r="Y764" s="90" t="b">
        <v>0</v>
      </c>
      <c r="Z764" s="40" t="s">
        <v>228</v>
      </c>
      <c r="AA764" s="41"/>
      <c r="AK764" s="16"/>
      <c r="AL764" s="16"/>
      <c r="AM764" s="16"/>
      <c r="AN764" s="16"/>
      <c r="AO764" s="16"/>
      <c r="AP764" s="16"/>
      <c r="AQ764" s="16"/>
      <c r="AR764" s="16"/>
      <c r="AS764" s="16"/>
    </row>
    <row r="765" spans="1:45" s="7" customFormat="1" ht="195" customHeight="1">
      <c r="A765" s="27">
        <f>[1]트램표준체크리스트!A822</f>
        <v>820</v>
      </c>
      <c r="B765" s="28" t="str">
        <f>[1]트램표준체크리스트!B822</f>
        <v>소방</v>
      </c>
      <c r="C765" s="29" t="str">
        <f>[1]트램표준체크리스트!C822</f>
        <v>소방-자동제어 인터페이스</v>
      </c>
      <c r="D765" s="30" t="str">
        <f>[1]트램표준체크리스트!F822</f>
        <v>소방 수신반-관제실 간 원격 감시·제어망 연동 누락 및 프로토콜 불일치로 화재 시 재난 상황을 즉시 인지하지 못할 리스크를 검토하였는가?</v>
      </c>
      <c r="E765" s="31" t="s">
        <v>228</v>
      </c>
      <c r="F765" s="32" t="str">
        <f t="shared" si="24"/>
        <v>극상</v>
      </c>
      <c r="G765" s="63" t="s">
        <v>40</v>
      </c>
      <c r="H765" s="63" t="s">
        <v>41</v>
      </c>
      <c r="I765" s="34" t="s">
        <v>1274</v>
      </c>
      <c r="J765" s="33"/>
      <c r="K765" s="35"/>
      <c r="L765" s="33"/>
      <c r="M765" s="36"/>
      <c r="N765" s="33"/>
      <c r="O765" s="36"/>
      <c r="P765" s="33"/>
      <c r="Q765" s="37"/>
      <c r="R765" s="38"/>
      <c r="S765" s="33"/>
      <c r="T765" s="38"/>
      <c r="U765" s="33"/>
      <c r="V765" s="39"/>
      <c r="W765" s="90" t="b">
        <v>0</v>
      </c>
      <c r="X765" s="90" t="b">
        <v>0</v>
      </c>
      <c r="Y765" s="90" t="b">
        <v>0</v>
      </c>
      <c r="Z765" s="40" t="s">
        <v>228</v>
      </c>
      <c r="AA765" s="41"/>
      <c r="AK765" s="16"/>
      <c r="AL765" s="16"/>
      <c r="AM765" s="16"/>
      <c r="AN765" s="16"/>
      <c r="AO765" s="16"/>
      <c r="AP765" s="16"/>
      <c r="AQ765" s="16"/>
      <c r="AR765" s="16"/>
      <c r="AS765" s="16"/>
    </row>
    <row r="766" spans="1:45" s="7" customFormat="1" ht="195" customHeight="1">
      <c r="A766" s="27">
        <f>[1]트램표준체크리스트!A823</f>
        <v>821</v>
      </c>
      <c r="B766" s="28" t="str">
        <f>[1]트램표준체크리스트!B823</f>
        <v>소방</v>
      </c>
      <c r="C766" s="29" t="str">
        <f>[1]트램표준체크리스트!C823</f>
        <v>소방설비 종합시운전 및 경비 반영 계획</v>
      </c>
      <c r="D766" s="30" t="str">
        <f>[1]트램표준체크리스트!F823</f>
        <v>시운전 수자원·전력 경비 누락으로 시공사가 형식적 무부하(No-Load) 테스트만 수행할 리스크를 검토하였는가?</v>
      </c>
      <c r="E766" s="31" t="s">
        <v>1275</v>
      </c>
      <c r="F766" s="32" t="str">
        <f t="shared" si="24"/>
        <v>극상</v>
      </c>
      <c r="G766" s="63" t="s">
        <v>40</v>
      </c>
      <c r="H766" s="63" t="s">
        <v>41</v>
      </c>
      <c r="I766" s="34" t="s">
        <v>1276</v>
      </c>
      <c r="J766" s="33"/>
      <c r="K766" s="35"/>
      <c r="L766" s="33"/>
      <c r="M766" s="36"/>
      <c r="N766" s="33"/>
      <c r="O766" s="36"/>
      <c r="P766" s="33"/>
      <c r="Q766" s="37"/>
      <c r="R766" s="38"/>
      <c r="S766" s="33"/>
      <c r="T766" s="38"/>
      <c r="U766" s="33"/>
      <c r="V766" s="39"/>
      <c r="W766" s="90" t="b">
        <v>0</v>
      </c>
      <c r="X766" s="90" t="b">
        <v>0</v>
      </c>
      <c r="Y766" s="90" t="b">
        <v>0</v>
      </c>
      <c r="Z766" s="40" t="s">
        <v>1146</v>
      </c>
      <c r="AA766" s="41"/>
      <c r="AK766" s="16"/>
      <c r="AL766" s="16"/>
      <c r="AM766" s="16"/>
      <c r="AN766" s="16"/>
      <c r="AO766" s="16"/>
      <c r="AP766" s="16"/>
      <c r="AQ766" s="16"/>
      <c r="AR766" s="16"/>
      <c r="AS766" s="16"/>
    </row>
    <row r="767" spans="1:45" s="7" customFormat="1" ht="195" customHeight="1">
      <c r="A767" s="27">
        <f>[1]트램표준체크리스트!A824</f>
        <v>822</v>
      </c>
      <c r="B767" s="28" t="str">
        <f>[1]트램표준체크리스트!B824</f>
        <v>소방</v>
      </c>
      <c r="C767" s="29" t="str">
        <f>[1]트램표준체크리스트!C824</f>
        <v>소방자재 방재계획</v>
      </c>
      <c r="D767" s="30" t="str">
        <f>[1]트램표준체크리스트!F824</f>
        <v>마감재 불연/내화재료 및 전선류 저독성 난연성능(HF-CO 등) 명기 누락으로 화재 시 급격한 연소 확대 및 유독가스가 발생할 리스크를 검토하였는가?</v>
      </c>
      <c r="E767" s="31" t="s">
        <v>1277</v>
      </c>
      <c r="F767" s="32" t="str">
        <f t="shared" si="24"/>
        <v>극상</v>
      </c>
      <c r="G767" s="63" t="s">
        <v>40</v>
      </c>
      <c r="H767" s="63" t="s">
        <v>41</v>
      </c>
      <c r="I767" s="34" t="s">
        <v>1278</v>
      </c>
      <c r="J767" s="33"/>
      <c r="K767" s="35"/>
      <c r="L767" s="33"/>
      <c r="M767" s="36"/>
      <c r="N767" s="33"/>
      <c r="O767" s="36"/>
      <c r="P767" s="33"/>
      <c r="Q767" s="37"/>
      <c r="R767" s="38"/>
      <c r="S767" s="33"/>
      <c r="T767" s="38"/>
      <c r="U767" s="33"/>
      <c r="V767" s="39"/>
      <c r="W767" s="90" t="b">
        <v>0</v>
      </c>
      <c r="X767" s="90" t="b">
        <v>0</v>
      </c>
      <c r="Y767" s="90" t="b">
        <v>0</v>
      </c>
      <c r="Z767" s="40" t="s">
        <v>1146</v>
      </c>
      <c r="AA767" s="41"/>
      <c r="AK767" s="16"/>
      <c r="AL767" s="16"/>
      <c r="AM767" s="16"/>
      <c r="AN767" s="16"/>
      <c r="AO767" s="16"/>
      <c r="AP767" s="16"/>
      <c r="AQ767" s="16"/>
      <c r="AR767" s="16"/>
      <c r="AS767" s="16"/>
    </row>
    <row r="768" spans="1:45" s="7" customFormat="1" ht="195" customHeight="1">
      <c r="A768" s="27">
        <f>[1]트램표준체크리스트!A825</f>
        <v>823</v>
      </c>
      <c r="B768" s="28" t="str">
        <f>[1]트램표준체크리스트!B825</f>
        <v>소방</v>
      </c>
      <c r="C768" s="29" t="str">
        <f>[1]트램표준체크리스트!C825</f>
        <v>수계 소화배관 보온계획</v>
      </c>
      <c r="D768" s="30" t="str">
        <f>[1]트램표준체크리스트!F825</f>
        <v>외기 노출 구역 동파방지용 열선·보온재 누락으로 혹한기 배관 결빙·파열에 따른 수계 소화설비 가동 전면 불능 리스크를 검토하였는가?</v>
      </c>
      <c r="E768" s="31" t="s">
        <v>1279</v>
      </c>
      <c r="F768" s="32" t="str">
        <f t="shared" si="24"/>
        <v>극상</v>
      </c>
      <c r="G768" s="63" t="s">
        <v>40</v>
      </c>
      <c r="H768" s="63" t="s">
        <v>41</v>
      </c>
      <c r="I768" s="34" t="s">
        <v>1280</v>
      </c>
      <c r="J768" s="33"/>
      <c r="K768" s="35"/>
      <c r="L768" s="33"/>
      <c r="M768" s="36"/>
      <c r="N768" s="33"/>
      <c r="O768" s="36"/>
      <c r="P768" s="33"/>
      <c r="Q768" s="37"/>
      <c r="R768" s="38"/>
      <c r="S768" s="33"/>
      <c r="T768" s="38"/>
      <c r="U768" s="33"/>
      <c r="V768" s="39"/>
      <c r="W768" s="90" t="b">
        <v>0</v>
      </c>
      <c r="X768" s="90" t="b">
        <v>0</v>
      </c>
      <c r="Y768" s="90" t="b">
        <v>0</v>
      </c>
      <c r="Z768" s="40" t="s">
        <v>1146</v>
      </c>
      <c r="AA768" s="41"/>
      <c r="AK768" s="16"/>
      <c r="AL768" s="16"/>
      <c r="AM768" s="16"/>
      <c r="AN768" s="16"/>
      <c r="AO768" s="16"/>
      <c r="AP768" s="16"/>
      <c r="AQ768" s="16"/>
      <c r="AR768" s="16"/>
      <c r="AS768" s="16"/>
    </row>
    <row r="769" spans="1:45" s="7" customFormat="1" ht="195" customHeight="1">
      <c r="A769" s="27">
        <f>[1]트램표준체크리스트!A826</f>
        <v>824</v>
      </c>
      <c r="B769" s="28" t="str">
        <f>[1]트램표준체크리스트!B826</f>
        <v>소방</v>
      </c>
      <c r="C769" s="29" t="str">
        <f>[1]트램표준체크리스트!C826</f>
        <v>수계 소화배관 인터페이스</v>
      </c>
      <c r="D769" s="30" t="str">
        <f>[1]트램표준체크리스트!F826</f>
        <v>스프링클러·옥내소화전 주배관 겸용 설계로 법을 위반하거나 상수도 직결 누락으로 정전 시 소화수 공급이 중단될 리스크를 검토하였는가?</v>
      </c>
      <c r="E769" s="31" t="s">
        <v>1281</v>
      </c>
      <c r="F769" s="32" t="str">
        <f t="shared" si="24"/>
        <v>극상</v>
      </c>
      <c r="G769" s="63" t="s">
        <v>40</v>
      </c>
      <c r="H769" s="63" t="s">
        <v>41</v>
      </c>
      <c r="I769" s="34" t="s">
        <v>1282</v>
      </c>
      <c r="J769" s="33"/>
      <c r="K769" s="35"/>
      <c r="L769" s="33"/>
      <c r="M769" s="36"/>
      <c r="N769" s="33"/>
      <c r="O769" s="36"/>
      <c r="P769" s="33"/>
      <c r="Q769" s="37"/>
      <c r="R769" s="38"/>
      <c r="S769" s="33"/>
      <c r="T769" s="38"/>
      <c r="U769" s="33"/>
      <c r="V769" s="39"/>
      <c r="W769" s="90" t="b">
        <v>0</v>
      </c>
      <c r="X769" s="90" t="b">
        <v>0</v>
      </c>
      <c r="Y769" s="90" t="b">
        <v>0</v>
      </c>
      <c r="Z769" s="40" t="s">
        <v>1146</v>
      </c>
      <c r="AA769" s="41"/>
      <c r="AK769" s="16"/>
      <c r="AL769" s="16"/>
      <c r="AM769" s="16"/>
      <c r="AN769" s="16"/>
      <c r="AO769" s="16"/>
      <c r="AP769" s="16"/>
      <c r="AQ769" s="16"/>
      <c r="AR769" s="16"/>
      <c r="AS769" s="16"/>
    </row>
    <row r="770" spans="1:45" s="7" customFormat="1" ht="195" customHeight="1">
      <c r="A770" s="27">
        <f>[1]트램표준체크리스트!A827</f>
        <v>825</v>
      </c>
      <c r="B770" s="28" t="str">
        <f>[1]트램표준체크리스트!B827</f>
        <v>소방</v>
      </c>
      <c r="C770" s="29" t="str">
        <f>[1]트램표준체크리스트!C827</f>
        <v>수계 소화배관 인터페이스</v>
      </c>
      <c r="D770" s="30" t="str">
        <f>[1]트램표준체크리스트!F827</f>
        <v>연결송수관을 소방용(건식) 전용 설계해 검사고 살수 겸용 입찰안내서 지침을 위반하거나 배관 내 사수가 발생할 리스크를 검토하였는가?</v>
      </c>
      <c r="E770" s="31" t="s">
        <v>1283</v>
      </c>
      <c r="F770" s="32" t="str">
        <f t="shared" si="24"/>
        <v>극상</v>
      </c>
      <c r="G770" s="63" t="s">
        <v>40</v>
      </c>
      <c r="H770" s="63" t="s">
        <v>41</v>
      </c>
      <c r="I770" s="34" t="s">
        <v>1284</v>
      </c>
      <c r="J770" s="33"/>
      <c r="K770" s="35"/>
      <c r="L770" s="33"/>
      <c r="M770" s="36"/>
      <c r="N770" s="33"/>
      <c r="O770" s="36"/>
      <c r="P770" s="33"/>
      <c r="Q770" s="37"/>
      <c r="R770" s="38"/>
      <c r="S770" s="33"/>
      <c r="T770" s="38"/>
      <c r="U770" s="33"/>
      <c r="V770" s="39"/>
      <c r="W770" s="90" t="b">
        <v>0</v>
      </c>
      <c r="X770" s="90" t="b">
        <v>0</v>
      </c>
      <c r="Y770" s="90" t="b">
        <v>0</v>
      </c>
      <c r="Z770" s="40" t="s">
        <v>1146</v>
      </c>
      <c r="AA770" s="41"/>
      <c r="AK770" s="16"/>
      <c r="AL770" s="16"/>
      <c r="AM770" s="16"/>
      <c r="AN770" s="16"/>
      <c r="AO770" s="16"/>
      <c r="AP770" s="16"/>
      <c r="AQ770" s="16"/>
      <c r="AR770" s="16"/>
      <c r="AS770" s="16"/>
    </row>
    <row r="771" spans="1:45" s="7" customFormat="1" ht="195" customHeight="1">
      <c r="A771" s="27">
        <f>[1]트램표준체크리스트!A828</f>
        <v>826</v>
      </c>
      <c r="B771" s="28" t="str">
        <f>[1]트램표준체크리스트!B828</f>
        <v>소방</v>
      </c>
      <c r="C771" s="29" t="str">
        <f>[1]트램표준체크리스트!C828</f>
        <v>옥외 및 노출 소방배관 동파방지 계획</v>
      </c>
      <c r="D771" s="30" t="str">
        <f>[1]트램표준체크리스트!F828</f>
        <v>비난방 구역 동파방지 열선·보온재 누락으로 한파 시 배관 동파 및 소화수 누출로 기지 소방 기능이 마비될 리스크를 검토하였는가?</v>
      </c>
      <c r="E771" s="31" t="s">
        <v>1285</v>
      </c>
      <c r="F771" s="32" t="str">
        <f t="shared" si="24"/>
        <v>극상</v>
      </c>
      <c r="G771" s="63" t="s">
        <v>40</v>
      </c>
      <c r="H771" s="63" t="s">
        <v>41</v>
      </c>
      <c r="I771" s="34" t="s">
        <v>1286</v>
      </c>
      <c r="J771" s="33"/>
      <c r="K771" s="35"/>
      <c r="L771" s="33"/>
      <c r="M771" s="36"/>
      <c r="N771" s="33"/>
      <c r="O771" s="36"/>
      <c r="P771" s="33"/>
      <c r="Q771" s="37"/>
      <c r="R771" s="38"/>
      <c r="S771" s="33"/>
      <c r="T771" s="38"/>
      <c r="U771" s="33"/>
      <c r="V771" s="39"/>
      <c r="W771" s="90" t="b">
        <v>0</v>
      </c>
      <c r="X771" s="90" t="b">
        <v>0</v>
      </c>
      <c r="Y771" s="90" t="b">
        <v>0</v>
      </c>
      <c r="Z771" s="40" t="s">
        <v>1146</v>
      </c>
      <c r="AA771" s="41"/>
      <c r="AK771" s="16"/>
      <c r="AL771" s="16"/>
      <c r="AM771" s="16"/>
      <c r="AN771" s="16"/>
      <c r="AO771" s="16"/>
      <c r="AP771" s="16"/>
      <c r="AQ771" s="16"/>
      <c r="AR771" s="16"/>
      <c r="AS771" s="16"/>
    </row>
    <row r="772" spans="1:45" s="7" customFormat="1" ht="195" customHeight="1">
      <c r="A772" s="27">
        <f>[1]트램표준체크리스트!A829</f>
        <v>827</v>
      </c>
      <c r="B772" s="28" t="str">
        <f>[1]트램표준체크리스트!B829</f>
        <v>소방</v>
      </c>
      <c r="C772" s="29" t="str">
        <f>[1]트램표준체크리스트!C829</f>
        <v>자동화재탐지설비 계획</v>
      </c>
      <c r="D772" s="30" t="str">
        <f>[1]트램표준체크리스트!F829</f>
        <v>일반형(비주소형) 감지기 적용으로 발화 위치 파악 지연 및 잦은 오작동(비화재보)에 의해 소방 시스템 신뢰성이 저하될 리스크를 검토하였는가?</v>
      </c>
      <c r="E772" s="31" t="s">
        <v>1287</v>
      </c>
      <c r="F772" s="32" t="str">
        <f t="shared" si="24"/>
        <v>극상</v>
      </c>
      <c r="G772" s="63" t="s">
        <v>40</v>
      </c>
      <c r="H772" s="63" t="s">
        <v>41</v>
      </c>
      <c r="I772" s="34" t="s">
        <v>1288</v>
      </c>
      <c r="J772" s="33"/>
      <c r="K772" s="35"/>
      <c r="L772" s="33"/>
      <c r="M772" s="36"/>
      <c r="N772" s="33"/>
      <c r="O772" s="36"/>
      <c r="P772" s="33"/>
      <c r="Q772" s="37"/>
      <c r="R772" s="38"/>
      <c r="S772" s="33"/>
      <c r="T772" s="38"/>
      <c r="U772" s="33"/>
      <c r="V772" s="39"/>
      <c r="W772" s="90" t="b">
        <v>0</v>
      </c>
      <c r="X772" s="90" t="b">
        <v>0</v>
      </c>
      <c r="Y772" s="90" t="b">
        <v>0</v>
      </c>
      <c r="Z772" s="40" t="s">
        <v>1146</v>
      </c>
      <c r="AA772" s="41"/>
      <c r="AK772" s="16"/>
      <c r="AL772" s="16"/>
      <c r="AM772" s="16"/>
      <c r="AN772" s="16"/>
      <c r="AO772" s="16"/>
      <c r="AP772" s="16"/>
      <c r="AQ772" s="16"/>
      <c r="AR772" s="16"/>
      <c r="AS772" s="16"/>
    </row>
    <row r="773" spans="1:45" s="7" customFormat="1" ht="195" customHeight="1">
      <c r="A773" s="27">
        <f>[1]트램표준체크리스트!A830</f>
        <v>828</v>
      </c>
      <c r="B773" s="28" t="str">
        <f>[1]트램표준체크리스트!B830</f>
        <v>소방</v>
      </c>
      <c r="C773" s="29" t="str">
        <f>[1]트램표준체크리스트!C830</f>
        <v>정거장 및 기지 소화·구조설비 계획</v>
      </c>
      <c r="D773" s="30" t="str">
        <f>[1]트램표준체크리스트!F830</f>
        <v>소화기 간격(20m 이내) 초과 및 지하층 공기호흡기(2대 이상) 누락으로 초기 진화 실패 및 고립 승객 질식 위험이 가중될 리스크를 검토하였는가?</v>
      </c>
      <c r="E773" s="31" t="s">
        <v>1289</v>
      </c>
      <c r="F773" s="32" t="str">
        <f t="shared" si="24"/>
        <v>극상</v>
      </c>
      <c r="G773" s="63" t="s">
        <v>40</v>
      </c>
      <c r="H773" s="63" t="s">
        <v>41</v>
      </c>
      <c r="I773" s="34" t="s">
        <v>1290</v>
      </c>
      <c r="J773" s="33"/>
      <c r="K773" s="35"/>
      <c r="L773" s="33"/>
      <c r="M773" s="36"/>
      <c r="N773" s="33"/>
      <c r="O773" s="36"/>
      <c r="P773" s="33"/>
      <c r="Q773" s="37"/>
      <c r="R773" s="38"/>
      <c r="S773" s="33"/>
      <c r="T773" s="38"/>
      <c r="U773" s="33"/>
      <c r="V773" s="39"/>
      <c r="W773" s="90" t="b">
        <v>0</v>
      </c>
      <c r="X773" s="90" t="b">
        <v>0</v>
      </c>
      <c r="Y773" s="90" t="b">
        <v>0</v>
      </c>
      <c r="Z773" s="40" t="s">
        <v>1146</v>
      </c>
      <c r="AA773" s="41"/>
      <c r="AK773" s="16"/>
      <c r="AL773" s="16"/>
      <c r="AM773" s="16"/>
      <c r="AN773" s="16"/>
      <c r="AO773" s="16"/>
      <c r="AP773" s="16"/>
      <c r="AQ773" s="16"/>
      <c r="AR773" s="16"/>
      <c r="AS773" s="16"/>
    </row>
    <row r="774" spans="1:45" s="7" customFormat="1" ht="195" customHeight="1">
      <c r="A774" s="27">
        <f>[1]트램표준체크리스트!A831</f>
        <v>829</v>
      </c>
      <c r="B774" s="28" t="str">
        <f>[1]트램표준체크리스트!B831</f>
        <v>소방</v>
      </c>
      <c r="C774" s="29" t="str">
        <f>[1]트램표준체크리스트!C831</f>
        <v>정거장 및 기지 소화·구조설비 계획</v>
      </c>
      <c r="D774" s="30" t="str">
        <f>[1]트램표준체크리스트!F831</f>
        <v>면적·구역원 과소평가로 스프링클러 누락 및 옥내소화전 간격 25m 초과로 소화 사각지대가 발생할 리스크를 검토하였는가?</v>
      </c>
      <c r="E774" s="31" t="s">
        <v>1291</v>
      </c>
      <c r="F774" s="32" t="str">
        <f t="shared" si="24"/>
        <v>극상</v>
      </c>
      <c r="G774" s="63" t="s">
        <v>40</v>
      </c>
      <c r="H774" s="63" t="s">
        <v>41</v>
      </c>
      <c r="I774" s="34" t="s">
        <v>1292</v>
      </c>
      <c r="J774" s="33"/>
      <c r="K774" s="35"/>
      <c r="L774" s="33"/>
      <c r="M774" s="36"/>
      <c r="N774" s="33"/>
      <c r="O774" s="36"/>
      <c r="P774" s="33"/>
      <c r="Q774" s="37"/>
      <c r="R774" s="38"/>
      <c r="S774" s="33"/>
      <c r="T774" s="38"/>
      <c r="U774" s="33"/>
      <c r="V774" s="39"/>
      <c r="W774" s="90" t="b">
        <v>0</v>
      </c>
      <c r="X774" s="90" t="b">
        <v>0</v>
      </c>
      <c r="Y774" s="90" t="b">
        <v>0</v>
      </c>
      <c r="Z774" s="40" t="s">
        <v>1146</v>
      </c>
      <c r="AA774" s="41"/>
      <c r="AK774" s="16"/>
      <c r="AL774" s="16"/>
      <c r="AM774" s="16"/>
      <c r="AN774" s="16"/>
      <c r="AO774" s="16"/>
      <c r="AP774" s="16"/>
      <c r="AQ774" s="16"/>
      <c r="AR774" s="16"/>
      <c r="AS774" s="16"/>
    </row>
    <row r="775" spans="1:45" s="7" customFormat="1" ht="195" customHeight="1">
      <c r="A775" s="27">
        <f>[1]트램표준체크리스트!A832</f>
        <v>830</v>
      </c>
      <c r="B775" s="28" t="str">
        <f>[1]트램표준체크리스트!B832</f>
        <v>소방</v>
      </c>
      <c r="C775" s="29" t="str">
        <f>[1]트램표준체크리스트!C832</f>
        <v>제연설비 성능검증</v>
      </c>
      <c r="D775" s="30" t="str">
        <f>[1]트램표준체크리스트!F832</f>
        <v>제연 기류속도 설계 오류(2.5m/s 미만 또는 3.0m/s 초과)로 연기 확산 및 승객 피난 보행을 방해할 방재 리스크를 검토하였는가?</v>
      </c>
      <c r="E775" s="31" t="s">
        <v>1293</v>
      </c>
      <c r="F775" s="32" t="str">
        <f t="shared" si="24"/>
        <v>극상</v>
      </c>
      <c r="G775" s="63" t="s">
        <v>40</v>
      </c>
      <c r="H775" s="63" t="s">
        <v>41</v>
      </c>
      <c r="I775" s="34" t="s">
        <v>1294</v>
      </c>
      <c r="J775" s="33"/>
      <c r="K775" s="35"/>
      <c r="L775" s="33"/>
      <c r="M775" s="36"/>
      <c r="N775" s="33"/>
      <c r="O775" s="36"/>
      <c r="P775" s="33"/>
      <c r="Q775" s="37"/>
      <c r="R775" s="38"/>
      <c r="S775" s="33"/>
      <c r="T775" s="38"/>
      <c r="U775" s="33"/>
      <c r="V775" s="39"/>
      <c r="W775" s="90" t="b">
        <v>0</v>
      </c>
      <c r="X775" s="90" t="b">
        <v>0</v>
      </c>
      <c r="Y775" s="90" t="b">
        <v>0</v>
      </c>
      <c r="Z775" s="40" t="s">
        <v>1146</v>
      </c>
      <c r="AA775" s="41"/>
      <c r="AK775" s="16"/>
      <c r="AL775" s="16"/>
      <c r="AM775" s="16"/>
      <c r="AN775" s="16"/>
      <c r="AO775" s="16"/>
      <c r="AP775" s="16"/>
      <c r="AQ775" s="16"/>
      <c r="AR775" s="16"/>
      <c r="AS775" s="16"/>
    </row>
    <row r="776" spans="1:45" s="7" customFormat="1" ht="195" customHeight="1">
      <c r="A776" s="27">
        <f>[1]트램표준체크리스트!A833</f>
        <v>831</v>
      </c>
      <c r="B776" s="28" t="str">
        <f>[1]트램표준체크리스트!B833</f>
        <v>소방</v>
      </c>
      <c r="C776" s="29" t="str">
        <f>[1]트램표준체크리스트!C833</f>
        <v>제연설비 성능검증</v>
      </c>
      <c r="D776" s="30" t="str">
        <f>[1]트램표준체크리스트!F833</f>
        <v>제연설비 설계 시 시뮬레이션 검증 누락으로 기류 제어 및 배연 성능이 부족해 대규모 질식사고가 발생할 리스크를 검토하였는가?</v>
      </c>
      <c r="E776" s="31" t="s">
        <v>1295</v>
      </c>
      <c r="F776" s="32" t="str">
        <f t="shared" si="24"/>
        <v>극상</v>
      </c>
      <c r="G776" s="63" t="s">
        <v>40</v>
      </c>
      <c r="H776" s="63" t="s">
        <v>41</v>
      </c>
      <c r="I776" s="34" t="s">
        <v>1296</v>
      </c>
      <c r="J776" s="33"/>
      <c r="K776" s="35"/>
      <c r="L776" s="33"/>
      <c r="M776" s="36"/>
      <c r="N776" s="33"/>
      <c r="O776" s="36"/>
      <c r="P776" s="33"/>
      <c r="Q776" s="37"/>
      <c r="R776" s="38"/>
      <c r="S776" s="33"/>
      <c r="T776" s="38"/>
      <c r="U776" s="33"/>
      <c r="V776" s="39"/>
      <c r="W776" s="90" t="b">
        <v>0</v>
      </c>
      <c r="X776" s="90" t="b">
        <v>0</v>
      </c>
      <c r="Y776" s="90" t="b">
        <v>0</v>
      </c>
      <c r="Z776" s="40" t="s">
        <v>1146</v>
      </c>
      <c r="AA776" s="41"/>
      <c r="AK776" s="16"/>
      <c r="AL776" s="16"/>
      <c r="AM776" s="16"/>
      <c r="AN776" s="16"/>
      <c r="AO776" s="16"/>
      <c r="AP776" s="16"/>
      <c r="AQ776" s="16"/>
      <c r="AR776" s="16"/>
      <c r="AS776" s="16"/>
    </row>
    <row r="777" spans="1:45" s="7" customFormat="1" ht="195" customHeight="1">
      <c r="A777" s="27">
        <f>[1]트램표준체크리스트!A834</f>
        <v>832</v>
      </c>
      <c r="B777" s="28" t="str">
        <f>[1]트램표준체크리스트!B834</f>
        <v>소방</v>
      </c>
      <c r="C777" s="29" t="str">
        <f>[1]트램표준체크리스트!C834</f>
        <v>제연설비 성능검증</v>
      </c>
      <c r="D777" s="30" t="str">
        <f>[1]트램표준체크리스트!F834</f>
        <v>제연 방식 분석 및 환기설비 화재 연동 제어 계획 누락으로 대공간 화재 시 농연 배출에 실패할 리스크를 검토하였는가?</v>
      </c>
      <c r="E777" s="31" t="s">
        <v>1297</v>
      </c>
      <c r="F777" s="32" t="str">
        <f t="shared" si="24"/>
        <v>극상</v>
      </c>
      <c r="G777" s="63" t="s">
        <v>40</v>
      </c>
      <c r="H777" s="63" t="s">
        <v>41</v>
      </c>
      <c r="I777" s="34" t="s">
        <v>1298</v>
      </c>
      <c r="J777" s="33"/>
      <c r="K777" s="35"/>
      <c r="L777" s="33"/>
      <c r="M777" s="36"/>
      <c r="N777" s="33"/>
      <c r="O777" s="36"/>
      <c r="P777" s="33"/>
      <c r="Q777" s="37"/>
      <c r="R777" s="38"/>
      <c r="S777" s="33"/>
      <c r="T777" s="38"/>
      <c r="U777" s="33"/>
      <c r="V777" s="39"/>
      <c r="W777" s="90" t="b">
        <v>0</v>
      </c>
      <c r="X777" s="90" t="b">
        <v>0</v>
      </c>
      <c r="Y777" s="90" t="b">
        <v>0</v>
      </c>
      <c r="Z777" s="40" t="s">
        <v>1146</v>
      </c>
      <c r="AA777" s="41"/>
      <c r="AK777" s="16"/>
      <c r="AL777" s="16"/>
      <c r="AM777" s="16"/>
      <c r="AN777" s="16"/>
      <c r="AO777" s="16"/>
      <c r="AP777" s="16"/>
      <c r="AQ777" s="16"/>
      <c r="AR777" s="16"/>
      <c r="AS777" s="16"/>
    </row>
    <row r="778" spans="1:45" s="7" customFormat="1" ht="195" customHeight="1">
      <c r="A778" s="27">
        <f>[1]트램표준체크리스트!A835</f>
        <v>833</v>
      </c>
      <c r="B778" s="28" t="str">
        <f>[1]트램표준체크리스트!B835</f>
        <v>소방</v>
      </c>
      <c r="C778" s="29" t="str">
        <f>[1]트램표준체크리스트!C835</f>
        <v>제연설비 성능검증</v>
      </c>
      <c r="D778" s="30" t="str">
        <f>[1]트램표준체크리스트!F835</f>
        <v>내열성능(250℃, 1시간) 규격 누락으로 일반 자재가 적용돼 화재 시 제연팬이 조기 소손될 리스크를 검토하였는가?</v>
      </c>
      <c r="E778" s="31" t="s">
        <v>1299</v>
      </c>
      <c r="F778" s="32" t="str">
        <f t="shared" si="24"/>
        <v>극상</v>
      </c>
      <c r="G778" s="63" t="s">
        <v>40</v>
      </c>
      <c r="H778" s="63" t="s">
        <v>41</v>
      </c>
      <c r="I778" s="34" t="s">
        <v>1300</v>
      </c>
      <c r="J778" s="33"/>
      <c r="K778" s="35"/>
      <c r="L778" s="33"/>
      <c r="M778" s="36"/>
      <c r="N778" s="33"/>
      <c r="O778" s="36"/>
      <c r="P778" s="33"/>
      <c r="Q778" s="37"/>
      <c r="R778" s="38"/>
      <c r="S778" s="33"/>
      <c r="T778" s="38"/>
      <c r="U778" s="33"/>
      <c r="V778" s="39"/>
      <c r="W778" s="90" t="b">
        <v>0</v>
      </c>
      <c r="X778" s="90" t="b">
        <v>0</v>
      </c>
      <c r="Y778" s="90" t="b">
        <v>0</v>
      </c>
      <c r="Z778" s="40" t="s">
        <v>1146</v>
      </c>
      <c r="AA778" s="41"/>
      <c r="AK778" s="16"/>
      <c r="AL778" s="16"/>
      <c r="AM778" s="16"/>
      <c r="AN778" s="16"/>
      <c r="AO778" s="16"/>
      <c r="AP778" s="16"/>
      <c r="AQ778" s="16"/>
      <c r="AR778" s="16"/>
      <c r="AS778" s="16"/>
    </row>
    <row r="779" spans="1:45" s="7" customFormat="1" ht="195" customHeight="1">
      <c r="A779" s="27">
        <f>[1]트램표준체크리스트!A836</f>
        <v>834</v>
      </c>
      <c r="B779" s="28" t="str">
        <f>[1]트램표준체크리스트!B836</f>
        <v>소방</v>
      </c>
      <c r="C779" s="29" t="str">
        <f>[1]트램표준체크리스트!C836</f>
        <v>지하구간 소화활동설비 계획</v>
      </c>
      <c r="D779" s="30" t="str">
        <f>[1]트램표준체크리스트!F836</f>
        <v>터널 방수구 간격 50m 초과 설계로 화재 시 소방호스 도달 거리가 부족해 초기 진압에 실패할 리스크를 검토하였는가?</v>
      </c>
      <c r="E779" s="31" t="s">
        <v>1301</v>
      </c>
      <c r="F779" s="32" t="str">
        <f>_xlfn.LET(
    _xlpm.v_발생, IF(ISNUMBER(SEARCH("빈번", G779)), "상",
               IF(ISNUMBER(SEARCH("거의", G779)), "하", "중")),
    _xlpm.v_영향, IF(ISNUMBER(SEARCH("1개월", H779)), "상",
               IF(ISNUMBER(SEARCH("없음", H779)), "하", "중")),
    IF(AND(_xlpm.v_발생="상", _xlpm.v_영향="상"), "극상",
    IF(OR(_xlpm.v_발생="상", _xlpm.v_영향="상"), "상",
    IF(AND(_xlpm.v_발생="하", _xlpm.v_영향="하"), "하",
    "중")))
)</f>
        <v>극상</v>
      </c>
      <c r="G779" s="63" t="s">
        <v>40</v>
      </c>
      <c r="H779" s="63" t="s">
        <v>41</v>
      </c>
      <c r="I779" s="34" t="s">
        <v>1302</v>
      </c>
      <c r="J779" s="33"/>
      <c r="K779" s="35"/>
      <c r="L779" s="33"/>
      <c r="M779" s="36"/>
      <c r="N779" s="33"/>
      <c r="O779" s="36"/>
      <c r="P779" s="33"/>
      <c r="Q779" s="37"/>
      <c r="R779" s="38"/>
      <c r="S779" s="33"/>
      <c r="T779" s="38"/>
      <c r="U779" s="33"/>
      <c r="V779" s="39"/>
      <c r="W779" s="90" t="b">
        <v>0</v>
      </c>
      <c r="X779" s="90" t="b">
        <v>0</v>
      </c>
      <c r="Y779" s="90" t="b">
        <v>0</v>
      </c>
      <c r="Z779" s="40" t="s">
        <v>1146</v>
      </c>
      <c r="AA779" s="41"/>
      <c r="AK779" s="16"/>
      <c r="AL779" s="16"/>
      <c r="AM779" s="16"/>
      <c r="AN779" s="16"/>
      <c r="AO779" s="16"/>
      <c r="AP779" s="16"/>
      <c r="AQ779" s="16"/>
      <c r="AR779" s="16"/>
      <c r="AS779" s="16"/>
    </row>
    <row r="780" spans="1:45" s="7" customFormat="1" ht="195" customHeight="1">
      <c r="A780" s="27">
        <f>[1]트램표준체크리스트!A837</f>
        <v>835</v>
      </c>
      <c r="B780" s="28" t="str">
        <f>[1]트램표준체크리스트!B837</f>
        <v>소방</v>
      </c>
      <c r="C780" s="29" t="str">
        <f>[1]트램표준체크리스트!C837</f>
        <v>지하구간 소화활동설비 계획</v>
      </c>
      <c r="D780" s="30" t="str">
        <f>[1]트램표준체크리스트!F837</f>
        <v>소방펌프 토출측 상수도 직결 배관 누락으로 대규모 정전 시 수계 소화설비가 무용지물이 될 대형 방재 리스크를 검토하였는가?</v>
      </c>
      <c r="E780" s="31" t="s">
        <v>1303</v>
      </c>
      <c r="F780" s="32" t="str">
        <f t="shared" ref="F780:F811" si="25">_xlfn.LET(
_xlpm.v_발생, IF(ISNUMBER(SEARCH("빈번", G780)), "상",
IF(ISNUMBER(SEARCH("거의", G780)), "하", "중")),
_xlpm.v_영향, IF(ISNUMBER(SEARCH("1개월", H780)), "상",
IF(ISNUMBER(SEARCH("없음", H780)), "하", "중")),
IF(AND(_xlpm.v_발생="상", _xlpm.v_영향="상"), "극상",
IF(OR(_xlpm.v_발생="상", _xlpm.v_영향="상"), "상",
IF(AND(_xlpm.v_발생="하", _xlpm.v_영향="하"), "하",
"중")))
)</f>
        <v>극상</v>
      </c>
      <c r="G780" s="63" t="s">
        <v>40</v>
      </c>
      <c r="H780" s="63" t="s">
        <v>41</v>
      </c>
      <c r="I780" s="34" t="s">
        <v>1304</v>
      </c>
      <c r="J780" s="33"/>
      <c r="K780" s="35"/>
      <c r="L780" s="33"/>
      <c r="M780" s="36"/>
      <c r="N780" s="33"/>
      <c r="O780" s="36"/>
      <c r="P780" s="33"/>
      <c r="Q780" s="37"/>
      <c r="R780" s="38"/>
      <c r="S780" s="33"/>
      <c r="T780" s="38"/>
      <c r="U780" s="33"/>
      <c r="V780" s="39"/>
      <c r="W780" s="90" t="b">
        <v>0</v>
      </c>
      <c r="X780" s="90" t="b">
        <v>0</v>
      </c>
      <c r="Y780" s="90" t="b">
        <v>0</v>
      </c>
      <c r="Z780" s="40" t="s">
        <v>1146</v>
      </c>
      <c r="AA780" s="41"/>
      <c r="AK780" s="16"/>
      <c r="AL780" s="16"/>
      <c r="AM780" s="16"/>
      <c r="AN780" s="16"/>
      <c r="AO780" s="16"/>
      <c r="AP780" s="16"/>
      <c r="AQ780" s="16"/>
      <c r="AR780" s="16"/>
      <c r="AS780" s="16"/>
    </row>
    <row r="781" spans="1:45" s="7" customFormat="1" ht="195" customHeight="1">
      <c r="A781" s="27">
        <f>[1]트램표준체크리스트!A838</f>
        <v>836</v>
      </c>
      <c r="B781" s="28" t="str">
        <f>[1]트램표준체크리스트!B838</f>
        <v>소방</v>
      </c>
      <c r="C781" s="29" t="str">
        <f>[1]트램표준체크리스트!C838</f>
        <v>피난 및 약자보호 계획</v>
      </c>
      <c r="D781" s="30" t="str">
        <f>[1]트램표준체크리스트!F838</f>
        <v>시각경보기 등 피난유도설비 누락 및 광원 사각지대 발생으로, 화재 시 교통약자가 대피 타이밍을 놓쳐 대형 인명피해가 유발될 리스크를 검토하였는가?</v>
      </c>
      <c r="E781" s="31" t="s">
        <v>1305</v>
      </c>
      <c r="F781" s="32" t="str">
        <f t="shared" si="25"/>
        <v>극상</v>
      </c>
      <c r="G781" s="63" t="s">
        <v>40</v>
      </c>
      <c r="H781" s="63" t="s">
        <v>41</v>
      </c>
      <c r="I781" s="34" t="s">
        <v>1306</v>
      </c>
      <c r="J781" s="33"/>
      <c r="K781" s="35"/>
      <c r="L781" s="33"/>
      <c r="M781" s="36"/>
      <c r="N781" s="33"/>
      <c r="O781" s="36"/>
      <c r="P781" s="33"/>
      <c r="Q781" s="37"/>
      <c r="R781" s="38"/>
      <c r="S781" s="33"/>
      <c r="T781" s="38"/>
      <c r="U781" s="33"/>
      <c r="V781" s="39"/>
      <c r="W781" s="90" t="b">
        <v>0</v>
      </c>
      <c r="X781" s="90" t="b">
        <v>0</v>
      </c>
      <c r="Y781" s="90" t="b">
        <v>0</v>
      </c>
      <c r="Z781" s="40" t="s">
        <v>1146</v>
      </c>
      <c r="AA781" s="41"/>
      <c r="AK781" s="16"/>
      <c r="AL781" s="16"/>
      <c r="AM781" s="16"/>
      <c r="AN781" s="16"/>
      <c r="AO781" s="16"/>
      <c r="AP781" s="16"/>
      <c r="AQ781" s="16"/>
      <c r="AR781" s="16"/>
      <c r="AS781" s="16"/>
    </row>
    <row r="782" spans="1:45" s="7" customFormat="1" ht="195" customHeight="1">
      <c r="A782" s="27">
        <f>[1]트램표준체크리스트!A839</f>
        <v>837</v>
      </c>
      <c r="B782" s="28" t="str">
        <f>[1]트램표준체크리스트!B839</f>
        <v>소방</v>
      </c>
      <c r="C782" s="29" t="str">
        <f>[1]트램표준체크리스트!C839</f>
        <v>피난 및 약자보호 계획</v>
      </c>
      <c r="D782" s="30" t="str">
        <f>[1]트램표준체크리스트!F839</f>
        <v>지상 직통 특별피난계단 및 제연설비 누락으로 화재 시 대피로를 미확보해 다수 승객이 질식할 대형 재난 리스크를 검토하였는가?</v>
      </c>
      <c r="E782" s="31" t="s">
        <v>1307</v>
      </c>
      <c r="F782" s="32" t="str">
        <f t="shared" si="25"/>
        <v>극상</v>
      </c>
      <c r="G782" s="63" t="s">
        <v>40</v>
      </c>
      <c r="H782" s="63" t="s">
        <v>41</v>
      </c>
      <c r="I782" s="34" t="s">
        <v>1308</v>
      </c>
      <c r="J782" s="33"/>
      <c r="K782" s="35"/>
      <c r="L782" s="33"/>
      <c r="M782" s="36"/>
      <c r="N782" s="33"/>
      <c r="O782" s="36"/>
      <c r="P782" s="33"/>
      <c r="Q782" s="37"/>
      <c r="R782" s="38"/>
      <c r="S782" s="33"/>
      <c r="T782" s="38"/>
      <c r="U782" s="33"/>
      <c r="V782" s="39"/>
      <c r="W782" s="90" t="b">
        <v>0</v>
      </c>
      <c r="X782" s="90" t="b">
        <v>0</v>
      </c>
      <c r="Y782" s="90" t="b">
        <v>0</v>
      </c>
      <c r="Z782" s="40" t="s">
        <v>1146</v>
      </c>
      <c r="AA782" s="41"/>
      <c r="AK782" s="16"/>
      <c r="AL782" s="16"/>
      <c r="AM782" s="16"/>
      <c r="AN782" s="16"/>
      <c r="AO782" s="16"/>
      <c r="AP782" s="16"/>
      <c r="AQ782" s="16"/>
      <c r="AR782" s="16"/>
      <c r="AS782" s="16"/>
    </row>
    <row r="783" spans="1:45" s="7" customFormat="1" ht="195" customHeight="1">
      <c r="A783" s="27">
        <f>[1]트램표준체크리스트!A840</f>
        <v>838</v>
      </c>
      <c r="B783" s="28" t="str">
        <f>[1]트램표준체크리스트!B840</f>
        <v>통신</v>
      </c>
      <c r="C783" s="29" t="str">
        <f>[1]트램표준체크리스트!C840</f>
        <v>CCTV 및 영상감시설비 계획</v>
      </c>
      <c r="D783" s="30" t="str">
        <f>[1]트램표준체크리스트!F840</f>
        <v>구조물(캐노피, 기둥 등) 시야 가림 검토 누락 및 대역폭 과소 설계로 CCTV 사각지대 및 실시간 영상 끊김이 발생할 리스크를 검토하였는가?</v>
      </c>
      <c r="E783" s="31" t="s">
        <v>3701</v>
      </c>
      <c r="F783" s="32" t="str">
        <f t="shared" si="25"/>
        <v>극상</v>
      </c>
      <c r="G783" s="63" t="s">
        <v>40</v>
      </c>
      <c r="H783" s="63" t="s">
        <v>41</v>
      </c>
      <c r="I783" s="34" t="s">
        <v>3702</v>
      </c>
      <c r="J783" s="33"/>
      <c r="K783" s="35"/>
      <c r="L783" s="33"/>
      <c r="M783" s="36"/>
      <c r="N783" s="33"/>
      <c r="O783" s="36"/>
      <c r="P783" s="33"/>
      <c r="Q783" s="37"/>
      <c r="R783" s="38"/>
      <c r="S783" s="33"/>
      <c r="T783" s="38"/>
      <c r="U783" s="33"/>
      <c r="V783" s="39"/>
      <c r="W783" s="90" t="b">
        <v>0</v>
      </c>
      <c r="X783" s="90" t="b">
        <v>0</v>
      </c>
      <c r="Y783" s="90" t="b">
        <v>0</v>
      </c>
      <c r="Z783" s="40" t="s">
        <v>3849</v>
      </c>
      <c r="AA783" s="41"/>
      <c r="AK783" s="16"/>
      <c r="AL783" s="16"/>
      <c r="AM783" s="16"/>
      <c r="AN783" s="16"/>
      <c r="AO783" s="16"/>
      <c r="AP783" s="16"/>
      <c r="AQ783" s="16"/>
      <c r="AR783" s="16"/>
      <c r="AS783" s="16"/>
    </row>
    <row r="784" spans="1:45" s="7" customFormat="1" ht="195" customHeight="1">
      <c r="A784" s="27">
        <f>[1]트램표준체크리스트!A841</f>
        <v>839</v>
      </c>
      <c r="B784" s="28" t="str">
        <f>[1]트램표준체크리스트!B841</f>
        <v>통신</v>
      </c>
      <c r="C784" s="29" t="str">
        <f>[1]트램표준체크리스트!C841</f>
        <v>경영정보설비(MIS) 고도화 계획</v>
      </c>
      <c r="D784" s="30" t="str">
        <f>[1]트램표준체크리스트!F841</f>
        <v>승객혼잡도·RAM 분석 모듈 누락으로 배차 최적화 실패 및 예방적 유지보수 전환이 불가해질 리스크를 검토하였는가?</v>
      </c>
      <c r="E784" s="31" t="s">
        <v>3704</v>
      </c>
      <c r="F784" s="32" t="str">
        <f t="shared" si="25"/>
        <v>극상</v>
      </c>
      <c r="G784" s="63" t="s">
        <v>40</v>
      </c>
      <c r="H784" s="63" t="s">
        <v>41</v>
      </c>
      <c r="I784" s="34" t="s">
        <v>3705</v>
      </c>
      <c r="J784" s="33"/>
      <c r="K784" s="35"/>
      <c r="L784" s="33"/>
      <c r="M784" s="36"/>
      <c r="N784" s="33"/>
      <c r="O784" s="36"/>
      <c r="P784" s="33"/>
      <c r="Q784" s="37"/>
      <c r="R784" s="38"/>
      <c r="S784" s="33"/>
      <c r="T784" s="38"/>
      <c r="U784" s="33"/>
      <c r="V784" s="39"/>
      <c r="W784" s="90" t="b">
        <v>0</v>
      </c>
      <c r="X784" s="90" t="b">
        <v>0</v>
      </c>
      <c r="Y784" s="90" t="b">
        <v>0</v>
      </c>
      <c r="Z784" s="40" t="s">
        <v>3850</v>
      </c>
      <c r="AA784" s="41"/>
      <c r="AK784" s="16"/>
      <c r="AL784" s="16"/>
      <c r="AM784" s="16"/>
      <c r="AN784" s="16"/>
      <c r="AO784" s="16"/>
      <c r="AP784" s="16"/>
      <c r="AQ784" s="16"/>
      <c r="AR784" s="16"/>
      <c r="AS784" s="16"/>
    </row>
    <row r="785" spans="1:45" s="7" customFormat="1" ht="195" customHeight="1">
      <c r="A785" s="27">
        <f>[1]트램표준체크리스트!A842</f>
        <v>840</v>
      </c>
      <c r="B785" s="28" t="str">
        <f>[1]트램표준체크리스트!B842</f>
        <v>통신</v>
      </c>
      <c r="C785" s="29" t="str">
        <f>[1]트램표준체크리스트!C842</f>
        <v>경영정보설비(MIS) 구축 계획</v>
      </c>
      <c r="D785" s="30" t="str">
        <f>[1]트램표준체크리스트!F842</f>
        <v>MIS 설계 시 검수시스템 연계 S/W 개발비 누락 및 서버 H/W 사양 과소 반영으로 트램 운영·유지보수 데이터 처리에 병목현상이 발생할 리스크를 검토하였는가?</v>
      </c>
      <c r="E785" s="31" t="s">
        <v>3707</v>
      </c>
      <c r="F785" s="32" t="str">
        <f t="shared" si="25"/>
        <v>극상</v>
      </c>
      <c r="G785" s="63" t="s">
        <v>40</v>
      </c>
      <c r="H785" s="63" t="s">
        <v>41</v>
      </c>
      <c r="I785" s="34" t="s">
        <v>3708</v>
      </c>
      <c r="J785" s="33"/>
      <c r="K785" s="35"/>
      <c r="L785" s="33"/>
      <c r="M785" s="36"/>
      <c r="N785" s="33"/>
      <c r="O785" s="36"/>
      <c r="P785" s="33"/>
      <c r="Q785" s="37"/>
      <c r="R785" s="38"/>
      <c r="S785" s="33"/>
      <c r="T785" s="38"/>
      <c r="U785" s="33"/>
      <c r="V785" s="39"/>
      <c r="W785" s="90" t="b">
        <v>0</v>
      </c>
      <c r="X785" s="90" t="b">
        <v>0</v>
      </c>
      <c r="Y785" s="90" t="b">
        <v>0</v>
      </c>
      <c r="Z785" s="40" t="s">
        <v>3851</v>
      </c>
      <c r="AA785" s="41"/>
      <c r="AK785" s="16"/>
      <c r="AL785" s="16"/>
      <c r="AM785" s="16"/>
      <c r="AN785" s="16"/>
      <c r="AO785" s="16"/>
      <c r="AP785" s="16"/>
      <c r="AQ785" s="16"/>
      <c r="AR785" s="16"/>
      <c r="AS785" s="16"/>
    </row>
    <row r="786" spans="1:45" s="7" customFormat="1" ht="195" customHeight="1">
      <c r="A786" s="27">
        <f>[1]트램표준체크리스트!A843</f>
        <v>841</v>
      </c>
      <c r="B786" s="28" t="str">
        <f>[1]트램표준체크리스트!B843</f>
        <v>통신</v>
      </c>
      <c r="C786" s="29" t="str">
        <f>[1]트램표준체크리스트!C843</f>
        <v>경영정보설비(MIS) 구축 계획</v>
      </c>
      <c r="D786" s="30" t="str">
        <f>[1]트램표준체크리스트!F843</f>
        <v>건설단계에서 MIS 설비구축 필요 리스크를 검토하였는가?</v>
      </c>
      <c r="E786" s="31" t="s">
        <v>3709</v>
      </c>
      <c r="F786" s="32" t="str">
        <f t="shared" si="25"/>
        <v>극상</v>
      </c>
      <c r="G786" s="63" t="s">
        <v>40</v>
      </c>
      <c r="H786" s="63" t="s">
        <v>41</v>
      </c>
      <c r="I786" s="34"/>
      <c r="J786" s="33"/>
      <c r="K786" s="35"/>
      <c r="L786" s="33"/>
      <c r="M786" s="36"/>
      <c r="N786" s="33"/>
      <c r="O786" s="36"/>
      <c r="P786" s="33"/>
      <c r="Q786" s="37"/>
      <c r="R786" s="38"/>
      <c r="S786" s="33"/>
      <c r="T786" s="38"/>
      <c r="U786" s="33"/>
      <c r="V786" s="39"/>
      <c r="W786" s="90" t="b">
        <v>0</v>
      </c>
      <c r="X786" s="90" t="b">
        <v>0</v>
      </c>
      <c r="Y786" s="90" t="b">
        <v>0</v>
      </c>
      <c r="Z786" s="40" t="s">
        <v>3852</v>
      </c>
      <c r="AA786" s="41"/>
      <c r="AK786" s="16"/>
      <c r="AL786" s="16"/>
      <c r="AM786" s="16"/>
      <c r="AN786" s="16"/>
      <c r="AO786" s="16"/>
      <c r="AP786" s="16"/>
      <c r="AQ786" s="16"/>
      <c r="AR786" s="16"/>
      <c r="AS786" s="16"/>
    </row>
    <row r="787" spans="1:45" s="7" customFormat="1" ht="195" customHeight="1">
      <c r="A787" s="27">
        <f>[1]트램표준체크리스트!A844</f>
        <v>842</v>
      </c>
      <c r="B787" s="28" t="str">
        <f>[1]트램표준체크리스트!B844</f>
        <v>통신</v>
      </c>
      <c r="C787" s="29" t="str">
        <f>[1]트램표준체크리스트!C844</f>
        <v>경영정보설비(MIS) 서버 계획</v>
      </c>
      <c r="D787" s="30" t="str">
        <f>[1]트램표준체크리스트!F844</f>
        <v>가상화 기반 자원 배분 및 Active-Standby 이중화 구성 누락으로, 단일 서버 장애 시 MIS 및 검수 시스템 전체가 마비될 리스크를 검토하였는가?</v>
      </c>
      <c r="E787" s="31" t="s">
        <v>3710</v>
      </c>
      <c r="F787" s="32" t="str">
        <f t="shared" si="25"/>
        <v>극상</v>
      </c>
      <c r="G787" s="63" t="s">
        <v>40</v>
      </c>
      <c r="H787" s="63" t="s">
        <v>41</v>
      </c>
      <c r="I787" s="34" t="s">
        <v>3711</v>
      </c>
      <c r="J787" s="33"/>
      <c r="K787" s="35"/>
      <c r="L787" s="33"/>
      <c r="M787" s="36"/>
      <c r="N787" s="33"/>
      <c r="O787" s="36"/>
      <c r="P787" s="33"/>
      <c r="Q787" s="37"/>
      <c r="R787" s="38"/>
      <c r="S787" s="33"/>
      <c r="T787" s="38"/>
      <c r="U787" s="33"/>
      <c r="V787" s="39"/>
      <c r="W787" s="90" t="b">
        <v>1</v>
      </c>
      <c r="X787" s="90" t="b">
        <v>1</v>
      </c>
      <c r="Y787" s="90" t="b">
        <v>0</v>
      </c>
      <c r="Z787" s="40" t="s">
        <v>3853</v>
      </c>
      <c r="AA787" s="41"/>
      <c r="AK787" s="16"/>
      <c r="AL787" s="16"/>
      <c r="AM787" s="16"/>
      <c r="AN787" s="16"/>
      <c r="AO787" s="16"/>
      <c r="AP787" s="16"/>
      <c r="AQ787" s="16"/>
      <c r="AR787" s="16"/>
      <c r="AS787" s="16"/>
    </row>
    <row r="788" spans="1:45" s="7" customFormat="1" ht="195" customHeight="1">
      <c r="A788" s="27">
        <f>[1]트램표준체크리스트!A845</f>
        <v>843</v>
      </c>
      <c r="B788" s="28" t="str">
        <f>[1]트램표준체크리스트!B845</f>
        <v>통신</v>
      </c>
      <c r="C788" s="29" t="str">
        <f>[1]트램표준체크리스트!C845</f>
        <v>국가재난통신망 및 타 통신망 연계 계획</v>
      </c>
      <c r="D788" s="30" t="str">
        <f>[1]트램표준체크리스트!F845</f>
        <v>PS-LTE 등 타 통신망 주파수 간섭 방지 설계 누락으로 운영 중 혼신에 의한 관제 통신 두절 리스크를 검토하였는가?</v>
      </c>
      <c r="E788" s="31" t="s">
        <v>3712</v>
      </c>
      <c r="F788" s="32" t="str">
        <f t="shared" si="25"/>
        <v>극상</v>
      </c>
      <c r="G788" s="63" t="s">
        <v>40</v>
      </c>
      <c r="H788" s="63" t="s">
        <v>41</v>
      </c>
      <c r="I788" s="34" t="s">
        <v>3713</v>
      </c>
      <c r="J788" s="33"/>
      <c r="K788" s="35"/>
      <c r="L788" s="33"/>
      <c r="M788" s="36"/>
      <c r="N788" s="33"/>
      <c r="O788" s="36"/>
      <c r="P788" s="33"/>
      <c r="Q788" s="37"/>
      <c r="R788" s="38"/>
      <c r="S788" s="33"/>
      <c r="T788" s="38"/>
      <c r="U788" s="33"/>
      <c r="V788" s="39"/>
      <c r="W788" s="90" t="b">
        <v>0</v>
      </c>
      <c r="X788" s="90" t="b">
        <v>0</v>
      </c>
      <c r="Y788" s="90" t="b">
        <v>1</v>
      </c>
      <c r="Z788" s="40" t="s">
        <v>3854</v>
      </c>
      <c r="AA788" s="41"/>
      <c r="AK788" s="16"/>
      <c r="AL788" s="16"/>
      <c r="AM788" s="16"/>
      <c r="AN788" s="16"/>
      <c r="AO788" s="16"/>
      <c r="AP788" s="16"/>
      <c r="AQ788" s="16"/>
      <c r="AR788" s="16"/>
      <c r="AS788" s="16"/>
    </row>
    <row r="789" spans="1:45" s="7" customFormat="1" ht="195" customHeight="1">
      <c r="A789" s="27">
        <f>[1]트램표준체크리스트!A846</f>
        <v>844</v>
      </c>
      <c r="B789" s="28" t="str">
        <f>[1]트램표준체크리스트!B846</f>
        <v>통신</v>
      </c>
      <c r="C789" s="29" t="str">
        <f>[1]트램표준체크리스트!C846</f>
        <v>대열차 공간화상장치 차상 연계 계획</v>
      </c>
      <c r="D789" s="30" t="str">
        <f>[1]트램표준체크리스트!F846</f>
        <v>LTE-R 영상 전송 설계 누락으로 1인 승무 기관사의 승하차 실시간 확인이 불가해 출입문 끼임 등 안전사고가 발생할 리스크를 검토하였는가?</v>
      </c>
      <c r="E789" s="31" t="s">
        <v>3715</v>
      </c>
      <c r="F789" s="32" t="str">
        <f t="shared" si="25"/>
        <v>극상</v>
      </c>
      <c r="G789" s="63" t="s">
        <v>40</v>
      </c>
      <c r="H789" s="63" t="s">
        <v>41</v>
      </c>
      <c r="I789" s="34" t="s">
        <v>3716</v>
      </c>
      <c r="J789" s="33"/>
      <c r="K789" s="35"/>
      <c r="L789" s="33"/>
      <c r="M789" s="36"/>
      <c r="N789" s="33"/>
      <c r="O789" s="36"/>
      <c r="P789" s="33"/>
      <c r="Q789" s="37"/>
      <c r="R789" s="38"/>
      <c r="S789" s="33"/>
      <c r="T789" s="38"/>
      <c r="U789" s="33"/>
      <c r="V789" s="39"/>
      <c r="W789" s="90" t="b">
        <v>0</v>
      </c>
      <c r="X789" s="90" t="b">
        <v>1</v>
      </c>
      <c r="Y789" s="90" t="b">
        <v>0</v>
      </c>
      <c r="Z789" s="40" t="s">
        <v>3855</v>
      </c>
      <c r="AA789" s="41"/>
      <c r="AK789" s="16"/>
      <c r="AL789" s="16"/>
      <c r="AM789" s="16"/>
      <c r="AN789" s="16"/>
      <c r="AO789" s="16"/>
      <c r="AP789" s="16"/>
      <c r="AQ789" s="16"/>
      <c r="AR789" s="16"/>
      <c r="AS789" s="16"/>
    </row>
    <row r="790" spans="1:45" s="7" customFormat="1" ht="195" customHeight="1">
      <c r="A790" s="27">
        <f>[1]트램표준체크리스트!A847</f>
        <v>845</v>
      </c>
      <c r="B790" s="28" t="str">
        <f>[1]트램표준체크리스트!B847</f>
        <v>통신</v>
      </c>
      <c r="C790" s="29" t="str">
        <f>[1]트램표준체크리스트!C847</f>
        <v>소프트웨어 아키텍처 및 품질관리</v>
      </c>
      <c r="D790" s="30" t="str">
        <f>[1]트램표준체크리스트!F847</f>
        <v>MIS 역할 기반 권한 분리 및 성능 테스트 요건 누락으로 데이터 위변조 및 쿼리 과부하 응답 지연 발생 리스크를 검토하였는가?</v>
      </c>
      <c r="E790" s="31" t="s">
        <v>3717</v>
      </c>
      <c r="F790" s="32" t="str">
        <f t="shared" si="25"/>
        <v>극상</v>
      </c>
      <c r="G790" s="63" t="s">
        <v>40</v>
      </c>
      <c r="H790" s="63" t="s">
        <v>41</v>
      </c>
      <c r="I790" s="34" t="s">
        <v>3718</v>
      </c>
      <c r="J790" s="33"/>
      <c r="K790" s="35"/>
      <c r="L790" s="33"/>
      <c r="M790" s="36"/>
      <c r="N790" s="33"/>
      <c r="O790" s="36"/>
      <c r="P790" s="33"/>
      <c r="Q790" s="37"/>
      <c r="R790" s="38"/>
      <c r="S790" s="33"/>
      <c r="T790" s="38"/>
      <c r="U790" s="33"/>
      <c r="V790" s="39"/>
      <c r="W790" s="90" t="b">
        <v>0</v>
      </c>
      <c r="X790" s="90" t="b">
        <v>0</v>
      </c>
      <c r="Y790" s="90" t="b">
        <v>0</v>
      </c>
      <c r="Z790" s="40" t="s">
        <v>3856</v>
      </c>
      <c r="AA790" s="41"/>
      <c r="AK790" s="16"/>
      <c r="AL790" s="16"/>
      <c r="AM790" s="16"/>
      <c r="AN790" s="16"/>
      <c r="AO790" s="16"/>
      <c r="AP790" s="16"/>
      <c r="AQ790" s="16"/>
      <c r="AR790" s="16"/>
      <c r="AS790" s="16"/>
    </row>
    <row r="791" spans="1:45" s="120" customFormat="1" ht="195" customHeight="1">
      <c r="A791" s="104">
        <f>[1]트램표준체크리스트!A848</f>
        <v>846</v>
      </c>
      <c r="B791" s="105" t="str">
        <f>[1]트램표준체크리스트!B848</f>
        <v>통신</v>
      </c>
      <c r="C791" s="106" t="str">
        <f>[1]트램표준체크리스트!C848</f>
        <v>역무자동화설비 계획</v>
      </c>
      <c r="D791" s="107" t="str">
        <f>[1]트램표준체크리스트!F848</f>
        <v>무임승차 방지 솔루션 및 통합운임체계 연동 누락으로 영업손실 및 환승 정산 오류가 발생할 리스크를 검토하였는가?</v>
      </c>
      <c r="E791" s="108" t="s">
        <v>3719</v>
      </c>
      <c r="F791" s="109" t="str">
        <f t="shared" si="25"/>
        <v>극상</v>
      </c>
      <c r="G791" s="95" t="s">
        <v>40</v>
      </c>
      <c r="H791" s="95" t="s">
        <v>41</v>
      </c>
      <c r="I791" s="110" t="s">
        <v>3720</v>
      </c>
      <c r="J791" s="111"/>
      <c r="K791" s="112"/>
      <c r="L791" s="111"/>
      <c r="M791" s="113"/>
      <c r="N791" s="111"/>
      <c r="O791" s="113"/>
      <c r="P791" s="111"/>
      <c r="Q791" s="114"/>
      <c r="R791" s="115"/>
      <c r="S791" s="111"/>
      <c r="T791" s="115"/>
      <c r="U791" s="111"/>
      <c r="V791" s="116"/>
      <c r="W791" s="117" t="b">
        <v>0</v>
      </c>
      <c r="X791" s="117" t="b">
        <v>0</v>
      </c>
      <c r="Y791" s="117" t="b">
        <v>0</v>
      </c>
      <c r="Z791" s="118" t="s">
        <v>3857</v>
      </c>
      <c r="AA791" s="119"/>
      <c r="AK791" s="121"/>
      <c r="AL791" s="121"/>
      <c r="AM791" s="121"/>
      <c r="AN791" s="121"/>
      <c r="AO791" s="121"/>
      <c r="AP791" s="121"/>
      <c r="AQ791" s="121"/>
      <c r="AR791" s="121"/>
      <c r="AS791" s="121"/>
    </row>
    <row r="792" spans="1:45" s="7" customFormat="1" ht="195" customHeight="1">
      <c r="A792" s="27">
        <f>[1]트램표준체크리스트!A849</f>
        <v>847</v>
      </c>
      <c r="B792" s="28" t="str">
        <f>[1]트램표준체크리스트!B849</f>
        <v>통신</v>
      </c>
      <c r="C792" s="29" t="str">
        <f>[1]트램표준체크리스트!C849</f>
        <v>역무자동화설비(AFC) 구축 계획</v>
      </c>
      <c r="D792" s="30" t="str">
        <f>[1]트램표준체크리스트!F849</f>
        <v>게이트 방식 오적용으로 정거장 개방형 보행 동선을 훼손하고 건축·통신 예산이 낭비될 리스크를 검토하였는가?</v>
      </c>
      <c r="E792" s="31" t="s">
        <v>3722</v>
      </c>
      <c r="F792" s="32" t="str">
        <f t="shared" si="25"/>
        <v>극상</v>
      </c>
      <c r="G792" s="63" t="s">
        <v>40</v>
      </c>
      <c r="H792" s="63" t="s">
        <v>41</v>
      </c>
      <c r="I792" s="34" t="s">
        <v>3723</v>
      </c>
      <c r="J792" s="33"/>
      <c r="K792" s="35"/>
      <c r="L792" s="33"/>
      <c r="M792" s="36"/>
      <c r="N792" s="33"/>
      <c r="O792" s="36"/>
      <c r="P792" s="33"/>
      <c r="Q792" s="37"/>
      <c r="R792" s="38"/>
      <c r="S792" s="33"/>
      <c r="T792" s="38"/>
      <c r="U792" s="33"/>
      <c r="V792" s="39"/>
      <c r="W792" s="90" t="b">
        <v>0</v>
      </c>
      <c r="X792" s="90" t="b">
        <v>0</v>
      </c>
      <c r="Y792" s="90" t="b">
        <v>0</v>
      </c>
      <c r="Z792" s="40" t="s">
        <v>3858</v>
      </c>
      <c r="AA792" s="41"/>
      <c r="AK792" s="16"/>
      <c r="AL792" s="16"/>
      <c r="AM792" s="16"/>
      <c r="AN792" s="16"/>
      <c r="AO792" s="16"/>
      <c r="AP792" s="16"/>
      <c r="AQ792" s="16"/>
      <c r="AR792" s="16"/>
      <c r="AS792" s="16"/>
    </row>
    <row r="793" spans="1:45" s="7" customFormat="1" ht="195" customHeight="1">
      <c r="A793" s="27">
        <f>[1]트램표준체크리스트!A850</f>
        <v>848</v>
      </c>
      <c r="B793" s="28" t="str">
        <f>[1]트램표준체크리스트!B850</f>
        <v>통신</v>
      </c>
      <c r="C793" s="29" t="str">
        <f>[1]트램표준체크리스트!C850</f>
        <v>열차무선설비 계획</v>
      </c>
      <c r="D793" s="30" t="str">
        <f>[1]트램표준체크리스트!F850</f>
        <v>전파환경 분석 누락으로 LTE-R 통신 음영구역이 발생해 비상 통신 및 데이터 송수신이 두절될 리스크를 검토하였는가?</v>
      </c>
      <c r="E793" s="31" t="s">
        <v>3724</v>
      </c>
      <c r="F793" s="32" t="str">
        <f t="shared" si="25"/>
        <v>극상</v>
      </c>
      <c r="G793" s="63" t="s">
        <v>40</v>
      </c>
      <c r="H793" s="63" t="s">
        <v>41</v>
      </c>
      <c r="I793" s="34" t="s">
        <v>3725</v>
      </c>
      <c r="J793" s="33"/>
      <c r="K793" s="35"/>
      <c r="L793" s="33"/>
      <c r="M793" s="36"/>
      <c r="N793" s="33"/>
      <c r="O793" s="36"/>
      <c r="P793" s="33"/>
      <c r="Q793" s="37"/>
      <c r="R793" s="38"/>
      <c r="S793" s="33"/>
      <c r="T793" s="38"/>
      <c r="U793" s="33"/>
      <c r="V793" s="39"/>
      <c r="W793" s="90" t="b">
        <v>0</v>
      </c>
      <c r="X793" s="90" t="b">
        <v>0</v>
      </c>
      <c r="Y793" s="90" t="b">
        <v>0</v>
      </c>
      <c r="Z793" s="40" t="s">
        <v>3859</v>
      </c>
      <c r="AA793" s="41"/>
      <c r="AK793" s="16"/>
      <c r="AL793" s="16"/>
      <c r="AM793" s="16"/>
      <c r="AN793" s="16"/>
      <c r="AO793" s="16"/>
      <c r="AP793" s="16"/>
      <c r="AQ793" s="16"/>
      <c r="AR793" s="16"/>
      <c r="AS793" s="16"/>
    </row>
    <row r="794" spans="1:45" s="7" customFormat="1" ht="195" customHeight="1">
      <c r="A794" s="27">
        <f>[1]트램표준체크리스트!A851</f>
        <v>849</v>
      </c>
      <c r="B794" s="28" t="str">
        <f>[1]트램표준체크리스트!B851</f>
        <v>통신</v>
      </c>
      <c r="C794" s="29" t="str">
        <f>[1]트램표준체크리스트!C851</f>
        <v>열차무선설비 계획</v>
      </c>
      <c r="D794" s="30" t="str">
        <f>[1]트램표준체크리스트!F851</f>
        <v>타 망 주파수 간섭 분석 및 연동 누락으로 통신 저하 및 재난 시 통합 지휘 통신이 불가해질 리스크를 검토하였는가?</v>
      </c>
      <c r="E794" s="31" t="s">
        <v>3726</v>
      </c>
      <c r="F794" s="32" t="str">
        <f t="shared" si="25"/>
        <v>극상</v>
      </c>
      <c r="G794" s="63" t="s">
        <v>40</v>
      </c>
      <c r="H794" s="63" t="s">
        <v>41</v>
      </c>
      <c r="I794" s="34" t="s">
        <v>3727</v>
      </c>
      <c r="J794" s="33"/>
      <c r="K794" s="35"/>
      <c r="L794" s="33"/>
      <c r="M794" s="36"/>
      <c r="N794" s="33"/>
      <c r="O794" s="36"/>
      <c r="P794" s="33"/>
      <c r="Q794" s="37"/>
      <c r="R794" s="38"/>
      <c r="S794" s="33"/>
      <c r="T794" s="38"/>
      <c r="U794" s="33"/>
      <c r="V794" s="39"/>
      <c r="W794" s="90" t="b">
        <v>0</v>
      </c>
      <c r="X794" s="90" t="b">
        <v>0</v>
      </c>
      <c r="Y794" s="90" t="b">
        <v>0</v>
      </c>
      <c r="Z794" s="40" t="s">
        <v>3860</v>
      </c>
      <c r="AA794" s="41"/>
      <c r="AK794" s="16"/>
      <c r="AL794" s="16"/>
      <c r="AM794" s="16"/>
      <c r="AN794" s="16"/>
      <c r="AO794" s="16"/>
      <c r="AP794" s="16"/>
      <c r="AQ794" s="16"/>
      <c r="AR794" s="16"/>
      <c r="AS794" s="16"/>
    </row>
    <row r="795" spans="1:45" s="7" customFormat="1" ht="195" customHeight="1">
      <c r="A795" s="27">
        <f>[1]트램표준체크리스트!A852</f>
        <v>850</v>
      </c>
      <c r="B795" s="28" t="str">
        <f>[1]트램표준체크리스트!B852</f>
        <v>통신</v>
      </c>
      <c r="C795" s="29" t="str">
        <f>[1]트램표준체크리스트!C852</f>
        <v>열차무선설비 계획</v>
      </c>
      <c r="D795" s="30" t="str">
        <f>[1]트램표준체크리스트!F852</f>
        <v>관제실-객실 간 양방향 통신(비상인터폰, 관제원격방송) 연동 로직 누락으로 비상시 관제실 직접 개입 및 승객 통제가 불가해질 리스크를 검토하였는가?</v>
      </c>
      <c r="E795" s="31" t="s">
        <v>3728</v>
      </c>
      <c r="F795" s="32" t="str">
        <f t="shared" si="25"/>
        <v>극상</v>
      </c>
      <c r="G795" s="63" t="s">
        <v>40</v>
      </c>
      <c r="H795" s="63" t="s">
        <v>41</v>
      </c>
      <c r="I795" s="34" t="s">
        <v>3729</v>
      </c>
      <c r="J795" s="33"/>
      <c r="K795" s="35"/>
      <c r="L795" s="33"/>
      <c r="M795" s="36"/>
      <c r="N795" s="33"/>
      <c r="O795" s="36"/>
      <c r="P795" s="33"/>
      <c r="Q795" s="37"/>
      <c r="R795" s="38"/>
      <c r="S795" s="33"/>
      <c r="T795" s="38"/>
      <c r="U795" s="33"/>
      <c r="V795" s="39"/>
      <c r="W795" s="90" t="b">
        <v>0</v>
      </c>
      <c r="X795" s="90" t="b">
        <v>0</v>
      </c>
      <c r="Y795" s="90" t="b">
        <v>0</v>
      </c>
      <c r="Z795" s="40" t="s">
        <v>3861</v>
      </c>
      <c r="AA795" s="41"/>
      <c r="AK795" s="16"/>
      <c r="AL795" s="16"/>
      <c r="AM795" s="16"/>
      <c r="AN795" s="16"/>
      <c r="AO795" s="16"/>
      <c r="AP795" s="16"/>
      <c r="AQ795" s="16"/>
      <c r="AR795" s="16"/>
      <c r="AS795" s="16"/>
    </row>
    <row r="796" spans="1:45" s="7" customFormat="1" ht="195" customHeight="1">
      <c r="A796" s="27">
        <f>[1]트램표준체크리스트!A853</f>
        <v>851</v>
      </c>
      <c r="B796" s="28" t="str">
        <f>[1]트램표준체크리스트!B853</f>
        <v>통신</v>
      </c>
      <c r="C796" s="29" t="str">
        <f>[1]트램표준체크리스트!C853</f>
        <v>열차무선설비 계획</v>
      </c>
      <c r="D796" s="30" t="str">
        <f>[1]트램표준체크리스트!F853</f>
        <v>무선국 허가 비용 및 TTA 표준/보안적합성 평가 수수료·기간 누락으로 인허가가 지연돼 개통 일정에 차질이 발생할 리스크를 검토하였는가?</v>
      </c>
      <c r="E796" s="31" t="s">
        <v>3730</v>
      </c>
      <c r="F796" s="32" t="str">
        <f t="shared" si="25"/>
        <v>극상</v>
      </c>
      <c r="G796" s="63" t="s">
        <v>40</v>
      </c>
      <c r="H796" s="63" t="s">
        <v>41</v>
      </c>
      <c r="I796" s="34" t="s">
        <v>3731</v>
      </c>
      <c r="J796" s="33"/>
      <c r="K796" s="35"/>
      <c r="L796" s="33"/>
      <c r="M796" s="36"/>
      <c r="N796" s="33"/>
      <c r="O796" s="36"/>
      <c r="P796" s="33"/>
      <c r="Q796" s="37"/>
      <c r="R796" s="38"/>
      <c r="S796" s="33"/>
      <c r="T796" s="38"/>
      <c r="U796" s="33"/>
      <c r="V796" s="39"/>
      <c r="W796" s="90" t="b">
        <v>0</v>
      </c>
      <c r="X796" s="90" t="b">
        <v>0</v>
      </c>
      <c r="Y796" s="90" t="b">
        <v>0</v>
      </c>
      <c r="Z796" s="40" t="s">
        <v>3862</v>
      </c>
      <c r="AA796" s="41"/>
      <c r="AK796" s="16"/>
      <c r="AL796" s="16"/>
      <c r="AM796" s="16"/>
      <c r="AN796" s="16"/>
      <c r="AO796" s="16"/>
      <c r="AP796" s="16"/>
      <c r="AQ796" s="16"/>
      <c r="AR796" s="16"/>
      <c r="AS796" s="16"/>
    </row>
    <row r="797" spans="1:45" s="7" customFormat="1" ht="195" customHeight="1">
      <c r="A797" s="27">
        <f>[1]트램표준체크리스트!A854</f>
        <v>852</v>
      </c>
      <c r="B797" s="28" t="str">
        <f>[1]트램표준체크리스트!B854</f>
        <v>통신</v>
      </c>
      <c r="C797" s="29" t="str">
        <f>[1]트램표준체크리스트!C854</f>
        <v>영상전송 및 감시설비 계획</v>
      </c>
      <c r="D797" s="30" t="str">
        <f>[1]트램표준체크리스트!F854</f>
        <v>CCTV(P/T, 돔 등) 수량·위치 오류로 사각지대가 발생하거나 지능형 영상분석 및 대역폭 미반영으로 관제 효율성이 저하될 리스크를 검토하였는가?</v>
      </c>
      <c r="E797" s="31" t="s">
        <v>3732</v>
      </c>
      <c r="F797" s="32" t="str">
        <f t="shared" si="25"/>
        <v>극상</v>
      </c>
      <c r="G797" s="63" t="s">
        <v>40</v>
      </c>
      <c r="H797" s="63" t="s">
        <v>41</v>
      </c>
      <c r="I797" s="34" t="s">
        <v>3733</v>
      </c>
      <c r="J797" s="33"/>
      <c r="K797" s="35"/>
      <c r="L797" s="33"/>
      <c r="M797" s="36"/>
      <c r="N797" s="33"/>
      <c r="O797" s="36"/>
      <c r="P797" s="33"/>
      <c r="Q797" s="37"/>
      <c r="R797" s="38"/>
      <c r="S797" s="33"/>
      <c r="T797" s="38"/>
      <c r="U797" s="33"/>
      <c r="V797" s="39"/>
      <c r="W797" s="90" t="b">
        <v>0</v>
      </c>
      <c r="X797" s="90" t="b">
        <v>0</v>
      </c>
      <c r="Y797" s="90" t="b">
        <v>0</v>
      </c>
      <c r="Z797" s="40" t="s">
        <v>3863</v>
      </c>
      <c r="AA797" s="41"/>
      <c r="AK797" s="16"/>
      <c r="AL797" s="16"/>
      <c r="AM797" s="16"/>
      <c r="AN797" s="16"/>
      <c r="AO797" s="16"/>
      <c r="AP797" s="16"/>
      <c r="AQ797" s="16"/>
      <c r="AR797" s="16"/>
      <c r="AS797" s="16"/>
    </row>
    <row r="798" spans="1:45" s="7" customFormat="1" ht="195" customHeight="1">
      <c r="A798" s="27">
        <f>[1]트램표준체크리스트!A855</f>
        <v>853</v>
      </c>
      <c r="B798" s="28" t="str">
        <f>[1]트램표준체크리스트!B855</f>
        <v>통신</v>
      </c>
      <c r="C798" s="29" t="str">
        <f>[1]트램표준체크리스트!C855</f>
        <v>재난방송수신설비 계획</v>
      </c>
      <c r="D798" s="30" t="str">
        <f>[1]트램표준체크리스트!F855</f>
        <v>행선안내 및 화재수신반 시스템 연동(I/O) 누락으로 평시 승객 안내 부재 및 비상시 대피 지연이 발생할 리스크를 검토하였는가?</v>
      </c>
      <c r="E798" s="31" t="s">
        <v>3737</v>
      </c>
      <c r="F798" s="32" t="str">
        <f t="shared" si="25"/>
        <v>극상</v>
      </c>
      <c r="G798" s="63" t="s">
        <v>40</v>
      </c>
      <c r="H798" s="63" t="s">
        <v>41</v>
      </c>
      <c r="I798" s="34" t="s">
        <v>3738</v>
      </c>
      <c r="J798" s="33"/>
      <c r="K798" s="35"/>
      <c r="L798" s="33"/>
      <c r="M798" s="36"/>
      <c r="N798" s="33"/>
      <c r="O798" s="36"/>
      <c r="P798" s="33"/>
      <c r="Q798" s="37"/>
      <c r="R798" s="38"/>
      <c r="S798" s="33"/>
      <c r="T798" s="38"/>
      <c r="U798" s="33"/>
      <c r="V798" s="39"/>
      <c r="W798" s="90" t="b">
        <v>0</v>
      </c>
      <c r="X798" s="90" t="b">
        <v>0</v>
      </c>
      <c r="Y798" s="90" t="b">
        <v>0</v>
      </c>
      <c r="Z798" s="40" t="s">
        <v>3864</v>
      </c>
      <c r="AA798" s="41"/>
      <c r="AK798" s="16"/>
      <c r="AL798" s="16"/>
      <c r="AM798" s="16"/>
      <c r="AN798" s="16"/>
      <c r="AO798" s="16"/>
      <c r="AP798" s="16"/>
      <c r="AQ798" s="16"/>
      <c r="AR798" s="16"/>
      <c r="AS798" s="16"/>
    </row>
    <row r="799" spans="1:45" s="7" customFormat="1" ht="195" customHeight="1">
      <c r="A799" s="27">
        <f>[1]트램표준체크리스트!A856</f>
        <v>854</v>
      </c>
      <c r="B799" s="28" t="str">
        <f>[1]트램표준체크리스트!B856</f>
        <v>통신</v>
      </c>
      <c r="C799" s="29" t="str">
        <f>[1]트램표준체크리스트!C856</f>
        <v>재난방송수신설비 계획</v>
      </c>
      <c r="D799" s="30" t="str">
        <f>[1]트램표준체크리스트!F856</f>
        <v>행선안내·자동방송 데이터 연동 및 관제실 원격방송 라우팅 누락으로, 이례상황 시 신속한 안내 및 대피 유도가 불가능해질 리스크를 검토하였는가?</v>
      </c>
      <c r="E799" s="31" t="s">
        <v>3740</v>
      </c>
      <c r="F799" s="32" t="str">
        <f t="shared" si="25"/>
        <v>극상</v>
      </c>
      <c r="G799" s="63" t="s">
        <v>40</v>
      </c>
      <c r="H799" s="63" t="s">
        <v>41</v>
      </c>
      <c r="I799" s="34" t="s">
        <v>3741</v>
      </c>
      <c r="J799" s="33"/>
      <c r="K799" s="35"/>
      <c r="L799" s="33"/>
      <c r="M799" s="36"/>
      <c r="N799" s="33"/>
      <c r="O799" s="36"/>
      <c r="P799" s="33"/>
      <c r="Q799" s="37"/>
      <c r="R799" s="38"/>
      <c r="S799" s="33"/>
      <c r="T799" s="38"/>
      <c r="U799" s="33"/>
      <c r="V799" s="39"/>
      <c r="W799" s="90" t="b">
        <v>0</v>
      </c>
      <c r="X799" s="90" t="b">
        <v>0</v>
      </c>
      <c r="Y799" s="90" t="b">
        <v>0</v>
      </c>
      <c r="Z799" s="40" t="s">
        <v>3865</v>
      </c>
      <c r="AA799" s="41"/>
      <c r="AK799" s="16"/>
      <c r="AL799" s="16"/>
      <c r="AM799" s="16"/>
      <c r="AN799" s="16"/>
      <c r="AO799" s="16"/>
      <c r="AP799" s="16"/>
      <c r="AQ799" s="16"/>
      <c r="AR799" s="16"/>
      <c r="AS799" s="16"/>
    </row>
    <row r="800" spans="1:45" s="7" customFormat="1" ht="195" customHeight="1">
      <c r="A800" s="27">
        <f>[1]트램표준체크리스트!A857</f>
        <v>855</v>
      </c>
      <c r="B800" s="28" t="str">
        <f>[1]트램표준체크리스트!B857</f>
        <v>통신</v>
      </c>
      <c r="C800" s="29" t="str">
        <f>[1]트램표준체크리스트!C857</f>
        <v>재난방송수신설비 계획</v>
      </c>
      <c r="D800" s="30" t="str">
        <f>[1]트램표준체크리스트!F857</f>
        <v>지하구간 FM/DMB 재난방송수신설비 누락으로 재난 시 승객에 대한 민방위 경보 등 긴급 정보 전달이 원천 차단될 방재 리스크를 검토하였는가?</v>
      </c>
      <c r="E800" s="31" t="s">
        <v>3742</v>
      </c>
      <c r="F800" s="32" t="str">
        <f t="shared" si="25"/>
        <v>극상</v>
      </c>
      <c r="G800" s="63" t="s">
        <v>40</v>
      </c>
      <c r="H800" s="63" t="s">
        <v>41</v>
      </c>
      <c r="I800" s="34" t="s">
        <v>3743</v>
      </c>
      <c r="J800" s="33"/>
      <c r="K800" s="35"/>
      <c r="L800" s="33"/>
      <c r="M800" s="36"/>
      <c r="N800" s="33"/>
      <c r="O800" s="36"/>
      <c r="P800" s="33"/>
      <c r="Q800" s="37"/>
      <c r="R800" s="38"/>
      <c r="S800" s="33"/>
      <c r="T800" s="38"/>
      <c r="U800" s="33"/>
      <c r="V800" s="39"/>
      <c r="W800" s="90" t="b">
        <v>0</v>
      </c>
      <c r="X800" s="90" t="b">
        <v>0</v>
      </c>
      <c r="Y800" s="90" t="b">
        <v>0</v>
      </c>
      <c r="Z800" s="40" t="s">
        <v>3866</v>
      </c>
      <c r="AA800" s="41"/>
      <c r="AK800" s="16"/>
      <c r="AL800" s="16"/>
      <c r="AM800" s="16"/>
      <c r="AN800" s="16"/>
      <c r="AO800" s="16"/>
      <c r="AP800" s="16"/>
      <c r="AQ800" s="16"/>
      <c r="AR800" s="16"/>
      <c r="AS800" s="16"/>
    </row>
    <row r="801" spans="1:45" s="7" customFormat="1" ht="195" customHeight="1">
      <c r="A801" s="27">
        <f>[1]트램표준체크리스트!A858</f>
        <v>856</v>
      </c>
      <c r="B801" s="28" t="str">
        <f>[1]트램표준체크리스트!B858</f>
        <v>통신</v>
      </c>
      <c r="C801" s="29" t="str">
        <f>[1]트램표준체크리스트!C858</f>
        <v>재난방송수신설비 계획</v>
      </c>
      <c r="D801" s="30" t="str">
        <f>[1]트램표준체크리스트!F858</f>
        <v>지하시설물 재난방송(FM/DMB) 중계기 누락으로 재난 시 승객의 대피 안내방송 청취가 불가할 리스크를 검토하였는가?</v>
      </c>
      <c r="E801" s="31" t="s">
        <v>3744</v>
      </c>
      <c r="F801" s="32" t="str">
        <f t="shared" si="25"/>
        <v>극상</v>
      </c>
      <c r="G801" s="63" t="s">
        <v>40</v>
      </c>
      <c r="H801" s="63" t="s">
        <v>41</v>
      </c>
      <c r="I801" s="34" t="s">
        <v>3745</v>
      </c>
      <c r="J801" s="33"/>
      <c r="K801" s="35"/>
      <c r="L801" s="33"/>
      <c r="M801" s="36"/>
      <c r="N801" s="33"/>
      <c r="O801" s="36"/>
      <c r="P801" s="33"/>
      <c r="Q801" s="37"/>
      <c r="R801" s="38"/>
      <c r="S801" s="33"/>
      <c r="T801" s="38"/>
      <c r="U801" s="33"/>
      <c r="V801" s="39"/>
      <c r="W801" s="90" t="b">
        <v>0</v>
      </c>
      <c r="X801" s="90" t="b">
        <v>0</v>
      </c>
      <c r="Y801" s="90" t="b">
        <v>0</v>
      </c>
      <c r="Z801" s="40" t="s">
        <v>3867</v>
      </c>
      <c r="AA801" s="41"/>
      <c r="AK801" s="16"/>
      <c r="AL801" s="16"/>
      <c r="AM801" s="16"/>
      <c r="AN801" s="16"/>
      <c r="AO801" s="16"/>
      <c r="AP801" s="16"/>
      <c r="AQ801" s="16"/>
      <c r="AR801" s="16"/>
      <c r="AS801" s="16"/>
    </row>
    <row r="802" spans="1:45" s="7" customFormat="1" ht="195" customHeight="1">
      <c r="A802" s="27">
        <f>[1]트램표준체크리스트!A859</f>
        <v>857</v>
      </c>
      <c r="B802" s="28" t="str">
        <f>[1]트램표준체크리스트!B859</f>
        <v>통신</v>
      </c>
      <c r="C802" s="29" t="str">
        <f>[1]트램표준체크리스트!C859</f>
        <v>정거장 비상통화설비 계획</v>
      </c>
      <c r="D802" s="30" t="str">
        <f>[1]트램표준체크리스트!F859</f>
        <v>전기/신호/통신 개별 함체 설계로 승강장 보행 공간을 잠식하고 도심 경관을 훼손할 리스크를 검토하였는가?</v>
      </c>
      <c r="E802" s="31" t="s">
        <v>3746</v>
      </c>
      <c r="F802" s="32" t="str">
        <f t="shared" si="25"/>
        <v>극상</v>
      </c>
      <c r="G802" s="63" t="s">
        <v>40</v>
      </c>
      <c r="H802" s="63" t="s">
        <v>41</v>
      </c>
      <c r="I802" s="34" t="s">
        <v>3747</v>
      </c>
      <c r="J802" s="33"/>
      <c r="K802" s="35"/>
      <c r="L802" s="33"/>
      <c r="M802" s="36"/>
      <c r="N802" s="33"/>
      <c r="O802" s="36"/>
      <c r="P802" s="33"/>
      <c r="Q802" s="37"/>
      <c r="R802" s="38"/>
      <c r="S802" s="33"/>
      <c r="T802" s="38"/>
      <c r="U802" s="33"/>
      <c r="V802" s="39"/>
      <c r="W802" s="90" t="b">
        <v>0</v>
      </c>
      <c r="X802" s="90" t="b">
        <v>0</v>
      </c>
      <c r="Y802" s="90" t="b">
        <v>0</v>
      </c>
      <c r="Z802" s="40" t="s">
        <v>3868</v>
      </c>
      <c r="AA802" s="41"/>
      <c r="AK802" s="16"/>
      <c r="AL802" s="16"/>
      <c r="AM802" s="16"/>
      <c r="AN802" s="16"/>
      <c r="AO802" s="16"/>
      <c r="AP802" s="16"/>
      <c r="AQ802" s="16"/>
      <c r="AR802" s="16"/>
      <c r="AS802" s="16"/>
    </row>
    <row r="803" spans="1:45" s="7" customFormat="1" ht="195" customHeight="1">
      <c r="A803" s="27">
        <f>[1]트램표준체크리스트!A860</f>
        <v>858</v>
      </c>
      <c r="B803" s="28" t="str">
        <f>[1]트램표준체크리스트!B860</f>
        <v>통신</v>
      </c>
      <c r="C803" s="29" t="str">
        <f>[1]트램표준체크리스트!C860</f>
        <v>정거장 비상통화설비 계획</v>
      </c>
      <c r="D803" s="30" t="str">
        <f>[1]트램표준체크리스트!F860</f>
        <v>관제원 직결 비상전화설비 누락으로 신속한 구조 요청 지연 및 골든타임을 놓칠 리스크를 검토하였는가?</v>
      </c>
      <c r="E803" s="31" t="s">
        <v>3748</v>
      </c>
      <c r="F803" s="32" t="str">
        <f t="shared" si="25"/>
        <v>극상</v>
      </c>
      <c r="G803" s="63" t="s">
        <v>40</v>
      </c>
      <c r="H803" s="63" t="s">
        <v>41</v>
      </c>
      <c r="I803" s="34" t="s">
        <v>3749</v>
      </c>
      <c r="J803" s="33"/>
      <c r="K803" s="35"/>
      <c r="L803" s="33"/>
      <c r="M803" s="36"/>
      <c r="N803" s="33"/>
      <c r="O803" s="36"/>
      <c r="P803" s="33"/>
      <c r="Q803" s="37"/>
      <c r="R803" s="38"/>
      <c r="S803" s="33"/>
      <c r="T803" s="38"/>
      <c r="U803" s="33"/>
      <c r="V803" s="39"/>
      <c r="W803" s="90" t="b">
        <v>0</v>
      </c>
      <c r="X803" s="90" t="b">
        <v>0</v>
      </c>
      <c r="Y803" s="90" t="b">
        <v>0</v>
      </c>
      <c r="Z803" s="40" t="s">
        <v>3869</v>
      </c>
      <c r="AA803" s="41"/>
      <c r="AK803" s="16"/>
      <c r="AL803" s="16"/>
      <c r="AM803" s="16"/>
      <c r="AN803" s="16"/>
      <c r="AO803" s="16"/>
      <c r="AP803" s="16"/>
      <c r="AQ803" s="16"/>
      <c r="AR803" s="16"/>
      <c r="AS803" s="16"/>
    </row>
    <row r="804" spans="1:45" s="7" customFormat="1" ht="195" customHeight="1">
      <c r="A804" s="27">
        <f>[1]트램표준체크리스트!A861</f>
        <v>859</v>
      </c>
      <c r="B804" s="28" t="str">
        <f>[1]트램표준체크리스트!B861</f>
        <v>통신</v>
      </c>
      <c r="C804" s="29" t="str">
        <f>[1]트램표준체크리스트!C861</f>
        <v>정거장 비상통화설비 계획</v>
      </c>
      <c r="D804" s="30" t="str">
        <f>[1]트램표준체크리스트!F861</f>
        <v>정거장 무정전 전원 장치 화재 발생 리스크를 검토하였는가?</v>
      </c>
      <c r="E804" s="31" t="s">
        <v>3750</v>
      </c>
      <c r="F804" s="32" t="str">
        <f t="shared" si="25"/>
        <v>극상</v>
      </c>
      <c r="G804" s="63" t="s">
        <v>40</v>
      </c>
      <c r="H804" s="63" t="s">
        <v>41</v>
      </c>
      <c r="I804" s="34"/>
      <c r="J804" s="33"/>
      <c r="K804" s="35"/>
      <c r="L804" s="33"/>
      <c r="M804" s="36"/>
      <c r="N804" s="33"/>
      <c r="O804" s="36"/>
      <c r="P804" s="33"/>
      <c r="Q804" s="37"/>
      <c r="R804" s="38"/>
      <c r="S804" s="33"/>
      <c r="T804" s="38"/>
      <c r="U804" s="33"/>
      <c r="V804" s="39"/>
      <c r="W804" s="90" t="b">
        <v>0</v>
      </c>
      <c r="X804" s="90" t="b">
        <v>0</v>
      </c>
      <c r="Y804" s="90" t="b">
        <v>0</v>
      </c>
      <c r="Z804" s="40" t="s">
        <v>3870</v>
      </c>
      <c r="AA804" s="41"/>
      <c r="AK804" s="16"/>
      <c r="AL804" s="16"/>
      <c r="AM804" s="16"/>
      <c r="AN804" s="16"/>
      <c r="AO804" s="16"/>
      <c r="AP804" s="16"/>
      <c r="AQ804" s="16"/>
      <c r="AR804" s="16"/>
      <c r="AS804" s="16"/>
    </row>
    <row r="805" spans="1:45" s="7" customFormat="1" ht="195" customHeight="1">
      <c r="A805" s="27">
        <f>[1]트램표준체크리스트!A862</f>
        <v>860</v>
      </c>
      <c r="B805" s="28" t="str">
        <f>[1]트램표준체크리스트!B862</f>
        <v>통신</v>
      </c>
      <c r="C805" s="29" t="str">
        <f>[1]트램표준체크리스트!C862</f>
        <v>정거장 비상통화설비 계획</v>
      </c>
      <c r="D805" s="30" t="str">
        <f>[1]트램표준체크리스트!F862</f>
        <v>고속선 정거장 통신설비가 STP 케이블로 연결되어 있으나, 발주처의 요구사항으로 개별 설비에 대해 광케이블을 독립 연결하는 방식으로 변경됨 리스크를 검토하였는가?</v>
      </c>
      <c r="E805" s="31" t="s">
        <v>3751</v>
      </c>
      <c r="F805" s="32" t="str">
        <f t="shared" si="25"/>
        <v>극상</v>
      </c>
      <c r="G805" s="63" t="s">
        <v>40</v>
      </c>
      <c r="H805" s="63" t="s">
        <v>41</v>
      </c>
      <c r="I805" s="34"/>
      <c r="J805" s="33"/>
      <c r="K805" s="35"/>
      <c r="L805" s="33"/>
      <c r="M805" s="36"/>
      <c r="N805" s="33"/>
      <c r="O805" s="36"/>
      <c r="P805" s="33"/>
      <c r="Q805" s="37"/>
      <c r="R805" s="38"/>
      <c r="S805" s="33"/>
      <c r="T805" s="38"/>
      <c r="U805" s="33"/>
      <c r="V805" s="39"/>
      <c r="W805" s="90" t="b">
        <v>0</v>
      </c>
      <c r="X805" s="90" t="b">
        <v>0</v>
      </c>
      <c r="Y805" s="90" t="b">
        <v>0</v>
      </c>
      <c r="Z805" s="40" t="s">
        <v>3871</v>
      </c>
      <c r="AA805" s="41"/>
      <c r="AK805" s="16"/>
      <c r="AL805" s="16"/>
      <c r="AM805" s="16"/>
      <c r="AN805" s="16"/>
      <c r="AO805" s="16"/>
      <c r="AP805" s="16"/>
      <c r="AQ805" s="16"/>
      <c r="AR805" s="16"/>
      <c r="AS805" s="16"/>
    </row>
    <row r="806" spans="1:45" s="7" customFormat="1" ht="195" customHeight="1">
      <c r="A806" s="27">
        <f>[1]트램표준체크리스트!A863</f>
        <v>861</v>
      </c>
      <c r="B806" s="28" t="str">
        <f>[1]트램표준체크리스트!B863</f>
        <v>통신</v>
      </c>
      <c r="C806" s="29" t="str">
        <f>[1]트램표준체크리스트!C863</f>
        <v>정보통신망 보안망 구축 계획</v>
      </c>
      <c r="D806" s="30" t="str">
        <f>[1]트램표준체크리스트!F863</f>
        <v>구간 암호화(SSL/TLS) 및 접속 권한 제어 누락으로 해커에 의해 열차 운행 정보·승객 결제 데이터가 탈취될 보안 리스크를 검토하였는가?</v>
      </c>
      <c r="E806" s="31" t="s">
        <v>3752</v>
      </c>
      <c r="F806" s="32" t="str">
        <f t="shared" si="25"/>
        <v>극상</v>
      </c>
      <c r="G806" s="63" t="s">
        <v>40</v>
      </c>
      <c r="H806" s="63" t="s">
        <v>41</v>
      </c>
      <c r="I806" s="34" t="s">
        <v>3753</v>
      </c>
      <c r="J806" s="33"/>
      <c r="K806" s="35"/>
      <c r="L806" s="33"/>
      <c r="M806" s="36"/>
      <c r="N806" s="33"/>
      <c r="O806" s="36"/>
      <c r="P806" s="33"/>
      <c r="Q806" s="37"/>
      <c r="R806" s="38"/>
      <c r="S806" s="33"/>
      <c r="T806" s="38"/>
      <c r="U806" s="33"/>
      <c r="V806" s="39"/>
      <c r="W806" s="90" t="b">
        <v>0</v>
      </c>
      <c r="X806" s="90" t="b">
        <v>0</v>
      </c>
      <c r="Y806" s="90" t="b">
        <v>0</v>
      </c>
      <c r="Z806" s="40" t="s">
        <v>3872</v>
      </c>
      <c r="AA806" s="41"/>
      <c r="AK806" s="16"/>
      <c r="AL806" s="16"/>
      <c r="AM806" s="16"/>
      <c r="AN806" s="16"/>
      <c r="AO806" s="16"/>
      <c r="AP806" s="16"/>
      <c r="AQ806" s="16"/>
      <c r="AR806" s="16"/>
      <c r="AS806" s="16"/>
    </row>
    <row r="807" spans="1:45" s="7" customFormat="1" ht="195" customHeight="1">
      <c r="A807" s="27">
        <f>[1]트램표준체크리스트!A864</f>
        <v>862</v>
      </c>
      <c r="B807" s="28" t="str">
        <f>[1]트램표준체크리스트!B864</f>
        <v>통신</v>
      </c>
      <c r="C807" s="29" t="str">
        <f>[1]트램표준체크리스트!C864</f>
        <v>주 전송설비 및 통신선로 계획</v>
      </c>
      <c r="D807" s="30" t="str">
        <f>[1]트램표준체크리스트!F864</f>
        <v>전원·통신 케이블 동일 루트 설계로 유도장애가 발생하거나, 지하 구간 일반 케이블 적용으로 화재 시 대형 인명 피해를 유발할 리스크를 검토하였는가?</v>
      </c>
      <c r="E807" s="31" t="s">
        <v>3754</v>
      </c>
      <c r="F807" s="32" t="str">
        <f t="shared" si="25"/>
        <v>극상</v>
      </c>
      <c r="G807" s="63" t="s">
        <v>40</v>
      </c>
      <c r="H807" s="63" t="s">
        <v>41</v>
      </c>
      <c r="I807" s="34" t="s">
        <v>3755</v>
      </c>
      <c r="J807" s="33"/>
      <c r="K807" s="35"/>
      <c r="L807" s="33"/>
      <c r="M807" s="36"/>
      <c r="N807" s="33"/>
      <c r="O807" s="36"/>
      <c r="P807" s="33"/>
      <c r="Q807" s="37"/>
      <c r="R807" s="38"/>
      <c r="S807" s="33"/>
      <c r="T807" s="38"/>
      <c r="U807" s="33"/>
      <c r="V807" s="39"/>
      <c r="W807" s="90" t="b">
        <v>0</v>
      </c>
      <c r="X807" s="90" t="b">
        <v>0</v>
      </c>
      <c r="Y807" s="90" t="b">
        <v>0</v>
      </c>
      <c r="Z807" s="40" t="s">
        <v>3873</v>
      </c>
      <c r="AA807" s="41"/>
      <c r="AK807" s="16"/>
      <c r="AL807" s="16"/>
      <c r="AM807" s="16"/>
      <c r="AN807" s="16"/>
      <c r="AO807" s="16"/>
      <c r="AP807" s="16"/>
      <c r="AQ807" s="16"/>
      <c r="AR807" s="16"/>
      <c r="AS807" s="16"/>
    </row>
    <row r="808" spans="1:45" s="7" customFormat="1" ht="195" customHeight="1">
      <c r="A808" s="27">
        <f>[1]트램표준체크리스트!A865</f>
        <v>863</v>
      </c>
      <c r="B808" s="28" t="str">
        <f>[1]트램표준체크리스트!B865</f>
        <v>통신</v>
      </c>
      <c r="C808" s="29" t="str">
        <f>[1]트램표준체크리스트!C865</f>
        <v>주 전송설비 및 통신선로 계획</v>
      </c>
      <c r="D808" s="30" t="str">
        <f>[1]트램표준체크리스트!F865</f>
        <v>광케이블 코어 과소 산정(예: 48C 등) 및 링형 이원화 라우팅 누락으로, 증설 불가 및 굴착 단선 시 전체 트램 통신망이 마비될 리스크를 검토하였는가?</v>
      </c>
      <c r="E808" s="31" t="s">
        <v>3756</v>
      </c>
      <c r="F808" s="32" t="str">
        <f t="shared" si="25"/>
        <v>극상</v>
      </c>
      <c r="G808" s="63" t="s">
        <v>40</v>
      </c>
      <c r="H808" s="63" t="s">
        <v>41</v>
      </c>
      <c r="I808" s="34" t="s">
        <v>3757</v>
      </c>
      <c r="J808" s="33"/>
      <c r="K808" s="35"/>
      <c r="L808" s="33"/>
      <c r="M808" s="36"/>
      <c r="N808" s="33"/>
      <c r="O808" s="36"/>
      <c r="P808" s="33"/>
      <c r="Q808" s="37"/>
      <c r="R808" s="38"/>
      <c r="S808" s="33"/>
      <c r="T808" s="38"/>
      <c r="U808" s="33"/>
      <c r="V808" s="39"/>
      <c r="W808" s="90" t="b">
        <v>1</v>
      </c>
      <c r="X808" s="90" t="b">
        <v>1</v>
      </c>
      <c r="Y808" s="90" t="b">
        <v>1</v>
      </c>
      <c r="Z808" s="40" t="s">
        <v>3874</v>
      </c>
      <c r="AA808" s="41"/>
      <c r="AK808" s="16"/>
      <c r="AL808" s="16"/>
      <c r="AM808" s="16"/>
      <c r="AN808" s="16"/>
      <c r="AO808" s="16"/>
      <c r="AP808" s="16"/>
      <c r="AQ808" s="16"/>
      <c r="AR808" s="16"/>
      <c r="AS808" s="16"/>
    </row>
    <row r="809" spans="1:45" s="7" customFormat="1" ht="195" customHeight="1">
      <c r="A809" s="27">
        <f>[1]트램표준체크리스트!A866</f>
        <v>864</v>
      </c>
      <c r="B809" s="28" t="str">
        <f>[1]트램표준체크리스트!B866</f>
        <v>통신</v>
      </c>
      <c r="C809" s="29" t="str">
        <f>[1]트램표준체크리스트!C866</f>
        <v>주 전송설비 및 통신선로 계획</v>
      </c>
      <c r="D809" s="30" t="str">
        <f>[1]트램표준체크리스트!F866</f>
        <v>케이블 인입·인출용 샤프트(Shaft) 공간 확보 계획 누락으로, 초기 포설 및 향후 장애 조치가 불가능해질 리스크를 검토하였는가?</v>
      </c>
      <c r="E809" s="31" t="s">
        <v>2716</v>
      </c>
      <c r="F809" s="32" t="str">
        <f t="shared" si="25"/>
        <v>극상</v>
      </c>
      <c r="G809" s="63" t="s">
        <v>40</v>
      </c>
      <c r="H809" s="63" t="s">
        <v>41</v>
      </c>
      <c r="I809" s="34" t="s">
        <v>3758</v>
      </c>
      <c r="J809" s="33"/>
      <c r="K809" s="35"/>
      <c r="L809" s="33"/>
      <c r="M809" s="36"/>
      <c r="N809" s="33"/>
      <c r="O809" s="36"/>
      <c r="P809" s="33"/>
      <c r="Q809" s="37"/>
      <c r="R809" s="38"/>
      <c r="S809" s="33"/>
      <c r="T809" s="38"/>
      <c r="U809" s="33"/>
      <c r="V809" s="39"/>
      <c r="W809" s="90" t="b">
        <v>0</v>
      </c>
      <c r="X809" s="90" t="b">
        <v>0</v>
      </c>
      <c r="Y809" s="90" t="b">
        <v>0</v>
      </c>
      <c r="Z809" s="40" t="s">
        <v>3875</v>
      </c>
      <c r="AA809" s="41"/>
      <c r="AK809" s="16"/>
      <c r="AL809" s="16"/>
      <c r="AM809" s="16"/>
      <c r="AN809" s="16"/>
      <c r="AO809" s="16"/>
      <c r="AP809" s="16"/>
      <c r="AQ809" s="16"/>
      <c r="AR809" s="16"/>
      <c r="AS809" s="16"/>
    </row>
    <row r="810" spans="1:45" s="7" customFormat="1" ht="195" customHeight="1">
      <c r="A810" s="27">
        <f>[1]트램표준체크리스트!A867</f>
        <v>865</v>
      </c>
      <c r="B810" s="28" t="str">
        <f>[1]트램표준체크리스트!B867</f>
        <v>통신</v>
      </c>
      <c r="C810" s="29" t="str">
        <f>[1]트램표준체크리스트!C867</f>
        <v>주 전송설비 및 통신선로 계획</v>
      </c>
      <c r="D810" s="30" t="str">
        <f>[1]트램표준체크리스트!F867</f>
        <v>CCTV, 수락, ITS 통신선로 이설 설계가 누락됨 리스크를 검토하였는가?</v>
      </c>
      <c r="E810" s="31" t="s">
        <v>2946</v>
      </c>
      <c r="F810" s="32" t="str">
        <f t="shared" si="25"/>
        <v>극상</v>
      </c>
      <c r="G810" s="63" t="s">
        <v>40</v>
      </c>
      <c r="H810" s="63" t="s">
        <v>41</v>
      </c>
      <c r="I810" s="34"/>
      <c r="J810" s="33"/>
      <c r="K810" s="35"/>
      <c r="L810" s="33"/>
      <c r="M810" s="36"/>
      <c r="N810" s="33"/>
      <c r="O810" s="36"/>
      <c r="P810" s="33"/>
      <c r="Q810" s="37"/>
      <c r="R810" s="38"/>
      <c r="S810" s="33"/>
      <c r="T810" s="38"/>
      <c r="U810" s="33"/>
      <c r="V810" s="39"/>
      <c r="W810" s="90" t="b">
        <v>0</v>
      </c>
      <c r="X810" s="90" t="b">
        <v>0</v>
      </c>
      <c r="Y810" s="90" t="b">
        <v>0</v>
      </c>
      <c r="Z810" s="40" t="s">
        <v>3876</v>
      </c>
      <c r="AA810" s="41"/>
      <c r="AK810" s="16"/>
      <c r="AL810" s="16"/>
      <c r="AM810" s="16"/>
      <c r="AN810" s="16"/>
      <c r="AO810" s="16"/>
      <c r="AP810" s="16"/>
      <c r="AQ810" s="16"/>
      <c r="AR810" s="16"/>
      <c r="AS810" s="16"/>
    </row>
    <row r="811" spans="1:45" s="7" customFormat="1" ht="195" customHeight="1">
      <c r="A811" s="27">
        <f>[1]트램표준체크리스트!A868</f>
        <v>866</v>
      </c>
      <c r="B811" s="28" t="str">
        <f>[1]트램표준체크리스트!B868</f>
        <v>통신</v>
      </c>
      <c r="C811" s="29" t="str">
        <f>[1]트램표준체크리스트!C868</f>
        <v>주 전송설비 유지관리 계획</v>
      </c>
      <c r="D811" s="30" t="str">
        <f>[1]트램표준체크리스트!F868</f>
        <v>감시장치 및 예비 코어 할당 설계 누락으로, 굴착 사고 등 단선 시 장애 위치 신속 파악이 불가할 리스크를 검토하였는가?</v>
      </c>
      <c r="E811" s="31" t="s">
        <v>3759</v>
      </c>
      <c r="F811" s="32" t="str">
        <f t="shared" si="25"/>
        <v>극상</v>
      </c>
      <c r="G811" s="63" t="s">
        <v>40</v>
      </c>
      <c r="H811" s="63" t="s">
        <v>41</v>
      </c>
      <c r="I811" s="34" t="s">
        <v>3760</v>
      </c>
      <c r="J811" s="33"/>
      <c r="K811" s="35"/>
      <c r="L811" s="33"/>
      <c r="M811" s="36"/>
      <c r="N811" s="33"/>
      <c r="O811" s="36"/>
      <c r="P811" s="33"/>
      <c r="Q811" s="37"/>
      <c r="R811" s="38"/>
      <c r="S811" s="33"/>
      <c r="T811" s="38"/>
      <c r="U811" s="33"/>
      <c r="V811" s="39"/>
      <c r="W811" s="90" t="b">
        <v>0</v>
      </c>
      <c r="X811" s="90" t="b">
        <v>0</v>
      </c>
      <c r="Y811" s="90" t="b">
        <v>0</v>
      </c>
      <c r="Z811" s="40" t="s">
        <v>3877</v>
      </c>
      <c r="AA811" s="41"/>
      <c r="AK811" s="16"/>
      <c r="AL811" s="16"/>
      <c r="AM811" s="16"/>
      <c r="AN811" s="16"/>
      <c r="AO811" s="16"/>
      <c r="AP811" s="16"/>
      <c r="AQ811" s="16"/>
      <c r="AR811" s="16"/>
      <c r="AS811" s="16"/>
    </row>
    <row r="812" spans="1:45" s="7" customFormat="1" ht="195" customHeight="1">
      <c r="A812" s="27">
        <f>[1]트램표준체크리스트!A869</f>
        <v>867</v>
      </c>
      <c r="B812" s="28" t="str">
        <f>[1]트램표준체크리스트!B869</f>
        <v>통신</v>
      </c>
      <c r="C812" s="29" t="str">
        <f>[1]트램표준체크리스트!C869</f>
        <v>차량 상태정보 실시간 전송망 계획</v>
      </c>
      <c r="D812" s="30" t="str">
        <f>[1]트램표준체크리스트!F869</f>
        <v>대역폭 부족 및 TCMS 연동 누락으로 트램 배터리 방전·고장 실시간 모니터링이 불가해질 리스크를 검토하였는가?</v>
      </c>
      <c r="E812" s="31" t="s">
        <v>3761</v>
      </c>
      <c r="F812" s="32" t="str">
        <f t="shared" ref="F812:F842" si="26">_xlfn.LET(
_xlpm.v_발생, IF(ISNUMBER(SEARCH("빈번", G812)), "상",
IF(ISNUMBER(SEARCH("거의", G812)), "하", "중")),
_xlpm.v_영향, IF(ISNUMBER(SEARCH("1개월", H812)), "상",
IF(ISNUMBER(SEARCH("없음", H812)), "하", "중")),
IF(AND(_xlpm.v_발생="상", _xlpm.v_영향="상"), "극상",
IF(OR(_xlpm.v_발생="상", _xlpm.v_영향="상"), "상",
IF(AND(_xlpm.v_발생="하", _xlpm.v_영향="하"), "하",
"중")))
)</f>
        <v>극상</v>
      </c>
      <c r="G812" s="63" t="s">
        <v>40</v>
      </c>
      <c r="H812" s="63" t="s">
        <v>41</v>
      </c>
      <c r="I812" s="34" t="s">
        <v>3762</v>
      </c>
      <c r="J812" s="33"/>
      <c r="K812" s="35"/>
      <c r="L812" s="33"/>
      <c r="M812" s="36"/>
      <c r="N812" s="33"/>
      <c r="O812" s="36"/>
      <c r="P812" s="33"/>
      <c r="Q812" s="37"/>
      <c r="R812" s="38"/>
      <c r="S812" s="33"/>
      <c r="T812" s="38"/>
      <c r="U812" s="33"/>
      <c r="V812" s="39"/>
      <c r="W812" s="90" t="b">
        <v>0</v>
      </c>
      <c r="X812" s="90" t="b">
        <v>0</v>
      </c>
      <c r="Y812" s="90" t="b">
        <v>1</v>
      </c>
      <c r="Z812" s="40" t="s">
        <v>3878</v>
      </c>
      <c r="AA812" s="41"/>
      <c r="AK812" s="16"/>
      <c r="AL812" s="16"/>
      <c r="AM812" s="16"/>
      <c r="AN812" s="16"/>
      <c r="AO812" s="16"/>
      <c r="AP812" s="16"/>
      <c r="AQ812" s="16"/>
      <c r="AR812" s="16"/>
      <c r="AS812" s="16"/>
    </row>
    <row r="813" spans="1:45" s="7" customFormat="1" ht="195" customHeight="1">
      <c r="A813" s="27">
        <f>[1]트램표준체크리스트!A870</f>
        <v>868</v>
      </c>
      <c r="B813" s="28" t="str">
        <f>[1]트램표준체크리스트!B870</f>
        <v>통신</v>
      </c>
      <c r="C813" s="29" t="str">
        <f>[1]트램표준체크리스트!C870</f>
        <v>차량 상태정보 실시간 전송망 계획</v>
      </c>
      <c r="D813" s="30" t="str">
        <f>[1]트램표준체크리스트!F870</f>
        <v>차량 활주에 의한 시설물 파손 리스크를 검토하였는가?</v>
      </c>
      <c r="E813" s="31" t="s">
        <v>3763</v>
      </c>
      <c r="F813" s="32" t="str">
        <f t="shared" si="26"/>
        <v>극상</v>
      </c>
      <c r="G813" s="63" t="s">
        <v>40</v>
      </c>
      <c r="H813" s="63" t="s">
        <v>41</v>
      </c>
      <c r="I813" s="34"/>
      <c r="J813" s="33"/>
      <c r="K813" s="35"/>
      <c r="L813" s="33"/>
      <c r="M813" s="36"/>
      <c r="N813" s="33"/>
      <c r="O813" s="36"/>
      <c r="P813" s="33"/>
      <c r="Q813" s="37"/>
      <c r="R813" s="38"/>
      <c r="S813" s="33"/>
      <c r="T813" s="38"/>
      <c r="U813" s="33"/>
      <c r="V813" s="39"/>
      <c r="W813" s="90" t="b">
        <v>0</v>
      </c>
      <c r="X813" s="90" t="b">
        <v>0</v>
      </c>
      <c r="Y813" s="90" t="b">
        <v>0</v>
      </c>
      <c r="Z813" s="40" t="s">
        <v>3879</v>
      </c>
      <c r="AA813" s="41"/>
      <c r="AK813" s="16"/>
      <c r="AL813" s="16"/>
      <c r="AM813" s="16"/>
      <c r="AN813" s="16"/>
      <c r="AO813" s="16"/>
      <c r="AP813" s="16"/>
      <c r="AQ813" s="16"/>
      <c r="AR813" s="16"/>
      <c r="AS813" s="16"/>
    </row>
    <row r="814" spans="1:45" s="7" customFormat="1" ht="195" customHeight="1">
      <c r="A814" s="27">
        <f>[1]트램표준체크리스트!A871</f>
        <v>869</v>
      </c>
      <c r="B814" s="28" t="str">
        <f>[1]트램표준체크리스트!B871</f>
        <v>통신</v>
      </c>
      <c r="C814" s="29" t="str">
        <f>[1]트램표준체크리스트!C871</f>
        <v>차량 상태정보 실시간 전송망 계획</v>
      </c>
      <c r="D814" s="30" t="str">
        <f>[1]트램표준체크리스트!F871</f>
        <v>차량 고장시 하차 승객이 노반 이동에 따른 2차 사고 발생 우려 리스크를 검토하였는가?</v>
      </c>
      <c r="E814" s="31" t="s">
        <v>3764</v>
      </c>
      <c r="F814" s="32" t="str">
        <f t="shared" si="26"/>
        <v>극상</v>
      </c>
      <c r="G814" s="63" t="s">
        <v>40</v>
      </c>
      <c r="H814" s="63" t="s">
        <v>41</v>
      </c>
      <c r="I814" s="34"/>
      <c r="J814" s="33"/>
      <c r="K814" s="35"/>
      <c r="L814" s="33"/>
      <c r="M814" s="36"/>
      <c r="N814" s="33"/>
      <c r="O814" s="36"/>
      <c r="P814" s="33"/>
      <c r="Q814" s="37"/>
      <c r="R814" s="38"/>
      <c r="S814" s="33"/>
      <c r="T814" s="38"/>
      <c r="U814" s="33"/>
      <c r="V814" s="39"/>
      <c r="W814" s="90" t="b">
        <v>0</v>
      </c>
      <c r="X814" s="90" t="b">
        <v>0</v>
      </c>
      <c r="Y814" s="90" t="b">
        <v>1</v>
      </c>
      <c r="Z814" s="40" t="s">
        <v>3880</v>
      </c>
      <c r="AA814" s="41"/>
      <c r="AK814" s="16"/>
      <c r="AL814" s="16"/>
      <c r="AM814" s="16"/>
      <c r="AN814" s="16"/>
      <c r="AO814" s="16"/>
      <c r="AP814" s="16"/>
      <c r="AQ814" s="16"/>
      <c r="AR814" s="16"/>
      <c r="AS814" s="16"/>
    </row>
    <row r="815" spans="1:45" s="7" customFormat="1" ht="195" customHeight="1">
      <c r="A815" s="27">
        <f>[1]트램표준체크리스트!A872</f>
        <v>870</v>
      </c>
      <c r="B815" s="28" t="str">
        <f>[1]트램표준체크리스트!B872</f>
        <v>통신</v>
      </c>
      <c r="C815" s="29" t="str">
        <f>[1]트램표준체크리스트!C872</f>
        <v>차량 상태정보 실시간 전송망 계획</v>
      </c>
      <c r="D815" s="30" t="str">
        <f>[1]트램표준체크리스트!F872</f>
        <v>보행자, 자전거 및 다른 차량과의 충돌 위험 발생 우려 리스크를 검토하였는가?</v>
      </c>
      <c r="E815" s="31" t="s">
        <v>3765</v>
      </c>
      <c r="F815" s="32" t="str">
        <f t="shared" si="26"/>
        <v>극상</v>
      </c>
      <c r="G815" s="63" t="s">
        <v>40</v>
      </c>
      <c r="H815" s="63" t="s">
        <v>41</v>
      </c>
      <c r="I815" s="34"/>
      <c r="J815" s="33"/>
      <c r="K815" s="35"/>
      <c r="L815" s="33"/>
      <c r="M815" s="36"/>
      <c r="N815" s="33"/>
      <c r="O815" s="36"/>
      <c r="P815" s="33"/>
      <c r="Q815" s="37"/>
      <c r="R815" s="38"/>
      <c r="S815" s="33"/>
      <c r="T815" s="38"/>
      <c r="U815" s="33"/>
      <c r="V815" s="39"/>
      <c r="W815" s="90" t="b">
        <v>0</v>
      </c>
      <c r="X815" s="90" t="b">
        <v>0</v>
      </c>
      <c r="Y815" s="90" t="b">
        <v>0</v>
      </c>
      <c r="Z815" s="40" t="s">
        <v>3881</v>
      </c>
      <c r="AA815" s="41"/>
      <c r="AK815" s="16"/>
      <c r="AL815" s="16"/>
      <c r="AM815" s="16"/>
      <c r="AN815" s="16"/>
      <c r="AO815" s="16"/>
      <c r="AP815" s="16"/>
      <c r="AQ815" s="16"/>
      <c r="AR815" s="16"/>
      <c r="AS815" s="16"/>
    </row>
    <row r="816" spans="1:45" s="7" customFormat="1" ht="195" customHeight="1">
      <c r="A816" s="27">
        <f>[1]트램표준체크리스트!A873</f>
        <v>871</v>
      </c>
      <c r="B816" s="28" t="str">
        <f>[1]트램표준체크리스트!B873</f>
        <v>통신</v>
      </c>
      <c r="C816" s="29" t="str">
        <f>[1]트램표준체크리스트!C873</f>
        <v>차량 상태정보 실시간 전송망 계획</v>
      </c>
      <c r="D816" s="30" t="str">
        <f>[1]트램표준체크리스트!F873</f>
        <v>고의적으로 선로에 장애물 설치 및 운행 방해 리스크를 검토하였는가?</v>
      </c>
      <c r="E816" s="31" t="s">
        <v>3766</v>
      </c>
      <c r="F816" s="32" t="str">
        <f t="shared" si="26"/>
        <v>극상</v>
      </c>
      <c r="G816" s="63" t="s">
        <v>40</v>
      </c>
      <c r="H816" s="63" t="s">
        <v>41</v>
      </c>
      <c r="I816" s="34"/>
      <c r="J816" s="33"/>
      <c r="K816" s="35"/>
      <c r="L816" s="33"/>
      <c r="M816" s="36"/>
      <c r="N816" s="33"/>
      <c r="O816" s="36"/>
      <c r="P816" s="33"/>
      <c r="Q816" s="37"/>
      <c r="R816" s="38"/>
      <c r="S816" s="33"/>
      <c r="T816" s="38"/>
      <c r="U816" s="33"/>
      <c r="V816" s="39"/>
      <c r="W816" s="90" t="b">
        <v>0</v>
      </c>
      <c r="X816" s="90" t="b">
        <v>0</v>
      </c>
      <c r="Y816" s="90" t="b">
        <v>0</v>
      </c>
      <c r="Z816" s="40" t="s">
        <v>3882</v>
      </c>
      <c r="AA816" s="41"/>
      <c r="AK816" s="16"/>
      <c r="AL816" s="16"/>
      <c r="AM816" s="16"/>
      <c r="AN816" s="16"/>
      <c r="AO816" s="16"/>
      <c r="AP816" s="16"/>
      <c r="AQ816" s="16"/>
      <c r="AR816" s="16"/>
      <c r="AS816" s="16"/>
    </row>
    <row r="817" spans="1:45" s="7" customFormat="1" ht="195" customHeight="1">
      <c r="A817" s="27">
        <f>[1]트램표준체크리스트!A874</f>
        <v>872</v>
      </c>
      <c r="B817" s="28" t="str">
        <f>[1]트램표준체크리스트!B874</f>
        <v>통신</v>
      </c>
      <c r="C817" s="29" t="str">
        <f>[1]트램표준체크리스트!C874</f>
        <v>차량 상태정보 실시간 전송망 계획</v>
      </c>
      <c r="D817" s="30" t="str">
        <f>[1]트램표준체크리스트!F874</f>
        <v>보행자 횡단보도 구간 안전진단 및 안전사고 예방 시설 부족 리스크를 검토하였는가?</v>
      </c>
      <c r="E817" s="31" t="s">
        <v>3767</v>
      </c>
      <c r="F817" s="32" t="str">
        <f t="shared" si="26"/>
        <v>극상</v>
      </c>
      <c r="G817" s="63" t="s">
        <v>40</v>
      </c>
      <c r="H817" s="63" t="s">
        <v>41</v>
      </c>
      <c r="I817" s="34"/>
      <c r="J817" s="33"/>
      <c r="K817" s="35"/>
      <c r="L817" s="33"/>
      <c r="M817" s="36"/>
      <c r="N817" s="33"/>
      <c r="O817" s="36"/>
      <c r="P817" s="33"/>
      <c r="Q817" s="37"/>
      <c r="R817" s="38"/>
      <c r="S817" s="33"/>
      <c r="T817" s="38"/>
      <c r="U817" s="33"/>
      <c r="V817" s="39"/>
      <c r="W817" s="90" t="b">
        <v>0</v>
      </c>
      <c r="X817" s="90" t="b">
        <v>0</v>
      </c>
      <c r="Y817" s="90" t="b">
        <v>0</v>
      </c>
      <c r="Z817" s="40" t="s">
        <v>3883</v>
      </c>
      <c r="AA817" s="41"/>
      <c r="AK817" s="16"/>
      <c r="AL817" s="16"/>
      <c r="AM817" s="16"/>
      <c r="AN817" s="16"/>
      <c r="AO817" s="16"/>
      <c r="AP817" s="16"/>
      <c r="AQ817" s="16"/>
      <c r="AR817" s="16"/>
      <c r="AS817" s="16"/>
    </row>
    <row r="818" spans="1:45" s="120" customFormat="1" ht="195" customHeight="1">
      <c r="A818" s="104">
        <f>[1]트램표준체크리스트!A875</f>
        <v>873</v>
      </c>
      <c r="B818" s="105" t="str">
        <f>[1]트램표준체크리스트!B875</f>
        <v>통신</v>
      </c>
      <c r="C818" s="106" t="str">
        <f>[1]트램표준체크리스트!C875</f>
        <v>차상 역무자동화설비(AFC) 단말기 배치 계획</v>
      </c>
      <c r="D818" s="107" t="str">
        <f>[1]트램표준체크리스트!F875</f>
        <v>단말기 과소 설계(출입문 당 2대 미만)로 혼잡시간대(RH) 태깅 대기열 증가 및 정차 지연이 발생할 리스크를 검토하였는가?</v>
      </c>
      <c r="E818" s="108" t="s">
        <v>3768</v>
      </c>
      <c r="F818" s="109" t="str">
        <f t="shared" si="26"/>
        <v>극상</v>
      </c>
      <c r="G818" s="95" t="s">
        <v>40</v>
      </c>
      <c r="H818" s="95" t="s">
        <v>41</v>
      </c>
      <c r="I818" s="110" t="s">
        <v>3769</v>
      </c>
      <c r="J818" s="111"/>
      <c r="K818" s="112"/>
      <c r="L818" s="111"/>
      <c r="M818" s="113"/>
      <c r="N818" s="111"/>
      <c r="O818" s="113"/>
      <c r="P818" s="111"/>
      <c r="Q818" s="114"/>
      <c r="R818" s="115"/>
      <c r="S818" s="111"/>
      <c r="T818" s="115"/>
      <c r="U818" s="111"/>
      <c r="V818" s="116"/>
      <c r="W818" s="117" t="b">
        <v>0</v>
      </c>
      <c r="X818" s="117" t="b">
        <v>0</v>
      </c>
      <c r="Y818" s="117" t="b">
        <v>0</v>
      </c>
      <c r="Z818" s="118" t="s">
        <v>3858</v>
      </c>
      <c r="AA818" s="119"/>
      <c r="AK818" s="121"/>
      <c r="AL818" s="121"/>
      <c r="AM818" s="121"/>
      <c r="AN818" s="121"/>
      <c r="AO818" s="121"/>
      <c r="AP818" s="121"/>
      <c r="AQ818" s="121"/>
      <c r="AR818" s="121"/>
      <c r="AS818" s="121"/>
    </row>
    <row r="819" spans="1:45" s="7" customFormat="1" ht="195" customHeight="1">
      <c r="A819" s="27">
        <f>[1]트램표준체크리스트!A876</f>
        <v>874</v>
      </c>
      <c r="B819" s="28" t="str">
        <f>[1]트램표준체크리스트!B876</f>
        <v>통신</v>
      </c>
      <c r="C819" s="29" t="str">
        <f>[1]트램표준체크리스트!C876</f>
        <v>차상 통신설비 설치 인터페이스 계획</v>
      </c>
      <c r="D819" s="30" t="str">
        <f>[1]트램표준체크리스트!F876</f>
        <v>통신-차량 간 업무 한계 불명확 설계로 장비 설치 누락 및 차량 제작 일정이 지연될 리스크를 검토하였는가?</v>
      </c>
      <c r="E819" s="31" t="s">
        <v>3770</v>
      </c>
      <c r="F819" s="32" t="str">
        <f t="shared" si="26"/>
        <v>극상</v>
      </c>
      <c r="G819" s="63" t="s">
        <v>40</v>
      </c>
      <c r="H819" s="63" t="s">
        <v>41</v>
      </c>
      <c r="I819" s="34" t="s">
        <v>3771</v>
      </c>
      <c r="J819" s="33"/>
      <c r="K819" s="35"/>
      <c r="L819" s="33"/>
      <c r="M819" s="36"/>
      <c r="N819" s="33"/>
      <c r="O819" s="36"/>
      <c r="P819" s="33"/>
      <c r="Q819" s="37"/>
      <c r="R819" s="38"/>
      <c r="S819" s="33"/>
      <c r="T819" s="38"/>
      <c r="U819" s="33"/>
      <c r="V819" s="39"/>
      <c r="W819" s="90" t="b">
        <v>0</v>
      </c>
      <c r="X819" s="90" t="b">
        <v>0</v>
      </c>
      <c r="Y819" s="90" t="b">
        <v>0</v>
      </c>
      <c r="Z819" s="40" t="s">
        <v>3884</v>
      </c>
      <c r="AA819" s="41"/>
      <c r="AK819" s="16"/>
      <c r="AL819" s="16"/>
      <c r="AM819" s="16"/>
      <c r="AN819" s="16"/>
      <c r="AO819" s="16"/>
      <c r="AP819" s="16"/>
      <c r="AQ819" s="16"/>
      <c r="AR819" s="16"/>
      <c r="AS819" s="16"/>
    </row>
    <row r="820" spans="1:45" s="7" customFormat="1" ht="195" customHeight="1">
      <c r="A820" s="27">
        <f>[1]트램표준체크리스트!A877</f>
        <v>875</v>
      </c>
      <c r="B820" s="28" t="str">
        <f>[1]트램표준체크리스트!B877</f>
        <v>통신</v>
      </c>
      <c r="C820" s="29" t="str">
        <f>[1]트램표준체크리스트!C877</f>
        <v>차상 통신설비 설치 인터페이스 계획</v>
      </c>
      <c r="D820" s="30" t="str">
        <f>[1]트램표준체크리스트!F877</f>
        <v>입출고시 자동차 및 보행자와의 교통사고 예방을 위한 시스템적 대책 마련 필요 리스크를 검토하였는가?</v>
      </c>
      <c r="E820" s="31" t="s">
        <v>3772</v>
      </c>
      <c r="F820" s="32" t="str">
        <f t="shared" si="26"/>
        <v>극상</v>
      </c>
      <c r="G820" s="63" t="s">
        <v>40</v>
      </c>
      <c r="H820" s="63" t="s">
        <v>41</v>
      </c>
      <c r="I820" s="34"/>
      <c r="J820" s="33"/>
      <c r="K820" s="35"/>
      <c r="L820" s="33"/>
      <c r="M820" s="36"/>
      <c r="N820" s="33"/>
      <c r="O820" s="36"/>
      <c r="P820" s="33"/>
      <c r="Q820" s="37"/>
      <c r="R820" s="38"/>
      <c r="S820" s="33"/>
      <c r="T820" s="38"/>
      <c r="U820" s="33"/>
      <c r="V820" s="39"/>
      <c r="W820" s="90" t="b">
        <v>0</v>
      </c>
      <c r="X820" s="90" t="b">
        <v>0</v>
      </c>
      <c r="Y820" s="90" t="b">
        <v>0</v>
      </c>
      <c r="Z820" s="40" t="s">
        <v>3885</v>
      </c>
      <c r="AA820" s="41"/>
      <c r="AK820" s="16"/>
      <c r="AL820" s="16"/>
      <c r="AM820" s="16"/>
      <c r="AN820" s="16"/>
      <c r="AO820" s="16"/>
      <c r="AP820" s="16"/>
      <c r="AQ820" s="16"/>
      <c r="AR820" s="16"/>
      <c r="AS820" s="16"/>
    </row>
    <row r="821" spans="1:45" s="7" customFormat="1" ht="195" customHeight="1">
      <c r="A821" s="27">
        <f>[1]트램표준체크리스트!A878</f>
        <v>876</v>
      </c>
      <c r="B821" s="28" t="str">
        <f>[1]트램표준체크리스트!B878</f>
        <v>통신</v>
      </c>
      <c r="C821" s="29" t="str">
        <f>[1]트램표준체크리스트!C878</f>
        <v>차상 통신설비 설치 인터페이스 계획</v>
      </c>
      <c r="D821" s="30" t="str">
        <f>[1]트램표준체크리스트!F878</f>
        <v>설계에 반영된 2선식 전송망이 현 코레일 공항철도 전송설비 운영방식과 상이하여 발주처의 안정성 보완 조치에 따라 4선식으로 변경 리스크를 검토하였는가?</v>
      </c>
      <c r="E821" s="31" t="s">
        <v>3773</v>
      </c>
      <c r="F821" s="32" t="str">
        <f t="shared" si="26"/>
        <v>극상</v>
      </c>
      <c r="G821" s="63" t="s">
        <v>40</v>
      </c>
      <c r="H821" s="63" t="s">
        <v>41</v>
      </c>
      <c r="I821" s="34"/>
      <c r="J821" s="33"/>
      <c r="K821" s="35"/>
      <c r="L821" s="33"/>
      <c r="M821" s="36"/>
      <c r="N821" s="33"/>
      <c r="O821" s="36"/>
      <c r="P821" s="33"/>
      <c r="Q821" s="37"/>
      <c r="R821" s="38"/>
      <c r="S821" s="33"/>
      <c r="T821" s="38"/>
      <c r="U821" s="33"/>
      <c r="V821" s="39"/>
      <c r="W821" s="90" t="b">
        <v>0</v>
      </c>
      <c r="X821" s="90" t="b">
        <v>0</v>
      </c>
      <c r="Y821" s="90" t="b">
        <v>0</v>
      </c>
      <c r="Z821" s="40" t="s">
        <v>3886</v>
      </c>
      <c r="AA821" s="41"/>
      <c r="AK821" s="16"/>
      <c r="AL821" s="16"/>
      <c r="AM821" s="16"/>
      <c r="AN821" s="16"/>
      <c r="AO821" s="16"/>
      <c r="AP821" s="16"/>
      <c r="AQ821" s="16"/>
      <c r="AR821" s="16"/>
      <c r="AS821" s="16"/>
    </row>
    <row r="822" spans="1:45" s="7" customFormat="1" ht="195" customHeight="1">
      <c r="A822" s="27">
        <f>[1]트램표준체크리스트!A879</f>
        <v>877</v>
      </c>
      <c r="B822" s="28" t="str">
        <f>[1]트램표준체크리스트!B879</f>
        <v>통신</v>
      </c>
      <c r="C822" s="29" t="str">
        <f>[1]트램표준체크리스트!C879</f>
        <v>차상-지상 통신 인터페이스</v>
      </c>
      <c r="D822" s="30" t="str">
        <f>[1]트램표준체크리스트!F879</f>
        <v>LTE-R 대역폭 및 차량-통신 프로토콜 설계 누락으로 관제실 모니터링 및 기관사 승강장 상황 파악이 불가해질 리스크를 검토하였는가?</v>
      </c>
      <c r="E822" s="31" t="s">
        <v>3774</v>
      </c>
      <c r="F822" s="32" t="str">
        <f t="shared" si="26"/>
        <v>극상</v>
      </c>
      <c r="G822" s="63" t="s">
        <v>40</v>
      </c>
      <c r="H822" s="63" t="s">
        <v>41</v>
      </c>
      <c r="I822" s="34" t="s">
        <v>3775</v>
      </c>
      <c r="J822" s="33"/>
      <c r="K822" s="35"/>
      <c r="L822" s="33"/>
      <c r="M822" s="36"/>
      <c r="N822" s="33"/>
      <c r="O822" s="36"/>
      <c r="P822" s="33"/>
      <c r="Q822" s="37"/>
      <c r="R822" s="38"/>
      <c r="S822" s="33"/>
      <c r="T822" s="38"/>
      <c r="U822" s="33"/>
      <c r="V822" s="39"/>
      <c r="W822" s="90" t="b">
        <v>0</v>
      </c>
      <c r="X822" s="90" t="b">
        <v>0</v>
      </c>
      <c r="Y822" s="90" t="b">
        <v>1</v>
      </c>
      <c r="Z822" s="40" t="s">
        <v>3887</v>
      </c>
      <c r="AA822" s="41"/>
      <c r="AK822" s="16"/>
      <c r="AL822" s="16"/>
      <c r="AM822" s="16"/>
      <c r="AN822" s="16"/>
      <c r="AO822" s="16"/>
      <c r="AP822" s="16"/>
      <c r="AQ822" s="16"/>
      <c r="AR822" s="16"/>
      <c r="AS822" s="16"/>
    </row>
    <row r="823" spans="1:45" s="7" customFormat="1" ht="195" customHeight="1">
      <c r="A823" s="27">
        <f>[1]트램표준체크리스트!A880</f>
        <v>878</v>
      </c>
      <c r="B823" s="28" t="str">
        <f>[1]트램표준체크리스트!B880</f>
        <v>통신</v>
      </c>
      <c r="C823" s="29" t="str">
        <f>[1]트램표준체크리스트!C880</f>
        <v>차상-지상 통신 인터페이스</v>
      </c>
      <c r="D823" s="30" t="str">
        <f>[1]트램표준체크리스트!F880</f>
        <v>KTX 승차권 발매센터, 기동검수반, 승무원대기실 신설에 따라 발주처의 요구사항으로 통신케이블, 광케이블 및 일반전화기 신설이 추가됨 리스크를 검토하였는가?</v>
      </c>
      <c r="E823" s="31" t="s">
        <v>2946</v>
      </c>
      <c r="F823" s="32" t="str">
        <f t="shared" si="26"/>
        <v>극상</v>
      </c>
      <c r="G823" s="63" t="s">
        <v>40</v>
      </c>
      <c r="H823" s="63" t="s">
        <v>41</v>
      </c>
      <c r="I823" s="34"/>
      <c r="J823" s="33"/>
      <c r="K823" s="35"/>
      <c r="L823" s="33"/>
      <c r="M823" s="36"/>
      <c r="N823" s="33"/>
      <c r="O823" s="36"/>
      <c r="P823" s="33"/>
      <c r="Q823" s="37"/>
      <c r="R823" s="38"/>
      <c r="S823" s="33"/>
      <c r="T823" s="38"/>
      <c r="U823" s="33"/>
      <c r="V823" s="39"/>
      <c r="W823" s="90" t="b">
        <v>0</v>
      </c>
      <c r="X823" s="90" t="b">
        <v>0</v>
      </c>
      <c r="Y823" s="90" t="b">
        <v>0</v>
      </c>
      <c r="Z823" s="40" t="s">
        <v>3888</v>
      </c>
      <c r="AA823" s="41"/>
      <c r="AK823" s="16"/>
      <c r="AL823" s="16"/>
      <c r="AM823" s="16"/>
      <c r="AN823" s="16"/>
      <c r="AO823" s="16"/>
      <c r="AP823" s="16"/>
      <c r="AQ823" s="16"/>
      <c r="AR823" s="16"/>
      <c r="AS823" s="16"/>
    </row>
    <row r="824" spans="1:45" s="7" customFormat="1" ht="195" customHeight="1">
      <c r="A824" s="27">
        <f>[1]트램표준체크리스트!A881</f>
        <v>879</v>
      </c>
      <c r="B824" s="28" t="str">
        <f>[1]트램표준체크리스트!B881</f>
        <v>통신</v>
      </c>
      <c r="C824" s="29" t="str">
        <f>[1]트램표준체크리스트!C881</f>
        <v>타 분야 통신회선 제공 및 인터페이스 계획</v>
      </c>
      <c r="D824" s="30" t="str">
        <f>[1]트램표준체크리스트!F881</f>
        <v>전기·신호 분야 데이터 전송 요구량 누락 및 과소 산정으로 핵심 시스템 원격 제어가 불가해질 중대 인터페이스 리스크를 검토하였는가?</v>
      </c>
      <c r="E824" s="31" t="s">
        <v>3776</v>
      </c>
      <c r="F824" s="32" t="str">
        <f t="shared" si="26"/>
        <v>극상</v>
      </c>
      <c r="G824" s="63" t="s">
        <v>40</v>
      </c>
      <c r="H824" s="63" t="s">
        <v>41</v>
      </c>
      <c r="I824" s="34" t="s">
        <v>3777</v>
      </c>
      <c r="J824" s="33"/>
      <c r="K824" s="35"/>
      <c r="L824" s="33"/>
      <c r="M824" s="36"/>
      <c r="N824" s="33"/>
      <c r="O824" s="36"/>
      <c r="P824" s="33"/>
      <c r="Q824" s="37"/>
      <c r="R824" s="38"/>
      <c r="S824" s="33"/>
      <c r="T824" s="38"/>
      <c r="U824" s="33"/>
      <c r="V824" s="39"/>
      <c r="W824" s="90" t="b">
        <v>0</v>
      </c>
      <c r="X824" s="90" t="b">
        <v>0</v>
      </c>
      <c r="Y824" s="90" t="b">
        <v>0</v>
      </c>
      <c r="Z824" s="40" t="s">
        <v>3889</v>
      </c>
      <c r="AA824" s="41"/>
      <c r="AK824" s="16"/>
      <c r="AL824" s="16"/>
      <c r="AM824" s="16"/>
      <c r="AN824" s="16"/>
      <c r="AO824" s="16"/>
      <c r="AP824" s="16"/>
      <c r="AQ824" s="16"/>
      <c r="AR824" s="16"/>
      <c r="AS824" s="16"/>
    </row>
    <row r="825" spans="1:45" s="7" customFormat="1" ht="195" customHeight="1">
      <c r="A825" s="27">
        <f>[1]트램표준체크리스트!A882</f>
        <v>880</v>
      </c>
      <c r="B825" s="28" t="str">
        <f>[1]트램표준체크리스트!B882</f>
        <v>통신</v>
      </c>
      <c r="C825" s="29" t="str">
        <f>[1]트램표준체크리스트!C882</f>
        <v>통신 무정전전원설비(UPS) 구축 계획</v>
      </c>
      <c r="D825" s="30" t="str">
        <f>[1]트램표준체크리스트!F882</f>
        <v>관제실(3시간)·정거장(30분) UPS 보상시간 과소 산정으로 전면 정전 시 통신망이 즉각 마비될 방재 리스크를 검토하였는가?</v>
      </c>
      <c r="E825" s="31" t="s">
        <v>3778</v>
      </c>
      <c r="F825" s="32" t="str">
        <f t="shared" si="26"/>
        <v>극상</v>
      </c>
      <c r="G825" s="63" t="s">
        <v>40</v>
      </c>
      <c r="H825" s="63" t="s">
        <v>41</v>
      </c>
      <c r="I825" s="34" t="s">
        <v>3779</v>
      </c>
      <c r="J825" s="33"/>
      <c r="K825" s="35"/>
      <c r="L825" s="33"/>
      <c r="M825" s="36"/>
      <c r="N825" s="33"/>
      <c r="O825" s="36"/>
      <c r="P825" s="33"/>
      <c r="Q825" s="37"/>
      <c r="R825" s="38"/>
      <c r="S825" s="33"/>
      <c r="T825" s="38"/>
      <c r="U825" s="33"/>
      <c r="V825" s="39"/>
      <c r="W825" s="90" t="b">
        <v>0</v>
      </c>
      <c r="X825" s="90" t="b">
        <v>0</v>
      </c>
      <c r="Y825" s="90" t="b">
        <v>0</v>
      </c>
      <c r="Z825" s="40" t="s">
        <v>3890</v>
      </c>
      <c r="AA825" s="41"/>
      <c r="AK825" s="16"/>
      <c r="AL825" s="16"/>
      <c r="AM825" s="16"/>
      <c r="AN825" s="16"/>
      <c r="AO825" s="16"/>
      <c r="AP825" s="16"/>
      <c r="AQ825" s="16"/>
      <c r="AR825" s="16"/>
      <c r="AS825" s="16"/>
    </row>
    <row r="826" spans="1:45" s="7" customFormat="1" ht="195" customHeight="1">
      <c r="A826" s="27">
        <f>[1]트램표준체크리스트!A883</f>
        <v>881</v>
      </c>
      <c r="B826" s="28" t="str">
        <f>[1]트램표준체크리스트!B883</f>
        <v>통신</v>
      </c>
      <c r="C826" s="29" t="str">
        <f>[1]트램표준체크리스트!C883</f>
        <v>통신 사이버보안 계획</v>
      </c>
      <c r="D826" s="30" t="str">
        <f>[1]트램표준체크리스트!F883</f>
        <v>통신망 구간 암호화(SSL/TLS) 및 접근 제한 솔루션 누락으로 해킹·랜섬웨어 감염에 의해 트램 운행 및 정산 시스템이 마비될 리스크를 검토하였는가?</v>
      </c>
      <c r="E826" s="31" t="s">
        <v>3780</v>
      </c>
      <c r="F826" s="32" t="str">
        <f t="shared" si="26"/>
        <v>극상</v>
      </c>
      <c r="G826" s="63" t="s">
        <v>40</v>
      </c>
      <c r="H826" s="63" t="s">
        <v>41</v>
      </c>
      <c r="I826" s="34" t="s">
        <v>3781</v>
      </c>
      <c r="J826" s="33"/>
      <c r="K826" s="35"/>
      <c r="L826" s="33"/>
      <c r="M826" s="36"/>
      <c r="N826" s="33"/>
      <c r="O826" s="36"/>
      <c r="P826" s="33"/>
      <c r="Q826" s="37"/>
      <c r="R826" s="38"/>
      <c r="S826" s="33"/>
      <c r="T826" s="38"/>
      <c r="U826" s="33"/>
      <c r="V826" s="39"/>
      <c r="W826" s="90" t="b">
        <v>0</v>
      </c>
      <c r="X826" s="90" t="b">
        <v>0</v>
      </c>
      <c r="Y826" s="90" t="b">
        <v>0</v>
      </c>
      <c r="Z826" s="40" t="s">
        <v>3891</v>
      </c>
      <c r="AA826" s="41"/>
      <c r="AK826" s="16"/>
      <c r="AL826" s="16"/>
      <c r="AM826" s="16"/>
      <c r="AN826" s="16"/>
      <c r="AO826" s="16"/>
      <c r="AP826" s="16"/>
      <c r="AQ826" s="16"/>
      <c r="AR826" s="16"/>
      <c r="AS826" s="16"/>
    </row>
    <row r="827" spans="1:45" s="7" customFormat="1" ht="195" customHeight="1">
      <c r="A827" s="27">
        <f>[1]트램표준체크리스트!A884</f>
        <v>882</v>
      </c>
      <c r="B827" s="28" t="str">
        <f>[1]트램표준체크리스트!B884</f>
        <v>통신</v>
      </c>
      <c r="C827" s="29" t="str">
        <f>[1]트램표준체크리스트!C884</f>
        <v>통신 소프트웨어 품질관리</v>
      </c>
      <c r="D827" s="30" t="str">
        <f>[1]트램표준체크리스트!F884</f>
        <v>IEC 62279 적용 누락으로 S/W 오류 발생 시 트램 관제 시스템의 안전성과 신뢰성을 담보할 수 없게 될 리스크를 검토하였는가?</v>
      </c>
      <c r="E827" s="31" t="s">
        <v>3782</v>
      </c>
      <c r="F827" s="32" t="str">
        <f t="shared" si="26"/>
        <v>극상</v>
      </c>
      <c r="G827" s="63" t="s">
        <v>40</v>
      </c>
      <c r="H827" s="63" t="s">
        <v>41</v>
      </c>
      <c r="I827" s="34" t="s">
        <v>3783</v>
      </c>
      <c r="J827" s="33"/>
      <c r="K827" s="35"/>
      <c r="L827" s="33"/>
      <c r="M827" s="36"/>
      <c r="N827" s="33"/>
      <c r="O827" s="36"/>
      <c r="P827" s="33"/>
      <c r="Q827" s="37"/>
      <c r="R827" s="38"/>
      <c r="S827" s="33"/>
      <c r="T827" s="38"/>
      <c r="U827" s="33"/>
      <c r="V827" s="39"/>
      <c r="W827" s="90" t="b">
        <v>0</v>
      </c>
      <c r="X827" s="90" t="b">
        <v>0</v>
      </c>
      <c r="Y827" s="90" t="b">
        <v>0</v>
      </c>
      <c r="Z827" s="40" t="s">
        <v>3892</v>
      </c>
      <c r="AA827" s="41"/>
      <c r="AK827" s="16"/>
      <c r="AL827" s="16"/>
      <c r="AM827" s="16"/>
      <c r="AN827" s="16"/>
      <c r="AO827" s="16"/>
      <c r="AP827" s="16"/>
      <c r="AQ827" s="16"/>
      <c r="AR827" s="16"/>
      <c r="AS827" s="16"/>
    </row>
    <row r="828" spans="1:45" s="7" customFormat="1" ht="195" customHeight="1">
      <c r="A828" s="27">
        <f>[1]트램표준체크리스트!A885</f>
        <v>883</v>
      </c>
      <c r="B828" s="28" t="str">
        <f>[1]트램표준체크리스트!B885</f>
        <v>통신</v>
      </c>
      <c r="C828" s="29" t="str">
        <f>[1]트램표준체크리스트!C885</f>
        <v>통신 예비품 및 유지관리 계획</v>
      </c>
      <c r="D828" s="30" t="str">
        <f>[1]트램표준체크리스트!F885</f>
        <v>3년치 운영 예비품 및 정밀 측정장비 내역 누락으로 장비 고장 시 조달 지연 및 통신 관제망이 마비될 리스크를 검토하였는가?</v>
      </c>
      <c r="E828" s="31" t="s">
        <v>3784</v>
      </c>
      <c r="F828" s="32" t="str">
        <f t="shared" si="26"/>
        <v>극상</v>
      </c>
      <c r="G828" s="63" t="s">
        <v>40</v>
      </c>
      <c r="H828" s="63" t="s">
        <v>41</v>
      </c>
      <c r="I828" s="34" t="s">
        <v>3785</v>
      </c>
      <c r="J828" s="33"/>
      <c r="K828" s="35"/>
      <c r="L828" s="33"/>
      <c r="M828" s="36"/>
      <c r="N828" s="33"/>
      <c r="O828" s="36"/>
      <c r="P828" s="33"/>
      <c r="Q828" s="37"/>
      <c r="R828" s="38"/>
      <c r="S828" s="33"/>
      <c r="T828" s="38"/>
      <c r="U828" s="33"/>
      <c r="V828" s="39"/>
      <c r="W828" s="90" t="b">
        <v>0</v>
      </c>
      <c r="X828" s="90" t="b">
        <v>0</v>
      </c>
      <c r="Y828" s="90" t="b">
        <v>1</v>
      </c>
      <c r="Z828" s="40" t="s">
        <v>3893</v>
      </c>
      <c r="AA828" s="41"/>
      <c r="AK828" s="16"/>
      <c r="AL828" s="16"/>
      <c r="AM828" s="16"/>
      <c r="AN828" s="16"/>
      <c r="AO828" s="16"/>
      <c r="AP828" s="16"/>
      <c r="AQ828" s="16"/>
      <c r="AR828" s="16"/>
      <c r="AS828" s="16"/>
    </row>
    <row r="829" spans="1:45" s="7" customFormat="1" ht="195" customHeight="1">
      <c r="A829" s="27">
        <f>[1]트램표준체크리스트!A886</f>
        <v>884</v>
      </c>
      <c r="B829" s="28" t="str">
        <f>[1]트램표준체크리스트!B886</f>
        <v>통신</v>
      </c>
      <c r="C829" s="29" t="str">
        <f>[1]트램표준체크리스트!C886</f>
        <v>통신 옥외설비 계획</v>
      </c>
      <c r="D829" s="30" t="str">
        <f>[1]트램표준체크리스트!F886</f>
        <v>기간통신사업자(KT 등) 맨홀 연결 관로·수공 설계 누락으로 외부 전화·인터넷망 개통이 불가해질 리스크를 검토하였는가?</v>
      </c>
      <c r="E829" s="31" t="s">
        <v>3786</v>
      </c>
      <c r="F829" s="32" t="str">
        <f t="shared" si="26"/>
        <v>극상</v>
      </c>
      <c r="G829" s="63" t="s">
        <v>40</v>
      </c>
      <c r="H829" s="63" t="s">
        <v>41</v>
      </c>
      <c r="I829" s="34" t="s">
        <v>3787</v>
      </c>
      <c r="J829" s="33"/>
      <c r="K829" s="35"/>
      <c r="L829" s="33"/>
      <c r="M829" s="36"/>
      <c r="N829" s="33"/>
      <c r="O829" s="36"/>
      <c r="P829" s="33"/>
      <c r="Q829" s="37"/>
      <c r="R829" s="38"/>
      <c r="S829" s="33"/>
      <c r="T829" s="38"/>
      <c r="U829" s="33"/>
      <c r="V829" s="39"/>
      <c r="W829" s="90" t="b">
        <v>0</v>
      </c>
      <c r="X829" s="90" t="b">
        <v>0</v>
      </c>
      <c r="Y829" s="90" t="b">
        <v>0</v>
      </c>
      <c r="Z829" s="40" t="s">
        <v>3894</v>
      </c>
      <c r="AA829" s="41"/>
      <c r="AK829" s="16"/>
      <c r="AL829" s="16"/>
      <c r="AM829" s="16"/>
      <c r="AN829" s="16"/>
      <c r="AO829" s="16"/>
      <c r="AP829" s="16"/>
      <c r="AQ829" s="16"/>
      <c r="AR829" s="16"/>
      <c r="AS829" s="16"/>
    </row>
    <row r="830" spans="1:45" s="7" customFormat="1" ht="195" customHeight="1">
      <c r="A830" s="27">
        <f>[1]트램표준체크리스트!A887</f>
        <v>885</v>
      </c>
      <c r="B830" s="28" t="str">
        <f>[1]트램표준체크리스트!B887</f>
        <v>통신</v>
      </c>
      <c r="C830" s="29" t="str">
        <f>[1]트램표준체크리스트!C887</f>
        <v>통신 옥외설비 및 방재계획</v>
      </c>
      <c r="D830" s="30" t="str">
        <f>[1]트램표준체크리스트!F887</f>
        <v>옥외설비 환경보호(IP) 기준 및 지하 난연케이블 누락으로 악천후 시 침수(단락) 및 화재 시 유독가스가 발생할 2차 인명피해 리스크를 검토하였는가?</v>
      </c>
      <c r="E830" s="31" t="s">
        <v>3788</v>
      </c>
      <c r="F830" s="32" t="str">
        <f t="shared" si="26"/>
        <v>극상</v>
      </c>
      <c r="G830" s="63" t="s">
        <v>40</v>
      </c>
      <c r="H830" s="63" t="s">
        <v>41</v>
      </c>
      <c r="I830" s="34" t="s">
        <v>3789</v>
      </c>
      <c r="J830" s="33"/>
      <c r="K830" s="35"/>
      <c r="L830" s="33"/>
      <c r="M830" s="36"/>
      <c r="N830" s="33"/>
      <c r="O830" s="36"/>
      <c r="P830" s="33"/>
      <c r="Q830" s="37"/>
      <c r="R830" s="38"/>
      <c r="S830" s="33"/>
      <c r="T830" s="38"/>
      <c r="U830" s="33"/>
      <c r="V830" s="39"/>
      <c r="W830" s="90" t="b">
        <v>0</v>
      </c>
      <c r="X830" s="90" t="b">
        <v>0</v>
      </c>
      <c r="Y830" s="90" t="b">
        <v>0</v>
      </c>
      <c r="Z830" s="40" t="s">
        <v>3895</v>
      </c>
      <c r="AA830" s="41"/>
      <c r="AK830" s="16"/>
      <c r="AL830" s="16"/>
      <c r="AM830" s="16"/>
      <c r="AN830" s="16"/>
      <c r="AO830" s="16"/>
      <c r="AP830" s="16"/>
      <c r="AQ830" s="16"/>
      <c r="AR830" s="16"/>
      <c r="AS830" s="16"/>
    </row>
    <row r="831" spans="1:45" s="7" customFormat="1" ht="195" customHeight="1">
      <c r="A831" s="27">
        <f>[1]트램표준체크리스트!A888</f>
        <v>886</v>
      </c>
      <c r="B831" s="28" t="str">
        <f>[1]트램표준체크리스트!B888</f>
        <v>통신</v>
      </c>
      <c r="C831" s="29" t="str">
        <f>[1]트램표준체크리스트!C888</f>
        <v>통신 옥외설비 및 방재계획</v>
      </c>
      <c r="D831" s="30" t="str">
        <f>[1]트램표준체크리스트!F888</f>
        <v>비상통화장치가 로컬용으로 한정되거나 음성안내설비가 누락되어 이례상황 시 승객 구호 지연 및 교통약자 민원이 유발될 리스크를 검토하였는가?</v>
      </c>
      <c r="E831" s="31" t="s">
        <v>3790</v>
      </c>
      <c r="F831" s="32" t="str">
        <f t="shared" si="26"/>
        <v>극상</v>
      </c>
      <c r="G831" s="63" t="s">
        <v>40</v>
      </c>
      <c r="H831" s="63" t="s">
        <v>41</v>
      </c>
      <c r="I831" s="34" t="s">
        <v>3791</v>
      </c>
      <c r="J831" s="33"/>
      <c r="K831" s="35"/>
      <c r="L831" s="33"/>
      <c r="M831" s="36"/>
      <c r="N831" s="33"/>
      <c r="O831" s="36"/>
      <c r="P831" s="33"/>
      <c r="Q831" s="37"/>
      <c r="R831" s="38"/>
      <c r="S831" s="33"/>
      <c r="T831" s="38"/>
      <c r="U831" s="33"/>
      <c r="V831" s="39"/>
      <c r="W831" s="90" t="b">
        <v>0</v>
      </c>
      <c r="X831" s="90" t="b">
        <v>0</v>
      </c>
      <c r="Y831" s="90" t="b">
        <v>0</v>
      </c>
      <c r="Z831" s="40" t="s">
        <v>3896</v>
      </c>
      <c r="AA831" s="41"/>
      <c r="AK831" s="16"/>
      <c r="AL831" s="16"/>
      <c r="AM831" s="16"/>
      <c r="AN831" s="16"/>
      <c r="AO831" s="16"/>
      <c r="AP831" s="16"/>
      <c r="AQ831" s="16"/>
      <c r="AR831" s="16"/>
      <c r="AS831" s="16"/>
    </row>
    <row r="832" spans="1:45" s="7" customFormat="1" ht="195" customHeight="1">
      <c r="A832" s="27">
        <f>[1]트램표준체크리스트!A889</f>
        <v>887</v>
      </c>
      <c r="B832" s="28" t="str">
        <f>[1]트램표준체크리스트!B889</f>
        <v>통신</v>
      </c>
      <c r="C832" s="29" t="str">
        <f>[1]트램표준체크리스트!C889</f>
        <v>통신 전송망 구축 계획</v>
      </c>
      <c r="D832" s="30" t="str">
        <f>[1]트램표준체크리스트!F889</f>
        <v>광케이블 단일 경로 설계 및 이중화 누락으로 외부 요인 단선 시 전 노선 통신·신호 관제가 전면 마비될 리스크를 검토하였는가?</v>
      </c>
      <c r="E832" s="31" t="s">
        <v>3792</v>
      </c>
      <c r="F832" s="32" t="str">
        <f t="shared" si="26"/>
        <v>극상</v>
      </c>
      <c r="G832" s="63" t="s">
        <v>40</v>
      </c>
      <c r="H832" s="63" t="s">
        <v>41</v>
      </c>
      <c r="I832" s="34" t="s">
        <v>3793</v>
      </c>
      <c r="J832" s="33"/>
      <c r="K832" s="35"/>
      <c r="L832" s="33"/>
      <c r="M832" s="36"/>
      <c r="N832" s="33"/>
      <c r="O832" s="36"/>
      <c r="P832" s="33"/>
      <c r="Q832" s="37"/>
      <c r="R832" s="38"/>
      <c r="S832" s="33"/>
      <c r="T832" s="38"/>
      <c r="U832" s="33"/>
      <c r="V832" s="39"/>
      <c r="W832" s="90" t="b">
        <v>1</v>
      </c>
      <c r="X832" s="90" t="b">
        <v>0</v>
      </c>
      <c r="Y832" s="90" t="b">
        <v>1</v>
      </c>
      <c r="Z832" s="40" t="s">
        <v>3897</v>
      </c>
      <c r="AA832" s="41"/>
      <c r="AK832" s="16"/>
      <c r="AL832" s="16"/>
      <c r="AM832" s="16"/>
      <c r="AN832" s="16"/>
      <c r="AO832" s="16"/>
      <c r="AP832" s="16"/>
      <c r="AQ832" s="16"/>
      <c r="AR832" s="16"/>
      <c r="AS832" s="16"/>
    </row>
    <row r="833" spans="1:45" s="7" customFormat="1" ht="195" customHeight="1">
      <c r="A833" s="27">
        <f>[1]트램표준체크리스트!A890</f>
        <v>888</v>
      </c>
      <c r="B833" s="28" t="str">
        <f>[1]트램표준체크리스트!B890</f>
        <v>통신</v>
      </c>
      <c r="C833" s="29" t="str">
        <f>[1]트램표준체크리스트!C890</f>
        <v>통신 전송망 스위치 장애 대비 계획</v>
      </c>
      <c r="D833" s="30" t="str">
        <f>[1]트램표준체크리스트!F890</f>
        <v>스위치 By-Pass 기능 누락으로 단일 장애 시 링 망 전체 데이터 통신이 연쇄 마비될 리스크를 검토하였는가?</v>
      </c>
      <c r="E833" s="31" t="s">
        <v>3794</v>
      </c>
      <c r="F833" s="32" t="str">
        <f t="shared" si="26"/>
        <v>극상</v>
      </c>
      <c r="G833" s="63" t="s">
        <v>40</v>
      </c>
      <c r="H833" s="63" t="s">
        <v>41</v>
      </c>
      <c r="I833" s="34" t="s">
        <v>3795</v>
      </c>
      <c r="J833" s="33"/>
      <c r="K833" s="35"/>
      <c r="L833" s="33"/>
      <c r="M833" s="36"/>
      <c r="N833" s="33"/>
      <c r="O833" s="36"/>
      <c r="P833" s="33"/>
      <c r="Q833" s="37"/>
      <c r="R833" s="38"/>
      <c r="S833" s="33"/>
      <c r="T833" s="38"/>
      <c r="U833" s="33"/>
      <c r="V833" s="39"/>
      <c r="W833" s="90" t="b">
        <v>0</v>
      </c>
      <c r="X833" s="90" t="b">
        <v>0</v>
      </c>
      <c r="Y833" s="90" t="b">
        <v>0</v>
      </c>
      <c r="Z833" s="40" t="s">
        <v>3898</v>
      </c>
      <c r="AA833" s="41"/>
      <c r="AK833" s="16"/>
      <c r="AL833" s="16"/>
      <c r="AM833" s="16"/>
      <c r="AN833" s="16"/>
      <c r="AO833" s="16"/>
      <c r="AP833" s="16"/>
      <c r="AQ833" s="16"/>
      <c r="AR833" s="16"/>
      <c r="AS833" s="16"/>
    </row>
    <row r="834" spans="1:45" s="7" customFormat="1" ht="195" customHeight="1">
      <c r="A834" s="27">
        <f>[1]트램표준체크리스트!A891</f>
        <v>889</v>
      </c>
      <c r="B834" s="28" t="str">
        <f>[1]트램표준체크리스트!B891</f>
        <v>통신</v>
      </c>
      <c r="C834" s="29" t="str">
        <f>[1]트램표준체크리스트!C891</f>
        <v>통신 전송설비 생존성 계획</v>
      </c>
      <c r="D834" s="30" t="str">
        <f>[1]트램표준체크리스트!F891</f>
        <v>광 바이패스(By-Pass) 기능 누락으로 단일 정거장 전원 상실이 링 네트워크 전체 단절(Single Point of Failure)로 이어질 리스크를 검토하였는가?</v>
      </c>
      <c r="E834" s="31" t="s">
        <v>3796</v>
      </c>
      <c r="F834" s="32" t="str">
        <f t="shared" si="26"/>
        <v>극상</v>
      </c>
      <c r="G834" s="63" t="s">
        <v>40</v>
      </c>
      <c r="H834" s="63" t="s">
        <v>41</v>
      </c>
      <c r="I834" s="34" t="s">
        <v>3797</v>
      </c>
      <c r="J834" s="33"/>
      <c r="K834" s="35"/>
      <c r="L834" s="33"/>
      <c r="M834" s="36"/>
      <c r="N834" s="33"/>
      <c r="O834" s="36"/>
      <c r="P834" s="33"/>
      <c r="Q834" s="37"/>
      <c r="R834" s="38"/>
      <c r="S834" s="33"/>
      <c r="T834" s="38"/>
      <c r="U834" s="33"/>
      <c r="V834" s="39"/>
      <c r="W834" s="90" t="b">
        <v>0</v>
      </c>
      <c r="X834" s="90" t="b">
        <v>0</v>
      </c>
      <c r="Y834" s="90" t="b">
        <v>0</v>
      </c>
      <c r="Z834" s="40" t="s">
        <v>3899</v>
      </c>
      <c r="AA834" s="41"/>
      <c r="AK834" s="16"/>
      <c r="AL834" s="16"/>
      <c r="AM834" s="16"/>
      <c r="AN834" s="16"/>
      <c r="AO834" s="16"/>
      <c r="AP834" s="16"/>
      <c r="AQ834" s="16"/>
      <c r="AR834" s="16"/>
      <c r="AS834" s="16"/>
    </row>
    <row r="835" spans="1:45" s="7" customFormat="1" ht="195" customHeight="1">
      <c r="A835" s="27">
        <f>[1]트램표준체크리스트!A892</f>
        <v>890</v>
      </c>
      <c r="B835" s="28" t="str">
        <f>[1]트램표준체크리스트!B892</f>
        <v>통신</v>
      </c>
      <c r="C835" s="29" t="str">
        <f>[1]트램표준체크리스트!C892</f>
        <v>통신 전원설비 감시계획</v>
      </c>
      <c r="D835" s="30" t="str">
        <f>[1]트램표준체크리스트!F892</f>
        <v>UPS·정류기 원격 감시(EMS) 설계 누락으로 배터리 방전·고장 조기 인지 실패 시 통신망 전면 셧다운이 발생할 리스크를 검토하였는가?</v>
      </c>
      <c r="E835" s="31" t="s">
        <v>3798</v>
      </c>
      <c r="F835" s="32" t="str">
        <f t="shared" si="26"/>
        <v>극상</v>
      </c>
      <c r="G835" s="63" t="s">
        <v>40</v>
      </c>
      <c r="H835" s="63" t="s">
        <v>41</v>
      </c>
      <c r="I835" s="34" t="s">
        <v>3799</v>
      </c>
      <c r="J835" s="33"/>
      <c r="K835" s="35"/>
      <c r="L835" s="33"/>
      <c r="M835" s="36"/>
      <c r="N835" s="33"/>
      <c r="O835" s="36"/>
      <c r="P835" s="33"/>
      <c r="Q835" s="37"/>
      <c r="R835" s="38"/>
      <c r="S835" s="33"/>
      <c r="T835" s="38"/>
      <c r="U835" s="33"/>
      <c r="V835" s="39"/>
      <c r="W835" s="90" t="b">
        <v>0</v>
      </c>
      <c r="X835" s="90" t="b">
        <v>0</v>
      </c>
      <c r="Y835" s="90" t="b">
        <v>0</v>
      </c>
      <c r="Z835" s="40" t="s">
        <v>3900</v>
      </c>
      <c r="AA835" s="41"/>
      <c r="AK835" s="16"/>
      <c r="AL835" s="16"/>
      <c r="AM835" s="16"/>
      <c r="AN835" s="16"/>
      <c r="AO835" s="16"/>
      <c r="AP835" s="16"/>
      <c r="AQ835" s="16"/>
      <c r="AR835" s="16"/>
      <c r="AS835" s="16"/>
    </row>
    <row r="836" spans="1:45" s="7" customFormat="1" ht="195" customHeight="1">
      <c r="A836" s="27">
        <f>[1]트램표준체크리스트!A893</f>
        <v>891</v>
      </c>
      <c r="B836" s="28" t="str">
        <f>[1]트램표준체크리스트!B893</f>
        <v>통신</v>
      </c>
      <c r="C836" s="29" t="str">
        <f>[1]트램표준체크리스트!C893</f>
        <v>통신 전원설비 계획</v>
      </c>
      <c r="D836" s="30" t="str">
        <f>[1]트램표준체크리스트!F893</f>
        <v>장비 소모 전력 과소 산정 및 UPS 용량 부족 설계로, 정전 시 관제 기능 및 통신망이 마비될 리스크를 검토하였는가?</v>
      </c>
      <c r="E836" s="31" t="s">
        <v>3800</v>
      </c>
      <c r="F836" s="32" t="str">
        <f t="shared" si="26"/>
        <v>극상</v>
      </c>
      <c r="G836" s="63" t="s">
        <v>40</v>
      </c>
      <c r="H836" s="63" t="s">
        <v>41</v>
      </c>
      <c r="I836" s="34" t="s">
        <v>3801</v>
      </c>
      <c r="J836" s="33"/>
      <c r="K836" s="35"/>
      <c r="L836" s="33"/>
      <c r="M836" s="36"/>
      <c r="N836" s="33"/>
      <c r="O836" s="36"/>
      <c r="P836" s="33"/>
      <c r="Q836" s="37"/>
      <c r="R836" s="38"/>
      <c r="S836" s="33"/>
      <c r="T836" s="38"/>
      <c r="U836" s="33"/>
      <c r="V836" s="39"/>
      <c r="W836" s="90" t="b">
        <v>0</v>
      </c>
      <c r="X836" s="90" t="b">
        <v>0</v>
      </c>
      <c r="Y836" s="90" t="b">
        <v>0</v>
      </c>
      <c r="Z836" s="40" t="s">
        <v>3901</v>
      </c>
      <c r="AA836" s="41"/>
      <c r="AK836" s="16"/>
      <c r="AL836" s="16"/>
      <c r="AM836" s="16"/>
      <c r="AN836" s="16"/>
      <c r="AO836" s="16"/>
      <c r="AP836" s="16"/>
      <c r="AQ836" s="16"/>
      <c r="AR836" s="16"/>
      <c r="AS836" s="16"/>
    </row>
    <row r="837" spans="1:45" s="7" customFormat="1" ht="195" customHeight="1">
      <c r="A837" s="27">
        <f>[1]트램표준체크리스트!A894</f>
        <v>892</v>
      </c>
      <c r="B837" s="28" t="str">
        <f>[1]트램표준체크리스트!B894</f>
        <v>통신</v>
      </c>
      <c r="C837" s="29" t="str">
        <f>[1]트램표준체크리스트!C894</f>
        <v>통신 접지설비 유지관리 계획</v>
      </c>
      <c r="D837" s="30" t="str">
        <f>[1]트램표준체크리스트!F894</f>
        <v>통합접지 연계 및 상시 접지저항 측정용 시험 단자 누락으로 준공 후 접지 성능 저하 시 즉각 점검이 불가해질 유지보수 저해 리스크를 검토하였는가?</v>
      </c>
      <c r="E837" s="31" t="s">
        <v>3802</v>
      </c>
      <c r="F837" s="32" t="str">
        <f t="shared" si="26"/>
        <v>극상</v>
      </c>
      <c r="G837" s="63" t="s">
        <v>40</v>
      </c>
      <c r="H837" s="63" t="s">
        <v>41</v>
      </c>
      <c r="I837" s="34" t="s">
        <v>3803</v>
      </c>
      <c r="J837" s="33"/>
      <c r="K837" s="35"/>
      <c r="L837" s="33"/>
      <c r="M837" s="36"/>
      <c r="N837" s="33"/>
      <c r="O837" s="36"/>
      <c r="P837" s="33"/>
      <c r="Q837" s="37"/>
      <c r="R837" s="38"/>
      <c r="S837" s="33"/>
      <c r="T837" s="38"/>
      <c r="U837" s="33"/>
      <c r="V837" s="39"/>
      <c r="W837" s="90" t="b">
        <v>0</v>
      </c>
      <c r="X837" s="90" t="b">
        <v>0</v>
      </c>
      <c r="Y837" s="90" t="b">
        <v>0</v>
      </c>
      <c r="Z837" s="40" t="s">
        <v>3902</v>
      </c>
      <c r="AA837" s="41"/>
      <c r="AK837" s="16"/>
      <c r="AL837" s="16"/>
      <c r="AM837" s="16"/>
      <c r="AN837" s="16"/>
      <c r="AO837" s="16"/>
      <c r="AP837" s="16"/>
      <c r="AQ837" s="16"/>
      <c r="AR837" s="16"/>
      <c r="AS837" s="16"/>
    </row>
    <row r="838" spans="1:45" s="7" customFormat="1" ht="195" customHeight="1">
      <c r="A838" s="27">
        <f>[1]트램표준체크리스트!A895</f>
        <v>893</v>
      </c>
      <c r="B838" s="28" t="str">
        <f>[1]트램표준체크리스트!B895</f>
        <v>통신</v>
      </c>
      <c r="C838" s="29" t="str">
        <f>[1]트램표준체크리스트!C895</f>
        <v>통신 접지설비 유지관리 계획</v>
      </c>
      <c r="D838" s="30" t="str">
        <f>[1]트램표준체크리스트!F895</f>
        <v>분리형 시험단자 설계 누락으로 유지보수 시 통신장비 접지 성능 저하 판별이 불가해질 리스크를 검토하였는가?</v>
      </c>
      <c r="E838" s="31" t="s">
        <v>3804</v>
      </c>
      <c r="F838" s="32" t="str">
        <f t="shared" si="26"/>
        <v>극상</v>
      </c>
      <c r="G838" s="63" t="s">
        <v>40</v>
      </c>
      <c r="H838" s="63" t="s">
        <v>41</v>
      </c>
      <c r="I838" s="34" t="s">
        <v>3805</v>
      </c>
      <c r="J838" s="33"/>
      <c r="K838" s="35"/>
      <c r="L838" s="33"/>
      <c r="M838" s="36"/>
      <c r="N838" s="33"/>
      <c r="O838" s="36"/>
      <c r="P838" s="33"/>
      <c r="Q838" s="37"/>
      <c r="R838" s="38"/>
      <c r="S838" s="33"/>
      <c r="T838" s="38"/>
      <c r="U838" s="33"/>
      <c r="V838" s="39"/>
      <c r="W838" s="90" t="b">
        <v>0</v>
      </c>
      <c r="X838" s="90" t="b">
        <v>0</v>
      </c>
      <c r="Y838" s="90" t="b">
        <v>0</v>
      </c>
      <c r="Z838" s="40" t="s">
        <v>3903</v>
      </c>
      <c r="AA838" s="41"/>
      <c r="AK838" s="16"/>
      <c r="AL838" s="16"/>
      <c r="AM838" s="16"/>
      <c r="AN838" s="16"/>
      <c r="AO838" s="16"/>
      <c r="AP838" s="16"/>
      <c r="AQ838" s="16"/>
      <c r="AR838" s="16"/>
      <c r="AS838" s="16"/>
    </row>
    <row r="839" spans="1:45" s="7" customFormat="1" ht="195" customHeight="1">
      <c r="A839" s="27">
        <f>[1]트램표준체크리스트!A896</f>
        <v>894</v>
      </c>
      <c r="B839" s="28" t="str">
        <f>[1]트램표준체크리스트!B896</f>
        <v>통신</v>
      </c>
      <c r="C839" s="29" t="str">
        <f>[1]트램표준체크리스트!C896</f>
        <v>통신-건축 인터페이스</v>
      </c>
      <c r="D839" s="30" t="str">
        <f>[1]트램표준체크리스트!F896</f>
        <v>개별 함체 돌출로 도시 미관을 저해하거나, 샤프트 공간 누락으로 구조물 코어링 등 재작업이 발생할 리스크를 검토하였는가?</v>
      </c>
      <c r="E839" s="31" t="s">
        <v>3806</v>
      </c>
      <c r="F839" s="32" t="str">
        <f t="shared" si="26"/>
        <v>극상</v>
      </c>
      <c r="G839" s="63" t="s">
        <v>40</v>
      </c>
      <c r="H839" s="63" t="s">
        <v>41</v>
      </c>
      <c r="I839" s="34" t="s">
        <v>3807</v>
      </c>
      <c r="J839" s="33"/>
      <c r="K839" s="35"/>
      <c r="L839" s="33"/>
      <c r="M839" s="36"/>
      <c r="N839" s="33"/>
      <c r="O839" s="36"/>
      <c r="P839" s="33"/>
      <c r="Q839" s="37"/>
      <c r="R839" s="38"/>
      <c r="S839" s="33"/>
      <c r="T839" s="38"/>
      <c r="U839" s="33"/>
      <c r="V839" s="39"/>
      <c r="W839" s="90" t="b">
        <v>0</v>
      </c>
      <c r="X839" s="90" t="b">
        <v>0</v>
      </c>
      <c r="Y839" s="90" t="b">
        <v>0</v>
      </c>
      <c r="Z839" s="40" t="s">
        <v>3904</v>
      </c>
      <c r="AA839" s="41"/>
      <c r="AK839" s="16"/>
      <c r="AL839" s="16"/>
      <c r="AM839" s="16"/>
      <c r="AN839" s="16"/>
      <c r="AO839" s="16"/>
      <c r="AP839" s="16"/>
      <c r="AQ839" s="16"/>
      <c r="AR839" s="16"/>
      <c r="AS839" s="16"/>
    </row>
    <row r="840" spans="1:45" s="7" customFormat="1" ht="195" customHeight="1">
      <c r="A840" s="27">
        <f>[1]트램표준체크리스트!A897</f>
        <v>895</v>
      </c>
      <c r="B840" s="28" t="str">
        <f>[1]트램표준체크리스트!B897</f>
        <v>통신</v>
      </c>
      <c r="C840" s="29" t="str">
        <f>[1]트램표준체크리스트!C897</f>
        <v>통신-기계 인터페이스</v>
      </c>
      <c r="D840" s="30" t="str">
        <f>[1]트램표준체크리스트!F897</f>
        <v>기계 자동제어(DDC) 전용 통신포트 및 광케이블 할당 누락으로 환기팬·배수펌프 등 기계설비 원격 감시·제어가 불가해질 리스크를 검토하였는가?</v>
      </c>
      <c r="E840" s="31" t="s">
        <v>3808</v>
      </c>
      <c r="F840" s="32" t="str">
        <f t="shared" si="26"/>
        <v>극상</v>
      </c>
      <c r="G840" s="63" t="s">
        <v>40</v>
      </c>
      <c r="H840" s="63" t="s">
        <v>41</v>
      </c>
      <c r="I840" s="34" t="s">
        <v>3809</v>
      </c>
      <c r="J840" s="33"/>
      <c r="K840" s="35"/>
      <c r="L840" s="33"/>
      <c r="M840" s="36"/>
      <c r="N840" s="33"/>
      <c r="O840" s="36"/>
      <c r="P840" s="33"/>
      <c r="Q840" s="37"/>
      <c r="R840" s="38"/>
      <c r="S840" s="33"/>
      <c r="T840" s="38"/>
      <c r="U840" s="33"/>
      <c r="V840" s="39"/>
      <c r="W840" s="90" t="b">
        <v>0</v>
      </c>
      <c r="X840" s="90" t="b">
        <v>0</v>
      </c>
      <c r="Y840" s="90" t="b">
        <v>0</v>
      </c>
      <c r="Z840" s="40" t="s">
        <v>3905</v>
      </c>
      <c r="AA840" s="41"/>
      <c r="AK840" s="16"/>
      <c r="AL840" s="16"/>
      <c r="AM840" s="16"/>
      <c r="AN840" s="16"/>
      <c r="AO840" s="16"/>
      <c r="AP840" s="16"/>
      <c r="AQ840" s="16"/>
      <c r="AR840" s="16"/>
      <c r="AS840" s="16"/>
    </row>
    <row r="841" spans="1:45" s="7" customFormat="1" ht="195" customHeight="1">
      <c r="A841" s="27">
        <f>[1]트램표준체크리스트!A898</f>
        <v>896</v>
      </c>
      <c r="B841" s="28" t="str">
        <f>[1]트램표준체크리스트!B898</f>
        <v>통신</v>
      </c>
      <c r="C841" s="29" t="str">
        <f>[1]트램표준체크리스트!C898</f>
        <v>통신-도로교통 인터페이스</v>
      </c>
      <c r="D841" s="30" t="str">
        <f>[1]트램표준체크리스트!F898</f>
        <v>교통신호제어기-차상 간 근거리 무선통신(WiFi 등) 설계 누락 및 규격 불일치로 교차로 트램 우선신호 체계가 미작동할 리스크를 검토하였는가?</v>
      </c>
      <c r="E841" s="31" t="s">
        <v>3810</v>
      </c>
      <c r="F841" s="32" t="str">
        <f t="shared" si="26"/>
        <v>극상</v>
      </c>
      <c r="G841" s="63" t="s">
        <v>40</v>
      </c>
      <c r="H841" s="63" t="s">
        <v>41</v>
      </c>
      <c r="I841" s="34" t="s">
        <v>3811</v>
      </c>
      <c r="J841" s="33"/>
      <c r="K841" s="35"/>
      <c r="L841" s="33"/>
      <c r="M841" s="36"/>
      <c r="N841" s="33"/>
      <c r="O841" s="36"/>
      <c r="P841" s="33"/>
      <c r="Q841" s="37"/>
      <c r="R841" s="38"/>
      <c r="S841" s="33"/>
      <c r="T841" s="38"/>
      <c r="U841" s="33"/>
      <c r="V841" s="39"/>
      <c r="W841" s="90" t="b">
        <v>0</v>
      </c>
      <c r="X841" s="90" t="b">
        <v>0</v>
      </c>
      <c r="Y841" s="90" t="b">
        <v>0</v>
      </c>
      <c r="Z841" s="40" t="s">
        <v>3906</v>
      </c>
      <c r="AA841" s="41"/>
      <c r="AK841" s="16"/>
      <c r="AL841" s="16"/>
      <c r="AM841" s="16"/>
      <c r="AN841" s="16"/>
      <c r="AO841" s="16"/>
      <c r="AP841" s="16"/>
      <c r="AQ841" s="16"/>
      <c r="AR841" s="16"/>
      <c r="AS841" s="16"/>
    </row>
    <row r="842" spans="1:45" s="7" customFormat="1" ht="195" customHeight="1">
      <c r="A842" s="27">
        <f>[1]트램표준체크리스트!A899</f>
        <v>897</v>
      </c>
      <c r="B842" s="28" t="str">
        <f>[1]트램표준체크리스트!B899</f>
        <v>통신</v>
      </c>
      <c r="C842" s="29" t="str">
        <f>[1]트램표준체크리스트!C899</f>
        <v>통신-도로교통 인터페이스</v>
      </c>
      <c r="D842" s="30" t="str">
        <f>[1]트램표준체크리스트!F899</f>
        <v>관제실-지자체 간 이중계 연동 및 보안기능 누락으로 우선신호 공유 불가 및 사이버 위협에 노출될 리스크를 검토하였는가?</v>
      </c>
      <c r="E842" s="31" t="s">
        <v>3812</v>
      </c>
      <c r="F842" s="32" t="str">
        <f t="shared" si="26"/>
        <v>극상</v>
      </c>
      <c r="G842" s="63" t="s">
        <v>40</v>
      </c>
      <c r="H842" s="63" t="s">
        <v>41</v>
      </c>
      <c r="I842" s="34" t="s">
        <v>3813</v>
      </c>
      <c r="J842" s="33"/>
      <c r="K842" s="35"/>
      <c r="L842" s="33"/>
      <c r="M842" s="36"/>
      <c r="N842" s="33"/>
      <c r="O842" s="36"/>
      <c r="P842" s="33"/>
      <c r="Q842" s="37"/>
      <c r="R842" s="38"/>
      <c r="S842" s="33"/>
      <c r="T842" s="38"/>
      <c r="U842" s="33"/>
      <c r="V842" s="39"/>
      <c r="W842" s="90" t="b">
        <v>0</v>
      </c>
      <c r="X842" s="90" t="b">
        <v>0</v>
      </c>
      <c r="Y842" s="90" t="b">
        <v>0</v>
      </c>
      <c r="Z842" s="40" t="s">
        <v>3907</v>
      </c>
      <c r="AA842" s="41"/>
      <c r="AK842" s="16"/>
      <c r="AL842" s="16"/>
      <c r="AM842" s="16"/>
      <c r="AN842" s="16"/>
      <c r="AO842" s="16"/>
      <c r="AP842" s="16"/>
      <c r="AQ842" s="16"/>
      <c r="AR842" s="16"/>
      <c r="AS842" s="16"/>
    </row>
    <row r="843" spans="1:45" s="7" customFormat="1" ht="195" customHeight="1">
      <c r="A843" s="27">
        <f>[1]트램표준체크리스트!A900</f>
        <v>898</v>
      </c>
      <c r="B843" s="28" t="str">
        <f>[1]트램표준체크리스트!B900</f>
        <v>통신</v>
      </c>
      <c r="C843" s="29" t="str">
        <f>[1]트램표준체크리스트!C900</f>
        <v>통신-소방 인터페이스</v>
      </c>
      <c r="D843" s="30" t="str">
        <f>[1]트램표준체크리스트!F900</f>
        <v>방송설비-화재수신반 간 연동 회로 및 인터페이스 누락으로 화재 감지 시 비상 대피 방송이 출력되지 않을 리스크를 검토하였는가?</v>
      </c>
      <c r="E843" s="31" t="s">
        <v>3814</v>
      </c>
      <c r="F843" s="32" t="str">
        <f>_xlfn.LET(
    _xlpm.v_발생, IF(ISNUMBER(SEARCH("빈번", G843)), "상",
               IF(ISNUMBER(SEARCH("거의", G843)), "하", "중")),
    _xlpm.v_영향, IF(ISNUMBER(SEARCH("1개월", H843)), "상",
               IF(ISNUMBER(SEARCH("없음", H843)), "하", "중")),
    IF(AND(_xlpm.v_발생="상", _xlpm.v_영향="상"), "극상",
    IF(OR(_xlpm.v_발생="상", _xlpm.v_영향="상"), "상",
    IF(AND(_xlpm.v_발생="하", _xlpm.v_영향="하"), "하",
    "중")))
)</f>
        <v>극상</v>
      </c>
      <c r="G843" s="63" t="s">
        <v>40</v>
      </c>
      <c r="H843" s="63" t="s">
        <v>41</v>
      </c>
      <c r="I843" s="34" t="s">
        <v>3815</v>
      </c>
      <c r="J843" s="33"/>
      <c r="K843" s="35"/>
      <c r="L843" s="33"/>
      <c r="M843" s="36"/>
      <c r="N843" s="33"/>
      <c r="O843" s="36"/>
      <c r="P843" s="33"/>
      <c r="Q843" s="37"/>
      <c r="R843" s="38"/>
      <c r="S843" s="33"/>
      <c r="T843" s="38"/>
      <c r="U843" s="33"/>
      <c r="V843" s="39"/>
      <c r="W843" s="90" t="b">
        <v>0</v>
      </c>
      <c r="X843" s="90" t="b">
        <v>0</v>
      </c>
      <c r="Y843" s="90" t="b">
        <v>0</v>
      </c>
      <c r="Z843" s="40" t="s">
        <v>3908</v>
      </c>
      <c r="AA843" s="41"/>
      <c r="AK843" s="16"/>
      <c r="AL843" s="16"/>
      <c r="AM843" s="16"/>
      <c r="AN843" s="16"/>
      <c r="AO843" s="16"/>
      <c r="AP843" s="16"/>
      <c r="AQ843" s="16"/>
      <c r="AR843" s="16"/>
      <c r="AS843" s="16"/>
    </row>
    <row r="844" spans="1:45" s="7" customFormat="1" ht="195" customHeight="1">
      <c r="A844" s="27">
        <f>[1]트램표준체크리스트!A901</f>
        <v>899</v>
      </c>
      <c r="B844" s="28" t="str">
        <f>[1]트램표준체크리스트!B901</f>
        <v>통신</v>
      </c>
      <c r="C844" s="29" t="str">
        <f>[1]트램표준체크리스트!C901</f>
        <v>통신-스마트유지관리 인터페이스</v>
      </c>
      <c r="D844" s="30" t="str">
        <f>[1]트램표준체크리스트!F901</f>
        <v>IoT 센서-백본망 간 통신 프로토콜 및 대역폭 할당 설계 누락으로 구조물 계측 데이터 원격 감시가 불가해질 리스크를 검토하였는가?</v>
      </c>
      <c r="E844" s="31" t="s">
        <v>3816</v>
      </c>
      <c r="F844" s="32" t="str">
        <f t="shared" ref="F844:F875" si="27">_xlfn.LET(
_xlpm.v_발생, IF(ISNUMBER(SEARCH("빈번", G844)), "상",
IF(ISNUMBER(SEARCH("거의", G844)), "하", "중")),
_xlpm.v_영향, IF(ISNUMBER(SEARCH("1개월", H844)), "상",
IF(ISNUMBER(SEARCH("없음", H844)), "하", "중")),
IF(AND(_xlpm.v_발생="상", _xlpm.v_영향="상"), "극상",
IF(OR(_xlpm.v_발생="상", _xlpm.v_영향="상"), "상",
IF(AND(_xlpm.v_발생="하", _xlpm.v_영향="하"), "하",
"중")))
)</f>
        <v>극상</v>
      </c>
      <c r="G844" s="63" t="s">
        <v>40</v>
      </c>
      <c r="H844" s="63" t="s">
        <v>41</v>
      </c>
      <c r="I844" s="34" t="s">
        <v>3817</v>
      </c>
      <c r="J844" s="33"/>
      <c r="K844" s="35"/>
      <c r="L844" s="33"/>
      <c r="M844" s="36"/>
      <c r="N844" s="33"/>
      <c r="O844" s="36"/>
      <c r="P844" s="33"/>
      <c r="Q844" s="37"/>
      <c r="R844" s="38"/>
      <c r="S844" s="33"/>
      <c r="T844" s="38"/>
      <c r="U844" s="33"/>
      <c r="V844" s="39"/>
      <c r="W844" s="90" t="b">
        <v>0</v>
      </c>
      <c r="X844" s="90" t="b">
        <v>0</v>
      </c>
      <c r="Y844" s="90" t="b">
        <v>0</v>
      </c>
      <c r="Z844" s="40" t="s">
        <v>3909</v>
      </c>
      <c r="AA844" s="41"/>
      <c r="AK844" s="16"/>
      <c r="AL844" s="16"/>
      <c r="AM844" s="16"/>
      <c r="AN844" s="16"/>
      <c r="AO844" s="16"/>
      <c r="AP844" s="16"/>
      <c r="AQ844" s="16"/>
      <c r="AR844" s="16"/>
      <c r="AS844" s="16"/>
    </row>
    <row r="845" spans="1:45" s="7" customFormat="1" ht="195" customHeight="1">
      <c r="A845" s="27">
        <f>[1]트램표준체크리스트!A902</f>
        <v>900</v>
      </c>
      <c r="B845" s="28" t="str">
        <f>[1]트램표준체크리스트!B902</f>
        <v>통신</v>
      </c>
      <c r="C845" s="29" t="str">
        <f>[1]트램표준체크리스트!C902</f>
        <v>통신-신호/전력 인터페이스</v>
      </c>
      <c r="D845" s="30" t="str">
        <f>[1]트램표준체크리스트!F902</f>
        <v>타 분야(신호/전력) 연동 광포트 및 회선 대역폭 설계 누락으로 개통 후 종합관제실 열차제어 및 전력망 원격 통제가 불가해질 리스크를 검토하였는가?</v>
      </c>
      <c r="E845" s="31" t="s">
        <v>3818</v>
      </c>
      <c r="F845" s="32" t="str">
        <f t="shared" si="27"/>
        <v>극상</v>
      </c>
      <c r="G845" s="63" t="s">
        <v>40</v>
      </c>
      <c r="H845" s="63" t="s">
        <v>41</v>
      </c>
      <c r="I845" s="34" t="s">
        <v>3819</v>
      </c>
      <c r="J845" s="33"/>
      <c r="K845" s="35"/>
      <c r="L845" s="33"/>
      <c r="M845" s="36"/>
      <c r="N845" s="33"/>
      <c r="O845" s="36"/>
      <c r="P845" s="33"/>
      <c r="Q845" s="37"/>
      <c r="R845" s="38"/>
      <c r="S845" s="33"/>
      <c r="T845" s="38"/>
      <c r="U845" s="33"/>
      <c r="V845" s="39"/>
      <c r="W845" s="90" t="b">
        <v>0</v>
      </c>
      <c r="X845" s="90" t="b">
        <v>0</v>
      </c>
      <c r="Y845" s="90" t="b">
        <v>0</v>
      </c>
      <c r="Z845" s="40" t="s">
        <v>3910</v>
      </c>
      <c r="AA845" s="41"/>
      <c r="AK845" s="16"/>
      <c r="AL845" s="16"/>
      <c r="AM845" s="16"/>
      <c r="AN845" s="16"/>
      <c r="AO845" s="16"/>
      <c r="AP845" s="16"/>
      <c r="AQ845" s="16"/>
      <c r="AR845" s="16"/>
      <c r="AS845" s="16"/>
    </row>
    <row r="846" spans="1:45" s="7" customFormat="1" ht="195" customHeight="1">
      <c r="A846" s="27">
        <f>[1]트램표준체크리스트!A903</f>
        <v>901</v>
      </c>
      <c r="B846" s="28" t="str">
        <f>[1]트램표준체크리스트!B903</f>
        <v>통신</v>
      </c>
      <c r="C846" s="29" t="str">
        <f>[1]트램표준체크리스트!C903</f>
        <v>통신-신호/전력 인터페이스</v>
      </c>
      <c r="D846" s="30" t="str">
        <f>[1]트램표준체크리스트!F903</f>
        <v>열차의 교차로 통과시 우선요청 무선신호 전송 실패 리스크를 검토하였는가?</v>
      </c>
      <c r="E846" s="31" t="s">
        <v>3820</v>
      </c>
      <c r="F846" s="32" t="str">
        <f t="shared" si="27"/>
        <v>극상</v>
      </c>
      <c r="G846" s="63" t="s">
        <v>40</v>
      </c>
      <c r="H846" s="63" t="s">
        <v>41</v>
      </c>
      <c r="I846" s="34"/>
      <c r="J846" s="33"/>
      <c r="K846" s="35"/>
      <c r="L846" s="33"/>
      <c r="M846" s="36"/>
      <c r="N846" s="33"/>
      <c r="O846" s="36"/>
      <c r="P846" s="33"/>
      <c r="Q846" s="37"/>
      <c r="R846" s="38"/>
      <c r="S846" s="33"/>
      <c r="T846" s="38"/>
      <c r="U846" s="33"/>
      <c r="V846" s="39"/>
      <c r="W846" s="90" t="b">
        <v>0</v>
      </c>
      <c r="X846" s="90" t="b">
        <v>0</v>
      </c>
      <c r="Y846" s="90" t="b">
        <v>0</v>
      </c>
      <c r="Z846" s="40" t="s">
        <v>3911</v>
      </c>
      <c r="AA846" s="41"/>
      <c r="AK846" s="16"/>
      <c r="AL846" s="16"/>
      <c r="AM846" s="16"/>
      <c r="AN846" s="16"/>
      <c r="AO846" s="16"/>
      <c r="AP846" s="16"/>
      <c r="AQ846" s="16"/>
      <c r="AR846" s="16"/>
      <c r="AS846" s="16"/>
    </row>
    <row r="847" spans="1:45" s="7" customFormat="1" ht="195" customHeight="1">
      <c r="A847" s="27">
        <f>[1]트램표준체크리스트!A904</f>
        <v>902</v>
      </c>
      <c r="B847" s="28" t="str">
        <f>[1]트램표준체크리스트!B904</f>
        <v>통신</v>
      </c>
      <c r="C847" s="29" t="str">
        <f>[1]트램표준체크리스트!C904</f>
        <v>통신-신호/전력 인터페이스</v>
      </c>
      <c r="D847" s="30" t="str">
        <f>[1]트램표준체크리스트!F904</f>
        <v>열차의 교차로 통과시 우선요청 무선신호 전송 실패 리스크를 검토하였는가?</v>
      </c>
      <c r="E847" s="31" t="s">
        <v>3820</v>
      </c>
      <c r="F847" s="32" t="str">
        <f t="shared" si="27"/>
        <v>극상</v>
      </c>
      <c r="G847" s="63" t="s">
        <v>40</v>
      </c>
      <c r="H847" s="63" t="s">
        <v>41</v>
      </c>
      <c r="I847" s="34"/>
      <c r="J847" s="33"/>
      <c r="K847" s="35"/>
      <c r="L847" s="33"/>
      <c r="M847" s="36"/>
      <c r="N847" s="33"/>
      <c r="O847" s="36"/>
      <c r="P847" s="33"/>
      <c r="Q847" s="37"/>
      <c r="R847" s="38"/>
      <c r="S847" s="33"/>
      <c r="T847" s="38"/>
      <c r="U847" s="33"/>
      <c r="V847" s="39"/>
      <c r="W847" s="90" t="b">
        <v>0</v>
      </c>
      <c r="X847" s="90" t="b">
        <v>0</v>
      </c>
      <c r="Y847" s="90" t="b">
        <v>0</v>
      </c>
      <c r="Z847" s="40" t="s">
        <v>3911</v>
      </c>
      <c r="AA847" s="41"/>
      <c r="AK847" s="16"/>
      <c r="AL847" s="16"/>
      <c r="AM847" s="16"/>
      <c r="AN847" s="16"/>
      <c r="AO847" s="16"/>
      <c r="AP847" s="16"/>
      <c r="AQ847" s="16"/>
      <c r="AR847" s="16"/>
      <c r="AS847" s="16"/>
    </row>
    <row r="848" spans="1:45" s="7" customFormat="1" ht="195" customHeight="1">
      <c r="A848" s="27">
        <f>[1]트램표준체크리스트!A905</f>
        <v>903</v>
      </c>
      <c r="B848" s="28" t="str">
        <f>[1]트램표준체크리스트!B905</f>
        <v>통신</v>
      </c>
      <c r="C848" s="29" t="str">
        <f>[1]트램표준체크리스트!C905</f>
        <v>통신-전기 인터페이스</v>
      </c>
      <c r="D848" s="30" t="str">
        <f>[1]트램표준체크리스트!F905</f>
        <v>통합접지망 연계 누락 및 독립 접지 오설계로 낙뢰 시 장비 간 전위차가 발생해 통신 보드 소손 및 통신 장애가 유발될 리스크를 검토하였는가?</v>
      </c>
      <c r="E848" s="31" t="s">
        <v>3821</v>
      </c>
      <c r="F848" s="32" t="str">
        <f t="shared" si="27"/>
        <v>극상</v>
      </c>
      <c r="G848" s="63" t="s">
        <v>40</v>
      </c>
      <c r="H848" s="63" t="s">
        <v>41</v>
      </c>
      <c r="I848" s="34" t="s">
        <v>3822</v>
      </c>
      <c r="J848" s="33"/>
      <c r="K848" s="35"/>
      <c r="L848" s="33"/>
      <c r="M848" s="36"/>
      <c r="N848" s="33"/>
      <c r="O848" s="36"/>
      <c r="P848" s="33"/>
      <c r="Q848" s="37"/>
      <c r="R848" s="38"/>
      <c r="S848" s="33"/>
      <c r="T848" s="38"/>
      <c r="U848" s="33"/>
      <c r="V848" s="39"/>
      <c r="W848" s="90" t="b">
        <v>0</v>
      </c>
      <c r="X848" s="90" t="b">
        <v>0</v>
      </c>
      <c r="Y848" s="90" t="b">
        <v>1</v>
      </c>
      <c r="Z848" s="40" t="s">
        <v>3912</v>
      </c>
      <c r="AA848" s="41"/>
      <c r="AK848" s="16"/>
      <c r="AL848" s="16"/>
      <c r="AM848" s="16"/>
      <c r="AN848" s="16"/>
      <c r="AO848" s="16"/>
      <c r="AP848" s="16"/>
      <c r="AQ848" s="16"/>
      <c r="AR848" s="16"/>
      <c r="AS848" s="16"/>
    </row>
    <row r="849" spans="1:45" s="7" customFormat="1" ht="195" customHeight="1">
      <c r="A849" s="27">
        <f>[1]트램표준체크리스트!A906</f>
        <v>904</v>
      </c>
      <c r="B849" s="28" t="str">
        <f>[1]트램표준체크리스트!B906</f>
        <v>통신</v>
      </c>
      <c r="C849" s="29" t="str">
        <f>[1]트램표준체크리스트!C906</f>
        <v>통신-전기/차량 인터페이스</v>
      </c>
      <c r="D849" s="30" t="str">
        <f>[1]트램표준체크리스트!F906</f>
        <v>고압 충전설비 인근 통신 선로 병행 배치 및 케이블 이격 누락으로 노이즈에 의한 통신 데이터 손실·관제 마비가 발생할 리스크를 검토하였는가?</v>
      </c>
      <c r="E849" s="31" t="s">
        <v>3823</v>
      </c>
      <c r="F849" s="32" t="str">
        <f t="shared" si="27"/>
        <v>극상</v>
      </c>
      <c r="G849" s="63" t="s">
        <v>40</v>
      </c>
      <c r="H849" s="63" t="s">
        <v>41</v>
      </c>
      <c r="I849" s="34" t="s">
        <v>3824</v>
      </c>
      <c r="J849" s="33"/>
      <c r="K849" s="35"/>
      <c r="L849" s="33"/>
      <c r="M849" s="36"/>
      <c r="N849" s="33"/>
      <c r="O849" s="36"/>
      <c r="P849" s="33"/>
      <c r="Q849" s="37"/>
      <c r="R849" s="38"/>
      <c r="S849" s="33"/>
      <c r="T849" s="38"/>
      <c r="U849" s="33"/>
      <c r="V849" s="39"/>
      <c r="W849" s="90" t="b">
        <v>0</v>
      </c>
      <c r="X849" s="90" t="b">
        <v>0</v>
      </c>
      <c r="Y849" s="90" t="b">
        <v>0</v>
      </c>
      <c r="Z849" s="40" t="s">
        <v>3913</v>
      </c>
      <c r="AA849" s="41"/>
      <c r="AK849" s="16"/>
      <c r="AL849" s="16"/>
      <c r="AM849" s="16"/>
      <c r="AN849" s="16"/>
      <c r="AO849" s="16"/>
      <c r="AP849" s="16"/>
      <c r="AQ849" s="16"/>
      <c r="AR849" s="16"/>
      <c r="AS849" s="16"/>
    </row>
    <row r="850" spans="1:45" s="7" customFormat="1" ht="195" customHeight="1">
      <c r="A850" s="27">
        <f>[1]트램표준체크리스트!A907</f>
        <v>905</v>
      </c>
      <c r="B850" s="28" t="str">
        <f>[1]트램표준체크리스트!B907</f>
        <v>통신</v>
      </c>
      <c r="C850" s="29" t="str">
        <f>[1]트램표준체크리스트!C907</f>
        <v>통신-차량 인터페이스</v>
      </c>
      <c r="D850" s="30" t="str">
        <f>[1]트램표준체크리스트!F907</f>
        <v>출입문당 AFC 단말기(2대 이상) 배치 설계와 차량 도면 불일치로 거치 공간 부족 및 제어 전원 배선이 누락될 인터페이스 리스크를 검토하였는가?</v>
      </c>
      <c r="E850" s="31" t="s">
        <v>3825</v>
      </c>
      <c r="F850" s="32" t="str">
        <f t="shared" si="27"/>
        <v>극상</v>
      </c>
      <c r="G850" s="63" t="s">
        <v>40</v>
      </c>
      <c r="H850" s="63" t="s">
        <v>41</v>
      </c>
      <c r="I850" s="34" t="s">
        <v>3826</v>
      </c>
      <c r="J850" s="33"/>
      <c r="K850" s="35"/>
      <c r="L850" s="33"/>
      <c r="M850" s="36"/>
      <c r="N850" s="33"/>
      <c r="O850" s="36"/>
      <c r="P850" s="33"/>
      <c r="Q850" s="37"/>
      <c r="R850" s="38"/>
      <c r="S850" s="33"/>
      <c r="T850" s="38"/>
      <c r="U850" s="33"/>
      <c r="V850" s="39"/>
      <c r="W850" s="90" t="b">
        <v>0</v>
      </c>
      <c r="X850" s="90" t="b">
        <v>0</v>
      </c>
      <c r="Y850" s="90" t="b">
        <v>0</v>
      </c>
      <c r="Z850" s="40" t="s">
        <v>3914</v>
      </c>
      <c r="AA850" s="41"/>
      <c r="AK850" s="16"/>
      <c r="AL850" s="16"/>
      <c r="AM850" s="16"/>
      <c r="AN850" s="16"/>
      <c r="AO850" s="16"/>
      <c r="AP850" s="16"/>
      <c r="AQ850" s="16"/>
      <c r="AR850" s="16"/>
      <c r="AS850" s="16"/>
    </row>
    <row r="851" spans="1:45" s="7" customFormat="1" ht="195" customHeight="1">
      <c r="A851" s="27">
        <f>[1]트램표준체크리스트!A908</f>
        <v>906</v>
      </c>
      <c r="B851" s="28" t="str">
        <f>[1]트램표준체크리스트!B908</f>
        <v>통신</v>
      </c>
      <c r="C851" s="29" t="str">
        <f>[1]트램표준체크리스트!C908</f>
        <v>통신-차량 인터페이스</v>
      </c>
      <c r="D851" s="30" t="str">
        <f>[1]트램표준체크리스트!F908</f>
        <v>내환경 성능 요구사항 누락에 따른 일반 상용품 적용으로 주행 중 장비 파손 및 오작동이 발생할 리스크를 검토하였는가?</v>
      </c>
      <c r="E851" s="31" t="s">
        <v>3827</v>
      </c>
      <c r="F851" s="32" t="str">
        <f t="shared" si="27"/>
        <v>극상</v>
      </c>
      <c r="G851" s="63" t="s">
        <v>40</v>
      </c>
      <c r="H851" s="63" t="s">
        <v>41</v>
      </c>
      <c r="I851" s="34" t="s">
        <v>3828</v>
      </c>
      <c r="J851" s="33"/>
      <c r="K851" s="35"/>
      <c r="L851" s="33"/>
      <c r="M851" s="36"/>
      <c r="N851" s="33"/>
      <c r="O851" s="36"/>
      <c r="P851" s="33"/>
      <c r="Q851" s="37"/>
      <c r="R851" s="38"/>
      <c r="S851" s="33"/>
      <c r="T851" s="38"/>
      <c r="U851" s="33"/>
      <c r="V851" s="39"/>
      <c r="W851" s="90" t="b">
        <v>0</v>
      </c>
      <c r="X851" s="90" t="b">
        <v>0</v>
      </c>
      <c r="Y851" s="90" t="b">
        <v>0</v>
      </c>
      <c r="Z851" s="40" t="s">
        <v>3915</v>
      </c>
      <c r="AA851" s="41"/>
      <c r="AK851" s="16"/>
      <c r="AL851" s="16"/>
      <c r="AM851" s="16"/>
      <c r="AN851" s="16"/>
      <c r="AO851" s="16"/>
      <c r="AP851" s="16"/>
      <c r="AQ851" s="16"/>
      <c r="AR851" s="16"/>
      <c r="AS851" s="16"/>
    </row>
    <row r="852" spans="1:45" s="7" customFormat="1" ht="195" customHeight="1">
      <c r="A852" s="27">
        <f>[1]트램표준체크리스트!A909</f>
        <v>907</v>
      </c>
      <c r="B852" s="28" t="str">
        <f>[1]트램표준체크리스트!B909</f>
        <v>통신</v>
      </c>
      <c r="C852" s="29" t="str">
        <f>[1]트램표준체크리스트!C909</f>
        <v>통신-차량 인터페이스 관리</v>
      </c>
      <c r="D852" s="30" t="str">
        <f>[1]트램표준체크리스트!F909</f>
        <v>통신장비 규격 및 설치 조건이 차량 설계에 적기 미반영되어, 차량 제작 시 부착 공간 부족이나 전원 용량이 미달될 인터페이스 누락 리스크를 검토하였는가?</v>
      </c>
      <c r="E852" s="31" t="s">
        <v>3829</v>
      </c>
      <c r="F852" s="32" t="str">
        <f t="shared" si="27"/>
        <v>극상</v>
      </c>
      <c r="G852" s="63" t="s">
        <v>40</v>
      </c>
      <c r="H852" s="63" t="s">
        <v>41</v>
      </c>
      <c r="I852" s="34" t="s">
        <v>3830</v>
      </c>
      <c r="J852" s="33"/>
      <c r="K852" s="35"/>
      <c r="L852" s="33"/>
      <c r="M852" s="36"/>
      <c r="N852" s="33"/>
      <c r="O852" s="36"/>
      <c r="P852" s="33"/>
      <c r="Q852" s="37"/>
      <c r="R852" s="38"/>
      <c r="S852" s="33"/>
      <c r="T852" s="38"/>
      <c r="U852" s="33"/>
      <c r="V852" s="39"/>
      <c r="W852" s="90" t="b">
        <v>0</v>
      </c>
      <c r="X852" s="90" t="b">
        <v>0</v>
      </c>
      <c r="Y852" s="90" t="b">
        <v>0</v>
      </c>
      <c r="Z852" s="40" t="s">
        <v>3916</v>
      </c>
      <c r="AA852" s="41"/>
      <c r="AK852" s="16"/>
      <c r="AL852" s="16"/>
      <c r="AM852" s="16"/>
      <c r="AN852" s="16"/>
      <c r="AO852" s="16"/>
      <c r="AP852" s="16"/>
      <c r="AQ852" s="16"/>
      <c r="AR852" s="16"/>
      <c r="AS852" s="16"/>
    </row>
    <row r="853" spans="1:45" s="7" customFormat="1" ht="195" customHeight="1">
      <c r="A853" s="27">
        <f>[1]트램표준체크리스트!A910</f>
        <v>908</v>
      </c>
      <c r="B853" s="28" t="str">
        <f>[1]트램표준체크리스트!B910</f>
        <v>통신</v>
      </c>
      <c r="C853" s="29" t="str">
        <f>[1]트램표준체크리스트!C910</f>
        <v>통신-토목/궤도 인터페이스</v>
      </c>
      <c r="D853" s="30" t="str">
        <f>[1]트램표준체크리스트!F910</f>
        <v>선로 횡단 강제전선관 및 공동관로 설계가 토목 도면에서 누락돼 통신망 구축이 원천 불가해질 인터페이스 오류 리스크를 검토하였는가?</v>
      </c>
      <c r="E853" s="31" t="s">
        <v>3831</v>
      </c>
      <c r="F853" s="32" t="str">
        <f t="shared" si="27"/>
        <v>극상</v>
      </c>
      <c r="G853" s="63" t="s">
        <v>40</v>
      </c>
      <c r="H853" s="63" t="s">
        <v>41</v>
      </c>
      <c r="I853" s="34" t="s">
        <v>3832</v>
      </c>
      <c r="J853" s="33"/>
      <c r="K853" s="35"/>
      <c r="L853" s="33"/>
      <c r="M853" s="36"/>
      <c r="N853" s="33"/>
      <c r="O853" s="36"/>
      <c r="P853" s="33"/>
      <c r="Q853" s="37"/>
      <c r="R853" s="38"/>
      <c r="S853" s="33"/>
      <c r="T853" s="38"/>
      <c r="U853" s="33"/>
      <c r="V853" s="39"/>
      <c r="W853" s="90" t="b">
        <v>0</v>
      </c>
      <c r="X853" s="90" t="b">
        <v>0</v>
      </c>
      <c r="Y853" s="90" t="b">
        <v>0</v>
      </c>
      <c r="Z853" s="40" t="s">
        <v>3917</v>
      </c>
      <c r="AA853" s="41"/>
      <c r="AK853" s="16"/>
      <c r="AL853" s="16"/>
      <c r="AM853" s="16"/>
      <c r="AN853" s="16"/>
      <c r="AO853" s="16"/>
      <c r="AP853" s="16"/>
      <c r="AQ853" s="16"/>
      <c r="AR853" s="16"/>
      <c r="AS853" s="16"/>
    </row>
    <row r="854" spans="1:45" s="7" customFormat="1" ht="195" customHeight="1">
      <c r="A854" s="27">
        <f>[1]트램표준체크리스트!A911</f>
        <v>909</v>
      </c>
      <c r="B854" s="28" t="str">
        <f>[1]트램표준체크리스트!B911</f>
        <v>통신</v>
      </c>
      <c r="C854" s="29" t="str">
        <f>[1]트램표준체크리스트!C911</f>
        <v>통신-토목/궤도 인터페이스</v>
      </c>
      <c r="D854" s="30" t="str">
        <f>[1]트램표준체크리스트!F911</f>
        <v>일반인 궤도내 무단 침입에 따른 사고 발생 우려 리스크를 검토하였는가?</v>
      </c>
      <c r="E854" s="31" t="s">
        <v>3833</v>
      </c>
      <c r="F854" s="32" t="str">
        <f t="shared" si="27"/>
        <v>극상</v>
      </c>
      <c r="G854" s="63" t="s">
        <v>40</v>
      </c>
      <c r="H854" s="63" t="s">
        <v>41</v>
      </c>
      <c r="I854" s="34"/>
      <c r="J854" s="33"/>
      <c r="K854" s="35"/>
      <c r="L854" s="33"/>
      <c r="M854" s="36"/>
      <c r="N854" s="33"/>
      <c r="O854" s="36"/>
      <c r="P854" s="33"/>
      <c r="Q854" s="37"/>
      <c r="R854" s="38"/>
      <c r="S854" s="33"/>
      <c r="T854" s="38"/>
      <c r="U854" s="33"/>
      <c r="V854" s="39"/>
      <c r="W854" s="90" t="b">
        <v>0</v>
      </c>
      <c r="X854" s="90" t="b">
        <v>0</v>
      </c>
      <c r="Y854" s="90" t="b">
        <v>0</v>
      </c>
      <c r="Z854" s="40" t="s">
        <v>3918</v>
      </c>
      <c r="AA854" s="41"/>
      <c r="AK854" s="16"/>
      <c r="AL854" s="16"/>
      <c r="AM854" s="16"/>
      <c r="AN854" s="16"/>
      <c r="AO854" s="16"/>
      <c r="AP854" s="16"/>
      <c r="AQ854" s="16"/>
      <c r="AR854" s="16"/>
      <c r="AS854" s="16"/>
    </row>
    <row r="855" spans="1:45" s="7" customFormat="1" ht="195" customHeight="1">
      <c r="A855" s="27">
        <f>[1]트램표준체크리스트!A912</f>
        <v>910</v>
      </c>
      <c r="B855" s="28" t="str">
        <f>[1]트램표준체크리스트!B912</f>
        <v>통신</v>
      </c>
      <c r="C855" s="29" t="str">
        <f>[1]트램표준체크리스트!C912</f>
        <v>통신망 통합관제 계획</v>
      </c>
      <c r="D855" s="30" t="str">
        <f>[1]트램표준체크리스트!F912</f>
        <v>IP 교환기(IP-PBX) 회선 용량 오류로 예산을 낭비하거나 화상 통화 기능 누락으로 비상시 관제원-현장 간 상황 공유가 불가능해질 리스크를 검토하였는가?</v>
      </c>
      <c r="E855" s="31" t="s">
        <v>3834</v>
      </c>
      <c r="F855" s="32" t="str">
        <f t="shared" si="27"/>
        <v>극상</v>
      </c>
      <c r="G855" s="63" t="s">
        <v>40</v>
      </c>
      <c r="H855" s="63" t="s">
        <v>41</v>
      </c>
      <c r="I855" s="34" t="s">
        <v>3835</v>
      </c>
      <c r="J855" s="33"/>
      <c r="K855" s="35"/>
      <c r="L855" s="33"/>
      <c r="M855" s="36"/>
      <c r="N855" s="33"/>
      <c r="O855" s="36"/>
      <c r="P855" s="33"/>
      <c r="Q855" s="37"/>
      <c r="R855" s="38"/>
      <c r="S855" s="33"/>
      <c r="T855" s="38"/>
      <c r="U855" s="33"/>
      <c r="V855" s="39"/>
      <c r="W855" s="90" t="b">
        <v>0</v>
      </c>
      <c r="X855" s="90" t="b">
        <v>0</v>
      </c>
      <c r="Y855" s="90" t="b">
        <v>0</v>
      </c>
      <c r="Z855" s="40" t="s">
        <v>3919</v>
      </c>
      <c r="AA855" s="41"/>
      <c r="AK855" s="16"/>
      <c r="AL855" s="16"/>
      <c r="AM855" s="16"/>
      <c r="AN855" s="16"/>
      <c r="AO855" s="16"/>
      <c r="AP855" s="16"/>
      <c r="AQ855" s="16"/>
      <c r="AR855" s="16"/>
      <c r="AS855" s="16"/>
    </row>
    <row r="856" spans="1:45" s="7" customFormat="1" ht="195" customHeight="1">
      <c r="A856" s="27">
        <f>[1]트램표준체크리스트!A913</f>
        <v>911</v>
      </c>
      <c r="B856" s="28" t="str">
        <f>[1]트램표준체크리스트!B913</f>
        <v>통신</v>
      </c>
      <c r="C856" s="29" t="str">
        <f>[1]트램표준체크리스트!C913</f>
        <v>통신망 통합관제 계획</v>
      </c>
      <c r="D856" s="30" t="str">
        <f>[1]트램표준체크리스트!F913</f>
        <v>LTE-R 대역폭 부족 및 인터페이스 설계 오류로 비상시 관제실의 객실 실시간 확인이 불가할 리스크를 검토하였는가?</v>
      </c>
      <c r="E856" s="31" t="s">
        <v>3836</v>
      </c>
      <c r="F856" s="32" t="str">
        <f t="shared" si="27"/>
        <v>극상</v>
      </c>
      <c r="G856" s="63" t="s">
        <v>40</v>
      </c>
      <c r="H856" s="63" t="s">
        <v>41</v>
      </c>
      <c r="I856" s="34" t="s">
        <v>3837</v>
      </c>
      <c r="J856" s="33"/>
      <c r="K856" s="35"/>
      <c r="L856" s="33"/>
      <c r="M856" s="36"/>
      <c r="N856" s="33"/>
      <c r="O856" s="36"/>
      <c r="P856" s="33"/>
      <c r="Q856" s="37"/>
      <c r="R856" s="38"/>
      <c r="S856" s="33"/>
      <c r="T856" s="38"/>
      <c r="U856" s="33"/>
      <c r="V856" s="39"/>
      <c r="W856" s="90" t="b">
        <v>0</v>
      </c>
      <c r="X856" s="90" t="b">
        <v>0</v>
      </c>
      <c r="Y856" s="90" t="b">
        <v>0</v>
      </c>
      <c r="Z856" s="40" t="s">
        <v>3920</v>
      </c>
      <c r="AA856" s="41"/>
      <c r="AK856" s="16"/>
      <c r="AL856" s="16"/>
      <c r="AM856" s="16"/>
      <c r="AN856" s="16"/>
      <c r="AO856" s="16"/>
      <c r="AP856" s="16"/>
      <c r="AQ856" s="16"/>
      <c r="AR856" s="16"/>
      <c r="AS856" s="16"/>
    </row>
    <row r="857" spans="1:45" s="7" customFormat="1" ht="195" customHeight="1">
      <c r="A857" s="27">
        <f>[1]트램표준체크리스트!A914</f>
        <v>912</v>
      </c>
      <c r="B857" s="28" t="str">
        <f>[1]트램표준체크리스트!B914</f>
        <v>통신</v>
      </c>
      <c r="C857" s="29" t="str">
        <f>[1]트램표준체크리스트!C914</f>
        <v>통신망 통합관제 계획</v>
      </c>
      <c r="D857" s="30" t="str">
        <f>[1]트램표준체크리스트!F914</f>
        <v>통합 모니터링용 NMS/EMS 설계 누락 및 분할 감시 설계로 인해 통신 장애 시 원인 파악 및 복구 대응이 지연될 리스크를 검토하였는가?</v>
      </c>
      <c r="E857" s="31" t="s">
        <v>3838</v>
      </c>
      <c r="F857" s="32" t="str">
        <f t="shared" si="27"/>
        <v>극상</v>
      </c>
      <c r="G857" s="63" t="s">
        <v>40</v>
      </c>
      <c r="H857" s="63" t="s">
        <v>41</v>
      </c>
      <c r="I857" s="34" t="s">
        <v>3839</v>
      </c>
      <c r="J857" s="33"/>
      <c r="K857" s="35"/>
      <c r="L857" s="33"/>
      <c r="M857" s="36"/>
      <c r="N857" s="33"/>
      <c r="O857" s="36"/>
      <c r="P857" s="33"/>
      <c r="Q857" s="37"/>
      <c r="R857" s="38"/>
      <c r="S857" s="33"/>
      <c r="T857" s="38"/>
      <c r="U857" s="33"/>
      <c r="V857" s="39"/>
      <c r="W857" s="90" t="b">
        <v>0</v>
      </c>
      <c r="X857" s="90" t="b">
        <v>0</v>
      </c>
      <c r="Y857" s="90" t="b">
        <v>0</v>
      </c>
      <c r="Z857" s="40" t="s">
        <v>3921</v>
      </c>
      <c r="AA857" s="41"/>
      <c r="AK857" s="16"/>
      <c r="AL857" s="16"/>
      <c r="AM857" s="16"/>
      <c r="AN857" s="16"/>
      <c r="AO857" s="16"/>
      <c r="AP857" s="16"/>
      <c r="AQ857" s="16"/>
      <c r="AR857" s="16"/>
      <c r="AS857" s="16"/>
    </row>
    <row r="858" spans="1:45" s="7" customFormat="1" ht="195" customHeight="1">
      <c r="A858" s="27">
        <f>[1]트램표준체크리스트!A915</f>
        <v>913</v>
      </c>
      <c r="B858" s="28" t="str">
        <f>[1]트램표준체크리스트!B915</f>
        <v>통신</v>
      </c>
      <c r="C858" s="29" t="str">
        <f>[1]트램표준체크리스트!C915</f>
        <v>통신망 통합관제 계획</v>
      </c>
      <c r="D858" s="30" t="str">
        <f>[1]트램표준체크리스트!F915</f>
        <v>타이트한 용량 산정으로 향후 노선 확장 시 통신망 수용 한계 초과 및 막대한 교체 비용이 발생할 리스크를 검토하였는가?</v>
      </c>
      <c r="E858" s="31" t="s">
        <v>3840</v>
      </c>
      <c r="F858" s="32" t="str">
        <f t="shared" si="27"/>
        <v>극상</v>
      </c>
      <c r="G858" s="63" t="s">
        <v>40</v>
      </c>
      <c r="H858" s="63" t="s">
        <v>41</v>
      </c>
      <c r="I858" s="34" t="s">
        <v>3841</v>
      </c>
      <c r="J858" s="33"/>
      <c r="K858" s="35"/>
      <c r="L858" s="33"/>
      <c r="M858" s="36"/>
      <c r="N858" s="33"/>
      <c r="O858" s="36"/>
      <c r="P858" s="33"/>
      <c r="Q858" s="37"/>
      <c r="R858" s="38"/>
      <c r="S858" s="33"/>
      <c r="T858" s="38"/>
      <c r="U858" s="33"/>
      <c r="V858" s="39"/>
      <c r="W858" s="90" t="b">
        <v>0</v>
      </c>
      <c r="X858" s="90" t="b">
        <v>0</v>
      </c>
      <c r="Y858" s="90" t="b">
        <v>0</v>
      </c>
      <c r="Z858" s="40" t="s">
        <v>3922</v>
      </c>
      <c r="AA858" s="41"/>
      <c r="AK858" s="16"/>
      <c r="AL858" s="16"/>
      <c r="AM858" s="16"/>
      <c r="AN858" s="16"/>
      <c r="AO858" s="16"/>
      <c r="AP858" s="16"/>
      <c r="AQ858" s="16"/>
      <c r="AR858" s="16"/>
      <c r="AS858" s="16"/>
    </row>
    <row r="859" spans="1:45" s="7" customFormat="1" ht="195" customHeight="1">
      <c r="A859" s="27">
        <f>[1]트램표준체크리스트!A916</f>
        <v>914</v>
      </c>
      <c r="B859" s="28" t="str">
        <f>[1]트램표준체크리스트!B916</f>
        <v>통신</v>
      </c>
      <c r="C859" s="29" t="str">
        <f>[1]트램표준체크리스트!C916</f>
        <v>통신망 통합관제 계획</v>
      </c>
      <c r="D859" s="30" t="str">
        <f>[1]트램표준체크리스트!F916</f>
        <v>장래 노선 연장 대비 H/W 및 S/W 예비 용량 누락으로 노선 확장 시 관제 통신망 전체를 셧다운·재구축해야 할 리스크를 검토하였는가?</v>
      </c>
      <c r="E859" s="31" t="s">
        <v>3842</v>
      </c>
      <c r="F859" s="32" t="str">
        <f t="shared" si="27"/>
        <v>극상</v>
      </c>
      <c r="G859" s="63" t="s">
        <v>40</v>
      </c>
      <c r="H859" s="63" t="s">
        <v>41</v>
      </c>
      <c r="I859" s="34" t="s">
        <v>3843</v>
      </c>
      <c r="J859" s="33"/>
      <c r="K859" s="35"/>
      <c r="L859" s="33"/>
      <c r="M859" s="36"/>
      <c r="N859" s="33"/>
      <c r="O859" s="36"/>
      <c r="P859" s="33"/>
      <c r="Q859" s="37"/>
      <c r="R859" s="38"/>
      <c r="S859" s="33"/>
      <c r="T859" s="38"/>
      <c r="U859" s="33"/>
      <c r="V859" s="39"/>
      <c r="W859" s="90" t="b">
        <v>0</v>
      </c>
      <c r="X859" s="90" t="b">
        <v>0</v>
      </c>
      <c r="Y859" s="90" t="b">
        <v>0</v>
      </c>
      <c r="Z859" s="40" t="s">
        <v>3923</v>
      </c>
      <c r="AA859" s="41"/>
      <c r="AK859" s="16"/>
      <c r="AL859" s="16"/>
      <c r="AM859" s="16"/>
      <c r="AN859" s="16"/>
      <c r="AO859" s="16"/>
      <c r="AP859" s="16"/>
      <c r="AQ859" s="16"/>
      <c r="AR859" s="16"/>
      <c r="AS859" s="16"/>
    </row>
    <row r="860" spans="1:45" s="7" customFormat="1" ht="195" customHeight="1">
      <c r="A860" s="27">
        <f>[1]트램표준체크리스트!A917</f>
        <v>915</v>
      </c>
      <c r="B860" s="28" t="str">
        <f>[1]트램표준체크리스트!B917</f>
        <v>통신</v>
      </c>
      <c r="C860" s="29" t="str">
        <f>[1]트램표준체크리스트!C917</f>
        <v>통신설비 화재 예방 및 절연 계획</v>
      </c>
      <c r="D860" s="30" t="str">
        <f>[1]트램표준체크리스트!F917</f>
        <v>발열 장비 이격 거리 및 불연 차단막 설치 누락으로 단일 장비 과열·스파크 시 화재가 전체 통신설비로 확산될 방재 리스크를 검토하였는가?</v>
      </c>
      <c r="E860" s="31" t="s">
        <v>3844</v>
      </c>
      <c r="F860" s="32" t="str">
        <f t="shared" si="27"/>
        <v>극상</v>
      </c>
      <c r="G860" s="63" t="s">
        <v>40</v>
      </c>
      <c r="H860" s="63" t="s">
        <v>41</v>
      </c>
      <c r="I860" s="34" t="s">
        <v>3845</v>
      </c>
      <c r="J860" s="33"/>
      <c r="K860" s="35"/>
      <c r="L860" s="33"/>
      <c r="M860" s="36"/>
      <c r="N860" s="33"/>
      <c r="O860" s="36"/>
      <c r="P860" s="33"/>
      <c r="Q860" s="37"/>
      <c r="R860" s="38"/>
      <c r="S860" s="33"/>
      <c r="T860" s="38"/>
      <c r="U860" s="33"/>
      <c r="V860" s="39"/>
      <c r="W860" s="90" t="b">
        <v>0</v>
      </c>
      <c r="X860" s="90" t="b">
        <v>0</v>
      </c>
      <c r="Y860" s="90" t="b">
        <v>0</v>
      </c>
      <c r="Z860" s="40" t="s">
        <v>3924</v>
      </c>
      <c r="AA860" s="41"/>
      <c r="AK860" s="16"/>
      <c r="AL860" s="16"/>
      <c r="AM860" s="16"/>
      <c r="AN860" s="16"/>
      <c r="AO860" s="16"/>
      <c r="AP860" s="16"/>
      <c r="AQ860" s="16"/>
      <c r="AR860" s="16"/>
      <c r="AS860" s="16"/>
    </row>
    <row r="861" spans="1:45" s="7" customFormat="1" ht="195" customHeight="1">
      <c r="A861" s="27">
        <f>[1]트램표준체크리스트!A918</f>
        <v>916</v>
      </c>
      <c r="B861" s="28" t="str">
        <f>[1]트램표준체크리스트!B918</f>
        <v>통신</v>
      </c>
      <c r="C861" s="29" t="str">
        <f>[1]트램표준체크리스트!C918</f>
        <v>행선안내 및 교통약자 음성안내설비 계획</v>
      </c>
      <c r="D861" s="30" t="str">
        <f>[1]트램표준체크리스트!F918</f>
        <v>옥외 조도 미고려 디스플레이 선정 및 음성안내설비 누락으로 정보 전달 실패 및 교통약자 이동 편의를 저해할 리스크를 검토하였는가?</v>
      </c>
      <c r="E861" s="31" t="s">
        <v>3846</v>
      </c>
      <c r="F861" s="32" t="str">
        <f t="shared" si="27"/>
        <v>극상</v>
      </c>
      <c r="G861" s="63" t="s">
        <v>40</v>
      </c>
      <c r="H861" s="63" t="s">
        <v>41</v>
      </c>
      <c r="I861" s="34" t="s">
        <v>3847</v>
      </c>
      <c r="J861" s="33"/>
      <c r="K861" s="35"/>
      <c r="L861" s="33"/>
      <c r="M861" s="36"/>
      <c r="N861" s="33"/>
      <c r="O861" s="36"/>
      <c r="P861" s="33"/>
      <c r="Q861" s="37"/>
      <c r="R861" s="38"/>
      <c r="S861" s="33"/>
      <c r="T861" s="38"/>
      <c r="U861" s="33"/>
      <c r="V861" s="39"/>
      <c r="W861" s="90" t="b">
        <v>0</v>
      </c>
      <c r="X861" s="90" t="b">
        <v>0</v>
      </c>
      <c r="Y861" s="90" t="b">
        <v>0</v>
      </c>
      <c r="Z861" s="40" t="s">
        <v>3925</v>
      </c>
      <c r="AA861" s="41"/>
      <c r="AK861" s="16"/>
      <c r="AL861" s="16"/>
      <c r="AM861" s="16"/>
      <c r="AN861" s="16"/>
      <c r="AO861" s="16"/>
      <c r="AP861" s="16"/>
      <c r="AQ861" s="16"/>
      <c r="AR861" s="16"/>
      <c r="AS861" s="16"/>
    </row>
    <row r="862" spans="1:45" s="7" customFormat="1" ht="195" customHeight="1">
      <c r="A862" s="27">
        <f>[1]트램표준체크리스트!A919</f>
        <v>917</v>
      </c>
      <c r="B862" s="28" t="str">
        <f>[1]트램표준체크리스트!B919</f>
        <v>통신</v>
      </c>
      <c r="C862" s="29" t="str">
        <f>[1]트램표준체크리스트!C919</f>
        <v>행선안내설비 계획</v>
      </c>
      <c r="D862" s="30" t="str">
        <f>[1]트램표준체크리스트!F919</f>
        <v>저해상도 LED 적용으로 정보 전달력이 저하되거나, 방수/항온 외함 누락으로 직사광선에 의한 패널 흑화(Black Out) 현상이 발생할 리스크를 검토하였는가?</v>
      </c>
      <c r="E862" s="31" t="s">
        <v>3848</v>
      </c>
      <c r="F862" s="32" t="str">
        <f t="shared" si="27"/>
        <v>극상</v>
      </c>
      <c r="G862" s="63" t="s">
        <v>40</v>
      </c>
      <c r="H862" s="63" t="s">
        <v>41</v>
      </c>
      <c r="I862" s="34" t="s">
        <v>2715</v>
      </c>
      <c r="J862" s="33"/>
      <c r="K862" s="35"/>
      <c r="L862" s="33"/>
      <c r="M862" s="36"/>
      <c r="N862" s="33"/>
      <c r="O862" s="36"/>
      <c r="P862" s="33"/>
      <c r="Q862" s="37"/>
      <c r="R862" s="38"/>
      <c r="S862" s="33"/>
      <c r="T862" s="38"/>
      <c r="U862" s="33"/>
      <c r="V862" s="39"/>
      <c r="W862" s="90" t="b">
        <v>0</v>
      </c>
      <c r="X862" s="90" t="b">
        <v>0</v>
      </c>
      <c r="Y862" s="90" t="b">
        <v>0</v>
      </c>
      <c r="Z862" s="40" t="s">
        <v>3926</v>
      </c>
      <c r="AA862" s="41"/>
      <c r="AK862" s="16"/>
      <c r="AL862" s="16"/>
      <c r="AM862" s="16"/>
      <c r="AN862" s="16"/>
      <c r="AO862" s="16"/>
      <c r="AP862" s="16"/>
      <c r="AQ862" s="16"/>
      <c r="AR862" s="16"/>
      <c r="AS862" s="16"/>
    </row>
    <row r="863" spans="1:45" s="7" customFormat="1" ht="195" customHeight="1">
      <c r="A863" s="27">
        <f>[1]트램표준체크리스트!A920</f>
        <v>918</v>
      </c>
      <c r="B863" s="28" t="str">
        <f>[1]트램표준체크리스트!B920</f>
        <v>도로신호</v>
      </c>
      <c r="C863" s="29" t="str">
        <f>[1]트램표준체크리스트!C920</f>
        <v>과속 방지 제어 계획</v>
      </c>
      <c r="D863" s="30" t="str">
        <f>[1]트램표준체크리스트!F920</f>
        <v>제한속도 감시 및 차상 제어(ATP) 연동 누락으로 기관사 부주의 시 곡선부 과속 탈선 및 보행자 추돌 리스크를 검토하였는가?</v>
      </c>
      <c r="E863" s="31" t="s">
        <v>228</v>
      </c>
      <c r="F863" s="32" t="str">
        <f t="shared" si="27"/>
        <v>극상</v>
      </c>
      <c r="G863" s="63" t="s">
        <v>40</v>
      </c>
      <c r="H863" s="63" t="s">
        <v>41</v>
      </c>
      <c r="I863" s="34" t="s">
        <v>1309</v>
      </c>
      <c r="J863" s="33"/>
      <c r="K863" s="35"/>
      <c r="L863" s="33"/>
      <c r="M863" s="36"/>
      <c r="N863" s="33"/>
      <c r="O863" s="36"/>
      <c r="P863" s="33"/>
      <c r="Q863" s="37"/>
      <c r="R863" s="38"/>
      <c r="S863" s="33"/>
      <c r="T863" s="38"/>
      <c r="U863" s="33"/>
      <c r="V863" s="39"/>
      <c r="W863" s="90" t="b">
        <v>0</v>
      </c>
      <c r="X863" s="90" t="b">
        <v>1</v>
      </c>
      <c r="Y863" s="90" t="b">
        <v>1</v>
      </c>
      <c r="Z863" s="40" t="s">
        <v>228</v>
      </c>
      <c r="AA863" s="41"/>
      <c r="AK863" s="16"/>
      <c r="AL863" s="16"/>
      <c r="AM863" s="16"/>
      <c r="AN863" s="16"/>
      <c r="AO863" s="16"/>
      <c r="AP863" s="16"/>
      <c r="AQ863" s="16"/>
      <c r="AR863" s="16"/>
      <c r="AS863" s="16"/>
    </row>
    <row r="864" spans="1:45" s="7" customFormat="1" ht="195" customHeight="1">
      <c r="A864" s="27">
        <f>[1]트램표준체크리스트!A921</f>
        <v>919</v>
      </c>
      <c r="B864" s="28" t="str">
        <f>[1]트램표준체크리스트!B921</f>
        <v>도로신호</v>
      </c>
      <c r="C864" s="29" t="str">
        <f>[1]트램표준체크리스트!C921</f>
        <v>관제설비 구축 및 도로교통관제 연계</v>
      </c>
      <c r="D864" s="30" t="str">
        <f>[1]트램표준체크리스트!F921</f>
        <v>대형표시반 가독성·UI 설계 미흡 및 도로교통관제 연계 누락으로, 이례상황 시 관제원의 상황 판단 및 통제가 지연될 리스크를 검토하였는가?</v>
      </c>
      <c r="E864" s="31" t="s">
        <v>228</v>
      </c>
      <c r="F864" s="32" t="str">
        <f t="shared" si="27"/>
        <v>극상</v>
      </c>
      <c r="G864" s="63" t="s">
        <v>40</v>
      </c>
      <c r="H864" s="63" t="s">
        <v>41</v>
      </c>
      <c r="I864" s="34" t="s">
        <v>1310</v>
      </c>
      <c r="J864" s="33"/>
      <c r="K864" s="35"/>
      <c r="L864" s="33"/>
      <c r="M864" s="36"/>
      <c r="N864" s="33"/>
      <c r="O864" s="36"/>
      <c r="P864" s="33"/>
      <c r="Q864" s="37"/>
      <c r="R864" s="38"/>
      <c r="S864" s="33"/>
      <c r="T864" s="38"/>
      <c r="U864" s="33"/>
      <c r="V864" s="39"/>
      <c r="W864" s="90" t="b">
        <v>0</v>
      </c>
      <c r="X864" s="90" t="b">
        <v>0</v>
      </c>
      <c r="Y864" s="90" t="b">
        <v>0</v>
      </c>
      <c r="Z864" s="40" t="s">
        <v>228</v>
      </c>
      <c r="AA864" s="41"/>
      <c r="AK864" s="16"/>
      <c r="AL864" s="16"/>
      <c r="AM864" s="16"/>
      <c r="AN864" s="16"/>
      <c r="AO864" s="16"/>
      <c r="AP864" s="16"/>
      <c r="AQ864" s="16"/>
      <c r="AR864" s="16"/>
      <c r="AS864" s="16"/>
    </row>
    <row r="865" spans="1:45" s="7" customFormat="1" ht="195" customHeight="1">
      <c r="A865" s="27">
        <f>[1]트램표준체크리스트!A922</f>
        <v>920</v>
      </c>
      <c r="B865" s="28" t="str">
        <f>[1]트램표준체크리스트!B922</f>
        <v>도로신호</v>
      </c>
      <c r="C865" s="29" t="str">
        <f>[1]트램표준체크리스트!C922</f>
        <v>교차로 사고 예방 계획</v>
      </c>
      <c r="D865" s="30" t="str">
        <f>[1]트램표준체크리스트!F922</f>
        <v>교차로 돌발유고검지장치 및 앞막힘 제어보드 연동 누락으로 궤도 차량 정체 시 트램이 회피하지 못해 연쇄 추돌할 리스크를 검토하였는가?</v>
      </c>
      <c r="E865" s="31" t="s">
        <v>228</v>
      </c>
      <c r="F865" s="32" t="str">
        <f t="shared" si="27"/>
        <v>극상</v>
      </c>
      <c r="G865" s="63" t="s">
        <v>40</v>
      </c>
      <c r="H865" s="63" t="s">
        <v>41</v>
      </c>
      <c r="I865" s="34" t="s">
        <v>1311</v>
      </c>
      <c r="J865" s="33"/>
      <c r="K865" s="35"/>
      <c r="L865" s="33"/>
      <c r="M865" s="36"/>
      <c r="N865" s="33"/>
      <c r="O865" s="36"/>
      <c r="P865" s="33"/>
      <c r="Q865" s="37"/>
      <c r="R865" s="38"/>
      <c r="S865" s="33"/>
      <c r="T865" s="38"/>
      <c r="U865" s="33"/>
      <c r="V865" s="39"/>
      <c r="W865" s="90" t="b">
        <v>0</v>
      </c>
      <c r="X865" s="90" t="b">
        <v>0</v>
      </c>
      <c r="Y865" s="90" t="b">
        <v>0</v>
      </c>
      <c r="Z865" s="40" t="s">
        <v>228</v>
      </c>
      <c r="AA865" s="41"/>
      <c r="AK865" s="16"/>
      <c r="AL865" s="16"/>
      <c r="AM865" s="16"/>
      <c r="AN865" s="16"/>
      <c r="AO865" s="16"/>
      <c r="AP865" s="16"/>
      <c r="AQ865" s="16"/>
      <c r="AR865" s="16"/>
      <c r="AS865" s="16"/>
    </row>
    <row r="866" spans="1:45" s="7" customFormat="1" ht="195" customHeight="1">
      <c r="A866" s="27">
        <f>[1]트램표준체크리스트!A923</f>
        <v>921</v>
      </c>
      <c r="B866" s="28" t="str">
        <f>[1]트램표준체크리스트!B923</f>
        <v>도로신호</v>
      </c>
      <c r="C866" s="29" t="str">
        <f>[1]트램표준체크리스트!C923</f>
        <v>교차로 사고 예방 계획</v>
      </c>
      <c r="D866" s="30" t="str">
        <f>[1]트램표준체크리스트!F923</f>
        <v>돌발유고검지장치 및 앞막힘제어보드 설계 누락으로 교차로 정체 시 트램 진입에 따른 도로교통 전면 마비(데드락)가 발생할 리스크를 검토하였는가?</v>
      </c>
      <c r="E866" s="31" t="s">
        <v>1312</v>
      </c>
      <c r="F866" s="32" t="str">
        <f t="shared" si="27"/>
        <v>극상</v>
      </c>
      <c r="G866" s="63" t="s">
        <v>40</v>
      </c>
      <c r="H866" s="63" t="s">
        <v>41</v>
      </c>
      <c r="I866" s="34" t="s">
        <v>1313</v>
      </c>
      <c r="J866" s="33"/>
      <c r="K866" s="35"/>
      <c r="L866" s="33"/>
      <c r="M866" s="36"/>
      <c r="N866" s="33"/>
      <c r="O866" s="36"/>
      <c r="P866" s="33"/>
      <c r="Q866" s="37"/>
      <c r="R866" s="38"/>
      <c r="S866" s="33"/>
      <c r="T866" s="38"/>
      <c r="U866" s="33"/>
      <c r="V866" s="39"/>
      <c r="W866" s="90" t="b">
        <v>0</v>
      </c>
      <c r="X866" s="90" t="b">
        <v>0</v>
      </c>
      <c r="Y866" s="90" t="b">
        <v>0</v>
      </c>
      <c r="Z866" s="40" t="s">
        <v>1146</v>
      </c>
      <c r="AA866" s="41"/>
      <c r="AK866" s="16"/>
      <c r="AL866" s="16"/>
      <c r="AM866" s="16"/>
      <c r="AN866" s="16"/>
      <c r="AO866" s="16"/>
      <c r="AP866" s="16"/>
      <c r="AQ866" s="16"/>
      <c r="AR866" s="16"/>
      <c r="AS866" s="16"/>
    </row>
    <row r="867" spans="1:45" s="7" customFormat="1" ht="195" customHeight="1">
      <c r="A867" s="27">
        <f>[1]트램표준체크리스트!A924</f>
        <v>922</v>
      </c>
      <c r="B867" s="28" t="str">
        <f>[1]트램표준체크리스트!B924</f>
        <v>도로신호</v>
      </c>
      <c r="C867" s="29" t="str">
        <f>[1]트램표준체크리스트!C924</f>
        <v>교차로 사고 예방 계획</v>
      </c>
      <c r="D867" s="30" t="str">
        <f>[1]트램표준체크리스트!F924</f>
        <v>'1교차로 1편성 점유' 원칙 누락으로 트램 동시 진입에 따른 일반 차량 동선 마비 및 교착(Gridlock) 리스크를 검토하였는가?</v>
      </c>
      <c r="E867" s="31" t="s">
        <v>1314</v>
      </c>
      <c r="F867" s="32" t="str">
        <f t="shared" si="27"/>
        <v>극상</v>
      </c>
      <c r="G867" s="63" t="s">
        <v>40</v>
      </c>
      <c r="H867" s="63" t="s">
        <v>41</v>
      </c>
      <c r="I867" s="34" t="s">
        <v>1315</v>
      </c>
      <c r="J867" s="33"/>
      <c r="K867" s="35"/>
      <c r="L867" s="33"/>
      <c r="M867" s="36"/>
      <c r="N867" s="33"/>
      <c r="O867" s="36"/>
      <c r="P867" s="33"/>
      <c r="Q867" s="37"/>
      <c r="R867" s="38"/>
      <c r="S867" s="33"/>
      <c r="T867" s="38"/>
      <c r="U867" s="33"/>
      <c r="V867" s="39"/>
      <c r="W867" s="90" t="b">
        <v>0</v>
      </c>
      <c r="X867" s="90" t="b">
        <v>0</v>
      </c>
      <c r="Y867" s="90" t="b">
        <v>0</v>
      </c>
      <c r="Z867" s="40" t="s">
        <v>1146</v>
      </c>
      <c r="AA867" s="41"/>
      <c r="AK867" s="16"/>
      <c r="AL867" s="16"/>
      <c r="AM867" s="16"/>
      <c r="AN867" s="16"/>
      <c r="AO867" s="16"/>
      <c r="AP867" s="16"/>
      <c r="AQ867" s="16"/>
      <c r="AR867" s="16"/>
      <c r="AS867" s="16"/>
    </row>
    <row r="868" spans="1:45" s="7" customFormat="1" ht="195" customHeight="1">
      <c r="A868" s="27">
        <f>[1]트램표준체크리스트!A925</f>
        <v>923</v>
      </c>
      <c r="B868" s="28" t="str">
        <f>[1]트램표준체크리스트!B925</f>
        <v>도로신호</v>
      </c>
      <c r="C868" s="29" t="str">
        <f>[1]트램표준체크리스트!C925</f>
        <v>교차로 사고 예방 계획</v>
      </c>
      <c r="D868" s="30" t="str">
        <f>[1]트램표준체크리스트!F925</f>
        <v>교차로 점유(1편성 제한) 통제 검지설비 및 신호 연동 누락으로 혼잡 시 트램 연속 진입에 따른 교통 전면 마비 리스크를 검토하였는가?</v>
      </c>
      <c r="E868" s="31" t="s">
        <v>1316</v>
      </c>
      <c r="F868" s="32" t="str">
        <f t="shared" si="27"/>
        <v>극상</v>
      </c>
      <c r="G868" s="63" t="s">
        <v>40</v>
      </c>
      <c r="H868" s="63" t="s">
        <v>41</v>
      </c>
      <c r="I868" s="34" t="s">
        <v>1317</v>
      </c>
      <c r="J868" s="33"/>
      <c r="K868" s="35"/>
      <c r="L868" s="33"/>
      <c r="M868" s="36"/>
      <c r="N868" s="33"/>
      <c r="O868" s="36"/>
      <c r="P868" s="33"/>
      <c r="Q868" s="37"/>
      <c r="R868" s="38"/>
      <c r="S868" s="33"/>
      <c r="T868" s="38"/>
      <c r="U868" s="33"/>
      <c r="V868" s="39"/>
      <c r="W868" s="90" t="b">
        <v>0</v>
      </c>
      <c r="X868" s="90" t="b">
        <v>0</v>
      </c>
      <c r="Y868" s="90" t="b">
        <v>1</v>
      </c>
      <c r="Z868" s="40" t="s">
        <v>1146</v>
      </c>
      <c r="AA868" s="41"/>
      <c r="AK868" s="16"/>
      <c r="AL868" s="16"/>
      <c r="AM868" s="16"/>
      <c r="AN868" s="16"/>
      <c r="AO868" s="16"/>
      <c r="AP868" s="16"/>
      <c r="AQ868" s="16"/>
      <c r="AR868" s="16"/>
      <c r="AS868" s="16"/>
    </row>
    <row r="869" spans="1:45" s="7" customFormat="1" ht="195" customHeight="1">
      <c r="A869" s="27">
        <f>[1]트램표준체크리스트!A926</f>
        <v>924</v>
      </c>
      <c r="B869" s="28" t="str">
        <f>[1]트램표준체크리스트!B926</f>
        <v>도로신호</v>
      </c>
      <c r="C869" s="29" t="str">
        <f>[1]트램표준체크리스트!C926</f>
        <v>교차로 사고 예방 계획</v>
      </c>
      <c r="D869" s="30" t="str">
        <f>[1]트램표준체크리스트!F926</f>
        <v>정차금지지대·노면전차 전용로 누락으로 일반 차량 궤도 점유에 따른 트램 운행 마비 리스크를 검토하였는가?</v>
      </c>
      <c r="E869" s="31" t="s">
        <v>1318</v>
      </c>
      <c r="F869" s="32" t="str">
        <f t="shared" si="27"/>
        <v>극상</v>
      </c>
      <c r="G869" s="63" t="s">
        <v>40</v>
      </c>
      <c r="H869" s="63" t="s">
        <v>41</v>
      </c>
      <c r="I869" s="34" t="s">
        <v>1319</v>
      </c>
      <c r="J869" s="33"/>
      <c r="K869" s="35"/>
      <c r="L869" s="33"/>
      <c r="M869" s="36"/>
      <c r="N869" s="33"/>
      <c r="O869" s="36"/>
      <c r="P869" s="33"/>
      <c r="Q869" s="37"/>
      <c r="R869" s="38"/>
      <c r="S869" s="33"/>
      <c r="T869" s="38"/>
      <c r="U869" s="33"/>
      <c r="V869" s="39"/>
      <c r="W869" s="90" t="b">
        <v>0</v>
      </c>
      <c r="X869" s="90" t="b">
        <v>0</v>
      </c>
      <c r="Y869" s="90" t="b">
        <v>1</v>
      </c>
      <c r="Z869" s="40" t="s">
        <v>1146</v>
      </c>
      <c r="AA869" s="41"/>
      <c r="AK869" s="16"/>
      <c r="AL869" s="16"/>
      <c r="AM869" s="16"/>
      <c r="AN869" s="16"/>
      <c r="AO869" s="16"/>
      <c r="AP869" s="16"/>
      <c r="AQ869" s="16"/>
      <c r="AR869" s="16"/>
      <c r="AS869" s="16"/>
    </row>
    <row r="870" spans="1:45" s="7" customFormat="1" ht="195" customHeight="1">
      <c r="A870" s="27">
        <f>[1]트램표준체크리스트!A927</f>
        <v>925</v>
      </c>
      <c r="B870" s="28" t="str">
        <f>[1]트램표준체크리스트!B927</f>
        <v>도로신호</v>
      </c>
      <c r="C870" s="29" t="str">
        <f>[1]트램표준체크리스트!C927</f>
        <v>교통안전 노면표시 계획</v>
      </c>
      <c r="D870" s="30" t="str">
        <f>[1]트램표준체크리스트!F927</f>
        <v>노면 안전표시 및 레일 홈 고무탄성재 누락으로 자전거 전도 및 보행자 무단진입에 따른 인명사고 리스크를 검토하였는가?</v>
      </c>
      <c r="E870" s="31" t="s">
        <v>1320</v>
      </c>
      <c r="F870" s="32" t="str">
        <f t="shared" si="27"/>
        <v>극상</v>
      </c>
      <c r="G870" s="63" t="s">
        <v>40</v>
      </c>
      <c r="H870" s="63" t="s">
        <v>41</v>
      </c>
      <c r="I870" s="34" t="s">
        <v>1321</v>
      </c>
      <c r="J870" s="33"/>
      <c r="K870" s="35"/>
      <c r="L870" s="33"/>
      <c r="M870" s="36"/>
      <c r="N870" s="33"/>
      <c r="O870" s="36"/>
      <c r="P870" s="33"/>
      <c r="Q870" s="37"/>
      <c r="R870" s="38"/>
      <c r="S870" s="33"/>
      <c r="T870" s="38"/>
      <c r="U870" s="33"/>
      <c r="V870" s="39"/>
      <c r="W870" s="90" t="b">
        <v>0</v>
      </c>
      <c r="X870" s="90" t="b">
        <v>0</v>
      </c>
      <c r="Y870" s="90" t="b">
        <v>0</v>
      </c>
      <c r="Z870" s="40" t="s">
        <v>1146</v>
      </c>
      <c r="AA870" s="41"/>
      <c r="AK870" s="16"/>
      <c r="AL870" s="16"/>
      <c r="AM870" s="16"/>
      <c r="AN870" s="16"/>
      <c r="AO870" s="16"/>
      <c r="AP870" s="16"/>
      <c r="AQ870" s="16"/>
      <c r="AR870" s="16"/>
      <c r="AS870" s="16"/>
    </row>
    <row r="871" spans="1:45" s="7" customFormat="1" ht="195" customHeight="1">
      <c r="A871" s="27">
        <f>[1]트램표준체크리스트!A928</f>
        <v>926</v>
      </c>
      <c r="B871" s="28" t="str">
        <f>[1]트램표준체크리스트!B928</f>
        <v>도로신호</v>
      </c>
      <c r="C871" s="29" t="str">
        <f>[1]트램표준체크리스트!C928</f>
        <v>도로교통 행정 인허가</v>
      </c>
      <c r="D871" s="30" t="str">
        <f>[1]트램표준체크리스트!F928</f>
        <v>경찰청 교통안전심의 누락 및 지적사항 미반영으로 시공 전 신호 체계 전면 재검토 및 대규모 공정 지연이 발생할 리스크를 검토하였는가?</v>
      </c>
      <c r="E871" s="31" t="s">
        <v>1322</v>
      </c>
      <c r="F871" s="32" t="str">
        <f t="shared" si="27"/>
        <v>극상</v>
      </c>
      <c r="G871" s="63" t="s">
        <v>40</v>
      </c>
      <c r="H871" s="63" t="s">
        <v>41</v>
      </c>
      <c r="I871" s="34" t="s">
        <v>1323</v>
      </c>
      <c r="J871" s="33"/>
      <c r="K871" s="35"/>
      <c r="L871" s="33"/>
      <c r="M871" s="36"/>
      <c r="N871" s="33"/>
      <c r="O871" s="36"/>
      <c r="P871" s="33"/>
      <c r="Q871" s="37"/>
      <c r="R871" s="38"/>
      <c r="S871" s="33"/>
      <c r="T871" s="38"/>
      <c r="U871" s="33"/>
      <c r="V871" s="39"/>
      <c r="W871" s="90" t="b">
        <v>0</v>
      </c>
      <c r="X871" s="90" t="b">
        <v>0</v>
      </c>
      <c r="Y871" s="90" t="b">
        <v>0</v>
      </c>
      <c r="Z871" s="40" t="s">
        <v>1146</v>
      </c>
      <c r="AA871" s="41"/>
      <c r="AK871" s="16"/>
      <c r="AL871" s="16"/>
      <c r="AM871" s="16"/>
      <c r="AN871" s="16"/>
      <c r="AO871" s="16"/>
      <c r="AP871" s="16"/>
      <c r="AQ871" s="16"/>
      <c r="AR871" s="16"/>
      <c r="AS871" s="16"/>
    </row>
    <row r="872" spans="1:45" s="7" customFormat="1" ht="195" customHeight="1">
      <c r="A872" s="27">
        <f>[1]트램표준체크리스트!A929</f>
        <v>927</v>
      </c>
      <c r="B872" s="28" t="str">
        <f>[1]트램표준체크리스트!B929</f>
        <v>도로신호</v>
      </c>
      <c r="C872" s="29" t="str">
        <f>[1]트램표준체크리스트!C929</f>
        <v>도로교통-차량 인터페이스</v>
      </c>
      <c r="D872" s="30" t="str">
        <f>[1]트램표준체크리스트!F929</f>
        <v>충전 설비-도로신호 제어기 간 이격 및 노이즈 차폐 설계 누락으로 전자파 간섭에 의한 신호등 오작동(All Red 등) 리스크를 검토하였는가?</v>
      </c>
      <c r="E872" s="31" t="s">
        <v>1324</v>
      </c>
      <c r="F872" s="32" t="str">
        <f t="shared" si="27"/>
        <v>극상</v>
      </c>
      <c r="G872" s="63" t="s">
        <v>40</v>
      </c>
      <c r="H872" s="63" t="s">
        <v>41</v>
      </c>
      <c r="I872" s="34" t="s">
        <v>1325</v>
      </c>
      <c r="J872" s="33"/>
      <c r="K872" s="35"/>
      <c r="L872" s="33"/>
      <c r="M872" s="36"/>
      <c r="N872" s="33"/>
      <c r="O872" s="36"/>
      <c r="P872" s="33"/>
      <c r="Q872" s="37"/>
      <c r="R872" s="38"/>
      <c r="S872" s="33"/>
      <c r="T872" s="38"/>
      <c r="U872" s="33"/>
      <c r="V872" s="39"/>
      <c r="W872" s="90" t="b">
        <v>0</v>
      </c>
      <c r="X872" s="90" t="b">
        <v>0</v>
      </c>
      <c r="Y872" s="90" t="b">
        <v>0</v>
      </c>
      <c r="Z872" s="40" t="s">
        <v>1146</v>
      </c>
      <c r="AA872" s="41"/>
      <c r="AK872" s="16"/>
      <c r="AL872" s="16"/>
      <c r="AM872" s="16"/>
      <c r="AN872" s="16"/>
      <c r="AO872" s="16"/>
      <c r="AP872" s="16"/>
      <c r="AQ872" s="16"/>
      <c r="AR872" s="16"/>
      <c r="AS872" s="16"/>
    </row>
    <row r="873" spans="1:45" s="7" customFormat="1" ht="195" customHeight="1">
      <c r="A873" s="27">
        <f>[1]트램표준체크리스트!A930</f>
        <v>928</v>
      </c>
      <c r="B873" s="28" t="str">
        <f>[1]트램표준체크리스트!B930</f>
        <v>도로신호</v>
      </c>
      <c r="C873" s="29" t="str">
        <f>[1]트램표준체크리스트!C930</f>
        <v>도로분기부 안전대책 구축</v>
      </c>
      <c r="D873" s="30" t="str">
        <f>[1]트램표준체크리스트!F930</f>
        <v>철도·도로신호 연동 계획 누락으로 실제 궤도 개통과 신호 표출 방향이 불일치하여 탈선 사고가 발생할 리스크를 검토하였는가?</v>
      </c>
      <c r="E873" s="31" t="s">
        <v>1326</v>
      </c>
      <c r="F873" s="32" t="str">
        <f t="shared" si="27"/>
        <v>극상</v>
      </c>
      <c r="G873" s="63" t="s">
        <v>40</v>
      </c>
      <c r="H873" s="63" t="s">
        <v>41</v>
      </c>
      <c r="I873" s="34" t="s">
        <v>1327</v>
      </c>
      <c r="J873" s="33"/>
      <c r="K873" s="35"/>
      <c r="L873" s="33"/>
      <c r="M873" s="36"/>
      <c r="N873" s="33"/>
      <c r="O873" s="36"/>
      <c r="P873" s="33"/>
      <c r="Q873" s="37"/>
      <c r="R873" s="38"/>
      <c r="S873" s="33"/>
      <c r="T873" s="38"/>
      <c r="U873" s="33"/>
      <c r="V873" s="39"/>
      <c r="W873" s="90" t="b">
        <v>0</v>
      </c>
      <c r="X873" s="90" t="b">
        <v>0</v>
      </c>
      <c r="Y873" s="90" t="b">
        <v>0</v>
      </c>
      <c r="Z873" s="40" t="s">
        <v>1146</v>
      </c>
      <c r="AA873" s="41"/>
      <c r="AK873" s="16"/>
      <c r="AL873" s="16"/>
      <c r="AM873" s="16"/>
      <c r="AN873" s="16"/>
      <c r="AO873" s="16"/>
      <c r="AP873" s="16"/>
      <c r="AQ873" s="16"/>
      <c r="AR873" s="16"/>
      <c r="AS873" s="16"/>
    </row>
    <row r="874" spans="1:45" s="7" customFormat="1" ht="195" customHeight="1">
      <c r="A874" s="27">
        <f>[1]트램표준체크리스트!A931</f>
        <v>929</v>
      </c>
      <c r="B874" s="28" t="str">
        <f>[1]트램표준체크리스트!B931</f>
        <v>도로신호</v>
      </c>
      <c r="C874" s="29" t="str">
        <f>[1]트램표준체크리스트!C931</f>
        <v>도로분기부 안전대책 구축</v>
      </c>
      <c r="D874" s="30" t="str">
        <f>[1]트램표준체크리스트!F931</f>
        <v>도로신호-전자연동장치 연계 누락으로 개통 방향 불일치 시 무리한 교차로 진입에 따른 탈선 리스크를 검토하였는가?</v>
      </c>
      <c r="E874" s="31" t="s">
        <v>1328</v>
      </c>
      <c r="F874" s="32" t="str">
        <f t="shared" si="27"/>
        <v>극상</v>
      </c>
      <c r="G874" s="63" t="s">
        <v>40</v>
      </c>
      <c r="H874" s="63" t="s">
        <v>41</v>
      </c>
      <c r="I874" s="34" t="s">
        <v>1329</v>
      </c>
      <c r="J874" s="33"/>
      <c r="K874" s="35"/>
      <c r="L874" s="33"/>
      <c r="M874" s="36"/>
      <c r="N874" s="33"/>
      <c r="O874" s="36"/>
      <c r="P874" s="33"/>
      <c r="Q874" s="37"/>
      <c r="R874" s="38"/>
      <c r="S874" s="33"/>
      <c r="T874" s="38"/>
      <c r="U874" s="33"/>
      <c r="V874" s="39"/>
      <c r="W874" s="90" t="b">
        <v>0</v>
      </c>
      <c r="X874" s="90" t="b">
        <v>0</v>
      </c>
      <c r="Y874" s="90" t="b">
        <v>0</v>
      </c>
      <c r="Z874" s="40" t="s">
        <v>1146</v>
      </c>
      <c r="AA874" s="41"/>
      <c r="AK874" s="16"/>
      <c r="AL874" s="16"/>
      <c r="AM874" s="16"/>
      <c r="AN874" s="16"/>
      <c r="AO874" s="16"/>
      <c r="AP874" s="16"/>
      <c r="AQ874" s="16"/>
      <c r="AR874" s="16"/>
      <c r="AS874" s="16"/>
    </row>
    <row r="875" spans="1:45" s="7" customFormat="1" ht="195" customHeight="1">
      <c r="A875" s="27">
        <f>[1]트램표준체크리스트!A932</f>
        <v>930</v>
      </c>
      <c r="B875" s="28" t="str">
        <f>[1]트램표준체크리스트!B932</f>
        <v>도로신호</v>
      </c>
      <c r="C875" s="29" t="str">
        <f>[1]트램표준체크리스트!C932</f>
        <v>매입전선관 접속점 방수 및 유지보수성 확보 계획</v>
      </c>
      <c r="D875" s="30" t="str">
        <f>[1]트램표준체크리스트!F932</f>
        <v>전선관 접속부 수밀 마감 및 예비 관로 누락으로, 우천 시 침수에 따른 신호 단락 및 케이블 교체 시 도로 재굴착이 발생할 리스크를 검토하였는가?</v>
      </c>
      <c r="E875" s="31" t="s">
        <v>1330</v>
      </c>
      <c r="F875" s="32" t="str">
        <f t="shared" si="27"/>
        <v>극상</v>
      </c>
      <c r="G875" s="63" t="s">
        <v>40</v>
      </c>
      <c r="H875" s="63" t="s">
        <v>41</v>
      </c>
      <c r="I875" s="34" t="s">
        <v>1331</v>
      </c>
      <c r="J875" s="33"/>
      <c r="K875" s="35"/>
      <c r="L875" s="33"/>
      <c r="M875" s="36"/>
      <c r="N875" s="33"/>
      <c r="O875" s="36"/>
      <c r="P875" s="33"/>
      <c r="Q875" s="37"/>
      <c r="R875" s="38"/>
      <c r="S875" s="33"/>
      <c r="T875" s="38"/>
      <c r="U875" s="33"/>
      <c r="V875" s="39"/>
      <c r="W875" s="90" t="b">
        <v>0</v>
      </c>
      <c r="X875" s="90" t="b">
        <v>0</v>
      </c>
      <c r="Y875" s="90" t="b">
        <v>1</v>
      </c>
      <c r="Z875" s="40" t="s">
        <v>1146</v>
      </c>
      <c r="AA875" s="41"/>
      <c r="AK875" s="16"/>
      <c r="AL875" s="16"/>
      <c r="AM875" s="16"/>
      <c r="AN875" s="16"/>
      <c r="AO875" s="16"/>
      <c r="AP875" s="16"/>
      <c r="AQ875" s="16"/>
      <c r="AR875" s="16"/>
      <c r="AS875" s="16"/>
    </row>
    <row r="876" spans="1:45" s="7" customFormat="1" ht="195" customHeight="1">
      <c r="A876" s="27">
        <f>[1]트램표준체크리스트!A933</f>
        <v>931</v>
      </c>
      <c r="B876" s="28" t="str">
        <f>[1]트램표준체크리스트!B933</f>
        <v>도로신호</v>
      </c>
      <c r="C876" s="29" t="str">
        <f>[1]트램표준체크리스트!C933</f>
        <v>보행자 안전 확보 계획</v>
      </c>
      <c r="D876" s="30" t="str">
        <f>[1]트램표준체크리스트!F933</f>
        <v>음성안내장치·PoE 스위치·관로 굴착 설계 누락으로 트램 접근 시 보행자 인명사고가 발생할 리스크를 검토하였는가?</v>
      </c>
      <c r="E876" s="31" t="s">
        <v>1332</v>
      </c>
      <c r="F876" s="32" t="str">
        <f t="shared" ref="F876:F906" si="28">_xlfn.LET(
_xlpm.v_발생, IF(ISNUMBER(SEARCH("빈번", G876)), "상",
IF(ISNUMBER(SEARCH("거의", G876)), "하", "중")),
_xlpm.v_영향, IF(ISNUMBER(SEARCH("1개월", H876)), "상",
IF(ISNUMBER(SEARCH("없음", H876)), "하", "중")),
IF(AND(_xlpm.v_발생="상", _xlpm.v_영향="상"), "극상",
IF(OR(_xlpm.v_발생="상", _xlpm.v_영향="상"), "상",
IF(AND(_xlpm.v_발생="하", _xlpm.v_영향="하"), "하",
"중")))
)</f>
        <v>극상</v>
      </c>
      <c r="G876" s="63" t="s">
        <v>40</v>
      </c>
      <c r="H876" s="63" t="s">
        <v>41</v>
      </c>
      <c r="I876" s="34" t="s">
        <v>1333</v>
      </c>
      <c r="J876" s="33"/>
      <c r="K876" s="35"/>
      <c r="L876" s="33"/>
      <c r="M876" s="36"/>
      <c r="N876" s="33"/>
      <c r="O876" s="36"/>
      <c r="P876" s="33"/>
      <c r="Q876" s="37"/>
      <c r="R876" s="38"/>
      <c r="S876" s="33"/>
      <c r="T876" s="38"/>
      <c r="U876" s="33"/>
      <c r="V876" s="39"/>
      <c r="W876" s="90" t="b">
        <v>0</v>
      </c>
      <c r="X876" s="90" t="b">
        <v>0</v>
      </c>
      <c r="Y876" s="90" t="b">
        <v>0</v>
      </c>
      <c r="Z876" s="40" t="s">
        <v>1146</v>
      </c>
      <c r="AA876" s="41"/>
      <c r="AK876" s="16"/>
      <c r="AL876" s="16"/>
      <c r="AM876" s="16"/>
      <c r="AN876" s="16"/>
      <c r="AO876" s="16"/>
      <c r="AP876" s="16"/>
      <c r="AQ876" s="16"/>
      <c r="AR876" s="16"/>
      <c r="AS876" s="16"/>
    </row>
    <row r="877" spans="1:45" s="7" customFormat="1" ht="195" customHeight="1">
      <c r="A877" s="27">
        <f>[1]트램표준체크리스트!A934</f>
        <v>932</v>
      </c>
      <c r="B877" s="28" t="str">
        <f>[1]트램표준체크리스트!B934</f>
        <v>도로신호</v>
      </c>
      <c r="C877" s="29" t="str">
        <f>[1]트램표준체크리스트!C934</f>
        <v>신호설비 생존성 확보</v>
      </c>
      <c r="D877" s="30" t="str">
        <f>[1]트램표준체크리스트!F934</f>
        <v>능동형 우선신호 로직 및 트램 위치검지기 연계 누락으로 트램이 일반 차량과 같이 신호 대기하여 정시성·표정속도가 저하될 리스크를 검토하였는가?</v>
      </c>
      <c r="E877" s="31" t="s">
        <v>1334</v>
      </c>
      <c r="F877" s="32" t="str">
        <f t="shared" si="28"/>
        <v>극상</v>
      </c>
      <c r="G877" s="63" t="s">
        <v>40</v>
      </c>
      <c r="H877" s="63" t="s">
        <v>41</v>
      </c>
      <c r="I877" s="34" t="s">
        <v>1335</v>
      </c>
      <c r="J877" s="33"/>
      <c r="K877" s="35"/>
      <c r="L877" s="33"/>
      <c r="M877" s="36"/>
      <c r="N877" s="33"/>
      <c r="O877" s="36"/>
      <c r="P877" s="33"/>
      <c r="Q877" s="37"/>
      <c r="R877" s="38"/>
      <c r="S877" s="33"/>
      <c r="T877" s="38"/>
      <c r="U877" s="33"/>
      <c r="V877" s="39"/>
      <c r="W877" s="90" t="b">
        <v>0</v>
      </c>
      <c r="X877" s="90" t="b">
        <v>0</v>
      </c>
      <c r="Y877" s="90" t="b">
        <v>0</v>
      </c>
      <c r="Z877" s="40" t="s">
        <v>1146</v>
      </c>
      <c r="AA877" s="41"/>
      <c r="AK877" s="16"/>
      <c r="AL877" s="16"/>
      <c r="AM877" s="16"/>
      <c r="AN877" s="16"/>
      <c r="AO877" s="16"/>
      <c r="AP877" s="16"/>
      <c r="AQ877" s="16"/>
      <c r="AR877" s="16"/>
      <c r="AS877" s="16"/>
    </row>
    <row r="878" spans="1:45" s="7" customFormat="1" ht="195" customHeight="1">
      <c r="A878" s="27">
        <f>[1]트램표준체크리스트!A935</f>
        <v>933</v>
      </c>
      <c r="B878" s="28" t="str">
        <f>[1]트램표준체크리스트!B935</f>
        <v>도로신호</v>
      </c>
      <c r="C878" s="29" t="str">
        <f>[1]트램표준체크리스트!C935</f>
        <v>신호설비 생존성 확보</v>
      </c>
      <c r="D878" s="30" t="str">
        <f>[1]트램표준체크리스트!F935</f>
        <v>트램 전용 분기부 신호기(5구등/6구등) 누락으로 기관사 진로 방향 오인에 따른 탈선 및 충돌 사고를 유발할 리스크를 검토하였는가?</v>
      </c>
      <c r="E878" s="31" t="s">
        <v>1336</v>
      </c>
      <c r="F878" s="32" t="str">
        <f t="shared" si="28"/>
        <v>극상</v>
      </c>
      <c r="G878" s="63" t="s">
        <v>40</v>
      </c>
      <c r="H878" s="63" t="s">
        <v>41</v>
      </c>
      <c r="I878" s="34" t="s">
        <v>1337</v>
      </c>
      <c r="J878" s="33"/>
      <c r="K878" s="35"/>
      <c r="L878" s="33"/>
      <c r="M878" s="36"/>
      <c r="N878" s="33"/>
      <c r="O878" s="36"/>
      <c r="P878" s="33"/>
      <c r="Q878" s="37"/>
      <c r="R878" s="38"/>
      <c r="S878" s="33"/>
      <c r="T878" s="38"/>
      <c r="U878" s="33"/>
      <c r="V878" s="39"/>
      <c r="W878" s="90" t="b">
        <v>0</v>
      </c>
      <c r="X878" s="90" t="b">
        <v>0</v>
      </c>
      <c r="Y878" s="90" t="b">
        <v>0</v>
      </c>
      <c r="Z878" s="40" t="s">
        <v>1146</v>
      </c>
      <c r="AA878" s="41"/>
      <c r="AK878" s="16"/>
      <c r="AL878" s="16"/>
      <c r="AM878" s="16"/>
      <c r="AN878" s="16"/>
      <c r="AO878" s="16"/>
      <c r="AP878" s="16"/>
      <c r="AQ878" s="16"/>
      <c r="AR878" s="16"/>
      <c r="AS878" s="16"/>
    </row>
    <row r="879" spans="1:45" s="7" customFormat="1" ht="195" customHeight="1">
      <c r="A879" s="27">
        <f>[1]트램표준체크리스트!A936</f>
        <v>934</v>
      </c>
      <c r="B879" s="28" t="str">
        <f>[1]트램표준체크리스트!B936</f>
        <v>도로신호</v>
      </c>
      <c r="C879" s="29" t="str">
        <f>[1]트램표준체크리스트!C936</f>
        <v>신호설비 생존성 확보</v>
      </c>
      <c r="D879" s="30" t="str">
        <f>[1]트램표준체크리스트!F936</f>
        <v>트램과 일반차량 신호 간 상호 모순검지 기능 누락으로 시스템 오류 시 양방향 진행 신호 표출로 대형 충돌 사고가 발생할 리스크를 검토하였는가?</v>
      </c>
      <c r="E879" s="31" t="s">
        <v>1338</v>
      </c>
      <c r="F879" s="32" t="str">
        <f t="shared" si="28"/>
        <v>극상</v>
      </c>
      <c r="G879" s="63" t="s">
        <v>40</v>
      </c>
      <c r="H879" s="63" t="s">
        <v>41</v>
      </c>
      <c r="I879" s="34" t="s">
        <v>1339</v>
      </c>
      <c r="J879" s="33"/>
      <c r="K879" s="35"/>
      <c r="L879" s="33"/>
      <c r="M879" s="36"/>
      <c r="N879" s="33"/>
      <c r="O879" s="36"/>
      <c r="P879" s="33"/>
      <c r="Q879" s="37"/>
      <c r="R879" s="38"/>
      <c r="S879" s="33"/>
      <c r="T879" s="38"/>
      <c r="U879" s="33"/>
      <c r="V879" s="39"/>
      <c r="W879" s="90" t="b">
        <v>0</v>
      </c>
      <c r="X879" s="90" t="b">
        <v>0</v>
      </c>
      <c r="Y879" s="90" t="b">
        <v>0</v>
      </c>
      <c r="Z879" s="40" t="s">
        <v>1146</v>
      </c>
      <c r="AA879" s="41"/>
      <c r="AK879" s="16"/>
      <c r="AL879" s="16"/>
      <c r="AM879" s="16"/>
      <c r="AN879" s="16"/>
      <c r="AO879" s="16"/>
      <c r="AP879" s="16"/>
      <c r="AQ879" s="16"/>
      <c r="AR879" s="16"/>
      <c r="AS879" s="16"/>
    </row>
    <row r="880" spans="1:45" s="7" customFormat="1" ht="195" customHeight="1">
      <c r="A880" s="27">
        <f>[1]트램표준체크리스트!A937</f>
        <v>935</v>
      </c>
      <c r="B880" s="28" t="str">
        <f>[1]트램표준체크리스트!B937</f>
        <v>도로신호</v>
      </c>
      <c r="C880" s="29" t="str">
        <f>[1]트램표준체크리스트!C937</f>
        <v>신호설비 생존성 확보</v>
      </c>
      <c r="D880" s="30" t="str">
        <f>[1]트램표준체크리스트!F937</f>
        <v>유전원 태그 설계로 인한 과다 비용 발생 및 LTE-R·차상 간 신호 모진 자동정지 연동 S/W 누락 리스크를 검토하였는가?</v>
      </c>
      <c r="E880" s="31" t="s">
        <v>1340</v>
      </c>
      <c r="F880" s="32" t="str">
        <f t="shared" si="28"/>
        <v>극상</v>
      </c>
      <c r="G880" s="63" t="s">
        <v>40</v>
      </c>
      <c r="H880" s="63" t="s">
        <v>41</v>
      </c>
      <c r="I880" s="34" t="s">
        <v>1341</v>
      </c>
      <c r="J880" s="33"/>
      <c r="K880" s="35"/>
      <c r="L880" s="33"/>
      <c r="M880" s="36"/>
      <c r="N880" s="33"/>
      <c r="O880" s="36"/>
      <c r="P880" s="33"/>
      <c r="Q880" s="37"/>
      <c r="R880" s="38"/>
      <c r="S880" s="33"/>
      <c r="T880" s="38"/>
      <c r="U880" s="33"/>
      <c r="V880" s="39"/>
      <c r="W880" s="90" t="b">
        <v>0</v>
      </c>
      <c r="X880" s="90" t="b">
        <v>0</v>
      </c>
      <c r="Y880" s="90" t="b">
        <v>0</v>
      </c>
      <c r="Z880" s="40" t="s">
        <v>1146</v>
      </c>
      <c r="AA880" s="41"/>
      <c r="AK880" s="16"/>
      <c r="AL880" s="16"/>
      <c r="AM880" s="16"/>
      <c r="AN880" s="16"/>
      <c r="AO880" s="16"/>
      <c r="AP880" s="16"/>
      <c r="AQ880" s="16"/>
      <c r="AR880" s="16"/>
      <c r="AS880" s="16"/>
    </row>
    <row r="881" spans="1:45" s="7" customFormat="1" ht="195" customHeight="1">
      <c r="A881" s="27">
        <f>[1]트램표준체크리스트!A938</f>
        <v>936</v>
      </c>
      <c r="B881" s="28" t="str">
        <f>[1]트램표준체크리스트!B938</f>
        <v>도로신호</v>
      </c>
      <c r="C881" s="29" t="str">
        <f>[1]트램표준체크리스트!C938</f>
        <v>신호설비 생존성 확보</v>
      </c>
      <c r="D881" s="30" t="str">
        <f>[1]트램표준체크리스트!F938</f>
        <v>신호제어장치 이중계(Redundancy) 설계 누락으로 메인보드 소손 시 교차로 교통 통제가 장시간 전면 마비될 구조적 취약점 리스크를 검토하였는가?</v>
      </c>
      <c r="E881" s="31" t="s">
        <v>1342</v>
      </c>
      <c r="F881" s="32" t="str">
        <f t="shared" si="28"/>
        <v>극상</v>
      </c>
      <c r="G881" s="63" t="s">
        <v>40</v>
      </c>
      <c r="H881" s="63" t="s">
        <v>41</v>
      </c>
      <c r="I881" s="34" t="s">
        <v>1343</v>
      </c>
      <c r="J881" s="33"/>
      <c r="K881" s="35"/>
      <c r="L881" s="33"/>
      <c r="M881" s="36"/>
      <c r="N881" s="33"/>
      <c r="O881" s="36"/>
      <c r="P881" s="33"/>
      <c r="Q881" s="37"/>
      <c r="R881" s="38"/>
      <c r="S881" s="33"/>
      <c r="T881" s="38"/>
      <c r="U881" s="33"/>
      <c r="V881" s="39"/>
      <c r="W881" s="90" t="b">
        <v>0</v>
      </c>
      <c r="X881" s="90" t="b">
        <v>0</v>
      </c>
      <c r="Y881" s="90" t="b">
        <v>0</v>
      </c>
      <c r="Z881" s="40" t="s">
        <v>1146</v>
      </c>
      <c r="AA881" s="41"/>
      <c r="AK881" s="16"/>
      <c r="AL881" s="16"/>
      <c r="AM881" s="16"/>
      <c r="AN881" s="16"/>
      <c r="AO881" s="16"/>
      <c r="AP881" s="16"/>
      <c r="AQ881" s="16"/>
      <c r="AR881" s="16"/>
      <c r="AS881" s="16"/>
    </row>
    <row r="882" spans="1:45" s="7" customFormat="1" ht="195" customHeight="1">
      <c r="A882" s="27">
        <f>[1]트램표준체크리스트!A939</f>
        <v>937</v>
      </c>
      <c r="B882" s="28" t="str">
        <f>[1]트램표준체크리스트!B939</f>
        <v>도로신호</v>
      </c>
      <c r="C882" s="29" t="str">
        <f>[1]트램표준체크리스트!C939</f>
        <v>신호설비 생존성 확보</v>
      </c>
      <c r="D882" s="30" t="str">
        <f>[1]트램표준체크리스트!F939</f>
        <v>모순검지 로직 누락 및 불완전 설계로 제어기 오동작 시 트램·일반차량 동시 진행 신호가 부여될 대형 충돌 리스크를 검토하였는가?</v>
      </c>
      <c r="E882" s="31" t="s">
        <v>228</v>
      </c>
      <c r="F882" s="32" t="str">
        <f t="shared" si="28"/>
        <v>극상</v>
      </c>
      <c r="G882" s="63" t="s">
        <v>40</v>
      </c>
      <c r="H882" s="63" t="s">
        <v>41</v>
      </c>
      <c r="I882" s="34" t="s">
        <v>1344</v>
      </c>
      <c r="J882" s="33"/>
      <c r="K882" s="35"/>
      <c r="L882" s="33"/>
      <c r="M882" s="36"/>
      <c r="N882" s="33"/>
      <c r="O882" s="36"/>
      <c r="P882" s="33"/>
      <c r="Q882" s="37"/>
      <c r="R882" s="38"/>
      <c r="S882" s="33"/>
      <c r="T882" s="38"/>
      <c r="U882" s="33"/>
      <c r="V882" s="39"/>
      <c r="W882" s="90" t="b">
        <v>0</v>
      </c>
      <c r="X882" s="90" t="b">
        <v>0</v>
      </c>
      <c r="Y882" s="90" t="b">
        <v>0</v>
      </c>
      <c r="Z882" s="40" t="s">
        <v>228</v>
      </c>
      <c r="AA882" s="41"/>
      <c r="AK882" s="16"/>
      <c r="AL882" s="16"/>
      <c r="AM882" s="16"/>
      <c r="AN882" s="16"/>
      <c r="AO882" s="16"/>
      <c r="AP882" s="16"/>
      <c r="AQ882" s="16"/>
      <c r="AR882" s="16"/>
      <c r="AS882" s="16"/>
    </row>
    <row r="883" spans="1:45" s="7" customFormat="1" ht="195" customHeight="1">
      <c r="A883" s="27">
        <f>[1]트램표준체크리스트!A940</f>
        <v>938</v>
      </c>
      <c r="B883" s="28" t="str">
        <f>[1]트램표준체크리스트!B940</f>
        <v>도로신호</v>
      </c>
      <c r="C883" s="29" t="str">
        <f>[1]트램표준체크리스트!C940</f>
        <v>신호설비 생존성 확보</v>
      </c>
      <c r="D883" s="30" t="str">
        <f>[1]트램표준체크리스트!F940</f>
        <v>보증 비상제동성능(GEBR) 미반영에 따른 제동거리 부족으로 교차로 및 선로종단부 충돌·탈선이 발생할 리스크를 검토하였는가?</v>
      </c>
      <c r="E883" s="31" t="s">
        <v>228</v>
      </c>
      <c r="F883" s="32" t="str">
        <f t="shared" si="28"/>
        <v>극상</v>
      </c>
      <c r="G883" s="63" t="s">
        <v>40</v>
      </c>
      <c r="H883" s="63" t="s">
        <v>41</v>
      </c>
      <c r="I883" s="34" t="s">
        <v>1345</v>
      </c>
      <c r="J883" s="33"/>
      <c r="K883" s="35"/>
      <c r="L883" s="33"/>
      <c r="M883" s="36"/>
      <c r="N883" s="33"/>
      <c r="O883" s="36"/>
      <c r="P883" s="33"/>
      <c r="Q883" s="37"/>
      <c r="R883" s="38"/>
      <c r="S883" s="33"/>
      <c r="T883" s="38"/>
      <c r="U883" s="33"/>
      <c r="V883" s="39"/>
      <c r="W883" s="90" t="b">
        <v>0</v>
      </c>
      <c r="X883" s="90" t="b">
        <v>0</v>
      </c>
      <c r="Y883" s="90" t="b">
        <v>0</v>
      </c>
      <c r="Z883" s="40" t="s">
        <v>228</v>
      </c>
      <c r="AA883" s="41"/>
      <c r="AK883" s="16"/>
      <c r="AL883" s="16"/>
      <c r="AM883" s="16"/>
      <c r="AN883" s="16"/>
      <c r="AO883" s="16"/>
      <c r="AP883" s="16"/>
      <c r="AQ883" s="16"/>
      <c r="AR883" s="16"/>
      <c r="AS883" s="16"/>
    </row>
    <row r="884" spans="1:45" s="7" customFormat="1" ht="195" customHeight="1">
      <c r="A884" s="27">
        <f>[1]트램표준체크리스트!A941</f>
        <v>939</v>
      </c>
      <c r="B884" s="28" t="str">
        <f>[1]트램표준체크리스트!B941</f>
        <v>도로신호</v>
      </c>
      <c r="C884" s="29" t="str">
        <f>[1]트램표준체크리스트!C941</f>
        <v>신호설비 생존성 확보</v>
      </c>
      <c r="D884" s="30" t="str">
        <f>[1]트램표준체크리스트!F941</f>
        <v>경찰청 표준규격 및 사전 심의 누락에 따른 임의 규격 설계로 경찰 교통관제센터와 통신 연동이 불가할 리스크를 검토하였는가?</v>
      </c>
      <c r="E884" s="31" t="s">
        <v>228</v>
      </c>
      <c r="F884" s="32" t="str">
        <f t="shared" si="28"/>
        <v>극상</v>
      </c>
      <c r="G884" s="63" t="s">
        <v>40</v>
      </c>
      <c r="H884" s="63" t="s">
        <v>41</v>
      </c>
      <c r="I884" s="34" t="s">
        <v>1346</v>
      </c>
      <c r="J884" s="33"/>
      <c r="K884" s="35"/>
      <c r="L884" s="33"/>
      <c r="M884" s="36"/>
      <c r="N884" s="33"/>
      <c r="O884" s="36"/>
      <c r="P884" s="33"/>
      <c r="Q884" s="37"/>
      <c r="R884" s="38"/>
      <c r="S884" s="33"/>
      <c r="T884" s="38"/>
      <c r="U884" s="33"/>
      <c r="V884" s="39"/>
      <c r="W884" s="90" t="b">
        <v>0</v>
      </c>
      <c r="X884" s="90" t="b">
        <v>0</v>
      </c>
      <c r="Y884" s="90" t="b">
        <v>0</v>
      </c>
      <c r="Z884" s="40" t="s">
        <v>228</v>
      </c>
      <c r="AA884" s="41"/>
      <c r="AK884" s="16"/>
      <c r="AL884" s="16"/>
      <c r="AM884" s="16"/>
      <c r="AN884" s="16"/>
      <c r="AO884" s="16"/>
      <c r="AP884" s="16"/>
      <c r="AQ884" s="16"/>
      <c r="AR884" s="16"/>
      <c r="AS884" s="16"/>
    </row>
    <row r="885" spans="1:45" s="7" customFormat="1" ht="195" customHeight="1">
      <c r="A885" s="27">
        <f>[1]트램표준체크리스트!A942</f>
        <v>940</v>
      </c>
      <c r="B885" s="28" t="str">
        <f>[1]트램표준체크리스트!B942</f>
        <v>도로신호</v>
      </c>
      <c r="C885" s="29" t="str">
        <f>[1]트램표준체크리스트!C942</f>
        <v>신호설비 생존성 확보</v>
      </c>
      <c r="D885" s="30" t="str">
        <f>[1]트램표준체크리스트!F942</f>
        <v>트램 신호기가 원형으로 설계되어, 일반 차량 운전자의 신호 오인에 따른 교차로 진입 및 충돌 방재 리스크를 검토하였는가?</v>
      </c>
      <c r="E885" s="31" t="s">
        <v>228</v>
      </c>
      <c r="F885" s="32" t="str">
        <f t="shared" si="28"/>
        <v>극상</v>
      </c>
      <c r="G885" s="63" t="s">
        <v>40</v>
      </c>
      <c r="H885" s="63" t="s">
        <v>41</v>
      </c>
      <c r="I885" s="34" t="s">
        <v>1347</v>
      </c>
      <c r="J885" s="33"/>
      <c r="K885" s="35"/>
      <c r="L885" s="33"/>
      <c r="M885" s="36"/>
      <c r="N885" s="33"/>
      <c r="O885" s="36"/>
      <c r="P885" s="33"/>
      <c r="Q885" s="37"/>
      <c r="R885" s="38"/>
      <c r="S885" s="33"/>
      <c r="T885" s="38"/>
      <c r="U885" s="33"/>
      <c r="V885" s="39"/>
      <c r="W885" s="90" t="b">
        <v>0</v>
      </c>
      <c r="X885" s="90" t="b">
        <v>0</v>
      </c>
      <c r="Y885" s="90" t="b">
        <v>0</v>
      </c>
      <c r="Z885" s="40" t="s">
        <v>228</v>
      </c>
      <c r="AA885" s="41"/>
      <c r="AK885" s="16"/>
      <c r="AL885" s="16"/>
      <c r="AM885" s="16"/>
      <c r="AN885" s="16"/>
      <c r="AO885" s="16"/>
      <c r="AP885" s="16"/>
      <c r="AQ885" s="16"/>
      <c r="AR885" s="16"/>
      <c r="AS885" s="16"/>
    </row>
    <row r="886" spans="1:45" s="7" customFormat="1" ht="195" customHeight="1">
      <c r="A886" s="27">
        <f>[1]트램표준체크리스트!A943</f>
        <v>941</v>
      </c>
      <c r="B886" s="28" t="str">
        <f>[1]트램표준체크리스트!B943</f>
        <v>도로신호</v>
      </c>
      <c r="C886" s="29" t="str">
        <f>[1]트램표준체크리스트!C943</f>
        <v>신호설비 생존성 확보</v>
      </c>
      <c r="D886" s="30" t="str">
        <f>[1]트램표준체크리스트!F943</f>
        <v>트램 전용 신호기 설계 누락 및 경찰청 표준규격 위반으로 관할 경찰청 교통안전심의 통과가 불가해질 리스크를 검토하였는가?</v>
      </c>
      <c r="E886" s="31" t="s">
        <v>1348</v>
      </c>
      <c r="F886" s="32" t="str">
        <f t="shared" si="28"/>
        <v>극상</v>
      </c>
      <c r="G886" s="63" t="s">
        <v>40</v>
      </c>
      <c r="H886" s="63" t="s">
        <v>41</v>
      </c>
      <c r="I886" s="34" t="s">
        <v>1349</v>
      </c>
      <c r="J886" s="33"/>
      <c r="K886" s="35"/>
      <c r="L886" s="33"/>
      <c r="M886" s="36"/>
      <c r="N886" s="33"/>
      <c r="O886" s="36"/>
      <c r="P886" s="33"/>
      <c r="Q886" s="37"/>
      <c r="R886" s="38"/>
      <c r="S886" s="33"/>
      <c r="T886" s="38"/>
      <c r="U886" s="33"/>
      <c r="V886" s="39"/>
      <c r="W886" s="90" t="b">
        <v>0</v>
      </c>
      <c r="X886" s="90" t="b">
        <v>0</v>
      </c>
      <c r="Y886" s="90" t="b">
        <v>0</v>
      </c>
      <c r="Z886" s="40" t="s">
        <v>1146</v>
      </c>
      <c r="AA886" s="41"/>
      <c r="AK886" s="16"/>
      <c r="AL886" s="16"/>
      <c r="AM886" s="16"/>
      <c r="AN886" s="16"/>
      <c r="AO886" s="16"/>
      <c r="AP886" s="16"/>
      <c r="AQ886" s="16"/>
      <c r="AR886" s="16"/>
      <c r="AS886" s="16"/>
    </row>
    <row r="887" spans="1:45" s="7" customFormat="1" ht="195" customHeight="1">
      <c r="A887" s="27">
        <f>[1]트램표준체크리스트!A944</f>
        <v>942</v>
      </c>
      <c r="B887" s="28" t="str">
        <f>[1]트램표준체크리스트!B944</f>
        <v>도로신호</v>
      </c>
      <c r="C887" s="29" t="str">
        <f>[1]트램표준체크리스트!C944</f>
        <v>신호설비 생존성 확보</v>
      </c>
      <c r="D887" s="30" t="str">
        <f>[1]트램표준체크리스트!F944</f>
        <v>분기부 트램 신호기가 좌측이나 가로형으로 임의 설계되어, 타 시설물에 가려진 신호 오인으로 분기부에서 탈선할 리스크를 검토하였는가?</v>
      </c>
      <c r="E887" s="31" t="s">
        <v>1350</v>
      </c>
      <c r="F887" s="32" t="str">
        <f t="shared" si="28"/>
        <v>극상</v>
      </c>
      <c r="G887" s="63" t="s">
        <v>40</v>
      </c>
      <c r="H887" s="63" t="s">
        <v>41</v>
      </c>
      <c r="I887" s="34" t="s">
        <v>1351</v>
      </c>
      <c r="J887" s="33"/>
      <c r="K887" s="35"/>
      <c r="L887" s="33"/>
      <c r="M887" s="36"/>
      <c r="N887" s="33"/>
      <c r="O887" s="36"/>
      <c r="P887" s="33"/>
      <c r="Q887" s="37"/>
      <c r="R887" s="38"/>
      <c r="S887" s="33"/>
      <c r="T887" s="38"/>
      <c r="U887" s="33"/>
      <c r="V887" s="39"/>
      <c r="W887" s="90" t="b">
        <v>0</v>
      </c>
      <c r="X887" s="90" t="b">
        <v>0</v>
      </c>
      <c r="Y887" s="90" t="b">
        <v>0</v>
      </c>
      <c r="Z887" s="40" t="s">
        <v>1146</v>
      </c>
      <c r="AA887" s="41"/>
      <c r="AK887" s="16"/>
      <c r="AL887" s="16"/>
      <c r="AM887" s="16"/>
      <c r="AN887" s="16"/>
      <c r="AO887" s="16"/>
      <c r="AP887" s="16"/>
      <c r="AQ887" s="16"/>
      <c r="AR887" s="16"/>
      <c r="AS887" s="16"/>
    </row>
    <row r="888" spans="1:45" s="7" customFormat="1" ht="195" customHeight="1">
      <c r="A888" s="27">
        <f>[1]트램표준체크리스트!A945</f>
        <v>943</v>
      </c>
      <c r="B888" s="28" t="str">
        <f>[1]트램표준체크리스트!B945</f>
        <v>도로신호</v>
      </c>
      <c r="C888" s="29" t="str">
        <f>[1]트램표준체크리스트!C945</f>
        <v>신호설비 생존성 확보</v>
      </c>
      <c r="D888" s="30" t="str">
        <f>[1]트램표준체크리스트!F945</f>
        <v>전용 안전표지판 및 속도/서행 표지 누락·비표준 적용으로 일반 차량 궤도 침범 및 트램 곡선부 과속 사고를 유발할 리스크를 검토하였는가?</v>
      </c>
      <c r="E888" s="31" t="s">
        <v>1352</v>
      </c>
      <c r="F888" s="32" t="str">
        <f t="shared" si="28"/>
        <v>극상</v>
      </c>
      <c r="G888" s="63" t="s">
        <v>40</v>
      </c>
      <c r="H888" s="63" t="s">
        <v>41</v>
      </c>
      <c r="I888" s="34" t="s">
        <v>1353</v>
      </c>
      <c r="J888" s="33"/>
      <c r="K888" s="35"/>
      <c r="L888" s="33"/>
      <c r="M888" s="36"/>
      <c r="N888" s="33"/>
      <c r="O888" s="36"/>
      <c r="P888" s="33"/>
      <c r="Q888" s="37"/>
      <c r="R888" s="38"/>
      <c r="S888" s="33"/>
      <c r="T888" s="38"/>
      <c r="U888" s="33"/>
      <c r="V888" s="39"/>
      <c r="W888" s="90" t="b">
        <v>0</v>
      </c>
      <c r="X888" s="90" t="b">
        <v>0</v>
      </c>
      <c r="Y888" s="90" t="b">
        <v>0</v>
      </c>
      <c r="Z888" s="40" t="s">
        <v>1146</v>
      </c>
      <c r="AA888" s="41"/>
      <c r="AK888" s="16"/>
      <c r="AL888" s="16"/>
      <c r="AM888" s="16"/>
      <c r="AN888" s="16"/>
      <c r="AO888" s="16"/>
      <c r="AP888" s="16"/>
      <c r="AQ888" s="16"/>
      <c r="AR888" s="16"/>
      <c r="AS888" s="16"/>
    </row>
    <row r="889" spans="1:45" s="7" customFormat="1" ht="195" customHeight="1">
      <c r="A889" s="27">
        <f>[1]트램표준체크리스트!A946</f>
        <v>944</v>
      </c>
      <c r="B889" s="28" t="str">
        <f>[1]트램표준체크리스트!B946</f>
        <v>도로신호</v>
      </c>
      <c r="C889" s="29" t="str">
        <f>[1]트램표준체크리스트!C946</f>
        <v>신호설비 생존성 확보</v>
      </c>
      <c r="D889" s="30" t="str">
        <f>[1]트램표준체크리스트!F946</f>
        <v>속도제한·서행 표지 누락 및 사각지대 배치로 감속 지연에 따른 탈선 및 교차로 충돌 리스크를 검토하였는가?</v>
      </c>
      <c r="E889" s="31" t="s">
        <v>1354</v>
      </c>
      <c r="F889" s="32" t="str">
        <f t="shared" si="28"/>
        <v>극상</v>
      </c>
      <c r="G889" s="63" t="s">
        <v>40</v>
      </c>
      <c r="H889" s="63" t="s">
        <v>41</v>
      </c>
      <c r="I889" s="34" t="s">
        <v>1355</v>
      </c>
      <c r="J889" s="33"/>
      <c r="K889" s="35"/>
      <c r="L889" s="33"/>
      <c r="M889" s="36"/>
      <c r="N889" s="33"/>
      <c r="O889" s="36"/>
      <c r="P889" s="33"/>
      <c r="Q889" s="37"/>
      <c r="R889" s="38"/>
      <c r="S889" s="33"/>
      <c r="T889" s="38"/>
      <c r="U889" s="33"/>
      <c r="V889" s="39"/>
      <c r="W889" s="90" t="b">
        <v>0</v>
      </c>
      <c r="X889" s="90" t="b">
        <v>0</v>
      </c>
      <c r="Y889" s="90" t="b">
        <v>0</v>
      </c>
      <c r="Z889" s="40" t="s">
        <v>1146</v>
      </c>
      <c r="AA889" s="41"/>
      <c r="AK889" s="16"/>
      <c r="AL889" s="16"/>
      <c r="AM889" s="16"/>
      <c r="AN889" s="16"/>
      <c r="AO889" s="16"/>
      <c r="AP889" s="16"/>
      <c r="AQ889" s="16"/>
      <c r="AR889" s="16"/>
      <c r="AS889" s="16"/>
    </row>
    <row r="890" spans="1:45" s="7" customFormat="1" ht="195" customHeight="1">
      <c r="A890" s="27">
        <f>[1]트램표준체크리스트!A947</f>
        <v>945</v>
      </c>
      <c r="B890" s="28" t="str">
        <f>[1]트램표준체크리스트!B947</f>
        <v>도로신호</v>
      </c>
      <c r="C890" s="29" t="str">
        <f>[1]트램표준체크리스트!C947</f>
        <v>신호설비 생존성 확보</v>
      </c>
      <c r="D890" s="30" t="str">
        <f>[1]트램표준체크리스트!F947</f>
        <v>단일로 횡단보도 트램-보행신호 연동 설계 누락으로, 횡단 시 트램 무감속 진입에 의한 중대 인명사고 리스크를 검토하였는가?</v>
      </c>
      <c r="E890" s="31" t="s">
        <v>1356</v>
      </c>
      <c r="F890" s="32" t="str">
        <f t="shared" si="28"/>
        <v>극상</v>
      </c>
      <c r="G890" s="63" t="s">
        <v>40</v>
      </c>
      <c r="H890" s="63" t="s">
        <v>41</v>
      </c>
      <c r="I890" s="34" t="s">
        <v>1357</v>
      </c>
      <c r="J890" s="33"/>
      <c r="K890" s="35"/>
      <c r="L890" s="33"/>
      <c r="M890" s="36"/>
      <c r="N890" s="33"/>
      <c r="O890" s="36"/>
      <c r="P890" s="33"/>
      <c r="Q890" s="37"/>
      <c r="R890" s="38"/>
      <c r="S890" s="33"/>
      <c r="T890" s="38"/>
      <c r="U890" s="33"/>
      <c r="V890" s="39"/>
      <c r="W890" s="90" t="b">
        <v>0</v>
      </c>
      <c r="X890" s="90" t="b">
        <v>0</v>
      </c>
      <c r="Y890" s="90" t="b">
        <v>0</v>
      </c>
      <c r="Z890" s="40" t="s">
        <v>1146</v>
      </c>
      <c r="AA890" s="41"/>
      <c r="AK890" s="16"/>
      <c r="AL890" s="16"/>
      <c r="AM890" s="16"/>
      <c r="AN890" s="16"/>
      <c r="AO890" s="16"/>
      <c r="AP890" s="16"/>
      <c r="AQ890" s="16"/>
      <c r="AR890" s="16"/>
      <c r="AS890" s="16"/>
    </row>
    <row r="891" spans="1:45" s="7" customFormat="1" ht="195" customHeight="1">
      <c r="A891" s="27">
        <f>[1]트램표준체크리스트!A948</f>
        <v>946</v>
      </c>
      <c r="B891" s="28" t="str">
        <f>[1]트램표준체크리스트!B948</f>
        <v>도로신호</v>
      </c>
      <c r="C891" s="29" t="str">
        <f>[1]트램표준체크리스트!C948</f>
        <v>신호설비 생존성 확보</v>
      </c>
      <c r="D891" s="30" t="str">
        <f>[1]트램표준체크리스트!F948</f>
        <v>통신 I/F 설계 누락으로 우선신호용 위치 데이터가 제어기에 미전달될 리스크를 검토하였는가?</v>
      </c>
      <c r="E891" s="31" t="s">
        <v>1358</v>
      </c>
      <c r="F891" s="32" t="str">
        <f t="shared" si="28"/>
        <v>극상</v>
      </c>
      <c r="G891" s="63" t="s">
        <v>40</v>
      </c>
      <c r="H891" s="63" t="s">
        <v>41</v>
      </c>
      <c r="I891" s="34" t="s">
        <v>1359</v>
      </c>
      <c r="J891" s="33"/>
      <c r="K891" s="35"/>
      <c r="L891" s="33"/>
      <c r="M891" s="36"/>
      <c r="N891" s="33"/>
      <c r="O891" s="36"/>
      <c r="P891" s="33"/>
      <c r="Q891" s="37"/>
      <c r="R891" s="38"/>
      <c r="S891" s="33"/>
      <c r="T891" s="38"/>
      <c r="U891" s="33"/>
      <c r="V891" s="39"/>
      <c r="W891" s="90" t="b">
        <v>0</v>
      </c>
      <c r="X891" s="90" t="b">
        <v>0</v>
      </c>
      <c r="Y891" s="90" t="b">
        <v>0</v>
      </c>
      <c r="Z891" s="40" t="s">
        <v>1146</v>
      </c>
      <c r="AA891" s="41"/>
      <c r="AK891" s="16"/>
      <c r="AL891" s="16"/>
      <c r="AM891" s="16"/>
      <c r="AN891" s="16"/>
      <c r="AO891" s="16"/>
      <c r="AP891" s="16"/>
      <c r="AQ891" s="16"/>
      <c r="AR891" s="16"/>
      <c r="AS891" s="16"/>
    </row>
    <row r="892" spans="1:45" s="7" customFormat="1" ht="195" customHeight="1">
      <c r="A892" s="27">
        <f>[1]트램표준체크리스트!A949</f>
        <v>947</v>
      </c>
      <c r="B892" s="28" t="str">
        <f>[1]트램표준체크리스트!B949</f>
        <v>통신</v>
      </c>
      <c r="C892" s="29" t="str">
        <f>[1]트램표준체크리스트!C949</f>
        <v>신호설비 생존성 확보</v>
      </c>
      <c r="D892" s="30" t="str">
        <f>[1]트램표준체크리스트!F949</f>
        <v>TTC-PIS 간 운행정보 연동 누락 및 프로토콜 불일치로 승강장 모니터 정보 표출이 무력화될 리스크를 검토하였는가?</v>
      </c>
      <c r="E892" s="31" t="s">
        <v>3734</v>
      </c>
      <c r="F892" s="32" t="str">
        <f t="shared" si="28"/>
        <v>극상</v>
      </c>
      <c r="G892" s="63" t="s">
        <v>40</v>
      </c>
      <c r="H892" s="63" t="s">
        <v>41</v>
      </c>
      <c r="I892" s="34" t="s">
        <v>3735</v>
      </c>
      <c r="J892" s="33"/>
      <c r="K892" s="35"/>
      <c r="L892" s="33"/>
      <c r="M892" s="36"/>
      <c r="N892" s="33"/>
      <c r="O892" s="36"/>
      <c r="P892" s="33"/>
      <c r="Q892" s="37"/>
      <c r="R892" s="38"/>
      <c r="S892" s="33"/>
      <c r="T892" s="38"/>
      <c r="U892" s="33"/>
      <c r="V892" s="39"/>
      <c r="W892" s="90" t="b">
        <v>0</v>
      </c>
      <c r="X892" s="90" t="b">
        <v>0</v>
      </c>
      <c r="Y892" s="90" t="b">
        <v>0</v>
      </c>
      <c r="Z892" s="40" t="s">
        <v>3927</v>
      </c>
      <c r="AA892" s="41"/>
      <c r="AK892" s="16"/>
      <c r="AL892" s="16"/>
      <c r="AM892" s="16"/>
      <c r="AN892" s="16"/>
      <c r="AO892" s="16"/>
      <c r="AP892" s="16"/>
      <c r="AQ892" s="16"/>
      <c r="AR892" s="16"/>
      <c r="AS892" s="16"/>
    </row>
    <row r="893" spans="1:45" s="7" customFormat="1" ht="195" customHeight="1">
      <c r="A893" s="27">
        <f>[1]트램표준체크리스트!A950</f>
        <v>948</v>
      </c>
      <c r="B893" s="28" t="str">
        <f>[1]트램표준체크리스트!B950</f>
        <v>도로신호</v>
      </c>
      <c r="C893" s="29" t="str">
        <f>[1]트램표준체크리스트!C950</f>
        <v>신호설비 생존성 확보</v>
      </c>
      <c r="D893" s="30" t="str">
        <f>[1]트램표준체크리스트!F950</f>
        <v>도로·철도신호 연계 누락 및 모바일 안테나 혼용 배치에 따른 통신 전자파 간섭 신호 오동작 리스크를 검토하였는가?</v>
      </c>
      <c r="E893" s="31" t="s">
        <v>1360</v>
      </c>
      <c r="F893" s="32" t="str">
        <f t="shared" si="28"/>
        <v>극상</v>
      </c>
      <c r="G893" s="63" t="s">
        <v>40</v>
      </c>
      <c r="H893" s="63" t="s">
        <v>41</v>
      </c>
      <c r="I893" s="34" t="s">
        <v>1361</v>
      </c>
      <c r="J893" s="33"/>
      <c r="K893" s="35"/>
      <c r="L893" s="33"/>
      <c r="M893" s="36"/>
      <c r="N893" s="33"/>
      <c r="O893" s="36"/>
      <c r="P893" s="33"/>
      <c r="Q893" s="37"/>
      <c r="R893" s="38"/>
      <c r="S893" s="33"/>
      <c r="T893" s="38"/>
      <c r="U893" s="33"/>
      <c r="V893" s="39"/>
      <c r="W893" s="90" t="b">
        <v>0</v>
      </c>
      <c r="X893" s="90" t="b">
        <v>1</v>
      </c>
      <c r="Y893" s="90" t="b">
        <v>1</v>
      </c>
      <c r="Z893" s="40" t="s">
        <v>1146</v>
      </c>
      <c r="AA893" s="41"/>
      <c r="AK893" s="16"/>
      <c r="AL893" s="16"/>
      <c r="AM893" s="16"/>
      <c r="AN893" s="16"/>
      <c r="AO893" s="16"/>
      <c r="AP893" s="16"/>
      <c r="AQ893" s="16"/>
      <c r="AR893" s="16"/>
      <c r="AS893" s="16"/>
    </row>
    <row r="894" spans="1:45" s="7" customFormat="1" ht="195" customHeight="1">
      <c r="A894" s="27">
        <f>[1]트램표준체크리스트!A951</f>
        <v>949</v>
      </c>
      <c r="B894" s="28" t="str">
        <f>[1]트램표준체크리스트!B951</f>
        <v>도로신호</v>
      </c>
      <c r="C894" s="29" t="str">
        <f>[1]트램표준체크리스트!C951</f>
        <v>신호설비 생존성 확보</v>
      </c>
      <c r="D894" s="30" t="str">
        <f>[1]트램표준체크리스트!F951</f>
        <v>기지 내 입환 신호 및 시운전선 추돌방지 로직 누락으로 다수 트램 동시 이동 시 정면·측면 충돌 사고가 발생할 리스크를 검토하였는가?</v>
      </c>
      <c r="E894" s="31" t="s">
        <v>1362</v>
      </c>
      <c r="F894" s="32" t="str">
        <f t="shared" si="28"/>
        <v>극상</v>
      </c>
      <c r="G894" s="63" t="s">
        <v>40</v>
      </c>
      <c r="H894" s="63" t="s">
        <v>41</v>
      </c>
      <c r="I894" s="34" t="s">
        <v>1363</v>
      </c>
      <c r="J894" s="33"/>
      <c r="K894" s="35"/>
      <c r="L894" s="33"/>
      <c r="M894" s="36"/>
      <c r="N894" s="33"/>
      <c r="O894" s="36"/>
      <c r="P894" s="33"/>
      <c r="Q894" s="37"/>
      <c r="R894" s="38"/>
      <c r="S894" s="33"/>
      <c r="T894" s="38"/>
      <c r="U894" s="33"/>
      <c r="V894" s="39"/>
      <c r="W894" s="90" t="b">
        <v>0</v>
      </c>
      <c r="X894" s="90" t="b">
        <v>0</v>
      </c>
      <c r="Y894" s="90" t="b">
        <v>0</v>
      </c>
      <c r="Z894" s="40" t="s">
        <v>1146</v>
      </c>
      <c r="AA894" s="41"/>
      <c r="AK894" s="16"/>
      <c r="AL894" s="16"/>
      <c r="AM894" s="16"/>
      <c r="AN894" s="16"/>
      <c r="AO894" s="16"/>
      <c r="AP894" s="16"/>
      <c r="AQ894" s="16"/>
      <c r="AR894" s="16"/>
      <c r="AS894" s="16"/>
    </row>
    <row r="895" spans="1:45" s="7" customFormat="1" ht="195" customHeight="1">
      <c r="A895" s="27">
        <f>[1]트램표준체크리스트!A952</f>
        <v>950</v>
      </c>
      <c r="B895" s="28" t="str">
        <f>[1]트램표준체크리스트!B952</f>
        <v>도로신호</v>
      </c>
      <c r="C895" s="29" t="str">
        <f>[1]트램표준체크리스트!C952</f>
        <v>신호설비 생존성 확보</v>
      </c>
      <c r="D895" s="30" t="str">
        <f>[1]트램표준체크리스트!F952</f>
        <v>히팅 장치 결선 및 어스박스 배수관 연결 누락으로 동절기 결빙 및 집중호우 침수에 따른 분기부 신호 제어 불능 리스크를 검토하였는가?</v>
      </c>
      <c r="E895" s="31" t="s">
        <v>1364</v>
      </c>
      <c r="F895" s="32" t="str">
        <f t="shared" si="28"/>
        <v>극상</v>
      </c>
      <c r="G895" s="63" t="s">
        <v>40</v>
      </c>
      <c r="H895" s="63" t="s">
        <v>41</v>
      </c>
      <c r="I895" s="34" t="s">
        <v>1365</v>
      </c>
      <c r="J895" s="33"/>
      <c r="K895" s="35"/>
      <c r="L895" s="33"/>
      <c r="M895" s="36"/>
      <c r="N895" s="33"/>
      <c r="O895" s="36"/>
      <c r="P895" s="33"/>
      <c r="Q895" s="37"/>
      <c r="R895" s="38"/>
      <c r="S895" s="33"/>
      <c r="T895" s="38"/>
      <c r="U895" s="33"/>
      <c r="V895" s="39"/>
      <c r="W895" s="90" t="b">
        <v>0</v>
      </c>
      <c r="X895" s="90" t="b">
        <v>0</v>
      </c>
      <c r="Y895" s="90" t="b">
        <v>0</v>
      </c>
      <c r="Z895" s="40" t="s">
        <v>1146</v>
      </c>
      <c r="AA895" s="41"/>
      <c r="AK895" s="16"/>
      <c r="AL895" s="16"/>
      <c r="AM895" s="16"/>
      <c r="AN895" s="16"/>
      <c r="AO895" s="16"/>
      <c r="AP895" s="16"/>
      <c r="AQ895" s="16"/>
      <c r="AR895" s="16"/>
      <c r="AS895" s="16"/>
    </row>
    <row r="896" spans="1:45" s="7" customFormat="1" ht="195" customHeight="1">
      <c r="A896" s="27">
        <f>[1]트램표준체크리스트!A953</f>
        <v>951</v>
      </c>
      <c r="B896" s="28" t="str">
        <f>[1]트램표준체크리스트!B953</f>
        <v>도로신호</v>
      </c>
      <c r="C896" s="29" t="str">
        <f>[1]트램표준체크리스트!C953</f>
        <v>신호설비 생존성 확보</v>
      </c>
      <c r="D896" s="30" t="str">
        <f>[1]트램표준체크리스트!F953</f>
        <v>운전 방식 경계부 전환 안내 신호기 및 제어 로직 누락으로 기관사 신호 혼동에 따른 속도 위반 및 궤도 이탈 리스크를 검토하였는가?</v>
      </c>
      <c r="E896" s="31" t="s">
        <v>1366</v>
      </c>
      <c r="F896" s="32" t="str">
        <f t="shared" si="28"/>
        <v>극상</v>
      </c>
      <c r="G896" s="63" t="s">
        <v>40</v>
      </c>
      <c r="H896" s="63" t="s">
        <v>41</v>
      </c>
      <c r="I896" s="34" t="s">
        <v>1367</v>
      </c>
      <c r="J896" s="33"/>
      <c r="K896" s="35"/>
      <c r="L896" s="33"/>
      <c r="M896" s="36"/>
      <c r="N896" s="33"/>
      <c r="O896" s="36"/>
      <c r="P896" s="33"/>
      <c r="Q896" s="37"/>
      <c r="R896" s="38"/>
      <c r="S896" s="33"/>
      <c r="T896" s="38"/>
      <c r="U896" s="33"/>
      <c r="V896" s="39"/>
      <c r="W896" s="90" t="b">
        <v>0</v>
      </c>
      <c r="X896" s="90" t="b">
        <v>1</v>
      </c>
      <c r="Y896" s="90" t="b">
        <v>1</v>
      </c>
      <c r="Z896" s="40" t="s">
        <v>1146</v>
      </c>
      <c r="AA896" s="41"/>
      <c r="AK896" s="16"/>
      <c r="AL896" s="16"/>
      <c r="AM896" s="16"/>
      <c r="AN896" s="16"/>
      <c r="AO896" s="16"/>
      <c r="AP896" s="16"/>
      <c r="AQ896" s="16"/>
      <c r="AR896" s="16"/>
      <c r="AS896" s="16"/>
    </row>
    <row r="897" spans="1:45" s="7" customFormat="1" ht="195" customHeight="1">
      <c r="A897" s="27">
        <f>[1]트램표준체크리스트!A954</f>
        <v>952</v>
      </c>
      <c r="B897" s="28" t="str">
        <f>[1]트램표준체크리스트!B954</f>
        <v>도로신호</v>
      </c>
      <c r="C897" s="29" t="str">
        <f>[1]트램표준체크리스트!C954</f>
        <v>신호설비 생존성 확보</v>
      </c>
      <c r="D897" s="30" t="str">
        <f>[1]트램표준체크리스트!F954</f>
        <v>분기부 신호기와 일반차량 신호기의 동기화 누락으로, 신호가 겹쳐 점등되어 교차로 궤도 진입 시 측면 충돌 사고가 발생할 방재 리스크를 검토하였는가?</v>
      </c>
      <c r="E897" s="31" t="s">
        <v>1368</v>
      </c>
      <c r="F897" s="32" t="str">
        <f t="shared" si="28"/>
        <v>극상</v>
      </c>
      <c r="G897" s="63" t="s">
        <v>40</v>
      </c>
      <c r="H897" s="63" t="s">
        <v>41</v>
      </c>
      <c r="I897" s="34" t="s">
        <v>1369</v>
      </c>
      <c r="J897" s="33"/>
      <c r="K897" s="35"/>
      <c r="L897" s="33"/>
      <c r="M897" s="36"/>
      <c r="N897" s="33"/>
      <c r="O897" s="36"/>
      <c r="P897" s="33"/>
      <c r="Q897" s="37"/>
      <c r="R897" s="38"/>
      <c r="S897" s="33"/>
      <c r="T897" s="38"/>
      <c r="U897" s="33"/>
      <c r="V897" s="39"/>
      <c r="W897" s="90" t="b">
        <v>0</v>
      </c>
      <c r="X897" s="90" t="b">
        <v>0</v>
      </c>
      <c r="Y897" s="90" t="b">
        <v>0</v>
      </c>
      <c r="Z897" s="40" t="s">
        <v>1146</v>
      </c>
      <c r="AA897" s="41"/>
      <c r="AK897" s="16"/>
      <c r="AL897" s="16"/>
      <c r="AM897" s="16"/>
      <c r="AN897" s="16"/>
      <c r="AO897" s="16"/>
      <c r="AP897" s="16"/>
      <c r="AQ897" s="16"/>
      <c r="AR897" s="16"/>
      <c r="AS897" s="16"/>
    </row>
    <row r="898" spans="1:45" s="7" customFormat="1" ht="195" customHeight="1">
      <c r="A898" s="27">
        <f>[1]트램표준체크리스트!A955</f>
        <v>953</v>
      </c>
      <c r="B898" s="28" t="str">
        <f>[1]트램표준체크리스트!B955</f>
        <v>도로신호</v>
      </c>
      <c r="C898" s="29" t="str">
        <f>[1]트램표준체크리스트!C955</f>
        <v>신호설비 생존성 확보</v>
      </c>
      <c r="D898" s="30" t="str">
        <f>[1]트램표준체크리스트!F955</f>
        <v>교차로 소등에 따른 교통 정리요원 배치 수량 및 비용 누락으로, 현장에서 무방비 상태로 신호기가 차단될 리스크를 검토하였는가?</v>
      </c>
      <c r="E898" s="31" t="s">
        <v>1370</v>
      </c>
      <c r="F898" s="32" t="str">
        <f t="shared" si="28"/>
        <v>극상</v>
      </c>
      <c r="G898" s="63" t="s">
        <v>40</v>
      </c>
      <c r="H898" s="63" t="s">
        <v>41</v>
      </c>
      <c r="I898" s="34" t="s">
        <v>1371</v>
      </c>
      <c r="J898" s="33"/>
      <c r="K898" s="35"/>
      <c r="L898" s="33"/>
      <c r="M898" s="36"/>
      <c r="N898" s="33"/>
      <c r="O898" s="36"/>
      <c r="P898" s="33"/>
      <c r="Q898" s="37"/>
      <c r="R898" s="38"/>
      <c r="S898" s="33"/>
      <c r="T898" s="38"/>
      <c r="U898" s="33"/>
      <c r="V898" s="39"/>
      <c r="W898" s="90" t="b">
        <v>0</v>
      </c>
      <c r="X898" s="90" t="b">
        <v>0</v>
      </c>
      <c r="Y898" s="90" t="b">
        <v>0</v>
      </c>
      <c r="Z898" s="40" t="s">
        <v>1146</v>
      </c>
      <c r="AA898" s="41"/>
      <c r="AK898" s="16"/>
      <c r="AL898" s="16"/>
      <c r="AM898" s="16"/>
      <c r="AN898" s="16"/>
      <c r="AO898" s="16"/>
      <c r="AP898" s="16"/>
      <c r="AQ898" s="16"/>
      <c r="AR898" s="16"/>
      <c r="AS898" s="16"/>
    </row>
    <row r="899" spans="1:45" s="7" customFormat="1" ht="195" customHeight="1">
      <c r="A899" s="27">
        <f>[1]트램표준체크리스트!A956</f>
        <v>954</v>
      </c>
      <c r="B899" s="28" t="str">
        <f>[1]트램표준체크리스트!B956</f>
        <v>도로신호</v>
      </c>
      <c r="C899" s="29" t="str">
        <f>[1]트램표준체크리스트!C956</f>
        <v>신호설비 생존성 확보</v>
      </c>
      <c r="D899" s="30" t="str">
        <f>[1]트램표준체크리스트!F956</f>
        <v>트램 신호기 높이가 3.5m 미만으로 설계되어, 가로수나 트럭 등에 의해 기관사의 신호 시야가 가려질 리스크를 검토하였는가?</v>
      </c>
      <c r="E899" s="31" t="s">
        <v>1372</v>
      </c>
      <c r="F899" s="32" t="str">
        <f t="shared" si="28"/>
        <v>극상</v>
      </c>
      <c r="G899" s="63" t="s">
        <v>40</v>
      </c>
      <c r="H899" s="63" t="s">
        <v>41</v>
      </c>
      <c r="I899" s="34" t="s">
        <v>1373</v>
      </c>
      <c r="J899" s="33"/>
      <c r="K899" s="35"/>
      <c r="L899" s="33"/>
      <c r="M899" s="36"/>
      <c r="N899" s="33"/>
      <c r="O899" s="36"/>
      <c r="P899" s="33"/>
      <c r="Q899" s="37"/>
      <c r="R899" s="38"/>
      <c r="S899" s="33"/>
      <c r="T899" s="38"/>
      <c r="U899" s="33"/>
      <c r="V899" s="39"/>
      <c r="W899" s="90" t="b">
        <v>0</v>
      </c>
      <c r="X899" s="90" t="b">
        <v>0</v>
      </c>
      <c r="Y899" s="90" t="b">
        <v>0</v>
      </c>
      <c r="Z899" s="40" t="s">
        <v>1146</v>
      </c>
      <c r="AA899" s="41"/>
      <c r="AK899" s="16"/>
      <c r="AL899" s="16"/>
      <c r="AM899" s="16"/>
      <c r="AN899" s="16"/>
      <c r="AO899" s="16"/>
      <c r="AP899" s="16"/>
      <c r="AQ899" s="16"/>
      <c r="AR899" s="16"/>
      <c r="AS899" s="16"/>
    </row>
    <row r="900" spans="1:45" s="7" customFormat="1" ht="195" customHeight="1">
      <c r="A900" s="27">
        <f>[1]트램표준체크리스트!A957</f>
        <v>955</v>
      </c>
      <c r="B900" s="28" t="str">
        <f>[1]트램표준체크리스트!B957</f>
        <v>도로신호</v>
      </c>
      <c r="C900" s="29" t="str">
        <f>[1]트램표준체크리스트!C957</f>
        <v>신호설비 생존성 확보</v>
      </c>
      <c r="D900" s="30" t="str">
        <f>[1]트램표준체크리스트!F957</f>
        <v>관로 굴착 및 맨홀이 토목·통신 공동관로 계획과 별개로 설계되어, 교차로 반복 굴착에 따른 공사비 낭비 및 통행 불편 가중 리스크를 검토하였는가?</v>
      </c>
      <c r="E900" s="31" t="s">
        <v>1374</v>
      </c>
      <c r="F900" s="32" t="str">
        <f t="shared" si="28"/>
        <v>극상</v>
      </c>
      <c r="G900" s="63" t="s">
        <v>40</v>
      </c>
      <c r="H900" s="63" t="s">
        <v>41</v>
      </c>
      <c r="I900" s="34" t="s">
        <v>1375</v>
      </c>
      <c r="J900" s="33"/>
      <c r="K900" s="35"/>
      <c r="L900" s="33"/>
      <c r="M900" s="36"/>
      <c r="N900" s="33"/>
      <c r="O900" s="36"/>
      <c r="P900" s="33"/>
      <c r="Q900" s="37"/>
      <c r="R900" s="38"/>
      <c r="S900" s="33"/>
      <c r="T900" s="38"/>
      <c r="U900" s="33"/>
      <c r="V900" s="39"/>
      <c r="W900" s="90" t="b">
        <v>0</v>
      </c>
      <c r="X900" s="90" t="b">
        <v>0</v>
      </c>
      <c r="Y900" s="90" t="b">
        <v>0</v>
      </c>
      <c r="Z900" s="40" t="s">
        <v>1146</v>
      </c>
      <c r="AA900" s="41"/>
      <c r="AK900" s="16"/>
      <c r="AL900" s="16"/>
      <c r="AM900" s="16"/>
      <c r="AN900" s="16"/>
      <c r="AO900" s="16"/>
      <c r="AP900" s="16"/>
      <c r="AQ900" s="16"/>
      <c r="AR900" s="16"/>
      <c r="AS900" s="16"/>
    </row>
    <row r="901" spans="1:45" s="7" customFormat="1" ht="195" customHeight="1">
      <c r="A901" s="27">
        <f>[1]트램표준체크리스트!A958</f>
        <v>956</v>
      </c>
      <c r="B901" s="28" t="str">
        <f>[1]트램표준체크리스트!B958</f>
        <v>도로신호</v>
      </c>
      <c r="C901" s="29" t="str">
        <f>[1]트램표준체크리스트!C958</f>
        <v>신호설비 생존성 확보</v>
      </c>
      <c r="D901" s="30" t="str">
        <f>[1]트램표준체크리스트!F958</f>
        <v>옥외 신호 현장제어함의 IP56 이상 방진방수 및 방습 구조 규격 누락으로, 우천 시 침수·결로에 의한 신호 마비가 발생할 리스크를 검토하였는가?</v>
      </c>
      <c r="E901" s="31" t="s">
        <v>1376</v>
      </c>
      <c r="F901" s="32" t="str">
        <f t="shared" si="28"/>
        <v>극상</v>
      </c>
      <c r="G901" s="63" t="s">
        <v>40</v>
      </c>
      <c r="H901" s="63" t="s">
        <v>41</v>
      </c>
      <c r="I901" s="34" t="s">
        <v>1377</v>
      </c>
      <c r="J901" s="33"/>
      <c r="K901" s="35"/>
      <c r="L901" s="33"/>
      <c r="M901" s="36"/>
      <c r="N901" s="33"/>
      <c r="O901" s="36"/>
      <c r="P901" s="33"/>
      <c r="Q901" s="37"/>
      <c r="R901" s="38"/>
      <c r="S901" s="33"/>
      <c r="T901" s="38"/>
      <c r="U901" s="33"/>
      <c r="V901" s="39"/>
      <c r="W901" s="90" t="b">
        <v>0</v>
      </c>
      <c r="X901" s="90" t="b">
        <v>0</v>
      </c>
      <c r="Y901" s="90" t="b">
        <v>0</v>
      </c>
      <c r="Z901" s="40" t="s">
        <v>1146</v>
      </c>
      <c r="AA901" s="41"/>
      <c r="AK901" s="16"/>
      <c r="AL901" s="16"/>
      <c r="AM901" s="16"/>
      <c r="AN901" s="16"/>
      <c r="AO901" s="16"/>
      <c r="AP901" s="16"/>
      <c r="AQ901" s="16"/>
      <c r="AR901" s="16"/>
      <c r="AS901" s="16"/>
    </row>
    <row r="902" spans="1:45" s="7" customFormat="1" ht="195" customHeight="1">
      <c r="A902" s="27">
        <f>[1]트램표준체크리스트!A959</f>
        <v>957</v>
      </c>
      <c r="B902" s="28" t="str">
        <f>[1]트램표준체크리스트!B959</f>
        <v>도로신호</v>
      </c>
      <c r="C902" s="29" t="str">
        <f>[1]트램표준체크리스트!C959</f>
        <v>신호설비 생존성 확보</v>
      </c>
      <c r="D902" s="30" t="str">
        <f>[1]트램표준체크리스트!F959</f>
        <v>비차폐/비난연 케이블 적용 및 관로 수용 계획 누락으로, 유도장애에 따른 신호 오작동 및 화재가 확산될 방재 리스크를 검토하였는가?</v>
      </c>
      <c r="E902" s="31" t="s">
        <v>1378</v>
      </c>
      <c r="F902" s="32" t="str">
        <f t="shared" si="28"/>
        <v>극상</v>
      </c>
      <c r="G902" s="63" t="s">
        <v>40</v>
      </c>
      <c r="H902" s="63" t="s">
        <v>41</v>
      </c>
      <c r="I902" s="34" t="s">
        <v>1379</v>
      </c>
      <c r="J902" s="33"/>
      <c r="K902" s="35"/>
      <c r="L902" s="33"/>
      <c r="M902" s="36"/>
      <c r="N902" s="33"/>
      <c r="O902" s="36"/>
      <c r="P902" s="33"/>
      <c r="Q902" s="37"/>
      <c r="R902" s="38"/>
      <c r="S902" s="33"/>
      <c r="T902" s="38"/>
      <c r="U902" s="33"/>
      <c r="V902" s="39"/>
      <c r="W902" s="90" t="b">
        <v>0</v>
      </c>
      <c r="X902" s="90" t="b">
        <v>0</v>
      </c>
      <c r="Y902" s="90" t="b">
        <v>0</v>
      </c>
      <c r="Z902" s="40" t="s">
        <v>1146</v>
      </c>
      <c r="AA902" s="41"/>
      <c r="AK902" s="16"/>
      <c r="AL902" s="16"/>
      <c r="AM902" s="16"/>
      <c r="AN902" s="16"/>
      <c r="AO902" s="16"/>
      <c r="AP902" s="16"/>
      <c r="AQ902" s="16"/>
      <c r="AR902" s="16"/>
      <c r="AS902" s="16"/>
    </row>
    <row r="903" spans="1:45" s="7" customFormat="1" ht="195" customHeight="1">
      <c r="A903" s="27">
        <f>[1]트램표준체크리스트!A960</f>
        <v>958</v>
      </c>
      <c r="B903" s="28" t="str">
        <f>[1]트램표준체크리스트!B960</f>
        <v>도로신호</v>
      </c>
      <c r="C903" s="29" t="str">
        <f>[1]트램표준체크리스트!C960</f>
        <v>신호설비 생존성 확보</v>
      </c>
      <c r="D903" s="30" t="str">
        <f>[1]트램표준체크리스트!F960</f>
        <v>주파수 간섭 장비 혼용 및 축전지실 일체형 설계로, 전자파 장애나 배터리 화재 시 트램 신호 관제망이 동반 소손될 리스크를 검토하였는가?</v>
      </c>
      <c r="E903" s="31" t="s">
        <v>1380</v>
      </c>
      <c r="F903" s="32" t="str">
        <f t="shared" si="28"/>
        <v>극상</v>
      </c>
      <c r="G903" s="63" t="s">
        <v>40</v>
      </c>
      <c r="H903" s="63" t="s">
        <v>41</v>
      </c>
      <c r="I903" s="34" t="s">
        <v>1381</v>
      </c>
      <c r="J903" s="33"/>
      <c r="K903" s="35"/>
      <c r="L903" s="33"/>
      <c r="M903" s="36"/>
      <c r="N903" s="33"/>
      <c r="O903" s="36"/>
      <c r="P903" s="33"/>
      <c r="Q903" s="37"/>
      <c r="R903" s="38"/>
      <c r="S903" s="33"/>
      <c r="T903" s="38"/>
      <c r="U903" s="33"/>
      <c r="V903" s="39"/>
      <c r="W903" s="90" t="b">
        <v>0</v>
      </c>
      <c r="X903" s="90" t="b">
        <v>0</v>
      </c>
      <c r="Y903" s="90" t="b">
        <v>0</v>
      </c>
      <c r="Z903" s="40" t="s">
        <v>1146</v>
      </c>
      <c r="AA903" s="41"/>
      <c r="AK903" s="16"/>
      <c r="AL903" s="16"/>
      <c r="AM903" s="16"/>
      <c r="AN903" s="16"/>
      <c r="AO903" s="16"/>
      <c r="AP903" s="16"/>
      <c r="AQ903" s="16"/>
      <c r="AR903" s="16"/>
      <c r="AS903" s="16"/>
    </row>
    <row r="904" spans="1:45" s="7" customFormat="1" ht="195" customHeight="1">
      <c r="A904" s="27">
        <f>[1]트램표준체크리스트!A961</f>
        <v>959</v>
      </c>
      <c r="B904" s="28" t="str">
        <f>[1]트램표준체크리스트!B961</f>
        <v>도로신호</v>
      </c>
      <c r="C904" s="29" t="str">
        <f>[1]트램표준체크리스트!C961</f>
        <v>신호설비 생존성 확보</v>
      </c>
      <c r="D904" s="30" t="str">
        <f>[1]트램표준체크리스트!F961</f>
        <v>옥외 제어함 IP56 미달 및 지하시설 일반 PVC 케이블 적용으로, 우천 시 신호 단락 및 화재 시 대형 질식사고를 유발할 리스크를 검토하였는가?</v>
      </c>
      <c r="E904" s="31" t="s">
        <v>1382</v>
      </c>
      <c r="F904" s="32" t="str">
        <f t="shared" si="28"/>
        <v>극상</v>
      </c>
      <c r="G904" s="63" t="s">
        <v>40</v>
      </c>
      <c r="H904" s="63" t="s">
        <v>41</v>
      </c>
      <c r="I904" s="34" t="s">
        <v>1383</v>
      </c>
      <c r="J904" s="33"/>
      <c r="K904" s="35"/>
      <c r="L904" s="33"/>
      <c r="M904" s="36"/>
      <c r="N904" s="33"/>
      <c r="O904" s="36"/>
      <c r="P904" s="33"/>
      <c r="Q904" s="37"/>
      <c r="R904" s="38"/>
      <c r="S904" s="33"/>
      <c r="T904" s="38"/>
      <c r="U904" s="33"/>
      <c r="V904" s="39"/>
      <c r="W904" s="90" t="b">
        <v>0</v>
      </c>
      <c r="X904" s="90" t="b">
        <v>0</v>
      </c>
      <c r="Y904" s="90" t="b">
        <v>0</v>
      </c>
      <c r="Z904" s="40" t="s">
        <v>1146</v>
      </c>
      <c r="AA904" s="41"/>
      <c r="AK904" s="16"/>
      <c r="AL904" s="16"/>
      <c r="AM904" s="16"/>
      <c r="AN904" s="16"/>
      <c r="AO904" s="16"/>
      <c r="AP904" s="16"/>
      <c r="AQ904" s="16"/>
      <c r="AR904" s="16"/>
      <c r="AS904" s="16"/>
    </row>
    <row r="905" spans="1:45" s="7" customFormat="1" ht="195" customHeight="1">
      <c r="A905" s="27">
        <f>[1]트램표준체크리스트!A962</f>
        <v>960</v>
      </c>
      <c r="B905" s="28" t="str">
        <f>[1]트램표준체크리스트!B962</f>
        <v>도로신호</v>
      </c>
      <c r="C905" s="29" t="str">
        <f>[1]트램표준체크리스트!C962</f>
        <v>신호설비 생존성 확보</v>
      </c>
      <c r="D905" s="30" t="str">
        <f>[1]트램표준체크리스트!F962</f>
        <v>전선관 굴곡 반경 미달 및 방수 씰링 누락으로, 케이블 교체 시 배관 막힘에 따른 도로 재굴착 리스크를 검토하였는가?</v>
      </c>
      <c r="E905" s="31" t="s">
        <v>1384</v>
      </c>
      <c r="F905" s="32" t="str">
        <f t="shared" si="28"/>
        <v>극상</v>
      </c>
      <c r="G905" s="63" t="s">
        <v>40</v>
      </c>
      <c r="H905" s="63" t="s">
        <v>41</v>
      </c>
      <c r="I905" s="34" t="s">
        <v>1385</v>
      </c>
      <c r="J905" s="33"/>
      <c r="K905" s="35"/>
      <c r="L905" s="33"/>
      <c r="M905" s="36"/>
      <c r="N905" s="33"/>
      <c r="O905" s="36"/>
      <c r="P905" s="33"/>
      <c r="Q905" s="37"/>
      <c r="R905" s="38"/>
      <c r="S905" s="33"/>
      <c r="T905" s="38"/>
      <c r="U905" s="33"/>
      <c r="V905" s="39"/>
      <c r="W905" s="90" t="b">
        <v>0</v>
      </c>
      <c r="X905" s="90" t="b">
        <v>0</v>
      </c>
      <c r="Y905" s="90" t="b">
        <v>0</v>
      </c>
      <c r="Z905" s="40" t="s">
        <v>1146</v>
      </c>
      <c r="AA905" s="41"/>
      <c r="AK905" s="16"/>
      <c r="AL905" s="16"/>
      <c r="AM905" s="16"/>
      <c r="AN905" s="16"/>
      <c r="AO905" s="16"/>
      <c r="AP905" s="16"/>
      <c r="AQ905" s="16"/>
      <c r="AR905" s="16"/>
      <c r="AS905" s="16"/>
    </row>
    <row r="906" spans="1:45" s="7" customFormat="1" ht="195" customHeight="1">
      <c r="A906" s="27">
        <f>[1]트램표준체크리스트!A963</f>
        <v>961</v>
      </c>
      <c r="B906" s="28" t="str">
        <f>[1]트램표준체크리스트!B963</f>
        <v>도로신호</v>
      </c>
      <c r="C906" s="29" t="str">
        <f>[1]트램표준체크리스트!C963</f>
        <v>신호설비 생존성 확보</v>
      </c>
      <c r="D906" s="30" t="str">
        <f>[1]트램표준체크리스트!F963</f>
        <v>신호최적화(T.O.D) 분석 및 능동형 우선신호 전략 누락으로 개통 후 일반 차량의 극심한 교통 정체 및 대규모 민원이 유발될 리스크를 검토하였는가?</v>
      </c>
      <c r="E906" s="31" t="s">
        <v>1386</v>
      </c>
      <c r="F906" s="32" t="str">
        <f t="shared" si="28"/>
        <v>극상</v>
      </c>
      <c r="G906" s="63" t="s">
        <v>40</v>
      </c>
      <c r="H906" s="63" t="s">
        <v>41</v>
      </c>
      <c r="I906" s="34" t="s">
        <v>1387</v>
      </c>
      <c r="J906" s="33"/>
      <c r="K906" s="35"/>
      <c r="L906" s="33"/>
      <c r="M906" s="36"/>
      <c r="N906" s="33"/>
      <c r="O906" s="36"/>
      <c r="P906" s="33"/>
      <c r="Q906" s="37"/>
      <c r="R906" s="38"/>
      <c r="S906" s="33"/>
      <c r="T906" s="38"/>
      <c r="U906" s="33"/>
      <c r="V906" s="39"/>
      <c r="W906" s="90" t="b">
        <v>0</v>
      </c>
      <c r="X906" s="90" t="b">
        <v>0</v>
      </c>
      <c r="Y906" s="90" t="b">
        <v>0</v>
      </c>
      <c r="Z906" s="40" t="s">
        <v>1146</v>
      </c>
      <c r="AA906" s="41"/>
      <c r="AK906" s="16"/>
      <c r="AL906" s="16"/>
      <c r="AM906" s="16"/>
      <c r="AN906" s="16"/>
      <c r="AO906" s="16"/>
      <c r="AP906" s="16"/>
      <c r="AQ906" s="16"/>
      <c r="AR906" s="16"/>
      <c r="AS906" s="16"/>
    </row>
    <row r="907" spans="1:45" s="7" customFormat="1" ht="195" customHeight="1">
      <c r="A907" s="27">
        <f>[1]트램표준체크리스트!A964</f>
        <v>962</v>
      </c>
      <c r="B907" s="28" t="str">
        <f>[1]트램표준체크리스트!B964</f>
        <v>도로신호</v>
      </c>
      <c r="C907" s="29" t="str">
        <f>[1]트램표준체크리스트!C964</f>
        <v>안전성 보증 및 인증 계획</v>
      </c>
      <c r="D907" s="30" t="str">
        <f>[1]트램표준체크리스트!F964</f>
        <v>페일세이프(Fail-Safe) 설계 및 독립안전성평가(ISA) 일정 누락으로 시스템 결함 방치 및 개통 전 안전인증 획득에 실패할 리스크를 검토하였는가?</v>
      </c>
      <c r="E907" s="31" t="s">
        <v>1388</v>
      </c>
      <c r="F907" s="32" t="str">
        <f>_xlfn.LET(
    _xlpm.v_발생, IF(ISNUMBER(SEARCH("빈번", G907)), "상",
               IF(ISNUMBER(SEARCH("거의", G907)), "하", "중")),
    _xlpm.v_영향, IF(ISNUMBER(SEARCH("1개월", H907)), "상",
               IF(ISNUMBER(SEARCH("없음", H907)), "하", "중")),
    IF(AND(_xlpm.v_발생="상", _xlpm.v_영향="상"), "극상",
    IF(OR(_xlpm.v_발생="상", _xlpm.v_영향="상"), "상",
    IF(AND(_xlpm.v_발생="하", _xlpm.v_영향="하"), "하",
    "중")))
)</f>
        <v>극상</v>
      </c>
      <c r="G907" s="63" t="s">
        <v>40</v>
      </c>
      <c r="H907" s="63" t="s">
        <v>41</v>
      </c>
      <c r="I907" s="34" t="s">
        <v>1389</v>
      </c>
      <c r="J907" s="33"/>
      <c r="K907" s="35"/>
      <c r="L907" s="33"/>
      <c r="M907" s="36"/>
      <c r="N907" s="33"/>
      <c r="O907" s="36"/>
      <c r="P907" s="33"/>
      <c r="Q907" s="37"/>
      <c r="R907" s="38"/>
      <c r="S907" s="33"/>
      <c r="T907" s="38"/>
      <c r="U907" s="33"/>
      <c r="V907" s="39"/>
      <c r="W907" s="90" t="b">
        <v>0</v>
      </c>
      <c r="X907" s="90" t="b">
        <v>0</v>
      </c>
      <c r="Y907" s="90" t="b">
        <v>0</v>
      </c>
      <c r="Z907" s="40" t="s">
        <v>1146</v>
      </c>
      <c r="AA907" s="41"/>
      <c r="AK907" s="16"/>
      <c r="AL907" s="16"/>
      <c r="AM907" s="16"/>
      <c r="AN907" s="16"/>
      <c r="AO907" s="16"/>
      <c r="AP907" s="16"/>
      <c r="AQ907" s="16"/>
      <c r="AR907" s="16"/>
      <c r="AS907" s="16"/>
    </row>
    <row r="908" spans="1:45" s="7" customFormat="1" ht="195" customHeight="1">
      <c r="A908" s="27">
        <f>[1]트램표준체크리스트!A965</f>
        <v>963</v>
      </c>
      <c r="B908" s="28" t="str">
        <f>[1]트램표준체크리스트!B965</f>
        <v>도로신호</v>
      </c>
      <c r="C908" s="29" t="str">
        <f>[1]트램표준체크리스트!C965</f>
        <v>열차운행관리 연계 계획</v>
      </c>
      <c r="D908" s="30" t="str">
        <f>[1]트램표준체크리스트!F965</f>
        <v>스케줄 기반 자동진로제어(ARS) 연계 및 통신 인터페이스 누락으로 분기부마다 기관사가 수동으로 진로를 요구할 운영 비효율 리스크를 검토하였는가?</v>
      </c>
      <c r="E908" s="31" t="s">
        <v>1390</v>
      </c>
      <c r="F908" s="32" t="str">
        <f t="shared" ref="F908:F939" si="29">_xlfn.LET(
_xlpm.v_발생, IF(ISNUMBER(SEARCH("빈번", G908)), "상",
IF(ISNUMBER(SEARCH("거의", G908)), "하", "중")),
_xlpm.v_영향, IF(ISNUMBER(SEARCH("1개월", H908)), "상",
IF(ISNUMBER(SEARCH("없음", H908)), "하", "중")),
IF(AND(_xlpm.v_발생="상", _xlpm.v_영향="상"), "극상",
IF(OR(_xlpm.v_발생="상", _xlpm.v_영향="상"), "상",
IF(AND(_xlpm.v_발생="하", _xlpm.v_영향="하"), "하",
"중")))
)</f>
        <v>극상</v>
      </c>
      <c r="G908" s="63" t="s">
        <v>40</v>
      </c>
      <c r="H908" s="63" t="s">
        <v>41</v>
      </c>
      <c r="I908" s="34" t="s">
        <v>1391</v>
      </c>
      <c r="J908" s="33"/>
      <c r="K908" s="35"/>
      <c r="L908" s="33"/>
      <c r="M908" s="36"/>
      <c r="N908" s="33"/>
      <c r="O908" s="36"/>
      <c r="P908" s="33"/>
      <c r="Q908" s="37"/>
      <c r="R908" s="38"/>
      <c r="S908" s="33"/>
      <c r="T908" s="38"/>
      <c r="U908" s="33"/>
      <c r="V908" s="39"/>
      <c r="W908" s="90" t="b">
        <v>0</v>
      </c>
      <c r="X908" s="90" t="b">
        <v>0</v>
      </c>
      <c r="Y908" s="90" t="b">
        <v>0</v>
      </c>
      <c r="Z908" s="40" t="s">
        <v>1146</v>
      </c>
      <c r="AA908" s="41"/>
      <c r="AK908" s="16"/>
      <c r="AL908" s="16"/>
      <c r="AM908" s="16"/>
      <c r="AN908" s="16"/>
      <c r="AO908" s="16"/>
      <c r="AP908" s="16"/>
      <c r="AQ908" s="16"/>
      <c r="AR908" s="16"/>
      <c r="AS908" s="16"/>
    </row>
    <row r="909" spans="1:45" s="7" customFormat="1" ht="195" customHeight="1">
      <c r="A909" s="27">
        <f>[1]트램표준체크리스트!A966</f>
        <v>964</v>
      </c>
      <c r="B909" s="28" t="str">
        <f>[1]트램표준체크리스트!B966</f>
        <v>도로신호</v>
      </c>
      <c r="C909" s="29" t="str">
        <f>[1]트램표준체크리스트!C966</f>
        <v>정거장 정위치 정차 및 과주방지 계획</v>
      </c>
      <c r="D909" s="30" t="str">
        <f>[1]트램표준체크리스트!F966</f>
        <v>수동운전 의존 및 과주방지 제어 누락으로, 우천 시 정지선 이탈 및 선로 종단 충돌사고가 발생할 리스크를 검토하였는가?</v>
      </c>
      <c r="E909" s="31" t="s">
        <v>1392</v>
      </c>
      <c r="F909" s="32" t="str">
        <f t="shared" si="29"/>
        <v>극상</v>
      </c>
      <c r="G909" s="63" t="s">
        <v>40</v>
      </c>
      <c r="H909" s="63" t="s">
        <v>41</v>
      </c>
      <c r="I909" s="34" t="s">
        <v>1393</v>
      </c>
      <c r="J909" s="33"/>
      <c r="K909" s="35"/>
      <c r="L909" s="33"/>
      <c r="M909" s="36"/>
      <c r="N909" s="33"/>
      <c r="O909" s="36"/>
      <c r="P909" s="33"/>
      <c r="Q909" s="37"/>
      <c r="R909" s="38"/>
      <c r="S909" s="33"/>
      <c r="T909" s="38"/>
      <c r="U909" s="33"/>
      <c r="V909" s="39"/>
      <c r="W909" s="90" t="b">
        <v>0</v>
      </c>
      <c r="X909" s="90" t="b">
        <v>0</v>
      </c>
      <c r="Y909" s="90" t="b">
        <v>0</v>
      </c>
      <c r="Z909" s="40" t="s">
        <v>1146</v>
      </c>
      <c r="AA909" s="41"/>
      <c r="AK909" s="16"/>
      <c r="AL909" s="16"/>
      <c r="AM909" s="16"/>
      <c r="AN909" s="16"/>
      <c r="AO909" s="16"/>
      <c r="AP909" s="16"/>
      <c r="AQ909" s="16"/>
      <c r="AR909" s="16"/>
      <c r="AS909" s="16"/>
    </row>
    <row r="910" spans="1:45" s="7" customFormat="1" ht="195" customHeight="1">
      <c r="A910" s="27">
        <f>[1]트램표준체크리스트!A967</f>
        <v>965</v>
      </c>
      <c r="B910" s="28" t="str">
        <f>[1]트램표준체크리스트!B967</f>
        <v>통신</v>
      </c>
      <c r="C910" s="29" t="str">
        <f>[1]트램표준체크리스트!C967</f>
        <v>통신 전원설비 감시계획</v>
      </c>
      <c r="D910" s="30" t="str">
        <f>[1]트램표준체크리스트!F967</f>
        <v>통신 전원장치(UPS 등) 원격 감시(EMS) 누락으로 배터리 방전·고장 시 관제실 조기 인지 불가로 통신망이 전면 셧다운될 리스크를 검토하였는가?</v>
      </c>
      <c r="E910" s="31" t="s">
        <v>1394</v>
      </c>
      <c r="F910" s="32" t="str">
        <f t="shared" si="29"/>
        <v>극상</v>
      </c>
      <c r="G910" s="63" t="s">
        <v>40</v>
      </c>
      <c r="H910" s="63" t="s">
        <v>41</v>
      </c>
      <c r="I910" s="34" t="s">
        <v>1395</v>
      </c>
      <c r="J910" s="33"/>
      <c r="K910" s="35"/>
      <c r="L910" s="33"/>
      <c r="M910" s="36"/>
      <c r="N910" s="33"/>
      <c r="O910" s="36"/>
      <c r="P910" s="33"/>
      <c r="Q910" s="37"/>
      <c r="R910" s="38"/>
      <c r="S910" s="33"/>
      <c r="T910" s="38"/>
      <c r="U910" s="33"/>
      <c r="V910" s="39"/>
      <c r="W910" s="90" t="b">
        <v>0</v>
      </c>
      <c r="X910" s="90" t="b">
        <v>0</v>
      </c>
      <c r="Y910" s="90" t="b">
        <v>0</v>
      </c>
      <c r="Z910" s="40" t="s">
        <v>1146</v>
      </c>
      <c r="AA910" s="41"/>
      <c r="AK910" s="16"/>
      <c r="AL910" s="16"/>
      <c r="AM910" s="16"/>
      <c r="AN910" s="16"/>
      <c r="AO910" s="16"/>
      <c r="AP910" s="16"/>
      <c r="AQ910" s="16"/>
      <c r="AR910" s="16"/>
      <c r="AS910" s="16"/>
    </row>
    <row r="911" spans="1:45" s="7" customFormat="1" ht="195" customHeight="1">
      <c r="A911" s="27">
        <f>[1]트램표준체크리스트!A968</f>
        <v>966</v>
      </c>
      <c r="B911" s="28" t="str">
        <f>[1]트램표준체크리스트!B968</f>
        <v>통신</v>
      </c>
      <c r="C911" s="29" t="str">
        <f>[1]트램표준체크리스트!C968</f>
        <v>통신-차량 인터페이스</v>
      </c>
      <c r="D911" s="30" t="str">
        <f>[1]트램표준체크리스트!F968</f>
        <v>내환경 성능 요구사항 누락에 따른 일반 상용품 적용으로 주행 중 장비 파손 및 오작동이 발생할 리스크를 검토하였는가?</v>
      </c>
      <c r="E911" s="31" t="s">
        <v>1396</v>
      </c>
      <c r="F911" s="32" t="str">
        <f t="shared" si="29"/>
        <v>극상</v>
      </c>
      <c r="G911" s="63" t="s">
        <v>40</v>
      </c>
      <c r="H911" s="63" t="s">
        <v>41</v>
      </c>
      <c r="I911" s="34" t="s">
        <v>1397</v>
      </c>
      <c r="J911" s="33"/>
      <c r="K911" s="35"/>
      <c r="L911" s="33"/>
      <c r="M911" s="36"/>
      <c r="N911" s="33"/>
      <c r="O911" s="36"/>
      <c r="P911" s="33"/>
      <c r="Q911" s="37"/>
      <c r="R911" s="38"/>
      <c r="S911" s="33"/>
      <c r="T911" s="38"/>
      <c r="U911" s="33"/>
      <c r="V911" s="39"/>
      <c r="W911" s="90" t="b">
        <v>0</v>
      </c>
      <c r="X911" s="90" t="b">
        <v>0</v>
      </c>
      <c r="Y911" s="90" t="b">
        <v>0</v>
      </c>
      <c r="Z911" s="40" t="s">
        <v>1146</v>
      </c>
      <c r="AA911" s="41"/>
      <c r="AK911" s="16"/>
      <c r="AL911" s="16"/>
      <c r="AM911" s="16"/>
      <c r="AN911" s="16"/>
      <c r="AO911" s="16"/>
      <c r="AP911" s="16"/>
      <c r="AQ911" s="16"/>
      <c r="AR911" s="16"/>
      <c r="AS911" s="16"/>
    </row>
    <row r="912" spans="1:45" s="7" customFormat="1" ht="195" customHeight="1">
      <c r="A912" s="27">
        <f>[1]트램표준체크리스트!A969</f>
        <v>967</v>
      </c>
      <c r="B912" s="28" t="str">
        <f>[1]트램표준체크리스트!B969</f>
        <v>도로신호</v>
      </c>
      <c r="C912" s="29" t="str">
        <f>[1]트램표준체크리스트!C969</f>
        <v>통행우선권 제어기 반영 및 유관기관 협의 계획</v>
      </c>
      <c r="D912" s="30" t="str">
        <f>[1]트램표준체크리스트!F969</f>
        <v>우선신호에 대한 경찰청 등 유관기관 사전 협의 누락으로, 개통 전 신호 운영 승인 불가에 따른 행정·운영 리스크를 검토하였는가?</v>
      </c>
      <c r="E912" s="31" t="s">
        <v>1398</v>
      </c>
      <c r="F912" s="32" t="str">
        <f t="shared" si="29"/>
        <v>극상</v>
      </c>
      <c r="G912" s="63" t="s">
        <v>40</v>
      </c>
      <c r="H912" s="63" t="s">
        <v>41</v>
      </c>
      <c r="I912" s="34" t="s">
        <v>1399</v>
      </c>
      <c r="J912" s="33"/>
      <c r="K912" s="35"/>
      <c r="L912" s="33"/>
      <c r="M912" s="36"/>
      <c r="N912" s="33"/>
      <c r="O912" s="36"/>
      <c r="P912" s="33"/>
      <c r="Q912" s="37"/>
      <c r="R912" s="38"/>
      <c r="S912" s="33"/>
      <c r="T912" s="38"/>
      <c r="U912" s="33"/>
      <c r="V912" s="39"/>
      <c r="W912" s="90" t="b">
        <v>0</v>
      </c>
      <c r="X912" s="90" t="b">
        <v>0</v>
      </c>
      <c r="Y912" s="90" t="b">
        <v>0</v>
      </c>
      <c r="Z912" s="40" t="s">
        <v>1146</v>
      </c>
      <c r="AA912" s="41"/>
      <c r="AK912" s="16"/>
      <c r="AL912" s="16"/>
      <c r="AM912" s="16"/>
      <c r="AN912" s="16"/>
      <c r="AO912" s="16"/>
      <c r="AP912" s="16"/>
      <c r="AQ912" s="16"/>
      <c r="AR912" s="16"/>
      <c r="AS912" s="16"/>
    </row>
    <row r="913" spans="1:45" s="7" customFormat="1" ht="82.2" customHeight="1">
      <c r="A913" s="27">
        <f>[1]트램표준체크리스트!A970</f>
        <v>968</v>
      </c>
      <c r="B913" s="28" t="str">
        <f>[1]트램표준체크리스트!B970</f>
        <v>전기</v>
      </c>
      <c r="C913" s="29" t="str">
        <f>[1]트램표준체크리스트!C970</f>
        <v>전기설비(MCC)</v>
      </c>
      <c r="D913" s="30" t="str">
        <f>[1]트램표준체크리스트!F970</f>
        <v>배수펌프 제어반 등 주요 전기 설비가 침수위(LWL/HWL) 상부 또는 습기가 없는 별도 실에 배치되었는가?</v>
      </c>
      <c r="E913" s="31" t="s">
        <v>2733</v>
      </c>
      <c r="F913" s="32" t="str">
        <f t="shared" si="29"/>
        <v>극상</v>
      </c>
      <c r="G913" s="63" t="s">
        <v>40</v>
      </c>
      <c r="H913" s="63" t="s">
        <v>41</v>
      </c>
      <c r="I913" s="34" t="s">
        <v>2734</v>
      </c>
      <c r="J913" s="33"/>
      <c r="K913" s="35"/>
      <c r="L913" s="33"/>
      <c r="M913" s="36"/>
      <c r="N913" s="33"/>
      <c r="O913" s="36"/>
      <c r="P913" s="33"/>
      <c r="Q913" s="37"/>
      <c r="R913" s="38"/>
      <c r="S913" s="33"/>
      <c r="T913" s="38"/>
      <c r="U913" s="33"/>
      <c r="V913" s="39"/>
      <c r="W913" s="90" t="b">
        <v>0</v>
      </c>
      <c r="X913" s="90" t="b">
        <v>0</v>
      </c>
      <c r="Y913" s="90" t="b">
        <v>0</v>
      </c>
      <c r="Z913" s="40" t="s">
        <v>2735</v>
      </c>
      <c r="AA913" s="41"/>
      <c r="AK913" s="16"/>
      <c r="AL913" s="16"/>
      <c r="AM913" s="16"/>
      <c r="AN913" s="16"/>
      <c r="AO913" s="16"/>
      <c r="AP913" s="16"/>
      <c r="AQ913" s="16"/>
      <c r="AR913" s="16"/>
      <c r="AS913" s="16"/>
    </row>
    <row r="914" spans="1:45" s="7" customFormat="1" ht="97.95" customHeight="1">
      <c r="A914" s="27">
        <f>[1]트램표준체크리스트!A971</f>
        <v>969</v>
      </c>
      <c r="B914" s="28" t="str">
        <f>[1]트램표준체크리스트!B971</f>
        <v>전기</v>
      </c>
      <c r="C914" s="29" t="str">
        <f>[1]트램표준체크리스트!C971</f>
        <v>전기실냉난방</v>
      </c>
      <c r="D914" s="30" t="str">
        <f>[1]트램표준체크리스트!F971</f>
        <v>전기실/변전실의 발열량을 계산하여 적정 용량의 냉방 설비가 반영되었는가?</v>
      </c>
      <c r="E914" s="31" t="s">
        <v>2736</v>
      </c>
      <c r="F914" s="32" t="str">
        <f t="shared" si="29"/>
        <v>극상</v>
      </c>
      <c r="G914" s="63" t="s">
        <v>40</v>
      </c>
      <c r="H914" s="63" t="s">
        <v>41</v>
      </c>
      <c r="I914" s="34" t="s">
        <v>2737</v>
      </c>
      <c r="J914" s="33"/>
      <c r="K914" s="35"/>
      <c r="L914" s="33"/>
      <c r="M914" s="36"/>
      <c r="N914" s="33"/>
      <c r="O914" s="36"/>
      <c r="P914" s="33"/>
      <c r="Q914" s="37"/>
      <c r="R914" s="38"/>
      <c r="S914" s="33"/>
      <c r="T914" s="38"/>
      <c r="U914" s="33"/>
      <c r="V914" s="39"/>
      <c r="W914" s="90" t="b">
        <v>0</v>
      </c>
      <c r="X914" s="90" t="b">
        <v>0</v>
      </c>
      <c r="Y914" s="90" t="b">
        <v>0</v>
      </c>
      <c r="Z914" s="40" t="s">
        <v>2735</v>
      </c>
      <c r="AA914" s="41"/>
      <c r="AK914" s="16"/>
      <c r="AL914" s="16"/>
      <c r="AM914" s="16"/>
      <c r="AN914" s="16"/>
      <c r="AO914" s="16"/>
      <c r="AP914" s="16"/>
      <c r="AQ914" s="16"/>
      <c r="AR914" s="16"/>
      <c r="AS914" s="16"/>
    </row>
    <row r="915" spans="1:45" s="7" customFormat="1" ht="97.95" customHeight="1">
      <c r="A915" s="27">
        <f>[1]트램표준체크리스트!A972</f>
        <v>970</v>
      </c>
      <c r="B915" s="28" t="str">
        <f>[1]트램표준체크리스트!B972</f>
        <v>전기</v>
      </c>
      <c r="C915" s="29" t="str">
        <f>[1]트램표준체크리스트!C972</f>
        <v>주탑전기실</v>
      </c>
      <c r="D915" s="30" t="str">
        <f>[1]트램표준체크리스트!F972</f>
        <v>전기실 출입문 및 장비 반입구가 '내선규정' 등 관련 기준을 만족하는가?</v>
      </c>
      <c r="E915" s="31" t="s">
        <v>2738</v>
      </c>
      <c r="F915" s="32" t="str">
        <f t="shared" si="29"/>
        <v>극상</v>
      </c>
      <c r="G915" s="63" t="s">
        <v>40</v>
      </c>
      <c r="H915" s="63" t="s">
        <v>41</v>
      </c>
      <c r="I915" s="34" t="s">
        <v>2739</v>
      </c>
      <c r="J915" s="33"/>
      <c r="K915" s="35"/>
      <c r="L915" s="33"/>
      <c r="M915" s="36"/>
      <c r="N915" s="33"/>
      <c r="O915" s="36"/>
      <c r="P915" s="33"/>
      <c r="Q915" s="37"/>
      <c r="R915" s="38"/>
      <c r="S915" s="33"/>
      <c r="T915" s="38"/>
      <c r="U915" s="33"/>
      <c r="V915" s="39"/>
      <c r="W915" s="90" t="b">
        <v>0</v>
      </c>
      <c r="X915" s="90" t="b">
        <v>0</v>
      </c>
      <c r="Y915" s="90" t="b">
        <v>0</v>
      </c>
      <c r="Z915" s="40" t="s">
        <v>2740</v>
      </c>
      <c r="AA915" s="41"/>
      <c r="AK915" s="16"/>
      <c r="AL915" s="16"/>
      <c r="AM915" s="16"/>
      <c r="AN915" s="16"/>
      <c r="AO915" s="16"/>
      <c r="AP915" s="16"/>
      <c r="AQ915" s="16"/>
      <c r="AR915" s="16"/>
      <c r="AS915" s="16"/>
    </row>
    <row r="916" spans="1:45" s="7" customFormat="1" ht="97.95" customHeight="1">
      <c r="A916" s="27">
        <f>[1]트램표준체크리스트!A973</f>
        <v>971</v>
      </c>
      <c r="B916" s="28" t="str">
        <f>[1]트램표준체크리스트!B973</f>
        <v>전기</v>
      </c>
      <c r="C916" s="29" t="str">
        <f>[1]트램표준체크리스트!C973</f>
        <v>통합전기실</v>
      </c>
      <c r="D916" s="30" t="str">
        <f>[1]트램표준체크리스트!F973</f>
        <v>전기실 바닥 트렌치/피트 상세도가 토목/건축 구조 도면에 반영되었는가?</v>
      </c>
      <c r="E916" s="31" t="s">
        <v>2741</v>
      </c>
      <c r="F916" s="32" t="str">
        <f t="shared" si="29"/>
        <v>극상</v>
      </c>
      <c r="G916" s="63" t="s">
        <v>40</v>
      </c>
      <c r="H916" s="63" t="s">
        <v>41</v>
      </c>
      <c r="I916" s="34" t="s">
        <v>2742</v>
      </c>
      <c r="J916" s="33"/>
      <c r="K916" s="35"/>
      <c r="L916" s="33"/>
      <c r="M916" s="36"/>
      <c r="N916" s="33"/>
      <c r="O916" s="36"/>
      <c r="P916" s="33"/>
      <c r="Q916" s="37"/>
      <c r="R916" s="38"/>
      <c r="S916" s="33"/>
      <c r="T916" s="38"/>
      <c r="U916" s="33"/>
      <c r="V916" s="39"/>
      <c r="W916" s="90" t="b">
        <v>0</v>
      </c>
      <c r="X916" s="90" t="b">
        <v>0</v>
      </c>
      <c r="Y916" s="90" t="b">
        <v>0</v>
      </c>
      <c r="Z916" s="40" t="s">
        <v>2740</v>
      </c>
      <c r="AA916" s="41"/>
      <c r="AK916" s="16"/>
      <c r="AL916" s="16"/>
      <c r="AM916" s="16"/>
      <c r="AN916" s="16"/>
      <c r="AO916" s="16"/>
      <c r="AP916" s="16"/>
      <c r="AQ916" s="16"/>
      <c r="AR916" s="16"/>
      <c r="AS916" s="16"/>
    </row>
    <row r="917" spans="1:45" s="7" customFormat="1" ht="97.95" customHeight="1">
      <c r="A917" s="27">
        <f>[1]트램표준체크리스트!A974</f>
        <v>972</v>
      </c>
      <c r="B917" s="28" t="str">
        <f>[1]트램표준체크리스트!B974</f>
        <v>전기</v>
      </c>
      <c r="C917" s="29" t="str">
        <f>[1]트램표준체크리스트!C974</f>
        <v>2. 송변전 설비</v>
      </c>
      <c r="D917" s="30" t="str">
        <f>[1]트램표준체크리스트!F974</f>
        <v>대지 누설전류 전식 방호대책 미흡으로 주변 지하 매설물 전기부식 및 접지 간 전위차로 인한 통신·신호 기기 오동작 리스크를 검토하였는가?</v>
      </c>
      <c r="E917" s="31" t="s">
        <v>2743</v>
      </c>
      <c r="F917" s="32" t="str">
        <f t="shared" si="29"/>
        <v>극상</v>
      </c>
      <c r="G917" s="63" t="s">
        <v>40</v>
      </c>
      <c r="H917" s="63" t="s">
        <v>41</v>
      </c>
      <c r="I917" s="34" t="s">
        <v>2744</v>
      </c>
      <c r="J917" s="33"/>
      <c r="K917" s="35"/>
      <c r="L917" s="33"/>
      <c r="M917" s="36"/>
      <c r="N917" s="33"/>
      <c r="O917" s="36"/>
      <c r="P917" s="33"/>
      <c r="Q917" s="37"/>
      <c r="R917" s="38"/>
      <c r="S917" s="33"/>
      <c r="T917" s="38"/>
      <c r="U917" s="33"/>
      <c r="V917" s="39"/>
      <c r="W917" s="90" t="b">
        <v>0</v>
      </c>
      <c r="X917" s="90" t="b">
        <v>0</v>
      </c>
      <c r="Y917" s="90" t="b">
        <v>0</v>
      </c>
      <c r="Z917" s="40" t="s">
        <v>2745</v>
      </c>
      <c r="AA917" s="41"/>
      <c r="AK917" s="16"/>
      <c r="AL917" s="16"/>
      <c r="AM917" s="16"/>
      <c r="AN917" s="16"/>
      <c r="AO917" s="16"/>
      <c r="AP917" s="16"/>
      <c r="AQ917" s="16"/>
      <c r="AR917" s="16"/>
      <c r="AS917" s="16"/>
    </row>
    <row r="918" spans="1:45" s="7" customFormat="1" ht="97.95" customHeight="1">
      <c r="A918" s="27">
        <f>[1]트램표준체크리스트!A975</f>
        <v>973</v>
      </c>
      <c r="B918" s="28" t="str">
        <f>[1]트램표준체크리스트!B975</f>
        <v>전기</v>
      </c>
      <c r="C918" s="29" t="str">
        <f>[1]트램표준체크리스트!C975</f>
        <v>2. 송변전 설비</v>
      </c>
      <c r="D918" s="30" t="str">
        <f>[1]트램표준체크리스트!F975</f>
        <v>고속도 차단기(HSCB) 동작 아크(Arc) 소화를 위한 주변 금속체와의 안전 이격거리 미확보로 배전반 내부 단락 사고가 유발될 리스크를 검토하였는가?</v>
      </c>
      <c r="E918" s="31" t="s">
        <v>2746</v>
      </c>
      <c r="F918" s="32" t="str">
        <f t="shared" si="29"/>
        <v>극상</v>
      </c>
      <c r="G918" s="63" t="s">
        <v>40</v>
      </c>
      <c r="H918" s="63" t="s">
        <v>41</v>
      </c>
      <c r="I918" s="34" t="s">
        <v>2747</v>
      </c>
      <c r="J918" s="33"/>
      <c r="K918" s="35"/>
      <c r="L918" s="33"/>
      <c r="M918" s="36"/>
      <c r="N918" s="33"/>
      <c r="O918" s="36"/>
      <c r="P918" s="33"/>
      <c r="Q918" s="37"/>
      <c r="R918" s="38"/>
      <c r="S918" s="33"/>
      <c r="T918" s="38"/>
      <c r="U918" s="33"/>
      <c r="V918" s="39"/>
      <c r="W918" s="90" t="b">
        <v>0</v>
      </c>
      <c r="X918" s="90" t="b">
        <v>0</v>
      </c>
      <c r="Y918" s="90" t="b">
        <v>0</v>
      </c>
      <c r="Z918" s="40" t="s">
        <v>2748</v>
      </c>
      <c r="AA918" s="41"/>
      <c r="AK918" s="16"/>
      <c r="AL918" s="16"/>
      <c r="AM918" s="16"/>
      <c r="AN918" s="16"/>
      <c r="AO918" s="16"/>
      <c r="AP918" s="16"/>
      <c r="AQ918" s="16"/>
      <c r="AR918" s="16"/>
      <c r="AS918" s="16"/>
    </row>
    <row r="919" spans="1:45" s="7" customFormat="1" ht="97.95" customHeight="1">
      <c r="A919" s="27">
        <f>[1]트램표준체크리스트!A976</f>
        <v>974</v>
      </c>
      <c r="B919" s="28" t="str">
        <f>[1]트램표준체크리스트!B976</f>
        <v>전기</v>
      </c>
      <c r="C919" s="29" t="str">
        <f>[1]트램표준체크리스트!C976</f>
        <v>2. 송변전 설비</v>
      </c>
      <c r="D919" s="30" t="str">
        <f>[1]트램표준체크리스트!F976</f>
        <v>변전소-레일 간 단일 회선 귀선 설계로 단선·접속 불량 시 누설전류가 급증해 주변 지하 매설물(가스관 등) 전식(부식)이 가속화될 리스크를 검토하였는가?</v>
      </c>
      <c r="E919" s="31" t="s">
        <v>2749</v>
      </c>
      <c r="F919" s="32" t="str">
        <f t="shared" si="29"/>
        <v>극상</v>
      </c>
      <c r="G919" s="63" t="s">
        <v>40</v>
      </c>
      <c r="H919" s="63" t="s">
        <v>41</v>
      </c>
      <c r="I919" s="34" t="s">
        <v>2750</v>
      </c>
      <c r="J919" s="33"/>
      <c r="K919" s="35"/>
      <c r="L919" s="33"/>
      <c r="M919" s="36"/>
      <c r="N919" s="33"/>
      <c r="O919" s="36"/>
      <c r="P919" s="33"/>
      <c r="Q919" s="37"/>
      <c r="R919" s="38"/>
      <c r="S919" s="33"/>
      <c r="T919" s="38"/>
      <c r="U919" s="33"/>
      <c r="V919" s="39"/>
      <c r="W919" s="90" t="b">
        <v>1</v>
      </c>
      <c r="X919" s="90" t="b">
        <v>0</v>
      </c>
      <c r="Y919" s="90" t="b">
        <v>0</v>
      </c>
      <c r="Z919" s="40" t="s">
        <v>2751</v>
      </c>
      <c r="AA919" s="41"/>
      <c r="AK919" s="16"/>
      <c r="AL919" s="16"/>
      <c r="AM919" s="16"/>
      <c r="AN919" s="16"/>
      <c r="AO919" s="16"/>
      <c r="AP919" s="16"/>
      <c r="AQ919" s="16"/>
      <c r="AR919" s="16"/>
      <c r="AS919" s="16"/>
    </row>
    <row r="920" spans="1:45" s="7" customFormat="1" ht="82.2" customHeight="1">
      <c r="A920" s="27">
        <f>[1]트램표준체크리스트!A977</f>
        <v>975</v>
      </c>
      <c r="B920" s="28" t="str">
        <f>[1]트램표준체크리스트!B977</f>
        <v>전기</v>
      </c>
      <c r="C920" s="29" t="str">
        <f>[1]트램표준체크리스트!C977</f>
        <v>2. 송변전 설비</v>
      </c>
      <c r="D920" s="30" t="str">
        <f>[1]트램표준체크리스트!F977</f>
        <v>급전계통 구역별 분리 누락으로 특정 구간 사고·보수 시 전 구간 전력이 차단돼 열차 운행이 마비될 리스크를 검토하였는가?</v>
      </c>
      <c r="E920" s="31" t="s">
        <v>2752</v>
      </c>
      <c r="F920" s="32" t="str">
        <f t="shared" si="29"/>
        <v>극상</v>
      </c>
      <c r="G920" s="63" t="s">
        <v>40</v>
      </c>
      <c r="H920" s="63" t="s">
        <v>41</v>
      </c>
      <c r="I920" s="34" t="s">
        <v>2753</v>
      </c>
      <c r="J920" s="33"/>
      <c r="K920" s="35"/>
      <c r="L920" s="33"/>
      <c r="M920" s="36"/>
      <c r="N920" s="33"/>
      <c r="O920" s="36"/>
      <c r="P920" s="33"/>
      <c r="Q920" s="37"/>
      <c r="R920" s="38"/>
      <c r="S920" s="33"/>
      <c r="T920" s="38"/>
      <c r="U920" s="33"/>
      <c r="V920" s="39"/>
      <c r="W920" s="90" t="b">
        <v>0</v>
      </c>
      <c r="X920" s="90" t="b">
        <v>0</v>
      </c>
      <c r="Y920" s="90" t="b">
        <v>0</v>
      </c>
      <c r="Z920" s="40" t="s">
        <v>2751</v>
      </c>
      <c r="AA920" s="41"/>
      <c r="AK920" s="16"/>
      <c r="AL920" s="16"/>
      <c r="AM920" s="16"/>
      <c r="AN920" s="16"/>
      <c r="AO920" s="16"/>
      <c r="AP920" s="16"/>
      <c r="AQ920" s="16"/>
      <c r="AR920" s="16"/>
      <c r="AS920" s="16"/>
    </row>
    <row r="921" spans="1:45" s="7" customFormat="1" ht="114" customHeight="1">
      <c r="A921" s="27">
        <f>[1]트램표준체크리스트!A978</f>
        <v>976</v>
      </c>
      <c r="B921" s="28" t="str">
        <f>[1]트램표준체크리스트!B978</f>
        <v>전기</v>
      </c>
      <c r="C921" s="29" t="str">
        <f>[1]트램표준체크리스트!C978</f>
        <v>2. 송변전 설비</v>
      </c>
      <c r="D921" s="30" t="str">
        <f>[1]트램표준체크리스트!F978</f>
        <v>수배전반 소화장치 도면/예산 누락 및 타 공종 물리적 간섭·연동 누락 발생 리스크를 검토하였는가?</v>
      </c>
      <c r="E921" s="31" t="s">
        <v>2754</v>
      </c>
      <c r="F921" s="32" t="str">
        <f t="shared" si="29"/>
        <v>극상</v>
      </c>
      <c r="G921" s="63" t="s">
        <v>40</v>
      </c>
      <c r="H921" s="63" t="s">
        <v>41</v>
      </c>
      <c r="I921" s="34" t="s">
        <v>2755</v>
      </c>
      <c r="J921" s="33"/>
      <c r="K921" s="35"/>
      <c r="L921" s="33"/>
      <c r="M921" s="36"/>
      <c r="N921" s="33"/>
      <c r="O921" s="36"/>
      <c r="P921" s="33"/>
      <c r="Q921" s="37"/>
      <c r="R921" s="38"/>
      <c r="S921" s="33"/>
      <c r="T921" s="38"/>
      <c r="U921" s="33"/>
      <c r="V921" s="39"/>
      <c r="W921" s="90" t="b">
        <v>0</v>
      </c>
      <c r="X921" s="90" t="b">
        <v>0</v>
      </c>
      <c r="Y921" s="90" t="b">
        <v>0</v>
      </c>
      <c r="Z921" s="40" t="s">
        <v>2748</v>
      </c>
      <c r="AA921" s="41"/>
      <c r="AK921" s="16"/>
      <c r="AL921" s="16"/>
      <c r="AM921" s="16"/>
      <c r="AN921" s="16"/>
      <c r="AO921" s="16"/>
      <c r="AP921" s="16"/>
      <c r="AQ921" s="16"/>
      <c r="AR921" s="16"/>
      <c r="AS921" s="16"/>
    </row>
    <row r="922" spans="1:45" s="7" customFormat="1" ht="82.2" customHeight="1">
      <c r="A922" s="27">
        <f>[1]트램표준체크리스트!A979</f>
        <v>977</v>
      </c>
      <c r="B922" s="28" t="str">
        <f>[1]트램표준체크리스트!B979</f>
        <v>전기</v>
      </c>
      <c r="C922" s="29" t="str">
        <f>[1]트램표준체크리스트!C979</f>
        <v>2. 송변전 설비</v>
      </c>
      <c r="D922" s="30" t="str">
        <f>[1]트램표준체크리스트!F979</f>
        <v>회생제동 역전력에 의한 직류 급전계통 전압 급상승(전력설비 소손) 및 정류기 용량 부족에 따른 동시 기동 시 급전 장애 리스크를 검토하였는가?</v>
      </c>
      <c r="E922" s="31" t="s">
        <v>2756</v>
      </c>
      <c r="F922" s="32" t="str">
        <f t="shared" si="29"/>
        <v>극상</v>
      </c>
      <c r="G922" s="63" t="s">
        <v>40</v>
      </c>
      <c r="H922" s="63" t="s">
        <v>41</v>
      </c>
      <c r="I922" s="34" t="s">
        <v>2757</v>
      </c>
      <c r="J922" s="33"/>
      <c r="K922" s="35"/>
      <c r="L922" s="33"/>
      <c r="M922" s="36"/>
      <c r="N922" s="33"/>
      <c r="O922" s="36"/>
      <c r="P922" s="33"/>
      <c r="Q922" s="37"/>
      <c r="R922" s="38"/>
      <c r="S922" s="33"/>
      <c r="T922" s="38"/>
      <c r="U922" s="33"/>
      <c r="V922" s="39"/>
      <c r="W922" s="90" t="b">
        <v>1</v>
      </c>
      <c r="X922" s="90" t="b">
        <v>1</v>
      </c>
      <c r="Y922" s="90" t="b">
        <v>1</v>
      </c>
      <c r="Z922" s="40" t="s">
        <v>2758</v>
      </c>
      <c r="AA922" s="41"/>
      <c r="AK922" s="16"/>
      <c r="AL922" s="16"/>
      <c r="AM922" s="16"/>
      <c r="AN922" s="16"/>
      <c r="AO922" s="16"/>
      <c r="AP922" s="16"/>
      <c r="AQ922" s="16"/>
      <c r="AR922" s="16"/>
      <c r="AS922" s="16"/>
    </row>
    <row r="923" spans="1:45" s="7" customFormat="1" ht="97.95" customHeight="1">
      <c r="A923" s="27">
        <f>[1]트램표준체크리스트!A980</f>
        <v>978</v>
      </c>
      <c r="B923" s="28" t="str">
        <f>[1]트램표준체크리스트!B980</f>
        <v>전기</v>
      </c>
      <c r="C923" s="29" t="str">
        <f>[1]트램표준체크리스트!C980</f>
        <v>2. 송변전 설비</v>
      </c>
      <c r="D923" s="30" t="str">
        <f>[1]트램표준체크리스트!F980</f>
        <v>고조파 유입으로 주변압기(Transformer) 과열·소손, 통신선 유도장해 및 디지털 보호계전기 오동작(Trip)을 유발할 리스크를 검토하였는가?</v>
      </c>
      <c r="E923" s="31" t="s">
        <v>2759</v>
      </c>
      <c r="F923" s="32" t="str">
        <f t="shared" si="29"/>
        <v>극상</v>
      </c>
      <c r="G923" s="63" t="s">
        <v>40</v>
      </c>
      <c r="H923" s="63" t="s">
        <v>41</v>
      </c>
      <c r="I923" s="34" t="s">
        <v>2760</v>
      </c>
      <c r="J923" s="33"/>
      <c r="K923" s="35"/>
      <c r="L923" s="33"/>
      <c r="M923" s="36"/>
      <c r="N923" s="33"/>
      <c r="O923" s="36"/>
      <c r="P923" s="33"/>
      <c r="Q923" s="37"/>
      <c r="R923" s="38"/>
      <c r="S923" s="33"/>
      <c r="T923" s="38"/>
      <c r="U923" s="33"/>
      <c r="V923" s="39"/>
      <c r="W923" s="90" t="b">
        <v>0</v>
      </c>
      <c r="X923" s="90" t="b">
        <v>0</v>
      </c>
      <c r="Y923" s="90" t="b">
        <v>0</v>
      </c>
      <c r="Z923" s="40" t="s">
        <v>2758</v>
      </c>
      <c r="AA923" s="41"/>
      <c r="AK923" s="16"/>
      <c r="AL923" s="16"/>
      <c r="AM923" s="16"/>
      <c r="AN923" s="16"/>
      <c r="AO923" s="16"/>
      <c r="AP923" s="16"/>
      <c r="AQ923" s="16"/>
      <c r="AR923" s="16"/>
      <c r="AS923" s="16"/>
    </row>
    <row r="924" spans="1:45" s="7" customFormat="1" ht="66" customHeight="1">
      <c r="A924" s="27">
        <f>[1]트램표준체크리스트!A981</f>
        <v>979</v>
      </c>
      <c r="B924" s="28" t="str">
        <f>[1]트램표준체크리스트!B981</f>
        <v>전기</v>
      </c>
      <c r="C924" s="29" t="str">
        <f>[1]트램표준체크리스트!C981</f>
        <v>2. 송변전 설비</v>
      </c>
      <c r="D924" s="30" t="str">
        <f>[1]트램표준체크리스트!F981</f>
        <v>지하 변전소 냉각 설비(환기, 냉방 장치) 용량 부족으로 장비 열화, 수명 단축 및 계기류 오동작이 발생할 리스크를 검토하였는가?</v>
      </c>
      <c r="E924" s="31" t="s">
        <v>2761</v>
      </c>
      <c r="F924" s="32" t="str">
        <f t="shared" si="29"/>
        <v>극상</v>
      </c>
      <c r="G924" s="63" t="s">
        <v>40</v>
      </c>
      <c r="H924" s="63" t="s">
        <v>41</v>
      </c>
      <c r="I924" s="34" t="s">
        <v>2762</v>
      </c>
      <c r="J924" s="33"/>
      <c r="K924" s="35"/>
      <c r="L924" s="33"/>
      <c r="M924" s="36"/>
      <c r="N924" s="33"/>
      <c r="O924" s="36"/>
      <c r="P924" s="33"/>
      <c r="Q924" s="37"/>
      <c r="R924" s="38"/>
      <c r="S924" s="33"/>
      <c r="T924" s="38"/>
      <c r="U924" s="33"/>
      <c r="V924" s="39"/>
      <c r="W924" s="90" t="b">
        <v>0</v>
      </c>
      <c r="X924" s="90" t="b">
        <v>0</v>
      </c>
      <c r="Y924" s="90" t="b">
        <v>0</v>
      </c>
      <c r="Z924" s="40" t="s">
        <v>2763</v>
      </c>
      <c r="AA924" s="41"/>
      <c r="AK924" s="16"/>
      <c r="AL924" s="16"/>
      <c r="AM924" s="16"/>
      <c r="AN924" s="16"/>
      <c r="AO924" s="16"/>
      <c r="AP924" s="16"/>
      <c r="AQ924" s="16"/>
      <c r="AR924" s="16"/>
      <c r="AS924" s="16"/>
    </row>
    <row r="925" spans="1:45" s="7" customFormat="1" ht="82.05" customHeight="1">
      <c r="A925" s="27">
        <f>[1]트램표준체크리스트!A982</f>
        <v>980</v>
      </c>
      <c r="B925" s="28" t="str">
        <f>[1]트램표준체크리스트!B982</f>
        <v>전기</v>
      </c>
      <c r="C925" s="29" t="str">
        <f>[1]트램표준체크리스트!C982</f>
        <v>2. 송변전 설비</v>
      </c>
      <c r="D925" s="30" t="str">
        <f>[1]트램표준체크리스트!F982</f>
        <v>비상 제어 직류(DC) 조작전원(축전지·충전기) 용량 과소 산정 및 정전 시 감시·경보 연동 누락 리스크를 검토하였는가?</v>
      </c>
      <c r="E925" s="31" t="s">
        <v>2764</v>
      </c>
      <c r="F925" s="32" t="str">
        <f t="shared" si="29"/>
        <v>극상</v>
      </c>
      <c r="G925" s="63" t="s">
        <v>40</v>
      </c>
      <c r="H925" s="63" t="s">
        <v>41</v>
      </c>
      <c r="I925" s="34" t="s">
        <v>2765</v>
      </c>
      <c r="J925" s="33"/>
      <c r="K925" s="35"/>
      <c r="L925" s="33"/>
      <c r="M925" s="36"/>
      <c r="N925" s="33"/>
      <c r="O925" s="36"/>
      <c r="P925" s="33"/>
      <c r="Q925" s="37"/>
      <c r="R925" s="38"/>
      <c r="S925" s="33"/>
      <c r="T925" s="38"/>
      <c r="U925" s="33"/>
      <c r="V925" s="39"/>
      <c r="W925" s="90" t="b">
        <v>0</v>
      </c>
      <c r="X925" s="90" t="b">
        <v>0</v>
      </c>
      <c r="Y925" s="90" t="b">
        <v>0</v>
      </c>
      <c r="Z925" s="40" t="s">
        <v>2758</v>
      </c>
      <c r="AA925" s="41"/>
      <c r="AK925" s="16"/>
      <c r="AL925" s="16"/>
      <c r="AM925" s="16"/>
      <c r="AN925" s="16"/>
      <c r="AO925" s="16"/>
      <c r="AP925" s="16"/>
      <c r="AQ925" s="16"/>
      <c r="AR925" s="16"/>
      <c r="AS925" s="16"/>
    </row>
    <row r="926" spans="1:45" s="7" customFormat="1" ht="82.05" customHeight="1">
      <c r="A926" s="27">
        <f>[1]트램표준체크리스트!A983</f>
        <v>981</v>
      </c>
      <c r="B926" s="28" t="str">
        <f>[1]트램표준체크리스트!B983</f>
        <v>전기</v>
      </c>
      <c r="C926" s="29" t="str">
        <f>[1]트램표준체크리스트!C983</f>
        <v>2. 송변전 설비</v>
      </c>
      <c r="D926" s="30" t="str">
        <f>[1]트램표준체크리스트!F983</f>
        <v>화재감지기형 가스 자동소화장치 및 케이블 피트 화재 확산방지판 누락으로, 국부적 단락 화재가 변전소 전체로 확산될 리스크를 검토하였는가?</v>
      </c>
      <c r="E926" s="31" t="s">
        <v>2766</v>
      </c>
      <c r="F926" s="32" t="str">
        <f t="shared" si="29"/>
        <v>극상</v>
      </c>
      <c r="G926" s="63" t="s">
        <v>40</v>
      </c>
      <c r="H926" s="63" t="s">
        <v>41</v>
      </c>
      <c r="I926" s="34" t="s">
        <v>2767</v>
      </c>
      <c r="J926" s="33"/>
      <c r="K926" s="35"/>
      <c r="L926" s="33"/>
      <c r="M926" s="36"/>
      <c r="N926" s="33"/>
      <c r="O926" s="36"/>
      <c r="P926" s="33"/>
      <c r="Q926" s="37"/>
      <c r="R926" s="38"/>
      <c r="S926" s="33"/>
      <c r="T926" s="38"/>
      <c r="U926" s="33"/>
      <c r="V926" s="39"/>
      <c r="W926" s="90" t="b">
        <v>0</v>
      </c>
      <c r="X926" s="90" t="b">
        <v>0</v>
      </c>
      <c r="Y926" s="90" t="b">
        <v>0</v>
      </c>
      <c r="Z926" s="40" t="s">
        <v>2748</v>
      </c>
      <c r="AA926" s="41"/>
      <c r="AK926" s="16"/>
      <c r="AL926" s="16"/>
      <c r="AM926" s="16"/>
      <c r="AN926" s="16"/>
      <c r="AO926" s="16"/>
      <c r="AP926" s="16"/>
      <c r="AQ926" s="16"/>
      <c r="AR926" s="16"/>
      <c r="AS926" s="16"/>
    </row>
    <row r="927" spans="1:45" s="7" customFormat="1" ht="82.05" customHeight="1">
      <c r="A927" s="27">
        <f>[1]트램표준체크리스트!A984</f>
        <v>982</v>
      </c>
      <c r="B927" s="28" t="str">
        <f>[1]트램표준체크리스트!B984</f>
        <v>전기</v>
      </c>
      <c r="C927" s="29" t="str">
        <f>[1]트램표준체크리스트!C984</f>
        <v>2. 송변전 설비</v>
      </c>
      <c r="D927" s="30" t="str">
        <f>[1]트램표준체크리스트!F984</f>
        <v>구조물과 전기 대형 장비 간 시공 한계선 충돌에 의한 구조물 재시공 및 장비 현장 분해/재조립 리스크를 검토하였는가?</v>
      </c>
      <c r="E927" s="31" t="s">
        <v>2768</v>
      </c>
      <c r="F927" s="32" t="str">
        <f t="shared" si="29"/>
        <v>극상</v>
      </c>
      <c r="G927" s="63" t="s">
        <v>40</v>
      </c>
      <c r="H927" s="63" t="s">
        <v>41</v>
      </c>
      <c r="I927" s="34" t="s">
        <v>2769</v>
      </c>
      <c r="J927" s="33"/>
      <c r="K927" s="35"/>
      <c r="L927" s="33"/>
      <c r="M927" s="36"/>
      <c r="N927" s="33"/>
      <c r="O927" s="36"/>
      <c r="P927" s="33"/>
      <c r="Q927" s="37"/>
      <c r="R927" s="38"/>
      <c r="S927" s="33"/>
      <c r="T927" s="38"/>
      <c r="U927" s="33"/>
      <c r="V927" s="39"/>
      <c r="W927" s="90" t="b">
        <v>0</v>
      </c>
      <c r="X927" s="90" t="b">
        <v>0</v>
      </c>
      <c r="Y927" s="90" t="b">
        <v>0</v>
      </c>
      <c r="Z927" s="40" t="s">
        <v>2770</v>
      </c>
      <c r="AA927" s="41"/>
      <c r="AK927" s="16"/>
      <c r="AL927" s="16"/>
      <c r="AM927" s="16"/>
      <c r="AN927" s="16"/>
      <c r="AO927" s="16"/>
      <c r="AP927" s="16"/>
      <c r="AQ927" s="16"/>
      <c r="AR927" s="16"/>
      <c r="AS927" s="16"/>
    </row>
    <row r="928" spans="1:45" s="7" customFormat="1" ht="97.95" customHeight="1">
      <c r="A928" s="27">
        <f>[1]트램표준체크리스트!A985</f>
        <v>983</v>
      </c>
      <c r="B928" s="28" t="str">
        <f>[1]트램표준체크리스트!B985</f>
        <v>전기</v>
      </c>
      <c r="C928" s="29" t="str">
        <f>[1]트램표준체크리스트!C985</f>
        <v>2. 송변전 설비</v>
      </c>
      <c r="D928" s="30" t="str">
        <f>[1]트램표준체크리스트!F985</f>
        <v>주요 전기 장비 예방진단설비 원가 누락으로 사업비 초과가 발생할 리스크를 검토하였는가?</v>
      </c>
      <c r="E928" s="31" t="s">
        <v>2771</v>
      </c>
      <c r="F928" s="32" t="str">
        <f t="shared" si="29"/>
        <v>극상</v>
      </c>
      <c r="G928" s="63" t="s">
        <v>40</v>
      </c>
      <c r="H928" s="63" t="s">
        <v>41</v>
      </c>
      <c r="I928" s="34" t="s">
        <v>2772</v>
      </c>
      <c r="J928" s="33"/>
      <c r="K928" s="35"/>
      <c r="L928" s="33"/>
      <c r="M928" s="36"/>
      <c r="N928" s="33"/>
      <c r="O928" s="36"/>
      <c r="P928" s="33"/>
      <c r="Q928" s="37"/>
      <c r="R928" s="38"/>
      <c r="S928" s="33"/>
      <c r="T928" s="38"/>
      <c r="U928" s="33"/>
      <c r="V928" s="39"/>
      <c r="W928" s="90" t="b">
        <v>0</v>
      </c>
      <c r="X928" s="90" t="b">
        <v>0</v>
      </c>
      <c r="Y928" s="90" t="b">
        <v>0</v>
      </c>
      <c r="Z928" s="40" t="s">
        <v>2758</v>
      </c>
      <c r="AA928" s="41"/>
      <c r="AK928" s="16"/>
      <c r="AL928" s="16"/>
      <c r="AM928" s="16"/>
      <c r="AN928" s="16"/>
      <c r="AO928" s="16"/>
      <c r="AP928" s="16"/>
      <c r="AQ928" s="16"/>
      <c r="AR928" s="16"/>
      <c r="AS928" s="16"/>
    </row>
    <row r="929" spans="1:45" s="7" customFormat="1" ht="82.05" customHeight="1">
      <c r="A929" s="27">
        <f>[1]트램표준체크리스트!A986</f>
        <v>984</v>
      </c>
      <c r="B929" s="28" t="str">
        <f>[1]트램표준체크리스트!B986</f>
        <v>전기</v>
      </c>
      <c r="C929" s="29" t="str">
        <f>[1]트램표준체크리스트!C986</f>
        <v>2. 송변전 설비</v>
      </c>
      <c r="D929" s="30" t="str">
        <f>[1]트램표준체크리스트!F986</f>
        <v>특고압 인입 관로·맨홀 방수 대책 누락에 따른 변전소 침수 및 전력제어장치 누락에 의한 계약전력 초과 요금 부과 리스크를 검토하였는가?</v>
      </c>
      <c r="E929" s="31" t="s">
        <v>2773</v>
      </c>
      <c r="F929" s="32" t="str">
        <f t="shared" si="29"/>
        <v>극상</v>
      </c>
      <c r="G929" s="63" t="s">
        <v>40</v>
      </c>
      <c r="H929" s="63" t="s">
        <v>41</v>
      </c>
      <c r="I929" s="34" t="s">
        <v>2774</v>
      </c>
      <c r="J929" s="33"/>
      <c r="K929" s="35"/>
      <c r="L929" s="33"/>
      <c r="M929" s="36"/>
      <c r="N929" s="33"/>
      <c r="O929" s="36"/>
      <c r="P929" s="33"/>
      <c r="Q929" s="37"/>
      <c r="R929" s="38"/>
      <c r="S929" s="33"/>
      <c r="T929" s="38"/>
      <c r="U929" s="33"/>
      <c r="V929" s="39"/>
      <c r="W929" s="90" t="b">
        <v>0</v>
      </c>
      <c r="X929" s="90" t="b">
        <v>0</v>
      </c>
      <c r="Y929" s="90" t="b">
        <v>1</v>
      </c>
      <c r="Z929" s="40" t="s">
        <v>2763</v>
      </c>
      <c r="AA929" s="41"/>
      <c r="AK929" s="16"/>
      <c r="AL929" s="16"/>
      <c r="AM929" s="16"/>
      <c r="AN929" s="16"/>
      <c r="AO929" s="16"/>
      <c r="AP929" s="16"/>
      <c r="AQ929" s="16"/>
      <c r="AR929" s="16"/>
      <c r="AS929" s="16"/>
    </row>
    <row r="930" spans="1:45" s="7" customFormat="1" ht="82.05" customHeight="1">
      <c r="A930" s="27">
        <f>[1]트램표준체크리스트!A987</f>
        <v>985</v>
      </c>
      <c r="B930" s="28" t="str">
        <f>[1]트램표준체크리스트!B987</f>
        <v>전기</v>
      </c>
      <c r="C930" s="29" t="str">
        <f>[1]트램표준체크리스트!C987</f>
        <v>2. 송변전 설비</v>
      </c>
      <c r="D930" s="30" t="str">
        <f>[1]트램표준체크리스트!F987</f>
        <v>장비반입구(3m×4m) 미달 및 지하주차장(2.2m) 등 기존 시설물 간섭으로 대형 수배전반·변압기 반입 불가 리스크를 검토하였는가?</v>
      </c>
      <c r="E930" s="31" t="s">
        <v>2775</v>
      </c>
      <c r="F930" s="32" t="str">
        <f t="shared" si="29"/>
        <v>극상</v>
      </c>
      <c r="G930" s="63" t="s">
        <v>40</v>
      </c>
      <c r="H930" s="63" t="s">
        <v>41</v>
      </c>
      <c r="I930" s="34" t="s">
        <v>2776</v>
      </c>
      <c r="J930" s="33"/>
      <c r="K930" s="35"/>
      <c r="L930" s="33"/>
      <c r="M930" s="36"/>
      <c r="N930" s="33"/>
      <c r="O930" s="36"/>
      <c r="P930" s="33"/>
      <c r="Q930" s="37"/>
      <c r="R930" s="38"/>
      <c r="S930" s="33"/>
      <c r="T930" s="38"/>
      <c r="U930" s="33"/>
      <c r="V930" s="39"/>
      <c r="W930" s="90" t="b">
        <v>0</v>
      </c>
      <c r="X930" s="90" t="b">
        <v>0</v>
      </c>
      <c r="Y930" s="90" t="b">
        <v>0</v>
      </c>
      <c r="Z930" s="40" t="s">
        <v>2748</v>
      </c>
      <c r="AA930" s="41"/>
      <c r="AK930" s="16"/>
      <c r="AL930" s="16"/>
      <c r="AM930" s="16"/>
      <c r="AN930" s="16"/>
      <c r="AO930" s="16"/>
      <c r="AP930" s="16"/>
      <c r="AQ930" s="16"/>
      <c r="AR930" s="16"/>
      <c r="AS930" s="16"/>
    </row>
    <row r="931" spans="1:45" s="7" customFormat="1" ht="82.2" customHeight="1">
      <c r="A931" s="27">
        <f>[1]트램표준체크리스트!A988</f>
        <v>986</v>
      </c>
      <c r="B931" s="28" t="str">
        <f>[1]트램표준체크리스트!B988</f>
        <v>전기</v>
      </c>
      <c r="C931" s="29" t="str">
        <f>[1]트램표준체크리스트!C988</f>
        <v>2. 송변전 설비</v>
      </c>
      <c r="D931" s="30" t="str">
        <f>[1]트램표준체크리스트!F988</f>
        <v>낙뢰에 의한 손상 리스크를 검토하였는가?</v>
      </c>
      <c r="E931" s="31" t="s">
        <v>2777</v>
      </c>
      <c r="F931" s="32" t="str">
        <f t="shared" si="29"/>
        <v>극상</v>
      </c>
      <c r="G931" s="63" t="s">
        <v>40</v>
      </c>
      <c r="H931" s="63" t="s">
        <v>41</v>
      </c>
      <c r="I931" s="34"/>
      <c r="J931" s="33"/>
      <c r="K931" s="35"/>
      <c r="L931" s="33"/>
      <c r="M931" s="36"/>
      <c r="N931" s="33"/>
      <c r="O931" s="36"/>
      <c r="P931" s="33"/>
      <c r="Q931" s="37"/>
      <c r="R931" s="38"/>
      <c r="S931" s="33"/>
      <c r="T931" s="38"/>
      <c r="U931" s="33"/>
      <c r="V931" s="39"/>
      <c r="W931" s="90" t="b">
        <v>0</v>
      </c>
      <c r="X931" s="90" t="b">
        <v>0</v>
      </c>
      <c r="Y931" s="90" t="b">
        <v>0</v>
      </c>
      <c r="Z931" s="40" t="s">
        <v>2778</v>
      </c>
      <c r="AA931" s="41"/>
      <c r="AK931" s="16"/>
      <c r="AL931" s="16"/>
      <c r="AM931" s="16"/>
      <c r="AN931" s="16"/>
      <c r="AO931" s="16"/>
      <c r="AP931" s="16"/>
      <c r="AQ931" s="16"/>
      <c r="AR931" s="16"/>
      <c r="AS931" s="16"/>
    </row>
    <row r="932" spans="1:45" s="7" customFormat="1" ht="82.2" customHeight="1">
      <c r="A932" s="27">
        <f>[1]트램표준체크리스트!A989</f>
        <v>987</v>
      </c>
      <c r="B932" s="28" t="str">
        <f>[1]트램표준체크리스트!B989</f>
        <v>전기</v>
      </c>
      <c r="C932" s="29" t="str">
        <f>[1]트램표준체크리스트!C989</f>
        <v>2. 송변전 설비</v>
      </c>
      <c r="D932" s="30" t="str">
        <f>[1]트램표준체크리스트!F989</f>
        <v>전력기기의 절연파괴 발생 리스크를 검토하였는가?</v>
      </c>
      <c r="E932" s="31" t="s">
        <v>2779</v>
      </c>
      <c r="F932" s="32" t="str">
        <f t="shared" si="29"/>
        <v>극상</v>
      </c>
      <c r="G932" s="63" t="s">
        <v>40</v>
      </c>
      <c r="H932" s="63" t="s">
        <v>41</v>
      </c>
      <c r="I932" s="34"/>
      <c r="J932" s="33"/>
      <c r="K932" s="35"/>
      <c r="L932" s="33"/>
      <c r="M932" s="36"/>
      <c r="N932" s="33"/>
      <c r="O932" s="36"/>
      <c r="P932" s="33"/>
      <c r="Q932" s="37"/>
      <c r="R932" s="38"/>
      <c r="S932" s="33"/>
      <c r="T932" s="38"/>
      <c r="U932" s="33"/>
      <c r="V932" s="39"/>
      <c r="W932" s="90" t="b">
        <v>0</v>
      </c>
      <c r="X932" s="90" t="b">
        <v>0</v>
      </c>
      <c r="Y932" s="90" t="b">
        <v>0</v>
      </c>
      <c r="Z932" s="40" t="s">
        <v>2778</v>
      </c>
      <c r="AA932" s="41"/>
      <c r="AK932" s="16"/>
      <c r="AL932" s="16"/>
      <c r="AM932" s="16"/>
      <c r="AN932" s="16"/>
      <c r="AO932" s="16"/>
      <c r="AP932" s="16"/>
      <c r="AQ932" s="16"/>
      <c r="AR932" s="16"/>
      <c r="AS932" s="16"/>
    </row>
    <row r="933" spans="1:45" s="7" customFormat="1" ht="97.95" customHeight="1">
      <c r="A933" s="27">
        <f>[1]트램표준체크리스트!A990</f>
        <v>988</v>
      </c>
      <c r="B933" s="28" t="str">
        <f>[1]트램표준체크리스트!B990</f>
        <v>전기</v>
      </c>
      <c r="C933" s="29" t="str">
        <f>[1]트램표준체크리스트!C990</f>
        <v>2. 송변전 설비</v>
      </c>
      <c r="D933" s="30" t="str">
        <f>[1]트램표준체크리스트!F990</f>
        <v>선로변설비 전원선 케이블 파손 우려 리스크를 검토하였는가?</v>
      </c>
      <c r="E933" s="31" t="s">
        <v>2780</v>
      </c>
      <c r="F933" s="32" t="str">
        <f t="shared" si="29"/>
        <v>극상</v>
      </c>
      <c r="G933" s="63" t="s">
        <v>40</v>
      </c>
      <c r="H933" s="63" t="s">
        <v>41</v>
      </c>
      <c r="I933" s="34"/>
      <c r="J933" s="33"/>
      <c r="K933" s="35"/>
      <c r="L933" s="33"/>
      <c r="M933" s="36"/>
      <c r="N933" s="33"/>
      <c r="O933" s="36"/>
      <c r="P933" s="33"/>
      <c r="Q933" s="37"/>
      <c r="R933" s="38"/>
      <c r="S933" s="33"/>
      <c r="T933" s="38"/>
      <c r="U933" s="33"/>
      <c r="V933" s="39"/>
      <c r="W933" s="90" t="b">
        <v>0</v>
      </c>
      <c r="X933" s="90" t="b">
        <v>0</v>
      </c>
      <c r="Y933" s="90" t="b">
        <v>0</v>
      </c>
      <c r="Z933" s="40" t="s">
        <v>2778</v>
      </c>
      <c r="AA933" s="41"/>
      <c r="AK933" s="16"/>
      <c r="AL933" s="16"/>
      <c r="AM933" s="16"/>
      <c r="AN933" s="16"/>
      <c r="AO933" s="16"/>
      <c r="AP933" s="16"/>
      <c r="AQ933" s="16"/>
      <c r="AR933" s="16"/>
      <c r="AS933" s="16"/>
    </row>
    <row r="934" spans="1:45" s="7" customFormat="1" ht="82.2" customHeight="1">
      <c r="A934" s="27">
        <f>[1]트램표준체크리스트!A991</f>
        <v>989</v>
      </c>
      <c r="B934" s="28" t="str">
        <f>[1]트램표준체크리스트!B991</f>
        <v>전기</v>
      </c>
      <c r="C934" s="29" t="str">
        <f>[1]트램표준체크리스트!C991</f>
        <v>2. 송변전 설비</v>
      </c>
      <c r="D934" s="30" t="str">
        <f>[1]트램표준체크리스트!F991</f>
        <v>발주처 요구사항에 따라 선로역사 설계를 추가하였으나, 최소한의 금액 반영을 위한 설계 최소화로 인하여 철도설계지침에 따른 전기 및 설비를 해야하나 해당 설계가 누락됨 리스크를 검토하였는가?</v>
      </c>
      <c r="E934" s="31" t="s">
        <v>2781</v>
      </c>
      <c r="F934" s="32" t="str">
        <f t="shared" si="29"/>
        <v>극상</v>
      </c>
      <c r="G934" s="63" t="s">
        <v>40</v>
      </c>
      <c r="H934" s="63" t="s">
        <v>41</v>
      </c>
      <c r="I934" s="34"/>
      <c r="J934" s="33"/>
      <c r="K934" s="35"/>
      <c r="L934" s="33"/>
      <c r="M934" s="36"/>
      <c r="N934" s="33"/>
      <c r="O934" s="36"/>
      <c r="P934" s="33"/>
      <c r="Q934" s="37"/>
      <c r="R934" s="38"/>
      <c r="S934" s="33"/>
      <c r="T934" s="38"/>
      <c r="U934" s="33"/>
      <c r="V934" s="39"/>
      <c r="W934" s="90" t="b">
        <v>0</v>
      </c>
      <c r="X934" s="90" t="b">
        <v>0</v>
      </c>
      <c r="Y934" s="90" t="b">
        <v>0</v>
      </c>
      <c r="Z934" s="40" t="s">
        <v>2778</v>
      </c>
      <c r="AA934" s="41"/>
      <c r="AK934" s="16"/>
      <c r="AL934" s="16"/>
      <c r="AM934" s="16"/>
      <c r="AN934" s="16"/>
      <c r="AO934" s="16"/>
      <c r="AP934" s="16"/>
      <c r="AQ934" s="16"/>
      <c r="AR934" s="16"/>
      <c r="AS934" s="16"/>
    </row>
    <row r="935" spans="1:45" s="7" customFormat="1" ht="97.95" customHeight="1">
      <c r="A935" s="27">
        <f>[1]트램표준체크리스트!A992</f>
        <v>990</v>
      </c>
      <c r="B935" s="28" t="str">
        <f>[1]트램표준체크리스트!B992</f>
        <v>전기</v>
      </c>
      <c r="C935" s="29" t="str">
        <f>[1]트램표준체크리스트!C992</f>
        <v>3. 전차선로 설비</v>
      </c>
      <c r="D935" s="30" t="str">
        <f>[1]트램표준체크리스트!F992</f>
        <v>급속 충전 시 귀선전류 노이즈·EMC 대책 누락으로 신호장비 오동작 및 주변 금속 매설물 전식이 가속화될 리스크를 검토하였는가?</v>
      </c>
      <c r="E935" s="31" t="s">
        <v>2782</v>
      </c>
      <c r="F935" s="32" t="str">
        <f t="shared" si="29"/>
        <v>극상</v>
      </c>
      <c r="G935" s="63" t="s">
        <v>40</v>
      </c>
      <c r="H935" s="63" t="s">
        <v>41</v>
      </c>
      <c r="I935" s="34" t="s">
        <v>2783</v>
      </c>
      <c r="J935" s="33"/>
      <c r="K935" s="35"/>
      <c r="L935" s="33"/>
      <c r="M935" s="36"/>
      <c r="N935" s="33"/>
      <c r="O935" s="36"/>
      <c r="P935" s="33"/>
      <c r="Q935" s="37"/>
      <c r="R935" s="38"/>
      <c r="S935" s="33"/>
      <c r="T935" s="38"/>
      <c r="U935" s="33"/>
      <c r="V935" s="39"/>
      <c r="W935" s="90" t="b">
        <v>0</v>
      </c>
      <c r="X935" s="90" t="b">
        <v>0</v>
      </c>
      <c r="Y935" s="90" t="b">
        <v>1</v>
      </c>
      <c r="Z935" s="40" t="s">
        <v>2763</v>
      </c>
      <c r="AA935" s="41"/>
      <c r="AK935" s="16"/>
      <c r="AL935" s="16"/>
      <c r="AM935" s="16"/>
      <c r="AN935" s="16"/>
      <c r="AO935" s="16"/>
      <c r="AP935" s="16"/>
      <c r="AQ935" s="16"/>
      <c r="AR935" s="16"/>
      <c r="AS935" s="16"/>
    </row>
    <row r="936" spans="1:45" s="7" customFormat="1" ht="82.2" customHeight="1">
      <c r="A936" s="27">
        <f>[1]트램표준체크리스트!A993</f>
        <v>991</v>
      </c>
      <c r="B936" s="28" t="str">
        <f>[1]트램표준체크리스트!B993</f>
        <v>전기</v>
      </c>
      <c r="C936" s="29" t="str">
        <f>[1]트램표준체크리스트!C993</f>
        <v>3. 전차선로 설비</v>
      </c>
      <c r="D936" s="30" t="str">
        <f>[1]트램표준체크리스트!F993</f>
        <v>검수고 전차선 격리(접지) 장치 및 천장 크레인 작동 연동 가압 차단 인터록 누락으로 중대재해 감전사고가 유발될 리스크를 검토하였는가?</v>
      </c>
      <c r="E936" s="31" t="s">
        <v>2784</v>
      </c>
      <c r="F936" s="32" t="str">
        <f t="shared" si="29"/>
        <v>극상</v>
      </c>
      <c r="G936" s="63" t="s">
        <v>40</v>
      </c>
      <c r="H936" s="63" t="s">
        <v>41</v>
      </c>
      <c r="I936" s="34" t="s">
        <v>2785</v>
      </c>
      <c r="J936" s="33"/>
      <c r="K936" s="35"/>
      <c r="L936" s="33"/>
      <c r="M936" s="36"/>
      <c r="N936" s="33"/>
      <c r="O936" s="36"/>
      <c r="P936" s="33"/>
      <c r="Q936" s="37"/>
      <c r="R936" s="38"/>
      <c r="S936" s="33"/>
      <c r="T936" s="38"/>
      <c r="U936" s="33"/>
      <c r="V936" s="39"/>
      <c r="W936" s="90" t="b">
        <v>0</v>
      </c>
      <c r="X936" s="90" t="b">
        <v>0</v>
      </c>
      <c r="Y936" s="90" t="b">
        <v>0</v>
      </c>
      <c r="Z936" s="40" t="s">
        <v>2763</v>
      </c>
      <c r="AA936" s="41"/>
      <c r="AK936" s="16"/>
      <c r="AL936" s="16"/>
      <c r="AM936" s="16"/>
      <c r="AN936" s="16"/>
      <c r="AO936" s="16"/>
      <c r="AP936" s="16"/>
      <c r="AQ936" s="16"/>
      <c r="AR936" s="16"/>
      <c r="AS936" s="16"/>
    </row>
    <row r="937" spans="1:45" s="7" customFormat="1" ht="97.95" customHeight="1">
      <c r="A937" s="27">
        <f>[1]트램표준체크리스트!A994</f>
        <v>992</v>
      </c>
      <c r="B937" s="28" t="str">
        <f>[1]트램표준체크리스트!B994</f>
        <v>전기</v>
      </c>
      <c r="C937" s="29" t="str">
        <f>[1]트램표준체크리스트!C994</f>
        <v>3. 전차선로 설비</v>
      </c>
      <c r="D937" s="30" t="str">
        <f>[1]트램표준체크리스트!F994</f>
        <v>지하 매설물 간섭에 따른 지중 인입 경로 변경 및 전력 부족에 의한 한전 인허가 지연 리스크를 검토하였는가?</v>
      </c>
      <c r="E937" s="31" t="s">
        <v>2786</v>
      </c>
      <c r="F937" s="32" t="str">
        <f t="shared" si="29"/>
        <v>극상</v>
      </c>
      <c r="G937" s="63" t="s">
        <v>40</v>
      </c>
      <c r="H937" s="63" t="s">
        <v>41</v>
      </c>
      <c r="I937" s="34" t="s">
        <v>2787</v>
      </c>
      <c r="J937" s="33"/>
      <c r="K937" s="35"/>
      <c r="L937" s="33"/>
      <c r="M937" s="36"/>
      <c r="N937" s="33"/>
      <c r="O937" s="36"/>
      <c r="P937" s="33"/>
      <c r="Q937" s="37"/>
      <c r="R937" s="38"/>
      <c r="S937" s="33"/>
      <c r="T937" s="38"/>
      <c r="U937" s="33"/>
      <c r="V937" s="39"/>
      <c r="W937" s="90" t="b">
        <v>0</v>
      </c>
      <c r="X937" s="90" t="b">
        <v>1</v>
      </c>
      <c r="Y937" s="90" t="b">
        <v>1</v>
      </c>
      <c r="Z937" s="40" t="s">
        <v>2763</v>
      </c>
      <c r="AA937" s="41"/>
      <c r="AK937" s="16"/>
      <c r="AL937" s="16"/>
      <c r="AM937" s="16"/>
      <c r="AN937" s="16"/>
      <c r="AO937" s="16"/>
      <c r="AP937" s="16"/>
      <c r="AQ937" s="16"/>
      <c r="AR937" s="16"/>
      <c r="AS937" s="16"/>
    </row>
    <row r="938" spans="1:45" s="7" customFormat="1" ht="82.05" customHeight="1">
      <c r="A938" s="27">
        <f>[1]트램표준체크리스트!A995</f>
        <v>993</v>
      </c>
      <c r="B938" s="28" t="str">
        <f>[1]트램표준체크리스트!B995</f>
        <v>전기</v>
      </c>
      <c r="C938" s="29" t="str">
        <f>[1]트램표준체크리스트!C995</f>
        <v>3. 전차선로 설비</v>
      </c>
      <c r="D938" s="30" t="str">
        <f>[1]트램표준체크리스트!F995</f>
        <v>지지물 승탑 방지 설비 누락으로 보행자·어린이가 무단 등반하여 750V 가공전차선에 감전될 중대재해 리스크를 검토하였는가?</v>
      </c>
      <c r="E938" s="31" t="s">
        <v>2788</v>
      </c>
      <c r="F938" s="32" t="str">
        <f t="shared" si="29"/>
        <v>극상</v>
      </c>
      <c r="G938" s="63" t="s">
        <v>40</v>
      </c>
      <c r="H938" s="63" t="s">
        <v>41</v>
      </c>
      <c r="I938" s="34" t="s">
        <v>2789</v>
      </c>
      <c r="J938" s="33"/>
      <c r="K938" s="35"/>
      <c r="L938" s="33"/>
      <c r="M938" s="36"/>
      <c r="N938" s="33"/>
      <c r="O938" s="36"/>
      <c r="P938" s="33"/>
      <c r="Q938" s="37"/>
      <c r="R938" s="38"/>
      <c r="S938" s="33"/>
      <c r="T938" s="38"/>
      <c r="U938" s="33"/>
      <c r="V938" s="39"/>
      <c r="W938" s="90" t="b">
        <v>0</v>
      </c>
      <c r="X938" s="90" t="b">
        <v>0</v>
      </c>
      <c r="Y938" s="90" t="b">
        <v>0</v>
      </c>
      <c r="Z938" s="40" t="s">
        <v>2790</v>
      </c>
      <c r="AA938" s="41"/>
      <c r="AK938" s="16"/>
      <c r="AL938" s="16"/>
      <c r="AM938" s="16"/>
      <c r="AN938" s="16"/>
      <c r="AO938" s="16"/>
      <c r="AP938" s="16"/>
      <c r="AQ938" s="16"/>
      <c r="AR938" s="16"/>
      <c r="AS938" s="16"/>
    </row>
    <row r="939" spans="1:45" s="7" customFormat="1" ht="82.05" customHeight="1">
      <c r="A939" s="27">
        <f>[1]트램표준체크리스트!A996</f>
        <v>994</v>
      </c>
      <c r="B939" s="28" t="str">
        <f>[1]트램표준체크리스트!B996</f>
        <v>전기</v>
      </c>
      <c r="C939" s="29" t="str">
        <f>[1]트램표준체크리스트!C996</f>
        <v>3. 전차선로 설비</v>
      </c>
      <c r="D939" s="30" t="str">
        <f>[1]트램표준체크리스트!F996</f>
        <v>지하구간 일반 가요 전차선 적용 시 전차선 처짐으로 인한 대지 절연 파괴 및 차량 집전장치(판토그래프) 이탈 사고가 발생할 리스크를 검토하였는가?</v>
      </c>
      <c r="E939" s="31" t="s">
        <v>2791</v>
      </c>
      <c r="F939" s="32" t="str">
        <f t="shared" si="29"/>
        <v>극상</v>
      </c>
      <c r="G939" s="63" t="s">
        <v>40</v>
      </c>
      <c r="H939" s="63" t="s">
        <v>41</v>
      </c>
      <c r="I939" s="34" t="s">
        <v>2792</v>
      </c>
      <c r="J939" s="33"/>
      <c r="K939" s="35"/>
      <c r="L939" s="33"/>
      <c r="M939" s="36"/>
      <c r="N939" s="33"/>
      <c r="O939" s="36"/>
      <c r="P939" s="33"/>
      <c r="Q939" s="37"/>
      <c r="R939" s="38"/>
      <c r="S939" s="33"/>
      <c r="T939" s="38"/>
      <c r="U939" s="33"/>
      <c r="V939" s="39"/>
      <c r="W939" s="90" t="b">
        <v>0</v>
      </c>
      <c r="X939" s="90" t="b">
        <v>0</v>
      </c>
      <c r="Y939" s="90" t="b">
        <v>1</v>
      </c>
      <c r="Z939" s="40" t="s">
        <v>2751</v>
      </c>
      <c r="AA939" s="41"/>
      <c r="AK939" s="16"/>
      <c r="AL939" s="16"/>
      <c r="AM939" s="16"/>
      <c r="AN939" s="16"/>
      <c r="AO939" s="16"/>
      <c r="AP939" s="16"/>
      <c r="AQ939" s="16"/>
      <c r="AR939" s="16"/>
      <c r="AS939" s="16"/>
    </row>
    <row r="940" spans="1:45" s="7" customFormat="1" ht="97.95" customHeight="1">
      <c r="A940" s="27">
        <f>[1]트램표준체크리스트!A997</f>
        <v>995</v>
      </c>
      <c r="B940" s="28" t="str">
        <f>[1]트램표준체크리스트!B997</f>
        <v>전기</v>
      </c>
      <c r="C940" s="29" t="str">
        <f>[1]트램표준체크리스트!C997</f>
        <v>3. 전차선로 설비</v>
      </c>
      <c r="D940" s="30" t="str">
        <f>[1]트램표준체크리스트!F997</f>
        <v>팬터그래프 상승 미고려로 인한 건축 캐노피와의 물리적 충돌 및 법적 전기 절연 이격거리 미확보 리스크를 검토하였는가?</v>
      </c>
      <c r="E940" s="31" t="s">
        <v>2793</v>
      </c>
      <c r="F940" s="32" t="str">
        <f t="shared" ref="F940:F970" si="30">_xlfn.LET(
_xlpm.v_발생, IF(ISNUMBER(SEARCH("빈번", G940)), "상",
IF(ISNUMBER(SEARCH("거의", G940)), "하", "중")),
_xlpm.v_영향, IF(ISNUMBER(SEARCH("1개월", H940)), "상",
IF(ISNUMBER(SEARCH("없음", H940)), "하", "중")),
IF(AND(_xlpm.v_발생="상", _xlpm.v_영향="상"), "극상",
IF(OR(_xlpm.v_발생="상", _xlpm.v_영향="상"), "상",
IF(AND(_xlpm.v_발생="하", _xlpm.v_영향="하"), "하",
"중")))
)</f>
        <v>극상</v>
      </c>
      <c r="G940" s="63" t="s">
        <v>40</v>
      </c>
      <c r="H940" s="63" t="s">
        <v>41</v>
      </c>
      <c r="I940" s="34" t="s">
        <v>2794</v>
      </c>
      <c r="J940" s="33"/>
      <c r="K940" s="35"/>
      <c r="L940" s="33"/>
      <c r="M940" s="36"/>
      <c r="N940" s="33"/>
      <c r="O940" s="36"/>
      <c r="P940" s="33"/>
      <c r="Q940" s="37"/>
      <c r="R940" s="38"/>
      <c r="S940" s="33"/>
      <c r="T940" s="38"/>
      <c r="U940" s="33"/>
      <c r="V940" s="39"/>
      <c r="W940" s="90" t="b">
        <v>0</v>
      </c>
      <c r="X940" s="90" t="b">
        <v>0</v>
      </c>
      <c r="Y940" s="90" t="b">
        <v>0</v>
      </c>
      <c r="Z940" s="40" t="s">
        <v>2770</v>
      </c>
      <c r="AA940" s="41"/>
      <c r="AK940" s="16"/>
      <c r="AL940" s="16"/>
      <c r="AM940" s="16"/>
      <c r="AN940" s="16"/>
      <c r="AO940" s="16"/>
      <c r="AP940" s="16"/>
      <c r="AQ940" s="16"/>
      <c r="AR940" s="16"/>
      <c r="AS940" s="16"/>
    </row>
    <row r="941" spans="1:45" s="7" customFormat="1" ht="82.2" customHeight="1">
      <c r="A941" s="27">
        <f>[1]트램표준체크리스트!A998</f>
        <v>996</v>
      </c>
      <c r="B941" s="28" t="str">
        <f>[1]트램표준체크리스트!B998</f>
        <v>전기</v>
      </c>
      <c r="C941" s="29" t="str">
        <f>[1]트램표준체크리스트!C998</f>
        <v>3. 전차선로 설비</v>
      </c>
      <c r="D941" s="30" t="str">
        <f>[1]트램표준체크리스트!F998</f>
        <v>전차선 편위 한계(최대 250mm) 초과 설계로 팬터그래프 집전판 유효 폭 이탈(Dewirement) 및 전차선 국부적 편마모를 유발할 리스크를 검토하였는가?</v>
      </c>
      <c r="E941" s="31" t="s">
        <v>2795</v>
      </c>
      <c r="F941" s="32" t="str">
        <f t="shared" si="30"/>
        <v>극상</v>
      </c>
      <c r="G941" s="63" t="s">
        <v>40</v>
      </c>
      <c r="H941" s="63" t="s">
        <v>41</v>
      </c>
      <c r="I941" s="34" t="s">
        <v>2796</v>
      </c>
      <c r="J941" s="33"/>
      <c r="K941" s="35"/>
      <c r="L941" s="33"/>
      <c r="M941" s="36"/>
      <c r="N941" s="33"/>
      <c r="O941" s="36"/>
      <c r="P941" s="33"/>
      <c r="Q941" s="37"/>
      <c r="R941" s="38"/>
      <c r="S941" s="33"/>
      <c r="T941" s="38"/>
      <c r="U941" s="33"/>
      <c r="V941" s="39"/>
      <c r="W941" s="90" t="b">
        <v>0</v>
      </c>
      <c r="X941" s="90" t="b">
        <v>0</v>
      </c>
      <c r="Y941" s="90" t="b">
        <v>0</v>
      </c>
      <c r="Z941" s="40" t="s">
        <v>2790</v>
      </c>
      <c r="AA941" s="41"/>
      <c r="AK941" s="16"/>
      <c r="AL941" s="16"/>
      <c r="AM941" s="16"/>
      <c r="AN941" s="16"/>
      <c r="AO941" s="16"/>
      <c r="AP941" s="16"/>
      <c r="AQ941" s="16"/>
      <c r="AR941" s="16"/>
      <c r="AS941" s="16"/>
    </row>
    <row r="942" spans="1:45" s="7" customFormat="1" ht="114" customHeight="1">
      <c r="A942" s="27">
        <f>[1]트램표준체크리스트!A999</f>
        <v>997</v>
      </c>
      <c r="B942" s="28" t="str">
        <f>[1]트램표준체크리스트!B999</f>
        <v>전기</v>
      </c>
      <c r="C942" s="29" t="str">
        <f>[1]트램표준체크리스트!C999</f>
        <v>3. 전차선로 설비</v>
      </c>
      <c r="D942" s="30" t="str">
        <f>[1]트램표준체크리스트!F999</f>
        <v>급전케이블 인입 경로 수량 및 부급전선 레일 천공·접속함 체결 누락에 따른 원가 손실 및 충전 불량 리스크를 검토하였는가?</v>
      </c>
      <c r="E942" s="31" t="s">
        <v>2797</v>
      </c>
      <c r="F942" s="32" t="str">
        <f t="shared" si="30"/>
        <v>극상</v>
      </c>
      <c r="G942" s="63" t="s">
        <v>40</v>
      </c>
      <c r="H942" s="63" t="s">
        <v>41</v>
      </c>
      <c r="I942" s="34" t="s">
        <v>2798</v>
      </c>
      <c r="J942" s="33"/>
      <c r="K942" s="35"/>
      <c r="L942" s="33"/>
      <c r="M942" s="36"/>
      <c r="N942" s="33"/>
      <c r="O942" s="36"/>
      <c r="P942" s="33"/>
      <c r="Q942" s="37"/>
      <c r="R942" s="38"/>
      <c r="S942" s="33"/>
      <c r="T942" s="38"/>
      <c r="U942" s="33"/>
      <c r="V942" s="39"/>
      <c r="W942" s="90" t="b">
        <v>0</v>
      </c>
      <c r="X942" s="90" t="b">
        <v>0</v>
      </c>
      <c r="Y942" s="90" t="b">
        <v>0</v>
      </c>
      <c r="Z942" s="40" t="s">
        <v>2799</v>
      </c>
      <c r="AA942" s="41"/>
      <c r="AK942" s="16"/>
      <c r="AL942" s="16"/>
      <c r="AM942" s="16"/>
      <c r="AN942" s="16"/>
      <c r="AO942" s="16"/>
      <c r="AP942" s="16"/>
      <c r="AQ942" s="16"/>
      <c r="AR942" s="16"/>
      <c r="AS942" s="16"/>
    </row>
    <row r="943" spans="1:45" s="7" customFormat="1" ht="97.95" customHeight="1">
      <c r="A943" s="27">
        <f>[1]트램표준체크리스트!A1000</f>
        <v>998</v>
      </c>
      <c r="B943" s="28" t="str">
        <f>[1]트램표준체크리스트!B1000</f>
        <v>전기</v>
      </c>
      <c r="C943" s="29" t="str">
        <f>[1]트램표준체크리스트!C1000</f>
        <v>3. 전차선로 설비</v>
      </c>
      <c r="D943" s="30" t="str">
        <f>[1]트램표준체크리스트!F1000</f>
        <v>대지절연 이격거리 부족 및 유도장애 차폐 누락으로 아크(Arc) 발생 및 관제 통신망 에러가 유발될 리스크를 검토하였는가?</v>
      </c>
      <c r="E943" s="31" t="s">
        <v>2800</v>
      </c>
      <c r="F943" s="32" t="str">
        <f t="shared" si="30"/>
        <v>극상</v>
      </c>
      <c r="G943" s="63" t="s">
        <v>40</v>
      </c>
      <c r="H943" s="63" t="s">
        <v>41</v>
      </c>
      <c r="I943" s="34" t="s">
        <v>2801</v>
      </c>
      <c r="J943" s="33"/>
      <c r="K943" s="35"/>
      <c r="L943" s="33"/>
      <c r="M943" s="36"/>
      <c r="N943" s="33"/>
      <c r="O943" s="36"/>
      <c r="P943" s="33"/>
      <c r="Q943" s="37"/>
      <c r="R943" s="38"/>
      <c r="S943" s="33"/>
      <c r="T943" s="38"/>
      <c r="U943" s="33"/>
      <c r="V943" s="39"/>
      <c r="W943" s="90" t="b">
        <v>0</v>
      </c>
      <c r="X943" s="90" t="b">
        <v>0</v>
      </c>
      <c r="Y943" s="90" t="b">
        <v>0</v>
      </c>
      <c r="Z943" s="40" t="s">
        <v>2790</v>
      </c>
      <c r="AA943" s="41"/>
      <c r="AK943" s="16"/>
      <c r="AL943" s="16"/>
      <c r="AM943" s="16"/>
      <c r="AN943" s="16"/>
      <c r="AO943" s="16"/>
      <c r="AP943" s="16"/>
      <c r="AQ943" s="16"/>
      <c r="AR943" s="16"/>
      <c r="AS943" s="16"/>
    </row>
    <row r="944" spans="1:45" s="7" customFormat="1" ht="66" customHeight="1">
      <c r="A944" s="27">
        <f>[1]트램표준체크리스트!A1001</f>
        <v>999</v>
      </c>
      <c r="B944" s="28" t="str">
        <f>[1]트램표준체크리스트!B1001</f>
        <v>전기</v>
      </c>
      <c r="C944" s="29" t="str">
        <f>[1]트램표준체크리스트!C1001</f>
        <v>3. 전차선로 설비</v>
      </c>
      <c r="D944" s="30" t="str">
        <f>[1]트램표준체크리스트!F1001</f>
        <v>연약지반 부동침하 미고려로 준공 후 관로가 처져 특고압 케이블 전단 및 압착 파손될 리스크를 검토하였는가?</v>
      </c>
      <c r="E944" s="31" t="s">
        <v>2802</v>
      </c>
      <c r="F944" s="32" t="str">
        <f t="shared" si="30"/>
        <v>극상</v>
      </c>
      <c r="G944" s="63" t="s">
        <v>40</v>
      </c>
      <c r="H944" s="63" t="s">
        <v>41</v>
      </c>
      <c r="I944" s="34" t="s">
        <v>2803</v>
      </c>
      <c r="J944" s="33"/>
      <c r="K944" s="35"/>
      <c r="L944" s="33"/>
      <c r="M944" s="36"/>
      <c r="N944" s="33"/>
      <c r="O944" s="36"/>
      <c r="P944" s="33"/>
      <c r="Q944" s="37"/>
      <c r="R944" s="38"/>
      <c r="S944" s="33"/>
      <c r="T944" s="38"/>
      <c r="U944" s="33"/>
      <c r="V944" s="39"/>
      <c r="W944" s="90" t="b">
        <v>0</v>
      </c>
      <c r="X944" s="90" t="b">
        <v>0</v>
      </c>
      <c r="Y944" s="90" t="b">
        <v>0</v>
      </c>
      <c r="Z944" s="40" t="s">
        <v>2763</v>
      </c>
      <c r="AA944" s="41"/>
      <c r="AK944" s="16"/>
      <c r="AL944" s="16"/>
      <c r="AM944" s="16"/>
      <c r="AN944" s="16"/>
      <c r="AO944" s="16"/>
      <c r="AP944" s="16"/>
      <c r="AQ944" s="16"/>
      <c r="AR944" s="16"/>
      <c r="AS944" s="16"/>
    </row>
    <row r="945" spans="1:45" s="7" customFormat="1" ht="195" customHeight="1">
      <c r="A945" s="27">
        <f>[1]트램표준체크리스트!A1002</f>
        <v>1000</v>
      </c>
      <c r="B945" s="28" t="str">
        <f>[1]트램표준체크리스트!B1002</f>
        <v>전기</v>
      </c>
      <c r="C945" s="29" t="str">
        <f>[1]트램표준체크리스트!C1002</f>
        <v>3. 전차선로 설비</v>
      </c>
      <c r="D945" s="30" t="str">
        <f>[1]트램표준체크리스트!F1002</f>
        <v>지반 조사 결과(토질조건) 및 풍하중·인장하중 계산 미반영에 따른 지지주(Catenary Pole) 부동침하 및 전도 리스크를 검토하였는가?</v>
      </c>
      <c r="E945" s="31" t="s">
        <v>2804</v>
      </c>
      <c r="F945" s="32" t="str">
        <f t="shared" si="30"/>
        <v>극상</v>
      </c>
      <c r="G945" s="63" t="s">
        <v>40</v>
      </c>
      <c r="H945" s="63" t="s">
        <v>41</v>
      </c>
      <c r="I945" s="34" t="s">
        <v>2805</v>
      </c>
      <c r="J945" s="33"/>
      <c r="K945" s="35"/>
      <c r="L945" s="33"/>
      <c r="M945" s="36"/>
      <c r="N945" s="33"/>
      <c r="O945" s="36"/>
      <c r="P945" s="33"/>
      <c r="Q945" s="37"/>
      <c r="R945" s="38"/>
      <c r="S945" s="33"/>
      <c r="T945" s="38"/>
      <c r="U945" s="33"/>
      <c r="V945" s="39"/>
      <c r="W945" s="90" t="b">
        <v>0</v>
      </c>
      <c r="X945" s="90" t="b">
        <v>0</v>
      </c>
      <c r="Y945" s="90" t="b">
        <v>0</v>
      </c>
      <c r="Z945" s="40" t="s">
        <v>2770</v>
      </c>
      <c r="AA945" s="41"/>
      <c r="AK945" s="16"/>
      <c r="AL945" s="16"/>
      <c r="AM945" s="16"/>
      <c r="AN945" s="16"/>
      <c r="AO945" s="16"/>
      <c r="AP945" s="16"/>
      <c r="AQ945" s="16"/>
      <c r="AR945" s="16"/>
      <c r="AS945" s="16"/>
    </row>
    <row r="946" spans="1:45" s="7" customFormat="1" ht="195" customHeight="1">
      <c r="A946" s="27">
        <f>[1]트램표준체크리스트!A1003</f>
        <v>1001</v>
      </c>
      <c r="B946" s="28" t="str">
        <f>[1]트램표준체크리스트!B1003</f>
        <v>전기</v>
      </c>
      <c r="C946" s="29" t="str">
        <f>[1]트램표준체크리스트!C1003</f>
        <v>3. 전차선로 설비</v>
      </c>
      <c r="D946" s="30" t="str">
        <f>[1]트램표준체크리스트!F1003</f>
        <v>WTB 위치 선정 시, 급곡선(R=25m 등)·분기기 구간 설치 공간 간섭 및 트램 선로 평면선형 불일치 리스크를 검토하였는가?</v>
      </c>
      <c r="E946" s="31" t="s">
        <v>2806</v>
      </c>
      <c r="F946" s="32" t="str">
        <f t="shared" si="30"/>
        <v>극상</v>
      </c>
      <c r="G946" s="63" t="s">
        <v>40</v>
      </c>
      <c r="H946" s="63" t="s">
        <v>41</v>
      </c>
      <c r="I946" s="34" t="s">
        <v>2807</v>
      </c>
      <c r="J946" s="33"/>
      <c r="K946" s="35"/>
      <c r="L946" s="33"/>
      <c r="M946" s="36"/>
      <c r="N946" s="33"/>
      <c r="O946" s="36"/>
      <c r="P946" s="33"/>
      <c r="Q946" s="37"/>
      <c r="R946" s="38"/>
      <c r="S946" s="33"/>
      <c r="T946" s="38"/>
      <c r="U946" s="33"/>
      <c r="V946" s="39"/>
      <c r="W946" s="90" t="b">
        <v>0</v>
      </c>
      <c r="X946" s="90" t="b">
        <v>0</v>
      </c>
      <c r="Y946" s="90" t="b">
        <v>0</v>
      </c>
      <c r="Z946" s="40" t="s">
        <v>2763</v>
      </c>
      <c r="AA946" s="41"/>
      <c r="AK946" s="16"/>
      <c r="AL946" s="16"/>
      <c r="AM946" s="16"/>
      <c r="AN946" s="16"/>
      <c r="AO946" s="16"/>
      <c r="AP946" s="16"/>
      <c r="AQ946" s="16"/>
      <c r="AR946" s="16"/>
      <c r="AS946" s="16"/>
    </row>
    <row r="947" spans="1:45" s="7" customFormat="1" ht="195" customHeight="1">
      <c r="A947" s="27">
        <f>[1]트램표준체크리스트!A1004</f>
        <v>1002</v>
      </c>
      <c r="B947" s="28" t="str">
        <f>[1]트램표준체크리스트!B1004</f>
        <v>전기</v>
      </c>
      <c r="C947" s="29" t="str">
        <f>[1]트램표준체크리스트!C1004</f>
        <v>3. 전차선로 설비</v>
      </c>
      <c r="D947" s="30" t="str">
        <f>[1]트램표준체크리스트!F1004</f>
        <v>충전 포스트 지지물 하중 계산 누락에 의한 캐노피 변형 및 TCMS-충전설비 통신 인터페이스 불일치로 충전 실패가 발생할 리스크를 검토하였는가?</v>
      </c>
      <c r="E947" s="31" t="s">
        <v>2808</v>
      </c>
      <c r="F947" s="32" t="str">
        <f t="shared" si="30"/>
        <v>극상</v>
      </c>
      <c r="G947" s="63" t="s">
        <v>40</v>
      </c>
      <c r="H947" s="63" t="s">
        <v>41</v>
      </c>
      <c r="I947" s="34" t="s">
        <v>2809</v>
      </c>
      <c r="J947" s="33"/>
      <c r="K947" s="35"/>
      <c r="L947" s="33"/>
      <c r="M947" s="36"/>
      <c r="N947" s="33"/>
      <c r="O947" s="36"/>
      <c r="P947" s="33"/>
      <c r="Q947" s="37"/>
      <c r="R947" s="38"/>
      <c r="S947" s="33"/>
      <c r="T947" s="38"/>
      <c r="U947" s="33"/>
      <c r="V947" s="39"/>
      <c r="W947" s="90" t="b">
        <v>0</v>
      </c>
      <c r="X947" s="90" t="b">
        <v>0</v>
      </c>
      <c r="Y947" s="90" t="b">
        <v>0</v>
      </c>
      <c r="Z947" s="40" t="s">
        <v>2770</v>
      </c>
      <c r="AA947" s="41"/>
      <c r="AK947" s="16"/>
      <c r="AL947" s="16"/>
      <c r="AM947" s="16"/>
      <c r="AN947" s="16"/>
      <c r="AO947" s="16"/>
      <c r="AP947" s="16"/>
      <c r="AQ947" s="16"/>
      <c r="AR947" s="16"/>
      <c r="AS947" s="16"/>
    </row>
    <row r="948" spans="1:45" s="7" customFormat="1" ht="195" customHeight="1">
      <c r="A948" s="27">
        <f>[1]트램표준체크리스트!A1005</f>
        <v>1003</v>
      </c>
      <c r="B948" s="28" t="str">
        <f>[1]트램표준체크리스트!B1005</f>
        <v>전기</v>
      </c>
      <c r="C948" s="29" t="str">
        <f>[1]트램표준체크리스트!C1005</f>
        <v>3. 전차선로 설비</v>
      </c>
      <c r="D948" s="30" t="str">
        <f>[1]트램표준체크리스트!F1005</f>
        <v>대전류 아크(Arc) 발생에 따른 전차선 마모·온도상승 방지 대책 및 승객 안전용 아크 감시 장치 누락 리스크를 검토하였는가?</v>
      </c>
      <c r="E948" s="31" t="s">
        <v>2810</v>
      </c>
      <c r="F948" s="32" t="str">
        <f t="shared" si="30"/>
        <v>극상</v>
      </c>
      <c r="G948" s="63" t="s">
        <v>40</v>
      </c>
      <c r="H948" s="63" t="s">
        <v>41</v>
      </c>
      <c r="I948" s="34" t="s">
        <v>2811</v>
      </c>
      <c r="J948" s="33"/>
      <c r="K948" s="35"/>
      <c r="L948" s="33"/>
      <c r="M948" s="36"/>
      <c r="N948" s="33"/>
      <c r="O948" s="36"/>
      <c r="P948" s="33"/>
      <c r="Q948" s="37"/>
      <c r="R948" s="38"/>
      <c r="S948" s="33"/>
      <c r="T948" s="38"/>
      <c r="U948" s="33"/>
      <c r="V948" s="39"/>
      <c r="W948" s="90" t="b">
        <v>0</v>
      </c>
      <c r="X948" s="90" t="b">
        <v>0</v>
      </c>
      <c r="Y948" s="90" t="b">
        <v>0</v>
      </c>
      <c r="Z948" s="40" t="s">
        <v>2763</v>
      </c>
      <c r="AA948" s="41"/>
      <c r="AK948" s="16"/>
      <c r="AL948" s="16"/>
      <c r="AM948" s="16"/>
      <c r="AN948" s="16"/>
      <c r="AO948" s="16"/>
      <c r="AP948" s="16"/>
      <c r="AQ948" s="16"/>
      <c r="AR948" s="16"/>
      <c r="AS948" s="16"/>
    </row>
    <row r="949" spans="1:45" s="7" customFormat="1" ht="195" customHeight="1">
      <c r="A949" s="27">
        <f>[1]트램표준체크리스트!A1006</f>
        <v>1004</v>
      </c>
      <c r="B949" s="28" t="str">
        <f>[1]트램표준체크리스트!B1006</f>
        <v>전기</v>
      </c>
      <c r="C949" s="29" t="str">
        <f>[1]트램표준체크리스트!C1006</f>
        <v>3. 전차선로 설비</v>
      </c>
      <c r="D949" s="30" t="str">
        <f>[1]트램표준체크리스트!F1006</f>
        <v>협소 개소 전차선 가압부-대지 간 절연 이격거리 미확보로, 우기 시 구조물 섬락(지락) 사고가 발생할 리스크를 검토하였는가?</v>
      </c>
      <c r="E949" s="31" t="s">
        <v>2812</v>
      </c>
      <c r="F949" s="32" t="str">
        <f t="shared" si="30"/>
        <v>극상</v>
      </c>
      <c r="G949" s="63" t="s">
        <v>40</v>
      </c>
      <c r="H949" s="63" t="s">
        <v>41</v>
      </c>
      <c r="I949" s="34" t="s">
        <v>2813</v>
      </c>
      <c r="J949" s="33"/>
      <c r="K949" s="35"/>
      <c r="L949" s="33"/>
      <c r="M949" s="36"/>
      <c r="N949" s="33"/>
      <c r="O949" s="36"/>
      <c r="P949" s="33"/>
      <c r="Q949" s="37"/>
      <c r="R949" s="38"/>
      <c r="S949" s="33"/>
      <c r="T949" s="38"/>
      <c r="U949" s="33"/>
      <c r="V949" s="39"/>
      <c r="W949" s="90" t="b">
        <v>0</v>
      </c>
      <c r="X949" s="90" t="b">
        <v>0</v>
      </c>
      <c r="Y949" s="90" t="b">
        <v>0</v>
      </c>
      <c r="Z949" s="40" t="s">
        <v>2790</v>
      </c>
      <c r="AA949" s="41"/>
      <c r="AK949" s="16"/>
      <c r="AL949" s="16"/>
      <c r="AM949" s="16"/>
      <c r="AN949" s="16"/>
      <c r="AO949" s="16"/>
      <c r="AP949" s="16"/>
      <c r="AQ949" s="16"/>
      <c r="AR949" s="16"/>
      <c r="AS949" s="16"/>
    </row>
    <row r="950" spans="1:45" s="7" customFormat="1" ht="195" customHeight="1">
      <c r="A950" s="27">
        <f>[1]트램표준체크리스트!A1007</f>
        <v>1005</v>
      </c>
      <c r="B950" s="28" t="str">
        <f>[1]트램표준체크리스트!B1007</f>
        <v>전기</v>
      </c>
      <c r="C950" s="29" t="str">
        <f>[1]트램표준체크리스트!C1007</f>
        <v>3. 전차선로 설비</v>
      </c>
      <c r="D950" s="30" t="str">
        <f>[1]트램표준체크리스트!F1007</f>
        <v>기후 조건 미고려로 옥외 유치선·급속충전선 상부 캐노피 설계를 누락해 열차 충전 효율 급감 및 안전성 저하가 발생할 리스크를 검토하였는가?</v>
      </c>
      <c r="E950" s="31" t="s">
        <v>2814</v>
      </c>
      <c r="F950" s="32" t="str">
        <f t="shared" si="30"/>
        <v>극상</v>
      </c>
      <c r="G950" s="63" t="s">
        <v>40</v>
      </c>
      <c r="H950" s="63" t="s">
        <v>41</v>
      </c>
      <c r="I950" s="34" t="s">
        <v>2815</v>
      </c>
      <c r="J950" s="33"/>
      <c r="K950" s="35"/>
      <c r="L950" s="33"/>
      <c r="M950" s="36"/>
      <c r="N950" s="33"/>
      <c r="O950" s="36"/>
      <c r="P950" s="33"/>
      <c r="Q950" s="37"/>
      <c r="R950" s="38"/>
      <c r="S950" s="33"/>
      <c r="T950" s="38"/>
      <c r="U950" s="33"/>
      <c r="V950" s="39"/>
      <c r="W950" s="90" t="b">
        <v>0</v>
      </c>
      <c r="X950" s="90" t="b">
        <v>0</v>
      </c>
      <c r="Y950" s="90" t="b">
        <v>0</v>
      </c>
      <c r="Z950" s="40" t="s">
        <v>2816</v>
      </c>
      <c r="AA950" s="41"/>
      <c r="AK950" s="16"/>
      <c r="AL950" s="16"/>
      <c r="AM950" s="16"/>
      <c r="AN950" s="16"/>
      <c r="AO950" s="16"/>
      <c r="AP950" s="16"/>
      <c r="AQ950" s="16"/>
      <c r="AR950" s="16"/>
      <c r="AS950" s="16"/>
    </row>
    <row r="951" spans="1:45" s="7" customFormat="1" ht="195" customHeight="1">
      <c r="A951" s="27">
        <f>[1]트램표준체크리스트!A1008</f>
        <v>1006</v>
      </c>
      <c r="B951" s="28" t="str">
        <f>[1]트램표준체크리스트!B1008</f>
        <v>전기</v>
      </c>
      <c r="C951" s="29" t="str">
        <f>[1]트램표준체크리스트!C1008</f>
        <v>3. 전차선로 설비</v>
      </c>
      <c r="D951" s="30" t="str">
        <f>[1]트램표준체크리스트!F1008</f>
        <v>도심지 도로 횡단 굴착 시 필수적인 교통통제 및 야간공사 할증 비용 누락으로 시공사에 막대한 초과 예산이 발생할 리스크를 검토하였는가?</v>
      </c>
      <c r="E951" s="31" t="s">
        <v>2817</v>
      </c>
      <c r="F951" s="32" t="str">
        <f t="shared" si="30"/>
        <v>극상</v>
      </c>
      <c r="G951" s="63" t="s">
        <v>40</v>
      </c>
      <c r="H951" s="63" t="s">
        <v>41</v>
      </c>
      <c r="I951" s="34" t="s">
        <v>2818</v>
      </c>
      <c r="J951" s="33"/>
      <c r="K951" s="35"/>
      <c r="L951" s="33"/>
      <c r="M951" s="36"/>
      <c r="N951" s="33"/>
      <c r="O951" s="36"/>
      <c r="P951" s="33"/>
      <c r="Q951" s="37"/>
      <c r="R951" s="38"/>
      <c r="S951" s="33"/>
      <c r="T951" s="38"/>
      <c r="U951" s="33"/>
      <c r="V951" s="39"/>
      <c r="W951" s="90" t="b">
        <v>0</v>
      </c>
      <c r="X951" s="90" t="b">
        <v>0</v>
      </c>
      <c r="Y951" s="90" t="b">
        <v>0</v>
      </c>
      <c r="Z951" s="40" t="s">
        <v>2763</v>
      </c>
      <c r="AA951" s="41"/>
      <c r="AK951" s="16"/>
      <c r="AL951" s="16"/>
      <c r="AM951" s="16"/>
      <c r="AN951" s="16"/>
      <c r="AO951" s="16"/>
      <c r="AP951" s="16"/>
      <c r="AQ951" s="16"/>
      <c r="AR951" s="16"/>
      <c r="AS951" s="16"/>
    </row>
    <row r="952" spans="1:45" s="7" customFormat="1" ht="195" customHeight="1">
      <c r="A952" s="27">
        <f>[1]트램표준체크리스트!A1009</f>
        <v>1007</v>
      </c>
      <c r="B952" s="28" t="str">
        <f>[1]트램표준체크리스트!B1009</f>
        <v>전기</v>
      </c>
      <c r="C952" s="29" t="str">
        <f>[1]트램표준체크리스트!C1009</f>
        <v>3. 전차선로 설비</v>
      </c>
      <c r="D952" s="30" t="str">
        <f>[1]트램표준체크리스트!F1009</f>
        <v>궤도 내 전차선로 매설물 누락에 따른 시공비 급증 리스크를 검토하였는가?</v>
      </c>
      <c r="E952" s="31" t="s">
        <v>2819</v>
      </c>
      <c r="F952" s="32" t="str">
        <f t="shared" si="30"/>
        <v>극상</v>
      </c>
      <c r="G952" s="63" t="s">
        <v>40</v>
      </c>
      <c r="H952" s="63" t="s">
        <v>41</v>
      </c>
      <c r="I952" s="34" t="s">
        <v>2820</v>
      </c>
      <c r="J952" s="33"/>
      <c r="K952" s="35"/>
      <c r="L952" s="33"/>
      <c r="M952" s="36"/>
      <c r="N952" s="33"/>
      <c r="O952" s="36"/>
      <c r="P952" s="33"/>
      <c r="Q952" s="37"/>
      <c r="R952" s="38"/>
      <c r="S952" s="33"/>
      <c r="T952" s="38"/>
      <c r="U952" s="33"/>
      <c r="V952" s="39"/>
      <c r="W952" s="90" t="b">
        <v>0</v>
      </c>
      <c r="X952" s="90" t="b">
        <v>0</v>
      </c>
      <c r="Y952" s="90" t="b">
        <v>0</v>
      </c>
      <c r="Z952" s="40" t="s">
        <v>2745</v>
      </c>
      <c r="AA952" s="41"/>
      <c r="AK952" s="16"/>
      <c r="AL952" s="16"/>
      <c r="AM952" s="16"/>
      <c r="AN952" s="16"/>
      <c r="AO952" s="16"/>
      <c r="AP952" s="16"/>
      <c r="AQ952" s="16"/>
      <c r="AR952" s="16"/>
      <c r="AS952" s="16"/>
    </row>
    <row r="953" spans="1:45" s="7" customFormat="1" ht="195" customHeight="1">
      <c r="A953" s="27">
        <f>[1]트램표준체크리스트!A1010</f>
        <v>1008</v>
      </c>
      <c r="B953" s="28" t="str">
        <f>[1]트램표준체크리스트!B1010</f>
        <v>전기</v>
      </c>
      <c r="C953" s="29" t="str">
        <f>[1]트램표준체크리스트!C1010</f>
        <v>3. 전차선로 설비</v>
      </c>
      <c r="D953" s="30" t="str">
        <f>[1]트램표준체크리스트!F1010</f>
        <v>급곡선 궤적 편위 미고려 지지물 경간 설계로 팬터그래프가 전차선에서 이탈(Dewirement)할 리스크를 검토하였는가?</v>
      </c>
      <c r="E953" s="31" t="s">
        <v>2821</v>
      </c>
      <c r="F953" s="32" t="str">
        <f t="shared" si="30"/>
        <v>극상</v>
      </c>
      <c r="G953" s="63" t="s">
        <v>40</v>
      </c>
      <c r="H953" s="63" t="s">
        <v>41</v>
      </c>
      <c r="I953" s="34" t="s">
        <v>2822</v>
      </c>
      <c r="J953" s="33"/>
      <c r="K953" s="35"/>
      <c r="L953" s="33"/>
      <c r="M953" s="36"/>
      <c r="N953" s="33"/>
      <c r="O953" s="36"/>
      <c r="P953" s="33"/>
      <c r="Q953" s="37"/>
      <c r="R953" s="38"/>
      <c r="S953" s="33"/>
      <c r="T953" s="38"/>
      <c r="U953" s="33"/>
      <c r="V953" s="39"/>
      <c r="W953" s="90" t="b">
        <v>0</v>
      </c>
      <c r="X953" s="90" t="b">
        <v>0</v>
      </c>
      <c r="Y953" s="90" t="b">
        <v>0</v>
      </c>
      <c r="Z953" s="40" t="s">
        <v>2770</v>
      </c>
      <c r="AA953" s="41"/>
      <c r="AK953" s="16"/>
      <c r="AL953" s="16"/>
      <c r="AM953" s="16"/>
      <c r="AN953" s="16"/>
      <c r="AO953" s="16"/>
      <c r="AP953" s="16"/>
      <c r="AQ953" s="16"/>
      <c r="AR953" s="16"/>
      <c r="AS953" s="16"/>
    </row>
    <row r="954" spans="1:45" s="7" customFormat="1" ht="195" customHeight="1">
      <c r="A954" s="27">
        <f>[1]트램표준체크리스트!A1011</f>
        <v>1009</v>
      </c>
      <c r="B954" s="28" t="str">
        <f>[1]트램표준체크리스트!B1011</f>
        <v>전기</v>
      </c>
      <c r="C954" s="29" t="str">
        <f>[1]트램표준체크리스트!C1011</f>
        <v>3. 전차선로 설비</v>
      </c>
      <c r="D954" s="30" t="str">
        <f>[1]트램표준체크리스트!F1011</f>
        <v>한전 수전 거리 과소 산정에 따른 시설부담금 누락으로 시공사가 막대한 적자를 떠안을 리스크를 검토하였는가?</v>
      </c>
      <c r="E954" s="31" t="s">
        <v>2823</v>
      </c>
      <c r="F954" s="32" t="str">
        <f t="shared" si="30"/>
        <v>극상</v>
      </c>
      <c r="G954" s="63" t="s">
        <v>40</v>
      </c>
      <c r="H954" s="63" t="s">
        <v>41</v>
      </c>
      <c r="I954" s="34" t="s">
        <v>2824</v>
      </c>
      <c r="J954" s="33"/>
      <c r="K954" s="35"/>
      <c r="L954" s="33"/>
      <c r="M954" s="36"/>
      <c r="N954" s="33"/>
      <c r="O954" s="36"/>
      <c r="P954" s="33"/>
      <c r="Q954" s="37"/>
      <c r="R954" s="38"/>
      <c r="S954" s="33"/>
      <c r="T954" s="38"/>
      <c r="U954" s="33"/>
      <c r="V954" s="39"/>
      <c r="W954" s="90" t="b">
        <v>0</v>
      </c>
      <c r="X954" s="90" t="b">
        <v>0</v>
      </c>
      <c r="Y954" s="90" t="b">
        <v>0</v>
      </c>
      <c r="Z954" s="40" t="s">
        <v>2763</v>
      </c>
      <c r="AA954" s="41"/>
      <c r="AK954" s="16"/>
      <c r="AL954" s="16"/>
      <c r="AM954" s="16"/>
      <c r="AN954" s="16"/>
      <c r="AO954" s="16"/>
      <c r="AP954" s="16"/>
      <c r="AQ954" s="16"/>
      <c r="AR954" s="16"/>
      <c r="AS954" s="16"/>
    </row>
    <row r="955" spans="1:45" s="7" customFormat="1" ht="195" customHeight="1">
      <c r="A955" s="27">
        <f>[1]트램표준체크리스트!A1012</f>
        <v>1010</v>
      </c>
      <c r="B955" s="28" t="str">
        <f>[1]트램표준체크리스트!B1012</f>
        <v>전기</v>
      </c>
      <c r="C955" s="29" t="str">
        <f>[1]트램표준체크리스트!C1012</f>
        <v>3. 전차선로 설비</v>
      </c>
      <c r="D955" s="30" t="str">
        <f>[1]트램표준체크리스트!F1012</f>
        <v>양방향 동시 급속충전 시 용량 부족에 따른 전압강하 및 직류 단락 시 보호계전기 부조화로 설비가 소손될 리스크를 검토하였는가?</v>
      </c>
      <c r="E955" s="31" t="s">
        <v>2825</v>
      </c>
      <c r="F955" s="32" t="str">
        <f t="shared" si="30"/>
        <v>극상</v>
      </c>
      <c r="G955" s="63" t="s">
        <v>40</v>
      </c>
      <c r="H955" s="63" t="s">
        <v>41</v>
      </c>
      <c r="I955" s="34" t="s">
        <v>2826</v>
      </c>
      <c r="J955" s="33"/>
      <c r="K955" s="35"/>
      <c r="L955" s="33"/>
      <c r="M955" s="36"/>
      <c r="N955" s="33"/>
      <c r="O955" s="36"/>
      <c r="P955" s="33"/>
      <c r="Q955" s="37"/>
      <c r="R955" s="38"/>
      <c r="S955" s="33"/>
      <c r="T955" s="38"/>
      <c r="U955" s="33"/>
      <c r="V955" s="39"/>
      <c r="W955" s="90" t="b">
        <v>0</v>
      </c>
      <c r="X955" s="90" t="b">
        <v>0</v>
      </c>
      <c r="Y955" s="90" t="b">
        <v>0</v>
      </c>
      <c r="Z955" s="40" t="s">
        <v>2763</v>
      </c>
      <c r="AA955" s="41"/>
      <c r="AK955" s="16"/>
      <c r="AL955" s="16"/>
      <c r="AM955" s="16"/>
      <c r="AN955" s="16"/>
      <c r="AO955" s="16"/>
      <c r="AP955" s="16"/>
      <c r="AQ955" s="16"/>
      <c r="AR955" s="16"/>
      <c r="AS955" s="16"/>
    </row>
    <row r="956" spans="1:45" s="7" customFormat="1" ht="195" customHeight="1">
      <c r="A956" s="27">
        <f>[1]트램표준체크리스트!A1013</f>
        <v>1011</v>
      </c>
      <c r="B956" s="28" t="str">
        <f>[1]트램표준체크리스트!B1013</f>
        <v>전기</v>
      </c>
      <c r="C956" s="29" t="str">
        <f>[1]트램표준체크리스트!C1013</f>
        <v>3. 전차선로 설비</v>
      </c>
      <c r="D956" s="30" t="str">
        <f>[1]트램표준체크리스트!F1013</f>
        <v>한전-철도 간 물리적 접속점 불일치 자재 누락 및 보호협조 세팅 오류로 계통 연계 시 단락 사고가 발생할 리스크를 검토하였는가?</v>
      </c>
      <c r="E956" s="31" t="s">
        <v>2827</v>
      </c>
      <c r="F956" s="32" t="str">
        <f t="shared" si="30"/>
        <v>극상</v>
      </c>
      <c r="G956" s="63" t="s">
        <v>40</v>
      </c>
      <c r="H956" s="63" t="s">
        <v>41</v>
      </c>
      <c r="I956" s="34" t="s">
        <v>2828</v>
      </c>
      <c r="J956" s="33"/>
      <c r="K956" s="35"/>
      <c r="L956" s="33"/>
      <c r="M956" s="36"/>
      <c r="N956" s="33"/>
      <c r="O956" s="36"/>
      <c r="P956" s="33"/>
      <c r="Q956" s="37"/>
      <c r="R956" s="38"/>
      <c r="S956" s="33"/>
      <c r="T956" s="38"/>
      <c r="U956" s="33"/>
      <c r="V956" s="39"/>
      <c r="W956" s="90" t="b">
        <v>0</v>
      </c>
      <c r="X956" s="90" t="b">
        <v>0</v>
      </c>
      <c r="Y956" s="90" t="b">
        <v>0</v>
      </c>
      <c r="Z956" s="40" t="s">
        <v>2763</v>
      </c>
      <c r="AA956" s="41"/>
      <c r="AK956" s="16"/>
      <c r="AL956" s="16"/>
      <c r="AM956" s="16"/>
      <c r="AN956" s="16"/>
      <c r="AO956" s="16"/>
      <c r="AP956" s="16"/>
      <c r="AQ956" s="16"/>
      <c r="AR956" s="16"/>
      <c r="AS956" s="16"/>
    </row>
    <row r="957" spans="1:45" s="7" customFormat="1" ht="195" customHeight="1">
      <c r="A957" s="27">
        <f>[1]트램표준체크리스트!A1014</f>
        <v>1012</v>
      </c>
      <c r="B957" s="28" t="str">
        <f>[1]트램표준체크리스트!B1014</f>
        <v>전기</v>
      </c>
      <c r="C957" s="29" t="str">
        <f>[1]트램표준체크리스트!C1014</f>
        <v>3. 전차선로 설비</v>
      </c>
      <c r="D957" s="30" t="str">
        <f>[1]트램표준체크리스트!F1014</f>
        <v>전차선 가압부-보행자 간 이격거리 및 감전예방 방호 대책 누락으로 특고압 감전에 의한 방재 리스크를 검토하였는가?</v>
      </c>
      <c r="E957" s="31" t="s">
        <v>2829</v>
      </c>
      <c r="F957" s="32" t="str">
        <f t="shared" si="30"/>
        <v>극상</v>
      </c>
      <c r="G957" s="63" t="s">
        <v>40</v>
      </c>
      <c r="H957" s="63" t="s">
        <v>41</v>
      </c>
      <c r="I957" s="34" t="s">
        <v>2830</v>
      </c>
      <c r="J957" s="33"/>
      <c r="K957" s="35"/>
      <c r="L957" s="33"/>
      <c r="M957" s="36"/>
      <c r="N957" s="33"/>
      <c r="O957" s="36"/>
      <c r="P957" s="33"/>
      <c r="Q957" s="37"/>
      <c r="R957" s="38"/>
      <c r="S957" s="33"/>
      <c r="T957" s="38"/>
      <c r="U957" s="33"/>
      <c r="V957" s="39"/>
      <c r="W957" s="90" t="b">
        <v>0</v>
      </c>
      <c r="X957" s="90" t="b">
        <v>0</v>
      </c>
      <c r="Y957" s="90" t="b">
        <v>0</v>
      </c>
      <c r="Z957" s="40" t="s">
        <v>2790</v>
      </c>
      <c r="AA957" s="41"/>
      <c r="AK957" s="16"/>
      <c r="AL957" s="16"/>
      <c r="AM957" s="16"/>
      <c r="AN957" s="16"/>
      <c r="AO957" s="16"/>
      <c r="AP957" s="16"/>
      <c r="AQ957" s="16"/>
      <c r="AR957" s="16"/>
      <c r="AS957" s="16"/>
    </row>
    <row r="958" spans="1:45" s="7" customFormat="1" ht="195" customHeight="1">
      <c r="A958" s="27">
        <f>[1]트램표준체크리스트!A1015</f>
        <v>1013</v>
      </c>
      <c r="B958" s="28" t="str">
        <f>[1]트램표준체크리스트!B1015</f>
        <v>전기</v>
      </c>
      <c r="C958" s="29" t="str">
        <f>[1]트램표준체크리스트!C1015</f>
        <v>3. 전차선로 설비</v>
      </c>
      <c r="D958" s="30" t="str">
        <f>[1]트램표준체크리스트!F1015</f>
        <v>교차로 가공 전차선(DC 750V)과 교통 인프라 간 전기적 절연 이격거리 및 물리적 접촉 한계 이격거리 미확보 리스크를 검토하였는가?</v>
      </c>
      <c r="E958" s="31" t="s">
        <v>2831</v>
      </c>
      <c r="F958" s="32" t="str">
        <f t="shared" si="30"/>
        <v>극상</v>
      </c>
      <c r="G958" s="63" t="s">
        <v>40</v>
      </c>
      <c r="H958" s="63" t="s">
        <v>41</v>
      </c>
      <c r="I958" s="34" t="s">
        <v>2832</v>
      </c>
      <c r="J958" s="33"/>
      <c r="K958" s="35"/>
      <c r="L958" s="33"/>
      <c r="M958" s="36"/>
      <c r="N958" s="33"/>
      <c r="O958" s="36"/>
      <c r="P958" s="33"/>
      <c r="Q958" s="37"/>
      <c r="R958" s="38"/>
      <c r="S958" s="33"/>
      <c r="T958" s="38"/>
      <c r="U958" s="33"/>
      <c r="V958" s="39"/>
      <c r="W958" s="90" t="b">
        <v>0</v>
      </c>
      <c r="X958" s="90" t="b">
        <v>0</v>
      </c>
      <c r="Y958" s="90" t="b">
        <v>0</v>
      </c>
      <c r="Z958" s="40" t="s">
        <v>2833</v>
      </c>
      <c r="AA958" s="41"/>
      <c r="AK958" s="16"/>
      <c r="AL958" s="16"/>
      <c r="AM958" s="16"/>
      <c r="AN958" s="16"/>
      <c r="AO958" s="16"/>
      <c r="AP958" s="16"/>
      <c r="AQ958" s="16"/>
      <c r="AR958" s="16"/>
      <c r="AS958" s="16"/>
    </row>
    <row r="959" spans="1:45" s="7" customFormat="1" ht="195" customHeight="1">
      <c r="A959" s="27">
        <f>[1]트램표준체크리스트!A1016</f>
        <v>1014</v>
      </c>
      <c r="B959" s="28" t="str">
        <f>[1]트램표준체크리스트!B1016</f>
        <v>전기</v>
      </c>
      <c r="C959" s="29" t="str">
        <f>[1]트램표준체크리스트!C1016</f>
        <v>3. 전차선로 설비</v>
      </c>
      <c r="D959" s="30" t="str">
        <f>[1]트램표준체크리스트!F1016</f>
        <v>지하매설물 간섭에 따른 인입 관로 경로 변경 및 관로구 방수 누락으로 우기철 변전소·전기실이 침수될 리스크를 검토하였는가?</v>
      </c>
      <c r="E959" s="31" t="s">
        <v>2834</v>
      </c>
      <c r="F959" s="32" t="str">
        <f t="shared" si="30"/>
        <v>극상</v>
      </c>
      <c r="G959" s="63" t="s">
        <v>40</v>
      </c>
      <c r="H959" s="63" t="s">
        <v>41</v>
      </c>
      <c r="I959" s="34" t="s">
        <v>2835</v>
      </c>
      <c r="J959" s="33"/>
      <c r="K959" s="35"/>
      <c r="L959" s="33"/>
      <c r="M959" s="36"/>
      <c r="N959" s="33"/>
      <c r="O959" s="36"/>
      <c r="P959" s="33"/>
      <c r="Q959" s="37"/>
      <c r="R959" s="38"/>
      <c r="S959" s="33"/>
      <c r="T959" s="38"/>
      <c r="U959" s="33"/>
      <c r="V959" s="39"/>
      <c r="W959" s="90" t="b">
        <v>0</v>
      </c>
      <c r="X959" s="90" t="b">
        <v>0</v>
      </c>
      <c r="Y959" s="90" t="b">
        <v>0</v>
      </c>
      <c r="Z959" s="40" t="s">
        <v>2763</v>
      </c>
      <c r="AA959" s="41"/>
      <c r="AK959" s="16"/>
      <c r="AL959" s="16"/>
      <c r="AM959" s="16"/>
      <c r="AN959" s="16"/>
      <c r="AO959" s="16"/>
      <c r="AP959" s="16"/>
      <c r="AQ959" s="16"/>
      <c r="AR959" s="16"/>
      <c r="AS959" s="16"/>
    </row>
    <row r="960" spans="1:45" s="7" customFormat="1" ht="195" customHeight="1">
      <c r="A960" s="27">
        <f>[1]트램표준체크리스트!A1017</f>
        <v>1015</v>
      </c>
      <c r="B960" s="28" t="str">
        <f>[1]트램표준체크리스트!B1017</f>
        <v>전기</v>
      </c>
      <c r="C960" s="29" t="str">
        <f>[1]트램표준체크리스트!C1017</f>
        <v>3. 전차선로 설비</v>
      </c>
      <c r="D960" s="30" t="str">
        <f>[1]트램표준체크리스트!F1017</f>
        <v>케이블 연장에 따른 전압강하 및 밀폐형 덕트 누락에 의한 케이블 외부 충격 손상 리스크를 검토하였는가?</v>
      </c>
      <c r="E960" s="31" t="s">
        <v>2836</v>
      </c>
      <c r="F960" s="32" t="str">
        <f t="shared" si="30"/>
        <v>극상</v>
      </c>
      <c r="G960" s="63" t="s">
        <v>40</v>
      </c>
      <c r="H960" s="63" t="s">
        <v>41</v>
      </c>
      <c r="I960" s="34" t="s">
        <v>2837</v>
      </c>
      <c r="J960" s="33"/>
      <c r="K960" s="35"/>
      <c r="L960" s="33"/>
      <c r="M960" s="36"/>
      <c r="N960" s="33"/>
      <c r="O960" s="36"/>
      <c r="P960" s="33"/>
      <c r="Q960" s="37"/>
      <c r="R960" s="38"/>
      <c r="S960" s="33"/>
      <c r="T960" s="38"/>
      <c r="U960" s="33"/>
      <c r="V960" s="39"/>
      <c r="W960" s="90" t="b">
        <v>0</v>
      </c>
      <c r="X960" s="90" t="b">
        <v>0</v>
      </c>
      <c r="Y960" s="90" t="b">
        <v>0</v>
      </c>
      <c r="Z960" s="40" t="s">
        <v>2770</v>
      </c>
      <c r="AA960" s="41"/>
      <c r="AK960" s="16"/>
      <c r="AL960" s="16"/>
      <c r="AM960" s="16"/>
      <c r="AN960" s="16"/>
      <c r="AO960" s="16"/>
      <c r="AP960" s="16"/>
      <c r="AQ960" s="16"/>
      <c r="AR960" s="16"/>
      <c r="AS960" s="16"/>
    </row>
    <row r="961" spans="1:45" s="7" customFormat="1" ht="195" customHeight="1">
      <c r="A961" s="27">
        <f>[1]트램표준체크리스트!A1018</f>
        <v>1016</v>
      </c>
      <c r="B961" s="28" t="str">
        <f>[1]트램표준체크리스트!B1018</f>
        <v>전기</v>
      </c>
      <c r="C961" s="29" t="str">
        <f>[1]트램표준체크리스트!C1018</f>
        <v>3. 전차선로 설비</v>
      </c>
      <c r="D961" s="30" t="str">
        <f>[1]트램표준체크리스트!F1018</f>
        <v>지상-지하 접속부 등 불가피 구간의 이행(Transition) 튜닝 설계 누락으로 트램 판토그래프가 파손될 리스크를 검토하였는가?</v>
      </c>
      <c r="E961" s="31" t="s">
        <v>2838</v>
      </c>
      <c r="F961" s="32" t="str">
        <f t="shared" si="30"/>
        <v>극상</v>
      </c>
      <c r="G961" s="63" t="s">
        <v>40</v>
      </c>
      <c r="H961" s="63" t="s">
        <v>41</v>
      </c>
      <c r="I961" s="34" t="s">
        <v>2839</v>
      </c>
      <c r="J961" s="33"/>
      <c r="K961" s="35"/>
      <c r="L961" s="33"/>
      <c r="M961" s="36"/>
      <c r="N961" s="33"/>
      <c r="O961" s="36"/>
      <c r="P961" s="33"/>
      <c r="Q961" s="37"/>
      <c r="R961" s="38"/>
      <c r="S961" s="33"/>
      <c r="T961" s="38"/>
      <c r="U961" s="33"/>
      <c r="V961" s="39"/>
      <c r="W961" s="90" t="b">
        <v>0</v>
      </c>
      <c r="X961" s="90" t="b">
        <v>0</v>
      </c>
      <c r="Y961" s="90" t="b">
        <v>0</v>
      </c>
      <c r="Z961" s="40" t="s">
        <v>2751</v>
      </c>
      <c r="AA961" s="41"/>
      <c r="AK961" s="16"/>
      <c r="AL961" s="16"/>
      <c r="AM961" s="16"/>
      <c r="AN961" s="16"/>
      <c r="AO961" s="16"/>
      <c r="AP961" s="16"/>
      <c r="AQ961" s="16"/>
      <c r="AR961" s="16"/>
      <c r="AS961" s="16"/>
    </row>
    <row r="962" spans="1:45" s="7" customFormat="1" ht="195" customHeight="1">
      <c r="A962" s="27">
        <f>[1]트램표준체크리스트!A1019</f>
        <v>1017</v>
      </c>
      <c r="B962" s="28" t="str">
        <f>[1]트램표준체크리스트!B1019</f>
        <v>전기</v>
      </c>
      <c r="C962" s="29" t="str">
        <f>[1]트램표준체크리스트!C1019</f>
        <v>4. 일반전기 설비</v>
      </c>
      <c r="D962" s="30" t="str">
        <f>[1]트램표준체크리스트!F1019</f>
        <v>소방 동력(MCC) 2중 전원 및 화재 수신반 연동 누락으로 화재 시 제연·소화 기능이 전면 마비될 리스크를 검토하였는가?</v>
      </c>
      <c r="E962" s="31" t="s">
        <v>2840</v>
      </c>
      <c r="F962" s="32" t="str">
        <f t="shared" si="30"/>
        <v>극상</v>
      </c>
      <c r="G962" s="63" t="s">
        <v>40</v>
      </c>
      <c r="H962" s="63" t="s">
        <v>41</v>
      </c>
      <c r="I962" s="34" t="s">
        <v>2841</v>
      </c>
      <c r="J962" s="33"/>
      <c r="K962" s="35"/>
      <c r="L962" s="33"/>
      <c r="M962" s="36"/>
      <c r="N962" s="33"/>
      <c r="O962" s="36"/>
      <c r="P962" s="33"/>
      <c r="Q962" s="37"/>
      <c r="R962" s="38"/>
      <c r="S962" s="33"/>
      <c r="T962" s="38"/>
      <c r="U962" s="33"/>
      <c r="V962" s="39"/>
      <c r="W962" s="90" t="b">
        <v>0</v>
      </c>
      <c r="X962" s="90" t="b">
        <v>0</v>
      </c>
      <c r="Y962" s="90" t="b">
        <v>0</v>
      </c>
      <c r="Z962" s="40" t="s">
        <v>2758</v>
      </c>
      <c r="AA962" s="41"/>
      <c r="AK962" s="16"/>
      <c r="AL962" s="16"/>
      <c r="AM962" s="16"/>
      <c r="AN962" s="16"/>
      <c r="AO962" s="16"/>
      <c r="AP962" s="16"/>
      <c r="AQ962" s="16"/>
      <c r="AR962" s="16"/>
      <c r="AS962" s="16"/>
    </row>
    <row r="963" spans="1:45" s="7" customFormat="1" ht="195" customHeight="1">
      <c r="A963" s="27">
        <f>[1]트램표준체크리스트!A1020</f>
        <v>1018</v>
      </c>
      <c r="B963" s="28" t="str">
        <f>[1]트램표준체크리스트!B1020</f>
        <v>전기</v>
      </c>
      <c r="C963" s="29" t="str">
        <f>[1]트램표준체크리스트!C1020</f>
        <v>4. 일반전기 설비</v>
      </c>
      <c r="D963" s="30" t="str">
        <f>[1]트램표준체크리스트!F1020</f>
        <v>비상조명·유도등 설계 오류 및 비상 백업 전원(UPS/축전지) 용량 누락으로 정전 시 피난 동선이 암흑화될 리스크를 검토하였는가?</v>
      </c>
      <c r="E963" s="31" t="s">
        <v>2842</v>
      </c>
      <c r="F963" s="32" t="str">
        <f t="shared" si="30"/>
        <v>극상</v>
      </c>
      <c r="G963" s="63" t="s">
        <v>40</v>
      </c>
      <c r="H963" s="63" t="s">
        <v>41</v>
      </c>
      <c r="I963" s="34" t="s">
        <v>2843</v>
      </c>
      <c r="J963" s="33"/>
      <c r="K963" s="35"/>
      <c r="L963" s="33"/>
      <c r="M963" s="36"/>
      <c r="N963" s="33"/>
      <c r="O963" s="36"/>
      <c r="P963" s="33"/>
      <c r="Q963" s="37"/>
      <c r="R963" s="38"/>
      <c r="S963" s="33"/>
      <c r="T963" s="38"/>
      <c r="U963" s="33"/>
      <c r="V963" s="39"/>
      <c r="W963" s="90" t="b">
        <v>0</v>
      </c>
      <c r="X963" s="90" t="b">
        <v>0</v>
      </c>
      <c r="Y963" s="90" t="b">
        <v>0</v>
      </c>
      <c r="Z963" s="40" t="s">
        <v>2748</v>
      </c>
      <c r="AA963" s="41"/>
      <c r="AK963" s="16"/>
      <c r="AL963" s="16"/>
      <c r="AM963" s="16"/>
      <c r="AN963" s="16"/>
      <c r="AO963" s="16"/>
      <c r="AP963" s="16"/>
      <c r="AQ963" s="16"/>
      <c r="AR963" s="16"/>
      <c r="AS963" s="16"/>
    </row>
    <row r="964" spans="1:45" s="7" customFormat="1" ht="195" customHeight="1">
      <c r="A964" s="27">
        <f>[1]트램표준체크리스트!A1021</f>
        <v>1019</v>
      </c>
      <c r="B964" s="28" t="str">
        <f>[1]트램표준체크리스트!B1021</f>
        <v>전기</v>
      </c>
      <c r="C964" s="29" t="str">
        <f>[1]트램표준체크리스트!C1021</f>
        <v>4. 일반전기 설비</v>
      </c>
      <c r="D964" s="30" t="str">
        <f>[1]트램표준체크리스트!F1021</f>
        <v>환기·배연 동력 2중화 누락 및 일반 케이블 사용으로 화재 시 배연팬 전원 소실 및 모드 전환에 실패할 리스크를 검토하였는가?</v>
      </c>
      <c r="E964" s="31" t="s">
        <v>2844</v>
      </c>
      <c r="F964" s="32" t="str">
        <f t="shared" si="30"/>
        <v>극상</v>
      </c>
      <c r="G964" s="63" t="s">
        <v>40</v>
      </c>
      <c r="H964" s="63" t="s">
        <v>41</v>
      </c>
      <c r="I964" s="34" t="s">
        <v>2845</v>
      </c>
      <c r="J964" s="33"/>
      <c r="K964" s="35"/>
      <c r="L964" s="33"/>
      <c r="M964" s="36"/>
      <c r="N964" s="33"/>
      <c r="O964" s="36"/>
      <c r="P964" s="33"/>
      <c r="Q964" s="37"/>
      <c r="R964" s="38"/>
      <c r="S964" s="33"/>
      <c r="T964" s="38"/>
      <c r="U964" s="33"/>
      <c r="V964" s="39"/>
      <c r="W964" s="90" t="b">
        <v>0</v>
      </c>
      <c r="X964" s="90" t="b">
        <v>0</v>
      </c>
      <c r="Y964" s="90" t="b">
        <v>0</v>
      </c>
      <c r="Z964" s="40" t="s">
        <v>2763</v>
      </c>
      <c r="AA964" s="41"/>
      <c r="AK964" s="16"/>
      <c r="AL964" s="16"/>
      <c r="AM964" s="16"/>
      <c r="AN964" s="16"/>
      <c r="AO964" s="16"/>
      <c r="AP964" s="16"/>
      <c r="AQ964" s="16"/>
      <c r="AR964" s="16"/>
      <c r="AS964" s="16"/>
    </row>
    <row r="965" spans="1:45" s="7" customFormat="1" ht="195" customHeight="1">
      <c r="A965" s="27">
        <f>[1]트램표준체크리스트!A1022</f>
        <v>1020</v>
      </c>
      <c r="B965" s="28" t="str">
        <f>[1]트램표준체크리스트!B1022</f>
        <v>전기</v>
      </c>
      <c r="C965" s="29" t="str">
        <f>[1]트램표준체크리스트!C1022</f>
        <v>4. 일반전기 설비</v>
      </c>
      <c r="D965" s="30" t="str">
        <f>[1]트램표준체크리스트!F1022</f>
        <v>분기기 히팅설비 전원 회로 누락·용량 부족으로 강설·결빙 시 선로전환기가 불일치 작동할 리스크를 검토하였는가?</v>
      </c>
      <c r="E965" s="31" t="s">
        <v>2846</v>
      </c>
      <c r="F965" s="32" t="str">
        <f t="shared" si="30"/>
        <v>극상</v>
      </c>
      <c r="G965" s="63" t="s">
        <v>40</v>
      </c>
      <c r="H965" s="63" t="s">
        <v>41</v>
      </c>
      <c r="I965" s="34" t="s">
        <v>2847</v>
      </c>
      <c r="J965" s="33"/>
      <c r="K965" s="35"/>
      <c r="L965" s="33"/>
      <c r="M965" s="36"/>
      <c r="N965" s="33"/>
      <c r="O965" s="36"/>
      <c r="P965" s="33"/>
      <c r="Q965" s="37"/>
      <c r="R965" s="38"/>
      <c r="S965" s="33"/>
      <c r="T965" s="38"/>
      <c r="U965" s="33"/>
      <c r="V965" s="39"/>
      <c r="W965" s="90" t="b">
        <v>0</v>
      </c>
      <c r="X965" s="90" t="b">
        <v>0</v>
      </c>
      <c r="Y965" s="90" t="b">
        <v>0</v>
      </c>
      <c r="Z965" s="40" t="s">
        <v>2816</v>
      </c>
      <c r="AA965" s="41"/>
      <c r="AK965" s="16"/>
      <c r="AL965" s="16"/>
      <c r="AM965" s="16"/>
      <c r="AN965" s="16"/>
      <c r="AO965" s="16"/>
      <c r="AP965" s="16"/>
      <c r="AQ965" s="16"/>
      <c r="AR965" s="16"/>
      <c r="AS965" s="16"/>
    </row>
    <row r="966" spans="1:45" s="7" customFormat="1" ht="195" customHeight="1">
      <c r="A966" s="27">
        <f>[1]트램표준체크리스트!A1023</f>
        <v>1021</v>
      </c>
      <c r="B966" s="28" t="str">
        <f>[1]트램표준체크리스트!B1023</f>
        <v>전기</v>
      </c>
      <c r="C966" s="29" t="str">
        <f>[1]트램표준체크리스트!C1023</f>
        <v>4. 일반전기 설비</v>
      </c>
      <c r="D966" s="30" t="str">
        <f>[1]트램표준체크리스트!F1023</f>
        <v>승강기(엘리베이터 등) 비상 전원 및 화재 감지 연동 누락으로 정전·화재 시 승객이 고립될 리스크를 검토하였는가?</v>
      </c>
      <c r="E966" s="31" t="s">
        <v>2848</v>
      </c>
      <c r="F966" s="32" t="str">
        <f t="shared" si="30"/>
        <v>극상</v>
      </c>
      <c r="G966" s="63" t="s">
        <v>40</v>
      </c>
      <c r="H966" s="63" t="s">
        <v>41</v>
      </c>
      <c r="I966" s="34" t="s">
        <v>2714</v>
      </c>
      <c r="J966" s="33"/>
      <c r="K966" s="35"/>
      <c r="L966" s="33"/>
      <c r="M966" s="36"/>
      <c r="N966" s="33"/>
      <c r="O966" s="36"/>
      <c r="P966" s="33"/>
      <c r="Q966" s="37"/>
      <c r="R966" s="38"/>
      <c r="S966" s="33"/>
      <c r="T966" s="38"/>
      <c r="U966" s="33"/>
      <c r="V966" s="39"/>
      <c r="W966" s="90" t="b">
        <v>0</v>
      </c>
      <c r="X966" s="90" t="b">
        <v>0</v>
      </c>
      <c r="Y966" s="90" t="b">
        <v>0</v>
      </c>
      <c r="Z966" s="40" t="s">
        <v>2763</v>
      </c>
      <c r="AA966" s="41"/>
      <c r="AK966" s="16"/>
      <c r="AL966" s="16"/>
      <c r="AM966" s="16"/>
      <c r="AN966" s="16"/>
      <c r="AO966" s="16"/>
      <c r="AP966" s="16"/>
      <c r="AQ966" s="16"/>
      <c r="AR966" s="16"/>
      <c r="AS966" s="16"/>
    </row>
    <row r="967" spans="1:45" s="7" customFormat="1" ht="195" customHeight="1">
      <c r="A967" s="27">
        <f>[1]트램표준체크리스트!A1024</f>
        <v>1022</v>
      </c>
      <c r="B967" s="28" t="str">
        <f>[1]트램표준체크리스트!B1024</f>
        <v>전기</v>
      </c>
      <c r="C967" s="29" t="str">
        <f>[1]트램표준체크리스트!C1024</f>
        <v>4. 일반전기 설비</v>
      </c>
      <c r="D967" s="30" t="str">
        <f>[1]트램표준체크리스트!F1024</f>
        <v>전동기 기동 전류(Starting Current) 및 기동 방식 미고려로, 정전 시 비상발전기가 과전류로 정지(Stall)하거나 기동 실패할 리스크를 검토하였는가?</v>
      </c>
      <c r="E967" s="31" t="s">
        <v>2849</v>
      </c>
      <c r="F967" s="32" t="str">
        <f t="shared" si="30"/>
        <v>극상</v>
      </c>
      <c r="G967" s="63" t="s">
        <v>40</v>
      </c>
      <c r="H967" s="63" t="s">
        <v>41</v>
      </c>
      <c r="I967" s="34" t="s">
        <v>2850</v>
      </c>
      <c r="J967" s="33"/>
      <c r="K967" s="35"/>
      <c r="L967" s="33"/>
      <c r="M967" s="36"/>
      <c r="N967" s="33"/>
      <c r="O967" s="36"/>
      <c r="P967" s="33"/>
      <c r="Q967" s="37"/>
      <c r="R967" s="38"/>
      <c r="S967" s="33"/>
      <c r="T967" s="38"/>
      <c r="U967" s="33"/>
      <c r="V967" s="39"/>
      <c r="W967" s="90" t="b">
        <v>0</v>
      </c>
      <c r="X967" s="90" t="b">
        <v>0</v>
      </c>
      <c r="Y967" s="90" t="b">
        <v>0</v>
      </c>
      <c r="Z967" s="40" t="s">
        <v>2763</v>
      </c>
      <c r="AA967" s="41"/>
      <c r="AK967" s="16"/>
      <c r="AL967" s="16"/>
      <c r="AM967" s="16"/>
      <c r="AN967" s="16"/>
      <c r="AO967" s="16"/>
      <c r="AP967" s="16"/>
      <c r="AQ967" s="16"/>
      <c r="AR967" s="16"/>
      <c r="AS967" s="16"/>
    </row>
    <row r="968" spans="1:45" s="7" customFormat="1" ht="195" customHeight="1">
      <c r="A968" s="27">
        <f>[1]트램표준체크리스트!A1025</f>
        <v>1023</v>
      </c>
      <c r="B968" s="28" t="str">
        <f>[1]트램표준체크리스트!B1025</f>
        <v>전기</v>
      </c>
      <c r="C968" s="29" t="str">
        <f>[1]트램표준체크리스트!C1025</f>
        <v>4. 일반전기 설비</v>
      </c>
      <c r="D968" s="30" t="str">
        <f>[1]트램표준체크리스트!F1025</f>
        <v>배수 펌프 전압 강하 및 기동 전류 과소 산정으로 배전반 차단기 오작동 및 펌프 기동 불량에 의한 지하 구간 침수 리스크를 검토하였는가?</v>
      </c>
      <c r="E968" s="31" t="s">
        <v>2851</v>
      </c>
      <c r="F968" s="32" t="str">
        <f t="shared" si="30"/>
        <v>극상</v>
      </c>
      <c r="G968" s="63" t="s">
        <v>40</v>
      </c>
      <c r="H968" s="63" t="s">
        <v>41</v>
      </c>
      <c r="I968" s="34" t="s">
        <v>2852</v>
      </c>
      <c r="J968" s="33"/>
      <c r="K968" s="35"/>
      <c r="L968" s="33"/>
      <c r="M968" s="36"/>
      <c r="N968" s="33"/>
      <c r="O968" s="36"/>
      <c r="P968" s="33"/>
      <c r="Q968" s="37"/>
      <c r="R968" s="38"/>
      <c r="S968" s="33"/>
      <c r="T968" s="38"/>
      <c r="U968" s="33"/>
      <c r="V968" s="39"/>
      <c r="W968" s="90" t="b">
        <v>0</v>
      </c>
      <c r="X968" s="90" t="b">
        <v>0</v>
      </c>
      <c r="Y968" s="90" t="b">
        <v>0</v>
      </c>
      <c r="Z968" s="40" t="s">
        <v>2758</v>
      </c>
      <c r="AA968" s="41"/>
      <c r="AK968" s="16"/>
      <c r="AL968" s="16"/>
      <c r="AM968" s="16"/>
      <c r="AN968" s="16"/>
      <c r="AO968" s="16"/>
      <c r="AP968" s="16"/>
      <c r="AQ968" s="16"/>
      <c r="AR968" s="16"/>
      <c r="AS968" s="16"/>
    </row>
    <row r="969" spans="1:45" s="7" customFormat="1" ht="195" customHeight="1">
      <c r="A969" s="27">
        <f>[1]트램표준체크리스트!A1026</f>
        <v>1024</v>
      </c>
      <c r="B969" s="28" t="str">
        <f>[1]트램표준체크리스트!B1026</f>
        <v>전기</v>
      </c>
      <c r="C969" s="29" t="str">
        <f>[1]트램표준체크리스트!C1026</f>
        <v>4. 일반전기 설비</v>
      </c>
      <c r="D969" s="30" t="str">
        <f>[1]트램표준체크리스트!F1026</f>
        <v>검수 장비용 특수 동력제어반(MCC) 및 전력 분전반 용량 설계 누락 및 과소 산정에 따른 장비 가동 불가 리스크를 검토하였는가?</v>
      </c>
      <c r="E969" s="31" t="s">
        <v>2853</v>
      </c>
      <c r="F969" s="32" t="str">
        <f t="shared" si="30"/>
        <v>극상</v>
      </c>
      <c r="G969" s="63" t="s">
        <v>40</v>
      </c>
      <c r="H969" s="63" t="s">
        <v>41</v>
      </c>
      <c r="I969" s="34" t="s">
        <v>2854</v>
      </c>
      <c r="J969" s="33"/>
      <c r="K969" s="35"/>
      <c r="L969" s="33"/>
      <c r="M969" s="36"/>
      <c r="N969" s="33"/>
      <c r="O969" s="36"/>
      <c r="P969" s="33"/>
      <c r="Q969" s="37"/>
      <c r="R969" s="38"/>
      <c r="S969" s="33"/>
      <c r="T969" s="38"/>
      <c r="U969" s="33"/>
      <c r="V969" s="39"/>
      <c r="W969" s="90" t="b">
        <v>0</v>
      </c>
      <c r="X969" s="90" t="b">
        <v>0</v>
      </c>
      <c r="Y969" s="90" t="b">
        <v>0</v>
      </c>
      <c r="Z969" s="40" t="s">
        <v>2758</v>
      </c>
      <c r="AA969" s="41"/>
      <c r="AK969" s="16"/>
      <c r="AL969" s="16"/>
      <c r="AM969" s="16"/>
      <c r="AN969" s="16"/>
      <c r="AO969" s="16"/>
      <c r="AP969" s="16"/>
      <c r="AQ969" s="16"/>
      <c r="AR969" s="16"/>
      <c r="AS969" s="16"/>
    </row>
    <row r="970" spans="1:45" s="7" customFormat="1" ht="195" customHeight="1">
      <c r="A970" s="27">
        <f>[1]트램표준체크리스트!A1027</f>
        <v>1025</v>
      </c>
      <c r="B970" s="28" t="str">
        <f>[1]트램표준체크리스트!B1027</f>
        <v>전기</v>
      </c>
      <c r="C970" s="29" t="str">
        <f>[1]트램표준체크리스트!C1027</f>
        <v>4. 일반전기 설비</v>
      </c>
      <c r="D970" s="30" t="str">
        <f>[1]트램표준체크리스트!F1027</f>
        <v>정거장 스마트 쉘터 편의시설(온열의자, 음성안내기 등)의 개별 분기 회로 설계 누락 및 분전반 용량 부족 리스크를 검토하였는가?</v>
      </c>
      <c r="E970" s="31" t="s">
        <v>2855</v>
      </c>
      <c r="F970" s="32" t="str">
        <f t="shared" si="30"/>
        <v>극상</v>
      </c>
      <c r="G970" s="63" t="s">
        <v>40</v>
      </c>
      <c r="H970" s="63" t="s">
        <v>41</v>
      </c>
      <c r="I970" s="34" t="s">
        <v>2856</v>
      </c>
      <c r="J970" s="33"/>
      <c r="K970" s="35"/>
      <c r="L970" s="33"/>
      <c r="M970" s="36"/>
      <c r="N970" s="33"/>
      <c r="O970" s="36"/>
      <c r="P970" s="33"/>
      <c r="Q970" s="37"/>
      <c r="R970" s="38"/>
      <c r="S970" s="33"/>
      <c r="T970" s="38"/>
      <c r="U970" s="33"/>
      <c r="V970" s="39"/>
      <c r="W970" s="90" t="b">
        <v>0</v>
      </c>
      <c r="X970" s="90" t="b">
        <v>0</v>
      </c>
      <c r="Y970" s="90" t="b">
        <v>0</v>
      </c>
      <c r="Z970" s="40" t="s">
        <v>2763</v>
      </c>
      <c r="AA970" s="41"/>
      <c r="AK970" s="16"/>
      <c r="AL970" s="16"/>
      <c r="AM970" s="16"/>
      <c r="AN970" s="16"/>
      <c r="AO970" s="16"/>
      <c r="AP970" s="16"/>
      <c r="AQ970" s="16"/>
      <c r="AR970" s="16"/>
      <c r="AS970" s="16"/>
    </row>
    <row r="971" spans="1:45" s="7" customFormat="1" ht="195" customHeight="1">
      <c r="A971" s="27">
        <f>[1]트램표준체크리스트!A1028</f>
        <v>1026</v>
      </c>
      <c r="B971" s="28" t="str">
        <f>[1]트램표준체크리스트!B1028</f>
        <v>전기</v>
      </c>
      <c r="C971" s="29" t="str">
        <f>[1]트램표준체크리스트!C1028</f>
        <v>4. 일반전기 설비</v>
      </c>
      <c r="D971" s="30" t="str">
        <f>[1]트램표준체크리스트!F1028</f>
        <v>극한 대기온도(-25℃~40℃) 미고려 일반 실내 설비 반영으로 동파 및 제어반 과열 소손이 발생할 리스크를 검토하였는가?</v>
      </c>
      <c r="E971" s="31" t="s">
        <v>2857</v>
      </c>
      <c r="F971" s="32" t="str">
        <f>_xlfn.LET(
    _xlpm.v_발생, IF(ISNUMBER(SEARCH("빈번", G971)), "상",
               IF(ISNUMBER(SEARCH("거의", G971)), "하", "중")),
    _xlpm.v_영향, IF(ISNUMBER(SEARCH("1개월", H971)), "상",
               IF(ISNUMBER(SEARCH("없음", H971)), "하", "중")),
    IF(AND(_xlpm.v_발생="상", _xlpm.v_영향="상"), "극상",
    IF(OR(_xlpm.v_발생="상", _xlpm.v_영향="상"), "상",
    IF(AND(_xlpm.v_발생="하", _xlpm.v_영향="하"), "하",
    "중")))
)</f>
        <v>극상</v>
      </c>
      <c r="G971" s="63" t="s">
        <v>40</v>
      </c>
      <c r="H971" s="63" t="s">
        <v>41</v>
      </c>
      <c r="I971" s="34" t="s">
        <v>2858</v>
      </c>
      <c r="J971" s="33"/>
      <c r="K971" s="35"/>
      <c r="L971" s="33"/>
      <c r="M971" s="36"/>
      <c r="N971" s="33"/>
      <c r="O971" s="36"/>
      <c r="P971" s="33"/>
      <c r="Q971" s="37"/>
      <c r="R971" s="38"/>
      <c r="S971" s="33"/>
      <c r="T971" s="38"/>
      <c r="U971" s="33"/>
      <c r="V971" s="39"/>
      <c r="W971" s="90" t="b">
        <v>0</v>
      </c>
      <c r="X971" s="90" t="b">
        <v>0</v>
      </c>
      <c r="Y971" s="90" t="b">
        <v>0</v>
      </c>
      <c r="Z971" s="40" t="s">
        <v>2751</v>
      </c>
      <c r="AA971" s="41"/>
      <c r="AK971" s="16"/>
      <c r="AL971" s="16"/>
      <c r="AM971" s="16"/>
      <c r="AN971" s="16"/>
      <c r="AO971" s="16"/>
      <c r="AP971" s="16"/>
      <c r="AQ971" s="16"/>
      <c r="AR971" s="16"/>
      <c r="AS971" s="16"/>
    </row>
    <row r="972" spans="1:45" s="7" customFormat="1" ht="195" customHeight="1">
      <c r="A972" s="27">
        <f>[1]트램표준체크리스트!A1029</f>
        <v>1027</v>
      </c>
      <c r="B972" s="28" t="str">
        <f>[1]트램표준체크리스트!B1029</f>
        <v>전기</v>
      </c>
      <c r="C972" s="29" t="str">
        <f>[1]트램표준체크리스트!C1029</f>
        <v>4. 일반전기 설비</v>
      </c>
      <c r="D972" s="30" t="str">
        <f>[1]트램표준체크리스트!F1029</f>
        <v>케이블 피트(Cable Pit) 내 화재 확산방지판 및 관통부 내화채움구조 설계 누락으로 국부적 단락 화재가 변전소 전체 케이블 소손으로 확대될 리스크를 검토하였는가?</v>
      </c>
      <c r="E972" s="31" t="s">
        <v>2859</v>
      </c>
      <c r="F972" s="32" t="str">
        <f t="shared" ref="F972:F1003" si="31">_xlfn.LET(
_xlpm.v_발생, IF(ISNUMBER(SEARCH("빈번", G972)), "상",
IF(ISNUMBER(SEARCH("거의", G972)), "하", "중")),
_xlpm.v_영향, IF(ISNUMBER(SEARCH("1개월", H972)), "상",
IF(ISNUMBER(SEARCH("없음", H972)), "하", "중")),
IF(AND(_xlpm.v_발생="상", _xlpm.v_영향="상"), "극상",
IF(OR(_xlpm.v_발생="상", _xlpm.v_영향="상"), "상",
IF(AND(_xlpm.v_발생="하", _xlpm.v_영향="하"), "하",
"중")))
)</f>
        <v>극상</v>
      </c>
      <c r="G972" s="63" t="s">
        <v>40</v>
      </c>
      <c r="H972" s="63" t="s">
        <v>41</v>
      </c>
      <c r="I972" s="34" t="s">
        <v>2860</v>
      </c>
      <c r="J972" s="33"/>
      <c r="K972" s="35"/>
      <c r="L972" s="33"/>
      <c r="M972" s="36"/>
      <c r="N972" s="33"/>
      <c r="O972" s="36"/>
      <c r="P972" s="33"/>
      <c r="Q972" s="37"/>
      <c r="R972" s="38"/>
      <c r="S972" s="33"/>
      <c r="T972" s="38"/>
      <c r="U972" s="33"/>
      <c r="V972" s="39"/>
      <c r="W972" s="90" t="b">
        <v>0</v>
      </c>
      <c r="X972" s="90" t="b">
        <v>0</v>
      </c>
      <c r="Y972" s="90" t="b">
        <v>0</v>
      </c>
      <c r="Z972" s="40" t="s">
        <v>2748</v>
      </c>
      <c r="AA972" s="41"/>
      <c r="AK972" s="16"/>
      <c r="AL972" s="16"/>
      <c r="AM972" s="16"/>
      <c r="AN972" s="16"/>
      <c r="AO972" s="16"/>
      <c r="AP972" s="16"/>
      <c r="AQ972" s="16"/>
      <c r="AR972" s="16"/>
      <c r="AS972" s="16"/>
    </row>
    <row r="973" spans="1:45" s="7" customFormat="1" ht="195" customHeight="1">
      <c r="A973" s="27">
        <f>[1]트램표준체크리스트!A1030</f>
        <v>1028</v>
      </c>
      <c r="B973" s="28" t="str">
        <f>[1]트램표준체크리스트!B1030</f>
        <v>전기</v>
      </c>
      <c r="C973" s="29" t="str">
        <f>[1]트램표준체크리스트!C1030</f>
        <v>4. 일반전기 설비</v>
      </c>
      <c r="D973" s="30" t="str">
        <f>[1]트램표준체크리스트!F1030</f>
        <v>야간 작업용 법정 최소 조도(Lux) 미확보 및 조명타워 기초-가공선로 간 물리적 충돌·간섭 리스크를 검토하였는가?</v>
      </c>
      <c r="E973" s="31" t="s">
        <v>2861</v>
      </c>
      <c r="F973" s="32" t="str">
        <f t="shared" si="31"/>
        <v>극상</v>
      </c>
      <c r="G973" s="63" t="s">
        <v>40</v>
      </c>
      <c r="H973" s="63" t="s">
        <v>41</v>
      </c>
      <c r="I973" s="34" t="s">
        <v>2862</v>
      </c>
      <c r="J973" s="33"/>
      <c r="K973" s="35"/>
      <c r="L973" s="33"/>
      <c r="M973" s="36"/>
      <c r="N973" s="33"/>
      <c r="O973" s="36"/>
      <c r="P973" s="33"/>
      <c r="Q973" s="37"/>
      <c r="R973" s="38"/>
      <c r="S973" s="33"/>
      <c r="T973" s="38"/>
      <c r="U973" s="33"/>
      <c r="V973" s="39"/>
      <c r="W973" s="90" t="b">
        <v>0</v>
      </c>
      <c r="X973" s="90" t="b">
        <v>0</v>
      </c>
      <c r="Y973" s="90" t="b">
        <v>0</v>
      </c>
      <c r="Z973" s="40" t="s">
        <v>2770</v>
      </c>
      <c r="AA973" s="41"/>
      <c r="AK973" s="16"/>
      <c r="AL973" s="16"/>
      <c r="AM973" s="16"/>
      <c r="AN973" s="16"/>
      <c r="AO973" s="16"/>
      <c r="AP973" s="16"/>
      <c r="AQ973" s="16"/>
      <c r="AR973" s="16"/>
      <c r="AS973" s="16"/>
    </row>
    <row r="974" spans="1:45" s="7" customFormat="1" ht="195" customHeight="1">
      <c r="A974" s="27">
        <f>[1]트램표준체크리스트!A1031</f>
        <v>1029</v>
      </c>
      <c r="B974" s="28" t="str">
        <f>[1]트램표준체크리스트!B1031</f>
        <v>전기</v>
      </c>
      <c r="C974" s="29" t="str">
        <f>[1]트램표준체크리스트!C1031</f>
        <v>4. 일반전기 설비</v>
      </c>
      <c r="D974" s="30" t="str">
        <f>[1]트램표준체크리스트!F1031</f>
        <v>피트(Depot Pit) 및 노출 전선관·맨홀의 침수·결로에 의한 단락/누전 및 EPS실 관통부 층간 방화구획 누락 리스크를 검토하였는가?</v>
      </c>
      <c r="E974" s="31" t="s">
        <v>2863</v>
      </c>
      <c r="F974" s="32" t="str">
        <f t="shared" si="31"/>
        <v>극상</v>
      </c>
      <c r="G974" s="63" t="s">
        <v>40</v>
      </c>
      <c r="H974" s="63" t="s">
        <v>41</v>
      </c>
      <c r="I974" s="34" t="s">
        <v>2864</v>
      </c>
      <c r="J974" s="33"/>
      <c r="K974" s="35"/>
      <c r="L974" s="33"/>
      <c r="M974" s="36"/>
      <c r="N974" s="33"/>
      <c r="O974" s="36"/>
      <c r="P974" s="33"/>
      <c r="Q974" s="37"/>
      <c r="R974" s="38"/>
      <c r="S974" s="33"/>
      <c r="T974" s="38"/>
      <c r="U974" s="33"/>
      <c r="V974" s="39"/>
      <c r="W974" s="90" t="b">
        <v>0</v>
      </c>
      <c r="X974" s="90" t="b">
        <v>0</v>
      </c>
      <c r="Y974" s="90" t="b">
        <v>0</v>
      </c>
      <c r="Z974" s="40" t="s">
        <v>2748</v>
      </c>
      <c r="AA974" s="41"/>
      <c r="AK974" s="16"/>
      <c r="AL974" s="16"/>
      <c r="AM974" s="16"/>
      <c r="AN974" s="16"/>
      <c r="AO974" s="16"/>
      <c r="AP974" s="16"/>
      <c r="AQ974" s="16"/>
      <c r="AR974" s="16"/>
      <c r="AS974" s="16"/>
    </row>
    <row r="975" spans="1:45" s="7" customFormat="1" ht="195" customHeight="1">
      <c r="A975" s="27">
        <f>[1]트램표준체크리스트!A1032</f>
        <v>1030</v>
      </c>
      <c r="B975" s="28" t="str">
        <f>[1]트램표준체크리스트!B1032</f>
        <v>전기</v>
      </c>
      <c r="C975" s="29" t="str">
        <f>[1]트램표준체크리스트!C1032</f>
        <v>5. 전력관제 설비</v>
      </c>
      <c r="D975" s="30" t="str">
        <f>[1]트램표준체크리스트!F1032</f>
        <v>원격 제어 명령 시 오동작 방지용 이중 인터록(Interlock) 회로 및 사용자 등급별 제어 권한 차등 부여 누락 리스크를 검토하였는가?</v>
      </c>
      <c r="E975" s="31" t="s">
        <v>2865</v>
      </c>
      <c r="F975" s="32" t="str">
        <f t="shared" si="31"/>
        <v>극상</v>
      </c>
      <c r="G975" s="63" t="s">
        <v>40</v>
      </c>
      <c r="H975" s="63" t="s">
        <v>41</v>
      </c>
      <c r="I975" s="34" t="s">
        <v>2866</v>
      </c>
      <c r="J975" s="33"/>
      <c r="K975" s="35"/>
      <c r="L975" s="33"/>
      <c r="M975" s="36"/>
      <c r="N975" s="33"/>
      <c r="O975" s="36"/>
      <c r="P975" s="33"/>
      <c r="Q975" s="37"/>
      <c r="R975" s="38"/>
      <c r="S975" s="33"/>
      <c r="T975" s="38"/>
      <c r="U975" s="33"/>
      <c r="V975" s="39"/>
      <c r="W975" s="90" t="b">
        <v>0</v>
      </c>
      <c r="X975" s="90" t="b">
        <v>0</v>
      </c>
      <c r="Y975" s="90" t="b">
        <v>0</v>
      </c>
      <c r="Z975" s="40" t="s">
        <v>2763</v>
      </c>
      <c r="AA975" s="41"/>
      <c r="AK975" s="16"/>
      <c r="AL975" s="16"/>
      <c r="AM975" s="16"/>
      <c r="AN975" s="16"/>
      <c r="AO975" s="16"/>
      <c r="AP975" s="16"/>
      <c r="AQ975" s="16"/>
      <c r="AR975" s="16"/>
      <c r="AS975" s="16"/>
    </row>
    <row r="976" spans="1:45" s="7" customFormat="1" ht="195" customHeight="1">
      <c r="A976" s="27">
        <f>[1]트램표준체크리스트!A1033</f>
        <v>1031</v>
      </c>
      <c r="B976" s="28" t="str">
        <f>[1]트램표준체크리스트!B1033</f>
        <v>전기</v>
      </c>
      <c r="C976" s="29" t="str">
        <f>[1]트램표준체크리스트!C1033</f>
        <v>5. 전력관제 설비</v>
      </c>
      <c r="D976" s="30" t="str">
        <f>[1]트램표준체크리스트!F1033</f>
        <v>SCADA 화면 갱신 주기(Refresh Rate) 지연으로 비상시 관제사가 과거 데이터로 제어 명령을 내려 사고가 확대될 리스크를 검토하였는가?</v>
      </c>
      <c r="E976" s="31" t="s">
        <v>2867</v>
      </c>
      <c r="F976" s="32" t="str">
        <f t="shared" si="31"/>
        <v>극상</v>
      </c>
      <c r="G976" s="63" t="s">
        <v>40</v>
      </c>
      <c r="H976" s="63" t="s">
        <v>41</v>
      </c>
      <c r="I976" s="34" t="s">
        <v>2868</v>
      </c>
      <c r="J976" s="33"/>
      <c r="K976" s="35"/>
      <c r="L976" s="33"/>
      <c r="M976" s="36"/>
      <c r="N976" s="33"/>
      <c r="O976" s="36"/>
      <c r="P976" s="33"/>
      <c r="Q976" s="37"/>
      <c r="R976" s="38"/>
      <c r="S976" s="33"/>
      <c r="T976" s="38"/>
      <c r="U976" s="33"/>
      <c r="V976" s="39"/>
      <c r="W976" s="90" t="b">
        <v>0</v>
      </c>
      <c r="X976" s="90" t="b">
        <v>0</v>
      </c>
      <c r="Y976" s="90" t="b">
        <v>0</v>
      </c>
      <c r="Z976" s="40" t="s">
        <v>2763</v>
      </c>
      <c r="AA976" s="41"/>
      <c r="AK976" s="16"/>
      <c r="AL976" s="16"/>
      <c r="AM976" s="16"/>
      <c r="AN976" s="16"/>
      <c r="AO976" s="16"/>
      <c r="AP976" s="16"/>
      <c r="AQ976" s="16"/>
      <c r="AR976" s="16"/>
      <c r="AS976" s="16"/>
    </row>
    <row r="977" spans="1:45" s="7" customFormat="1" ht="195" customHeight="1">
      <c r="A977" s="27">
        <f>[1]트램표준체크리스트!A1034</f>
        <v>1032</v>
      </c>
      <c r="B977" s="28" t="str">
        <f>[1]트램표준체크리스트!B1034</f>
        <v>전기</v>
      </c>
      <c r="C977" s="29" t="str">
        <f>[1]트램표준체크리스트!C1034</f>
        <v>5. 전력관제 설비</v>
      </c>
      <c r="D977" s="30" t="str">
        <f>[1]트램표준체크리스트!F1034</f>
        <v>피뢰설비 설치 및 기기 간 절연협조 계획 누락으로 낙뢰 시 고가의 수배전반·전력기기가 소손될 리스크를 검토하였는가?</v>
      </c>
      <c r="E977" s="31" t="s">
        <v>2869</v>
      </c>
      <c r="F977" s="32" t="str">
        <f t="shared" si="31"/>
        <v>극상</v>
      </c>
      <c r="G977" s="63" t="s">
        <v>40</v>
      </c>
      <c r="H977" s="63" t="s">
        <v>41</v>
      </c>
      <c r="I977" s="34" t="s">
        <v>2870</v>
      </c>
      <c r="J977" s="33"/>
      <c r="K977" s="35"/>
      <c r="L977" s="33"/>
      <c r="M977" s="36"/>
      <c r="N977" s="33"/>
      <c r="O977" s="36"/>
      <c r="P977" s="33"/>
      <c r="Q977" s="37"/>
      <c r="R977" s="38"/>
      <c r="S977" s="33"/>
      <c r="T977" s="38"/>
      <c r="U977" s="33"/>
      <c r="V977" s="39"/>
      <c r="W977" s="90" t="b">
        <v>0</v>
      </c>
      <c r="X977" s="90" t="b">
        <v>0</v>
      </c>
      <c r="Y977" s="90" t="b">
        <v>0</v>
      </c>
      <c r="Z977" s="40" t="s">
        <v>2871</v>
      </c>
      <c r="AA977" s="41"/>
      <c r="AK977" s="16"/>
      <c r="AL977" s="16"/>
      <c r="AM977" s="16"/>
      <c r="AN977" s="16"/>
      <c r="AO977" s="16"/>
      <c r="AP977" s="16"/>
      <c r="AQ977" s="16"/>
      <c r="AR977" s="16"/>
      <c r="AS977" s="16"/>
    </row>
    <row r="978" spans="1:45" s="7" customFormat="1" ht="195" customHeight="1">
      <c r="A978" s="27">
        <f>[1]트램표준체크리스트!A1035</f>
        <v>1033</v>
      </c>
      <c r="B978" s="28" t="str">
        <f>[1]트램표준체크리스트!B1035</f>
        <v>전기</v>
      </c>
      <c r="C978" s="29" t="str">
        <f>[1]트램표준체크리스트!C1035</f>
        <v>5. 전력관제 설비</v>
      </c>
      <c r="D978" s="30" t="str">
        <f>[1]트램표준체크리스트!F1035</f>
        <v>전철주 등 지지물 설계 시 보행 동선 방해 및 방호시설 계획 누락으로 자동차 충돌에 의한 전차선 붕괴가 발생할 리스크를 검토하였는가?</v>
      </c>
      <c r="E978" s="31" t="s">
        <v>2872</v>
      </c>
      <c r="F978" s="32" t="str">
        <f t="shared" si="31"/>
        <v>극상</v>
      </c>
      <c r="G978" s="63" t="s">
        <v>40</v>
      </c>
      <c r="H978" s="63" t="s">
        <v>41</v>
      </c>
      <c r="I978" s="34" t="s">
        <v>2873</v>
      </c>
      <c r="J978" s="33"/>
      <c r="K978" s="35"/>
      <c r="L978" s="33"/>
      <c r="M978" s="36"/>
      <c r="N978" s="33"/>
      <c r="O978" s="36"/>
      <c r="P978" s="33"/>
      <c r="Q978" s="37"/>
      <c r="R978" s="38"/>
      <c r="S978" s="33"/>
      <c r="T978" s="38"/>
      <c r="U978" s="33"/>
      <c r="V978" s="39"/>
      <c r="W978" s="90" t="b">
        <v>0</v>
      </c>
      <c r="X978" s="90" t="b">
        <v>0</v>
      </c>
      <c r="Y978" s="90" t="b">
        <v>0</v>
      </c>
      <c r="Z978" s="40" t="s">
        <v>2790</v>
      </c>
      <c r="AA978" s="41"/>
      <c r="AK978" s="16"/>
      <c r="AL978" s="16"/>
      <c r="AM978" s="16"/>
      <c r="AN978" s="16"/>
      <c r="AO978" s="16"/>
      <c r="AP978" s="16"/>
      <c r="AQ978" s="16"/>
      <c r="AR978" s="16"/>
      <c r="AS978" s="16"/>
    </row>
    <row r="979" spans="1:45" s="7" customFormat="1" ht="195" customHeight="1">
      <c r="A979" s="27">
        <f>[1]트램표준체크리스트!A1036</f>
        <v>1034</v>
      </c>
      <c r="B979" s="28" t="str">
        <f>[1]트램표준체크리스트!B1036</f>
        <v>전기</v>
      </c>
      <c r="C979" s="29" t="str">
        <f>[1]트램표준체크리스트!C1036</f>
        <v>5. 전력관제 설비</v>
      </c>
      <c r="D979" s="30" t="str">
        <f>[1]트램표준체크리스트!F1036</f>
        <v>동시 투입 및 최대 가속 부하 과소 산정으로 운영 중 전압 강하·용량 부족에 의해 열차가 멈춰 설 리스크를 검토하였는가?</v>
      </c>
      <c r="E979" s="31" t="s">
        <v>2874</v>
      </c>
      <c r="F979" s="32" t="str">
        <f t="shared" si="31"/>
        <v>극상</v>
      </c>
      <c r="G979" s="63" t="s">
        <v>40</v>
      </c>
      <c r="H979" s="63" t="s">
        <v>41</v>
      </c>
      <c r="I979" s="34" t="s">
        <v>2875</v>
      </c>
      <c r="J979" s="33"/>
      <c r="K979" s="35"/>
      <c r="L979" s="33"/>
      <c r="M979" s="36"/>
      <c r="N979" s="33"/>
      <c r="O979" s="36"/>
      <c r="P979" s="33"/>
      <c r="Q979" s="37"/>
      <c r="R979" s="38"/>
      <c r="S979" s="33"/>
      <c r="T979" s="38"/>
      <c r="U979" s="33"/>
      <c r="V979" s="39"/>
      <c r="W979" s="90" t="b">
        <v>0</v>
      </c>
      <c r="X979" s="90" t="b">
        <v>0</v>
      </c>
      <c r="Y979" s="90" t="b">
        <v>0</v>
      </c>
      <c r="Z979" s="40" t="s">
        <v>2751</v>
      </c>
      <c r="AA979" s="41"/>
      <c r="AK979" s="16"/>
      <c r="AL979" s="16"/>
      <c r="AM979" s="16"/>
      <c r="AN979" s="16"/>
      <c r="AO979" s="16"/>
      <c r="AP979" s="16"/>
      <c r="AQ979" s="16"/>
      <c r="AR979" s="16"/>
      <c r="AS979" s="16"/>
    </row>
    <row r="980" spans="1:45" s="7" customFormat="1" ht="195" customHeight="1">
      <c r="A980" s="27">
        <f>[1]트램표준체크리스트!A1037</f>
        <v>1035</v>
      </c>
      <c r="B980" s="28" t="str">
        <f>[1]트램표준체크리스트!B1037</f>
        <v>전기</v>
      </c>
      <c r="C980" s="29" t="str">
        <f>[1]트램표준체크리스트!C1037</f>
        <v>5. 전력관제 설비</v>
      </c>
      <c r="D980" s="30" t="str">
        <f>[1]트램표준체크리스트!F1037</f>
        <v>통신 중계반(RTU/DDC) UPS 백업 용량 부족으로 정전 시 관제망 연결이 단절돼 원격 복구·모니터링이 불가능해질 리스크를 검토하였는가?</v>
      </c>
      <c r="E980" s="31" t="s">
        <v>2876</v>
      </c>
      <c r="F980" s="32" t="str">
        <f t="shared" si="31"/>
        <v>극상</v>
      </c>
      <c r="G980" s="63" t="s">
        <v>40</v>
      </c>
      <c r="H980" s="63" t="s">
        <v>41</v>
      </c>
      <c r="I980" s="34" t="s">
        <v>2877</v>
      </c>
      <c r="J980" s="33"/>
      <c r="K980" s="35"/>
      <c r="L980" s="33"/>
      <c r="M980" s="36"/>
      <c r="N980" s="33"/>
      <c r="O980" s="36"/>
      <c r="P980" s="33"/>
      <c r="Q980" s="37"/>
      <c r="R980" s="38"/>
      <c r="S980" s="33"/>
      <c r="T980" s="38"/>
      <c r="U980" s="33"/>
      <c r="V980" s="39"/>
      <c r="W980" s="90" t="b">
        <v>0</v>
      </c>
      <c r="X980" s="90" t="b">
        <v>0</v>
      </c>
      <c r="Y980" s="90" t="b">
        <v>1</v>
      </c>
      <c r="Z980" s="40" t="s">
        <v>2758</v>
      </c>
      <c r="AA980" s="41"/>
      <c r="AK980" s="16"/>
      <c r="AL980" s="16"/>
      <c r="AM980" s="16"/>
      <c r="AN980" s="16"/>
      <c r="AO980" s="16"/>
      <c r="AP980" s="16"/>
      <c r="AQ980" s="16"/>
      <c r="AR980" s="16"/>
      <c r="AS980" s="16"/>
    </row>
    <row r="981" spans="1:45" s="7" customFormat="1" ht="195" customHeight="1">
      <c r="A981" s="27">
        <f>[1]트램표준체크리스트!A1038</f>
        <v>1036</v>
      </c>
      <c r="B981" s="28" t="str">
        <f>[1]트램표준체크리스트!B1038</f>
        <v>전기</v>
      </c>
      <c r="C981" s="29" t="str">
        <f>[1]트램표준체크리스트!C1038</f>
        <v>5. 전력관제 설비</v>
      </c>
      <c r="D981" s="30" t="str">
        <f>[1]트램표준체크리스트!F1038</f>
        <v>옥외(-25℃40℃) 및 제어실(10℃35℃) 등 대기온도 기준 누락으로 극한 기후 시 시스템 다운이 발생할 리스크를 검토하였는가?</v>
      </c>
      <c r="E981" s="31" t="s">
        <v>2878</v>
      </c>
      <c r="F981" s="32" t="str">
        <f t="shared" si="31"/>
        <v>극상</v>
      </c>
      <c r="G981" s="63" t="s">
        <v>40</v>
      </c>
      <c r="H981" s="63" t="s">
        <v>41</v>
      </c>
      <c r="I981" s="34" t="s">
        <v>2879</v>
      </c>
      <c r="J981" s="33"/>
      <c r="K981" s="35"/>
      <c r="L981" s="33"/>
      <c r="M981" s="36"/>
      <c r="N981" s="33"/>
      <c r="O981" s="36"/>
      <c r="P981" s="33"/>
      <c r="Q981" s="37"/>
      <c r="R981" s="38"/>
      <c r="S981" s="33"/>
      <c r="T981" s="38"/>
      <c r="U981" s="33"/>
      <c r="V981" s="39"/>
      <c r="W981" s="90" t="b">
        <v>0</v>
      </c>
      <c r="X981" s="90" t="b">
        <v>0</v>
      </c>
      <c r="Y981" s="90" t="b">
        <v>0</v>
      </c>
      <c r="Z981" s="40" t="s">
        <v>2751</v>
      </c>
      <c r="AA981" s="41"/>
      <c r="AK981" s="16"/>
      <c r="AL981" s="16"/>
      <c r="AM981" s="16"/>
      <c r="AN981" s="16"/>
      <c r="AO981" s="16"/>
      <c r="AP981" s="16"/>
      <c r="AQ981" s="16"/>
      <c r="AR981" s="16"/>
      <c r="AS981" s="16"/>
    </row>
    <row r="982" spans="1:45" s="7" customFormat="1" ht="195" customHeight="1">
      <c r="A982" s="27">
        <f>[1]트램표준체크리스트!A1039</f>
        <v>1037</v>
      </c>
      <c r="B982" s="28" t="str">
        <f>[1]트램표준체크리스트!B1039</f>
        <v>전기</v>
      </c>
      <c r="C982" s="29" t="str">
        <f>[1]트램표준체크리스트!C1039</f>
        <v>5. 전력관제 설비</v>
      </c>
      <c r="D982" s="30" t="str">
        <f>[1]트램표준체크리스트!F1039</f>
        <v>내역 내 원격소장치(RTU) 물량 누락 및 SCADA HMI-현장 장치 간 통신 프로토콜 불일치로 인터페이스 불통이 발생할 리스크를 검토하였는가?</v>
      </c>
      <c r="E982" s="31" t="s">
        <v>2880</v>
      </c>
      <c r="F982" s="32" t="str">
        <f t="shared" si="31"/>
        <v>극상</v>
      </c>
      <c r="G982" s="63" t="s">
        <v>40</v>
      </c>
      <c r="H982" s="63" t="s">
        <v>41</v>
      </c>
      <c r="I982" s="34" t="s">
        <v>2881</v>
      </c>
      <c r="J982" s="33"/>
      <c r="K982" s="35"/>
      <c r="L982" s="33"/>
      <c r="M982" s="36"/>
      <c r="N982" s="33"/>
      <c r="O982" s="36"/>
      <c r="P982" s="33"/>
      <c r="Q982" s="37"/>
      <c r="R982" s="38"/>
      <c r="S982" s="33"/>
      <c r="T982" s="38"/>
      <c r="U982" s="33"/>
      <c r="V982" s="39"/>
      <c r="W982" s="90" t="b">
        <v>0</v>
      </c>
      <c r="X982" s="90" t="b">
        <v>0</v>
      </c>
      <c r="Y982" s="90" t="b">
        <v>0</v>
      </c>
      <c r="Z982" s="40" t="s">
        <v>2763</v>
      </c>
      <c r="AA982" s="41"/>
      <c r="AK982" s="16"/>
      <c r="AL982" s="16"/>
      <c r="AM982" s="16"/>
      <c r="AN982" s="16"/>
      <c r="AO982" s="16"/>
      <c r="AP982" s="16"/>
      <c r="AQ982" s="16"/>
      <c r="AR982" s="16"/>
      <c r="AS982" s="16"/>
    </row>
    <row r="983" spans="1:45" s="7" customFormat="1" ht="195" customHeight="1">
      <c r="A983" s="27">
        <f>[1]트램표준체크리스트!A1040</f>
        <v>1038</v>
      </c>
      <c r="B983" s="28" t="str">
        <f>[1]트램표준체크리스트!B1040</f>
        <v>전기</v>
      </c>
      <c r="C983" s="29" t="str">
        <f>[1]트램표준체크리스트!C1040</f>
        <v>5. 전력관제 설비</v>
      </c>
      <c r="D983" s="30" t="str">
        <f>[1]트램표준체크리스트!F1040</f>
        <v>옥외 전력 기구함의 방습형 구조 요구사항 누락으로, 우천 시 내부 결로 및 침수에 의한 합선 단락 사고가 발생할 방재 리스크를 검토하였는가?</v>
      </c>
      <c r="E983" s="31" t="s">
        <v>2882</v>
      </c>
      <c r="F983" s="32" t="str">
        <f t="shared" si="31"/>
        <v>극상</v>
      </c>
      <c r="G983" s="63" t="s">
        <v>40</v>
      </c>
      <c r="H983" s="63" t="s">
        <v>41</v>
      </c>
      <c r="I983" s="34" t="s">
        <v>2883</v>
      </c>
      <c r="J983" s="33"/>
      <c r="K983" s="35"/>
      <c r="L983" s="33"/>
      <c r="M983" s="36"/>
      <c r="N983" s="33"/>
      <c r="O983" s="36"/>
      <c r="P983" s="33"/>
      <c r="Q983" s="37"/>
      <c r="R983" s="38"/>
      <c r="S983" s="33"/>
      <c r="T983" s="38"/>
      <c r="U983" s="33"/>
      <c r="V983" s="39"/>
      <c r="W983" s="90" t="b">
        <v>0</v>
      </c>
      <c r="X983" s="90" t="b">
        <v>0</v>
      </c>
      <c r="Y983" s="90" t="b">
        <v>0</v>
      </c>
      <c r="Z983" s="40" t="s">
        <v>2751</v>
      </c>
      <c r="AA983" s="41"/>
      <c r="AK983" s="16"/>
      <c r="AL983" s="16"/>
      <c r="AM983" s="16"/>
      <c r="AN983" s="16"/>
      <c r="AO983" s="16"/>
      <c r="AP983" s="16"/>
      <c r="AQ983" s="16"/>
      <c r="AR983" s="16"/>
      <c r="AS983" s="16"/>
    </row>
    <row r="984" spans="1:45" s="7" customFormat="1" ht="195" customHeight="1">
      <c r="A984" s="27">
        <f>[1]트램표준체크리스트!A1041</f>
        <v>1039</v>
      </c>
      <c r="B984" s="28" t="str">
        <f>[1]트램표준체크리스트!B1041</f>
        <v>전기</v>
      </c>
      <c r="C984" s="29" t="str">
        <f>[1]트램표준체크리스트!C1041</f>
        <v>5. 전력관제 설비</v>
      </c>
      <c r="D984" s="30" t="str">
        <f>[1]트램표준체크리스트!F1041</f>
        <v>매입전선관 접속점 방수 누락 및 일반 비차폐 케이블 적용으로, 관로 침수에 따른 절연 파괴 및 특고압 노이즈 유입으로 원격 제어 신호가 왜곡될 리스크를 검토하였는가?</v>
      </c>
      <c r="E984" s="31" t="s">
        <v>2884</v>
      </c>
      <c r="F984" s="32" t="str">
        <f t="shared" si="31"/>
        <v>극상</v>
      </c>
      <c r="G984" s="63" t="s">
        <v>40</v>
      </c>
      <c r="H984" s="63" t="s">
        <v>41</v>
      </c>
      <c r="I984" s="34" t="s">
        <v>2885</v>
      </c>
      <c r="J984" s="33"/>
      <c r="K984" s="35"/>
      <c r="L984" s="33"/>
      <c r="M984" s="36"/>
      <c r="N984" s="33"/>
      <c r="O984" s="36"/>
      <c r="P984" s="33"/>
      <c r="Q984" s="37"/>
      <c r="R984" s="38"/>
      <c r="S984" s="33"/>
      <c r="T984" s="38"/>
      <c r="U984" s="33"/>
      <c r="V984" s="39"/>
      <c r="W984" s="90" t="b">
        <v>0</v>
      </c>
      <c r="X984" s="90" t="b">
        <v>1</v>
      </c>
      <c r="Y984" s="90" t="b">
        <v>1</v>
      </c>
      <c r="Z984" s="40" t="s">
        <v>2751</v>
      </c>
      <c r="AA984" s="41"/>
      <c r="AK984" s="16"/>
      <c r="AL984" s="16"/>
      <c r="AM984" s="16"/>
      <c r="AN984" s="16"/>
      <c r="AO984" s="16"/>
      <c r="AP984" s="16"/>
      <c r="AQ984" s="16"/>
      <c r="AR984" s="16"/>
      <c r="AS984" s="16"/>
    </row>
    <row r="985" spans="1:45" s="7" customFormat="1" ht="195" customHeight="1">
      <c r="A985" s="27">
        <f>[1]트램표준체크리스트!A1042</f>
        <v>1040</v>
      </c>
      <c r="B985" s="28" t="str">
        <f>[1]트램표준체크리스트!B1042</f>
        <v>전기</v>
      </c>
      <c r="C985" s="29" t="str">
        <f>[1]트램표준체크리스트!C1042</f>
        <v>5. 전력관제 설비</v>
      </c>
      <c r="D985" s="30" t="str">
        <f>[1]트램표준체크리스트!F1042</f>
        <v>고주파 노이즈 필터링 접지 대책 누락으로 신호망 교란 및 열차 제어·통신 장애 유발 리스크를 검토하였는가?</v>
      </c>
      <c r="E985" s="31" t="s">
        <v>2886</v>
      </c>
      <c r="F985" s="32" t="str">
        <f t="shared" si="31"/>
        <v>극상</v>
      </c>
      <c r="G985" s="63" t="s">
        <v>40</v>
      </c>
      <c r="H985" s="63" t="s">
        <v>41</v>
      </c>
      <c r="I985" s="34" t="s">
        <v>2887</v>
      </c>
      <c r="J985" s="33"/>
      <c r="K985" s="35"/>
      <c r="L985" s="33"/>
      <c r="M985" s="36"/>
      <c r="N985" s="33"/>
      <c r="O985" s="36"/>
      <c r="P985" s="33"/>
      <c r="Q985" s="37"/>
      <c r="R985" s="38"/>
      <c r="S985" s="33"/>
      <c r="T985" s="38"/>
      <c r="U985" s="33"/>
      <c r="V985" s="39"/>
      <c r="W985" s="90" t="b">
        <v>0</v>
      </c>
      <c r="X985" s="90" t="b">
        <v>0</v>
      </c>
      <c r="Y985" s="90" t="b">
        <v>0</v>
      </c>
      <c r="Z985" s="40" t="s">
        <v>2751</v>
      </c>
      <c r="AA985" s="41"/>
      <c r="AK985" s="16"/>
      <c r="AL985" s="16"/>
      <c r="AM985" s="16"/>
      <c r="AN985" s="16"/>
      <c r="AO985" s="16"/>
      <c r="AP985" s="16"/>
      <c r="AQ985" s="16"/>
      <c r="AR985" s="16"/>
      <c r="AS985" s="16"/>
    </row>
    <row r="986" spans="1:45" s="7" customFormat="1" ht="195" customHeight="1">
      <c r="A986" s="27">
        <f>[1]트램표준체크리스트!A1043</f>
        <v>1041</v>
      </c>
      <c r="B986" s="28" t="str">
        <f>[1]트램표준체크리스트!B1043</f>
        <v>전기</v>
      </c>
      <c r="C986" s="29" t="str">
        <f>[1]트램표준체크리스트!C1043</f>
        <v>5. 전력관제 설비</v>
      </c>
      <c r="D986" s="30" t="str">
        <f>[1]트램표준체크리스트!F1043</f>
        <v>OCC-현장 변전소 간 관제 통신망 이중화 및 사이버 보안(망분리) 누락, 백업 서버(Disaster Recovery) 동기화 오류 리스크를 검토하였는가?</v>
      </c>
      <c r="E986" s="31" t="s">
        <v>2888</v>
      </c>
      <c r="F986" s="32" t="str">
        <f t="shared" si="31"/>
        <v>극상</v>
      </c>
      <c r="G986" s="63" t="s">
        <v>40</v>
      </c>
      <c r="H986" s="63" t="s">
        <v>41</v>
      </c>
      <c r="I986" s="34" t="s">
        <v>2889</v>
      </c>
      <c r="J986" s="33"/>
      <c r="K986" s="35"/>
      <c r="L986" s="33"/>
      <c r="M986" s="36"/>
      <c r="N986" s="33"/>
      <c r="O986" s="36"/>
      <c r="P986" s="33"/>
      <c r="Q986" s="37"/>
      <c r="R986" s="38"/>
      <c r="S986" s="33"/>
      <c r="T986" s="38"/>
      <c r="U986" s="33"/>
      <c r="V986" s="39"/>
      <c r="W986" s="90" t="b">
        <v>0</v>
      </c>
      <c r="X986" s="90" t="b">
        <v>0</v>
      </c>
      <c r="Y986" s="90" t="b">
        <v>0</v>
      </c>
      <c r="Z986" s="40" t="s">
        <v>2763</v>
      </c>
      <c r="AA986" s="41"/>
      <c r="AK986" s="16"/>
      <c r="AL986" s="16"/>
      <c r="AM986" s="16"/>
      <c r="AN986" s="16"/>
      <c r="AO986" s="16"/>
      <c r="AP986" s="16"/>
      <c r="AQ986" s="16"/>
      <c r="AR986" s="16"/>
      <c r="AS986" s="16"/>
    </row>
    <row r="987" spans="1:45" s="7" customFormat="1" ht="195" customHeight="1">
      <c r="A987" s="27">
        <f>[1]트램표준체크리스트!A1044</f>
        <v>1042</v>
      </c>
      <c r="B987" s="28" t="str">
        <f>[1]트램표준체크리스트!B1044</f>
        <v>전기</v>
      </c>
      <c r="C987" s="29" t="str">
        <f>[1]트램표준체크리스트!C1044</f>
        <v>5. 전력관제 설비</v>
      </c>
      <c r="D987" s="30" t="str">
        <f>[1]트램표준체크리스트!F1044</f>
        <v>SCADA-신호(ATC)-통신(LTE-R) 간 연동 지연으로 급전 단절(정전) 시 비상 정지 명령 전송 불가 및 트램 사구간(Dead Zone) 고립 리스크를 검토하였는가?</v>
      </c>
      <c r="E987" s="31" t="s">
        <v>2890</v>
      </c>
      <c r="F987" s="32" t="str">
        <f t="shared" si="31"/>
        <v>극상</v>
      </c>
      <c r="G987" s="63" t="s">
        <v>40</v>
      </c>
      <c r="H987" s="63" t="s">
        <v>41</v>
      </c>
      <c r="I987" s="34" t="s">
        <v>2891</v>
      </c>
      <c r="J987" s="33"/>
      <c r="K987" s="35"/>
      <c r="L987" s="33"/>
      <c r="M987" s="36"/>
      <c r="N987" s="33"/>
      <c r="O987" s="36"/>
      <c r="P987" s="33"/>
      <c r="Q987" s="37"/>
      <c r="R987" s="38"/>
      <c r="S987" s="33"/>
      <c r="T987" s="38"/>
      <c r="U987" s="33"/>
      <c r="V987" s="39"/>
      <c r="W987" s="90" t="b">
        <v>0</v>
      </c>
      <c r="X987" s="90" t="b">
        <v>0</v>
      </c>
      <c r="Y987" s="90" t="b">
        <v>1</v>
      </c>
      <c r="Z987" s="40" t="s">
        <v>2763</v>
      </c>
      <c r="AA987" s="41"/>
      <c r="AK987" s="16"/>
      <c r="AL987" s="16"/>
      <c r="AM987" s="16"/>
      <c r="AN987" s="16"/>
      <c r="AO987" s="16"/>
      <c r="AP987" s="16"/>
      <c r="AQ987" s="16"/>
      <c r="AR987" s="16"/>
      <c r="AS987" s="16"/>
    </row>
    <row r="988" spans="1:45" s="7" customFormat="1" ht="195" customHeight="1">
      <c r="A988" s="27">
        <f>[1]트램표준체크리스트!A1045</f>
        <v>1043</v>
      </c>
      <c r="B988" s="28" t="str">
        <f>[1]트램표준체크리스트!B1045</f>
        <v>전기</v>
      </c>
      <c r="C988" s="29" t="str">
        <f>[1]트램표준체크리스트!C1045</f>
        <v>5. 전력관제 설비</v>
      </c>
      <c r="D988" s="30" t="str">
        <f>[1]트램표준체크리스트!F1045</f>
        <v>대형 케이블 작업공간(여유율 20% 이상, 곡률반경) 누락으로 케이블 소손 시 무굴착 교체가 불가능해질 리스크를 검토하였는가?</v>
      </c>
      <c r="E988" s="31" t="s">
        <v>2892</v>
      </c>
      <c r="F988" s="32" t="str">
        <f t="shared" si="31"/>
        <v>극상</v>
      </c>
      <c r="G988" s="63" t="s">
        <v>40</v>
      </c>
      <c r="H988" s="63" t="s">
        <v>41</v>
      </c>
      <c r="I988" s="34" t="s">
        <v>2893</v>
      </c>
      <c r="J988" s="33"/>
      <c r="K988" s="35"/>
      <c r="L988" s="33"/>
      <c r="M988" s="36"/>
      <c r="N988" s="33"/>
      <c r="O988" s="36"/>
      <c r="P988" s="33"/>
      <c r="Q988" s="37"/>
      <c r="R988" s="38"/>
      <c r="S988" s="33"/>
      <c r="T988" s="38"/>
      <c r="U988" s="33"/>
      <c r="V988" s="39"/>
      <c r="W988" s="90" t="b">
        <v>0</v>
      </c>
      <c r="X988" s="90" t="b">
        <v>0</v>
      </c>
      <c r="Y988" s="90" t="b">
        <v>0</v>
      </c>
      <c r="Z988" s="40" t="s">
        <v>2751</v>
      </c>
      <c r="AA988" s="41"/>
      <c r="AK988" s="16"/>
      <c r="AL988" s="16"/>
      <c r="AM988" s="16"/>
      <c r="AN988" s="16"/>
      <c r="AO988" s="16"/>
      <c r="AP988" s="16"/>
      <c r="AQ988" s="16"/>
      <c r="AR988" s="16"/>
      <c r="AS988" s="16"/>
    </row>
    <row r="989" spans="1:45" s="7" customFormat="1" ht="195" customHeight="1">
      <c r="A989" s="27">
        <f>[1]트램표준체크리스트!A1046</f>
        <v>1044</v>
      </c>
      <c r="B989" s="28" t="str">
        <f>[1]트램표준체크리스트!B1046</f>
        <v>전기</v>
      </c>
      <c r="C989" s="29" t="str">
        <f>[1]트램표준체크리스트!C1046</f>
        <v>6. 접지피뢰 설비</v>
      </c>
      <c r="D989" s="30" t="str">
        <f>[1]트램표준체크리스트!F1046</f>
        <v>주변 매설 금속체 간 비등전위 및 본딩(Bonding) 누락 시, 지락·정전기로 인한 전위차 상승에 따른 전도 감전 및 기기 오동작 리스크를 검토하였는가?</v>
      </c>
      <c r="E989" s="31" t="s">
        <v>2894</v>
      </c>
      <c r="F989" s="32" t="str">
        <f t="shared" si="31"/>
        <v>극상</v>
      </c>
      <c r="G989" s="63" t="s">
        <v>40</v>
      </c>
      <c r="H989" s="63" t="s">
        <v>41</v>
      </c>
      <c r="I989" s="34" t="s">
        <v>2895</v>
      </c>
      <c r="J989" s="33"/>
      <c r="K989" s="35"/>
      <c r="L989" s="33"/>
      <c r="M989" s="36"/>
      <c r="N989" s="33"/>
      <c r="O989" s="36"/>
      <c r="P989" s="33"/>
      <c r="Q989" s="37"/>
      <c r="R989" s="38"/>
      <c r="S989" s="33"/>
      <c r="T989" s="38"/>
      <c r="U989" s="33"/>
      <c r="V989" s="39"/>
      <c r="W989" s="90" t="b">
        <v>0</v>
      </c>
      <c r="X989" s="90" t="b">
        <v>0</v>
      </c>
      <c r="Y989" s="90" t="b">
        <v>0</v>
      </c>
      <c r="Z989" s="40" t="s">
        <v>2763</v>
      </c>
      <c r="AA989" s="41"/>
      <c r="AK989" s="16"/>
      <c r="AL989" s="16"/>
      <c r="AM989" s="16"/>
      <c r="AN989" s="16"/>
      <c r="AO989" s="16"/>
      <c r="AP989" s="16"/>
      <c r="AQ989" s="16"/>
      <c r="AR989" s="16"/>
      <c r="AS989" s="16"/>
    </row>
    <row r="990" spans="1:45" s="7" customFormat="1" ht="195" customHeight="1">
      <c r="A990" s="27">
        <f>[1]트램표준체크리스트!A1047</f>
        <v>1045</v>
      </c>
      <c r="B990" s="28" t="str">
        <f>[1]트램표준체크리스트!B1047</f>
        <v>전기</v>
      </c>
      <c r="C990" s="29" t="str">
        <f>[1]트램표준체크리스트!C1047</f>
        <v>6. 접지피뢰 설비</v>
      </c>
      <c r="D990" s="30" t="str">
        <f>[1]트램표준체크리스트!F1047</f>
        <v>절연협조 검토 누락으로 뇌서지 유입 시 직류 급전계통 기기 파괴 및 인접 통신선 유도장애 노이즈를 유발할 리스크를 검토하였는가?</v>
      </c>
      <c r="E990" s="31" t="s">
        <v>2896</v>
      </c>
      <c r="F990" s="32" t="str">
        <f t="shared" si="31"/>
        <v>극상</v>
      </c>
      <c r="G990" s="63" t="s">
        <v>40</v>
      </c>
      <c r="H990" s="63" t="s">
        <v>41</v>
      </c>
      <c r="I990" s="34" t="s">
        <v>2897</v>
      </c>
      <c r="J990" s="33"/>
      <c r="K990" s="35"/>
      <c r="L990" s="33"/>
      <c r="M990" s="36"/>
      <c r="N990" s="33"/>
      <c r="O990" s="36"/>
      <c r="P990" s="33"/>
      <c r="Q990" s="37"/>
      <c r="R990" s="38"/>
      <c r="S990" s="33"/>
      <c r="T990" s="38"/>
      <c r="U990" s="33"/>
      <c r="V990" s="39"/>
      <c r="W990" s="90" t="b">
        <v>0</v>
      </c>
      <c r="X990" s="90" t="b">
        <v>0</v>
      </c>
      <c r="Y990" s="90" t="b">
        <v>0</v>
      </c>
      <c r="Z990" s="40" t="s">
        <v>2751</v>
      </c>
      <c r="AA990" s="41"/>
      <c r="AK990" s="16"/>
      <c r="AL990" s="16"/>
      <c r="AM990" s="16"/>
      <c r="AN990" s="16"/>
      <c r="AO990" s="16"/>
      <c r="AP990" s="16"/>
      <c r="AQ990" s="16"/>
      <c r="AR990" s="16"/>
      <c r="AS990" s="16"/>
    </row>
    <row r="991" spans="1:45" s="7" customFormat="1" ht="195" customHeight="1">
      <c r="A991" s="27">
        <f>[1]트램표준체크리스트!A1048</f>
        <v>1046</v>
      </c>
      <c r="B991" s="28" t="str">
        <f>[1]트램표준체크리스트!B1048</f>
        <v>전기</v>
      </c>
      <c r="C991" s="29" t="str">
        <f>[1]트램표준체크리스트!C1048</f>
        <v>6. 접지피뢰 설비</v>
      </c>
      <c r="D991" s="30" t="str">
        <f>[1]트램표준체크리스트!F1048</f>
        <v>지락 사고 대비 보호협조 누락 및 유해 화학첨가물 공법 반영으로 토양 오염 및 감전 보호 실패가 발생할 리스크를 검토하였는가?</v>
      </c>
      <c r="E991" s="31" t="s">
        <v>2898</v>
      </c>
      <c r="F991" s="32" t="str">
        <f t="shared" si="31"/>
        <v>극상</v>
      </c>
      <c r="G991" s="63" t="s">
        <v>40</v>
      </c>
      <c r="H991" s="63" t="s">
        <v>41</v>
      </c>
      <c r="I991" s="34" t="s">
        <v>2899</v>
      </c>
      <c r="J991" s="33"/>
      <c r="K991" s="35"/>
      <c r="L991" s="33"/>
      <c r="M991" s="36"/>
      <c r="N991" s="33"/>
      <c r="O991" s="36"/>
      <c r="P991" s="33"/>
      <c r="Q991" s="37"/>
      <c r="R991" s="38"/>
      <c r="S991" s="33"/>
      <c r="T991" s="38"/>
      <c r="U991" s="33"/>
      <c r="V991" s="39"/>
      <c r="W991" s="90" t="b">
        <v>0</v>
      </c>
      <c r="X991" s="90" t="b">
        <v>0</v>
      </c>
      <c r="Y991" s="90" t="b">
        <v>0</v>
      </c>
      <c r="Z991" s="40" t="s">
        <v>2751</v>
      </c>
      <c r="AA991" s="41"/>
      <c r="AK991" s="16"/>
      <c r="AL991" s="16"/>
      <c r="AM991" s="16"/>
      <c r="AN991" s="16"/>
      <c r="AO991" s="16"/>
      <c r="AP991" s="16"/>
      <c r="AQ991" s="16"/>
      <c r="AR991" s="16"/>
      <c r="AS991" s="16"/>
    </row>
    <row r="992" spans="1:45" s="7" customFormat="1" ht="195" customHeight="1">
      <c r="A992" s="27">
        <f>[1]트램표준체크리스트!A1049</f>
        <v>1047</v>
      </c>
      <c r="B992" s="28" t="str">
        <f>[1]트램표준체크리스트!B1049</f>
        <v>전기</v>
      </c>
      <c r="C992" s="29" t="str">
        <f>[1]트램표준체크리스트!C1049</f>
        <v>6. 접지피뢰 설비</v>
      </c>
      <c r="D992" s="30" t="str">
        <f>[1]트램표준체크리스트!F1049</f>
        <v>지장물 간섭에 따른 접지극(접지 동망/접지봉) 시공 부지 미확보 및 접지저항 허용치 미달로 설계가 변경될 리스크를 검토하였는가?</v>
      </c>
      <c r="E992" s="31" t="s">
        <v>2900</v>
      </c>
      <c r="F992" s="32" t="str">
        <f t="shared" si="31"/>
        <v>극상</v>
      </c>
      <c r="G992" s="63" t="s">
        <v>40</v>
      </c>
      <c r="H992" s="63" t="s">
        <v>41</v>
      </c>
      <c r="I992" s="34" t="s">
        <v>2901</v>
      </c>
      <c r="J992" s="33"/>
      <c r="K992" s="35"/>
      <c r="L992" s="33"/>
      <c r="M992" s="36"/>
      <c r="N992" s="33"/>
      <c r="O992" s="36"/>
      <c r="P992" s="33"/>
      <c r="Q992" s="37"/>
      <c r="R992" s="38"/>
      <c r="S992" s="33"/>
      <c r="T992" s="38"/>
      <c r="U992" s="33"/>
      <c r="V992" s="39"/>
      <c r="W992" s="90" t="b">
        <v>0</v>
      </c>
      <c r="X992" s="90" t="b">
        <v>0</v>
      </c>
      <c r="Y992" s="90" t="b">
        <v>0</v>
      </c>
      <c r="Z992" s="40" t="s">
        <v>2763</v>
      </c>
      <c r="AA992" s="41"/>
      <c r="AK992" s="16"/>
      <c r="AL992" s="16"/>
      <c r="AM992" s="16"/>
      <c r="AN992" s="16"/>
      <c r="AO992" s="16"/>
      <c r="AP992" s="16"/>
      <c r="AQ992" s="16"/>
      <c r="AR992" s="16"/>
      <c r="AS992" s="16"/>
    </row>
    <row r="993" spans="1:45" s="7" customFormat="1" ht="195" customHeight="1">
      <c r="A993" s="27">
        <f>[1]트램표준체크리스트!A1050</f>
        <v>1048</v>
      </c>
      <c r="B993" s="28" t="str">
        <f>[1]트램표준체크리스트!B1050</f>
        <v>전기</v>
      </c>
      <c r="C993" s="29" t="str">
        <f>[1]트램표준체크리스트!C1050</f>
        <v>6. 접지피뢰 설비</v>
      </c>
      <c r="D993" s="30" t="str">
        <f>[1]트램표준체크리스트!F1050</f>
        <v>접지저감제(GEM) 사용에 따른 토양·지하수 오염 방지 규정 미준수로 환경 민원 발생 및 인허가 반려 공기 지연 리스크를 검토하였는가?</v>
      </c>
      <c r="E993" s="31" t="s">
        <v>2902</v>
      </c>
      <c r="F993" s="32" t="str">
        <f t="shared" si="31"/>
        <v>극상</v>
      </c>
      <c r="G993" s="63" t="s">
        <v>40</v>
      </c>
      <c r="H993" s="63" t="s">
        <v>41</v>
      </c>
      <c r="I993" s="34" t="s">
        <v>2903</v>
      </c>
      <c r="J993" s="33"/>
      <c r="K993" s="35"/>
      <c r="L993" s="33"/>
      <c r="M993" s="36"/>
      <c r="N993" s="33"/>
      <c r="O993" s="36"/>
      <c r="P993" s="33"/>
      <c r="Q993" s="37"/>
      <c r="R993" s="38"/>
      <c r="S993" s="33"/>
      <c r="T993" s="38"/>
      <c r="U993" s="33"/>
      <c r="V993" s="39"/>
      <c r="W993" s="90" t="b">
        <v>0</v>
      </c>
      <c r="X993" s="90" t="b">
        <v>0</v>
      </c>
      <c r="Y993" s="90" t="b">
        <v>0</v>
      </c>
      <c r="Z993" s="40" t="s">
        <v>2763</v>
      </c>
      <c r="AA993" s="41"/>
      <c r="AK993" s="16"/>
      <c r="AL993" s="16"/>
      <c r="AM993" s="16"/>
      <c r="AN993" s="16"/>
      <c r="AO993" s="16"/>
      <c r="AP993" s="16"/>
      <c r="AQ993" s="16"/>
      <c r="AR993" s="16"/>
      <c r="AS993" s="16"/>
    </row>
    <row r="994" spans="1:45" s="7" customFormat="1" ht="195" customHeight="1">
      <c r="A994" s="27">
        <f>[1]트램표준체크리스트!A1051</f>
        <v>1049</v>
      </c>
      <c r="B994" s="28" t="str">
        <f>[1]트램표준체크리스트!B1051</f>
        <v>전기</v>
      </c>
      <c r="C994" s="29" t="str">
        <f>[1]트램표준체크리스트!C1051</f>
        <v>6. 접지피뢰 설비</v>
      </c>
      <c r="D994" s="30" t="str">
        <f>[1]트램표준체크리스트!F1051</f>
        <v>피뢰 접지 및 직류/교류 인입부 서지보호장치(SPD) 설계 누락으로, 낙뢰 시 발전 장비 전소 및 서지 유입에 따른 정전이 유발될 리스크를 검토하였는가?</v>
      </c>
      <c r="E994" s="31" t="s">
        <v>2904</v>
      </c>
      <c r="F994" s="32" t="str">
        <f t="shared" si="31"/>
        <v>극상</v>
      </c>
      <c r="G994" s="63" t="s">
        <v>40</v>
      </c>
      <c r="H994" s="63" t="s">
        <v>41</v>
      </c>
      <c r="I994" s="34" t="s">
        <v>2905</v>
      </c>
      <c r="J994" s="33"/>
      <c r="K994" s="35"/>
      <c r="L994" s="33"/>
      <c r="M994" s="36"/>
      <c r="N994" s="33"/>
      <c r="O994" s="36"/>
      <c r="P994" s="33"/>
      <c r="Q994" s="37"/>
      <c r="R994" s="38"/>
      <c r="S994" s="33"/>
      <c r="T994" s="38"/>
      <c r="U994" s="33"/>
      <c r="V994" s="39"/>
      <c r="W994" s="90" t="b">
        <v>0</v>
      </c>
      <c r="X994" s="90" t="b">
        <v>0</v>
      </c>
      <c r="Y994" s="90" t="b">
        <v>1</v>
      </c>
      <c r="Z994" s="40" t="s">
        <v>2763</v>
      </c>
      <c r="AA994" s="41"/>
      <c r="AK994" s="16"/>
      <c r="AL994" s="16"/>
      <c r="AM994" s="16"/>
      <c r="AN994" s="16"/>
      <c r="AO994" s="16"/>
      <c r="AP994" s="16"/>
      <c r="AQ994" s="16"/>
      <c r="AR994" s="16"/>
      <c r="AS994" s="16"/>
    </row>
    <row r="995" spans="1:45" s="7" customFormat="1" ht="195" customHeight="1">
      <c r="A995" s="27">
        <f>[1]트램표준체크리스트!A1052</f>
        <v>1050</v>
      </c>
      <c r="B995" s="28" t="str">
        <f>[1]트램표준체크리스트!B1052</f>
        <v>전기</v>
      </c>
      <c r="C995" s="29" t="str">
        <f>[1]트램표준체크리스트!C1052</f>
        <v>6. 접지피뢰 설비</v>
      </c>
      <c r="D995" s="30" t="str">
        <f>[1]트램표준체크리스트!F1052</f>
        <v>불량 구간 보조 접지극 및 저항치 보강 누락으로, 준공 시 법적 접지저항 미달에 따른 설비 가압 불가 리스크를 검토하였는가?</v>
      </c>
      <c r="E995" s="31" t="s">
        <v>2906</v>
      </c>
      <c r="F995" s="32" t="str">
        <f t="shared" si="31"/>
        <v>극상</v>
      </c>
      <c r="G995" s="63" t="s">
        <v>40</v>
      </c>
      <c r="H995" s="63" t="s">
        <v>41</v>
      </c>
      <c r="I995" s="34" t="s">
        <v>2907</v>
      </c>
      <c r="J995" s="33"/>
      <c r="K995" s="35"/>
      <c r="L995" s="33"/>
      <c r="M995" s="36"/>
      <c r="N995" s="33"/>
      <c r="O995" s="36"/>
      <c r="P995" s="33"/>
      <c r="Q995" s="37"/>
      <c r="R995" s="38"/>
      <c r="S995" s="33"/>
      <c r="T995" s="38"/>
      <c r="U995" s="33"/>
      <c r="V995" s="39"/>
      <c r="W995" s="90" t="b">
        <v>0</v>
      </c>
      <c r="X995" s="90" t="b">
        <v>0</v>
      </c>
      <c r="Y995" s="90" t="b">
        <v>0</v>
      </c>
      <c r="Z995" s="40" t="s">
        <v>2751</v>
      </c>
      <c r="AA995" s="41"/>
      <c r="AK995" s="16"/>
      <c r="AL995" s="16"/>
      <c r="AM995" s="16"/>
      <c r="AN995" s="16"/>
      <c r="AO995" s="16"/>
      <c r="AP995" s="16"/>
      <c r="AQ995" s="16"/>
      <c r="AR995" s="16"/>
      <c r="AS995" s="16"/>
    </row>
    <row r="996" spans="1:45" s="7" customFormat="1" ht="195" customHeight="1">
      <c r="A996" s="27">
        <f>[1]트램표준체크리스트!A1053</f>
        <v>1051</v>
      </c>
      <c r="B996" s="28" t="str">
        <f>[1]트램표준체크리스트!B1053</f>
        <v>전기</v>
      </c>
      <c r="C996" s="29" t="str">
        <f>[1]트램표준체크리스트!C1053</f>
        <v>6. 접지피뢰 설비</v>
      </c>
      <c r="D996" s="30" t="str">
        <f>[1]트램표준체크리스트!F1053</f>
        <v>터치 전압(Touch Voltage)·보폭 전압(Step Voltage) 평가 누락 및 충전 바 지지용 전주 피뢰 보호각 미흡에 따른 감전 리스크를 검토하였는가?</v>
      </c>
      <c r="E996" s="31" t="s">
        <v>2908</v>
      </c>
      <c r="F996" s="32" t="str">
        <f t="shared" si="31"/>
        <v>극상</v>
      </c>
      <c r="G996" s="63" t="s">
        <v>40</v>
      </c>
      <c r="H996" s="63" t="s">
        <v>41</v>
      </c>
      <c r="I996" s="34" t="s">
        <v>2909</v>
      </c>
      <c r="J996" s="33"/>
      <c r="K996" s="35"/>
      <c r="L996" s="33"/>
      <c r="M996" s="36"/>
      <c r="N996" s="33"/>
      <c r="O996" s="36"/>
      <c r="P996" s="33"/>
      <c r="Q996" s="37"/>
      <c r="R996" s="38"/>
      <c r="S996" s="33"/>
      <c r="T996" s="38"/>
      <c r="U996" s="33"/>
      <c r="V996" s="39"/>
      <c r="W996" s="90" t="b">
        <v>0</v>
      </c>
      <c r="X996" s="90" t="b">
        <v>0</v>
      </c>
      <c r="Y996" s="90" t="b">
        <v>0</v>
      </c>
      <c r="Z996" s="40" t="s">
        <v>2763</v>
      </c>
      <c r="AA996" s="41"/>
      <c r="AK996" s="16"/>
      <c r="AL996" s="16"/>
      <c r="AM996" s="16"/>
      <c r="AN996" s="16"/>
      <c r="AO996" s="16"/>
      <c r="AP996" s="16"/>
      <c r="AQ996" s="16"/>
      <c r="AR996" s="16"/>
      <c r="AS996" s="16"/>
    </row>
    <row r="997" spans="1:45" s="7" customFormat="1" ht="195" customHeight="1">
      <c r="A997" s="27">
        <f>[1]트램표준체크리스트!A1054</f>
        <v>1052</v>
      </c>
      <c r="B997" s="28" t="str">
        <f>[1]트램표준체크리스트!B1054</f>
        <v>전기</v>
      </c>
      <c r="C997" s="29" t="str">
        <f>[1]트램표준체크리스트!C1054</f>
        <v>6. 접지피뢰 설비</v>
      </c>
      <c r="D997" s="30" t="str">
        <f>[1]트램표준체크리스트!F1054</f>
        <v>등전위 본딩 접지 계획 누락으로 지락·뇌서지 유입 시 기기 간 전위차로 인해 민감한 제어기기가 동시다발적으로 소손될 리스크를 검토하였는가?</v>
      </c>
      <c r="E997" s="31" t="s">
        <v>2910</v>
      </c>
      <c r="F997" s="32" t="str">
        <f t="shared" si="31"/>
        <v>극상</v>
      </c>
      <c r="G997" s="63" t="s">
        <v>40</v>
      </c>
      <c r="H997" s="63" t="s">
        <v>41</v>
      </c>
      <c r="I997" s="34" t="s">
        <v>2911</v>
      </c>
      <c r="J997" s="33"/>
      <c r="K997" s="35"/>
      <c r="L997" s="33"/>
      <c r="M997" s="36"/>
      <c r="N997" s="33"/>
      <c r="O997" s="36"/>
      <c r="P997" s="33"/>
      <c r="Q997" s="37"/>
      <c r="R997" s="38"/>
      <c r="S997" s="33"/>
      <c r="T997" s="38"/>
      <c r="U997" s="33"/>
      <c r="V997" s="39"/>
      <c r="W997" s="90" t="b">
        <v>0</v>
      </c>
      <c r="X997" s="90" t="b">
        <v>0</v>
      </c>
      <c r="Y997" s="90" t="b">
        <v>0</v>
      </c>
      <c r="Z997" s="40" t="s">
        <v>2751</v>
      </c>
      <c r="AA997" s="41"/>
      <c r="AK997" s="16"/>
      <c r="AL997" s="16"/>
      <c r="AM997" s="16"/>
      <c r="AN997" s="16"/>
      <c r="AO997" s="16"/>
      <c r="AP997" s="16"/>
      <c r="AQ997" s="16"/>
      <c r="AR997" s="16"/>
      <c r="AS997" s="16"/>
    </row>
    <row r="998" spans="1:45" s="7" customFormat="1" ht="195" customHeight="1">
      <c r="A998" s="27">
        <f>[1]트램표준체크리스트!A1055</f>
        <v>1053</v>
      </c>
      <c r="B998" s="28" t="str">
        <f>[1]트램표준체크리스트!B1055</f>
        <v>전기</v>
      </c>
      <c r="C998" s="29" t="str">
        <f>[1]트램표준체크리스트!C1055</f>
        <v>6. 접지피뢰 설비</v>
      </c>
      <c r="D998" s="30" t="str">
        <f>[1]트램표준체크리스트!F1055</f>
        <v>혼용 구간 일반 자기제(Porcelain) 피뢰기 설계로, 직격뢰 폭발 시 파편 비산에 의한 보행자·차량 중대재해 유발 리스크를 검토하였는가?</v>
      </c>
      <c r="E998" s="31" t="s">
        <v>2912</v>
      </c>
      <c r="F998" s="32" t="str">
        <f t="shared" si="31"/>
        <v>극상</v>
      </c>
      <c r="G998" s="63" t="s">
        <v>40</v>
      </c>
      <c r="H998" s="63" t="s">
        <v>41</v>
      </c>
      <c r="I998" s="34" t="s">
        <v>2913</v>
      </c>
      <c r="J998" s="33"/>
      <c r="K998" s="35"/>
      <c r="L998" s="33"/>
      <c r="M998" s="36"/>
      <c r="N998" s="33"/>
      <c r="O998" s="36"/>
      <c r="P998" s="33"/>
      <c r="Q998" s="37"/>
      <c r="R998" s="38"/>
      <c r="S998" s="33"/>
      <c r="T998" s="38"/>
      <c r="U998" s="33"/>
      <c r="V998" s="39"/>
      <c r="W998" s="90" t="b">
        <v>0</v>
      </c>
      <c r="X998" s="90" t="b">
        <v>0</v>
      </c>
      <c r="Y998" s="90" t="b">
        <v>0</v>
      </c>
      <c r="Z998" s="40" t="s">
        <v>2751</v>
      </c>
      <c r="AA998" s="41"/>
      <c r="AK998" s="16"/>
      <c r="AL998" s="16"/>
      <c r="AM998" s="16"/>
      <c r="AN998" s="16"/>
      <c r="AO998" s="16"/>
      <c r="AP998" s="16"/>
      <c r="AQ998" s="16"/>
      <c r="AR998" s="16"/>
      <c r="AS998" s="16"/>
    </row>
    <row r="999" spans="1:45" s="7" customFormat="1" ht="195" customHeight="1">
      <c r="A999" s="27">
        <f>[1]트램표준체크리스트!A1056</f>
        <v>1054</v>
      </c>
      <c r="B999" s="28" t="str">
        <f>[1]트램표준체크리스트!B1056</f>
        <v>전기</v>
      </c>
      <c r="C999" s="29" t="str">
        <f>[1]트램표준체크리스트!C1056</f>
        <v>6. 접지피뢰 설비</v>
      </c>
      <c r="D999" s="30" t="str">
        <f>[1]트램표준체크리스트!F1056</f>
        <v>공통접지(Integrated Grounding) 시 궤도 귀선 전류 노이즈 유입으로 신호 궤도회로(Track Circuit) 오동작 및 통신 유도 장애 리스크를 검토하였는가?</v>
      </c>
      <c r="E999" s="31" t="s">
        <v>2914</v>
      </c>
      <c r="F999" s="32" t="str">
        <f t="shared" si="31"/>
        <v>극상</v>
      </c>
      <c r="G999" s="63" t="s">
        <v>40</v>
      </c>
      <c r="H999" s="63" t="s">
        <v>41</v>
      </c>
      <c r="I999" s="34" t="s">
        <v>2915</v>
      </c>
      <c r="J999" s="33"/>
      <c r="K999" s="35"/>
      <c r="L999" s="33"/>
      <c r="M999" s="36"/>
      <c r="N999" s="33"/>
      <c r="O999" s="36"/>
      <c r="P999" s="33"/>
      <c r="Q999" s="37"/>
      <c r="R999" s="38"/>
      <c r="S999" s="33"/>
      <c r="T999" s="38"/>
      <c r="U999" s="33"/>
      <c r="V999" s="39"/>
      <c r="W999" s="90" t="b">
        <v>0</v>
      </c>
      <c r="X999" s="90" t="b">
        <v>1</v>
      </c>
      <c r="Y999" s="90" t="b">
        <v>1</v>
      </c>
      <c r="Z999" s="40" t="s">
        <v>2763</v>
      </c>
      <c r="AA999" s="41"/>
      <c r="AK999" s="16"/>
      <c r="AL999" s="16"/>
      <c r="AM999" s="16"/>
      <c r="AN999" s="16"/>
      <c r="AO999" s="16"/>
      <c r="AP999" s="16"/>
      <c r="AQ999" s="16"/>
      <c r="AR999" s="16"/>
      <c r="AS999" s="16"/>
    </row>
    <row r="1000" spans="1:45" s="7" customFormat="1" ht="195" customHeight="1">
      <c r="A1000" s="27">
        <f>[1]트램표준체크리스트!A1057</f>
        <v>1055</v>
      </c>
      <c r="B1000" s="28" t="str">
        <f>[1]트램표준체크리스트!B1057</f>
        <v>전기</v>
      </c>
      <c r="C1000" s="29" t="str">
        <f>[1]트램표준체크리스트!C1057</f>
        <v>7. 친환경/부대 설비</v>
      </c>
      <c r="D1000" s="30" t="str">
        <f>[1]트램표준체크리스트!F1057</f>
        <v>우수(빗물) 재활용 설비(Rainwater Harvesting System)·펌프 전원 회로 및 레벨 센서-자동제어반 제어 배선 누락 리스크를 검토하였는가?</v>
      </c>
      <c r="E1000" s="31" t="s">
        <v>2916</v>
      </c>
      <c r="F1000" s="32" t="str">
        <f t="shared" si="31"/>
        <v>극상</v>
      </c>
      <c r="G1000" s="63" t="s">
        <v>40</v>
      </c>
      <c r="H1000" s="63" t="s">
        <v>41</v>
      </c>
      <c r="I1000" s="34" t="s">
        <v>2917</v>
      </c>
      <c r="J1000" s="33"/>
      <c r="K1000" s="35"/>
      <c r="L1000" s="33"/>
      <c r="M1000" s="36"/>
      <c r="N1000" s="33"/>
      <c r="O1000" s="36"/>
      <c r="P1000" s="33"/>
      <c r="Q1000" s="37"/>
      <c r="R1000" s="38"/>
      <c r="S1000" s="33"/>
      <c r="T1000" s="38"/>
      <c r="U1000" s="33"/>
      <c r="V1000" s="39"/>
      <c r="W1000" s="90" t="b">
        <v>0</v>
      </c>
      <c r="X1000" s="90" t="b">
        <v>0</v>
      </c>
      <c r="Y1000" s="90" t="b">
        <v>0</v>
      </c>
      <c r="Z1000" s="40" t="s">
        <v>2763</v>
      </c>
      <c r="AA1000" s="41"/>
      <c r="AK1000" s="16"/>
      <c r="AL1000" s="16"/>
      <c r="AM1000" s="16"/>
      <c r="AN1000" s="16"/>
      <c r="AO1000" s="16"/>
      <c r="AP1000" s="16"/>
      <c r="AQ1000" s="16"/>
      <c r="AR1000" s="16"/>
      <c r="AS1000" s="16"/>
    </row>
    <row r="1001" spans="1:45" s="7" customFormat="1" ht="195" customHeight="1">
      <c r="A1001" s="27">
        <f>[1]트램표준체크리스트!A1058</f>
        <v>1056</v>
      </c>
      <c r="B1001" s="28" t="str">
        <f>[1]트램표준체크리스트!B1058</f>
        <v>전기</v>
      </c>
      <c r="C1001" s="29" t="str">
        <f>[1]트램표준체크리스트!C1058</f>
        <v>7. 친환경/부대 설비</v>
      </c>
      <c r="D1001" s="30" t="str">
        <f>[1]트램표준체크리스트!F1058</f>
        <v>EV 충전설비 배선·용량 설계 누락 및 계통 연계 용량 부족으로, 동시 충전 시 메인 차단기가 트립(Trip)될 리스크를 검토하였는가?</v>
      </c>
      <c r="E1001" s="31" t="s">
        <v>2918</v>
      </c>
      <c r="F1001" s="32" t="str">
        <f t="shared" si="31"/>
        <v>극상</v>
      </c>
      <c r="G1001" s="63" t="s">
        <v>40</v>
      </c>
      <c r="H1001" s="63" t="s">
        <v>41</v>
      </c>
      <c r="I1001" s="34" t="s">
        <v>2919</v>
      </c>
      <c r="J1001" s="33"/>
      <c r="K1001" s="35"/>
      <c r="L1001" s="33"/>
      <c r="M1001" s="36"/>
      <c r="N1001" s="33"/>
      <c r="O1001" s="36"/>
      <c r="P1001" s="33"/>
      <c r="Q1001" s="37"/>
      <c r="R1001" s="38"/>
      <c r="S1001" s="33"/>
      <c r="T1001" s="38"/>
      <c r="U1001" s="33"/>
      <c r="V1001" s="39"/>
      <c r="W1001" s="90" t="b">
        <v>0</v>
      </c>
      <c r="X1001" s="90" t="b">
        <v>0</v>
      </c>
      <c r="Y1001" s="90" t="b">
        <v>1</v>
      </c>
      <c r="Z1001" s="40" t="s">
        <v>2758</v>
      </c>
      <c r="AA1001" s="41"/>
      <c r="AK1001" s="16"/>
      <c r="AL1001" s="16"/>
      <c r="AM1001" s="16"/>
      <c r="AN1001" s="16"/>
      <c r="AO1001" s="16"/>
      <c r="AP1001" s="16"/>
      <c r="AQ1001" s="16"/>
      <c r="AR1001" s="16"/>
      <c r="AS1001" s="16"/>
    </row>
    <row r="1002" spans="1:45" s="7" customFormat="1" ht="195" customHeight="1">
      <c r="A1002" s="27">
        <f>[1]트램표준체크리스트!A1059</f>
        <v>1057</v>
      </c>
      <c r="B1002" s="28" t="str">
        <f>[1]트램표준체크리스트!B1059</f>
        <v>전기</v>
      </c>
      <c r="C1002" s="29" t="str">
        <f>[1]트램표준체크리스트!C1059</f>
        <v>7. 친환경/부대 설비</v>
      </c>
      <c r="D1002" s="30" t="str">
        <f>[1]트램표준체크리스트!F1059</f>
        <v>전력변환기기 운용에 따른 역률 저하 대비 커패시터(Capacitor Bank) 설계 누락으로, 전력 손실 증가 및 한전 역률 패널티 요금 부과 리스크를 검토하였는가?</v>
      </c>
      <c r="E1002" s="31" t="s">
        <v>2920</v>
      </c>
      <c r="F1002" s="32" t="str">
        <f t="shared" si="31"/>
        <v>극상</v>
      </c>
      <c r="G1002" s="63" t="s">
        <v>40</v>
      </c>
      <c r="H1002" s="63" t="s">
        <v>41</v>
      </c>
      <c r="I1002" s="34" t="s">
        <v>2921</v>
      </c>
      <c r="J1002" s="33"/>
      <c r="K1002" s="35"/>
      <c r="L1002" s="33"/>
      <c r="M1002" s="36"/>
      <c r="N1002" s="33"/>
      <c r="O1002" s="36"/>
      <c r="P1002" s="33"/>
      <c r="Q1002" s="37"/>
      <c r="R1002" s="38"/>
      <c r="S1002" s="33"/>
      <c r="T1002" s="38"/>
      <c r="U1002" s="33"/>
      <c r="V1002" s="39"/>
      <c r="W1002" s="90" t="b">
        <v>1</v>
      </c>
      <c r="X1002" s="90" t="b">
        <v>0</v>
      </c>
      <c r="Y1002" s="90" t="b">
        <v>0</v>
      </c>
      <c r="Z1002" s="40" t="s">
        <v>2763</v>
      </c>
      <c r="AA1002" s="41"/>
      <c r="AK1002" s="16"/>
      <c r="AL1002" s="16"/>
      <c r="AM1002" s="16"/>
      <c r="AN1002" s="16"/>
      <c r="AO1002" s="16"/>
      <c r="AP1002" s="16"/>
      <c r="AQ1002" s="16"/>
      <c r="AR1002" s="16"/>
      <c r="AS1002" s="16"/>
    </row>
    <row r="1003" spans="1:45" s="7" customFormat="1" ht="195" customHeight="1">
      <c r="A1003" s="27">
        <f>[1]트램표준체크리스트!A1060</f>
        <v>1058</v>
      </c>
      <c r="B1003" s="28" t="str">
        <f>[1]트램표준체크리스트!B1060</f>
        <v>전기</v>
      </c>
      <c r="C1003" s="29" t="str">
        <f>[1]트램표준체크리스트!C1060</f>
        <v>7. 친환경/부대 설비</v>
      </c>
      <c r="D1003" s="30" t="str">
        <f>[1]트램표준체크리스트!F1060</f>
        <v>BEMS/지능형 조명제어시스템과 전력 감시(SCADA) 제어망 간 통신 프로토콜 불일치에 따른 인터페이스 누락 리스크를 검토하였는가?</v>
      </c>
      <c r="E1003" s="31" t="s">
        <v>2922</v>
      </c>
      <c r="F1003" s="32" t="str">
        <f t="shared" si="31"/>
        <v>극상</v>
      </c>
      <c r="G1003" s="63" t="s">
        <v>40</v>
      </c>
      <c r="H1003" s="63" t="s">
        <v>41</v>
      </c>
      <c r="I1003" s="34" t="s">
        <v>2923</v>
      </c>
      <c r="J1003" s="33"/>
      <c r="K1003" s="35"/>
      <c r="L1003" s="33"/>
      <c r="M1003" s="36"/>
      <c r="N1003" s="33"/>
      <c r="O1003" s="36"/>
      <c r="P1003" s="33"/>
      <c r="Q1003" s="37"/>
      <c r="R1003" s="38"/>
      <c r="S1003" s="33"/>
      <c r="T1003" s="38"/>
      <c r="U1003" s="33"/>
      <c r="V1003" s="39"/>
      <c r="W1003" s="90" t="b">
        <v>0</v>
      </c>
      <c r="X1003" s="90" t="b">
        <v>0</v>
      </c>
      <c r="Y1003" s="90" t="b">
        <v>0</v>
      </c>
      <c r="Z1003" s="40" t="s">
        <v>2763</v>
      </c>
      <c r="AA1003" s="41"/>
      <c r="AK1003" s="16"/>
      <c r="AL1003" s="16"/>
      <c r="AM1003" s="16"/>
      <c r="AN1003" s="16"/>
      <c r="AO1003" s="16"/>
      <c r="AP1003" s="16"/>
      <c r="AQ1003" s="16"/>
      <c r="AR1003" s="16"/>
      <c r="AS1003" s="16"/>
    </row>
    <row r="1004" spans="1:45" s="7" customFormat="1" ht="195" customHeight="1">
      <c r="A1004" s="27">
        <f>[1]트램표준체크리스트!A1061</f>
        <v>1059</v>
      </c>
      <c r="B1004" s="28" t="str">
        <f>[1]트램표준체크리스트!B1061</f>
        <v>전기</v>
      </c>
      <c r="C1004" s="29" t="str">
        <f>[1]트램표준체크리스트!C1061</f>
        <v>7. 친환경/부대 설비</v>
      </c>
      <c r="D1004" s="30" t="str">
        <f>[1]트램표준체크리스트!F1061</f>
        <v>태양광 패널 풍·적설하중 산정 오류에 따른 지붕(캐노피 등) 붕괴 및 신재생에너지 의무비율 불만족 리스크를 검토하였는가?</v>
      </c>
      <c r="E1004" s="31" t="s">
        <v>2924</v>
      </c>
      <c r="F1004" s="32" t="str">
        <f t="shared" ref="F1004:F1034" si="32">_xlfn.LET(
_xlpm.v_발생, IF(ISNUMBER(SEARCH("빈번", G1004)), "상",
IF(ISNUMBER(SEARCH("거의", G1004)), "하", "중")),
_xlpm.v_영향, IF(ISNUMBER(SEARCH("1개월", H1004)), "상",
IF(ISNUMBER(SEARCH("없음", H1004)), "하", "중")),
IF(AND(_xlpm.v_발생="상", _xlpm.v_영향="상"), "극상",
IF(OR(_xlpm.v_발생="상", _xlpm.v_영향="상"), "상",
IF(AND(_xlpm.v_발생="하", _xlpm.v_영향="하"), "하",
"중")))
)</f>
        <v>극상</v>
      </c>
      <c r="G1004" s="63" t="s">
        <v>40</v>
      </c>
      <c r="H1004" s="63" t="s">
        <v>41</v>
      </c>
      <c r="I1004" s="34" t="s">
        <v>2925</v>
      </c>
      <c r="J1004" s="33"/>
      <c r="K1004" s="35"/>
      <c r="L1004" s="33"/>
      <c r="M1004" s="36"/>
      <c r="N1004" s="33"/>
      <c r="O1004" s="36"/>
      <c r="P1004" s="33"/>
      <c r="Q1004" s="37"/>
      <c r="R1004" s="38"/>
      <c r="S1004" s="33"/>
      <c r="T1004" s="38"/>
      <c r="U1004" s="33"/>
      <c r="V1004" s="39"/>
      <c r="W1004" s="90" t="b">
        <v>0</v>
      </c>
      <c r="X1004" s="90" t="b">
        <v>0</v>
      </c>
      <c r="Y1004" s="90" t="b">
        <v>0</v>
      </c>
      <c r="Z1004" s="40" t="s">
        <v>2763</v>
      </c>
      <c r="AA1004" s="41"/>
      <c r="AK1004" s="16"/>
      <c r="AL1004" s="16"/>
      <c r="AM1004" s="16"/>
      <c r="AN1004" s="16"/>
      <c r="AO1004" s="16"/>
      <c r="AP1004" s="16"/>
      <c r="AQ1004" s="16"/>
      <c r="AR1004" s="16"/>
      <c r="AS1004" s="16"/>
    </row>
    <row r="1005" spans="1:45" s="7" customFormat="1" ht="195" customHeight="1">
      <c r="A1005" s="27">
        <f>[1]트램표준체크리스트!A1062</f>
        <v>1060</v>
      </c>
      <c r="B1005" s="28" t="str">
        <f>[1]트램표준체크리스트!B1062</f>
        <v>전기</v>
      </c>
      <c r="C1005" s="29" t="str">
        <f>[1]트램표준체크리스트!C1062</f>
        <v>7. 친환경/부대 설비</v>
      </c>
      <c r="D1005" s="30" t="str">
        <f>[1]트램표준체크리스트!F1062</f>
        <v>지열공(U-tube) 지하수·지반 조건 오판으로 열교환 효율이 급감하거나 굴착공 함몰에 의한 배관 파손 리스크를 검토하였는가?</v>
      </c>
      <c r="E1005" s="31" t="s">
        <v>2926</v>
      </c>
      <c r="F1005" s="32" t="str">
        <f t="shared" si="32"/>
        <v>극상</v>
      </c>
      <c r="G1005" s="63" t="s">
        <v>40</v>
      </c>
      <c r="H1005" s="63" t="s">
        <v>41</v>
      </c>
      <c r="I1005" s="34" t="s">
        <v>2927</v>
      </c>
      <c r="J1005" s="33"/>
      <c r="K1005" s="35"/>
      <c r="L1005" s="33"/>
      <c r="M1005" s="36"/>
      <c r="N1005" s="33"/>
      <c r="O1005" s="36"/>
      <c r="P1005" s="33"/>
      <c r="Q1005" s="37"/>
      <c r="R1005" s="38"/>
      <c r="S1005" s="33"/>
      <c r="T1005" s="38"/>
      <c r="U1005" s="33"/>
      <c r="V1005" s="39"/>
      <c r="W1005" s="90" t="b">
        <v>0</v>
      </c>
      <c r="X1005" s="90" t="b">
        <v>0</v>
      </c>
      <c r="Y1005" s="90" t="b">
        <v>0</v>
      </c>
      <c r="Z1005" s="40" t="s">
        <v>2763</v>
      </c>
      <c r="AA1005" s="41"/>
      <c r="AK1005" s="16"/>
      <c r="AL1005" s="16"/>
      <c r="AM1005" s="16"/>
      <c r="AN1005" s="16"/>
      <c r="AO1005" s="16"/>
      <c r="AP1005" s="16"/>
      <c r="AQ1005" s="16"/>
      <c r="AR1005" s="16"/>
      <c r="AS1005" s="16"/>
    </row>
    <row r="1006" spans="1:45" s="7" customFormat="1" ht="195" customHeight="1">
      <c r="A1006" s="27">
        <f>[1]트램표준체크리스트!A1063</f>
        <v>1061</v>
      </c>
      <c r="B1006" s="28" t="str">
        <f>[1]트램표준체크리스트!B1063</f>
        <v>전기</v>
      </c>
      <c r="C1006" s="29" t="str">
        <f>[1]트램표준체크리스트!C1063</f>
        <v>가공전차선 자연재해 방호 계획</v>
      </c>
      <c r="D1006" s="30" t="str">
        <f>[1]트램표준체크리스트!F1063</f>
        <v>풍하중·착빙하중 대비책 누락으로 태풍·폭설 시 전철주 전도 및 전차선이 끊어질 방재 리스크를 검토하였는가?</v>
      </c>
      <c r="E1006" s="31" t="s">
        <v>2928</v>
      </c>
      <c r="F1006" s="32" t="str">
        <f t="shared" si="32"/>
        <v>극상</v>
      </c>
      <c r="G1006" s="63" t="s">
        <v>40</v>
      </c>
      <c r="H1006" s="63" t="s">
        <v>41</v>
      </c>
      <c r="I1006" s="34" t="s">
        <v>2929</v>
      </c>
      <c r="J1006" s="33"/>
      <c r="K1006" s="35"/>
      <c r="L1006" s="33"/>
      <c r="M1006" s="36"/>
      <c r="N1006" s="33"/>
      <c r="O1006" s="36"/>
      <c r="P1006" s="33"/>
      <c r="Q1006" s="37"/>
      <c r="R1006" s="38"/>
      <c r="S1006" s="33"/>
      <c r="T1006" s="38"/>
      <c r="U1006" s="33"/>
      <c r="V1006" s="39"/>
      <c r="W1006" s="90" t="b">
        <v>0</v>
      </c>
      <c r="X1006" s="90" t="b">
        <v>0</v>
      </c>
      <c r="Y1006" s="90" t="b">
        <v>0</v>
      </c>
      <c r="Z1006" s="40" t="s">
        <v>2751</v>
      </c>
      <c r="AA1006" s="41"/>
      <c r="AK1006" s="16"/>
      <c r="AL1006" s="16"/>
      <c r="AM1006" s="16"/>
      <c r="AN1006" s="16"/>
      <c r="AO1006" s="16"/>
      <c r="AP1006" s="16"/>
      <c r="AQ1006" s="16"/>
      <c r="AR1006" s="16"/>
      <c r="AS1006" s="16"/>
    </row>
    <row r="1007" spans="1:45" s="7" customFormat="1" ht="195" customHeight="1">
      <c r="A1007" s="27">
        <f>[1]트램표준체크리스트!A1064</f>
        <v>1062</v>
      </c>
      <c r="B1007" s="28" t="str">
        <f>[1]트램표준체크리스트!B1064</f>
        <v>전기</v>
      </c>
      <c r="C1007" s="29" t="str">
        <f>[1]트램표준체크리스트!C1064</f>
        <v>가공전차선 주요 자재 규격 및 인증 계획</v>
      </c>
      <c r="D1007" s="30" t="str">
        <f>[1]트램표준체크리스트!F1064</f>
        <v>철도 전용 규격(KRS 및 도시철도건설규칙) 누락 및 비표준 자재 반영으로 잦은 단선·부품 탈락이 발생할 리스크를 검토하였는가?</v>
      </c>
      <c r="E1007" s="31" t="s">
        <v>2930</v>
      </c>
      <c r="F1007" s="32" t="str">
        <f t="shared" si="32"/>
        <v>극상</v>
      </c>
      <c r="G1007" s="63" t="s">
        <v>40</v>
      </c>
      <c r="H1007" s="63" t="s">
        <v>41</v>
      </c>
      <c r="I1007" s="34" t="s">
        <v>2931</v>
      </c>
      <c r="J1007" s="33"/>
      <c r="K1007" s="35"/>
      <c r="L1007" s="33"/>
      <c r="M1007" s="36"/>
      <c r="N1007" s="33"/>
      <c r="O1007" s="36"/>
      <c r="P1007" s="33"/>
      <c r="Q1007" s="37"/>
      <c r="R1007" s="38"/>
      <c r="S1007" s="33"/>
      <c r="T1007" s="38"/>
      <c r="U1007" s="33"/>
      <c r="V1007" s="39"/>
      <c r="W1007" s="90" t="b">
        <v>0</v>
      </c>
      <c r="X1007" s="90" t="b">
        <v>0</v>
      </c>
      <c r="Y1007" s="90" t="b">
        <v>0</v>
      </c>
      <c r="Z1007" s="40" t="s">
        <v>2751</v>
      </c>
      <c r="AA1007" s="41"/>
      <c r="AK1007" s="16"/>
      <c r="AL1007" s="16"/>
      <c r="AM1007" s="16"/>
      <c r="AN1007" s="16"/>
      <c r="AO1007" s="16"/>
      <c r="AP1007" s="16"/>
      <c r="AQ1007" s="16"/>
      <c r="AR1007" s="16"/>
      <c r="AS1007" s="16"/>
    </row>
    <row r="1008" spans="1:45" s="7" customFormat="1" ht="195" customHeight="1">
      <c r="A1008" s="27">
        <f>[1]트램표준체크리스트!A1065</f>
        <v>1063</v>
      </c>
      <c r="B1008" s="28" t="str">
        <f>[1]트램표준체크리스트!B1065</f>
        <v>전기</v>
      </c>
      <c r="C1008" s="29" t="str">
        <f>[1]트램표준체크리스트!C1065</f>
        <v>가공전차선 주요 자재 규격 및 인증 계획</v>
      </c>
      <c r="D1008" s="30" t="str">
        <f>[1]트램표준체크리스트!F1065</f>
        <v>발주처의 요구사항으로 검암역 및 인천공항역 싸인물에 대한 추가 전기공사를 반영 리스크를 검토하였는가?</v>
      </c>
      <c r="E1008" s="31" t="s">
        <v>2932</v>
      </c>
      <c r="F1008" s="32" t="str">
        <f t="shared" si="32"/>
        <v>극상</v>
      </c>
      <c r="G1008" s="63" t="s">
        <v>40</v>
      </c>
      <c r="H1008" s="63" t="s">
        <v>41</v>
      </c>
      <c r="I1008" s="34"/>
      <c r="J1008" s="33"/>
      <c r="K1008" s="35"/>
      <c r="L1008" s="33"/>
      <c r="M1008" s="36"/>
      <c r="N1008" s="33"/>
      <c r="O1008" s="36"/>
      <c r="P1008" s="33"/>
      <c r="Q1008" s="37"/>
      <c r="R1008" s="38"/>
      <c r="S1008" s="33"/>
      <c r="T1008" s="38"/>
      <c r="U1008" s="33"/>
      <c r="V1008" s="39"/>
      <c r="W1008" s="90" t="b">
        <v>0</v>
      </c>
      <c r="X1008" s="90" t="b">
        <v>0</v>
      </c>
      <c r="Y1008" s="90" t="b">
        <v>0</v>
      </c>
      <c r="Z1008" s="40" t="s">
        <v>2778</v>
      </c>
      <c r="AA1008" s="41"/>
      <c r="AK1008" s="16"/>
      <c r="AL1008" s="16"/>
      <c r="AM1008" s="16"/>
      <c r="AN1008" s="16"/>
      <c r="AO1008" s="16"/>
      <c r="AP1008" s="16"/>
      <c r="AQ1008" s="16"/>
      <c r="AR1008" s="16"/>
      <c r="AS1008" s="16"/>
    </row>
    <row r="1009" spans="1:45" s="7" customFormat="1" ht="195" customHeight="1">
      <c r="A1009" s="27">
        <f>[1]트램표준체크리스트!A1066</f>
        <v>1064</v>
      </c>
      <c r="B1009" s="28" t="str">
        <f>[1]트램표준체크리스트!B1066</f>
        <v>전기</v>
      </c>
      <c r="C1009" s="29" t="str">
        <f>[1]트램표준체크리스트!C1066</f>
        <v>가공전차선 주요 자재 규격 및 인증 계획</v>
      </c>
      <c r="D1009" s="30" t="str">
        <f>[1]트램표준체크리스트!F1066</f>
        <v>정거장 설계에 대한 유관기관 의견으로 정거장 선로변의 설계공간 확보나, 환기구 규격 변경에서 설계 추가로 인한 특허 변경 및 관련 공사 시행에 따른 설계변경을 통보받 리스크를 검토하였는가?</v>
      </c>
      <c r="E1009" s="31" t="s">
        <v>2933</v>
      </c>
      <c r="F1009" s="32" t="str">
        <f t="shared" si="32"/>
        <v>극상</v>
      </c>
      <c r="G1009" s="63" t="s">
        <v>40</v>
      </c>
      <c r="H1009" s="63" t="s">
        <v>41</v>
      </c>
      <c r="I1009" s="34"/>
      <c r="J1009" s="33"/>
      <c r="K1009" s="35"/>
      <c r="L1009" s="33"/>
      <c r="M1009" s="36"/>
      <c r="N1009" s="33"/>
      <c r="O1009" s="36"/>
      <c r="P1009" s="33"/>
      <c r="Q1009" s="37"/>
      <c r="R1009" s="38"/>
      <c r="S1009" s="33"/>
      <c r="T1009" s="38"/>
      <c r="U1009" s="33"/>
      <c r="V1009" s="39"/>
      <c r="W1009" s="90" t="b">
        <v>0</v>
      </c>
      <c r="X1009" s="90" t="b">
        <v>0</v>
      </c>
      <c r="Y1009" s="90" t="b">
        <v>0</v>
      </c>
      <c r="Z1009" s="40" t="s">
        <v>2778</v>
      </c>
      <c r="AA1009" s="41"/>
      <c r="AK1009" s="16"/>
      <c r="AL1009" s="16"/>
      <c r="AM1009" s="16"/>
      <c r="AN1009" s="16"/>
      <c r="AO1009" s="16"/>
      <c r="AP1009" s="16"/>
      <c r="AQ1009" s="16"/>
      <c r="AR1009" s="16"/>
      <c r="AS1009" s="16"/>
    </row>
    <row r="1010" spans="1:45" s="7" customFormat="1" ht="195" customHeight="1">
      <c r="A1010" s="27">
        <f>[1]트램표준체크리스트!A1067</f>
        <v>1065</v>
      </c>
      <c r="B1010" s="28" t="str">
        <f>[1]트램표준체크리스트!B1067</f>
        <v>전기</v>
      </c>
      <c r="C1010" s="29" t="str">
        <f>[1]트램표준체크리스트!C1067</f>
        <v>귀선회로 변전소 연계 계획</v>
      </c>
      <c r="D1010" s="30" t="str">
        <f>[1]트램표준체크리스트!F1067</f>
        <v>귀선 회로 단일 설계로 케이블 훼손 시 대용량 귀환 전류가 대지로 유출돼 지중 매설물(가스관 등) 전식 및 폭발을 유발할 리스크를 검토하였는가?</v>
      </c>
      <c r="E1010" s="31" t="s">
        <v>2934</v>
      </c>
      <c r="F1010" s="32" t="str">
        <f t="shared" si="32"/>
        <v>극상</v>
      </c>
      <c r="G1010" s="63" t="s">
        <v>40</v>
      </c>
      <c r="H1010" s="63" t="s">
        <v>41</v>
      </c>
      <c r="I1010" s="34" t="s">
        <v>2935</v>
      </c>
      <c r="J1010" s="33"/>
      <c r="K1010" s="35"/>
      <c r="L1010" s="33"/>
      <c r="M1010" s="36"/>
      <c r="N1010" s="33"/>
      <c r="O1010" s="36"/>
      <c r="P1010" s="33"/>
      <c r="Q1010" s="37"/>
      <c r="R1010" s="38"/>
      <c r="S1010" s="33"/>
      <c r="T1010" s="38"/>
      <c r="U1010" s="33"/>
      <c r="V1010" s="39"/>
      <c r="W1010" s="90" t="b">
        <v>0</v>
      </c>
      <c r="X1010" s="90" t="b">
        <v>0</v>
      </c>
      <c r="Y1010" s="90" t="b">
        <v>0</v>
      </c>
      <c r="Z1010" s="40" t="s">
        <v>2751</v>
      </c>
      <c r="AA1010" s="41"/>
      <c r="AK1010" s="16"/>
      <c r="AL1010" s="16"/>
      <c r="AM1010" s="16"/>
      <c r="AN1010" s="16"/>
      <c r="AO1010" s="16"/>
      <c r="AP1010" s="16"/>
      <c r="AQ1010" s="16"/>
      <c r="AR1010" s="16"/>
      <c r="AS1010" s="16"/>
    </row>
    <row r="1011" spans="1:45" s="7" customFormat="1" ht="195" customHeight="1">
      <c r="A1011" s="27">
        <f>[1]트램표준체크리스트!A1068</f>
        <v>1066</v>
      </c>
      <c r="B1011" s="28" t="str">
        <f>[1]트램표준체크리스트!B1068</f>
        <v>전기</v>
      </c>
      <c r="C1011" s="29" t="str">
        <f>[1]트램표준체크리스트!C1068</f>
        <v>귀선회로 변전소 연계 계획</v>
      </c>
      <c r="D1011" s="30" t="str">
        <f>[1]트램표준체크리스트!F1068</f>
        <v>정거장 전원 공급 중단 리스크를 검토하였는가?</v>
      </c>
      <c r="E1011" s="31" t="s">
        <v>2936</v>
      </c>
      <c r="F1011" s="32" t="str">
        <f t="shared" si="32"/>
        <v>극상</v>
      </c>
      <c r="G1011" s="63" t="s">
        <v>40</v>
      </c>
      <c r="H1011" s="63" t="s">
        <v>41</v>
      </c>
      <c r="I1011" s="34"/>
      <c r="J1011" s="33"/>
      <c r="K1011" s="35"/>
      <c r="L1011" s="33"/>
      <c r="M1011" s="36"/>
      <c r="N1011" s="33"/>
      <c r="O1011" s="36"/>
      <c r="P1011" s="33"/>
      <c r="Q1011" s="37"/>
      <c r="R1011" s="38"/>
      <c r="S1011" s="33"/>
      <c r="T1011" s="38"/>
      <c r="U1011" s="33"/>
      <c r="V1011" s="39"/>
      <c r="W1011" s="90" t="b">
        <v>0</v>
      </c>
      <c r="X1011" s="90" t="b">
        <v>0</v>
      </c>
      <c r="Y1011" s="90" t="b">
        <v>0</v>
      </c>
      <c r="Z1011" s="40" t="s">
        <v>2778</v>
      </c>
      <c r="AA1011" s="41"/>
      <c r="AK1011" s="16"/>
      <c r="AL1011" s="16"/>
      <c r="AM1011" s="16"/>
      <c r="AN1011" s="16"/>
      <c r="AO1011" s="16"/>
      <c r="AP1011" s="16"/>
      <c r="AQ1011" s="16"/>
      <c r="AR1011" s="16"/>
      <c r="AS1011" s="16"/>
    </row>
    <row r="1012" spans="1:45" s="7" customFormat="1" ht="195" customHeight="1">
      <c r="A1012" s="27">
        <f>[1]트램표준체크리스트!A1069</f>
        <v>1067</v>
      </c>
      <c r="B1012" s="28" t="str">
        <f>[1]트램표준체크리스트!B1069</f>
        <v>전기</v>
      </c>
      <c r="C1012" s="29" t="str">
        <f>[1]트램표준체크리스트!C1069</f>
        <v>귀선회로 변전소 연계 계획</v>
      </c>
      <c r="D1012" s="30" t="str">
        <f>[1]트램표준체크리스트!F1069</f>
        <v>수전선로 고장으로 인한 변전소 정전 리스크를 검토하였는가?</v>
      </c>
      <c r="E1012" s="31" t="s">
        <v>2937</v>
      </c>
      <c r="F1012" s="32" t="str">
        <f t="shared" si="32"/>
        <v>극상</v>
      </c>
      <c r="G1012" s="63" t="s">
        <v>40</v>
      </c>
      <c r="H1012" s="63" t="s">
        <v>41</v>
      </c>
      <c r="I1012" s="34"/>
      <c r="J1012" s="33"/>
      <c r="K1012" s="35"/>
      <c r="L1012" s="33"/>
      <c r="M1012" s="36"/>
      <c r="N1012" s="33"/>
      <c r="O1012" s="36"/>
      <c r="P1012" s="33"/>
      <c r="Q1012" s="37"/>
      <c r="R1012" s="38"/>
      <c r="S1012" s="33"/>
      <c r="T1012" s="38"/>
      <c r="U1012" s="33"/>
      <c r="V1012" s="39"/>
      <c r="W1012" s="90" t="b">
        <v>0</v>
      </c>
      <c r="X1012" s="90" t="b">
        <v>0</v>
      </c>
      <c r="Y1012" s="90" t="b">
        <v>0</v>
      </c>
      <c r="Z1012" s="40" t="s">
        <v>2778</v>
      </c>
      <c r="AA1012" s="41"/>
      <c r="AK1012" s="16"/>
      <c r="AL1012" s="16"/>
      <c r="AM1012" s="16"/>
      <c r="AN1012" s="16"/>
      <c r="AO1012" s="16"/>
      <c r="AP1012" s="16"/>
      <c r="AQ1012" s="16"/>
      <c r="AR1012" s="16"/>
      <c r="AS1012" s="16"/>
    </row>
    <row r="1013" spans="1:45" s="7" customFormat="1" ht="195" customHeight="1">
      <c r="A1013" s="27">
        <f>[1]트램표준체크리스트!A1070</f>
        <v>1068</v>
      </c>
      <c r="B1013" s="28" t="str">
        <f>[1]트램표준체크리스트!B1070</f>
        <v>전기</v>
      </c>
      <c r="C1013" s="29" t="str">
        <f>[1]트램표준체크리스트!C1070</f>
        <v>귀선회로 변전소 연계 계획</v>
      </c>
      <c r="D1013" s="30" t="str">
        <f>[1]트램표준체크리스트!F1070</f>
        <v>변전소 장비과열, 이물질 등에 의한 화재 리스크를 검토하였는가?</v>
      </c>
      <c r="E1013" s="31" t="s">
        <v>2938</v>
      </c>
      <c r="F1013" s="32" t="str">
        <f t="shared" si="32"/>
        <v>극상</v>
      </c>
      <c r="G1013" s="63" t="s">
        <v>40</v>
      </c>
      <c r="H1013" s="63" t="s">
        <v>41</v>
      </c>
      <c r="I1013" s="34"/>
      <c r="J1013" s="33"/>
      <c r="K1013" s="35"/>
      <c r="L1013" s="33"/>
      <c r="M1013" s="36"/>
      <c r="N1013" s="33"/>
      <c r="O1013" s="36"/>
      <c r="P1013" s="33"/>
      <c r="Q1013" s="37"/>
      <c r="R1013" s="38"/>
      <c r="S1013" s="33"/>
      <c r="T1013" s="38"/>
      <c r="U1013" s="33"/>
      <c r="V1013" s="39"/>
      <c r="W1013" s="90" t="b">
        <v>0</v>
      </c>
      <c r="X1013" s="90" t="b">
        <v>0</v>
      </c>
      <c r="Y1013" s="90" t="b">
        <v>0</v>
      </c>
      <c r="Z1013" s="40" t="s">
        <v>2778</v>
      </c>
      <c r="AA1013" s="41"/>
      <c r="AK1013" s="16"/>
      <c r="AL1013" s="16"/>
      <c r="AM1013" s="16"/>
      <c r="AN1013" s="16"/>
      <c r="AO1013" s="16"/>
      <c r="AP1013" s="16"/>
      <c r="AQ1013" s="16"/>
      <c r="AR1013" s="16"/>
      <c r="AS1013" s="16"/>
    </row>
    <row r="1014" spans="1:45" s="7" customFormat="1" ht="195" customHeight="1">
      <c r="A1014" s="27">
        <f>[1]트램표준체크리스트!A1071</f>
        <v>1069</v>
      </c>
      <c r="B1014" s="28" t="str">
        <f>[1]트램표준체크리스트!B1071</f>
        <v>전기</v>
      </c>
      <c r="C1014" s="29" t="str">
        <f>[1]트램표준체크리스트!C1071</f>
        <v>귀선회로 변전소 연계 계획</v>
      </c>
      <c r="D1014" s="30" t="str">
        <f>[1]트램표준체크리스트!F1071</f>
        <v>혹한 및 혹서에 의한 계전기 오작동 리스크를 검토하였는가?</v>
      </c>
      <c r="E1014" s="31" t="s">
        <v>2939</v>
      </c>
      <c r="F1014" s="32" t="str">
        <f t="shared" si="32"/>
        <v>극상</v>
      </c>
      <c r="G1014" s="63" t="s">
        <v>40</v>
      </c>
      <c r="H1014" s="63" t="s">
        <v>41</v>
      </c>
      <c r="I1014" s="34"/>
      <c r="J1014" s="33"/>
      <c r="K1014" s="35"/>
      <c r="L1014" s="33"/>
      <c r="M1014" s="36"/>
      <c r="N1014" s="33"/>
      <c r="O1014" s="36"/>
      <c r="P1014" s="33"/>
      <c r="Q1014" s="37"/>
      <c r="R1014" s="38"/>
      <c r="S1014" s="33"/>
      <c r="T1014" s="38"/>
      <c r="U1014" s="33"/>
      <c r="V1014" s="39"/>
      <c r="W1014" s="90" t="b">
        <v>0</v>
      </c>
      <c r="X1014" s="90" t="b">
        <v>0</v>
      </c>
      <c r="Y1014" s="90" t="b">
        <v>0</v>
      </c>
      <c r="Z1014" s="40" t="s">
        <v>2778</v>
      </c>
      <c r="AA1014" s="41"/>
      <c r="AK1014" s="16"/>
      <c r="AL1014" s="16"/>
      <c r="AM1014" s="16"/>
      <c r="AN1014" s="16"/>
      <c r="AO1014" s="16"/>
      <c r="AP1014" s="16"/>
      <c r="AQ1014" s="16"/>
      <c r="AR1014" s="16"/>
      <c r="AS1014" s="16"/>
    </row>
    <row r="1015" spans="1:45" s="7" customFormat="1" ht="195" customHeight="1">
      <c r="A1015" s="27">
        <f>[1]트램표준체크리스트!A1072</f>
        <v>1070</v>
      </c>
      <c r="B1015" s="28" t="str">
        <f>[1]트램표준체크리스트!B1072</f>
        <v>전기</v>
      </c>
      <c r="C1015" s="29" t="str">
        <f>[1]트램표준체크리스트!C1072</f>
        <v>급전계통 분리 및 섹션 구분 계획</v>
      </c>
      <c r="D1015" s="30" t="str">
        <f>[1]트램표준체크리스트!F1072</f>
        <v>본선·기지 급전계통 분리 누락으로 차량기지 단락 사고가 본선 광역 정전으로 파급될 리스크를 검토하였는가?</v>
      </c>
      <c r="E1015" s="31" t="s">
        <v>2940</v>
      </c>
      <c r="F1015" s="32" t="str">
        <f t="shared" si="32"/>
        <v>극상</v>
      </c>
      <c r="G1015" s="63" t="s">
        <v>40</v>
      </c>
      <c r="H1015" s="63" t="s">
        <v>41</v>
      </c>
      <c r="I1015" s="34" t="s">
        <v>2941</v>
      </c>
      <c r="J1015" s="33"/>
      <c r="K1015" s="35"/>
      <c r="L1015" s="33"/>
      <c r="M1015" s="36"/>
      <c r="N1015" s="33"/>
      <c r="O1015" s="36"/>
      <c r="P1015" s="33"/>
      <c r="Q1015" s="37"/>
      <c r="R1015" s="38"/>
      <c r="S1015" s="33"/>
      <c r="T1015" s="38"/>
      <c r="U1015" s="33"/>
      <c r="V1015" s="39"/>
      <c r="W1015" s="90" t="b">
        <v>0</v>
      </c>
      <c r="X1015" s="90" t="b">
        <v>0</v>
      </c>
      <c r="Y1015" s="90" t="b">
        <v>0</v>
      </c>
      <c r="Z1015" s="40" t="s">
        <v>2751</v>
      </c>
      <c r="AA1015" s="41"/>
      <c r="AK1015" s="16"/>
      <c r="AL1015" s="16"/>
      <c r="AM1015" s="16"/>
      <c r="AN1015" s="16"/>
      <c r="AO1015" s="16"/>
      <c r="AP1015" s="16"/>
      <c r="AQ1015" s="16"/>
      <c r="AR1015" s="16"/>
      <c r="AS1015" s="16"/>
    </row>
    <row r="1016" spans="1:45" s="7" customFormat="1" ht="195" customHeight="1">
      <c r="A1016" s="27">
        <f>[1]트램표준체크리스트!A1073</f>
        <v>1071</v>
      </c>
      <c r="B1016" s="28" t="str">
        <f>[1]트램표준체크리스트!B1073</f>
        <v>대공종</v>
      </c>
      <c r="C1016" s="29" t="str">
        <f>[1]트램표준체크리스트!C1073</f>
        <v>기타</v>
      </c>
      <c r="D1016" s="30" t="str">
        <f>[1]트램표준체크리스트!F1073</f>
        <v>설계단계 리스크 체크리스트 누락에 따른 사업 지연 리스크를 검토하였는가?</v>
      </c>
      <c r="E1016" s="31" t="s">
        <v>2942</v>
      </c>
      <c r="F1016" s="32" t="str">
        <f t="shared" si="32"/>
        <v>극상</v>
      </c>
      <c r="G1016" s="63" t="s">
        <v>40</v>
      </c>
      <c r="H1016" s="63" t="s">
        <v>41</v>
      </c>
      <c r="I1016" s="34" t="s">
        <v>2943</v>
      </c>
      <c r="J1016" s="33"/>
      <c r="K1016" s="35"/>
      <c r="L1016" s="33"/>
      <c r="M1016" s="36"/>
      <c r="N1016" s="33"/>
      <c r="O1016" s="36"/>
      <c r="P1016" s="33"/>
      <c r="Q1016" s="37"/>
      <c r="R1016" s="38"/>
      <c r="S1016" s="33"/>
      <c r="T1016" s="38"/>
      <c r="U1016" s="33"/>
      <c r="V1016" s="39"/>
      <c r="W1016" s="90" t="b">
        <v>0</v>
      </c>
      <c r="X1016" s="90" t="b">
        <v>0</v>
      </c>
      <c r="Y1016" s="90" t="b">
        <v>0</v>
      </c>
      <c r="Z1016" s="40" t="s">
        <v>2763</v>
      </c>
      <c r="AA1016" s="41"/>
      <c r="AK1016" s="16"/>
      <c r="AL1016" s="16"/>
      <c r="AM1016" s="16"/>
      <c r="AN1016" s="16"/>
      <c r="AO1016" s="16"/>
      <c r="AP1016" s="16"/>
      <c r="AQ1016" s="16"/>
      <c r="AR1016" s="16"/>
      <c r="AS1016" s="16"/>
    </row>
    <row r="1017" spans="1:45" s="7" customFormat="1" ht="195" customHeight="1">
      <c r="A1017" s="27">
        <f>[1]트램표준체크리스트!A1074</f>
        <v>1072</v>
      </c>
      <c r="B1017" s="28" t="str">
        <f>[1]트램표준체크리스트!B1074</f>
        <v>전기</v>
      </c>
      <c r="C1017" s="29" t="str">
        <f>[1]트램표준체크리스트!C1074</f>
        <v>기타</v>
      </c>
      <c r="D1017" s="30" t="str">
        <f>[1]트램표준체크리스트!F1074</f>
        <v>배전반 터널 화재 발생 리스크를 검토하였는가?</v>
      </c>
      <c r="E1017" s="31" t="s">
        <v>2944</v>
      </c>
      <c r="F1017" s="32" t="str">
        <f t="shared" si="32"/>
        <v>극상</v>
      </c>
      <c r="G1017" s="63" t="s">
        <v>40</v>
      </c>
      <c r="H1017" s="63" t="s">
        <v>41</v>
      </c>
      <c r="I1017" s="34"/>
      <c r="J1017" s="33"/>
      <c r="K1017" s="35"/>
      <c r="L1017" s="33"/>
      <c r="M1017" s="36"/>
      <c r="N1017" s="33"/>
      <c r="O1017" s="36"/>
      <c r="P1017" s="33"/>
      <c r="Q1017" s="37"/>
      <c r="R1017" s="38"/>
      <c r="S1017" s="33"/>
      <c r="T1017" s="38"/>
      <c r="U1017" s="33"/>
      <c r="V1017" s="39"/>
      <c r="W1017" s="90" t="b">
        <v>0</v>
      </c>
      <c r="X1017" s="90" t="b">
        <v>0</v>
      </c>
      <c r="Y1017" s="90" t="b">
        <v>0</v>
      </c>
      <c r="Z1017" s="40" t="s">
        <v>2735</v>
      </c>
      <c r="AA1017" s="41"/>
      <c r="AK1017" s="16"/>
      <c r="AL1017" s="16"/>
      <c r="AM1017" s="16"/>
      <c r="AN1017" s="16"/>
      <c r="AO1017" s="16"/>
      <c r="AP1017" s="16"/>
      <c r="AQ1017" s="16"/>
      <c r="AR1017" s="16"/>
      <c r="AS1017" s="16"/>
    </row>
    <row r="1018" spans="1:45" s="7" customFormat="1" ht="195" customHeight="1">
      <c r="A1018" s="27">
        <f>[1]트램표준체크리스트!A1075</f>
        <v>1073</v>
      </c>
      <c r="B1018" s="28" t="str">
        <f>[1]트램표준체크리스트!B1075</f>
        <v>전기</v>
      </c>
      <c r="C1018" s="29" t="str">
        <f>[1]트램표준체크리스트!C1075</f>
        <v>기타</v>
      </c>
      <c r="D1018" s="30" t="str">
        <f>[1]트램표준체크리스트!F1075</f>
        <v>차단기 아크성상에 의한 고압 폭발 리스크를 검토하였는가?</v>
      </c>
      <c r="E1018" s="31" t="s">
        <v>2945</v>
      </c>
      <c r="F1018" s="32" t="str">
        <f t="shared" si="32"/>
        <v>극상</v>
      </c>
      <c r="G1018" s="63" t="s">
        <v>40</v>
      </c>
      <c r="H1018" s="63" t="s">
        <v>41</v>
      </c>
      <c r="I1018" s="34"/>
      <c r="J1018" s="33"/>
      <c r="K1018" s="35"/>
      <c r="L1018" s="33"/>
      <c r="M1018" s="36"/>
      <c r="N1018" s="33"/>
      <c r="O1018" s="36"/>
      <c r="P1018" s="33"/>
      <c r="Q1018" s="37"/>
      <c r="R1018" s="38"/>
      <c r="S1018" s="33"/>
      <c r="T1018" s="38"/>
      <c r="U1018" s="33"/>
      <c r="V1018" s="39"/>
      <c r="W1018" s="90" t="b">
        <v>0</v>
      </c>
      <c r="X1018" s="90" t="b">
        <v>0</v>
      </c>
      <c r="Y1018" s="90" t="b">
        <v>0</v>
      </c>
      <c r="Z1018" s="40" t="s">
        <v>2735</v>
      </c>
      <c r="AA1018" s="41"/>
      <c r="AK1018" s="16"/>
      <c r="AL1018" s="16"/>
      <c r="AM1018" s="16"/>
      <c r="AN1018" s="16"/>
      <c r="AO1018" s="16"/>
      <c r="AP1018" s="16"/>
      <c r="AQ1018" s="16"/>
      <c r="AR1018" s="16"/>
      <c r="AS1018" s="16"/>
    </row>
    <row r="1019" spans="1:45" s="7" customFormat="1" ht="195" customHeight="1">
      <c r="A1019" s="27">
        <f>[1]트램표준체크리스트!A1076</f>
        <v>1074</v>
      </c>
      <c r="B1019" s="28" t="str">
        <f>[1]트램표준체크리스트!B1076</f>
        <v>전기</v>
      </c>
      <c r="C1019" s="29" t="str">
        <f>[1]트램표준체크리스트!C1076</f>
        <v>기타</v>
      </c>
      <c r="D1019" s="30" t="str">
        <f>[1]트램표준체크리스트!F1076</f>
        <v>전력 공급을 위한 인입선 내역이 누락됨 리스크를 검토하였는가?</v>
      </c>
      <c r="E1019" s="31" t="s">
        <v>2946</v>
      </c>
      <c r="F1019" s="32" t="str">
        <f t="shared" si="32"/>
        <v>극상</v>
      </c>
      <c r="G1019" s="63" t="s">
        <v>40</v>
      </c>
      <c r="H1019" s="63" t="s">
        <v>41</v>
      </c>
      <c r="I1019" s="34"/>
      <c r="J1019" s="33"/>
      <c r="K1019" s="35"/>
      <c r="L1019" s="33"/>
      <c r="M1019" s="36"/>
      <c r="N1019" s="33"/>
      <c r="O1019" s="36"/>
      <c r="P1019" s="33"/>
      <c r="Q1019" s="37"/>
      <c r="R1019" s="38"/>
      <c r="S1019" s="33"/>
      <c r="T1019" s="38"/>
      <c r="U1019" s="33"/>
      <c r="V1019" s="39"/>
      <c r="W1019" s="90" t="b">
        <v>0</v>
      </c>
      <c r="X1019" s="90" t="b">
        <v>0</v>
      </c>
      <c r="Y1019" s="90" t="b">
        <v>0</v>
      </c>
      <c r="Z1019" s="40" t="s">
        <v>2778</v>
      </c>
      <c r="AA1019" s="41"/>
      <c r="AK1019" s="16"/>
      <c r="AL1019" s="16"/>
      <c r="AM1019" s="16"/>
      <c r="AN1019" s="16"/>
      <c r="AO1019" s="16"/>
      <c r="AP1019" s="16"/>
      <c r="AQ1019" s="16"/>
      <c r="AR1019" s="16"/>
      <c r="AS1019" s="16"/>
    </row>
    <row r="1020" spans="1:45" s="7" customFormat="1" ht="195" customHeight="1">
      <c r="A1020" s="27">
        <f>[1]트램표준체크리스트!A1077</f>
        <v>1075</v>
      </c>
      <c r="B1020" s="28" t="str">
        <f>[1]트램표준체크리스트!B1077</f>
        <v>전기</v>
      </c>
      <c r="C1020" s="29" t="str">
        <f>[1]트램표준체크리스트!C1077</f>
        <v>변전소 위치 및 직류 전압강하 보상 계획</v>
      </c>
      <c r="D1020" s="30" t="str">
        <f>[1]트램표준체크리스트!F1077</f>
        <v>과도한 변전소 간격 및 연장급전 계통 누락으로, 다수 트램 동시 운행 시 전압 부족에 의해 본선 구배에서 차량이 멈출 리스크를 검토하였는가?</v>
      </c>
      <c r="E1020" s="31" t="s">
        <v>2947</v>
      </c>
      <c r="F1020" s="32" t="str">
        <f t="shared" si="32"/>
        <v>극상</v>
      </c>
      <c r="G1020" s="63" t="s">
        <v>40</v>
      </c>
      <c r="H1020" s="63" t="s">
        <v>41</v>
      </c>
      <c r="I1020" s="34" t="s">
        <v>2948</v>
      </c>
      <c r="J1020" s="33"/>
      <c r="K1020" s="35"/>
      <c r="L1020" s="33"/>
      <c r="M1020" s="36"/>
      <c r="N1020" s="33"/>
      <c r="O1020" s="36"/>
      <c r="P1020" s="33"/>
      <c r="Q1020" s="37"/>
      <c r="R1020" s="38"/>
      <c r="S1020" s="33"/>
      <c r="T1020" s="38"/>
      <c r="U1020" s="33"/>
      <c r="V1020" s="39"/>
      <c r="W1020" s="90" t="b">
        <v>0</v>
      </c>
      <c r="X1020" s="90" t="b">
        <v>0</v>
      </c>
      <c r="Y1020" s="90" t="b">
        <v>0</v>
      </c>
      <c r="Z1020" s="40" t="s">
        <v>2751</v>
      </c>
      <c r="AA1020" s="41"/>
      <c r="AK1020" s="16"/>
      <c r="AL1020" s="16"/>
      <c r="AM1020" s="16"/>
      <c r="AN1020" s="16"/>
      <c r="AO1020" s="16"/>
      <c r="AP1020" s="16"/>
      <c r="AQ1020" s="16"/>
      <c r="AR1020" s="16"/>
      <c r="AS1020" s="16"/>
    </row>
    <row r="1021" spans="1:45" s="7" customFormat="1" ht="195" customHeight="1">
      <c r="A1021" s="27">
        <f>[1]트램표준체크리스트!A1078</f>
        <v>1076</v>
      </c>
      <c r="B1021" s="28" t="str">
        <f>[1]트램표준체크리스트!B1078</f>
        <v>전기</v>
      </c>
      <c r="C1021" s="29" t="str">
        <f>[1]트램표준체크리스트!C1078</f>
        <v>옥외 충전설비 내환경성 및 물리적 보호 계획</v>
      </c>
      <c r="D1021" s="30" t="str">
        <f>[1]트램표준체크리스트!F1078</f>
        <v>기후(강우/강설) 대비 외함 IP등급 및 물리적 보호장치(볼라드 등) 누락으로 설비 파손 및 누전 리스크를 검토하였는가?</v>
      </c>
      <c r="E1021" s="31" t="s">
        <v>2949</v>
      </c>
      <c r="F1021" s="32" t="str">
        <f t="shared" si="32"/>
        <v>극상</v>
      </c>
      <c r="G1021" s="63" t="s">
        <v>40</v>
      </c>
      <c r="H1021" s="63" t="s">
        <v>41</v>
      </c>
      <c r="I1021" s="34" t="s">
        <v>2950</v>
      </c>
      <c r="J1021" s="33"/>
      <c r="K1021" s="35"/>
      <c r="L1021" s="33"/>
      <c r="M1021" s="36"/>
      <c r="N1021" s="33"/>
      <c r="O1021" s="36"/>
      <c r="P1021" s="33"/>
      <c r="Q1021" s="37"/>
      <c r="R1021" s="38"/>
      <c r="S1021" s="33"/>
      <c r="T1021" s="38"/>
      <c r="U1021" s="33"/>
      <c r="V1021" s="39"/>
      <c r="W1021" s="90" t="b">
        <v>0</v>
      </c>
      <c r="X1021" s="90" t="b">
        <v>0</v>
      </c>
      <c r="Y1021" s="90" t="b">
        <v>0</v>
      </c>
      <c r="Z1021" s="40" t="s">
        <v>2871</v>
      </c>
      <c r="AA1021" s="41"/>
      <c r="AK1021" s="16"/>
      <c r="AL1021" s="16"/>
      <c r="AM1021" s="16"/>
      <c r="AN1021" s="16"/>
      <c r="AO1021" s="16"/>
      <c r="AP1021" s="16"/>
      <c r="AQ1021" s="16"/>
      <c r="AR1021" s="16"/>
      <c r="AS1021" s="16"/>
    </row>
    <row r="1022" spans="1:45" s="7" customFormat="1" ht="195" customHeight="1">
      <c r="A1022" s="27">
        <f>[1]트램표준체크리스트!A1079</f>
        <v>1077</v>
      </c>
      <c r="B1022" s="28" t="str">
        <f>[1]트램표준체크리스트!B1079</f>
        <v>전기</v>
      </c>
      <c r="C1022" s="29" t="str">
        <f>[1]트램표준체크리스트!C1079</f>
        <v>전철주 및 지지물 승탑 방지 계획</v>
      </c>
      <c r="D1022" s="30" t="str">
        <f>[1]트램표준체크리스트!F1079</f>
        <v>공공장소 전철주 무단 승탑 방지 시설 누락으로 보행자 특고압 전차선 감전 치명적 인명사고가 발생할 리스크를 검토하였는가?</v>
      </c>
      <c r="E1022" s="31" t="s">
        <v>2951</v>
      </c>
      <c r="F1022" s="32" t="str">
        <f t="shared" si="32"/>
        <v>극상</v>
      </c>
      <c r="G1022" s="63" t="s">
        <v>40</v>
      </c>
      <c r="H1022" s="63" t="s">
        <v>41</v>
      </c>
      <c r="I1022" s="34" t="s">
        <v>2952</v>
      </c>
      <c r="J1022" s="33"/>
      <c r="K1022" s="35"/>
      <c r="L1022" s="33"/>
      <c r="M1022" s="36"/>
      <c r="N1022" s="33"/>
      <c r="O1022" s="36"/>
      <c r="P1022" s="33"/>
      <c r="Q1022" s="37"/>
      <c r="R1022" s="38"/>
      <c r="S1022" s="33"/>
      <c r="T1022" s="38"/>
      <c r="U1022" s="33"/>
      <c r="V1022" s="39"/>
      <c r="W1022" s="90" t="b">
        <v>0</v>
      </c>
      <c r="X1022" s="90" t="b">
        <v>0</v>
      </c>
      <c r="Y1022" s="90" t="b">
        <v>0</v>
      </c>
      <c r="Z1022" s="40" t="s">
        <v>2790</v>
      </c>
      <c r="AA1022" s="41"/>
      <c r="AK1022" s="16"/>
      <c r="AL1022" s="16"/>
      <c r="AM1022" s="16"/>
      <c r="AN1022" s="16"/>
      <c r="AO1022" s="16"/>
      <c r="AP1022" s="16"/>
      <c r="AQ1022" s="16"/>
      <c r="AR1022" s="16"/>
      <c r="AS1022" s="16"/>
    </row>
    <row r="1023" spans="1:45" s="7" customFormat="1" ht="195" customHeight="1">
      <c r="A1023" s="27">
        <f>[1]트램표준체크리스트!A1080</f>
        <v>1078</v>
      </c>
      <c r="B1023" s="28" t="str">
        <f>[1]트램표준체크리스트!B1080</f>
        <v>전기</v>
      </c>
      <c r="C1023" s="29" t="str">
        <f>[1]트램표준체크리스트!C1080</f>
        <v>전철주 및 지지물 승탑 방지 계획</v>
      </c>
      <c r="D1023" s="30" t="str">
        <f>[1]트램표준체크리스트!F1080</f>
        <v>주변 빛 확산 방지를 위한 빛가림막 후드 내역이 누락됨 리스크를 검토하였는가?</v>
      </c>
      <c r="E1023" s="31" t="s">
        <v>2946</v>
      </c>
      <c r="F1023" s="32" t="str">
        <f t="shared" si="32"/>
        <v>극상</v>
      </c>
      <c r="G1023" s="63" t="s">
        <v>40</v>
      </c>
      <c r="H1023" s="63" t="s">
        <v>41</v>
      </c>
      <c r="I1023" s="34"/>
      <c r="J1023" s="33"/>
      <c r="K1023" s="35"/>
      <c r="L1023" s="33"/>
      <c r="M1023" s="36"/>
      <c r="N1023" s="33"/>
      <c r="O1023" s="36"/>
      <c r="P1023" s="33"/>
      <c r="Q1023" s="37"/>
      <c r="R1023" s="38"/>
      <c r="S1023" s="33"/>
      <c r="T1023" s="38"/>
      <c r="U1023" s="33"/>
      <c r="V1023" s="39"/>
      <c r="W1023" s="90" t="b">
        <v>0</v>
      </c>
      <c r="X1023" s="90" t="b">
        <v>0</v>
      </c>
      <c r="Y1023" s="90" t="b">
        <v>0</v>
      </c>
      <c r="Z1023" s="40" t="s">
        <v>2778</v>
      </c>
      <c r="AA1023" s="41"/>
      <c r="AK1023" s="16"/>
      <c r="AL1023" s="16"/>
      <c r="AM1023" s="16"/>
      <c r="AN1023" s="16"/>
      <c r="AO1023" s="16"/>
      <c r="AP1023" s="16"/>
      <c r="AQ1023" s="16"/>
      <c r="AR1023" s="16"/>
      <c r="AS1023" s="16"/>
    </row>
    <row r="1024" spans="1:45" s="7" customFormat="1" ht="195" customHeight="1">
      <c r="A1024" s="27">
        <f>[1]트램표준체크리스트!A1081</f>
        <v>1079</v>
      </c>
      <c r="B1024" s="28" t="str">
        <f>[1]트램표준체크리스트!B1081</f>
        <v>전기</v>
      </c>
      <c r="C1024" s="29" t="str">
        <f>[1]트램표준체크리스트!C1081</f>
        <v>접지설비 내진동 및 유지보수 접근성 계획</v>
      </c>
      <c r="D1024" s="30" t="str">
        <f>[1]트램표준체크리스트!F1081</f>
        <v>내진동 체결 방식 및 유지보수 접근성 미고려로, 열차 진동에 의한 접지선 이탈 및 인체 감전 보호망이 상실될 리스크를 검토하였는가?</v>
      </c>
      <c r="E1024" s="31" t="s">
        <v>2953</v>
      </c>
      <c r="F1024" s="32" t="str">
        <f t="shared" si="32"/>
        <v>극상</v>
      </c>
      <c r="G1024" s="63" t="s">
        <v>40</v>
      </c>
      <c r="H1024" s="63" t="s">
        <v>41</v>
      </c>
      <c r="I1024" s="34" t="s">
        <v>2954</v>
      </c>
      <c r="J1024" s="33"/>
      <c r="K1024" s="35"/>
      <c r="L1024" s="33"/>
      <c r="M1024" s="36"/>
      <c r="N1024" s="33"/>
      <c r="O1024" s="36"/>
      <c r="P1024" s="33"/>
      <c r="Q1024" s="37"/>
      <c r="R1024" s="38"/>
      <c r="S1024" s="33"/>
      <c r="T1024" s="38"/>
      <c r="U1024" s="33"/>
      <c r="V1024" s="39"/>
      <c r="W1024" s="90" t="b">
        <v>0</v>
      </c>
      <c r="X1024" s="90" t="b">
        <v>0</v>
      </c>
      <c r="Y1024" s="90" t="b">
        <v>0</v>
      </c>
      <c r="Z1024" s="40" t="s">
        <v>2751</v>
      </c>
      <c r="AA1024" s="41"/>
      <c r="AK1024" s="16"/>
      <c r="AL1024" s="16"/>
      <c r="AM1024" s="16"/>
      <c r="AN1024" s="16"/>
      <c r="AO1024" s="16"/>
      <c r="AP1024" s="16"/>
      <c r="AQ1024" s="16"/>
      <c r="AR1024" s="16"/>
      <c r="AS1024" s="16"/>
    </row>
    <row r="1025" spans="1:45" s="7" customFormat="1" ht="195" customHeight="1">
      <c r="A1025" s="27">
        <f>[1]트램표준체크리스트!A1082</f>
        <v>1080</v>
      </c>
      <c r="B1025" s="28" t="str">
        <f>[1]트램표준체크리스트!B1082</f>
        <v>전기</v>
      </c>
      <c r="C1025" s="29" t="str">
        <f>[1]트램표준체크리스트!C1082</f>
        <v>정거장 무가선 충전설비 안전 계획</v>
      </c>
      <c r="D1025" s="30" t="str">
        <f>[1]트램표준체크리스트!F1082</f>
        <v>충전설비 인터록 회로 및 외함 절연·접지 누락으로, 우천 및 승객 접근 시 고압 감전 사고가 발생할 방재 리스크를 검토하였는가?</v>
      </c>
      <c r="E1025" s="31" t="s">
        <v>2955</v>
      </c>
      <c r="F1025" s="32" t="str">
        <f t="shared" si="32"/>
        <v>극상</v>
      </c>
      <c r="G1025" s="63" t="s">
        <v>40</v>
      </c>
      <c r="H1025" s="63" t="s">
        <v>41</v>
      </c>
      <c r="I1025" s="34" t="s">
        <v>2956</v>
      </c>
      <c r="J1025" s="33"/>
      <c r="K1025" s="35"/>
      <c r="L1025" s="33"/>
      <c r="M1025" s="36"/>
      <c r="N1025" s="33"/>
      <c r="O1025" s="36"/>
      <c r="P1025" s="33"/>
      <c r="Q1025" s="37"/>
      <c r="R1025" s="38"/>
      <c r="S1025" s="33"/>
      <c r="T1025" s="38"/>
      <c r="U1025" s="33"/>
      <c r="V1025" s="39"/>
      <c r="W1025" s="90" t="b">
        <v>0</v>
      </c>
      <c r="X1025" s="90" t="b">
        <v>0</v>
      </c>
      <c r="Y1025" s="90" t="b">
        <v>0</v>
      </c>
      <c r="Z1025" s="40" t="s">
        <v>2751</v>
      </c>
      <c r="AA1025" s="41"/>
      <c r="AK1025" s="16"/>
      <c r="AL1025" s="16"/>
      <c r="AM1025" s="16"/>
      <c r="AN1025" s="16"/>
      <c r="AO1025" s="16"/>
      <c r="AP1025" s="16"/>
      <c r="AQ1025" s="16"/>
      <c r="AR1025" s="16"/>
      <c r="AS1025" s="16"/>
    </row>
    <row r="1026" spans="1:45" s="7" customFormat="1" ht="195" customHeight="1">
      <c r="A1026" s="27">
        <f>[1]트램표준체크리스트!A1083</f>
        <v>1081</v>
      </c>
      <c r="B1026" s="28" t="str">
        <f>[1]트램표준체크리스트!B1083</f>
        <v>전기</v>
      </c>
      <c r="C1026" s="29" t="str">
        <f>[1]트램표준체크리스트!C1083</f>
        <v>정거장 무가선 충전설비 안전 계획</v>
      </c>
      <c r="D1026" s="30" t="str">
        <f>[1]트램표준체크리스트!F1083</f>
        <v>충전케이블 바닥 노출에 따른 승객 전도 사고 방지용 상부 고가 지원장치 및 야간 전용 조명 누락 리스크를 검토하였는가?</v>
      </c>
      <c r="E1026" s="31" t="s">
        <v>2957</v>
      </c>
      <c r="F1026" s="32" t="str">
        <f t="shared" si="32"/>
        <v>극상</v>
      </c>
      <c r="G1026" s="63" t="s">
        <v>40</v>
      </c>
      <c r="H1026" s="63" t="s">
        <v>41</v>
      </c>
      <c r="I1026" s="34" t="s">
        <v>2958</v>
      </c>
      <c r="J1026" s="33"/>
      <c r="K1026" s="35"/>
      <c r="L1026" s="33"/>
      <c r="M1026" s="36"/>
      <c r="N1026" s="33"/>
      <c r="O1026" s="36"/>
      <c r="P1026" s="33"/>
      <c r="Q1026" s="37"/>
      <c r="R1026" s="38"/>
      <c r="S1026" s="33"/>
      <c r="T1026" s="38"/>
      <c r="U1026" s="33"/>
      <c r="V1026" s="39"/>
      <c r="W1026" s="90" t="b">
        <v>1</v>
      </c>
      <c r="X1026" s="90" t="b">
        <v>0</v>
      </c>
      <c r="Y1026" s="90" t="b">
        <v>0</v>
      </c>
      <c r="Z1026" s="40" t="s">
        <v>2959</v>
      </c>
      <c r="AA1026" s="41"/>
      <c r="AK1026" s="16"/>
      <c r="AL1026" s="16"/>
      <c r="AM1026" s="16"/>
      <c r="AN1026" s="16"/>
      <c r="AO1026" s="16"/>
      <c r="AP1026" s="16"/>
      <c r="AQ1026" s="16"/>
      <c r="AR1026" s="16"/>
      <c r="AS1026" s="16"/>
    </row>
    <row r="1027" spans="1:45" s="7" customFormat="1" ht="195" customHeight="1">
      <c r="A1027" s="27">
        <f>[1]트램표준체크리스트!A1084</f>
        <v>1082</v>
      </c>
      <c r="B1027" s="28" t="str">
        <f>[1]트램표준체크리스트!B1084</f>
        <v>전기</v>
      </c>
      <c r="C1027" s="29" t="str">
        <f>[1]트램표준체크리스트!C1084</f>
        <v>정거장 무가선 충전설비 안전 계획</v>
      </c>
      <c r="D1027" s="30" t="str">
        <f>[1]트램표준체크리스트!F1084</f>
        <v>유지보수 및 정기점검시, 정거장 승객 등의 감전 사고 리스크를 검토하였는가?</v>
      </c>
      <c r="E1027" s="31" t="s">
        <v>2960</v>
      </c>
      <c r="F1027" s="32" t="str">
        <f t="shared" si="32"/>
        <v>극상</v>
      </c>
      <c r="G1027" s="63" t="s">
        <v>40</v>
      </c>
      <c r="H1027" s="63" t="s">
        <v>41</v>
      </c>
      <c r="I1027" s="34"/>
      <c r="J1027" s="33"/>
      <c r="K1027" s="35"/>
      <c r="L1027" s="33"/>
      <c r="M1027" s="36"/>
      <c r="N1027" s="33"/>
      <c r="O1027" s="36"/>
      <c r="P1027" s="33"/>
      <c r="Q1027" s="37"/>
      <c r="R1027" s="38"/>
      <c r="S1027" s="33"/>
      <c r="T1027" s="38"/>
      <c r="U1027" s="33"/>
      <c r="V1027" s="39"/>
      <c r="W1027" s="90" t="b">
        <v>0</v>
      </c>
      <c r="X1027" s="90" t="b">
        <v>0</v>
      </c>
      <c r="Y1027" s="90" t="b">
        <v>0</v>
      </c>
      <c r="Z1027" s="40" t="s">
        <v>2778</v>
      </c>
      <c r="AA1027" s="41"/>
      <c r="AK1027" s="16"/>
      <c r="AL1027" s="16"/>
      <c r="AM1027" s="16"/>
      <c r="AN1027" s="16"/>
      <c r="AO1027" s="16"/>
      <c r="AP1027" s="16"/>
      <c r="AQ1027" s="16"/>
      <c r="AR1027" s="16"/>
      <c r="AS1027" s="16"/>
    </row>
    <row r="1028" spans="1:45" s="7" customFormat="1" ht="195" customHeight="1">
      <c r="A1028" s="27">
        <f>[1]트램표준체크리스트!A1085</f>
        <v>1083</v>
      </c>
      <c r="B1028" s="28" t="str">
        <f>[1]트램표준체크리스트!B1085</f>
        <v>전기</v>
      </c>
      <c r="C1028" s="29" t="str">
        <f>[1]트램표준체크리스트!C1085</f>
        <v>제3레일 방식 차량 인터페이스 계획</v>
      </c>
      <c r="D1028" s="30" t="str">
        <f>[1]트램표준체크리스트!F1085</f>
        <v>제3레일 방호덮개 및 물리적 차단 설비 누락으로 무단 침입에 따른 고압 감전 치명적 인명사고가 발생할 리스크를 검토하였는가?</v>
      </c>
      <c r="E1028" s="31" t="s">
        <v>2961</v>
      </c>
      <c r="F1028" s="32" t="str">
        <f t="shared" si="32"/>
        <v>극상</v>
      </c>
      <c r="G1028" s="63" t="s">
        <v>40</v>
      </c>
      <c r="H1028" s="63" t="s">
        <v>41</v>
      </c>
      <c r="I1028" s="34" t="s">
        <v>2962</v>
      </c>
      <c r="J1028" s="33"/>
      <c r="K1028" s="35"/>
      <c r="L1028" s="33"/>
      <c r="M1028" s="36"/>
      <c r="N1028" s="33"/>
      <c r="O1028" s="36"/>
      <c r="P1028" s="33"/>
      <c r="Q1028" s="37"/>
      <c r="R1028" s="38"/>
      <c r="S1028" s="33"/>
      <c r="T1028" s="38"/>
      <c r="U1028" s="33"/>
      <c r="V1028" s="39"/>
      <c r="W1028" s="90" t="b">
        <v>0</v>
      </c>
      <c r="X1028" s="90" t="b">
        <v>0</v>
      </c>
      <c r="Y1028" s="90" t="b">
        <v>0</v>
      </c>
      <c r="Z1028" s="40" t="s">
        <v>2751</v>
      </c>
      <c r="AA1028" s="41"/>
      <c r="AK1028" s="16"/>
      <c r="AL1028" s="16"/>
      <c r="AM1028" s="16"/>
      <c r="AN1028" s="16"/>
      <c r="AO1028" s="16"/>
      <c r="AP1028" s="16"/>
      <c r="AQ1028" s="16"/>
      <c r="AR1028" s="16"/>
      <c r="AS1028" s="16"/>
    </row>
    <row r="1029" spans="1:45" s="7" customFormat="1" ht="195" customHeight="1">
      <c r="A1029" s="27">
        <f>[1]트램표준체크리스트!A1086</f>
        <v>1084</v>
      </c>
      <c r="B1029" s="28" t="str">
        <f>[1]트램표준체크리스트!B1086</f>
        <v>전기</v>
      </c>
      <c r="C1029" s="29" t="str">
        <f>[1]트램표준체크리스트!C1086</f>
        <v>제3레일 방식 차량 인터페이스 계획</v>
      </c>
      <c r="D1029" s="30" t="str">
        <f>[1]트램표준체크리스트!F1086</f>
        <v>제3레일 설계 시 차량 제원 및 KRSA 규격 간 동적 호환성 검토 누락으로, 차량 집전장치(Shoe Gear)-제3레일 간 물리적 충돌·집전 불량이 발생할 리스크를 검토하였는가?</v>
      </c>
      <c r="E1029" s="31" t="s">
        <v>2963</v>
      </c>
      <c r="F1029" s="32" t="str">
        <f t="shared" si="32"/>
        <v>극상</v>
      </c>
      <c r="G1029" s="63" t="s">
        <v>40</v>
      </c>
      <c r="H1029" s="63" t="s">
        <v>41</v>
      </c>
      <c r="I1029" s="34" t="s">
        <v>2964</v>
      </c>
      <c r="J1029" s="33"/>
      <c r="K1029" s="35"/>
      <c r="L1029" s="33"/>
      <c r="M1029" s="36"/>
      <c r="N1029" s="33"/>
      <c r="O1029" s="36"/>
      <c r="P1029" s="33"/>
      <c r="Q1029" s="37"/>
      <c r="R1029" s="38"/>
      <c r="S1029" s="33"/>
      <c r="T1029" s="38"/>
      <c r="U1029" s="33"/>
      <c r="V1029" s="39"/>
      <c r="W1029" s="90" t="b">
        <v>0</v>
      </c>
      <c r="X1029" s="90" t="b">
        <v>0</v>
      </c>
      <c r="Y1029" s="90" t="b">
        <v>0</v>
      </c>
      <c r="Z1029" s="40" t="s">
        <v>2751</v>
      </c>
      <c r="AA1029" s="41"/>
      <c r="AK1029" s="16"/>
      <c r="AL1029" s="16"/>
      <c r="AM1029" s="16"/>
      <c r="AN1029" s="16"/>
      <c r="AO1029" s="16"/>
      <c r="AP1029" s="16"/>
      <c r="AQ1029" s="16"/>
      <c r="AR1029" s="16"/>
      <c r="AS1029" s="16"/>
    </row>
    <row r="1030" spans="1:45" s="7" customFormat="1" ht="195" customHeight="1">
      <c r="A1030" s="27">
        <f>[1]트램표준체크리스트!A1087</f>
        <v>1085</v>
      </c>
      <c r="B1030" s="28" t="str">
        <f>[1]트램표준체크리스트!B1087</f>
        <v>전기</v>
      </c>
      <c r="C1030" s="29" t="str">
        <f>[1]트램표준체크리스트!C1087</f>
        <v>지중 전력전선로 접속점 수밀 및 유지보수 계획</v>
      </c>
      <c r="D1030" s="30" t="str">
        <f>[1]트램표준체크리스트!F1087</f>
        <v>매입전선관 접속점 수밀 마감 대책 및 교체용 여유 관로 누락으로, 침수에 따른 전력 마비 및 보수 시 도로 재굴착이 발생할 리스크를 검토하였는가?</v>
      </c>
      <c r="E1030" s="31" t="s">
        <v>2965</v>
      </c>
      <c r="F1030" s="32" t="str">
        <f t="shared" si="32"/>
        <v>극상</v>
      </c>
      <c r="G1030" s="63" t="s">
        <v>40</v>
      </c>
      <c r="H1030" s="63" t="s">
        <v>41</v>
      </c>
      <c r="I1030" s="34" t="s">
        <v>2966</v>
      </c>
      <c r="J1030" s="33"/>
      <c r="K1030" s="35"/>
      <c r="L1030" s="33"/>
      <c r="M1030" s="36"/>
      <c r="N1030" s="33"/>
      <c r="O1030" s="36"/>
      <c r="P1030" s="33"/>
      <c r="Q1030" s="37"/>
      <c r="R1030" s="38"/>
      <c r="S1030" s="33"/>
      <c r="T1030" s="38"/>
      <c r="U1030" s="33"/>
      <c r="V1030" s="39"/>
      <c r="W1030" s="90" t="b">
        <v>0</v>
      </c>
      <c r="X1030" s="90" t="b">
        <v>0</v>
      </c>
      <c r="Y1030" s="90" t="b">
        <v>0</v>
      </c>
      <c r="Z1030" s="40" t="s">
        <v>2751</v>
      </c>
      <c r="AA1030" s="41"/>
      <c r="AK1030" s="16"/>
      <c r="AL1030" s="16"/>
      <c r="AM1030" s="16"/>
      <c r="AN1030" s="16"/>
      <c r="AO1030" s="16"/>
      <c r="AP1030" s="16"/>
      <c r="AQ1030" s="16"/>
      <c r="AR1030" s="16"/>
      <c r="AS1030" s="16"/>
    </row>
    <row r="1031" spans="1:45" s="7" customFormat="1" ht="195" customHeight="1">
      <c r="A1031" s="27">
        <f>[1]트램표준체크리스트!A1088</f>
        <v>1086</v>
      </c>
      <c r="B1031" s="28" t="str">
        <f>[1]트램표준체크리스트!B1088</f>
        <v>전기</v>
      </c>
      <c r="C1031" s="29" t="str">
        <f>[1]트램표준체크리스트!C1088</f>
        <v>직류 급전계통 표준전압 계획</v>
      </c>
      <c r="D1031" s="30" t="str">
        <f>[1]트램표준체크리스트!F1088</f>
        <v>표준전압(DC 750V) 및 전압변동률 대비 절연 레벨 과소 산정으로 과전압 시 케이블 절연 파괴 및 전력기기가 소손될 리스크를 검토하였는가?</v>
      </c>
      <c r="E1031" s="31" t="s">
        <v>2967</v>
      </c>
      <c r="F1031" s="32" t="str">
        <f t="shared" si="32"/>
        <v>극상</v>
      </c>
      <c r="G1031" s="63" t="s">
        <v>40</v>
      </c>
      <c r="H1031" s="63" t="s">
        <v>41</v>
      </c>
      <c r="I1031" s="34" t="s">
        <v>2968</v>
      </c>
      <c r="J1031" s="33"/>
      <c r="K1031" s="35"/>
      <c r="L1031" s="33"/>
      <c r="M1031" s="36"/>
      <c r="N1031" s="33"/>
      <c r="O1031" s="36"/>
      <c r="P1031" s="33"/>
      <c r="Q1031" s="37"/>
      <c r="R1031" s="38"/>
      <c r="S1031" s="33"/>
      <c r="T1031" s="38"/>
      <c r="U1031" s="33"/>
      <c r="V1031" s="39"/>
      <c r="W1031" s="90" t="b">
        <v>0</v>
      </c>
      <c r="X1031" s="90" t="b">
        <v>0</v>
      </c>
      <c r="Y1031" s="90" t="b">
        <v>0</v>
      </c>
      <c r="Z1031" s="40" t="s">
        <v>2751</v>
      </c>
      <c r="AA1031" s="41"/>
      <c r="AK1031" s="16"/>
      <c r="AL1031" s="16"/>
      <c r="AM1031" s="16"/>
      <c r="AN1031" s="16"/>
      <c r="AO1031" s="16"/>
      <c r="AP1031" s="16"/>
      <c r="AQ1031" s="16"/>
      <c r="AR1031" s="16"/>
      <c r="AS1031" s="16"/>
    </row>
    <row r="1032" spans="1:45" s="7" customFormat="1" ht="195" customHeight="1">
      <c r="A1032" s="27">
        <f>[1]트램표준체크리스트!A1089</f>
        <v>1087</v>
      </c>
      <c r="B1032" s="28" t="str">
        <f>[1]트램표준체크리스트!B1089</f>
        <v>전기</v>
      </c>
      <c r="C1032" s="29" t="str">
        <f>[1]트램표준체크리스트!C1089</f>
        <v>직류급전시스템 전식방지 계획</v>
      </c>
      <c r="D1032" s="30" t="str">
        <f>[1]트램표준체크리스트!F1089</f>
        <v>누설전류 차단용 절연 설계 및 전식방지설비(배류기 등) 누락으로 장기 운영 시 인접 가스·상수도관 천공 및 폭발을 유발할 리스크를 검토하였는가?</v>
      </c>
      <c r="E1032" s="31" t="s">
        <v>2969</v>
      </c>
      <c r="F1032" s="32" t="str">
        <f t="shared" si="32"/>
        <v>극상</v>
      </c>
      <c r="G1032" s="63" t="s">
        <v>40</v>
      </c>
      <c r="H1032" s="63" t="s">
        <v>41</v>
      </c>
      <c r="I1032" s="34" t="s">
        <v>2970</v>
      </c>
      <c r="J1032" s="33"/>
      <c r="K1032" s="35"/>
      <c r="L1032" s="33"/>
      <c r="M1032" s="36"/>
      <c r="N1032" s="33"/>
      <c r="O1032" s="36"/>
      <c r="P1032" s="33"/>
      <c r="Q1032" s="37"/>
      <c r="R1032" s="38"/>
      <c r="S1032" s="33"/>
      <c r="T1032" s="38"/>
      <c r="U1032" s="33"/>
      <c r="V1032" s="39"/>
      <c r="W1032" s="90" t="b">
        <v>0</v>
      </c>
      <c r="X1032" s="90" t="b">
        <v>0</v>
      </c>
      <c r="Y1032" s="90" t="b">
        <v>0</v>
      </c>
      <c r="Z1032" s="40" t="s">
        <v>2751</v>
      </c>
      <c r="AA1032" s="41"/>
      <c r="AK1032" s="16"/>
      <c r="AL1032" s="16"/>
      <c r="AM1032" s="16"/>
      <c r="AN1032" s="16"/>
      <c r="AO1032" s="16"/>
      <c r="AP1032" s="16"/>
      <c r="AQ1032" s="16"/>
      <c r="AR1032" s="16"/>
      <c r="AS1032" s="16"/>
    </row>
    <row r="1033" spans="1:45" s="7" customFormat="1" ht="195" customHeight="1">
      <c r="A1033" s="27">
        <f>[1]트램표준체크리스트!A1090</f>
        <v>1088</v>
      </c>
      <c r="B1033" s="28" t="str">
        <f>[1]트램표준체크리스트!B1090</f>
        <v>전기</v>
      </c>
      <c r="C1033" s="29" t="str">
        <f>[1]트램표준체크리스트!C1090</f>
        <v>차량기지 구내 기능별 전차선 급전계통 세분화 계획</v>
      </c>
      <c r="D1033" s="30" t="str">
        <f>[1]트램표준체크리스트!F1090</f>
        <v>급전 군(Group) 세분화 및 단로기 분리 설계 누락으로, 국소 장애 조치를 위해 기지 전체 전원을 일괄 차단하는 운영 마비 리스크를 검토하였는가?</v>
      </c>
      <c r="E1033" s="31" t="s">
        <v>2971</v>
      </c>
      <c r="F1033" s="32" t="str">
        <f t="shared" si="32"/>
        <v>극상</v>
      </c>
      <c r="G1033" s="63" t="s">
        <v>40</v>
      </c>
      <c r="H1033" s="63" t="s">
        <v>41</v>
      </c>
      <c r="I1033" s="34" t="s">
        <v>2972</v>
      </c>
      <c r="J1033" s="33"/>
      <c r="K1033" s="35"/>
      <c r="L1033" s="33"/>
      <c r="M1033" s="36"/>
      <c r="N1033" s="33"/>
      <c r="O1033" s="36"/>
      <c r="P1033" s="33"/>
      <c r="Q1033" s="37"/>
      <c r="R1033" s="38"/>
      <c r="S1033" s="33"/>
      <c r="T1033" s="38"/>
      <c r="U1033" s="33"/>
      <c r="V1033" s="39"/>
      <c r="W1033" s="90" t="b">
        <v>0</v>
      </c>
      <c r="X1033" s="90" t="b">
        <v>0</v>
      </c>
      <c r="Y1033" s="90" t="b">
        <v>0</v>
      </c>
      <c r="Z1033" s="40" t="s">
        <v>2751</v>
      </c>
      <c r="AA1033" s="41"/>
      <c r="AK1033" s="16"/>
      <c r="AL1033" s="16"/>
      <c r="AM1033" s="16"/>
      <c r="AN1033" s="16"/>
      <c r="AO1033" s="16"/>
      <c r="AP1033" s="16"/>
      <c r="AQ1033" s="16"/>
      <c r="AR1033" s="16"/>
      <c r="AS1033" s="16"/>
    </row>
    <row r="1034" spans="1:45" s="7" customFormat="1" ht="195" customHeight="1">
      <c r="A1034" s="27">
        <f>[1]트램표준체크리스트!A1091</f>
        <v>1089</v>
      </c>
      <c r="B1034" s="28" t="str">
        <f>[1]트램표준체크리스트!B1091</f>
        <v>전기</v>
      </c>
      <c r="C1034" s="29" t="str">
        <f>[1]트램표준체크리스트!C1091</f>
        <v>차량기지 구내 기능별 전차선 급전계통 세분화 계획</v>
      </c>
      <c r="D1034" s="30" t="str">
        <f>[1]트램표준체크리스트!F1091</f>
        <v>설계시 전차선은 완전 철거후 신설토록 계획되었으나, 익산정거장은 역내 전력기관차가 입고하기기에 당초 계획대비 임시전차선이 필요한 상황임. 코레일 열차운행계획상 역내 차량별(KTX, 무궁화)로 명시되어 있으나 열차종류(전기, 디젤)가 확정되지 않아 설계시 전기기관차의 역구내 운행을 반영하지 못 리스크를 검토하였는가?</v>
      </c>
      <c r="E1034" s="31" t="s">
        <v>2973</v>
      </c>
      <c r="F1034" s="32" t="str">
        <f t="shared" si="32"/>
        <v>극상</v>
      </c>
      <c r="G1034" s="63" t="s">
        <v>40</v>
      </c>
      <c r="H1034" s="63" t="s">
        <v>41</v>
      </c>
      <c r="I1034" s="34"/>
      <c r="J1034" s="33"/>
      <c r="K1034" s="35"/>
      <c r="L1034" s="33"/>
      <c r="M1034" s="36"/>
      <c r="N1034" s="33"/>
      <c r="O1034" s="36"/>
      <c r="P1034" s="33"/>
      <c r="Q1034" s="37"/>
      <c r="R1034" s="38"/>
      <c r="S1034" s="33"/>
      <c r="T1034" s="38"/>
      <c r="U1034" s="33"/>
      <c r="V1034" s="39"/>
      <c r="W1034" s="90" t="b">
        <v>0</v>
      </c>
      <c r="X1034" s="90" t="b">
        <v>0</v>
      </c>
      <c r="Y1034" s="90" t="b">
        <v>0</v>
      </c>
      <c r="Z1034" s="40" t="s">
        <v>2778</v>
      </c>
      <c r="AA1034" s="41"/>
      <c r="AK1034" s="16"/>
      <c r="AL1034" s="16"/>
      <c r="AM1034" s="16"/>
      <c r="AN1034" s="16"/>
      <c r="AO1034" s="16"/>
      <c r="AP1034" s="16"/>
      <c r="AQ1034" s="16"/>
      <c r="AR1034" s="16"/>
      <c r="AS1034" s="16"/>
    </row>
    <row r="1035" spans="1:45" s="7" customFormat="1" ht="195" customHeight="1">
      <c r="A1035" s="27">
        <f>[1]트램표준체크리스트!A1092</f>
        <v>1090</v>
      </c>
      <c r="B1035" s="28" t="str">
        <f>[1]트램표준체크리스트!B1092</f>
        <v>전기</v>
      </c>
      <c r="C1035" s="29" t="str">
        <f>[1]트램표준체크리스트!C1092</f>
        <v>차량기지 구내 기능별 전차선 급전계통 세분화 계획</v>
      </c>
      <c r="D1035" s="30" t="str">
        <f>[1]트램표준체크리스트!F1092</f>
        <v>설계시 전차선은 완전 철거후 신설토록 계획되었으나, 익산정거장은 역내 전력기관차가 입고하기에 당초 계획대비 임시전차선이 필요한 상황임. 코레일 열차운행계획상 역내 차량별(KTX, 무궁화)로 명시되어 있으나 열차종류(전기, 디젤)가 확정되지 않아 설계시 전기기관차의 역구내 운행을 반영하지 못 리스크를 검토하였는가?</v>
      </c>
      <c r="E1035" s="31" t="s">
        <v>2974</v>
      </c>
      <c r="F1035" s="32" t="str">
        <f>_xlfn.LET(
    _xlpm.v_발생, IF(ISNUMBER(SEARCH("빈번", G1035)), "상",
               IF(ISNUMBER(SEARCH("거의", G1035)), "하", "중")),
    _xlpm.v_영향, IF(ISNUMBER(SEARCH("1개월", H1035)), "상",
               IF(ISNUMBER(SEARCH("없음", H1035)), "하", "중")),
    IF(AND(_xlpm.v_발생="상", _xlpm.v_영향="상"), "극상",
    IF(OR(_xlpm.v_발생="상", _xlpm.v_영향="상"), "상",
    IF(AND(_xlpm.v_발생="하", _xlpm.v_영향="하"), "하",
    "중")))
)</f>
        <v>극상</v>
      </c>
      <c r="G1035" s="63" t="s">
        <v>40</v>
      </c>
      <c r="H1035" s="63" t="s">
        <v>41</v>
      </c>
      <c r="I1035" s="34"/>
      <c r="J1035" s="33"/>
      <c r="K1035" s="35"/>
      <c r="L1035" s="33"/>
      <c r="M1035" s="36"/>
      <c r="N1035" s="33"/>
      <c r="O1035" s="36"/>
      <c r="P1035" s="33"/>
      <c r="Q1035" s="37"/>
      <c r="R1035" s="38"/>
      <c r="S1035" s="33"/>
      <c r="T1035" s="38"/>
      <c r="U1035" s="33"/>
      <c r="V1035" s="39"/>
      <c r="W1035" s="90" t="b">
        <v>0</v>
      </c>
      <c r="X1035" s="90" t="b">
        <v>0</v>
      </c>
      <c r="Y1035" s="90" t="b">
        <v>0</v>
      </c>
      <c r="Z1035" s="40" t="s">
        <v>2778</v>
      </c>
      <c r="AA1035" s="41"/>
      <c r="AK1035" s="16"/>
      <c r="AL1035" s="16"/>
      <c r="AM1035" s="16"/>
      <c r="AN1035" s="16"/>
      <c r="AO1035" s="16"/>
      <c r="AP1035" s="16"/>
      <c r="AQ1035" s="16"/>
      <c r="AR1035" s="16"/>
      <c r="AS1035" s="16"/>
    </row>
    <row r="1036" spans="1:45">
      <c r="W1036" s="103" t="b">
        <v>0</v>
      </c>
      <c r="X1036" s="103" t="b">
        <v>0</v>
      </c>
      <c r="Y1036" s="103" t="b">
        <v>0</v>
      </c>
    </row>
    <row r="1037" spans="1:45">
      <c r="W1037" s="103" t="b">
        <v>0</v>
      </c>
      <c r="X1037" s="103" t="b">
        <v>0</v>
      </c>
      <c r="Y1037" s="103" t="b">
        <v>0</v>
      </c>
    </row>
    <row r="1038" spans="1:45">
      <c r="W1038" s="103" t="b">
        <v>0</v>
      </c>
      <c r="X1038" s="103" t="b">
        <v>0</v>
      </c>
      <c r="Y1038" s="103" t="b">
        <v>0</v>
      </c>
    </row>
    <row r="1039" spans="1:45">
      <c r="W1039" s="103" t="b">
        <v>0</v>
      </c>
      <c r="X1039" s="103" t="b">
        <v>0</v>
      </c>
      <c r="Y1039" s="103" t="b">
        <v>0</v>
      </c>
    </row>
    <row r="1040" spans="1:45">
      <c r="W1040" s="103" t="b">
        <v>0</v>
      </c>
      <c r="X1040" s="103" t="b">
        <v>0</v>
      </c>
      <c r="Y1040" s="103" t="b">
        <v>0</v>
      </c>
    </row>
    <row r="1041" spans="23:25">
      <c r="W1041" s="103" t="b">
        <v>0</v>
      </c>
      <c r="X1041" s="103" t="b">
        <v>0</v>
      </c>
      <c r="Y1041" s="103" t="b">
        <v>0</v>
      </c>
    </row>
    <row r="1042" spans="23:25">
      <c r="W1042" s="103" t="b">
        <v>0</v>
      </c>
      <c r="X1042" s="103" t="b">
        <v>0</v>
      </c>
      <c r="Y1042" s="103" t="b">
        <v>0</v>
      </c>
    </row>
    <row r="1043" spans="23:25">
      <c r="W1043" s="103" t="b">
        <v>0</v>
      </c>
      <c r="X1043" s="103" t="b">
        <v>0</v>
      </c>
      <c r="Y1043" s="103" t="b">
        <v>0</v>
      </c>
    </row>
    <row r="1044" spans="23:25">
      <c r="W1044" s="103" t="b">
        <v>0</v>
      </c>
      <c r="X1044" s="103" t="b">
        <v>0</v>
      </c>
      <c r="Y1044" s="103" t="b">
        <v>0</v>
      </c>
    </row>
    <row r="1045" spans="23:25">
      <c r="W1045" s="103" t="b">
        <v>0</v>
      </c>
      <c r="X1045" s="103" t="b">
        <v>0</v>
      </c>
      <c r="Y1045" s="103" t="b">
        <v>0</v>
      </c>
    </row>
    <row r="1046" spans="23:25">
      <c r="W1046" s="103" t="b">
        <v>0</v>
      </c>
      <c r="X1046" s="103" t="b">
        <v>0</v>
      </c>
      <c r="Y1046" s="103" t="b">
        <v>0</v>
      </c>
    </row>
    <row r="1047" spans="23:25">
      <c r="W1047" s="103" t="b">
        <v>0</v>
      </c>
      <c r="X1047" s="103" t="b">
        <v>0</v>
      </c>
      <c r="Y1047" s="103" t="b">
        <v>0</v>
      </c>
    </row>
    <row r="1048" spans="23:25">
      <c r="W1048" s="103" t="b">
        <v>0</v>
      </c>
      <c r="X1048" s="103" t="b">
        <v>0</v>
      </c>
      <c r="Y1048" s="103" t="b">
        <v>0</v>
      </c>
    </row>
    <row r="1049" spans="23:25">
      <c r="W1049" s="103" t="b">
        <v>0</v>
      </c>
      <c r="X1049" s="103" t="b">
        <v>0</v>
      </c>
      <c r="Y1049" s="103" t="b">
        <v>0</v>
      </c>
    </row>
    <row r="1050" spans="23:25">
      <c r="W1050" s="103" t="b">
        <v>0</v>
      </c>
      <c r="X1050" s="103" t="b">
        <v>0</v>
      </c>
      <c r="Y1050" s="103" t="b">
        <v>0</v>
      </c>
    </row>
    <row r="1051" spans="23:25">
      <c r="W1051" s="103" t="b">
        <v>0</v>
      </c>
      <c r="X1051" s="103" t="b">
        <v>0</v>
      </c>
      <c r="Y1051" s="103" t="b">
        <v>0</v>
      </c>
    </row>
    <row r="1052" spans="23:25">
      <c r="W1052" s="103" t="b">
        <v>0</v>
      </c>
      <c r="X1052" s="103" t="b">
        <v>0</v>
      </c>
      <c r="Y1052" s="103" t="b">
        <v>0</v>
      </c>
    </row>
    <row r="1053" spans="23:25">
      <c r="W1053" s="103" t="b">
        <v>0</v>
      </c>
      <c r="X1053" s="103" t="b">
        <v>0</v>
      </c>
      <c r="Y1053" s="103" t="b">
        <v>0</v>
      </c>
    </row>
    <row r="1054" spans="23:25">
      <c r="W1054" s="103" t="b">
        <v>0</v>
      </c>
      <c r="X1054" s="103" t="b">
        <v>0</v>
      </c>
      <c r="Y1054" s="103" t="b">
        <v>0</v>
      </c>
    </row>
    <row r="1055" spans="23:25">
      <c r="W1055" s="103" t="b">
        <v>0</v>
      </c>
      <c r="X1055" s="103" t="b">
        <v>0</v>
      </c>
      <c r="Y1055" s="103" t="b">
        <v>0</v>
      </c>
    </row>
    <row r="1056" spans="23:25">
      <c r="W1056" s="103" t="b">
        <v>0</v>
      </c>
      <c r="X1056" s="103" t="b">
        <v>0</v>
      </c>
      <c r="Y1056" s="103" t="b">
        <v>0</v>
      </c>
    </row>
    <row r="1057" spans="23:25">
      <c r="W1057" s="103" t="b">
        <v>0</v>
      </c>
      <c r="X1057" s="103" t="b">
        <v>0</v>
      </c>
      <c r="Y1057" s="103" t="b">
        <v>0</v>
      </c>
    </row>
    <row r="1058" spans="23:25">
      <c r="W1058" s="103" t="b">
        <v>0</v>
      </c>
      <c r="X1058" s="103" t="b">
        <v>0</v>
      </c>
      <c r="Y1058" s="103" t="b">
        <v>0</v>
      </c>
    </row>
    <row r="1059" spans="23:25">
      <c r="W1059" s="103" t="b">
        <v>0</v>
      </c>
      <c r="X1059" s="103" t="b">
        <v>0</v>
      </c>
      <c r="Y1059" s="103" t="b">
        <v>0</v>
      </c>
    </row>
    <row r="1060" spans="23:25">
      <c r="W1060" s="103" t="b">
        <v>0</v>
      </c>
      <c r="X1060" s="103" t="b">
        <v>0</v>
      </c>
      <c r="Y1060" s="103" t="b">
        <v>0</v>
      </c>
    </row>
    <row r="1061" spans="23:25">
      <c r="W1061" s="103" t="b">
        <v>0</v>
      </c>
      <c r="X1061" s="103" t="b">
        <v>0</v>
      </c>
      <c r="Y1061" s="103" t="b">
        <v>0</v>
      </c>
    </row>
    <row r="1062" spans="23:25">
      <c r="W1062" s="103" t="b">
        <v>0</v>
      </c>
      <c r="X1062" s="103" t="b">
        <v>0</v>
      </c>
      <c r="Y1062" s="103" t="b">
        <v>0</v>
      </c>
    </row>
    <row r="1063" spans="23:25">
      <c r="W1063" s="103" t="b">
        <v>0</v>
      </c>
      <c r="X1063" s="103" t="b">
        <v>0</v>
      </c>
      <c r="Y1063" s="103" t="b">
        <v>0</v>
      </c>
    </row>
    <row r="1064" spans="23:25">
      <c r="W1064" s="103" t="b">
        <v>0</v>
      </c>
      <c r="X1064" s="103" t="b">
        <v>0</v>
      </c>
      <c r="Y1064" s="103" t="b">
        <v>0</v>
      </c>
    </row>
    <row r="1065" spans="23:25">
      <c r="W1065" s="103" t="b">
        <v>0</v>
      </c>
      <c r="X1065" s="103" t="b">
        <v>0</v>
      </c>
      <c r="Y1065" s="103" t="b">
        <v>0</v>
      </c>
    </row>
    <row r="1066" spans="23:25">
      <c r="W1066" s="103" t="b">
        <v>0</v>
      </c>
      <c r="X1066" s="103" t="b">
        <v>0</v>
      </c>
      <c r="Y1066" s="103" t="b">
        <v>0</v>
      </c>
    </row>
    <row r="1067" spans="23:25">
      <c r="W1067" s="103" t="b">
        <v>0</v>
      </c>
      <c r="X1067" s="103" t="b">
        <v>0</v>
      </c>
      <c r="Y1067" s="103" t="b">
        <v>0</v>
      </c>
    </row>
    <row r="1068" spans="23:25">
      <c r="W1068" s="103" t="b">
        <v>0</v>
      </c>
      <c r="X1068" s="103" t="b">
        <v>0</v>
      </c>
      <c r="Y1068" s="103" t="b">
        <v>0</v>
      </c>
    </row>
    <row r="1069" spans="23:25">
      <c r="W1069" s="103" t="b">
        <v>0</v>
      </c>
      <c r="X1069" s="103" t="b">
        <v>0</v>
      </c>
      <c r="Y1069" s="103" t="b">
        <v>0</v>
      </c>
    </row>
    <row r="1070" spans="23:25">
      <c r="W1070" s="103" t="b">
        <v>0</v>
      </c>
      <c r="X1070" s="103" t="b">
        <v>0</v>
      </c>
      <c r="Y1070" s="103" t="b">
        <v>0</v>
      </c>
    </row>
    <row r="1071" spans="23:25">
      <c r="W1071" s="103" t="b">
        <v>0</v>
      </c>
      <c r="X1071" s="103" t="b">
        <v>0</v>
      </c>
      <c r="Y1071" s="103" t="b">
        <v>0</v>
      </c>
    </row>
    <row r="1072" spans="23:25">
      <c r="W1072" s="103" t="b">
        <v>0</v>
      </c>
      <c r="X1072" s="103" t="b">
        <v>0</v>
      </c>
      <c r="Y1072" s="103" t="b">
        <v>0</v>
      </c>
    </row>
    <row r="1073" spans="23:25">
      <c r="W1073" s="103" t="b">
        <v>0</v>
      </c>
      <c r="X1073" s="103" t="b">
        <v>0</v>
      </c>
      <c r="Y1073" s="103" t="b">
        <v>0</v>
      </c>
    </row>
    <row r="1074" spans="23:25">
      <c r="W1074" s="103" t="b">
        <v>0</v>
      </c>
      <c r="X1074" s="103" t="b">
        <v>0</v>
      </c>
      <c r="Y1074" s="103" t="b">
        <v>0</v>
      </c>
    </row>
    <row r="1075" spans="23:25">
      <c r="W1075" s="103" t="b">
        <v>0</v>
      </c>
      <c r="X1075" s="103" t="b">
        <v>0</v>
      </c>
      <c r="Y1075" s="103" t="b">
        <v>0</v>
      </c>
    </row>
    <row r="1076" spans="23:25">
      <c r="W1076" s="103" t="b">
        <v>0</v>
      </c>
      <c r="X1076" s="103" t="b">
        <v>0</v>
      </c>
      <c r="Y1076" s="103" t="b">
        <v>0</v>
      </c>
    </row>
    <row r="1077" spans="23:25">
      <c r="W1077" s="103" t="b">
        <v>0</v>
      </c>
      <c r="X1077" s="103" t="b">
        <v>0</v>
      </c>
      <c r="Y1077" s="103" t="b">
        <v>0</v>
      </c>
    </row>
    <row r="1078" spans="23:25">
      <c r="W1078" s="103" t="b">
        <v>0</v>
      </c>
      <c r="X1078" s="103" t="b">
        <v>0</v>
      </c>
      <c r="Y1078" s="103" t="b">
        <v>0</v>
      </c>
    </row>
    <row r="1079" spans="23:25">
      <c r="W1079" s="103" t="b">
        <v>0</v>
      </c>
      <c r="X1079" s="103" t="b">
        <v>0</v>
      </c>
      <c r="Y1079" s="103" t="b">
        <v>0</v>
      </c>
    </row>
    <row r="1080" spans="23:25">
      <c r="W1080" s="103" t="b">
        <v>0</v>
      </c>
      <c r="X1080" s="103" t="b">
        <v>0</v>
      </c>
      <c r="Y1080" s="103" t="b">
        <v>0</v>
      </c>
    </row>
    <row r="1081" spans="23:25">
      <c r="W1081" s="103" t="b">
        <v>0</v>
      </c>
      <c r="X1081" s="103" t="b">
        <v>0</v>
      </c>
      <c r="Y1081" s="103" t="b">
        <v>0</v>
      </c>
    </row>
    <row r="1082" spans="23:25">
      <c r="W1082" s="103" t="b">
        <v>0</v>
      </c>
      <c r="X1082" s="103" t="b">
        <v>0</v>
      </c>
      <c r="Y1082" s="103" t="b">
        <v>0</v>
      </c>
    </row>
    <row r="1083" spans="23:25">
      <c r="W1083" s="103" t="b">
        <v>0</v>
      </c>
      <c r="X1083" s="103" t="b">
        <v>0</v>
      </c>
      <c r="Y1083" s="103" t="b">
        <v>0</v>
      </c>
    </row>
    <row r="1084" spans="23:25">
      <c r="W1084" s="103" t="b">
        <v>0</v>
      </c>
      <c r="X1084" s="103" t="b">
        <v>0</v>
      </c>
      <c r="Y1084" s="103" t="b">
        <v>0</v>
      </c>
    </row>
    <row r="1085" spans="23:25">
      <c r="W1085" s="103" t="b">
        <v>0</v>
      </c>
      <c r="X1085" s="103" t="b">
        <v>0</v>
      </c>
      <c r="Y1085" s="103" t="b">
        <v>0</v>
      </c>
    </row>
    <row r="1086" spans="23:25">
      <c r="W1086" s="103" t="b">
        <v>0</v>
      </c>
      <c r="X1086" s="103" t="b">
        <v>0</v>
      </c>
      <c r="Y1086" s="103" t="b">
        <v>0</v>
      </c>
    </row>
    <row r="1087" spans="23:25">
      <c r="W1087" s="103" t="b">
        <v>0</v>
      </c>
      <c r="X1087" s="103" t="b">
        <v>0</v>
      </c>
      <c r="Y1087" s="103" t="b">
        <v>0</v>
      </c>
    </row>
    <row r="1088" spans="23:25">
      <c r="W1088" s="103" t="b">
        <v>0</v>
      </c>
      <c r="X1088" s="103" t="b">
        <v>0</v>
      </c>
      <c r="Y1088" s="103" t="b">
        <v>0</v>
      </c>
    </row>
    <row r="1089" spans="23:25">
      <c r="W1089" s="103" t="b">
        <v>0</v>
      </c>
      <c r="X1089" s="103" t="b">
        <v>0</v>
      </c>
      <c r="Y1089" s="103" t="b">
        <v>0</v>
      </c>
    </row>
    <row r="1090" spans="23:25">
      <c r="W1090" s="103" t="b">
        <v>0</v>
      </c>
      <c r="X1090" s="103" t="b">
        <v>0</v>
      </c>
      <c r="Y1090" s="103" t="b">
        <v>0</v>
      </c>
    </row>
    <row r="1091" spans="23:25">
      <c r="W1091" s="103" t="b">
        <v>0</v>
      </c>
      <c r="X1091" s="103" t="b">
        <v>0</v>
      </c>
      <c r="Y1091" s="103" t="b">
        <v>0</v>
      </c>
    </row>
    <row r="1092" spans="23:25">
      <c r="W1092" s="103" t="b">
        <v>0</v>
      </c>
      <c r="X1092" s="103" t="b">
        <v>0</v>
      </c>
      <c r="Y1092" s="103" t="b">
        <v>0</v>
      </c>
    </row>
    <row r="1093" spans="23:25">
      <c r="W1093" s="103" t="b">
        <v>0</v>
      </c>
      <c r="X1093" s="103" t="b">
        <v>0</v>
      </c>
      <c r="Y1093" s="103" t="b">
        <v>0</v>
      </c>
    </row>
    <row r="1094" spans="23:25">
      <c r="W1094" s="103" t="b">
        <v>0</v>
      </c>
      <c r="X1094" s="103" t="b">
        <v>0</v>
      </c>
      <c r="Y1094" s="103" t="b">
        <v>0</v>
      </c>
    </row>
  </sheetData>
  <mergeCells count="19">
    <mergeCell ref="A3:A4"/>
    <mergeCell ref="M3:M4"/>
    <mergeCell ref="I3:I4"/>
    <mergeCell ref="U3:V3"/>
    <mergeCell ref="C3:C4"/>
    <mergeCell ref="Q3:R3"/>
    <mergeCell ref="L3:L4"/>
    <mergeCell ref="B3:B4"/>
    <mergeCell ref="N3:N4"/>
    <mergeCell ref="AA3:AA4"/>
    <mergeCell ref="P3:P4"/>
    <mergeCell ref="J3:J4"/>
    <mergeCell ref="D3:E3"/>
    <mergeCell ref="K3:K4"/>
    <mergeCell ref="O3:O4"/>
    <mergeCell ref="F3:H3"/>
    <mergeCell ref="Z3:Z4"/>
    <mergeCell ref="S3:T3"/>
    <mergeCell ref="W3:Y3"/>
  </mergeCells>
  <phoneticPr fontId="1" type="noConversion"/>
  <conditionalFormatting sqref="F5:F1035">
    <cfRule type="containsText" dxfId="3" priority="1" operator="containsText" text="극상">
      <formula>NOT(ISERROR(SEARCH("극상",F5)))</formula>
    </cfRule>
    <cfRule type="beginsWith" dxfId="2" priority="2" operator="beginsWith" text="상">
      <formula>LEFT(F5,LEN("상"))="상"</formula>
    </cfRule>
    <cfRule type="containsText" dxfId="1" priority="3" operator="containsText" text="중">
      <formula>NOT(ISERROR(SEARCH("중",F5)))</formula>
    </cfRule>
    <cfRule type="containsText" dxfId="0" priority="4" operator="containsText" text="하">
      <formula>NOT(ISERROR(SEARCH("하",F5)))</formula>
    </cfRule>
  </conditionalFormatting>
  <printOptions horizontalCentered="1"/>
  <pageMargins left="0.70866141732283472" right="0.70866141732283472" top="0.74803149606299213" bottom="0.74803149606299213" header="0.31496062992125978" footer="0.31496062992125978"/>
  <pageSetup paperSize="8" scale="33" orientation="landscape" verticalDpi="0" r:id="rId1"/>
  <colBreaks count="2" manualBreakCount="2">
    <brk id="27" max="1093" man="1"/>
    <brk id="29" max="1093" man="1"/>
  </colBreaks>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F91D6C04-D7D8-450B-9DE0-8B9AD76D4147}">
          <x14:formula1>
            <xm:f>리스크평가기준!$B$4:$D$4</xm:f>
          </x14:formula1>
          <xm:sqref>H5:H1035</xm:sqref>
        </x14:dataValidation>
        <x14:dataValidation type="list" allowBlank="1" showInputMessage="1" showErrorMessage="1" xr:uid="{4E84BDAB-D88F-41FB-8BC4-06AC14A584F0}">
          <x14:formula1>
            <xm:f>리스크평가기준!$B$3:$D$3</xm:f>
          </x14:formula1>
          <xm:sqref>G5:G1035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ageSetUpPr fitToPage="1"/>
  </sheetPr>
  <dimension ref="A1:J140"/>
  <sheetViews>
    <sheetView zoomScale="85" zoomScaleNormal="85" workbookViewId="0">
      <pane ySplit="2" topLeftCell="A127" activePane="bottomLeft" state="frozen"/>
      <selection pane="bottomLeft" activeCell="D130" sqref="D130"/>
    </sheetView>
  </sheetViews>
  <sheetFormatPr defaultRowHeight="17.399999999999999"/>
  <cols>
    <col min="1" max="1" width="6" customWidth="1"/>
    <col min="2" max="2" width="16" customWidth="1"/>
    <col min="3" max="3" width="25" customWidth="1"/>
    <col min="4" max="4" width="35" customWidth="1"/>
    <col min="5" max="5" width="50" customWidth="1"/>
    <col min="6" max="6" width="55" customWidth="1"/>
    <col min="7" max="7" width="50" customWidth="1"/>
    <col min="8" max="8" width="55" customWidth="1"/>
    <col min="9" max="9" width="35" customWidth="1"/>
    <col min="10" max="10" width="25" customWidth="1"/>
  </cols>
  <sheetData>
    <row r="1" spans="1:10" ht="25.05" customHeight="1">
      <c r="A1" s="256" t="s">
        <v>2196</v>
      </c>
      <c r="B1" s="256" t="s">
        <v>1400</v>
      </c>
      <c r="C1" s="256" t="s">
        <v>1415</v>
      </c>
      <c r="D1" s="256" t="s">
        <v>2658</v>
      </c>
      <c r="E1" s="256" t="s">
        <v>2659</v>
      </c>
      <c r="F1" s="258"/>
      <c r="G1" s="256" t="s">
        <v>2660</v>
      </c>
      <c r="H1" s="258"/>
      <c r="I1" s="256" t="s">
        <v>2661</v>
      </c>
      <c r="J1" s="256" t="s">
        <v>2197</v>
      </c>
    </row>
    <row r="2" spans="1:10" ht="25.05" customHeight="1">
      <c r="A2" s="257"/>
      <c r="B2" s="257"/>
      <c r="C2" s="257"/>
      <c r="D2" s="257"/>
      <c r="E2" s="1" t="s">
        <v>2198</v>
      </c>
      <c r="F2" s="1" t="s">
        <v>2199</v>
      </c>
      <c r="G2" s="1" t="s">
        <v>2198</v>
      </c>
      <c r="H2" s="1" t="s">
        <v>2199</v>
      </c>
      <c r="I2" s="257"/>
      <c r="J2" s="257"/>
    </row>
    <row r="3" spans="1:10" ht="49.95" customHeight="1">
      <c r="A3" s="2">
        <v>1</v>
      </c>
      <c r="B3" s="2" t="s">
        <v>1406</v>
      </c>
      <c r="C3" s="2" t="s">
        <v>1558</v>
      </c>
      <c r="D3" s="3" t="s">
        <v>2207</v>
      </c>
      <c r="E3" s="3" t="s">
        <v>2364</v>
      </c>
      <c r="F3" s="3" t="s">
        <v>2365</v>
      </c>
      <c r="G3" s="3"/>
      <c r="H3" s="3"/>
      <c r="I3" s="3"/>
      <c r="J3" s="3" t="s">
        <v>2205</v>
      </c>
    </row>
    <row r="4" spans="1:10" ht="49.95" customHeight="1">
      <c r="A4" s="4">
        <v>2</v>
      </c>
      <c r="B4" s="4" t="s">
        <v>1406</v>
      </c>
      <c r="C4" s="4" t="s">
        <v>2379</v>
      </c>
      <c r="D4" s="5" t="s">
        <v>2207</v>
      </c>
      <c r="E4" s="5" t="s">
        <v>2380</v>
      </c>
      <c r="F4" s="5" t="s">
        <v>2381</v>
      </c>
      <c r="G4" s="5"/>
      <c r="H4" s="5"/>
      <c r="I4" s="5"/>
      <c r="J4" s="5" t="s">
        <v>2205</v>
      </c>
    </row>
    <row r="5" spans="1:10" ht="40.049999999999997" customHeight="1">
      <c r="A5" s="2">
        <v>3</v>
      </c>
      <c r="B5" s="2" t="s">
        <v>2210</v>
      </c>
      <c r="C5" s="2" t="s">
        <v>1653</v>
      </c>
      <c r="D5" s="3" t="s">
        <v>2207</v>
      </c>
      <c r="E5" s="3" t="s">
        <v>2211</v>
      </c>
      <c r="F5" s="3" t="s">
        <v>2212</v>
      </c>
      <c r="G5" s="3"/>
      <c r="H5" s="3"/>
      <c r="I5" s="3"/>
      <c r="J5" s="3" t="s">
        <v>2205</v>
      </c>
    </row>
    <row r="6" spans="1:10" ht="49.95" customHeight="1">
      <c r="A6" s="4">
        <v>4</v>
      </c>
      <c r="B6" s="4" t="s">
        <v>2662</v>
      </c>
      <c r="C6" s="4" t="s">
        <v>2451</v>
      </c>
      <c r="D6" s="5" t="s">
        <v>2207</v>
      </c>
      <c r="E6" s="5" t="s">
        <v>2452</v>
      </c>
      <c r="F6" s="5" t="s">
        <v>2453</v>
      </c>
      <c r="G6" s="5"/>
      <c r="H6" s="5"/>
      <c r="I6" s="5"/>
      <c r="J6" s="5" t="s">
        <v>2205</v>
      </c>
    </row>
    <row r="7" spans="1:10" ht="49.95" customHeight="1">
      <c r="A7" s="2">
        <v>5</v>
      </c>
      <c r="B7" s="2" t="s">
        <v>1406</v>
      </c>
      <c r="C7" s="2" t="s">
        <v>2376</v>
      </c>
      <c r="D7" s="3" t="s">
        <v>2207</v>
      </c>
      <c r="E7" s="3" t="s">
        <v>2377</v>
      </c>
      <c r="F7" s="3" t="s">
        <v>2378</v>
      </c>
      <c r="G7" s="3"/>
      <c r="H7" s="3"/>
      <c r="I7" s="3"/>
      <c r="J7" s="3" t="s">
        <v>2205</v>
      </c>
    </row>
    <row r="8" spans="1:10" ht="40.049999999999997" customHeight="1">
      <c r="A8" s="4">
        <v>6</v>
      </c>
      <c r="B8" s="4" t="s">
        <v>1414</v>
      </c>
      <c r="C8" s="4" t="s">
        <v>2130</v>
      </c>
      <c r="D8" s="5" t="s">
        <v>2207</v>
      </c>
      <c r="E8" s="5" t="s">
        <v>2596</v>
      </c>
      <c r="F8" s="5" t="s">
        <v>2597</v>
      </c>
      <c r="G8" s="5"/>
      <c r="H8" s="5"/>
      <c r="I8" s="5"/>
      <c r="J8" s="5" t="s">
        <v>2205</v>
      </c>
    </row>
    <row r="9" spans="1:10" ht="49.95" customHeight="1">
      <c r="A9" s="2">
        <v>7</v>
      </c>
      <c r="B9" s="2" t="s">
        <v>1413</v>
      </c>
      <c r="C9" s="2" t="s">
        <v>1653</v>
      </c>
      <c r="D9" s="3" t="s">
        <v>2207</v>
      </c>
      <c r="E9" s="3" t="s">
        <v>2526</v>
      </c>
      <c r="F9" s="3" t="s">
        <v>2527</v>
      </c>
      <c r="G9" s="3"/>
      <c r="H9" s="3"/>
      <c r="I9" s="3"/>
      <c r="J9" s="3" t="s">
        <v>2205</v>
      </c>
    </row>
    <row r="10" spans="1:10" ht="40.049999999999997" customHeight="1">
      <c r="A10" s="4">
        <v>8</v>
      </c>
      <c r="B10" s="4" t="s">
        <v>1406</v>
      </c>
      <c r="C10" s="4" t="s">
        <v>1653</v>
      </c>
      <c r="D10" s="5" t="s">
        <v>2207</v>
      </c>
      <c r="E10" s="5" t="s">
        <v>2372</v>
      </c>
      <c r="F10" s="5" t="s">
        <v>2373</v>
      </c>
      <c r="G10" s="5"/>
      <c r="H10" s="5"/>
      <c r="I10" s="5"/>
      <c r="J10" s="5" t="s">
        <v>2205</v>
      </c>
    </row>
    <row r="11" spans="1:10" ht="40.049999999999997" customHeight="1">
      <c r="A11" s="2">
        <v>9</v>
      </c>
      <c r="B11" s="2" t="s">
        <v>2210</v>
      </c>
      <c r="C11" s="2" t="s">
        <v>2206</v>
      </c>
      <c r="D11" s="3" t="s">
        <v>2207</v>
      </c>
      <c r="E11" s="3" t="s">
        <v>2208</v>
      </c>
      <c r="F11" s="3" t="s">
        <v>2209</v>
      </c>
      <c r="G11" s="3"/>
      <c r="H11" s="3"/>
      <c r="I11" s="3"/>
      <c r="J11" s="3" t="s">
        <v>2205</v>
      </c>
    </row>
    <row r="12" spans="1:10" ht="40.049999999999997" customHeight="1">
      <c r="A12" s="4">
        <v>10</v>
      </c>
      <c r="B12" s="4" t="s">
        <v>2662</v>
      </c>
      <c r="C12" s="4" t="s">
        <v>2451</v>
      </c>
      <c r="D12" s="5" t="s">
        <v>2207</v>
      </c>
      <c r="E12" s="5" t="s">
        <v>2454</v>
      </c>
      <c r="F12" s="5" t="s">
        <v>2455</v>
      </c>
      <c r="G12" s="5"/>
      <c r="H12" s="5"/>
      <c r="I12" s="5"/>
      <c r="J12" s="5" t="s">
        <v>2205</v>
      </c>
    </row>
    <row r="13" spans="1:10" ht="49.95" customHeight="1">
      <c r="A13" s="2">
        <v>11</v>
      </c>
      <c r="B13" s="2" t="s">
        <v>1413</v>
      </c>
      <c r="C13" s="2" t="s">
        <v>2508</v>
      </c>
      <c r="D13" s="3" t="s">
        <v>2207</v>
      </c>
      <c r="E13" s="3" t="s">
        <v>2509</v>
      </c>
      <c r="F13" s="3" t="s">
        <v>2510</v>
      </c>
      <c r="G13" s="3"/>
      <c r="H13" s="3"/>
      <c r="I13" s="3"/>
      <c r="J13" s="3" t="s">
        <v>2205</v>
      </c>
    </row>
    <row r="14" spans="1:10" ht="40.049999999999997" customHeight="1">
      <c r="A14" s="4">
        <v>12</v>
      </c>
      <c r="B14" s="4" t="s">
        <v>1413</v>
      </c>
      <c r="C14" s="4" t="s">
        <v>2508</v>
      </c>
      <c r="D14" s="5" t="s">
        <v>2207</v>
      </c>
      <c r="E14" s="5" t="s">
        <v>2511</v>
      </c>
      <c r="F14" s="5" t="s">
        <v>2512</v>
      </c>
      <c r="G14" s="5"/>
      <c r="H14" s="5"/>
      <c r="I14" s="5"/>
      <c r="J14" s="5" t="s">
        <v>2205</v>
      </c>
    </row>
    <row r="15" spans="1:10" ht="40.049999999999997" customHeight="1">
      <c r="A15" s="2">
        <v>13</v>
      </c>
      <c r="B15" s="2" t="s">
        <v>1413</v>
      </c>
      <c r="C15" s="2" t="s">
        <v>2508</v>
      </c>
      <c r="D15" s="3" t="s">
        <v>2207</v>
      </c>
      <c r="E15" s="3" t="s">
        <v>2513</v>
      </c>
      <c r="F15" s="3" t="s">
        <v>2514</v>
      </c>
      <c r="G15" s="3"/>
      <c r="H15" s="3"/>
      <c r="I15" s="3"/>
      <c r="J15" s="3" t="s">
        <v>2205</v>
      </c>
    </row>
    <row r="16" spans="1:10" ht="40.049999999999997" customHeight="1">
      <c r="A16" s="4">
        <v>14</v>
      </c>
      <c r="B16" s="4" t="s">
        <v>1412</v>
      </c>
      <c r="C16" s="4" t="s">
        <v>2558</v>
      </c>
      <c r="D16" s="5" t="s">
        <v>2207</v>
      </c>
      <c r="E16" s="5" t="s">
        <v>2559</v>
      </c>
      <c r="F16" s="5" t="s">
        <v>2560</v>
      </c>
      <c r="G16" s="5"/>
      <c r="H16" s="5"/>
      <c r="I16" s="5"/>
      <c r="J16" s="5" t="s">
        <v>2205</v>
      </c>
    </row>
    <row r="17" spans="1:10" ht="49.95" customHeight="1">
      <c r="A17" s="2">
        <v>15</v>
      </c>
      <c r="B17" s="2" t="s">
        <v>1412</v>
      </c>
      <c r="C17" s="2" t="s">
        <v>2091</v>
      </c>
      <c r="D17" s="3" t="s">
        <v>2207</v>
      </c>
      <c r="E17" s="3" t="s">
        <v>2565</v>
      </c>
      <c r="F17" s="3" t="s">
        <v>2566</v>
      </c>
      <c r="G17" s="3"/>
      <c r="H17" s="3"/>
      <c r="I17" s="3"/>
      <c r="J17" s="3" t="s">
        <v>2205</v>
      </c>
    </row>
    <row r="18" spans="1:10" ht="40.049999999999997" customHeight="1">
      <c r="A18" s="4">
        <v>16</v>
      </c>
      <c r="B18" s="4" t="s">
        <v>1414</v>
      </c>
      <c r="C18" s="4" t="s">
        <v>2634</v>
      </c>
      <c r="D18" s="5" t="s">
        <v>2207</v>
      </c>
      <c r="E18" s="5" t="s">
        <v>2635</v>
      </c>
      <c r="F18" s="5" t="s">
        <v>2636</v>
      </c>
      <c r="G18" s="5"/>
      <c r="H18" s="5"/>
      <c r="I18" s="5"/>
      <c r="J18" s="5" t="s">
        <v>2205</v>
      </c>
    </row>
    <row r="19" spans="1:10" ht="40.049999999999997" customHeight="1">
      <c r="A19" s="2">
        <v>17</v>
      </c>
      <c r="B19" s="2" t="s">
        <v>2663</v>
      </c>
      <c r="C19" s="2" t="s">
        <v>2441</v>
      </c>
      <c r="D19" s="3" t="s">
        <v>2207</v>
      </c>
      <c r="E19" s="3" t="s">
        <v>2442</v>
      </c>
      <c r="F19" s="3" t="s">
        <v>2443</v>
      </c>
      <c r="G19" s="3"/>
      <c r="H19" s="3"/>
      <c r="I19" s="3"/>
      <c r="J19" s="3" t="s">
        <v>2205</v>
      </c>
    </row>
    <row r="20" spans="1:10" ht="40.049999999999997" customHeight="1">
      <c r="A20" s="4">
        <v>18</v>
      </c>
      <c r="B20" s="4" t="s">
        <v>1413</v>
      </c>
      <c r="C20" s="4" t="s">
        <v>1653</v>
      </c>
      <c r="D20" s="5" t="s">
        <v>2207</v>
      </c>
      <c r="E20" s="5" t="s">
        <v>2528</v>
      </c>
      <c r="F20" s="5" t="s">
        <v>2529</v>
      </c>
      <c r="G20" s="5"/>
      <c r="H20" s="5"/>
      <c r="I20" s="5"/>
      <c r="J20" s="5" t="s">
        <v>2205</v>
      </c>
    </row>
    <row r="21" spans="1:10" ht="40.049999999999997" customHeight="1">
      <c r="A21" s="2">
        <v>19</v>
      </c>
      <c r="B21" s="2" t="s">
        <v>1412</v>
      </c>
      <c r="C21" s="2" t="s">
        <v>2585</v>
      </c>
      <c r="D21" s="3" t="s">
        <v>2207</v>
      </c>
      <c r="E21" s="3" t="s">
        <v>2586</v>
      </c>
      <c r="F21" s="3" t="s">
        <v>2587</v>
      </c>
      <c r="G21" s="3"/>
      <c r="H21" s="3"/>
      <c r="I21" s="3"/>
      <c r="J21" s="3" t="s">
        <v>2205</v>
      </c>
    </row>
    <row r="22" spans="1:10" ht="40.049999999999997" customHeight="1">
      <c r="A22" s="4">
        <v>20</v>
      </c>
      <c r="B22" s="4" t="s">
        <v>1412</v>
      </c>
      <c r="C22" s="4" t="s">
        <v>2091</v>
      </c>
      <c r="D22" s="5" t="s">
        <v>2207</v>
      </c>
      <c r="E22" s="5" t="s">
        <v>2567</v>
      </c>
      <c r="F22" s="5" t="s">
        <v>2568</v>
      </c>
      <c r="G22" s="5"/>
      <c r="H22" s="5"/>
      <c r="I22" s="5"/>
      <c r="J22" s="5" t="s">
        <v>2205</v>
      </c>
    </row>
    <row r="23" spans="1:10" ht="40.049999999999997" customHeight="1">
      <c r="A23" s="2">
        <v>21</v>
      </c>
      <c r="B23" s="2" t="s">
        <v>1412</v>
      </c>
      <c r="C23" s="2" t="s">
        <v>2091</v>
      </c>
      <c r="D23" s="3" t="s">
        <v>2207</v>
      </c>
      <c r="E23" s="3" t="s">
        <v>2569</v>
      </c>
      <c r="F23" s="3" t="s">
        <v>2570</v>
      </c>
      <c r="G23" s="3"/>
      <c r="H23" s="3"/>
      <c r="I23" s="3"/>
      <c r="J23" s="3" t="s">
        <v>2205</v>
      </c>
    </row>
    <row r="24" spans="1:10" ht="40.049999999999997" customHeight="1">
      <c r="A24" s="4">
        <v>22</v>
      </c>
      <c r="B24" s="4" t="s">
        <v>1414</v>
      </c>
      <c r="C24" s="4" t="s">
        <v>2634</v>
      </c>
      <c r="D24" s="5" t="s">
        <v>2207</v>
      </c>
      <c r="E24" s="5" t="s">
        <v>2637</v>
      </c>
      <c r="F24" s="5" t="s">
        <v>2638</v>
      </c>
      <c r="G24" s="5"/>
      <c r="H24" s="5"/>
      <c r="I24" s="5"/>
      <c r="J24" s="5" t="s">
        <v>2205</v>
      </c>
    </row>
    <row r="25" spans="1:10" ht="40.049999999999997" customHeight="1">
      <c r="A25" s="2">
        <v>23</v>
      </c>
      <c r="B25" s="2" t="s">
        <v>1414</v>
      </c>
      <c r="C25" s="2" t="s">
        <v>1653</v>
      </c>
      <c r="D25" s="3" t="s">
        <v>2207</v>
      </c>
      <c r="E25" s="3" t="s">
        <v>2643</v>
      </c>
      <c r="F25" s="3" t="s">
        <v>2644</v>
      </c>
      <c r="G25" s="3"/>
      <c r="H25" s="3"/>
      <c r="I25" s="3"/>
      <c r="J25" s="3" t="s">
        <v>2205</v>
      </c>
    </row>
    <row r="26" spans="1:10" ht="40.049999999999997" customHeight="1">
      <c r="A26" s="4">
        <v>24</v>
      </c>
      <c r="B26" s="4" t="s">
        <v>1414</v>
      </c>
      <c r="C26" s="4" t="s">
        <v>2130</v>
      </c>
      <c r="D26" s="5" t="s">
        <v>2207</v>
      </c>
      <c r="E26" s="5" t="s">
        <v>2598</v>
      </c>
      <c r="F26" s="5" t="s">
        <v>2599</v>
      </c>
      <c r="G26" s="5"/>
      <c r="H26" s="5"/>
      <c r="I26" s="5"/>
      <c r="J26" s="5" t="s">
        <v>2205</v>
      </c>
    </row>
    <row r="27" spans="1:10" ht="49.95" customHeight="1">
      <c r="A27" s="2">
        <v>25</v>
      </c>
      <c r="B27" s="2" t="s">
        <v>1414</v>
      </c>
      <c r="C27" s="2" t="s">
        <v>2634</v>
      </c>
      <c r="D27" s="3" t="s">
        <v>2207</v>
      </c>
      <c r="E27" s="3" t="s">
        <v>2639</v>
      </c>
      <c r="F27" s="3" t="s">
        <v>2640</v>
      </c>
      <c r="G27" s="3"/>
      <c r="H27" s="3"/>
      <c r="I27" s="3"/>
      <c r="J27" s="3" t="s">
        <v>2205</v>
      </c>
    </row>
    <row r="28" spans="1:10" ht="40.049999999999997" customHeight="1">
      <c r="A28" s="4">
        <v>26</v>
      </c>
      <c r="B28" s="4" t="s">
        <v>1414</v>
      </c>
      <c r="C28" s="4" t="s">
        <v>1653</v>
      </c>
      <c r="D28" s="5" t="s">
        <v>2207</v>
      </c>
      <c r="E28" s="5" t="s">
        <v>2645</v>
      </c>
      <c r="F28" s="5" t="s">
        <v>2646</v>
      </c>
      <c r="G28" s="5"/>
      <c r="H28" s="5"/>
      <c r="I28" s="5"/>
      <c r="J28" s="5" t="s">
        <v>2205</v>
      </c>
    </row>
    <row r="29" spans="1:10" ht="40.049999999999997" customHeight="1">
      <c r="A29" s="2">
        <v>27</v>
      </c>
      <c r="B29" s="2" t="s">
        <v>1414</v>
      </c>
      <c r="C29" s="2" t="s">
        <v>2634</v>
      </c>
      <c r="D29" s="3" t="s">
        <v>2207</v>
      </c>
      <c r="E29" s="3" t="s">
        <v>2641</v>
      </c>
      <c r="F29" s="3" t="s">
        <v>2642</v>
      </c>
      <c r="G29" s="3"/>
      <c r="H29" s="3"/>
      <c r="I29" s="3"/>
      <c r="J29" s="3" t="s">
        <v>2205</v>
      </c>
    </row>
    <row r="30" spans="1:10" ht="40.049999999999997" customHeight="1">
      <c r="A30" s="4">
        <v>28</v>
      </c>
      <c r="B30" s="4" t="s">
        <v>1410</v>
      </c>
      <c r="C30" s="4" t="s">
        <v>1680</v>
      </c>
      <c r="D30" s="5" t="s">
        <v>2207</v>
      </c>
      <c r="E30" s="5" t="s">
        <v>2506</v>
      </c>
      <c r="F30" s="5" t="s">
        <v>2507</v>
      </c>
      <c r="G30" s="5"/>
      <c r="H30" s="5"/>
      <c r="I30" s="5"/>
      <c r="J30" s="5" t="s">
        <v>2205</v>
      </c>
    </row>
    <row r="31" spans="1:10" ht="40.049999999999997" customHeight="1">
      <c r="A31" s="2">
        <v>29</v>
      </c>
      <c r="B31" s="2" t="s">
        <v>1412</v>
      </c>
      <c r="C31" s="2" t="s">
        <v>2582</v>
      </c>
      <c r="D31" s="3" t="s">
        <v>2207</v>
      </c>
      <c r="E31" s="3" t="s">
        <v>2583</v>
      </c>
      <c r="F31" s="3" t="s">
        <v>2584</v>
      </c>
      <c r="G31" s="3"/>
      <c r="H31" s="3"/>
      <c r="I31" s="3"/>
      <c r="J31" s="3" t="s">
        <v>2205</v>
      </c>
    </row>
    <row r="32" spans="1:10" ht="40.049999999999997" customHeight="1">
      <c r="A32" s="4">
        <v>30</v>
      </c>
      <c r="B32" s="4" t="s">
        <v>1413</v>
      </c>
      <c r="C32" s="4" t="s">
        <v>1653</v>
      </c>
      <c r="D32" s="5" t="s">
        <v>2207</v>
      </c>
      <c r="E32" s="5" t="s">
        <v>2530</v>
      </c>
      <c r="F32" s="5" t="s">
        <v>2531</v>
      </c>
      <c r="G32" s="5"/>
      <c r="H32" s="5"/>
      <c r="I32" s="5"/>
      <c r="J32" s="5" t="s">
        <v>2205</v>
      </c>
    </row>
    <row r="33" spans="1:10" ht="40.049999999999997" customHeight="1">
      <c r="A33" s="2">
        <v>31</v>
      </c>
      <c r="B33" s="2" t="s">
        <v>2210</v>
      </c>
      <c r="C33" s="2" t="s">
        <v>2218</v>
      </c>
      <c r="D33" s="3" t="s">
        <v>2207</v>
      </c>
      <c r="E33" s="3" t="s">
        <v>2219</v>
      </c>
      <c r="F33" s="3" t="s">
        <v>2220</v>
      </c>
      <c r="G33" s="3"/>
      <c r="H33" s="3"/>
      <c r="I33" s="3"/>
      <c r="J33" s="3" t="s">
        <v>2205</v>
      </c>
    </row>
    <row r="34" spans="1:10" ht="40.049999999999997" customHeight="1">
      <c r="A34" s="4">
        <v>32</v>
      </c>
      <c r="B34" s="4" t="s">
        <v>2210</v>
      </c>
      <c r="C34" s="4" t="s">
        <v>2218</v>
      </c>
      <c r="D34" s="5" t="s">
        <v>2207</v>
      </c>
      <c r="E34" s="5" t="s">
        <v>2221</v>
      </c>
      <c r="F34" s="5" t="s">
        <v>2222</v>
      </c>
      <c r="G34" s="5"/>
      <c r="H34" s="5"/>
      <c r="I34" s="5"/>
      <c r="J34" s="5" t="s">
        <v>2205</v>
      </c>
    </row>
    <row r="35" spans="1:10" ht="40.049999999999997" customHeight="1">
      <c r="A35" s="2">
        <v>33</v>
      </c>
      <c r="B35" s="2" t="s">
        <v>2664</v>
      </c>
      <c r="C35" s="2" t="s">
        <v>1530</v>
      </c>
      <c r="D35" s="3" t="s">
        <v>2207</v>
      </c>
      <c r="E35" s="3" t="s">
        <v>2229</v>
      </c>
      <c r="F35" s="3" t="s">
        <v>2230</v>
      </c>
      <c r="G35" s="3"/>
      <c r="H35" s="3"/>
      <c r="I35" s="3"/>
      <c r="J35" s="3" t="s">
        <v>2205</v>
      </c>
    </row>
    <row r="36" spans="1:10" ht="40.049999999999997" customHeight="1">
      <c r="A36" s="4">
        <v>34</v>
      </c>
      <c r="B36" s="4" t="s">
        <v>1413</v>
      </c>
      <c r="C36" s="4" t="s">
        <v>2517</v>
      </c>
      <c r="D36" s="5" t="s">
        <v>2207</v>
      </c>
      <c r="E36" s="5" t="s">
        <v>2518</v>
      </c>
      <c r="F36" s="5" t="s">
        <v>2519</v>
      </c>
      <c r="G36" s="5"/>
      <c r="H36" s="5"/>
      <c r="I36" s="5"/>
      <c r="J36" s="5" t="s">
        <v>2205</v>
      </c>
    </row>
    <row r="37" spans="1:10" ht="40.049999999999997" customHeight="1">
      <c r="A37" s="2">
        <v>35</v>
      </c>
      <c r="B37" s="2" t="s">
        <v>2210</v>
      </c>
      <c r="C37" s="2" t="s">
        <v>1653</v>
      </c>
      <c r="D37" s="3" t="s">
        <v>2207</v>
      </c>
      <c r="E37" s="3" t="s">
        <v>2213</v>
      </c>
      <c r="F37" s="3" t="s">
        <v>2214</v>
      </c>
      <c r="G37" s="3"/>
      <c r="H37" s="3"/>
      <c r="I37" s="3"/>
      <c r="J37" s="3" t="s">
        <v>2205</v>
      </c>
    </row>
    <row r="38" spans="1:10" ht="40.049999999999997" customHeight="1">
      <c r="A38" s="4">
        <v>36</v>
      </c>
      <c r="B38" s="4" t="s">
        <v>1412</v>
      </c>
      <c r="C38" s="4" t="s">
        <v>2091</v>
      </c>
      <c r="D38" s="5" t="s">
        <v>2207</v>
      </c>
      <c r="E38" s="5" t="s">
        <v>2571</v>
      </c>
      <c r="F38" s="5" t="s">
        <v>2572</v>
      </c>
      <c r="G38" s="5"/>
      <c r="H38" s="5"/>
      <c r="I38" s="5"/>
      <c r="J38" s="5" t="s">
        <v>2205</v>
      </c>
    </row>
    <row r="39" spans="1:10" ht="40.049999999999997" customHeight="1">
      <c r="A39" s="2">
        <v>37</v>
      </c>
      <c r="B39" s="2" t="s">
        <v>1414</v>
      </c>
      <c r="C39" s="2" t="s">
        <v>2151</v>
      </c>
      <c r="D39" s="3" t="s">
        <v>2207</v>
      </c>
      <c r="E39" s="3" t="s">
        <v>2651</v>
      </c>
      <c r="F39" s="3" t="s">
        <v>2652</v>
      </c>
      <c r="G39" s="3"/>
      <c r="H39" s="3"/>
      <c r="I39" s="3"/>
      <c r="J39" s="3" t="s">
        <v>2205</v>
      </c>
    </row>
    <row r="40" spans="1:10" ht="40.049999999999997" customHeight="1">
      <c r="A40" s="4">
        <v>38</v>
      </c>
      <c r="B40" s="4" t="s">
        <v>1413</v>
      </c>
      <c r="C40" s="4" t="s">
        <v>2517</v>
      </c>
      <c r="D40" s="5" t="s">
        <v>2207</v>
      </c>
      <c r="E40" s="5" t="s">
        <v>2520</v>
      </c>
      <c r="F40" s="5" t="s">
        <v>2521</v>
      </c>
      <c r="G40" s="5"/>
      <c r="H40" s="5"/>
      <c r="I40" s="5"/>
      <c r="J40" s="5" t="s">
        <v>2205</v>
      </c>
    </row>
    <row r="41" spans="1:10" ht="40.049999999999997" customHeight="1">
      <c r="A41" s="2">
        <v>39</v>
      </c>
      <c r="B41" s="2" t="s">
        <v>2664</v>
      </c>
      <c r="C41" s="2" t="s">
        <v>1653</v>
      </c>
      <c r="D41" s="3" t="s">
        <v>2207</v>
      </c>
      <c r="E41" s="3" t="s">
        <v>2246</v>
      </c>
      <c r="F41" s="3" t="s">
        <v>2247</v>
      </c>
      <c r="G41" s="3"/>
      <c r="H41" s="3"/>
      <c r="I41" s="3"/>
      <c r="J41" s="3" t="s">
        <v>2205</v>
      </c>
    </row>
    <row r="42" spans="1:10" ht="40.049999999999997" customHeight="1">
      <c r="A42" s="4">
        <v>40</v>
      </c>
      <c r="B42" s="4" t="s">
        <v>2664</v>
      </c>
      <c r="C42" s="4" t="s">
        <v>1653</v>
      </c>
      <c r="D42" s="5" t="s">
        <v>2207</v>
      </c>
      <c r="E42" s="5" t="s">
        <v>2248</v>
      </c>
      <c r="F42" s="5" t="s">
        <v>2249</v>
      </c>
      <c r="G42" s="5"/>
      <c r="H42" s="5"/>
      <c r="I42" s="5"/>
      <c r="J42" s="5" t="s">
        <v>2205</v>
      </c>
    </row>
    <row r="43" spans="1:10" ht="40.049999999999997" customHeight="1">
      <c r="A43" s="2">
        <v>41</v>
      </c>
      <c r="B43" s="2" t="s">
        <v>2664</v>
      </c>
      <c r="C43" s="2" t="s">
        <v>1653</v>
      </c>
      <c r="D43" s="3" t="s">
        <v>2207</v>
      </c>
      <c r="E43" s="3" t="s">
        <v>2250</v>
      </c>
      <c r="F43" s="3" t="s">
        <v>2251</v>
      </c>
      <c r="G43" s="3"/>
      <c r="H43" s="3"/>
      <c r="I43" s="3"/>
      <c r="J43" s="3" t="s">
        <v>2205</v>
      </c>
    </row>
    <row r="44" spans="1:10" ht="40.049999999999997" customHeight="1">
      <c r="A44" s="4">
        <v>42</v>
      </c>
      <c r="B44" s="4" t="s">
        <v>1413</v>
      </c>
      <c r="C44" s="4" t="s">
        <v>1653</v>
      </c>
      <c r="D44" s="5" t="s">
        <v>2207</v>
      </c>
      <c r="E44" s="5" t="s">
        <v>2532</v>
      </c>
      <c r="F44" s="5" t="s">
        <v>2533</v>
      </c>
      <c r="G44" s="5"/>
      <c r="H44" s="5"/>
      <c r="I44" s="5"/>
      <c r="J44" s="5" t="s">
        <v>2205</v>
      </c>
    </row>
    <row r="45" spans="1:10" ht="40.049999999999997" customHeight="1">
      <c r="A45" s="2">
        <v>43</v>
      </c>
      <c r="B45" s="2" t="s">
        <v>1412</v>
      </c>
      <c r="C45" s="2" t="s">
        <v>2582</v>
      </c>
      <c r="D45" s="3" t="s">
        <v>2207</v>
      </c>
      <c r="E45" s="3" t="s">
        <v>2583</v>
      </c>
      <c r="F45" s="3" t="s">
        <v>2584</v>
      </c>
      <c r="G45" s="3"/>
      <c r="H45" s="3"/>
      <c r="I45" s="3"/>
      <c r="J45" s="3" t="s">
        <v>2205</v>
      </c>
    </row>
    <row r="46" spans="1:10" ht="40.049999999999997" customHeight="1">
      <c r="A46" s="4">
        <v>44</v>
      </c>
      <c r="B46" s="4" t="s">
        <v>1414</v>
      </c>
      <c r="C46" s="4" t="s">
        <v>2130</v>
      </c>
      <c r="D46" s="5" t="s">
        <v>2207</v>
      </c>
      <c r="E46" s="5" t="s">
        <v>2600</v>
      </c>
      <c r="F46" s="5" t="s">
        <v>2601</v>
      </c>
      <c r="G46" s="5"/>
      <c r="H46" s="5"/>
      <c r="I46" s="5"/>
      <c r="J46" s="5" t="s">
        <v>2205</v>
      </c>
    </row>
    <row r="47" spans="1:10" ht="40.049999999999997" customHeight="1">
      <c r="A47" s="2">
        <v>45</v>
      </c>
      <c r="B47" s="2" t="s">
        <v>1413</v>
      </c>
      <c r="C47" s="2" t="s">
        <v>2508</v>
      </c>
      <c r="D47" s="3" t="s">
        <v>2207</v>
      </c>
      <c r="E47" s="3" t="s">
        <v>2515</v>
      </c>
      <c r="F47" s="3" t="s">
        <v>2516</v>
      </c>
      <c r="G47" s="3"/>
      <c r="H47" s="3"/>
      <c r="I47" s="3"/>
      <c r="J47" s="3" t="s">
        <v>2205</v>
      </c>
    </row>
    <row r="48" spans="1:10" ht="40.049999999999997" customHeight="1">
      <c r="A48" s="4">
        <v>46</v>
      </c>
      <c r="B48" s="4" t="s">
        <v>1410</v>
      </c>
      <c r="C48" s="4" t="s">
        <v>1676</v>
      </c>
      <c r="D48" s="5" t="s">
        <v>2498</v>
      </c>
      <c r="E48" s="5" t="s">
        <v>2499</v>
      </c>
      <c r="F48" s="5" t="s">
        <v>2500</v>
      </c>
      <c r="G48" s="5"/>
      <c r="H48" s="5"/>
      <c r="I48" s="5"/>
      <c r="J48" s="5" t="s">
        <v>2205</v>
      </c>
    </row>
    <row r="49" spans="1:10" ht="40.049999999999997" customHeight="1">
      <c r="A49" s="2">
        <v>47</v>
      </c>
      <c r="B49" s="2" t="s">
        <v>1413</v>
      </c>
      <c r="C49" s="2" t="s">
        <v>1653</v>
      </c>
      <c r="D49" s="3" t="s">
        <v>2498</v>
      </c>
      <c r="E49" s="3" t="s">
        <v>2534</v>
      </c>
      <c r="F49" s="3" t="s">
        <v>2535</v>
      </c>
      <c r="G49" s="3"/>
      <c r="H49" s="3"/>
      <c r="I49" s="3"/>
      <c r="J49" s="3" t="s">
        <v>2205</v>
      </c>
    </row>
    <row r="50" spans="1:10" ht="49.95" customHeight="1">
      <c r="A50" s="4">
        <v>48</v>
      </c>
      <c r="B50" s="4" t="s">
        <v>1413</v>
      </c>
      <c r="C50" s="4" t="s">
        <v>2517</v>
      </c>
      <c r="D50" s="5" t="s">
        <v>2498</v>
      </c>
      <c r="E50" s="5" t="s">
        <v>2522</v>
      </c>
      <c r="F50" s="5" t="s">
        <v>2523</v>
      </c>
      <c r="G50" s="5"/>
      <c r="H50" s="5"/>
      <c r="I50" s="5"/>
      <c r="J50" s="5" t="s">
        <v>2205</v>
      </c>
    </row>
    <row r="51" spans="1:10" ht="40.049999999999997" customHeight="1">
      <c r="A51" s="2">
        <v>49</v>
      </c>
      <c r="B51" s="2" t="s">
        <v>1413</v>
      </c>
      <c r="C51" s="2" t="s">
        <v>2517</v>
      </c>
      <c r="D51" s="3" t="s">
        <v>2498</v>
      </c>
      <c r="E51" s="3" t="s">
        <v>2524</v>
      </c>
      <c r="F51" s="3" t="s">
        <v>2525</v>
      </c>
      <c r="G51" s="3"/>
      <c r="H51" s="3"/>
      <c r="I51" s="3"/>
      <c r="J51" s="3" t="s">
        <v>2205</v>
      </c>
    </row>
    <row r="52" spans="1:10" ht="40.049999999999997" customHeight="1">
      <c r="A52" s="4">
        <v>50</v>
      </c>
      <c r="B52" s="4" t="s">
        <v>2662</v>
      </c>
      <c r="C52" s="4" t="s">
        <v>2435</v>
      </c>
      <c r="D52" s="5" t="s">
        <v>2436</v>
      </c>
      <c r="E52" s="5" t="s">
        <v>2437</v>
      </c>
      <c r="F52" s="5" t="s">
        <v>2438</v>
      </c>
      <c r="G52" s="5"/>
      <c r="H52" s="5"/>
      <c r="I52" s="5"/>
      <c r="J52" s="5" t="s">
        <v>2205</v>
      </c>
    </row>
    <row r="53" spans="1:10" ht="40.049999999999997" customHeight="1">
      <c r="A53" s="2">
        <v>51</v>
      </c>
      <c r="B53" s="2" t="s">
        <v>1413</v>
      </c>
      <c r="C53" s="2" t="s">
        <v>1653</v>
      </c>
      <c r="D53" s="3" t="s">
        <v>2536</v>
      </c>
      <c r="E53" s="3" t="s">
        <v>2537</v>
      </c>
      <c r="F53" s="3" t="s">
        <v>2538</v>
      </c>
      <c r="G53" s="3"/>
      <c r="H53" s="3"/>
      <c r="I53" s="3"/>
      <c r="J53" s="3" t="s">
        <v>2205</v>
      </c>
    </row>
    <row r="54" spans="1:10" ht="49.95" customHeight="1">
      <c r="A54" s="4">
        <v>52</v>
      </c>
      <c r="B54" s="4" t="s">
        <v>1412</v>
      </c>
      <c r="C54" s="4" t="s">
        <v>2091</v>
      </c>
      <c r="D54" s="5" t="s">
        <v>2202</v>
      </c>
      <c r="E54" s="5" t="s">
        <v>2573</v>
      </c>
      <c r="F54" s="5" t="s">
        <v>2574</v>
      </c>
      <c r="G54" s="5"/>
      <c r="H54" s="5"/>
      <c r="I54" s="5"/>
      <c r="J54" s="5" t="s">
        <v>2205</v>
      </c>
    </row>
    <row r="55" spans="1:10" ht="66" customHeight="1">
      <c r="A55" s="2">
        <v>53</v>
      </c>
      <c r="B55" s="2" t="s">
        <v>1413</v>
      </c>
      <c r="C55" s="2" t="s">
        <v>2542</v>
      </c>
      <c r="D55" s="3" t="s">
        <v>2202</v>
      </c>
      <c r="E55" s="3" t="s">
        <v>2543</v>
      </c>
      <c r="F55" s="3" t="s">
        <v>2544</v>
      </c>
      <c r="G55" s="3"/>
      <c r="H55" s="3"/>
      <c r="I55" s="3"/>
      <c r="J55" s="3" t="s">
        <v>2205</v>
      </c>
    </row>
    <row r="56" spans="1:10" ht="49.95" customHeight="1">
      <c r="A56" s="4">
        <v>54</v>
      </c>
      <c r="B56" s="4" t="s">
        <v>2664</v>
      </c>
      <c r="C56" s="4" t="s">
        <v>2290</v>
      </c>
      <c r="D56" s="5" t="s">
        <v>2202</v>
      </c>
      <c r="E56" s="5" t="s">
        <v>2293</v>
      </c>
      <c r="F56" s="5" t="s">
        <v>2294</v>
      </c>
      <c r="G56" s="5"/>
      <c r="H56" s="5"/>
      <c r="I56" s="5"/>
      <c r="J56" s="5" t="s">
        <v>2205</v>
      </c>
    </row>
    <row r="57" spans="1:10" ht="49.95" customHeight="1">
      <c r="A57" s="2">
        <v>55</v>
      </c>
      <c r="B57" s="2" t="s">
        <v>1407</v>
      </c>
      <c r="C57" s="2" t="s">
        <v>1653</v>
      </c>
      <c r="D57" s="3" t="s">
        <v>2202</v>
      </c>
      <c r="E57" s="3" t="s">
        <v>2252</v>
      </c>
      <c r="F57" s="3" t="s">
        <v>2253</v>
      </c>
      <c r="G57" s="3"/>
      <c r="H57" s="3"/>
      <c r="I57" s="3"/>
      <c r="J57" s="3" t="s">
        <v>2205</v>
      </c>
    </row>
    <row r="58" spans="1:10" ht="49.95" customHeight="1">
      <c r="A58" s="4">
        <v>56</v>
      </c>
      <c r="B58" s="4" t="s">
        <v>1412</v>
      </c>
      <c r="C58" s="4" t="s">
        <v>2575</v>
      </c>
      <c r="D58" s="5" t="s">
        <v>2202</v>
      </c>
      <c r="E58" s="5" t="s">
        <v>2576</v>
      </c>
      <c r="F58" s="5" t="s">
        <v>2577</v>
      </c>
      <c r="G58" s="5"/>
      <c r="H58" s="5"/>
      <c r="I58" s="5"/>
      <c r="J58" s="5" t="s">
        <v>2205</v>
      </c>
    </row>
    <row r="59" spans="1:10" ht="66" customHeight="1">
      <c r="A59" s="2">
        <v>57</v>
      </c>
      <c r="B59" s="2" t="s">
        <v>1410</v>
      </c>
      <c r="C59" s="2" t="s">
        <v>1676</v>
      </c>
      <c r="D59" s="3" t="s">
        <v>2202</v>
      </c>
      <c r="E59" s="3" t="s">
        <v>2501</v>
      </c>
      <c r="F59" s="3" t="s">
        <v>2502</v>
      </c>
      <c r="G59" s="3"/>
      <c r="H59" s="3"/>
      <c r="I59" s="3"/>
      <c r="J59" s="3" t="s">
        <v>2205</v>
      </c>
    </row>
    <row r="60" spans="1:10" ht="66" customHeight="1">
      <c r="A60" s="4">
        <v>58</v>
      </c>
      <c r="B60" s="4" t="s">
        <v>2210</v>
      </c>
      <c r="C60" s="4" t="s">
        <v>2224</v>
      </c>
      <c r="D60" s="5" t="s">
        <v>2202</v>
      </c>
      <c r="E60" s="5" t="s">
        <v>2225</v>
      </c>
      <c r="F60" s="5" t="s">
        <v>2226</v>
      </c>
      <c r="G60" s="5"/>
      <c r="H60" s="5"/>
      <c r="I60" s="5"/>
      <c r="J60" s="5" t="s">
        <v>2205</v>
      </c>
    </row>
    <row r="61" spans="1:10" ht="40.049999999999997" customHeight="1">
      <c r="A61" s="2">
        <v>59</v>
      </c>
      <c r="B61" s="2" t="s">
        <v>2210</v>
      </c>
      <c r="C61" s="2" t="s">
        <v>2215</v>
      </c>
      <c r="D61" s="3" t="s">
        <v>2202</v>
      </c>
      <c r="E61" s="3" t="s">
        <v>2216</v>
      </c>
      <c r="F61" s="3" t="s">
        <v>2217</v>
      </c>
      <c r="G61" s="3"/>
      <c r="H61" s="3"/>
      <c r="I61" s="3"/>
      <c r="J61" s="3" t="s">
        <v>2205</v>
      </c>
    </row>
    <row r="62" spans="1:10" ht="49.95" customHeight="1">
      <c r="A62" s="4">
        <v>60</v>
      </c>
      <c r="B62" s="4" t="s">
        <v>2210</v>
      </c>
      <c r="C62" s="4" t="s">
        <v>2224</v>
      </c>
      <c r="D62" s="5" t="s">
        <v>2202</v>
      </c>
      <c r="E62" s="5" t="s">
        <v>2227</v>
      </c>
      <c r="F62" s="5" t="s">
        <v>2228</v>
      </c>
      <c r="G62" s="5"/>
      <c r="H62" s="5"/>
      <c r="I62" s="5"/>
      <c r="J62" s="5" t="s">
        <v>2205</v>
      </c>
    </row>
    <row r="63" spans="1:10" ht="49.95" customHeight="1">
      <c r="A63" s="2">
        <v>61</v>
      </c>
      <c r="B63" s="2" t="s">
        <v>2210</v>
      </c>
      <c r="C63" s="2" t="s">
        <v>2201</v>
      </c>
      <c r="D63" s="3" t="s">
        <v>2202</v>
      </c>
      <c r="E63" s="3" t="s">
        <v>2203</v>
      </c>
      <c r="F63" s="3" t="s">
        <v>2204</v>
      </c>
      <c r="G63" s="3"/>
      <c r="H63" s="3"/>
      <c r="I63" s="3"/>
      <c r="J63" s="3" t="s">
        <v>2205</v>
      </c>
    </row>
    <row r="64" spans="1:10" ht="40.049999999999997" customHeight="1">
      <c r="A64" s="4">
        <v>62</v>
      </c>
      <c r="B64" s="4" t="s">
        <v>1410</v>
      </c>
      <c r="C64" s="4" t="s">
        <v>2495</v>
      </c>
      <c r="D64" s="5" t="s">
        <v>2202</v>
      </c>
      <c r="E64" s="5" t="s">
        <v>2496</v>
      </c>
      <c r="F64" s="5" t="s">
        <v>2497</v>
      </c>
      <c r="G64" s="5"/>
      <c r="H64" s="5"/>
      <c r="I64" s="5"/>
      <c r="J64" s="5" t="s">
        <v>2205</v>
      </c>
    </row>
    <row r="65" spans="1:10" ht="40.049999999999997" customHeight="1">
      <c r="A65" s="2">
        <v>63</v>
      </c>
      <c r="B65" s="2" t="s">
        <v>1406</v>
      </c>
      <c r="C65" s="2" t="s">
        <v>1653</v>
      </c>
      <c r="D65" s="3" t="s">
        <v>2202</v>
      </c>
      <c r="E65" s="3" t="s">
        <v>2374</v>
      </c>
      <c r="F65" s="3" t="s">
        <v>2375</v>
      </c>
      <c r="G65" s="3"/>
      <c r="H65" s="3"/>
      <c r="I65" s="3"/>
      <c r="J65" s="3" t="s">
        <v>2205</v>
      </c>
    </row>
    <row r="66" spans="1:10" ht="49.95" customHeight="1">
      <c r="A66" s="4">
        <v>64</v>
      </c>
      <c r="B66" s="4" t="s">
        <v>2664</v>
      </c>
      <c r="C66" s="4" t="s">
        <v>2290</v>
      </c>
      <c r="D66" s="5" t="s">
        <v>2202</v>
      </c>
      <c r="E66" s="5" t="s">
        <v>2295</v>
      </c>
      <c r="F66" s="5" t="s">
        <v>2296</v>
      </c>
      <c r="G66" s="5"/>
      <c r="H66" s="5"/>
      <c r="I66" s="5"/>
      <c r="J66" s="5" t="s">
        <v>2205</v>
      </c>
    </row>
    <row r="67" spans="1:10" ht="49.95" customHeight="1">
      <c r="A67" s="2">
        <v>65</v>
      </c>
      <c r="B67" s="2" t="s">
        <v>1407</v>
      </c>
      <c r="C67" s="2" t="s">
        <v>2241</v>
      </c>
      <c r="D67" s="3" t="s">
        <v>2242</v>
      </c>
      <c r="E67" s="3" t="s">
        <v>2243</v>
      </c>
      <c r="F67" s="3" t="s">
        <v>2244</v>
      </c>
      <c r="G67" s="3"/>
      <c r="H67" s="3"/>
      <c r="I67" s="3"/>
      <c r="J67" s="3"/>
    </row>
    <row r="68" spans="1:10" ht="49.95" customHeight="1">
      <c r="A68" s="4">
        <v>66</v>
      </c>
      <c r="B68" s="4" t="s">
        <v>1410</v>
      </c>
      <c r="C68" s="4" t="s">
        <v>2489</v>
      </c>
      <c r="D68" s="5" t="s">
        <v>2232</v>
      </c>
      <c r="E68" s="5" t="s">
        <v>2490</v>
      </c>
      <c r="F68" s="5" t="s">
        <v>2491</v>
      </c>
      <c r="G68" s="5"/>
      <c r="H68" s="5"/>
      <c r="I68" s="5"/>
      <c r="J68" s="5" t="s">
        <v>2205</v>
      </c>
    </row>
    <row r="69" spans="1:10" ht="49.95" customHeight="1">
      <c r="A69" s="2">
        <v>67</v>
      </c>
      <c r="B69" s="2" t="s">
        <v>1407</v>
      </c>
      <c r="C69" s="2" t="s">
        <v>2231</v>
      </c>
      <c r="D69" s="3" t="s">
        <v>2232</v>
      </c>
      <c r="E69" s="3" t="s">
        <v>2233</v>
      </c>
      <c r="F69" s="3" t="s">
        <v>2234</v>
      </c>
      <c r="G69" s="3"/>
      <c r="H69" s="3"/>
      <c r="I69" s="3"/>
      <c r="J69" s="3" t="s">
        <v>2205</v>
      </c>
    </row>
    <row r="70" spans="1:10" ht="40.049999999999997" customHeight="1">
      <c r="A70" s="4">
        <v>68</v>
      </c>
      <c r="B70" s="4" t="s">
        <v>1412</v>
      </c>
      <c r="C70" s="4" t="s">
        <v>2555</v>
      </c>
      <c r="D70" s="5" t="s">
        <v>2232</v>
      </c>
      <c r="E70" s="5" t="s">
        <v>2556</v>
      </c>
      <c r="F70" s="5" t="s">
        <v>2557</v>
      </c>
      <c r="G70" s="5"/>
      <c r="H70" s="5"/>
      <c r="I70" s="5"/>
      <c r="J70" s="5" t="s">
        <v>2205</v>
      </c>
    </row>
    <row r="71" spans="1:10" ht="40.049999999999997" customHeight="1">
      <c r="A71" s="2">
        <v>69</v>
      </c>
      <c r="B71" s="2" t="s">
        <v>1407</v>
      </c>
      <c r="C71" s="2" t="s">
        <v>1653</v>
      </c>
      <c r="D71" s="3" t="s">
        <v>2232</v>
      </c>
      <c r="E71" s="3" t="s">
        <v>2254</v>
      </c>
      <c r="F71" s="3" t="s">
        <v>2255</v>
      </c>
      <c r="G71" s="3"/>
      <c r="H71" s="3"/>
      <c r="I71" s="3"/>
      <c r="J71" s="3" t="s">
        <v>2205</v>
      </c>
    </row>
    <row r="72" spans="1:10" ht="40.049999999999997" customHeight="1">
      <c r="A72" s="4">
        <v>70</v>
      </c>
      <c r="B72" s="4" t="s">
        <v>1407</v>
      </c>
      <c r="C72" s="4" t="s">
        <v>2231</v>
      </c>
      <c r="D72" s="5" t="s">
        <v>2232</v>
      </c>
      <c r="E72" s="5" t="s">
        <v>2235</v>
      </c>
      <c r="F72" s="5" t="s">
        <v>2236</v>
      </c>
      <c r="G72" s="5"/>
      <c r="H72" s="5"/>
      <c r="I72" s="5"/>
      <c r="J72" s="5" t="s">
        <v>2205</v>
      </c>
    </row>
    <row r="73" spans="1:10" ht="40.049999999999997" customHeight="1">
      <c r="A73" s="2">
        <v>71</v>
      </c>
      <c r="B73" s="2" t="s">
        <v>1413</v>
      </c>
      <c r="C73" s="2" t="s">
        <v>2542</v>
      </c>
      <c r="D73" s="3" t="s">
        <v>2232</v>
      </c>
      <c r="E73" s="3" t="s">
        <v>2545</v>
      </c>
      <c r="F73" s="3" t="s">
        <v>2546</v>
      </c>
      <c r="G73" s="3"/>
      <c r="H73" s="3"/>
      <c r="I73" s="3"/>
      <c r="J73" s="3" t="s">
        <v>2205</v>
      </c>
    </row>
    <row r="74" spans="1:10" ht="40.049999999999997" customHeight="1">
      <c r="A74" s="4">
        <v>72</v>
      </c>
      <c r="B74" s="4" t="s">
        <v>1407</v>
      </c>
      <c r="C74" s="4" t="s">
        <v>2336</v>
      </c>
      <c r="D74" s="5" t="s">
        <v>2232</v>
      </c>
      <c r="E74" s="5" t="s">
        <v>2339</v>
      </c>
      <c r="F74" s="5" t="s">
        <v>2340</v>
      </c>
      <c r="G74" s="5"/>
      <c r="H74" s="5"/>
      <c r="I74" s="5"/>
      <c r="J74" s="5" t="s">
        <v>2205</v>
      </c>
    </row>
    <row r="75" spans="1:10" ht="40.049999999999997" customHeight="1">
      <c r="A75" s="2">
        <v>73</v>
      </c>
      <c r="B75" s="2" t="s">
        <v>1407</v>
      </c>
      <c r="C75" s="2" t="s">
        <v>2273</v>
      </c>
      <c r="D75" s="3" t="s">
        <v>2232</v>
      </c>
      <c r="E75" s="3" t="s">
        <v>2276</v>
      </c>
      <c r="F75" s="3" t="s">
        <v>2277</v>
      </c>
      <c r="G75" s="3"/>
      <c r="H75" s="3"/>
      <c r="I75" s="3"/>
      <c r="J75" s="3" t="s">
        <v>2205</v>
      </c>
    </row>
    <row r="76" spans="1:10" ht="40.049999999999997" customHeight="1">
      <c r="A76" s="4">
        <v>74</v>
      </c>
      <c r="B76" s="4" t="s">
        <v>1407</v>
      </c>
      <c r="C76" s="4" t="s">
        <v>2231</v>
      </c>
      <c r="D76" s="5" t="s">
        <v>2232</v>
      </c>
      <c r="E76" s="5" t="s">
        <v>2237</v>
      </c>
      <c r="F76" s="5" t="s">
        <v>2238</v>
      </c>
      <c r="G76" s="5"/>
      <c r="H76" s="5"/>
      <c r="I76" s="5"/>
      <c r="J76" s="5" t="s">
        <v>2205</v>
      </c>
    </row>
    <row r="77" spans="1:10" ht="40.049999999999997" customHeight="1">
      <c r="A77" s="2">
        <v>75</v>
      </c>
      <c r="B77" s="2" t="s">
        <v>1407</v>
      </c>
      <c r="C77" s="2" t="s">
        <v>1653</v>
      </c>
      <c r="D77" s="3" t="s">
        <v>2232</v>
      </c>
      <c r="E77" s="3" t="s">
        <v>2256</v>
      </c>
      <c r="F77" s="3" t="s">
        <v>2257</v>
      </c>
      <c r="G77" s="3"/>
      <c r="H77" s="3"/>
      <c r="I77" s="3"/>
      <c r="J77" s="3" t="s">
        <v>2205</v>
      </c>
    </row>
    <row r="78" spans="1:10" ht="40.049999999999997" customHeight="1">
      <c r="A78" s="4">
        <v>76</v>
      </c>
      <c r="B78" s="4" t="s">
        <v>1407</v>
      </c>
      <c r="C78" s="4" t="s">
        <v>2306</v>
      </c>
      <c r="D78" s="5" t="s">
        <v>2232</v>
      </c>
      <c r="E78" s="5" t="s">
        <v>2309</v>
      </c>
      <c r="F78" s="5" t="s">
        <v>2310</v>
      </c>
      <c r="G78" s="5"/>
      <c r="H78" s="5"/>
      <c r="I78" s="5"/>
      <c r="J78" s="5" t="s">
        <v>2205</v>
      </c>
    </row>
    <row r="79" spans="1:10" ht="40.049999999999997" customHeight="1">
      <c r="A79" s="2">
        <v>77</v>
      </c>
      <c r="B79" s="2" t="s">
        <v>1407</v>
      </c>
      <c r="C79" s="2" t="s">
        <v>2273</v>
      </c>
      <c r="D79" s="3" t="s">
        <v>2232</v>
      </c>
      <c r="E79" s="3" t="s">
        <v>2239</v>
      </c>
      <c r="F79" s="3" t="s">
        <v>2278</v>
      </c>
      <c r="G79" s="3"/>
      <c r="H79" s="3"/>
      <c r="I79" s="3"/>
      <c r="J79" s="3" t="s">
        <v>2205</v>
      </c>
    </row>
    <row r="80" spans="1:10" ht="40.049999999999997" customHeight="1">
      <c r="A80" s="4">
        <v>78</v>
      </c>
      <c r="B80" s="4" t="s">
        <v>1407</v>
      </c>
      <c r="C80" s="4" t="s">
        <v>2273</v>
      </c>
      <c r="D80" s="5" t="s">
        <v>2232</v>
      </c>
      <c r="E80" s="5" t="s">
        <v>2239</v>
      </c>
      <c r="F80" s="5" t="s">
        <v>2279</v>
      </c>
      <c r="G80" s="5"/>
      <c r="H80" s="5"/>
      <c r="I80" s="5"/>
      <c r="J80" s="5" t="s">
        <v>2205</v>
      </c>
    </row>
    <row r="81" spans="1:10" ht="40.049999999999997" customHeight="1">
      <c r="A81" s="2">
        <v>79</v>
      </c>
      <c r="B81" s="2" t="s">
        <v>1407</v>
      </c>
      <c r="C81" s="2" t="s">
        <v>2306</v>
      </c>
      <c r="D81" s="3" t="s">
        <v>2232</v>
      </c>
      <c r="E81" s="3" t="s">
        <v>2239</v>
      </c>
      <c r="F81" s="3" t="s">
        <v>2311</v>
      </c>
      <c r="G81" s="3"/>
      <c r="H81" s="3"/>
      <c r="I81" s="3"/>
      <c r="J81" s="3" t="s">
        <v>2205</v>
      </c>
    </row>
    <row r="82" spans="1:10" ht="40.049999999999997" customHeight="1">
      <c r="A82" s="4">
        <v>80</v>
      </c>
      <c r="B82" s="4" t="s">
        <v>1407</v>
      </c>
      <c r="C82" s="4" t="s">
        <v>2290</v>
      </c>
      <c r="D82" s="5" t="s">
        <v>2232</v>
      </c>
      <c r="E82" s="5" t="s">
        <v>2239</v>
      </c>
      <c r="F82" s="5" t="s">
        <v>2297</v>
      </c>
      <c r="G82" s="5"/>
      <c r="H82" s="5"/>
      <c r="I82" s="5"/>
      <c r="J82" s="5" t="s">
        <v>2205</v>
      </c>
    </row>
    <row r="83" spans="1:10" ht="40.049999999999997" customHeight="1">
      <c r="A83" s="2">
        <v>81</v>
      </c>
      <c r="B83" s="2" t="s">
        <v>1407</v>
      </c>
      <c r="C83" s="2" t="s">
        <v>1653</v>
      </c>
      <c r="D83" s="3" t="s">
        <v>2232</v>
      </c>
      <c r="E83" s="3" t="s">
        <v>2239</v>
      </c>
      <c r="F83" s="3" t="s">
        <v>2258</v>
      </c>
      <c r="G83" s="3"/>
      <c r="H83" s="3"/>
      <c r="I83" s="3"/>
      <c r="J83" s="3" t="s">
        <v>2205</v>
      </c>
    </row>
    <row r="84" spans="1:10" ht="40.049999999999997" customHeight="1">
      <c r="A84" s="4">
        <v>82</v>
      </c>
      <c r="B84" s="4" t="s">
        <v>1407</v>
      </c>
      <c r="C84" s="4" t="s">
        <v>2231</v>
      </c>
      <c r="D84" s="5" t="s">
        <v>2232</v>
      </c>
      <c r="E84" s="5" t="s">
        <v>2239</v>
      </c>
      <c r="F84" s="5" t="s">
        <v>2240</v>
      </c>
      <c r="G84" s="5"/>
      <c r="H84" s="5"/>
      <c r="I84" s="5"/>
      <c r="J84" s="5" t="s">
        <v>2205</v>
      </c>
    </row>
    <row r="85" spans="1:10" ht="49.95" customHeight="1">
      <c r="A85" s="2">
        <v>83</v>
      </c>
      <c r="B85" s="2" t="s">
        <v>1407</v>
      </c>
      <c r="C85" s="2" t="s">
        <v>2241</v>
      </c>
      <c r="D85" s="3" t="s">
        <v>2232</v>
      </c>
      <c r="E85" s="3" t="s">
        <v>2239</v>
      </c>
      <c r="F85" s="3" t="s">
        <v>2245</v>
      </c>
      <c r="G85" s="3"/>
      <c r="H85" s="3"/>
      <c r="I85" s="3"/>
      <c r="J85" s="3" t="s">
        <v>2205</v>
      </c>
    </row>
    <row r="86" spans="1:10" ht="40.049999999999997" customHeight="1">
      <c r="A86" s="4">
        <v>84</v>
      </c>
      <c r="B86" s="4" t="s">
        <v>1407</v>
      </c>
      <c r="C86" s="4" t="s">
        <v>2261</v>
      </c>
      <c r="D86" s="5" t="s">
        <v>2232</v>
      </c>
      <c r="E86" s="5" t="s">
        <v>2259</v>
      </c>
      <c r="F86" s="5" t="s">
        <v>2264</v>
      </c>
      <c r="G86" s="5"/>
      <c r="H86" s="5"/>
      <c r="I86" s="5"/>
      <c r="J86" s="5" t="s">
        <v>2205</v>
      </c>
    </row>
    <row r="87" spans="1:10" ht="40.049999999999997" customHeight="1">
      <c r="A87" s="2">
        <v>85</v>
      </c>
      <c r="B87" s="2" t="s">
        <v>1407</v>
      </c>
      <c r="C87" s="2" t="s">
        <v>1653</v>
      </c>
      <c r="D87" s="3" t="s">
        <v>2232</v>
      </c>
      <c r="E87" s="3" t="s">
        <v>2259</v>
      </c>
      <c r="F87" s="3" t="s">
        <v>2260</v>
      </c>
      <c r="G87" s="3"/>
      <c r="H87" s="3"/>
      <c r="I87" s="3"/>
      <c r="J87" s="3" t="s">
        <v>2205</v>
      </c>
    </row>
    <row r="88" spans="1:10" ht="49.95" customHeight="1">
      <c r="A88" s="4">
        <v>86</v>
      </c>
      <c r="B88" s="4" t="s">
        <v>2663</v>
      </c>
      <c r="C88" s="4" t="s">
        <v>2391</v>
      </c>
      <c r="D88" s="5" t="s">
        <v>2392</v>
      </c>
      <c r="E88" s="5" t="s">
        <v>2393</v>
      </c>
      <c r="F88" s="5" t="s">
        <v>2394</v>
      </c>
      <c r="G88" s="5"/>
      <c r="H88" s="5"/>
      <c r="I88" s="5"/>
      <c r="J88" s="5"/>
    </row>
    <row r="89" spans="1:10" ht="66" customHeight="1">
      <c r="A89" s="2">
        <v>87</v>
      </c>
      <c r="B89" s="2" t="s">
        <v>2663</v>
      </c>
      <c r="C89" s="2" t="s">
        <v>2412</v>
      </c>
      <c r="D89" s="3" t="s">
        <v>2413</v>
      </c>
      <c r="E89" s="3" t="s">
        <v>2414</v>
      </c>
      <c r="F89" s="3" t="s">
        <v>2415</v>
      </c>
      <c r="G89" s="3"/>
      <c r="H89" s="3"/>
      <c r="I89" s="3"/>
      <c r="J89" s="3"/>
    </row>
    <row r="90" spans="1:10" ht="49.95" customHeight="1">
      <c r="A90" s="4">
        <v>88</v>
      </c>
      <c r="B90" s="4" t="s">
        <v>2662</v>
      </c>
      <c r="C90" s="4" t="s">
        <v>2412</v>
      </c>
      <c r="D90" s="5" t="s">
        <v>2416</v>
      </c>
      <c r="E90" s="5" t="s">
        <v>2417</v>
      </c>
      <c r="F90" s="5" t="s">
        <v>2418</v>
      </c>
      <c r="G90" s="5"/>
      <c r="H90" s="5"/>
      <c r="I90" s="5"/>
      <c r="J90" s="5"/>
    </row>
    <row r="91" spans="1:10" ht="49.95" customHeight="1">
      <c r="A91" s="2">
        <v>89</v>
      </c>
      <c r="B91" s="2" t="s">
        <v>2662</v>
      </c>
      <c r="C91" s="2" t="s">
        <v>2412</v>
      </c>
      <c r="D91" s="3" t="s">
        <v>2419</v>
      </c>
      <c r="E91" s="3" t="s">
        <v>2420</v>
      </c>
      <c r="F91" s="3" t="s">
        <v>2421</v>
      </c>
      <c r="G91" s="3"/>
      <c r="H91" s="3"/>
      <c r="I91" s="3"/>
      <c r="J91" s="3"/>
    </row>
    <row r="92" spans="1:10" ht="66" customHeight="1">
      <c r="A92" s="4">
        <v>90</v>
      </c>
      <c r="B92" s="4" t="s">
        <v>2663</v>
      </c>
      <c r="C92" s="4" t="s">
        <v>2398</v>
      </c>
      <c r="D92" s="5" t="s">
        <v>2399</v>
      </c>
      <c r="E92" s="5" t="s">
        <v>2400</v>
      </c>
      <c r="F92" s="5" t="s">
        <v>2401</v>
      </c>
      <c r="G92" s="5"/>
      <c r="H92" s="5"/>
      <c r="I92" s="5"/>
      <c r="J92" s="5"/>
    </row>
    <row r="93" spans="1:10" ht="49.95" customHeight="1">
      <c r="A93" s="2">
        <v>91</v>
      </c>
      <c r="B93" s="2" t="s">
        <v>2663</v>
      </c>
      <c r="C93" s="2" t="s">
        <v>2447</v>
      </c>
      <c r="D93" s="3" t="s">
        <v>2448</v>
      </c>
      <c r="E93" s="3" t="s">
        <v>2449</v>
      </c>
      <c r="F93" s="3" t="s">
        <v>2450</v>
      </c>
      <c r="G93" s="3"/>
      <c r="H93" s="3"/>
      <c r="I93" s="3"/>
      <c r="J93" s="3"/>
    </row>
    <row r="94" spans="1:10" ht="49.95" customHeight="1">
      <c r="A94" s="4">
        <v>92</v>
      </c>
      <c r="B94" s="4" t="s">
        <v>2663</v>
      </c>
      <c r="C94" s="4" t="s">
        <v>2412</v>
      </c>
      <c r="D94" s="5" t="s">
        <v>2383</v>
      </c>
      <c r="E94" s="5" t="s">
        <v>2422</v>
      </c>
      <c r="F94" s="5" t="s">
        <v>2423</v>
      </c>
      <c r="G94" s="5"/>
      <c r="H94" s="5"/>
      <c r="I94" s="5"/>
      <c r="J94" s="5"/>
    </row>
    <row r="95" spans="1:10" ht="66" customHeight="1">
      <c r="A95" s="2">
        <v>93</v>
      </c>
      <c r="B95" s="2" t="s">
        <v>2663</v>
      </c>
      <c r="C95" s="2" t="s">
        <v>2382</v>
      </c>
      <c r="D95" s="3" t="s">
        <v>2383</v>
      </c>
      <c r="E95" s="3" t="s">
        <v>2384</v>
      </c>
      <c r="F95" s="3" t="s">
        <v>2385</v>
      </c>
      <c r="G95" s="3"/>
      <c r="H95" s="3"/>
      <c r="I95" s="3"/>
      <c r="J95" s="3"/>
    </row>
    <row r="96" spans="1:10" ht="49.95" customHeight="1">
      <c r="A96" s="4">
        <v>94</v>
      </c>
      <c r="B96" s="4" t="s">
        <v>2662</v>
      </c>
      <c r="C96" s="4" t="s">
        <v>2412</v>
      </c>
      <c r="D96" s="5" t="s">
        <v>2424</v>
      </c>
      <c r="E96" s="5" t="s">
        <v>2417</v>
      </c>
      <c r="F96" s="5" t="s">
        <v>2425</v>
      </c>
      <c r="G96" s="5"/>
      <c r="H96" s="5"/>
      <c r="I96" s="5"/>
      <c r="J96" s="5"/>
    </row>
    <row r="97" spans="1:10" ht="49.95" customHeight="1">
      <c r="A97" s="2">
        <v>95</v>
      </c>
      <c r="B97" s="2" t="s">
        <v>2663</v>
      </c>
      <c r="C97" s="2" t="s">
        <v>2412</v>
      </c>
      <c r="D97" s="3" t="s">
        <v>2426</v>
      </c>
      <c r="E97" s="3" t="s">
        <v>2427</v>
      </c>
      <c r="F97" s="3" t="s">
        <v>2428</v>
      </c>
      <c r="G97" s="3"/>
      <c r="H97" s="3"/>
      <c r="I97" s="3"/>
      <c r="J97" s="3"/>
    </row>
    <row r="98" spans="1:10" ht="49.95" customHeight="1">
      <c r="A98" s="4">
        <v>96</v>
      </c>
      <c r="B98" s="4" t="s">
        <v>2663</v>
      </c>
      <c r="C98" s="4" t="s">
        <v>2412</v>
      </c>
      <c r="D98" s="5" t="s">
        <v>2429</v>
      </c>
      <c r="E98" s="5" t="s">
        <v>2420</v>
      </c>
      <c r="F98" s="5" t="s">
        <v>2430</v>
      </c>
      <c r="G98" s="5"/>
      <c r="H98" s="5"/>
      <c r="I98" s="5"/>
      <c r="J98" s="5"/>
    </row>
    <row r="99" spans="1:10" ht="82.05" customHeight="1">
      <c r="A99" s="2">
        <v>97</v>
      </c>
      <c r="B99" s="2" t="s">
        <v>2663</v>
      </c>
      <c r="C99" s="2" t="s">
        <v>2398</v>
      </c>
      <c r="D99" s="3" t="s">
        <v>2402</v>
      </c>
      <c r="E99" s="3" t="s">
        <v>2403</v>
      </c>
      <c r="F99" s="3" t="s">
        <v>2404</v>
      </c>
      <c r="G99" s="3"/>
      <c r="H99" s="3"/>
      <c r="I99" s="3"/>
      <c r="J99" s="3"/>
    </row>
    <row r="100" spans="1:10" ht="49.95" customHeight="1">
      <c r="A100" s="4">
        <v>98</v>
      </c>
      <c r="B100" s="4" t="s">
        <v>1410</v>
      </c>
      <c r="C100" s="4" t="s">
        <v>1653</v>
      </c>
      <c r="D100" s="5" t="s">
        <v>2492</v>
      </c>
      <c r="E100" s="5" t="s">
        <v>2493</v>
      </c>
      <c r="F100" s="5" t="s">
        <v>2494</v>
      </c>
      <c r="G100" s="5"/>
      <c r="H100" s="5"/>
      <c r="I100" s="5"/>
      <c r="J100" s="5"/>
    </row>
    <row r="101" spans="1:10" ht="66" customHeight="1">
      <c r="A101" s="2">
        <v>99</v>
      </c>
      <c r="B101" s="2" t="s">
        <v>1410</v>
      </c>
      <c r="C101" s="2" t="s">
        <v>1676</v>
      </c>
      <c r="D101" s="3" t="s">
        <v>2503</v>
      </c>
      <c r="E101" s="3" t="s">
        <v>2504</v>
      </c>
      <c r="F101" s="3" t="s">
        <v>2505</v>
      </c>
      <c r="G101" s="3"/>
      <c r="H101" s="3"/>
      <c r="I101" s="3"/>
      <c r="J101" s="3"/>
    </row>
    <row r="102" spans="1:10" ht="66" customHeight="1">
      <c r="A102" s="4">
        <v>100</v>
      </c>
      <c r="B102" s="4" t="s">
        <v>1411</v>
      </c>
      <c r="C102" s="4" t="s">
        <v>2551</v>
      </c>
      <c r="D102" s="5" t="s">
        <v>2552</v>
      </c>
      <c r="E102" s="5" t="s">
        <v>2553</v>
      </c>
      <c r="F102" s="5" t="s">
        <v>2554</v>
      </c>
      <c r="G102" s="5"/>
      <c r="H102" s="5"/>
      <c r="I102" s="5"/>
      <c r="J102" s="5"/>
    </row>
    <row r="103" spans="1:10" ht="49.95" customHeight="1">
      <c r="A103" s="2">
        <v>101</v>
      </c>
      <c r="B103" s="2" t="s">
        <v>1411</v>
      </c>
      <c r="C103" s="2" t="s">
        <v>2547</v>
      </c>
      <c r="D103" s="3" t="s">
        <v>2548</v>
      </c>
      <c r="E103" s="3" t="s">
        <v>2549</v>
      </c>
      <c r="F103" s="3" t="s">
        <v>2550</v>
      </c>
      <c r="G103" s="3"/>
      <c r="H103" s="3"/>
      <c r="I103" s="3"/>
      <c r="J103" s="3"/>
    </row>
    <row r="104" spans="1:10" ht="49.95" customHeight="1">
      <c r="A104" s="4">
        <v>102</v>
      </c>
      <c r="B104" s="4" t="s">
        <v>1414</v>
      </c>
      <c r="C104" s="4" t="s">
        <v>2649</v>
      </c>
      <c r="D104" s="5" t="s">
        <v>2647</v>
      </c>
      <c r="E104" s="5" t="s">
        <v>2563</v>
      </c>
      <c r="F104" s="5" t="s">
        <v>2650</v>
      </c>
      <c r="G104" s="5"/>
      <c r="H104" s="5"/>
      <c r="I104" s="5"/>
      <c r="J104" s="5"/>
    </row>
    <row r="105" spans="1:10" ht="49.95" customHeight="1">
      <c r="A105" s="2">
        <v>103</v>
      </c>
      <c r="B105" s="2" t="s">
        <v>1414</v>
      </c>
      <c r="C105" s="2" t="s">
        <v>1653</v>
      </c>
      <c r="D105" s="3" t="s">
        <v>2647</v>
      </c>
      <c r="E105" s="3" t="s">
        <v>2563</v>
      </c>
      <c r="F105" s="3" t="s">
        <v>2648</v>
      </c>
      <c r="G105" s="3"/>
      <c r="H105" s="3"/>
      <c r="I105" s="3"/>
      <c r="J105" s="3"/>
    </row>
    <row r="106" spans="1:10" ht="66" customHeight="1">
      <c r="A106" s="4">
        <v>104</v>
      </c>
      <c r="B106" s="4" t="s">
        <v>1414</v>
      </c>
      <c r="C106" s="4" t="s">
        <v>2629</v>
      </c>
      <c r="D106" s="5" t="s">
        <v>2578</v>
      </c>
      <c r="E106" s="5" t="s">
        <v>2630</v>
      </c>
      <c r="F106" s="5" t="s">
        <v>2631</v>
      </c>
      <c r="G106" s="5"/>
      <c r="H106" s="5"/>
      <c r="I106" s="5"/>
      <c r="J106" s="5"/>
    </row>
    <row r="107" spans="1:10" ht="49.95" customHeight="1">
      <c r="A107" s="2">
        <v>105</v>
      </c>
      <c r="B107" s="2" t="s">
        <v>1414</v>
      </c>
      <c r="C107" s="2" t="s">
        <v>2130</v>
      </c>
      <c r="D107" s="3" t="s">
        <v>2492</v>
      </c>
      <c r="E107" s="3" t="s">
        <v>2602</v>
      </c>
      <c r="F107" s="3" t="s">
        <v>2603</v>
      </c>
      <c r="G107" s="3"/>
      <c r="H107" s="3"/>
      <c r="I107" s="3"/>
      <c r="J107" s="3"/>
    </row>
    <row r="108" spans="1:10" ht="82.05" customHeight="1">
      <c r="A108" s="4">
        <v>106</v>
      </c>
      <c r="B108" s="4" t="s">
        <v>1414</v>
      </c>
      <c r="C108" s="4" t="s">
        <v>2653</v>
      </c>
      <c r="D108" s="5" t="s">
        <v>2405</v>
      </c>
      <c r="E108" s="5" t="s">
        <v>2654</v>
      </c>
      <c r="F108" s="5" t="s">
        <v>2655</v>
      </c>
      <c r="G108" s="5"/>
      <c r="H108" s="5"/>
      <c r="I108" s="5"/>
      <c r="J108" s="5"/>
    </row>
    <row r="109" spans="1:10" ht="82.05" customHeight="1">
      <c r="A109" s="2">
        <v>107</v>
      </c>
      <c r="B109" s="2" t="s">
        <v>1413</v>
      </c>
      <c r="C109" s="2" t="s">
        <v>1653</v>
      </c>
      <c r="D109" s="3" t="s">
        <v>2539</v>
      </c>
      <c r="E109" s="3" t="s">
        <v>2540</v>
      </c>
      <c r="F109" s="3" t="s">
        <v>2541</v>
      </c>
      <c r="G109" s="3"/>
      <c r="H109" s="3"/>
      <c r="I109" s="3"/>
      <c r="J109" s="3"/>
    </row>
    <row r="110" spans="1:10" ht="82.05" customHeight="1">
      <c r="A110" s="4">
        <v>108</v>
      </c>
      <c r="B110" s="4" t="s">
        <v>1412</v>
      </c>
      <c r="C110" s="4" t="s">
        <v>2575</v>
      </c>
      <c r="D110" s="5" t="s">
        <v>2578</v>
      </c>
      <c r="E110" s="5" t="s">
        <v>2579</v>
      </c>
      <c r="F110" s="5" t="s">
        <v>2580</v>
      </c>
      <c r="G110" s="5"/>
      <c r="H110" s="5"/>
      <c r="I110" s="5"/>
      <c r="J110" s="5"/>
    </row>
    <row r="111" spans="1:10" ht="49.95" customHeight="1">
      <c r="A111" s="2">
        <v>109</v>
      </c>
      <c r="B111" s="2" t="s">
        <v>1412</v>
      </c>
      <c r="C111" s="2" t="s">
        <v>2092</v>
      </c>
      <c r="D111" s="3" t="s">
        <v>2578</v>
      </c>
      <c r="E111" s="3" t="s">
        <v>2563</v>
      </c>
      <c r="F111" s="3" t="s">
        <v>2581</v>
      </c>
      <c r="G111" s="3"/>
      <c r="H111" s="3"/>
      <c r="I111" s="3"/>
      <c r="J111" s="3"/>
    </row>
    <row r="112" spans="1:10" ht="66" customHeight="1">
      <c r="A112" s="4">
        <v>110</v>
      </c>
      <c r="B112" s="4" t="s">
        <v>1412</v>
      </c>
      <c r="C112" s="4" t="s">
        <v>2558</v>
      </c>
      <c r="D112" s="5" t="s">
        <v>2405</v>
      </c>
      <c r="E112" s="5" t="s">
        <v>2561</v>
      </c>
      <c r="F112" s="5" t="s">
        <v>2562</v>
      </c>
      <c r="G112" s="5"/>
      <c r="H112" s="5"/>
      <c r="I112" s="5"/>
      <c r="J112" s="5"/>
    </row>
    <row r="113" spans="1:10" ht="49.95" customHeight="1">
      <c r="A113" s="2">
        <v>111</v>
      </c>
      <c r="B113" s="2" t="s">
        <v>1412</v>
      </c>
      <c r="C113" s="2" t="s">
        <v>2088</v>
      </c>
      <c r="D113" s="3" t="s">
        <v>2388</v>
      </c>
      <c r="E113" s="3" t="s">
        <v>2563</v>
      </c>
      <c r="F113" s="3" t="s">
        <v>2564</v>
      </c>
      <c r="G113" s="3"/>
      <c r="H113" s="3"/>
      <c r="I113" s="3"/>
      <c r="J113" s="3"/>
    </row>
    <row r="114" spans="1:10" ht="66" customHeight="1">
      <c r="A114" s="4">
        <v>112</v>
      </c>
      <c r="B114" s="4" t="s">
        <v>2200</v>
      </c>
      <c r="C114" s="4" t="s">
        <v>2482</v>
      </c>
      <c r="D114" s="5" t="s">
        <v>2483</v>
      </c>
      <c r="E114" s="5" t="s">
        <v>2484</v>
      </c>
      <c r="F114" s="5" t="s">
        <v>2485</v>
      </c>
      <c r="G114" s="5"/>
      <c r="H114" s="5"/>
      <c r="I114" s="5"/>
      <c r="J114" s="5"/>
    </row>
    <row r="115" spans="1:10" ht="66" customHeight="1">
      <c r="A115" s="2">
        <v>113</v>
      </c>
      <c r="B115" s="2" t="s">
        <v>2200</v>
      </c>
      <c r="C115" s="2" t="s">
        <v>2468</v>
      </c>
      <c r="D115" s="3" t="s">
        <v>2369</v>
      </c>
      <c r="E115" s="3" t="s">
        <v>2469</v>
      </c>
      <c r="F115" s="3" t="s">
        <v>2470</v>
      </c>
      <c r="G115" s="3"/>
      <c r="H115" s="3"/>
      <c r="I115" s="3"/>
      <c r="J115" s="3"/>
    </row>
    <row r="116" spans="1:10" ht="49.95" customHeight="1">
      <c r="A116" s="4">
        <v>114</v>
      </c>
      <c r="B116" s="4" t="s">
        <v>2200</v>
      </c>
      <c r="C116" s="4" t="s">
        <v>2468</v>
      </c>
      <c r="D116" s="5" t="s">
        <v>2471</v>
      </c>
      <c r="E116" s="5" t="s">
        <v>2472</v>
      </c>
      <c r="F116" s="5" t="s">
        <v>2473</v>
      </c>
      <c r="G116" s="5"/>
      <c r="H116" s="5"/>
      <c r="I116" s="5"/>
      <c r="J116" s="5"/>
    </row>
    <row r="117" spans="1:10" ht="66" customHeight="1">
      <c r="A117" s="2">
        <v>115</v>
      </c>
      <c r="B117" s="2" t="s">
        <v>2200</v>
      </c>
      <c r="C117" s="2" t="s">
        <v>2478</v>
      </c>
      <c r="D117" s="3" t="s">
        <v>2479</v>
      </c>
      <c r="E117" s="3" t="s">
        <v>2480</v>
      </c>
      <c r="F117" s="3" t="s">
        <v>2481</v>
      </c>
      <c r="G117" s="3"/>
      <c r="H117" s="3"/>
      <c r="I117" s="3"/>
      <c r="J117" s="3"/>
    </row>
    <row r="118" spans="1:10" ht="49.95" customHeight="1">
      <c r="A118" s="4">
        <v>116</v>
      </c>
      <c r="B118" s="4" t="s">
        <v>2200</v>
      </c>
      <c r="C118" s="4" t="s">
        <v>2468</v>
      </c>
      <c r="D118" s="5" t="s">
        <v>2369</v>
      </c>
      <c r="E118" s="5" t="s">
        <v>2474</v>
      </c>
      <c r="F118" s="5" t="s">
        <v>2475</v>
      </c>
      <c r="G118" s="5"/>
      <c r="H118" s="5"/>
      <c r="I118" s="5"/>
      <c r="J118" s="5"/>
    </row>
    <row r="119" spans="1:10" ht="49.95" customHeight="1">
      <c r="A119" s="2">
        <v>117</v>
      </c>
      <c r="B119" s="2" t="s">
        <v>2200</v>
      </c>
      <c r="C119" s="2" t="s">
        <v>2468</v>
      </c>
      <c r="D119" s="3" t="s">
        <v>2369</v>
      </c>
      <c r="E119" s="3" t="s">
        <v>2476</v>
      </c>
      <c r="F119" s="3" t="s">
        <v>2477</v>
      </c>
      <c r="G119" s="3"/>
      <c r="H119" s="3"/>
      <c r="I119" s="3"/>
      <c r="J119" s="3"/>
    </row>
    <row r="120" spans="1:10" ht="66" customHeight="1">
      <c r="A120" s="4">
        <v>118</v>
      </c>
      <c r="B120" s="4" t="s">
        <v>2662</v>
      </c>
      <c r="C120" s="4" t="s">
        <v>2382</v>
      </c>
      <c r="D120" s="5" t="s">
        <v>2369</v>
      </c>
      <c r="E120" s="5" t="s">
        <v>2386</v>
      </c>
      <c r="F120" s="5" t="s">
        <v>2387</v>
      </c>
      <c r="G120" s="5"/>
      <c r="H120" s="5"/>
      <c r="I120" s="5"/>
      <c r="J120" s="5"/>
    </row>
    <row r="121" spans="1:10" ht="66" customHeight="1">
      <c r="A121" s="2">
        <v>119</v>
      </c>
      <c r="B121" s="2" t="s">
        <v>2662</v>
      </c>
      <c r="C121" s="2" t="s">
        <v>2459</v>
      </c>
      <c r="D121" s="3" t="s">
        <v>2369</v>
      </c>
      <c r="E121" s="3" t="s">
        <v>2460</v>
      </c>
      <c r="F121" s="3" t="s">
        <v>2461</v>
      </c>
      <c r="G121" s="3"/>
      <c r="H121" s="3"/>
      <c r="I121" s="3"/>
      <c r="J121" s="3"/>
    </row>
    <row r="122" spans="1:10" ht="66" customHeight="1">
      <c r="A122" s="4">
        <v>120</v>
      </c>
      <c r="B122" s="4" t="s">
        <v>1414</v>
      </c>
      <c r="C122" s="4" t="s">
        <v>2629</v>
      </c>
      <c r="D122" s="5" t="s">
        <v>2632</v>
      </c>
      <c r="E122" s="5" t="s">
        <v>2460</v>
      </c>
      <c r="F122" s="5" t="s">
        <v>2633</v>
      </c>
      <c r="G122" s="5"/>
      <c r="H122" s="5"/>
      <c r="I122" s="5"/>
      <c r="J122" s="5" t="s">
        <v>2205</v>
      </c>
    </row>
    <row r="123" spans="1:10" ht="66" customHeight="1">
      <c r="A123" s="2">
        <v>121</v>
      </c>
      <c r="B123" s="2" t="s">
        <v>2662</v>
      </c>
      <c r="C123" s="2" t="s">
        <v>2435</v>
      </c>
      <c r="D123" s="3" t="s">
        <v>2369</v>
      </c>
      <c r="E123" s="3" t="s">
        <v>2439</v>
      </c>
      <c r="F123" s="3" t="s">
        <v>2440</v>
      </c>
      <c r="G123" s="3"/>
      <c r="H123" s="3"/>
      <c r="I123" s="3"/>
      <c r="J123" s="3"/>
    </row>
    <row r="124" spans="1:10" ht="66" customHeight="1">
      <c r="A124" s="4">
        <v>122</v>
      </c>
      <c r="B124" s="4" t="s">
        <v>2662</v>
      </c>
      <c r="C124" s="4" t="s">
        <v>2395</v>
      </c>
      <c r="D124" s="5" t="s">
        <v>2361</v>
      </c>
      <c r="E124" s="5" t="s">
        <v>2396</v>
      </c>
      <c r="F124" s="5" t="s">
        <v>2397</v>
      </c>
      <c r="G124" s="5"/>
      <c r="H124" s="5"/>
      <c r="I124" s="5"/>
      <c r="J124" s="5"/>
    </row>
    <row r="125" spans="1:10" ht="66" customHeight="1">
      <c r="A125" s="2">
        <v>123</v>
      </c>
      <c r="B125" s="2" t="s">
        <v>1406</v>
      </c>
      <c r="C125" s="2" t="s">
        <v>2368</v>
      </c>
      <c r="D125" s="3" t="s">
        <v>2369</v>
      </c>
      <c r="E125" s="3" t="s">
        <v>2370</v>
      </c>
      <c r="F125" s="3" t="s">
        <v>2371</v>
      </c>
      <c r="G125" s="3"/>
      <c r="H125" s="3"/>
      <c r="I125" s="3"/>
      <c r="J125" s="3"/>
    </row>
    <row r="126" spans="1:10" ht="82.05" customHeight="1">
      <c r="A126" s="4">
        <v>124</v>
      </c>
      <c r="B126" s="4" t="s">
        <v>2662</v>
      </c>
      <c r="C126" s="4" t="s">
        <v>2451</v>
      </c>
      <c r="D126" s="5" t="s">
        <v>2361</v>
      </c>
      <c r="E126" s="5" t="s">
        <v>2456</v>
      </c>
      <c r="F126" s="5" t="s">
        <v>2457</v>
      </c>
      <c r="G126" s="5"/>
      <c r="H126" s="5"/>
      <c r="I126" s="5"/>
      <c r="J126" s="5"/>
    </row>
    <row r="127" spans="1:10" ht="49.95" customHeight="1">
      <c r="A127" s="2">
        <v>125</v>
      </c>
      <c r="B127" s="2" t="s">
        <v>2663</v>
      </c>
      <c r="C127" s="2" t="s">
        <v>2444</v>
      </c>
      <c r="D127" s="3" t="s">
        <v>2413</v>
      </c>
      <c r="E127" s="3" t="s">
        <v>2445</v>
      </c>
      <c r="F127" s="3" t="s">
        <v>2446</v>
      </c>
      <c r="G127" s="3"/>
      <c r="H127" s="3"/>
      <c r="I127" s="3"/>
      <c r="J127" s="3"/>
    </row>
    <row r="128" spans="1:10" ht="66" customHeight="1">
      <c r="A128" s="4">
        <v>126</v>
      </c>
      <c r="B128" s="4" t="s">
        <v>2663</v>
      </c>
      <c r="C128" s="4" t="s">
        <v>2398</v>
      </c>
      <c r="D128" s="5" t="s">
        <v>2405</v>
      </c>
      <c r="E128" s="5" t="s">
        <v>2406</v>
      </c>
      <c r="F128" s="5" t="s">
        <v>2407</v>
      </c>
      <c r="G128" s="5"/>
      <c r="H128" s="5"/>
      <c r="I128" s="5"/>
      <c r="J128" s="5"/>
    </row>
    <row r="129" spans="1:10" ht="49.95" customHeight="1">
      <c r="A129" s="2">
        <v>127</v>
      </c>
      <c r="B129" s="2" t="s">
        <v>2663</v>
      </c>
      <c r="C129" s="2" t="s">
        <v>2412</v>
      </c>
      <c r="D129" s="3" t="s">
        <v>2388</v>
      </c>
      <c r="E129" s="3" t="s">
        <v>2431</v>
      </c>
      <c r="F129" s="3" t="s">
        <v>2432</v>
      </c>
      <c r="G129" s="3"/>
      <c r="H129" s="3"/>
      <c r="I129" s="3"/>
      <c r="J129" s="3"/>
    </row>
    <row r="130" spans="1:10" ht="66" customHeight="1">
      <c r="A130" s="4">
        <v>128</v>
      </c>
      <c r="B130" s="4" t="s">
        <v>2663</v>
      </c>
      <c r="C130" s="4" t="s">
        <v>2398</v>
      </c>
      <c r="D130" s="5" t="s">
        <v>2388</v>
      </c>
      <c r="E130" s="5" t="s">
        <v>2408</v>
      </c>
      <c r="F130" s="5" t="s">
        <v>2409</v>
      </c>
      <c r="G130" s="5"/>
      <c r="H130" s="5"/>
      <c r="I130" s="5"/>
      <c r="J130" s="5"/>
    </row>
    <row r="131" spans="1:10" ht="66" customHeight="1">
      <c r="A131" s="2">
        <v>129</v>
      </c>
      <c r="B131" s="2" t="s">
        <v>2663</v>
      </c>
      <c r="C131" s="2" t="s">
        <v>2465</v>
      </c>
      <c r="D131" s="3" t="s">
        <v>2462</v>
      </c>
      <c r="E131" s="3" t="s">
        <v>2466</v>
      </c>
      <c r="F131" s="3" t="s">
        <v>2467</v>
      </c>
      <c r="G131" s="3"/>
      <c r="H131" s="3"/>
      <c r="I131" s="3"/>
      <c r="J131" s="3"/>
    </row>
    <row r="132" spans="1:10" ht="49.95" customHeight="1">
      <c r="A132" s="4">
        <v>130</v>
      </c>
      <c r="B132" s="4" t="s">
        <v>2663</v>
      </c>
      <c r="C132" s="4" t="s">
        <v>2459</v>
      </c>
      <c r="D132" s="5" t="s">
        <v>2462</v>
      </c>
      <c r="E132" s="5" t="s">
        <v>2463</v>
      </c>
      <c r="F132" s="5" t="s">
        <v>2464</v>
      </c>
      <c r="G132" s="5"/>
      <c r="H132" s="5"/>
      <c r="I132" s="5"/>
      <c r="J132" s="5"/>
    </row>
    <row r="133" spans="1:10" ht="49.95" customHeight="1">
      <c r="A133" s="2">
        <v>131</v>
      </c>
      <c r="B133" s="2" t="s">
        <v>2663</v>
      </c>
      <c r="C133" s="2" t="s">
        <v>2382</v>
      </c>
      <c r="D133" s="3" t="s">
        <v>2388</v>
      </c>
      <c r="E133" s="3" t="s">
        <v>2389</v>
      </c>
      <c r="F133" s="3" t="s">
        <v>2390</v>
      </c>
      <c r="G133" s="3"/>
      <c r="H133" s="3"/>
      <c r="I133" s="3"/>
      <c r="J133" s="3"/>
    </row>
    <row r="134" spans="1:10" ht="82.05" customHeight="1">
      <c r="A134" s="4">
        <v>132</v>
      </c>
      <c r="B134" s="4" t="s">
        <v>1414</v>
      </c>
      <c r="C134" s="4" t="s">
        <v>2653</v>
      </c>
      <c r="D134" s="5" t="s">
        <v>2405</v>
      </c>
      <c r="E134" s="5" t="s">
        <v>2656</v>
      </c>
      <c r="F134" s="5" t="s">
        <v>2657</v>
      </c>
      <c r="G134" s="5"/>
      <c r="H134" s="5"/>
      <c r="I134" s="5"/>
      <c r="J134" s="5"/>
    </row>
    <row r="135" spans="1:10" ht="49.95" customHeight="1">
      <c r="A135" s="2">
        <v>133</v>
      </c>
      <c r="B135" s="2" t="s">
        <v>2662</v>
      </c>
      <c r="C135" s="2" t="s">
        <v>2412</v>
      </c>
      <c r="D135" s="3" t="s">
        <v>2361</v>
      </c>
      <c r="E135" s="3" t="s">
        <v>2433</v>
      </c>
      <c r="F135" s="3" t="s">
        <v>2434</v>
      </c>
      <c r="G135" s="3"/>
      <c r="H135" s="3"/>
      <c r="I135" s="3"/>
      <c r="J135" s="3"/>
    </row>
    <row r="136" spans="1:10" ht="40.049999999999997" customHeight="1">
      <c r="A136" s="4">
        <v>134</v>
      </c>
      <c r="B136" s="4" t="s">
        <v>1406</v>
      </c>
      <c r="C136" s="4" t="s">
        <v>1556</v>
      </c>
      <c r="D136" s="5" t="s">
        <v>2361</v>
      </c>
      <c r="E136" s="5" t="s">
        <v>2362</v>
      </c>
      <c r="F136" s="5" t="s">
        <v>2363</v>
      </c>
      <c r="G136" s="5"/>
      <c r="H136" s="5"/>
      <c r="I136" s="5"/>
      <c r="J136" s="5"/>
    </row>
    <row r="137" spans="1:10" ht="66" customHeight="1">
      <c r="A137" s="2">
        <v>135</v>
      </c>
      <c r="B137" s="2" t="s">
        <v>1410</v>
      </c>
      <c r="C137" s="2" t="s">
        <v>2486</v>
      </c>
      <c r="D137" s="3" t="s">
        <v>2361</v>
      </c>
      <c r="E137" s="3" t="s">
        <v>2487</v>
      </c>
      <c r="F137" s="3" t="s">
        <v>2488</v>
      </c>
      <c r="G137" s="3"/>
      <c r="H137" s="3"/>
      <c r="I137" s="3"/>
      <c r="J137" s="3"/>
    </row>
    <row r="138" spans="1:10" ht="66" customHeight="1">
      <c r="A138" s="4">
        <v>136</v>
      </c>
      <c r="B138" s="4" t="s">
        <v>1406</v>
      </c>
      <c r="C138" s="4" t="s">
        <v>1558</v>
      </c>
      <c r="D138" s="5" t="s">
        <v>2361</v>
      </c>
      <c r="E138" s="5" t="s">
        <v>2366</v>
      </c>
      <c r="F138" s="5" t="s">
        <v>2367</v>
      </c>
      <c r="G138" s="5"/>
      <c r="H138" s="5"/>
      <c r="I138" s="5"/>
      <c r="J138" s="5"/>
    </row>
    <row r="139" spans="1:10" ht="82.05" customHeight="1">
      <c r="A139" s="2">
        <v>137</v>
      </c>
      <c r="B139" s="2" t="s">
        <v>2662</v>
      </c>
      <c r="C139" s="2" t="s">
        <v>2451</v>
      </c>
      <c r="D139" s="3" t="s">
        <v>2361</v>
      </c>
      <c r="E139" s="3" t="s">
        <v>2456</v>
      </c>
      <c r="F139" s="3" t="s">
        <v>2458</v>
      </c>
      <c r="G139" s="3"/>
      <c r="H139" s="3"/>
      <c r="I139" s="3"/>
      <c r="J139" s="3"/>
    </row>
    <row r="140" spans="1:10" ht="40.049999999999997" customHeight="1">
      <c r="A140" s="4">
        <v>138</v>
      </c>
      <c r="B140" s="4" t="s">
        <v>2662</v>
      </c>
      <c r="C140" s="4" t="s">
        <v>2398</v>
      </c>
      <c r="D140" s="5" t="s">
        <v>2361</v>
      </c>
      <c r="E140" s="5" t="s">
        <v>2410</v>
      </c>
      <c r="F140" s="5" t="s">
        <v>2411</v>
      </c>
      <c r="G140" s="5"/>
      <c r="H140" s="5"/>
      <c r="I140" s="5"/>
      <c r="J140" s="5"/>
    </row>
  </sheetData>
  <mergeCells count="8">
    <mergeCell ref="I1:I2"/>
    <mergeCell ref="J1:J2"/>
    <mergeCell ref="A1:A2"/>
    <mergeCell ref="G1:H1"/>
    <mergeCell ref="E1:F1"/>
    <mergeCell ref="C1:C2"/>
    <mergeCell ref="B1:B2"/>
    <mergeCell ref="D1:D2"/>
  </mergeCells>
  <phoneticPr fontId="1" type="noConversion"/>
  <pageMargins left="0.75" right="0.75" top="1" bottom="1" header="0.5" footer="0.5"/>
  <pageSetup paperSize="8" fitToHeight="0" orientation="landscape"/>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7"/>
  <sheetViews>
    <sheetView workbookViewId="0">
      <selection activeCell="G4" sqref="G4"/>
    </sheetView>
  </sheetViews>
  <sheetFormatPr defaultColWidth="11.3984375" defaultRowHeight="19.2"/>
  <cols>
    <col min="1" max="1" width="9.5" style="43" customWidth="1"/>
    <col min="2" max="4" width="14.09765625" style="43" customWidth="1"/>
    <col min="5" max="7" width="6.8984375" style="43" customWidth="1"/>
    <col min="8" max="8" width="12.8984375" style="43" bestFit="1" customWidth="1"/>
    <col min="9" max="10" width="15" style="43" bestFit="1" customWidth="1"/>
    <col min="11" max="11" width="12.19921875" style="43" bestFit="1" customWidth="1"/>
    <col min="12" max="26" width="6.8984375" style="43" customWidth="1"/>
    <col min="27" max="29" width="11.3984375" style="43" customWidth="1"/>
    <col min="30" max="16384" width="11.3984375" style="43"/>
  </cols>
  <sheetData>
    <row r="1" spans="1:11">
      <c r="A1" s="42" t="s">
        <v>2665</v>
      </c>
      <c r="H1" s="44" t="s">
        <v>2666</v>
      </c>
    </row>
    <row r="2" spans="1:11">
      <c r="A2" s="45" t="s">
        <v>2667</v>
      </c>
      <c r="B2" s="45" t="s">
        <v>1404</v>
      </c>
      <c r="C2" s="45" t="s">
        <v>1403</v>
      </c>
      <c r="D2" s="45" t="s">
        <v>1402</v>
      </c>
      <c r="H2" s="45" t="s">
        <v>1401</v>
      </c>
      <c r="I2" s="45" t="s">
        <v>1402</v>
      </c>
      <c r="J2" s="45" t="s">
        <v>1403</v>
      </c>
      <c r="K2" s="45" t="s">
        <v>1404</v>
      </c>
    </row>
    <row r="3" spans="1:11" ht="76.8" customHeight="1">
      <c r="A3" s="46" t="s">
        <v>26</v>
      </c>
      <c r="B3" s="47" t="s">
        <v>2668</v>
      </c>
      <c r="C3" s="47" t="s">
        <v>2669</v>
      </c>
      <c r="D3" s="33" t="s">
        <v>40</v>
      </c>
      <c r="H3" s="48" t="s">
        <v>2670</v>
      </c>
      <c r="I3" s="48" t="s">
        <v>2671</v>
      </c>
      <c r="J3" s="48" t="s">
        <v>2672</v>
      </c>
      <c r="K3" s="48" t="s">
        <v>2673</v>
      </c>
    </row>
    <row r="4" spans="1:11" ht="115.2" customHeight="1">
      <c r="A4" s="46" t="s">
        <v>27</v>
      </c>
      <c r="B4" s="33" t="s">
        <v>2674</v>
      </c>
      <c r="C4" s="47" t="s">
        <v>2675</v>
      </c>
      <c r="D4" s="47" t="s">
        <v>41</v>
      </c>
    </row>
    <row r="5" spans="1:11" ht="57.6" customHeight="1">
      <c r="A5" s="46" t="s">
        <v>2676</v>
      </c>
      <c r="B5" s="33" t="s">
        <v>2677</v>
      </c>
      <c r="C5" s="33" t="s">
        <v>2678</v>
      </c>
      <c r="D5" s="33" t="s">
        <v>2679</v>
      </c>
    </row>
    <row r="6" spans="1:11" ht="24.6" customHeight="1">
      <c r="A6" s="49"/>
      <c r="H6" s="45" t="s">
        <v>1401</v>
      </c>
      <c r="I6" s="45" t="s">
        <v>1402</v>
      </c>
      <c r="J6" s="45" t="s">
        <v>1403</v>
      </c>
      <c r="K6" s="45" t="s">
        <v>1404</v>
      </c>
    </row>
    <row r="7" spans="1:11" ht="24.6" customHeight="1">
      <c r="H7" s="48">
        <f>'리스크 체크리스트'!AC2</f>
        <v>5</v>
      </c>
      <c r="I7" s="48">
        <f>'리스크 체크리스트'!AD2</f>
        <v>0</v>
      </c>
      <c r="J7" s="48">
        <f>'리스크 체크리스트'!AE2</f>
        <v>0</v>
      </c>
      <c r="K7" s="48">
        <f>'리스크 체크리스트'!AC8</f>
        <v>0</v>
      </c>
    </row>
  </sheetData>
  <phoneticPr fontId="1"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4</vt:i4>
      </vt:variant>
      <vt:variant>
        <vt:lpstr>이름 지정된 범위</vt:lpstr>
      </vt:variant>
      <vt:variant>
        <vt:i4>5</vt:i4>
      </vt:variant>
    </vt:vector>
  </HeadingPairs>
  <TitlesOfParts>
    <vt:vector size="9" baseType="lpstr">
      <vt:lpstr>리스크 체크리스트</vt:lpstr>
      <vt:lpstr>표준체크리스트-헷지방안</vt:lpstr>
      <vt:lpstr>Lessons Learned</vt:lpstr>
      <vt:lpstr>리스크평가기준</vt:lpstr>
      <vt:lpstr>'리스크 체크리스트'!Print_Area</vt:lpstr>
      <vt:lpstr>'표준체크리스트-헷지방안'!Print_Area</vt:lpstr>
      <vt:lpstr>'리스크 체크리스트'!Print_Titles</vt:lpstr>
      <vt:lpstr>'표준체크리스트-헷지방안'!Print_Titles</vt:lpstr>
      <vt:lpstr>설계CL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재형 김</cp:lastModifiedBy>
  <cp:lastPrinted>2026-06-15T04:27:32Z</cp:lastPrinted>
  <dcterms:created xsi:type="dcterms:W3CDTF">2026-06-12T21:57:13Z</dcterms:created>
  <dcterms:modified xsi:type="dcterms:W3CDTF">2026-07-15T05:26:31Z</dcterms:modified>
</cp:coreProperties>
</file>